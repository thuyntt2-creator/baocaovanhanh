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HECK_FORMULAS_EVENT_88" sheetId="1" state="visible" r:id="rId1"/>
    <sheet xmlns:r="http://schemas.openxmlformats.org/officeDocument/2006/relationships" name="Thủy" sheetId="2" state="visible" r:id="rId2"/>
    <sheet xmlns:r="http://schemas.openxmlformats.org/officeDocument/2006/relationships" name="0_README" sheetId="3" state="visible" r:id="rId3"/>
    <sheet xmlns:r="http://schemas.openxmlformats.org/officeDocument/2006/relationships" name="1_Config_Chuan" sheetId="4" state="visible" r:id="rId4"/>
    <sheet xmlns:r="http://schemas.openxmlformats.org/officeDocument/2006/relationships" name="3_KQ_BC_Detail" sheetId="5" state="hidden" r:id="rId5"/>
    <sheet xmlns:r="http://schemas.openxmlformats.org/officeDocument/2006/relationships" name="4_KQ_B2B" sheetId="6" state="hidden" r:id="rId6"/>
    <sheet xmlns:r="http://schemas.openxmlformats.org/officeDocument/2006/relationships" name="5_CuMoi_Thang" sheetId="7" state="hidden" r:id="rId7"/>
    <sheet xmlns:r="http://schemas.openxmlformats.org/officeDocument/2006/relationships" name="6_FC_Lay_Daily" sheetId="8" state="visible" r:id="rId8"/>
    <sheet xmlns:r="http://schemas.openxmlformats.org/officeDocument/2006/relationships" name="7_FC_Giao_Daily" sheetId="9" state="visible" r:id="rId9"/>
    <sheet xmlns:r="http://schemas.openxmlformats.org/officeDocument/2006/relationships" name="Topline_Lay_NTB" sheetId="10" state="visible" r:id="rId10"/>
    <sheet xmlns:r="http://schemas.openxmlformats.org/officeDocument/2006/relationships" name="Topline_Giao_NTB" sheetId="11" state="visible" r:id="rId11"/>
    <sheet xmlns:r="http://schemas.openxmlformats.org/officeDocument/2006/relationships" name="GHI_CHU_Topline" sheetId="12" state="visible" r:id="rId12"/>
    <sheet xmlns:r="http://schemas.openxmlformats.org/officeDocument/2006/relationships" name="FC Sorting 60d" sheetId="13" state="visible" r:id="rId13"/>
  </sheets>
  <definedNames>
    <definedName name="_xlnm._FilterDatabase" localSheetId="3" hidden="1">'1_Config_Chuan'!$A$1:$P$571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+0.00%;-0.00%;0.00%"/>
    <numFmt numFmtId="166" formatCode="mm/dd"/>
  </numFmts>
  <fonts count="20">
    <font>
      <name val="Arial"/>
      <color rgb="FF000000"/>
      <sz val="10"/>
      <scheme val="minor"/>
    </font>
    <font>
      <name val="Arial"/>
      <b val="1"/>
      <color rgb="FF1F497D"/>
      <sz val="13"/>
    </font>
    <font>
      <name val="Arial"/>
      <b val="1"/>
      <color theme="1"/>
    </font>
    <font>
      <name val="Arial"/>
      <color rgb="FF000000"/>
      <sz val="10"/>
    </font>
    <font>
      <name val="Arial"/>
      <b val="1"/>
      <color theme="1"/>
      <sz val="10"/>
    </font>
    <font>
      <name val="Arial"/>
      <b val="1"/>
      <color rgb="FFFFFFFF"/>
      <sz val="10"/>
    </font>
    <font>
      <name val="Arial"/>
      <color theme="1"/>
    </font>
    <font>
      <name val="Arial"/>
      <b val="1"/>
      <color rgb="FF000000"/>
      <sz val="10"/>
    </font>
    <font>
      <name val="Arial"/>
      <b val="1"/>
      <color rgb="FFC00000"/>
      <sz val="10"/>
    </font>
    <font>
      <name val="Arial"/>
      <b val="1"/>
      <i val="1"/>
      <color theme="1"/>
      <sz val="9"/>
    </font>
    <font>
      <name val="Arial"/>
      <b val="1"/>
      <color theme="1"/>
      <sz val="13"/>
    </font>
    <font>
      <name val="Arial"/>
      <b val="1"/>
      <color theme="1"/>
      <sz val="11"/>
    </font>
    <font>
      <name val="Arial"/>
      <color theme="1"/>
      <scheme val="minor"/>
    </font>
    <font>
      <name val="Arial"/>
      <b val="1"/>
      <color rgb="001F497D"/>
      <sz val="16"/>
    </font>
    <font>
      <name val="Arial"/>
      <i val="1"/>
      <color rgb="00595959"/>
      <sz val="11"/>
    </font>
    <font>
      <name val="Arial"/>
      <b val="1"/>
      <color rgb="001F497D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C00000"/>
      <sz val="10"/>
    </font>
  </fonts>
  <fills count="15">
    <fill>
      <patternFill/>
    </fill>
    <fill>
      <patternFill patternType="lightGray"/>
    </fill>
    <fill>
      <patternFill patternType="solid">
        <fgColor rgb="FFD8EAFC"/>
        <bgColor rgb="FFD8EAFC"/>
      </patternFill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  <fill>
      <patternFill patternType="solid">
        <fgColor rgb="FFC6DDC6"/>
        <bgColor rgb="FFC6DDC6"/>
      </patternFill>
    </fill>
    <fill>
      <patternFill patternType="solid">
        <fgColor rgb="FFFFE0B2"/>
        <bgColor rgb="FFFFE0B2"/>
      </patternFill>
    </fill>
    <fill>
      <patternFill patternType="solid">
        <fgColor rgb="FFFFF4D3"/>
        <bgColor rgb="FFFFF4D3"/>
      </patternFill>
    </fill>
    <fill>
      <patternFill patternType="solid">
        <fgColor rgb="FFD8D8D8"/>
        <bgColor rgb="FFD8D8D8"/>
      </patternFill>
    </fill>
    <fill>
      <patternFill patternType="solid">
        <fgColor rgb="FFCCE0F9"/>
        <bgColor rgb="FFCCE0F9"/>
      </patternFill>
    </fill>
    <fill>
      <patternFill patternType="solid">
        <fgColor rgb="FFD8EAFF"/>
        <bgColor rgb="FFD8EAFF"/>
      </patternFill>
    </fill>
    <fill>
      <patternFill patternType="solid">
        <fgColor rgb="FFFFF2D8"/>
        <bgColor rgb="FFFFF2D8"/>
      </patternFill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  <fill>
      <patternFill patternType="solid">
        <fgColor rgb="00E9EDF4"/>
        <bgColor rgb="00E9EDF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wrapText="1"/>
    </xf>
    <xf numFmtId="0" fontId="5" fillId="3" borderId="2" applyAlignment="1" pivotButton="0" quotePrefix="0" xfId="0">
      <alignment horizontal="center" vertical="center"/>
    </xf>
    <xf numFmtId="0" fontId="6" fillId="0" borderId="1" pivotButton="0" quotePrefix="0" xfId="0"/>
    <xf numFmtId="3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wrapText="1"/>
    </xf>
    <xf numFmtId="0" fontId="3" fillId="0" borderId="2" applyAlignment="1" pivotButton="0" quotePrefix="0" xfId="0">
      <alignment horizontal="left" vertical="center"/>
    </xf>
    <xf numFmtId="0" fontId="6" fillId="0" borderId="0" pivotButton="0" quotePrefix="0" xfId="0"/>
    <xf numFmtId="0" fontId="2" fillId="2" borderId="1" applyAlignment="1" pivotButton="0" quotePrefix="0" xfId="0">
      <alignment horizontal="center" wrapText="1"/>
    </xf>
    <xf numFmtId="3" fontId="6" fillId="0" borderId="0" applyAlignment="1" pivotButton="0" quotePrefix="0" xfId="0">
      <alignment horizontal="right"/>
    </xf>
    <xf numFmtId="3" fontId="3" fillId="0" borderId="2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/>
    </xf>
    <xf numFmtId="9" fontId="6" fillId="0" borderId="1" applyAlignment="1" pivotButton="0" quotePrefix="0" xfId="0">
      <alignment horizontal="center"/>
    </xf>
    <xf numFmtId="3" fontId="7" fillId="0" borderId="2" applyAlignment="1" pivotButton="0" quotePrefix="0" xfId="0">
      <alignment horizontal="right" vertical="center"/>
    </xf>
    <xf numFmtId="164" fontId="6" fillId="0" borderId="1" applyAlignment="1" pivotButton="0" quotePrefix="0" xfId="0">
      <alignment wrapText="1"/>
    </xf>
    <xf numFmtId="0" fontId="7" fillId="4" borderId="2" applyAlignment="1" pivotButton="0" quotePrefix="0" xfId="0">
      <alignment horizontal="left" vertical="center"/>
    </xf>
    <xf numFmtId="3" fontId="7" fillId="4" borderId="2" applyAlignment="1" pivotButton="0" quotePrefix="0" xfId="0">
      <alignment horizontal="right" vertical="center"/>
    </xf>
    <xf numFmtId="0" fontId="1" fillId="0" borderId="0" pivotButton="0" quotePrefix="0" xfId="0"/>
    <xf numFmtId="0" fontId="7" fillId="0" borderId="0" pivotButton="0" quotePrefix="0" xfId="0"/>
    <xf numFmtId="0" fontId="7" fillId="0" borderId="2" applyAlignment="1" pivotButton="0" quotePrefix="0" xfId="0">
      <alignment horizontal="left" vertical="center"/>
    </xf>
    <xf numFmtId="3" fontId="8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10" fontId="7" fillId="0" borderId="2" applyAlignment="1" pivotButton="0" quotePrefix="0" xfId="0">
      <alignment horizontal="right" vertical="center"/>
    </xf>
    <xf numFmtId="9" fontId="6" fillId="0" borderId="1" pivotButton="0" quotePrefix="0" xfId="0"/>
    <xf numFmtId="3" fontId="6" fillId="0" borderId="1" applyAlignment="1" pivotButton="0" quotePrefix="0" xfId="0">
      <alignment horizontal="right"/>
    </xf>
    <xf numFmtId="0" fontId="2" fillId="5" borderId="1" pivotButton="0" quotePrefix="0" xfId="0"/>
    <xf numFmtId="164" fontId="6" fillId="0" borderId="1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/>
    </xf>
    <xf numFmtId="9" fontId="6" fillId="0" borderId="0" pivotButton="0" quotePrefix="0" xfId="0"/>
    <xf numFmtId="3" fontId="9" fillId="6" borderId="1" applyAlignment="1" pivotButton="0" quotePrefix="0" xfId="0">
      <alignment horizontal="right" vertical="center"/>
    </xf>
    <xf numFmtId="3" fontId="9" fillId="6" borderId="0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/>
    </xf>
    <xf numFmtId="3" fontId="6" fillId="7" borderId="0" applyAlignment="1" pivotButton="0" quotePrefix="0" xfId="0">
      <alignment horizontal="right"/>
    </xf>
    <xf numFmtId="0" fontId="2" fillId="8" borderId="0" pivotButton="0" quotePrefix="0" xfId="0"/>
    <xf numFmtId="0" fontId="6" fillId="0" borderId="0" pivotButton="0" quotePrefix="1" xfId="0"/>
    <xf numFmtId="0" fontId="10" fillId="9" borderId="0" applyAlignment="1" pivotButton="0" quotePrefix="0" xfId="0">
      <alignment vertical="top" wrapText="1"/>
    </xf>
    <xf numFmtId="0" fontId="11" fillId="9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1" xfId="0">
      <alignment vertical="top" wrapText="1"/>
    </xf>
    <xf numFmtId="0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2" fillId="10" borderId="0" pivotButton="0" quotePrefix="0" xfId="0"/>
    <xf numFmtId="0" fontId="2" fillId="10" borderId="0" pivotButton="0" quotePrefix="0" xfId="0"/>
    <xf numFmtId="0" fontId="3" fillId="0" borderId="0" pivotButton="0" quotePrefix="0" xfId="0"/>
    <xf numFmtId="0" fontId="12" fillId="0" borderId="0" pivotButton="0" quotePrefix="0" xfId="0"/>
    <xf numFmtId="3" fontId="12" fillId="0" borderId="0" pivotButton="0" quotePrefix="0" xfId="0"/>
    <xf numFmtId="0" fontId="2" fillId="11" borderId="0" pivotButton="0" quotePrefix="0" xfId="0"/>
    <xf numFmtId="3" fontId="2" fillId="11" borderId="0" pivotButton="0" quotePrefix="0" xfId="0"/>
    <xf numFmtId="3" fontId="2" fillId="5" borderId="1" applyAlignment="1" pivotButton="0" quotePrefix="0" xfId="0">
      <alignment horizontal="right"/>
    </xf>
    <xf numFmtId="3" fontId="2" fillId="5" borderId="0" applyAlignment="1" pivotButton="0" quotePrefix="0" xfId="0">
      <alignment horizontal="right"/>
    </xf>
    <xf numFmtId="0" fontId="2" fillId="5" borderId="0" pivotButton="0" quotePrefix="0" xfId="0"/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12" borderId="3" applyAlignment="1" pivotButton="0" quotePrefix="0" xfId="0">
      <alignment horizontal="center" vertical="center"/>
    </xf>
    <xf numFmtId="0" fontId="17" fillId="0" borderId="3" applyAlignment="1" pivotButton="0" quotePrefix="0" xfId="0">
      <alignment horizontal="left" vertical="center"/>
    </xf>
    <xf numFmtId="3" fontId="17" fillId="0" borderId="3" applyAlignment="1" pivotButton="0" quotePrefix="0" xfId="0">
      <alignment horizontal="right" vertical="center"/>
    </xf>
    <xf numFmtId="3" fontId="18" fillId="0" borderId="3" applyAlignment="1" pivotButton="0" quotePrefix="0" xfId="0">
      <alignment horizontal="right" vertical="center"/>
    </xf>
    <xf numFmtId="0" fontId="18" fillId="13" borderId="3" applyAlignment="1" pivotButton="0" quotePrefix="0" xfId="0">
      <alignment horizontal="left" vertical="center"/>
    </xf>
    <xf numFmtId="3" fontId="18" fillId="13" borderId="3" applyAlignment="1" pivotButton="0" quotePrefix="0" xfId="0">
      <alignment horizontal="right" vertical="center"/>
    </xf>
    <xf numFmtId="0" fontId="18" fillId="0" borderId="0" pivotButton="0" quotePrefix="0" xfId="0"/>
    <xf numFmtId="0" fontId="18" fillId="0" borderId="3" applyAlignment="1" pivotButton="0" quotePrefix="0" xfId="0">
      <alignment horizontal="left" vertical="center"/>
    </xf>
    <xf numFmtId="3" fontId="19" fillId="0" borderId="3" applyAlignment="1" pivotButton="0" quotePrefix="0" xfId="0">
      <alignment horizontal="right" vertical="center"/>
    </xf>
    <xf numFmtId="165" fontId="18" fillId="0" borderId="3" applyAlignment="1" pivotButton="0" quotePrefix="0" xfId="0">
      <alignment horizontal="right" vertical="center"/>
    </xf>
    <xf numFmtId="10" fontId="18" fillId="0" borderId="3" applyAlignment="1" pivotButton="0" quotePrefix="0" xfId="0">
      <alignment horizontal="right" vertical="center"/>
    </xf>
    <xf numFmtId="0" fontId="18" fillId="14" borderId="3" applyAlignment="1" pivotButton="0" quotePrefix="0" xfId="0">
      <alignment horizontal="left" vertical="center"/>
    </xf>
    <xf numFmtId="3" fontId="18" fillId="14" borderId="3" applyAlignment="1" pivotButton="0" quotePrefix="0" xfId="0">
      <alignment horizontal="right" vertical="center"/>
    </xf>
    <xf numFmtId="0" fontId="18" fillId="13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 outlineLevelCol="0"/>
  <cols>
    <col width="32" customWidth="1" style="57" min="1" max="1"/>
    <col width="14" customWidth="1" style="57" min="2" max="2"/>
    <col width="15" customWidth="1" style="57" min="3" max="3"/>
    <col width="15" customWidth="1" style="57" min="4" max="4"/>
    <col width="15" customWidth="1" style="57" min="5" max="5"/>
    <col width="15" customWidth="1" style="57" min="6" max="6"/>
    <col width="15" customWidth="1" style="57" min="7" max="7"/>
    <col width="15" customWidth="1" style="57" min="8" max="8"/>
    <col width="15" customWidth="1" style="57" min="9" max="9"/>
    <col width="15" customWidth="1" style="57" min="10" max="10"/>
    <col width="15" customWidth="1" style="57" min="11" max="11"/>
    <col width="15" customWidth="1" style="57" min="12" max="12"/>
    <col width="15" customWidth="1" style="57" min="13" max="13"/>
    <col width="15" customWidth="1" style="57" min="14" max="14"/>
  </cols>
  <sheetData>
    <row r="1">
      <c r="A1" s="58" t="inlineStr">
        <is>
          <t>BẢNG KIỂM TRA HÀM CÔNG THỨC EXCEL - EVENT 8.8 (NTB)</t>
        </is>
      </c>
    </row>
    <row r="2">
      <c r="A2" s="59" t="inlineStr">
        <is>
          <t>File đối chiếu công thức Excel từ sheet 6_FC_Lay_Daily, 7_FC_Giao_Daily &amp; FC Sorting 60d</t>
        </is>
      </c>
    </row>
    <row r="4">
      <c r="A4" s="60" t="inlineStr">
        <is>
          <t>1. VOLUME LẤY THEO SÀN (Event 8.8)</t>
        </is>
      </c>
    </row>
    <row r="5">
      <c r="A5" s="61" t="inlineStr">
        <is>
          <t>Sàn / Kênh</t>
        </is>
      </c>
      <c r="B5" s="61" t="inlineStr">
        <is>
          <t>06/08</t>
        </is>
      </c>
      <c r="C5" s="61" t="inlineStr">
        <is>
          <t>07/08</t>
        </is>
      </c>
      <c r="D5" s="61" t="inlineStr">
        <is>
          <t>08/08</t>
        </is>
      </c>
      <c r="E5" s="61" t="inlineStr">
        <is>
          <t>09/08</t>
        </is>
      </c>
      <c r="F5" s="61" t="inlineStr">
        <is>
          <t>10/08</t>
        </is>
      </c>
      <c r="G5" s="61" t="inlineStr">
        <is>
          <t>11/08</t>
        </is>
      </c>
      <c r="H5" s="61" t="inlineStr">
        <is>
          <t>12/08</t>
        </is>
      </c>
      <c r="I5" s="61" t="inlineStr">
        <is>
          <t>13/08</t>
        </is>
      </c>
      <c r="J5" s="61" t="inlineStr">
        <is>
          <t>14/08</t>
        </is>
      </c>
      <c r="K5" s="61" t="inlineStr">
        <is>
          <t>15/08</t>
        </is>
      </c>
      <c r="L5" s="61" t="inlineStr">
        <is>
          <t>Tổng 10 ngày</t>
        </is>
      </c>
      <c r="M5" s="61" t="inlineStr">
        <is>
          <t>Trung bình</t>
        </is>
      </c>
    </row>
    <row r="6">
      <c r="A6" s="62" t="inlineStr">
        <is>
          <t>Shopee</t>
        </is>
      </c>
      <c r="B6" s="63">
        <f>SUMIFS('6_FC_Lay_Daily'!AB:AB, '6_FC_Lay_Daily'!$E:$E, $A6)</f>
        <v/>
      </c>
      <c r="C6" s="63">
        <f>SUMIFS('6_FC_Lay_Daily'!AC:AC, '6_FC_Lay_Daily'!$E:$E, $A6)</f>
        <v/>
      </c>
      <c r="D6" s="63">
        <f>SUMIFS('6_FC_Lay_Daily'!AD:AD, '6_FC_Lay_Daily'!$E:$E, $A6)</f>
        <v/>
      </c>
      <c r="E6" s="63">
        <f>SUMIFS('6_FC_Lay_Daily'!AE:AE, '6_FC_Lay_Daily'!$E:$E, $A6)</f>
        <v/>
      </c>
      <c r="F6" s="63">
        <f>SUMIFS('6_FC_Lay_Daily'!AF:AF, '6_FC_Lay_Daily'!$E:$E, $A6)</f>
        <v/>
      </c>
      <c r="G6" s="63">
        <f>SUMIFS('6_FC_Lay_Daily'!AG:AG, '6_FC_Lay_Daily'!$E:$E, $A6)</f>
        <v/>
      </c>
      <c r="H6" s="63">
        <f>SUMIFS('6_FC_Lay_Daily'!AH:AH, '6_FC_Lay_Daily'!$E:$E, $A6)</f>
        <v/>
      </c>
      <c r="I6" s="63">
        <f>SUMIFS('6_FC_Lay_Daily'!AI:AI, '6_FC_Lay_Daily'!$E:$E, $A6)</f>
        <v/>
      </c>
      <c r="J6" s="63">
        <f>SUMIFS('6_FC_Lay_Daily'!AJ:AJ, '6_FC_Lay_Daily'!$E:$E, $A6)</f>
        <v/>
      </c>
      <c r="K6" s="63">
        <f>SUMIFS('6_FC_Lay_Daily'!AK:AK, '6_FC_Lay_Daily'!$E:$E, $A6)</f>
        <v/>
      </c>
      <c r="L6" s="64">
        <f>SUM(B6:K6)</f>
        <v/>
      </c>
      <c r="M6" s="64">
        <f>AVERAGE(B6:K6)</f>
        <v/>
      </c>
    </row>
    <row r="7">
      <c r="A7" s="62" t="inlineStr">
        <is>
          <t>Shopee-Bulky</t>
        </is>
      </c>
      <c r="B7" s="63">
        <f>SUMIFS('6_FC_Lay_Daily'!AB:AB, '6_FC_Lay_Daily'!$E:$E, $A7)</f>
        <v/>
      </c>
      <c r="C7" s="63">
        <f>SUMIFS('6_FC_Lay_Daily'!AC:AC, '6_FC_Lay_Daily'!$E:$E, $A7)</f>
        <v/>
      </c>
      <c r="D7" s="63">
        <f>SUMIFS('6_FC_Lay_Daily'!AD:AD, '6_FC_Lay_Daily'!$E:$E, $A7)</f>
        <v/>
      </c>
      <c r="E7" s="63">
        <f>SUMIFS('6_FC_Lay_Daily'!AE:AE, '6_FC_Lay_Daily'!$E:$E, $A7)</f>
        <v/>
      </c>
      <c r="F7" s="63">
        <f>SUMIFS('6_FC_Lay_Daily'!AF:AF, '6_FC_Lay_Daily'!$E:$E, $A7)</f>
        <v/>
      </c>
      <c r="G7" s="63">
        <f>SUMIFS('6_FC_Lay_Daily'!AG:AG, '6_FC_Lay_Daily'!$E:$E, $A7)</f>
        <v/>
      </c>
      <c r="H7" s="63">
        <f>SUMIFS('6_FC_Lay_Daily'!AH:AH, '6_FC_Lay_Daily'!$E:$E, $A7)</f>
        <v/>
      </c>
      <c r="I7" s="63">
        <f>SUMIFS('6_FC_Lay_Daily'!AI:AI, '6_FC_Lay_Daily'!$E:$E, $A7)</f>
        <v/>
      </c>
      <c r="J7" s="63">
        <f>SUMIFS('6_FC_Lay_Daily'!AJ:AJ, '6_FC_Lay_Daily'!$E:$E, $A7)</f>
        <v/>
      </c>
      <c r="K7" s="63">
        <f>SUMIFS('6_FC_Lay_Daily'!AK:AK, '6_FC_Lay_Daily'!$E:$E, $A7)</f>
        <v/>
      </c>
      <c r="L7" s="64">
        <f>SUM(B7:K7)</f>
        <v/>
      </c>
      <c r="M7" s="64">
        <f>AVERAGE(B7:K7)</f>
        <v/>
      </c>
    </row>
    <row r="8">
      <c r="A8" s="62" t="inlineStr">
        <is>
          <t>Shopee-Bulky (10-15kg)</t>
        </is>
      </c>
      <c r="B8" s="63">
        <f>SUMIFS('6_FC_Lay_Daily'!AB:AB, '6_FC_Lay_Daily'!$E:$E, $A8)</f>
        <v/>
      </c>
      <c r="C8" s="63">
        <f>SUMIFS('6_FC_Lay_Daily'!AC:AC, '6_FC_Lay_Daily'!$E:$E, $A8)</f>
        <v/>
      </c>
      <c r="D8" s="63">
        <f>SUMIFS('6_FC_Lay_Daily'!AD:AD, '6_FC_Lay_Daily'!$E:$E, $A8)</f>
        <v/>
      </c>
      <c r="E8" s="63">
        <f>SUMIFS('6_FC_Lay_Daily'!AE:AE, '6_FC_Lay_Daily'!$E:$E, $A8)</f>
        <v/>
      </c>
      <c r="F8" s="63">
        <f>SUMIFS('6_FC_Lay_Daily'!AF:AF, '6_FC_Lay_Daily'!$E:$E, $A8)</f>
        <v/>
      </c>
      <c r="G8" s="63">
        <f>SUMIFS('6_FC_Lay_Daily'!AG:AG, '6_FC_Lay_Daily'!$E:$E, $A8)</f>
        <v/>
      </c>
      <c r="H8" s="63">
        <f>SUMIFS('6_FC_Lay_Daily'!AH:AH, '6_FC_Lay_Daily'!$E:$E, $A8)</f>
        <v/>
      </c>
      <c r="I8" s="63">
        <f>SUMIFS('6_FC_Lay_Daily'!AI:AI, '6_FC_Lay_Daily'!$E:$E, $A8)</f>
        <v/>
      </c>
      <c r="J8" s="63">
        <f>SUMIFS('6_FC_Lay_Daily'!AJ:AJ, '6_FC_Lay_Daily'!$E:$E, $A8)</f>
        <v/>
      </c>
      <c r="K8" s="63">
        <f>SUMIFS('6_FC_Lay_Daily'!AK:AK, '6_FC_Lay_Daily'!$E:$E, $A8)</f>
        <v/>
      </c>
      <c r="L8" s="64">
        <f>SUM(B8:K8)</f>
        <v/>
      </c>
      <c r="M8" s="64">
        <f>AVERAGE(B8:K8)</f>
        <v/>
      </c>
    </row>
    <row r="9">
      <c r="A9" s="62" t="inlineStr">
        <is>
          <t>SME</t>
        </is>
      </c>
      <c r="B9" s="63">
        <f>SUMIFS('6_FC_Lay_Daily'!AB:AB, '6_FC_Lay_Daily'!$E:$E, $A9)</f>
        <v/>
      </c>
      <c r="C9" s="63">
        <f>SUMIFS('6_FC_Lay_Daily'!AC:AC, '6_FC_Lay_Daily'!$E:$E, $A9)</f>
        <v/>
      </c>
      <c r="D9" s="63">
        <f>SUMIFS('6_FC_Lay_Daily'!AD:AD, '6_FC_Lay_Daily'!$E:$E, $A9)</f>
        <v/>
      </c>
      <c r="E9" s="63">
        <f>SUMIFS('6_FC_Lay_Daily'!AE:AE, '6_FC_Lay_Daily'!$E:$E, $A9)</f>
        <v/>
      </c>
      <c r="F9" s="63">
        <f>SUMIFS('6_FC_Lay_Daily'!AF:AF, '6_FC_Lay_Daily'!$E:$E, $A9)</f>
        <v/>
      </c>
      <c r="G9" s="63">
        <f>SUMIFS('6_FC_Lay_Daily'!AG:AG, '6_FC_Lay_Daily'!$E:$E, $A9)</f>
        <v/>
      </c>
      <c r="H9" s="63">
        <f>SUMIFS('6_FC_Lay_Daily'!AH:AH, '6_FC_Lay_Daily'!$E:$E, $A9)</f>
        <v/>
      </c>
      <c r="I9" s="63">
        <f>SUMIFS('6_FC_Lay_Daily'!AI:AI, '6_FC_Lay_Daily'!$E:$E, $A9)</f>
        <v/>
      </c>
      <c r="J9" s="63">
        <f>SUMIFS('6_FC_Lay_Daily'!AJ:AJ, '6_FC_Lay_Daily'!$E:$E, $A9)</f>
        <v/>
      </c>
      <c r="K9" s="63">
        <f>SUMIFS('6_FC_Lay_Daily'!AK:AK, '6_FC_Lay_Daily'!$E:$E, $A9)</f>
        <v/>
      </c>
      <c r="L9" s="64">
        <f>SUM(B9:K9)</f>
        <v/>
      </c>
      <c r="M9" s="64">
        <f>AVERAGE(B9:K9)</f>
        <v/>
      </c>
    </row>
    <row r="10">
      <c r="A10" s="62" t="inlineStr">
        <is>
          <t>SME-Bulky</t>
        </is>
      </c>
      <c r="B10" s="63">
        <f>SUMIFS('6_FC_Lay_Daily'!AB:AB, '6_FC_Lay_Daily'!$E:$E, $A10)</f>
        <v/>
      </c>
      <c r="C10" s="63">
        <f>SUMIFS('6_FC_Lay_Daily'!AC:AC, '6_FC_Lay_Daily'!$E:$E, $A10)</f>
        <v/>
      </c>
      <c r="D10" s="63">
        <f>SUMIFS('6_FC_Lay_Daily'!AD:AD, '6_FC_Lay_Daily'!$E:$E, $A10)</f>
        <v/>
      </c>
      <c r="E10" s="63">
        <f>SUMIFS('6_FC_Lay_Daily'!AE:AE, '6_FC_Lay_Daily'!$E:$E, $A10)</f>
        <v/>
      </c>
      <c r="F10" s="63">
        <f>SUMIFS('6_FC_Lay_Daily'!AF:AF, '6_FC_Lay_Daily'!$E:$E, $A10)</f>
        <v/>
      </c>
      <c r="G10" s="63">
        <f>SUMIFS('6_FC_Lay_Daily'!AG:AG, '6_FC_Lay_Daily'!$E:$E, $A10)</f>
        <v/>
      </c>
      <c r="H10" s="63">
        <f>SUMIFS('6_FC_Lay_Daily'!AH:AH, '6_FC_Lay_Daily'!$E:$E, $A10)</f>
        <v/>
      </c>
      <c r="I10" s="63">
        <f>SUMIFS('6_FC_Lay_Daily'!AI:AI, '6_FC_Lay_Daily'!$E:$E, $A10)</f>
        <v/>
      </c>
      <c r="J10" s="63">
        <f>SUMIFS('6_FC_Lay_Daily'!AJ:AJ, '6_FC_Lay_Daily'!$E:$E, $A10)</f>
        <v/>
      </c>
      <c r="K10" s="63">
        <f>SUMIFS('6_FC_Lay_Daily'!AK:AK, '6_FC_Lay_Daily'!$E:$E, $A10)</f>
        <v/>
      </c>
      <c r="L10" s="64">
        <f>SUM(B10:K10)</f>
        <v/>
      </c>
      <c r="M10" s="64">
        <f>AVERAGE(B10:K10)</f>
        <v/>
      </c>
    </row>
    <row r="11">
      <c r="A11" s="62" t="inlineStr">
        <is>
          <t>TTS</t>
        </is>
      </c>
      <c r="B11" s="63">
        <f>SUMIFS('6_FC_Lay_Daily'!AB:AB, '6_FC_Lay_Daily'!$E:$E, $A11)</f>
        <v/>
      </c>
      <c r="C11" s="63">
        <f>SUMIFS('6_FC_Lay_Daily'!AC:AC, '6_FC_Lay_Daily'!$E:$E, $A11)</f>
        <v/>
      </c>
      <c r="D11" s="63">
        <f>SUMIFS('6_FC_Lay_Daily'!AD:AD, '6_FC_Lay_Daily'!$E:$E, $A11)</f>
        <v/>
      </c>
      <c r="E11" s="63">
        <f>SUMIFS('6_FC_Lay_Daily'!AE:AE, '6_FC_Lay_Daily'!$E:$E, $A11)</f>
        <v/>
      </c>
      <c r="F11" s="63">
        <f>SUMIFS('6_FC_Lay_Daily'!AF:AF, '6_FC_Lay_Daily'!$E:$E, $A11)</f>
        <v/>
      </c>
      <c r="G11" s="63">
        <f>SUMIFS('6_FC_Lay_Daily'!AG:AG, '6_FC_Lay_Daily'!$E:$E, $A11)</f>
        <v/>
      </c>
      <c r="H11" s="63">
        <f>SUMIFS('6_FC_Lay_Daily'!AH:AH, '6_FC_Lay_Daily'!$E:$E, $A11)</f>
        <v/>
      </c>
      <c r="I11" s="63">
        <f>SUMIFS('6_FC_Lay_Daily'!AI:AI, '6_FC_Lay_Daily'!$E:$E, $A11)</f>
        <v/>
      </c>
      <c r="J11" s="63">
        <f>SUMIFS('6_FC_Lay_Daily'!AJ:AJ, '6_FC_Lay_Daily'!$E:$E, $A11)</f>
        <v/>
      </c>
      <c r="K11" s="63">
        <f>SUMIFS('6_FC_Lay_Daily'!AK:AK, '6_FC_Lay_Daily'!$E:$E, $A11)</f>
        <v/>
      </c>
      <c r="L11" s="64">
        <f>SUM(B11:K11)</f>
        <v/>
      </c>
      <c r="M11" s="64">
        <f>AVERAGE(B11:K11)</f>
        <v/>
      </c>
    </row>
    <row r="12">
      <c r="A12" s="62" t="inlineStr">
        <is>
          <t>TTS-Bulky</t>
        </is>
      </c>
      <c r="B12" s="63">
        <f>SUMIFS('6_FC_Lay_Daily'!AB:AB, '6_FC_Lay_Daily'!$E:$E, $A12)</f>
        <v/>
      </c>
      <c r="C12" s="63">
        <f>SUMIFS('6_FC_Lay_Daily'!AC:AC, '6_FC_Lay_Daily'!$E:$E, $A12)</f>
        <v/>
      </c>
      <c r="D12" s="63">
        <f>SUMIFS('6_FC_Lay_Daily'!AD:AD, '6_FC_Lay_Daily'!$E:$E, $A12)</f>
        <v/>
      </c>
      <c r="E12" s="63">
        <f>SUMIFS('6_FC_Lay_Daily'!AE:AE, '6_FC_Lay_Daily'!$E:$E, $A12)</f>
        <v/>
      </c>
      <c r="F12" s="63">
        <f>SUMIFS('6_FC_Lay_Daily'!AF:AF, '6_FC_Lay_Daily'!$E:$E, $A12)</f>
        <v/>
      </c>
      <c r="G12" s="63">
        <f>SUMIFS('6_FC_Lay_Daily'!AG:AG, '6_FC_Lay_Daily'!$E:$E, $A12)</f>
        <v/>
      </c>
      <c r="H12" s="63">
        <f>SUMIFS('6_FC_Lay_Daily'!AH:AH, '6_FC_Lay_Daily'!$E:$E, $A12)</f>
        <v/>
      </c>
      <c r="I12" s="63">
        <f>SUMIFS('6_FC_Lay_Daily'!AI:AI, '6_FC_Lay_Daily'!$E:$E, $A12)</f>
        <v/>
      </c>
      <c r="J12" s="63">
        <f>SUMIFS('6_FC_Lay_Daily'!AJ:AJ, '6_FC_Lay_Daily'!$E:$E, $A12)</f>
        <v/>
      </c>
      <c r="K12" s="63">
        <f>SUMIFS('6_FC_Lay_Daily'!AK:AK, '6_FC_Lay_Daily'!$E:$E, $A12)</f>
        <v/>
      </c>
      <c r="L12" s="64">
        <f>SUM(B12:K12)</f>
        <v/>
      </c>
      <c r="M12" s="64">
        <f>AVERAGE(B12:K12)</f>
        <v/>
      </c>
    </row>
    <row r="13">
      <c r="A13" s="65" t="inlineStr">
        <is>
          <t>Grand Total</t>
        </is>
      </c>
      <c r="B13" s="66">
        <f>SUM(B6:B12)</f>
        <v/>
      </c>
      <c r="C13" s="66">
        <f>SUM(C6:C12)</f>
        <v/>
      </c>
      <c r="D13" s="66">
        <f>SUM(D6:D12)</f>
        <v/>
      </c>
      <c r="E13" s="66">
        <f>SUM(E6:E12)</f>
        <v/>
      </c>
      <c r="F13" s="66">
        <f>SUM(F6:F12)</f>
        <v/>
      </c>
      <c r="G13" s="66">
        <f>SUM(G6:G12)</f>
        <v/>
      </c>
      <c r="H13" s="66">
        <f>SUM(H6:H12)</f>
        <v/>
      </c>
      <c r="I13" s="66">
        <f>SUM(I6:I12)</f>
        <v/>
      </c>
      <c r="J13" s="66">
        <f>SUM(J6:J12)</f>
        <v/>
      </c>
      <c r="K13" s="66">
        <f>SUM(K6:K12)</f>
        <v/>
      </c>
      <c r="L13" s="66">
        <f>SUM(L6:L12)</f>
        <v/>
      </c>
      <c r="M13" s="66">
        <f>SUM(M6:M12)</f>
        <v/>
      </c>
    </row>
    <row r="16">
      <c r="A16" s="60" t="inlineStr">
        <is>
          <t>2. VOLUME LẤY THEO TỈNH/QUẬN (Event 8.8)</t>
        </is>
      </c>
    </row>
    <row r="17">
      <c r="A17" s="61" t="inlineStr">
        <is>
          <t>Tỉnh / Quận</t>
        </is>
      </c>
      <c r="B17" s="61" t="inlineStr">
        <is>
          <t>06/08</t>
        </is>
      </c>
      <c r="C17" s="61" t="inlineStr">
        <is>
          <t>07/08</t>
        </is>
      </c>
      <c r="D17" s="61" t="inlineStr">
        <is>
          <t>08/08</t>
        </is>
      </c>
      <c r="E17" s="61" t="inlineStr">
        <is>
          <t>09/08</t>
        </is>
      </c>
      <c r="F17" s="61" t="inlineStr">
        <is>
          <t>10/08</t>
        </is>
      </c>
      <c r="G17" s="61" t="inlineStr">
        <is>
          <t>11/08</t>
        </is>
      </c>
      <c r="H17" s="61" t="inlineStr">
        <is>
          <t>12/08</t>
        </is>
      </c>
      <c r="I17" s="61" t="inlineStr">
        <is>
          <t>13/08</t>
        </is>
      </c>
      <c r="J17" s="61" t="inlineStr">
        <is>
          <t>14/08</t>
        </is>
      </c>
      <c r="K17" s="61" t="inlineStr">
        <is>
          <t>15/08</t>
        </is>
      </c>
      <c r="L17" s="61" t="inlineStr">
        <is>
          <t>Tổng 10 ngày</t>
        </is>
      </c>
      <c r="M17" s="61" t="inlineStr">
        <is>
          <t>Trung bình</t>
        </is>
      </c>
    </row>
    <row r="18">
      <c r="A18" s="62" t="inlineStr">
        <is>
          <t>Bình Thuận</t>
        </is>
      </c>
      <c r="B18" s="63">
        <f>SUMIFS('6_FC_Lay_Daily'!AB:AB, '6_FC_Lay_Daily'!$B:$B, $A18)</f>
        <v/>
      </c>
      <c r="C18" s="63">
        <f>SUMIFS('6_FC_Lay_Daily'!AC:AC, '6_FC_Lay_Daily'!$B:$B, $A18)</f>
        <v/>
      </c>
      <c r="D18" s="63">
        <f>SUMIFS('6_FC_Lay_Daily'!AD:AD, '6_FC_Lay_Daily'!$B:$B, $A18)</f>
        <v/>
      </c>
      <c r="E18" s="63">
        <f>SUMIFS('6_FC_Lay_Daily'!AE:AE, '6_FC_Lay_Daily'!$B:$B, $A18)</f>
        <v/>
      </c>
      <c r="F18" s="63">
        <f>SUMIFS('6_FC_Lay_Daily'!AF:AF, '6_FC_Lay_Daily'!$B:$B, $A18)</f>
        <v/>
      </c>
      <c r="G18" s="63">
        <f>SUMIFS('6_FC_Lay_Daily'!AG:AG, '6_FC_Lay_Daily'!$B:$B, $A18)</f>
        <v/>
      </c>
      <c r="H18" s="63">
        <f>SUMIFS('6_FC_Lay_Daily'!AH:AH, '6_FC_Lay_Daily'!$B:$B, $A18)</f>
        <v/>
      </c>
      <c r="I18" s="63">
        <f>SUMIFS('6_FC_Lay_Daily'!AI:AI, '6_FC_Lay_Daily'!$B:$B, $A18)</f>
        <v/>
      </c>
      <c r="J18" s="63">
        <f>SUMIFS('6_FC_Lay_Daily'!AJ:AJ, '6_FC_Lay_Daily'!$B:$B, $A18)</f>
        <v/>
      </c>
      <c r="K18" s="63">
        <f>SUMIFS('6_FC_Lay_Daily'!AK:AK, '6_FC_Lay_Daily'!$B:$B, $A18)</f>
        <v/>
      </c>
      <c r="L18" s="64">
        <f>SUM(B18:K18)</f>
        <v/>
      </c>
      <c r="M18" s="64">
        <f>AVERAGE(B18:K18)</f>
        <v/>
      </c>
    </row>
    <row r="19">
      <c r="A19" s="62" t="inlineStr">
        <is>
          <t>Khánh Hòa</t>
        </is>
      </c>
      <c r="B19" s="63">
        <f>SUMIFS('6_FC_Lay_Daily'!AB:AB, '6_FC_Lay_Daily'!$B:$B, $A19)</f>
        <v/>
      </c>
      <c r="C19" s="63">
        <f>SUMIFS('6_FC_Lay_Daily'!AC:AC, '6_FC_Lay_Daily'!$B:$B, $A19)</f>
        <v/>
      </c>
      <c r="D19" s="63">
        <f>SUMIFS('6_FC_Lay_Daily'!AD:AD, '6_FC_Lay_Daily'!$B:$B, $A19)</f>
        <v/>
      </c>
      <c r="E19" s="63">
        <f>SUMIFS('6_FC_Lay_Daily'!AE:AE, '6_FC_Lay_Daily'!$B:$B, $A19)</f>
        <v/>
      </c>
      <c r="F19" s="63">
        <f>SUMIFS('6_FC_Lay_Daily'!AF:AF, '6_FC_Lay_Daily'!$B:$B, $A19)</f>
        <v/>
      </c>
      <c r="G19" s="63">
        <f>SUMIFS('6_FC_Lay_Daily'!AG:AG, '6_FC_Lay_Daily'!$B:$B, $A19)</f>
        <v/>
      </c>
      <c r="H19" s="63">
        <f>SUMIFS('6_FC_Lay_Daily'!AH:AH, '6_FC_Lay_Daily'!$B:$B, $A19)</f>
        <v/>
      </c>
      <c r="I19" s="63">
        <f>SUMIFS('6_FC_Lay_Daily'!AI:AI, '6_FC_Lay_Daily'!$B:$B, $A19)</f>
        <v/>
      </c>
      <c r="J19" s="63">
        <f>SUMIFS('6_FC_Lay_Daily'!AJ:AJ, '6_FC_Lay_Daily'!$B:$B, $A19)</f>
        <v/>
      </c>
      <c r="K19" s="63">
        <f>SUMIFS('6_FC_Lay_Daily'!AK:AK, '6_FC_Lay_Daily'!$B:$B, $A19)</f>
        <v/>
      </c>
      <c r="L19" s="64">
        <f>SUM(B19:K19)</f>
        <v/>
      </c>
      <c r="M19" s="64">
        <f>AVERAGE(B19:K19)</f>
        <v/>
      </c>
    </row>
    <row r="20">
      <c r="A20" s="62" t="inlineStr">
        <is>
          <t>Lâm Đồng</t>
        </is>
      </c>
      <c r="B20" s="63">
        <f>SUMIFS('6_FC_Lay_Daily'!AB:AB, '6_FC_Lay_Daily'!$B:$B, $A20)</f>
        <v/>
      </c>
      <c r="C20" s="63">
        <f>SUMIFS('6_FC_Lay_Daily'!AC:AC, '6_FC_Lay_Daily'!$B:$B, $A20)</f>
        <v/>
      </c>
      <c r="D20" s="63">
        <f>SUMIFS('6_FC_Lay_Daily'!AD:AD, '6_FC_Lay_Daily'!$B:$B, $A20)</f>
        <v/>
      </c>
      <c r="E20" s="63">
        <f>SUMIFS('6_FC_Lay_Daily'!AE:AE, '6_FC_Lay_Daily'!$B:$B, $A20)</f>
        <v/>
      </c>
      <c r="F20" s="63">
        <f>SUMIFS('6_FC_Lay_Daily'!AF:AF, '6_FC_Lay_Daily'!$B:$B, $A20)</f>
        <v/>
      </c>
      <c r="G20" s="63">
        <f>SUMIFS('6_FC_Lay_Daily'!AG:AG, '6_FC_Lay_Daily'!$B:$B, $A20)</f>
        <v/>
      </c>
      <c r="H20" s="63">
        <f>SUMIFS('6_FC_Lay_Daily'!AH:AH, '6_FC_Lay_Daily'!$B:$B, $A20)</f>
        <v/>
      </c>
      <c r="I20" s="63">
        <f>SUMIFS('6_FC_Lay_Daily'!AI:AI, '6_FC_Lay_Daily'!$B:$B, $A20)</f>
        <v/>
      </c>
      <c r="J20" s="63">
        <f>SUMIFS('6_FC_Lay_Daily'!AJ:AJ, '6_FC_Lay_Daily'!$B:$B, $A20)</f>
        <v/>
      </c>
      <c r="K20" s="63">
        <f>SUMIFS('6_FC_Lay_Daily'!AK:AK, '6_FC_Lay_Daily'!$B:$B, $A20)</f>
        <v/>
      </c>
      <c r="L20" s="64">
        <f>SUM(B20:K20)</f>
        <v/>
      </c>
      <c r="M20" s="64">
        <f>AVERAGE(B20:K20)</f>
        <v/>
      </c>
    </row>
    <row r="21">
      <c r="A21" s="62" t="inlineStr">
        <is>
          <t>Ninh Thuận</t>
        </is>
      </c>
      <c r="B21" s="63">
        <f>SUMIFS('6_FC_Lay_Daily'!AB:AB, '6_FC_Lay_Daily'!$B:$B, $A21)</f>
        <v/>
      </c>
      <c r="C21" s="63">
        <f>SUMIFS('6_FC_Lay_Daily'!AC:AC, '6_FC_Lay_Daily'!$B:$B, $A21)</f>
        <v/>
      </c>
      <c r="D21" s="63">
        <f>SUMIFS('6_FC_Lay_Daily'!AD:AD, '6_FC_Lay_Daily'!$B:$B, $A21)</f>
        <v/>
      </c>
      <c r="E21" s="63">
        <f>SUMIFS('6_FC_Lay_Daily'!AE:AE, '6_FC_Lay_Daily'!$B:$B, $A21)</f>
        <v/>
      </c>
      <c r="F21" s="63">
        <f>SUMIFS('6_FC_Lay_Daily'!AF:AF, '6_FC_Lay_Daily'!$B:$B, $A21)</f>
        <v/>
      </c>
      <c r="G21" s="63">
        <f>SUMIFS('6_FC_Lay_Daily'!AG:AG, '6_FC_Lay_Daily'!$B:$B, $A21)</f>
        <v/>
      </c>
      <c r="H21" s="63">
        <f>SUMIFS('6_FC_Lay_Daily'!AH:AH, '6_FC_Lay_Daily'!$B:$B, $A21)</f>
        <v/>
      </c>
      <c r="I21" s="63">
        <f>SUMIFS('6_FC_Lay_Daily'!AI:AI, '6_FC_Lay_Daily'!$B:$B, $A21)</f>
        <v/>
      </c>
      <c r="J21" s="63">
        <f>SUMIFS('6_FC_Lay_Daily'!AJ:AJ, '6_FC_Lay_Daily'!$B:$B, $A21)</f>
        <v/>
      </c>
      <c r="K21" s="63">
        <f>SUMIFS('6_FC_Lay_Daily'!AK:AK, '6_FC_Lay_Daily'!$B:$B, $A21)</f>
        <v/>
      </c>
      <c r="L21" s="64">
        <f>SUM(B21:K21)</f>
        <v/>
      </c>
      <c r="M21" s="64">
        <f>AVERAGE(B21:K21)</f>
        <v/>
      </c>
    </row>
    <row r="22">
      <c r="A22" s="62" t="inlineStr">
        <is>
          <t>Đắk Nông</t>
        </is>
      </c>
      <c r="B22" s="63">
        <f>SUMIFS('6_FC_Lay_Daily'!AB:AB, '6_FC_Lay_Daily'!$B:$B, $A22)</f>
        <v/>
      </c>
      <c r="C22" s="63">
        <f>SUMIFS('6_FC_Lay_Daily'!AC:AC, '6_FC_Lay_Daily'!$B:$B, $A22)</f>
        <v/>
      </c>
      <c r="D22" s="63">
        <f>SUMIFS('6_FC_Lay_Daily'!AD:AD, '6_FC_Lay_Daily'!$B:$B, $A22)</f>
        <v/>
      </c>
      <c r="E22" s="63">
        <f>SUMIFS('6_FC_Lay_Daily'!AE:AE, '6_FC_Lay_Daily'!$B:$B, $A22)</f>
        <v/>
      </c>
      <c r="F22" s="63">
        <f>SUMIFS('6_FC_Lay_Daily'!AF:AF, '6_FC_Lay_Daily'!$B:$B, $A22)</f>
        <v/>
      </c>
      <c r="G22" s="63">
        <f>SUMIFS('6_FC_Lay_Daily'!AG:AG, '6_FC_Lay_Daily'!$B:$B, $A22)</f>
        <v/>
      </c>
      <c r="H22" s="63">
        <f>SUMIFS('6_FC_Lay_Daily'!AH:AH, '6_FC_Lay_Daily'!$B:$B, $A22)</f>
        <v/>
      </c>
      <c r="I22" s="63">
        <f>SUMIFS('6_FC_Lay_Daily'!AI:AI, '6_FC_Lay_Daily'!$B:$B, $A22)</f>
        <v/>
      </c>
      <c r="J22" s="63">
        <f>SUMIFS('6_FC_Lay_Daily'!AJ:AJ, '6_FC_Lay_Daily'!$B:$B, $A22)</f>
        <v/>
      </c>
      <c r="K22" s="63">
        <f>SUMIFS('6_FC_Lay_Daily'!AK:AK, '6_FC_Lay_Daily'!$B:$B, $A22)</f>
        <v/>
      </c>
      <c r="L22" s="64">
        <f>SUM(B22:K22)</f>
        <v/>
      </c>
      <c r="M22" s="64">
        <f>AVERAGE(B22:K22)</f>
        <v/>
      </c>
    </row>
    <row r="23">
      <c r="A23" s="65" t="inlineStr">
        <is>
          <t>Grand Total</t>
        </is>
      </c>
      <c r="B23" s="66">
        <f>SUM(B18:B22)</f>
        <v/>
      </c>
      <c r="C23" s="66">
        <f>SUM(C18:C22)</f>
        <v/>
      </c>
      <c r="D23" s="66">
        <f>SUM(D18:D22)</f>
        <v/>
      </c>
      <c r="E23" s="66">
        <f>SUM(E18:E22)</f>
        <v/>
      </c>
      <c r="F23" s="66">
        <f>SUM(F18:F22)</f>
        <v/>
      </c>
      <c r="G23" s="66">
        <f>SUM(G18:G22)</f>
        <v/>
      </c>
      <c r="H23" s="66">
        <f>SUM(H18:H22)</f>
        <v/>
      </c>
      <c r="I23" s="66">
        <f>SUM(I18:I22)</f>
        <v/>
      </c>
      <c r="J23" s="66">
        <f>SUM(J18:J22)</f>
        <v/>
      </c>
      <c r="K23" s="66">
        <f>SUM(K18:K22)</f>
        <v/>
      </c>
      <c r="L23" s="66">
        <f>SUM(L18:L22)</f>
        <v/>
      </c>
      <c r="M23" s="66">
        <f>SUM(M18:M22)</f>
        <v/>
      </c>
    </row>
    <row r="26">
      <c r="A26" s="60" t="inlineStr">
        <is>
          <t>3. VOLUME GIAO THEO SÀN (Event 8.8)</t>
        </is>
      </c>
    </row>
    <row r="27">
      <c r="A27" s="61" t="inlineStr">
        <is>
          <t>Sàn / Kênh</t>
        </is>
      </c>
      <c r="B27" s="61" t="inlineStr">
        <is>
          <t>06/08</t>
        </is>
      </c>
      <c r="C27" s="61" t="inlineStr">
        <is>
          <t>07/08</t>
        </is>
      </c>
      <c r="D27" s="61" t="inlineStr">
        <is>
          <t>08/08</t>
        </is>
      </c>
      <c r="E27" s="61" t="inlineStr">
        <is>
          <t>09/08</t>
        </is>
      </c>
      <c r="F27" s="61" t="inlineStr">
        <is>
          <t>10/08</t>
        </is>
      </c>
      <c r="G27" s="61" t="inlineStr">
        <is>
          <t>11/08</t>
        </is>
      </c>
      <c r="H27" s="61" t="inlineStr">
        <is>
          <t>12/08</t>
        </is>
      </c>
      <c r="I27" s="61" t="inlineStr">
        <is>
          <t>13/08</t>
        </is>
      </c>
      <c r="J27" s="61" t="inlineStr">
        <is>
          <t>14/08</t>
        </is>
      </c>
      <c r="K27" s="61" t="inlineStr">
        <is>
          <t>15/08</t>
        </is>
      </c>
      <c r="L27" s="61" t="inlineStr">
        <is>
          <t>Tổng 10 ngày</t>
        </is>
      </c>
      <c r="M27" s="61" t="inlineStr">
        <is>
          <t>Trung bình</t>
        </is>
      </c>
    </row>
    <row r="28">
      <c r="A28" s="62" t="inlineStr">
        <is>
          <t>Shopee</t>
        </is>
      </c>
      <c r="B28" s="63">
        <f>SUMIFS('7_FC_Giao_Daily'!AB:AB, '7_FC_Giao_Daily'!$E:$E, $A28)</f>
        <v/>
      </c>
      <c r="C28" s="63">
        <f>SUMIFS('7_FC_Giao_Daily'!AC:AC, '7_FC_Giao_Daily'!$E:$E, $A28)</f>
        <v/>
      </c>
      <c r="D28" s="63">
        <f>SUMIFS('7_FC_Giao_Daily'!AD:AD, '7_FC_Giao_Daily'!$E:$E, $A28)</f>
        <v/>
      </c>
      <c r="E28" s="63">
        <f>SUMIFS('7_FC_Giao_Daily'!AE:AE, '7_FC_Giao_Daily'!$E:$E, $A28)</f>
        <v/>
      </c>
      <c r="F28" s="63">
        <f>SUMIFS('7_FC_Giao_Daily'!AF:AF, '7_FC_Giao_Daily'!$E:$E, $A28)</f>
        <v/>
      </c>
      <c r="G28" s="63">
        <f>SUMIFS('7_FC_Giao_Daily'!AG:AG, '7_FC_Giao_Daily'!$E:$E, $A28)</f>
        <v/>
      </c>
      <c r="H28" s="63">
        <f>SUMIFS('7_FC_Giao_Daily'!AH:AH, '7_FC_Giao_Daily'!$E:$E, $A28)</f>
        <v/>
      </c>
      <c r="I28" s="63">
        <f>SUMIFS('7_FC_Giao_Daily'!AI:AI, '7_FC_Giao_Daily'!$E:$E, $A28)</f>
        <v/>
      </c>
      <c r="J28" s="63">
        <f>SUMIFS('7_FC_Giao_Daily'!AJ:AJ, '7_FC_Giao_Daily'!$E:$E, $A28)</f>
        <v/>
      </c>
      <c r="K28" s="63">
        <f>SUMIFS('7_FC_Giao_Daily'!AK:AK, '7_FC_Giao_Daily'!$E:$E, $A28)</f>
        <v/>
      </c>
      <c r="L28" s="64">
        <f>SUM(B28:K28)</f>
        <v/>
      </c>
      <c r="M28" s="64">
        <f>AVERAGE(B28:K28)</f>
        <v/>
      </c>
    </row>
    <row r="29">
      <c r="A29" s="62" t="inlineStr">
        <is>
          <t>Shopee-Bulky</t>
        </is>
      </c>
      <c r="B29" s="63">
        <f>SUMIFS('7_FC_Giao_Daily'!AB:AB, '7_FC_Giao_Daily'!$E:$E, $A29)</f>
        <v/>
      </c>
      <c r="C29" s="63">
        <f>SUMIFS('7_FC_Giao_Daily'!AC:AC, '7_FC_Giao_Daily'!$E:$E, $A29)</f>
        <v/>
      </c>
      <c r="D29" s="63">
        <f>SUMIFS('7_FC_Giao_Daily'!AD:AD, '7_FC_Giao_Daily'!$E:$E, $A29)</f>
        <v/>
      </c>
      <c r="E29" s="63">
        <f>SUMIFS('7_FC_Giao_Daily'!AE:AE, '7_FC_Giao_Daily'!$E:$E, $A29)</f>
        <v/>
      </c>
      <c r="F29" s="63">
        <f>SUMIFS('7_FC_Giao_Daily'!AF:AF, '7_FC_Giao_Daily'!$E:$E, $A29)</f>
        <v/>
      </c>
      <c r="G29" s="63">
        <f>SUMIFS('7_FC_Giao_Daily'!AG:AG, '7_FC_Giao_Daily'!$E:$E, $A29)</f>
        <v/>
      </c>
      <c r="H29" s="63">
        <f>SUMIFS('7_FC_Giao_Daily'!AH:AH, '7_FC_Giao_Daily'!$E:$E, $A29)</f>
        <v/>
      </c>
      <c r="I29" s="63">
        <f>SUMIFS('7_FC_Giao_Daily'!AI:AI, '7_FC_Giao_Daily'!$E:$E, $A29)</f>
        <v/>
      </c>
      <c r="J29" s="63">
        <f>SUMIFS('7_FC_Giao_Daily'!AJ:AJ, '7_FC_Giao_Daily'!$E:$E, $A29)</f>
        <v/>
      </c>
      <c r="K29" s="63">
        <f>SUMIFS('7_FC_Giao_Daily'!AK:AK, '7_FC_Giao_Daily'!$E:$E, $A29)</f>
        <v/>
      </c>
      <c r="L29" s="64">
        <f>SUM(B29:K29)</f>
        <v/>
      </c>
      <c r="M29" s="64">
        <f>AVERAGE(B29:K29)</f>
        <v/>
      </c>
    </row>
    <row r="30">
      <c r="A30" s="62" t="inlineStr">
        <is>
          <t>Shopee-Bulky (10-15kg)</t>
        </is>
      </c>
      <c r="B30" s="63">
        <f>SUMIFS('7_FC_Giao_Daily'!AB:AB, '7_FC_Giao_Daily'!$E:$E, $A30)</f>
        <v/>
      </c>
      <c r="C30" s="63">
        <f>SUMIFS('7_FC_Giao_Daily'!AC:AC, '7_FC_Giao_Daily'!$E:$E, $A30)</f>
        <v/>
      </c>
      <c r="D30" s="63">
        <f>SUMIFS('7_FC_Giao_Daily'!AD:AD, '7_FC_Giao_Daily'!$E:$E, $A30)</f>
        <v/>
      </c>
      <c r="E30" s="63">
        <f>SUMIFS('7_FC_Giao_Daily'!AE:AE, '7_FC_Giao_Daily'!$E:$E, $A30)</f>
        <v/>
      </c>
      <c r="F30" s="63">
        <f>SUMIFS('7_FC_Giao_Daily'!AF:AF, '7_FC_Giao_Daily'!$E:$E, $A30)</f>
        <v/>
      </c>
      <c r="G30" s="63">
        <f>SUMIFS('7_FC_Giao_Daily'!AG:AG, '7_FC_Giao_Daily'!$E:$E, $A30)</f>
        <v/>
      </c>
      <c r="H30" s="63">
        <f>SUMIFS('7_FC_Giao_Daily'!AH:AH, '7_FC_Giao_Daily'!$E:$E, $A30)</f>
        <v/>
      </c>
      <c r="I30" s="63">
        <f>SUMIFS('7_FC_Giao_Daily'!AI:AI, '7_FC_Giao_Daily'!$E:$E, $A30)</f>
        <v/>
      </c>
      <c r="J30" s="63">
        <f>SUMIFS('7_FC_Giao_Daily'!AJ:AJ, '7_FC_Giao_Daily'!$E:$E, $A30)</f>
        <v/>
      </c>
      <c r="K30" s="63">
        <f>SUMIFS('7_FC_Giao_Daily'!AK:AK, '7_FC_Giao_Daily'!$E:$E, $A30)</f>
        <v/>
      </c>
      <c r="L30" s="64">
        <f>SUM(B30:K30)</f>
        <v/>
      </c>
      <c r="M30" s="64">
        <f>AVERAGE(B30:K30)</f>
        <v/>
      </c>
    </row>
    <row r="31">
      <c r="A31" s="62" t="inlineStr">
        <is>
          <t>SME</t>
        </is>
      </c>
      <c r="B31" s="63">
        <f>SUMIFS('7_FC_Giao_Daily'!AB:AB, '7_FC_Giao_Daily'!$E:$E, $A31)</f>
        <v/>
      </c>
      <c r="C31" s="63">
        <f>SUMIFS('7_FC_Giao_Daily'!AC:AC, '7_FC_Giao_Daily'!$E:$E, $A31)</f>
        <v/>
      </c>
      <c r="D31" s="63">
        <f>SUMIFS('7_FC_Giao_Daily'!AD:AD, '7_FC_Giao_Daily'!$E:$E, $A31)</f>
        <v/>
      </c>
      <c r="E31" s="63">
        <f>SUMIFS('7_FC_Giao_Daily'!AE:AE, '7_FC_Giao_Daily'!$E:$E, $A31)</f>
        <v/>
      </c>
      <c r="F31" s="63">
        <f>SUMIFS('7_FC_Giao_Daily'!AF:AF, '7_FC_Giao_Daily'!$E:$E, $A31)</f>
        <v/>
      </c>
      <c r="G31" s="63">
        <f>SUMIFS('7_FC_Giao_Daily'!AG:AG, '7_FC_Giao_Daily'!$E:$E, $A31)</f>
        <v/>
      </c>
      <c r="H31" s="63">
        <f>SUMIFS('7_FC_Giao_Daily'!AH:AH, '7_FC_Giao_Daily'!$E:$E, $A31)</f>
        <v/>
      </c>
      <c r="I31" s="63">
        <f>SUMIFS('7_FC_Giao_Daily'!AI:AI, '7_FC_Giao_Daily'!$E:$E, $A31)</f>
        <v/>
      </c>
      <c r="J31" s="63">
        <f>SUMIFS('7_FC_Giao_Daily'!AJ:AJ, '7_FC_Giao_Daily'!$E:$E, $A31)</f>
        <v/>
      </c>
      <c r="K31" s="63">
        <f>SUMIFS('7_FC_Giao_Daily'!AK:AK, '7_FC_Giao_Daily'!$E:$E, $A31)</f>
        <v/>
      </c>
      <c r="L31" s="64">
        <f>SUM(B31:K31)</f>
        <v/>
      </c>
      <c r="M31" s="64">
        <f>AVERAGE(B31:K31)</f>
        <v/>
      </c>
    </row>
    <row r="32">
      <c r="A32" s="62" t="inlineStr">
        <is>
          <t>SME-Bulky</t>
        </is>
      </c>
      <c r="B32" s="63">
        <f>SUMIFS('7_FC_Giao_Daily'!AB:AB, '7_FC_Giao_Daily'!$E:$E, $A32)</f>
        <v/>
      </c>
      <c r="C32" s="63">
        <f>SUMIFS('7_FC_Giao_Daily'!AC:AC, '7_FC_Giao_Daily'!$E:$E, $A32)</f>
        <v/>
      </c>
      <c r="D32" s="63">
        <f>SUMIFS('7_FC_Giao_Daily'!AD:AD, '7_FC_Giao_Daily'!$E:$E, $A32)</f>
        <v/>
      </c>
      <c r="E32" s="63">
        <f>SUMIFS('7_FC_Giao_Daily'!AE:AE, '7_FC_Giao_Daily'!$E:$E, $A32)</f>
        <v/>
      </c>
      <c r="F32" s="63">
        <f>SUMIFS('7_FC_Giao_Daily'!AF:AF, '7_FC_Giao_Daily'!$E:$E, $A32)</f>
        <v/>
      </c>
      <c r="G32" s="63">
        <f>SUMIFS('7_FC_Giao_Daily'!AG:AG, '7_FC_Giao_Daily'!$E:$E, $A32)</f>
        <v/>
      </c>
      <c r="H32" s="63">
        <f>SUMIFS('7_FC_Giao_Daily'!AH:AH, '7_FC_Giao_Daily'!$E:$E, $A32)</f>
        <v/>
      </c>
      <c r="I32" s="63">
        <f>SUMIFS('7_FC_Giao_Daily'!AI:AI, '7_FC_Giao_Daily'!$E:$E, $A32)</f>
        <v/>
      </c>
      <c r="J32" s="63">
        <f>SUMIFS('7_FC_Giao_Daily'!AJ:AJ, '7_FC_Giao_Daily'!$E:$E, $A32)</f>
        <v/>
      </c>
      <c r="K32" s="63">
        <f>SUMIFS('7_FC_Giao_Daily'!AK:AK, '7_FC_Giao_Daily'!$E:$E, $A32)</f>
        <v/>
      </c>
      <c r="L32" s="64">
        <f>SUM(B32:K32)</f>
        <v/>
      </c>
      <c r="M32" s="64">
        <f>AVERAGE(B32:K32)</f>
        <v/>
      </c>
    </row>
    <row r="33">
      <c r="A33" s="62" t="inlineStr">
        <is>
          <t>TTS</t>
        </is>
      </c>
      <c r="B33" s="63">
        <f>SUMIFS('7_FC_Giao_Daily'!AB:AB, '7_FC_Giao_Daily'!$E:$E, $A33)</f>
        <v/>
      </c>
      <c r="C33" s="63">
        <f>SUMIFS('7_FC_Giao_Daily'!AC:AC, '7_FC_Giao_Daily'!$E:$E, $A33)</f>
        <v/>
      </c>
      <c r="D33" s="63">
        <f>SUMIFS('7_FC_Giao_Daily'!AD:AD, '7_FC_Giao_Daily'!$E:$E, $A33)</f>
        <v/>
      </c>
      <c r="E33" s="63">
        <f>SUMIFS('7_FC_Giao_Daily'!AE:AE, '7_FC_Giao_Daily'!$E:$E, $A33)</f>
        <v/>
      </c>
      <c r="F33" s="63">
        <f>SUMIFS('7_FC_Giao_Daily'!AF:AF, '7_FC_Giao_Daily'!$E:$E, $A33)</f>
        <v/>
      </c>
      <c r="G33" s="63">
        <f>SUMIFS('7_FC_Giao_Daily'!AG:AG, '7_FC_Giao_Daily'!$E:$E, $A33)</f>
        <v/>
      </c>
      <c r="H33" s="63">
        <f>SUMIFS('7_FC_Giao_Daily'!AH:AH, '7_FC_Giao_Daily'!$E:$E, $A33)</f>
        <v/>
      </c>
      <c r="I33" s="63">
        <f>SUMIFS('7_FC_Giao_Daily'!AI:AI, '7_FC_Giao_Daily'!$E:$E, $A33)</f>
        <v/>
      </c>
      <c r="J33" s="63">
        <f>SUMIFS('7_FC_Giao_Daily'!AJ:AJ, '7_FC_Giao_Daily'!$E:$E, $A33)</f>
        <v/>
      </c>
      <c r="K33" s="63">
        <f>SUMIFS('7_FC_Giao_Daily'!AK:AK, '7_FC_Giao_Daily'!$E:$E, $A33)</f>
        <v/>
      </c>
      <c r="L33" s="64">
        <f>SUM(B33:K33)</f>
        <v/>
      </c>
      <c r="M33" s="64">
        <f>AVERAGE(B33:K33)</f>
        <v/>
      </c>
    </row>
    <row r="34">
      <c r="A34" s="62" t="inlineStr">
        <is>
          <t>TTS-Bulky</t>
        </is>
      </c>
      <c r="B34" s="63">
        <f>SUMIFS('7_FC_Giao_Daily'!AB:AB, '7_FC_Giao_Daily'!$E:$E, $A34)</f>
        <v/>
      </c>
      <c r="C34" s="63">
        <f>SUMIFS('7_FC_Giao_Daily'!AC:AC, '7_FC_Giao_Daily'!$E:$E, $A34)</f>
        <v/>
      </c>
      <c r="D34" s="63">
        <f>SUMIFS('7_FC_Giao_Daily'!AD:AD, '7_FC_Giao_Daily'!$E:$E, $A34)</f>
        <v/>
      </c>
      <c r="E34" s="63">
        <f>SUMIFS('7_FC_Giao_Daily'!AE:AE, '7_FC_Giao_Daily'!$E:$E, $A34)</f>
        <v/>
      </c>
      <c r="F34" s="63">
        <f>SUMIFS('7_FC_Giao_Daily'!AF:AF, '7_FC_Giao_Daily'!$E:$E, $A34)</f>
        <v/>
      </c>
      <c r="G34" s="63">
        <f>SUMIFS('7_FC_Giao_Daily'!AG:AG, '7_FC_Giao_Daily'!$E:$E, $A34)</f>
        <v/>
      </c>
      <c r="H34" s="63">
        <f>SUMIFS('7_FC_Giao_Daily'!AH:AH, '7_FC_Giao_Daily'!$E:$E, $A34)</f>
        <v/>
      </c>
      <c r="I34" s="63">
        <f>SUMIFS('7_FC_Giao_Daily'!AI:AI, '7_FC_Giao_Daily'!$E:$E, $A34)</f>
        <v/>
      </c>
      <c r="J34" s="63">
        <f>SUMIFS('7_FC_Giao_Daily'!AJ:AJ, '7_FC_Giao_Daily'!$E:$E, $A34)</f>
        <v/>
      </c>
      <c r="K34" s="63">
        <f>SUMIFS('7_FC_Giao_Daily'!AK:AK, '7_FC_Giao_Daily'!$E:$E, $A34)</f>
        <v/>
      </c>
      <c r="L34" s="64">
        <f>SUM(B34:K34)</f>
        <v/>
      </c>
      <c r="M34" s="64">
        <f>AVERAGE(B34:K34)</f>
        <v/>
      </c>
    </row>
    <row r="35">
      <c r="A35" s="65" t="inlineStr">
        <is>
          <t>Grand Total</t>
        </is>
      </c>
      <c r="B35" s="66">
        <f>SUM(B28:B34)</f>
        <v/>
      </c>
      <c r="C35" s="66">
        <f>SUM(C28:C34)</f>
        <v/>
      </c>
      <c r="D35" s="66">
        <f>SUM(D28:D34)</f>
        <v/>
      </c>
      <c r="E35" s="66">
        <f>SUM(E28:E34)</f>
        <v/>
      </c>
      <c r="F35" s="66">
        <f>SUM(F28:F34)</f>
        <v/>
      </c>
      <c r="G35" s="66">
        <f>SUM(G28:G34)</f>
        <v/>
      </c>
      <c r="H35" s="66">
        <f>SUM(H28:H34)</f>
        <v/>
      </c>
      <c r="I35" s="66">
        <f>SUM(I28:I34)</f>
        <v/>
      </c>
      <c r="J35" s="66">
        <f>SUM(J28:J34)</f>
        <v/>
      </c>
      <c r="K35" s="66">
        <f>SUM(K28:K34)</f>
        <v/>
      </c>
      <c r="L35" s="66">
        <f>SUM(L28:L34)</f>
        <v/>
      </c>
      <c r="M35" s="66">
        <f>SUM(M28:M34)</f>
        <v/>
      </c>
    </row>
    <row r="38">
      <c r="A38" s="60" t="inlineStr">
        <is>
          <t>4. VOLUME GIAO THEO TỈNH/QUẬN (Event 8.8)</t>
        </is>
      </c>
    </row>
    <row r="39">
      <c r="A39" s="61" t="inlineStr">
        <is>
          <t>Tỉnh / Quận</t>
        </is>
      </c>
      <c r="B39" s="61" t="inlineStr">
        <is>
          <t>06/08</t>
        </is>
      </c>
      <c r="C39" s="61" t="inlineStr">
        <is>
          <t>07/08</t>
        </is>
      </c>
      <c r="D39" s="61" t="inlineStr">
        <is>
          <t>08/08</t>
        </is>
      </c>
      <c r="E39" s="61" t="inlineStr">
        <is>
          <t>09/08</t>
        </is>
      </c>
      <c r="F39" s="61" t="inlineStr">
        <is>
          <t>10/08</t>
        </is>
      </c>
      <c r="G39" s="61" t="inlineStr">
        <is>
          <t>11/08</t>
        </is>
      </c>
      <c r="H39" s="61" t="inlineStr">
        <is>
          <t>12/08</t>
        </is>
      </c>
      <c r="I39" s="61" t="inlineStr">
        <is>
          <t>13/08</t>
        </is>
      </c>
      <c r="J39" s="61" t="inlineStr">
        <is>
          <t>14/08</t>
        </is>
      </c>
      <c r="K39" s="61" t="inlineStr">
        <is>
          <t>15/08</t>
        </is>
      </c>
      <c r="L39" s="61" t="inlineStr">
        <is>
          <t>Tổng 10 ngày</t>
        </is>
      </c>
      <c r="M39" s="61" t="inlineStr">
        <is>
          <t>Trung bình</t>
        </is>
      </c>
    </row>
    <row r="40">
      <c r="A40" s="62" t="inlineStr">
        <is>
          <t>Bình Thuận</t>
        </is>
      </c>
      <c r="B40" s="63">
        <f>SUMIFS('7_FC_Giao_Daily'!AB:AB, '7_FC_Giao_Daily'!$B:$B, $A40)</f>
        <v/>
      </c>
      <c r="C40" s="63">
        <f>SUMIFS('7_FC_Giao_Daily'!AC:AC, '7_FC_Giao_Daily'!$B:$B, $A40)</f>
        <v/>
      </c>
      <c r="D40" s="63">
        <f>SUMIFS('7_FC_Giao_Daily'!AD:AD, '7_FC_Giao_Daily'!$B:$B, $A40)</f>
        <v/>
      </c>
      <c r="E40" s="63">
        <f>SUMIFS('7_FC_Giao_Daily'!AE:AE, '7_FC_Giao_Daily'!$B:$B, $A40)</f>
        <v/>
      </c>
      <c r="F40" s="63">
        <f>SUMIFS('7_FC_Giao_Daily'!AF:AF, '7_FC_Giao_Daily'!$B:$B, $A40)</f>
        <v/>
      </c>
      <c r="G40" s="63">
        <f>SUMIFS('7_FC_Giao_Daily'!AG:AG, '7_FC_Giao_Daily'!$B:$B, $A40)</f>
        <v/>
      </c>
      <c r="H40" s="63">
        <f>SUMIFS('7_FC_Giao_Daily'!AH:AH, '7_FC_Giao_Daily'!$B:$B, $A40)</f>
        <v/>
      </c>
      <c r="I40" s="63">
        <f>SUMIFS('7_FC_Giao_Daily'!AI:AI, '7_FC_Giao_Daily'!$B:$B, $A40)</f>
        <v/>
      </c>
      <c r="J40" s="63">
        <f>SUMIFS('7_FC_Giao_Daily'!AJ:AJ, '7_FC_Giao_Daily'!$B:$B, $A40)</f>
        <v/>
      </c>
      <c r="K40" s="63">
        <f>SUMIFS('7_FC_Giao_Daily'!AK:AK, '7_FC_Giao_Daily'!$B:$B, $A40)</f>
        <v/>
      </c>
      <c r="L40" s="64">
        <f>SUM(B40:K40)</f>
        <v/>
      </c>
      <c r="M40" s="64">
        <f>AVERAGE(B40:K40)</f>
        <v/>
      </c>
    </row>
    <row r="41">
      <c r="A41" s="62" t="inlineStr">
        <is>
          <t>Khánh Hòa</t>
        </is>
      </c>
      <c r="B41" s="63">
        <f>SUMIFS('7_FC_Giao_Daily'!AB:AB, '7_FC_Giao_Daily'!$B:$B, $A41)</f>
        <v/>
      </c>
      <c r="C41" s="63">
        <f>SUMIFS('7_FC_Giao_Daily'!AC:AC, '7_FC_Giao_Daily'!$B:$B, $A41)</f>
        <v/>
      </c>
      <c r="D41" s="63">
        <f>SUMIFS('7_FC_Giao_Daily'!AD:AD, '7_FC_Giao_Daily'!$B:$B, $A41)</f>
        <v/>
      </c>
      <c r="E41" s="63">
        <f>SUMIFS('7_FC_Giao_Daily'!AE:AE, '7_FC_Giao_Daily'!$B:$B, $A41)</f>
        <v/>
      </c>
      <c r="F41" s="63">
        <f>SUMIFS('7_FC_Giao_Daily'!AF:AF, '7_FC_Giao_Daily'!$B:$B, $A41)</f>
        <v/>
      </c>
      <c r="G41" s="63">
        <f>SUMIFS('7_FC_Giao_Daily'!AG:AG, '7_FC_Giao_Daily'!$B:$B, $A41)</f>
        <v/>
      </c>
      <c r="H41" s="63">
        <f>SUMIFS('7_FC_Giao_Daily'!AH:AH, '7_FC_Giao_Daily'!$B:$B, $A41)</f>
        <v/>
      </c>
      <c r="I41" s="63">
        <f>SUMIFS('7_FC_Giao_Daily'!AI:AI, '7_FC_Giao_Daily'!$B:$B, $A41)</f>
        <v/>
      </c>
      <c r="J41" s="63">
        <f>SUMIFS('7_FC_Giao_Daily'!AJ:AJ, '7_FC_Giao_Daily'!$B:$B, $A41)</f>
        <v/>
      </c>
      <c r="K41" s="63">
        <f>SUMIFS('7_FC_Giao_Daily'!AK:AK, '7_FC_Giao_Daily'!$B:$B, $A41)</f>
        <v/>
      </c>
      <c r="L41" s="64">
        <f>SUM(B41:K41)</f>
        <v/>
      </c>
      <c r="M41" s="64">
        <f>AVERAGE(B41:K41)</f>
        <v/>
      </c>
    </row>
    <row r="42">
      <c r="A42" s="62" t="inlineStr">
        <is>
          <t>Lâm Đồng</t>
        </is>
      </c>
      <c r="B42" s="63">
        <f>SUMIFS('7_FC_Giao_Daily'!AB:AB, '7_FC_Giao_Daily'!$B:$B, $A42)</f>
        <v/>
      </c>
      <c r="C42" s="63">
        <f>SUMIFS('7_FC_Giao_Daily'!AC:AC, '7_FC_Giao_Daily'!$B:$B, $A42)</f>
        <v/>
      </c>
      <c r="D42" s="63">
        <f>SUMIFS('7_FC_Giao_Daily'!AD:AD, '7_FC_Giao_Daily'!$B:$B, $A42)</f>
        <v/>
      </c>
      <c r="E42" s="63">
        <f>SUMIFS('7_FC_Giao_Daily'!AE:AE, '7_FC_Giao_Daily'!$B:$B, $A42)</f>
        <v/>
      </c>
      <c r="F42" s="63">
        <f>SUMIFS('7_FC_Giao_Daily'!AF:AF, '7_FC_Giao_Daily'!$B:$B, $A42)</f>
        <v/>
      </c>
      <c r="G42" s="63">
        <f>SUMIFS('7_FC_Giao_Daily'!AG:AG, '7_FC_Giao_Daily'!$B:$B, $A42)</f>
        <v/>
      </c>
      <c r="H42" s="63">
        <f>SUMIFS('7_FC_Giao_Daily'!AH:AH, '7_FC_Giao_Daily'!$B:$B, $A42)</f>
        <v/>
      </c>
      <c r="I42" s="63">
        <f>SUMIFS('7_FC_Giao_Daily'!AI:AI, '7_FC_Giao_Daily'!$B:$B, $A42)</f>
        <v/>
      </c>
      <c r="J42" s="63">
        <f>SUMIFS('7_FC_Giao_Daily'!AJ:AJ, '7_FC_Giao_Daily'!$B:$B, $A42)</f>
        <v/>
      </c>
      <c r="K42" s="63">
        <f>SUMIFS('7_FC_Giao_Daily'!AK:AK, '7_FC_Giao_Daily'!$B:$B, $A42)</f>
        <v/>
      </c>
      <c r="L42" s="64">
        <f>SUM(B42:K42)</f>
        <v/>
      </c>
      <c r="M42" s="64">
        <f>AVERAGE(B42:K42)</f>
        <v/>
      </c>
    </row>
    <row r="43">
      <c r="A43" s="62" t="inlineStr">
        <is>
          <t>Ninh Thuận</t>
        </is>
      </c>
      <c r="B43" s="63">
        <f>SUMIFS('7_FC_Giao_Daily'!AB:AB, '7_FC_Giao_Daily'!$B:$B, $A43)</f>
        <v/>
      </c>
      <c r="C43" s="63">
        <f>SUMIFS('7_FC_Giao_Daily'!AC:AC, '7_FC_Giao_Daily'!$B:$B, $A43)</f>
        <v/>
      </c>
      <c r="D43" s="63">
        <f>SUMIFS('7_FC_Giao_Daily'!AD:AD, '7_FC_Giao_Daily'!$B:$B, $A43)</f>
        <v/>
      </c>
      <c r="E43" s="63">
        <f>SUMIFS('7_FC_Giao_Daily'!AE:AE, '7_FC_Giao_Daily'!$B:$B, $A43)</f>
        <v/>
      </c>
      <c r="F43" s="63">
        <f>SUMIFS('7_FC_Giao_Daily'!AF:AF, '7_FC_Giao_Daily'!$B:$B, $A43)</f>
        <v/>
      </c>
      <c r="G43" s="63">
        <f>SUMIFS('7_FC_Giao_Daily'!AG:AG, '7_FC_Giao_Daily'!$B:$B, $A43)</f>
        <v/>
      </c>
      <c r="H43" s="63">
        <f>SUMIFS('7_FC_Giao_Daily'!AH:AH, '7_FC_Giao_Daily'!$B:$B, $A43)</f>
        <v/>
      </c>
      <c r="I43" s="63">
        <f>SUMIFS('7_FC_Giao_Daily'!AI:AI, '7_FC_Giao_Daily'!$B:$B, $A43)</f>
        <v/>
      </c>
      <c r="J43" s="63">
        <f>SUMIFS('7_FC_Giao_Daily'!AJ:AJ, '7_FC_Giao_Daily'!$B:$B, $A43)</f>
        <v/>
      </c>
      <c r="K43" s="63">
        <f>SUMIFS('7_FC_Giao_Daily'!AK:AK, '7_FC_Giao_Daily'!$B:$B, $A43)</f>
        <v/>
      </c>
      <c r="L43" s="64">
        <f>SUM(B43:K43)</f>
        <v/>
      </c>
      <c r="M43" s="64">
        <f>AVERAGE(B43:K43)</f>
        <v/>
      </c>
    </row>
    <row r="44">
      <c r="A44" s="62" t="inlineStr">
        <is>
          <t>Đắk Nông</t>
        </is>
      </c>
      <c r="B44" s="63">
        <f>SUMIFS('7_FC_Giao_Daily'!AB:AB, '7_FC_Giao_Daily'!$B:$B, $A44)</f>
        <v/>
      </c>
      <c r="C44" s="63">
        <f>SUMIFS('7_FC_Giao_Daily'!AC:AC, '7_FC_Giao_Daily'!$B:$B, $A44)</f>
        <v/>
      </c>
      <c r="D44" s="63">
        <f>SUMIFS('7_FC_Giao_Daily'!AD:AD, '7_FC_Giao_Daily'!$B:$B, $A44)</f>
        <v/>
      </c>
      <c r="E44" s="63">
        <f>SUMIFS('7_FC_Giao_Daily'!AE:AE, '7_FC_Giao_Daily'!$B:$B, $A44)</f>
        <v/>
      </c>
      <c r="F44" s="63">
        <f>SUMIFS('7_FC_Giao_Daily'!AF:AF, '7_FC_Giao_Daily'!$B:$B, $A44)</f>
        <v/>
      </c>
      <c r="G44" s="63">
        <f>SUMIFS('7_FC_Giao_Daily'!AG:AG, '7_FC_Giao_Daily'!$B:$B, $A44)</f>
        <v/>
      </c>
      <c r="H44" s="63">
        <f>SUMIFS('7_FC_Giao_Daily'!AH:AH, '7_FC_Giao_Daily'!$B:$B, $A44)</f>
        <v/>
      </c>
      <c r="I44" s="63">
        <f>SUMIFS('7_FC_Giao_Daily'!AI:AI, '7_FC_Giao_Daily'!$B:$B, $A44)</f>
        <v/>
      </c>
      <c r="J44" s="63">
        <f>SUMIFS('7_FC_Giao_Daily'!AJ:AJ, '7_FC_Giao_Daily'!$B:$B, $A44)</f>
        <v/>
      </c>
      <c r="K44" s="63">
        <f>SUMIFS('7_FC_Giao_Daily'!AK:AK, '7_FC_Giao_Daily'!$B:$B, $A44)</f>
        <v/>
      </c>
      <c r="L44" s="64">
        <f>SUM(B44:K44)</f>
        <v/>
      </c>
      <c r="M44" s="64">
        <f>AVERAGE(B44:K44)</f>
        <v/>
      </c>
    </row>
    <row r="45">
      <c r="A45" s="65" t="inlineStr">
        <is>
          <t>Grand Total</t>
        </is>
      </c>
      <c r="B45" s="66">
        <f>SUM(B40:B44)</f>
        <v/>
      </c>
      <c r="C45" s="66">
        <f>SUM(C40:C44)</f>
        <v/>
      </c>
      <c r="D45" s="66">
        <f>SUM(D40:D44)</f>
        <v/>
      </c>
      <c r="E45" s="66">
        <f>SUM(E40:E44)</f>
        <v/>
      </c>
      <c r="F45" s="66">
        <f>SUM(F40:F44)</f>
        <v/>
      </c>
      <c r="G45" s="66">
        <f>SUM(G40:G44)</f>
        <v/>
      </c>
      <c r="H45" s="66">
        <f>SUM(H40:H44)</f>
        <v/>
      </c>
      <c r="I45" s="66">
        <f>SUM(I40:I44)</f>
        <v/>
      </c>
      <c r="J45" s="66">
        <f>SUM(J40:J44)</f>
        <v/>
      </c>
      <c r="K45" s="66">
        <f>SUM(K40:K44)</f>
        <v/>
      </c>
      <c r="L45" s="66">
        <f>SUM(L40:L44)</f>
        <v/>
      </c>
      <c r="M45" s="66">
        <f>SUM(M40:M44)</f>
        <v/>
      </c>
    </row>
    <row r="48">
      <c r="A48" s="60" t="inlineStr">
        <is>
          <t>5. BẢNG TÍNH COMBO CHART (VOLUME, TRUNG BÌNH, % TĂNG/GIẢM FC)</t>
        </is>
      </c>
    </row>
    <row r="49">
      <c r="A49" s="67" t="inlineStr">
        <is>
          <t>A. FC Volume Lấy event 08.08 (Style Combo Chart)</t>
        </is>
      </c>
    </row>
    <row r="50">
      <c r="A50" s="61" t="inlineStr">
        <is>
          <t>Chỉ tiêu</t>
        </is>
      </c>
      <c r="B50" s="61" t="inlineStr">
        <is>
          <t>06/08</t>
        </is>
      </c>
      <c r="C50" s="61" t="inlineStr">
        <is>
          <t>07/08</t>
        </is>
      </c>
      <c r="D50" s="61" t="inlineStr">
        <is>
          <t>08/08</t>
        </is>
      </c>
      <c r="E50" s="61" t="inlineStr">
        <is>
          <t>09/08</t>
        </is>
      </c>
      <c r="F50" s="61" t="inlineStr">
        <is>
          <t>10/08</t>
        </is>
      </c>
      <c r="G50" s="61" t="inlineStr">
        <is>
          <t>11/08</t>
        </is>
      </c>
      <c r="H50" s="61" t="inlineStr">
        <is>
          <t>12/08</t>
        </is>
      </c>
      <c r="I50" s="61" t="inlineStr">
        <is>
          <t>13/08</t>
        </is>
      </c>
      <c r="J50" s="61" t="inlineStr">
        <is>
          <t>14/08</t>
        </is>
      </c>
      <c r="K50" s="61" t="inlineStr">
        <is>
          <t>15/08</t>
        </is>
      </c>
      <c r="L50" s="61" t="inlineStr">
        <is>
          <t>Trung bình toàn đợt</t>
        </is>
      </c>
    </row>
    <row r="51">
      <c r="A51" s="68" t="inlineStr">
        <is>
          <t>Volume lấy</t>
        </is>
      </c>
      <c r="B51" s="64">
        <f>B13</f>
        <v/>
      </c>
      <c r="C51" s="64">
        <f>C13</f>
        <v/>
      </c>
      <c r="D51" s="64">
        <f>D13</f>
        <v/>
      </c>
      <c r="E51" s="64">
        <f>E13</f>
        <v/>
      </c>
      <c r="F51" s="64">
        <f>F13</f>
        <v/>
      </c>
      <c r="G51" s="64">
        <f>G13</f>
        <v/>
      </c>
      <c r="H51" s="64">
        <f>H13</f>
        <v/>
      </c>
      <c r="I51" s="64">
        <f>I13</f>
        <v/>
      </c>
      <c r="J51" s="64">
        <f>J13</f>
        <v/>
      </c>
      <c r="K51" s="64">
        <f>K13</f>
        <v/>
      </c>
      <c r="L51" s="69">
        <f>AVERAGE(B51:K51)</f>
        <v/>
      </c>
    </row>
    <row r="52">
      <c r="A52" s="68" t="inlineStr">
        <is>
          <t>Trung bình</t>
        </is>
      </c>
      <c r="B52" s="69">
        <f>$L$51</f>
        <v/>
      </c>
      <c r="C52" s="69">
        <f>$L$51</f>
        <v/>
      </c>
      <c r="D52" s="69">
        <f>$L$51</f>
        <v/>
      </c>
      <c r="E52" s="69">
        <f>$L$51</f>
        <v/>
      </c>
      <c r="F52" s="69">
        <f>$L$51</f>
        <v/>
      </c>
      <c r="G52" s="69">
        <f>$L$51</f>
        <v/>
      </c>
      <c r="H52" s="69">
        <f>$L$51</f>
        <v/>
      </c>
      <c r="I52" s="69">
        <f>$L$51</f>
        <v/>
      </c>
      <c r="J52" s="69">
        <f>$L$51</f>
        <v/>
      </c>
      <c r="K52" s="69">
        <f>$L$51</f>
        <v/>
      </c>
      <c r="L52" s="69">
        <f>$L$51</f>
        <v/>
      </c>
    </row>
    <row r="53">
      <c r="A53" s="68" t="inlineStr">
        <is>
          <t>Tăng/ giảm FC</t>
        </is>
      </c>
      <c r="B53" s="70">
        <f>(B51-$L$51)/$L$51</f>
        <v/>
      </c>
      <c r="C53" s="70">
        <f>(C51-$L$51)/$L$51</f>
        <v/>
      </c>
      <c r="D53" s="70">
        <f>(D51-$L$51)/$L$51</f>
        <v/>
      </c>
      <c r="E53" s="70">
        <f>(E51-$L$51)/$L$51</f>
        <v/>
      </c>
      <c r="F53" s="70">
        <f>(F51-$L$51)/$L$51</f>
        <v/>
      </c>
      <c r="G53" s="70">
        <f>(G51-$L$51)/$L$51</f>
        <v/>
      </c>
      <c r="H53" s="70">
        <f>(H51-$L$51)/$L$51</f>
        <v/>
      </c>
      <c r="I53" s="70">
        <f>(I51-$L$51)/$L$51</f>
        <v/>
      </c>
      <c r="J53" s="70">
        <f>(J51-$L$51)/$L$51</f>
        <v/>
      </c>
      <c r="K53" s="70">
        <f>(K51-$L$51)/$L$51</f>
        <v/>
      </c>
      <c r="L53" s="71" t="n">
        <v>0</v>
      </c>
    </row>
    <row r="56">
      <c r="A56" s="67" t="inlineStr">
        <is>
          <t>B. FC Volume Giao event 08.08 (Style Combo Chart)</t>
        </is>
      </c>
    </row>
    <row r="57">
      <c r="A57" s="61" t="inlineStr">
        <is>
          <t>Chỉ tiêu</t>
        </is>
      </c>
      <c r="B57" s="61" t="inlineStr">
        <is>
          <t>06/08</t>
        </is>
      </c>
      <c r="C57" s="61" t="inlineStr">
        <is>
          <t>07/08</t>
        </is>
      </c>
      <c r="D57" s="61" t="inlineStr">
        <is>
          <t>08/08</t>
        </is>
      </c>
      <c r="E57" s="61" t="inlineStr">
        <is>
          <t>09/08</t>
        </is>
      </c>
      <c r="F57" s="61" t="inlineStr">
        <is>
          <t>10/08</t>
        </is>
      </c>
      <c r="G57" s="61" t="inlineStr">
        <is>
          <t>11/08</t>
        </is>
      </c>
      <c r="H57" s="61" t="inlineStr">
        <is>
          <t>12/08</t>
        </is>
      </c>
      <c r="I57" s="61" t="inlineStr">
        <is>
          <t>13/08</t>
        </is>
      </c>
      <c r="J57" s="61" t="inlineStr">
        <is>
          <t>14/08</t>
        </is>
      </c>
      <c r="K57" s="61" t="inlineStr">
        <is>
          <t>15/08</t>
        </is>
      </c>
      <c r="L57" s="61" t="inlineStr">
        <is>
          <t>Trung bình toàn đợt</t>
        </is>
      </c>
    </row>
    <row r="58">
      <c r="A58" s="68" t="inlineStr">
        <is>
          <t>Volume giao</t>
        </is>
      </c>
      <c r="B58" s="64">
        <f>B35</f>
        <v/>
      </c>
      <c r="C58" s="64">
        <f>C35</f>
        <v/>
      </c>
      <c r="D58" s="64">
        <f>D35</f>
        <v/>
      </c>
      <c r="E58" s="64">
        <f>E35</f>
        <v/>
      </c>
      <c r="F58" s="64">
        <f>F35</f>
        <v/>
      </c>
      <c r="G58" s="64">
        <f>G35</f>
        <v/>
      </c>
      <c r="H58" s="64">
        <f>H35</f>
        <v/>
      </c>
      <c r="I58" s="64">
        <f>I35</f>
        <v/>
      </c>
      <c r="J58" s="64">
        <f>J35</f>
        <v/>
      </c>
      <c r="K58" s="64">
        <f>K35</f>
        <v/>
      </c>
      <c r="L58" s="69">
        <f>AVERAGE(B58:K58)</f>
        <v/>
      </c>
    </row>
    <row r="59">
      <c r="A59" s="68" t="inlineStr">
        <is>
          <t>Trung bình</t>
        </is>
      </c>
      <c r="B59" s="69">
        <f>$L$58</f>
        <v/>
      </c>
      <c r="C59" s="69">
        <f>$L$58</f>
        <v/>
      </c>
      <c r="D59" s="69">
        <f>$L$58</f>
        <v/>
      </c>
      <c r="E59" s="69">
        <f>$L$58</f>
        <v/>
      </c>
      <c r="F59" s="69">
        <f>$L$58</f>
        <v/>
      </c>
      <c r="G59" s="69">
        <f>$L$58</f>
        <v/>
      </c>
      <c r="H59" s="69">
        <f>$L$58</f>
        <v/>
      </c>
      <c r="I59" s="69">
        <f>$L$58</f>
        <v/>
      </c>
      <c r="J59" s="69">
        <f>$L$58</f>
        <v/>
      </c>
      <c r="K59" s="69">
        <f>$L$58</f>
        <v/>
      </c>
      <c r="L59" s="69">
        <f>$L$58</f>
        <v/>
      </c>
    </row>
    <row r="60">
      <c r="A60" s="68" t="inlineStr">
        <is>
          <t>Tăng/ giảm FC</t>
        </is>
      </c>
      <c r="B60" s="70">
        <f>(B58-$L$58)/$L$58</f>
        <v/>
      </c>
      <c r="C60" s="70">
        <f>(C58-$L$58)/$L$58</f>
        <v/>
      </c>
      <c r="D60" s="70">
        <f>(D58-$L$58)/$L$58</f>
        <v/>
      </c>
      <c r="E60" s="70">
        <f>(E58-$L$58)/$L$58</f>
        <v/>
      </c>
      <c r="F60" s="70">
        <f>(F58-$L$58)/$L$58</f>
        <v/>
      </c>
      <c r="G60" s="70">
        <f>(G58-$L$58)/$L$58</f>
        <v/>
      </c>
      <c r="H60" s="70">
        <f>(H58-$L$58)/$L$58</f>
        <v/>
      </c>
      <c r="I60" s="70">
        <f>(I58-$L$58)/$L$58</f>
        <v/>
      </c>
      <c r="J60" s="70">
        <f>(J58-$L$58)/$L$58</f>
        <v/>
      </c>
      <c r="K60" s="70">
        <f>(K58-$L$58)/$L$58</f>
        <v/>
      </c>
      <c r="L60" s="71" t="n">
        <v>0</v>
      </c>
    </row>
    <row r="63">
      <c r="A63" s="60" t="inlineStr">
        <is>
          <t>6. PHÂN BỔ VOLUME SORTING THEO 5 KHO KTC / CHUYỂN TIẾP (TABLE 8 - PULL TRỰC TIẾP TỪ FC SORTING 60D)</t>
        </is>
      </c>
    </row>
    <row r="64">
      <c r="A64" s="61" t="inlineStr">
        <is>
          <t>Kho / Hub</t>
        </is>
      </c>
      <c r="B64" s="61" t="inlineStr">
        <is>
          <t>Nhóm hàng</t>
        </is>
      </c>
      <c r="C64" s="61" t="inlineStr">
        <is>
          <t>06/08</t>
        </is>
      </c>
      <c r="D64" s="61" t="inlineStr">
        <is>
          <t>07/08</t>
        </is>
      </c>
      <c r="E64" s="61" t="inlineStr">
        <is>
          <t>08/08</t>
        </is>
      </c>
      <c r="F64" s="61" t="inlineStr">
        <is>
          <t>09/08</t>
        </is>
      </c>
      <c r="G64" s="61" t="inlineStr">
        <is>
          <t>10/08</t>
        </is>
      </c>
      <c r="H64" s="61" t="inlineStr">
        <is>
          <t>11/08</t>
        </is>
      </c>
      <c r="I64" s="61" t="inlineStr">
        <is>
          <t>12/08</t>
        </is>
      </c>
      <c r="J64" s="61" t="inlineStr">
        <is>
          <t>13/08</t>
        </is>
      </c>
      <c r="K64" s="61" t="inlineStr">
        <is>
          <t>14/08</t>
        </is>
      </c>
      <c r="L64" s="61" t="inlineStr">
        <is>
          <t>15/08</t>
        </is>
      </c>
      <c r="M64" s="61" t="inlineStr">
        <is>
          <t>Tổng 10 ngày</t>
        </is>
      </c>
      <c r="N64" s="61" t="inlineStr">
        <is>
          <t>Trung bình</t>
        </is>
      </c>
    </row>
    <row r="65">
      <c r="A65" s="62" t="inlineStr">
        <is>
          <t>Kho Trung Chuyển Khánh Hòa</t>
        </is>
      </c>
      <c r="B65" s="62" t="inlineStr">
        <is>
          <t>Normal</t>
        </is>
      </c>
      <c r="C65" s="63">
        <f>SUMIFS('FC Sorting 60d'!Y:Y, 'FC Sorting 60d'!$A:$A, $A65, 'FC Sorting 60d'!$B:$B, $B65)</f>
        <v/>
      </c>
      <c r="D65" s="63">
        <f>SUMIFS('FC Sorting 60d'!Z:Z, 'FC Sorting 60d'!$A:$A, $A65, 'FC Sorting 60d'!$B:$B, $B65)</f>
        <v/>
      </c>
      <c r="E65" s="63">
        <f>SUMIFS('FC Sorting 60d'!AA:AA, 'FC Sorting 60d'!$A:$A, $A65, 'FC Sorting 60d'!$B:$B, $B65)</f>
        <v/>
      </c>
      <c r="F65" s="63">
        <f>SUMIFS('FC Sorting 60d'!AB:AB, 'FC Sorting 60d'!$A:$A, $A65, 'FC Sorting 60d'!$B:$B, $B65)</f>
        <v/>
      </c>
      <c r="G65" s="63">
        <f>SUMIFS('FC Sorting 60d'!AC:AC, 'FC Sorting 60d'!$A:$A, $A65, 'FC Sorting 60d'!$B:$B, $B65)</f>
        <v/>
      </c>
      <c r="H65" s="63">
        <f>SUMIFS('FC Sorting 60d'!AD:AD, 'FC Sorting 60d'!$A:$A, $A65, 'FC Sorting 60d'!$B:$B, $B65)</f>
        <v/>
      </c>
      <c r="I65" s="63">
        <f>SUMIFS('FC Sorting 60d'!AE:AE, 'FC Sorting 60d'!$A:$A, $A65, 'FC Sorting 60d'!$B:$B, $B65)</f>
        <v/>
      </c>
      <c r="J65" s="63">
        <f>SUMIFS('FC Sorting 60d'!AF:AF, 'FC Sorting 60d'!$A:$A, $A65, 'FC Sorting 60d'!$B:$B, $B65)</f>
        <v/>
      </c>
      <c r="K65" s="63">
        <f>SUMIFS('FC Sorting 60d'!AG:AG, 'FC Sorting 60d'!$A:$A, $A65, 'FC Sorting 60d'!$B:$B, $B65)</f>
        <v/>
      </c>
      <c r="L65" s="63">
        <f>SUMIFS('FC Sorting 60d'!AH:AH, 'FC Sorting 60d'!$A:$A, $A65, 'FC Sorting 60d'!$B:$B, $B65)</f>
        <v/>
      </c>
      <c r="M65" s="64">
        <f>SUM(C65:L65)</f>
        <v/>
      </c>
      <c r="N65" s="64">
        <f>AVERAGE(C65:L65)</f>
        <v/>
      </c>
    </row>
    <row r="66">
      <c r="A66" s="62" t="inlineStr">
        <is>
          <t>Kho Trung Chuyển Khánh Hòa</t>
        </is>
      </c>
      <c r="B66" s="62" t="inlineStr">
        <is>
          <t>Bulky</t>
        </is>
      </c>
      <c r="C66" s="63">
        <f>SUMIFS('FC Sorting 60d'!Y:Y, 'FC Sorting 60d'!$A:$A, $A66, 'FC Sorting 60d'!$B:$B, $B66)</f>
        <v/>
      </c>
      <c r="D66" s="63">
        <f>SUMIFS('FC Sorting 60d'!Z:Z, 'FC Sorting 60d'!$A:$A, $A66, 'FC Sorting 60d'!$B:$B, $B66)</f>
        <v/>
      </c>
      <c r="E66" s="63">
        <f>SUMIFS('FC Sorting 60d'!AA:AA, 'FC Sorting 60d'!$A:$A, $A66, 'FC Sorting 60d'!$B:$B, $B66)</f>
        <v/>
      </c>
      <c r="F66" s="63">
        <f>SUMIFS('FC Sorting 60d'!AB:AB, 'FC Sorting 60d'!$A:$A, $A66, 'FC Sorting 60d'!$B:$B, $B66)</f>
        <v/>
      </c>
      <c r="G66" s="63">
        <f>SUMIFS('FC Sorting 60d'!AC:AC, 'FC Sorting 60d'!$A:$A, $A66, 'FC Sorting 60d'!$B:$B, $B66)</f>
        <v/>
      </c>
      <c r="H66" s="63">
        <f>SUMIFS('FC Sorting 60d'!AD:AD, 'FC Sorting 60d'!$A:$A, $A66, 'FC Sorting 60d'!$B:$B, $B66)</f>
        <v/>
      </c>
      <c r="I66" s="63">
        <f>SUMIFS('FC Sorting 60d'!AE:AE, 'FC Sorting 60d'!$A:$A, $A66, 'FC Sorting 60d'!$B:$B, $B66)</f>
        <v/>
      </c>
      <c r="J66" s="63">
        <f>SUMIFS('FC Sorting 60d'!AF:AF, 'FC Sorting 60d'!$A:$A, $A66, 'FC Sorting 60d'!$B:$B, $B66)</f>
        <v/>
      </c>
      <c r="K66" s="63">
        <f>SUMIFS('FC Sorting 60d'!AG:AG, 'FC Sorting 60d'!$A:$A, $A66, 'FC Sorting 60d'!$B:$B, $B66)</f>
        <v/>
      </c>
      <c r="L66" s="63">
        <f>SUMIFS('FC Sorting 60d'!AH:AH, 'FC Sorting 60d'!$A:$A, $A66, 'FC Sorting 60d'!$B:$B, $B66)</f>
        <v/>
      </c>
      <c r="M66" s="64">
        <f>SUM(C66:L66)</f>
        <v/>
      </c>
      <c r="N66" s="64">
        <f>AVERAGE(C66:L66)</f>
        <v/>
      </c>
    </row>
    <row r="67">
      <c r="A67" s="62" t="inlineStr">
        <is>
          <t>Kho Trung Chuyển Khánh Hòa</t>
        </is>
      </c>
      <c r="B67" s="62" t="inlineStr">
        <is>
          <t>Freight</t>
        </is>
      </c>
      <c r="C67" s="63">
        <f>SUMIFS('FC Sorting 60d'!Y:Y, 'FC Sorting 60d'!$A:$A, $A67, 'FC Sorting 60d'!$B:$B, $B67)</f>
        <v/>
      </c>
      <c r="D67" s="63">
        <f>SUMIFS('FC Sorting 60d'!Z:Z, 'FC Sorting 60d'!$A:$A, $A67, 'FC Sorting 60d'!$B:$B, $B67)</f>
        <v/>
      </c>
      <c r="E67" s="63">
        <f>SUMIFS('FC Sorting 60d'!AA:AA, 'FC Sorting 60d'!$A:$A, $A67, 'FC Sorting 60d'!$B:$B, $B67)</f>
        <v/>
      </c>
      <c r="F67" s="63">
        <f>SUMIFS('FC Sorting 60d'!AB:AB, 'FC Sorting 60d'!$A:$A, $A67, 'FC Sorting 60d'!$B:$B, $B67)</f>
        <v/>
      </c>
      <c r="G67" s="63">
        <f>SUMIFS('FC Sorting 60d'!AC:AC, 'FC Sorting 60d'!$A:$A, $A67, 'FC Sorting 60d'!$B:$B, $B67)</f>
        <v/>
      </c>
      <c r="H67" s="63">
        <f>SUMIFS('FC Sorting 60d'!AD:AD, 'FC Sorting 60d'!$A:$A, $A67, 'FC Sorting 60d'!$B:$B, $B67)</f>
        <v/>
      </c>
      <c r="I67" s="63">
        <f>SUMIFS('FC Sorting 60d'!AE:AE, 'FC Sorting 60d'!$A:$A, $A67, 'FC Sorting 60d'!$B:$B, $B67)</f>
        <v/>
      </c>
      <c r="J67" s="63">
        <f>SUMIFS('FC Sorting 60d'!AF:AF, 'FC Sorting 60d'!$A:$A, $A67, 'FC Sorting 60d'!$B:$B, $B67)</f>
        <v/>
      </c>
      <c r="K67" s="63">
        <f>SUMIFS('FC Sorting 60d'!AG:AG, 'FC Sorting 60d'!$A:$A, $A67, 'FC Sorting 60d'!$B:$B, $B67)</f>
        <v/>
      </c>
      <c r="L67" s="63">
        <f>SUMIFS('FC Sorting 60d'!AH:AH, 'FC Sorting 60d'!$A:$A, $A67, 'FC Sorting 60d'!$B:$B, $B67)</f>
        <v/>
      </c>
      <c r="M67" s="64">
        <f>SUM(C67:L67)</f>
        <v/>
      </c>
      <c r="N67" s="64">
        <f>AVERAGE(C67:L67)</f>
        <v/>
      </c>
    </row>
    <row r="68">
      <c r="A68" s="72" t="inlineStr">
        <is>
          <t>Kho Trung Chuyển Khánh Hòa</t>
        </is>
      </c>
      <c r="B68" s="72" t="inlineStr">
        <is>
          <t>Total</t>
        </is>
      </c>
      <c r="C68" s="73">
        <f>SUMIFS('FC Sorting 60d'!Y:Y, 'FC Sorting 60d'!$A:$A, $A68, 'FC Sorting 60d'!$B:$B, $B68)</f>
        <v/>
      </c>
      <c r="D68" s="73">
        <f>SUMIFS('FC Sorting 60d'!Z:Z, 'FC Sorting 60d'!$A:$A, $A68, 'FC Sorting 60d'!$B:$B, $B68)</f>
        <v/>
      </c>
      <c r="E68" s="73">
        <f>SUMIFS('FC Sorting 60d'!AA:AA, 'FC Sorting 60d'!$A:$A, $A68, 'FC Sorting 60d'!$B:$B, $B68)</f>
        <v/>
      </c>
      <c r="F68" s="73">
        <f>SUMIFS('FC Sorting 60d'!AB:AB, 'FC Sorting 60d'!$A:$A, $A68, 'FC Sorting 60d'!$B:$B, $B68)</f>
        <v/>
      </c>
      <c r="G68" s="73">
        <f>SUMIFS('FC Sorting 60d'!AC:AC, 'FC Sorting 60d'!$A:$A, $A68, 'FC Sorting 60d'!$B:$B, $B68)</f>
        <v/>
      </c>
      <c r="H68" s="73">
        <f>SUMIFS('FC Sorting 60d'!AD:AD, 'FC Sorting 60d'!$A:$A, $A68, 'FC Sorting 60d'!$B:$B, $B68)</f>
        <v/>
      </c>
      <c r="I68" s="73">
        <f>SUMIFS('FC Sorting 60d'!AE:AE, 'FC Sorting 60d'!$A:$A, $A68, 'FC Sorting 60d'!$B:$B, $B68)</f>
        <v/>
      </c>
      <c r="J68" s="73">
        <f>SUMIFS('FC Sorting 60d'!AF:AF, 'FC Sorting 60d'!$A:$A, $A68, 'FC Sorting 60d'!$B:$B, $B68)</f>
        <v/>
      </c>
      <c r="K68" s="73">
        <f>SUMIFS('FC Sorting 60d'!AG:AG, 'FC Sorting 60d'!$A:$A, $A68, 'FC Sorting 60d'!$B:$B, $B68)</f>
        <v/>
      </c>
      <c r="L68" s="73">
        <f>SUMIFS('FC Sorting 60d'!AH:AH, 'FC Sorting 60d'!$A:$A, $A68, 'FC Sorting 60d'!$B:$B, $B68)</f>
        <v/>
      </c>
      <c r="M68" s="73">
        <f>SUM(C68:L68)</f>
        <v/>
      </c>
      <c r="N68" s="73">
        <f>AVERAGE(C68:L68)</f>
        <v/>
      </c>
    </row>
    <row r="69">
      <c r="A69" s="62" t="inlineStr">
        <is>
          <t>Kho Chuyển Tiếp Bình Thuận</t>
        </is>
      </c>
      <c r="B69" s="62" t="inlineStr">
        <is>
          <t>Normal</t>
        </is>
      </c>
      <c r="C69" s="63">
        <f>SUMIFS('FC Sorting 60d'!Y:Y, 'FC Sorting 60d'!$A:$A, $A69, 'FC Sorting 60d'!$B:$B, $B69)</f>
        <v/>
      </c>
      <c r="D69" s="63">
        <f>SUMIFS('FC Sorting 60d'!Z:Z, 'FC Sorting 60d'!$A:$A, $A69, 'FC Sorting 60d'!$B:$B, $B69)</f>
        <v/>
      </c>
      <c r="E69" s="63">
        <f>SUMIFS('FC Sorting 60d'!AA:AA, 'FC Sorting 60d'!$A:$A, $A69, 'FC Sorting 60d'!$B:$B, $B69)</f>
        <v/>
      </c>
      <c r="F69" s="63">
        <f>SUMIFS('FC Sorting 60d'!AB:AB, 'FC Sorting 60d'!$A:$A, $A69, 'FC Sorting 60d'!$B:$B, $B69)</f>
        <v/>
      </c>
      <c r="G69" s="63">
        <f>SUMIFS('FC Sorting 60d'!AC:AC, 'FC Sorting 60d'!$A:$A, $A69, 'FC Sorting 60d'!$B:$B, $B69)</f>
        <v/>
      </c>
      <c r="H69" s="63">
        <f>SUMIFS('FC Sorting 60d'!AD:AD, 'FC Sorting 60d'!$A:$A, $A69, 'FC Sorting 60d'!$B:$B, $B69)</f>
        <v/>
      </c>
      <c r="I69" s="63">
        <f>SUMIFS('FC Sorting 60d'!AE:AE, 'FC Sorting 60d'!$A:$A, $A69, 'FC Sorting 60d'!$B:$B, $B69)</f>
        <v/>
      </c>
      <c r="J69" s="63">
        <f>SUMIFS('FC Sorting 60d'!AF:AF, 'FC Sorting 60d'!$A:$A, $A69, 'FC Sorting 60d'!$B:$B, $B69)</f>
        <v/>
      </c>
      <c r="K69" s="63">
        <f>SUMIFS('FC Sorting 60d'!AG:AG, 'FC Sorting 60d'!$A:$A, $A69, 'FC Sorting 60d'!$B:$B, $B69)</f>
        <v/>
      </c>
      <c r="L69" s="63">
        <f>SUMIFS('FC Sorting 60d'!AH:AH, 'FC Sorting 60d'!$A:$A, $A69, 'FC Sorting 60d'!$B:$B, $B69)</f>
        <v/>
      </c>
      <c r="M69" s="64">
        <f>SUM(C69:L69)</f>
        <v/>
      </c>
      <c r="N69" s="64">
        <f>AVERAGE(C69:L69)</f>
        <v/>
      </c>
    </row>
    <row r="70">
      <c r="A70" s="62" t="inlineStr">
        <is>
          <t>Kho Chuyển Tiếp Bình Thuận</t>
        </is>
      </c>
      <c r="B70" s="62" t="inlineStr">
        <is>
          <t>Bulky</t>
        </is>
      </c>
      <c r="C70" s="63">
        <f>SUMIFS('FC Sorting 60d'!Y:Y, 'FC Sorting 60d'!$A:$A, $A70, 'FC Sorting 60d'!$B:$B, $B70)</f>
        <v/>
      </c>
      <c r="D70" s="63">
        <f>SUMIFS('FC Sorting 60d'!Z:Z, 'FC Sorting 60d'!$A:$A, $A70, 'FC Sorting 60d'!$B:$B, $B70)</f>
        <v/>
      </c>
      <c r="E70" s="63">
        <f>SUMIFS('FC Sorting 60d'!AA:AA, 'FC Sorting 60d'!$A:$A, $A70, 'FC Sorting 60d'!$B:$B, $B70)</f>
        <v/>
      </c>
      <c r="F70" s="63">
        <f>SUMIFS('FC Sorting 60d'!AB:AB, 'FC Sorting 60d'!$A:$A, $A70, 'FC Sorting 60d'!$B:$B, $B70)</f>
        <v/>
      </c>
      <c r="G70" s="63">
        <f>SUMIFS('FC Sorting 60d'!AC:AC, 'FC Sorting 60d'!$A:$A, $A70, 'FC Sorting 60d'!$B:$B, $B70)</f>
        <v/>
      </c>
      <c r="H70" s="63">
        <f>SUMIFS('FC Sorting 60d'!AD:AD, 'FC Sorting 60d'!$A:$A, $A70, 'FC Sorting 60d'!$B:$B, $B70)</f>
        <v/>
      </c>
      <c r="I70" s="63">
        <f>SUMIFS('FC Sorting 60d'!AE:AE, 'FC Sorting 60d'!$A:$A, $A70, 'FC Sorting 60d'!$B:$B, $B70)</f>
        <v/>
      </c>
      <c r="J70" s="63">
        <f>SUMIFS('FC Sorting 60d'!AF:AF, 'FC Sorting 60d'!$A:$A, $A70, 'FC Sorting 60d'!$B:$B, $B70)</f>
        <v/>
      </c>
      <c r="K70" s="63">
        <f>SUMIFS('FC Sorting 60d'!AG:AG, 'FC Sorting 60d'!$A:$A, $A70, 'FC Sorting 60d'!$B:$B, $B70)</f>
        <v/>
      </c>
      <c r="L70" s="63">
        <f>SUMIFS('FC Sorting 60d'!AH:AH, 'FC Sorting 60d'!$A:$A, $A70, 'FC Sorting 60d'!$B:$B, $B70)</f>
        <v/>
      </c>
      <c r="M70" s="64">
        <f>SUM(C70:L70)</f>
        <v/>
      </c>
      <c r="N70" s="64">
        <f>AVERAGE(C70:L70)</f>
        <v/>
      </c>
    </row>
    <row r="71">
      <c r="A71" s="62" t="inlineStr">
        <is>
          <t>Kho Chuyển Tiếp Bình Thuận</t>
        </is>
      </c>
      <c r="B71" s="62" t="inlineStr">
        <is>
          <t>Freight</t>
        </is>
      </c>
      <c r="C71" s="63">
        <f>SUMIFS('FC Sorting 60d'!Y:Y, 'FC Sorting 60d'!$A:$A, $A71, 'FC Sorting 60d'!$B:$B, $B71)</f>
        <v/>
      </c>
      <c r="D71" s="63">
        <f>SUMIFS('FC Sorting 60d'!Z:Z, 'FC Sorting 60d'!$A:$A, $A71, 'FC Sorting 60d'!$B:$B, $B71)</f>
        <v/>
      </c>
      <c r="E71" s="63">
        <f>SUMIFS('FC Sorting 60d'!AA:AA, 'FC Sorting 60d'!$A:$A, $A71, 'FC Sorting 60d'!$B:$B, $B71)</f>
        <v/>
      </c>
      <c r="F71" s="63">
        <f>SUMIFS('FC Sorting 60d'!AB:AB, 'FC Sorting 60d'!$A:$A, $A71, 'FC Sorting 60d'!$B:$B, $B71)</f>
        <v/>
      </c>
      <c r="G71" s="63">
        <f>SUMIFS('FC Sorting 60d'!AC:AC, 'FC Sorting 60d'!$A:$A, $A71, 'FC Sorting 60d'!$B:$B, $B71)</f>
        <v/>
      </c>
      <c r="H71" s="63">
        <f>SUMIFS('FC Sorting 60d'!AD:AD, 'FC Sorting 60d'!$A:$A, $A71, 'FC Sorting 60d'!$B:$B, $B71)</f>
        <v/>
      </c>
      <c r="I71" s="63">
        <f>SUMIFS('FC Sorting 60d'!AE:AE, 'FC Sorting 60d'!$A:$A, $A71, 'FC Sorting 60d'!$B:$B, $B71)</f>
        <v/>
      </c>
      <c r="J71" s="63">
        <f>SUMIFS('FC Sorting 60d'!AF:AF, 'FC Sorting 60d'!$A:$A, $A71, 'FC Sorting 60d'!$B:$B, $B71)</f>
        <v/>
      </c>
      <c r="K71" s="63">
        <f>SUMIFS('FC Sorting 60d'!AG:AG, 'FC Sorting 60d'!$A:$A, $A71, 'FC Sorting 60d'!$B:$B, $B71)</f>
        <v/>
      </c>
      <c r="L71" s="63">
        <f>SUMIFS('FC Sorting 60d'!AH:AH, 'FC Sorting 60d'!$A:$A, $A71, 'FC Sorting 60d'!$B:$B, $B71)</f>
        <v/>
      </c>
      <c r="M71" s="64">
        <f>SUM(C71:L71)</f>
        <v/>
      </c>
      <c r="N71" s="64">
        <f>AVERAGE(C71:L71)</f>
        <v/>
      </c>
    </row>
    <row r="72">
      <c r="A72" s="72" t="inlineStr">
        <is>
          <t>Kho Chuyển Tiếp Bình Thuận</t>
        </is>
      </c>
      <c r="B72" s="72" t="inlineStr">
        <is>
          <t>Total</t>
        </is>
      </c>
      <c r="C72" s="73">
        <f>SUMIFS('FC Sorting 60d'!Y:Y, 'FC Sorting 60d'!$A:$A, $A72, 'FC Sorting 60d'!$B:$B, $B72)</f>
        <v/>
      </c>
      <c r="D72" s="73">
        <f>SUMIFS('FC Sorting 60d'!Z:Z, 'FC Sorting 60d'!$A:$A, $A72, 'FC Sorting 60d'!$B:$B, $B72)</f>
        <v/>
      </c>
      <c r="E72" s="73">
        <f>SUMIFS('FC Sorting 60d'!AA:AA, 'FC Sorting 60d'!$A:$A, $A72, 'FC Sorting 60d'!$B:$B, $B72)</f>
        <v/>
      </c>
      <c r="F72" s="73">
        <f>SUMIFS('FC Sorting 60d'!AB:AB, 'FC Sorting 60d'!$A:$A, $A72, 'FC Sorting 60d'!$B:$B, $B72)</f>
        <v/>
      </c>
      <c r="G72" s="73">
        <f>SUMIFS('FC Sorting 60d'!AC:AC, 'FC Sorting 60d'!$A:$A, $A72, 'FC Sorting 60d'!$B:$B, $B72)</f>
        <v/>
      </c>
      <c r="H72" s="73">
        <f>SUMIFS('FC Sorting 60d'!AD:AD, 'FC Sorting 60d'!$A:$A, $A72, 'FC Sorting 60d'!$B:$B, $B72)</f>
        <v/>
      </c>
      <c r="I72" s="73">
        <f>SUMIFS('FC Sorting 60d'!AE:AE, 'FC Sorting 60d'!$A:$A, $A72, 'FC Sorting 60d'!$B:$B, $B72)</f>
        <v/>
      </c>
      <c r="J72" s="73">
        <f>SUMIFS('FC Sorting 60d'!AF:AF, 'FC Sorting 60d'!$A:$A, $A72, 'FC Sorting 60d'!$B:$B, $B72)</f>
        <v/>
      </c>
      <c r="K72" s="73">
        <f>SUMIFS('FC Sorting 60d'!AG:AG, 'FC Sorting 60d'!$A:$A, $A72, 'FC Sorting 60d'!$B:$B, $B72)</f>
        <v/>
      </c>
      <c r="L72" s="73">
        <f>SUMIFS('FC Sorting 60d'!AH:AH, 'FC Sorting 60d'!$A:$A, $A72, 'FC Sorting 60d'!$B:$B, $B72)</f>
        <v/>
      </c>
      <c r="M72" s="73">
        <f>SUM(C72:L72)</f>
        <v/>
      </c>
      <c r="N72" s="73">
        <f>AVERAGE(C72:L72)</f>
        <v/>
      </c>
    </row>
    <row r="73">
      <c r="A73" s="62" t="inlineStr">
        <is>
          <t>Kho Chuyển Tiếp Đức Trọng-Lâm Đồng</t>
        </is>
      </c>
      <c r="B73" s="62" t="inlineStr">
        <is>
          <t>Normal</t>
        </is>
      </c>
      <c r="C73" s="63">
        <f>SUMIFS('FC Sorting 60d'!Y:Y, 'FC Sorting 60d'!$A:$A, $A73, 'FC Sorting 60d'!$B:$B, $B73)</f>
        <v/>
      </c>
      <c r="D73" s="63">
        <f>SUMIFS('FC Sorting 60d'!Z:Z, 'FC Sorting 60d'!$A:$A, $A73, 'FC Sorting 60d'!$B:$B, $B73)</f>
        <v/>
      </c>
      <c r="E73" s="63">
        <f>SUMIFS('FC Sorting 60d'!AA:AA, 'FC Sorting 60d'!$A:$A, $A73, 'FC Sorting 60d'!$B:$B, $B73)</f>
        <v/>
      </c>
      <c r="F73" s="63">
        <f>SUMIFS('FC Sorting 60d'!AB:AB, 'FC Sorting 60d'!$A:$A, $A73, 'FC Sorting 60d'!$B:$B, $B73)</f>
        <v/>
      </c>
      <c r="G73" s="63">
        <f>SUMIFS('FC Sorting 60d'!AC:AC, 'FC Sorting 60d'!$A:$A, $A73, 'FC Sorting 60d'!$B:$B, $B73)</f>
        <v/>
      </c>
      <c r="H73" s="63">
        <f>SUMIFS('FC Sorting 60d'!AD:AD, 'FC Sorting 60d'!$A:$A, $A73, 'FC Sorting 60d'!$B:$B, $B73)</f>
        <v/>
      </c>
      <c r="I73" s="63">
        <f>SUMIFS('FC Sorting 60d'!AE:AE, 'FC Sorting 60d'!$A:$A, $A73, 'FC Sorting 60d'!$B:$B, $B73)</f>
        <v/>
      </c>
      <c r="J73" s="63">
        <f>SUMIFS('FC Sorting 60d'!AF:AF, 'FC Sorting 60d'!$A:$A, $A73, 'FC Sorting 60d'!$B:$B, $B73)</f>
        <v/>
      </c>
      <c r="K73" s="63">
        <f>SUMIFS('FC Sorting 60d'!AG:AG, 'FC Sorting 60d'!$A:$A, $A73, 'FC Sorting 60d'!$B:$B, $B73)</f>
        <v/>
      </c>
      <c r="L73" s="63">
        <f>SUMIFS('FC Sorting 60d'!AH:AH, 'FC Sorting 60d'!$A:$A, $A73, 'FC Sorting 60d'!$B:$B, $B73)</f>
        <v/>
      </c>
      <c r="M73" s="64">
        <f>SUM(C73:L73)</f>
        <v/>
      </c>
      <c r="N73" s="64">
        <f>AVERAGE(C73:L73)</f>
        <v/>
      </c>
    </row>
    <row r="74">
      <c r="A74" s="62" t="inlineStr">
        <is>
          <t>Kho Chuyển Tiếp Đức Trọng-Lâm Đồng</t>
        </is>
      </c>
      <c r="B74" s="62" t="inlineStr">
        <is>
          <t>Bulky</t>
        </is>
      </c>
      <c r="C74" s="63">
        <f>SUMIFS('FC Sorting 60d'!Y:Y, 'FC Sorting 60d'!$A:$A, $A74, 'FC Sorting 60d'!$B:$B, $B74)</f>
        <v/>
      </c>
      <c r="D74" s="63">
        <f>SUMIFS('FC Sorting 60d'!Z:Z, 'FC Sorting 60d'!$A:$A, $A74, 'FC Sorting 60d'!$B:$B, $B74)</f>
        <v/>
      </c>
      <c r="E74" s="63">
        <f>SUMIFS('FC Sorting 60d'!AA:AA, 'FC Sorting 60d'!$A:$A, $A74, 'FC Sorting 60d'!$B:$B, $B74)</f>
        <v/>
      </c>
      <c r="F74" s="63">
        <f>SUMIFS('FC Sorting 60d'!AB:AB, 'FC Sorting 60d'!$A:$A, $A74, 'FC Sorting 60d'!$B:$B, $B74)</f>
        <v/>
      </c>
      <c r="G74" s="63">
        <f>SUMIFS('FC Sorting 60d'!AC:AC, 'FC Sorting 60d'!$A:$A, $A74, 'FC Sorting 60d'!$B:$B, $B74)</f>
        <v/>
      </c>
      <c r="H74" s="63">
        <f>SUMIFS('FC Sorting 60d'!AD:AD, 'FC Sorting 60d'!$A:$A, $A74, 'FC Sorting 60d'!$B:$B, $B74)</f>
        <v/>
      </c>
      <c r="I74" s="63">
        <f>SUMIFS('FC Sorting 60d'!AE:AE, 'FC Sorting 60d'!$A:$A, $A74, 'FC Sorting 60d'!$B:$B, $B74)</f>
        <v/>
      </c>
      <c r="J74" s="63">
        <f>SUMIFS('FC Sorting 60d'!AF:AF, 'FC Sorting 60d'!$A:$A, $A74, 'FC Sorting 60d'!$B:$B, $B74)</f>
        <v/>
      </c>
      <c r="K74" s="63">
        <f>SUMIFS('FC Sorting 60d'!AG:AG, 'FC Sorting 60d'!$A:$A, $A74, 'FC Sorting 60d'!$B:$B, $B74)</f>
        <v/>
      </c>
      <c r="L74" s="63">
        <f>SUMIFS('FC Sorting 60d'!AH:AH, 'FC Sorting 60d'!$A:$A, $A74, 'FC Sorting 60d'!$B:$B, $B74)</f>
        <v/>
      </c>
      <c r="M74" s="64">
        <f>SUM(C74:L74)</f>
        <v/>
      </c>
      <c r="N74" s="64">
        <f>AVERAGE(C74:L74)</f>
        <v/>
      </c>
    </row>
    <row r="75">
      <c r="A75" s="62" t="inlineStr">
        <is>
          <t>Kho Chuyển Tiếp Đức Trọng-Lâm Đồng</t>
        </is>
      </c>
      <c r="B75" s="62" t="inlineStr">
        <is>
          <t>Freight</t>
        </is>
      </c>
      <c r="C75" s="63">
        <f>SUMIFS('FC Sorting 60d'!Y:Y, 'FC Sorting 60d'!$A:$A, $A75, 'FC Sorting 60d'!$B:$B, $B75)</f>
        <v/>
      </c>
      <c r="D75" s="63">
        <f>SUMIFS('FC Sorting 60d'!Z:Z, 'FC Sorting 60d'!$A:$A, $A75, 'FC Sorting 60d'!$B:$B, $B75)</f>
        <v/>
      </c>
      <c r="E75" s="63">
        <f>SUMIFS('FC Sorting 60d'!AA:AA, 'FC Sorting 60d'!$A:$A, $A75, 'FC Sorting 60d'!$B:$B, $B75)</f>
        <v/>
      </c>
      <c r="F75" s="63">
        <f>SUMIFS('FC Sorting 60d'!AB:AB, 'FC Sorting 60d'!$A:$A, $A75, 'FC Sorting 60d'!$B:$B, $B75)</f>
        <v/>
      </c>
      <c r="G75" s="63">
        <f>SUMIFS('FC Sorting 60d'!AC:AC, 'FC Sorting 60d'!$A:$A, $A75, 'FC Sorting 60d'!$B:$B, $B75)</f>
        <v/>
      </c>
      <c r="H75" s="63">
        <f>SUMIFS('FC Sorting 60d'!AD:AD, 'FC Sorting 60d'!$A:$A, $A75, 'FC Sorting 60d'!$B:$B, $B75)</f>
        <v/>
      </c>
      <c r="I75" s="63">
        <f>SUMIFS('FC Sorting 60d'!AE:AE, 'FC Sorting 60d'!$A:$A, $A75, 'FC Sorting 60d'!$B:$B, $B75)</f>
        <v/>
      </c>
      <c r="J75" s="63">
        <f>SUMIFS('FC Sorting 60d'!AF:AF, 'FC Sorting 60d'!$A:$A, $A75, 'FC Sorting 60d'!$B:$B, $B75)</f>
        <v/>
      </c>
      <c r="K75" s="63">
        <f>SUMIFS('FC Sorting 60d'!AG:AG, 'FC Sorting 60d'!$A:$A, $A75, 'FC Sorting 60d'!$B:$B, $B75)</f>
        <v/>
      </c>
      <c r="L75" s="63">
        <f>SUMIFS('FC Sorting 60d'!AH:AH, 'FC Sorting 60d'!$A:$A, $A75, 'FC Sorting 60d'!$B:$B, $B75)</f>
        <v/>
      </c>
      <c r="M75" s="64">
        <f>SUM(C75:L75)</f>
        <v/>
      </c>
      <c r="N75" s="64">
        <f>AVERAGE(C75:L75)</f>
        <v/>
      </c>
    </row>
    <row r="76">
      <c r="A76" s="72" t="inlineStr">
        <is>
          <t>Kho Chuyển Tiếp Đức Trọng-Lâm Đồng</t>
        </is>
      </c>
      <c r="B76" s="72" t="inlineStr">
        <is>
          <t>Total</t>
        </is>
      </c>
      <c r="C76" s="73">
        <f>SUMIFS('FC Sorting 60d'!Y:Y, 'FC Sorting 60d'!$A:$A, $A76, 'FC Sorting 60d'!$B:$B, $B76)</f>
        <v/>
      </c>
      <c r="D76" s="73">
        <f>SUMIFS('FC Sorting 60d'!Z:Z, 'FC Sorting 60d'!$A:$A, $A76, 'FC Sorting 60d'!$B:$B, $B76)</f>
        <v/>
      </c>
      <c r="E76" s="73">
        <f>SUMIFS('FC Sorting 60d'!AA:AA, 'FC Sorting 60d'!$A:$A, $A76, 'FC Sorting 60d'!$B:$B, $B76)</f>
        <v/>
      </c>
      <c r="F76" s="73">
        <f>SUMIFS('FC Sorting 60d'!AB:AB, 'FC Sorting 60d'!$A:$A, $A76, 'FC Sorting 60d'!$B:$B, $B76)</f>
        <v/>
      </c>
      <c r="G76" s="73">
        <f>SUMIFS('FC Sorting 60d'!AC:AC, 'FC Sorting 60d'!$A:$A, $A76, 'FC Sorting 60d'!$B:$B, $B76)</f>
        <v/>
      </c>
      <c r="H76" s="73">
        <f>SUMIFS('FC Sorting 60d'!AD:AD, 'FC Sorting 60d'!$A:$A, $A76, 'FC Sorting 60d'!$B:$B, $B76)</f>
        <v/>
      </c>
      <c r="I76" s="73">
        <f>SUMIFS('FC Sorting 60d'!AE:AE, 'FC Sorting 60d'!$A:$A, $A76, 'FC Sorting 60d'!$B:$B, $B76)</f>
        <v/>
      </c>
      <c r="J76" s="73">
        <f>SUMIFS('FC Sorting 60d'!AF:AF, 'FC Sorting 60d'!$A:$A, $A76, 'FC Sorting 60d'!$B:$B, $B76)</f>
        <v/>
      </c>
      <c r="K76" s="73">
        <f>SUMIFS('FC Sorting 60d'!AG:AG, 'FC Sorting 60d'!$A:$A, $A76, 'FC Sorting 60d'!$B:$B, $B76)</f>
        <v/>
      </c>
      <c r="L76" s="73">
        <f>SUMIFS('FC Sorting 60d'!AH:AH, 'FC Sorting 60d'!$A:$A, $A76, 'FC Sorting 60d'!$B:$B, $B76)</f>
        <v/>
      </c>
      <c r="M76" s="73">
        <f>SUM(C76:L76)</f>
        <v/>
      </c>
      <c r="N76" s="73">
        <f>AVERAGE(C76:L76)</f>
        <v/>
      </c>
    </row>
    <row r="77">
      <c r="A77" s="62" t="inlineStr">
        <is>
          <t>Kho Chuyển Tiếp Bảo Lộc-Lâm Đồng</t>
        </is>
      </c>
      <c r="B77" s="62" t="inlineStr">
        <is>
          <t>Normal</t>
        </is>
      </c>
      <c r="C77" s="63">
        <f>SUMIFS('FC Sorting 60d'!Y:Y, 'FC Sorting 60d'!$A:$A, $A77, 'FC Sorting 60d'!$B:$B, $B77)</f>
        <v/>
      </c>
      <c r="D77" s="63">
        <f>SUMIFS('FC Sorting 60d'!Z:Z, 'FC Sorting 60d'!$A:$A, $A77, 'FC Sorting 60d'!$B:$B, $B77)</f>
        <v/>
      </c>
      <c r="E77" s="63">
        <f>SUMIFS('FC Sorting 60d'!AA:AA, 'FC Sorting 60d'!$A:$A, $A77, 'FC Sorting 60d'!$B:$B, $B77)</f>
        <v/>
      </c>
      <c r="F77" s="63">
        <f>SUMIFS('FC Sorting 60d'!AB:AB, 'FC Sorting 60d'!$A:$A, $A77, 'FC Sorting 60d'!$B:$B, $B77)</f>
        <v/>
      </c>
      <c r="G77" s="63">
        <f>SUMIFS('FC Sorting 60d'!AC:AC, 'FC Sorting 60d'!$A:$A, $A77, 'FC Sorting 60d'!$B:$B, $B77)</f>
        <v/>
      </c>
      <c r="H77" s="63">
        <f>SUMIFS('FC Sorting 60d'!AD:AD, 'FC Sorting 60d'!$A:$A, $A77, 'FC Sorting 60d'!$B:$B, $B77)</f>
        <v/>
      </c>
      <c r="I77" s="63">
        <f>SUMIFS('FC Sorting 60d'!AE:AE, 'FC Sorting 60d'!$A:$A, $A77, 'FC Sorting 60d'!$B:$B, $B77)</f>
        <v/>
      </c>
      <c r="J77" s="63">
        <f>SUMIFS('FC Sorting 60d'!AF:AF, 'FC Sorting 60d'!$A:$A, $A77, 'FC Sorting 60d'!$B:$B, $B77)</f>
        <v/>
      </c>
      <c r="K77" s="63">
        <f>SUMIFS('FC Sorting 60d'!AG:AG, 'FC Sorting 60d'!$A:$A, $A77, 'FC Sorting 60d'!$B:$B, $B77)</f>
        <v/>
      </c>
      <c r="L77" s="63">
        <f>SUMIFS('FC Sorting 60d'!AH:AH, 'FC Sorting 60d'!$A:$A, $A77, 'FC Sorting 60d'!$B:$B, $B77)</f>
        <v/>
      </c>
      <c r="M77" s="64">
        <f>SUM(C77:L77)</f>
        <v/>
      </c>
      <c r="N77" s="64">
        <f>AVERAGE(C77:L77)</f>
        <v/>
      </c>
    </row>
    <row r="78">
      <c r="A78" s="62" t="inlineStr">
        <is>
          <t>Kho Chuyển Tiếp Bảo Lộc-Lâm Đồng</t>
        </is>
      </c>
      <c r="B78" s="62" t="inlineStr">
        <is>
          <t>Bulky</t>
        </is>
      </c>
      <c r="C78" s="63">
        <f>SUMIFS('FC Sorting 60d'!Y:Y, 'FC Sorting 60d'!$A:$A, $A78, 'FC Sorting 60d'!$B:$B, $B78)</f>
        <v/>
      </c>
      <c r="D78" s="63">
        <f>SUMIFS('FC Sorting 60d'!Z:Z, 'FC Sorting 60d'!$A:$A, $A78, 'FC Sorting 60d'!$B:$B, $B78)</f>
        <v/>
      </c>
      <c r="E78" s="63">
        <f>SUMIFS('FC Sorting 60d'!AA:AA, 'FC Sorting 60d'!$A:$A, $A78, 'FC Sorting 60d'!$B:$B, $B78)</f>
        <v/>
      </c>
      <c r="F78" s="63">
        <f>SUMIFS('FC Sorting 60d'!AB:AB, 'FC Sorting 60d'!$A:$A, $A78, 'FC Sorting 60d'!$B:$B, $B78)</f>
        <v/>
      </c>
      <c r="G78" s="63">
        <f>SUMIFS('FC Sorting 60d'!AC:AC, 'FC Sorting 60d'!$A:$A, $A78, 'FC Sorting 60d'!$B:$B, $B78)</f>
        <v/>
      </c>
      <c r="H78" s="63">
        <f>SUMIFS('FC Sorting 60d'!AD:AD, 'FC Sorting 60d'!$A:$A, $A78, 'FC Sorting 60d'!$B:$B, $B78)</f>
        <v/>
      </c>
      <c r="I78" s="63">
        <f>SUMIFS('FC Sorting 60d'!AE:AE, 'FC Sorting 60d'!$A:$A, $A78, 'FC Sorting 60d'!$B:$B, $B78)</f>
        <v/>
      </c>
      <c r="J78" s="63">
        <f>SUMIFS('FC Sorting 60d'!AF:AF, 'FC Sorting 60d'!$A:$A, $A78, 'FC Sorting 60d'!$B:$B, $B78)</f>
        <v/>
      </c>
      <c r="K78" s="63">
        <f>SUMIFS('FC Sorting 60d'!AG:AG, 'FC Sorting 60d'!$A:$A, $A78, 'FC Sorting 60d'!$B:$B, $B78)</f>
        <v/>
      </c>
      <c r="L78" s="63">
        <f>SUMIFS('FC Sorting 60d'!AH:AH, 'FC Sorting 60d'!$A:$A, $A78, 'FC Sorting 60d'!$B:$B, $B78)</f>
        <v/>
      </c>
      <c r="M78" s="64">
        <f>SUM(C78:L78)</f>
        <v/>
      </c>
      <c r="N78" s="64">
        <f>AVERAGE(C78:L78)</f>
        <v/>
      </c>
    </row>
    <row r="79">
      <c r="A79" s="62" t="inlineStr">
        <is>
          <t>Kho Chuyển Tiếp Bảo Lộc-Lâm Đồng</t>
        </is>
      </c>
      <c r="B79" s="62" t="inlineStr">
        <is>
          <t>Freight</t>
        </is>
      </c>
      <c r="C79" s="63">
        <f>SUMIFS('FC Sorting 60d'!Y:Y, 'FC Sorting 60d'!$A:$A, $A79, 'FC Sorting 60d'!$B:$B, $B79)</f>
        <v/>
      </c>
      <c r="D79" s="63">
        <f>SUMIFS('FC Sorting 60d'!Z:Z, 'FC Sorting 60d'!$A:$A, $A79, 'FC Sorting 60d'!$B:$B, $B79)</f>
        <v/>
      </c>
      <c r="E79" s="63">
        <f>SUMIFS('FC Sorting 60d'!AA:AA, 'FC Sorting 60d'!$A:$A, $A79, 'FC Sorting 60d'!$B:$B, $B79)</f>
        <v/>
      </c>
      <c r="F79" s="63">
        <f>SUMIFS('FC Sorting 60d'!AB:AB, 'FC Sorting 60d'!$A:$A, $A79, 'FC Sorting 60d'!$B:$B, $B79)</f>
        <v/>
      </c>
      <c r="G79" s="63">
        <f>SUMIFS('FC Sorting 60d'!AC:AC, 'FC Sorting 60d'!$A:$A, $A79, 'FC Sorting 60d'!$B:$B, $B79)</f>
        <v/>
      </c>
      <c r="H79" s="63">
        <f>SUMIFS('FC Sorting 60d'!AD:AD, 'FC Sorting 60d'!$A:$A, $A79, 'FC Sorting 60d'!$B:$B, $B79)</f>
        <v/>
      </c>
      <c r="I79" s="63">
        <f>SUMIFS('FC Sorting 60d'!AE:AE, 'FC Sorting 60d'!$A:$A, $A79, 'FC Sorting 60d'!$B:$B, $B79)</f>
        <v/>
      </c>
      <c r="J79" s="63">
        <f>SUMIFS('FC Sorting 60d'!AF:AF, 'FC Sorting 60d'!$A:$A, $A79, 'FC Sorting 60d'!$B:$B, $B79)</f>
        <v/>
      </c>
      <c r="K79" s="63">
        <f>SUMIFS('FC Sorting 60d'!AG:AG, 'FC Sorting 60d'!$A:$A, $A79, 'FC Sorting 60d'!$B:$B, $B79)</f>
        <v/>
      </c>
      <c r="L79" s="63">
        <f>SUMIFS('FC Sorting 60d'!AH:AH, 'FC Sorting 60d'!$A:$A, $A79, 'FC Sorting 60d'!$B:$B, $B79)</f>
        <v/>
      </c>
      <c r="M79" s="64">
        <f>SUM(C79:L79)</f>
        <v/>
      </c>
      <c r="N79" s="64">
        <f>AVERAGE(C79:L79)</f>
        <v/>
      </c>
    </row>
    <row r="80">
      <c r="A80" s="72" t="inlineStr">
        <is>
          <t>Kho Chuyển Tiếp Bảo Lộc-Lâm Đồng</t>
        </is>
      </c>
      <c r="B80" s="72" t="inlineStr">
        <is>
          <t>Total</t>
        </is>
      </c>
      <c r="C80" s="73">
        <f>SUMIFS('FC Sorting 60d'!Y:Y, 'FC Sorting 60d'!$A:$A, $A80, 'FC Sorting 60d'!$B:$B, $B80)</f>
        <v/>
      </c>
      <c r="D80" s="73">
        <f>SUMIFS('FC Sorting 60d'!Z:Z, 'FC Sorting 60d'!$A:$A, $A80, 'FC Sorting 60d'!$B:$B, $B80)</f>
        <v/>
      </c>
      <c r="E80" s="73">
        <f>SUMIFS('FC Sorting 60d'!AA:AA, 'FC Sorting 60d'!$A:$A, $A80, 'FC Sorting 60d'!$B:$B, $B80)</f>
        <v/>
      </c>
      <c r="F80" s="73">
        <f>SUMIFS('FC Sorting 60d'!AB:AB, 'FC Sorting 60d'!$A:$A, $A80, 'FC Sorting 60d'!$B:$B, $B80)</f>
        <v/>
      </c>
      <c r="G80" s="73">
        <f>SUMIFS('FC Sorting 60d'!AC:AC, 'FC Sorting 60d'!$A:$A, $A80, 'FC Sorting 60d'!$B:$B, $B80)</f>
        <v/>
      </c>
      <c r="H80" s="73">
        <f>SUMIFS('FC Sorting 60d'!AD:AD, 'FC Sorting 60d'!$A:$A, $A80, 'FC Sorting 60d'!$B:$B, $B80)</f>
        <v/>
      </c>
      <c r="I80" s="73">
        <f>SUMIFS('FC Sorting 60d'!AE:AE, 'FC Sorting 60d'!$A:$A, $A80, 'FC Sorting 60d'!$B:$B, $B80)</f>
        <v/>
      </c>
      <c r="J80" s="73">
        <f>SUMIFS('FC Sorting 60d'!AF:AF, 'FC Sorting 60d'!$A:$A, $A80, 'FC Sorting 60d'!$B:$B, $B80)</f>
        <v/>
      </c>
      <c r="K80" s="73">
        <f>SUMIFS('FC Sorting 60d'!AG:AG, 'FC Sorting 60d'!$A:$A, $A80, 'FC Sorting 60d'!$B:$B, $B80)</f>
        <v/>
      </c>
      <c r="L80" s="73">
        <f>SUMIFS('FC Sorting 60d'!AH:AH, 'FC Sorting 60d'!$A:$A, $A80, 'FC Sorting 60d'!$B:$B, $B80)</f>
        <v/>
      </c>
      <c r="M80" s="73">
        <f>SUM(C80:L80)</f>
        <v/>
      </c>
      <c r="N80" s="73">
        <f>AVERAGE(C80:L80)</f>
        <v/>
      </c>
    </row>
    <row r="81">
      <c r="A81" s="62" t="inlineStr">
        <is>
          <t>Kho Chuyển Tiếp Đắk Nông</t>
        </is>
      </c>
      <c r="B81" s="62" t="inlineStr">
        <is>
          <t>Normal</t>
        </is>
      </c>
      <c r="C81" s="63">
        <f>SUMIFS('FC Sorting 60d'!Y:Y, 'FC Sorting 60d'!$A:$A, $A81, 'FC Sorting 60d'!$B:$B, $B81)</f>
        <v/>
      </c>
      <c r="D81" s="63">
        <f>SUMIFS('FC Sorting 60d'!Z:Z, 'FC Sorting 60d'!$A:$A, $A81, 'FC Sorting 60d'!$B:$B, $B81)</f>
        <v/>
      </c>
      <c r="E81" s="63">
        <f>SUMIFS('FC Sorting 60d'!AA:AA, 'FC Sorting 60d'!$A:$A, $A81, 'FC Sorting 60d'!$B:$B, $B81)</f>
        <v/>
      </c>
      <c r="F81" s="63">
        <f>SUMIFS('FC Sorting 60d'!AB:AB, 'FC Sorting 60d'!$A:$A, $A81, 'FC Sorting 60d'!$B:$B, $B81)</f>
        <v/>
      </c>
      <c r="G81" s="63">
        <f>SUMIFS('FC Sorting 60d'!AC:AC, 'FC Sorting 60d'!$A:$A, $A81, 'FC Sorting 60d'!$B:$B, $B81)</f>
        <v/>
      </c>
      <c r="H81" s="63">
        <f>SUMIFS('FC Sorting 60d'!AD:AD, 'FC Sorting 60d'!$A:$A, $A81, 'FC Sorting 60d'!$B:$B, $B81)</f>
        <v/>
      </c>
      <c r="I81" s="63">
        <f>SUMIFS('FC Sorting 60d'!AE:AE, 'FC Sorting 60d'!$A:$A, $A81, 'FC Sorting 60d'!$B:$B, $B81)</f>
        <v/>
      </c>
      <c r="J81" s="63">
        <f>SUMIFS('FC Sorting 60d'!AF:AF, 'FC Sorting 60d'!$A:$A, $A81, 'FC Sorting 60d'!$B:$B, $B81)</f>
        <v/>
      </c>
      <c r="K81" s="63">
        <f>SUMIFS('FC Sorting 60d'!AG:AG, 'FC Sorting 60d'!$A:$A, $A81, 'FC Sorting 60d'!$B:$B, $B81)</f>
        <v/>
      </c>
      <c r="L81" s="63">
        <f>SUMIFS('FC Sorting 60d'!AH:AH, 'FC Sorting 60d'!$A:$A, $A81, 'FC Sorting 60d'!$B:$B, $B81)</f>
        <v/>
      </c>
      <c r="M81" s="64">
        <f>SUM(C81:L81)</f>
        <v/>
      </c>
      <c r="N81" s="64">
        <f>AVERAGE(C81:L81)</f>
        <v/>
      </c>
    </row>
    <row r="82">
      <c r="A82" s="62" t="inlineStr">
        <is>
          <t>Kho Chuyển Tiếp Đắk Nông</t>
        </is>
      </c>
      <c r="B82" s="62" t="inlineStr">
        <is>
          <t>Bulky</t>
        </is>
      </c>
      <c r="C82" s="63">
        <f>SUMIFS('FC Sorting 60d'!Y:Y, 'FC Sorting 60d'!$A:$A, $A82, 'FC Sorting 60d'!$B:$B, $B82)</f>
        <v/>
      </c>
      <c r="D82" s="63">
        <f>SUMIFS('FC Sorting 60d'!Z:Z, 'FC Sorting 60d'!$A:$A, $A82, 'FC Sorting 60d'!$B:$B, $B82)</f>
        <v/>
      </c>
      <c r="E82" s="63">
        <f>SUMIFS('FC Sorting 60d'!AA:AA, 'FC Sorting 60d'!$A:$A, $A82, 'FC Sorting 60d'!$B:$B, $B82)</f>
        <v/>
      </c>
      <c r="F82" s="63">
        <f>SUMIFS('FC Sorting 60d'!AB:AB, 'FC Sorting 60d'!$A:$A, $A82, 'FC Sorting 60d'!$B:$B, $B82)</f>
        <v/>
      </c>
      <c r="G82" s="63">
        <f>SUMIFS('FC Sorting 60d'!AC:AC, 'FC Sorting 60d'!$A:$A, $A82, 'FC Sorting 60d'!$B:$B, $B82)</f>
        <v/>
      </c>
      <c r="H82" s="63">
        <f>SUMIFS('FC Sorting 60d'!AD:AD, 'FC Sorting 60d'!$A:$A, $A82, 'FC Sorting 60d'!$B:$B, $B82)</f>
        <v/>
      </c>
      <c r="I82" s="63">
        <f>SUMIFS('FC Sorting 60d'!AE:AE, 'FC Sorting 60d'!$A:$A, $A82, 'FC Sorting 60d'!$B:$B, $B82)</f>
        <v/>
      </c>
      <c r="J82" s="63">
        <f>SUMIFS('FC Sorting 60d'!AF:AF, 'FC Sorting 60d'!$A:$A, $A82, 'FC Sorting 60d'!$B:$B, $B82)</f>
        <v/>
      </c>
      <c r="K82" s="63">
        <f>SUMIFS('FC Sorting 60d'!AG:AG, 'FC Sorting 60d'!$A:$A, $A82, 'FC Sorting 60d'!$B:$B, $B82)</f>
        <v/>
      </c>
      <c r="L82" s="63">
        <f>SUMIFS('FC Sorting 60d'!AH:AH, 'FC Sorting 60d'!$A:$A, $A82, 'FC Sorting 60d'!$B:$B, $B82)</f>
        <v/>
      </c>
      <c r="M82" s="64">
        <f>SUM(C82:L82)</f>
        <v/>
      </c>
      <c r="N82" s="64">
        <f>AVERAGE(C82:L82)</f>
        <v/>
      </c>
    </row>
    <row r="83">
      <c r="A83" s="62" t="inlineStr">
        <is>
          <t>Kho Chuyển Tiếp Đắk Nông</t>
        </is>
      </c>
      <c r="B83" s="62" t="inlineStr">
        <is>
          <t>Freight</t>
        </is>
      </c>
      <c r="C83" s="63">
        <f>SUMIFS('FC Sorting 60d'!Y:Y, 'FC Sorting 60d'!$A:$A, $A83, 'FC Sorting 60d'!$B:$B, $B83)</f>
        <v/>
      </c>
      <c r="D83" s="63">
        <f>SUMIFS('FC Sorting 60d'!Z:Z, 'FC Sorting 60d'!$A:$A, $A83, 'FC Sorting 60d'!$B:$B, $B83)</f>
        <v/>
      </c>
      <c r="E83" s="63">
        <f>SUMIFS('FC Sorting 60d'!AA:AA, 'FC Sorting 60d'!$A:$A, $A83, 'FC Sorting 60d'!$B:$B, $B83)</f>
        <v/>
      </c>
      <c r="F83" s="63">
        <f>SUMIFS('FC Sorting 60d'!AB:AB, 'FC Sorting 60d'!$A:$A, $A83, 'FC Sorting 60d'!$B:$B, $B83)</f>
        <v/>
      </c>
      <c r="G83" s="63">
        <f>SUMIFS('FC Sorting 60d'!AC:AC, 'FC Sorting 60d'!$A:$A, $A83, 'FC Sorting 60d'!$B:$B, $B83)</f>
        <v/>
      </c>
      <c r="H83" s="63">
        <f>SUMIFS('FC Sorting 60d'!AD:AD, 'FC Sorting 60d'!$A:$A, $A83, 'FC Sorting 60d'!$B:$B, $B83)</f>
        <v/>
      </c>
      <c r="I83" s="63">
        <f>SUMIFS('FC Sorting 60d'!AE:AE, 'FC Sorting 60d'!$A:$A, $A83, 'FC Sorting 60d'!$B:$B, $B83)</f>
        <v/>
      </c>
      <c r="J83" s="63">
        <f>SUMIFS('FC Sorting 60d'!AF:AF, 'FC Sorting 60d'!$A:$A, $A83, 'FC Sorting 60d'!$B:$B, $B83)</f>
        <v/>
      </c>
      <c r="K83" s="63">
        <f>SUMIFS('FC Sorting 60d'!AG:AG, 'FC Sorting 60d'!$A:$A, $A83, 'FC Sorting 60d'!$B:$B, $B83)</f>
        <v/>
      </c>
      <c r="L83" s="63">
        <f>SUMIFS('FC Sorting 60d'!AH:AH, 'FC Sorting 60d'!$A:$A, $A83, 'FC Sorting 60d'!$B:$B, $B83)</f>
        <v/>
      </c>
      <c r="M83" s="64">
        <f>SUM(C83:L83)</f>
        <v/>
      </c>
      <c r="N83" s="64">
        <f>AVERAGE(C83:L83)</f>
        <v/>
      </c>
    </row>
    <row r="84">
      <c r="A84" s="72" t="inlineStr">
        <is>
          <t>Kho Chuyển Tiếp Đắk Nông</t>
        </is>
      </c>
      <c r="B84" s="72" t="inlineStr">
        <is>
          <t>Total</t>
        </is>
      </c>
      <c r="C84" s="73">
        <f>SUMIFS('FC Sorting 60d'!Y:Y, 'FC Sorting 60d'!$A:$A, $A84, 'FC Sorting 60d'!$B:$B, $B84)</f>
        <v/>
      </c>
      <c r="D84" s="73">
        <f>SUMIFS('FC Sorting 60d'!Z:Z, 'FC Sorting 60d'!$A:$A, $A84, 'FC Sorting 60d'!$B:$B, $B84)</f>
        <v/>
      </c>
      <c r="E84" s="73">
        <f>SUMIFS('FC Sorting 60d'!AA:AA, 'FC Sorting 60d'!$A:$A, $A84, 'FC Sorting 60d'!$B:$B, $B84)</f>
        <v/>
      </c>
      <c r="F84" s="73">
        <f>SUMIFS('FC Sorting 60d'!AB:AB, 'FC Sorting 60d'!$A:$A, $A84, 'FC Sorting 60d'!$B:$B, $B84)</f>
        <v/>
      </c>
      <c r="G84" s="73">
        <f>SUMIFS('FC Sorting 60d'!AC:AC, 'FC Sorting 60d'!$A:$A, $A84, 'FC Sorting 60d'!$B:$B, $B84)</f>
        <v/>
      </c>
      <c r="H84" s="73">
        <f>SUMIFS('FC Sorting 60d'!AD:AD, 'FC Sorting 60d'!$A:$A, $A84, 'FC Sorting 60d'!$B:$B, $B84)</f>
        <v/>
      </c>
      <c r="I84" s="73">
        <f>SUMIFS('FC Sorting 60d'!AE:AE, 'FC Sorting 60d'!$A:$A, $A84, 'FC Sorting 60d'!$B:$B, $B84)</f>
        <v/>
      </c>
      <c r="J84" s="73">
        <f>SUMIFS('FC Sorting 60d'!AF:AF, 'FC Sorting 60d'!$A:$A, $A84, 'FC Sorting 60d'!$B:$B, $B84)</f>
        <v/>
      </c>
      <c r="K84" s="73">
        <f>SUMIFS('FC Sorting 60d'!AG:AG, 'FC Sorting 60d'!$A:$A, $A84, 'FC Sorting 60d'!$B:$B, $B84)</f>
        <v/>
      </c>
      <c r="L84" s="73">
        <f>SUMIFS('FC Sorting 60d'!AH:AH, 'FC Sorting 60d'!$A:$A, $A84, 'FC Sorting 60d'!$B:$B, $B84)</f>
        <v/>
      </c>
      <c r="M84" s="73">
        <f>SUM(C84:L84)</f>
        <v/>
      </c>
      <c r="N84" s="73">
        <f>AVERAGE(C84:L84)</f>
        <v/>
      </c>
    </row>
    <row r="85">
      <c r="A85" s="74" t="inlineStr">
        <is>
          <t>TỔNG NTB SORTING</t>
        </is>
      </c>
      <c r="B85" s="74" t="inlineStr">
        <is>
          <t>TỔNG KTC</t>
        </is>
      </c>
      <c r="C85" s="66">
        <f>C68+C72+C76+C80+C84</f>
        <v/>
      </c>
      <c r="D85" s="66">
        <f>D68+D72+D76+D80+D84</f>
        <v/>
      </c>
      <c r="E85" s="66">
        <f>E68+E72+E76+E80+E84</f>
        <v/>
      </c>
      <c r="F85" s="66">
        <f>F68+F72+F76+F80+F84</f>
        <v/>
      </c>
      <c r="G85" s="66">
        <f>G68+G72+G76+G80+G84</f>
        <v/>
      </c>
      <c r="H85" s="66">
        <f>H68+H72+H76+H80+H84</f>
        <v/>
      </c>
      <c r="I85" s="66">
        <f>I68+I72+I76+I80+I84</f>
        <v/>
      </c>
      <c r="J85" s="66">
        <f>J68+J72+J76+J80+J84</f>
        <v/>
      </c>
      <c r="K85" s="66">
        <f>K68+K72+K76+K80+K84</f>
        <v/>
      </c>
      <c r="L85" s="66">
        <f>L68+L72+L76+L80+L84</f>
        <v/>
      </c>
      <c r="M85" s="66">
        <f>M68+M72+M76+M80+M84</f>
        <v/>
      </c>
      <c r="N85" s="66">
        <f>N68+N72+N76+N80+N84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ColWidth="12.63" defaultRowHeight="15" customHeight="1" outlineLevelCol="0"/>
  <cols>
    <col width="28" customWidth="1" style="57" min="1" max="1"/>
    <col width="16" customWidth="1" style="57" min="2" max="2"/>
    <col width="15" customWidth="1" style="57" min="3" max="13"/>
    <col width="8.630000000000001" customWidth="1" style="57" min="14" max="26"/>
  </cols>
  <sheetData>
    <row r="1">
      <c r="A1" s="21" t="inlineStr">
        <is>
          <t>1. VOLUME LẤY THEO KH (Event 8.8)</t>
        </is>
      </c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  <c r="M1" s="49" t="n"/>
    </row>
    <row r="2">
      <c r="A2" s="6" t="inlineStr">
        <is>
          <t>Sàn / Kênh</t>
        </is>
      </c>
      <c r="B2" s="6" t="inlineStr">
        <is>
          <t>06/08</t>
        </is>
      </c>
      <c r="C2" s="6" t="inlineStr">
        <is>
          <t>07/08</t>
        </is>
      </c>
      <c r="D2" s="6" t="inlineStr">
        <is>
          <t>08/08</t>
        </is>
      </c>
      <c r="E2" s="6" t="inlineStr">
        <is>
          <t>09/08</t>
        </is>
      </c>
      <c r="F2" s="6" t="inlineStr">
        <is>
          <t>10/08</t>
        </is>
      </c>
      <c r="G2" s="6" t="inlineStr">
        <is>
          <t>11/08</t>
        </is>
      </c>
      <c r="H2" s="6" t="inlineStr">
        <is>
          <t>12/08</t>
        </is>
      </c>
      <c r="I2" s="6" t="inlineStr">
        <is>
          <t>13/08</t>
        </is>
      </c>
      <c r="J2" s="6" t="inlineStr">
        <is>
          <t>14/08</t>
        </is>
      </c>
      <c r="K2" s="6" t="inlineStr">
        <is>
          <t>15/08</t>
        </is>
      </c>
      <c r="L2" s="6" t="inlineStr">
        <is>
          <t>Tổng 10 ngày</t>
        </is>
      </c>
      <c r="M2" s="6" t="inlineStr">
        <is>
          <t>Trung bình</t>
        </is>
      </c>
    </row>
    <row r="3">
      <c r="A3" s="10" t="inlineStr">
        <is>
          <t>Shopee</t>
        </is>
      </c>
      <c r="B3" s="14">
        <f>SUMIFS('6_FC_Lay_Daily'!AB:AB, '6_FC_Lay_Daily'!$E:$E, $A3)</f>
        <v/>
      </c>
      <c r="C3" s="14">
        <f>SUMIFS('6_FC_Lay_Daily'!AC:AC, '6_FC_Lay_Daily'!$E:$E, $A3)</f>
        <v/>
      </c>
      <c r="D3" s="14">
        <f>SUMIFS('6_FC_Lay_Daily'!AD:AD, '6_FC_Lay_Daily'!$E:$E, $A3)</f>
        <v/>
      </c>
      <c r="E3" s="14">
        <f>SUMIFS('6_FC_Lay_Daily'!AE:AE, '6_FC_Lay_Daily'!$E:$E, $A3)</f>
        <v/>
      </c>
      <c r="F3" s="14">
        <f>SUMIFS('6_FC_Lay_Daily'!AF:AF, '6_FC_Lay_Daily'!$E:$E, $A3)</f>
        <v/>
      </c>
      <c r="G3" s="14">
        <f>SUMIFS('6_FC_Lay_Daily'!AG:AG, '6_FC_Lay_Daily'!$E:$E, $A3)</f>
        <v/>
      </c>
      <c r="H3" s="14">
        <f>SUMIFS('6_FC_Lay_Daily'!AH:AH, '6_FC_Lay_Daily'!$E:$E, $A3)</f>
        <v/>
      </c>
      <c r="I3" s="14">
        <f>SUMIFS('6_FC_Lay_Daily'!AI:AI, '6_FC_Lay_Daily'!$E:$E, $A3)</f>
        <v/>
      </c>
      <c r="J3" s="14">
        <f>SUMIFS('6_FC_Lay_Daily'!AJ:AJ, '6_FC_Lay_Daily'!$E:$E, $A3)</f>
        <v/>
      </c>
      <c r="K3" s="14">
        <f>SUMIFS('6_FC_Lay_Daily'!AK:AK, '6_FC_Lay_Daily'!$E:$E, $A3)</f>
        <v/>
      </c>
      <c r="L3" s="17">
        <f>SUM(B3:K3)</f>
        <v/>
      </c>
      <c r="M3" s="17">
        <f>AVERAGE(B3:K3)</f>
        <v/>
      </c>
    </row>
    <row r="4">
      <c r="A4" s="10" t="inlineStr">
        <is>
          <t>Shopee-Bulky</t>
        </is>
      </c>
      <c r="B4" s="14">
        <f>SUMIFS('6_FC_Lay_Daily'!AB:AB, '6_FC_Lay_Daily'!$E:$E, $A4)</f>
        <v/>
      </c>
      <c r="C4" s="14">
        <f>SUMIFS('6_FC_Lay_Daily'!AC:AC, '6_FC_Lay_Daily'!$E:$E, $A4)</f>
        <v/>
      </c>
      <c r="D4" s="14">
        <f>SUMIFS('6_FC_Lay_Daily'!AD:AD, '6_FC_Lay_Daily'!$E:$E, $A4)</f>
        <v/>
      </c>
      <c r="E4" s="14">
        <f>SUMIFS('6_FC_Lay_Daily'!AE:AE, '6_FC_Lay_Daily'!$E:$E, $A4)</f>
        <v/>
      </c>
      <c r="F4" s="14">
        <f>SUMIFS('6_FC_Lay_Daily'!AF:AF, '6_FC_Lay_Daily'!$E:$E, $A4)</f>
        <v/>
      </c>
      <c r="G4" s="14">
        <f>SUMIFS('6_FC_Lay_Daily'!AG:AG, '6_FC_Lay_Daily'!$E:$E, $A4)</f>
        <v/>
      </c>
      <c r="H4" s="14">
        <f>SUMIFS('6_FC_Lay_Daily'!AH:AH, '6_FC_Lay_Daily'!$E:$E, $A4)</f>
        <v/>
      </c>
      <c r="I4" s="14">
        <f>SUMIFS('6_FC_Lay_Daily'!AI:AI, '6_FC_Lay_Daily'!$E:$E, $A4)</f>
        <v/>
      </c>
      <c r="J4" s="14">
        <f>SUMIFS('6_FC_Lay_Daily'!AJ:AJ, '6_FC_Lay_Daily'!$E:$E, $A4)</f>
        <v/>
      </c>
      <c r="K4" s="14">
        <f>SUMIFS('6_FC_Lay_Daily'!AK:AK, '6_FC_Lay_Daily'!$E:$E, $A4)</f>
        <v/>
      </c>
      <c r="L4" s="17">
        <f>SUM(B4:K4)</f>
        <v/>
      </c>
      <c r="M4" s="17">
        <f>AVERAGE(B4:K4)</f>
        <v/>
      </c>
    </row>
    <row r="5">
      <c r="A5" s="10" t="inlineStr">
        <is>
          <t>Shopee-Bulky (10-15kg)</t>
        </is>
      </c>
      <c r="B5" s="14">
        <f>SUMIFS('6_FC_Lay_Daily'!AB:AB, '6_FC_Lay_Daily'!$E:$E, $A5)</f>
        <v/>
      </c>
      <c r="C5" s="14">
        <f>SUMIFS('6_FC_Lay_Daily'!AC:AC, '6_FC_Lay_Daily'!$E:$E, $A5)</f>
        <v/>
      </c>
      <c r="D5" s="14">
        <f>SUMIFS('6_FC_Lay_Daily'!AD:AD, '6_FC_Lay_Daily'!$E:$E, $A5)</f>
        <v/>
      </c>
      <c r="E5" s="14">
        <f>SUMIFS('6_FC_Lay_Daily'!AE:AE, '6_FC_Lay_Daily'!$E:$E, $A5)</f>
        <v/>
      </c>
      <c r="F5" s="14">
        <f>SUMIFS('6_FC_Lay_Daily'!AF:AF, '6_FC_Lay_Daily'!$E:$E, $A5)</f>
        <v/>
      </c>
      <c r="G5" s="14">
        <f>SUMIFS('6_FC_Lay_Daily'!AG:AG, '6_FC_Lay_Daily'!$E:$E, $A5)</f>
        <v/>
      </c>
      <c r="H5" s="14">
        <f>SUMIFS('6_FC_Lay_Daily'!AH:AH, '6_FC_Lay_Daily'!$E:$E, $A5)</f>
        <v/>
      </c>
      <c r="I5" s="14">
        <f>SUMIFS('6_FC_Lay_Daily'!AI:AI, '6_FC_Lay_Daily'!$E:$E, $A5)</f>
        <v/>
      </c>
      <c r="J5" s="14">
        <f>SUMIFS('6_FC_Lay_Daily'!AJ:AJ, '6_FC_Lay_Daily'!$E:$E, $A5)</f>
        <v/>
      </c>
      <c r="K5" s="14">
        <f>SUMIFS('6_FC_Lay_Daily'!AK:AK, '6_FC_Lay_Daily'!$E:$E, $A5)</f>
        <v/>
      </c>
      <c r="L5" s="17">
        <f>SUM(B5:K5)</f>
        <v/>
      </c>
      <c r="M5" s="17">
        <f>AVERAGE(B5:K5)</f>
        <v/>
      </c>
    </row>
    <row r="6">
      <c r="A6" s="10" t="inlineStr">
        <is>
          <t>SME</t>
        </is>
      </c>
      <c r="B6" s="14">
        <f>SUMIFS('6_FC_Lay_Daily'!AB:AB, '6_FC_Lay_Daily'!$E:$E, $A6)</f>
        <v/>
      </c>
      <c r="C6" s="14">
        <f>SUMIFS('6_FC_Lay_Daily'!AC:AC, '6_FC_Lay_Daily'!$E:$E, $A6)</f>
        <v/>
      </c>
      <c r="D6" s="14">
        <f>SUMIFS('6_FC_Lay_Daily'!AD:AD, '6_FC_Lay_Daily'!$E:$E, $A6)</f>
        <v/>
      </c>
      <c r="E6" s="14">
        <f>SUMIFS('6_FC_Lay_Daily'!AE:AE, '6_FC_Lay_Daily'!$E:$E, $A6)</f>
        <v/>
      </c>
      <c r="F6" s="14">
        <f>SUMIFS('6_FC_Lay_Daily'!AF:AF, '6_FC_Lay_Daily'!$E:$E, $A6)</f>
        <v/>
      </c>
      <c r="G6" s="14">
        <f>SUMIFS('6_FC_Lay_Daily'!AG:AG, '6_FC_Lay_Daily'!$E:$E, $A6)</f>
        <v/>
      </c>
      <c r="H6" s="14">
        <f>SUMIFS('6_FC_Lay_Daily'!AH:AH, '6_FC_Lay_Daily'!$E:$E, $A6)</f>
        <v/>
      </c>
      <c r="I6" s="14">
        <f>SUMIFS('6_FC_Lay_Daily'!AI:AI, '6_FC_Lay_Daily'!$E:$E, $A6)</f>
        <v/>
      </c>
      <c r="J6" s="14">
        <f>SUMIFS('6_FC_Lay_Daily'!AJ:AJ, '6_FC_Lay_Daily'!$E:$E, $A6)</f>
        <v/>
      </c>
      <c r="K6" s="14">
        <f>SUMIFS('6_FC_Lay_Daily'!AK:AK, '6_FC_Lay_Daily'!$E:$E, $A6)</f>
        <v/>
      </c>
      <c r="L6" s="17">
        <f>SUM(B6:K6)</f>
        <v/>
      </c>
      <c r="M6" s="17">
        <f>AVERAGE(B6:K6)</f>
        <v/>
      </c>
    </row>
    <row r="7">
      <c r="A7" s="10" t="inlineStr">
        <is>
          <t>SME-Bulky</t>
        </is>
      </c>
      <c r="B7" s="14">
        <f>SUMIFS('6_FC_Lay_Daily'!AB:AB, '6_FC_Lay_Daily'!$E:$E, $A7)</f>
        <v/>
      </c>
      <c r="C7" s="14">
        <f>SUMIFS('6_FC_Lay_Daily'!AC:AC, '6_FC_Lay_Daily'!$E:$E, $A7)</f>
        <v/>
      </c>
      <c r="D7" s="14">
        <f>SUMIFS('6_FC_Lay_Daily'!AD:AD, '6_FC_Lay_Daily'!$E:$E, $A7)</f>
        <v/>
      </c>
      <c r="E7" s="14">
        <f>SUMIFS('6_FC_Lay_Daily'!AE:AE, '6_FC_Lay_Daily'!$E:$E, $A7)</f>
        <v/>
      </c>
      <c r="F7" s="14">
        <f>SUMIFS('6_FC_Lay_Daily'!AF:AF, '6_FC_Lay_Daily'!$E:$E, $A7)</f>
        <v/>
      </c>
      <c r="G7" s="14">
        <f>SUMIFS('6_FC_Lay_Daily'!AG:AG, '6_FC_Lay_Daily'!$E:$E, $A7)</f>
        <v/>
      </c>
      <c r="H7" s="14">
        <f>SUMIFS('6_FC_Lay_Daily'!AH:AH, '6_FC_Lay_Daily'!$E:$E, $A7)</f>
        <v/>
      </c>
      <c r="I7" s="14">
        <f>SUMIFS('6_FC_Lay_Daily'!AI:AI, '6_FC_Lay_Daily'!$E:$E, $A7)</f>
        <v/>
      </c>
      <c r="J7" s="14">
        <f>SUMIFS('6_FC_Lay_Daily'!AJ:AJ, '6_FC_Lay_Daily'!$E:$E, $A7)</f>
        <v/>
      </c>
      <c r="K7" s="14">
        <f>SUMIFS('6_FC_Lay_Daily'!AK:AK, '6_FC_Lay_Daily'!$E:$E, $A7)</f>
        <v/>
      </c>
      <c r="L7" s="17">
        <f>SUM(B7:K7)</f>
        <v/>
      </c>
      <c r="M7" s="17">
        <f>AVERAGE(B7:K7)</f>
        <v/>
      </c>
    </row>
    <row r="8">
      <c r="A8" s="10" t="inlineStr">
        <is>
          <t>TTS</t>
        </is>
      </c>
      <c r="B8" s="14">
        <f>SUMIFS('6_FC_Lay_Daily'!AB:AB, '6_FC_Lay_Daily'!$E:$E, $A8)</f>
        <v/>
      </c>
      <c r="C8" s="14">
        <f>SUMIFS('6_FC_Lay_Daily'!AC:AC, '6_FC_Lay_Daily'!$E:$E, $A8)</f>
        <v/>
      </c>
      <c r="D8" s="14">
        <f>SUMIFS('6_FC_Lay_Daily'!AD:AD, '6_FC_Lay_Daily'!$E:$E, $A8)</f>
        <v/>
      </c>
      <c r="E8" s="14">
        <f>SUMIFS('6_FC_Lay_Daily'!AE:AE, '6_FC_Lay_Daily'!$E:$E, $A8)</f>
        <v/>
      </c>
      <c r="F8" s="14">
        <f>SUMIFS('6_FC_Lay_Daily'!AF:AF, '6_FC_Lay_Daily'!$E:$E, $A8)</f>
        <v/>
      </c>
      <c r="G8" s="14">
        <f>SUMIFS('6_FC_Lay_Daily'!AG:AG, '6_FC_Lay_Daily'!$E:$E, $A8)</f>
        <v/>
      </c>
      <c r="H8" s="14">
        <f>SUMIFS('6_FC_Lay_Daily'!AH:AH, '6_FC_Lay_Daily'!$E:$E, $A8)</f>
        <v/>
      </c>
      <c r="I8" s="14">
        <f>SUMIFS('6_FC_Lay_Daily'!AI:AI, '6_FC_Lay_Daily'!$E:$E, $A8)</f>
        <v/>
      </c>
      <c r="J8" s="14">
        <f>SUMIFS('6_FC_Lay_Daily'!AJ:AJ, '6_FC_Lay_Daily'!$E:$E, $A8)</f>
        <v/>
      </c>
      <c r="K8" s="14">
        <f>SUMIFS('6_FC_Lay_Daily'!AK:AK, '6_FC_Lay_Daily'!$E:$E, $A8)</f>
        <v/>
      </c>
      <c r="L8" s="17">
        <f>SUM(B8:K8)</f>
        <v/>
      </c>
      <c r="M8" s="17">
        <f>AVERAGE(B8:K8)</f>
        <v/>
      </c>
    </row>
    <row r="9">
      <c r="A9" s="10" t="inlineStr">
        <is>
          <t>TTS-Bulky</t>
        </is>
      </c>
      <c r="B9" s="14">
        <f>SUMIFS('6_FC_Lay_Daily'!AB:AB, '6_FC_Lay_Daily'!$E:$E, $A9)</f>
        <v/>
      </c>
      <c r="C9" s="14">
        <f>SUMIFS('6_FC_Lay_Daily'!AC:AC, '6_FC_Lay_Daily'!$E:$E, $A9)</f>
        <v/>
      </c>
      <c r="D9" s="14">
        <f>SUMIFS('6_FC_Lay_Daily'!AD:AD, '6_FC_Lay_Daily'!$E:$E, $A9)</f>
        <v/>
      </c>
      <c r="E9" s="14">
        <f>SUMIFS('6_FC_Lay_Daily'!AE:AE, '6_FC_Lay_Daily'!$E:$E, $A9)</f>
        <v/>
      </c>
      <c r="F9" s="14">
        <f>SUMIFS('6_FC_Lay_Daily'!AF:AF, '6_FC_Lay_Daily'!$E:$E, $A9)</f>
        <v/>
      </c>
      <c r="G9" s="14">
        <f>SUMIFS('6_FC_Lay_Daily'!AG:AG, '6_FC_Lay_Daily'!$E:$E, $A9)</f>
        <v/>
      </c>
      <c r="H9" s="14">
        <f>SUMIFS('6_FC_Lay_Daily'!AH:AH, '6_FC_Lay_Daily'!$E:$E, $A9)</f>
        <v/>
      </c>
      <c r="I9" s="14">
        <f>SUMIFS('6_FC_Lay_Daily'!AI:AI, '6_FC_Lay_Daily'!$E:$E, $A9)</f>
        <v/>
      </c>
      <c r="J9" s="14">
        <f>SUMIFS('6_FC_Lay_Daily'!AJ:AJ, '6_FC_Lay_Daily'!$E:$E, $A9)</f>
        <v/>
      </c>
      <c r="K9" s="14">
        <f>SUMIFS('6_FC_Lay_Daily'!AK:AK, '6_FC_Lay_Daily'!$E:$E, $A9)</f>
        <v/>
      </c>
      <c r="L9" s="17">
        <f>SUM(B9:K9)</f>
        <v/>
      </c>
      <c r="M9" s="17">
        <f>AVERAGE(B9:K9)</f>
        <v/>
      </c>
    </row>
    <row r="10">
      <c r="A10" s="19" t="inlineStr">
        <is>
          <t>Grand Total</t>
        </is>
      </c>
      <c r="B10" s="20">
        <f>SUM(B3:B9)</f>
        <v/>
      </c>
      <c r="C10" s="20">
        <f>SUM(C3:C9)</f>
        <v/>
      </c>
      <c r="D10" s="20">
        <f>SUM(D3:D9)</f>
        <v/>
      </c>
      <c r="E10" s="20">
        <f>SUM(E3:E9)</f>
        <v/>
      </c>
      <c r="F10" s="20">
        <f>SUM(F3:F9)</f>
        <v/>
      </c>
      <c r="G10" s="20">
        <f>SUM(G3:G9)</f>
        <v/>
      </c>
      <c r="H10" s="20">
        <f>SUM(H3:H9)</f>
        <v/>
      </c>
      <c r="I10" s="20">
        <f>SUM(I3:I9)</f>
        <v/>
      </c>
      <c r="J10" s="20">
        <f>SUM(J3:J9)</f>
        <v/>
      </c>
      <c r="K10" s="20">
        <f>SUM(K3:K9)</f>
        <v/>
      </c>
      <c r="L10" s="20">
        <f>SUM(L3:L9)</f>
        <v/>
      </c>
      <c r="M10" s="20">
        <f>SUM(M3:M9)</f>
        <v/>
      </c>
    </row>
    <row r="11">
      <c r="A11" s="49" t="n"/>
      <c r="B11" s="49" t="n"/>
      <c r="C11" s="49" t="n"/>
      <c r="D11" s="49" t="n"/>
      <c r="E11" s="49" t="n"/>
      <c r="F11" s="49" t="n"/>
      <c r="G11" s="49" t="n"/>
      <c r="H11" s="49" t="n"/>
      <c r="I11" s="49" t="n"/>
      <c r="J11" s="49" t="n"/>
      <c r="K11" s="49" t="n"/>
      <c r="L11" s="49" t="n"/>
      <c r="M11" s="49" t="n"/>
    </row>
    <row r="12">
      <c r="A12" s="49" t="n"/>
      <c r="B12" s="49" t="n"/>
      <c r="C12" s="49" t="n"/>
      <c r="D12" s="49" t="n"/>
      <c r="E12" s="49" t="n"/>
      <c r="F12" s="49" t="n"/>
      <c r="G12" s="49" t="n"/>
      <c r="H12" s="49" t="n"/>
      <c r="I12" s="49" t="n"/>
      <c r="J12" s="49" t="n"/>
      <c r="K12" s="49" t="n"/>
      <c r="L12" s="49" t="n"/>
      <c r="M12" s="49" t="n"/>
    </row>
    <row r="13">
      <c r="A13" s="21" t="inlineStr">
        <is>
          <t>2. VOLUME LẤY THEO TỈNH (Event 8.8)</t>
        </is>
      </c>
      <c r="B13" s="49" t="n"/>
      <c r="C13" s="49" t="n"/>
      <c r="D13" s="49" t="n"/>
      <c r="E13" s="49" t="n"/>
      <c r="F13" s="49" t="n"/>
      <c r="G13" s="49" t="n"/>
      <c r="H13" s="49" t="n"/>
      <c r="I13" s="49" t="n"/>
      <c r="J13" s="49" t="n"/>
      <c r="K13" s="49" t="n"/>
      <c r="L13" s="49" t="n"/>
      <c r="M13" s="49" t="n"/>
    </row>
    <row r="14">
      <c r="A14" s="6" t="inlineStr">
        <is>
          <t>Tỉnh / Quận</t>
        </is>
      </c>
      <c r="B14" s="6" t="inlineStr">
        <is>
          <t>06/08</t>
        </is>
      </c>
      <c r="C14" s="6" t="inlineStr">
        <is>
          <t>07/08</t>
        </is>
      </c>
      <c r="D14" s="6" t="inlineStr">
        <is>
          <t>08/08</t>
        </is>
      </c>
      <c r="E14" s="6" t="inlineStr">
        <is>
          <t>09/08</t>
        </is>
      </c>
      <c r="F14" s="6" t="inlineStr">
        <is>
          <t>10/08</t>
        </is>
      </c>
      <c r="G14" s="6" t="inlineStr">
        <is>
          <t>11/08</t>
        </is>
      </c>
      <c r="H14" s="6" t="inlineStr">
        <is>
          <t>12/08</t>
        </is>
      </c>
      <c r="I14" s="6" t="inlineStr">
        <is>
          <t>13/08</t>
        </is>
      </c>
      <c r="J14" s="6" t="inlineStr">
        <is>
          <t>14/08</t>
        </is>
      </c>
      <c r="K14" s="6" t="inlineStr">
        <is>
          <t>15/08</t>
        </is>
      </c>
      <c r="L14" s="6" t="inlineStr">
        <is>
          <t>Tổng 10 ngày</t>
        </is>
      </c>
      <c r="M14" s="6" t="inlineStr">
        <is>
          <t>Trung bình</t>
        </is>
      </c>
    </row>
    <row r="15">
      <c r="A15" s="10" t="inlineStr">
        <is>
          <t>Bình Thuận</t>
        </is>
      </c>
      <c r="B15" s="14">
        <f>SUMIFS('6_FC_Lay_Daily'!AB:AB, '6_FC_Lay_Daily'!$B:$B, $A15)</f>
        <v/>
      </c>
      <c r="C15" s="14">
        <f>SUMIFS('6_FC_Lay_Daily'!AC:AC, '6_FC_Lay_Daily'!$B:$B, $A15)</f>
        <v/>
      </c>
      <c r="D15" s="14">
        <f>SUMIFS('6_FC_Lay_Daily'!AD:AD, '6_FC_Lay_Daily'!$B:$B, $A15)</f>
        <v/>
      </c>
      <c r="E15" s="14">
        <f>SUMIFS('6_FC_Lay_Daily'!AE:AE, '6_FC_Lay_Daily'!$B:$B, $A15)</f>
        <v/>
      </c>
      <c r="F15" s="14">
        <f>SUMIFS('6_FC_Lay_Daily'!AF:AF, '6_FC_Lay_Daily'!$B:$B, $A15)</f>
        <v/>
      </c>
      <c r="G15" s="14">
        <f>SUMIFS('6_FC_Lay_Daily'!AG:AG, '6_FC_Lay_Daily'!$B:$B, $A15)</f>
        <v/>
      </c>
      <c r="H15" s="14">
        <f>SUMIFS('6_FC_Lay_Daily'!AH:AH, '6_FC_Lay_Daily'!$B:$B, $A15)</f>
        <v/>
      </c>
      <c r="I15" s="14">
        <f>SUMIFS('6_FC_Lay_Daily'!AI:AI, '6_FC_Lay_Daily'!$B:$B, $A15)</f>
        <v/>
      </c>
      <c r="J15" s="14">
        <f>SUMIFS('6_FC_Lay_Daily'!AJ:AJ, '6_FC_Lay_Daily'!$B:$B, $A15)</f>
        <v/>
      </c>
      <c r="K15" s="14">
        <f>SUMIFS('6_FC_Lay_Daily'!AK:AK, '6_FC_Lay_Daily'!$B:$B, $A15)</f>
        <v/>
      </c>
      <c r="L15" s="17">
        <f>SUM(B15:K15)</f>
        <v/>
      </c>
      <c r="M15" s="17">
        <f>AVERAGE(B15:K15)</f>
        <v/>
      </c>
    </row>
    <row r="16">
      <c r="A16" s="10" t="inlineStr">
        <is>
          <t>Khánh Hòa</t>
        </is>
      </c>
      <c r="B16" s="14">
        <f>SUMIFS('6_FC_Lay_Daily'!AB:AB, '6_FC_Lay_Daily'!$B:$B, $A16)</f>
        <v/>
      </c>
      <c r="C16" s="14">
        <f>SUMIFS('6_FC_Lay_Daily'!AC:AC, '6_FC_Lay_Daily'!$B:$B, $A16)</f>
        <v/>
      </c>
      <c r="D16" s="14">
        <f>SUMIFS('6_FC_Lay_Daily'!AD:AD, '6_FC_Lay_Daily'!$B:$B, $A16)</f>
        <v/>
      </c>
      <c r="E16" s="14">
        <f>SUMIFS('6_FC_Lay_Daily'!AE:AE, '6_FC_Lay_Daily'!$B:$B, $A16)</f>
        <v/>
      </c>
      <c r="F16" s="14">
        <f>SUMIFS('6_FC_Lay_Daily'!AF:AF, '6_FC_Lay_Daily'!$B:$B, $A16)</f>
        <v/>
      </c>
      <c r="G16" s="14">
        <f>SUMIFS('6_FC_Lay_Daily'!AG:AG, '6_FC_Lay_Daily'!$B:$B, $A16)</f>
        <v/>
      </c>
      <c r="H16" s="14">
        <f>SUMIFS('6_FC_Lay_Daily'!AH:AH, '6_FC_Lay_Daily'!$B:$B, $A16)</f>
        <v/>
      </c>
      <c r="I16" s="14">
        <f>SUMIFS('6_FC_Lay_Daily'!AI:AI, '6_FC_Lay_Daily'!$B:$B, $A16)</f>
        <v/>
      </c>
      <c r="J16" s="14">
        <f>SUMIFS('6_FC_Lay_Daily'!AJ:AJ, '6_FC_Lay_Daily'!$B:$B, $A16)</f>
        <v/>
      </c>
      <c r="K16" s="14">
        <f>SUMIFS('6_FC_Lay_Daily'!AK:AK, '6_FC_Lay_Daily'!$B:$B, $A16)</f>
        <v/>
      </c>
      <c r="L16" s="17">
        <f>SUM(B16:K16)</f>
        <v/>
      </c>
      <c r="M16" s="17">
        <f>AVERAGE(B16:K16)</f>
        <v/>
      </c>
    </row>
    <row r="17">
      <c r="A17" s="10" t="inlineStr">
        <is>
          <t>Lâm Đồng</t>
        </is>
      </c>
      <c r="B17" s="14">
        <f>SUMIFS('6_FC_Lay_Daily'!AB:AB, '6_FC_Lay_Daily'!$B:$B, $A17)</f>
        <v/>
      </c>
      <c r="C17" s="14">
        <f>SUMIFS('6_FC_Lay_Daily'!AC:AC, '6_FC_Lay_Daily'!$B:$B, $A17)</f>
        <v/>
      </c>
      <c r="D17" s="14">
        <f>SUMIFS('6_FC_Lay_Daily'!AD:AD, '6_FC_Lay_Daily'!$B:$B, $A17)</f>
        <v/>
      </c>
      <c r="E17" s="14">
        <f>SUMIFS('6_FC_Lay_Daily'!AE:AE, '6_FC_Lay_Daily'!$B:$B, $A17)</f>
        <v/>
      </c>
      <c r="F17" s="14">
        <f>SUMIFS('6_FC_Lay_Daily'!AF:AF, '6_FC_Lay_Daily'!$B:$B, $A17)</f>
        <v/>
      </c>
      <c r="G17" s="14">
        <f>SUMIFS('6_FC_Lay_Daily'!AG:AG, '6_FC_Lay_Daily'!$B:$B, $A17)</f>
        <v/>
      </c>
      <c r="H17" s="14">
        <f>SUMIFS('6_FC_Lay_Daily'!AH:AH, '6_FC_Lay_Daily'!$B:$B, $A17)</f>
        <v/>
      </c>
      <c r="I17" s="14">
        <f>SUMIFS('6_FC_Lay_Daily'!AI:AI, '6_FC_Lay_Daily'!$B:$B, $A17)</f>
        <v/>
      </c>
      <c r="J17" s="14">
        <f>SUMIFS('6_FC_Lay_Daily'!AJ:AJ, '6_FC_Lay_Daily'!$B:$B, $A17)</f>
        <v/>
      </c>
      <c r="K17" s="14">
        <f>SUMIFS('6_FC_Lay_Daily'!AK:AK, '6_FC_Lay_Daily'!$B:$B, $A17)</f>
        <v/>
      </c>
      <c r="L17" s="17">
        <f>SUM(B17:K17)</f>
        <v/>
      </c>
      <c r="M17" s="17">
        <f>AVERAGE(B17:K17)</f>
        <v/>
      </c>
    </row>
    <row r="18" ht="15.75" customHeight="1" s="57">
      <c r="A18" s="10" t="inlineStr">
        <is>
          <t>Ninh Thuận</t>
        </is>
      </c>
      <c r="B18" s="14">
        <f>SUMIFS('6_FC_Lay_Daily'!AB:AB, '6_FC_Lay_Daily'!$B:$B, $A18)</f>
        <v/>
      </c>
      <c r="C18" s="14">
        <f>SUMIFS('6_FC_Lay_Daily'!AC:AC, '6_FC_Lay_Daily'!$B:$B, $A18)</f>
        <v/>
      </c>
      <c r="D18" s="14">
        <f>SUMIFS('6_FC_Lay_Daily'!AD:AD, '6_FC_Lay_Daily'!$B:$B, $A18)</f>
        <v/>
      </c>
      <c r="E18" s="14">
        <f>SUMIFS('6_FC_Lay_Daily'!AE:AE, '6_FC_Lay_Daily'!$B:$B, $A18)</f>
        <v/>
      </c>
      <c r="F18" s="14">
        <f>SUMIFS('6_FC_Lay_Daily'!AF:AF, '6_FC_Lay_Daily'!$B:$B, $A18)</f>
        <v/>
      </c>
      <c r="G18" s="14">
        <f>SUMIFS('6_FC_Lay_Daily'!AG:AG, '6_FC_Lay_Daily'!$B:$B, $A18)</f>
        <v/>
      </c>
      <c r="H18" s="14">
        <f>SUMIFS('6_FC_Lay_Daily'!AH:AH, '6_FC_Lay_Daily'!$B:$B, $A18)</f>
        <v/>
      </c>
      <c r="I18" s="14">
        <f>SUMIFS('6_FC_Lay_Daily'!AI:AI, '6_FC_Lay_Daily'!$B:$B, $A18)</f>
        <v/>
      </c>
      <c r="J18" s="14">
        <f>SUMIFS('6_FC_Lay_Daily'!AJ:AJ, '6_FC_Lay_Daily'!$B:$B, $A18)</f>
        <v/>
      </c>
      <c r="K18" s="14">
        <f>SUMIFS('6_FC_Lay_Daily'!AK:AK, '6_FC_Lay_Daily'!$B:$B, $A18)</f>
        <v/>
      </c>
      <c r="L18" s="17">
        <f>SUM(B18:K18)</f>
        <v/>
      </c>
      <c r="M18" s="17">
        <f>AVERAGE(B18:K18)</f>
        <v/>
      </c>
    </row>
    <row r="19" ht="15.75" customHeight="1" s="57">
      <c r="A19" s="10" t="inlineStr">
        <is>
          <t>Đắk Nông</t>
        </is>
      </c>
      <c r="B19" s="14">
        <f>SUMIFS('6_FC_Lay_Daily'!AB:AB, '6_FC_Lay_Daily'!$B:$B, $A19)</f>
        <v/>
      </c>
      <c r="C19" s="14">
        <f>SUMIFS('6_FC_Lay_Daily'!AC:AC, '6_FC_Lay_Daily'!$B:$B, $A19)</f>
        <v/>
      </c>
      <c r="D19" s="14">
        <f>SUMIFS('6_FC_Lay_Daily'!AD:AD, '6_FC_Lay_Daily'!$B:$B, $A19)</f>
        <v/>
      </c>
      <c r="E19" s="14">
        <f>SUMIFS('6_FC_Lay_Daily'!AE:AE, '6_FC_Lay_Daily'!$B:$B, $A19)</f>
        <v/>
      </c>
      <c r="F19" s="14">
        <f>SUMIFS('6_FC_Lay_Daily'!AF:AF, '6_FC_Lay_Daily'!$B:$B, $A19)</f>
        <v/>
      </c>
      <c r="G19" s="14">
        <f>SUMIFS('6_FC_Lay_Daily'!AG:AG, '6_FC_Lay_Daily'!$B:$B, $A19)</f>
        <v/>
      </c>
      <c r="H19" s="14">
        <f>SUMIFS('6_FC_Lay_Daily'!AH:AH, '6_FC_Lay_Daily'!$B:$B, $A19)</f>
        <v/>
      </c>
      <c r="I19" s="14">
        <f>SUMIFS('6_FC_Lay_Daily'!AI:AI, '6_FC_Lay_Daily'!$B:$B, $A19)</f>
        <v/>
      </c>
      <c r="J19" s="14">
        <f>SUMIFS('6_FC_Lay_Daily'!AJ:AJ, '6_FC_Lay_Daily'!$B:$B, $A19)</f>
        <v/>
      </c>
      <c r="K19" s="14">
        <f>SUMIFS('6_FC_Lay_Daily'!AK:AK, '6_FC_Lay_Daily'!$B:$B, $A19)</f>
        <v/>
      </c>
      <c r="L19" s="17">
        <f>SUM(B19:K19)</f>
        <v/>
      </c>
      <c r="M19" s="17">
        <f>AVERAGE(B19:K19)</f>
        <v/>
      </c>
    </row>
    <row r="20" ht="15.75" customHeight="1" s="57">
      <c r="A20" s="19" t="inlineStr">
        <is>
          <t>Grand Total</t>
        </is>
      </c>
      <c r="B20" s="20">
        <f>SUM(B15:B19)</f>
        <v/>
      </c>
      <c r="C20" s="20">
        <f>SUM(C15:C19)</f>
        <v/>
      </c>
      <c r="D20" s="20">
        <f>SUM(D15:D19)</f>
        <v/>
      </c>
      <c r="E20" s="20">
        <f>SUM(E15:E19)</f>
        <v/>
      </c>
      <c r="F20" s="20">
        <f>SUM(F15:F19)</f>
        <v/>
      </c>
      <c r="G20" s="20">
        <f>SUM(G15:G19)</f>
        <v/>
      </c>
      <c r="H20" s="20">
        <f>SUM(H15:H19)</f>
        <v/>
      </c>
      <c r="I20" s="20">
        <f>SUM(I15:I19)</f>
        <v/>
      </c>
      <c r="J20" s="20">
        <f>SUM(J15:J19)</f>
        <v/>
      </c>
      <c r="K20" s="20">
        <f>SUM(K15:K19)</f>
        <v/>
      </c>
      <c r="L20" s="20">
        <f>SUM(L15:L19)</f>
        <v/>
      </c>
      <c r="M20" s="20">
        <f>SUM(M15:M19)</f>
        <v/>
      </c>
    </row>
    <row r="21" ht="15.75" customHeight="1" s="57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</row>
    <row r="22" ht="15.75" customHeight="1" s="57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</row>
    <row r="23" ht="15.75" customHeight="1" s="57">
      <c r="A23" s="21" t="inlineStr">
        <is>
          <t>3. VOLUME GIAO THEO KH (Event 8.8)</t>
        </is>
      </c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</row>
    <row r="24" ht="15.75" customHeight="1" s="57">
      <c r="A24" s="6" t="inlineStr">
        <is>
          <t>Sàn / Kênh</t>
        </is>
      </c>
      <c r="B24" s="6" t="inlineStr">
        <is>
          <t>06/08</t>
        </is>
      </c>
      <c r="C24" s="6" t="inlineStr">
        <is>
          <t>07/08</t>
        </is>
      </c>
      <c r="D24" s="6" t="inlineStr">
        <is>
          <t>08/08</t>
        </is>
      </c>
      <c r="E24" s="6" t="inlineStr">
        <is>
          <t>09/08</t>
        </is>
      </c>
      <c r="F24" s="6" t="inlineStr">
        <is>
          <t>10/08</t>
        </is>
      </c>
      <c r="G24" s="6" t="inlineStr">
        <is>
          <t>11/08</t>
        </is>
      </c>
      <c r="H24" s="6" t="inlineStr">
        <is>
          <t>12/08</t>
        </is>
      </c>
      <c r="I24" s="6" t="inlineStr">
        <is>
          <t>13/08</t>
        </is>
      </c>
      <c r="J24" s="6" t="inlineStr">
        <is>
          <t>14/08</t>
        </is>
      </c>
      <c r="K24" s="6" t="inlineStr">
        <is>
          <t>15/08</t>
        </is>
      </c>
      <c r="L24" s="6" t="inlineStr">
        <is>
          <t>Tổng 10 ngày</t>
        </is>
      </c>
      <c r="M24" s="6" t="inlineStr">
        <is>
          <t>Trung bình</t>
        </is>
      </c>
    </row>
    <row r="25" ht="15.75" customHeight="1" s="57">
      <c r="A25" s="10" t="inlineStr">
        <is>
          <t>Shopee</t>
        </is>
      </c>
      <c r="B25" s="14">
        <f>SUMIFS('7_FC_Giao_Daily'!AB:AB, '7_FC_Giao_Daily'!$E:$E, $A25)</f>
        <v/>
      </c>
      <c r="C25" s="14">
        <f>SUMIFS('7_FC_Giao_Daily'!AC:AC, '7_FC_Giao_Daily'!$E:$E, $A25)</f>
        <v/>
      </c>
      <c r="D25" s="14">
        <f>SUMIFS('7_FC_Giao_Daily'!AD:AD, '7_FC_Giao_Daily'!$E:$E, $A25)</f>
        <v/>
      </c>
      <c r="E25" s="14">
        <f>SUMIFS('7_FC_Giao_Daily'!AE:AE, '7_FC_Giao_Daily'!$E:$E, $A25)</f>
        <v/>
      </c>
      <c r="F25" s="14">
        <f>SUMIFS('7_FC_Giao_Daily'!AF:AF, '7_FC_Giao_Daily'!$E:$E, $A25)</f>
        <v/>
      </c>
      <c r="G25" s="14">
        <f>SUMIFS('7_FC_Giao_Daily'!AG:AG, '7_FC_Giao_Daily'!$E:$E, $A25)</f>
        <v/>
      </c>
      <c r="H25" s="14">
        <f>SUMIFS('7_FC_Giao_Daily'!AH:AH, '7_FC_Giao_Daily'!$E:$E, $A25)</f>
        <v/>
      </c>
      <c r="I25" s="14">
        <f>SUMIFS('7_FC_Giao_Daily'!AI:AI, '7_FC_Giao_Daily'!$E:$E, $A25)</f>
        <v/>
      </c>
      <c r="J25" s="14">
        <f>SUMIFS('7_FC_Giao_Daily'!AJ:AJ, '7_FC_Giao_Daily'!$E:$E, $A25)</f>
        <v/>
      </c>
      <c r="K25" s="14">
        <f>SUMIFS('7_FC_Giao_Daily'!AK:AK, '7_FC_Giao_Daily'!$E:$E, $A25)</f>
        <v/>
      </c>
      <c r="L25" s="17">
        <f>SUM(B25:K25)</f>
        <v/>
      </c>
      <c r="M25" s="17">
        <f>AVERAGE(B25:K25)</f>
        <v/>
      </c>
    </row>
    <row r="26" ht="15.75" customHeight="1" s="57">
      <c r="A26" s="10" t="inlineStr">
        <is>
          <t>Shopee-Bulky</t>
        </is>
      </c>
      <c r="B26" s="14">
        <f>SUMIFS('7_FC_Giao_Daily'!AB:AB, '7_FC_Giao_Daily'!$E:$E, $A26)</f>
        <v/>
      </c>
      <c r="C26" s="14">
        <f>SUMIFS('7_FC_Giao_Daily'!AC:AC, '7_FC_Giao_Daily'!$E:$E, $A26)</f>
        <v/>
      </c>
      <c r="D26" s="14">
        <f>SUMIFS('7_FC_Giao_Daily'!AD:AD, '7_FC_Giao_Daily'!$E:$E, $A26)</f>
        <v/>
      </c>
      <c r="E26" s="14">
        <f>SUMIFS('7_FC_Giao_Daily'!AE:AE, '7_FC_Giao_Daily'!$E:$E, $A26)</f>
        <v/>
      </c>
      <c r="F26" s="14">
        <f>SUMIFS('7_FC_Giao_Daily'!AF:AF, '7_FC_Giao_Daily'!$E:$E, $A26)</f>
        <v/>
      </c>
      <c r="G26" s="14">
        <f>SUMIFS('7_FC_Giao_Daily'!AG:AG, '7_FC_Giao_Daily'!$E:$E, $A26)</f>
        <v/>
      </c>
      <c r="H26" s="14">
        <f>SUMIFS('7_FC_Giao_Daily'!AH:AH, '7_FC_Giao_Daily'!$E:$E, $A26)</f>
        <v/>
      </c>
      <c r="I26" s="14">
        <f>SUMIFS('7_FC_Giao_Daily'!AI:AI, '7_FC_Giao_Daily'!$E:$E, $A26)</f>
        <v/>
      </c>
      <c r="J26" s="14">
        <f>SUMIFS('7_FC_Giao_Daily'!AJ:AJ, '7_FC_Giao_Daily'!$E:$E, $A26)</f>
        <v/>
      </c>
      <c r="K26" s="14">
        <f>SUMIFS('7_FC_Giao_Daily'!AK:AK, '7_FC_Giao_Daily'!$E:$E, $A26)</f>
        <v/>
      </c>
      <c r="L26" s="17">
        <f>SUM(B26:K26)</f>
        <v/>
      </c>
      <c r="M26" s="17">
        <f>AVERAGE(B26:K26)</f>
        <v/>
      </c>
    </row>
    <row r="27" ht="15.75" customHeight="1" s="57">
      <c r="A27" s="10" t="inlineStr">
        <is>
          <t>Shopee-Bulky (10-15kg)</t>
        </is>
      </c>
      <c r="B27" s="14">
        <f>SUMIFS('7_FC_Giao_Daily'!AB:AB, '7_FC_Giao_Daily'!$E:$E, $A27)</f>
        <v/>
      </c>
      <c r="C27" s="14">
        <f>SUMIFS('7_FC_Giao_Daily'!AC:AC, '7_FC_Giao_Daily'!$E:$E, $A27)</f>
        <v/>
      </c>
      <c r="D27" s="14">
        <f>SUMIFS('7_FC_Giao_Daily'!AD:AD, '7_FC_Giao_Daily'!$E:$E, $A27)</f>
        <v/>
      </c>
      <c r="E27" s="14">
        <f>SUMIFS('7_FC_Giao_Daily'!AE:AE, '7_FC_Giao_Daily'!$E:$E, $A27)</f>
        <v/>
      </c>
      <c r="F27" s="14">
        <f>SUMIFS('7_FC_Giao_Daily'!AF:AF, '7_FC_Giao_Daily'!$E:$E, $A27)</f>
        <v/>
      </c>
      <c r="G27" s="14">
        <f>SUMIFS('7_FC_Giao_Daily'!AG:AG, '7_FC_Giao_Daily'!$E:$E, $A27)</f>
        <v/>
      </c>
      <c r="H27" s="14">
        <f>SUMIFS('7_FC_Giao_Daily'!AH:AH, '7_FC_Giao_Daily'!$E:$E, $A27)</f>
        <v/>
      </c>
      <c r="I27" s="14">
        <f>SUMIFS('7_FC_Giao_Daily'!AI:AI, '7_FC_Giao_Daily'!$E:$E, $A27)</f>
        <v/>
      </c>
      <c r="J27" s="14">
        <f>SUMIFS('7_FC_Giao_Daily'!AJ:AJ, '7_FC_Giao_Daily'!$E:$E, $A27)</f>
        <v/>
      </c>
      <c r="K27" s="14">
        <f>SUMIFS('7_FC_Giao_Daily'!AK:AK, '7_FC_Giao_Daily'!$E:$E, $A27)</f>
        <v/>
      </c>
      <c r="L27" s="17">
        <f>SUM(B27:K27)</f>
        <v/>
      </c>
      <c r="M27" s="17">
        <f>AVERAGE(B27:K27)</f>
        <v/>
      </c>
    </row>
    <row r="28" ht="15.75" customHeight="1" s="57">
      <c r="A28" s="10" t="inlineStr">
        <is>
          <t>SME</t>
        </is>
      </c>
      <c r="B28" s="14">
        <f>SUMIFS('7_FC_Giao_Daily'!AB:AB, '7_FC_Giao_Daily'!$E:$E, $A28)</f>
        <v/>
      </c>
      <c r="C28" s="14">
        <f>SUMIFS('7_FC_Giao_Daily'!AC:AC, '7_FC_Giao_Daily'!$E:$E, $A28)</f>
        <v/>
      </c>
      <c r="D28" s="14">
        <f>SUMIFS('7_FC_Giao_Daily'!AD:AD, '7_FC_Giao_Daily'!$E:$E, $A28)</f>
        <v/>
      </c>
      <c r="E28" s="14">
        <f>SUMIFS('7_FC_Giao_Daily'!AE:AE, '7_FC_Giao_Daily'!$E:$E, $A28)</f>
        <v/>
      </c>
      <c r="F28" s="14">
        <f>SUMIFS('7_FC_Giao_Daily'!AF:AF, '7_FC_Giao_Daily'!$E:$E, $A28)</f>
        <v/>
      </c>
      <c r="G28" s="14">
        <f>SUMIFS('7_FC_Giao_Daily'!AG:AG, '7_FC_Giao_Daily'!$E:$E, $A28)</f>
        <v/>
      </c>
      <c r="H28" s="14">
        <f>SUMIFS('7_FC_Giao_Daily'!AH:AH, '7_FC_Giao_Daily'!$E:$E, $A28)</f>
        <v/>
      </c>
      <c r="I28" s="14">
        <f>SUMIFS('7_FC_Giao_Daily'!AI:AI, '7_FC_Giao_Daily'!$E:$E, $A28)</f>
        <v/>
      </c>
      <c r="J28" s="14">
        <f>SUMIFS('7_FC_Giao_Daily'!AJ:AJ, '7_FC_Giao_Daily'!$E:$E, $A28)</f>
        <v/>
      </c>
      <c r="K28" s="14">
        <f>SUMIFS('7_FC_Giao_Daily'!AK:AK, '7_FC_Giao_Daily'!$E:$E, $A28)</f>
        <v/>
      </c>
      <c r="L28" s="17">
        <f>SUM(B28:K28)</f>
        <v/>
      </c>
      <c r="M28" s="17">
        <f>AVERAGE(B28:K28)</f>
        <v/>
      </c>
    </row>
    <row r="29" ht="15.75" customHeight="1" s="57">
      <c r="A29" s="10" t="inlineStr">
        <is>
          <t>SME-Bulky</t>
        </is>
      </c>
      <c r="B29" s="14">
        <f>SUMIFS('7_FC_Giao_Daily'!AB:AB, '7_FC_Giao_Daily'!$E:$E, $A29)</f>
        <v/>
      </c>
      <c r="C29" s="14">
        <f>SUMIFS('7_FC_Giao_Daily'!AC:AC, '7_FC_Giao_Daily'!$E:$E, $A29)</f>
        <v/>
      </c>
      <c r="D29" s="14">
        <f>SUMIFS('7_FC_Giao_Daily'!AD:AD, '7_FC_Giao_Daily'!$E:$E, $A29)</f>
        <v/>
      </c>
      <c r="E29" s="14">
        <f>SUMIFS('7_FC_Giao_Daily'!AE:AE, '7_FC_Giao_Daily'!$E:$E, $A29)</f>
        <v/>
      </c>
      <c r="F29" s="14">
        <f>SUMIFS('7_FC_Giao_Daily'!AF:AF, '7_FC_Giao_Daily'!$E:$E, $A29)</f>
        <v/>
      </c>
      <c r="G29" s="14">
        <f>SUMIFS('7_FC_Giao_Daily'!AG:AG, '7_FC_Giao_Daily'!$E:$E, $A29)</f>
        <v/>
      </c>
      <c r="H29" s="14">
        <f>SUMIFS('7_FC_Giao_Daily'!AH:AH, '7_FC_Giao_Daily'!$E:$E, $A29)</f>
        <v/>
      </c>
      <c r="I29" s="14">
        <f>SUMIFS('7_FC_Giao_Daily'!AI:AI, '7_FC_Giao_Daily'!$E:$E, $A29)</f>
        <v/>
      </c>
      <c r="J29" s="14">
        <f>SUMIFS('7_FC_Giao_Daily'!AJ:AJ, '7_FC_Giao_Daily'!$E:$E, $A29)</f>
        <v/>
      </c>
      <c r="K29" s="14">
        <f>SUMIFS('7_FC_Giao_Daily'!AK:AK, '7_FC_Giao_Daily'!$E:$E, $A29)</f>
        <v/>
      </c>
      <c r="L29" s="17">
        <f>SUM(B29:K29)</f>
        <v/>
      </c>
      <c r="M29" s="17">
        <f>AVERAGE(B29:K29)</f>
        <v/>
      </c>
    </row>
    <row r="30" ht="15.75" customHeight="1" s="57">
      <c r="A30" s="10" t="inlineStr">
        <is>
          <t>TTS</t>
        </is>
      </c>
      <c r="B30" s="14">
        <f>SUMIFS('7_FC_Giao_Daily'!AB:AB, '7_FC_Giao_Daily'!$E:$E, $A30)</f>
        <v/>
      </c>
      <c r="C30" s="14">
        <f>SUMIFS('7_FC_Giao_Daily'!AC:AC, '7_FC_Giao_Daily'!$E:$E, $A30)</f>
        <v/>
      </c>
      <c r="D30" s="14">
        <f>SUMIFS('7_FC_Giao_Daily'!AD:AD, '7_FC_Giao_Daily'!$E:$E, $A30)</f>
        <v/>
      </c>
      <c r="E30" s="14">
        <f>SUMIFS('7_FC_Giao_Daily'!AE:AE, '7_FC_Giao_Daily'!$E:$E, $A30)</f>
        <v/>
      </c>
      <c r="F30" s="14">
        <f>SUMIFS('7_FC_Giao_Daily'!AF:AF, '7_FC_Giao_Daily'!$E:$E, $A30)</f>
        <v/>
      </c>
      <c r="G30" s="14">
        <f>SUMIFS('7_FC_Giao_Daily'!AG:AG, '7_FC_Giao_Daily'!$E:$E, $A30)</f>
        <v/>
      </c>
      <c r="H30" s="14">
        <f>SUMIFS('7_FC_Giao_Daily'!AH:AH, '7_FC_Giao_Daily'!$E:$E, $A30)</f>
        <v/>
      </c>
      <c r="I30" s="14">
        <f>SUMIFS('7_FC_Giao_Daily'!AI:AI, '7_FC_Giao_Daily'!$E:$E, $A30)</f>
        <v/>
      </c>
      <c r="J30" s="14">
        <f>SUMIFS('7_FC_Giao_Daily'!AJ:AJ, '7_FC_Giao_Daily'!$E:$E, $A30)</f>
        <v/>
      </c>
      <c r="K30" s="14">
        <f>SUMIFS('7_FC_Giao_Daily'!AK:AK, '7_FC_Giao_Daily'!$E:$E, $A30)</f>
        <v/>
      </c>
      <c r="L30" s="17">
        <f>SUM(B30:K30)</f>
        <v/>
      </c>
      <c r="M30" s="17">
        <f>AVERAGE(B30:K30)</f>
        <v/>
      </c>
    </row>
    <row r="31" ht="15.75" customHeight="1" s="57">
      <c r="A31" s="10" t="inlineStr">
        <is>
          <t>TTS-Bulky</t>
        </is>
      </c>
      <c r="B31" s="14">
        <f>SUMIFS('7_FC_Giao_Daily'!AB:AB, '7_FC_Giao_Daily'!$E:$E, $A31)</f>
        <v/>
      </c>
      <c r="C31" s="14">
        <f>SUMIFS('7_FC_Giao_Daily'!AC:AC, '7_FC_Giao_Daily'!$E:$E, $A31)</f>
        <v/>
      </c>
      <c r="D31" s="14">
        <f>SUMIFS('7_FC_Giao_Daily'!AD:AD, '7_FC_Giao_Daily'!$E:$E, $A31)</f>
        <v/>
      </c>
      <c r="E31" s="14">
        <f>SUMIFS('7_FC_Giao_Daily'!AE:AE, '7_FC_Giao_Daily'!$E:$E, $A31)</f>
        <v/>
      </c>
      <c r="F31" s="14">
        <f>SUMIFS('7_FC_Giao_Daily'!AF:AF, '7_FC_Giao_Daily'!$E:$E, $A31)</f>
        <v/>
      </c>
      <c r="G31" s="14">
        <f>SUMIFS('7_FC_Giao_Daily'!AG:AG, '7_FC_Giao_Daily'!$E:$E, $A31)</f>
        <v/>
      </c>
      <c r="H31" s="14">
        <f>SUMIFS('7_FC_Giao_Daily'!AH:AH, '7_FC_Giao_Daily'!$E:$E, $A31)</f>
        <v/>
      </c>
      <c r="I31" s="14">
        <f>SUMIFS('7_FC_Giao_Daily'!AI:AI, '7_FC_Giao_Daily'!$E:$E, $A31)</f>
        <v/>
      </c>
      <c r="J31" s="14">
        <f>SUMIFS('7_FC_Giao_Daily'!AJ:AJ, '7_FC_Giao_Daily'!$E:$E, $A31)</f>
        <v/>
      </c>
      <c r="K31" s="14">
        <f>SUMIFS('7_FC_Giao_Daily'!AK:AK, '7_FC_Giao_Daily'!$E:$E, $A31)</f>
        <v/>
      </c>
      <c r="L31" s="17">
        <f>SUM(B31:K31)</f>
        <v/>
      </c>
      <c r="M31" s="17">
        <f>AVERAGE(B31:K31)</f>
        <v/>
      </c>
    </row>
    <row r="32" ht="15.75" customHeight="1" s="57">
      <c r="A32" s="19" t="inlineStr">
        <is>
          <t>Grand Total</t>
        </is>
      </c>
      <c r="B32" s="20">
        <f>SUM(B25:B31)</f>
        <v/>
      </c>
      <c r="C32" s="20">
        <f>SUM(C25:C31)</f>
        <v/>
      </c>
      <c r="D32" s="20">
        <f>SUM(D25:D31)</f>
        <v/>
      </c>
      <c r="E32" s="20">
        <f>SUM(E25:E31)</f>
        <v/>
      </c>
      <c r="F32" s="20">
        <f>SUM(F25:F31)</f>
        <v/>
      </c>
      <c r="G32" s="20">
        <f>SUM(G25:G31)</f>
        <v/>
      </c>
      <c r="H32" s="20">
        <f>SUM(H25:H31)</f>
        <v/>
      </c>
      <c r="I32" s="20">
        <f>SUM(I25:I31)</f>
        <v/>
      </c>
      <c r="J32" s="20">
        <f>SUM(J25:J31)</f>
        <v/>
      </c>
      <c r="K32" s="20">
        <f>SUM(K25:K31)</f>
        <v/>
      </c>
      <c r="L32" s="20">
        <f>SUM(L25:L31)</f>
        <v/>
      </c>
      <c r="M32" s="20">
        <f>SUM(M25:M31)</f>
        <v/>
      </c>
    </row>
    <row r="33" ht="15.75" customHeight="1" s="57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</row>
    <row r="34" ht="15.75" customHeight="1" s="57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</row>
    <row r="35" ht="15.75" customHeight="1" s="57">
      <c r="A35" s="21" t="inlineStr">
        <is>
          <t>4. VOLUME GIAO THEO TỈNH (Event 8.8)</t>
        </is>
      </c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</row>
    <row r="36" ht="15.75" customHeight="1" s="57">
      <c r="A36" s="6" t="inlineStr">
        <is>
          <t>Tỉnh / Quận</t>
        </is>
      </c>
      <c r="B36" s="6" t="inlineStr">
        <is>
          <t>06/08</t>
        </is>
      </c>
      <c r="C36" s="6" t="inlineStr">
        <is>
          <t>07/08</t>
        </is>
      </c>
      <c r="D36" s="6" t="inlineStr">
        <is>
          <t>08/08</t>
        </is>
      </c>
      <c r="E36" s="6" t="inlineStr">
        <is>
          <t>09/08</t>
        </is>
      </c>
      <c r="F36" s="6" t="inlineStr">
        <is>
          <t>10/08</t>
        </is>
      </c>
      <c r="G36" s="6" t="inlineStr">
        <is>
          <t>11/08</t>
        </is>
      </c>
      <c r="H36" s="6" t="inlineStr">
        <is>
          <t>12/08</t>
        </is>
      </c>
      <c r="I36" s="6" t="inlineStr">
        <is>
          <t>13/08</t>
        </is>
      </c>
      <c r="J36" s="6" t="inlineStr">
        <is>
          <t>14/08</t>
        </is>
      </c>
      <c r="K36" s="6" t="inlineStr">
        <is>
          <t>15/08</t>
        </is>
      </c>
      <c r="L36" s="6" t="inlineStr">
        <is>
          <t>Tổng 10 ngày</t>
        </is>
      </c>
      <c r="M36" s="6" t="inlineStr">
        <is>
          <t>Trung bình</t>
        </is>
      </c>
    </row>
    <row r="37" ht="15.75" customHeight="1" s="57">
      <c r="A37" s="10" t="inlineStr">
        <is>
          <t>Bình Thuận</t>
        </is>
      </c>
      <c r="B37" s="14">
        <f>SUMIFS('7_FC_Giao_Daily'!AB:AB, '7_FC_Giao_Daily'!$B:$B, $A37)</f>
        <v/>
      </c>
      <c r="C37" s="14">
        <f>SUMIFS('7_FC_Giao_Daily'!AC:AC, '7_FC_Giao_Daily'!$B:$B, $A37)</f>
        <v/>
      </c>
      <c r="D37" s="14">
        <f>SUMIFS('7_FC_Giao_Daily'!AD:AD, '7_FC_Giao_Daily'!$B:$B, $A37)</f>
        <v/>
      </c>
      <c r="E37" s="14">
        <f>SUMIFS('7_FC_Giao_Daily'!AE:AE, '7_FC_Giao_Daily'!$B:$B, $A37)</f>
        <v/>
      </c>
      <c r="F37" s="14">
        <f>SUMIFS('7_FC_Giao_Daily'!AF:AF, '7_FC_Giao_Daily'!$B:$B, $A37)</f>
        <v/>
      </c>
      <c r="G37" s="14">
        <f>SUMIFS('7_FC_Giao_Daily'!AG:AG, '7_FC_Giao_Daily'!$B:$B, $A37)</f>
        <v/>
      </c>
      <c r="H37" s="14">
        <f>SUMIFS('7_FC_Giao_Daily'!AH:AH, '7_FC_Giao_Daily'!$B:$B, $A37)</f>
        <v/>
      </c>
      <c r="I37" s="14">
        <f>SUMIFS('7_FC_Giao_Daily'!AI:AI, '7_FC_Giao_Daily'!$B:$B, $A37)</f>
        <v/>
      </c>
      <c r="J37" s="14">
        <f>SUMIFS('7_FC_Giao_Daily'!AJ:AJ, '7_FC_Giao_Daily'!$B:$B, $A37)</f>
        <v/>
      </c>
      <c r="K37" s="14">
        <f>SUMIFS('7_FC_Giao_Daily'!AK:AK, '7_FC_Giao_Daily'!$B:$B, $A37)</f>
        <v/>
      </c>
      <c r="L37" s="17">
        <f>SUM(B37:K37)</f>
        <v/>
      </c>
      <c r="M37" s="17">
        <f>AVERAGE(B37:K37)</f>
        <v/>
      </c>
    </row>
    <row r="38" ht="15.75" customHeight="1" s="57">
      <c r="A38" s="10" t="inlineStr">
        <is>
          <t>Khánh Hòa</t>
        </is>
      </c>
      <c r="B38" s="14">
        <f>SUMIFS('7_FC_Giao_Daily'!AB:AB, '7_FC_Giao_Daily'!$B:$B, $A38)</f>
        <v/>
      </c>
      <c r="C38" s="14">
        <f>SUMIFS('7_FC_Giao_Daily'!AC:AC, '7_FC_Giao_Daily'!$B:$B, $A38)</f>
        <v/>
      </c>
      <c r="D38" s="14">
        <f>SUMIFS('7_FC_Giao_Daily'!AD:AD, '7_FC_Giao_Daily'!$B:$B, $A38)</f>
        <v/>
      </c>
      <c r="E38" s="14">
        <f>SUMIFS('7_FC_Giao_Daily'!AE:AE, '7_FC_Giao_Daily'!$B:$B, $A38)</f>
        <v/>
      </c>
      <c r="F38" s="14">
        <f>SUMIFS('7_FC_Giao_Daily'!AF:AF, '7_FC_Giao_Daily'!$B:$B, $A38)</f>
        <v/>
      </c>
      <c r="G38" s="14">
        <f>SUMIFS('7_FC_Giao_Daily'!AG:AG, '7_FC_Giao_Daily'!$B:$B, $A38)</f>
        <v/>
      </c>
      <c r="H38" s="14">
        <f>SUMIFS('7_FC_Giao_Daily'!AH:AH, '7_FC_Giao_Daily'!$B:$B, $A38)</f>
        <v/>
      </c>
      <c r="I38" s="14">
        <f>SUMIFS('7_FC_Giao_Daily'!AI:AI, '7_FC_Giao_Daily'!$B:$B, $A38)</f>
        <v/>
      </c>
      <c r="J38" s="14">
        <f>SUMIFS('7_FC_Giao_Daily'!AJ:AJ, '7_FC_Giao_Daily'!$B:$B, $A38)</f>
        <v/>
      </c>
      <c r="K38" s="14">
        <f>SUMIFS('7_FC_Giao_Daily'!AK:AK, '7_FC_Giao_Daily'!$B:$B, $A38)</f>
        <v/>
      </c>
      <c r="L38" s="17">
        <f>SUM(B38:K38)</f>
        <v/>
      </c>
      <c r="M38" s="17">
        <f>AVERAGE(B38:K38)</f>
        <v/>
      </c>
    </row>
    <row r="39" ht="15.75" customHeight="1" s="57">
      <c r="A39" s="10" t="inlineStr">
        <is>
          <t>Lâm Đồng</t>
        </is>
      </c>
      <c r="B39" s="14">
        <f>SUMIFS('7_FC_Giao_Daily'!AB:AB, '7_FC_Giao_Daily'!$B:$B, $A39)</f>
        <v/>
      </c>
      <c r="C39" s="14">
        <f>SUMIFS('7_FC_Giao_Daily'!AC:AC, '7_FC_Giao_Daily'!$B:$B, $A39)</f>
        <v/>
      </c>
      <c r="D39" s="14">
        <f>SUMIFS('7_FC_Giao_Daily'!AD:AD, '7_FC_Giao_Daily'!$B:$B, $A39)</f>
        <v/>
      </c>
      <c r="E39" s="14">
        <f>SUMIFS('7_FC_Giao_Daily'!AE:AE, '7_FC_Giao_Daily'!$B:$B, $A39)</f>
        <v/>
      </c>
      <c r="F39" s="14">
        <f>SUMIFS('7_FC_Giao_Daily'!AF:AF, '7_FC_Giao_Daily'!$B:$B, $A39)</f>
        <v/>
      </c>
      <c r="G39" s="14">
        <f>SUMIFS('7_FC_Giao_Daily'!AG:AG, '7_FC_Giao_Daily'!$B:$B, $A39)</f>
        <v/>
      </c>
      <c r="H39" s="14">
        <f>SUMIFS('7_FC_Giao_Daily'!AH:AH, '7_FC_Giao_Daily'!$B:$B, $A39)</f>
        <v/>
      </c>
      <c r="I39" s="14">
        <f>SUMIFS('7_FC_Giao_Daily'!AI:AI, '7_FC_Giao_Daily'!$B:$B, $A39)</f>
        <v/>
      </c>
      <c r="J39" s="14">
        <f>SUMIFS('7_FC_Giao_Daily'!AJ:AJ, '7_FC_Giao_Daily'!$B:$B, $A39)</f>
        <v/>
      </c>
      <c r="K39" s="14">
        <f>SUMIFS('7_FC_Giao_Daily'!AK:AK, '7_FC_Giao_Daily'!$B:$B, $A39)</f>
        <v/>
      </c>
      <c r="L39" s="17">
        <f>SUM(B39:K39)</f>
        <v/>
      </c>
      <c r="M39" s="17">
        <f>AVERAGE(B39:K39)</f>
        <v/>
      </c>
    </row>
    <row r="40" ht="15.75" customHeight="1" s="57">
      <c r="A40" s="10" t="inlineStr">
        <is>
          <t>Ninh Thuận</t>
        </is>
      </c>
      <c r="B40" s="14">
        <f>SUMIFS('7_FC_Giao_Daily'!AB:AB, '7_FC_Giao_Daily'!$B:$B, $A40)</f>
        <v/>
      </c>
      <c r="C40" s="14">
        <f>SUMIFS('7_FC_Giao_Daily'!AC:AC, '7_FC_Giao_Daily'!$B:$B, $A40)</f>
        <v/>
      </c>
      <c r="D40" s="14">
        <f>SUMIFS('7_FC_Giao_Daily'!AD:AD, '7_FC_Giao_Daily'!$B:$B, $A40)</f>
        <v/>
      </c>
      <c r="E40" s="14">
        <f>SUMIFS('7_FC_Giao_Daily'!AE:AE, '7_FC_Giao_Daily'!$B:$B, $A40)</f>
        <v/>
      </c>
      <c r="F40" s="14">
        <f>SUMIFS('7_FC_Giao_Daily'!AF:AF, '7_FC_Giao_Daily'!$B:$B, $A40)</f>
        <v/>
      </c>
      <c r="G40" s="14">
        <f>SUMIFS('7_FC_Giao_Daily'!AG:AG, '7_FC_Giao_Daily'!$B:$B, $A40)</f>
        <v/>
      </c>
      <c r="H40" s="14">
        <f>SUMIFS('7_FC_Giao_Daily'!AH:AH, '7_FC_Giao_Daily'!$B:$B, $A40)</f>
        <v/>
      </c>
      <c r="I40" s="14">
        <f>SUMIFS('7_FC_Giao_Daily'!AI:AI, '7_FC_Giao_Daily'!$B:$B, $A40)</f>
        <v/>
      </c>
      <c r="J40" s="14">
        <f>SUMIFS('7_FC_Giao_Daily'!AJ:AJ, '7_FC_Giao_Daily'!$B:$B, $A40)</f>
        <v/>
      </c>
      <c r="K40" s="14">
        <f>SUMIFS('7_FC_Giao_Daily'!AK:AK, '7_FC_Giao_Daily'!$B:$B, $A40)</f>
        <v/>
      </c>
      <c r="L40" s="17">
        <f>SUM(B40:K40)</f>
        <v/>
      </c>
      <c r="M40" s="17">
        <f>AVERAGE(B40:K40)</f>
        <v/>
      </c>
    </row>
    <row r="41" ht="15.75" customHeight="1" s="57">
      <c r="A41" s="10" t="inlineStr">
        <is>
          <t>Đắk Nông</t>
        </is>
      </c>
      <c r="B41" s="14">
        <f>SUMIFS('7_FC_Giao_Daily'!AB:AB, '7_FC_Giao_Daily'!$B:$B, $A41)</f>
        <v/>
      </c>
      <c r="C41" s="14">
        <f>SUMIFS('7_FC_Giao_Daily'!AC:AC, '7_FC_Giao_Daily'!$B:$B, $A41)</f>
        <v/>
      </c>
      <c r="D41" s="14">
        <f>SUMIFS('7_FC_Giao_Daily'!AD:AD, '7_FC_Giao_Daily'!$B:$B, $A41)</f>
        <v/>
      </c>
      <c r="E41" s="14">
        <f>SUMIFS('7_FC_Giao_Daily'!AE:AE, '7_FC_Giao_Daily'!$B:$B, $A41)</f>
        <v/>
      </c>
      <c r="F41" s="14">
        <f>SUMIFS('7_FC_Giao_Daily'!AF:AF, '7_FC_Giao_Daily'!$B:$B, $A41)</f>
        <v/>
      </c>
      <c r="G41" s="14">
        <f>SUMIFS('7_FC_Giao_Daily'!AG:AG, '7_FC_Giao_Daily'!$B:$B, $A41)</f>
        <v/>
      </c>
      <c r="H41" s="14">
        <f>SUMIFS('7_FC_Giao_Daily'!AH:AH, '7_FC_Giao_Daily'!$B:$B, $A41)</f>
        <v/>
      </c>
      <c r="I41" s="14">
        <f>SUMIFS('7_FC_Giao_Daily'!AI:AI, '7_FC_Giao_Daily'!$B:$B, $A41)</f>
        <v/>
      </c>
      <c r="J41" s="14">
        <f>SUMIFS('7_FC_Giao_Daily'!AJ:AJ, '7_FC_Giao_Daily'!$B:$B, $A41)</f>
        <v/>
      </c>
      <c r="K41" s="14">
        <f>SUMIFS('7_FC_Giao_Daily'!AK:AK, '7_FC_Giao_Daily'!$B:$B, $A41)</f>
        <v/>
      </c>
      <c r="L41" s="17">
        <f>SUM(B41:K41)</f>
        <v/>
      </c>
      <c r="M41" s="17">
        <f>AVERAGE(B41:K41)</f>
        <v/>
      </c>
    </row>
    <row r="42" ht="15.75" customHeight="1" s="57">
      <c r="A42" s="19" t="inlineStr">
        <is>
          <t>Grand Total</t>
        </is>
      </c>
      <c r="B42" s="20">
        <f>SUM(B37:B41)</f>
        <v/>
      </c>
      <c r="C42" s="20">
        <f>SUM(C37:C41)</f>
        <v/>
      </c>
      <c r="D42" s="20">
        <f>SUM(D37:D41)</f>
        <v/>
      </c>
      <c r="E42" s="20">
        <f>SUM(E37:E41)</f>
        <v/>
      </c>
      <c r="F42" s="20">
        <f>SUM(F37:F41)</f>
        <v/>
      </c>
      <c r="G42" s="20">
        <f>SUM(G37:G41)</f>
        <v/>
      </c>
      <c r="H42" s="20">
        <f>SUM(H37:H41)</f>
        <v/>
      </c>
      <c r="I42" s="20">
        <f>SUM(I37:I41)</f>
        <v/>
      </c>
      <c r="J42" s="20">
        <f>SUM(J37:J41)</f>
        <v/>
      </c>
      <c r="K42" s="20">
        <f>SUM(K37:K41)</f>
        <v/>
      </c>
      <c r="L42" s="20">
        <f>SUM(L37:L41)</f>
        <v/>
      </c>
      <c r="M42" s="20">
        <f>SUM(M37:M41)</f>
        <v/>
      </c>
    </row>
    <row r="43" ht="15.75" customHeight="1" s="57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</row>
    <row r="44" ht="15.75" customHeight="1" s="57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</row>
    <row r="45" ht="15.75" customHeight="1" s="57">
      <c r="A45" s="21" t="inlineStr">
        <is>
          <t>5. BẢNG TÍNH COMBO CHART (VOLUME, TRUNG BÌNH, % TĂNG/GIẢM FC)</t>
        </is>
      </c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</row>
    <row r="46" ht="15.75" customHeight="1" s="57">
      <c r="A46" s="22" t="inlineStr">
        <is>
          <t>A. FC Volume Lấy event 08.08</t>
        </is>
      </c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</row>
    <row r="47" ht="15.75" customHeight="1" s="57">
      <c r="A47" s="6" t="inlineStr">
        <is>
          <t>Chỉ tiêu</t>
        </is>
      </c>
      <c r="B47" s="6" t="inlineStr">
        <is>
          <t>06/08</t>
        </is>
      </c>
      <c r="C47" s="6" t="inlineStr">
        <is>
          <t>07/08</t>
        </is>
      </c>
      <c r="D47" s="6" t="inlineStr">
        <is>
          <t>08/08</t>
        </is>
      </c>
      <c r="E47" s="6" t="inlineStr">
        <is>
          <t>09/08</t>
        </is>
      </c>
      <c r="F47" s="6" t="inlineStr">
        <is>
          <t>10/08</t>
        </is>
      </c>
      <c r="G47" s="6" t="inlineStr">
        <is>
          <t>11/08</t>
        </is>
      </c>
      <c r="H47" s="6" t="inlineStr">
        <is>
          <t>12/08</t>
        </is>
      </c>
      <c r="I47" s="6" t="inlineStr">
        <is>
          <t>13/08</t>
        </is>
      </c>
      <c r="J47" s="6" t="inlineStr">
        <is>
          <t>14/08</t>
        </is>
      </c>
      <c r="K47" s="6" t="inlineStr">
        <is>
          <t>15/08</t>
        </is>
      </c>
      <c r="L47" s="6" t="inlineStr">
        <is>
          <t>Trung bình toàn đợt</t>
        </is>
      </c>
      <c r="M47" s="49" t="n"/>
    </row>
    <row r="48" ht="15.75" customHeight="1" s="57">
      <c r="A48" s="23" t="inlineStr">
        <is>
          <t>Volume lấy</t>
        </is>
      </c>
      <c r="B48" s="17">
        <f>B10</f>
        <v/>
      </c>
      <c r="C48" s="17">
        <f>C10</f>
        <v/>
      </c>
      <c r="D48" s="17">
        <f>D10</f>
        <v/>
      </c>
      <c r="E48" s="17">
        <f>E10</f>
        <v/>
      </c>
      <c r="F48" s="17">
        <f>F10</f>
        <v/>
      </c>
      <c r="G48" s="17">
        <f>G10</f>
        <v/>
      </c>
      <c r="H48" s="17">
        <f>H10</f>
        <v/>
      </c>
      <c r="I48" s="17">
        <f>I10</f>
        <v/>
      </c>
      <c r="J48" s="17">
        <f>J10</f>
        <v/>
      </c>
      <c r="K48" s="17">
        <f>K10</f>
        <v/>
      </c>
      <c r="L48" s="24">
        <f>AVERAGE(B48:K48)</f>
        <v/>
      </c>
      <c r="M48" s="49" t="n"/>
    </row>
    <row r="49" ht="15.75" customHeight="1" s="57">
      <c r="A49" s="23" t="inlineStr">
        <is>
          <t>Trung bình</t>
        </is>
      </c>
      <c r="B49" s="24">
        <f>$L$48</f>
        <v/>
      </c>
      <c r="C49" s="24">
        <f>$L$48</f>
        <v/>
      </c>
      <c r="D49" s="24">
        <f>$L$48</f>
        <v/>
      </c>
      <c r="E49" s="24">
        <f>$L$48</f>
        <v/>
      </c>
      <c r="F49" s="24">
        <f>$L$48</f>
        <v/>
      </c>
      <c r="G49" s="24">
        <f>$L$48</f>
        <v/>
      </c>
      <c r="H49" s="24">
        <f>$L$48</f>
        <v/>
      </c>
      <c r="I49" s="24">
        <f>$L$48</f>
        <v/>
      </c>
      <c r="J49" s="24">
        <f>$L$48</f>
        <v/>
      </c>
      <c r="K49" s="24">
        <f>$L$48</f>
        <v/>
      </c>
      <c r="L49" s="24">
        <f>$L$48</f>
        <v/>
      </c>
      <c r="M49" s="49" t="n"/>
    </row>
    <row r="50" ht="15.75" customHeight="1" s="57">
      <c r="A50" s="23" t="inlineStr">
        <is>
          <t>Tăng/ giảm FC</t>
        </is>
      </c>
      <c r="B50" s="25">
        <f>(B48-$L$48)/$L$48</f>
        <v/>
      </c>
      <c r="C50" s="25">
        <f>(C48-$L$48)/$L$48</f>
        <v/>
      </c>
      <c r="D50" s="25">
        <f>(D48-$L$48)/$L$48</f>
        <v/>
      </c>
      <c r="E50" s="25">
        <f>(E48-$L$48)/$L$48</f>
        <v/>
      </c>
      <c r="F50" s="25">
        <f>(F48-$L$48)/$L$48</f>
        <v/>
      </c>
      <c r="G50" s="25">
        <f>(G48-$L$48)/$L$48</f>
        <v/>
      </c>
      <c r="H50" s="25">
        <f>(H48-$L$48)/$L$48</f>
        <v/>
      </c>
      <c r="I50" s="25">
        <f>(I48-$L$48)/$L$48</f>
        <v/>
      </c>
      <c r="J50" s="25">
        <f>(J48-$L$48)/$L$48</f>
        <v/>
      </c>
      <c r="K50" s="25">
        <f>(K48-$L$48)/$L$48</f>
        <v/>
      </c>
      <c r="L50" s="26" t="n">
        <v>0</v>
      </c>
      <c r="M50" s="49" t="n"/>
    </row>
    <row r="51" ht="15.75" customHeight="1" s="57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</row>
    <row r="52" ht="15.75" customHeight="1" s="57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</row>
    <row r="53" ht="15.75" customHeight="1" s="57">
      <c r="A53" s="22" t="inlineStr">
        <is>
          <t>B. FC Volume Giao event 08.08</t>
        </is>
      </c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</row>
    <row r="54" ht="15.75" customHeight="1" s="57">
      <c r="A54" s="6" t="inlineStr">
        <is>
          <t>Chỉ tiêu</t>
        </is>
      </c>
      <c r="B54" s="6" t="inlineStr">
        <is>
          <t>06/08</t>
        </is>
      </c>
      <c r="C54" s="6" t="inlineStr">
        <is>
          <t>07/08</t>
        </is>
      </c>
      <c r="D54" s="6" t="inlineStr">
        <is>
          <t>08/08</t>
        </is>
      </c>
      <c r="E54" s="6" t="inlineStr">
        <is>
          <t>09/08</t>
        </is>
      </c>
      <c r="F54" s="6" t="inlineStr">
        <is>
          <t>10/08</t>
        </is>
      </c>
      <c r="G54" s="6" t="inlineStr">
        <is>
          <t>11/08</t>
        </is>
      </c>
      <c r="H54" s="6" t="inlineStr">
        <is>
          <t>12/08</t>
        </is>
      </c>
      <c r="I54" s="6" t="inlineStr">
        <is>
          <t>13/08</t>
        </is>
      </c>
      <c r="J54" s="6" t="inlineStr">
        <is>
          <t>14/08</t>
        </is>
      </c>
      <c r="K54" s="6" t="inlineStr">
        <is>
          <t>15/08</t>
        </is>
      </c>
      <c r="L54" s="6" t="inlineStr">
        <is>
          <t>Trung bình toàn đợt</t>
        </is>
      </c>
      <c r="M54" s="49" t="n"/>
    </row>
    <row r="55" ht="15.75" customHeight="1" s="57">
      <c r="A55" s="23" t="inlineStr">
        <is>
          <t>Volume giao</t>
        </is>
      </c>
      <c r="B55" s="17">
        <f>B32</f>
        <v/>
      </c>
      <c r="C55" s="17">
        <f>C32</f>
        <v/>
      </c>
      <c r="D55" s="17">
        <f>D32</f>
        <v/>
      </c>
      <c r="E55" s="17">
        <f>E32</f>
        <v/>
      </c>
      <c r="F55" s="17">
        <f>F32</f>
        <v/>
      </c>
      <c r="G55" s="17">
        <f>G32</f>
        <v/>
      </c>
      <c r="H55" s="17">
        <f>H32</f>
        <v/>
      </c>
      <c r="I55" s="17">
        <f>I32</f>
        <v/>
      </c>
      <c r="J55" s="17">
        <f>J32</f>
        <v/>
      </c>
      <c r="K55" s="17">
        <f>K32</f>
        <v/>
      </c>
      <c r="L55" s="24">
        <f>AVERAGE(B55:K55)</f>
        <v/>
      </c>
      <c r="M55" s="49" t="n"/>
    </row>
    <row r="56" ht="15.75" customHeight="1" s="57">
      <c r="A56" s="23" t="inlineStr">
        <is>
          <t>Trung bình</t>
        </is>
      </c>
      <c r="B56" s="24">
        <f>$L$55</f>
        <v/>
      </c>
      <c r="C56" s="24">
        <f>$L$55</f>
        <v/>
      </c>
      <c r="D56" s="24">
        <f>$L$55</f>
        <v/>
      </c>
      <c r="E56" s="24">
        <f>$L$55</f>
        <v/>
      </c>
      <c r="F56" s="24">
        <f>$L$55</f>
        <v/>
      </c>
      <c r="G56" s="24">
        <f>$L$55</f>
        <v/>
      </c>
      <c r="H56" s="24">
        <f>$L$55</f>
        <v/>
      </c>
      <c r="I56" s="24">
        <f>$L$55</f>
        <v/>
      </c>
      <c r="J56" s="24">
        <f>$L$55</f>
        <v/>
      </c>
      <c r="K56" s="24">
        <f>$L$55</f>
        <v/>
      </c>
      <c r="L56" s="24">
        <f>$L$55</f>
        <v/>
      </c>
      <c r="M56" s="49" t="n"/>
    </row>
    <row r="57" ht="15.75" customHeight="1" s="57">
      <c r="A57" s="23" t="inlineStr">
        <is>
          <t>Tăng/ giảm FC</t>
        </is>
      </c>
      <c r="B57" s="25">
        <f>(B55-$L$55)/$L$55</f>
        <v/>
      </c>
      <c r="C57" s="25">
        <f>(C55-$L$55)/$L$55</f>
        <v/>
      </c>
      <c r="D57" s="25">
        <f>(D55-$L$55)/$L$55</f>
        <v/>
      </c>
      <c r="E57" s="25">
        <f>(E55-$L$55)/$L$55</f>
        <v/>
      </c>
      <c r="F57" s="25">
        <f>(F55-$L$55)/$L$55</f>
        <v/>
      </c>
      <c r="G57" s="25">
        <f>(G55-$L$55)/$L$55</f>
        <v/>
      </c>
      <c r="H57" s="25">
        <f>(H55-$L$55)/$L$55</f>
        <v/>
      </c>
      <c r="I57" s="25">
        <f>(I55-$L$55)/$L$55</f>
        <v/>
      </c>
      <c r="J57" s="25">
        <f>(J55-$L$55)/$L$55</f>
        <v/>
      </c>
      <c r="K57" s="25">
        <f>(K55-$L$55)/$L$55</f>
        <v/>
      </c>
      <c r="L57" s="26" t="n">
        <v>0</v>
      </c>
      <c r="M57" s="49" t="n"/>
    </row>
    <row r="58" ht="15.75" customHeight="1" s="57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</row>
    <row r="59" ht="15.75" customHeight="1" s="57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</row>
    <row r="60" ht="15.75" customHeight="1" s="57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</row>
    <row r="61" ht="15.75" customHeight="1" s="57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</row>
    <row r="62" ht="15.75" customHeight="1" s="57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</row>
    <row r="63" ht="15.75" customHeight="1" s="57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</row>
    <row r="64" ht="15.75" customHeight="1" s="57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</row>
    <row r="65" ht="15.75" customHeight="1" s="57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</row>
    <row r="66" ht="15.75" customHeight="1" s="57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</row>
    <row r="67" ht="15.75" customHeight="1" s="57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</row>
    <row r="68" ht="15.75" customHeight="1" s="57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</row>
    <row r="69" ht="15.75" customHeight="1" s="57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</row>
    <row r="70" ht="15.75" customHeight="1" s="57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</row>
    <row r="71" ht="15.75" customHeight="1" s="57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</row>
    <row r="72" ht="15.75" customHeight="1" s="57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</row>
    <row r="73" ht="15.75" customHeight="1" s="57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</row>
    <row r="74" ht="15.75" customHeight="1" s="57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</row>
    <row r="75" ht="15.75" customHeight="1" s="57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</row>
    <row r="76" ht="15.75" customHeight="1" s="57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</row>
    <row r="77" ht="15.75" customHeight="1" s="57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</row>
    <row r="78" ht="15.75" customHeight="1" s="57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</row>
    <row r="79" ht="15.75" customHeight="1" s="57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</row>
    <row r="80" ht="15.75" customHeight="1" s="57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</row>
    <row r="81" ht="15.75" customHeight="1" s="57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</row>
    <row r="82" ht="15.75" customHeight="1" s="57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</row>
    <row r="83" ht="15.75" customHeight="1" s="57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</row>
    <row r="84" ht="15.75" customHeight="1" s="57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</row>
    <row r="85" ht="15.75" customHeight="1" s="57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</row>
    <row r="86" ht="15.75" customHeight="1" s="57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</row>
    <row r="87" ht="15.75" customHeight="1" s="57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</row>
    <row r="88" ht="15.75" customHeight="1" s="57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</row>
    <row r="89" ht="15.75" customHeight="1" s="57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</row>
    <row r="90" ht="15.75" customHeight="1" s="57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</row>
    <row r="91" ht="15.75" customHeight="1" s="57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</row>
    <row r="92" ht="15.75" customHeight="1" s="57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</row>
    <row r="93" ht="15.75" customHeight="1" s="57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</row>
    <row r="94" ht="15.75" customHeight="1" s="57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</row>
    <row r="95" ht="15.75" customHeight="1" s="57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</row>
    <row r="96" ht="15.75" customHeight="1" s="57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</row>
    <row r="97" ht="15.75" customHeight="1" s="57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</row>
    <row r="98" ht="15.75" customHeight="1" s="57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</row>
    <row r="99" ht="15.75" customHeight="1" s="57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</row>
    <row r="100" ht="15.75" customHeight="1" s="57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</row>
    <row r="101" ht="15.75" customHeight="1" s="57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</row>
    <row r="102" ht="15.75" customHeight="1" s="57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</row>
    <row r="103" ht="15.75" customHeight="1" s="57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</row>
    <row r="104" ht="15.75" customHeight="1" s="57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</row>
    <row r="105" ht="15.75" customHeight="1" s="57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</row>
    <row r="106" ht="15.75" customHeight="1" s="57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</row>
    <row r="107" ht="15.75" customHeight="1" s="57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</row>
    <row r="108" ht="15.75" customHeight="1" s="57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</row>
    <row r="109" ht="15.75" customHeight="1" s="57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</row>
    <row r="110" ht="15.75" customHeight="1" s="57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</row>
    <row r="111" ht="15.75" customHeight="1" s="57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</row>
    <row r="112" ht="15.75" customHeight="1" s="57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</row>
    <row r="113" ht="15.75" customHeight="1" s="57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</row>
    <row r="114" ht="15.75" customHeight="1" s="57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</row>
    <row r="115" ht="15.75" customHeight="1" s="57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</row>
    <row r="116" ht="15.75" customHeight="1" s="57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</row>
    <row r="117" ht="15.75" customHeight="1" s="57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</row>
    <row r="118" ht="15.75" customHeight="1" s="57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</row>
    <row r="119" ht="15.75" customHeight="1" s="57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</row>
    <row r="120" ht="15.75" customHeight="1" s="57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</row>
    <row r="121" ht="15.75" customHeight="1" s="57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</row>
    <row r="122" ht="15.75" customHeight="1" s="57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</row>
    <row r="123" ht="15.75" customHeight="1" s="57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</row>
    <row r="124" ht="15.75" customHeight="1" s="57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</row>
    <row r="125" ht="15.75" customHeight="1" s="57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</row>
    <row r="126" ht="15.75" customHeight="1" s="57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</row>
    <row r="127" ht="15.75" customHeight="1" s="57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</row>
    <row r="128" ht="15.75" customHeight="1" s="57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</row>
    <row r="129" ht="15.75" customHeight="1" s="57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</row>
    <row r="130" ht="15.75" customHeight="1" s="57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</row>
    <row r="131" ht="15.75" customHeight="1" s="57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</row>
    <row r="132" ht="15.75" customHeight="1" s="57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</row>
    <row r="133" ht="15.75" customHeight="1" s="57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</row>
    <row r="134" ht="15.75" customHeight="1" s="57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</row>
    <row r="135" ht="15.75" customHeight="1" s="57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</row>
    <row r="136" ht="15.75" customHeight="1" s="57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</row>
    <row r="137" ht="15.75" customHeight="1" s="57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</row>
    <row r="138" ht="15.75" customHeight="1" s="57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</row>
    <row r="139" ht="15.75" customHeight="1" s="57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</row>
    <row r="140" ht="15.75" customHeight="1" s="57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</row>
    <row r="141" ht="15.75" customHeight="1" s="57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</row>
    <row r="142" ht="15.75" customHeight="1" s="57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</row>
    <row r="143" ht="15.75" customHeight="1" s="57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</row>
    <row r="144" ht="15.75" customHeight="1" s="57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</row>
    <row r="145" ht="15.75" customHeight="1" s="57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</row>
    <row r="146" ht="15.75" customHeight="1" s="57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</row>
    <row r="147" ht="15.75" customHeight="1" s="57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</row>
    <row r="148" ht="15.75" customHeight="1" s="57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</row>
    <row r="149" ht="15.75" customHeight="1" s="57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</row>
    <row r="150" ht="15.75" customHeight="1" s="57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</row>
    <row r="151" ht="15.75" customHeight="1" s="57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</row>
    <row r="152" ht="15.75" customHeight="1" s="57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</row>
    <row r="153" ht="15.75" customHeight="1" s="57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</row>
    <row r="154" ht="15.75" customHeight="1" s="57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</row>
    <row r="155" ht="15.75" customHeight="1" s="57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</row>
    <row r="156" ht="15.75" customHeight="1" s="57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</row>
    <row r="157" ht="15.75" customHeight="1" s="57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</row>
    <row r="158" ht="15.75" customHeight="1" s="57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</row>
    <row r="159" ht="15.75" customHeight="1" s="57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</row>
    <row r="160" ht="15.75" customHeight="1" s="57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</row>
    <row r="161" ht="15.75" customHeight="1" s="57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</row>
    <row r="162" ht="15.75" customHeight="1" s="57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</row>
    <row r="163" ht="15.75" customHeight="1" s="57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</row>
    <row r="164" ht="15.75" customHeight="1" s="57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</row>
    <row r="165" ht="15.75" customHeight="1" s="57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</row>
    <row r="166" ht="15.75" customHeight="1" s="57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</row>
    <row r="167" ht="15.75" customHeight="1" s="57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</row>
    <row r="168" ht="15.75" customHeight="1" s="57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</row>
    <row r="169" ht="15.75" customHeight="1" s="57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</row>
    <row r="170" ht="15.75" customHeight="1" s="57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</row>
    <row r="171" ht="15.75" customHeight="1" s="57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</row>
    <row r="172" ht="15.75" customHeight="1" s="57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</row>
    <row r="173" ht="15.75" customHeight="1" s="57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</row>
    <row r="174" ht="15.75" customHeight="1" s="57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</row>
    <row r="175" ht="15.75" customHeight="1" s="57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</row>
    <row r="176" ht="15.75" customHeight="1" s="57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</row>
    <row r="177" ht="15.75" customHeight="1" s="57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</row>
    <row r="178" ht="15.75" customHeight="1" s="57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</row>
    <row r="179" ht="15.75" customHeight="1" s="57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</row>
    <row r="180" ht="15.75" customHeight="1" s="57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</row>
    <row r="181" ht="15.75" customHeight="1" s="57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</row>
    <row r="182" ht="15.75" customHeight="1" s="57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</row>
    <row r="183" ht="15.75" customHeight="1" s="57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</row>
    <row r="184" ht="15.75" customHeight="1" s="57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</row>
    <row r="185" ht="15.75" customHeight="1" s="57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</row>
    <row r="186" ht="15.75" customHeight="1" s="57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</row>
    <row r="187" ht="15.75" customHeight="1" s="57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</row>
    <row r="188" ht="15.75" customHeight="1" s="57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</row>
    <row r="189" ht="15.75" customHeight="1" s="57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</row>
    <row r="190" ht="15.75" customHeight="1" s="57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</row>
    <row r="191" ht="15.75" customHeight="1" s="57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</row>
    <row r="192" ht="15.75" customHeight="1" s="57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</row>
    <row r="193" ht="15.75" customHeight="1" s="57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</row>
    <row r="194" ht="15.75" customHeight="1" s="57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</row>
    <row r="195" ht="15.75" customHeight="1" s="57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</row>
    <row r="196" ht="15.75" customHeight="1" s="57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</row>
    <row r="197" ht="15.75" customHeight="1" s="57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</row>
    <row r="198" ht="15.75" customHeight="1" s="57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</row>
    <row r="199" ht="15.75" customHeight="1" s="57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</row>
    <row r="200" ht="15.75" customHeight="1" s="57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</row>
    <row r="201" ht="15.75" customHeight="1" s="57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</row>
    <row r="202" ht="15.75" customHeight="1" s="57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</row>
    <row r="203" ht="15.75" customHeight="1" s="57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</row>
    <row r="204" ht="15.75" customHeight="1" s="57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</row>
    <row r="205" ht="15.75" customHeight="1" s="57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</row>
    <row r="206" ht="15.75" customHeight="1" s="57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</row>
    <row r="207" ht="15.75" customHeight="1" s="57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</row>
    <row r="208" ht="15.75" customHeight="1" s="57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</row>
    <row r="209" ht="15.75" customHeight="1" s="57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</row>
    <row r="210" ht="15.75" customHeight="1" s="57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</row>
    <row r="211" ht="15.75" customHeight="1" s="57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</row>
    <row r="212" ht="15.75" customHeight="1" s="57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</row>
    <row r="213" ht="15.75" customHeight="1" s="57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</row>
    <row r="214" ht="15.75" customHeight="1" s="57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</row>
    <row r="215" ht="15.75" customHeight="1" s="57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</row>
    <row r="216" ht="15.75" customHeight="1" s="57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</row>
    <row r="217" ht="15.75" customHeight="1" s="57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</row>
    <row r="218" ht="15.75" customHeight="1" s="57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</row>
    <row r="219" ht="15.75" customHeight="1" s="57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</row>
    <row r="220" ht="15.75" customHeight="1" s="57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</row>
    <row r="221" ht="15.75" customHeight="1" s="57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49" t="n"/>
      <c r="L221" s="49" t="n"/>
      <c r="M221" s="49" t="n"/>
    </row>
    <row r="222" ht="15.75" customHeight="1" s="57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49" t="n"/>
      <c r="L222" s="49" t="n"/>
      <c r="M222" s="49" t="n"/>
    </row>
    <row r="223" ht="15.75" customHeight="1" s="57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49" t="n"/>
      <c r="L223" s="49" t="n"/>
      <c r="M223" s="49" t="n"/>
    </row>
    <row r="224" ht="15.75" customHeight="1" s="57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49" t="n"/>
      <c r="L224" s="49" t="n"/>
      <c r="M224" s="49" t="n"/>
    </row>
    <row r="225" ht="15.75" customHeight="1" s="57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49" t="n"/>
      <c r="L225" s="49" t="n"/>
      <c r="M225" s="49" t="n"/>
    </row>
    <row r="226" ht="15.75" customHeight="1" s="57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49" t="n"/>
      <c r="L226" s="49" t="n"/>
      <c r="M226" s="49" t="n"/>
    </row>
    <row r="227" ht="15.75" customHeight="1" s="57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49" t="n"/>
      <c r="L227" s="49" t="n"/>
      <c r="M227" s="49" t="n"/>
    </row>
    <row r="228" ht="15.75" customHeight="1" s="57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49" t="n"/>
      <c r="L228" s="49" t="n"/>
      <c r="M228" s="49" t="n"/>
    </row>
    <row r="229" ht="15.75" customHeight="1" s="57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49" t="n"/>
      <c r="L229" s="49" t="n"/>
      <c r="M229" s="49" t="n"/>
    </row>
    <row r="230" ht="15.75" customHeight="1" s="57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49" t="n"/>
      <c r="L230" s="49" t="n"/>
      <c r="M230" s="49" t="n"/>
    </row>
    <row r="231" ht="15.75" customHeight="1" s="57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49" t="n"/>
      <c r="L231" s="49" t="n"/>
      <c r="M231" s="49" t="n"/>
    </row>
    <row r="232" ht="15.75" customHeight="1" s="57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49" t="n"/>
      <c r="L232" s="49" t="n"/>
      <c r="M232" s="49" t="n"/>
    </row>
    <row r="233" ht="15.75" customHeight="1" s="57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49" t="n"/>
      <c r="L233" s="49" t="n"/>
      <c r="M233" s="49" t="n"/>
    </row>
    <row r="234" ht="15.75" customHeight="1" s="57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49" t="n"/>
      <c r="L234" s="49" t="n"/>
      <c r="M234" s="49" t="n"/>
    </row>
    <row r="235" ht="15.75" customHeight="1" s="57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49" t="n"/>
      <c r="L235" s="49" t="n"/>
      <c r="M235" s="49" t="n"/>
    </row>
    <row r="236" ht="15.75" customHeight="1" s="57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49" t="n"/>
      <c r="L236" s="49" t="n"/>
      <c r="M236" s="49" t="n"/>
    </row>
    <row r="237" ht="15.75" customHeight="1" s="57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49" t="n"/>
      <c r="L237" s="49" t="n"/>
      <c r="M237" s="49" t="n"/>
    </row>
    <row r="238" ht="15.75" customHeight="1" s="57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49" t="n"/>
      <c r="L238" s="49" t="n"/>
      <c r="M238" s="49" t="n"/>
    </row>
    <row r="239" ht="15.75" customHeight="1" s="57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49" t="n"/>
      <c r="L239" s="49" t="n"/>
      <c r="M239" s="49" t="n"/>
    </row>
    <row r="240" ht="15.75" customHeight="1" s="57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49" t="n"/>
      <c r="L240" s="49" t="n"/>
      <c r="M240" s="49" t="n"/>
    </row>
    <row r="241" ht="15.75" customHeight="1" s="57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49" t="n"/>
      <c r="L241" s="49" t="n"/>
      <c r="M241" s="49" t="n"/>
    </row>
    <row r="242" ht="15.75" customHeight="1" s="57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49" t="n"/>
      <c r="L242" s="49" t="n"/>
      <c r="M242" s="49" t="n"/>
    </row>
    <row r="243" ht="15.75" customHeight="1" s="57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49" t="n"/>
      <c r="L243" s="49" t="n"/>
      <c r="M243" s="49" t="n"/>
    </row>
    <row r="244" ht="15.75" customHeight="1" s="57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49" t="n"/>
      <c r="L244" s="49" t="n"/>
      <c r="M244" s="49" t="n"/>
    </row>
    <row r="245" ht="15.75" customHeight="1" s="57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49" t="n"/>
      <c r="L245" s="49" t="n"/>
      <c r="M245" s="49" t="n"/>
    </row>
    <row r="246" ht="15.75" customHeight="1" s="57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49" t="n"/>
      <c r="L246" s="49" t="n"/>
      <c r="M246" s="49" t="n"/>
    </row>
    <row r="247" ht="15.75" customHeight="1" s="57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49" t="n"/>
      <c r="L247" s="49" t="n"/>
      <c r="M247" s="49" t="n"/>
    </row>
    <row r="248" ht="15.75" customHeight="1" s="57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49" t="n"/>
      <c r="L248" s="49" t="n"/>
      <c r="M248" s="49" t="n"/>
    </row>
    <row r="249" ht="15.75" customHeight="1" s="57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49" t="n"/>
      <c r="L249" s="49" t="n"/>
      <c r="M249" s="49" t="n"/>
    </row>
    <row r="250" ht="15.75" customHeight="1" s="57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49" t="n"/>
      <c r="L250" s="49" t="n"/>
      <c r="M250" s="49" t="n"/>
    </row>
    <row r="251" ht="15.75" customHeight="1" s="57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49" t="n"/>
      <c r="L251" s="49" t="n"/>
      <c r="M251" s="49" t="n"/>
    </row>
    <row r="252" ht="15.75" customHeight="1" s="57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49" t="n"/>
      <c r="L252" s="49" t="n"/>
      <c r="M252" s="49" t="n"/>
    </row>
    <row r="253" ht="15.75" customHeight="1" s="57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49" t="n"/>
      <c r="L253" s="49" t="n"/>
      <c r="M253" s="49" t="n"/>
    </row>
    <row r="254" ht="15.75" customHeight="1" s="57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49" t="n"/>
      <c r="L254" s="49" t="n"/>
      <c r="M254" s="49" t="n"/>
    </row>
    <row r="255" ht="15.75" customHeight="1" s="57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49" t="n"/>
      <c r="L255" s="49" t="n"/>
      <c r="M255" s="49" t="n"/>
    </row>
    <row r="256" ht="15.75" customHeight="1" s="57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49" t="n"/>
      <c r="L256" s="49" t="n"/>
      <c r="M256" s="49" t="n"/>
    </row>
    <row r="257" ht="15.75" customHeight="1" s="57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49" t="n"/>
      <c r="L257" s="49" t="n"/>
      <c r="M257" s="49" t="n"/>
    </row>
    <row r="258" ht="15.75" customHeight="1" s="57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49" t="n"/>
      <c r="L258" s="49" t="n"/>
      <c r="M258" s="49" t="n"/>
    </row>
    <row r="259" ht="15.75" customHeight="1" s="57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49" t="n"/>
      <c r="L259" s="49" t="n"/>
      <c r="M259" s="49" t="n"/>
    </row>
    <row r="260" ht="15.75" customHeight="1" s="57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49" t="n"/>
      <c r="L260" s="49" t="n"/>
      <c r="M260" s="49" t="n"/>
    </row>
    <row r="261" ht="15.75" customHeight="1" s="57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49" t="n"/>
      <c r="L261" s="49" t="n"/>
      <c r="M261" s="49" t="n"/>
    </row>
    <row r="262" ht="15.75" customHeight="1" s="57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49" t="n"/>
      <c r="L262" s="49" t="n"/>
      <c r="M262" s="49" t="n"/>
    </row>
    <row r="263" ht="15.75" customHeight="1" s="57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49" t="n"/>
      <c r="L263" s="49" t="n"/>
      <c r="M263" s="49" t="n"/>
    </row>
    <row r="264" ht="15.75" customHeight="1" s="57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49" t="n"/>
      <c r="L264" s="49" t="n"/>
      <c r="M264" s="49" t="n"/>
    </row>
    <row r="265" ht="15.75" customHeight="1" s="57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49" t="n"/>
      <c r="L265" s="49" t="n"/>
      <c r="M265" s="49" t="n"/>
    </row>
    <row r="266" ht="15.75" customHeight="1" s="57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49" t="n"/>
      <c r="L266" s="49" t="n"/>
      <c r="M266" s="49" t="n"/>
    </row>
    <row r="267" ht="15.75" customHeight="1" s="57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49" t="n"/>
      <c r="L267" s="49" t="n"/>
      <c r="M267" s="49" t="n"/>
    </row>
    <row r="268" ht="15.75" customHeight="1" s="57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49" t="n"/>
      <c r="L268" s="49" t="n"/>
      <c r="M268" s="49" t="n"/>
    </row>
    <row r="269" ht="15.75" customHeight="1" s="57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49" t="n"/>
      <c r="L269" s="49" t="n"/>
      <c r="M269" s="49" t="n"/>
    </row>
    <row r="270" ht="15.75" customHeight="1" s="57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49" t="n"/>
      <c r="L270" s="49" t="n"/>
      <c r="M270" s="49" t="n"/>
    </row>
    <row r="271" ht="15.75" customHeight="1" s="57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49" t="n"/>
      <c r="L271" s="49" t="n"/>
      <c r="M271" s="49" t="n"/>
    </row>
    <row r="272" ht="15.75" customHeight="1" s="57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49" t="n"/>
      <c r="L272" s="49" t="n"/>
      <c r="M272" s="49" t="n"/>
    </row>
    <row r="273" ht="15.75" customHeight="1" s="57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49" t="n"/>
      <c r="L273" s="49" t="n"/>
      <c r="M273" s="49" t="n"/>
    </row>
    <row r="274" ht="15.75" customHeight="1" s="57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49" t="n"/>
      <c r="L274" s="49" t="n"/>
      <c r="M274" s="49" t="n"/>
    </row>
    <row r="275" ht="15.75" customHeight="1" s="57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49" t="n"/>
      <c r="L275" s="49" t="n"/>
      <c r="M275" s="49" t="n"/>
    </row>
    <row r="276" ht="15.75" customHeight="1" s="57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49" t="n"/>
      <c r="L276" s="49" t="n"/>
      <c r="M276" s="49" t="n"/>
    </row>
    <row r="277" ht="15.75" customHeight="1" s="57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49" t="n"/>
      <c r="L277" s="49" t="n"/>
      <c r="M277" s="49" t="n"/>
    </row>
    <row r="278" ht="15.75" customHeight="1" s="57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49" t="n"/>
      <c r="L278" s="49" t="n"/>
      <c r="M278" s="49" t="n"/>
    </row>
    <row r="279" ht="15.75" customHeight="1" s="57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49" t="n"/>
      <c r="L279" s="49" t="n"/>
      <c r="M279" s="49" t="n"/>
    </row>
    <row r="280" ht="15.75" customHeight="1" s="57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49" t="n"/>
      <c r="L280" s="49" t="n"/>
      <c r="M280" s="49" t="n"/>
    </row>
    <row r="281" ht="15.75" customHeight="1" s="57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49" t="n"/>
      <c r="L281" s="49" t="n"/>
      <c r="M281" s="49" t="n"/>
    </row>
    <row r="282" ht="15.75" customHeight="1" s="57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49" t="n"/>
      <c r="L282" s="49" t="n"/>
      <c r="M282" s="49" t="n"/>
    </row>
    <row r="283" ht="15.75" customHeight="1" s="57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49" t="n"/>
      <c r="L283" s="49" t="n"/>
      <c r="M283" s="49" t="n"/>
    </row>
    <row r="284" ht="15.75" customHeight="1" s="57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49" t="n"/>
      <c r="L284" s="49" t="n"/>
      <c r="M284" s="49" t="n"/>
    </row>
    <row r="285" ht="15.75" customHeight="1" s="57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49" t="n"/>
      <c r="L285" s="49" t="n"/>
      <c r="M285" s="49" t="n"/>
    </row>
    <row r="286" ht="15.75" customHeight="1" s="57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49" t="n"/>
      <c r="L286" s="49" t="n"/>
      <c r="M286" s="49" t="n"/>
    </row>
    <row r="287" ht="15.75" customHeight="1" s="57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49" t="n"/>
      <c r="L287" s="49" t="n"/>
      <c r="M287" s="49" t="n"/>
    </row>
    <row r="288" ht="15.75" customHeight="1" s="57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49" t="n"/>
      <c r="L288" s="49" t="n"/>
      <c r="M288" s="49" t="n"/>
    </row>
    <row r="289" ht="15.75" customHeight="1" s="57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49" t="n"/>
      <c r="L289" s="49" t="n"/>
      <c r="M289" s="49" t="n"/>
    </row>
    <row r="290" ht="15.75" customHeight="1" s="57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49" t="n"/>
      <c r="L290" s="49" t="n"/>
      <c r="M290" s="49" t="n"/>
    </row>
    <row r="291" ht="15.75" customHeight="1" s="57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49" t="n"/>
      <c r="L291" s="49" t="n"/>
      <c r="M291" s="49" t="n"/>
    </row>
    <row r="292" ht="15.75" customHeight="1" s="57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49" t="n"/>
      <c r="L292" s="49" t="n"/>
      <c r="M292" s="49" t="n"/>
    </row>
    <row r="293" ht="15.75" customHeight="1" s="57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49" t="n"/>
      <c r="L293" s="49" t="n"/>
      <c r="M293" s="49" t="n"/>
    </row>
    <row r="294" ht="15.75" customHeight="1" s="57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49" t="n"/>
      <c r="L294" s="49" t="n"/>
      <c r="M294" s="49" t="n"/>
    </row>
    <row r="295" ht="15.75" customHeight="1" s="57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49" t="n"/>
      <c r="L295" s="49" t="n"/>
      <c r="M295" s="49" t="n"/>
    </row>
    <row r="296" ht="15.75" customHeight="1" s="57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49" t="n"/>
      <c r="L296" s="49" t="n"/>
      <c r="M296" s="49" t="n"/>
    </row>
    <row r="297" ht="15.75" customHeight="1" s="57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49" t="n"/>
      <c r="L297" s="49" t="n"/>
      <c r="M297" s="49" t="n"/>
    </row>
    <row r="298" ht="15.75" customHeight="1" s="57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49" t="n"/>
      <c r="L298" s="49" t="n"/>
      <c r="M298" s="49" t="n"/>
    </row>
    <row r="299" ht="15.75" customHeight="1" s="57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49" t="n"/>
      <c r="L299" s="49" t="n"/>
      <c r="M299" s="49" t="n"/>
    </row>
    <row r="300" ht="15.75" customHeight="1" s="57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49" t="n"/>
      <c r="L300" s="49" t="n"/>
      <c r="M300" s="49" t="n"/>
    </row>
    <row r="301" ht="15.75" customHeight="1" s="57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49" t="n"/>
      <c r="L301" s="49" t="n"/>
      <c r="M301" s="49" t="n"/>
    </row>
    <row r="302" ht="15.75" customHeight="1" s="57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49" t="n"/>
      <c r="L302" s="49" t="n"/>
      <c r="M302" s="49" t="n"/>
    </row>
    <row r="303" ht="15.75" customHeight="1" s="57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49" t="n"/>
      <c r="L303" s="49" t="n"/>
      <c r="M303" s="49" t="n"/>
    </row>
    <row r="304" ht="15.75" customHeight="1" s="57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49" t="n"/>
      <c r="L304" s="49" t="n"/>
      <c r="M304" s="49" t="n"/>
    </row>
    <row r="305" ht="15.75" customHeight="1" s="57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49" t="n"/>
      <c r="L305" s="49" t="n"/>
      <c r="M305" s="49" t="n"/>
    </row>
    <row r="306" ht="15.75" customHeight="1" s="57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49" t="n"/>
      <c r="L306" s="49" t="n"/>
      <c r="M306" s="49" t="n"/>
    </row>
    <row r="307" ht="15.75" customHeight="1" s="57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49" t="n"/>
      <c r="L307" s="49" t="n"/>
      <c r="M307" s="49" t="n"/>
    </row>
    <row r="308" ht="15.75" customHeight="1" s="57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49" t="n"/>
      <c r="L308" s="49" t="n"/>
      <c r="M308" s="49" t="n"/>
    </row>
    <row r="309" ht="15.75" customHeight="1" s="57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49" t="n"/>
      <c r="L309" s="49" t="n"/>
      <c r="M309" s="49" t="n"/>
    </row>
    <row r="310" ht="15.75" customHeight="1" s="57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49" t="n"/>
      <c r="L310" s="49" t="n"/>
      <c r="M310" s="49" t="n"/>
    </row>
    <row r="311" ht="15.75" customHeight="1" s="57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49" t="n"/>
      <c r="L311" s="49" t="n"/>
      <c r="M311" s="49" t="n"/>
    </row>
    <row r="312" ht="15.75" customHeight="1" s="57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49" t="n"/>
      <c r="L312" s="49" t="n"/>
      <c r="M312" s="49" t="n"/>
    </row>
    <row r="313" ht="15.75" customHeight="1" s="57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49" t="n"/>
      <c r="L313" s="49" t="n"/>
      <c r="M313" s="49" t="n"/>
    </row>
    <row r="314" ht="15.75" customHeight="1" s="57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49" t="n"/>
      <c r="L314" s="49" t="n"/>
      <c r="M314" s="49" t="n"/>
    </row>
    <row r="315" ht="15.75" customHeight="1" s="57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49" t="n"/>
      <c r="L315" s="49" t="n"/>
      <c r="M315" s="49" t="n"/>
    </row>
    <row r="316" ht="15.75" customHeight="1" s="57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49" t="n"/>
      <c r="L316" s="49" t="n"/>
      <c r="M316" s="49" t="n"/>
    </row>
    <row r="317" ht="15.75" customHeight="1" s="57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49" t="n"/>
      <c r="L317" s="49" t="n"/>
      <c r="M317" s="49" t="n"/>
    </row>
    <row r="318" ht="15.75" customHeight="1" s="57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49" t="n"/>
      <c r="L318" s="49" t="n"/>
      <c r="M318" s="49" t="n"/>
    </row>
    <row r="319" ht="15.75" customHeight="1" s="57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49" t="n"/>
      <c r="L319" s="49" t="n"/>
      <c r="M319" s="49" t="n"/>
    </row>
    <row r="320" ht="15.75" customHeight="1" s="57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49" t="n"/>
      <c r="L320" s="49" t="n"/>
      <c r="M320" s="49" t="n"/>
    </row>
    <row r="321" ht="15.75" customHeight="1" s="57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49" t="n"/>
      <c r="L321" s="49" t="n"/>
      <c r="M321" s="49" t="n"/>
    </row>
    <row r="322" ht="15.75" customHeight="1" s="57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49" t="n"/>
      <c r="L322" s="49" t="n"/>
      <c r="M322" s="49" t="n"/>
    </row>
    <row r="323" ht="15.75" customHeight="1" s="57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49" t="n"/>
      <c r="L323" s="49" t="n"/>
      <c r="M323" s="49" t="n"/>
    </row>
    <row r="324" ht="15.75" customHeight="1" s="57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49" t="n"/>
      <c r="L324" s="49" t="n"/>
      <c r="M324" s="49" t="n"/>
    </row>
    <row r="325" ht="15.75" customHeight="1" s="57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49" t="n"/>
      <c r="L325" s="49" t="n"/>
      <c r="M325" s="49" t="n"/>
    </row>
    <row r="326" ht="15.75" customHeight="1" s="57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49" t="n"/>
      <c r="L326" s="49" t="n"/>
      <c r="M326" s="49" t="n"/>
    </row>
    <row r="327" ht="15.75" customHeight="1" s="57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49" t="n"/>
      <c r="L327" s="49" t="n"/>
      <c r="M327" s="49" t="n"/>
    </row>
    <row r="328" ht="15.75" customHeight="1" s="57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49" t="n"/>
      <c r="L328" s="49" t="n"/>
      <c r="M328" s="49" t="n"/>
    </row>
    <row r="329" ht="15.75" customHeight="1" s="57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49" t="n"/>
      <c r="L329" s="49" t="n"/>
      <c r="M329" s="49" t="n"/>
    </row>
    <row r="330" ht="15.75" customHeight="1" s="57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49" t="n"/>
      <c r="L330" s="49" t="n"/>
      <c r="M330" s="49" t="n"/>
    </row>
    <row r="331" ht="15.75" customHeight="1" s="57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49" t="n"/>
      <c r="L331" s="49" t="n"/>
      <c r="M331" s="49" t="n"/>
    </row>
    <row r="332" ht="15.75" customHeight="1" s="57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49" t="n"/>
      <c r="L332" s="49" t="n"/>
      <c r="M332" s="49" t="n"/>
    </row>
    <row r="333" ht="15.75" customHeight="1" s="57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49" t="n"/>
      <c r="L333" s="49" t="n"/>
      <c r="M333" s="49" t="n"/>
    </row>
    <row r="334" ht="15.75" customHeight="1" s="57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49" t="n"/>
      <c r="L334" s="49" t="n"/>
      <c r="M334" s="49" t="n"/>
    </row>
    <row r="335" ht="15.75" customHeight="1" s="57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49" t="n"/>
      <c r="L335" s="49" t="n"/>
      <c r="M335" s="49" t="n"/>
    </row>
    <row r="336" ht="15.75" customHeight="1" s="57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49" t="n"/>
      <c r="L336" s="49" t="n"/>
      <c r="M336" s="49" t="n"/>
    </row>
    <row r="337" ht="15.75" customHeight="1" s="57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49" t="n"/>
      <c r="L337" s="49" t="n"/>
      <c r="M337" s="49" t="n"/>
    </row>
    <row r="338" ht="15.75" customHeight="1" s="57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49" t="n"/>
      <c r="L338" s="49" t="n"/>
      <c r="M338" s="49" t="n"/>
    </row>
    <row r="339" ht="15.75" customHeight="1" s="57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49" t="n"/>
      <c r="L339" s="49" t="n"/>
      <c r="M339" s="49" t="n"/>
    </row>
    <row r="340" ht="15.75" customHeight="1" s="57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49" t="n"/>
      <c r="L340" s="49" t="n"/>
      <c r="M340" s="49" t="n"/>
    </row>
    <row r="341" ht="15.75" customHeight="1" s="57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49" t="n"/>
      <c r="L341" s="49" t="n"/>
      <c r="M341" s="49" t="n"/>
    </row>
    <row r="342" ht="15.75" customHeight="1" s="57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49" t="n"/>
      <c r="L342" s="49" t="n"/>
      <c r="M342" s="49" t="n"/>
    </row>
    <row r="343" ht="15.75" customHeight="1" s="57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49" t="n"/>
      <c r="L343" s="49" t="n"/>
      <c r="M343" s="49" t="n"/>
    </row>
    <row r="344" ht="15.75" customHeight="1" s="57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49" t="n"/>
      <c r="L344" s="49" t="n"/>
      <c r="M344" s="49" t="n"/>
    </row>
    <row r="345" ht="15.75" customHeight="1" s="57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49" t="n"/>
      <c r="L345" s="49" t="n"/>
      <c r="M345" s="49" t="n"/>
    </row>
    <row r="346" ht="15.75" customHeight="1" s="57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49" t="n"/>
      <c r="L346" s="49" t="n"/>
      <c r="M346" s="49" t="n"/>
    </row>
    <row r="347" ht="15.75" customHeight="1" s="57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49" t="n"/>
      <c r="L347" s="49" t="n"/>
      <c r="M347" s="49" t="n"/>
    </row>
    <row r="348" ht="15.75" customHeight="1" s="57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49" t="n"/>
      <c r="L348" s="49" t="n"/>
      <c r="M348" s="49" t="n"/>
    </row>
    <row r="349" ht="15.75" customHeight="1" s="57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49" t="n"/>
      <c r="L349" s="49" t="n"/>
      <c r="M349" s="49" t="n"/>
    </row>
    <row r="350" ht="15.75" customHeight="1" s="57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49" t="n"/>
      <c r="L350" s="49" t="n"/>
      <c r="M350" s="49" t="n"/>
    </row>
    <row r="351" ht="15.75" customHeight="1" s="57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49" t="n"/>
      <c r="L351" s="49" t="n"/>
      <c r="M351" s="49" t="n"/>
    </row>
    <row r="352" ht="15.75" customHeight="1" s="57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49" t="n"/>
      <c r="L352" s="49" t="n"/>
      <c r="M352" s="49" t="n"/>
    </row>
    <row r="353" ht="15.75" customHeight="1" s="57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49" t="n"/>
      <c r="L353" s="49" t="n"/>
      <c r="M353" s="49" t="n"/>
    </row>
    <row r="354" ht="15.75" customHeight="1" s="57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49" t="n"/>
      <c r="L354" s="49" t="n"/>
      <c r="M354" s="49" t="n"/>
    </row>
    <row r="355" ht="15.75" customHeight="1" s="57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49" t="n"/>
      <c r="L355" s="49" t="n"/>
      <c r="M355" s="49" t="n"/>
    </row>
    <row r="356" ht="15.75" customHeight="1" s="57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49" t="n"/>
      <c r="L356" s="49" t="n"/>
      <c r="M356" s="49" t="n"/>
    </row>
    <row r="357" ht="15.75" customHeight="1" s="57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49" t="n"/>
      <c r="L357" s="49" t="n"/>
      <c r="M357" s="49" t="n"/>
    </row>
    <row r="358" ht="15.75" customHeight="1" s="57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49" t="n"/>
      <c r="L358" s="49" t="n"/>
      <c r="M358" s="49" t="n"/>
    </row>
    <row r="359" ht="15.75" customHeight="1" s="57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49" t="n"/>
      <c r="L359" s="49" t="n"/>
      <c r="M359" s="49" t="n"/>
    </row>
    <row r="360" ht="15.75" customHeight="1" s="57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49" t="n"/>
      <c r="L360" s="49" t="n"/>
      <c r="M360" s="49" t="n"/>
    </row>
    <row r="361" ht="15.75" customHeight="1" s="57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49" t="n"/>
      <c r="L361" s="49" t="n"/>
      <c r="M361" s="49" t="n"/>
    </row>
    <row r="362" ht="15.75" customHeight="1" s="57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49" t="n"/>
      <c r="L362" s="49" t="n"/>
      <c r="M362" s="49" t="n"/>
    </row>
    <row r="363" ht="15.75" customHeight="1" s="57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49" t="n"/>
      <c r="L363" s="49" t="n"/>
      <c r="M363" s="49" t="n"/>
    </row>
    <row r="364" ht="15.75" customHeight="1" s="57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49" t="n"/>
      <c r="L364" s="49" t="n"/>
      <c r="M364" s="49" t="n"/>
    </row>
    <row r="365" ht="15.75" customHeight="1" s="57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49" t="n"/>
      <c r="L365" s="49" t="n"/>
      <c r="M365" s="49" t="n"/>
    </row>
    <row r="366" ht="15.75" customHeight="1" s="57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49" t="n"/>
      <c r="L366" s="49" t="n"/>
      <c r="M366" s="49" t="n"/>
    </row>
    <row r="367" ht="15.75" customHeight="1" s="57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49" t="n"/>
      <c r="L367" s="49" t="n"/>
      <c r="M367" s="49" t="n"/>
    </row>
    <row r="368" ht="15.75" customHeight="1" s="57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49" t="n"/>
      <c r="L368" s="49" t="n"/>
      <c r="M368" s="49" t="n"/>
    </row>
    <row r="369" ht="15.75" customHeight="1" s="57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49" t="n"/>
      <c r="L369" s="49" t="n"/>
      <c r="M369" s="49" t="n"/>
    </row>
    <row r="370" ht="15.75" customHeight="1" s="57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49" t="n"/>
      <c r="L370" s="49" t="n"/>
      <c r="M370" s="49" t="n"/>
    </row>
    <row r="371" ht="15.75" customHeight="1" s="57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49" t="n"/>
      <c r="L371" s="49" t="n"/>
      <c r="M371" s="49" t="n"/>
    </row>
    <row r="372" ht="15.75" customHeight="1" s="57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49" t="n"/>
      <c r="L372" s="49" t="n"/>
      <c r="M372" s="49" t="n"/>
    </row>
    <row r="373" ht="15.75" customHeight="1" s="57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49" t="n"/>
      <c r="L373" s="49" t="n"/>
      <c r="M373" s="49" t="n"/>
    </row>
    <row r="374" ht="15.75" customHeight="1" s="57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49" t="n"/>
      <c r="L374" s="49" t="n"/>
      <c r="M374" s="49" t="n"/>
    </row>
    <row r="375" ht="15.75" customHeight="1" s="57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49" t="n"/>
      <c r="L375" s="49" t="n"/>
      <c r="M375" s="49" t="n"/>
    </row>
    <row r="376" ht="15.75" customHeight="1" s="57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49" t="n"/>
      <c r="L376" s="49" t="n"/>
      <c r="M376" s="49" t="n"/>
    </row>
    <row r="377" ht="15.75" customHeight="1" s="57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49" t="n"/>
      <c r="L377" s="49" t="n"/>
      <c r="M377" s="49" t="n"/>
    </row>
    <row r="378" ht="15.75" customHeight="1" s="57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49" t="n"/>
      <c r="L378" s="49" t="n"/>
      <c r="M378" s="49" t="n"/>
    </row>
    <row r="379" ht="15.75" customHeight="1" s="57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49" t="n"/>
      <c r="L379" s="49" t="n"/>
      <c r="M379" s="49" t="n"/>
    </row>
    <row r="380" ht="15.75" customHeight="1" s="57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49" t="n"/>
      <c r="L380" s="49" t="n"/>
      <c r="M380" s="49" t="n"/>
    </row>
    <row r="381" ht="15.75" customHeight="1" s="57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49" t="n"/>
      <c r="L381" s="49" t="n"/>
      <c r="M381" s="49" t="n"/>
    </row>
    <row r="382" ht="15.75" customHeight="1" s="57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49" t="n"/>
      <c r="L382" s="49" t="n"/>
      <c r="M382" s="49" t="n"/>
    </row>
    <row r="383" ht="15.75" customHeight="1" s="57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49" t="n"/>
      <c r="L383" s="49" t="n"/>
      <c r="M383" s="49" t="n"/>
    </row>
    <row r="384" ht="15.75" customHeight="1" s="57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49" t="n"/>
      <c r="L384" s="49" t="n"/>
      <c r="M384" s="49" t="n"/>
    </row>
    <row r="385" ht="15.75" customHeight="1" s="57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49" t="n"/>
      <c r="L385" s="49" t="n"/>
      <c r="M385" s="49" t="n"/>
    </row>
    <row r="386" ht="15.75" customHeight="1" s="57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49" t="n"/>
      <c r="L386" s="49" t="n"/>
      <c r="M386" s="49" t="n"/>
    </row>
    <row r="387" ht="15.75" customHeight="1" s="57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49" t="n"/>
      <c r="L387" s="49" t="n"/>
      <c r="M387" s="49" t="n"/>
    </row>
    <row r="388" ht="15.75" customHeight="1" s="57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49" t="n"/>
      <c r="L388" s="49" t="n"/>
      <c r="M388" s="49" t="n"/>
    </row>
    <row r="389" ht="15.75" customHeight="1" s="57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49" t="n"/>
      <c r="L389" s="49" t="n"/>
      <c r="M389" s="49" t="n"/>
    </row>
    <row r="390" ht="15.75" customHeight="1" s="57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49" t="n"/>
      <c r="L390" s="49" t="n"/>
      <c r="M390" s="49" t="n"/>
    </row>
    <row r="391" ht="15.75" customHeight="1" s="57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49" t="n"/>
      <c r="L391" s="49" t="n"/>
      <c r="M391" s="49" t="n"/>
    </row>
    <row r="392" ht="15.75" customHeight="1" s="57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49" t="n"/>
      <c r="L392" s="49" t="n"/>
      <c r="M392" s="49" t="n"/>
    </row>
    <row r="393" ht="15.75" customHeight="1" s="57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49" t="n"/>
      <c r="L393" s="49" t="n"/>
      <c r="M393" s="49" t="n"/>
    </row>
    <row r="394" ht="15.75" customHeight="1" s="57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49" t="n"/>
      <c r="L394" s="49" t="n"/>
      <c r="M394" s="49" t="n"/>
    </row>
    <row r="395" ht="15.75" customHeight="1" s="57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49" t="n"/>
      <c r="L395" s="49" t="n"/>
      <c r="M395" s="49" t="n"/>
    </row>
    <row r="396" ht="15.75" customHeight="1" s="57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49" t="n"/>
      <c r="L396" s="49" t="n"/>
      <c r="M396" s="49" t="n"/>
    </row>
    <row r="397" ht="15.75" customHeight="1" s="57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49" t="n"/>
      <c r="L397" s="49" t="n"/>
      <c r="M397" s="49" t="n"/>
    </row>
    <row r="398" ht="15.75" customHeight="1" s="57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49" t="n"/>
      <c r="L398" s="49" t="n"/>
      <c r="M398" s="49" t="n"/>
    </row>
    <row r="399" ht="15.75" customHeight="1" s="57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49" t="n"/>
      <c r="L399" s="49" t="n"/>
      <c r="M399" s="49" t="n"/>
    </row>
    <row r="400" ht="15.75" customHeight="1" s="57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49" t="n"/>
      <c r="L400" s="49" t="n"/>
      <c r="M400" s="49" t="n"/>
    </row>
    <row r="401" ht="15.75" customHeight="1" s="57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49" t="n"/>
      <c r="L401" s="49" t="n"/>
      <c r="M401" s="49" t="n"/>
    </row>
    <row r="402" ht="15.75" customHeight="1" s="57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49" t="n"/>
      <c r="L402" s="49" t="n"/>
      <c r="M402" s="49" t="n"/>
    </row>
    <row r="403" ht="15.75" customHeight="1" s="57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49" t="n"/>
      <c r="L403" s="49" t="n"/>
      <c r="M403" s="49" t="n"/>
    </row>
    <row r="404" ht="15.75" customHeight="1" s="57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49" t="n"/>
      <c r="L404" s="49" t="n"/>
      <c r="M404" s="49" t="n"/>
    </row>
    <row r="405" ht="15.75" customHeight="1" s="57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49" t="n"/>
      <c r="L405" s="49" t="n"/>
      <c r="M405" s="49" t="n"/>
    </row>
    <row r="406" ht="15.75" customHeight="1" s="57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49" t="n"/>
      <c r="L406" s="49" t="n"/>
      <c r="M406" s="49" t="n"/>
    </row>
    <row r="407" ht="15.75" customHeight="1" s="57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49" t="n"/>
      <c r="L407" s="49" t="n"/>
      <c r="M407" s="49" t="n"/>
    </row>
    <row r="408" ht="15.75" customHeight="1" s="57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49" t="n"/>
      <c r="L408" s="49" t="n"/>
      <c r="M408" s="49" t="n"/>
    </row>
    <row r="409" ht="15.75" customHeight="1" s="57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49" t="n"/>
      <c r="L409" s="49" t="n"/>
      <c r="M409" s="49" t="n"/>
    </row>
    <row r="410" ht="15.75" customHeight="1" s="57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49" t="n"/>
      <c r="L410" s="49" t="n"/>
      <c r="M410" s="49" t="n"/>
    </row>
    <row r="411" ht="15.75" customHeight="1" s="57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49" t="n"/>
      <c r="L411" s="49" t="n"/>
      <c r="M411" s="49" t="n"/>
    </row>
    <row r="412" ht="15.75" customHeight="1" s="57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49" t="n"/>
      <c r="L412" s="49" t="n"/>
      <c r="M412" s="49" t="n"/>
    </row>
    <row r="413" ht="15.75" customHeight="1" s="57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49" t="n"/>
      <c r="L413" s="49" t="n"/>
      <c r="M413" s="49" t="n"/>
    </row>
    <row r="414" ht="15.75" customHeight="1" s="57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49" t="n"/>
      <c r="L414" s="49" t="n"/>
      <c r="M414" s="49" t="n"/>
    </row>
    <row r="415" ht="15.75" customHeight="1" s="57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49" t="n"/>
      <c r="L415" s="49" t="n"/>
      <c r="M415" s="49" t="n"/>
    </row>
    <row r="416" ht="15.75" customHeight="1" s="57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49" t="n"/>
      <c r="L416" s="49" t="n"/>
      <c r="M416" s="49" t="n"/>
    </row>
    <row r="417" ht="15.75" customHeight="1" s="57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49" t="n"/>
      <c r="L417" s="49" t="n"/>
      <c r="M417" s="49" t="n"/>
    </row>
    <row r="418" ht="15.75" customHeight="1" s="57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49" t="n"/>
      <c r="L418" s="49" t="n"/>
      <c r="M418" s="49" t="n"/>
    </row>
    <row r="419" ht="15.75" customHeight="1" s="57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49" t="n"/>
      <c r="L419" s="49" t="n"/>
      <c r="M419" s="49" t="n"/>
    </row>
    <row r="420" ht="15.75" customHeight="1" s="57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49" t="n"/>
      <c r="L420" s="49" t="n"/>
      <c r="M420" s="49" t="n"/>
    </row>
    <row r="421" ht="15.75" customHeight="1" s="57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49" t="n"/>
      <c r="L421" s="49" t="n"/>
      <c r="M421" s="49" t="n"/>
    </row>
    <row r="422" ht="15.75" customHeight="1" s="57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49" t="n"/>
      <c r="L422" s="49" t="n"/>
      <c r="M422" s="49" t="n"/>
    </row>
    <row r="423" ht="15.75" customHeight="1" s="57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49" t="n"/>
      <c r="L423" s="49" t="n"/>
      <c r="M423" s="49" t="n"/>
    </row>
    <row r="424" ht="15.75" customHeight="1" s="57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49" t="n"/>
      <c r="L424" s="49" t="n"/>
      <c r="M424" s="49" t="n"/>
    </row>
    <row r="425" ht="15.75" customHeight="1" s="57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49" t="n"/>
      <c r="L425" s="49" t="n"/>
      <c r="M425" s="49" t="n"/>
    </row>
    <row r="426" ht="15.75" customHeight="1" s="57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49" t="n"/>
      <c r="L426" s="49" t="n"/>
      <c r="M426" s="49" t="n"/>
    </row>
    <row r="427" ht="15.75" customHeight="1" s="57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49" t="n"/>
      <c r="L427" s="49" t="n"/>
      <c r="M427" s="49" t="n"/>
    </row>
    <row r="428" ht="15.75" customHeight="1" s="57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49" t="n"/>
      <c r="L428" s="49" t="n"/>
      <c r="M428" s="49" t="n"/>
    </row>
    <row r="429" ht="15.75" customHeight="1" s="57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49" t="n"/>
      <c r="L429" s="49" t="n"/>
      <c r="M429" s="49" t="n"/>
    </row>
    <row r="430" ht="15.75" customHeight="1" s="57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49" t="n"/>
      <c r="L430" s="49" t="n"/>
      <c r="M430" s="49" t="n"/>
    </row>
    <row r="431" ht="15.75" customHeight="1" s="57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49" t="n"/>
      <c r="L431" s="49" t="n"/>
      <c r="M431" s="49" t="n"/>
    </row>
    <row r="432" ht="15.75" customHeight="1" s="57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49" t="n"/>
      <c r="L432" s="49" t="n"/>
      <c r="M432" s="49" t="n"/>
    </row>
    <row r="433" ht="15.75" customHeight="1" s="57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49" t="n"/>
      <c r="L433" s="49" t="n"/>
      <c r="M433" s="49" t="n"/>
    </row>
    <row r="434" ht="15.75" customHeight="1" s="57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49" t="n"/>
      <c r="L434" s="49" t="n"/>
      <c r="M434" s="49" t="n"/>
    </row>
    <row r="435" ht="15.75" customHeight="1" s="57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49" t="n"/>
      <c r="L435" s="49" t="n"/>
      <c r="M435" s="49" t="n"/>
    </row>
    <row r="436" ht="15.75" customHeight="1" s="57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49" t="n"/>
      <c r="L436" s="49" t="n"/>
      <c r="M436" s="49" t="n"/>
    </row>
    <row r="437" ht="15.75" customHeight="1" s="57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49" t="n"/>
      <c r="L437" s="49" t="n"/>
      <c r="M437" s="49" t="n"/>
    </row>
    <row r="438" ht="15.75" customHeight="1" s="57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49" t="n"/>
      <c r="L438" s="49" t="n"/>
      <c r="M438" s="49" t="n"/>
    </row>
    <row r="439" ht="15.75" customHeight="1" s="57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49" t="n"/>
      <c r="L439" s="49" t="n"/>
      <c r="M439" s="49" t="n"/>
    </row>
    <row r="440" ht="15.75" customHeight="1" s="57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49" t="n"/>
      <c r="L440" s="49" t="n"/>
      <c r="M440" s="49" t="n"/>
    </row>
    <row r="441" ht="15.75" customHeight="1" s="57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49" t="n"/>
      <c r="L441" s="49" t="n"/>
      <c r="M441" s="49" t="n"/>
    </row>
    <row r="442" ht="15.75" customHeight="1" s="57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49" t="n"/>
      <c r="L442" s="49" t="n"/>
      <c r="M442" s="49" t="n"/>
    </row>
    <row r="443" ht="15.75" customHeight="1" s="57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49" t="n"/>
      <c r="L443" s="49" t="n"/>
      <c r="M443" s="49" t="n"/>
    </row>
    <row r="444" ht="15.75" customHeight="1" s="57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49" t="n"/>
      <c r="L444" s="49" t="n"/>
      <c r="M444" s="49" t="n"/>
    </row>
    <row r="445" ht="15.75" customHeight="1" s="57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49" t="n"/>
      <c r="L445" s="49" t="n"/>
      <c r="M445" s="49" t="n"/>
    </row>
    <row r="446" ht="15.75" customHeight="1" s="57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49" t="n"/>
      <c r="L446" s="49" t="n"/>
      <c r="M446" s="49" t="n"/>
    </row>
    <row r="447" ht="15.75" customHeight="1" s="57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49" t="n"/>
      <c r="L447" s="49" t="n"/>
      <c r="M447" s="49" t="n"/>
    </row>
    <row r="448" ht="15.75" customHeight="1" s="57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49" t="n"/>
      <c r="L448" s="49" t="n"/>
      <c r="M448" s="49" t="n"/>
    </row>
    <row r="449" ht="15.75" customHeight="1" s="57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49" t="n"/>
      <c r="L449" s="49" t="n"/>
      <c r="M449" s="49" t="n"/>
    </row>
    <row r="450" ht="15.75" customHeight="1" s="57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49" t="n"/>
      <c r="L450" s="49" t="n"/>
      <c r="M450" s="49" t="n"/>
    </row>
    <row r="451" ht="15.75" customHeight="1" s="57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49" t="n"/>
      <c r="L451" s="49" t="n"/>
      <c r="M451" s="49" t="n"/>
    </row>
    <row r="452" ht="15.75" customHeight="1" s="57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49" t="n"/>
      <c r="L452" s="49" t="n"/>
      <c r="M452" s="49" t="n"/>
    </row>
    <row r="453" ht="15.75" customHeight="1" s="57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49" t="n"/>
      <c r="L453" s="49" t="n"/>
      <c r="M453" s="49" t="n"/>
    </row>
    <row r="454" ht="15.75" customHeight="1" s="57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49" t="n"/>
      <c r="L454" s="49" t="n"/>
      <c r="M454" s="49" t="n"/>
    </row>
    <row r="455" ht="15.75" customHeight="1" s="57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49" t="n"/>
      <c r="L455" s="49" t="n"/>
      <c r="M455" s="49" t="n"/>
    </row>
    <row r="456" ht="15.75" customHeight="1" s="57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49" t="n"/>
      <c r="L456" s="49" t="n"/>
      <c r="M456" s="49" t="n"/>
    </row>
    <row r="457" ht="15.75" customHeight="1" s="57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49" t="n"/>
      <c r="L457" s="49" t="n"/>
      <c r="M457" s="49" t="n"/>
    </row>
    <row r="458" ht="15.75" customHeight="1" s="57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49" t="n"/>
      <c r="L458" s="49" t="n"/>
      <c r="M458" s="49" t="n"/>
    </row>
    <row r="459" ht="15.75" customHeight="1" s="57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49" t="n"/>
      <c r="L459" s="49" t="n"/>
      <c r="M459" s="49" t="n"/>
    </row>
    <row r="460" ht="15.75" customHeight="1" s="57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49" t="n"/>
      <c r="L460" s="49" t="n"/>
      <c r="M460" s="49" t="n"/>
    </row>
    <row r="461" ht="15.75" customHeight="1" s="57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49" t="n"/>
      <c r="L461" s="49" t="n"/>
      <c r="M461" s="49" t="n"/>
    </row>
    <row r="462" ht="15.75" customHeight="1" s="57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49" t="n"/>
      <c r="L462" s="49" t="n"/>
      <c r="M462" s="49" t="n"/>
    </row>
    <row r="463" ht="15.75" customHeight="1" s="57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49" t="n"/>
      <c r="L463" s="49" t="n"/>
      <c r="M463" s="49" t="n"/>
    </row>
    <row r="464" ht="15.75" customHeight="1" s="57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49" t="n"/>
      <c r="L464" s="49" t="n"/>
      <c r="M464" s="49" t="n"/>
    </row>
    <row r="465" ht="15.75" customHeight="1" s="57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49" t="n"/>
      <c r="L465" s="49" t="n"/>
      <c r="M465" s="49" t="n"/>
    </row>
    <row r="466" ht="15.75" customHeight="1" s="57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49" t="n"/>
      <c r="L466" s="49" t="n"/>
      <c r="M466" s="49" t="n"/>
    </row>
    <row r="467" ht="15.75" customHeight="1" s="57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49" t="n"/>
      <c r="L467" s="49" t="n"/>
      <c r="M467" s="49" t="n"/>
    </row>
    <row r="468" ht="15.75" customHeight="1" s="57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49" t="n"/>
      <c r="L468" s="49" t="n"/>
      <c r="M468" s="49" t="n"/>
    </row>
    <row r="469" ht="15.75" customHeight="1" s="57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49" t="n"/>
      <c r="L469" s="49" t="n"/>
      <c r="M469" s="49" t="n"/>
    </row>
    <row r="470" ht="15.75" customHeight="1" s="57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49" t="n"/>
      <c r="L470" s="49" t="n"/>
      <c r="M470" s="49" t="n"/>
    </row>
    <row r="471" ht="15.75" customHeight="1" s="57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49" t="n"/>
      <c r="L471" s="49" t="n"/>
      <c r="M471" s="49" t="n"/>
    </row>
    <row r="472" ht="15.75" customHeight="1" s="57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49" t="n"/>
      <c r="L472" s="49" t="n"/>
      <c r="M472" s="49" t="n"/>
    </row>
    <row r="473" ht="15.75" customHeight="1" s="57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49" t="n"/>
      <c r="L473" s="49" t="n"/>
      <c r="M473" s="49" t="n"/>
    </row>
    <row r="474" ht="15.75" customHeight="1" s="57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49" t="n"/>
      <c r="L474" s="49" t="n"/>
      <c r="M474" s="49" t="n"/>
    </row>
    <row r="475" ht="15.75" customHeight="1" s="57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49" t="n"/>
      <c r="L475" s="49" t="n"/>
      <c r="M475" s="49" t="n"/>
    </row>
    <row r="476" ht="15.75" customHeight="1" s="57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49" t="n"/>
      <c r="L476" s="49" t="n"/>
      <c r="M476" s="49" t="n"/>
    </row>
    <row r="477" ht="15.75" customHeight="1" s="57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49" t="n"/>
      <c r="L477" s="49" t="n"/>
      <c r="M477" s="49" t="n"/>
    </row>
    <row r="478" ht="15.75" customHeight="1" s="57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49" t="n"/>
      <c r="L478" s="49" t="n"/>
      <c r="M478" s="49" t="n"/>
    </row>
    <row r="479" ht="15.75" customHeight="1" s="57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49" t="n"/>
      <c r="L479" s="49" t="n"/>
      <c r="M479" s="49" t="n"/>
    </row>
    <row r="480" ht="15.75" customHeight="1" s="57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49" t="n"/>
      <c r="L480" s="49" t="n"/>
      <c r="M480" s="49" t="n"/>
    </row>
    <row r="481" ht="15.75" customHeight="1" s="57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49" t="n"/>
      <c r="L481" s="49" t="n"/>
      <c r="M481" s="49" t="n"/>
    </row>
    <row r="482" ht="15.75" customHeight="1" s="57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49" t="n"/>
      <c r="L482" s="49" t="n"/>
      <c r="M482" s="49" t="n"/>
    </row>
    <row r="483" ht="15.75" customHeight="1" s="57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49" t="n"/>
      <c r="L483" s="49" t="n"/>
      <c r="M483" s="49" t="n"/>
    </row>
    <row r="484" ht="15.75" customHeight="1" s="57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49" t="n"/>
      <c r="L484" s="49" t="n"/>
      <c r="M484" s="49" t="n"/>
    </row>
    <row r="485" ht="15.75" customHeight="1" s="57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49" t="n"/>
      <c r="L485" s="49" t="n"/>
      <c r="M485" s="49" t="n"/>
    </row>
    <row r="486" ht="15.75" customHeight="1" s="57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49" t="n"/>
      <c r="L486" s="49" t="n"/>
      <c r="M486" s="49" t="n"/>
    </row>
    <row r="487" ht="15.75" customHeight="1" s="57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49" t="n"/>
      <c r="L487" s="49" t="n"/>
      <c r="M487" s="49" t="n"/>
    </row>
    <row r="488" ht="15.75" customHeight="1" s="57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49" t="n"/>
      <c r="L488" s="49" t="n"/>
      <c r="M488" s="49" t="n"/>
    </row>
    <row r="489" ht="15.75" customHeight="1" s="57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49" t="n"/>
      <c r="L489" s="49" t="n"/>
      <c r="M489" s="49" t="n"/>
    </row>
    <row r="490" ht="15.75" customHeight="1" s="57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49" t="n"/>
      <c r="L490" s="49" t="n"/>
      <c r="M490" s="49" t="n"/>
    </row>
    <row r="491" ht="15.75" customHeight="1" s="57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49" t="n"/>
      <c r="L491" s="49" t="n"/>
      <c r="M491" s="49" t="n"/>
    </row>
    <row r="492" ht="15.75" customHeight="1" s="57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49" t="n"/>
      <c r="L492" s="49" t="n"/>
      <c r="M492" s="49" t="n"/>
    </row>
    <row r="493" ht="15.75" customHeight="1" s="57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49" t="n"/>
      <c r="L493" s="49" t="n"/>
      <c r="M493" s="49" t="n"/>
    </row>
    <row r="494" ht="15.75" customHeight="1" s="57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49" t="n"/>
      <c r="L494" s="49" t="n"/>
      <c r="M494" s="49" t="n"/>
    </row>
    <row r="495" ht="15.75" customHeight="1" s="57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49" t="n"/>
      <c r="L495" s="49" t="n"/>
      <c r="M495" s="49" t="n"/>
    </row>
    <row r="496" ht="15.75" customHeight="1" s="57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49" t="n"/>
      <c r="L496" s="49" t="n"/>
      <c r="M496" s="49" t="n"/>
    </row>
    <row r="497" ht="15.75" customHeight="1" s="57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49" t="n"/>
      <c r="L497" s="49" t="n"/>
      <c r="M497" s="49" t="n"/>
    </row>
    <row r="498" ht="15.75" customHeight="1" s="57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49" t="n"/>
      <c r="L498" s="49" t="n"/>
      <c r="M498" s="49" t="n"/>
    </row>
    <row r="499" ht="15.75" customHeight="1" s="57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49" t="n"/>
      <c r="L499" s="49" t="n"/>
      <c r="M499" s="49" t="n"/>
    </row>
    <row r="500" ht="15.75" customHeight="1" s="57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49" t="n"/>
      <c r="L500" s="49" t="n"/>
      <c r="M500" s="49" t="n"/>
    </row>
    <row r="501" ht="15.75" customHeight="1" s="57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49" t="n"/>
      <c r="L501" s="49" t="n"/>
      <c r="M501" s="49" t="n"/>
    </row>
    <row r="502" ht="15.75" customHeight="1" s="57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49" t="n"/>
      <c r="L502" s="49" t="n"/>
      <c r="M502" s="49" t="n"/>
    </row>
    <row r="503" ht="15.75" customHeight="1" s="57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49" t="n"/>
      <c r="L503" s="49" t="n"/>
      <c r="M503" s="49" t="n"/>
    </row>
    <row r="504" ht="15.75" customHeight="1" s="57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49" t="n"/>
      <c r="L504" s="49" t="n"/>
      <c r="M504" s="49" t="n"/>
    </row>
    <row r="505" ht="15.75" customHeight="1" s="57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49" t="n"/>
      <c r="L505" s="49" t="n"/>
      <c r="M505" s="49" t="n"/>
    </row>
    <row r="506" ht="15.75" customHeight="1" s="57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49" t="n"/>
      <c r="L506" s="49" t="n"/>
      <c r="M506" s="49" t="n"/>
    </row>
    <row r="507" ht="15.75" customHeight="1" s="57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49" t="n"/>
      <c r="L507" s="49" t="n"/>
      <c r="M507" s="49" t="n"/>
    </row>
    <row r="508" ht="15.75" customHeight="1" s="57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49" t="n"/>
      <c r="L508" s="49" t="n"/>
      <c r="M508" s="49" t="n"/>
    </row>
    <row r="509" ht="15.75" customHeight="1" s="57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49" t="n"/>
      <c r="L509" s="49" t="n"/>
      <c r="M509" s="49" t="n"/>
    </row>
    <row r="510" ht="15.75" customHeight="1" s="57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49" t="n"/>
      <c r="L510" s="49" t="n"/>
      <c r="M510" s="49" t="n"/>
    </row>
    <row r="511" ht="15.75" customHeight="1" s="57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49" t="n"/>
      <c r="L511" s="49" t="n"/>
      <c r="M511" s="49" t="n"/>
    </row>
    <row r="512" ht="15.75" customHeight="1" s="57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49" t="n"/>
      <c r="L512" s="49" t="n"/>
      <c r="M512" s="49" t="n"/>
    </row>
    <row r="513" ht="15.75" customHeight="1" s="57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49" t="n"/>
      <c r="L513" s="49" t="n"/>
      <c r="M513" s="49" t="n"/>
    </row>
    <row r="514" ht="15.75" customHeight="1" s="57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49" t="n"/>
      <c r="L514" s="49" t="n"/>
      <c r="M514" s="49" t="n"/>
    </row>
    <row r="515" ht="15.75" customHeight="1" s="57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49" t="n"/>
      <c r="L515" s="49" t="n"/>
      <c r="M515" s="49" t="n"/>
    </row>
    <row r="516" ht="15.75" customHeight="1" s="57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49" t="n"/>
      <c r="L516" s="49" t="n"/>
      <c r="M516" s="49" t="n"/>
    </row>
    <row r="517" ht="15.75" customHeight="1" s="57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49" t="n"/>
      <c r="L517" s="49" t="n"/>
      <c r="M517" s="49" t="n"/>
    </row>
    <row r="518" ht="15.75" customHeight="1" s="57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49" t="n"/>
      <c r="L518" s="49" t="n"/>
      <c r="M518" s="49" t="n"/>
    </row>
    <row r="519" ht="15.75" customHeight="1" s="57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49" t="n"/>
      <c r="L519" s="49" t="n"/>
      <c r="M519" s="49" t="n"/>
    </row>
    <row r="520" ht="15.75" customHeight="1" s="57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49" t="n"/>
      <c r="L520" s="49" t="n"/>
      <c r="M520" s="49" t="n"/>
    </row>
    <row r="521" ht="15.75" customHeight="1" s="57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49" t="n"/>
      <c r="L521" s="49" t="n"/>
      <c r="M521" s="49" t="n"/>
    </row>
    <row r="522" ht="15.75" customHeight="1" s="57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49" t="n"/>
      <c r="L522" s="49" t="n"/>
      <c r="M522" s="49" t="n"/>
    </row>
    <row r="523" ht="15.75" customHeight="1" s="57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49" t="n"/>
      <c r="L523" s="49" t="n"/>
      <c r="M523" s="49" t="n"/>
    </row>
    <row r="524" ht="15.75" customHeight="1" s="57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49" t="n"/>
      <c r="L524" s="49" t="n"/>
      <c r="M524" s="49" t="n"/>
    </row>
    <row r="525" ht="15.75" customHeight="1" s="57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49" t="n"/>
      <c r="L525" s="49" t="n"/>
      <c r="M525" s="49" t="n"/>
    </row>
    <row r="526" ht="15.75" customHeight="1" s="57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49" t="n"/>
      <c r="L526" s="49" t="n"/>
      <c r="M526" s="49" t="n"/>
    </row>
    <row r="527" ht="15.75" customHeight="1" s="57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49" t="n"/>
      <c r="L527" s="49" t="n"/>
      <c r="M527" s="49" t="n"/>
    </row>
    <row r="528" ht="15.75" customHeight="1" s="57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49" t="n"/>
      <c r="L528" s="49" t="n"/>
      <c r="M528" s="49" t="n"/>
    </row>
    <row r="529" ht="15.75" customHeight="1" s="57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49" t="n"/>
      <c r="L529" s="49" t="n"/>
      <c r="M529" s="49" t="n"/>
    </row>
    <row r="530" ht="15.75" customHeight="1" s="57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49" t="n"/>
      <c r="L530" s="49" t="n"/>
      <c r="M530" s="49" t="n"/>
    </row>
    <row r="531" ht="15.75" customHeight="1" s="57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49" t="n"/>
      <c r="L531" s="49" t="n"/>
      <c r="M531" s="49" t="n"/>
    </row>
    <row r="532" ht="15.75" customHeight="1" s="57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49" t="n"/>
      <c r="L532" s="49" t="n"/>
      <c r="M532" s="49" t="n"/>
    </row>
    <row r="533" ht="15.75" customHeight="1" s="57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49" t="n"/>
      <c r="L533" s="49" t="n"/>
      <c r="M533" s="49" t="n"/>
    </row>
    <row r="534" ht="15.75" customHeight="1" s="57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49" t="n"/>
      <c r="L534" s="49" t="n"/>
      <c r="M534" s="49" t="n"/>
    </row>
    <row r="535" ht="15.75" customHeight="1" s="57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49" t="n"/>
      <c r="L535" s="49" t="n"/>
      <c r="M535" s="49" t="n"/>
    </row>
    <row r="536" ht="15.75" customHeight="1" s="57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49" t="n"/>
      <c r="L536" s="49" t="n"/>
      <c r="M536" s="49" t="n"/>
    </row>
    <row r="537" ht="15.75" customHeight="1" s="57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49" t="n"/>
      <c r="L537" s="49" t="n"/>
      <c r="M537" s="49" t="n"/>
    </row>
    <row r="538" ht="15.75" customHeight="1" s="57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49" t="n"/>
      <c r="L538" s="49" t="n"/>
      <c r="M538" s="49" t="n"/>
    </row>
    <row r="539" ht="15.75" customHeight="1" s="57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49" t="n"/>
      <c r="L539" s="49" t="n"/>
      <c r="M539" s="49" t="n"/>
    </row>
    <row r="540" ht="15.75" customHeight="1" s="57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49" t="n"/>
      <c r="L540" s="49" t="n"/>
      <c r="M540" s="49" t="n"/>
    </row>
    <row r="541" ht="15.75" customHeight="1" s="57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49" t="n"/>
      <c r="L541" s="49" t="n"/>
      <c r="M541" s="49" t="n"/>
    </row>
    <row r="542" ht="15.75" customHeight="1" s="57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49" t="n"/>
      <c r="L542" s="49" t="n"/>
      <c r="M542" s="49" t="n"/>
    </row>
    <row r="543" ht="15.75" customHeight="1" s="57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49" t="n"/>
      <c r="L543" s="49" t="n"/>
      <c r="M543" s="49" t="n"/>
    </row>
    <row r="544" ht="15.75" customHeight="1" s="57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49" t="n"/>
      <c r="L544" s="49" t="n"/>
      <c r="M544" s="49" t="n"/>
    </row>
    <row r="545" ht="15.75" customHeight="1" s="57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49" t="n"/>
      <c r="L545" s="49" t="n"/>
      <c r="M545" s="49" t="n"/>
    </row>
    <row r="546" ht="15.75" customHeight="1" s="57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49" t="n"/>
      <c r="L546" s="49" t="n"/>
      <c r="M546" s="49" t="n"/>
    </row>
    <row r="547" ht="15.75" customHeight="1" s="57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49" t="n"/>
      <c r="L547" s="49" t="n"/>
      <c r="M547" s="49" t="n"/>
    </row>
    <row r="548" ht="15.75" customHeight="1" s="57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49" t="n"/>
      <c r="L548" s="49" t="n"/>
      <c r="M548" s="49" t="n"/>
    </row>
    <row r="549" ht="15.75" customHeight="1" s="57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49" t="n"/>
      <c r="L549" s="49" t="n"/>
      <c r="M549" s="49" t="n"/>
    </row>
    <row r="550" ht="15.75" customHeight="1" s="57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49" t="n"/>
      <c r="L550" s="49" t="n"/>
      <c r="M550" s="49" t="n"/>
    </row>
    <row r="551" ht="15.75" customHeight="1" s="57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49" t="n"/>
      <c r="L551" s="49" t="n"/>
      <c r="M551" s="49" t="n"/>
    </row>
    <row r="552" ht="15.75" customHeight="1" s="57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49" t="n"/>
      <c r="L552" s="49" t="n"/>
      <c r="M552" s="49" t="n"/>
    </row>
    <row r="553" ht="15.75" customHeight="1" s="57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49" t="n"/>
      <c r="L553" s="49" t="n"/>
      <c r="M553" s="49" t="n"/>
    </row>
    <row r="554" ht="15.75" customHeight="1" s="57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49" t="n"/>
      <c r="L554" s="49" t="n"/>
      <c r="M554" s="49" t="n"/>
    </row>
    <row r="555" ht="15.75" customHeight="1" s="57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49" t="n"/>
      <c r="L555" s="49" t="n"/>
      <c r="M555" s="49" t="n"/>
    </row>
    <row r="556" ht="15.75" customHeight="1" s="57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49" t="n"/>
      <c r="L556" s="49" t="n"/>
      <c r="M556" s="49" t="n"/>
    </row>
    <row r="557" ht="15.75" customHeight="1" s="57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49" t="n"/>
      <c r="L557" s="49" t="n"/>
      <c r="M557" s="49" t="n"/>
    </row>
    <row r="558" ht="15.75" customHeight="1" s="57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49" t="n"/>
      <c r="L558" s="49" t="n"/>
      <c r="M558" s="49" t="n"/>
    </row>
    <row r="559" ht="15.75" customHeight="1" s="57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49" t="n"/>
      <c r="L559" s="49" t="n"/>
      <c r="M559" s="49" t="n"/>
    </row>
    <row r="560" ht="15.75" customHeight="1" s="57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49" t="n"/>
      <c r="L560" s="49" t="n"/>
      <c r="M560" s="49" t="n"/>
    </row>
    <row r="561" ht="15.75" customHeight="1" s="57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49" t="n"/>
      <c r="L561" s="49" t="n"/>
      <c r="M561" s="49" t="n"/>
    </row>
    <row r="562" ht="15.75" customHeight="1" s="57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49" t="n"/>
      <c r="L562" s="49" t="n"/>
      <c r="M562" s="49" t="n"/>
    </row>
    <row r="563" ht="15.75" customHeight="1" s="57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49" t="n"/>
      <c r="L563" s="49" t="n"/>
      <c r="M563" s="49" t="n"/>
    </row>
    <row r="564" ht="15.75" customHeight="1" s="57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49" t="n"/>
      <c r="L564" s="49" t="n"/>
      <c r="M564" s="49" t="n"/>
    </row>
    <row r="565" ht="15.75" customHeight="1" s="57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49" t="n"/>
      <c r="L565" s="49" t="n"/>
      <c r="M565" s="49" t="n"/>
    </row>
    <row r="566" ht="15.75" customHeight="1" s="57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49" t="n"/>
      <c r="L566" s="49" t="n"/>
      <c r="M566" s="49" t="n"/>
    </row>
    <row r="567" ht="15.75" customHeight="1" s="57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49" t="n"/>
      <c r="L567" s="49" t="n"/>
      <c r="M567" s="49" t="n"/>
    </row>
    <row r="568" ht="15.75" customHeight="1" s="57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49" t="n"/>
      <c r="L568" s="49" t="n"/>
      <c r="M568" s="49" t="n"/>
    </row>
    <row r="569" ht="15.75" customHeight="1" s="57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49" t="n"/>
      <c r="L569" s="49" t="n"/>
      <c r="M569" s="49" t="n"/>
    </row>
    <row r="570" ht="15.75" customHeight="1" s="57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49" t="n"/>
      <c r="L570" s="49" t="n"/>
      <c r="M570" s="49" t="n"/>
    </row>
    <row r="571" ht="15.75" customHeight="1" s="57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49" t="n"/>
      <c r="L571" s="49" t="n"/>
      <c r="M571" s="49" t="n"/>
    </row>
    <row r="572" ht="15.75" customHeight="1" s="57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49" t="n"/>
      <c r="L572" s="49" t="n"/>
      <c r="M572" s="49" t="n"/>
    </row>
    <row r="573" ht="15.75" customHeight="1" s="57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49" t="n"/>
      <c r="L573" s="49" t="n"/>
      <c r="M573" s="49" t="n"/>
    </row>
    <row r="574" ht="15.75" customHeight="1" s="57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49" t="n"/>
      <c r="L574" s="49" t="n"/>
      <c r="M574" s="49" t="n"/>
    </row>
    <row r="575" ht="15.75" customHeight="1" s="57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49" t="n"/>
      <c r="L575" s="49" t="n"/>
      <c r="M575" s="49" t="n"/>
    </row>
    <row r="576" ht="15.75" customHeight="1" s="57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49" t="n"/>
      <c r="L576" s="49" t="n"/>
      <c r="M576" s="49" t="n"/>
    </row>
    <row r="577" ht="15.75" customHeight="1" s="57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49" t="n"/>
      <c r="L577" s="49" t="n"/>
      <c r="M577" s="49" t="n"/>
    </row>
    <row r="578" ht="15.75" customHeight="1" s="57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49" t="n"/>
      <c r="L578" s="49" t="n"/>
      <c r="M578" s="49" t="n"/>
    </row>
    <row r="579" ht="15.75" customHeight="1" s="57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49" t="n"/>
      <c r="L579" s="49" t="n"/>
      <c r="M579" s="49" t="n"/>
    </row>
    <row r="580" ht="15.75" customHeight="1" s="57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49" t="n"/>
      <c r="L580" s="49" t="n"/>
      <c r="M580" s="49" t="n"/>
    </row>
    <row r="581" ht="15.75" customHeight="1" s="57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49" t="n"/>
      <c r="L581" s="49" t="n"/>
      <c r="M581" s="49" t="n"/>
    </row>
    <row r="582" ht="15.75" customHeight="1" s="57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49" t="n"/>
      <c r="L582" s="49" t="n"/>
      <c r="M582" s="49" t="n"/>
    </row>
    <row r="583" ht="15.75" customHeight="1" s="57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49" t="n"/>
      <c r="L583" s="49" t="n"/>
      <c r="M583" s="49" t="n"/>
    </row>
    <row r="584" ht="15.75" customHeight="1" s="57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49" t="n"/>
      <c r="L584" s="49" t="n"/>
      <c r="M584" s="49" t="n"/>
    </row>
    <row r="585" ht="15.75" customHeight="1" s="57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49" t="n"/>
      <c r="L585" s="49" t="n"/>
      <c r="M585" s="49" t="n"/>
    </row>
    <row r="586" ht="15.75" customHeight="1" s="57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49" t="n"/>
      <c r="L586" s="49" t="n"/>
      <c r="M586" s="49" t="n"/>
    </row>
    <row r="587" ht="15.75" customHeight="1" s="57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49" t="n"/>
      <c r="L587" s="49" t="n"/>
      <c r="M587" s="49" t="n"/>
    </row>
    <row r="588" ht="15.75" customHeight="1" s="57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49" t="n"/>
      <c r="L588" s="49" t="n"/>
      <c r="M588" s="49" t="n"/>
    </row>
    <row r="589" ht="15.75" customHeight="1" s="57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49" t="n"/>
      <c r="L589" s="49" t="n"/>
      <c r="M589" s="49" t="n"/>
    </row>
    <row r="590" ht="15.75" customHeight="1" s="57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49" t="n"/>
      <c r="L590" s="49" t="n"/>
      <c r="M590" s="49" t="n"/>
    </row>
    <row r="591" ht="15.75" customHeight="1" s="57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49" t="n"/>
      <c r="L591" s="49" t="n"/>
      <c r="M591" s="49" t="n"/>
    </row>
    <row r="592" ht="15.75" customHeight="1" s="57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49" t="n"/>
      <c r="L592" s="49" t="n"/>
      <c r="M592" s="49" t="n"/>
    </row>
    <row r="593" ht="15.75" customHeight="1" s="57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49" t="n"/>
      <c r="L593" s="49" t="n"/>
      <c r="M593" s="49" t="n"/>
    </row>
    <row r="594" ht="15.75" customHeight="1" s="57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49" t="n"/>
      <c r="L594" s="49" t="n"/>
      <c r="M594" s="49" t="n"/>
    </row>
    <row r="595" ht="15.75" customHeight="1" s="57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49" t="n"/>
      <c r="L595" s="49" t="n"/>
      <c r="M595" s="49" t="n"/>
    </row>
    <row r="596" ht="15.75" customHeight="1" s="57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49" t="n"/>
      <c r="L596" s="49" t="n"/>
      <c r="M596" s="49" t="n"/>
    </row>
    <row r="597" ht="15.75" customHeight="1" s="57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49" t="n"/>
      <c r="L597" s="49" t="n"/>
      <c r="M597" s="49" t="n"/>
    </row>
    <row r="598" ht="15.75" customHeight="1" s="57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49" t="n"/>
      <c r="L598" s="49" t="n"/>
      <c r="M598" s="49" t="n"/>
    </row>
    <row r="599" ht="15.75" customHeight="1" s="57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49" t="n"/>
      <c r="L599" s="49" t="n"/>
      <c r="M599" s="49" t="n"/>
    </row>
    <row r="600" ht="15.75" customHeight="1" s="57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49" t="n"/>
      <c r="L600" s="49" t="n"/>
      <c r="M600" s="49" t="n"/>
    </row>
    <row r="601" ht="15.75" customHeight="1" s="57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49" t="n"/>
      <c r="L601" s="49" t="n"/>
      <c r="M601" s="49" t="n"/>
    </row>
    <row r="602" ht="15.75" customHeight="1" s="57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49" t="n"/>
      <c r="L602" s="49" t="n"/>
      <c r="M602" s="49" t="n"/>
    </row>
    <row r="603" ht="15.75" customHeight="1" s="57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49" t="n"/>
      <c r="L603" s="49" t="n"/>
      <c r="M603" s="49" t="n"/>
    </row>
    <row r="604" ht="15.75" customHeight="1" s="57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49" t="n"/>
      <c r="L604" s="49" t="n"/>
      <c r="M604" s="49" t="n"/>
    </row>
    <row r="605" ht="15.75" customHeight="1" s="57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49" t="n"/>
      <c r="L605" s="49" t="n"/>
      <c r="M605" s="49" t="n"/>
    </row>
    <row r="606" ht="15.75" customHeight="1" s="57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49" t="n"/>
      <c r="L606" s="49" t="n"/>
      <c r="M606" s="49" t="n"/>
    </row>
    <row r="607" ht="15.75" customHeight="1" s="57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49" t="n"/>
      <c r="L607" s="49" t="n"/>
      <c r="M607" s="49" t="n"/>
    </row>
    <row r="608" ht="15.75" customHeight="1" s="57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49" t="n"/>
      <c r="L608" s="49" t="n"/>
      <c r="M608" s="49" t="n"/>
    </row>
    <row r="609" ht="15.75" customHeight="1" s="57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49" t="n"/>
      <c r="L609" s="49" t="n"/>
      <c r="M609" s="49" t="n"/>
    </row>
    <row r="610" ht="15.75" customHeight="1" s="57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49" t="n"/>
      <c r="L610" s="49" t="n"/>
      <c r="M610" s="49" t="n"/>
    </row>
    <row r="611" ht="15.75" customHeight="1" s="57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49" t="n"/>
      <c r="L611" s="49" t="n"/>
      <c r="M611" s="49" t="n"/>
    </row>
    <row r="612" ht="15.75" customHeight="1" s="57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49" t="n"/>
      <c r="L612" s="49" t="n"/>
      <c r="M612" s="49" t="n"/>
    </row>
    <row r="613" ht="15.75" customHeight="1" s="57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49" t="n"/>
      <c r="L613" s="49" t="n"/>
      <c r="M613" s="49" t="n"/>
    </row>
    <row r="614" ht="15.75" customHeight="1" s="57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49" t="n"/>
      <c r="L614" s="49" t="n"/>
      <c r="M614" s="49" t="n"/>
    </row>
    <row r="615" ht="15.75" customHeight="1" s="57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49" t="n"/>
      <c r="L615" s="49" t="n"/>
      <c r="M615" s="49" t="n"/>
    </row>
    <row r="616" ht="15.75" customHeight="1" s="57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49" t="n"/>
      <c r="L616" s="49" t="n"/>
      <c r="M616" s="49" t="n"/>
    </row>
    <row r="617" ht="15.75" customHeight="1" s="57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49" t="n"/>
      <c r="L617" s="49" t="n"/>
      <c r="M617" s="49" t="n"/>
    </row>
    <row r="618" ht="15.75" customHeight="1" s="57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49" t="n"/>
      <c r="L618" s="49" t="n"/>
      <c r="M618" s="49" t="n"/>
    </row>
    <row r="619" ht="15.75" customHeight="1" s="57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49" t="n"/>
      <c r="L619" s="49" t="n"/>
      <c r="M619" s="49" t="n"/>
    </row>
    <row r="620" ht="15.75" customHeight="1" s="57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49" t="n"/>
      <c r="L620" s="49" t="n"/>
      <c r="M620" s="49" t="n"/>
    </row>
    <row r="621" ht="15.75" customHeight="1" s="57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49" t="n"/>
      <c r="L621" s="49" t="n"/>
      <c r="M621" s="49" t="n"/>
    </row>
    <row r="622" ht="15.75" customHeight="1" s="57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49" t="n"/>
      <c r="L622" s="49" t="n"/>
      <c r="M622" s="49" t="n"/>
    </row>
    <row r="623" ht="15.75" customHeight="1" s="57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49" t="n"/>
      <c r="L623" s="49" t="n"/>
      <c r="M623" s="49" t="n"/>
    </row>
    <row r="624" ht="15.75" customHeight="1" s="57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49" t="n"/>
      <c r="L624" s="49" t="n"/>
      <c r="M624" s="49" t="n"/>
    </row>
    <row r="625" ht="15.75" customHeight="1" s="57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49" t="n"/>
      <c r="L625" s="49" t="n"/>
      <c r="M625" s="49" t="n"/>
    </row>
    <row r="626" ht="15.75" customHeight="1" s="57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49" t="n"/>
      <c r="L626" s="49" t="n"/>
      <c r="M626" s="49" t="n"/>
    </row>
    <row r="627" ht="15.75" customHeight="1" s="57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49" t="n"/>
      <c r="L627" s="49" t="n"/>
      <c r="M627" s="49" t="n"/>
    </row>
    <row r="628" ht="15.75" customHeight="1" s="57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49" t="n"/>
      <c r="L628" s="49" t="n"/>
      <c r="M628" s="49" t="n"/>
    </row>
    <row r="629" ht="15.75" customHeight="1" s="57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49" t="n"/>
      <c r="L629" s="49" t="n"/>
      <c r="M629" s="49" t="n"/>
    </row>
    <row r="630" ht="15.75" customHeight="1" s="57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49" t="n"/>
      <c r="L630" s="49" t="n"/>
      <c r="M630" s="49" t="n"/>
    </row>
    <row r="631" ht="15.75" customHeight="1" s="57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49" t="n"/>
      <c r="L631" s="49" t="n"/>
      <c r="M631" s="49" t="n"/>
    </row>
    <row r="632" ht="15.75" customHeight="1" s="57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49" t="n"/>
      <c r="L632" s="49" t="n"/>
      <c r="M632" s="49" t="n"/>
    </row>
    <row r="633" ht="15.75" customHeight="1" s="57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49" t="n"/>
      <c r="L633" s="49" t="n"/>
      <c r="M633" s="49" t="n"/>
    </row>
    <row r="634" ht="15.75" customHeight="1" s="57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49" t="n"/>
      <c r="L634" s="49" t="n"/>
      <c r="M634" s="49" t="n"/>
    </row>
    <row r="635" ht="15.75" customHeight="1" s="57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49" t="n"/>
      <c r="L635" s="49" t="n"/>
      <c r="M635" s="49" t="n"/>
    </row>
    <row r="636" ht="15.75" customHeight="1" s="57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49" t="n"/>
      <c r="L636" s="49" t="n"/>
      <c r="M636" s="49" t="n"/>
    </row>
    <row r="637" ht="15.75" customHeight="1" s="57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49" t="n"/>
      <c r="L637" s="49" t="n"/>
      <c r="M637" s="49" t="n"/>
    </row>
    <row r="638" ht="15.75" customHeight="1" s="57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49" t="n"/>
      <c r="L638" s="49" t="n"/>
      <c r="M638" s="49" t="n"/>
    </row>
    <row r="639" ht="15.75" customHeight="1" s="57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49" t="n"/>
      <c r="L639" s="49" t="n"/>
      <c r="M639" s="49" t="n"/>
    </row>
    <row r="640" ht="15.75" customHeight="1" s="57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49" t="n"/>
      <c r="L640" s="49" t="n"/>
      <c r="M640" s="49" t="n"/>
    </row>
    <row r="641" ht="15.75" customHeight="1" s="57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49" t="n"/>
      <c r="L641" s="49" t="n"/>
      <c r="M641" s="49" t="n"/>
    </row>
    <row r="642" ht="15.75" customHeight="1" s="57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49" t="n"/>
      <c r="L642" s="49" t="n"/>
      <c r="M642" s="49" t="n"/>
    </row>
    <row r="643" ht="15.75" customHeight="1" s="57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49" t="n"/>
      <c r="L643" s="49" t="n"/>
      <c r="M643" s="49" t="n"/>
    </row>
    <row r="644" ht="15.75" customHeight="1" s="57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49" t="n"/>
      <c r="L644" s="49" t="n"/>
      <c r="M644" s="49" t="n"/>
    </row>
    <row r="645" ht="15.75" customHeight="1" s="57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49" t="n"/>
      <c r="L645" s="49" t="n"/>
      <c r="M645" s="49" t="n"/>
    </row>
    <row r="646" ht="15.75" customHeight="1" s="57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49" t="n"/>
      <c r="L646" s="49" t="n"/>
      <c r="M646" s="49" t="n"/>
    </row>
    <row r="647" ht="15.75" customHeight="1" s="57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49" t="n"/>
      <c r="L647" s="49" t="n"/>
      <c r="M647" s="49" t="n"/>
    </row>
    <row r="648" ht="15.75" customHeight="1" s="57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49" t="n"/>
      <c r="L648" s="49" t="n"/>
      <c r="M648" s="49" t="n"/>
    </row>
    <row r="649" ht="15.75" customHeight="1" s="57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49" t="n"/>
      <c r="L649" s="49" t="n"/>
      <c r="M649" s="49" t="n"/>
    </row>
    <row r="650" ht="15.75" customHeight="1" s="57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49" t="n"/>
      <c r="L650" s="49" t="n"/>
      <c r="M650" s="49" t="n"/>
    </row>
    <row r="651" ht="15.75" customHeight="1" s="57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49" t="n"/>
      <c r="L651" s="49" t="n"/>
      <c r="M651" s="49" t="n"/>
    </row>
    <row r="652" ht="15.75" customHeight="1" s="57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49" t="n"/>
      <c r="L652" s="49" t="n"/>
      <c r="M652" s="49" t="n"/>
    </row>
    <row r="653" ht="15.75" customHeight="1" s="57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49" t="n"/>
      <c r="L653" s="49" t="n"/>
      <c r="M653" s="49" t="n"/>
    </row>
    <row r="654" ht="15.75" customHeight="1" s="57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49" t="n"/>
      <c r="L654" s="49" t="n"/>
      <c r="M654" s="49" t="n"/>
    </row>
    <row r="655" ht="15.75" customHeight="1" s="57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49" t="n"/>
      <c r="L655" s="49" t="n"/>
      <c r="M655" s="49" t="n"/>
    </row>
    <row r="656" ht="15.75" customHeight="1" s="57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49" t="n"/>
      <c r="L656" s="49" t="n"/>
      <c r="M656" s="49" t="n"/>
    </row>
    <row r="657" ht="15.75" customHeight="1" s="57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49" t="n"/>
      <c r="L657" s="49" t="n"/>
      <c r="M657" s="49" t="n"/>
    </row>
    <row r="658" ht="15.75" customHeight="1" s="57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49" t="n"/>
      <c r="L658" s="49" t="n"/>
      <c r="M658" s="49" t="n"/>
    </row>
    <row r="659" ht="15.75" customHeight="1" s="57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49" t="n"/>
      <c r="L659" s="49" t="n"/>
      <c r="M659" s="49" t="n"/>
    </row>
    <row r="660" ht="15.75" customHeight="1" s="57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49" t="n"/>
      <c r="L660" s="49" t="n"/>
      <c r="M660" s="49" t="n"/>
    </row>
    <row r="661" ht="15.75" customHeight="1" s="57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49" t="n"/>
      <c r="L661" s="49" t="n"/>
      <c r="M661" s="49" t="n"/>
    </row>
    <row r="662" ht="15.75" customHeight="1" s="57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49" t="n"/>
      <c r="L662" s="49" t="n"/>
      <c r="M662" s="49" t="n"/>
    </row>
    <row r="663" ht="15.75" customHeight="1" s="57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49" t="n"/>
      <c r="L663" s="49" t="n"/>
      <c r="M663" s="49" t="n"/>
    </row>
    <row r="664" ht="15.75" customHeight="1" s="57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49" t="n"/>
      <c r="L664" s="49" t="n"/>
      <c r="M664" s="49" t="n"/>
    </row>
    <row r="665" ht="15.75" customHeight="1" s="57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49" t="n"/>
      <c r="L665" s="49" t="n"/>
      <c r="M665" s="49" t="n"/>
    </row>
    <row r="666" ht="15.75" customHeight="1" s="57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49" t="n"/>
      <c r="L666" s="49" t="n"/>
      <c r="M666" s="49" t="n"/>
    </row>
    <row r="667" ht="15.75" customHeight="1" s="57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49" t="n"/>
      <c r="L667" s="49" t="n"/>
      <c r="M667" s="49" t="n"/>
    </row>
    <row r="668" ht="15.75" customHeight="1" s="57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49" t="n"/>
      <c r="L668" s="49" t="n"/>
      <c r="M668" s="49" t="n"/>
    </row>
    <row r="669" ht="15.75" customHeight="1" s="57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49" t="n"/>
      <c r="L669" s="49" t="n"/>
      <c r="M669" s="49" t="n"/>
    </row>
    <row r="670" ht="15.75" customHeight="1" s="57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49" t="n"/>
      <c r="L670" s="49" t="n"/>
      <c r="M670" s="49" t="n"/>
    </row>
    <row r="671" ht="15.75" customHeight="1" s="57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49" t="n"/>
      <c r="L671" s="49" t="n"/>
      <c r="M671" s="49" t="n"/>
    </row>
    <row r="672" ht="15.75" customHeight="1" s="57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49" t="n"/>
      <c r="L672" s="49" t="n"/>
      <c r="M672" s="49" t="n"/>
    </row>
    <row r="673" ht="15.75" customHeight="1" s="57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49" t="n"/>
      <c r="L673" s="49" t="n"/>
      <c r="M673" s="49" t="n"/>
    </row>
    <row r="674" ht="15.75" customHeight="1" s="57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49" t="n"/>
      <c r="L674" s="49" t="n"/>
      <c r="M674" s="49" t="n"/>
    </row>
    <row r="675" ht="15.75" customHeight="1" s="57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49" t="n"/>
      <c r="L675" s="49" t="n"/>
      <c r="M675" s="49" t="n"/>
    </row>
    <row r="676" ht="15.75" customHeight="1" s="57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49" t="n"/>
      <c r="L676" s="49" t="n"/>
      <c r="M676" s="49" t="n"/>
    </row>
    <row r="677" ht="15.75" customHeight="1" s="57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49" t="n"/>
      <c r="L677" s="49" t="n"/>
      <c r="M677" s="49" t="n"/>
    </row>
    <row r="678" ht="15.75" customHeight="1" s="57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49" t="n"/>
      <c r="L678" s="49" t="n"/>
      <c r="M678" s="49" t="n"/>
    </row>
    <row r="679" ht="15.75" customHeight="1" s="57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49" t="n"/>
      <c r="L679" s="49" t="n"/>
      <c r="M679" s="49" t="n"/>
    </row>
    <row r="680" ht="15.75" customHeight="1" s="57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49" t="n"/>
      <c r="L680" s="49" t="n"/>
      <c r="M680" s="49" t="n"/>
    </row>
    <row r="681" ht="15.75" customHeight="1" s="57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49" t="n"/>
      <c r="L681" s="49" t="n"/>
      <c r="M681" s="49" t="n"/>
    </row>
    <row r="682" ht="15.75" customHeight="1" s="57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49" t="n"/>
      <c r="L682" s="49" t="n"/>
      <c r="M682" s="49" t="n"/>
    </row>
    <row r="683" ht="15.75" customHeight="1" s="57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49" t="n"/>
      <c r="L683" s="49" t="n"/>
      <c r="M683" s="49" t="n"/>
    </row>
    <row r="684" ht="15.75" customHeight="1" s="57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49" t="n"/>
      <c r="L684" s="49" t="n"/>
      <c r="M684" s="49" t="n"/>
    </row>
    <row r="685" ht="15.75" customHeight="1" s="57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49" t="n"/>
      <c r="L685" s="49" t="n"/>
      <c r="M685" s="49" t="n"/>
    </row>
    <row r="686" ht="15.75" customHeight="1" s="57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49" t="n"/>
      <c r="L686" s="49" t="n"/>
      <c r="M686" s="49" t="n"/>
    </row>
    <row r="687" ht="15.75" customHeight="1" s="57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49" t="n"/>
      <c r="L687" s="49" t="n"/>
      <c r="M687" s="49" t="n"/>
    </row>
    <row r="688" ht="15.75" customHeight="1" s="57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49" t="n"/>
      <c r="L688" s="49" t="n"/>
      <c r="M688" s="49" t="n"/>
    </row>
    <row r="689" ht="15.75" customHeight="1" s="57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49" t="n"/>
      <c r="L689" s="49" t="n"/>
      <c r="M689" s="49" t="n"/>
    </row>
    <row r="690" ht="15.75" customHeight="1" s="57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49" t="n"/>
      <c r="L690" s="49" t="n"/>
      <c r="M690" s="49" t="n"/>
    </row>
    <row r="691" ht="15.75" customHeight="1" s="57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49" t="n"/>
      <c r="L691" s="49" t="n"/>
      <c r="M691" s="49" t="n"/>
    </row>
    <row r="692" ht="15.75" customHeight="1" s="57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49" t="n"/>
      <c r="L692" s="49" t="n"/>
      <c r="M692" s="49" t="n"/>
    </row>
    <row r="693" ht="15.75" customHeight="1" s="57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49" t="n"/>
      <c r="L693" s="49" t="n"/>
      <c r="M693" s="49" t="n"/>
    </row>
    <row r="694" ht="15.75" customHeight="1" s="57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49" t="n"/>
      <c r="L694" s="49" t="n"/>
      <c r="M694" s="49" t="n"/>
    </row>
    <row r="695" ht="15.75" customHeight="1" s="57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49" t="n"/>
      <c r="L695" s="49" t="n"/>
      <c r="M695" s="49" t="n"/>
    </row>
    <row r="696" ht="15.75" customHeight="1" s="57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49" t="n"/>
      <c r="L696" s="49" t="n"/>
      <c r="M696" s="49" t="n"/>
    </row>
    <row r="697" ht="15.75" customHeight="1" s="57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49" t="n"/>
      <c r="L697" s="49" t="n"/>
      <c r="M697" s="49" t="n"/>
    </row>
    <row r="698" ht="15.75" customHeight="1" s="57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49" t="n"/>
      <c r="L698" s="49" t="n"/>
      <c r="M698" s="49" t="n"/>
    </row>
    <row r="699" ht="15.75" customHeight="1" s="57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49" t="n"/>
      <c r="L699" s="49" t="n"/>
      <c r="M699" s="49" t="n"/>
    </row>
    <row r="700" ht="15.75" customHeight="1" s="57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49" t="n"/>
      <c r="L700" s="49" t="n"/>
      <c r="M700" s="49" t="n"/>
    </row>
    <row r="701" ht="15.75" customHeight="1" s="57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49" t="n"/>
      <c r="L701" s="49" t="n"/>
      <c r="M701" s="49" t="n"/>
    </row>
    <row r="702" ht="15.75" customHeight="1" s="57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49" t="n"/>
      <c r="L702" s="49" t="n"/>
      <c r="M702" s="49" t="n"/>
    </row>
    <row r="703" ht="15.75" customHeight="1" s="57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49" t="n"/>
      <c r="L703" s="49" t="n"/>
      <c r="M703" s="49" t="n"/>
    </row>
    <row r="704" ht="15.75" customHeight="1" s="57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49" t="n"/>
      <c r="L704" s="49" t="n"/>
      <c r="M704" s="49" t="n"/>
    </row>
    <row r="705" ht="15.75" customHeight="1" s="57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49" t="n"/>
      <c r="L705" s="49" t="n"/>
      <c r="M705" s="49" t="n"/>
    </row>
    <row r="706" ht="15.75" customHeight="1" s="57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49" t="n"/>
      <c r="L706" s="49" t="n"/>
      <c r="M706" s="49" t="n"/>
    </row>
    <row r="707" ht="15.75" customHeight="1" s="57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49" t="n"/>
      <c r="L707" s="49" t="n"/>
      <c r="M707" s="49" t="n"/>
    </row>
    <row r="708" ht="15.75" customHeight="1" s="57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49" t="n"/>
      <c r="L708" s="49" t="n"/>
      <c r="M708" s="49" t="n"/>
    </row>
    <row r="709" ht="15.75" customHeight="1" s="57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49" t="n"/>
      <c r="L709" s="49" t="n"/>
      <c r="M709" s="49" t="n"/>
    </row>
    <row r="710" ht="15.75" customHeight="1" s="57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49" t="n"/>
      <c r="L710" s="49" t="n"/>
      <c r="M710" s="49" t="n"/>
    </row>
    <row r="711" ht="15.75" customHeight="1" s="57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49" t="n"/>
      <c r="L711" s="49" t="n"/>
      <c r="M711" s="49" t="n"/>
    </row>
    <row r="712" ht="15.75" customHeight="1" s="57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49" t="n"/>
      <c r="L712" s="49" t="n"/>
      <c r="M712" s="49" t="n"/>
    </row>
    <row r="713" ht="15.75" customHeight="1" s="57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49" t="n"/>
      <c r="L713" s="49" t="n"/>
      <c r="M713" s="49" t="n"/>
    </row>
    <row r="714" ht="15.75" customHeight="1" s="57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49" t="n"/>
      <c r="L714" s="49" t="n"/>
      <c r="M714" s="49" t="n"/>
    </row>
    <row r="715" ht="15.75" customHeight="1" s="57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49" t="n"/>
      <c r="L715" s="49" t="n"/>
      <c r="M715" s="49" t="n"/>
    </row>
    <row r="716" ht="15.75" customHeight="1" s="57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49" t="n"/>
      <c r="L716" s="49" t="n"/>
      <c r="M716" s="49" t="n"/>
    </row>
    <row r="717" ht="15.75" customHeight="1" s="57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49" t="n"/>
      <c r="L717" s="49" t="n"/>
      <c r="M717" s="49" t="n"/>
    </row>
    <row r="718" ht="15.75" customHeight="1" s="57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49" t="n"/>
      <c r="L718" s="49" t="n"/>
      <c r="M718" s="49" t="n"/>
    </row>
    <row r="719" ht="15.75" customHeight="1" s="57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49" t="n"/>
      <c r="L719" s="49" t="n"/>
      <c r="M719" s="49" t="n"/>
    </row>
    <row r="720" ht="15.75" customHeight="1" s="57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49" t="n"/>
      <c r="L720" s="49" t="n"/>
      <c r="M720" s="49" t="n"/>
    </row>
    <row r="721" ht="15.75" customHeight="1" s="57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49" t="n"/>
      <c r="L721" s="49" t="n"/>
      <c r="M721" s="49" t="n"/>
    </row>
    <row r="722" ht="15.75" customHeight="1" s="57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49" t="n"/>
      <c r="L722" s="49" t="n"/>
      <c r="M722" s="49" t="n"/>
    </row>
    <row r="723" ht="15.75" customHeight="1" s="57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49" t="n"/>
      <c r="L723" s="49" t="n"/>
      <c r="M723" s="49" t="n"/>
    </row>
    <row r="724" ht="15.75" customHeight="1" s="57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49" t="n"/>
      <c r="L724" s="49" t="n"/>
      <c r="M724" s="49" t="n"/>
    </row>
    <row r="725" ht="15.75" customHeight="1" s="57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49" t="n"/>
      <c r="L725" s="49" t="n"/>
      <c r="M725" s="49" t="n"/>
    </row>
    <row r="726" ht="15.75" customHeight="1" s="57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49" t="n"/>
      <c r="L726" s="49" t="n"/>
      <c r="M726" s="49" t="n"/>
    </row>
    <row r="727" ht="15.75" customHeight="1" s="57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49" t="n"/>
      <c r="L727" s="49" t="n"/>
      <c r="M727" s="49" t="n"/>
    </row>
    <row r="728" ht="15.75" customHeight="1" s="57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49" t="n"/>
      <c r="L728" s="49" t="n"/>
      <c r="M728" s="49" t="n"/>
    </row>
    <row r="729" ht="15.75" customHeight="1" s="57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49" t="n"/>
      <c r="L729" s="49" t="n"/>
      <c r="M729" s="49" t="n"/>
    </row>
    <row r="730" ht="15.75" customHeight="1" s="57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49" t="n"/>
      <c r="L730" s="49" t="n"/>
      <c r="M730" s="49" t="n"/>
    </row>
    <row r="731" ht="15.75" customHeight="1" s="57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49" t="n"/>
      <c r="L731" s="49" t="n"/>
      <c r="M731" s="49" t="n"/>
    </row>
    <row r="732" ht="15.75" customHeight="1" s="57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49" t="n"/>
      <c r="L732" s="49" t="n"/>
      <c r="M732" s="49" t="n"/>
    </row>
    <row r="733" ht="15.75" customHeight="1" s="57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49" t="n"/>
      <c r="L733" s="49" t="n"/>
      <c r="M733" s="49" t="n"/>
    </row>
    <row r="734" ht="15.75" customHeight="1" s="57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49" t="n"/>
      <c r="L734" s="49" t="n"/>
      <c r="M734" s="49" t="n"/>
    </row>
    <row r="735" ht="15.75" customHeight="1" s="57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49" t="n"/>
      <c r="L735" s="49" t="n"/>
      <c r="M735" s="49" t="n"/>
    </row>
    <row r="736" ht="15.75" customHeight="1" s="57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49" t="n"/>
      <c r="L736" s="49" t="n"/>
      <c r="M736" s="49" t="n"/>
    </row>
    <row r="737" ht="15.75" customHeight="1" s="57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49" t="n"/>
      <c r="L737" s="49" t="n"/>
      <c r="M737" s="49" t="n"/>
    </row>
    <row r="738" ht="15.75" customHeight="1" s="57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49" t="n"/>
      <c r="L738" s="49" t="n"/>
      <c r="M738" s="49" t="n"/>
    </row>
    <row r="739" ht="15.75" customHeight="1" s="57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49" t="n"/>
      <c r="L739" s="49" t="n"/>
      <c r="M739" s="49" t="n"/>
    </row>
    <row r="740" ht="15.75" customHeight="1" s="57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49" t="n"/>
      <c r="L740" s="49" t="n"/>
      <c r="M740" s="49" t="n"/>
    </row>
    <row r="741" ht="15.75" customHeight="1" s="57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49" t="n"/>
      <c r="L741" s="49" t="n"/>
      <c r="M741" s="49" t="n"/>
    </row>
    <row r="742" ht="15.75" customHeight="1" s="57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49" t="n"/>
      <c r="L742" s="49" t="n"/>
      <c r="M742" s="49" t="n"/>
    </row>
    <row r="743" ht="15.75" customHeight="1" s="57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49" t="n"/>
      <c r="L743" s="49" t="n"/>
      <c r="M743" s="49" t="n"/>
    </row>
    <row r="744" ht="15.75" customHeight="1" s="57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49" t="n"/>
      <c r="L744" s="49" t="n"/>
      <c r="M744" s="49" t="n"/>
    </row>
    <row r="745" ht="15.75" customHeight="1" s="57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49" t="n"/>
      <c r="L745" s="49" t="n"/>
      <c r="M745" s="49" t="n"/>
    </row>
    <row r="746" ht="15.75" customHeight="1" s="57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49" t="n"/>
      <c r="L746" s="49" t="n"/>
      <c r="M746" s="49" t="n"/>
    </row>
    <row r="747" ht="15.75" customHeight="1" s="57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49" t="n"/>
      <c r="L747" s="49" t="n"/>
      <c r="M747" s="49" t="n"/>
    </row>
    <row r="748" ht="15.75" customHeight="1" s="57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49" t="n"/>
      <c r="L748" s="49" t="n"/>
      <c r="M748" s="49" t="n"/>
    </row>
    <row r="749" ht="15.75" customHeight="1" s="57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49" t="n"/>
      <c r="L749" s="49" t="n"/>
      <c r="M749" s="49" t="n"/>
    </row>
    <row r="750" ht="15.75" customHeight="1" s="57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49" t="n"/>
      <c r="L750" s="49" t="n"/>
      <c r="M750" s="49" t="n"/>
    </row>
    <row r="751" ht="15.75" customHeight="1" s="57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49" t="n"/>
      <c r="L751" s="49" t="n"/>
      <c r="M751" s="49" t="n"/>
    </row>
    <row r="752" ht="15.75" customHeight="1" s="57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49" t="n"/>
      <c r="L752" s="49" t="n"/>
      <c r="M752" s="49" t="n"/>
    </row>
    <row r="753" ht="15.75" customHeight="1" s="57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49" t="n"/>
      <c r="L753" s="49" t="n"/>
      <c r="M753" s="49" t="n"/>
    </row>
    <row r="754" ht="15.75" customHeight="1" s="57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49" t="n"/>
      <c r="L754" s="49" t="n"/>
      <c r="M754" s="49" t="n"/>
    </row>
    <row r="755" ht="15.75" customHeight="1" s="57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49" t="n"/>
      <c r="L755" s="49" t="n"/>
      <c r="M755" s="49" t="n"/>
    </row>
    <row r="756" ht="15.75" customHeight="1" s="57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49" t="n"/>
      <c r="L756" s="49" t="n"/>
      <c r="M756" s="49" t="n"/>
    </row>
    <row r="757" ht="15.75" customHeight="1" s="57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49" t="n"/>
      <c r="L757" s="49" t="n"/>
      <c r="M757" s="49" t="n"/>
    </row>
    <row r="758" ht="15.75" customHeight="1" s="57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49" t="n"/>
      <c r="L758" s="49" t="n"/>
      <c r="M758" s="49" t="n"/>
    </row>
    <row r="759" ht="15.75" customHeight="1" s="57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49" t="n"/>
      <c r="L759" s="49" t="n"/>
      <c r="M759" s="49" t="n"/>
    </row>
    <row r="760" ht="15.75" customHeight="1" s="57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49" t="n"/>
      <c r="L760" s="49" t="n"/>
      <c r="M760" s="49" t="n"/>
    </row>
    <row r="761" ht="15.75" customHeight="1" s="57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49" t="n"/>
      <c r="L761" s="49" t="n"/>
      <c r="M761" s="49" t="n"/>
    </row>
    <row r="762" ht="15.75" customHeight="1" s="57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49" t="n"/>
      <c r="L762" s="49" t="n"/>
      <c r="M762" s="49" t="n"/>
    </row>
    <row r="763" ht="15.75" customHeight="1" s="57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49" t="n"/>
      <c r="L763" s="49" t="n"/>
      <c r="M763" s="49" t="n"/>
    </row>
    <row r="764" ht="15.75" customHeight="1" s="57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49" t="n"/>
      <c r="L764" s="49" t="n"/>
      <c r="M764" s="49" t="n"/>
    </row>
    <row r="765" ht="15.75" customHeight="1" s="57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49" t="n"/>
      <c r="L765" s="49" t="n"/>
      <c r="M765" s="49" t="n"/>
    </row>
    <row r="766" ht="15.75" customHeight="1" s="57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49" t="n"/>
      <c r="L766" s="49" t="n"/>
      <c r="M766" s="49" t="n"/>
    </row>
    <row r="767" ht="15.75" customHeight="1" s="57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49" t="n"/>
      <c r="L767" s="49" t="n"/>
      <c r="M767" s="49" t="n"/>
    </row>
    <row r="768" ht="15.75" customHeight="1" s="57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49" t="n"/>
      <c r="L768" s="49" t="n"/>
      <c r="M768" s="49" t="n"/>
    </row>
    <row r="769" ht="15.75" customHeight="1" s="57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49" t="n"/>
      <c r="L769" s="49" t="n"/>
      <c r="M769" s="49" t="n"/>
    </row>
    <row r="770" ht="15.75" customHeight="1" s="57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49" t="n"/>
      <c r="L770" s="49" t="n"/>
      <c r="M770" s="49" t="n"/>
    </row>
    <row r="771" ht="15.75" customHeight="1" s="57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49" t="n"/>
      <c r="L771" s="49" t="n"/>
      <c r="M771" s="49" t="n"/>
    </row>
    <row r="772" ht="15.75" customHeight="1" s="57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49" t="n"/>
      <c r="L772" s="49" t="n"/>
      <c r="M772" s="49" t="n"/>
    </row>
    <row r="773" ht="15.75" customHeight="1" s="57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49" t="n"/>
      <c r="L773" s="49" t="n"/>
      <c r="M773" s="49" t="n"/>
    </row>
    <row r="774" ht="15.75" customHeight="1" s="57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49" t="n"/>
      <c r="L774" s="49" t="n"/>
      <c r="M774" s="49" t="n"/>
    </row>
    <row r="775" ht="15.75" customHeight="1" s="57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49" t="n"/>
      <c r="L775" s="49" t="n"/>
      <c r="M775" s="49" t="n"/>
    </row>
    <row r="776" ht="15.75" customHeight="1" s="57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49" t="n"/>
      <c r="L776" s="49" t="n"/>
      <c r="M776" s="49" t="n"/>
    </row>
    <row r="777" ht="15.75" customHeight="1" s="57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49" t="n"/>
      <c r="L777" s="49" t="n"/>
      <c r="M777" s="49" t="n"/>
    </row>
    <row r="778" ht="15.75" customHeight="1" s="57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49" t="n"/>
      <c r="L778" s="49" t="n"/>
      <c r="M778" s="49" t="n"/>
    </row>
    <row r="779" ht="15.75" customHeight="1" s="57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49" t="n"/>
      <c r="L779" s="49" t="n"/>
      <c r="M779" s="49" t="n"/>
    </row>
    <row r="780" ht="15.75" customHeight="1" s="57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49" t="n"/>
      <c r="L780" s="49" t="n"/>
      <c r="M780" s="49" t="n"/>
    </row>
    <row r="781" ht="15.75" customHeight="1" s="57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49" t="n"/>
      <c r="L781" s="49" t="n"/>
      <c r="M781" s="49" t="n"/>
    </row>
    <row r="782" ht="15.75" customHeight="1" s="57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49" t="n"/>
      <c r="L782" s="49" t="n"/>
      <c r="M782" s="49" t="n"/>
    </row>
    <row r="783" ht="15.75" customHeight="1" s="57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49" t="n"/>
      <c r="L783" s="49" t="n"/>
      <c r="M783" s="49" t="n"/>
    </row>
    <row r="784" ht="15.75" customHeight="1" s="57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49" t="n"/>
      <c r="L784" s="49" t="n"/>
      <c r="M784" s="49" t="n"/>
    </row>
    <row r="785" ht="15.75" customHeight="1" s="57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49" t="n"/>
      <c r="L785" s="49" t="n"/>
      <c r="M785" s="49" t="n"/>
    </row>
    <row r="786" ht="15.75" customHeight="1" s="57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49" t="n"/>
      <c r="L786" s="49" t="n"/>
      <c r="M786" s="49" t="n"/>
    </row>
    <row r="787" ht="15.75" customHeight="1" s="57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49" t="n"/>
      <c r="L787" s="49" t="n"/>
      <c r="M787" s="49" t="n"/>
    </row>
    <row r="788" ht="15.75" customHeight="1" s="57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49" t="n"/>
      <c r="L788" s="49" t="n"/>
      <c r="M788" s="49" t="n"/>
    </row>
    <row r="789" ht="15.75" customHeight="1" s="57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49" t="n"/>
      <c r="L789" s="49" t="n"/>
      <c r="M789" s="49" t="n"/>
    </row>
    <row r="790" ht="15.75" customHeight="1" s="57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49" t="n"/>
      <c r="L790" s="49" t="n"/>
      <c r="M790" s="49" t="n"/>
    </row>
    <row r="791" ht="15.75" customHeight="1" s="57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49" t="n"/>
      <c r="L791" s="49" t="n"/>
      <c r="M791" s="49" t="n"/>
    </row>
    <row r="792" ht="15.75" customHeight="1" s="57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49" t="n"/>
      <c r="L792" s="49" t="n"/>
      <c r="M792" s="49" t="n"/>
    </row>
    <row r="793" ht="15.75" customHeight="1" s="57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49" t="n"/>
      <c r="L793" s="49" t="n"/>
      <c r="M793" s="49" t="n"/>
    </row>
    <row r="794" ht="15.75" customHeight="1" s="57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49" t="n"/>
      <c r="L794" s="49" t="n"/>
      <c r="M794" s="49" t="n"/>
    </row>
    <row r="795" ht="15.75" customHeight="1" s="57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49" t="n"/>
      <c r="L795" s="49" t="n"/>
      <c r="M795" s="49" t="n"/>
    </row>
    <row r="796" ht="15.75" customHeight="1" s="57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49" t="n"/>
      <c r="L796" s="49" t="n"/>
      <c r="M796" s="49" t="n"/>
    </row>
    <row r="797" ht="15.75" customHeight="1" s="57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49" t="n"/>
      <c r="L797" s="49" t="n"/>
      <c r="M797" s="49" t="n"/>
    </row>
    <row r="798" ht="15.75" customHeight="1" s="57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49" t="n"/>
      <c r="L798" s="49" t="n"/>
      <c r="M798" s="49" t="n"/>
    </row>
    <row r="799" ht="15.75" customHeight="1" s="57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49" t="n"/>
      <c r="L799" s="49" t="n"/>
      <c r="M799" s="49" t="n"/>
    </row>
    <row r="800" ht="15.75" customHeight="1" s="57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49" t="n"/>
      <c r="L800" s="49" t="n"/>
      <c r="M800" s="49" t="n"/>
    </row>
    <row r="801" ht="15.75" customHeight="1" s="57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49" t="n"/>
      <c r="L801" s="49" t="n"/>
      <c r="M801" s="49" t="n"/>
    </row>
    <row r="802" ht="15.75" customHeight="1" s="57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49" t="n"/>
      <c r="L802" s="49" t="n"/>
      <c r="M802" s="49" t="n"/>
    </row>
    <row r="803" ht="15.75" customHeight="1" s="57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49" t="n"/>
      <c r="L803" s="49" t="n"/>
      <c r="M803" s="49" t="n"/>
    </row>
    <row r="804" ht="15.75" customHeight="1" s="57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49" t="n"/>
      <c r="L804" s="49" t="n"/>
      <c r="M804" s="49" t="n"/>
    </row>
    <row r="805" ht="15.75" customHeight="1" s="57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49" t="n"/>
      <c r="L805" s="49" t="n"/>
      <c r="M805" s="49" t="n"/>
    </row>
    <row r="806" ht="15.75" customHeight="1" s="57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49" t="n"/>
      <c r="L806" s="49" t="n"/>
      <c r="M806" s="49" t="n"/>
    </row>
    <row r="807" ht="15.75" customHeight="1" s="57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49" t="n"/>
      <c r="L807" s="49" t="n"/>
      <c r="M807" s="49" t="n"/>
    </row>
    <row r="808" ht="15.75" customHeight="1" s="57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49" t="n"/>
      <c r="L808" s="49" t="n"/>
      <c r="M808" s="49" t="n"/>
    </row>
    <row r="809" ht="15.75" customHeight="1" s="57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49" t="n"/>
      <c r="L809" s="49" t="n"/>
      <c r="M809" s="49" t="n"/>
    </row>
    <row r="810" ht="15.75" customHeight="1" s="57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49" t="n"/>
      <c r="L810" s="49" t="n"/>
      <c r="M810" s="49" t="n"/>
    </row>
    <row r="811" ht="15.75" customHeight="1" s="57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49" t="n"/>
      <c r="L811" s="49" t="n"/>
      <c r="M811" s="49" t="n"/>
    </row>
    <row r="812" ht="15.75" customHeight="1" s="57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49" t="n"/>
      <c r="L812" s="49" t="n"/>
      <c r="M812" s="49" t="n"/>
    </row>
    <row r="813" ht="15.75" customHeight="1" s="57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49" t="n"/>
      <c r="L813" s="49" t="n"/>
      <c r="M813" s="49" t="n"/>
    </row>
    <row r="814" ht="15.75" customHeight="1" s="57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49" t="n"/>
      <c r="L814" s="49" t="n"/>
      <c r="M814" s="49" t="n"/>
    </row>
    <row r="815" ht="15.75" customHeight="1" s="57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49" t="n"/>
      <c r="L815" s="49" t="n"/>
      <c r="M815" s="49" t="n"/>
    </row>
    <row r="816" ht="15.75" customHeight="1" s="57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49" t="n"/>
      <c r="L816" s="49" t="n"/>
      <c r="M816" s="49" t="n"/>
    </row>
    <row r="817" ht="15.75" customHeight="1" s="57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49" t="n"/>
      <c r="L817" s="49" t="n"/>
      <c r="M817" s="49" t="n"/>
    </row>
    <row r="818" ht="15.75" customHeight="1" s="57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49" t="n"/>
      <c r="L818" s="49" t="n"/>
      <c r="M818" s="49" t="n"/>
    </row>
    <row r="819" ht="15.75" customHeight="1" s="57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49" t="n"/>
      <c r="L819" s="49" t="n"/>
      <c r="M819" s="49" t="n"/>
    </row>
    <row r="820" ht="15.75" customHeight="1" s="57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49" t="n"/>
      <c r="L820" s="49" t="n"/>
      <c r="M820" s="49" t="n"/>
    </row>
    <row r="821" ht="15.75" customHeight="1" s="57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49" t="n"/>
      <c r="L821" s="49" t="n"/>
      <c r="M821" s="49" t="n"/>
    </row>
    <row r="822" ht="15.75" customHeight="1" s="57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49" t="n"/>
      <c r="L822" s="49" t="n"/>
      <c r="M822" s="49" t="n"/>
    </row>
    <row r="823" ht="15.75" customHeight="1" s="57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49" t="n"/>
      <c r="L823" s="49" t="n"/>
      <c r="M823" s="49" t="n"/>
    </row>
    <row r="824" ht="15.75" customHeight="1" s="57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49" t="n"/>
      <c r="L824" s="49" t="n"/>
      <c r="M824" s="49" t="n"/>
    </row>
    <row r="825" ht="15.75" customHeight="1" s="57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49" t="n"/>
      <c r="L825" s="49" t="n"/>
      <c r="M825" s="49" t="n"/>
    </row>
    <row r="826" ht="15.75" customHeight="1" s="57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49" t="n"/>
      <c r="L826" s="49" t="n"/>
      <c r="M826" s="49" t="n"/>
    </row>
    <row r="827" ht="15.75" customHeight="1" s="57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49" t="n"/>
      <c r="L827" s="49" t="n"/>
      <c r="M827" s="49" t="n"/>
    </row>
    <row r="828" ht="15.75" customHeight="1" s="57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49" t="n"/>
      <c r="L828" s="49" t="n"/>
      <c r="M828" s="49" t="n"/>
    </row>
    <row r="829" ht="15.75" customHeight="1" s="57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49" t="n"/>
      <c r="L829" s="49" t="n"/>
      <c r="M829" s="49" t="n"/>
    </row>
    <row r="830" ht="15.75" customHeight="1" s="57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49" t="n"/>
      <c r="L830" s="49" t="n"/>
      <c r="M830" s="49" t="n"/>
    </row>
    <row r="831" ht="15.75" customHeight="1" s="57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49" t="n"/>
      <c r="L831" s="49" t="n"/>
      <c r="M831" s="49" t="n"/>
    </row>
    <row r="832" ht="15.75" customHeight="1" s="57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49" t="n"/>
      <c r="L832" s="49" t="n"/>
      <c r="M832" s="49" t="n"/>
    </row>
    <row r="833" ht="15.75" customHeight="1" s="57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49" t="n"/>
      <c r="L833" s="49" t="n"/>
      <c r="M833" s="49" t="n"/>
    </row>
    <row r="834" ht="15.75" customHeight="1" s="57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49" t="n"/>
      <c r="L834" s="49" t="n"/>
      <c r="M834" s="49" t="n"/>
    </row>
    <row r="835" ht="15.75" customHeight="1" s="57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49" t="n"/>
      <c r="L835" s="49" t="n"/>
      <c r="M835" s="49" t="n"/>
    </row>
    <row r="836" ht="15.75" customHeight="1" s="57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49" t="n"/>
      <c r="L836" s="49" t="n"/>
      <c r="M836" s="49" t="n"/>
    </row>
    <row r="837" ht="15.75" customHeight="1" s="57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49" t="n"/>
      <c r="L837" s="49" t="n"/>
      <c r="M837" s="49" t="n"/>
    </row>
    <row r="838" ht="15.75" customHeight="1" s="57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49" t="n"/>
      <c r="L838" s="49" t="n"/>
      <c r="M838" s="49" t="n"/>
    </row>
    <row r="839" ht="15.75" customHeight="1" s="57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49" t="n"/>
      <c r="L839" s="49" t="n"/>
      <c r="M839" s="49" t="n"/>
    </row>
    <row r="840" ht="15.75" customHeight="1" s="57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49" t="n"/>
      <c r="L840" s="49" t="n"/>
      <c r="M840" s="49" t="n"/>
    </row>
    <row r="841" ht="15.75" customHeight="1" s="57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49" t="n"/>
      <c r="L841" s="49" t="n"/>
      <c r="M841" s="49" t="n"/>
    </row>
    <row r="842" ht="15.75" customHeight="1" s="57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49" t="n"/>
      <c r="L842" s="49" t="n"/>
      <c r="M842" s="49" t="n"/>
    </row>
    <row r="843" ht="15.75" customHeight="1" s="57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49" t="n"/>
      <c r="L843" s="49" t="n"/>
      <c r="M843" s="49" t="n"/>
    </row>
    <row r="844" ht="15.75" customHeight="1" s="57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49" t="n"/>
      <c r="L844" s="49" t="n"/>
      <c r="M844" s="49" t="n"/>
    </row>
    <row r="845" ht="15.75" customHeight="1" s="57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49" t="n"/>
      <c r="L845" s="49" t="n"/>
      <c r="M845" s="49" t="n"/>
    </row>
    <row r="846" ht="15.75" customHeight="1" s="57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49" t="n"/>
      <c r="L846" s="49" t="n"/>
      <c r="M846" s="49" t="n"/>
    </row>
    <row r="847" ht="15.75" customHeight="1" s="57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49" t="n"/>
      <c r="L847" s="49" t="n"/>
      <c r="M847" s="49" t="n"/>
    </row>
    <row r="848" ht="15.75" customHeight="1" s="57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49" t="n"/>
      <c r="L848" s="49" t="n"/>
      <c r="M848" s="49" t="n"/>
    </row>
    <row r="849" ht="15.75" customHeight="1" s="57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49" t="n"/>
      <c r="L849" s="49" t="n"/>
      <c r="M849" s="49" t="n"/>
    </row>
    <row r="850" ht="15.75" customHeight="1" s="57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49" t="n"/>
      <c r="L850" s="49" t="n"/>
      <c r="M850" s="49" t="n"/>
    </row>
    <row r="851" ht="15.75" customHeight="1" s="57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49" t="n"/>
      <c r="L851" s="49" t="n"/>
      <c r="M851" s="49" t="n"/>
    </row>
    <row r="852" ht="15.75" customHeight="1" s="57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49" t="n"/>
      <c r="L852" s="49" t="n"/>
      <c r="M852" s="49" t="n"/>
    </row>
    <row r="853" ht="15.75" customHeight="1" s="57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49" t="n"/>
      <c r="L853" s="49" t="n"/>
      <c r="M853" s="49" t="n"/>
    </row>
    <row r="854" ht="15.75" customHeight="1" s="57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49" t="n"/>
      <c r="L854" s="49" t="n"/>
      <c r="M854" s="49" t="n"/>
    </row>
    <row r="855" ht="15.75" customHeight="1" s="57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49" t="n"/>
      <c r="L855" s="49" t="n"/>
      <c r="M855" s="49" t="n"/>
    </row>
    <row r="856" ht="15.75" customHeight="1" s="57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49" t="n"/>
      <c r="L856" s="49" t="n"/>
      <c r="M856" s="49" t="n"/>
    </row>
    <row r="857" ht="15.75" customHeight="1" s="57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49" t="n"/>
      <c r="L857" s="49" t="n"/>
      <c r="M857" s="49" t="n"/>
    </row>
    <row r="858" ht="15.75" customHeight="1" s="57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49" t="n"/>
      <c r="L858" s="49" t="n"/>
      <c r="M858" s="49" t="n"/>
    </row>
    <row r="859" ht="15.75" customHeight="1" s="57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49" t="n"/>
      <c r="L859" s="49" t="n"/>
      <c r="M859" s="49" t="n"/>
    </row>
    <row r="860" ht="15.75" customHeight="1" s="57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49" t="n"/>
      <c r="L860" s="49" t="n"/>
      <c r="M860" s="49" t="n"/>
    </row>
    <row r="861" ht="15.75" customHeight="1" s="57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49" t="n"/>
      <c r="L861" s="49" t="n"/>
      <c r="M861" s="49" t="n"/>
    </row>
    <row r="862" ht="15.75" customHeight="1" s="57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49" t="n"/>
      <c r="L862" s="49" t="n"/>
      <c r="M862" s="49" t="n"/>
    </row>
    <row r="863" ht="15.75" customHeight="1" s="57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49" t="n"/>
      <c r="L863" s="49" t="n"/>
      <c r="M863" s="49" t="n"/>
    </row>
    <row r="864" ht="15.75" customHeight="1" s="57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49" t="n"/>
      <c r="L864" s="49" t="n"/>
      <c r="M864" s="49" t="n"/>
    </row>
    <row r="865" ht="15.75" customHeight="1" s="57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49" t="n"/>
      <c r="L865" s="49" t="n"/>
      <c r="M865" s="49" t="n"/>
    </row>
    <row r="866" ht="15.75" customHeight="1" s="57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49" t="n"/>
      <c r="L866" s="49" t="n"/>
      <c r="M866" s="49" t="n"/>
    </row>
    <row r="867" ht="15.75" customHeight="1" s="57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49" t="n"/>
      <c r="L867" s="49" t="n"/>
      <c r="M867" s="49" t="n"/>
    </row>
    <row r="868" ht="15.75" customHeight="1" s="57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49" t="n"/>
      <c r="L868" s="49" t="n"/>
      <c r="M868" s="49" t="n"/>
    </row>
    <row r="869" ht="15.75" customHeight="1" s="57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49" t="n"/>
      <c r="L869" s="49" t="n"/>
      <c r="M869" s="49" t="n"/>
    </row>
    <row r="870" ht="15.75" customHeight="1" s="57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49" t="n"/>
      <c r="L870" s="49" t="n"/>
      <c r="M870" s="49" t="n"/>
    </row>
    <row r="871" ht="15.75" customHeight="1" s="57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49" t="n"/>
      <c r="L871" s="49" t="n"/>
      <c r="M871" s="49" t="n"/>
    </row>
    <row r="872" ht="15.75" customHeight="1" s="57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49" t="n"/>
      <c r="L872" s="49" t="n"/>
      <c r="M872" s="49" t="n"/>
    </row>
    <row r="873" ht="15.75" customHeight="1" s="57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49" t="n"/>
      <c r="L873" s="49" t="n"/>
      <c r="M873" s="49" t="n"/>
    </row>
    <row r="874" ht="15.75" customHeight="1" s="57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49" t="n"/>
      <c r="L874" s="49" t="n"/>
      <c r="M874" s="49" t="n"/>
    </row>
    <row r="875" ht="15.75" customHeight="1" s="57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49" t="n"/>
      <c r="L875" s="49" t="n"/>
      <c r="M875" s="49" t="n"/>
    </row>
    <row r="876" ht="15.75" customHeight="1" s="57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49" t="n"/>
      <c r="L876" s="49" t="n"/>
      <c r="M876" s="49" t="n"/>
    </row>
    <row r="877" ht="15.75" customHeight="1" s="57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49" t="n"/>
      <c r="L877" s="49" t="n"/>
      <c r="M877" s="49" t="n"/>
    </row>
    <row r="878" ht="15.75" customHeight="1" s="57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49" t="n"/>
      <c r="L878" s="49" t="n"/>
      <c r="M878" s="49" t="n"/>
    </row>
    <row r="879" ht="15.75" customHeight="1" s="57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49" t="n"/>
      <c r="L879" s="49" t="n"/>
      <c r="M879" s="49" t="n"/>
    </row>
    <row r="880" ht="15.75" customHeight="1" s="57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49" t="n"/>
      <c r="L880" s="49" t="n"/>
      <c r="M880" s="49" t="n"/>
    </row>
    <row r="881" ht="15.75" customHeight="1" s="57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49" t="n"/>
      <c r="L881" s="49" t="n"/>
      <c r="M881" s="49" t="n"/>
    </row>
    <row r="882" ht="15.75" customHeight="1" s="57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49" t="n"/>
      <c r="L882" s="49" t="n"/>
      <c r="M882" s="49" t="n"/>
    </row>
    <row r="883" ht="15.75" customHeight="1" s="57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49" t="n"/>
      <c r="L883" s="49" t="n"/>
      <c r="M883" s="49" t="n"/>
    </row>
    <row r="884" ht="15.75" customHeight="1" s="57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49" t="n"/>
      <c r="L884" s="49" t="n"/>
      <c r="M884" s="49" t="n"/>
    </row>
    <row r="885" ht="15.75" customHeight="1" s="57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49" t="n"/>
      <c r="L885" s="49" t="n"/>
      <c r="M885" s="49" t="n"/>
    </row>
    <row r="886" ht="15.75" customHeight="1" s="57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49" t="n"/>
      <c r="L886" s="49" t="n"/>
      <c r="M886" s="49" t="n"/>
    </row>
    <row r="887" ht="15.75" customHeight="1" s="57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49" t="n"/>
      <c r="L887" s="49" t="n"/>
      <c r="M887" s="49" t="n"/>
    </row>
    <row r="888" ht="15.75" customHeight="1" s="57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49" t="n"/>
      <c r="L888" s="49" t="n"/>
      <c r="M888" s="49" t="n"/>
    </row>
    <row r="889" ht="15.75" customHeight="1" s="57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49" t="n"/>
      <c r="L889" s="49" t="n"/>
      <c r="M889" s="49" t="n"/>
    </row>
    <row r="890" ht="15.75" customHeight="1" s="57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49" t="n"/>
      <c r="L890" s="49" t="n"/>
      <c r="M890" s="49" t="n"/>
    </row>
    <row r="891" ht="15.75" customHeight="1" s="57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49" t="n"/>
      <c r="L891" s="49" t="n"/>
      <c r="M891" s="49" t="n"/>
    </row>
    <row r="892" ht="15.75" customHeight="1" s="57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49" t="n"/>
      <c r="L892" s="49" t="n"/>
      <c r="M892" s="49" t="n"/>
    </row>
    <row r="893" ht="15.75" customHeight="1" s="57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49" t="n"/>
      <c r="L893" s="49" t="n"/>
      <c r="M893" s="49" t="n"/>
    </row>
    <row r="894" ht="15.75" customHeight="1" s="57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49" t="n"/>
      <c r="L894" s="49" t="n"/>
      <c r="M894" s="49" t="n"/>
    </row>
    <row r="895" ht="15.75" customHeight="1" s="57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49" t="n"/>
      <c r="L895" s="49" t="n"/>
      <c r="M895" s="49" t="n"/>
    </row>
    <row r="896" ht="15.75" customHeight="1" s="57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49" t="n"/>
      <c r="L896" s="49" t="n"/>
      <c r="M896" s="49" t="n"/>
    </row>
    <row r="897" ht="15.75" customHeight="1" s="57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49" t="n"/>
      <c r="L897" s="49" t="n"/>
      <c r="M897" s="49" t="n"/>
    </row>
    <row r="898" ht="15.75" customHeight="1" s="57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49" t="n"/>
      <c r="L898" s="49" t="n"/>
      <c r="M898" s="49" t="n"/>
    </row>
    <row r="899" ht="15.75" customHeight="1" s="57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49" t="n"/>
      <c r="L899" s="49" t="n"/>
      <c r="M899" s="49" t="n"/>
    </row>
    <row r="900" ht="15.75" customHeight="1" s="57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49" t="n"/>
      <c r="L900" s="49" t="n"/>
      <c r="M900" s="49" t="n"/>
    </row>
    <row r="901" ht="15.75" customHeight="1" s="57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49" t="n"/>
      <c r="L901" s="49" t="n"/>
      <c r="M901" s="49" t="n"/>
    </row>
    <row r="902" ht="15.75" customHeight="1" s="57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49" t="n"/>
      <c r="L902" s="49" t="n"/>
      <c r="M902" s="49" t="n"/>
    </row>
    <row r="903" ht="15.75" customHeight="1" s="57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49" t="n"/>
      <c r="L903" s="49" t="n"/>
      <c r="M903" s="49" t="n"/>
    </row>
    <row r="904" ht="15.75" customHeight="1" s="57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49" t="n"/>
      <c r="L904" s="49" t="n"/>
      <c r="M904" s="49" t="n"/>
    </row>
    <row r="905" ht="15.75" customHeight="1" s="57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49" t="n"/>
      <c r="L905" s="49" t="n"/>
      <c r="M905" s="49" t="n"/>
    </row>
    <row r="906" ht="15.75" customHeight="1" s="57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49" t="n"/>
      <c r="L906" s="49" t="n"/>
      <c r="M906" s="49" t="n"/>
    </row>
    <row r="907" ht="15.75" customHeight="1" s="57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49" t="n"/>
      <c r="L907" s="49" t="n"/>
      <c r="M907" s="49" t="n"/>
    </row>
    <row r="908" ht="15.75" customHeight="1" s="57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49" t="n"/>
      <c r="L908" s="49" t="n"/>
      <c r="M908" s="49" t="n"/>
    </row>
    <row r="909" ht="15.75" customHeight="1" s="57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49" t="n"/>
      <c r="L909" s="49" t="n"/>
      <c r="M909" s="49" t="n"/>
    </row>
    <row r="910" ht="15.75" customHeight="1" s="57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49" t="n"/>
      <c r="L910" s="49" t="n"/>
      <c r="M910" s="49" t="n"/>
    </row>
    <row r="911" ht="15.75" customHeight="1" s="57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49" t="n"/>
      <c r="L911" s="49" t="n"/>
      <c r="M911" s="49" t="n"/>
    </row>
    <row r="912" ht="15.75" customHeight="1" s="57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49" t="n"/>
      <c r="L912" s="49" t="n"/>
      <c r="M912" s="49" t="n"/>
    </row>
    <row r="913" ht="15.75" customHeight="1" s="57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49" t="n"/>
      <c r="L913" s="49" t="n"/>
      <c r="M913" s="49" t="n"/>
    </row>
    <row r="914" ht="15.75" customHeight="1" s="57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49" t="n"/>
      <c r="L914" s="49" t="n"/>
      <c r="M914" s="49" t="n"/>
    </row>
    <row r="915" ht="15.75" customHeight="1" s="57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49" t="n"/>
      <c r="L915" s="49" t="n"/>
      <c r="M915" s="49" t="n"/>
    </row>
    <row r="916" ht="15.75" customHeight="1" s="57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49" t="n"/>
      <c r="L916" s="49" t="n"/>
      <c r="M916" s="49" t="n"/>
    </row>
    <row r="917" ht="15.75" customHeight="1" s="57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49" t="n"/>
      <c r="L917" s="49" t="n"/>
      <c r="M917" s="49" t="n"/>
    </row>
    <row r="918" ht="15.75" customHeight="1" s="57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49" t="n"/>
      <c r="L918" s="49" t="n"/>
      <c r="M918" s="49" t="n"/>
    </row>
    <row r="919" ht="15.75" customHeight="1" s="57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49" t="n"/>
      <c r="L919" s="49" t="n"/>
      <c r="M919" s="49" t="n"/>
    </row>
    <row r="920" ht="15.75" customHeight="1" s="57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49" t="n"/>
      <c r="L920" s="49" t="n"/>
      <c r="M920" s="49" t="n"/>
    </row>
    <row r="921" ht="15.75" customHeight="1" s="57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49" t="n"/>
      <c r="L921" s="49" t="n"/>
      <c r="M921" s="49" t="n"/>
    </row>
    <row r="922" ht="15.75" customHeight="1" s="57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49" t="n"/>
      <c r="L922" s="49" t="n"/>
      <c r="M922" s="49" t="n"/>
    </row>
    <row r="923" ht="15.75" customHeight="1" s="57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49" t="n"/>
      <c r="L923" s="49" t="n"/>
      <c r="M923" s="49" t="n"/>
    </row>
    <row r="924" ht="15.75" customHeight="1" s="57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49" t="n"/>
      <c r="L924" s="49" t="n"/>
      <c r="M924" s="49" t="n"/>
    </row>
    <row r="925" ht="15.75" customHeight="1" s="57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49" t="n"/>
      <c r="L925" s="49" t="n"/>
      <c r="M925" s="49" t="n"/>
    </row>
    <row r="926" ht="15.75" customHeight="1" s="57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49" t="n"/>
      <c r="L926" s="49" t="n"/>
      <c r="M926" s="49" t="n"/>
    </row>
    <row r="927" ht="15.75" customHeight="1" s="57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49" t="n"/>
      <c r="L927" s="49" t="n"/>
      <c r="M927" s="49" t="n"/>
    </row>
    <row r="928" ht="15.75" customHeight="1" s="57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49" t="n"/>
      <c r="L928" s="49" t="n"/>
      <c r="M928" s="49" t="n"/>
    </row>
    <row r="929" ht="15.75" customHeight="1" s="57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49" t="n"/>
      <c r="L929" s="49" t="n"/>
      <c r="M929" s="49" t="n"/>
    </row>
    <row r="930" ht="15.75" customHeight="1" s="57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49" t="n"/>
      <c r="L930" s="49" t="n"/>
      <c r="M930" s="49" t="n"/>
    </row>
    <row r="931" ht="15.75" customHeight="1" s="57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49" t="n"/>
      <c r="L931" s="49" t="n"/>
      <c r="M931" s="49" t="n"/>
    </row>
    <row r="932" ht="15.75" customHeight="1" s="57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49" t="n"/>
      <c r="L932" s="49" t="n"/>
      <c r="M932" s="49" t="n"/>
    </row>
    <row r="933" ht="15.75" customHeight="1" s="57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49" t="n"/>
      <c r="L933" s="49" t="n"/>
      <c r="M933" s="49" t="n"/>
    </row>
    <row r="934" ht="15.75" customHeight="1" s="57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49" t="n"/>
      <c r="L934" s="49" t="n"/>
      <c r="M934" s="49" t="n"/>
    </row>
    <row r="935" ht="15.75" customHeight="1" s="57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49" t="n"/>
      <c r="L935" s="49" t="n"/>
      <c r="M935" s="49" t="n"/>
    </row>
    <row r="936" ht="15.75" customHeight="1" s="57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49" t="n"/>
      <c r="L936" s="49" t="n"/>
      <c r="M936" s="49" t="n"/>
    </row>
    <row r="937" ht="15.75" customHeight="1" s="57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49" t="n"/>
      <c r="L937" s="49" t="n"/>
      <c r="M937" s="49" t="n"/>
    </row>
    <row r="938" ht="15.75" customHeight="1" s="57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49" t="n"/>
      <c r="L938" s="49" t="n"/>
      <c r="M938" s="49" t="n"/>
    </row>
    <row r="939" ht="15.75" customHeight="1" s="57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49" t="n"/>
      <c r="L939" s="49" t="n"/>
      <c r="M939" s="49" t="n"/>
    </row>
    <row r="940" ht="15.75" customHeight="1" s="57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49" t="n"/>
      <c r="L940" s="49" t="n"/>
      <c r="M940" s="49" t="n"/>
    </row>
    <row r="941" ht="15.75" customHeight="1" s="57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49" t="n"/>
      <c r="L941" s="49" t="n"/>
      <c r="M941" s="49" t="n"/>
    </row>
    <row r="942" ht="15.75" customHeight="1" s="57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49" t="n"/>
      <c r="L942" s="49" t="n"/>
      <c r="M942" s="49" t="n"/>
    </row>
    <row r="943" ht="15.75" customHeight="1" s="57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49" t="n"/>
      <c r="L943" s="49" t="n"/>
      <c r="M943" s="49" t="n"/>
    </row>
    <row r="944" ht="15.75" customHeight="1" s="57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49" t="n"/>
      <c r="L944" s="49" t="n"/>
      <c r="M944" s="49" t="n"/>
    </row>
    <row r="945" ht="15.75" customHeight="1" s="57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49" t="n"/>
      <c r="L945" s="49" t="n"/>
      <c r="M945" s="49" t="n"/>
    </row>
    <row r="946" ht="15.75" customHeight="1" s="57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49" t="n"/>
      <c r="L946" s="49" t="n"/>
      <c r="M946" s="49" t="n"/>
    </row>
    <row r="947" ht="15.75" customHeight="1" s="57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49" t="n"/>
      <c r="L947" s="49" t="n"/>
      <c r="M947" s="49" t="n"/>
    </row>
    <row r="948" ht="15.75" customHeight="1" s="57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49" t="n"/>
      <c r="L948" s="49" t="n"/>
      <c r="M948" s="49" t="n"/>
    </row>
    <row r="949" ht="15.75" customHeight="1" s="57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49" t="n"/>
      <c r="L949" s="49" t="n"/>
      <c r="M949" s="49" t="n"/>
    </row>
    <row r="950" ht="15.75" customHeight="1" s="57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49" t="n"/>
      <c r="L950" s="49" t="n"/>
      <c r="M950" s="49" t="n"/>
    </row>
    <row r="951" ht="15.75" customHeight="1" s="57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49" t="n"/>
      <c r="L951" s="49" t="n"/>
      <c r="M951" s="49" t="n"/>
    </row>
    <row r="952" ht="15.75" customHeight="1" s="57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49" t="n"/>
      <c r="L952" s="49" t="n"/>
      <c r="M952" s="49" t="n"/>
    </row>
    <row r="953" ht="15.75" customHeight="1" s="57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49" t="n"/>
      <c r="L953" s="49" t="n"/>
      <c r="M953" s="49" t="n"/>
    </row>
    <row r="954" ht="15.75" customHeight="1" s="57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49" t="n"/>
      <c r="L954" s="49" t="n"/>
      <c r="M954" s="49" t="n"/>
    </row>
    <row r="955" ht="15.75" customHeight="1" s="57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49" t="n"/>
      <c r="L955" s="49" t="n"/>
      <c r="M955" s="49" t="n"/>
    </row>
    <row r="956" ht="15.75" customHeight="1" s="57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49" t="n"/>
      <c r="L956" s="49" t="n"/>
      <c r="M956" s="49" t="n"/>
    </row>
    <row r="957" ht="15.75" customHeight="1" s="57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49" t="n"/>
      <c r="L957" s="49" t="n"/>
      <c r="M957" s="49" t="n"/>
    </row>
    <row r="958" ht="15.75" customHeight="1" s="57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49" t="n"/>
      <c r="L958" s="49" t="n"/>
      <c r="M958" s="49" t="n"/>
    </row>
    <row r="959" ht="15.75" customHeight="1" s="57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49" t="n"/>
      <c r="L959" s="49" t="n"/>
      <c r="M959" s="49" t="n"/>
    </row>
    <row r="960" ht="15.75" customHeight="1" s="57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49" t="n"/>
      <c r="L960" s="49" t="n"/>
      <c r="M960" s="49" t="n"/>
    </row>
    <row r="961" ht="15.75" customHeight="1" s="57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49" t="n"/>
      <c r="L961" s="49" t="n"/>
      <c r="M961" s="49" t="n"/>
    </row>
    <row r="962" ht="15.75" customHeight="1" s="57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49" t="n"/>
      <c r="L962" s="49" t="n"/>
      <c r="M962" s="49" t="n"/>
    </row>
    <row r="963" ht="15.75" customHeight="1" s="57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49" t="n"/>
      <c r="L963" s="49" t="n"/>
      <c r="M963" s="49" t="n"/>
    </row>
    <row r="964" ht="15.75" customHeight="1" s="57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49" t="n"/>
      <c r="L964" s="49" t="n"/>
      <c r="M964" s="49" t="n"/>
    </row>
    <row r="965" ht="15.75" customHeight="1" s="57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49" t="n"/>
      <c r="L965" s="49" t="n"/>
      <c r="M965" s="49" t="n"/>
    </row>
    <row r="966" ht="15.75" customHeight="1" s="57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49" t="n"/>
      <c r="L966" s="49" t="n"/>
      <c r="M966" s="49" t="n"/>
    </row>
    <row r="967" ht="15.75" customHeight="1" s="57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49" t="n"/>
      <c r="L967" s="49" t="n"/>
      <c r="M967" s="49" t="n"/>
    </row>
    <row r="968" ht="15.75" customHeight="1" s="57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49" t="n"/>
      <c r="L968" s="49" t="n"/>
      <c r="M968" s="49" t="n"/>
    </row>
    <row r="969" ht="15.75" customHeight="1" s="57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49" t="n"/>
      <c r="L969" s="49" t="n"/>
      <c r="M969" s="49" t="n"/>
    </row>
    <row r="970" ht="15.75" customHeight="1" s="57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49" t="n"/>
      <c r="L970" s="49" t="n"/>
      <c r="M970" s="49" t="n"/>
    </row>
    <row r="971" ht="15.75" customHeight="1" s="57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49" t="n"/>
      <c r="L971" s="49" t="n"/>
      <c r="M971" s="49" t="n"/>
    </row>
    <row r="972" ht="15.75" customHeight="1" s="57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49" t="n"/>
      <c r="L972" s="49" t="n"/>
      <c r="M972" s="49" t="n"/>
    </row>
    <row r="973" ht="15.75" customHeight="1" s="57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49" t="n"/>
      <c r="L973" s="49" t="n"/>
      <c r="M973" s="49" t="n"/>
    </row>
    <row r="974" ht="15.75" customHeight="1" s="57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49" t="n"/>
      <c r="L974" s="49" t="n"/>
      <c r="M974" s="49" t="n"/>
    </row>
    <row r="975" ht="15.75" customHeight="1" s="57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49" t="n"/>
      <c r="L975" s="49" t="n"/>
      <c r="M975" s="49" t="n"/>
    </row>
    <row r="976" ht="15.75" customHeight="1" s="57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49" t="n"/>
      <c r="L976" s="49" t="n"/>
      <c r="M976" s="49" t="n"/>
    </row>
    <row r="977" ht="15.75" customHeight="1" s="57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49" t="n"/>
      <c r="L977" s="49" t="n"/>
      <c r="M977" s="49" t="n"/>
    </row>
    <row r="978" ht="15.75" customHeight="1" s="57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49" t="n"/>
      <c r="L978" s="49" t="n"/>
      <c r="M978" s="49" t="n"/>
    </row>
    <row r="979" ht="15.75" customHeight="1" s="57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49" t="n"/>
      <c r="L979" s="49" t="n"/>
      <c r="M979" s="49" t="n"/>
    </row>
    <row r="980" ht="15.75" customHeight="1" s="57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49" t="n"/>
      <c r="L980" s="49" t="n"/>
      <c r="M980" s="49" t="n"/>
    </row>
    <row r="981" ht="15.75" customHeight="1" s="57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49" t="n"/>
      <c r="L981" s="49" t="n"/>
      <c r="M981" s="49" t="n"/>
    </row>
    <row r="982" ht="15.75" customHeight="1" s="57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49" t="n"/>
      <c r="L982" s="49" t="n"/>
      <c r="M982" s="49" t="n"/>
    </row>
    <row r="983" ht="15.75" customHeight="1" s="57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49" t="n"/>
      <c r="L983" s="49" t="n"/>
      <c r="M983" s="49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selection activeCell="A1" sqref="A1"/>
    </sheetView>
  </sheetViews>
  <sheetFormatPr baseColWidth="8" defaultColWidth="12.63" defaultRowHeight="15" customHeight="1" outlineLevelCol="0"/>
  <cols>
    <col width="12.63" customWidth="1" style="57" min="1" max="1"/>
    <col width="43.38" customWidth="1" style="57" min="2" max="2"/>
    <col width="80.13" customWidth="1" style="57" min="3" max="3"/>
    <col width="12.63" customWidth="1" style="57" min="4" max="6"/>
  </cols>
  <sheetData>
    <row r="1" ht="15.75" customHeight="1" s="57">
      <c r="A1" s="2" t="inlineStr">
        <is>
          <t>STT</t>
        </is>
      </c>
      <c r="B1" s="2" t="inlineStr">
        <is>
          <t>Mục</t>
        </is>
      </c>
      <c r="C1" s="5" t="inlineStr">
        <is>
          <t>Nội_Dung</t>
        </is>
      </c>
      <c r="D1" s="49" t="n"/>
      <c r="E1" s="49" t="n"/>
      <c r="F1" s="49" t="n"/>
    </row>
    <row r="2" ht="15.75" customHeight="1" s="57">
      <c r="A2" s="7" t="n">
        <v>0</v>
      </c>
      <c r="B2" s="7" t="inlineStr">
        <is>
          <t>━━━ HƯỚNG DẪN VÙNG NTB ━━━</t>
        </is>
      </c>
      <c r="C2" s="9" t="n"/>
      <c r="D2" s="49" t="n"/>
      <c r="E2" s="49" t="n"/>
      <c r="F2" s="49" t="n"/>
    </row>
    <row r="3" ht="15.75" customHeight="1" s="57">
      <c r="A3" s="7" t="n"/>
      <c r="B3" s="7" t="inlineStr">
        <is>
          <t>━━━ PHÂN BIỆT 2 NHÓM SỐ (QUAN TRỌNG) ━━━</t>
        </is>
      </c>
      <c r="C3" s="9" t="n"/>
      <c r="D3" s="49" t="n"/>
      <c r="E3" s="49" t="n"/>
      <c r="F3" s="49" t="n"/>
    </row>
    <row r="4" ht="15.75" customHeight="1" s="57">
      <c r="A4" s="7" t="inlineStr">
        <is>
          <t>A</t>
        </is>
      </c>
      <c r="B4" s="7" t="inlineStr">
        <is>
          <t>① Sheet 0–5: NHÓM TOPLINE (số AOP)</t>
        </is>
      </c>
      <c r="C4" s="9" t="inlineStr">
        <is>
          <t>Sản lượng theo AOP — KẾ HOẠCH KINH DOANH NĂM của Công ty. CỐ ĐỊNH dài hạn; chỉ thay đổi khi có DEAL LỚN hoặc rà soát ĐỊNH KỲ 6 THÁNG/LẦN. Đây là số trần/khung từ trên đưa xuống → Vùng CHỈ XEM, không cân chỉnh.</t>
        </is>
      </c>
      <c r="D4" s="49" t="n"/>
      <c r="E4" s="49" t="n"/>
      <c r="F4" s="49" t="n"/>
    </row>
    <row r="5" ht="15.75" customHeight="1" s="57">
      <c r="A5" s="7" t="inlineStr">
        <is>
          <t>B</t>
        </is>
      </c>
      <c r="B5" s="7" t="inlineStr">
        <is>
          <t>② Sheet 6–7: NHÓM DỰ BÁO (Forecast)</t>
        </is>
      </c>
      <c r="C5" s="9" t="inlineStr">
        <is>
          <t>Sản lượng DỰ KIẾN HÀNG THÁNG — dự báo kết hợp: (1) kế hoạch tháng của khách hàng + (2) dữ liệu dự báo từ thực tế quá khứ. Do team Capacity TRỰC TIẾP cân chỉnh &amp; dự báo (cùng Vùng) → cập nhật ngắn hạn + lên phương án ứng phó. Đây là số LINH HOẠT theo tháng.</t>
        </is>
      </c>
      <c r="D5" s="49" t="n"/>
      <c r="E5" s="49" t="n"/>
      <c r="F5" s="49" t="n"/>
    </row>
    <row r="6" ht="15.75" customHeight="1" s="57">
      <c r="A6" s="7" t="n"/>
      <c r="B6" s="7" t="inlineStr">
        <is>
          <t>↳ Tóm lại</t>
        </is>
      </c>
      <c r="C6" s="9" t="inlineStr">
        <is>
          <t>TOPLINE = khung năm cố định (AOP, đổi 6 tháng/lần). FORECAST = dự báo tháng linh hoạt (Capacity + Vùng cân chỉnh).</t>
        </is>
      </c>
      <c r="D6" s="49" t="n"/>
      <c r="E6" s="49" t="n"/>
      <c r="F6" s="49" t="n"/>
    </row>
    <row r="7" ht="15.75" customHeight="1" s="57">
      <c r="A7" s="7" t="n">
        <v>1</v>
      </c>
      <c r="B7" s="7" t="inlineStr">
        <is>
          <t>MỤC ĐÍCH</t>
        </is>
      </c>
      <c r="C7" s="9" t="inlineStr">
        <is>
          <t>File giúp Vùng nắm: (1) sản lượng B2B từng phường + BC tiếp nhận; (2) sản lượng giao của BC thường. Vùng dùng để lập kế hoạch năng lực + thuê xe khi cần.</t>
        </is>
      </c>
      <c r="D7" s="49" t="n"/>
      <c r="E7" s="49" t="n"/>
      <c r="F7" s="49" t="n"/>
    </row>
    <row r="8" ht="15.75" customHeight="1" s="57">
      <c r="A8" s="7" t="n">
        <v>2</v>
      </c>
      <c r="B8" s="7" t="inlineStr">
        <is>
          <t>CÁCH XỬ LÝ VẬN HÀNH (ngoài file)</t>
        </is>
      </c>
      <c r="C8" s="9" t="n"/>
      <c r="D8" s="49" t="n"/>
      <c r="E8" s="49" t="n"/>
      <c r="F8" s="49" t="n"/>
    </row>
    <row r="9" ht="15.75" customHeight="1" s="57">
      <c r="A9" s="7" t="inlineStr">
        <is>
          <t>2a</t>
        </is>
      </c>
      <c r="B9" s="7" t="inlineStr">
        <is>
          <t>BC tự giao được</t>
        </is>
      </c>
      <c r="C9" s="9" t="inlineStr">
        <is>
          <t>BC địa phương đủ năng lực (xe + nhân sự + chỗ) → BC tự xử lý.</t>
        </is>
      </c>
      <c r="D9" s="49" t="n"/>
      <c r="E9" s="49" t="n"/>
      <c r="F9" s="49" t="n"/>
    </row>
    <row r="10" ht="15.75" customHeight="1" s="57">
      <c r="A10" s="7" t="inlineStr">
        <is>
          <t>2b</t>
        </is>
      </c>
      <c r="B10" s="7" t="inlineStr">
        <is>
          <t>BC không tự giao được</t>
        </is>
      </c>
      <c r="C10" s="9" t="inlineStr">
        <is>
          <t>Vùng sắp xếp phương án ngoài: thuê xe tải / nhờ BC khác / giải pháp năng lực phù hợp từng tuyến. Quyết định vận hành nằm ngoài file này.</t>
        </is>
      </c>
      <c r="D10" s="49" t="n"/>
      <c r="E10" s="49" t="n"/>
      <c r="F10" s="49" t="n"/>
    </row>
    <row r="11" ht="15.75" customHeight="1" s="57">
      <c r="A11" s="7" t="n">
        <v>3</v>
      </c>
      <c r="B11" s="7" t="inlineStr">
        <is>
          <t>CÁC SHEET</t>
        </is>
      </c>
      <c r="C11" s="9" t="n"/>
      <c r="D11" s="49" t="n"/>
      <c r="E11" s="49" t="n"/>
      <c r="F11" s="49" t="n"/>
    </row>
    <row r="12" ht="15.75" customHeight="1" s="57">
      <c r="A12" s="7" t="inlineStr">
        <is>
          <t>3a</t>
        </is>
      </c>
      <c r="B12" s="7" t="inlineStr">
        <is>
          <t>1_Config_Chuan</t>
        </is>
      </c>
      <c r="C12" s="9" t="inlineStr">
        <is>
          <t>Cấu hình hệ thống đang chạy cho từng phường: BC lấy / BC giao, nhóm B2B, ngưỡng khối lượng cũ–mới. Chỉ để tham khảo, không sửa.</t>
        </is>
      </c>
      <c r="D12" s="49" t="n"/>
      <c r="E12" s="49" t="n"/>
      <c r="F12" s="49" t="n"/>
    </row>
    <row r="13" ht="15.75" customHeight="1" s="57">
      <c r="A13" s="7" t="inlineStr">
        <is>
          <t>3b</t>
        </is>
      </c>
      <c r="B13" s="7" t="inlineStr">
        <is>
          <t>3_KQ_BC_Detail</t>
        </is>
      </c>
      <c r="C13" s="9" t="inlineStr">
        <is>
          <t>Sản lượng BC thường giao (không gồm B2B), theo BC × dải khối lượng × tháng.</t>
        </is>
      </c>
      <c r="D13" s="49" t="n"/>
      <c r="E13" s="49" t="n"/>
      <c r="F13" s="49" t="n"/>
    </row>
    <row r="14" ht="15.75" customHeight="1" s="57">
      <c r="A14" s="7" t="inlineStr">
        <is>
          <t>3c</t>
        </is>
      </c>
      <c r="B14" s="7" t="inlineStr">
        <is>
          <t>4_KQ_B2B</t>
        </is>
      </c>
      <c r="C14" s="9" t="inlineStr">
        <is>
          <t>Sản lượng B2B phân bổ theo phường × tháng (nhóm A/B/C + ngưỡng + BC tiếp nhận). Là sản lượng phân bổ, không phải sheet thao tác.</t>
        </is>
      </c>
      <c r="D14" s="49" t="n"/>
      <c r="E14" s="49" t="n"/>
      <c r="F14" s="49" t="n"/>
    </row>
    <row r="15" ht="15.75" customHeight="1" s="57">
      <c r="A15" s="7" t="inlineStr">
        <is>
          <t>3d</t>
        </is>
      </c>
      <c r="B15" s="7" t="inlineStr">
        <is>
          <t>5_CuMoi_Thang</t>
        </is>
      </c>
      <c r="C15" s="9" t="inlineStr">
        <is>
          <t>So sánh sản lượng CŨ (ngưỡng GXT) và MỚI (15kg) theo từng tháng + chênh lệch số đơn để Vùng chuẩn bị năng lực.</t>
        </is>
      </c>
      <c r="D15" s="49" t="n"/>
      <c r="E15" s="49" t="n"/>
      <c r="F15" s="49" t="n"/>
    </row>
    <row r="16" ht="15.75" customHeight="1" s="57">
      <c r="A16" s="7" t="inlineStr">
        <is>
          <t>3e</t>
        </is>
      </c>
      <c r="B16" s="7" t="inlineStr">
        <is>
          <t>6_FC_Lay_Daily</t>
        </is>
      </c>
      <c r="C16" s="9" t="inlineStr">
        <is>
          <t>Dự báo Lấy hàng theo BC × ngày.</t>
        </is>
      </c>
      <c r="D16" s="49" t="n"/>
      <c r="E16" s="49" t="n"/>
      <c r="F16" s="49" t="n"/>
    </row>
    <row r="17" ht="15.75" customHeight="1" s="57">
      <c r="A17" s="7" t="inlineStr">
        <is>
          <t>3f</t>
        </is>
      </c>
      <c r="B17" s="7" t="inlineStr">
        <is>
          <t>7_FC_Giao_Daily</t>
        </is>
      </c>
      <c r="C17" s="9" t="inlineStr">
        <is>
          <t>Dự báo Giao hàng theo BC × ngày.</t>
        </is>
      </c>
      <c r="D17" s="49" t="n"/>
      <c r="E17" s="49" t="n"/>
      <c r="F17" s="49" t="n"/>
    </row>
    <row r="18" ht="15.75" customHeight="1" s="57">
      <c r="A18" s="7" t="n">
        <v>4</v>
      </c>
      <c r="B18" s="7" t="inlineStr">
        <is>
          <t>━━━ ĐỊNH NGHĨA NHÓM B2B ━━━</t>
        </is>
      </c>
      <c r="C18" s="9" t="inlineStr">
        <is>
          <t>Tham chiếu cột Nhóm B2B trong các sheet</t>
        </is>
      </c>
      <c r="D18" s="49" t="n"/>
      <c r="E18" s="49" t="n"/>
      <c r="F18" s="49" t="n"/>
    </row>
    <row r="19" ht="15.75" customHeight="1" s="57">
      <c r="A19" s="7" t="inlineStr">
        <is>
          <t>4a</t>
        </is>
      </c>
      <c r="B19" s="7" t="inlineStr">
        <is>
          <t>Nhóm A — B2B xử lý 100%</t>
        </is>
      </c>
      <c r="C19" s="9" t="inlineStr">
        <is>
          <t>Toàn bộ sản lượng đủ điều kiện theo ngưỡng khối lượng được phân về B2B / Giao Hàng Nặng.</t>
        </is>
      </c>
      <c r="D19" s="49" t="n"/>
      <c r="E19" s="49" t="n"/>
      <c r="F19" s="49" t="n"/>
    </row>
    <row r="20" ht="15.75" customHeight="1" s="57">
      <c r="A20" s="7" t="inlineStr">
        <is>
          <t>4b</t>
        </is>
      </c>
      <c r="B20" s="7" t="inlineStr">
        <is>
          <t>Nhóm B — B2B xử lý theo tỷ lệ x%</t>
        </is>
      </c>
      <c r="C20" s="9" t="inlineStr">
        <is>
          <t>Chỉ x% sản lượng đủ điều kiện theo ngưỡng được phân về B2B. Tỷ lệ x% áp cho TOÀN BỘ đơn đủ điều kiện tại phường, KHÔNG chỉ đơn Ecom.</t>
        </is>
      </c>
      <c r="D20" s="49" t="n"/>
      <c r="E20" s="49" t="n"/>
      <c r="F20" s="49" t="n"/>
    </row>
    <row r="21" ht="15.75" customHeight="1" s="57">
      <c r="A21" s="7" t="inlineStr">
        <is>
          <t>4c</t>
        </is>
      </c>
      <c r="B21" s="7" t="inlineStr">
        <is>
          <t>Nhóm C — Không xử lý B2B</t>
        </is>
      </c>
      <c r="C21" s="9" t="inlineStr">
        <is>
          <t>Sản lượng KHÔNG phân về B2B; đi theo BC thường tùy cấu hình.</t>
        </is>
      </c>
      <c r="D21" s="49" t="n"/>
      <c r="E21" s="49" t="n"/>
      <c r="F21" s="49" t="n"/>
    </row>
    <row r="22" ht="15.75" customHeight="1" s="57">
      <c r="A22" s="7" t="n">
        <v>5</v>
      </c>
      <c r="B22" s="7" t="inlineStr">
        <is>
          <t>CŨ / MỚI là gì?</t>
        </is>
      </c>
      <c r="C22" s="9" t="inlineStr">
        <is>
          <t>CŨ = ngưỡng khối lượng GXT đang vận hành (tham khảo). MỚI = mốc 15kg thống nhất áp dụng. Phân bổ sản lượng theo mốc MỚI.</t>
        </is>
      </c>
      <c r="D22" s="49" t="n"/>
      <c r="E22" s="49" t="n"/>
      <c r="F22" s="49" t="n"/>
    </row>
    <row r="23" ht="15.75" customHeight="1" s="57">
      <c r="A23" s="7" t="n">
        <v>6</v>
      </c>
      <c r="B23" s="7" t="inlineStr">
        <is>
          <t>LIÊN HỆ</t>
        </is>
      </c>
      <c r="C23" s="9" t="inlineStr">
        <is>
          <t>Vấn đề kỹ thuật: ducbd@ghn.vn</t>
        </is>
      </c>
      <c r="D23" s="49" t="n"/>
      <c r="E23" s="49" t="n"/>
      <c r="F23" s="49" t="n"/>
    </row>
    <row r="24" ht="15.75" customHeight="1" s="57">
      <c r="A24" s="7" t="n"/>
      <c r="B24" s="7" t="inlineStr">
        <is>
          <t>Cập nhật lần cuối</t>
        </is>
      </c>
      <c r="C24" s="18" t="n">
        <v>46175</v>
      </c>
      <c r="D24" s="49" t="n"/>
      <c r="E24" s="49" t="n"/>
      <c r="F24" s="49" t="n"/>
    </row>
    <row r="25" ht="15.75" customHeight="1" s="57">
      <c r="A25" s="49" t="n"/>
      <c r="B25" s="49" t="n"/>
      <c r="C25" s="49" t="n"/>
      <c r="D25" s="49" t="n"/>
      <c r="E25" s="49" t="n"/>
      <c r="F25" s="49" t="n"/>
    </row>
    <row r="26" ht="15.75" customHeight="1" s="57">
      <c r="A26" s="49" t="n"/>
      <c r="B26" s="49" t="n"/>
      <c r="C26" s="49" t="n"/>
      <c r="D26" s="49" t="n"/>
      <c r="E26" s="49" t="n"/>
      <c r="F26" s="49" t="n"/>
    </row>
    <row r="27" ht="15.75" customHeight="1" s="57">
      <c r="A27" s="49" t="n"/>
      <c r="B27" s="49" t="n"/>
      <c r="C27" s="49" t="n"/>
      <c r="D27" s="49" t="n"/>
      <c r="E27" s="49" t="n"/>
      <c r="F27" s="49" t="n"/>
    </row>
    <row r="28" ht="15.75" customHeight="1" s="57">
      <c r="A28" s="49" t="n"/>
      <c r="B28" s="49" t="n"/>
      <c r="C28" s="49" t="n"/>
      <c r="D28" s="49" t="n"/>
      <c r="E28" s="49" t="n"/>
      <c r="F28" s="49" t="n"/>
    </row>
    <row r="29" ht="15.75" customHeight="1" s="57">
      <c r="A29" s="49" t="n"/>
      <c r="B29" s="49" t="n"/>
      <c r="C29" s="49" t="n"/>
      <c r="D29" s="49" t="n"/>
      <c r="E29" s="49" t="n"/>
      <c r="F29" s="49" t="n"/>
    </row>
    <row r="30" ht="15.75" customHeight="1" s="57">
      <c r="A30" s="49" t="n"/>
      <c r="B30" s="49" t="n"/>
      <c r="C30" s="49" t="n"/>
      <c r="D30" s="49" t="n"/>
      <c r="E30" s="49" t="n"/>
      <c r="F30" s="49" t="n"/>
    </row>
    <row r="31" ht="15.75" customHeight="1" s="57">
      <c r="A31" s="49" t="n"/>
      <c r="B31" s="49" t="n"/>
      <c r="C31" s="49" t="n"/>
      <c r="D31" s="49" t="n"/>
      <c r="E31" s="49" t="n"/>
      <c r="F31" s="49" t="n"/>
    </row>
    <row r="32" ht="15.75" customHeight="1" s="57">
      <c r="A32" s="49" t="n"/>
      <c r="B32" s="49" t="n"/>
      <c r="C32" s="49" t="n"/>
      <c r="D32" s="49" t="n"/>
      <c r="E32" s="49" t="n"/>
      <c r="F32" s="49" t="n"/>
    </row>
    <row r="33" ht="15.75" customHeight="1" s="57">
      <c r="A33" s="49" t="n"/>
      <c r="B33" s="49" t="n"/>
      <c r="C33" s="49" t="n"/>
      <c r="D33" s="49" t="n"/>
      <c r="E33" s="49" t="n"/>
      <c r="F33" s="49" t="n"/>
    </row>
    <row r="34" ht="15.75" customHeight="1" s="57">
      <c r="A34" s="49" t="n"/>
      <c r="B34" s="49" t="n"/>
      <c r="C34" s="49" t="n"/>
      <c r="D34" s="49" t="n"/>
      <c r="E34" s="49" t="n"/>
      <c r="F34" s="49" t="n"/>
    </row>
    <row r="35" ht="15.75" customHeight="1" s="57">
      <c r="A35" s="49" t="n"/>
      <c r="B35" s="49" t="n"/>
      <c r="C35" s="49" t="n"/>
      <c r="D35" s="49" t="n"/>
      <c r="E35" s="49" t="n"/>
      <c r="F35" s="49" t="n"/>
    </row>
    <row r="36" ht="15.75" customHeight="1" s="57">
      <c r="A36" s="49" t="n"/>
      <c r="B36" s="49" t="n"/>
      <c r="C36" s="49" t="n"/>
      <c r="D36" s="49" t="n"/>
      <c r="E36" s="49" t="n"/>
      <c r="F36" s="49" t="n"/>
    </row>
    <row r="37" ht="15.75" customHeight="1" s="57">
      <c r="A37" s="49" t="n"/>
      <c r="B37" s="49" t="n"/>
      <c r="C37" s="49" t="n"/>
      <c r="D37" s="49" t="n"/>
      <c r="E37" s="49" t="n"/>
      <c r="F37" s="49" t="n"/>
    </row>
    <row r="38" ht="15.75" customHeight="1" s="57">
      <c r="A38" s="49" t="n"/>
      <c r="B38" s="49" t="n"/>
      <c r="C38" s="49" t="n"/>
      <c r="D38" s="49" t="n"/>
      <c r="E38" s="49" t="n"/>
      <c r="F38" s="49" t="n"/>
    </row>
    <row r="39" ht="15.75" customHeight="1" s="57">
      <c r="A39" s="49" t="n"/>
      <c r="B39" s="49" t="n"/>
      <c r="C39" s="49" t="n"/>
      <c r="D39" s="49" t="n"/>
      <c r="E39" s="49" t="n"/>
      <c r="F39" s="49" t="n"/>
    </row>
    <row r="40" ht="15.75" customHeight="1" s="57">
      <c r="A40" s="49" t="n"/>
      <c r="B40" s="49" t="n"/>
      <c r="C40" s="49" t="n"/>
      <c r="D40" s="49" t="n"/>
      <c r="E40" s="49" t="n"/>
      <c r="F40" s="49" t="n"/>
    </row>
    <row r="41" ht="15.75" customHeight="1" s="57">
      <c r="A41" s="49" t="n"/>
      <c r="B41" s="49" t="n"/>
      <c r="C41" s="49" t="n"/>
      <c r="D41" s="49" t="n"/>
      <c r="E41" s="49" t="n"/>
      <c r="F41" s="49" t="n"/>
    </row>
    <row r="42" ht="15.75" customHeight="1" s="57">
      <c r="A42" s="49" t="n"/>
      <c r="B42" s="49" t="n"/>
      <c r="C42" s="49" t="n"/>
      <c r="D42" s="49" t="n"/>
      <c r="E42" s="49" t="n"/>
      <c r="F42" s="49" t="n"/>
    </row>
    <row r="43" ht="15.75" customHeight="1" s="57">
      <c r="A43" s="49" t="n"/>
      <c r="B43" s="49" t="n"/>
      <c r="C43" s="49" t="n"/>
      <c r="D43" s="49" t="n"/>
      <c r="E43" s="49" t="n"/>
      <c r="F43" s="49" t="n"/>
    </row>
    <row r="44" ht="15.75" customHeight="1" s="57">
      <c r="A44" s="49" t="n"/>
      <c r="B44" s="49" t="n"/>
      <c r="C44" s="49" t="n"/>
      <c r="D44" s="49" t="n"/>
      <c r="E44" s="49" t="n"/>
      <c r="F44" s="49" t="n"/>
    </row>
    <row r="45" ht="15.75" customHeight="1" s="57">
      <c r="A45" s="49" t="n"/>
      <c r="B45" s="49" t="n"/>
      <c r="C45" s="49" t="n"/>
      <c r="D45" s="49" t="n"/>
      <c r="E45" s="49" t="n"/>
      <c r="F45" s="49" t="n"/>
    </row>
    <row r="46" ht="15.75" customHeight="1" s="57">
      <c r="A46" s="49" t="n"/>
      <c r="B46" s="49" t="n"/>
      <c r="C46" s="49" t="n"/>
      <c r="D46" s="49" t="n"/>
      <c r="E46" s="49" t="n"/>
      <c r="F46" s="49" t="n"/>
    </row>
    <row r="47" ht="15.75" customHeight="1" s="57">
      <c r="A47" s="49" t="n"/>
      <c r="B47" s="49" t="n"/>
      <c r="C47" s="49" t="n"/>
      <c r="D47" s="49" t="n"/>
      <c r="E47" s="49" t="n"/>
      <c r="F47" s="49" t="n"/>
    </row>
    <row r="48" ht="15.75" customHeight="1" s="57">
      <c r="A48" s="49" t="n"/>
      <c r="B48" s="49" t="n"/>
      <c r="C48" s="49" t="n"/>
      <c r="D48" s="49" t="n"/>
      <c r="E48" s="49" t="n"/>
      <c r="F48" s="49" t="n"/>
    </row>
    <row r="49" ht="15.75" customHeight="1" s="57">
      <c r="A49" s="49" t="n"/>
      <c r="B49" s="49" t="n"/>
      <c r="C49" s="49" t="n"/>
      <c r="D49" s="49" t="n"/>
      <c r="E49" s="49" t="n"/>
      <c r="F49" s="49" t="n"/>
    </row>
    <row r="50" ht="15.75" customHeight="1" s="57">
      <c r="A50" s="49" t="n"/>
      <c r="B50" s="49" t="n"/>
      <c r="C50" s="49" t="n"/>
      <c r="D50" s="49" t="n"/>
      <c r="E50" s="49" t="n"/>
      <c r="F50" s="49" t="n"/>
    </row>
    <row r="51" ht="15.75" customHeight="1" s="57">
      <c r="A51" s="49" t="n"/>
      <c r="B51" s="49" t="n"/>
      <c r="C51" s="49" t="n"/>
      <c r="D51" s="49" t="n"/>
      <c r="E51" s="49" t="n"/>
      <c r="F51" s="49" t="n"/>
    </row>
    <row r="52" ht="15.75" customHeight="1" s="57">
      <c r="A52" s="49" t="n"/>
      <c r="B52" s="49" t="n"/>
      <c r="C52" s="49" t="n"/>
      <c r="D52" s="49" t="n"/>
      <c r="E52" s="49" t="n"/>
      <c r="F52" s="49" t="n"/>
    </row>
    <row r="53" ht="15.75" customHeight="1" s="57">
      <c r="A53" s="49" t="n"/>
      <c r="B53" s="49" t="n"/>
      <c r="C53" s="49" t="n"/>
      <c r="D53" s="49" t="n"/>
      <c r="E53" s="49" t="n"/>
      <c r="F53" s="49" t="n"/>
    </row>
    <row r="54" ht="15.75" customHeight="1" s="57">
      <c r="A54" s="49" t="n"/>
      <c r="B54" s="49" t="n"/>
      <c r="C54" s="49" t="n"/>
      <c r="D54" s="49" t="n"/>
      <c r="E54" s="49" t="n"/>
      <c r="F54" s="49" t="n"/>
    </row>
    <row r="55" ht="15.75" customHeight="1" s="57">
      <c r="A55" s="49" t="n"/>
      <c r="B55" s="49" t="n"/>
      <c r="C55" s="49" t="n"/>
      <c r="D55" s="49" t="n"/>
      <c r="E55" s="49" t="n"/>
      <c r="F55" s="49" t="n"/>
    </row>
    <row r="56" ht="15.75" customHeight="1" s="57">
      <c r="A56" s="49" t="n"/>
      <c r="B56" s="49" t="n"/>
      <c r="C56" s="49" t="n"/>
      <c r="D56" s="49" t="n"/>
      <c r="E56" s="49" t="n"/>
      <c r="F56" s="49" t="n"/>
    </row>
    <row r="57" ht="15.75" customHeight="1" s="57">
      <c r="A57" s="49" t="n"/>
      <c r="B57" s="49" t="n"/>
      <c r="C57" s="49" t="n"/>
      <c r="D57" s="49" t="n"/>
      <c r="E57" s="49" t="n"/>
      <c r="F57" s="49" t="n"/>
    </row>
    <row r="58" ht="15.75" customHeight="1" s="57">
      <c r="A58" s="49" t="n"/>
      <c r="B58" s="49" t="n"/>
      <c r="C58" s="49" t="n"/>
      <c r="D58" s="49" t="n"/>
      <c r="E58" s="49" t="n"/>
      <c r="F58" s="49" t="n"/>
    </row>
    <row r="59" ht="15.75" customHeight="1" s="57">
      <c r="A59" s="49" t="n"/>
      <c r="B59" s="49" t="n"/>
      <c r="C59" s="49" t="n"/>
      <c r="D59" s="49" t="n"/>
      <c r="E59" s="49" t="n"/>
      <c r="F59" s="49" t="n"/>
    </row>
    <row r="60" ht="15.75" customHeight="1" s="57">
      <c r="A60" s="49" t="n"/>
      <c r="B60" s="49" t="n"/>
      <c r="C60" s="49" t="n"/>
      <c r="D60" s="49" t="n"/>
      <c r="E60" s="49" t="n"/>
      <c r="F60" s="49" t="n"/>
    </row>
    <row r="61" ht="15.75" customHeight="1" s="57">
      <c r="A61" s="49" t="n"/>
      <c r="B61" s="49" t="n"/>
      <c r="C61" s="49" t="n"/>
      <c r="D61" s="49" t="n"/>
      <c r="E61" s="49" t="n"/>
      <c r="F61" s="49" t="n"/>
    </row>
    <row r="62" ht="15.75" customHeight="1" s="57">
      <c r="A62" s="49" t="n"/>
      <c r="B62" s="49" t="n"/>
      <c r="C62" s="49" t="n"/>
      <c r="D62" s="49" t="n"/>
      <c r="E62" s="49" t="n"/>
      <c r="F62" s="49" t="n"/>
    </row>
    <row r="63" ht="15.75" customHeight="1" s="57">
      <c r="A63" s="49" t="n"/>
      <c r="B63" s="49" t="n"/>
      <c r="C63" s="49" t="n"/>
      <c r="D63" s="49" t="n"/>
      <c r="E63" s="49" t="n"/>
      <c r="F63" s="49" t="n"/>
    </row>
    <row r="64" ht="15.75" customHeight="1" s="57">
      <c r="A64" s="49" t="n"/>
      <c r="B64" s="49" t="n"/>
      <c r="C64" s="49" t="n"/>
      <c r="D64" s="49" t="n"/>
      <c r="E64" s="49" t="n"/>
      <c r="F64" s="49" t="n"/>
    </row>
    <row r="65" ht="15.75" customHeight="1" s="57">
      <c r="A65" s="49" t="n"/>
      <c r="B65" s="49" t="n"/>
      <c r="C65" s="49" t="n"/>
      <c r="D65" s="49" t="n"/>
      <c r="E65" s="49" t="n"/>
      <c r="F65" s="49" t="n"/>
    </row>
    <row r="66" ht="15.75" customHeight="1" s="57">
      <c r="A66" s="49" t="n"/>
      <c r="B66" s="49" t="n"/>
      <c r="C66" s="49" t="n"/>
      <c r="D66" s="49" t="n"/>
      <c r="E66" s="49" t="n"/>
      <c r="F66" s="49" t="n"/>
    </row>
    <row r="67" ht="15.75" customHeight="1" s="57">
      <c r="A67" s="49" t="n"/>
      <c r="B67" s="49" t="n"/>
      <c r="C67" s="49" t="n"/>
      <c r="D67" s="49" t="n"/>
      <c r="E67" s="49" t="n"/>
      <c r="F67" s="49" t="n"/>
    </row>
    <row r="68" ht="15.75" customHeight="1" s="57">
      <c r="A68" s="49" t="n"/>
      <c r="B68" s="49" t="n"/>
      <c r="C68" s="49" t="n"/>
      <c r="D68" s="49" t="n"/>
      <c r="E68" s="49" t="n"/>
      <c r="F68" s="49" t="n"/>
    </row>
    <row r="69" ht="15.75" customHeight="1" s="57">
      <c r="A69" s="49" t="n"/>
      <c r="B69" s="49" t="n"/>
      <c r="C69" s="49" t="n"/>
      <c r="D69" s="49" t="n"/>
      <c r="E69" s="49" t="n"/>
      <c r="F69" s="49" t="n"/>
    </row>
    <row r="70" ht="15.75" customHeight="1" s="57">
      <c r="A70" s="49" t="n"/>
      <c r="B70" s="49" t="n"/>
      <c r="C70" s="49" t="n"/>
      <c r="D70" s="49" t="n"/>
      <c r="E70" s="49" t="n"/>
      <c r="F70" s="49" t="n"/>
    </row>
    <row r="71" ht="15.75" customHeight="1" s="57">
      <c r="A71" s="49" t="n"/>
      <c r="B71" s="49" t="n"/>
      <c r="C71" s="49" t="n"/>
      <c r="D71" s="49" t="n"/>
      <c r="E71" s="49" t="n"/>
      <c r="F71" s="49" t="n"/>
    </row>
    <row r="72" ht="15.75" customHeight="1" s="57">
      <c r="A72" s="49" t="n"/>
      <c r="B72" s="49" t="n"/>
      <c r="C72" s="49" t="n"/>
      <c r="D72" s="49" t="n"/>
      <c r="E72" s="49" t="n"/>
      <c r="F72" s="49" t="n"/>
    </row>
    <row r="73" ht="15.75" customHeight="1" s="57">
      <c r="A73" s="49" t="n"/>
      <c r="B73" s="49" t="n"/>
      <c r="C73" s="49" t="n"/>
      <c r="D73" s="49" t="n"/>
      <c r="E73" s="49" t="n"/>
      <c r="F73" s="49" t="n"/>
    </row>
    <row r="74" ht="15.75" customHeight="1" s="57">
      <c r="A74" s="49" t="n"/>
      <c r="B74" s="49" t="n"/>
      <c r="C74" s="49" t="n"/>
      <c r="D74" s="49" t="n"/>
      <c r="E74" s="49" t="n"/>
      <c r="F74" s="49" t="n"/>
    </row>
    <row r="75" ht="15.75" customHeight="1" s="57">
      <c r="A75" s="49" t="n"/>
      <c r="B75" s="49" t="n"/>
      <c r="C75" s="49" t="n"/>
      <c r="D75" s="49" t="n"/>
      <c r="E75" s="49" t="n"/>
      <c r="F75" s="49" t="n"/>
    </row>
    <row r="76" ht="15.75" customHeight="1" s="57">
      <c r="A76" s="49" t="n"/>
      <c r="B76" s="49" t="n"/>
      <c r="C76" s="49" t="n"/>
      <c r="D76" s="49" t="n"/>
      <c r="E76" s="49" t="n"/>
      <c r="F76" s="49" t="n"/>
    </row>
    <row r="77" ht="15.75" customHeight="1" s="57">
      <c r="A77" s="49" t="n"/>
      <c r="B77" s="49" t="n"/>
      <c r="C77" s="49" t="n"/>
      <c r="D77" s="49" t="n"/>
      <c r="E77" s="49" t="n"/>
      <c r="F77" s="49" t="n"/>
    </row>
    <row r="78" ht="15.75" customHeight="1" s="57">
      <c r="A78" s="49" t="n"/>
      <c r="B78" s="49" t="n"/>
      <c r="C78" s="49" t="n"/>
      <c r="D78" s="49" t="n"/>
      <c r="E78" s="49" t="n"/>
      <c r="F78" s="49" t="n"/>
    </row>
    <row r="79" ht="15.75" customHeight="1" s="57">
      <c r="A79" s="49" t="n"/>
      <c r="B79" s="49" t="n"/>
      <c r="C79" s="49" t="n"/>
      <c r="D79" s="49" t="n"/>
      <c r="E79" s="49" t="n"/>
      <c r="F79" s="49" t="n"/>
    </row>
    <row r="80" ht="15.75" customHeight="1" s="57">
      <c r="A80" s="49" t="n"/>
      <c r="B80" s="49" t="n"/>
      <c r="C80" s="49" t="n"/>
      <c r="D80" s="49" t="n"/>
      <c r="E80" s="49" t="n"/>
      <c r="F80" s="49" t="n"/>
    </row>
    <row r="81" ht="15.75" customHeight="1" s="57">
      <c r="A81" s="49" t="n"/>
      <c r="B81" s="49" t="n"/>
      <c r="C81" s="49" t="n"/>
      <c r="D81" s="49" t="n"/>
      <c r="E81" s="49" t="n"/>
      <c r="F81" s="49" t="n"/>
    </row>
    <row r="82" ht="15.75" customHeight="1" s="57">
      <c r="A82" s="49" t="n"/>
      <c r="B82" s="49" t="n"/>
      <c r="C82" s="49" t="n"/>
      <c r="D82" s="49" t="n"/>
      <c r="E82" s="49" t="n"/>
      <c r="F82" s="49" t="n"/>
    </row>
    <row r="83" ht="15.75" customHeight="1" s="57">
      <c r="A83" s="49" t="n"/>
      <c r="B83" s="49" t="n"/>
      <c r="C83" s="49" t="n"/>
      <c r="D83" s="49" t="n"/>
      <c r="E83" s="49" t="n"/>
      <c r="F83" s="49" t="n"/>
    </row>
    <row r="84" ht="15.75" customHeight="1" s="57">
      <c r="A84" s="49" t="n"/>
      <c r="B84" s="49" t="n"/>
      <c r="C84" s="49" t="n"/>
      <c r="D84" s="49" t="n"/>
      <c r="E84" s="49" t="n"/>
      <c r="F84" s="49" t="n"/>
    </row>
    <row r="85" ht="15.75" customHeight="1" s="57">
      <c r="A85" s="49" t="n"/>
      <c r="B85" s="49" t="n"/>
      <c r="C85" s="49" t="n"/>
      <c r="D85" s="49" t="n"/>
      <c r="E85" s="49" t="n"/>
      <c r="F85" s="49" t="n"/>
    </row>
    <row r="86" ht="15.75" customHeight="1" s="57">
      <c r="A86" s="49" t="n"/>
      <c r="B86" s="49" t="n"/>
      <c r="C86" s="49" t="n"/>
      <c r="D86" s="49" t="n"/>
      <c r="E86" s="49" t="n"/>
      <c r="F86" s="49" t="n"/>
    </row>
    <row r="87" ht="15.75" customHeight="1" s="57">
      <c r="A87" s="49" t="n"/>
      <c r="B87" s="49" t="n"/>
      <c r="C87" s="49" t="n"/>
      <c r="D87" s="49" t="n"/>
      <c r="E87" s="49" t="n"/>
      <c r="F87" s="49" t="n"/>
    </row>
    <row r="88" ht="15.75" customHeight="1" s="57">
      <c r="A88" s="49" t="n"/>
      <c r="B88" s="49" t="n"/>
      <c r="C88" s="49" t="n"/>
      <c r="D88" s="49" t="n"/>
      <c r="E88" s="49" t="n"/>
      <c r="F88" s="49" t="n"/>
    </row>
    <row r="89" ht="15.75" customHeight="1" s="57">
      <c r="A89" s="49" t="n"/>
      <c r="B89" s="49" t="n"/>
      <c r="C89" s="49" t="n"/>
      <c r="D89" s="49" t="n"/>
      <c r="E89" s="49" t="n"/>
      <c r="F89" s="49" t="n"/>
    </row>
    <row r="90" ht="15.75" customHeight="1" s="57">
      <c r="A90" s="49" t="n"/>
      <c r="B90" s="49" t="n"/>
      <c r="C90" s="49" t="n"/>
      <c r="D90" s="49" t="n"/>
      <c r="E90" s="49" t="n"/>
      <c r="F90" s="49" t="n"/>
    </row>
    <row r="91" ht="15.75" customHeight="1" s="57">
      <c r="A91" s="49" t="n"/>
      <c r="B91" s="49" t="n"/>
      <c r="C91" s="49" t="n"/>
      <c r="D91" s="49" t="n"/>
      <c r="E91" s="49" t="n"/>
      <c r="F91" s="49" t="n"/>
    </row>
    <row r="92" ht="15.75" customHeight="1" s="57">
      <c r="A92" s="49" t="n"/>
      <c r="B92" s="49" t="n"/>
      <c r="C92" s="49" t="n"/>
      <c r="D92" s="49" t="n"/>
      <c r="E92" s="49" t="n"/>
      <c r="F92" s="49" t="n"/>
    </row>
    <row r="93" ht="15.75" customHeight="1" s="57">
      <c r="A93" s="49" t="n"/>
      <c r="B93" s="49" t="n"/>
      <c r="C93" s="49" t="n"/>
      <c r="D93" s="49" t="n"/>
      <c r="E93" s="49" t="n"/>
      <c r="F93" s="49" t="n"/>
    </row>
    <row r="94" ht="15.75" customHeight="1" s="57">
      <c r="A94" s="49" t="n"/>
      <c r="B94" s="49" t="n"/>
      <c r="C94" s="49" t="n"/>
      <c r="D94" s="49" t="n"/>
      <c r="E94" s="49" t="n"/>
      <c r="F94" s="49" t="n"/>
    </row>
    <row r="95" ht="15.75" customHeight="1" s="57">
      <c r="A95" s="49" t="n"/>
      <c r="B95" s="49" t="n"/>
      <c r="C95" s="49" t="n"/>
      <c r="D95" s="49" t="n"/>
      <c r="E95" s="49" t="n"/>
      <c r="F95" s="49" t="n"/>
    </row>
    <row r="96" ht="15.75" customHeight="1" s="57">
      <c r="A96" s="49" t="n"/>
      <c r="B96" s="49" t="n"/>
      <c r="C96" s="49" t="n"/>
      <c r="D96" s="49" t="n"/>
      <c r="E96" s="49" t="n"/>
      <c r="F96" s="49" t="n"/>
    </row>
    <row r="97" ht="15.75" customHeight="1" s="57">
      <c r="A97" s="49" t="n"/>
      <c r="B97" s="49" t="n"/>
      <c r="C97" s="49" t="n"/>
      <c r="D97" s="49" t="n"/>
      <c r="E97" s="49" t="n"/>
      <c r="F97" s="49" t="n"/>
    </row>
    <row r="98" ht="15.75" customHeight="1" s="57">
      <c r="A98" s="49" t="n"/>
      <c r="B98" s="49" t="n"/>
      <c r="C98" s="49" t="n"/>
      <c r="D98" s="49" t="n"/>
      <c r="E98" s="49" t="n"/>
      <c r="F98" s="49" t="n"/>
    </row>
    <row r="99" ht="15.75" customHeight="1" s="57">
      <c r="A99" s="49" t="n"/>
      <c r="B99" s="49" t="n"/>
      <c r="C99" s="49" t="n"/>
      <c r="D99" s="49" t="n"/>
      <c r="E99" s="49" t="n"/>
      <c r="F99" s="49" t="n"/>
    </row>
    <row r="100" ht="15.75" customHeight="1" s="57">
      <c r="A100" s="49" t="n"/>
      <c r="B100" s="49" t="n"/>
      <c r="C100" s="49" t="n"/>
      <c r="D100" s="49" t="n"/>
      <c r="E100" s="49" t="n"/>
      <c r="F100" s="49" t="n"/>
    </row>
    <row r="101" ht="15.75" customHeight="1" s="57">
      <c r="A101" s="49" t="n"/>
      <c r="B101" s="49" t="n"/>
      <c r="C101" s="49" t="n"/>
      <c r="D101" s="49" t="n"/>
      <c r="E101" s="49" t="n"/>
      <c r="F101" s="49" t="n"/>
    </row>
    <row r="102" ht="15.75" customHeight="1" s="57">
      <c r="A102" s="49" t="n"/>
      <c r="B102" s="49" t="n"/>
      <c r="C102" s="49" t="n"/>
      <c r="D102" s="49" t="n"/>
      <c r="E102" s="49" t="n"/>
      <c r="F102" s="49" t="n"/>
    </row>
    <row r="103" ht="15.75" customHeight="1" s="57">
      <c r="A103" s="49" t="n"/>
      <c r="B103" s="49" t="n"/>
      <c r="C103" s="49" t="n"/>
      <c r="D103" s="49" t="n"/>
      <c r="E103" s="49" t="n"/>
      <c r="F103" s="49" t="n"/>
    </row>
    <row r="104" ht="15.75" customHeight="1" s="57">
      <c r="A104" s="49" t="n"/>
      <c r="B104" s="49" t="n"/>
      <c r="C104" s="49" t="n"/>
      <c r="D104" s="49" t="n"/>
      <c r="E104" s="49" t="n"/>
      <c r="F104" s="49" t="n"/>
    </row>
    <row r="105" ht="15.75" customHeight="1" s="57">
      <c r="A105" s="49" t="n"/>
      <c r="B105" s="49" t="n"/>
      <c r="C105" s="49" t="n"/>
      <c r="D105" s="49" t="n"/>
      <c r="E105" s="49" t="n"/>
      <c r="F105" s="49" t="n"/>
    </row>
    <row r="106" ht="15.75" customHeight="1" s="57">
      <c r="A106" s="49" t="n"/>
      <c r="B106" s="49" t="n"/>
      <c r="C106" s="49" t="n"/>
      <c r="D106" s="49" t="n"/>
      <c r="E106" s="49" t="n"/>
      <c r="F106" s="49" t="n"/>
    </row>
    <row r="107" ht="15.75" customHeight="1" s="57">
      <c r="A107" s="49" t="n"/>
      <c r="B107" s="49" t="n"/>
      <c r="C107" s="49" t="n"/>
      <c r="D107" s="49" t="n"/>
      <c r="E107" s="49" t="n"/>
      <c r="F107" s="49" t="n"/>
    </row>
    <row r="108" ht="15.75" customHeight="1" s="57">
      <c r="A108" s="49" t="n"/>
      <c r="B108" s="49" t="n"/>
      <c r="C108" s="49" t="n"/>
      <c r="D108" s="49" t="n"/>
      <c r="E108" s="49" t="n"/>
      <c r="F108" s="49" t="n"/>
    </row>
    <row r="109" ht="15.75" customHeight="1" s="57">
      <c r="A109" s="49" t="n"/>
      <c r="B109" s="49" t="n"/>
      <c r="C109" s="49" t="n"/>
      <c r="D109" s="49" t="n"/>
      <c r="E109" s="49" t="n"/>
      <c r="F109" s="49" t="n"/>
    </row>
    <row r="110" ht="15.75" customHeight="1" s="57">
      <c r="A110" s="49" t="n"/>
      <c r="B110" s="49" t="n"/>
      <c r="C110" s="49" t="n"/>
      <c r="D110" s="49" t="n"/>
      <c r="E110" s="49" t="n"/>
      <c r="F110" s="49" t="n"/>
    </row>
    <row r="111" ht="15.75" customHeight="1" s="57">
      <c r="A111" s="49" t="n"/>
      <c r="B111" s="49" t="n"/>
      <c r="C111" s="49" t="n"/>
      <c r="D111" s="49" t="n"/>
      <c r="E111" s="49" t="n"/>
      <c r="F111" s="49" t="n"/>
    </row>
    <row r="112" ht="15.75" customHeight="1" s="57">
      <c r="A112" s="49" t="n"/>
      <c r="B112" s="49" t="n"/>
      <c r="C112" s="49" t="n"/>
      <c r="D112" s="49" t="n"/>
      <c r="E112" s="49" t="n"/>
      <c r="F112" s="49" t="n"/>
    </row>
    <row r="113" ht="15.75" customHeight="1" s="57">
      <c r="A113" s="49" t="n"/>
      <c r="B113" s="49" t="n"/>
      <c r="C113" s="49" t="n"/>
      <c r="D113" s="49" t="n"/>
      <c r="E113" s="49" t="n"/>
      <c r="F113" s="49" t="n"/>
    </row>
    <row r="114" ht="15.75" customHeight="1" s="57">
      <c r="A114" s="49" t="n"/>
      <c r="B114" s="49" t="n"/>
      <c r="C114" s="49" t="n"/>
      <c r="D114" s="49" t="n"/>
      <c r="E114" s="49" t="n"/>
      <c r="F114" s="49" t="n"/>
    </row>
    <row r="115" ht="15.75" customHeight="1" s="57">
      <c r="A115" s="49" t="n"/>
      <c r="B115" s="49" t="n"/>
      <c r="C115" s="49" t="n"/>
      <c r="D115" s="49" t="n"/>
      <c r="E115" s="49" t="n"/>
      <c r="F115" s="49" t="n"/>
    </row>
    <row r="116" ht="15.75" customHeight="1" s="57">
      <c r="A116" s="49" t="n"/>
      <c r="B116" s="49" t="n"/>
      <c r="C116" s="49" t="n"/>
      <c r="D116" s="49" t="n"/>
      <c r="E116" s="49" t="n"/>
      <c r="F116" s="49" t="n"/>
    </row>
    <row r="117" ht="15.75" customHeight="1" s="57">
      <c r="A117" s="49" t="n"/>
      <c r="B117" s="49" t="n"/>
      <c r="C117" s="49" t="n"/>
      <c r="D117" s="49" t="n"/>
      <c r="E117" s="49" t="n"/>
      <c r="F117" s="49" t="n"/>
    </row>
    <row r="118" ht="15.75" customHeight="1" s="57">
      <c r="A118" s="49" t="n"/>
      <c r="B118" s="49" t="n"/>
      <c r="C118" s="49" t="n"/>
      <c r="D118" s="49" t="n"/>
      <c r="E118" s="49" t="n"/>
      <c r="F118" s="49" t="n"/>
    </row>
    <row r="119" ht="15.75" customHeight="1" s="57">
      <c r="A119" s="49" t="n"/>
      <c r="B119" s="49" t="n"/>
      <c r="C119" s="49" t="n"/>
      <c r="D119" s="49" t="n"/>
      <c r="E119" s="49" t="n"/>
      <c r="F119" s="49" t="n"/>
    </row>
    <row r="120" ht="15.75" customHeight="1" s="57">
      <c r="A120" s="49" t="n"/>
      <c r="B120" s="49" t="n"/>
      <c r="C120" s="49" t="n"/>
      <c r="D120" s="49" t="n"/>
      <c r="E120" s="49" t="n"/>
      <c r="F120" s="49" t="n"/>
    </row>
    <row r="121" ht="15.75" customHeight="1" s="57">
      <c r="A121" s="49" t="n"/>
      <c r="B121" s="49" t="n"/>
      <c r="C121" s="49" t="n"/>
      <c r="D121" s="49" t="n"/>
      <c r="E121" s="49" t="n"/>
      <c r="F121" s="49" t="n"/>
    </row>
    <row r="122" ht="15.75" customHeight="1" s="57">
      <c r="A122" s="49" t="n"/>
      <c r="B122" s="49" t="n"/>
      <c r="C122" s="49" t="n"/>
      <c r="D122" s="49" t="n"/>
      <c r="E122" s="49" t="n"/>
      <c r="F122" s="49" t="n"/>
    </row>
    <row r="123" ht="15.75" customHeight="1" s="57">
      <c r="A123" s="49" t="n"/>
      <c r="B123" s="49" t="n"/>
      <c r="C123" s="49" t="n"/>
      <c r="D123" s="49" t="n"/>
      <c r="E123" s="49" t="n"/>
      <c r="F123" s="49" t="n"/>
    </row>
    <row r="124" ht="15.75" customHeight="1" s="57">
      <c r="A124" s="49" t="n"/>
      <c r="B124" s="49" t="n"/>
      <c r="C124" s="49" t="n"/>
      <c r="D124" s="49" t="n"/>
      <c r="E124" s="49" t="n"/>
      <c r="F124" s="49" t="n"/>
    </row>
    <row r="125" ht="15.75" customHeight="1" s="57">
      <c r="A125" s="49" t="n"/>
      <c r="B125" s="49" t="n"/>
      <c r="C125" s="49" t="n"/>
      <c r="D125" s="49" t="n"/>
      <c r="E125" s="49" t="n"/>
      <c r="F125" s="49" t="n"/>
    </row>
    <row r="126" ht="15.75" customHeight="1" s="57">
      <c r="A126" s="49" t="n"/>
      <c r="B126" s="49" t="n"/>
      <c r="C126" s="49" t="n"/>
      <c r="D126" s="49" t="n"/>
      <c r="E126" s="49" t="n"/>
      <c r="F126" s="49" t="n"/>
    </row>
    <row r="127" ht="15.75" customHeight="1" s="57">
      <c r="A127" s="49" t="n"/>
      <c r="B127" s="49" t="n"/>
      <c r="C127" s="49" t="n"/>
      <c r="D127" s="49" t="n"/>
      <c r="E127" s="49" t="n"/>
      <c r="F127" s="49" t="n"/>
    </row>
    <row r="128" ht="15.75" customHeight="1" s="57">
      <c r="A128" s="49" t="n"/>
      <c r="B128" s="49" t="n"/>
      <c r="C128" s="49" t="n"/>
      <c r="D128" s="49" t="n"/>
      <c r="E128" s="49" t="n"/>
      <c r="F128" s="49" t="n"/>
    </row>
    <row r="129" ht="15.75" customHeight="1" s="57">
      <c r="A129" s="49" t="n"/>
      <c r="B129" s="49" t="n"/>
      <c r="C129" s="49" t="n"/>
      <c r="D129" s="49" t="n"/>
      <c r="E129" s="49" t="n"/>
      <c r="F129" s="49" t="n"/>
    </row>
    <row r="130" ht="15.75" customHeight="1" s="57">
      <c r="A130" s="49" t="n"/>
      <c r="B130" s="49" t="n"/>
      <c r="C130" s="49" t="n"/>
      <c r="D130" s="49" t="n"/>
      <c r="E130" s="49" t="n"/>
      <c r="F130" s="49" t="n"/>
    </row>
    <row r="131" ht="15.75" customHeight="1" s="57">
      <c r="A131" s="49" t="n"/>
      <c r="B131" s="49" t="n"/>
      <c r="C131" s="49" t="n"/>
      <c r="D131" s="49" t="n"/>
      <c r="E131" s="49" t="n"/>
      <c r="F131" s="49" t="n"/>
    </row>
    <row r="132" ht="15.75" customHeight="1" s="57">
      <c r="A132" s="49" t="n"/>
      <c r="B132" s="49" t="n"/>
      <c r="C132" s="49" t="n"/>
      <c r="D132" s="49" t="n"/>
      <c r="E132" s="49" t="n"/>
      <c r="F132" s="49" t="n"/>
    </row>
    <row r="133" ht="15.75" customHeight="1" s="57">
      <c r="A133" s="49" t="n"/>
      <c r="B133" s="49" t="n"/>
      <c r="C133" s="49" t="n"/>
      <c r="D133" s="49" t="n"/>
      <c r="E133" s="49" t="n"/>
      <c r="F133" s="49" t="n"/>
    </row>
    <row r="134" ht="15.75" customHeight="1" s="57">
      <c r="A134" s="49" t="n"/>
      <c r="B134" s="49" t="n"/>
      <c r="C134" s="49" t="n"/>
      <c r="D134" s="49" t="n"/>
      <c r="E134" s="49" t="n"/>
      <c r="F134" s="49" t="n"/>
    </row>
    <row r="135" ht="15.75" customHeight="1" s="57">
      <c r="A135" s="49" t="n"/>
      <c r="B135" s="49" t="n"/>
      <c r="C135" s="49" t="n"/>
      <c r="D135" s="49" t="n"/>
      <c r="E135" s="49" t="n"/>
      <c r="F135" s="49" t="n"/>
    </row>
    <row r="136" ht="15.75" customHeight="1" s="57">
      <c r="A136" s="49" t="n"/>
      <c r="B136" s="49" t="n"/>
      <c r="C136" s="49" t="n"/>
      <c r="D136" s="49" t="n"/>
      <c r="E136" s="49" t="n"/>
      <c r="F136" s="49" t="n"/>
    </row>
    <row r="137" ht="15.75" customHeight="1" s="57">
      <c r="A137" s="49" t="n"/>
      <c r="B137" s="49" t="n"/>
      <c r="C137" s="49" t="n"/>
      <c r="D137" s="49" t="n"/>
      <c r="E137" s="49" t="n"/>
      <c r="F137" s="49" t="n"/>
    </row>
    <row r="138" ht="15.75" customHeight="1" s="57">
      <c r="A138" s="49" t="n"/>
      <c r="B138" s="49" t="n"/>
      <c r="C138" s="49" t="n"/>
      <c r="D138" s="49" t="n"/>
      <c r="E138" s="49" t="n"/>
      <c r="F138" s="49" t="n"/>
    </row>
    <row r="139" ht="15.75" customHeight="1" s="57">
      <c r="A139" s="49" t="n"/>
      <c r="B139" s="49" t="n"/>
      <c r="C139" s="49" t="n"/>
      <c r="D139" s="49" t="n"/>
      <c r="E139" s="49" t="n"/>
      <c r="F139" s="49" t="n"/>
    </row>
    <row r="140" ht="15.75" customHeight="1" s="57">
      <c r="A140" s="49" t="n"/>
      <c r="B140" s="49" t="n"/>
      <c r="C140" s="49" t="n"/>
      <c r="D140" s="49" t="n"/>
      <c r="E140" s="49" t="n"/>
      <c r="F140" s="49" t="n"/>
    </row>
    <row r="141" ht="15.75" customHeight="1" s="57">
      <c r="A141" s="49" t="n"/>
      <c r="B141" s="49" t="n"/>
      <c r="C141" s="49" t="n"/>
      <c r="D141" s="49" t="n"/>
      <c r="E141" s="49" t="n"/>
      <c r="F141" s="49" t="n"/>
    </row>
    <row r="142" ht="15.75" customHeight="1" s="57">
      <c r="A142" s="49" t="n"/>
      <c r="B142" s="49" t="n"/>
      <c r="C142" s="49" t="n"/>
      <c r="D142" s="49" t="n"/>
      <c r="E142" s="49" t="n"/>
      <c r="F142" s="49" t="n"/>
    </row>
    <row r="143" ht="15.75" customHeight="1" s="57">
      <c r="A143" s="49" t="n"/>
      <c r="B143" s="49" t="n"/>
      <c r="C143" s="49" t="n"/>
      <c r="D143" s="49" t="n"/>
      <c r="E143" s="49" t="n"/>
      <c r="F143" s="49" t="n"/>
    </row>
    <row r="144" ht="15.75" customHeight="1" s="57">
      <c r="A144" s="49" t="n"/>
      <c r="B144" s="49" t="n"/>
      <c r="C144" s="49" t="n"/>
      <c r="D144" s="49" t="n"/>
      <c r="E144" s="49" t="n"/>
      <c r="F144" s="49" t="n"/>
    </row>
    <row r="145" ht="15.75" customHeight="1" s="57">
      <c r="A145" s="49" t="n"/>
      <c r="B145" s="49" t="n"/>
      <c r="C145" s="49" t="n"/>
      <c r="D145" s="49" t="n"/>
      <c r="E145" s="49" t="n"/>
      <c r="F145" s="49" t="n"/>
    </row>
    <row r="146" ht="15.75" customHeight="1" s="57">
      <c r="A146" s="49" t="n"/>
      <c r="B146" s="49" t="n"/>
      <c r="C146" s="49" t="n"/>
      <c r="D146" s="49" t="n"/>
      <c r="E146" s="49" t="n"/>
      <c r="F146" s="49" t="n"/>
    </row>
    <row r="147" ht="15.75" customHeight="1" s="57">
      <c r="A147" s="49" t="n"/>
      <c r="B147" s="49" t="n"/>
      <c r="C147" s="49" t="n"/>
      <c r="D147" s="49" t="n"/>
      <c r="E147" s="49" t="n"/>
      <c r="F147" s="49" t="n"/>
    </row>
    <row r="148" ht="15.75" customHeight="1" s="57">
      <c r="A148" s="49" t="n"/>
      <c r="B148" s="49" t="n"/>
      <c r="C148" s="49" t="n"/>
      <c r="D148" s="49" t="n"/>
      <c r="E148" s="49" t="n"/>
      <c r="F148" s="49" t="n"/>
    </row>
    <row r="149" ht="15.75" customHeight="1" s="57">
      <c r="A149" s="49" t="n"/>
      <c r="B149" s="49" t="n"/>
      <c r="C149" s="49" t="n"/>
      <c r="D149" s="49" t="n"/>
      <c r="E149" s="49" t="n"/>
      <c r="F149" s="49" t="n"/>
    </row>
    <row r="150" ht="15.75" customHeight="1" s="57">
      <c r="A150" s="49" t="n"/>
      <c r="B150" s="49" t="n"/>
      <c r="C150" s="49" t="n"/>
      <c r="D150" s="49" t="n"/>
      <c r="E150" s="49" t="n"/>
      <c r="F150" s="49" t="n"/>
    </row>
    <row r="151" ht="15.75" customHeight="1" s="57">
      <c r="A151" s="49" t="n"/>
      <c r="B151" s="49" t="n"/>
      <c r="C151" s="49" t="n"/>
      <c r="D151" s="49" t="n"/>
      <c r="E151" s="49" t="n"/>
      <c r="F151" s="49" t="n"/>
    </row>
    <row r="152" ht="15.75" customHeight="1" s="57">
      <c r="A152" s="49" t="n"/>
      <c r="B152" s="49" t="n"/>
      <c r="C152" s="49" t="n"/>
      <c r="D152" s="49" t="n"/>
      <c r="E152" s="49" t="n"/>
      <c r="F152" s="49" t="n"/>
    </row>
    <row r="153" ht="15.75" customHeight="1" s="57">
      <c r="A153" s="49" t="n"/>
      <c r="B153" s="49" t="n"/>
      <c r="C153" s="49" t="n"/>
      <c r="D153" s="49" t="n"/>
      <c r="E153" s="49" t="n"/>
      <c r="F153" s="49" t="n"/>
    </row>
    <row r="154" ht="15.75" customHeight="1" s="57">
      <c r="A154" s="49" t="n"/>
      <c r="B154" s="49" t="n"/>
      <c r="C154" s="49" t="n"/>
      <c r="D154" s="49" t="n"/>
      <c r="E154" s="49" t="n"/>
      <c r="F154" s="49" t="n"/>
    </row>
    <row r="155" ht="15.75" customHeight="1" s="57">
      <c r="A155" s="49" t="n"/>
      <c r="B155" s="49" t="n"/>
      <c r="C155" s="49" t="n"/>
      <c r="D155" s="49" t="n"/>
      <c r="E155" s="49" t="n"/>
      <c r="F155" s="49" t="n"/>
    </row>
    <row r="156" ht="15.75" customHeight="1" s="57">
      <c r="A156" s="49" t="n"/>
      <c r="B156" s="49" t="n"/>
      <c r="C156" s="49" t="n"/>
      <c r="D156" s="49" t="n"/>
      <c r="E156" s="49" t="n"/>
      <c r="F156" s="49" t="n"/>
    </row>
    <row r="157" ht="15.75" customHeight="1" s="57">
      <c r="A157" s="49" t="n"/>
      <c r="B157" s="49" t="n"/>
      <c r="C157" s="49" t="n"/>
      <c r="D157" s="49" t="n"/>
      <c r="E157" s="49" t="n"/>
      <c r="F157" s="49" t="n"/>
    </row>
    <row r="158" ht="15.75" customHeight="1" s="57">
      <c r="A158" s="49" t="n"/>
      <c r="B158" s="49" t="n"/>
      <c r="C158" s="49" t="n"/>
      <c r="D158" s="49" t="n"/>
      <c r="E158" s="49" t="n"/>
      <c r="F158" s="49" t="n"/>
    </row>
    <row r="159" ht="15.75" customHeight="1" s="57">
      <c r="A159" s="49" t="n"/>
      <c r="B159" s="49" t="n"/>
      <c r="C159" s="49" t="n"/>
      <c r="D159" s="49" t="n"/>
      <c r="E159" s="49" t="n"/>
      <c r="F159" s="49" t="n"/>
    </row>
    <row r="160" ht="15.75" customHeight="1" s="57">
      <c r="A160" s="49" t="n"/>
      <c r="B160" s="49" t="n"/>
      <c r="C160" s="49" t="n"/>
      <c r="D160" s="49" t="n"/>
      <c r="E160" s="49" t="n"/>
      <c r="F160" s="49" t="n"/>
    </row>
    <row r="161" ht="15.75" customHeight="1" s="57">
      <c r="A161" s="49" t="n"/>
      <c r="B161" s="49" t="n"/>
      <c r="C161" s="49" t="n"/>
      <c r="D161" s="49" t="n"/>
      <c r="E161" s="49" t="n"/>
      <c r="F161" s="49" t="n"/>
    </row>
    <row r="162" ht="15.75" customHeight="1" s="57">
      <c r="A162" s="49" t="n"/>
      <c r="B162" s="49" t="n"/>
      <c r="C162" s="49" t="n"/>
      <c r="D162" s="49" t="n"/>
      <c r="E162" s="49" t="n"/>
      <c r="F162" s="49" t="n"/>
    </row>
    <row r="163" ht="15.75" customHeight="1" s="57">
      <c r="A163" s="49" t="n"/>
      <c r="B163" s="49" t="n"/>
      <c r="C163" s="49" t="n"/>
      <c r="D163" s="49" t="n"/>
      <c r="E163" s="49" t="n"/>
      <c r="F163" s="49" t="n"/>
    </row>
    <row r="164" ht="15.75" customHeight="1" s="57">
      <c r="A164" s="49" t="n"/>
      <c r="B164" s="49" t="n"/>
      <c r="C164" s="49" t="n"/>
      <c r="D164" s="49" t="n"/>
      <c r="E164" s="49" t="n"/>
      <c r="F164" s="49" t="n"/>
    </row>
    <row r="165" ht="15.75" customHeight="1" s="57">
      <c r="A165" s="49" t="n"/>
      <c r="B165" s="49" t="n"/>
      <c r="C165" s="49" t="n"/>
      <c r="D165" s="49" t="n"/>
      <c r="E165" s="49" t="n"/>
      <c r="F165" s="49" t="n"/>
    </row>
    <row r="166" ht="15.75" customHeight="1" s="57">
      <c r="A166" s="49" t="n"/>
      <c r="B166" s="49" t="n"/>
      <c r="C166" s="49" t="n"/>
      <c r="D166" s="49" t="n"/>
      <c r="E166" s="49" t="n"/>
      <c r="F166" s="49" t="n"/>
    </row>
    <row r="167" ht="15.75" customHeight="1" s="57">
      <c r="A167" s="49" t="n"/>
      <c r="B167" s="49" t="n"/>
      <c r="C167" s="49" t="n"/>
      <c r="D167" s="49" t="n"/>
      <c r="E167" s="49" t="n"/>
      <c r="F167" s="49" t="n"/>
    </row>
    <row r="168" ht="15.75" customHeight="1" s="57">
      <c r="A168" s="49" t="n"/>
      <c r="B168" s="49" t="n"/>
      <c r="C168" s="49" t="n"/>
      <c r="D168" s="49" t="n"/>
      <c r="E168" s="49" t="n"/>
      <c r="F168" s="49" t="n"/>
    </row>
    <row r="169" ht="15.75" customHeight="1" s="57">
      <c r="A169" s="49" t="n"/>
      <c r="B169" s="49" t="n"/>
      <c r="C169" s="49" t="n"/>
      <c r="D169" s="49" t="n"/>
      <c r="E169" s="49" t="n"/>
      <c r="F169" s="49" t="n"/>
    </row>
    <row r="170" ht="15.75" customHeight="1" s="57">
      <c r="A170" s="49" t="n"/>
      <c r="B170" s="49" t="n"/>
      <c r="C170" s="49" t="n"/>
      <c r="D170" s="49" t="n"/>
      <c r="E170" s="49" t="n"/>
      <c r="F170" s="49" t="n"/>
    </row>
    <row r="171" ht="15.75" customHeight="1" s="57">
      <c r="A171" s="49" t="n"/>
      <c r="B171" s="49" t="n"/>
      <c r="C171" s="49" t="n"/>
      <c r="D171" s="49" t="n"/>
      <c r="E171" s="49" t="n"/>
      <c r="F171" s="49" t="n"/>
    </row>
    <row r="172" ht="15.75" customHeight="1" s="57">
      <c r="A172" s="49" t="n"/>
      <c r="B172" s="49" t="n"/>
      <c r="C172" s="49" t="n"/>
      <c r="D172" s="49" t="n"/>
      <c r="E172" s="49" t="n"/>
      <c r="F172" s="49" t="n"/>
    </row>
    <row r="173" ht="15.75" customHeight="1" s="57">
      <c r="A173" s="49" t="n"/>
      <c r="B173" s="49" t="n"/>
      <c r="C173" s="49" t="n"/>
      <c r="D173" s="49" t="n"/>
      <c r="E173" s="49" t="n"/>
      <c r="F173" s="49" t="n"/>
    </row>
    <row r="174" ht="15.75" customHeight="1" s="57">
      <c r="A174" s="49" t="n"/>
      <c r="B174" s="49" t="n"/>
      <c r="C174" s="49" t="n"/>
      <c r="D174" s="49" t="n"/>
      <c r="E174" s="49" t="n"/>
      <c r="F174" s="49" t="n"/>
    </row>
    <row r="175" ht="15.75" customHeight="1" s="57">
      <c r="A175" s="49" t="n"/>
      <c r="B175" s="49" t="n"/>
      <c r="C175" s="49" t="n"/>
      <c r="D175" s="49" t="n"/>
      <c r="E175" s="49" t="n"/>
      <c r="F175" s="49" t="n"/>
    </row>
    <row r="176" ht="15.75" customHeight="1" s="57">
      <c r="A176" s="49" t="n"/>
      <c r="B176" s="49" t="n"/>
      <c r="C176" s="49" t="n"/>
      <c r="D176" s="49" t="n"/>
      <c r="E176" s="49" t="n"/>
      <c r="F176" s="49" t="n"/>
    </row>
    <row r="177" ht="15.75" customHeight="1" s="57">
      <c r="A177" s="49" t="n"/>
      <c r="B177" s="49" t="n"/>
      <c r="C177" s="49" t="n"/>
      <c r="D177" s="49" t="n"/>
      <c r="E177" s="49" t="n"/>
      <c r="F177" s="49" t="n"/>
    </row>
    <row r="178" ht="15.75" customHeight="1" s="57">
      <c r="A178" s="49" t="n"/>
      <c r="B178" s="49" t="n"/>
      <c r="C178" s="49" t="n"/>
      <c r="D178" s="49" t="n"/>
      <c r="E178" s="49" t="n"/>
      <c r="F178" s="49" t="n"/>
    </row>
    <row r="179" ht="15.75" customHeight="1" s="57">
      <c r="A179" s="49" t="n"/>
      <c r="B179" s="49" t="n"/>
      <c r="C179" s="49" t="n"/>
      <c r="D179" s="49" t="n"/>
      <c r="E179" s="49" t="n"/>
      <c r="F179" s="49" t="n"/>
    </row>
    <row r="180" ht="15.75" customHeight="1" s="57">
      <c r="A180" s="49" t="n"/>
      <c r="B180" s="49" t="n"/>
      <c r="C180" s="49" t="n"/>
      <c r="D180" s="49" t="n"/>
      <c r="E180" s="49" t="n"/>
      <c r="F180" s="49" t="n"/>
    </row>
    <row r="181" ht="15.75" customHeight="1" s="57">
      <c r="A181" s="49" t="n"/>
      <c r="B181" s="49" t="n"/>
      <c r="C181" s="49" t="n"/>
      <c r="D181" s="49" t="n"/>
      <c r="E181" s="49" t="n"/>
      <c r="F181" s="49" t="n"/>
    </row>
    <row r="182" ht="15.75" customHeight="1" s="57">
      <c r="A182" s="49" t="n"/>
      <c r="B182" s="49" t="n"/>
      <c r="C182" s="49" t="n"/>
      <c r="D182" s="49" t="n"/>
      <c r="E182" s="49" t="n"/>
      <c r="F182" s="49" t="n"/>
    </row>
    <row r="183" ht="15.75" customHeight="1" s="57">
      <c r="A183" s="49" t="n"/>
      <c r="B183" s="49" t="n"/>
      <c r="C183" s="49" t="n"/>
      <c r="D183" s="49" t="n"/>
      <c r="E183" s="49" t="n"/>
      <c r="F183" s="49" t="n"/>
    </row>
    <row r="184" ht="15.75" customHeight="1" s="57">
      <c r="A184" s="49" t="n"/>
      <c r="B184" s="49" t="n"/>
      <c r="C184" s="49" t="n"/>
      <c r="D184" s="49" t="n"/>
      <c r="E184" s="49" t="n"/>
      <c r="F184" s="49" t="n"/>
    </row>
    <row r="185" ht="15.75" customHeight="1" s="57">
      <c r="A185" s="49" t="n"/>
      <c r="B185" s="49" t="n"/>
      <c r="C185" s="49" t="n"/>
      <c r="D185" s="49" t="n"/>
      <c r="E185" s="49" t="n"/>
      <c r="F185" s="49" t="n"/>
    </row>
    <row r="186" ht="15.75" customHeight="1" s="57">
      <c r="A186" s="49" t="n"/>
      <c r="B186" s="49" t="n"/>
      <c r="C186" s="49" t="n"/>
      <c r="D186" s="49" t="n"/>
      <c r="E186" s="49" t="n"/>
      <c r="F186" s="49" t="n"/>
    </row>
    <row r="187" ht="15.75" customHeight="1" s="57">
      <c r="A187" s="49" t="n"/>
      <c r="B187" s="49" t="n"/>
      <c r="C187" s="49" t="n"/>
      <c r="D187" s="49" t="n"/>
      <c r="E187" s="49" t="n"/>
      <c r="F187" s="49" t="n"/>
    </row>
    <row r="188" ht="15.75" customHeight="1" s="57">
      <c r="A188" s="49" t="n"/>
      <c r="B188" s="49" t="n"/>
      <c r="C188" s="49" t="n"/>
      <c r="D188" s="49" t="n"/>
      <c r="E188" s="49" t="n"/>
      <c r="F188" s="49" t="n"/>
    </row>
    <row r="189" ht="15.75" customHeight="1" s="57">
      <c r="A189" s="49" t="n"/>
      <c r="B189" s="49" t="n"/>
      <c r="C189" s="49" t="n"/>
      <c r="D189" s="49" t="n"/>
      <c r="E189" s="49" t="n"/>
      <c r="F189" s="49" t="n"/>
    </row>
    <row r="190" ht="15.75" customHeight="1" s="57">
      <c r="A190" s="49" t="n"/>
      <c r="B190" s="49" t="n"/>
      <c r="C190" s="49" t="n"/>
      <c r="D190" s="49" t="n"/>
      <c r="E190" s="49" t="n"/>
      <c r="F190" s="49" t="n"/>
    </row>
    <row r="191" ht="15.75" customHeight="1" s="57">
      <c r="A191" s="49" t="n"/>
      <c r="B191" s="49" t="n"/>
      <c r="C191" s="49" t="n"/>
      <c r="D191" s="49" t="n"/>
      <c r="E191" s="49" t="n"/>
      <c r="F191" s="49" t="n"/>
    </row>
    <row r="192" ht="15.75" customHeight="1" s="57">
      <c r="A192" s="49" t="n"/>
      <c r="B192" s="49" t="n"/>
      <c r="C192" s="49" t="n"/>
      <c r="D192" s="49" t="n"/>
      <c r="E192" s="49" t="n"/>
      <c r="F192" s="49" t="n"/>
    </row>
    <row r="193" ht="15.75" customHeight="1" s="57">
      <c r="A193" s="49" t="n"/>
      <c r="B193" s="49" t="n"/>
      <c r="C193" s="49" t="n"/>
      <c r="D193" s="49" t="n"/>
      <c r="E193" s="49" t="n"/>
      <c r="F193" s="49" t="n"/>
    </row>
    <row r="194" ht="15.75" customHeight="1" s="57">
      <c r="A194" s="49" t="n"/>
      <c r="B194" s="49" t="n"/>
      <c r="C194" s="49" t="n"/>
      <c r="D194" s="49" t="n"/>
      <c r="E194" s="49" t="n"/>
      <c r="F194" s="49" t="n"/>
    </row>
    <row r="195" ht="15.75" customHeight="1" s="57">
      <c r="A195" s="49" t="n"/>
      <c r="B195" s="49" t="n"/>
      <c r="C195" s="49" t="n"/>
      <c r="D195" s="49" t="n"/>
      <c r="E195" s="49" t="n"/>
      <c r="F195" s="49" t="n"/>
    </row>
    <row r="196" ht="15.75" customHeight="1" s="57">
      <c r="A196" s="49" t="n"/>
      <c r="B196" s="49" t="n"/>
      <c r="C196" s="49" t="n"/>
      <c r="D196" s="49" t="n"/>
      <c r="E196" s="49" t="n"/>
      <c r="F196" s="49" t="n"/>
    </row>
    <row r="197" ht="15.75" customHeight="1" s="57">
      <c r="A197" s="49" t="n"/>
      <c r="B197" s="49" t="n"/>
      <c r="C197" s="49" t="n"/>
      <c r="D197" s="49" t="n"/>
      <c r="E197" s="49" t="n"/>
      <c r="F197" s="49" t="n"/>
    </row>
    <row r="198" ht="15.75" customHeight="1" s="57">
      <c r="A198" s="49" t="n"/>
      <c r="B198" s="49" t="n"/>
      <c r="C198" s="49" t="n"/>
      <c r="D198" s="49" t="n"/>
      <c r="E198" s="49" t="n"/>
      <c r="F198" s="49" t="n"/>
    </row>
    <row r="199" ht="15.75" customHeight="1" s="57">
      <c r="A199" s="49" t="n"/>
      <c r="B199" s="49" t="n"/>
      <c r="C199" s="49" t="n"/>
      <c r="D199" s="49" t="n"/>
      <c r="E199" s="49" t="n"/>
      <c r="F199" s="49" t="n"/>
    </row>
    <row r="200" ht="15.75" customHeight="1" s="57">
      <c r="A200" s="49" t="n"/>
      <c r="B200" s="49" t="n"/>
      <c r="C200" s="49" t="n"/>
      <c r="D200" s="49" t="n"/>
      <c r="E200" s="49" t="n"/>
      <c r="F200" s="49" t="n"/>
    </row>
    <row r="201" ht="15.75" customHeight="1" s="57">
      <c r="A201" s="49" t="n"/>
      <c r="B201" s="49" t="n"/>
      <c r="C201" s="49" t="n"/>
      <c r="D201" s="49" t="n"/>
      <c r="E201" s="49" t="n"/>
      <c r="F201" s="49" t="n"/>
    </row>
    <row r="202" ht="15.75" customHeight="1" s="57">
      <c r="A202" s="49" t="n"/>
      <c r="B202" s="49" t="n"/>
      <c r="C202" s="49" t="n"/>
      <c r="D202" s="49" t="n"/>
      <c r="E202" s="49" t="n"/>
      <c r="F202" s="49" t="n"/>
    </row>
    <row r="203" ht="15.75" customHeight="1" s="57">
      <c r="A203" s="49" t="n"/>
      <c r="B203" s="49" t="n"/>
      <c r="C203" s="49" t="n"/>
      <c r="D203" s="49" t="n"/>
      <c r="E203" s="49" t="n"/>
      <c r="F203" s="49" t="n"/>
    </row>
    <row r="204" ht="15.75" customHeight="1" s="57">
      <c r="A204" s="49" t="n"/>
      <c r="B204" s="49" t="n"/>
      <c r="C204" s="49" t="n"/>
      <c r="D204" s="49" t="n"/>
      <c r="E204" s="49" t="n"/>
      <c r="F204" s="49" t="n"/>
    </row>
    <row r="205" ht="15.75" customHeight="1" s="57">
      <c r="A205" s="49" t="n"/>
      <c r="B205" s="49" t="n"/>
      <c r="C205" s="49" t="n"/>
      <c r="D205" s="49" t="n"/>
      <c r="E205" s="49" t="n"/>
      <c r="F205" s="49" t="n"/>
    </row>
    <row r="206" ht="15.75" customHeight="1" s="57">
      <c r="A206" s="49" t="n"/>
      <c r="B206" s="49" t="n"/>
      <c r="C206" s="49" t="n"/>
      <c r="D206" s="49" t="n"/>
      <c r="E206" s="49" t="n"/>
      <c r="F206" s="49" t="n"/>
    </row>
    <row r="207" ht="15.75" customHeight="1" s="57">
      <c r="A207" s="49" t="n"/>
      <c r="B207" s="49" t="n"/>
      <c r="C207" s="49" t="n"/>
      <c r="D207" s="49" t="n"/>
      <c r="E207" s="49" t="n"/>
      <c r="F207" s="49" t="n"/>
    </row>
    <row r="208" ht="15.75" customHeight="1" s="57">
      <c r="A208" s="49" t="n"/>
      <c r="B208" s="49" t="n"/>
      <c r="C208" s="49" t="n"/>
      <c r="D208" s="49" t="n"/>
      <c r="E208" s="49" t="n"/>
      <c r="F208" s="49" t="n"/>
    </row>
    <row r="209" ht="15.75" customHeight="1" s="57">
      <c r="A209" s="49" t="n"/>
      <c r="B209" s="49" t="n"/>
      <c r="C209" s="49" t="n"/>
      <c r="D209" s="49" t="n"/>
      <c r="E209" s="49" t="n"/>
      <c r="F209" s="49" t="n"/>
    </row>
    <row r="210" ht="15.75" customHeight="1" s="57">
      <c r="A210" s="49" t="n"/>
      <c r="B210" s="49" t="n"/>
      <c r="C210" s="49" t="n"/>
      <c r="D210" s="49" t="n"/>
      <c r="E210" s="49" t="n"/>
      <c r="F210" s="49" t="n"/>
    </row>
    <row r="211" ht="15.75" customHeight="1" s="57">
      <c r="A211" s="49" t="n"/>
      <c r="B211" s="49" t="n"/>
      <c r="C211" s="49" t="n"/>
      <c r="D211" s="49" t="n"/>
      <c r="E211" s="49" t="n"/>
      <c r="F211" s="49" t="n"/>
    </row>
    <row r="212" ht="15.75" customHeight="1" s="57">
      <c r="A212" s="49" t="n"/>
      <c r="B212" s="49" t="n"/>
      <c r="C212" s="49" t="n"/>
      <c r="D212" s="49" t="n"/>
      <c r="E212" s="49" t="n"/>
      <c r="F212" s="49" t="n"/>
    </row>
    <row r="213" ht="15.75" customHeight="1" s="57">
      <c r="A213" s="49" t="n"/>
      <c r="B213" s="49" t="n"/>
      <c r="C213" s="49" t="n"/>
      <c r="D213" s="49" t="n"/>
      <c r="E213" s="49" t="n"/>
      <c r="F213" s="49" t="n"/>
    </row>
    <row r="214" ht="15.75" customHeight="1" s="57">
      <c r="A214" s="49" t="n"/>
      <c r="B214" s="49" t="n"/>
      <c r="C214" s="49" t="n"/>
      <c r="D214" s="49" t="n"/>
      <c r="E214" s="49" t="n"/>
      <c r="F214" s="49" t="n"/>
    </row>
    <row r="215" ht="15.75" customHeight="1" s="57">
      <c r="A215" s="49" t="n"/>
      <c r="B215" s="49" t="n"/>
      <c r="C215" s="49" t="n"/>
      <c r="D215" s="49" t="n"/>
      <c r="E215" s="49" t="n"/>
      <c r="F215" s="49" t="n"/>
    </row>
    <row r="216" ht="15.75" customHeight="1" s="57">
      <c r="A216" s="49" t="n"/>
      <c r="B216" s="49" t="n"/>
      <c r="C216" s="49" t="n"/>
      <c r="D216" s="49" t="n"/>
      <c r="E216" s="49" t="n"/>
      <c r="F216" s="49" t="n"/>
    </row>
    <row r="217" ht="15.75" customHeight="1" s="57">
      <c r="A217" s="49" t="n"/>
      <c r="B217" s="49" t="n"/>
      <c r="C217" s="49" t="n"/>
      <c r="D217" s="49" t="n"/>
      <c r="E217" s="49" t="n"/>
      <c r="F217" s="49" t="n"/>
    </row>
    <row r="218" ht="15.75" customHeight="1" s="57">
      <c r="A218" s="49" t="n"/>
      <c r="B218" s="49" t="n"/>
      <c r="C218" s="49" t="n"/>
      <c r="D218" s="49" t="n"/>
      <c r="E218" s="49" t="n"/>
      <c r="F218" s="49" t="n"/>
    </row>
    <row r="219" ht="15.75" customHeight="1" s="57">
      <c r="A219" s="49" t="n"/>
      <c r="B219" s="49" t="n"/>
      <c r="C219" s="49" t="n"/>
      <c r="D219" s="49" t="n"/>
      <c r="E219" s="49" t="n"/>
      <c r="F219" s="49" t="n"/>
    </row>
    <row r="220" ht="15.75" customHeight="1" s="57">
      <c r="A220" s="49" t="n"/>
      <c r="B220" s="49" t="n"/>
      <c r="C220" s="49" t="n"/>
      <c r="D220" s="49" t="n"/>
      <c r="E220" s="49" t="n"/>
      <c r="F220" s="49" t="n"/>
    </row>
    <row r="221" ht="15.75" customHeight="1" s="57">
      <c r="A221" s="49" t="n"/>
      <c r="B221" s="49" t="n"/>
      <c r="C221" s="49" t="n"/>
      <c r="D221" s="49" t="n"/>
      <c r="E221" s="49" t="n"/>
      <c r="F221" s="49" t="n"/>
    </row>
    <row r="222" ht="15.75" customHeight="1" s="57">
      <c r="A222" s="49" t="n"/>
      <c r="B222" s="49" t="n"/>
      <c r="C222" s="49" t="n"/>
      <c r="D222" s="49" t="n"/>
      <c r="E222" s="49" t="n"/>
      <c r="F222" s="49" t="n"/>
    </row>
    <row r="223" ht="15.75" customHeight="1" s="57">
      <c r="A223" s="49" t="n"/>
      <c r="B223" s="49" t="n"/>
      <c r="C223" s="49" t="n"/>
      <c r="D223" s="49" t="n"/>
      <c r="E223" s="49" t="n"/>
      <c r="F223" s="49" t="n"/>
    </row>
    <row r="224" ht="15.75" customHeight="1" s="57">
      <c r="A224" s="49" t="n"/>
      <c r="B224" s="49" t="n"/>
      <c r="C224" s="49" t="n"/>
      <c r="D224" s="49" t="n"/>
      <c r="E224" s="49" t="n"/>
      <c r="F224" s="49" t="n"/>
    </row>
    <row r="225" ht="15.75" customHeight="1" s="57">
      <c r="A225" s="49" t="n"/>
      <c r="B225" s="49" t="n"/>
      <c r="C225" s="49" t="n"/>
      <c r="D225" s="49" t="n"/>
      <c r="E225" s="49" t="n"/>
      <c r="F225" s="49" t="n"/>
    </row>
    <row r="226" ht="15.75" customHeight="1" s="57">
      <c r="A226" s="49" t="n"/>
      <c r="B226" s="49" t="n"/>
      <c r="C226" s="49" t="n"/>
      <c r="D226" s="49" t="n"/>
      <c r="E226" s="49" t="n"/>
      <c r="F226" s="49" t="n"/>
    </row>
    <row r="227" ht="15.75" customHeight="1" s="57">
      <c r="A227" s="49" t="n"/>
      <c r="B227" s="49" t="n"/>
      <c r="C227" s="49" t="n"/>
      <c r="D227" s="49" t="n"/>
      <c r="E227" s="49" t="n"/>
      <c r="F227" s="49" t="n"/>
    </row>
    <row r="228" ht="15.75" customHeight="1" s="57">
      <c r="A228" s="49" t="n"/>
      <c r="B228" s="49" t="n"/>
      <c r="C228" s="49" t="n"/>
      <c r="D228" s="49" t="n"/>
      <c r="E228" s="49" t="n"/>
      <c r="F228" s="49" t="n"/>
    </row>
    <row r="229" ht="15.75" customHeight="1" s="57">
      <c r="A229" s="49" t="n"/>
      <c r="B229" s="49" t="n"/>
      <c r="C229" s="49" t="n"/>
      <c r="D229" s="49" t="n"/>
      <c r="E229" s="49" t="n"/>
      <c r="F229" s="49" t="n"/>
    </row>
    <row r="230" ht="15.75" customHeight="1" s="57">
      <c r="A230" s="49" t="n"/>
      <c r="B230" s="49" t="n"/>
      <c r="C230" s="49" t="n"/>
      <c r="D230" s="49" t="n"/>
      <c r="E230" s="49" t="n"/>
      <c r="F230" s="49" t="n"/>
    </row>
    <row r="231" ht="15.75" customHeight="1" s="57">
      <c r="A231" s="49" t="n"/>
      <c r="B231" s="49" t="n"/>
      <c r="C231" s="49" t="n"/>
      <c r="D231" s="49" t="n"/>
      <c r="E231" s="49" t="n"/>
      <c r="F231" s="49" t="n"/>
    </row>
    <row r="232" ht="15.75" customHeight="1" s="57">
      <c r="A232" s="49" t="n"/>
      <c r="B232" s="49" t="n"/>
      <c r="C232" s="49" t="n"/>
      <c r="D232" s="49" t="n"/>
      <c r="E232" s="49" t="n"/>
      <c r="F232" s="49" t="n"/>
    </row>
    <row r="233" ht="15.75" customHeight="1" s="57">
      <c r="A233" s="49" t="n"/>
      <c r="B233" s="49" t="n"/>
      <c r="C233" s="49" t="n"/>
      <c r="D233" s="49" t="n"/>
      <c r="E233" s="49" t="n"/>
      <c r="F233" s="49" t="n"/>
    </row>
    <row r="234" ht="15.75" customHeight="1" s="57">
      <c r="A234" s="49" t="n"/>
      <c r="B234" s="49" t="n"/>
      <c r="C234" s="49" t="n"/>
      <c r="D234" s="49" t="n"/>
      <c r="E234" s="49" t="n"/>
      <c r="F234" s="49" t="n"/>
    </row>
    <row r="235" ht="15.75" customHeight="1" s="57">
      <c r="A235" s="49" t="n"/>
      <c r="B235" s="49" t="n"/>
      <c r="C235" s="49" t="n"/>
      <c r="D235" s="49" t="n"/>
      <c r="E235" s="49" t="n"/>
      <c r="F235" s="49" t="n"/>
    </row>
    <row r="236" ht="15.75" customHeight="1" s="57">
      <c r="A236" s="49" t="n"/>
      <c r="B236" s="49" t="n"/>
      <c r="C236" s="49" t="n"/>
      <c r="D236" s="49" t="n"/>
      <c r="E236" s="49" t="n"/>
      <c r="F236" s="49" t="n"/>
    </row>
    <row r="237" ht="15.75" customHeight="1" s="57">
      <c r="A237" s="49" t="n"/>
      <c r="B237" s="49" t="n"/>
      <c r="C237" s="49" t="n"/>
      <c r="D237" s="49" t="n"/>
      <c r="E237" s="49" t="n"/>
      <c r="F237" s="49" t="n"/>
    </row>
    <row r="238" ht="15.75" customHeight="1" s="57">
      <c r="A238" s="49" t="n"/>
      <c r="B238" s="49" t="n"/>
      <c r="C238" s="49" t="n"/>
      <c r="D238" s="49" t="n"/>
      <c r="E238" s="49" t="n"/>
      <c r="F238" s="49" t="n"/>
    </row>
    <row r="239" ht="15.75" customHeight="1" s="57">
      <c r="A239" s="49" t="n"/>
      <c r="B239" s="49" t="n"/>
      <c r="C239" s="49" t="n"/>
      <c r="D239" s="49" t="n"/>
      <c r="E239" s="49" t="n"/>
      <c r="F239" s="49" t="n"/>
    </row>
    <row r="240" ht="15.75" customHeight="1" s="57">
      <c r="A240" s="49" t="n"/>
      <c r="B240" s="49" t="n"/>
      <c r="C240" s="49" t="n"/>
      <c r="D240" s="49" t="n"/>
      <c r="E240" s="49" t="n"/>
      <c r="F240" s="49" t="n"/>
    </row>
    <row r="241" ht="15.75" customHeight="1" s="57">
      <c r="A241" s="49" t="n"/>
      <c r="B241" s="49" t="n"/>
      <c r="C241" s="49" t="n"/>
      <c r="D241" s="49" t="n"/>
      <c r="E241" s="49" t="n"/>
      <c r="F241" s="49" t="n"/>
    </row>
    <row r="242" ht="15.75" customHeight="1" s="57">
      <c r="A242" s="49" t="n"/>
      <c r="B242" s="49" t="n"/>
      <c r="C242" s="49" t="n"/>
      <c r="D242" s="49" t="n"/>
      <c r="E242" s="49" t="n"/>
      <c r="F242" s="49" t="n"/>
    </row>
    <row r="243" ht="15.75" customHeight="1" s="57">
      <c r="A243" s="49" t="n"/>
      <c r="B243" s="49" t="n"/>
      <c r="C243" s="49" t="n"/>
      <c r="D243" s="49" t="n"/>
      <c r="E243" s="49" t="n"/>
      <c r="F243" s="49" t="n"/>
    </row>
    <row r="244" ht="15.75" customHeight="1" s="57">
      <c r="A244" s="49" t="n"/>
      <c r="B244" s="49" t="n"/>
      <c r="C244" s="49" t="n"/>
      <c r="D244" s="49" t="n"/>
      <c r="E244" s="49" t="n"/>
      <c r="F244" s="49" t="n"/>
    </row>
    <row r="245" ht="15.75" customHeight="1" s="57">
      <c r="A245" s="49" t="n"/>
      <c r="B245" s="49" t="n"/>
      <c r="C245" s="49" t="n"/>
      <c r="D245" s="49" t="n"/>
      <c r="E245" s="49" t="n"/>
      <c r="F245" s="49" t="n"/>
    </row>
    <row r="246" ht="15.75" customHeight="1" s="57">
      <c r="A246" s="49" t="n"/>
      <c r="B246" s="49" t="n"/>
      <c r="C246" s="49" t="n"/>
      <c r="D246" s="49" t="n"/>
      <c r="E246" s="49" t="n"/>
      <c r="F246" s="49" t="n"/>
    </row>
    <row r="247" ht="15.75" customHeight="1" s="57">
      <c r="A247" s="49" t="n"/>
      <c r="B247" s="49" t="n"/>
      <c r="C247" s="49" t="n"/>
      <c r="D247" s="49" t="n"/>
      <c r="E247" s="49" t="n"/>
      <c r="F247" s="49" t="n"/>
    </row>
    <row r="248" ht="15.75" customHeight="1" s="57">
      <c r="A248" s="49" t="n"/>
      <c r="B248" s="49" t="n"/>
      <c r="C248" s="49" t="n"/>
      <c r="D248" s="49" t="n"/>
      <c r="E248" s="49" t="n"/>
      <c r="F248" s="49" t="n"/>
    </row>
    <row r="249" ht="15.75" customHeight="1" s="57">
      <c r="A249" s="49" t="n"/>
      <c r="B249" s="49" t="n"/>
      <c r="C249" s="49" t="n"/>
      <c r="D249" s="49" t="n"/>
      <c r="E249" s="49" t="n"/>
      <c r="F249" s="49" t="n"/>
    </row>
    <row r="250" ht="15.75" customHeight="1" s="57">
      <c r="A250" s="49" t="n"/>
      <c r="B250" s="49" t="n"/>
      <c r="C250" s="49" t="n"/>
      <c r="D250" s="49" t="n"/>
      <c r="E250" s="49" t="n"/>
      <c r="F250" s="49" t="n"/>
    </row>
    <row r="251" ht="15.75" customHeight="1" s="57">
      <c r="A251" s="49" t="n"/>
      <c r="B251" s="49" t="n"/>
      <c r="C251" s="49" t="n"/>
      <c r="D251" s="49" t="n"/>
      <c r="E251" s="49" t="n"/>
      <c r="F251" s="49" t="n"/>
    </row>
    <row r="252" ht="15.75" customHeight="1" s="57">
      <c r="A252" s="49" t="n"/>
      <c r="B252" s="49" t="n"/>
      <c r="C252" s="49" t="n"/>
      <c r="D252" s="49" t="n"/>
      <c r="E252" s="49" t="n"/>
      <c r="F252" s="49" t="n"/>
    </row>
    <row r="253" ht="15.75" customHeight="1" s="57">
      <c r="A253" s="49" t="n"/>
      <c r="B253" s="49" t="n"/>
      <c r="C253" s="49" t="n"/>
      <c r="D253" s="49" t="n"/>
      <c r="E253" s="49" t="n"/>
      <c r="F253" s="49" t="n"/>
    </row>
    <row r="254" ht="15.75" customHeight="1" s="57">
      <c r="A254" s="49" t="n"/>
      <c r="B254" s="49" t="n"/>
      <c r="C254" s="49" t="n"/>
      <c r="D254" s="49" t="n"/>
      <c r="E254" s="49" t="n"/>
      <c r="F254" s="49" t="n"/>
    </row>
    <row r="255" ht="15.75" customHeight="1" s="57">
      <c r="A255" s="49" t="n"/>
      <c r="B255" s="49" t="n"/>
      <c r="C255" s="49" t="n"/>
      <c r="D255" s="49" t="n"/>
      <c r="E255" s="49" t="n"/>
      <c r="F255" s="49" t="n"/>
    </row>
    <row r="256" ht="15.75" customHeight="1" s="57">
      <c r="A256" s="49" t="n"/>
      <c r="B256" s="49" t="n"/>
      <c r="C256" s="49" t="n"/>
      <c r="D256" s="49" t="n"/>
      <c r="E256" s="49" t="n"/>
      <c r="F256" s="49" t="n"/>
    </row>
    <row r="257" ht="15.75" customHeight="1" s="57">
      <c r="A257" s="49" t="n"/>
      <c r="B257" s="49" t="n"/>
      <c r="C257" s="49" t="n"/>
      <c r="D257" s="49" t="n"/>
      <c r="E257" s="49" t="n"/>
      <c r="F257" s="49" t="n"/>
    </row>
    <row r="258" ht="15.75" customHeight="1" s="57">
      <c r="A258" s="49" t="n"/>
      <c r="B258" s="49" t="n"/>
      <c r="C258" s="49" t="n"/>
      <c r="D258" s="49" t="n"/>
      <c r="E258" s="49" t="n"/>
      <c r="F258" s="49" t="n"/>
    </row>
    <row r="259" ht="15.75" customHeight="1" s="57">
      <c r="A259" s="49" t="n"/>
      <c r="B259" s="49" t="n"/>
      <c r="C259" s="49" t="n"/>
      <c r="D259" s="49" t="n"/>
      <c r="E259" s="49" t="n"/>
      <c r="F259" s="49" t="n"/>
    </row>
    <row r="260" ht="15.75" customHeight="1" s="57">
      <c r="A260" s="49" t="n"/>
      <c r="B260" s="49" t="n"/>
      <c r="C260" s="49" t="n"/>
      <c r="D260" s="49" t="n"/>
      <c r="E260" s="49" t="n"/>
      <c r="F260" s="49" t="n"/>
    </row>
    <row r="261" ht="15.75" customHeight="1" s="57">
      <c r="A261" s="49" t="n"/>
      <c r="B261" s="49" t="n"/>
      <c r="C261" s="49" t="n"/>
      <c r="D261" s="49" t="n"/>
      <c r="E261" s="49" t="n"/>
      <c r="F261" s="49" t="n"/>
    </row>
    <row r="262" ht="15.75" customHeight="1" s="57">
      <c r="A262" s="49" t="n"/>
      <c r="B262" s="49" t="n"/>
      <c r="C262" s="49" t="n"/>
      <c r="D262" s="49" t="n"/>
      <c r="E262" s="49" t="n"/>
      <c r="F262" s="49" t="n"/>
    </row>
    <row r="263" ht="15.75" customHeight="1" s="57">
      <c r="A263" s="49" t="n"/>
      <c r="B263" s="49" t="n"/>
      <c r="C263" s="49" t="n"/>
      <c r="D263" s="49" t="n"/>
      <c r="E263" s="49" t="n"/>
      <c r="F263" s="49" t="n"/>
    </row>
    <row r="264" ht="15.75" customHeight="1" s="57">
      <c r="A264" s="49" t="n"/>
      <c r="B264" s="49" t="n"/>
      <c r="C264" s="49" t="n"/>
      <c r="D264" s="49" t="n"/>
      <c r="E264" s="49" t="n"/>
      <c r="F264" s="49" t="n"/>
    </row>
    <row r="265" ht="15.75" customHeight="1" s="57">
      <c r="A265" s="49" t="n"/>
      <c r="B265" s="49" t="n"/>
      <c r="C265" s="49" t="n"/>
      <c r="D265" s="49" t="n"/>
      <c r="E265" s="49" t="n"/>
      <c r="F265" s="49" t="n"/>
    </row>
    <row r="266" ht="15.75" customHeight="1" s="57">
      <c r="A266" s="49" t="n"/>
      <c r="B266" s="49" t="n"/>
      <c r="C266" s="49" t="n"/>
      <c r="D266" s="49" t="n"/>
      <c r="E266" s="49" t="n"/>
      <c r="F266" s="49" t="n"/>
    </row>
    <row r="267" ht="15.75" customHeight="1" s="57">
      <c r="A267" s="49" t="n"/>
      <c r="B267" s="49" t="n"/>
      <c r="C267" s="49" t="n"/>
      <c r="D267" s="49" t="n"/>
      <c r="E267" s="49" t="n"/>
      <c r="F267" s="49" t="n"/>
    </row>
    <row r="268" ht="15.75" customHeight="1" s="57">
      <c r="A268" s="49" t="n"/>
      <c r="B268" s="49" t="n"/>
      <c r="C268" s="49" t="n"/>
      <c r="D268" s="49" t="n"/>
      <c r="E268" s="49" t="n"/>
      <c r="F268" s="49" t="n"/>
    </row>
    <row r="269" ht="15.75" customHeight="1" s="57">
      <c r="A269" s="49" t="n"/>
      <c r="B269" s="49" t="n"/>
      <c r="C269" s="49" t="n"/>
      <c r="D269" s="49" t="n"/>
      <c r="E269" s="49" t="n"/>
      <c r="F269" s="49" t="n"/>
    </row>
    <row r="270" ht="15.75" customHeight="1" s="57">
      <c r="A270" s="49" t="n"/>
      <c r="B270" s="49" t="n"/>
      <c r="C270" s="49" t="n"/>
      <c r="D270" s="49" t="n"/>
      <c r="E270" s="49" t="n"/>
      <c r="F270" s="49" t="n"/>
    </row>
    <row r="271" ht="15.75" customHeight="1" s="57">
      <c r="A271" s="49" t="n"/>
      <c r="B271" s="49" t="n"/>
      <c r="C271" s="49" t="n"/>
      <c r="D271" s="49" t="n"/>
      <c r="E271" s="49" t="n"/>
      <c r="F271" s="49" t="n"/>
    </row>
    <row r="272" ht="15.75" customHeight="1" s="57">
      <c r="A272" s="49" t="n"/>
      <c r="B272" s="49" t="n"/>
      <c r="C272" s="49" t="n"/>
      <c r="D272" s="49" t="n"/>
      <c r="E272" s="49" t="n"/>
      <c r="F272" s="49" t="n"/>
    </row>
    <row r="273" ht="15.75" customHeight="1" s="57">
      <c r="A273" s="49" t="n"/>
      <c r="B273" s="49" t="n"/>
      <c r="C273" s="49" t="n"/>
      <c r="D273" s="49" t="n"/>
      <c r="E273" s="49" t="n"/>
      <c r="F273" s="49" t="n"/>
    </row>
    <row r="274" ht="15.75" customHeight="1" s="57">
      <c r="A274" s="49" t="n"/>
      <c r="B274" s="49" t="n"/>
      <c r="C274" s="49" t="n"/>
      <c r="D274" s="49" t="n"/>
      <c r="E274" s="49" t="n"/>
      <c r="F274" s="49" t="n"/>
    </row>
    <row r="275" ht="15.75" customHeight="1" s="57">
      <c r="A275" s="49" t="n"/>
      <c r="B275" s="49" t="n"/>
      <c r="C275" s="49" t="n"/>
      <c r="D275" s="49" t="n"/>
      <c r="E275" s="49" t="n"/>
      <c r="F275" s="49" t="n"/>
    </row>
    <row r="276" ht="15.75" customHeight="1" s="57">
      <c r="A276" s="49" t="n"/>
      <c r="B276" s="49" t="n"/>
      <c r="C276" s="49" t="n"/>
      <c r="D276" s="49" t="n"/>
      <c r="E276" s="49" t="n"/>
      <c r="F276" s="49" t="n"/>
    </row>
    <row r="277" ht="15.75" customHeight="1" s="57">
      <c r="A277" s="49" t="n"/>
      <c r="B277" s="49" t="n"/>
      <c r="C277" s="49" t="n"/>
      <c r="D277" s="49" t="n"/>
      <c r="E277" s="49" t="n"/>
      <c r="F277" s="49" t="n"/>
    </row>
    <row r="278" ht="15.75" customHeight="1" s="57">
      <c r="A278" s="49" t="n"/>
      <c r="B278" s="49" t="n"/>
      <c r="C278" s="49" t="n"/>
      <c r="D278" s="49" t="n"/>
      <c r="E278" s="49" t="n"/>
      <c r="F278" s="49" t="n"/>
    </row>
    <row r="279" ht="15.75" customHeight="1" s="57">
      <c r="A279" s="49" t="n"/>
      <c r="B279" s="49" t="n"/>
      <c r="C279" s="49" t="n"/>
      <c r="D279" s="49" t="n"/>
      <c r="E279" s="49" t="n"/>
      <c r="F279" s="49" t="n"/>
    </row>
    <row r="280" ht="15.75" customHeight="1" s="57">
      <c r="A280" s="49" t="n"/>
      <c r="B280" s="49" t="n"/>
      <c r="C280" s="49" t="n"/>
      <c r="D280" s="49" t="n"/>
      <c r="E280" s="49" t="n"/>
      <c r="F280" s="49" t="n"/>
    </row>
    <row r="281" ht="15.75" customHeight="1" s="57">
      <c r="A281" s="49" t="n"/>
      <c r="B281" s="49" t="n"/>
      <c r="C281" s="49" t="n"/>
      <c r="D281" s="49" t="n"/>
      <c r="E281" s="49" t="n"/>
      <c r="F281" s="49" t="n"/>
    </row>
    <row r="282" ht="15.75" customHeight="1" s="57">
      <c r="A282" s="49" t="n"/>
      <c r="B282" s="49" t="n"/>
      <c r="C282" s="49" t="n"/>
      <c r="D282" s="49" t="n"/>
      <c r="E282" s="49" t="n"/>
      <c r="F282" s="49" t="n"/>
    </row>
    <row r="283" ht="15.75" customHeight="1" s="57">
      <c r="A283" s="49" t="n"/>
      <c r="B283" s="49" t="n"/>
      <c r="C283" s="49" t="n"/>
      <c r="D283" s="49" t="n"/>
      <c r="E283" s="49" t="n"/>
      <c r="F283" s="49" t="n"/>
    </row>
    <row r="284" ht="15.75" customHeight="1" s="57">
      <c r="A284" s="49" t="n"/>
      <c r="B284" s="49" t="n"/>
      <c r="C284" s="49" t="n"/>
      <c r="D284" s="49" t="n"/>
      <c r="E284" s="49" t="n"/>
      <c r="F284" s="49" t="n"/>
    </row>
    <row r="285" ht="15.75" customHeight="1" s="57">
      <c r="A285" s="49" t="n"/>
      <c r="B285" s="49" t="n"/>
      <c r="C285" s="49" t="n"/>
      <c r="D285" s="49" t="n"/>
      <c r="E285" s="49" t="n"/>
      <c r="F285" s="49" t="n"/>
    </row>
    <row r="286" ht="15.75" customHeight="1" s="57">
      <c r="A286" s="49" t="n"/>
      <c r="B286" s="49" t="n"/>
      <c r="C286" s="49" t="n"/>
      <c r="D286" s="49" t="n"/>
      <c r="E286" s="49" t="n"/>
      <c r="F286" s="49" t="n"/>
    </row>
    <row r="287" ht="15.75" customHeight="1" s="57">
      <c r="A287" s="49" t="n"/>
      <c r="B287" s="49" t="n"/>
      <c r="C287" s="49" t="n"/>
      <c r="D287" s="49" t="n"/>
      <c r="E287" s="49" t="n"/>
      <c r="F287" s="49" t="n"/>
    </row>
    <row r="288" ht="15.75" customHeight="1" s="57">
      <c r="A288" s="49" t="n"/>
      <c r="B288" s="49" t="n"/>
      <c r="C288" s="49" t="n"/>
      <c r="D288" s="49" t="n"/>
      <c r="E288" s="49" t="n"/>
      <c r="F288" s="49" t="n"/>
    </row>
    <row r="289" ht="15.75" customHeight="1" s="57">
      <c r="A289" s="49" t="n"/>
      <c r="B289" s="49" t="n"/>
      <c r="C289" s="49" t="n"/>
      <c r="D289" s="49" t="n"/>
      <c r="E289" s="49" t="n"/>
      <c r="F289" s="49" t="n"/>
    </row>
    <row r="290" ht="15.75" customHeight="1" s="57">
      <c r="A290" s="49" t="n"/>
      <c r="B290" s="49" t="n"/>
      <c r="C290" s="49" t="n"/>
      <c r="D290" s="49" t="n"/>
      <c r="E290" s="49" t="n"/>
      <c r="F290" s="49" t="n"/>
    </row>
    <row r="291" ht="15.75" customHeight="1" s="57">
      <c r="A291" s="49" t="n"/>
      <c r="B291" s="49" t="n"/>
      <c r="C291" s="49" t="n"/>
      <c r="D291" s="49" t="n"/>
      <c r="E291" s="49" t="n"/>
      <c r="F291" s="49" t="n"/>
    </row>
    <row r="292" ht="15.75" customHeight="1" s="57">
      <c r="A292" s="49" t="n"/>
      <c r="B292" s="49" t="n"/>
      <c r="C292" s="49" t="n"/>
      <c r="D292" s="49" t="n"/>
      <c r="E292" s="49" t="n"/>
      <c r="F292" s="49" t="n"/>
    </row>
    <row r="293" ht="15.75" customHeight="1" s="57">
      <c r="A293" s="49" t="n"/>
      <c r="B293" s="49" t="n"/>
      <c r="C293" s="49" t="n"/>
      <c r="D293" s="49" t="n"/>
      <c r="E293" s="49" t="n"/>
      <c r="F293" s="49" t="n"/>
    </row>
    <row r="294" ht="15.75" customHeight="1" s="57">
      <c r="A294" s="49" t="n"/>
      <c r="B294" s="49" t="n"/>
      <c r="C294" s="49" t="n"/>
      <c r="D294" s="49" t="n"/>
      <c r="E294" s="49" t="n"/>
      <c r="F294" s="49" t="n"/>
    </row>
    <row r="295" ht="15.75" customHeight="1" s="57">
      <c r="A295" s="49" t="n"/>
      <c r="B295" s="49" t="n"/>
      <c r="C295" s="49" t="n"/>
      <c r="D295" s="49" t="n"/>
      <c r="E295" s="49" t="n"/>
      <c r="F295" s="49" t="n"/>
    </row>
    <row r="296" ht="15.75" customHeight="1" s="57">
      <c r="A296" s="49" t="n"/>
      <c r="B296" s="49" t="n"/>
      <c r="C296" s="49" t="n"/>
      <c r="D296" s="49" t="n"/>
      <c r="E296" s="49" t="n"/>
      <c r="F296" s="49" t="n"/>
    </row>
    <row r="297" ht="15.75" customHeight="1" s="57">
      <c r="A297" s="49" t="n"/>
      <c r="B297" s="49" t="n"/>
      <c r="C297" s="49" t="n"/>
      <c r="D297" s="49" t="n"/>
      <c r="E297" s="49" t="n"/>
      <c r="F297" s="49" t="n"/>
    </row>
    <row r="298" ht="15.75" customHeight="1" s="57">
      <c r="A298" s="49" t="n"/>
      <c r="B298" s="49" t="n"/>
      <c r="C298" s="49" t="n"/>
      <c r="D298" s="49" t="n"/>
      <c r="E298" s="49" t="n"/>
      <c r="F298" s="49" t="n"/>
    </row>
    <row r="299" ht="15.75" customHeight="1" s="57">
      <c r="A299" s="49" t="n"/>
      <c r="B299" s="49" t="n"/>
      <c r="C299" s="49" t="n"/>
      <c r="D299" s="49" t="n"/>
      <c r="E299" s="49" t="n"/>
      <c r="F299" s="49" t="n"/>
    </row>
    <row r="300" ht="15.75" customHeight="1" s="57">
      <c r="A300" s="49" t="n"/>
      <c r="B300" s="49" t="n"/>
      <c r="C300" s="49" t="n"/>
      <c r="D300" s="49" t="n"/>
      <c r="E300" s="49" t="n"/>
      <c r="F300" s="49" t="n"/>
    </row>
    <row r="301" ht="15.75" customHeight="1" s="57">
      <c r="A301" s="49" t="n"/>
      <c r="B301" s="49" t="n"/>
      <c r="C301" s="49" t="n"/>
      <c r="D301" s="49" t="n"/>
      <c r="E301" s="49" t="n"/>
      <c r="F301" s="49" t="n"/>
    </row>
    <row r="302" ht="15.75" customHeight="1" s="57">
      <c r="A302" s="49" t="n"/>
      <c r="B302" s="49" t="n"/>
      <c r="C302" s="49" t="n"/>
      <c r="D302" s="49" t="n"/>
      <c r="E302" s="49" t="n"/>
      <c r="F302" s="49" t="n"/>
    </row>
    <row r="303" ht="15.75" customHeight="1" s="57">
      <c r="A303" s="49" t="n"/>
      <c r="B303" s="49" t="n"/>
      <c r="C303" s="49" t="n"/>
      <c r="D303" s="49" t="n"/>
      <c r="E303" s="49" t="n"/>
      <c r="F303" s="49" t="n"/>
    </row>
    <row r="304" ht="15.75" customHeight="1" s="57">
      <c r="A304" s="49" t="n"/>
      <c r="B304" s="49" t="n"/>
      <c r="C304" s="49" t="n"/>
      <c r="D304" s="49" t="n"/>
      <c r="E304" s="49" t="n"/>
      <c r="F304" s="49" t="n"/>
    </row>
    <row r="305" ht="15.75" customHeight="1" s="57">
      <c r="A305" s="49" t="n"/>
      <c r="B305" s="49" t="n"/>
      <c r="C305" s="49" t="n"/>
      <c r="D305" s="49" t="n"/>
      <c r="E305" s="49" t="n"/>
      <c r="F305" s="49" t="n"/>
    </row>
    <row r="306" ht="15.75" customHeight="1" s="57">
      <c r="A306" s="49" t="n"/>
      <c r="B306" s="49" t="n"/>
      <c r="C306" s="49" t="n"/>
      <c r="D306" s="49" t="n"/>
      <c r="E306" s="49" t="n"/>
      <c r="F306" s="49" t="n"/>
    </row>
    <row r="307" ht="15.75" customHeight="1" s="57">
      <c r="A307" s="49" t="n"/>
      <c r="B307" s="49" t="n"/>
      <c r="C307" s="49" t="n"/>
      <c r="D307" s="49" t="n"/>
      <c r="E307" s="49" t="n"/>
      <c r="F307" s="49" t="n"/>
    </row>
    <row r="308" ht="15.75" customHeight="1" s="57">
      <c r="A308" s="49" t="n"/>
      <c r="B308" s="49" t="n"/>
      <c r="C308" s="49" t="n"/>
      <c r="D308" s="49" t="n"/>
      <c r="E308" s="49" t="n"/>
      <c r="F308" s="49" t="n"/>
    </row>
    <row r="309" ht="15.75" customHeight="1" s="57">
      <c r="A309" s="49" t="n"/>
      <c r="B309" s="49" t="n"/>
      <c r="C309" s="49" t="n"/>
      <c r="D309" s="49" t="n"/>
      <c r="E309" s="49" t="n"/>
      <c r="F309" s="49" t="n"/>
    </row>
    <row r="310" ht="15.75" customHeight="1" s="57">
      <c r="A310" s="49" t="n"/>
      <c r="B310" s="49" t="n"/>
      <c r="C310" s="49" t="n"/>
      <c r="D310" s="49" t="n"/>
      <c r="E310" s="49" t="n"/>
      <c r="F310" s="49" t="n"/>
    </row>
    <row r="311" ht="15.75" customHeight="1" s="57">
      <c r="A311" s="49" t="n"/>
      <c r="B311" s="49" t="n"/>
      <c r="C311" s="49" t="n"/>
      <c r="D311" s="49" t="n"/>
      <c r="E311" s="49" t="n"/>
      <c r="F311" s="49" t="n"/>
    </row>
    <row r="312" ht="15.75" customHeight="1" s="57">
      <c r="A312" s="49" t="n"/>
      <c r="B312" s="49" t="n"/>
      <c r="C312" s="49" t="n"/>
      <c r="D312" s="49" t="n"/>
      <c r="E312" s="49" t="n"/>
      <c r="F312" s="49" t="n"/>
    </row>
    <row r="313" ht="15.75" customHeight="1" s="57">
      <c r="A313" s="49" t="n"/>
      <c r="B313" s="49" t="n"/>
      <c r="C313" s="49" t="n"/>
      <c r="D313" s="49" t="n"/>
      <c r="E313" s="49" t="n"/>
      <c r="F313" s="49" t="n"/>
    </row>
    <row r="314" ht="15.75" customHeight="1" s="57">
      <c r="A314" s="49" t="n"/>
      <c r="B314" s="49" t="n"/>
      <c r="C314" s="49" t="n"/>
      <c r="D314" s="49" t="n"/>
      <c r="E314" s="49" t="n"/>
      <c r="F314" s="49" t="n"/>
    </row>
    <row r="315" ht="15.75" customHeight="1" s="57">
      <c r="A315" s="49" t="n"/>
      <c r="B315" s="49" t="n"/>
      <c r="C315" s="49" t="n"/>
      <c r="D315" s="49" t="n"/>
      <c r="E315" s="49" t="n"/>
      <c r="F315" s="49" t="n"/>
    </row>
    <row r="316" ht="15.75" customHeight="1" s="57">
      <c r="A316" s="49" t="n"/>
      <c r="B316" s="49" t="n"/>
      <c r="C316" s="49" t="n"/>
      <c r="D316" s="49" t="n"/>
      <c r="E316" s="49" t="n"/>
      <c r="F316" s="49" t="n"/>
    </row>
    <row r="317" ht="15.75" customHeight="1" s="57">
      <c r="A317" s="49" t="n"/>
      <c r="B317" s="49" t="n"/>
      <c r="C317" s="49" t="n"/>
      <c r="D317" s="49" t="n"/>
      <c r="E317" s="49" t="n"/>
      <c r="F317" s="49" t="n"/>
    </row>
    <row r="318" ht="15.75" customHeight="1" s="57">
      <c r="A318" s="49" t="n"/>
      <c r="B318" s="49" t="n"/>
      <c r="C318" s="49" t="n"/>
      <c r="D318" s="49" t="n"/>
      <c r="E318" s="49" t="n"/>
      <c r="F318" s="49" t="n"/>
    </row>
    <row r="319" ht="15.75" customHeight="1" s="57">
      <c r="A319" s="49" t="n"/>
      <c r="B319" s="49" t="n"/>
      <c r="C319" s="49" t="n"/>
      <c r="D319" s="49" t="n"/>
      <c r="E319" s="49" t="n"/>
      <c r="F319" s="49" t="n"/>
    </row>
    <row r="320" ht="15.75" customHeight="1" s="57">
      <c r="A320" s="49" t="n"/>
      <c r="B320" s="49" t="n"/>
      <c r="C320" s="49" t="n"/>
      <c r="D320" s="49" t="n"/>
      <c r="E320" s="49" t="n"/>
      <c r="F320" s="49" t="n"/>
    </row>
    <row r="321" ht="15.75" customHeight="1" s="57">
      <c r="A321" s="49" t="n"/>
      <c r="B321" s="49" t="n"/>
      <c r="C321" s="49" t="n"/>
      <c r="D321" s="49" t="n"/>
      <c r="E321" s="49" t="n"/>
      <c r="F321" s="49" t="n"/>
    </row>
    <row r="322" ht="15.75" customHeight="1" s="57">
      <c r="A322" s="49" t="n"/>
      <c r="B322" s="49" t="n"/>
      <c r="C322" s="49" t="n"/>
      <c r="D322" s="49" t="n"/>
      <c r="E322" s="49" t="n"/>
      <c r="F322" s="49" t="n"/>
    </row>
    <row r="323" ht="15.75" customHeight="1" s="57">
      <c r="A323" s="49" t="n"/>
      <c r="B323" s="49" t="n"/>
      <c r="C323" s="49" t="n"/>
      <c r="D323" s="49" t="n"/>
      <c r="E323" s="49" t="n"/>
      <c r="F323" s="49" t="n"/>
    </row>
    <row r="324" ht="15.75" customHeight="1" s="57">
      <c r="A324" s="49" t="n"/>
      <c r="B324" s="49" t="n"/>
      <c r="C324" s="49" t="n"/>
      <c r="D324" s="49" t="n"/>
      <c r="E324" s="49" t="n"/>
      <c r="F324" s="49" t="n"/>
    </row>
    <row r="325" ht="15.75" customHeight="1" s="57">
      <c r="A325" s="49" t="n"/>
      <c r="B325" s="49" t="n"/>
      <c r="C325" s="49" t="n"/>
      <c r="D325" s="49" t="n"/>
      <c r="E325" s="49" t="n"/>
      <c r="F325" s="49" t="n"/>
    </row>
    <row r="326" ht="15.75" customHeight="1" s="57">
      <c r="A326" s="49" t="n"/>
      <c r="B326" s="49" t="n"/>
      <c r="C326" s="49" t="n"/>
      <c r="D326" s="49" t="n"/>
      <c r="E326" s="49" t="n"/>
      <c r="F326" s="49" t="n"/>
    </row>
    <row r="327" ht="15.75" customHeight="1" s="57">
      <c r="A327" s="49" t="n"/>
      <c r="B327" s="49" t="n"/>
      <c r="C327" s="49" t="n"/>
      <c r="D327" s="49" t="n"/>
      <c r="E327" s="49" t="n"/>
      <c r="F327" s="49" t="n"/>
    </row>
    <row r="328" ht="15.75" customHeight="1" s="57">
      <c r="A328" s="49" t="n"/>
      <c r="B328" s="49" t="n"/>
      <c r="C328" s="49" t="n"/>
      <c r="D328" s="49" t="n"/>
      <c r="E328" s="49" t="n"/>
      <c r="F328" s="49" t="n"/>
    </row>
    <row r="329" ht="15.75" customHeight="1" s="57">
      <c r="A329" s="49" t="n"/>
      <c r="B329" s="49" t="n"/>
      <c r="C329" s="49" t="n"/>
      <c r="D329" s="49" t="n"/>
      <c r="E329" s="49" t="n"/>
      <c r="F329" s="49" t="n"/>
    </row>
    <row r="330" ht="15.75" customHeight="1" s="57">
      <c r="A330" s="49" t="n"/>
      <c r="B330" s="49" t="n"/>
      <c r="C330" s="49" t="n"/>
      <c r="D330" s="49" t="n"/>
      <c r="E330" s="49" t="n"/>
      <c r="F330" s="49" t="n"/>
    </row>
    <row r="331" ht="15.75" customHeight="1" s="57">
      <c r="A331" s="49" t="n"/>
      <c r="B331" s="49" t="n"/>
      <c r="C331" s="49" t="n"/>
      <c r="D331" s="49" t="n"/>
      <c r="E331" s="49" t="n"/>
      <c r="F331" s="49" t="n"/>
    </row>
    <row r="332" ht="15.75" customHeight="1" s="57">
      <c r="A332" s="49" t="n"/>
      <c r="B332" s="49" t="n"/>
      <c r="C332" s="49" t="n"/>
      <c r="D332" s="49" t="n"/>
      <c r="E332" s="49" t="n"/>
      <c r="F332" s="49" t="n"/>
    </row>
    <row r="333" ht="15.75" customHeight="1" s="57">
      <c r="A333" s="49" t="n"/>
      <c r="B333" s="49" t="n"/>
      <c r="C333" s="49" t="n"/>
      <c r="D333" s="49" t="n"/>
      <c r="E333" s="49" t="n"/>
      <c r="F333" s="49" t="n"/>
    </row>
    <row r="334" ht="15.75" customHeight="1" s="57">
      <c r="A334" s="49" t="n"/>
      <c r="B334" s="49" t="n"/>
      <c r="C334" s="49" t="n"/>
      <c r="D334" s="49" t="n"/>
      <c r="E334" s="49" t="n"/>
      <c r="F334" s="49" t="n"/>
    </row>
    <row r="335" ht="15.75" customHeight="1" s="57">
      <c r="A335" s="49" t="n"/>
      <c r="B335" s="49" t="n"/>
      <c r="C335" s="49" t="n"/>
      <c r="D335" s="49" t="n"/>
      <c r="E335" s="49" t="n"/>
      <c r="F335" s="49" t="n"/>
    </row>
    <row r="336" ht="15.75" customHeight="1" s="57">
      <c r="A336" s="49" t="n"/>
      <c r="B336" s="49" t="n"/>
      <c r="C336" s="49" t="n"/>
      <c r="D336" s="49" t="n"/>
      <c r="E336" s="49" t="n"/>
      <c r="F336" s="49" t="n"/>
    </row>
    <row r="337" ht="15.75" customHeight="1" s="57">
      <c r="A337" s="49" t="n"/>
      <c r="B337" s="49" t="n"/>
      <c r="C337" s="49" t="n"/>
      <c r="D337" s="49" t="n"/>
      <c r="E337" s="49" t="n"/>
      <c r="F337" s="49" t="n"/>
    </row>
    <row r="338" ht="15.75" customHeight="1" s="57">
      <c r="A338" s="49" t="n"/>
      <c r="B338" s="49" t="n"/>
      <c r="C338" s="49" t="n"/>
      <c r="D338" s="49" t="n"/>
      <c r="E338" s="49" t="n"/>
      <c r="F338" s="49" t="n"/>
    </row>
    <row r="339" ht="15.75" customHeight="1" s="57">
      <c r="A339" s="49" t="n"/>
      <c r="B339" s="49" t="n"/>
      <c r="C339" s="49" t="n"/>
      <c r="D339" s="49" t="n"/>
      <c r="E339" s="49" t="n"/>
      <c r="F339" s="49" t="n"/>
    </row>
    <row r="340" ht="15.75" customHeight="1" s="57">
      <c r="A340" s="49" t="n"/>
      <c r="B340" s="49" t="n"/>
      <c r="C340" s="49" t="n"/>
      <c r="D340" s="49" t="n"/>
      <c r="E340" s="49" t="n"/>
      <c r="F340" s="49" t="n"/>
    </row>
    <row r="341" ht="15.75" customHeight="1" s="57">
      <c r="A341" s="49" t="n"/>
      <c r="B341" s="49" t="n"/>
      <c r="C341" s="49" t="n"/>
      <c r="D341" s="49" t="n"/>
      <c r="E341" s="49" t="n"/>
      <c r="F341" s="49" t="n"/>
    </row>
    <row r="342" ht="15.75" customHeight="1" s="57">
      <c r="A342" s="49" t="n"/>
      <c r="B342" s="49" t="n"/>
      <c r="C342" s="49" t="n"/>
      <c r="D342" s="49" t="n"/>
      <c r="E342" s="49" t="n"/>
      <c r="F342" s="49" t="n"/>
    </row>
    <row r="343" ht="15.75" customHeight="1" s="57">
      <c r="A343" s="49" t="n"/>
      <c r="B343" s="49" t="n"/>
      <c r="C343" s="49" t="n"/>
      <c r="D343" s="49" t="n"/>
      <c r="E343" s="49" t="n"/>
      <c r="F343" s="49" t="n"/>
    </row>
    <row r="344" ht="15.75" customHeight="1" s="57">
      <c r="A344" s="49" t="n"/>
      <c r="B344" s="49" t="n"/>
      <c r="C344" s="49" t="n"/>
      <c r="D344" s="49" t="n"/>
      <c r="E344" s="49" t="n"/>
      <c r="F344" s="49" t="n"/>
    </row>
    <row r="345" ht="15.75" customHeight="1" s="57">
      <c r="A345" s="49" t="n"/>
      <c r="B345" s="49" t="n"/>
      <c r="C345" s="49" t="n"/>
      <c r="D345" s="49" t="n"/>
      <c r="E345" s="49" t="n"/>
      <c r="F345" s="49" t="n"/>
    </row>
    <row r="346" ht="15.75" customHeight="1" s="57">
      <c r="A346" s="49" t="n"/>
      <c r="B346" s="49" t="n"/>
      <c r="C346" s="49" t="n"/>
      <c r="D346" s="49" t="n"/>
      <c r="E346" s="49" t="n"/>
      <c r="F346" s="49" t="n"/>
    </row>
    <row r="347" ht="15.75" customHeight="1" s="57">
      <c r="A347" s="49" t="n"/>
      <c r="B347" s="49" t="n"/>
      <c r="C347" s="49" t="n"/>
      <c r="D347" s="49" t="n"/>
      <c r="E347" s="49" t="n"/>
      <c r="F347" s="49" t="n"/>
    </row>
    <row r="348" ht="15.75" customHeight="1" s="57">
      <c r="A348" s="49" t="n"/>
      <c r="B348" s="49" t="n"/>
      <c r="C348" s="49" t="n"/>
      <c r="D348" s="49" t="n"/>
      <c r="E348" s="49" t="n"/>
      <c r="F348" s="49" t="n"/>
    </row>
    <row r="349" ht="15.75" customHeight="1" s="57">
      <c r="A349" s="49" t="n"/>
      <c r="B349" s="49" t="n"/>
      <c r="C349" s="49" t="n"/>
      <c r="D349" s="49" t="n"/>
      <c r="E349" s="49" t="n"/>
      <c r="F349" s="49" t="n"/>
    </row>
    <row r="350" ht="15.75" customHeight="1" s="57">
      <c r="A350" s="49" t="n"/>
      <c r="B350" s="49" t="n"/>
      <c r="C350" s="49" t="n"/>
      <c r="D350" s="49" t="n"/>
      <c r="E350" s="49" t="n"/>
      <c r="F350" s="49" t="n"/>
    </row>
    <row r="351" ht="15.75" customHeight="1" s="57">
      <c r="A351" s="49" t="n"/>
      <c r="B351" s="49" t="n"/>
      <c r="C351" s="49" t="n"/>
      <c r="D351" s="49" t="n"/>
      <c r="E351" s="49" t="n"/>
      <c r="F351" s="49" t="n"/>
    </row>
    <row r="352" ht="15.75" customHeight="1" s="57">
      <c r="A352" s="49" t="n"/>
      <c r="B352" s="49" t="n"/>
      <c r="C352" s="49" t="n"/>
      <c r="D352" s="49" t="n"/>
      <c r="E352" s="49" t="n"/>
      <c r="F352" s="49" t="n"/>
    </row>
    <row r="353" ht="15.75" customHeight="1" s="57">
      <c r="A353" s="49" t="n"/>
      <c r="B353" s="49" t="n"/>
      <c r="C353" s="49" t="n"/>
      <c r="D353" s="49" t="n"/>
      <c r="E353" s="49" t="n"/>
      <c r="F353" s="49" t="n"/>
    </row>
    <row r="354" ht="15.75" customHeight="1" s="57">
      <c r="A354" s="49" t="n"/>
      <c r="B354" s="49" t="n"/>
      <c r="C354" s="49" t="n"/>
      <c r="D354" s="49" t="n"/>
      <c r="E354" s="49" t="n"/>
      <c r="F354" s="49" t="n"/>
    </row>
    <row r="355" ht="15.75" customHeight="1" s="57">
      <c r="A355" s="49" t="n"/>
      <c r="B355" s="49" t="n"/>
      <c r="C355" s="49" t="n"/>
      <c r="D355" s="49" t="n"/>
      <c r="E355" s="49" t="n"/>
      <c r="F355" s="49" t="n"/>
    </row>
    <row r="356" ht="15.75" customHeight="1" s="57">
      <c r="A356" s="49" t="n"/>
      <c r="B356" s="49" t="n"/>
      <c r="C356" s="49" t="n"/>
      <c r="D356" s="49" t="n"/>
      <c r="E356" s="49" t="n"/>
      <c r="F356" s="49" t="n"/>
    </row>
    <row r="357" ht="15.75" customHeight="1" s="57">
      <c r="A357" s="49" t="n"/>
      <c r="B357" s="49" t="n"/>
      <c r="C357" s="49" t="n"/>
      <c r="D357" s="49" t="n"/>
      <c r="E357" s="49" t="n"/>
      <c r="F357" s="49" t="n"/>
    </row>
    <row r="358" ht="15.75" customHeight="1" s="57">
      <c r="A358" s="49" t="n"/>
      <c r="B358" s="49" t="n"/>
      <c r="C358" s="49" t="n"/>
      <c r="D358" s="49" t="n"/>
      <c r="E358" s="49" t="n"/>
      <c r="F358" s="49" t="n"/>
    </row>
    <row r="359" ht="15.75" customHeight="1" s="57">
      <c r="A359" s="49" t="n"/>
      <c r="B359" s="49" t="n"/>
      <c r="C359" s="49" t="n"/>
      <c r="D359" s="49" t="n"/>
      <c r="E359" s="49" t="n"/>
      <c r="F359" s="49" t="n"/>
    </row>
    <row r="360" ht="15.75" customHeight="1" s="57">
      <c r="A360" s="49" t="n"/>
      <c r="B360" s="49" t="n"/>
      <c r="C360" s="49" t="n"/>
      <c r="D360" s="49" t="n"/>
      <c r="E360" s="49" t="n"/>
      <c r="F360" s="49" t="n"/>
    </row>
    <row r="361" ht="15.75" customHeight="1" s="57">
      <c r="A361" s="49" t="n"/>
      <c r="B361" s="49" t="n"/>
      <c r="C361" s="49" t="n"/>
      <c r="D361" s="49" t="n"/>
      <c r="E361" s="49" t="n"/>
      <c r="F361" s="49" t="n"/>
    </row>
    <row r="362" ht="15.75" customHeight="1" s="57">
      <c r="A362" s="49" t="n"/>
      <c r="B362" s="49" t="n"/>
      <c r="C362" s="49" t="n"/>
      <c r="D362" s="49" t="n"/>
      <c r="E362" s="49" t="n"/>
      <c r="F362" s="49" t="n"/>
    </row>
    <row r="363" ht="15.75" customHeight="1" s="57">
      <c r="A363" s="49" t="n"/>
      <c r="B363" s="49" t="n"/>
      <c r="C363" s="49" t="n"/>
      <c r="D363" s="49" t="n"/>
      <c r="E363" s="49" t="n"/>
      <c r="F363" s="49" t="n"/>
    </row>
    <row r="364" ht="15.75" customHeight="1" s="57">
      <c r="A364" s="49" t="n"/>
      <c r="B364" s="49" t="n"/>
      <c r="C364" s="49" t="n"/>
      <c r="D364" s="49" t="n"/>
      <c r="E364" s="49" t="n"/>
      <c r="F364" s="49" t="n"/>
    </row>
    <row r="365" ht="15.75" customHeight="1" s="57">
      <c r="A365" s="49" t="n"/>
      <c r="B365" s="49" t="n"/>
      <c r="C365" s="49" t="n"/>
      <c r="D365" s="49" t="n"/>
      <c r="E365" s="49" t="n"/>
      <c r="F365" s="49" t="n"/>
    </row>
    <row r="366" ht="15.75" customHeight="1" s="57">
      <c r="A366" s="49" t="n"/>
      <c r="B366" s="49" t="n"/>
      <c r="C366" s="49" t="n"/>
      <c r="D366" s="49" t="n"/>
      <c r="E366" s="49" t="n"/>
      <c r="F366" s="49" t="n"/>
    </row>
    <row r="367" ht="15.75" customHeight="1" s="57">
      <c r="A367" s="49" t="n"/>
      <c r="B367" s="49" t="n"/>
      <c r="C367" s="49" t="n"/>
      <c r="D367" s="49" t="n"/>
      <c r="E367" s="49" t="n"/>
      <c r="F367" s="49" t="n"/>
    </row>
    <row r="368" ht="15.75" customHeight="1" s="57">
      <c r="A368" s="49" t="n"/>
      <c r="B368" s="49" t="n"/>
      <c r="C368" s="49" t="n"/>
      <c r="D368" s="49" t="n"/>
      <c r="E368" s="49" t="n"/>
      <c r="F368" s="49" t="n"/>
    </row>
    <row r="369" ht="15.75" customHeight="1" s="57">
      <c r="A369" s="49" t="n"/>
      <c r="B369" s="49" t="n"/>
      <c r="C369" s="49" t="n"/>
      <c r="D369" s="49" t="n"/>
      <c r="E369" s="49" t="n"/>
      <c r="F369" s="49" t="n"/>
    </row>
    <row r="370" ht="15.75" customHeight="1" s="57">
      <c r="A370" s="49" t="n"/>
      <c r="B370" s="49" t="n"/>
      <c r="C370" s="49" t="n"/>
      <c r="D370" s="49" t="n"/>
      <c r="E370" s="49" t="n"/>
      <c r="F370" s="49" t="n"/>
    </row>
    <row r="371" ht="15.75" customHeight="1" s="57">
      <c r="A371" s="49" t="n"/>
      <c r="B371" s="49" t="n"/>
      <c r="C371" s="49" t="n"/>
      <c r="D371" s="49" t="n"/>
      <c r="E371" s="49" t="n"/>
      <c r="F371" s="49" t="n"/>
    </row>
    <row r="372" ht="15.75" customHeight="1" s="57">
      <c r="A372" s="49" t="n"/>
      <c r="B372" s="49" t="n"/>
      <c r="C372" s="49" t="n"/>
      <c r="D372" s="49" t="n"/>
      <c r="E372" s="49" t="n"/>
      <c r="F372" s="49" t="n"/>
    </row>
    <row r="373" ht="15.75" customHeight="1" s="57">
      <c r="A373" s="49" t="n"/>
      <c r="B373" s="49" t="n"/>
      <c r="C373" s="49" t="n"/>
      <c r="D373" s="49" t="n"/>
      <c r="E373" s="49" t="n"/>
      <c r="F373" s="49" t="n"/>
    </row>
    <row r="374" ht="15.75" customHeight="1" s="57">
      <c r="A374" s="49" t="n"/>
      <c r="B374" s="49" t="n"/>
      <c r="C374" s="49" t="n"/>
      <c r="D374" s="49" t="n"/>
      <c r="E374" s="49" t="n"/>
      <c r="F374" s="49" t="n"/>
    </row>
    <row r="375" ht="15.75" customHeight="1" s="57">
      <c r="A375" s="49" t="n"/>
      <c r="B375" s="49" t="n"/>
      <c r="C375" s="49" t="n"/>
      <c r="D375" s="49" t="n"/>
      <c r="E375" s="49" t="n"/>
      <c r="F375" s="49" t="n"/>
    </row>
    <row r="376" ht="15.75" customHeight="1" s="57">
      <c r="A376" s="49" t="n"/>
      <c r="B376" s="49" t="n"/>
      <c r="C376" s="49" t="n"/>
      <c r="D376" s="49" t="n"/>
      <c r="E376" s="49" t="n"/>
      <c r="F376" s="49" t="n"/>
    </row>
    <row r="377" ht="15.75" customHeight="1" s="57">
      <c r="A377" s="49" t="n"/>
      <c r="B377" s="49" t="n"/>
      <c r="C377" s="49" t="n"/>
      <c r="D377" s="49" t="n"/>
      <c r="E377" s="49" t="n"/>
      <c r="F377" s="49" t="n"/>
    </row>
    <row r="378" ht="15.75" customHeight="1" s="57">
      <c r="A378" s="49" t="n"/>
      <c r="B378" s="49" t="n"/>
      <c r="C378" s="49" t="n"/>
      <c r="D378" s="49" t="n"/>
      <c r="E378" s="49" t="n"/>
      <c r="F378" s="49" t="n"/>
    </row>
    <row r="379" ht="15.75" customHeight="1" s="57">
      <c r="A379" s="49" t="n"/>
      <c r="B379" s="49" t="n"/>
      <c r="C379" s="49" t="n"/>
      <c r="D379" s="49" t="n"/>
      <c r="E379" s="49" t="n"/>
      <c r="F379" s="49" t="n"/>
    </row>
    <row r="380" ht="15.75" customHeight="1" s="57">
      <c r="A380" s="49" t="n"/>
      <c r="B380" s="49" t="n"/>
      <c r="C380" s="49" t="n"/>
      <c r="D380" s="49" t="n"/>
      <c r="E380" s="49" t="n"/>
      <c r="F380" s="49" t="n"/>
    </row>
    <row r="381" ht="15.75" customHeight="1" s="57">
      <c r="A381" s="49" t="n"/>
      <c r="B381" s="49" t="n"/>
      <c r="C381" s="49" t="n"/>
      <c r="D381" s="49" t="n"/>
      <c r="E381" s="49" t="n"/>
      <c r="F381" s="49" t="n"/>
    </row>
    <row r="382" ht="15.75" customHeight="1" s="57">
      <c r="A382" s="49" t="n"/>
      <c r="B382" s="49" t="n"/>
      <c r="C382" s="49" t="n"/>
      <c r="D382" s="49" t="n"/>
      <c r="E382" s="49" t="n"/>
      <c r="F382" s="49" t="n"/>
    </row>
    <row r="383" ht="15.75" customHeight="1" s="57">
      <c r="A383" s="49" t="n"/>
      <c r="B383" s="49" t="n"/>
      <c r="C383" s="49" t="n"/>
      <c r="D383" s="49" t="n"/>
      <c r="E383" s="49" t="n"/>
      <c r="F383" s="49" t="n"/>
    </row>
    <row r="384" ht="15.75" customHeight="1" s="57">
      <c r="A384" s="49" t="n"/>
      <c r="B384" s="49" t="n"/>
      <c r="C384" s="49" t="n"/>
      <c r="D384" s="49" t="n"/>
      <c r="E384" s="49" t="n"/>
      <c r="F384" s="49" t="n"/>
    </row>
    <row r="385" ht="15.75" customHeight="1" s="57">
      <c r="A385" s="49" t="n"/>
      <c r="B385" s="49" t="n"/>
      <c r="C385" s="49" t="n"/>
      <c r="D385" s="49" t="n"/>
      <c r="E385" s="49" t="n"/>
      <c r="F385" s="49" t="n"/>
    </row>
    <row r="386" ht="15.75" customHeight="1" s="57">
      <c r="A386" s="49" t="n"/>
      <c r="B386" s="49" t="n"/>
      <c r="C386" s="49" t="n"/>
      <c r="D386" s="49" t="n"/>
      <c r="E386" s="49" t="n"/>
      <c r="F386" s="49" t="n"/>
    </row>
    <row r="387" ht="15.75" customHeight="1" s="57">
      <c r="A387" s="49" t="n"/>
      <c r="B387" s="49" t="n"/>
      <c r="C387" s="49" t="n"/>
      <c r="D387" s="49" t="n"/>
      <c r="E387" s="49" t="n"/>
      <c r="F387" s="49" t="n"/>
    </row>
    <row r="388" ht="15.75" customHeight="1" s="57">
      <c r="A388" s="49" t="n"/>
      <c r="B388" s="49" t="n"/>
      <c r="C388" s="49" t="n"/>
      <c r="D388" s="49" t="n"/>
      <c r="E388" s="49" t="n"/>
      <c r="F388" s="49" t="n"/>
    </row>
    <row r="389" ht="15.75" customHeight="1" s="57">
      <c r="A389" s="49" t="n"/>
      <c r="B389" s="49" t="n"/>
      <c r="C389" s="49" t="n"/>
      <c r="D389" s="49" t="n"/>
      <c r="E389" s="49" t="n"/>
      <c r="F389" s="49" t="n"/>
    </row>
    <row r="390" ht="15.75" customHeight="1" s="57">
      <c r="A390" s="49" t="n"/>
      <c r="B390" s="49" t="n"/>
      <c r="C390" s="49" t="n"/>
      <c r="D390" s="49" t="n"/>
      <c r="E390" s="49" t="n"/>
      <c r="F390" s="49" t="n"/>
    </row>
    <row r="391" ht="15.75" customHeight="1" s="57">
      <c r="A391" s="49" t="n"/>
      <c r="B391" s="49" t="n"/>
      <c r="C391" s="49" t="n"/>
      <c r="D391" s="49" t="n"/>
      <c r="E391" s="49" t="n"/>
      <c r="F391" s="49" t="n"/>
    </row>
    <row r="392" ht="15.75" customHeight="1" s="57">
      <c r="A392" s="49" t="n"/>
      <c r="B392" s="49" t="n"/>
      <c r="C392" s="49" t="n"/>
      <c r="D392" s="49" t="n"/>
      <c r="E392" s="49" t="n"/>
      <c r="F392" s="49" t="n"/>
    </row>
    <row r="393" ht="15.75" customHeight="1" s="57">
      <c r="A393" s="49" t="n"/>
      <c r="B393" s="49" t="n"/>
      <c r="C393" s="49" t="n"/>
      <c r="D393" s="49" t="n"/>
      <c r="E393" s="49" t="n"/>
      <c r="F393" s="49" t="n"/>
    </row>
    <row r="394" ht="15.75" customHeight="1" s="57">
      <c r="A394" s="49" t="n"/>
      <c r="B394" s="49" t="n"/>
      <c r="C394" s="49" t="n"/>
      <c r="D394" s="49" t="n"/>
      <c r="E394" s="49" t="n"/>
      <c r="F394" s="49" t="n"/>
    </row>
    <row r="395" ht="15.75" customHeight="1" s="57">
      <c r="A395" s="49" t="n"/>
      <c r="B395" s="49" t="n"/>
      <c r="C395" s="49" t="n"/>
      <c r="D395" s="49" t="n"/>
      <c r="E395" s="49" t="n"/>
      <c r="F395" s="49" t="n"/>
    </row>
    <row r="396" ht="15.75" customHeight="1" s="57">
      <c r="A396" s="49" t="n"/>
      <c r="B396" s="49" t="n"/>
      <c r="C396" s="49" t="n"/>
      <c r="D396" s="49" t="n"/>
      <c r="E396" s="49" t="n"/>
      <c r="F396" s="49" t="n"/>
    </row>
    <row r="397" ht="15.75" customHeight="1" s="57">
      <c r="A397" s="49" t="n"/>
      <c r="B397" s="49" t="n"/>
      <c r="C397" s="49" t="n"/>
      <c r="D397" s="49" t="n"/>
      <c r="E397" s="49" t="n"/>
      <c r="F397" s="49" t="n"/>
    </row>
    <row r="398" ht="15.75" customHeight="1" s="57">
      <c r="A398" s="49" t="n"/>
      <c r="B398" s="49" t="n"/>
      <c r="C398" s="49" t="n"/>
      <c r="D398" s="49" t="n"/>
      <c r="E398" s="49" t="n"/>
      <c r="F398" s="49" t="n"/>
    </row>
    <row r="399" ht="15.75" customHeight="1" s="57">
      <c r="A399" s="49" t="n"/>
      <c r="B399" s="49" t="n"/>
      <c r="C399" s="49" t="n"/>
      <c r="D399" s="49" t="n"/>
      <c r="E399" s="49" t="n"/>
      <c r="F399" s="49" t="n"/>
    </row>
    <row r="400" ht="15.75" customHeight="1" s="57">
      <c r="A400" s="49" t="n"/>
      <c r="B400" s="49" t="n"/>
      <c r="C400" s="49" t="n"/>
      <c r="D400" s="49" t="n"/>
      <c r="E400" s="49" t="n"/>
      <c r="F400" s="49" t="n"/>
    </row>
    <row r="401" ht="15.75" customHeight="1" s="57">
      <c r="A401" s="49" t="n"/>
      <c r="B401" s="49" t="n"/>
      <c r="C401" s="49" t="n"/>
      <c r="D401" s="49" t="n"/>
      <c r="E401" s="49" t="n"/>
      <c r="F401" s="49" t="n"/>
    </row>
    <row r="402" ht="15.75" customHeight="1" s="57">
      <c r="A402" s="49" t="n"/>
      <c r="B402" s="49" t="n"/>
      <c r="C402" s="49" t="n"/>
      <c r="D402" s="49" t="n"/>
      <c r="E402" s="49" t="n"/>
      <c r="F402" s="49" t="n"/>
    </row>
    <row r="403" ht="15.75" customHeight="1" s="57">
      <c r="A403" s="49" t="n"/>
      <c r="B403" s="49" t="n"/>
      <c r="C403" s="49" t="n"/>
      <c r="D403" s="49" t="n"/>
      <c r="E403" s="49" t="n"/>
      <c r="F403" s="49" t="n"/>
    </row>
    <row r="404" ht="15.75" customHeight="1" s="57">
      <c r="A404" s="49" t="n"/>
      <c r="B404" s="49" t="n"/>
      <c r="C404" s="49" t="n"/>
      <c r="D404" s="49" t="n"/>
      <c r="E404" s="49" t="n"/>
      <c r="F404" s="49" t="n"/>
    </row>
    <row r="405" ht="15.75" customHeight="1" s="57">
      <c r="A405" s="49" t="n"/>
      <c r="B405" s="49" t="n"/>
      <c r="C405" s="49" t="n"/>
      <c r="D405" s="49" t="n"/>
      <c r="E405" s="49" t="n"/>
      <c r="F405" s="49" t="n"/>
    </row>
    <row r="406" ht="15.75" customHeight="1" s="57">
      <c r="A406" s="49" t="n"/>
      <c r="B406" s="49" t="n"/>
      <c r="C406" s="49" t="n"/>
      <c r="D406" s="49" t="n"/>
      <c r="E406" s="49" t="n"/>
      <c r="F406" s="49" t="n"/>
    </row>
    <row r="407" ht="15.75" customHeight="1" s="57">
      <c r="A407" s="49" t="n"/>
      <c r="B407" s="49" t="n"/>
      <c r="C407" s="49" t="n"/>
      <c r="D407" s="49" t="n"/>
      <c r="E407" s="49" t="n"/>
      <c r="F407" s="49" t="n"/>
    </row>
    <row r="408" ht="15.75" customHeight="1" s="57">
      <c r="A408" s="49" t="n"/>
      <c r="B408" s="49" t="n"/>
      <c r="C408" s="49" t="n"/>
      <c r="D408" s="49" t="n"/>
      <c r="E408" s="49" t="n"/>
      <c r="F408" s="49" t="n"/>
    </row>
    <row r="409" ht="15.75" customHeight="1" s="57">
      <c r="A409" s="49" t="n"/>
      <c r="B409" s="49" t="n"/>
      <c r="C409" s="49" t="n"/>
      <c r="D409" s="49" t="n"/>
      <c r="E409" s="49" t="n"/>
      <c r="F409" s="49" t="n"/>
    </row>
    <row r="410" ht="15.75" customHeight="1" s="57">
      <c r="A410" s="49" t="n"/>
      <c r="B410" s="49" t="n"/>
      <c r="C410" s="49" t="n"/>
      <c r="D410" s="49" t="n"/>
      <c r="E410" s="49" t="n"/>
      <c r="F410" s="49" t="n"/>
    </row>
    <row r="411" ht="15.75" customHeight="1" s="57">
      <c r="A411" s="49" t="n"/>
      <c r="B411" s="49" t="n"/>
      <c r="C411" s="49" t="n"/>
      <c r="D411" s="49" t="n"/>
      <c r="E411" s="49" t="n"/>
      <c r="F411" s="49" t="n"/>
    </row>
    <row r="412" ht="15.75" customHeight="1" s="57">
      <c r="A412" s="49" t="n"/>
      <c r="B412" s="49" t="n"/>
      <c r="C412" s="49" t="n"/>
      <c r="D412" s="49" t="n"/>
      <c r="E412" s="49" t="n"/>
      <c r="F412" s="49" t="n"/>
    </row>
    <row r="413" ht="15.75" customHeight="1" s="57">
      <c r="A413" s="49" t="n"/>
      <c r="B413" s="49" t="n"/>
      <c r="C413" s="49" t="n"/>
      <c r="D413" s="49" t="n"/>
      <c r="E413" s="49" t="n"/>
      <c r="F413" s="49" t="n"/>
    </row>
    <row r="414" ht="15.75" customHeight="1" s="57">
      <c r="A414" s="49" t="n"/>
      <c r="B414" s="49" t="n"/>
      <c r="C414" s="49" t="n"/>
      <c r="D414" s="49" t="n"/>
      <c r="E414" s="49" t="n"/>
      <c r="F414" s="49" t="n"/>
    </row>
    <row r="415" ht="15.75" customHeight="1" s="57">
      <c r="A415" s="49" t="n"/>
      <c r="B415" s="49" t="n"/>
      <c r="C415" s="49" t="n"/>
      <c r="D415" s="49" t="n"/>
      <c r="E415" s="49" t="n"/>
      <c r="F415" s="49" t="n"/>
    </row>
    <row r="416" ht="15.75" customHeight="1" s="57">
      <c r="A416" s="49" t="n"/>
      <c r="B416" s="49" t="n"/>
      <c r="C416" s="49" t="n"/>
      <c r="D416" s="49" t="n"/>
      <c r="E416" s="49" t="n"/>
      <c r="F416" s="49" t="n"/>
    </row>
    <row r="417" ht="15.75" customHeight="1" s="57">
      <c r="A417" s="49" t="n"/>
      <c r="B417" s="49" t="n"/>
      <c r="C417" s="49" t="n"/>
      <c r="D417" s="49" t="n"/>
      <c r="E417" s="49" t="n"/>
      <c r="F417" s="49" t="n"/>
    </row>
    <row r="418" ht="15.75" customHeight="1" s="57">
      <c r="A418" s="49" t="n"/>
      <c r="B418" s="49" t="n"/>
      <c r="C418" s="49" t="n"/>
      <c r="D418" s="49" t="n"/>
      <c r="E418" s="49" t="n"/>
      <c r="F418" s="49" t="n"/>
    </row>
    <row r="419" ht="15.75" customHeight="1" s="57">
      <c r="A419" s="49" t="n"/>
      <c r="B419" s="49" t="n"/>
      <c r="C419" s="49" t="n"/>
      <c r="D419" s="49" t="n"/>
      <c r="E419" s="49" t="n"/>
      <c r="F419" s="49" t="n"/>
    </row>
    <row r="420" ht="15.75" customHeight="1" s="57">
      <c r="A420" s="49" t="n"/>
      <c r="B420" s="49" t="n"/>
      <c r="C420" s="49" t="n"/>
      <c r="D420" s="49" t="n"/>
      <c r="E420" s="49" t="n"/>
      <c r="F420" s="49" t="n"/>
    </row>
    <row r="421" ht="15.75" customHeight="1" s="57">
      <c r="A421" s="49" t="n"/>
      <c r="B421" s="49" t="n"/>
      <c r="C421" s="49" t="n"/>
      <c r="D421" s="49" t="n"/>
      <c r="E421" s="49" t="n"/>
      <c r="F421" s="49" t="n"/>
    </row>
    <row r="422" ht="15.75" customHeight="1" s="57">
      <c r="A422" s="49" t="n"/>
      <c r="B422" s="49" t="n"/>
      <c r="C422" s="49" t="n"/>
      <c r="D422" s="49" t="n"/>
      <c r="E422" s="49" t="n"/>
      <c r="F422" s="49" t="n"/>
    </row>
    <row r="423" ht="15.75" customHeight="1" s="57">
      <c r="A423" s="49" t="n"/>
      <c r="B423" s="49" t="n"/>
      <c r="C423" s="49" t="n"/>
      <c r="D423" s="49" t="n"/>
      <c r="E423" s="49" t="n"/>
      <c r="F423" s="49" t="n"/>
    </row>
    <row r="424" ht="15.75" customHeight="1" s="57">
      <c r="A424" s="49" t="n"/>
      <c r="B424" s="49" t="n"/>
      <c r="C424" s="49" t="n"/>
      <c r="D424" s="49" t="n"/>
      <c r="E424" s="49" t="n"/>
      <c r="F424" s="49" t="n"/>
    </row>
    <row r="425" ht="15.75" customHeight="1" s="57">
      <c r="A425" s="49" t="n"/>
      <c r="B425" s="49" t="n"/>
      <c r="C425" s="49" t="n"/>
      <c r="D425" s="49" t="n"/>
      <c r="E425" s="49" t="n"/>
      <c r="F425" s="49" t="n"/>
    </row>
    <row r="426" ht="15.75" customHeight="1" s="57">
      <c r="A426" s="49" t="n"/>
      <c r="B426" s="49" t="n"/>
      <c r="C426" s="49" t="n"/>
      <c r="D426" s="49" t="n"/>
      <c r="E426" s="49" t="n"/>
      <c r="F426" s="49" t="n"/>
    </row>
    <row r="427" ht="15.75" customHeight="1" s="57">
      <c r="A427" s="49" t="n"/>
      <c r="B427" s="49" t="n"/>
      <c r="C427" s="49" t="n"/>
      <c r="D427" s="49" t="n"/>
      <c r="E427" s="49" t="n"/>
      <c r="F427" s="49" t="n"/>
    </row>
    <row r="428" ht="15.75" customHeight="1" s="57">
      <c r="A428" s="49" t="n"/>
      <c r="B428" s="49" t="n"/>
      <c r="C428" s="49" t="n"/>
      <c r="D428" s="49" t="n"/>
      <c r="E428" s="49" t="n"/>
      <c r="F428" s="49" t="n"/>
    </row>
    <row r="429" ht="15.75" customHeight="1" s="57">
      <c r="A429" s="49" t="n"/>
      <c r="B429" s="49" t="n"/>
      <c r="C429" s="49" t="n"/>
      <c r="D429" s="49" t="n"/>
      <c r="E429" s="49" t="n"/>
      <c r="F429" s="49" t="n"/>
    </row>
    <row r="430" ht="15.75" customHeight="1" s="57">
      <c r="A430" s="49" t="n"/>
      <c r="B430" s="49" t="n"/>
      <c r="C430" s="49" t="n"/>
      <c r="D430" s="49" t="n"/>
      <c r="E430" s="49" t="n"/>
      <c r="F430" s="49" t="n"/>
    </row>
    <row r="431" ht="15.75" customHeight="1" s="57">
      <c r="A431" s="49" t="n"/>
      <c r="B431" s="49" t="n"/>
      <c r="C431" s="49" t="n"/>
      <c r="D431" s="49" t="n"/>
      <c r="E431" s="49" t="n"/>
      <c r="F431" s="49" t="n"/>
    </row>
    <row r="432" ht="15.75" customHeight="1" s="57">
      <c r="A432" s="49" t="n"/>
      <c r="B432" s="49" t="n"/>
      <c r="C432" s="49" t="n"/>
      <c r="D432" s="49" t="n"/>
      <c r="E432" s="49" t="n"/>
      <c r="F432" s="49" t="n"/>
    </row>
    <row r="433" ht="15.75" customHeight="1" s="57">
      <c r="A433" s="49" t="n"/>
      <c r="B433" s="49" t="n"/>
      <c r="C433" s="49" t="n"/>
      <c r="D433" s="49" t="n"/>
      <c r="E433" s="49" t="n"/>
      <c r="F433" s="49" t="n"/>
    </row>
    <row r="434" ht="15.75" customHeight="1" s="57">
      <c r="A434" s="49" t="n"/>
      <c r="B434" s="49" t="n"/>
      <c r="C434" s="49" t="n"/>
      <c r="D434" s="49" t="n"/>
      <c r="E434" s="49" t="n"/>
      <c r="F434" s="49" t="n"/>
    </row>
    <row r="435" ht="15.75" customHeight="1" s="57">
      <c r="A435" s="49" t="n"/>
      <c r="B435" s="49" t="n"/>
      <c r="C435" s="49" t="n"/>
      <c r="D435" s="49" t="n"/>
      <c r="E435" s="49" t="n"/>
      <c r="F435" s="49" t="n"/>
    </row>
    <row r="436" ht="15.75" customHeight="1" s="57">
      <c r="A436" s="49" t="n"/>
      <c r="B436" s="49" t="n"/>
      <c r="C436" s="49" t="n"/>
      <c r="D436" s="49" t="n"/>
      <c r="E436" s="49" t="n"/>
      <c r="F436" s="49" t="n"/>
    </row>
    <row r="437" ht="15.75" customHeight="1" s="57">
      <c r="A437" s="49" t="n"/>
      <c r="B437" s="49" t="n"/>
      <c r="C437" s="49" t="n"/>
      <c r="D437" s="49" t="n"/>
      <c r="E437" s="49" t="n"/>
      <c r="F437" s="49" t="n"/>
    </row>
    <row r="438" ht="15.75" customHeight="1" s="57">
      <c r="A438" s="49" t="n"/>
      <c r="B438" s="49" t="n"/>
      <c r="C438" s="49" t="n"/>
      <c r="D438" s="49" t="n"/>
      <c r="E438" s="49" t="n"/>
      <c r="F438" s="49" t="n"/>
    </row>
    <row r="439" ht="15.75" customHeight="1" s="57">
      <c r="A439" s="49" t="n"/>
      <c r="B439" s="49" t="n"/>
      <c r="C439" s="49" t="n"/>
      <c r="D439" s="49" t="n"/>
      <c r="E439" s="49" t="n"/>
      <c r="F439" s="49" t="n"/>
    </row>
    <row r="440" ht="15.75" customHeight="1" s="57">
      <c r="A440" s="49" t="n"/>
      <c r="B440" s="49" t="n"/>
      <c r="C440" s="49" t="n"/>
      <c r="D440" s="49" t="n"/>
      <c r="E440" s="49" t="n"/>
      <c r="F440" s="49" t="n"/>
    </row>
    <row r="441" ht="15.75" customHeight="1" s="57">
      <c r="A441" s="49" t="n"/>
      <c r="B441" s="49" t="n"/>
      <c r="C441" s="49" t="n"/>
      <c r="D441" s="49" t="n"/>
      <c r="E441" s="49" t="n"/>
      <c r="F441" s="49" t="n"/>
    </row>
    <row r="442" ht="15.75" customHeight="1" s="57">
      <c r="A442" s="49" t="n"/>
      <c r="B442" s="49" t="n"/>
      <c r="C442" s="49" t="n"/>
      <c r="D442" s="49" t="n"/>
      <c r="E442" s="49" t="n"/>
      <c r="F442" s="49" t="n"/>
    </row>
    <row r="443" ht="15.75" customHeight="1" s="57">
      <c r="A443" s="49" t="n"/>
      <c r="B443" s="49" t="n"/>
      <c r="C443" s="49" t="n"/>
      <c r="D443" s="49" t="n"/>
      <c r="E443" s="49" t="n"/>
      <c r="F443" s="49" t="n"/>
    </row>
    <row r="444" ht="15.75" customHeight="1" s="57">
      <c r="A444" s="49" t="n"/>
      <c r="B444" s="49" t="n"/>
      <c r="C444" s="49" t="n"/>
      <c r="D444" s="49" t="n"/>
      <c r="E444" s="49" t="n"/>
      <c r="F444" s="49" t="n"/>
    </row>
    <row r="445" ht="15.75" customHeight="1" s="57">
      <c r="A445" s="49" t="n"/>
      <c r="B445" s="49" t="n"/>
      <c r="C445" s="49" t="n"/>
      <c r="D445" s="49" t="n"/>
      <c r="E445" s="49" t="n"/>
      <c r="F445" s="49" t="n"/>
    </row>
    <row r="446" ht="15.75" customHeight="1" s="57">
      <c r="A446" s="49" t="n"/>
      <c r="B446" s="49" t="n"/>
      <c r="C446" s="49" t="n"/>
      <c r="D446" s="49" t="n"/>
      <c r="E446" s="49" t="n"/>
      <c r="F446" s="49" t="n"/>
    </row>
    <row r="447" ht="15.75" customHeight="1" s="57">
      <c r="A447" s="49" t="n"/>
      <c r="B447" s="49" t="n"/>
      <c r="C447" s="49" t="n"/>
      <c r="D447" s="49" t="n"/>
      <c r="E447" s="49" t="n"/>
      <c r="F447" s="49" t="n"/>
    </row>
    <row r="448" ht="15.75" customHeight="1" s="57">
      <c r="A448" s="49" t="n"/>
      <c r="B448" s="49" t="n"/>
      <c r="C448" s="49" t="n"/>
      <c r="D448" s="49" t="n"/>
      <c r="E448" s="49" t="n"/>
      <c r="F448" s="49" t="n"/>
    </row>
    <row r="449" ht="15.75" customHeight="1" s="57">
      <c r="A449" s="49" t="n"/>
      <c r="B449" s="49" t="n"/>
      <c r="C449" s="49" t="n"/>
      <c r="D449" s="49" t="n"/>
      <c r="E449" s="49" t="n"/>
      <c r="F449" s="49" t="n"/>
    </row>
    <row r="450" ht="15.75" customHeight="1" s="57">
      <c r="A450" s="49" t="n"/>
      <c r="B450" s="49" t="n"/>
      <c r="C450" s="49" t="n"/>
      <c r="D450" s="49" t="n"/>
      <c r="E450" s="49" t="n"/>
      <c r="F450" s="49" t="n"/>
    </row>
    <row r="451" ht="15.75" customHeight="1" s="57">
      <c r="A451" s="49" t="n"/>
      <c r="B451" s="49" t="n"/>
      <c r="C451" s="49" t="n"/>
      <c r="D451" s="49" t="n"/>
      <c r="E451" s="49" t="n"/>
      <c r="F451" s="49" t="n"/>
    </row>
    <row r="452" ht="15.75" customHeight="1" s="57">
      <c r="A452" s="49" t="n"/>
      <c r="B452" s="49" t="n"/>
      <c r="C452" s="49" t="n"/>
      <c r="D452" s="49" t="n"/>
      <c r="E452" s="49" t="n"/>
      <c r="F452" s="49" t="n"/>
    </row>
    <row r="453" ht="15.75" customHeight="1" s="57">
      <c r="A453" s="49" t="n"/>
      <c r="B453" s="49" t="n"/>
      <c r="C453" s="49" t="n"/>
      <c r="D453" s="49" t="n"/>
      <c r="E453" s="49" t="n"/>
      <c r="F453" s="49" t="n"/>
    </row>
    <row r="454" ht="15.75" customHeight="1" s="57">
      <c r="A454" s="49" t="n"/>
      <c r="B454" s="49" t="n"/>
      <c r="C454" s="49" t="n"/>
      <c r="D454" s="49" t="n"/>
      <c r="E454" s="49" t="n"/>
      <c r="F454" s="49" t="n"/>
    </row>
    <row r="455" ht="15.75" customHeight="1" s="57">
      <c r="A455" s="49" t="n"/>
      <c r="B455" s="49" t="n"/>
      <c r="C455" s="49" t="n"/>
      <c r="D455" s="49" t="n"/>
      <c r="E455" s="49" t="n"/>
      <c r="F455" s="49" t="n"/>
    </row>
    <row r="456" ht="15.75" customHeight="1" s="57">
      <c r="A456" s="49" t="n"/>
      <c r="B456" s="49" t="n"/>
      <c r="C456" s="49" t="n"/>
      <c r="D456" s="49" t="n"/>
      <c r="E456" s="49" t="n"/>
      <c r="F456" s="49" t="n"/>
    </row>
    <row r="457" ht="15.75" customHeight="1" s="57">
      <c r="A457" s="49" t="n"/>
      <c r="B457" s="49" t="n"/>
      <c r="C457" s="49" t="n"/>
      <c r="D457" s="49" t="n"/>
      <c r="E457" s="49" t="n"/>
      <c r="F457" s="49" t="n"/>
    </row>
    <row r="458" ht="15.75" customHeight="1" s="57">
      <c r="A458" s="49" t="n"/>
      <c r="B458" s="49" t="n"/>
      <c r="C458" s="49" t="n"/>
      <c r="D458" s="49" t="n"/>
      <c r="E458" s="49" t="n"/>
      <c r="F458" s="49" t="n"/>
    </row>
    <row r="459" ht="15.75" customHeight="1" s="57">
      <c r="A459" s="49" t="n"/>
      <c r="B459" s="49" t="n"/>
      <c r="C459" s="49" t="n"/>
      <c r="D459" s="49" t="n"/>
      <c r="E459" s="49" t="n"/>
      <c r="F459" s="49" t="n"/>
    </row>
    <row r="460" ht="15.75" customHeight="1" s="57">
      <c r="A460" s="49" t="n"/>
      <c r="B460" s="49" t="n"/>
      <c r="C460" s="49" t="n"/>
      <c r="D460" s="49" t="n"/>
      <c r="E460" s="49" t="n"/>
      <c r="F460" s="49" t="n"/>
    </row>
    <row r="461" ht="15.75" customHeight="1" s="57">
      <c r="A461" s="49" t="n"/>
      <c r="B461" s="49" t="n"/>
      <c r="C461" s="49" t="n"/>
      <c r="D461" s="49" t="n"/>
      <c r="E461" s="49" t="n"/>
      <c r="F461" s="49" t="n"/>
    </row>
    <row r="462" ht="15.75" customHeight="1" s="57">
      <c r="A462" s="49" t="n"/>
      <c r="B462" s="49" t="n"/>
      <c r="C462" s="49" t="n"/>
      <c r="D462" s="49" t="n"/>
      <c r="E462" s="49" t="n"/>
      <c r="F462" s="49" t="n"/>
    </row>
    <row r="463" ht="15.75" customHeight="1" s="57">
      <c r="A463" s="49" t="n"/>
      <c r="B463" s="49" t="n"/>
      <c r="C463" s="49" t="n"/>
      <c r="D463" s="49" t="n"/>
      <c r="E463" s="49" t="n"/>
      <c r="F463" s="49" t="n"/>
    </row>
    <row r="464" ht="15.75" customHeight="1" s="57">
      <c r="A464" s="49" t="n"/>
      <c r="B464" s="49" t="n"/>
      <c r="C464" s="49" t="n"/>
      <c r="D464" s="49" t="n"/>
      <c r="E464" s="49" t="n"/>
      <c r="F464" s="49" t="n"/>
    </row>
    <row r="465" ht="15.75" customHeight="1" s="57">
      <c r="A465" s="49" t="n"/>
      <c r="B465" s="49" t="n"/>
      <c r="C465" s="49" t="n"/>
      <c r="D465" s="49" t="n"/>
      <c r="E465" s="49" t="n"/>
      <c r="F465" s="49" t="n"/>
    </row>
    <row r="466" ht="15.75" customHeight="1" s="57">
      <c r="A466" s="49" t="n"/>
      <c r="B466" s="49" t="n"/>
      <c r="C466" s="49" t="n"/>
      <c r="D466" s="49" t="n"/>
      <c r="E466" s="49" t="n"/>
      <c r="F466" s="49" t="n"/>
    </row>
    <row r="467" ht="15.75" customHeight="1" s="57">
      <c r="A467" s="49" t="n"/>
      <c r="B467" s="49" t="n"/>
      <c r="C467" s="49" t="n"/>
      <c r="D467" s="49" t="n"/>
      <c r="E467" s="49" t="n"/>
      <c r="F467" s="49" t="n"/>
    </row>
    <row r="468" ht="15.75" customHeight="1" s="57">
      <c r="A468" s="49" t="n"/>
      <c r="B468" s="49" t="n"/>
      <c r="C468" s="49" t="n"/>
      <c r="D468" s="49" t="n"/>
      <c r="E468" s="49" t="n"/>
      <c r="F468" s="49" t="n"/>
    </row>
    <row r="469" ht="15.75" customHeight="1" s="57">
      <c r="A469" s="49" t="n"/>
      <c r="B469" s="49" t="n"/>
      <c r="C469" s="49" t="n"/>
      <c r="D469" s="49" t="n"/>
      <c r="E469" s="49" t="n"/>
      <c r="F469" s="49" t="n"/>
    </row>
    <row r="470" ht="15.75" customHeight="1" s="57">
      <c r="A470" s="49" t="n"/>
      <c r="B470" s="49" t="n"/>
      <c r="C470" s="49" t="n"/>
      <c r="D470" s="49" t="n"/>
      <c r="E470" s="49" t="n"/>
      <c r="F470" s="49" t="n"/>
    </row>
    <row r="471" ht="15.75" customHeight="1" s="57">
      <c r="A471" s="49" t="n"/>
      <c r="B471" s="49" t="n"/>
      <c r="C471" s="49" t="n"/>
      <c r="D471" s="49" t="n"/>
      <c r="E471" s="49" t="n"/>
      <c r="F471" s="49" t="n"/>
    </row>
    <row r="472" ht="15.75" customHeight="1" s="57">
      <c r="A472" s="49" t="n"/>
      <c r="B472" s="49" t="n"/>
      <c r="C472" s="49" t="n"/>
      <c r="D472" s="49" t="n"/>
      <c r="E472" s="49" t="n"/>
      <c r="F472" s="49" t="n"/>
    </row>
    <row r="473" ht="15.75" customHeight="1" s="57">
      <c r="A473" s="49" t="n"/>
      <c r="B473" s="49" t="n"/>
      <c r="C473" s="49" t="n"/>
      <c r="D473" s="49" t="n"/>
      <c r="E473" s="49" t="n"/>
      <c r="F473" s="49" t="n"/>
    </row>
    <row r="474" ht="15.75" customHeight="1" s="57">
      <c r="A474" s="49" t="n"/>
      <c r="B474" s="49" t="n"/>
      <c r="C474" s="49" t="n"/>
      <c r="D474" s="49" t="n"/>
      <c r="E474" s="49" t="n"/>
      <c r="F474" s="49" t="n"/>
    </row>
    <row r="475" ht="15.75" customHeight="1" s="57">
      <c r="A475" s="49" t="n"/>
      <c r="B475" s="49" t="n"/>
      <c r="C475" s="49" t="n"/>
      <c r="D475" s="49" t="n"/>
      <c r="E475" s="49" t="n"/>
      <c r="F475" s="49" t="n"/>
    </row>
    <row r="476" ht="15.75" customHeight="1" s="57">
      <c r="A476" s="49" t="n"/>
      <c r="B476" s="49" t="n"/>
      <c r="C476" s="49" t="n"/>
      <c r="D476" s="49" t="n"/>
      <c r="E476" s="49" t="n"/>
      <c r="F476" s="49" t="n"/>
    </row>
    <row r="477" ht="15.75" customHeight="1" s="57">
      <c r="A477" s="49" t="n"/>
      <c r="B477" s="49" t="n"/>
      <c r="C477" s="49" t="n"/>
      <c r="D477" s="49" t="n"/>
      <c r="E477" s="49" t="n"/>
      <c r="F477" s="49" t="n"/>
    </row>
    <row r="478" ht="15.75" customHeight="1" s="57">
      <c r="A478" s="49" t="n"/>
      <c r="B478" s="49" t="n"/>
      <c r="C478" s="49" t="n"/>
      <c r="D478" s="49" t="n"/>
      <c r="E478" s="49" t="n"/>
      <c r="F478" s="49" t="n"/>
    </row>
    <row r="479" ht="15.75" customHeight="1" s="57">
      <c r="A479" s="49" t="n"/>
      <c r="B479" s="49" t="n"/>
      <c r="C479" s="49" t="n"/>
      <c r="D479" s="49" t="n"/>
      <c r="E479" s="49" t="n"/>
      <c r="F479" s="49" t="n"/>
    </row>
    <row r="480" ht="15.75" customHeight="1" s="57">
      <c r="A480" s="49" t="n"/>
      <c r="B480" s="49" t="n"/>
      <c r="C480" s="49" t="n"/>
      <c r="D480" s="49" t="n"/>
      <c r="E480" s="49" t="n"/>
      <c r="F480" s="49" t="n"/>
    </row>
    <row r="481" ht="15.75" customHeight="1" s="57">
      <c r="A481" s="49" t="n"/>
      <c r="B481" s="49" t="n"/>
      <c r="C481" s="49" t="n"/>
      <c r="D481" s="49" t="n"/>
      <c r="E481" s="49" t="n"/>
      <c r="F481" s="49" t="n"/>
    </row>
    <row r="482" ht="15.75" customHeight="1" s="57">
      <c r="A482" s="49" t="n"/>
      <c r="B482" s="49" t="n"/>
      <c r="C482" s="49" t="n"/>
      <c r="D482" s="49" t="n"/>
      <c r="E482" s="49" t="n"/>
      <c r="F482" s="49" t="n"/>
    </row>
    <row r="483" ht="15.75" customHeight="1" s="57">
      <c r="A483" s="49" t="n"/>
      <c r="B483" s="49" t="n"/>
      <c r="C483" s="49" t="n"/>
      <c r="D483" s="49" t="n"/>
      <c r="E483" s="49" t="n"/>
      <c r="F483" s="49" t="n"/>
    </row>
    <row r="484" ht="15.75" customHeight="1" s="57">
      <c r="A484" s="49" t="n"/>
      <c r="B484" s="49" t="n"/>
      <c r="C484" s="49" t="n"/>
      <c r="D484" s="49" t="n"/>
      <c r="E484" s="49" t="n"/>
      <c r="F484" s="49" t="n"/>
    </row>
    <row r="485" ht="15.75" customHeight="1" s="57">
      <c r="A485" s="49" t="n"/>
      <c r="B485" s="49" t="n"/>
      <c r="C485" s="49" t="n"/>
      <c r="D485" s="49" t="n"/>
      <c r="E485" s="49" t="n"/>
      <c r="F485" s="49" t="n"/>
    </row>
    <row r="486" ht="15.75" customHeight="1" s="57">
      <c r="A486" s="49" t="n"/>
      <c r="B486" s="49" t="n"/>
      <c r="C486" s="49" t="n"/>
      <c r="D486" s="49" t="n"/>
      <c r="E486" s="49" t="n"/>
      <c r="F486" s="49" t="n"/>
    </row>
    <row r="487" ht="15.75" customHeight="1" s="57">
      <c r="A487" s="49" t="n"/>
      <c r="B487" s="49" t="n"/>
      <c r="C487" s="49" t="n"/>
      <c r="D487" s="49" t="n"/>
      <c r="E487" s="49" t="n"/>
      <c r="F487" s="49" t="n"/>
    </row>
    <row r="488" ht="15.75" customHeight="1" s="57">
      <c r="A488" s="49" t="n"/>
      <c r="B488" s="49" t="n"/>
      <c r="C488" s="49" t="n"/>
      <c r="D488" s="49" t="n"/>
      <c r="E488" s="49" t="n"/>
      <c r="F488" s="49" t="n"/>
    </row>
    <row r="489" ht="15.75" customHeight="1" s="57">
      <c r="A489" s="49" t="n"/>
      <c r="B489" s="49" t="n"/>
      <c r="C489" s="49" t="n"/>
      <c r="D489" s="49" t="n"/>
      <c r="E489" s="49" t="n"/>
      <c r="F489" s="49" t="n"/>
    </row>
    <row r="490" ht="15.75" customHeight="1" s="57">
      <c r="A490" s="49" t="n"/>
      <c r="B490" s="49" t="n"/>
      <c r="C490" s="49" t="n"/>
      <c r="D490" s="49" t="n"/>
      <c r="E490" s="49" t="n"/>
      <c r="F490" s="49" t="n"/>
    </row>
    <row r="491" ht="15.75" customHeight="1" s="57">
      <c r="A491" s="49" t="n"/>
      <c r="B491" s="49" t="n"/>
      <c r="C491" s="49" t="n"/>
      <c r="D491" s="49" t="n"/>
      <c r="E491" s="49" t="n"/>
      <c r="F491" s="49" t="n"/>
    </row>
    <row r="492" ht="15.75" customHeight="1" s="57">
      <c r="A492" s="49" t="n"/>
      <c r="B492" s="49" t="n"/>
      <c r="C492" s="49" t="n"/>
      <c r="D492" s="49" t="n"/>
      <c r="E492" s="49" t="n"/>
      <c r="F492" s="49" t="n"/>
    </row>
    <row r="493" ht="15.75" customHeight="1" s="57">
      <c r="A493" s="49" t="n"/>
      <c r="B493" s="49" t="n"/>
      <c r="C493" s="49" t="n"/>
      <c r="D493" s="49" t="n"/>
      <c r="E493" s="49" t="n"/>
      <c r="F493" s="49" t="n"/>
    </row>
    <row r="494" ht="15.75" customHeight="1" s="57">
      <c r="A494" s="49" t="n"/>
      <c r="B494" s="49" t="n"/>
      <c r="C494" s="49" t="n"/>
      <c r="D494" s="49" t="n"/>
      <c r="E494" s="49" t="n"/>
      <c r="F494" s="49" t="n"/>
    </row>
    <row r="495" ht="15.75" customHeight="1" s="57">
      <c r="A495" s="49" t="n"/>
      <c r="B495" s="49" t="n"/>
      <c r="C495" s="49" t="n"/>
      <c r="D495" s="49" t="n"/>
      <c r="E495" s="49" t="n"/>
      <c r="F495" s="49" t="n"/>
    </row>
    <row r="496" ht="15.75" customHeight="1" s="57">
      <c r="A496" s="49" t="n"/>
      <c r="B496" s="49" t="n"/>
      <c r="C496" s="49" t="n"/>
      <c r="D496" s="49" t="n"/>
      <c r="E496" s="49" t="n"/>
      <c r="F496" s="49" t="n"/>
    </row>
    <row r="497" ht="15.75" customHeight="1" s="57">
      <c r="A497" s="49" t="n"/>
      <c r="B497" s="49" t="n"/>
      <c r="C497" s="49" t="n"/>
      <c r="D497" s="49" t="n"/>
      <c r="E497" s="49" t="n"/>
      <c r="F497" s="49" t="n"/>
    </row>
    <row r="498" ht="15.75" customHeight="1" s="57">
      <c r="A498" s="49" t="n"/>
      <c r="B498" s="49" t="n"/>
      <c r="C498" s="49" t="n"/>
      <c r="D498" s="49" t="n"/>
      <c r="E498" s="49" t="n"/>
      <c r="F498" s="49" t="n"/>
    </row>
    <row r="499" ht="15.75" customHeight="1" s="57">
      <c r="A499" s="49" t="n"/>
      <c r="B499" s="49" t="n"/>
      <c r="C499" s="49" t="n"/>
      <c r="D499" s="49" t="n"/>
      <c r="E499" s="49" t="n"/>
      <c r="F499" s="49" t="n"/>
    </row>
    <row r="500" ht="15.75" customHeight="1" s="57">
      <c r="A500" s="49" t="n"/>
      <c r="B500" s="49" t="n"/>
      <c r="C500" s="49" t="n"/>
      <c r="D500" s="49" t="n"/>
      <c r="E500" s="49" t="n"/>
      <c r="F500" s="49" t="n"/>
    </row>
    <row r="501" ht="15.75" customHeight="1" s="57">
      <c r="A501" s="49" t="n"/>
      <c r="B501" s="49" t="n"/>
      <c r="C501" s="49" t="n"/>
      <c r="D501" s="49" t="n"/>
      <c r="E501" s="49" t="n"/>
      <c r="F501" s="49" t="n"/>
    </row>
    <row r="502" ht="15.75" customHeight="1" s="57">
      <c r="A502" s="49" t="n"/>
      <c r="B502" s="49" t="n"/>
      <c r="C502" s="49" t="n"/>
      <c r="D502" s="49" t="n"/>
      <c r="E502" s="49" t="n"/>
      <c r="F502" s="49" t="n"/>
    </row>
    <row r="503" ht="15.75" customHeight="1" s="57">
      <c r="A503" s="49" t="n"/>
      <c r="B503" s="49" t="n"/>
      <c r="C503" s="49" t="n"/>
      <c r="D503" s="49" t="n"/>
      <c r="E503" s="49" t="n"/>
      <c r="F503" s="49" t="n"/>
    </row>
    <row r="504" ht="15.75" customHeight="1" s="57">
      <c r="A504" s="49" t="n"/>
      <c r="B504" s="49" t="n"/>
      <c r="C504" s="49" t="n"/>
      <c r="D504" s="49" t="n"/>
      <c r="E504" s="49" t="n"/>
      <c r="F504" s="49" t="n"/>
    </row>
    <row r="505" ht="15.75" customHeight="1" s="57">
      <c r="A505" s="49" t="n"/>
      <c r="B505" s="49" t="n"/>
      <c r="C505" s="49" t="n"/>
      <c r="D505" s="49" t="n"/>
      <c r="E505" s="49" t="n"/>
      <c r="F505" s="49" t="n"/>
    </row>
    <row r="506" ht="15.75" customHeight="1" s="57">
      <c r="A506" s="49" t="n"/>
      <c r="B506" s="49" t="n"/>
      <c r="C506" s="49" t="n"/>
      <c r="D506" s="49" t="n"/>
      <c r="E506" s="49" t="n"/>
      <c r="F506" s="49" t="n"/>
    </row>
    <row r="507" ht="15.75" customHeight="1" s="57">
      <c r="A507" s="49" t="n"/>
      <c r="B507" s="49" t="n"/>
      <c r="C507" s="49" t="n"/>
      <c r="D507" s="49" t="n"/>
      <c r="E507" s="49" t="n"/>
      <c r="F507" s="49" t="n"/>
    </row>
    <row r="508" ht="15.75" customHeight="1" s="57">
      <c r="A508" s="49" t="n"/>
      <c r="B508" s="49" t="n"/>
      <c r="C508" s="49" t="n"/>
      <c r="D508" s="49" t="n"/>
      <c r="E508" s="49" t="n"/>
      <c r="F508" s="49" t="n"/>
    </row>
    <row r="509" ht="15.75" customHeight="1" s="57">
      <c r="A509" s="49" t="n"/>
      <c r="B509" s="49" t="n"/>
      <c r="C509" s="49" t="n"/>
      <c r="D509" s="49" t="n"/>
      <c r="E509" s="49" t="n"/>
      <c r="F509" s="49" t="n"/>
    </row>
    <row r="510" ht="15.75" customHeight="1" s="57">
      <c r="A510" s="49" t="n"/>
      <c r="B510" s="49" t="n"/>
      <c r="C510" s="49" t="n"/>
      <c r="D510" s="49" t="n"/>
      <c r="E510" s="49" t="n"/>
      <c r="F510" s="49" t="n"/>
    </row>
    <row r="511" ht="15.75" customHeight="1" s="57">
      <c r="A511" s="49" t="n"/>
      <c r="B511" s="49" t="n"/>
      <c r="C511" s="49" t="n"/>
      <c r="D511" s="49" t="n"/>
      <c r="E511" s="49" t="n"/>
      <c r="F511" s="49" t="n"/>
    </row>
    <row r="512" ht="15.75" customHeight="1" s="57">
      <c r="A512" s="49" t="n"/>
      <c r="B512" s="49" t="n"/>
      <c r="C512" s="49" t="n"/>
      <c r="D512" s="49" t="n"/>
      <c r="E512" s="49" t="n"/>
      <c r="F512" s="49" t="n"/>
    </row>
    <row r="513" ht="15.75" customHeight="1" s="57">
      <c r="A513" s="49" t="n"/>
      <c r="B513" s="49" t="n"/>
      <c r="C513" s="49" t="n"/>
      <c r="D513" s="49" t="n"/>
      <c r="E513" s="49" t="n"/>
      <c r="F513" s="49" t="n"/>
    </row>
    <row r="514" ht="15.75" customHeight="1" s="57">
      <c r="A514" s="49" t="n"/>
      <c r="B514" s="49" t="n"/>
      <c r="C514" s="49" t="n"/>
      <c r="D514" s="49" t="n"/>
      <c r="E514" s="49" t="n"/>
      <c r="F514" s="49" t="n"/>
    </row>
    <row r="515" ht="15.75" customHeight="1" s="57">
      <c r="A515" s="49" t="n"/>
      <c r="B515" s="49" t="n"/>
      <c r="C515" s="49" t="n"/>
      <c r="D515" s="49" t="n"/>
      <c r="E515" s="49" t="n"/>
      <c r="F515" s="49" t="n"/>
    </row>
    <row r="516" ht="15.75" customHeight="1" s="57">
      <c r="A516" s="49" t="n"/>
      <c r="B516" s="49" t="n"/>
      <c r="C516" s="49" t="n"/>
      <c r="D516" s="49" t="n"/>
      <c r="E516" s="49" t="n"/>
      <c r="F516" s="49" t="n"/>
    </row>
    <row r="517" ht="15.75" customHeight="1" s="57">
      <c r="A517" s="49" t="n"/>
      <c r="B517" s="49" t="n"/>
      <c r="C517" s="49" t="n"/>
      <c r="D517" s="49" t="n"/>
      <c r="E517" s="49" t="n"/>
      <c r="F517" s="49" t="n"/>
    </row>
    <row r="518" ht="15.75" customHeight="1" s="57">
      <c r="A518" s="49" t="n"/>
      <c r="B518" s="49" t="n"/>
      <c r="C518" s="49" t="n"/>
      <c r="D518" s="49" t="n"/>
      <c r="E518" s="49" t="n"/>
      <c r="F518" s="49" t="n"/>
    </row>
    <row r="519" ht="15.75" customHeight="1" s="57">
      <c r="A519" s="49" t="n"/>
      <c r="B519" s="49" t="n"/>
      <c r="C519" s="49" t="n"/>
      <c r="D519" s="49" t="n"/>
      <c r="E519" s="49" t="n"/>
      <c r="F519" s="49" t="n"/>
    </row>
    <row r="520" ht="15.75" customHeight="1" s="57">
      <c r="A520" s="49" t="n"/>
      <c r="B520" s="49" t="n"/>
      <c r="C520" s="49" t="n"/>
      <c r="D520" s="49" t="n"/>
      <c r="E520" s="49" t="n"/>
      <c r="F520" s="49" t="n"/>
    </row>
    <row r="521" ht="15.75" customHeight="1" s="57">
      <c r="A521" s="49" t="n"/>
      <c r="B521" s="49" t="n"/>
      <c r="C521" s="49" t="n"/>
      <c r="D521" s="49" t="n"/>
      <c r="E521" s="49" t="n"/>
      <c r="F521" s="49" t="n"/>
    </row>
    <row r="522" ht="15.75" customHeight="1" s="57">
      <c r="A522" s="49" t="n"/>
      <c r="B522" s="49" t="n"/>
      <c r="C522" s="49" t="n"/>
      <c r="D522" s="49" t="n"/>
      <c r="E522" s="49" t="n"/>
      <c r="F522" s="49" t="n"/>
    </row>
    <row r="523" ht="15.75" customHeight="1" s="57">
      <c r="A523" s="49" t="n"/>
      <c r="B523" s="49" t="n"/>
      <c r="C523" s="49" t="n"/>
      <c r="D523" s="49" t="n"/>
      <c r="E523" s="49" t="n"/>
      <c r="F523" s="49" t="n"/>
    </row>
    <row r="524" ht="15.75" customHeight="1" s="57">
      <c r="A524" s="49" t="n"/>
      <c r="B524" s="49" t="n"/>
      <c r="C524" s="49" t="n"/>
      <c r="D524" s="49" t="n"/>
      <c r="E524" s="49" t="n"/>
      <c r="F524" s="49" t="n"/>
    </row>
    <row r="525" ht="15.75" customHeight="1" s="57">
      <c r="A525" s="49" t="n"/>
      <c r="B525" s="49" t="n"/>
      <c r="C525" s="49" t="n"/>
      <c r="D525" s="49" t="n"/>
      <c r="E525" s="49" t="n"/>
      <c r="F525" s="49" t="n"/>
    </row>
    <row r="526" ht="15.75" customHeight="1" s="57">
      <c r="A526" s="49" t="n"/>
      <c r="B526" s="49" t="n"/>
      <c r="C526" s="49" t="n"/>
      <c r="D526" s="49" t="n"/>
      <c r="E526" s="49" t="n"/>
      <c r="F526" s="49" t="n"/>
    </row>
    <row r="527" ht="15.75" customHeight="1" s="57">
      <c r="A527" s="49" t="n"/>
      <c r="B527" s="49" t="n"/>
      <c r="C527" s="49" t="n"/>
      <c r="D527" s="49" t="n"/>
      <c r="E527" s="49" t="n"/>
      <c r="F527" s="49" t="n"/>
    </row>
    <row r="528" ht="15.75" customHeight="1" s="57">
      <c r="A528" s="49" t="n"/>
      <c r="B528" s="49" t="n"/>
      <c r="C528" s="49" t="n"/>
      <c r="D528" s="49" t="n"/>
      <c r="E528" s="49" t="n"/>
      <c r="F528" s="49" t="n"/>
    </row>
    <row r="529" ht="15.75" customHeight="1" s="57">
      <c r="A529" s="49" t="n"/>
      <c r="B529" s="49" t="n"/>
      <c r="C529" s="49" t="n"/>
      <c r="D529" s="49" t="n"/>
      <c r="E529" s="49" t="n"/>
      <c r="F529" s="49" t="n"/>
    </row>
    <row r="530" ht="15.75" customHeight="1" s="57">
      <c r="A530" s="49" t="n"/>
      <c r="B530" s="49" t="n"/>
      <c r="C530" s="49" t="n"/>
      <c r="D530" s="49" t="n"/>
      <c r="E530" s="49" t="n"/>
      <c r="F530" s="49" t="n"/>
    </row>
    <row r="531" ht="15.75" customHeight="1" s="57">
      <c r="A531" s="49" t="n"/>
      <c r="B531" s="49" t="n"/>
      <c r="C531" s="49" t="n"/>
      <c r="D531" s="49" t="n"/>
      <c r="E531" s="49" t="n"/>
      <c r="F531" s="49" t="n"/>
    </row>
    <row r="532" ht="15.75" customHeight="1" s="57">
      <c r="A532" s="49" t="n"/>
      <c r="B532" s="49" t="n"/>
      <c r="C532" s="49" t="n"/>
      <c r="D532" s="49" t="n"/>
      <c r="E532" s="49" t="n"/>
      <c r="F532" s="49" t="n"/>
    </row>
    <row r="533" ht="15.75" customHeight="1" s="57">
      <c r="A533" s="49" t="n"/>
      <c r="B533" s="49" t="n"/>
      <c r="C533" s="49" t="n"/>
      <c r="D533" s="49" t="n"/>
      <c r="E533" s="49" t="n"/>
      <c r="F533" s="49" t="n"/>
    </row>
    <row r="534" ht="15.75" customHeight="1" s="57">
      <c r="A534" s="49" t="n"/>
      <c r="B534" s="49" t="n"/>
      <c r="C534" s="49" t="n"/>
      <c r="D534" s="49" t="n"/>
      <c r="E534" s="49" t="n"/>
      <c r="F534" s="49" t="n"/>
    </row>
    <row r="535" ht="15.75" customHeight="1" s="57">
      <c r="A535" s="49" t="n"/>
      <c r="B535" s="49" t="n"/>
      <c r="C535" s="49" t="n"/>
      <c r="D535" s="49" t="n"/>
      <c r="E535" s="49" t="n"/>
      <c r="F535" s="49" t="n"/>
    </row>
    <row r="536" ht="15.75" customHeight="1" s="57">
      <c r="A536" s="49" t="n"/>
      <c r="B536" s="49" t="n"/>
      <c r="C536" s="49" t="n"/>
      <c r="D536" s="49" t="n"/>
      <c r="E536" s="49" t="n"/>
      <c r="F536" s="49" t="n"/>
    </row>
    <row r="537" ht="15.75" customHeight="1" s="57">
      <c r="A537" s="49" t="n"/>
      <c r="B537" s="49" t="n"/>
      <c r="C537" s="49" t="n"/>
      <c r="D537" s="49" t="n"/>
      <c r="E537" s="49" t="n"/>
      <c r="F537" s="49" t="n"/>
    </row>
    <row r="538" ht="15.75" customHeight="1" s="57">
      <c r="A538" s="49" t="n"/>
      <c r="B538" s="49" t="n"/>
      <c r="C538" s="49" t="n"/>
      <c r="D538" s="49" t="n"/>
      <c r="E538" s="49" t="n"/>
      <c r="F538" s="49" t="n"/>
    </row>
    <row r="539" ht="15.75" customHeight="1" s="57">
      <c r="A539" s="49" t="n"/>
      <c r="B539" s="49" t="n"/>
      <c r="C539" s="49" t="n"/>
      <c r="D539" s="49" t="n"/>
      <c r="E539" s="49" t="n"/>
      <c r="F539" s="49" t="n"/>
    </row>
    <row r="540" ht="15.75" customHeight="1" s="57">
      <c r="A540" s="49" t="n"/>
      <c r="B540" s="49" t="n"/>
      <c r="C540" s="49" t="n"/>
      <c r="D540" s="49" t="n"/>
      <c r="E540" s="49" t="n"/>
      <c r="F540" s="49" t="n"/>
    </row>
    <row r="541" ht="15.75" customHeight="1" s="57">
      <c r="A541" s="49" t="n"/>
      <c r="B541" s="49" t="n"/>
      <c r="C541" s="49" t="n"/>
      <c r="D541" s="49" t="n"/>
      <c r="E541" s="49" t="n"/>
      <c r="F541" s="49" t="n"/>
    </row>
    <row r="542" ht="15.75" customHeight="1" s="57">
      <c r="A542" s="49" t="n"/>
      <c r="B542" s="49" t="n"/>
      <c r="C542" s="49" t="n"/>
      <c r="D542" s="49" t="n"/>
      <c r="E542" s="49" t="n"/>
      <c r="F542" s="49" t="n"/>
    </row>
    <row r="543" ht="15.75" customHeight="1" s="57">
      <c r="A543" s="49" t="n"/>
      <c r="B543" s="49" t="n"/>
      <c r="C543" s="49" t="n"/>
      <c r="D543" s="49" t="n"/>
      <c r="E543" s="49" t="n"/>
      <c r="F543" s="49" t="n"/>
    </row>
    <row r="544" ht="15.75" customHeight="1" s="57">
      <c r="A544" s="49" t="n"/>
      <c r="B544" s="49" t="n"/>
      <c r="C544" s="49" t="n"/>
      <c r="D544" s="49" t="n"/>
      <c r="E544" s="49" t="n"/>
      <c r="F544" s="49" t="n"/>
    </row>
    <row r="545" ht="15.75" customHeight="1" s="57">
      <c r="A545" s="49" t="n"/>
      <c r="B545" s="49" t="n"/>
      <c r="C545" s="49" t="n"/>
      <c r="D545" s="49" t="n"/>
      <c r="E545" s="49" t="n"/>
      <c r="F545" s="49" t="n"/>
    </row>
    <row r="546" ht="15.75" customHeight="1" s="57">
      <c r="A546" s="49" t="n"/>
      <c r="B546" s="49" t="n"/>
      <c r="C546" s="49" t="n"/>
      <c r="D546" s="49" t="n"/>
      <c r="E546" s="49" t="n"/>
      <c r="F546" s="49" t="n"/>
    </row>
    <row r="547" ht="15.75" customHeight="1" s="57">
      <c r="A547" s="49" t="n"/>
      <c r="B547" s="49" t="n"/>
      <c r="C547" s="49" t="n"/>
      <c r="D547" s="49" t="n"/>
      <c r="E547" s="49" t="n"/>
      <c r="F547" s="49" t="n"/>
    </row>
    <row r="548" ht="15.75" customHeight="1" s="57">
      <c r="A548" s="49" t="n"/>
      <c r="B548" s="49" t="n"/>
      <c r="C548" s="49" t="n"/>
      <c r="D548" s="49" t="n"/>
      <c r="E548" s="49" t="n"/>
      <c r="F548" s="49" t="n"/>
    </row>
    <row r="549" ht="15.75" customHeight="1" s="57">
      <c r="A549" s="49" t="n"/>
      <c r="B549" s="49" t="n"/>
      <c r="C549" s="49" t="n"/>
      <c r="D549" s="49" t="n"/>
      <c r="E549" s="49" t="n"/>
      <c r="F549" s="49" t="n"/>
    </row>
    <row r="550" ht="15.75" customHeight="1" s="57">
      <c r="A550" s="49" t="n"/>
      <c r="B550" s="49" t="n"/>
      <c r="C550" s="49" t="n"/>
      <c r="D550" s="49" t="n"/>
      <c r="E550" s="49" t="n"/>
      <c r="F550" s="49" t="n"/>
    </row>
    <row r="551" ht="15.75" customHeight="1" s="57">
      <c r="A551" s="49" t="n"/>
      <c r="B551" s="49" t="n"/>
      <c r="C551" s="49" t="n"/>
      <c r="D551" s="49" t="n"/>
      <c r="E551" s="49" t="n"/>
      <c r="F551" s="49" t="n"/>
    </row>
    <row r="552" ht="15.75" customHeight="1" s="57">
      <c r="A552" s="49" t="n"/>
      <c r="B552" s="49" t="n"/>
      <c r="C552" s="49" t="n"/>
      <c r="D552" s="49" t="n"/>
      <c r="E552" s="49" t="n"/>
      <c r="F552" s="49" t="n"/>
    </row>
    <row r="553" ht="15.75" customHeight="1" s="57">
      <c r="A553" s="49" t="n"/>
      <c r="B553" s="49" t="n"/>
      <c r="C553" s="49" t="n"/>
      <c r="D553" s="49" t="n"/>
      <c r="E553" s="49" t="n"/>
      <c r="F553" s="49" t="n"/>
    </row>
    <row r="554" ht="15.75" customHeight="1" s="57">
      <c r="A554" s="49" t="n"/>
      <c r="B554" s="49" t="n"/>
      <c r="C554" s="49" t="n"/>
      <c r="D554" s="49" t="n"/>
      <c r="E554" s="49" t="n"/>
      <c r="F554" s="49" t="n"/>
    </row>
    <row r="555" ht="15.75" customHeight="1" s="57">
      <c r="A555" s="49" t="n"/>
      <c r="B555" s="49" t="n"/>
      <c r="C555" s="49" t="n"/>
      <c r="D555" s="49" t="n"/>
      <c r="E555" s="49" t="n"/>
      <c r="F555" s="49" t="n"/>
    </row>
    <row r="556" ht="15.75" customHeight="1" s="57">
      <c r="A556" s="49" t="n"/>
      <c r="B556" s="49" t="n"/>
      <c r="C556" s="49" t="n"/>
      <c r="D556" s="49" t="n"/>
      <c r="E556" s="49" t="n"/>
      <c r="F556" s="49" t="n"/>
    </row>
    <row r="557" ht="15.75" customHeight="1" s="57">
      <c r="A557" s="49" t="n"/>
      <c r="B557" s="49" t="n"/>
      <c r="C557" s="49" t="n"/>
      <c r="D557" s="49" t="n"/>
      <c r="E557" s="49" t="n"/>
      <c r="F557" s="49" t="n"/>
    </row>
    <row r="558" ht="15.75" customHeight="1" s="57">
      <c r="A558" s="49" t="n"/>
      <c r="B558" s="49" t="n"/>
      <c r="C558" s="49" t="n"/>
      <c r="D558" s="49" t="n"/>
      <c r="E558" s="49" t="n"/>
      <c r="F558" s="49" t="n"/>
    </row>
    <row r="559" ht="15.75" customHeight="1" s="57">
      <c r="A559" s="49" t="n"/>
      <c r="B559" s="49" t="n"/>
      <c r="C559" s="49" t="n"/>
      <c r="D559" s="49" t="n"/>
      <c r="E559" s="49" t="n"/>
      <c r="F559" s="49" t="n"/>
    </row>
    <row r="560" ht="15.75" customHeight="1" s="57">
      <c r="A560" s="49" t="n"/>
      <c r="B560" s="49" t="n"/>
      <c r="C560" s="49" t="n"/>
      <c r="D560" s="49" t="n"/>
      <c r="E560" s="49" t="n"/>
      <c r="F560" s="49" t="n"/>
    </row>
    <row r="561" ht="15.75" customHeight="1" s="57">
      <c r="A561" s="49" t="n"/>
      <c r="B561" s="49" t="n"/>
      <c r="C561" s="49" t="n"/>
      <c r="D561" s="49" t="n"/>
      <c r="E561" s="49" t="n"/>
      <c r="F561" s="49" t="n"/>
    </row>
    <row r="562" ht="15.75" customHeight="1" s="57">
      <c r="A562" s="49" t="n"/>
      <c r="B562" s="49" t="n"/>
      <c r="C562" s="49" t="n"/>
      <c r="D562" s="49" t="n"/>
      <c r="E562" s="49" t="n"/>
      <c r="F562" s="49" t="n"/>
    </row>
    <row r="563" ht="15.75" customHeight="1" s="57">
      <c r="A563" s="49" t="n"/>
      <c r="B563" s="49" t="n"/>
      <c r="C563" s="49" t="n"/>
      <c r="D563" s="49" t="n"/>
      <c r="E563" s="49" t="n"/>
      <c r="F563" s="49" t="n"/>
    </row>
    <row r="564" ht="15.75" customHeight="1" s="57">
      <c r="A564" s="49" t="n"/>
      <c r="B564" s="49" t="n"/>
      <c r="C564" s="49" t="n"/>
      <c r="D564" s="49" t="n"/>
      <c r="E564" s="49" t="n"/>
      <c r="F564" s="49" t="n"/>
    </row>
    <row r="565" ht="15.75" customHeight="1" s="57">
      <c r="A565" s="49" t="n"/>
      <c r="B565" s="49" t="n"/>
      <c r="C565" s="49" t="n"/>
      <c r="D565" s="49" t="n"/>
      <c r="E565" s="49" t="n"/>
      <c r="F565" s="49" t="n"/>
    </row>
    <row r="566" ht="15.75" customHeight="1" s="57">
      <c r="A566" s="49" t="n"/>
      <c r="B566" s="49" t="n"/>
      <c r="C566" s="49" t="n"/>
      <c r="D566" s="49" t="n"/>
      <c r="E566" s="49" t="n"/>
      <c r="F566" s="49" t="n"/>
    </row>
    <row r="567" ht="15.75" customHeight="1" s="57">
      <c r="A567" s="49" t="n"/>
      <c r="B567" s="49" t="n"/>
      <c r="C567" s="49" t="n"/>
      <c r="D567" s="49" t="n"/>
      <c r="E567" s="49" t="n"/>
      <c r="F567" s="49" t="n"/>
    </row>
    <row r="568" ht="15.75" customHeight="1" s="57">
      <c r="A568" s="49" t="n"/>
      <c r="B568" s="49" t="n"/>
      <c r="C568" s="49" t="n"/>
      <c r="D568" s="49" t="n"/>
      <c r="E568" s="49" t="n"/>
      <c r="F568" s="49" t="n"/>
    </row>
    <row r="569" ht="15.75" customHeight="1" s="57">
      <c r="A569" s="49" t="n"/>
      <c r="B569" s="49" t="n"/>
      <c r="C569" s="49" t="n"/>
      <c r="D569" s="49" t="n"/>
      <c r="E569" s="49" t="n"/>
      <c r="F569" s="49" t="n"/>
    </row>
    <row r="570" ht="15.75" customHeight="1" s="57">
      <c r="A570" s="49" t="n"/>
      <c r="B570" s="49" t="n"/>
      <c r="C570" s="49" t="n"/>
      <c r="D570" s="49" t="n"/>
      <c r="E570" s="49" t="n"/>
      <c r="F570" s="49" t="n"/>
    </row>
    <row r="571" ht="15.75" customHeight="1" s="57">
      <c r="A571" s="49" t="n"/>
      <c r="B571" s="49" t="n"/>
      <c r="C571" s="49" t="n"/>
      <c r="D571" s="49" t="n"/>
      <c r="E571" s="49" t="n"/>
      <c r="F571" s="49" t="n"/>
    </row>
    <row r="572" ht="15.75" customHeight="1" s="57">
      <c r="A572" s="49" t="n"/>
      <c r="B572" s="49" t="n"/>
      <c r="C572" s="49" t="n"/>
      <c r="D572" s="49" t="n"/>
      <c r="E572" s="49" t="n"/>
      <c r="F572" s="49" t="n"/>
    </row>
    <row r="573" ht="15.75" customHeight="1" s="57">
      <c r="A573" s="49" t="n"/>
      <c r="B573" s="49" t="n"/>
      <c r="C573" s="49" t="n"/>
      <c r="D573" s="49" t="n"/>
      <c r="E573" s="49" t="n"/>
      <c r="F573" s="49" t="n"/>
    </row>
    <row r="574" ht="15.75" customHeight="1" s="57">
      <c r="A574" s="49" t="n"/>
      <c r="B574" s="49" t="n"/>
      <c r="C574" s="49" t="n"/>
      <c r="D574" s="49" t="n"/>
      <c r="E574" s="49" t="n"/>
      <c r="F574" s="49" t="n"/>
    </row>
    <row r="575" ht="15.75" customHeight="1" s="57">
      <c r="A575" s="49" t="n"/>
      <c r="B575" s="49" t="n"/>
      <c r="C575" s="49" t="n"/>
      <c r="D575" s="49" t="n"/>
      <c r="E575" s="49" t="n"/>
      <c r="F575" s="49" t="n"/>
    </row>
    <row r="576" ht="15.75" customHeight="1" s="57">
      <c r="A576" s="49" t="n"/>
      <c r="B576" s="49" t="n"/>
      <c r="C576" s="49" t="n"/>
      <c r="D576" s="49" t="n"/>
      <c r="E576" s="49" t="n"/>
      <c r="F576" s="49" t="n"/>
    </row>
    <row r="577" ht="15.75" customHeight="1" s="57">
      <c r="A577" s="49" t="n"/>
      <c r="B577" s="49" t="n"/>
      <c r="C577" s="49" t="n"/>
      <c r="D577" s="49" t="n"/>
      <c r="E577" s="49" t="n"/>
      <c r="F577" s="49" t="n"/>
    </row>
    <row r="578" ht="15.75" customHeight="1" s="57">
      <c r="A578" s="49" t="n"/>
      <c r="B578" s="49" t="n"/>
      <c r="C578" s="49" t="n"/>
      <c r="D578" s="49" t="n"/>
      <c r="E578" s="49" t="n"/>
      <c r="F578" s="49" t="n"/>
    </row>
    <row r="579" ht="15.75" customHeight="1" s="57">
      <c r="A579" s="49" t="n"/>
      <c r="B579" s="49" t="n"/>
      <c r="C579" s="49" t="n"/>
      <c r="D579" s="49" t="n"/>
      <c r="E579" s="49" t="n"/>
      <c r="F579" s="49" t="n"/>
    </row>
    <row r="580" ht="15.75" customHeight="1" s="57">
      <c r="A580" s="49" t="n"/>
      <c r="B580" s="49" t="n"/>
      <c r="C580" s="49" t="n"/>
      <c r="D580" s="49" t="n"/>
      <c r="E580" s="49" t="n"/>
      <c r="F580" s="49" t="n"/>
    </row>
    <row r="581" ht="15.75" customHeight="1" s="57">
      <c r="A581" s="49" t="n"/>
      <c r="B581" s="49" t="n"/>
      <c r="C581" s="49" t="n"/>
      <c r="D581" s="49" t="n"/>
      <c r="E581" s="49" t="n"/>
      <c r="F581" s="49" t="n"/>
    </row>
    <row r="582" ht="15.75" customHeight="1" s="57">
      <c r="A582" s="49" t="n"/>
      <c r="B582" s="49" t="n"/>
      <c r="C582" s="49" t="n"/>
      <c r="D582" s="49" t="n"/>
      <c r="E582" s="49" t="n"/>
      <c r="F582" s="49" t="n"/>
    </row>
    <row r="583" ht="15.75" customHeight="1" s="57">
      <c r="A583" s="49" t="n"/>
      <c r="B583" s="49" t="n"/>
      <c r="C583" s="49" t="n"/>
      <c r="D583" s="49" t="n"/>
      <c r="E583" s="49" t="n"/>
      <c r="F583" s="49" t="n"/>
    </row>
    <row r="584" ht="15.75" customHeight="1" s="57">
      <c r="A584" s="49" t="n"/>
      <c r="B584" s="49" t="n"/>
      <c r="C584" s="49" t="n"/>
      <c r="D584" s="49" t="n"/>
      <c r="E584" s="49" t="n"/>
      <c r="F584" s="49" t="n"/>
    </row>
    <row r="585" ht="15.75" customHeight="1" s="57">
      <c r="A585" s="49" t="n"/>
      <c r="B585" s="49" t="n"/>
      <c r="C585" s="49" t="n"/>
      <c r="D585" s="49" t="n"/>
      <c r="E585" s="49" t="n"/>
      <c r="F585" s="49" t="n"/>
    </row>
    <row r="586" ht="15.75" customHeight="1" s="57">
      <c r="A586" s="49" t="n"/>
      <c r="B586" s="49" t="n"/>
      <c r="C586" s="49" t="n"/>
      <c r="D586" s="49" t="n"/>
      <c r="E586" s="49" t="n"/>
      <c r="F586" s="49" t="n"/>
    </row>
    <row r="587" ht="15.75" customHeight="1" s="57">
      <c r="A587" s="49" t="n"/>
      <c r="B587" s="49" t="n"/>
      <c r="C587" s="49" t="n"/>
      <c r="D587" s="49" t="n"/>
      <c r="E587" s="49" t="n"/>
      <c r="F587" s="49" t="n"/>
    </row>
    <row r="588" ht="15.75" customHeight="1" s="57">
      <c r="A588" s="49" t="n"/>
      <c r="B588" s="49" t="n"/>
      <c r="C588" s="49" t="n"/>
      <c r="D588" s="49" t="n"/>
      <c r="E588" s="49" t="n"/>
      <c r="F588" s="49" t="n"/>
    </row>
    <row r="589" ht="15.75" customHeight="1" s="57">
      <c r="A589" s="49" t="n"/>
      <c r="B589" s="49" t="n"/>
      <c r="C589" s="49" t="n"/>
      <c r="D589" s="49" t="n"/>
      <c r="E589" s="49" t="n"/>
      <c r="F589" s="49" t="n"/>
    </row>
    <row r="590" ht="15.75" customHeight="1" s="57">
      <c r="A590" s="49" t="n"/>
      <c r="B590" s="49" t="n"/>
      <c r="C590" s="49" t="n"/>
      <c r="D590" s="49" t="n"/>
      <c r="E590" s="49" t="n"/>
      <c r="F590" s="49" t="n"/>
    </row>
    <row r="591" ht="15.75" customHeight="1" s="57">
      <c r="A591" s="49" t="n"/>
      <c r="B591" s="49" t="n"/>
      <c r="C591" s="49" t="n"/>
      <c r="D591" s="49" t="n"/>
      <c r="E591" s="49" t="n"/>
      <c r="F591" s="49" t="n"/>
    </row>
    <row r="592" ht="15.75" customHeight="1" s="57">
      <c r="A592" s="49" t="n"/>
      <c r="B592" s="49" t="n"/>
      <c r="C592" s="49" t="n"/>
      <c r="D592" s="49" t="n"/>
      <c r="E592" s="49" t="n"/>
      <c r="F592" s="49" t="n"/>
    </row>
    <row r="593" ht="15.75" customHeight="1" s="57">
      <c r="A593" s="49" t="n"/>
      <c r="B593" s="49" t="n"/>
      <c r="C593" s="49" t="n"/>
      <c r="D593" s="49" t="n"/>
      <c r="E593" s="49" t="n"/>
      <c r="F593" s="49" t="n"/>
    </row>
    <row r="594" ht="15.75" customHeight="1" s="57">
      <c r="A594" s="49" t="n"/>
      <c r="B594" s="49" t="n"/>
      <c r="C594" s="49" t="n"/>
      <c r="D594" s="49" t="n"/>
      <c r="E594" s="49" t="n"/>
      <c r="F594" s="49" t="n"/>
    </row>
    <row r="595" ht="15.75" customHeight="1" s="57">
      <c r="A595" s="49" t="n"/>
      <c r="B595" s="49" t="n"/>
      <c r="C595" s="49" t="n"/>
      <c r="D595" s="49" t="n"/>
      <c r="E595" s="49" t="n"/>
      <c r="F595" s="49" t="n"/>
    </row>
    <row r="596" ht="15.75" customHeight="1" s="57">
      <c r="A596" s="49" t="n"/>
      <c r="B596" s="49" t="n"/>
      <c r="C596" s="49" t="n"/>
      <c r="D596" s="49" t="n"/>
      <c r="E596" s="49" t="n"/>
      <c r="F596" s="49" t="n"/>
    </row>
    <row r="597" ht="15.75" customHeight="1" s="57">
      <c r="A597" s="49" t="n"/>
      <c r="B597" s="49" t="n"/>
      <c r="C597" s="49" t="n"/>
      <c r="D597" s="49" t="n"/>
      <c r="E597" s="49" t="n"/>
      <c r="F597" s="49" t="n"/>
    </row>
    <row r="598" ht="15.75" customHeight="1" s="57">
      <c r="A598" s="49" t="n"/>
      <c r="B598" s="49" t="n"/>
      <c r="C598" s="49" t="n"/>
      <c r="D598" s="49" t="n"/>
      <c r="E598" s="49" t="n"/>
      <c r="F598" s="49" t="n"/>
    </row>
    <row r="599" ht="15.75" customHeight="1" s="57">
      <c r="A599" s="49" t="n"/>
      <c r="B599" s="49" t="n"/>
      <c r="C599" s="49" t="n"/>
      <c r="D599" s="49" t="n"/>
      <c r="E599" s="49" t="n"/>
      <c r="F599" s="49" t="n"/>
    </row>
    <row r="600" ht="15.75" customHeight="1" s="57">
      <c r="A600" s="49" t="n"/>
      <c r="B600" s="49" t="n"/>
      <c r="C600" s="49" t="n"/>
      <c r="D600" s="49" t="n"/>
      <c r="E600" s="49" t="n"/>
      <c r="F600" s="49" t="n"/>
    </row>
    <row r="601" ht="15.75" customHeight="1" s="57">
      <c r="A601" s="49" t="n"/>
      <c r="B601" s="49" t="n"/>
      <c r="C601" s="49" t="n"/>
      <c r="D601" s="49" t="n"/>
      <c r="E601" s="49" t="n"/>
      <c r="F601" s="49" t="n"/>
    </row>
    <row r="602" ht="15.75" customHeight="1" s="57">
      <c r="A602" s="49" t="n"/>
      <c r="B602" s="49" t="n"/>
      <c r="C602" s="49" t="n"/>
      <c r="D602" s="49" t="n"/>
      <c r="E602" s="49" t="n"/>
      <c r="F602" s="49" t="n"/>
    </row>
    <row r="603" ht="15.75" customHeight="1" s="57">
      <c r="A603" s="49" t="n"/>
      <c r="B603" s="49" t="n"/>
      <c r="C603" s="49" t="n"/>
      <c r="D603" s="49" t="n"/>
      <c r="E603" s="49" t="n"/>
      <c r="F603" s="49" t="n"/>
    </row>
    <row r="604" ht="15.75" customHeight="1" s="57">
      <c r="A604" s="49" t="n"/>
      <c r="B604" s="49" t="n"/>
      <c r="C604" s="49" t="n"/>
      <c r="D604" s="49" t="n"/>
      <c r="E604" s="49" t="n"/>
      <c r="F604" s="49" t="n"/>
    </row>
    <row r="605" ht="15.75" customHeight="1" s="57">
      <c r="A605" s="49" t="n"/>
      <c r="B605" s="49" t="n"/>
      <c r="C605" s="49" t="n"/>
      <c r="D605" s="49" t="n"/>
      <c r="E605" s="49" t="n"/>
      <c r="F605" s="49" t="n"/>
    </row>
    <row r="606" ht="15.75" customHeight="1" s="57">
      <c r="A606" s="49" t="n"/>
      <c r="B606" s="49" t="n"/>
      <c r="C606" s="49" t="n"/>
      <c r="D606" s="49" t="n"/>
      <c r="E606" s="49" t="n"/>
      <c r="F606" s="49" t="n"/>
    </row>
    <row r="607" ht="15.75" customHeight="1" s="57">
      <c r="A607" s="49" t="n"/>
      <c r="B607" s="49" t="n"/>
      <c r="C607" s="49" t="n"/>
      <c r="D607" s="49" t="n"/>
      <c r="E607" s="49" t="n"/>
      <c r="F607" s="49" t="n"/>
    </row>
    <row r="608" ht="15.75" customHeight="1" s="57">
      <c r="A608" s="49" t="n"/>
      <c r="B608" s="49" t="n"/>
      <c r="C608" s="49" t="n"/>
      <c r="D608" s="49" t="n"/>
      <c r="E608" s="49" t="n"/>
      <c r="F608" s="49" t="n"/>
    </row>
    <row r="609" ht="15.75" customHeight="1" s="57">
      <c r="A609" s="49" t="n"/>
      <c r="B609" s="49" t="n"/>
      <c r="C609" s="49" t="n"/>
      <c r="D609" s="49" t="n"/>
      <c r="E609" s="49" t="n"/>
      <c r="F609" s="49" t="n"/>
    </row>
    <row r="610" ht="15.75" customHeight="1" s="57">
      <c r="A610" s="49" t="n"/>
      <c r="B610" s="49" t="n"/>
      <c r="C610" s="49" t="n"/>
      <c r="D610" s="49" t="n"/>
      <c r="E610" s="49" t="n"/>
      <c r="F610" s="49" t="n"/>
    </row>
    <row r="611" ht="15.75" customHeight="1" s="57">
      <c r="A611" s="49" t="n"/>
      <c r="B611" s="49" t="n"/>
      <c r="C611" s="49" t="n"/>
      <c r="D611" s="49" t="n"/>
      <c r="E611" s="49" t="n"/>
      <c r="F611" s="49" t="n"/>
    </row>
    <row r="612" ht="15.75" customHeight="1" s="57">
      <c r="A612" s="49" t="n"/>
      <c r="B612" s="49" t="n"/>
      <c r="C612" s="49" t="n"/>
      <c r="D612" s="49" t="n"/>
      <c r="E612" s="49" t="n"/>
      <c r="F612" s="49" t="n"/>
    </row>
    <row r="613" ht="15.75" customHeight="1" s="57">
      <c r="A613" s="49" t="n"/>
      <c r="B613" s="49" t="n"/>
      <c r="C613" s="49" t="n"/>
      <c r="D613" s="49" t="n"/>
      <c r="E613" s="49" t="n"/>
      <c r="F613" s="49" t="n"/>
    </row>
    <row r="614" ht="15.75" customHeight="1" s="57">
      <c r="A614" s="49" t="n"/>
      <c r="B614" s="49" t="n"/>
      <c r="C614" s="49" t="n"/>
      <c r="D614" s="49" t="n"/>
      <c r="E614" s="49" t="n"/>
      <c r="F614" s="49" t="n"/>
    </row>
    <row r="615" ht="15.75" customHeight="1" s="57">
      <c r="A615" s="49" t="n"/>
      <c r="B615" s="49" t="n"/>
      <c r="C615" s="49" t="n"/>
      <c r="D615" s="49" t="n"/>
      <c r="E615" s="49" t="n"/>
      <c r="F615" s="49" t="n"/>
    </row>
    <row r="616" ht="15.75" customHeight="1" s="57">
      <c r="A616" s="49" t="n"/>
      <c r="B616" s="49" t="n"/>
      <c r="C616" s="49" t="n"/>
      <c r="D616" s="49" t="n"/>
      <c r="E616" s="49" t="n"/>
      <c r="F616" s="49" t="n"/>
    </row>
    <row r="617" ht="15.75" customHeight="1" s="57">
      <c r="A617" s="49" t="n"/>
      <c r="B617" s="49" t="n"/>
      <c r="C617" s="49" t="n"/>
      <c r="D617" s="49" t="n"/>
      <c r="E617" s="49" t="n"/>
      <c r="F617" s="49" t="n"/>
    </row>
    <row r="618" ht="15.75" customHeight="1" s="57">
      <c r="A618" s="49" t="n"/>
      <c r="B618" s="49" t="n"/>
      <c r="C618" s="49" t="n"/>
      <c r="D618" s="49" t="n"/>
      <c r="E618" s="49" t="n"/>
      <c r="F618" s="49" t="n"/>
    </row>
    <row r="619" ht="15.75" customHeight="1" s="57">
      <c r="A619" s="49" t="n"/>
      <c r="B619" s="49" t="n"/>
      <c r="C619" s="49" t="n"/>
      <c r="D619" s="49" t="n"/>
      <c r="E619" s="49" t="n"/>
      <c r="F619" s="49" t="n"/>
    </row>
    <row r="620" ht="15.75" customHeight="1" s="57">
      <c r="A620" s="49" t="n"/>
      <c r="B620" s="49" t="n"/>
      <c r="C620" s="49" t="n"/>
      <c r="D620" s="49" t="n"/>
      <c r="E620" s="49" t="n"/>
      <c r="F620" s="49" t="n"/>
    </row>
    <row r="621" ht="15.75" customHeight="1" s="57">
      <c r="A621" s="49" t="n"/>
      <c r="B621" s="49" t="n"/>
      <c r="C621" s="49" t="n"/>
      <c r="D621" s="49" t="n"/>
      <c r="E621" s="49" t="n"/>
      <c r="F621" s="49" t="n"/>
    </row>
    <row r="622" ht="15.75" customHeight="1" s="57">
      <c r="A622" s="49" t="n"/>
      <c r="B622" s="49" t="n"/>
      <c r="C622" s="49" t="n"/>
      <c r="D622" s="49" t="n"/>
      <c r="E622" s="49" t="n"/>
      <c r="F622" s="49" t="n"/>
    </row>
    <row r="623" ht="15.75" customHeight="1" s="57">
      <c r="A623" s="49" t="n"/>
      <c r="B623" s="49" t="n"/>
      <c r="C623" s="49" t="n"/>
      <c r="D623" s="49" t="n"/>
      <c r="E623" s="49" t="n"/>
      <c r="F623" s="49" t="n"/>
    </row>
    <row r="624" ht="15.75" customHeight="1" s="57">
      <c r="A624" s="49" t="n"/>
      <c r="B624" s="49" t="n"/>
      <c r="C624" s="49" t="n"/>
      <c r="D624" s="49" t="n"/>
      <c r="E624" s="49" t="n"/>
      <c r="F624" s="49" t="n"/>
    </row>
    <row r="625" ht="15.75" customHeight="1" s="57">
      <c r="A625" s="49" t="n"/>
      <c r="B625" s="49" t="n"/>
      <c r="C625" s="49" t="n"/>
      <c r="D625" s="49" t="n"/>
      <c r="E625" s="49" t="n"/>
      <c r="F625" s="49" t="n"/>
    </row>
    <row r="626" ht="15.75" customHeight="1" s="57">
      <c r="A626" s="49" t="n"/>
      <c r="B626" s="49" t="n"/>
      <c r="C626" s="49" t="n"/>
      <c r="D626" s="49" t="n"/>
      <c r="E626" s="49" t="n"/>
      <c r="F626" s="49" t="n"/>
    </row>
    <row r="627" ht="15.75" customHeight="1" s="57">
      <c r="A627" s="49" t="n"/>
      <c r="B627" s="49" t="n"/>
      <c r="C627" s="49" t="n"/>
      <c r="D627" s="49" t="n"/>
      <c r="E627" s="49" t="n"/>
      <c r="F627" s="49" t="n"/>
    </row>
    <row r="628" ht="15.75" customHeight="1" s="57">
      <c r="A628" s="49" t="n"/>
      <c r="B628" s="49" t="n"/>
      <c r="C628" s="49" t="n"/>
      <c r="D628" s="49" t="n"/>
      <c r="E628" s="49" t="n"/>
      <c r="F628" s="49" t="n"/>
    </row>
    <row r="629" ht="15.75" customHeight="1" s="57">
      <c r="A629" s="49" t="n"/>
      <c r="B629" s="49" t="n"/>
      <c r="C629" s="49" t="n"/>
      <c r="D629" s="49" t="n"/>
      <c r="E629" s="49" t="n"/>
      <c r="F629" s="49" t="n"/>
    </row>
    <row r="630" ht="15.75" customHeight="1" s="57">
      <c r="A630" s="49" t="n"/>
      <c r="B630" s="49" t="n"/>
      <c r="C630" s="49" t="n"/>
      <c r="D630" s="49" t="n"/>
      <c r="E630" s="49" t="n"/>
      <c r="F630" s="49" t="n"/>
    </row>
    <row r="631" ht="15.75" customHeight="1" s="57">
      <c r="A631" s="49" t="n"/>
      <c r="B631" s="49" t="n"/>
      <c r="C631" s="49" t="n"/>
      <c r="D631" s="49" t="n"/>
      <c r="E631" s="49" t="n"/>
      <c r="F631" s="49" t="n"/>
    </row>
    <row r="632" ht="15.75" customHeight="1" s="57">
      <c r="A632" s="49" t="n"/>
      <c r="B632" s="49" t="n"/>
      <c r="C632" s="49" t="n"/>
      <c r="D632" s="49" t="n"/>
      <c r="E632" s="49" t="n"/>
      <c r="F632" s="49" t="n"/>
    </row>
    <row r="633" ht="15.75" customHeight="1" s="57">
      <c r="A633" s="49" t="n"/>
      <c r="B633" s="49" t="n"/>
      <c r="C633" s="49" t="n"/>
      <c r="D633" s="49" t="n"/>
      <c r="E633" s="49" t="n"/>
      <c r="F633" s="49" t="n"/>
    </row>
    <row r="634" ht="15.75" customHeight="1" s="57">
      <c r="A634" s="49" t="n"/>
      <c r="B634" s="49" t="n"/>
      <c r="C634" s="49" t="n"/>
      <c r="D634" s="49" t="n"/>
      <c r="E634" s="49" t="n"/>
      <c r="F634" s="49" t="n"/>
    </row>
    <row r="635" ht="15.75" customHeight="1" s="57">
      <c r="A635" s="49" t="n"/>
      <c r="B635" s="49" t="n"/>
      <c r="C635" s="49" t="n"/>
      <c r="D635" s="49" t="n"/>
      <c r="E635" s="49" t="n"/>
      <c r="F635" s="49" t="n"/>
    </row>
    <row r="636" ht="15.75" customHeight="1" s="57">
      <c r="A636" s="49" t="n"/>
      <c r="B636" s="49" t="n"/>
      <c r="C636" s="49" t="n"/>
      <c r="D636" s="49" t="n"/>
      <c r="E636" s="49" t="n"/>
      <c r="F636" s="49" t="n"/>
    </row>
    <row r="637" ht="15.75" customHeight="1" s="57">
      <c r="A637" s="49" t="n"/>
      <c r="B637" s="49" t="n"/>
      <c r="C637" s="49" t="n"/>
      <c r="D637" s="49" t="n"/>
      <c r="E637" s="49" t="n"/>
      <c r="F637" s="49" t="n"/>
    </row>
    <row r="638" ht="15.75" customHeight="1" s="57">
      <c r="A638" s="49" t="n"/>
      <c r="B638" s="49" t="n"/>
      <c r="C638" s="49" t="n"/>
      <c r="D638" s="49" t="n"/>
      <c r="E638" s="49" t="n"/>
      <c r="F638" s="49" t="n"/>
    </row>
    <row r="639" ht="15.75" customHeight="1" s="57">
      <c r="A639" s="49" t="n"/>
      <c r="B639" s="49" t="n"/>
      <c r="C639" s="49" t="n"/>
      <c r="D639" s="49" t="n"/>
      <c r="E639" s="49" t="n"/>
      <c r="F639" s="49" t="n"/>
    </row>
    <row r="640" ht="15.75" customHeight="1" s="57">
      <c r="A640" s="49" t="n"/>
      <c r="B640" s="49" t="n"/>
      <c r="C640" s="49" t="n"/>
      <c r="D640" s="49" t="n"/>
      <c r="E640" s="49" t="n"/>
      <c r="F640" s="49" t="n"/>
    </row>
    <row r="641" ht="15.75" customHeight="1" s="57">
      <c r="A641" s="49" t="n"/>
      <c r="B641" s="49" t="n"/>
      <c r="C641" s="49" t="n"/>
      <c r="D641" s="49" t="n"/>
      <c r="E641" s="49" t="n"/>
      <c r="F641" s="49" t="n"/>
    </row>
    <row r="642" ht="15.75" customHeight="1" s="57">
      <c r="A642" s="49" t="n"/>
      <c r="B642" s="49" t="n"/>
      <c r="C642" s="49" t="n"/>
      <c r="D642" s="49" t="n"/>
      <c r="E642" s="49" t="n"/>
      <c r="F642" s="49" t="n"/>
    </row>
    <row r="643" ht="15.75" customHeight="1" s="57">
      <c r="A643" s="49" t="n"/>
      <c r="B643" s="49" t="n"/>
      <c r="C643" s="49" t="n"/>
      <c r="D643" s="49" t="n"/>
      <c r="E643" s="49" t="n"/>
      <c r="F643" s="49" t="n"/>
    </row>
    <row r="644" ht="15.75" customHeight="1" s="57">
      <c r="A644" s="49" t="n"/>
      <c r="B644" s="49" t="n"/>
      <c r="C644" s="49" t="n"/>
      <c r="D644" s="49" t="n"/>
      <c r="E644" s="49" t="n"/>
      <c r="F644" s="49" t="n"/>
    </row>
    <row r="645" ht="15.75" customHeight="1" s="57">
      <c r="A645" s="49" t="n"/>
      <c r="B645" s="49" t="n"/>
      <c r="C645" s="49" t="n"/>
      <c r="D645" s="49" t="n"/>
      <c r="E645" s="49" t="n"/>
      <c r="F645" s="49" t="n"/>
    </row>
    <row r="646" ht="15.75" customHeight="1" s="57">
      <c r="A646" s="49" t="n"/>
      <c r="B646" s="49" t="n"/>
      <c r="C646" s="49" t="n"/>
      <c r="D646" s="49" t="n"/>
      <c r="E646" s="49" t="n"/>
      <c r="F646" s="49" t="n"/>
    </row>
    <row r="647" ht="15.75" customHeight="1" s="57">
      <c r="A647" s="49" t="n"/>
      <c r="B647" s="49" t="n"/>
      <c r="C647" s="49" t="n"/>
      <c r="D647" s="49" t="n"/>
      <c r="E647" s="49" t="n"/>
      <c r="F647" s="49" t="n"/>
    </row>
    <row r="648" ht="15.75" customHeight="1" s="57">
      <c r="A648" s="49" t="n"/>
      <c r="B648" s="49" t="n"/>
      <c r="C648" s="49" t="n"/>
      <c r="D648" s="49" t="n"/>
      <c r="E648" s="49" t="n"/>
      <c r="F648" s="49" t="n"/>
    </row>
    <row r="649" ht="15.75" customHeight="1" s="57">
      <c r="A649" s="49" t="n"/>
      <c r="B649" s="49" t="n"/>
      <c r="C649" s="49" t="n"/>
      <c r="D649" s="49" t="n"/>
      <c r="E649" s="49" t="n"/>
      <c r="F649" s="49" t="n"/>
    </row>
    <row r="650" ht="15.75" customHeight="1" s="57">
      <c r="A650" s="49" t="n"/>
      <c r="B650" s="49" t="n"/>
      <c r="C650" s="49" t="n"/>
      <c r="D650" s="49" t="n"/>
      <c r="E650" s="49" t="n"/>
      <c r="F650" s="49" t="n"/>
    </row>
    <row r="651" ht="15.75" customHeight="1" s="57">
      <c r="A651" s="49" t="n"/>
      <c r="B651" s="49" t="n"/>
      <c r="C651" s="49" t="n"/>
      <c r="D651" s="49" t="n"/>
      <c r="E651" s="49" t="n"/>
      <c r="F651" s="49" t="n"/>
    </row>
    <row r="652" ht="15.75" customHeight="1" s="57">
      <c r="A652" s="49" t="n"/>
      <c r="B652" s="49" t="n"/>
      <c r="C652" s="49" t="n"/>
      <c r="D652" s="49" t="n"/>
      <c r="E652" s="49" t="n"/>
      <c r="F652" s="49" t="n"/>
    </row>
    <row r="653" ht="15.75" customHeight="1" s="57">
      <c r="A653" s="49" t="n"/>
      <c r="B653" s="49" t="n"/>
      <c r="C653" s="49" t="n"/>
      <c r="D653" s="49" t="n"/>
      <c r="E653" s="49" t="n"/>
      <c r="F653" s="49" t="n"/>
    </row>
    <row r="654" ht="15.75" customHeight="1" s="57">
      <c r="A654" s="49" t="n"/>
      <c r="B654" s="49" t="n"/>
      <c r="C654" s="49" t="n"/>
      <c r="D654" s="49" t="n"/>
      <c r="E654" s="49" t="n"/>
      <c r="F654" s="49" t="n"/>
    </row>
    <row r="655" ht="15.75" customHeight="1" s="57">
      <c r="A655" s="49" t="n"/>
      <c r="B655" s="49" t="n"/>
      <c r="C655" s="49" t="n"/>
      <c r="D655" s="49" t="n"/>
      <c r="E655" s="49" t="n"/>
      <c r="F655" s="49" t="n"/>
    </row>
    <row r="656" ht="15.75" customHeight="1" s="57">
      <c r="A656" s="49" t="n"/>
      <c r="B656" s="49" t="n"/>
      <c r="C656" s="49" t="n"/>
      <c r="D656" s="49" t="n"/>
      <c r="E656" s="49" t="n"/>
      <c r="F656" s="49" t="n"/>
    </row>
    <row r="657" ht="15.75" customHeight="1" s="57">
      <c r="A657" s="49" t="n"/>
      <c r="B657" s="49" t="n"/>
      <c r="C657" s="49" t="n"/>
      <c r="D657" s="49" t="n"/>
      <c r="E657" s="49" t="n"/>
      <c r="F657" s="49" t="n"/>
    </row>
    <row r="658" ht="15.75" customHeight="1" s="57">
      <c r="A658" s="49" t="n"/>
      <c r="B658" s="49" t="n"/>
      <c r="C658" s="49" t="n"/>
      <c r="D658" s="49" t="n"/>
      <c r="E658" s="49" t="n"/>
      <c r="F658" s="49" t="n"/>
    </row>
    <row r="659" ht="15.75" customHeight="1" s="57">
      <c r="A659" s="49" t="n"/>
      <c r="B659" s="49" t="n"/>
      <c r="C659" s="49" t="n"/>
      <c r="D659" s="49" t="n"/>
      <c r="E659" s="49" t="n"/>
      <c r="F659" s="49" t="n"/>
    </row>
    <row r="660" ht="15.75" customHeight="1" s="57">
      <c r="A660" s="49" t="n"/>
      <c r="B660" s="49" t="n"/>
      <c r="C660" s="49" t="n"/>
      <c r="D660" s="49" t="n"/>
      <c r="E660" s="49" t="n"/>
      <c r="F660" s="49" t="n"/>
    </row>
    <row r="661" ht="15.75" customHeight="1" s="57">
      <c r="A661" s="49" t="n"/>
      <c r="B661" s="49" t="n"/>
      <c r="C661" s="49" t="n"/>
      <c r="D661" s="49" t="n"/>
      <c r="E661" s="49" t="n"/>
      <c r="F661" s="49" t="n"/>
    </row>
    <row r="662" ht="15.75" customHeight="1" s="57">
      <c r="A662" s="49" t="n"/>
      <c r="B662" s="49" t="n"/>
      <c r="C662" s="49" t="n"/>
      <c r="D662" s="49" t="n"/>
      <c r="E662" s="49" t="n"/>
      <c r="F662" s="49" t="n"/>
    </row>
    <row r="663" ht="15.75" customHeight="1" s="57">
      <c r="A663" s="49" t="n"/>
      <c r="B663" s="49" t="n"/>
      <c r="C663" s="49" t="n"/>
      <c r="D663" s="49" t="n"/>
      <c r="E663" s="49" t="n"/>
      <c r="F663" s="49" t="n"/>
    </row>
    <row r="664" ht="15.75" customHeight="1" s="57">
      <c r="A664" s="49" t="n"/>
      <c r="B664" s="49" t="n"/>
      <c r="C664" s="49" t="n"/>
      <c r="D664" s="49" t="n"/>
      <c r="E664" s="49" t="n"/>
      <c r="F664" s="49" t="n"/>
    </row>
    <row r="665" ht="15.75" customHeight="1" s="57">
      <c r="A665" s="49" t="n"/>
      <c r="B665" s="49" t="n"/>
      <c r="C665" s="49" t="n"/>
      <c r="D665" s="49" t="n"/>
      <c r="E665" s="49" t="n"/>
      <c r="F665" s="49" t="n"/>
    </row>
    <row r="666" ht="15.75" customHeight="1" s="57">
      <c r="A666" s="49" t="n"/>
      <c r="B666" s="49" t="n"/>
      <c r="C666" s="49" t="n"/>
      <c r="D666" s="49" t="n"/>
      <c r="E666" s="49" t="n"/>
      <c r="F666" s="49" t="n"/>
    </row>
    <row r="667" ht="15.75" customHeight="1" s="57">
      <c r="A667" s="49" t="n"/>
      <c r="B667" s="49" t="n"/>
      <c r="C667" s="49" t="n"/>
      <c r="D667" s="49" t="n"/>
      <c r="E667" s="49" t="n"/>
      <c r="F667" s="49" t="n"/>
    </row>
    <row r="668" ht="15.75" customHeight="1" s="57">
      <c r="A668" s="49" t="n"/>
      <c r="B668" s="49" t="n"/>
      <c r="C668" s="49" t="n"/>
      <c r="D668" s="49" t="n"/>
      <c r="E668" s="49" t="n"/>
      <c r="F668" s="49" t="n"/>
    </row>
    <row r="669" ht="15.75" customHeight="1" s="57">
      <c r="A669" s="49" t="n"/>
      <c r="B669" s="49" t="n"/>
      <c r="C669" s="49" t="n"/>
      <c r="D669" s="49" t="n"/>
      <c r="E669" s="49" t="n"/>
      <c r="F669" s="49" t="n"/>
    </row>
    <row r="670" ht="15.75" customHeight="1" s="57">
      <c r="A670" s="49" t="n"/>
      <c r="B670" s="49" t="n"/>
      <c r="C670" s="49" t="n"/>
      <c r="D670" s="49" t="n"/>
      <c r="E670" s="49" t="n"/>
      <c r="F670" s="49" t="n"/>
    </row>
    <row r="671" ht="15.75" customHeight="1" s="57">
      <c r="A671" s="49" t="n"/>
      <c r="B671" s="49" t="n"/>
      <c r="C671" s="49" t="n"/>
      <c r="D671" s="49" t="n"/>
      <c r="E671" s="49" t="n"/>
      <c r="F671" s="49" t="n"/>
    </row>
    <row r="672" ht="15.75" customHeight="1" s="57">
      <c r="A672" s="49" t="n"/>
      <c r="B672" s="49" t="n"/>
      <c r="C672" s="49" t="n"/>
      <c r="D672" s="49" t="n"/>
      <c r="E672" s="49" t="n"/>
      <c r="F672" s="49" t="n"/>
    </row>
    <row r="673" ht="15.75" customHeight="1" s="57">
      <c r="A673" s="49" t="n"/>
      <c r="B673" s="49" t="n"/>
      <c r="C673" s="49" t="n"/>
      <c r="D673" s="49" t="n"/>
      <c r="E673" s="49" t="n"/>
      <c r="F673" s="49" t="n"/>
    </row>
    <row r="674" ht="15.75" customHeight="1" s="57">
      <c r="A674" s="49" t="n"/>
      <c r="B674" s="49" t="n"/>
      <c r="C674" s="49" t="n"/>
      <c r="D674" s="49" t="n"/>
      <c r="E674" s="49" t="n"/>
      <c r="F674" s="49" t="n"/>
    </row>
    <row r="675" ht="15.75" customHeight="1" s="57">
      <c r="A675" s="49" t="n"/>
      <c r="B675" s="49" t="n"/>
      <c r="C675" s="49" t="n"/>
      <c r="D675" s="49" t="n"/>
      <c r="E675" s="49" t="n"/>
      <c r="F675" s="49" t="n"/>
    </row>
    <row r="676" ht="15.75" customHeight="1" s="57">
      <c r="A676" s="49" t="n"/>
      <c r="B676" s="49" t="n"/>
      <c r="C676" s="49" t="n"/>
      <c r="D676" s="49" t="n"/>
      <c r="E676" s="49" t="n"/>
      <c r="F676" s="49" t="n"/>
    </row>
    <row r="677" ht="15.75" customHeight="1" s="57">
      <c r="A677" s="49" t="n"/>
      <c r="B677" s="49" t="n"/>
      <c r="C677" s="49" t="n"/>
      <c r="D677" s="49" t="n"/>
      <c r="E677" s="49" t="n"/>
      <c r="F677" s="49" t="n"/>
    </row>
    <row r="678" ht="15.75" customHeight="1" s="57">
      <c r="A678" s="49" t="n"/>
      <c r="B678" s="49" t="n"/>
      <c r="C678" s="49" t="n"/>
      <c r="D678" s="49" t="n"/>
      <c r="E678" s="49" t="n"/>
      <c r="F678" s="49" t="n"/>
    </row>
    <row r="679" ht="15.75" customHeight="1" s="57">
      <c r="A679" s="49" t="n"/>
      <c r="B679" s="49" t="n"/>
      <c r="C679" s="49" t="n"/>
      <c r="D679" s="49" t="n"/>
      <c r="E679" s="49" t="n"/>
      <c r="F679" s="49" t="n"/>
    </row>
    <row r="680" ht="15.75" customHeight="1" s="57">
      <c r="A680" s="49" t="n"/>
      <c r="B680" s="49" t="n"/>
      <c r="C680" s="49" t="n"/>
      <c r="D680" s="49" t="n"/>
      <c r="E680" s="49" t="n"/>
      <c r="F680" s="49" t="n"/>
    </row>
    <row r="681" ht="15.75" customHeight="1" s="57">
      <c r="A681" s="49" t="n"/>
      <c r="B681" s="49" t="n"/>
      <c r="C681" s="49" t="n"/>
      <c r="D681" s="49" t="n"/>
      <c r="E681" s="49" t="n"/>
      <c r="F681" s="49" t="n"/>
    </row>
    <row r="682" ht="15.75" customHeight="1" s="57">
      <c r="A682" s="49" t="n"/>
      <c r="B682" s="49" t="n"/>
      <c r="C682" s="49" t="n"/>
      <c r="D682" s="49" t="n"/>
      <c r="E682" s="49" t="n"/>
      <c r="F682" s="49" t="n"/>
    </row>
    <row r="683" ht="15.75" customHeight="1" s="57">
      <c r="A683" s="49" t="n"/>
      <c r="B683" s="49" t="n"/>
      <c r="C683" s="49" t="n"/>
      <c r="D683" s="49" t="n"/>
      <c r="E683" s="49" t="n"/>
      <c r="F683" s="49" t="n"/>
    </row>
    <row r="684" ht="15.75" customHeight="1" s="57">
      <c r="A684" s="49" t="n"/>
      <c r="B684" s="49" t="n"/>
      <c r="C684" s="49" t="n"/>
      <c r="D684" s="49" t="n"/>
      <c r="E684" s="49" t="n"/>
      <c r="F684" s="49" t="n"/>
    </row>
    <row r="685" ht="15.75" customHeight="1" s="57">
      <c r="A685" s="49" t="n"/>
      <c r="B685" s="49" t="n"/>
      <c r="C685" s="49" t="n"/>
      <c r="D685" s="49" t="n"/>
      <c r="E685" s="49" t="n"/>
      <c r="F685" s="49" t="n"/>
    </row>
    <row r="686" ht="15.75" customHeight="1" s="57">
      <c r="A686" s="49" t="n"/>
      <c r="B686" s="49" t="n"/>
      <c r="C686" s="49" t="n"/>
      <c r="D686" s="49" t="n"/>
      <c r="E686" s="49" t="n"/>
      <c r="F686" s="49" t="n"/>
    </row>
    <row r="687" ht="15.75" customHeight="1" s="57">
      <c r="A687" s="49" t="n"/>
      <c r="B687" s="49" t="n"/>
      <c r="C687" s="49" t="n"/>
      <c r="D687" s="49" t="n"/>
      <c r="E687" s="49" t="n"/>
      <c r="F687" s="49" t="n"/>
    </row>
    <row r="688" ht="15.75" customHeight="1" s="57">
      <c r="A688" s="49" t="n"/>
      <c r="B688" s="49" t="n"/>
      <c r="C688" s="49" t="n"/>
      <c r="D688" s="49" t="n"/>
      <c r="E688" s="49" t="n"/>
      <c r="F688" s="49" t="n"/>
    </row>
    <row r="689" ht="15.75" customHeight="1" s="57">
      <c r="A689" s="49" t="n"/>
      <c r="B689" s="49" t="n"/>
      <c r="C689" s="49" t="n"/>
      <c r="D689" s="49" t="n"/>
      <c r="E689" s="49" t="n"/>
      <c r="F689" s="49" t="n"/>
    </row>
    <row r="690" ht="15.75" customHeight="1" s="57">
      <c r="A690" s="49" t="n"/>
      <c r="B690" s="49" t="n"/>
      <c r="C690" s="49" t="n"/>
      <c r="D690" s="49" t="n"/>
      <c r="E690" s="49" t="n"/>
      <c r="F690" s="49" t="n"/>
    </row>
    <row r="691" ht="15.75" customHeight="1" s="57">
      <c r="A691" s="49" t="n"/>
      <c r="B691" s="49" t="n"/>
      <c r="C691" s="49" t="n"/>
      <c r="D691" s="49" t="n"/>
      <c r="E691" s="49" t="n"/>
      <c r="F691" s="49" t="n"/>
    </row>
    <row r="692" ht="15.75" customHeight="1" s="57">
      <c r="A692" s="49" t="n"/>
      <c r="B692" s="49" t="n"/>
      <c r="C692" s="49" t="n"/>
      <c r="D692" s="49" t="n"/>
      <c r="E692" s="49" t="n"/>
      <c r="F692" s="49" t="n"/>
    </row>
    <row r="693" ht="15.75" customHeight="1" s="57">
      <c r="A693" s="49" t="n"/>
      <c r="B693" s="49" t="n"/>
      <c r="C693" s="49" t="n"/>
      <c r="D693" s="49" t="n"/>
      <c r="E693" s="49" t="n"/>
      <c r="F693" s="49" t="n"/>
    </row>
    <row r="694" ht="15.75" customHeight="1" s="57">
      <c r="A694" s="49" t="n"/>
      <c r="B694" s="49" t="n"/>
      <c r="C694" s="49" t="n"/>
      <c r="D694" s="49" t="n"/>
      <c r="E694" s="49" t="n"/>
      <c r="F694" s="49" t="n"/>
    </row>
    <row r="695" ht="15.75" customHeight="1" s="57">
      <c r="A695" s="49" t="n"/>
      <c r="B695" s="49" t="n"/>
      <c r="C695" s="49" t="n"/>
      <c r="D695" s="49" t="n"/>
      <c r="E695" s="49" t="n"/>
      <c r="F695" s="49" t="n"/>
    </row>
    <row r="696" ht="15.75" customHeight="1" s="57">
      <c r="A696" s="49" t="n"/>
      <c r="B696" s="49" t="n"/>
      <c r="C696" s="49" t="n"/>
      <c r="D696" s="49" t="n"/>
      <c r="E696" s="49" t="n"/>
      <c r="F696" s="49" t="n"/>
    </row>
    <row r="697" ht="15.75" customHeight="1" s="57">
      <c r="A697" s="49" t="n"/>
      <c r="B697" s="49" t="n"/>
      <c r="C697" s="49" t="n"/>
      <c r="D697" s="49" t="n"/>
      <c r="E697" s="49" t="n"/>
      <c r="F697" s="49" t="n"/>
    </row>
    <row r="698" ht="15.75" customHeight="1" s="57">
      <c r="A698" s="49" t="n"/>
      <c r="B698" s="49" t="n"/>
      <c r="C698" s="49" t="n"/>
      <c r="D698" s="49" t="n"/>
      <c r="E698" s="49" t="n"/>
      <c r="F698" s="49" t="n"/>
    </row>
    <row r="699" ht="15.75" customHeight="1" s="57">
      <c r="A699" s="49" t="n"/>
      <c r="B699" s="49" t="n"/>
      <c r="C699" s="49" t="n"/>
      <c r="D699" s="49" t="n"/>
      <c r="E699" s="49" t="n"/>
      <c r="F699" s="49" t="n"/>
    </row>
    <row r="700" ht="15.75" customHeight="1" s="57">
      <c r="A700" s="49" t="n"/>
      <c r="B700" s="49" t="n"/>
      <c r="C700" s="49" t="n"/>
      <c r="D700" s="49" t="n"/>
      <c r="E700" s="49" t="n"/>
      <c r="F700" s="49" t="n"/>
    </row>
    <row r="701" ht="15.75" customHeight="1" s="57">
      <c r="A701" s="49" t="n"/>
      <c r="B701" s="49" t="n"/>
      <c r="C701" s="49" t="n"/>
      <c r="D701" s="49" t="n"/>
      <c r="E701" s="49" t="n"/>
      <c r="F701" s="49" t="n"/>
    </row>
    <row r="702" ht="15.75" customHeight="1" s="57">
      <c r="A702" s="49" t="n"/>
      <c r="B702" s="49" t="n"/>
      <c r="C702" s="49" t="n"/>
      <c r="D702" s="49" t="n"/>
      <c r="E702" s="49" t="n"/>
      <c r="F702" s="49" t="n"/>
    </row>
    <row r="703" ht="15.75" customHeight="1" s="57">
      <c r="A703" s="49" t="n"/>
      <c r="B703" s="49" t="n"/>
      <c r="C703" s="49" t="n"/>
      <c r="D703" s="49" t="n"/>
      <c r="E703" s="49" t="n"/>
      <c r="F703" s="49" t="n"/>
    </row>
    <row r="704" ht="15.75" customHeight="1" s="57">
      <c r="A704" s="49" t="n"/>
      <c r="B704" s="49" t="n"/>
      <c r="C704" s="49" t="n"/>
      <c r="D704" s="49" t="n"/>
      <c r="E704" s="49" t="n"/>
      <c r="F704" s="49" t="n"/>
    </row>
    <row r="705" ht="15.75" customHeight="1" s="57">
      <c r="A705" s="49" t="n"/>
      <c r="B705" s="49" t="n"/>
      <c r="C705" s="49" t="n"/>
      <c r="D705" s="49" t="n"/>
      <c r="E705" s="49" t="n"/>
      <c r="F705" s="49" t="n"/>
    </row>
    <row r="706" ht="15.75" customHeight="1" s="57">
      <c r="A706" s="49" t="n"/>
      <c r="B706" s="49" t="n"/>
      <c r="C706" s="49" t="n"/>
      <c r="D706" s="49" t="n"/>
      <c r="E706" s="49" t="n"/>
      <c r="F706" s="49" t="n"/>
    </row>
    <row r="707" ht="15.75" customHeight="1" s="57">
      <c r="A707" s="49" t="n"/>
      <c r="B707" s="49" t="n"/>
      <c r="C707" s="49" t="n"/>
      <c r="D707" s="49" t="n"/>
      <c r="E707" s="49" t="n"/>
      <c r="F707" s="49" t="n"/>
    </row>
    <row r="708" ht="15.75" customHeight="1" s="57">
      <c r="A708" s="49" t="n"/>
      <c r="B708" s="49" t="n"/>
      <c r="C708" s="49" t="n"/>
      <c r="D708" s="49" t="n"/>
      <c r="E708" s="49" t="n"/>
      <c r="F708" s="49" t="n"/>
    </row>
    <row r="709" ht="15.75" customHeight="1" s="57">
      <c r="A709" s="49" t="n"/>
      <c r="B709" s="49" t="n"/>
      <c r="C709" s="49" t="n"/>
      <c r="D709" s="49" t="n"/>
      <c r="E709" s="49" t="n"/>
      <c r="F709" s="49" t="n"/>
    </row>
    <row r="710" ht="15.75" customHeight="1" s="57">
      <c r="A710" s="49" t="n"/>
      <c r="B710" s="49" t="n"/>
      <c r="C710" s="49" t="n"/>
      <c r="D710" s="49" t="n"/>
      <c r="E710" s="49" t="n"/>
      <c r="F710" s="49" t="n"/>
    </row>
    <row r="711" ht="15.75" customHeight="1" s="57">
      <c r="A711" s="49" t="n"/>
      <c r="B711" s="49" t="n"/>
      <c r="C711" s="49" t="n"/>
      <c r="D711" s="49" t="n"/>
      <c r="E711" s="49" t="n"/>
      <c r="F711" s="49" t="n"/>
    </row>
    <row r="712" ht="15.75" customHeight="1" s="57">
      <c r="A712" s="49" t="n"/>
      <c r="B712" s="49" t="n"/>
      <c r="C712" s="49" t="n"/>
      <c r="D712" s="49" t="n"/>
      <c r="E712" s="49" t="n"/>
      <c r="F712" s="49" t="n"/>
    </row>
    <row r="713" ht="15.75" customHeight="1" s="57">
      <c r="A713" s="49" t="n"/>
      <c r="B713" s="49" t="n"/>
      <c r="C713" s="49" t="n"/>
      <c r="D713" s="49" t="n"/>
      <c r="E713" s="49" t="n"/>
      <c r="F713" s="49" t="n"/>
    </row>
    <row r="714" ht="15.75" customHeight="1" s="57">
      <c r="A714" s="49" t="n"/>
      <c r="B714" s="49" t="n"/>
      <c r="C714" s="49" t="n"/>
      <c r="D714" s="49" t="n"/>
      <c r="E714" s="49" t="n"/>
      <c r="F714" s="49" t="n"/>
    </row>
    <row r="715" ht="15.75" customHeight="1" s="57">
      <c r="A715" s="49" t="n"/>
      <c r="B715" s="49" t="n"/>
      <c r="C715" s="49" t="n"/>
      <c r="D715" s="49" t="n"/>
      <c r="E715" s="49" t="n"/>
      <c r="F715" s="49" t="n"/>
    </row>
    <row r="716" ht="15.75" customHeight="1" s="57">
      <c r="A716" s="49" t="n"/>
      <c r="B716" s="49" t="n"/>
      <c r="C716" s="49" t="n"/>
      <c r="D716" s="49" t="n"/>
      <c r="E716" s="49" t="n"/>
      <c r="F716" s="49" t="n"/>
    </row>
    <row r="717" ht="15.75" customHeight="1" s="57">
      <c r="A717" s="49" t="n"/>
      <c r="B717" s="49" t="n"/>
      <c r="C717" s="49" t="n"/>
      <c r="D717" s="49" t="n"/>
      <c r="E717" s="49" t="n"/>
      <c r="F717" s="49" t="n"/>
    </row>
    <row r="718" ht="15.75" customHeight="1" s="57">
      <c r="A718" s="49" t="n"/>
      <c r="B718" s="49" t="n"/>
      <c r="C718" s="49" t="n"/>
      <c r="D718" s="49" t="n"/>
      <c r="E718" s="49" t="n"/>
      <c r="F718" s="49" t="n"/>
    </row>
    <row r="719" ht="15.75" customHeight="1" s="57">
      <c r="A719" s="49" t="n"/>
      <c r="B719" s="49" t="n"/>
      <c r="C719" s="49" t="n"/>
      <c r="D719" s="49" t="n"/>
      <c r="E719" s="49" t="n"/>
      <c r="F719" s="49" t="n"/>
    </row>
    <row r="720" ht="15.75" customHeight="1" s="57">
      <c r="A720" s="49" t="n"/>
      <c r="B720" s="49" t="n"/>
      <c r="C720" s="49" t="n"/>
      <c r="D720" s="49" t="n"/>
      <c r="E720" s="49" t="n"/>
      <c r="F720" s="49" t="n"/>
    </row>
    <row r="721" ht="15.75" customHeight="1" s="57">
      <c r="A721" s="49" t="n"/>
      <c r="B721" s="49" t="n"/>
      <c r="C721" s="49" t="n"/>
      <c r="D721" s="49" t="n"/>
      <c r="E721" s="49" t="n"/>
      <c r="F721" s="49" t="n"/>
    </row>
    <row r="722" ht="15.75" customHeight="1" s="57">
      <c r="A722" s="49" t="n"/>
      <c r="B722" s="49" t="n"/>
      <c r="C722" s="49" t="n"/>
      <c r="D722" s="49" t="n"/>
      <c r="E722" s="49" t="n"/>
      <c r="F722" s="49" t="n"/>
    </row>
    <row r="723" ht="15.75" customHeight="1" s="57">
      <c r="A723" s="49" t="n"/>
      <c r="B723" s="49" t="n"/>
      <c r="C723" s="49" t="n"/>
      <c r="D723" s="49" t="n"/>
      <c r="E723" s="49" t="n"/>
      <c r="F723" s="49" t="n"/>
    </row>
    <row r="724" ht="15.75" customHeight="1" s="57">
      <c r="A724" s="49" t="n"/>
      <c r="B724" s="49" t="n"/>
      <c r="C724" s="49" t="n"/>
      <c r="D724" s="49" t="n"/>
      <c r="E724" s="49" t="n"/>
      <c r="F724" s="49" t="n"/>
    </row>
    <row r="725" ht="15.75" customHeight="1" s="57">
      <c r="A725" s="49" t="n"/>
      <c r="B725" s="49" t="n"/>
      <c r="C725" s="49" t="n"/>
      <c r="D725" s="49" t="n"/>
      <c r="E725" s="49" t="n"/>
      <c r="F725" s="49" t="n"/>
    </row>
    <row r="726" ht="15.75" customHeight="1" s="57">
      <c r="A726" s="49" t="n"/>
      <c r="B726" s="49" t="n"/>
      <c r="C726" s="49" t="n"/>
      <c r="D726" s="49" t="n"/>
      <c r="E726" s="49" t="n"/>
      <c r="F726" s="49" t="n"/>
    </row>
    <row r="727" ht="15.75" customHeight="1" s="57">
      <c r="A727" s="49" t="n"/>
      <c r="B727" s="49" t="n"/>
      <c r="C727" s="49" t="n"/>
      <c r="D727" s="49" t="n"/>
      <c r="E727" s="49" t="n"/>
      <c r="F727" s="49" t="n"/>
    </row>
    <row r="728" ht="15.75" customHeight="1" s="57">
      <c r="A728" s="49" t="n"/>
      <c r="B728" s="49" t="n"/>
      <c r="C728" s="49" t="n"/>
      <c r="D728" s="49" t="n"/>
      <c r="E728" s="49" t="n"/>
      <c r="F728" s="49" t="n"/>
    </row>
    <row r="729" ht="15.75" customHeight="1" s="57">
      <c r="A729" s="49" t="n"/>
      <c r="B729" s="49" t="n"/>
      <c r="C729" s="49" t="n"/>
      <c r="D729" s="49" t="n"/>
      <c r="E729" s="49" t="n"/>
      <c r="F729" s="49" t="n"/>
    </row>
    <row r="730" ht="15.75" customHeight="1" s="57">
      <c r="A730" s="49" t="n"/>
      <c r="B730" s="49" t="n"/>
      <c r="C730" s="49" t="n"/>
      <c r="D730" s="49" t="n"/>
      <c r="E730" s="49" t="n"/>
      <c r="F730" s="49" t="n"/>
    </row>
    <row r="731" ht="15.75" customHeight="1" s="57">
      <c r="A731" s="49" t="n"/>
      <c r="B731" s="49" t="n"/>
      <c r="C731" s="49" t="n"/>
      <c r="D731" s="49" t="n"/>
      <c r="E731" s="49" t="n"/>
      <c r="F731" s="49" t="n"/>
    </row>
    <row r="732" ht="15.75" customHeight="1" s="57">
      <c r="A732" s="49" t="n"/>
      <c r="B732" s="49" t="n"/>
      <c r="C732" s="49" t="n"/>
      <c r="D732" s="49" t="n"/>
      <c r="E732" s="49" t="n"/>
      <c r="F732" s="49" t="n"/>
    </row>
    <row r="733" ht="15.75" customHeight="1" s="57">
      <c r="A733" s="49" t="n"/>
      <c r="B733" s="49" t="n"/>
      <c r="C733" s="49" t="n"/>
      <c r="D733" s="49" t="n"/>
      <c r="E733" s="49" t="n"/>
      <c r="F733" s="49" t="n"/>
    </row>
    <row r="734" ht="15.75" customHeight="1" s="57">
      <c r="A734" s="49" t="n"/>
      <c r="B734" s="49" t="n"/>
      <c r="C734" s="49" t="n"/>
      <c r="D734" s="49" t="n"/>
      <c r="E734" s="49" t="n"/>
      <c r="F734" s="49" t="n"/>
    </row>
    <row r="735" ht="15.75" customHeight="1" s="57">
      <c r="A735" s="49" t="n"/>
      <c r="B735" s="49" t="n"/>
      <c r="C735" s="49" t="n"/>
      <c r="D735" s="49" t="n"/>
      <c r="E735" s="49" t="n"/>
      <c r="F735" s="49" t="n"/>
    </row>
    <row r="736" ht="15.75" customHeight="1" s="57">
      <c r="A736" s="49" t="n"/>
      <c r="B736" s="49" t="n"/>
      <c r="C736" s="49" t="n"/>
      <c r="D736" s="49" t="n"/>
      <c r="E736" s="49" t="n"/>
      <c r="F736" s="49" t="n"/>
    </row>
    <row r="737" ht="15.75" customHeight="1" s="57">
      <c r="A737" s="49" t="n"/>
      <c r="B737" s="49" t="n"/>
      <c r="C737" s="49" t="n"/>
      <c r="D737" s="49" t="n"/>
      <c r="E737" s="49" t="n"/>
      <c r="F737" s="49" t="n"/>
    </row>
    <row r="738" ht="15.75" customHeight="1" s="57">
      <c r="A738" s="49" t="n"/>
      <c r="B738" s="49" t="n"/>
      <c r="C738" s="49" t="n"/>
      <c r="D738" s="49" t="n"/>
      <c r="E738" s="49" t="n"/>
      <c r="F738" s="49" t="n"/>
    </row>
    <row r="739" ht="15.75" customHeight="1" s="57">
      <c r="A739" s="49" t="n"/>
      <c r="B739" s="49" t="n"/>
      <c r="C739" s="49" t="n"/>
      <c r="D739" s="49" t="n"/>
      <c r="E739" s="49" t="n"/>
      <c r="F739" s="49" t="n"/>
    </row>
    <row r="740" ht="15.75" customHeight="1" s="57">
      <c r="A740" s="49" t="n"/>
      <c r="B740" s="49" t="n"/>
      <c r="C740" s="49" t="n"/>
      <c r="D740" s="49" t="n"/>
      <c r="E740" s="49" t="n"/>
      <c r="F740" s="49" t="n"/>
    </row>
    <row r="741" ht="15.75" customHeight="1" s="57">
      <c r="A741" s="49" t="n"/>
      <c r="B741" s="49" t="n"/>
      <c r="C741" s="49" t="n"/>
      <c r="D741" s="49" t="n"/>
      <c r="E741" s="49" t="n"/>
      <c r="F741" s="49" t="n"/>
    </row>
    <row r="742" ht="15.75" customHeight="1" s="57">
      <c r="A742" s="49" t="n"/>
      <c r="B742" s="49" t="n"/>
      <c r="C742" s="49" t="n"/>
      <c r="D742" s="49" t="n"/>
      <c r="E742" s="49" t="n"/>
      <c r="F742" s="49" t="n"/>
    </row>
    <row r="743" ht="15.75" customHeight="1" s="57">
      <c r="A743" s="49" t="n"/>
      <c r="B743" s="49" t="n"/>
      <c r="C743" s="49" t="n"/>
      <c r="D743" s="49" t="n"/>
      <c r="E743" s="49" t="n"/>
      <c r="F743" s="49" t="n"/>
    </row>
    <row r="744" ht="15.75" customHeight="1" s="57">
      <c r="A744" s="49" t="n"/>
      <c r="B744" s="49" t="n"/>
      <c r="C744" s="49" t="n"/>
      <c r="D744" s="49" t="n"/>
      <c r="E744" s="49" t="n"/>
      <c r="F744" s="49" t="n"/>
    </row>
    <row r="745" ht="15.75" customHeight="1" s="57">
      <c r="A745" s="49" t="n"/>
      <c r="B745" s="49" t="n"/>
      <c r="C745" s="49" t="n"/>
      <c r="D745" s="49" t="n"/>
      <c r="E745" s="49" t="n"/>
      <c r="F745" s="49" t="n"/>
    </row>
    <row r="746" ht="15.75" customHeight="1" s="57">
      <c r="A746" s="49" t="n"/>
      <c r="B746" s="49" t="n"/>
      <c r="C746" s="49" t="n"/>
      <c r="D746" s="49" t="n"/>
      <c r="E746" s="49" t="n"/>
      <c r="F746" s="49" t="n"/>
    </row>
    <row r="747" ht="15.75" customHeight="1" s="57">
      <c r="A747" s="49" t="n"/>
      <c r="B747" s="49" t="n"/>
      <c r="C747" s="49" t="n"/>
      <c r="D747" s="49" t="n"/>
      <c r="E747" s="49" t="n"/>
      <c r="F747" s="49" t="n"/>
    </row>
    <row r="748" ht="15.75" customHeight="1" s="57">
      <c r="A748" s="49" t="n"/>
      <c r="B748" s="49" t="n"/>
      <c r="C748" s="49" t="n"/>
      <c r="D748" s="49" t="n"/>
      <c r="E748" s="49" t="n"/>
      <c r="F748" s="49" t="n"/>
    </row>
    <row r="749" ht="15.75" customHeight="1" s="57">
      <c r="A749" s="49" t="n"/>
      <c r="B749" s="49" t="n"/>
      <c r="C749" s="49" t="n"/>
      <c r="D749" s="49" t="n"/>
      <c r="E749" s="49" t="n"/>
      <c r="F749" s="49" t="n"/>
    </row>
    <row r="750" ht="15.75" customHeight="1" s="57">
      <c r="A750" s="49" t="n"/>
      <c r="B750" s="49" t="n"/>
      <c r="C750" s="49" t="n"/>
      <c r="D750" s="49" t="n"/>
      <c r="E750" s="49" t="n"/>
      <c r="F750" s="49" t="n"/>
    </row>
    <row r="751" ht="15.75" customHeight="1" s="57">
      <c r="A751" s="49" t="n"/>
      <c r="B751" s="49" t="n"/>
      <c r="C751" s="49" t="n"/>
      <c r="D751" s="49" t="n"/>
      <c r="E751" s="49" t="n"/>
      <c r="F751" s="49" t="n"/>
    </row>
    <row r="752" ht="15.75" customHeight="1" s="57">
      <c r="A752" s="49" t="n"/>
      <c r="B752" s="49" t="n"/>
      <c r="C752" s="49" t="n"/>
      <c r="D752" s="49" t="n"/>
      <c r="E752" s="49" t="n"/>
      <c r="F752" s="49" t="n"/>
    </row>
    <row r="753" ht="15.75" customHeight="1" s="57">
      <c r="A753" s="49" t="n"/>
      <c r="B753" s="49" t="n"/>
      <c r="C753" s="49" t="n"/>
      <c r="D753" s="49" t="n"/>
      <c r="E753" s="49" t="n"/>
      <c r="F753" s="49" t="n"/>
    </row>
    <row r="754" ht="15.75" customHeight="1" s="57">
      <c r="A754" s="49" t="n"/>
      <c r="B754" s="49" t="n"/>
      <c r="C754" s="49" t="n"/>
      <c r="D754" s="49" t="n"/>
      <c r="E754" s="49" t="n"/>
      <c r="F754" s="49" t="n"/>
    </row>
    <row r="755" ht="15.75" customHeight="1" s="57">
      <c r="A755" s="49" t="n"/>
      <c r="B755" s="49" t="n"/>
      <c r="C755" s="49" t="n"/>
      <c r="D755" s="49" t="n"/>
      <c r="E755" s="49" t="n"/>
      <c r="F755" s="49" t="n"/>
    </row>
    <row r="756" ht="15.75" customHeight="1" s="57">
      <c r="A756" s="49" t="n"/>
      <c r="B756" s="49" t="n"/>
      <c r="C756" s="49" t="n"/>
      <c r="D756" s="49" t="n"/>
      <c r="E756" s="49" t="n"/>
      <c r="F756" s="49" t="n"/>
    </row>
    <row r="757" ht="15.75" customHeight="1" s="57">
      <c r="A757" s="49" t="n"/>
      <c r="B757" s="49" t="n"/>
      <c r="C757" s="49" t="n"/>
      <c r="D757" s="49" t="n"/>
      <c r="E757" s="49" t="n"/>
      <c r="F757" s="49" t="n"/>
    </row>
    <row r="758" ht="15.75" customHeight="1" s="57">
      <c r="A758" s="49" t="n"/>
      <c r="B758" s="49" t="n"/>
      <c r="C758" s="49" t="n"/>
      <c r="D758" s="49" t="n"/>
      <c r="E758" s="49" t="n"/>
      <c r="F758" s="49" t="n"/>
    </row>
    <row r="759" ht="15.75" customHeight="1" s="57">
      <c r="A759" s="49" t="n"/>
      <c r="B759" s="49" t="n"/>
      <c r="C759" s="49" t="n"/>
      <c r="D759" s="49" t="n"/>
      <c r="E759" s="49" t="n"/>
      <c r="F759" s="49" t="n"/>
    </row>
    <row r="760" ht="15.75" customHeight="1" s="57">
      <c r="A760" s="49" t="n"/>
      <c r="B760" s="49" t="n"/>
      <c r="C760" s="49" t="n"/>
      <c r="D760" s="49" t="n"/>
      <c r="E760" s="49" t="n"/>
      <c r="F760" s="49" t="n"/>
    </row>
    <row r="761" ht="15.75" customHeight="1" s="57">
      <c r="A761" s="49" t="n"/>
      <c r="B761" s="49" t="n"/>
      <c r="C761" s="49" t="n"/>
      <c r="D761" s="49" t="n"/>
      <c r="E761" s="49" t="n"/>
      <c r="F761" s="49" t="n"/>
    </row>
    <row r="762" ht="15.75" customHeight="1" s="57">
      <c r="A762" s="49" t="n"/>
      <c r="B762" s="49" t="n"/>
      <c r="C762" s="49" t="n"/>
      <c r="D762" s="49" t="n"/>
      <c r="E762" s="49" t="n"/>
      <c r="F762" s="49" t="n"/>
    </row>
    <row r="763" ht="15.75" customHeight="1" s="57">
      <c r="A763" s="49" t="n"/>
      <c r="B763" s="49" t="n"/>
      <c r="C763" s="49" t="n"/>
      <c r="D763" s="49" t="n"/>
      <c r="E763" s="49" t="n"/>
      <c r="F763" s="49" t="n"/>
    </row>
    <row r="764" ht="15.75" customHeight="1" s="57">
      <c r="A764" s="49" t="n"/>
      <c r="B764" s="49" t="n"/>
      <c r="C764" s="49" t="n"/>
      <c r="D764" s="49" t="n"/>
      <c r="E764" s="49" t="n"/>
      <c r="F764" s="49" t="n"/>
    </row>
    <row r="765" ht="15.75" customHeight="1" s="57">
      <c r="A765" s="49" t="n"/>
      <c r="B765" s="49" t="n"/>
      <c r="C765" s="49" t="n"/>
      <c r="D765" s="49" t="n"/>
      <c r="E765" s="49" t="n"/>
      <c r="F765" s="49" t="n"/>
    </row>
    <row r="766" ht="15.75" customHeight="1" s="57">
      <c r="A766" s="49" t="n"/>
      <c r="B766" s="49" t="n"/>
      <c r="C766" s="49" t="n"/>
      <c r="D766" s="49" t="n"/>
      <c r="E766" s="49" t="n"/>
      <c r="F766" s="49" t="n"/>
    </row>
    <row r="767" ht="15.75" customHeight="1" s="57">
      <c r="A767" s="49" t="n"/>
      <c r="B767" s="49" t="n"/>
      <c r="C767" s="49" t="n"/>
      <c r="D767" s="49" t="n"/>
      <c r="E767" s="49" t="n"/>
      <c r="F767" s="49" t="n"/>
    </row>
    <row r="768" ht="15.75" customHeight="1" s="57">
      <c r="A768" s="49" t="n"/>
      <c r="B768" s="49" t="n"/>
      <c r="C768" s="49" t="n"/>
      <c r="D768" s="49" t="n"/>
      <c r="E768" s="49" t="n"/>
      <c r="F768" s="49" t="n"/>
    </row>
    <row r="769" ht="15.75" customHeight="1" s="57">
      <c r="A769" s="49" t="n"/>
      <c r="B769" s="49" t="n"/>
      <c r="C769" s="49" t="n"/>
      <c r="D769" s="49" t="n"/>
      <c r="E769" s="49" t="n"/>
      <c r="F769" s="49" t="n"/>
    </row>
    <row r="770" ht="15.75" customHeight="1" s="57">
      <c r="A770" s="49" t="n"/>
      <c r="B770" s="49" t="n"/>
      <c r="C770" s="49" t="n"/>
      <c r="D770" s="49" t="n"/>
      <c r="E770" s="49" t="n"/>
      <c r="F770" s="49" t="n"/>
    </row>
    <row r="771" ht="15.75" customHeight="1" s="57">
      <c r="A771" s="49" t="n"/>
      <c r="B771" s="49" t="n"/>
      <c r="C771" s="49" t="n"/>
      <c r="D771" s="49" t="n"/>
      <c r="E771" s="49" t="n"/>
      <c r="F771" s="49" t="n"/>
    </row>
    <row r="772" ht="15.75" customHeight="1" s="57">
      <c r="A772" s="49" t="n"/>
      <c r="B772" s="49" t="n"/>
      <c r="C772" s="49" t="n"/>
      <c r="D772" s="49" t="n"/>
      <c r="E772" s="49" t="n"/>
      <c r="F772" s="49" t="n"/>
    </row>
    <row r="773" ht="15.75" customHeight="1" s="57">
      <c r="A773" s="49" t="n"/>
      <c r="B773" s="49" t="n"/>
      <c r="C773" s="49" t="n"/>
      <c r="D773" s="49" t="n"/>
      <c r="E773" s="49" t="n"/>
      <c r="F773" s="49" t="n"/>
    </row>
    <row r="774" ht="15.75" customHeight="1" s="57">
      <c r="A774" s="49" t="n"/>
      <c r="B774" s="49" t="n"/>
      <c r="C774" s="49" t="n"/>
      <c r="D774" s="49" t="n"/>
      <c r="E774" s="49" t="n"/>
      <c r="F774" s="49" t="n"/>
    </row>
    <row r="775" ht="15.75" customHeight="1" s="57">
      <c r="A775" s="49" t="n"/>
      <c r="B775" s="49" t="n"/>
      <c r="C775" s="49" t="n"/>
      <c r="D775" s="49" t="n"/>
      <c r="E775" s="49" t="n"/>
      <c r="F775" s="49" t="n"/>
    </row>
    <row r="776" ht="15.75" customHeight="1" s="57">
      <c r="A776" s="49" t="n"/>
      <c r="B776" s="49" t="n"/>
      <c r="C776" s="49" t="n"/>
      <c r="D776" s="49" t="n"/>
      <c r="E776" s="49" t="n"/>
      <c r="F776" s="49" t="n"/>
    </row>
    <row r="777" ht="15.75" customHeight="1" s="57">
      <c r="A777" s="49" t="n"/>
      <c r="B777" s="49" t="n"/>
      <c r="C777" s="49" t="n"/>
      <c r="D777" s="49" t="n"/>
      <c r="E777" s="49" t="n"/>
      <c r="F777" s="49" t="n"/>
    </row>
    <row r="778" ht="15.75" customHeight="1" s="57">
      <c r="A778" s="49" t="n"/>
      <c r="B778" s="49" t="n"/>
      <c r="C778" s="49" t="n"/>
      <c r="D778" s="49" t="n"/>
      <c r="E778" s="49" t="n"/>
      <c r="F778" s="49" t="n"/>
    </row>
    <row r="779" ht="15.75" customHeight="1" s="57">
      <c r="A779" s="49" t="n"/>
      <c r="B779" s="49" t="n"/>
      <c r="C779" s="49" t="n"/>
      <c r="D779" s="49" t="n"/>
      <c r="E779" s="49" t="n"/>
      <c r="F779" s="49" t="n"/>
    </row>
    <row r="780" ht="15.75" customHeight="1" s="57">
      <c r="A780" s="49" t="n"/>
      <c r="B780" s="49" t="n"/>
      <c r="C780" s="49" t="n"/>
      <c r="D780" s="49" t="n"/>
      <c r="E780" s="49" t="n"/>
      <c r="F780" s="49" t="n"/>
    </row>
    <row r="781" ht="15.75" customHeight="1" s="57">
      <c r="A781" s="49" t="n"/>
      <c r="B781" s="49" t="n"/>
      <c r="C781" s="49" t="n"/>
      <c r="D781" s="49" t="n"/>
      <c r="E781" s="49" t="n"/>
      <c r="F781" s="49" t="n"/>
    </row>
    <row r="782" ht="15.75" customHeight="1" s="57">
      <c r="A782" s="49" t="n"/>
      <c r="B782" s="49" t="n"/>
      <c r="C782" s="49" t="n"/>
      <c r="D782" s="49" t="n"/>
      <c r="E782" s="49" t="n"/>
      <c r="F782" s="49" t="n"/>
    </row>
    <row r="783" ht="15.75" customHeight="1" s="57">
      <c r="A783" s="49" t="n"/>
      <c r="B783" s="49" t="n"/>
      <c r="C783" s="49" t="n"/>
      <c r="D783" s="49" t="n"/>
      <c r="E783" s="49" t="n"/>
      <c r="F783" s="49" t="n"/>
    </row>
    <row r="784" ht="15.75" customHeight="1" s="57">
      <c r="A784" s="49" t="n"/>
      <c r="B784" s="49" t="n"/>
      <c r="C784" s="49" t="n"/>
      <c r="D784" s="49" t="n"/>
      <c r="E784" s="49" t="n"/>
      <c r="F784" s="49" t="n"/>
    </row>
    <row r="785" ht="15.75" customHeight="1" s="57">
      <c r="A785" s="49" t="n"/>
      <c r="B785" s="49" t="n"/>
      <c r="C785" s="49" t="n"/>
      <c r="D785" s="49" t="n"/>
      <c r="E785" s="49" t="n"/>
      <c r="F785" s="49" t="n"/>
    </row>
    <row r="786" ht="15.75" customHeight="1" s="57">
      <c r="A786" s="49" t="n"/>
      <c r="B786" s="49" t="n"/>
      <c r="C786" s="49" t="n"/>
      <c r="D786" s="49" t="n"/>
      <c r="E786" s="49" t="n"/>
      <c r="F786" s="49" t="n"/>
    </row>
    <row r="787" ht="15.75" customHeight="1" s="57">
      <c r="A787" s="49" t="n"/>
      <c r="B787" s="49" t="n"/>
      <c r="C787" s="49" t="n"/>
      <c r="D787" s="49" t="n"/>
      <c r="E787" s="49" t="n"/>
      <c r="F787" s="49" t="n"/>
    </row>
    <row r="788" ht="15.75" customHeight="1" s="57">
      <c r="A788" s="49" t="n"/>
      <c r="B788" s="49" t="n"/>
      <c r="C788" s="49" t="n"/>
      <c r="D788" s="49" t="n"/>
      <c r="E788" s="49" t="n"/>
      <c r="F788" s="49" t="n"/>
    </row>
    <row r="789" ht="15.75" customHeight="1" s="57">
      <c r="A789" s="49" t="n"/>
      <c r="B789" s="49" t="n"/>
      <c r="C789" s="49" t="n"/>
      <c r="D789" s="49" t="n"/>
      <c r="E789" s="49" t="n"/>
      <c r="F789" s="49" t="n"/>
    </row>
    <row r="790" ht="15.75" customHeight="1" s="57">
      <c r="A790" s="49" t="n"/>
      <c r="B790" s="49" t="n"/>
      <c r="C790" s="49" t="n"/>
      <c r="D790" s="49" t="n"/>
      <c r="E790" s="49" t="n"/>
      <c r="F790" s="49" t="n"/>
    </row>
    <row r="791" ht="15.75" customHeight="1" s="57">
      <c r="A791" s="49" t="n"/>
      <c r="B791" s="49" t="n"/>
      <c r="C791" s="49" t="n"/>
      <c r="D791" s="49" t="n"/>
      <c r="E791" s="49" t="n"/>
      <c r="F791" s="49" t="n"/>
    </row>
    <row r="792" ht="15.75" customHeight="1" s="57">
      <c r="A792" s="49" t="n"/>
      <c r="B792" s="49" t="n"/>
      <c r="C792" s="49" t="n"/>
      <c r="D792" s="49" t="n"/>
      <c r="E792" s="49" t="n"/>
      <c r="F792" s="49" t="n"/>
    </row>
    <row r="793" ht="15.75" customHeight="1" s="57">
      <c r="A793" s="49" t="n"/>
      <c r="B793" s="49" t="n"/>
      <c r="C793" s="49" t="n"/>
      <c r="D793" s="49" t="n"/>
      <c r="E793" s="49" t="n"/>
      <c r="F793" s="49" t="n"/>
    </row>
    <row r="794" ht="15.75" customHeight="1" s="57">
      <c r="A794" s="49" t="n"/>
      <c r="B794" s="49" t="n"/>
      <c r="C794" s="49" t="n"/>
      <c r="D794" s="49" t="n"/>
      <c r="E794" s="49" t="n"/>
      <c r="F794" s="49" t="n"/>
    </row>
    <row r="795" ht="15.75" customHeight="1" s="57">
      <c r="A795" s="49" t="n"/>
      <c r="B795" s="49" t="n"/>
      <c r="C795" s="49" t="n"/>
      <c r="D795" s="49" t="n"/>
      <c r="E795" s="49" t="n"/>
      <c r="F795" s="49" t="n"/>
    </row>
    <row r="796" ht="15.75" customHeight="1" s="57">
      <c r="A796" s="49" t="n"/>
      <c r="B796" s="49" t="n"/>
      <c r="C796" s="49" t="n"/>
      <c r="D796" s="49" t="n"/>
      <c r="E796" s="49" t="n"/>
      <c r="F796" s="49" t="n"/>
    </row>
    <row r="797" ht="15.75" customHeight="1" s="57">
      <c r="A797" s="49" t="n"/>
      <c r="B797" s="49" t="n"/>
      <c r="C797" s="49" t="n"/>
      <c r="D797" s="49" t="n"/>
      <c r="E797" s="49" t="n"/>
      <c r="F797" s="49" t="n"/>
    </row>
    <row r="798" ht="15.75" customHeight="1" s="57">
      <c r="A798" s="49" t="n"/>
      <c r="B798" s="49" t="n"/>
      <c r="C798" s="49" t="n"/>
      <c r="D798" s="49" t="n"/>
      <c r="E798" s="49" t="n"/>
      <c r="F798" s="49" t="n"/>
    </row>
    <row r="799" ht="15.75" customHeight="1" s="57">
      <c r="A799" s="49" t="n"/>
      <c r="B799" s="49" t="n"/>
      <c r="C799" s="49" t="n"/>
      <c r="D799" s="49" t="n"/>
      <c r="E799" s="49" t="n"/>
      <c r="F799" s="49" t="n"/>
    </row>
    <row r="800" ht="15.75" customHeight="1" s="57">
      <c r="A800" s="49" t="n"/>
      <c r="B800" s="49" t="n"/>
      <c r="C800" s="49" t="n"/>
      <c r="D800" s="49" t="n"/>
      <c r="E800" s="49" t="n"/>
      <c r="F800" s="49" t="n"/>
    </row>
    <row r="801" ht="15.75" customHeight="1" s="57">
      <c r="A801" s="49" t="n"/>
      <c r="B801" s="49" t="n"/>
      <c r="C801" s="49" t="n"/>
      <c r="D801" s="49" t="n"/>
      <c r="E801" s="49" t="n"/>
      <c r="F801" s="49" t="n"/>
    </row>
    <row r="802" ht="15.75" customHeight="1" s="57">
      <c r="A802" s="49" t="n"/>
      <c r="B802" s="49" t="n"/>
      <c r="C802" s="49" t="n"/>
      <c r="D802" s="49" t="n"/>
      <c r="E802" s="49" t="n"/>
      <c r="F802" s="49" t="n"/>
    </row>
    <row r="803" ht="15.75" customHeight="1" s="57">
      <c r="A803" s="49" t="n"/>
      <c r="B803" s="49" t="n"/>
      <c r="C803" s="49" t="n"/>
      <c r="D803" s="49" t="n"/>
      <c r="E803" s="49" t="n"/>
      <c r="F803" s="49" t="n"/>
    </row>
    <row r="804" ht="15.75" customHeight="1" s="57">
      <c r="A804" s="49" t="n"/>
      <c r="B804" s="49" t="n"/>
      <c r="C804" s="49" t="n"/>
      <c r="D804" s="49" t="n"/>
      <c r="E804" s="49" t="n"/>
      <c r="F804" s="49" t="n"/>
    </row>
    <row r="805" ht="15.75" customHeight="1" s="57">
      <c r="A805" s="49" t="n"/>
      <c r="B805" s="49" t="n"/>
      <c r="C805" s="49" t="n"/>
      <c r="D805" s="49" t="n"/>
      <c r="E805" s="49" t="n"/>
      <c r="F805" s="49" t="n"/>
    </row>
    <row r="806" ht="15.75" customHeight="1" s="57">
      <c r="A806" s="49" t="n"/>
      <c r="B806" s="49" t="n"/>
      <c r="C806" s="49" t="n"/>
      <c r="D806" s="49" t="n"/>
      <c r="E806" s="49" t="n"/>
      <c r="F806" s="49" t="n"/>
    </row>
    <row r="807" ht="15.75" customHeight="1" s="57">
      <c r="A807" s="49" t="n"/>
      <c r="B807" s="49" t="n"/>
      <c r="C807" s="49" t="n"/>
      <c r="D807" s="49" t="n"/>
      <c r="E807" s="49" t="n"/>
      <c r="F807" s="49" t="n"/>
    </row>
    <row r="808" ht="15.75" customHeight="1" s="57">
      <c r="A808" s="49" t="n"/>
      <c r="B808" s="49" t="n"/>
      <c r="C808" s="49" t="n"/>
      <c r="D808" s="49" t="n"/>
      <c r="E808" s="49" t="n"/>
      <c r="F808" s="49" t="n"/>
    </row>
    <row r="809" ht="15.75" customHeight="1" s="57">
      <c r="A809" s="49" t="n"/>
      <c r="B809" s="49" t="n"/>
      <c r="C809" s="49" t="n"/>
      <c r="D809" s="49" t="n"/>
      <c r="E809" s="49" t="n"/>
      <c r="F809" s="49" t="n"/>
    </row>
    <row r="810" ht="15.75" customHeight="1" s="57">
      <c r="A810" s="49" t="n"/>
      <c r="B810" s="49" t="n"/>
      <c r="C810" s="49" t="n"/>
      <c r="D810" s="49" t="n"/>
      <c r="E810" s="49" t="n"/>
      <c r="F810" s="49" t="n"/>
    </row>
    <row r="811" ht="15.75" customHeight="1" s="57">
      <c r="A811" s="49" t="n"/>
      <c r="B811" s="49" t="n"/>
      <c r="C811" s="49" t="n"/>
      <c r="D811" s="49" t="n"/>
      <c r="E811" s="49" t="n"/>
      <c r="F811" s="49" t="n"/>
    </row>
    <row r="812" ht="15.75" customHeight="1" s="57">
      <c r="A812" s="49" t="n"/>
      <c r="B812" s="49" t="n"/>
      <c r="C812" s="49" t="n"/>
      <c r="D812" s="49" t="n"/>
      <c r="E812" s="49" t="n"/>
      <c r="F812" s="49" t="n"/>
    </row>
    <row r="813" ht="15.75" customHeight="1" s="57">
      <c r="A813" s="49" t="n"/>
      <c r="B813" s="49" t="n"/>
      <c r="C813" s="49" t="n"/>
      <c r="D813" s="49" t="n"/>
      <c r="E813" s="49" t="n"/>
      <c r="F813" s="49" t="n"/>
    </row>
    <row r="814" ht="15.75" customHeight="1" s="57">
      <c r="A814" s="49" t="n"/>
      <c r="B814" s="49" t="n"/>
      <c r="C814" s="49" t="n"/>
      <c r="D814" s="49" t="n"/>
      <c r="E814" s="49" t="n"/>
      <c r="F814" s="49" t="n"/>
    </row>
    <row r="815" ht="15.75" customHeight="1" s="57">
      <c r="A815" s="49" t="n"/>
      <c r="B815" s="49" t="n"/>
      <c r="C815" s="49" t="n"/>
      <c r="D815" s="49" t="n"/>
      <c r="E815" s="49" t="n"/>
      <c r="F815" s="49" t="n"/>
    </row>
    <row r="816" ht="15.75" customHeight="1" s="57">
      <c r="A816" s="49" t="n"/>
      <c r="B816" s="49" t="n"/>
      <c r="C816" s="49" t="n"/>
      <c r="D816" s="49" t="n"/>
      <c r="E816" s="49" t="n"/>
      <c r="F816" s="49" t="n"/>
    </row>
    <row r="817" ht="15.75" customHeight="1" s="57">
      <c r="A817" s="49" t="n"/>
      <c r="B817" s="49" t="n"/>
      <c r="C817" s="49" t="n"/>
      <c r="D817" s="49" t="n"/>
      <c r="E817" s="49" t="n"/>
      <c r="F817" s="49" t="n"/>
    </row>
    <row r="818" ht="15.75" customHeight="1" s="57">
      <c r="A818" s="49" t="n"/>
      <c r="B818" s="49" t="n"/>
      <c r="C818" s="49" t="n"/>
      <c r="D818" s="49" t="n"/>
      <c r="E818" s="49" t="n"/>
      <c r="F818" s="49" t="n"/>
    </row>
    <row r="819" ht="15.75" customHeight="1" s="57">
      <c r="A819" s="49" t="n"/>
      <c r="B819" s="49" t="n"/>
      <c r="C819" s="49" t="n"/>
      <c r="D819" s="49" t="n"/>
      <c r="E819" s="49" t="n"/>
      <c r="F819" s="49" t="n"/>
    </row>
    <row r="820" ht="15.75" customHeight="1" s="57">
      <c r="A820" s="49" t="n"/>
      <c r="B820" s="49" t="n"/>
      <c r="C820" s="49" t="n"/>
      <c r="D820" s="49" t="n"/>
      <c r="E820" s="49" t="n"/>
      <c r="F820" s="49" t="n"/>
    </row>
    <row r="821" ht="15.75" customHeight="1" s="57">
      <c r="A821" s="49" t="n"/>
      <c r="B821" s="49" t="n"/>
      <c r="C821" s="49" t="n"/>
      <c r="D821" s="49" t="n"/>
      <c r="E821" s="49" t="n"/>
      <c r="F821" s="49" t="n"/>
    </row>
    <row r="822" ht="15.75" customHeight="1" s="57">
      <c r="A822" s="49" t="n"/>
      <c r="B822" s="49" t="n"/>
      <c r="C822" s="49" t="n"/>
      <c r="D822" s="49" t="n"/>
      <c r="E822" s="49" t="n"/>
      <c r="F822" s="49" t="n"/>
    </row>
    <row r="823" ht="15.75" customHeight="1" s="57">
      <c r="A823" s="49" t="n"/>
      <c r="B823" s="49" t="n"/>
      <c r="C823" s="49" t="n"/>
      <c r="D823" s="49" t="n"/>
      <c r="E823" s="49" t="n"/>
      <c r="F823" s="49" t="n"/>
    </row>
    <row r="824" ht="15.75" customHeight="1" s="57">
      <c r="A824" s="49" t="n"/>
      <c r="B824" s="49" t="n"/>
      <c r="C824" s="49" t="n"/>
      <c r="D824" s="49" t="n"/>
      <c r="E824" s="49" t="n"/>
      <c r="F824" s="49" t="n"/>
    </row>
    <row r="825" ht="15.75" customHeight="1" s="57">
      <c r="A825" s="49" t="n"/>
      <c r="B825" s="49" t="n"/>
      <c r="C825" s="49" t="n"/>
      <c r="D825" s="49" t="n"/>
      <c r="E825" s="49" t="n"/>
      <c r="F825" s="49" t="n"/>
    </row>
    <row r="826" ht="15.75" customHeight="1" s="57">
      <c r="A826" s="49" t="n"/>
      <c r="B826" s="49" t="n"/>
      <c r="C826" s="49" t="n"/>
      <c r="D826" s="49" t="n"/>
      <c r="E826" s="49" t="n"/>
      <c r="F826" s="49" t="n"/>
    </row>
    <row r="827" ht="15.75" customHeight="1" s="57">
      <c r="A827" s="49" t="n"/>
      <c r="B827" s="49" t="n"/>
      <c r="C827" s="49" t="n"/>
      <c r="D827" s="49" t="n"/>
      <c r="E827" s="49" t="n"/>
      <c r="F827" s="49" t="n"/>
    </row>
    <row r="828" ht="15.75" customHeight="1" s="57">
      <c r="A828" s="49" t="n"/>
      <c r="B828" s="49" t="n"/>
      <c r="C828" s="49" t="n"/>
      <c r="D828" s="49" t="n"/>
      <c r="E828" s="49" t="n"/>
      <c r="F828" s="49" t="n"/>
    </row>
    <row r="829" ht="15.75" customHeight="1" s="57">
      <c r="A829" s="49" t="n"/>
      <c r="B829" s="49" t="n"/>
      <c r="C829" s="49" t="n"/>
      <c r="D829" s="49" t="n"/>
      <c r="E829" s="49" t="n"/>
      <c r="F829" s="49" t="n"/>
    </row>
    <row r="830" ht="15.75" customHeight="1" s="57">
      <c r="A830" s="49" t="n"/>
      <c r="B830" s="49" t="n"/>
      <c r="C830" s="49" t="n"/>
      <c r="D830" s="49" t="n"/>
      <c r="E830" s="49" t="n"/>
      <c r="F830" s="49" t="n"/>
    </row>
    <row r="831" ht="15.75" customHeight="1" s="57">
      <c r="A831" s="49" t="n"/>
      <c r="B831" s="49" t="n"/>
      <c r="C831" s="49" t="n"/>
      <c r="D831" s="49" t="n"/>
      <c r="E831" s="49" t="n"/>
      <c r="F831" s="49" t="n"/>
    </row>
    <row r="832" ht="15.75" customHeight="1" s="57">
      <c r="A832" s="49" t="n"/>
      <c r="B832" s="49" t="n"/>
      <c r="C832" s="49" t="n"/>
      <c r="D832" s="49" t="n"/>
      <c r="E832" s="49" t="n"/>
      <c r="F832" s="49" t="n"/>
    </row>
    <row r="833" ht="15.75" customHeight="1" s="57">
      <c r="A833" s="49" t="n"/>
      <c r="B833" s="49" t="n"/>
      <c r="C833" s="49" t="n"/>
      <c r="D833" s="49" t="n"/>
      <c r="E833" s="49" t="n"/>
      <c r="F833" s="49" t="n"/>
    </row>
    <row r="834" ht="15.75" customHeight="1" s="57">
      <c r="A834" s="49" t="n"/>
      <c r="B834" s="49" t="n"/>
      <c r="C834" s="49" t="n"/>
      <c r="D834" s="49" t="n"/>
      <c r="E834" s="49" t="n"/>
      <c r="F834" s="49" t="n"/>
    </row>
    <row r="835" ht="15.75" customHeight="1" s="57">
      <c r="A835" s="49" t="n"/>
      <c r="B835" s="49" t="n"/>
      <c r="C835" s="49" t="n"/>
      <c r="D835" s="49" t="n"/>
      <c r="E835" s="49" t="n"/>
      <c r="F835" s="49" t="n"/>
    </row>
    <row r="836" ht="15.75" customHeight="1" s="57">
      <c r="A836" s="49" t="n"/>
      <c r="B836" s="49" t="n"/>
      <c r="C836" s="49" t="n"/>
      <c r="D836" s="49" t="n"/>
      <c r="E836" s="49" t="n"/>
      <c r="F836" s="49" t="n"/>
    </row>
    <row r="837" ht="15.75" customHeight="1" s="57">
      <c r="A837" s="49" t="n"/>
      <c r="B837" s="49" t="n"/>
      <c r="C837" s="49" t="n"/>
      <c r="D837" s="49" t="n"/>
      <c r="E837" s="49" t="n"/>
      <c r="F837" s="49" t="n"/>
    </row>
    <row r="838" ht="15.75" customHeight="1" s="57">
      <c r="A838" s="49" t="n"/>
      <c r="B838" s="49" t="n"/>
      <c r="C838" s="49" t="n"/>
      <c r="D838" s="49" t="n"/>
      <c r="E838" s="49" t="n"/>
      <c r="F838" s="49" t="n"/>
    </row>
    <row r="839" ht="15.75" customHeight="1" s="57">
      <c r="A839" s="49" t="n"/>
      <c r="B839" s="49" t="n"/>
      <c r="C839" s="49" t="n"/>
      <c r="D839" s="49" t="n"/>
      <c r="E839" s="49" t="n"/>
      <c r="F839" s="49" t="n"/>
    </row>
    <row r="840" ht="15.75" customHeight="1" s="57">
      <c r="A840" s="49" t="n"/>
      <c r="B840" s="49" t="n"/>
      <c r="C840" s="49" t="n"/>
      <c r="D840" s="49" t="n"/>
      <c r="E840" s="49" t="n"/>
      <c r="F840" s="49" t="n"/>
    </row>
    <row r="841" ht="15.75" customHeight="1" s="57">
      <c r="A841" s="49" t="n"/>
      <c r="B841" s="49" t="n"/>
      <c r="C841" s="49" t="n"/>
      <c r="D841" s="49" t="n"/>
      <c r="E841" s="49" t="n"/>
      <c r="F841" s="49" t="n"/>
    </row>
    <row r="842" ht="15.75" customHeight="1" s="57">
      <c r="A842" s="49" t="n"/>
      <c r="B842" s="49" t="n"/>
      <c r="C842" s="49" t="n"/>
      <c r="D842" s="49" t="n"/>
      <c r="E842" s="49" t="n"/>
      <c r="F842" s="49" t="n"/>
    </row>
    <row r="843" ht="15.75" customHeight="1" s="57">
      <c r="A843" s="49" t="n"/>
      <c r="B843" s="49" t="n"/>
      <c r="C843" s="49" t="n"/>
      <c r="D843" s="49" t="n"/>
      <c r="E843" s="49" t="n"/>
      <c r="F843" s="49" t="n"/>
    </row>
    <row r="844" ht="15.75" customHeight="1" s="57">
      <c r="A844" s="49" t="n"/>
      <c r="B844" s="49" t="n"/>
      <c r="C844" s="49" t="n"/>
      <c r="D844" s="49" t="n"/>
      <c r="E844" s="49" t="n"/>
      <c r="F844" s="49" t="n"/>
    </row>
    <row r="845" ht="15.75" customHeight="1" s="57">
      <c r="A845" s="49" t="n"/>
      <c r="B845" s="49" t="n"/>
      <c r="C845" s="49" t="n"/>
      <c r="D845" s="49" t="n"/>
      <c r="E845" s="49" t="n"/>
      <c r="F845" s="49" t="n"/>
    </row>
    <row r="846" ht="15.75" customHeight="1" s="57">
      <c r="A846" s="49" t="n"/>
      <c r="B846" s="49" t="n"/>
      <c r="C846" s="49" t="n"/>
      <c r="D846" s="49" t="n"/>
      <c r="E846" s="49" t="n"/>
      <c r="F846" s="49" t="n"/>
    </row>
    <row r="847" ht="15.75" customHeight="1" s="57">
      <c r="A847" s="49" t="n"/>
      <c r="B847" s="49" t="n"/>
      <c r="C847" s="49" t="n"/>
      <c r="D847" s="49" t="n"/>
      <c r="E847" s="49" t="n"/>
      <c r="F847" s="49" t="n"/>
    </row>
    <row r="848" ht="15.75" customHeight="1" s="57">
      <c r="A848" s="49" t="n"/>
      <c r="B848" s="49" t="n"/>
      <c r="C848" s="49" t="n"/>
      <c r="D848" s="49" t="n"/>
      <c r="E848" s="49" t="n"/>
      <c r="F848" s="49" t="n"/>
    </row>
    <row r="849" ht="15.75" customHeight="1" s="57">
      <c r="A849" s="49" t="n"/>
      <c r="B849" s="49" t="n"/>
      <c r="C849" s="49" t="n"/>
      <c r="D849" s="49" t="n"/>
      <c r="E849" s="49" t="n"/>
      <c r="F849" s="49" t="n"/>
    </row>
    <row r="850" ht="15.75" customHeight="1" s="57">
      <c r="A850" s="49" t="n"/>
      <c r="B850" s="49" t="n"/>
      <c r="C850" s="49" t="n"/>
      <c r="D850" s="49" t="n"/>
      <c r="E850" s="49" t="n"/>
      <c r="F850" s="49" t="n"/>
    </row>
    <row r="851" ht="15.75" customHeight="1" s="57">
      <c r="A851" s="49" t="n"/>
      <c r="B851" s="49" t="n"/>
      <c r="C851" s="49" t="n"/>
      <c r="D851" s="49" t="n"/>
      <c r="E851" s="49" t="n"/>
      <c r="F851" s="49" t="n"/>
    </row>
    <row r="852" ht="15.75" customHeight="1" s="57">
      <c r="A852" s="49" t="n"/>
      <c r="B852" s="49" t="n"/>
      <c r="C852" s="49" t="n"/>
      <c r="D852" s="49" t="n"/>
      <c r="E852" s="49" t="n"/>
      <c r="F852" s="49" t="n"/>
    </row>
    <row r="853" ht="15.75" customHeight="1" s="57">
      <c r="A853" s="49" t="n"/>
      <c r="B853" s="49" t="n"/>
      <c r="C853" s="49" t="n"/>
      <c r="D853" s="49" t="n"/>
      <c r="E853" s="49" t="n"/>
      <c r="F853" s="49" t="n"/>
    </row>
    <row r="854" ht="15.75" customHeight="1" s="57">
      <c r="A854" s="49" t="n"/>
      <c r="B854" s="49" t="n"/>
      <c r="C854" s="49" t="n"/>
      <c r="D854" s="49" t="n"/>
      <c r="E854" s="49" t="n"/>
      <c r="F854" s="49" t="n"/>
    </row>
    <row r="855" ht="15.75" customHeight="1" s="57">
      <c r="A855" s="49" t="n"/>
      <c r="B855" s="49" t="n"/>
      <c r="C855" s="49" t="n"/>
      <c r="D855" s="49" t="n"/>
      <c r="E855" s="49" t="n"/>
      <c r="F855" s="49" t="n"/>
    </row>
    <row r="856" ht="15.75" customHeight="1" s="57">
      <c r="A856" s="49" t="n"/>
      <c r="B856" s="49" t="n"/>
      <c r="C856" s="49" t="n"/>
      <c r="D856" s="49" t="n"/>
      <c r="E856" s="49" t="n"/>
      <c r="F856" s="49" t="n"/>
    </row>
    <row r="857" ht="15.75" customHeight="1" s="57">
      <c r="A857" s="49" t="n"/>
      <c r="B857" s="49" t="n"/>
      <c r="C857" s="49" t="n"/>
      <c r="D857" s="49" t="n"/>
      <c r="E857" s="49" t="n"/>
      <c r="F857" s="49" t="n"/>
    </row>
    <row r="858" ht="15.75" customHeight="1" s="57">
      <c r="A858" s="49" t="n"/>
      <c r="B858" s="49" t="n"/>
      <c r="C858" s="49" t="n"/>
      <c r="D858" s="49" t="n"/>
      <c r="E858" s="49" t="n"/>
      <c r="F858" s="49" t="n"/>
    </row>
    <row r="859" ht="15.75" customHeight="1" s="57">
      <c r="A859" s="49" t="n"/>
      <c r="B859" s="49" t="n"/>
      <c r="C859" s="49" t="n"/>
      <c r="D859" s="49" t="n"/>
      <c r="E859" s="49" t="n"/>
      <c r="F859" s="49" t="n"/>
    </row>
    <row r="860" ht="15.75" customHeight="1" s="57">
      <c r="A860" s="49" t="n"/>
      <c r="B860" s="49" t="n"/>
      <c r="C860" s="49" t="n"/>
      <c r="D860" s="49" t="n"/>
      <c r="E860" s="49" t="n"/>
      <c r="F860" s="49" t="n"/>
    </row>
    <row r="861" ht="15.75" customHeight="1" s="57">
      <c r="A861" s="49" t="n"/>
      <c r="B861" s="49" t="n"/>
      <c r="C861" s="49" t="n"/>
      <c r="D861" s="49" t="n"/>
      <c r="E861" s="49" t="n"/>
      <c r="F861" s="49" t="n"/>
    </row>
    <row r="862" ht="15.75" customHeight="1" s="57">
      <c r="A862" s="49" t="n"/>
      <c r="B862" s="49" t="n"/>
      <c r="C862" s="49" t="n"/>
      <c r="D862" s="49" t="n"/>
      <c r="E862" s="49" t="n"/>
      <c r="F862" s="49" t="n"/>
    </row>
    <row r="863" ht="15.75" customHeight="1" s="57">
      <c r="A863" s="49" t="n"/>
      <c r="B863" s="49" t="n"/>
      <c r="C863" s="49" t="n"/>
      <c r="D863" s="49" t="n"/>
      <c r="E863" s="49" t="n"/>
      <c r="F863" s="49" t="n"/>
    </row>
    <row r="864" ht="15.75" customHeight="1" s="57">
      <c r="A864" s="49" t="n"/>
      <c r="B864" s="49" t="n"/>
      <c r="C864" s="49" t="n"/>
      <c r="D864" s="49" t="n"/>
      <c r="E864" s="49" t="n"/>
      <c r="F864" s="49" t="n"/>
    </row>
    <row r="865" ht="15.75" customHeight="1" s="57">
      <c r="A865" s="49" t="n"/>
      <c r="B865" s="49" t="n"/>
      <c r="C865" s="49" t="n"/>
      <c r="D865" s="49" t="n"/>
      <c r="E865" s="49" t="n"/>
      <c r="F865" s="49" t="n"/>
    </row>
    <row r="866" ht="15.75" customHeight="1" s="57">
      <c r="A866" s="49" t="n"/>
      <c r="B866" s="49" t="n"/>
      <c r="C866" s="49" t="n"/>
      <c r="D866" s="49" t="n"/>
      <c r="E866" s="49" t="n"/>
      <c r="F866" s="49" t="n"/>
    </row>
    <row r="867" ht="15.75" customHeight="1" s="57">
      <c r="A867" s="49" t="n"/>
      <c r="B867" s="49" t="n"/>
      <c r="C867" s="49" t="n"/>
      <c r="D867" s="49" t="n"/>
      <c r="E867" s="49" t="n"/>
      <c r="F867" s="49" t="n"/>
    </row>
    <row r="868" ht="15.75" customHeight="1" s="57">
      <c r="A868" s="49" t="n"/>
      <c r="B868" s="49" t="n"/>
      <c r="C868" s="49" t="n"/>
      <c r="D868" s="49" t="n"/>
      <c r="E868" s="49" t="n"/>
      <c r="F868" s="49" t="n"/>
    </row>
    <row r="869" ht="15.75" customHeight="1" s="57">
      <c r="A869" s="49" t="n"/>
      <c r="B869" s="49" t="n"/>
      <c r="C869" s="49" t="n"/>
      <c r="D869" s="49" t="n"/>
      <c r="E869" s="49" t="n"/>
      <c r="F869" s="49" t="n"/>
    </row>
    <row r="870" ht="15.75" customHeight="1" s="57">
      <c r="A870" s="49" t="n"/>
      <c r="B870" s="49" t="n"/>
      <c r="C870" s="49" t="n"/>
      <c r="D870" s="49" t="n"/>
      <c r="E870" s="49" t="n"/>
      <c r="F870" s="49" t="n"/>
    </row>
    <row r="871" ht="15.75" customHeight="1" s="57">
      <c r="A871" s="49" t="n"/>
      <c r="B871" s="49" t="n"/>
      <c r="C871" s="49" t="n"/>
      <c r="D871" s="49" t="n"/>
      <c r="E871" s="49" t="n"/>
      <c r="F871" s="49" t="n"/>
    </row>
    <row r="872" ht="15.75" customHeight="1" s="57">
      <c r="A872" s="49" t="n"/>
      <c r="B872" s="49" t="n"/>
      <c r="C872" s="49" t="n"/>
      <c r="D872" s="49" t="n"/>
      <c r="E872" s="49" t="n"/>
      <c r="F872" s="49" t="n"/>
    </row>
    <row r="873" ht="15.75" customHeight="1" s="57">
      <c r="A873" s="49" t="n"/>
      <c r="B873" s="49" t="n"/>
      <c r="C873" s="49" t="n"/>
      <c r="D873" s="49" t="n"/>
      <c r="E873" s="49" t="n"/>
      <c r="F873" s="49" t="n"/>
    </row>
    <row r="874" ht="15.75" customHeight="1" s="57">
      <c r="A874" s="49" t="n"/>
      <c r="B874" s="49" t="n"/>
      <c r="C874" s="49" t="n"/>
      <c r="D874" s="49" t="n"/>
      <c r="E874" s="49" t="n"/>
      <c r="F874" s="49" t="n"/>
    </row>
    <row r="875" ht="15.75" customHeight="1" s="57">
      <c r="A875" s="49" t="n"/>
      <c r="B875" s="49" t="n"/>
      <c r="C875" s="49" t="n"/>
      <c r="D875" s="49" t="n"/>
      <c r="E875" s="49" t="n"/>
      <c r="F875" s="49" t="n"/>
    </row>
    <row r="876" ht="15.75" customHeight="1" s="57">
      <c r="A876" s="49" t="n"/>
      <c r="B876" s="49" t="n"/>
      <c r="C876" s="49" t="n"/>
      <c r="D876" s="49" t="n"/>
      <c r="E876" s="49" t="n"/>
      <c r="F876" s="49" t="n"/>
    </row>
    <row r="877" ht="15.75" customHeight="1" s="57">
      <c r="A877" s="49" t="n"/>
      <c r="B877" s="49" t="n"/>
      <c r="C877" s="49" t="n"/>
      <c r="D877" s="49" t="n"/>
      <c r="E877" s="49" t="n"/>
      <c r="F877" s="49" t="n"/>
    </row>
    <row r="878" ht="15.75" customHeight="1" s="57">
      <c r="A878" s="49" t="n"/>
      <c r="B878" s="49" t="n"/>
      <c r="C878" s="49" t="n"/>
      <c r="D878" s="49" t="n"/>
      <c r="E878" s="49" t="n"/>
      <c r="F878" s="49" t="n"/>
    </row>
    <row r="879" ht="15.75" customHeight="1" s="57">
      <c r="A879" s="49" t="n"/>
      <c r="B879" s="49" t="n"/>
      <c r="C879" s="49" t="n"/>
      <c r="D879" s="49" t="n"/>
      <c r="E879" s="49" t="n"/>
      <c r="F879" s="49" t="n"/>
    </row>
    <row r="880" ht="15.75" customHeight="1" s="57">
      <c r="A880" s="49" t="n"/>
      <c r="B880" s="49" t="n"/>
      <c r="C880" s="49" t="n"/>
      <c r="D880" s="49" t="n"/>
      <c r="E880" s="49" t="n"/>
      <c r="F880" s="49" t="n"/>
    </row>
    <row r="881" ht="15.75" customHeight="1" s="57">
      <c r="A881" s="49" t="n"/>
      <c r="B881" s="49" t="n"/>
      <c r="C881" s="49" t="n"/>
      <c r="D881" s="49" t="n"/>
      <c r="E881" s="49" t="n"/>
      <c r="F881" s="49" t="n"/>
    </row>
    <row r="882" ht="15.75" customHeight="1" s="57">
      <c r="A882" s="49" t="n"/>
      <c r="B882" s="49" t="n"/>
      <c r="C882" s="49" t="n"/>
      <c r="D882" s="49" t="n"/>
      <c r="E882" s="49" t="n"/>
      <c r="F882" s="49" t="n"/>
    </row>
    <row r="883" ht="15.75" customHeight="1" s="57">
      <c r="A883" s="49" t="n"/>
      <c r="B883" s="49" t="n"/>
      <c r="C883" s="49" t="n"/>
      <c r="D883" s="49" t="n"/>
      <c r="E883" s="49" t="n"/>
      <c r="F883" s="49" t="n"/>
    </row>
    <row r="884" ht="15.75" customHeight="1" s="57">
      <c r="A884" s="49" t="n"/>
      <c r="B884" s="49" t="n"/>
      <c r="C884" s="49" t="n"/>
      <c r="D884" s="49" t="n"/>
      <c r="E884" s="49" t="n"/>
      <c r="F884" s="49" t="n"/>
    </row>
    <row r="885" ht="15.75" customHeight="1" s="57">
      <c r="A885" s="49" t="n"/>
      <c r="B885" s="49" t="n"/>
      <c r="C885" s="49" t="n"/>
      <c r="D885" s="49" t="n"/>
      <c r="E885" s="49" t="n"/>
      <c r="F885" s="49" t="n"/>
    </row>
    <row r="886" ht="15.75" customHeight="1" s="57">
      <c r="A886" s="49" t="n"/>
      <c r="B886" s="49" t="n"/>
      <c r="C886" s="49" t="n"/>
      <c r="D886" s="49" t="n"/>
      <c r="E886" s="49" t="n"/>
      <c r="F886" s="49" t="n"/>
    </row>
    <row r="887" ht="15.75" customHeight="1" s="57">
      <c r="A887" s="49" t="n"/>
      <c r="B887" s="49" t="n"/>
      <c r="C887" s="49" t="n"/>
      <c r="D887" s="49" t="n"/>
      <c r="E887" s="49" t="n"/>
      <c r="F887" s="49" t="n"/>
    </row>
    <row r="888" ht="15.75" customHeight="1" s="57">
      <c r="A888" s="49" t="n"/>
      <c r="B888" s="49" t="n"/>
      <c r="C888" s="49" t="n"/>
      <c r="D888" s="49" t="n"/>
      <c r="E888" s="49" t="n"/>
      <c r="F888" s="49" t="n"/>
    </row>
    <row r="889" ht="15.75" customHeight="1" s="57">
      <c r="A889" s="49" t="n"/>
      <c r="B889" s="49" t="n"/>
      <c r="C889" s="49" t="n"/>
      <c r="D889" s="49" t="n"/>
      <c r="E889" s="49" t="n"/>
      <c r="F889" s="49" t="n"/>
    </row>
    <row r="890" ht="15.75" customHeight="1" s="57">
      <c r="A890" s="49" t="n"/>
      <c r="B890" s="49" t="n"/>
      <c r="C890" s="49" t="n"/>
      <c r="D890" s="49" t="n"/>
      <c r="E890" s="49" t="n"/>
      <c r="F890" s="49" t="n"/>
    </row>
    <row r="891" ht="15.75" customHeight="1" s="57">
      <c r="A891" s="49" t="n"/>
      <c r="B891" s="49" t="n"/>
      <c r="C891" s="49" t="n"/>
      <c r="D891" s="49" t="n"/>
      <c r="E891" s="49" t="n"/>
      <c r="F891" s="49" t="n"/>
    </row>
    <row r="892" ht="15.75" customHeight="1" s="57">
      <c r="A892" s="49" t="n"/>
      <c r="B892" s="49" t="n"/>
      <c r="C892" s="49" t="n"/>
      <c r="D892" s="49" t="n"/>
      <c r="E892" s="49" t="n"/>
      <c r="F892" s="49" t="n"/>
    </row>
    <row r="893" ht="15.75" customHeight="1" s="57">
      <c r="A893" s="49" t="n"/>
      <c r="B893" s="49" t="n"/>
      <c r="C893" s="49" t="n"/>
      <c r="D893" s="49" t="n"/>
      <c r="E893" s="49" t="n"/>
      <c r="F893" s="49" t="n"/>
    </row>
    <row r="894" ht="15.75" customHeight="1" s="57">
      <c r="A894" s="49" t="n"/>
      <c r="B894" s="49" t="n"/>
      <c r="C894" s="49" t="n"/>
      <c r="D894" s="49" t="n"/>
      <c r="E894" s="49" t="n"/>
      <c r="F894" s="49" t="n"/>
    </row>
    <row r="895" ht="15.75" customHeight="1" s="57">
      <c r="A895" s="49" t="n"/>
      <c r="B895" s="49" t="n"/>
      <c r="C895" s="49" t="n"/>
      <c r="D895" s="49" t="n"/>
      <c r="E895" s="49" t="n"/>
      <c r="F895" s="49" t="n"/>
    </row>
    <row r="896" ht="15.75" customHeight="1" s="57">
      <c r="A896" s="49" t="n"/>
      <c r="B896" s="49" t="n"/>
      <c r="C896" s="49" t="n"/>
      <c r="D896" s="49" t="n"/>
      <c r="E896" s="49" t="n"/>
      <c r="F896" s="49" t="n"/>
    </row>
    <row r="897" ht="15.75" customHeight="1" s="57">
      <c r="A897" s="49" t="n"/>
      <c r="B897" s="49" t="n"/>
      <c r="C897" s="49" t="n"/>
      <c r="D897" s="49" t="n"/>
      <c r="E897" s="49" t="n"/>
      <c r="F897" s="49" t="n"/>
    </row>
    <row r="898" ht="15.75" customHeight="1" s="57">
      <c r="A898" s="49" t="n"/>
      <c r="B898" s="49" t="n"/>
      <c r="C898" s="49" t="n"/>
      <c r="D898" s="49" t="n"/>
      <c r="E898" s="49" t="n"/>
      <c r="F898" s="49" t="n"/>
    </row>
    <row r="899" ht="15.75" customHeight="1" s="57">
      <c r="A899" s="49" t="n"/>
      <c r="B899" s="49" t="n"/>
      <c r="C899" s="49" t="n"/>
      <c r="D899" s="49" t="n"/>
      <c r="E899" s="49" t="n"/>
      <c r="F899" s="49" t="n"/>
    </row>
    <row r="900" ht="15.75" customHeight="1" s="57">
      <c r="A900" s="49" t="n"/>
      <c r="B900" s="49" t="n"/>
      <c r="C900" s="49" t="n"/>
      <c r="D900" s="49" t="n"/>
      <c r="E900" s="49" t="n"/>
      <c r="F900" s="49" t="n"/>
    </row>
    <row r="901" ht="15.75" customHeight="1" s="57">
      <c r="A901" s="49" t="n"/>
      <c r="B901" s="49" t="n"/>
      <c r="C901" s="49" t="n"/>
      <c r="D901" s="49" t="n"/>
      <c r="E901" s="49" t="n"/>
      <c r="F901" s="49" t="n"/>
    </row>
    <row r="902" ht="15.75" customHeight="1" s="57">
      <c r="A902" s="49" t="n"/>
      <c r="B902" s="49" t="n"/>
      <c r="C902" s="49" t="n"/>
      <c r="D902" s="49" t="n"/>
      <c r="E902" s="49" t="n"/>
      <c r="F902" s="49" t="n"/>
    </row>
    <row r="903" ht="15.75" customHeight="1" s="57">
      <c r="A903" s="49" t="n"/>
      <c r="B903" s="49" t="n"/>
      <c r="C903" s="49" t="n"/>
      <c r="D903" s="49" t="n"/>
      <c r="E903" s="49" t="n"/>
      <c r="F903" s="49" t="n"/>
    </row>
    <row r="904" ht="15.75" customHeight="1" s="57">
      <c r="A904" s="49" t="n"/>
      <c r="B904" s="49" t="n"/>
      <c r="C904" s="49" t="n"/>
      <c r="D904" s="49" t="n"/>
      <c r="E904" s="49" t="n"/>
      <c r="F904" s="49" t="n"/>
    </row>
    <row r="905" ht="15.75" customHeight="1" s="57">
      <c r="A905" s="49" t="n"/>
      <c r="B905" s="49" t="n"/>
      <c r="C905" s="49" t="n"/>
      <c r="D905" s="49" t="n"/>
      <c r="E905" s="49" t="n"/>
      <c r="F905" s="49" t="n"/>
    </row>
    <row r="906" ht="15.75" customHeight="1" s="57">
      <c r="A906" s="49" t="n"/>
      <c r="B906" s="49" t="n"/>
      <c r="C906" s="49" t="n"/>
      <c r="D906" s="49" t="n"/>
      <c r="E906" s="49" t="n"/>
      <c r="F906" s="49" t="n"/>
    </row>
    <row r="907" ht="15.75" customHeight="1" s="57">
      <c r="A907" s="49" t="n"/>
      <c r="B907" s="49" t="n"/>
      <c r="C907" s="49" t="n"/>
      <c r="D907" s="49" t="n"/>
      <c r="E907" s="49" t="n"/>
      <c r="F907" s="49" t="n"/>
    </row>
    <row r="908" ht="15.75" customHeight="1" s="57">
      <c r="A908" s="49" t="n"/>
      <c r="B908" s="49" t="n"/>
      <c r="C908" s="49" t="n"/>
      <c r="D908" s="49" t="n"/>
      <c r="E908" s="49" t="n"/>
      <c r="F908" s="49" t="n"/>
    </row>
    <row r="909" ht="15.75" customHeight="1" s="57">
      <c r="A909" s="49" t="n"/>
      <c r="B909" s="49" t="n"/>
      <c r="C909" s="49" t="n"/>
      <c r="D909" s="49" t="n"/>
      <c r="E909" s="49" t="n"/>
      <c r="F909" s="49" t="n"/>
    </row>
    <row r="910" ht="15.75" customHeight="1" s="57">
      <c r="A910" s="49" t="n"/>
      <c r="B910" s="49" t="n"/>
      <c r="C910" s="49" t="n"/>
      <c r="D910" s="49" t="n"/>
      <c r="E910" s="49" t="n"/>
      <c r="F910" s="49" t="n"/>
    </row>
    <row r="911" ht="15.75" customHeight="1" s="57">
      <c r="A911" s="49" t="n"/>
      <c r="B911" s="49" t="n"/>
      <c r="C911" s="49" t="n"/>
      <c r="D911" s="49" t="n"/>
      <c r="E911" s="49" t="n"/>
      <c r="F911" s="49" t="n"/>
    </row>
    <row r="912" ht="15.75" customHeight="1" s="57">
      <c r="A912" s="49" t="n"/>
      <c r="B912" s="49" t="n"/>
      <c r="C912" s="49" t="n"/>
      <c r="D912" s="49" t="n"/>
      <c r="E912" s="49" t="n"/>
      <c r="F912" s="49" t="n"/>
    </row>
    <row r="913" ht="15.75" customHeight="1" s="57">
      <c r="A913" s="49" t="n"/>
      <c r="B913" s="49" t="n"/>
      <c r="C913" s="49" t="n"/>
      <c r="D913" s="49" t="n"/>
      <c r="E913" s="49" t="n"/>
      <c r="F913" s="49" t="n"/>
    </row>
    <row r="914" ht="15.75" customHeight="1" s="57">
      <c r="A914" s="49" t="n"/>
      <c r="B914" s="49" t="n"/>
      <c r="C914" s="49" t="n"/>
      <c r="D914" s="49" t="n"/>
      <c r="E914" s="49" t="n"/>
      <c r="F914" s="49" t="n"/>
    </row>
    <row r="915" ht="15.75" customHeight="1" s="57">
      <c r="A915" s="49" t="n"/>
      <c r="B915" s="49" t="n"/>
      <c r="C915" s="49" t="n"/>
      <c r="D915" s="49" t="n"/>
      <c r="E915" s="49" t="n"/>
      <c r="F915" s="49" t="n"/>
    </row>
    <row r="916" ht="15.75" customHeight="1" s="57">
      <c r="A916" s="49" t="n"/>
      <c r="B916" s="49" t="n"/>
      <c r="C916" s="49" t="n"/>
      <c r="D916" s="49" t="n"/>
      <c r="E916" s="49" t="n"/>
      <c r="F916" s="49" t="n"/>
    </row>
    <row r="917" ht="15.75" customHeight="1" s="57">
      <c r="A917" s="49" t="n"/>
      <c r="B917" s="49" t="n"/>
      <c r="C917" s="49" t="n"/>
      <c r="D917" s="49" t="n"/>
      <c r="E917" s="49" t="n"/>
      <c r="F917" s="49" t="n"/>
    </row>
    <row r="918" ht="15.75" customHeight="1" s="57">
      <c r="A918" s="49" t="n"/>
      <c r="B918" s="49" t="n"/>
      <c r="C918" s="49" t="n"/>
      <c r="D918" s="49" t="n"/>
      <c r="E918" s="49" t="n"/>
      <c r="F918" s="49" t="n"/>
    </row>
    <row r="919" ht="15.75" customHeight="1" s="57">
      <c r="A919" s="49" t="n"/>
      <c r="B919" s="49" t="n"/>
      <c r="C919" s="49" t="n"/>
      <c r="D919" s="49" t="n"/>
      <c r="E919" s="49" t="n"/>
      <c r="F919" s="49" t="n"/>
    </row>
    <row r="920" ht="15.75" customHeight="1" s="57">
      <c r="A920" s="49" t="n"/>
      <c r="B920" s="49" t="n"/>
      <c r="C920" s="49" t="n"/>
      <c r="D920" s="49" t="n"/>
      <c r="E920" s="49" t="n"/>
      <c r="F920" s="49" t="n"/>
    </row>
    <row r="921" ht="15.75" customHeight="1" s="57">
      <c r="A921" s="49" t="n"/>
      <c r="B921" s="49" t="n"/>
      <c r="C921" s="49" t="n"/>
      <c r="D921" s="49" t="n"/>
      <c r="E921" s="49" t="n"/>
      <c r="F921" s="49" t="n"/>
    </row>
    <row r="922" ht="15.75" customHeight="1" s="57">
      <c r="A922" s="49" t="n"/>
      <c r="B922" s="49" t="n"/>
      <c r="C922" s="49" t="n"/>
      <c r="D922" s="49" t="n"/>
      <c r="E922" s="49" t="n"/>
      <c r="F922" s="49" t="n"/>
    </row>
    <row r="923" ht="15.75" customHeight="1" s="57">
      <c r="A923" s="49" t="n"/>
      <c r="B923" s="49" t="n"/>
      <c r="C923" s="49" t="n"/>
      <c r="D923" s="49" t="n"/>
      <c r="E923" s="49" t="n"/>
      <c r="F923" s="49" t="n"/>
    </row>
    <row r="924" ht="15.75" customHeight="1" s="57">
      <c r="A924" s="49" t="n"/>
      <c r="B924" s="49" t="n"/>
      <c r="C924" s="49" t="n"/>
      <c r="D924" s="49" t="n"/>
      <c r="E924" s="49" t="n"/>
      <c r="F924" s="49" t="n"/>
    </row>
    <row r="925" ht="15.75" customHeight="1" s="57">
      <c r="A925" s="49" t="n"/>
      <c r="B925" s="49" t="n"/>
      <c r="C925" s="49" t="n"/>
      <c r="D925" s="49" t="n"/>
      <c r="E925" s="49" t="n"/>
      <c r="F925" s="49" t="n"/>
    </row>
    <row r="926" ht="15.75" customHeight="1" s="57">
      <c r="A926" s="49" t="n"/>
      <c r="B926" s="49" t="n"/>
      <c r="C926" s="49" t="n"/>
      <c r="D926" s="49" t="n"/>
      <c r="E926" s="49" t="n"/>
      <c r="F926" s="49" t="n"/>
    </row>
    <row r="927" ht="15.75" customHeight="1" s="57">
      <c r="A927" s="49" t="n"/>
      <c r="B927" s="49" t="n"/>
      <c r="C927" s="49" t="n"/>
      <c r="D927" s="49" t="n"/>
      <c r="E927" s="49" t="n"/>
      <c r="F927" s="49" t="n"/>
    </row>
    <row r="928" ht="15.75" customHeight="1" s="57">
      <c r="A928" s="49" t="n"/>
      <c r="B928" s="49" t="n"/>
      <c r="C928" s="49" t="n"/>
      <c r="D928" s="49" t="n"/>
      <c r="E928" s="49" t="n"/>
      <c r="F928" s="49" t="n"/>
    </row>
    <row r="929" ht="15.75" customHeight="1" s="57">
      <c r="A929" s="49" t="n"/>
      <c r="B929" s="49" t="n"/>
      <c r="C929" s="49" t="n"/>
      <c r="D929" s="49" t="n"/>
      <c r="E929" s="49" t="n"/>
      <c r="F929" s="49" t="n"/>
    </row>
    <row r="930" ht="15.75" customHeight="1" s="57">
      <c r="A930" s="49" t="n"/>
      <c r="B930" s="49" t="n"/>
      <c r="C930" s="49" t="n"/>
      <c r="D930" s="49" t="n"/>
      <c r="E930" s="49" t="n"/>
      <c r="F930" s="49" t="n"/>
    </row>
    <row r="931" ht="15.75" customHeight="1" s="57">
      <c r="A931" s="49" t="n"/>
      <c r="B931" s="49" t="n"/>
      <c r="C931" s="49" t="n"/>
      <c r="D931" s="49" t="n"/>
      <c r="E931" s="49" t="n"/>
      <c r="F931" s="49" t="n"/>
    </row>
    <row r="932" ht="15.75" customHeight="1" s="57">
      <c r="A932" s="49" t="n"/>
      <c r="B932" s="49" t="n"/>
      <c r="C932" s="49" t="n"/>
      <c r="D932" s="49" t="n"/>
      <c r="E932" s="49" t="n"/>
      <c r="F932" s="49" t="n"/>
    </row>
    <row r="933" ht="15.75" customHeight="1" s="57">
      <c r="A933" s="49" t="n"/>
      <c r="B933" s="49" t="n"/>
      <c r="C933" s="49" t="n"/>
      <c r="D933" s="49" t="n"/>
      <c r="E933" s="49" t="n"/>
      <c r="F933" s="49" t="n"/>
    </row>
    <row r="934" ht="15.75" customHeight="1" s="57">
      <c r="A934" s="49" t="n"/>
      <c r="B934" s="49" t="n"/>
      <c r="C934" s="49" t="n"/>
      <c r="D934" s="49" t="n"/>
      <c r="E934" s="49" t="n"/>
      <c r="F934" s="49" t="n"/>
    </row>
    <row r="935" ht="15.75" customHeight="1" s="57">
      <c r="A935" s="49" t="n"/>
      <c r="B935" s="49" t="n"/>
      <c r="C935" s="49" t="n"/>
      <c r="D935" s="49" t="n"/>
      <c r="E935" s="49" t="n"/>
      <c r="F935" s="49" t="n"/>
    </row>
    <row r="936" ht="15.75" customHeight="1" s="57">
      <c r="A936" s="49" t="n"/>
      <c r="B936" s="49" t="n"/>
      <c r="C936" s="49" t="n"/>
      <c r="D936" s="49" t="n"/>
      <c r="E936" s="49" t="n"/>
      <c r="F936" s="49" t="n"/>
    </row>
    <row r="937" ht="15.75" customHeight="1" s="57">
      <c r="A937" s="49" t="n"/>
      <c r="B937" s="49" t="n"/>
      <c r="C937" s="49" t="n"/>
      <c r="D937" s="49" t="n"/>
      <c r="E937" s="49" t="n"/>
      <c r="F937" s="49" t="n"/>
    </row>
    <row r="938" ht="15.75" customHeight="1" s="57">
      <c r="A938" s="49" t="n"/>
      <c r="B938" s="49" t="n"/>
      <c r="C938" s="49" t="n"/>
      <c r="D938" s="49" t="n"/>
      <c r="E938" s="49" t="n"/>
      <c r="F938" s="49" t="n"/>
    </row>
    <row r="939" ht="15.75" customHeight="1" s="57">
      <c r="A939" s="49" t="n"/>
      <c r="B939" s="49" t="n"/>
      <c r="C939" s="49" t="n"/>
      <c r="D939" s="49" t="n"/>
      <c r="E939" s="49" t="n"/>
      <c r="F939" s="49" t="n"/>
    </row>
    <row r="940" ht="15.75" customHeight="1" s="57">
      <c r="A940" s="49" t="n"/>
      <c r="B940" s="49" t="n"/>
      <c r="C940" s="49" t="n"/>
      <c r="D940" s="49" t="n"/>
      <c r="E940" s="49" t="n"/>
      <c r="F940" s="49" t="n"/>
    </row>
    <row r="941" ht="15.75" customHeight="1" s="57">
      <c r="A941" s="49" t="n"/>
      <c r="B941" s="49" t="n"/>
      <c r="C941" s="49" t="n"/>
      <c r="D941" s="49" t="n"/>
      <c r="E941" s="49" t="n"/>
      <c r="F941" s="49" t="n"/>
    </row>
    <row r="942" ht="15.75" customHeight="1" s="57">
      <c r="A942" s="49" t="n"/>
      <c r="B942" s="49" t="n"/>
      <c r="C942" s="49" t="n"/>
      <c r="D942" s="49" t="n"/>
      <c r="E942" s="49" t="n"/>
      <c r="F942" s="49" t="n"/>
    </row>
    <row r="943" ht="15.75" customHeight="1" s="57">
      <c r="A943" s="49" t="n"/>
      <c r="B943" s="49" t="n"/>
      <c r="C943" s="49" t="n"/>
      <c r="D943" s="49" t="n"/>
      <c r="E943" s="49" t="n"/>
      <c r="F943" s="49" t="n"/>
    </row>
    <row r="944" ht="15.75" customHeight="1" s="57">
      <c r="A944" s="49" t="n"/>
      <c r="B944" s="49" t="n"/>
      <c r="C944" s="49" t="n"/>
      <c r="D944" s="49" t="n"/>
      <c r="E944" s="49" t="n"/>
      <c r="F944" s="49" t="n"/>
    </row>
    <row r="945" ht="15.75" customHeight="1" s="57">
      <c r="A945" s="49" t="n"/>
      <c r="B945" s="49" t="n"/>
      <c r="C945" s="49" t="n"/>
      <c r="D945" s="49" t="n"/>
      <c r="E945" s="49" t="n"/>
      <c r="F945" s="49" t="n"/>
    </row>
    <row r="946" ht="15.75" customHeight="1" s="57">
      <c r="A946" s="49" t="n"/>
      <c r="B946" s="49" t="n"/>
      <c r="C946" s="49" t="n"/>
      <c r="D946" s="49" t="n"/>
      <c r="E946" s="49" t="n"/>
      <c r="F946" s="49" t="n"/>
    </row>
    <row r="947" ht="15.75" customHeight="1" s="57">
      <c r="A947" s="49" t="n"/>
      <c r="B947" s="49" t="n"/>
      <c r="C947" s="49" t="n"/>
      <c r="D947" s="49" t="n"/>
      <c r="E947" s="49" t="n"/>
      <c r="F947" s="49" t="n"/>
    </row>
    <row r="948" ht="15.75" customHeight="1" s="57">
      <c r="A948" s="49" t="n"/>
      <c r="B948" s="49" t="n"/>
      <c r="C948" s="49" t="n"/>
      <c r="D948" s="49" t="n"/>
      <c r="E948" s="49" t="n"/>
      <c r="F948" s="49" t="n"/>
    </row>
    <row r="949" ht="15.75" customHeight="1" s="57">
      <c r="A949" s="49" t="n"/>
      <c r="B949" s="49" t="n"/>
      <c r="C949" s="49" t="n"/>
      <c r="D949" s="49" t="n"/>
      <c r="E949" s="49" t="n"/>
      <c r="F949" s="49" t="n"/>
    </row>
    <row r="950" ht="15.75" customHeight="1" s="57">
      <c r="A950" s="49" t="n"/>
      <c r="B950" s="49" t="n"/>
      <c r="C950" s="49" t="n"/>
      <c r="D950" s="49" t="n"/>
      <c r="E950" s="49" t="n"/>
      <c r="F950" s="49" t="n"/>
    </row>
    <row r="951" ht="15.75" customHeight="1" s="57">
      <c r="A951" s="49" t="n"/>
      <c r="B951" s="49" t="n"/>
      <c r="C951" s="49" t="n"/>
      <c r="D951" s="49" t="n"/>
      <c r="E951" s="49" t="n"/>
      <c r="F951" s="49" t="n"/>
    </row>
    <row r="952" ht="15.75" customHeight="1" s="57">
      <c r="A952" s="49" t="n"/>
      <c r="B952" s="49" t="n"/>
      <c r="C952" s="49" t="n"/>
      <c r="D952" s="49" t="n"/>
      <c r="E952" s="49" t="n"/>
      <c r="F952" s="49" t="n"/>
    </row>
    <row r="953" ht="15.75" customHeight="1" s="57">
      <c r="A953" s="49" t="n"/>
      <c r="B953" s="49" t="n"/>
      <c r="C953" s="49" t="n"/>
      <c r="D953" s="49" t="n"/>
      <c r="E953" s="49" t="n"/>
      <c r="F953" s="49" t="n"/>
    </row>
    <row r="954" ht="15.75" customHeight="1" s="57">
      <c r="A954" s="49" t="n"/>
      <c r="B954" s="49" t="n"/>
      <c r="C954" s="49" t="n"/>
      <c r="D954" s="49" t="n"/>
      <c r="E954" s="49" t="n"/>
      <c r="F954" s="49" t="n"/>
    </row>
    <row r="955" ht="15.75" customHeight="1" s="57">
      <c r="A955" s="49" t="n"/>
      <c r="B955" s="49" t="n"/>
      <c r="C955" s="49" t="n"/>
      <c r="D955" s="49" t="n"/>
      <c r="E955" s="49" t="n"/>
      <c r="F955" s="49" t="n"/>
    </row>
    <row r="956" ht="15.75" customHeight="1" s="57">
      <c r="A956" s="49" t="n"/>
      <c r="B956" s="49" t="n"/>
      <c r="C956" s="49" t="n"/>
      <c r="D956" s="49" t="n"/>
      <c r="E956" s="49" t="n"/>
      <c r="F956" s="49" t="n"/>
    </row>
    <row r="957" ht="15.75" customHeight="1" s="57">
      <c r="A957" s="49" t="n"/>
      <c r="B957" s="49" t="n"/>
      <c r="C957" s="49" t="n"/>
      <c r="D957" s="49" t="n"/>
      <c r="E957" s="49" t="n"/>
      <c r="F957" s="49" t="n"/>
    </row>
    <row r="958" ht="15.75" customHeight="1" s="57">
      <c r="A958" s="49" t="n"/>
      <c r="B958" s="49" t="n"/>
      <c r="C958" s="49" t="n"/>
      <c r="D958" s="49" t="n"/>
      <c r="E958" s="49" t="n"/>
      <c r="F958" s="49" t="n"/>
    </row>
    <row r="959" ht="15.75" customHeight="1" s="57">
      <c r="A959" s="49" t="n"/>
      <c r="B959" s="49" t="n"/>
      <c r="C959" s="49" t="n"/>
      <c r="D959" s="49" t="n"/>
      <c r="E959" s="49" t="n"/>
      <c r="F959" s="49" t="n"/>
    </row>
    <row r="960" ht="15.75" customHeight="1" s="57">
      <c r="A960" s="49" t="n"/>
      <c r="B960" s="49" t="n"/>
      <c r="C960" s="49" t="n"/>
      <c r="D960" s="49" t="n"/>
      <c r="E960" s="49" t="n"/>
      <c r="F960" s="49" t="n"/>
    </row>
    <row r="961" ht="15.75" customHeight="1" s="57">
      <c r="A961" s="49" t="n"/>
      <c r="B961" s="49" t="n"/>
      <c r="C961" s="49" t="n"/>
      <c r="D961" s="49" t="n"/>
      <c r="E961" s="49" t="n"/>
      <c r="F961" s="49" t="n"/>
    </row>
    <row r="962" ht="15.75" customHeight="1" s="57">
      <c r="A962" s="49" t="n"/>
      <c r="B962" s="49" t="n"/>
      <c r="C962" s="49" t="n"/>
      <c r="D962" s="49" t="n"/>
      <c r="E962" s="49" t="n"/>
      <c r="F962" s="49" t="n"/>
    </row>
    <row r="963" ht="15.75" customHeight="1" s="57">
      <c r="A963" s="49" t="n"/>
      <c r="B963" s="49" t="n"/>
      <c r="C963" s="49" t="n"/>
      <c r="D963" s="49" t="n"/>
      <c r="E963" s="49" t="n"/>
      <c r="F963" s="49" t="n"/>
    </row>
    <row r="964" ht="15.75" customHeight="1" s="57">
      <c r="A964" s="49" t="n"/>
      <c r="B964" s="49" t="n"/>
      <c r="C964" s="49" t="n"/>
      <c r="D964" s="49" t="n"/>
      <c r="E964" s="49" t="n"/>
      <c r="F964" s="49" t="n"/>
    </row>
    <row r="965" ht="15.75" customHeight="1" s="57">
      <c r="A965" s="49" t="n"/>
      <c r="B965" s="49" t="n"/>
      <c r="C965" s="49" t="n"/>
      <c r="D965" s="49" t="n"/>
      <c r="E965" s="49" t="n"/>
      <c r="F965" s="49" t="n"/>
    </row>
    <row r="966" ht="15.75" customHeight="1" s="57">
      <c r="A966" s="49" t="n"/>
      <c r="B966" s="49" t="n"/>
      <c r="C966" s="49" t="n"/>
      <c r="D966" s="49" t="n"/>
      <c r="E966" s="49" t="n"/>
      <c r="F966" s="49" t="n"/>
    </row>
    <row r="967" ht="15.75" customHeight="1" s="57">
      <c r="A967" s="49" t="n"/>
      <c r="B967" s="49" t="n"/>
      <c r="C967" s="49" t="n"/>
      <c r="D967" s="49" t="n"/>
      <c r="E967" s="49" t="n"/>
      <c r="F967" s="49" t="n"/>
    </row>
    <row r="968" ht="15.75" customHeight="1" s="57">
      <c r="A968" s="49" t="n"/>
      <c r="B968" s="49" t="n"/>
      <c r="C968" s="49" t="n"/>
      <c r="D968" s="49" t="n"/>
      <c r="E968" s="49" t="n"/>
      <c r="F968" s="49" t="n"/>
    </row>
    <row r="969" ht="15.75" customHeight="1" s="57">
      <c r="A969" s="49" t="n"/>
      <c r="B969" s="49" t="n"/>
      <c r="C969" s="49" t="n"/>
      <c r="D969" s="49" t="n"/>
      <c r="E969" s="49" t="n"/>
      <c r="F969" s="49" t="n"/>
    </row>
    <row r="970" ht="15.75" customHeight="1" s="57">
      <c r="A970" s="49" t="n"/>
      <c r="B970" s="49" t="n"/>
      <c r="C970" s="49" t="n"/>
      <c r="D970" s="49" t="n"/>
      <c r="E970" s="49" t="n"/>
      <c r="F970" s="49" t="n"/>
    </row>
    <row r="971" ht="15.75" customHeight="1" s="57">
      <c r="A971" s="49" t="n"/>
      <c r="B971" s="49" t="n"/>
      <c r="C971" s="49" t="n"/>
      <c r="D971" s="49" t="n"/>
      <c r="E971" s="49" t="n"/>
      <c r="F971" s="49" t="n"/>
    </row>
    <row r="972" ht="15.75" customHeight="1" s="57">
      <c r="A972" s="49" t="n"/>
      <c r="B972" s="49" t="n"/>
      <c r="C972" s="49" t="n"/>
      <c r="D972" s="49" t="n"/>
      <c r="E972" s="49" t="n"/>
      <c r="F972" s="49" t="n"/>
    </row>
    <row r="973" ht="15.75" customHeight="1" s="57">
      <c r="A973" s="49" t="n"/>
      <c r="B973" s="49" t="n"/>
      <c r="C973" s="49" t="n"/>
      <c r="D973" s="49" t="n"/>
      <c r="E973" s="49" t="n"/>
      <c r="F973" s="49" t="n"/>
    </row>
    <row r="974" ht="15.75" customHeight="1" s="57">
      <c r="A974" s="49" t="n"/>
      <c r="B974" s="49" t="n"/>
      <c r="C974" s="49" t="n"/>
      <c r="D974" s="49" t="n"/>
      <c r="E974" s="49" t="n"/>
      <c r="F974" s="49" t="n"/>
    </row>
    <row r="975" ht="15.75" customHeight="1" s="57">
      <c r="A975" s="49" t="n"/>
      <c r="B975" s="49" t="n"/>
      <c r="C975" s="49" t="n"/>
      <c r="D975" s="49" t="n"/>
      <c r="E975" s="49" t="n"/>
      <c r="F975" s="49" t="n"/>
    </row>
    <row r="976" ht="15.75" customHeight="1" s="57">
      <c r="A976" s="49" t="n"/>
      <c r="B976" s="49" t="n"/>
      <c r="C976" s="49" t="n"/>
      <c r="D976" s="49" t="n"/>
      <c r="E976" s="49" t="n"/>
      <c r="F976" s="49" t="n"/>
    </row>
    <row r="977" ht="15.75" customHeight="1" s="57">
      <c r="A977" s="49" t="n"/>
      <c r="B977" s="49" t="n"/>
      <c r="C977" s="49" t="n"/>
      <c r="D977" s="49" t="n"/>
      <c r="E977" s="49" t="n"/>
      <c r="F977" s="49" t="n"/>
    </row>
    <row r="978" ht="15.75" customHeight="1" s="57">
      <c r="A978" s="49" t="n"/>
      <c r="B978" s="49" t="n"/>
      <c r="C978" s="49" t="n"/>
      <c r="D978" s="49" t="n"/>
      <c r="E978" s="49" t="n"/>
      <c r="F978" s="49" t="n"/>
    </row>
    <row r="979" ht="15.75" customHeight="1" s="57">
      <c r="A979" s="49" t="n"/>
      <c r="B979" s="49" t="n"/>
      <c r="C979" s="49" t="n"/>
      <c r="D979" s="49" t="n"/>
      <c r="E979" s="49" t="n"/>
      <c r="F979" s="49" t="n"/>
    </row>
    <row r="980" ht="15.75" customHeight="1" s="57">
      <c r="A980" s="49" t="n"/>
      <c r="B980" s="49" t="n"/>
      <c r="C980" s="49" t="n"/>
      <c r="D980" s="49" t="n"/>
      <c r="E980" s="49" t="n"/>
      <c r="F980" s="49" t="n"/>
    </row>
    <row r="981" ht="15.75" customHeight="1" s="57">
      <c r="A981" s="49" t="n"/>
      <c r="B981" s="49" t="n"/>
      <c r="C981" s="49" t="n"/>
      <c r="D981" s="49" t="n"/>
      <c r="E981" s="49" t="n"/>
      <c r="F981" s="49" t="n"/>
    </row>
    <row r="982" ht="15.75" customHeight="1" s="57">
      <c r="A982" s="49" t="n"/>
      <c r="B982" s="49" t="n"/>
      <c r="C982" s="49" t="n"/>
      <c r="D982" s="49" t="n"/>
      <c r="E982" s="49" t="n"/>
      <c r="F982" s="49" t="n"/>
    </row>
    <row r="983" ht="15.75" customHeight="1" s="57">
      <c r="A983" s="49" t="n"/>
      <c r="B983" s="49" t="n"/>
      <c r="C983" s="49" t="n"/>
      <c r="D983" s="49" t="n"/>
      <c r="E983" s="49" t="n"/>
      <c r="F983" s="49" t="n"/>
    </row>
    <row r="984" ht="15.75" customHeight="1" s="57">
      <c r="A984" s="49" t="n"/>
      <c r="B984" s="49" t="n"/>
      <c r="C984" s="49" t="n"/>
      <c r="D984" s="49" t="n"/>
      <c r="E984" s="49" t="n"/>
      <c r="F984" s="49" t="n"/>
    </row>
    <row r="985" ht="15.75" customHeight="1" s="57">
      <c r="A985" s="49" t="n"/>
      <c r="B985" s="49" t="n"/>
      <c r="C985" s="49" t="n"/>
      <c r="D985" s="49" t="n"/>
      <c r="E985" s="49" t="n"/>
      <c r="F985" s="49" t="n"/>
    </row>
    <row r="986" ht="15.75" customHeight="1" s="57">
      <c r="A986" s="49" t="n"/>
      <c r="B986" s="49" t="n"/>
      <c r="C986" s="49" t="n"/>
      <c r="D986" s="49" t="n"/>
      <c r="E986" s="49" t="n"/>
      <c r="F986" s="49" t="n"/>
    </row>
    <row r="987" ht="15.75" customHeight="1" s="57">
      <c r="A987" s="49" t="n"/>
      <c r="B987" s="49" t="n"/>
      <c r="C987" s="49" t="n"/>
      <c r="D987" s="49" t="n"/>
      <c r="E987" s="49" t="n"/>
      <c r="F987" s="49" t="n"/>
    </row>
    <row r="988" ht="15.75" customHeight="1" s="57">
      <c r="A988" s="49" t="n"/>
      <c r="B988" s="49" t="n"/>
      <c r="C988" s="49" t="n"/>
      <c r="D988" s="49" t="n"/>
      <c r="E988" s="49" t="n"/>
      <c r="F988" s="49" t="n"/>
    </row>
    <row r="989" ht="15.75" customHeight="1" s="57">
      <c r="A989" s="49" t="n"/>
      <c r="B989" s="49" t="n"/>
      <c r="C989" s="49" t="n"/>
      <c r="D989" s="49" t="n"/>
      <c r="E989" s="49" t="n"/>
      <c r="F989" s="49" t="n"/>
    </row>
    <row r="990" ht="15.75" customHeight="1" s="57">
      <c r="A990" s="49" t="n"/>
      <c r="B990" s="49" t="n"/>
      <c r="C990" s="49" t="n"/>
      <c r="D990" s="49" t="n"/>
      <c r="E990" s="49" t="n"/>
      <c r="F990" s="49" t="n"/>
    </row>
    <row r="991" ht="15.75" customHeight="1" s="57">
      <c r="A991" s="49" t="n"/>
      <c r="B991" s="49" t="n"/>
      <c r="C991" s="49" t="n"/>
      <c r="D991" s="49" t="n"/>
      <c r="E991" s="49" t="n"/>
      <c r="F991" s="49" t="n"/>
    </row>
    <row r="992" ht="15.75" customHeight="1" s="57">
      <c r="A992" s="49" t="n"/>
      <c r="B992" s="49" t="n"/>
      <c r="C992" s="49" t="n"/>
      <c r="D992" s="49" t="n"/>
      <c r="E992" s="49" t="n"/>
      <c r="F992" s="49" t="n"/>
    </row>
    <row r="993" ht="15.75" customHeight="1" s="57">
      <c r="A993" s="49" t="n"/>
      <c r="B993" s="49" t="n"/>
      <c r="C993" s="49" t="n"/>
      <c r="D993" s="49" t="n"/>
      <c r="E993" s="49" t="n"/>
      <c r="F993" s="49" t="n"/>
    </row>
    <row r="994" ht="15.75" customHeight="1" s="57">
      <c r="A994" s="49" t="n"/>
      <c r="B994" s="49" t="n"/>
      <c r="C994" s="49" t="n"/>
      <c r="D994" s="49" t="n"/>
      <c r="E994" s="49" t="n"/>
      <c r="F994" s="49" t="n"/>
    </row>
    <row r="995" ht="15.75" customHeight="1" s="57">
      <c r="A995" s="49" t="n"/>
      <c r="B995" s="49" t="n"/>
      <c r="C995" s="49" t="n"/>
      <c r="D995" s="49" t="n"/>
      <c r="E995" s="49" t="n"/>
      <c r="F995" s="49" t="n"/>
    </row>
    <row r="996" ht="15.75" customHeight="1" s="57">
      <c r="A996" s="49" t="n"/>
      <c r="B996" s="49" t="n"/>
      <c r="C996" s="49" t="n"/>
      <c r="D996" s="49" t="n"/>
      <c r="E996" s="49" t="n"/>
      <c r="F996" s="49" t="n"/>
    </row>
    <row r="997" ht="15.75" customHeight="1" s="57">
      <c r="A997" s="49" t="n"/>
      <c r="B997" s="49" t="n"/>
      <c r="C997" s="49" t="n"/>
      <c r="D997" s="49" t="n"/>
      <c r="E997" s="49" t="n"/>
      <c r="F997" s="49" t="n"/>
    </row>
    <row r="998" ht="15.75" customHeight="1" s="57">
      <c r="A998" s="49" t="n"/>
      <c r="B998" s="49" t="n"/>
      <c r="C998" s="49" t="n"/>
      <c r="D998" s="49" t="n"/>
      <c r="E998" s="49" t="n"/>
      <c r="F998" s="49" t="n"/>
    </row>
    <row r="999" ht="15.75" customHeight="1" s="57">
      <c r="A999" s="49" t="n"/>
      <c r="B999" s="49" t="n"/>
      <c r="C999" s="49" t="n"/>
      <c r="D999" s="49" t="n"/>
      <c r="E999" s="49" t="n"/>
      <c r="F999" s="49" t="n"/>
    </row>
    <row r="1000" ht="15.75" customHeight="1" s="57">
      <c r="A1000" s="49" t="n"/>
      <c r="B1000" s="49" t="n"/>
      <c r="C1000" s="49" t="n"/>
      <c r="D1000" s="49" t="n"/>
      <c r="E1000" s="49" t="n"/>
      <c r="F1000" s="49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P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" customHeight="1" outlineLevelCol="0"/>
  <cols>
    <col width="9.25" customWidth="1" style="57" min="1" max="1"/>
    <col width="7" customWidth="1" style="57" min="2" max="2"/>
    <col width="27" customWidth="1" style="57" min="3" max="3"/>
    <col width="7.88" customWidth="1" style="57" min="4" max="4"/>
    <col width="18.25" customWidth="1" style="57" min="5" max="5"/>
    <col width="8.630000000000001" customWidth="1" style="57" min="6" max="6"/>
    <col width="50.25" customWidth="1" style="57" min="7" max="7"/>
    <col width="9.380000000000001" customWidth="1" style="57" min="8" max="8"/>
    <col width="50.25" customWidth="1" style="57" min="9" max="9"/>
    <col width="7" customWidth="1" style="57" min="10" max="10"/>
    <col width="9" customWidth="1" style="57" min="11" max="11"/>
    <col width="7.13" customWidth="1" style="57" min="12" max="12"/>
    <col width="12" customWidth="1" style="57" min="13" max="13"/>
    <col width="12.38" customWidth="1" style="57" min="14" max="14"/>
    <col width="9.380000000000001" customWidth="1" style="57" min="15" max="15"/>
    <col width="9.130000000000001" customWidth="1" style="57" min="16" max="16"/>
  </cols>
  <sheetData>
    <row r="1" ht="15.75" customHeight="1" s="57">
      <c r="A1" s="5" t="inlineStr">
        <is>
          <t>Tỉnh</t>
        </is>
      </c>
      <c r="B1" s="5" t="inlineStr">
        <is>
          <t>Quận_ID</t>
        </is>
      </c>
      <c r="C1" s="5" t="inlineStr">
        <is>
          <t>Quận_Tên</t>
        </is>
      </c>
      <c r="D1" s="5" t="inlineStr">
        <is>
          <t>Phường_ID</t>
        </is>
      </c>
      <c r="E1" s="5" t="inlineStr">
        <is>
          <t>Phường_Tên</t>
        </is>
      </c>
      <c r="F1" s="5" t="inlineStr">
        <is>
          <t>BC_Lấy_ID</t>
        </is>
      </c>
      <c r="G1" s="5" t="inlineStr">
        <is>
          <t>BC_Lấy_Tên</t>
        </is>
      </c>
      <c r="H1" s="12" t="inlineStr">
        <is>
          <t>BC_Giao_ID</t>
        </is>
      </c>
      <c r="I1" s="12" t="inlineStr">
        <is>
          <t>BC_Giao_Tên</t>
        </is>
      </c>
      <c r="J1" s="12" t="inlineStr">
        <is>
          <t>B2B_Mở</t>
        </is>
      </c>
      <c r="K1" s="12" t="inlineStr">
        <is>
          <t>B2B_Nhóm</t>
        </is>
      </c>
      <c r="L1" s="12" t="inlineStr">
        <is>
          <t>B2B_Pct</t>
        </is>
      </c>
      <c r="M1" s="12" t="inlineStr">
        <is>
          <t>B2B_Từ_kg_CŨ_GXT</t>
        </is>
      </c>
      <c r="N1" s="12" t="inlineStr">
        <is>
          <t>B2B_Từ_kg_MỚI</t>
        </is>
      </c>
      <c r="O1" s="12" t="inlineStr">
        <is>
          <t>B2B_Status</t>
        </is>
      </c>
      <c r="P1" s="12" t="inlineStr">
        <is>
          <t>Ngày_Mở</t>
        </is>
      </c>
    </row>
    <row r="2" hidden="1" ht="15.75" customHeight="1" s="57">
      <c r="A2" s="7" t="inlineStr">
        <is>
          <t>Khánh Hòa</t>
        </is>
      </c>
      <c r="B2" s="7" t="n">
        <v>1548</v>
      </c>
      <c r="C2" s="7" t="inlineStr">
        <is>
          <t>Thành phố Nha Trang</t>
        </is>
      </c>
      <c r="D2" s="7" t="n">
        <v>410101</v>
      </c>
      <c r="E2" s="7" t="inlineStr">
        <is>
          <t>Phường Lộc Thọ</t>
        </is>
      </c>
      <c r="F2" s="7" t="n">
        <v>20495000</v>
      </c>
      <c r="G2" s="7" t="inlineStr">
        <is>
          <t>Bưu Cục 40A Yết Kiêu-Nha Trang-Khánh Hòa</t>
        </is>
      </c>
      <c r="H2" s="15" t="n">
        <v>20495000</v>
      </c>
      <c r="I2" s="15" t="inlineStr">
        <is>
          <t>Bưu Cục 40A Yết Kiêu-Nha Trang-Khánh Hòa</t>
        </is>
      </c>
      <c r="J2" s="15" t="b">
        <v>1</v>
      </c>
      <c r="K2" s="15" t="inlineStr">
        <is>
          <t>C</t>
        </is>
      </c>
      <c r="L2" s="16" t="n">
        <v>0</v>
      </c>
      <c r="M2" s="15" t="n"/>
      <c r="N2" s="15" t="n"/>
      <c r="O2" s="15" t="inlineStr">
        <is>
          <t>Đã mở</t>
        </is>
      </c>
      <c r="P2" s="15" t="n"/>
    </row>
    <row r="3" hidden="1" ht="15.75" customHeight="1" s="57">
      <c r="A3" s="7" t="inlineStr">
        <is>
          <t>Khánh Hòa</t>
        </is>
      </c>
      <c r="B3" s="7" t="n">
        <v>1548</v>
      </c>
      <c r="C3" s="7" t="inlineStr">
        <is>
          <t>Thành phố Nha Trang</t>
        </is>
      </c>
      <c r="D3" s="7" t="n">
        <v>410102</v>
      </c>
      <c r="E3" s="7" t="inlineStr">
        <is>
          <t>Phường Ngọc Hiệp</t>
        </is>
      </c>
      <c r="F3" s="7" t="n">
        <v>20320000</v>
      </c>
      <c r="G3" s="7" t="inlineStr">
        <is>
          <t>Bưu Cục 466 Đường 23/10-Nha Trang-Khánh Hòa</t>
        </is>
      </c>
      <c r="H3" s="15" t="n">
        <v>20320000</v>
      </c>
      <c r="I3" s="15" t="inlineStr">
        <is>
          <t>Bưu Cục 466 Đường 23/10-Nha Trang-Khánh Hòa</t>
        </is>
      </c>
      <c r="J3" s="15" t="b">
        <v>1</v>
      </c>
      <c r="K3" s="15" t="inlineStr">
        <is>
          <t>B</t>
        </is>
      </c>
      <c r="L3" s="16" t="n">
        <v>0.7</v>
      </c>
      <c r="M3" s="15" t="n">
        <v>15</v>
      </c>
      <c r="N3" s="15" t="n">
        <v>15</v>
      </c>
      <c r="O3" s="15" t="inlineStr">
        <is>
          <t>Đã mở</t>
        </is>
      </c>
      <c r="P3" s="15" t="n"/>
    </row>
    <row r="4" hidden="1" ht="15.75" customHeight="1" s="57">
      <c r="A4" s="7" t="inlineStr">
        <is>
          <t>Khánh Hòa</t>
        </is>
      </c>
      <c r="B4" s="7" t="n">
        <v>1548</v>
      </c>
      <c r="C4" s="7" t="inlineStr">
        <is>
          <t>Thành phố Nha Trang</t>
        </is>
      </c>
      <c r="D4" s="7" t="n">
        <v>410103</v>
      </c>
      <c r="E4" s="7" t="inlineStr">
        <is>
          <t>Phường Phước Hải</t>
        </is>
      </c>
      <c r="F4" s="7" t="n">
        <v>22363000</v>
      </c>
      <c r="G4" s="7" t="inlineStr">
        <is>
          <t>Bưu Cục Đường 35 Hà Quang 1-Xã Nam Nha Trang-Khánh Hòa</t>
        </is>
      </c>
      <c r="H4" s="15" t="n">
        <v>22363000</v>
      </c>
      <c r="I4" s="15" t="inlineStr">
        <is>
          <t>Bưu Cục Đường 35 Hà Quang 1-Xã Nam Nha Trang-Khánh Hòa</t>
        </is>
      </c>
      <c r="J4" s="15" t="b">
        <v>1</v>
      </c>
      <c r="K4" s="15" t="inlineStr">
        <is>
          <t>B</t>
        </is>
      </c>
      <c r="L4" s="16" t="n">
        <v>0.7</v>
      </c>
      <c r="M4" s="15" t="n">
        <v>15</v>
      </c>
      <c r="N4" s="15" t="n">
        <v>15</v>
      </c>
      <c r="O4" s="15" t="inlineStr">
        <is>
          <t>Đã mở</t>
        </is>
      </c>
      <c r="P4" s="15" t="n"/>
    </row>
    <row r="5" hidden="1" ht="15.75" customHeight="1" s="57">
      <c r="A5" s="7" t="inlineStr">
        <is>
          <t>Khánh Hòa</t>
        </is>
      </c>
      <c r="B5" s="7" t="n">
        <v>1548</v>
      </c>
      <c r="C5" s="7" t="inlineStr">
        <is>
          <t>Thành phố Nha Trang</t>
        </is>
      </c>
      <c r="D5" s="7" t="n">
        <v>410104</v>
      </c>
      <c r="E5" s="7" t="inlineStr">
        <is>
          <t>Phường Phước Hòa</t>
        </is>
      </c>
      <c r="F5" s="7" t="n">
        <v>22704000</v>
      </c>
      <c r="G5" s="7" t="inlineStr">
        <is>
          <t>Bưu Cục 06 Lê Hồng Phong-TP.Nha Trang-Khánh Hòa</t>
        </is>
      </c>
      <c r="H5" s="15" t="n">
        <v>22704000</v>
      </c>
      <c r="I5" s="15" t="inlineStr">
        <is>
          <t>Bưu Cục 06 Lê Hồng Phong-TP.Nha Trang-Khánh Hòa</t>
        </is>
      </c>
      <c r="J5" s="15" t="b">
        <v>1</v>
      </c>
      <c r="K5" s="15" t="inlineStr">
        <is>
          <t>B</t>
        </is>
      </c>
      <c r="L5" s="16" t="n">
        <v>0.7</v>
      </c>
      <c r="M5" s="15" t="n">
        <v>20</v>
      </c>
      <c r="N5" s="15" t="n">
        <v>15</v>
      </c>
      <c r="O5" s="15" t="inlineStr">
        <is>
          <t>Đã mở</t>
        </is>
      </c>
      <c r="P5" s="15" t="n"/>
    </row>
    <row r="6" hidden="1" ht="15.75" customHeight="1" s="57">
      <c r="A6" s="7" t="inlineStr">
        <is>
          <t>Khánh Hòa</t>
        </is>
      </c>
      <c r="B6" s="7" t="n">
        <v>1548</v>
      </c>
      <c r="C6" s="7" t="inlineStr">
        <is>
          <t>Thành phố Nha Trang</t>
        </is>
      </c>
      <c r="D6" s="7" t="n">
        <v>410105</v>
      </c>
      <c r="E6" s="7" t="inlineStr">
        <is>
          <t>Phường Phước Long</t>
        </is>
      </c>
      <c r="F6" s="7" t="n">
        <v>22746000</v>
      </c>
      <c r="G6" s="7" t="inlineStr">
        <is>
          <t>Bưu Cục 229 Phước Long-Nam Nha Trang-Khánh Hòa</t>
        </is>
      </c>
      <c r="H6" s="15" t="n">
        <v>22746000</v>
      </c>
      <c r="I6" s="15" t="inlineStr">
        <is>
          <t>Bưu Cục 229 Phước Long-Nam Nha Trang-Khánh Hòa</t>
        </is>
      </c>
      <c r="J6" s="15" t="b">
        <v>1</v>
      </c>
      <c r="K6" s="15" t="inlineStr">
        <is>
          <t>B</t>
        </is>
      </c>
      <c r="L6" s="16" t="n">
        <v>0.7</v>
      </c>
      <c r="M6" s="15" t="n">
        <v>20</v>
      </c>
      <c r="N6" s="15" t="n">
        <v>15</v>
      </c>
      <c r="O6" s="15" t="inlineStr">
        <is>
          <t>Đã mở</t>
        </is>
      </c>
      <c r="P6" s="15" t="n"/>
    </row>
    <row r="7" hidden="1" ht="15.75" customHeight="1" s="57">
      <c r="A7" s="7" t="inlineStr">
        <is>
          <t>Khánh Hòa</t>
        </is>
      </c>
      <c r="B7" s="7" t="n">
        <v>1548</v>
      </c>
      <c r="C7" s="7" t="inlineStr">
        <is>
          <t>Thành phố Nha Trang</t>
        </is>
      </c>
      <c r="D7" s="7" t="n">
        <v>410106</v>
      </c>
      <c r="E7" s="7" t="inlineStr">
        <is>
          <t>Phường Phước Tân</t>
        </is>
      </c>
      <c r="F7" s="7" t="n">
        <v>22704000</v>
      </c>
      <c r="G7" s="7" t="inlineStr">
        <is>
          <t>Bưu Cục 06 Lê Hồng Phong-TP.Nha Trang-Khánh Hòa</t>
        </is>
      </c>
      <c r="H7" s="15" t="n">
        <v>22704000</v>
      </c>
      <c r="I7" s="15" t="inlineStr">
        <is>
          <t>Bưu Cục 06 Lê Hồng Phong-TP.Nha Trang-Khánh Hòa</t>
        </is>
      </c>
      <c r="J7" s="15" t="b">
        <v>1</v>
      </c>
      <c r="K7" s="15" t="inlineStr">
        <is>
          <t>C</t>
        </is>
      </c>
      <c r="L7" s="16" t="n">
        <v>0</v>
      </c>
      <c r="M7" s="15" t="n"/>
      <c r="N7" s="15" t="n"/>
      <c r="O7" s="15" t="inlineStr">
        <is>
          <t>Đã mở</t>
        </is>
      </c>
      <c r="P7" s="15" t="n"/>
    </row>
    <row r="8" hidden="1" ht="15.75" customHeight="1" s="57">
      <c r="A8" s="7" t="inlineStr">
        <is>
          <t>Khánh Hòa</t>
        </is>
      </c>
      <c r="B8" s="7" t="n">
        <v>1548</v>
      </c>
      <c r="C8" s="7" t="inlineStr">
        <is>
          <t>Thành phố Nha Trang</t>
        </is>
      </c>
      <c r="D8" s="7" t="n">
        <v>410107</v>
      </c>
      <c r="E8" s="7" t="inlineStr">
        <is>
          <t>Phường Phước Tiến</t>
        </is>
      </c>
      <c r="F8" s="7" t="n">
        <v>22704000</v>
      </c>
      <c r="G8" s="7" t="inlineStr">
        <is>
          <t>Bưu Cục 06 Lê Hồng Phong-TP.Nha Trang-Khánh Hòa</t>
        </is>
      </c>
      <c r="H8" s="15" t="n">
        <v>22704000</v>
      </c>
      <c r="I8" s="15" t="inlineStr">
        <is>
          <t>Bưu Cục 06 Lê Hồng Phong-TP.Nha Trang-Khánh Hòa</t>
        </is>
      </c>
      <c r="J8" s="15" t="b">
        <v>1</v>
      </c>
      <c r="K8" s="15" t="inlineStr">
        <is>
          <t>C</t>
        </is>
      </c>
      <c r="L8" s="16" t="n">
        <v>0</v>
      </c>
      <c r="M8" s="15" t="n"/>
      <c r="N8" s="15" t="n"/>
      <c r="O8" s="15" t="inlineStr">
        <is>
          <t>Đã mở</t>
        </is>
      </c>
      <c r="P8" s="15" t="n"/>
    </row>
    <row r="9" hidden="1" ht="15.75" customHeight="1" s="57">
      <c r="A9" s="7" t="inlineStr">
        <is>
          <t>Khánh Hòa</t>
        </is>
      </c>
      <c r="B9" s="7" t="n">
        <v>1548</v>
      </c>
      <c r="C9" s="7" t="inlineStr">
        <is>
          <t>Thành phố Nha Trang</t>
        </is>
      </c>
      <c r="D9" s="7" t="n">
        <v>410108</v>
      </c>
      <c r="E9" s="7" t="inlineStr">
        <is>
          <t>Phường Phương Sài</t>
        </is>
      </c>
      <c r="F9" s="7" t="n">
        <v>22704000</v>
      </c>
      <c r="G9" s="7" t="inlineStr">
        <is>
          <t>Bưu Cục 06 Lê Hồng Phong-TP.Nha Trang-Khánh Hòa</t>
        </is>
      </c>
      <c r="H9" s="15" t="n">
        <v>22704000</v>
      </c>
      <c r="I9" s="15" t="inlineStr">
        <is>
          <t>Bưu Cục 06 Lê Hồng Phong-TP.Nha Trang-Khánh Hòa</t>
        </is>
      </c>
      <c r="J9" s="15" t="b">
        <v>1</v>
      </c>
      <c r="K9" s="15" t="inlineStr">
        <is>
          <t>C</t>
        </is>
      </c>
      <c r="L9" s="16" t="n">
        <v>0</v>
      </c>
      <c r="M9" s="15" t="n"/>
      <c r="N9" s="15" t="n"/>
      <c r="O9" s="15" t="inlineStr">
        <is>
          <t>Đã mở</t>
        </is>
      </c>
      <c r="P9" s="15" t="n"/>
    </row>
    <row r="10" hidden="1" ht="15.75" customHeight="1" s="57">
      <c r="A10" s="7" t="inlineStr">
        <is>
          <t>Khánh Hòa</t>
        </is>
      </c>
      <c r="B10" s="7" t="n">
        <v>1548</v>
      </c>
      <c r="C10" s="7" t="inlineStr">
        <is>
          <t>Thành phố Nha Trang</t>
        </is>
      </c>
      <c r="D10" s="7" t="n">
        <v>410109</v>
      </c>
      <c r="E10" s="7" t="inlineStr">
        <is>
          <t>Phường Phương Sơn</t>
        </is>
      </c>
      <c r="F10" s="7" t="n">
        <v>20320000</v>
      </c>
      <c r="G10" s="7" t="inlineStr">
        <is>
          <t>Bưu Cục 466 Đường 23/10-Nha Trang-Khánh Hòa</t>
        </is>
      </c>
      <c r="H10" s="15" t="n">
        <v>20320000</v>
      </c>
      <c r="I10" s="15" t="inlineStr">
        <is>
          <t>Bưu Cục 466 Đường 23/10-Nha Trang-Khánh Hòa</t>
        </is>
      </c>
      <c r="J10" s="15" t="b">
        <v>1</v>
      </c>
      <c r="K10" s="15" t="inlineStr">
        <is>
          <t>C</t>
        </is>
      </c>
      <c r="L10" s="16" t="n">
        <v>0</v>
      </c>
      <c r="M10" s="15" t="n"/>
      <c r="N10" s="15" t="n"/>
      <c r="O10" s="15" t="inlineStr">
        <is>
          <t>Đã mở</t>
        </is>
      </c>
      <c r="P10" s="15" t="n"/>
    </row>
    <row r="11" hidden="1" ht="15.75" customHeight="1" s="57">
      <c r="A11" s="7" t="inlineStr">
        <is>
          <t>Khánh Hòa</t>
        </is>
      </c>
      <c r="B11" s="7" t="n">
        <v>1548</v>
      </c>
      <c r="C11" s="7" t="inlineStr">
        <is>
          <t>Thành phố Nha Trang</t>
        </is>
      </c>
      <c r="D11" s="7" t="n">
        <v>410110</v>
      </c>
      <c r="E11" s="7" t="inlineStr">
        <is>
          <t>Phường Tân Lập</t>
        </is>
      </c>
      <c r="F11" s="7" t="n">
        <v>22704000</v>
      </c>
      <c r="G11" s="7" t="inlineStr">
        <is>
          <t>Bưu Cục 06 Lê Hồng Phong-TP.Nha Trang-Khánh Hòa</t>
        </is>
      </c>
      <c r="H11" s="15" t="n">
        <v>22704000</v>
      </c>
      <c r="I11" s="15" t="inlineStr">
        <is>
          <t>Bưu Cục 06 Lê Hồng Phong-TP.Nha Trang-Khánh Hòa</t>
        </is>
      </c>
      <c r="J11" s="15" t="b">
        <v>1</v>
      </c>
      <c r="K11" s="15" t="inlineStr">
        <is>
          <t>B</t>
        </is>
      </c>
      <c r="L11" s="16" t="n">
        <v>0.7</v>
      </c>
      <c r="M11" s="15" t="n">
        <v>15</v>
      </c>
      <c r="N11" s="15" t="n">
        <v>15</v>
      </c>
      <c r="O11" s="15" t="inlineStr">
        <is>
          <t>Đã mở</t>
        </is>
      </c>
      <c r="P11" s="15" t="n"/>
    </row>
    <row r="12" hidden="1" ht="15.75" customHeight="1" s="57">
      <c r="A12" s="7" t="inlineStr">
        <is>
          <t>Khánh Hòa</t>
        </is>
      </c>
      <c r="B12" s="7" t="n">
        <v>1548</v>
      </c>
      <c r="C12" s="7" t="inlineStr">
        <is>
          <t>Thành phố Nha Trang</t>
        </is>
      </c>
      <c r="D12" s="7" t="n">
        <v>410111</v>
      </c>
      <c r="E12" s="7" t="inlineStr">
        <is>
          <t>Phường Vạn Thắng</t>
        </is>
      </c>
      <c r="F12" s="7" t="n">
        <v>20495000</v>
      </c>
      <c r="G12" s="7" t="inlineStr">
        <is>
          <t>Bưu Cục 40A Yết Kiêu-Nha Trang-Khánh Hòa</t>
        </is>
      </c>
      <c r="H12" s="15" t="n">
        <v>20495000</v>
      </c>
      <c r="I12" s="15" t="inlineStr">
        <is>
          <t>Bưu Cục 40A Yết Kiêu-Nha Trang-Khánh Hòa</t>
        </is>
      </c>
      <c r="J12" s="15" t="b">
        <v>1</v>
      </c>
      <c r="K12" s="15" t="inlineStr">
        <is>
          <t>C</t>
        </is>
      </c>
      <c r="L12" s="16" t="n">
        <v>0</v>
      </c>
      <c r="M12" s="15" t="n"/>
      <c r="N12" s="15" t="n"/>
      <c r="O12" s="15" t="inlineStr">
        <is>
          <t>Đã mở</t>
        </is>
      </c>
      <c r="P12" s="15" t="n"/>
    </row>
    <row r="13" hidden="1" ht="15.75" customHeight="1" s="57">
      <c r="A13" s="7" t="inlineStr">
        <is>
          <t>Khánh Hòa</t>
        </is>
      </c>
      <c r="B13" s="7" t="n">
        <v>1548</v>
      </c>
      <c r="C13" s="7" t="inlineStr">
        <is>
          <t>Thành phố Nha Trang</t>
        </is>
      </c>
      <c r="D13" s="7" t="n">
        <v>410112</v>
      </c>
      <c r="E13" s="7" t="inlineStr">
        <is>
          <t>Phường Vạn Thạnh</t>
        </is>
      </c>
      <c r="F13" s="7" t="n">
        <v>20495000</v>
      </c>
      <c r="G13" s="7" t="inlineStr">
        <is>
          <t>Bưu Cục 40A Yết Kiêu-Nha Trang-Khánh Hòa</t>
        </is>
      </c>
      <c r="H13" s="15" t="n">
        <v>20495000</v>
      </c>
      <c r="I13" s="15" t="inlineStr">
        <is>
          <t>Bưu Cục 40A Yết Kiêu-Nha Trang-Khánh Hòa</t>
        </is>
      </c>
      <c r="J13" s="15" t="b">
        <v>1</v>
      </c>
      <c r="K13" s="15" t="inlineStr">
        <is>
          <t>C</t>
        </is>
      </c>
      <c r="L13" s="16" t="n">
        <v>0</v>
      </c>
      <c r="M13" s="15" t="n"/>
      <c r="N13" s="15" t="n"/>
      <c r="O13" s="15" t="inlineStr">
        <is>
          <t>Đã mở</t>
        </is>
      </c>
      <c r="P13" s="15" t="n"/>
    </row>
    <row r="14" hidden="1" ht="15.75" customHeight="1" s="57">
      <c r="A14" s="7" t="inlineStr">
        <is>
          <t>Khánh Hòa</t>
        </is>
      </c>
      <c r="B14" s="7" t="n">
        <v>1548</v>
      </c>
      <c r="C14" s="7" t="inlineStr">
        <is>
          <t>Thành phố Nha Trang</t>
        </is>
      </c>
      <c r="D14" s="7" t="n">
        <v>410113</v>
      </c>
      <c r="E14" s="7" t="inlineStr">
        <is>
          <t>Phường Vĩnh Hải</t>
        </is>
      </c>
      <c r="F14" s="7" t="n">
        <v>2399</v>
      </c>
      <c r="G14" s="7" t="inlineStr">
        <is>
          <t>Bưu Cục 195 Đường 2/4-Nha Trang-Khánh Hòa</t>
        </is>
      </c>
      <c r="H14" s="15" t="n">
        <v>2399</v>
      </c>
      <c r="I14" s="15" t="inlineStr">
        <is>
          <t>Bưu Cục 195 Đường 2/4-Nha Trang-Khánh Hòa</t>
        </is>
      </c>
      <c r="J14" s="15" t="b">
        <v>1</v>
      </c>
      <c r="K14" s="15" t="inlineStr">
        <is>
          <t>B</t>
        </is>
      </c>
      <c r="L14" s="16" t="n">
        <v>0.7</v>
      </c>
      <c r="M14" s="15" t="n">
        <v>15</v>
      </c>
      <c r="N14" s="15" t="n">
        <v>15</v>
      </c>
      <c r="O14" s="15" t="inlineStr">
        <is>
          <t>Đã mở</t>
        </is>
      </c>
      <c r="P14" s="15" t="n"/>
    </row>
    <row r="15" hidden="1" ht="15.75" customHeight="1" s="57">
      <c r="A15" s="7" t="inlineStr">
        <is>
          <t>Khánh Hòa</t>
        </is>
      </c>
      <c r="B15" s="7" t="n">
        <v>1548</v>
      </c>
      <c r="C15" s="7" t="inlineStr">
        <is>
          <t>Thành phố Nha Trang</t>
        </is>
      </c>
      <c r="D15" s="7" t="n">
        <v>410114</v>
      </c>
      <c r="E15" s="7" t="inlineStr">
        <is>
          <t>Phường Vĩnh Hòa</t>
        </is>
      </c>
      <c r="F15" s="7" t="n">
        <v>2399</v>
      </c>
      <c r="G15" s="7" t="inlineStr">
        <is>
          <t>Bưu Cục 195 Đường 2/4-Nha Trang-Khánh Hòa</t>
        </is>
      </c>
      <c r="H15" s="15" t="n">
        <v>2399</v>
      </c>
      <c r="I15" s="15" t="inlineStr">
        <is>
          <t>Bưu Cục 195 Đường 2/4-Nha Trang-Khánh Hòa</t>
        </is>
      </c>
      <c r="J15" s="15" t="b">
        <v>1</v>
      </c>
      <c r="K15" s="15" t="inlineStr">
        <is>
          <t>B</t>
        </is>
      </c>
      <c r="L15" s="16" t="n">
        <v>0.7</v>
      </c>
      <c r="M15" s="15" t="n">
        <v>15</v>
      </c>
      <c r="N15" s="15" t="n">
        <v>15</v>
      </c>
      <c r="O15" s="15" t="inlineStr">
        <is>
          <t>Đã mở</t>
        </is>
      </c>
      <c r="P15" s="15" t="n"/>
    </row>
    <row r="16" hidden="1" ht="15.75" customHeight="1" s="57">
      <c r="A16" s="7" t="inlineStr">
        <is>
          <t>Khánh Hòa</t>
        </is>
      </c>
      <c r="B16" s="7" t="n">
        <v>1548</v>
      </c>
      <c r="C16" s="7" t="inlineStr">
        <is>
          <t>Thành phố Nha Trang</t>
        </is>
      </c>
      <c r="D16" s="7" t="n">
        <v>410115</v>
      </c>
      <c r="E16" s="7" t="inlineStr">
        <is>
          <t>Phường Vĩnh Nguyên</t>
        </is>
      </c>
      <c r="F16" s="7" t="n">
        <v>22746000</v>
      </c>
      <c r="G16" s="7" t="inlineStr">
        <is>
          <t>Bưu Cục 229 Phước Long-Nam Nha Trang-Khánh Hòa</t>
        </is>
      </c>
      <c r="H16" s="15" t="n">
        <v>22746000</v>
      </c>
      <c r="I16" s="15" t="inlineStr">
        <is>
          <t>Bưu Cục 229 Phước Long-Nam Nha Trang-Khánh Hòa</t>
        </is>
      </c>
      <c r="J16" s="15" t="b">
        <v>1</v>
      </c>
      <c r="K16" s="15" t="inlineStr">
        <is>
          <t>B</t>
        </is>
      </c>
      <c r="L16" s="16" t="n">
        <v>0.7</v>
      </c>
      <c r="M16" s="15" t="n">
        <v>20</v>
      </c>
      <c r="N16" s="15" t="n">
        <v>15</v>
      </c>
      <c r="O16" s="15" t="inlineStr">
        <is>
          <t>Đã mở</t>
        </is>
      </c>
      <c r="P16" s="15" t="n"/>
    </row>
    <row r="17" hidden="1" ht="15.75" customHeight="1" s="57">
      <c r="A17" s="7" t="inlineStr">
        <is>
          <t>Khánh Hòa</t>
        </is>
      </c>
      <c r="B17" s="7" t="n">
        <v>1548</v>
      </c>
      <c r="C17" s="7" t="inlineStr">
        <is>
          <t>Thành phố Nha Trang</t>
        </is>
      </c>
      <c r="D17" s="7" t="n">
        <v>410116</v>
      </c>
      <c r="E17" s="7" t="inlineStr">
        <is>
          <t>Phường Vĩnh Phước</t>
        </is>
      </c>
      <c r="F17" s="7" t="n">
        <v>2399</v>
      </c>
      <c r="G17" s="7" t="inlineStr">
        <is>
          <t>Bưu Cục 195 Đường 2/4-Nha Trang-Khánh Hòa</t>
        </is>
      </c>
      <c r="H17" s="15" t="n">
        <v>2399</v>
      </c>
      <c r="I17" s="15" t="inlineStr">
        <is>
          <t>Bưu Cục 195 Đường 2/4-Nha Trang-Khánh Hòa</t>
        </is>
      </c>
      <c r="J17" s="15" t="b">
        <v>1</v>
      </c>
      <c r="K17" s="15" t="inlineStr">
        <is>
          <t>B</t>
        </is>
      </c>
      <c r="L17" s="16" t="n">
        <v>0.7</v>
      </c>
      <c r="M17" s="15" t="n">
        <v>15</v>
      </c>
      <c r="N17" s="15" t="n">
        <v>15</v>
      </c>
      <c r="O17" s="15" t="inlineStr">
        <is>
          <t>Đã mở</t>
        </is>
      </c>
      <c r="P17" s="15" t="n"/>
    </row>
    <row r="18" hidden="1" ht="15.75" customHeight="1" s="57">
      <c r="A18" s="7" t="inlineStr">
        <is>
          <t>Khánh Hòa</t>
        </is>
      </c>
      <c r="B18" s="7" t="n">
        <v>1548</v>
      </c>
      <c r="C18" s="7" t="inlineStr">
        <is>
          <t>Thành phố Nha Trang</t>
        </is>
      </c>
      <c r="D18" s="7" t="n">
        <v>410117</v>
      </c>
      <c r="E18" s="7" t="inlineStr">
        <is>
          <t>Phường Vĩnh Thọ</t>
        </is>
      </c>
      <c r="F18" s="7" t="n">
        <v>2399</v>
      </c>
      <c r="G18" s="7" t="inlineStr">
        <is>
          <t>Bưu Cục 195 Đường 2/4-Nha Trang-Khánh Hòa</t>
        </is>
      </c>
      <c r="H18" s="15" t="n">
        <v>2399</v>
      </c>
      <c r="I18" s="15" t="inlineStr">
        <is>
          <t>Bưu Cục 195 Đường 2/4-Nha Trang-Khánh Hòa</t>
        </is>
      </c>
      <c r="J18" s="15" t="b">
        <v>1</v>
      </c>
      <c r="K18" s="15" t="inlineStr">
        <is>
          <t>C</t>
        </is>
      </c>
      <c r="L18" s="16" t="n">
        <v>0</v>
      </c>
      <c r="M18" s="15" t="n"/>
      <c r="N18" s="15" t="n"/>
      <c r="O18" s="15" t="inlineStr">
        <is>
          <t>Đã mở</t>
        </is>
      </c>
      <c r="P18" s="15" t="n"/>
    </row>
    <row r="19" hidden="1" ht="15.75" customHeight="1" s="57">
      <c r="A19" s="7" t="inlineStr">
        <is>
          <t>Khánh Hòa</t>
        </is>
      </c>
      <c r="B19" s="7" t="n">
        <v>1548</v>
      </c>
      <c r="C19" s="7" t="inlineStr">
        <is>
          <t>Thành phố Nha Trang</t>
        </is>
      </c>
      <c r="D19" s="7" t="n">
        <v>410118</v>
      </c>
      <c r="E19" s="7" t="inlineStr">
        <is>
          <t>Phường Vĩnh Trường</t>
        </is>
      </c>
      <c r="F19" s="7" t="n">
        <v>22746000</v>
      </c>
      <c r="G19" s="7" t="inlineStr">
        <is>
          <t>Bưu Cục 229 Phước Long-Nam Nha Trang-Khánh Hòa</t>
        </is>
      </c>
      <c r="H19" s="15" t="n">
        <v>22746000</v>
      </c>
      <c r="I19" s="15" t="inlineStr">
        <is>
          <t>Bưu Cục 229 Phước Long-Nam Nha Trang-Khánh Hòa</t>
        </is>
      </c>
      <c r="J19" s="15" t="b">
        <v>1</v>
      </c>
      <c r="K19" s="15" t="inlineStr">
        <is>
          <t>C</t>
        </is>
      </c>
      <c r="L19" s="16" t="n">
        <v>0</v>
      </c>
      <c r="M19" s="15" t="n"/>
      <c r="N19" s="15" t="n"/>
      <c r="O19" s="15" t="inlineStr">
        <is>
          <t>Đã mở</t>
        </is>
      </c>
      <c r="P19" s="15" t="n"/>
    </row>
    <row r="20" hidden="1" ht="15.75" customHeight="1" s="57">
      <c r="A20" s="7" t="inlineStr">
        <is>
          <t>Khánh Hòa</t>
        </is>
      </c>
      <c r="B20" s="7" t="n">
        <v>1548</v>
      </c>
      <c r="C20" s="7" t="inlineStr">
        <is>
          <t>Thành phố Nha Trang</t>
        </is>
      </c>
      <c r="D20" s="7" t="n">
        <v>410119</v>
      </c>
      <c r="E20" s="7" t="inlineStr">
        <is>
          <t>Phường Xương Huân</t>
        </is>
      </c>
      <c r="F20" s="7" t="n">
        <v>20495000</v>
      </c>
      <c r="G20" s="7" t="inlineStr">
        <is>
          <t>Bưu Cục 40A Yết Kiêu-Nha Trang-Khánh Hòa</t>
        </is>
      </c>
      <c r="H20" s="15" t="n">
        <v>20495000</v>
      </c>
      <c r="I20" s="15" t="inlineStr">
        <is>
          <t>Bưu Cục 40A Yết Kiêu-Nha Trang-Khánh Hòa</t>
        </is>
      </c>
      <c r="J20" s="15" t="b">
        <v>1</v>
      </c>
      <c r="K20" s="15" t="inlineStr">
        <is>
          <t>C</t>
        </is>
      </c>
      <c r="L20" s="16" t="n">
        <v>0</v>
      </c>
      <c r="M20" s="15" t="n"/>
      <c r="N20" s="15" t="n"/>
      <c r="O20" s="15" t="inlineStr">
        <is>
          <t>Đã mở</t>
        </is>
      </c>
      <c r="P20" s="15" t="n"/>
    </row>
    <row r="21" hidden="1" ht="15.75" customHeight="1" s="57">
      <c r="A21" s="7" t="inlineStr">
        <is>
          <t>Khánh Hòa</t>
        </is>
      </c>
      <c r="B21" s="7" t="n">
        <v>1548</v>
      </c>
      <c r="C21" s="7" t="inlineStr">
        <is>
          <t>Thành phố Nha Trang</t>
        </is>
      </c>
      <c r="D21" s="7" t="n">
        <v>410120</v>
      </c>
      <c r="E21" s="7" t="inlineStr">
        <is>
          <t>Xã Phước Đồng</t>
        </is>
      </c>
      <c r="F21" s="7" t="n">
        <v>2502</v>
      </c>
      <c r="G21" s="7" t="inlineStr">
        <is>
          <t>Bưu Cục Phước Đồng-Nha Trang-Khánh Hoà</t>
        </is>
      </c>
      <c r="H21" s="15" t="n">
        <v>2502</v>
      </c>
      <c r="I21" s="15" t="inlineStr">
        <is>
          <t>Bưu Cục Phước Đồng-Nha Trang-Khánh Hoà</t>
        </is>
      </c>
      <c r="J21" s="15" t="b">
        <v>1</v>
      </c>
      <c r="K21" s="15" t="inlineStr">
        <is>
          <t>B</t>
        </is>
      </c>
      <c r="L21" s="16" t="n">
        <v>0.7</v>
      </c>
      <c r="M21" s="15" t="n">
        <v>20</v>
      </c>
      <c r="N21" s="15" t="n">
        <v>15</v>
      </c>
      <c r="O21" s="15" t="inlineStr">
        <is>
          <t>Đã mở</t>
        </is>
      </c>
      <c r="P21" s="15" t="n"/>
    </row>
    <row r="22" hidden="1" ht="15.75" customHeight="1" s="57">
      <c r="A22" s="7" t="inlineStr">
        <is>
          <t>Khánh Hòa</t>
        </is>
      </c>
      <c r="B22" s="7" t="n">
        <v>1548</v>
      </c>
      <c r="C22" s="7" t="inlineStr">
        <is>
          <t>Thành phố Nha Trang</t>
        </is>
      </c>
      <c r="D22" s="7" t="n">
        <v>410121</v>
      </c>
      <c r="E22" s="7" t="inlineStr">
        <is>
          <t>Xã Vĩnh Hiệp</t>
        </is>
      </c>
      <c r="F22" s="7" t="n">
        <v>20320000</v>
      </c>
      <c r="G22" s="7" t="inlineStr">
        <is>
          <t>Bưu Cục 466 Đường 23/10-Nha Trang-Khánh Hòa</t>
        </is>
      </c>
      <c r="H22" s="15" t="n">
        <v>20320000</v>
      </c>
      <c r="I22" s="15" t="inlineStr">
        <is>
          <t>Bưu Cục 466 Đường 23/10-Nha Trang-Khánh Hòa</t>
        </is>
      </c>
      <c r="J22" s="15" t="b">
        <v>1</v>
      </c>
      <c r="K22" s="15" t="inlineStr">
        <is>
          <t>B</t>
        </is>
      </c>
      <c r="L22" s="16" t="n">
        <v>0.7</v>
      </c>
      <c r="M22" s="15" t="n">
        <v>15</v>
      </c>
      <c r="N22" s="15" t="n">
        <v>15</v>
      </c>
      <c r="O22" s="15" t="inlineStr">
        <is>
          <t>Đã mở</t>
        </is>
      </c>
      <c r="P22" s="15" t="n"/>
    </row>
    <row r="23" hidden="1" ht="15.75" customHeight="1" s="57">
      <c r="A23" s="7" t="inlineStr">
        <is>
          <t>Khánh Hòa</t>
        </is>
      </c>
      <c r="B23" s="7" t="n">
        <v>1548</v>
      </c>
      <c r="C23" s="7" t="inlineStr">
        <is>
          <t>Thành phố Nha Trang</t>
        </is>
      </c>
      <c r="D23" s="7" t="n">
        <v>410122</v>
      </c>
      <c r="E23" s="7" t="inlineStr">
        <is>
          <t>Xã Vĩnh Lương</t>
        </is>
      </c>
      <c r="F23" s="7" t="n">
        <v>2399</v>
      </c>
      <c r="G23" s="7" t="inlineStr">
        <is>
          <t>Bưu Cục 195 Đường 2/4-Nha Trang-Khánh Hòa</t>
        </is>
      </c>
      <c r="H23" s="15" t="n">
        <v>2399</v>
      </c>
      <c r="I23" s="15" t="inlineStr">
        <is>
          <t>Bưu Cục 195 Đường 2/4-Nha Trang-Khánh Hòa</t>
        </is>
      </c>
      <c r="J23" s="15" t="b">
        <v>1</v>
      </c>
      <c r="K23" s="15" t="inlineStr">
        <is>
          <t>B</t>
        </is>
      </c>
      <c r="L23" s="16" t="n">
        <v>0.7</v>
      </c>
      <c r="M23" s="15" t="n">
        <v>15</v>
      </c>
      <c r="N23" s="15" t="n">
        <v>15</v>
      </c>
      <c r="O23" s="15" t="inlineStr">
        <is>
          <t>Đã mở</t>
        </is>
      </c>
      <c r="P23" s="15" t="n"/>
    </row>
    <row r="24" hidden="1" ht="15.75" customHeight="1" s="57">
      <c r="A24" s="7" t="inlineStr">
        <is>
          <t>Khánh Hòa</t>
        </is>
      </c>
      <c r="B24" s="7" t="n">
        <v>1548</v>
      </c>
      <c r="C24" s="7" t="inlineStr">
        <is>
          <t>Thành phố Nha Trang</t>
        </is>
      </c>
      <c r="D24" s="7" t="n">
        <v>410123</v>
      </c>
      <c r="E24" s="7" t="inlineStr">
        <is>
          <t>Xã Vĩnh Ngọc</t>
        </is>
      </c>
      <c r="F24" s="7" t="n">
        <v>20320000</v>
      </c>
      <c r="G24" s="7" t="inlineStr">
        <is>
          <t>Bưu Cục 466 Đường 23/10-Nha Trang-Khánh Hòa</t>
        </is>
      </c>
      <c r="H24" s="15" t="n">
        <v>20320000</v>
      </c>
      <c r="I24" s="15" t="inlineStr">
        <is>
          <t>Bưu Cục 466 Đường 23/10-Nha Trang-Khánh Hòa</t>
        </is>
      </c>
      <c r="J24" s="15" t="b">
        <v>1</v>
      </c>
      <c r="K24" s="15" t="inlineStr">
        <is>
          <t>C</t>
        </is>
      </c>
      <c r="L24" s="16" t="n">
        <v>0</v>
      </c>
      <c r="M24" s="15" t="n"/>
      <c r="N24" s="15" t="n"/>
      <c r="O24" s="15" t="inlineStr">
        <is>
          <t>Đã mở</t>
        </is>
      </c>
      <c r="P24" s="15" t="n"/>
    </row>
    <row r="25" hidden="1" ht="15.75" customHeight="1" s="57">
      <c r="A25" s="7" t="inlineStr">
        <is>
          <t>Khánh Hòa</t>
        </is>
      </c>
      <c r="B25" s="7" t="n">
        <v>1548</v>
      </c>
      <c r="C25" s="7" t="inlineStr">
        <is>
          <t>Thành phố Nha Trang</t>
        </is>
      </c>
      <c r="D25" s="7" t="n">
        <v>410124</v>
      </c>
      <c r="E25" s="7" t="inlineStr">
        <is>
          <t>Xã Vĩnh Phương</t>
        </is>
      </c>
      <c r="F25" s="7" t="n">
        <v>2399</v>
      </c>
      <c r="G25" s="7" t="inlineStr">
        <is>
          <t>Bưu Cục 195 Đường 2/4-Nha Trang-Khánh Hòa</t>
        </is>
      </c>
      <c r="H25" s="15" t="n">
        <v>2399</v>
      </c>
      <c r="I25" s="15" t="inlineStr">
        <is>
          <t>Bưu Cục 195 Đường 2/4-Nha Trang-Khánh Hòa</t>
        </is>
      </c>
      <c r="J25" s="15" t="b">
        <v>1</v>
      </c>
      <c r="K25" s="15" t="inlineStr">
        <is>
          <t>C</t>
        </is>
      </c>
      <c r="L25" s="16" t="n">
        <v>0</v>
      </c>
      <c r="M25" s="15" t="n"/>
      <c r="N25" s="15" t="n"/>
      <c r="O25" s="15" t="inlineStr">
        <is>
          <t>Đã mở</t>
        </is>
      </c>
      <c r="P25" s="15" t="n"/>
    </row>
    <row r="26" hidden="1" ht="15.75" customHeight="1" s="57">
      <c r="A26" s="7" t="inlineStr">
        <is>
          <t>Khánh Hòa</t>
        </is>
      </c>
      <c r="B26" s="7" t="n">
        <v>1548</v>
      </c>
      <c r="C26" s="7" t="inlineStr">
        <is>
          <t>Thành phố Nha Trang</t>
        </is>
      </c>
      <c r="D26" s="7" t="n">
        <v>410125</v>
      </c>
      <c r="E26" s="7" t="inlineStr">
        <is>
          <t>Xã Vĩnh Thái</t>
        </is>
      </c>
      <c r="F26" s="7" t="n">
        <v>22363000</v>
      </c>
      <c r="G26" s="7" t="inlineStr">
        <is>
          <t>Bưu Cục Đường 35 Hà Quang 1-Xã Nam Nha Trang-Khánh Hòa</t>
        </is>
      </c>
      <c r="H26" s="15" t="n">
        <v>22363000</v>
      </c>
      <c r="I26" s="15" t="inlineStr">
        <is>
          <t>Bưu Cục Đường 35 Hà Quang 1-Xã Nam Nha Trang-Khánh Hòa</t>
        </is>
      </c>
      <c r="J26" s="15" t="b">
        <v>1</v>
      </c>
      <c r="K26" s="15" t="inlineStr">
        <is>
          <t>B</t>
        </is>
      </c>
      <c r="L26" s="16" t="n">
        <v>0.7</v>
      </c>
      <c r="M26" s="15" t="n">
        <v>20</v>
      </c>
      <c r="N26" s="15" t="n">
        <v>15</v>
      </c>
      <c r="O26" s="15" t="inlineStr">
        <is>
          <t>Đã mở</t>
        </is>
      </c>
      <c r="P26" s="15" t="n"/>
    </row>
    <row r="27" hidden="1" ht="15.75" customHeight="1" s="57">
      <c r="A27" s="7" t="inlineStr">
        <is>
          <t>Khánh Hòa</t>
        </is>
      </c>
      <c r="B27" s="7" t="n">
        <v>1548</v>
      </c>
      <c r="C27" s="7" t="inlineStr">
        <is>
          <t>Thành phố Nha Trang</t>
        </is>
      </c>
      <c r="D27" s="7" t="n">
        <v>410126</v>
      </c>
      <c r="E27" s="7" t="inlineStr">
        <is>
          <t>Xã Vĩnh Thạnh</t>
        </is>
      </c>
      <c r="F27" s="7" t="n">
        <v>22774000</v>
      </c>
      <c r="G27" s="7" t="inlineStr">
        <is>
          <t>Bưu Cục Thôn Phú An Nam 2-Xã Diên Khánh-Khánh Hòa</t>
        </is>
      </c>
      <c r="H27" s="15" t="n">
        <v>22774000</v>
      </c>
      <c r="I27" s="15" t="inlineStr">
        <is>
          <t>Bưu Cục Thôn Phú An Nam 2-Xã Diên Khánh-Khánh Hòa</t>
        </is>
      </c>
      <c r="J27" s="15" t="b">
        <v>1</v>
      </c>
      <c r="K27" s="15" t="inlineStr">
        <is>
          <t>B</t>
        </is>
      </c>
      <c r="L27" s="16" t="n">
        <v>0.7</v>
      </c>
      <c r="M27" s="15" t="n">
        <v>15</v>
      </c>
      <c r="N27" s="15" t="n">
        <v>15</v>
      </c>
      <c r="O27" s="15" t="inlineStr">
        <is>
          <t>Đã mở</t>
        </is>
      </c>
      <c r="P27" s="15" t="n"/>
    </row>
    <row r="28" hidden="1" ht="15.75" customHeight="1" s="57">
      <c r="A28" s="7" t="inlineStr">
        <is>
          <t>Khánh Hòa</t>
        </is>
      </c>
      <c r="B28" s="7" t="n">
        <v>1548</v>
      </c>
      <c r="C28" s="7" t="inlineStr">
        <is>
          <t>Thành phố Nha Trang</t>
        </is>
      </c>
      <c r="D28" s="7" t="n">
        <v>410127</v>
      </c>
      <c r="E28" s="7" t="inlineStr">
        <is>
          <t>Xã Vĩnh Trung</t>
        </is>
      </c>
      <c r="F28" s="7" t="n">
        <v>22774000</v>
      </c>
      <c r="G28" s="7" t="inlineStr">
        <is>
          <t>Bưu Cục Thôn Phú An Nam 2-Xã Diên Khánh-Khánh Hòa</t>
        </is>
      </c>
      <c r="H28" s="15" t="n">
        <v>22774000</v>
      </c>
      <c r="I28" s="15" t="inlineStr">
        <is>
          <t>Bưu Cục Thôn Phú An Nam 2-Xã Diên Khánh-Khánh Hòa</t>
        </is>
      </c>
      <c r="J28" s="15" t="b">
        <v>1</v>
      </c>
      <c r="K28" s="15" t="inlineStr">
        <is>
          <t>C</t>
        </is>
      </c>
      <c r="L28" s="16" t="n">
        <v>0</v>
      </c>
      <c r="M28" s="15" t="n"/>
      <c r="N28" s="15" t="n"/>
      <c r="O28" s="15" t="inlineStr">
        <is>
          <t>Đã mở</t>
        </is>
      </c>
      <c r="P28" s="15" t="n"/>
    </row>
    <row r="29" hidden="1" ht="15.75" customHeight="1" s="57">
      <c r="A29" s="7" t="inlineStr">
        <is>
          <t>Khánh Hòa</t>
        </is>
      </c>
      <c r="B29" s="7" t="n">
        <v>1548</v>
      </c>
      <c r="C29" s="7" t="inlineStr">
        <is>
          <t>Thành phố Nha Trang</t>
        </is>
      </c>
      <c r="D29" s="7" t="n">
        <v>91590</v>
      </c>
      <c r="E29" s="7" t="inlineStr">
        <is>
          <t>Phường Tân Tiến</t>
        </is>
      </c>
      <c r="F29" s="7" t="n">
        <v>22704000</v>
      </c>
      <c r="G29" s="7" t="inlineStr">
        <is>
          <t>Bưu Cục 06 Lê Hồng Phong-TP.Nha Trang-Khánh Hòa</t>
        </is>
      </c>
      <c r="H29" s="15" t="n">
        <v>22704000</v>
      </c>
      <c r="I29" s="15" t="inlineStr">
        <is>
          <t>Bưu Cục 06 Lê Hồng Phong-TP.Nha Trang-Khánh Hòa</t>
        </is>
      </c>
      <c r="J29" s="15" t="b">
        <v>0</v>
      </c>
      <c r="K29" s="15" t="inlineStr">
        <is>
          <t>C</t>
        </is>
      </c>
      <c r="L29" s="16" t="n">
        <v>0</v>
      </c>
      <c r="M29" s="15" t="n"/>
      <c r="N29" s="15" t="n"/>
      <c r="O29" s="15" t="inlineStr">
        <is>
          <t>Chưa mở</t>
        </is>
      </c>
      <c r="P29" s="15" t="n"/>
    </row>
    <row r="30" hidden="1" ht="15.75" customHeight="1" s="57">
      <c r="A30" s="7" t="inlineStr">
        <is>
          <t>Lâm Đồng</t>
        </is>
      </c>
      <c r="B30" s="7" t="n">
        <v>1550</v>
      </c>
      <c r="C30" s="7" t="inlineStr">
        <is>
          <t>Thành phố Đà Lạt</t>
        </is>
      </c>
      <c r="D30" s="7" t="n">
        <v>420101</v>
      </c>
      <c r="E30" s="7" t="inlineStr">
        <is>
          <t>Phường 1</t>
        </is>
      </c>
      <c r="F30" s="7" t="n">
        <v>21687000</v>
      </c>
      <c r="G30" s="7" t="inlineStr">
        <is>
          <t>Bưu Cục Cao Bá Quát-Phường 7-Đà Lạt-Lâm Đồng</t>
        </is>
      </c>
      <c r="H30" s="15" t="n">
        <v>21687000</v>
      </c>
      <c r="I30" s="15" t="inlineStr">
        <is>
          <t>Bưu Cục Cao Bá Quát-Phường 7-Đà Lạt-Lâm Đồng</t>
        </is>
      </c>
      <c r="J30" s="15" t="b">
        <v>1</v>
      </c>
      <c r="K30" s="15" t="inlineStr">
        <is>
          <t>A</t>
        </is>
      </c>
      <c r="L30" s="16" t="n">
        <v>1</v>
      </c>
      <c r="M30" s="15" t="n">
        <v>15</v>
      </c>
      <c r="N30" s="15" t="n">
        <v>15</v>
      </c>
      <c r="O30" s="15" t="inlineStr">
        <is>
          <t>Đã mở</t>
        </is>
      </c>
      <c r="P30" s="15" t="n"/>
    </row>
    <row r="31" hidden="1" ht="15.75" customHeight="1" s="57">
      <c r="A31" s="7" t="inlineStr">
        <is>
          <t>Lâm Đồng</t>
        </is>
      </c>
      <c r="B31" s="7" t="n">
        <v>1550</v>
      </c>
      <c r="C31" s="7" t="inlineStr">
        <is>
          <t>Thành phố Đà Lạt</t>
        </is>
      </c>
      <c r="D31" s="7" t="n">
        <v>420102</v>
      </c>
      <c r="E31" s="7" t="inlineStr">
        <is>
          <t>Phường 10</t>
        </is>
      </c>
      <c r="F31" s="7" t="n">
        <v>22312000</v>
      </c>
      <c r="G31" s="7" t="inlineStr">
        <is>
          <t>Bưu Cục Số 6 Trương Văn Hoàn-Phường 9-Đà Lạt-Lâm Đồng</t>
        </is>
      </c>
      <c r="H31" s="15" t="n">
        <v>22312000</v>
      </c>
      <c r="I31" s="15" t="inlineStr">
        <is>
          <t>Bưu Cục Số 6 Trương Văn Hoàn-Phường 9-Đà Lạt-Lâm Đồng</t>
        </is>
      </c>
      <c r="J31" s="15" t="b">
        <v>1</v>
      </c>
      <c r="K31" s="15" t="inlineStr">
        <is>
          <t>A</t>
        </is>
      </c>
      <c r="L31" s="16" t="n">
        <v>1</v>
      </c>
      <c r="M31" s="15" t="n">
        <v>16</v>
      </c>
      <c r="N31" s="15" t="n">
        <v>15</v>
      </c>
      <c r="O31" s="15" t="inlineStr">
        <is>
          <t>Đã mở</t>
        </is>
      </c>
      <c r="P31" s="15" t="n"/>
    </row>
    <row r="32" hidden="1" ht="15.75" customHeight="1" s="57">
      <c r="A32" s="7" t="inlineStr">
        <is>
          <t>Lâm Đồng</t>
        </is>
      </c>
      <c r="B32" s="7" t="n">
        <v>1550</v>
      </c>
      <c r="C32" s="7" t="inlineStr">
        <is>
          <t>Thành phố Đà Lạt</t>
        </is>
      </c>
      <c r="D32" s="7" t="n">
        <v>420103</v>
      </c>
      <c r="E32" s="7" t="inlineStr">
        <is>
          <t>Phường 11</t>
        </is>
      </c>
      <c r="F32" s="7" t="n">
        <v>22116000</v>
      </c>
      <c r="G32" s="7" t="inlineStr">
        <is>
          <t>Bưu Cục 300 Tự Phước-Đà Lạt-Lâm Đồng</t>
        </is>
      </c>
      <c r="H32" s="15" t="n">
        <v>22116000</v>
      </c>
      <c r="I32" s="15" t="inlineStr">
        <is>
          <t>Bưu Cục 300 Tự Phước-Đà Lạt-Lâm Đồng</t>
        </is>
      </c>
      <c r="J32" s="15" t="b">
        <v>1</v>
      </c>
      <c r="K32" s="15" t="inlineStr">
        <is>
          <t>A</t>
        </is>
      </c>
      <c r="L32" s="16" t="n">
        <v>1</v>
      </c>
      <c r="M32" s="15" t="n">
        <v>16</v>
      </c>
      <c r="N32" s="15" t="n">
        <v>15</v>
      </c>
      <c r="O32" s="15" t="inlineStr">
        <is>
          <t>Đã mở</t>
        </is>
      </c>
      <c r="P32" s="15" t="n"/>
    </row>
    <row r="33" hidden="1" ht="15.75" customHeight="1" s="57">
      <c r="A33" s="7" t="inlineStr">
        <is>
          <t>Lâm Đồng</t>
        </is>
      </c>
      <c r="B33" s="7" t="n">
        <v>1550</v>
      </c>
      <c r="C33" s="7" t="inlineStr">
        <is>
          <t>Thành phố Đà Lạt</t>
        </is>
      </c>
      <c r="D33" s="7" t="n">
        <v>420104</v>
      </c>
      <c r="E33" s="7" t="inlineStr">
        <is>
          <t>Phường 12</t>
        </is>
      </c>
      <c r="F33" s="7" t="n">
        <v>22312000</v>
      </c>
      <c r="G33" s="7" t="inlineStr">
        <is>
          <t>Bưu Cục Số 6 Trương Văn Hoàn-Phường 9-Đà Lạt-Lâm Đồng</t>
        </is>
      </c>
      <c r="H33" s="15" t="n">
        <v>22312000</v>
      </c>
      <c r="I33" s="15" t="inlineStr">
        <is>
          <t>Bưu Cục Số 6 Trương Văn Hoàn-Phường 9-Đà Lạt-Lâm Đồng</t>
        </is>
      </c>
      <c r="J33" s="15" t="b">
        <v>1</v>
      </c>
      <c r="K33" s="15" t="inlineStr">
        <is>
          <t>A</t>
        </is>
      </c>
      <c r="L33" s="16" t="n">
        <v>1</v>
      </c>
      <c r="M33" s="15" t="n">
        <v>16</v>
      </c>
      <c r="N33" s="15" t="n">
        <v>15</v>
      </c>
      <c r="O33" s="15" t="inlineStr">
        <is>
          <t>Đã mở</t>
        </is>
      </c>
      <c r="P33" s="15" t="n"/>
    </row>
    <row r="34" hidden="1" ht="15.75" customHeight="1" s="57">
      <c r="A34" s="7" t="inlineStr">
        <is>
          <t>Lâm Đồng</t>
        </is>
      </c>
      <c r="B34" s="7" t="n">
        <v>1550</v>
      </c>
      <c r="C34" s="7" t="inlineStr">
        <is>
          <t>Thành phố Đà Lạt</t>
        </is>
      </c>
      <c r="D34" s="7" t="n">
        <v>420105</v>
      </c>
      <c r="E34" s="7" t="inlineStr">
        <is>
          <t>Phường 2</t>
        </is>
      </c>
      <c r="F34" s="7" t="n">
        <v>21687000</v>
      </c>
      <c r="G34" s="7" t="inlineStr">
        <is>
          <t>Bưu Cục Cao Bá Quát-Phường 7-Đà Lạt-Lâm Đồng</t>
        </is>
      </c>
      <c r="H34" s="15" t="n">
        <v>21130000</v>
      </c>
      <c r="I34" s="15" t="inlineStr">
        <is>
          <t>Kho Giao Hàng Nặng - TP Đà Lạt - Lâm Đồng</t>
        </is>
      </c>
      <c r="J34" s="15" t="b">
        <v>1</v>
      </c>
      <c r="K34" s="15" t="inlineStr">
        <is>
          <t>A</t>
        </is>
      </c>
      <c r="L34" s="16" t="n">
        <v>1</v>
      </c>
      <c r="M34" s="15" t="n">
        <v>15</v>
      </c>
      <c r="N34" s="15" t="n">
        <v>15</v>
      </c>
      <c r="O34" s="15" t="inlineStr">
        <is>
          <t>Đã mở</t>
        </is>
      </c>
      <c r="P34" s="15" t="n"/>
    </row>
    <row r="35" hidden="1" ht="15.75" customHeight="1" s="57">
      <c r="A35" s="7" t="inlineStr">
        <is>
          <t>Lâm Đồng</t>
        </is>
      </c>
      <c r="B35" s="7" t="n">
        <v>1550</v>
      </c>
      <c r="C35" s="7" t="inlineStr">
        <is>
          <t>Thành phố Đà Lạt</t>
        </is>
      </c>
      <c r="D35" s="7" t="n">
        <v>420106</v>
      </c>
      <c r="E35" s="7" t="inlineStr">
        <is>
          <t>Phường 3</t>
        </is>
      </c>
      <c r="F35" s="7" t="n">
        <v>21126000</v>
      </c>
      <c r="G35" s="7" t="inlineStr">
        <is>
          <t>Bưu cục Ngô Thỳ Sỹ - Đà Lạt - Lâm Đồng</t>
        </is>
      </c>
      <c r="H35" s="15" t="n">
        <v>21126000</v>
      </c>
      <c r="I35" s="15" t="inlineStr">
        <is>
          <t>Bưu cục Ngô Thỳ Sỹ - Đà Lạt - Lâm Đồng</t>
        </is>
      </c>
      <c r="J35" s="15" t="b">
        <v>1</v>
      </c>
      <c r="K35" s="15" t="inlineStr">
        <is>
          <t>A</t>
        </is>
      </c>
      <c r="L35" s="16" t="n">
        <v>1</v>
      </c>
      <c r="M35" s="15" t="n">
        <v>18</v>
      </c>
      <c r="N35" s="15" t="n">
        <v>15</v>
      </c>
      <c r="O35" s="15" t="inlineStr">
        <is>
          <t>Đã mở</t>
        </is>
      </c>
      <c r="P35" s="15" t="n"/>
    </row>
    <row r="36" hidden="1" ht="15.75" customHeight="1" s="57">
      <c r="A36" s="7" t="inlineStr">
        <is>
          <t>Lâm Đồng</t>
        </is>
      </c>
      <c r="B36" s="7" t="n">
        <v>1550</v>
      </c>
      <c r="C36" s="7" t="inlineStr">
        <is>
          <t>Thành phố Đà Lạt</t>
        </is>
      </c>
      <c r="D36" s="7" t="n">
        <v>420107</v>
      </c>
      <c r="E36" s="7" t="inlineStr">
        <is>
          <t>Phường 4</t>
        </is>
      </c>
      <c r="F36" s="7" t="n">
        <v>21126000</v>
      </c>
      <c r="G36" s="7" t="inlineStr">
        <is>
          <t>Bưu cục Ngô Thỳ Sỹ - Đà Lạt - Lâm Đồng</t>
        </is>
      </c>
      <c r="H36" s="15" t="n">
        <v>21126000</v>
      </c>
      <c r="I36" s="15" t="inlineStr">
        <is>
          <t>Bưu cục Ngô Thỳ Sỹ - Đà Lạt - Lâm Đồng</t>
        </is>
      </c>
      <c r="J36" s="15" t="b">
        <v>1</v>
      </c>
      <c r="K36" s="15" t="inlineStr">
        <is>
          <t>A</t>
        </is>
      </c>
      <c r="L36" s="16" t="n">
        <v>1</v>
      </c>
      <c r="M36" s="15" t="n">
        <v>18</v>
      </c>
      <c r="N36" s="15" t="n">
        <v>15</v>
      </c>
      <c r="O36" s="15" t="inlineStr">
        <is>
          <t>Đã mở</t>
        </is>
      </c>
      <c r="P36" s="15" t="n"/>
    </row>
    <row r="37" hidden="1" ht="15.75" customHeight="1" s="57">
      <c r="A37" s="7" t="inlineStr">
        <is>
          <t>Lâm Đồng</t>
        </is>
      </c>
      <c r="B37" s="7" t="n">
        <v>1550</v>
      </c>
      <c r="C37" s="7" t="inlineStr">
        <is>
          <t>Thành phố Đà Lạt</t>
        </is>
      </c>
      <c r="D37" s="7" t="n">
        <v>420108</v>
      </c>
      <c r="E37" s="7" t="inlineStr">
        <is>
          <t>Phường 5</t>
        </is>
      </c>
      <c r="F37" s="7" t="n">
        <v>21687000</v>
      </c>
      <c r="G37" s="7" t="inlineStr">
        <is>
          <t>Bưu Cục Cao Bá Quát-Phường 7-Đà Lạt-Lâm Đồng</t>
        </is>
      </c>
      <c r="H37" s="15" t="n">
        <v>21687000</v>
      </c>
      <c r="I37" s="15" t="inlineStr">
        <is>
          <t>Bưu Cục Cao Bá Quát-Phường 7-Đà Lạt-Lâm Đồng</t>
        </is>
      </c>
      <c r="J37" s="15" t="b">
        <v>1</v>
      </c>
      <c r="K37" s="15" t="inlineStr">
        <is>
          <t>A</t>
        </is>
      </c>
      <c r="L37" s="16" t="n">
        <v>1</v>
      </c>
      <c r="M37" s="15" t="n">
        <v>15</v>
      </c>
      <c r="N37" s="15" t="n">
        <v>15</v>
      </c>
      <c r="O37" s="15" t="inlineStr">
        <is>
          <t>Đã mở</t>
        </is>
      </c>
      <c r="P37" s="15" t="n"/>
    </row>
    <row r="38" hidden="1" ht="15.75" customHeight="1" s="57">
      <c r="A38" s="7" t="inlineStr">
        <is>
          <t>Lâm Đồng</t>
        </is>
      </c>
      <c r="B38" s="7" t="n">
        <v>1550</v>
      </c>
      <c r="C38" s="7" t="inlineStr">
        <is>
          <t>Thành phố Đà Lạt</t>
        </is>
      </c>
      <c r="D38" s="7" t="n">
        <v>420109</v>
      </c>
      <c r="E38" s="7" t="inlineStr">
        <is>
          <t>Phường 6</t>
        </is>
      </c>
      <c r="F38" s="7" t="n">
        <v>21687000</v>
      </c>
      <c r="G38" s="7" t="inlineStr">
        <is>
          <t>Bưu Cục Cao Bá Quát-Phường 7-Đà Lạt-Lâm Đồng</t>
        </is>
      </c>
      <c r="H38" s="15" t="n">
        <v>21687000</v>
      </c>
      <c r="I38" s="15" t="inlineStr">
        <is>
          <t>Bưu Cục Cao Bá Quát-Phường 7-Đà Lạt-Lâm Đồng</t>
        </is>
      </c>
      <c r="J38" s="15" t="b">
        <v>1</v>
      </c>
      <c r="K38" s="15" t="inlineStr">
        <is>
          <t>A</t>
        </is>
      </c>
      <c r="L38" s="16" t="n">
        <v>1</v>
      </c>
      <c r="M38" s="15" t="n">
        <v>15</v>
      </c>
      <c r="N38" s="15" t="n">
        <v>15</v>
      </c>
      <c r="O38" s="15" t="inlineStr">
        <is>
          <t>Đã mở</t>
        </is>
      </c>
      <c r="P38" s="15" t="n"/>
    </row>
    <row r="39" hidden="1" ht="15.75" customHeight="1" s="57">
      <c r="A39" s="7" t="inlineStr">
        <is>
          <t>Lâm Đồng</t>
        </is>
      </c>
      <c r="B39" s="7" t="n">
        <v>1550</v>
      </c>
      <c r="C39" s="7" t="inlineStr">
        <is>
          <t>Thành phố Đà Lạt</t>
        </is>
      </c>
      <c r="D39" s="7" t="n">
        <v>420110</v>
      </c>
      <c r="E39" s="7" t="inlineStr">
        <is>
          <t>Phường 7</t>
        </is>
      </c>
      <c r="F39" s="7" t="n">
        <v>22051000</v>
      </c>
      <c r="G39" s="7" t="inlineStr">
        <is>
          <t>Bưu Cục Langbiang-Lạc Dương-Lâm Đồng</t>
        </is>
      </c>
      <c r="H39" s="15" t="n">
        <v>22051000</v>
      </c>
      <c r="I39" s="15" t="inlineStr">
        <is>
          <t>Bưu Cục Langbiang-Lạc Dương-Lâm Đồng</t>
        </is>
      </c>
      <c r="J39" s="15" t="b">
        <v>1</v>
      </c>
      <c r="K39" s="15" t="inlineStr">
        <is>
          <t>A</t>
        </is>
      </c>
      <c r="L39" s="16" t="n">
        <v>1</v>
      </c>
      <c r="M39" s="15" t="n">
        <v>15</v>
      </c>
      <c r="N39" s="15" t="n">
        <v>15</v>
      </c>
      <c r="O39" s="15" t="inlineStr">
        <is>
          <t>Đã mở</t>
        </is>
      </c>
      <c r="P39" s="15" t="n"/>
    </row>
    <row r="40" hidden="1" ht="15.75" customHeight="1" s="57">
      <c r="A40" s="7" t="inlineStr">
        <is>
          <t>Lâm Đồng</t>
        </is>
      </c>
      <c r="B40" s="7" t="n">
        <v>1550</v>
      </c>
      <c r="C40" s="7" t="inlineStr">
        <is>
          <t>Thành phố Đà Lạt</t>
        </is>
      </c>
      <c r="D40" s="7" t="n">
        <v>420111</v>
      </c>
      <c r="E40" s="7" t="inlineStr">
        <is>
          <t>Phường 8</t>
        </is>
      </c>
      <c r="F40" s="7" t="n">
        <v>21537000</v>
      </c>
      <c r="G40" s="7" t="inlineStr">
        <is>
          <t>Bưu Cục 190/11 Phù Đổng Thiên Vương-Phường 8-Đà Lạt-Lâm Đồng</t>
        </is>
      </c>
      <c r="H40" s="15" t="n">
        <v>21537000</v>
      </c>
      <c r="I40" s="15" t="inlineStr">
        <is>
          <t>Bưu Cục 190/11 Phù Đổng Thiên Vương-Phường 8-Đà Lạt-Lâm Đồng</t>
        </is>
      </c>
      <c r="J40" s="15" t="b">
        <v>1</v>
      </c>
      <c r="K40" s="15" t="inlineStr">
        <is>
          <t>A</t>
        </is>
      </c>
      <c r="L40" s="16" t="n">
        <v>1</v>
      </c>
      <c r="M40" s="15" t="n">
        <v>15</v>
      </c>
      <c r="N40" s="15" t="n">
        <v>15</v>
      </c>
      <c r="O40" s="15" t="inlineStr">
        <is>
          <t>Đã mở</t>
        </is>
      </c>
      <c r="P40" s="15" t="n"/>
    </row>
    <row r="41" hidden="1" ht="15.75" customHeight="1" s="57">
      <c r="A41" s="7" t="inlineStr">
        <is>
          <t>Lâm Đồng</t>
        </is>
      </c>
      <c r="B41" s="7" t="n">
        <v>1550</v>
      </c>
      <c r="C41" s="7" t="inlineStr">
        <is>
          <t>Thành phố Đà Lạt</t>
        </is>
      </c>
      <c r="D41" s="7" t="n">
        <v>420112</v>
      </c>
      <c r="E41" s="7" t="inlineStr">
        <is>
          <t>Phường 9</t>
        </is>
      </c>
      <c r="F41" s="7" t="n">
        <v>22312000</v>
      </c>
      <c r="G41" s="7" t="inlineStr">
        <is>
          <t>Bưu Cục Số 6 Trương Văn Hoàn-Phường 9-Đà Lạt-Lâm Đồng</t>
        </is>
      </c>
      <c r="H41" s="15" t="n">
        <v>22312000</v>
      </c>
      <c r="I41" s="15" t="inlineStr">
        <is>
          <t>Bưu Cục Số 6 Trương Văn Hoàn-Phường 9-Đà Lạt-Lâm Đồng</t>
        </is>
      </c>
      <c r="J41" s="15" t="b">
        <v>1</v>
      </c>
      <c r="K41" s="15" t="inlineStr">
        <is>
          <t>A</t>
        </is>
      </c>
      <c r="L41" s="16" t="n">
        <v>1</v>
      </c>
      <c r="M41" s="15" t="n">
        <v>16</v>
      </c>
      <c r="N41" s="15" t="n">
        <v>15</v>
      </c>
      <c r="O41" s="15" t="inlineStr">
        <is>
          <t>Đã mở</t>
        </is>
      </c>
      <c r="P41" s="15" t="n"/>
    </row>
    <row r="42" hidden="1" ht="15.75" customHeight="1" s="57">
      <c r="A42" s="7" t="inlineStr">
        <is>
          <t>Lâm Đồng</t>
        </is>
      </c>
      <c r="B42" s="7" t="n">
        <v>1550</v>
      </c>
      <c r="C42" s="7" t="inlineStr">
        <is>
          <t>Thành phố Đà Lạt</t>
        </is>
      </c>
      <c r="D42" s="7" t="n">
        <v>420113</v>
      </c>
      <c r="E42" s="7" t="inlineStr">
        <is>
          <t>Xã Tà Nung</t>
        </is>
      </c>
      <c r="F42" s="7" t="n">
        <v>21687000</v>
      </c>
      <c r="G42" s="7" t="inlineStr">
        <is>
          <t>Bưu Cục Cao Bá Quát-Phường 7-Đà Lạt-Lâm Đồng</t>
        </is>
      </c>
      <c r="H42" s="15" t="n">
        <v>21687000</v>
      </c>
      <c r="I42" s="15" t="inlineStr">
        <is>
          <t>Bưu Cục Cao Bá Quát-Phường 7-Đà Lạt-Lâm Đồng</t>
        </is>
      </c>
      <c r="J42" s="15" t="b">
        <v>0</v>
      </c>
      <c r="K42" s="15" t="inlineStr">
        <is>
          <t>C</t>
        </is>
      </c>
      <c r="L42" s="16" t="n">
        <v>0</v>
      </c>
      <c r="M42" s="15" t="n"/>
      <c r="N42" s="15" t="n"/>
      <c r="O42" s="15" t="inlineStr">
        <is>
          <t>Chưa mở</t>
        </is>
      </c>
      <c r="P42" s="15" t="n"/>
    </row>
    <row r="43" hidden="1" ht="15.75" customHeight="1" s="57">
      <c r="A43" s="7" t="inlineStr">
        <is>
          <t>Lâm Đồng</t>
        </is>
      </c>
      <c r="B43" s="7" t="n">
        <v>1550</v>
      </c>
      <c r="C43" s="7" t="inlineStr">
        <is>
          <t>Thành phố Đà Lạt</t>
        </is>
      </c>
      <c r="D43" s="7" t="n">
        <v>420114</v>
      </c>
      <c r="E43" s="7" t="inlineStr">
        <is>
          <t>Xã Trạm Hành</t>
        </is>
      </c>
      <c r="F43" s="7" t="n">
        <v>22116000</v>
      </c>
      <c r="G43" s="7" t="inlineStr">
        <is>
          <t>Bưu Cục 300 Tự Phước-Đà Lạt-Lâm Đồng</t>
        </is>
      </c>
      <c r="H43" s="15" t="n">
        <v>22116000</v>
      </c>
      <c r="I43" s="15" t="inlineStr">
        <is>
          <t>Bưu Cục 300 Tự Phước-Đà Lạt-Lâm Đồng</t>
        </is>
      </c>
      <c r="J43" s="15" t="b">
        <v>0</v>
      </c>
      <c r="K43" s="15" t="inlineStr">
        <is>
          <t>C</t>
        </is>
      </c>
      <c r="L43" s="16" t="n">
        <v>0</v>
      </c>
      <c r="M43" s="15" t="n"/>
      <c r="N43" s="15" t="n"/>
      <c r="O43" s="15" t="inlineStr">
        <is>
          <t>Chưa mở</t>
        </is>
      </c>
      <c r="P43" s="15" t="n"/>
    </row>
    <row r="44" hidden="1" ht="15.75" customHeight="1" s="57">
      <c r="A44" s="7" t="inlineStr">
        <is>
          <t>Lâm Đồng</t>
        </is>
      </c>
      <c r="B44" s="7" t="n">
        <v>1550</v>
      </c>
      <c r="C44" s="7" t="inlineStr">
        <is>
          <t>Thành phố Đà Lạt</t>
        </is>
      </c>
      <c r="D44" s="7" t="n">
        <v>420115</v>
      </c>
      <c r="E44" s="7" t="inlineStr">
        <is>
          <t>Xã Xuân Thọ</t>
        </is>
      </c>
      <c r="F44" s="7" t="n">
        <v>22116000</v>
      </c>
      <c r="G44" s="7" t="inlineStr">
        <is>
          <t>Bưu Cục 300 Tự Phước-Đà Lạt-Lâm Đồng</t>
        </is>
      </c>
      <c r="H44" s="15" t="n">
        <v>22116000</v>
      </c>
      <c r="I44" s="15" t="inlineStr">
        <is>
          <t>Bưu Cục 300 Tự Phước-Đà Lạt-Lâm Đồng</t>
        </is>
      </c>
      <c r="J44" s="15" t="b">
        <v>0</v>
      </c>
      <c r="K44" s="15" t="inlineStr">
        <is>
          <t>C</t>
        </is>
      </c>
      <c r="L44" s="16" t="n">
        <v>0</v>
      </c>
      <c r="M44" s="15" t="n"/>
      <c r="N44" s="15" t="n"/>
      <c r="O44" s="15" t="inlineStr">
        <is>
          <t>Chưa mở</t>
        </is>
      </c>
      <c r="P44" s="15" t="n"/>
    </row>
    <row r="45" hidden="1" ht="15.75" customHeight="1" s="57">
      <c r="A45" s="7" t="inlineStr">
        <is>
          <t>Lâm Đồng</t>
        </is>
      </c>
      <c r="B45" s="7" t="n">
        <v>1550</v>
      </c>
      <c r="C45" s="7" t="inlineStr">
        <is>
          <t>Thành phố Đà Lạt</t>
        </is>
      </c>
      <c r="D45" s="7" t="n">
        <v>420116</v>
      </c>
      <c r="E45" s="7" t="inlineStr">
        <is>
          <t>Xã Xuân Trường</t>
        </is>
      </c>
      <c r="F45" s="7" t="n">
        <v>22116000</v>
      </c>
      <c r="G45" s="7" t="inlineStr">
        <is>
          <t>Bưu Cục 300 Tự Phước-Đà Lạt-Lâm Đồng</t>
        </is>
      </c>
      <c r="H45" s="15" t="n">
        <v>22116000</v>
      </c>
      <c r="I45" s="15" t="inlineStr">
        <is>
          <t>Bưu Cục 300 Tự Phước-Đà Lạt-Lâm Đồng</t>
        </is>
      </c>
      <c r="J45" s="15" t="b">
        <v>0</v>
      </c>
      <c r="K45" s="15" t="inlineStr">
        <is>
          <t>C</t>
        </is>
      </c>
      <c r="L45" s="16" t="n">
        <v>0</v>
      </c>
      <c r="M45" s="15" t="n"/>
      <c r="N45" s="15" t="n"/>
      <c r="O45" s="15" t="inlineStr">
        <is>
          <t>Chưa mở</t>
        </is>
      </c>
      <c r="P45" s="15" t="n"/>
    </row>
    <row r="46" hidden="1" ht="15.75" customHeight="1" s="57">
      <c r="A46" s="7" t="inlineStr">
        <is>
          <t>Đắk Nông</t>
        </is>
      </c>
      <c r="B46" s="7" t="n">
        <v>1627</v>
      </c>
      <c r="C46" s="7" t="inlineStr">
        <is>
          <t>Thành phố Gia Nghĩa</t>
        </is>
      </c>
      <c r="D46" s="7" t="n">
        <v>630101</v>
      </c>
      <c r="E46" s="7" t="inlineStr">
        <is>
          <t>Phường Nghĩa Đức</t>
        </is>
      </c>
      <c r="F46" s="7" t="n">
        <v>22048000</v>
      </c>
      <c r="G46" s="7" t="inlineStr">
        <is>
          <t>Bưu Cục Hùng Vương-Nghĩa Trung-Gia Nghĩa-Đắk Nông</t>
        </is>
      </c>
      <c r="H46" s="15" t="n">
        <v>22048000</v>
      </c>
      <c r="I46" s="15" t="inlineStr">
        <is>
          <t>Bưu Cục Hùng Vương-Nghĩa Trung-Gia Nghĩa-Đắk Nông</t>
        </is>
      </c>
      <c r="J46" s="15" t="b">
        <v>1</v>
      </c>
      <c r="K46" s="15" t="inlineStr">
        <is>
          <t>A</t>
        </is>
      </c>
      <c r="L46" s="16" t="n">
        <v>1</v>
      </c>
      <c r="M46" s="15" t="n">
        <v>15</v>
      </c>
      <c r="N46" s="15" t="n">
        <v>15</v>
      </c>
      <c r="O46" s="15" t="inlineStr">
        <is>
          <t>Đã mở</t>
        </is>
      </c>
      <c r="P46" s="15" t="n"/>
    </row>
    <row r="47" hidden="1" ht="15.75" customHeight="1" s="57">
      <c r="A47" s="7" t="inlineStr">
        <is>
          <t>Đắk Nông</t>
        </is>
      </c>
      <c r="B47" s="7" t="n">
        <v>1627</v>
      </c>
      <c r="C47" s="7" t="inlineStr">
        <is>
          <t>Thành phố Gia Nghĩa</t>
        </is>
      </c>
      <c r="D47" s="7" t="n">
        <v>630102</v>
      </c>
      <c r="E47" s="7" t="inlineStr">
        <is>
          <t>Phường Nghĩa Phú</t>
        </is>
      </c>
      <c r="F47" s="7" t="n">
        <v>22242000</v>
      </c>
      <c r="G47" s="7" t="inlineStr">
        <is>
          <t>Bưu Cục 53 Tôn Đức Thắng-Nghĩa Thành-Gia Nghĩa-Đắk Nông</t>
        </is>
      </c>
      <c r="H47" s="15" t="n">
        <v>22242000</v>
      </c>
      <c r="I47" s="15" t="inlineStr">
        <is>
          <t>Bưu Cục 53 Tôn Đức Thắng-Nghĩa Thành-Gia Nghĩa-Đắk Nông</t>
        </is>
      </c>
      <c r="J47" s="15" t="b">
        <v>1</v>
      </c>
      <c r="K47" s="15" t="inlineStr">
        <is>
          <t>A</t>
        </is>
      </c>
      <c r="L47" s="16" t="n">
        <v>1</v>
      </c>
      <c r="M47" s="15" t="n">
        <v>15</v>
      </c>
      <c r="N47" s="15" t="n">
        <v>15</v>
      </c>
      <c r="O47" s="15" t="inlineStr">
        <is>
          <t>Đã mở</t>
        </is>
      </c>
      <c r="P47" s="15" t="n"/>
    </row>
    <row r="48" hidden="1" ht="15.75" customHeight="1" s="57">
      <c r="A48" s="7" t="inlineStr">
        <is>
          <t>Đắk Nông</t>
        </is>
      </c>
      <c r="B48" s="7" t="n">
        <v>1627</v>
      </c>
      <c r="C48" s="7" t="inlineStr">
        <is>
          <t>Thành phố Gia Nghĩa</t>
        </is>
      </c>
      <c r="D48" s="7" t="n">
        <v>630103</v>
      </c>
      <c r="E48" s="7" t="inlineStr">
        <is>
          <t>Phường Nghĩa Tân</t>
        </is>
      </c>
      <c r="F48" s="7" t="n">
        <v>22048001</v>
      </c>
      <c r="G48" s="7" t="inlineStr">
        <is>
          <t>Điểm Xử Lý Hàng TDP 8 Quốc Lộ 14-Đông Gia Nghĩa-Lâm Đồng</t>
        </is>
      </c>
      <c r="H48" s="15" t="n">
        <v>22048001</v>
      </c>
      <c r="I48" s="15" t="inlineStr">
        <is>
          <t>Điểm Xử Lý Hàng TDP 8 Quốc Lộ 14-Đông Gia Nghĩa-Lâm Đồng</t>
        </is>
      </c>
      <c r="J48" s="15" t="b">
        <v>1</v>
      </c>
      <c r="K48" s="15" t="inlineStr">
        <is>
          <t>A</t>
        </is>
      </c>
      <c r="L48" s="16" t="n">
        <v>1</v>
      </c>
      <c r="M48" s="15" t="n">
        <v>15</v>
      </c>
      <c r="N48" s="15" t="n">
        <v>15</v>
      </c>
      <c r="O48" s="15" t="inlineStr">
        <is>
          <t>Đã mở</t>
        </is>
      </c>
      <c r="P48" s="15" t="n"/>
    </row>
    <row r="49" hidden="1" ht="15.75" customHeight="1" s="57">
      <c r="A49" s="7" t="inlineStr">
        <is>
          <t>Đắk Nông</t>
        </is>
      </c>
      <c r="B49" s="7" t="n">
        <v>1627</v>
      </c>
      <c r="C49" s="7" t="inlineStr">
        <is>
          <t>Thành phố Gia Nghĩa</t>
        </is>
      </c>
      <c r="D49" s="7" t="n">
        <v>630104</v>
      </c>
      <c r="E49" s="7" t="inlineStr">
        <is>
          <t>Phường Nghĩa Thành</t>
        </is>
      </c>
      <c r="F49" s="7" t="n">
        <v>22242000</v>
      </c>
      <c r="G49" s="7" t="inlineStr">
        <is>
          <t>Bưu Cục 53 Tôn Đức Thắng-Nghĩa Thành-Gia Nghĩa-Đắk Nông</t>
        </is>
      </c>
      <c r="H49" s="15" t="n">
        <v>22242000</v>
      </c>
      <c r="I49" s="15" t="inlineStr">
        <is>
          <t>Bưu Cục 53 Tôn Đức Thắng-Nghĩa Thành-Gia Nghĩa-Đắk Nông</t>
        </is>
      </c>
      <c r="J49" s="15" t="b">
        <v>1</v>
      </c>
      <c r="K49" s="15" t="inlineStr">
        <is>
          <t>A</t>
        </is>
      </c>
      <c r="L49" s="16" t="n">
        <v>1</v>
      </c>
      <c r="M49" s="15" t="n">
        <v>15</v>
      </c>
      <c r="N49" s="15" t="n">
        <v>15</v>
      </c>
      <c r="O49" s="15" t="inlineStr">
        <is>
          <t>Đã mở</t>
        </is>
      </c>
      <c r="P49" s="15" t="n"/>
    </row>
    <row r="50" hidden="1" ht="15.75" customHeight="1" s="57">
      <c r="A50" s="7" t="inlineStr">
        <is>
          <t>Đắk Nông</t>
        </is>
      </c>
      <c r="B50" s="7" t="n">
        <v>1627</v>
      </c>
      <c r="C50" s="7" t="inlineStr">
        <is>
          <t>Thành phố Gia Nghĩa</t>
        </is>
      </c>
      <c r="D50" s="7" t="n">
        <v>630105</v>
      </c>
      <c r="E50" s="7" t="inlineStr">
        <is>
          <t>Phường Nghĩa Trung</t>
        </is>
      </c>
      <c r="F50" s="7" t="n">
        <v>22048000</v>
      </c>
      <c r="G50" s="7" t="inlineStr">
        <is>
          <t>Bưu Cục Hùng Vương-Nghĩa Trung-Gia Nghĩa-Đắk Nông</t>
        </is>
      </c>
      <c r="H50" s="15" t="n">
        <v>22048000</v>
      </c>
      <c r="I50" s="15" t="inlineStr">
        <is>
          <t>Bưu Cục Hùng Vương-Nghĩa Trung-Gia Nghĩa-Đắk Nông</t>
        </is>
      </c>
      <c r="J50" s="15" t="b">
        <v>1</v>
      </c>
      <c r="K50" s="15" t="inlineStr">
        <is>
          <t>A</t>
        </is>
      </c>
      <c r="L50" s="16" t="n">
        <v>1</v>
      </c>
      <c r="M50" s="15" t="n">
        <v>15</v>
      </c>
      <c r="N50" s="15" t="n">
        <v>15</v>
      </c>
      <c r="O50" s="15" t="inlineStr">
        <is>
          <t>Đã mở</t>
        </is>
      </c>
      <c r="P50" s="15" t="n"/>
    </row>
    <row r="51" hidden="1" ht="15.75" customHeight="1" s="57">
      <c r="A51" s="7" t="inlineStr">
        <is>
          <t>Đắk Nông</t>
        </is>
      </c>
      <c r="B51" s="7" t="n">
        <v>1627</v>
      </c>
      <c r="C51" s="7" t="inlineStr">
        <is>
          <t>Thành phố Gia Nghĩa</t>
        </is>
      </c>
      <c r="D51" s="7" t="n">
        <v>630106</v>
      </c>
      <c r="E51" s="7" t="inlineStr">
        <is>
          <t>Xã Đắk Nia</t>
        </is>
      </c>
      <c r="F51" s="7" t="n">
        <v>22048000</v>
      </c>
      <c r="G51" s="7" t="inlineStr">
        <is>
          <t>Bưu Cục Hùng Vương-Nghĩa Trung-Gia Nghĩa-Đắk Nông</t>
        </is>
      </c>
      <c r="H51" s="15" t="n">
        <v>22048000</v>
      </c>
      <c r="I51" s="15" t="inlineStr">
        <is>
          <t>Bưu Cục Hùng Vương-Nghĩa Trung-Gia Nghĩa-Đắk Nông</t>
        </is>
      </c>
      <c r="J51" s="15" t="b">
        <v>0</v>
      </c>
      <c r="K51" s="15" t="inlineStr">
        <is>
          <t>C</t>
        </is>
      </c>
      <c r="L51" s="16" t="n">
        <v>0</v>
      </c>
      <c r="M51" s="15" t="n"/>
      <c r="N51" s="15" t="n"/>
      <c r="O51" s="15" t="inlineStr">
        <is>
          <t>Chưa mở</t>
        </is>
      </c>
      <c r="P51" s="15" t="n"/>
    </row>
    <row r="52" hidden="1" ht="15.75" customHeight="1" s="57">
      <c r="A52" s="7" t="inlineStr">
        <is>
          <t>Đắk Nông</t>
        </is>
      </c>
      <c r="B52" s="7" t="n">
        <v>1627</v>
      </c>
      <c r="C52" s="7" t="inlineStr">
        <is>
          <t>Thành phố Gia Nghĩa</t>
        </is>
      </c>
      <c r="D52" s="7" t="n">
        <v>630107</v>
      </c>
      <c r="E52" s="7" t="inlineStr">
        <is>
          <t>Xã Đăk R'Moan</t>
        </is>
      </c>
      <c r="F52" s="7" t="n">
        <v>22242000</v>
      </c>
      <c r="G52" s="7" t="inlineStr">
        <is>
          <t>Bưu Cục 53 Tôn Đức Thắng-Nghĩa Thành-Gia Nghĩa-Đắk Nông</t>
        </is>
      </c>
      <c r="H52" s="15" t="n">
        <v>22242000</v>
      </c>
      <c r="I52" s="15" t="inlineStr">
        <is>
          <t>Bưu Cục 53 Tôn Đức Thắng-Nghĩa Thành-Gia Nghĩa-Đắk Nông</t>
        </is>
      </c>
      <c r="J52" s="15" t="b">
        <v>0</v>
      </c>
      <c r="K52" s="15" t="inlineStr">
        <is>
          <t>C</t>
        </is>
      </c>
      <c r="L52" s="16" t="n">
        <v>0</v>
      </c>
      <c r="M52" s="15" t="n"/>
      <c r="N52" s="15" t="n"/>
      <c r="O52" s="15" t="inlineStr">
        <is>
          <t>Chưa mở</t>
        </is>
      </c>
      <c r="P52" s="15" t="n"/>
    </row>
    <row r="53" hidden="1" ht="15.75" customHeight="1" s="57">
      <c r="A53" s="7" t="inlineStr">
        <is>
          <t>Đắk Nông</t>
        </is>
      </c>
      <c r="B53" s="7" t="n">
        <v>1627</v>
      </c>
      <c r="C53" s="7" t="inlineStr">
        <is>
          <t>Thành phố Gia Nghĩa</t>
        </is>
      </c>
      <c r="D53" s="7" t="n">
        <v>630108</v>
      </c>
      <c r="E53" s="7" t="inlineStr">
        <is>
          <t>Xã Quảng Thành</t>
        </is>
      </c>
      <c r="F53" s="7" t="n">
        <v>22242000</v>
      </c>
      <c r="G53" s="7" t="inlineStr">
        <is>
          <t>Bưu Cục 53 Tôn Đức Thắng-Nghĩa Thành-Gia Nghĩa-Đắk Nông</t>
        </is>
      </c>
      <c r="H53" s="15" t="n">
        <v>22242000</v>
      </c>
      <c r="I53" s="15" t="inlineStr">
        <is>
          <t>Bưu Cục 53 Tôn Đức Thắng-Nghĩa Thành-Gia Nghĩa-Đắk Nông</t>
        </is>
      </c>
      <c r="J53" s="15" t="b">
        <v>1</v>
      </c>
      <c r="K53" s="15" t="inlineStr">
        <is>
          <t>C</t>
        </is>
      </c>
      <c r="L53" s="16" t="n">
        <v>0</v>
      </c>
      <c r="M53" s="15" t="n"/>
      <c r="N53" s="15" t="n"/>
      <c r="O53" s="15" t="inlineStr">
        <is>
          <t>Đã mở</t>
        </is>
      </c>
      <c r="P53" s="15" t="n"/>
    </row>
    <row r="54" ht="15.75" customHeight="1" s="57">
      <c r="A54" s="7" t="inlineStr">
        <is>
          <t>Khánh Hòa</t>
        </is>
      </c>
      <c r="B54" s="7" t="n">
        <v>1664</v>
      </c>
      <c r="C54" s="7" t="inlineStr">
        <is>
          <t>Thành phố Cam Ranh</t>
        </is>
      </c>
      <c r="D54" s="7" t="n">
        <v>410601</v>
      </c>
      <c r="E54" s="7" t="inlineStr">
        <is>
          <t>Phường Ba Ngòi</t>
        </is>
      </c>
      <c r="F54" s="7" t="n">
        <v>22830000</v>
      </c>
      <c r="G54" s="7" t="inlineStr">
        <is>
          <t>Bưu Cục 56 Phan Đình Phùng-Cam Linh-Khánh Hòa</t>
        </is>
      </c>
      <c r="H54" s="15" t="n">
        <v>22830000</v>
      </c>
      <c r="I54" s="15" t="inlineStr">
        <is>
          <t>Bưu Cục 56 Phan Đình Phùng-Cam Linh-Khánh Hòa</t>
        </is>
      </c>
      <c r="J54" s="15" t="b">
        <v>1</v>
      </c>
      <c r="K54" s="15" t="inlineStr">
        <is>
          <t>A</t>
        </is>
      </c>
      <c r="L54" s="16" t="n">
        <v>1</v>
      </c>
      <c r="M54" s="15" t="n">
        <v>15</v>
      </c>
      <c r="N54" s="15" t="n">
        <v>15</v>
      </c>
      <c r="O54" s="15" t="inlineStr">
        <is>
          <t>Đã mở</t>
        </is>
      </c>
      <c r="P54" s="15" t="n"/>
    </row>
    <row r="55" ht="15.75" customHeight="1" s="57">
      <c r="A55" s="7" t="inlineStr">
        <is>
          <t>Khánh Hòa</t>
        </is>
      </c>
      <c r="B55" s="7" t="n">
        <v>1664</v>
      </c>
      <c r="C55" s="7" t="inlineStr">
        <is>
          <t>Thành phố Cam Ranh</t>
        </is>
      </c>
      <c r="D55" s="7" t="n">
        <v>410602</v>
      </c>
      <c r="E55" s="7" t="inlineStr">
        <is>
          <t>Phường Cam Linh</t>
        </is>
      </c>
      <c r="F55" s="7" t="n">
        <v>22830000</v>
      </c>
      <c r="G55" s="7" t="inlineStr">
        <is>
          <t>Bưu Cục 56 Phan Đình Phùng-Cam Linh-Khánh Hòa</t>
        </is>
      </c>
      <c r="H55" s="15" t="n">
        <v>22830000</v>
      </c>
      <c r="I55" s="15" t="inlineStr">
        <is>
          <t>Bưu Cục 56 Phan Đình Phùng-Cam Linh-Khánh Hòa</t>
        </is>
      </c>
      <c r="J55" s="15" t="b">
        <v>1</v>
      </c>
      <c r="K55" s="15" t="inlineStr">
        <is>
          <t>A</t>
        </is>
      </c>
      <c r="L55" s="16" t="n">
        <v>1</v>
      </c>
      <c r="M55" s="15" t="n">
        <v>15</v>
      </c>
      <c r="N55" s="15" t="n">
        <v>15</v>
      </c>
      <c r="O55" s="15" t="inlineStr">
        <is>
          <t>Đã mở</t>
        </is>
      </c>
      <c r="P55" s="15" t="n"/>
    </row>
    <row r="56" ht="15.75" customHeight="1" s="57">
      <c r="A56" s="7" t="inlineStr">
        <is>
          <t>Khánh Hòa</t>
        </is>
      </c>
      <c r="B56" s="7" t="n">
        <v>1664</v>
      </c>
      <c r="C56" s="7" t="inlineStr">
        <is>
          <t>Thành phố Cam Ranh</t>
        </is>
      </c>
      <c r="D56" s="7" t="n">
        <v>410603</v>
      </c>
      <c r="E56" s="7" t="inlineStr">
        <is>
          <t>Phường Cam Lộc</t>
        </is>
      </c>
      <c r="F56" s="7" t="n">
        <v>22830000</v>
      </c>
      <c r="G56" s="7" t="inlineStr">
        <is>
          <t>Bưu Cục 56 Phan Đình Phùng-Cam Linh-Khánh Hòa</t>
        </is>
      </c>
      <c r="H56" s="15" t="n">
        <v>21498000</v>
      </c>
      <c r="I56" s="15" t="inlineStr">
        <is>
          <t>Kho Giao Hàng Nặng - Cam Ranh - Khánh Hoà</t>
        </is>
      </c>
      <c r="J56" s="15" t="b">
        <v>1</v>
      </c>
      <c r="K56" s="15" t="inlineStr">
        <is>
          <t>A</t>
        </is>
      </c>
      <c r="L56" s="16" t="n">
        <v>1</v>
      </c>
      <c r="M56" s="15" t="n">
        <v>15</v>
      </c>
      <c r="N56" s="15" t="n">
        <v>15</v>
      </c>
      <c r="O56" s="15" t="inlineStr">
        <is>
          <t>Đã mở</t>
        </is>
      </c>
      <c r="P56" s="15" t="n"/>
    </row>
    <row r="57" ht="15.75" customHeight="1" s="57">
      <c r="A57" s="7" t="inlineStr">
        <is>
          <t>Khánh Hòa</t>
        </is>
      </c>
      <c r="B57" s="7" t="n">
        <v>1664</v>
      </c>
      <c r="C57" s="7" t="inlineStr">
        <is>
          <t>Thành phố Cam Ranh</t>
        </is>
      </c>
      <c r="D57" s="7" t="n">
        <v>410604</v>
      </c>
      <c r="E57" s="7" t="inlineStr">
        <is>
          <t>Phường Cam Lợi</t>
        </is>
      </c>
      <c r="F57" s="7" t="n">
        <v>22830000</v>
      </c>
      <c r="G57" s="7" t="inlineStr">
        <is>
          <t>Bưu Cục 56 Phan Đình Phùng-Cam Linh-Khánh Hòa</t>
        </is>
      </c>
      <c r="H57" s="15" t="n">
        <v>22830000</v>
      </c>
      <c r="I57" s="15" t="inlineStr">
        <is>
          <t>Bưu Cục 56 Phan Đình Phùng-Cam Linh-Khánh Hòa</t>
        </is>
      </c>
      <c r="J57" s="15" t="b">
        <v>1</v>
      </c>
      <c r="K57" s="15" t="inlineStr">
        <is>
          <t>A</t>
        </is>
      </c>
      <c r="L57" s="16" t="n">
        <v>1</v>
      </c>
      <c r="M57" s="15" t="n">
        <v>15</v>
      </c>
      <c r="N57" s="15" t="n">
        <v>15</v>
      </c>
      <c r="O57" s="15" t="inlineStr">
        <is>
          <t>Đã mở</t>
        </is>
      </c>
      <c r="P57" s="15" t="n"/>
    </row>
    <row r="58" ht="15.75" customHeight="1" s="57">
      <c r="A58" s="7" t="inlineStr">
        <is>
          <t>Khánh Hòa</t>
        </is>
      </c>
      <c r="B58" s="7" t="n">
        <v>1664</v>
      </c>
      <c r="C58" s="7" t="inlineStr">
        <is>
          <t>Thành phố Cam Ranh</t>
        </is>
      </c>
      <c r="D58" s="7" t="n">
        <v>410605</v>
      </c>
      <c r="E58" s="7" t="inlineStr">
        <is>
          <t>Phường Cam Nghĩa</t>
        </is>
      </c>
      <c r="F58" s="7" t="n">
        <v>21479000</v>
      </c>
      <c r="G58" s="7" t="inlineStr">
        <is>
          <t>Bưu Cục 571 Hùng Vương-Cam Nghĩa-TP.Cam Ranh-Khánh Hoà</t>
        </is>
      </c>
      <c r="H58" s="15" t="n">
        <v>21479000</v>
      </c>
      <c r="I58" s="15" t="inlineStr">
        <is>
          <t>Bưu Cục 571 Hùng Vương-Cam Nghĩa-TP.Cam Ranh-Khánh Hoà</t>
        </is>
      </c>
      <c r="J58" s="15" t="b">
        <v>1</v>
      </c>
      <c r="K58" s="15" t="inlineStr">
        <is>
          <t>A</t>
        </is>
      </c>
      <c r="L58" s="16" t="n">
        <v>1</v>
      </c>
      <c r="M58" s="15" t="n">
        <v>15</v>
      </c>
      <c r="N58" s="15" t="n">
        <v>15</v>
      </c>
      <c r="O58" s="15" t="inlineStr">
        <is>
          <t>Đã mở</t>
        </is>
      </c>
      <c r="P58" s="15" t="n"/>
    </row>
    <row r="59" ht="15.75" customHeight="1" s="57">
      <c r="A59" s="7" t="inlineStr">
        <is>
          <t>Khánh Hòa</t>
        </is>
      </c>
      <c r="B59" s="7" t="n">
        <v>1664</v>
      </c>
      <c r="C59" s="7" t="inlineStr">
        <is>
          <t>Thành phố Cam Ranh</t>
        </is>
      </c>
      <c r="D59" s="7" t="n">
        <v>410606</v>
      </c>
      <c r="E59" s="7" t="inlineStr">
        <is>
          <t>Phường Cam Phú</t>
        </is>
      </c>
      <c r="F59" s="7" t="n">
        <v>22830000</v>
      </c>
      <c r="G59" s="7" t="inlineStr">
        <is>
          <t>Bưu Cục 56 Phan Đình Phùng-Cam Linh-Khánh Hòa</t>
        </is>
      </c>
      <c r="H59" s="15" t="n">
        <v>22830000</v>
      </c>
      <c r="I59" s="15" t="inlineStr">
        <is>
          <t>Bưu Cục 56 Phan Đình Phùng-Cam Linh-Khánh Hòa</t>
        </is>
      </c>
      <c r="J59" s="15" t="b">
        <v>1</v>
      </c>
      <c r="K59" s="15" t="inlineStr">
        <is>
          <t>A</t>
        </is>
      </c>
      <c r="L59" s="16" t="n">
        <v>1</v>
      </c>
      <c r="M59" s="15" t="n">
        <v>15</v>
      </c>
      <c r="N59" s="15" t="n">
        <v>15</v>
      </c>
      <c r="O59" s="15" t="inlineStr">
        <is>
          <t>Đã mở</t>
        </is>
      </c>
      <c r="P59" s="15" t="n"/>
    </row>
    <row r="60" ht="15.75" customHeight="1" s="57">
      <c r="A60" s="7" t="inlineStr">
        <is>
          <t>Khánh Hòa</t>
        </is>
      </c>
      <c r="B60" s="7" t="n">
        <v>1664</v>
      </c>
      <c r="C60" s="7" t="inlineStr">
        <is>
          <t>Thành phố Cam Ranh</t>
        </is>
      </c>
      <c r="D60" s="7" t="n">
        <v>410607</v>
      </c>
      <c r="E60" s="7" t="inlineStr">
        <is>
          <t>Phường Cam Phúc Bắc</t>
        </is>
      </c>
      <c r="F60" s="7" t="n">
        <v>21479000</v>
      </c>
      <c r="G60" s="7" t="inlineStr">
        <is>
          <t>Bưu Cục 571 Hùng Vương-Cam Nghĩa-TP.Cam Ranh-Khánh Hoà</t>
        </is>
      </c>
      <c r="H60" s="15" t="n">
        <v>21479000</v>
      </c>
      <c r="I60" s="15" t="inlineStr">
        <is>
          <t>Bưu Cục 571 Hùng Vương-Cam Nghĩa-TP.Cam Ranh-Khánh Hoà</t>
        </is>
      </c>
      <c r="J60" s="15" t="b">
        <v>1</v>
      </c>
      <c r="K60" s="15" t="inlineStr">
        <is>
          <t>A</t>
        </is>
      </c>
      <c r="L60" s="16" t="n">
        <v>1</v>
      </c>
      <c r="M60" s="15" t="n">
        <v>15</v>
      </c>
      <c r="N60" s="15" t="n">
        <v>15</v>
      </c>
      <c r="O60" s="15" t="inlineStr">
        <is>
          <t>Đã mở</t>
        </is>
      </c>
      <c r="P60" s="15" t="n"/>
    </row>
    <row r="61" ht="15.75" customHeight="1" s="57">
      <c r="A61" s="7" t="inlineStr">
        <is>
          <t>Khánh Hòa</t>
        </is>
      </c>
      <c r="B61" s="7" t="n">
        <v>1664</v>
      </c>
      <c r="C61" s="7" t="inlineStr">
        <is>
          <t>Thành phố Cam Ranh</t>
        </is>
      </c>
      <c r="D61" s="7" t="n">
        <v>410608</v>
      </c>
      <c r="E61" s="7" t="inlineStr">
        <is>
          <t>Phường Cam Phúc Nam</t>
        </is>
      </c>
      <c r="F61" s="7" t="n">
        <v>22830000</v>
      </c>
      <c r="G61" s="7" t="inlineStr">
        <is>
          <t>Bưu Cục 56 Phan Đình Phùng-Cam Linh-Khánh Hòa</t>
        </is>
      </c>
      <c r="H61" s="15" t="n">
        <v>22830000</v>
      </c>
      <c r="I61" s="15" t="inlineStr">
        <is>
          <t>Bưu Cục 56 Phan Đình Phùng-Cam Linh-Khánh Hòa</t>
        </is>
      </c>
      <c r="J61" s="15" t="b">
        <v>1</v>
      </c>
      <c r="K61" s="15" t="inlineStr">
        <is>
          <t>A</t>
        </is>
      </c>
      <c r="L61" s="16" t="n">
        <v>1</v>
      </c>
      <c r="M61" s="15" t="n">
        <v>15</v>
      </c>
      <c r="N61" s="15" t="n">
        <v>15</v>
      </c>
      <c r="O61" s="15" t="inlineStr">
        <is>
          <t>Đã mở</t>
        </is>
      </c>
      <c r="P61" s="15" t="n"/>
    </row>
    <row r="62" ht="15.75" customHeight="1" s="57">
      <c r="A62" s="7" t="inlineStr">
        <is>
          <t>Khánh Hòa</t>
        </is>
      </c>
      <c r="B62" s="7" t="n">
        <v>1664</v>
      </c>
      <c r="C62" s="7" t="inlineStr">
        <is>
          <t>Thành phố Cam Ranh</t>
        </is>
      </c>
      <c r="D62" s="7" t="n">
        <v>410609</v>
      </c>
      <c r="E62" s="7" t="inlineStr">
        <is>
          <t>Phường Cam Thuận</t>
        </is>
      </c>
      <c r="F62" s="7" t="n">
        <v>22830000</v>
      </c>
      <c r="G62" s="7" t="inlineStr">
        <is>
          <t>Bưu Cục 56 Phan Đình Phùng-Cam Linh-Khánh Hòa</t>
        </is>
      </c>
      <c r="H62" s="15" t="n">
        <v>22830000</v>
      </c>
      <c r="I62" s="15" t="inlineStr">
        <is>
          <t>Bưu Cục 56 Phan Đình Phùng-Cam Linh-Khánh Hòa</t>
        </is>
      </c>
      <c r="J62" s="15" t="b">
        <v>1</v>
      </c>
      <c r="K62" s="15" t="inlineStr">
        <is>
          <t>A</t>
        </is>
      </c>
      <c r="L62" s="16" t="n">
        <v>1</v>
      </c>
      <c r="M62" s="15" t="n">
        <v>15</v>
      </c>
      <c r="N62" s="15" t="n">
        <v>15</v>
      </c>
      <c r="O62" s="15" t="inlineStr">
        <is>
          <t>Đã mở</t>
        </is>
      </c>
      <c r="P62" s="15" t="n"/>
    </row>
    <row r="63" ht="15.75" customHeight="1" s="57">
      <c r="A63" s="7" t="inlineStr">
        <is>
          <t>Khánh Hòa</t>
        </is>
      </c>
      <c r="B63" s="7" t="n">
        <v>1664</v>
      </c>
      <c r="C63" s="7" t="inlineStr">
        <is>
          <t>Thành phố Cam Ranh</t>
        </is>
      </c>
      <c r="D63" s="7" t="n">
        <v>410610</v>
      </c>
      <c r="E63" s="7" t="inlineStr">
        <is>
          <t>Xã Cam Bình</t>
        </is>
      </c>
      <c r="F63" s="7" t="n">
        <v>22830000</v>
      </c>
      <c r="G63" s="7" t="inlineStr">
        <is>
          <t>Bưu Cục 56 Phan Đình Phùng-Cam Linh-Khánh Hòa</t>
        </is>
      </c>
      <c r="H63" s="15" t="n">
        <v>22830000</v>
      </c>
      <c r="I63" s="15" t="inlineStr">
        <is>
          <t>Bưu Cục 56 Phan Đình Phùng-Cam Linh-Khánh Hòa</t>
        </is>
      </c>
      <c r="J63" s="15" t="b">
        <v>0</v>
      </c>
      <c r="K63" s="15" t="inlineStr">
        <is>
          <t>C</t>
        </is>
      </c>
      <c r="L63" s="16" t="n">
        <v>0</v>
      </c>
      <c r="M63" s="15" t="n"/>
      <c r="N63" s="15" t="n"/>
      <c r="O63" s="15" t="inlineStr">
        <is>
          <t>Chưa mở</t>
        </is>
      </c>
      <c r="P63" s="15" t="n"/>
    </row>
    <row r="64" ht="15.75" customHeight="1" s="57">
      <c r="A64" s="7" t="inlineStr">
        <is>
          <t>Khánh Hòa</t>
        </is>
      </c>
      <c r="B64" s="7" t="n">
        <v>1664</v>
      </c>
      <c r="C64" s="7" t="inlineStr">
        <is>
          <t>Thành phố Cam Ranh</t>
        </is>
      </c>
      <c r="D64" s="7" t="n">
        <v>410611</v>
      </c>
      <c r="E64" s="7" t="inlineStr">
        <is>
          <t>Xã Cam Lập</t>
        </is>
      </c>
      <c r="F64" s="7" t="n">
        <v>22830000</v>
      </c>
      <c r="G64" s="7" t="inlineStr">
        <is>
          <t>Bưu Cục 56 Phan Đình Phùng-Cam Linh-Khánh Hòa</t>
        </is>
      </c>
      <c r="H64" s="15" t="n">
        <v>22830000</v>
      </c>
      <c r="I64" s="15" t="inlineStr">
        <is>
          <t>Bưu Cục 56 Phan Đình Phùng-Cam Linh-Khánh Hòa</t>
        </is>
      </c>
      <c r="J64" s="15" t="b">
        <v>0</v>
      </c>
      <c r="K64" s="15" t="inlineStr">
        <is>
          <t>C</t>
        </is>
      </c>
      <c r="L64" s="16" t="n">
        <v>0</v>
      </c>
      <c r="M64" s="15" t="n"/>
      <c r="N64" s="15" t="n"/>
      <c r="O64" s="15" t="inlineStr">
        <is>
          <t>Chưa mở</t>
        </is>
      </c>
      <c r="P64" s="15" t="n"/>
    </row>
    <row r="65" ht="15.75" customHeight="1" s="57">
      <c r="A65" s="7" t="inlineStr">
        <is>
          <t>Khánh Hòa</t>
        </is>
      </c>
      <c r="B65" s="7" t="n">
        <v>1664</v>
      </c>
      <c r="C65" s="7" t="inlineStr">
        <is>
          <t>Thành phố Cam Ranh</t>
        </is>
      </c>
      <c r="D65" s="7" t="n">
        <v>410612</v>
      </c>
      <c r="E65" s="7" t="inlineStr">
        <is>
          <t>Xã Cam Phước Đông</t>
        </is>
      </c>
      <c r="F65" s="7" t="n">
        <v>22830000</v>
      </c>
      <c r="G65" s="7" t="inlineStr">
        <is>
          <t>Bưu Cục 56 Phan Đình Phùng-Cam Linh-Khánh Hòa</t>
        </is>
      </c>
      <c r="H65" s="15" t="n">
        <v>22830000</v>
      </c>
      <c r="I65" s="15" t="inlineStr">
        <is>
          <t>Bưu Cục 56 Phan Đình Phùng-Cam Linh-Khánh Hòa</t>
        </is>
      </c>
      <c r="J65" s="15" t="b">
        <v>1</v>
      </c>
      <c r="K65" s="15" t="inlineStr">
        <is>
          <t>A</t>
        </is>
      </c>
      <c r="L65" s="16" t="n">
        <v>1</v>
      </c>
      <c r="M65" s="15" t="n">
        <v>15</v>
      </c>
      <c r="N65" s="15" t="n">
        <v>15</v>
      </c>
      <c r="O65" s="15" t="inlineStr">
        <is>
          <t>Đã mở</t>
        </is>
      </c>
      <c r="P65" s="15" t="n"/>
    </row>
    <row r="66" ht="15.75" customHeight="1" s="57">
      <c r="A66" s="7" t="inlineStr">
        <is>
          <t>Khánh Hòa</t>
        </is>
      </c>
      <c r="B66" s="7" t="n">
        <v>1664</v>
      </c>
      <c r="C66" s="7" t="inlineStr">
        <is>
          <t>Thành phố Cam Ranh</t>
        </is>
      </c>
      <c r="D66" s="7" t="n">
        <v>410613</v>
      </c>
      <c r="E66" s="7" t="inlineStr">
        <is>
          <t>Xã Cam Thành Nam</t>
        </is>
      </c>
      <c r="F66" s="7" t="n">
        <v>21479000</v>
      </c>
      <c r="G66" s="7" t="inlineStr">
        <is>
          <t>Bưu Cục 571 Hùng Vương-Cam Nghĩa-TP.Cam Ranh-Khánh Hoà</t>
        </is>
      </c>
      <c r="H66" s="15" t="n">
        <v>21479000</v>
      </c>
      <c r="I66" s="15" t="inlineStr">
        <is>
          <t>Bưu Cục 571 Hùng Vương-Cam Nghĩa-TP.Cam Ranh-Khánh Hoà</t>
        </is>
      </c>
      <c r="J66" s="15" t="b">
        <v>1</v>
      </c>
      <c r="K66" s="15" t="inlineStr">
        <is>
          <t>A</t>
        </is>
      </c>
      <c r="L66" s="16" t="n">
        <v>1</v>
      </c>
      <c r="M66" s="15" t="n">
        <v>15</v>
      </c>
      <c r="N66" s="15" t="n">
        <v>15</v>
      </c>
      <c r="O66" s="15" t="inlineStr">
        <is>
          <t>Đã mở</t>
        </is>
      </c>
      <c r="P66" s="15" t="n"/>
    </row>
    <row r="67" ht="15.75" customHeight="1" s="57">
      <c r="A67" s="7" t="inlineStr">
        <is>
          <t>Khánh Hòa</t>
        </is>
      </c>
      <c r="B67" s="7" t="n">
        <v>1664</v>
      </c>
      <c r="C67" s="7" t="inlineStr">
        <is>
          <t>Thành phố Cam Ranh</t>
        </is>
      </c>
      <c r="D67" s="7" t="n">
        <v>410614</v>
      </c>
      <c r="E67" s="7" t="inlineStr">
        <is>
          <t>Xã Cam Thịnh Đông</t>
        </is>
      </c>
      <c r="F67" s="7" t="n">
        <v>22830000</v>
      </c>
      <c r="G67" s="7" t="inlineStr">
        <is>
          <t>Bưu Cục 56 Phan Đình Phùng-Cam Linh-Khánh Hòa</t>
        </is>
      </c>
      <c r="H67" s="15" t="n">
        <v>22830000</v>
      </c>
      <c r="I67" s="15" t="inlineStr">
        <is>
          <t>Bưu Cục 56 Phan Đình Phùng-Cam Linh-Khánh Hòa</t>
        </is>
      </c>
      <c r="J67" s="15" t="b">
        <v>0</v>
      </c>
      <c r="K67" s="15" t="inlineStr">
        <is>
          <t>C</t>
        </is>
      </c>
      <c r="L67" s="16" t="n">
        <v>0</v>
      </c>
      <c r="M67" s="15" t="n"/>
      <c r="N67" s="15" t="n"/>
      <c r="O67" s="15" t="inlineStr">
        <is>
          <t>Chưa mở</t>
        </is>
      </c>
      <c r="P67" s="15" t="n"/>
    </row>
    <row r="68" ht="15.75" customHeight="1" s="57">
      <c r="A68" s="7" t="inlineStr">
        <is>
          <t>Khánh Hòa</t>
        </is>
      </c>
      <c r="B68" s="7" t="n">
        <v>1664</v>
      </c>
      <c r="C68" s="7" t="inlineStr">
        <is>
          <t>Thành phố Cam Ranh</t>
        </is>
      </c>
      <c r="D68" s="7" t="n">
        <v>410615</v>
      </c>
      <c r="E68" s="7" t="inlineStr">
        <is>
          <t>Xã Cam Thịnh Tây</t>
        </is>
      </c>
      <c r="F68" s="7" t="n">
        <v>22830000</v>
      </c>
      <c r="G68" s="7" t="inlineStr">
        <is>
          <t>Bưu Cục 56 Phan Đình Phùng-Cam Linh-Khánh Hòa</t>
        </is>
      </c>
      <c r="H68" s="15" t="n">
        <v>22830000</v>
      </c>
      <c r="I68" s="15" t="inlineStr">
        <is>
          <t>Bưu Cục 56 Phan Đình Phùng-Cam Linh-Khánh Hòa</t>
        </is>
      </c>
      <c r="J68" s="15" t="b">
        <v>0</v>
      </c>
      <c r="K68" s="15" t="inlineStr">
        <is>
          <t>C</t>
        </is>
      </c>
      <c r="L68" s="16" t="n">
        <v>0</v>
      </c>
      <c r="M68" s="15" t="n"/>
      <c r="N68" s="15" t="n"/>
      <c r="O68" s="15" t="inlineStr">
        <is>
          <t>Chưa mở</t>
        </is>
      </c>
      <c r="P68" s="15" t="n"/>
    </row>
    <row r="69" hidden="1" ht="15.75" customHeight="1" s="57">
      <c r="A69" s="7" t="inlineStr">
        <is>
          <t>Ninh Thuận</t>
        </is>
      </c>
      <c r="B69" s="7" t="n">
        <v>1665</v>
      </c>
      <c r="C69" s="7" t="inlineStr">
        <is>
          <t>Thành phố Phan Rang – Tháp Chàm</t>
        </is>
      </c>
      <c r="D69" s="7" t="n">
        <v>450101</v>
      </c>
      <c r="E69" s="7" t="inlineStr">
        <is>
          <t>Phường Bảo An</t>
        </is>
      </c>
      <c r="F69" s="7" t="n">
        <v>20150000</v>
      </c>
      <c r="G69" s="7" t="inlineStr">
        <is>
          <t>Bưu Cục 254A Đường 21 tháng 8-Phan Rang-Tháp Chàm-Ninh Thuận</t>
        </is>
      </c>
      <c r="H69" s="15" t="n">
        <v>20150000</v>
      </c>
      <c r="I69" s="15" t="inlineStr">
        <is>
          <t>Bưu Cục 254A Đường 21 tháng 8-Phan Rang-Tháp Chàm-Ninh Thuận</t>
        </is>
      </c>
      <c r="J69" s="15" t="b">
        <v>1</v>
      </c>
      <c r="K69" s="15" t="inlineStr">
        <is>
          <t>A</t>
        </is>
      </c>
      <c r="L69" s="16" t="n">
        <v>1</v>
      </c>
      <c r="M69" s="15" t="n">
        <v>15</v>
      </c>
      <c r="N69" s="15" t="n">
        <v>15</v>
      </c>
      <c r="O69" s="15" t="inlineStr">
        <is>
          <t>Đã mở</t>
        </is>
      </c>
      <c r="P69" s="15" t="n"/>
    </row>
    <row r="70" hidden="1" ht="15.75" customHeight="1" s="57">
      <c r="A70" s="7" t="inlineStr">
        <is>
          <t>Ninh Thuận</t>
        </is>
      </c>
      <c r="B70" s="7" t="n">
        <v>1665</v>
      </c>
      <c r="C70" s="7" t="inlineStr">
        <is>
          <t>Thành phố Phan Rang – Tháp Chàm</t>
        </is>
      </c>
      <c r="D70" s="7" t="n">
        <v>450102</v>
      </c>
      <c r="E70" s="7" t="inlineStr">
        <is>
          <t>Phường Đài Sơn</t>
        </is>
      </c>
      <c r="F70" s="7" t="n">
        <v>22861000</v>
      </c>
      <c r="G70" s="7" t="inlineStr">
        <is>
          <t>Bưu Cục 95 Thống Nhất-Phan Rang-Ninh Thuận</t>
        </is>
      </c>
      <c r="H70" s="15" t="n">
        <v>22861000</v>
      </c>
      <c r="I70" s="15" t="inlineStr">
        <is>
          <t>Bưu Cục 95 Thống Nhất-Phan Rang-Ninh Thuận</t>
        </is>
      </c>
      <c r="J70" s="15" t="b">
        <v>1</v>
      </c>
      <c r="K70" s="15" t="inlineStr">
        <is>
          <t>A</t>
        </is>
      </c>
      <c r="L70" s="16" t="n">
        <v>1</v>
      </c>
      <c r="M70" s="15" t="n">
        <v>15</v>
      </c>
      <c r="N70" s="15" t="n">
        <v>15</v>
      </c>
      <c r="O70" s="15" t="inlineStr">
        <is>
          <t>Đã mở</t>
        </is>
      </c>
      <c r="P70" s="15" t="n"/>
    </row>
    <row r="71" hidden="1" ht="15.75" customHeight="1" s="57">
      <c r="A71" s="7" t="inlineStr">
        <is>
          <t>Ninh Thuận</t>
        </is>
      </c>
      <c r="B71" s="7" t="n">
        <v>1665</v>
      </c>
      <c r="C71" s="7" t="inlineStr">
        <is>
          <t>Thành phố Phan Rang – Tháp Chàm</t>
        </is>
      </c>
      <c r="D71" s="7" t="n">
        <v>450103</v>
      </c>
      <c r="E71" s="7" t="inlineStr">
        <is>
          <t>Phường Đạo Long</t>
        </is>
      </c>
      <c r="F71" s="7" t="n">
        <v>20150000</v>
      </c>
      <c r="G71" s="7" t="inlineStr">
        <is>
          <t>Bưu Cục 254A Đường 21 tháng 8-Phan Rang-Tháp Chàm-Ninh Thuận</t>
        </is>
      </c>
      <c r="H71" s="15" t="n">
        <v>21163000</v>
      </c>
      <c r="I71" s="15" t="inlineStr">
        <is>
          <t>Kho Giao Hàng Nặng - Phan Rang - Ninh Thuận</t>
        </is>
      </c>
      <c r="J71" s="15" t="b">
        <v>1</v>
      </c>
      <c r="K71" s="15" t="inlineStr">
        <is>
          <t>A</t>
        </is>
      </c>
      <c r="L71" s="16" t="n">
        <v>1</v>
      </c>
      <c r="M71" s="15" t="n">
        <v>15</v>
      </c>
      <c r="N71" s="15" t="n">
        <v>15</v>
      </c>
      <c r="O71" s="15" t="inlineStr">
        <is>
          <t>Đã mở</t>
        </is>
      </c>
      <c r="P71" s="15" t="n"/>
    </row>
    <row r="72" hidden="1" ht="15.75" customHeight="1" s="57">
      <c r="A72" s="7" t="inlineStr">
        <is>
          <t>Ninh Thuận</t>
        </is>
      </c>
      <c r="B72" s="7" t="n">
        <v>1665</v>
      </c>
      <c r="C72" s="7" t="inlineStr">
        <is>
          <t>Thành phố Phan Rang – Tháp Chàm</t>
        </is>
      </c>
      <c r="D72" s="7" t="n">
        <v>450104</v>
      </c>
      <c r="E72" s="7" t="inlineStr">
        <is>
          <t>Phường Đô Vinh</t>
        </is>
      </c>
      <c r="F72" s="7" t="n">
        <v>20150000</v>
      </c>
      <c r="G72" s="7" t="inlineStr">
        <is>
          <t>Bưu Cục 254A Đường 21 tháng 8-Phan Rang-Tháp Chàm-Ninh Thuận</t>
        </is>
      </c>
      <c r="H72" s="15" t="n">
        <v>20150000</v>
      </c>
      <c r="I72" s="15" t="inlineStr">
        <is>
          <t>Bưu Cục 254A Đường 21 tháng 8-Phan Rang-Tháp Chàm-Ninh Thuận</t>
        </is>
      </c>
      <c r="J72" s="15" t="b">
        <v>1</v>
      </c>
      <c r="K72" s="15" t="inlineStr">
        <is>
          <t>A</t>
        </is>
      </c>
      <c r="L72" s="16" t="n">
        <v>1</v>
      </c>
      <c r="M72" s="15" t="n">
        <v>15</v>
      </c>
      <c r="N72" s="15" t="n">
        <v>15</v>
      </c>
      <c r="O72" s="15" t="inlineStr">
        <is>
          <t>Đã mở</t>
        </is>
      </c>
      <c r="P72" s="15" t="n"/>
    </row>
    <row r="73" hidden="1" ht="15.75" customHeight="1" s="57">
      <c r="A73" s="7" t="inlineStr">
        <is>
          <t>Ninh Thuận</t>
        </is>
      </c>
      <c r="B73" s="7" t="n">
        <v>1665</v>
      </c>
      <c r="C73" s="7" t="inlineStr">
        <is>
          <t>Thành phố Phan Rang – Tháp Chàm</t>
        </is>
      </c>
      <c r="D73" s="7" t="n">
        <v>450105</v>
      </c>
      <c r="E73" s="7" t="inlineStr">
        <is>
          <t>Phường Đông Hải</t>
        </is>
      </c>
      <c r="F73" s="7" t="n">
        <v>22861000</v>
      </c>
      <c r="G73" s="7" t="inlineStr">
        <is>
          <t>Bưu Cục 95 Thống Nhất-Phan Rang-Ninh Thuận</t>
        </is>
      </c>
      <c r="H73" s="15" t="n">
        <v>22861000</v>
      </c>
      <c r="I73" s="15" t="inlineStr">
        <is>
          <t>Bưu Cục 95 Thống Nhất-Phan Rang-Ninh Thuận</t>
        </is>
      </c>
      <c r="J73" s="15" t="b">
        <v>1</v>
      </c>
      <c r="K73" s="15" t="inlineStr">
        <is>
          <t>A</t>
        </is>
      </c>
      <c r="L73" s="16" t="n">
        <v>1</v>
      </c>
      <c r="M73" s="15" t="n">
        <v>15</v>
      </c>
      <c r="N73" s="15" t="n">
        <v>15</v>
      </c>
      <c r="O73" s="15" t="inlineStr">
        <is>
          <t>Đã mở</t>
        </is>
      </c>
      <c r="P73" s="15" t="n"/>
    </row>
    <row r="74" hidden="1" ht="15.75" customHeight="1" s="57">
      <c r="A74" s="7" t="inlineStr">
        <is>
          <t>Ninh Thuận</t>
        </is>
      </c>
      <c r="B74" s="7" t="n">
        <v>1665</v>
      </c>
      <c r="C74" s="7" t="inlineStr">
        <is>
          <t>Thành phố Phan Rang – Tháp Chàm</t>
        </is>
      </c>
      <c r="D74" s="7" t="n">
        <v>450106</v>
      </c>
      <c r="E74" s="7" t="inlineStr">
        <is>
          <t>Phường Kinh Dinh</t>
        </is>
      </c>
      <c r="F74" s="7" t="n">
        <v>20150000</v>
      </c>
      <c r="G74" s="7" t="inlineStr">
        <is>
          <t>Bưu Cục 254A Đường 21 tháng 8-Phan Rang-Tháp Chàm-Ninh Thuận</t>
        </is>
      </c>
      <c r="H74" s="15" t="n">
        <v>20150000</v>
      </c>
      <c r="I74" s="15" t="inlineStr">
        <is>
          <t>Bưu Cục 254A Đường 21 tháng 8-Phan Rang-Tháp Chàm-Ninh Thuận</t>
        </is>
      </c>
      <c r="J74" s="15" t="b">
        <v>1</v>
      </c>
      <c r="K74" s="15" t="inlineStr">
        <is>
          <t>A</t>
        </is>
      </c>
      <c r="L74" s="16" t="n">
        <v>1</v>
      </c>
      <c r="M74" s="15" t="n">
        <v>15</v>
      </c>
      <c r="N74" s="15" t="n">
        <v>15</v>
      </c>
      <c r="O74" s="15" t="inlineStr">
        <is>
          <t>Đã mở</t>
        </is>
      </c>
      <c r="P74" s="15" t="n"/>
    </row>
    <row r="75" hidden="1" ht="15.75" customHeight="1" s="57">
      <c r="A75" s="7" t="inlineStr">
        <is>
          <t>Ninh Thuận</t>
        </is>
      </c>
      <c r="B75" s="7" t="n">
        <v>1665</v>
      </c>
      <c r="C75" s="7" t="inlineStr">
        <is>
          <t>Thành phố Phan Rang – Tháp Chàm</t>
        </is>
      </c>
      <c r="D75" s="7" t="n">
        <v>450107</v>
      </c>
      <c r="E75" s="7" t="inlineStr">
        <is>
          <t>Phường Mỹ Bình</t>
        </is>
      </c>
      <c r="F75" s="7" t="n">
        <v>22861000</v>
      </c>
      <c r="G75" s="7" t="inlineStr">
        <is>
          <t>Bưu Cục 95 Thống Nhất-Phan Rang-Ninh Thuận</t>
        </is>
      </c>
      <c r="H75" s="15" t="n">
        <v>22861000</v>
      </c>
      <c r="I75" s="15" t="inlineStr">
        <is>
          <t>Bưu Cục 95 Thống Nhất-Phan Rang-Ninh Thuận</t>
        </is>
      </c>
      <c r="J75" s="15" t="b">
        <v>1</v>
      </c>
      <c r="K75" s="15" t="inlineStr">
        <is>
          <t>A</t>
        </is>
      </c>
      <c r="L75" s="16" t="n">
        <v>1</v>
      </c>
      <c r="M75" s="15" t="n">
        <v>15</v>
      </c>
      <c r="N75" s="15" t="n">
        <v>15</v>
      </c>
      <c r="O75" s="15" t="inlineStr">
        <is>
          <t>Đã mở</t>
        </is>
      </c>
      <c r="P75" s="15" t="n"/>
    </row>
    <row r="76" hidden="1" ht="15.75" customHeight="1" s="57">
      <c r="A76" s="7" t="inlineStr">
        <is>
          <t>Ninh Thuận</t>
        </is>
      </c>
      <c r="B76" s="7" t="n">
        <v>1665</v>
      </c>
      <c r="C76" s="7" t="inlineStr">
        <is>
          <t>Thành phố Phan Rang – Tháp Chàm</t>
        </is>
      </c>
      <c r="D76" s="7" t="n">
        <v>450108</v>
      </c>
      <c r="E76" s="7" t="inlineStr">
        <is>
          <t>Phường Mỹ Đông</t>
        </is>
      </c>
      <c r="F76" s="7" t="n">
        <v>22861000</v>
      </c>
      <c r="G76" s="7" t="inlineStr">
        <is>
          <t>Bưu Cục 95 Thống Nhất-Phan Rang-Ninh Thuận</t>
        </is>
      </c>
      <c r="H76" s="15" t="n">
        <v>22861000</v>
      </c>
      <c r="I76" s="15" t="inlineStr">
        <is>
          <t>Bưu Cục 95 Thống Nhất-Phan Rang-Ninh Thuận</t>
        </is>
      </c>
      <c r="J76" s="15" t="b">
        <v>1</v>
      </c>
      <c r="K76" s="15" t="inlineStr">
        <is>
          <t>A</t>
        </is>
      </c>
      <c r="L76" s="16" t="n">
        <v>1</v>
      </c>
      <c r="M76" s="15" t="n">
        <v>15</v>
      </c>
      <c r="N76" s="15" t="n">
        <v>15</v>
      </c>
      <c r="O76" s="15" t="inlineStr">
        <is>
          <t>Đã mở</t>
        </is>
      </c>
      <c r="P76" s="15" t="n"/>
    </row>
    <row r="77" hidden="1" ht="15.75" customHeight="1" s="57">
      <c r="A77" s="7" t="inlineStr">
        <is>
          <t>Ninh Thuận</t>
        </is>
      </c>
      <c r="B77" s="7" t="n">
        <v>1665</v>
      </c>
      <c r="C77" s="7" t="inlineStr">
        <is>
          <t>Thành phố Phan Rang – Tháp Chàm</t>
        </is>
      </c>
      <c r="D77" s="7" t="n">
        <v>450109</v>
      </c>
      <c r="E77" s="7" t="inlineStr">
        <is>
          <t>Phường Mỹ Hải</t>
        </is>
      </c>
      <c r="F77" s="7" t="n">
        <v>22861000</v>
      </c>
      <c r="G77" s="7" t="inlineStr">
        <is>
          <t>Bưu Cục 95 Thống Nhất-Phan Rang-Ninh Thuận</t>
        </is>
      </c>
      <c r="H77" s="15" t="n">
        <v>22861000</v>
      </c>
      <c r="I77" s="15" t="inlineStr">
        <is>
          <t>Bưu Cục 95 Thống Nhất-Phan Rang-Ninh Thuận</t>
        </is>
      </c>
      <c r="J77" s="15" t="b">
        <v>1</v>
      </c>
      <c r="K77" s="15" t="inlineStr">
        <is>
          <t>A</t>
        </is>
      </c>
      <c r="L77" s="16" t="n">
        <v>1</v>
      </c>
      <c r="M77" s="15" t="n">
        <v>15</v>
      </c>
      <c r="N77" s="15" t="n">
        <v>15</v>
      </c>
      <c r="O77" s="15" t="inlineStr">
        <is>
          <t>Đã mở</t>
        </is>
      </c>
      <c r="P77" s="15" t="n"/>
    </row>
    <row r="78" hidden="1" ht="15.75" customHeight="1" s="57">
      <c r="A78" s="7" t="inlineStr">
        <is>
          <t>Ninh Thuận</t>
        </is>
      </c>
      <c r="B78" s="7" t="n">
        <v>1665</v>
      </c>
      <c r="C78" s="7" t="inlineStr">
        <is>
          <t>Thành phố Phan Rang – Tháp Chàm</t>
        </is>
      </c>
      <c r="D78" s="7" t="n">
        <v>450110</v>
      </c>
      <c r="E78" s="7" t="inlineStr">
        <is>
          <t>Phường Mỹ Hương</t>
        </is>
      </c>
      <c r="F78" s="7" t="n">
        <v>20150000</v>
      </c>
      <c r="G78" s="7" t="inlineStr">
        <is>
          <t>Bưu Cục 254A Đường 21 tháng 8-Phan Rang-Tháp Chàm-Ninh Thuận</t>
        </is>
      </c>
      <c r="H78" s="15" t="n">
        <v>20150000</v>
      </c>
      <c r="I78" s="15" t="inlineStr">
        <is>
          <t>Bưu Cục 254A Đường 21 tháng 8-Phan Rang-Tháp Chàm-Ninh Thuận</t>
        </is>
      </c>
      <c r="J78" s="15" t="b">
        <v>1</v>
      </c>
      <c r="K78" s="15" t="inlineStr">
        <is>
          <t>A</t>
        </is>
      </c>
      <c r="L78" s="16" t="n">
        <v>1</v>
      </c>
      <c r="M78" s="15" t="n">
        <v>15</v>
      </c>
      <c r="N78" s="15" t="n">
        <v>15</v>
      </c>
      <c r="O78" s="15" t="inlineStr">
        <is>
          <t>Đã mở</t>
        </is>
      </c>
      <c r="P78" s="15" t="n"/>
    </row>
    <row r="79" hidden="1" ht="15.75" customHeight="1" s="57">
      <c r="A79" s="7" t="inlineStr">
        <is>
          <t>Ninh Thuận</t>
        </is>
      </c>
      <c r="B79" s="7" t="n">
        <v>1665</v>
      </c>
      <c r="C79" s="7" t="inlineStr">
        <is>
          <t>Thành phố Phan Rang – Tháp Chàm</t>
        </is>
      </c>
      <c r="D79" s="7" t="n">
        <v>450111</v>
      </c>
      <c r="E79" s="7" t="inlineStr">
        <is>
          <t>Phường Phủ Hà</t>
        </is>
      </c>
      <c r="F79" s="7" t="n">
        <v>22861000</v>
      </c>
      <c r="G79" s="7" t="inlineStr">
        <is>
          <t>Bưu Cục 95 Thống Nhất-Phan Rang-Ninh Thuận</t>
        </is>
      </c>
      <c r="H79" s="15" t="n">
        <v>22861000</v>
      </c>
      <c r="I79" s="15" t="inlineStr">
        <is>
          <t>Bưu Cục 95 Thống Nhất-Phan Rang-Ninh Thuận</t>
        </is>
      </c>
      <c r="J79" s="15" t="b">
        <v>1</v>
      </c>
      <c r="K79" s="15" t="inlineStr">
        <is>
          <t>A</t>
        </is>
      </c>
      <c r="L79" s="16" t="n">
        <v>1</v>
      </c>
      <c r="M79" s="15" t="n">
        <v>15</v>
      </c>
      <c r="N79" s="15" t="n">
        <v>15</v>
      </c>
      <c r="O79" s="15" t="inlineStr">
        <is>
          <t>Đã mở</t>
        </is>
      </c>
      <c r="P79" s="15" t="n"/>
    </row>
    <row r="80" hidden="1" ht="15.75" customHeight="1" s="57">
      <c r="A80" s="7" t="inlineStr">
        <is>
          <t>Ninh Thuận</t>
        </is>
      </c>
      <c r="B80" s="7" t="n">
        <v>1665</v>
      </c>
      <c r="C80" s="7" t="inlineStr">
        <is>
          <t>Thành phố Phan Rang – Tháp Chàm</t>
        </is>
      </c>
      <c r="D80" s="7" t="n">
        <v>450112</v>
      </c>
      <c r="E80" s="7" t="inlineStr">
        <is>
          <t>Phường Phước Mỹ</t>
        </is>
      </c>
      <c r="F80" s="7" t="n">
        <v>20150000</v>
      </c>
      <c r="G80" s="7" t="inlineStr">
        <is>
          <t>Bưu Cục 254A Đường 21 tháng 8-Phan Rang-Tháp Chàm-Ninh Thuận</t>
        </is>
      </c>
      <c r="H80" s="15" t="n">
        <v>20150000</v>
      </c>
      <c r="I80" s="15" t="inlineStr">
        <is>
          <t>Bưu Cục 254A Đường 21 tháng 8-Phan Rang-Tháp Chàm-Ninh Thuận</t>
        </is>
      </c>
      <c r="J80" s="15" t="b">
        <v>1</v>
      </c>
      <c r="K80" s="15" t="inlineStr">
        <is>
          <t>A</t>
        </is>
      </c>
      <c r="L80" s="16" t="n">
        <v>1</v>
      </c>
      <c r="M80" s="15" t="n">
        <v>15</v>
      </c>
      <c r="N80" s="15" t="n">
        <v>15</v>
      </c>
      <c r="O80" s="15" t="inlineStr">
        <is>
          <t>Đã mở</t>
        </is>
      </c>
      <c r="P80" s="15" t="n"/>
    </row>
    <row r="81" hidden="1" ht="15.75" customHeight="1" s="57">
      <c r="A81" s="7" t="inlineStr">
        <is>
          <t>Ninh Thuận</t>
        </is>
      </c>
      <c r="B81" s="7" t="n">
        <v>1665</v>
      </c>
      <c r="C81" s="7" t="inlineStr">
        <is>
          <t>Thành phố Phan Rang – Tháp Chàm</t>
        </is>
      </c>
      <c r="D81" s="7" t="n">
        <v>450113</v>
      </c>
      <c r="E81" s="7" t="inlineStr">
        <is>
          <t>Phường Tấn Tài</t>
        </is>
      </c>
      <c r="F81" s="7" t="n">
        <v>20150000</v>
      </c>
      <c r="G81" s="7" t="inlineStr">
        <is>
          <t>Bưu Cục 254A Đường 21 tháng 8-Phan Rang-Tháp Chàm-Ninh Thuận</t>
        </is>
      </c>
      <c r="H81" s="15" t="n">
        <v>20150000</v>
      </c>
      <c r="I81" s="15" t="inlineStr">
        <is>
          <t>Bưu Cục 254A Đường 21 tháng 8-Phan Rang-Tháp Chàm-Ninh Thuận</t>
        </is>
      </c>
      <c r="J81" s="15" t="b">
        <v>1</v>
      </c>
      <c r="K81" s="15" t="inlineStr">
        <is>
          <t>A</t>
        </is>
      </c>
      <c r="L81" s="16" t="n">
        <v>1</v>
      </c>
      <c r="M81" s="15" t="n">
        <v>15</v>
      </c>
      <c r="N81" s="15" t="n">
        <v>15</v>
      </c>
      <c r="O81" s="15" t="inlineStr">
        <is>
          <t>Đã mở</t>
        </is>
      </c>
      <c r="P81" s="15" t="n"/>
    </row>
    <row r="82" hidden="1" ht="15.75" customHeight="1" s="57">
      <c r="A82" s="7" t="inlineStr">
        <is>
          <t>Ninh Thuận</t>
        </is>
      </c>
      <c r="B82" s="7" t="n">
        <v>1665</v>
      </c>
      <c r="C82" s="7" t="inlineStr">
        <is>
          <t>Thành phố Phan Rang – Tháp Chàm</t>
        </is>
      </c>
      <c r="D82" s="7" t="n">
        <v>450114</v>
      </c>
      <c r="E82" s="7" t="inlineStr">
        <is>
          <t>Phường Thanh Sơn</t>
        </is>
      </c>
      <c r="F82" s="7" t="n">
        <v>22861000</v>
      </c>
      <c r="G82" s="7" t="inlineStr">
        <is>
          <t>Bưu Cục 95 Thống Nhất-Phan Rang-Ninh Thuận</t>
        </is>
      </c>
      <c r="H82" s="15" t="n">
        <v>22861000</v>
      </c>
      <c r="I82" s="15" t="inlineStr">
        <is>
          <t>Bưu Cục 95 Thống Nhất-Phan Rang-Ninh Thuận</t>
        </is>
      </c>
      <c r="J82" s="15" t="b">
        <v>1</v>
      </c>
      <c r="K82" s="15" t="inlineStr">
        <is>
          <t>A</t>
        </is>
      </c>
      <c r="L82" s="16" t="n">
        <v>1</v>
      </c>
      <c r="M82" s="15" t="n">
        <v>15</v>
      </c>
      <c r="N82" s="15" t="n">
        <v>15</v>
      </c>
      <c r="O82" s="15" t="inlineStr">
        <is>
          <t>Đã mở</t>
        </is>
      </c>
      <c r="P82" s="15" t="n"/>
    </row>
    <row r="83" hidden="1" ht="15.75" customHeight="1" s="57">
      <c r="A83" s="7" t="inlineStr">
        <is>
          <t>Ninh Thuận</t>
        </is>
      </c>
      <c r="B83" s="7" t="n">
        <v>1665</v>
      </c>
      <c r="C83" s="7" t="inlineStr">
        <is>
          <t>Thành phố Phan Rang – Tháp Chàm</t>
        </is>
      </c>
      <c r="D83" s="7" t="n">
        <v>450115</v>
      </c>
      <c r="E83" s="7" t="inlineStr">
        <is>
          <t>Phường Văn Hải</t>
        </is>
      </c>
      <c r="F83" s="7" t="n">
        <v>22861000</v>
      </c>
      <c r="G83" s="7" t="inlineStr">
        <is>
          <t>Bưu Cục 95 Thống Nhất-Phan Rang-Ninh Thuận</t>
        </is>
      </c>
      <c r="H83" s="15" t="n">
        <v>22861000</v>
      </c>
      <c r="I83" s="15" t="inlineStr">
        <is>
          <t>Bưu Cục 95 Thống Nhất-Phan Rang-Ninh Thuận</t>
        </is>
      </c>
      <c r="J83" s="15" t="b">
        <v>1</v>
      </c>
      <c r="K83" s="15" t="inlineStr">
        <is>
          <t>A</t>
        </is>
      </c>
      <c r="L83" s="16" t="n">
        <v>1</v>
      </c>
      <c r="M83" s="15" t="n">
        <v>15</v>
      </c>
      <c r="N83" s="15" t="n">
        <v>15</v>
      </c>
      <c r="O83" s="15" t="inlineStr">
        <is>
          <t>Đã mở</t>
        </is>
      </c>
      <c r="P83" s="15" t="n"/>
    </row>
    <row r="84" hidden="1" ht="15.75" customHeight="1" s="57">
      <c r="A84" s="7" t="inlineStr">
        <is>
          <t>Ninh Thuận</t>
        </is>
      </c>
      <c r="B84" s="7" t="n">
        <v>1665</v>
      </c>
      <c r="C84" s="7" t="inlineStr">
        <is>
          <t>Thành phố Phan Rang – Tháp Chàm</t>
        </is>
      </c>
      <c r="D84" s="7" t="n">
        <v>450116</v>
      </c>
      <c r="E84" s="7" t="inlineStr">
        <is>
          <t>Xã Thành Hải</t>
        </is>
      </c>
      <c r="F84" s="7" t="n">
        <v>20150000</v>
      </c>
      <c r="G84" s="7" t="inlineStr">
        <is>
          <t>Bưu Cục 254A Đường 21 tháng 8-Phan Rang-Tháp Chàm-Ninh Thuận</t>
        </is>
      </c>
      <c r="H84" s="15" t="n">
        <v>20150000</v>
      </c>
      <c r="I84" s="15" t="inlineStr">
        <is>
          <t>Bưu Cục 254A Đường 21 tháng 8-Phan Rang-Tháp Chàm-Ninh Thuận</t>
        </is>
      </c>
      <c r="J84" s="15" t="b">
        <v>1</v>
      </c>
      <c r="K84" s="15" t="inlineStr">
        <is>
          <t>C</t>
        </is>
      </c>
      <c r="L84" s="16" t="n">
        <v>0</v>
      </c>
      <c r="M84" s="15" t="n"/>
      <c r="N84" s="15" t="n"/>
      <c r="O84" s="15" t="inlineStr">
        <is>
          <t>Đã mở</t>
        </is>
      </c>
      <c r="P84" s="15" t="n"/>
    </row>
    <row r="85" hidden="1" ht="15.75" customHeight="1" s="57">
      <c r="A85" s="7" t="inlineStr">
        <is>
          <t>Bình Thuận</t>
        </is>
      </c>
      <c r="B85" s="7" t="n">
        <v>1666</v>
      </c>
      <c r="C85" s="7" t="inlineStr">
        <is>
          <t>Thành phố Phan Thiết</t>
        </is>
      </c>
      <c r="D85" s="7" t="n">
        <v>470101</v>
      </c>
      <c r="E85" s="7" t="inlineStr">
        <is>
          <t>Phường Bình Hưng</t>
        </is>
      </c>
      <c r="F85" s="7" t="n">
        <v>21320000</v>
      </c>
      <c r="G85" s="7" t="inlineStr">
        <is>
          <t>Bưu Cục Phú Thủy-Phan Thiết-Bình Thuận</t>
        </is>
      </c>
      <c r="H85" s="15" t="n">
        <v>21320000</v>
      </c>
      <c r="I85" s="15" t="inlineStr">
        <is>
          <t>Bưu Cục Phú Thủy-Phan Thiết-Bình Thuận</t>
        </is>
      </c>
      <c r="J85" s="15" t="b">
        <v>1</v>
      </c>
      <c r="K85" s="15" t="inlineStr">
        <is>
          <t>C</t>
        </is>
      </c>
      <c r="L85" s="16" t="n">
        <v>0</v>
      </c>
      <c r="M85" s="15" t="n"/>
      <c r="N85" s="15" t="n"/>
      <c r="O85" s="15" t="inlineStr">
        <is>
          <t>Đã mở</t>
        </is>
      </c>
      <c r="P85" s="15" t="n"/>
    </row>
    <row r="86" hidden="1" ht="15.75" customHeight="1" s="57">
      <c r="A86" s="7" t="inlineStr">
        <is>
          <t>Bình Thuận</t>
        </is>
      </c>
      <c r="B86" s="7" t="n">
        <v>1666</v>
      </c>
      <c r="C86" s="7" t="inlineStr">
        <is>
          <t>Thành phố Phan Thiết</t>
        </is>
      </c>
      <c r="D86" s="7" t="n">
        <v>470102</v>
      </c>
      <c r="E86" s="7" t="inlineStr">
        <is>
          <t>Phường Đức Long</t>
        </is>
      </c>
      <c r="F86" s="7" t="n">
        <v>21290000</v>
      </c>
      <c r="G86" s="7" t="inlineStr">
        <is>
          <t>Bưu cục DT707-Hàm Thuận Nam-Bình Thuận</t>
        </is>
      </c>
      <c r="H86" s="15" t="n">
        <v>21290000</v>
      </c>
      <c r="I86" s="15" t="inlineStr">
        <is>
          <t>Bưu cục DT707-Hàm Thuận Nam-Bình Thuận</t>
        </is>
      </c>
      <c r="J86" s="15" t="b">
        <v>1</v>
      </c>
      <c r="K86" s="15" t="inlineStr">
        <is>
          <t>A</t>
        </is>
      </c>
      <c r="L86" s="16" t="n">
        <v>1</v>
      </c>
      <c r="M86" s="15" t="n">
        <v>18</v>
      </c>
      <c r="N86" s="15" t="n">
        <v>15</v>
      </c>
      <c r="O86" s="15" t="inlineStr">
        <is>
          <t>Đã mở</t>
        </is>
      </c>
      <c r="P86" s="15" t="n"/>
    </row>
    <row r="87" hidden="1" ht="15.75" customHeight="1" s="57">
      <c r="A87" s="7" t="inlineStr">
        <is>
          <t>Bình Thuận</t>
        </is>
      </c>
      <c r="B87" s="7" t="n">
        <v>1666</v>
      </c>
      <c r="C87" s="7" t="inlineStr">
        <is>
          <t>Thành phố Phan Thiết</t>
        </is>
      </c>
      <c r="D87" s="7" t="n">
        <v>470103</v>
      </c>
      <c r="E87" s="7" t="inlineStr">
        <is>
          <t>Phường Đức Nghĩa</t>
        </is>
      </c>
      <c r="F87" s="7" t="n">
        <v>21396000</v>
      </c>
      <c r="G87" s="7" t="inlineStr">
        <is>
          <t>Bưu Cục Phú Tài-Phan Thiết-Bình Thuận</t>
        </is>
      </c>
      <c r="H87" s="15" t="n">
        <v>21396000</v>
      </c>
      <c r="I87" s="15" t="inlineStr">
        <is>
          <t>Bưu Cục Phú Tài-Phan Thiết-Bình Thuận</t>
        </is>
      </c>
      <c r="J87" s="15" t="b">
        <v>1</v>
      </c>
      <c r="K87" s="15" t="inlineStr">
        <is>
          <t>C</t>
        </is>
      </c>
      <c r="L87" s="16" t="n">
        <v>0</v>
      </c>
      <c r="M87" s="15" t="n"/>
      <c r="N87" s="15" t="n"/>
      <c r="O87" s="15" t="inlineStr">
        <is>
          <t>Đã mở</t>
        </is>
      </c>
      <c r="P87" s="15" t="n"/>
    </row>
    <row r="88" hidden="1" ht="15.75" customHeight="1" s="57">
      <c r="A88" s="7" t="inlineStr">
        <is>
          <t>Bình Thuận</t>
        </is>
      </c>
      <c r="B88" s="7" t="n">
        <v>1666</v>
      </c>
      <c r="C88" s="7" t="inlineStr">
        <is>
          <t>Thành phố Phan Thiết</t>
        </is>
      </c>
      <c r="D88" s="7" t="n">
        <v>470104</v>
      </c>
      <c r="E88" s="7" t="inlineStr">
        <is>
          <t>Phường Đức Thắng</t>
        </is>
      </c>
      <c r="F88" s="7" t="n">
        <v>21396000</v>
      </c>
      <c r="G88" s="7" t="inlineStr">
        <is>
          <t>Bưu Cục Phú Tài-Phan Thiết-Bình Thuận</t>
        </is>
      </c>
      <c r="H88" s="15" t="n">
        <v>21396000</v>
      </c>
      <c r="I88" s="15" t="inlineStr">
        <is>
          <t>Bưu Cục Phú Tài-Phan Thiết-Bình Thuận</t>
        </is>
      </c>
      <c r="J88" s="15" t="b">
        <v>1</v>
      </c>
      <c r="K88" s="15" t="inlineStr">
        <is>
          <t>C</t>
        </is>
      </c>
      <c r="L88" s="16" t="n">
        <v>0</v>
      </c>
      <c r="M88" s="15" t="n"/>
      <c r="N88" s="15" t="n"/>
      <c r="O88" s="15" t="inlineStr">
        <is>
          <t>Đã mở</t>
        </is>
      </c>
      <c r="P88" s="15" t="n"/>
    </row>
    <row r="89" hidden="1" ht="15.75" customHeight="1" s="57">
      <c r="A89" s="7" t="inlineStr">
        <is>
          <t>Bình Thuận</t>
        </is>
      </c>
      <c r="B89" s="7" t="n">
        <v>1666</v>
      </c>
      <c r="C89" s="7" t="inlineStr">
        <is>
          <t>Thành phố Phan Thiết</t>
        </is>
      </c>
      <c r="D89" s="7" t="n">
        <v>470105</v>
      </c>
      <c r="E89" s="7" t="inlineStr">
        <is>
          <t>Phường Hàm Tiến</t>
        </is>
      </c>
      <c r="F89" s="7" t="n">
        <v>20144000</v>
      </c>
      <c r="G89" s="7" t="inlineStr">
        <is>
          <t>Bưu Cục 16 Huỳnh Thúc Kháng-Phan Thiết-Bình Thuận</t>
        </is>
      </c>
      <c r="H89" s="15" t="n">
        <v>20144000</v>
      </c>
      <c r="I89" s="15" t="inlineStr">
        <is>
          <t>Bưu Cục 16 Huỳnh Thúc Kháng-Phan Thiết-Bình Thuận</t>
        </is>
      </c>
      <c r="J89" s="15" t="b">
        <v>1</v>
      </c>
      <c r="K89" s="15" t="inlineStr">
        <is>
          <t>A</t>
        </is>
      </c>
      <c r="L89" s="16" t="n">
        <v>1</v>
      </c>
      <c r="M89" s="15" t="n">
        <v>18</v>
      </c>
      <c r="N89" s="15" t="n">
        <v>15</v>
      </c>
      <c r="O89" s="15" t="inlineStr">
        <is>
          <t>Đã mở</t>
        </is>
      </c>
      <c r="P89" s="15" t="n"/>
    </row>
    <row r="90" hidden="1" ht="15.75" customHeight="1" s="57">
      <c r="A90" s="7" t="inlineStr">
        <is>
          <t>Bình Thuận</t>
        </is>
      </c>
      <c r="B90" s="7" t="n">
        <v>1666</v>
      </c>
      <c r="C90" s="7" t="inlineStr">
        <is>
          <t>Thành phố Phan Thiết</t>
        </is>
      </c>
      <c r="D90" s="7" t="n">
        <v>470106</v>
      </c>
      <c r="E90" s="7" t="inlineStr">
        <is>
          <t>Phường Hưng Long</t>
        </is>
      </c>
      <c r="F90" s="7" t="n">
        <v>21320000</v>
      </c>
      <c r="G90" s="7" t="inlineStr">
        <is>
          <t>Bưu Cục Phú Thủy-Phan Thiết-Bình Thuận</t>
        </is>
      </c>
      <c r="H90" s="15" t="n">
        <v>21320000</v>
      </c>
      <c r="I90" s="15" t="inlineStr">
        <is>
          <t>Bưu Cục Phú Thủy-Phan Thiết-Bình Thuận</t>
        </is>
      </c>
      <c r="J90" s="15" t="b">
        <v>1</v>
      </c>
      <c r="K90" s="15" t="inlineStr">
        <is>
          <t>A</t>
        </is>
      </c>
      <c r="L90" s="16" t="n">
        <v>1</v>
      </c>
      <c r="M90" s="15" t="n">
        <v>18</v>
      </c>
      <c r="N90" s="15" t="n">
        <v>15</v>
      </c>
      <c r="O90" s="15" t="inlineStr">
        <is>
          <t>Đã mở</t>
        </is>
      </c>
      <c r="P90" s="15" t="n"/>
    </row>
    <row r="91" hidden="1" ht="15.75" customHeight="1" s="57">
      <c r="A91" s="7" t="inlineStr">
        <is>
          <t>Bình Thuận</t>
        </is>
      </c>
      <c r="B91" s="7" t="n">
        <v>1666</v>
      </c>
      <c r="C91" s="7" t="inlineStr">
        <is>
          <t>Thành phố Phan Thiết</t>
        </is>
      </c>
      <c r="D91" s="7" t="n">
        <v>470107</v>
      </c>
      <c r="E91" s="7" t="inlineStr">
        <is>
          <t>Phường Lạc Đạo</t>
        </is>
      </c>
      <c r="F91" s="7" t="n">
        <v>21396000</v>
      </c>
      <c r="G91" s="7" t="inlineStr">
        <is>
          <t>Bưu Cục Phú Tài-Phan Thiết-Bình Thuận</t>
        </is>
      </c>
      <c r="H91" s="15" t="n">
        <v>21396000</v>
      </c>
      <c r="I91" s="15" t="inlineStr">
        <is>
          <t>Bưu Cục Phú Tài-Phan Thiết-Bình Thuận</t>
        </is>
      </c>
      <c r="J91" s="15" t="b">
        <v>1</v>
      </c>
      <c r="K91" s="15" t="inlineStr">
        <is>
          <t>A</t>
        </is>
      </c>
      <c r="L91" s="16" t="n">
        <v>1</v>
      </c>
      <c r="M91" s="15" t="n">
        <v>18</v>
      </c>
      <c r="N91" s="15" t="n">
        <v>15</v>
      </c>
      <c r="O91" s="15" t="inlineStr">
        <is>
          <t>Đã mở</t>
        </is>
      </c>
      <c r="P91" s="15" t="n"/>
    </row>
    <row r="92" hidden="1" ht="15.75" customHeight="1" s="57">
      <c r="A92" s="7" t="inlineStr">
        <is>
          <t>Bình Thuận</t>
        </is>
      </c>
      <c r="B92" s="7" t="n">
        <v>1666</v>
      </c>
      <c r="C92" s="7" t="inlineStr">
        <is>
          <t>Thành phố Phan Thiết</t>
        </is>
      </c>
      <c r="D92" s="7" t="n">
        <v>470108</v>
      </c>
      <c r="E92" s="7" t="inlineStr">
        <is>
          <t>Phường Mũi Né</t>
        </is>
      </c>
      <c r="F92" s="7" t="n">
        <v>20144000</v>
      </c>
      <c r="G92" s="7" t="inlineStr">
        <is>
          <t>Bưu Cục 16 Huỳnh Thúc Kháng-Phan Thiết-Bình Thuận</t>
        </is>
      </c>
      <c r="H92" s="15" t="n">
        <v>20144000</v>
      </c>
      <c r="I92" s="15" t="inlineStr">
        <is>
          <t>Bưu Cục 16 Huỳnh Thúc Kháng-Phan Thiết-Bình Thuận</t>
        </is>
      </c>
      <c r="J92" s="15" t="b">
        <v>1</v>
      </c>
      <c r="K92" s="15" t="inlineStr">
        <is>
          <t>A</t>
        </is>
      </c>
      <c r="L92" s="16" t="n">
        <v>1</v>
      </c>
      <c r="M92" s="15" t="n">
        <v>18</v>
      </c>
      <c r="N92" s="15" t="n">
        <v>15</v>
      </c>
      <c r="O92" s="15" t="inlineStr">
        <is>
          <t>Đã mở</t>
        </is>
      </c>
      <c r="P92" s="15" t="n"/>
    </row>
    <row r="93" hidden="1" ht="15.75" customHeight="1" s="57">
      <c r="A93" s="7" t="inlineStr">
        <is>
          <t>Bình Thuận</t>
        </is>
      </c>
      <c r="B93" s="7" t="n">
        <v>1666</v>
      </c>
      <c r="C93" s="7" t="inlineStr">
        <is>
          <t>Thành phố Phan Thiết</t>
        </is>
      </c>
      <c r="D93" s="7" t="n">
        <v>470109</v>
      </c>
      <c r="E93" s="7" t="inlineStr">
        <is>
          <t>Phường Phú Hài</t>
        </is>
      </c>
      <c r="F93" s="7" t="n">
        <v>21320000</v>
      </c>
      <c r="G93" s="7" t="inlineStr">
        <is>
          <t>Bưu Cục Phú Thủy-Phan Thiết-Bình Thuận</t>
        </is>
      </c>
      <c r="H93" s="15" t="n">
        <v>21320000</v>
      </c>
      <c r="I93" s="15" t="inlineStr">
        <is>
          <t>Bưu Cục Phú Thủy-Phan Thiết-Bình Thuận</t>
        </is>
      </c>
      <c r="J93" s="15" t="b">
        <v>1</v>
      </c>
      <c r="K93" s="15" t="inlineStr">
        <is>
          <t>A</t>
        </is>
      </c>
      <c r="L93" s="16" t="n">
        <v>1</v>
      </c>
      <c r="M93" s="15" t="n">
        <v>18</v>
      </c>
      <c r="N93" s="15" t="n">
        <v>15</v>
      </c>
      <c r="O93" s="15" t="inlineStr">
        <is>
          <t>Đã mở</t>
        </is>
      </c>
      <c r="P93" s="15" t="n"/>
    </row>
    <row r="94" hidden="1" ht="15.75" customHeight="1" s="57">
      <c r="A94" s="7" t="inlineStr">
        <is>
          <t>Bình Thuận</t>
        </is>
      </c>
      <c r="B94" s="7" t="n">
        <v>1666</v>
      </c>
      <c r="C94" s="7" t="inlineStr">
        <is>
          <t>Thành phố Phan Thiết</t>
        </is>
      </c>
      <c r="D94" s="7" t="n">
        <v>470110</v>
      </c>
      <c r="E94" s="7" t="inlineStr">
        <is>
          <t>Phường Phú Tài</t>
        </is>
      </c>
      <c r="F94" s="7" t="n">
        <v>21396000</v>
      </c>
      <c r="G94" s="7" t="inlineStr">
        <is>
          <t>Bưu Cục Phú Tài-Phan Thiết-Bình Thuận</t>
        </is>
      </c>
      <c r="H94" s="15" t="n">
        <v>21396000</v>
      </c>
      <c r="I94" s="15" t="inlineStr">
        <is>
          <t>Bưu Cục Phú Tài-Phan Thiết-Bình Thuận</t>
        </is>
      </c>
      <c r="J94" s="15" t="b">
        <v>1</v>
      </c>
      <c r="K94" s="15" t="inlineStr">
        <is>
          <t>A</t>
        </is>
      </c>
      <c r="L94" s="16" t="n">
        <v>1</v>
      </c>
      <c r="M94" s="15" t="n">
        <v>18</v>
      </c>
      <c r="N94" s="15" t="n">
        <v>15</v>
      </c>
      <c r="O94" s="15" t="inlineStr">
        <is>
          <t>Đã mở</t>
        </is>
      </c>
      <c r="P94" s="15" t="n"/>
    </row>
    <row r="95" hidden="1" ht="15.75" customHeight="1" s="57">
      <c r="A95" s="7" t="inlineStr">
        <is>
          <t>Bình Thuận</t>
        </is>
      </c>
      <c r="B95" s="7" t="n">
        <v>1666</v>
      </c>
      <c r="C95" s="7" t="inlineStr">
        <is>
          <t>Thành phố Phan Thiết</t>
        </is>
      </c>
      <c r="D95" s="7" t="n">
        <v>470111</v>
      </c>
      <c r="E95" s="7" t="inlineStr">
        <is>
          <t>Phường Phú Thủy</t>
        </is>
      </c>
      <c r="F95" s="7" t="n">
        <v>21320000</v>
      </c>
      <c r="G95" s="7" t="inlineStr">
        <is>
          <t>Bưu Cục Phú Thủy-Phan Thiết-Bình Thuận</t>
        </is>
      </c>
      <c r="H95" s="15" t="n">
        <v>21320000</v>
      </c>
      <c r="I95" s="15" t="inlineStr">
        <is>
          <t>Bưu Cục Phú Thủy-Phan Thiết-Bình Thuận</t>
        </is>
      </c>
      <c r="J95" s="15" t="b">
        <v>1</v>
      </c>
      <c r="K95" s="15" t="inlineStr">
        <is>
          <t>A</t>
        </is>
      </c>
      <c r="L95" s="16" t="n">
        <v>1</v>
      </c>
      <c r="M95" s="15" t="n">
        <v>18</v>
      </c>
      <c r="N95" s="15" t="n">
        <v>15</v>
      </c>
      <c r="O95" s="15" t="inlineStr">
        <is>
          <t>Đã mở</t>
        </is>
      </c>
      <c r="P95" s="15" t="n"/>
    </row>
    <row r="96" hidden="1" ht="15.75" customHeight="1" s="57">
      <c r="A96" s="7" t="inlineStr">
        <is>
          <t>Bình Thuận</t>
        </is>
      </c>
      <c r="B96" s="7" t="n">
        <v>1666</v>
      </c>
      <c r="C96" s="7" t="inlineStr">
        <is>
          <t>Thành phố Phan Thiết</t>
        </is>
      </c>
      <c r="D96" s="7" t="n">
        <v>470112</v>
      </c>
      <c r="E96" s="7" t="inlineStr">
        <is>
          <t>Phường Phú Trinh</t>
        </is>
      </c>
      <c r="F96" s="7" t="n">
        <v>21396000</v>
      </c>
      <c r="G96" s="7" t="inlineStr">
        <is>
          <t>Bưu Cục Phú Tài-Phan Thiết-Bình Thuận</t>
        </is>
      </c>
      <c r="H96" s="15" t="n">
        <v>21396000</v>
      </c>
      <c r="I96" s="15" t="inlineStr">
        <is>
          <t>Bưu Cục Phú Tài-Phan Thiết-Bình Thuận</t>
        </is>
      </c>
      <c r="J96" s="15" t="b">
        <v>1</v>
      </c>
      <c r="K96" s="15" t="inlineStr">
        <is>
          <t>A</t>
        </is>
      </c>
      <c r="L96" s="16" t="n">
        <v>1</v>
      </c>
      <c r="M96" s="15" t="n">
        <v>18</v>
      </c>
      <c r="N96" s="15" t="n">
        <v>15</v>
      </c>
      <c r="O96" s="15" t="inlineStr">
        <is>
          <t>Đã mở</t>
        </is>
      </c>
      <c r="P96" s="15" t="n"/>
    </row>
    <row r="97" hidden="1" ht="15.75" customHeight="1" s="57">
      <c r="A97" s="7" t="inlineStr">
        <is>
          <t>Bình Thuận</t>
        </is>
      </c>
      <c r="B97" s="7" t="n">
        <v>1666</v>
      </c>
      <c r="C97" s="7" t="inlineStr">
        <is>
          <t>Thành phố Phan Thiết</t>
        </is>
      </c>
      <c r="D97" s="7" t="n">
        <v>470113</v>
      </c>
      <c r="E97" s="7" t="inlineStr">
        <is>
          <t>Phường Thanh Hải</t>
        </is>
      </c>
      <c r="F97" s="7" t="n">
        <v>21320000</v>
      </c>
      <c r="G97" s="7" t="inlineStr">
        <is>
          <t>Bưu Cục Phú Thủy-Phan Thiết-Bình Thuận</t>
        </is>
      </c>
      <c r="H97" s="15" t="n">
        <v>21320000</v>
      </c>
      <c r="I97" s="15" t="inlineStr">
        <is>
          <t>Bưu Cục Phú Thủy-Phan Thiết-Bình Thuận</t>
        </is>
      </c>
      <c r="J97" s="15" t="b">
        <v>1</v>
      </c>
      <c r="K97" s="15" t="inlineStr">
        <is>
          <t>C</t>
        </is>
      </c>
      <c r="L97" s="16" t="n">
        <v>0</v>
      </c>
      <c r="M97" s="15" t="n"/>
      <c r="N97" s="15" t="n"/>
      <c r="O97" s="15" t="inlineStr">
        <is>
          <t>Đã mở</t>
        </is>
      </c>
      <c r="P97" s="15" t="n"/>
    </row>
    <row r="98" hidden="1" ht="15.75" customHeight="1" s="57">
      <c r="A98" s="7" t="inlineStr">
        <is>
          <t>Bình Thuận</t>
        </is>
      </c>
      <c r="B98" s="7" t="n">
        <v>1666</v>
      </c>
      <c r="C98" s="7" t="inlineStr">
        <is>
          <t>Thành phố Phan Thiết</t>
        </is>
      </c>
      <c r="D98" s="7" t="n">
        <v>470114</v>
      </c>
      <c r="E98" s="7" t="inlineStr">
        <is>
          <t>Phường Xuân An</t>
        </is>
      </c>
      <c r="F98" s="7" t="n">
        <v>21320000</v>
      </c>
      <c r="G98" s="7" t="inlineStr">
        <is>
          <t>Bưu Cục Phú Thủy-Phan Thiết-Bình Thuận</t>
        </is>
      </c>
      <c r="H98" s="15" t="n">
        <v>21320000</v>
      </c>
      <c r="I98" s="15" t="inlineStr">
        <is>
          <t>Bưu Cục Phú Thủy-Phan Thiết-Bình Thuận</t>
        </is>
      </c>
      <c r="J98" s="15" t="b">
        <v>1</v>
      </c>
      <c r="K98" s="15" t="inlineStr">
        <is>
          <t>C</t>
        </is>
      </c>
      <c r="L98" s="16" t="n">
        <v>0</v>
      </c>
      <c r="M98" s="15" t="n"/>
      <c r="N98" s="15" t="n"/>
      <c r="O98" s="15" t="inlineStr">
        <is>
          <t>Đã mở</t>
        </is>
      </c>
      <c r="P98" s="15" t="n"/>
    </row>
    <row r="99" hidden="1" ht="15.75" customHeight="1" s="57">
      <c r="A99" s="7" t="inlineStr">
        <is>
          <t>Bình Thuận</t>
        </is>
      </c>
      <c r="B99" s="7" t="n">
        <v>1666</v>
      </c>
      <c r="C99" s="7" t="inlineStr">
        <is>
          <t>Thành phố Phan Thiết</t>
        </is>
      </c>
      <c r="D99" s="7" t="n">
        <v>470115</v>
      </c>
      <c r="E99" s="7" t="inlineStr">
        <is>
          <t>Xã Phong Nẫm</t>
        </is>
      </c>
      <c r="F99" s="7" t="n">
        <v>21396000</v>
      </c>
      <c r="G99" s="7" t="inlineStr">
        <is>
          <t>Bưu Cục Phú Tài-Phan Thiết-Bình Thuận</t>
        </is>
      </c>
      <c r="H99" s="15" t="n">
        <v>21396000</v>
      </c>
      <c r="I99" s="15" t="inlineStr">
        <is>
          <t>Bưu Cục Phú Tài-Phan Thiết-Bình Thuận</t>
        </is>
      </c>
      <c r="J99" s="15" t="b">
        <v>1</v>
      </c>
      <c r="K99" s="15" t="inlineStr">
        <is>
          <t>C</t>
        </is>
      </c>
      <c r="L99" s="16" t="n">
        <v>0</v>
      </c>
      <c r="M99" s="15" t="n"/>
      <c r="N99" s="15" t="n"/>
      <c r="O99" s="15" t="inlineStr">
        <is>
          <t>Đã mở</t>
        </is>
      </c>
      <c r="P99" s="15" t="n"/>
    </row>
    <row r="100" hidden="1" ht="15.75" customHeight="1" s="57">
      <c r="A100" s="7" t="inlineStr">
        <is>
          <t>Bình Thuận</t>
        </is>
      </c>
      <c r="B100" s="7" t="n">
        <v>1666</v>
      </c>
      <c r="C100" s="7" t="inlineStr">
        <is>
          <t>Thành phố Phan Thiết</t>
        </is>
      </c>
      <c r="D100" s="7" t="n">
        <v>470116</v>
      </c>
      <c r="E100" s="7" t="inlineStr">
        <is>
          <t>Xã Thiện Nghiệp</t>
        </is>
      </c>
      <c r="F100" s="7" t="n">
        <v>20144000</v>
      </c>
      <c r="G100" s="7" t="inlineStr">
        <is>
          <t>Bưu Cục 16 Huỳnh Thúc Kháng-Phan Thiết-Bình Thuận</t>
        </is>
      </c>
      <c r="H100" s="15" t="n">
        <v>20144000</v>
      </c>
      <c r="I100" s="15" t="inlineStr">
        <is>
          <t>Bưu Cục 16 Huỳnh Thúc Kháng-Phan Thiết-Bình Thuận</t>
        </is>
      </c>
      <c r="J100" s="15" t="b">
        <v>1</v>
      </c>
      <c r="K100" s="15" t="inlineStr">
        <is>
          <t>C</t>
        </is>
      </c>
      <c r="L100" s="16" t="n">
        <v>0</v>
      </c>
      <c r="M100" s="15" t="n"/>
      <c r="N100" s="15" t="n"/>
      <c r="O100" s="15" t="inlineStr">
        <is>
          <t>Đã mở</t>
        </is>
      </c>
      <c r="P100" s="15" t="n"/>
    </row>
    <row r="101" hidden="1" ht="15.75" customHeight="1" s="57">
      <c r="A101" s="7" t="inlineStr">
        <is>
          <t>Bình Thuận</t>
        </is>
      </c>
      <c r="B101" s="7" t="n">
        <v>1666</v>
      </c>
      <c r="C101" s="7" t="inlineStr">
        <is>
          <t>Thành phố Phan Thiết</t>
        </is>
      </c>
      <c r="D101" s="7" t="n">
        <v>470117</v>
      </c>
      <c r="E101" s="7" t="inlineStr">
        <is>
          <t>Xã Tiến Lợi</t>
        </is>
      </c>
      <c r="F101" s="7" t="n">
        <v>21290000</v>
      </c>
      <c r="G101" s="7" t="inlineStr">
        <is>
          <t>Bưu cục DT707-Hàm Thuận Nam-Bình Thuận</t>
        </is>
      </c>
      <c r="H101" s="15" t="n">
        <v>21290000</v>
      </c>
      <c r="I101" s="15" t="inlineStr">
        <is>
          <t>Bưu cục DT707-Hàm Thuận Nam-Bình Thuận</t>
        </is>
      </c>
      <c r="J101" s="15" t="b">
        <v>1</v>
      </c>
      <c r="K101" s="15" t="inlineStr">
        <is>
          <t>C</t>
        </is>
      </c>
      <c r="L101" s="16" t="n">
        <v>0</v>
      </c>
      <c r="M101" s="15" t="n"/>
      <c r="N101" s="15" t="n"/>
      <c r="O101" s="15" t="inlineStr">
        <is>
          <t>Đã mở</t>
        </is>
      </c>
      <c r="P101" s="15" t="n"/>
    </row>
    <row r="102" hidden="1" ht="15.75" customHeight="1" s="57">
      <c r="A102" s="7" t="inlineStr">
        <is>
          <t>Bình Thuận</t>
        </is>
      </c>
      <c r="B102" s="7" t="n">
        <v>1666</v>
      </c>
      <c r="C102" s="7" t="inlineStr">
        <is>
          <t>Thành phố Phan Thiết</t>
        </is>
      </c>
      <c r="D102" s="7" t="n">
        <v>470118</v>
      </c>
      <c r="E102" s="7" t="inlineStr">
        <is>
          <t>Xã Tiến Thành</t>
        </is>
      </c>
      <c r="F102" s="7" t="n">
        <v>21290000</v>
      </c>
      <c r="G102" s="7" t="inlineStr">
        <is>
          <t>Bưu cục DT707-Hàm Thuận Nam-Bình Thuận</t>
        </is>
      </c>
      <c r="H102" s="15" t="n">
        <v>21290000</v>
      </c>
      <c r="I102" s="15" t="inlineStr">
        <is>
          <t>Bưu cục DT707-Hàm Thuận Nam-Bình Thuận</t>
        </is>
      </c>
      <c r="J102" s="15" t="b">
        <v>1</v>
      </c>
      <c r="K102" s="15" t="inlineStr">
        <is>
          <t>C</t>
        </is>
      </c>
      <c r="L102" s="16" t="n">
        <v>0</v>
      </c>
      <c r="M102" s="15" t="n"/>
      <c r="N102" s="15" t="n"/>
      <c r="O102" s="15" t="inlineStr">
        <is>
          <t>Đã mở</t>
        </is>
      </c>
      <c r="P102" s="15" t="n"/>
    </row>
    <row r="103" hidden="1" ht="15.75" customHeight="1" s="57">
      <c r="A103" s="7" t="inlineStr">
        <is>
          <t>Khánh Hòa</t>
        </is>
      </c>
      <c r="B103" s="7" t="n">
        <v>1739</v>
      </c>
      <c r="C103" s="7" t="inlineStr">
        <is>
          <t>Huyện Diên Khánh</t>
        </is>
      </c>
      <c r="D103" s="7" t="n">
        <v>410401</v>
      </c>
      <c r="E103" s="7" t="inlineStr">
        <is>
          <t>Thị trấn Diên Khánh</t>
        </is>
      </c>
      <c r="F103" s="7" t="n">
        <v>20143000</v>
      </c>
      <c r="G103" s="7" t="inlineStr">
        <is>
          <t>Bưu Cục 39 Hùng Vương-Diên Khánh-Khánh Hòa</t>
        </is>
      </c>
      <c r="H103" s="15" t="n">
        <v>20143000</v>
      </c>
      <c r="I103" s="15" t="inlineStr">
        <is>
          <t>Bưu Cục 39 Hùng Vương-Diên Khánh-Khánh Hòa</t>
        </is>
      </c>
      <c r="J103" s="15" t="b">
        <v>1</v>
      </c>
      <c r="K103" s="15" t="inlineStr">
        <is>
          <t>A</t>
        </is>
      </c>
      <c r="L103" s="16" t="n">
        <v>1</v>
      </c>
      <c r="M103" s="15" t="n">
        <v>15</v>
      </c>
      <c r="N103" s="15" t="n">
        <v>15</v>
      </c>
      <c r="O103" s="15" t="inlineStr">
        <is>
          <t>Đã mở</t>
        </is>
      </c>
      <c r="P103" s="15" t="n"/>
    </row>
    <row r="104" hidden="1" ht="15.75" customHeight="1" s="57">
      <c r="A104" s="7" t="inlineStr">
        <is>
          <t>Khánh Hòa</t>
        </is>
      </c>
      <c r="B104" s="7" t="n">
        <v>1739</v>
      </c>
      <c r="C104" s="7" t="inlineStr">
        <is>
          <t>Huyện Diên Khánh</t>
        </is>
      </c>
      <c r="D104" s="7" t="n">
        <v>410402</v>
      </c>
      <c r="E104" s="7" t="inlineStr">
        <is>
          <t>Xã Diên An</t>
        </is>
      </c>
      <c r="F104" s="7" t="n">
        <v>22774000</v>
      </c>
      <c r="G104" s="7" t="inlineStr">
        <is>
          <t>Bưu Cục Thôn Phú An Nam 2-Xã Diên Khánh-Khánh Hòa</t>
        </is>
      </c>
      <c r="H104" s="15" t="n">
        <v>22774000</v>
      </c>
      <c r="I104" s="15" t="inlineStr">
        <is>
          <t>Bưu Cục Thôn Phú An Nam 2-Xã Diên Khánh-Khánh Hòa</t>
        </is>
      </c>
      <c r="J104" s="15" t="b">
        <v>1</v>
      </c>
      <c r="K104" s="15" t="inlineStr">
        <is>
          <t>C</t>
        </is>
      </c>
      <c r="L104" s="16" t="n">
        <v>0</v>
      </c>
      <c r="M104" s="15" t="n"/>
      <c r="N104" s="15" t="n"/>
      <c r="O104" s="15" t="inlineStr">
        <is>
          <t>Đã mở</t>
        </is>
      </c>
      <c r="P104" s="15" t="n"/>
    </row>
    <row r="105" hidden="1" ht="15.75" customHeight="1" s="57">
      <c r="A105" s="7" t="inlineStr">
        <is>
          <t>Khánh Hòa</t>
        </is>
      </c>
      <c r="B105" s="7" t="n">
        <v>1739</v>
      </c>
      <c r="C105" s="7" t="inlineStr">
        <is>
          <t>Huyện Diên Khánh</t>
        </is>
      </c>
      <c r="D105" s="7" t="n">
        <v>410403</v>
      </c>
      <c r="E105" s="7" t="inlineStr">
        <is>
          <t>Xã Diên Bình</t>
        </is>
      </c>
      <c r="F105" s="7" t="n">
        <v>20143000</v>
      </c>
      <c r="G105" s="7" t="inlineStr">
        <is>
          <t>Bưu Cục 39 Hùng Vương-Diên Khánh-Khánh Hòa</t>
        </is>
      </c>
      <c r="H105" s="15" t="n">
        <v>20143000</v>
      </c>
      <c r="I105" s="15" t="inlineStr">
        <is>
          <t>Bưu Cục 39 Hùng Vương-Diên Khánh-Khánh Hòa</t>
        </is>
      </c>
      <c r="J105" s="15" t="b">
        <v>0</v>
      </c>
      <c r="K105" s="15" t="inlineStr">
        <is>
          <t>C</t>
        </is>
      </c>
      <c r="L105" s="16" t="n">
        <v>0</v>
      </c>
      <c r="M105" s="15" t="n"/>
      <c r="N105" s="15" t="n"/>
      <c r="O105" s="15" t="inlineStr">
        <is>
          <t>Chưa mở</t>
        </is>
      </c>
      <c r="P105" s="15" t="n"/>
    </row>
    <row r="106" hidden="1" ht="15.75" customHeight="1" s="57">
      <c r="A106" s="7" t="inlineStr">
        <is>
          <t>Khánh Hòa</t>
        </is>
      </c>
      <c r="B106" s="7" t="n">
        <v>1739</v>
      </c>
      <c r="C106" s="7" t="inlineStr">
        <is>
          <t>Huyện Diên Khánh</t>
        </is>
      </c>
      <c r="D106" s="7" t="n">
        <v>410404</v>
      </c>
      <c r="E106" s="7" t="inlineStr">
        <is>
          <t>Xã Diên Điền</t>
        </is>
      </c>
      <c r="F106" s="7" t="n">
        <v>20143000</v>
      </c>
      <c r="G106" s="7" t="inlineStr">
        <is>
          <t>Bưu Cục 39 Hùng Vương-Diên Khánh-Khánh Hòa</t>
        </is>
      </c>
      <c r="H106" s="15" t="n">
        <v>20143000</v>
      </c>
      <c r="I106" s="15" t="inlineStr">
        <is>
          <t>Bưu Cục 39 Hùng Vương-Diên Khánh-Khánh Hòa</t>
        </is>
      </c>
      <c r="J106" s="15" t="b">
        <v>1</v>
      </c>
      <c r="K106" s="15" t="inlineStr">
        <is>
          <t>A</t>
        </is>
      </c>
      <c r="L106" s="16" t="n">
        <v>1</v>
      </c>
      <c r="M106" s="15" t="n">
        <v>15</v>
      </c>
      <c r="N106" s="15" t="n">
        <v>15</v>
      </c>
      <c r="O106" s="15" t="inlineStr">
        <is>
          <t>Đã mở</t>
        </is>
      </c>
      <c r="P106" s="15" t="n"/>
    </row>
    <row r="107" hidden="1" ht="15.75" customHeight="1" s="57">
      <c r="A107" s="7" t="inlineStr">
        <is>
          <t>Khánh Hòa</t>
        </is>
      </c>
      <c r="B107" s="7" t="n">
        <v>1739</v>
      </c>
      <c r="C107" s="7" t="inlineStr">
        <is>
          <t>Huyện Diên Khánh</t>
        </is>
      </c>
      <c r="D107" s="7" t="n">
        <v>410405</v>
      </c>
      <c r="E107" s="7" t="inlineStr">
        <is>
          <t>Xã Diên Đồng</t>
        </is>
      </c>
      <c r="F107" s="7" t="n">
        <v>22793000</v>
      </c>
      <c r="G107" s="7" t="inlineStr">
        <is>
          <t>Bưu Cục Đường Tỉnh Lộ 10-Xã Diên Thọ-Khánh Hòa</t>
        </is>
      </c>
      <c r="H107" s="15" t="n">
        <v>22793000</v>
      </c>
      <c r="I107" s="15" t="inlineStr">
        <is>
          <t>Bưu Cục Đường Tỉnh Lộ 10-Xã Diên Thọ-Khánh Hòa</t>
        </is>
      </c>
      <c r="J107" s="15" t="b">
        <v>0</v>
      </c>
      <c r="K107" s="15" t="inlineStr">
        <is>
          <t>C</t>
        </is>
      </c>
      <c r="L107" s="16" t="n">
        <v>0</v>
      </c>
      <c r="M107" s="15" t="n"/>
      <c r="N107" s="15" t="n"/>
      <c r="O107" s="15" t="inlineStr">
        <is>
          <t>Chưa mở</t>
        </is>
      </c>
      <c r="P107" s="15" t="n"/>
    </row>
    <row r="108" hidden="1" ht="15.75" customHeight="1" s="57">
      <c r="A108" s="7" t="inlineStr">
        <is>
          <t>Khánh Hòa</t>
        </is>
      </c>
      <c r="B108" s="7" t="n">
        <v>1739</v>
      </c>
      <c r="C108" s="7" t="inlineStr">
        <is>
          <t>Huyện Diên Khánh</t>
        </is>
      </c>
      <c r="D108" s="7" t="n">
        <v>410406</v>
      </c>
      <c r="E108" s="7" t="inlineStr">
        <is>
          <t>Xã Diên Hòa</t>
        </is>
      </c>
      <c r="F108" s="7" t="n">
        <v>22793000</v>
      </c>
      <c r="G108" s="7" t="inlineStr">
        <is>
          <t>Bưu Cục Đường Tỉnh Lộ 10-Xã Diên Thọ-Khánh Hòa</t>
        </is>
      </c>
      <c r="H108" s="15" t="n">
        <v>22793000</v>
      </c>
      <c r="I108" s="15" t="inlineStr">
        <is>
          <t>Bưu Cục Đường Tỉnh Lộ 10-Xã Diên Thọ-Khánh Hòa</t>
        </is>
      </c>
      <c r="J108" s="15" t="b">
        <v>0</v>
      </c>
      <c r="K108" s="15" t="inlineStr">
        <is>
          <t>C</t>
        </is>
      </c>
      <c r="L108" s="16" t="n">
        <v>0</v>
      </c>
      <c r="M108" s="15" t="n"/>
      <c r="N108" s="15" t="n"/>
      <c r="O108" s="15" t="inlineStr">
        <is>
          <t>Chưa mở</t>
        </is>
      </c>
      <c r="P108" s="15" t="n"/>
    </row>
    <row r="109" hidden="1" ht="15.75" customHeight="1" s="57">
      <c r="A109" s="7" t="inlineStr">
        <is>
          <t>Khánh Hòa</t>
        </is>
      </c>
      <c r="B109" s="7" t="n">
        <v>1739</v>
      </c>
      <c r="C109" s="7" t="inlineStr">
        <is>
          <t>Huyện Diên Khánh</t>
        </is>
      </c>
      <c r="D109" s="7" t="n">
        <v>410407</v>
      </c>
      <c r="E109" s="7" t="inlineStr">
        <is>
          <t>Xã Diên Lạc</t>
        </is>
      </c>
      <c r="F109" s="7" t="n">
        <v>22793000</v>
      </c>
      <c r="G109" s="7" t="inlineStr">
        <is>
          <t>Bưu Cục Đường Tỉnh Lộ 10-Xã Diên Thọ-Khánh Hòa</t>
        </is>
      </c>
      <c r="H109" s="15" t="n">
        <v>22793000</v>
      </c>
      <c r="I109" s="15" t="inlineStr">
        <is>
          <t>Bưu Cục Đường Tỉnh Lộ 10-Xã Diên Thọ-Khánh Hòa</t>
        </is>
      </c>
      <c r="J109" s="15" t="b">
        <v>1</v>
      </c>
      <c r="K109" s="15" t="inlineStr">
        <is>
          <t>A</t>
        </is>
      </c>
      <c r="L109" s="16" t="n">
        <v>1</v>
      </c>
      <c r="M109" s="15" t="n">
        <v>20</v>
      </c>
      <c r="N109" s="15" t="n">
        <v>15</v>
      </c>
      <c r="O109" s="15" t="inlineStr">
        <is>
          <t>Đã mở</t>
        </is>
      </c>
      <c r="P109" s="15" t="n"/>
    </row>
    <row r="110" hidden="1" ht="15.75" customHeight="1" s="57">
      <c r="A110" s="7" t="inlineStr">
        <is>
          <t>Khánh Hòa</t>
        </is>
      </c>
      <c r="B110" s="7" t="n">
        <v>1739</v>
      </c>
      <c r="C110" s="7" t="inlineStr">
        <is>
          <t>Huyện Diên Khánh</t>
        </is>
      </c>
      <c r="D110" s="7" t="n">
        <v>410408</v>
      </c>
      <c r="E110" s="7" t="inlineStr">
        <is>
          <t>Xã Diên Lâm</t>
        </is>
      </c>
      <c r="F110" s="7" t="n">
        <v>22793000</v>
      </c>
      <c r="G110" s="7" t="inlineStr">
        <is>
          <t>Bưu Cục Đường Tỉnh Lộ 10-Xã Diên Thọ-Khánh Hòa</t>
        </is>
      </c>
      <c r="H110" s="15" t="n">
        <v>22793000</v>
      </c>
      <c r="I110" s="15" t="inlineStr">
        <is>
          <t>Bưu Cục Đường Tỉnh Lộ 10-Xã Diên Thọ-Khánh Hòa</t>
        </is>
      </c>
      <c r="J110" s="15" t="b">
        <v>0</v>
      </c>
      <c r="K110" s="15" t="inlineStr">
        <is>
          <t>C</t>
        </is>
      </c>
      <c r="L110" s="16" t="n">
        <v>0</v>
      </c>
      <c r="M110" s="15" t="n"/>
      <c r="N110" s="15" t="n"/>
      <c r="O110" s="15" t="inlineStr">
        <is>
          <t>Chưa mở</t>
        </is>
      </c>
      <c r="P110" s="15" t="n"/>
    </row>
    <row r="111" hidden="1" ht="15.75" customHeight="1" s="57">
      <c r="A111" s="7" t="inlineStr">
        <is>
          <t>Khánh Hòa</t>
        </is>
      </c>
      <c r="B111" s="7" t="n">
        <v>1739</v>
      </c>
      <c r="C111" s="7" t="inlineStr">
        <is>
          <t>Huyện Diên Khánh</t>
        </is>
      </c>
      <c r="D111" s="7" t="n">
        <v>410409</v>
      </c>
      <c r="E111" s="7" t="inlineStr">
        <is>
          <t>Xã Diên Lộc</t>
        </is>
      </c>
      <c r="F111" s="7" t="n">
        <v>20143000</v>
      </c>
      <c r="G111" s="7" t="inlineStr">
        <is>
          <t>Bưu Cục 39 Hùng Vương-Diên Khánh-Khánh Hòa</t>
        </is>
      </c>
      <c r="H111" s="15" t="n">
        <v>20143000</v>
      </c>
      <c r="I111" s="15" t="inlineStr">
        <is>
          <t>Bưu Cục 39 Hùng Vương-Diên Khánh-Khánh Hòa</t>
        </is>
      </c>
      <c r="J111" s="15" t="b">
        <v>0</v>
      </c>
      <c r="K111" s="15" t="inlineStr">
        <is>
          <t>C</t>
        </is>
      </c>
      <c r="L111" s="16" t="n">
        <v>0</v>
      </c>
      <c r="M111" s="15" t="n"/>
      <c r="N111" s="15" t="n"/>
      <c r="O111" s="15" t="inlineStr">
        <is>
          <t>Chưa mở</t>
        </is>
      </c>
      <c r="P111" s="15" t="n"/>
    </row>
    <row r="112" hidden="1" ht="15.75" customHeight="1" s="57">
      <c r="A112" s="7" t="inlineStr">
        <is>
          <t>Khánh Hòa</t>
        </is>
      </c>
      <c r="B112" s="7" t="n">
        <v>1739</v>
      </c>
      <c r="C112" s="7" t="inlineStr">
        <is>
          <t>Huyện Diên Khánh</t>
        </is>
      </c>
      <c r="D112" s="7" t="n">
        <v>410410</v>
      </c>
      <c r="E112" s="7" t="inlineStr">
        <is>
          <t>Xã Diên Phú</t>
        </is>
      </c>
      <c r="F112" s="7" t="n">
        <v>20143000</v>
      </c>
      <c r="G112" s="7" t="inlineStr">
        <is>
          <t>Bưu Cục 39 Hùng Vương-Diên Khánh-Khánh Hòa</t>
        </is>
      </c>
      <c r="H112" s="15" t="n">
        <v>20143000</v>
      </c>
      <c r="I112" s="15" t="inlineStr">
        <is>
          <t>Bưu Cục 39 Hùng Vương-Diên Khánh-Khánh Hòa</t>
        </is>
      </c>
      <c r="J112" s="15" t="b">
        <v>1</v>
      </c>
      <c r="K112" s="15" t="inlineStr">
        <is>
          <t>A</t>
        </is>
      </c>
      <c r="L112" s="16" t="n">
        <v>1</v>
      </c>
      <c r="M112" s="15" t="n">
        <v>15</v>
      </c>
      <c r="N112" s="15" t="n">
        <v>15</v>
      </c>
      <c r="O112" s="15" t="inlineStr">
        <is>
          <t>Đã mở</t>
        </is>
      </c>
      <c r="P112" s="15" t="n"/>
    </row>
    <row r="113" hidden="1" ht="15.75" customHeight="1" s="57">
      <c r="A113" s="7" t="inlineStr">
        <is>
          <t>Khánh Hòa</t>
        </is>
      </c>
      <c r="B113" s="7" t="n">
        <v>1739</v>
      </c>
      <c r="C113" s="7" t="inlineStr">
        <is>
          <t>Huyện Diên Khánh</t>
        </is>
      </c>
      <c r="D113" s="7" t="n">
        <v>410411</v>
      </c>
      <c r="E113" s="7" t="inlineStr">
        <is>
          <t>Xã Diên Phước</t>
        </is>
      </c>
      <c r="F113" s="7" t="n">
        <v>22793000</v>
      </c>
      <c r="G113" s="7" t="inlineStr">
        <is>
          <t>Bưu Cục Đường Tỉnh Lộ 10-Xã Diên Thọ-Khánh Hòa</t>
        </is>
      </c>
      <c r="H113" s="15" t="n">
        <v>22793000</v>
      </c>
      <c r="I113" s="15" t="inlineStr">
        <is>
          <t>Bưu Cục Đường Tỉnh Lộ 10-Xã Diên Thọ-Khánh Hòa</t>
        </is>
      </c>
      <c r="J113" s="15" t="b">
        <v>1</v>
      </c>
      <c r="K113" s="15" t="inlineStr">
        <is>
          <t>A</t>
        </is>
      </c>
      <c r="L113" s="16" t="n">
        <v>1</v>
      </c>
      <c r="M113" s="15" t="n">
        <v>20</v>
      </c>
      <c r="N113" s="15" t="n">
        <v>15</v>
      </c>
      <c r="O113" s="15" t="inlineStr">
        <is>
          <t>Đã mở</t>
        </is>
      </c>
      <c r="P113" s="15" t="n"/>
    </row>
    <row r="114" hidden="1" ht="15.75" customHeight="1" s="57">
      <c r="A114" s="7" t="inlineStr">
        <is>
          <t>Khánh Hòa</t>
        </is>
      </c>
      <c r="B114" s="7" t="n">
        <v>1739</v>
      </c>
      <c r="C114" s="7" t="inlineStr">
        <is>
          <t>Huyện Diên Khánh</t>
        </is>
      </c>
      <c r="D114" s="7" t="n">
        <v>410412</v>
      </c>
      <c r="E114" s="7" t="inlineStr">
        <is>
          <t>Xã Diên Sơn</t>
        </is>
      </c>
      <c r="F114" s="7" t="n">
        <v>20143000</v>
      </c>
      <c r="G114" s="7" t="inlineStr">
        <is>
          <t>Bưu Cục 39 Hùng Vương-Diên Khánh-Khánh Hòa</t>
        </is>
      </c>
      <c r="H114" s="15" t="n">
        <v>20143000</v>
      </c>
      <c r="I114" s="15" t="inlineStr">
        <is>
          <t>Bưu Cục 39 Hùng Vương-Diên Khánh-Khánh Hòa</t>
        </is>
      </c>
      <c r="J114" s="15" t="b">
        <v>1</v>
      </c>
      <c r="K114" s="15" t="inlineStr">
        <is>
          <t>A</t>
        </is>
      </c>
      <c r="L114" s="16" t="n">
        <v>1</v>
      </c>
      <c r="M114" s="15" t="n">
        <v>15</v>
      </c>
      <c r="N114" s="15" t="n">
        <v>15</v>
      </c>
      <c r="O114" s="15" t="inlineStr">
        <is>
          <t>Đã mở</t>
        </is>
      </c>
      <c r="P114" s="15" t="n"/>
    </row>
    <row r="115" hidden="1" ht="15.75" customHeight="1" s="57">
      <c r="A115" s="7" t="inlineStr">
        <is>
          <t>Khánh Hòa</t>
        </is>
      </c>
      <c r="B115" s="7" t="n">
        <v>1739</v>
      </c>
      <c r="C115" s="7" t="inlineStr">
        <is>
          <t>Huyện Diên Khánh</t>
        </is>
      </c>
      <c r="D115" s="7" t="n">
        <v>410413</v>
      </c>
      <c r="E115" s="7" t="inlineStr">
        <is>
          <t>Xã Diên Tân</t>
        </is>
      </c>
      <c r="F115" s="7" t="n">
        <v>22793000</v>
      </c>
      <c r="G115" s="7" t="inlineStr">
        <is>
          <t>Bưu Cục Đường Tỉnh Lộ 10-Xã Diên Thọ-Khánh Hòa</t>
        </is>
      </c>
      <c r="H115" s="15" t="n">
        <v>22793000</v>
      </c>
      <c r="I115" s="15" t="inlineStr">
        <is>
          <t>Bưu Cục Đường Tỉnh Lộ 10-Xã Diên Thọ-Khánh Hòa</t>
        </is>
      </c>
      <c r="J115" s="15" t="b">
        <v>0</v>
      </c>
      <c r="K115" s="15" t="inlineStr">
        <is>
          <t>C</t>
        </is>
      </c>
      <c r="L115" s="16" t="n">
        <v>0</v>
      </c>
      <c r="M115" s="15" t="n"/>
      <c r="N115" s="15" t="n"/>
      <c r="O115" s="15" t="inlineStr">
        <is>
          <t>Chưa mở</t>
        </is>
      </c>
      <c r="P115" s="15" t="n"/>
    </row>
    <row r="116" hidden="1" ht="15.75" customHeight="1" s="57">
      <c r="A116" s="7" t="inlineStr">
        <is>
          <t>Khánh Hòa</t>
        </is>
      </c>
      <c r="B116" s="7" t="n">
        <v>1739</v>
      </c>
      <c r="C116" s="7" t="inlineStr">
        <is>
          <t>Huyện Diên Khánh</t>
        </is>
      </c>
      <c r="D116" s="7" t="n">
        <v>410414</v>
      </c>
      <c r="E116" s="7" t="inlineStr">
        <is>
          <t>Xã Diên Thạnh</t>
        </is>
      </c>
      <c r="F116" s="7" t="n">
        <v>22793000</v>
      </c>
      <c r="G116" s="7" t="inlineStr">
        <is>
          <t>Bưu Cục Đường Tỉnh Lộ 10-Xã Diên Thọ-Khánh Hòa</t>
        </is>
      </c>
      <c r="H116" s="15" t="n">
        <v>22793000</v>
      </c>
      <c r="I116" s="15" t="inlineStr">
        <is>
          <t>Bưu Cục Đường Tỉnh Lộ 10-Xã Diên Thọ-Khánh Hòa</t>
        </is>
      </c>
      <c r="J116" s="15" t="b">
        <v>1</v>
      </c>
      <c r="K116" s="15" t="inlineStr">
        <is>
          <t>A</t>
        </is>
      </c>
      <c r="L116" s="16" t="n">
        <v>1</v>
      </c>
      <c r="M116" s="15" t="n">
        <v>20</v>
      </c>
      <c r="N116" s="15" t="n">
        <v>15</v>
      </c>
      <c r="O116" s="15" t="inlineStr">
        <is>
          <t>Đã mở</t>
        </is>
      </c>
      <c r="P116" s="15" t="n"/>
    </row>
    <row r="117" hidden="1" ht="15.75" customHeight="1" s="57">
      <c r="A117" s="7" t="inlineStr">
        <is>
          <t>Khánh Hòa</t>
        </is>
      </c>
      <c r="B117" s="7" t="n">
        <v>1739</v>
      </c>
      <c r="C117" s="7" t="inlineStr">
        <is>
          <t>Huyện Diên Khánh</t>
        </is>
      </c>
      <c r="D117" s="7" t="n">
        <v>410415</v>
      </c>
      <c r="E117" s="7" t="inlineStr">
        <is>
          <t>Xã Diên Thọ</t>
        </is>
      </c>
      <c r="F117" s="7" t="n">
        <v>22793000</v>
      </c>
      <c r="G117" s="7" t="inlineStr">
        <is>
          <t>Bưu Cục Đường Tỉnh Lộ 10-Xã Diên Thọ-Khánh Hòa</t>
        </is>
      </c>
      <c r="H117" s="15" t="n">
        <v>22793000</v>
      </c>
      <c r="I117" s="15" t="inlineStr">
        <is>
          <t>Bưu Cục Đường Tỉnh Lộ 10-Xã Diên Thọ-Khánh Hòa</t>
        </is>
      </c>
      <c r="J117" s="15" t="b">
        <v>0</v>
      </c>
      <c r="K117" s="15" t="inlineStr">
        <is>
          <t>C</t>
        </is>
      </c>
      <c r="L117" s="16" t="n">
        <v>0</v>
      </c>
      <c r="M117" s="15" t="n"/>
      <c r="N117" s="15" t="n"/>
      <c r="O117" s="15" t="inlineStr">
        <is>
          <t>Chưa mở</t>
        </is>
      </c>
      <c r="P117" s="15" t="n"/>
    </row>
    <row r="118" hidden="1" ht="15.75" customHeight="1" s="57">
      <c r="A118" s="7" t="inlineStr">
        <is>
          <t>Khánh Hòa</t>
        </is>
      </c>
      <c r="B118" s="7" t="n">
        <v>1739</v>
      </c>
      <c r="C118" s="7" t="inlineStr">
        <is>
          <t>Huyện Diên Khánh</t>
        </is>
      </c>
      <c r="D118" s="7" t="n">
        <v>410416</v>
      </c>
      <c r="E118" s="7" t="inlineStr">
        <is>
          <t>Xã Diên Toàn</t>
        </is>
      </c>
      <c r="F118" s="7" t="n">
        <v>20143000</v>
      </c>
      <c r="G118" s="7" t="inlineStr">
        <is>
          <t>Bưu Cục 39 Hùng Vương-Diên Khánh-Khánh Hòa</t>
        </is>
      </c>
      <c r="H118" s="15" t="n">
        <v>20143000</v>
      </c>
      <c r="I118" s="15" t="inlineStr">
        <is>
          <t>Bưu Cục 39 Hùng Vương-Diên Khánh-Khánh Hòa</t>
        </is>
      </c>
      <c r="J118" s="15" t="b">
        <v>1</v>
      </c>
      <c r="K118" s="15" t="inlineStr">
        <is>
          <t>A</t>
        </is>
      </c>
      <c r="L118" s="16" t="n">
        <v>1</v>
      </c>
      <c r="M118" s="15" t="n">
        <v>15</v>
      </c>
      <c r="N118" s="15" t="n">
        <v>15</v>
      </c>
      <c r="O118" s="15" t="inlineStr">
        <is>
          <t>Đã mở</t>
        </is>
      </c>
      <c r="P118" s="15" t="n"/>
    </row>
    <row r="119" hidden="1" ht="15.75" customHeight="1" s="57">
      <c r="A119" s="7" t="inlineStr">
        <is>
          <t>Khánh Hòa</t>
        </is>
      </c>
      <c r="B119" s="7" t="n">
        <v>1739</v>
      </c>
      <c r="C119" s="7" t="inlineStr">
        <is>
          <t>Huyện Diên Khánh</t>
        </is>
      </c>
      <c r="D119" s="7" t="n">
        <v>410417</v>
      </c>
      <c r="E119" s="7" t="inlineStr">
        <is>
          <t>Xã Diên Xuân</t>
        </is>
      </c>
      <c r="F119" s="7" t="n">
        <v>22793000</v>
      </c>
      <c r="G119" s="7" t="inlineStr">
        <is>
          <t>Bưu Cục Đường Tỉnh Lộ 10-Xã Diên Thọ-Khánh Hòa</t>
        </is>
      </c>
      <c r="H119" s="15" t="n">
        <v>22793000</v>
      </c>
      <c r="I119" s="15" t="inlineStr">
        <is>
          <t>Bưu Cục Đường Tỉnh Lộ 10-Xã Diên Thọ-Khánh Hòa</t>
        </is>
      </c>
      <c r="J119" s="15" t="b">
        <v>0</v>
      </c>
      <c r="K119" s="15" t="inlineStr">
        <is>
          <t>C</t>
        </is>
      </c>
      <c r="L119" s="16" t="n">
        <v>0</v>
      </c>
      <c r="M119" s="15" t="n"/>
      <c r="N119" s="15" t="n"/>
      <c r="O119" s="15" t="inlineStr">
        <is>
          <t>Chưa mở</t>
        </is>
      </c>
      <c r="P119" s="15" t="n"/>
    </row>
    <row r="120" hidden="1" ht="15.75" customHeight="1" s="57">
      <c r="A120" s="7" t="inlineStr">
        <is>
          <t>Khánh Hòa</t>
        </is>
      </c>
      <c r="B120" s="7" t="n">
        <v>1739</v>
      </c>
      <c r="C120" s="7" t="inlineStr">
        <is>
          <t>Huyện Diên Khánh</t>
        </is>
      </c>
      <c r="D120" s="7" t="n">
        <v>410418</v>
      </c>
      <c r="E120" s="7" t="inlineStr">
        <is>
          <t>Xã Suối Hiệp</t>
        </is>
      </c>
      <c r="F120" s="7" t="n">
        <v>20143000</v>
      </c>
      <c r="G120" s="7" t="inlineStr">
        <is>
          <t>Bưu Cục 39 Hùng Vương-Diên Khánh-Khánh Hòa</t>
        </is>
      </c>
      <c r="H120" s="15" t="n">
        <v>20143000</v>
      </c>
      <c r="I120" s="15" t="inlineStr">
        <is>
          <t>Bưu Cục 39 Hùng Vương-Diên Khánh-Khánh Hòa</t>
        </is>
      </c>
      <c r="J120" s="15" t="b">
        <v>0</v>
      </c>
      <c r="K120" s="15" t="inlineStr">
        <is>
          <t>C</t>
        </is>
      </c>
      <c r="L120" s="16" t="n">
        <v>0</v>
      </c>
      <c r="M120" s="15" t="n"/>
      <c r="N120" s="15" t="n"/>
      <c r="O120" s="15" t="inlineStr">
        <is>
          <t>Chưa mở</t>
        </is>
      </c>
      <c r="P120" s="15" t="n"/>
    </row>
    <row r="121" hidden="1" ht="15.75" customHeight="1" s="57">
      <c r="A121" s="7" t="inlineStr">
        <is>
          <t>Khánh Hòa</t>
        </is>
      </c>
      <c r="B121" s="7" t="n">
        <v>1739</v>
      </c>
      <c r="C121" s="7" t="inlineStr">
        <is>
          <t>Huyện Diên Khánh</t>
        </is>
      </c>
      <c r="D121" s="7" t="n">
        <v>410419</v>
      </c>
      <c r="E121" s="7" t="inlineStr">
        <is>
          <t>Xã Suối Tiên</t>
        </is>
      </c>
      <c r="F121" s="7" t="n">
        <v>20143000</v>
      </c>
      <c r="G121" s="7" t="inlineStr">
        <is>
          <t>Bưu Cục 39 Hùng Vương-Diên Khánh-Khánh Hòa</t>
        </is>
      </c>
      <c r="H121" s="15" t="n">
        <v>20143000</v>
      </c>
      <c r="I121" s="15" t="inlineStr">
        <is>
          <t>Bưu Cục 39 Hùng Vương-Diên Khánh-Khánh Hòa</t>
        </is>
      </c>
      <c r="J121" s="15" t="b">
        <v>0</v>
      </c>
      <c r="K121" s="15" t="inlineStr">
        <is>
          <t>C</t>
        </is>
      </c>
      <c r="L121" s="16" t="n">
        <v>0</v>
      </c>
      <c r="M121" s="15" t="n"/>
      <c r="N121" s="15" t="n"/>
      <c r="O121" s="15" t="inlineStr">
        <is>
          <t>Chưa mở</t>
        </is>
      </c>
      <c r="P121" s="15" t="n"/>
    </row>
    <row r="122" hidden="1" ht="15.75" customHeight="1" s="57">
      <c r="A122" s="7" t="inlineStr">
        <is>
          <t>Khánh Hòa</t>
        </is>
      </c>
      <c r="B122" s="7" t="n">
        <v>1739</v>
      </c>
      <c r="C122" s="7" t="inlineStr">
        <is>
          <t>Huyện Diên Khánh</t>
        </is>
      </c>
      <c r="D122" s="7" t="n">
        <v>800301</v>
      </c>
      <c r="E122" s="7" t="inlineStr">
        <is>
          <t>Xã Bình Lộc</t>
        </is>
      </c>
      <c r="F122" s="7" t="n">
        <v>20143000</v>
      </c>
      <c r="G122" s="7" t="inlineStr">
        <is>
          <t>Bưu Cục 39 Hùng Vương-Diên Khánh-Khánh Hòa</t>
        </is>
      </c>
      <c r="H122" s="15" t="n">
        <v>20143000</v>
      </c>
      <c r="I122" s="15" t="inlineStr">
        <is>
          <t>Bưu Cục 39 Hùng Vương-Diên Khánh-Khánh Hòa</t>
        </is>
      </c>
      <c r="J122" s="15" t="b">
        <v>0</v>
      </c>
      <c r="K122" s="15" t="inlineStr">
        <is>
          <t>C</t>
        </is>
      </c>
      <c r="L122" s="16" t="n">
        <v>0</v>
      </c>
      <c r="M122" s="15" t="n"/>
      <c r="N122" s="15" t="n"/>
      <c r="O122" s="15" t="inlineStr">
        <is>
          <t>Chưa mở</t>
        </is>
      </c>
      <c r="P122" s="15" t="n"/>
    </row>
    <row r="123" hidden="1" ht="15.75" customHeight="1" s="57">
      <c r="A123" s="7" t="inlineStr">
        <is>
          <t>Khánh Hòa</t>
        </is>
      </c>
      <c r="B123" s="7" t="n">
        <v>1739</v>
      </c>
      <c r="C123" s="7" t="inlineStr">
        <is>
          <t>Huyện Diên Khánh</t>
        </is>
      </c>
      <c r="D123" s="7" t="n">
        <v>91591</v>
      </c>
      <c r="E123" s="7" t="inlineStr">
        <is>
          <t>Xã Xuân Đồng</t>
        </is>
      </c>
      <c r="F123" s="7" t="n">
        <v>22793000</v>
      </c>
      <c r="G123" s="7" t="inlineStr">
        <is>
          <t>Bưu Cục Đường Tỉnh Lộ 10-Xã Diên Thọ-Khánh Hòa</t>
        </is>
      </c>
      <c r="H123" s="15" t="n">
        <v>22793000</v>
      </c>
      <c r="I123" s="15" t="inlineStr">
        <is>
          <t>Bưu Cục Đường Tỉnh Lộ 10-Xã Diên Thọ-Khánh Hòa</t>
        </is>
      </c>
      <c r="J123" s="15" t="b">
        <v>0</v>
      </c>
      <c r="K123" s="15" t="inlineStr">
        <is>
          <t>C</t>
        </is>
      </c>
      <c r="L123" s="16" t="n">
        <v>0</v>
      </c>
      <c r="M123" s="15" t="n"/>
      <c r="N123" s="15" t="n"/>
      <c r="O123" s="15" t="inlineStr">
        <is>
          <t>Chưa mở</t>
        </is>
      </c>
      <c r="P123" s="15" t="n"/>
    </row>
    <row r="124" hidden="1" ht="15.75" customHeight="1" s="57">
      <c r="A124" s="7" t="inlineStr">
        <is>
          <t>Bình Thuận</t>
        </is>
      </c>
      <c r="B124" s="7" t="n">
        <v>1776</v>
      </c>
      <c r="C124" s="7" t="inlineStr">
        <is>
          <t>Huyện Hàm Thuận Nam</t>
        </is>
      </c>
      <c r="D124" s="7" t="n">
        <v>470501</v>
      </c>
      <c r="E124" s="7" t="inlineStr">
        <is>
          <t>Thị trấn Thuận Nam</t>
        </is>
      </c>
      <c r="F124" s="7" t="n">
        <v>21065000</v>
      </c>
      <c r="G124" s="7" t="inlineStr">
        <is>
          <t>Bưu cục 47 Trần Hưng Đạo-Hàm Thuận Nam-Bình Thuận</t>
        </is>
      </c>
      <c r="H124" s="15" t="n">
        <v>21065000</v>
      </c>
      <c r="I124" s="15" t="inlineStr">
        <is>
          <t>Bưu cục 47 Trần Hưng Đạo-Hàm Thuận Nam-Bình Thuận</t>
        </is>
      </c>
      <c r="J124" s="15" t="b">
        <v>0</v>
      </c>
      <c r="K124" s="15" t="inlineStr">
        <is>
          <t>C</t>
        </is>
      </c>
      <c r="L124" s="16" t="n">
        <v>0</v>
      </c>
      <c r="M124" s="15" t="n"/>
      <c r="N124" s="15" t="n"/>
      <c r="O124" s="15" t="inlineStr">
        <is>
          <t>Chưa mở</t>
        </is>
      </c>
      <c r="P124" s="15" t="n"/>
    </row>
    <row r="125" hidden="1" ht="15.75" customHeight="1" s="57">
      <c r="A125" s="7" t="inlineStr">
        <is>
          <t>Bình Thuận</t>
        </is>
      </c>
      <c r="B125" s="7" t="n">
        <v>1776</v>
      </c>
      <c r="C125" s="7" t="inlineStr">
        <is>
          <t>Huyện Hàm Thuận Nam</t>
        </is>
      </c>
      <c r="D125" s="7" t="n">
        <v>470502</v>
      </c>
      <c r="E125" s="7" t="inlineStr">
        <is>
          <t>Xã Hàm Cần</t>
        </is>
      </c>
      <c r="F125" s="7" t="n">
        <v>21290000</v>
      </c>
      <c r="G125" s="7" t="inlineStr">
        <is>
          <t>Bưu cục DT707-Hàm Thuận Nam-Bình Thuận</t>
        </is>
      </c>
      <c r="H125" s="15" t="n">
        <v>21290000</v>
      </c>
      <c r="I125" s="15" t="inlineStr">
        <is>
          <t>Bưu cục DT707-Hàm Thuận Nam-Bình Thuận</t>
        </is>
      </c>
      <c r="J125" s="15" t="b">
        <v>0</v>
      </c>
      <c r="K125" s="15" t="inlineStr">
        <is>
          <t>C</t>
        </is>
      </c>
      <c r="L125" s="16" t="n">
        <v>0</v>
      </c>
      <c r="M125" s="15" t="n"/>
      <c r="N125" s="15" t="n"/>
      <c r="O125" s="15" t="inlineStr">
        <is>
          <t>Chưa mở</t>
        </is>
      </c>
      <c r="P125" s="15" t="n"/>
    </row>
    <row r="126" hidden="1" ht="15.75" customHeight="1" s="57">
      <c r="A126" s="7" t="inlineStr">
        <is>
          <t>Bình Thuận</t>
        </is>
      </c>
      <c r="B126" s="7" t="n">
        <v>1776</v>
      </c>
      <c r="C126" s="7" t="inlineStr">
        <is>
          <t>Huyện Hàm Thuận Nam</t>
        </is>
      </c>
      <c r="D126" s="7" t="n">
        <v>470503</v>
      </c>
      <c r="E126" s="7" t="inlineStr">
        <is>
          <t>Xã Hàm Cường</t>
        </is>
      </c>
      <c r="F126" s="7" t="n">
        <v>21290000</v>
      </c>
      <c r="G126" s="7" t="inlineStr">
        <is>
          <t>Bưu cục DT707-Hàm Thuận Nam-Bình Thuận</t>
        </is>
      </c>
      <c r="H126" s="15" t="n">
        <v>21290000</v>
      </c>
      <c r="I126" s="15" t="inlineStr">
        <is>
          <t>Bưu cục DT707-Hàm Thuận Nam-Bình Thuận</t>
        </is>
      </c>
      <c r="J126" s="15" t="b">
        <v>0</v>
      </c>
      <c r="K126" s="15" t="inlineStr">
        <is>
          <t>C</t>
        </is>
      </c>
      <c r="L126" s="16" t="n">
        <v>0</v>
      </c>
      <c r="M126" s="15" t="n"/>
      <c r="N126" s="15" t="n"/>
      <c r="O126" s="15" t="inlineStr">
        <is>
          <t>Chưa mở</t>
        </is>
      </c>
      <c r="P126" s="15" t="n"/>
    </row>
    <row r="127" hidden="1" ht="15.75" customHeight="1" s="57">
      <c r="A127" s="7" t="inlineStr">
        <is>
          <t>Bình Thuận</t>
        </is>
      </c>
      <c r="B127" s="7" t="n">
        <v>1776</v>
      </c>
      <c r="C127" s="7" t="inlineStr">
        <is>
          <t>Huyện Hàm Thuận Nam</t>
        </is>
      </c>
      <c r="D127" s="7" t="n">
        <v>470504</v>
      </c>
      <c r="E127" s="7" t="inlineStr">
        <is>
          <t>Xã Hàm Kiệm</t>
        </is>
      </c>
      <c r="F127" s="7" t="n">
        <v>21290000</v>
      </c>
      <c r="G127" s="7" t="inlineStr">
        <is>
          <t>Bưu cục DT707-Hàm Thuận Nam-Bình Thuận</t>
        </is>
      </c>
      <c r="H127" s="15" t="n">
        <v>21290000</v>
      </c>
      <c r="I127" s="15" t="inlineStr">
        <is>
          <t>Bưu cục DT707-Hàm Thuận Nam-Bình Thuận</t>
        </is>
      </c>
      <c r="J127" s="15" t="b">
        <v>0</v>
      </c>
      <c r="K127" s="15" t="inlineStr">
        <is>
          <t>C</t>
        </is>
      </c>
      <c r="L127" s="16" t="n">
        <v>0</v>
      </c>
      <c r="M127" s="15" t="n"/>
      <c r="N127" s="15" t="n"/>
      <c r="O127" s="15" t="inlineStr">
        <is>
          <t>Chưa mở</t>
        </is>
      </c>
      <c r="P127" s="15" t="n"/>
    </row>
    <row r="128" hidden="1" ht="15.75" customHeight="1" s="57">
      <c r="A128" s="7" t="inlineStr">
        <is>
          <t>Bình Thuận</t>
        </is>
      </c>
      <c r="B128" s="7" t="n">
        <v>1776</v>
      </c>
      <c r="C128" s="7" t="inlineStr">
        <is>
          <t>Huyện Hàm Thuận Nam</t>
        </is>
      </c>
      <c r="D128" s="7" t="n">
        <v>470505</v>
      </c>
      <c r="E128" s="7" t="inlineStr">
        <is>
          <t>Xã Hàm Minh</t>
        </is>
      </c>
      <c r="F128" s="7" t="n">
        <v>21065000</v>
      </c>
      <c r="G128" s="7" t="inlineStr">
        <is>
          <t>Bưu cục 47 Trần Hưng Đạo-Hàm Thuận Nam-Bình Thuận</t>
        </is>
      </c>
      <c r="H128" s="15" t="n">
        <v>21065000</v>
      </c>
      <c r="I128" s="15" t="inlineStr">
        <is>
          <t>Bưu cục 47 Trần Hưng Đạo-Hàm Thuận Nam-Bình Thuận</t>
        </is>
      </c>
      <c r="J128" s="15" t="b">
        <v>0</v>
      </c>
      <c r="K128" s="15" t="inlineStr">
        <is>
          <t>C</t>
        </is>
      </c>
      <c r="L128" s="16" t="n">
        <v>0</v>
      </c>
      <c r="M128" s="15" t="n"/>
      <c r="N128" s="15" t="n"/>
      <c r="O128" s="15" t="inlineStr">
        <is>
          <t>Chưa mở</t>
        </is>
      </c>
      <c r="P128" s="15" t="n"/>
    </row>
    <row r="129" hidden="1" ht="15.75" customHeight="1" s="57">
      <c r="A129" s="7" t="inlineStr">
        <is>
          <t>Bình Thuận</t>
        </is>
      </c>
      <c r="B129" s="7" t="n">
        <v>1776</v>
      </c>
      <c r="C129" s="7" t="inlineStr">
        <is>
          <t>Huyện Hàm Thuận Nam</t>
        </is>
      </c>
      <c r="D129" s="7" t="n">
        <v>470506</v>
      </c>
      <c r="E129" s="7" t="inlineStr">
        <is>
          <t>Xã Hàm Mỹ</t>
        </is>
      </c>
      <c r="F129" s="7" t="n">
        <v>21290000</v>
      </c>
      <c r="G129" s="7" t="inlineStr">
        <is>
          <t>Bưu cục DT707-Hàm Thuận Nam-Bình Thuận</t>
        </is>
      </c>
      <c r="H129" s="15" t="n">
        <v>21290000</v>
      </c>
      <c r="I129" s="15" t="inlineStr">
        <is>
          <t>Bưu cục DT707-Hàm Thuận Nam-Bình Thuận</t>
        </is>
      </c>
      <c r="J129" s="15" t="b">
        <v>0</v>
      </c>
      <c r="K129" s="15" t="inlineStr">
        <is>
          <t>C</t>
        </is>
      </c>
      <c r="L129" s="16" t="n">
        <v>0</v>
      </c>
      <c r="M129" s="15" t="n"/>
      <c r="N129" s="15" t="n"/>
      <c r="O129" s="15" t="inlineStr">
        <is>
          <t>Chưa mở</t>
        </is>
      </c>
      <c r="P129" s="15" t="n"/>
    </row>
    <row r="130" hidden="1" ht="15.75" customHeight="1" s="57">
      <c r="A130" s="7" t="inlineStr">
        <is>
          <t>Bình Thuận</t>
        </is>
      </c>
      <c r="B130" s="7" t="n">
        <v>1776</v>
      </c>
      <c r="C130" s="7" t="inlineStr">
        <is>
          <t>Huyện Hàm Thuận Nam</t>
        </is>
      </c>
      <c r="D130" s="7" t="n">
        <v>470507</v>
      </c>
      <c r="E130" s="7" t="inlineStr">
        <is>
          <t>Xã Hàm Thạnh</t>
        </is>
      </c>
      <c r="F130" s="7" t="n">
        <v>21290000</v>
      </c>
      <c r="G130" s="7" t="inlineStr">
        <is>
          <t>Bưu cục DT707-Hàm Thuận Nam-Bình Thuận</t>
        </is>
      </c>
      <c r="H130" s="15" t="n">
        <v>21290000</v>
      </c>
      <c r="I130" s="15" t="inlineStr">
        <is>
          <t>Bưu cục DT707-Hàm Thuận Nam-Bình Thuận</t>
        </is>
      </c>
      <c r="J130" s="15" t="b">
        <v>0</v>
      </c>
      <c r="K130" s="15" t="inlineStr">
        <is>
          <t>C</t>
        </is>
      </c>
      <c r="L130" s="16" t="n">
        <v>0</v>
      </c>
      <c r="M130" s="15" t="n"/>
      <c r="N130" s="15" t="n"/>
      <c r="O130" s="15" t="inlineStr">
        <is>
          <t>Chưa mở</t>
        </is>
      </c>
      <c r="P130" s="15" t="n"/>
    </row>
    <row r="131" hidden="1" ht="15.75" customHeight="1" s="57">
      <c r="A131" s="7" t="inlineStr">
        <is>
          <t>Bình Thuận</t>
        </is>
      </c>
      <c r="B131" s="7" t="n">
        <v>1776</v>
      </c>
      <c r="C131" s="7" t="inlineStr">
        <is>
          <t>Huyện Hàm Thuận Nam</t>
        </is>
      </c>
      <c r="D131" s="7" t="n">
        <v>470508</v>
      </c>
      <c r="E131" s="7" t="inlineStr">
        <is>
          <t>Xã Mương Mán</t>
        </is>
      </c>
      <c r="F131" s="7" t="n">
        <v>21290000</v>
      </c>
      <c r="G131" s="7" t="inlineStr">
        <is>
          <t>Bưu cục DT707-Hàm Thuận Nam-Bình Thuận</t>
        </is>
      </c>
      <c r="H131" s="15" t="n">
        <v>21290000</v>
      </c>
      <c r="I131" s="15" t="inlineStr">
        <is>
          <t>Bưu cục DT707-Hàm Thuận Nam-Bình Thuận</t>
        </is>
      </c>
      <c r="J131" s="15" t="b">
        <v>0</v>
      </c>
      <c r="K131" s="15" t="inlineStr">
        <is>
          <t>C</t>
        </is>
      </c>
      <c r="L131" s="16" t="n">
        <v>0</v>
      </c>
      <c r="M131" s="15" t="n"/>
      <c r="N131" s="15" t="n"/>
      <c r="O131" s="15" t="inlineStr">
        <is>
          <t>Chưa mở</t>
        </is>
      </c>
      <c r="P131" s="15" t="n"/>
    </row>
    <row r="132" hidden="1" ht="15.75" customHeight="1" s="57">
      <c r="A132" s="7" t="inlineStr">
        <is>
          <t>Bình Thuận</t>
        </is>
      </c>
      <c r="B132" s="7" t="n">
        <v>1776</v>
      </c>
      <c r="C132" s="7" t="inlineStr">
        <is>
          <t>Huyện Hàm Thuận Nam</t>
        </is>
      </c>
      <c r="D132" s="7" t="n">
        <v>470509</v>
      </c>
      <c r="E132" s="7" t="inlineStr">
        <is>
          <t>Xã Mỹ Thạnh</t>
        </is>
      </c>
      <c r="F132" s="7" t="n">
        <v>21290000</v>
      </c>
      <c r="G132" s="7" t="inlineStr">
        <is>
          <t>Bưu cục DT707-Hàm Thuận Nam-Bình Thuận</t>
        </is>
      </c>
      <c r="H132" s="15" t="n">
        <v>21290000</v>
      </c>
      <c r="I132" s="15" t="inlineStr">
        <is>
          <t>Bưu cục DT707-Hàm Thuận Nam-Bình Thuận</t>
        </is>
      </c>
      <c r="J132" s="15" t="b">
        <v>0</v>
      </c>
      <c r="K132" s="15" t="inlineStr">
        <is>
          <t>C</t>
        </is>
      </c>
      <c r="L132" s="16" t="n">
        <v>0</v>
      </c>
      <c r="M132" s="15" t="n"/>
      <c r="N132" s="15" t="n"/>
      <c r="O132" s="15" t="inlineStr">
        <is>
          <t>Chưa mở</t>
        </is>
      </c>
      <c r="P132" s="15" t="n"/>
    </row>
    <row r="133" hidden="1" ht="15.75" customHeight="1" s="57">
      <c r="A133" s="7" t="inlineStr">
        <is>
          <t>Bình Thuận</t>
        </is>
      </c>
      <c r="B133" s="7" t="n">
        <v>1776</v>
      </c>
      <c r="C133" s="7" t="inlineStr">
        <is>
          <t>Huyện Hàm Thuận Nam</t>
        </is>
      </c>
      <c r="D133" s="7" t="n">
        <v>470510</v>
      </c>
      <c r="E133" s="7" t="inlineStr">
        <is>
          <t>Xã Tân Lập</t>
        </is>
      </c>
      <c r="F133" s="7" t="n">
        <v>20687000</v>
      </c>
      <c r="G133" s="7" t="inlineStr">
        <is>
          <t>Bưu Cục 46 Hùng Vương-Hàm Tân-Bình Thuận</t>
        </is>
      </c>
      <c r="H133" s="15" t="n">
        <v>20687000</v>
      </c>
      <c r="I133" s="15" t="inlineStr">
        <is>
          <t>Bưu Cục 46 Hùng Vương-Hàm Tân-Bình Thuận</t>
        </is>
      </c>
      <c r="J133" s="15" t="b">
        <v>0</v>
      </c>
      <c r="K133" s="15" t="inlineStr">
        <is>
          <t>C</t>
        </is>
      </c>
      <c r="L133" s="16" t="n">
        <v>0</v>
      </c>
      <c r="M133" s="15" t="n"/>
      <c r="N133" s="15" t="n"/>
      <c r="O133" s="15" t="inlineStr">
        <is>
          <t>Chưa mở</t>
        </is>
      </c>
      <c r="P133" s="15" t="n"/>
    </row>
    <row r="134" hidden="1" ht="15.75" customHeight="1" s="57">
      <c r="A134" s="7" t="inlineStr">
        <is>
          <t>Bình Thuận</t>
        </is>
      </c>
      <c r="B134" s="7" t="n">
        <v>1776</v>
      </c>
      <c r="C134" s="7" t="inlineStr">
        <is>
          <t>Huyện Hàm Thuận Nam</t>
        </is>
      </c>
      <c r="D134" s="7" t="n">
        <v>470511</v>
      </c>
      <c r="E134" s="7" t="inlineStr">
        <is>
          <t>Xã Tân Thành</t>
        </is>
      </c>
      <c r="F134" s="7" t="n">
        <v>21067000</v>
      </c>
      <c r="G134" s="7" t="inlineStr">
        <is>
          <t>Bưu Cục Số 7 Lê Thánh Tôn-LaGi-Bình Thuận</t>
        </is>
      </c>
      <c r="H134" s="15" t="n">
        <v>21067000</v>
      </c>
      <c r="I134" s="15" t="inlineStr">
        <is>
          <t>Bưu Cục Số 7 Lê Thánh Tôn-LaGi-Bình Thuận</t>
        </is>
      </c>
      <c r="J134" s="15" t="b">
        <v>0</v>
      </c>
      <c r="K134" s="15" t="inlineStr">
        <is>
          <t>C</t>
        </is>
      </c>
      <c r="L134" s="16" t="n">
        <v>0</v>
      </c>
      <c r="M134" s="15" t="n"/>
      <c r="N134" s="15" t="n"/>
      <c r="O134" s="15" t="inlineStr">
        <is>
          <t>Chưa mở</t>
        </is>
      </c>
      <c r="P134" s="15" t="n"/>
    </row>
    <row r="135" hidden="1" ht="15.75" customHeight="1" s="57">
      <c r="A135" s="7" t="inlineStr">
        <is>
          <t>Bình Thuận</t>
        </is>
      </c>
      <c r="B135" s="7" t="n">
        <v>1776</v>
      </c>
      <c r="C135" s="7" t="inlineStr">
        <is>
          <t>Huyện Hàm Thuận Nam</t>
        </is>
      </c>
      <c r="D135" s="7" t="n">
        <v>470512</v>
      </c>
      <c r="E135" s="7" t="inlineStr">
        <is>
          <t>Xã Tân Thuận</t>
        </is>
      </c>
      <c r="F135" s="7" t="n">
        <v>21067000</v>
      </c>
      <c r="G135" s="7" t="inlineStr">
        <is>
          <t>Bưu Cục Số 7 Lê Thánh Tôn-LaGi-Bình Thuận</t>
        </is>
      </c>
      <c r="H135" s="15" t="n">
        <v>21067000</v>
      </c>
      <c r="I135" s="15" t="inlineStr">
        <is>
          <t>Bưu Cục Số 7 Lê Thánh Tôn-LaGi-Bình Thuận</t>
        </is>
      </c>
      <c r="J135" s="15" t="b">
        <v>0</v>
      </c>
      <c r="K135" s="15" t="inlineStr">
        <is>
          <t>C</t>
        </is>
      </c>
      <c r="L135" s="16" t="n">
        <v>0</v>
      </c>
      <c r="M135" s="15" t="n"/>
      <c r="N135" s="15" t="n"/>
      <c r="O135" s="15" t="inlineStr">
        <is>
          <t>Chưa mở</t>
        </is>
      </c>
      <c r="P135" s="15" t="n"/>
    </row>
    <row r="136" hidden="1" ht="15.75" customHeight="1" s="57">
      <c r="A136" s="7" t="inlineStr">
        <is>
          <t>Bình Thuận</t>
        </is>
      </c>
      <c r="B136" s="7" t="n">
        <v>1776</v>
      </c>
      <c r="C136" s="7" t="inlineStr">
        <is>
          <t>Huyện Hàm Thuận Nam</t>
        </is>
      </c>
      <c r="D136" s="7" t="n">
        <v>470513</v>
      </c>
      <c r="E136" s="7" t="inlineStr">
        <is>
          <t>Xã Thuận Quí</t>
        </is>
      </c>
      <c r="F136" s="7" t="n">
        <v>21065000</v>
      </c>
      <c r="G136" s="7" t="inlineStr">
        <is>
          <t>Bưu cục 47 Trần Hưng Đạo-Hàm Thuận Nam-Bình Thuận</t>
        </is>
      </c>
      <c r="H136" s="15" t="n">
        <v>21065000</v>
      </c>
      <c r="I136" s="15" t="inlineStr">
        <is>
          <t>Bưu cục 47 Trần Hưng Đạo-Hàm Thuận Nam-Bình Thuận</t>
        </is>
      </c>
      <c r="J136" s="15" t="b">
        <v>0</v>
      </c>
      <c r="K136" s="15" t="inlineStr">
        <is>
          <t>C</t>
        </is>
      </c>
      <c r="L136" s="16" t="n">
        <v>0</v>
      </c>
      <c r="M136" s="15" t="n"/>
      <c r="N136" s="15" t="n"/>
      <c r="O136" s="15" t="inlineStr">
        <is>
          <t>Chưa mở</t>
        </is>
      </c>
      <c r="P136" s="15" t="n"/>
    </row>
    <row r="137" hidden="1" ht="15.75" customHeight="1" s="57">
      <c r="A137" s="7" t="inlineStr">
        <is>
          <t>Bình Thuận</t>
        </is>
      </c>
      <c r="B137" s="7" t="n">
        <v>1777</v>
      </c>
      <c r="C137" s="7" t="inlineStr">
        <is>
          <t>Huyện Hàm Thuận Bắc</t>
        </is>
      </c>
      <c r="D137" s="7" t="n">
        <v>470401</v>
      </c>
      <c r="E137" s="7" t="inlineStr">
        <is>
          <t>Thị trấn Ma Lâm</t>
        </is>
      </c>
      <c r="F137" s="7" t="n">
        <v>22483000</v>
      </c>
      <c r="G137" s="7" t="inlineStr">
        <is>
          <t>Bưu Cục 575 Quốc Lộ 28-Xã Hàm Thuận-Bình Thuận</t>
        </is>
      </c>
      <c r="H137" s="15" t="n">
        <v>22483000</v>
      </c>
      <c r="I137" s="15" t="inlineStr">
        <is>
          <t>Bưu Cục 575 Quốc Lộ 28-Xã Hàm Thuận-Bình Thuận</t>
        </is>
      </c>
      <c r="J137" s="15" t="b">
        <v>1</v>
      </c>
      <c r="K137" s="15" t="inlineStr">
        <is>
          <t>C</t>
        </is>
      </c>
      <c r="L137" s="16" t="n">
        <v>0</v>
      </c>
      <c r="M137" s="15" t="n"/>
      <c r="N137" s="15" t="n"/>
      <c r="O137" s="15" t="inlineStr">
        <is>
          <t>Đã mở</t>
        </is>
      </c>
      <c r="P137" s="15" t="n"/>
    </row>
    <row r="138" hidden="1" ht="15.75" customHeight="1" s="57">
      <c r="A138" s="7" t="inlineStr">
        <is>
          <t>Bình Thuận</t>
        </is>
      </c>
      <c r="B138" s="7" t="n">
        <v>1777</v>
      </c>
      <c r="C138" s="7" t="inlineStr">
        <is>
          <t>Huyện Hàm Thuận Bắc</t>
        </is>
      </c>
      <c r="D138" s="7" t="n">
        <v>470402</v>
      </c>
      <c r="E138" s="7" t="inlineStr">
        <is>
          <t>Thị trấn Phú Long</t>
        </is>
      </c>
      <c r="F138" s="7" t="n">
        <v>21403000</v>
      </c>
      <c r="G138" s="7" t="inlineStr">
        <is>
          <t>Bưu Cục Hàm Liêm-Hàm Thuận Bắc-Bình Thuận</t>
        </is>
      </c>
      <c r="H138" s="15" t="n">
        <v>21403000</v>
      </c>
      <c r="I138" s="15" t="inlineStr">
        <is>
          <t>Bưu Cục Hàm Liêm-Hàm Thuận Bắc-Bình Thuận</t>
        </is>
      </c>
      <c r="J138" s="15" t="b">
        <v>1</v>
      </c>
      <c r="K138" s="15" t="inlineStr">
        <is>
          <t>C</t>
        </is>
      </c>
      <c r="L138" s="16" t="n">
        <v>0</v>
      </c>
      <c r="M138" s="15" t="n"/>
      <c r="N138" s="15" t="n"/>
      <c r="O138" s="15" t="inlineStr">
        <is>
          <t>Đã mở</t>
        </is>
      </c>
      <c r="P138" s="15" t="n"/>
    </row>
    <row r="139" hidden="1" ht="15.75" customHeight="1" s="57">
      <c r="A139" s="7" t="inlineStr">
        <is>
          <t>Bình Thuận</t>
        </is>
      </c>
      <c r="B139" s="7" t="n">
        <v>1777</v>
      </c>
      <c r="C139" s="7" t="inlineStr">
        <is>
          <t>Huyện Hàm Thuận Bắc</t>
        </is>
      </c>
      <c r="D139" s="7" t="n">
        <v>470403</v>
      </c>
      <c r="E139" s="7" t="inlineStr">
        <is>
          <t>Xã Đa Mi</t>
        </is>
      </c>
      <c r="F139" s="7" t="n">
        <v>22483000</v>
      </c>
      <c r="G139" s="7" t="inlineStr">
        <is>
          <t>Bưu Cục 575 Quốc Lộ 28-Xã Hàm Thuận-Bình Thuận</t>
        </is>
      </c>
      <c r="H139" s="15" t="n">
        <v>22483000</v>
      </c>
      <c r="I139" s="15" t="inlineStr">
        <is>
          <t>Bưu Cục 575 Quốc Lộ 28-Xã Hàm Thuận-Bình Thuận</t>
        </is>
      </c>
      <c r="J139" s="15" t="b">
        <v>0</v>
      </c>
      <c r="K139" s="15" t="inlineStr">
        <is>
          <t>C</t>
        </is>
      </c>
      <c r="L139" s="16" t="n">
        <v>0</v>
      </c>
      <c r="M139" s="15" t="n"/>
      <c r="N139" s="15" t="n"/>
      <c r="O139" s="15" t="inlineStr">
        <is>
          <t>Chưa mở</t>
        </is>
      </c>
      <c r="P139" s="15" t="n"/>
    </row>
    <row r="140" hidden="1" ht="15.75" customHeight="1" s="57">
      <c r="A140" s="7" t="inlineStr">
        <is>
          <t>Bình Thuận</t>
        </is>
      </c>
      <c r="B140" s="7" t="n">
        <v>1777</v>
      </c>
      <c r="C140" s="7" t="inlineStr">
        <is>
          <t>Huyện Hàm Thuận Bắc</t>
        </is>
      </c>
      <c r="D140" s="7" t="n">
        <v>470404</v>
      </c>
      <c r="E140" s="7" t="inlineStr">
        <is>
          <t>Xã Đông Giang</t>
        </is>
      </c>
      <c r="F140" s="7" t="n">
        <v>22483000</v>
      </c>
      <c r="G140" s="7" t="inlineStr">
        <is>
          <t>Bưu Cục 575 Quốc Lộ 28-Xã Hàm Thuận-Bình Thuận</t>
        </is>
      </c>
      <c r="H140" s="15" t="n">
        <v>22483000</v>
      </c>
      <c r="I140" s="15" t="inlineStr">
        <is>
          <t>Bưu Cục 575 Quốc Lộ 28-Xã Hàm Thuận-Bình Thuận</t>
        </is>
      </c>
      <c r="J140" s="15" t="b">
        <v>0</v>
      </c>
      <c r="K140" s="15" t="inlineStr">
        <is>
          <t>C</t>
        </is>
      </c>
      <c r="L140" s="16" t="n">
        <v>0</v>
      </c>
      <c r="M140" s="15" t="n"/>
      <c r="N140" s="15" t="n"/>
      <c r="O140" s="15" t="inlineStr">
        <is>
          <t>Chưa mở</t>
        </is>
      </c>
      <c r="P140" s="15" t="n"/>
    </row>
    <row r="141" hidden="1" ht="15.75" customHeight="1" s="57">
      <c r="A141" s="7" t="inlineStr">
        <is>
          <t>Bình Thuận</t>
        </is>
      </c>
      <c r="B141" s="7" t="n">
        <v>1777</v>
      </c>
      <c r="C141" s="7" t="inlineStr">
        <is>
          <t>Huyện Hàm Thuận Bắc</t>
        </is>
      </c>
      <c r="D141" s="7" t="n">
        <v>470405</v>
      </c>
      <c r="E141" s="7" t="inlineStr">
        <is>
          <t>Xã Đông Tiến</t>
        </is>
      </c>
      <c r="F141" s="7" t="n">
        <v>22483000</v>
      </c>
      <c r="G141" s="7" t="inlineStr">
        <is>
          <t>Bưu Cục 575 Quốc Lộ 28-Xã Hàm Thuận-Bình Thuận</t>
        </is>
      </c>
      <c r="H141" s="15" t="n">
        <v>22483000</v>
      </c>
      <c r="I141" s="15" t="inlineStr">
        <is>
          <t>Bưu Cục 575 Quốc Lộ 28-Xã Hàm Thuận-Bình Thuận</t>
        </is>
      </c>
      <c r="J141" s="15" t="b">
        <v>0</v>
      </c>
      <c r="K141" s="15" t="inlineStr">
        <is>
          <t>C</t>
        </is>
      </c>
      <c r="L141" s="16" t="n">
        <v>0</v>
      </c>
      <c r="M141" s="15" t="n"/>
      <c r="N141" s="15" t="n"/>
      <c r="O141" s="15" t="inlineStr">
        <is>
          <t>Chưa mở</t>
        </is>
      </c>
      <c r="P141" s="15" t="n"/>
    </row>
    <row r="142" hidden="1" ht="15.75" customHeight="1" s="57">
      <c r="A142" s="7" t="inlineStr">
        <is>
          <t>Bình Thuận</t>
        </is>
      </c>
      <c r="B142" s="7" t="n">
        <v>1777</v>
      </c>
      <c r="C142" s="7" t="inlineStr">
        <is>
          <t>Huyện Hàm Thuận Bắc</t>
        </is>
      </c>
      <c r="D142" s="7" t="n">
        <v>470406</v>
      </c>
      <c r="E142" s="7" t="inlineStr">
        <is>
          <t>Xã Hàm Chính</t>
        </is>
      </c>
      <c r="F142" s="7" t="n">
        <v>21403000</v>
      </c>
      <c r="G142" s="7" t="inlineStr">
        <is>
          <t>Bưu Cục Hàm Liêm-Hàm Thuận Bắc-Bình Thuận</t>
        </is>
      </c>
      <c r="H142" s="15" t="n">
        <v>21403000</v>
      </c>
      <c r="I142" s="15" t="inlineStr">
        <is>
          <t>Bưu Cục Hàm Liêm-Hàm Thuận Bắc-Bình Thuận</t>
        </is>
      </c>
      <c r="J142" s="15" t="b">
        <v>1</v>
      </c>
      <c r="K142" s="15" t="inlineStr">
        <is>
          <t>C</t>
        </is>
      </c>
      <c r="L142" s="16" t="n">
        <v>0</v>
      </c>
      <c r="M142" s="15" t="n"/>
      <c r="N142" s="15" t="n"/>
      <c r="O142" s="15" t="inlineStr">
        <is>
          <t>Đã mở</t>
        </is>
      </c>
      <c r="P142" s="15" t="n"/>
    </row>
    <row r="143" hidden="1" ht="15.75" customHeight="1" s="57">
      <c r="A143" s="7" t="inlineStr">
        <is>
          <t>Bình Thuận</t>
        </is>
      </c>
      <c r="B143" s="7" t="n">
        <v>1777</v>
      </c>
      <c r="C143" s="7" t="inlineStr">
        <is>
          <t>Huyện Hàm Thuận Bắc</t>
        </is>
      </c>
      <c r="D143" s="7" t="n">
        <v>470407</v>
      </c>
      <c r="E143" s="7" t="inlineStr">
        <is>
          <t>Xã Hàm Đức</t>
        </is>
      </c>
      <c r="F143" s="7" t="n">
        <v>22483000</v>
      </c>
      <c r="G143" s="7" t="inlineStr">
        <is>
          <t>Bưu Cục 575 Quốc Lộ 28-Xã Hàm Thuận-Bình Thuận</t>
        </is>
      </c>
      <c r="H143" s="15" t="n">
        <v>22483000</v>
      </c>
      <c r="I143" s="15" t="inlineStr">
        <is>
          <t>Bưu Cục 575 Quốc Lộ 28-Xã Hàm Thuận-Bình Thuận</t>
        </is>
      </c>
      <c r="J143" s="15" t="b">
        <v>0</v>
      </c>
      <c r="K143" s="15" t="inlineStr">
        <is>
          <t>C</t>
        </is>
      </c>
      <c r="L143" s="16" t="n">
        <v>0</v>
      </c>
      <c r="M143" s="15" t="n"/>
      <c r="N143" s="15" t="n"/>
      <c r="O143" s="15" t="inlineStr">
        <is>
          <t>Chưa mở</t>
        </is>
      </c>
      <c r="P143" s="15" t="n"/>
    </row>
    <row r="144" hidden="1" ht="15.75" customHeight="1" s="57">
      <c r="A144" s="7" t="inlineStr">
        <is>
          <t>Bình Thuận</t>
        </is>
      </c>
      <c r="B144" s="7" t="n">
        <v>1777</v>
      </c>
      <c r="C144" s="7" t="inlineStr">
        <is>
          <t>Huyện Hàm Thuận Bắc</t>
        </is>
      </c>
      <c r="D144" s="7" t="n">
        <v>470408</v>
      </c>
      <c r="E144" s="7" t="inlineStr">
        <is>
          <t>Xã Hàm Hiệp</t>
        </is>
      </c>
      <c r="F144" s="7" t="n">
        <v>21403000</v>
      </c>
      <c r="G144" s="7" t="inlineStr">
        <is>
          <t>Bưu Cục Hàm Liêm-Hàm Thuận Bắc-Bình Thuận</t>
        </is>
      </c>
      <c r="H144" s="15" t="n">
        <v>21403000</v>
      </c>
      <c r="I144" s="15" t="inlineStr">
        <is>
          <t>Bưu Cục Hàm Liêm-Hàm Thuận Bắc-Bình Thuận</t>
        </is>
      </c>
      <c r="J144" s="15" t="b">
        <v>0</v>
      </c>
      <c r="K144" s="15" t="inlineStr">
        <is>
          <t>C</t>
        </is>
      </c>
      <c r="L144" s="16" t="n">
        <v>0</v>
      </c>
      <c r="M144" s="15" t="n"/>
      <c r="N144" s="15" t="n"/>
      <c r="O144" s="15" t="inlineStr">
        <is>
          <t>Chưa mở</t>
        </is>
      </c>
      <c r="P144" s="15" t="n"/>
    </row>
    <row r="145" hidden="1" ht="15.75" customHeight="1" s="57">
      <c r="A145" s="7" t="inlineStr">
        <is>
          <t>Bình Thuận</t>
        </is>
      </c>
      <c r="B145" s="7" t="n">
        <v>1777</v>
      </c>
      <c r="C145" s="7" t="inlineStr">
        <is>
          <t>Huyện Hàm Thuận Bắc</t>
        </is>
      </c>
      <c r="D145" s="7" t="n">
        <v>470409</v>
      </c>
      <c r="E145" s="7" t="inlineStr">
        <is>
          <t>Xã Hàm Liêm</t>
        </is>
      </c>
      <c r="F145" s="7" t="n">
        <v>21403000</v>
      </c>
      <c r="G145" s="7" t="inlineStr">
        <is>
          <t>Bưu Cục Hàm Liêm-Hàm Thuận Bắc-Bình Thuận</t>
        </is>
      </c>
      <c r="H145" s="15" t="n">
        <v>21403000</v>
      </c>
      <c r="I145" s="15" t="inlineStr">
        <is>
          <t>Bưu Cục Hàm Liêm-Hàm Thuận Bắc-Bình Thuận</t>
        </is>
      </c>
      <c r="J145" s="15" t="b">
        <v>1</v>
      </c>
      <c r="K145" s="15" t="inlineStr">
        <is>
          <t>C</t>
        </is>
      </c>
      <c r="L145" s="16" t="n">
        <v>0</v>
      </c>
      <c r="M145" s="15" t="n"/>
      <c r="N145" s="15" t="n"/>
      <c r="O145" s="15" t="inlineStr">
        <is>
          <t>Đã mở</t>
        </is>
      </c>
      <c r="P145" s="15" t="n"/>
    </row>
    <row r="146" hidden="1" ht="15.75" customHeight="1" s="57">
      <c r="A146" s="7" t="inlineStr">
        <is>
          <t>Bình Thuận</t>
        </is>
      </c>
      <c r="B146" s="7" t="n">
        <v>1777</v>
      </c>
      <c r="C146" s="7" t="inlineStr">
        <is>
          <t>Huyện Hàm Thuận Bắc</t>
        </is>
      </c>
      <c r="D146" s="7" t="n">
        <v>470410</v>
      </c>
      <c r="E146" s="7" t="inlineStr">
        <is>
          <t>Xã Hàm Phú</t>
        </is>
      </c>
      <c r="F146" s="7" t="n">
        <v>22483000</v>
      </c>
      <c r="G146" s="7" t="inlineStr">
        <is>
          <t>Bưu Cục 575 Quốc Lộ 28-Xã Hàm Thuận-Bình Thuận</t>
        </is>
      </c>
      <c r="H146" s="15" t="n">
        <v>22483000</v>
      </c>
      <c r="I146" s="15" t="inlineStr">
        <is>
          <t>Bưu Cục 575 Quốc Lộ 28-Xã Hàm Thuận-Bình Thuận</t>
        </is>
      </c>
      <c r="J146" s="15" t="b">
        <v>0</v>
      </c>
      <c r="K146" s="15" t="inlineStr">
        <is>
          <t>C</t>
        </is>
      </c>
      <c r="L146" s="16" t="n">
        <v>0</v>
      </c>
      <c r="M146" s="15" t="n"/>
      <c r="N146" s="15" t="n"/>
      <c r="O146" s="15" t="inlineStr">
        <is>
          <t>Chưa mở</t>
        </is>
      </c>
      <c r="P146" s="15" t="n"/>
    </row>
    <row r="147" hidden="1" ht="15.75" customHeight="1" s="57">
      <c r="A147" s="7" t="inlineStr">
        <is>
          <t>Bình Thuận</t>
        </is>
      </c>
      <c r="B147" s="7" t="n">
        <v>1777</v>
      </c>
      <c r="C147" s="7" t="inlineStr">
        <is>
          <t>Huyện Hàm Thuận Bắc</t>
        </is>
      </c>
      <c r="D147" s="7" t="n">
        <v>470411</v>
      </c>
      <c r="E147" s="7" t="inlineStr">
        <is>
          <t>Xã Hàm Thắng</t>
        </is>
      </c>
      <c r="F147" s="7" t="n">
        <v>21403000</v>
      </c>
      <c r="G147" s="7" t="inlineStr">
        <is>
          <t>Bưu Cục Hàm Liêm-Hàm Thuận Bắc-Bình Thuận</t>
        </is>
      </c>
      <c r="H147" s="15" t="n">
        <v>21403000</v>
      </c>
      <c r="I147" s="15" t="inlineStr">
        <is>
          <t>Bưu Cục Hàm Liêm-Hàm Thuận Bắc-Bình Thuận</t>
        </is>
      </c>
      <c r="J147" s="15" t="b">
        <v>1</v>
      </c>
      <c r="K147" s="15" t="inlineStr">
        <is>
          <t>C</t>
        </is>
      </c>
      <c r="L147" s="16" t="n">
        <v>0</v>
      </c>
      <c r="M147" s="15" t="n"/>
      <c r="N147" s="15" t="n"/>
      <c r="O147" s="15" t="inlineStr">
        <is>
          <t>Đã mở</t>
        </is>
      </c>
      <c r="P147" s="15" t="n"/>
    </row>
    <row r="148" hidden="1" ht="15.75" customHeight="1" s="57">
      <c r="A148" s="7" t="inlineStr">
        <is>
          <t>Bình Thuận</t>
        </is>
      </c>
      <c r="B148" s="7" t="n">
        <v>1777</v>
      </c>
      <c r="C148" s="7" t="inlineStr">
        <is>
          <t>Huyện Hàm Thuận Bắc</t>
        </is>
      </c>
      <c r="D148" s="7" t="n">
        <v>470412</v>
      </c>
      <c r="E148" s="7" t="inlineStr">
        <is>
          <t>Xã Hàm Trí</t>
        </is>
      </c>
      <c r="F148" s="7" t="n">
        <v>22483000</v>
      </c>
      <c r="G148" s="7" t="inlineStr">
        <is>
          <t>Bưu Cục 575 Quốc Lộ 28-Xã Hàm Thuận-Bình Thuận</t>
        </is>
      </c>
      <c r="H148" s="15" t="n">
        <v>22483000</v>
      </c>
      <c r="I148" s="15" t="inlineStr">
        <is>
          <t>Bưu Cục 575 Quốc Lộ 28-Xã Hàm Thuận-Bình Thuận</t>
        </is>
      </c>
      <c r="J148" s="15" t="b">
        <v>0</v>
      </c>
      <c r="K148" s="15" t="inlineStr">
        <is>
          <t>C</t>
        </is>
      </c>
      <c r="L148" s="16" t="n">
        <v>0</v>
      </c>
      <c r="M148" s="15" t="n"/>
      <c r="N148" s="15" t="n"/>
      <c r="O148" s="15" t="inlineStr">
        <is>
          <t>Chưa mở</t>
        </is>
      </c>
      <c r="P148" s="15" t="n"/>
    </row>
    <row r="149" hidden="1" ht="15.75" customHeight="1" s="57">
      <c r="A149" s="7" t="inlineStr">
        <is>
          <t>Bình Thuận</t>
        </is>
      </c>
      <c r="B149" s="7" t="n">
        <v>1777</v>
      </c>
      <c r="C149" s="7" t="inlineStr">
        <is>
          <t>Huyện Hàm Thuận Bắc</t>
        </is>
      </c>
      <c r="D149" s="7" t="n">
        <v>470413</v>
      </c>
      <c r="E149" s="7" t="inlineStr">
        <is>
          <t>Xã Hồng Liêm</t>
        </is>
      </c>
      <c r="F149" s="7" t="n">
        <v>22483000</v>
      </c>
      <c r="G149" s="7" t="inlineStr">
        <is>
          <t>Bưu Cục 575 Quốc Lộ 28-Xã Hàm Thuận-Bình Thuận</t>
        </is>
      </c>
      <c r="H149" s="15" t="n">
        <v>22483000</v>
      </c>
      <c r="I149" s="15" t="inlineStr">
        <is>
          <t>Bưu Cục 575 Quốc Lộ 28-Xã Hàm Thuận-Bình Thuận</t>
        </is>
      </c>
      <c r="J149" s="15" t="b">
        <v>0</v>
      </c>
      <c r="K149" s="15" t="inlineStr">
        <is>
          <t>C</t>
        </is>
      </c>
      <c r="L149" s="16" t="n">
        <v>0</v>
      </c>
      <c r="M149" s="15" t="n"/>
      <c r="N149" s="15" t="n"/>
      <c r="O149" s="15" t="inlineStr">
        <is>
          <t>Chưa mở</t>
        </is>
      </c>
      <c r="P149" s="15" t="n"/>
    </row>
    <row r="150" hidden="1" ht="15.75" customHeight="1" s="57">
      <c r="A150" s="7" t="inlineStr">
        <is>
          <t>Bình Thuận</t>
        </is>
      </c>
      <c r="B150" s="7" t="n">
        <v>1777</v>
      </c>
      <c r="C150" s="7" t="inlineStr">
        <is>
          <t>Huyện Hàm Thuận Bắc</t>
        </is>
      </c>
      <c r="D150" s="7" t="n">
        <v>470414</v>
      </c>
      <c r="E150" s="7" t="inlineStr">
        <is>
          <t>Xã Hồng Sơn</t>
        </is>
      </c>
      <c r="F150" s="7" t="n">
        <v>22483000</v>
      </c>
      <c r="G150" s="7" t="inlineStr">
        <is>
          <t>Bưu Cục 575 Quốc Lộ 28-Xã Hàm Thuận-Bình Thuận</t>
        </is>
      </c>
      <c r="H150" s="15" t="n">
        <v>22483000</v>
      </c>
      <c r="I150" s="15" t="inlineStr">
        <is>
          <t>Bưu Cục 575 Quốc Lộ 28-Xã Hàm Thuận-Bình Thuận</t>
        </is>
      </c>
      <c r="J150" s="15" t="b">
        <v>0</v>
      </c>
      <c r="K150" s="15" t="inlineStr">
        <is>
          <t>C</t>
        </is>
      </c>
      <c r="L150" s="16" t="n">
        <v>0</v>
      </c>
      <c r="M150" s="15" t="n"/>
      <c r="N150" s="15" t="n"/>
      <c r="O150" s="15" t="inlineStr">
        <is>
          <t>Chưa mở</t>
        </is>
      </c>
      <c r="P150" s="15" t="n"/>
    </row>
    <row r="151" hidden="1" ht="15.75" customHeight="1" s="57">
      <c r="A151" s="7" t="inlineStr">
        <is>
          <t>Bình Thuận</t>
        </is>
      </c>
      <c r="B151" s="7" t="n">
        <v>1777</v>
      </c>
      <c r="C151" s="7" t="inlineStr">
        <is>
          <t>Huyện Hàm Thuận Bắc</t>
        </is>
      </c>
      <c r="D151" s="7" t="n">
        <v>470415</v>
      </c>
      <c r="E151" s="7" t="inlineStr">
        <is>
          <t>Xã La Dạ</t>
        </is>
      </c>
      <c r="F151" s="7" t="n">
        <v>22483000</v>
      </c>
      <c r="G151" s="7" t="inlineStr">
        <is>
          <t>Bưu Cục 575 Quốc Lộ 28-Xã Hàm Thuận-Bình Thuận</t>
        </is>
      </c>
      <c r="H151" s="15" t="n">
        <v>22483000</v>
      </c>
      <c r="I151" s="15" t="inlineStr">
        <is>
          <t>Bưu Cục 575 Quốc Lộ 28-Xã Hàm Thuận-Bình Thuận</t>
        </is>
      </c>
      <c r="J151" s="15" t="b">
        <v>0</v>
      </c>
      <c r="K151" s="15" t="inlineStr">
        <is>
          <t>C</t>
        </is>
      </c>
      <c r="L151" s="16" t="n">
        <v>0</v>
      </c>
      <c r="M151" s="15" t="n"/>
      <c r="N151" s="15" t="n"/>
      <c r="O151" s="15" t="inlineStr">
        <is>
          <t>Chưa mở</t>
        </is>
      </c>
      <c r="P151" s="15" t="n"/>
    </row>
    <row r="152" hidden="1" ht="15.75" customHeight="1" s="57">
      <c r="A152" s="7" t="inlineStr">
        <is>
          <t>Bình Thuận</t>
        </is>
      </c>
      <c r="B152" s="7" t="n">
        <v>1777</v>
      </c>
      <c r="C152" s="7" t="inlineStr">
        <is>
          <t>Huyện Hàm Thuận Bắc</t>
        </is>
      </c>
      <c r="D152" s="7" t="n">
        <v>470416</v>
      </c>
      <c r="E152" s="7" t="inlineStr">
        <is>
          <t>Xã Thuận Hòa</t>
        </is>
      </c>
      <c r="F152" s="7" t="n">
        <v>22483000</v>
      </c>
      <c r="G152" s="7" t="inlineStr">
        <is>
          <t>Bưu Cục 575 Quốc Lộ 28-Xã Hàm Thuận-Bình Thuận</t>
        </is>
      </c>
      <c r="H152" s="15" t="n">
        <v>22483000</v>
      </c>
      <c r="I152" s="15" t="inlineStr">
        <is>
          <t>Bưu Cục 575 Quốc Lộ 28-Xã Hàm Thuận-Bình Thuận</t>
        </is>
      </c>
      <c r="J152" s="15" t="b">
        <v>0</v>
      </c>
      <c r="K152" s="15" t="inlineStr">
        <is>
          <t>C</t>
        </is>
      </c>
      <c r="L152" s="16" t="n">
        <v>0</v>
      </c>
      <c r="M152" s="15" t="n"/>
      <c r="N152" s="15" t="n"/>
      <c r="O152" s="15" t="inlineStr">
        <is>
          <t>Chưa mở</t>
        </is>
      </c>
      <c r="P152" s="15" t="n"/>
    </row>
    <row r="153" hidden="1" ht="15.75" customHeight="1" s="57">
      <c r="A153" s="7" t="inlineStr">
        <is>
          <t>Bình Thuận</t>
        </is>
      </c>
      <c r="B153" s="7" t="n">
        <v>1777</v>
      </c>
      <c r="C153" s="7" t="inlineStr">
        <is>
          <t>Huyện Hàm Thuận Bắc</t>
        </is>
      </c>
      <c r="D153" s="7" t="n">
        <v>470417</v>
      </c>
      <c r="E153" s="7" t="inlineStr">
        <is>
          <t>Xã Thuận Minh</t>
        </is>
      </c>
      <c r="F153" s="7" t="n">
        <v>22483000</v>
      </c>
      <c r="G153" s="7" t="inlineStr">
        <is>
          <t>Bưu Cục 575 Quốc Lộ 28-Xã Hàm Thuận-Bình Thuận</t>
        </is>
      </c>
      <c r="H153" s="15" t="n">
        <v>22483000</v>
      </c>
      <c r="I153" s="15" t="inlineStr">
        <is>
          <t>Bưu Cục 575 Quốc Lộ 28-Xã Hàm Thuận-Bình Thuận</t>
        </is>
      </c>
      <c r="J153" s="15" t="b">
        <v>0</v>
      </c>
      <c r="K153" s="15" t="inlineStr">
        <is>
          <t>C</t>
        </is>
      </c>
      <c r="L153" s="16" t="n">
        <v>0</v>
      </c>
      <c r="M153" s="15" t="n"/>
      <c r="N153" s="15" t="n"/>
      <c r="O153" s="15" t="inlineStr">
        <is>
          <t>Chưa mở</t>
        </is>
      </c>
      <c r="P153" s="15" t="n"/>
    </row>
    <row r="154" hidden="1" ht="15.75" customHeight="1" s="57">
      <c r="A154" s="7" t="inlineStr">
        <is>
          <t>Bình Thuận</t>
        </is>
      </c>
      <c r="B154" s="7" t="n">
        <v>1778</v>
      </c>
      <c r="C154" s="7" t="inlineStr">
        <is>
          <t>Thị xã La Gi</t>
        </is>
      </c>
      <c r="D154" s="7" t="n">
        <v>471001</v>
      </c>
      <c r="E154" s="7" t="inlineStr">
        <is>
          <t>Phường Bình Tân</t>
        </is>
      </c>
      <c r="F154" s="7" t="n">
        <v>21594000</v>
      </c>
      <c r="G154" s="7" t="inlineStr">
        <is>
          <t>Bưu Cục 430 Tôn Đức Thắng-Tân Phước-Thị xã La Gi-Bình Thuận</t>
        </is>
      </c>
      <c r="H154" s="15" t="n">
        <v>21594000</v>
      </c>
      <c r="I154" s="15" t="inlineStr">
        <is>
          <t>Bưu Cục 430 Tôn Đức Thắng-Tân Phước-Thị xã La Gi-Bình Thuận</t>
        </is>
      </c>
      <c r="J154" s="15" t="b">
        <v>1</v>
      </c>
      <c r="K154" s="15" t="inlineStr">
        <is>
          <t>A</t>
        </is>
      </c>
      <c r="L154" s="16" t="n">
        <v>1</v>
      </c>
      <c r="M154" s="15" t="n">
        <v>15</v>
      </c>
      <c r="N154" s="15" t="n">
        <v>15</v>
      </c>
      <c r="O154" s="15" t="inlineStr">
        <is>
          <t>Đã mở</t>
        </is>
      </c>
      <c r="P154" s="15" t="n"/>
    </row>
    <row r="155" hidden="1" ht="15.75" customHeight="1" s="57">
      <c r="A155" s="7" t="inlineStr">
        <is>
          <t>Bình Thuận</t>
        </is>
      </c>
      <c r="B155" s="7" t="n">
        <v>1778</v>
      </c>
      <c r="C155" s="7" t="inlineStr">
        <is>
          <t>Thị xã La Gi</t>
        </is>
      </c>
      <c r="D155" s="7" t="n">
        <v>471002</v>
      </c>
      <c r="E155" s="7" t="inlineStr">
        <is>
          <t>Phường Phước Hội</t>
        </is>
      </c>
      <c r="F155" s="7" t="n">
        <v>21594000</v>
      </c>
      <c r="G155" s="7" t="inlineStr">
        <is>
          <t>Bưu Cục 430 Tôn Đức Thắng-Tân Phước-Thị xã La Gi-Bình Thuận</t>
        </is>
      </c>
      <c r="H155" s="15" t="n">
        <v>21594000</v>
      </c>
      <c r="I155" s="15" t="inlineStr">
        <is>
          <t>Bưu Cục 430 Tôn Đức Thắng-Tân Phước-Thị xã La Gi-Bình Thuận</t>
        </is>
      </c>
      <c r="J155" s="15" t="b">
        <v>1</v>
      </c>
      <c r="K155" s="15" t="inlineStr">
        <is>
          <t>A</t>
        </is>
      </c>
      <c r="L155" s="16" t="n">
        <v>1</v>
      </c>
      <c r="M155" s="15" t="n">
        <v>15</v>
      </c>
      <c r="N155" s="15" t="n">
        <v>15</v>
      </c>
      <c r="O155" s="15" t="inlineStr">
        <is>
          <t>Đã mở</t>
        </is>
      </c>
      <c r="P155" s="15" t="n"/>
    </row>
    <row r="156" hidden="1" ht="15.75" customHeight="1" s="57">
      <c r="A156" s="7" t="inlineStr">
        <is>
          <t>Bình Thuận</t>
        </is>
      </c>
      <c r="B156" s="7" t="n">
        <v>1778</v>
      </c>
      <c r="C156" s="7" t="inlineStr">
        <is>
          <t>Thị xã La Gi</t>
        </is>
      </c>
      <c r="D156" s="7" t="n">
        <v>471003</v>
      </c>
      <c r="E156" s="7" t="inlineStr">
        <is>
          <t>Phường Phước Lộc</t>
        </is>
      </c>
      <c r="F156" s="7" t="n">
        <v>21594000</v>
      </c>
      <c r="G156" s="7" t="inlineStr">
        <is>
          <t>Bưu Cục 430 Tôn Đức Thắng-Tân Phước-Thị xã La Gi-Bình Thuận</t>
        </is>
      </c>
      <c r="H156" s="15" t="n">
        <v>21594000</v>
      </c>
      <c r="I156" s="15" t="inlineStr">
        <is>
          <t>Bưu Cục 430 Tôn Đức Thắng-Tân Phước-Thị xã La Gi-Bình Thuận</t>
        </is>
      </c>
      <c r="J156" s="15" t="b">
        <v>1</v>
      </c>
      <c r="K156" s="15" t="inlineStr">
        <is>
          <t>A</t>
        </is>
      </c>
      <c r="L156" s="16" t="n">
        <v>1</v>
      </c>
      <c r="M156" s="15" t="n">
        <v>15</v>
      </c>
      <c r="N156" s="15" t="n">
        <v>15</v>
      </c>
      <c r="O156" s="15" t="inlineStr">
        <is>
          <t>Đã mở</t>
        </is>
      </c>
      <c r="P156" s="15" t="n"/>
    </row>
    <row r="157" hidden="1" ht="15.75" customHeight="1" s="57">
      <c r="A157" s="7" t="inlineStr">
        <is>
          <t>Bình Thuận</t>
        </is>
      </c>
      <c r="B157" s="7" t="n">
        <v>1778</v>
      </c>
      <c r="C157" s="7" t="inlineStr">
        <is>
          <t>Thị xã La Gi</t>
        </is>
      </c>
      <c r="D157" s="7" t="n">
        <v>471004</v>
      </c>
      <c r="E157" s="7" t="inlineStr">
        <is>
          <t>Phường Tân An</t>
        </is>
      </c>
      <c r="F157" s="7" t="n">
        <v>21594000</v>
      </c>
      <c r="G157" s="7" t="inlineStr">
        <is>
          <t>Bưu Cục 430 Tôn Đức Thắng-Tân Phước-Thị xã La Gi-Bình Thuận</t>
        </is>
      </c>
      <c r="H157" s="15" t="n">
        <v>21594000</v>
      </c>
      <c r="I157" s="15" t="inlineStr">
        <is>
          <t>Bưu Cục 430 Tôn Đức Thắng-Tân Phước-Thị xã La Gi-Bình Thuận</t>
        </is>
      </c>
      <c r="J157" s="15" t="b">
        <v>1</v>
      </c>
      <c r="K157" s="15" t="inlineStr">
        <is>
          <t>A</t>
        </is>
      </c>
      <c r="L157" s="16" t="n">
        <v>1</v>
      </c>
      <c r="M157" s="15" t="n">
        <v>15</v>
      </c>
      <c r="N157" s="15" t="n">
        <v>15</v>
      </c>
      <c r="O157" s="15" t="inlineStr">
        <is>
          <t>Đã mở</t>
        </is>
      </c>
      <c r="P157" s="15" t="n"/>
    </row>
    <row r="158" hidden="1" ht="15.75" customHeight="1" s="57">
      <c r="A158" s="7" t="inlineStr">
        <is>
          <t>Bình Thuận</t>
        </is>
      </c>
      <c r="B158" s="7" t="n">
        <v>1778</v>
      </c>
      <c r="C158" s="7" t="inlineStr">
        <is>
          <t>Thị xã La Gi</t>
        </is>
      </c>
      <c r="D158" s="7" t="n">
        <v>471005</v>
      </c>
      <c r="E158" s="7" t="inlineStr">
        <is>
          <t>Phường Tân Thiện</t>
        </is>
      </c>
      <c r="F158" s="7" t="n">
        <v>21594000</v>
      </c>
      <c r="G158" s="7" t="inlineStr">
        <is>
          <t>Bưu Cục 430 Tôn Đức Thắng-Tân Phước-Thị xã La Gi-Bình Thuận</t>
        </is>
      </c>
      <c r="H158" s="15" t="n">
        <v>21594000</v>
      </c>
      <c r="I158" s="15" t="inlineStr">
        <is>
          <t>Bưu Cục 430 Tôn Đức Thắng-Tân Phước-Thị xã La Gi-Bình Thuận</t>
        </is>
      </c>
      <c r="J158" s="15" t="b">
        <v>1</v>
      </c>
      <c r="K158" s="15" t="inlineStr">
        <is>
          <t>A</t>
        </is>
      </c>
      <c r="L158" s="16" t="n">
        <v>1</v>
      </c>
      <c r="M158" s="15" t="n">
        <v>15</v>
      </c>
      <c r="N158" s="15" t="n">
        <v>15</v>
      </c>
      <c r="O158" s="15" t="inlineStr">
        <is>
          <t>Đã mở</t>
        </is>
      </c>
      <c r="P158" s="15" t="n"/>
    </row>
    <row r="159" hidden="1" ht="15.75" customHeight="1" s="57">
      <c r="A159" s="7" t="inlineStr">
        <is>
          <t>Bình Thuận</t>
        </is>
      </c>
      <c r="B159" s="7" t="n">
        <v>1778</v>
      </c>
      <c r="C159" s="7" t="inlineStr">
        <is>
          <t>Thị xã La Gi</t>
        </is>
      </c>
      <c r="D159" s="7" t="n">
        <v>471006</v>
      </c>
      <c r="E159" s="7" t="inlineStr">
        <is>
          <t>Xã Tân Bình</t>
        </is>
      </c>
      <c r="F159" s="7" t="n">
        <v>21067000</v>
      </c>
      <c r="G159" s="7" t="inlineStr">
        <is>
          <t>Bưu Cục Số 7 Lê Thánh Tôn-LaGi-Bình Thuận</t>
        </is>
      </c>
      <c r="H159" s="15" t="n">
        <v>21067000</v>
      </c>
      <c r="I159" s="15" t="inlineStr">
        <is>
          <t>Bưu Cục Số 7 Lê Thánh Tôn-LaGi-Bình Thuận</t>
        </is>
      </c>
      <c r="J159" s="15" t="b">
        <v>1</v>
      </c>
      <c r="K159" s="15" t="inlineStr">
        <is>
          <t>A</t>
        </is>
      </c>
      <c r="L159" s="16" t="n">
        <v>1</v>
      </c>
      <c r="M159" s="15" t="n">
        <v>15</v>
      </c>
      <c r="N159" s="15" t="n">
        <v>15</v>
      </c>
      <c r="O159" s="15" t="inlineStr">
        <is>
          <t>Đã mở</t>
        </is>
      </c>
      <c r="P159" s="15" t="n"/>
    </row>
    <row r="160" hidden="1" ht="15.75" customHeight="1" s="57">
      <c r="A160" s="7" t="inlineStr">
        <is>
          <t>Bình Thuận</t>
        </is>
      </c>
      <c r="B160" s="7" t="n">
        <v>1778</v>
      </c>
      <c r="C160" s="7" t="inlineStr">
        <is>
          <t>Thị xã La Gi</t>
        </is>
      </c>
      <c r="D160" s="7" t="n">
        <v>471007</v>
      </c>
      <c r="E160" s="7" t="inlineStr">
        <is>
          <t>Xã Tân Hải</t>
        </is>
      </c>
      <c r="F160" s="7" t="n">
        <v>21067000</v>
      </c>
      <c r="G160" s="7" t="inlineStr">
        <is>
          <t>Bưu Cục Số 7 Lê Thánh Tôn-LaGi-Bình Thuận</t>
        </is>
      </c>
      <c r="H160" s="15" t="n">
        <v>21067000</v>
      </c>
      <c r="I160" s="15" t="inlineStr">
        <is>
          <t>Bưu Cục Số 7 Lê Thánh Tôn-LaGi-Bình Thuận</t>
        </is>
      </c>
      <c r="J160" s="15" t="b">
        <v>1</v>
      </c>
      <c r="K160" s="15" t="inlineStr">
        <is>
          <t>A</t>
        </is>
      </c>
      <c r="L160" s="16" t="n">
        <v>1</v>
      </c>
      <c r="M160" s="15" t="n">
        <v>15</v>
      </c>
      <c r="N160" s="15" t="n">
        <v>15</v>
      </c>
      <c r="O160" s="15" t="inlineStr">
        <is>
          <t>Đã mở</t>
        </is>
      </c>
      <c r="P160" s="15" t="n"/>
    </row>
    <row r="161" hidden="1" ht="15.75" customHeight="1" s="57">
      <c r="A161" s="7" t="inlineStr">
        <is>
          <t>Bình Thuận</t>
        </is>
      </c>
      <c r="B161" s="7" t="n">
        <v>1778</v>
      </c>
      <c r="C161" s="7" t="inlineStr">
        <is>
          <t>Thị xã La Gi</t>
        </is>
      </c>
      <c r="D161" s="7" t="n">
        <v>471008</v>
      </c>
      <c r="E161" s="7" t="inlineStr">
        <is>
          <t>Xã Tân Phước</t>
        </is>
      </c>
      <c r="F161" s="7" t="n">
        <v>21594000</v>
      </c>
      <c r="G161" s="7" t="inlineStr">
        <is>
          <t>Bưu Cục 430 Tôn Đức Thắng-Tân Phước-Thị xã La Gi-Bình Thuận</t>
        </is>
      </c>
      <c r="H161" s="15" t="n">
        <v>21594000</v>
      </c>
      <c r="I161" s="15" t="inlineStr">
        <is>
          <t>Bưu Cục 430 Tôn Đức Thắng-Tân Phước-Thị xã La Gi-Bình Thuận</t>
        </is>
      </c>
      <c r="J161" s="15" t="b">
        <v>1</v>
      </c>
      <c r="K161" s="15" t="inlineStr">
        <is>
          <t>A</t>
        </is>
      </c>
      <c r="L161" s="16" t="n">
        <v>1</v>
      </c>
      <c r="M161" s="15" t="n">
        <v>20</v>
      </c>
      <c r="N161" s="15" t="n">
        <v>15</v>
      </c>
      <c r="O161" s="15" t="inlineStr">
        <is>
          <t>Đã mở</t>
        </is>
      </c>
      <c r="P161" s="15" t="n"/>
    </row>
    <row r="162" hidden="1" ht="15.75" customHeight="1" s="57">
      <c r="A162" s="7" t="inlineStr">
        <is>
          <t>Bình Thuận</t>
        </is>
      </c>
      <c r="B162" s="7" t="n">
        <v>1778</v>
      </c>
      <c r="C162" s="7" t="inlineStr">
        <is>
          <t>Thị xã La Gi</t>
        </is>
      </c>
      <c r="D162" s="7" t="n">
        <v>471009</v>
      </c>
      <c r="E162" s="7" t="inlineStr">
        <is>
          <t>Xã Tân Tiến</t>
        </is>
      </c>
      <c r="F162" s="7" t="n">
        <v>22028000</v>
      </c>
      <c r="G162" s="7" t="inlineStr">
        <is>
          <t>Kho Giao Hàng Nặng - La Gi - Bình Thuận</t>
        </is>
      </c>
      <c r="H162" s="15" t="n">
        <v>22028000</v>
      </c>
      <c r="I162" s="15" t="inlineStr">
        <is>
          <t>Kho Giao Hàng Nặng - La Gi - Bình Thuận</t>
        </is>
      </c>
      <c r="J162" s="15" t="b">
        <v>1</v>
      </c>
      <c r="K162" s="15" t="inlineStr">
        <is>
          <t>A</t>
        </is>
      </c>
      <c r="L162" s="16" t="n">
        <v>1</v>
      </c>
      <c r="M162" s="15" t="n">
        <v>15</v>
      </c>
      <c r="N162" s="15" t="n">
        <v>15</v>
      </c>
      <c r="O162" s="15" t="inlineStr">
        <is>
          <t>Đã mở</t>
        </is>
      </c>
      <c r="P162" s="15" t="n"/>
    </row>
    <row r="163" hidden="1" ht="15.75" customHeight="1" s="57">
      <c r="A163" s="7" t="inlineStr">
        <is>
          <t>Bình Thuận</t>
        </is>
      </c>
      <c r="B163" s="7" t="n">
        <v>1779</v>
      </c>
      <c r="C163" s="7" t="inlineStr">
        <is>
          <t>Huyện Đức Linh</t>
        </is>
      </c>
      <c r="D163" s="7" t="n">
        <v>470701</v>
      </c>
      <c r="E163" s="7" t="inlineStr">
        <is>
          <t>Thị trấn Đức Tài</t>
        </is>
      </c>
      <c r="F163" s="7" t="n">
        <v>21456000</v>
      </c>
      <c r="G163" s="7" t="inlineStr">
        <is>
          <t>Bưu Cục Xã Nam Chính-Đức Linh-Bình Thuận</t>
        </is>
      </c>
      <c r="H163" s="15" t="n">
        <v>21456000</v>
      </c>
      <c r="I163" s="15" t="inlineStr">
        <is>
          <t>Bưu Cục Xã Nam Chính-Đức Linh-Bình Thuận</t>
        </is>
      </c>
      <c r="J163" s="15" t="b">
        <v>0</v>
      </c>
      <c r="K163" s="15" t="inlineStr">
        <is>
          <t>C</t>
        </is>
      </c>
      <c r="L163" s="16" t="n">
        <v>0</v>
      </c>
      <c r="M163" s="15" t="n"/>
      <c r="N163" s="15" t="n"/>
      <c r="O163" s="15" t="inlineStr">
        <is>
          <t>Chưa mở</t>
        </is>
      </c>
      <c r="P163" s="15" t="n"/>
    </row>
    <row r="164" hidden="1" ht="15.75" customHeight="1" s="57">
      <c r="A164" s="7" t="inlineStr">
        <is>
          <t>Bình Thuận</t>
        </is>
      </c>
      <c r="B164" s="7" t="n">
        <v>1779</v>
      </c>
      <c r="C164" s="7" t="inlineStr">
        <is>
          <t>Huyện Đức Linh</t>
        </is>
      </c>
      <c r="D164" s="7" t="n">
        <v>470702</v>
      </c>
      <c r="E164" s="7" t="inlineStr">
        <is>
          <t>Thị trấn Võ Xu</t>
        </is>
      </c>
      <c r="F164" s="7" t="n">
        <v>21456000</v>
      </c>
      <c r="G164" s="7" t="inlineStr">
        <is>
          <t>Bưu Cục Xã Nam Chính-Đức Linh-Bình Thuận</t>
        </is>
      </c>
      <c r="H164" s="15" t="n">
        <v>21456000</v>
      </c>
      <c r="I164" s="15" t="inlineStr">
        <is>
          <t>Bưu Cục Xã Nam Chính-Đức Linh-Bình Thuận</t>
        </is>
      </c>
      <c r="J164" s="15" t="b">
        <v>0</v>
      </c>
      <c r="K164" s="15" t="inlineStr">
        <is>
          <t>C</t>
        </is>
      </c>
      <c r="L164" s="16" t="n">
        <v>0</v>
      </c>
      <c r="M164" s="15" t="n"/>
      <c r="N164" s="15" t="n"/>
      <c r="O164" s="15" t="inlineStr">
        <is>
          <t>Chưa mở</t>
        </is>
      </c>
      <c r="P164" s="15" t="n"/>
    </row>
    <row r="165" hidden="1" ht="15.75" customHeight="1" s="57">
      <c r="A165" s="7" t="inlineStr">
        <is>
          <t>Bình Thuận</t>
        </is>
      </c>
      <c r="B165" s="7" t="n">
        <v>1779</v>
      </c>
      <c r="C165" s="7" t="inlineStr">
        <is>
          <t>Huyện Đức Linh</t>
        </is>
      </c>
      <c r="D165" s="7" t="n">
        <v>470703</v>
      </c>
      <c r="E165" s="7" t="inlineStr">
        <is>
          <t>Xã Đa Kai</t>
        </is>
      </c>
      <c r="F165" s="7" t="n">
        <v>21456000</v>
      </c>
      <c r="G165" s="7" t="inlineStr">
        <is>
          <t>Bưu Cục Xã Nam Chính-Đức Linh-Bình Thuận</t>
        </is>
      </c>
      <c r="H165" s="15" t="n">
        <v>21456000</v>
      </c>
      <c r="I165" s="15" t="inlineStr">
        <is>
          <t>Bưu Cục Xã Nam Chính-Đức Linh-Bình Thuận</t>
        </is>
      </c>
      <c r="J165" s="15" t="b">
        <v>0</v>
      </c>
      <c r="K165" s="15" t="inlineStr">
        <is>
          <t>C</t>
        </is>
      </c>
      <c r="L165" s="16" t="n">
        <v>0</v>
      </c>
      <c r="M165" s="15" t="n"/>
      <c r="N165" s="15" t="n"/>
      <c r="O165" s="15" t="inlineStr">
        <is>
          <t>Chưa mở</t>
        </is>
      </c>
      <c r="P165" s="15" t="n"/>
    </row>
    <row r="166" hidden="1" ht="15.75" customHeight="1" s="57">
      <c r="A166" s="7" t="inlineStr">
        <is>
          <t>Bình Thuận</t>
        </is>
      </c>
      <c r="B166" s="7" t="n">
        <v>1779</v>
      </c>
      <c r="C166" s="7" t="inlineStr">
        <is>
          <t>Huyện Đức Linh</t>
        </is>
      </c>
      <c r="D166" s="7" t="n">
        <v>470704</v>
      </c>
      <c r="E166" s="7" t="inlineStr">
        <is>
          <t>Xã Đông Hà</t>
        </is>
      </c>
      <c r="F166" s="7" t="n">
        <v>21456000</v>
      </c>
      <c r="G166" s="7" t="inlineStr">
        <is>
          <t>Bưu Cục Xã Nam Chính-Đức Linh-Bình Thuận</t>
        </is>
      </c>
      <c r="H166" s="15" t="n">
        <v>21456000</v>
      </c>
      <c r="I166" s="15" t="inlineStr">
        <is>
          <t>Bưu Cục Xã Nam Chính-Đức Linh-Bình Thuận</t>
        </is>
      </c>
      <c r="J166" s="15" t="b">
        <v>0</v>
      </c>
      <c r="K166" s="15" t="inlineStr">
        <is>
          <t>C</t>
        </is>
      </c>
      <c r="L166" s="16" t="n">
        <v>0</v>
      </c>
      <c r="M166" s="15" t="n"/>
      <c r="N166" s="15" t="n"/>
      <c r="O166" s="15" t="inlineStr">
        <is>
          <t>Chưa mở</t>
        </is>
      </c>
      <c r="P166" s="15" t="n"/>
    </row>
    <row r="167" hidden="1" ht="15.75" customHeight="1" s="57">
      <c r="A167" s="7" t="inlineStr">
        <is>
          <t>Bình Thuận</t>
        </is>
      </c>
      <c r="B167" s="7" t="n">
        <v>1779</v>
      </c>
      <c r="C167" s="7" t="inlineStr">
        <is>
          <t>Huyện Đức Linh</t>
        </is>
      </c>
      <c r="D167" s="7" t="n">
        <v>470705</v>
      </c>
      <c r="E167" s="7" t="inlineStr">
        <is>
          <t>Xã Đức Chính</t>
        </is>
      </c>
      <c r="F167" s="7" t="n">
        <v>21456000</v>
      </c>
      <c r="G167" s="7" t="inlineStr">
        <is>
          <t>Bưu Cục Xã Nam Chính-Đức Linh-Bình Thuận</t>
        </is>
      </c>
      <c r="H167" s="15" t="n">
        <v>21456000</v>
      </c>
      <c r="I167" s="15" t="inlineStr">
        <is>
          <t>Bưu Cục Xã Nam Chính-Đức Linh-Bình Thuận</t>
        </is>
      </c>
      <c r="J167" s="15" t="b">
        <v>0</v>
      </c>
      <c r="K167" s="15" t="inlineStr">
        <is>
          <t>C</t>
        </is>
      </c>
      <c r="L167" s="16" t="n">
        <v>0</v>
      </c>
      <c r="M167" s="15" t="n"/>
      <c r="N167" s="15" t="n"/>
      <c r="O167" s="15" t="inlineStr">
        <is>
          <t>Chưa mở</t>
        </is>
      </c>
      <c r="P167" s="15" t="n"/>
    </row>
    <row r="168" hidden="1" ht="15.75" customHeight="1" s="57">
      <c r="A168" s="7" t="inlineStr">
        <is>
          <t>Bình Thuận</t>
        </is>
      </c>
      <c r="B168" s="7" t="n">
        <v>1779</v>
      </c>
      <c r="C168" s="7" t="inlineStr">
        <is>
          <t>Huyện Đức Linh</t>
        </is>
      </c>
      <c r="D168" s="7" t="n">
        <v>470706</v>
      </c>
      <c r="E168" s="7" t="inlineStr">
        <is>
          <t>Xã Đức Hạnh</t>
        </is>
      </c>
      <c r="F168" s="7" t="n">
        <v>21456000</v>
      </c>
      <c r="G168" s="7" t="inlineStr">
        <is>
          <t>Bưu Cục Xã Nam Chính-Đức Linh-Bình Thuận</t>
        </is>
      </c>
      <c r="H168" s="15" t="n">
        <v>21456000</v>
      </c>
      <c r="I168" s="15" t="inlineStr">
        <is>
          <t>Bưu Cục Xã Nam Chính-Đức Linh-Bình Thuận</t>
        </is>
      </c>
      <c r="J168" s="15" t="b">
        <v>0</v>
      </c>
      <c r="K168" s="15" t="inlineStr">
        <is>
          <t>C</t>
        </is>
      </c>
      <c r="L168" s="16" t="n">
        <v>0</v>
      </c>
      <c r="M168" s="15" t="n"/>
      <c r="N168" s="15" t="n"/>
      <c r="O168" s="15" t="inlineStr">
        <is>
          <t>Chưa mở</t>
        </is>
      </c>
      <c r="P168" s="15" t="n"/>
    </row>
    <row r="169" hidden="1" ht="15.75" customHeight="1" s="57">
      <c r="A169" s="7" t="inlineStr">
        <is>
          <t>Bình Thuận</t>
        </is>
      </c>
      <c r="B169" s="7" t="n">
        <v>1779</v>
      </c>
      <c r="C169" s="7" t="inlineStr">
        <is>
          <t>Huyện Đức Linh</t>
        </is>
      </c>
      <c r="D169" s="7" t="n">
        <v>470707</v>
      </c>
      <c r="E169" s="7" t="inlineStr">
        <is>
          <t>Xã Đức Tín</t>
        </is>
      </c>
      <c r="F169" s="7" t="n">
        <v>21456000</v>
      </c>
      <c r="G169" s="7" t="inlineStr">
        <is>
          <t>Bưu Cục Xã Nam Chính-Đức Linh-Bình Thuận</t>
        </is>
      </c>
      <c r="H169" s="15" t="n">
        <v>21456000</v>
      </c>
      <c r="I169" s="15" t="inlineStr">
        <is>
          <t>Bưu Cục Xã Nam Chính-Đức Linh-Bình Thuận</t>
        </is>
      </c>
      <c r="J169" s="15" t="b">
        <v>0</v>
      </c>
      <c r="K169" s="15" t="inlineStr">
        <is>
          <t>C</t>
        </is>
      </c>
      <c r="L169" s="16" t="n">
        <v>0</v>
      </c>
      <c r="M169" s="15" t="n"/>
      <c r="N169" s="15" t="n"/>
      <c r="O169" s="15" t="inlineStr">
        <is>
          <t>Chưa mở</t>
        </is>
      </c>
      <c r="P169" s="15" t="n"/>
    </row>
    <row r="170" hidden="1" ht="15.75" customHeight="1" s="57">
      <c r="A170" s="7" t="inlineStr">
        <is>
          <t>Bình Thuận</t>
        </is>
      </c>
      <c r="B170" s="7" t="n">
        <v>1779</v>
      </c>
      <c r="C170" s="7" t="inlineStr">
        <is>
          <t>Huyện Đức Linh</t>
        </is>
      </c>
      <c r="D170" s="7" t="n">
        <v>470708</v>
      </c>
      <c r="E170" s="7" t="inlineStr">
        <is>
          <t>Xã Mê Pu</t>
        </is>
      </c>
      <c r="F170" s="7" t="n">
        <v>21456000</v>
      </c>
      <c r="G170" s="7" t="inlineStr">
        <is>
          <t>Bưu Cục Xã Nam Chính-Đức Linh-Bình Thuận</t>
        </is>
      </c>
      <c r="H170" s="15" t="n">
        <v>21456000</v>
      </c>
      <c r="I170" s="15" t="inlineStr">
        <is>
          <t>Bưu Cục Xã Nam Chính-Đức Linh-Bình Thuận</t>
        </is>
      </c>
      <c r="J170" s="15" t="b">
        <v>0</v>
      </c>
      <c r="K170" s="15" t="inlineStr">
        <is>
          <t>C</t>
        </is>
      </c>
      <c r="L170" s="16" t="n">
        <v>0</v>
      </c>
      <c r="M170" s="15" t="n"/>
      <c r="N170" s="15" t="n"/>
      <c r="O170" s="15" t="inlineStr">
        <is>
          <t>Chưa mở</t>
        </is>
      </c>
      <c r="P170" s="15" t="n"/>
    </row>
    <row r="171" hidden="1" ht="15.75" customHeight="1" s="57">
      <c r="A171" s="7" t="inlineStr">
        <is>
          <t>Bình Thuận</t>
        </is>
      </c>
      <c r="B171" s="7" t="n">
        <v>1779</v>
      </c>
      <c r="C171" s="7" t="inlineStr">
        <is>
          <t>Huyện Đức Linh</t>
        </is>
      </c>
      <c r="D171" s="7" t="n">
        <v>470709</v>
      </c>
      <c r="E171" s="7" t="inlineStr">
        <is>
          <t>Xã Nam Chính</t>
        </is>
      </c>
      <c r="F171" s="7" t="n">
        <v>21456000</v>
      </c>
      <c r="G171" s="7" t="inlineStr">
        <is>
          <t>Bưu Cục Xã Nam Chính-Đức Linh-Bình Thuận</t>
        </is>
      </c>
      <c r="H171" s="15" t="n">
        <v>21456000</v>
      </c>
      <c r="I171" s="15" t="inlineStr">
        <is>
          <t>Bưu Cục Xã Nam Chính-Đức Linh-Bình Thuận</t>
        </is>
      </c>
      <c r="J171" s="15" t="b">
        <v>0</v>
      </c>
      <c r="K171" s="15" t="inlineStr">
        <is>
          <t>C</t>
        </is>
      </c>
      <c r="L171" s="16" t="n">
        <v>0</v>
      </c>
      <c r="M171" s="15" t="n"/>
      <c r="N171" s="15" t="n"/>
      <c r="O171" s="15" t="inlineStr">
        <is>
          <t>Chưa mở</t>
        </is>
      </c>
      <c r="P171" s="15" t="n"/>
    </row>
    <row r="172" hidden="1" ht="15.75" customHeight="1" s="57">
      <c r="A172" s="7" t="inlineStr">
        <is>
          <t>Bình Thuận</t>
        </is>
      </c>
      <c r="B172" s="7" t="n">
        <v>1779</v>
      </c>
      <c r="C172" s="7" t="inlineStr">
        <is>
          <t>Huyện Đức Linh</t>
        </is>
      </c>
      <c r="D172" s="7" t="n">
        <v>470710</v>
      </c>
      <c r="E172" s="7" t="inlineStr">
        <is>
          <t>Xã Sùng Nhơn</t>
        </is>
      </c>
      <c r="F172" s="7" t="n">
        <v>21456000</v>
      </c>
      <c r="G172" s="7" t="inlineStr">
        <is>
          <t>Bưu Cục Xã Nam Chính-Đức Linh-Bình Thuận</t>
        </is>
      </c>
      <c r="H172" s="15" t="n">
        <v>21456000</v>
      </c>
      <c r="I172" s="15" t="inlineStr">
        <is>
          <t>Bưu Cục Xã Nam Chính-Đức Linh-Bình Thuận</t>
        </is>
      </c>
      <c r="J172" s="15" t="b">
        <v>0</v>
      </c>
      <c r="K172" s="15" t="inlineStr">
        <is>
          <t>C</t>
        </is>
      </c>
      <c r="L172" s="16" t="n">
        <v>0</v>
      </c>
      <c r="M172" s="15" t="n"/>
      <c r="N172" s="15" t="n"/>
      <c r="O172" s="15" t="inlineStr">
        <is>
          <t>Chưa mở</t>
        </is>
      </c>
      <c r="P172" s="15" t="n"/>
    </row>
    <row r="173" hidden="1" ht="15.75" customHeight="1" s="57">
      <c r="A173" s="7" t="inlineStr">
        <is>
          <t>Bình Thuận</t>
        </is>
      </c>
      <c r="B173" s="7" t="n">
        <v>1779</v>
      </c>
      <c r="C173" s="7" t="inlineStr">
        <is>
          <t>Huyện Đức Linh</t>
        </is>
      </c>
      <c r="D173" s="7" t="n">
        <v>470711</v>
      </c>
      <c r="E173" s="7" t="inlineStr">
        <is>
          <t>Xã Tân Hà</t>
        </is>
      </c>
      <c r="F173" s="7" t="n">
        <v>21456000</v>
      </c>
      <c r="G173" s="7" t="inlineStr">
        <is>
          <t>Bưu Cục Xã Nam Chính-Đức Linh-Bình Thuận</t>
        </is>
      </c>
      <c r="H173" s="15" t="n">
        <v>21456000</v>
      </c>
      <c r="I173" s="15" t="inlineStr">
        <is>
          <t>Bưu Cục Xã Nam Chính-Đức Linh-Bình Thuận</t>
        </is>
      </c>
      <c r="J173" s="15" t="b">
        <v>0</v>
      </c>
      <c r="K173" s="15" t="inlineStr">
        <is>
          <t>C</t>
        </is>
      </c>
      <c r="L173" s="16" t="n">
        <v>0</v>
      </c>
      <c r="M173" s="15" t="n"/>
      <c r="N173" s="15" t="n"/>
      <c r="O173" s="15" t="inlineStr">
        <is>
          <t>Chưa mở</t>
        </is>
      </c>
      <c r="P173" s="15" t="n"/>
    </row>
    <row r="174" hidden="1" ht="15.75" customHeight="1" s="57">
      <c r="A174" s="7" t="inlineStr">
        <is>
          <t>Bình Thuận</t>
        </is>
      </c>
      <c r="B174" s="7" t="n">
        <v>1779</v>
      </c>
      <c r="C174" s="7" t="inlineStr">
        <is>
          <t>Huyện Đức Linh</t>
        </is>
      </c>
      <c r="D174" s="7" t="n">
        <v>470712</v>
      </c>
      <c r="E174" s="7" t="inlineStr">
        <is>
          <t>Xã Trà Tân</t>
        </is>
      </c>
      <c r="F174" s="7" t="n">
        <v>21456000</v>
      </c>
      <c r="G174" s="7" t="inlineStr">
        <is>
          <t>Bưu Cục Xã Nam Chính-Đức Linh-Bình Thuận</t>
        </is>
      </c>
      <c r="H174" s="15" t="n">
        <v>21456000</v>
      </c>
      <c r="I174" s="15" t="inlineStr">
        <is>
          <t>Bưu Cục Xã Nam Chính-Đức Linh-Bình Thuận</t>
        </is>
      </c>
      <c r="J174" s="15" t="b">
        <v>0</v>
      </c>
      <c r="K174" s="15" t="inlineStr">
        <is>
          <t>C</t>
        </is>
      </c>
      <c r="L174" s="16" t="n">
        <v>0</v>
      </c>
      <c r="M174" s="15" t="n"/>
      <c r="N174" s="15" t="n"/>
      <c r="O174" s="15" t="inlineStr">
        <is>
          <t>Chưa mở</t>
        </is>
      </c>
      <c r="P174" s="15" t="n"/>
    </row>
    <row r="175" hidden="1" ht="15.75" customHeight="1" s="57">
      <c r="A175" s="7" t="inlineStr">
        <is>
          <t>Bình Thuận</t>
        </is>
      </c>
      <c r="B175" s="7" t="n">
        <v>1779</v>
      </c>
      <c r="C175" s="7" t="inlineStr">
        <is>
          <t>Huyện Đức Linh</t>
        </is>
      </c>
      <c r="D175" s="7" t="n">
        <v>470713</v>
      </c>
      <c r="E175" s="7" t="inlineStr">
        <is>
          <t>Xã Vũ Hòa</t>
        </is>
      </c>
      <c r="F175" s="7" t="n">
        <v>21456000</v>
      </c>
      <c r="G175" s="7" t="inlineStr">
        <is>
          <t>Bưu Cục Xã Nam Chính-Đức Linh-Bình Thuận</t>
        </is>
      </c>
      <c r="H175" s="15" t="n">
        <v>21456000</v>
      </c>
      <c r="I175" s="15" t="inlineStr">
        <is>
          <t>Bưu Cục Xã Nam Chính-Đức Linh-Bình Thuận</t>
        </is>
      </c>
      <c r="J175" s="15" t="b">
        <v>0</v>
      </c>
      <c r="K175" s="15" t="inlineStr">
        <is>
          <t>C</t>
        </is>
      </c>
      <c r="L175" s="16" t="n">
        <v>0</v>
      </c>
      <c r="M175" s="15" t="n"/>
      <c r="N175" s="15" t="n"/>
      <c r="O175" s="15" t="inlineStr">
        <is>
          <t>Chưa mở</t>
        </is>
      </c>
      <c r="P175" s="15" t="n"/>
    </row>
    <row r="176" hidden="1" ht="15.75" customHeight="1" s="57">
      <c r="A176" s="7" t="inlineStr">
        <is>
          <t>Bình Thuận</t>
        </is>
      </c>
      <c r="B176" s="7" t="n">
        <v>1780</v>
      </c>
      <c r="C176" s="7" t="inlineStr">
        <is>
          <t>Huyện Bắc Bình</t>
        </is>
      </c>
      <c r="D176" s="7" t="n">
        <v>470301</v>
      </c>
      <c r="E176" s="7" t="inlineStr">
        <is>
          <t>Thị trấn Chợ Lầu</t>
        </is>
      </c>
      <c r="F176" s="7" t="n">
        <v>20633000</v>
      </c>
      <c r="G176" s="7" t="inlineStr">
        <is>
          <t>Bưu Cục 237 Nguyễn Tất Thành-Bắc Bình-Bình Thuận</t>
        </is>
      </c>
      <c r="H176" s="15" t="n">
        <v>20633000</v>
      </c>
      <c r="I176" s="15" t="inlineStr">
        <is>
          <t>Bưu Cục 237 Nguyễn Tất Thành-Bắc Bình-Bình Thuận</t>
        </is>
      </c>
      <c r="J176" s="15" t="b">
        <v>1</v>
      </c>
      <c r="K176" s="15" t="inlineStr">
        <is>
          <t>A</t>
        </is>
      </c>
      <c r="L176" s="16" t="n">
        <v>1</v>
      </c>
      <c r="M176" s="15" t="n">
        <v>20</v>
      </c>
      <c r="N176" s="15" t="n">
        <v>15</v>
      </c>
      <c r="O176" s="15" t="inlineStr">
        <is>
          <t>Đã mở</t>
        </is>
      </c>
      <c r="P176" s="15" t="n"/>
    </row>
    <row r="177" hidden="1" ht="15.75" customHeight="1" s="57">
      <c r="A177" s="7" t="inlineStr">
        <is>
          <t>Bình Thuận</t>
        </is>
      </c>
      <c r="B177" s="7" t="n">
        <v>1780</v>
      </c>
      <c r="C177" s="7" t="inlineStr">
        <is>
          <t>Huyện Bắc Bình</t>
        </is>
      </c>
      <c r="D177" s="7" t="n">
        <v>470302</v>
      </c>
      <c r="E177" s="7" t="inlineStr">
        <is>
          <t>Thị trấn Lương Sơn</t>
        </is>
      </c>
      <c r="F177" s="7" t="n">
        <v>22934000</v>
      </c>
      <c r="G177" s="7" t="inlineStr">
        <is>
          <t>Bưu Cục 585 Nguyễn Tất Thành-Xã Lương Sơn-Bình Thuận</t>
        </is>
      </c>
      <c r="H177" s="15" t="n">
        <v>22934000</v>
      </c>
      <c r="I177" s="15" t="inlineStr">
        <is>
          <t>Bưu Cục 585 Nguyễn Tất Thành-Xã Lương Sơn-Bình Thuận</t>
        </is>
      </c>
      <c r="J177" s="15" t="b">
        <v>1</v>
      </c>
      <c r="K177" s="15" t="inlineStr">
        <is>
          <t>A</t>
        </is>
      </c>
      <c r="L177" s="16" t="n">
        <v>1</v>
      </c>
      <c r="M177" s="15" t="n">
        <v>20</v>
      </c>
      <c r="N177" s="15" t="n">
        <v>15</v>
      </c>
      <c r="O177" s="15" t="inlineStr">
        <is>
          <t>Đã mở</t>
        </is>
      </c>
      <c r="P177" s="15" t="n"/>
    </row>
    <row r="178" hidden="1" ht="15.75" customHeight="1" s="57">
      <c r="A178" s="7" t="inlineStr">
        <is>
          <t>Bình Thuận</t>
        </is>
      </c>
      <c r="B178" s="7" t="n">
        <v>1780</v>
      </c>
      <c r="C178" s="7" t="inlineStr">
        <is>
          <t>Huyện Bắc Bình</t>
        </is>
      </c>
      <c r="D178" s="7" t="n">
        <v>470303</v>
      </c>
      <c r="E178" s="7" t="inlineStr">
        <is>
          <t>Xã Bình An</t>
        </is>
      </c>
      <c r="F178" s="7" t="n">
        <v>20633000</v>
      </c>
      <c r="G178" s="7" t="inlineStr">
        <is>
          <t>Bưu Cục 237 Nguyễn Tất Thành-Bắc Bình-Bình Thuận</t>
        </is>
      </c>
      <c r="H178" s="15" t="n">
        <v>20633000</v>
      </c>
      <c r="I178" s="15" t="inlineStr">
        <is>
          <t>Bưu Cục 237 Nguyễn Tất Thành-Bắc Bình-Bình Thuận</t>
        </is>
      </c>
      <c r="J178" s="15" t="b">
        <v>1</v>
      </c>
      <c r="K178" s="15" t="inlineStr">
        <is>
          <t>A</t>
        </is>
      </c>
      <c r="L178" s="16" t="n">
        <v>1</v>
      </c>
      <c r="M178" s="15" t="n">
        <v>20</v>
      </c>
      <c r="N178" s="15" t="n">
        <v>15</v>
      </c>
      <c r="O178" s="15" t="inlineStr">
        <is>
          <t>Đã mở</t>
        </is>
      </c>
      <c r="P178" s="15" t="n"/>
    </row>
    <row r="179" hidden="1" ht="15.75" customHeight="1" s="57">
      <c r="A179" s="7" t="inlineStr">
        <is>
          <t>Bình Thuận</t>
        </is>
      </c>
      <c r="B179" s="7" t="n">
        <v>1780</v>
      </c>
      <c r="C179" s="7" t="inlineStr">
        <is>
          <t>Huyện Bắc Bình</t>
        </is>
      </c>
      <c r="D179" s="7" t="n">
        <v>470304</v>
      </c>
      <c r="E179" s="7" t="inlineStr">
        <is>
          <t>Xã Bình Tân</t>
        </is>
      </c>
      <c r="F179" s="7" t="n">
        <v>22934000</v>
      </c>
      <c r="G179" s="7" t="inlineStr">
        <is>
          <t>Bưu Cục 585 Nguyễn Tất Thành-Xã Lương Sơn-Bình Thuận</t>
        </is>
      </c>
      <c r="H179" s="15" t="n">
        <v>22934000</v>
      </c>
      <c r="I179" s="15" t="inlineStr">
        <is>
          <t>Bưu Cục 585 Nguyễn Tất Thành-Xã Lương Sơn-Bình Thuận</t>
        </is>
      </c>
      <c r="J179" s="15" t="b">
        <v>0</v>
      </c>
      <c r="K179" s="15" t="inlineStr">
        <is>
          <t>C</t>
        </is>
      </c>
      <c r="L179" s="16" t="n">
        <v>0</v>
      </c>
      <c r="M179" s="15" t="n"/>
      <c r="N179" s="15" t="n"/>
      <c r="O179" s="15" t="inlineStr">
        <is>
          <t>Chưa mở</t>
        </is>
      </c>
      <c r="P179" s="15" t="n"/>
    </row>
    <row r="180" hidden="1" ht="15.75" customHeight="1" s="57">
      <c r="A180" s="7" t="inlineStr">
        <is>
          <t>Bình Thuận</t>
        </is>
      </c>
      <c r="B180" s="7" t="n">
        <v>1780</v>
      </c>
      <c r="C180" s="7" t="inlineStr">
        <is>
          <t>Huyện Bắc Bình</t>
        </is>
      </c>
      <c r="D180" s="7" t="n">
        <v>470305</v>
      </c>
      <c r="E180" s="7" t="inlineStr">
        <is>
          <t>Xã Hải Ninh</t>
        </is>
      </c>
      <c r="F180" s="7" t="n">
        <v>20633000</v>
      </c>
      <c r="G180" s="7" t="inlineStr">
        <is>
          <t>Bưu Cục 237 Nguyễn Tất Thành-Bắc Bình-Bình Thuận</t>
        </is>
      </c>
      <c r="H180" s="15" t="n">
        <v>20633000</v>
      </c>
      <c r="I180" s="15" t="inlineStr">
        <is>
          <t>Bưu Cục 237 Nguyễn Tất Thành-Bắc Bình-Bình Thuận</t>
        </is>
      </c>
      <c r="J180" s="15" t="b">
        <v>1</v>
      </c>
      <c r="K180" s="15" t="inlineStr">
        <is>
          <t>A</t>
        </is>
      </c>
      <c r="L180" s="16" t="n">
        <v>1</v>
      </c>
      <c r="M180" s="15" t="n">
        <v>20</v>
      </c>
      <c r="N180" s="15" t="n">
        <v>15</v>
      </c>
      <c r="O180" s="15" t="inlineStr">
        <is>
          <t>Đã mở</t>
        </is>
      </c>
      <c r="P180" s="15" t="n"/>
    </row>
    <row r="181" hidden="1" ht="15.75" customHeight="1" s="57">
      <c r="A181" s="7" t="inlineStr">
        <is>
          <t>Bình Thuận</t>
        </is>
      </c>
      <c r="B181" s="7" t="n">
        <v>1780</v>
      </c>
      <c r="C181" s="7" t="inlineStr">
        <is>
          <t>Huyện Bắc Bình</t>
        </is>
      </c>
      <c r="D181" s="7" t="n">
        <v>470306</v>
      </c>
      <c r="E181" s="7" t="inlineStr">
        <is>
          <t>Xã Hòa Thắng</t>
        </is>
      </c>
      <c r="F181" s="7" t="n">
        <v>22934000</v>
      </c>
      <c r="G181" s="7" t="inlineStr">
        <is>
          <t>Bưu Cục 585 Nguyễn Tất Thành-Xã Lương Sơn-Bình Thuận</t>
        </is>
      </c>
      <c r="H181" s="15" t="n">
        <v>22934000</v>
      </c>
      <c r="I181" s="15" t="inlineStr">
        <is>
          <t>Bưu Cục 585 Nguyễn Tất Thành-Xã Lương Sơn-Bình Thuận</t>
        </is>
      </c>
      <c r="J181" s="15" t="b">
        <v>0</v>
      </c>
      <c r="K181" s="15" t="inlineStr">
        <is>
          <t>C</t>
        </is>
      </c>
      <c r="L181" s="16" t="n">
        <v>0</v>
      </c>
      <c r="M181" s="15" t="n"/>
      <c r="N181" s="15" t="n"/>
      <c r="O181" s="15" t="inlineStr">
        <is>
          <t>Chưa mở</t>
        </is>
      </c>
      <c r="P181" s="15" t="n"/>
    </row>
    <row r="182" hidden="1" ht="15.75" customHeight="1" s="57">
      <c r="A182" s="7" t="inlineStr">
        <is>
          <t>Bình Thuận</t>
        </is>
      </c>
      <c r="B182" s="7" t="n">
        <v>1780</v>
      </c>
      <c r="C182" s="7" t="inlineStr">
        <is>
          <t>Huyện Bắc Bình</t>
        </is>
      </c>
      <c r="D182" s="7" t="n">
        <v>470307</v>
      </c>
      <c r="E182" s="7" t="inlineStr">
        <is>
          <t>Xã Hồng Phong</t>
        </is>
      </c>
      <c r="F182" s="7" t="n">
        <v>22934000</v>
      </c>
      <c r="G182" s="7" t="inlineStr">
        <is>
          <t>Bưu Cục 585 Nguyễn Tất Thành-Xã Lương Sơn-Bình Thuận</t>
        </is>
      </c>
      <c r="H182" s="15" t="n">
        <v>22934000</v>
      </c>
      <c r="I182" s="15" t="inlineStr">
        <is>
          <t>Bưu Cục 585 Nguyễn Tất Thành-Xã Lương Sơn-Bình Thuận</t>
        </is>
      </c>
      <c r="J182" s="15" t="b">
        <v>0</v>
      </c>
      <c r="K182" s="15" t="inlineStr">
        <is>
          <t>C</t>
        </is>
      </c>
      <c r="L182" s="16" t="n">
        <v>0</v>
      </c>
      <c r="M182" s="15" t="n"/>
      <c r="N182" s="15" t="n"/>
      <c r="O182" s="15" t="inlineStr">
        <is>
          <t>Chưa mở</t>
        </is>
      </c>
      <c r="P182" s="15" t="n"/>
    </row>
    <row r="183" hidden="1" ht="15.75" customHeight="1" s="57">
      <c r="A183" s="7" t="inlineStr">
        <is>
          <t>Bình Thuận</t>
        </is>
      </c>
      <c r="B183" s="7" t="n">
        <v>1780</v>
      </c>
      <c r="C183" s="7" t="inlineStr">
        <is>
          <t>Huyện Bắc Bình</t>
        </is>
      </c>
      <c r="D183" s="7" t="n">
        <v>470308</v>
      </c>
      <c r="E183" s="7" t="inlineStr">
        <is>
          <t>Xã Hồng Thái</t>
        </is>
      </c>
      <c r="F183" s="7" t="n">
        <v>20633000</v>
      </c>
      <c r="G183" s="7" t="inlineStr">
        <is>
          <t>Bưu Cục 237 Nguyễn Tất Thành-Bắc Bình-Bình Thuận</t>
        </is>
      </c>
      <c r="H183" s="15" t="n">
        <v>20633000</v>
      </c>
      <c r="I183" s="15" t="inlineStr">
        <is>
          <t>Bưu Cục 237 Nguyễn Tất Thành-Bắc Bình-Bình Thuận</t>
        </is>
      </c>
      <c r="J183" s="15" t="b">
        <v>1</v>
      </c>
      <c r="K183" s="15" t="inlineStr">
        <is>
          <t>A</t>
        </is>
      </c>
      <c r="L183" s="16" t="n">
        <v>1</v>
      </c>
      <c r="M183" s="15" t="n">
        <v>20</v>
      </c>
      <c r="N183" s="15" t="n">
        <v>15</v>
      </c>
      <c r="O183" s="15" t="inlineStr">
        <is>
          <t>Đã mở</t>
        </is>
      </c>
      <c r="P183" s="15" t="n"/>
    </row>
    <row r="184" hidden="1" ht="15.75" customHeight="1" s="57">
      <c r="A184" s="7" t="inlineStr">
        <is>
          <t>Bình Thuận</t>
        </is>
      </c>
      <c r="B184" s="7" t="n">
        <v>1780</v>
      </c>
      <c r="C184" s="7" t="inlineStr">
        <is>
          <t>Huyện Bắc Bình</t>
        </is>
      </c>
      <c r="D184" s="7" t="n">
        <v>470309</v>
      </c>
      <c r="E184" s="7" t="inlineStr">
        <is>
          <t>Xã Phan Điền</t>
        </is>
      </c>
      <c r="F184" s="7" t="n">
        <v>20633000</v>
      </c>
      <c r="G184" s="7" t="inlineStr">
        <is>
          <t>Bưu Cục 237 Nguyễn Tất Thành-Bắc Bình-Bình Thuận</t>
        </is>
      </c>
      <c r="H184" s="15" t="n">
        <v>20633000</v>
      </c>
      <c r="I184" s="15" t="inlineStr">
        <is>
          <t>Bưu Cục 237 Nguyễn Tất Thành-Bắc Bình-Bình Thuận</t>
        </is>
      </c>
      <c r="J184" s="15" t="b">
        <v>1</v>
      </c>
      <c r="K184" s="15" t="inlineStr">
        <is>
          <t>A</t>
        </is>
      </c>
      <c r="L184" s="16" t="n">
        <v>1</v>
      </c>
      <c r="M184" s="15" t="n">
        <v>20</v>
      </c>
      <c r="N184" s="15" t="n">
        <v>15</v>
      </c>
      <c r="O184" s="15" t="inlineStr">
        <is>
          <t>Đã mở</t>
        </is>
      </c>
      <c r="P184" s="15" t="n"/>
    </row>
    <row r="185" hidden="1" ht="15.75" customHeight="1" s="57">
      <c r="A185" s="7" t="inlineStr">
        <is>
          <t>Bình Thuận</t>
        </is>
      </c>
      <c r="B185" s="7" t="n">
        <v>1780</v>
      </c>
      <c r="C185" s="7" t="inlineStr">
        <is>
          <t>Huyện Bắc Bình</t>
        </is>
      </c>
      <c r="D185" s="7" t="n">
        <v>470310</v>
      </c>
      <c r="E185" s="7" t="inlineStr">
        <is>
          <t>Xã Phan Hiệp</t>
        </is>
      </c>
      <c r="F185" s="7" t="n">
        <v>20633000</v>
      </c>
      <c r="G185" s="7" t="inlineStr">
        <is>
          <t>Bưu Cục 237 Nguyễn Tất Thành-Bắc Bình-Bình Thuận</t>
        </is>
      </c>
      <c r="H185" s="15" t="n">
        <v>20633000</v>
      </c>
      <c r="I185" s="15" t="inlineStr">
        <is>
          <t>Bưu Cục 237 Nguyễn Tất Thành-Bắc Bình-Bình Thuận</t>
        </is>
      </c>
      <c r="J185" s="15" t="b">
        <v>1</v>
      </c>
      <c r="K185" s="15" t="inlineStr">
        <is>
          <t>A</t>
        </is>
      </c>
      <c r="L185" s="16" t="n">
        <v>1</v>
      </c>
      <c r="M185" s="15" t="n">
        <v>20</v>
      </c>
      <c r="N185" s="15" t="n">
        <v>15</v>
      </c>
      <c r="O185" s="15" t="inlineStr">
        <is>
          <t>Đã mở</t>
        </is>
      </c>
      <c r="P185" s="15" t="n"/>
    </row>
    <row r="186" hidden="1" ht="15.75" customHeight="1" s="57">
      <c r="A186" s="7" t="inlineStr">
        <is>
          <t>Bình Thuận</t>
        </is>
      </c>
      <c r="B186" s="7" t="n">
        <v>1780</v>
      </c>
      <c r="C186" s="7" t="inlineStr">
        <is>
          <t>Huyện Bắc Bình</t>
        </is>
      </c>
      <c r="D186" s="7" t="n">
        <v>470311</v>
      </c>
      <c r="E186" s="7" t="inlineStr">
        <is>
          <t>Xã Phan Hòa</t>
        </is>
      </c>
      <c r="F186" s="7" t="n">
        <v>20633000</v>
      </c>
      <c r="G186" s="7" t="inlineStr">
        <is>
          <t>Bưu Cục 237 Nguyễn Tất Thành-Bắc Bình-Bình Thuận</t>
        </is>
      </c>
      <c r="H186" s="15" t="n">
        <v>20633000</v>
      </c>
      <c r="I186" s="15" t="inlineStr">
        <is>
          <t>Bưu Cục 237 Nguyễn Tất Thành-Bắc Bình-Bình Thuận</t>
        </is>
      </c>
      <c r="J186" s="15" t="b">
        <v>1</v>
      </c>
      <c r="K186" s="15" t="inlineStr">
        <is>
          <t>A</t>
        </is>
      </c>
      <c r="L186" s="16" t="n">
        <v>1</v>
      </c>
      <c r="M186" s="15" t="n">
        <v>20</v>
      </c>
      <c r="N186" s="15" t="n">
        <v>15</v>
      </c>
      <c r="O186" s="15" t="inlineStr">
        <is>
          <t>Đã mở</t>
        </is>
      </c>
      <c r="P186" s="15" t="n"/>
    </row>
    <row r="187" hidden="1" ht="15.75" customHeight="1" s="57">
      <c r="A187" s="7" t="inlineStr">
        <is>
          <t>Bình Thuận</t>
        </is>
      </c>
      <c r="B187" s="7" t="n">
        <v>1780</v>
      </c>
      <c r="C187" s="7" t="inlineStr">
        <is>
          <t>Huyện Bắc Bình</t>
        </is>
      </c>
      <c r="D187" s="7" t="n">
        <v>470312</v>
      </c>
      <c r="E187" s="7" t="inlineStr">
        <is>
          <t>Xã Phan Lâm</t>
        </is>
      </c>
      <c r="F187" s="7" t="n">
        <v>20633000</v>
      </c>
      <c r="G187" s="7" t="inlineStr">
        <is>
          <t>Bưu Cục 237 Nguyễn Tất Thành-Bắc Bình-Bình Thuận</t>
        </is>
      </c>
      <c r="H187" s="15" t="n">
        <v>20633000</v>
      </c>
      <c r="I187" s="15" t="inlineStr">
        <is>
          <t>Bưu Cục 237 Nguyễn Tất Thành-Bắc Bình-Bình Thuận</t>
        </is>
      </c>
      <c r="J187" s="15" t="b">
        <v>0</v>
      </c>
      <c r="K187" s="15" t="inlineStr">
        <is>
          <t>C</t>
        </is>
      </c>
      <c r="L187" s="16" t="n">
        <v>0</v>
      </c>
      <c r="M187" s="15" t="n"/>
      <c r="N187" s="15" t="n"/>
      <c r="O187" s="15" t="inlineStr">
        <is>
          <t>Chưa mở</t>
        </is>
      </c>
      <c r="P187" s="15" t="n"/>
    </row>
    <row r="188" hidden="1" ht="15.75" customHeight="1" s="57">
      <c r="A188" s="7" t="inlineStr">
        <is>
          <t>Bình Thuận</t>
        </is>
      </c>
      <c r="B188" s="7" t="n">
        <v>1780</v>
      </c>
      <c r="C188" s="7" t="inlineStr">
        <is>
          <t>Huyện Bắc Bình</t>
        </is>
      </c>
      <c r="D188" s="7" t="n">
        <v>470313</v>
      </c>
      <c r="E188" s="7" t="inlineStr">
        <is>
          <t>Xã Phan Rí Thành</t>
        </is>
      </c>
      <c r="F188" s="7" t="n">
        <v>20633000</v>
      </c>
      <c r="G188" s="7" t="inlineStr">
        <is>
          <t>Bưu Cục 237 Nguyễn Tất Thành-Bắc Bình-Bình Thuận</t>
        </is>
      </c>
      <c r="H188" s="15" t="n">
        <v>20633000</v>
      </c>
      <c r="I188" s="15" t="inlineStr">
        <is>
          <t>Bưu Cục 237 Nguyễn Tất Thành-Bắc Bình-Bình Thuận</t>
        </is>
      </c>
      <c r="J188" s="15" t="b">
        <v>1</v>
      </c>
      <c r="K188" s="15" t="inlineStr">
        <is>
          <t>A</t>
        </is>
      </c>
      <c r="L188" s="16" t="n">
        <v>1</v>
      </c>
      <c r="M188" s="15" t="n">
        <v>20</v>
      </c>
      <c r="N188" s="15" t="n">
        <v>15</v>
      </c>
      <c r="O188" s="15" t="inlineStr">
        <is>
          <t>Đã mở</t>
        </is>
      </c>
      <c r="P188" s="15" t="n"/>
    </row>
    <row r="189" hidden="1" ht="15.75" customHeight="1" s="57">
      <c r="A189" s="7" t="inlineStr">
        <is>
          <t>Bình Thuận</t>
        </is>
      </c>
      <c r="B189" s="7" t="n">
        <v>1780</v>
      </c>
      <c r="C189" s="7" t="inlineStr">
        <is>
          <t>Huyện Bắc Bình</t>
        </is>
      </c>
      <c r="D189" s="7" t="n">
        <v>470314</v>
      </c>
      <c r="E189" s="7" t="inlineStr">
        <is>
          <t>Xã Phan Sơn</t>
        </is>
      </c>
      <c r="F189" s="7" t="n">
        <v>20633000</v>
      </c>
      <c r="G189" s="7" t="inlineStr">
        <is>
          <t>Bưu Cục 237 Nguyễn Tất Thành-Bắc Bình-Bình Thuận</t>
        </is>
      </c>
      <c r="H189" s="15" t="n">
        <v>20633000</v>
      </c>
      <c r="I189" s="15" t="inlineStr">
        <is>
          <t>Bưu Cục 237 Nguyễn Tất Thành-Bắc Bình-Bình Thuận</t>
        </is>
      </c>
      <c r="J189" s="15" t="b">
        <v>0</v>
      </c>
      <c r="K189" s="15" t="inlineStr">
        <is>
          <t>C</t>
        </is>
      </c>
      <c r="L189" s="16" t="n">
        <v>0</v>
      </c>
      <c r="M189" s="15" t="n"/>
      <c r="N189" s="15" t="n"/>
      <c r="O189" s="15" t="inlineStr">
        <is>
          <t>Chưa mở</t>
        </is>
      </c>
      <c r="P189" s="15" t="n"/>
    </row>
    <row r="190" hidden="1" ht="15.75" customHeight="1" s="57">
      <c r="A190" s="7" t="inlineStr">
        <is>
          <t>Bình Thuận</t>
        </is>
      </c>
      <c r="B190" s="7" t="n">
        <v>1780</v>
      </c>
      <c r="C190" s="7" t="inlineStr">
        <is>
          <t>Huyện Bắc Bình</t>
        </is>
      </c>
      <c r="D190" s="7" t="n">
        <v>470315</v>
      </c>
      <c r="E190" s="7" t="inlineStr">
        <is>
          <t>Xã Phan Thanh</t>
        </is>
      </c>
      <c r="F190" s="7" t="n">
        <v>20633000</v>
      </c>
      <c r="G190" s="7" t="inlineStr">
        <is>
          <t>Bưu Cục 237 Nguyễn Tất Thành-Bắc Bình-Bình Thuận</t>
        </is>
      </c>
      <c r="H190" s="15" t="n">
        <v>20633000</v>
      </c>
      <c r="I190" s="15" t="inlineStr">
        <is>
          <t>Bưu Cục 237 Nguyễn Tất Thành-Bắc Bình-Bình Thuận</t>
        </is>
      </c>
      <c r="J190" s="15" t="b">
        <v>1</v>
      </c>
      <c r="K190" s="15" t="inlineStr">
        <is>
          <t>A</t>
        </is>
      </c>
      <c r="L190" s="16" t="n">
        <v>1</v>
      </c>
      <c r="M190" s="15" t="n">
        <v>20</v>
      </c>
      <c r="N190" s="15" t="n">
        <v>15</v>
      </c>
      <c r="O190" s="15" t="inlineStr">
        <is>
          <t>Đã mở</t>
        </is>
      </c>
      <c r="P190" s="15" t="n"/>
    </row>
    <row r="191" hidden="1" ht="15.75" customHeight="1" s="57">
      <c r="A191" s="7" t="inlineStr">
        <is>
          <t>Bình Thuận</t>
        </is>
      </c>
      <c r="B191" s="7" t="n">
        <v>1780</v>
      </c>
      <c r="C191" s="7" t="inlineStr">
        <is>
          <t>Huyện Bắc Bình</t>
        </is>
      </c>
      <c r="D191" s="7" t="n">
        <v>470316</v>
      </c>
      <c r="E191" s="7" t="inlineStr">
        <is>
          <t>Xã Phan Tiến</t>
        </is>
      </c>
      <c r="F191" s="7" t="n">
        <v>22934000</v>
      </c>
      <c r="G191" s="7" t="inlineStr">
        <is>
          <t>Bưu Cục 585 Nguyễn Tất Thành-Xã Lương Sơn-Bình Thuận</t>
        </is>
      </c>
      <c r="H191" s="15" t="n">
        <v>22934000</v>
      </c>
      <c r="I191" s="15" t="inlineStr">
        <is>
          <t>Bưu Cục 585 Nguyễn Tất Thành-Xã Lương Sơn-Bình Thuận</t>
        </is>
      </c>
      <c r="J191" s="15" t="b">
        <v>0</v>
      </c>
      <c r="K191" s="15" t="inlineStr">
        <is>
          <t>C</t>
        </is>
      </c>
      <c r="L191" s="16" t="n">
        <v>0</v>
      </c>
      <c r="M191" s="15" t="n"/>
      <c r="N191" s="15" t="n"/>
      <c r="O191" s="15" t="inlineStr">
        <is>
          <t>Chưa mở</t>
        </is>
      </c>
      <c r="P191" s="15" t="n"/>
    </row>
    <row r="192" hidden="1" ht="15.75" customHeight="1" s="57">
      <c r="A192" s="7" t="inlineStr">
        <is>
          <t>Bình Thuận</t>
        </is>
      </c>
      <c r="B192" s="7" t="n">
        <v>1780</v>
      </c>
      <c r="C192" s="7" t="inlineStr">
        <is>
          <t>Huyện Bắc Bình</t>
        </is>
      </c>
      <c r="D192" s="7" t="n">
        <v>470317</v>
      </c>
      <c r="E192" s="7" t="inlineStr">
        <is>
          <t>Xã Sông Bình</t>
        </is>
      </c>
      <c r="F192" s="7" t="n">
        <v>22934000</v>
      </c>
      <c r="G192" s="7" t="inlineStr">
        <is>
          <t>Bưu Cục 585 Nguyễn Tất Thành-Xã Lương Sơn-Bình Thuận</t>
        </is>
      </c>
      <c r="H192" s="15" t="n">
        <v>22934000</v>
      </c>
      <c r="I192" s="15" t="inlineStr">
        <is>
          <t>Bưu Cục 585 Nguyễn Tất Thành-Xã Lương Sơn-Bình Thuận</t>
        </is>
      </c>
      <c r="J192" s="15" t="b">
        <v>0</v>
      </c>
      <c r="K192" s="15" t="inlineStr">
        <is>
          <t>C</t>
        </is>
      </c>
      <c r="L192" s="16" t="n">
        <v>0</v>
      </c>
      <c r="M192" s="15" t="n"/>
      <c r="N192" s="15" t="n"/>
      <c r="O192" s="15" t="inlineStr">
        <is>
          <t>Chưa mở</t>
        </is>
      </c>
      <c r="P192" s="15" t="n"/>
    </row>
    <row r="193" hidden="1" ht="15.75" customHeight="1" s="57">
      <c r="A193" s="7" t="inlineStr">
        <is>
          <t>Bình Thuận</t>
        </is>
      </c>
      <c r="B193" s="7" t="n">
        <v>1780</v>
      </c>
      <c r="C193" s="7" t="inlineStr">
        <is>
          <t>Huyện Bắc Bình</t>
        </is>
      </c>
      <c r="D193" s="7" t="n">
        <v>470318</v>
      </c>
      <c r="E193" s="7" t="inlineStr">
        <is>
          <t>Xã Sông Lũy</t>
        </is>
      </c>
      <c r="F193" s="7" t="n">
        <v>22934000</v>
      </c>
      <c r="G193" s="7" t="inlineStr">
        <is>
          <t>Bưu Cục 585 Nguyễn Tất Thành-Xã Lương Sơn-Bình Thuận</t>
        </is>
      </c>
      <c r="H193" s="15" t="n">
        <v>22934000</v>
      </c>
      <c r="I193" s="15" t="inlineStr">
        <is>
          <t>Bưu Cục 585 Nguyễn Tất Thành-Xã Lương Sơn-Bình Thuận</t>
        </is>
      </c>
      <c r="J193" s="15" t="b">
        <v>0</v>
      </c>
      <c r="K193" s="15" t="inlineStr">
        <is>
          <t>C</t>
        </is>
      </c>
      <c r="L193" s="16" t="n">
        <v>0</v>
      </c>
      <c r="M193" s="15" t="n"/>
      <c r="N193" s="15" t="n"/>
      <c r="O193" s="15" t="inlineStr">
        <is>
          <t>Chưa mở</t>
        </is>
      </c>
      <c r="P193" s="15" t="n"/>
    </row>
    <row r="194" hidden="1" ht="15.75" customHeight="1" s="57">
      <c r="A194" s="7" t="inlineStr">
        <is>
          <t>Bình Thuận</t>
        </is>
      </c>
      <c r="B194" s="7" t="n">
        <v>1781</v>
      </c>
      <c r="C194" s="7" t="inlineStr">
        <is>
          <t>Huyện Tuy Phong</t>
        </is>
      </c>
      <c r="D194" s="7" t="n">
        <v>470201</v>
      </c>
      <c r="E194" s="7" t="inlineStr">
        <is>
          <t>Thị trấn Liên Hương</t>
        </is>
      </c>
      <c r="F194" s="7" t="n">
        <v>21298000</v>
      </c>
      <c r="G194" s="7" t="inlineStr">
        <is>
          <t>Bưu cục Thị Trấn Liên Hương-Tuy Phong-Bình Thuận</t>
        </is>
      </c>
      <c r="H194" s="15" t="n">
        <v>21298000</v>
      </c>
      <c r="I194" s="15" t="inlineStr">
        <is>
          <t>Bưu cục Thị Trấn Liên Hương-Tuy Phong-Bình Thuận</t>
        </is>
      </c>
      <c r="J194" s="15" t="b">
        <v>1</v>
      </c>
      <c r="K194" s="15" t="inlineStr">
        <is>
          <t>A</t>
        </is>
      </c>
      <c r="L194" s="16" t="n">
        <v>1</v>
      </c>
      <c r="M194" s="15" t="n">
        <v>20</v>
      </c>
      <c r="N194" s="15" t="n">
        <v>15</v>
      </c>
      <c r="O194" s="15" t="inlineStr">
        <is>
          <t>Đã mở</t>
        </is>
      </c>
      <c r="P194" s="15" t="n"/>
    </row>
    <row r="195" hidden="1" ht="15.75" customHeight="1" s="57">
      <c r="A195" s="7" t="inlineStr">
        <is>
          <t>Bình Thuận</t>
        </is>
      </c>
      <c r="B195" s="7" t="n">
        <v>1781</v>
      </c>
      <c r="C195" s="7" t="inlineStr">
        <is>
          <t>Huyện Tuy Phong</t>
        </is>
      </c>
      <c r="D195" s="7" t="n">
        <v>470202</v>
      </c>
      <c r="E195" s="7" t="inlineStr">
        <is>
          <t>Thị trấn Phan Rí Cửa</t>
        </is>
      </c>
      <c r="F195" s="7" t="n">
        <v>22549000</v>
      </c>
      <c r="G195" s="7" t="inlineStr">
        <is>
          <t>Bưu Cục 21 Trần Hưng Đạo-Xã Phan Rí Cửa-Bình Thuận</t>
        </is>
      </c>
      <c r="H195" s="15" t="n">
        <v>22549000</v>
      </c>
      <c r="I195" s="15" t="inlineStr">
        <is>
          <t>Bưu Cục 21 Trần Hưng Đạo-Xã Phan Rí Cửa-Bình Thuận</t>
        </is>
      </c>
      <c r="J195" s="15" t="b">
        <v>1</v>
      </c>
      <c r="K195" s="15" t="inlineStr">
        <is>
          <t>A</t>
        </is>
      </c>
      <c r="L195" s="16" t="n">
        <v>1</v>
      </c>
      <c r="M195" s="15" t="n">
        <v>20</v>
      </c>
      <c r="N195" s="15" t="n">
        <v>15</v>
      </c>
      <c r="O195" s="15" t="inlineStr">
        <is>
          <t>Đã mở</t>
        </is>
      </c>
      <c r="P195" s="15" t="n"/>
    </row>
    <row r="196" hidden="1" ht="15.75" customHeight="1" s="57">
      <c r="A196" s="7" t="inlineStr">
        <is>
          <t>Bình Thuận</t>
        </is>
      </c>
      <c r="B196" s="7" t="n">
        <v>1781</v>
      </c>
      <c r="C196" s="7" t="inlineStr">
        <is>
          <t>Huyện Tuy Phong</t>
        </is>
      </c>
      <c r="D196" s="7" t="n">
        <v>470203</v>
      </c>
      <c r="E196" s="7" t="inlineStr">
        <is>
          <t>Xã Bình Thạnh</t>
        </is>
      </c>
      <c r="F196" s="7" t="n">
        <v>21298000</v>
      </c>
      <c r="G196" s="7" t="inlineStr">
        <is>
          <t>Bưu cục Thị Trấn Liên Hương-Tuy Phong-Bình Thuận</t>
        </is>
      </c>
      <c r="H196" s="15" t="n">
        <v>21298000</v>
      </c>
      <c r="I196" s="15" t="inlineStr">
        <is>
          <t>Bưu cục Thị Trấn Liên Hương-Tuy Phong-Bình Thuận</t>
        </is>
      </c>
      <c r="J196" s="15" t="b">
        <v>1</v>
      </c>
      <c r="K196" s="15" t="inlineStr">
        <is>
          <t>A</t>
        </is>
      </c>
      <c r="L196" s="16" t="n">
        <v>1</v>
      </c>
      <c r="M196" s="15" t="n">
        <v>20</v>
      </c>
      <c r="N196" s="15" t="n">
        <v>15</v>
      </c>
      <c r="O196" s="15" t="inlineStr">
        <is>
          <t>Đã mở</t>
        </is>
      </c>
      <c r="P196" s="15" t="n"/>
    </row>
    <row r="197" hidden="1" ht="15.75" customHeight="1" s="57">
      <c r="A197" s="7" t="inlineStr">
        <is>
          <t>Bình Thuận</t>
        </is>
      </c>
      <c r="B197" s="7" t="n">
        <v>1781</v>
      </c>
      <c r="C197" s="7" t="inlineStr">
        <is>
          <t>Huyện Tuy Phong</t>
        </is>
      </c>
      <c r="D197" s="7" t="n">
        <v>470204</v>
      </c>
      <c r="E197" s="7" t="inlineStr">
        <is>
          <t>Xã Chí Công</t>
        </is>
      </c>
      <c r="F197" s="7" t="n">
        <v>22549000</v>
      </c>
      <c r="G197" s="7" t="inlineStr">
        <is>
          <t>Bưu Cục 21 Trần Hưng Đạo-Xã Phan Rí Cửa-Bình Thuận</t>
        </is>
      </c>
      <c r="H197" s="15" t="n">
        <v>22549000</v>
      </c>
      <c r="I197" s="15" t="inlineStr">
        <is>
          <t>Bưu Cục 21 Trần Hưng Đạo-Xã Phan Rí Cửa-Bình Thuận</t>
        </is>
      </c>
      <c r="J197" s="15" t="b">
        <v>1</v>
      </c>
      <c r="K197" s="15" t="inlineStr">
        <is>
          <t>A</t>
        </is>
      </c>
      <c r="L197" s="16" t="n">
        <v>1</v>
      </c>
      <c r="M197" s="15" t="n">
        <v>20</v>
      </c>
      <c r="N197" s="15" t="n">
        <v>15</v>
      </c>
      <c r="O197" s="15" t="inlineStr">
        <is>
          <t>Đã mở</t>
        </is>
      </c>
      <c r="P197" s="15" t="n"/>
    </row>
    <row r="198" hidden="1" ht="15.75" customHeight="1" s="57">
      <c r="A198" s="7" t="inlineStr">
        <is>
          <t>Bình Thuận</t>
        </is>
      </c>
      <c r="B198" s="7" t="n">
        <v>1781</v>
      </c>
      <c r="C198" s="7" t="inlineStr">
        <is>
          <t>Huyện Tuy Phong</t>
        </is>
      </c>
      <c r="D198" s="7" t="n">
        <v>470205</v>
      </c>
      <c r="E198" s="7" t="inlineStr">
        <is>
          <t>Xã Hòa Minh</t>
        </is>
      </c>
      <c r="F198" s="7" t="n">
        <v>22549000</v>
      </c>
      <c r="G198" s="7" t="inlineStr">
        <is>
          <t>Bưu Cục 21 Trần Hưng Đạo-Xã Phan Rí Cửa-Bình Thuận</t>
        </is>
      </c>
      <c r="H198" s="15" t="n">
        <v>22549000</v>
      </c>
      <c r="I198" s="15" t="inlineStr">
        <is>
          <t>Bưu Cục 21 Trần Hưng Đạo-Xã Phan Rí Cửa-Bình Thuận</t>
        </is>
      </c>
      <c r="J198" s="15" t="b">
        <v>1</v>
      </c>
      <c r="K198" s="15" t="inlineStr">
        <is>
          <t>A</t>
        </is>
      </c>
      <c r="L198" s="16" t="n">
        <v>1</v>
      </c>
      <c r="M198" s="15" t="n">
        <v>20</v>
      </c>
      <c r="N198" s="15" t="n">
        <v>15</v>
      </c>
      <c r="O198" s="15" t="inlineStr">
        <is>
          <t>Đã mở</t>
        </is>
      </c>
      <c r="P198" s="15" t="n"/>
    </row>
    <row r="199" hidden="1" ht="15.75" customHeight="1" s="57">
      <c r="A199" s="7" t="inlineStr">
        <is>
          <t>Bình Thuận</t>
        </is>
      </c>
      <c r="B199" s="7" t="n">
        <v>1781</v>
      </c>
      <c r="C199" s="7" t="inlineStr">
        <is>
          <t>Huyện Tuy Phong</t>
        </is>
      </c>
      <c r="D199" s="7" t="n">
        <v>470206</v>
      </c>
      <c r="E199" s="7" t="inlineStr">
        <is>
          <t>Xã Hòa Phú</t>
        </is>
      </c>
      <c r="F199" s="7" t="n">
        <v>22549000</v>
      </c>
      <c r="G199" s="7" t="inlineStr">
        <is>
          <t>Bưu Cục 21 Trần Hưng Đạo-Xã Phan Rí Cửa-Bình Thuận</t>
        </is>
      </c>
      <c r="H199" s="15" t="n">
        <v>22549000</v>
      </c>
      <c r="I199" s="15" t="inlineStr">
        <is>
          <t>Bưu Cục 21 Trần Hưng Đạo-Xã Phan Rí Cửa-Bình Thuận</t>
        </is>
      </c>
      <c r="J199" s="15" t="b">
        <v>0</v>
      </c>
      <c r="K199" s="15" t="inlineStr">
        <is>
          <t>C</t>
        </is>
      </c>
      <c r="L199" s="16" t="n">
        <v>0</v>
      </c>
      <c r="M199" s="15" t="n"/>
      <c r="N199" s="15" t="n"/>
      <c r="O199" s="15" t="inlineStr">
        <is>
          <t>Chưa mở</t>
        </is>
      </c>
      <c r="P199" s="15" t="n"/>
    </row>
    <row r="200" hidden="1" ht="15.75" customHeight="1" s="57">
      <c r="A200" s="7" t="inlineStr">
        <is>
          <t>Bình Thuận</t>
        </is>
      </c>
      <c r="B200" s="7" t="n">
        <v>1781</v>
      </c>
      <c r="C200" s="7" t="inlineStr">
        <is>
          <t>Huyện Tuy Phong</t>
        </is>
      </c>
      <c r="D200" s="7" t="n">
        <v>470207</v>
      </c>
      <c r="E200" s="7" t="inlineStr">
        <is>
          <t>Xã Phan Dũng</t>
        </is>
      </c>
      <c r="F200" s="7" t="n">
        <v>21298000</v>
      </c>
      <c r="G200" s="7" t="inlineStr">
        <is>
          <t>Bưu cục Thị Trấn Liên Hương-Tuy Phong-Bình Thuận</t>
        </is>
      </c>
      <c r="H200" s="15" t="n">
        <v>21298000</v>
      </c>
      <c r="I200" s="15" t="inlineStr">
        <is>
          <t>Bưu cục Thị Trấn Liên Hương-Tuy Phong-Bình Thuận</t>
        </is>
      </c>
      <c r="J200" s="15" t="b">
        <v>1</v>
      </c>
      <c r="K200" s="15" t="inlineStr">
        <is>
          <t>A</t>
        </is>
      </c>
      <c r="L200" s="16" t="n">
        <v>1</v>
      </c>
      <c r="M200" s="15" t="n">
        <v>20</v>
      </c>
      <c r="N200" s="15" t="n">
        <v>15</v>
      </c>
      <c r="O200" s="15" t="inlineStr">
        <is>
          <t>Đã mở</t>
        </is>
      </c>
      <c r="P200" s="15" t="n"/>
    </row>
    <row r="201" hidden="1" ht="15.75" customHeight="1" s="57">
      <c r="A201" s="7" t="inlineStr">
        <is>
          <t>Bình Thuận</t>
        </is>
      </c>
      <c r="B201" s="7" t="n">
        <v>1781</v>
      </c>
      <c r="C201" s="7" t="inlineStr">
        <is>
          <t>Huyện Tuy Phong</t>
        </is>
      </c>
      <c r="D201" s="7" t="n">
        <v>470208</v>
      </c>
      <c r="E201" s="7" t="inlineStr">
        <is>
          <t>Xã Phong Phú</t>
        </is>
      </c>
      <c r="F201" s="7" t="n">
        <v>21298000</v>
      </c>
      <c r="G201" s="7" t="inlineStr">
        <is>
          <t>Bưu cục Thị Trấn Liên Hương-Tuy Phong-Bình Thuận</t>
        </is>
      </c>
      <c r="H201" s="15" t="n">
        <v>21298000</v>
      </c>
      <c r="I201" s="15" t="inlineStr">
        <is>
          <t>Bưu cục Thị Trấn Liên Hương-Tuy Phong-Bình Thuận</t>
        </is>
      </c>
      <c r="J201" s="15" t="b">
        <v>1</v>
      </c>
      <c r="K201" s="15" t="inlineStr">
        <is>
          <t>A</t>
        </is>
      </c>
      <c r="L201" s="16" t="n">
        <v>1</v>
      </c>
      <c r="M201" s="15" t="n">
        <v>20</v>
      </c>
      <c r="N201" s="15" t="n">
        <v>15</v>
      </c>
      <c r="O201" s="15" t="inlineStr">
        <is>
          <t>Đã mở</t>
        </is>
      </c>
      <c r="P201" s="15" t="n"/>
    </row>
    <row r="202" hidden="1" ht="15.75" customHeight="1" s="57">
      <c r="A202" s="7" t="inlineStr">
        <is>
          <t>Bình Thuận</t>
        </is>
      </c>
      <c r="B202" s="7" t="n">
        <v>1781</v>
      </c>
      <c r="C202" s="7" t="inlineStr">
        <is>
          <t>Huyện Tuy Phong</t>
        </is>
      </c>
      <c r="D202" s="7" t="n">
        <v>470209</v>
      </c>
      <c r="E202" s="7" t="inlineStr">
        <is>
          <t>Xã Phú Lạc</t>
        </is>
      </c>
      <c r="F202" s="7" t="n">
        <v>21298000</v>
      </c>
      <c r="G202" s="7" t="inlineStr">
        <is>
          <t>Bưu cục Thị Trấn Liên Hương-Tuy Phong-Bình Thuận</t>
        </is>
      </c>
      <c r="H202" s="15" t="n">
        <v>21298000</v>
      </c>
      <c r="I202" s="15" t="inlineStr">
        <is>
          <t>Bưu cục Thị Trấn Liên Hương-Tuy Phong-Bình Thuận</t>
        </is>
      </c>
      <c r="J202" s="15" t="b">
        <v>1</v>
      </c>
      <c r="K202" s="15" t="inlineStr">
        <is>
          <t>A</t>
        </is>
      </c>
      <c r="L202" s="16" t="n">
        <v>1</v>
      </c>
      <c r="M202" s="15" t="n">
        <v>20</v>
      </c>
      <c r="N202" s="15" t="n">
        <v>15</v>
      </c>
      <c r="O202" s="15" t="inlineStr">
        <is>
          <t>Đã mở</t>
        </is>
      </c>
      <c r="P202" s="15" t="n"/>
    </row>
    <row r="203" hidden="1" ht="15.75" customHeight="1" s="57">
      <c r="A203" s="7" t="inlineStr">
        <is>
          <t>Bình Thuận</t>
        </is>
      </c>
      <c r="B203" s="7" t="n">
        <v>1781</v>
      </c>
      <c r="C203" s="7" t="inlineStr">
        <is>
          <t>Huyện Tuy Phong</t>
        </is>
      </c>
      <c r="D203" s="7" t="n">
        <v>470210</v>
      </c>
      <c r="E203" s="7" t="inlineStr">
        <is>
          <t>Xã Phước Thể</t>
        </is>
      </c>
      <c r="F203" s="7" t="n">
        <v>21298000</v>
      </c>
      <c r="G203" s="7" t="inlineStr">
        <is>
          <t>Bưu cục Thị Trấn Liên Hương-Tuy Phong-Bình Thuận</t>
        </is>
      </c>
      <c r="H203" s="15" t="n">
        <v>21298000</v>
      </c>
      <c r="I203" s="15" t="inlineStr">
        <is>
          <t>Bưu cục Thị Trấn Liên Hương-Tuy Phong-Bình Thuận</t>
        </is>
      </c>
      <c r="J203" s="15" t="b">
        <v>1</v>
      </c>
      <c r="K203" s="15" t="inlineStr">
        <is>
          <t>A</t>
        </is>
      </c>
      <c r="L203" s="16" t="n">
        <v>1</v>
      </c>
      <c r="M203" s="15" t="n">
        <v>20</v>
      </c>
      <c r="N203" s="15" t="n">
        <v>15</v>
      </c>
      <c r="O203" s="15" t="inlineStr">
        <is>
          <t>Đã mở</t>
        </is>
      </c>
      <c r="P203" s="15" t="n"/>
    </row>
    <row r="204" hidden="1" ht="15.75" customHeight="1" s="57">
      <c r="A204" s="7" t="inlineStr">
        <is>
          <t>Bình Thuận</t>
        </is>
      </c>
      <c r="B204" s="7" t="n">
        <v>1781</v>
      </c>
      <c r="C204" s="7" t="inlineStr">
        <is>
          <t>Huyện Tuy Phong</t>
        </is>
      </c>
      <c r="D204" s="7" t="n">
        <v>470211</v>
      </c>
      <c r="E204" s="7" t="inlineStr">
        <is>
          <t>Xã Vĩnh Hảo</t>
        </is>
      </c>
      <c r="F204" s="7" t="n">
        <v>21298000</v>
      </c>
      <c r="G204" s="7" t="inlineStr">
        <is>
          <t>Bưu cục Thị Trấn Liên Hương-Tuy Phong-Bình Thuận</t>
        </is>
      </c>
      <c r="H204" s="15" t="n">
        <v>21298000</v>
      </c>
      <c r="I204" s="15" t="inlineStr">
        <is>
          <t>Bưu cục Thị Trấn Liên Hương-Tuy Phong-Bình Thuận</t>
        </is>
      </c>
      <c r="J204" s="15" t="b">
        <v>1</v>
      </c>
      <c r="K204" s="15" t="inlineStr">
        <is>
          <t>A</t>
        </is>
      </c>
      <c r="L204" s="16" t="n">
        <v>1</v>
      </c>
      <c r="M204" s="15" t="n">
        <v>20</v>
      </c>
      <c r="N204" s="15" t="n">
        <v>15</v>
      </c>
      <c r="O204" s="15" t="inlineStr">
        <is>
          <t>Đã mở</t>
        </is>
      </c>
      <c r="P204" s="15" t="n"/>
    </row>
    <row r="205" hidden="1" ht="15.75" customHeight="1" s="57">
      <c r="A205" s="7" t="inlineStr">
        <is>
          <t>Bình Thuận</t>
        </is>
      </c>
      <c r="B205" s="7" t="n">
        <v>1781</v>
      </c>
      <c r="C205" s="7" t="inlineStr">
        <is>
          <t>Huyện Tuy Phong</t>
        </is>
      </c>
      <c r="D205" s="7" t="n">
        <v>470212</v>
      </c>
      <c r="E205" s="7" t="inlineStr">
        <is>
          <t>Xã Vĩnh Tân</t>
        </is>
      </c>
      <c r="F205" s="7" t="n">
        <v>21298000</v>
      </c>
      <c r="G205" s="7" t="inlineStr">
        <is>
          <t>Bưu cục Thị Trấn Liên Hương-Tuy Phong-Bình Thuận</t>
        </is>
      </c>
      <c r="H205" s="15" t="n">
        <v>21298000</v>
      </c>
      <c r="I205" s="15" t="inlineStr">
        <is>
          <t>Bưu cục Thị Trấn Liên Hương-Tuy Phong-Bình Thuận</t>
        </is>
      </c>
      <c r="J205" s="15" t="b">
        <v>1</v>
      </c>
      <c r="K205" s="15" t="inlineStr">
        <is>
          <t>A</t>
        </is>
      </c>
      <c r="L205" s="16" t="n">
        <v>1</v>
      </c>
      <c r="M205" s="15" t="n">
        <v>20</v>
      </c>
      <c r="N205" s="15" t="n">
        <v>15</v>
      </c>
      <c r="O205" s="15" t="inlineStr">
        <is>
          <t>Đã mở</t>
        </is>
      </c>
      <c r="P205" s="15" t="n"/>
    </row>
    <row r="206" hidden="1" ht="15.75" customHeight="1" s="57">
      <c r="A206" s="7" t="inlineStr">
        <is>
          <t>Đắk Nông</t>
        </is>
      </c>
      <c r="B206" s="7" t="n">
        <v>1790</v>
      </c>
      <c r="C206" s="7" t="inlineStr">
        <is>
          <t>Huyện Đắk R lấp</t>
        </is>
      </c>
      <c r="D206" s="7" t="n">
        <v>630201</v>
      </c>
      <c r="E206" s="7" t="inlineStr">
        <is>
          <t>Thị trấn Kiến Đức</t>
        </is>
      </c>
      <c r="F206" s="7" t="n">
        <v>20269000</v>
      </c>
      <c r="G206" s="7" t="inlineStr">
        <is>
          <t>Bưu Cục 01 Nguyễn Tất Thành-Đắk R lấp-Đắk Nông</t>
        </is>
      </c>
      <c r="H206" s="15" t="n">
        <v>20269000</v>
      </c>
      <c r="I206" s="15" t="inlineStr">
        <is>
          <t>Bưu Cục 01 Nguyễn Tất Thành-Đắk R lấp-Đắk Nông</t>
        </is>
      </c>
      <c r="J206" s="15" t="b">
        <v>1</v>
      </c>
      <c r="K206" s="15" t="inlineStr">
        <is>
          <t>A</t>
        </is>
      </c>
      <c r="L206" s="16" t="n">
        <v>1</v>
      </c>
      <c r="M206" s="15" t="n">
        <v>15</v>
      </c>
      <c r="N206" s="15" t="n">
        <v>15</v>
      </c>
      <c r="O206" s="15" t="inlineStr">
        <is>
          <t>Đã mở</t>
        </is>
      </c>
      <c r="P206" s="15" t="n"/>
    </row>
    <row r="207" hidden="1" ht="15.75" customHeight="1" s="57">
      <c r="A207" s="7" t="inlineStr">
        <is>
          <t>Đắk Nông</t>
        </is>
      </c>
      <c r="B207" s="7" t="n">
        <v>1790</v>
      </c>
      <c r="C207" s="7" t="inlineStr">
        <is>
          <t>Huyện Đắk R lấp</t>
        </is>
      </c>
      <c r="D207" s="7" t="n">
        <v>630202</v>
      </c>
      <c r="E207" s="7" t="inlineStr">
        <is>
          <t>Xã Đắk Ru</t>
        </is>
      </c>
      <c r="F207" s="7" t="n">
        <v>22394000</v>
      </c>
      <c r="G207" s="7" t="inlineStr">
        <is>
          <t>Bưu Cục Thôn 2-Xã Quảng Tín-Đắk Nông</t>
        </is>
      </c>
      <c r="H207" s="15" t="n">
        <v>22394000</v>
      </c>
      <c r="I207" s="15" t="inlineStr">
        <is>
          <t>Bưu Cục Thôn 2-Xã Quảng Tín-Đắk Nông</t>
        </is>
      </c>
      <c r="J207" s="15" t="b">
        <v>0</v>
      </c>
      <c r="K207" s="15" t="inlineStr">
        <is>
          <t>C</t>
        </is>
      </c>
      <c r="L207" s="16" t="n">
        <v>0</v>
      </c>
      <c r="M207" s="15" t="n"/>
      <c r="N207" s="15" t="n"/>
      <c r="O207" s="15" t="inlineStr">
        <is>
          <t>Chưa mở</t>
        </is>
      </c>
      <c r="P207" s="15" t="n"/>
    </row>
    <row r="208" hidden="1" ht="15.75" customHeight="1" s="57">
      <c r="A208" s="7" t="inlineStr">
        <is>
          <t>Đắk Nông</t>
        </is>
      </c>
      <c r="B208" s="7" t="n">
        <v>1790</v>
      </c>
      <c r="C208" s="7" t="inlineStr">
        <is>
          <t>Huyện Đắk R lấp</t>
        </is>
      </c>
      <c r="D208" s="7" t="n">
        <v>630203</v>
      </c>
      <c r="E208" s="7" t="inlineStr">
        <is>
          <t>Xã Đắk Sin</t>
        </is>
      </c>
      <c r="F208" s="7" t="n">
        <v>22394000</v>
      </c>
      <c r="G208" s="7" t="inlineStr">
        <is>
          <t>Bưu Cục Thôn 2-Xã Quảng Tín-Đắk Nông</t>
        </is>
      </c>
      <c r="H208" s="15" t="n">
        <v>22394000</v>
      </c>
      <c r="I208" s="15" t="inlineStr">
        <is>
          <t>Bưu Cục Thôn 2-Xã Quảng Tín-Đắk Nông</t>
        </is>
      </c>
      <c r="J208" s="15" t="b">
        <v>0</v>
      </c>
      <c r="K208" s="15" t="inlineStr">
        <is>
          <t>C</t>
        </is>
      </c>
      <c r="L208" s="16" t="n">
        <v>0</v>
      </c>
      <c r="M208" s="15" t="n"/>
      <c r="N208" s="15" t="n"/>
      <c r="O208" s="15" t="inlineStr">
        <is>
          <t>Chưa mở</t>
        </is>
      </c>
      <c r="P208" s="15" t="n"/>
    </row>
    <row r="209" hidden="1" ht="15.75" customHeight="1" s="57">
      <c r="A209" s="7" t="inlineStr">
        <is>
          <t>Đắk Nông</t>
        </is>
      </c>
      <c r="B209" s="7" t="n">
        <v>1790</v>
      </c>
      <c r="C209" s="7" t="inlineStr">
        <is>
          <t>Huyện Đắk R lấp</t>
        </is>
      </c>
      <c r="D209" s="7" t="n">
        <v>630204</v>
      </c>
      <c r="E209" s="7" t="inlineStr">
        <is>
          <t>Xã Đắk Wer</t>
        </is>
      </c>
      <c r="F209" s="7" t="n">
        <v>20269003</v>
      </c>
      <c r="G209" s="7" t="inlineStr">
        <is>
          <t>Điểm Xử Lý Hàng Thôn 2-Xã Nhân Cơ-Đắk Nông</t>
        </is>
      </c>
      <c r="H209" s="15" t="n">
        <v>20269003</v>
      </c>
      <c r="I209" s="15" t="inlineStr">
        <is>
          <t>Điểm Xử Lý Hàng Thôn 2-Xã Nhân Cơ-Đắk Nông</t>
        </is>
      </c>
      <c r="J209" s="15" t="b">
        <v>1</v>
      </c>
      <c r="K209" s="15" t="inlineStr">
        <is>
          <t>A</t>
        </is>
      </c>
      <c r="L209" s="16" t="n">
        <v>1</v>
      </c>
      <c r="M209" s="15" t="n">
        <v>15</v>
      </c>
      <c r="N209" s="15" t="n">
        <v>15</v>
      </c>
      <c r="O209" s="15" t="inlineStr">
        <is>
          <t>Đã mở</t>
        </is>
      </c>
      <c r="P209" s="15" t="n"/>
    </row>
    <row r="210" hidden="1" ht="15.75" customHeight="1" s="57">
      <c r="A210" s="7" t="inlineStr">
        <is>
          <t>Đắk Nông</t>
        </is>
      </c>
      <c r="B210" s="7" t="n">
        <v>1790</v>
      </c>
      <c r="C210" s="7" t="inlineStr">
        <is>
          <t>Huyện Đắk R lấp</t>
        </is>
      </c>
      <c r="D210" s="7" t="n">
        <v>630205</v>
      </c>
      <c r="E210" s="7" t="inlineStr">
        <is>
          <t>Xã Đạo Nghĩa</t>
        </is>
      </c>
      <c r="F210" s="7" t="n">
        <v>20269000</v>
      </c>
      <c r="G210" s="7" t="inlineStr">
        <is>
          <t>Bưu Cục 01 Nguyễn Tất Thành-Đắk R lấp-Đắk Nông</t>
        </is>
      </c>
      <c r="H210" s="15" t="n">
        <v>20269000</v>
      </c>
      <c r="I210" s="15" t="inlineStr">
        <is>
          <t>Bưu Cục 01 Nguyễn Tất Thành-Đắk R lấp-Đắk Nông</t>
        </is>
      </c>
      <c r="J210" s="15" t="b">
        <v>0</v>
      </c>
      <c r="K210" s="15" t="inlineStr">
        <is>
          <t>C</t>
        </is>
      </c>
      <c r="L210" s="16" t="n">
        <v>0</v>
      </c>
      <c r="M210" s="15" t="n"/>
      <c r="N210" s="15" t="n"/>
      <c r="O210" s="15" t="inlineStr">
        <is>
          <t>Chưa mở</t>
        </is>
      </c>
      <c r="P210" s="15" t="n"/>
    </row>
    <row r="211" hidden="1" ht="15.75" customHeight="1" s="57">
      <c r="A211" s="7" t="inlineStr">
        <is>
          <t>Đắk Nông</t>
        </is>
      </c>
      <c r="B211" s="7" t="n">
        <v>1790</v>
      </c>
      <c r="C211" s="7" t="inlineStr">
        <is>
          <t>Huyện Đắk R lấp</t>
        </is>
      </c>
      <c r="D211" s="7" t="n">
        <v>630206</v>
      </c>
      <c r="E211" s="7" t="inlineStr">
        <is>
          <t>Xã Hưng Bình</t>
        </is>
      </c>
      <c r="F211" s="7" t="n">
        <v>22394000</v>
      </c>
      <c r="G211" s="7" t="inlineStr">
        <is>
          <t>Bưu Cục Thôn 2-Xã Quảng Tín-Đắk Nông</t>
        </is>
      </c>
      <c r="H211" s="15" t="n">
        <v>22394000</v>
      </c>
      <c r="I211" s="15" t="inlineStr">
        <is>
          <t>Bưu Cục Thôn 2-Xã Quảng Tín-Đắk Nông</t>
        </is>
      </c>
      <c r="J211" s="15" t="b">
        <v>0</v>
      </c>
      <c r="K211" s="15" t="inlineStr">
        <is>
          <t>C</t>
        </is>
      </c>
      <c r="L211" s="16" t="n">
        <v>0</v>
      </c>
      <c r="M211" s="15" t="n"/>
      <c r="N211" s="15" t="n"/>
      <c r="O211" s="15" t="inlineStr">
        <is>
          <t>Chưa mở</t>
        </is>
      </c>
      <c r="P211" s="15" t="n"/>
    </row>
    <row r="212" hidden="1" ht="15.75" customHeight="1" s="57">
      <c r="A212" s="7" t="inlineStr">
        <is>
          <t>Đắk Nông</t>
        </is>
      </c>
      <c r="B212" s="7" t="n">
        <v>1790</v>
      </c>
      <c r="C212" s="7" t="inlineStr">
        <is>
          <t>Huyện Đắk R lấp</t>
        </is>
      </c>
      <c r="D212" s="7" t="n">
        <v>630207</v>
      </c>
      <c r="E212" s="7" t="inlineStr">
        <is>
          <t>Xã Kiến Thành</t>
        </is>
      </c>
      <c r="F212" s="7" t="n">
        <v>20269000</v>
      </c>
      <c r="G212" s="7" t="inlineStr">
        <is>
          <t>Bưu Cục 01 Nguyễn Tất Thành-Đắk R lấp-Đắk Nông</t>
        </is>
      </c>
      <c r="H212" s="15" t="n">
        <v>20269000</v>
      </c>
      <c r="I212" s="15" t="inlineStr">
        <is>
          <t>Bưu Cục 01 Nguyễn Tất Thành-Đắk R lấp-Đắk Nông</t>
        </is>
      </c>
      <c r="J212" s="15" t="b">
        <v>0</v>
      </c>
      <c r="K212" s="15" t="inlineStr">
        <is>
          <t>C</t>
        </is>
      </c>
      <c r="L212" s="16" t="n">
        <v>0</v>
      </c>
      <c r="M212" s="15" t="n"/>
      <c r="N212" s="15" t="n"/>
      <c r="O212" s="15" t="inlineStr">
        <is>
          <t>Chưa mở</t>
        </is>
      </c>
      <c r="P212" s="15" t="n"/>
    </row>
    <row r="213" hidden="1" ht="15.75" customHeight="1" s="57">
      <c r="A213" s="7" t="inlineStr">
        <is>
          <t>Đắk Nông</t>
        </is>
      </c>
      <c r="B213" s="7" t="n">
        <v>1790</v>
      </c>
      <c r="C213" s="7" t="inlineStr">
        <is>
          <t>Huyện Đắk R lấp</t>
        </is>
      </c>
      <c r="D213" s="7" t="n">
        <v>630208</v>
      </c>
      <c r="E213" s="7" t="inlineStr">
        <is>
          <t>Xã Nghĩa Thắng</t>
        </is>
      </c>
      <c r="F213" s="7" t="n">
        <v>20269000</v>
      </c>
      <c r="G213" s="7" t="inlineStr">
        <is>
          <t>Bưu Cục 01 Nguyễn Tất Thành-Đắk R lấp-Đắk Nông</t>
        </is>
      </c>
      <c r="H213" s="15" t="n">
        <v>20269000</v>
      </c>
      <c r="I213" s="15" t="inlineStr">
        <is>
          <t>Bưu Cục 01 Nguyễn Tất Thành-Đắk R lấp-Đắk Nông</t>
        </is>
      </c>
      <c r="J213" s="15" t="b">
        <v>0</v>
      </c>
      <c r="K213" s="15" t="inlineStr">
        <is>
          <t>C</t>
        </is>
      </c>
      <c r="L213" s="16" t="n">
        <v>0</v>
      </c>
      <c r="M213" s="15" t="n"/>
      <c r="N213" s="15" t="n"/>
      <c r="O213" s="15" t="inlineStr">
        <is>
          <t>Chưa mở</t>
        </is>
      </c>
      <c r="P213" s="15" t="n"/>
    </row>
    <row r="214" hidden="1" ht="15.75" customHeight="1" s="57">
      <c r="A214" s="7" t="inlineStr">
        <is>
          <t>Đắk Nông</t>
        </is>
      </c>
      <c r="B214" s="7" t="n">
        <v>1790</v>
      </c>
      <c r="C214" s="7" t="inlineStr">
        <is>
          <t>Huyện Đắk R lấp</t>
        </is>
      </c>
      <c r="D214" s="7" t="n">
        <v>630209</v>
      </c>
      <c r="E214" s="7" t="inlineStr">
        <is>
          <t>Xã Nhân Cơ</t>
        </is>
      </c>
      <c r="F214" s="7" t="n">
        <v>20269003</v>
      </c>
      <c r="G214" s="7" t="inlineStr">
        <is>
          <t>Điểm Xử Lý Hàng Thôn 2-Xã Nhân Cơ-Đắk Nông</t>
        </is>
      </c>
      <c r="H214" s="15" t="n">
        <v>20269003</v>
      </c>
      <c r="I214" s="15" t="inlineStr">
        <is>
          <t>Điểm Xử Lý Hàng Thôn 2-Xã Nhân Cơ-Đắk Nông</t>
        </is>
      </c>
      <c r="J214" s="15" t="b">
        <v>1</v>
      </c>
      <c r="K214" s="15" t="inlineStr">
        <is>
          <t>A</t>
        </is>
      </c>
      <c r="L214" s="16" t="n">
        <v>1</v>
      </c>
      <c r="M214" s="15" t="n">
        <v>15</v>
      </c>
      <c r="N214" s="15" t="n">
        <v>15</v>
      </c>
      <c r="O214" s="15" t="inlineStr">
        <is>
          <t>Đã mở</t>
        </is>
      </c>
      <c r="P214" s="15" t="n"/>
    </row>
    <row r="215" hidden="1" ht="15.75" customHeight="1" s="57">
      <c r="A215" s="7" t="inlineStr">
        <is>
          <t>Đắk Nông</t>
        </is>
      </c>
      <c r="B215" s="7" t="n">
        <v>1790</v>
      </c>
      <c r="C215" s="7" t="inlineStr">
        <is>
          <t>Huyện Đắk R lấp</t>
        </is>
      </c>
      <c r="D215" s="7" t="n">
        <v>630210</v>
      </c>
      <c r="E215" s="7" t="inlineStr">
        <is>
          <t>Xã Nhân Đạo</t>
        </is>
      </c>
      <c r="F215" s="7" t="n">
        <v>20269003</v>
      </c>
      <c r="G215" s="7" t="inlineStr">
        <is>
          <t>Điểm Xử Lý Hàng Thôn 2-Xã Nhân Cơ-Đắk Nông</t>
        </is>
      </c>
      <c r="H215" s="15" t="n">
        <v>20269003</v>
      </c>
      <c r="I215" s="15" t="inlineStr">
        <is>
          <t>Điểm Xử Lý Hàng Thôn 2-Xã Nhân Cơ-Đắk Nông</t>
        </is>
      </c>
      <c r="J215" s="15" t="b">
        <v>0</v>
      </c>
      <c r="K215" s="15" t="inlineStr">
        <is>
          <t>C</t>
        </is>
      </c>
      <c r="L215" s="16" t="n">
        <v>0</v>
      </c>
      <c r="M215" s="15" t="n"/>
      <c r="N215" s="15" t="n"/>
      <c r="O215" s="15" t="inlineStr">
        <is>
          <t>Chưa mở</t>
        </is>
      </c>
      <c r="P215" s="15" t="n"/>
    </row>
    <row r="216" hidden="1" ht="15.75" customHeight="1" s="57">
      <c r="A216" s="7" t="inlineStr">
        <is>
          <t>Đắk Nông</t>
        </is>
      </c>
      <c r="B216" s="7" t="n">
        <v>1790</v>
      </c>
      <c r="C216" s="7" t="inlineStr">
        <is>
          <t>Huyện Đắk R lấp</t>
        </is>
      </c>
      <c r="D216" s="7" t="n">
        <v>630211</v>
      </c>
      <c r="E216" s="7" t="inlineStr">
        <is>
          <t>Xã Quảng Tín</t>
        </is>
      </c>
      <c r="F216" s="7" t="n">
        <v>22394000</v>
      </c>
      <c r="G216" s="7" t="inlineStr">
        <is>
          <t>Bưu Cục Thôn 2-Xã Quảng Tín-Đắk Nông</t>
        </is>
      </c>
      <c r="H216" s="15" t="n">
        <v>22394000</v>
      </c>
      <c r="I216" s="15" t="inlineStr">
        <is>
          <t>Bưu Cục Thôn 2-Xã Quảng Tín-Đắk Nông</t>
        </is>
      </c>
      <c r="J216" s="15" t="b">
        <v>0</v>
      </c>
      <c r="K216" s="15" t="inlineStr">
        <is>
          <t>C</t>
        </is>
      </c>
      <c r="L216" s="16" t="n">
        <v>0</v>
      </c>
      <c r="M216" s="15" t="n"/>
      <c r="N216" s="15" t="n"/>
      <c r="O216" s="15" t="inlineStr">
        <is>
          <t>Chưa mở</t>
        </is>
      </c>
      <c r="P216" s="15" t="n"/>
    </row>
    <row r="217" hidden="1" ht="15.75" customHeight="1" s="57">
      <c r="A217" s="7" t="inlineStr">
        <is>
          <t>Đắk Nông</t>
        </is>
      </c>
      <c r="B217" s="7" t="n">
        <v>1791</v>
      </c>
      <c r="C217" s="7" t="inlineStr">
        <is>
          <t>Huyện Đắk Glong</t>
        </is>
      </c>
      <c r="D217" s="7" t="n">
        <v>630701</v>
      </c>
      <c r="E217" s="7" t="inlineStr">
        <is>
          <t>Xã Đắk Ha</t>
        </is>
      </c>
      <c r="F217" s="7" t="n">
        <v>21150000</v>
      </c>
      <c r="G217" s="7" t="inlineStr">
        <is>
          <t>Bưu Cục Quảng Sơn-Đắk Glong-Đắk Nông</t>
        </is>
      </c>
      <c r="H217" s="15" t="n">
        <v>21150000</v>
      </c>
      <c r="I217" s="15" t="inlineStr">
        <is>
          <t>Bưu Cục Quảng Sơn-Đắk Glong-Đắk Nông</t>
        </is>
      </c>
      <c r="J217" s="15" t="b">
        <v>0</v>
      </c>
      <c r="K217" s="15" t="inlineStr">
        <is>
          <t>C</t>
        </is>
      </c>
      <c r="L217" s="16" t="n">
        <v>0</v>
      </c>
      <c r="M217" s="15" t="n"/>
      <c r="N217" s="15" t="n"/>
      <c r="O217" s="15" t="inlineStr">
        <is>
          <t>Chưa mở</t>
        </is>
      </c>
      <c r="P217" s="15" t="n"/>
    </row>
    <row r="218" hidden="1" ht="15.75" customHeight="1" s="57">
      <c r="A218" s="7" t="inlineStr">
        <is>
          <t>Đắk Nông</t>
        </is>
      </c>
      <c r="B218" s="7" t="n">
        <v>1791</v>
      </c>
      <c r="C218" s="7" t="inlineStr">
        <is>
          <t>Huyện Đắk Glong</t>
        </is>
      </c>
      <c r="D218" s="7" t="n">
        <v>630702</v>
      </c>
      <c r="E218" s="7" t="inlineStr">
        <is>
          <t>Xã Đắk Plao</t>
        </is>
      </c>
      <c r="F218" s="7" t="n">
        <v>21364000</v>
      </c>
      <c r="G218" s="7" t="inlineStr">
        <is>
          <t>Bưu Cục Quảng Khê-Đắk Glong-Đắk Nông</t>
        </is>
      </c>
      <c r="H218" s="15" t="n">
        <v>21364000</v>
      </c>
      <c r="I218" s="15" t="inlineStr">
        <is>
          <t>Bưu Cục Quảng Khê-Đắk Glong-Đắk Nông</t>
        </is>
      </c>
      <c r="J218" s="15" t="b">
        <v>0</v>
      </c>
      <c r="K218" s="15" t="inlineStr">
        <is>
          <t>C</t>
        </is>
      </c>
      <c r="L218" s="16" t="n">
        <v>0</v>
      </c>
      <c r="M218" s="15" t="n"/>
      <c r="N218" s="15" t="n"/>
      <c r="O218" s="15" t="inlineStr">
        <is>
          <t>Chưa mở</t>
        </is>
      </c>
      <c r="P218" s="15" t="n"/>
    </row>
    <row r="219" hidden="1" ht="15.75" customHeight="1" s="57">
      <c r="A219" s="7" t="inlineStr">
        <is>
          <t>Đắk Nông</t>
        </is>
      </c>
      <c r="B219" s="7" t="n">
        <v>1791</v>
      </c>
      <c r="C219" s="7" t="inlineStr">
        <is>
          <t>Huyện Đắk Glong</t>
        </is>
      </c>
      <c r="D219" s="7" t="n">
        <v>630703</v>
      </c>
      <c r="E219" s="7" t="inlineStr">
        <is>
          <t>Xã Đắk R'Măng</t>
        </is>
      </c>
      <c r="F219" s="7" t="n">
        <v>21150000</v>
      </c>
      <c r="G219" s="7" t="inlineStr">
        <is>
          <t>Bưu Cục Quảng Sơn-Đắk Glong-Đắk Nông</t>
        </is>
      </c>
      <c r="H219" s="15" t="n">
        <v>21150000</v>
      </c>
      <c r="I219" s="15" t="inlineStr">
        <is>
          <t>Bưu Cục Quảng Sơn-Đắk Glong-Đắk Nông</t>
        </is>
      </c>
      <c r="J219" s="15" t="b">
        <v>0</v>
      </c>
      <c r="K219" s="15" t="inlineStr">
        <is>
          <t>C</t>
        </is>
      </c>
      <c r="L219" s="16" t="n">
        <v>0</v>
      </c>
      <c r="M219" s="15" t="n"/>
      <c r="N219" s="15" t="n"/>
      <c r="O219" s="15" t="inlineStr">
        <is>
          <t>Chưa mở</t>
        </is>
      </c>
      <c r="P219" s="15" t="n"/>
    </row>
    <row r="220" hidden="1" ht="15.75" customHeight="1" s="57">
      <c r="A220" s="7" t="inlineStr">
        <is>
          <t>Đắk Nông</t>
        </is>
      </c>
      <c r="B220" s="7" t="n">
        <v>1791</v>
      </c>
      <c r="C220" s="7" t="inlineStr">
        <is>
          <t>Huyện Đắk Glong</t>
        </is>
      </c>
      <c r="D220" s="7" t="n">
        <v>630704</v>
      </c>
      <c r="E220" s="7" t="inlineStr">
        <is>
          <t>Xã Đắk Som</t>
        </is>
      </c>
      <c r="F220" s="7" t="n">
        <v>21364000</v>
      </c>
      <c r="G220" s="7" t="inlineStr">
        <is>
          <t>Bưu Cục Quảng Khê-Đắk Glong-Đắk Nông</t>
        </is>
      </c>
      <c r="H220" s="15" t="n">
        <v>21364000</v>
      </c>
      <c r="I220" s="15" t="inlineStr">
        <is>
          <t>Bưu Cục Quảng Khê-Đắk Glong-Đắk Nông</t>
        </is>
      </c>
      <c r="J220" s="15" t="b">
        <v>0</v>
      </c>
      <c r="K220" s="15" t="inlineStr">
        <is>
          <t>C</t>
        </is>
      </c>
      <c r="L220" s="16" t="n">
        <v>0</v>
      </c>
      <c r="M220" s="15" t="n"/>
      <c r="N220" s="15" t="n"/>
      <c r="O220" s="15" t="inlineStr">
        <is>
          <t>Chưa mở</t>
        </is>
      </c>
      <c r="P220" s="15" t="n"/>
    </row>
    <row r="221" hidden="1" ht="15.75" customHeight="1" s="57">
      <c r="A221" s="7" t="inlineStr">
        <is>
          <t>Đắk Nông</t>
        </is>
      </c>
      <c r="B221" s="7" t="n">
        <v>1791</v>
      </c>
      <c r="C221" s="7" t="inlineStr">
        <is>
          <t>Huyện Đắk Glong</t>
        </is>
      </c>
      <c r="D221" s="7" t="n">
        <v>630705</v>
      </c>
      <c r="E221" s="7" t="inlineStr">
        <is>
          <t>Xã Quảng Hòa</t>
        </is>
      </c>
      <c r="F221" s="7" t="n">
        <v>20670000</v>
      </c>
      <c r="G221" s="7" t="inlineStr">
        <is>
          <t xml:space="preserve">Bưu Cục Đạ Rsal-Đam Rông-Lâm Đồng </t>
        </is>
      </c>
      <c r="H221" s="15" t="n">
        <v>20670000</v>
      </c>
      <c r="I221" s="15" t="inlineStr">
        <is>
          <t xml:space="preserve">Bưu Cục Đạ Rsal-Đam Rông-Lâm Đồng </t>
        </is>
      </c>
      <c r="J221" s="15" t="b">
        <v>0</v>
      </c>
      <c r="K221" s="15" t="inlineStr">
        <is>
          <t>C</t>
        </is>
      </c>
      <c r="L221" s="16" t="n">
        <v>0</v>
      </c>
      <c r="M221" s="15" t="n"/>
      <c r="N221" s="15" t="n"/>
      <c r="O221" s="15" t="inlineStr">
        <is>
          <t>Chưa mở</t>
        </is>
      </c>
      <c r="P221" s="15" t="n"/>
    </row>
    <row r="222" hidden="1" ht="15.75" customHeight="1" s="57">
      <c r="A222" s="7" t="inlineStr">
        <is>
          <t>Đắk Nông</t>
        </is>
      </c>
      <c r="B222" s="7" t="n">
        <v>1791</v>
      </c>
      <c r="C222" s="7" t="inlineStr">
        <is>
          <t>Huyện Đắk Glong</t>
        </is>
      </c>
      <c r="D222" s="7" t="n">
        <v>630706</v>
      </c>
      <c r="E222" s="7" t="inlineStr">
        <is>
          <t>Xã Quảng Khê</t>
        </is>
      </c>
      <c r="F222" s="7" t="n">
        <v>21364000</v>
      </c>
      <c r="G222" s="7" t="inlineStr">
        <is>
          <t>Bưu Cục Quảng Khê-Đắk Glong-Đắk Nông</t>
        </is>
      </c>
      <c r="H222" s="15" t="n">
        <v>21364000</v>
      </c>
      <c r="I222" s="15" t="inlineStr">
        <is>
          <t>Bưu Cục Quảng Khê-Đắk Glong-Đắk Nông</t>
        </is>
      </c>
      <c r="J222" s="15" t="b">
        <v>0</v>
      </c>
      <c r="K222" s="15" t="inlineStr">
        <is>
          <t>C</t>
        </is>
      </c>
      <c r="L222" s="16" t="n">
        <v>0</v>
      </c>
      <c r="M222" s="15" t="n"/>
      <c r="N222" s="15" t="n"/>
      <c r="O222" s="15" t="inlineStr">
        <is>
          <t>Chưa mở</t>
        </is>
      </c>
      <c r="P222" s="15" t="n"/>
    </row>
    <row r="223" hidden="1" ht="15.75" customHeight="1" s="57">
      <c r="A223" s="7" t="inlineStr">
        <is>
          <t>Đắk Nông</t>
        </is>
      </c>
      <c r="B223" s="7" t="n">
        <v>1791</v>
      </c>
      <c r="C223" s="7" t="inlineStr">
        <is>
          <t>Huyện Đắk Glong</t>
        </is>
      </c>
      <c r="D223" s="7" t="n">
        <v>630707</v>
      </c>
      <c r="E223" s="7" t="inlineStr">
        <is>
          <t>Xã Quảng Sơn</t>
        </is>
      </c>
      <c r="F223" s="7" t="n">
        <v>21150000</v>
      </c>
      <c r="G223" s="7" t="inlineStr">
        <is>
          <t>Bưu Cục Quảng Sơn-Đắk Glong-Đắk Nông</t>
        </is>
      </c>
      <c r="H223" s="15" t="n">
        <v>21150000</v>
      </c>
      <c r="I223" s="15" t="inlineStr">
        <is>
          <t>Bưu Cục Quảng Sơn-Đắk Glong-Đắk Nông</t>
        </is>
      </c>
      <c r="J223" s="15" t="b">
        <v>0</v>
      </c>
      <c r="K223" s="15" t="inlineStr">
        <is>
          <t>C</t>
        </is>
      </c>
      <c r="L223" s="16" t="n">
        <v>0</v>
      </c>
      <c r="M223" s="15" t="n"/>
      <c r="N223" s="15" t="n"/>
      <c r="O223" s="15" t="inlineStr">
        <is>
          <t>Chưa mở</t>
        </is>
      </c>
      <c r="P223" s="15" t="n"/>
    </row>
    <row r="224" hidden="1" ht="15.75" customHeight="1" s="57">
      <c r="A224" s="7" t="inlineStr">
        <is>
          <t>Đắk Nông</t>
        </is>
      </c>
      <c r="B224" s="7" t="n">
        <v>1792</v>
      </c>
      <c r="C224" s="7" t="inlineStr">
        <is>
          <t>Huyện Đắk Mil</t>
        </is>
      </c>
      <c r="D224" s="7" t="n">
        <v>630301</v>
      </c>
      <c r="E224" s="7" t="inlineStr">
        <is>
          <t>Thị trấn Đắk Mil</t>
        </is>
      </c>
      <c r="F224" s="7" t="n">
        <v>2309</v>
      </c>
      <c r="G224" s="7" t="inlineStr">
        <is>
          <t>Bưu Cục Đắk Mil-Đắk Nông</t>
        </is>
      </c>
      <c r="H224" s="15" t="n">
        <v>2309</v>
      </c>
      <c r="I224" s="15" t="inlineStr">
        <is>
          <t>Bưu Cục Đắk Mil-Đắk Nông</t>
        </is>
      </c>
      <c r="J224" s="15" t="b">
        <v>0</v>
      </c>
      <c r="K224" s="15" t="inlineStr">
        <is>
          <t>C</t>
        </is>
      </c>
      <c r="L224" s="16" t="n">
        <v>0</v>
      </c>
      <c r="M224" s="15" t="n"/>
      <c r="N224" s="15" t="n"/>
      <c r="O224" s="15" t="inlineStr">
        <is>
          <t>Chưa mở</t>
        </is>
      </c>
      <c r="P224" s="15" t="n"/>
    </row>
    <row r="225" hidden="1" ht="15.75" customHeight="1" s="57">
      <c r="A225" s="7" t="inlineStr">
        <is>
          <t>Đắk Nông</t>
        </is>
      </c>
      <c r="B225" s="7" t="n">
        <v>1792</v>
      </c>
      <c r="C225" s="7" t="inlineStr">
        <is>
          <t>Huyện Đắk Mil</t>
        </is>
      </c>
      <c r="D225" s="7" t="n">
        <v>630302</v>
      </c>
      <c r="E225" s="7" t="inlineStr">
        <is>
          <t>Xã Đắk Lao</t>
        </is>
      </c>
      <c r="F225" s="7" t="n">
        <v>2309</v>
      </c>
      <c r="G225" s="7" t="inlineStr">
        <is>
          <t>Bưu Cục Đắk Mil-Đắk Nông</t>
        </is>
      </c>
      <c r="H225" s="15" t="n">
        <v>2309</v>
      </c>
      <c r="I225" s="15" t="inlineStr">
        <is>
          <t>Bưu Cục Đắk Mil-Đắk Nông</t>
        </is>
      </c>
      <c r="J225" s="15" t="b">
        <v>0</v>
      </c>
      <c r="K225" s="15" t="inlineStr">
        <is>
          <t>C</t>
        </is>
      </c>
      <c r="L225" s="16" t="n">
        <v>0</v>
      </c>
      <c r="M225" s="15" t="n"/>
      <c r="N225" s="15" t="n"/>
      <c r="O225" s="15" t="inlineStr">
        <is>
          <t>Chưa mở</t>
        </is>
      </c>
      <c r="P225" s="15" t="n"/>
    </row>
    <row r="226" hidden="1" ht="15.75" customHeight="1" s="57">
      <c r="A226" s="7" t="inlineStr">
        <is>
          <t>Đắk Nông</t>
        </is>
      </c>
      <c r="B226" s="7" t="n">
        <v>1792</v>
      </c>
      <c r="C226" s="7" t="inlineStr">
        <is>
          <t>Huyện Đắk Mil</t>
        </is>
      </c>
      <c r="D226" s="7" t="n">
        <v>630303</v>
      </c>
      <c r="E226" s="7" t="inlineStr">
        <is>
          <t>Xã Đắk Gằn</t>
        </is>
      </c>
      <c r="F226" s="7" t="n">
        <v>2309</v>
      </c>
      <c r="G226" s="7" t="inlineStr">
        <is>
          <t>Bưu Cục Đắk Mil-Đắk Nông</t>
        </is>
      </c>
      <c r="H226" s="15" t="n">
        <v>2309</v>
      </c>
      <c r="I226" s="15" t="inlineStr">
        <is>
          <t>Bưu Cục Đắk Mil-Đắk Nông</t>
        </is>
      </c>
      <c r="J226" s="15" t="b">
        <v>0</v>
      </c>
      <c r="K226" s="15" t="inlineStr">
        <is>
          <t>C</t>
        </is>
      </c>
      <c r="L226" s="16" t="n">
        <v>0</v>
      </c>
      <c r="M226" s="15" t="n"/>
      <c r="N226" s="15" t="n"/>
      <c r="O226" s="15" t="inlineStr">
        <is>
          <t>Chưa mở</t>
        </is>
      </c>
      <c r="P226" s="15" t="n"/>
    </row>
    <row r="227" hidden="1" ht="15.75" customHeight="1" s="57">
      <c r="A227" s="7" t="inlineStr">
        <is>
          <t>Đắk Nông</t>
        </is>
      </c>
      <c r="B227" s="7" t="n">
        <v>1792</v>
      </c>
      <c r="C227" s="7" t="inlineStr">
        <is>
          <t>Huyện Đắk Mil</t>
        </is>
      </c>
      <c r="D227" s="7" t="n">
        <v>630304</v>
      </c>
      <c r="E227" s="7" t="inlineStr">
        <is>
          <t>Xã Đắk N'Drót</t>
        </is>
      </c>
      <c r="F227" s="7" t="n">
        <v>2309</v>
      </c>
      <c r="G227" s="7" t="inlineStr">
        <is>
          <t>Bưu Cục Đắk Mil-Đắk Nông</t>
        </is>
      </c>
      <c r="H227" s="15" t="n">
        <v>2309</v>
      </c>
      <c r="I227" s="15" t="inlineStr">
        <is>
          <t>Bưu Cục Đắk Mil-Đắk Nông</t>
        </is>
      </c>
      <c r="J227" s="15" t="b">
        <v>0</v>
      </c>
      <c r="K227" s="15" t="inlineStr">
        <is>
          <t>C</t>
        </is>
      </c>
      <c r="L227" s="16" t="n">
        <v>0</v>
      </c>
      <c r="M227" s="15" t="n"/>
      <c r="N227" s="15" t="n"/>
      <c r="O227" s="15" t="inlineStr">
        <is>
          <t>Chưa mở</t>
        </is>
      </c>
      <c r="P227" s="15" t="n"/>
    </row>
    <row r="228" hidden="1" ht="15.75" customHeight="1" s="57">
      <c r="A228" s="7" t="inlineStr">
        <is>
          <t>Đắk Nông</t>
        </is>
      </c>
      <c r="B228" s="7" t="n">
        <v>1792</v>
      </c>
      <c r="C228" s="7" t="inlineStr">
        <is>
          <t>Huyện Đắk Mil</t>
        </is>
      </c>
      <c r="D228" s="7" t="n">
        <v>630305</v>
      </c>
      <c r="E228" s="7" t="inlineStr">
        <is>
          <t>Xã Đắk R'La</t>
        </is>
      </c>
      <c r="F228" s="7" t="n">
        <v>2309</v>
      </c>
      <c r="G228" s="7" t="inlineStr">
        <is>
          <t>Bưu Cục Đắk Mil-Đắk Nông</t>
        </is>
      </c>
      <c r="H228" s="15" t="n">
        <v>2309</v>
      </c>
      <c r="I228" s="15" t="inlineStr">
        <is>
          <t>Bưu Cục Đắk Mil-Đắk Nông</t>
        </is>
      </c>
      <c r="J228" s="15" t="b">
        <v>0</v>
      </c>
      <c r="K228" s="15" t="inlineStr">
        <is>
          <t>C</t>
        </is>
      </c>
      <c r="L228" s="16" t="n">
        <v>0</v>
      </c>
      <c r="M228" s="15" t="n"/>
      <c r="N228" s="15" t="n"/>
      <c r="O228" s="15" t="inlineStr">
        <is>
          <t>Chưa mở</t>
        </is>
      </c>
      <c r="P228" s="15" t="n"/>
    </row>
    <row r="229" hidden="1" ht="15.75" customHeight="1" s="57">
      <c r="A229" s="7" t="inlineStr">
        <is>
          <t>Đắk Nông</t>
        </is>
      </c>
      <c r="B229" s="7" t="n">
        <v>1792</v>
      </c>
      <c r="C229" s="7" t="inlineStr">
        <is>
          <t>Huyện Đắk Mil</t>
        </is>
      </c>
      <c r="D229" s="7" t="n">
        <v>630306</v>
      </c>
      <c r="E229" s="7" t="inlineStr">
        <is>
          <t>Xã Đắk Sắk</t>
        </is>
      </c>
      <c r="F229" s="7" t="n">
        <v>2309</v>
      </c>
      <c r="G229" s="7" t="inlineStr">
        <is>
          <t>Bưu Cục Đắk Mil-Đắk Nông</t>
        </is>
      </c>
      <c r="H229" s="15" t="n">
        <v>2309</v>
      </c>
      <c r="I229" s="15" t="inlineStr">
        <is>
          <t>Bưu Cục Đắk Mil-Đắk Nông</t>
        </is>
      </c>
      <c r="J229" s="15" t="b">
        <v>0</v>
      </c>
      <c r="K229" s="15" t="inlineStr">
        <is>
          <t>C</t>
        </is>
      </c>
      <c r="L229" s="16" t="n">
        <v>0</v>
      </c>
      <c r="M229" s="15" t="n"/>
      <c r="N229" s="15" t="n"/>
      <c r="O229" s="15" t="inlineStr">
        <is>
          <t>Chưa mở</t>
        </is>
      </c>
      <c r="P229" s="15" t="n"/>
    </row>
    <row r="230" hidden="1" ht="15.75" customHeight="1" s="57">
      <c r="A230" s="7" t="inlineStr">
        <is>
          <t>Đắk Nông</t>
        </is>
      </c>
      <c r="B230" s="7" t="n">
        <v>1792</v>
      </c>
      <c r="C230" s="7" t="inlineStr">
        <is>
          <t>Huyện Đắk Mil</t>
        </is>
      </c>
      <c r="D230" s="7" t="n">
        <v>630307</v>
      </c>
      <c r="E230" s="7" t="inlineStr">
        <is>
          <t>Xã Đức Mạnh</t>
        </is>
      </c>
      <c r="F230" s="7" t="n">
        <v>2309</v>
      </c>
      <c r="G230" s="7" t="inlineStr">
        <is>
          <t>Bưu Cục Đắk Mil-Đắk Nông</t>
        </is>
      </c>
      <c r="H230" s="15" t="n">
        <v>2309</v>
      </c>
      <c r="I230" s="15" t="inlineStr">
        <is>
          <t>Bưu Cục Đắk Mil-Đắk Nông</t>
        </is>
      </c>
      <c r="J230" s="15" t="b">
        <v>0</v>
      </c>
      <c r="K230" s="15" t="inlineStr">
        <is>
          <t>C</t>
        </is>
      </c>
      <c r="L230" s="16" t="n">
        <v>0</v>
      </c>
      <c r="M230" s="15" t="n"/>
      <c r="N230" s="15" t="n"/>
      <c r="O230" s="15" t="inlineStr">
        <is>
          <t>Chưa mở</t>
        </is>
      </c>
      <c r="P230" s="15" t="n"/>
    </row>
    <row r="231" hidden="1" ht="15.75" customHeight="1" s="57">
      <c r="A231" s="7" t="inlineStr">
        <is>
          <t>Đắk Nông</t>
        </is>
      </c>
      <c r="B231" s="7" t="n">
        <v>1792</v>
      </c>
      <c r="C231" s="7" t="inlineStr">
        <is>
          <t>Huyện Đắk Mil</t>
        </is>
      </c>
      <c r="D231" s="7" t="n">
        <v>630308</v>
      </c>
      <c r="E231" s="7" t="inlineStr">
        <is>
          <t>Xã Đức Minh</t>
        </is>
      </c>
      <c r="F231" s="7" t="n">
        <v>2309</v>
      </c>
      <c r="G231" s="7" t="inlineStr">
        <is>
          <t>Bưu Cục Đắk Mil-Đắk Nông</t>
        </is>
      </c>
      <c r="H231" s="15" t="n">
        <v>2309</v>
      </c>
      <c r="I231" s="15" t="inlineStr">
        <is>
          <t>Bưu Cục Đắk Mil-Đắk Nông</t>
        </is>
      </c>
      <c r="J231" s="15" t="b">
        <v>0</v>
      </c>
      <c r="K231" s="15" t="inlineStr">
        <is>
          <t>C</t>
        </is>
      </c>
      <c r="L231" s="16" t="n">
        <v>0</v>
      </c>
      <c r="M231" s="15" t="n"/>
      <c r="N231" s="15" t="n"/>
      <c r="O231" s="15" t="inlineStr">
        <is>
          <t>Chưa mở</t>
        </is>
      </c>
      <c r="P231" s="15" t="n"/>
    </row>
    <row r="232" hidden="1" ht="15.75" customHeight="1" s="57">
      <c r="A232" s="7" t="inlineStr">
        <is>
          <t>Đắk Nông</t>
        </is>
      </c>
      <c r="B232" s="7" t="n">
        <v>1792</v>
      </c>
      <c r="C232" s="7" t="inlineStr">
        <is>
          <t>Huyện Đắk Mil</t>
        </is>
      </c>
      <c r="D232" s="7" t="n">
        <v>630309</v>
      </c>
      <c r="E232" s="7" t="inlineStr">
        <is>
          <t>Xã Long Sơn</t>
        </is>
      </c>
      <c r="F232" s="7" t="n">
        <v>2309</v>
      </c>
      <c r="G232" s="7" t="inlineStr">
        <is>
          <t>Bưu Cục Đắk Mil-Đắk Nông</t>
        </is>
      </c>
      <c r="H232" s="15" t="n">
        <v>2309</v>
      </c>
      <c r="I232" s="15" t="inlineStr">
        <is>
          <t>Bưu Cục Đắk Mil-Đắk Nông</t>
        </is>
      </c>
      <c r="J232" s="15" t="b">
        <v>0</v>
      </c>
      <c r="K232" s="15" t="inlineStr">
        <is>
          <t>C</t>
        </is>
      </c>
      <c r="L232" s="16" t="n">
        <v>0</v>
      </c>
      <c r="M232" s="15" t="n"/>
      <c r="N232" s="15" t="n"/>
      <c r="O232" s="15" t="inlineStr">
        <is>
          <t>Chưa mở</t>
        </is>
      </c>
      <c r="P232" s="15" t="n"/>
    </row>
    <row r="233" hidden="1" ht="15.75" customHeight="1" s="57">
      <c r="A233" s="7" t="inlineStr">
        <is>
          <t>Đắk Nông</t>
        </is>
      </c>
      <c r="B233" s="7" t="n">
        <v>1792</v>
      </c>
      <c r="C233" s="7" t="inlineStr">
        <is>
          <t>Huyện Đắk Mil</t>
        </is>
      </c>
      <c r="D233" s="7" t="n">
        <v>630310</v>
      </c>
      <c r="E233" s="7" t="inlineStr">
        <is>
          <t>Xã Thuận An</t>
        </is>
      </c>
      <c r="F233" s="7" t="n">
        <v>2309</v>
      </c>
      <c r="G233" s="7" t="inlineStr">
        <is>
          <t>Bưu Cục Đắk Mil-Đắk Nông</t>
        </is>
      </c>
      <c r="H233" s="15" t="n">
        <v>2309</v>
      </c>
      <c r="I233" s="15" t="inlineStr">
        <is>
          <t>Bưu Cục Đắk Mil-Đắk Nông</t>
        </is>
      </c>
      <c r="J233" s="15" t="b">
        <v>0</v>
      </c>
      <c r="K233" s="15" t="inlineStr">
        <is>
          <t>C</t>
        </is>
      </c>
      <c r="L233" s="16" t="n">
        <v>0</v>
      </c>
      <c r="M233" s="15" t="n"/>
      <c r="N233" s="15" t="n"/>
      <c r="O233" s="15" t="inlineStr">
        <is>
          <t>Chưa mở</t>
        </is>
      </c>
      <c r="P233" s="15" t="n"/>
    </row>
    <row r="234" hidden="1" ht="15.75" customHeight="1" s="57">
      <c r="A234" s="7" t="inlineStr">
        <is>
          <t>Khánh Hòa</t>
        </is>
      </c>
      <c r="B234" s="7" t="n">
        <v>1829</v>
      </c>
      <c r="C234" s="7" t="inlineStr">
        <is>
          <t>Huyện Vạn Ninh</t>
        </is>
      </c>
      <c r="D234" s="7" t="n">
        <v>410201</v>
      </c>
      <c r="E234" s="7" t="inlineStr">
        <is>
          <t>Thị trấn Vạn Giã</t>
        </is>
      </c>
      <c r="F234" s="7" t="n">
        <v>21046000</v>
      </c>
      <c r="G234" s="7" t="inlineStr">
        <is>
          <t>Bưu Cục 36 Bà Triệu-Vạn Ninh-Khánh Hoà</t>
        </is>
      </c>
      <c r="H234" s="15" t="n">
        <v>21046000</v>
      </c>
      <c r="I234" s="15" t="inlineStr">
        <is>
          <t>Bưu Cục 36 Bà Triệu-Vạn Ninh-Khánh Hoà</t>
        </is>
      </c>
      <c r="J234" s="15" t="b">
        <v>0</v>
      </c>
      <c r="K234" s="15" t="inlineStr">
        <is>
          <t>C</t>
        </is>
      </c>
      <c r="L234" s="16" t="n">
        <v>0</v>
      </c>
      <c r="M234" s="15" t="n"/>
      <c r="N234" s="15" t="n"/>
      <c r="O234" s="15" t="inlineStr">
        <is>
          <t>Chưa mở</t>
        </is>
      </c>
      <c r="P234" s="15" t="n"/>
    </row>
    <row r="235" hidden="1" ht="15.75" customHeight="1" s="57">
      <c r="A235" s="7" t="inlineStr">
        <is>
          <t>Khánh Hòa</t>
        </is>
      </c>
      <c r="B235" s="7" t="n">
        <v>1829</v>
      </c>
      <c r="C235" s="7" t="inlineStr">
        <is>
          <t>Huyện Vạn Ninh</t>
        </is>
      </c>
      <c r="D235" s="7" t="n">
        <v>410202</v>
      </c>
      <c r="E235" s="7" t="inlineStr">
        <is>
          <t>Xã Đại Lãnh</t>
        </is>
      </c>
      <c r="F235" s="7" t="n">
        <v>21722000</v>
      </c>
      <c r="G235" s="7" t="inlineStr">
        <is>
          <t>Bưu Cục Thôn Long Hoà-Vạn Long-Vạn Ninh-Khánh Hoà</t>
        </is>
      </c>
      <c r="H235" s="15" t="n">
        <v>21722000</v>
      </c>
      <c r="I235" s="15" t="inlineStr">
        <is>
          <t>Bưu Cục Thôn Long Hoà-Vạn Long-Vạn Ninh-Khánh Hoà</t>
        </is>
      </c>
      <c r="J235" s="15" t="b">
        <v>0</v>
      </c>
      <c r="K235" s="15" t="inlineStr">
        <is>
          <t>C</t>
        </is>
      </c>
      <c r="L235" s="16" t="n">
        <v>0</v>
      </c>
      <c r="M235" s="15" t="n"/>
      <c r="N235" s="15" t="n"/>
      <c r="O235" s="15" t="inlineStr">
        <is>
          <t>Chưa mở</t>
        </is>
      </c>
      <c r="P235" s="15" t="n"/>
    </row>
    <row r="236" hidden="1" ht="15.75" customHeight="1" s="57">
      <c r="A236" s="7" t="inlineStr">
        <is>
          <t>Khánh Hòa</t>
        </is>
      </c>
      <c r="B236" s="7" t="n">
        <v>1829</v>
      </c>
      <c r="C236" s="7" t="inlineStr">
        <is>
          <t>Huyện Vạn Ninh</t>
        </is>
      </c>
      <c r="D236" s="7" t="n">
        <v>410203</v>
      </c>
      <c r="E236" s="7" t="inlineStr">
        <is>
          <t>Xã Vạn Bình</t>
        </is>
      </c>
      <c r="F236" s="7" t="n">
        <v>21046000</v>
      </c>
      <c r="G236" s="7" t="inlineStr">
        <is>
          <t>Bưu Cục 36 Bà Triệu-Vạn Ninh-Khánh Hoà</t>
        </is>
      </c>
      <c r="H236" s="15" t="n">
        <v>21046000</v>
      </c>
      <c r="I236" s="15" t="inlineStr">
        <is>
          <t>Bưu Cục 36 Bà Triệu-Vạn Ninh-Khánh Hoà</t>
        </is>
      </c>
      <c r="J236" s="15" t="b">
        <v>0</v>
      </c>
      <c r="K236" s="15" t="inlineStr">
        <is>
          <t>C</t>
        </is>
      </c>
      <c r="L236" s="16" t="n">
        <v>0</v>
      </c>
      <c r="M236" s="15" t="n"/>
      <c r="N236" s="15" t="n"/>
      <c r="O236" s="15" t="inlineStr">
        <is>
          <t>Chưa mở</t>
        </is>
      </c>
      <c r="P236" s="15" t="n"/>
    </row>
    <row r="237" hidden="1" ht="15.75" customHeight="1" s="57">
      <c r="A237" s="7" t="inlineStr">
        <is>
          <t>Khánh Hòa</t>
        </is>
      </c>
      <c r="B237" s="7" t="n">
        <v>1829</v>
      </c>
      <c r="C237" s="7" t="inlineStr">
        <is>
          <t>Huyện Vạn Ninh</t>
        </is>
      </c>
      <c r="D237" s="7" t="n">
        <v>410204</v>
      </c>
      <c r="E237" s="7" t="inlineStr">
        <is>
          <t>Xã Vạn Hưng</t>
        </is>
      </c>
      <c r="F237" s="7" t="n">
        <v>21046000</v>
      </c>
      <c r="G237" s="7" t="inlineStr">
        <is>
          <t>Bưu Cục 36 Bà Triệu-Vạn Ninh-Khánh Hoà</t>
        </is>
      </c>
      <c r="H237" s="15" t="n">
        <v>21046000</v>
      </c>
      <c r="I237" s="15" t="inlineStr">
        <is>
          <t>Bưu Cục 36 Bà Triệu-Vạn Ninh-Khánh Hoà</t>
        </is>
      </c>
      <c r="J237" s="15" t="b">
        <v>0</v>
      </c>
      <c r="K237" s="15" t="inlineStr">
        <is>
          <t>C</t>
        </is>
      </c>
      <c r="L237" s="16" t="n">
        <v>0</v>
      </c>
      <c r="M237" s="15" t="n"/>
      <c r="N237" s="15" t="n"/>
      <c r="O237" s="15" t="inlineStr">
        <is>
          <t>Chưa mở</t>
        </is>
      </c>
      <c r="P237" s="15" t="n"/>
    </row>
    <row r="238" hidden="1" ht="15.75" customHeight="1" s="57">
      <c r="A238" s="7" t="inlineStr">
        <is>
          <t>Khánh Hòa</t>
        </is>
      </c>
      <c r="B238" s="7" t="n">
        <v>1829</v>
      </c>
      <c r="C238" s="7" t="inlineStr">
        <is>
          <t>Huyện Vạn Ninh</t>
        </is>
      </c>
      <c r="D238" s="7" t="n">
        <v>410205</v>
      </c>
      <c r="E238" s="7" t="inlineStr">
        <is>
          <t>Xã Vạn Khánh</t>
        </is>
      </c>
      <c r="F238" s="7" t="n">
        <v>21722000</v>
      </c>
      <c r="G238" s="7" t="inlineStr">
        <is>
          <t>Bưu Cục Thôn Long Hoà-Vạn Long-Vạn Ninh-Khánh Hoà</t>
        </is>
      </c>
      <c r="H238" s="15" t="n">
        <v>21722000</v>
      </c>
      <c r="I238" s="15" t="inlineStr">
        <is>
          <t>Bưu Cục Thôn Long Hoà-Vạn Long-Vạn Ninh-Khánh Hoà</t>
        </is>
      </c>
      <c r="J238" s="15" t="b">
        <v>0</v>
      </c>
      <c r="K238" s="15" t="inlineStr">
        <is>
          <t>C</t>
        </is>
      </c>
      <c r="L238" s="16" t="n">
        <v>0</v>
      </c>
      <c r="M238" s="15" t="n"/>
      <c r="N238" s="15" t="n"/>
      <c r="O238" s="15" t="inlineStr">
        <is>
          <t>Chưa mở</t>
        </is>
      </c>
      <c r="P238" s="15" t="n"/>
    </row>
    <row r="239" hidden="1" ht="15.75" customHeight="1" s="57">
      <c r="A239" s="7" t="inlineStr">
        <is>
          <t>Khánh Hòa</t>
        </is>
      </c>
      <c r="B239" s="7" t="n">
        <v>1829</v>
      </c>
      <c r="C239" s="7" t="inlineStr">
        <is>
          <t>Huyện Vạn Ninh</t>
        </is>
      </c>
      <c r="D239" s="7" t="n">
        <v>410206</v>
      </c>
      <c r="E239" s="7" t="inlineStr">
        <is>
          <t>Xã Vạn Long</t>
        </is>
      </c>
      <c r="F239" s="7" t="n">
        <v>21722000</v>
      </c>
      <c r="G239" s="7" t="inlineStr">
        <is>
          <t>Bưu Cục Thôn Long Hoà-Vạn Long-Vạn Ninh-Khánh Hoà</t>
        </is>
      </c>
      <c r="H239" s="15" t="n">
        <v>21722000</v>
      </c>
      <c r="I239" s="15" t="inlineStr">
        <is>
          <t>Bưu Cục Thôn Long Hoà-Vạn Long-Vạn Ninh-Khánh Hoà</t>
        </is>
      </c>
      <c r="J239" s="15" t="b">
        <v>0</v>
      </c>
      <c r="K239" s="15" t="inlineStr">
        <is>
          <t>C</t>
        </is>
      </c>
      <c r="L239" s="16" t="n">
        <v>0</v>
      </c>
      <c r="M239" s="15" t="n"/>
      <c r="N239" s="15" t="n"/>
      <c r="O239" s="15" t="inlineStr">
        <is>
          <t>Chưa mở</t>
        </is>
      </c>
      <c r="P239" s="15" t="n"/>
    </row>
    <row r="240" hidden="1" ht="15.75" customHeight="1" s="57">
      <c r="A240" s="7" t="inlineStr">
        <is>
          <t>Khánh Hòa</t>
        </is>
      </c>
      <c r="B240" s="7" t="n">
        <v>1829</v>
      </c>
      <c r="C240" s="7" t="inlineStr">
        <is>
          <t>Huyện Vạn Ninh</t>
        </is>
      </c>
      <c r="D240" s="7" t="n">
        <v>410207</v>
      </c>
      <c r="E240" s="7" t="inlineStr">
        <is>
          <t>Xã Vạn Lương</t>
        </is>
      </c>
      <c r="F240" s="7" t="n">
        <v>21046000</v>
      </c>
      <c r="G240" s="7" t="inlineStr">
        <is>
          <t>Bưu Cục 36 Bà Triệu-Vạn Ninh-Khánh Hoà</t>
        </is>
      </c>
      <c r="H240" s="15" t="n">
        <v>21046000</v>
      </c>
      <c r="I240" s="15" t="inlineStr">
        <is>
          <t>Bưu Cục 36 Bà Triệu-Vạn Ninh-Khánh Hoà</t>
        </is>
      </c>
      <c r="J240" s="15" t="b">
        <v>0</v>
      </c>
      <c r="K240" s="15" t="inlineStr">
        <is>
          <t>C</t>
        </is>
      </c>
      <c r="L240" s="16" t="n">
        <v>0</v>
      </c>
      <c r="M240" s="15" t="n"/>
      <c r="N240" s="15" t="n"/>
      <c r="O240" s="15" t="inlineStr">
        <is>
          <t>Chưa mở</t>
        </is>
      </c>
      <c r="P240" s="15" t="n"/>
    </row>
    <row r="241" hidden="1" ht="15.75" customHeight="1" s="57">
      <c r="A241" s="7" t="inlineStr">
        <is>
          <t>Khánh Hòa</t>
        </is>
      </c>
      <c r="B241" s="7" t="n">
        <v>1829</v>
      </c>
      <c r="C241" s="7" t="inlineStr">
        <is>
          <t>Huyện Vạn Ninh</t>
        </is>
      </c>
      <c r="D241" s="7" t="n">
        <v>410208</v>
      </c>
      <c r="E241" s="7" t="inlineStr">
        <is>
          <t>Xã Vạn Phú</t>
        </is>
      </c>
      <c r="F241" s="7" t="n">
        <v>21046000</v>
      </c>
      <c r="G241" s="7" t="inlineStr">
        <is>
          <t>Bưu Cục 36 Bà Triệu-Vạn Ninh-Khánh Hoà</t>
        </is>
      </c>
      <c r="H241" s="15" t="n">
        <v>21046000</v>
      </c>
      <c r="I241" s="15" t="inlineStr">
        <is>
          <t>Bưu Cục 36 Bà Triệu-Vạn Ninh-Khánh Hoà</t>
        </is>
      </c>
      <c r="J241" s="15" t="b">
        <v>0</v>
      </c>
      <c r="K241" s="15" t="inlineStr">
        <is>
          <t>C</t>
        </is>
      </c>
      <c r="L241" s="16" t="n">
        <v>0</v>
      </c>
      <c r="M241" s="15" t="n"/>
      <c r="N241" s="15" t="n"/>
      <c r="O241" s="15" t="inlineStr">
        <is>
          <t>Chưa mở</t>
        </is>
      </c>
      <c r="P241" s="15" t="n"/>
    </row>
    <row r="242" hidden="1" ht="15.75" customHeight="1" s="57">
      <c r="A242" s="7" t="inlineStr">
        <is>
          <t>Khánh Hòa</t>
        </is>
      </c>
      <c r="B242" s="7" t="n">
        <v>1829</v>
      </c>
      <c r="C242" s="7" t="inlineStr">
        <is>
          <t>Huyện Vạn Ninh</t>
        </is>
      </c>
      <c r="D242" s="7" t="n">
        <v>410209</v>
      </c>
      <c r="E242" s="7" t="inlineStr">
        <is>
          <t>Xã Vạn Phước</t>
        </is>
      </c>
      <c r="F242" s="7" t="n">
        <v>21722000</v>
      </c>
      <c r="G242" s="7" t="inlineStr">
        <is>
          <t>Bưu Cục Thôn Long Hoà-Vạn Long-Vạn Ninh-Khánh Hoà</t>
        </is>
      </c>
      <c r="H242" s="15" t="n">
        <v>21722000</v>
      </c>
      <c r="I242" s="15" t="inlineStr">
        <is>
          <t>Bưu Cục Thôn Long Hoà-Vạn Long-Vạn Ninh-Khánh Hoà</t>
        </is>
      </c>
      <c r="J242" s="15" t="b">
        <v>0</v>
      </c>
      <c r="K242" s="15" t="inlineStr">
        <is>
          <t>C</t>
        </is>
      </c>
      <c r="L242" s="16" t="n">
        <v>0</v>
      </c>
      <c r="M242" s="15" t="n"/>
      <c r="N242" s="15" t="n"/>
      <c r="O242" s="15" t="inlineStr">
        <is>
          <t>Chưa mở</t>
        </is>
      </c>
      <c r="P242" s="15" t="n"/>
    </row>
    <row r="243" hidden="1" ht="15.75" customHeight="1" s="57">
      <c r="A243" s="7" t="inlineStr">
        <is>
          <t>Khánh Hòa</t>
        </is>
      </c>
      <c r="B243" s="7" t="n">
        <v>1829</v>
      </c>
      <c r="C243" s="7" t="inlineStr">
        <is>
          <t>Huyện Vạn Ninh</t>
        </is>
      </c>
      <c r="D243" s="7" t="n">
        <v>410210</v>
      </c>
      <c r="E243" s="7" t="inlineStr">
        <is>
          <t>Xã Vạn Thắng</t>
        </is>
      </c>
      <c r="F243" s="7" t="n">
        <v>21722000</v>
      </c>
      <c r="G243" s="7" t="inlineStr">
        <is>
          <t>Bưu Cục Thôn Long Hoà-Vạn Long-Vạn Ninh-Khánh Hoà</t>
        </is>
      </c>
      <c r="H243" s="15" t="n">
        <v>21722000</v>
      </c>
      <c r="I243" s="15" t="inlineStr">
        <is>
          <t>Bưu Cục Thôn Long Hoà-Vạn Long-Vạn Ninh-Khánh Hoà</t>
        </is>
      </c>
      <c r="J243" s="15" t="b">
        <v>0</v>
      </c>
      <c r="K243" s="15" t="inlineStr">
        <is>
          <t>C</t>
        </is>
      </c>
      <c r="L243" s="16" t="n">
        <v>0</v>
      </c>
      <c r="M243" s="15" t="n"/>
      <c r="N243" s="15" t="n"/>
      <c r="O243" s="15" t="inlineStr">
        <is>
          <t>Chưa mở</t>
        </is>
      </c>
      <c r="P243" s="15" t="n"/>
    </row>
    <row r="244" hidden="1" ht="15.75" customHeight="1" s="57">
      <c r="A244" s="7" t="inlineStr">
        <is>
          <t>Khánh Hòa</t>
        </is>
      </c>
      <c r="B244" s="7" t="n">
        <v>1829</v>
      </c>
      <c r="C244" s="7" t="inlineStr">
        <is>
          <t>Huyện Vạn Ninh</t>
        </is>
      </c>
      <c r="D244" s="7" t="n">
        <v>410211</v>
      </c>
      <c r="E244" s="7" t="inlineStr">
        <is>
          <t>Xã Vạn Thạnh</t>
        </is>
      </c>
      <c r="F244" s="7" t="n">
        <v>21722000</v>
      </c>
      <c r="G244" s="7" t="inlineStr">
        <is>
          <t>Bưu Cục Thôn Long Hoà-Vạn Long-Vạn Ninh-Khánh Hoà</t>
        </is>
      </c>
      <c r="H244" s="15" t="n">
        <v>21722000</v>
      </c>
      <c r="I244" s="15" t="inlineStr">
        <is>
          <t>Bưu Cục Thôn Long Hoà-Vạn Long-Vạn Ninh-Khánh Hoà</t>
        </is>
      </c>
      <c r="J244" s="15" t="b">
        <v>0</v>
      </c>
      <c r="K244" s="15" t="inlineStr">
        <is>
          <t>C</t>
        </is>
      </c>
      <c r="L244" s="16" t="n">
        <v>0</v>
      </c>
      <c r="M244" s="15" t="n"/>
      <c r="N244" s="15" t="n"/>
      <c r="O244" s="15" t="inlineStr">
        <is>
          <t>Chưa mở</t>
        </is>
      </c>
      <c r="P244" s="15" t="n"/>
    </row>
    <row r="245" hidden="1" ht="15.75" customHeight="1" s="57">
      <c r="A245" s="7" t="inlineStr">
        <is>
          <t>Khánh Hòa</t>
        </is>
      </c>
      <c r="B245" s="7" t="n">
        <v>1829</v>
      </c>
      <c r="C245" s="7" t="inlineStr">
        <is>
          <t>Huyện Vạn Ninh</t>
        </is>
      </c>
      <c r="D245" s="7" t="n">
        <v>410212</v>
      </c>
      <c r="E245" s="7" t="inlineStr">
        <is>
          <t>Xã Vạn Thọ</t>
        </is>
      </c>
      <c r="F245" s="7" t="n">
        <v>21722000</v>
      </c>
      <c r="G245" s="7" t="inlineStr">
        <is>
          <t>Bưu Cục Thôn Long Hoà-Vạn Long-Vạn Ninh-Khánh Hoà</t>
        </is>
      </c>
      <c r="H245" s="15" t="n">
        <v>21722000</v>
      </c>
      <c r="I245" s="15" t="inlineStr">
        <is>
          <t>Bưu Cục Thôn Long Hoà-Vạn Long-Vạn Ninh-Khánh Hoà</t>
        </is>
      </c>
      <c r="J245" s="15" t="b">
        <v>0</v>
      </c>
      <c r="K245" s="15" t="inlineStr">
        <is>
          <t>C</t>
        </is>
      </c>
      <c r="L245" s="16" t="n">
        <v>0</v>
      </c>
      <c r="M245" s="15" t="n"/>
      <c r="N245" s="15" t="n"/>
      <c r="O245" s="15" t="inlineStr">
        <is>
          <t>Chưa mở</t>
        </is>
      </c>
      <c r="P245" s="15" t="n"/>
    </row>
    <row r="246" hidden="1" ht="15.75" customHeight="1" s="57">
      <c r="A246" s="7" t="inlineStr">
        <is>
          <t>Khánh Hòa</t>
        </is>
      </c>
      <c r="B246" s="7" t="n">
        <v>1829</v>
      </c>
      <c r="C246" s="7" t="inlineStr">
        <is>
          <t>Huyện Vạn Ninh</t>
        </is>
      </c>
      <c r="D246" s="7" t="n">
        <v>410213</v>
      </c>
      <c r="E246" s="7" t="inlineStr">
        <is>
          <t>Xã Xuân Sơn</t>
        </is>
      </c>
      <c r="F246" s="7" t="n">
        <v>21046000</v>
      </c>
      <c r="G246" s="7" t="inlineStr">
        <is>
          <t>Bưu Cục 36 Bà Triệu-Vạn Ninh-Khánh Hoà</t>
        </is>
      </c>
      <c r="H246" s="15" t="n">
        <v>21046000</v>
      </c>
      <c r="I246" s="15" t="inlineStr">
        <is>
          <t>Bưu Cục 36 Bà Triệu-Vạn Ninh-Khánh Hoà</t>
        </is>
      </c>
      <c r="J246" s="15" t="b">
        <v>0</v>
      </c>
      <c r="K246" s="15" t="inlineStr">
        <is>
          <t>C</t>
        </is>
      </c>
      <c r="L246" s="16" t="n">
        <v>0</v>
      </c>
      <c r="M246" s="15" t="n"/>
      <c r="N246" s="15" t="n"/>
      <c r="O246" s="15" t="inlineStr">
        <is>
          <t>Chưa mở</t>
        </is>
      </c>
      <c r="P246" s="15" t="n"/>
    </row>
    <row r="247" hidden="1" ht="15.75" customHeight="1" s="57">
      <c r="A247" s="7" t="inlineStr">
        <is>
          <t>Lâm Đồng</t>
        </is>
      </c>
      <c r="B247" s="7" t="n">
        <v>1836</v>
      </c>
      <c r="C247" s="7" t="inlineStr">
        <is>
          <t>Huyện Đơn Dương</t>
        </is>
      </c>
      <c r="D247" s="7" t="n">
        <v>420501</v>
      </c>
      <c r="E247" s="7" t="inlineStr">
        <is>
          <t>Thị trấn D'Ran</t>
        </is>
      </c>
      <c r="F247" s="7" t="n">
        <v>21377000</v>
      </c>
      <c r="G247" s="7" t="inlineStr">
        <is>
          <t>Bưu Cục TDP Nghĩa Đức-Thạnh Mỹ-Đơn Dương-Lâm Đồng</t>
        </is>
      </c>
      <c r="H247" s="15" t="n">
        <v>21377000</v>
      </c>
      <c r="I247" s="15" t="inlineStr">
        <is>
          <t>Bưu Cục TDP Nghĩa Đức-Thạnh Mỹ-Đơn Dương-Lâm Đồng</t>
        </is>
      </c>
      <c r="J247" s="15" t="b">
        <v>0</v>
      </c>
      <c r="K247" s="15" t="inlineStr">
        <is>
          <t>C</t>
        </is>
      </c>
      <c r="L247" s="16" t="n">
        <v>0</v>
      </c>
      <c r="M247" s="15" t="n"/>
      <c r="N247" s="15" t="n"/>
      <c r="O247" s="15" t="inlineStr">
        <is>
          <t>Chưa mở</t>
        </is>
      </c>
      <c r="P247" s="15" t="n"/>
    </row>
    <row r="248" hidden="1" ht="15.75" customHeight="1" s="57">
      <c r="A248" s="7" t="inlineStr">
        <is>
          <t>Lâm Đồng</t>
        </is>
      </c>
      <c r="B248" s="7" t="n">
        <v>1836</v>
      </c>
      <c r="C248" s="7" t="inlineStr">
        <is>
          <t>Huyện Đơn Dương</t>
        </is>
      </c>
      <c r="D248" s="7" t="n">
        <v>420502</v>
      </c>
      <c r="E248" s="7" t="inlineStr">
        <is>
          <t>Thị trấn Thạnh Mỹ</t>
        </is>
      </c>
      <c r="F248" s="7" t="n">
        <v>21377000</v>
      </c>
      <c r="G248" s="7" t="inlineStr">
        <is>
          <t>Bưu Cục TDP Nghĩa Đức-Thạnh Mỹ-Đơn Dương-Lâm Đồng</t>
        </is>
      </c>
      <c r="H248" s="15" t="n">
        <v>21377000</v>
      </c>
      <c r="I248" s="15" t="inlineStr">
        <is>
          <t>Bưu Cục TDP Nghĩa Đức-Thạnh Mỹ-Đơn Dương-Lâm Đồng</t>
        </is>
      </c>
      <c r="J248" s="15" t="b">
        <v>0</v>
      </c>
      <c r="K248" s="15" t="inlineStr">
        <is>
          <t>C</t>
        </is>
      </c>
      <c r="L248" s="16" t="n">
        <v>0</v>
      </c>
      <c r="M248" s="15" t="n"/>
      <c r="N248" s="15" t="n"/>
      <c r="O248" s="15" t="inlineStr">
        <is>
          <t>Chưa mở</t>
        </is>
      </c>
      <c r="P248" s="15" t="n"/>
    </row>
    <row r="249" hidden="1" ht="15.75" customHeight="1" s="57">
      <c r="A249" s="7" t="inlineStr">
        <is>
          <t>Lâm Đồng</t>
        </is>
      </c>
      <c r="B249" s="7" t="n">
        <v>1836</v>
      </c>
      <c r="C249" s="7" t="inlineStr">
        <is>
          <t>Huyện Đơn Dương</t>
        </is>
      </c>
      <c r="D249" s="7" t="n">
        <v>420503</v>
      </c>
      <c r="E249" s="7" t="inlineStr">
        <is>
          <t>Xã Đạ Ròn</t>
        </is>
      </c>
      <c r="F249" s="7" t="n">
        <v>21377000</v>
      </c>
      <c r="G249" s="7" t="inlineStr">
        <is>
          <t>Bưu Cục TDP Nghĩa Đức-Thạnh Mỹ-Đơn Dương-Lâm Đồng</t>
        </is>
      </c>
      <c r="H249" s="15" t="n">
        <v>21377000</v>
      </c>
      <c r="I249" s="15" t="inlineStr">
        <is>
          <t>Bưu Cục TDP Nghĩa Đức-Thạnh Mỹ-Đơn Dương-Lâm Đồng</t>
        </is>
      </c>
      <c r="J249" s="15" t="b">
        <v>0</v>
      </c>
      <c r="K249" s="15" t="inlineStr">
        <is>
          <t>C</t>
        </is>
      </c>
      <c r="L249" s="16" t="n">
        <v>0</v>
      </c>
      <c r="M249" s="15" t="n"/>
      <c r="N249" s="15" t="n"/>
      <c r="O249" s="15" t="inlineStr">
        <is>
          <t>Chưa mở</t>
        </is>
      </c>
      <c r="P249" s="15" t="n"/>
    </row>
    <row r="250" hidden="1" ht="15.75" customHeight="1" s="57">
      <c r="A250" s="7" t="inlineStr">
        <is>
          <t>Lâm Đồng</t>
        </is>
      </c>
      <c r="B250" s="7" t="n">
        <v>1836</v>
      </c>
      <c r="C250" s="7" t="inlineStr">
        <is>
          <t>Huyện Đơn Dương</t>
        </is>
      </c>
      <c r="D250" s="7" t="n">
        <v>420504</v>
      </c>
      <c r="E250" s="7" t="inlineStr">
        <is>
          <t>Xã Ka Đô</t>
        </is>
      </c>
      <c r="F250" s="7" t="n">
        <v>21377000</v>
      </c>
      <c r="G250" s="7" t="inlineStr">
        <is>
          <t>Bưu Cục TDP Nghĩa Đức-Thạnh Mỹ-Đơn Dương-Lâm Đồng</t>
        </is>
      </c>
      <c r="H250" s="15" t="n">
        <v>21377000</v>
      </c>
      <c r="I250" s="15" t="inlineStr">
        <is>
          <t>Bưu Cục TDP Nghĩa Đức-Thạnh Mỹ-Đơn Dương-Lâm Đồng</t>
        </is>
      </c>
      <c r="J250" s="15" t="b">
        <v>0</v>
      </c>
      <c r="K250" s="15" t="inlineStr">
        <is>
          <t>C</t>
        </is>
      </c>
      <c r="L250" s="16" t="n">
        <v>0</v>
      </c>
      <c r="M250" s="15" t="n"/>
      <c r="N250" s="15" t="n"/>
      <c r="O250" s="15" t="inlineStr">
        <is>
          <t>Chưa mở</t>
        </is>
      </c>
      <c r="P250" s="15" t="n"/>
    </row>
    <row r="251" hidden="1" ht="15.75" customHeight="1" s="57">
      <c r="A251" s="7" t="inlineStr">
        <is>
          <t>Lâm Đồng</t>
        </is>
      </c>
      <c r="B251" s="7" t="n">
        <v>1836</v>
      </c>
      <c r="C251" s="7" t="inlineStr">
        <is>
          <t>Huyện Đơn Dương</t>
        </is>
      </c>
      <c r="D251" s="7" t="n">
        <v>420505</v>
      </c>
      <c r="E251" s="7" t="inlineStr">
        <is>
          <t>Xã Ka Đơn</t>
        </is>
      </c>
      <c r="F251" s="7" t="n">
        <v>21377000</v>
      </c>
      <c r="G251" s="7" t="inlineStr">
        <is>
          <t>Bưu Cục TDP Nghĩa Đức-Thạnh Mỹ-Đơn Dương-Lâm Đồng</t>
        </is>
      </c>
      <c r="H251" s="15" t="n">
        <v>21377000</v>
      </c>
      <c r="I251" s="15" t="inlineStr">
        <is>
          <t>Bưu Cục TDP Nghĩa Đức-Thạnh Mỹ-Đơn Dương-Lâm Đồng</t>
        </is>
      </c>
      <c r="J251" s="15" t="b">
        <v>0</v>
      </c>
      <c r="K251" s="15" t="inlineStr">
        <is>
          <t>C</t>
        </is>
      </c>
      <c r="L251" s="16" t="n">
        <v>0</v>
      </c>
      <c r="M251" s="15" t="n"/>
      <c r="N251" s="15" t="n"/>
      <c r="O251" s="15" t="inlineStr">
        <is>
          <t>Chưa mở</t>
        </is>
      </c>
      <c r="P251" s="15" t="n"/>
    </row>
    <row r="252" hidden="1" ht="15.75" customHeight="1" s="57">
      <c r="A252" s="7" t="inlineStr">
        <is>
          <t>Lâm Đồng</t>
        </is>
      </c>
      <c r="B252" s="7" t="n">
        <v>1836</v>
      </c>
      <c r="C252" s="7" t="inlineStr">
        <is>
          <t>Huyện Đơn Dương</t>
        </is>
      </c>
      <c r="D252" s="7" t="n">
        <v>420506</v>
      </c>
      <c r="E252" s="7" t="inlineStr">
        <is>
          <t>Xã Lạc Lâm</t>
        </is>
      </c>
      <c r="F252" s="7" t="n">
        <v>21377000</v>
      </c>
      <c r="G252" s="7" t="inlineStr">
        <is>
          <t>Bưu Cục TDP Nghĩa Đức-Thạnh Mỹ-Đơn Dương-Lâm Đồng</t>
        </is>
      </c>
      <c r="H252" s="15" t="n">
        <v>21377000</v>
      </c>
      <c r="I252" s="15" t="inlineStr">
        <is>
          <t>Bưu Cục TDP Nghĩa Đức-Thạnh Mỹ-Đơn Dương-Lâm Đồng</t>
        </is>
      </c>
      <c r="J252" s="15" t="b">
        <v>0</v>
      </c>
      <c r="K252" s="15" t="inlineStr">
        <is>
          <t>C</t>
        </is>
      </c>
      <c r="L252" s="16" t="n">
        <v>0</v>
      </c>
      <c r="M252" s="15" t="n"/>
      <c r="N252" s="15" t="n"/>
      <c r="O252" s="15" t="inlineStr">
        <is>
          <t>Chưa mở</t>
        </is>
      </c>
      <c r="P252" s="15" t="n"/>
    </row>
    <row r="253" hidden="1" ht="15.75" customHeight="1" s="57">
      <c r="A253" s="7" t="inlineStr">
        <is>
          <t>Lâm Đồng</t>
        </is>
      </c>
      <c r="B253" s="7" t="n">
        <v>1836</v>
      </c>
      <c r="C253" s="7" t="inlineStr">
        <is>
          <t>Huyện Đơn Dương</t>
        </is>
      </c>
      <c r="D253" s="7" t="n">
        <v>420507</v>
      </c>
      <c r="E253" s="7" t="inlineStr">
        <is>
          <t>Xã Lạc Xuân</t>
        </is>
      </c>
      <c r="F253" s="7" t="n">
        <v>21377000</v>
      </c>
      <c r="G253" s="7" t="inlineStr">
        <is>
          <t>Bưu Cục TDP Nghĩa Đức-Thạnh Mỹ-Đơn Dương-Lâm Đồng</t>
        </is>
      </c>
      <c r="H253" s="15" t="n">
        <v>21377000</v>
      </c>
      <c r="I253" s="15" t="inlineStr">
        <is>
          <t>Bưu Cục TDP Nghĩa Đức-Thạnh Mỹ-Đơn Dương-Lâm Đồng</t>
        </is>
      </c>
      <c r="J253" s="15" t="b">
        <v>0</v>
      </c>
      <c r="K253" s="15" t="inlineStr">
        <is>
          <t>C</t>
        </is>
      </c>
      <c r="L253" s="16" t="n">
        <v>0</v>
      </c>
      <c r="M253" s="15" t="n"/>
      <c r="N253" s="15" t="n"/>
      <c r="O253" s="15" t="inlineStr">
        <is>
          <t>Chưa mở</t>
        </is>
      </c>
      <c r="P253" s="15" t="n"/>
    </row>
    <row r="254" hidden="1" ht="15.75" customHeight="1" s="57">
      <c r="A254" s="7" t="inlineStr">
        <is>
          <t>Lâm Đồng</t>
        </is>
      </c>
      <c r="B254" s="7" t="n">
        <v>1836</v>
      </c>
      <c r="C254" s="7" t="inlineStr">
        <is>
          <t>Huyện Đơn Dương</t>
        </is>
      </c>
      <c r="D254" s="7" t="n">
        <v>420508</v>
      </c>
      <c r="E254" s="7" t="inlineStr">
        <is>
          <t>Xã Pró</t>
        </is>
      </c>
      <c r="F254" s="7" t="n">
        <v>21377000</v>
      </c>
      <c r="G254" s="7" t="inlineStr">
        <is>
          <t>Bưu Cục TDP Nghĩa Đức-Thạnh Mỹ-Đơn Dương-Lâm Đồng</t>
        </is>
      </c>
      <c r="H254" s="15" t="n">
        <v>21377000</v>
      </c>
      <c r="I254" s="15" t="inlineStr">
        <is>
          <t>Bưu Cục TDP Nghĩa Đức-Thạnh Mỹ-Đơn Dương-Lâm Đồng</t>
        </is>
      </c>
      <c r="J254" s="15" t="b">
        <v>0</v>
      </c>
      <c r="K254" s="15" t="inlineStr">
        <is>
          <t>C</t>
        </is>
      </c>
      <c r="L254" s="16" t="n">
        <v>0</v>
      </c>
      <c r="M254" s="15" t="n"/>
      <c r="N254" s="15" t="n"/>
      <c r="O254" s="15" t="inlineStr">
        <is>
          <t>Chưa mở</t>
        </is>
      </c>
      <c r="P254" s="15" t="n"/>
    </row>
    <row r="255" hidden="1" ht="15.75" customHeight="1" s="57">
      <c r="A255" s="7" t="inlineStr">
        <is>
          <t>Lâm Đồng</t>
        </is>
      </c>
      <c r="B255" s="7" t="n">
        <v>1836</v>
      </c>
      <c r="C255" s="7" t="inlineStr">
        <is>
          <t>Huyện Đơn Dương</t>
        </is>
      </c>
      <c r="D255" s="7" t="n">
        <v>420509</v>
      </c>
      <c r="E255" s="7" t="inlineStr">
        <is>
          <t>Xã Quảng Lập</t>
        </is>
      </c>
      <c r="F255" s="7" t="n">
        <v>21377000</v>
      </c>
      <c r="G255" s="7" t="inlineStr">
        <is>
          <t>Bưu Cục TDP Nghĩa Đức-Thạnh Mỹ-Đơn Dương-Lâm Đồng</t>
        </is>
      </c>
      <c r="H255" s="15" t="n">
        <v>21377000</v>
      </c>
      <c r="I255" s="15" t="inlineStr">
        <is>
          <t>Bưu Cục TDP Nghĩa Đức-Thạnh Mỹ-Đơn Dương-Lâm Đồng</t>
        </is>
      </c>
      <c r="J255" s="15" t="b">
        <v>0</v>
      </c>
      <c r="K255" s="15" t="inlineStr">
        <is>
          <t>C</t>
        </is>
      </c>
      <c r="L255" s="16" t="n">
        <v>0</v>
      </c>
      <c r="M255" s="15" t="n"/>
      <c r="N255" s="15" t="n"/>
      <c r="O255" s="15" t="inlineStr">
        <is>
          <t>Chưa mở</t>
        </is>
      </c>
      <c r="P255" s="15" t="n"/>
    </row>
    <row r="256" hidden="1" ht="15.75" customHeight="1" s="57">
      <c r="A256" s="7" t="inlineStr">
        <is>
          <t>Lâm Đồng</t>
        </is>
      </c>
      <c r="B256" s="7" t="n">
        <v>1836</v>
      </c>
      <c r="C256" s="7" t="inlineStr">
        <is>
          <t>Huyện Đơn Dương</t>
        </is>
      </c>
      <c r="D256" s="7" t="n">
        <v>420510</v>
      </c>
      <c r="E256" s="7" t="inlineStr">
        <is>
          <t>Xã Tu Tra</t>
        </is>
      </c>
      <c r="F256" s="7" t="n">
        <v>21377000</v>
      </c>
      <c r="G256" s="7" t="inlineStr">
        <is>
          <t>Bưu Cục TDP Nghĩa Đức-Thạnh Mỹ-Đơn Dương-Lâm Đồng</t>
        </is>
      </c>
      <c r="H256" s="15" t="n">
        <v>21377000</v>
      </c>
      <c r="I256" s="15" t="inlineStr">
        <is>
          <t>Bưu Cục TDP Nghĩa Đức-Thạnh Mỹ-Đơn Dương-Lâm Đồng</t>
        </is>
      </c>
      <c r="J256" s="15" t="b">
        <v>0</v>
      </c>
      <c r="K256" s="15" t="inlineStr">
        <is>
          <t>C</t>
        </is>
      </c>
      <c r="L256" s="16" t="n">
        <v>0</v>
      </c>
      <c r="M256" s="15" t="n"/>
      <c r="N256" s="15" t="n"/>
      <c r="O256" s="15" t="inlineStr">
        <is>
          <t>Chưa mở</t>
        </is>
      </c>
      <c r="P256" s="15" t="n"/>
    </row>
    <row r="257" hidden="1" ht="15.75" customHeight="1" s="57">
      <c r="A257" s="7" t="inlineStr">
        <is>
          <t>Lâm Đồng</t>
        </is>
      </c>
      <c r="B257" s="7" t="n">
        <v>1837</v>
      </c>
      <c r="C257" s="7" t="inlineStr">
        <is>
          <t>Huyện Đức Trọng</t>
        </is>
      </c>
      <c r="D257" s="7" t="n">
        <v>420301</v>
      </c>
      <c r="E257" s="7" t="inlineStr">
        <is>
          <t>Thị trấn Liên Nghĩa</t>
        </is>
      </c>
      <c r="F257" s="7" t="n">
        <v>21516000</v>
      </c>
      <c r="G257" s="7" t="inlineStr">
        <is>
          <t>Bưu Cục 468 Quốc Lộ 20-Liên Nghĩa-Đức Trọng-Lâm Đồng</t>
        </is>
      </c>
      <c r="H257" s="15" t="n">
        <v>21516000</v>
      </c>
      <c r="I257" s="15" t="inlineStr">
        <is>
          <t>Bưu Cục 468 Quốc Lộ 20-Liên Nghĩa-Đức Trọng-Lâm Đồng</t>
        </is>
      </c>
      <c r="J257" s="15" t="b">
        <v>1</v>
      </c>
      <c r="K257" s="15" t="inlineStr">
        <is>
          <t>A</t>
        </is>
      </c>
      <c r="L257" s="16" t="n">
        <v>1</v>
      </c>
      <c r="M257" s="15" t="n">
        <v>15</v>
      </c>
      <c r="N257" s="15" t="n">
        <v>15</v>
      </c>
      <c r="O257" s="15" t="inlineStr">
        <is>
          <t>Đã mở</t>
        </is>
      </c>
      <c r="P257" s="15" t="n"/>
    </row>
    <row r="258" hidden="1" ht="15.75" customHeight="1" s="57">
      <c r="A258" s="7" t="inlineStr">
        <is>
          <t>Lâm Đồng</t>
        </is>
      </c>
      <c r="B258" s="7" t="n">
        <v>1837</v>
      </c>
      <c r="C258" s="7" t="inlineStr">
        <is>
          <t>Huyện Đức Trọng</t>
        </is>
      </c>
      <c r="D258" s="7" t="n">
        <v>420302</v>
      </c>
      <c r="E258" s="7" t="inlineStr">
        <is>
          <t>Xã Bình Thạnh</t>
        </is>
      </c>
      <c r="F258" s="7" t="n">
        <v>21294000</v>
      </c>
      <c r="G258" s="7" t="inlineStr">
        <is>
          <t>Bưu cục Đinh Văn-Lâm Hà-Lâm Đồng</t>
        </is>
      </c>
      <c r="H258" s="15" t="n">
        <v>21294000</v>
      </c>
      <c r="I258" s="15" t="inlineStr">
        <is>
          <t>Bưu cục Đinh Văn-Lâm Hà-Lâm Đồng</t>
        </is>
      </c>
      <c r="J258" s="15" t="b">
        <v>0</v>
      </c>
      <c r="K258" s="15" t="inlineStr">
        <is>
          <t>C</t>
        </is>
      </c>
      <c r="L258" s="16" t="n">
        <v>0</v>
      </c>
      <c r="M258" s="15" t="n"/>
      <c r="N258" s="15" t="n"/>
      <c r="O258" s="15" t="inlineStr">
        <is>
          <t>Chưa mở</t>
        </is>
      </c>
      <c r="P258" s="15" t="n"/>
    </row>
    <row r="259" hidden="1" ht="15.75" customHeight="1" s="57">
      <c r="A259" s="7" t="inlineStr">
        <is>
          <t>Lâm Đồng</t>
        </is>
      </c>
      <c r="B259" s="7" t="n">
        <v>1837</v>
      </c>
      <c r="C259" s="7" t="inlineStr">
        <is>
          <t>Huyện Đức Trọng</t>
        </is>
      </c>
      <c r="D259" s="7" t="n">
        <v>420303</v>
      </c>
      <c r="E259" s="7" t="inlineStr">
        <is>
          <t>Xã Đà Loan</t>
        </is>
      </c>
      <c r="F259" s="7" t="n">
        <v>20849000</v>
      </c>
      <c r="G259" s="7" t="inlineStr">
        <is>
          <t>Bưu Cục QL20 Ninh Hòa-Đức Trọng-Lâm Đồng</t>
        </is>
      </c>
      <c r="H259" s="15" t="n">
        <v>20849000</v>
      </c>
      <c r="I259" s="15" t="inlineStr">
        <is>
          <t>Bưu Cục QL20 Ninh Hòa-Đức Trọng-Lâm Đồng</t>
        </is>
      </c>
      <c r="J259" s="15" t="b">
        <v>0</v>
      </c>
      <c r="K259" s="15" t="inlineStr">
        <is>
          <t>C</t>
        </is>
      </c>
      <c r="L259" s="16" t="n">
        <v>0</v>
      </c>
      <c r="M259" s="15" t="n"/>
      <c r="N259" s="15" t="n"/>
      <c r="O259" s="15" t="inlineStr">
        <is>
          <t>Chưa mở</t>
        </is>
      </c>
      <c r="P259" s="15" t="n"/>
    </row>
    <row r="260" hidden="1" ht="15.75" customHeight="1" s="57">
      <c r="A260" s="7" t="inlineStr">
        <is>
          <t>Lâm Đồng</t>
        </is>
      </c>
      <c r="B260" s="7" t="n">
        <v>1837</v>
      </c>
      <c r="C260" s="7" t="inlineStr">
        <is>
          <t>Huyện Đức Trọng</t>
        </is>
      </c>
      <c r="D260" s="7" t="n">
        <v>420304</v>
      </c>
      <c r="E260" s="7" t="inlineStr">
        <is>
          <t>Xã Đa Quyn</t>
        </is>
      </c>
      <c r="F260" s="7" t="n">
        <v>20849000</v>
      </c>
      <c r="G260" s="7" t="inlineStr">
        <is>
          <t>Bưu Cục QL20 Ninh Hòa-Đức Trọng-Lâm Đồng</t>
        </is>
      </c>
      <c r="H260" s="15" t="n">
        <v>20849000</v>
      </c>
      <c r="I260" s="15" t="inlineStr">
        <is>
          <t>Bưu Cục QL20 Ninh Hòa-Đức Trọng-Lâm Đồng</t>
        </is>
      </c>
      <c r="J260" s="15" t="b">
        <v>0</v>
      </c>
      <c r="K260" s="15" t="inlineStr">
        <is>
          <t>C</t>
        </is>
      </c>
      <c r="L260" s="16" t="n">
        <v>0</v>
      </c>
      <c r="M260" s="15" t="n"/>
      <c r="N260" s="15" t="n"/>
      <c r="O260" s="15" t="inlineStr">
        <is>
          <t>Chưa mở</t>
        </is>
      </c>
      <c r="P260" s="15" t="n"/>
    </row>
    <row r="261" hidden="1" ht="15.75" customHeight="1" s="57">
      <c r="A261" s="7" t="inlineStr">
        <is>
          <t>Lâm Đồng</t>
        </is>
      </c>
      <c r="B261" s="7" t="n">
        <v>1837</v>
      </c>
      <c r="C261" s="7" t="inlineStr">
        <is>
          <t>Huyện Đức Trọng</t>
        </is>
      </c>
      <c r="D261" s="7" t="n">
        <v>420305</v>
      </c>
      <c r="E261" s="7" t="inlineStr">
        <is>
          <t>Xã Hiệp An</t>
        </is>
      </c>
      <c r="F261" s="7" t="n">
        <v>22255000</v>
      </c>
      <c r="G261" s="7" t="inlineStr">
        <is>
          <t>Bưu Cục Lê Hồng Phong-Liên Hiệp-Đức Trọng-Lâm Đồng</t>
        </is>
      </c>
      <c r="H261" s="15" t="n">
        <v>22255000</v>
      </c>
      <c r="I261" s="15" t="inlineStr">
        <is>
          <t>Bưu Cục Lê Hồng Phong-Liên Hiệp-Đức Trọng-Lâm Đồng</t>
        </is>
      </c>
      <c r="J261" s="15" t="b">
        <v>1</v>
      </c>
      <c r="K261" s="15" t="inlineStr">
        <is>
          <t>A</t>
        </is>
      </c>
      <c r="L261" s="16" t="n">
        <v>1</v>
      </c>
      <c r="M261" s="15" t="n">
        <v>15</v>
      </c>
      <c r="N261" s="15" t="n">
        <v>15</v>
      </c>
      <c r="O261" s="15" t="inlineStr">
        <is>
          <t>Đã mở</t>
        </is>
      </c>
      <c r="P261" s="15" t="n"/>
    </row>
    <row r="262" hidden="1" ht="15.75" customHeight="1" s="57">
      <c r="A262" s="7" t="inlineStr">
        <is>
          <t>Lâm Đồng</t>
        </is>
      </c>
      <c r="B262" s="7" t="n">
        <v>1837</v>
      </c>
      <c r="C262" s="7" t="inlineStr">
        <is>
          <t>Huyện Đức Trọng</t>
        </is>
      </c>
      <c r="D262" s="7" t="n">
        <v>420306</v>
      </c>
      <c r="E262" s="7" t="inlineStr">
        <is>
          <t>Xã Hiệp Thạnh</t>
        </is>
      </c>
      <c r="F262" s="7" t="n">
        <v>22255000</v>
      </c>
      <c r="G262" s="7" t="inlineStr">
        <is>
          <t>Bưu Cục Lê Hồng Phong-Liên Hiệp-Đức Trọng-Lâm Đồng</t>
        </is>
      </c>
      <c r="H262" s="15" t="n">
        <v>22255000</v>
      </c>
      <c r="I262" s="15" t="inlineStr">
        <is>
          <t>Bưu Cục Lê Hồng Phong-Liên Hiệp-Đức Trọng-Lâm Đồng</t>
        </is>
      </c>
      <c r="J262" s="15" t="b">
        <v>1</v>
      </c>
      <c r="K262" s="15" t="inlineStr">
        <is>
          <t>A</t>
        </is>
      </c>
      <c r="L262" s="16" t="n">
        <v>1</v>
      </c>
      <c r="M262" s="15" t="n">
        <v>15</v>
      </c>
      <c r="N262" s="15" t="n">
        <v>15</v>
      </c>
      <c r="O262" s="15" t="inlineStr">
        <is>
          <t>Đã mở</t>
        </is>
      </c>
      <c r="P262" s="15" t="n"/>
    </row>
    <row r="263" hidden="1" ht="15.75" customHeight="1" s="57">
      <c r="A263" s="7" t="inlineStr">
        <is>
          <t>Lâm Đồng</t>
        </is>
      </c>
      <c r="B263" s="7" t="n">
        <v>1837</v>
      </c>
      <c r="C263" s="7" t="inlineStr">
        <is>
          <t>Huyện Đức Trọng</t>
        </is>
      </c>
      <c r="D263" s="7" t="n">
        <v>420307</v>
      </c>
      <c r="E263" s="7" t="inlineStr">
        <is>
          <t>Xã Liên Hiệp</t>
        </is>
      </c>
      <c r="F263" s="7" t="n">
        <v>22255000</v>
      </c>
      <c r="G263" s="7" t="inlineStr">
        <is>
          <t>Bưu Cục Lê Hồng Phong-Liên Hiệp-Đức Trọng-Lâm Đồng</t>
        </is>
      </c>
      <c r="H263" s="15" t="n">
        <v>22255000</v>
      </c>
      <c r="I263" s="15" t="inlineStr">
        <is>
          <t>Bưu Cục Lê Hồng Phong-Liên Hiệp-Đức Trọng-Lâm Đồng</t>
        </is>
      </c>
      <c r="J263" s="15" t="b">
        <v>1</v>
      </c>
      <c r="K263" s="15" t="inlineStr">
        <is>
          <t>A</t>
        </is>
      </c>
      <c r="L263" s="16" t="n">
        <v>1</v>
      </c>
      <c r="M263" s="15" t="n">
        <v>15</v>
      </c>
      <c r="N263" s="15" t="n">
        <v>15</v>
      </c>
      <c r="O263" s="15" t="inlineStr">
        <is>
          <t>Đã mở</t>
        </is>
      </c>
      <c r="P263" s="15" t="n"/>
    </row>
    <row r="264" hidden="1" ht="15.75" customHeight="1" s="57">
      <c r="A264" s="7" t="inlineStr">
        <is>
          <t>Lâm Đồng</t>
        </is>
      </c>
      <c r="B264" s="7" t="n">
        <v>1837</v>
      </c>
      <c r="C264" s="7" t="inlineStr">
        <is>
          <t>Huyện Đức Trọng</t>
        </is>
      </c>
      <c r="D264" s="7" t="n">
        <v>420308</v>
      </c>
      <c r="E264" s="7" t="inlineStr">
        <is>
          <t>Xã Ninh Gia</t>
        </is>
      </c>
      <c r="F264" s="7" t="n">
        <v>20849000</v>
      </c>
      <c r="G264" s="7" t="inlineStr">
        <is>
          <t>Bưu Cục QL20 Ninh Hòa-Đức Trọng-Lâm Đồng</t>
        </is>
      </c>
      <c r="H264" s="15" t="n">
        <v>20849000</v>
      </c>
      <c r="I264" s="15" t="inlineStr">
        <is>
          <t>Bưu Cục QL20 Ninh Hòa-Đức Trọng-Lâm Đồng</t>
        </is>
      </c>
      <c r="J264" s="15" t="b">
        <v>0</v>
      </c>
      <c r="K264" s="15" t="inlineStr">
        <is>
          <t>C</t>
        </is>
      </c>
      <c r="L264" s="16" t="n">
        <v>0</v>
      </c>
      <c r="M264" s="15" t="n"/>
      <c r="N264" s="15" t="n"/>
      <c r="O264" s="15" t="inlineStr">
        <is>
          <t>Chưa mở</t>
        </is>
      </c>
      <c r="P264" s="15" t="n"/>
    </row>
    <row r="265" hidden="1" ht="15.75" customHeight="1" s="57">
      <c r="A265" s="7" t="inlineStr">
        <is>
          <t>Lâm Đồng</t>
        </is>
      </c>
      <c r="B265" s="7" t="n">
        <v>1837</v>
      </c>
      <c r="C265" s="7" t="inlineStr">
        <is>
          <t>Huyện Đức Trọng</t>
        </is>
      </c>
      <c r="D265" s="7" t="n">
        <v>420309</v>
      </c>
      <c r="E265" s="7" t="inlineStr">
        <is>
          <t>Xã Ninh Loan</t>
        </is>
      </c>
      <c r="F265" s="7" t="n">
        <v>20849000</v>
      </c>
      <c r="G265" s="7" t="inlineStr">
        <is>
          <t>Bưu Cục QL20 Ninh Hòa-Đức Trọng-Lâm Đồng</t>
        </is>
      </c>
      <c r="H265" s="15" t="n">
        <v>20849000</v>
      </c>
      <c r="I265" s="15" t="inlineStr">
        <is>
          <t>Bưu Cục QL20 Ninh Hòa-Đức Trọng-Lâm Đồng</t>
        </is>
      </c>
      <c r="J265" s="15" t="b">
        <v>0</v>
      </c>
      <c r="K265" s="15" t="inlineStr">
        <is>
          <t>C</t>
        </is>
      </c>
      <c r="L265" s="16" t="n">
        <v>0</v>
      </c>
      <c r="M265" s="15" t="n"/>
      <c r="N265" s="15" t="n"/>
      <c r="O265" s="15" t="inlineStr">
        <is>
          <t>Chưa mở</t>
        </is>
      </c>
      <c r="P265" s="15" t="n"/>
    </row>
    <row r="266" hidden="1" ht="15.75" customHeight="1" s="57">
      <c r="A266" s="7" t="inlineStr">
        <is>
          <t>Lâm Đồng</t>
        </is>
      </c>
      <c r="B266" s="7" t="n">
        <v>1837</v>
      </c>
      <c r="C266" s="7" t="inlineStr">
        <is>
          <t>Huyện Đức Trọng</t>
        </is>
      </c>
      <c r="D266" s="7" t="n">
        <v>420310</v>
      </c>
      <c r="E266" s="7" t="inlineStr">
        <is>
          <t>Xã N'Thol Hạ</t>
        </is>
      </c>
      <c r="F266" s="7" t="n">
        <v>22389000</v>
      </c>
      <c r="G266" s="7" t="inlineStr">
        <is>
          <t>Bưu Cục Thôn R'Chai 2-Xã Đức Trọng-Lâm Đồng</t>
        </is>
      </c>
      <c r="H266" s="15" t="n">
        <v>22389000</v>
      </c>
      <c r="I266" s="15" t="inlineStr">
        <is>
          <t>Bưu Cục Thôn R'Chai 2-Xã Đức Trọng-Lâm Đồng</t>
        </is>
      </c>
      <c r="J266" s="15" t="b">
        <v>1</v>
      </c>
      <c r="K266" s="15" t="inlineStr">
        <is>
          <t>A</t>
        </is>
      </c>
      <c r="L266" s="16" t="n">
        <v>1</v>
      </c>
      <c r="M266" s="15" t="n">
        <v>15</v>
      </c>
      <c r="N266" s="15" t="n">
        <v>15</v>
      </c>
      <c r="O266" s="15" t="inlineStr">
        <is>
          <t>Đã mở</t>
        </is>
      </c>
      <c r="P266" s="15" t="n"/>
    </row>
    <row r="267" hidden="1" ht="15.75" customHeight="1" s="57">
      <c r="A267" s="7" t="inlineStr">
        <is>
          <t>Lâm Đồng</t>
        </is>
      </c>
      <c r="B267" s="7" t="n">
        <v>1837</v>
      </c>
      <c r="C267" s="7" t="inlineStr">
        <is>
          <t>Huyện Đức Trọng</t>
        </is>
      </c>
      <c r="D267" s="7" t="n">
        <v>420311</v>
      </c>
      <c r="E267" s="7" t="inlineStr">
        <is>
          <t>Xã Phú Hội</t>
        </is>
      </c>
      <c r="F267" s="7" t="n">
        <v>22389000</v>
      </c>
      <c r="G267" s="7" t="inlineStr">
        <is>
          <t>Bưu Cục Thôn R'Chai 2-Xã Đức Trọng-Lâm Đồng</t>
        </is>
      </c>
      <c r="H267" s="15" t="n">
        <v>22389000</v>
      </c>
      <c r="I267" s="15" t="inlineStr">
        <is>
          <t>Bưu Cục Thôn R'Chai 2-Xã Đức Trọng-Lâm Đồng</t>
        </is>
      </c>
      <c r="J267" s="15" t="b">
        <v>1</v>
      </c>
      <c r="K267" s="15" t="inlineStr">
        <is>
          <t>A</t>
        </is>
      </c>
      <c r="L267" s="16" t="n">
        <v>1</v>
      </c>
      <c r="M267" s="15" t="n">
        <v>15</v>
      </c>
      <c r="N267" s="15" t="n">
        <v>15</v>
      </c>
      <c r="O267" s="15" t="inlineStr">
        <is>
          <t>Đã mở</t>
        </is>
      </c>
      <c r="P267" s="15" t="n"/>
    </row>
    <row r="268" hidden="1" ht="15.75" customHeight="1" s="57">
      <c r="A268" s="7" t="inlineStr">
        <is>
          <t>Lâm Đồng</t>
        </is>
      </c>
      <c r="B268" s="7" t="n">
        <v>1837</v>
      </c>
      <c r="C268" s="7" t="inlineStr">
        <is>
          <t>Huyện Đức Trọng</t>
        </is>
      </c>
      <c r="D268" s="7" t="n">
        <v>420312</v>
      </c>
      <c r="E268" s="7" t="inlineStr">
        <is>
          <t>Xã Tà Hine</t>
        </is>
      </c>
      <c r="F268" s="7" t="n">
        <v>20849000</v>
      </c>
      <c r="G268" s="7" t="inlineStr">
        <is>
          <t>Bưu Cục QL20 Ninh Hòa-Đức Trọng-Lâm Đồng</t>
        </is>
      </c>
      <c r="H268" s="15" t="n">
        <v>20849000</v>
      </c>
      <c r="I268" s="15" t="inlineStr">
        <is>
          <t>Bưu Cục QL20 Ninh Hòa-Đức Trọng-Lâm Đồng</t>
        </is>
      </c>
      <c r="J268" s="15" t="b">
        <v>0</v>
      </c>
      <c r="K268" s="15" t="inlineStr">
        <is>
          <t>C</t>
        </is>
      </c>
      <c r="L268" s="16" t="n">
        <v>0</v>
      </c>
      <c r="M268" s="15" t="n"/>
      <c r="N268" s="15" t="n"/>
      <c r="O268" s="15" t="inlineStr">
        <is>
          <t>Chưa mở</t>
        </is>
      </c>
      <c r="P268" s="15" t="n"/>
    </row>
    <row r="269" hidden="1" ht="15.75" customHeight="1" s="57">
      <c r="A269" s="7" t="inlineStr">
        <is>
          <t>Lâm Đồng</t>
        </is>
      </c>
      <c r="B269" s="7" t="n">
        <v>1837</v>
      </c>
      <c r="C269" s="7" t="inlineStr">
        <is>
          <t>Huyện Đức Trọng</t>
        </is>
      </c>
      <c r="D269" s="7" t="n">
        <v>420313</v>
      </c>
      <c r="E269" s="7" t="inlineStr">
        <is>
          <t>Xã Tà Năng</t>
        </is>
      </c>
      <c r="F269" s="7" t="n">
        <v>20849000</v>
      </c>
      <c r="G269" s="7" t="inlineStr">
        <is>
          <t>Bưu Cục QL20 Ninh Hòa-Đức Trọng-Lâm Đồng</t>
        </is>
      </c>
      <c r="H269" s="15" t="n">
        <v>20849000</v>
      </c>
      <c r="I269" s="15" t="inlineStr">
        <is>
          <t>Bưu Cục QL20 Ninh Hòa-Đức Trọng-Lâm Đồng</t>
        </is>
      </c>
      <c r="J269" s="15" t="b">
        <v>0</v>
      </c>
      <c r="K269" s="15" t="inlineStr">
        <is>
          <t>C</t>
        </is>
      </c>
      <c r="L269" s="16" t="n">
        <v>0</v>
      </c>
      <c r="M269" s="15" t="n"/>
      <c r="N269" s="15" t="n"/>
      <c r="O269" s="15" t="inlineStr">
        <is>
          <t>Chưa mở</t>
        </is>
      </c>
      <c r="P269" s="15" t="n"/>
    </row>
    <row r="270" hidden="1" ht="15.75" customHeight="1" s="57">
      <c r="A270" s="7" t="inlineStr">
        <is>
          <t>Lâm Đồng</t>
        </is>
      </c>
      <c r="B270" s="7" t="n">
        <v>1837</v>
      </c>
      <c r="C270" s="7" t="inlineStr">
        <is>
          <t>Huyện Đức Trọng</t>
        </is>
      </c>
      <c r="D270" s="7" t="n">
        <v>420314</v>
      </c>
      <c r="E270" s="7" t="inlineStr">
        <is>
          <t>Xã Tân Hội</t>
        </is>
      </c>
      <c r="F270" s="7" t="n">
        <v>22389000</v>
      </c>
      <c r="G270" s="7" t="inlineStr">
        <is>
          <t>Bưu Cục Thôn R'Chai 2-Xã Đức Trọng-Lâm Đồng</t>
        </is>
      </c>
      <c r="H270" s="15" t="n">
        <v>22389000</v>
      </c>
      <c r="I270" s="15" t="inlineStr">
        <is>
          <t>Bưu Cục Thôn R'Chai 2-Xã Đức Trọng-Lâm Đồng</t>
        </is>
      </c>
      <c r="J270" s="15" t="b">
        <v>1</v>
      </c>
      <c r="K270" s="15" t="inlineStr">
        <is>
          <t>A</t>
        </is>
      </c>
      <c r="L270" s="16" t="n">
        <v>1</v>
      </c>
      <c r="M270" s="15" t="n">
        <v>15</v>
      </c>
      <c r="N270" s="15" t="n">
        <v>15</v>
      </c>
      <c r="O270" s="15" t="inlineStr">
        <is>
          <t>Đã mở</t>
        </is>
      </c>
      <c r="P270" s="15" t="n"/>
    </row>
    <row r="271" hidden="1" ht="15.75" customHeight="1" s="57">
      <c r="A271" s="7" t="inlineStr">
        <is>
          <t>Lâm Đồng</t>
        </is>
      </c>
      <c r="B271" s="7" t="n">
        <v>1837</v>
      </c>
      <c r="C271" s="7" t="inlineStr">
        <is>
          <t>Huyện Đức Trọng</t>
        </is>
      </c>
      <c r="D271" s="7" t="n">
        <v>420315</v>
      </c>
      <c r="E271" s="7" t="inlineStr">
        <is>
          <t>Xã Tân Thành</t>
        </is>
      </c>
      <c r="F271" s="7" t="n">
        <v>22389000</v>
      </c>
      <c r="G271" s="7" t="inlineStr">
        <is>
          <t>Bưu Cục Thôn R'Chai 2-Xã Đức Trọng-Lâm Đồng</t>
        </is>
      </c>
      <c r="H271" s="15" t="n">
        <v>22389000</v>
      </c>
      <c r="I271" s="15" t="inlineStr">
        <is>
          <t>Bưu Cục Thôn R'Chai 2-Xã Đức Trọng-Lâm Đồng</t>
        </is>
      </c>
      <c r="J271" s="15" t="b">
        <v>0</v>
      </c>
      <c r="K271" s="15" t="inlineStr">
        <is>
          <t>C</t>
        </is>
      </c>
      <c r="L271" s="16" t="n">
        <v>0</v>
      </c>
      <c r="M271" s="15" t="n"/>
      <c r="N271" s="15" t="n"/>
      <c r="O271" s="15" t="inlineStr">
        <is>
          <t>Chưa mở</t>
        </is>
      </c>
      <c r="P271" s="15" t="n"/>
    </row>
    <row r="272" hidden="1" ht="15.75" customHeight="1" s="57">
      <c r="A272" s="7" t="inlineStr">
        <is>
          <t>Lâm Đồng</t>
        </is>
      </c>
      <c r="B272" s="7" t="n">
        <v>1838</v>
      </c>
      <c r="C272" s="7" t="inlineStr">
        <is>
          <t>Thành phố Bảo Lộc</t>
        </is>
      </c>
      <c r="D272" s="7" t="n">
        <v>420201</v>
      </c>
      <c r="E272" s="7" t="inlineStr">
        <is>
          <t>Phường 1</t>
        </is>
      </c>
      <c r="F272" s="7" t="n">
        <v>20785000</v>
      </c>
      <c r="G272" s="7" t="inlineStr">
        <is>
          <t>Bưu Cục 95A Đội Cấn-Bảo Lộc-Lâm Đồng</t>
        </is>
      </c>
      <c r="H272" s="15" t="n">
        <v>20785000</v>
      </c>
      <c r="I272" s="15" t="inlineStr">
        <is>
          <t>Bưu Cục 95A Đội Cấn-Bảo Lộc-Lâm Đồng</t>
        </is>
      </c>
      <c r="J272" s="15" t="b">
        <v>1</v>
      </c>
      <c r="K272" s="15" t="inlineStr">
        <is>
          <t>A</t>
        </is>
      </c>
      <c r="L272" s="16" t="n">
        <v>1</v>
      </c>
      <c r="M272" s="15" t="n">
        <v>15</v>
      </c>
      <c r="N272" s="15" t="n">
        <v>15</v>
      </c>
      <c r="O272" s="15" t="inlineStr">
        <is>
          <t>Đã mở</t>
        </is>
      </c>
      <c r="P272" s="15" t="n"/>
    </row>
    <row r="273" hidden="1" ht="15.75" customHeight="1" s="57">
      <c r="A273" s="7" t="inlineStr">
        <is>
          <t>Lâm Đồng</t>
        </is>
      </c>
      <c r="B273" s="7" t="n">
        <v>1838</v>
      </c>
      <c r="C273" s="7" t="inlineStr">
        <is>
          <t>Thành phố Bảo Lộc</t>
        </is>
      </c>
      <c r="D273" s="7" t="n">
        <v>420202</v>
      </c>
      <c r="E273" s="7" t="inlineStr">
        <is>
          <t>Phường 2</t>
        </is>
      </c>
      <c r="F273" s="7" t="n">
        <v>20785000</v>
      </c>
      <c r="G273" s="7" t="inlineStr">
        <is>
          <t>Bưu Cục 95A Đội Cấn-Bảo Lộc-Lâm Đồng</t>
        </is>
      </c>
      <c r="H273" s="15" t="n">
        <v>20785000</v>
      </c>
      <c r="I273" s="15" t="inlineStr">
        <is>
          <t>Bưu Cục 95A Đội Cấn-Bảo Lộc-Lâm Đồng</t>
        </is>
      </c>
      <c r="J273" s="15" t="b">
        <v>1</v>
      </c>
      <c r="K273" s="15" t="inlineStr">
        <is>
          <t>A</t>
        </is>
      </c>
      <c r="L273" s="16" t="n">
        <v>1</v>
      </c>
      <c r="M273" s="15" t="n">
        <v>15</v>
      </c>
      <c r="N273" s="15" t="n">
        <v>15</v>
      </c>
      <c r="O273" s="15" t="inlineStr">
        <is>
          <t>Đã mở</t>
        </is>
      </c>
      <c r="P273" s="15" t="n"/>
    </row>
    <row r="274" hidden="1" ht="15.75" customHeight="1" s="57">
      <c r="A274" s="7" t="inlineStr">
        <is>
          <t>Lâm Đồng</t>
        </is>
      </c>
      <c r="B274" s="7" t="n">
        <v>1838</v>
      </c>
      <c r="C274" s="7" t="inlineStr">
        <is>
          <t>Thành phố Bảo Lộc</t>
        </is>
      </c>
      <c r="D274" s="7" t="n">
        <v>420203</v>
      </c>
      <c r="E274" s="7" t="inlineStr">
        <is>
          <t>Phường B'lao</t>
        </is>
      </c>
      <c r="F274" s="7" t="n">
        <v>21468000</v>
      </c>
      <c r="G274" s="7" t="inlineStr">
        <is>
          <t>Bưu cục 1479 Trần Phú-Lộc Châu-Bảo Lộc-Lâm Đồng</t>
        </is>
      </c>
      <c r="H274" s="15" t="n">
        <v>21468000</v>
      </c>
      <c r="I274" s="15" t="inlineStr">
        <is>
          <t>Bưu cục 1479 Trần Phú-Lộc Châu-Bảo Lộc-Lâm Đồng</t>
        </is>
      </c>
      <c r="J274" s="15" t="b">
        <v>1</v>
      </c>
      <c r="K274" s="15" t="inlineStr">
        <is>
          <t>A</t>
        </is>
      </c>
      <c r="L274" s="16" t="n">
        <v>1</v>
      </c>
      <c r="M274" s="15" t="n">
        <v>15</v>
      </c>
      <c r="N274" s="15" t="n">
        <v>15</v>
      </c>
      <c r="O274" s="15" t="inlineStr">
        <is>
          <t>Đã mở</t>
        </is>
      </c>
      <c r="P274" s="15" t="n"/>
    </row>
    <row r="275" hidden="1" ht="15.75" customHeight="1" s="57">
      <c r="A275" s="7" t="inlineStr">
        <is>
          <t>Lâm Đồng</t>
        </is>
      </c>
      <c r="B275" s="7" t="n">
        <v>1838</v>
      </c>
      <c r="C275" s="7" t="inlineStr">
        <is>
          <t>Thành phố Bảo Lộc</t>
        </is>
      </c>
      <c r="D275" s="7" t="n">
        <v>420204</v>
      </c>
      <c r="E275" s="7" t="inlineStr">
        <is>
          <t>Phường Lộc Phát</t>
        </is>
      </c>
      <c r="F275" s="7" t="n">
        <v>21688000</v>
      </c>
      <c r="G275" s="7" t="inlineStr">
        <is>
          <t>Bưu Cục 412 Nguyễn Văn Cừ-Lộc Phát-Bảo Lộc-Lâm Đồng</t>
        </is>
      </c>
      <c r="H275" s="15" t="n">
        <v>21688000</v>
      </c>
      <c r="I275" s="15" t="inlineStr">
        <is>
          <t>Bưu Cục 412 Nguyễn Văn Cừ-Lộc Phát-Bảo Lộc-Lâm Đồng</t>
        </is>
      </c>
      <c r="J275" s="15" t="b">
        <v>1</v>
      </c>
      <c r="K275" s="15" t="inlineStr">
        <is>
          <t>A</t>
        </is>
      </c>
      <c r="L275" s="16" t="n">
        <v>1</v>
      </c>
      <c r="M275" s="15" t="n">
        <v>15</v>
      </c>
      <c r="N275" s="15" t="n">
        <v>15</v>
      </c>
      <c r="O275" s="15" t="inlineStr">
        <is>
          <t>Đã mở</t>
        </is>
      </c>
      <c r="P275" s="15" t="n"/>
    </row>
    <row r="276" hidden="1" ht="15.75" customHeight="1" s="57">
      <c r="A276" s="7" t="inlineStr">
        <is>
          <t>Lâm Đồng</t>
        </is>
      </c>
      <c r="B276" s="7" t="n">
        <v>1838</v>
      </c>
      <c r="C276" s="7" t="inlineStr">
        <is>
          <t>Thành phố Bảo Lộc</t>
        </is>
      </c>
      <c r="D276" s="7" t="n">
        <v>420205</v>
      </c>
      <c r="E276" s="7" t="inlineStr">
        <is>
          <t>Phường Lộc Sơn</t>
        </is>
      </c>
      <c r="F276" s="7" t="n">
        <v>20785000</v>
      </c>
      <c r="G276" s="7" t="inlineStr">
        <is>
          <t>Bưu Cục 95A Đội Cấn-Bảo Lộc-Lâm Đồng</t>
        </is>
      </c>
      <c r="H276" s="15" t="n">
        <v>20785000</v>
      </c>
      <c r="I276" s="15" t="inlineStr">
        <is>
          <t>Bưu Cục 95A Đội Cấn-Bảo Lộc-Lâm Đồng</t>
        </is>
      </c>
      <c r="J276" s="15" t="b">
        <v>1</v>
      </c>
      <c r="K276" s="15" t="inlineStr">
        <is>
          <t>A</t>
        </is>
      </c>
      <c r="L276" s="16" t="n">
        <v>1</v>
      </c>
      <c r="M276" s="15" t="n">
        <v>15</v>
      </c>
      <c r="N276" s="15" t="n">
        <v>15</v>
      </c>
      <c r="O276" s="15" t="inlineStr">
        <is>
          <t>Đã mở</t>
        </is>
      </c>
      <c r="P276" s="15" t="n"/>
    </row>
    <row r="277" hidden="1" ht="15.75" customHeight="1" s="57">
      <c r="A277" s="7" t="inlineStr">
        <is>
          <t>Lâm Đồng</t>
        </is>
      </c>
      <c r="B277" s="7" t="n">
        <v>1838</v>
      </c>
      <c r="C277" s="7" t="inlineStr">
        <is>
          <t>Thành phố Bảo Lộc</t>
        </is>
      </c>
      <c r="D277" s="7" t="n">
        <v>420206</v>
      </c>
      <c r="E277" s="7" t="inlineStr">
        <is>
          <t>Phường Lộc Tiến</t>
        </is>
      </c>
      <c r="F277" s="7" t="n">
        <v>21468000</v>
      </c>
      <c r="G277" s="7" t="inlineStr">
        <is>
          <t>Bưu cục 1479 Trần Phú-Lộc Châu-Bảo Lộc-Lâm Đồng</t>
        </is>
      </c>
      <c r="H277" s="15" t="n">
        <v>21131000</v>
      </c>
      <c r="I277" s="15" t="inlineStr">
        <is>
          <t>Kho Giao Hàng Nặng - TP Bảo Lộc - Lâm Đồng</t>
        </is>
      </c>
      <c r="J277" s="15" t="b">
        <v>1</v>
      </c>
      <c r="K277" s="15" t="inlineStr">
        <is>
          <t>A</t>
        </is>
      </c>
      <c r="L277" s="16" t="n">
        <v>1</v>
      </c>
      <c r="M277" s="15" t="n">
        <v>15</v>
      </c>
      <c r="N277" s="15" t="n">
        <v>15</v>
      </c>
      <c r="O277" s="15" t="inlineStr">
        <is>
          <t>Đã mở</t>
        </is>
      </c>
      <c r="P277" s="15" t="n"/>
    </row>
    <row r="278" hidden="1" ht="15.75" customHeight="1" s="57">
      <c r="A278" s="7" t="inlineStr">
        <is>
          <t>Lâm Đồng</t>
        </is>
      </c>
      <c r="B278" s="7" t="n">
        <v>1838</v>
      </c>
      <c r="C278" s="7" t="inlineStr">
        <is>
          <t>Thành phố Bảo Lộc</t>
        </is>
      </c>
      <c r="D278" s="7" t="n">
        <v>420207</v>
      </c>
      <c r="E278" s="7" t="inlineStr">
        <is>
          <t>Xã Đại Lào</t>
        </is>
      </c>
      <c r="F278" s="7" t="n">
        <v>21468000</v>
      </c>
      <c r="G278" s="7" t="inlineStr">
        <is>
          <t>Bưu cục 1479 Trần Phú-Lộc Châu-Bảo Lộc-Lâm Đồng</t>
        </is>
      </c>
      <c r="H278" s="15" t="n">
        <v>21468000</v>
      </c>
      <c r="I278" s="15" t="inlineStr">
        <is>
          <t>Bưu cục 1479 Trần Phú-Lộc Châu-Bảo Lộc-Lâm Đồng</t>
        </is>
      </c>
      <c r="J278" s="15" t="b">
        <v>1</v>
      </c>
      <c r="K278" s="15" t="inlineStr">
        <is>
          <t>A</t>
        </is>
      </c>
      <c r="L278" s="16" t="n">
        <v>1</v>
      </c>
      <c r="M278" s="15" t="n">
        <v>15</v>
      </c>
      <c r="N278" s="15" t="n">
        <v>15</v>
      </c>
      <c r="O278" s="15" t="inlineStr">
        <is>
          <t>Đã mở</t>
        </is>
      </c>
      <c r="P278" s="15" t="n"/>
    </row>
    <row r="279" hidden="1" ht="15.75" customHeight="1" s="57">
      <c r="A279" s="7" t="inlineStr">
        <is>
          <t>Lâm Đồng</t>
        </is>
      </c>
      <c r="B279" s="7" t="n">
        <v>1838</v>
      </c>
      <c r="C279" s="7" t="inlineStr">
        <is>
          <t>Thành phố Bảo Lộc</t>
        </is>
      </c>
      <c r="D279" s="7" t="n">
        <v>420208</v>
      </c>
      <c r="E279" s="7" t="inlineStr">
        <is>
          <t>Xã Đạm Bri</t>
        </is>
      </c>
      <c r="F279" s="7" t="n">
        <v>21468000</v>
      </c>
      <c r="G279" s="7" t="inlineStr">
        <is>
          <t>Bưu cục 1479 Trần Phú-Lộc Châu-Bảo Lộc-Lâm Đồng</t>
        </is>
      </c>
      <c r="H279" s="15" t="n">
        <v>21468000</v>
      </c>
      <c r="I279" s="15" t="inlineStr">
        <is>
          <t>Bưu cục 1479 Trần Phú-Lộc Châu-Bảo Lộc-Lâm Đồng</t>
        </is>
      </c>
      <c r="J279" s="15" t="b">
        <v>1</v>
      </c>
      <c r="K279" s="15" t="inlineStr">
        <is>
          <t>A</t>
        </is>
      </c>
      <c r="L279" s="16" t="n">
        <v>1</v>
      </c>
      <c r="M279" s="15" t="n">
        <v>15</v>
      </c>
      <c r="N279" s="15" t="n">
        <v>15</v>
      </c>
      <c r="O279" s="15" t="inlineStr">
        <is>
          <t>Đã mở</t>
        </is>
      </c>
      <c r="P279" s="15" t="n"/>
    </row>
    <row r="280" hidden="1" ht="15.75" customHeight="1" s="57">
      <c r="A280" s="7" t="inlineStr">
        <is>
          <t>Lâm Đồng</t>
        </is>
      </c>
      <c r="B280" s="7" t="n">
        <v>1838</v>
      </c>
      <c r="C280" s="7" t="inlineStr">
        <is>
          <t>Thành phố Bảo Lộc</t>
        </is>
      </c>
      <c r="D280" s="7" t="n">
        <v>420209</v>
      </c>
      <c r="E280" s="7" t="inlineStr">
        <is>
          <t>Xã Lộc Châu</t>
        </is>
      </c>
      <c r="F280" s="7" t="n">
        <v>21468000</v>
      </c>
      <c r="G280" s="7" t="inlineStr">
        <is>
          <t>Bưu cục 1479 Trần Phú-Lộc Châu-Bảo Lộc-Lâm Đồng</t>
        </is>
      </c>
      <c r="H280" s="15" t="n">
        <v>21468000</v>
      </c>
      <c r="I280" s="15" t="inlineStr">
        <is>
          <t>Bưu cục 1479 Trần Phú-Lộc Châu-Bảo Lộc-Lâm Đồng</t>
        </is>
      </c>
      <c r="J280" s="15" t="b">
        <v>1</v>
      </c>
      <c r="K280" s="15" t="inlineStr">
        <is>
          <t>A</t>
        </is>
      </c>
      <c r="L280" s="16" t="n">
        <v>1</v>
      </c>
      <c r="M280" s="15" t="n">
        <v>15</v>
      </c>
      <c r="N280" s="15" t="n">
        <v>15</v>
      </c>
      <c r="O280" s="15" t="inlineStr">
        <is>
          <t>Đã mở</t>
        </is>
      </c>
      <c r="P280" s="15" t="n"/>
    </row>
    <row r="281" hidden="1" ht="15.75" customHeight="1" s="57">
      <c r="A281" s="7" t="inlineStr">
        <is>
          <t>Lâm Đồng</t>
        </is>
      </c>
      <c r="B281" s="7" t="n">
        <v>1838</v>
      </c>
      <c r="C281" s="7" t="inlineStr">
        <is>
          <t>Thành phố Bảo Lộc</t>
        </is>
      </c>
      <c r="D281" s="7" t="n">
        <v>420210</v>
      </c>
      <c r="E281" s="7" t="inlineStr">
        <is>
          <t>Xã Lộc Nga</t>
        </is>
      </c>
      <c r="F281" s="7" t="n">
        <v>21688000</v>
      </c>
      <c r="G281" s="7" t="inlineStr">
        <is>
          <t>Bưu Cục 412 Nguyễn Văn Cừ-Lộc Phát-Bảo Lộc-Lâm Đồng</t>
        </is>
      </c>
      <c r="H281" s="15" t="n">
        <v>21688000</v>
      </c>
      <c r="I281" s="15" t="inlineStr">
        <is>
          <t>Bưu Cục 412 Nguyễn Văn Cừ-Lộc Phát-Bảo Lộc-Lâm Đồng</t>
        </is>
      </c>
      <c r="J281" s="15" t="b">
        <v>1</v>
      </c>
      <c r="K281" s="15" t="inlineStr">
        <is>
          <t>A</t>
        </is>
      </c>
      <c r="L281" s="16" t="n">
        <v>1</v>
      </c>
      <c r="M281" s="15" t="n">
        <v>15</v>
      </c>
      <c r="N281" s="15" t="n">
        <v>15</v>
      </c>
      <c r="O281" s="15" t="inlineStr">
        <is>
          <t>Đã mở</t>
        </is>
      </c>
      <c r="P281" s="15" t="n"/>
    </row>
    <row r="282" hidden="1" ht="15.75" customHeight="1" s="57">
      <c r="A282" s="7" t="inlineStr">
        <is>
          <t>Lâm Đồng</t>
        </is>
      </c>
      <c r="B282" s="7" t="n">
        <v>1838</v>
      </c>
      <c r="C282" s="7" t="inlineStr">
        <is>
          <t>Thành phố Bảo Lộc</t>
        </is>
      </c>
      <c r="D282" s="7" t="n">
        <v>420211</v>
      </c>
      <c r="E282" s="7" t="inlineStr">
        <is>
          <t>Xã Lộc Thanh</t>
        </is>
      </c>
      <c r="F282" s="7" t="n">
        <v>21688000</v>
      </c>
      <c r="G282" s="7" t="inlineStr">
        <is>
          <t>Bưu Cục 412 Nguyễn Văn Cừ-Lộc Phát-Bảo Lộc-Lâm Đồng</t>
        </is>
      </c>
      <c r="H282" s="15" t="n">
        <v>21688000</v>
      </c>
      <c r="I282" s="15" t="inlineStr">
        <is>
          <t>Bưu Cục 412 Nguyễn Văn Cừ-Lộc Phát-Bảo Lộc-Lâm Đồng</t>
        </is>
      </c>
      <c r="J282" s="15" t="b">
        <v>1</v>
      </c>
      <c r="K282" s="15" t="inlineStr">
        <is>
          <t>A</t>
        </is>
      </c>
      <c r="L282" s="16" t="n">
        <v>1</v>
      </c>
      <c r="M282" s="15" t="n">
        <v>15</v>
      </c>
      <c r="N282" s="15" t="n">
        <v>15</v>
      </c>
      <c r="O282" s="15" t="inlineStr">
        <is>
          <t>Đã mở</t>
        </is>
      </c>
      <c r="P282" s="15" t="n"/>
    </row>
    <row r="283" hidden="1" ht="15.75" customHeight="1" s="57">
      <c r="A283" s="7" t="inlineStr">
        <is>
          <t>Lâm Đồng</t>
        </is>
      </c>
      <c r="B283" s="7" t="n">
        <v>1839</v>
      </c>
      <c r="C283" s="7" t="inlineStr">
        <is>
          <t>Huyện Bảo Lâm</t>
        </is>
      </c>
      <c r="D283" s="7" t="n">
        <v>42111</v>
      </c>
      <c r="E283" s="7" t="inlineStr">
        <is>
          <t>Thị trấn Lộc Thắng</t>
        </is>
      </c>
      <c r="F283" s="7" t="n">
        <v>22222000</v>
      </c>
      <c r="G283" s="7" t="inlineStr">
        <is>
          <t xml:space="preserve">Bưu Cục 337 Hùng Vương-Lộc Thắng-Bảo Lâm-Lâm Đồng </t>
        </is>
      </c>
      <c r="H283" s="15" t="n">
        <v>22222000</v>
      </c>
      <c r="I283" s="15" t="inlineStr">
        <is>
          <t xml:space="preserve">Bưu Cục 337 Hùng Vương-Lộc Thắng-Bảo Lâm-Lâm Đồng </t>
        </is>
      </c>
      <c r="J283" s="15" t="b">
        <v>1</v>
      </c>
      <c r="K283" s="15" t="inlineStr">
        <is>
          <t>A</t>
        </is>
      </c>
      <c r="L283" s="16" t="n">
        <v>1</v>
      </c>
      <c r="M283" s="15" t="n">
        <v>20</v>
      </c>
      <c r="N283" s="15" t="n">
        <v>15</v>
      </c>
      <c r="O283" s="15" t="inlineStr">
        <is>
          <t>Đã mở</t>
        </is>
      </c>
      <c r="P283" s="15" t="n"/>
    </row>
    <row r="284" hidden="1" ht="15.75" customHeight="1" s="57">
      <c r="A284" s="7" t="inlineStr">
        <is>
          <t>Lâm Đồng</t>
        </is>
      </c>
      <c r="B284" s="7" t="n">
        <v>1839</v>
      </c>
      <c r="C284" s="7" t="inlineStr">
        <is>
          <t>Huyện Bảo Lâm</t>
        </is>
      </c>
      <c r="D284" s="7" t="n">
        <v>761202</v>
      </c>
      <c r="E284" s="7" t="inlineStr">
        <is>
          <t>Xã B' Lá</t>
        </is>
      </c>
      <c r="F284" s="7" t="n">
        <v>22222000</v>
      </c>
      <c r="G284" s="7" t="inlineStr">
        <is>
          <t xml:space="preserve">Bưu Cục 337 Hùng Vương-Lộc Thắng-Bảo Lâm-Lâm Đồng </t>
        </is>
      </c>
      <c r="H284" s="15" t="n">
        <v>22222000</v>
      </c>
      <c r="I284" s="15" t="inlineStr">
        <is>
          <t xml:space="preserve">Bưu Cục 337 Hùng Vương-Lộc Thắng-Bảo Lâm-Lâm Đồng </t>
        </is>
      </c>
      <c r="J284" s="15" t="b">
        <v>0</v>
      </c>
      <c r="K284" s="15" t="inlineStr">
        <is>
          <t>C</t>
        </is>
      </c>
      <c r="L284" s="16" t="n">
        <v>0</v>
      </c>
      <c r="M284" s="15" t="n"/>
      <c r="N284" s="15" t="n"/>
      <c r="O284" s="15" t="inlineStr">
        <is>
          <t>Chưa mở</t>
        </is>
      </c>
      <c r="P284" s="15" t="n"/>
    </row>
    <row r="285" hidden="1" ht="15.75" customHeight="1" s="57">
      <c r="A285" s="7" t="inlineStr">
        <is>
          <t>Lâm Đồng</t>
        </is>
      </c>
      <c r="B285" s="7" t="n">
        <v>1839</v>
      </c>
      <c r="C285" s="7" t="inlineStr">
        <is>
          <t>Huyện Bảo Lâm</t>
        </is>
      </c>
      <c r="D285" s="7" t="n">
        <v>761203</v>
      </c>
      <c r="E285" s="7" t="inlineStr">
        <is>
          <t>Xã Lộc An</t>
        </is>
      </c>
      <c r="F285" s="7" t="n">
        <v>21688000</v>
      </c>
      <c r="G285" s="7" t="inlineStr">
        <is>
          <t>Bưu Cục 412 Nguyễn Văn Cừ-Lộc Phát-Bảo Lộc-Lâm Đồng</t>
        </is>
      </c>
      <c r="H285" s="15" t="n">
        <v>21688000</v>
      </c>
      <c r="I285" s="15" t="inlineStr">
        <is>
          <t>Bưu Cục 412 Nguyễn Văn Cừ-Lộc Phát-Bảo Lộc-Lâm Đồng</t>
        </is>
      </c>
      <c r="J285" s="15" t="b">
        <v>1</v>
      </c>
      <c r="K285" s="15" t="inlineStr">
        <is>
          <t>A</t>
        </is>
      </c>
      <c r="L285" s="16" t="n">
        <v>1</v>
      </c>
      <c r="M285" s="15" t="n">
        <v>20</v>
      </c>
      <c r="N285" s="15" t="n">
        <v>15</v>
      </c>
      <c r="O285" s="15" t="inlineStr">
        <is>
          <t>Đã mở</t>
        </is>
      </c>
      <c r="P285" s="15" t="n"/>
    </row>
    <row r="286" hidden="1" ht="15.75" customHeight="1" s="57">
      <c r="A286" s="7" t="inlineStr">
        <is>
          <t>Lâm Đồng</t>
        </is>
      </c>
      <c r="B286" s="7" t="n">
        <v>1839</v>
      </c>
      <c r="C286" s="7" t="inlineStr">
        <is>
          <t>Huyện Bảo Lâm</t>
        </is>
      </c>
      <c r="D286" s="7" t="n">
        <v>761204</v>
      </c>
      <c r="E286" s="7" t="inlineStr">
        <is>
          <t>Xã Lộc Bắc</t>
        </is>
      </c>
      <c r="F286" s="7" t="n">
        <v>20663000</v>
      </c>
      <c r="G286" s="7" t="inlineStr">
        <is>
          <t xml:space="preserve">Bưu Cục 44B Nguyễn Đình Chiểu-Đạ Teh-Lâm Đồng </t>
        </is>
      </c>
      <c r="H286" s="15" t="n">
        <v>20663000</v>
      </c>
      <c r="I286" s="15" t="inlineStr">
        <is>
          <t xml:space="preserve">Bưu Cục 44B Nguyễn Đình Chiểu-Đạ Teh-Lâm Đồng </t>
        </is>
      </c>
      <c r="J286" s="15" t="b">
        <v>0</v>
      </c>
      <c r="K286" s="15" t="inlineStr">
        <is>
          <t>C</t>
        </is>
      </c>
      <c r="L286" s="16" t="n">
        <v>0</v>
      </c>
      <c r="M286" s="15" t="n"/>
      <c r="N286" s="15" t="n"/>
      <c r="O286" s="15" t="inlineStr">
        <is>
          <t>Chưa mở</t>
        </is>
      </c>
      <c r="P286" s="15" t="n"/>
    </row>
    <row r="287" hidden="1" ht="15.75" customHeight="1" s="57">
      <c r="A287" s="7" t="inlineStr">
        <is>
          <t>Lâm Đồng</t>
        </is>
      </c>
      <c r="B287" s="7" t="n">
        <v>1839</v>
      </c>
      <c r="C287" s="7" t="inlineStr">
        <is>
          <t>Huyện Bảo Lâm</t>
        </is>
      </c>
      <c r="D287" s="7" t="n">
        <v>761205</v>
      </c>
      <c r="E287" s="7" t="inlineStr">
        <is>
          <t>Xã Lộc Bảo</t>
        </is>
      </c>
      <c r="F287" s="7" t="n">
        <v>20663000</v>
      </c>
      <c r="G287" s="7" t="inlineStr">
        <is>
          <t xml:space="preserve">Bưu Cục 44B Nguyễn Đình Chiểu-Đạ Teh-Lâm Đồng </t>
        </is>
      </c>
      <c r="H287" s="15" t="n">
        <v>20663000</v>
      </c>
      <c r="I287" s="15" t="inlineStr">
        <is>
          <t xml:space="preserve">Bưu Cục 44B Nguyễn Đình Chiểu-Đạ Teh-Lâm Đồng </t>
        </is>
      </c>
      <c r="J287" s="15" t="b">
        <v>0</v>
      </c>
      <c r="K287" s="15" t="inlineStr">
        <is>
          <t>C</t>
        </is>
      </c>
      <c r="L287" s="16" t="n">
        <v>0</v>
      </c>
      <c r="M287" s="15" t="n"/>
      <c r="N287" s="15" t="n"/>
      <c r="O287" s="15" t="inlineStr">
        <is>
          <t>Chưa mở</t>
        </is>
      </c>
      <c r="P287" s="15" t="n"/>
    </row>
    <row r="288" hidden="1" ht="15.75" customHeight="1" s="57">
      <c r="A288" s="7" t="inlineStr">
        <is>
          <t>Lâm Đồng</t>
        </is>
      </c>
      <c r="B288" s="7" t="n">
        <v>1839</v>
      </c>
      <c r="C288" s="7" t="inlineStr">
        <is>
          <t>Huyện Bảo Lâm</t>
        </is>
      </c>
      <c r="D288" s="7" t="n">
        <v>761206</v>
      </c>
      <c r="E288" s="7" t="inlineStr">
        <is>
          <t>Xã Lộc Đức</t>
        </is>
      </c>
      <c r="F288" s="7" t="n">
        <v>21688000</v>
      </c>
      <c r="G288" s="7" t="inlineStr">
        <is>
          <t>Bưu Cục 412 Nguyễn Văn Cừ-Lộc Phát-Bảo Lộc-Lâm Đồng</t>
        </is>
      </c>
      <c r="H288" s="15" t="n">
        <v>21688000</v>
      </c>
      <c r="I288" s="15" t="inlineStr">
        <is>
          <t>Bưu Cục 412 Nguyễn Văn Cừ-Lộc Phát-Bảo Lộc-Lâm Đồng</t>
        </is>
      </c>
      <c r="J288" s="15" t="b">
        <v>1</v>
      </c>
      <c r="K288" s="15" t="inlineStr">
        <is>
          <t>A</t>
        </is>
      </c>
      <c r="L288" s="16" t="n">
        <v>1</v>
      </c>
      <c r="M288" s="15" t="n">
        <v>20</v>
      </c>
      <c r="N288" s="15" t="n">
        <v>15</v>
      </c>
      <c r="O288" s="15" t="inlineStr">
        <is>
          <t>Đã mở</t>
        </is>
      </c>
      <c r="P288" s="15" t="n"/>
    </row>
    <row r="289" hidden="1" ht="15.75" customHeight="1" s="57">
      <c r="A289" s="7" t="inlineStr">
        <is>
          <t>Lâm Đồng</t>
        </is>
      </c>
      <c r="B289" s="7" t="n">
        <v>1839</v>
      </c>
      <c r="C289" s="7" t="inlineStr">
        <is>
          <t>Huyện Bảo Lâm</t>
        </is>
      </c>
      <c r="D289" s="7" t="n">
        <v>761207</v>
      </c>
      <c r="E289" s="7" t="inlineStr">
        <is>
          <t>Xã Lộc Lâm</t>
        </is>
      </c>
      <c r="F289" s="7" t="n">
        <v>22222000</v>
      </c>
      <c r="G289" s="7" t="inlineStr">
        <is>
          <t xml:space="preserve">Bưu Cục 337 Hùng Vương-Lộc Thắng-Bảo Lâm-Lâm Đồng </t>
        </is>
      </c>
      <c r="H289" s="15" t="n">
        <v>22222000</v>
      </c>
      <c r="I289" s="15" t="inlineStr">
        <is>
          <t xml:space="preserve">Bưu Cục 337 Hùng Vương-Lộc Thắng-Bảo Lâm-Lâm Đồng </t>
        </is>
      </c>
      <c r="J289" s="15" t="b">
        <v>0</v>
      </c>
      <c r="K289" s="15" t="inlineStr">
        <is>
          <t>C</t>
        </is>
      </c>
      <c r="L289" s="16" t="n">
        <v>0</v>
      </c>
      <c r="M289" s="15" t="n"/>
      <c r="N289" s="15" t="n"/>
      <c r="O289" s="15" t="inlineStr">
        <is>
          <t>Chưa mở</t>
        </is>
      </c>
      <c r="P289" s="15" t="n"/>
    </row>
    <row r="290" hidden="1" ht="15.75" customHeight="1" s="57">
      <c r="A290" s="7" t="inlineStr">
        <is>
          <t>Lâm Đồng</t>
        </is>
      </c>
      <c r="B290" s="7" t="n">
        <v>1839</v>
      </c>
      <c r="C290" s="7" t="inlineStr">
        <is>
          <t>Huyện Bảo Lâm</t>
        </is>
      </c>
      <c r="D290" s="7" t="n">
        <v>761208</v>
      </c>
      <c r="E290" s="7" t="inlineStr">
        <is>
          <t>Xã Lộc Nam</t>
        </is>
      </c>
      <c r="F290" s="7" t="n">
        <v>20785000</v>
      </c>
      <c r="G290" s="7" t="inlineStr">
        <is>
          <t>Bưu Cục 95A Đội Cấn-Bảo Lộc-Lâm Đồng</t>
        </is>
      </c>
      <c r="H290" s="15" t="n">
        <v>20785000</v>
      </c>
      <c r="I290" s="15" t="inlineStr">
        <is>
          <t>Bưu Cục 95A Đội Cấn-Bảo Lộc-Lâm Đồng</t>
        </is>
      </c>
      <c r="J290" s="15" t="b">
        <v>0</v>
      </c>
      <c r="K290" s="15" t="inlineStr">
        <is>
          <t>C</t>
        </is>
      </c>
      <c r="L290" s="16" t="n">
        <v>0</v>
      </c>
      <c r="M290" s="15" t="n"/>
      <c r="N290" s="15" t="n"/>
      <c r="O290" s="15" t="inlineStr">
        <is>
          <t>Chưa mở</t>
        </is>
      </c>
      <c r="P290" s="15" t="n"/>
    </row>
    <row r="291" hidden="1" ht="15.75" customHeight="1" s="57">
      <c r="A291" s="7" t="inlineStr">
        <is>
          <t>Lâm Đồng</t>
        </is>
      </c>
      <c r="B291" s="7" t="n">
        <v>1839</v>
      </c>
      <c r="C291" s="7" t="inlineStr">
        <is>
          <t>Huyện Bảo Lâm</t>
        </is>
      </c>
      <c r="D291" s="7" t="n">
        <v>761209</v>
      </c>
      <c r="E291" s="7" t="inlineStr">
        <is>
          <t>Xã Lộc Ngãi</t>
        </is>
      </c>
      <c r="F291" s="7" t="n">
        <v>22222000</v>
      </c>
      <c r="G291" s="7" t="inlineStr">
        <is>
          <t xml:space="preserve">Bưu Cục 337 Hùng Vương-Lộc Thắng-Bảo Lâm-Lâm Đồng </t>
        </is>
      </c>
      <c r="H291" s="15" t="n">
        <v>22222000</v>
      </c>
      <c r="I291" s="15" t="inlineStr">
        <is>
          <t xml:space="preserve">Bưu Cục 337 Hùng Vương-Lộc Thắng-Bảo Lâm-Lâm Đồng </t>
        </is>
      </c>
      <c r="J291" s="15" t="b">
        <v>1</v>
      </c>
      <c r="K291" s="15" t="inlineStr">
        <is>
          <t>A</t>
        </is>
      </c>
      <c r="L291" s="16" t="n">
        <v>1</v>
      </c>
      <c r="M291" s="15" t="n">
        <v>20</v>
      </c>
      <c r="N291" s="15" t="n">
        <v>15</v>
      </c>
      <c r="O291" s="15" t="inlineStr">
        <is>
          <t>Đã mở</t>
        </is>
      </c>
      <c r="P291" s="15" t="n"/>
    </row>
    <row r="292" hidden="1" ht="15.75" customHeight="1" s="57">
      <c r="A292" s="7" t="inlineStr">
        <is>
          <t>Lâm Đồng</t>
        </is>
      </c>
      <c r="B292" s="7" t="n">
        <v>1839</v>
      </c>
      <c r="C292" s="7" t="inlineStr">
        <is>
          <t>Huyện Bảo Lâm</t>
        </is>
      </c>
      <c r="D292" s="7" t="n">
        <v>761210</v>
      </c>
      <c r="E292" s="7" t="inlineStr">
        <is>
          <t>Xã Lộc Phú</t>
        </is>
      </c>
      <c r="F292" s="7" t="n">
        <v>22222000</v>
      </c>
      <c r="G292" s="7" t="inlineStr">
        <is>
          <t xml:space="preserve">Bưu Cục 337 Hùng Vương-Lộc Thắng-Bảo Lâm-Lâm Đồng </t>
        </is>
      </c>
      <c r="H292" s="15" t="n">
        <v>22222000</v>
      </c>
      <c r="I292" s="15" t="inlineStr">
        <is>
          <t xml:space="preserve">Bưu Cục 337 Hùng Vương-Lộc Thắng-Bảo Lâm-Lâm Đồng </t>
        </is>
      </c>
      <c r="J292" s="15" t="b">
        <v>0</v>
      </c>
      <c r="K292" s="15" t="inlineStr">
        <is>
          <t>C</t>
        </is>
      </c>
      <c r="L292" s="16" t="n">
        <v>0</v>
      </c>
      <c r="M292" s="15" t="n"/>
      <c r="N292" s="15" t="n"/>
      <c r="O292" s="15" t="inlineStr">
        <is>
          <t>Chưa mở</t>
        </is>
      </c>
      <c r="P292" s="15" t="n"/>
    </row>
    <row r="293" hidden="1" ht="15.75" customHeight="1" s="57">
      <c r="A293" s="7" t="inlineStr">
        <is>
          <t>Lâm Đồng</t>
        </is>
      </c>
      <c r="B293" s="7" t="n">
        <v>1839</v>
      </c>
      <c r="C293" s="7" t="inlineStr">
        <is>
          <t>Huyện Bảo Lâm</t>
        </is>
      </c>
      <c r="D293" s="7" t="n">
        <v>761211</v>
      </c>
      <c r="E293" s="7" t="inlineStr">
        <is>
          <t>Xã Lộc Quảng</t>
        </is>
      </c>
      <c r="F293" s="7" t="n">
        <v>22222000</v>
      </c>
      <c r="G293" s="7" t="inlineStr">
        <is>
          <t xml:space="preserve">Bưu Cục 337 Hùng Vương-Lộc Thắng-Bảo Lâm-Lâm Đồng </t>
        </is>
      </c>
      <c r="H293" s="15" t="n">
        <v>22222000</v>
      </c>
      <c r="I293" s="15" t="inlineStr">
        <is>
          <t xml:space="preserve">Bưu Cục 337 Hùng Vương-Lộc Thắng-Bảo Lâm-Lâm Đồng </t>
        </is>
      </c>
      <c r="J293" s="15" t="b">
        <v>1</v>
      </c>
      <c r="K293" s="15" t="inlineStr">
        <is>
          <t>A</t>
        </is>
      </c>
      <c r="L293" s="16" t="n">
        <v>1</v>
      </c>
      <c r="M293" s="15" t="n">
        <v>20</v>
      </c>
      <c r="N293" s="15" t="n">
        <v>15</v>
      </c>
      <c r="O293" s="15" t="inlineStr">
        <is>
          <t>Đã mở</t>
        </is>
      </c>
      <c r="P293" s="15" t="n"/>
    </row>
    <row r="294" hidden="1" ht="15.75" customHeight="1" s="57">
      <c r="A294" s="7" t="inlineStr">
        <is>
          <t>Lâm Đồng</t>
        </is>
      </c>
      <c r="B294" s="7" t="n">
        <v>1839</v>
      </c>
      <c r="C294" s="7" t="inlineStr">
        <is>
          <t>Huyện Bảo Lâm</t>
        </is>
      </c>
      <c r="D294" s="7" t="n">
        <v>761212</v>
      </c>
      <c r="E294" s="7" t="inlineStr">
        <is>
          <t>Xã Lộc Tân</t>
        </is>
      </c>
      <c r="F294" s="7" t="n">
        <v>21468000</v>
      </c>
      <c r="G294" s="7" t="inlineStr">
        <is>
          <t>Bưu cục 1479 Trần Phú-Lộc Châu-Bảo Lộc-Lâm Đồng</t>
        </is>
      </c>
      <c r="H294" s="15" t="n">
        <v>21468000</v>
      </c>
      <c r="I294" s="15" t="inlineStr">
        <is>
          <t>Bưu cục 1479 Trần Phú-Lộc Châu-Bảo Lộc-Lâm Đồng</t>
        </is>
      </c>
      <c r="J294" s="15" t="b">
        <v>0</v>
      </c>
      <c r="K294" s="15" t="inlineStr">
        <is>
          <t>C</t>
        </is>
      </c>
      <c r="L294" s="16" t="n">
        <v>0</v>
      </c>
      <c r="M294" s="15" t="n"/>
      <c r="N294" s="15" t="n"/>
      <c r="O294" s="15" t="inlineStr">
        <is>
          <t>Chưa mở</t>
        </is>
      </c>
      <c r="P294" s="15" t="n"/>
    </row>
    <row r="295" hidden="1" ht="15.75" customHeight="1" s="57">
      <c r="A295" s="7" t="inlineStr">
        <is>
          <t>Lâm Đồng</t>
        </is>
      </c>
      <c r="B295" s="7" t="n">
        <v>1839</v>
      </c>
      <c r="C295" s="7" t="inlineStr">
        <is>
          <t>Huyện Bảo Lâm</t>
        </is>
      </c>
      <c r="D295" s="7" t="n">
        <v>761213</v>
      </c>
      <c r="E295" s="7" t="inlineStr">
        <is>
          <t>Xã Lộc Thành</t>
        </is>
      </c>
      <c r="F295" s="7" t="n">
        <v>20785000</v>
      </c>
      <c r="G295" s="7" t="inlineStr">
        <is>
          <t>Bưu Cục 95A Đội Cấn-Bảo Lộc-Lâm Đồng</t>
        </is>
      </c>
      <c r="H295" s="15" t="n">
        <v>20785000</v>
      </c>
      <c r="I295" s="15" t="inlineStr">
        <is>
          <t>Bưu Cục 95A Đội Cấn-Bảo Lộc-Lâm Đồng</t>
        </is>
      </c>
      <c r="J295" s="15" t="b">
        <v>0</v>
      </c>
      <c r="K295" s="15" t="inlineStr">
        <is>
          <t>C</t>
        </is>
      </c>
      <c r="L295" s="16" t="n">
        <v>0</v>
      </c>
      <c r="M295" s="15" t="n"/>
      <c r="N295" s="15" t="n"/>
      <c r="O295" s="15" t="inlineStr">
        <is>
          <t>Chưa mở</t>
        </is>
      </c>
      <c r="P295" s="15" t="n"/>
    </row>
    <row r="296" hidden="1" ht="15.75" customHeight="1" s="57">
      <c r="A296" s="7" t="inlineStr">
        <is>
          <t>Lâm Đồng</t>
        </is>
      </c>
      <c r="B296" s="7" t="n">
        <v>1839</v>
      </c>
      <c r="C296" s="7" t="inlineStr">
        <is>
          <t>Huyện Bảo Lâm</t>
        </is>
      </c>
      <c r="D296" s="7" t="n">
        <v>761214</v>
      </c>
      <c r="E296" s="7" t="inlineStr">
        <is>
          <t>Xã Tân Lạc</t>
        </is>
      </c>
      <c r="F296" s="7" t="n">
        <v>20785000</v>
      </c>
      <c r="G296" s="7" t="inlineStr">
        <is>
          <t>Bưu Cục 95A Đội Cấn-Bảo Lộc-Lâm Đồng</t>
        </is>
      </c>
      <c r="H296" s="15" t="n">
        <v>20785000</v>
      </c>
      <c r="I296" s="15" t="inlineStr">
        <is>
          <t>Bưu Cục 95A Đội Cấn-Bảo Lộc-Lâm Đồng</t>
        </is>
      </c>
      <c r="J296" s="15" t="b">
        <v>0</v>
      </c>
      <c r="K296" s="15" t="inlineStr">
        <is>
          <t>C</t>
        </is>
      </c>
      <c r="L296" s="16" t="n">
        <v>0</v>
      </c>
      <c r="M296" s="15" t="n"/>
      <c r="N296" s="15" t="n"/>
      <c r="O296" s="15" t="inlineStr">
        <is>
          <t>Chưa mở</t>
        </is>
      </c>
      <c r="P296" s="15" t="n"/>
    </row>
    <row r="297" hidden="1" ht="15.75" customHeight="1" s="57">
      <c r="A297" s="7" t="inlineStr">
        <is>
          <t>Lâm Đồng</t>
        </is>
      </c>
      <c r="B297" s="7" t="n">
        <v>1839</v>
      </c>
      <c r="C297" s="7" t="inlineStr">
        <is>
          <t>Huyện Bảo Lâm</t>
        </is>
      </c>
      <c r="D297" s="7" t="n">
        <v>90772</v>
      </c>
      <c r="E297" s="7" t="inlineStr">
        <is>
          <t>Xã Nam Quang</t>
        </is>
      </c>
      <c r="F297" s="7" t="n">
        <v>20785000</v>
      </c>
      <c r="G297" s="7" t="inlineStr">
        <is>
          <t>Bưu Cục 95A Đội Cấn-Bảo Lộc-Lâm Đồng</t>
        </is>
      </c>
      <c r="H297" s="15" t="n">
        <v>20785000</v>
      </c>
      <c r="I297" s="15" t="inlineStr">
        <is>
          <t>Bưu Cục 95A Đội Cấn-Bảo Lộc-Lâm Đồng</t>
        </is>
      </c>
      <c r="J297" s="15" t="b">
        <v>0</v>
      </c>
      <c r="K297" s="15" t="inlineStr">
        <is>
          <t>C</t>
        </is>
      </c>
      <c r="L297" s="16" t="n">
        <v>0</v>
      </c>
      <c r="M297" s="15" t="n"/>
      <c r="N297" s="15" t="n"/>
      <c r="O297" s="15" t="inlineStr">
        <is>
          <t>Chưa mở</t>
        </is>
      </c>
      <c r="P297" s="15" t="n"/>
    </row>
    <row r="298" hidden="1" ht="15.75" customHeight="1" s="57">
      <c r="A298" s="7" t="inlineStr">
        <is>
          <t>Ninh Thuận</t>
        </is>
      </c>
      <c r="B298" s="7" t="n">
        <v>1855</v>
      </c>
      <c r="C298" s="7" t="inlineStr">
        <is>
          <t>Huyện Ninh Sơn</t>
        </is>
      </c>
      <c r="D298" s="7" t="n">
        <v>450201</v>
      </c>
      <c r="E298" s="7" t="inlineStr">
        <is>
          <t>Thị trấn Tân Sơn</t>
        </is>
      </c>
      <c r="F298" s="7" t="n">
        <v>20316000</v>
      </c>
      <c r="G298" s="7" t="inlineStr">
        <is>
          <t>Bưu Cục 26A Lê Duẩn-Ninh Sơn-Ninh Thuận</t>
        </is>
      </c>
      <c r="H298" s="15" t="n">
        <v>20316000</v>
      </c>
      <c r="I298" s="15" t="inlineStr">
        <is>
          <t>Bưu Cục 26A Lê Duẩn-Ninh Sơn-Ninh Thuận</t>
        </is>
      </c>
      <c r="J298" s="15" t="b">
        <v>0</v>
      </c>
      <c r="K298" s="15" t="inlineStr">
        <is>
          <t>C</t>
        </is>
      </c>
      <c r="L298" s="16" t="n">
        <v>0</v>
      </c>
      <c r="M298" s="15" t="n"/>
      <c r="N298" s="15" t="n"/>
      <c r="O298" s="15" t="inlineStr">
        <is>
          <t>Chưa mở</t>
        </is>
      </c>
      <c r="P298" s="15" t="n"/>
    </row>
    <row r="299" hidden="1" ht="15.75" customHeight="1" s="57">
      <c r="A299" s="7" t="inlineStr">
        <is>
          <t>Ninh Thuận</t>
        </is>
      </c>
      <c r="B299" s="7" t="n">
        <v>1855</v>
      </c>
      <c r="C299" s="7" t="inlineStr">
        <is>
          <t>Huyện Ninh Sơn</t>
        </is>
      </c>
      <c r="D299" s="7" t="n">
        <v>450202</v>
      </c>
      <c r="E299" s="7" t="inlineStr">
        <is>
          <t>Xã Hòa Sơn</t>
        </is>
      </c>
      <c r="F299" s="7" t="n">
        <v>20316000</v>
      </c>
      <c r="G299" s="7" t="inlineStr">
        <is>
          <t>Bưu Cục 26A Lê Duẩn-Ninh Sơn-Ninh Thuận</t>
        </is>
      </c>
      <c r="H299" s="15" t="n">
        <v>20316000</v>
      </c>
      <c r="I299" s="15" t="inlineStr">
        <is>
          <t>Bưu Cục 26A Lê Duẩn-Ninh Sơn-Ninh Thuận</t>
        </is>
      </c>
      <c r="J299" s="15" t="b">
        <v>0</v>
      </c>
      <c r="K299" s="15" t="inlineStr">
        <is>
          <t>C</t>
        </is>
      </c>
      <c r="L299" s="16" t="n">
        <v>0</v>
      </c>
      <c r="M299" s="15" t="n"/>
      <c r="N299" s="15" t="n"/>
      <c r="O299" s="15" t="inlineStr">
        <is>
          <t>Chưa mở</t>
        </is>
      </c>
      <c r="P299" s="15" t="n"/>
    </row>
    <row r="300" hidden="1" ht="15.75" customHeight="1" s="57">
      <c r="A300" s="7" t="inlineStr">
        <is>
          <t>Ninh Thuận</t>
        </is>
      </c>
      <c r="B300" s="7" t="n">
        <v>1855</v>
      </c>
      <c r="C300" s="7" t="inlineStr">
        <is>
          <t>Huyện Ninh Sơn</t>
        </is>
      </c>
      <c r="D300" s="7" t="n">
        <v>450203</v>
      </c>
      <c r="E300" s="7" t="inlineStr">
        <is>
          <t>Xã Lâm Sơn</t>
        </is>
      </c>
      <c r="F300" s="7" t="n">
        <v>20316000</v>
      </c>
      <c r="G300" s="7" t="inlineStr">
        <is>
          <t>Bưu Cục 26A Lê Duẩn-Ninh Sơn-Ninh Thuận</t>
        </is>
      </c>
      <c r="H300" s="15" t="n">
        <v>20316000</v>
      </c>
      <c r="I300" s="15" t="inlineStr">
        <is>
          <t>Bưu Cục 26A Lê Duẩn-Ninh Sơn-Ninh Thuận</t>
        </is>
      </c>
      <c r="J300" s="15" t="b">
        <v>0</v>
      </c>
      <c r="K300" s="15" t="inlineStr">
        <is>
          <t>C</t>
        </is>
      </c>
      <c r="L300" s="16" t="n">
        <v>0</v>
      </c>
      <c r="M300" s="15" t="n"/>
      <c r="N300" s="15" t="n"/>
      <c r="O300" s="15" t="inlineStr">
        <is>
          <t>Chưa mở</t>
        </is>
      </c>
      <c r="P300" s="15" t="n"/>
    </row>
    <row r="301" hidden="1" ht="15.75" customHeight="1" s="57">
      <c r="A301" s="7" t="inlineStr">
        <is>
          <t>Ninh Thuận</t>
        </is>
      </c>
      <c r="B301" s="7" t="n">
        <v>1855</v>
      </c>
      <c r="C301" s="7" t="inlineStr">
        <is>
          <t>Huyện Ninh Sơn</t>
        </is>
      </c>
      <c r="D301" s="7" t="n">
        <v>450204</v>
      </c>
      <c r="E301" s="7" t="inlineStr">
        <is>
          <t>Xã Lương Sơn</t>
        </is>
      </c>
      <c r="F301" s="7" t="n">
        <v>20316000</v>
      </c>
      <c r="G301" s="7" t="inlineStr">
        <is>
          <t>Bưu Cục 26A Lê Duẩn-Ninh Sơn-Ninh Thuận</t>
        </is>
      </c>
      <c r="H301" s="15" t="n">
        <v>20316000</v>
      </c>
      <c r="I301" s="15" t="inlineStr">
        <is>
          <t>Bưu Cục 26A Lê Duẩn-Ninh Sơn-Ninh Thuận</t>
        </is>
      </c>
      <c r="J301" s="15" t="b">
        <v>0</v>
      </c>
      <c r="K301" s="15" t="inlineStr">
        <is>
          <t>C</t>
        </is>
      </c>
      <c r="L301" s="16" t="n">
        <v>0</v>
      </c>
      <c r="M301" s="15" t="n"/>
      <c r="N301" s="15" t="n"/>
      <c r="O301" s="15" t="inlineStr">
        <is>
          <t>Chưa mở</t>
        </is>
      </c>
      <c r="P301" s="15" t="n"/>
    </row>
    <row r="302" hidden="1" ht="15.75" customHeight="1" s="57">
      <c r="A302" s="7" t="inlineStr">
        <is>
          <t>Ninh Thuận</t>
        </is>
      </c>
      <c r="B302" s="7" t="n">
        <v>1855</v>
      </c>
      <c r="C302" s="7" t="inlineStr">
        <is>
          <t>Huyện Ninh Sơn</t>
        </is>
      </c>
      <c r="D302" s="7" t="n">
        <v>450205</v>
      </c>
      <c r="E302" s="7" t="inlineStr">
        <is>
          <t>Xã Ma Nới</t>
        </is>
      </c>
      <c r="F302" s="7" t="n">
        <v>20316000</v>
      </c>
      <c r="G302" s="7" t="inlineStr">
        <is>
          <t>Bưu Cục 26A Lê Duẩn-Ninh Sơn-Ninh Thuận</t>
        </is>
      </c>
      <c r="H302" s="15" t="n">
        <v>20316000</v>
      </c>
      <c r="I302" s="15" t="inlineStr">
        <is>
          <t>Bưu Cục 26A Lê Duẩn-Ninh Sơn-Ninh Thuận</t>
        </is>
      </c>
      <c r="J302" s="15" t="b">
        <v>0</v>
      </c>
      <c r="K302" s="15" t="inlineStr">
        <is>
          <t>C</t>
        </is>
      </c>
      <c r="L302" s="16" t="n">
        <v>0</v>
      </c>
      <c r="M302" s="15" t="n"/>
      <c r="N302" s="15" t="n"/>
      <c r="O302" s="15" t="inlineStr">
        <is>
          <t>Chưa mở</t>
        </is>
      </c>
      <c r="P302" s="15" t="n"/>
    </row>
    <row r="303" hidden="1" ht="15.75" customHeight="1" s="57">
      <c r="A303" s="7" t="inlineStr">
        <is>
          <t>Ninh Thuận</t>
        </is>
      </c>
      <c r="B303" s="7" t="n">
        <v>1855</v>
      </c>
      <c r="C303" s="7" t="inlineStr">
        <is>
          <t>Huyện Ninh Sơn</t>
        </is>
      </c>
      <c r="D303" s="7" t="n">
        <v>450206</v>
      </c>
      <c r="E303" s="7" t="inlineStr">
        <is>
          <t>Xã Mỹ Sơn</t>
        </is>
      </c>
      <c r="F303" s="7" t="n">
        <v>20316000</v>
      </c>
      <c r="G303" s="7" t="inlineStr">
        <is>
          <t>Bưu Cục 26A Lê Duẩn-Ninh Sơn-Ninh Thuận</t>
        </is>
      </c>
      <c r="H303" s="15" t="n">
        <v>20316000</v>
      </c>
      <c r="I303" s="15" t="inlineStr">
        <is>
          <t>Bưu Cục 26A Lê Duẩn-Ninh Sơn-Ninh Thuận</t>
        </is>
      </c>
      <c r="J303" s="15" t="b">
        <v>0</v>
      </c>
      <c r="K303" s="15" t="inlineStr">
        <is>
          <t>C</t>
        </is>
      </c>
      <c r="L303" s="16" t="n">
        <v>0</v>
      </c>
      <c r="M303" s="15" t="n"/>
      <c r="N303" s="15" t="n"/>
      <c r="O303" s="15" t="inlineStr">
        <is>
          <t>Chưa mở</t>
        </is>
      </c>
      <c r="P303" s="15" t="n"/>
    </row>
    <row r="304" hidden="1" ht="15.75" customHeight="1" s="57">
      <c r="A304" s="7" t="inlineStr">
        <is>
          <t>Ninh Thuận</t>
        </is>
      </c>
      <c r="B304" s="7" t="n">
        <v>1855</v>
      </c>
      <c r="C304" s="7" t="inlineStr">
        <is>
          <t>Huyện Ninh Sơn</t>
        </is>
      </c>
      <c r="D304" s="7" t="n">
        <v>450207</v>
      </c>
      <c r="E304" s="7" t="inlineStr">
        <is>
          <t>Xã Nhơn Sơn</t>
        </is>
      </c>
      <c r="F304" s="7" t="n">
        <v>20150000</v>
      </c>
      <c r="G304" s="7" t="inlineStr">
        <is>
          <t>Bưu Cục 254A Đường 21 tháng 8-Phan Rang-Tháp Chàm-Ninh Thuận</t>
        </is>
      </c>
      <c r="H304" s="15" t="n">
        <v>20150000</v>
      </c>
      <c r="I304" s="15" t="inlineStr">
        <is>
          <t>Bưu Cục 254A Đường 21 tháng 8-Phan Rang-Tháp Chàm-Ninh Thuận</t>
        </is>
      </c>
      <c r="J304" s="15" t="b">
        <v>0</v>
      </c>
      <c r="K304" s="15" t="inlineStr">
        <is>
          <t>C</t>
        </is>
      </c>
      <c r="L304" s="16" t="n">
        <v>0</v>
      </c>
      <c r="M304" s="15" t="n"/>
      <c r="N304" s="15" t="n"/>
      <c r="O304" s="15" t="inlineStr">
        <is>
          <t>Chưa mở</t>
        </is>
      </c>
      <c r="P304" s="15" t="n"/>
    </row>
    <row r="305" hidden="1" ht="15.75" customHeight="1" s="57">
      <c r="A305" s="7" t="inlineStr">
        <is>
          <t>Ninh Thuận</t>
        </is>
      </c>
      <c r="B305" s="7" t="n">
        <v>1855</v>
      </c>
      <c r="C305" s="7" t="inlineStr">
        <is>
          <t>Huyện Ninh Sơn</t>
        </is>
      </c>
      <c r="D305" s="7" t="n">
        <v>450208</v>
      </c>
      <c r="E305" s="7" t="inlineStr">
        <is>
          <t>Xã Quảng Sơn</t>
        </is>
      </c>
      <c r="F305" s="7" t="n">
        <v>20316000</v>
      </c>
      <c r="G305" s="7" t="inlineStr">
        <is>
          <t>Bưu Cục 26A Lê Duẩn-Ninh Sơn-Ninh Thuận</t>
        </is>
      </c>
      <c r="H305" s="15" t="n">
        <v>20316000</v>
      </c>
      <c r="I305" s="15" t="inlineStr">
        <is>
          <t>Bưu Cục 26A Lê Duẩn-Ninh Sơn-Ninh Thuận</t>
        </is>
      </c>
      <c r="J305" s="15" t="b">
        <v>0</v>
      </c>
      <c r="K305" s="15" t="inlineStr">
        <is>
          <t>C</t>
        </is>
      </c>
      <c r="L305" s="16" t="n">
        <v>0</v>
      </c>
      <c r="M305" s="15" t="n"/>
      <c r="N305" s="15" t="n"/>
      <c r="O305" s="15" t="inlineStr">
        <is>
          <t>Chưa mở</t>
        </is>
      </c>
      <c r="P305" s="15" t="n"/>
    </row>
    <row r="306" hidden="1" ht="15.75" customHeight="1" s="57">
      <c r="A306" s="7" t="inlineStr">
        <is>
          <t>Khánh Hòa</t>
        </is>
      </c>
      <c r="B306" s="7" t="n">
        <v>1902</v>
      </c>
      <c r="C306" s="7" t="inlineStr">
        <is>
          <t>Huyện Cam Lâm</t>
        </is>
      </c>
      <c r="D306" s="7" t="n">
        <v>410901</v>
      </c>
      <c r="E306" s="7" t="inlineStr">
        <is>
          <t>Thị trấn Cam Đức</t>
        </is>
      </c>
      <c r="F306" s="7" t="n">
        <v>20588000</v>
      </c>
      <c r="G306" s="7" t="inlineStr">
        <is>
          <t>Bưu Cục 42 Nguyễn Du-Cam Lâm-Khánh Hoà</t>
        </is>
      </c>
      <c r="H306" s="15" t="n">
        <v>20588000</v>
      </c>
      <c r="I306" s="15" t="inlineStr">
        <is>
          <t>Bưu Cục 42 Nguyễn Du-Cam Lâm-Khánh Hoà</t>
        </is>
      </c>
      <c r="J306" s="15" t="b">
        <v>1</v>
      </c>
      <c r="K306" s="15" t="inlineStr">
        <is>
          <t>A</t>
        </is>
      </c>
      <c r="L306" s="16" t="n">
        <v>1</v>
      </c>
      <c r="M306" s="15" t="n">
        <v>15</v>
      </c>
      <c r="N306" s="15" t="n">
        <v>15</v>
      </c>
      <c r="O306" s="15" t="inlineStr">
        <is>
          <t>Đã mở</t>
        </is>
      </c>
      <c r="P306" s="15" t="n"/>
    </row>
    <row r="307" hidden="1" ht="15.75" customHeight="1" s="57">
      <c r="A307" s="7" t="inlineStr">
        <is>
          <t>Khánh Hòa</t>
        </is>
      </c>
      <c r="B307" s="7" t="n">
        <v>1902</v>
      </c>
      <c r="C307" s="7" t="inlineStr">
        <is>
          <t>Huyện Cam Lâm</t>
        </is>
      </c>
      <c r="D307" s="7" t="n">
        <v>410902</v>
      </c>
      <c r="E307" s="7" t="inlineStr">
        <is>
          <t>Xã Cam An Bắc</t>
        </is>
      </c>
      <c r="F307" s="7" t="n">
        <v>20588000</v>
      </c>
      <c r="G307" s="7" t="inlineStr">
        <is>
          <t>Bưu Cục 42 Nguyễn Du-Cam Lâm-Khánh Hoà</t>
        </is>
      </c>
      <c r="H307" s="15" t="n">
        <v>20588000</v>
      </c>
      <c r="I307" s="15" t="inlineStr">
        <is>
          <t>Bưu Cục 42 Nguyễn Du-Cam Lâm-Khánh Hoà</t>
        </is>
      </c>
      <c r="J307" s="15" t="b">
        <v>0</v>
      </c>
      <c r="K307" s="15" t="inlineStr">
        <is>
          <t>C</t>
        </is>
      </c>
      <c r="L307" s="16" t="n">
        <v>0</v>
      </c>
      <c r="M307" s="15" t="n"/>
      <c r="N307" s="15" t="n"/>
      <c r="O307" s="15" t="inlineStr">
        <is>
          <t>Chưa mở</t>
        </is>
      </c>
      <c r="P307" s="15" t="n"/>
    </row>
    <row r="308" hidden="1" ht="15.75" customHeight="1" s="57">
      <c r="A308" s="7" t="inlineStr">
        <is>
          <t>Khánh Hòa</t>
        </is>
      </c>
      <c r="B308" s="7" t="n">
        <v>1902</v>
      </c>
      <c r="C308" s="7" t="inlineStr">
        <is>
          <t>Huyện Cam Lâm</t>
        </is>
      </c>
      <c r="D308" s="7" t="n">
        <v>410903</v>
      </c>
      <c r="E308" s="7" t="inlineStr">
        <is>
          <t>Xã Cam An Nam</t>
        </is>
      </c>
      <c r="F308" s="7" t="n">
        <v>20588000</v>
      </c>
      <c r="G308" s="7" t="inlineStr">
        <is>
          <t>Bưu Cục 42 Nguyễn Du-Cam Lâm-Khánh Hoà</t>
        </is>
      </c>
      <c r="H308" s="15" t="n">
        <v>20588000</v>
      </c>
      <c r="I308" s="15" t="inlineStr">
        <is>
          <t>Bưu Cục 42 Nguyễn Du-Cam Lâm-Khánh Hoà</t>
        </is>
      </c>
      <c r="J308" s="15" t="b">
        <v>0</v>
      </c>
      <c r="K308" s="15" t="inlineStr">
        <is>
          <t>C</t>
        </is>
      </c>
      <c r="L308" s="16" t="n">
        <v>0</v>
      </c>
      <c r="M308" s="15" t="n"/>
      <c r="N308" s="15" t="n"/>
      <c r="O308" s="15" t="inlineStr">
        <is>
          <t>Chưa mở</t>
        </is>
      </c>
      <c r="P308" s="15" t="n"/>
    </row>
    <row r="309" hidden="1" ht="15.75" customHeight="1" s="57">
      <c r="A309" s="7" t="inlineStr">
        <is>
          <t>Khánh Hòa</t>
        </is>
      </c>
      <c r="B309" s="7" t="n">
        <v>1902</v>
      </c>
      <c r="C309" s="7" t="inlineStr">
        <is>
          <t>Huyện Cam Lâm</t>
        </is>
      </c>
      <c r="D309" s="7" t="n">
        <v>410904</v>
      </c>
      <c r="E309" s="7" t="inlineStr">
        <is>
          <t>Xã Cam Hải Đông</t>
        </is>
      </c>
      <c r="F309" s="7" t="n">
        <v>20588000</v>
      </c>
      <c r="G309" s="7" t="inlineStr">
        <is>
          <t>Bưu Cục 42 Nguyễn Du-Cam Lâm-Khánh Hoà</t>
        </is>
      </c>
      <c r="H309" s="15" t="n">
        <v>20588000</v>
      </c>
      <c r="I309" s="15" t="inlineStr">
        <is>
          <t>Bưu Cục 42 Nguyễn Du-Cam Lâm-Khánh Hoà</t>
        </is>
      </c>
      <c r="J309" s="15" t="b">
        <v>0</v>
      </c>
      <c r="K309" s="15" t="inlineStr">
        <is>
          <t>C</t>
        </is>
      </c>
      <c r="L309" s="16" t="n">
        <v>0</v>
      </c>
      <c r="M309" s="15" t="n"/>
      <c r="N309" s="15" t="n"/>
      <c r="O309" s="15" t="inlineStr">
        <is>
          <t>Chưa mở</t>
        </is>
      </c>
      <c r="P309" s="15" t="n"/>
    </row>
    <row r="310" hidden="1" ht="15.75" customHeight="1" s="57">
      <c r="A310" s="7" t="inlineStr">
        <is>
          <t>Khánh Hòa</t>
        </is>
      </c>
      <c r="B310" s="7" t="n">
        <v>1902</v>
      </c>
      <c r="C310" s="7" t="inlineStr">
        <is>
          <t>Huyện Cam Lâm</t>
        </is>
      </c>
      <c r="D310" s="7" t="n">
        <v>410905</v>
      </c>
      <c r="E310" s="7" t="inlineStr">
        <is>
          <t>Xã Cam Hải Tây</t>
        </is>
      </c>
      <c r="F310" s="7" t="n">
        <v>20588000</v>
      </c>
      <c r="G310" s="7" t="inlineStr">
        <is>
          <t>Bưu Cục 42 Nguyễn Du-Cam Lâm-Khánh Hoà</t>
        </is>
      </c>
      <c r="H310" s="15" t="n">
        <v>20588000</v>
      </c>
      <c r="I310" s="15" t="inlineStr">
        <is>
          <t>Bưu Cục 42 Nguyễn Du-Cam Lâm-Khánh Hoà</t>
        </is>
      </c>
      <c r="J310" s="15" t="b">
        <v>1</v>
      </c>
      <c r="K310" s="15" t="inlineStr">
        <is>
          <t>C</t>
        </is>
      </c>
      <c r="L310" s="16" t="n">
        <v>0</v>
      </c>
      <c r="M310" s="15" t="n"/>
      <c r="N310" s="15" t="n"/>
      <c r="O310" s="15" t="inlineStr">
        <is>
          <t>Đã mở</t>
        </is>
      </c>
      <c r="P310" s="15" t="n"/>
    </row>
    <row r="311" hidden="1" ht="15.75" customHeight="1" s="57">
      <c r="A311" s="7" t="inlineStr">
        <is>
          <t>Khánh Hòa</t>
        </is>
      </c>
      <c r="B311" s="7" t="n">
        <v>1902</v>
      </c>
      <c r="C311" s="7" t="inlineStr">
        <is>
          <t>Huyện Cam Lâm</t>
        </is>
      </c>
      <c r="D311" s="7" t="n">
        <v>410906</v>
      </c>
      <c r="E311" s="7" t="inlineStr">
        <is>
          <t>Xã Cam Hiệp Bắc</t>
        </is>
      </c>
      <c r="F311" s="7" t="n">
        <v>20588000</v>
      </c>
      <c r="G311" s="7" t="inlineStr">
        <is>
          <t>Bưu Cục 42 Nguyễn Du-Cam Lâm-Khánh Hoà</t>
        </is>
      </c>
      <c r="H311" s="15" t="n">
        <v>20588000</v>
      </c>
      <c r="I311" s="15" t="inlineStr">
        <is>
          <t>Bưu Cục 42 Nguyễn Du-Cam Lâm-Khánh Hoà</t>
        </is>
      </c>
      <c r="J311" s="15" t="b">
        <v>0</v>
      </c>
      <c r="K311" s="15" t="inlineStr">
        <is>
          <t>C</t>
        </is>
      </c>
      <c r="L311" s="16" t="n">
        <v>0</v>
      </c>
      <c r="M311" s="15" t="n"/>
      <c r="N311" s="15" t="n"/>
      <c r="O311" s="15" t="inlineStr">
        <is>
          <t>Chưa mở</t>
        </is>
      </c>
      <c r="P311" s="15" t="n"/>
    </row>
    <row r="312" hidden="1" ht="15.75" customHeight="1" s="57">
      <c r="A312" s="7" t="inlineStr">
        <is>
          <t>Khánh Hòa</t>
        </is>
      </c>
      <c r="B312" s="7" t="n">
        <v>1902</v>
      </c>
      <c r="C312" s="7" t="inlineStr">
        <is>
          <t>Huyện Cam Lâm</t>
        </is>
      </c>
      <c r="D312" s="7" t="n">
        <v>410907</v>
      </c>
      <c r="E312" s="7" t="inlineStr">
        <is>
          <t>Xã Cam Hiệp Nam</t>
        </is>
      </c>
      <c r="F312" s="7" t="n">
        <v>20588000</v>
      </c>
      <c r="G312" s="7" t="inlineStr">
        <is>
          <t>Bưu Cục 42 Nguyễn Du-Cam Lâm-Khánh Hoà</t>
        </is>
      </c>
      <c r="H312" s="15" t="n">
        <v>20588000</v>
      </c>
      <c r="I312" s="15" t="inlineStr">
        <is>
          <t>Bưu Cục 42 Nguyễn Du-Cam Lâm-Khánh Hoà</t>
        </is>
      </c>
      <c r="J312" s="15" t="b">
        <v>1</v>
      </c>
      <c r="K312" s="15" t="inlineStr">
        <is>
          <t>C</t>
        </is>
      </c>
      <c r="L312" s="16" t="n">
        <v>0</v>
      </c>
      <c r="M312" s="15" t="n"/>
      <c r="N312" s="15" t="n"/>
      <c r="O312" s="15" t="inlineStr">
        <is>
          <t>Đã mở</t>
        </is>
      </c>
      <c r="P312" s="15" t="n"/>
    </row>
    <row r="313" hidden="1" ht="15.75" customHeight="1" s="57">
      <c r="A313" s="7" t="inlineStr">
        <is>
          <t>Khánh Hòa</t>
        </is>
      </c>
      <c r="B313" s="7" t="n">
        <v>1902</v>
      </c>
      <c r="C313" s="7" t="inlineStr">
        <is>
          <t>Huyện Cam Lâm</t>
        </is>
      </c>
      <c r="D313" s="7" t="n">
        <v>410908</v>
      </c>
      <c r="E313" s="7" t="inlineStr">
        <is>
          <t>Xã Cam Hòa</t>
        </is>
      </c>
      <c r="F313" s="7" t="n">
        <v>21331000</v>
      </c>
      <c r="G313" s="7" t="inlineStr">
        <is>
          <t>Bưu Cục Thôn Dầu Sơn-Cam Lâm-Khánh Hoà</t>
        </is>
      </c>
      <c r="H313" s="15" t="n">
        <v>21331000</v>
      </c>
      <c r="I313" s="15" t="inlineStr">
        <is>
          <t>Bưu Cục Thôn Dầu Sơn-Cam Lâm-Khánh Hoà</t>
        </is>
      </c>
      <c r="J313" s="15" t="b">
        <v>0</v>
      </c>
      <c r="K313" s="15" t="inlineStr">
        <is>
          <t>C</t>
        </is>
      </c>
      <c r="L313" s="16" t="n">
        <v>0</v>
      </c>
      <c r="M313" s="15" t="n"/>
      <c r="N313" s="15" t="n"/>
      <c r="O313" s="15" t="inlineStr">
        <is>
          <t>Chưa mở</t>
        </is>
      </c>
      <c r="P313" s="15" t="n"/>
    </row>
    <row r="314" hidden="1" ht="15.75" customHeight="1" s="57">
      <c r="A314" s="7" t="inlineStr">
        <is>
          <t>Khánh Hòa</t>
        </is>
      </c>
      <c r="B314" s="7" t="n">
        <v>1902</v>
      </c>
      <c r="C314" s="7" t="inlineStr">
        <is>
          <t>Huyện Cam Lâm</t>
        </is>
      </c>
      <c r="D314" s="7" t="n">
        <v>410909</v>
      </c>
      <c r="E314" s="7" t="inlineStr">
        <is>
          <t>Xã Cam Phước Tây</t>
        </is>
      </c>
      <c r="F314" s="7" t="n">
        <v>20588000</v>
      </c>
      <c r="G314" s="7" t="inlineStr">
        <is>
          <t>Bưu Cục 42 Nguyễn Du-Cam Lâm-Khánh Hoà</t>
        </is>
      </c>
      <c r="H314" s="15" t="n">
        <v>20588000</v>
      </c>
      <c r="I314" s="15" t="inlineStr">
        <is>
          <t>Bưu Cục 42 Nguyễn Du-Cam Lâm-Khánh Hoà</t>
        </is>
      </c>
      <c r="J314" s="15" t="b">
        <v>0</v>
      </c>
      <c r="K314" s="15" t="inlineStr">
        <is>
          <t>C</t>
        </is>
      </c>
      <c r="L314" s="16" t="n">
        <v>0</v>
      </c>
      <c r="M314" s="15" t="n"/>
      <c r="N314" s="15" t="n"/>
      <c r="O314" s="15" t="inlineStr">
        <is>
          <t>Chưa mở</t>
        </is>
      </c>
      <c r="P314" s="15" t="n"/>
    </row>
    <row r="315" hidden="1" ht="15.75" customHeight="1" s="57">
      <c r="A315" s="7" t="inlineStr">
        <is>
          <t>Khánh Hòa</t>
        </is>
      </c>
      <c r="B315" s="7" t="n">
        <v>1902</v>
      </c>
      <c r="C315" s="7" t="inlineStr">
        <is>
          <t>Huyện Cam Lâm</t>
        </is>
      </c>
      <c r="D315" s="7" t="n">
        <v>410910</v>
      </c>
      <c r="E315" s="7" t="inlineStr">
        <is>
          <t>Xã Cam Tân</t>
        </is>
      </c>
      <c r="F315" s="7" t="n">
        <v>21331000</v>
      </c>
      <c r="G315" s="7" t="inlineStr">
        <is>
          <t>Bưu Cục Thôn Dầu Sơn-Cam Lâm-Khánh Hoà</t>
        </is>
      </c>
      <c r="H315" s="15" t="n">
        <v>21331000</v>
      </c>
      <c r="I315" s="15" t="inlineStr">
        <is>
          <t>Bưu Cục Thôn Dầu Sơn-Cam Lâm-Khánh Hoà</t>
        </is>
      </c>
      <c r="J315" s="15" t="b">
        <v>0</v>
      </c>
      <c r="K315" s="15" t="inlineStr">
        <is>
          <t>C</t>
        </is>
      </c>
      <c r="L315" s="16" t="n">
        <v>0</v>
      </c>
      <c r="M315" s="15" t="n"/>
      <c r="N315" s="15" t="n"/>
      <c r="O315" s="15" t="inlineStr">
        <is>
          <t>Chưa mở</t>
        </is>
      </c>
      <c r="P315" s="15" t="n"/>
    </row>
    <row r="316" hidden="1" ht="15.75" customHeight="1" s="57">
      <c r="A316" s="7" t="inlineStr">
        <is>
          <t>Khánh Hòa</t>
        </is>
      </c>
      <c r="B316" s="7" t="n">
        <v>1902</v>
      </c>
      <c r="C316" s="7" t="inlineStr">
        <is>
          <t>Huyện Cam Lâm</t>
        </is>
      </c>
      <c r="D316" s="7" t="n">
        <v>410911</v>
      </c>
      <c r="E316" s="7" t="inlineStr">
        <is>
          <t>Xã Cam Thành Bắc</t>
        </is>
      </c>
      <c r="F316" s="7" t="n">
        <v>20588000</v>
      </c>
      <c r="G316" s="7" t="inlineStr">
        <is>
          <t>Bưu Cục 42 Nguyễn Du-Cam Lâm-Khánh Hoà</t>
        </is>
      </c>
      <c r="H316" s="15" t="n">
        <v>20588000</v>
      </c>
      <c r="I316" s="15" t="inlineStr">
        <is>
          <t>Bưu Cục 42 Nguyễn Du-Cam Lâm-Khánh Hoà</t>
        </is>
      </c>
      <c r="J316" s="15" t="b">
        <v>1</v>
      </c>
      <c r="K316" s="15" t="inlineStr">
        <is>
          <t>A</t>
        </is>
      </c>
      <c r="L316" s="16" t="n">
        <v>1</v>
      </c>
      <c r="M316" s="15" t="n">
        <v>15</v>
      </c>
      <c r="N316" s="15" t="n">
        <v>15</v>
      </c>
      <c r="O316" s="15" t="inlineStr">
        <is>
          <t>Đã mở</t>
        </is>
      </c>
      <c r="P316" s="15" t="n"/>
    </row>
    <row r="317" hidden="1" ht="15.75" customHeight="1" s="57">
      <c r="A317" s="7" t="inlineStr">
        <is>
          <t>Khánh Hòa</t>
        </is>
      </c>
      <c r="B317" s="7" t="n">
        <v>1902</v>
      </c>
      <c r="C317" s="7" t="inlineStr">
        <is>
          <t>Huyện Cam Lâm</t>
        </is>
      </c>
      <c r="D317" s="7" t="n">
        <v>410912</v>
      </c>
      <c r="E317" s="7" t="inlineStr">
        <is>
          <t>Xã Sơn Tân</t>
        </is>
      </c>
      <c r="F317" s="7" t="n">
        <v>21331000</v>
      </c>
      <c r="G317" s="7" t="inlineStr">
        <is>
          <t>Bưu Cục Thôn Dầu Sơn-Cam Lâm-Khánh Hoà</t>
        </is>
      </c>
      <c r="H317" s="15" t="n">
        <v>21331000</v>
      </c>
      <c r="I317" s="15" t="inlineStr">
        <is>
          <t>Bưu Cục Thôn Dầu Sơn-Cam Lâm-Khánh Hoà</t>
        </is>
      </c>
      <c r="J317" s="15" t="b">
        <v>0</v>
      </c>
      <c r="K317" s="15" t="inlineStr">
        <is>
          <t>C</t>
        </is>
      </c>
      <c r="L317" s="16" t="n">
        <v>0</v>
      </c>
      <c r="M317" s="15" t="n"/>
      <c r="N317" s="15" t="n"/>
      <c r="O317" s="15" t="inlineStr">
        <is>
          <t>Chưa mở</t>
        </is>
      </c>
      <c r="P317" s="15" t="n"/>
    </row>
    <row r="318" hidden="1" ht="15.75" customHeight="1" s="57">
      <c r="A318" s="7" t="inlineStr">
        <is>
          <t>Khánh Hòa</t>
        </is>
      </c>
      <c r="B318" s="7" t="n">
        <v>1902</v>
      </c>
      <c r="C318" s="7" t="inlineStr">
        <is>
          <t>Huyện Cam Lâm</t>
        </is>
      </c>
      <c r="D318" s="7" t="n">
        <v>410913</v>
      </c>
      <c r="E318" s="7" t="inlineStr">
        <is>
          <t>Xã Suối Cát</t>
        </is>
      </c>
      <c r="F318" s="7" t="n">
        <v>21331000</v>
      </c>
      <c r="G318" s="7" t="inlineStr">
        <is>
          <t>Bưu Cục Thôn Dầu Sơn-Cam Lâm-Khánh Hoà</t>
        </is>
      </c>
      <c r="H318" s="15" t="n">
        <v>21331000</v>
      </c>
      <c r="I318" s="15" t="inlineStr">
        <is>
          <t>Bưu Cục Thôn Dầu Sơn-Cam Lâm-Khánh Hoà</t>
        </is>
      </c>
      <c r="J318" s="15" t="b">
        <v>0</v>
      </c>
      <c r="K318" s="15" t="inlineStr">
        <is>
          <t>C</t>
        </is>
      </c>
      <c r="L318" s="16" t="n">
        <v>0</v>
      </c>
      <c r="M318" s="15" t="n"/>
      <c r="N318" s="15" t="n"/>
      <c r="O318" s="15" t="inlineStr">
        <is>
          <t>Chưa mở</t>
        </is>
      </c>
      <c r="P318" s="15" t="n"/>
    </row>
    <row r="319" hidden="1" ht="15.75" customHeight="1" s="57">
      <c r="A319" s="7" t="inlineStr">
        <is>
          <t>Khánh Hòa</t>
        </is>
      </c>
      <c r="B319" s="7" t="n">
        <v>1902</v>
      </c>
      <c r="C319" s="7" t="inlineStr">
        <is>
          <t>Huyện Cam Lâm</t>
        </is>
      </c>
      <c r="D319" s="7" t="n">
        <v>410914</v>
      </c>
      <c r="E319" s="7" t="inlineStr">
        <is>
          <t>Xã Suối Tân</t>
        </is>
      </c>
      <c r="F319" s="7" t="n">
        <v>21331000</v>
      </c>
      <c r="G319" s="7" t="inlineStr">
        <is>
          <t>Bưu Cục Thôn Dầu Sơn-Cam Lâm-Khánh Hoà</t>
        </is>
      </c>
      <c r="H319" s="15" t="n">
        <v>21331000</v>
      </c>
      <c r="I319" s="15" t="inlineStr">
        <is>
          <t>Bưu Cục Thôn Dầu Sơn-Cam Lâm-Khánh Hoà</t>
        </is>
      </c>
      <c r="J319" s="15" t="b">
        <v>0</v>
      </c>
      <c r="K319" s="15" t="inlineStr">
        <is>
          <t>C</t>
        </is>
      </c>
      <c r="L319" s="16" t="n">
        <v>0</v>
      </c>
      <c r="M319" s="15" t="n"/>
      <c r="N319" s="15" t="n"/>
      <c r="O319" s="15" t="inlineStr">
        <is>
          <t>Chưa mở</t>
        </is>
      </c>
      <c r="P319" s="15" t="n"/>
    </row>
    <row r="320" hidden="1" ht="15.75" customHeight="1" s="57">
      <c r="A320" s="7" t="inlineStr">
        <is>
          <t>Lâm Đồng</t>
        </is>
      </c>
      <c r="B320" s="7" t="n">
        <v>1919</v>
      </c>
      <c r="C320" s="7" t="inlineStr">
        <is>
          <t>Huyện Đam Rông</t>
        </is>
      </c>
      <c r="D320" s="7" t="n">
        <v>421201</v>
      </c>
      <c r="E320" s="7" t="inlineStr">
        <is>
          <t>Xã Đạ K' Nàng</t>
        </is>
      </c>
      <c r="F320" s="7" t="n">
        <v>20670000</v>
      </c>
      <c r="G320" s="7" t="inlineStr">
        <is>
          <t xml:space="preserve">Bưu Cục Đạ Rsal-Đam Rông-Lâm Đồng </t>
        </is>
      </c>
      <c r="H320" s="15" t="n">
        <v>20670000</v>
      </c>
      <c r="I320" s="15" t="inlineStr">
        <is>
          <t xml:space="preserve">Bưu Cục Đạ Rsal-Đam Rông-Lâm Đồng </t>
        </is>
      </c>
      <c r="J320" s="15" t="b">
        <v>0</v>
      </c>
      <c r="K320" s="15" t="inlineStr">
        <is>
          <t>C</t>
        </is>
      </c>
      <c r="L320" s="16" t="n">
        <v>0</v>
      </c>
      <c r="M320" s="15" t="n"/>
      <c r="N320" s="15" t="n"/>
      <c r="O320" s="15" t="inlineStr">
        <is>
          <t>Chưa mở</t>
        </is>
      </c>
      <c r="P320" s="15" t="n"/>
    </row>
    <row r="321" hidden="1" ht="15.75" customHeight="1" s="57">
      <c r="A321" s="7" t="inlineStr">
        <is>
          <t>Lâm Đồng</t>
        </is>
      </c>
      <c r="B321" s="7" t="n">
        <v>1919</v>
      </c>
      <c r="C321" s="7" t="inlineStr">
        <is>
          <t>Huyện Đam Rông</t>
        </is>
      </c>
      <c r="D321" s="7" t="n">
        <v>421202</v>
      </c>
      <c r="E321" s="7" t="inlineStr">
        <is>
          <t>Xã Đạ Long</t>
        </is>
      </c>
      <c r="F321" s="7" t="n">
        <v>20670000</v>
      </c>
      <c r="G321" s="7" t="inlineStr">
        <is>
          <t xml:space="preserve">Bưu Cục Đạ Rsal-Đam Rông-Lâm Đồng </t>
        </is>
      </c>
      <c r="H321" s="15" t="n">
        <v>22051000</v>
      </c>
      <c r="I321" s="15" t="inlineStr">
        <is>
          <t>Bưu Cục Langbiang-Lạc Dương-Lâm Đồng</t>
        </is>
      </c>
      <c r="J321" s="15" t="b">
        <v>0</v>
      </c>
      <c r="K321" s="15" t="inlineStr">
        <is>
          <t>C</t>
        </is>
      </c>
      <c r="L321" s="16" t="n">
        <v>0</v>
      </c>
      <c r="M321" s="15" t="n"/>
      <c r="N321" s="15" t="n"/>
      <c r="O321" s="15" t="inlineStr">
        <is>
          <t>Chưa mở</t>
        </is>
      </c>
      <c r="P321" s="15" t="n"/>
    </row>
    <row r="322" hidden="1" ht="15.75" customHeight="1" s="57">
      <c r="A322" s="7" t="inlineStr">
        <is>
          <t>Lâm Đồng</t>
        </is>
      </c>
      <c r="B322" s="7" t="n">
        <v>1919</v>
      </c>
      <c r="C322" s="7" t="inlineStr">
        <is>
          <t>Huyện Đam Rông</t>
        </is>
      </c>
      <c r="D322" s="7" t="n">
        <v>421203</v>
      </c>
      <c r="E322" s="7" t="inlineStr">
        <is>
          <t>Xã Đạ M' Rong</t>
        </is>
      </c>
      <c r="F322" s="7" t="n">
        <v>20670000</v>
      </c>
      <c r="G322" s="7" t="inlineStr">
        <is>
          <t xml:space="preserve">Bưu Cục Đạ Rsal-Đam Rông-Lâm Đồng </t>
        </is>
      </c>
      <c r="H322" s="15" t="n">
        <v>20670000</v>
      </c>
      <c r="I322" s="15" t="inlineStr">
        <is>
          <t xml:space="preserve">Bưu Cục Đạ Rsal-Đam Rông-Lâm Đồng </t>
        </is>
      </c>
      <c r="J322" s="15" t="b">
        <v>0</v>
      </c>
      <c r="K322" s="15" t="inlineStr">
        <is>
          <t>C</t>
        </is>
      </c>
      <c r="L322" s="16" t="n">
        <v>0</v>
      </c>
      <c r="M322" s="15" t="n"/>
      <c r="N322" s="15" t="n"/>
      <c r="O322" s="15" t="inlineStr">
        <is>
          <t>Chưa mở</t>
        </is>
      </c>
      <c r="P322" s="15" t="n"/>
    </row>
    <row r="323" hidden="1" ht="15.75" customHeight="1" s="57">
      <c r="A323" s="7" t="inlineStr">
        <is>
          <t>Lâm Đồng</t>
        </is>
      </c>
      <c r="B323" s="7" t="n">
        <v>1919</v>
      </c>
      <c r="C323" s="7" t="inlineStr">
        <is>
          <t>Huyện Đam Rông</t>
        </is>
      </c>
      <c r="D323" s="7" t="n">
        <v>421204</v>
      </c>
      <c r="E323" s="7" t="inlineStr">
        <is>
          <t>Xã Đạ Rsal</t>
        </is>
      </c>
      <c r="F323" s="7" t="n">
        <v>20670000</v>
      </c>
      <c r="G323" s="7" t="inlineStr">
        <is>
          <t xml:space="preserve">Bưu Cục Đạ Rsal-Đam Rông-Lâm Đồng </t>
        </is>
      </c>
      <c r="H323" s="15" t="n">
        <v>20670000</v>
      </c>
      <c r="I323" s="15" t="inlineStr">
        <is>
          <t xml:space="preserve">Bưu Cục Đạ Rsal-Đam Rông-Lâm Đồng </t>
        </is>
      </c>
      <c r="J323" s="15" t="b">
        <v>0</v>
      </c>
      <c r="K323" s="15" t="inlineStr">
        <is>
          <t>C</t>
        </is>
      </c>
      <c r="L323" s="16" t="n">
        <v>0</v>
      </c>
      <c r="M323" s="15" t="n"/>
      <c r="N323" s="15" t="n"/>
      <c r="O323" s="15" t="inlineStr">
        <is>
          <t>Chưa mở</t>
        </is>
      </c>
      <c r="P323" s="15" t="n"/>
    </row>
    <row r="324" hidden="1" ht="15.75" customHeight="1" s="57">
      <c r="A324" s="7" t="inlineStr">
        <is>
          <t>Lâm Đồng</t>
        </is>
      </c>
      <c r="B324" s="7" t="n">
        <v>1919</v>
      </c>
      <c r="C324" s="7" t="inlineStr">
        <is>
          <t>Huyện Đam Rông</t>
        </is>
      </c>
      <c r="D324" s="7" t="n">
        <v>421205</v>
      </c>
      <c r="E324" s="7" t="inlineStr">
        <is>
          <t>Xã Đạ Tông</t>
        </is>
      </c>
      <c r="F324" s="7" t="n">
        <v>20670000</v>
      </c>
      <c r="G324" s="7" t="inlineStr">
        <is>
          <t xml:space="preserve">Bưu Cục Đạ Rsal-Đam Rông-Lâm Đồng </t>
        </is>
      </c>
      <c r="H324" s="15" t="n">
        <v>20670000</v>
      </c>
      <c r="I324" s="15" t="inlineStr">
        <is>
          <t xml:space="preserve">Bưu Cục Đạ Rsal-Đam Rông-Lâm Đồng </t>
        </is>
      </c>
      <c r="J324" s="15" t="b">
        <v>0</v>
      </c>
      <c r="K324" s="15" t="inlineStr">
        <is>
          <t>C</t>
        </is>
      </c>
      <c r="L324" s="16" t="n">
        <v>0</v>
      </c>
      <c r="M324" s="15" t="n"/>
      <c r="N324" s="15" t="n"/>
      <c r="O324" s="15" t="inlineStr">
        <is>
          <t>Chưa mở</t>
        </is>
      </c>
      <c r="P324" s="15" t="n"/>
    </row>
    <row r="325" hidden="1" ht="15.75" customHeight="1" s="57">
      <c r="A325" s="7" t="inlineStr">
        <is>
          <t>Lâm Đồng</t>
        </is>
      </c>
      <c r="B325" s="7" t="n">
        <v>1919</v>
      </c>
      <c r="C325" s="7" t="inlineStr">
        <is>
          <t>Huyện Đam Rông</t>
        </is>
      </c>
      <c r="D325" s="7" t="n">
        <v>421206</v>
      </c>
      <c r="E325" s="7" t="inlineStr">
        <is>
          <t>Xã Liêng Srônh</t>
        </is>
      </c>
      <c r="F325" s="7" t="n">
        <v>20670000</v>
      </c>
      <c r="G325" s="7" t="inlineStr">
        <is>
          <t xml:space="preserve">Bưu Cục Đạ Rsal-Đam Rông-Lâm Đồng </t>
        </is>
      </c>
      <c r="H325" s="15" t="n">
        <v>20670000</v>
      </c>
      <c r="I325" s="15" t="inlineStr">
        <is>
          <t xml:space="preserve">Bưu Cục Đạ Rsal-Đam Rông-Lâm Đồng </t>
        </is>
      </c>
      <c r="J325" s="15" t="b">
        <v>0</v>
      </c>
      <c r="K325" s="15" t="inlineStr">
        <is>
          <t>C</t>
        </is>
      </c>
      <c r="L325" s="16" t="n">
        <v>0</v>
      </c>
      <c r="M325" s="15" t="n"/>
      <c r="N325" s="15" t="n"/>
      <c r="O325" s="15" t="inlineStr">
        <is>
          <t>Chưa mở</t>
        </is>
      </c>
      <c r="P325" s="15" t="n"/>
    </row>
    <row r="326" hidden="1" ht="15.75" customHeight="1" s="57">
      <c r="A326" s="7" t="inlineStr">
        <is>
          <t>Lâm Đồng</t>
        </is>
      </c>
      <c r="B326" s="7" t="n">
        <v>1919</v>
      </c>
      <c r="C326" s="7" t="inlineStr">
        <is>
          <t>Huyện Đam Rông</t>
        </is>
      </c>
      <c r="D326" s="7" t="n">
        <v>421207</v>
      </c>
      <c r="E326" s="7" t="inlineStr">
        <is>
          <t>Xã Phi Liêng</t>
        </is>
      </c>
      <c r="F326" s="7" t="n">
        <v>20670000</v>
      </c>
      <c r="G326" s="7" t="inlineStr">
        <is>
          <t xml:space="preserve">Bưu Cục Đạ Rsal-Đam Rông-Lâm Đồng </t>
        </is>
      </c>
      <c r="H326" s="15" t="n">
        <v>20670000</v>
      </c>
      <c r="I326" s="15" t="inlineStr">
        <is>
          <t xml:space="preserve">Bưu Cục Đạ Rsal-Đam Rông-Lâm Đồng </t>
        </is>
      </c>
      <c r="J326" s="15" t="b">
        <v>0</v>
      </c>
      <c r="K326" s="15" t="inlineStr">
        <is>
          <t>C</t>
        </is>
      </c>
      <c r="L326" s="16" t="n">
        <v>0</v>
      </c>
      <c r="M326" s="15" t="n"/>
      <c r="N326" s="15" t="n"/>
      <c r="O326" s="15" t="inlineStr">
        <is>
          <t>Chưa mở</t>
        </is>
      </c>
      <c r="P326" s="15" t="n"/>
    </row>
    <row r="327" hidden="1" ht="15.75" customHeight="1" s="57">
      <c r="A327" s="7" t="inlineStr">
        <is>
          <t>Lâm Đồng</t>
        </is>
      </c>
      <c r="B327" s="7" t="n">
        <v>1919</v>
      </c>
      <c r="C327" s="7" t="inlineStr">
        <is>
          <t>Huyện Đam Rông</t>
        </is>
      </c>
      <c r="D327" s="7" t="n">
        <v>421208</v>
      </c>
      <c r="E327" s="7" t="inlineStr">
        <is>
          <t>Xã Rô Men</t>
        </is>
      </c>
      <c r="F327" s="7" t="n">
        <v>20670000</v>
      </c>
      <c r="G327" s="7" t="inlineStr">
        <is>
          <t xml:space="preserve">Bưu Cục Đạ Rsal-Đam Rông-Lâm Đồng </t>
        </is>
      </c>
      <c r="H327" s="15" t="n">
        <v>20670000</v>
      </c>
      <c r="I327" s="15" t="inlineStr">
        <is>
          <t xml:space="preserve">Bưu Cục Đạ Rsal-Đam Rông-Lâm Đồng </t>
        </is>
      </c>
      <c r="J327" s="15" t="b">
        <v>0</v>
      </c>
      <c r="K327" s="15" t="inlineStr">
        <is>
          <t>C</t>
        </is>
      </c>
      <c r="L327" s="16" t="n">
        <v>0</v>
      </c>
      <c r="M327" s="15" t="n"/>
      <c r="N327" s="15" t="n"/>
      <c r="O327" s="15" t="inlineStr">
        <is>
          <t>Chưa mở</t>
        </is>
      </c>
      <c r="P327" s="15" t="n"/>
    </row>
    <row r="328" hidden="1" ht="15.75" customHeight="1" s="57">
      <c r="A328" s="7" t="inlineStr">
        <is>
          <t>Lâm Đồng</t>
        </is>
      </c>
      <c r="B328" s="7" t="n">
        <v>1956</v>
      </c>
      <c r="C328" s="7" t="inlineStr">
        <is>
          <t>Huyện Lạc Dương</t>
        </is>
      </c>
      <c r="D328" s="7" t="n">
        <v>420601</v>
      </c>
      <c r="E328" s="7" t="inlineStr">
        <is>
          <t>Thị trấn Lạc Dương</t>
        </is>
      </c>
      <c r="F328" s="7" t="n">
        <v>22051000</v>
      </c>
      <c r="G328" s="7" t="inlineStr">
        <is>
          <t>Bưu Cục Langbiang-Lạc Dương-Lâm Đồng</t>
        </is>
      </c>
      <c r="H328" s="15" t="n">
        <v>22051000</v>
      </c>
      <c r="I328" s="15" t="inlineStr">
        <is>
          <t>Bưu Cục Langbiang-Lạc Dương-Lâm Đồng</t>
        </is>
      </c>
      <c r="J328" s="15" t="b">
        <v>0</v>
      </c>
      <c r="K328" s="15" t="inlineStr">
        <is>
          <t>A</t>
        </is>
      </c>
      <c r="L328" s="16" t="n">
        <v>1</v>
      </c>
      <c r="M328" s="15" t="n">
        <v>15</v>
      </c>
      <c r="N328" s="15" t="n">
        <v>15</v>
      </c>
      <c r="O328" s="15" t="inlineStr">
        <is>
          <t>Chưa mở</t>
        </is>
      </c>
      <c r="P328" s="30" t="n">
        <v>46188</v>
      </c>
    </row>
    <row r="329" hidden="1" ht="15.75" customHeight="1" s="57">
      <c r="A329" s="7" t="inlineStr">
        <is>
          <t>Lâm Đồng</t>
        </is>
      </c>
      <c r="B329" s="7" t="n">
        <v>1956</v>
      </c>
      <c r="C329" s="7" t="inlineStr">
        <is>
          <t>Huyện Lạc Dương</t>
        </is>
      </c>
      <c r="D329" s="7" t="n">
        <v>420602</v>
      </c>
      <c r="E329" s="7" t="inlineStr">
        <is>
          <t>Xã Đạ Chais</t>
        </is>
      </c>
      <c r="F329" s="7" t="n">
        <v>22051000</v>
      </c>
      <c r="G329" s="7" t="inlineStr">
        <is>
          <t>Bưu Cục Langbiang-Lạc Dương-Lâm Đồng</t>
        </is>
      </c>
      <c r="H329" s="15" t="n">
        <v>22051000</v>
      </c>
      <c r="I329" s="15" t="inlineStr">
        <is>
          <t>Bưu Cục Langbiang-Lạc Dương-Lâm Đồng</t>
        </is>
      </c>
      <c r="J329" s="15" t="b">
        <v>0</v>
      </c>
      <c r="K329" s="15" t="inlineStr">
        <is>
          <t>C</t>
        </is>
      </c>
      <c r="L329" s="16" t="n">
        <v>0</v>
      </c>
      <c r="M329" s="15" t="n"/>
      <c r="N329" s="15" t="n"/>
      <c r="O329" s="15" t="inlineStr">
        <is>
          <t>Chưa mở</t>
        </is>
      </c>
      <c r="P329" s="15" t="n"/>
    </row>
    <row r="330" hidden="1" ht="15.75" customHeight="1" s="57">
      <c r="A330" s="7" t="inlineStr">
        <is>
          <t>Lâm Đồng</t>
        </is>
      </c>
      <c r="B330" s="7" t="n">
        <v>1956</v>
      </c>
      <c r="C330" s="7" t="inlineStr">
        <is>
          <t>Huyện Lạc Dương</t>
        </is>
      </c>
      <c r="D330" s="7" t="n">
        <v>420603</v>
      </c>
      <c r="E330" s="7" t="inlineStr">
        <is>
          <t>Xã Đạ Nhim</t>
        </is>
      </c>
      <c r="F330" s="7" t="n">
        <v>22051000</v>
      </c>
      <c r="G330" s="7" t="inlineStr">
        <is>
          <t>Bưu Cục Langbiang-Lạc Dương-Lâm Đồng</t>
        </is>
      </c>
      <c r="H330" s="15" t="n">
        <v>22051000</v>
      </c>
      <c r="I330" s="15" t="inlineStr">
        <is>
          <t>Bưu Cục Langbiang-Lạc Dương-Lâm Đồng</t>
        </is>
      </c>
      <c r="J330" s="15" t="b">
        <v>0</v>
      </c>
      <c r="K330" s="15" t="inlineStr">
        <is>
          <t>C</t>
        </is>
      </c>
      <c r="L330" s="16" t="n">
        <v>0</v>
      </c>
      <c r="M330" s="15" t="n"/>
      <c r="N330" s="15" t="n"/>
      <c r="O330" s="15" t="inlineStr">
        <is>
          <t>Chưa mở</t>
        </is>
      </c>
      <c r="P330" s="15" t="n"/>
    </row>
    <row r="331" hidden="1" ht="15.75" customHeight="1" s="57">
      <c r="A331" s="7" t="inlineStr">
        <is>
          <t>Lâm Đồng</t>
        </is>
      </c>
      <c r="B331" s="7" t="n">
        <v>1956</v>
      </c>
      <c r="C331" s="7" t="inlineStr">
        <is>
          <t>Huyện Lạc Dương</t>
        </is>
      </c>
      <c r="D331" s="7" t="n">
        <v>420604</v>
      </c>
      <c r="E331" s="7" t="inlineStr">
        <is>
          <t>Xã Đạ Sar</t>
        </is>
      </c>
      <c r="F331" s="7" t="n">
        <v>22051000</v>
      </c>
      <c r="G331" s="7" t="inlineStr">
        <is>
          <t>Bưu Cục Langbiang-Lạc Dương-Lâm Đồng</t>
        </is>
      </c>
      <c r="H331" s="15" t="n">
        <v>22051000</v>
      </c>
      <c r="I331" s="15" t="inlineStr">
        <is>
          <t>Bưu Cục Langbiang-Lạc Dương-Lâm Đồng</t>
        </is>
      </c>
      <c r="J331" s="15" t="b">
        <v>0</v>
      </c>
      <c r="K331" s="15" t="inlineStr">
        <is>
          <t>C</t>
        </is>
      </c>
      <c r="L331" s="16" t="n">
        <v>0</v>
      </c>
      <c r="M331" s="15" t="n"/>
      <c r="N331" s="15" t="n"/>
      <c r="O331" s="15" t="inlineStr">
        <is>
          <t>Chưa mở</t>
        </is>
      </c>
      <c r="P331" s="15" t="n"/>
    </row>
    <row r="332" hidden="1" ht="15.75" customHeight="1" s="57">
      <c r="A332" s="7" t="inlineStr">
        <is>
          <t>Lâm Đồng</t>
        </is>
      </c>
      <c r="B332" s="7" t="n">
        <v>1956</v>
      </c>
      <c r="C332" s="7" t="inlineStr">
        <is>
          <t>Huyện Lạc Dương</t>
        </is>
      </c>
      <c r="D332" s="7" t="n">
        <v>420605</v>
      </c>
      <c r="E332" s="7" t="inlineStr">
        <is>
          <t>Xã Đưng KNớ</t>
        </is>
      </c>
      <c r="F332" s="7" t="n">
        <v>22051000</v>
      </c>
      <c r="G332" s="7" t="inlineStr">
        <is>
          <t>Bưu Cục Langbiang-Lạc Dương-Lâm Đồng</t>
        </is>
      </c>
      <c r="H332" s="15" t="n">
        <v>22051000</v>
      </c>
      <c r="I332" s="15" t="inlineStr">
        <is>
          <t>Bưu Cục Langbiang-Lạc Dương-Lâm Đồng</t>
        </is>
      </c>
      <c r="J332" s="15" t="b">
        <v>0</v>
      </c>
      <c r="K332" s="15" t="inlineStr">
        <is>
          <t>C</t>
        </is>
      </c>
      <c r="L332" s="16" t="n">
        <v>0</v>
      </c>
      <c r="M332" s="15" t="n"/>
      <c r="N332" s="15" t="n"/>
      <c r="O332" s="15" t="inlineStr">
        <is>
          <t>Chưa mở</t>
        </is>
      </c>
      <c r="P332" s="15" t="n"/>
    </row>
    <row r="333" hidden="1" ht="15.75" customHeight="1" s="57">
      <c r="A333" s="7" t="inlineStr">
        <is>
          <t>Lâm Đồng</t>
        </is>
      </c>
      <c r="B333" s="7" t="n">
        <v>1956</v>
      </c>
      <c r="C333" s="7" t="inlineStr">
        <is>
          <t>Huyện Lạc Dương</t>
        </is>
      </c>
      <c r="D333" s="7" t="n">
        <v>420606</v>
      </c>
      <c r="E333" s="7" t="inlineStr">
        <is>
          <t>Xã Lát</t>
        </is>
      </c>
      <c r="F333" s="7" t="n">
        <v>22051000</v>
      </c>
      <c r="G333" s="7" t="inlineStr">
        <is>
          <t>Bưu Cục Langbiang-Lạc Dương-Lâm Đồng</t>
        </is>
      </c>
      <c r="H333" s="15" t="n">
        <v>22051000</v>
      </c>
      <c r="I333" s="15" t="inlineStr">
        <is>
          <t>Bưu Cục Langbiang-Lạc Dương-Lâm Đồng</t>
        </is>
      </c>
      <c r="J333" s="15" t="b">
        <v>0</v>
      </c>
      <c r="K333" s="15" t="inlineStr">
        <is>
          <t>C</t>
        </is>
      </c>
      <c r="L333" s="16" t="n">
        <v>0</v>
      </c>
      <c r="M333" s="15" t="n"/>
      <c r="N333" s="15" t="n"/>
      <c r="O333" s="15" t="inlineStr">
        <is>
          <t>Chưa mở</t>
        </is>
      </c>
      <c r="P333" s="15" t="n"/>
    </row>
    <row r="334" hidden="1" ht="15.75" customHeight="1" s="57">
      <c r="A334" s="7" t="inlineStr">
        <is>
          <t>Lâm Đồng</t>
        </is>
      </c>
      <c r="B334" s="7" t="n">
        <v>1958</v>
      </c>
      <c r="C334" s="7" t="inlineStr">
        <is>
          <t>Huyện Lâm Hà</t>
        </is>
      </c>
      <c r="D334" s="7" t="n">
        <v>421001</v>
      </c>
      <c r="E334" s="7" t="inlineStr">
        <is>
          <t>Thị trấn Đinh Văn</t>
        </is>
      </c>
      <c r="F334" s="7" t="n">
        <v>21294000</v>
      </c>
      <c r="G334" s="7" t="inlineStr">
        <is>
          <t>Bưu cục Đinh Văn-Lâm Hà-Lâm Đồng</t>
        </is>
      </c>
      <c r="H334" s="15" t="n">
        <v>21294000</v>
      </c>
      <c r="I334" s="15" t="inlineStr">
        <is>
          <t>Bưu cục Đinh Văn-Lâm Hà-Lâm Đồng</t>
        </is>
      </c>
      <c r="J334" s="15" t="b">
        <v>1</v>
      </c>
      <c r="K334" s="15" t="inlineStr">
        <is>
          <t>A</t>
        </is>
      </c>
      <c r="L334" s="16" t="n">
        <v>1</v>
      </c>
      <c r="M334" s="15" t="n">
        <v>20</v>
      </c>
      <c r="N334" s="15" t="n">
        <v>15</v>
      </c>
      <c r="O334" s="15" t="inlineStr">
        <is>
          <t>Đã mở</t>
        </is>
      </c>
      <c r="P334" s="15" t="n"/>
    </row>
    <row r="335" hidden="1" ht="15.75" customHeight="1" s="57">
      <c r="A335" s="7" t="inlineStr">
        <is>
          <t>Lâm Đồng</t>
        </is>
      </c>
      <c r="B335" s="7" t="n">
        <v>1958</v>
      </c>
      <c r="C335" s="7" t="inlineStr">
        <is>
          <t>Huyện Lâm Hà</t>
        </is>
      </c>
      <c r="D335" s="7" t="n">
        <v>421002</v>
      </c>
      <c r="E335" s="7" t="inlineStr">
        <is>
          <t>Thị trấn Nam Ban</t>
        </is>
      </c>
      <c r="F335" s="7" t="n">
        <v>21458000</v>
      </c>
      <c r="G335" s="7" t="inlineStr">
        <is>
          <t>Bưu Cục TDP Ba Đình-Lâm Hà-Lâm Đồng</t>
        </is>
      </c>
      <c r="H335" s="15" t="n">
        <v>21458000</v>
      </c>
      <c r="I335" s="15" t="inlineStr">
        <is>
          <t>Bưu Cục TDP Ba Đình-Lâm Hà-Lâm Đồng</t>
        </is>
      </c>
      <c r="J335" s="15" t="b">
        <v>1</v>
      </c>
      <c r="K335" s="15" t="inlineStr">
        <is>
          <t>A</t>
        </is>
      </c>
      <c r="L335" s="16" t="n">
        <v>1</v>
      </c>
      <c r="M335" s="15" t="n">
        <v>20</v>
      </c>
      <c r="N335" s="15" t="n">
        <v>15</v>
      </c>
      <c r="O335" s="15" t="inlineStr">
        <is>
          <t>Đã mở</t>
        </is>
      </c>
      <c r="P335" s="15" t="n"/>
    </row>
    <row r="336" hidden="1" ht="15.75" customHeight="1" s="57">
      <c r="A336" s="7" t="inlineStr">
        <is>
          <t>Lâm Đồng</t>
        </is>
      </c>
      <c r="B336" s="7" t="n">
        <v>1958</v>
      </c>
      <c r="C336" s="7" t="inlineStr">
        <is>
          <t>Huyện Lâm Hà</t>
        </is>
      </c>
      <c r="D336" s="7" t="n">
        <v>421003</v>
      </c>
      <c r="E336" s="7" t="inlineStr">
        <is>
          <t>Xã Đạ Đờn</t>
        </is>
      </c>
      <c r="F336" s="7" t="n">
        <v>21294000</v>
      </c>
      <c r="G336" s="7" t="inlineStr">
        <is>
          <t>Bưu cục Đinh Văn-Lâm Hà-Lâm Đồng</t>
        </is>
      </c>
      <c r="H336" s="15" t="n">
        <v>21294000</v>
      </c>
      <c r="I336" s="15" t="inlineStr">
        <is>
          <t>Bưu cục Đinh Văn-Lâm Hà-Lâm Đồng</t>
        </is>
      </c>
      <c r="J336" s="15" t="b">
        <v>0</v>
      </c>
      <c r="K336" s="15" t="inlineStr">
        <is>
          <t>C</t>
        </is>
      </c>
      <c r="L336" s="16" t="n">
        <v>0</v>
      </c>
      <c r="M336" s="15" t="n"/>
      <c r="N336" s="15" t="n"/>
      <c r="O336" s="15" t="inlineStr">
        <is>
          <t>Chưa mở</t>
        </is>
      </c>
      <c r="P336" s="15" t="n"/>
    </row>
    <row r="337" hidden="1" ht="15.75" customHeight="1" s="57">
      <c r="A337" s="7" t="inlineStr">
        <is>
          <t>Lâm Đồng</t>
        </is>
      </c>
      <c r="B337" s="7" t="n">
        <v>1958</v>
      </c>
      <c r="C337" s="7" t="inlineStr">
        <is>
          <t>Huyện Lâm Hà</t>
        </is>
      </c>
      <c r="D337" s="7" t="n">
        <v>421004</v>
      </c>
      <c r="E337" s="7" t="inlineStr">
        <is>
          <t>Xã Đan Phượng</t>
        </is>
      </c>
      <c r="F337" s="7" t="n">
        <v>22425000</v>
      </c>
      <c r="G337" s="7" t="inlineStr">
        <is>
          <t>Bưu Cục Thôn Phúc Hưng-Xã Tân Hà Lâm Hà-Lâm Đồng</t>
        </is>
      </c>
      <c r="H337" s="15" t="n">
        <v>22425000</v>
      </c>
      <c r="I337" s="15" t="inlineStr">
        <is>
          <t>Bưu Cục Thôn Phúc Hưng-Xã Tân Hà Lâm Hà-Lâm Đồng</t>
        </is>
      </c>
      <c r="J337" s="15" t="b">
        <v>0</v>
      </c>
      <c r="K337" s="15" t="inlineStr">
        <is>
          <t>C</t>
        </is>
      </c>
      <c r="L337" s="16" t="n">
        <v>0</v>
      </c>
      <c r="M337" s="15" t="n"/>
      <c r="N337" s="15" t="n"/>
      <c r="O337" s="15" t="inlineStr">
        <is>
          <t>Chưa mở</t>
        </is>
      </c>
      <c r="P337" s="15" t="n"/>
    </row>
    <row r="338" hidden="1" ht="15.75" customHeight="1" s="57">
      <c r="A338" s="7" t="inlineStr">
        <is>
          <t>Lâm Đồng</t>
        </is>
      </c>
      <c r="B338" s="7" t="n">
        <v>1958</v>
      </c>
      <c r="C338" s="7" t="inlineStr">
        <is>
          <t>Huyện Lâm Hà</t>
        </is>
      </c>
      <c r="D338" s="7" t="n">
        <v>421005</v>
      </c>
      <c r="E338" s="7" t="inlineStr">
        <is>
          <t>Xã Đông Thanh</t>
        </is>
      </c>
      <c r="F338" s="7" t="n">
        <v>21458000</v>
      </c>
      <c r="G338" s="7" t="inlineStr">
        <is>
          <t>Bưu Cục TDP Ba Đình-Lâm Hà-Lâm Đồng</t>
        </is>
      </c>
      <c r="H338" s="15" t="n">
        <v>21458000</v>
      </c>
      <c r="I338" s="15" t="inlineStr">
        <is>
          <t>Bưu Cục TDP Ba Đình-Lâm Hà-Lâm Đồng</t>
        </is>
      </c>
      <c r="J338" s="15" t="b">
        <v>1</v>
      </c>
      <c r="K338" s="15" t="inlineStr">
        <is>
          <t>A</t>
        </is>
      </c>
      <c r="L338" s="16" t="n">
        <v>1</v>
      </c>
      <c r="M338" s="15" t="n">
        <v>20</v>
      </c>
      <c r="N338" s="15" t="n">
        <v>15</v>
      </c>
      <c r="O338" s="15" t="inlineStr">
        <is>
          <t>Đã mở</t>
        </is>
      </c>
      <c r="P338" s="15" t="n"/>
    </row>
    <row r="339" hidden="1" ht="15.75" customHeight="1" s="57">
      <c r="A339" s="7" t="inlineStr">
        <is>
          <t>Lâm Đồng</t>
        </is>
      </c>
      <c r="B339" s="7" t="n">
        <v>1958</v>
      </c>
      <c r="C339" s="7" t="inlineStr">
        <is>
          <t>Huyện Lâm Hà</t>
        </is>
      </c>
      <c r="D339" s="7" t="n">
        <v>421006</v>
      </c>
      <c r="E339" s="7" t="inlineStr">
        <is>
          <t>Xã Gia Lâm</t>
        </is>
      </c>
      <c r="F339" s="7" t="n">
        <v>21458000</v>
      </c>
      <c r="G339" s="7" t="inlineStr">
        <is>
          <t>Bưu Cục TDP Ba Đình-Lâm Hà-Lâm Đồng</t>
        </is>
      </c>
      <c r="H339" s="15" t="n">
        <v>21458000</v>
      </c>
      <c r="I339" s="15" t="inlineStr">
        <is>
          <t>Bưu Cục TDP Ba Đình-Lâm Hà-Lâm Đồng</t>
        </is>
      </c>
      <c r="J339" s="15" t="b">
        <v>1</v>
      </c>
      <c r="K339" s="15" t="inlineStr">
        <is>
          <t>A</t>
        </is>
      </c>
      <c r="L339" s="16" t="n">
        <v>1</v>
      </c>
      <c r="M339" s="15" t="n">
        <v>20</v>
      </c>
      <c r="N339" s="15" t="n">
        <v>15</v>
      </c>
      <c r="O339" s="15" t="inlineStr">
        <is>
          <t>Đã mở</t>
        </is>
      </c>
      <c r="P339" s="15" t="n"/>
    </row>
    <row r="340" hidden="1" ht="15.75" customHeight="1" s="57">
      <c r="A340" s="7" t="inlineStr">
        <is>
          <t>Lâm Đồng</t>
        </is>
      </c>
      <c r="B340" s="7" t="n">
        <v>1958</v>
      </c>
      <c r="C340" s="7" t="inlineStr">
        <is>
          <t>Huyện Lâm Hà</t>
        </is>
      </c>
      <c r="D340" s="7" t="n">
        <v>421007</v>
      </c>
      <c r="E340" s="7" t="inlineStr">
        <is>
          <t>Xã Hoài Đức</t>
        </is>
      </c>
      <c r="F340" s="7" t="n">
        <v>22425000</v>
      </c>
      <c r="G340" s="7" t="inlineStr">
        <is>
          <t>Bưu Cục Thôn Phúc Hưng-Xã Tân Hà Lâm Hà-Lâm Đồng</t>
        </is>
      </c>
      <c r="H340" s="15" t="n">
        <v>22425000</v>
      </c>
      <c r="I340" s="15" t="inlineStr">
        <is>
          <t>Bưu Cục Thôn Phúc Hưng-Xã Tân Hà Lâm Hà-Lâm Đồng</t>
        </is>
      </c>
      <c r="J340" s="15" t="b">
        <v>0</v>
      </c>
      <c r="K340" s="15" t="inlineStr">
        <is>
          <t>C</t>
        </is>
      </c>
      <c r="L340" s="16" t="n">
        <v>0</v>
      </c>
      <c r="M340" s="15" t="n"/>
      <c r="N340" s="15" t="n"/>
      <c r="O340" s="15" t="inlineStr">
        <is>
          <t>Chưa mở</t>
        </is>
      </c>
      <c r="P340" s="15" t="n"/>
    </row>
    <row r="341" hidden="1" ht="15.75" customHeight="1" s="57">
      <c r="A341" s="7" t="inlineStr">
        <is>
          <t>Lâm Đồng</t>
        </is>
      </c>
      <c r="B341" s="7" t="n">
        <v>1958</v>
      </c>
      <c r="C341" s="7" t="inlineStr">
        <is>
          <t>Huyện Lâm Hà</t>
        </is>
      </c>
      <c r="D341" s="7" t="n">
        <v>421008</v>
      </c>
      <c r="E341" s="7" t="inlineStr">
        <is>
          <t>Xã Liên Hà</t>
        </is>
      </c>
      <c r="F341" s="7" t="n">
        <v>22425000</v>
      </c>
      <c r="G341" s="7" t="inlineStr">
        <is>
          <t>Bưu Cục Thôn Phúc Hưng-Xã Tân Hà Lâm Hà-Lâm Đồng</t>
        </is>
      </c>
      <c r="H341" s="15" t="n">
        <v>22425000</v>
      </c>
      <c r="I341" s="15" t="inlineStr">
        <is>
          <t>Bưu Cục Thôn Phúc Hưng-Xã Tân Hà Lâm Hà-Lâm Đồng</t>
        </is>
      </c>
      <c r="J341" s="15" t="b">
        <v>0</v>
      </c>
      <c r="K341" s="15" t="inlineStr">
        <is>
          <t>C</t>
        </is>
      </c>
      <c r="L341" s="16" t="n">
        <v>0</v>
      </c>
      <c r="M341" s="15" t="n"/>
      <c r="N341" s="15" t="n"/>
      <c r="O341" s="15" t="inlineStr">
        <is>
          <t>Chưa mở</t>
        </is>
      </c>
      <c r="P341" s="15" t="n"/>
    </row>
    <row r="342" hidden="1" ht="15.75" customHeight="1" s="57">
      <c r="A342" s="7" t="inlineStr">
        <is>
          <t>Lâm Đồng</t>
        </is>
      </c>
      <c r="B342" s="7" t="n">
        <v>1958</v>
      </c>
      <c r="C342" s="7" t="inlineStr">
        <is>
          <t>Huyện Lâm Hà</t>
        </is>
      </c>
      <c r="D342" s="7" t="n">
        <v>421009</v>
      </c>
      <c r="E342" s="7" t="inlineStr">
        <is>
          <t>Xã Mê Linh</t>
        </is>
      </c>
      <c r="F342" s="7" t="n">
        <v>21458000</v>
      </c>
      <c r="G342" s="7" t="inlineStr">
        <is>
          <t>Bưu Cục TDP Ba Đình-Lâm Hà-Lâm Đồng</t>
        </is>
      </c>
      <c r="H342" s="15" t="n">
        <v>21458000</v>
      </c>
      <c r="I342" s="15" t="inlineStr">
        <is>
          <t>Bưu Cục TDP Ba Đình-Lâm Hà-Lâm Đồng</t>
        </is>
      </c>
      <c r="J342" s="15" t="b">
        <v>0</v>
      </c>
      <c r="K342" s="15" t="inlineStr">
        <is>
          <t>C</t>
        </is>
      </c>
      <c r="L342" s="16" t="n">
        <v>0</v>
      </c>
      <c r="M342" s="15" t="n"/>
      <c r="N342" s="15" t="n"/>
      <c r="O342" s="15" t="inlineStr">
        <is>
          <t>Chưa mở</t>
        </is>
      </c>
      <c r="P342" s="15" t="n"/>
    </row>
    <row r="343" hidden="1" ht="15.75" customHeight="1" s="57">
      <c r="A343" s="7" t="inlineStr">
        <is>
          <t>Lâm Đồng</t>
        </is>
      </c>
      <c r="B343" s="7" t="n">
        <v>1958</v>
      </c>
      <c r="C343" s="7" t="inlineStr">
        <is>
          <t>Huyện Lâm Hà</t>
        </is>
      </c>
      <c r="D343" s="7" t="n">
        <v>421010</v>
      </c>
      <c r="E343" s="7" t="inlineStr">
        <is>
          <t>Xã Nam Hà</t>
        </is>
      </c>
      <c r="F343" s="7" t="n">
        <v>21458000</v>
      </c>
      <c r="G343" s="7" t="inlineStr">
        <is>
          <t>Bưu Cục TDP Ba Đình-Lâm Hà-Lâm Đồng</t>
        </is>
      </c>
      <c r="H343" s="15" t="n">
        <v>21458000</v>
      </c>
      <c r="I343" s="15" t="inlineStr">
        <is>
          <t>Bưu Cục TDP Ba Đình-Lâm Hà-Lâm Đồng</t>
        </is>
      </c>
      <c r="J343" s="15" t="b">
        <v>0</v>
      </c>
      <c r="K343" s="15" t="inlineStr">
        <is>
          <t>C</t>
        </is>
      </c>
      <c r="L343" s="16" t="n">
        <v>0</v>
      </c>
      <c r="M343" s="15" t="n"/>
      <c r="N343" s="15" t="n"/>
      <c r="O343" s="15" t="inlineStr">
        <is>
          <t>Chưa mở</t>
        </is>
      </c>
      <c r="P343" s="15" t="n"/>
    </row>
    <row r="344" hidden="1" ht="15.75" customHeight="1" s="57">
      <c r="A344" s="7" t="inlineStr">
        <is>
          <t>Lâm Đồng</t>
        </is>
      </c>
      <c r="B344" s="7" t="n">
        <v>1958</v>
      </c>
      <c r="C344" s="7" t="inlineStr">
        <is>
          <t>Huyện Lâm Hà</t>
        </is>
      </c>
      <c r="D344" s="7" t="n">
        <v>421011</v>
      </c>
      <c r="E344" s="7" t="inlineStr">
        <is>
          <t>Xã Phi Tô</t>
        </is>
      </c>
      <c r="F344" s="7" t="n">
        <v>21294000</v>
      </c>
      <c r="G344" s="7" t="inlineStr">
        <is>
          <t>Bưu cục Đinh Văn-Lâm Hà-Lâm Đồng</t>
        </is>
      </c>
      <c r="H344" s="15" t="n">
        <v>21294000</v>
      </c>
      <c r="I344" s="15" t="inlineStr">
        <is>
          <t>Bưu cục Đinh Văn-Lâm Hà-Lâm Đồng</t>
        </is>
      </c>
      <c r="J344" s="15" t="b">
        <v>0</v>
      </c>
      <c r="K344" s="15" t="inlineStr">
        <is>
          <t>C</t>
        </is>
      </c>
      <c r="L344" s="16" t="n">
        <v>0</v>
      </c>
      <c r="M344" s="15" t="n"/>
      <c r="N344" s="15" t="n"/>
      <c r="O344" s="15" t="inlineStr">
        <is>
          <t>Chưa mở</t>
        </is>
      </c>
      <c r="P344" s="15" t="n"/>
    </row>
    <row r="345" hidden="1" ht="15.75" customHeight="1" s="57">
      <c r="A345" s="7" t="inlineStr">
        <is>
          <t>Lâm Đồng</t>
        </is>
      </c>
      <c r="B345" s="7" t="n">
        <v>1958</v>
      </c>
      <c r="C345" s="7" t="inlineStr">
        <is>
          <t>Huyện Lâm Hà</t>
        </is>
      </c>
      <c r="D345" s="7" t="n">
        <v>421012</v>
      </c>
      <c r="E345" s="7" t="inlineStr">
        <is>
          <t>Xã Phú Sơn</t>
        </is>
      </c>
      <c r="F345" s="7" t="n">
        <v>21294000</v>
      </c>
      <c r="G345" s="7" t="inlineStr">
        <is>
          <t>Bưu cục Đinh Văn-Lâm Hà-Lâm Đồng</t>
        </is>
      </c>
      <c r="H345" s="15" t="n">
        <v>21294000</v>
      </c>
      <c r="I345" s="15" t="inlineStr">
        <is>
          <t>Bưu cục Đinh Văn-Lâm Hà-Lâm Đồng</t>
        </is>
      </c>
      <c r="J345" s="15" t="b">
        <v>0</v>
      </c>
      <c r="K345" s="15" t="inlineStr">
        <is>
          <t>C</t>
        </is>
      </c>
      <c r="L345" s="16" t="n">
        <v>0</v>
      </c>
      <c r="M345" s="15" t="n"/>
      <c r="N345" s="15" t="n"/>
      <c r="O345" s="15" t="inlineStr">
        <is>
          <t>Chưa mở</t>
        </is>
      </c>
      <c r="P345" s="15" t="n"/>
    </row>
    <row r="346" hidden="1" ht="15.75" customHeight="1" s="57">
      <c r="A346" s="7" t="inlineStr">
        <is>
          <t>Lâm Đồng</t>
        </is>
      </c>
      <c r="B346" s="7" t="n">
        <v>1958</v>
      </c>
      <c r="C346" s="7" t="inlineStr">
        <is>
          <t>Huyện Lâm Hà</t>
        </is>
      </c>
      <c r="D346" s="7" t="n">
        <v>421013</v>
      </c>
      <c r="E346" s="7" t="inlineStr">
        <is>
          <t>Xã Phúc Thọ</t>
        </is>
      </c>
      <c r="F346" s="7" t="n">
        <v>22425000</v>
      </c>
      <c r="G346" s="7" t="inlineStr">
        <is>
          <t>Bưu Cục Thôn Phúc Hưng-Xã Tân Hà Lâm Hà-Lâm Đồng</t>
        </is>
      </c>
      <c r="H346" s="15" t="n">
        <v>22425000</v>
      </c>
      <c r="I346" s="15" t="inlineStr">
        <is>
          <t>Bưu Cục Thôn Phúc Hưng-Xã Tân Hà Lâm Hà-Lâm Đồng</t>
        </is>
      </c>
      <c r="J346" s="15" t="b">
        <v>0</v>
      </c>
      <c r="K346" s="15" t="inlineStr">
        <is>
          <t>C</t>
        </is>
      </c>
      <c r="L346" s="16" t="n">
        <v>0</v>
      </c>
      <c r="M346" s="15" t="n"/>
      <c r="N346" s="15" t="n"/>
      <c r="O346" s="15" t="inlineStr">
        <is>
          <t>Chưa mở</t>
        </is>
      </c>
      <c r="P346" s="15" t="n"/>
    </row>
    <row r="347" hidden="1" ht="15.75" customHeight="1" s="57">
      <c r="A347" s="7" t="inlineStr">
        <is>
          <t>Lâm Đồng</t>
        </is>
      </c>
      <c r="B347" s="7" t="n">
        <v>1958</v>
      </c>
      <c r="C347" s="7" t="inlineStr">
        <is>
          <t>Huyện Lâm Hà</t>
        </is>
      </c>
      <c r="D347" s="7" t="n">
        <v>421014</v>
      </c>
      <c r="E347" s="7" t="inlineStr">
        <is>
          <t>Xã Tân Hà</t>
        </is>
      </c>
      <c r="F347" s="7" t="n">
        <v>22425000</v>
      </c>
      <c r="G347" s="7" t="inlineStr">
        <is>
          <t>Bưu Cục Thôn Phúc Hưng-Xã Tân Hà Lâm Hà-Lâm Đồng</t>
        </is>
      </c>
      <c r="H347" s="15" t="n">
        <v>22425000</v>
      </c>
      <c r="I347" s="15" t="inlineStr">
        <is>
          <t>Bưu Cục Thôn Phúc Hưng-Xã Tân Hà Lâm Hà-Lâm Đồng</t>
        </is>
      </c>
      <c r="J347" s="15" t="b">
        <v>1</v>
      </c>
      <c r="K347" s="15" t="inlineStr">
        <is>
          <t>A</t>
        </is>
      </c>
      <c r="L347" s="16" t="n">
        <v>1</v>
      </c>
      <c r="M347" s="15" t="n">
        <v>20</v>
      </c>
      <c r="N347" s="15" t="n">
        <v>15</v>
      </c>
      <c r="O347" s="15" t="inlineStr">
        <is>
          <t>Đã mở</t>
        </is>
      </c>
      <c r="P347" s="15" t="n"/>
    </row>
    <row r="348" hidden="1" ht="15.75" customHeight="1" s="57">
      <c r="A348" s="7" t="inlineStr">
        <is>
          <t>Lâm Đồng</t>
        </is>
      </c>
      <c r="B348" s="7" t="n">
        <v>1958</v>
      </c>
      <c r="C348" s="7" t="inlineStr">
        <is>
          <t>Huyện Lâm Hà</t>
        </is>
      </c>
      <c r="D348" s="7" t="n">
        <v>421015</v>
      </c>
      <c r="E348" s="7" t="inlineStr">
        <is>
          <t>Xã Tân Thanh</t>
        </is>
      </c>
      <c r="F348" s="7" t="n">
        <v>22425000</v>
      </c>
      <c r="G348" s="7" t="inlineStr">
        <is>
          <t>Bưu Cục Thôn Phúc Hưng-Xã Tân Hà Lâm Hà-Lâm Đồng</t>
        </is>
      </c>
      <c r="H348" s="15" t="n">
        <v>22425000</v>
      </c>
      <c r="I348" s="15" t="inlineStr">
        <is>
          <t>Bưu Cục Thôn Phúc Hưng-Xã Tân Hà Lâm Hà-Lâm Đồng</t>
        </is>
      </c>
      <c r="J348" s="15" t="b">
        <v>0</v>
      </c>
      <c r="K348" s="15" t="inlineStr">
        <is>
          <t>C</t>
        </is>
      </c>
      <c r="L348" s="16" t="n">
        <v>0</v>
      </c>
      <c r="M348" s="15" t="n"/>
      <c r="N348" s="15" t="n"/>
      <c r="O348" s="15" t="inlineStr">
        <is>
          <t>Chưa mở</t>
        </is>
      </c>
      <c r="P348" s="15" t="n"/>
    </row>
    <row r="349" hidden="1" ht="15.75" customHeight="1" s="57">
      <c r="A349" s="7" t="inlineStr">
        <is>
          <t>Lâm Đồng</t>
        </is>
      </c>
      <c r="B349" s="7" t="n">
        <v>1958</v>
      </c>
      <c r="C349" s="7" t="inlineStr">
        <is>
          <t>Huyện Lâm Hà</t>
        </is>
      </c>
      <c r="D349" s="7" t="n">
        <v>421016</v>
      </c>
      <c r="E349" s="7" t="inlineStr">
        <is>
          <t>Xã Tân Văn</t>
        </is>
      </c>
      <c r="F349" s="7" t="n">
        <v>21294000</v>
      </c>
      <c r="G349" s="7" t="inlineStr">
        <is>
          <t>Bưu cục Đinh Văn-Lâm Hà-Lâm Đồng</t>
        </is>
      </c>
      <c r="H349" s="15" t="n">
        <v>21294000</v>
      </c>
      <c r="I349" s="15" t="inlineStr">
        <is>
          <t>Bưu cục Đinh Văn-Lâm Hà-Lâm Đồng</t>
        </is>
      </c>
      <c r="J349" s="15" t="b">
        <v>1</v>
      </c>
      <c r="K349" s="15" t="inlineStr">
        <is>
          <t>A</t>
        </is>
      </c>
      <c r="L349" s="16" t="n">
        <v>1</v>
      </c>
      <c r="M349" s="15" t="n">
        <v>20</v>
      </c>
      <c r="N349" s="15" t="n">
        <v>15</v>
      </c>
      <c r="O349" s="15" t="inlineStr">
        <is>
          <t>Đã mở</t>
        </is>
      </c>
      <c r="P349" s="15" t="n"/>
    </row>
    <row r="350" hidden="1" ht="15.75" customHeight="1" s="57">
      <c r="A350" s="7" t="inlineStr">
        <is>
          <t>Ninh Thuận</t>
        </is>
      </c>
      <c r="B350" s="7" t="n">
        <v>1985</v>
      </c>
      <c r="C350" s="7" t="inlineStr">
        <is>
          <t>Huyện Ninh Hải</t>
        </is>
      </c>
      <c r="D350" s="7" t="n">
        <v>450301</v>
      </c>
      <c r="E350" s="7" t="inlineStr">
        <is>
          <t>Thị trấn Khánh Hải</t>
        </is>
      </c>
      <c r="F350" s="7" t="n">
        <v>20648000</v>
      </c>
      <c r="G350" s="7" t="inlineStr">
        <is>
          <t>Bưu Cục 51 Phạm Ngọc Thạch-Ninh Hải-Ninh Thuận</t>
        </is>
      </c>
      <c r="H350" s="15" t="n">
        <v>20648000</v>
      </c>
      <c r="I350" s="15" t="inlineStr">
        <is>
          <t>Bưu Cục 51 Phạm Ngọc Thạch-Ninh Hải-Ninh Thuận</t>
        </is>
      </c>
      <c r="J350" s="15" t="b">
        <v>1</v>
      </c>
      <c r="K350" s="15" t="inlineStr">
        <is>
          <t>A</t>
        </is>
      </c>
      <c r="L350" s="16" t="n">
        <v>1</v>
      </c>
      <c r="M350" s="15" t="n">
        <v>20</v>
      </c>
      <c r="N350" s="15" t="n">
        <v>15</v>
      </c>
      <c r="O350" s="15" t="inlineStr">
        <is>
          <t>Đã mở</t>
        </is>
      </c>
      <c r="P350" s="15" t="n"/>
    </row>
    <row r="351" hidden="1" ht="15.75" customHeight="1" s="57">
      <c r="A351" s="7" t="inlineStr">
        <is>
          <t>Ninh Thuận</t>
        </is>
      </c>
      <c r="B351" s="7" t="n">
        <v>1985</v>
      </c>
      <c r="C351" s="7" t="inlineStr">
        <is>
          <t>Huyện Ninh Hải</t>
        </is>
      </c>
      <c r="D351" s="7" t="n">
        <v>450302</v>
      </c>
      <c r="E351" s="7" t="inlineStr">
        <is>
          <t>Xã Hộ Hải</t>
        </is>
      </c>
      <c r="F351" s="7" t="n">
        <v>20648000</v>
      </c>
      <c r="G351" s="7" t="inlineStr">
        <is>
          <t>Bưu Cục 51 Phạm Ngọc Thạch-Ninh Hải-Ninh Thuận</t>
        </is>
      </c>
      <c r="H351" s="15" t="n">
        <v>20648000</v>
      </c>
      <c r="I351" s="15" t="inlineStr">
        <is>
          <t>Bưu Cục 51 Phạm Ngọc Thạch-Ninh Hải-Ninh Thuận</t>
        </is>
      </c>
      <c r="J351" s="15" t="b">
        <v>1</v>
      </c>
      <c r="K351" s="15" t="inlineStr">
        <is>
          <t>A</t>
        </is>
      </c>
      <c r="L351" s="16" t="n">
        <v>1</v>
      </c>
      <c r="M351" s="15" t="n">
        <v>20</v>
      </c>
      <c r="N351" s="15" t="n">
        <v>15</v>
      </c>
      <c r="O351" s="15" t="inlineStr">
        <is>
          <t>Đã mở</t>
        </is>
      </c>
      <c r="P351" s="15" t="n"/>
    </row>
    <row r="352" hidden="1" ht="15.75" customHeight="1" s="57">
      <c r="A352" s="7" t="inlineStr">
        <is>
          <t>Ninh Thuận</t>
        </is>
      </c>
      <c r="B352" s="7" t="n">
        <v>1985</v>
      </c>
      <c r="C352" s="7" t="inlineStr">
        <is>
          <t>Huyện Ninh Hải</t>
        </is>
      </c>
      <c r="D352" s="7" t="n">
        <v>450303</v>
      </c>
      <c r="E352" s="7" t="inlineStr">
        <is>
          <t>Xã Nhơn Hải</t>
        </is>
      </c>
      <c r="F352" s="7" t="n">
        <v>20648000</v>
      </c>
      <c r="G352" s="7" t="inlineStr">
        <is>
          <t>Bưu Cục 51 Phạm Ngọc Thạch-Ninh Hải-Ninh Thuận</t>
        </is>
      </c>
      <c r="H352" s="15" t="n">
        <v>20648000</v>
      </c>
      <c r="I352" s="15" t="inlineStr">
        <is>
          <t>Bưu Cục 51 Phạm Ngọc Thạch-Ninh Hải-Ninh Thuận</t>
        </is>
      </c>
      <c r="J352" s="15" t="b">
        <v>1</v>
      </c>
      <c r="K352" s="15" t="inlineStr">
        <is>
          <t>A</t>
        </is>
      </c>
      <c r="L352" s="16" t="n">
        <v>1</v>
      </c>
      <c r="M352" s="15" t="n">
        <v>20</v>
      </c>
      <c r="N352" s="15" t="n">
        <v>15</v>
      </c>
      <c r="O352" s="15" t="inlineStr">
        <is>
          <t>Đã mở</t>
        </is>
      </c>
      <c r="P352" s="15" t="n"/>
    </row>
    <row r="353" hidden="1" ht="15.75" customHeight="1" s="57">
      <c r="A353" s="7" t="inlineStr">
        <is>
          <t>Ninh Thuận</t>
        </is>
      </c>
      <c r="B353" s="7" t="n">
        <v>1985</v>
      </c>
      <c r="C353" s="7" t="inlineStr">
        <is>
          <t>Huyện Ninh Hải</t>
        </is>
      </c>
      <c r="D353" s="7" t="n">
        <v>450304</v>
      </c>
      <c r="E353" s="7" t="inlineStr">
        <is>
          <t>Xã Phương Hải</t>
        </is>
      </c>
      <c r="F353" s="7" t="n">
        <v>20648000</v>
      </c>
      <c r="G353" s="7" t="inlineStr">
        <is>
          <t>Bưu Cục 51 Phạm Ngọc Thạch-Ninh Hải-Ninh Thuận</t>
        </is>
      </c>
      <c r="H353" s="15" t="n">
        <v>20648000</v>
      </c>
      <c r="I353" s="15" t="inlineStr">
        <is>
          <t>Bưu Cục 51 Phạm Ngọc Thạch-Ninh Hải-Ninh Thuận</t>
        </is>
      </c>
      <c r="J353" s="15" t="b">
        <v>0</v>
      </c>
      <c r="K353" s="15" t="inlineStr">
        <is>
          <t>C</t>
        </is>
      </c>
      <c r="L353" s="16" t="n">
        <v>0</v>
      </c>
      <c r="M353" s="15" t="n"/>
      <c r="N353" s="15" t="n"/>
      <c r="O353" s="15" t="inlineStr">
        <is>
          <t>Chưa mở</t>
        </is>
      </c>
      <c r="P353" s="15" t="n"/>
    </row>
    <row r="354" hidden="1" ht="15.75" customHeight="1" s="57">
      <c r="A354" s="7" t="inlineStr">
        <is>
          <t>Ninh Thuận</t>
        </is>
      </c>
      <c r="B354" s="7" t="n">
        <v>1985</v>
      </c>
      <c r="C354" s="7" t="inlineStr">
        <is>
          <t>Huyện Ninh Hải</t>
        </is>
      </c>
      <c r="D354" s="7" t="n">
        <v>450305</v>
      </c>
      <c r="E354" s="7" t="inlineStr">
        <is>
          <t>Xã Tân Hải</t>
        </is>
      </c>
      <c r="F354" s="7" t="n">
        <v>20648000</v>
      </c>
      <c r="G354" s="7" t="inlineStr">
        <is>
          <t>Bưu Cục 51 Phạm Ngọc Thạch-Ninh Hải-Ninh Thuận</t>
        </is>
      </c>
      <c r="H354" s="15" t="n">
        <v>20648000</v>
      </c>
      <c r="I354" s="15" t="inlineStr">
        <is>
          <t>Bưu Cục 51 Phạm Ngọc Thạch-Ninh Hải-Ninh Thuận</t>
        </is>
      </c>
      <c r="J354" s="15" t="b">
        <v>0</v>
      </c>
      <c r="K354" s="15" t="inlineStr">
        <is>
          <t>C</t>
        </is>
      </c>
      <c r="L354" s="16" t="n">
        <v>0</v>
      </c>
      <c r="M354" s="15" t="n"/>
      <c r="N354" s="15" t="n"/>
      <c r="O354" s="15" t="inlineStr">
        <is>
          <t>Chưa mở</t>
        </is>
      </c>
      <c r="P354" s="15" t="n"/>
    </row>
    <row r="355" hidden="1" ht="15.75" customHeight="1" s="57">
      <c r="A355" s="7" t="inlineStr">
        <is>
          <t>Ninh Thuận</t>
        </is>
      </c>
      <c r="B355" s="7" t="n">
        <v>1985</v>
      </c>
      <c r="C355" s="7" t="inlineStr">
        <is>
          <t>Huyện Ninh Hải</t>
        </is>
      </c>
      <c r="D355" s="7" t="n">
        <v>450306</v>
      </c>
      <c r="E355" s="7" t="inlineStr">
        <is>
          <t>Xã Thanh Hải</t>
        </is>
      </c>
      <c r="F355" s="7" t="n">
        <v>20648000</v>
      </c>
      <c r="G355" s="7" t="inlineStr">
        <is>
          <t>Bưu Cục 51 Phạm Ngọc Thạch-Ninh Hải-Ninh Thuận</t>
        </is>
      </c>
      <c r="H355" s="15" t="n">
        <v>20648000</v>
      </c>
      <c r="I355" s="15" t="inlineStr">
        <is>
          <t>Bưu Cục 51 Phạm Ngọc Thạch-Ninh Hải-Ninh Thuận</t>
        </is>
      </c>
      <c r="J355" s="15" t="b">
        <v>0</v>
      </c>
      <c r="K355" s="15" t="inlineStr">
        <is>
          <t>C</t>
        </is>
      </c>
      <c r="L355" s="16" t="n">
        <v>0</v>
      </c>
      <c r="M355" s="15" t="n"/>
      <c r="N355" s="15" t="n"/>
      <c r="O355" s="15" t="inlineStr">
        <is>
          <t>Chưa mở</t>
        </is>
      </c>
      <c r="P355" s="15" t="n"/>
    </row>
    <row r="356" hidden="1" ht="15.75" customHeight="1" s="57">
      <c r="A356" s="7" t="inlineStr">
        <is>
          <t>Ninh Thuận</t>
        </is>
      </c>
      <c r="B356" s="7" t="n">
        <v>1985</v>
      </c>
      <c r="C356" s="7" t="inlineStr">
        <is>
          <t>Huyện Ninh Hải</t>
        </is>
      </c>
      <c r="D356" s="7" t="n">
        <v>450307</v>
      </c>
      <c r="E356" s="7" t="inlineStr">
        <is>
          <t>Xã Tri Hải</t>
        </is>
      </c>
      <c r="F356" s="7" t="n">
        <v>20648000</v>
      </c>
      <c r="G356" s="7" t="inlineStr">
        <is>
          <t>Bưu Cục 51 Phạm Ngọc Thạch-Ninh Hải-Ninh Thuận</t>
        </is>
      </c>
      <c r="H356" s="15" t="n">
        <v>20648000</v>
      </c>
      <c r="I356" s="15" t="inlineStr">
        <is>
          <t>Bưu Cục 51 Phạm Ngọc Thạch-Ninh Hải-Ninh Thuận</t>
        </is>
      </c>
      <c r="J356" s="15" t="b">
        <v>1</v>
      </c>
      <c r="K356" s="15" t="inlineStr">
        <is>
          <t>A</t>
        </is>
      </c>
      <c r="L356" s="16" t="n">
        <v>1</v>
      </c>
      <c r="M356" s="15" t="n">
        <v>20</v>
      </c>
      <c r="N356" s="15" t="n">
        <v>15</v>
      </c>
      <c r="O356" s="15" t="inlineStr">
        <is>
          <t>Đã mở</t>
        </is>
      </c>
      <c r="P356" s="15" t="n"/>
    </row>
    <row r="357" hidden="1" ht="15.75" customHeight="1" s="57">
      <c r="A357" s="7" t="inlineStr">
        <is>
          <t>Ninh Thuận</t>
        </is>
      </c>
      <c r="B357" s="7" t="n">
        <v>1985</v>
      </c>
      <c r="C357" s="7" t="inlineStr">
        <is>
          <t>Huyện Ninh Hải</t>
        </is>
      </c>
      <c r="D357" s="7" t="n">
        <v>450308</v>
      </c>
      <c r="E357" s="7" t="inlineStr">
        <is>
          <t>Xã Vĩnh Hải</t>
        </is>
      </c>
      <c r="F357" s="7" t="n">
        <v>20648000</v>
      </c>
      <c r="G357" s="7" t="inlineStr">
        <is>
          <t>Bưu Cục 51 Phạm Ngọc Thạch-Ninh Hải-Ninh Thuận</t>
        </is>
      </c>
      <c r="H357" s="15" t="n">
        <v>20648000</v>
      </c>
      <c r="I357" s="15" t="inlineStr">
        <is>
          <t>Bưu Cục 51 Phạm Ngọc Thạch-Ninh Hải-Ninh Thuận</t>
        </is>
      </c>
      <c r="J357" s="15" t="b">
        <v>0</v>
      </c>
      <c r="K357" s="15" t="inlineStr">
        <is>
          <t>C</t>
        </is>
      </c>
      <c r="L357" s="16" t="n">
        <v>0</v>
      </c>
      <c r="M357" s="15" t="n"/>
      <c r="N357" s="15" t="n"/>
      <c r="O357" s="15" t="inlineStr">
        <is>
          <t>Chưa mở</t>
        </is>
      </c>
      <c r="P357" s="15" t="n"/>
    </row>
    <row r="358" hidden="1" ht="15.75" customHeight="1" s="57">
      <c r="A358" s="7" t="inlineStr">
        <is>
          <t>Ninh Thuận</t>
        </is>
      </c>
      <c r="B358" s="7" t="n">
        <v>1985</v>
      </c>
      <c r="C358" s="7" t="inlineStr">
        <is>
          <t>Huyện Ninh Hải</t>
        </is>
      </c>
      <c r="D358" s="7" t="n">
        <v>450309</v>
      </c>
      <c r="E358" s="7" t="inlineStr">
        <is>
          <t>Xã Xuân Hải</t>
        </is>
      </c>
      <c r="F358" s="7" t="n">
        <v>20648000</v>
      </c>
      <c r="G358" s="7" t="inlineStr">
        <is>
          <t>Bưu Cục 51 Phạm Ngọc Thạch-Ninh Hải-Ninh Thuận</t>
        </is>
      </c>
      <c r="H358" s="15" t="n">
        <v>20648000</v>
      </c>
      <c r="I358" s="15" t="inlineStr">
        <is>
          <t>Bưu Cục 51 Phạm Ngọc Thạch-Ninh Hải-Ninh Thuận</t>
        </is>
      </c>
      <c r="J358" s="15" t="b">
        <v>0</v>
      </c>
      <c r="K358" s="15" t="inlineStr">
        <is>
          <t>C</t>
        </is>
      </c>
      <c r="L358" s="16" t="n">
        <v>0</v>
      </c>
      <c r="M358" s="15" t="n"/>
      <c r="N358" s="15" t="n"/>
      <c r="O358" s="15" t="inlineStr">
        <is>
          <t>Chưa mở</t>
        </is>
      </c>
      <c r="P358" s="15" t="n"/>
    </row>
    <row r="359" hidden="1" ht="15.75" customHeight="1" s="57">
      <c r="A359" s="7" t="inlineStr">
        <is>
          <t>Ninh Thuận</t>
        </is>
      </c>
      <c r="B359" s="7" t="n">
        <v>1986</v>
      </c>
      <c r="C359" s="7" t="inlineStr">
        <is>
          <t>Huyện Ninh Phước</t>
        </is>
      </c>
      <c r="D359" s="7" t="n">
        <v>450401</v>
      </c>
      <c r="E359" s="7" t="inlineStr">
        <is>
          <t>Thị trấn Phước Dân</t>
        </is>
      </c>
      <c r="F359" s="7" t="n">
        <v>20499000</v>
      </c>
      <c r="G359" s="7" t="inlineStr">
        <is>
          <t>Bưu Cục Quốc Lộ 1A-Ninh Phước-Ninh Thuận</t>
        </is>
      </c>
      <c r="H359" s="15" t="n">
        <v>20499000</v>
      </c>
      <c r="I359" s="15" t="inlineStr">
        <is>
          <t>Bưu Cục Quốc Lộ 1A-Ninh Phước-Ninh Thuận</t>
        </is>
      </c>
      <c r="J359" s="15" t="b">
        <v>1</v>
      </c>
      <c r="K359" s="15" t="inlineStr">
        <is>
          <t>A</t>
        </is>
      </c>
      <c r="L359" s="16" t="n">
        <v>1</v>
      </c>
      <c r="M359" s="15" t="n">
        <v>20</v>
      </c>
      <c r="N359" s="15" t="n">
        <v>15</v>
      </c>
      <c r="O359" s="15" t="inlineStr">
        <is>
          <t>Đã mở</t>
        </is>
      </c>
      <c r="P359" s="15" t="n"/>
    </row>
    <row r="360" hidden="1" ht="15.75" customHeight="1" s="57">
      <c r="A360" s="7" t="inlineStr">
        <is>
          <t>Ninh Thuận</t>
        </is>
      </c>
      <c r="B360" s="7" t="n">
        <v>1986</v>
      </c>
      <c r="C360" s="7" t="inlineStr">
        <is>
          <t>Huyện Ninh Phước</t>
        </is>
      </c>
      <c r="D360" s="7" t="n">
        <v>450402</v>
      </c>
      <c r="E360" s="7" t="inlineStr">
        <is>
          <t>Xã An Hải</t>
        </is>
      </c>
      <c r="F360" s="7" t="n">
        <v>20499000</v>
      </c>
      <c r="G360" s="7" t="inlineStr">
        <is>
          <t>Bưu Cục Quốc Lộ 1A-Ninh Phước-Ninh Thuận</t>
        </is>
      </c>
      <c r="H360" s="15" t="n">
        <v>20499000</v>
      </c>
      <c r="I360" s="15" t="inlineStr">
        <is>
          <t>Bưu Cục Quốc Lộ 1A-Ninh Phước-Ninh Thuận</t>
        </is>
      </c>
      <c r="J360" s="15" t="b">
        <v>1</v>
      </c>
      <c r="K360" s="15" t="inlineStr">
        <is>
          <t>A</t>
        </is>
      </c>
      <c r="L360" s="16" t="n">
        <v>1</v>
      </c>
      <c r="M360" s="15" t="n">
        <v>20</v>
      </c>
      <c r="N360" s="15" t="n">
        <v>15</v>
      </c>
      <c r="O360" s="15" t="inlineStr">
        <is>
          <t>Đã mở</t>
        </is>
      </c>
      <c r="P360" s="15" t="n"/>
    </row>
    <row r="361" hidden="1" ht="15.75" customHeight="1" s="57">
      <c r="A361" s="7" t="inlineStr">
        <is>
          <t>Ninh Thuận</t>
        </is>
      </c>
      <c r="B361" s="7" t="n">
        <v>1986</v>
      </c>
      <c r="C361" s="7" t="inlineStr">
        <is>
          <t>Huyện Ninh Phước</t>
        </is>
      </c>
      <c r="D361" s="7" t="n">
        <v>450403</v>
      </c>
      <c r="E361" s="7" t="inlineStr">
        <is>
          <t>Xã Phước Hải</t>
        </is>
      </c>
      <c r="F361" s="7" t="n">
        <v>20499000</v>
      </c>
      <c r="G361" s="7" t="inlineStr">
        <is>
          <t>Bưu Cục Quốc Lộ 1A-Ninh Phước-Ninh Thuận</t>
        </is>
      </c>
      <c r="H361" s="15" t="n">
        <v>20499000</v>
      </c>
      <c r="I361" s="15" t="inlineStr">
        <is>
          <t>Bưu Cục Quốc Lộ 1A-Ninh Phước-Ninh Thuận</t>
        </is>
      </c>
      <c r="J361" s="15" t="b">
        <v>0</v>
      </c>
      <c r="K361" s="15" t="inlineStr">
        <is>
          <t>C</t>
        </is>
      </c>
      <c r="L361" s="16" t="n">
        <v>0</v>
      </c>
      <c r="M361" s="15" t="n"/>
      <c r="N361" s="15" t="n"/>
      <c r="O361" s="15" t="inlineStr">
        <is>
          <t>Chưa mở</t>
        </is>
      </c>
      <c r="P361" s="15" t="n"/>
    </row>
    <row r="362" hidden="1" ht="15.75" customHeight="1" s="57">
      <c r="A362" s="7" t="inlineStr">
        <is>
          <t>Ninh Thuận</t>
        </is>
      </c>
      <c r="B362" s="7" t="n">
        <v>1986</v>
      </c>
      <c r="C362" s="7" t="inlineStr">
        <is>
          <t>Huyện Ninh Phước</t>
        </is>
      </c>
      <c r="D362" s="7" t="n">
        <v>450404</v>
      </c>
      <c r="E362" s="7" t="inlineStr">
        <is>
          <t>Xã Phước Hậu</t>
        </is>
      </c>
      <c r="F362" s="7" t="n">
        <v>20499000</v>
      </c>
      <c r="G362" s="7" t="inlineStr">
        <is>
          <t>Bưu Cục Quốc Lộ 1A-Ninh Phước-Ninh Thuận</t>
        </is>
      </c>
      <c r="H362" s="15" t="n">
        <v>20499000</v>
      </c>
      <c r="I362" s="15" t="inlineStr">
        <is>
          <t>Bưu Cục Quốc Lộ 1A-Ninh Phước-Ninh Thuận</t>
        </is>
      </c>
      <c r="J362" s="15" t="b">
        <v>1</v>
      </c>
      <c r="K362" s="15" t="inlineStr">
        <is>
          <t>A</t>
        </is>
      </c>
      <c r="L362" s="16" t="n">
        <v>1</v>
      </c>
      <c r="M362" s="15" t="n">
        <v>20</v>
      </c>
      <c r="N362" s="15" t="n">
        <v>15</v>
      </c>
      <c r="O362" s="15" t="inlineStr">
        <is>
          <t>Đã mở</t>
        </is>
      </c>
      <c r="P362" s="15" t="n"/>
    </row>
    <row r="363" hidden="1" ht="15.75" customHeight="1" s="57">
      <c r="A363" s="7" t="inlineStr">
        <is>
          <t>Ninh Thuận</t>
        </is>
      </c>
      <c r="B363" s="7" t="n">
        <v>1986</v>
      </c>
      <c r="C363" s="7" t="inlineStr">
        <is>
          <t>Huyện Ninh Phước</t>
        </is>
      </c>
      <c r="D363" s="7" t="n">
        <v>450405</v>
      </c>
      <c r="E363" s="7" t="inlineStr">
        <is>
          <t>Xã Phước Hữu</t>
        </is>
      </c>
      <c r="F363" s="7" t="n">
        <v>20499000</v>
      </c>
      <c r="G363" s="7" t="inlineStr">
        <is>
          <t>Bưu Cục Quốc Lộ 1A-Ninh Phước-Ninh Thuận</t>
        </is>
      </c>
      <c r="H363" s="15" t="n">
        <v>20499000</v>
      </c>
      <c r="I363" s="15" t="inlineStr">
        <is>
          <t>Bưu Cục Quốc Lộ 1A-Ninh Phước-Ninh Thuận</t>
        </is>
      </c>
      <c r="J363" s="15" t="b">
        <v>1</v>
      </c>
      <c r="K363" s="15" t="inlineStr">
        <is>
          <t>C</t>
        </is>
      </c>
      <c r="L363" s="16" t="n">
        <v>0</v>
      </c>
      <c r="M363" s="15" t="n"/>
      <c r="N363" s="15" t="n"/>
      <c r="O363" s="15" t="inlineStr">
        <is>
          <t>Đã mở</t>
        </is>
      </c>
      <c r="P363" s="15" t="n"/>
    </row>
    <row r="364" hidden="1" ht="15.75" customHeight="1" s="57">
      <c r="A364" s="7" t="inlineStr">
        <is>
          <t>Ninh Thuận</t>
        </is>
      </c>
      <c r="B364" s="7" t="n">
        <v>1986</v>
      </c>
      <c r="C364" s="7" t="inlineStr">
        <is>
          <t>Huyện Ninh Phước</t>
        </is>
      </c>
      <c r="D364" s="7" t="n">
        <v>450406</v>
      </c>
      <c r="E364" s="7" t="inlineStr">
        <is>
          <t>Xã Phước Sơn</t>
        </is>
      </c>
      <c r="F364" s="7" t="n">
        <v>20499000</v>
      </c>
      <c r="G364" s="7" t="inlineStr">
        <is>
          <t>Bưu Cục Quốc Lộ 1A-Ninh Phước-Ninh Thuận</t>
        </is>
      </c>
      <c r="H364" s="15" t="n">
        <v>20499000</v>
      </c>
      <c r="I364" s="15" t="inlineStr">
        <is>
          <t>Bưu Cục Quốc Lộ 1A-Ninh Phước-Ninh Thuận</t>
        </is>
      </c>
      <c r="J364" s="15" t="b">
        <v>0</v>
      </c>
      <c r="K364" s="15" t="inlineStr">
        <is>
          <t>C</t>
        </is>
      </c>
      <c r="L364" s="16" t="n">
        <v>0</v>
      </c>
      <c r="M364" s="15" t="n"/>
      <c r="N364" s="15" t="n"/>
      <c r="O364" s="15" t="inlineStr">
        <is>
          <t>Chưa mở</t>
        </is>
      </c>
      <c r="P364" s="15" t="n"/>
    </row>
    <row r="365" hidden="1" ht="15.75" customHeight="1" s="57">
      <c r="A365" s="7" t="inlineStr">
        <is>
          <t>Ninh Thuận</t>
        </is>
      </c>
      <c r="B365" s="7" t="n">
        <v>1986</v>
      </c>
      <c r="C365" s="7" t="inlineStr">
        <is>
          <t>Huyện Ninh Phước</t>
        </is>
      </c>
      <c r="D365" s="7" t="n">
        <v>450407</v>
      </c>
      <c r="E365" s="7" t="inlineStr">
        <is>
          <t>Xã Phước Thái</t>
        </is>
      </c>
      <c r="F365" s="7" t="n">
        <v>20499000</v>
      </c>
      <c r="G365" s="7" t="inlineStr">
        <is>
          <t>Bưu Cục Quốc Lộ 1A-Ninh Phước-Ninh Thuận</t>
        </is>
      </c>
      <c r="H365" s="15" t="n">
        <v>20499000</v>
      </c>
      <c r="I365" s="15" t="inlineStr">
        <is>
          <t>Bưu Cục Quốc Lộ 1A-Ninh Phước-Ninh Thuận</t>
        </is>
      </c>
      <c r="J365" s="15" t="b">
        <v>0</v>
      </c>
      <c r="K365" s="15" t="inlineStr">
        <is>
          <t>C</t>
        </is>
      </c>
      <c r="L365" s="16" t="n">
        <v>0</v>
      </c>
      <c r="M365" s="15" t="n"/>
      <c r="N365" s="15" t="n"/>
      <c r="O365" s="15" t="inlineStr">
        <is>
          <t>Chưa mở</t>
        </is>
      </c>
      <c r="P365" s="15" t="n"/>
    </row>
    <row r="366" hidden="1" ht="15.75" customHeight="1" s="57">
      <c r="A366" s="7" t="inlineStr">
        <is>
          <t>Ninh Thuận</t>
        </is>
      </c>
      <c r="B366" s="7" t="n">
        <v>1986</v>
      </c>
      <c r="C366" s="7" t="inlineStr">
        <is>
          <t>Huyện Ninh Phước</t>
        </is>
      </c>
      <c r="D366" s="7" t="n">
        <v>450408</v>
      </c>
      <c r="E366" s="7" t="inlineStr">
        <is>
          <t>Xã Phước Thuận</t>
        </is>
      </c>
      <c r="F366" s="7" t="n">
        <v>20499000</v>
      </c>
      <c r="G366" s="7" t="inlineStr">
        <is>
          <t>Bưu Cục Quốc Lộ 1A-Ninh Phước-Ninh Thuận</t>
        </is>
      </c>
      <c r="H366" s="15" t="n">
        <v>20499000</v>
      </c>
      <c r="I366" s="15" t="inlineStr">
        <is>
          <t>Bưu Cục Quốc Lộ 1A-Ninh Phước-Ninh Thuận</t>
        </is>
      </c>
      <c r="J366" s="15" t="b">
        <v>1</v>
      </c>
      <c r="K366" s="15" t="inlineStr">
        <is>
          <t>A</t>
        </is>
      </c>
      <c r="L366" s="16" t="n">
        <v>1</v>
      </c>
      <c r="M366" s="15" t="n">
        <v>20</v>
      </c>
      <c r="N366" s="15" t="n">
        <v>15</v>
      </c>
      <c r="O366" s="15" t="inlineStr">
        <is>
          <t>Đã mở</t>
        </is>
      </c>
      <c r="P366" s="15" t="n"/>
    </row>
    <row r="367" hidden="1" ht="15.75" customHeight="1" s="57">
      <c r="A367" s="7" t="inlineStr">
        <is>
          <t>Ninh Thuận</t>
        </is>
      </c>
      <c r="B367" s="7" t="n">
        <v>1986</v>
      </c>
      <c r="C367" s="7" t="inlineStr">
        <is>
          <t>Huyện Ninh Phước</t>
        </is>
      </c>
      <c r="D367" s="7" t="n">
        <v>450409</v>
      </c>
      <c r="E367" s="7" t="inlineStr">
        <is>
          <t>Xã Phước Vinh</t>
        </is>
      </c>
      <c r="F367" s="7" t="n">
        <v>20499000</v>
      </c>
      <c r="G367" s="7" t="inlineStr">
        <is>
          <t>Bưu Cục Quốc Lộ 1A-Ninh Phước-Ninh Thuận</t>
        </is>
      </c>
      <c r="H367" s="15" t="n">
        <v>20499000</v>
      </c>
      <c r="I367" s="15" t="inlineStr">
        <is>
          <t>Bưu Cục Quốc Lộ 1A-Ninh Phước-Ninh Thuận</t>
        </is>
      </c>
      <c r="J367" s="15" t="b">
        <v>0</v>
      </c>
      <c r="K367" s="15" t="inlineStr">
        <is>
          <t>C</t>
        </is>
      </c>
      <c r="L367" s="16" t="n">
        <v>0</v>
      </c>
      <c r="M367" s="15" t="n"/>
      <c r="N367" s="15" t="n"/>
      <c r="O367" s="15" t="inlineStr">
        <is>
          <t>Chưa mở</t>
        </is>
      </c>
      <c r="P367" s="15" t="n"/>
    </row>
    <row r="368" hidden="1" ht="15.75" customHeight="1" s="57">
      <c r="A368" s="7" t="inlineStr">
        <is>
          <t>Bình Thuận</t>
        </is>
      </c>
      <c r="B368" s="7" t="n">
        <v>2012</v>
      </c>
      <c r="C368" s="7" t="inlineStr">
        <is>
          <t>Huyện Tánh Linh</t>
        </is>
      </c>
      <c r="D368" s="7" t="n">
        <v>470801</v>
      </c>
      <c r="E368" s="7" t="inlineStr">
        <is>
          <t>Thị trấn Lạc Tánh</t>
        </is>
      </c>
      <c r="F368" s="7" t="n">
        <v>2357</v>
      </c>
      <c r="G368" s="7" t="inlineStr">
        <is>
          <t>Bưu Cục 158 Quốc lộ 55-Tánh Linh-Bình Thuận</t>
        </is>
      </c>
      <c r="H368" s="15" t="n">
        <v>2357</v>
      </c>
      <c r="I368" s="15" t="inlineStr">
        <is>
          <t>Bưu Cục 158 Quốc lộ 55-Tánh Linh-Bình Thuận</t>
        </is>
      </c>
      <c r="J368" s="15" t="b">
        <v>0</v>
      </c>
      <c r="K368" s="15" t="inlineStr">
        <is>
          <t>C</t>
        </is>
      </c>
      <c r="L368" s="16" t="n">
        <v>0</v>
      </c>
      <c r="M368" s="15" t="n"/>
      <c r="N368" s="15" t="n"/>
      <c r="O368" s="15" t="inlineStr">
        <is>
          <t>Chưa mở</t>
        </is>
      </c>
      <c r="P368" s="15" t="n"/>
    </row>
    <row r="369" hidden="1" ht="15.75" customHeight="1" s="57">
      <c r="A369" s="7" t="inlineStr">
        <is>
          <t>Bình Thuận</t>
        </is>
      </c>
      <c r="B369" s="7" t="n">
        <v>2012</v>
      </c>
      <c r="C369" s="7" t="inlineStr">
        <is>
          <t>Huyện Tánh Linh</t>
        </is>
      </c>
      <c r="D369" s="7" t="n">
        <v>470802</v>
      </c>
      <c r="E369" s="7" t="inlineStr">
        <is>
          <t>Xã Bắc Ruộng</t>
        </is>
      </c>
      <c r="F369" s="7" t="n">
        <v>2357</v>
      </c>
      <c r="G369" s="7" t="inlineStr">
        <is>
          <t>Bưu Cục 158 Quốc lộ 55-Tánh Linh-Bình Thuận</t>
        </is>
      </c>
      <c r="H369" s="15" t="n">
        <v>2357</v>
      </c>
      <c r="I369" s="15" t="inlineStr">
        <is>
          <t>Bưu Cục 158 Quốc lộ 55-Tánh Linh-Bình Thuận</t>
        </is>
      </c>
      <c r="J369" s="15" t="b">
        <v>0</v>
      </c>
      <c r="K369" s="15" t="inlineStr">
        <is>
          <t>C</t>
        </is>
      </c>
      <c r="L369" s="16" t="n">
        <v>0</v>
      </c>
      <c r="M369" s="15" t="n"/>
      <c r="N369" s="15" t="n"/>
      <c r="O369" s="15" t="inlineStr">
        <is>
          <t>Chưa mở</t>
        </is>
      </c>
      <c r="P369" s="15" t="n"/>
    </row>
    <row r="370" hidden="1" ht="15.75" customHeight="1" s="57">
      <c r="A370" s="7" t="inlineStr">
        <is>
          <t>Bình Thuận</t>
        </is>
      </c>
      <c r="B370" s="7" t="n">
        <v>2012</v>
      </c>
      <c r="C370" s="7" t="inlineStr">
        <is>
          <t>Huyện Tánh Linh</t>
        </is>
      </c>
      <c r="D370" s="7" t="n">
        <v>470803</v>
      </c>
      <c r="E370" s="7" t="inlineStr">
        <is>
          <t>Xã Đồng Kho</t>
        </is>
      </c>
      <c r="F370" s="7" t="n">
        <v>2357</v>
      </c>
      <c r="G370" s="7" t="inlineStr">
        <is>
          <t>Bưu Cục 158 Quốc lộ 55-Tánh Linh-Bình Thuận</t>
        </is>
      </c>
      <c r="H370" s="15" t="n">
        <v>2357</v>
      </c>
      <c r="I370" s="15" t="inlineStr">
        <is>
          <t>Bưu Cục 158 Quốc lộ 55-Tánh Linh-Bình Thuận</t>
        </is>
      </c>
      <c r="J370" s="15" t="b">
        <v>0</v>
      </c>
      <c r="K370" s="15" t="inlineStr">
        <is>
          <t>C</t>
        </is>
      </c>
      <c r="L370" s="16" t="n">
        <v>0</v>
      </c>
      <c r="M370" s="15" t="n"/>
      <c r="N370" s="15" t="n"/>
      <c r="O370" s="15" t="inlineStr">
        <is>
          <t>Chưa mở</t>
        </is>
      </c>
      <c r="P370" s="15" t="n"/>
    </row>
    <row r="371" hidden="1" ht="15.75" customHeight="1" s="57">
      <c r="A371" s="7" t="inlineStr">
        <is>
          <t>Bình Thuận</t>
        </is>
      </c>
      <c r="B371" s="7" t="n">
        <v>2012</v>
      </c>
      <c r="C371" s="7" t="inlineStr">
        <is>
          <t>Huyện Tánh Linh</t>
        </is>
      </c>
      <c r="D371" s="7" t="n">
        <v>470804</v>
      </c>
      <c r="E371" s="7" t="inlineStr">
        <is>
          <t>Xã Đức Bình</t>
        </is>
      </c>
      <c r="F371" s="7" t="n">
        <v>2357</v>
      </c>
      <c r="G371" s="7" t="inlineStr">
        <is>
          <t>Bưu Cục 158 Quốc lộ 55-Tánh Linh-Bình Thuận</t>
        </is>
      </c>
      <c r="H371" s="15" t="n">
        <v>2357</v>
      </c>
      <c r="I371" s="15" t="inlineStr">
        <is>
          <t>Bưu Cục 158 Quốc lộ 55-Tánh Linh-Bình Thuận</t>
        </is>
      </c>
      <c r="J371" s="15" t="b">
        <v>0</v>
      </c>
      <c r="K371" s="15" t="inlineStr">
        <is>
          <t>C</t>
        </is>
      </c>
      <c r="L371" s="16" t="n">
        <v>0</v>
      </c>
      <c r="M371" s="15" t="n"/>
      <c r="N371" s="15" t="n"/>
      <c r="O371" s="15" t="inlineStr">
        <is>
          <t>Chưa mở</t>
        </is>
      </c>
      <c r="P371" s="15" t="n"/>
    </row>
    <row r="372" hidden="1" ht="15.75" customHeight="1" s="57">
      <c r="A372" s="7" t="inlineStr">
        <is>
          <t>Bình Thuận</t>
        </is>
      </c>
      <c r="B372" s="7" t="n">
        <v>2012</v>
      </c>
      <c r="C372" s="7" t="inlineStr">
        <is>
          <t>Huyện Tánh Linh</t>
        </is>
      </c>
      <c r="D372" s="7" t="n">
        <v>470805</v>
      </c>
      <c r="E372" s="7" t="inlineStr">
        <is>
          <t>Xã Đức Phú</t>
        </is>
      </c>
      <c r="F372" s="7" t="n">
        <v>2357</v>
      </c>
      <c r="G372" s="7" t="inlineStr">
        <is>
          <t>Bưu Cục 158 Quốc lộ 55-Tánh Linh-Bình Thuận</t>
        </is>
      </c>
      <c r="H372" s="15" t="n">
        <v>2357</v>
      </c>
      <c r="I372" s="15" t="inlineStr">
        <is>
          <t>Bưu Cục 158 Quốc lộ 55-Tánh Linh-Bình Thuận</t>
        </is>
      </c>
      <c r="J372" s="15" t="b">
        <v>0</v>
      </c>
      <c r="K372" s="15" t="inlineStr">
        <is>
          <t>C</t>
        </is>
      </c>
      <c r="L372" s="16" t="n">
        <v>0</v>
      </c>
      <c r="M372" s="15" t="n"/>
      <c r="N372" s="15" t="n"/>
      <c r="O372" s="15" t="inlineStr">
        <is>
          <t>Chưa mở</t>
        </is>
      </c>
      <c r="P372" s="15" t="n"/>
    </row>
    <row r="373" hidden="1" ht="15.75" customHeight="1" s="57">
      <c r="A373" s="7" t="inlineStr">
        <is>
          <t>Bình Thuận</t>
        </is>
      </c>
      <c r="B373" s="7" t="n">
        <v>2012</v>
      </c>
      <c r="C373" s="7" t="inlineStr">
        <is>
          <t>Huyện Tánh Linh</t>
        </is>
      </c>
      <c r="D373" s="7" t="n">
        <v>470806</v>
      </c>
      <c r="E373" s="7" t="inlineStr">
        <is>
          <t>Xã Đức Tân</t>
        </is>
      </c>
      <c r="F373" s="7" t="n"/>
      <c r="G373" s="7" t="n"/>
      <c r="H373" s="15" t="n"/>
      <c r="I373" s="16" t="n"/>
      <c r="J373" s="15" t="b">
        <v>0</v>
      </c>
      <c r="K373" s="15" t="inlineStr">
        <is>
          <t>C</t>
        </is>
      </c>
      <c r="L373" s="16" t="n">
        <v>0</v>
      </c>
      <c r="M373" s="15" t="n"/>
      <c r="N373" s="15" t="n"/>
      <c r="O373" s="15" t="inlineStr">
        <is>
          <t>Chưa mở</t>
        </is>
      </c>
      <c r="P373" s="15" t="n"/>
    </row>
    <row r="374" hidden="1" ht="15.75" customHeight="1" s="57">
      <c r="A374" s="7" t="inlineStr">
        <is>
          <t>Bình Thuận</t>
        </is>
      </c>
      <c r="B374" s="7" t="n">
        <v>2012</v>
      </c>
      <c r="C374" s="7" t="inlineStr">
        <is>
          <t>Huyện Tánh Linh</t>
        </is>
      </c>
      <c r="D374" s="7" t="n">
        <v>470807</v>
      </c>
      <c r="E374" s="7" t="inlineStr">
        <is>
          <t>Xã Đức Thuận</t>
        </is>
      </c>
      <c r="F374" s="7" t="n">
        <v>2357</v>
      </c>
      <c r="G374" s="7" t="inlineStr">
        <is>
          <t>Bưu Cục 158 Quốc lộ 55-Tánh Linh-Bình Thuận</t>
        </is>
      </c>
      <c r="H374" s="15" t="n">
        <v>2357</v>
      </c>
      <c r="I374" s="15" t="inlineStr">
        <is>
          <t>Bưu Cục 158 Quốc lộ 55-Tánh Linh-Bình Thuận</t>
        </is>
      </c>
      <c r="J374" s="15" t="b">
        <v>0</v>
      </c>
      <c r="K374" s="15" t="inlineStr">
        <is>
          <t>C</t>
        </is>
      </c>
      <c r="L374" s="16" t="n">
        <v>0</v>
      </c>
      <c r="M374" s="15" t="n"/>
      <c r="N374" s="15" t="n"/>
      <c r="O374" s="15" t="inlineStr">
        <is>
          <t>Chưa mở</t>
        </is>
      </c>
      <c r="P374" s="15" t="n"/>
    </row>
    <row r="375" hidden="1" ht="15.75" customHeight="1" s="57">
      <c r="A375" s="7" t="inlineStr">
        <is>
          <t>Bình Thuận</t>
        </is>
      </c>
      <c r="B375" s="7" t="n">
        <v>2012</v>
      </c>
      <c r="C375" s="7" t="inlineStr">
        <is>
          <t>Huyện Tánh Linh</t>
        </is>
      </c>
      <c r="D375" s="7" t="n">
        <v>470808</v>
      </c>
      <c r="E375" s="7" t="inlineStr">
        <is>
          <t>Xã Gia An</t>
        </is>
      </c>
      <c r="F375" s="7" t="n">
        <v>2357</v>
      </c>
      <c r="G375" s="7" t="inlineStr">
        <is>
          <t>Bưu Cục 158 Quốc lộ 55-Tánh Linh-Bình Thuận</t>
        </is>
      </c>
      <c r="H375" s="15" t="n">
        <v>2357</v>
      </c>
      <c r="I375" s="15" t="inlineStr">
        <is>
          <t>Bưu Cục 158 Quốc lộ 55-Tánh Linh-Bình Thuận</t>
        </is>
      </c>
      <c r="J375" s="15" t="b">
        <v>0</v>
      </c>
      <c r="K375" s="15" t="inlineStr">
        <is>
          <t>C</t>
        </is>
      </c>
      <c r="L375" s="16" t="n">
        <v>0</v>
      </c>
      <c r="M375" s="15" t="n"/>
      <c r="N375" s="15" t="n"/>
      <c r="O375" s="15" t="inlineStr">
        <is>
          <t>Chưa mở</t>
        </is>
      </c>
      <c r="P375" s="15" t="n"/>
    </row>
    <row r="376" hidden="1" ht="15.75" customHeight="1" s="57">
      <c r="A376" s="7" t="inlineStr">
        <is>
          <t>Bình Thuận</t>
        </is>
      </c>
      <c r="B376" s="7" t="n">
        <v>2012</v>
      </c>
      <c r="C376" s="7" t="inlineStr">
        <is>
          <t>Huyện Tánh Linh</t>
        </is>
      </c>
      <c r="D376" s="7" t="n">
        <v>470809</v>
      </c>
      <c r="E376" s="7" t="inlineStr">
        <is>
          <t>Xã Gia Huynh</t>
        </is>
      </c>
      <c r="F376" s="7" t="n">
        <v>2357</v>
      </c>
      <c r="G376" s="7" t="inlineStr">
        <is>
          <t>Bưu Cục 158 Quốc lộ 55-Tánh Linh-Bình Thuận</t>
        </is>
      </c>
      <c r="H376" s="15" t="n">
        <v>2357</v>
      </c>
      <c r="I376" s="15" t="inlineStr">
        <is>
          <t>Bưu Cục 158 Quốc lộ 55-Tánh Linh-Bình Thuận</t>
        </is>
      </c>
      <c r="J376" s="15" t="b">
        <v>0</v>
      </c>
      <c r="K376" s="15" t="inlineStr">
        <is>
          <t>C</t>
        </is>
      </c>
      <c r="L376" s="16" t="n">
        <v>0</v>
      </c>
      <c r="M376" s="15" t="n"/>
      <c r="N376" s="15" t="n"/>
      <c r="O376" s="15" t="inlineStr">
        <is>
          <t>Chưa mở</t>
        </is>
      </c>
      <c r="P376" s="15" t="n"/>
    </row>
    <row r="377" hidden="1" ht="15.75" customHeight="1" s="57">
      <c r="A377" s="7" t="inlineStr">
        <is>
          <t>Bình Thuận</t>
        </is>
      </c>
      <c r="B377" s="7" t="n">
        <v>2012</v>
      </c>
      <c r="C377" s="7" t="inlineStr">
        <is>
          <t>Huyện Tánh Linh</t>
        </is>
      </c>
      <c r="D377" s="7" t="n">
        <v>470810</v>
      </c>
      <c r="E377" s="7" t="inlineStr">
        <is>
          <t>Xã Huy Khiêm</t>
        </is>
      </c>
      <c r="F377" s="7" t="n">
        <v>2357</v>
      </c>
      <c r="G377" s="7" t="inlineStr">
        <is>
          <t>Bưu Cục 158 Quốc lộ 55-Tánh Linh-Bình Thuận</t>
        </is>
      </c>
      <c r="H377" s="15" t="n">
        <v>2357</v>
      </c>
      <c r="I377" s="15" t="inlineStr">
        <is>
          <t>Bưu Cục 158 Quốc lộ 55-Tánh Linh-Bình Thuận</t>
        </is>
      </c>
      <c r="J377" s="15" t="b">
        <v>0</v>
      </c>
      <c r="K377" s="15" t="inlineStr">
        <is>
          <t>C</t>
        </is>
      </c>
      <c r="L377" s="16" t="n">
        <v>0</v>
      </c>
      <c r="M377" s="15" t="n"/>
      <c r="N377" s="15" t="n"/>
      <c r="O377" s="15" t="inlineStr">
        <is>
          <t>Chưa mở</t>
        </is>
      </c>
      <c r="P377" s="15" t="n"/>
    </row>
    <row r="378" hidden="1" ht="15.75" customHeight="1" s="57">
      <c r="A378" s="7" t="inlineStr">
        <is>
          <t>Bình Thuận</t>
        </is>
      </c>
      <c r="B378" s="7" t="n">
        <v>2012</v>
      </c>
      <c r="C378" s="7" t="inlineStr">
        <is>
          <t>Huyện Tánh Linh</t>
        </is>
      </c>
      <c r="D378" s="7" t="n">
        <v>470811</v>
      </c>
      <c r="E378" s="7" t="inlineStr">
        <is>
          <t>Xã La Ngâu</t>
        </is>
      </c>
      <c r="F378" s="7" t="n">
        <v>2357</v>
      </c>
      <c r="G378" s="7" t="inlineStr">
        <is>
          <t>Bưu Cục 158 Quốc lộ 55-Tánh Linh-Bình Thuận</t>
        </is>
      </c>
      <c r="H378" s="15" t="n">
        <v>2357</v>
      </c>
      <c r="I378" s="15" t="inlineStr">
        <is>
          <t>Bưu Cục 158 Quốc lộ 55-Tánh Linh-Bình Thuận</t>
        </is>
      </c>
      <c r="J378" s="15" t="b">
        <v>0</v>
      </c>
      <c r="K378" s="15" t="inlineStr">
        <is>
          <t>C</t>
        </is>
      </c>
      <c r="L378" s="16" t="n">
        <v>0</v>
      </c>
      <c r="M378" s="15" t="n"/>
      <c r="N378" s="15" t="n"/>
      <c r="O378" s="15" t="inlineStr">
        <is>
          <t>Chưa mở</t>
        </is>
      </c>
      <c r="P378" s="15" t="n"/>
    </row>
    <row r="379" hidden="1" ht="15.75" customHeight="1" s="57">
      <c r="A379" s="7" t="inlineStr">
        <is>
          <t>Bình Thuận</t>
        </is>
      </c>
      <c r="B379" s="7" t="n">
        <v>2012</v>
      </c>
      <c r="C379" s="7" t="inlineStr">
        <is>
          <t>Huyện Tánh Linh</t>
        </is>
      </c>
      <c r="D379" s="7" t="n">
        <v>470812</v>
      </c>
      <c r="E379" s="7" t="inlineStr">
        <is>
          <t>Xã Măng Tố</t>
        </is>
      </c>
      <c r="F379" s="7" t="n">
        <v>2357</v>
      </c>
      <c r="G379" s="7" t="inlineStr">
        <is>
          <t>Bưu Cục 158 Quốc lộ 55-Tánh Linh-Bình Thuận</t>
        </is>
      </c>
      <c r="H379" s="15" t="n">
        <v>2357</v>
      </c>
      <c r="I379" s="15" t="inlineStr">
        <is>
          <t>Bưu Cục 158 Quốc lộ 55-Tánh Linh-Bình Thuận</t>
        </is>
      </c>
      <c r="J379" s="15" t="b">
        <v>0</v>
      </c>
      <c r="K379" s="15" t="inlineStr">
        <is>
          <t>C</t>
        </is>
      </c>
      <c r="L379" s="16" t="n">
        <v>0</v>
      </c>
      <c r="M379" s="15" t="n"/>
      <c r="N379" s="15" t="n"/>
      <c r="O379" s="15" t="inlineStr">
        <is>
          <t>Chưa mở</t>
        </is>
      </c>
      <c r="P379" s="15" t="n"/>
    </row>
    <row r="380" hidden="1" ht="15.75" customHeight="1" s="57">
      <c r="A380" s="7" t="inlineStr">
        <is>
          <t>Bình Thuận</t>
        </is>
      </c>
      <c r="B380" s="7" t="n">
        <v>2012</v>
      </c>
      <c r="C380" s="7" t="inlineStr">
        <is>
          <t>Huyện Tánh Linh</t>
        </is>
      </c>
      <c r="D380" s="7" t="n">
        <v>470813</v>
      </c>
      <c r="E380" s="7" t="inlineStr">
        <is>
          <t>Xã Nghị Đức</t>
        </is>
      </c>
      <c r="F380" s="7" t="n">
        <v>2357</v>
      </c>
      <c r="G380" s="7" t="inlineStr">
        <is>
          <t>Bưu Cục 158 Quốc lộ 55-Tánh Linh-Bình Thuận</t>
        </is>
      </c>
      <c r="H380" s="15" t="n">
        <v>2357</v>
      </c>
      <c r="I380" s="15" t="inlineStr">
        <is>
          <t>Bưu Cục 158 Quốc lộ 55-Tánh Linh-Bình Thuận</t>
        </is>
      </c>
      <c r="J380" s="15" t="b">
        <v>0</v>
      </c>
      <c r="K380" s="15" t="inlineStr">
        <is>
          <t>C</t>
        </is>
      </c>
      <c r="L380" s="16" t="n">
        <v>0</v>
      </c>
      <c r="M380" s="15" t="n"/>
      <c r="N380" s="15" t="n"/>
      <c r="O380" s="15" t="inlineStr">
        <is>
          <t>Chưa mở</t>
        </is>
      </c>
      <c r="P380" s="15" t="n"/>
    </row>
    <row r="381" hidden="1" ht="15.75" customHeight="1" s="57">
      <c r="A381" s="7" t="inlineStr">
        <is>
          <t>Bình Thuận</t>
        </is>
      </c>
      <c r="B381" s="7" t="n">
        <v>2012</v>
      </c>
      <c r="C381" s="7" t="inlineStr">
        <is>
          <t>Huyện Tánh Linh</t>
        </is>
      </c>
      <c r="D381" s="7" t="n">
        <v>470814</v>
      </c>
      <c r="E381" s="7" t="inlineStr">
        <is>
          <t>Xã Suối Kiết</t>
        </is>
      </c>
      <c r="F381" s="7" t="n">
        <v>2357</v>
      </c>
      <c r="G381" s="7" t="inlineStr">
        <is>
          <t>Bưu Cục 158 Quốc lộ 55-Tánh Linh-Bình Thuận</t>
        </is>
      </c>
      <c r="H381" s="15" t="n">
        <v>2357</v>
      </c>
      <c r="I381" s="15" t="inlineStr">
        <is>
          <t>Bưu Cục 158 Quốc lộ 55-Tánh Linh-Bình Thuận</t>
        </is>
      </c>
      <c r="J381" s="15" t="b">
        <v>0</v>
      </c>
      <c r="K381" s="15" t="inlineStr">
        <is>
          <t>C</t>
        </is>
      </c>
      <c r="L381" s="16" t="n">
        <v>0</v>
      </c>
      <c r="M381" s="15" t="n"/>
      <c r="N381" s="15" t="n"/>
      <c r="O381" s="15" t="inlineStr">
        <is>
          <t>Chưa mở</t>
        </is>
      </c>
      <c r="P381" s="15" t="n"/>
    </row>
    <row r="382" hidden="1" ht="15.75" customHeight="1" s="57">
      <c r="A382" s="7" t="inlineStr">
        <is>
          <t>Khánh Hòa</t>
        </is>
      </c>
      <c r="B382" s="7" t="n">
        <v>2061</v>
      </c>
      <c r="C382" s="7" t="inlineStr">
        <is>
          <t>Thị xã Ninh Hòa</t>
        </is>
      </c>
      <c r="D382" s="7" t="n">
        <v>410301</v>
      </c>
      <c r="E382" s="7" t="inlineStr">
        <is>
          <t>Phường Ninh Đa</t>
        </is>
      </c>
      <c r="F382" s="7" t="n">
        <v>20543000</v>
      </c>
      <c r="G382" s="7" t="inlineStr">
        <is>
          <t>Bưu Cục Tổ Dân Phố 2-Ninh Hoà-Khánh Hoà</t>
        </is>
      </c>
      <c r="H382" s="15" t="n">
        <v>20543000</v>
      </c>
      <c r="I382" s="15" t="inlineStr">
        <is>
          <t>Bưu Cục Tổ Dân Phố 2-Ninh Hoà-Khánh Hoà</t>
        </is>
      </c>
      <c r="J382" s="15" t="b">
        <v>0</v>
      </c>
      <c r="K382" s="15" t="inlineStr">
        <is>
          <t>C</t>
        </is>
      </c>
      <c r="L382" s="16" t="n">
        <v>0</v>
      </c>
      <c r="M382" s="15" t="n"/>
      <c r="N382" s="15" t="n"/>
      <c r="O382" s="15" t="inlineStr">
        <is>
          <t>Chưa mở</t>
        </is>
      </c>
      <c r="P382" s="15" t="n"/>
    </row>
    <row r="383" hidden="1" ht="15.75" customHeight="1" s="57">
      <c r="A383" s="7" t="inlineStr">
        <is>
          <t>Khánh Hòa</t>
        </is>
      </c>
      <c r="B383" s="7" t="n">
        <v>2061</v>
      </c>
      <c r="C383" s="7" t="inlineStr">
        <is>
          <t>Thị xã Ninh Hòa</t>
        </is>
      </c>
      <c r="D383" s="7" t="n">
        <v>410302</v>
      </c>
      <c r="E383" s="7" t="inlineStr">
        <is>
          <t>Phường Ninh Diêm</t>
        </is>
      </c>
      <c r="F383" s="7" t="n">
        <v>21569000</v>
      </c>
      <c r="G383" s="7" t="inlineStr">
        <is>
          <t>Bưu Cục 70 Lê Hồng Phong-Ninh Diêm-Ninh Hoà-Khánh Hoà</t>
        </is>
      </c>
      <c r="H383" s="15" t="n">
        <v>21569000</v>
      </c>
      <c r="I383" s="15" t="inlineStr">
        <is>
          <t>Bưu Cục 70 Lê Hồng Phong-Ninh Diêm-Ninh Hoà-Khánh Hoà</t>
        </is>
      </c>
      <c r="J383" s="15" t="b">
        <v>0</v>
      </c>
      <c r="K383" s="15" t="inlineStr">
        <is>
          <t>C</t>
        </is>
      </c>
      <c r="L383" s="16" t="n">
        <v>0</v>
      </c>
      <c r="M383" s="15" t="n"/>
      <c r="N383" s="15" t="n"/>
      <c r="O383" s="15" t="inlineStr">
        <is>
          <t>Chưa mở</t>
        </is>
      </c>
      <c r="P383" s="15" t="n"/>
    </row>
    <row r="384" hidden="1" ht="15.75" customHeight="1" s="57">
      <c r="A384" s="7" t="inlineStr">
        <is>
          <t>Khánh Hòa</t>
        </is>
      </c>
      <c r="B384" s="7" t="n">
        <v>2061</v>
      </c>
      <c r="C384" s="7" t="inlineStr">
        <is>
          <t>Thị xã Ninh Hòa</t>
        </is>
      </c>
      <c r="D384" s="7" t="n">
        <v>410303</v>
      </c>
      <c r="E384" s="7" t="inlineStr">
        <is>
          <t>Phường Ninh Giang</t>
        </is>
      </c>
      <c r="F384" s="7" t="n">
        <v>20543000</v>
      </c>
      <c r="G384" s="7" t="inlineStr">
        <is>
          <t>Bưu Cục Tổ Dân Phố 2-Ninh Hoà-Khánh Hoà</t>
        </is>
      </c>
      <c r="H384" s="15" t="n">
        <v>20543000</v>
      </c>
      <c r="I384" s="15" t="inlineStr">
        <is>
          <t>Bưu Cục Tổ Dân Phố 2-Ninh Hoà-Khánh Hoà</t>
        </is>
      </c>
      <c r="J384" s="15" t="b">
        <v>0</v>
      </c>
      <c r="K384" s="15" t="inlineStr">
        <is>
          <t>C</t>
        </is>
      </c>
      <c r="L384" s="16" t="n">
        <v>0</v>
      </c>
      <c r="M384" s="15" t="n"/>
      <c r="N384" s="15" t="n"/>
      <c r="O384" s="15" t="inlineStr">
        <is>
          <t>Chưa mở</t>
        </is>
      </c>
      <c r="P384" s="15" t="n"/>
    </row>
    <row r="385" hidden="1" ht="15.75" customHeight="1" s="57">
      <c r="A385" s="7" t="inlineStr">
        <is>
          <t>Khánh Hòa</t>
        </is>
      </c>
      <c r="B385" s="7" t="n">
        <v>2061</v>
      </c>
      <c r="C385" s="7" t="inlineStr">
        <is>
          <t>Thị xã Ninh Hòa</t>
        </is>
      </c>
      <c r="D385" s="7" t="n">
        <v>410304</v>
      </c>
      <c r="E385" s="7" t="inlineStr">
        <is>
          <t>Phường Ninh Hà</t>
        </is>
      </c>
      <c r="F385" s="7" t="n">
        <v>20543000</v>
      </c>
      <c r="G385" s="7" t="inlineStr">
        <is>
          <t>Bưu Cục Tổ Dân Phố 2-Ninh Hoà-Khánh Hoà</t>
        </is>
      </c>
      <c r="H385" s="15" t="n">
        <v>20543000</v>
      </c>
      <c r="I385" s="15" t="inlineStr">
        <is>
          <t>Bưu Cục Tổ Dân Phố 2-Ninh Hoà-Khánh Hoà</t>
        </is>
      </c>
      <c r="J385" s="15" t="b">
        <v>0</v>
      </c>
      <c r="K385" s="15" t="inlineStr">
        <is>
          <t>C</t>
        </is>
      </c>
      <c r="L385" s="16" t="n">
        <v>0</v>
      </c>
      <c r="M385" s="15" t="n"/>
      <c r="N385" s="15" t="n"/>
      <c r="O385" s="15" t="inlineStr">
        <is>
          <t>Chưa mở</t>
        </is>
      </c>
      <c r="P385" s="15" t="n"/>
    </row>
    <row r="386" hidden="1" ht="15.75" customHeight="1" s="57">
      <c r="A386" s="7" t="inlineStr">
        <is>
          <t>Khánh Hòa</t>
        </is>
      </c>
      <c r="B386" s="7" t="n">
        <v>2061</v>
      </c>
      <c r="C386" s="7" t="inlineStr">
        <is>
          <t>Thị xã Ninh Hòa</t>
        </is>
      </c>
      <c r="D386" s="7" t="n">
        <v>410305</v>
      </c>
      <c r="E386" s="7" t="inlineStr">
        <is>
          <t>Phường Ninh Hải</t>
        </is>
      </c>
      <c r="F386" s="7" t="n">
        <v>21569000</v>
      </c>
      <c r="G386" s="7" t="inlineStr">
        <is>
          <t>Bưu Cục 70 Lê Hồng Phong-Ninh Diêm-Ninh Hoà-Khánh Hoà</t>
        </is>
      </c>
      <c r="H386" s="15" t="n">
        <v>21569000</v>
      </c>
      <c r="I386" s="15" t="inlineStr">
        <is>
          <t>Bưu Cục 70 Lê Hồng Phong-Ninh Diêm-Ninh Hoà-Khánh Hoà</t>
        </is>
      </c>
      <c r="J386" s="15" t="b">
        <v>0</v>
      </c>
      <c r="K386" s="15" t="inlineStr">
        <is>
          <t>C</t>
        </is>
      </c>
      <c r="L386" s="16" t="n">
        <v>0</v>
      </c>
      <c r="M386" s="15" t="n"/>
      <c r="N386" s="15" t="n"/>
      <c r="O386" s="15" t="inlineStr">
        <is>
          <t>Chưa mở</t>
        </is>
      </c>
      <c r="P386" s="15" t="n"/>
    </row>
    <row r="387" hidden="1" ht="15.75" customHeight="1" s="57">
      <c r="A387" s="7" t="inlineStr">
        <is>
          <t>Khánh Hòa</t>
        </is>
      </c>
      <c r="B387" s="7" t="n">
        <v>2061</v>
      </c>
      <c r="C387" s="7" t="inlineStr">
        <is>
          <t>Thị xã Ninh Hòa</t>
        </is>
      </c>
      <c r="D387" s="7" t="n">
        <v>410306</v>
      </c>
      <c r="E387" s="7" t="inlineStr">
        <is>
          <t>Phường Ninh Hiệp</t>
        </is>
      </c>
      <c r="F387" s="7" t="n">
        <v>20543000</v>
      </c>
      <c r="G387" s="7" t="inlineStr">
        <is>
          <t>Bưu Cục Tổ Dân Phố 2-Ninh Hoà-Khánh Hoà</t>
        </is>
      </c>
      <c r="H387" s="15" t="n">
        <v>20543000</v>
      </c>
      <c r="I387" s="15" t="inlineStr">
        <is>
          <t>Bưu Cục Tổ Dân Phố 2-Ninh Hoà-Khánh Hoà</t>
        </is>
      </c>
      <c r="J387" s="15" t="b">
        <v>0</v>
      </c>
      <c r="K387" s="15" t="inlineStr">
        <is>
          <t>C</t>
        </is>
      </c>
      <c r="L387" s="16" t="n">
        <v>0</v>
      </c>
      <c r="M387" s="15" t="n"/>
      <c r="N387" s="15" t="n"/>
      <c r="O387" s="15" t="inlineStr">
        <is>
          <t>Chưa mở</t>
        </is>
      </c>
      <c r="P387" s="15" t="n"/>
    </row>
    <row r="388" hidden="1" ht="15.75" customHeight="1" s="57">
      <c r="A388" s="7" t="inlineStr">
        <is>
          <t>Khánh Hòa</t>
        </is>
      </c>
      <c r="B388" s="7" t="n">
        <v>2061</v>
      </c>
      <c r="C388" s="7" t="inlineStr">
        <is>
          <t>Thị xã Ninh Hòa</t>
        </is>
      </c>
      <c r="D388" s="7" t="n">
        <v>410307</v>
      </c>
      <c r="E388" s="7" t="inlineStr">
        <is>
          <t>Phường Ninh Thủy</t>
        </is>
      </c>
      <c r="F388" s="7" t="n">
        <v>21569000</v>
      </c>
      <c r="G388" s="7" t="inlineStr">
        <is>
          <t>Bưu Cục 70 Lê Hồng Phong-Ninh Diêm-Ninh Hoà-Khánh Hoà</t>
        </is>
      </c>
      <c r="H388" s="15" t="n">
        <v>21569000</v>
      </c>
      <c r="I388" s="15" t="inlineStr">
        <is>
          <t>Bưu Cục 70 Lê Hồng Phong-Ninh Diêm-Ninh Hoà-Khánh Hoà</t>
        </is>
      </c>
      <c r="J388" s="15" t="b">
        <v>0</v>
      </c>
      <c r="K388" s="15" t="inlineStr">
        <is>
          <t>C</t>
        </is>
      </c>
      <c r="L388" s="16" t="n">
        <v>0</v>
      </c>
      <c r="M388" s="15" t="n"/>
      <c r="N388" s="15" t="n"/>
      <c r="O388" s="15" t="inlineStr">
        <is>
          <t>Chưa mở</t>
        </is>
      </c>
      <c r="P388" s="15" t="n"/>
    </row>
    <row r="389" hidden="1" ht="15.75" customHeight="1" s="57">
      <c r="A389" s="7" t="inlineStr">
        <is>
          <t>Khánh Hòa</t>
        </is>
      </c>
      <c r="B389" s="7" t="n">
        <v>2061</v>
      </c>
      <c r="C389" s="7" t="inlineStr">
        <is>
          <t>Thị xã Ninh Hòa</t>
        </is>
      </c>
      <c r="D389" s="7" t="n">
        <v>410308</v>
      </c>
      <c r="E389" s="7" t="inlineStr">
        <is>
          <t>Xã Ninh An</t>
        </is>
      </c>
      <c r="F389" s="7" t="n">
        <v>21569000</v>
      </c>
      <c r="G389" s="7" t="inlineStr">
        <is>
          <t>Bưu Cục 70 Lê Hồng Phong-Ninh Diêm-Ninh Hoà-Khánh Hoà</t>
        </is>
      </c>
      <c r="H389" s="15" t="n">
        <v>21569000</v>
      </c>
      <c r="I389" s="15" t="inlineStr">
        <is>
          <t>Bưu Cục 70 Lê Hồng Phong-Ninh Diêm-Ninh Hoà-Khánh Hoà</t>
        </is>
      </c>
      <c r="J389" s="15" t="b">
        <v>0</v>
      </c>
      <c r="K389" s="15" t="inlineStr">
        <is>
          <t>C</t>
        </is>
      </c>
      <c r="L389" s="16" t="n">
        <v>0</v>
      </c>
      <c r="M389" s="15" t="n"/>
      <c r="N389" s="15" t="n"/>
      <c r="O389" s="15" t="inlineStr">
        <is>
          <t>Chưa mở</t>
        </is>
      </c>
      <c r="P389" s="15" t="n"/>
    </row>
    <row r="390" hidden="1" ht="15.75" customHeight="1" s="57">
      <c r="A390" s="7" t="inlineStr">
        <is>
          <t>Khánh Hòa</t>
        </is>
      </c>
      <c r="B390" s="7" t="n">
        <v>2061</v>
      </c>
      <c r="C390" s="7" t="inlineStr">
        <is>
          <t>Thị xã Ninh Hòa</t>
        </is>
      </c>
      <c r="D390" s="7" t="n">
        <v>410309</v>
      </c>
      <c r="E390" s="7" t="inlineStr">
        <is>
          <t>Xã Ninh Bình</t>
        </is>
      </c>
      <c r="F390" s="7" t="n">
        <v>20543000</v>
      </c>
      <c r="G390" s="7" t="inlineStr">
        <is>
          <t>Bưu Cục Tổ Dân Phố 2-Ninh Hoà-Khánh Hoà</t>
        </is>
      </c>
      <c r="H390" s="15" t="n">
        <v>20543000</v>
      </c>
      <c r="I390" s="15" t="inlineStr">
        <is>
          <t>Bưu Cục Tổ Dân Phố 2-Ninh Hoà-Khánh Hoà</t>
        </is>
      </c>
      <c r="J390" s="15" t="b">
        <v>0</v>
      </c>
      <c r="K390" s="15" t="inlineStr">
        <is>
          <t>C</t>
        </is>
      </c>
      <c r="L390" s="16" t="n">
        <v>0</v>
      </c>
      <c r="M390" s="15" t="n"/>
      <c r="N390" s="15" t="n"/>
      <c r="O390" s="15" t="inlineStr">
        <is>
          <t>Chưa mở</t>
        </is>
      </c>
      <c r="P390" s="15" t="n"/>
    </row>
    <row r="391" hidden="1" ht="15.75" customHeight="1" s="57">
      <c r="A391" s="7" t="inlineStr">
        <is>
          <t>Khánh Hòa</t>
        </is>
      </c>
      <c r="B391" s="7" t="n">
        <v>2061</v>
      </c>
      <c r="C391" s="7" t="inlineStr">
        <is>
          <t>Thị xã Ninh Hòa</t>
        </is>
      </c>
      <c r="D391" s="7" t="n">
        <v>410310</v>
      </c>
      <c r="E391" s="7" t="inlineStr">
        <is>
          <t>Xã Ninh Đông</t>
        </is>
      </c>
      <c r="F391" s="7" t="n">
        <v>20543000</v>
      </c>
      <c r="G391" s="7" t="inlineStr">
        <is>
          <t>Bưu Cục Tổ Dân Phố 2-Ninh Hoà-Khánh Hoà</t>
        </is>
      </c>
      <c r="H391" s="15" t="n">
        <v>20543000</v>
      </c>
      <c r="I391" s="15" t="inlineStr">
        <is>
          <t>Bưu Cục Tổ Dân Phố 2-Ninh Hoà-Khánh Hoà</t>
        </is>
      </c>
      <c r="J391" s="15" t="b">
        <v>0</v>
      </c>
      <c r="K391" s="15" t="inlineStr">
        <is>
          <t>C</t>
        </is>
      </c>
      <c r="L391" s="16" t="n">
        <v>0</v>
      </c>
      <c r="M391" s="15" t="n"/>
      <c r="N391" s="15" t="n"/>
      <c r="O391" s="15" t="inlineStr">
        <is>
          <t>Chưa mở</t>
        </is>
      </c>
      <c r="P391" s="15" t="n"/>
    </row>
    <row r="392" hidden="1" ht="15.75" customHeight="1" s="57">
      <c r="A392" s="7" t="inlineStr">
        <is>
          <t>Khánh Hòa</t>
        </is>
      </c>
      <c r="B392" s="7" t="n">
        <v>2061</v>
      </c>
      <c r="C392" s="7" t="inlineStr">
        <is>
          <t>Thị xã Ninh Hòa</t>
        </is>
      </c>
      <c r="D392" s="7" t="n">
        <v>410311</v>
      </c>
      <c r="E392" s="7" t="inlineStr">
        <is>
          <t>Xã Ninh Hưng</t>
        </is>
      </c>
      <c r="F392" s="7" t="n">
        <v>20543000</v>
      </c>
      <c r="G392" s="7" t="inlineStr">
        <is>
          <t>Bưu Cục Tổ Dân Phố 2-Ninh Hoà-Khánh Hoà</t>
        </is>
      </c>
      <c r="H392" s="15" t="n">
        <v>20543000</v>
      </c>
      <c r="I392" s="15" t="inlineStr">
        <is>
          <t>Bưu Cục Tổ Dân Phố 2-Ninh Hoà-Khánh Hoà</t>
        </is>
      </c>
      <c r="J392" s="15" t="b">
        <v>0</v>
      </c>
      <c r="K392" s="15" t="inlineStr">
        <is>
          <t>C</t>
        </is>
      </c>
      <c r="L392" s="16" t="n">
        <v>0</v>
      </c>
      <c r="M392" s="15" t="n"/>
      <c r="N392" s="15" t="n"/>
      <c r="O392" s="15" t="inlineStr">
        <is>
          <t>Chưa mở</t>
        </is>
      </c>
      <c r="P392" s="15" t="n"/>
    </row>
    <row r="393" hidden="1" ht="15.75" customHeight="1" s="57">
      <c r="A393" s="7" t="inlineStr">
        <is>
          <t>Khánh Hòa</t>
        </is>
      </c>
      <c r="B393" s="7" t="n">
        <v>2061</v>
      </c>
      <c r="C393" s="7" t="inlineStr">
        <is>
          <t>Thị xã Ninh Hòa</t>
        </is>
      </c>
      <c r="D393" s="7" t="n">
        <v>410312</v>
      </c>
      <c r="E393" s="7" t="inlineStr">
        <is>
          <t>Xã Ninh Ích</t>
        </is>
      </c>
      <c r="F393" s="7" t="n">
        <v>20543000</v>
      </c>
      <c r="G393" s="7" t="inlineStr">
        <is>
          <t>Bưu Cục Tổ Dân Phố 2-Ninh Hoà-Khánh Hoà</t>
        </is>
      </c>
      <c r="H393" s="15" t="n">
        <v>20543000</v>
      </c>
      <c r="I393" s="15" t="inlineStr">
        <is>
          <t>Bưu Cục Tổ Dân Phố 2-Ninh Hoà-Khánh Hoà</t>
        </is>
      </c>
      <c r="J393" s="15" t="b">
        <v>0</v>
      </c>
      <c r="K393" s="15" t="inlineStr">
        <is>
          <t>C</t>
        </is>
      </c>
      <c r="L393" s="16" t="n">
        <v>0</v>
      </c>
      <c r="M393" s="15" t="n"/>
      <c r="N393" s="15" t="n"/>
      <c r="O393" s="15" t="inlineStr">
        <is>
          <t>Chưa mở</t>
        </is>
      </c>
      <c r="P393" s="15" t="n"/>
    </row>
    <row r="394" hidden="1" ht="15.75" customHeight="1" s="57">
      <c r="A394" s="7" t="inlineStr">
        <is>
          <t>Khánh Hòa</t>
        </is>
      </c>
      <c r="B394" s="7" t="n">
        <v>2061</v>
      </c>
      <c r="C394" s="7" t="inlineStr">
        <is>
          <t>Thị xã Ninh Hòa</t>
        </is>
      </c>
      <c r="D394" s="7" t="n">
        <v>410313</v>
      </c>
      <c r="E394" s="7" t="inlineStr">
        <is>
          <t>Xã Ninh Lộc</t>
        </is>
      </c>
      <c r="F394" s="7" t="n">
        <v>20543000</v>
      </c>
      <c r="G394" s="7" t="inlineStr">
        <is>
          <t>Bưu Cục Tổ Dân Phố 2-Ninh Hoà-Khánh Hoà</t>
        </is>
      </c>
      <c r="H394" s="15" t="n">
        <v>20543000</v>
      </c>
      <c r="I394" s="15" t="inlineStr">
        <is>
          <t>Bưu Cục Tổ Dân Phố 2-Ninh Hoà-Khánh Hoà</t>
        </is>
      </c>
      <c r="J394" s="15" t="b">
        <v>0</v>
      </c>
      <c r="K394" s="15" t="inlineStr">
        <is>
          <t>C</t>
        </is>
      </c>
      <c r="L394" s="16" t="n">
        <v>0</v>
      </c>
      <c r="M394" s="15" t="n"/>
      <c r="N394" s="15" t="n"/>
      <c r="O394" s="15" t="inlineStr">
        <is>
          <t>Chưa mở</t>
        </is>
      </c>
      <c r="P394" s="15" t="n"/>
    </row>
    <row r="395" hidden="1" ht="15.75" customHeight="1" s="57">
      <c r="A395" s="7" t="inlineStr">
        <is>
          <t>Khánh Hòa</t>
        </is>
      </c>
      <c r="B395" s="7" t="n">
        <v>2061</v>
      </c>
      <c r="C395" s="7" t="inlineStr">
        <is>
          <t>Thị xã Ninh Hòa</t>
        </is>
      </c>
      <c r="D395" s="7" t="n">
        <v>410314</v>
      </c>
      <c r="E395" s="7" t="inlineStr">
        <is>
          <t>Xã Ninh Phú</t>
        </is>
      </c>
      <c r="F395" s="7" t="n">
        <v>20543000</v>
      </c>
      <c r="G395" s="7" t="inlineStr">
        <is>
          <t>Bưu Cục Tổ Dân Phố 2-Ninh Hoà-Khánh Hoà</t>
        </is>
      </c>
      <c r="H395" s="15" t="n">
        <v>20543000</v>
      </c>
      <c r="I395" s="15" t="inlineStr">
        <is>
          <t>Bưu Cục Tổ Dân Phố 2-Ninh Hoà-Khánh Hoà</t>
        </is>
      </c>
      <c r="J395" s="15" t="b">
        <v>0</v>
      </c>
      <c r="K395" s="15" t="inlineStr">
        <is>
          <t>C</t>
        </is>
      </c>
      <c r="L395" s="16" t="n">
        <v>0</v>
      </c>
      <c r="M395" s="15" t="n"/>
      <c r="N395" s="15" t="n"/>
      <c r="O395" s="15" t="inlineStr">
        <is>
          <t>Chưa mở</t>
        </is>
      </c>
      <c r="P395" s="15" t="n"/>
    </row>
    <row r="396" hidden="1" ht="15.75" customHeight="1" s="57">
      <c r="A396" s="7" t="inlineStr">
        <is>
          <t>Khánh Hòa</t>
        </is>
      </c>
      <c r="B396" s="7" t="n">
        <v>2061</v>
      </c>
      <c r="C396" s="7" t="inlineStr">
        <is>
          <t>Thị xã Ninh Hòa</t>
        </is>
      </c>
      <c r="D396" s="7" t="n">
        <v>410315</v>
      </c>
      <c r="E396" s="7" t="inlineStr">
        <is>
          <t>Xã Ninh Phụng</t>
        </is>
      </c>
      <c r="F396" s="7" t="n">
        <v>20694000</v>
      </c>
      <c r="G396" s="7" t="inlineStr">
        <is>
          <t>Bưu Cục Thôn Xuân Hoà 1-Ninh Hoà-Khánh Hoà</t>
        </is>
      </c>
      <c r="H396" s="15" t="n">
        <v>20694000</v>
      </c>
      <c r="I396" s="15" t="inlineStr">
        <is>
          <t>Bưu Cục Thôn Xuân Hoà 1-Ninh Hoà-Khánh Hoà</t>
        </is>
      </c>
      <c r="J396" s="15" t="b">
        <v>0</v>
      </c>
      <c r="K396" s="15" t="inlineStr">
        <is>
          <t>C</t>
        </is>
      </c>
      <c r="L396" s="16" t="n">
        <v>0</v>
      </c>
      <c r="M396" s="15" t="n"/>
      <c r="N396" s="15" t="n"/>
      <c r="O396" s="15" t="inlineStr">
        <is>
          <t>Chưa mở</t>
        </is>
      </c>
      <c r="P396" s="15" t="n"/>
    </row>
    <row r="397" hidden="1" ht="15.75" customHeight="1" s="57">
      <c r="A397" s="7" t="inlineStr">
        <is>
          <t>Khánh Hòa</t>
        </is>
      </c>
      <c r="B397" s="7" t="n">
        <v>2061</v>
      </c>
      <c r="C397" s="7" t="inlineStr">
        <is>
          <t>Thị xã Ninh Hòa</t>
        </is>
      </c>
      <c r="D397" s="7" t="n">
        <v>410316</v>
      </c>
      <c r="E397" s="7" t="inlineStr">
        <is>
          <t>Xã Ninh Phước</t>
        </is>
      </c>
      <c r="F397" s="7" t="n">
        <v>21569000</v>
      </c>
      <c r="G397" s="7" t="inlineStr">
        <is>
          <t>Bưu Cục 70 Lê Hồng Phong-Ninh Diêm-Ninh Hoà-Khánh Hoà</t>
        </is>
      </c>
      <c r="H397" s="15" t="n">
        <v>21569000</v>
      </c>
      <c r="I397" s="15" t="inlineStr">
        <is>
          <t>Bưu Cục 70 Lê Hồng Phong-Ninh Diêm-Ninh Hoà-Khánh Hoà</t>
        </is>
      </c>
      <c r="J397" s="15" t="b">
        <v>0</v>
      </c>
      <c r="K397" s="15" t="inlineStr">
        <is>
          <t>C</t>
        </is>
      </c>
      <c r="L397" s="16" t="n">
        <v>0</v>
      </c>
      <c r="M397" s="15" t="n"/>
      <c r="N397" s="15" t="n"/>
      <c r="O397" s="15" t="inlineStr">
        <is>
          <t>Chưa mở</t>
        </is>
      </c>
      <c r="P397" s="15" t="n"/>
    </row>
    <row r="398" hidden="1" ht="15.75" customHeight="1" s="57">
      <c r="A398" s="7" t="inlineStr">
        <is>
          <t>Khánh Hòa</t>
        </is>
      </c>
      <c r="B398" s="7" t="n">
        <v>2061</v>
      </c>
      <c r="C398" s="7" t="inlineStr">
        <is>
          <t>Thị xã Ninh Hòa</t>
        </is>
      </c>
      <c r="D398" s="7" t="n">
        <v>410317</v>
      </c>
      <c r="E398" s="7" t="inlineStr">
        <is>
          <t>Xã Ninh Quang</t>
        </is>
      </c>
      <c r="F398" s="7" t="n">
        <v>20543000</v>
      </c>
      <c r="G398" s="7" t="inlineStr">
        <is>
          <t>Bưu Cục Tổ Dân Phố 2-Ninh Hoà-Khánh Hoà</t>
        </is>
      </c>
      <c r="H398" s="15" t="n">
        <v>20543000</v>
      </c>
      <c r="I398" s="15" t="inlineStr">
        <is>
          <t>Bưu Cục Tổ Dân Phố 2-Ninh Hoà-Khánh Hoà</t>
        </is>
      </c>
      <c r="J398" s="15" t="b">
        <v>0</v>
      </c>
      <c r="K398" s="15" t="inlineStr">
        <is>
          <t>C</t>
        </is>
      </c>
      <c r="L398" s="16" t="n">
        <v>0</v>
      </c>
      <c r="M398" s="15" t="n"/>
      <c r="N398" s="15" t="n"/>
      <c r="O398" s="15" t="inlineStr">
        <is>
          <t>Chưa mở</t>
        </is>
      </c>
      <c r="P398" s="15" t="n"/>
    </row>
    <row r="399" hidden="1" ht="15.75" customHeight="1" s="57">
      <c r="A399" s="7" t="inlineStr">
        <is>
          <t>Khánh Hòa</t>
        </is>
      </c>
      <c r="B399" s="7" t="n">
        <v>2061</v>
      </c>
      <c r="C399" s="7" t="inlineStr">
        <is>
          <t>Thị xã Ninh Hòa</t>
        </is>
      </c>
      <c r="D399" s="7" t="n">
        <v>410318</v>
      </c>
      <c r="E399" s="7" t="inlineStr">
        <is>
          <t>Xã Ninh Sim</t>
        </is>
      </c>
      <c r="F399" s="7" t="n">
        <v>20694000</v>
      </c>
      <c r="G399" s="7" t="inlineStr">
        <is>
          <t>Bưu Cục Thôn Xuân Hoà 1-Ninh Hoà-Khánh Hoà</t>
        </is>
      </c>
      <c r="H399" s="15" t="n">
        <v>20694000</v>
      </c>
      <c r="I399" s="15" t="inlineStr">
        <is>
          <t>Bưu Cục Thôn Xuân Hoà 1-Ninh Hoà-Khánh Hoà</t>
        </is>
      </c>
      <c r="J399" s="15" t="b">
        <v>0</v>
      </c>
      <c r="K399" s="15" t="inlineStr">
        <is>
          <t>C</t>
        </is>
      </c>
      <c r="L399" s="16" t="n">
        <v>0</v>
      </c>
      <c r="M399" s="15" t="n"/>
      <c r="N399" s="15" t="n"/>
      <c r="O399" s="15" t="inlineStr">
        <is>
          <t>Chưa mở</t>
        </is>
      </c>
      <c r="P399" s="15" t="n"/>
    </row>
    <row r="400" hidden="1" ht="15.75" customHeight="1" s="57">
      <c r="A400" s="7" t="inlineStr">
        <is>
          <t>Khánh Hòa</t>
        </is>
      </c>
      <c r="B400" s="7" t="n">
        <v>2061</v>
      </c>
      <c r="C400" s="7" t="inlineStr">
        <is>
          <t>Thị xã Ninh Hòa</t>
        </is>
      </c>
      <c r="D400" s="7" t="n">
        <v>410319</v>
      </c>
      <c r="E400" s="7" t="inlineStr">
        <is>
          <t>Xã Ninh Sơn</t>
        </is>
      </c>
      <c r="F400" s="7" t="n">
        <v>21569000</v>
      </c>
      <c r="G400" s="7" t="inlineStr">
        <is>
          <t>Bưu Cục 70 Lê Hồng Phong-Ninh Diêm-Ninh Hoà-Khánh Hoà</t>
        </is>
      </c>
      <c r="H400" s="15" t="n">
        <v>21569000</v>
      </c>
      <c r="I400" s="15" t="inlineStr">
        <is>
          <t>Bưu Cục 70 Lê Hồng Phong-Ninh Diêm-Ninh Hoà-Khánh Hoà</t>
        </is>
      </c>
      <c r="J400" s="15" t="b">
        <v>0</v>
      </c>
      <c r="K400" s="15" t="inlineStr">
        <is>
          <t>C</t>
        </is>
      </c>
      <c r="L400" s="16" t="n">
        <v>0</v>
      </c>
      <c r="M400" s="15" t="n"/>
      <c r="N400" s="15" t="n"/>
      <c r="O400" s="15" t="inlineStr">
        <is>
          <t>Chưa mở</t>
        </is>
      </c>
      <c r="P400" s="15" t="n"/>
    </row>
    <row r="401" hidden="1" ht="15.75" customHeight="1" s="57">
      <c r="A401" s="7" t="inlineStr">
        <is>
          <t>Khánh Hòa</t>
        </is>
      </c>
      <c r="B401" s="7" t="n">
        <v>2061</v>
      </c>
      <c r="C401" s="7" t="inlineStr">
        <is>
          <t>Thị xã Ninh Hòa</t>
        </is>
      </c>
      <c r="D401" s="7" t="n">
        <v>410320</v>
      </c>
      <c r="E401" s="7" t="inlineStr">
        <is>
          <t>Xã Ninh Tân</t>
        </is>
      </c>
      <c r="F401" s="7" t="n">
        <v>20543000</v>
      </c>
      <c r="G401" s="7" t="inlineStr">
        <is>
          <t>Bưu Cục Tổ Dân Phố 2-Ninh Hoà-Khánh Hoà</t>
        </is>
      </c>
      <c r="H401" s="15" t="n">
        <v>20543000</v>
      </c>
      <c r="I401" s="15" t="inlineStr">
        <is>
          <t>Bưu Cục Tổ Dân Phố 2-Ninh Hoà-Khánh Hoà</t>
        </is>
      </c>
      <c r="J401" s="15" t="b">
        <v>0</v>
      </c>
      <c r="K401" s="15" t="inlineStr">
        <is>
          <t>C</t>
        </is>
      </c>
      <c r="L401" s="16" t="n">
        <v>0</v>
      </c>
      <c r="M401" s="15" t="n"/>
      <c r="N401" s="15" t="n"/>
      <c r="O401" s="15" t="inlineStr">
        <is>
          <t>Chưa mở</t>
        </is>
      </c>
      <c r="P401" s="15" t="n"/>
    </row>
    <row r="402" hidden="1" ht="15.75" customHeight="1" s="57">
      <c r="A402" s="7" t="inlineStr">
        <is>
          <t>Khánh Hòa</t>
        </is>
      </c>
      <c r="B402" s="7" t="n">
        <v>2061</v>
      </c>
      <c r="C402" s="7" t="inlineStr">
        <is>
          <t>Thị xã Ninh Hòa</t>
        </is>
      </c>
      <c r="D402" s="7" t="n">
        <v>410321</v>
      </c>
      <c r="E402" s="7" t="inlineStr">
        <is>
          <t>Xã Ninh Tây</t>
        </is>
      </c>
      <c r="F402" s="7" t="n">
        <v>20694000</v>
      </c>
      <c r="G402" s="7" t="inlineStr">
        <is>
          <t>Bưu Cục Thôn Xuân Hoà 1-Ninh Hoà-Khánh Hoà</t>
        </is>
      </c>
      <c r="H402" s="15" t="n">
        <v>20694000</v>
      </c>
      <c r="I402" s="15" t="inlineStr">
        <is>
          <t>Bưu Cục Thôn Xuân Hoà 1-Ninh Hoà-Khánh Hoà</t>
        </is>
      </c>
      <c r="J402" s="15" t="b">
        <v>0</v>
      </c>
      <c r="K402" s="15" t="inlineStr">
        <is>
          <t>C</t>
        </is>
      </c>
      <c r="L402" s="16" t="n">
        <v>0</v>
      </c>
      <c r="M402" s="15" t="n"/>
      <c r="N402" s="15" t="n"/>
      <c r="O402" s="15" t="inlineStr">
        <is>
          <t>Chưa mở</t>
        </is>
      </c>
      <c r="P402" s="15" t="n"/>
    </row>
    <row r="403" hidden="1" ht="15.75" customHeight="1" s="57">
      <c r="A403" s="7" t="inlineStr">
        <is>
          <t>Khánh Hòa</t>
        </is>
      </c>
      <c r="B403" s="7" t="n">
        <v>2061</v>
      </c>
      <c r="C403" s="7" t="inlineStr">
        <is>
          <t>Thị xã Ninh Hòa</t>
        </is>
      </c>
      <c r="D403" s="7" t="n">
        <v>410322</v>
      </c>
      <c r="E403" s="7" t="inlineStr">
        <is>
          <t>Xã Ninh Thân</t>
        </is>
      </c>
      <c r="F403" s="7" t="n">
        <v>20694000</v>
      </c>
      <c r="G403" s="7" t="inlineStr">
        <is>
          <t>Bưu Cục Thôn Xuân Hoà 1-Ninh Hoà-Khánh Hoà</t>
        </is>
      </c>
      <c r="H403" s="15" t="n">
        <v>20694000</v>
      </c>
      <c r="I403" s="15" t="inlineStr">
        <is>
          <t>Bưu Cục Thôn Xuân Hoà 1-Ninh Hoà-Khánh Hoà</t>
        </is>
      </c>
      <c r="J403" s="15" t="b">
        <v>0</v>
      </c>
      <c r="K403" s="15" t="inlineStr">
        <is>
          <t>C</t>
        </is>
      </c>
      <c r="L403" s="16" t="n">
        <v>0</v>
      </c>
      <c r="M403" s="15" t="n"/>
      <c r="N403" s="15" t="n"/>
      <c r="O403" s="15" t="inlineStr">
        <is>
          <t>Chưa mở</t>
        </is>
      </c>
      <c r="P403" s="15" t="n"/>
    </row>
    <row r="404" hidden="1" ht="15.75" customHeight="1" s="57">
      <c r="A404" s="7" t="inlineStr">
        <is>
          <t>Khánh Hòa</t>
        </is>
      </c>
      <c r="B404" s="7" t="n">
        <v>2061</v>
      </c>
      <c r="C404" s="7" t="inlineStr">
        <is>
          <t>Thị xã Ninh Hòa</t>
        </is>
      </c>
      <c r="D404" s="7" t="n">
        <v>410323</v>
      </c>
      <c r="E404" s="7" t="inlineStr">
        <is>
          <t>Xã Ninh Thọ</t>
        </is>
      </c>
      <c r="F404" s="7" t="n">
        <v>21569000</v>
      </c>
      <c r="G404" s="7" t="inlineStr">
        <is>
          <t>Bưu Cục 70 Lê Hồng Phong-Ninh Diêm-Ninh Hoà-Khánh Hoà</t>
        </is>
      </c>
      <c r="H404" s="15" t="n">
        <v>21569000</v>
      </c>
      <c r="I404" s="15" t="inlineStr">
        <is>
          <t>Bưu Cục 70 Lê Hồng Phong-Ninh Diêm-Ninh Hoà-Khánh Hoà</t>
        </is>
      </c>
      <c r="J404" s="15" t="b">
        <v>0</v>
      </c>
      <c r="K404" s="15" t="inlineStr">
        <is>
          <t>C</t>
        </is>
      </c>
      <c r="L404" s="16" t="n">
        <v>0</v>
      </c>
      <c r="M404" s="15" t="n"/>
      <c r="N404" s="15" t="n"/>
      <c r="O404" s="15" t="inlineStr">
        <is>
          <t>Chưa mở</t>
        </is>
      </c>
      <c r="P404" s="15" t="n"/>
    </row>
    <row r="405" hidden="1" ht="15.75" customHeight="1" s="57">
      <c r="A405" s="7" t="inlineStr">
        <is>
          <t>Khánh Hòa</t>
        </is>
      </c>
      <c r="B405" s="7" t="n">
        <v>2061</v>
      </c>
      <c r="C405" s="7" t="inlineStr">
        <is>
          <t>Thị xã Ninh Hòa</t>
        </is>
      </c>
      <c r="D405" s="7" t="n">
        <v>410324</v>
      </c>
      <c r="E405" s="7" t="inlineStr">
        <is>
          <t>Xã Ninh Thượng</t>
        </is>
      </c>
      <c r="F405" s="7" t="n">
        <v>20694000</v>
      </c>
      <c r="G405" s="7" t="inlineStr">
        <is>
          <t>Bưu Cục Thôn Xuân Hoà 1-Ninh Hoà-Khánh Hoà</t>
        </is>
      </c>
      <c r="H405" s="15" t="n">
        <v>20694000</v>
      </c>
      <c r="I405" s="15" t="inlineStr">
        <is>
          <t>Bưu Cục Thôn Xuân Hoà 1-Ninh Hoà-Khánh Hoà</t>
        </is>
      </c>
      <c r="J405" s="15" t="b">
        <v>0</v>
      </c>
      <c r="K405" s="15" t="inlineStr">
        <is>
          <t>C</t>
        </is>
      </c>
      <c r="L405" s="16" t="n">
        <v>0</v>
      </c>
      <c r="M405" s="15" t="n"/>
      <c r="N405" s="15" t="n"/>
      <c r="O405" s="15" t="inlineStr">
        <is>
          <t>Chưa mở</t>
        </is>
      </c>
      <c r="P405" s="15" t="n"/>
    </row>
    <row r="406" hidden="1" ht="15.75" customHeight="1" s="57">
      <c r="A406" s="7" t="inlineStr">
        <is>
          <t>Khánh Hòa</t>
        </is>
      </c>
      <c r="B406" s="7" t="n">
        <v>2061</v>
      </c>
      <c r="C406" s="7" t="inlineStr">
        <is>
          <t>Thị xã Ninh Hòa</t>
        </is>
      </c>
      <c r="D406" s="7" t="n">
        <v>410325</v>
      </c>
      <c r="E406" s="7" t="inlineStr">
        <is>
          <t>Xã Ninh Trung</t>
        </is>
      </c>
      <c r="F406" s="7" t="n">
        <v>20543000</v>
      </c>
      <c r="G406" s="7" t="inlineStr">
        <is>
          <t>Bưu Cục Tổ Dân Phố 2-Ninh Hoà-Khánh Hoà</t>
        </is>
      </c>
      <c r="H406" s="15" t="n">
        <v>20543000</v>
      </c>
      <c r="I406" s="15" t="inlineStr">
        <is>
          <t>Bưu Cục Tổ Dân Phố 2-Ninh Hoà-Khánh Hoà</t>
        </is>
      </c>
      <c r="J406" s="15" t="b">
        <v>0</v>
      </c>
      <c r="K406" s="15" t="inlineStr">
        <is>
          <t>C</t>
        </is>
      </c>
      <c r="L406" s="16" t="n">
        <v>0</v>
      </c>
      <c r="M406" s="15" t="n"/>
      <c r="N406" s="15" t="n"/>
      <c r="O406" s="15" t="inlineStr">
        <is>
          <t>Chưa mở</t>
        </is>
      </c>
      <c r="P406" s="15" t="n"/>
    </row>
    <row r="407" hidden="1" ht="15.75" customHeight="1" s="57">
      <c r="A407" s="7" t="inlineStr">
        <is>
          <t>Khánh Hòa</t>
        </is>
      </c>
      <c r="B407" s="7" t="n">
        <v>2061</v>
      </c>
      <c r="C407" s="7" t="inlineStr">
        <is>
          <t>Thị xã Ninh Hòa</t>
        </is>
      </c>
      <c r="D407" s="7" t="n">
        <v>410326</v>
      </c>
      <c r="E407" s="7" t="inlineStr">
        <is>
          <t>Xã Ninh Vân</t>
        </is>
      </c>
      <c r="F407" s="7" t="n">
        <v>21569000</v>
      </c>
      <c r="G407" s="7" t="inlineStr">
        <is>
          <t>Bưu Cục 70 Lê Hồng Phong-Ninh Diêm-Ninh Hoà-Khánh Hoà</t>
        </is>
      </c>
      <c r="H407" s="15" t="n">
        <v>21569000</v>
      </c>
      <c r="I407" s="15" t="inlineStr">
        <is>
          <t>Bưu Cục 70 Lê Hồng Phong-Ninh Diêm-Ninh Hoà-Khánh Hoà</t>
        </is>
      </c>
      <c r="J407" s="15" t="b">
        <v>0</v>
      </c>
      <c r="K407" s="15" t="inlineStr">
        <is>
          <t>C</t>
        </is>
      </c>
      <c r="L407" s="16" t="n">
        <v>0</v>
      </c>
      <c r="M407" s="15" t="n"/>
      <c r="N407" s="15" t="n"/>
      <c r="O407" s="15" t="inlineStr">
        <is>
          <t>Chưa mở</t>
        </is>
      </c>
      <c r="P407" s="15" t="n"/>
    </row>
    <row r="408" hidden="1" ht="15.75" customHeight="1" s="57">
      <c r="A408" s="7" t="inlineStr">
        <is>
          <t>Khánh Hòa</t>
        </is>
      </c>
      <c r="B408" s="7" t="n">
        <v>2061</v>
      </c>
      <c r="C408" s="7" t="inlineStr">
        <is>
          <t>Thị xã Ninh Hòa</t>
        </is>
      </c>
      <c r="D408" s="7" t="n">
        <v>410327</v>
      </c>
      <c r="E408" s="7" t="inlineStr">
        <is>
          <t>Xã Ninh Xuân</t>
        </is>
      </c>
      <c r="F408" s="7" t="n">
        <v>20694000</v>
      </c>
      <c r="G408" s="7" t="inlineStr">
        <is>
          <t>Bưu Cục Thôn Xuân Hoà 1-Ninh Hoà-Khánh Hoà</t>
        </is>
      </c>
      <c r="H408" s="15" t="n">
        <v>20694000</v>
      </c>
      <c r="I408" s="15" t="inlineStr">
        <is>
          <t>Bưu Cục Thôn Xuân Hoà 1-Ninh Hoà-Khánh Hoà</t>
        </is>
      </c>
      <c r="J408" s="15" t="b">
        <v>0</v>
      </c>
      <c r="K408" s="15" t="inlineStr">
        <is>
          <t>C</t>
        </is>
      </c>
      <c r="L408" s="16" t="n">
        <v>0</v>
      </c>
      <c r="M408" s="15" t="n"/>
      <c r="N408" s="15" t="n"/>
      <c r="O408" s="15" t="inlineStr">
        <is>
          <t>Chưa mở</t>
        </is>
      </c>
      <c r="P408" s="15" t="n"/>
    </row>
    <row r="409" hidden="1" ht="15.75" customHeight="1" s="57">
      <c r="A409" s="7" t="inlineStr">
        <is>
          <t>Lâm Đồng</t>
        </is>
      </c>
      <c r="B409" s="7" t="n">
        <v>2104</v>
      </c>
      <c r="C409" s="7" t="inlineStr">
        <is>
          <t>Huyện Đạ Huoai</t>
        </is>
      </c>
      <c r="D409" s="7" t="n">
        <v>420701</v>
      </c>
      <c r="E409" s="7" t="inlineStr">
        <is>
          <t>Thị trấn Đạ M'ri</t>
        </is>
      </c>
      <c r="F409" s="7" t="n">
        <v>1896</v>
      </c>
      <c r="G409" s="7" t="inlineStr">
        <is>
          <t>Bưu Cục Đạ Huoai-Lâm Đồng</t>
        </is>
      </c>
      <c r="H409" s="15" t="n">
        <v>1896</v>
      </c>
      <c r="I409" s="15" t="inlineStr">
        <is>
          <t>Bưu Cục Đạ Huoai-Lâm Đồng</t>
        </is>
      </c>
      <c r="J409" s="15" t="b">
        <v>0</v>
      </c>
      <c r="K409" s="15" t="inlineStr">
        <is>
          <t>C</t>
        </is>
      </c>
      <c r="L409" s="16" t="n">
        <v>0</v>
      </c>
      <c r="M409" s="15" t="n"/>
      <c r="N409" s="15" t="n"/>
      <c r="O409" s="15" t="inlineStr">
        <is>
          <t>Chưa mở</t>
        </is>
      </c>
      <c r="P409" s="15" t="n"/>
    </row>
    <row r="410" hidden="1" ht="15.75" customHeight="1" s="57">
      <c r="A410" s="7" t="inlineStr">
        <is>
          <t>Lâm Đồng</t>
        </is>
      </c>
      <c r="B410" s="7" t="n">
        <v>2104</v>
      </c>
      <c r="C410" s="7" t="inlineStr">
        <is>
          <t>Huyện Đạ Huoai</t>
        </is>
      </c>
      <c r="D410" s="7" t="n">
        <v>420702</v>
      </c>
      <c r="E410" s="7" t="inlineStr">
        <is>
          <t>Thị trấn Ma Đa Guôi</t>
        </is>
      </c>
      <c r="F410" s="7" t="n">
        <v>1896</v>
      </c>
      <c r="G410" s="7" t="inlineStr">
        <is>
          <t>Bưu Cục Đạ Huoai-Lâm Đồng</t>
        </is>
      </c>
      <c r="H410" s="15" t="n">
        <v>1896</v>
      </c>
      <c r="I410" s="15" t="inlineStr">
        <is>
          <t>Bưu Cục Đạ Huoai-Lâm Đồng</t>
        </is>
      </c>
      <c r="J410" s="15" t="b">
        <v>0</v>
      </c>
      <c r="K410" s="15" t="inlineStr">
        <is>
          <t>C</t>
        </is>
      </c>
      <c r="L410" s="16" t="n">
        <v>0</v>
      </c>
      <c r="M410" s="15" t="n"/>
      <c r="N410" s="15" t="n"/>
      <c r="O410" s="15" t="inlineStr">
        <is>
          <t>Chưa mở</t>
        </is>
      </c>
      <c r="P410" s="15" t="n"/>
    </row>
    <row r="411" hidden="1" ht="15.75" customHeight="1" s="57">
      <c r="A411" s="7" t="inlineStr">
        <is>
          <t>Lâm Đồng</t>
        </is>
      </c>
      <c r="B411" s="7" t="n">
        <v>2104</v>
      </c>
      <c r="C411" s="7" t="inlineStr">
        <is>
          <t>Huyện Đạ Huoai</t>
        </is>
      </c>
      <c r="D411" s="7" t="n">
        <v>420703</v>
      </c>
      <c r="E411" s="7" t="inlineStr">
        <is>
          <t>Xã Đạ M'ri</t>
        </is>
      </c>
      <c r="F411" s="7" t="n">
        <v>1896</v>
      </c>
      <c r="G411" s="7" t="inlineStr">
        <is>
          <t>Bưu Cục Đạ Huoai-Lâm Đồng</t>
        </is>
      </c>
      <c r="H411" s="15" t="n">
        <v>1896</v>
      </c>
      <c r="I411" s="15" t="inlineStr">
        <is>
          <t>Bưu Cục Đạ Huoai-Lâm Đồng</t>
        </is>
      </c>
      <c r="J411" s="15" t="b">
        <v>0</v>
      </c>
      <c r="K411" s="15" t="inlineStr">
        <is>
          <t>C</t>
        </is>
      </c>
      <c r="L411" s="16" t="n">
        <v>0</v>
      </c>
      <c r="M411" s="15" t="n"/>
      <c r="N411" s="15" t="n"/>
      <c r="O411" s="15" t="inlineStr">
        <is>
          <t>Chưa mở</t>
        </is>
      </c>
      <c r="P411" s="15" t="n"/>
    </row>
    <row r="412" hidden="1" ht="15.75" customHeight="1" s="57">
      <c r="A412" s="7" t="inlineStr">
        <is>
          <t>Lâm Đồng</t>
        </is>
      </c>
      <c r="B412" s="7" t="n">
        <v>2104</v>
      </c>
      <c r="C412" s="7" t="inlineStr">
        <is>
          <t>Huyện Đạ Huoai</t>
        </is>
      </c>
      <c r="D412" s="7" t="n">
        <v>420704</v>
      </c>
      <c r="E412" s="7" t="inlineStr">
        <is>
          <t>Xã Đạ Oai</t>
        </is>
      </c>
      <c r="F412" s="7" t="n">
        <v>1896</v>
      </c>
      <c r="G412" s="7" t="inlineStr">
        <is>
          <t>Bưu Cục Đạ Huoai-Lâm Đồng</t>
        </is>
      </c>
      <c r="H412" s="15" t="n">
        <v>1896</v>
      </c>
      <c r="I412" s="15" t="inlineStr">
        <is>
          <t>Bưu Cục Đạ Huoai-Lâm Đồng</t>
        </is>
      </c>
      <c r="J412" s="15" t="b">
        <v>0</v>
      </c>
      <c r="K412" s="15" t="inlineStr">
        <is>
          <t>C</t>
        </is>
      </c>
      <c r="L412" s="16" t="n">
        <v>0</v>
      </c>
      <c r="M412" s="15" t="n"/>
      <c r="N412" s="15" t="n"/>
      <c r="O412" s="15" t="inlineStr">
        <is>
          <t>Chưa mở</t>
        </is>
      </c>
      <c r="P412" s="15" t="n"/>
    </row>
    <row r="413" hidden="1" ht="15.75" customHeight="1" s="57">
      <c r="A413" s="7" t="inlineStr">
        <is>
          <t>Lâm Đồng</t>
        </is>
      </c>
      <c r="B413" s="7" t="n">
        <v>2104</v>
      </c>
      <c r="C413" s="7" t="inlineStr">
        <is>
          <t>Huyện Đạ Huoai</t>
        </is>
      </c>
      <c r="D413" s="7" t="n">
        <v>420705</v>
      </c>
      <c r="E413" s="7" t="inlineStr">
        <is>
          <t>Xã Đạ Ploa</t>
        </is>
      </c>
      <c r="F413" s="7" t="n">
        <v>1896</v>
      </c>
      <c r="G413" s="7" t="inlineStr">
        <is>
          <t>Bưu Cục Đạ Huoai-Lâm Đồng</t>
        </is>
      </c>
      <c r="H413" s="15" t="n">
        <v>1896</v>
      </c>
      <c r="I413" s="15" t="inlineStr">
        <is>
          <t>Bưu Cục Đạ Huoai-Lâm Đồng</t>
        </is>
      </c>
      <c r="J413" s="15" t="b">
        <v>0</v>
      </c>
      <c r="K413" s="15" t="inlineStr">
        <is>
          <t>C</t>
        </is>
      </c>
      <c r="L413" s="16" t="n">
        <v>0</v>
      </c>
      <c r="M413" s="15" t="n"/>
      <c r="N413" s="15" t="n"/>
      <c r="O413" s="15" t="inlineStr">
        <is>
          <t>Chưa mở</t>
        </is>
      </c>
      <c r="P413" s="15" t="n"/>
    </row>
    <row r="414" hidden="1" ht="15.75" customHeight="1" s="57">
      <c r="A414" s="7" t="inlineStr">
        <is>
          <t>Lâm Đồng</t>
        </is>
      </c>
      <c r="B414" s="7" t="n">
        <v>2104</v>
      </c>
      <c r="C414" s="7" t="inlineStr">
        <is>
          <t>Huyện Đạ Huoai</t>
        </is>
      </c>
      <c r="D414" s="7" t="n">
        <v>420706</v>
      </c>
      <c r="E414" s="7" t="inlineStr">
        <is>
          <t>Xã Đạ Tồn</t>
        </is>
      </c>
      <c r="F414" s="7" t="n">
        <v>1896</v>
      </c>
      <c r="G414" s="7" t="inlineStr">
        <is>
          <t>Bưu Cục Đạ Huoai-Lâm Đồng</t>
        </is>
      </c>
      <c r="H414" s="15" t="n">
        <v>1896</v>
      </c>
      <c r="I414" s="15" t="inlineStr">
        <is>
          <t>Bưu Cục Đạ Huoai-Lâm Đồng</t>
        </is>
      </c>
      <c r="J414" s="15" t="b">
        <v>0</v>
      </c>
      <c r="K414" s="15" t="inlineStr">
        <is>
          <t>C</t>
        </is>
      </c>
      <c r="L414" s="16" t="n">
        <v>0</v>
      </c>
      <c r="M414" s="15" t="n"/>
      <c r="N414" s="15" t="n"/>
      <c r="O414" s="15" t="inlineStr">
        <is>
          <t>Chưa mở</t>
        </is>
      </c>
      <c r="P414" s="15" t="n"/>
    </row>
    <row r="415" hidden="1" ht="15.75" customHeight="1" s="57">
      <c r="A415" s="7" t="inlineStr">
        <is>
          <t>Lâm Đồng</t>
        </is>
      </c>
      <c r="B415" s="7" t="n">
        <v>2104</v>
      </c>
      <c r="C415" s="7" t="inlineStr">
        <is>
          <t>Huyện Đạ Huoai</t>
        </is>
      </c>
      <c r="D415" s="7" t="n">
        <v>420707</v>
      </c>
      <c r="E415" s="7" t="inlineStr">
        <is>
          <t>Xã Đoàn Kết</t>
        </is>
      </c>
      <c r="F415" s="7" t="n">
        <v>1896</v>
      </c>
      <c r="G415" s="7" t="inlineStr">
        <is>
          <t>Bưu Cục Đạ Huoai-Lâm Đồng</t>
        </is>
      </c>
      <c r="H415" s="15" t="n">
        <v>1896</v>
      </c>
      <c r="I415" s="15" t="inlineStr">
        <is>
          <t>Bưu Cục Đạ Huoai-Lâm Đồng</t>
        </is>
      </c>
      <c r="J415" s="15" t="b">
        <v>0</v>
      </c>
      <c r="K415" s="15" t="inlineStr">
        <is>
          <t>C</t>
        </is>
      </c>
      <c r="L415" s="16" t="n">
        <v>0</v>
      </c>
      <c r="M415" s="15" t="n"/>
      <c r="N415" s="15" t="n"/>
      <c r="O415" s="15" t="inlineStr">
        <is>
          <t>Chưa mở</t>
        </is>
      </c>
      <c r="P415" s="15" t="n"/>
    </row>
    <row r="416" hidden="1" ht="15.75" customHeight="1" s="57">
      <c r="A416" s="7" t="inlineStr">
        <is>
          <t>Lâm Đồng</t>
        </is>
      </c>
      <c r="B416" s="7" t="n">
        <v>2104</v>
      </c>
      <c r="C416" s="7" t="inlineStr">
        <is>
          <t>Huyện Đạ Huoai</t>
        </is>
      </c>
      <c r="D416" s="7" t="n">
        <v>420708</v>
      </c>
      <c r="E416" s="7" t="inlineStr">
        <is>
          <t>Xã Hà Lâm</t>
        </is>
      </c>
      <c r="F416" s="7" t="n">
        <v>1896</v>
      </c>
      <c r="G416" s="7" t="inlineStr">
        <is>
          <t>Bưu Cục Đạ Huoai-Lâm Đồng</t>
        </is>
      </c>
      <c r="H416" s="15" t="n">
        <v>1896</v>
      </c>
      <c r="I416" s="15" t="inlineStr">
        <is>
          <t>Bưu Cục Đạ Huoai-Lâm Đồng</t>
        </is>
      </c>
      <c r="J416" s="15" t="b">
        <v>0</v>
      </c>
      <c r="K416" s="15" t="inlineStr">
        <is>
          <t>C</t>
        </is>
      </c>
      <c r="L416" s="16" t="n">
        <v>0</v>
      </c>
      <c r="M416" s="15" t="n"/>
      <c r="N416" s="15" t="n"/>
      <c r="O416" s="15" t="inlineStr">
        <is>
          <t>Chưa mở</t>
        </is>
      </c>
      <c r="P416" s="15" t="n"/>
    </row>
    <row r="417" hidden="1" ht="15.75" customHeight="1" s="57">
      <c r="A417" s="7" t="inlineStr">
        <is>
          <t>Lâm Đồng</t>
        </is>
      </c>
      <c r="B417" s="7" t="n">
        <v>2104</v>
      </c>
      <c r="C417" s="7" t="inlineStr">
        <is>
          <t>Huyện Đạ Huoai</t>
        </is>
      </c>
      <c r="D417" s="7" t="n">
        <v>420709</v>
      </c>
      <c r="E417" s="7" t="inlineStr">
        <is>
          <t>Xã Ma Đa Guôi</t>
        </is>
      </c>
      <c r="F417" s="7" t="n">
        <v>1896</v>
      </c>
      <c r="G417" s="7" t="inlineStr">
        <is>
          <t>Bưu Cục Đạ Huoai-Lâm Đồng</t>
        </is>
      </c>
      <c r="H417" s="15" t="n">
        <v>1896</v>
      </c>
      <c r="I417" s="15" t="inlineStr">
        <is>
          <t>Bưu Cục Đạ Huoai-Lâm Đồng</t>
        </is>
      </c>
      <c r="J417" s="15" t="b">
        <v>0</v>
      </c>
      <c r="K417" s="15" t="inlineStr">
        <is>
          <t>C</t>
        </is>
      </c>
      <c r="L417" s="16" t="n">
        <v>0</v>
      </c>
      <c r="M417" s="15" t="n"/>
      <c r="N417" s="15" t="n"/>
      <c r="O417" s="15" t="inlineStr">
        <is>
          <t>Chưa mở</t>
        </is>
      </c>
      <c r="P417" s="15" t="n"/>
    </row>
    <row r="418" hidden="1" ht="15.75" customHeight="1" s="57">
      <c r="A418" s="7" t="inlineStr">
        <is>
          <t>Lâm Đồng</t>
        </is>
      </c>
      <c r="B418" s="7" t="n">
        <v>2104</v>
      </c>
      <c r="C418" s="7" t="inlineStr">
        <is>
          <t>Huyện Đạ Huoai</t>
        </is>
      </c>
      <c r="D418" s="7" t="n">
        <v>420710</v>
      </c>
      <c r="E418" s="7" t="inlineStr">
        <is>
          <t>Xã Phước Lộc</t>
        </is>
      </c>
      <c r="F418" s="7" t="n">
        <v>1896</v>
      </c>
      <c r="G418" s="7" t="inlineStr">
        <is>
          <t>Bưu Cục Đạ Huoai-Lâm Đồng</t>
        </is>
      </c>
      <c r="H418" s="15" t="n">
        <v>1896</v>
      </c>
      <c r="I418" s="15" t="inlineStr">
        <is>
          <t>Bưu Cục Đạ Huoai-Lâm Đồng</t>
        </is>
      </c>
      <c r="J418" s="15" t="b">
        <v>0</v>
      </c>
      <c r="K418" s="15" t="inlineStr">
        <is>
          <t>C</t>
        </is>
      </c>
      <c r="L418" s="16" t="n">
        <v>0</v>
      </c>
      <c r="M418" s="15" t="n"/>
      <c r="N418" s="15" t="n"/>
      <c r="O418" s="15" t="inlineStr">
        <is>
          <t>Chưa mở</t>
        </is>
      </c>
      <c r="P418" s="15" t="n"/>
    </row>
    <row r="419" hidden="1" ht="15.75" customHeight="1" s="57">
      <c r="A419" s="7" t="inlineStr">
        <is>
          <t>Lâm Đồng</t>
        </is>
      </c>
      <c r="B419" s="7" t="n">
        <v>2104</v>
      </c>
      <c r="C419" s="7" t="inlineStr">
        <is>
          <t>Huyện Đạ Huoai</t>
        </is>
      </c>
      <c r="D419" s="7" t="n">
        <v>91594</v>
      </c>
      <c r="E419" s="7" t="inlineStr">
        <is>
          <t>Xã Bà Gia</t>
        </is>
      </c>
      <c r="F419" s="7" t="n">
        <v>1896</v>
      </c>
      <c r="G419" s="7" t="inlineStr">
        <is>
          <t>Bưu Cục Đạ Huoai-Lâm Đồng</t>
        </is>
      </c>
      <c r="H419" s="15" t="n">
        <v>1896</v>
      </c>
      <c r="I419" s="15" t="inlineStr">
        <is>
          <t>Bưu Cục Đạ Huoai-Lâm Đồng</t>
        </is>
      </c>
      <c r="J419" s="15" t="b">
        <v>0</v>
      </c>
      <c r="K419" s="15" t="inlineStr">
        <is>
          <t>C</t>
        </is>
      </c>
      <c r="L419" s="16" t="n">
        <v>0</v>
      </c>
      <c r="M419" s="15" t="n"/>
      <c r="N419" s="15" t="n"/>
      <c r="O419" s="15" t="inlineStr">
        <is>
          <t>Chưa mở</t>
        </is>
      </c>
      <c r="P419" s="15" t="n"/>
    </row>
    <row r="420" hidden="1" ht="15.75" customHeight="1" s="57">
      <c r="A420" s="7" t="inlineStr">
        <is>
          <t>Lâm Đồng</t>
        </is>
      </c>
      <c r="B420" s="7" t="n">
        <v>2104</v>
      </c>
      <c r="C420" s="7" t="inlineStr">
        <is>
          <t>Huyện Đạ Huoai</t>
        </is>
      </c>
      <c r="D420" s="7" t="n">
        <v>91595</v>
      </c>
      <c r="E420" s="7" t="inlineStr">
        <is>
          <t>Thị trấn Đạ Tẻh</t>
        </is>
      </c>
      <c r="F420" s="7" t="n">
        <v>20663000</v>
      </c>
      <c r="G420" s="7" t="inlineStr">
        <is>
          <t xml:space="preserve">Bưu Cục 44B Nguyễn Đình Chiểu-Đạ Teh-Lâm Đồng </t>
        </is>
      </c>
      <c r="H420" s="15" t="n">
        <v>20663000</v>
      </c>
      <c r="I420" s="15" t="inlineStr">
        <is>
          <t xml:space="preserve">Bưu Cục 44B Nguyễn Đình Chiểu-Đạ Teh-Lâm Đồng </t>
        </is>
      </c>
      <c r="J420" s="15" t="b">
        <v>0</v>
      </c>
      <c r="K420" s="15" t="inlineStr">
        <is>
          <t>C</t>
        </is>
      </c>
      <c r="L420" s="16" t="n">
        <v>0</v>
      </c>
      <c r="M420" s="15" t="n"/>
      <c r="N420" s="15" t="n"/>
      <c r="O420" s="15" t="inlineStr">
        <is>
          <t>Chưa mở</t>
        </is>
      </c>
      <c r="P420" s="15" t="n"/>
    </row>
    <row r="421" hidden="1" ht="15.75" customHeight="1" s="57">
      <c r="A421" s="7" t="inlineStr">
        <is>
          <t>Lâm Đồng</t>
        </is>
      </c>
      <c r="B421" s="7" t="n">
        <v>2104</v>
      </c>
      <c r="C421" s="7" t="inlineStr">
        <is>
          <t>Huyện Đạ Huoai</t>
        </is>
      </c>
      <c r="D421" s="7" t="n">
        <v>91596</v>
      </c>
      <c r="E421" s="7" t="inlineStr">
        <is>
          <t>Xã An Nhơn</t>
        </is>
      </c>
      <c r="F421" s="7" t="n">
        <v>20663000</v>
      </c>
      <c r="G421" s="7" t="inlineStr">
        <is>
          <t xml:space="preserve">Bưu Cục 44B Nguyễn Đình Chiểu-Đạ Teh-Lâm Đồng </t>
        </is>
      </c>
      <c r="H421" s="15" t="n">
        <v>20663000</v>
      </c>
      <c r="I421" s="15" t="inlineStr">
        <is>
          <t xml:space="preserve">Bưu Cục 44B Nguyễn Đình Chiểu-Đạ Teh-Lâm Đồng </t>
        </is>
      </c>
      <c r="J421" s="15" t="b">
        <v>0</v>
      </c>
      <c r="K421" s="15" t="inlineStr">
        <is>
          <t>C</t>
        </is>
      </c>
      <c r="L421" s="16" t="n">
        <v>0</v>
      </c>
      <c r="M421" s="15" t="n"/>
      <c r="N421" s="15" t="n"/>
      <c r="O421" s="15" t="inlineStr">
        <is>
          <t>Chưa mở</t>
        </is>
      </c>
      <c r="P421" s="15" t="n"/>
    </row>
    <row r="422" hidden="1" ht="15.75" customHeight="1" s="57">
      <c r="A422" s="7" t="inlineStr">
        <is>
          <t>Lâm Đồng</t>
        </is>
      </c>
      <c r="B422" s="7" t="n">
        <v>2104</v>
      </c>
      <c r="C422" s="7" t="inlineStr">
        <is>
          <t>Huyện Đạ Huoai</t>
        </is>
      </c>
      <c r="D422" s="7" t="n">
        <v>91597</v>
      </c>
      <c r="E422" s="7" t="inlineStr">
        <is>
          <t>Xã Quốc Oai</t>
        </is>
      </c>
      <c r="F422" s="7" t="n">
        <v>20663000</v>
      </c>
      <c r="G422" s="7" t="inlineStr">
        <is>
          <t xml:space="preserve">Bưu Cục 44B Nguyễn Đình Chiểu-Đạ Teh-Lâm Đồng </t>
        </is>
      </c>
      <c r="H422" s="15" t="n">
        <v>20663000</v>
      </c>
      <c r="I422" s="15" t="inlineStr">
        <is>
          <t xml:space="preserve">Bưu Cục 44B Nguyễn Đình Chiểu-Đạ Teh-Lâm Đồng </t>
        </is>
      </c>
      <c r="J422" s="15" t="b">
        <v>0</v>
      </c>
      <c r="K422" s="15" t="inlineStr">
        <is>
          <t>C</t>
        </is>
      </c>
      <c r="L422" s="16" t="n">
        <v>0</v>
      </c>
      <c r="M422" s="15" t="n"/>
      <c r="N422" s="15" t="n"/>
      <c r="O422" s="15" t="inlineStr">
        <is>
          <t>Chưa mở</t>
        </is>
      </c>
      <c r="P422" s="15" t="n"/>
    </row>
    <row r="423" hidden="1" ht="15.75" customHeight="1" s="57">
      <c r="A423" s="7" t="inlineStr">
        <is>
          <t>Lâm Đồng</t>
        </is>
      </c>
      <c r="B423" s="7" t="n">
        <v>2104</v>
      </c>
      <c r="C423" s="7" t="inlineStr">
        <is>
          <t>Huyện Đạ Huoai</t>
        </is>
      </c>
      <c r="D423" s="7" t="n">
        <v>91598</v>
      </c>
      <c r="E423" s="7" t="inlineStr">
        <is>
          <t>Xã Mỹ Đức</t>
        </is>
      </c>
      <c r="F423" s="7" t="n">
        <v>20663000</v>
      </c>
      <c r="G423" s="7" t="inlineStr">
        <is>
          <t xml:space="preserve">Bưu Cục 44B Nguyễn Đình Chiểu-Đạ Teh-Lâm Đồng </t>
        </is>
      </c>
      <c r="H423" s="15" t="n">
        <v>20663000</v>
      </c>
      <c r="I423" s="15" t="inlineStr">
        <is>
          <t xml:space="preserve">Bưu Cục 44B Nguyễn Đình Chiểu-Đạ Teh-Lâm Đồng </t>
        </is>
      </c>
      <c r="J423" s="15" t="b">
        <v>0</v>
      </c>
      <c r="K423" s="15" t="inlineStr">
        <is>
          <t>C</t>
        </is>
      </c>
      <c r="L423" s="16" t="n">
        <v>0</v>
      </c>
      <c r="M423" s="15" t="n"/>
      <c r="N423" s="15" t="n"/>
      <c r="O423" s="15" t="inlineStr">
        <is>
          <t>Chưa mở</t>
        </is>
      </c>
      <c r="P423" s="15" t="n"/>
    </row>
    <row r="424" hidden="1" ht="15.75" customHeight="1" s="57">
      <c r="A424" s="7" t="inlineStr">
        <is>
          <t>Lâm Đồng</t>
        </is>
      </c>
      <c r="B424" s="7" t="n">
        <v>2104</v>
      </c>
      <c r="C424" s="7" t="inlineStr">
        <is>
          <t>Huyện Đạ Huoai</t>
        </is>
      </c>
      <c r="D424" s="7" t="n">
        <v>91599</v>
      </c>
      <c r="E424" s="7" t="inlineStr">
        <is>
          <t>Xã Quảng Trị</t>
        </is>
      </c>
      <c r="F424" s="7" t="n">
        <v>20663000</v>
      </c>
      <c r="G424" s="7" t="inlineStr">
        <is>
          <t xml:space="preserve">Bưu Cục 44B Nguyễn Đình Chiểu-Đạ Teh-Lâm Đồng </t>
        </is>
      </c>
      <c r="H424" s="15" t="n">
        <v>20663000</v>
      </c>
      <c r="I424" s="15" t="inlineStr">
        <is>
          <t xml:space="preserve">Bưu Cục 44B Nguyễn Đình Chiểu-Đạ Teh-Lâm Đồng </t>
        </is>
      </c>
      <c r="J424" s="15" t="b">
        <v>0</v>
      </c>
      <c r="K424" s="15" t="inlineStr">
        <is>
          <t>C</t>
        </is>
      </c>
      <c r="L424" s="16" t="n">
        <v>0</v>
      </c>
      <c r="M424" s="15" t="n"/>
      <c r="N424" s="15" t="n"/>
      <c r="O424" s="15" t="inlineStr">
        <is>
          <t>Chưa mở</t>
        </is>
      </c>
      <c r="P424" s="15" t="n"/>
    </row>
    <row r="425" hidden="1" ht="15.75" customHeight="1" s="57">
      <c r="A425" s="7" t="inlineStr">
        <is>
          <t>Lâm Đồng</t>
        </is>
      </c>
      <c r="B425" s="7" t="n">
        <v>2104</v>
      </c>
      <c r="C425" s="7" t="inlineStr">
        <is>
          <t>Huyện Đạ Huoai</t>
        </is>
      </c>
      <c r="D425" s="7" t="n">
        <v>91600</v>
      </c>
      <c r="E425" s="7" t="inlineStr">
        <is>
          <t>Xã Đạ Lây</t>
        </is>
      </c>
      <c r="F425" s="7" t="n">
        <v>20663000</v>
      </c>
      <c r="G425" s="7" t="inlineStr">
        <is>
          <t xml:space="preserve">Bưu Cục 44B Nguyễn Đình Chiểu-Đạ Teh-Lâm Đồng </t>
        </is>
      </c>
      <c r="H425" s="15" t="n">
        <v>20663000</v>
      </c>
      <c r="I425" s="15" t="inlineStr">
        <is>
          <t xml:space="preserve">Bưu Cục 44B Nguyễn Đình Chiểu-Đạ Teh-Lâm Đồng </t>
        </is>
      </c>
      <c r="J425" s="15" t="b">
        <v>0</v>
      </c>
      <c r="K425" s="15" t="inlineStr">
        <is>
          <t>C</t>
        </is>
      </c>
      <c r="L425" s="16" t="n">
        <v>0</v>
      </c>
      <c r="M425" s="15" t="n"/>
      <c r="N425" s="15" t="n"/>
      <c r="O425" s="15" t="inlineStr">
        <is>
          <t>Chưa mở</t>
        </is>
      </c>
      <c r="P425" s="15" t="n"/>
    </row>
    <row r="426" hidden="1" ht="15.75" customHeight="1" s="57">
      <c r="A426" s="7" t="inlineStr">
        <is>
          <t>Lâm Đồng</t>
        </is>
      </c>
      <c r="B426" s="7" t="n">
        <v>2104</v>
      </c>
      <c r="C426" s="7" t="inlineStr">
        <is>
          <t>Huyện Đạ Huoai</t>
        </is>
      </c>
      <c r="D426" s="7" t="n">
        <v>91601</v>
      </c>
      <c r="E426" s="7" t="inlineStr">
        <is>
          <t>Xã Đạ Kho</t>
        </is>
      </c>
      <c r="F426" s="7" t="n">
        <v>20663000</v>
      </c>
      <c r="G426" s="7" t="inlineStr">
        <is>
          <t xml:space="preserve">Bưu Cục 44B Nguyễn Đình Chiểu-Đạ Teh-Lâm Đồng </t>
        </is>
      </c>
      <c r="H426" s="15" t="n">
        <v>20663000</v>
      </c>
      <c r="I426" s="15" t="inlineStr">
        <is>
          <t xml:space="preserve">Bưu Cục 44B Nguyễn Đình Chiểu-Đạ Teh-Lâm Đồng </t>
        </is>
      </c>
      <c r="J426" s="15" t="b">
        <v>0</v>
      </c>
      <c r="K426" s="15" t="inlineStr">
        <is>
          <t>C</t>
        </is>
      </c>
      <c r="L426" s="16" t="n">
        <v>0</v>
      </c>
      <c r="M426" s="15" t="n"/>
      <c r="N426" s="15" t="n"/>
      <c r="O426" s="15" t="inlineStr">
        <is>
          <t>Chưa mở</t>
        </is>
      </c>
      <c r="P426" s="15" t="n"/>
    </row>
    <row r="427" hidden="1" ht="15.75" customHeight="1" s="57">
      <c r="A427" s="7" t="inlineStr">
        <is>
          <t>Lâm Đồng</t>
        </is>
      </c>
      <c r="B427" s="7" t="n">
        <v>2104</v>
      </c>
      <c r="C427" s="7" t="inlineStr">
        <is>
          <t>Huyện Đạ Huoai</t>
        </is>
      </c>
      <c r="D427" s="7" t="n">
        <v>91602</v>
      </c>
      <c r="E427" s="7" t="inlineStr">
        <is>
          <t>Xã Đạ Pal</t>
        </is>
      </c>
      <c r="F427" s="7" t="n">
        <v>20663000</v>
      </c>
      <c r="G427" s="7" t="inlineStr">
        <is>
          <t xml:space="preserve">Bưu Cục 44B Nguyễn Đình Chiểu-Đạ Teh-Lâm Đồng </t>
        </is>
      </c>
      <c r="H427" s="15" t="n">
        <v>20663000</v>
      </c>
      <c r="I427" s="15" t="inlineStr">
        <is>
          <t xml:space="preserve">Bưu Cục 44B Nguyễn Đình Chiểu-Đạ Teh-Lâm Đồng </t>
        </is>
      </c>
      <c r="J427" s="15" t="b">
        <v>0</v>
      </c>
      <c r="K427" s="15" t="inlineStr">
        <is>
          <t>C</t>
        </is>
      </c>
      <c r="L427" s="16" t="n">
        <v>0</v>
      </c>
      <c r="M427" s="15" t="n"/>
      <c r="N427" s="15" t="n"/>
      <c r="O427" s="15" t="inlineStr">
        <is>
          <t>Chưa mở</t>
        </is>
      </c>
      <c r="P427" s="15" t="n"/>
    </row>
    <row r="428" hidden="1" ht="15.75" customHeight="1" s="57">
      <c r="A428" s="7" t="inlineStr">
        <is>
          <t>Lâm Đồng</t>
        </is>
      </c>
      <c r="B428" s="7" t="n">
        <v>2104</v>
      </c>
      <c r="C428" s="7" t="inlineStr">
        <is>
          <t>Huyện Đạ Huoai</t>
        </is>
      </c>
      <c r="D428" s="7" t="n">
        <v>91603</v>
      </c>
      <c r="E428" s="7" t="inlineStr">
        <is>
          <t>Thị trấn Cát Tiên</t>
        </is>
      </c>
      <c r="F428" s="7" t="n">
        <v>20669000</v>
      </c>
      <c r="G428" s="7" t="inlineStr">
        <is>
          <t xml:space="preserve">Bưu Cục Đường Trần Lê-Cát Tiên-Lâm Đồng </t>
        </is>
      </c>
      <c r="H428" s="15" t="n">
        <v>20669000</v>
      </c>
      <c r="I428" s="15" t="inlineStr">
        <is>
          <t xml:space="preserve">Bưu Cục Đường Trần Lê-Cát Tiên-Lâm Đồng </t>
        </is>
      </c>
      <c r="J428" s="15" t="b">
        <v>0</v>
      </c>
      <c r="K428" s="15" t="inlineStr">
        <is>
          <t>C</t>
        </is>
      </c>
      <c r="L428" s="16" t="n">
        <v>0</v>
      </c>
      <c r="M428" s="15" t="n"/>
      <c r="N428" s="15" t="n"/>
      <c r="O428" s="15" t="inlineStr">
        <is>
          <t>Chưa mở</t>
        </is>
      </c>
      <c r="P428" s="15" t="n"/>
    </row>
    <row r="429" hidden="1" ht="15.75" customHeight="1" s="57">
      <c r="A429" s="7" t="inlineStr">
        <is>
          <t>Lâm Đồng</t>
        </is>
      </c>
      <c r="B429" s="7" t="n">
        <v>2104</v>
      </c>
      <c r="C429" s="7" t="inlineStr">
        <is>
          <t>Huyện Đạ Huoai</t>
        </is>
      </c>
      <c r="D429" s="7" t="n">
        <v>91604</v>
      </c>
      <c r="E429" s="7" t="inlineStr">
        <is>
          <t>Xã Tiên Hoàng</t>
        </is>
      </c>
      <c r="F429" s="7" t="n">
        <v>20669000</v>
      </c>
      <c r="G429" s="7" t="inlineStr">
        <is>
          <t xml:space="preserve">Bưu Cục Đường Trần Lê-Cát Tiên-Lâm Đồng </t>
        </is>
      </c>
      <c r="H429" s="15" t="n">
        <v>20669000</v>
      </c>
      <c r="I429" s="15" t="inlineStr">
        <is>
          <t xml:space="preserve">Bưu Cục Đường Trần Lê-Cát Tiên-Lâm Đồng </t>
        </is>
      </c>
      <c r="J429" s="15" t="b">
        <v>0</v>
      </c>
      <c r="K429" s="15" t="inlineStr">
        <is>
          <t>C</t>
        </is>
      </c>
      <c r="L429" s="16" t="n">
        <v>0</v>
      </c>
      <c r="M429" s="15" t="n"/>
      <c r="N429" s="15" t="n"/>
      <c r="O429" s="15" t="inlineStr">
        <is>
          <t>Chưa mở</t>
        </is>
      </c>
      <c r="P429" s="15" t="n"/>
    </row>
    <row r="430" hidden="1" ht="15.75" customHeight="1" s="57">
      <c r="A430" s="7" t="inlineStr">
        <is>
          <t>Lâm Đồng</t>
        </is>
      </c>
      <c r="B430" s="7" t="n">
        <v>2104</v>
      </c>
      <c r="C430" s="7" t="inlineStr">
        <is>
          <t>Huyện Đạ Huoai</t>
        </is>
      </c>
      <c r="D430" s="7" t="n">
        <v>91605</v>
      </c>
      <c r="E430" s="7" t="inlineStr">
        <is>
          <t>Xã Phước Cát 2</t>
        </is>
      </c>
      <c r="F430" s="7" t="n">
        <v>20669000</v>
      </c>
      <c r="G430" s="7" t="inlineStr">
        <is>
          <t xml:space="preserve">Bưu Cục Đường Trần Lê-Cát Tiên-Lâm Đồng </t>
        </is>
      </c>
      <c r="H430" s="15" t="n">
        <v>20669000</v>
      </c>
      <c r="I430" s="15" t="inlineStr">
        <is>
          <t xml:space="preserve">Bưu Cục Đường Trần Lê-Cát Tiên-Lâm Đồng </t>
        </is>
      </c>
      <c r="J430" s="15" t="b">
        <v>0</v>
      </c>
      <c r="K430" s="15" t="inlineStr">
        <is>
          <t>C</t>
        </is>
      </c>
      <c r="L430" s="16" t="n">
        <v>0</v>
      </c>
      <c r="M430" s="15" t="n"/>
      <c r="N430" s="15" t="n"/>
      <c r="O430" s="15" t="inlineStr">
        <is>
          <t>Chưa mở</t>
        </is>
      </c>
      <c r="P430" s="15" t="n"/>
    </row>
    <row r="431" hidden="1" ht="15.75" customHeight="1" s="57">
      <c r="A431" s="7" t="inlineStr">
        <is>
          <t>Lâm Đồng</t>
        </is>
      </c>
      <c r="B431" s="7" t="n">
        <v>2104</v>
      </c>
      <c r="C431" s="7" t="inlineStr">
        <is>
          <t>Huyện Đạ Huoai</t>
        </is>
      </c>
      <c r="D431" s="7" t="n">
        <v>91606</v>
      </c>
      <c r="E431" s="7" t="inlineStr">
        <is>
          <t>Xã Gia Viễn</t>
        </is>
      </c>
      <c r="F431" s="7" t="n">
        <v>20669000</v>
      </c>
      <c r="G431" s="7" t="inlineStr">
        <is>
          <t xml:space="preserve">Bưu Cục Đường Trần Lê-Cát Tiên-Lâm Đồng </t>
        </is>
      </c>
      <c r="H431" s="15" t="n">
        <v>20669000</v>
      </c>
      <c r="I431" s="15" t="inlineStr">
        <is>
          <t xml:space="preserve">Bưu Cục Đường Trần Lê-Cát Tiên-Lâm Đồng </t>
        </is>
      </c>
      <c r="J431" s="15" t="b">
        <v>0</v>
      </c>
      <c r="K431" s="15" t="inlineStr">
        <is>
          <t>C</t>
        </is>
      </c>
      <c r="L431" s="16" t="n">
        <v>0</v>
      </c>
      <c r="M431" s="15" t="n"/>
      <c r="N431" s="15" t="n"/>
      <c r="O431" s="15" t="inlineStr">
        <is>
          <t>Chưa mở</t>
        </is>
      </c>
      <c r="P431" s="15" t="n"/>
    </row>
    <row r="432" hidden="1" ht="15.75" customHeight="1" s="57">
      <c r="A432" s="7" t="inlineStr">
        <is>
          <t>Lâm Đồng</t>
        </is>
      </c>
      <c r="B432" s="7" t="n">
        <v>2104</v>
      </c>
      <c r="C432" s="7" t="inlineStr">
        <is>
          <t>Huyện Đạ Huoai</t>
        </is>
      </c>
      <c r="D432" s="7" t="n">
        <v>91607</v>
      </c>
      <c r="E432" s="7" t="inlineStr">
        <is>
          <t>Xã Nam Ninh</t>
        </is>
      </c>
      <c r="F432" s="7" t="n">
        <v>20669000</v>
      </c>
      <c r="G432" s="7" t="inlineStr">
        <is>
          <t xml:space="preserve">Bưu Cục Đường Trần Lê-Cát Tiên-Lâm Đồng </t>
        </is>
      </c>
      <c r="H432" s="15" t="n">
        <v>20669000</v>
      </c>
      <c r="I432" s="15" t="inlineStr">
        <is>
          <t xml:space="preserve">Bưu Cục Đường Trần Lê-Cát Tiên-Lâm Đồng </t>
        </is>
      </c>
      <c r="J432" s="15" t="b">
        <v>0</v>
      </c>
      <c r="K432" s="15" t="inlineStr">
        <is>
          <t>C</t>
        </is>
      </c>
      <c r="L432" s="16" t="n">
        <v>0</v>
      </c>
      <c r="M432" s="15" t="n"/>
      <c r="N432" s="15" t="n"/>
      <c r="O432" s="15" t="inlineStr">
        <is>
          <t>Chưa mở</t>
        </is>
      </c>
      <c r="P432" s="15" t="n"/>
    </row>
    <row r="433" hidden="1" ht="15.75" customHeight="1" s="57">
      <c r="A433" s="7" t="inlineStr">
        <is>
          <t>Lâm Đồng</t>
        </is>
      </c>
      <c r="B433" s="7" t="n">
        <v>2104</v>
      </c>
      <c r="C433" s="7" t="inlineStr">
        <is>
          <t>Huyện Đạ Huoai</t>
        </is>
      </c>
      <c r="D433" s="7" t="n">
        <v>91608</v>
      </c>
      <c r="E433" s="7" t="inlineStr">
        <is>
          <t>Thị trấn Phước Cát</t>
        </is>
      </c>
      <c r="F433" s="7" t="n">
        <v>20669000</v>
      </c>
      <c r="G433" s="7" t="inlineStr">
        <is>
          <t xml:space="preserve">Bưu Cục Đường Trần Lê-Cát Tiên-Lâm Đồng </t>
        </is>
      </c>
      <c r="H433" s="15" t="n">
        <v>20669000</v>
      </c>
      <c r="I433" s="15" t="inlineStr">
        <is>
          <t xml:space="preserve">Bưu Cục Đường Trần Lê-Cát Tiên-Lâm Đồng </t>
        </is>
      </c>
      <c r="J433" s="15" t="b">
        <v>0</v>
      </c>
      <c r="K433" s="15" t="inlineStr">
        <is>
          <t>C</t>
        </is>
      </c>
      <c r="L433" s="16" t="n">
        <v>0</v>
      </c>
      <c r="M433" s="15" t="n"/>
      <c r="N433" s="15" t="n"/>
      <c r="O433" s="15" t="inlineStr">
        <is>
          <t>Chưa mở</t>
        </is>
      </c>
      <c r="P433" s="15" t="n"/>
    </row>
    <row r="434" hidden="1" ht="15.75" customHeight="1" s="57">
      <c r="A434" s="7" t="inlineStr">
        <is>
          <t>Lâm Đồng</t>
        </is>
      </c>
      <c r="B434" s="7" t="n">
        <v>2104</v>
      </c>
      <c r="C434" s="7" t="inlineStr">
        <is>
          <t>Huyện Đạ Huoai</t>
        </is>
      </c>
      <c r="D434" s="7" t="n">
        <v>91609</v>
      </c>
      <c r="E434" s="7" t="inlineStr">
        <is>
          <t>Xã Đức Phổ</t>
        </is>
      </c>
      <c r="F434" s="7" t="n">
        <v>20669000</v>
      </c>
      <c r="G434" s="7" t="inlineStr">
        <is>
          <t xml:space="preserve">Bưu Cục Đường Trần Lê-Cát Tiên-Lâm Đồng </t>
        </is>
      </c>
      <c r="H434" s="15" t="n">
        <v>20669000</v>
      </c>
      <c r="I434" s="15" t="inlineStr">
        <is>
          <t xml:space="preserve">Bưu Cục Đường Trần Lê-Cát Tiên-Lâm Đồng </t>
        </is>
      </c>
      <c r="J434" s="15" t="b">
        <v>0</v>
      </c>
      <c r="K434" s="15" t="inlineStr">
        <is>
          <t>C</t>
        </is>
      </c>
      <c r="L434" s="16" t="n">
        <v>0</v>
      </c>
      <c r="M434" s="15" t="n"/>
      <c r="N434" s="15" t="n"/>
      <c r="O434" s="15" t="inlineStr">
        <is>
          <t>Chưa mở</t>
        </is>
      </c>
      <c r="P434" s="15" t="n"/>
    </row>
    <row r="435" hidden="1" ht="15.75" customHeight="1" s="57">
      <c r="A435" s="7" t="inlineStr">
        <is>
          <t>Lâm Đồng</t>
        </is>
      </c>
      <c r="B435" s="7" t="n">
        <v>2104</v>
      </c>
      <c r="C435" s="7" t="inlineStr">
        <is>
          <t>Huyện Đạ Huoai</t>
        </is>
      </c>
      <c r="D435" s="7" t="n">
        <v>91610</v>
      </c>
      <c r="E435" s="7" t="inlineStr">
        <is>
          <t>Xã Quảng Ngãi</t>
        </is>
      </c>
      <c r="F435" s="7" t="n">
        <v>20669000</v>
      </c>
      <c r="G435" s="7" t="inlineStr">
        <is>
          <t xml:space="preserve">Bưu Cục Đường Trần Lê-Cát Tiên-Lâm Đồng </t>
        </is>
      </c>
      <c r="H435" s="15" t="n">
        <v>20669000</v>
      </c>
      <c r="I435" s="15" t="inlineStr">
        <is>
          <t xml:space="preserve">Bưu Cục Đường Trần Lê-Cát Tiên-Lâm Đồng </t>
        </is>
      </c>
      <c r="J435" s="15" t="b">
        <v>0</v>
      </c>
      <c r="K435" s="15" t="inlineStr">
        <is>
          <t>C</t>
        </is>
      </c>
      <c r="L435" s="16" t="n">
        <v>0</v>
      </c>
      <c r="M435" s="15" t="n"/>
      <c r="N435" s="15" t="n"/>
      <c r="O435" s="15" t="inlineStr">
        <is>
          <t>Chưa mở</t>
        </is>
      </c>
      <c r="P435" s="15" t="n"/>
    </row>
    <row r="436" hidden="1" ht="15.75" customHeight="1" s="57">
      <c r="A436" s="7" t="inlineStr">
        <is>
          <t>Lâm Đồng</t>
        </is>
      </c>
      <c r="B436" s="7" t="n">
        <v>2104</v>
      </c>
      <c r="C436" s="7" t="inlineStr">
        <is>
          <t>Huyện Đạ Huoai</t>
        </is>
      </c>
      <c r="D436" s="7" t="n">
        <v>91611</v>
      </c>
      <c r="E436" s="7" t="inlineStr">
        <is>
          <t>Xã Đồng Nai Thượng</t>
        </is>
      </c>
      <c r="F436" s="7" t="n">
        <v>20669000</v>
      </c>
      <c r="G436" s="7" t="inlineStr">
        <is>
          <t xml:space="preserve">Bưu Cục Đường Trần Lê-Cát Tiên-Lâm Đồng </t>
        </is>
      </c>
      <c r="H436" s="15" t="n">
        <v>20669000</v>
      </c>
      <c r="I436" s="15" t="inlineStr">
        <is>
          <t xml:space="preserve">Bưu Cục Đường Trần Lê-Cát Tiên-Lâm Đồng </t>
        </is>
      </c>
      <c r="J436" s="15" t="b">
        <v>0</v>
      </c>
      <c r="K436" s="15" t="inlineStr">
        <is>
          <t>C</t>
        </is>
      </c>
      <c r="L436" s="16" t="n">
        <v>0</v>
      </c>
      <c r="M436" s="15" t="n"/>
      <c r="N436" s="15" t="n"/>
      <c r="O436" s="15" t="inlineStr">
        <is>
          <t>Chưa mở</t>
        </is>
      </c>
      <c r="P436" s="15" t="n"/>
    </row>
    <row r="437" hidden="1" ht="15.75" customHeight="1" s="57">
      <c r="A437" s="7" t="inlineStr">
        <is>
          <t>Lâm Đồng</t>
        </is>
      </c>
      <c r="B437" s="7" t="n">
        <v>2106</v>
      </c>
      <c r="C437" s="7" t="inlineStr">
        <is>
          <t>Huyện Đạ Tẻh</t>
        </is>
      </c>
      <c r="D437" s="7" t="n">
        <v>420801</v>
      </c>
      <c r="E437" s="7" t="inlineStr">
        <is>
          <t>Thị trấn Đạ Tẻh</t>
        </is>
      </c>
      <c r="F437" s="7" t="n">
        <v>20663000</v>
      </c>
      <c r="G437" s="7" t="inlineStr">
        <is>
          <t xml:space="preserve">Bưu Cục 44B Nguyễn Đình Chiểu-Đạ Teh-Lâm Đồng </t>
        </is>
      </c>
      <c r="H437" s="15" t="n">
        <v>20663000</v>
      </c>
      <c r="I437" s="15" t="inlineStr">
        <is>
          <t xml:space="preserve">Bưu Cục 44B Nguyễn Đình Chiểu-Đạ Teh-Lâm Đồng </t>
        </is>
      </c>
      <c r="J437" s="15" t="b">
        <v>0</v>
      </c>
      <c r="K437" s="15" t="inlineStr">
        <is>
          <t>C</t>
        </is>
      </c>
      <c r="L437" s="16" t="n">
        <v>0</v>
      </c>
      <c r="M437" s="15" t="n"/>
      <c r="N437" s="15" t="n"/>
      <c r="O437" s="15" t="inlineStr">
        <is>
          <t>Chưa mở</t>
        </is>
      </c>
      <c r="P437" s="15" t="n"/>
    </row>
    <row r="438" hidden="1" ht="15.75" customHeight="1" s="57">
      <c r="A438" s="7" t="inlineStr">
        <is>
          <t>Lâm Đồng</t>
        </is>
      </c>
      <c r="B438" s="7" t="n">
        <v>2106</v>
      </c>
      <c r="C438" s="7" t="inlineStr">
        <is>
          <t>Huyện Đạ Tẻh</t>
        </is>
      </c>
      <c r="D438" s="7" t="n">
        <v>420802</v>
      </c>
      <c r="E438" s="7" t="inlineStr">
        <is>
          <t>Xã An Nhơn</t>
        </is>
      </c>
      <c r="F438" s="7" t="n">
        <v>20663000</v>
      </c>
      <c r="G438" s="7" t="inlineStr">
        <is>
          <t xml:space="preserve">Bưu Cục 44B Nguyễn Đình Chiểu-Đạ Teh-Lâm Đồng </t>
        </is>
      </c>
      <c r="H438" s="15" t="n">
        <v>20663000</v>
      </c>
      <c r="I438" s="15" t="inlineStr">
        <is>
          <t xml:space="preserve">Bưu Cục 44B Nguyễn Đình Chiểu-Đạ Teh-Lâm Đồng </t>
        </is>
      </c>
      <c r="J438" s="15" t="b">
        <v>0</v>
      </c>
      <c r="K438" s="15" t="inlineStr">
        <is>
          <t>C</t>
        </is>
      </c>
      <c r="L438" s="16" t="n">
        <v>0</v>
      </c>
      <c r="M438" s="15" t="n"/>
      <c r="N438" s="15" t="n"/>
      <c r="O438" s="15" t="inlineStr">
        <is>
          <t>Chưa mở</t>
        </is>
      </c>
      <c r="P438" s="15" t="n"/>
    </row>
    <row r="439" hidden="1" ht="15.75" customHeight="1" s="57">
      <c r="A439" s="7" t="inlineStr">
        <is>
          <t>Lâm Đồng</t>
        </is>
      </c>
      <c r="B439" s="7" t="n">
        <v>2106</v>
      </c>
      <c r="C439" s="7" t="inlineStr">
        <is>
          <t>Huyện Đạ Tẻh</t>
        </is>
      </c>
      <c r="D439" s="7" t="n">
        <v>420803</v>
      </c>
      <c r="E439" s="7" t="inlineStr">
        <is>
          <t>Xã Đạ Kho</t>
        </is>
      </c>
      <c r="F439" s="7" t="n">
        <v>20663000</v>
      </c>
      <c r="G439" s="7" t="inlineStr">
        <is>
          <t xml:space="preserve">Bưu Cục 44B Nguyễn Đình Chiểu-Đạ Teh-Lâm Đồng </t>
        </is>
      </c>
      <c r="H439" s="15" t="n">
        <v>20663000</v>
      </c>
      <c r="I439" s="15" t="inlineStr">
        <is>
          <t xml:space="preserve">Bưu Cục 44B Nguyễn Đình Chiểu-Đạ Teh-Lâm Đồng </t>
        </is>
      </c>
      <c r="J439" s="15" t="b">
        <v>0</v>
      </c>
      <c r="K439" s="15" t="inlineStr">
        <is>
          <t>C</t>
        </is>
      </c>
      <c r="L439" s="16" t="n">
        <v>0</v>
      </c>
      <c r="M439" s="15" t="n"/>
      <c r="N439" s="15" t="n"/>
      <c r="O439" s="15" t="inlineStr">
        <is>
          <t>Chưa mở</t>
        </is>
      </c>
      <c r="P439" s="15" t="n"/>
    </row>
    <row r="440" hidden="1" ht="15.75" customHeight="1" s="57">
      <c r="A440" s="7" t="inlineStr">
        <is>
          <t>Lâm Đồng</t>
        </is>
      </c>
      <c r="B440" s="7" t="n">
        <v>2106</v>
      </c>
      <c r="C440" s="7" t="inlineStr">
        <is>
          <t>Huyện Đạ Tẻh</t>
        </is>
      </c>
      <c r="D440" s="7" t="n">
        <v>420804</v>
      </c>
      <c r="E440" s="7" t="inlineStr">
        <is>
          <t>Xã Đạ Lây</t>
        </is>
      </c>
      <c r="F440" s="7" t="n">
        <v>20663000</v>
      </c>
      <c r="G440" s="7" t="inlineStr">
        <is>
          <t xml:space="preserve">Bưu Cục 44B Nguyễn Đình Chiểu-Đạ Teh-Lâm Đồng </t>
        </is>
      </c>
      <c r="H440" s="15" t="n">
        <v>20663000</v>
      </c>
      <c r="I440" s="15" t="inlineStr">
        <is>
          <t xml:space="preserve">Bưu Cục 44B Nguyễn Đình Chiểu-Đạ Teh-Lâm Đồng </t>
        </is>
      </c>
      <c r="J440" s="15" t="b">
        <v>0</v>
      </c>
      <c r="K440" s="15" t="inlineStr">
        <is>
          <t>C</t>
        </is>
      </c>
      <c r="L440" s="16" t="n">
        <v>0</v>
      </c>
      <c r="M440" s="15" t="n"/>
      <c r="N440" s="15" t="n"/>
      <c r="O440" s="15" t="inlineStr">
        <is>
          <t>Chưa mở</t>
        </is>
      </c>
      <c r="P440" s="15" t="n"/>
    </row>
    <row r="441" hidden="1" ht="15.75" customHeight="1" s="57">
      <c r="A441" s="7" t="inlineStr">
        <is>
          <t>Lâm Đồng</t>
        </is>
      </c>
      <c r="B441" s="7" t="n">
        <v>2106</v>
      </c>
      <c r="C441" s="7" t="inlineStr">
        <is>
          <t>Huyện Đạ Tẻh</t>
        </is>
      </c>
      <c r="D441" s="7" t="n">
        <v>420805</v>
      </c>
      <c r="E441" s="7" t="inlineStr">
        <is>
          <t>Xã Đạ Pal</t>
        </is>
      </c>
      <c r="F441" s="7" t="n">
        <v>20663000</v>
      </c>
      <c r="G441" s="7" t="inlineStr">
        <is>
          <t xml:space="preserve">Bưu Cục 44B Nguyễn Đình Chiểu-Đạ Teh-Lâm Đồng </t>
        </is>
      </c>
      <c r="H441" s="15" t="n">
        <v>20663000</v>
      </c>
      <c r="I441" s="15" t="inlineStr">
        <is>
          <t xml:space="preserve">Bưu Cục 44B Nguyễn Đình Chiểu-Đạ Teh-Lâm Đồng </t>
        </is>
      </c>
      <c r="J441" s="15" t="b">
        <v>0</v>
      </c>
      <c r="K441" s="15" t="inlineStr">
        <is>
          <t>C</t>
        </is>
      </c>
      <c r="L441" s="16" t="n">
        <v>0</v>
      </c>
      <c r="M441" s="15" t="n"/>
      <c r="N441" s="15" t="n"/>
      <c r="O441" s="15" t="inlineStr">
        <is>
          <t>Chưa mở</t>
        </is>
      </c>
      <c r="P441" s="15" t="n"/>
    </row>
    <row r="442" hidden="1" ht="15.75" customHeight="1" s="57">
      <c r="A442" s="7" t="inlineStr">
        <is>
          <t>Lâm Đồng</t>
        </is>
      </c>
      <c r="B442" s="7" t="n">
        <v>2106</v>
      </c>
      <c r="C442" s="7" t="inlineStr">
        <is>
          <t>Huyện Đạ Tẻh</t>
        </is>
      </c>
      <c r="D442" s="7" t="n">
        <v>420806</v>
      </c>
      <c r="E442" s="7" t="inlineStr">
        <is>
          <t>Xã Hà Đông</t>
        </is>
      </c>
      <c r="F442" s="7" t="n">
        <v>20663000</v>
      </c>
      <c r="G442" s="7" t="inlineStr">
        <is>
          <t xml:space="preserve">Bưu Cục 44B Nguyễn Đình Chiểu-Đạ Teh-Lâm Đồng </t>
        </is>
      </c>
      <c r="H442" s="15" t="n">
        <v>20663000</v>
      </c>
      <c r="I442" s="15" t="inlineStr">
        <is>
          <t xml:space="preserve">Bưu Cục 44B Nguyễn Đình Chiểu-Đạ Teh-Lâm Đồng </t>
        </is>
      </c>
      <c r="J442" s="15" t="b">
        <v>0</v>
      </c>
      <c r="K442" s="15" t="inlineStr">
        <is>
          <t>C</t>
        </is>
      </c>
      <c r="L442" s="16" t="n">
        <v>0</v>
      </c>
      <c r="M442" s="15" t="n"/>
      <c r="N442" s="15" t="n"/>
      <c r="O442" s="15" t="inlineStr">
        <is>
          <t>Chưa mở</t>
        </is>
      </c>
      <c r="P442" s="15" t="n"/>
    </row>
    <row r="443" hidden="1" ht="15.75" customHeight="1" s="57">
      <c r="A443" s="7" t="inlineStr">
        <is>
          <t>Lâm Đồng</t>
        </is>
      </c>
      <c r="B443" s="7" t="n">
        <v>2106</v>
      </c>
      <c r="C443" s="7" t="inlineStr">
        <is>
          <t>Huyện Đạ Tẻh</t>
        </is>
      </c>
      <c r="D443" s="7" t="n">
        <v>420807</v>
      </c>
      <c r="E443" s="7" t="inlineStr">
        <is>
          <t>Xã Hương Lâm</t>
        </is>
      </c>
      <c r="F443" s="7" t="n">
        <v>20663000</v>
      </c>
      <c r="G443" s="7" t="inlineStr">
        <is>
          <t xml:space="preserve">Bưu Cục 44B Nguyễn Đình Chiểu-Đạ Teh-Lâm Đồng </t>
        </is>
      </c>
      <c r="H443" s="15" t="n">
        <v>20663000</v>
      </c>
      <c r="I443" s="15" t="inlineStr">
        <is>
          <t xml:space="preserve">Bưu Cục 44B Nguyễn Đình Chiểu-Đạ Teh-Lâm Đồng </t>
        </is>
      </c>
      <c r="J443" s="15" t="b">
        <v>0</v>
      </c>
      <c r="K443" s="15" t="inlineStr">
        <is>
          <t>C</t>
        </is>
      </c>
      <c r="L443" s="16" t="n">
        <v>0</v>
      </c>
      <c r="M443" s="15" t="n"/>
      <c r="N443" s="15" t="n"/>
      <c r="O443" s="15" t="inlineStr">
        <is>
          <t>Chưa mở</t>
        </is>
      </c>
      <c r="P443" s="15" t="n"/>
    </row>
    <row r="444" hidden="1" ht="15.75" customHeight="1" s="57">
      <c r="A444" s="7" t="inlineStr">
        <is>
          <t>Lâm Đồng</t>
        </is>
      </c>
      <c r="B444" s="7" t="n">
        <v>2106</v>
      </c>
      <c r="C444" s="7" t="inlineStr">
        <is>
          <t>Huyện Đạ Tẻh</t>
        </is>
      </c>
      <c r="D444" s="7" t="n">
        <v>420808</v>
      </c>
      <c r="E444" s="7" t="inlineStr">
        <is>
          <t>Xã Mỹ Đức</t>
        </is>
      </c>
      <c r="F444" s="7" t="n">
        <v>20663000</v>
      </c>
      <c r="G444" s="7" t="inlineStr">
        <is>
          <t xml:space="preserve">Bưu Cục 44B Nguyễn Đình Chiểu-Đạ Teh-Lâm Đồng </t>
        </is>
      </c>
      <c r="H444" s="15" t="n">
        <v>20663000</v>
      </c>
      <c r="I444" s="15" t="inlineStr">
        <is>
          <t xml:space="preserve">Bưu Cục 44B Nguyễn Đình Chiểu-Đạ Teh-Lâm Đồng </t>
        </is>
      </c>
      <c r="J444" s="15" t="b">
        <v>0</v>
      </c>
      <c r="K444" s="15" t="inlineStr">
        <is>
          <t>C</t>
        </is>
      </c>
      <c r="L444" s="16" t="n">
        <v>0</v>
      </c>
      <c r="M444" s="15" t="n"/>
      <c r="N444" s="15" t="n"/>
      <c r="O444" s="15" t="inlineStr">
        <is>
          <t>Chưa mở</t>
        </is>
      </c>
      <c r="P444" s="15" t="n"/>
    </row>
    <row r="445" hidden="1" ht="15.75" customHeight="1" s="57">
      <c r="A445" s="7" t="inlineStr">
        <is>
          <t>Lâm Đồng</t>
        </is>
      </c>
      <c r="B445" s="7" t="n">
        <v>2106</v>
      </c>
      <c r="C445" s="7" t="inlineStr">
        <is>
          <t>Huyện Đạ Tẻh</t>
        </is>
      </c>
      <c r="D445" s="7" t="n">
        <v>420809</v>
      </c>
      <c r="E445" s="7" t="inlineStr">
        <is>
          <t>Xã Quảng Trị</t>
        </is>
      </c>
      <c r="F445" s="7" t="n">
        <v>20663000</v>
      </c>
      <c r="G445" s="7" t="inlineStr">
        <is>
          <t xml:space="preserve">Bưu Cục 44B Nguyễn Đình Chiểu-Đạ Teh-Lâm Đồng </t>
        </is>
      </c>
      <c r="H445" s="15" t="n">
        <v>20663000</v>
      </c>
      <c r="I445" s="15" t="inlineStr">
        <is>
          <t xml:space="preserve">Bưu Cục 44B Nguyễn Đình Chiểu-Đạ Teh-Lâm Đồng </t>
        </is>
      </c>
      <c r="J445" s="15" t="b">
        <v>0</v>
      </c>
      <c r="K445" s="15" t="inlineStr">
        <is>
          <t>C</t>
        </is>
      </c>
      <c r="L445" s="16" t="n">
        <v>0</v>
      </c>
      <c r="M445" s="15" t="n"/>
      <c r="N445" s="15" t="n"/>
      <c r="O445" s="15" t="inlineStr">
        <is>
          <t>Chưa mở</t>
        </is>
      </c>
      <c r="P445" s="15" t="n"/>
    </row>
    <row r="446" hidden="1" ht="15.75" customHeight="1" s="57">
      <c r="A446" s="7" t="inlineStr">
        <is>
          <t>Lâm Đồng</t>
        </is>
      </c>
      <c r="B446" s="7" t="n">
        <v>2106</v>
      </c>
      <c r="C446" s="7" t="inlineStr">
        <is>
          <t>Huyện Đạ Tẻh</t>
        </is>
      </c>
      <c r="D446" s="7" t="n">
        <v>420810</v>
      </c>
      <c r="E446" s="7" t="inlineStr">
        <is>
          <t>Xã Quốc Oai</t>
        </is>
      </c>
      <c r="F446" s="7" t="n">
        <v>20663000</v>
      </c>
      <c r="G446" s="7" t="inlineStr">
        <is>
          <t xml:space="preserve">Bưu Cục 44B Nguyễn Đình Chiểu-Đạ Teh-Lâm Đồng </t>
        </is>
      </c>
      <c r="H446" s="15" t="n">
        <v>20663000</v>
      </c>
      <c r="I446" s="15" t="inlineStr">
        <is>
          <t xml:space="preserve">Bưu Cục 44B Nguyễn Đình Chiểu-Đạ Teh-Lâm Đồng </t>
        </is>
      </c>
      <c r="J446" s="15" t="b">
        <v>0</v>
      </c>
      <c r="K446" s="15" t="inlineStr">
        <is>
          <t>C</t>
        </is>
      </c>
      <c r="L446" s="16" t="n">
        <v>0</v>
      </c>
      <c r="M446" s="15" t="n"/>
      <c r="N446" s="15" t="n"/>
      <c r="O446" s="15" t="inlineStr">
        <is>
          <t>Chưa mở</t>
        </is>
      </c>
      <c r="P446" s="15" t="n"/>
    </row>
    <row r="447" hidden="1" ht="15.75" customHeight="1" s="57">
      <c r="A447" s="7" t="inlineStr">
        <is>
          <t>Lâm Đồng</t>
        </is>
      </c>
      <c r="B447" s="7" t="n">
        <v>2106</v>
      </c>
      <c r="C447" s="7" t="inlineStr">
        <is>
          <t>Huyện Đạ Tẻh</t>
        </is>
      </c>
      <c r="D447" s="7" t="n">
        <v>420811</v>
      </c>
      <c r="E447" s="7" t="inlineStr">
        <is>
          <t>Xã Triệu Hải</t>
        </is>
      </c>
      <c r="F447" s="7" t="n">
        <v>20663000</v>
      </c>
      <c r="G447" s="7" t="inlineStr">
        <is>
          <t xml:space="preserve">Bưu Cục 44B Nguyễn Đình Chiểu-Đạ Teh-Lâm Đồng </t>
        </is>
      </c>
      <c r="H447" s="15" t="n">
        <v>20663000</v>
      </c>
      <c r="I447" s="15" t="inlineStr">
        <is>
          <t xml:space="preserve">Bưu Cục 44B Nguyễn Đình Chiểu-Đạ Teh-Lâm Đồng </t>
        </is>
      </c>
      <c r="J447" s="15" t="b">
        <v>0</v>
      </c>
      <c r="K447" s="15" t="inlineStr">
        <is>
          <t>C</t>
        </is>
      </c>
      <c r="L447" s="16" t="n">
        <v>0</v>
      </c>
      <c r="M447" s="15" t="n"/>
      <c r="N447" s="15" t="n"/>
      <c r="O447" s="15" t="inlineStr">
        <is>
          <t>Chưa mở</t>
        </is>
      </c>
      <c r="P447" s="15" t="n"/>
    </row>
    <row r="448" hidden="1" ht="15.75" customHeight="1" s="57">
      <c r="A448" s="7" t="inlineStr">
        <is>
          <t>Bình Thuận</t>
        </is>
      </c>
      <c r="B448" s="7" t="n">
        <v>2116</v>
      </c>
      <c r="C448" s="7" t="inlineStr">
        <is>
          <t>Huyện đảo Phú Quý</t>
        </is>
      </c>
      <c r="D448" s="7" t="n">
        <v>470901</v>
      </c>
      <c r="E448" s="7" t="inlineStr">
        <is>
          <t>Xã Long Hải</t>
        </is>
      </c>
      <c r="F448" s="7" t="n">
        <v>22452000</v>
      </c>
      <c r="G448" s="7" t="inlineStr">
        <is>
          <t>Bưu Cục 454 Võ Văn Kiệt-Đặc Khu Đảo Phú Quý-Bình Thuận</t>
        </is>
      </c>
      <c r="H448" s="15" t="n">
        <v>22452000</v>
      </c>
      <c r="I448" s="15" t="inlineStr">
        <is>
          <t>Bưu Cục 454 Võ Văn Kiệt-Đặc Khu Đảo Phú Quý-Bình Thuận</t>
        </is>
      </c>
      <c r="J448" s="15" t="b">
        <v>0</v>
      </c>
      <c r="K448" s="15" t="inlineStr">
        <is>
          <t>C</t>
        </is>
      </c>
      <c r="L448" s="16" t="n">
        <v>0</v>
      </c>
      <c r="M448" s="15" t="n"/>
      <c r="N448" s="15" t="n"/>
      <c r="O448" s="15" t="inlineStr">
        <is>
          <t>Chưa mở</t>
        </is>
      </c>
      <c r="P448" s="15" t="n"/>
    </row>
    <row r="449" hidden="1" ht="15.75" customHeight="1" s="57">
      <c r="A449" s="7" t="inlineStr">
        <is>
          <t>Bình Thuận</t>
        </is>
      </c>
      <c r="B449" s="7" t="n">
        <v>2116</v>
      </c>
      <c r="C449" s="7" t="inlineStr">
        <is>
          <t>Huyện đảo Phú Quý</t>
        </is>
      </c>
      <c r="D449" s="7" t="n">
        <v>470902</v>
      </c>
      <c r="E449" s="7" t="inlineStr">
        <is>
          <t>Xã Ngũ Phụng</t>
        </is>
      </c>
      <c r="F449" s="7" t="n">
        <v>22452000</v>
      </c>
      <c r="G449" s="7" t="inlineStr">
        <is>
          <t>Bưu Cục 454 Võ Văn Kiệt-Đặc Khu Đảo Phú Quý-Bình Thuận</t>
        </is>
      </c>
      <c r="H449" s="15" t="n">
        <v>22452000</v>
      </c>
      <c r="I449" s="15" t="inlineStr">
        <is>
          <t>Bưu Cục 454 Võ Văn Kiệt-Đặc Khu Đảo Phú Quý-Bình Thuận</t>
        </is>
      </c>
      <c r="J449" s="15" t="b">
        <v>0</v>
      </c>
      <c r="K449" s="15" t="inlineStr">
        <is>
          <t>C</t>
        </is>
      </c>
      <c r="L449" s="16" t="n">
        <v>0</v>
      </c>
      <c r="M449" s="15" t="n"/>
      <c r="N449" s="15" t="n"/>
      <c r="O449" s="15" t="inlineStr">
        <is>
          <t>Chưa mở</t>
        </is>
      </c>
      <c r="P449" s="15" t="n"/>
    </row>
    <row r="450" hidden="1" ht="15.75" customHeight="1" s="57">
      <c r="A450" s="7" t="inlineStr">
        <is>
          <t>Bình Thuận</t>
        </is>
      </c>
      <c r="B450" s="7" t="n">
        <v>2116</v>
      </c>
      <c r="C450" s="7" t="inlineStr">
        <is>
          <t>Huyện đảo Phú Quý</t>
        </is>
      </c>
      <c r="D450" s="7" t="n">
        <v>470903</v>
      </c>
      <c r="E450" s="7" t="inlineStr">
        <is>
          <t>Xã Tam Thanh</t>
        </is>
      </c>
      <c r="F450" s="7" t="n">
        <v>22452000</v>
      </c>
      <c r="G450" s="7" t="inlineStr">
        <is>
          <t>Bưu Cục 454 Võ Văn Kiệt-Đặc Khu Đảo Phú Quý-Bình Thuận</t>
        </is>
      </c>
      <c r="H450" s="15" t="n">
        <v>22452000</v>
      </c>
      <c r="I450" s="15" t="inlineStr">
        <is>
          <t>Bưu Cục 454 Võ Văn Kiệt-Đặc Khu Đảo Phú Quý-Bình Thuận</t>
        </is>
      </c>
      <c r="J450" s="15" t="b">
        <v>0</v>
      </c>
      <c r="K450" s="15" t="inlineStr">
        <is>
          <t>C</t>
        </is>
      </c>
      <c r="L450" s="16" t="n">
        <v>0</v>
      </c>
      <c r="M450" s="15" t="n"/>
      <c r="N450" s="15" t="n"/>
      <c r="O450" s="15" t="inlineStr">
        <is>
          <t>Chưa mở</t>
        </is>
      </c>
      <c r="P450" s="15" t="n"/>
    </row>
    <row r="451" hidden="1" ht="15.75" customHeight="1" s="57">
      <c r="A451" s="7" t="inlineStr">
        <is>
          <t>Đắk Nông</t>
        </is>
      </c>
      <c r="B451" s="7" t="n">
        <v>2120</v>
      </c>
      <c r="C451" s="7" t="inlineStr">
        <is>
          <t>Huyện Đắk Song</t>
        </is>
      </c>
      <c r="D451" s="7" t="n">
        <v>630501</v>
      </c>
      <c r="E451" s="7" t="inlineStr">
        <is>
          <t>Thị trấn Đức An</t>
        </is>
      </c>
      <c r="F451" s="7" t="n">
        <v>21477000</v>
      </c>
      <c r="G451" s="7" t="inlineStr">
        <is>
          <t>Bưu Cục Quốc Lộ 14-Đức An-Đắk Song-Đăk Nông</t>
        </is>
      </c>
      <c r="H451" s="15" t="n">
        <v>21477000</v>
      </c>
      <c r="I451" s="15" t="inlineStr">
        <is>
          <t>Bưu Cục Quốc Lộ 14-Đức An-Đắk Song-Đăk Nông</t>
        </is>
      </c>
      <c r="J451" s="15" t="b">
        <v>0</v>
      </c>
      <c r="K451" s="15" t="inlineStr">
        <is>
          <t>C</t>
        </is>
      </c>
      <c r="L451" s="16" t="n">
        <v>0</v>
      </c>
      <c r="M451" s="15" t="n"/>
      <c r="N451" s="15" t="n"/>
      <c r="O451" s="15" t="inlineStr">
        <is>
          <t>Chưa mở</t>
        </is>
      </c>
      <c r="P451" s="15" t="n"/>
    </row>
    <row r="452" hidden="1" ht="15.75" customHeight="1" s="57">
      <c r="A452" s="7" t="inlineStr">
        <is>
          <t>Đắk Nông</t>
        </is>
      </c>
      <c r="B452" s="7" t="n">
        <v>2120</v>
      </c>
      <c r="C452" s="7" t="inlineStr">
        <is>
          <t>Huyện Đắk Song</t>
        </is>
      </c>
      <c r="D452" s="7" t="n">
        <v>630502</v>
      </c>
      <c r="E452" s="7" t="inlineStr">
        <is>
          <t>Xã Đắk Hòa</t>
        </is>
      </c>
      <c r="F452" s="7" t="n">
        <v>21477000</v>
      </c>
      <c r="G452" s="7" t="inlineStr">
        <is>
          <t>Bưu Cục Quốc Lộ 14-Đức An-Đắk Song-Đăk Nông</t>
        </is>
      </c>
      <c r="H452" s="15" t="n">
        <v>21477000</v>
      </c>
      <c r="I452" s="15" t="inlineStr">
        <is>
          <t>Bưu Cục Quốc Lộ 14-Đức An-Đắk Song-Đăk Nông</t>
        </is>
      </c>
      <c r="J452" s="15" t="b">
        <v>0</v>
      </c>
      <c r="K452" s="15" t="inlineStr">
        <is>
          <t>C</t>
        </is>
      </c>
      <c r="L452" s="16" t="n">
        <v>0</v>
      </c>
      <c r="M452" s="15" t="n"/>
      <c r="N452" s="15" t="n"/>
      <c r="O452" s="15" t="inlineStr">
        <is>
          <t>Chưa mở</t>
        </is>
      </c>
      <c r="P452" s="15" t="n"/>
    </row>
    <row r="453" hidden="1" ht="15.75" customHeight="1" s="57">
      <c r="A453" s="7" t="inlineStr">
        <is>
          <t>Đắk Nông</t>
        </is>
      </c>
      <c r="B453" s="7" t="n">
        <v>2120</v>
      </c>
      <c r="C453" s="7" t="inlineStr">
        <is>
          <t>Huyện Đắk Song</t>
        </is>
      </c>
      <c r="D453" s="7" t="n">
        <v>630503</v>
      </c>
      <c r="E453" s="7" t="inlineStr">
        <is>
          <t>Xã Đắk Môl</t>
        </is>
      </c>
      <c r="F453" s="7" t="n">
        <v>21477000</v>
      </c>
      <c r="G453" s="7" t="inlineStr">
        <is>
          <t>Bưu Cục Quốc Lộ 14-Đức An-Đắk Song-Đăk Nông</t>
        </is>
      </c>
      <c r="H453" s="15" t="n">
        <v>21477000</v>
      </c>
      <c r="I453" s="15" t="inlineStr">
        <is>
          <t>Bưu Cục Quốc Lộ 14-Đức An-Đắk Song-Đăk Nông</t>
        </is>
      </c>
      <c r="J453" s="15" t="b">
        <v>0</v>
      </c>
      <c r="K453" s="15" t="inlineStr">
        <is>
          <t>C</t>
        </is>
      </c>
      <c r="L453" s="16" t="n">
        <v>0</v>
      </c>
      <c r="M453" s="15" t="n"/>
      <c r="N453" s="15" t="n"/>
      <c r="O453" s="15" t="inlineStr">
        <is>
          <t>Chưa mở</t>
        </is>
      </c>
      <c r="P453" s="15" t="n"/>
    </row>
    <row r="454" hidden="1" ht="15.75" customHeight="1" s="57">
      <c r="A454" s="7" t="inlineStr">
        <is>
          <t>Đắk Nông</t>
        </is>
      </c>
      <c r="B454" s="7" t="n">
        <v>2120</v>
      </c>
      <c r="C454" s="7" t="inlineStr">
        <is>
          <t>Huyện Đắk Song</t>
        </is>
      </c>
      <c r="D454" s="7" t="n">
        <v>630504</v>
      </c>
      <c r="E454" s="7" t="inlineStr">
        <is>
          <t>Xã Đắk N'Dung</t>
        </is>
      </c>
      <c r="F454" s="7" t="n">
        <v>22086000</v>
      </c>
      <c r="G454" s="7" t="inlineStr">
        <is>
          <t>Bưu Cục Nâm N'Jang-Đắk Song-Đắk Nông</t>
        </is>
      </c>
      <c r="H454" s="15" t="n">
        <v>22086000</v>
      </c>
      <c r="I454" s="15" t="inlineStr">
        <is>
          <t>Bưu Cục Nâm N'Jang-Đắk Song-Đắk Nông</t>
        </is>
      </c>
      <c r="J454" s="15" t="b">
        <v>0</v>
      </c>
      <c r="K454" s="15" t="inlineStr">
        <is>
          <t>C</t>
        </is>
      </c>
      <c r="L454" s="16" t="n">
        <v>0</v>
      </c>
      <c r="M454" s="15" t="n"/>
      <c r="N454" s="15" t="n"/>
      <c r="O454" s="15" t="inlineStr">
        <is>
          <t>Chưa mở</t>
        </is>
      </c>
      <c r="P454" s="15" t="n"/>
    </row>
    <row r="455" hidden="1" ht="15.75" customHeight="1" s="57">
      <c r="A455" s="7" t="inlineStr">
        <is>
          <t>Đắk Nông</t>
        </is>
      </c>
      <c r="B455" s="7" t="n">
        <v>2120</v>
      </c>
      <c r="C455" s="7" t="inlineStr">
        <is>
          <t>Huyện Đắk Song</t>
        </is>
      </c>
      <c r="D455" s="7" t="n">
        <v>630505</v>
      </c>
      <c r="E455" s="7" t="inlineStr">
        <is>
          <t>Xã Nam Bình</t>
        </is>
      </c>
      <c r="F455" s="7" t="n">
        <v>21477000</v>
      </c>
      <c r="G455" s="7" t="inlineStr">
        <is>
          <t>Bưu Cục Quốc Lộ 14-Đức An-Đắk Song-Đăk Nông</t>
        </is>
      </c>
      <c r="H455" s="15" t="n">
        <v>21477000</v>
      </c>
      <c r="I455" s="15" t="inlineStr">
        <is>
          <t>Bưu Cục Quốc Lộ 14-Đức An-Đắk Song-Đăk Nông</t>
        </is>
      </c>
      <c r="J455" s="15" t="b">
        <v>0</v>
      </c>
      <c r="K455" s="15" t="inlineStr">
        <is>
          <t>C</t>
        </is>
      </c>
      <c r="L455" s="16" t="n">
        <v>0</v>
      </c>
      <c r="M455" s="15" t="n"/>
      <c r="N455" s="15" t="n"/>
      <c r="O455" s="15" t="inlineStr">
        <is>
          <t>Chưa mở</t>
        </is>
      </c>
      <c r="P455" s="15" t="n"/>
    </row>
    <row r="456" hidden="1" ht="15.75" customHeight="1" s="57">
      <c r="A456" s="7" t="inlineStr">
        <is>
          <t>Đắk Nông</t>
        </is>
      </c>
      <c r="B456" s="7" t="n">
        <v>2120</v>
      </c>
      <c r="C456" s="7" t="inlineStr">
        <is>
          <t>Huyện Đắk Song</t>
        </is>
      </c>
      <c r="D456" s="7" t="n">
        <v>630506</v>
      </c>
      <c r="E456" s="7" t="inlineStr">
        <is>
          <t>Xã Nâm N'Jang</t>
        </is>
      </c>
      <c r="F456" s="7" t="n">
        <v>22086000</v>
      </c>
      <c r="G456" s="7" t="inlineStr">
        <is>
          <t>Bưu Cục Nâm N'Jang-Đắk Song-Đắk Nông</t>
        </is>
      </c>
      <c r="H456" s="15" t="n">
        <v>22086000</v>
      </c>
      <c r="I456" s="15" t="inlineStr">
        <is>
          <t>Bưu Cục Nâm N'Jang-Đắk Song-Đắk Nông</t>
        </is>
      </c>
      <c r="J456" s="15" t="b">
        <v>0</v>
      </c>
      <c r="K456" s="15" t="inlineStr">
        <is>
          <t>C</t>
        </is>
      </c>
      <c r="L456" s="16" t="n">
        <v>0</v>
      </c>
      <c r="M456" s="15" t="n"/>
      <c r="N456" s="15" t="n"/>
      <c r="O456" s="15" t="inlineStr">
        <is>
          <t>Chưa mở</t>
        </is>
      </c>
      <c r="P456" s="15" t="n"/>
    </row>
    <row r="457" hidden="1" ht="15.75" customHeight="1" s="57">
      <c r="A457" s="7" t="inlineStr">
        <is>
          <t>Đắk Nông</t>
        </is>
      </c>
      <c r="B457" s="7" t="n">
        <v>2120</v>
      </c>
      <c r="C457" s="7" t="inlineStr">
        <is>
          <t>Huyện Đắk Song</t>
        </is>
      </c>
      <c r="D457" s="7" t="n">
        <v>630507</v>
      </c>
      <c r="E457" s="7" t="inlineStr">
        <is>
          <t>Xã Thuận Hà</t>
        </is>
      </c>
      <c r="F457" s="7" t="n">
        <v>21477000</v>
      </c>
      <c r="G457" s="7" t="inlineStr">
        <is>
          <t>Bưu Cục Quốc Lộ 14-Đức An-Đắk Song-Đăk Nông</t>
        </is>
      </c>
      <c r="H457" s="15" t="n">
        <v>21477000</v>
      </c>
      <c r="I457" s="15" t="inlineStr">
        <is>
          <t>Bưu Cục Quốc Lộ 14-Đức An-Đắk Song-Đăk Nông</t>
        </is>
      </c>
      <c r="J457" s="15" t="b">
        <v>0</v>
      </c>
      <c r="K457" s="15" t="inlineStr">
        <is>
          <t>C</t>
        </is>
      </c>
      <c r="L457" s="16" t="n">
        <v>0</v>
      </c>
      <c r="M457" s="15" t="n"/>
      <c r="N457" s="15" t="n"/>
      <c r="O457" s="15" t="inlineStr">
        <is>
          <t>Chưa mở</t>
        </is>
      </c>
      <c r="P457" s="15" t="n"/>
    </row>
    <row r="458" hidden="1" ht="15.75" customHeight="1" s="57">
      <c r="A458" s="7" t="inlineStr">
        <is>
          <t>Đắk Nông</t>
        </is>
      </c>
      <c r="B458" s="7" t="n">
        <v>2120</v>
      </c>
      <c r="C458" s="7" t="inlineStr">
        <is>
          <t>Huyện Đắk Song</t>
        </is>
      </c>
      <c r="D458" s="7" t="n">
        <v>630508</v>
      </c>
      <c r="E458" s="7" t="inlineStr">
        <is>
          <t>Xã Thuận Hạnh</t>
        </is>
      </c>
      <c r="F458" s="7" t="n">
        <v>21477000</v>
      </c>
      <c r="G458" s="7" t="inlineStr">
        <is>
          <t>Bưu Cục Quốc Lộ 14-Đức An-Đắk Song-Đăk Nông</t>
        </is>
      </c>
      <c r="H458" s="15" t="n">
        <v>21477000</v>
      </c>
      <c r="I458" s="15" t="inlineStr">
        <is>
          <t>Bưu Cục Quốc Lộ 14-Đức An-Đắk Song-Đăk Nông</t>
        </is>
      </c>
      <c r="J458" s="15" t="b">
        <v>0</v>
      </c>
      <c r="K458" s="15" t="inlineStr">
        <is>
          <t>C</t>
        </is>
      </c>
      <c r="L458" s="16" t="n">
        <v>0</v>
      </c>
      <c r="M458" s="15" t="n"/>
      <c r="N458" s="15" t="n"/>
      <c r="O458" s="15" t="inlineStr">
        <is>
          <t>Chưa mở</t>
        </is>
      </c>
      <c r="P458" s="15" t="n"/>
    </row>
    <row r="459" hidden="1" ht="15.75" customHeight="1" s="57">
      <c r="A459" s="7" t="inlineStr">
        <is>
          <t>Đắk Nông</t>
        </is>
      </c>
      <c r="B459" s="7" t="n">
        <v>2120</v>
      </c>
      <c r="C459" s="7" t="inlineStr">
        <is>
          <t>Huyện Đắk Song</t>
        </is>
      </c>
      <c r="D459" s="7" t="n">
        <v>630509</v>
      </c>
      <c r="E459" s="7" t="inlineStr">
        <is>
          <t>Xã Trường Xuân</t>
        </is>
      </c>
      <c r="F459" s="7" t="n">
        <v>22086000</v>
      </c>
      <c r="G459" s="7" t="inlineStr">
        <is>
          <t>Bưu Cục Nâm N'Jang-Đắk Song-Đắk Nông</t>
        </is>
      </c>
      <c r="H459" s="15" t="n">
        <v>22086000</v>
      </c>
      <c r="I459" s="15" t="inlineStr">
        <is>
          <t>Bưu Cục Nâm N'Jang-Đắk Song-Đắk Nông</t>
        </is>
      </c>
      <c r="J459" s="15" t="b">
        <v>0</v>
      </c>
      <c r="K459" s="15" t="inlineStr">
        <is>
          <t>C</t>
        </is>
      </c>
      <c r="L459" s="16" t="n">
        <v>0</v>
      </c>
      <c r="M459" s="15" t="n"/>
      <c r="N459" s="15" t="n"/>
      <c r="O459" s="15" t="inlineStr">
        <is>
          <t>Chưa mở</t>
        </is>
      </c>
      <c r="P459" s="15" t="n"/>
    </row>
    <row r="460" hidden="1" ht="15.75" customHeight="1" s="57">
      <c r="A460" s="7" t="inlineStr">
        <is>
          <t>Đắk Nông</t>
        </is>
      </c>
      <c r="B460" s="7" t="n">
        <v>2151</v>
      </c>
      <c r="C460" s="7" t="inlineStr">
        <is>
          <t>Huyện Krông Nô</t>
        </is>
      </c>
      <c r="D460" s="7" t="n">
        <v>630601</v>
      </c>
      <c r="E460" s="7" t="inlineStr">
        <is>
          <t>Thị trấn Đắk Mâm</t>
        </is>
      </c>
      <c r="F460" s="7" t="n">
        <v>20591000</v>
      </c>
      <c r="G460" s="7" t="inlineStr">
        <is>
          <t>Bưu Cục 73 Nguyễn Tất Thành-Krông Nô-Đắk Nông</t>
        </is>
      </c>
      <c r="H460" s="15" t="n">
        <v>20591000</v>
      </c>
      <c r="I460" s="15" t="inlineStr">
        <is>
          <t>Bưu Cục 73 Nguyễn Tất Thành-Krông Nô-Đắk Nông</t>
        </is>
      </c>
      <c r="J460" s="15" t="b">
        <v>0</v>
      </c>
      <c r="K460" s="15" t="inlineStr">
        <is>
          <t>C</t>
        </is>
      </c>
      <c r="L460" s="16" t="n">
        <v>0</v>
      </c>
      <c r="M460" s="15" t="n"/>
      <c r="N460" s="15" t="n"/>
      <c r="O460" s="15" t="inlineStr">
        <is>
          <t>Chưa mở</t>
        </is>
      </c>
      <c r="P460" s="15" t="n"/>
    </row>
    <row r="461" hidden="1" ht="15.75" customHeight="1" s="57">
      <c r="A461" s="7" t="inlineStr">
        <is>
          <t>Đắk Nông</t>
        </is>
      </c>
      <c r="B461" s="7" t="n">
        <v>2151</v>
      </c>
      <c r="C461" s="7" t="inlineStr">
        <is>
          <t>Huyện Krông Nô</t>
        </is>
      </c>
      <c r="D461" s="7" t="n">
        <v>630602</v>
      </c>
      <c r="E461" s="7" t="inlineStr">
        <is>
          <t>Xã Buôn Choah</t>
        </is>
      </c>
      <c r="F461" s="7" t="n">
        <v>20591000</v>
      </c>
      <c r="G461" s="7" t="inlineStr">
        <is>
          <t>Bưu Cục 73 Nguyễn Tất Thành-Krông Nô-Đắk Nông</t>
        </is>
      </c>
      <c r="H461" s="15" t="n">
        <v>20591000</v>
      </c>
      <c r="I461" s="15" t="inlineStr">
        <is>
          <t>Bưu Cục 73 Nguyễn Tất Thành-Krông Nô-Đắk Nông</t>
        </is>
      </c>
      <c r="J461" s="15" t="b">
        <v>0</v>
      </c>
      <c r="K461" s="15" t="inlineStr">
        <is>
          <t>C</t>
        </is>
      </c>
      <c r="L461" s="16" t="n">
        <v>0</v>
      </c>
      <c r="M461" s="15" t="n"/>
      <c r="N461" s="15" t="n"/>
      <c r="O461" s="15" t="inlineStr">
        <is>
          <t>Chưa mở</t>
        </is>
      </c>
      <c r="P461" s="15" t="n"/>
    </row>
    <row r="462" hidden="1" ht="15.75" customHeight="1" s="57">
      <c r="A462" s="7" t="inlineStr">
        <is>
          <t>Đắk Nông</t>
        </is>
      </c>
      <c r="B462" s="7" t="n">
        <v>2151</v>
      </c>
      <c r="C462" s="7" t="inlineStr">
        <is>
          <t>Huyện Krông Nô</t>
        </is>
      </c>
      <c r="D462" s="7" t="n">
        <v>630603</v>
      </c>
      <c r="E462" s="7" t="inlineStr">
        <is>
          <t>Xã Đắk Drô</t>
        </is>
      </c>
      <c r="F462" s="7" t="n">
        <v>20591000</v>
      </c>
      <c r="G462" s="7" t="inlineStr">
        <is>
          <t>Bưu Cục 73 Nguyễn Tất Thành-Krông Nô-Đắk Nông</t>
        </is>
      </c>
      <c r="H462" s="15" t="n">
        <v>20591000</v>
      </c>
      <c r="I462" s="15" t="inlineStr">
        <is>
          <t>Bưu Cục 73 Nguyễn Tất Thành-Krông Nô-Đắk Nông</t>
        </is>
      </c>
      <c r="J462" s="15" t="b">
        <v>0</v>
      </c>
      <c r="K462" s="15" t="inlineStr">
        <is>
          <t>C</t>
        </is>
      </c>
      <c r="L462" s="16" t="n">
        <v>0</v>
      </c>
      <c r="M462" s="15" t="n"/>
      <c r="N462" s="15" t="n"/>
      <c r="O462" s="15" t="inlineStr">
        <is>
          <t>Chưa mở</t>
        </is>
      </c>
      <c r="P462" s="15" t="n"/>
    </row>
    <row r="463" hidden="1" ht="15.75" customHeight="1" s="57">
      <c r="A463" s="7" t="inlineStr">
        <is>
          <t>Đắk Nông</t>
        </is>
      </c>
      <c r="B463" s="7" t="n">
        <v>2151</v>
      </c>
      <c r="C463" s="7" t="inlineStr">
        <is>
          <t>Huyện Krông Nô</t>
        </is>
      </c>
      <c r="D463" s="7" t="n">
        <v>630604</v>
      </c>
      <c r="E463" s="7" t="inlineStr">
        <is>
          <t>Xã Đắk Nang</t>
        </is>
      </c>
      <c r="F463" s="7" t="n">
        <v>20591000</v>
      </c>
      <c r="G463" s="7" t="inlineStr">
        <is>
          <t>Bưu Cục 73 Nguyễn Tất Thành-Krông Nô-Đắk Nông</t>
        </is>
      </c>
      <c r="H463" s="15" t="n">
        <v>20591000</v>
      </c>
      <c r="I463" s="15" t="inlineStr">
        <is>
          <t>Bưu Cục 73 Nguyễn Tất Thành-Krông Nô-Đắk Nông</t>
        </is>
      </c>
      <c r="J463" s="15" t="b">
        <v>0</v>
      </c>
      <c r="K463" s="15" t="inlineStr">
        <is>
          <t>C</t>
        </is>
      </c>
      <c r="L463" s="16" t="n">
        <v>0</v>
      </c>
      <c r="M463" s="15" t="n"/>
      <c r="N463" s="15" t="n"/>
      <c r="O463" s="15" t="inlineStr">
        <is>
          <t>Chưa mở</t>
        </is>
      </c>
      <c r="P463" s="15" t="n"/>
    </row>
    <row r="464" hidden="1" ht="15.75" customHeight="1" s="57">
      <c r="A464" s="7" t="inlineStr">
        <is>
          <t>Đắk Nông</t>
        </is>
      </c>
      <c r="B464" s="7" t="n">
        <v>2151</v>
      </c>
      <c r="C464" s="7" t="inlineStr">
        <is>
          <t>Huyện Krông Nô</t>
        </is>
      </c>
      <c r="D464" s="7" t="n">
        <v>630605</v>
      </c>
      <c r="E464" s="7" t="inlineStr">
        <is>
          <t>Xã Đắk Sôr</t>
        </is>
      </c>
      <c r="F464" s="7" t="n">
        <v>20591000</v>
      </c>
      <c r="G464" s="7" t="inlineStr">
        <is>
          <t>Bưu Cục 73 Nguyễn Tất Thành-Krông Nô-Đắk Nông</t>
        </is>
      </c>
      <c r="H464" s="15" t="n">
        <v>20591000</v>
      </c>
      <c r="I464" s="15" t="inlineStr">
        <is>
          <t>Bưu Cục 73 Nguyễn Tất Thành-Krông Nô-Đắk Nông</t>
        </is>
      </c>
      <c r="J464" s="15" t="b">
        <v>0</v>
      </c>
      <c r="K464" s="15" t="inlineStr">
        <is>
          <t>C</t>
        </is>
      </c>
      <c r="L464" s="16" t="n">
        <v>0</v>
      </c>
      <c r="M464" s="15" t="n"/>
      <c r="N464" s="15" t="n"/>
      <c r="O464" s="15" t="inlineStr">
        <is>
          <t>Chưa mở</t>
        </is>
      </c>
      <c r="P464" s="15" t="n"/>
    </row>
    <row r="465" hidden="1" ht="15.75" customHeight="1" s="57">
      <c r="A465" s="7" t="inlineStr">
        <is>
          <t>Đắk Nông</t>
        </is>
      </c>
      <c r="B465" s="7" t="n">
        <v>2151</v>
      </c>
      <c r="C465" s="7" t="inlineStr">
        <is>
          <t>Huyện Krông Nô</t>
        </is>
      </c>
      <c r="D465" s="7" t="n">
        <v>630606</v>
      </c>
      <c r="E465" s="7" t="inlineStr">
        <is>
          <t>Xã Đức Xuyên</t>
        </is>
      </c>
      <c r="F465" s="7" t="n">
        <v>20591000</v>
      </c>
      <c r="G465" s="7" t="inlineStr">
        <is>
          <t>Bưu Cục 73 Nguyễn Tất Thành-Krông Nô-Đắk Nông</t>
        </is>
      </c>
      <c r="H465" s="15" t="n">
        <v>20591000</v>
      </c>
      <c r="I465" s="15" t="inlineStr">
        <is>
          <t>Bưu Cục 73 Nguyễn Tất Thành-Krông Nô-Đắk Nông</t>
        </is>
      </c>
      <c r="J465" s="15" t="b">
        <v>0</v>
      </c>
      <c r="K465" s="15" t="inlineStr">
        <is>
          <t>C</t>
        </is>
      </c>
      <c r="L465" s="16" t="n">
        <v>0</v>
      </c>
      <c r="M465" s="15" t="n"/>
      <c r="N465" s="15" t="n"/>
      <c r="O465" s="15" t="inlineStr">
        <is>
          <t>Chưa mở</t>
        </is>
      </c>
      <c r="P465" s="15" t="n"/>
    </row>
    <row r="466" hidden="1" ht="15.75" customHeight="1" s="57">
      <c r="A466" s="7" t="inlineStr">
        <is>
          <t>Đắk Nông</t>
        </is>
      </c>
      <c r="B466" s="7" t="n">
        <v>2151</v>
      </c>
      <c r="C466" s="7" t="inlineStr">
        <is>
          <t>Huyện Krông Nô</t>
        </is>
      </c>
      <c r="D466" s="7" t="n">
        <v>630607</v>
      </c>
      <c r="E466" s="7" t="inlineStr">
        <is>
          <t>Xã Nam Đà</t>
        </is>
      </c>
      <c r="F466" s="7" t="n">
        <v>20591000</v>
      </c>
      <c r="G466" s="7" t="inlineStr">
        <is>
          <t>Bưu Cục 73 Nguyễn Tất Thành-Krông Nô-Đắk Nông</t>
        </is>
      </c>
      <c r="H466" s="15" t="n">
        <v>20591000</v>
      </c>
      <c r="I466" s="15" t="inlineStr">
        <is>
          <t>Bưu Cục 73 Nguyễn Tất Thành-Krông Nô-Đắk Nông</t>
        </is>
      </c>
      <c r="J466" s="15" t="b">
        <v>0</v>
      </c>
      <c r="K466" s="15" t="inlineStr">
        <is>
          <t>C</t>
        </is>
      </c>
      <c r="L466" s="16" t="n">
        <v>0</v>
      </c>
      <c r="M466" s="15" t="n"/>
      <c r="N466" s="15" t="n"/>
      <c r="O466" s="15" t="inlineStr">
        <is>
          <t>Chưa mở</t>
        </is>
      </c>
      <c r="P466" s="15" t="n"/>
    </row>
    <row r="467" hidden="1" ht="15.75" customHeight="1" s="57">
      <c r="A467" s="7" t="inlineStr">
        <is>
          <t>Đắk Nông</t>
        </is>
      </c>
      <c r="B467" s="7" t="n">
        <v>2151</v>
      </c>
      <c r="C467" s="7" t="inlineStr">
        <is>
          <t>Huyện Krông Nô</t>
        </is>
      </c>
      <c r="D467" s="7" t="n">
        <v>630608</v>
      </c>
      <c r="E467" s="7" t="inlineStr">
        <is>
          <t>Xã Nâm N'Đir</t>
        </is>
      </c>
      <c r="F467" s="7" t="n">
        <v>20591000</v>
      </c>
      <c r="G467" s="7" t="inlineStr">
        <is>
          <t>Bưu Cục 73 Nguyễn Tất Thành-Krông Nô-Đắk Nông</t>
        </is>
      </c>
      <c r="H467" s="15" t="n">
        <v>20591000</v>
      </c>
      <c r="I467" s="15" t="inlineStr">
        <is>
          <t>Bưu Cục 73 Nguyễn Tất Thành-Krông Nô-Đắk Nông</t>
        </is>
      </c>
      <c r="J467" s="15" t="b">
        <v>0</v>
      </c>
      <c r="K467" s="15" t="inlineStr">
        <is>
          <t>C</t>
        </is>
      </c>
      <c r="L467" s="16" t="n">
        <v>0</v>
      </c>
      <c r="M467" s="15" t="n"/>
      <c r="N467" s="15" t="n"/>
      <c r="O467" s="15" t="inlineStr">
        <is>
          <t>Chưa mở</t>
        </is>
      </c>
      <c r="P467" s="15" t="n"/>
    </row>
    <row r="468" hidden="1" ht="15.75" customHeight="1" s="57">
      <c r="A468" s="7" t="inlineStr">
        <is>
          <t>Đắk Nông</t>
        </is>
      </c>
      <c r="B468" s="7" t="n">
        <v>2151</v>
      </c>
      <c r="C468" s="7" t="inlineStr">
        <is>
          <t>Huyện Krông Nô</t>
        </is>
      </c>
      <c r="D468" s="7" t="n">
        <v>630609</v>
      </c>
      <c r="E468" s="7" t="inlineStr">
        <is>
          <t>Xã Nâm Nung</t>
        </is>
      </c>
      <c r="F468" s="7" t="n">
        <v>20591000</v>
      </c>
      <c r="G468" s="7" t="inlineStr">
        <is>
          <t>Bưu Cục 73 Nguyễn Tất Thành-Krông Nô-Đắk Nông</t>
        </is>
      </c>
      <c r="H468" s="15" t="n">
        <v>20591000</v>
      </c>
      <c r="I468" s="15" t="inlineStr">
        <is>
          <t>Bưu Cục 73 Nguyễn Tất Thành-Krông Nô-Đắk Nông</t>
        </is>
      </c>
      <c r="J468" s="15" t="b">
        <v>0</v>
      </c>
      <c r="K468" s="15" t="inlineStr">
        <is>
          <t>C</t>
        </is>
      </c>
      <c r="L468" s="16" t="n">
        <v>0</v>
      </c>
      <c r="M468" s="15" t="n"/>
      <c r="N468" s="15" t="n"/>
      <c r="O468" s="15" t="inlineStr">
        <is>
          <t>Chưa mở</t>
        </is>
      </c>
      <c r="P468" s="15" t="n"/>
    </row>
    <row r="469" hidden="1" ht="15.75" customHeight="1" s="57">
      <c r="A469" s="7" t="inlineStr">
        <is>
          <t>Đắk Nông</t>
        </is>
      </c>
      <c r="B469" s="7" t="n">
        <v>2151</v>
      </c>
      <c r="C469" s="7" t="inlineStr">
        <is>
          <t>Huyện Krông Nô</t>
        </is>
      </c>
      <c r="D469" s="7" t="n">
        <v>630610</v>
      </c>
      <c r="E469" s="7" t="inlineStr">
        <is>
          <t>Xã Nam Xuân</t>
        </is>
      </c>
      <c r="F469" s="7" t="n">
        <v>20591000</v>
      </c>
      <c r="G469" s="7" t="inlineStr">
        <is>
          <t>Bưu Cục 73 Nguyễn Tất Thành-Krông Nô-Đắk Nông</t>
        </is>
      </c>
      <c r="H469" s="15" t="n">
        <v>20591000</v>
      </c>
      <c r="I469" s="15" t="inlineStr">
        <is>
          <t>Bưu Cục 73 Nguyễn Tất Thành-Krông Nô-Đắk Nông</t>
        </is>
      </c>
      <c r="J469" s="15" t="b">
        <v>0</v>
      </c>
      <c r="K469" s="15" t="inlineStr">
        <is>
          <t>C</t>
        </is>
      </c>
      <c r="L469" s="16" t="n">
        <v>0</v>
      </c>
      <c r="M469" s="15" t="n"/>
      <c r="N469" s="15" t="n"/>
      <c r="O469" s="15" t="inlineStr">
        <is>
          <t>Chưa mở</t>
        </is>
      </c>
      <c r="P469" s="15" t="n"/>
    </row>
    <row r="470" hidden="1" ht="15.75" customHeight="1" s="57">
      <c r="A470" s="7" t="inlineStr">
        <is>
          <t>Đắk Nông</t>
        </is>
      </c>
      <c r="B470" s="7" t="n">
        <v>2151</v>
      </c>
      <c r="C470" s="7" t="inlineStr">
        <is>
          <t>Huyện Krông Nô</t>
        </is>
      </c>
      <c r="D470" s="7" t="n">
        <v>630611</v>
      </c>
      <c r="E470" s="7" t="inlineStr">
        <is>
          <t>Xã Quảng Phú</t>
        </is>
      </c>
      <c r="F470" s="7" t="n">
        <v>20591000</v>
      </c>
      <c r="G470" s="7" t="inlineStr">
        <is>
          <t>Bưu Cục 73 Nguyễn Tất Thành-Krông Nô-Đắk Nông</t>
        </is>
      </c>
      <c r="H470" s="15" t="n">
        <v>20591000</v>
      </c>
      <c r="I470" s="15" t="inlineStr">
        <is>
          <t>Bưu Cục 73 Nguyễn Tất Thành-Krông Nô-Đắk Nông</t>
        </is>
      </c>
      <c r="J470" s="15" t="b">
        <v>0</v>
      </c>
      <c r="K470" s="15" t="inlineStr">
        <is>
          <t>C</t>
        </is>
      </c>
      <c r="L470" s="16" t="n">
        <v>0</v>
      </c>
      <c r="M470" s="15" t="n"/>
      <c r="N470" s="15" t="n"/>
      <c r="O470" s="15" t="inlineStr">
        <is>
          <t>Chưa mở</t>
        </is>
      </c>
      <c r="P470" s="15" t="n"/>
    </row>
    <row r="471" hidden="1" ht="15.75" customHeight="1" s="57">
      <c r="A471" s="7" t="inlineStr">
        <is>
          <t>Đắk Nông</t>
        </is>
      </c>
      <c r="B471" s="7" t="n">
        <v>2151</v>
      </c>
      <c r="C471" s="7" t="inlineStr">
        <is>
          <t>Huyện Krông Nô</t>
        </is>
      </c>
      <c r="D471" s="7" t="n">
        <v>630612</v>
      </c>
      <c r="E471" s="7" t="inlineStr">
        <is>
          <t>Xã Tân Thành</t>
        </is>
      </c>
      <c r="F471" s="7" t="n">
        <v>20591000</v>
      </c>
      <c r="G471" s="7" t="inlineStr">
        <is>
          <t>Bưu Cục 73 Nguyễn Tất Thành-Krông Nô-Đắk Nông</t>
        </is>
      </c>
      <c r="H471" s="15" t="n">
        <v>20591000</v>
      </c>
      <c r="I471" s="15" t="inlineStr">
        <is>
          <t>Bưu Cục 73 Nguyễn Tất Thành-Krông Nô-Đắk Nông</t>
        </is>
      </c>
      <c r="J471" s="15" t="b">
        <v>0</v>
      </c>
      <c r="K471" s="15" t="inlineStr">
        <is>
          <t>C</t>
        </is>
      </c>
      <c r="L471" s="16" t="n">
        <v>0</v>
      </c>
      <c r="M471" s="15" t="n"/>
      <c r="N471" s="15" t="n"/>
      <c r="O471" s="15" t="inlineStr">
        <is>
          <t>Chưa mở</t>
        </is>
      </c>
      <c r="P471" s="15" t="n"/>
    </row>
    <row r="472" hidden="1" ht="15.75" customHeight="1" s="57">
      <c r="A472" s="7" t="inlineStr">
        <is>
          <t>Đắk Nông</t>
        </is>
      </c>
      <c r="B472" s="7" t="n">
        <v>2227</v>
      </c>
      <c r="C472" s="7" t="inlineStr">
        <is>
          <t>Huyện Tuy Đức</t>
        </is>
      </c>
      <c r="D472" s="7" t="n">
        <v>630801</v>
      </c>
      <c r="E472" s="7" t="inlineStr">
        <is>
          <t>Xã Đắk Búk So</t>
        </is>
      </c>
      <c r="F472" s="7" t="n">
        <v>20590000</v>
      </c>
      <c r="G472" s="7" t="inlineStr">
        <is>
          <t>Bưu Cục Thôn 2-Tuy Đức-Đắk Nông</t>
        </is>
      </c>
      <c r="H472" s="15" t="n">
        <v>20590000</v>
      </c>
      <c r="I472" s="15" t="inlineStr">
        <is>
          <t>Bưu Cục Thôn 2-Tuy Đức-Đắk Nông</t>
        </is>
      </c>
      <c r="J472" s="15" t="b">
        <v>0</v>
      </c>
      <c r="K472" s="15" t="inlineStr">
        <is>
          <t>C</t>
        </is>
      </c>
      <c r="L472" s="16" t="n">
        <v>0</v>
      </c>
      <c r="M472" s="15" t="n"/>
      <c r="N472" s="15" t="n"/>
      <c r="O472" s="15" t="inlineStr">
        <is>
          <t>Chưa mở</t>
        </is>
      </c>
      <c r="P472" s="15" t="n"/>
    </row>
    <row r="473" hidden="1" ht="15.75" customHeight="1" s="57">
      <c r="A473" s="7" t="inlineStr">
        <is>
          <t>Đắk Nông</t>
        </is>
      </c>
      <c r="B473" s="7" t="n">
        <v>2227</v>
      </c>
      <c r="C473" s="7" t="inlineStr">
        <is>
          <t>Huyện Tuy Đức</t>
        </is>
      </c>
      <c r="D473" s="7" t="n">
        <v>630802</v>
      </c>
      <c r="E473" s="7" t="inlineStr">
        <is>
          <t>Xã Đắk Ngo</t>
        </is>
      </c>
      <c r="F473" s="7" t="n">
        <v>22394000</v>
      </c>
      <c r="G473" s="7" t="inlineStr">
        <is>
          <t>Bưu Cục Thôn 2-Xã Quảng Tín-Đắk Nông</t>
        </is>
      </c>
      <c r="H473" s="15" t="n">
        <v>22394000</v>
      </c>
      <c r="I473" s="15" t="inlineStr">
        <is>
          <t>Bưu Cục Thôn 2-Xã Quảng Tín-Đắk Nông</t>
        </is>
      </c>
      <c r="J473" s="15" t="b">
        <v>0</v>
      </c>
      <c r="K473" s="15" t="inlineStr">
        <is>
          <t>C</t>
        </is>
      </c>
      <c r="L473" s="16" t="n">
        <v>0</v>
      </c>
      <c r="M473" s="15" t="n"/>
      <c r="N473" s="15" t="n"/>
      <c r="O473" s="15" t="inlineStr">
        <is>
          <t>Chưa mở</t>
        </is>
      </c>
      <c r="P473" s="15" t="n"/>
    </row>
    <row r="474" hidden="1" ht="15.75" customHeight="1" s="57">
      <c r="A474" s="7" t="inlineStr">
        <is>
          <t>Đắk Nông</t>
        </is>
      </c>
      <c r="B474" s="7" t="n">
        <v>2227</v>
      </c>
      <c r="C474" s="7" t="inlineStr">
        <is>
          <t>Huyện Tuy Đức</t>
        </is>
      </c>
      <c r="D474" s="7" t="n">
        <v>630803</v>
      </c>
      <c r="E474" s="7" t="inlineStr">
        <is>
          <t>Xã Đắk R'Tíh</t>
        </is>
      </c>
      <c r="F474" s="7" t="n">
        <v>20590000</v>
      </c>
      <c r="G474" s="7" t="inlineStr">
        <is>
          <t>Bưu Cục Thôn 2-Tuy Đức-Đắk Nông</t>
        </is>
      </c>
      <c r="H474" s="15" t="n">
        <v>20590000</v>
      </c>
      <c r="I474" s="15" t="inlineStr">
        <is>
          <t>Bưu Cục Thôn 2-Tuy Đức-Đắk Nông</t>
        </is>
      </c>
      <c r="J474" s="15" t="b">
        <v>0</v>
      </c>
      <c r="K474" s="15" t="inlineStr">
        <is>
          <t>C</t>
        </is>
      </c>
      <c r="L474" s="16" t="n">
        <v>0</v>
      </c>
      <c r="M474" s="15" t="n"/>
      <c r="N474" s="15" t="n"/>
      <c r="O474" s="15" t="inlineStr">
        <is>
          <t>Chưa mở</t>
        </is>
      </c>
      <c r="P474" s="15" t="n"/>
    </row>
    <row r="475" hidden="1" ht="15.75" customHeight="1" s="57">
      <c r="A475" s="7" t="inlineStr">
        <is>
          <t>Đắk Nông</t>
        </is>
      </c>
      <c r="B475" s="7" t="n">
        <v>2227</v>
      </c>
      <c r="C475" s="7" t="inlineStr">
        <is>
          <t>Huyện Tuy Đức</t>
        </is>
      </c>
      <c r="D475" s="7" t="n">
        <v>630804</v>
      </c>
      <c r="E475" s="7" t="inlineStr">
        <is>
          <t>Xã Quảng Tâm</t>
        </is>
      </c>
      <c r="F475" s="7" t="n">
        <v>20590000</v>
      </c>
      <c r="G475" s="7" t="inlineStr">
        <is>
          <t>Bưu Cục Thôn 2-Tuy Đức-Đắk Nông</t>
        </is>
      </c>
      <c r="H475" s="15" t="n">
        <v>20590000</v>
      </c>
      <c r="I475" s="15" t="inlineStr">
        <is>
          <t>Bưu Cục Thôn 2-Tuy Đức-Đắk Nông</t>
        </is>
      </c>
      <c r="J475" s="15" t="b">
        <v>0</v>
      </c>
      <c r="K475" s="15" t="inlineStr">
        <is>
          <t>C</t>
        </is>
      </c>
      <c r="L475" s="16" t="n">
        <v>0</v>
      </c>
      <c r="M475" s="15" t="n"/>
      <c r="N475" s="15" t="n"/>
      <c r="O475" s="15" t="inlineStr">
        <is>
          <t>Chưa mở</t>
        </is>
      </c>
      <c r="P475" s="15" t="n"/>
    </row>
    <row r="476" hidden="1" ht="15.75" customHeight="1" s="57">
      <c r="A476" s="7" t="inlineStr">
        <is>
          <t>Đắk Nông</t>
        </is>
      </c>
      <c r="B476" s="7" t="n">
        <v>2227</v>
      </c>
      <c r="C476" s="7" t="inlineStr">
        <is>
          <t>Huyện Tuy Đức</t>
        </is>
      </c>
      <c r="D476" s="7" t="n">
        <v>630805</v>
      </c>
      <c r="E476" s="7" t="inlineStr">
        <is>
          <t>Xã Quảng Tân</t>
        </is>
      </c>
      <c r="F476" s="7" t="n">
        <v>20269000</v>
      </c>
      <c r="G476" s="7" t="inlineStr">
        <is>
          <t>Bưu Cục 01 Nguyễn Tất Thành-Đắk R lấp-Đắk Nông</t>
        </is>
      </c>
      <c r="H476" s="15" t="n">
        <v>20269000</v>
      </c>
      <c r="I476" s="15" t="inlineStr">
        <is>
          <t>Bưu Cục 01 Nguyễn Tất Thành-Đắk R lấp-Đắk Nông</t>
        </is>
      </c>
      <c r="J476" s="15" t="b">
        <v>0</v>
      </c>
      <c r="K476" s="15" t="inlineStr">
        <is>
          <t>C</t>
        </is>
      </c>
      <c r="L476" s="16" t="n">
        <v>0</v>
      </c>
      <c r="M476" s="15" t="n"/>
      <c r="N476" s="15" t="n"/>
      <c r="O476" s="15" t="inlineStr">
        <is>
          <t>Chưa mở</t>
        </is>
      </c>
      <c r="P476" s="15" t="n"/>
    </row>
    <row r="477" hidden="1" ht="15.75" customHeight="1" s="57">
      <c r="A477" s="7" t="inlineStr">
        <is>
          <t>Đắk Nông</t>
        </is>
      </c>
      <c r="B477" s="7" t="n">
        <v>2227</v>
      </c>
      <c r="C477" s="7" t="inlineStr">
        <is>
          <t>Huyện Tuy Đức</t>
        </is>
      </c>
      <c r="D477" s="7" t="n">
        <v>630806</v>
      </c>
      <c r="E477" s="7" t="inlineStr">
        <is>
          <t>Xã Quảng Trực</t>
        </is>
      </c>
      <c r="F477" s="7" t="n">
        <v>20590000</v>
      </c>
      <c r="G477" s="7" t="inlineStr">
        <is>
          <t>Bưu Cục Thôn 2-Tuy Đức-Đắk Nông</t>
        </is>
      </c>
      <c r="H477" s="15" t="n">
        <v>20590000</v>
      </c>
      <c r="I477" s="15" t="inlineStr">
        <is>
          <t>Bưu Cục Thôn 2-Tuy Đức-Đắk Nông</t>
        </is>
      </c>
      <c r="J477" s="15" t="b">
        <v>0</v>
      </c>
      <c r="K477" s="15" t="inlineStr">
        <is>
          <t>C</t>
        </is>
      </c>
      <c r="L477" s="16" t="n">
        <v>0</v>
      </c>
      <c r="M477" s="15" t="n"/>
      <c r="N477" s="15" t="n"/>
      <c r="O477" s="15" t="inlineStr">
        <is>
          <t>Chưa mở</t>
        </is>
      </c>
      <c r="P477" s="15" t="n"/>
    </row>
    <row r="478" hidden="1" ht="15.75" customHeight="1" s="57">
      <c r="A478" s="7" t="inlineStr">
        <is>
          <t>Ninh Thuận</t>
        </is>
      </c>
      <c r="B478" s="7" t="n">
        <v>3129</v>
      </c>
      <c r="C478" s="7" t="inlineStr">
        <is>
          <t>Huyện Bác Ái</t>
        </is>
      </c>
      <c r="D478" s="7" t="n">
        <v>450501</v>
      </c>
      <c r="E478" s="7" t="inlineStr">
        <is>
          <t>Xã Phước Bình</t>
        </is>
      </c>
      <c r="F478" s="7" t="n">
        <v>20316000</v>
      </c>
      <c r="G478" s="7" t="inlineStr">
        <is>
          <t>Bưu Cục 26A Lê Duẩn-Ninh Sơn-Ninh Thuận</t>
        </is>
      </c>
      <c r="H478" s="15" t="n">
        <v>20316000</v>
      </c>
      <c r="I478" s="15" t="inlineStr">
        <is>
          <t>Bưu Cục 26A Lê Duẩn-Ninh Sơn-Ninh Thuận</t>
        </is>
      </c>
      <c r="J478" s="15" t="b">
        <v>0</v>
      </c>
      <c r="K478" s="15" t="inlineStr">
        <is>
          <t>C</t>
        </is>
      </c>
      <c r="L478" s="16" t="n">
        <v>0</v>
      </c>
      <c r="M478" s="15" t="n"/>
      <c r="N478" s="15" t="n"/>
      <c r="O478" s="15" t="inlineStr">
        <is>
          <t>Chưa mở</t>
        </is>
      </c>
      <c r="P478" s="15" t="n"/>
    </row>
    <row r="479" hidden="1" ht="15.75" customHeight="1" s="57">
      <c r="A479" s="7" t="inlineStr">
        <is>
          <t>Ninh Thuận</t>
        </is>
      </c>
      <c r="B479" s="7" t="n">
        <v>3129</v>
      </c>
      <c r="C479" s="7" t="inlineStr">
        <is>
          <t>Huyện Bác Ái</t>
        </is>
      </c>
      <c r="D479" s="7" t="n">
        <v>450502</v>
      </c>
      <c r="E479" s="7" t="inlineStr">
        <is>
          <t>Xã Phước Chính</t>
        </is>
      </c>
      <c r="F479" s="7" t="n">
        <v>20316000</v>
      </c>
      <c r="G479" s="7" t="inlineStr">
        <is>
          <t>Bưu Cục 26A Lê Duẩn-Ninh Sơn-Ninh Thuận</t>
        </is>
      </c>
      <c r="H479" s="15" t="n">
        <v>20316000</v>
      </c>
      <c r="I479" s="15" t="inlineStr">
        <is>
          <t>Bưu Cục 26A Lê Duẩn-Ninh Sơn-Ninh Thuận</t>
        </is>
      </c>
      <c r="J479" s="15" t="b">
        <v>0</v>
      </c>
      <c r="K479" s="15" t="inlineStr">
        <is>
          <t>C</t>
        </is>
      </c>
      <c r="L479" s="16" t="n">
        <v>0</v>
      </c>
      <c r="M479" s="15" t="n"/>
      <c r="N479" s="15" t="n"/>
      <c r="O479" s="15" t="inlineStr">
        <is>
          <t>Chưa mở</t>
        </is>
      </c>
      <c r="P479" s="15" t="n"/>
    </row>
    <row r="480" hidden="1" ht="15.75" customHeight="1" s="57">
      <c r="A480" s="7" t="inlineStr">
        <is>
          <t>Ninh Thuận</t>
        </is>
      </c>
      <c r="B480" s="7" t="n">
        <v>3129</v>
      </c>
      <c r="C480" s="7" t="inlineStr">
        <is>
          <t>Huyện Bác Ái</t>
        </is>
      </c>
      <c r="D480" s="7" t="n">
        <v>450503</v>
      </c>
      <c r="E480" s="7" t="inlineStr">
        <is>
          <t>Xã Phước Đại</t>
        </is>
      </c>
      <c r="F480" s="7" t="n">
        <v>20316000</v>
      </c>
      <c r="G480" s="7" t="inlineStr">
        <is>
          <t>Bưu Cục 26A Lê Duẩn-Ninh Sơn-Ninh Thuận</t>
        </is>
      </c>
      <c r="H480" s="15" t="n">
        <v>20316000</v>
      </c>
      <c r="I480" s="15" t="inlineStr">
        <is>
          <t>Bưu Cục 26A Lê Duẩn-Ninh Sơn-Ninh Thuận</t>
        </is>
      </c>
      <c r="J480" s="15" t="b">
        <v>0</v>
      </c>
      <c r="K480" s="15" t="inlineStr">
        <is>
          <t>C</t>
        </is>
      </c>
      <c r="L480" s="16" t="n">
        <v>0</v>
      </c>
      <c r="M480" s="15" t="n"/>
      <c r="N480" s="15" t="n"/>
      <c r="O480" s="15" t="inlineStr">
        <is>
          <t>Chưa mở</t>
        </is>
      </c>
      <c r="P480" s="15" t="n"/>
    </row>
    <row r="481" hidden="1" ht="15.75" customHeight="1" s="57">
      <c r="A481" s="7" t="inlineStr">
        <is>
          <t>Ninh Thuận</t>
        </is>
      </c>
      <c r="B481" s="7" t="n">
        <v>3129</v>
      </c>
      <c r="C481" s="7" t="inlineStr">
        <is>
          <t>Huyện Bác Ái</t>
        </is>
      </c>
      <c r="D481" s="7" t="n">
        <v>450504</v>
      </c>
      <c r="E481" s="7" t="inlineStr">
        <is>
          <t>Xã Phước Hòa</t>
        </is>
      </c>
      <c r="F481" s="7" t="n">
        <v>20316000</v>
      </c>
      <c r="G481" s="7" t="inlineStr">
        <is>
          <t>Bưu Cục 26A Lê Duẩn-Ninh Sơn-Ninh Thuận</t>
        </is>
      </c>
      <c r="H481" s="15" t="n">
        <v>20316000</v>
      </c>
      <c r="I481" s="15" t="inlineStr">
        <is>
          <t>Bưu Cục 26A Lê Duẩn-Ninh Sơn-Ninh Thuận</t>
        </is>
      </c>
      <c r="J481" s="15" t="b">
        <v>0</v>
      </c>
      <c r="K481" s="15" t="inlineStr">
        <is>
          <t>C</t>
        </is>
      </c>
      <c r="L481" s="16" t="n">
        <v>0</v>
      </c>
      <c r="M481" s="15" t="n"/>
      <c r="N481" s="15" t="n"/>
      <c r="O481" s="15" t="inlineStr">
        <is>
          <t>Chưa mở</t>
        </is>
      </c>
      <c r="P481" s="15" t="n"/>
    </row>
    <row r="482" hidden="1" ht="15.75" customHeight="1" s="57">
      <c r="A482" s="7" t="inlineStr">
        <is>
          <t>Ninh Thuận</t>
        </is>
      </c>
      <c r="B482" s="7" t="n">
        <v>3129</v>
      </c>
      <c r="C482" s="7" t="inlineStr">
        <is>
          <t>Huyện Bác Ái</t>
        </is>
      </c>
      <c r="D482" s="7" t="n">
        <v>450505</v>
      </c>
      <c r="E482" s="7" t="inlineStr">
        <is>
          <t>Xã Phước Tân</t>
        </is>
      </c>
      <c r="F482" s="7" t="n">
        <v>20316000</v>
      </c>
      <c r="G482" s="7" t="inlineStr">
        <is>
          <t>Bưu Cục 26A Lê Duẩn-Ninh Sơn-Ninh Thuận</t>
        </is>
      </c>
      <c r="H482" s="15" t="n">
        <v>20316000</v>
      </c>
      <c r="I482" s="15" t="inlineStr">
        <is>
          <t>Bưu Cục 26A Lê Duẩn-Ninh Sơn-Ninh Thuận</t>
        </is>
      </c>
      <c r="J482" s="15" t="b">
        <v>0</v>
      </c>
      <c r="K482" s="15" t="inlineStr">
        <is>
          <t>C</t>
        </is>
      </c>
      <c r="L482" s="16" t="n">
        <v>0</v>
      </c>
      <c r="M482" s="15" t="n"/>
      <c r="N482" s="15" t="n"/>
      <c r="O482" s="15" t="inlineStr">
        <is>
          <t>Chưa mở</t>
        </is>
      </c>
      <c r="P482" s="15" t="n"/>
    </row>
    <row r="483" hidden="1" ht="15.75" customHeight="1" s="57">
      <c r="A483" s="7" t="inlineStr">
        <is>
          <t>Ninh Thuận</t>
        </is>
      </c>
      <c r="B483" s="7" t="n">
        <v>3129</v>
      </c>
      <c r="C483" s="7" t="inlineStr">
        <is>
          <t>Huyện Bác Ái</t>
        </is>
      </c>
      <c r="D483" s="7" t="n">
        <v>450506</v>
      </c>
      <c r="E483" s="7" t="inlineStr">
        <is>
          <t>Xã Phước Thắng</t>
        </is>
      </c>
      <c r="F483" s="7" t="n">
        <v>20316000</v>
      </c>
      <c r="G483" s="7" t="inlineStr">
        <is>
          <t>Bưu Cục 26A Lê Duẩn-Ninh Sơn-Ninh Thuận</t>
        </is>
      </c>
      <c r="H483" s="15" t="n">
        <v>20316000</v>
      </c>
      <c r="I483" s="15" t="inlineStr">
        <is>
          <t>Bưu Cục 26A Lê Duẩn-Ninh Sơn-Ninh Thuận</t>
        </is>
      </c>
      <c r="J483" s="15" t="b">
        <v>0</v>
      </c>
      <c r="K483" s="15" t="inlineStr">
        <is>
          <t>C</t>
        </is>
      </c>
      <c r="L483" s="16" t="n">
        <v>0</v>
      </c>
      <c r="M483" s="15" t="n"/>
      <c r="N483" s="15" t="n"/>
      <c r="O483" s="15" t="inlineStr">
        <is>
          <t>Chưa mở</t>
        </is>
      </c>
      <c r="P483" s="15" t="n"/>
    </row>
    <row r="484" hidden="1" ht="15.75" customHeight="1" s="57">
      <c r="A484" s="7" t="inlineStr">
        <is>
          <t>Ninh Thuận</t>
        </is>
      </c>
      <c r="B484" s="7" t="n">
        <v>3129</v>
      </c>
      <c r="C484" s="7" t="inlineStr">
        <is>
          <t>Huyện Bác Ái</t>
        </is>
      </c>
      <c r="D484" s="7" t="n">
        <v>450507</v>
      </c>
      <c r="E484" s="7" t="inlineStr">
        <is>
          <t>Xã Phước Thành</t>
        </is>
      </c>
      <c r="F484" s="7" t="n">
        <v>20316000</v>
      </c>
      <c r="G484" s="7" t="inlineStr">
        <is>
          <t>Bưu Cục 26A Lê Duẩn-Ninh Sơn-Ninh Thuận</t>
        </is>
      </c>
      <c r="H484" s="15" t="n">
        <v>20316000</v>
      </c>
      <c r="I484" s="15" t="inlineStr">
        <is>
          <t>Bưu Cục 26A Lê Duẩn-Ninh Sơn-Ninh Thuận</t>
        </is>
      </c>
      <c r="J484" s="15" t="b">
        <v>0</v>
      </c>
      <c r="K484" s="15" t="inlineStr">
        <is>
          <t>C</t>
        </is>
      </c>
      <c r="L484" s="16" t="n">
        <v>0</v>
      </c>
      <c r="M484" s="15" t="n"/>
      <c r="N484" s="15" t="n"/>
      <c r="O484" s="15" t="inlineStr">
        <is>
          <t>Chưa mở</t>
        </is>
      </c>
      <c r="P484" s="15" t="n"/>
    </row>
    <row r="485" hidden="1" ht="15.75" customHeight="1" s="57">
      <c r="A485" s="7" t="inlineStr">
        <is>
          <t>Ninh Thuận</t>
        </is>
      </c>
      <c r="B485" s="7" t="n">
        <v>3129</v>
      </c>
      <c r="C485" s="7" t="inlineStr">
        <is>
          <t>Huyện Bác Ái</t>
        </is>
      </c>
      <c r="D485" s="7" t="n">
        <v>450508</v>
      </c>
      <c r="E485" s="7" t="inlineStr">
        <is>
          <t>Xã Phước Tiến</t>
        </is>
      </c>
      <c r="F485" s="7" t="n">
        <v>20316000</v>
      </c>
      <c r="G485" s="7" t="inlineStr">
        <is>
          <t>Bưu Cục 26A Lê Duẩn-Ninh Sơn-Ninh Thuận</t>
        </is>
      </c>
      <c r="H485" s="15" t="n">
        <v>20316000</v>
      </c>
      <c r="I485" s="15" t="inlineStr">
        <is>
          <t>Bưu Cục 26A Lê Duẩn-Ninh Sơn-Ninh Thuận</t>
        </is>
      </c>
      <c r="J485" s="15" t="b">
        <v>0</v>
      </c>
      <c r="K485" s="15" t="inlineStr">
        <is>
          <t>C</t>
        </is>
      </c>
      <c r="L485" s="16" t="n">
        <v>0</v>
      </c>
      <c r="M485" s="15" t="n"/>
      <c r="N485" s="15" t="n"/>
      <c r="O485" s="15" t="inlineStr">
        <is>
          <t>Chưa mở</t>
        </is>
      </c>
      <c r="P485" s="15" t="n"/>
    </row>
    <row r="486" hidden="1" ht="15.75" customHeight="1" s="57">
      <c r="A486" s="7" t="inlineStr">
        <is>
          <t>Ninh Thuận</t>
        </is>
      </c>
      <c r="B486" s="7" t="n">
        <v>3129</v>
      </c>
      <c r="C486" s="7" t="inlineStr">
        <is>
          <t>Huyện Bác Ái</t>
        </is>
      </c>
      <c r="D486" s="7" t="n">
        <v>450509</v>
      </c>
      <c r="E486" s="7" t="inlineStr">
        <is>
          <t>Xã Phước Trung</t>
        </is>
      </c>
      <c r="F486" s="7" t="n">
        <v>20316000</v>
      </c>
      <c r="G486" s="7" t="inlineStr">
        <is>
          <t>Bưu Cục 26A Lê Duẩn-Ninh Sơn-Ninh Thuận</t>
        </is>
      </c>
      <c r="H486" s="15" t="n">
        <v>20316000</v>
      </c>
      <c r="I486" s="15" t="inlineStr">
        <is>
          <t>Bưu Cục 26A Lê Duẩn-Ninh Sơn-Ninh Thuận</t>
        </is>
      </c>
      <c r="J486" s="15" t="b">
        <v>0</v>
      </c>
      <c r="K486" s="15" t="inlineStr">
        <is>
          <t>C</t>
        </is>
      </c>
      <c r="L486" s="16" t="n">
        <v>0</v>
      </c>
      <c r="M486" s="15" t="n"/>
      <c r="N486" s="15" t="n"/>
      <c r="O486" s="15" t="inlineStr">
        <is>
          <t>Chưa mở</t>
        </is>
      </c>
      <c r="P486" s="15" t="n"/>
    </row>
    <row r="487" hidden="1" ht="15.75" customHeight="1" s="57">
      <c r="A487" s="7" t="inlineStr">
        <is>
          <t>Lâm Đồng</t>
        </is>
      </c>
      <c r="B487" s="7" t="n">
        <v>3146</v>
      </c>
      <c r="C487" s="7" t="inlineStr">
        <is>
          <t>Huyện Cát Tiên</t>
        </is>
      </c>
      <c r="D487" s="7" t="n">
        <v>420901</v>
      </c>
      <c r="E487" s="7" t="inlineStr">
        <is>
          <t>Thị trấn Cát Tiên</t>
        </is>
      </c>
      <c r="F487" s="7" t="n">
        <v>20669000</v>
      </c>
      <c r="G487" s="7" t="inlineStr">
        <is>
          <t xml:space="preserve">Bưu Cục Đường Trần Lê-Cát Tiên-Lâm Đồng </t>
        </is>
      </c>
      <c r="H487" s="15" t="n">
        <v>20669000</v>
      </c>
      <c r="I487" s="15" t="inlineStr">
        <is>
          <t xml:space="preserve">Bưu Cục Đường Trần Lê-Cát Tiên-Lâm Đồng </t>
        </is>
      </c>
      <c r="J487" s="15" t="b">
        <v>0</v>
      </c>
      <c r="K487" s="15" t="inlineStr">
        <is>
          <t>C</t>
        </is>
      </c>
      <c r="L487" s="16" t="n">
        <v>0</v>
      </c>
      <c r="M487" s="15" t="n"/>
      <c r="N487" s="15" t="n"/>
      <c r="O487" s="15" t="inlineStr">
        <is>
          <t>Chưa mở</t>
        </is>
      </c>
      <c r="P487" s="15" t="n"/>
    </row>
    <row r="488" hidden="1" ht="15.75" customHeight="1" s="57">
      <c r="A488" s="7" t="inlineStr">
        <is>
          <t>Lâm Đồng</t>
        </is>
      </c>
      <c r="B488" s="7" t="n">
        <v>3146</v>
      </c>
      <c r="C488" s="7" t="inlineStr">
        <is>
          <t>Huyện Cát Tiên</t>
        </is>
      </c>
      <c r="D488" s="7" t="n">
        <v>420902</v>
      </c>
      <c r="E488" s="7" t="inlineStr">
        <is>
          <t>Xã Đồng Nai Thượng</t>
        </is>
      </c>
      <c r="F488" s="7" t="n">
        <v>20669000</v>
      </c>
      <c r="G488" s="7" t="inlineStr">
        <is>
          <t xml:space="preserve">Bưu Cục Đường Trần Lê-Cát Tiên-Lâm Đồng </t>
        </is>
      </c>
      <c r="H488" s="15" t="n">
        <v>20669000</v>
      </c>
      <c r="I488" s="15" t="inlineStr">
        <is>
          <t xml:space="preserve">Bưu Cục Đường Trần Lê-Cát Tiên-Lâm Đồng </t>
        </is>
      </c>
      <c r="J488" s="15" t="b">
        <v>0</v>
      </c>
      <c r="K488" s="15" t="inlineStr">
        <is>
          <t>C</t>
        </is>
      </c>
      <c r="L488" s="16" t="n">
        <v>0</v>
      </c>
      <c r="M488" s="15" t="n"/>
      <c r="N488" s="15" t="n"/>
      <c r="O488" s="15" t="inlineStr">
        <is>
          <t>Chưa mở</t>
        </is>
      </c>
      <c r="P488" s="15" t="n"/>
    </row>
    <row r="489" hidden="1" ht="15.75" customHeight="1" s="57">
      <c r="A489" s="7" t="inlineStr">
        <is>
          <t>Lâm Đồng</t>
        </is>
      </c>
      <c r="B489" s="7" t="n">
        <v>3146</v>
      </c>
      <c r="C489" s="7" t="inlineStr">
        <is>
          <t>Huyện Cát Tiên</t>
        </is>
      </c>
      <c r="D489" s="7" t="n">
        <v>420903</v>
      </c>
      <c r="E489" s="7" t="inlineStr">
        <is>
          <t>Xã Đức Phổ</t>
        </is>
      </c>
      <c r="F489" s="7" t="n">
        <v>20669000</v>
      </c>
      <c r="G489" s="7" t="inlineStr">
        <is>
          <t xml:space="preserve">Bưu Cục Đường Trần Lê-Cát Tiên-Lâm Đồng </t>
        </is>
      </c>
      <c r="H489" s="15" t="n">
        <v>20669000</v>
      </c>
      <c r="I489" s="15" t="inlineStr">
        <is>
          <t xml:space="preserve">Bưu Cục Đường Trần Lê-Cát Tiên-Lâm Đồng </t>
        </is>
      </c>
      <c r="J489" s="15" t="b">
        <v>0</v>
      </c>
      <c r="K489" s="15" t="inlineStr">
        <is>
          <t>C</t>
        </is>
      </c>
      <c r="L489" s="16" t="n">
        <v>0</v>
      </c>
      <c r="M489" s="15" t="n"/>
      <c r="N489" s="15" t="n"/>
      <c r="O489" s="15" t="inlineStr">
        <is>
          <t>Chưa mở</t>
        </is>
      </c>
      <c r="P489" s="15" t="n"/>
    </row>
    <row r="490" hidden="1" ht="15.75" customHeight="1" s="57">
      <c r="A490" s="7" t="inlineStr">
        <is>
          <t>Lâm Đồng</t>
        </is>
      </c>
      <c r="B490" s="7" t="n">
        <v>3146</v>
      </c>
      <c r="C490" s="7" t="inlineStr">
        <is>
          <t>Huyện Cát Tiên</t>
        </is>
      </c>
      <c r="D490" s="7" t="n">
        <v>420904</v>
      </c>
      <c r="E490" s="7" t="inlineStr">
        <is>
          <t>Xã Gia Viễn</t>
        </is>
      </c>
      <c r="F490" s="7" t="n">
        <v>20669000</v>
      </c>
      <c r="G490" s="7" t="inlineStr">
        <is>
          <t xml:space="preserve">Bưu Cục Đường Trần Lê-Cát Tiên-Lâm Đồng </t>
        </is>
      </c>
      <c r="H490" s="15" t="n">
        <v>20669000</v>
      </c>
      <c r="I490" s="15" t="inlineStr">
        <is>
          <t xml:space="preserve">Bưu Cục Đường Trần Lê-Cát Tiên-Lâm Đồng </t>
        </is>
      </c>
      <c r="J490" s="15" t="b">
        <v>0</v>
      </c>
      <c r="K490" s="15" t="inlineStr">
        <is>
          <t>C</t>
        </is>
      </c>
      <c r="L490" s="16" t="n">
        <v>0</v>
      </c>
      <c r="M490" s="15" t="n"/>
      <c r="N490" s="15" t="n"/>
      <c r="O490" s="15" t="inlineStr">
        <is>
          <t>Chưa mở</t>
        </is>
      </c>
      <c r="P490" s="15" t="n"/>
    </row>
    <row r="491" hidden="1" ht="15.75" customHeight="1" s="57">
      <c r="A491" s="7" t="inlineStr">
        <is>
          <t>Lâm Đồng</t>
        </is>
      </c>
      <c r="B491" s="7" t="n">
        <v>3146</v>
      </c>
      <c r="C491" s="7" t="inlineStr">
        <is>
          <t>Huyện Cát Tiên</t>
        </is>
      </c>
      <c r="D491" s="7" t="n">
        <v>420905</v>
      </c>
      <c r="E491" s="7" t="inlineStr">
        <is>
          <t>Xã Mỹ Lâm</t>
        </is>
      </c>
      <c r="F491" s="7" t="n">
        <v>20669000</v>
      </c>
      <c r="G491" s="7" t="inlineStr">
        <is>
          <t xml:space="preserve">Bưu Cục Đường Trần Lê-Cát Tiên-Lâm Đồng </t>
        </is>
      </c>
      <c r="H491" s="15" t="n">
        <v>20669000</v>
      </c>
      <c r="I491" s="15" t="inlineStr">
        <is>
          <t xml:space="preserve">Bưu Cục Đường Trần Lê-Cát Tiên-Lâm Đồng </t>
        </is>
      </c>
      <c r="J491" s="15" t="b">
        <v>0</v>
      </c>
      <c r="K491" s="15" t="inlineStr">
        <is>
          <t>C</t>
        </is>
      </c>
      <c r="L491" s="16" t="n">
        <v>0</v>
      </c>
      <c r="M491" s="15" t="n"/>
      <c r="N491" s="15" t="n"/>
      <c r="O491" s="15" t="inlineStr">
        <is>
          <t>Chưa mở</t>
        </is>
      </c>
      <c r="P491" s="15" t="n"/>
    </row>
    <row r="492" hidden="1" ht="15.75" customHeight="1" s="57">
      <c r="A492" s="7" t="inlineStr">
        <is>
          <t>Lâm Đồng</t>
        </is>
      </c>
      <c r="B492" s="7" t="n">
        <v>3146</v>
      </c>
      <c r="C492" s="7" t="inlineStr">
        <is>
          <t>Huyện Cát Tiên</t>
        </is>
      </c>
      <c r="D492" s="7" t="n">
        <v>420906</v>
      </c>
      <c r="E492" s="7" t="inlineStr">
        <is>
          <t>Xã Nam Ninh</t>
        </is>
      </c>
      <c r="F492" s="7" t="n">
        <v>20669000</v>
      </c>
      <c r="G492" s="7" t="inlineStr">
        <is>
          <t xml:space="preserve">Bưu Cục Đường Trần Lê-Cát Tiên-Lâm Đồng </t>
        </is>
      </c>
      <c r="H492" s="15" t="n">
        <v>20669000</v>
      </c>
      <c r="I492" s="15" t="inlineStr">
        <is>
          <t xml:space="preserve">Bưu Cục Đường Trần Lê-Cát Tiên-Lâm Đồng </t>
        </is>
      </c>
      <c r="J492" s="15" t="b">
        <v>0</v>
      </c>
      <c r="K492" s="15" t="inlineStr">
        <is>
          <t>C</t>
        </is>
      </c>
      <c r="L492" s="16" t="n">
        <v>0</v>
      </c>
      <c r="M492" s="15" t="n"/>
      <c r="N492" s="15" t="n"/>
      <c r="O492" s="15" t="inlineStr">
        <is>
          <t>Chưa mở</t>
        </is>
      </c>
      <c r="P492" s="15" t="n"/>
    </row>
    <row r="493" hidden="1" ht="15.75" customHeight="1" s="57">
      <c r="A493" s="7" t="inlineStr">
        <is>
          <t>Lâm Đồng</t>
        </is>
      </c>
      <c r="B493" s="7" t="n">
        <v>3146</v>
      </c>
      <c r="C493" s="7" t="inlineStr">
        <is>
          <t>Huyện Cát Tiên</t>
        </is>
      </c>
      <c r="D493" s="7" t="n">
        <v>420907</v>
      </c>
      <c r="E493" s="7" t="inlineStr">
        <is>
          <t>Xã Phước Cát 1</t>
        </is>
      </c>
      <c r="F493" s="7" t="n">
        <v>20669000</v>
      </c>
      <c r="G493" s="7" t="inlineStr">
        <is>
          <t xml:space="preserve">Bưu Cục Đường Trần Lê-Cát Tiên-Lâm Đồng </t>
        </is>
      </c>
      <c r="H493" s="15" t="n">
        <v>20669000</v>
      </c>
      <c r="I493" s="15" t="inlineStr">
        <is>
          <t xml:space="preserve">Bưu Cục Đường Trần Lê-Cát Tiên-Lâm Đồng </t>
        </is>
      </c>
      <c r="J493" s="15" t="b">
        <v>0</v>
      </c>
      <c r="K493" s="15" t="inlineStr">
        <is>
          <t>C</t>
        </is>
      </c>
      <c r="L493" s="16" t="n">
        <v>0</v>
      </c>
      <c r="M493" s="15" t="n"/>
      <c r="N493" s="15" t="n"/>
      <c r="O493" s="15" t="inlineStr">
        <is>
          <t>Chưa mở</t>
        </is>
      </c>
      <c r="P493" s="15" t="n"/>
    </row>
    <row r="494" hidden="1" ht="15.75" customHeight="1" s="57">
      <c r="A494" s="7" t="inlineStr">
        <is>
          <t>Lâm Đồng</t>
        </is>
      </c>
      <c r="B494" s="7" t="n">
        <v>3146</v>
      </c>
      <c r="C494" s="7" t="inlineStr">
        <is>
          <t>Huyện Cát Tiên</t>
        </is>
      </c>
      <c r="D494" s="7" t="n">
        <v>420908</v>
      </c>
      <c r="E494" s="7" t="inlineStr">
        <is>
          <t>Xã Phước Cát 2</t>
        </is>
      </c>
      <c r="F494" s="7" t="n">
        <v>20669000</v>
      </c>
      <c r="G494" s="7" t="inlineStr">
        <is>
          <t xml:space="preserve">Bưu Cục Đường Trần Lê-Cát Tiên-Lâm Đồng </t>
        </is>
      </c>
      <c r="H494" s="15" t="n">
        <v>20669000</v>
      </c>
      <c r="I494" s="15" t="inlineStr">
        <is>
          <t xml:space="preserve">Bưu Cục Đường Trần Lê-Cát Tiên-Lâm Đồng </t>
        </is>
      </c>
      <c r="J494" s="15" t="b">
        <v>0</v>
      </c>
      <c r="K494" s="15" t="inlineStr">
        <is>
          <t>C</t>
        </is>
      </c>
      <c r="L494" s="16" t="n">
        <v>0</v>
      </c>
      <c r="M494" s="15" t="n"/>
      <c r="N494" s="15" t="n"/>
      <c r="O494" s="15" t="inlineStr">
        <is>
          <t>Chưa mở</t>
        </is>
      </c>
      <c r="P494" s="15" t="n"/>
    </row>
    <row r="495" hidden="1" ht="15.75" customHeight="1" s="57">
      <c r="A495" s="7" t="inlineStr">
        <is>
          <t>Lâm Đồng</t>
        </is>
      </c>
      <c r="B495" s="7" t="n">
        <v>3146</v>
      </c>
      <c r="C495" s="7" t="inlineStr">
        <is>
          <t>Huyện Cát Tiên</t>
        </is>
      </c>
      <c r="D495" s="7" t="n">
        <v>420909</v>
      </c>
      <c r="E495" s="7" t="inlineStr">
        <is>
          <t>Xã Quảng Ngãi</t>
        </is>
      </c>
      <c r="F495" s="7" t="n">
        <v>20669000</v>
      </c>
      <c r="G495" s="7" t="inlineStr">
        <is>
          <t xml:space="preserve">Bưu Cục Đường Trần Lê-Cát Tiên-Lâm Đồng </t>
        </is>
      </c>
      <c r="H495" s="15" t="n">
        <v>20669000</v>
      </c>
      <c r="I495" s="15" t="inlineStr">
        <is>
          <t xml:space="preserve">Bưu Cục Đường Trần Lê-Cát Tiên-Lâm Đồng </t>
        </is>
      </c>
      <c r="J495" s="15" t="b">
        <v>0</v>
      </c>
      <c r="K495" s="15" t="inlineStr">
        <is>
          <t>C</t>
        </is>
      </c>
      <c r="L495" s="16" t="n">
        <v>0</v>
      </c>
      <c r="M495" s="15" t="n"/>
      <c r="N495" s="15" t="n"/>
      <c r="O495" s="15" t="inlineStr">
        <is>
          <t>Chưa mở</t>
        </is>
      </c>
      <c r="P495" s="15" t="n"/>
    </row>
    <row r="496" hidden="1" ht="15.75" customHeight="1" s="57">
      <c r="A496" s="7" t="inlineStr">
        <is>
          <t>Lâm Đồng</t>
        </is>
      </c>
      <c r="B496" s="7" t="n">
        <v>3146</v>
      </c>
      <c r="C496" s="7" t="inlineStr">
        <is>
          <t>Huyện Cát Tiên</t>
        </is>
      </c>
      <c r="D496" s="7" t="n">
        <v>420910</v>
      </c>
      <c r="E496" s="7" t="inlineStr">
        <is>
          <t>Xã Tiên Hoàng</t>
        </is>
      </c>
      <c r="F496" s="7" t="n">
        <v>20669000</v>
      </c>
      <c r="G496" s="7" t="inlineStr">
        <is>
          <t xml:space="preserve">Bưu Cục Đường Trần Lê-Cát Tiên-Lâm Đồng </t>
        </is>
      </c>
      <c r="H496" s="15" t="n">
        <v>20669000</v>
      </c>
      <c r="I496" s="15" t="inlineStr">
        <is>
          <t xml:space="preserve">Bưu Cục Đường Trần Lê-Cát Tiên-Lâm Đồng </t>
        </is>
      </c>
      <c r="J496" s="15" t="b">
        <v>0</v>
      </c>
      <c r="K496" s="15" t="inlineStr">
        <is>
          <t>C</t>
        </is>
      </c>
      <c r="L496" s="16" t="n">
        <v>0</v>
      </c>
      <c r="M496" s="15" t="n"/>
      <c r="N496" s="15" t="n"/>
      <c r="O496" s="15" t="inlineStr">
        <is>
          <t>Chưa mở</t>
        </is>
      </c>
      <c r="P496" s="15" t="n"/>
    </row>
    <row r="497" hidden="1" ht="15.75" customHeight="1" s="57">
      <c r="A497" s="7" t="inlineStr">
        <is>
          <t>Lâm Đồng</t>
        </is>
      </c>
      <c r="B497" s="7" t="n">
        <v>3146</v>
      </c>
      <c r="C497" s="7" t="inlineStr">
        <is>
          <t>Huyện Cát Tiên</t>
        </is>
      </c>
      <c r="D497" s="7" t="n">
        <v>420911</v>
      </c>
      <c r="E497" s="7" t="inlineStr">
        <is>
          <t>Xã Tư Nghĩa</t>
        </is>
      </c>
      <c r="F497" s="7" t="n">
        <v>20669000</v>
      </c>
      <c r="G497" s="7" t="inlineStr">
        <is>
          <t xml:space="preserve">Bưu Cục Đường Trần Lê-Cát Tiên-Lâm Đồng </t>
        </is>
      </c>
      <c r="H497" s="15" t="n">
        <v>20669000</v>
      </c>
      <c r="I497" s="15" t="inlineStr">
        <is>
          <t xml:space="preserve">Bưu Cục Đường Trần Lê-Cát Tiên-Lâm Đồng </t>
        </is>
      </c>
      <c r="J497" s="15" t="b">
        <v>0</v>
      </c>
      <c r="K497" s="15" t="inlineStr">
        <is>
          <t>C</t>
        </is>
      </c>
      <c r="L497" s="16" t="n">
        <v>0</v>
      </c>
      <c r="M497" s="15" t="n"/>
      <c r="N497" s="15" t="n"/>
      <c r="O497" s="15" t="inlineStr">
        <is>
          <t>Chưa mở</t>
        </is>
      </c>
      <c r="P497" s="15" t="n"/>
    </row>
    <row r="498" hidden="1" ht="15.75" customHeight="1" s="57">
      <c r="A498" s="7" t="inlineStr">
        <is>
          <t>Lâm Đồng</t>
        </is>
      </c>
      <c r="B498" s="7" t="n">
        <v>3146</v>
      </c>
      <c r="C498" s="7" t="inlineStr">
        <is>
          <t>Huyện Cát Tiên</t>
        </is>
      </c>
      <c r="D498" s="7" t="n">
        <v>800072</v>
      </c>
      <c r="E498" s="7" t="inlineStr">
        <is>
          <t>Thị Trấn Phước Cát</t>
        </is>
      </c>
      <c r="F498" s="7" t="n">
        <v>20669000</v>
      </c>
      <c r="G498" s="7" t="inlineStr">
        <is>
          <t xml:space="preserve">Bưu Cục Đường Trần Lê-Cát Tiên-Lâm Đồng </t>
        </is>
      </c>
      <c r="H498" s="15" t="n">
        <v>20669000</v>
      </c>
      <c r="I498" s="15" t="inlineStr">
        <is>
          <t xml:space="preserve">Bưu Cục Đường Trần Lê-Cát Tiên-Lâm Đồng </t>
        </is>
      </c>
      <c r="J498" s="15" t="b">
        <v>0</v>
      </c>
      <c r="K498" s="15" t="inlineStr">
        <is>
          <t>C</t>
        </is>
      </c>
      <c r="L498" s="16" t="n">
        <v>0</v>
      </c>
      <c r="M498" s="15" t="n"/>
      <c r="N498" s="15" t="n"/>
      <c r="O498" s="15" t="inlineStr">
        <is>
          <t>Chưa mở</t>
        </is>
      </c>
      <c r="P498" s="15" t="n"/>
    </row>
    <row r="499" hidden="1" ht="15.75" customHeight="1" s="57">
      <c r="A499" s="7" t="inlineStr">
        <is>
          <t>Đắk Nông</t>
        </is>
      </c>
      <c r="B499" s="7" t="n">
        <v>3152</v>
      </c>
      <c r="C499" s="7" t="inlineStr">
        <is>
          <t>Huyện Cư Jút</t>
        </is>
      </c>
      <c r="D499" s="7" t="n">
        <v>630401</v>
      </c>
      <c r="E499" s="7" t="inlineStr">
        <is>
          <t>Thị trấn Ea T'Ling</t>
        </is>
      </c>
      <c r="F499" s="7" t="n">
        <v>20673000</v>
      </c>
      <c r="G499" s="7" t="inlineStr">
        <is>
          <t>Bưu Cục 40 Nguyễn Văn Linh-Cư Jút-Đắk Nông</t>
        </is>
      </c>
      <c r="H499" s="15" t="n">
        <v>20673000</v>
      </c>
      <c r="I499" s="15" t="inlineStr">
        <is>
          <t>Bưu Cục 40 Nguyễn Văn Linh-Cư Jút-Đắk Nông</t>
        </is>
      </c>
      <c r="J499" s="15" t="b">
        <v>0</v>
      </c>
      <c r="K499" s="15" t="inlineStr">
        <is>
          <t>C</t>
        </is>
      </c>
      <c r="L499" s="16" t="n">
        <v>0</v>
      </c>
      <c r="M499" s="15" t="n"/>
      <c r="N499" s="15" t="n"/>
      <c r="O499" s="15" t="inlineStr">
        <is>
          <t>Chưa mở</t>
        </is>
      </c>
      <c r="P499" s="15" t="n"/>
    </row>
    <row r="500" hidden="1" ht="15.75" customHeight="1" s="57">
      <c r="A500" s="7" t="inlineStr">
        <is>
          <t>Đắk Nông</t>
        </is>
      </c>
      <c r="B500" s="7" t="n">
        <v>3152</v>
      </c>
      <c r="C500" s="7" t="inlineStr">
        <is>
          <t>Huyện Cư Jút</t>
        </is>
      </c>
      <c r="D500" s="7" t="n">
        <v>630402</v>
      </c>
      <c r="E500" s="7" t="inlineStr">
        <is>
          <t>Xã Cư Knia</t>
        </is>
      </c>
      <c r="F500" s="7" t="n">
        <v>20673000</v>
      </c>
      <c r="G500" s="7" t="inlineStr">
        <is>
          <t>Bưu Cục 40 Nguyễn Văn Linh-Cư Jút-Đắk Nông</t>
        </is>
      </c>
      <c r="H500" s="15" t="n">
        <v>20673000</v>
      </c>
      <c r="I500" s="15" t="inlineStr">
        <is>
          <t>Bưu Cục 40 Nguyễn Văn Linh-Cư Jút-Đắk Nông</t>
        </is>
      </c>
      <c r="J500" s="15" t="b">
        <v>0</v>
      </c>
      <c r="K500" s="15" t="inlineStr">
        <is>
          <t>C</t>
        </is>
      </c>
      <c r="L500" s="16" t="n">
        <v>0</v>
      </c>
      <c r="M500" s="15" t="n"/>
      <c r="N500" s="15" t="n"/>
      <c r="O500" s="15" t="inlineStr">
        <is>
          <t>Chưa mở</t>
        </is>
      </c>
      <c r="P500" s="15" t="n"/>
    </row>
    <row r="501" hidden="1" ht="15.75" customHeight="1" s="57">
      <c r="A501" s="7" t="inlineStr">
        <is>
          <t>Đắk Nông</t>
        </is>
      </c>
      <c r="B501" s="7" t="n">
        <v>3152</v>
      </c>
      <c r="C501" s="7" t="inlineStr">
        <is>
          <t>Huyện Cư Jút</t>
        </is>
      </c>
      <c r="D501" s="7" t="n">
        <v>630403</v>
      </c>
      <c r="E501" s="7" t="inlineStr">
        <is>
          <t>Xã Đắk DRông</t>
        </is>
      </c>
      <c r="F501" s="7" t="n">
        <v>20673000</v>
      </c>
      <c r="G501" s="7" t="inlineStr">
        <is>
          <t>Bưu Cục 40 Nguyễn Văn Linh-Cư Jút-Đắk Nông</t>
        </is>
      </c>
      <c r="H501" s="15" t="n">
        <v>20673000</v>
      </c>
      <c r="I501" s="15" t="inlineStr">
        <is>
          <t>Bưu Cục 40 Nguyễn Văn Linh-Cư Jút-Đắk Nông</t>
        </is>
      </c>
      <c r="J501" s="15" t="b">
        <v>0</v>
      </c>
      <c r="K501" s="15" t="inlineStr">
        <is>
          <t>C</t>
        </is>
      </c>
      <c r="L501" s="16" t="n">
        <v>0</v>
      </c>
      <c r="M501" s="15" t="n"/>
      <c r="N501" s="15" t="n"/>
      <c r="O501" s="15" t="inlineStr">
        <is>
          <t>Chưa mở</t>
        </is>
      </c>
      <c r="P501" s="15" t="n"/>
    </row>
    <row r="502" hidden="1" ht="15.75" customHeight="1" s="57">
      <c r="A502" s="7" t="inlineStr">
        <is>
          <t>Đắk Nông</t>
        </is>
      </c>
      <c r="B502" s="7" t="n">
        <v>3152</v>
      </c>
      <c r="C502" s="7" t="inlineStr">
        <is>
          <t>Huyện Cư Jút</t>
        </is>
      </c>
      <c r="D502" s="7" t="n">
        <v>630404</v>
      </c>
      <c r="E502" s="7" t="inlineStr">
        <is>
          <t>Xã Đắk Wil</t>
        </is>
      </c>
      <c r="F502" s="7" t="n">
        <v>20673000</v>
      </c>
      <c r="G502" s="7" t="inlineStr">
        <is>
          <t>Bưu Cục 40 Nguyễn Văn Linh-Cư Jút-Đắk Nông</t>
        </is>
      </c>
      <c r="H502" s="15" t="n">
        <v>20673000</v>
      </c>
      <c r="I502" s="15" t="inlineStr">
        <is>
          <t>Bưu Cục 40 Nguyễn Văn Linh-Cư Jút-Đắk Nông</t>
        </is>
      </c>
      <c r="J502" s="15" t="b">
        <v>0</v>
      </c>
      <c r="K502" s="15" t="inlineStr">
        <is>
          <t>C</t>
        </is>
      </c>
      <c r="L502" s="16" t="n">
        <v>0</v>
      </c>
      <c r="M502" s="15" t="n"/>
      <c r="N502" s="15" t="n"/>
      <c r="O502" s="15" t="inlineStr">
        <is>
          <t>Chưa mở</t>
        </is>
      </c>
      <c r="P502" s="15" t="n"/>
    </row>
    <row r="503" hidden="1" ht="15.75" customHeight="1" s="57">
      <c r="A503" s="7" t="inlineStr">
        <is>
          <t>Đắk Nông</t>
        </is>
      </c>
      <c r="B503" s="7" t="n">
        <v>3152</v>
      </c>
      <c r="C503" s="7" t="inlineStr">
        <is>
          <t>Huyện Cư Jút</t>
        </is>
      </c>
      <c r="D503" s="7" t="n">
        <v>630405</v>
      </c>
      <c r="E503" s="7" t="inlineStr">
        <is>
          <t>Xã Ea Pô</t>
        </is>
      </c>
      <c r="F503" s="7" t="n">
        <v>20673000</v>
      </c>
      <c r="G503" s="7" t="inlineStr">
        <is>
          <t>Bưu Cục 40 Nguyễn Văn Linh-Cư Jút-Đắk Nông</t>
        </is>
      </c>
      <c r="H503" s="15" t="n">
        <v>20673000</v>
      </c>
      <c r="I503" s="15" t="inlineStr">
        <is>
          <t>Bưu Cục 40 Nguyễn Văn Linh-Cư Jút-Đắk Nông</t>
        </is>
      </c>
      <c r="J503" s="15" t="b">
        <v>0</v>
      </c>
      <c r="K503" s="15" t="inlineStr">
        <is>
          <t>C</t>
        </is>
      </c>
      <c r="L503" s="16" t="n">
        <v>0</v>
      </c>
      <c r="M503" s="15" t="n"/>
      <c r="N503" s="15" t="n"/>
      <c r="O503" s="15" t="inlineStr">
        <is>
          <t>Chưa mở</t>
        </is>
      </c>
      <c r="P503" s="15" t="n"/>
    </row>
    <row r="504" hidden="1" ht="15.75" customHeight="1" s="57">
      <c r="A504" s="7" t="inlineStr">
        <is>
          <t>Đắk Nông</t>
        </is>
      </c>
      <c r="B504" s="7" t="n">
        <v>3152</v>
      </c>
      <c r="C504" s="7" t="inlineStr">
        <is>
          <t>Huyện Cư Jút</t>
        </is>
      </c>
      <c r="D504" s="7" t="n">
        <v>630406</v>
      </c>
      <c r="E504" s="7" t="inlineStr">
        <is>
          <t>Xã Nam Dong</t>
        </is>
      </c>
      <c r="F504" s="7" t="n">
        <v>20673000</v>
      </c>
      <c r="G504" s="7" t="inlineStr">
        <is>
          <t>Bưu Cục 40 Nguyễn Văn Linh-Cư Jút-Đắk Nông</t>
        </is>
      </c>
      <c r="H504" s="15" t="n">
        <v>20673000</v>
      </c>
      <c r="I504" s="15" t="inlineStr">
        <is>
          <t>Bưu Cục 40 Nguyễn Văn Linh-Cư Jút-Đắk Nông</t>
        </is>
      </c>
      <c r="J504" s="15" t="b">
        <v>0</v>
      </c>
      <c r="K504" s="15" t="inlineStr">
        <is>
          <t>C</t>
        </is>
      </c>
      <c r="L504" s="16" t="n">
        <v>0</v>
      </c>
      <c r="M504" s="15" t="n"/>
      <c r="N504" s="15" t="n"/>
      <c r="O504" s="15" t="inlineStr">
        <is>
          <t>Chưa mở</t>
        </is>
      </c>
      <c r="P504" s="15" t="n"/>
    </row>
    <row r="505" hidden="1" ht="15.75" customHeight="1" s="57">
      <c r="A505" s="7" t="inlineStr">
        <is>
          <t>Đắk Nông</t>
        </is>
      </c>
      <c r="B505" s="7" t="n">
        <v>3152</v>
      </c>
      <c r="C505" s="7" t="inlineStr">
        <is>
          <t>Huyện Cư Jút</t>
        </is>
      </c>
      <c r="D505" s="7" t="n">
        <v>630407</v>
      </c>
      <c r="E505" s="7" t="inlineStr">
        <is>
          <t>Xã Tâm Thắng</t>
        </is>
      </c>
      <c r="F505" s="7" t="n">
        <v>20673000</v>
      </c>
      <c r="G505" s="7" t="inlineStr">
        <is>
          <t>Bưu Cục 40 Nguyễn Văn Linh-Cư Jút-Đắk Nông</t>
        </is>
      </c>
      <c r="H505" s="15" t="n">
        <v>20673000</v>
      </c>
      <c r="I505" s="15" t="inlineStr">
        <is>
          <t>Bưu Cục 40 Nguyễn Văn Linh-Cư Jút-Đắk Nông</t>
        </is>
      </c>
      <c r="J505" s="15" t="b">
        <v>0</v>
      </c>
      <c r="K505" s="15" t="inlineStr">
        <is>
          <t>C</t>
        </is>
      </c>
      <c r="L505" s="16" t="n">
        <v>0</v>
      </c>
      <c r="M505" s="15" t="n"/>
      <c r="N505" s="15" t="n"/>
      <c r="O505" s="15" t="inlineStr">
        <is>
          <t>Chưa mở</t>
        </is>
      </c>
      <c r="P505" s="15" t="n"/>
    </row>
    <row r="506" hidden="1" ht="15.75" customHeight="1" s="57">
      <c r="A506" s="7" t="inlineStr">
        <is>
          <t>Đắk Nông</t>
        </is>
      </c>
      <c r="B506" s="7" t="n">
        <v>3152</v>
      </c>
      <c r="C506" s="7" t="inlineStr">
        <is>
          <t>Huyện Cư Jút</t>
        </is>
      </c>
      <c r="D506" s="7" t="n">
        <v>630408</v>
      </c>
      <c r="E506" s="7" t="inlineStr">
        <is>
          <t>Xã Trúc Sơn</t>
        </is>
      </c>
      <c r="F506" s="7" t="n">
        <v>20673000</v>
      </c>
      <c r="G506" s="7" t="inlineStr">
        <is>
          <t>Bưu Cục 40 Nguyễn Văn Linh-Cư Jút-Đắk Nông</t>
        </is>
      </c>
      <c r="H506" s="15" t="n">
        <v>20673000</v>
      </c>
      <c r="I506" s="15" t="inlineStr">
        <is>
          <t>Bưu Cục 40 Nguyễn Văn Linh-Cư Jút-Đắk Nông</t>
        </is>
      </c>
      <c r="J506" s="15" t="b">
        <v>0</v>
      </c>
      <c r="K506" s="15" t="inlineStr">
        <is>
          <t>C</t>
        </is>
      </c>
      <c r="L506" s="16" t="n">
        <v>0</v>
      </c>
      <c r="M506" s="15" t="n"/>
      <c r="N506" s="15" t="n"/>
      <c r="O506" s="15" t="inlineStr">
        <is>
          <t>Chưa mở</t>
        </is>
      </c>
      <c r="P506" s="15" t="n"/>
    </row>
    <row r="507" hidden="1" ht="15.75" customHeight="1" s="57">
      <c r="A507" s="7" t="inlineStr">
        <is>
          <t>Lâm Đồng</t>
        </is>
      </c>
      <c r="B507" s="7" t="n">
        <v>3160</v>
      </c>
      <c r="C507" s="7" t="inlineStr">
        <is>
          <t>Huyện Di Linh</t>
        </is>
      </c>
      <c r="D507" s="7" t="n">
        <v>420401</v>
      </c>
      <c r="E507" s="7" t="inlineStr">
        <is>
          <t>Thị trấn Di Linh</t>
        </is>
      </c>
      <c r="F507" s="7" t="n">
        <v>20942000</v>
      </c>
      <c r="G507" s="7" t="inlineStr">
        <is>
          <t>Bưu Cục 1322 Hùng Vương-Di Linh-Lâm Đồng</t>
        </is>
      </c>
      <c r="H507" s="15" t="n">
        <v>20942000</v>
      </c>
      <c r="I507" s="15" t="inlineStr">
        <is>
          <t>Bưu Cục 1322 Hùng Vương-Di Linh-Lâm Đồng</t>
        </is>
      </c>
      <c r="J507" s="15" t="b">
        <v>1</v>
      </c>
      <c r="K507" s="15" t="inlineStr">
        <is>
          <t>A</t>
        </is>
      </c>
      <c r="L507" s="16" t="n">
        <v>1</v>
      </c>
      <c r="M507" s="15" t="n">
        <v>15</v>
      </c>
      <c r="N507" s="15" t="n">
        <v>15</v>
      </c>
      <c r="O507" s="15" t="inlineStr">
        <is>
          <t>Đã mở</t>
        </is>
      </c>
      <c r="P507" s="15" t="n"/>
    </row>
    <row r="508" hidden="1" ht="15.75" customHeight="1" s="57">
      <c r="A508" s="7" t="inlineStr">
        <is>
          <t>Lâm Đồng</t>
        </is>
      </c>
      <c r="B508" s="7" t="n">
        <v>3160</v>
      </c>
      <c r="C508" s="7" t="inlineStr">
        <is>
          <t>Huyện Di Linh</t>
        </is>
      </c>
      <c r="D508" s="7" t="n">
        <v>420402</v>
      </c>
      <c r="E508" s="7" t="inlineStr">
        <is>
          <t>Xã Bảo Thuận</t>
        </is>
      </c>
      <c r="F508" s="7" t="n">
        <v>20942000</v>
      </c>
      <c r="G508" s="7" t="inlineStr">
        <is>
          <t>Bưu Cục 1322 Hùng Vương-Di Linh-Lâm Đồng</t>
        </is>
      </c>
      <c r="H508" s="15" t="n">
        <v>20942000</v>
      </c>
      <c r="I508" s="15" t="inlineStr">
        <is>
          <t>Bưu Cục 1322 Hùng Vương-Di Linh-Lâm Đồng</t>
        </is>
      </c>
      <c r="J508" s="15" t="b">
        <v>0</v>
      </c>
      <c r="K508" s="15" t="inlineStr">
        <is>
          <t>C</t>
        </is>
      </c>
      <c r="L508" s="16" t="n">
        <v>0</v>
      </c>
      <c r="M508" s="15" t="n"/>
      <c r="N508" s="15" t="n"/>
      <c r="O508" s="15" t="inlineStr">
        <is>
          <t>Chưa mở</t>
        </is>
      </c>
      <c r="P508" s="15" t="n"/>
    </row>
    <row r="509" hidden="1" ht="15.75" customHeight="1" s="57">
      <c r="A509" s="7" t="inlineStr">
        <is>
          <t>Lâm Đồng</t>
        </is>
      </c>
      <c r="B509" s="7" t="n">
        <v>3160</v>
      </c>
      <c r="C509" s="7" t="inlineStr">
        <is>
          <t>Huyện Di Linh</t>
        </is>
      </c>
      <c r="D509" s="7" t="n">
        <v>420403</v>
      </c>
      <c r="E509" s="7" t="inlineStr">
        <is>
          <t>Xã Đinh Lạc</t>
        </is>
      </c>
      <c r="F509" s="7" t="n">
        <v>20942000</v>
      </c>
      <c r="G509" s="7" t="inlineStr">
        <is>
          <t>Bưu Cục 1322 Hùng Vương-Di Linh-Lâm Đồng</t>
        </is>
      </c>
      <c r="H509" s="15" t="n">
        <v>20942000</v>
      </c>
      <c r="I509" s="15" t="inlineStr">
        <is>
          <t>Bưu Cục 1322 Hùng Vương-Di Linh-Lâm Đồng</t>
        </is>
      </c>
      <c r="J509" s="15" t="b">
        <v>0</v>
      </c>
      <c r="K509" s="15" t="inlineStr">
        <is>
          <t>C</t>
        </is>
      </c>
      <c r="L509" s="16" t="n">
        <v>0</v>
      </c>
      <c r="M509" s="15" t="n"/>
      <c r="N509" s="15" t="n"/>
      <c r="O509" s="15" t="inlineStr">
        <is>
          <t>Chưa mở</t>
        </is>
      </c>
      <c r="P509" s="15" t="n"/>
    </row>
    <row r="510" hidden="1" ht="15.75" customHeight="1" s="57">
      <c r="A510" s="7" t="inlineStr">
        <is>
          <t>Lâm Đồng</t>
        </is>
      </c>
      <c r="B510" s="7" t="n">
        <v>3160</v>
      </c>
      <c r="C510" s="7" t="inlineStr">
        <is>
          <t>Huyện Di Linh</t>
        </is>
      </c>
      <c r="D510" s="7" t="n">
        <v>420404</v>
      </c>
      <c r="E510" s="7" t="inlineStr">
        <is>
          <t>Xã Đinh Trang Hòa</t>
        </is>
      </c>
      <c r="F510" s="7" t="n">
        <v>22759000</v>
      </c>
      <c r="G510" s="7" t="inlineStr">
        <is>
          <t>Bưu Cục 231 Thôn 1-Xã Hòa Ninh-Lâm Đồng</t>
        </is>
      </c>
      <c r="H510" s="15" t="n">
        <v>22759000</v>
      </c>
      <c r="I510" s="15" t="inlineStr">
        <is>
          <t>Bưu Cục 231 Thôn 1-Xã Hòa Ninh-Lâm Đồng</t>
        </is>
      </c>
      <c r="J510" s="15" t="b">
        <v>1</v>
      </c>
      <c r="K510" s="15" t="inlineStr">
        <is>
          <t>A</t>
        </is>
      </c>
      <c r="L510" s="16" t="n">
        <v>1</v>
      </c>
      <c r="M510" s="15" t="n">
        <v>15</v>
      </c>
      <c r="N510" s="15" t="n">
        <v>15</v>
      </c>
      <c r="O510" s="15" t="inlineStr">
        <is>
          <t>Đã mở</t>
        </is>
      </c>
      <c r="P510" s="15" t="n"/>
    </row>
    <row r="511" hidden="1" ht="15.75" customHeight="1" s="57">
      <c r="A511" s="7" t="inlineStr">
        <is>
          <t>Lâm Đồng</t>
        </is>
      </c>
      <c r="B511" s="7" t="n">
        <v>3160</v>
      </c>
      <c r="C511" s="7" t="inlineStr">
        <is>
          <t>Huyện Di Linh</t>
        </is>
      </c>
      <c r="D511" s="7" t="n">
        <v>420405</v>
      </c>
      <c r="E511" s="7" t="inlineStr">
        <is>
          <t>Xã Đinh Trang Thượng</t>
        </is>
      </c>
      <c r="F511" s="7" t="n">
        <v>20942000</v>
      </c>
      <c r="G511" s="7" t="inlineStr">
        <is>
          <t>Bưu Cục 1322 Hùng Vương-Di Linh-Lâm Đồng</t>
        </is>
      </c>
      <c r="H511" s="15" t="n">
        <v>20942000</v>
      </c>
      <c r="I511" s="15" t="inlineStr">
        <is>
          <t>Bưu Cục 1322 Hùng Vương-Di Linh-Lâm Đồng</t>
        </is>
      </c>
      <c r="J511" s="15" t="b">
        <v>0</v>
      </c>
      <c r="K511" s="15" t="inlineStr">
        <is>
          <t>C</t>
        </is>
      </c>
      <c r="L511" s="16" t="n">
        <v>0</v>
      </c>
      <c r="M511" s="15" t="n"/>
      <c r="N511" s="15" t="n"/>
      <c r="O511" s="15" t="inlineStr">
        <is>
          <t>Chưa mở</t>
        </is>
      </c>
      <c r="P511" s="15" t="n"/>
    </row>
    <row r="512" hidden="1" ht="15.75" customHeight="1" s="57">
      <c r="A512" s="7" t="inlineStr">
        <is>
          <t>Lâm Đồng</t>
        </is>
      </c>
      <c r="B512" s="7" t="n">
        <v>3160</v>
      </c>
      <c r="C512" s="7" t="inlineStr">
        <is>
          <t>Huyện Di Linh</t>
        </is>
      </c>
      <c r="D512" s="7" t="n">
        <v>420406</v>
      </c>
      <c r="E512" s="7" t="inlineStr">
        <is>
          <t>Xã Gia Bắc</t>
        </is>
      </c>
      <c r="F512" s="7" t="n">
        <v>20942000</v>
      </c>
      <c r="G512" s="7" t="inlineStr">
        <is>
          <t>Bưu Cục 1322 Hùng Vương-Di Linh-Lâm Đồng</t>
        </is>
      </c>
      <c r="H512" s="15" t="n">
        <v>20942000</v>
      </c>
      <c r="I512" s="15" t="inlineStr">
        <is>
          <t>Bưu Cục 1322 Hùng Vương-Di Linh-Lâm Đồng</t>
        </is>
      </c>
      <c r="J512" s="15" t="b">
        <v>0</v>
      </c>
      <c r="K512" s="15" t="inlineStr">
        <is>
          <t>C</t>
        </is>
      </c>
      <c r="L512" s="16" t="n">
        <v>0</v>
      </c>
      <c r="M512" s="15" t="n"/>
      <c r="N512" s="15" t="n"/>
      <c r="O512" s="15" t="inlineStr">
        <is>
          <t>Chưa mở</t>
        </is>
      </c>
      <c r="P512" s="15" t="n"/>
    </row>
    <row r="513" hidden="1" ht="15.75" customHeight="1" s="57">
      <c r="A513" s="7" t="inlineStr">
        <is>
          <t>Lâm Đồng</t>
        </is>
      </c>
      <c r="B513" s="7" t="n">
        <v>3160</v>
      </c>
      <c r="C513" s="7" t="inlineStr">
        <is>
          <t>Huyện Di Linh</t>
        </is>
      </c>
      <c r="D513" s="7" t="n">
        <v>420407</v>
      </c>
      <c r="E513" s="7" t="inlineStr">
        <is>
          <t>Xã Gia Hiệp</t>
        </is>
      </c>
      <c r="F513" s="7" t="n">
        <v>20942000</v>
      </c>
      <c r="G513" s="7" t="inlineStr">
        <is>
          <t>Bưu Cục 1322 Hùng Vương-Di Linh-Lâm Đồng</t>
        </is>
      </c>
      <c r="H513" s="15" t="n">
        <v>20942000</v>
      </c>
      <c r="I513" s="15" t="inlineStr">
        <is>
          <t>Bưu Cục 1322 Hùng Vương-Di Linh-Lâm Đồng</t>
        </is>
      </c>
      <c r="J513" s="15" t="b">
        <v>0</v>
      </c>
      <c r="K513" s="15" t="inlineStr">
        <is>
          <t>C</t>
        </is>
      </c>
      <c r="L513" s="16" t="n">
        <v>0</v>
      </c>
      <c r="M513" s="15" t="n"/>
      <c r="N513" s="15" t="n"/>
      <c r="O513" s="15" t="inlineStr">
        <is>
          <t>Chưa mở</t>
        </is>
      </c>
      <c r="P513" s="15" t="n"/>
    </row>
    <row r="514" hidden="1" ht="15.75" customHeight="1" s="57">
      <c r="A514" s="7" t="inlineStr">
        <is>
          <t>Lâm Đồng</t>
        </is>
      </c>
      <c r="B514" s="7" t="n">
        <v>3160</v>
      </c>
      <c r="C514" s="7" t="inlineStr">
        <is>
          <t>Huyện Di Linh</t>
        </is>
      </c>
      <c r="D514" s="7" t="n">
        <v>420408</v>
      </c>
      <c r="E514" s="7" t="inlineStr">
        <is>
          <t>Xã Gung Ré</t>
        </is>
      </c>
      <c r="F514" s="7" t="n">
        <v>20942000</v>
      </c>
      <c r="G514" s="7" t="inlineStr">
        <is>
          <t>Bưu Cục 1322 Hùng Vương-Di Linh-Lâm Đồng</t>
        </is>
      </c>
      <c r="H514" s="15" t="n">
        <v>20942000</v>
      </c>
      <c r="I514" s="15" t="inlineStr">
        <is>
          <t>Bưu Cục 1322 Hùng Vương-Di Linh-Lâm Đồng</t>
        </is>
      </c>
      <c r="J514" s="15" t="b">
        <v>0</v>
      </c>
      <c r="K514" s="15" t="inlineStr">
        <is>
          <t>C</t>
        </is>
      </c>
      <c r="L514" s="16" t="n">
        <v>0</v>
      </c>
      <c r="M514" s="15" t="n"/>
      <c r="N514" s="15" t="n"/>
      <c r="O514" s="15" t="inlineStr">
        <is>
          <t>Chưa mở</t>
        </is>
      </c>
      <c r="P514" s="15" t="n"/>
    </row>
    <row r="515" hidden="1" ht="15.75" customHeight="1" s="57">
      <c r="A515" s="7" t="inlineStr">
        <is>
          <t>Lâm Đồng</t>
        </is>
      </c>
      <c r="B515" s="7" t="n">
        <v>3160</v>
      </c>
      <c r="C515" s="7" t="inlineStr">
        <is>
          <t>Huyện Di Linh</t>
        </is>
      </c>
      <c r="D515" s="7" t="n">
        <v>420409</v>
      </c>
      <c r="E515" s="7" t="inlineStr">
        <is>
          <t>Xã Hòa Bắc</t>
        </is>
      </c>
      <c r="F515" s="7" t="n">
        <v>22759000</v>
      </c>
      <c r="G515" s="7" t="inlineStr">
        <is>
          <t>Bưu Cục 231 Thôn 1-Xã Hòa Ninh-Lâm Đồng</t>
        </is>
      </c>
      <c r="H515" s="15" t="n">
        <v>22759000</v>
      </c>
      <c r="I515" s="15" t="inlineStr">
        <is>
          <t>Bưu Cục 231 Thôn 1-Xã Hòa Ninh-Lâm Đồng</t>
        </is>
      </c>
      <c r="J515" s="15" t="b">
        <v>0</v>
      </c>
      <c r="K515" s="15" t="inlineStr">
        <is>
          <t>C</t>
        </is>
      </c>
      <c r="L515" s="16" t="n">
        <v>0</v>
      </c>
      <c r="M515" s="15" t="n"/>
      <c r="N515" s="15" t="n"/>
      <c r="O515" s="15" t="inlineStr">
        <is>
          <t>Chưa mở</t>
        </is>
      </c>
      <c r="P515" s="15" t="n"/>
    </row>
    <row r="516" hidden="1" ht="15.75" customHeight="1" s="57">
      <c r="A516" s="7" t="inlineStr">
        <is>
          <t>Lâm Đồng</t>
        </is>
      </c>
      <c r="B516" s="7" t="n">
        <v>3160</v>
      </c>
      <c r="C516" s="7" t="inlineStr">
        <is>
          <t>Huyện Di Linh</t>
        </is>
      </c>
      <c r="D516" s="7" t="n">
        <v>420410</v>
      </c>
      <c r="E516" s="7" t="inlineStr">
        <is>
          <t>Xã Hòa Nam</t>
        </is>
      </c>
      <c r="F516" s="7" t="n">
        <v>22759000</v>
      </c>
      <c r="G516" s="7" t="inlineStr">
        <is>
          <t>Bưu Cục 231 Thôn 1-Xã Hòa Ninh-Lâm Đồng</t>
        </is>
      </c>
      <c r="H516" s="15" t="n">
        <v>22759000</v>
      </c>
      <c r="I516" s="15" t="inlineStr">
        <is>
          <t>Bưu Cục 231 Thôn 1-Xã Hòa Ninh-Lâm Đồng</t>
        </is>
      </c>
      <c r="J516" s="15" t="b">
        <v>0</v>
      </c>
      <c r="K516" s="15" t="inlineStr">
        <is>
          <t>C</t>
        </is>
      </c>
      <c r="L516" s="16" t="n">
        <v>0</v>
      </c>
      <c r="M516" s="15" t="n"/>
      <c r="N516" s="15" t="n"/>
      <c r="O516" s="15" t="inlineStr">
        <is>
          <t>Chưa mở</t>
        </is>
      </c>
      <c r="P516" s="15" t="n"/>
    </row>
    <row r="517" hidden="1" ht="15.75" customHeight="1" s="57">
      <c r="A517" s="7" t="inlineStr">
        <is>
          <t>Lâm Đồng</t>
        </is>
      </c>
      <c r="B517" s="7" t="n">
        <v>3160</v>
      </c>
      <c r="C517" s="7" t="inlineStr">
        <is>
          <t>Huyện Di Linh</t>
        </is>
      </c>
      <c r="D517" s="7" t="n">
        <v>420411</v>
      </c>
      <c r="E517" s="7" t="inlineStr">
        <is>
          <t>Xã Hòa Ninh</t>
        </is>
      </c>
      <c r="F517" s="7" t="n">
        <v>22759000</v>
      </c>
      <c r="G517" s="7" t="inlineStr">
        <is>
          <t>Bưu Cục 231 Thôn 1-Xã Hòa Ninh-Lâm Đồng</t>
        </is>
      </c>
      <c r="H517" s="15" t="n">
        <v>22759000</v>
      </c>
      <c r="I517" s="15" t="inlineStr">
        <is>
          <t>Bưu Cục 231 Thôn 1-Xã Hòa Ninh-Lâm Đồng</t>
        </is>
      </c>
      <c r="J517" s="15" t="b">
        <v>1</v>
      </c>
      <c r="K517" s="15" t="inlineStr">
        <is>
          <t>A</t>
        </is>
      </c>
      <c r="L517" s="16" t="n">
        <v>1</v>
      </c>
      <c r="M517" s="15" t="n">
        <v>15</v>
      </c>
      <c r="N517" s="15" t="n">
        <v>15</v>
      </c>
      <c r="O517" s="15" t="inlineStr">
        <is>
          <t>Đã mở</t>
        </is>
      </c>
      <c r="P517" s="15" t="n"/>
    </row>
    <row r="518" hidden="1" ht="15.75" customHeight="1" s="57">
      <c r="A518" s="7" t="inlineStr">
        <is>
          <t>Lâm Đồng</t>
        </is>
      </c>
      <c r="B518" s="7" t="n">
        <v>3160</v>
      </c>
      <c r="C518" s="7" t="inlineStr">
        <is>
          <t>Huyện Di Linh</t>
        </is>
      </c>
      <c r="D518" s="7" t="n">
        <v>420412</v>
      </c>
      <c r="E518" s="7" t="inlineStr">
        <is>
          <t>Xã Hòa Trung</t>
        </is>
      </c>
      <c r="F518" s="7" t="n">
        <v>22759000</v>
      </c>
      <c r="G518" s="7" t="inlineStr">
        <is>
          <t>Bưu Cục 231 Thôn 1-Xã Hòa Ninh-Lâm Đồng</t>
        </is>
      </c>
      <c r="H518" s="15" t="n">
        <v>22759000</v>
      </c>
      <c r="I518" s="15" t="inlineStr">
        <is>
          <t>Bưu Cục 231 Thôn 1-Xã Hòa Ninh-Lâm Đồng</t>
        </is>
      </c>
      <c r="J518" s="15" t="b">
        <v>0</v>
      </c>
      <c r="K518" s="15" t="inlineStr">
        <is>
          <t>C</t>
        </is>
      </c>
      <c r="L518" s="16" t="n">
        <v>0</v>
      </c>
      <c r="M518" s="15" t="n"/>
      <c r="N518" s="15" t="n"/>
      <c r="O518" s="15" t="inlineStr">
        <is>
          <t>Chưa mở</t>
        </is>
      </c>
      <c r="P518" s="15" t="n"/>
    </row>
    <row r="519" hidden="1" ht="15.75" customHeight="1" s="57">
      <c r="A519" s="7" t="inlineStr">
        <is>
          <t>Lâm Đồng</t>
        </is>
      </c>
      <c r="B519" s="7" t="n">
        <v>3160</v>
      </c>
      <c r="C519" s="7" t="inlineStr">
        <is>
          <t>Huyện Di Linh</t>
        </is>
      </c>
      <c r="D519" s="7" t="n">
        <v>420413</v>
      </c>
      <c r="E519" s="7" t="inlineStr">
        <is>
          <t>Xã Liên Đầm</t>
        </is>
      </c>
      <c r="F519" s="7" t="n">
        <v>22759000</v>
      </c>
      <c r="G519" s="7" t="inlineStr">
        <is>
          <t>Bưu Cục 231 Thôn 1-Xã Hòa Ninh-Lâm Đồng</t>
        </is>
      </c>
      <c r="H519" s="15" t="n">
        <v>22759000</v>
      </c>
      <c r="I519" s="15" t="inlineStr">
        <is>
          <t>Bưu Cục 231 Thôn 1-Xã Hòa Ninh-Lâm Đồng</t>
        </is>
      </c>
      <c r="J519" s="15" t="b">
        <v>1</v>
      </c>
      <c r="K519" s="15" t="inlineStr">
        <is>
          <t>A</t>
        </is>
      </c>
      <c r="L519" s="16" t="n">
        <v>1</v>
      </c>
      <c r="M519" s="15" t="n">
        <v>15</v>
      </c>
      <c r="N519" s="15" t="n">
        <v>15</v>
      </c>
      <c r="O519" s="15" t="inlineStr">
        <is>
          <t>Đã mở</t>
        </is>
      </c>
      <c r="P519" s="15" t="n"/>
    </row>
    <row r="520" hidden="1" ht="15.75" customHeight="1" s="57">
      <c r="A520" s="7" t="inlineStr">
        <is>
          <t>Lâm Đồng</t>
        </is>
      </c>
      <c r="B520" s="7" t="n">
        <v>3160</v>
      </c>
      <c r="C520" s="7" t="inlineStr">
        <is>
          <t>Huyện Di Linh</t>
        </is>
      </c>
      <c r="D520" s="7" t="n">
        <v>420414</v>
      </c>
      <c r="E520" s="7" t="inlineStr">
        <is>
          <t>Xã Sơn Điền</t>
        </is>
      </c>
      <c r="F520" s="7" t="n">
        <v>20942000</v>
      </c>
      <c r="G520" s="7" t="inlineStr">
        <is>
          <t>Bưu Cục 1322 Hùng Vương-Di Linh-Lâm Đồng</t>
        </is>
      </c>
      <c r="H520" s="15" t="n">
        <v>20942000</v>
      </c>
      <c r="I520" s="15" t="inlineStr">
        <is>
          <t>Bưu Cục 1322 Hùng Vương-Di Linh-Lâm Đồng</t>
        </is>
      </c>
      <c r="J520" s="15" t="b">
        <v>0</v>
      </c>
      <c r="K520" s="15" t="inlineStr">
        <is>
          <t>C</t>
        </is>
      </c>
      <c r="L520" s="16" t="n">
        <v>0</v>
      </c>
      <c r="M520" s="15" t="n"/>
      <c r="N520" s="15" t="n"/>
      <c r="O520" s="15" t="inlineStr">
        <is>
          <t>Chưa mở</t>
        </is>
      </c>
      <c r="P520" s="15" t="n"/>
    </row>
    <row r="521" hidden="1" ht="15.75" customHeight="1" s="57">
      <c r="A521" s="7" t="inlineStr">
        <is>
          <t>Lâm Đồng</t>
        </is>
      </c>
      <c r="B521" s="7" t="n">
        <v>3160</v>
      </c>
      <c r="C521" s="7" t="inlineStr">
        <is>
          <t>Huyện Di Linh</t>
        </is>
      </c>
      <c r="D521" s="7" t="n">
        <v>420415</v>
      </c>
      <c r="E521" s="7" t="inlineStr">
        <is>
          <t>Xã Tam Bố</t>
        </is>
      </c>
      <c r="F521" s="7" t="n">
        <v>20942000</v>
      </c>
      <c r="G521" s="7" t="inlineStr">
        <is>
          <t>Bưu Cục 1322 Hùng Vương-Di Linh-Lâm Đồng</t>
        </is>
      </c>
      <c r="H521" s="15" t="n">
        <v>20942000</v>
      </c>
      <c r="I521" s="15" t="inlineStr">
        <is>
          <t>Bưu Cục 1322 Hùng Vương-Di Linh-Lâm Đồng</t>
        </is>
      </c>
      <c r="J521" s="15" t="b">
        <v>0</v>
      </c>
      <c r="K521" s="15" t="inlineStr">
        <is>
          <t>C</t>
        </is>
      </c>
      <c r="L521" s="16" t="n">
        <v>0</v>
      </c>
      <c r="M521" s="15" t="n"/>
      <c r="N521" s="15" t="n"/>
      <c r="O521" s="15" t="inlineStr">
        <is>
          <t>Chưa mở</t>
        </is>
      </c>
      <c r="P521" s="15" t="n"/>
    </row>
    <row r="522" hidden="1" ht="15.75" customHeight="1" s="57">
      <c r="A522" s="7" t="inlineStr">
        <is>
          <t>Lâm Đồng</t>
        </is>
      </c>
      <c r="B522" s="7" t="n">
        <v>3160</v>
      </c>
      <c r="C522" s="7" t="inlineStr">
        <is>
          <t>Huyện Di Linh</t>
        </is>
      </c>
      <c r="D522" s="7" t="n">
        <v>420416</v>
      </c>
      <c r="E522" s="7" t="inlineStr">
        <is>
          <t>Xã Tân Châu</t>
        </is>
      </c>
      <c r="F522" s="7" t="n">
        <v>20942000</v>
      </c>
      <c r="G522" s="7" t="inlineStr">
        <is>
          <t>Bưu Cục 1322 Hùng Vương-Di Linh-Lâm Đồng</t>
        </is>
      </c>
      <c r="H522" s="15" t="n">
        <v>20942000</v>
      </c>
      <c r="I522" s="15" t="inlineStr">
        <is>
          <t>Bưu Cục 1322 Hùng Vương-Di Linh-Lâm Đồng</t>
        </is>
      </c>
      <c r="J522" s="15" t="b">
        <v>0</v>
      </c>
      <c r="K522" s="15" t="inlineStr">
        <is>
          <t>C</t>
        </is>
      </c>
      <c r="L522" s="16" t="n">
        <v>0</v>
      </c>
      <c r="M522" s="15" t="n"/>
      <c r="N522" s="15" t="n"/>
      <c r="O522" s="15" t="inlineStr">
        <is>
          <t>Chưa mở</t>
        </is>
      </c>
      <c r="P522" s="15" t="n"/>
    </row>
    <row r="523" hidden="1" ht="15.75" customHeight="1" s="57">
      <c r="A523" s="7" t="inlineStr">
        <is>
          <t>Lâm Đồng</t>
        </is>
      </c>
      <c r="B523" s="7" t="n">
        <v>3160</v>
      </c>
      <c r="C523" s="7" t="inlineStr">
        <is>
          <t>Huyện Di Linh</t>
        </is>
      </c>
      <c r="D523" s="7" t="n">
        <v>420417</v>
      </c>
      <c r="E523" s="7" t="inlineStr">
        <is>
          <t>Xã Tân Lâm</t>
        </is>
      </c>
      <c r="F523" s="7" t="n">
        <v>20942000</v>
      </c>
      <c r="G523" s="7" t="inlineStr">
        <is>
          <t>Bưu Cục 1322 Hùng Vương-Di Linh-Lâm Đồng</t>
        </is>
      </c>
      <c r="H523" s="15" t="n">
        <v>20942000</v>
      </c>
      <c r="I523" s="15" t="inlineStr">
        <is>
          <t>Bưu Cục 1322 Hùng Vương-Di Linh-Lâm Đồng</t>
        </is>
      </c>
      <c r="J523" s="15" t="b">
        <v>0</v>
      </c>
      <c r="K523" s="15" t="inlineStr">
        <is>
          <t>C</t>
        </is>
      </c>
      <c r="L523" s="16" t="n">
        <v>0</v>
      </c>
      <c r="M523" s="15" t="n"/>
      <c r="N523" s="15" t="n"/>
      <c r="O523" s="15" t="inlineStr">
        <is>
          <t>Chưa mở</t>
        </is>
      </c>
      <c r="P523" s="15" t="n"/>
    </row>
    <row r="524" hidden="1" ht="15.75" customHeight="1" s="57">
      <c r="A524" s="7" t="inlineStr">
        <is>
          <t>Lâm Đồng</t>
        </is>
      </c>
      <c r="B524" s="7" t="n">
        <v>3160</v>
      </c>
      <c r="C524" s="7" t="inlineStr">
        <is>
          <t>Huyện Di Linh</t>
        </is>
      </c>
      <c r="D524" s="7" t="n">
        <v>420418</v>
      </c>
      <c r="E524" s="7" t="inlineStr">
        <is>
          <t>Xã Tân Nghĩa</t>
        </is>
      </c>
      <c r="F524" s="7" t="n">
        <v>20942000</v>
      </c>
      <c r="G524" s="7" t="inlineStr">
        <is>
          <t>Bưu Cục 1322 Hùng Vương-Di Linh-Lâm Đồng</t>
        </is>
      </c>
      <c r="H524" s="15" t="n">
        <v>20942000</v>
      </c>
      <c r="I524" s="15" t="inlineStr">
        <is>
          <t>Bưu Cục 1322 Hùng Vương-Di Linh-Lâm Đồng</t>
        </is>
      </c>
      <c r="J524" s="15" t="b">
        <v>0</v>
      </c>
      <c r="K524" s="15" t="inlineStr">
        <is>
          <t>C</t>
        </is>
      </c>
      <c r="L524" s="16" t="n">
        <v>0</v>
      </c>
      <c r="M524" s="15" t="n"/>
      <c r="N524" s="15" t="n"/>
      <c r="O524" s="15" t="inlineStr">
        <is>
          <t>Chưa mở</t>
        </is>
      </c>
      <c r="P524" s="15" t="n"/>
    </row>
    <row r="525" hidden="1" ht="15.75" customHeight="1" s="57">
      <c r="A525" s="7" t="inlineStr">
        <is>
          <t>Lâm Đồng</t>
        </is>
      </c>
      <c r="B525" s="7" t="n">
        <v>3160</v>
      </c>
      <c r="C525" s="7" t="inlineStr">
        <is>
          <t>Huyện Di Linh</t>
        </is>
      </c>
      <c r="D525" s="7" t="n">
        <v>420419</v>
      </c>
      <c r="E525" s="7" t="inlineStr">
        <is>
          <t>Xã Tân Thượng</t>
        </is>
      </c>
      <c r="F525" s="7" t="n">
        <v>20942000</v>
      </c>
      <c r="G525" s="7" t="inlineStr">
        <is>
          <t>Bưu Cục 1322 Hùng Vương-Di Linh-Lâm Đồng</t>
        </is>
      </c>
      <c r="H525" s="15" t="n">
        <v>20942000</v>
      </c>
      <c r="I525" s="15" t="inlineStr">
        <is>
          <t>Bưu Cục 1322 Hùng Vương-Di Linh-Lâm Đồng</t>
        </is>
      </c>
      <c r="J525" s="15" t="b">
        <v>0</v>
      </c>
      <c r="K525" s="15" t="inlineStr">
        <is>
          <t>C</t>
        </is>
      </c>
      <c r="L525" s="16" t="n">
        <v>0</v>
      </c>
      <c r="M525" s="15" t="n"/>
      <c r="N525" s="15" t="n"/>
      <c r="O525" s="15" t="inlineStr">
        <is>
          <t>Chưa mở</t>
        </is>
      </c>
      <c r="P525" s="15" t="n"/>
    </row>
    <row r="526" hidden="1" ht="15.75" customHeight="1" s="57">
      <c r="A526" s="7" t="inlineStr">
        <is>
          <t>Bình Thuận</t>
        </is>
      </c>
      <c r="B526" s="7" t="n">
        <v>3196</v>
      </c>
      <c r="C526" s="7" t="inlineStr">
        <is>
          <t>Huyện Hàm Tân</t>
        </is>
      </c>
      <c r="D526" s="7" t="n">
        <v>470601</v>
      </c>
      <c r="E526" s="7" t="inlineStr">
        <is>
          <t>Thị trấn Tân Minh</t>
        </is>
      </c>
      <c r="F526" s="7" t="n">
        <v>20687000</v>
      </c>
      <c r="G526" s="7" t="inlineStr">
        <is>
          <t>Bưu Cục 46 Hùng Vương-Hàm Tân-Bình Thuận</t>
        </is>
      </c>
      <c r="H526" s="15" t="n">
        <v>20687000</v>
      </c>
      <c r="I526" s="15" t="inlineStr">
        <is>
          <t>Bưu Cục 46 Hùng Vương-Hàm Tân-Bình Thuận</t>
        </is>
      </c>
      <c r="J526" s="15" t="b">
        <v>1</v>
      </c>
      <c r="K526" s="15" t="inlineStr">
        <is>
          <t>A</t>
        </is>
      </c>
      <c r="L526" s="16" t="n">
        <v>1</v>
      </c>
      <c r="M526" s="15" t="n">
        <v>20</v>
      </c>
      <c r="N526" s="15" t="n">
        <v>15</v>
      </c>
      <c r="O526" s="15" t="inlineStr">
        <is>
          <t>Đã mở</t>
        </is>
      </c>
      <c r="P526" s="15" t="n"/>
    </row>
    <row r="527" hidden="1" ht="15.75" customHeight="1" s="57">
      <c r="A527" s="7" t="inlineStr">
        <is>
          <t>Bình Thuận</t>
        </is>
      </c>
      <c r="B527" s="7" t="n">
        <v>3196</v>
      </c>
      <c r="C527" s="7" t="inlineStr">
        <is>
          <t>Huyện Hàm Tân</t>
        </is>
      </c>
      <c r="D527" s="7" t="n">
        <v>470602</v>
      </c>
      <c r="E527" s="7" t="inlineStr">
        <is>
          <t>Thị trấn Tân Nghĩa</t>
        </is>
      </c>
      <c r="F527" s="7" t="n">
        <v>20687000</v>
      </c>
      <c r="G527" s="7" t="inlineStr">
        <is>
          <t>Bưu Cục 46 Hùng Vương-Hàm Tân-Bình Thuận</t>
        </is>
      </c>
      <c r="H527" s="15" t="n">
        <v>20687000</v>
      </c>
      <c r="I527" s="15" t="inlineStr">
        <is>
          <t>Bưu Cục 46 Hùng Vương-Hàm Tân-Bình Thuận</t>
        </is>
      </c>
      <c r="J527" s="15" t="b">
        <v>1</v>
      </c>
      <c r="K527" s="15" t="inlineStr">
        <is>
          <t>A</t>
        </is>
      </c>
      <c r="L527" s="16" t="n">
        <v>1</v>
      </c>
      <c r="M527" s="15" t="n">
        <v>20</v>
      </c>
      <c r="N527" s="15" t="n">
        <v>15</v>
      </c>
      <c r="O527" s="15" t="inlineStr">
        <is>
          <t>Đã mở</t>
        </is>
      </c>
      <c r="P527" s="15" t="n"/>
    </row>
    <row r="528" hidden="1" ht="15.75" customHeight="1" s="57">
      <c r="A528" s="7" t="inlineStr">
        <is>
          <t>Bình Thuận</t>
        </is>
      </c>
      <c r="B528" s="7" t="n">
        <v>3196</v>
      </c>
      <c r="C528" s="7" t="inlineStr">
        <is>
          <t>Huyện Hàm Tân</t>
        </is>
      </c>
      <c r="D528" s="7" t="n">
        <v>470603</v>
      </c>
      <c r="E528" s="7" t="inlineStr">
        <is>
          <t>Xã Sơn Mỹ</t>
        </is>
      </c>
      <c r="F528" s="7" t="n">
        <v>21594000</v>
      </c>
      <c r="G528" s="7" t="inlineStr">
        <is>
          <t>Bưu Cục 430 Tôn Đức Thắng-Tân Phước-Thị xã La Gi-Bình Thuận</t>
        </is>
      </c>
      <c r="H528" s="15" t="n">
        <v>21594000</v>
      </c>
      <c r="I528" s="15" t="inlineStr">
        <is>
          <t>Bưu Cục 430 Tôn Đức Thắng-Tân Phước-Thị xã La Gi-Bình Thuận</t>
        </is>
      </c>
      <c r="J528" s="15" t="b">
        <v>0</v>
      </c>
      <c r="K528" s="15" t="inlineStr">
        <is>
          <t>C</t>
        </is>
      </c>
      <c r="L528" s="16" t="n">
        <v>0</v>
      </c>
      <c r="M528" s="15" t="n"/>
      <c r="N528" s="15" t="n"/>
      <c r="O528" s="15" t="inlineStr">
        <is>
          <t>Chưa mở</t>
        </is>
      </c>
      <c r="P528" s="15" t="n"/>
    </row>
    <row r="529" hidden="1" ht="15.75" customHeight="1" s="57">
      <c r="A529" s="7" t="inlineStr">
        <is>
          <t>Bình Thuận</t>
        </is>
      </c>
      <c r="B529" s="7" t="n">
        <v>3196</v>
      </c>
      <c r="C529" s="7" t="inlineStr">
        <is>
          <t>Huyện Hàm Tân</t>
        </is>
      </c>
      <c r="D529" s="7" t="n">
        <v>470604</v>
      </c>
      <c r="E529" s="7" t="inlineStr">
        <is>
          <t>Xã Sông Phan</t>
        </is>
      </c>
      <c r="F529" s="7" t="n">
        <v>20687000</v>
      </c>
      <c r="G529" s="7" t="inlineStr">
        <is>
          <t>Bưu Cục 46 Hùng Vương-Hàm Tân-Bình Thuận</t>
        </is>
      </c>
      <c r="H529" s="15" t="n">
        <v>20687000</v>
      </c>
      <c r="I529" s="15" t="inlineStr">
        <is>
          <t>Bưu Cục 46 Hùng Vương-Hàm Tân-Bình Thuận</t>
        </is>
      </c>
      <c r="J529" s="15" t="b">
        <v>1</v>
      </c>
      <c r="K529" s="15" t="inlineStr">
        <is>
          <t>A</t>
        </is>
      </c>
      <c r="L529" s="16" t="n">
        <v>1</v>
      </c>
      <c r="M529" s="15" t="n">
        <v>20</v>
      </c>
      <c r="N529" s="15" t="n">
        <v>15</v>
      </c>
      <c r="O529" s="15" t="inlineStr">
        <is>
          <t>Đã mở</t>
        </is>
      </c>
      <c r="P529" s="15" t="n"/>
    </row>
    <row r="530" hidden="1" ht="15.75" customHeight="1" s="57">
      <c r="A530" s="7" t="inlineStr">
        <is>
          <t>Bình Thuận</t>
        </is>
      </c>
      <c r="B530" s="7" t="n">
        <v>3196</v>
      </c>
      <c r="C530" s="7" t="inlineStr">
        <is>
          <t>Huyện Hàm Tân</t>
        </is>
      </c>
      <c r="D530" s="7" t="n">
        <v>470605</v>
      </c>
      <c r="E530" s="7" t="inlineStr">
        <is>
          <t>Xã Tân Đức</t>
        </is>
      </c>
      <c r="F530" s="7" t="n">
        <v>20687000</v>
      </c>
      <c r="G530" s="7" t="inlineStr">
        <is>
          <t>Bưu Cục 46 Hùng Vương-Hàm Tân-Bình Thuận</t>
        </is>
      </c>
      <c r="H530" s="15" t="n">
        <v>20687000</v>
      </c>
      <c r="I530" s="15" t="inlineStr">
        <is>
          <t>Bưu Cục 46 Hùng Vương-Hàm Tân-Bình Thuận</t>
        </is>
      </c>
      <c r="J530" s="15" t="b">
        <v>1</v>
      </c>
      <c r="K530" s="15" t="inlineStr">
        <is>
          <t>A</t>
        </is>
      </c>
      <c r="L530" s="16" t="n">
        <v>1</v>
      </c>
      <c r="M530" s="15" t="n">
        <v>20</v>
      </c>
      <c r="N530" s="15" t="n">
        <v>15</v>
      </c>
      <c r="O530" s="15" t="inlineStr">
        <is>
          <t>Đã mở</t>
        </is>
      </c>
      <c r="P530" s="15" t="n"/>
    </row>
    <row r="531" hidden="1" ht="15.75" customHeight="1" s="57">
      <c r="A531" s="7" t="inlineStr">
        <is>
          <t>Bình Thuận</t>
        </is>
      </c>
      <c r="B531" s="7" t="n">
        <v>3196</v>
      </c>
      <c r="C531" s="7" t="inlineStr">
        <is>
          <t>Huyện Hàm Tân</t>
        </is>
      </c>
      <c r="D531" s="7" t="n">
        <v>470606</v>
      </c>
      <c r="E531" s="7" t="inlineStr">
        <is>
          <t>Xã Tân Hà</t>
        </is>
      </c>
      <c r="F531" s="7" t="n">
        <v>20687000</v>
      </c>
      <c r="G531" s="7" t="inlineStr">
        <is>
          <t>Bưu Cục 46 Hùng Vương-Hàm Tân-Bình Thuận</t>
        </is>
      </c>
      <c r="H531" s="15" t="n">
        <v>20687000</v>
      </c>
      <c r="I531" s="15" t="inlineStr">
        <is>
          <t>Bưu Cục 46 Hùng Vương-Hàm Tân-Bình Thuận</t>
        </is>
      </c>
      <c r="J531" s="15" t="b">
        <v>1</v>
      </c>
      <c r="K531" s="15" t="inlineStr">
        <is>
          <t>A</t>
        </is>
      </c>
      <c r="L531" s="16" t="n">
        <v>1</v>
      </c>
      <c r="M531" s="15" t="n">
        <v>20</v>
      </c>
      <c r="N531" s="15" t="n">
        <v>15</v>
      </c>
      <c r="O531" s="15" t="inlineStr">
        <is>
          <t>Đã mở</t>
        </is>
      </c>
      <c r="P531" s="15" t="n"/>
    </row>
    <row r="532" hidden="1" ht="15.75" customHeight="1" s="57">
      <c r="A532" s="7" t="inlineStr">
        <is>
          <t>Bình Thuận</t>
        </is>
      </c>
      <c r="B532" s="7" t="n">
        <v>3196</v>
      </c>
      <c r="C532" s="7" t="inlineStr">
        <is>
          <t>Huyện Hàm Tân</t>
        </is>
      </c>
      <c r="D532" s="7" t="n">
        <v>470607</v>
      </c>
      <c r="E532" s="7" t="inlineStr">
        <is>
          <t>Xã Tân Phúc</t>
        </is>
      </c>
      <c r="F532" s="7" t="n">
        <v>20687000</v>
      </c>
      <c r="G532" s="7" t="inlineStr">
        <is>
          <t>Bưu Cục 46 Hùng Vương-Hàm Tân-Bình Thuận</t>
        </is>
      </c>
      <c r="H532" s="15" t="n">
        <v>20687000</v>
      </c>
      <c r="I532" s="15" t="inlineStr">
        <is>
          <t>Bưu Cục 46 Hùng Vương-Hàm Tân-Bình Thuận</t>
        </is>
      </c>
      <c r="J532" s="15" t="b">
        <v>1</v>
      </c>
      <c r="K532" s="15" t="inlineStr">
        <is>
          <t>A</t>
        </is>
      </c>
      <c r="L532" s="16" t="n">
        <v>1</v>
      </c>
      <c r="M532" s="15" t="n">
        <v>20</v>
      </c>
      <c r="N532" s="15" t="n">
        <v>15</v>
      </c>
      <c r="O532" s="15" t="inlineStr">
        <is>
          <t>Đã mở</t>
        </is>
      </c>
      <c r="P532" s="15" t="n"/>
    </row>
    <row r="533" hidden="1" ht="15.75" customHeight="1" s="57">
      <c r="A533" s="7" t="inlineStr">
        <is>
          <t>Bình Thuận</t>
        </is>
      </c>
      <c r="B533" s="7" t="n">
        <v>3196</v>
      </c>
      <c r="C533" s="7" t="inlineStr">
        <is>
          <t>Huyện Hàm Tân</t>
        </is>
      </c>
      <c r="D533" s="7" t="n">
        <v>470608</v>
      </c>
      <c r="E533" s="7" t="inlineStr">
        <is>
          <t>Xã Tân Thắng</t>
        </is>
      </c>
      <c r="F533" s="7" t="n">
        <v>21594000</v>
      </c>
      <c r="G533" s="7" t="inlineStr">
        <is>
          <t>Bưu Cục 430 Tôn Đức Thắng-Tân Phước-Thị xã La Gi-Bình Thuận</t>
        </is>
      </c>
      <c r="H533" s="15" t="n">
        <v>21594000</v>
      </c>
      <c r="I533" s="15" t="inlineStr">
        <is>
          <t>Bưu Cục 430 Tôn Đức Thắng-Tân Phước-Thị xã La Gi-Bình Thuận</t>
        </is>
      </c>
      <c r="J533" s="15" t="b">
        <v>0</v>
      </c>
      <c r="K533" s="15" t="inlineStr">
        <is>
          <t>C</t>
        </is>
      </c>
      <c r="L533" s="16" t="n">
        <v>0</v>
      </c>
      <c r="M533" s="15" t="n"/>
      <c r="N533" s="15" t="n"/>
      <c r="O533" s="15" t="inlineStr">
        <is>
          <t>Chưa mở</t>
        </is>
      </c>
      <c r="P533" s="15" t="n"/>
    </row>
    <row r="534" hidden="1" ht="15.75" customHeight="1" s="57">
      <c r="A534" s="7" t="inlineStr">
        <is>
          <t>Bình Thuận</t>
        </is>
      </c>
      <c r="B534" s="7" t="n">
        <v>3196</v>
      </c>
      <c r="C534" s="7" t="inlineStr">
        <is>
          <t>Huyện Hàm Tân</t>
        </is>
      </c>
      <c r="D534" s="7" t="n">
        <v>470609</v>
      </c>
      <c r="E534" s="7" t="inlineStr">
        <is>
          <t>Xã Tân Xuân</t>
        </is>
      </c>
      <c r="F534" s="7" t="n">
        <v>20687000</v>
      </c>
      <c r="G534" s="7" t="inlineStr">
        <is>
          <t>Bưu Cục 46 Hùng Vương-Hàm Tân-Bình Thuận</t>
        </is>
      </c>
      <c r="H534" s="15" t="n">
        <v>20687000</v>
      </c>
      <c r="I534" s="15" t="inlineStr">
        <is>
          <t>Bưu Cục 46 Hùng Vương-Hàm Tân-Bình Thuận</t>
        </is>
      </c>
      <c r="J534" s="15" t="b">
        <v>1</v>
      </c>
      <c r="K534" s="15" t="inlineStr">
        <is>
          <t>A</t>
        </is>
      </c>
      <c r="L534" s="16" t="n">
        <v>1</v>
      </c>
      <c r="M534" s="15" t="n">
        <v>20</v>
      </c>
      <c r="N534" s="15" t="n">
        <v>15</v>
      </c>
      <c r="O534" s="15" t="inlineStr">
        <is>
          <t>Đã mở</t>
        </is>
      </c>
      <c r="P534" s="15" t="n"/>
    </row>
    <row r="535" hidden="1" ht="15.75" customHeight="1" s="57">
      <c r="A535" s="7" t="inlineStr">
        <is>
          <t>Bình Thuận</t>
        </is>
      </c>
      <c r="B535" s="7" t="n">
        <v>3196</v>
      </c>
      <c r="C535" s="7" t="inlineStr">
        <is>
          <t>Huyện Hàm Tân</t>
        </is>
      </c>
      <c r="D535" s="7" t="n">
        <v>470610</v>
      </c>
      <c r="E535" s="7" t="inlineStr">
        <is>
          <t>Xã Thắng Hải</t>
        </is>
      </c>
      <c r="F535" s="7" t="n">
        <v>21594000</v>
      </c>
      <c r="G535" s="7" t="inlineStr">
        <is>
          <t>Bưu Cục 430 Tôn Đức Thắng-Tân Phước-Thị xã La Gi-Bình Thuận</t>
        </is>
      </c>
      <c r="H535" s="15" t="n">
        <v>21594000</v>
      </c>
      <c r="I535" s="15" t="inlineStr">
        <is>
          <t>Bưu Cục 430 Tôn Đức Thắng-Tân Phước-Thị xã La Gi-Bình Thuận</t>
        </is>
      </c>
      <c r="J535" s="15" t="b">
        <v>0</v>
      </c>
      <c r="K535" s="15" t="inlineStr">
        <is>
          <t>C</t>
        </is>
      </c>
      <c r="L535" s="16" t="n">
        <v>0</v>
      </c>
      <c r="M535" s="15" t="n"/>
      <c r="N535" s="15" t="n"/>
      <c r="O535" s="15" t="inlineStr">
        <is>
          <t>Chưa mở</t>
        </is>
      </c>
      <c r="P535" s="15" t="n"/>
    </row>
    <row r="536" hidden="1" ht="15.75" customHeight="1" s="57">
      <c r="A536" s="7" t="inlineStr">
        <is>
          <t>Khánh Hòa</t>
        </is>
      </c>
      <c r="B536" s="7" t="n">
        <v>3212</v>
      </c>
      <c r="C536" s="7" t="inlineStr">
        <is>
          <t>Huyện Khánh Sơn</t>
        </is>
      </c>
      <c r="D536" s="7" t="n">
        <v>410701</v>
      </c>
      <c r="E536" s="7" t="inlineStr">
        <is>
          <t>Thị trấn Tô Hạp</t>
        </is>
      </c>
      <c r="F536" s="7" t="n">
        <v>20784000</v>
      </c>
      <c r="G536" s="7" t="inlineStr">
        <is>
          <t>Bưu Cục 111 Lê Duẫn-Khánh Sơn-Khánh Hoà</t>
        </is>
      </c>
      <c r="H536" s="15" t="n">
        <v>20784000</v>
      </c>
      <c r="I536" s="15" t="inlineStr">
        <is>
          <t>Bưu Cục 111 Lê Duẫn-Khánh Sơn-Khánh Hoà</t>
        </is>
      </c>
      <c r="J536" s="15" t="b">
        <v>0</v>
      </c>
      <c r="K536" s="15" t="inlineStr">
        <is>
          <t>C</t>
        </is>
      </c>
      <c r="L536" s="16" t="n">
        <v>0</v>
      </c>
      <c r="M536" s="15" t="n"/>
      <c r="N536" s="15" t="n"/>
      <c r="O536" s="15" t="inlineStr">
        <is>
          <t>Chưa mở</t>
        </is>
      </c>
      <c r="P536" s="15" t="n"/>
    </row>
    <row r="537" hidden="1" ht="15.75" customHeight="1" s="57">
      <c r="A537" s="7" t="inlineStr">
        <is>
          <t>Khánh Hòa</t>
        </is>
      </c>
      <c r="B537" s="7" t="n">
        <v>3212</v>
      </c>
      <c r="C537" s="7" t="inlineStr">
        <is>
          <t>Huyện Khánh Sơn</t>
        </is>
      </c>
      <c r="D537" s="7" t="n">
        <v>410702</v>
      </c>
      <c r="E537" s="7" t="inlineStr">
        <is>
          <t>Xã Ba Cụm Bắc</t>
        </is>
      </c>
      <c r="F537" s="7" t="n">
        <v>20784000</v>
      </c>
      <c r="G537" s="7" t="inlineStr">
        <is>
          <t>Bưu Cục 111 Lê Duẫn-Khánh Sơn-Khánh Hoà</t>
        </is>
      </c>
      <c r="H537" s="15" t="n">
        <v>20784000</v>
      </c>
      <c r="I537" s="15" t="inlineStr">
        <is>
          <t>Bưu Cục 111 Lê Duẫn-Khánh Sơn-Khánh Hoà</t>
        </is>
      </c>
      <c r="J537" s="15" t="b">
        <v>0</v>
      </c>
      <c r="K537" s="15" t="inlineStr">
        <is>
          <t>C</t>
        </is>
      </c>
      <c r="L537" s="16" t="n">
        <v>0</v>
      </c>
      <c r="M537" s="15" t="n"/>
      <c r="N537" s="15" t="n"/>
      <c r="O537" s="15" t="inlineStr">
        <is>
          <t>Chưa mở</t>
        </is>
      </c>
      <c r="P537" s="15" t="n"/>
    </row>
    <row r="538" hidden="1" ht="15.75" customHeight="1" s="57">
      <c r="A538" s="7" t="inlineStr">
        <is>
          <t>Khánh Hòa</t>
        </is>
      </c>
      <c r="B538" s="7" t="n">
        <v>3212</v>
      </c>
      <c r="C538" s="7" t="inlineStr">
        <is>
          <t>Huyện Khánh Sơn</t>
        </is>
      </c>
      <c r="D538" s="7" t="n">
        <v>410703</v>
      </c>
      <c r="E538" s="7" t="inlineStr">
        <is>
          <t>Xã Ba Cụm Nam</t>
        </is>
      </c>
      <c r="F538" s="7" t="n">
        <v>20784000</v>
      </c>
      <c r="G538" s="7" t="inlineStr">
        <is>
          <t>Bưu Cục 111 Lê Duẫn-Khánh Sơn-Khánh Hoà</t>
        </is>
      </c>
      <c r="H538" s="15" t="n">
        <v>20784000</v>
      </c>
      <c r="I538" s="15" t="inlineStr">
        <is>
          <t>Bưu Cục 111 Lê Duẫn-Khánh Sơn-Khánh Hoà</t>
        </is>
      </c>
      <c r="J538" s="15" t="b">
        <v>0</v>
      </c>
      <c r="K538" s="15" t="inlineStr">
        <is>
          <t>C</t>
        </is>
      </c>
      <c r="L538" s="16" t="n">
        <v>0</v>
      </c>
      <c r="M538" s="15" t="n"/>
      <c r="N538" s="15" t="n"/>
      <c r="O538" s="15" t="inlineStr">
        <is>
          <t>Chưa mở</t>
        </is>
      </c>
      <c r="P538" s="15" t="n"/>
    </row>
    <row r="539" hidden="1" ht="15.75" customHeight="1" s="57">
      <c r="A539" s="7" t="inlineStr">
        <is>
          <t>Khánh Hòa</t>
        </is>
      </c>
      <c r="B539" s="7" t="n">
        <v>3212</v>
      </c>
      <c r="C539" s="7" t="inlineStr">
        <is>
          <t>Huyện Khánh Sơn</t>
        </is>
      </c>
      <c r="D539" s="7" t="n">
        <v>410704</v>
      </c>
      <c r="E539" s="7" t="inlineStr">
        <is>
          <t>Xã Sơn Bình</t>
        </is>
      </c>
      <c r="F539" s="7" t="n">
        <v>20784000</v>
      </c>
      <c r="G539" s="7" t="inlineStr">
        <is>
          <t>Bưu Cục 111 Lê Duẫn-Khánh Sơn-Khánh Hoà</t>
        </is>
      </c>
      <c r="H539" s="15" t="n">
        <v>20784000</v>
      </c>
      <c r="I539" s="15" t="inlineStr">
        <is>
          <t>Bưu Cục 111 Lê Duẫn-Khánh Sơn-Khánh Hoà</t>
        </is>
      </c>
      <c r="J539" s="15" t="b">
        <v>0</v>
      </c>
      <c r="K539" s="15" t="inlineStr">
        <is>
          <t>C</t>
        </is>
      </c>
      <c r="L539" s="16" t="n">
        <v>0</v>
      </c>
      <c r="M539" s="15" t="n"/>
      <c r="N539" s="15" t="n"/>
      <c r="O539" s="15" t="inlineStr">
        <is>
          <t>Chưa mở</t>
        </is>
      </c>
      <c r="P539" s="15" t="n"/>
    </row>
    <row r="540" hidden="1" ht="15.75" customHeight="1" s="57">
      <c r="A540" s="7" t="inlineStr">
        <is>
          <t>Khánh Hòa</t>
        </is>
      </c>
      <c r="B540" s="7" t="n">
        <v>3212</v>
      </c>
      <c r="C540" s="7" t="inlineStr">
        <is>
          <t>Huyện Khánh Sơn</t>
        </is>
      </c>
      <c r="D540" s="7" t="n">
        <v>410705</v>
      </c>
      <c r="E540" s="7" t="inlineStr">
        <is>
          <t>Xã Sơn Hiệp</t>
        </is>
      </c>
      <c r="F540" s="7" t="n">
        <v>20784000</v>
      </c>
      <c r="G540" s="7" t="inlineStr">
        <is>
          <t>Bưu Cục 111 Lê Duẫn-Khánh Sơn-Khánh Hoà</t>
        </is>
      </c>
      <c r="H540" s="15" t="n">
        <v>20784000</v>
      </c>
      <c r="I540" s="15" t="inlineStr">
        <is>
          <t>Bưu Cục 111 Lê Duẫn-Khánh Sơn-Khánh Hoà</t>
        </is>
      </c>
      <c r="J540" s="15" t="b">
        <v>0</v>
      </c>
      <c r="K540" s="15" t="inlineStr">
        <is>
          <t>C</t>
        </is>
      </c>
      <c r="L540" s="16" t="n">
        <v>0</v>
      </c>
      <c r="M540" s="15" t="n"/>
      <c r="N540" s="15" t="n"/>
      <c r="O540" s="15" t="inlineStr">
        <is>
          <t>Chưa mở</t>
        </is>
      </c>
      <c r="P540" s="15" t="n"/>
    </row>
    <row r="541" hidden="1" ht="15.75" customHeight="1" s="57">
      <c r="A541" s="7" t="inlineStr">
        <is>
          <t>Khánh Hòa</t>
        </is>
      </c>
      <c r="B541" s="7" t="n">
        <v>3212</v>
      </c>
      <c r="C541" s="7" t="inlineStr">
        <is>
          <t>Huyện Khánh Sơn</t>
        </is>
      </c>
      <c r="D541" s="7" t="n">
        <v>410706</v>
      </c>
      <c r="E541" s="7" t="inlineStr">
        <is>
          <t>Xã Sơn Lâm</t>
        </is>
      </c>
      <c r="F541" s="7" t="n">
        <v>20784000</v>
      </c>
      <c r="G541" s="7" t="inlineStr">
        <is>
          <t>Bưu Cục 111 Lê Duẫn-Khánh Sơn-Khánh Hoà</t>
        </is>
      </c>
      <c r="H541" s="15" t="n">
        <v>20784000</v>
      </c>
      <c r="I541" s="15" t="inlineStr">
        <is>
          <t>Bưu Cục 111 Lê Duẫn-Khánh Sơn-Khánh Hoà</t>
        </is>
      </c>
      <c r="J541" s="15" t="b">
        <v>0</v>
      </c>
      <c r="K541" s="15" t="inlineStr">
        <is>
          <t>C</t>
        </is>
      </c>
      <c r="L541" s="16" t="n">
        <v>0</v>
      </c>
      <c r="M541" s="15" t="n"/>
      <c r="N541" s="15" t="n"/>
      <c r="O541" s="15" t="inlineStr">
        <is>
          <t>Chưa mở</t>
        </is>
      </c>
      <c r="P541" s="15" t="n"/>
    </row>
    <row r="542" hidden="1" ht="15.75" customHeight="1" s="57">
      <c r="A542" s="7" t="inlineStr">
        <is>
          <t>Khánh Hòa</t>
        </is>
      </c>
      <c r="B542" s="7" t="n">
        <v>3212</v>
      </c>
      <c r="C542" s="7" t="inlineStr">
        <is>
          <t>Huyện Khánh Sơn</t>
        </is>
      </c>
      <c r="D542" s="7" t="n">
        <v>410707</v>
      </c>
      <c r="E542" s="7" t="inlineStr">
        <is>
          <t>Xã Sơn Trung</t>
        </is>
      </c>
      <c r="F542" s="7" t="n">
        <v>20784000</v>
      </c>
      <c r="G542" s="7" t="inlineStr">
        <is>
          <t>Bưu Cục 111 Lê Duẫn-Khánh Sơn-Khánh Hoà</t>
        </is>
      </c>
      <c r="H542" s="15" t="n">
        <v>20784000</v>
      </c>
      <c r="I542" s="15" t="inlineStr">
        <is>
          <t>Bưu Cục 111 Lê Duẫn-Khánh Sơn-Khánh Hoà</t>
        </is>
      </c>
      <c r="J542" s="15" t="b">
        <v>0</v>
      </c>
      <c r="K542" s="15" t="inlineStr">
        <is>
          <t>C</t>
        </is>
      </c>
      <c r="L542" s="16" t="n">
        <v>0</v>
      </c>
      <c r="M542" s="15" t="n"/>
      <c r="N542" s="15" t="n"/>
      <c r="O542" s="15" t="inlineStr">
        <is>
          <t>Chưa mở</t>
        </is>
      </c>
      <c r="P542" s="15" t="n"/>
    </row>
    <row r="543" hidden="1" ht="15.75" customHeight="1" s="57">
      <c r="A543" s="7" t="inlineStr">
        <is>
          <t>Khánh Hòa</t>
        </is>
      </c>
      <c r="B543" s="7" t="n">
        <v>3212</v>
      </c>
      <c r="C543" s="7" t="inlineStr">
        <is>
          <t>Huyện Khánh Sơn</t>
        </is>
      </c>
      <c r="D543" s="7" t="n">
        <v>410708</v>
      </c>
      <c r="E543" s="7" t="inlineStr">
        <is>
          <t>Xã Thành Sơn</t>
        </is>
      </c>
      <c r="F543" s="7" t="n">
        <v>20784000</v>
      </c>
      <c r="G543" s="7" t="inlineStr">
        <is>
          <t>Bưu Cục 111 Lê Duẫn-Khánh Sơn-Khánh Hoà</t>
        </is>
      </c>
      <c r="H543" s="15" t="n">
        <v>20784000</v>
      </c>
      <c r="I543" s="15" t="inlineStr">
        <is>
          <t>Bưu Cục 111 Lê Duẫn-Khánh Sơn-Khánh Hoà</t>
        </is>
      </c>
      <c r="J543" s="15" t="b">
        <v>0</v>
      </c>
      <c r="K543" s="15" t="inlineStr">
        <is>
          <t>C</t>
        </is>
      </c>
      <c r="L543" s="16" t="n">
        <v>0</v>
      </c>
      <c r="M543" s="15" t="n"/>
      <c r="N543" s="15" t="n"/>
      <c r="O543" s="15" t="inlineStr">
        <is>
          <t>Chưa mở</t>
        </is>
      </c>
      <c r="P543" s="15" t="n"/>
    </row>
    <row r="544" hidden="1" ht="15.75" customHeight="1" s="57">
      <c r="A544" s="7" t="inlineStr">
        <is>
          <t>Khánh Hòa</t>
        </is>
      </c>
      <c r="B544" s="7" t="n">
        <v>3213</v>
      </c>
      <c r="C544" s="7" t="inlineStr">
        <is>
          <t>Huyện Khánh Vĩnh</t>
        </is>
      </c>
      <c r="D544" s="7" t="n">
        <v>410501</v>
      </c>
      <c r="E544" s="7" t="inlineStr">
        <is>
          <t>Thị trấn Khánh Vĩnh</t>
        </is>
      </c>
      <c r="F544" s="7" t="n">
        <v>20558000</v>
      </c>
      <c r="G544" s="7" t="inlineStr">
        <is>
          <t>Bưu Cục Tổ 5 Đường Ngô Gia Tự-Khánh Vĩnh-Khánh Hòa</t>
        </is>
      </c>
      <c r="H544" s="15" t="n">
        <v>20558000</v>
      </c>
      <c r="I544" s="15" t="inlineStr">
        <is>
          <t>Bưu Cục Tổ 5 Đường Ngô Gia Tự-Khánh Vĩnh-Khánh Hòa</t>
        </is>
      </c>
      <c r="J544" s="15" t="b">
        <v>0</v>
      </c>
      <c r="K544" s="15" t="inlineStr">
        <is>
          <t>C</t>
        </is>
      </c>
      <c r="L544" s="16" t="n">
        <v>0</v>
      </c>
      <c r="M544" s="15" t="n"/>
      <c r="N544" s="15" t="n"/>
      <c r="O544" s="15" t="inlineStr">
        <is>
          <t>Chưa mở</t>
        </is>
      </c>
      <c r="P544" s="15" t="n"/>
    </row>
    <row r="545" hidden="1" ht="15.75" customHeight="1" s="57">
      <c r="A545" s="7" t="inlineStr">
        <is>
          <t>Khánh Hòa</t>
        </is>
      </c>
      <c r="B545" s="7" t="n">
        <v>3213</v>
      </c>
      <c r="C545" s="7" t="inlineStr">
        <is>
          <t>Huyện Khánh Vĩnh</t>
        </is>
      </c>
      <c r="D545" s="7" t="n">
        <v>410502</v>
      </c>
      <c r="E545" s="7" t="inlineStr">
        <is>
          <t>Xã Cầu Bà</t>
        </is>
      </c>
      <c r="F545" s="7" t="n">
        <v>20558000</v>
      </c>
      <c r="G545" s="7" t="inlineStr">
        <is>
          <t>Bưu Cục Tổ 5 Đường Ngô Gia Tự-Khánh Vĩnh-Khánh Hòa</t>
        </is>
      </c>
      <c r="H545" s="15" t="n">
        <v>20558000</v>
      </c>
      <c r="I545" s="15" t="inlineStr">
        <is>
          <t>Bưu Cục Tổ 5 Đường Ngô Gia Tự-Khánh Vĩnh-Khánh Hòa</t>
        </is>
      </c>
      <c r="J545" s="15" t="b">
        <v>0</v>
      </c>
      <c r="K545" s="15" t="inlineStr">
        <is>
          <t>C</t>
        </is>
      </c>
      <c r="L545" s="16" t="n">
        <v>0</v>
      </c>
      <c r="M545" s="15" t="n"/>
      <c r="N545" s="15" t="n"/>
      <c r="O545" s="15" t="inlineStr">
        <is>
          <t>Chưa mở</t>
        </is>
      </c>
      <c r="P545" s="15" t="n"/>
    </row>
    <row r="546" hidden="1" ht="15.75" customHeight="1" s="57">
      <c r="A546" s="7" t="inlineStr">
        <is>
          <t>Khánh Hòa</t>
        </is>
      </c>
      <c r="B546" s="7" t="n">
        <v>3213</v>
      </c>
      <c r="C546" s="7" t="inlineStr">
        <is>
          <t>Huyện Khánh Vĩnh</t>
        </is>
      </c>
      <c r="D546" s="7" t="n">
        <v>410503</v>
      </c>
      <c r="E546" s="7" t="inlineStr">
        <is>
          <t>Xã Giang Ly</t>
        </is>
      </c>
      <c r="F546" s="7" t="n">
        <v>20558000</v>
      </c>
      <c r="G546" s="7" t="inlineStr">
        <is>
          <t>Bưu Cục Tổ 5 Đường Ngô Gia Tự-Khánh Vĩnh-Khánh Hòa</t>
        </is>
      </c>
      <c r="H546" s="15" t="n">
        <v>20558000</v>
      </c>
      <c r="I546" s="15" t="inlineStr">
        <is>
          <t>Bưu Cục Tổ 5 Đường Ngô Gia Tự-Khánh Vĩnh-Khánh Hòa</t>
        </is>
      </c>
      <c r="J546" s="15" t="b">
        <v>0</v>
      </c>
      <c r="K546" s="15" t="inlineStr">
        <is>
          <t>C</t>
        </is>
      </c>
      <c r="L546" s="16" t="n">
        <v>0</v>
      </c>
      <c r="M546" s="15" t="n"/>
      <c r="N546" s="15" t="n"/>
      <c r="O546" s="15" t="inlineStr">
        <is>
          <t>Chưa mở</t>
        </is>
      </c>
      <c r="P546" s="15" t="n"/>
    </row>
    <row r="547" hidden="1" ht="15.75" customHeight="1" s="57">
      <c r="A547" s="7" t="inlineStr">
        <is>
          <t>Khánh Hòa</t>
        </is>
      </c>
      <c r="B547" s="7" t="n">
        <v>3213</v>
      </c>
      <c r="C547" s="7" t="inlineStr">
        <is>
          <t>Huyện Khánh Vĩnh</t>
        </is>
      </c>
      <c r="D547" s="7" t="n">
        <v>410504</v>
      </c>
      <c r="E547" s="7" t="inlineStr">
        <is>
          <t>Xã Khánh Bình</t>
        </is>
      </c>
      <c r="F547" s="7" t="n">
        <v>20558000</v>
      </c>
      <c r="G547" s="7" t="inlineStr">
        <is>
          <t>Bưu Cục Tổ 5 Đường Ngô Gia Tự-Khánh Vĩnh-Khánh Hòa</t>
        </is>
      </c>
      <c r="H547" s="15" t="n">
        <v>20558000</v>
      </c>
      <c r="I547" s="15" t="inlineStr">
        <is>
          <t>Bưu Cục Tổ 5 Đường Ngô Gia Tự-Khánh Vĩnh-Khánh Hòa</t>
        </is>
      </c>
      <c r="J547" s="15" t="b">
        <v>0</v>
      </c>
      <c r="K547" s="15" t="inlineStr">
        <is>
          <t>C</t>
        </is>
      </c>
      <c r="L547" s="16" t="n">
        <v>0</v>
      </c>
      <c r="M547" s="15" t="n"/>
      <c r="N547" s="15" t="n"/>
      <c r="O547" s="15" t="inlineStr">
        <is>
          <t>Chưa mở</t>
        </is>
      </c>
      <c r="P547" s="15" t="n"/>
    </row>
    <row r="548" hidden="1" ht="15.75" customHeight="1" s="57">
      <c r="A548" s="7" t="inlineStr">
        <is>
          <t>Khánh Hòa</t>
        </is>
      </c>
      <c r="B548" s="7" t="n">
        <v>3213</v>
      </c>
      <c r="C548" s="7" t="inlineStr">
        <is>
          <t>Huyện Khánh Vĩnh</t>
        </is>
      </c>
      <c r="D548" s="7" t="n">
        <v>410505</v>
      </c>
      <c r="E548" s="7" t="inlineStr">
        <is>
          <t>Xã Khánh Đông</t>
        </is>
      </c>
      <c r="F548" s="7" t="n">
        <v>20558000</v>
      </c>
      <c r="G548" s="7" t="inlineStr">
        <is>
          <t>Bưu Cục Tổ 5 Đường Ngô Gia Tự-Khánh Vĩnh-Khánh Hòa</t>
        </is>
      </c>
      <c r="H548" s="15" t="n">
        <v>20558000</v>
      </c>
      <c r="I548" s="15" t="inlineStr">
        <is>
          <t>Bưu Cục Tổ 5 Đường Ngô Gia Tự-Khánh Vĩnh-Khánh Hòa</t>
        </is>
      </c>
      <c r="J548" s="15" t="b">
        <v>0</v>
      </c>
      <c r="K548" s="15" t="inlineStr">
        <is>
          <t>C</t>
        </is>
      </c>
      <c r="L548" s="16" t="n">
        <v>0</v>
      </c>
      <c r="M548" s="15" t="n"/>
      <c r="N548" s="15" t="n"/>
      <c r="O548" s="15" t="inlineStr">
        <is>
          <t>Chưa mở</t>
        </is>
      </c>
      <c r="P548" s="15" t="n"/>
    </row>
    <row r="549" hidden="1" ht="15.75" customHeight="1" s="57">
      <c r="A549" s="7" t="inlineStr">
        <is>
          <t>Khánh Hòa</t>
        </is>
      </c>
      <c r="B549" s="7" t="n">
        <v>3213</v>
      </c>
      <c r="C549" s="7" t="inlineStr">
        <is>
          <t>Huyện Khánh Vĩnh</t>
        </is>
      </c>
      <c r="D549" s="7" t="n">
        <v>410506</v>
      </c>
      <c r="E549" s="7" t="inlineStr">
        <is>
          <t>Xã Khánh Hiệp</t>
        </is>
      </c>
      <c r="F549" s="7" t="n">
        <v>20558000</v>
      </c>
      <c r="G549" s="7" t="inlineStr">
        <is>
          <t>Bưu Cục Tổ 5 Đường Ngô Gia Tự-Khánh Vĩnh-Khánh Hòa</t>
        </is>
      </c>
      <c r="H549" s="15" t="n">
        <v>20558000</v>
      </c>
      <c r="I549" s="15" t="inlineStr">
        <is>
          <t>Bưu Cục Tổ 5 Đường Ngô Gia Tự-Khánh Vĩnh-Khánh Hòa</t>
        </is>
      </c>
      <c r="J549" s="15" t="b">
        <v>0</v>
      </c>
      <c r="K549" s="15" t="inlineStr">
        <is>
          <t>C</t>
        </is>
      </c>
      <c r="L549" s="16" t="n">
        <v>0</v>
      </c>
      <c r="M549" s="15" t="n"/>
      <c r="N549" s="15" t="n"/>
      <c r="O549" s="15" t="inlineStr">
        <is>
          <t>Chưa mở</t>
        </is>
      </c>
      <c r="P549" s="15" t="n"/>
    </row>
    <row r="550" hidden="1" ht="15.75" customHeight="1" s="57">
      <c r="A550" s="7" t="inlineStr">
        <is>
          <t>Khánh Hòa</t>
        </is>
      </c>
      <c r="B550" s="7" t="n">
        <v>3213</v>
      </c>
      <c r="C550" s="7" t="inlineStr">
        <is>
          <t>Huyện Khánh Vĩnh</t>
        </is>
      </c>
      <c r="D550" s="7" t="n">
        <v>410507</v>
      </c>
      <c r="E550" s="7" t="inlineStr">
        <is>
          <t>Xã Khánh Nam</t>
        </is>
      </c>
      <c r="F550" s="7" t="n">
        <v>20558000</v>
      </c>
      <c r="G550" s="7" t="inlineStr">
        <is>
          <t>Bưu Cục Tổ 5 Đường Ngô Gia Tự-Khánh Vĩnh-Khánh Hòa</t>
        </is>
      </c>
      <c r="H550" s="15" t="n">
        <v>20558000</v>
      </c>
      <c r="I550" s="15" t="inlineStr">
        <is>
          <t>Bưu Cục Tổ 5 Đường Ngô Gia Tự-Khánh Vĩnh-Khánh Hòa</t>
        </is>
      </c>
      <c r="J550" s="15" t="b">
        <v>0</v>
      </c>
      <c r="K550" s="15" t="inlineStr">
        <is>
          <t>C</t>
        </is>
      </c>
      <c r="L550" s="16" t="n">
        <v>0</v>
      </c>
      <c r="M550" s="15" t="n"/>
      <c r="N550" s="15" t="n"/>
      <c r="O550" s="15" t="inlineStr">
        <is>
          <t>Chưa mở</t>
        </is>
      </c>
      <c r="P550" s="15" t="n"/>
    </row>
    <row r="551" hidden="1" ht="15.75" customHeight="1" s="57">
      <c r="A551" s="7" t="inlineStr">
        <is>
          <t>Khánh Hòa</t>
        </is>
      </c>
      <c r="B551" s="7" t="n">
        <v>3213</v>
      </c>
      <c r="C551" s="7" t="inlineStr">
        <is>
          <t>Huyện Khánh Vĩnh</t>
        </is>
      </c>
      <c r="D551" s="7" t="n">
        <v>410508</v>
      </c>
      <c r="E551" s="7" t="inlineStr">
        <is>
          <t>Xã Khánh Phú</t>
        </is>
      </c>
      <c r="F551" s="7" t="n">
        <v>20558000</v>
      </c>
      <c r="G551" s="7" t="inlineStr">
        <is>
          <t>Bưu Cục Tổ 5 Đường Ngô Gia Tự-Khánh Vĩnh-Khánh Hòa</t>
        </is>
      </c>
      <c r="H551" s="15" t="n">
        <v>20558000</v>
      </c>
      <c r="I551" s="15" t="inlineStr">
        <is>
          <t>Bưu Cục Tổ 5 Đường Ngô Gia Tự-Khánh Vĩnh-Khánh Hòa</t>
        </is>
      </c>
      <c r="J551" s="15" t="b">
        <v>0</v>
      </c>
      <c r="K551" s="15" t="inlineStr">
        <is>
          <t>C</t>
        </is>
      </c>
      <c r="L551" s="16" t="n">
        <v>0</v>
      </c>
      <c r="M551" s="15" t="n"/>
      <c r="N551" s="15" t="n"/>
      <c r="O551" s="15" t="inlineStr">
        <is>
          <t>Chưa mở</t>
        </is>
      </c>
      <c r="P551" s="15" t="n"/>
    </row>
    <row r="552" hidden="1" ht="15.75" customHeight="1" s="57">
      <c r="A552" s="7" t="inlineStr">
        <is>
          <t>Khánh Hòa</t>
        </is>
      </c>
      <c r="B552" s="7" t="n">
        <v>3213</v>
      </c>
      <c r="C552" s="7" t="inlineStr">
        <is>
          <t>Huyện Khánh Vĩnh</t>
        </is>
      </c>
      <c r="D552" s="7" t="n">
        <v>410509</v>
      </c>
      <c r="E552" s="7" t="inlineStr">
        <is>
          <t>Xã Khánh Thành</t>
        </is>
      </c>
      <c r="F552" s="7" t="n">
        <v>20558000</v>
      </c>
      <c r="G552" s="7" t="inlineStr">
        <is>
          <t>Bưu Cục Tổ 5 Đường Ngô Gia Tự-Khánh Vĩnh-Khánh Hòa</t>
        </is>
      </c>
      <c r="H552" s="15" t="n">
        <v>20558000</v>
      </c>
      <c r="I552" s="15" t="inlineStr">
        <is>
          <t>Bưu Cục Tổ 5 Đường Ngô Gia Tự-Khánh Vĩnh-Khánh Hòa</t>
        </is>
      </c>
      <c r="J552" s="15" t="b">
        <v>0</v>
      </c>
      <c r="K552" s="15" t="inlineStr">
        <is>
          <t>C</t>
        </is>
      </c>
      <c r="L552" s="16" t="n">
        <v>0</v>
      </c>
      <c r="M552" s="15" t="n"/>
      <c r="N552" s="15" t="n"/>
      <c r="O552" s="15" t="inlineStr">
        <is>
          <t>Chưa mở</t>
        </is>
      </c>
      <c r="P552" s="15" t="n"/>
    </row>
    <row r="553" hidden="1" ht="15.75" customHeight="1" s="57">
      <c r="A553" s="7" t="inlineStr">
        <is>
          <t>Khánh Hòa</t>
        </is>
      </c>
      <c r="B553" s="7" t="n">
        <v>3213</v>
      </c>
      <c r="C553" s="7" t="inlineStr">
        <is>
          <t>Huyện Khánh Vĩnh</t>
        </is>
      </c>
      <c r="D553" s="7" t="n">
        <v>410510</v>
      </c>
      <c r="E553" s="7" t="inlineStr">
        <is>
          <t>Xã Khánh Thượng</t>
        </is>
      </c>
      <c r="F553" s="7" t="n">
        <v>20558000</v>
      </c>
      <c r="G553" s="7" t="inlineStr">
        <is>
          <t>Bưu Cục Tổ 5 Đường Ngô Gia Tự-Khánh Vĩnh-Khánh Hòa</t>
        </is>
      </c>
      <c r="H553" s="15" t="n"/>
      <c r="I553" s="16" t="n"/>
      <c r="J553" s="15" t="b">
        <v>0</v>
      </c>
      <c r="K553" s="15" t="inlineStr">
        <is>
          <t>C</t>
        </is>
      </c>
      <c r="L553" s="16" t="n">
        <v>0</v>
      </c>
      <c r="M553" s="15" t="n"/>
      <c r="N553" s="15" t="n"/>
      <c r="O553" s="15" t="inlineStr">
        <is>
          <t>Chưa mở</t>
        </is>
      </c>
      <c r="P553" s="15" t="n"/>
    </row>
    <row r="554" hidden="1" ht="15.75" customHeight="1" s="57">
      <c r="A554" s="7" t="inlineStr">
        <is>
          <t>Khánh Hòa</t>
        </is>
      </c>
      <c r="B554" s="7" t="n">
        <v>3213</v>
      </c>
      <c r="C554" s="7" t="inlineStr">
        <is>
          <t>Huyện Khánh Vĩnh</t>
        </is>
      </c>
      <c r="D554" s="7" t="n">
        <v>410511</v>
      </c>
      <c r="E554" s="7" t="inlineStr">
        <is>
          <t>Xã Khánh Trung</t>
        </is>
      </c>
      <c r="F554" s="7" t="n">
        <v>20558000</v>
      </c>
      <c r="G554" s="7" t="inlineStr">
        <is>
          <t>Bưu Cục Tổ 5 Đường Ngô Gia Tự-Khánh Vĩnh-Khánh Hòa</t>
        </is>
      </c>
      <c r="H554" s="15" t="n">
        <v>20558000</v>
      </c>
      <c r="I554" s="15" t="inlineStr">
        <is>
          <t>Bưu Cục Tổ 5 Đường Ngô Gia Tự-Khánh Vĩnh-Khánh Hòa</t>
        </is>
      </c>
      <c r="J554" s="15" t="b">
        <v>0</v>
      </c>
      <c r="K554" s="15" t="inlineStr">
        <is>
          <t>C</t>
        </is>
      </c>
      <c r="L554" s="16" t="n">
        <v>0</v>
      </c>
      <c r="M554" s="15" t="n"/>
      <c r="N554" s="15" t="n"/>
      <c r="O554" s="15" t="inlineStr">
        <is>
          <t>Chưa mở</t>
        </is>
      </c>
      <c r="P554" s="15" t="n"/>
    </row>
    <row r="555" hidden="1" ht="15.75" customHeight="1" s="57">
      <c r="A555" s="7" t="inlineStr">
        <is>
          <t>Khánh Hòa</t>
        </is>
      </c>
      <c r="B555" s="7" t="n">
        <v>3213</v>
      </c>
      <c r="C555" s="7" t="inlineStr">
        <is>
          <t>Huyện Khánh Vĩnh</t>
        </is>
      </c>
      <c r="D555" s="7" t="n">
        <v>410512</v>
      </c>
      <c r="E555" s="7" t="inlineStr">
        <is>
          <t>Xã Liên Sang</t>
        </is>
      </c>
      <c r="F555" s="7" t="n">
        <v>20558000</v>
      </c>
      <c r="G555" s="7" t="inlineStr">
        <is>
          <t>Bưu Cục Tổ 5 Đường Ngô Gia Tự-Khánh Vĩnh-Khánh Hòa</t>
        </is>
      </c>
      <c r="H555" s="15" t="n">
        <v>20558000</v>
      </c>
      <c r="I555" s="15" t="inlineStr">
        <is>
          <t>Bưu Cục Tổ 5 Đường Ngô Gia Tự-Khánh Vĩnh-Khánh Hòa</t>
        </is>
      </c>
      <c r="J555" s="15" t="b">
        <v>0</v>
      </c>
      <c r="K555" s="15" t="inlineStr">
        <is>
          <t>C</t>
        </is>
      </c>
      <c r="L555" s="16" t="n">
        <v>0</v>
      </c>
      <c r="M555" s="15" t="n"/>
      <c r="N555" s="15" t="n"/>
      <c r="O555" s="15" t="inlineStr">
        <is>
          <t>Chưa mở</t>
        </is>
      </c>
      <c r="P555" s="15" t="n"/>
    </row>
    <row r="556" hidden="1" ht="15.75" customHeight="1" s="57">
      <c r="A556" s="7" t="inlineStr">
        <is>
          <t>Khánh Hòa</t>
        </is>
      </c>
      <c r="B556" s="7" t="n">
        <v>3213</v>
      </c>
      <c r="C556" s="7" t="inlineStr">
        <is>
          <t>Huyện Khánh Vĩnh</t>
        </is>
      </c>
      <c r="D556" s="7" t="n">
        <v>410513</v>
      </c>
      <c r="E556" s="7" t="inlineStr">
        <is>
          <t>Xã Sơn Thái</t>
        </is>
      </c>
      <c r="F556" s="7" t="n">
        <v>20558000</v>
      </c>
      <c r="G556" s="7" t="inlineStr">
        <is>
          <t>Bưu Cục Tổ 5 Đường Ngô Gia Tự-Khánh Vĩnh-Khánh Hòa</t>
        </is>
      </c>
      <c r="H556" s="15" t="n">
        <v>20558000</v>
      </c>
      <c r="I556" s="15" t="inlineStr">
        <is>
          <t>Bưu Cục Tổ 5 Đường Ngô Gia Tự-Khánh Vĩnh-Khánh Hòa</t>
        </is>
      </c>
      <c r="J556" s="15" t="b">
        <v>0</v>
      </c>
      <c r="K556" s="15" t="inlineStr">
        <is>
          <t>C</t>
        </is>
      </c>
      <c r="L556" s="16" t="n">
        <v>0</v>
      </c>
      <c r="M556" s="15" t="n"/>
      <c r="N556" s="15" t="n"/>
      <c r="O556" s="15" t="inlineStr">
        <is>
          <t>Chưa mở</t>
        </is>
      </c>
      <c r="P556" s="15" t="n"/>
    </row>
    <row r="557" hidden="1" ht="15.75" customHeight="1" s="57">
      <c r="A557" s="7" t="inlineStr">
        <is>
          <t>Khánh Hòa</t>
        </is>
      </c>
      <c r="B557" s="7" t="n">
        <v>3213</v>
      </c>
      <c r="C557" s="7" t="inlineStr">
        <is>
          <t>Huyện Khánh Vĩnh</t>
        </is>
      </c>
      <c r="D557" s="7" t="n">
        <v>410514</v>
      </c>
      <c r="E557" s="7" t="inlineStr">
        <is>
          <t>Xã Sông Cầu</t>
        </is>
      </c>
      <c r="F557" s="7" t="n">
        <v>20558000</v>
      </c>
      <c r="G557" s="7" t="inlineStr">
        <is>
          <t>Bưu Cục Tổ 5 Đường Ngô Gia Tự-Khánh Vĩnh-Khánh Hòa</t>
        </is>
      </c>
      <c r="H557" s="15" t="n">
        <v>20558000</v>
      </c>
      <c r="I557" s="15" t="inlineStr">
        <is>
          <t>Bưu Cục Tổ 5 Đường Ngô Gia Tự-Khánh Vĩnh-Khánh Hòa</t>
        </is>
      </c>
      <c r="J557" s="15" t="b">
        <v>0</v>
      </c>
      <c r="K557" s="15" t="inlineStr">
        <is>
          <t>C</t>
        </is>
      </c>
      <c r="L557" s="16" t="n">
        <v>0</v>
      </c>
      <c r="M557" s="15" t="n"/>
      <c r="N557" s="15" t="n"/>
      <c r="O557" s="15" t="inlineStr">
        <is>
          <t>Chưa mở</t>
        </is>
      </c>
      <c r="P557" s="15" t="n"/>
    </row>
    <row r="558" hidden="1" ht="15.75" customHeight="1" s="57">
      <c r="A558" s="7" t="inlineStr">
        <is>
          <t>Ninh Thuận</t>
        </is>
      </c>
      <c r="B558" s="7" t="n">
        <v>3301</v>
      </c>
      <c r="C558" s="7" t="inlineStr">
        <is>
          <t>Huyện Thuận Bắc</t>
        </is>
      </c>
      <c r="D558" s="7" t="n">
        <v>450601</v>
      </c>
      <c r="E558" s="7" t="inlineStr">
        <is>
          <t>Xã Bắc Phong</t>
        </is>
      </c>
      <c r="F558" s="7" t="n">
        <v>22861000</v>
      </c>
      <c r="G558" s="7" t="inlineStr">
        <is>
          <t>Bưu Cục 95 Thống Nhất-Phan Rang-Ninh Thuận</t>
        </is>
      </c>
      <c r="H558" s="15" t="n">
        <v>22861000</v>
      </c>
      <c r="I558" s="15" t="inlineStr">
        <is>
          <t>Bưu Cục 95 Thống Nhất-Phan Rang-Ninh Thuận</t>
        </is>
      </c>
      <c r="J558" s="15" t="b">
        <v>0</v>
      </c>
      <c r="K558" s="15" t="inlineStr">
        <is>
          <t>C</t>
        </is>
      </c>
      <c r="L558" s="16" t="n">
        <v>0</v>
      </c>
      <c r="M558" s="15" t="n"/>
      <c r="N558" s="15" t="n"/>
      <c r="O558" s="15" t="inlineStr">
        <is>
          <t>Chưa mở</t>
        </is>
      </c>
      <c r="P558" s="15" t="n"/>
    </row>
    <row r="559" hidden="1" ht="15.75" customHeight="1" s="57">
      <c r="A559" s="7" t="inlineStr">
        <is>
          <t>Ninh Thuận</t>
        </is>
      </c>
      <c r="B559" s="7" t="n">
        <v>3301</v>
      </c>
      <c r="C559" s="7" t="inlineStr">
        <is>
          <t>Huyện Thuận Bắc</t>
        </is>
      </c>
      <c r="D559" s="7" t="n">
        <v>450602</v>
      </c>
      <c r="E559" s="7" t="inlineStr">
        <is>
          <t>Xã Bắc Sơn</t>
        </is>
      </c>
      <c r="F559" s="7" t="n">
        <v>22861000</v>
      </c>
      <c r="G559" s="7" t="inlineStr">
        <is>
          <t>Bưu Cục 95 Thống Nhất-Phan Rang-Ninh Thuận</t>
        </is>
      </c>
      <c r="H559" s="15" t="n">
        <v>22861000</v>
      </c>
      <c r="I559" s="15" t="inlineStr">
        <is>
          <t>Bưu Cục 95 Thống Nhất-Phan Rang-Ninh Thuận</t>
        </is>
      </c>
      <c r="J559" s="15" t="b">
        <v>0</v>
      </c>
      <c r="K559" s="15" t="inlineStr">
        <is>
          <t>C</t>
        </is>
      </c>
      <c r="L559" s="16" t="n">
        <v>0</v>
      </c>
      <c r="M559" s="15" t="n"/>
      <c r="N559" s="15" t="n"/>
      <c r="O559" s="15" t="inlineStr">
        <is>
          <t>Chưa mở</t>
        </is>
      </c>
      <c r="P559" s="15" t="n"/>
    </row>
    <row r="560" hidden="1" ht="15.75" customHeight="1" s="57">
      <c r="A560" s="7" t="inlineStr">
        <is>
          <t>Ninh Thuận</t>
        </is>
      </c>
      <c r="B560" s="7" t="n">
        <v>3301</v>
      </c>
      <c r="C560" s="7" t="inlineStr">
        <is>
          <t>Huyện Thuận Bắc</t>
        </is>
      </c>
      <c r="D560" s="7" t="n">
        <v>450603</v>
      </c>
      <c r="E560" s="7" t="inlineStr">
        <is>
          <t>Xã Công Hải</t>
        </is>
      </c>
      <c r="F560" s="7" t="n">
        <v>22861000</v>
      </c>
      <c r="G560" s="7" t="inlineStr">
        <is>
          <t>Bưu Cục 95 Thống Nhất-Phan Rang-Ninh Thuận</t>
        </is>
      </c>
      <c r="H560" s="15" t="n">
        <v>22861000</v>
      </c>
      <c r="I560" s="15" t="inlineStr">
        <is>
          <t>Bưu Cục 95 Thống Nhất-Phan Rang-Ninh Thuận</t>
        </is>
      </c>
      <c r="J560" s="15" t="b">
        <v>0</v>
      </c>
      <c r="K560" s="15" t="inlineStr">
        <is>
          <t>C</t>
        </is>
      </c>
      <c r="L560" s="16" t="n">
        <v>0</v>
      </c>
      <c r="M560" s="15" t="n"/>
      <c r="N560" s="15" t="n"/>
      <c r="O560" s="15" t="inlineStr">
        <is>
          <t>Chưa mở</t>
        </is>
      </c>
      <c r="P560" s="15" t="n"/>
    </row>
    <row r="561" hidden="1" ht="15.75" customHeight="1" s="57">
      <c r="A561" s="7" t="inlineStr">
        <is>
          <t>Ninh Thuận</t>
        </is>
      </c>
      <c r="B561" s="7" t="n">
        <v>3301</v>
      </c>
      <c r="C561" s="7" t="inlineStr">
        <is>
          <t>Huyện Thuận Bắc</t>
        </is>
      </c>
      <c r="D561" s="7" t="n">
        <v>450604</v>
      </c>
      <c r="E561" s="7" t="inlineStr">
        <is>
          <t>Xã Lợi Hải</t>
        </is>
      </c>
      <c r="F561" s="7" t="n">
        <v>22861000</v>
      </c>
      <c r="G561" s="7" t="inlineStr">
        <is>
          <t>Bưu Cục 95 Thống Nhất-Phan Rang-Ninh Thuận</t>
        </is>
      </c>
      <c r="H561" s="15" t="n">
        <v>22861000</v>
      </c>
      <c r="I561" s="15" t="inlineStr">
        <is>
          <t>Bưu Cục 95 Thống Nhất-Phan Rang-Ninh Thuận</t>
        </is>
      </c>
      <c r="J561" s="15" t="b">
        <v>0</v>
      </c>
      <c r="K561" s="15" t="inlineStr">
        <is>
          <t>C</t>
        </is>
      </c>
      <c r="L561" s="16" t="n">
        <v>0</v>
      </c>
      <c r="M561" s="15" t="n"/>
      <c r="N561" s="15" t="n"/>
      <c r="O561" s="15" t="inlineStr">
        <is>
          <t>Chưa mở</t>
        </is>
      </c>
      <c r="P561" s="15" t="n"/>
    </row>
    <row r="562" hidden="1" ht="15.75" customHeight="1" s="57">
      <c r="A562" s="7" t="inlineStr">
        <is>
          <t>Ninh Thuận</t>
        </is>
      </c>
      <c r="B562" s="7" t="n">
        <v>3301</v>
      </c>
      <c r="C562" s="7" t="inlineStr">
        <is>
          <t>Huyện Thuận Bắc</t>
        </is>
      </c>
      <c r="D562" s="7" t="n">
        <v>450605</v>
      </c>
      <c r="E562" s="7" t="inlineStr">
        <is>
          <t>Xã Phước Chiến</t>
        </is>
      </c>
      <c r="F562" s="7" t="n">
        <v>22861000</v>
      </c>
      <c r="G562" s="7" t="inlineStr">
        <is>
          <t>Bưu Cục 95 Thống Nhất-Phan Rang-Ninh Thuận</t>
        </is>
      </c>
      <c r="H562" s="15" t="n">
        <v>22861000</v>
      </c>
      <c r="I562" s="15" t="inlineStr">
        <is>
          <t>Bưu Cục 95 Thống Nhất-Phan Rang-Ninh Thuận</t>
        </is>
      </c>
      <c r="J562" s="15" t="b">
        <v>0</v>
      </c>
      <c r="K562" s="15" t="inlineStr">
        <is>
          <t>C</t>
        </is>
      </c>
      <c r="L562" s="16" t="n">
        <v>0</v>
      </c>
      <c r="M562" s="15" t="n"/>
      <c r="N562" s="15" t="n"/>
      <c r="O562" s="15" t="inlineStr">
        <is>
          <t>Chưa mở</t>
        </is>
      </c>
      <c r="P562" s="15" t="n"/>
    </row>
    <row r="563" hidden="1" ht="15.75" customHeight="1" s="57">
      <c r="A563" s="7" t="inlineStr">
        <is>
          <t>Ninh Thuận</t>
        </is>
      </c>
      <c r="B563" s="7" t="n">
        <v>3301</v>
      </c>
      <c r="C563" s="7" t="inlineStr">
        <is>
          <t>Huyện Thuận Bắc</t>
        </is>
      </c>
      <c r="D563" s="7" t="n">
        <v>450606</v>
      </c>
      <c r="E563" s="7" t="inlineStr">
        <is>
          <t>Xã Phước Kháng</t>
        </is>
      </c>
      <c r="F563" s="7" t="n">
        <v>22861000</v>
      </c>
      <c r="G563" s="7" t="inlineStr">
        <is>
          <t>Bưu Cục 95 Thống Nhất-Phan Rang-Ninh Thuận</t>
        </is>
      </c>
      <c r="H563" s="15" t="n">
        <v>22861000</v>
      </c>
      <c r="I563" s="15" t="inlineStr">
        <is>
          <t>Bưu Cục 95 Thống Nhất-Phan Rang-Ninh Thuận</t>
        </is>
      </c>
      <c r="J563" s="15" t="b">
        <v>0</v>
      </c>
      <c r="K563" s="15" t="inlineStr">
        <is>
          <t>C</t>
        </is>
      </c>
      <c r="L563" s="16" t="n">
        <v>0</v>
      </c>
      <c r="M563" s="15" t="n"/>
      <c r="N563" s="15" t="n"/>
      <c r="O563" s="15" t="inlineStr">
        <is>
          <t>Chưa mở</t>
        </is>
      </c>
      <c r="P563" s="15" t="n"/>
    </row>
    <row r="564" hidden="1" ht="15.75" customHeight="1" s="57">
      <c r="A564" s="7" t="inlineStr">
        <is>
          <t>Ninh Thuận</t>
        </is>
      </c>
      <c r="B564" s="7" t="n">
        <v>3302</v>
      </c>
      <c r="C564" s="7" t="inlineStr">
        <is>
          <t>Huyện Thuận Nam</t>
        </is>
      </c>
      <c r="D564" s="7" t="n">
        <v>450701</v>
      </c>
      <c r="E564" s="7" t="inlineStr">
        <is>
          <t>Xã Cà Ná</t>
        </is>
      </c>
      <c r="F564" s="7" t="n">
        <v>22357000</v>
      </c>
      <c r="G564" s="7" t="inlineStr">
        <is>
          <t>Bưu Cục Phước Minh-Thuận Nam-Khánh Hòa</t>
        </is>
      </c>
      <c r="H564" s="15" t="n">
        <v>22357000</v>
      </c>
      <c r="I564" s="15" t="inlineStr">
        <is>
          <t>Bưu Cục Phước Minh-Thuận Nam-Khánh Hòa</t>
        </is>
      </c>
      <c r="J564" s="15" t="b">
        <v>0</v>
      </c>
      <c r="K564" s="15" t="inlineStr">
        <is>
          <t>C</t>
        </is>
      </c>
      <c r="L564" s="16" t="n">
        <v>0</v>
      </c>
      <c r="M564" s="15" t="n"/>
      <c r="N564" s="15" t="n"/>
      <c r="O564" s="15" t="inlineStr">
        <is>
          <t>Chưa mở</t>
        </is>
      </c>
      <c r="P564" s="15" t="n"/>
    </row>
    <row r="565" hidden="1" ht="15.75" customHeight="1" s="57">
      <c r="A565" s="7" t="inlineStr">
        <is>
          <t>Ninh Thuận</t>
        </is>
      </c>
      <c r="B565" s="7" t="n">
        <v>3302</v>
      </c>
      <c r="C565" s="7" t="inlineStr">
        <is>
          <t>Huyện Thuận Nam</t>
        </is>
      </c>
      <c r="D565" s="7" t="n">
        <v>450702</v>
      </c>
      <c r="E565" s="7" t="inlineStr">
        <is>
          <t>Xã Nhị Hà</t>
        </is>
      </c>
      <c r="F565" s="7" t="n">
        <v>22357000</v>
      </c>
      <c r="G565" s="7" t="inlineStr">
        <is>
          <t>Bưu Cục Phước Minh-Thuận Nam-Khánh Hòa</t>
        </is>
      </c>
      <c r="H565" s="15" t="n">
        <v>22357000</v>
      </c>
      <c r="I565" s="15" t="inlineStr">
        <is>
          <t>Bưu Cục Phước Minh-Thuận Nam-Khánh Hòa</t>
        </is>
      </c>
      <c r="J565" s="15" t="b">
        <v>0</v>
      </c>
      <c r="K565" s="15" t="inlineStr">
        <is>
          <t>C</t>
        </is>
      </c>
      <c r="L565" s="16" t="n">
        <v>0</v>
      </c>
      <c r="M565" s="15" t="n"/>
      <c r="N565" s="15" t="n"/>
      <c r="O565" s="15" t="inlineStr">
        <is>
          <t>Chưa mở</t>
        </is>
      </c>
      <c r="P565" s="15" t="n"/>
    </row>
    <row r="566" hidden="1" ht="15.75" customHeight="1" s="57">
      <c r="A566" s="7" t="inlineStr">
        <is>
          <t>Ninh Thuận</t>
        </is>
      </c>
      <c r="B566" s="7" t="n">
        <v>3302</v>
      </c>
      <c r="C566" s="7" t="inlineStr">
        <is>
          <t>Huyện Thuận Nam</t>
        </is>
      </c>
      <c r="D566" s="7" t="n">
        <v>450703</v>
      </c>
      <c r="E566" s="7" t="inlineStr">
        <is>
          <t>Xã Phước Diêm</t>
        </is>
      </c>
      <c r="F566" s="7" t="n">
        <v>22357000</v>
      </c>
      <c r="G566" s="7" t="inlineStr">
        <is>
          <t>Bưu Cục Phước Minh-Thuận Nam-Khánh Hòa</t>
        </is>
      </c>
      <c r="H566" s="15" t="n">
        <v>22357000</v>
      </c>
      <c r="I566" s="15" t="inlineStr">
        <is>
          <t>Bưu Cục Phước Minh-Thuận Nam-Khánh Hòa</t>
        </is>
      </c>
      <c r="J566" s="15" t="b">
        <v>0</v>
      </c>
      <c r="K566" s="15" t="inlineStr">
        <is>
          <t>C</t>
        </is>
      </c>
      <c r="L566" s="16" t="n">
        <v>0</v>
      </c>
      <c r="M566" s="15" t="n"/>
      <c r="N566" s="15" t="n"/>
      <c r="O566" s="15" t="inlineStr">
        <is>
          <t>Chưa mở</t>
        </is>
      </c>
      <c r="P566" s="15" t="n"/>
    </row>
    <row r="567" hidden="1" ht="15.75" customHeight="1" s="57">
      <c r="A567" s="7" t="inlineStr">
        <is>
          <t>Ninh Thuận</t>
        </is>
      </c>
      <c r="B567" s="7" t="n">
        <v>3302</v>
      </c>
      <c r="C567" s="7" t="inlineStr">
        <is>
          <t>Huyện Thuận Nam</t>
        </is>
      </c>
      <c r="D567" s="7" t="n">
        <v>450704</v>
      </c>
      <c r="E567" s="7" t="inlineStr">
        <is>
          <t>Xã Phước Dinh</t>
        </is>
      </c>
      <c r="F567" s="7" t="n">
        <v>20499000</v>
      </c>
      <c r="G567" s="7" t="inlineStr">
        <is>
          <t>Bưu Cục Quốc Lộ 1A-Ninh Phước-Ninh Thuận</t>
        </is>
      </c>
      <c r="H567" s="15" t="n">
        <v>20499000</v>
      </c>
      <c r="I567" s="15" t="inlineStr">
        <is>
          <t>Bưu Cục Quốc Lộ 1A-Ninh Phước-Ninh Thuận</t>
        </is>
      </c>
      <c r="J567" s="15" t="b">
        <v>0</v>
      </c>
      <c r="K567" s="15" t="inlineStr">
        <is>
          <t>C</t>
        </is>
      </c>
      <c r="L567" s="16" t="n">
        <v>0</v>
      </c>
      <c r="M567" s="15" t="n"/>
      <c r="N567" s="15" t="n"/>
      <c r="O567" s="15" t="inlineStr">
        <is>
          <t>Chưa mở</t>
        </is>
      </c>
      <c r="P567" s="15" t="n"/>
    </row>
    <row r="568" hidden="1" ht="15.75" customHeight="1" s="57">
      <c r="A568" s="7" t="inlineStr">
        <is>
          <t>Ninh Thuận</t>
        </is>
      </c>
      <c r="B568" s="7" t="n">
        <v>3302</v>
      </c>
      <c r="C568" s="7" t="inlineStr">
        <is>
          <t>Huyện Thuận Nam</t>
        </is>
      </c>
      <c r="D568" s="7" t="n">
        <v>450705</v>
      </c>
      <c r="E568" s="7" t="inlineStr">
        <is>
          <t>Xã Phước Hà</t>
        </is>
      </c>
      <c r="F568" s="7" t="n">
        <v>22357000</v>
      </c>
      <c r="G568" s="7" t="inlineStr">
        <is>
          <t>Bưu Cục Phước Minh-Thuận Nam-Khánh Hòa</t>
        </is>
      </c>
      <c r="H568" s="15" t="n">
        <v>22357000</v>
      </c>
      <c r="I568" s="15" t="inlineStr">
        <is>
          <t>Bưu Cục Phước Minh-Thuận Nam-Khánh Hòa</t>
        </is>
      </c>
      <c r="J568" s="15" t="b">
        <v>0</v>
      </c>
      <c r="K568" s="15" t="inlineStr">
        <is>
          <t>C</t>
        </is>
      </c>
      <c r="L568" s="16" t="n">
        <v>0</v>
      </c>
      <c r="M568" s="15" t="n"/>
      <c r="N568" s="15" t="n"/>
      <c r="O568" s="15" t="inlineStr">
        <is>
          <t>Chưa mở</t>
        </is>
      </c>
      <c r="P568" s="15" t="n"/>
    </row>
    <row r="569" hidden="1" ht="15.75" customHeight="1" s="57">
      <c r="A569" s="7" t="inlineStr">
        <is>
          <t>Ninh Thuận</t>
        </is>
      </c>
      <c r="B569" s="7" t="n">
        <v>3302</v>
      </c>
      <c r="C569" s="7" t="inlineStr">
        <is>
          <t>Huyện Thuận Nam</t>
        </is>
      </c>
      <c r="D569" s="7" t="n">
        <v>450706</v>
      </c>
      <c r="E569" s="7" t="inlineStr">
        <is>
          <t>Xã Phước Minh</t>
        </is>
      </c>
      <c r="F569" s="7" t="n">
        <v>22357000</v>
      </c>
      <c r="G569" s="7" t="inlineStr">
        <is>
          <t>Bưu Cục Phước Minh-Thuận Nam-Khánh Hòa</t>
        </is>
      </c>
      <c r="H569" s="15" t="n">
        <v>22357000</v>
      </c>
      <c r="I569" s="15" t="inlineStr">
        <is>
          <t>Bưu Cục Phước Minh-Thuận Nam-Khánh Hòa</t>
        </is>
      </c>
      <c r="J569" s="15" t="b">
        <v>0</v>
      </c>
      <c r="K569" s="15" t="inlineStr">
        <is>
          <t>C</t>
        </is>
      </c>
      <c r="L569" s="16" t="n">
        <v>0</v>
      </c>
      <c r="M569" s="15" t="n"/>
      <c r="N569" s="15" t="n"/>
      <c r="O569" s="15" t="inlineStr">
        <is>
          <t>Chưa mở</t>
        </is>
      </c>
      <c r="P569" s="15" t="n"/>
    </row>
    <row r="570" hidden="1" ht="15.75" customHeight="1" s="57">
      <c r="A570" s="7" t="inlineStr">
        <is>
          <t>Ninh Thuận</t>
        </is>
      </c>
      <c r="B570" s="7" t="n">
        <v>3302</v>
      </c>
      <c r="C570" s="7" t="inlineStr">
        <is>
          <t>Huyện Thuận Nam</t>
        </is>
      </c>
      <c r="D570" s="7" t="n">
        <v>450707</v>
      </c>
      <c r="E570" s="7" t="inlineStr">
        <is>
          <t>Xã Phước Nam</t>
        </is>
      </c>
      <c r="F570" s="7" t="n">
        <v>22357000</v>
      </c>
      <c r="G570" s="7" t="inlineStr">
        <is>
          <t>Bưu Cục Phước Minh-Thuận Nam-Khánh Hòa</t>
        </is>
      </c>
      <c r="H570" s="15" t="n">
        <v>22357000</v>
      </c>
      <c r="I570" s="15" t="inlineStr">
        <is>
          <t>Bưu Cục Phước Minh-Thuận Nam-Khánh Hòa</t>
        </is>
      </c>
      <c r="J570" s="15" t="b">
        <v>1</v>
      </c>
      <c r="K570" s="15" t="inlineStr">
        <is>
          <t>A</t>
        </is>
      </c>
      <c r="L570" s="16" t="n">
        <v>1</v>
      </c>
      <c r="M570" s="15" t="n">
        <v>20</v>
      </c>
      <c r="N570" s="15" t="n">
        <v>15</v>
      </c>
      <c r="O570" s="15" t="inlineStr">
        <is>
          <t>Đã mở</t>
        </is>
      </c>
      <c r="P570" s="15" t="n"/>
    </row>
    <row r="571" hidden="1" ht="15.75" customHeight="1" s="57">
      <c r="A571" s="7" t="inlineStr">
        <is>
          <t>Ninh Thuận</t>
        </is>
      </c>
      <c r="B571" s="7" t="n">
        <v>3302</v>
      </c>
      <c r="C571" s="7" t="inlineStr">
        <is>
          <t>Huyện Thuận Nam</t>
        </is>
      </c>
      <c r="D571" s="7" t="n">
        <v>450708</v>
      </c>
      <c r="E571" s="7" t="inlineStr">
        <is>
          <t>Xã Phước Ninh</t>
        </is>
      </c>
      <c r="F571" s="7" t="n">
        <v>22357000</v>
      </c>
      <c r="G571" s="7" t="inlineStr">
        <is>
          <t>Bưu Cục Phước Minh-Thuận Nam-Khánh Hòa</t>
        </is>
      </c>
      <c r="H571" s="15" t="n">
        <v>22357000</v>
      </c>
      <c r="I571" s="15" t="inlineStr">
        <is>
          <t>Bưu Cục Phước Minh-Thuận Nam-Khánh Hòa</t>
        </is>
      </c>
      <c r="J571" s="15" t="b">
        <v>0</v>
      </c>
      <c r="K571" s="15" t="inlineStr">
        <is>
          <t>C</t>
        </is>
      </c>
      <c r="L571" s="16" t="n">
        <v>0</v>
      </c>
      <c r="M571" s="15" t="n"/>
      <c r="N571" s="15" t="n"/>
      <c r="O571" s="15" t="inlineStr">
        <is>
          <t>Chưa mở</t>
        </is>
      </c>
      <c r="P571" s="15" t="n"/>
    </row>
    <row r="572" ht="15.75" customHeight="1" s="57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49" t="n"/>
      <c r="L572" s="49" t="n"/>
      <c r="M572" s="49" t="n"/>
      <c r="N572" s="49" t="n"/>
      <c r="O572" s="49" t="n"/>
      <c r="P572" s="49" t="n"/>
    </row>
    <row r="573" ht="15.75" customHeight="1" s="57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49" t="n"/>
      <c r="L573" s="49" t="n"/>
      <c r="M573" s="49" t="n"/>
      <c r="N573" s="49" t="n"/>
      <c r="O573" s="49" t="n"/>
      <c r="P573" s="49" t="n"/>
    </row>
    <row r="574" ht="15.75" customHeight="1" s="57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49" t="n"/>
      <c r="L574" s="49" t="n"/>
      <c r="M574" s="49" t="n"/>
      <c r="N574" s="49" t="n"/>
      <c r="O574" s="49" t="n"/>
      <c r="P574" s="49" t="n"/>
    </row>
    <row r="575" ht="15.75" customHeight="1" s="57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49" t="n"/>
      <c r="L575" s="49" t="n"/>
      <c r="M575" s="49" t="n"/>
      <c r="N575" s="49" t="n"/>
      <c r="O575" s="49" t="n"/>
      <c r="P575" s="49" t="n"/>
    </row>
    <row r="576" ht="15.75" customHeight="1" s="57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49" t="n"/>
      <c r="L576" s="49" t="n"/>
      <c r="M576" s="49" t="n"/>
      <c r="N576" s="49" t="n"/>
      <c r="O576" s="49" t="n"/>
      <c r="P576" s="49" t="n"/>
    </row>
    <row r="577" ht="15.75" customHeight="1" s="57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49" t="n"/>
      <c r="L577" s="49" t="n"/>
      <c r="M577" s="49" t="n"/>
      <c r="N577" s="49" t="n"/>
      <c r="O577" s="49" t="n"/>
      <c r="P577" s="49" t="n"/>
    </row>
    <row r="578" ht="15.75" customHeight="1" s="57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49" t="n"/>
      <c r="L578" s="49" t="n"/>
      <c r="M578" s="49" t="n"/>
      <c r="N578" s="49" t="n"/>
      <c r="O578" s="49" t="n"/>
      <c r="P578" s="49" t="n"/>
    </row>
    <row r="579" ht="15.75" customHeight="1" s="57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49" t="n"/>
      <c r="L579" s="49" t="n"/>
      <c r="M579" s="49" t="n"/>
      <c r="N579" s="49" t="n"/>
      <c r="O579" s="49" t="n"/>
      <c r="P579" s="49" t="n"/>
    </row>
    <row r="580" ht="15.75" customHeight="1" s="57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49" t="n"/>
      <c r="L580" s="49" t="n"/>
      <c r="M580" s="49" t="n"/>
      <c r="N580" s="49" t="n"/>
      <c r="O580" s="49" t="n"/>
      <c r="P580" s="49" t="n"/>
    </row>
    <row r="581" ht="15.75" customHeight="1" s="57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49" t="n"/>
      <c r="L581" s="49" t="n"/>
      <c r="M581" s="49" t="n"/>
      <c r="N581" s="49" t="n"/>
      <c r="O581" s="49" t="n"/>
      <c r="P581" s="49" t="n"/>
    </row>
    <row r="582" ht="15.75" customHeight="1" s="57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49" t="n"/>
      <c r="L582" s="49" t="n"/>
      <c r="M582" s="49" t="n"/>
      <c r="N582" s="49" t="n"/>
      <c r="O582" s="49" t="n"/>
      <c r="P582" s="49" t="n"/>
    </row>
    <row r="583" ht="15.75" customHeight="1" s="57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49" t="n"/>
      <c r="L583" s="49" t="n"/>
      <c r="M583" s="49" t="n"/>
      <c r="N583" s="49" t="n"/>
      <c r="O583" s="49" t="n"/>
      <c r="P583" s="49" t="n"/>
    </row>
    <row r="584" ht="15.75" customHeight="1" s="57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49" t="n"/>
      <c r="L584" s="49" t="n"/>
      <c r="M584" s="49" t="n"/>
      <c r="N584" s="49" t="n"/>
      <c r="O584" s="49" t="n"/>
      <c r="P584" s="49" t="n"/>
    </row>
    <row r="585" ht="15.75" customHeight="1" s="57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49" t="n"/>
      <c r="L585" s="49" t="n"/>
      <c r="M585" s="49" t="n"/>
      <c r="N585" s="49" t="n"/>
      <c r="O585" s="49" t="n"/>
      <c r="P585" s="49" t="n"/>
    </row>
    <row r="586" ht="15.75" customHeight="1" s="57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49" t="n"/>
      <c r="L586" s="49" t="n"/>
      <c r="M586" s="49" t="n"/>
      <c r="N586" s="49" t="n"/>
      <c r="O586" s="49" t="n"/>
      <c r="P586" s="49" t="n"/>
    </row>
    <row r="587" ht="15.75" customHeight="1" s="57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49" t="n"/>
      <c r="L587" s="49" t="n"/>
      <c r="M587" s="49" t="n"/>
      <c r="N587" s="49" t="n"/>
      <c r="O587" s="49" t="n"/>
      <c r="P587" s="49" t="n"/>
    </row>
    <row r="588" ht="15.75" customHeight="1" s="57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49" t="n"/>
      <c r="L588" s="49" t="n"/>
      <c r="M588" s="49" t="n"/>
      <c r="N588" s="49" t="n"/>
      <c r="O588" s="49" t="n"/>
      <c r="P588" s="49" t="n"/>
    </row>
    <row r="589" ht="15.75" customHeight="1" s="57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49" t="n"/>
      <c r="L589" s="49" t="n"/>
      <c r="M589" s="49" t="n"/>
      <c r="N589" s="49" t="n"/>
      <c r="O589" s="49" t="n"/>
      <c r="P589" s="49" t="n"/>
    </row>
    <row r="590" ht="15.75" customHeight="1" s="57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49" t="n"/>
      <c r="L590" s="49" t="n"/>
      <c r="M590" s="49" t="n"/>
      <c r="N590" s="49" t="n"/>
      <c r="O590" s="49" t="n"/>
      <c r="P590" s="49" t="n"/>
    </row>
    <row r="591" ht="15.75" customHeight="1" s="57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49" t="n"/>
      <c r="L591" s="49" t="n"/>
      <c r="M591" s="49" t="n"/>
      <c r="N591" s="49" t="n"/>
      <c r="O591" s="49" t="n"/>
      <c r="P591" s="49" t="n"/>
    </row>
    <row r="592" ht="15.75" customHeight="1" s="57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49" t="n"/>
      <c r="L592" s="49" t="n"/>
      <c r="M592" s="49" t="n"/>
      <c r="N592" s="49" t="n"/>
      <c r="O592" s="49" t="n"/>
      <c r="P592" s="49" t="n"/>
    </row>
    <row r="593" ht="15.75" customHeight="1" s="57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49" t="n"/>
      <c r="L593" s="49" t="n"/>
      <c r="M593" s="49" t="n"/>
      <c r="N593" s="49" t="n"/>
      <c r="O593" s="49" t="n"/>
      <c r="P593" s="49" t="n"/>
    </row>
    <row r="594" ht="15.75" customHeight="1" s="57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49" t="n"/>
      <c r="L594" s="49" t="n"/>
      <c r="M594" s="49" t="n"/>
      <c r="N594" s="49" t="n"/>
      <c r="O594" s="49" t="n"/>
      <c r="P594" s="49" t="n"/>
    </row>
    <row r="595" ht="15.75" customHeight="1" s="57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49" t="n"/>
      <c r="L595" s="49" t="n"/>
      <c r="M595" s="49" t="n"/>
      <c r="N595" s="49" t="n"/>
      <c r="O595" s="49" t="n"/>
      <c r="P595" s="49" t="n"/>
    </row>
    <row r="596" ht="15.75" customHeight="1" s="57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49" t="n"/>
      <c r="L596" s="49" t="n"/>
      <c r="M596" s="49" t="n"/>
      <c r="N596" s="49" t="n"/>
      <c r="O596" s="49" t="n"/>
      <c r="P596" s="49" t="n"/>
    </row>
    <row r="597" ht="15.75" customHeight="1" s="57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49" t="n"/>
      <c r="L597" s="49" t="n"/>
      <c r="M597" s="49" t="n"/>
      <c r="N597" s="49" t="n"/>
      <c r="O597" s="49" t="n"/>
      <c r="P597" s="49" t="n"/>
    </row>
    <row r="598" ht="15.75" customHeight="1" s="57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49" t="n"/>
      <c r="L598" s="49" t="n"/>
      <c r="M598" s="49" t="n"/>
      <c r="N598" s="49" t="n"/>
      <c r="O598" s="49" t="n"/>
      <c r="P598" s="49" t="n"/>
    </row>
    <row r="599" ht="15.75" customHeight="1" s="57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49" t="n"/>
      <c r="L599" s="49" t="n"/>
      <c r="M599" s="49" t="n"/>
      <c r="N599" s="49" t="n"/>
      <c r="O599" s="49" t="n"/>
      <c r="P599" s="49" t="n"/>
    </row>
    <row r="600" ht="15.75" customHeight="1" s="57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49" t="n"/>
      <c r="L600" s="49" t="n"/>
      <c r="M600" s="49" t="n"/>
      <c r="N600" s="49" t="n"/>
      <c r="O600" s="49" t="n"/>
      <c r="P600" s="49" t="n"/>
    </row>
    <row r="601" ht="15.75" customHeight="1" s="57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49" t="n"/>
      <c r="L601" s="49" t="n"/>
      <c r="M601" s="49" t="n"/>
      <c r="N601" s="49" t="n"/>
      <c r="O601" s="49" t="n"/>
      <c r="P601" s="49" t="n"/>
    </row>
    <row r="602" ht="15.75" customHeight="1" s="57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49" t="n"/>
      <c r="L602" s="49" t="n"/>
      <c r="M602" s="49" t="n"/>
      <c r="N602" s="49" t="n"/>
      <c r="O602" s="49" t="n"/>
      <c r="P602" s="49" t="n"/>
    </row>
    <row r="603" ht="15.75" customHeight="1" s="57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49" t="n"/>
      <c r="L603" s="49" t="n"/>
      <c r="M603" s="49" t="n"/>
      <c r="N603" s="49" t="n"/>
      <c r="O603" s="49" t="n"/>
      <c r="P603" s="49" t="n"/>
    </row>
    <row r="604" ht="15.75" customHeight="1" s="57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49" t="n"/>
      <c r="L604" s="49" t="n"/>
      <c r="M604" s="49" t="n"/>
      <c r="N604" s="49" t="n"/>
      <c r="O604" s="49" t="n"/>
      <c r="P604" s="49" t="n"/>
    </row>
    <row r="605" ht="15.75" customHeight="1" s="57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49" t="n"/>
      <c r="L605" s="49" t="n"/>
      <c r="M605" s="49" t="n"/>
      <c r="N605" s="49" t="n"/>
      <c r="O605" s="49" t="n"/>
      <c r="P605" s="49" t="n"/>
    </row>
    <row r="606" ht="15.75" customHeight="1" s="57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49" t="n"/>
      <c r="L606" s="49" t="n"/>
      <c r="M606" s="49" t="n"/>
      <c r="N606" s="49" t="n"/>
      <c r="O606" s="49" t="n"/>
      <c r="P606" s="49" t="n"/>
    </row>
    <row r="607" ht="15.75" customHeight="1" s="57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49" t="n"/>
      <c r="L607" s="49" t="n"/>
      <c r="M607" s="49" t="n"/>
      <c r="N607" s="49" t="n"/>
      <c r="O607" s="49" t="n"/>
      <c r="P607" s="49" t="n"/>
    </row>
    <row r="608" ht="15.75" customHeight="1" s="57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49" t="n"/>
      <c r="L608" s="49" t="n"/>
      <c r="M608" s="49" t="n"/>
      <c r="N608" s="49" t="n"/>
      <c r="O608" s="49" t="n"/>
      <c r="P608" s="49" t="n"/>
    </row>
    <row r="609" ht="15.75" customHeight="1" s="57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49" t="n"/>
      <c r="L609" s="49" t="n"/>
      <c r="M609" s="49" t="n"/>
      <c r="N609" s="49" t="n"/>
      <c r="O609" s="49" t="n"/>
      <c r="P609" s="49" t="n"/>
    </row>
    <row r="610" ht="15.75" customHeight="1" s="57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49" t="n"/>
      <c r="L610" s="49" t="n"/>
      <c r="M610" s="49" t="n"/>
      <c r="N610" s="49" t="n"/>
      <c r="O610" s="49" t="n"/>
      <c r="P610" s="49" t="n"/>
    </row>
    <row r="611" ht="15.75" customHeight="1" s="57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49" t="n"/>
      <c r="L611" s="49" t="n"/>
      <c r="M611" s="49" t="n"/>
      <c r="N611" s="49" t="n"/>
      <c r="O611" s="49" t="n"/>
      <c r="P611" s="49" t="n"/>
    </row>
    <row r="612" ht="15.75" customHeight="1" s="57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49" t="n"/>
      <c r="L612" s="49" t="n"/>
      <c r="M612" s="49" t="n"/>
      <c r="N612" s="49" t="n"/>
      <c r="O612" s="49" t="n"/>
      <c r="P612" s="49" t="n"/>
    </row>
    <row r="613" ht="15.75" customHeight="1" s="57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49" t="n"/>
      <c r="L613" s="49" t="n"/>
      <c r="M613" s="49" t="n"/>
      <c r="N613" s="49" t="n"/>
      <c r="O613" s="49" t="n"/>
      <c r="P613" s="49" t="n"/>
    </row>
    <row r="614" ht="15.75" customHeight="1" s="57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49" t="n"/>
      <c r="L614" s="49" t="n"/>
      <c r="M614" s="49" t="n"/>
      <c r="N614" s="49" t="n"/>
      <c r="O614" s="49" t="n"/>
      <c r="P614" s="49" t="n"/>
    </row>
    <row r="615" ht="15.75" customHeight="1" s="57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49" t="n"/>
      <c r="L615" s="49" t="n"/>
      <c r="M615" s="49" t="n"/>
      <c r="N615" s="49" t="n"/>
      <c r="O615" s="49" t="n"/>
      <c r="P615" s="49" t="n"/>
    </row>
    <row r="616" ht="15.75" customHeight="1" s="57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49" t="n"/>
      <c r="L616" s="49" t="n"/>
      <c r="M616" s="49" t="n"/>
      <c r="N616" s="49" t="n"/>
      <c r="O616" s="49" t="n"/>
      <c r="P616" s="49" t="n"/>
    </row>
    <row r="617" ht="15.75" customHeight="1" s="57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49" t="n"/>
      <c r="L617" s="49" t="n"/>
      <c r="M617" s="49" t="n"/>
      <c r="N617" s="49" t="n"/>
      <c r="O617" s="49" t="n"/>
      <c r="P617" s="49" t="n"/>
    </row>
    <row r="618" ht="15.75" customHeight="1" s="57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49" t="n"/>
      <c r="L618" s="49" t="n"/>
      <c r="M618" s="49" t="n"/>
      <c r="N618" s="49" t="n"/>
      <c r="O618" s="49" t="n"/>
      <c r="P618" s="49" t="n"/>
    </row>
    <row r="619" ht="15.75" customHeight="1" s="57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49" t="n"/>
      <c r="L619" s="49" t="n"/>
      <c r="M619" s="49" t="n"/>
      <c r="N619" s="49" t="n"/>
      <c r="O619" s="49" t="n"/>
      <c r="P619" s="49" t="n"/>
    </row>
    <row r="620" ht="15.75" customHeight="1" s="57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49" t="n"/>
      <c r="L620" s="49" t="n"/>
      <c r="M620" s="49" t="n"/>
      <c r="N620" s="49" t="n"/>
      <c r="O620" s="49" t="n"/>
      <c r="P620" s="49" t="n"/>
    </row>
    <row r="621" ht="15.75" customHeight="1" s="57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49" t="n"/>
      <c r="L621" s="49" t="n"/>
      <c r="M621" s="49" t="n"/>
      <c r="N621" s="49" t="n"/>
      <c r="O621" s="49" t="n"/>
      <c r="P621" s="49" t="n"/>
    </row>
    <row r="622" ht="15.75" customHeight="1" s="57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49" t="n"/>
      <c r="L622" s="49" t="n"/>
      <c r="M622" s="49" t="n"/>
      <c r="N622" s="49" t="n"/>
      <c r="O622" s="49" t="n"/>
      <c r="P622" s="49" t="n"/>
    </row>
    <row r="623" ht="15.75" customHeight="1" s="57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49" t="n"/>
      <c r="L623" s="49" t="n"/>
      <c r="M623" s="49" t="n"/>
      <c r="N623" s="49" t="n"/>
      <c r="O623" s="49" t="n"/>
      <c r="P623" s="49" t="n"/>
    </row>
    <row r="624" ht="15.75" customHeight="1" s="57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49" t="n"/>
      <c r="L624" s="49" t="n"/>
      <c r="M624" s="49" t="n"/>
      <c r="N624" s="49" t="n"/>
      <c r="O624" s="49" t="n"/>
      <c r="P624" s="49" t="n"/>
    </row>
    <row r="625" ht="15.75" customHeight="1" s="57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49" t="n"/>
      <c r="L625" s="49" t="n"/>
      <c r="M625" s="49" t="n"/>
      <c r="N625" s="49" t="n"/>
      <c r="O625" s="49" t="n"/>
      <c r="P625" s="49" t="n"/>
    </row>
    <row r="626" ht="15.75" customHeight="1" s="57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49" t="n"/>
      <c r="L626" s="49" t="n"/>
      <c r="M626" s="49" t="n"/>
      <c r="N626" s="49" t="n"/>
      <c r="O626" s="49" t="n"/>
      <c r="P626" s="49" t="n"/>
    </row>
    <row r="627" ht="15.75" customHeight="1" s="57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49" t="n"/>
      <c r="L627" s="49" t="n"/>
      <c r="M627" s="49" t="n"/>
      <c r="N627" s="49" t="n"/>
      <c r="O627" s="49" t="n"/>
      <c r="P627" s="49" t="n"/>
    </row>
    <row r="628" ht="15.75" customHeight="1" s="57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49" t="n"/>
      <c r="L628" s="49" t="n"/>
      <c r="M628" s="49" t="n"/>
      <c r="N628" s="49" t="n"/>
      <c r="O628" s="49" t="n"/>
      <c r="P628" s="49" t="n"/>
    </row>
    <row r="629" ht="15.75" customHeight="1" s="57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49" t="n"/>
      <c r="L629" s="49" t="n"/>
      <c r="M629" s="49" t="n"/>
      <c r="N629" s="49" t="n"/>
      <c r="O629" s="49" t="n"/>
      <c r="P629" s="49" t="n"/>
    </row>
    <row r="630" ht="15.75" customHeight="1" s="57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49" t="n"/>
      <c r="L630" s="49" t="n"/>
      <c r="M630" s="49" t="n"/>
      <c r="N630" s="49" t="n"/>
      <c r="O630" s="49" t="n"/>
      <c r="P630" s="49" t="n"/>
    </row>
    <row r="631" ht="15.75" customHeight="1" s="57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49" t="n"/>
      <c r="L631" s="49" t="n"/>
      <c r="M631" s="49" t="n"/>
      <c r="N631" s="49" t="n"/>
      <c r="O631" s="49" t="n"/>
      <c r="P631" s="49" t="n"/>
    </row>
    <row r="632" ht="15.75" customHeight="1" s="57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49" t="n"/>
      <c r="L632" s="49" t="n"/>
      <c r="M632" s="49" t="n"/>
      <c r="N632" s="49" t="n"/>
      <c r="O632" s="49" t="n"/>
      <c r="P632" s="49" t="n"/>
    </row>
    <row r="633" ht="15.75" customHeight="1" s="57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49" t="n"/>
      <c r="L633" s="49" t="n"/>
      <c r="M633" s="49" t="n"/>
      <c r="N633" s="49" t="n"/>
      <c r="O633" s="49" t="n"/>
      <c r="P633" s="49" t="n"/>
    </row>
    <row r="634" ht="15.75" customHeight="1" s="57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49" t="n"/>
      <c r="L634" s="49" t="n"/>
      <c r="M634" s="49" t="n"/>
      <c r="N634" s="49" t="n"/>
      <c r="O634" s="49" t="n"/>
      <c r="P634" s="49" t="n"/>
    </row>
    <row r="635" ht="15.75" customHeight="1" s="57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49" t="n"/>
      <c r="L635" s="49" t="n"/>
      <c r="M635" s="49" t="n"/>
      <c r="N635" s="49" t="n"/>
      <c r="O635" s="49" t="n"/>
      <c r="P635" s="49" t="n"/>
    </row>
    <row r="636" ht="15.75" customHeight="1" s="57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49" t="n"/>
      <c r="L636" s="49" t="n"/>
      <c r="M636" s="49" t="n"/>
      <c r="N636" s="49" t="n"/>
      <c r="O636" s="49" t="n"/>
      <c r="P636" s="49" t="n"/>
    </row>
    <row r="637" ht="15.75" customHeight="1" s="57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49" t="n"/>
      <c r="L637" s="49" t="n"/>
      <c r="M637" s="49" t="n"/>
      <c r="N637" s="49" t="n"/>
      <c r="O637" s="49" t="n"/>
      <c r="P637" s="49" t="n"/>
    </row>
    <row r="638" ht="15.75" customHeight="1" s="57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49" t="n"/>
      <c r="L638" s="49" t="n"/>
      <c r="M638" s="49" t="n"/>
      <c r="N638" s="49" t="n"/>
      <c r="O638" s="49" t="n"/>
      <c r="P638" s="49" t="n"/>
    </row>
    <row r="639" ht="15.75" customHeight="1" s="57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49" t="n"/>
      <c r="L639" s="49" t="n"/>
      <c r="M639" s="49" t="n"/>
      <c r="N639" s="49" t="n"/>
      <c r="O639" s="49" t="n"/>
      <c r="P639" s="49" t="n"/>
    </row>
    <row r="640" ht="15.75" customHeight="1" s="57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49" t="n"/>
      <c r="L640" s="49" t="n"/>
      <c r="M640" s="49" t="n"/>
      <c r="N640" s="49" t="n"/>
      <c r="O640" s="49" t="n"/>
      <c r="P640" s="49" t="n"/>
    </row>
    <row r="641" ht="15.75" customHeight="1" s="57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49" t="n"/>
      <c r="L641" s="49" t="n"/>
      <c r="M641" s="49" t="n"/>
      <c r="N641" s="49" t="n"/>
      <c r="O641" s="49" t="n"/>
      <c r="P641" s="49" t="n"/>
    </row>
    <row r="642" ht="15.75" customHeight="1" s="57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49" t="n"/>
      <c r="L642" s="49" t="n"/>
      <c r="M642" s="49" t="n"/>
      <c r="N642" s="49" t="n"/>
      <c r="O642" s="49" t="n"/>
      <c r="P642" s="49" t="n"/>
    </row>
    <row r="643" ht="15.75" customHeight="1" s="57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49" t="n"/>
      <c r="L643" s="49" t="n"/>
      <c r="M643" s="49" t="n"/>
      <c r="N643" s="49" t="n"/>
      <c r="O643" s="49" t="n"/>
      <c r="P643" s="49" t="n"/>
    </row>
    <row r="644" ht="15.75" customHeight="1" s="57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49" t="n"/>
      <c r="L644" s="49" t="n"/>
      <c r="M644" s="49" t="n"/>
      <c r="N644" s="49" t="n"/>
      <c r="O644" s="49" t="n"/>
      <c r="P644" s="49" t="n"/>
    </row>
    <row r="645" ht="15.75" customHeight="1" s="57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49" t="n"/>
      <c r="L645" s="49" t="n"/>
      <c r="M645" s="49" t="n"/>
      <c r="N645" s="49" t="n"/>
      <c r="O645" s="49" t="n"/>
      <c r="P645" s="49" t="n"/>
    </row>
    <row r="646" ht="15.75" customHeight="1" s="57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49" t="n"/>
      <c r="L646" s="49" t="n"/>
      <c r="M646" s="49" t="n"/>
      <c r="N646" s="49" t="n"/>
      <c r="O646" s="49" t="n"/>
      <c r="P646" s="49" t="n"/>
    </row>
    <row r="647" ht="15.75" customHeight="1" s="57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49" t="n"/>
      <c r="L647" s="49" t="n"/>
      <c r="M647" s="49" t="n"/>
      <c r="N647" s="49" t="n"/>
      <c r="O647" s="49" t="n"/>
      <c r="P647" s="49" t="n"/>
    </row>
    <row r="648" ht="15.75" customHeight="1" s="57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49" t="n"/>
      <c r="L648" s="49" t="n"/>
      <c r="M648" s="49" t="n"/>
      <c r="N648" s="49" t="n"/>
      <c r="O648" s="49" t="n"/>
      <c r="P648" s="49" t="n"/>
    </row>
    <row r="649" ht="15.75" customHeight="1" s="57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49" t="n"/>
      <c r="L649" s="49" t="n"/>
      <c r="M649" s="49" t="n"/>
      <c r="N649" s="49" t="n"/>
      <c r="O649" s="49" t="n"/>
      <c r="P649" s="49" t="n"/>
    </row>
    <row r="650" ht="15.75" customHeight="1" s="57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49" t="n"/>
      <c r="L650" s="49" t="n"/>
      <c r="M650" s="49" t="n"/>
      <c r="N650" s="49" t="n"/>
      <c r="O650" s="49" t="n"/>
      <c r="P650" s="49" t="n"/>
    </row>
    <row r="651" ht="15.75" customHeight="1" s="57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49" t="n"/>
      <c r="L651" s="49" t="n"/>
      <c r="M651" s="49" t="n"/>
      <c r="N651" s="49" t="n"/>
      <c r="O651" s="49" t="n"/>
      <c r="P651" s="49" t="n"/>
    </row>
    <row r="652" ht="15.75" customHeight="1" s="57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49" t="n"/>
      <c r="L652" s="49" t="n"/>
      <c r="M652" s="49" t="n"/>
      <c r="N652" s="49" t="n"/>
      <c r="O652" s="49" t="n"/>
      <c r="P652" s="49" t="n"/>
    </row>
    <row r="653" ht="15.75" customHeight="1" s="57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49" t="n"/>
      <c r="L653" s="49" t="n"/>
      <c r="M653" s="49" t="n"/>
      <c r="N653" s="49" t="n"/>
      <c r="O653" s="49" t="n"/>
      <c r="P653" s="49" t="n"/>
    </row>
    <row r="654" ht="15.75" customHeight="1" s="57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49" t="n"/>
      <c r="L654" s="49" t="n"/>
      <c r="M654" s="49" t="n"/>
      <c r="N654" s="49" t="n"/>
      <c r="O654" s="49" t="n"/>
      <c r="P654" s="49" t="n"/>
    </row>
    <row r="655" ht="15.75" customHeight="1" s="57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49" t="n"/>
      <c r="L655" s="49" t="n"/>
      <c r="M655" s="49" t="n"/>
      <c r="N655" s="49" t="n"/>
      <c r="O655" s="49" t="n"/>
      <c r="P655" s="49" t="n"/>
    </row>
    <row r="656" ht="15.75" customHeight="1" s="57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49" t="n"/>
      <c r="L656" s="49" t="n"/>
      <c r="M656" s="49" t="n"/>
      <c r="N656" s="49" t="n"/>
      <c r="O656" s="49" t="n"/>
      <c r="P656" s="49" t="n"/>
    </row>
    <row r="657" ht="15.75" customHeight="1" s="57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49" t="n"/>
      <c r="L657" s="49" t="n"/>
      <c r="M657" s="49" t="n"/>
      <c r="N657" s="49" t="n"/>
      <c r="O657" s="49" t="n"/>
      <c r="P657" s="49" t="n"/>
    </row>
    <row r="658" ht="15.75" customHeight="1" s="57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49" t="n"/>
      <c r="L658" s="49" t="n"/>
      <c r="M658" s="49" t="n"/>
      <c r="N658" s="49" t="n"/>
      <c r="O658" s="49" t="n"/>
      <c r="P658" s="49" t="n"/>
    </row>
    <row r="659" ht="15.75" customHeight="1" s="57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49" t="n"/>
      <c r="L659" s="49" t="n"/>
      <c r="M659" s="49" t="n"/>
      <c r="N659" s="49" t="n"/>
      <c r="O659" s="49" t="n"/>
      <c r="P659" s="49" t="n"/>
    </row>
    <row r="660" ht="15.75" customHeight="1" s="57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49" t="n"/>
      <c r="L660" s="49" t="n"/>
      <c r="M660" s="49" t="n"/>
      <c r="N660" s="49" t="n"/>
      <c r="O660" s="49" t="n"/>
      <c r="P660" s="49" t="n"/>
    </row>
    <row r="661" ht="15.75" customHeight="1" s="57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49" t="n"/>
      <c r="L661" s="49" t="n"/>
      <c r="M661" s="49" t="n"/>
      <c r="N661" s="49" t="n"/>
      <c r="O661" s="49" t="n"/>
      <c r="P661" s="49" t="n"/>
    </row>
    <row r="662" ht="15.75" customHeight="1" s="57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49" t="n"/>
      <c r="L662" s="49" t="n"/>
      <c r="M662" s="49" t="n"/>
      <c r="N662" s="49" t="n"/>
      <c r="O662" s="49" t="n"/>
      <c r="P662" s="49" t="n"/>
    </row>
    <row r="663" ht="15.75" customHeight="1" s="57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49" t="n"/>
      <c r="L663" s="49" t="n"/>
      <c r="M663" s="49" t="n"/>
      <c r="N663" s="49" t="n"/>
      <c r="O663" s="49" t="n"/>
      <c r="P663" s="49" t="n"/>
    </row>
    <row r="664" ht="15.75" customHeight="1" s="57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49" t="n"/>
      <c r="L664" s="49" t="n"/>
      <c r="M664" s="49" t="n"/>
      <c r="N664" s="49" t="n"/>
      <c r="O664" s="49" t="n"/>
      <c r="P664" s="49" t="n"/>
    </row>
    <row r="665" ht="15.75" customHeight="1" s="57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49" t="n"/>
      <c r="L665" s="49" t="n"/>
      <c r="M665" s="49" t="n"/>
      <c r="N665" s="49" t="n"/>
      <c r="O665" s="49" t="n"/>
      <c r="P665" s="49" t="n"/>
    </row>
    <row r="666" ht="15.75" customHeight="1" s="57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49" t="n"/>
      <c r="L666" s="49" t="n"/>
      <c r="M666" s="49" t="n"/>
      <c r="N666" s="49" t="n"/>
      <c r="O666" s="49" t="n"/>
      <c r="P666" s="49" t="n"/>
    </row>
    <row r="667" ht="15.75" customHeight="1" s="57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49" t="n"/>
      <c r="L667" s="49" t="n"/>
      <c r="M667" s="49" t="n"/>
      <c r="N667" s="49" t="n"/>
      <c r="O667" s="49" t="n"/>
      <c r="P667" s="49" t="n"/>
    </row>
    <row r="668" ht="15.75" customHeight="1" s="57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49" t="n"/>
      <c r="L668" s="49" t="n"/>
      <c r="M668" s="49" t="n"/>
      <c r="N668" s="49" t="n"/>
      <c r="O668" s="49" t="n"/>
      <c r="P668" s="49" t="n"/>
    </row>
    <row r="669" ht="15.75" customHeight="1" s="57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49" t="n"/>
      <c r="L669" s="49" t="n"/>
      <c r="M669" s="49" t="n"/>
      <c r="N669" s="49" t="n"/>
      <c r="O669" s="49" t="n"/>
      <c r="P669" s="49" t="n"/>
    </row>
    <row r="670" ht="15.75" customHeight="1" s="57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49" t="n"/>
      <c r="L670" s="49" t="n"/>
      <c r="M670" s="49" t="n"/>
      <c r="N670" s="49" t="n"/>
      <c r="O670" s="49" t="n"/>
      <c r="P670" s="49" t="n"/>
    </row>
    <row r="671" ht="15.75" customHeight="1" s="57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49" t="n"/>
      <c r="L671" s="49" t="n"/>
      <c r="M671" s="49" t="n"/>
      <c r="N671" s="49" t="n"/>
      <c r="O671" s="49" t="n"/>
      <c r="P671" s="49" t="n"/>
    </row>
    <row r="672" ht="15.75" customHeight="1" s="57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49" t="n"/>
      <c r="L672" s="49" t="n"/>
      <c r="M672" s="49" t="n"/>
      <c r="N672" s="49" t="n"/>
      <c r="O672" s="49" t="n"/>
      <c r="P672" s="49" t="n"/>
    </row>
    <row r="673" ht="15.75" customHeight="1" s="57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49" t="n"/>
      <c r="L673" s="49" t="n"/>
      <c r="M673" s="49" t="n"/>
      <c r="N673" s="49" t="n"/>
      <c r="O673" s="49" t="n"/>
      <c r="P673" s="49" t="n"/>
    </row>
    <row r="674" ht="15.75" customHeight="1" s="57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49" t="n"/>
      <c r="L674" s="49" t="n"/>
      <c r="M674" s="49" t="n"/>
      <c r="N674" s="49" t="n"/>
      <c r="O674" s="49" t="n"/>
      <c r="P674" s="49" t="n"/>
    </row>
    <row r="675" ht="15.75" customHeight="1" s="57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49" t="n"/>
      <c r="L675" s="49" t="n"/>
      <c r="M675" s="49" t="n"/>
      <c r="N675" s="49" t="n"/>
      <c r="O675" s="49" t="n"/>
      <c r="P675" s="49" t="n"/>
    </row>
    <row r="676" ht="15.75" customHeight="1" s="57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49" t="n"/>
      <c r="L676" s="49" t="n"/>
      <c r="M676" s="49" t="n"/>
      <c r="N676" s="49" t="n"/>
      <c r="O676" s="49" t="n"/>
      <c r="P676" s="49" t="n"/>
    </row>
    <row r="677" ht="15.75" customHeight="1" s="57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49" t="n"/>
      <c r="L677" s="49" t="n"/>
      <c r="M677" s="49" t="n"/>
      <c r="N677" s="49" t="n"/>
      <c r="O677" s="49" t="n"/>
      <c r="P677" s="49" t="n"/>
    </row>
    <row r="678" ht="15.75" customHeight="1" s="57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49" t="n"/>
      <c r="L678" s="49" t="n"/>
      <c r="M678" s="49" t="n"/>
      <c r="N678" s="49" t="n"/>
      <c r="O678" s="49" t="n"/>
      <c r="P678" s="49" t="n"/>
    </row>
    <row r="679" ht="15.75" customHeight="1" s="57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49" t="n"/>
      <c r="L679" s="49" t="n"/>
      <c r="M679" s="49" t="n"/>
      <c r="N679" s="49" t="n"/>
      <c r="O679" s="49" t="n"/>
      <c r="P679" s="49" t="n"/>
    </row>
    <row r="680" ht="15.75" customHeight="1" s="57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49" t="n"/>
      <c r="L680" s="49" t="n"/>
      <c r="M680" s="49" t="n"/>
      <c r="N680" s="49" t="n"/>
      <c r="O680" s="49" t="n"/>
      <c r="P680" s="49" t="n"/>
    </row>
    <row r="681" ht="15.75" customHeight="1" s="57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49" t="n"/>
      <c r="L681" s="49" t="n"/>
      <c r="M681" s="49" t="n"/>
      <c r="N681" s="49" t="n"/>
      <c r="O681" s="49" t="n"/>
      <c r="P681" s="49" t="n"/>
    </row>
    <row r="682" ht="15.75" customHeight="1" s="57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49" t="n"/>
      <c r="L682" s="49" t="n"/>
      <c r="M682" s="49" t="n"/>
      <c r="N682" s="49" t="n"/>
      <c r="O682" s="49" t="n"/>
      <c r="P682" s="49" t="n"/>
    </row>
    <row r="683" ht="15.75" customHeight="1" s="57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49" t="n"/>
      <c r="L683" s="49" t="n"/>
      <c r="M683" s="49" t="n"/>
      <c r="N683" s="49" t="n"/>
      <c r="O683" s="49" t="n"/>
      <c r="P683" s="49" t="n"/>
    </row>
    <row r="684" ht="15.75" customHeight="1" s="57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49" t="n"/>
      <c r="L684" s="49" t="n"/>
      <c r="M684" s="49" t="n"/>
      <c r="N684" s="49" t="n"/>
      <c r="O684" s="49" t="n"/>
      <c r="P684" s="49" t="n"/>
    </row>
    <row r="685" ht="15.75" customHeight="1" s="57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49" t="n"/>
      <c r="L685" s="49" t="n"/>
      <c r="M685" s="49" t="n"/>
      <c r="N685" s="49" t="n"/>
      <c r="O685" s="49" t="n"/>
      <c r="P685" s="49" t="n"/>
    </row>
    <row r="686" ht="15.75" customHeight="1" s="57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49" t="n"/>
      <c r="L686" s="49" t="n"/>
      <c r="M686" s="49" t="n"/>
      <c r="N686" s="49" t="n"/>
      <c r="O686" s="49" t="n"/>
      <c r="P686" s="49" t="n"/>
    </row>
    <row r="687" ht="15.75" customHeight="1" s="57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49" t="n"/>
      <c r="L687" s="49" t="n"/>
      <c r="M687" s="49" t="n"/>
      <c r="N687" s="49" t="n"/>
      <c r="O687" s="49" t="n"/>
      <c r="P687" s="49" t="n"/>
    </row>
    <row r="688" ht="15.75" customHeight="1" s="57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49" t="n"/>
      <c r="L688" s="49" t="n"/>
      <c r="M688" s="49" t="n"/>
      <c r="N688" s="49" t="n"/>
      <c r="O688" s="49" t="n"/>
      <c r="P688" s="49" t="n"/>
    </row>
    <row r="689" ht="15.75" customHeight="1" s="57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49" t="n"/>
      <c r="L689" s="49" t="n"/>
      <c r="M689" s="49" t="n"/>
      <c r="N689" s="49" t="n"/>
      <c r="O689" s="49" t="n"/>
      <c r="P689" s="49" t="n"/>
    </row>
    <row r="690" ht="15.75" customHeight="1" s="57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49" t="n"/>
      <c r="L690" s="49" t="n"/>
      <c r="M690" s="49" t="n"/>
      <c r="N690" s="49" t="n"/>
      <c r="O690" s="49" t="n"/>
      <c r="P690" s="49" t="n"/>
    </row>
    <row r="691" ht="15.75" customHeight="1" s="57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49" t="n"/>
      <c r="L691" s="49" t="n"/>
      <c r="M691" s="49" t="n"/>
      <c r="N691" s="49" t="n"/>
      <c r="O691" s="49" t="n"/>
      <c r="P691" s="49" t="n"/>
    </row>
    <row r="692" ht="15.75" customHeight="1" s="57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49" t="n"/>
      <c r="L692" s="49" t="n"/>
      <c r="M692" s="49" t="n"/>
      <c r="N692" s="49" t="n"/>
      <c r="O692" s="49" t="n"/>
      <c r="P692" s="49" t="n"/>
    </row>
    <row r="693" ht="15.75" customHeight="1" s="57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49" t="n"/>
      <c r="L693" s="49" t="n"/>
      <c r="M693" s="49" t="n"/>
      <c r="N693" s="49" t="n"/>
      <c r="O693" s="49" t="n"/>
      <c r="P693" s="49" t="n"/>
    </row>
    <row r="694" ht="15.75" customHeight="1" s="57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49" t="n"/>
      <c r="L694" s="49" t="n"/>
      <c r="M694" s="49" t="n"/>
      <c r="N694" s="49" t="n"/>
      <c r="O694" s="49" t="n"/>
      <c r="P694" s="49" t="n"/>
    </row>
    <row r="695" ht="15.75" customHeight="1" s="57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49" t="n"/>
      <c r="L695" s="49" t="n"/>
      <c r="M695" s="49" t="n"/>
      <c r="N695" s="49" t="n"/>
      <c r="O695" s="49" t="n"/>
      <c r="P695" s="49" t="n"/>
    </row>
    <row r="696" ht="15.75" customHeight="1" s="57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49" t="n"/>
      <c r="L696" s="49" t="n"/>
      <c r="M696" s="49" t="n"/>
      <c r="N696" s="49" t="n"/>
      <c r="O696" s="49" t="n"/>
      <c r="P696" s="49" t="n"/>
    </row>
    <row r="697" ht="15.75" customHeight="1" s="57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49" t="n"/>
      <c r="L697" s="49" t="n"/>
      <c r="M697" s="49" t="n"/>
      <c r="N697" s="49" t="n"/>
      <c r="O697" s="49" t="n"/>
      <c r="P697" s="49" t="n"/>
    </row>
    <row r="698" ht="15.75" customHeight="1" s="57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49" t="n"/>
      <c r="L698" s="49" t="n"/>
      <c r="M698" s="49" t="n"/>
      <c r="N698" s="49" t="n"/>
      <c r="O698" s="49" t="n"/>
      <c r="P698" s="49" t="n"/>
    </row>
    <row r="699" ht="15.75" customHeight="1" s="57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49" t="n"/>
      <c r="L699" s="49" t="n"/>
      <c r="M699" s="49" t="n"/>
      <c r="N699" s="49" t="n"/>
      <c r="O699" s="49" t="n"/>
      <c r="P699" s="49" t="n"/>
    </row>
    <row r="700" ht="15.75" customHeight="1" s="57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49" t="n"/>
      <c r="L700" s="49" t="n"/>
      <c r="M700" s="49" t="n"/>
      <c r="N700" s="49" t="n"/>
      <c r="O700" s="49" t="n"/>
      <c r="P700" s="49" t="n"/>
    </row>
    <row r="701" ht="15.75" customHeight="1" s="57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49" t="n"/>
      <c r="L701" s="49" t="n"/>
      <c r="M701" s="49" t="n"/>
      <c r="N701" s="49" t="n"/>
      <c r="O701" s="49" t="n"/>
      <c r="P701" s="49" t="n"/>
    </row>
    <row r="702" ht="15.75" customHeight="1" s="57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49" t="n"/>
      <c r="L702" s="49" t="n"/>
      <c r="M702" s="49" t="n"/>
      <c r="N702" s="49" t="n"/>
      <c r="O702" s="49" t="n"/>
      <c r="P702" s="49" t="n"/>
    </row>
    <row r="703" ht="15.75" customHeight="1" s="57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49" t="n"/>
      <c r="L703" s="49" t="n"/>
      <c r="M703" s="49" t="n"/>
      <c r="N703" s="49" t="n"/>
      <c r="O703" s="49" t="n"/>
      <c r="P703" s="49" t="n"/>
    </row>
    <row r="704" ht="15.75" customHeight="1" s="57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49" t="n"/>
      <c r="L704" s="49" t="n"/>
      <c r="M704" s="49" t="n"/>
      <c r="N704" s="49" t="n"/>
      <c r="O704" s="49" t="n"/>
      <c r="P704" s="49" t="n"/>
    </row>
    <row r="705" ht="15.75" customHeight="1" s="57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49" t="n"/>
      <c r="L705" s="49" t="n"/>
      <c r="M705" s="49" t="n"/>
      <c r="N705" s="49" t="n"/>
      <c r="O705" s="49" t="n"/>
      <c r="P705" s="49" t="n"/>
    </row>
    <row r="706" ht="15.75" customHeight="1" s="57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49" t="n"/>
      <c r="L706" s="49" t="n"/>
      <c r="M706" s="49" t="n"/>
      <c r="N706" s="49" t="n"/>
      <c r="O706" s="49" t="n"/>
      <c r="P706" s="49" t="n"/>
    </row>
    <row r="707" ht="15.75" customHeight="1" s="57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49" t="n"/>
      <c r="L707" s="49" t="n"/>
      <c r="M707" s="49" t="n"/>
      <c r="N707" s="49" t="n"/>
      <c r="O707" s="49" t="n"/>
      <c r="P707" s="49" t="n"/>
    </row>
    <row r="708" ht="15.75" customHeight="1" s="57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49" t="n"/>
      <c r="L708" s="49" t="n"/>
      <c r="M708" s="49" t="n"/>
      <c r="N708" s="49" t="n"/>
      <c r="O708" s="49" t="n"/>
      <c r="P708" s="49" t="n"/>
    </row>
    <row r="709" ht="15.75" customHeight="1" s="57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49" t="n"/>
      <c r="L709" s="49" t="n"/>
      <c r="M709" s="49" t="n"/>
      <c r="N709" s="49" t="n"/>
      <c r="O709" s="49" t="n"/>
      <c r="P709" s="49" t="n"/>
    </row>
    <row r="710" ht="15.75" customHeight="1" s="57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49" t="n"/>
      <c r="L710" s="49" t="n"/>
      <c r="M710" s="49" t="n"/>
      <c r="N710" s="49" t="n"/>
      <c r="O710" s="49" t="n"/>
      <c r="P710" s="49" t="n"/>
    </row>
    <row r="711" ht="15.75" customHeight="1" s="57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49" t="n"/>
      <c r="L711" s="49" t="n"/>
      <c r="M711" s="49" t="n"/>
      <c r="N711" s="49" t="n"/>
      <c r="O711" s="49" t="n"/>
      <c r="P711" s="49" t="n"/>
    </row>
    <row r="712" ht="15.75" customHeight="1" s="57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49" t="n"/>
      <c r="L712" s="49" t="n"/>
      <c r="M712" s="49" t="n"/>
      <c r="N712" s="49" t="n"/>
      <c r="O712" s="49" t="n"/>
      <c r="P712" s="49" t="n"/>
    </row>
    <row r="713" ht="15.75" customHeight="1" s="57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49" t="n"/>
      <c r="L713" s="49" t="n"/>
      <c r="M713" s="49" t="n"/>
      <c r="N713" s="49" t="n"/>
      <c r="O713" s="49" t="n"/>
      <c r="P713" s="49" t="n"/>
    </row>
    <row r="714" ht="15.75" customHeight="1" s="57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49" t="n"/>
      <c r="L714" s="49" t="n"/>
      <c r="M714" s="49" t="n"/>
      <c r="N714" s="49" t="n"/>
      <c r="O714" s="49" t="n"/>
      <c r="P714" s="49" t="n"/>
    </row>
    <row r="715" ht="15.75" customHeight="1" s="57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49" t="n"/>
      <c r="L715" s="49" t="n"/>
      <c r="M715" s="49" t="n"/>
      <c r="N715" s="49" t="n"/>
      <c r="O715" s="49" t="n"/>
      <c r="P715" s="49" t="n"/>
    </row>
    <row r="716" ht="15.75" customHeight="1" s="57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49" t="n"/>
      <c r="L716" s="49" t="n"/>
      <c r="M716" s="49" t="n"/>
      <c r="N716" s="49" t="n"/>
      <c r="O716" s="49" t="n"/>
      <c r="P716" s="49" t="n"/>
    </row>
    <row r="717" ht="15.75" customHeight="1" s="57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49" t="n"/>
      <c r="L717" s="49" t="n"/>
      <c r="M717" s="49" t="n"/>
      <c r="N717" s="49" t="n"/>
      <c r="O717" s="49" t="n"/>
      <c r="P717" s="49" t="n"/>
    </row>
    <row r="718" ht="15.75" customHeight="1" s="57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49" t="n"/>
      <c r="L718" s="49" t="n"/>
      <c r="M718" s="49" t="n"/>
      <c r="N718" s="49" t="n"/>
      <c r="O718" s="49" t="n"/>
      <c r="P718" s="49" t="n"/>
    </row>
    <row r="719" ht="15.75" customHeight="1" s="57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49" t="n"/>
      <c r="L719" s="49" t="n"/>
      <c r="M719" s="49" t="n"/>
      <c r="N719" s="49" t="n"/>
      <c r="O719" s="49" t="n"/>
      <c r="P719" s="49" t="n"/>
    </row>
    <row r="720" ht="15.75" customHeight="1" s="57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49" t="n"/>
      <c r="L720" s="49" t="n"/>
      <c r="M720" s="49" t="n"/>
      <c r="N720" s="49" t="n"/>
      <c r="O720" s="49" t="n"/>
      <c r="P720" s="49" t="n"/>
    </row>
    <row r="721" ht="15.75" customHeight="1" s="57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49" t="n"/>
      <c r="L721" s="49" t="n"/>
      <c r="M721" s="49" t="n"/>
      <c r="N721" s="49" t="n"/>
      <c r="O721" s="49" t="n"/>
      <c r="P721" s="49" t="n"/>
    </row>
    <row r="722" ht="15.75" customHeight="1" s="57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49" t="n"/>
      <c r="L722" s="49" t="n"/>
      <c r="M722" s="49" t="n"/>
      <c r="N722" s="49" t="n"/>
      <c r="O722" s="49" t="n"/>
      <c r="P722" s="49" t="n"/>
    </row>
    <row r="723" ht="15.75" customHeight="1" s="57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49" t="n"/>
      <c r="L723" s="49" t="n"/>
      <c r="M723" s="49" t="n"/>
      <c r="N723" s="49" t="n"/>
      <c r="O723" s="49" t="n"/>
      <c r="P723" s="49" t="n"/>
    </row>
    <row r="724" ht="15.75" customHeight="1" s="57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49" t="n"/>
      <c r="L724" s="49" t="n"/>
      <c r="M724" s="49" t="n"/>
      <c r="N724" s="49" t="n"/>
      <c r="O724" s="49" t="n"/>
      <c r="P724" s="49" t="n"/>
    </row>
    <row r="725" ht="15.75" customHeight="1" s="57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49" t="n"/>
      <c r="L725" s="49" t="n"/>
      <c r="M725" s="49" t="n"/>
      <c r="N725" s="49" t="n"/>
      <c r="O725" s="49" t="n"/>
      <c r="P725" s="49" t="n"/>
    </row>
    <row r="726" ht="15.75" customHeight="1" s="57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49" t="n"/>
      <c r="L726" s="49" t="n"/>
      <c r="M726" s="49" t="n"/>
      <c r="N726" s="49" t="n"/>
      <c r="O726" s="49" t="n"/>
      <c r="P726" s="49" t="n"/>
    </row>
    <row r="727" ht="15.75" customHeight="1" s="57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49" t="n"/>
      <c r="L727" s="49" t="n"/>
      <c r="M727" s="49" t="n"/>
      <c r="N727" s="49" t="n"/>
      <c r="O727" s="49" t="n"/>
      <c r="P727" s="49" t="n"/>
    </row>
    <row r="728" ht="15.75" customHeight="1" s="57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49" t="n"/>
      <c r="L728" s="49" t="n"/>
      <c r="M728" s="49" t="n"/>
      <c r="N728" s="49" t="n"/>
      <c r="O728" s="49" t="n"/>
      <c r="P728" s="49" t="n"/>
    </row>
    <row r="729" ht="15.75" customHeight="1" s="57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49" t="n"/>
      <c r="L729" s="49" t="n"/>
      <c r="M729" s="49" t="n"/>
      <c r="N729" s="49" t="n"/>
      <c r="O729" s="49" t="n"/>
      <c r="P729" s="49" t="n"/>
    </row>
    <row r="730" ht="15.75" customHeight="1" s="57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49" t="n"/>
      <c r="L730" s="49" t="n"/>
      <c r="M730" s="49" t="n"/>
      <c r="N730" s="49" t="n"/>
      <c r="O730" s="49" t="n"/>
      <c r="P730" s="49" t="n"/>
    </row>
    <row r="731" ht="15.75" customHeight="1" s="57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49" t="n"/>
      <c r="L731" s="49" t="n"/>
      <c r="M731" s="49" t="n"/>
      <c r="N731" s="49" t="n"/>
      <c r="O731" s="49" t="n"/>
      <c r="P731" s="49" t="n"/>
    </row>
    <row r="732" ht="15.75" customHeight="1" s="57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49" t="n"/>
      <c r="L732" s="49" t="n"/>
      <c r="M732" s="49" t="n"/>
      <c r="N732" s="49" t="n"/>
      <c r="O732" s="49" t="n"/>
      <c r="P732" s="49" t="n"/>
    </row>
    <row r="733" ht="15.75" customHeight="1" s="57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49" t="n"/>
      <c r="L733" s="49" t="n"/>
      <c r="M733" s="49" t="n"/>
      <c r="N733" s="49" t="n"/>
      <c r="O733" s="49" t="n"/>
      <c r="P733" s="49" t="n"/>
    </row>
    <row r="734" ht="15.75" customHeight="1" s="57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49" t="n"/>
      <c r="L734" s="49" t="n"/>
      <c r="M734" s="49" t="n"/>
      <c r="N734" s="49" t="n"/>
      <c r="O734" s="49" t="n"/>
      <c r="P734" s="49" t="n"/>
    </row>
    <row r="735" ht="15.75" customHeight="1" s="57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49" t="n"/>
      <c r="L735" s="49" t="n"/>
      <c r="M735" s="49" t="n"/>
      <c r="N735" s="49" t="n"/>
      <c r="O735" s="49" t="n"/>
      <c r="P735" s="49" t="n"/>
    </row>
    <row r="736" ht="15.75" customHeight="1" s="57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49" t="n"/>
      <c r="L736" s="49" t="n"/>
      <c r="M736" s="49" t="n"/>
      <c r="N736" s="49" t="n"/>
      <c r="O736" s="49" t="n"/>
      <c r="P736" s="49" t="n"/>
    </row>
    <row r="737" ht="15.75" customHeight="1" s="57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49" t="n"/>
      <c r="L737" s="49" t="n"/>
      <c r="M737" s="49" t="n"/>
      <c r="N737" s="49" t="n"/>
      <c r="O737" s="49" t="n"/>
      <c r="P737" s="49" t="n"/>
    </row>
    <row r="738" ht="15.75" customHeight="1" s="57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49" t="n"/>
      <c r="L738" s="49" t="n"/>
      <c r="M738" s="49" t="n"/>
      <c r="N738" s="49" t="n"/>
      <c r="O738" s="49" t="n"/>
      <c r="P738" s="49" t="n"/>
    </row>
    <row r="739" ht="15.75" customHeight="1" s="57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49" t="n"/>
      <c r="L739" s="49" t="n"/>
      <c r="M739" s="49" t="n"/>
      <c r="N739" s="49" t="n"/>
      <c r="O739" s="49" t="n"/>
      <c r="P739" s="49" t="n"/>
    </row>
    <row r="740" ht="15.75" customHeight="1" s="57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49" t="n"/>
      <c r="L740" s="49" t="n"/>
      <c r="M740" s="49" t="n"/>
      <c r="N740" s="49" t="n"/>
      <c r="O740" s="49" t="n"/>
      <c r="P740" s="49" t="n"/>
    </row>
    <row r="741" ht="15.75" customHeight="1" s="57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49" t="n"/>
      <c r="L741" s="49" t="n"/>
      <c r="M741" s="49" t="n"/>
      <c r="N741" s="49" t="n"/>
      <c r="O741" s="49" t="n"/>
      <c r="P741" s="49" t="n"/>
    </row>
    <row r="742" ht="15.75" customHeight="1" s="57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49" t="n"/>
      <c r="L742" s="49" t="n"/>
      <c r="M742" s="49" t="n"/>
      <c r="N742" s="49" t="n"/>
      <c r="O742" s="49" t="n"/>
      <c r="P742" s="49" t="n"/>
    </row>
    <row r="743" ht="15.75" customHeight="1" s="57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49" t="n"/>
      <c r="L743" s="49" t="n"/>
      <c r="M743" s="49" t="n"/>
      <c r="N743" s="49" t="n"/>
      <c r="O743" s="49" t="n"/>
      <c r="P743" s="49" t="n"/>
    </row>
    <row r="744" ht="15.75" customHeight="1" s="57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49" t="n"/>
      <c r="L744" s="49" t="n"/>
      <c r="M744" s="49" t="n"/>
      <c r="N744" s="49" t="n"/>
      <c r="O744" s="49" t="n"/>
      <c r="P744" s="49" t="n"/>
    </row>
    <row r="745" ht="15.75" customHeight="1" s="57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49" t="n"/>
      <c r="L745" s="49" t="n"/>
      <c r="M745" s="49" t="n"/>
      <c r="N745" s="49" t="n"/>
      <c r="O745" s="49" t="n"/>
      <c r="P745" s="49" t="n"/>
    </row>
    <row r="746" ht="15.75" customHeight="1" s="57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49" t="n"/>
      <c r="L746" s="49" t="n"/>
      <c r="M746" s="49" t="n"/>
      <c r="N746" s="49" t="n"/>
      <c r="O746" s="49" t="n"/>
      <c r="P746" s="49" t="n"/>
    </row>
    <row r="747" ht="15.75" customHeight="1" s="57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49" t="n"/>
      <c r="L747" s="49" t="n"/>
      <c r="M747" s="49" t="n"/>
      <c r="N747" s="49" t="n"/>
      <c r="O747" s="49" t="n"/>
      <c r="P747" s="49" t="n"/>
    </row>
    <row r="748" ht="15.75" customHeight="1" s="57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49" t="n"/>
      <c r="L748" s="49" t="n"/>
      <c r="M748" s="49" t="n"/>
      <c r="N748" s="49" t="n"/>
      <c r="O748" s="49" t="n"/>
      <c r="P748" s="49" t="n"/>
    </row>
    <row r="749" ht="15.75" customHeight="1" s="57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49" t="n"/>
      <c r="L749" s="49" t="n"/>
      <c r="M749" s="49" t="n"/>
      <c r="N749" s="49" t="n"/>
      <c r="O749" s="49" t="n"/>
      <c r="P749" s="49" t="n"/>
    </row>
    <row r="750" ht="15.75" customHeight="1" s="57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49" t="n"/>
      <c r="L750" s="49" t="n"/>
      <c r="M750" s="49" t="n"/>
      <c r="N750" s="49" t="n"/>
      <c r="O750" s="49" t="n"/>
      <c r="P750" s="49" t="n"/>
    </row>
    <row r="751" ht="15.75" customHeight="1" s="57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49" t="n"/>
      <c r="L751" s="49" t="n"/>
      <c r="M751" s="49" t="n"/>
      <c r="N751" s="49" t="n"/>
      <c r="O751" s="49" t="n"/>
      <c r="P751" s="49" t="n"/>
    </row>
    <row r="752" ht="15.75" customHeight="1" s="57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49" t="n"/>
      <c r="L752" s="49" t="n"/>
      <c r="M752" s="49" t="n"/>
      <c r="N752" s="49" t="n"/>
      <c r="O752" s="49" t="n"/>
      <c r="P752" s="49" t="n"/>
    </row>
    <row r="753" ht="15.75" customHeight="1" s="57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49" t="n"/>
      <c r="L753" s="49" t="n"/>
      <c r="M753" s="49" t="n"/>
      <c r="N753" s="49" t="n"/>
      <c r="O753" s="49" t="n"/>
      <c r="P753" s="49" t="n"/>
    </row>
    <row r="754" ht="15.75" customHeight="1" s="57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49" t="n"/>
      <c r="L754" s="49" t="n"/>
      <c r="M754" s="49" t="n"/>
      <c r="N754" s="49" t="n"/>
      <c r="O754" s="49" t="n"/>
      <c r="P754" s="49" t="n"/>
    </row>
    <row r="755" ht="15.75" customHeight="1" s="57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49" t="n"/>
      <c r="L755" s="49" t="n"/>
      <c r="M755" s="49" t="n"/>
      <c r="N755" s="49" t="n"/>
      <c r="O755" s="49" t="n"/>
      <c r="P755" s="49" t="n"/>
    </row>
    <row r="756" ht="15.75" customHeight="1" s="57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49" t="n"/>
      <c r="L756" s="49" t="n"/>
      <c r="M756" s="49" t="n"/>
      <c r="N756" s="49" t="n"/>
      <c r="O756" s="49" t="n"/>
      <c r="P756" s="49" t="n"/>
    </row>
    <row r="757" ht="15.75" customHeight="1" s="57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49" t="n"/>
      <c r="L757" s="49" t="n"/>
      <c r="M757" s="49" t="n"/>
      <c r="N757" s="49" t="n"/>
      <c r="O757" s="49" t="n"/>
      <c r="P757" s="49" t="n"/>
    </row>
    <row r="758" ht="15.75" customHeight="1" s="57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49" t="n"/>
      <c r="L758" s="49" t="n"/>
      <c r="M758" s="49" t="n"/>
      <c r="N758" s="49" t="n"/>
      <c r="O758" s="49" t="n"/>
      <c r="P758" s="49" t="n"/>
    </row>
    <row r="759" ht="15.75" customHeight="1" s="57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49" t="n"/>
      <c r="L759" s="49" t="n"/>
      <c r="M759" s="49" t="n"/>
      <c r="N759" s="49" t="n"/>
      <c r="O759" s="49" t="n"/>
      <c r="P759" s="49" t="n"/>
    </row>
    <row r="760" ht="15.75" customHeight="1" s="57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49" t="n"/>
      <c r="L760" s="49" t="n"/>
      <c r="M760" s="49" t="n"/>
      <c r="N760" s="49" t="n"/>
      <c r="O760" s="49" t="n"/>
      <c r="P760" s="49" t="n"/>
    </row>
    <row r="761" ht="15.75" customHeight="1" s="57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49" t="n"/>
      <c r="L761" s="49" t="n"/>
      <c r="M761" s="49" t="n"/>
      <c r="N761" s="49" t="n"/>
      <c r="O761" s="49" t="n"/>
      <c r="P761" s="49" t="n"/>
    </row>
    <row r="762" ht="15.75" customHeight="1" s="57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49" t="n"/>
      <c r="L762" s="49" t="n"/>
      <c r="M762" s="49" t="n"/>
      <c r="N762" s="49" t="n"/>
      <c r="O762" s="49" t="n"/>
      <c r="P762" s="49" t="n"/>
    </row>
    <row r="763" ht="15.75" customHeight="1" s="57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49" t="n"/>
      <c r="L763" s="49" t="n"/>
      <c r="M763" s="49" t="n"/>
      <c r="N763" s="49" t="n"/>
      <c r="O763" s="49" t="n"/>
      <c r="P763" s="49" t="n"/>
    </row>
    <row r="764" ht="15.75" customHeight="1" s="57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49" t="n"/>
      <c r="L764" s="49" t="n"/>
      <c r="M764" s="49" t="n"/>
      <c r="N764" s="49" t="n"/>
      <c r="O764" s="49" t="n"/>
      <c r="P764" s="49" t="n"/>
    </row>
    <row r="765" ht="15.75" customHeight="1" s="57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49" t="n"/>
      <c r="L765" s="49" t="n"/>
      <c r="M765" s="49" t="n"/>
      <c r="N765" s="49" t="n"/>
      <c r="O765" s="49" t="n"/>
      <c r="P765" s="49" t="n"/>
    </row>
    <row r="766" ht="15.75" customHeight="1" s="57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49" t="n"/>
      <c r="L766" s="49" t="n"/>
      <c r="M766" s="49" t="n"/>
      <c r="N766" s="49" t="n"/>
      <c r="O766" s="49" t="n"/>
      <c r="P766" s="49" t="n"/>
    </row>
    <row r="767" ht="15.75" customHeight="1" s="57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49" t="n"/>
      <c r="L767" s="49" t="n"/>
      <c r="M767" s="49" t="n"/>
      <c r="N767" s="49" t="n"/>
      <c r="O767" s="49" t="n"/>
      <c r="P767" s="49" t="n"/>
    </row>
    <row r="768" ht="15.75" customHeight="1" s="57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49" t="n"/>
      <c r="L768" s="49" t="n"/>
      <c r="M768" s="49" t="n"/>
      <c r="N768" s="49" t="n"/>
      <c r="O768" s="49" t="n"/>
      <c r="P768" s="49" t="n"/>
    </row>
    <row r="769" ht="15.75" customHeight="1" s="57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49" t="n"/>
      <c r="L769" s="49" t="n"/>
      <c r="M769" s="49" t="n"/>
      <c r="N769" s="49" t="n"/>
      <c r="O769" s="49" t="n"/>
      <c r="P769" s="49" t="n"/>
    </row>
    <row r="770" ht="15.75" customHeight="1" s="57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49" t="n"/>
      <c r="L770" s="49" t="n"/>
      <c r="M770" s="49" t="n"/>
      <c r="N770" s="49" t="n"/>
      <c r="O770" s="49" t="n"/>
      <c r="P770" s="49" t="n"/>
    </row>
    <row r="771" ht="15.75" customHeight="1" s="57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49" t="n"/>
      <c r="L771" s="49" t="n"/>
      <c r="M771" s="49" t="n"/>
      <c r="N771" s="49" t="n"/>
      <c r="O771" s="49" t="n"/>
      <c r="P771" s="49" t="n"/>
    </row>
    <row r="772" ht="15.75" customHeight="1" s="57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49" t="n"/>
      <c r="L772" s="49" t="n"/>
      <c r="M772" s="49" t="n"/>
      <c r="N772" s="49" t="n"/>
      <c r="O772" s="49" t="n"/>
      <c r="P772" s="49" t="n"/>
    </row>
    <row r="773" ht="15.75" customHeight="1" s="57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49" t="n"/>
      <c r="L773" s="49" t="n"/>
      <c r="M773" s="49" t="n"/>
      <c r="N773" s="49" t="n"/>
      <c r="O773" s="49" t="n"/>
      <c r="P773" s="49" t="n"/>
    </row>
    <row r="774" ht="15.75" customHeight="1" s="57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49" t="n"/>
      <c r="L774" s="49" t="n"/>
      <c r="M774" s="49" t="n"/>
      <c r="N774" s="49" t="n"/>
      <c r="O774" s="49" t="n"/>
      <c r="P774" s="49" t="n"/>
    </row>
    <row r="775" ht="15.75" customHeight="1" s="57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49" t="n"/>
      <c r="L775" s="49" t="n"/>
      <c r="M775" s="49" t="n"/>
      <c r="N775" s="49" t="n"/>
      <c r="O775" s="49" t="n"/>
      <c r="P775" s="49" t="n"/>
    </row>
    <row r="776" ht="15.75" customHeight="1" s="57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49" t="n"/>
      <c r="L776" s="49" t="n"/>
      <c r="M776" s="49" t="n"/>
      <c r="N776" s="49" t="n"/>
      <c r="O776" s="49" t="n"/>
      <c r="P776" s="49" t="n"/>
    </row>
    <row r="777" ht="15.75" customHeight="1" s="57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49" t="n"/>
      <c r="L777" s="49" t="n"/>
      <c r="M777" s="49" t="n"/>
      <c r="N777" s="49" t="n"/>
      <c r="O777" s="49" t="n"/>
      <c r="P777" s="49" t="n"/>
    </row>
    <row r="778" ht="15.75" customHeight="1" s="57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49" t="n"/>
      <c r="L778" s="49" t="n"/>
      <c r="M778" s="49" t="n"/>
      <c r="N778" s="49" t="n"/>
      <c r="O778" s="49" t="n"/>
      <c r="P778" s="49" t="n"/>
    </row>
    <row r="779" ht="15.75" customHeight="1" s="57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49" t="n"/>
      <c r="L779" s="49" t="n"/>
      <c r="M779" s="49" t="n"/>
      <c r="N779" s="49" t="n"/>
      <c r="O779" s="49" t="n"/>
      <c r="P779" s="49" t="n"/>
    </row>
    <row r="780" ht="15.75" customHeight="1" s="57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49" t="n"/>
      <c r="L780" s="49" t="n"/>
      <c r="M780" s="49" t="n"/>
      <c r="N780" s="49" t="n"/>
      <c r="O780" s="49" t="n"/>
      <c r="P780" s="49" t="n"/>
    </row>
    <row r="781" ht="15.75" customHeight="1" s="57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49" t="n"/>
      <c r="L781" s="49" t="n"/>
      <c r="M781" s="49" t="n"/>
      <c r="N781" s="49" t="n"/>
      <c r="O781" s="49" t="n"/>
      <c r="P781" s="49" t="n"/>
    </row>
    <row r="782" ht="15.75" customHeight="1" s="57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49" t="n"/>
      <c r="L782" s="49" t="n"/>
      <c r="M782" s="49" t="n"/>
      <c r="N782" s="49" t="n"/>
      <c r="O782" s="49" t="n"/>
      <c r="P782" s="49" t="n"/>
    </row>
    <row r="783" ht="15.75" customHeight="1" s="57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49" t="n"/>
      <c r="L783" s="49" t="n"/>
      <c r="M783" s="49" t="n"/>
      <c r="N783" s="49" t="n"/>
      <c r="O783" s="49" t="n"/>
      <c r="P783" s="49" t="n"/>
    </row>
    <row r="784" ht="15.75" customHeight="1" s="57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49" t="n"/>
      <c r="L784" s="49" t="n"/>
      <c r="M784" s="49" t="n"/>
      <c r="N784" s="49" t="n"/>
      <c r="O784" s="49" t="n"/>
      <c r="P784" s="49" t="n"/>
    </row>
    <row r="785" ht="15.75" customHeight="1" s="57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49" t="n"/>
      <c r="L785" s="49" t="n"/>
      <c r="M785" s="49" t="n"/>
      <c r="N785" s="49" t="n"/>
      <c r="O785" s="49" t="n"/>
      <c r="P785" s="49" t="n"/>
    </row>
    <row r="786" ht="15.75" customHeight="1" s="57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49" t="n"/>
      <c r="L786" s="49" t="n"/>
      <c r="M786" s="49" t="n"/>
      <c r="N786" s="49" t="n"/>
      <c r="O786" s="49" t="n"/>
      <c r="P786" s="49" t="n"/>
    </row>
    <row r="787" ht="15.75" customHeight="1" s="57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49" t="n"/>
      <c r="L787" s="49" t="n"/>
      <c r="M787" s="49" t="n"/>
      <c r="N787" s="49" t="n"/>
      <c r="O787" s="49" t="n"/>
      <c r="P787" s="49" t="n"/>
    </row>
    <row r="788" ht="15.75" customHeight="1" s="57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49" t="n"/>
      <c r="L788" s="49" t="n"/>
      <c r="M788" s="49" t="n"/>
      <c r="N788" s="49" t="n"/>
      <c r="O788" s="49" t="n"/>
      <c r="P788" s="49" t="n"/>
    </row>
    <row r="789" ht="15.75" customHeight="1" s="57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49" t="n"/>
      <c r="L789" s="49" t="n"/>
      <c r="M789" s="49" t="n"/>
      <c r="N789" s="49" t="n"/>
      <c r="O789" s="49" t="n"/>
      <c r="P789" s="49" t="n"/>
    </row>
    <row r="790" ht="15.75" customHeight="1" s="57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49" t="n"/>
      <c r="L790" s="49" t="n"/>
      <c r="M790" s="49" t="n"/>
      <c r="N790" s="49" t="n"/>
      <c r="O790" s="49" t="n"/>
      <c r="P790" s="49" t="n"/>
    </row>
    <row r="791" ht="15.75" customHeight="1" s="57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49" t="n"/>
      <c r="L791" s="49" t="n"/>
      <c r="M791" s="49" t="n"/>
      <c r="N791" s="49" t="n"/>
      <c r="O791" s="49" t="n"/>
      <c r="P791" s="49" t="n"/>
    </row>
    <row r="792" ht="15.75" customHeight="1" s="57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49" t="n"/>
      <c r="L792" s="49" t="n"/>
      <c r="M792" s="49" t="n"/>
      <c r="N792" s="49" t="n"/>
      <c r="O792" s="49" t="n"/>
      <c r="P792" s="49" t="n"/>
    </row>
    <row r="793" ht="15.75" customHeight="1" s="57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49" t="n"/>
      <c r="L793" s="49" t="n"/>
      <c r="M793" s="49" t="n"/>
      <c r="N793" s="49" t="n"/>
      <c r="O793" s="49" t="n"/>
      <c r="P793" s="49" t="n"/>
    </row>
    <row r="794" ht="15.75" customHeight="1" s="57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49" t="n"/>
      <c r="L794" s="49" t="n"/>
      <c r="M794" s="49" t="n"/>
      <c r="N794" s="49" t="n"/>
      <c r="O794" s="49" t="n"/>
      <c r="P794" s="49" t="n"/>
    </row>
    <row r="795" ht="15.75" customHeight="1" s="57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49" t="n"/>
      <c r="L795" s="49" t="n"/>
      <c r="M795" s="49" t="n"/>
      <c r="N795" s="49" t="n"/>
      <c r="O795" s="49" t="n"/>
      <c r="P795" s="49" t="n"/>
    </row>
    <row r="796" ht="15.75" customHeight="1" s="57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49" t="n"/>
      <c r="L796" s="49" t="n"/>
      <c r="M796" s="49" t="n"/>
      <c r="N796" s="49" t="n"/>
      <c r="O796" s="49" t="n"/>
      <c r="P796" s="49" t="n"/>
    </row>
    <row r="797" ht="15.75" customHeight="1" s="57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49" t="n"/>
      <c r="L797" s="49" t="n"/>
      <c r="M797" s="49" t="n"/>
      <c r="N797" s="49" t="n"/>
      <c r="O797" s="49" t="n"/>
      <c r="P797" s="49" t="n"/>
    </row>
    <row r="798" ht="15.75" customHeight="1" s="57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49" t="n"/>
      <c r="L798" s="49" t="n"/>
      <c r="M798" s="49" t="n"/>
      <c r="N798" s="49" t="n"/>
      <c r="O798" s="49" t="n"/>
      <c r="P798" s="49" t="n"/>
    </row>
    <row r="799" ht="15.75" customHeight="1" s="57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49" t="n"/>
      <c r="L799" s="49" t="n"/>
      <c r="M799" s="49" t="n"/>
      <c r="N799" s="49" t="n"/>
      <c r="O799" s="49" t="n"/>
      <c r="P799" s="49" t="n"/>
    </row>
    <row r="800" ht="15.75" customHeight="1" s="57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49" t="n"/>
      <c r="L800" s="49" t="n"/>
      <c r="M800" s="49" t="n"/>
      <c r="N800" s="49" t="n"/>
      <c r="O800" s="49" t="n"/>
      <c r="P800" s="49" t="n"/>
    </row>
    <row r="801" ht="15.75" customHeight="1" s="57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49" t="n"/>
      <c r="L801" s="49" t="n"/>
      <c r="M801" s="49" t="n"/>
      <c r="N801" s="49" t="n"/>
      <c r="O801" s="49" t="n"/>
      <c r="P801" s="49" t="n"/>
    </row>
    <row r="802" ht="15.75" customHeight="1" s="57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49" t="n"/>
      <c r="L802" s="49" t="n"/>
      <c r="M802" s="49" t="n"/>
      <c r="N802" s="49" t="n"/>
      <c r="O802" s="49" t="n"/>
      <c r="P802" s="49" t="n"/>
    </row>
    <row r="803" ht="15.75" customHeight="1" s="57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49" t="n"/>
      <c r="L803" s="49" t="n"/>
      <c r="M803" s="49" t="n"/>
      <c r="N803" s="49" t="n"/>
      <c r="O803" s="49" t="n"/>
      <c r="P803" s="49" t="n"/>
    </row>
    <row r="804" ht="15.75" customHeight="1" s="57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49" t="n"/>
      <c r="L804" s="49" t="n"/>
      <c r="M804" s="49" t="n"/>
      <c r="N804" s="49" t="n"/>
      <c r="O804" s="49" t="n"/>
      <c r="P804" s="49" t="n"/>
    </row>
    <row r="805" ht="15.75" customHeight="1" s="57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49" t="n"/>
      <c r="L805" s="49" t="n"/>
      <c r="M805" s="49" t="n"/>
      <c r="N805" s="49" t="n"/>
      <c r="O805" s="49" t="n"/>
      <c r="P805" s="49" t="n"/>
    </row>
    <row r="806" ht="15.75" customHeight="1" s="57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49" t="n"/>
      <c r="L806" s="49" t="n"/>
      <c r="M806" s="49" t="n"/>
      <c r="N806" s="49" t="n"/>
      <c r="O806" s="49" t="n"/>
      <c r="P806" s="49" t="n"/>
    </row>
    <row r="807" ht="15.75" customHeight="1" s="57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49" t="n"/>
      <c r="L807" s="49" t="n"/>
      <c r="M807" s="49" t="n"/>
      <c r="N807" s="49" t="n"/>
      <c r="O807" s="49" t="n"/>
      <c r="P807" s="49" t="n"/>
    </row>
    <row r="808" ht="15.75" customHeight="1" s="57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49" t="n"/>
      <c r="L808" s="49" t="n"/>
      <c r="M808" s="49" t="n"/>
      <c r="N808" s="49" t="n"/>
      <c r="O808" s="49" t="n"/>
      <c r="P808" s="49" t="n"/>
    </row>
    <row r="809" ht="15.75" customHeight="1" s="57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49" t="n"/>
      <c r="L809" s="49" t="n"/>
      <c r="M809" s="49" t="n"/>
      <c r="N809" s="49" t="n"/>
      <c r="O809" s="49" t="n"/>
      <c r="P809" s="49" t="n"/>
    </row>
    <row r="810" ht="15.75" customHeight="1" s="57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49" t="n"/>
      <c r="L810" s="49" t="n"/>
      <c r="M810" s="49" t="n"/>
      <c r="N810" s="49" t="n"/>
      <c r="O810" s="49" t="n"/>
      <c r="P810" s="49" t="n"/>
    </row>
    <row r="811" ht="15.75" customHeight="1" s="57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49" t="n"/>
      <c r="L811" s="49" t="n"/>
      <c r="M811" s="49" t="n"/>
      <c r="N811" s="49" t="n"/>
      <c r="O811" s="49" t="n"/>
      <c r="P811" s="49" t="n"/>
    </row>
    <row r="812" ht="15.75" customHeight="1" s="57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49" t="n"/>
      <c r="L812" s="49" t="n"/>
      <c r="M812" s="49" t="n"/>
      <c r="N812" s="49" t="n"/>
      <c r="O812" s="49" t="n"/>
      <c r="P812" s="49" t="n"/>
    </row>
    <row r="813" ht="15.75" customHeight="1" s="57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49" t="n"/>
      <c r="L813" s="49" t="n"/>
      <c r="M813" s="49" t="n"/>
      <c r="N813" s="49" t="n"/>
      <c r="O813" s="49" t="n"/>
      <c r="P813" s="49" t="n"/>
    </row>
    <row r="814" ht="15.75" customHeight="1" s="57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49" t="n"/>
      <c r="L814" s="49" t="n"/>
      <c r="M814" s="49" t="n"/>
      <c r="N814" s="49" t="n"/>
      <c r="O814" s="49" t="n"/>
      <c r="P814" s="49" t="n"/>
    </row>
    <row r="815" ht="15.75" customHeight="1" s="57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49" t="n"/>
      <c r="L815" s="49" t="n"/>
      <c r="M815" s="49" t="n"/>
      <c r="N815" s="49" t="n"/>
      <c r="O815" s="49" t="n"/>
      <c r="P815" s="49" t="n"/>
    </row>
    <row r="816" ht="15.75" customHeight="1" s="57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49" t="n"/>
      <c r="L816" s="49" t="n"/>
      <c r="M816" s="49" t="n"/>
      <c r="N816" s="49" t="n"/>
      <c r="O816" s="49" t="n"/>
      <c r="P816" s="49" t="n"/>
    </row>
    <row r="817" ht="15.75" customHeight="1" s="57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49" t="n"/>
      <c r="L817" s="49" t="n"/>
      <c r="M817" s="49" t="n"/>
      <c r="N817" s="49" t="n"/>
      <c r="O817" s="49" t="n"/>
      <c r="P817" s="49" t="n"/>
    </row>
    <row r="818" ht="15.75" customHeight="1" s="57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49" t="n"/>
      <c r="L818" s="49" t="n"/>
      <c r="M818" s="49" t="n"/>
      <c r="N818" s="49" t="n"/>
      <c r="O818" s="49" t="n"/>
      <c r="P818" s="49" t="n"/>
    </row>
    <row r="819" ht="15.75" customHeight="1" s="57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49" t="n"/>
      <c r="L819" s="49" t="n"/>
      <c r="M819" s="49" t="n"/>
      <c r="N819" s="49" t="n"/>
      <c r="O819" s="49" t="n"/>
      <c r="P819" s="49" t="n"/>
    </row>
    <row r="820" ht="15.75" customHeight="1" s="57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49" t="n"/>
      <c r="L820" s="49" t="n"/>
      <c r="M820" s="49" t="n"/>
      <c r="N820" s="49" t="n"/>
      <c r="O820" s="49" t="n"/>
      <c r="P820" s="49" t="n"/>
    </row>
    <row r="821" ht="15.75" customHeight="1" s="57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49" t="n"/>
      <c r="L821" s="49" t="n"/>
      <c r="M821" s="49" t="n"/>
      <c r="N821" s="49" t="n"/>
      <c r="O821" s="49" t="n"/>
      <c r="P821" s="49" t="n"/>
    </row>
    <row r="822" ht="15.75" customHeight="1" s="57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49" t="n"/>
      <c r="L822" s="49" t="n"/>
      <c r="M822" s="49" t="n"/>
      <c r="N822" s="49" t="n"/>
      <c r="O822" s="49" t="n"/>
      <c r="P822" s="49" t="n"/>
    </row>
    <row r="823" ht="15.75" customHeight="1" s="57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49" t="n"/>
      <c r="L823" s="49" t="n"/>
      <c r="M823" s="49" t="n"/>
      <c r="N823" s="49" t="n"/>
      <c r="O823" s="49" t="n"/>
      <c r="P823" s="49" t="n"/>
    </row>
    <row r="824" ht="15.75" customHeight="1" s="57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49" t="n"/>
      <c r="L824" s="49" t="n"/>
      <c r="M824" s="49" t="n"/>
      <c r="N824" s="49" t="n"/>
      <c r="O824" s="49" t="n"/>
      <c r="P824" s="49" t="n"/>
    </row>
    <row r="825" ht="15.75" customHeight="1" s="57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49" t="n"/>
      <c r="L825" s="49" t="n"/>
      <c r="M825" s="49" t="n"/>
      <c r="N825" s="49" t="n"/>
      <c r="O825" s="49" t="n"/>
      <c r="P825" s="49" t="n"/>
    </row>
    <row r="826" ht="15.75" customHeight="1" s="57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49" t="n"/>
      <c r="L826" s="49" t="n"/>
      <c r="M826" s="49" t="n"/>
      <c r="N826" s="49" t="n"/>
      <c r="O826" s="49" t="n"/>
      <c r="P826" s="49" t="n"/>
    </row>
    <row r="827" ht="15.75" customHeight="1" s="57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49" t="n"/>
      <c r="L827" s="49" t="n"/>
      <c r="M827" s="49" t="n"/>
      <c r="N827" s="49" t="n"/>
      <c r="O827" s="49" t="n"/>
      <c r="P827" s="49" t="n"/>
    </row>
    <row r="828" ht="15.75" customHeight="1" s="57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49" t="n"/>
      <c r="L828" s="49" t="n"/>
      <c r="M828" s="49" t="n"/>
      <c r="N828" s="49" t="n"/>
      <c r="O828" s="49" t="n"/>
      <c r="P828" s="49" t="n"/>
    </row>
    <row r="829" ht="15.75" customHeight="1" s="57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49" t="n"/>
      <c r="L829" s="49" t="n"/>
      <c r="M829" s="49" t="n"/>
      <c r="N829" s="49" t="n"/>
      <c r="O829" s="49" t="n"/>
      <c r="P829" s="49" t="n"/>
    </row>
    <row r="830" ht="15.75" customHeight="1" s="57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49" t="n"/>
      <c r="L830" s="49" t="n"/>
      <c r="M830" s="49" t="n"/>
      <c r="N830" s="49" t="n"/>
      <c r="O830" s="49" t="n"/>
      <c r="P830" s="49" t="n"/>
    </row>
    <row r="831" ht="15.75" customHeight="1" s="57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49" t="n"/>
      <c r="L831" s="49" t="n"/>
      <c r="M831" s="49" t="n"/>
      <c r="N831" s="49" t="n"/>
      <c r="O831" s="49" t="n"/>
      <c r="P831" s="49" t="n"/>
    </row>
    <row r="832" ht="15.75" customHeight="1" s="57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49" t="n"/>
      <c r="L832" s="49" t="n"/>
      <c r="M832" s="49" t="n"/>
      <c r="N832" s="49" t="n"/>
      <c r="O832" s="49" t="n"/>
      <c r="P832" s="49" t="n"/>
    </row>
    <row r="833" ht="15.75" customHeight="1" s="57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49" t="n"/>
      <c r="L833" s="49" t="n"/>
      <c r="M833" s="49" t="n"/>
      <c r="N833" s="49" t="n"/>
      <c r="O833" s="49" t="n"/>
      <c r="P833" s="49" t="n"/>
    </row>
    <row r="834" ht="15.75" customHeight="1" s="57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49" t="n"/>
      <c r="L834" s="49" t="n"/>
      <c r="M834" s="49" t="n"/>
      <c r="N834" s="49" t="n"/>
      <c r="O834" s="49" t="n"/>
      <c r="P834" s="49" t="n"/>
    </row>
    <row r="835" ht="15.75" customHeight="1" s="57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49" t="n"/>
      <c r="L835" s="49" t="n"/>
      <c r="M835" s="49" t="n"/>
      <c r="N835" s="49" t="n"/>
      <c r="O835" s="49" t="n"/>
      <c r="P835" s="49" t="n"/>
    </row>
    <row r="836" ht="15.75" customHeight="1" s="57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49" t="n"/>
      <c r="L836" s="49" t="n"/>
      <c r="M836" s="49" t="n"/>
      <c r="N836" s="49" t="n"/>
      <c r="O836" s="49" t="n"/>
      <c r="P836" s="49" t="n"/>
    </row>
    <row r="837" ht="15.75" customHeight="1" s="57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49" t="n"/>
      <c r="L837" s="49" t="n"/>
      <c r="M837" s="49" t="n"/>
      <c r="N837" s="49" t="n"/>
      <c r="O837" s="49" t="n"/>
      <c r="P837" s="49" t="n"/>
    </row>
    <row r="838" ht="15.75" customHeight="1" s="57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49" t="n"/>
      <c r="L838" s="49" t="n"/>
      <c r="M838" s="49" t="n"/>
      <c r="N838" s="49" t="n"/>
      <c r="O838" s="49" t="n"/>
      <c r="P838" s="49" t="n"/>
    </row>
    <row r="839" ht="15.75" customHeight="1" s="57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49" t="n"/>
      <c r="L839" s="49" t="n"/>
      <c r="M839" s="49" t="n"/>
      <c r="N839" s="49" t="n"/>
      <c r="O839" s="49" t="n"/>
      <c r="P839" s="49" t="n"/>
    </row>
    <row r="840" ht="15.75" customHeight="1" s="57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49" t="n"/>
      <c r="L840" s="49" t="n"/>
      <c r="M840" s="49" t="n"/>
      <c r="N840" s="49" t="n"/>
      <c r="O840" s="49" t="n"/>
      <c r="P840" s="49" t="n"/>
    </row>
    <row r="841" ht="15.75" customHeight="1" s="57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49" t="n"/>
      <c r="L841" s="49" t="n"/>
      <c r="M841" s="49" t="n"/>
      <c r="N841" s="49" t="n"/>
      <c r="O841" s="49" t="n"/>
      <c r="P841" s="49" t="n"/>
    </row>
    <row r="842" ht="15.75" customHeight="1" s="57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49" t="n"/>
      <c r="L842" s="49" t="n"/>
      <c r="M842" s="49" t="n"/>
      <c r="N842" s="49" t="n"/>
      <c r="O842" s="49" t="n"/>
      <c r="P842" s="49" t="n"/>
    </row>
    <row r="843" ht="15.75" customHeight="1" s="57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49" t="n"/>
      <c r="L843" s="49" t="n"/>
      <c r="M843" s="49" t="n"/>
      <c r="N843" s="49" t="n"/>
      <c r="O843" s="49" t="n"/>
      <c r="P843" s="49" t="n"/>
    </row>
    <row r="844" ht="15.75" customHeight="1" s="57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49" t="n"/>
      <c r="L844" s="49" t="n"/>
      <c r="M844" s="49" t="n"/>
      <c r="N844" s="49" t="n"/>
      <c r="O844" s="49" t="n"/>
      <c r="P844" s="49" t="n"/>
    </row>
    <row r="845" ht="15.75" customHeight="1" s="57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49" t="n"/>
      <c r="L845" s="49" t="n"/>
      <c r="M845" s="49" t="n"/>
      <c r="N845" s="49" t="n"/>
      <c r="O845" s="49" t="n"/>
      <c r="P845" s="49" t="n"/>
    </row>
    <row r="846" ht="15.75" customHeight="1" s="57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49" t="n"/>
      <c r="L846" s="49" t="n"/>
      <c r="M846" s="49" t="n"/>
      <c r="N846" s="49" t="n"/>
      <c r="O846" s="49" t="n"/>
      <c r="P846" s="49" t="n"/>
    </row>
    <row r="847" ht="15.75" customHeight="1" s="57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49" t="n"/>
      <c r="L847" s="49" t="n"/>
      <c r="M847" s="49" t="n"/>
      <c r="N847" s="49" t="n"/>
      <c r="O847" s="49" t="n"/>
      <c r="P847" s="49" t="n"/>
    </row>
    <row r="848" ht="15.75" customHeight="1" s="57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49" t="n"/>
      <c r="L848" s="49" t="n"/>
      <c r="M848" s="49" t="n"/>
      <c r="N848" s="49" t="n"/>
      <c r="O848" s="49" t="n"/>
      <c r="P848" s="49" t="n"/>
    </row>
    <row r="849" ht="15.75" customHeight="1" s="57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49" t="n"/>
      <c r="L849" s="49" t="n"/>
      <c r="M849" s="49" t="n"/>
      <c r="N849" s="49" t="n"/>
      <c r="O849" s="49" t="n"/>
      <c r="P849" s="49" t="n"/>
    </row>
    <row r="850" ht="15.75" customHeight="1" s="57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49" t="n"/>
      <c r="L850" s="49" t="n"/>
      <c r="M850" s="49" t="n"/>
      <c r="N850" s="49" t="n"/>
      <c r="O850" s="49" t="n"/>
      <c r="P850" s="49" t="n"/>
    </row>
    <row r="851" ht="15.75" customHeight="1" s="57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49" t="n"/>
      <c r="L851" s="49" t="n"/>
      <c r="M851" s="49" t="n"/>
      <c r="N851" s="49" t="n"/>
      <c r="O851" s="49" t="n"/>
      <c r="P851" s="49" t="n"/>
    </row>
    <row r="852" ht="15.75" customHeight="1" s="57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49" t="n"/>
      <c r="L852" s="49" t="n"/>
      <c r="M852" s="49" t="n"/>
      <c r="N852" s="49" t="n"/>
      <c r="O852" s="49" t="n"/>
      <c r="P852" s="49" t="n"/>
    </row>
    <row r="853" ht="15.75" customHeight="1" s="57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49" t="n"/>
      <c r="L853" s="49" t="n"/>
      <c r="M853" s="49" t="n"/>
      <c r="N853" s="49" t="n"/>
      <c r="O853" s="49" t="n"/>
      <c r="P853" s="49" t="n"/>
    </row>
    <row r="854" ht="15.75" customHeight="1" s="57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49" t="n"/>
      <c r="L854" s="49" t="n"/>
      <c r="M854" s="49" t="n"/>
      <c r="N854" s="49" t="n"/>
      <c r="O854" s="49" t="n"/>
      <c r="P854" s="49" t="n"/>
    </row>
    <row r="855" ht="15.75" customHeight="1" s="57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49" t="n"/>
      <c r="L855" s="49" t="n"/>
      <c r="M855" s="49" t="n"/>
      <c r="N855" s="49" t="n"/>
      <c r="O855" s="49" t="n"/>
      <c r="P855" s="49" t="n"/>
    </row>
    <row r="856" ht="15.75" customHeight="1" s="57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49" t="n"/>
      <c r="L856" s="49" t="n"/>
      <c r="M856" s="49" t="n"/>
      <c r="N856" s="49" t="n"/>
      <c r="O856" s="49" t="n"/>
      <c r="P856" s="49" t="n"/>
    </row>
    <row r="857" ht="15.75" customHeight="1" s="57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49" t="n"/>
      <c r="L857" s="49" t="n"/>
      <c r="M857" s="49" t="n"/>
      <c r="N857" s="49" t="n"/>
      <c r="O857" s="49" t="n"/>
      <c r="P857" s="49" t="n"/>
    </row>
    <row r="858" ht="15.75" customHeight="1" s="57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49" t="n"/>
      <c r="L858" s="49" t="n"/>
      <c r="M858" s="49" t="n"/>
      <c r="N858" s="49" t="n"/>
      <c r="O858" s="49" t="n"/>
      <c r="P858" s="49" t="n"/>
    </row>
    <row r="859" ht="15.75" customHeight="1" s="57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49" t="n"/>
      <c r="L859" s="49" t="n"/>
      <c r="M859" s="49" t="n"/>
      <c r="N859" s="49" t="n"/>
      <c r="O859" s="49" t="n"/>
      <c r="P859" s="49" t="n"/>
    </row>
    <row r="860" ht="15.75" customHeight="1" s="57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49" t="n"/>
      <c r="L860" s="49" t="n"/>
      <c r="M860" s="49" t="n"/>
      <c r="N860" s="49" t="n"/>
      <c r="O860" s="49" t="n"/>
      <c r="P860" s="49" t="n"/>
    </row>
    <row r="861" ht="15.75" customHeight="1" s="57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49" t="n"/>
      <c r="L861" s="49" t="n"/>
      <c r="M861" s="49" t="n"/>
      <c r="N861" s="49" t="n"/>
      <c r="O861" s="49" t="n"/>
      <c r="P861" s="49" t="n"/>
    </row>
    <row r="862" ht="15.75" customHeight="1" s="57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49" t="n"/>
      <c r="L862" s="49" t="n"/>
      <c r="M862" s="49" t="n"/>
      <c r="N862" s="49" t="n"/>
      <c r="O862" s="49" t="n"/>
      <c r="P862" s="49" t="n"/>
    </row>
    <row r="863" ht="15.75" customHeight="1" s="57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49" t="n"/>
      <c r="L863" s="49" t="n"/>
      <c r="M863" s="49" t="n"/>
      <c r="N863" s="49" t="n"/>
      <c r="O863" s="49" t="n"/>
      <c r="P863" s="49" t="n"/>
    </row>
    <row r="864" ht="15.75" customHeight="1" s="57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49" t="n"/>
      <c r="L864" s="49" t="n"/>
      <c r="M864" s="49" t="n"/>
      <c r="N864" s="49" t="n"/>
      <c r="O864" s="49" t="n"/>
      <c r="P864" s="49" t="n"/>
    </row>
    <row r="865" ht="15.75" customHeight="1" s="57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49" t="n"/>
      <c r="L865" s="49" t="n"/>
      <c r="M865" s="49" t="n"/>
      <c r="N865" s="49" t="n"/>
      <c r="O865" s="49" t="n"/>
      <c r="P865" s="49" t="n"/>
    </row>
    <row r="866" ht="15.75" customHeight="1" s="57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49" t="n"/>
      <c r="L866" s="49" t="n"/>
      <c r="M866" s="49" t="n"/>
      <c r="N866" s="49" t="n"/>
      <c r="O866" s="49" t="n"/>
      <c r="P866" s="49" t="n"/>
    </row>
    <row r="867" ht="15.75" customHeight="1" s="57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49" t="n"/>
      <c r="L867" s="49" t="n"/>
      <c r="M867" s="49" t="n"/>
      <c r="N867" s="49" t="n"/>
      <c r="O867" s="49" t="n"/>
      <c r="P867" s="49" t="n"/>
    </row>
    <row r="868" ht="15.75" customHeight="1" s="57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49" t="n"/>
      <c r="L868" s="49" t="n"/>
      <c r="M868" s="49" t="n"/>
      <c r="N868" s="49" t="n"/>
      <c r="O868" s="49" t="n"/>
      <c r="P868" s="49" t="n"/>
    </row>
    <row r="869" ht="15.75" customHeight="1" s="57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49" t="n"/>
      <c r="L869" s="49" t="n"/>
      <c r="M869" s="49" t="n"/>
      <c r="N869" s="49" t="n"/>
      <c r="O869" s="49" t="n"/>
      <c r="P869" s="49" t="n"/>
    </row>
    <row r="870" ht="15.75" customHeight="1" s="57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49" t="n"/>
      <c r="L870" s="49" t="n"/>
      <c r="M870" s="49" t="n"/>
      <c r="N870" s="49" t="n"/>
      <c r="O870" s="49" t="n"/>
      <c r="P870" s="49" t="n"/>
    </row>
    <row r="871" ht="15.75" customHeight="1" s="57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49" t="n"/>
      <c r="L871" s="49" t="n"/>
      <c r="M871" s="49" t="n"/>
      <c r="N871" s="49" t="n"/>
      <c r="O871" s="49" t="n"/>
      <c r="P871" s="49" t="n"/>
    </row>
    <row r="872" ht="15.75" customHeight="1" s="57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49" t="n"/>
      <c r="L872" s="49" t="n"/>
      <c r="M872" s="49" t="n"/>
      <c r="N872" s="49" t="n"/>
      <c r="O872" s="49" t="n"/>
      <c r="P872" s="49" t="n"/>
    </row>
    <row r="873" ht="15.75" customHeight="1" s="57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49" t="n"/>
      <c r="L873" s="49" t="n"/>
      <c r="M873" s="49" t="n"/>
      <c r="N873" s="49" t="n"/>
      <c r="O873" s="49" t="n"/>
      <c r="P873" s="49" t="n"/>
    </row>
    <row r="874" ht="15.75" customHeight="1" s="57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49" t="n"/>
      <c r="L874" s="49" t="n"/>
      <c r="M874" s="49" t="n"/>
      <c r="N874" s="49" t="n"/>
      <c r="O874" s="49" t="n"/>
      <c r="P874" s="49" t="n"/>
    </row>
    <row r="875" ht="15.75" customHeight="1" s="57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49" t="n"/>
      <c r="L875" s="49" t="n"/>
      <c r="M875" s="49" t="n"/>
      <c r="N875" s="49" t="n"/>
      <c r="O875" s="49" t="n"/>
      <c r="P875" s="49" t="n"/>
    </row>
    <row r="876" ht="15.75" customHeight="1" s="57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49" t="n"/>
      <c r="L876" s="49" t="n"/>
      <c r="M876" s="49" t="n"/>
      <c r="N876" s="49" t="n"/>
      <c r="O876" s="49" t="n"/>
      <c r="P876" s="49" t="n"/>
    </row>
    <row r="877" ht="15.75" customHeight="1" s="57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49" t="n"/>
      <c r="L877" s="49" t="n"/>
      <c r="M877" s="49" t="n"/>
      <c r="N877" s="49" t="n"/>
      <c r="O877" s="49" t="n"/>
      <c r="P877" s="49" t="n"/>
    </row>
    <row r="878" ht="15.75" customHeight="1" s="57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49" t="n"/>
      <c r="L878" s="49" t="n"/>
      <c r="M878" s="49" t="n"/>
      <c r="N878" s="49" t="n"/>
      <c r="O878" s="49" t="n"/>
      <c r="P878" s="49" t="n"/>
    </row>
    <row r="879" ht="15.75" customHeight="1" s="57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49" t="n"/>
      <c r="L879" s="49" t="n"/>
      <c r="M879" s="49" t="n"/>
      <c r="N879" s="49" t="n"/>
      <c r="O879" s="49" t="n"/>
      <c r="P879" s="49" t="n"/>
    </row>
    <row r="880" ht="15.75" customHeight="1" s="57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49" t="n"/>
      <c r="L880" s="49" t="n"/>
      <c r="M880" s="49" t="n"/>
      <c r="N880" s="49" t="n"/>
      <c r="O880" s="49" t="n"/>
      <c r="P880" s="49" t="n"/>
    </row>
    <row r="881" ht="15.75" customHeight="1" s="57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49" t="n"/>
      <c r="L881" s="49" t="n"/>
      <c r="M881" s="49" t="n"/>
      <c r="N881" s="49" t="n"/>
      <c r="O881" s="49" t="n"/>
      <c r="P881" s="49" t="n"/>
    </row>
    <row r="882" ht="15.75" customHeight="1" s="57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49" t="n"/>
      <c r="L882" s="49" t="n"/>
      <c r="M882" s="49" t="n"/>
      <c r="N882" s="49" t="n"/>
      <c r="O882" s="49" t="n"/>
      <c r="P882" s="49" t="n"/>
    </row>
    <row r="883" ht="15.75" customHeight="1" s="57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49" t="n"/>
      <c r="L883" s="49" t="n"/>
      <c r="M883" s="49" t="n"/>
      <c r="N883" s="49" t="n"/>
      <c r="O883" s="49" t="n"/>
      <c r="P883" s="49" t="n"/>
    </row>
    <row r="884" ht="15.75" customHeight="1" s="57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49" t="n"/>
      <c r="L884" s="49" t="n"/>
      <c r="M884" s="49" t="n"/>
      <c r="N884" s="49" t="n"/>
      <c r="O884" s="49" t="n"/>
      <c r="P884" s="49" t="n"/>
    </row>
    <row r="885" ht="15.75" customHeight="1" s="57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49" t="n"/>
      <c r="L885" s="49" t="n"/>
      <c r="M885" s="49" t="n"/>
      <c r="N885" s="49" t="n"/>
      <c r="O885" s="49" t="n"/>
      <c r="P885" s="49" t="n"/>
    </row>
    <row r="886" ht="15.75" customHeight="1" s="57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49" t="n"/>
      <c r="L886" s="49" t="n"/>
      <c r="M886" s="49" t="n"/>
      <c r="N886" s="49" t="n"/>
      <c r="O886" s="49" t="n"/>
      <c r="P886" s="49" t="n"/>
    </row>
    <row r="887" ht="15.75" customHeight="1" s="57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49" t="n"/>
      <c r="L887" s="49" t="n"/>
      <c r="M887" s="49" t="n"/>
      <c r="N887" s="49" t="n"/>
      <c r="O887" s="49" t="n"/>
      <c r="P887" s="49" t="n"/>
    </row>
    <row r="888" ht="15.75" customHeight="1" s="57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49" t="n"/>
      <c r="L888" s="49" t="n"/>
      <c r="M888" s="49" t="n"/>
      <c r="N888" s="49" t="n"/>
      <c r="O888" s="49" t="n"/>
      <c r="P888" s="49" t="n"/>
    </row>
    <row r="889" ht="15.75" customHeight="1" s="57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49" t="n"/>
      <c r="L889" s="49" t="n"/>
      <c r="M889" s="49" t="n"/>
      <c r="N889" s="49" t="n"/>
      <c r="O889" s="49" t="n"/>
      <c r="P889" s="49" t="n"/>
    </row>
    <row r="890" ht="15.75" customHeight="1" s="57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49" t="n"/>
      <c r="L890" s="49" t="n"/>
      <c r="M890" s="49" t="n"/>
      <c r="N890" s="49" t="n"/>
      <c r="O890" s="49" t="n"/>
      <c r="P890" s="49" t="n"/>
    </row>
    <row r="891" ht="15.75" customHeight="1" s="57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49" t="n"/>
      <c r="L891" s="49" t="n"/>
      <c r="M891" s="49" t="n"/>
      <c r="N891" s="49" t="n"/>
      <c r="O891" s="49" t="n"/>
      <c r="P891" s="49" t="n"/>
    </row>
    <row r="892" ht="15.75" customHeight="1" s="57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49" t="n"/>
      <c r="L892" s="49" t="n"/>
      <c r="M892" s="49" t="n"/>
      <c r="N892" s="49" t="n"/>
      <c r="O892" s="49" t="n"/>
      <c r="P892" s="49" t="n"/>
    </row>
    <row r="893" ht="15.75" customHeight="1" s="57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49" t="n"/>
      <c r="L893" s="49" t="n"/>
      <c r="M893" s="49" t="n"/>
      <c r="N893" s="49" t="n"/>
      <c r="O893" s="49" t="n"/>
      <c r="P893" s="49" t="n"/>
    </row>
    <row r="894" ht="15.75" customHeight="1" s="57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49" t="n"/>
      <c r="L894" s="49" t="n"/>
      <c r="M894" s="49" t="n"/>
      <c r="N894" s="49" t="n"/>
      <c r="O894" s="49" t="n"/>
      <c r="P894" s="49" t="n"/>
    </row>
    <row r="895" ht="15.75" customHeight="1" s="57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49" t="n"/>
      <c r="L895" s="49" t="n"/>
      <c r="M895" s="49" t="n"/>
      <c r="N895" s="49" t="n"/>
      <c r="O895" s="49" t="n"/>
      <c r="P895" s="49" t="n"/>
    </row>
    <row r="896" ht="15.75" customHeight="1" s="57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49" t="n"/>
      <c r="L896" s="49" t="n"/>
      <c r="M896" s="49" t="n"/>
      <c r="N896" s="49" t="n"/>
      <c r="O896" s="49" t="n"/>
      <c r="P896" s="49" t="n"/>
    </row>
    <row r="897" ht="15.75" customHeight="1" s="57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49" t="n"/>
      <c r="L897" s="49" t="n"/>
      <c r="M897" s="49" t="n"/>
      <c r="N897" s="49" t="n"/>
      <c r="O897" s="49" t="n"/>
      <c r="P897" s="49" t="n"/>
    </row>
    <row r="898" ht="15.75" customHeight="1" s="57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49" t="n"/>
      <c r="L898" s="49" t="n"/>
      <c r="M898" s="49" t="n"/>
      <c r="N898" s="49" t="n"/>
      <c r="O898" s="49" t="n"/>
      <c r="P898" s="49" t="n"/>
    </row>
    <row r="899" ht="15.75" customHeight="1" s="57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49" t="n"/>
      <c r="L899" s="49" t="n"/>
      <c r="M899" s="49" t="n"/>
      <c r="N899" s="49" t="n"/>
      <c r="O899" s="49" t="n"/>
      <c r="P899" s="49" t="n"/>
    </row>
    <row r="900" ht="15.75" customHeight="1" s="57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49" t="n"/>
      <c r="L900" s="49" t="n"/>
      <c r="M900" s="49" t="n"/>
      <c r="N900" s="49" t="n"/>
      <c r="O900" s="49" t="n"/>
      <c r="P900" s="49" t="n"/>
    </row>
    <row r="901" ht="15.75" customHeight="1" s="57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49" t="n"/>
      <c r="L901" s="49" t="n"/>
      <c r="M901" s="49" t="n"/>
      <c r="N901" s="49" t="n"/>
      <c r="O901" s="49" t="n"/>
      <c r="P901" s="49" t="n"/>
    </row>
    <row r="902" ht="15.75" customHeight="1" s="57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49" t="n"/>
      <c r="L902" s="49" t="n"/>
      <c r="M902" s="49" t="n"/>
      <c r="N902" s="49" t="n"/>
      <c r="O902" s="49" t="n"/>
      <c r="P902" s="49" t="n"/>
    </row>
    <row r="903" ht="15.75" customHeight="1" s="57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49" t="n"/>
      <c r="L903" s="49" t="n"/>
      <c r="M903" s="49" t="n"/>
      <c r="N903" s="49" t="n"/>
      <c r="O903" s="49" t="n"/>
      <c r="P903" s="49" t="n"/>
    </row>
    <row r="904" ht="15.75" customHeight="1" s="57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49" t="n"/>
      <c r="L904" s="49" t="n"/>
      <c r="M904" s="49" t="n"/>
      <c r="N904" s="49" t="n"/>
      <c r="O904" s="49" t="n"/>
      <c r="P904" s="49" t="n"/>
    </row>
    <row r="905" ht="15.75" customHeight="1" s="57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49" t="n"/>
      <c r="L905" s="49" t="n"/>
      <c r="M905" s="49" t="n"/>
      <c r="N905" s="49" t="n"/>
      <c r="O905" s="49" t="n"/>
      <c r="P905" s="49" t="n"/>
    </row>
    <row r="906" ht="15.75" customHeight="1" s="57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49" t="n"/>
      <c r="L906" s="49" t="n"/>
      <c r="M906" s="49" t="n"/>
      <c r="N906" s="49" t="n"/>
      <c r="O906" s="49" t="n"/>
      <c r="P906" s="49" t="n"/>
    </row>
    <row r="907" ht="15.75" customHeight="1" s="57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49" t="n"/>
      <c r="L907" s="49" t="n"/>
      <c r="M907" s="49" t="n"/>
      <c r="N907" s="49" t="n"/>
      <c r="O907" s="49" t="n"/>
      <c r="P907" s="49" t="n"/>
    </row>
    <row r="908" ht="15.75" customHeight="1" s="57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49" t="n"/>
      <c r="L908" s="49" t="n"/>
      <c r="M908" s="49" t="n"/>
      <c r="N908" s="49" t="n"/>
      <c r="O908" s="49" t="n"/>
      <c r="P908" s="49" t="n"/>
    </row>
    <row r="909" ht="15.75" customHeight="1" s="57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49" t="n"/>
      <c r="L909" s="49" t="n"/>
      <c r="M909" s="49" t="n"/>
      <c r="N909" s="49" t="n"/>
      <c r="O909" s="49" t="n"/>
      <c r="P909" s="49" t="n"/>
    </row>
    <row r="910" ht="15.75" customHeight="1" s="57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49" t="n"/>
      <c r="L910" s="49" t="n"/>
      <c r="M910" s="49" t="n"/>
      <c r="N910" s="49" t="n"/>
      <c r="O910" s="49" t="n"/>
      <c r="P910" s="49" t="n"/>
    </row>
    <row r="911" ht="15.75" customHeight="1" s="57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49" t="n"/>
      <c r="L911" s="49" t="n"/>
      <c r="M911" s="49" t="n"/>
      <c r="N911" s="49" t="n"/>
      <c r="O911" s="49" t="n"/>
      <c r="P911" s="49" t="n"/>
    </row>
    <row r="912" ht="15.75" customHeight="1" s="57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49" t="n"/>
      <c r="L912" s="49" t="n"/>
      <c r="M912" s="49" t="n"/>
      <c r="N912" s="49" t="n"/>
      <c r="O912" s="49" t="n"/>
      <c r="P912" s="49" t="n"/>
    </row>
    <row r="913" ht="15.75" customHeight="1" s="57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49" t="n"/>
      <c r="L913" s="49" t="n"/>
      <c r="M913" s="49" t="n"/>
      <c r="N913" s="49" t="n"/>
      <c r="O913" s="49" t="n"/>
      <c r="P913" s="49" t="n"/>
    </row>
    <row r="914" ht="15.75" customHeight="1" s="57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49" t="n"/>
      <c r="L914" s="49" t="n"/>
      <c r="M914" s="49" t="n"/>
      <c r="N914" s="49" t="n"/>
      <c r="O914" s="49" t="n"/>
      <c r="P914" s="49" t="n"/>
    </row>
    <row r="915" ht="15.75" customHeight="1" s="57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49" t="n"/>
      <c r="L915" s="49" t="n"/>
      <c r="M915" s="49" t="n"/>
      <c r="N915" s="49" t="n"/>
      <c r="O915" s="49" t="n"/>
      <c r="P915" s="49" t="n"/>
    </row>
    <row r="916" ht="15.75" customHeight="1" s="57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49" t="n"/>
      <c r="L916" s="49" t="n"/>
      <c r="M916" s="49" t="n"/>
      <c r="N916" s="49" t="n"/>
      <c r="O916" s="49" t="n"/>
      <c r="P916" s="49" t="n"/>
    </row>
    <row r="917" ht="15.75" customHeight="1" s="57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49" t="n"/>
      <c r="L917" s="49" t="n"/>
      <c r="M917" s="49" t="n"/>
      <c r="N917" s="49" t="n"/>
      <c r="O917" s="49" t="n"/>
      <c r="P917" s="49" t="n"/>
    </row>
    <row r="918" ht="15.75" customHeight="1" s="57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49" t="n"/>
      <c r="L918" s="49" t="n"/>
      <c r="M918" s="49" t="n"/>
      <c r="N918" s="49" t="n"/>
      <c r="O918" s="49" t="n"/>
      <c r="P918" s="49" t="n"/>
    </row>
    <row r="919" ht="15.75" customHeight="1" s="57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49" t="n"/>
      <c r="L919" s="49" t="n"/>
      <c r="M919" s="49" t="n"/>
      <c r="N919" s="49" t="n"/>
      <c r="O919" s="49" t="n"/>
      <c r="P919" s="49" t="n"/>
    </row>
    <row r="920" ht="15.75" customHeight="1" s="57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49" t="n"/>
      <c r="L920" s="49" t="n"/>
      <c r="M920" s="49" t="n"/>
      <c r="N920" s="49" t="n"/>
      <c r="O920" s="49" t="n"/>
      <c r="P920" s="49" t="n"/>
    </row>
    <row r="921" ht="15.75" customHeight="1" s="57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49" t="n"/>
      <c r="L921" s="49" t="n"/>
      <c r="M921" s="49" t="n"/>
      <c r="N921" s="49" t="n"/>
      <c r="O921" s="49" t="n"/>
      <c r="P921" s="49" t="n"/>
    </row>
    <row r="922" ht="15.75" customHeight="1" s="57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49" t="n"/>
      <c r="L922" s="49" t="n"/>
      <c r="M922" s="49" t="n"/>
      <c r="N922" s="49" t="n"/>
      <c r="O922" s="49" t="n"/>
      <c r="P922" s="49" t="n"/>
    </row>
    <row r="923" ht="15.75" customHeight="1" s="57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49" t="n"/>
      <c r="L923" s="49" t="n"/>
      <c r="M923" s="49" t="n"/>
      <c r="N923" s="49" t="n"/>
      <c r="O923" s="49" t="n"/>
      <c r="P923" s="49" t="n"/>
    </row>
    <row r="924" ht="15.75" customHeight="1" s="57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49" t="n"/>
      <c r="L924" s="49" t="n"/>
      <c r="M924" s="49" t="n"/>
      <c r="N924" s="49" t="n"/>
      <c r="O924" s="49" t="n"/>
      <c r="P924" s="49" t="n"/>
    </row>
    <row r="925" ht="15.75" customHeight="1" s="57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49" t="n"/>
      <c r="L925" s="49" t="n"/>
      <c r="M925" s="49" t="n"/>
      <c r="N925" s="49" t="n"/>
      <c r="O925" s="49" t="n"/>
      <c r="P925" s="49" t="n"/>
    </row>
    <row r="926" ht="15.75" customHeight="1" s="57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49" t="n"/>
      <c r="L926" s="49" t="n"/>
      <c r="M926" s="49" t="n"/>
      <c r="N926" s="49" t="n"/>
      <c r="O926" s="49" t="n"/>
      <c r="P926" s="49" t="n"/>
    </row>
    <row r="927" ht="15.75" customHeight="1" s="57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49" t="n"/>
      <c r="L927" s="49" t="n"/>
      <c r="M927" s="49" t="n"/>
      <c r="N927" s="49" t="n"/>
      <c r="O927" s="49" t="n"/>
      <c r="P927" s="49" t="n"/>
    </row>
    <row r="928" ht="15.75" customHeight="1" s="57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49" t="n"/>
      <c r="L928" s="49" t="n"/>
      <c r="M928" s="49" t="n"/>
      <c r="N928" s="49" t="n"/>
      <c r="O928" s="49" t="n"/>
      <c r="P928" s="49" t="n"/>
    </row>
    <row r="929" ht="15.75" customHeight="1" s="57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49" t="n"/>
      <c r="L929" s="49" t="n"/>
      <c r="M929" s="49" t="n"/>
      <c r="N929" s="49" t="n"/>
      <c r="O929" s="49" t="n"/>
      <c r="P929" s="49" t="n"/>
    </row>
    <row r="930" ht="15.75" customHeight="1" s="57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49" t="n"/>
      <c r="L930" s="49" t="n"/>
      <c r="M930" s="49" t="n"/>
      <c r="N930" s="49" t="n"/>
      <c r="O930" s="49" t="n"/>
      <c r="P930" s="49" t="n"/>
    </row>
    <row r="931" ht="15.75" customHeight="1" s="57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49" t="n"/>
      <c r="L931" s="49" t="n"/>
      <c r="M931" s="49" t="n"/>
      <c r="N931" s="49" t="n"/>
      <c r="O931" s="49" t="n"/>
      <c r="P931" s="49" t="n"/>
    </row>
    <row r="932" ht="15.75" customHeight="1" s="57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49" t="n"/>
      <c r="L932" s="49" t="n"/>
      <c r="M932" s="49" t="n"/>
      <c r="N932" s="49" t="n"/>
      <c r="O932" s="49" t="n"/>
      <c r="P932" s="49" t="n"/>
    </row>
    <row r="933" ht="15.75" customHeight="1" s="57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49" t="n"/>
      <c r="L933" s="49" t="n"/>
      <c r="M933" s="49" t="n"/>
      <c r="N933" s="49" t="n"/>
      <c r="O933" s="49" t="n"/>
      <c r="P933" s="49" t="n"/>
    </row>
    <row r="934" ht="15.75" customHeight="1" s="57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49" t="n"/>
      <c r="L934" s="49" t="n"/>
      <c r="M934" s="49" t="n"/>
      <c r="N934" s="49" t="n"/>
      <c r="O934" s="49" t="n"/>
      <c r="P934" s="49" t="n"/>
    </row>
    <row r="935" ht="15.75" customHeight="1" s="57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49" t="n"/>
      <c r="L935" s="49" t="n"/>
      <c r="M935" s="49" t="n"/>
      <c r="N935" s="49" t="n"/>
      <c r="O935" s="49" t="n"/>
      <c r="P935" s="49" t="n"/>
    </row>
    <row r="936" ht="15.75" customHeight="1" s="57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49" t="n"/>
      <c r="L936" s="49" t="n"/>
      <c r="M936" s="49" t="n"/>
      <c r="N936" s="49" t="n"/>
      <c r="O936" s="49" t="n"/>
      <c r="P936" s="49" t="n"/>
    </row>
    <row r="937" ht="15.75" customHeight="1" s="57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49" t="n"/>
      <c r="L937" s="49" t="n"/>
      <c r="M937" s="49" t="n"/>
      <c r="N937" s="49" t="n"/>
      <c r="O937" s="49" t="n"/>
      <c r="P937" s="49" t="n"/>
    </row>
    <row r="938" ht="15.75" customHeight="1" s="57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49" t="n"/>
      <c r="L938" s="49" t="n"/>
      <c r="M938" s="49" t="n"/>
      <c r="N938" s="49" t="n"/>
      <c r="O938" s="49" t="n"/>
      <c r="P938" s="49" t="n"/>
    </row>
    <row r="939" ht="15.75" customHeight="1" s="57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49" t="n"/>
      <c r="L939" s="49" t="n"/>
      <c r="M939" s="49" t="n"/>
      <c r="N939" s="49" t="n"/>
      <c r="O939" s="49" t="n"/>
      <c r="P939" s="49" t="n"/>
    </row>
    <row r="940" ht="15.75" customHeight="1" s="57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49" t="n"/>
      <c r="L940" s="49" t="n"/>
      <c r="M940" s="49" t="n"/>
      <c r="N940" s="49" t="n"/>
      <c r="O940" s="49" t="n"/>
      <c r="P940" s="49" t="n"/>
    </row>
    <row r="941" ht="15.75" customHeight="1" s="57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49" t="n"/>
      <c r="L941" s="49" t="n"/>
      <c r="M941" s="49" t="n"/>
      <c r="N941" s="49" t="n"/>
      <c r="O941" s="49" t="n"/>
      <c r="P941" s="49" t="n"/>
    </row>
    <row r="942" ht="15.75" customHeight="1" s="57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49" t="n"/>
      <c r="L942" s="49" t="n"/>
      <c r="M942" s="49" t="n"/>
      <c r="N942" s="49" t="n"/>
      <c r="O942" s="49" t="n"/>
      <c r="P942" s="49" t="n"/>
    </row>
    <row r="943" ht="15.75" customHeight="1" s="57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49" t="n"/>
      <c r="L943" s="49" t="n"/>
      <c r="M943" s="49" t="n"/>
      <c r="N943" s="49" t="n"/>
      <c r="O943" s="49" t="n"/>
      <c r="P943" s="49" t="n"/>
    </row>
    <row r="944" ht="15.75" customHeight="1" s="57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49" t="n"/>
      <c r="L944" s="49" t="n"/>
      <c r="M944" s="49" t="n"/>
      <c r="N944" s="49" t="n"/>
      <c r="O944" s="49" t="n"/>
      <c r="P944" s="49" t="n"/>
    </row>
    <row r="945" ht="15.75" customHeight="1" s="57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49" t="n"/>
      <c r="L945" s="49" t="n"/>
      <c r="M945" s="49" t="n"/>
      <c r="N945" s="49" t="n"/>
      <c r="O945" s="49" t="n"/>
      <c r="P945" s="49" t="n"/>
    </row>
    <row r="946" ht="15.75" customHeight="1" s="57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49" t="n"/>
      <c r="L946" s="49" t="n"/>
      <c r="M946" s="49" t="n"/>
      <c r="N946" s="49" t="n"/>
      <c r="O946" s="49" t="n"/>
      <c r="P946" s="49" t="n"/>
    </row>
    <row r="947" ht="15.75" customHeight="1" s="57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49" t="n"/>
      <c r="L947" s="49" t="n"/>
      <c r="M947" s="49" t="n"/>
      <c r="N947" s="49" t="n"/>
      <c r="O947" s="49" t="n"/>
      <c r="P947" s="49" t="n"/>
    </row>
    <row r="948" ht="15.75" customHeight="1" s="57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49" t="n"/>
      <c r="L948" s="49" t="n"/>
      <c r="M948" s="49" t="n"/>
      <c r="N948" s="49" t="n"/>
      <c r="O948" s="49" t="n"/>
      <c r="P948" s="49" t="n"/>
    </row>
    <row r="949" ht="15.75" customHeight="1" s="57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49" t="n"/>
      <c r="L949" s="49" t="n"/>
      <c r="M949" s="49" t="n"/>
      <c r="N949" s="49" t="n"/>
      <c r="O949" s="49" t="n"/>
      <c r="P949" s="49" t="n"/>
    </row>
    <row r="950" ht="15.75" customHeight="1" s="57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49" t="n"/>
      <c r="L950" s="49" t="n"/>
      <c r="M950" s="49" t="n"/>
      <c r="N950" s="49" t="n"/>
      <c r="O950" s="49" t="n"/>
      <c r="P950" s="49" t="n"/>
    </row>
    <row r="951" ht="15.75" customHeight="1" s="57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49" t="n"/>
      <c r="L951" s="49" t="n"/>
      <c r="M951" s="49" t="n"/>
      <c r="N951" s="49" t="n"/>
      <c r="O951" s="49" t="n"/>
      <c r="P951" s="49" t="n"/>
    </row>
    <row r="952" ht="15.75" customHeight="1" s="57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49" t="n"/>
      <c r="L952" s="49" t="n"/>
      <c r="M952" s="49" t="n"/>
      <c r="N952" s="49" t="n"/>
      <c r="O952" s="49" t="n"/>
      <c r="P952" s="49" t="n"/>
    </row>
    <row r="953" ht="15.75" customHeight="1" s="57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49" t="n"/>
      <c r="L953" s="49" t="n"/>
      <c r="M953" s="49" t="n"/>
      <c r="N953" s="49" t="n"/>
      <c r="O953" s="49" t="n"/>
      <c r="P953" s="49" t="n"/>
    </row>
    <row r="954" ht="15.75" customHeight="1" s="57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49" t="n"/>
      <c r="L954" s="49" t="n"/>
      <c r="M954" s="49" t="n"/>
      <c r="N954" s="49" t="n"/>
      <c r="O954" s="49" t="n"/>
      <c r="P954" s="49" t="n"/>
    </row>
    <row r="955" ht="15.75" customHeight="1" s="57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49" t="n"/>
      <c r="L955" s="49" t="n"/>
      <c r="M955" s="49" t="n"/>
      <c r="N955" s="49" t="n"/>
      <c r="O955" s="49" t="n"/>
      <c r="P955" s="49" t="n"/>
    </row>
    <row r="956" ht="15.75" customHeight="1" s="57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49" t="n"/>
      <c r="L956" s="49" t="n"/>
      <c r="M956" s="49" t="n"/>
      <c r="N956" s="49" t="n"/>
      <c r="O956" s="49" t="n"/>
      <c r="P956" s="49" t="n"/>
    </row>
    <row r="957" ht="15.75" customHeight="1" s="57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49" t="n"/>
      <c r="L957" s="49" t="n"/>
      <c r="M957" s="49" t="n"/>
      <c r="N957" s="49" t="n"/>
      <c r="O957" s="49" t="n"/>
      <c r="P957" s="49" t="n"/>
    </row>
    <row r="958" ht="15.75" customHeight="1" s="57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49" t="n"/>
      <c r="L958" s="49" t="n"/>
      <c r="M958" s="49" t="n"/>
      <c r="N958" s="49" t="n"/>
      <c r="O958" s="49" t="n"/>
      <c r="P958" s="49" t="n"/>
    </row>
    <row r="959" ht="15.75" customHeight="1" s="57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49" t="n"/>
      <c r="L959" s="49" t="n"/>
      <c r="M959" s="49" t="n"/>
      <c r="N959" s="49" t="n"/>
      <c r="O959" s="49" t="n"/>
      <c r="P959" s="49" t="n"/>
    </row>
    <row r="960" ht="15.75" customHeight="1" s="57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49" t="n"/>
      <c r="L960" s="49" t="n"/>
      <c r="M960" s="49" t="n"/>
      <c r="N960" s="49" t="n"/>
      <c r="O960" s="49" t="n"/>
      <c r="P960" s="49" t="n"/>
    </row>
    <row r="961" ht="15.75" customHeight="1" s="57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49" t="n"/>
      <c r="L961" s="49" t="n"/>
      <c r="M961" s="49" t="n"/>
      <c r="N961" s="49" t="n"/>
      <c r="O961" s="49" t="n"/>
      <c r="P961" s="49" t="n"/>
    </row>
    <row r="962" ht="15.75" customHeight="1" s="57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49" t="n"/>
      <c r="L962" s="49" t="n"/>
      <c r="M962" s="49" t="n"/>
      <c r="N962" s="49" t="n"/>
      <c r="O962" s="49" t="n"/>
      <c r="P962" s="49" t="n"/>
    </row>
    <row r="963" ht="15.75" customHeight="1" s="57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49" t="n"/>
      <c r="L963" s="49" t="n"/>
      <c r="M963" s="49" t="n"/>
      <c r="N963" s="49" t="n"/>
      <c r="O963" s="49" t="n"/>
      <c r="P963" s="49" t="n"/>
    </row>
    <row r="964" ht="15.75" customHeight="1" s="57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49" t="n"/>
      <c r="L964" s="49" t="n"/>
      <c r="M964" s="49" t="n"/>
      <c r="N964" s="49" t="n"/>
      <c r="O964" s="49" t="n"/>
      <c r="P964" s="49" t="n"/>
    </row>
    <row r="965" ht="15.75" customHeight="1" s="57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49" t="n"/>
      <c r="L965" s="49" t="n"/>
      <c r="M965" s="49" t="n"/>
      <c r="N965" s="49" t="n"/>
      <c r="O965" s="49" t="n"/>
      <c r="P965" s="49" t="n"/>
    </row>
    <row r="966" ht="15.75" customHeight="1" s="57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49" t="n"/>
      <c r="L966" s="49" t="n"/>
      <c r="M966" s="49" t="n"/>
      <c r="N966" s="49" t="n"/>
      <c r="O966" s="49" t="n"/>
      <c r="P966" s="49" t="n"/>
    </row>
    <row r="967" ht="15.75" customHeight="1" s="57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49" t="n"/>
      <c r="L967" s="49" t="n"/>
      <c r="M967" s="49" t="n"/>
      <c r="N967" s="49" t="n"/>
      <c r="O967" s="49" t="n"/>
      <c r="P967" s="49" t="n"/>
    </row>
    <row r="968" ht="15.75" customHeight="1" s="57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49" t="n"/>
      <c r="L968" s="49" t="n"/>
      <c r="M968" s="49" t="n"/>
      <c r="N968" s="49" t="n"/>
      <c r="O968" s="49" t="n"/>
      <c r="P968" s="49" t="n"/>
    </row>
    <row r="969" ht="15.75" customHeight="1" s="57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49" t="n"/>
      <c r="L969" s="49" t="n"/>
      <c r="M969" s="49" t="n"/>
      <c r="N969" s="49" t="n"/>
      <c r="O969" s="49" t="n"/>
      <c r="P969" s="49" t="n"/>
    </row>
    <row r="970" ht="15.75" customHeight="1" s="57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49" t="n"/>
      <c r="L970" s="49" t="n"/>
      <c r="M970" s="49" t="n"/>
      <c r="N970" s="49" t="n"/>
      <c r="O970" s="49" t="n"/>
      <c r="P970" s="49" t="n"/>
    </row>
    <row r="971" ht="15.75" customHeight="1" s="57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49" t="n"/>
      <c r="L971" s="49" t="n"/>
      <c r="M971" s="49" t="n"/>
      <c r="N971" s="49" t="n"/>
      <c r="O971" s="49" t="n"/>
      <c r="P971" s="49" t="n"/>
    </row>
    <row r="972" ht="15.75" customHeight="1" s="57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49" t="n"/>
      <c r="L972" s="49" t="n"/>
      <c r="M972" s="49" t="n"/>
      <c r="N972" s="49" t="n"/>
      <c r="O972" s="49" t="n"/>
      <c r="P972" s="49" t="n"/>
    </row>
    <row r="973" ht="15.75" customHeight="1" s="57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49" t="n"/>
      <c r="L973" s="49" t="n"/>
      <c r="M973" s="49" t="n"/>
      <c r="N973" s="49" t="n"/>
      <c r="O973" s="49" t="n"/>
      <c r="P973" s="49" t="n"/>
    </row>
    <row r="974" ht="15.75" customHeight="1" s="57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49" t="n"/>
      <c r="L974" s="49" t="n"/>
      <c r="M974" s="49" t="n"/>
      <c r="N974" s="49" t="n"/>
      <c r="O974" s="49" t="n"/>
      <c r="P974" s="49" t="n"/>
    </row>
    <row r="975" ht="15.75" customHeight="1" s="57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49" t="n"/>
      <c r="L975" s="49" t="n"/>
      <c r="M975" s="49" t="n"/>
      <c r="N975" s="49" t="n"/>
      <c r="O975" s="49" t="n"/>
      <c r="P975" s="49" t="n"/>
    </row>
    <row r="976" ht="15.75" customHeight="1" s="57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49" t="n"/>
      <c r="L976" s="49" t="n"/>
      <c r="M976" s="49" t="n"/>
      <c r="N976" s="49" t="n"/>
      <c r="O976" s="49" t="n"/>
      <c r="P976" s="49" t="n"/>
    </row>
    <row r="977" ht="15.75" customHeight="1" s="57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49" t="n"/>
      <c r="L977" s="49" t="n"/>
      <c r="M977" s="49" t="n"/>
      <c r="N977" s="49" t="n"/>
      <c r="O977" s="49" t="n"/>
      <c r="P977" s="49" t="n"/>
    </row>
    <row r="978" ht="15.75" customHeight="1" s="57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49" t="n"/>
      <c r="L978" s="49" t="n"/>
      <c r="M978" s="49" t="n"/>
      <c r="N978" s="49" t="n"/>
      <c r="O978" s="49" t="n"/>
      <c r="P978" s="49" t="n"/>
    </row>
    <row r="979" ht="15.75" customHeight="1" s="57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49" t="n"/>
      <c r="L979" s="49" t="n"/>
      <c r="M979" s="49" t="n"/>
      <c r="N979" s="49" t="n"/>
      <c r="O979" s="49" t="n"/>
      <c r="P979" s="49" t="n"/>
    </row>
    <row r="980" ht="15.75" customHeight="1" s="57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49" t="n"/>
      <c r="L980" s="49" t="n"/>
      <c r="M980" s="49" t="n"/>
      <c r="N980" s="49" t="n"/>
      <c r="O980" s="49" t="n"/>
      <c r="P980" s="49" t="n"/>
    </row>
    <row r="981" ht="15.75" customHeight="1" s="57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49" t="n"/>
      <c r="L981" s="49" t="n"/>
      <c r="M981" s="49" t="n"/>
      <c r="N981" s="49" t="n"/>
      <c r="O981" s="49" t="n"/>
      <c r="P981" s="49" t="n"/>
    </row>
    <row r="982" ht="15.75" customHeight="1" s="57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49" t="n"/>
      <c r="L982" s="49" t="n"/>
      <c r="M982" s="49" t="n"/>
      <c r="N982" s="49" t="n"/>
      <c r="O982" s="49" t="n"/>
      <c r="P982" s="49" t="n"/>
    </row>
    <row r="983" ht="15.75" customHeight="1" s="57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49" t="n"/>
      <c r="L983" s="49" t="n"/>
      <c r="M983" s="49" t="n"/>
      <c r="N983" s="49" t="n"/>
      <c r="O983" s="49" t="n"/>
      <c r="P983" s="49" t="n"/>
    </row>
    <row r="984" ht="15.75" customHeight="1" s="57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49" t="n"/>
      <c r="L984" s="49" t="n"/>
      <c r="M984" s="49" t="n"/>
      <c r="N984" s="49" t="n"/>
      <c r="O984" s="49" t="n"/>
      <c r="P984" s="49" t="n"/>
    </row>
    <row r="985" ht="15.75" customHeight="1" s="57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49" t="n"/>
      <c r="L985" s="49" t="n"/>
      <c r="M985" s="49" t="n"/>
      <c r="N985" s="49" t="n"/>
      <c r="O985" s="49" t="n"/>
      <c r="P985" s="49" t="n"/>
    </row>
    <row r="986" ht="15.75" customHeight="1" s="57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49" t="n"/>
      <c r="L986" s="49" t="n"/>
      <c r="M986" s="49" t="n"/>
      <c r="N986" s="49" t="n"/>
      <c r="O986" s="49" t="n"/>
      <c r="P986" s="49" t="n"/>
    </row>
    <row r="987" ht="15.75" customHeight="1" s="57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49" t="n"/>
      <c r="L987" s="49" t="n"/>
      <c r="M987" s="49" t="n"/>
      <c r="N987" s="49" t="n"/>
      <c r="O987" s="49" t="n"/>
      <c r="P987" s="49" t="n"/>
    </row>
    <row r="988" ht="15.75" customHeight="1" s="57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49" t="n"/>
      <c r="L988" s="49" t="n"/>
      <c r="M988" s="49" t="n"/>
      <c r="N988" s="49" t="n"/>
      <c r="O988" s="49" t="n"/>
      <c r="P988" s="49" t="n"/>
    </row>
    <row r="989" ht="15.75" customHeight="1" s="57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49" t="n"/>
      <c r="L989" s="49" t="n"/>
      <c r="M989" s="49" t="n"/>
      <c r="N989" s="49" t="n"/>
      <c r="O989" s="49" t="n"/>
      <c r="P989" s="49" t="n"/>
    </row>
    <row r="990" ht="15.75" customHeight="1" s="57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49" t="n"/>
      <c r="L990" s="49" t="n"/>
      <c r="M990" s="49" t="n"/>
      <c r="N990" s="49" t="n"/>
      <c r="O990" s="49" t="n"/>
      <c r="P990" s="49" t="n"/>
    </row>
    <row r="991" ht="15.75" customHeight="1" s="57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49" t="n"/>
      <c r="L991" s="49" t="n"/>
      <c r="M991" s="49" t="n"/>
      <c r="N991" s="49" t="n"/>
      <c r="O991" s="49" t="n"/>
      <c r="P991" s="49" t="n"/>
    </row>
    <row r="992" ht="15.75" customHeight="1" s="57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49" t="n"/>
      <c r="L992" s="49" t="n"/>
      <c r="M992" s="49" t="n"/>
      <c r="N992" s="49" t="n"/>
      <c r="O992" s="49" t="n"/>
      <c r="P992" s="49" t="n"/>
    </row>
    <row r="993" ht="15.75" customHeight="1" s="57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49" t="n"/>
      <c r="L993" s="49" t="n"/>
      <c r="M993" s="49" t="n"/>
      <c r="N993" s="49" t="n"/>
      <c r="O993" s="49" t="n"/>
      <c r="P993" s="49" t="n"/>
    </row>
    <row r="994" ht="15.75" customHeight="1" s="57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49" t="n"/>
      <c r="L994" s="49" t="n"/>
      <c r="M994" s="49" t="n"/>
      <c r="N994" s="49" t="n"/>
      <c r="O994" s="49" t="n"/>
      <c r="P994" s="49" t="n"/>
    </row>
    <row r="995" ht="15.75" customHeight="1" s="57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49" t="n"/>
      <c r="L995" s="49" t="n"/>
      <c r="M995" s="49" t="n"/>
      <c r="N995" s="49" t="n"/>
      <c r="O995" s="49" t="n"/>
      <c r="P995" s="49" t="n"/>
    </row>
    <row r="996" ht="15.75" customHeight="1" s="57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49" t="n"/>
      <c r="L996" s="49" t="n"/>
      <c r="M996" s="49" t="n"/>
      <c r="N996" s="49" t="n"/>
      <c r="O996" s="49" t="n"/>
      <c r="P996" s="49" t="n"/>
    </row>
    <row r="997" ht="15.75" customHeight="1" s="57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49" t="n"/>
      <c r="L997" s="49" t="n"/>
      <c r="M997" s="49" t="n"/>
      <c r="N997" s="49" t="n"/>
      <c r="O997" s="49" t="n"/>
      <c r="P997" s="49" t="n"/>
    </row>
    <row r="998" ht="15.75" customHeight="1" s="57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49" t="n"/>
      <c r="L998" s="49" t="n"/>
      <c r="M998" s="49" t="n"/>
      <c r="N998" s="49" t="n"/>
      <c r="O998" s="49" t="n"/>
      <c r="P998" s="49" t="n"/>
    </row>
    <row r="999" ht="15.75" customHeight="1" s="57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49" t="n"/>
      <c r="L999" s="49" t="n"/>
      <c r="M999" s="49" t="n"/>
      <c r="N999" s="49" t="n"/>
      <c r="O999" s="49" t="n"/>
      <c r="P999" s="49" t="n"/>
    </row>
    <row r="1000" ht="15.75" customHeight="1" s="57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49" t="n"/>
      <c r="L1000" s="49" t="n"/>
      <c r="M1000" s="49" t="n"/>
      <c r="N1000" s="49" t="n"/>
      <c r="O1000" s="49" t="n"/>
      <c r="P1000" s="49" t="n"/>
    </row>
  </sheetData>
  <autoFilter ref="$A$1:$P$571">
    <filterColumn colId="2" hiddenButton="0" showButton="1">
      <filters>
        <filter val="Thành phố Cam Ranh"/>
      </filters>
    </filterColumn>
  </autoFilter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K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" customHeight="1" outlineLevelCol="0"/>
  <cols>
    <col width="4.5" customWidth="1" style="57" min="1" max="1"/>
    <col width="10.25" customWidth="1" style="57" min="2" max="2"/>
    <col width="50.13" customWidth="1" style="57" min="3" max="3"/>
    <col width="6.63" customWidth="1" style="57" min="4" max="4"/>
    <col width="9.880000000000001" customWidth="1" style="57" min="5" max="5"/>
    <col width="8.130000000000001" customWidth="1" style="57" min="6" max="11"/>
  </cols>
  <sheetData>
    <row r="1" ht="15.75" customHeight="1" s="57">
      <c r="A1" s="4" t="inlineStr">
        <is>
          <t>vung</t>
        </is>
      </c>
      <c r="B1" s="4" t="inlineStr">
        <is>
          <t>routed_bc_id</t>
        </is>
      </c>
      <c r="C1" s="4" t="inlineStr">
        <is>
          <t>routed_bc_name</t>
        </is>
      </c>
      <c r="D1" s="8" t="inlineStr">
        <is>
          <t>bc_type</t>
        </is>
      </c>
      <c r="E1" s="8" t="inlineStr">
        <is>
          <t>weight_group</t>
        </is>
      </c>
      <c r="F1" s="4" t="inlineStr">
        <is>
          <t>T07/2026</t>
        </is>
      </c>
      <c r="G1" s="4" t="inlineStr">
        <is>
          <t>T08/2026</t>
        </is>
      </c>
      <c r="H1" s="4" t="inlineStr">
        <is>
          <t>T09/2026</t>
        </is>
      </c>
      <c r="I1" s="4" t="inlineStr">
        <is>
          <t>T10/2026</t>
        </is>
      </c>
      <c r="J1" s="4" t="inlineStr">
        <is>
          <t>T11/2026</t>
        </is>
      </c>
      <c r="K1" s="4" t="inlineStr">
        <is>
          <t>T12/2026</t>
        </is>
      </c>
    </row>
    <row r="2" ht="15.75" customHeight="1" s="57">
      <c r="A2" s="11" t="inlineStr">
        <is>
          <t>NTB</t>
        </is>
      </c>
      <c r="B2" s="11" t="n">
        <v>1896</v>
      </c>
      <c r="C2" s="11" t="inlineStr">
        <is>
          <t>Bưu Cục Đạ Huoai-Lâm Đồng</t>
        </is>
      </c>
      <c r="D2" s="11" t="inlineStr">
        <is>
          <t>thuong</t>
        </is>
      </c>
      <c r="E2" s="11" t="inlineStr">
        <is>
          <t>10-15kg</t>
        </is>
      </c>
      <c r="F2" s="13" t="n">
        <v>539.8324282422791</v>
      </c>
      <c r="G2" s="13" t="n">
        <v>649.4904148756171</v>
      </c>
      <c r="H2" s="13" t="n">
        <v>698.6162642749917</v>
      </c>
      <c r="I2" s="13" t="n">
        <v>802.0807674354611</v>
      </c>
      <c r="J2" s="13" t="n">
        <v>853.6064330835336</v>
      </c>
      <c r="K2" s="13" t="n">
        <v>915.3640046961494</v>
      </c>
    </row>
    <row r="3" ht="15.75" customHeight="1" s="57">
      <c r="A3" s="11" t="inlineStr">
        <is>
          <t>NTB</t>
        </is>
      </c>
      <c r="B3" s="11" t="n">
        <v>1896</v>
      </c>
      <c r="C3" s="11" t="inlineStr">
        <is>
          <t>Bưu Cục Đạ Huoai-Lâm Đồng</t>
        </is>
      </c>
      <c r="D3" s="11" t="inlineStr">
        <is>
          <t>thuong</t>
        </is>
      </c>
      <c r="E3" s="11" t="inlineStr">
        <is>
          <t>15-30kg</t>
        </is>
      </c>
      <c r="F3" s="13" t="n">
        <v>592.4518191252319</v>
      </c>
      <c r="G3" s="13" t="n">
        <v>712.0696484591841</v>
      </c>
      <c r="H3" s="13" t="n">
        <v>766.9503781811605</v>
      </c>
      <c r="I3" s="13" t="n">
        <v>881.9533055862365</v>
      </c>
      <c r="J3" s="13" t="n">
        <v>941.4974612031455</v>
      </c>
      <c r="K3" s="13" t="n">
        <v>1011.560038026444</v>
      </c>
    </row>
    <row r="4" ht="15.75" customHeight="1" s="57">
      <c r="A4" s="11" t="inlineStr">
        <is>
          <t>NTB</t>
        </is>
      </c>
      <c r="B4" s="11" t="n">
        <v>1896</v>
      </c>
      <c r="C4" s="11" t="inlineStr">
        <is>
          <t>Bưu Cục Đạ Huoai-Lâm Đồng</t>
        </is>
      </c>
      <c r="D4" s="11" t="inlineStr">
        <is>
          <t>thuong</t>
        </is>
      </c>
      <c r="E4" s="11" t="inlineStr">
        <is>
          <t>5-10kg</t>
        </is>
      </c>
      <c r="F4" s="13" t="n">
        <v>755.4950402745351</v>
      </c>
      <c r="G4" s="13" t="n">
        <v>809.8593718322027</v>
      </c>
      <c r="H4" s="13" t="n">
        <v>805.463289955104</v>
      </c>
      <c r="I4" s="13" t="n">
        <v>861.4882247129609</v>
      </c>
      <c r="J4" s="13" t="n">
        <v>915.1433770223416</v>
      </c>
      <c r="K4" s="13" t="n">
        <v>1005.655799224621</v>
      </c>
    </row>
    <row r="5" ht="15.75" customHeight="1" s="57">
      <c r="A5" s="11" t="inlineStr">
        <is>
          <t>NTB</t>
        </is>
      </c>
      <c r="B5" s="11" t="n">
        <v>1896</v>
      </c>
      <c r="C5" s="11" t="inlineStr">
        <is>
          <t>Bưu Cục Đạ Huoai-Lâm Đồng</t>
        </is>
      </c>
      <c r="D5" s="11" t="inlineStr">
        <is>
          <t>thuong</t>
        </is>
      </c>
      <c r="E5" s="11" t="inlineStr">
        <is>
          <t>&lt;5kg</t>
        </is>
      </c>
      <c r="F5" s="13" t="n">
        <v>11266.72460075143</v>
      </c>
      <c r="G5" s="13" t="n">
        <v>12190.31845367803</v>
      </c>
      <c r="H5" s="13" t="n">
        <v>12140.7792093719</v>
      </c>
      <c r="I5" s="13" t="n">
        <v>13008.67332471513</v>
      </c>
      <c r="J5" s="13" t="n">
        <v>13997.64725158208</v>
      </c>
      <c r="K5" s="13" t="n">
        <v>15519.41579221549</v>
      </c>
    </row>
    <row r="6" ht="15.75" customHeight="1" s="57">
      <c r="A6" s="11" t="inlineStr">
        <is>
          <t>NTB</t>
        </is>
      </c>
      <c r="B6" s="11" t="n">
        <v>1896</v>
      </c>
      <c r="C6" s="11" t="inlineStr">
        <is>
          <t>Bưu Cục Đạ Huoai-Lâm Đồng</t>
        </is>
      </c>
      <c r="D6" s="11" t="inlineStr">
        <is>
          <t>thuong</t>
        </is>
      </c>
      <c r="E6" s="11" t="inlineStr">
        <is>
          <t>≥30kg</t>
        </is>
      </c>
      <c r="F6" s="13" t="n">
        <v>207.2128798595266</v>
      </c>
      <c r="G6" s="13" t="n">
        <v>251.7352578385559</v>
      </c>
      <c r="H6" s="13" t="n">
        <v>273.2239837046629</v>
      </c>
      <c r="I6" s="13" t="n">
        <v>316.1142027729842</v>
      </c>
      <c r="J6" s="13" t="n">
        <v>335.9796996735482</v>
      </c>
      <c r="K6" s="13" t="n">
        <v>358.9399546415618</v>
      </c>
    </row>
    <row r="7" ht="15.75" customHeight="1" s="57">
      <c r="A7" s="11" t="inlineStr">
        <is>
          <t>NTB</t>
        </is>
      </c>
      <c r="B7" s="11" t="n">
        <v>2309</v>
      </c>
      <c r="C7" s="11" t="inlineStr">
        <is>
          <t>(DNO) Đức Lập</t>
        </is>
      </c>
      <c r="D7" s="11" t="inlineStr">
        <is>
          <t>thuong</t>
        </is>
      </c>
      <c r="E7" s="11" t="inlineStr">
        <is>
          <t>10-15kg</t>
        </is>
      </c>
      <c r="F7" s="13" t="n">
        <v>1207.772615081264</v>
      </c>
      <c r="G7" s="13" t="n">
        <v>1436.177466432851</v>
      </c>
      <c r="H7" s="13" t="n">
        <v>1529.847027301594</v>
      </c>
      <c r="I7" s="13" t="n">
        <v>1742.51242553413</v>
      </c>
      <c r="J7" s="13" t="n">
        <v>1866.051689017547</v>
      </c>
      <c r="K7" s="13" t="n">
        <v>2016.617995768991</v>
      </c>
    </row>
    <row r="8" ht="15.75" customHeight="1" s="57">
      <c r="A8" s="11" t="inlineStr">
        <is>
          <t>NTB</t>
        </is>
      </c>
      <c r="B8" s="11" t="n">
        <v>2309</v>
      </c>
      <c r="C8" s="11" t="inlineStr">
        <is>
          <t>(DNO) Đức Lập</t>
        </is>
      </c>
      <c r="D8" s="11" t="inlineStr">
        <is>
          <t>thuong</t>
        </is>
      </c>
      <c r="E8" s="11" t="inlineStr">
        <is>
          <t>15-30kg</t>
        </is>
      </c>
      <c r="F8" s="13" t="n">
        <v>1258.638234595412</v>
      </c>
      <c r="G8" s="13" t="n">
        <v>1539.293059521845</v>
      </c>
      <c r="H8" s="13" t="n">
        <v>1671.028599233712</v>
      </c>
      <c r="I8" s="13" t="n">
        <v>1932.603042602453</v>
      </c>
      <c r="J8" s="13" t="n">
        <v>2051.234657327038</v>
      </c>
      <c r="K8" s="13" t="n">
        <v>2189.117251367085</v>
      </c>
    </row>
    <row r="9" ht="15.75" customHeight="1" s="57">
      <c r="A9" s="11" t="inlineStr">
        <is>
          <t>NTB</t>
        </is>
      </c>
      <c r="B9" s="11" t="n">
        <v>2309</v>
      </c>
      <c r="C9" s="11" t="inlineStr">
        <is>
          <t>(DNO) Đức Lập</t>
        </is>
      </c>
      <c r="D9" s="11" t="inlineStr">
        <is>
          <t>thuong</t>
        </is>
      </c>
      <c r="E9" s="11" t="inlineStr">
        <is>
          <t>5-10kg</t>
        </is>
      </c>
      <c r="F9" s="13" t="n">
        <v>1869.038327016173</v>
      </c>
      <c r="G9" s="13" t="n">
        <v>2032.106871886049</v>
      </c>
      <c r="H9" s="13" t="n">
        <v>2026.311378349398</v>
      </c>
      <c r="I9" s="13" t="n">
        <v>2174.00081421588</v>
      </c>
      <c r="J9" s="13" t="n">
        <v>2350.069497216964</v>
      </c>
      <c r="K9" s="13" t="n">
        <v>2613.107504759831</v>
      </c>
    </row>
    <row r="10" ht="15.75" customHeight="1" s="57">
      <c r="A10" s="11" t="inlineStr">
        <is>
          <t>NTB</t>
        </is>
      </c>
      <c r="B10" s="11" t="n">
        <v>2309</v>
      </c>
      <c r="C10" s="11" t="inlineStr">
        <is>
          <t>(DNO) Đức Lập</t>
        </is>
      </c>
      <c r="D10" s="11" t="inlineStr">
        <is>
          <t>thuong</t>
        </is>
      </c>
      <c r="E10" s="11" t="inlineStr">
        <is>
          <t>&lt;5kg</t>
        </is>
      </c>
      <c r="F10" s="13" t="n">
        <v>30771.22077119464</v>
      </c>
      <c r="G10" s="13" t="n">
        <v>33836.39010368149</v>
      </c>
      <c r="H10" s="13" t="n">
        <v>33646.50550531497</v>
      </c>
      <c r="I10" s="13" t="n">
        <v>35980.66895059785</v>
      </c>
      <c r="J10" s="13" t="n">
        <v>39222.90892543747</v>
      </c>
      <c r="K10" s="13" t="n">
        <v>43925.07391696157</v>
      </c>
    </row>
    <row r="11" ht="15.75" customHeight="1" s="57">
      <c r="A11" s="11" t="inlineStr">
        <is>
          <t>NTB</t>
        </is>
      </c>
      <c r="B11" s="11" t="n">
        <v>2309</v>
      </c>
      <c r="C11" s="11" t="inlineStr">
        <is>
          <t>(DNO) Đức Lập</t>
        </is>
      </c>
      <c r="D11" s="11" t="inlineStr">
        <is>
          <t>thuong</t>
        </is>
      </c>
      <c r="E11" s="11" t="inlineStr">
        <is>
          <t>≥30kg</t>
        </is>
      </c>
      <c r="F11" s="13" t="n">
        <v>480.5356028618758</v>
      </c>
      <c r="G11" s="13" t="n">
        <v>587.3657379547506</v>
      </c>
      <c r="H11" s="13" t="n">
        <v>638.9549201231345</v>
      </c>
      <c r="I11" s="13" t="n">
        <v>740.4016972096776</v>
      </c>
      <c r="J11" s="13" t="n">
        <v>785.4950771171372</v>
      </c>
      <c r="K11" s="13" t="n">
        <v>837.4477130057331</v>
      </c>
    </row>
    <row r="12" ht="15.75" customHeight="1" s="57">
      <c r="A12" s="11" t="inlineStr">
        <is>
          <t>NTB</t>
        </is>
      </c>
      <c r="B12" s="11" t="n">
        <v>2357</v>
      </c>
      <c r="C12" s="11" t="inlineStr">
        <is>
          <t>(BTH) Đồng Kho</t>
        </is>
      </c>
      <c r="D12" s="11" t="inlineStr">
        <is>
          <t>thuong</t>
        </is>
      </c>
      <c r="E12" s="11" t="inlineStr">
        <is>
          <t>10-15kg</t>
        </is>
      </c>
      <c r="F12" s="13" t="n">
        <v>1068.501364158851</v>
      </c>
      <c r="G12" s="13" t="n">
        <v>1279.283214530507</v>
      </c>
      <c r="H12" s="13" t="n">
        <v>1370.709554449527</v>
      </c>
      <c r="I12" s="13" t="n">
        <v>1568.526468555025</v>
      </c>
      <c r="J12" s="13" t="n">
        <v>1670.488037303358</v>
      </c>
      <c r="K12" s="13" t="n">
        <v>1794.460705113649</v>
      </c>
    </row>
    <row r="13" ht="15.75" customHeight="1" s="57">
      <c r="A13" s="11" t="inlineStr">
        <is>
          <t>NTB</t>
        </is>
      </c>
      <c r="B13" s="11" t="n">
        <v>2357</v>
      </c>
      <c r="C13" s="11" t="inlineStr">
        <is>
          <t>(BTH) Đồng Kho</t>
        </is>
      </c>
      <c r="D13" s="11" t="inlineStr">
        <is>
          <t>thuong</t>
        </is>
      </c>
      <c r="E13" s="11" t="inlineStr">
        <is>
          <t>15-30kg</t>
        </is>
      </c>
      <c r="F13" s="13" t="n">
        <v>1158.647686155599</v>
      </c>
      <c r="G13" s="13" t="n">
        <v>1409.55565075608</v>
      </c>
      <c r="H13" s="13" t="n">
        <v>1527.50746840338</v>
      </c>
      <c r="I13" s="13" t="n">
        <v>1764.581963096463</v>
      </c>
      <c r="J13" s="13" t="n">
        <v>1875.743886573023</v>
      </c>
      <c r="K13" s="13" t="n">
        <v>2005.169249842826</v>
      </c>
    </row>
    <row r="14" ht="15.75" customHeight="1" s="57">
      <c r="A14" s="11" t="inlineStr">
        <is>
          <t>NTB</t>
        </is>
      </c>
      <c r="B14" s="11" t="n">
        <v>2357</v>
      </c>
      <c r="C14" s="11" t="inlineStr">
        <is>
          <t>(BTH) Đồng Kho</t>
        </is>
      </c>
      <c r="D14" s="11" t="inlineStr">
        <is>
          <t>thuong</t>
        </is>
      </c>
      <c r="E14" s="11" t="inlineStr">
        <is>
          <t>5-10kg</t>
        </is>
      </c>
      <c r="F14" s="13" t="n">
        <v>1529.504318073363</v>
      </c>
      <c r="G14" s="13" t="n">
        <v>1638.781080356561</v>
      </c>
      <c r="H14" s="13" t="n">
        <v>1628.191853087746</v>
      </c>
      <c r="I14" s="13" t="n">
        <v>1739.05954230702</v>
      </c>
      <c r="J14" s="13" t="n">
        <v>1841.630301746673</v>
      </c>
      <c r="K14" s="13" t="n">
        <v>2019.999350682315</v>
      </c>
    </row>
    <row r="15" ht="15.75" customHeight="1" s="57">
      <c r="A15" s="11" t="inlineStr">
        <is>
          <t>NTB</t>
        </is>
      </c>
      <c r="B15" s="11" t="n">
        <v>2357</v>
      </c>
      <c r="C15" s="11" t="inlineStr">
        <is>
          <t>(BTH) Đồng Kho</t>
        </is>
      </c>
      <c r="D15" s="11" t="inlineStr">
        <is>
          <t>thuong</t>
        </is>
      </c>
      <c r="E15" s="11" t="inlineStr">
        <is>
          <t>&lt;5kg</t>
        </is>
      </c>
      <c r="F15" s="13" t="n">
        <v>23513.5928489748</v>
      </c>
      <c r="G15" s="13" t="n">
        <v>25452.40086659068</v>
      </c>
      <c r="H15" s="13" t="n">
        <v>25254.64237143179</v>
      </c>
      <c r="I15" s="13" t="n">
        <v>26935.7629157868</v>
      </c>
      <c r="J15" s="13" t="n">
        <v>28830.42663279605</v>
      </c>
      <c r="K15" s="13" t="n">
        <v>31890.1196126772</v>
      </c>
    </row>
    <row r="16" ht="15.75" customHeight="1" s="57">
      <c r="A16" s="11" t="inlineStr">
        <is>
          <t>NTB</t>
        </is>
      </c>
      <c r="B16" s="11" t="n">
        <v>2357</v>
      </c>
      <c r="C16" s="11" t="inlineStr">
        <is>
          <t>(BTH) Đồng Kho</t>
        </is>
      </c>
      <c r="D16" s="11" t="inlineStr">
        <is>
          <t>thuong</t>
        </is>
      </c>
      <c r="E16" s="11" t="inlineStr">
        <is>
          <t>≥30kg</t>
        </is>
      </c>
      <c r="F16" s="13" t="n">
        <v>486.8098796822488</v>
      </c>
      <c r="G16" s="13" t="n">
        <v>589.4950545395324</v>
      </c>
      <c r="H16" s="13" t="n">
        <v>638.4950586028169</v>
      </c>
      <c r="I16" s="13" t="n">
        <v>737.5439217553586</v>
      </c>
      <c r="J16" s="13" t="n">
        <v>784.9193064807856</v>
      </c>
      <c r="K16" s="13" t="n">
        <v>839.9227418107129</v>
      </c>
    </row>
    <row r="17" ht="15.75" customHeight="1" s="57">
      <c r="A17" s="11" t="inlineStr">
        <is>
          <t>NTB</t>
        </is>
      </c>
      <c r="B17" s="11" t="n">
        <v>2399</v>
      </c>
      <c r="C17" s="11" t="inlineStr">
        <is>
          <t>Bưu Cục 195 Đường 2/4-Nha Trang-Khánh Hòa</t>
        </is>
      </c>
      <c r="D17" s="11" t="inlineStr">
        <is>
          <t>thuong</t>
        </is>
      </c>
      <c r="E17" s="11" t="inlineStr">
        <is>
          <t>10-15kg</t>
        </is>
      </c>
      <c r="F17" s="13" t="n">
        <v>2414.811573383794</v>
      </c>
      <c r="G17" s="13" t="n">
        <v>2946.395929638185</v>
      </c>
      <c r="H17" s="13" t="n">
        <v>3188.438554645552</v>
      </c>
      <c r="I17" s="13" t="n">
        <v>3676.583290546757</v>
      </c>
      <c r="J17" s="13" t="n">
        <v>3895.181414247396</v>
      </c>
      <c r="K17" s="13" t="n">
        <v>4155.163649408156</v>
      </c>
    </row>
    <row r="18" ht="15.75" customHeight="1" s="57">
      <c r="A18" s="11" t="inlineStr">
        <is>
          <t>NTB</t>
        </is>
      </c>
      <c r="B18" s="11" t="n">
        <v>2399</v>
      </c>
      <c r="C18" s="11" t="inlineStr">
        <is>
          <t>Bưu Cục 195 Đường 2/4-Nha Trang-Khánh Hòa</t>
        </is>
      </c>
      <c r="D18" s="11" t="inlineStr">
        <is>
          <t>thuong</t>
        </is>
      </c>
      <c r="E18" s="11" t="inlineStr">
        <is>
          <t>15-30kg</t>
        </is>
      </c>
      <c r="F18" s="13" t="n">
        <v>1015.134026030534</v>
      </c>
      <c r="G18" s="13" t="n">
        <v>1257.655200854282</v>
      </c>
      <c r="H18" s="13" t="n">
        <v>1375.303738413835</v>
      </c>
      <c r="I18" s="13" t="n">
        <v>1599.400299107497</v>
      </c>
      <c r="J18" s="13" t="n">
        <v>1689.649109965266</v>
      </c>
      <c r="K18" s="13" t="n">
        <v>1792.782316192233</v>
      </c>
    </row>
    <row r="19" ht="15.75" customHeight="1" s="57">
      <c r="A19" s="11" t="inlineStr">
        <is>
          <t>NTB</t>
        </is>
      </c>
      <c r="B19" s="11" t="n">
        <v>2399</v>
      </c>
      <c r="C19" s="11" t="inlineStr">
        <is>
          <t>Bưu Cục 195 Đường 2/4-Nha Trang-Khánh Hòa</t>
        </is>
      </c>
      <c r="D19" s="11" t="inlineStr">
        <is>
          <t>thuong</t>
        </is>
      </c>
      <c r="E19" s="11" t="inlineStr">
        <is>
          <t>5-10kg</t>
        </is>
      </c>
      <c r="F19" s="13" t="n">
        <v>3031.906473261418</v>
      </c>
      <c r="G19" s="13" t="n">
        <v>3253.74947462438</v>
      </c>
      <c r="H19" s="13" t="n">
        <v>3233.977830415857</v>
      </c>
      <c r="I19" s="13" t="n">
        <v>3455.827579250815</v>
      </c>
      <c r="J19" s="13" t="n">
        <v>3667.808857840442</v>
      </c>
      <c r="K19" s="13" t="n">
        <v>4029.091360630975</v>
      </c>
    </row>
    <row r="20" ht="15.75" customHeight="1" s="57">
      <c r="A20" s="11" t="inlineStr">
        <is>
          <t>NTB</t>
        </is>
      </c>
      <c r="B20" s="11" t="n">
        <v>2399</v>
      </c>
      <c r="C20" s="11" t="inlineStr">
        <is>
          <t>Bưu Cục 195 Đường 2/4-Nha Trang-Khánh Hòa</t>
        </is>
      </c>
      <c r="D20" s="11" t="inlineStr">
        <is>
          <t>thuong</t>
        </is>
      </c>
      <c r="E20" s="11" t="inlineStr">
        <is>
          <t>&lt;5kg</t>
        </is>
      </c>
      <c r="F20" s="13" t="n">
        <v>48741.76271055738</v>
      </c>
      <c r="G20" s="13" t="n">
        <v>53025.4671844546</v>
      </c>
      <c r="H20" s="13" t="n">
        <v>52787.50636546992</v>
      </c>
      <c r="I20" s="13" t="n">
        <v>56529.97988216711</v>
      </c>
      <c r="J20" s="13" t="n">
        <v>61101.59910921143</v>
      </c>
      <c r="K20" s="13" t="n">
        <v>67978.12557985439</v>
      </c>
    </row>
    <row r="21" ht="15.75" customHeight="1" s="57">
      <c r="A21" s="11" t="inlineStr">
        <is>
          <t>NTB</t>
        </is>
      </c>
      <c r="B21" s="11" t="n">
        <v>2399</v>
      </c>
      <c r="C21" s="11" t="inlineStr">
        <is>
          <t>Bưu Cục 195 Đường 2/4-Nha Trang-Khánh Hòa</t>
        </is>
      </c>
      <c r="D21" s="11" t="inlineStr">
        <is>
          <t>thuong</t>
        </is>
      </c>
      <c r="E21" s="11" t="inlineStr">
        <is>
          <t>≥30kg</t>
        </is>
      </c>
      <c r="F21" s="13" t="n">
        <v>418.7513463206963</v>
      </c>
      <c r="G21" s="13" t="n">
        <v>519.8618866081536</v>
      </c>
      <c r="H21" s="13" t="n">
        <v>569.7277368954049</v>
      </c>
      <c r="I21" s="13" t="n">
        <v>663.7436749073792</v>
      </c>
      <c r="J21" s="13" t="n">
        <v>700.5256861657398</v>
      </c>
      <c r="K21" s="13" t="n">
        <v>742.2373603469783</v>
      </c>
    </row>
    <row r="22" ht="15.75" customHeight="1" s="57">
      <c r="A22" s="11" t="inlineStr">
        <is>
          <t>NTB</t>
        </is>
      </c>
      <c r="B22" s="11" t="n">
        <v>2502</v>
      </c>
      <c r="C22" s="11" t="inlineStr">
        <is>
          <t>Bưu Cục Phước Đồng-Nha Trang-Khánh Hoà</t>
        </is>
      </c>
      <c r="D22" s="11" t="inlineStr">
        <is>
          <t>thuong</t>
        </is>
      </c>
      <c r="E22" s="11" t="inlineStr">
        <is>
          <t>10-15kg</t>
        </is>
      </c>
      <c r="F22" s="13" t="n">
        <v>496.4636864015792</v>
      </c>
      <c r="G22" s="13" t="n">
        <v>602.6880702596206</v>
      </c>
      <c r="H22" s="13" t="n">
        <v>650.2688793610198</v>
      </c>
      <c r="I22" s="13" t="n">
        <v>748.0920719064413</v>
      </c>
      <c r="J22" s="13" t="n">
        <v>793.8005543773571</v>
      </c>
      <c r="K22" s="13" t="n">
        <v>848.5515964570043</v>
      </c>
    </row>
    <row r="23" ht="15.75" customHeight="1" s="57">
      <c r="A23" s="11" t="inlineStr">
        <is>
          <t>NTB</t>
        </is>
      </c>
      <c r="B23" s="11" t="n">
        <v>2502</v>
      </c>
      <c r="C23" s="11" t="inlineStr">
        <is>
          <t>Bưu Cục Phước Đồng-Nha Trang-Khánh Hoà</t>
        </is>
      </c>
      <c r="D23" s="11" t="inlineStr">
        <is>
          <t>thuong</t>
        </is>
      </c>
      <c r="E23" s="11" t="inlineStr">
        <is>
          <t>15-30kg</t>
        </is>
      </c>
      <c r="F23" s="13" t="n">
        <v>140.7562613396628</v>
      </c>
      <c r="G23" s="13" t="n">
        <v>173.9928528183717</v>
      </c>
      <c r="H23" s="13" t="n">
        <v>190.0483916408358</v>
      </c>
      <c r="I23" s="13" t="n">
        <v>220.8252608782007</v>
      </c>
      <c r="J23" s="13" t="n">
        <v>233.4595927728308</v>
      </c>
      <c r="K23" s="13" t="n">
        <v>247.9384925237289</v>
      </c>
    </row>
    <row r="24" ht="15.75" customHeight="1" s="57">
      <c r="A24" s="11" t="inlineStr">
        <is>
          <t>NTB</t>
        </is>
      </c>
      <c r="B24" s="11" t="n">
        <v>2502</v>
      </c>
      <c r="C24" s="11" t="inlineStr">
        <is>
          <t>Bưu Cục Phước Đồng-Nha Trang-Khánh Hoà</t>
        </is>
      </c>
      <c r="D24" s="11" t="inlineStr">
        <is>
          <t>thuong</t>
        </is>
      </c>
      <c r="E24" s="11" t="inlineStr">
        <is>
          <t>5-10kg</t>
        </is>
      </c>
      <c r="F24" s="13" t="n">
        <v>553.22734747915</v>
      </c>
      <c r="G24" s="13" t="n">
        <v>593.4829546559131</v>
      </c>
      <c r="H24" s="13" t="n">
        <v>589.7136972400151</v>
      </c>
      <c r="I24" s="13" t="n">
        <v>630.0012510129471</v>
      </c>
      <c r="J24" s="13" t="n">
        <v>668.6755345566922</v>
      </c>
      <c r="K24" s="13" t="n">
        <v>734.6385546440179</v>
      </c>
    </row>
    <row r="25" ht="15.75" customHeight="1" s="57">
      <c r="A25" s="11" t="inlineStr">
        <is>
          <t>NTB</t>
        </is>
      </c>
      <c r="B25" s="11" t="n">
        <v>2502</v>
      </c>
      <c r="C25" s="11" t="inlineStr">
        <is>
          <t>Bưu Cục Phước Đồng-Nha Trang-Khánh Hoà</t>
        </is>
      </c>
      <c r="D25" s="11" t="inlineStr">
        <is>
          <t>thuong</t>
        </is>
      </c>
      <c r="E25" s="11" t="inlineStr">
        <is>
          <t>&lt;5kg</t>
        </is>
      </c>
      <c r="F25" s="13" t="n">
        <v>9719.825613419385</v>
      </c>
      <c r="G25" s="13" t="n">
        <v>10573.67213235614</v>
      </c>
      <c r="H25" s="13" t="n">
        <v>10525.92164805696</v>
      </c>
      <c r="I25" s="13" t="n">
        <v>11271.87373781914</v>
      </c>
      <c r="J25" s="13" t="n">
        <v>12183.55923977074</v>
      </c>
      <c r="K25" s="13" t="n">
        <v>13554.958906914</v>
      </c>
    </row>
    <row r="26" ht="15.75" customHeight="1" s="57">
      <c r="A26" s="11" t="inlineStr">
        <is>
          <t>NTB</t>
        </is>
      </c>
      <c r="B26" s="11" t="n">
        <v>2502</v>
      </c>
      <c r="C26" s="11" t="inlineStr">
        <is>
          <t>Bưu Cục Phước Đồng-Nha Trang-Khánh Hoà</t>
        </is>
      </c>
      <c r="D26" s="11" t="inlineStr">
        <is>
          <t>thuong</t>
        </is>
      </c>
      <c r="E26" s="11" t="inlineStr">
        <is>
          <t>≥30kg</t>
        </is>
      </c>
      <c r="F26" s="13" t="n">
        <v>60.48490759209419</v>
      </c>
      <c r="G26" s="13" t="n">
        <v>75.03237124251612</v>
      </c>
      <c r="H26" s="13" t="n">
        <v>82.19967023542476</v>
      </c>
      <c r="I26" s="13" t="n">
        <v>95.7389671969126</v>
      </c>
      <c r="J26" s="13" t="n">
        <v>101.0698383069448</v>
      </c>
      <c r="K26" s="13" t="n">
        <v>107.1203616700706</v>
      </c>
    </row>
    <row r="27" ht="15.75" customHeight="1" s="57">
      <c r="A27" s="11" t="inlineStr">
        <is>
          <t>NTB</t>
        </is>
      </c>
      <c r="B27" s="11" t="n">
        <v>20143000</v>
      </c>
      <c r="C27" s="11" t="inlineStr">
        <is>
          <t>(KHO) Diên Khánh 2</t>
        </is>
      </c>
      <c r="D27" s="11" t="inlineStr">
        <is>
          <t>thuong</t>
        </is>
      </c>
      <c r="E27" s="11" t="inlineStr">
        <is>
          <t>10-15kg</t>
        </is>
      </c>
      <c r="F27" s="13" t="n">
        <v>936.1754458151307</v>
      </c>
      <c r="G27" s="13" t="n">
        <v>1127.377474159178</v>
      </c>
      <c r="H27" s="13" t="n">
        <v>1210.620986195003</v>
      </c>
      <c r="I27" s="13" t="n">
        <v>1387.554283936185</v>
      </c>
      <c r="J27" s="13" t="n">
        <v>1476.023710823928</v>
      </c>
      <c r="K27" s="13" t="n">
        <v>1583.131982010583</v>
      </c>
    </row>
    <row r="28" ht="15.75" customHeight="1" s="57">
      <c r="A28" s="11" t="inlineStr">
        <is>
          <t>NTB</t>
        </is>
      </c>
      <c r="B28" s="11" t="n">
        <v>20143000</v>
      </c>
      <c r="C28" s="11" t="inlineStr">
        <is>
          <t>(KHO) Diên Khánh 2</t>
        </is>
      </c>
      <c r="D28" s="11" t="inlineStr">
        <is>
          <t>thuong</t>
        </is>
      </c>
      <c r="E28" s="11" t="inlineStr">
        <is>
          <t>15-30kg</t>
        </is>
      </c>
      <c r="F28" s="13" t="n">
        <v>177.5387359677383</v>
      </c>
      <c r="G28" s="13" t="n">
        <v>215.7291710969285</v>
      </c>
      <c r="H28" s="13" t="n">
        <v>233.5267574399517</v>
      </c>
      <c r="I28" s="13" t="n">
        <v>269.5309487295162</v>
      </c>
      <c r="J28" s="13" t="n">
        <v>286.6822823311285</v>
      </c>
      <c r="K28" s="13" t="n">
        <v>306.7068230571825</v>
      </c>
    </row>
    <row r="29" ht="15.75" customHeight="1" s="57">
      <c r="A29" s="11" t="inlineStr">
        <is>
          <t>NTB</t>
        </is>
      </c>
      <c r="B29" s="11" t="n">
        <v>20143000</v>
      </c>
      <c r="C29" s="11" t="inlineStr">
        <is>
          <t>(KHO) Diên Khánh 2</t>
        </is>
      </c>
      <c r="D29" s="11" t="inlineStr">
        <is>
          <t>thuong</t>
        </is>
      </c>
      <c r="E29" s="11" t="inlineStr">
        <is>
          <t>5-10kg</t>
        </is>
      </c>
      <c r="F29" s="13" t="n">
        <v>1238.215489530954</v>
      </c>
      <c r="G29" s="13" t="n">
        <v>1328.806715957425</v>
      </c>
      <c r="H29" s="13" t="n">
        <v>1320.72604633984</v>
      </c>
      <c r="I29" s="13" t="n">
        <v>1411.321174589949</v>
      </c>
      <c r="J29" s="13" t="n">
        <v>1497.893062430691</v>
      </c>
      <c r="K29" s="13" t="n">
        <v>1645.440541401211</v>
      </c>
    </row>
    <row r="30" ht="15.75" customHeight="1" s="57">
      <c r="A30" s="11" t="inlineStr">
        <is>
          <t>NTB</t>
        </is>
      </c>
      <c r="B30" s="11" t="n">
        <v>20143000</v>
      </c>
      <c r="C30" s="11" t="inlineStr">
        <is>
          <t>(KHO) Diên Khánh 2</t>
        </is>
      </c>
      <c r="D30" s="11" t="inlineStr">
        <is>
          <t>thuong</t>
        </is>
      </c>
      <c r="E30" s="11" t="inlineStr">
        <is>
          <t>&lt;5kg</t>
        </is>
      </c>
      <c r="F30" s="13" t="n">
        <v>22364.57937438554</v>
      </c>
      <c r="G30" s="13" t="n">
        <v>24329.39872698073</v>
      </c>
      <c r="H30" s="13" t="n">
        <v>24219.66947474137</v>
      </c>
      <c r="I30" s="13" t="n">
        <v>25936.21537329081</v>
      </c>
      <c r="J30" s="13" t="n">
        <v>28033.91670618173</v>
      </c>
      <c r="K30" s="13" t="n">
        <v>31189.34665872538</v>
      </c>
    </row>
    <row r="31" ht="15.75" customHeight="1" s="57">
      <c r="A31" s="11" t="inlineStr">
        <is>
          <t>NTB</t>
        </is>
      </c>
      <c r="B31" s="11" t="n">
        <v>20143000</v>
      </c>
      <c r="C31" s="11" t="inlineStr">
        <is>
          <t>(KHO) Diên Khánh 2</t>
        </is>
      </c>
      <c r="D31" s="11" t="inlineStr">
        <is>
          <t>thuong</t>
        </is>
      </c>
      <c r="E31" s="11" t="inlineStr">
        <is>
          <t>≥30kg</t>
        </is>
      </c>
      <c r="F31" s="13" t="n">
        <v>56.61786194956067</v>
      </c>
      <c r="G31" s="13" t="n">
        <v>69.63194598309593</v>
      </c>
      <c r="H31" s="13" t="n">
        <v>75.96690330504011</v>
      </c>
      <c r="I31" s="13" t="n">
        <v>88.21265368692896</v>
      </c>
      <c r="J31" s="13" t="n">
        <v>93.39342269658933</v>
      </c>
      <c r="K31" s="13" t="n">
        <v>99.32826332664808</v>
      </c>
    </row>
    <row r="32" ht="15.75" customHeight="1" s="57">
      <c r="A32" s="11" t="inlineStr">
        <is>
          <t>NTB</t>
        </is>
      </c>
      <c r="B32" s="11" t="n">
        <v>20144000</v>
      </c>
      <c r="C32" s="11" t="inlineStr">
        <is>
          <t>(BTH) Mũi Né</t>
        </is>
      </c>
      <c r="D32" s="11" t="inlineStr">
        <is>
          <t>thuong</t>
        </is>
      </c>
      <c r="E32" s="11" t="inlineStr">
        <is>
          <t>10-15kg</t>
        </is>
      </c>
      <c r="F32" s="13" t="n">
        <v>973.1662455005763</v>
      </c>
      <c r="G32" s="13" t="n">
        <v>1193.253459107671</v>
      </c>
      <c r="H32" s="13" t="n">
        <v>1295.993602489329</v>
      </c>
      <c r="I32" s="13" t="n">
        <v>1498.779943326556</v>
      </c>
      <c r="J32" s="13" t="n">
        <v>1584.884681263124</v>
      </c>
      <c r="K32" s="13" t="n">
        <v>1686.309829916689</v>
      </c>
    </row>
    <row r="33" ht="15.75" customHeight="1" s="57">
      <c r="A33" s="11" t="inlineStr">
        <is>
          <t>NTB</t>
        </is>
      </c>
      <c r="B33" s="11" t="n">
        <v>20144000</v>
      </c>
      <c r="C33" s="11" t="inlineStr">
        <is>
          <t>(BTH) Mũi Né</t>
        </is>
      </c>
      <c r="D33" s="11" t="inlineStr">
        <is>
          <t>thuong</t>
        </is>
      </c>
      <c r="E33" s="11" t="inlineStr">
        <is>
          <t>15-30kg</t>
        </is>
      </c>
      <c r="F33" s="13" t="n">
        <v>152.6599652256045</v>
      </c>
      <c r="G33" s="13" t="n">
        <v>190.6500823587211</v>
      </c>
      <c r="H33" s="13" t="n">
        <v>209.3887228325399</v>
      </c>
      <c r="I33" s="13" t="n">
        <v>244.2935101201361</v>
      </c>
      <c r="J33" s="13" t="n">
        <v>257.3710505068794</v>
      </c>
      <c r="K33" s="13" t="n">
        <v>272.1457689516013</v>
      </c>
    </row>
    <row r="34" ht="15.75" customHeight="1" s="57">
      <c r="A34" s="11" t="inlineStr">
        <is>
          <t>NTB</t>
        </is>
      </c>
      <c r="B34" s="11" t="n">
        <v>20144000</v>
      </c>
      <c r="C34" s="11" t="inlineStr">
        <is>
          <t>(BTH) Mũi Né</t>
        </is>
      </c>
      <c r="D34" s="11" t="inlineStr">
        <is>
          <t>thuong</t>
        </is>
      </c>
      <c r="E34" s="11" t="inlineStr">
        <is>
          <t>5-10kg</t>
        </is>
      </c>
      <c r="F34" s="13" t="n">
        <v>1204.068384372076</v>
      </c>
      <c r="G34" s="13" t="n">
        <v>1291.265305618521</v>
      </c>
      <c r="H34" s="13" t="n">
        <v>1283.770145800492</v>
      </c>
      <c r="I34" s="13" t="n">
        <v>1372.054242059268</v>
      </c>
      <c r="J34" s="13" t="n">
        <v>1452.845874208138</v>
      </c>
      <c r="K34" s="13" t="n">
        <v>1593.067621656059</v>
      </c>
    </row>
    <row r="35" ht="15.75" customHeight="1" s="57">
      <c r="A35" s="11" t="inlineStr">
        <is>
          <t>NTB</t>
        </is>
      </c>
      <c r="B35" s="11" t="n">
        <v>20144000</v>
      </c>
      <c r="C35" s="11" t="inlineStr">
        <is>
          <t>(BTH) Mũi Né</t>
        </is>
      </c>
      <c r="D35" s="11" t="inlineStr">
        <is>
          <t>thuong</t>
        </is>
      </c>
      <c r="E35" s="11" t="inlineStr">
        <is>
          <t>&lt;5kg</t>
        </is>
      </c>
      <c r="F35" s="13" t="n">
        <v>17814.89978183537</v>
      </c>
      <c r="G35" s="13" t="n">
        <v>19284.45013681578</v>
      </c>
      <c r="H35" s="13" t="n">
        <v>19135.09949868386</v>
      </c>
      <c r="I35" s="13" t="n">
        <v>20409.35928888927</v>
      </c>
      <c r="J35" s="13" t="n">
        <v>21844.82016066586</v>
      </c>
      <c r="K35" s="13" t="n">
        <v>24162.82110132832</v>
      </c>
    </row>
    <row r="36" ht="15.75" customHeight="1" s="57">
      <c r="A36" s="11" t="inlineStr">
        <is>
          <t>NTB</t>
        </is>
      </c>
      <c r="B36" s="11" t="n">
        <v>20144000</v>
      </c>
      <c r="C36" s="11" t="inlineStr">
        <is>
          <t>(BTH) Mũi Né</t>
        </is>
      </c>
      <c r="D36" s="11" t="inlineStr">
        <is>
          <t>thuong</t>
        </is>
      </c>
      <c r="E36" s="11" t="inlineStr">
        <is>
          <t>≥30kg</t>
        </is>
      </c>
      <c r="F36" s="13" t="n">
        <v>74.09618092259048</v>
      </c>
      <c r="G36" s="13" t="n">
        <v>92.77899431639706</v>
      </c>
      <c r="H36" s="13" t="n">
        <v>102.1089428286054</v>
      </c>
      <c r="I36" s="13" t="n">
        <v>119.3247654689719</v>
      </c>
      <c r="J36" s="13" t="n">
        <v>125.5776799736703</v>
      </c>
      <c r="K36" s="13" t="n">
        <v>132.5920125768808</v>
      </c>
    </row>
    <row r="37" ht="15.75" customHeight="1" s="57">
      <c r="A37" s="11" t="inlineStr">
        <is>
          <t>NTB</t>
        </is>
      </c>
      <c r="B37" s="11" t="n">
        <v>20150000</v>
      </c>
      <c r="C37" s="11" t="inlineStr">
        <is>
          <t>(NTH) Bảo An</t>
        </is>
      </c>
      <c r="D37" s="11" t="inlineStr">
        <is>
          <t>thuong</t>
        </is>
      </c>
      <c r="E37" s="11" t="inlineStr">
        <is>
          <t>10-15kg</t>
        </is>
      </c>
      <c r="F37" s="13" t="n">
        <v>1503.077016040166</v>
      </c>
      <c r="G37" s="13" t="n">
        <v>1807.964615082613</v>
      </c>
      <c r="H37" s="13" t="n">
        <v>1940.840192635767</v>
      </c>
      <c r="I37" s="13" t="n">
        <v>2224.133755180254</v>
      </c>
      <c r="J37" s="13" t="n">
        <v>2367.587434969877</v>
      </c>
      <c r="K37" s="13" t="n">
        <v>2540.97465852854</v>
      </c>
    </row>
    <row r="38" ht="15.75" customHeight="1" s="57">
      <c r="A38" s="11" t="inlineStr">
        <is>
          <t>NTB</t>
        </is>
      </c>
      <c r="B38" s="11" t="n">
        <v>20150000</v>
      </c>
      <c r="C38" s="11" t="inlineStr">
        <is>
          <t>(NTH) Bảo An</t>
        </is>
      </c>
      <c r="D38" s="11" t="inlineStr">
        <is>
          <t>thuong</t>
        </is>
      </c>
      <c r="E38" s="11" t="inlineStr">
        <is>
          <t>15-30kg</t>
        </is>
      </c>
      <c r="F38" s="13" t="n">
        <v>272.1756065772477</v>
      </c>
      <c r="G38" s="13" t="n">
        <v>323.7510410869868</v>
      </c>
      <c r="H38" s="13" t="n">
        <v>346.4158320360289</v>
      </c>
      <c r="I38" s="13" t="n">
        <v>396.3153512184361</v>
      </c>
      <c r="J38" s="13" t="n">
        <v>424.9645150190055</v>
      </c>
      <c r="K38" s="13" t="n">
        <v>459.0447645855389</v>
      </c>
    </row>
    <row r="39" ht="15.75" customHeight="1" s="57">
      <c r="A39" s="11" t="inlineStr">
        <is>
          <t>NTB</t>
        </is>
      </c>
      <c r="B39" s="11" t="n">
        <v>20150000</v>
      </c>
      <c r="C39" s="11" t="inlineStr">
        <is>
          <t>(NTH) Bảo An</t>
        </is>
      </c>
      <c r="D39" s="11" t="inlineStr">
        <is>
          <t>thuong</t>
        </is>
      </c>
      <c r="E39" s="11" t="inlineStr">
        <is>
          <t>5-10kg</t>
        </is>
      </c>
      <c r="F39" s="13" t="n">
        <v>1679.662844750782</v>
      </c>
      <c r="G39" s="13" t="n">
        <v>1801.083314485695</v>
      </c>
      <c r="H39" s="13" t="n">
        <v>1787.68617930709</v>
      </c>
      <c r="I39" s="13" t="n">
        <v>1907.057590056138</v>
      </c>
      <c r="J39" s="13" t="n">
        <v>2017.606423254694</v>
      </c>
      <c r="K39" s="13" t="n">
        <v>2212.366584244264</v>
      </c>
    </row>
    <row r="40" ht="15.75" customHeight="1" s="57">
      <c r="A40" s="11" t="inlineStr">
        <is>
          <t>NTB</t>
        </is>
      </c>
      <c r="B40" s="11" t="n">
        <v>20150000</v>
      </c>
      <c r="C40" s="11" t="inlineStr">
        <is>
          <t>(NTH) Bảo An</t>
        </is>
      </c>
      <c r="D40" s="11" t="inlineStr">
        <is>
          <t>thuong</t>
        </is>
      </c>
      <c r="E40" s="11" t="inlineStr">
        <is>
          <t>&lt;5kg</t>
        </is>
      </c>
      <c r="F40" s="13" t="n">
        <v>27896.37969078429</v>
      </c>
      <c r="G40" s="13" t="n">
        <v>30289.46151161748</v>
      </c>
      <c r="H40" s="13" t="n">
        <v>30029.48356350355</v>
      </c>
      <c r="I40" s="13" t="n">
        <v>31995.45755872049</v>
      </c>
      <c r="J40" s="13" t="n">
        <v>34304.03175868415</v>
      </c>
      <c r="K40" s="13" t="n">
        <v>38004.79477439498</v>
      </c>
    </row>
    <row r="41" ht="15.75" customHeight="1" s="57">
      <c r="A41" s="11" t="inlineStr">
        <is>
          <t>NTB</t>
        </is>
      </c>
      <c r="B41" s="11" t="n">
        <v>20150000</v>
      </c>
      <c r="C41" s="11" t="inlineStr">
        <is>
          <t>(NTH) Bảo An</t>
        </is>
      </c>
      <c r="D41" s="11" t="inlineStr">
        <is>
          <t>thuong</t>
        </is>
      </c>
      <c r="E41" s="11" t="inlineStr">
        <is>
          <t>≥30kg</t>
        </is>
      </c>
      <c r="F41" s="13" t="n">
        <v>88.13877057427013</v>
      </c>
      <c r="G41" s="13" t="n">
        <v>107.0314535327403</v>
      </c>
      <c r="H41" s="13" t="n">
        <v>116.0380848846254</v>
      </c>
      <c r="I41" s="13" t="n">
        <v>134.1227769638917</v>
      </c>
      <c r="J41" s="13" t="n">
        <v>142.6224937308949</v>
      </c>
      <c r="K41" s="13" t="n">
        <v>152.480944802213</v>
      </c>
    </row>
    <row r="42" ht="15.75" customHeight="1" s="57">
      <c r="A42" s="11" t="inlineStr">
        <is>
          <t>NTB</t>
        </is>
      </c>
      <c r="B42" s="11" t="n">
        <v>20269000</v>
      </c>
      <c r="C42" s="11" t="inlineStr">
        <is>
          <t>(DNO) Kiến Đức</t>
        </is>
      </c>
      <c r="D42" s="11" t="inlineStr">
        <is>
          <t>thuong</t>
        </is>
      </c>
      <c r="E42" s="11" t="inlineStr">
        <is>
          <t>10-15kg</t>
        </is>
      </c>
      <c r="F42" s="13" t="n">
        <v>616.1309878747838</v>
      </c>
      <c r="G42" s="13" t="n">
        <v>733.0523713675324</v>
      </c>
      <c r="H42" s="13" t="n">
        <v>781.1264509481753</v>
      </c>
      <c r="I42" s="13" t="n">
        <v>889.9505979578178</v>
      </c>
      <c r="J42" s="13" t="n">
        <v>952.8543438134536</v>
      </c>
      <c r="K42" s="13" t="n">
        <v>1029.476028644799</v>
      </c>
    </row>
    <row r="43" ht="15.75" customHeight="1" s="57">
      <c r="A43" s="11" t="inlineStr">
        <is>
          <t>NTB</t>
        </is>
      </c>
      <c r="B43" s="11" t="n">
        <v>20269000</v>
      </c>
      <c r="C43" s="11" t="inlineStr">
        <is>
          <t>(DNO) Kiến Đức</t>
        </is>
      </c>
      <c r="D43" s="11" t="inlineStr">
        <is>
          <t>thuong</t>
        </is>
      </c>
      <c r="E43" s="11" t="inlineStr">
        <is>
          <t>15-30kg</t>
        </is>
      </c>
      <c r="F43" s="13" t="n">
        <v>367.0604020545241</v>
      </c>
      <c r="G43" s="13" t="n">
        <v>445.0622950700172</v>
      </c>
      <c r="H43" s="13" t="n">
        <v>480.9027638360809</v>
      </c>
      <c r="I43" s="13" t="n">
        <v>554.2281627505628</v>
      </c>
      <c r="J43" s="13" t="n">
        <v>590.121218110233</v>
      </c>
      <c r="K43" s="13" t="n">
        <v>632.2060817012531</v>
      </c>
    </row>
    <row r="44" ht="15.75" customHeight="1" s="57">
      <c r="A44" s="11" t="inlineStr">
        <is>
          <t>NTB</t>
        </is>
      </c>
      <c r="B44" s="11" t="n">
        <v>20269000</v>
      </c>
      <c r="C44" s="11" t="inlineStr">
        <is>
          <t>(DNO) Kiến Đức</t>
        </is>
      </c>
      <c r="D44" s="11" t="inlineStr">
        <is>
          <t>thuong</t>
        </is>
      </c>
      <c r="E44" s="11" t="inlineStr">
        <is>
          <t>5-10kg</t>
        </is>
      </c>
      <c r="F44" s="13" t="n">
        <v>739.2509621068698</v>
      </c>
      <c r="G44" s="13" t="n">
        <v>804.0857099411952</v>
      </c>
      <c r="H44" s="13" t="n">
        <v>802.0485480185024</v>
      </c>
      <c r="I44" s="13" t="n">
        <v>860.7651252643644</v>
      </c>
      <c r="J44" s="13" t="n">
        <v>930.37160207481</v>
      </c>
      <c r="K44" s="13" t="n">
        <v>1034.307029330856</v>
      </c>
    </row>
    <row r="45" ht="15.75" customHeight="1" s="57">
      <c r="A45" s="11" t="inlineStr">
        <is>
          <t>NTB</t>
        </is>
      </c>
      <c r="B45" s="11" t="n">
        <v>20269000</v>
      </c>
      <c r="C45" s="11" t="inlineStr">
        <is>
          <t>(DNO) Kiến Đức</t>
        </is>
      </c>
      <c r="D45" s="11" t="inlineStr">
        <is>
          <t>thuong</t>
        </is>
      </c>
      <c r="E45" s="11" t="inlineStr">
        <is>
          <t>&lt;5kg</t>
        </is>
      </c>
      <c r="F45" s="13" t="n">
        <v>11487.14682593522</v>
      </c>
      <c r="G45" s="13" t="n">
        <v>12631.3872753522</v>
      </c>
      <c r="H45" s="13" t="n">
        <v>12560.4917653701</v>
      </c>
      <c r="I45" s="13" t="n">
        <v>13431.84210014533</v>
      </c>
      <c r="J45" s="13" t="n">
        <v>14642.19865787736</v>
      </c>
      <c r="K45" s="13" t="n">
        <v>16397.55983563594</v>
      </c>
    </row>
    <row r="46" ht="15.75" customHeight="1" s="57">
      <c r="A46" s="11" t="inlineStr">
        <is>
          <t>NTB</t>
        </is>
      </c>
      <c r="B46" s="11" t="n">
        <v>20269000</v>
      </c>
      <c r="C46" s="11" t="inlineStr">
        <is>
          <t>(DNO) Kiến Đức</t>
        </is>
      </c>
      <c r="D46" s="11" t="inlineStr">
        <is>
          <t>thuong</t>
        </is>
      </c>
      <c r="E46" s="11" t="inlineStr">
        <is>
          <t>≥30kg</t>
        </is>
      </c>
      <c r="F46" s="13" t="n">
        <v>150.876028265896</v>
      </c>
      <c r="G46" s="13" t="n">
        <v>183.5273414948951</v>
      </c>
      <c r="H46" s="13" t="n">
        <v>199.1749384802861</v>
      </c>
      <c r="I46" s="13" t="n">
        <v>230.3975470720496</v>
      </c>
      <c r="J46" s="13" t="n">
        <v>244.8365521794865</v>
      </c>
      <c r="K46" s="13" t="n">
        <v>261.5471749434225</v>
      </c>
    </row>
    <row r="47" ht="15.75" customHeight="1" s="57">
      <c r="A47" s="11" t="inlineStr">
        <is>
          <t>NTB</t>
        </is>
      </c>
      <c r="B47" s="11" t="n">
        <v>20269003</v>
      </c>
      <c r="C47" s="11" t="inlineStr">
        <is>
          <t>(DNO) Nhân Cơ</t>
        </is>
      </c>
      <c r="D47" s="11" t="inlineStr">
        <is>
          <t>thuong</t>
        </is>
      </c>
      <c r="E47" s="11" t="inlineStr">
        <is>
          <t>10-15kg</t>
        </is>
      </c>
      <c r="F47" s="13" t="n">
        <v>416.4423131669386</v>
      </c>
      <c r="G47" s="13" t="n">
        <v>494.741402410054</v>
      </c>
      <c r="H47" s="13" t="n">
        <v>526.7118438133552</v>
      </c>
      <c r="I47" s="13" t="n">
        <v>599.6606391043271</v>
      </c>
      <c r="J47" s="13" t="n">
        <v>642.3908302426793</v>
      </c>
      <c r="K47" s="13" t="n">
        <v>694.5185594936938</v>
      </c>
    </row>
    <row r="48" ht="15.75" customHeight="1" s="57">
      <c r="A48" s="11" t="inlineStr">
        <is>
          <t>NTB</t>
        </is>
      </c>
      <c r="B48" s="11" t="n">
        <v>20269003</v>
      </c>
      <c r="C48" s="11" t="inlineStr">
        <is>
          <t>(DNO) Nhân Cơ</t>
        </is>
      </c>
      <c r="D48" s="11" t="inlineStr">
        <is>
          <t>thuong</t>
        </is>
      </c>
      <c r="E48" s="11" t="inlineStr">
        <is>
          <t>15-30kg</t>
        </is>
      </c>
      <c r="F48" s="13" t="n">
        <v>54.23008318760859</v>
      </c>
      <c r="G48" s="13" t="n">
        <v>64.33979606596468</v>
      </c>
      <c r="H48" s="13" t="n">
        <v>68.68630071683005</v>
      </c>
      <c r="I48" s="13" t="n">
        <v>78.42937040308742</v>
      </c>
      <c r="J48" s="13" t="n">
        <v>84.19080263622229</v>
      </c>
      <c r="K48" s="13" t="n">
        <v>91.08144350534715</v>
      </c>
    </row>
    <row r="49" ht="15.75" customHeight="1" s="57">
      <c r="A49" s="11" t="inlineStr">
        <is>
          <t>NTB</t>
        </is>
      </c>
      <c r="B49" s="11" t="n">
        <v>20269003</v>
      </c>
      <c r="C49" s="11" t="inlineStr">
        <is>
          <t>(DNO) Nhân Cơ</t>
        </is>
      </c>
      <c r="D49" s="11" t="inlineStr">
        <is>
          <t>thuong</t>
        </is>
      </c>
      <c r="E49" s="11" t="inlineStr">
        <is>
          <t>5-10kg</t>
        </is>
      </c>
      <c r="F49" s="13" t="n">
        <v>517.9567254957401</v>
      </c>
      <c r="G49" s="13" t="n">
        <v>563.3496230936855</v>
      </c>
      <c r="H49" s="13" t="n">
        <v>561.8968453909814</v>
      </c>
      <c r="I49" s="13" t="n">
        <v>603.006567633974</v>
      </c>
      <c r="J49" s="13" t="n">
        <v>651.779692052183</v>
      </c>
      <c r="K49" s="13" t="n">
        <v>724.6123584018865</v>
      </c>
    </row>
    <row r="50" ht="15.75" customHeight="1" s="57">
      <c r="A50" s="11" t="inlineStr">
        <is>
          <t>NTB</t>
        </is>
      </c>
      <c r="B50" s="11" t="n">
        <v>20269003</v>
      </c>
      <c r="C50" s="11" t="inlineStr">
        <is>
          <t>(DNO) Nhân Cơ</t>
        </is>
      </c>
      <c r="D50" s="11" t="inlineStr">
        <is>
          <t>thuong</t>
        </is>
      </c>
      <c r="E50" s="11" t="inlineStr">
        <is>
          <t>&lt;5kg</t>
        </is>
      </c>
      <c r="F50" s="13" t="n">
        <v>8654.503730198961</v>
      </c>
      <c r="G50" s="13" t="n">
        <v>9516.608219550224</v>
      </c>
      <c r="H50" s="13" t="n">
        <v>9463.215660393305</v>
      </c>
      <c r="I50" s="13" t="n">
        <v>10119.72199542383</v>
      </c>
      <c r="J50" s="13" t="n">
        <v>11031.60966836466</v>
      </c>
      <c r="K50" s="13" t="n">
        <v>12354.10232043932</v>
      </c>
    </row>
    <row r="51" ht="15.75" customHeight="1" s="57">
      <c r="A51" s="11" t="inlineStr">
        <is>
          <t>NTB</t>
        </is>
      </c>
      <c r="B51" s="11" t="n">
        <v>20269003</v>
      </c>
      <c r="C51" s="11" t="inlineStr">
        <is>
          <t>(DNO) Nhân Cơ</t>
        </is>
      </c>
      <c r="D51" s="11" t="inlineStr">
        <is>
          <t>thuong</t>
        </is>
      </c>
      <c r="E51" s="11" t="inlineStr">
        <is>
          <t>≥30kg</t>
        </is>
      </c>
      <c r="F51" s="13" t="n">
        <v>17.68727094536158</v>
      </c>
      <c r="G51" s="13" t="n">
        <v>21.53749121850012</v>
      </c>
      <c r="H51" s="13" t="n">
        <v>23.38575795636383</v>
      </c>
      <c r="I51" s="13" t="n">
        <v>27.0618861947762</v>
      </c>
      <c r="J51" s="13" t="n">
        <v>28.7474864474337</v>
      </c>
      <c r="K51" s="13" t="n">
        <v>30.69641018601416</v>
      </c>
    </row>
    <row r="52" ht="15.75" customHeight="1" s="57">
      <c r="A52" s="11" t="inlineStr">
        <is>
          <t>NTB</t>
        </is>
      </c>
      <c r="B52" s="11" t="n">
        <v>20316000</v>
      </c>
      <c r="C52" s="11" t="inlineStr">
        <is>
          <t>(NTH) Ninh Sơn</t>
        </is>
      </c>
      <c r="D52" s="11" t="inlineStr">
        <is>
          <t>thuong</t>
        </is>
      </c>
      <c r="E52" s="11" t="inlineStr">
        <is>
          <t>10-15kg</t>
        </is>
      </c>
      <c r="F52" s="13" t="n">
        <v>781.0759902678484</v>
      </c>
      <c r="G52" s="13" t="n">
        <v>937.7211793814029</v>
      </c>
      <c r="H52" s="13" t="n">
        <v>1005.507049756802</v>
      </c>
      <c r="I52" s="13" t="n">
        <v>1151.254624033379</v>
      </c>
      <c r="J52" s="13" t="n">
        <v>1226.261746968051</v>
      </c>
      <c r="K52" s="13" t="n">
        <v>1317.130588073331</v>
      </c>
    </row>
    <row r="53" ht="15.75" customHeight="1" s="57">
      <c r="A53" s="11" t="inlineStr">
        <is>
          <t>NTB</t>
        </is>
      </c>
      <c r="B53" s="11" t="n">
        <v>20316000</v>
      </c>
      <c r="C53" s="11" t="inlineStr">
        <is>
          <t>(NTH) Ninh Sơn</t>
        </is>
      </c>
      <c r="D53" s="11" t="inlineStr">
        <is>
          <t>thuong</t>
        </is>
      </c>
      <c r="E53" s="11" t="inlineStr">
        <is>
          <t>15-30kg</t>
        </is>
      </c>
      <c r="F53" s="13" t="n">
        <v>744.9011480653066</v>
      </c>
      <c r="G53" s="13" t="n">
        <v>911.9218508931232</v>
      </c>
      <c r="H53" s="13" t="n">
        <v>990.9936717235908</v>
      </c>
      <c r="I53" s="13" t="n">
        <v>1147.105766744062</v>
      </c>
      <c r="J53" s="13" t="n">
        <v>1216.945794656975</v>
      </c>
      <c r="K53" s="13" t="n">
        <v>1297.862129431477</v>
      </c>
    </row>
    <row r="54" ht="15.75" customHeight="1" s="57">
      <c r="A54" s="11" t="inlineStr">
        <is>
          <t>NTB</t>
        </is>
      </c>
      <c r="B54" s="11" t="n">
        <v>20316000</v>
      </c>
      <c r="C54" s="11" t="inlineStr">
        <is>
          <t>(NTH) Ninh Sơn</t>
        </is>
      </c>
      <c r="D54" s="11" t="inlineStr">
        <is>
          <t>thuong</t>
        </is>
      </c>
      <c r="E54" s="11" t="inlineStr">
        <is>
          <t>5-10kg</t>
        </is>
      </c>
      <c r="F54" s="13" t="n">
        <v>1082.435849666701</v>
      </c>
      <c r="G54" s="13" t="n">
        <v>1161.249013541127</v>
      </c>
      <c r="H54" s="13" t="n">
        <v>1153.02586625889</v>
      </c>
      <c r="I54" s="13" t="n">
        <v>1230.44455393912</v>
      </c>
      <c r="J54" s="13" t="n">
        <v>1301.7114553687</v>
      </c>
      <c r="K54" s="13" t="n">
        <v>1427.129114719571</v>
      </c>
    </row>
    <row r="55" ht="15.75" customHeight="1" s="57">
      <c r="A55" s="11" t="inlineStr">
        <is>
          <t>NTB</t>
        </is>
      </c>
      <c r="B55" s="11" t="n">
        <v>20316000</v>
      </c>
      <c r="C55" s="11" t="inlineStr">
        <is>
          <t>(NTH) Ninh Sơn</t>
        </is>
      </c>
      <c r="D55" s="11" t="inlineStr">
        <is>
          <t>thuong</t>
        </is>
      </c>
      <c r="E55" s="11" t="inlineStr">
        <is>
          <t>&lt;5kg</t>
        </is>
      </c>
      <c r="F55" s="13" t="n">
        <v>17966.0676744517</v>
      </c>
      <c r="G55" s="13" t="n">
        <v>19507.80718067734</v>
      </c>
      <c r="H55" s="13" t="n">
        <v>19340.78591919502</v>
      </c>
      <c r="I55" s="13" t="n">
        <v>20607.4200071804</v>
      </c>
      <c r="J55" s="13" t="n">
        <v>22094.18748341434</v>
      </c>
      <c r="K55" s="13" t="n">
        <v>24477.44757051278</v>
      </c>
    </row>
    <row r="56" ht="15.75" customHeight="1" s="57">
      <c r="A56" s="11" t="inlineStr">
        <is>
          <t>NTB</t>
        </is>
      </c>
      <c r="B56" s="11" t="n">
        <v>20316000</v>
      </c>
      <c r="C56" s="11" t="inlineStr">
        <is>
          <t>(NTH) Ninh Sơn</t>
        </is>
      </c>
      <c r="D56" s="11" t="inlineStr">
        <is>
          <t>thuong</t>
        </is>
      </c>
      <c r="E56" s="11" t="inlineStr">
        <is>
          <t>≥30kg</t>
        </is>
      </c>
      <c r="F56" s="13" t="n">
        <v>284.2215675069722</v>
      </c>
      <c r="G56" s="13" t="n">
        <v>349.39013919388</v>
      </c>
      <c r="H56" s="13" t="n">
        <v>381.0718400013953</v>
      </c>
      <c r="I56" s="13" t="n">
        <v>442.4074046944382</v>
      </c>
      <c r="J56" s="13" t="n">
        <v>468.4725859759022</v>
      </c>
      <c r="K56" s="13" t="n">
        <v>498.3514371590065</v>
      </c>
    </row>
    <row r="57" ht="15.75" customHeight="1" s="57">
      <c r="A57" s="11" t="inlineStr">
        <is>
          <t>NTB</t>
        </is>
      </c>
      <c r="B57" s="11" t="n">
        <v>20320000</v>
      </c>
      <c r="C57" s="11" t="inlineStr">
        <is>
          <t>Bưu Cục 466 Đường 23/10-Nha Trang-Khánh Hòa</t>
        </is>
      </c>
      <c r="D57" s="11" t="inlineStr">
        <is>
          <t>thuong</t>
        </is>
      </c>
      <c r="E57" s="11" t="inlineStr">
        <is>
          <t>10-15kg</t>
        </is>
      </c>
      <c r="F57" s="13" t="n">
        <v>1340.915531293205</v>
      </c>
      <c r="G57" s="13" t="n">
        <v>1635.03941455925</v>
      </c>
      <c r="H57" s="13" t="n">
        <v>1768.689475074407</v>
      </c>
      <c r="I57" s="13" t="n">
        <v>2038.874779816759</v>
      </c>
      <c r="J57" s="13" t="n">
        <v>2160.524450953272</v>
      </c>
      <c r="K57" s="13" t="n">
        <v>2305.338771752322</v>
      </c>
    </row>
    <row r="58" ht="15.75" customHeight="1" s="57">
      <c r="A58" s="11" t="inlineStr">
        <is>
          <t>NTB</t>
        </is>
      </c>
      <c r="B58" s="11" t="n">
        <v>20320000</v>
      </c>
      <c r="C58" s="11" t="inlineStr">
        <is>
          <t>Bưu Cục 466 Đường 23/10-Nha Trang-Khánh Hòa</t>
        </is>
      </c>
      <c r="D58" s="11" t="inlineStr">
        <is>
          <t>thuong</t>
        </is>
      </c>
      <c r="E58" s="11" t="inlineStr">
        <is>
          <t>15-30kg</t>
        </is>
      </c>
      <c r="F58" s="13" t="n">
        <v>833.9841430344125</v>
      </c>
      <c r="G58" s="13" t="n">
        <v>1029.649663297336</v>
      </c>
      <c r="H58" s="13" t="n">
        <v>1123.953726737997</v>
      </c>
      <c r="I58" s="13" t="n">
        <v>1305.367801524735</v>
      </c>
      <c r="J58" s="13" t="n">
        <v>1380.723354477236</v>
      </c>
      <c r="K58" s="13" t="n">
        <v>1467.182737609542</v>
      </c>
    </row>
    <row r="59" ht="15.75" customHeight="1" s="57">
      <c r="A59" s="11" t="inlineStr">
        <is>
          <t>NTB</t>
        </is>
      </c>
      <c r="B59" s="11" t="n">
        <v>20320000</v>
      </c>
      <c r="C59" s="11" t="inlineStr">
        <is>
          <t>Bưu Cục 466 Đường 23/10-Nha Trang-Khánh Hòa</t>
        </is>
      </c>
      <c r="D59" s="11" t="inlineStr">
        <is>
          <t>thuong</t>
        </is>
      </c>
      <c r="E59" s="11" t="inlineStr">
        <is>
          <t>5-10kg</t>
        </is>
      </c>
      <c r="F59" s="13" t="n">
        <v>1459.326162341117</v>
      </c>
      <c r="G59" s="13" t="n">
        <v>1566.542026771515</v>
      </c>
      <c r="H59" s="13" t="n">
        <v>1557.34154736315</v>
      </c>
      <c r="I59" s="13" t="n">
        <v>1664.500568066666</v>
      </c>
      <c r="J59" s="13" t="n">
        <v>1766.543010866274</v>
      </c>
      <c r="K59" s="13" t="n">
        <v>1940.357623601279</v>
      </c>
    </row>
    <row r="60" ht="15.75" customHeight="1" s="57">
      <c r="A60" s="11" t="inlineStr">
        <is>
          <t>NTB</t>
        </is>
      </c>
      <c r="B60" s="11" t="n">
        <v>20320000</v>
      </c>
      <c r="C60" s="11" t="inlineStr">
        <is>
          <t>Bưu Cục 466 Đường 23/10-Nha Trang-Khánh Hòa</t>
        </is>
      </c>
      <c r="D60" s="11" t="inlineStr">
        <is>
          <t>thuong</t>
        </is>
      </c>
      <c r="E60" s="11" t="inlineStr">
        <is>
          <t>&lt;5kg</t>
        </is>
      </c>
      <c r="F60" s="13" t="n">
        <v>24703.95690977841</v>
      </c>
      <c r="G60" s="13" t="n">
        <v>26874.36290238092</v>
      </c>
      <c r="H60" s="13" t="n">
        <v>26753.20401897505</v>
      </c>
      <c r="I60" s="13" t="n">
        <v>28649.36100683266</v>
      </c>
      <c r="J60" s="13" t="n">
        <v>30966.47984438128</v>
      </c>
      <c r="K60" s="13" t="n">
        <v>34451.95447802782</v>
      </c>
    </row>
    <row r="61" ht="15.75" customHeight="1" s="57">
      <c r="A61" s="11" t="inlineStr">
        <is>
          <t>NTB</t>
        </is>
      </c>
      <c r="B61" s="11" t="n">
        <v>20320000</v>
      </c>
      <c r="C61" s="11" t="inlineStr">
        <is>
          <t>Bưu Cục 466 Đường 23/10-Nha Trang-Khánh Hòa</t>
        </is>
      </c>
      <c r="D61" s="11" t="inlineStr">
        <is>
          <t>thuong</t>
        </is>
      </c>
      <c r="E61" s="11" t="inlineStr">
        <is>
          <t>≥30kg</t>
        </is>
      </c>
      <c r="F61" s="13" t="n">
        <v>341.7282247573273</v>
      </c>
      <c r="G61" s="13" t="n">
        <v>419.4225172174112</v>
      </c>
      <c r="H61" s="13" t="n">
        <v>457.1283548011246</v>
      </c>
      <c r="I61" s="13" t="n">
        <v>530.4336955423746</v>
      </c>
      <c r="J61" s="13" t="n">
        <v>561.9734627100017</v>
      </c>
      <c r="K61" s="13" t="n">
        <v>598.1785313482102</v>
      </c>
    </row>
    <row r="62" ht="15.75" customHeight="1" s="57">
      <c r="A62" s="11" t="inlineStr">
        <is>
          <t>NTB</t>
        </is>
      </c>
      <c r="B62" s="11" t="n">
        <v>20495000</v>
      </c>
      <c r="C62" s="11" t="inlineStr">
        <is>
          <t>Bưu Cục 40A Yết Kiêu-Nha Trang-Khánh Hòa</t>
        </is>
      </c>
      <c r="D62" s="11" t="inlineStr">
        <is>
          <t>thuong</t>
        </is>
      </c>
      <c r="E62" s="11" t="inlineStr">
        <is>
          <t>10-15kg</t>
        </is>
      </c>
      <c r="F62" s="13" t="n">
        <v>1343.236661977017</v>
      </c>
      <c r="G62" s="13" t="n">
        <v>1616.333558305352</v>
      </c>
      <c r="H62" s="13" t="n">
        <v>1734.888354529404</v>
      </c>
      <c r="I62" s="13" t="n">
        <v>1987.726969335653</v>
      </c>
      <c r="J62" s="13" t="n">
        <v>2114.974818592108</v>
      </c>
      <c r="K62" s="13" t="n">
        <v>2269.182526466068</v>
      </c>
    </row>
    <row r="63" ht="15.75" customHeight="1" s="57">
      <c r="A63" s="11" t="inlineStr">
        <is>
          <t>NTB</t>
        </is>
      </c>
      <c r="B63" s="11" t="n">
        <v>20495000</v>
      </c>
      <c r="C63" s="11" t="inlineStr">
        <is>
          <t>Bưu Cục 40A Yết Kiêu-Nha Trang-Khánh Hòa</t>
        </is>
      </c>
      <c r="D63" s="11" t="inlineStr">
        <is>
          <t>thuong</t>
        </is>
      </c>
      <c r="E63" s="11" t="inlineStr">
        <is>
          <t>15-30kg</t>
        </is>
      </c>
      <c r="F63" s="13" t="n">
        <v>1662.055791556455</v>
      </c>
      <c r="G63" s="13" t="n">
        <v>2009.81900313357</v>
      </c>
      <c r="H63" s="13" t="n">
        <v>2170.007792206425</v>
      </c>
      <c r="I63" s="13" t="n">
        <v>2499.681384804209</v>
      </c>
      <c r="J63" s="13" t="n">
        <v>2663.290602330725</v>
      </c>
      <c r="K63" s="13" t="n">
        <v>2855.243823862569</v>
      </c>
    </row>
    <row r="64" ht="15.75" customHeight="1" s="57">
      <c r="A64" s="11" t="inlineStr">
        <is>
          <t>NTB</t>
        </is>
      </c>
      <c r="B64" s="11" t="n">
        <v>20495000</v>
      </c>
      <c r="C64" s="11" t="inlineStr">
        <is>
          <t>Bưu Cục 40A Yết Kiêu-Nha Trang-Khánh Hòa</t>
        </is>
      </c>
      <c r="D64" s="11" t="inlineStr">
        <is>
          <t>thuong</t>
        </is>
      </c>
      <c r="E64" s="11" t="inlineStr">
        <is>
          <t>5-10kg</t>
        </is>
      </c>
      <c r="F64" s="13" t="n">
        <v>1405.707008841059</v>
      </c>
      <c r="G64" s="13" t="n">
        <v>1510.893567032353</v>
      </c>
      <c r="H64" s="13" t="n">
        <v>1503.410290279649</v>
      </c>
      <c r="I64" s="13" t="n">
        <v>1608.279884703947</v>
      </c>
      <c r="J64" s="13" t="n">
        <v>1706.620992381486</v>
      </c>
      <c r="K64" s="13" t="n">
        <v>1873.704754999976</v>
      </c>
    </row>
    <row r="65" ht="15.75" customHeight="1" s="57">
      <c r="A65" s="11" t="inlineStr">
        <is>
          <t>NTB</t>
        </is>
      </c>
      <c r="B65" s="11" t="n">
        <v>20495000</v>
      </c>
      <c r="C65" s="11" t="inlineStr">
        <is>
          <t>Bưu Cục 40A Yết Kiêu-Nha Trang-Khánh Hòa</t>
        </is>
      </c>
      <c r="D65" s="11" t="inlineStr">
        <is>
          <t>thuong</t>
        </is>
      </c>
      <c r="E65" s="11" t="inlineStr">
        <is>
          <t>&lt;5kg</t>
        </is>
      </c>
      <c r="F65" s="13" t="n">
        <v>19836.3852226669</v>
      </c>
      <c r="G65" s="13" t="n">
        <v>21580.65293963614</v>
      </c>
      <c r="H65" s="13" t="n">
        <v>21484.52714433403</v>
      </c>
      <c r="I65" s="13" t="n">
        <v>23008.44634602214</v>
      </c>
      <c r="J65" s="13" t="n">
        <v>24868.86375049441</v>
      </c>
      <c r="K65" s="13" t="n">
        <v>27667.11008012665</v>
      </c>
    </row>
    <row r="66" ht="15.75" customHeight="1" s="57">
      <c r="A66" s="11" t="inlineStr">
        <is>
          <t>NTB</t>
        </is>
      </c>
      <c r="B66" s="11" t="n">
        <v>20495000</v>
      </c>
      <c r="C66" s="11" t="inlineStr">
        <is>
          <t>Bưu Cục 40A Yết Kiêu-Nha Trang-Khánh Hòa</t>
        </is>
      </c>
      <c r="D66" s="11" t="inlineStr">
        <is>
          <t>thuong</t>
        </is>
      </c>
      <c r="E66" s="11" t="inlineStr">
        <is>
          <t>≥30kg</t>
        </is>
      </c>
      <c r="F66" s="13" t="n">
        <v>731.4240872257474</v>
      </c>
      <c r="G66" s="13" t="n">
        <v>883.3515301278715</v>
      </c>
      <c r="H66" s="13" t="n">
        <v>955.1469627388252</v>
      </c>
      <c r="I66" s="13" t="n">
        <v>1101.856830911198</v>
      </c>
      <c r="J66" s="13" t="n">
        <v>1173.905359030095</v>
      </c>
      <c r="K66" s="13" t="n">
        <v>1257.854687139278</v>
      </c>
    </row>
    <row r="67" ht="15.75" customHeight="1" s="57">
      <c r="A67" s="11" t="inlineStr">
        <is>
          <t>NTB</t>
        </is>
      </c>
      <c r="B67" s="11" t="n">
        <v>20499000</v>
      </c>
      <c r="C67" s="11" t="inlineStr">
        <is>
          <t>(NTH) Phước Dinh</t>
        </is>
      </c>
      <c r="D67" s="11" t="inlineStr">
        <is>
          <t>thuong</t>
        </is>
      </c>
      <c r="E67" s="11" t="inlineStr">
        <is>
          <t>10-15kg</t>
        </is>
      </c>
      <c r="F67" s="13" t="n">
        <v>1297.840579137135</v>
      </c>
      <c r="G67" s="13" t="n">
        <v>1553.167808953178</v>
      </c>
      <c r="H67" s="13" t="n">
        <v>1662.304620770808</v>
      </c>
      <c r="I67" s="13" t="n">
        <v>1900.420547902972</v>
      </c>
      <c r="J67" s="13" t="n">
        <v>2026.329630027076</v>
      </c>
      <c r="K67" s="13" t="n">
        <v>2179.443698364271</v>
      </c>
    </row>
    <row r="68" ht="15.75" customHeight="1" s="57">
      <c r="A68" s="11" t="inlineStr">
        <is>
          <t>NTB</t>
        </is>
      </c>
      <c r="B68" s="11" t="n">
        <v>20499000</v>
      </c>
      <c r="C68" s="11" t="inlineStr">
        <is>
          <t>(NTH) Phước Dinh</t>
        </is>
      </c>
      <c r="D68" s="11" t="inlineStr">
        <is>
          <t>thuong</t>
        </is>
      </c>
      <c r="E68" s="11" t="inlineStr">
        <is>
          <t>15-30kg</t>
        </is>
      </c>
      <c r="F68" s="13" t="n">
        <v>454.1960664792696</v>
      </c>
      <c r="G68" s="13" t="n">
        <v>550.0774556944637</v>
      </c>
      <c r="H68" s="13" t="n">
        <v>594.3625705077026</v>
      </c>
      <c r="I68" s="13" t="n">
        <v>685.0400990769469</v>
      </c>
      <c r="J68" s="13" t="n">
        <v>729.5385455140212</v>
      </c>
      <c r="K68" s="13" t="n">
        <v>781.6700331402883</v>
      </c>
    </row>
    <row r="69" ht="15.75" customHeight="1" s="57">
      <c r="A69" s="11" t="inlineStr">
        <is>
          <t>NTB</t>
        </is>
      </c>
      <c r="B69" s="11" t="n">
        <v>20499000</v>
      </c>
      <c r="C69" s="11" t="inlineStr">
        <is>
          <t>(NTH) Phước Dinh</t>
        </is>
      </c>
      <c r="D69" s="11" t="inlineStr">
        <is>
          <t>thuong</t>
        </is>
      </c>
      <c r="E69" s="11" t="inlineStr">
        <is>
          <t>5-10kg</t>
        </is>
      </c>
      <c r="F69" s="13" t="n">
        <v>1629.507035029243</v>
      </c>
      <c r="G69" s="13" t="n">
        <v>1746.3429603539</v>
      </c>
      <c r="H69" s="13" t="n">
        <v>1732.649785213592</v>
      </c>
      <c r="I69" s="13" t="n">
        <v>1847.623313702119</v>
      </c>
      <c r="J69" s="13" t="n">
        <v>1954.828332415191</v>
      </c>
      <c r="K69" s="13" t="n">
        <v>2143.930335507708</v>
      </c>
    </row>
    <row r="70" ht="15.75" customHeight="1" s="57">
      <c r="A70" s="11" t="inlineStr">
        <is>
          <t>NTB</t>
        </is>
      </c>
      <c r="B70" s="11" t="n">
        <v>20499000</v>
      </c>
      <c r="C70" s="11" t="inlineStr">
        <is>
          <t>(NTH) Phước Dinh</t>
        </is>
      </c>
      <c r="D70" s="11" t="inlineStr">
        <is>
          <t>thuong</t>
        </is>
      </c>
      <c r="E70" s="11" t="inlineStr">
        <is>
          <t>&lt;5kg</t>
        </is>
      </c>
      <c r="F70" s="13" t="n">
        <v>29702.97312024391</v>
      </c>
      <c r="G70" s="13" t="n">
        <v>32251.00215576704</v>
      </c>
      <c r="H70" s="13" t="n">
        <v>31974.1636913236</v>
      </c>
      <c r="I70" s="13" t="n">
        <v>34067.42712558914</v>
      </c>
      <c r="J70" s="13" t="n">
        <v>36525.50776392766</v>
      </c>
      <c r="K70" s="13" t="n">
        <v>40465.94340021475</v>
      </c>
    </row>
    <row r="71" ht="15.75" customHeight="1" s="57">
      <c r="A71" s="11" t="inlineStr">
        <is>
          <t>NTB</t>
        </is>
      </c>
      <c r="B71" s="11" t="n">
        <v>20499000</v>
      </c>
      <c r="C71" s="11" t="inlineStr">
        <is>
          <t>(NTH) Phước Dinh</t>
        </is>
      </c>
      <c r="D71" s="11" t="inlineStr">
        <is>
          <t>thuong</t>
        </is>
      </c>
      <c r="E71" s="11" t="inlineStr">
        <is>
          <t>≥30kg</t>
        </is>
      </c>
      <c r="F71" s="13" t="n">
        <v>170.9733283017346</v>
      </c>
      <c r="G71" s="13" t="n">
        <v>208.6716343298867</v>
      </c>
      <c r="H71" s="13" t="n">
        <v>226.7952823986513</v>
      </c>
      <c r="I71" s="13" t="n">
        <v>262.6226600594331</v>
      </c>
      <c r="J71" s="13" t="n">
        <v>278.778212910374</v>
      </c>
      <c r="K71" s="13" t="n">
        <v>297.4290286293224</v>
      </c>
    </row>
    <row r="72" ht="15.75" customHeight="1" s="57">
      <c r="A72" s="11" t="inlineStr">
        <is>
          <t>NTB</t>
        </is>
      </c>
      <c r="B72" s="11" t="n">
        <v>20543000</v>
      </c>
      <c r="C72" s="11" t="inlineStr">
        <is>
          <t>Bưu Cục Tổ Dân Phố 2-Ninh Hoà-Khánh Hoà</t>
        </is>
      </c>
      <c r="D72" s="11" t="inlineStr">
        <is>
          <t>thuong</t>
        </is>
      </c>
      <c r="E72" s="11" t="inlineStr">
        <is>
          <t>10-15kg</t>
        </is>
      </c>
      <c r="F72" s="13" t="n">
        <v>1114.461118232869</v>
      </c>
      <c r="G72" s="13" t="n">
        <v>1333.13792724187</v>
      </c>
      <c r="H72" s="13" t="n">
        <v>1425.873591032294</v>
      </c>
      <c r="I72" s="13" t="n">
        <v>1629.108903124337</v>
      </c>
      <c r="J72" s="13" t="n">
        <v>1736.662425064033</v>
      </c>
      <c r="K72" s="13" t="n">
        <v>1867.962809911684</v>
      </c>
    </row>
    <row r="73" ht="15.75" customHeight="1" s="57">
      <c r="A73" s="11" t="inlineStr">
        <is>
          <t>NTB</t>
        </is>
      </c>
      <c r="B73" s="11" t="n">
        <v>20543000</v>
      </c>
      <c r="C73" s="11" t="inlineStr">
        <is>
          <t>Bưu Cục Tổ Dân Phố 2-Ninh Hoà-Khánh Hoà</t>
        </is>
      </c>
      <c r="D73" s="11" t="inlineStr">
        <is>
          <t>thuong</t>
        </is>
      </c>
      <c r="E73" s="11" t="inlineStr">
        <is>
          <t>15-30kg</t>
        </is>
      </c>
      <c r="F73" s="13" t="n">
        <v>1077.628146093667</v>
      </c>
      <c r="G73" s="13" t="n">
        <v>1324.565803790677</v>
      </c>
      <c r="H73" s="13" t="n">
        <v>1442.541935995975</v>
      </c>
      <c r="I73" s="13" t="n">
        <v>1672.496339561591</v>
      </c>
      <c r="J73" s="13" t="n">
        <v>1771.684996618912</v>
      </c>
      <c r="K73" s="13" t="n">
        <v>1886.096133533303</v>
      </c>
    </row>
    <row r="74" ht="15.75" customHeight="1" s="57">
      <c r="A74" s="11" t="inlineStr">
        <is>
          <t>NTB</t>
        </is>
      </c>
      <c r="B74" s="11" t="n">
        <v>20543000</v>
      </c>
      <c r="C74" s="11" t="inlineStr">
        <is>
          <t>Bưu Cục Tổ Dân Phố 2-Ninh Hoà-Khánh Hoà</t>
        </is>
      </c>
      <c r="D74" s="11" t="inlineStr">
        <is>
          <t>thuong</t>
        </is>
      </c>
      <c r="E74" s="11" t="inlineStr">
        <is>
          <t>5-10kg</t>
        </is>
      </c>
      <c r="F74" s="13" t="n">
        <v>1538.885831589556</v>
      </c>
      <c r="G74" s="13" t="n">
        <v>1651.33423645275</v>
      </c>
      <c r="H74" s="13" t="n">
        <v>1641.189792828588</v>
      </c>
      <c r="I74" s="13" t="n">
        <v>1753.662359840585</v>
      </c>
      <c r="J74" s="13" t="n">
        <v>1861.252581184528</v>
      </c>
      <c r="K74" s="13" t="n">
        <v>2044.653728833269</v>
      </c>
    </row>
    <row r="75" ht="15.75" customHeight="1" s="57">
      <c r="A75" s="11" t="inlineStr">
        <is>
          <t>NTB</t>
        </is>
      </c>
      <c r="B75" s="11" t="n">
        <v>20543000</v>
      </c>
      <c r="C75" s="11" t="inlineStr">
        <is>
          <t>Bưu Cục Tổ Dân Phố 2-Ninh Hoà-Khánh Hoà</t>
        </is>
      </c>
      <c r="D75" s="11" t="inlineStr">
        <is>
          <t>thuong</t>
        </is>
      </c>
      <c r="E75" s="11" t="inlineStr">
        <is>
          <t>&lt;5kg</t>
        </is>
      </c>
      <c r="F75" s="13" t="n">
        <v>28784.72749768572</v>
      </c>
      <c r="G75" s="13" t="n">
        <v>31313.351036271</v>
      </c>
      <c r="H75" s="13" t="n">
        <v>31171.94380958971</v>
      </c>
      <c r="I75" s="13" t="n">
        <v>33381.04357041655</v>
      </c>
      <c r="J75" s="13" t="n">
        <v>36080.94950355178</v>
      </c>
      <c r="K75" s="13" t="n">
        <v>40142.27270499253</v>
      </c>
    </row>
    <row r="76" ht="15.75" customHeight="1" s="57">
      <c r="A76" s="11" t="inlineStr">
        <is>
          <t>NTB</t>
        </is>
      </c>
      <c r="B76" s="11" t="n">
        <v>20543000</v>
      </c>
      <c r="C76" s="11" t="inlineStr">
        <is>
          <t>Bưu Cục Tổ Dân Phố 2-Ninh Hoà-Khánh Hoà</t>
        </is>
      </c>
      <c r="D76" s="11" t="inlineStr">
        <is>
          <t>thuong</t>
        </is>
      </c>
      <c r="E76" s="11" t="inlineStr">
        <is>
          <t>≥30kg</t>
        </is>
      </c>
      <c r="F76" s="13" t="n">
        <v>480.8892522080471</v>
      </c>
      <c r="G76" s="13" t="n">
        <v>587.3157622979309</v>
      </c>
      <c r="H76" s="13" t="n">
        <v>638.5738043738318</v>
      </c>
      <c r="I76" s="13" t="n">
        <v>739.6691168781448</v>
      </c>
      <c r="J76" s="13" t="n">
        <v>784.9717310357101</v>
      </c>
      <c r="K76" s="13" t="n">
        <v>837.227035206163</v>
      </c>
    </row>
    <row r="77" ht="15.75" customHeight="1" s="57">
      <c r="A77" s="11" t="inlineStr">
        <is>
          <t>NTB</t>
        </is>
      </c>
      <c r="B77" s="11" t="n">
        <v>20558000</v>
      </c>
      <c r="C77" s="11" t="inlineStr">
        <is>
          <t>(KHO) Khánh Vĩnh</t>
        </is>
      </c>
      <c r="D77" s="11" t="inlineStr">
        <is>
          <t>thuong</t>
        </is>
      </c>
      <c r="E77" s="11" t="inlineStr">
        <is>
          <t>10-15kg</t>
        </is>
      </c>
      <c r="F77" s="13" t="n">
        <v>268.3394467382352</v>
      </c>
      <c r="G77" s="13" t="n">
        <v>320.538555784797</v>
      </c>
      <c r="H77" s="13" t="n">
        <v>342.544455046421</v>
      </c>
      <c r="I77" s="13" t="n">
        <v>391.1039893199333</v>
      </c>
      <c r="J77" s="13" t="n">
        <v>417.114201902176</v>
      </c>
      <c r="K77" s="13" t="n">
        <v>448.9212986401957</v>
      </c>
    </row>
    <row r="78" ht="15.75" customHeight="1" s="57">
      <c r="A78" s="11" t="inlineStr">
        <is>
          <t>NTB</t>
        </is>
      </c>
      <c r="B78" s="11" t="n">
        <v>20558000</v>
      </c>
      <c r="C78" s="11" t="inlineStr">
        <is>
          <t>(KHO) Khánh Vĩnh</t>
        </is>
      </c>
      <c r="D78" s="11" t="inlineStr">
        <is>
          <t>thuong</t>
        </is>
      </c>
      <c r="E78" s="11" t="inlineStr">
        <is>
          <t>15-30kg</t>
        </is>
      </c>
      <c r="F78" s="13" t="n">
        <v>255.6743938545662</v>
      </c>
      <c r="G78" s="13" t="n">
        <v>314.2688154378488</v>
      </c>
      <c r="H78" s="13" t="n">
        <v>342.2651535633039</v>
      </c>
      <c r="I78" s="13" t="n">
        <v>396.8319777650818</v>
      </c>
      <c r="J78" s="13" t="n">
        <v>420.3865779610859</v>
      </c>
      <c r="K78" s="13" t="n">
        <v>447.5490113213035</v>
      </c>
    </row>
    <row r="79" ht="15.75" customHeight="1" s="57">
      <c r="A79" s="11" t="inlineStr">
        <is>
          <t>NTB</t>
        </is>
      </c>
      <c r="B79" s="11" t="n">
        <v>20558000</v>
      </c>
      <c r="C79" s="11" t="inlineStr">
        <is>
          <t>(KHO) Khánh Vĩnh</t>
        </is>
      </c>
      <c r="D79" s="11" t="inlineStr">
        <is>
          <t>thuong</t>
        </is>
      </c>
      <c r="E79" s="11" t="inlineStr">
        <is>
          <t>5-10kg</t>
        </is>
      </c>
      <c r="F79" s="13" t="n">
        <v>454.8668781674784</v>
      </c>
      <c r="G79" s="13" t="n">
        <v>487.8084823018644</v>
      </c>
      <c r="H79" s="13" t="n">
        <v>484.5961589873625</v>
      </c>
      <c r="I79" s="13" t="n">
        <v>517.585554929357</v>
      </c>
      <c r="J79" s="13" t="n">
        <v>549.3798489953189</v>
      </c>
      <c r="K79" s="13" t="n">
        <v>603.6433230779982</v>
      </c>
    </row>
    <row r="80" ht="15.75" customHeight="1" s="57">
      <c r="A80" s="11" t="inlineStr">
        <is>
          <t>NTB</t>
        </is>
      </c>
      <c r="B80" s="11" t="n">
        <v>20558000</v>
      </c>
      <c r="C80" s="11" t="inlineStr">
        <is>
          <t>(KHO) Khánh Vĩnh</t>
        </is>
      </c>
      <c r="D80" s="11" t="inlineStr">
        <is>
          <t>thuong</t>
        </is>
      </c>
      <c r="E80" s="11" t="inlineStr">
        <is>
          <t>&lt;5kg</t>
        </is>
      </c>
      <c r="F80" s="13" t="n">
        <v>7344.875677260349</v>
      </c>
      <c r="G80" s="13" t="n">
        <v>7990.119040697415</v>
      </c>
      <c r="H80" s="13" t="n">
        <v>7954.056221824064</v>
      </c>
      <c r="I80" s="13" t="n">
        <v>8517.765782588986</v>
      </c>
      <c r="J80" s="13" t="n">
        <v>9206.68678317203</v>
      </c>
      <c r="K80" s="13" t="n">
        <v>10242.98945735917</v>
      </c>
    </row>
    <row r="81" ht="15.75" customHeight="1" s="57">
      <c r="A81" s="11" t="inlineStr">
        <is>
          <t>NTB</t>
        </is>
      </c>
      <c r="B81" s="11" t="n">
        <v>20558000</v>
      </c>
      <c r="C81" s="11" t="inlineStr">
        <is>
          <t>(KHO) Khánh Vĩnh</t>
        </is>
      </c>
      <c r="D81" s="11" t="inlineStr">
        <is>
          <t>thuong</t>
        </is>
      </c>
      <c r="E81" s="11" t="inlineStr">
        <is>
          <t>≥30kg</t>
        </is>
      </c>
      <c r="F81" s="13" t="n">
        <v>114.9648416705856</v>
      </c>
      <c r="G81" s="13" t="n">
        <v>138.247257307813</v>
      </c>
      <c r="H81" s="13" t="n">
        <v>149.1615410302152</v>
      </c>
      <c r="I81" s="13" t="n">
        <v>171.797539208157</v>
      </c>
      <c r="J81" s="13" t="n">
        <v>183.3109625643602</v>
      </c>
      <c r="K81" s="13" t="n">
        <v>196.774597811088</v>
      </c>
    </row>
    <row r="82" ht="15.75" customHeight="1" s="57">
      <c r="A82" s="11" t="inlineStr">
        <is>
          <t>NTB</t>
        </is>
      </c>
      <c r="B82" s="11" t="n">
        <v>20588000</v>
      </c>
      <c r="C82" s="11" t="inlineStr">
        <is>
          <t>Bưu Cục 42 Nguyễn Du-Cam Lâm-Khánh Hoà</t>
        </is>
      </c>
      <c r="D82" s="11" t="inlineStr">
        <is>
          <t>thuong</t>
        </is>
      </c>
      <c r="E82" s="11" t="inlineStr">
        <is>
          <t>10-15kg</t>
        </is>
      </c>
      <c r="F82" s="13" t="n">
        <v>932.4161954080091</v>
      </c>
      <c r="G82" s="13" t="n">
        <v>1130.982643497895</v>
      </c>
      <c r="H82" s="13" t="n">
        <v>1219.679331949038</v>
      </c>
      <c r="I82" s="13" t="n">
        <v>1402.628991123617</v>
      </c>
      <c r="J82" s="13" t="n">
        <v>1488.708766508109</v>
      </c>
      <c r="K82" s="13" t="n">
        <v>1591.934583129709</v>
      </c>
    </row>
    <row r="83" ht="15.75" customHeight="1" s="57">
      <c r="A83" s="11" t="inlineStr">
        <is>
          <t>NTB</t>
        </is>
      </c>
      <c r="B83" s="11" t="n">
        <v>20588000</v>
      </c>
      <c r="C83" s="11" t="inlineStr">
        <is>
          <t>Bưu Cục 42 Nguyễn Du-Cam Lâm-Khánh Hoà</t>
        </is>
      </c>
      <c r="D83" s="11" t="inlineStr">
        <is>
          <t>thuong</t>
        </is>
      </c>
      <c r="E83" s="11" t="inlineStr">
        <is>
          <t>15-30kg</t>
        </is>
      </c>
      <c r="F83" s="13" t="n">
        <v>480.5634539176415</v>
      </c>
      <c r="G83" s="13" t="n">
        <v>587.8762197711633</v>
      </c>
      <c r="H83" s="13" t="n">
        <v>638.6409806591189</v>
      </c>
      <c r="I83" s="13" t="n">
        <v>739.0700389002253</v>
      </c>
      <c r="J83" s="13" t="n">
        <v>784.2202302313769</v>
      </c>
      <c r="K83" s="13" t="n">
        <v>836.5698046098321</v>
      </c>
    </row>
    <row r="84" ht="15.75" customHeight="1" s="57">
      <c r="A84" s="11" t="inlineStr">
        <is>
          <t>NTB</t>
        </is>
      </c>
      <c r="B84" s="11" t="n">
        <v>20588000</v>
      </c>
      <c r="C84" s="11" t="inlineStr">
        <is>
          <t>Bưu Cục 42 Nguyễn Du-Cam Lâm-Khánh Hoà</t>
        </is>
      </c>
      <c r="D84" s="11" t="inlineStr">
        <is>
          <t>thuong</t>
        </is>
      </c>
      <c r="E84" s="11" t="inlineStr">
        <is>
          <t>5-10kg</t>
        </is>
      </c>
      <c r="F84" s="13" t="n">
        <v>1001.984569146487</v>
      </c>
      <c r="G84" s="13" t="n">
        <v>1075.229287647895</v>
      </c>
      <c r="H84" s="13" t="n">
        <v>1068.644635729134</v>
      </c>
      <c r="I84" s="13" t="n">
        <v>1141.901188785165</v>
      </c>
      <c r="J84" s="13" t="n">
        <v>1211.955013586706</v>
      </c>
      <c r="K84" s="13" t="n">
        <v>1331.364287503173</v>
      </c>
    </row>
    <row r="85" ht="15.75" customHeight="1" s="57">
      <c r="A85" s="11" t="inlineStr">
        <is>
          <t>NTB</t>
        </is>
      </c>
      <c r="B85" s="11" t="n">
        <v>20588000</v>
      </c>
      <c r="C85" s="11" t="inlineStr">
        <is>
          <t>Bưu Cục 42 Nguyễn Du-Cam Lâm-Khánh Hoà</t>
        </is>
      </c>
      <c r="D85" s="11" t="inlineStr">
        <is>
          <t>thuong</t>
        </is>
      </c>
      <c r="E85" s="11" t="inlineStr">
        <is>
          <t>&lt;5kg</t>
        </is>
      </c>
      <c r="F85" s="13" t="n">
        <v>16839.98609025845</v>
      </c>
      <c r="G85" s="13" t="n">
        <v>18319.66210041661</v>
      </c>
      <c r="H85" s="13" t="n">
        <v>18237.20359484087</v>
      </c>
      <c r="I85" s="13" t="n">
        <v>19529.91631286781</v>
      </c>
      <c r="J85" s="13" t="n">
        <v>21109.41390134688</v>
      </c>
      <c r="K85" s="13" t="n">
        <v>23485.31020906977</v>
      </c>
    </row>
    <row r="86" ht="15.75" customHeight="1" s="57">
      <c r="A86" s="11" t="inlineStr">
        <is>
          <t>NTB</t>
        </is>
      </c>
      <c r="B86" s="11" t="n">
        <v>20588000</v>
      </c>
      <c r="C86" s="11" t="inlineStr">
        <is>
          <t>Bưu Cục 42 Nguyễn Du-Cam Lâm-Khánh Hoà</t>
        </is>
      </c>
      <c r="D86" s="11" t="inlineStr">
        <is>
          <t>thuong</t>
        </is>
      </c>
      <c r="E86" s="11" t="inlineStr">
        <is>
          <t>≥30kg</t>
        </is>
      </c>
      <c r="F86" s="13" t="n">
        <v>203.2085597816021</v>
      </c>
      <c r="G86" s="13" t="n">
        <v>248.7142180059228</v>
      </c>
      <c r="H86" s="13" t="n">
        <v>270.7048719476856</v>
      </c>
      <c r="I86" s="13" t="n">
        <v>313.8027399000329</v>
      </c>
      <c r="J86" s="13" t="n">
        <v>332.7776321110063</v>
      </c>
      <c r="K86" s="13" t="n">
        <v>354.6194284318189</v>
      </c>
    </row>
    <row r="87" ht="15.75" customHeight="1" s="57">
      <c r="A87" s="11" t="inlineStr">
        <is>
          <t>NTB</t>
        </is>
      </c>
      <c r="B87" s="11" t="n">
        <v>20590000</v>
      </c>
      <c r="C87" s="11" t="inlineStr">
        <is>
          <t>(DNO) Tuy Đức</t>
        </is>
      </c>
      <c r="D87" s="11" t="inlineStr">
        <is>
          <t>thuong</t>
        </is>
      </c>
      <c r="E87" s="11" t="inlineStr">
        <is>
          <t>10-15kg</t>
        </is>
      </c>
      <c r="F87" s="13" t="n">
        <v>405.9960990280563</v>
      </c>
      <c r="G87" s="13" t="n">
        <v>478.9566972412802</v>
      </c>
      <c r="H87" s="13" t="n">
        <v>507.7018554606805</v>
      </c>
      <c r="I87" s="13" t="n">
        <v>576.0147677961234</v>
      </c>
      <c r="J87" s="13" t="n">
        <v>618.6632883130443</v>
      </c>
      <c r="K87" s="13" t="n">
        <v>671.0558138330061</v>
      </c>
    </row>
    <row r="88" ht="15.75" customHeight="1" s="57">
      <c r="A88" s="11" t="inlineStr">
        <is>
          <t>NTB</t>
        </is>
      </c>
      <c r="B88" s="11" t="n">
        <v>20590000</v>
      </c>
      <c r="C88" s="11" t="inlineStr">
        <is>
          <t>(DNO) Tuy Đức</t>
        </is>
      </c>
      <c r="D88" s="11" t="inlineStr">
        <is>
          <t>thuong</t>
        </is>
      </c>
      <c r="E88" s="11" t="inlineStr">
        <is>
          <t>15-30kg</t>
        </is>
      </c>
      <c r="F88" s="13" t="n">
        <v>340.0424191260904</v>
      </c>
      <c r="G88" s="13" t="n">
        <v>413.655632365845</v>
      </c>
      <c r="H88" s="13" t="n">
        <v>447.7630505561902</v>
      </c>
      <c r="I88" s="13" t="n">
        <v>516.7257458489202</v>
      </c>
      <c r="J88" s="13" t="n">
        <v>549.4735341952507</v>
      </c>
      <c r="K88" s="13" t="n">
        <v>587.7595373342997</v>
      </c>
    </row>
    <row r="89" ht="15.75" customHeight="1" s="57">
      <c r="A89" s="11" t="inlineStr">
        <is>
          <t>NTB</t>
        </is>
      </c>
      <c r="B89" s="11" t="n">
        <v>20590000</v>
      </c>
      <c r="C89" s="11" t="inlineStr">
        <is>
          <t>(DNO) Tuy Đức</t>
        </is>
      </c>
      <c r="D89" s="11" t="inlineStr">
        <is>
          <t>thuong</t>
        </is>
      </c>
      <c r="E89" s="11" t="inlineStr">
        <is>
          <t>5-10kg</t>
        </is>
      </c>
      <c r="F89" s="13" t="n">
        <v>592.857818698388</v>
      </c>
      <c r="G89" s="13" t="n">
        <v>645.0492877053945</v>
      </c>
      <c r="H89" s="13" t="n">
        <v>643.5637772735287</v>
      </c>
      <c r="I89" s="13" t="n">
        <v>690.8281085278761</v>
      </c>
      <c r="J89" s="13" t="n">
        <v>746.6312785455962</v>
      </c>
      <c r="K89" s="13" t="n">
        <v>829.9248433821026</v>
      </c>
    </row>
    <row r="90" ht="15.75" customHeight="1" s="57">
      <c r="A90" s="11" t="inlineStr">
        <is>
          <t>NTB</t>
        </is>
      </c>
      <c r="B90" s="11" t="n">
        <v>20590000</v>
      </c>
      <c r="C90" s="11" t="inlineStr">
        <is>
          <t>(DNO) Tuy Đức</t>
        </is>
      </c>
      <c r="D90" s="11" t="inlineStr">
        <is>
          <t>thuong</t>
        </is>
      </c>
      <c r="E90" s="11" t="inlineStr">
        <is>
          <t>&lt;5kg</t>
        </is>
      </c>
      <c r="F90" s="13" t="n">
        <v>9708.601875294175</v>
      </c>
      <c r="G90" s="13" t="n">
        <v>10675.7978261748</v>
      </c>
      <c r="H90" s="13" t="n">
        <v>10615.97574581223</v>
      </c>
      <c r="I90" s="13" t="n">
        <v>11352.52979387338</v>
      </c>
      <c r="J90" s="13" t="n">
        <v>12375.46842920675</v>
      </c>
      <c r="K90" s="13" t="n">
        <v>13859.00266132521</v>
      </c>
    </row>
    <row r="91" ht="15.75" customHeight="1" s="57">
      <c r="A91" s="11" t="inlineStr">
        <is>
          <t>NTB</t>
        </is>
      </c>
      <c r="B91" s="11" t="n">
        <v>20590000</v>
      </c>
      <c r="C91" s="11" t="inlineStr">
        <is>
          <t>(DNO) Tuy Đức</t>
        </is>
      </c>
      <c r="D91" s="11" t="inlineStr">
        <is>
          <t>thuong</t>
        </is>
      </c>
      <c r="E91" s="11" t="inlineStr">
        <is>
          <t>≥30kg</t>
        </is>
      </c>
      <c r="F91" s="13" t="n">
        <v>167.1001149267161</v>
      </c>
      <c r="G91" s="13" t="n">
        <v>202.285218549836</v>
      </c>
      <c r="H91" s="13" t="n">
        <v>219.0118267733419</v>
      </c>
      <c r="I91" s="13" t="n">
        <v>252.9015688571363</v>
      </c>
      <c r="J91" s="13" t="n">
        <v>269.2013795966485</v>
      </c>
      <c r="K91" s="13" t="n">
        <v>288.1465430283919</v>
      </c>
    </row>
    <row r="92" ht="15.75" customHeight="1" s="57">
      <c r="A92" s="11" t="inlineStr">
        <is>
          <t>NTB</t>
        </is>
      </c>
      <c r="B92" s="11" t="n">
        <v>20591000</v>
      </c>
      <c r="C92" s="11" t="inlineStr">
        <is>
          <t>(DNO) Krông Nô</t>
        </is>
      </c>
      <c r="D92" s="11" t="inlineStr">
        <is>
          <t>thuong</t>
        </is>
      </c>
      <c r="E92" s="11" t="inlineStr">
        <is>
          <t>10-15kg</t>
        </is>
      </c>
      <c r="F92" s="13" t="n">
        <v>768.7051699318366</v>
      </c>
      <c r="G92" s="13" t="n">
        <v>912.5439941513208</v>
      </c>
      <c r="H92" s="13" t="n">
        <v>971.0605531426002</v>
      </c>
      <c r="I92" s="13" t="n">
        <v>1105.139972696679</v>
      </c>
      <c r="J92" s="13" t="n">
        <v>1184.218225389011</v>
      </c>
      <c r="K92" s="13" t="n">
        <v>1280.762726455855</v>
      </c>
    </row>
    <row r="93" ht="15.75" customHeight="1" s="57">
      <c r="A93" s="11" t="inlineStr">
        <is>
          <t>NTB</t>
        </is>
      </c>
      <c r="B93" s="11" t="n">
        <v>20591000</v>
      </c>
      <c r="C93" s="11" t="inlineStr">
        <is>
          <t>(DNO) Krông Nô</t>
        </is>
      </c>
      <c r="D93" s="11" t="inlineStr">
        <is>
          <t>thuong</t>
        </is>
      </c>
      <c r="E93" s="11" t="inlineStr">
        <is>
          <t>15-30kg</t>
        </is>
      </c>
      <c r="F93" s="13" t="n">
        <v>709.9111703938536</v>
      </c>
      <c r="G93" s="13" t="n">
        <v>860.179208361454</v>
      </c>
      <c r="H93" s="13" t="n">
        <v>929.0958294643225</v>
      </c>
      <c r="I93" s="13" t="n">
        <v>1070.44032557185</v>
      </c>
      <c r="J93" s="13" t="n">
        <v>1139.934839521215</v>
      </c>
      <c r="K93" s="13" t="n">
        <v>1221.507146232596</v>
      </c>
    </row>
    <row r="94" ht="15.75" customHeight="1" s="57">
      <c r="A94" s="11" t="inlineStr">
        <is>
          <t>NTB</t>
        </is>
      </c>
      <c r="B94" s="11" t="n">
        <v>20591000</v>
      </c>
      <c r="C94" s="11" t="inlineStr">
        <is>
          <t>(DNO) Krông Nô</t>
        </is>
      </c>
      <c r="D94" s="11" t="inlineStr">
        <is>
          <t>thuong</t>
        </is>
      </c>
      <c r="E94" s="11" t="inlineStr">
        <is>
          <t>5-10kg</t>
        </is>
      </c>
      <c r="F94" s="13" t="n">
        <v>1140.19371596399</v>
      </c>
      <c r="G94" s="13" t="n">
        <v>1239.546073721933</v>
      </c>
      <c r="H94" s="13" t="n">
        <v>1235.91487207848</v>
      </c>
      <c r="I94" s="13" t="n">
        <v>1325.898574733152</v>
      </c>
      <c r="J94" s="13" t="n">
        <v>1433.320437842255</v>
      </c>
      <c r="K94" s="13" t="n">
        <v>1593.823427302978</v>
      </c>
    </row>
    <row r="95" ht="15.75" customHeight="1" s="57">
      <c r="A95" s="11" t="inlineStr">
        <is>
          <t>NTB</t>
        </is>
      </c>
      <c r="B95" s="11" t="n">
        <v>20591000</v>
      </c>
      <c r="C95" s="11" t="inlineStr">
        <is>
          <t>(DNO) Krông Nô</t>
        </is>
      </c>
      <c r="D95" s="11" t="inlineStr">
        <is>
          <t>thuong</t>
        </is>
      </c>
      <c r="E95" s="11" t="inlineStr">
        <is>
          <t>&lt;5kg</t>
        </is>
      </c>
      <c r="F95" s="13" t="n">
        <v>19956.31662643494</v>
      </c>
      <c r="G95" s="13" t="n">
        <v>21944.20199778816</v>
      </c>
      <c r="H95" s="13" t="n">
        <v>21821.05911021566</v>
      </c>
      <c r="I95" s="13" t="n">
        <v>23334.85898521908</v>
      </c>
      <c r="J95" s="13" t="n">
        <v>25437.57501927778</v>
      </c>
      <c r="K95" s="13" t="n">
        <v>28487.1071643111</v>
      </c>
    </row>
    <row r="96" ht="15.75" customHeight="1" s="57">
      <c r="A96" s="11" t="inlineStr">
        <is>
          <t>NTB</t>
        </is>
      </c>
      <c r="B96" s="11" t="n">
        <v>20591000</v>
      </c>
      <c r="C96" s="11" t="inlineStr">
        <is>
          <t>(DNO) Krông Nô</t>
        </is>
      </c>
      <c r="D96" s="11" t="inlineStr">
        <is>
          <t>thuong</t>
        </is>
      </c>
      <c r="E96" s="11" t="inlineStr">
        <is>
          <t>≥30kg</t>
        </is>
      </c>
      <c r="F96" s="13" t="n">
        <v>305.0815411453112</v>
      </c>
      <c r="G96" s="13" t="n">
        <v>366.2351446190407</v>
      </c>
      <c r="H96" s="13" t="n">
        <v>394.8679978133232</v>
      </c>
      <c r="I96" s="13" t="n">
        <v>454.5625828418515</v>
      </c>
      <c r="J96" s="13" t="n">
        <v>485.2946166581247</v>
      </c>
      <c r="K96" s="13" t="n">
        <v>521.2650893013451</v>
      </c>
    </row>
    <row r="97" ht="15.75" customHeight="1" s="57">
      <c r="A97" s="11" t="inlineStr">
        <is>
          <t>NTB</t>
        </is>
      </c>
      <c r="B97" s="11" t="n">
        <v>20633000</v>
      </c>
      <c r="C97" s="11" t="inlineStr">
        <is>
          <t>(BTH) Bắc Bình</t>
        </is>
      </c>
      <c r="D97" s="11" t="inlineStr">
        <is>
          <t>thuong</t>
        </is>
      </c>
      <c r="E97" s="11" t="inlineStr">
        <is>
          <t>10-15kg</t>
        </is>
      </c>
      <c r="F97" s="13" t="n">
        <v>768.4594402272776</v>
      </c>
      <c r="G97" s="13" t="n">
        <v>917.5265319043352</v>
      </c>
      <c r="H97" s="13" t="n">
        <v>981.5302799467261</v>
      </c>
      <c r="I97" s="13" t="n">
        <v>1121.76659561794</v>
      </c>
      <c r="J97" s="13" t="n">
        <v>1195.704058440267</v>
      </c>
      <c r="K97" s="13" t="n">
        <v>1285.896470487085</v>
      </c>
    </row>
    <row r="98" ht="15.75" customHeight="1" s="57">
      <c r="A98" s="11" t="inlineStr">
        <is>
          <t>NTB</t>
        </is>
      </c>
      <c r="B98" s="11" t="n">
        <v>20633000</v>
      </c>
      <c r="C98" s="11" t="inlineStr">
        <is>
          <t>(BTH) Bắc Bình</t>
        </is>
      </c>
      <c r="D98" s="11" t="inlineStr">
        <is>
          <t>thuong</t>
        </is>
      </c>
      <c r="E98" s="11" t="inlineStr">
        <is>
          <t>15-30kg</t>
        </is>
      </c>
      <c r="F98" s="13" t="n">
        <v>80.68641889556929</v>
      </c>
      <c r="G98" s="13" t="n">
        <v>97.93960406221005</v>
      </c>
      <c r="H98" s="13" t="n">
        <v>106.012038713731</v>
      </c>
      <c r="I98" s="13" t="n">
        <v>122.3603558062606</v>
      </c>
      <c r="J98" s="13" t="n">
        <v>130.1851203278002</v>
      </c>
      <c r="K98" s="13" t="n">
        <v>139.3116188077574</v>
      </c>
    </row>
    <row r="99" ht="15.75" customHeight="1" s="57">
      <c r="A99" s="11" t="inlineStr">
        <is>
          <t>NTB</t>
        </is>
      </c>
      <c r="B99" s="11" t="n">
        <v>20633000</v>
      </c>
      <c r="C99" s="11" t="inlineStr">
        <is>
          <t>(BTH) Bắc Bình</t>
        </is>
      </c>
      <c r="D99" s="11" t="inlineStr">
        <is>
          <t>thuong</t>
        </is>
      </c>
      <c r="E99" s="11" t="inlineStr">
        <is>
          <t>5-10kg</t>
        </is>
      </c>
      <c r="F99" s="13" t="n">
        <v>1083.28515976874</v>
      </c>
      <c r="G99" s="13" t="n">
        <v>1161.138220358127</v>
      </c>
      <c r="H99" s="13" t="n">
        <v>1153.966314360841</v>
      </c>
      <c r="I99" s="13" t="n">
        <v>1232.881711193614</v>
      </c>
      <c r="J99" s="13" t="n">
        <v>1305.545952698036</v>
      </c>
      <c r="K99" s="13" t="n">
        <v>1431.801245310789</v>
      </c>
    </row>
    <row r="100" ht="15.75" customHeight="1" s="57">
      <c r="A100" s="11" t="inlineStr">
        <is>
          <t>NTB</t>
        </is>
      </c>
      <c r="B100" s="11" t="n">
        <v>20633000</v>
      </c>
      <c r="C100" s="11" t="inlineStr">
        <is>
          <t>(BTH) Bắc Bình</t>
        </is>
      </c>
      <c r="D100" s="11" t="inlineStr">
        <is>
          <t>thuong</t>
        </is>
      </c>
      <c r="E100" s="11" t="inlineStr">
        <is>
          <t>&lt;5kg</t>
        </is>
      </c>
      <c r="F100" s="13" t="n">
        <v>16627.06410601756</v>
      </c>
      <c r="G100" s="13" t="n">
        <v>17998.22617096645</v>
      </c>
      <c r="H100" s="13" t="n">
        <v>17858.52474693752</v>
      </c>
      <c r="I100" s="13" t="n">
        <v>19047.45333244458</v>
      </c>
      <c r="J100" s="13" t="n">
        <v>20387.2136627612</v>
      </c>
      <c r="K100" s="13" t="n">
        <v>22550.75679516921</v>
      </c>
    </row>
    <row r="101" ht="15.75" customHeight="1" s="57">
      <c r="A101" s="11" t="inlineStr">
        <is>
          <t>NTB</t>
        </is>
      </c>
      <c r="B101" s="11" t="n">
        <v>20633000</v>
      </c>
      <c r="C101" s="11" t="inlineStr">
        <is>
          <t>(BTH) Bắc Bình</t>
        </is>
      </c>
      <c r="D101" s="11" t="inlineStr">
        <is>
          <t>thuong</t>
        </is>
      </c>
      <c r="E101" s="11" t="inlineStr">
        <is>
          <t>≥30kg</t>
        </is>
      </c>
      <c r="F101" s="13" t="n">
        <v>19.23246225523194</v>
      </c>
      <c r="G101" s="13" t="n">
        <v>23.4010808257356</v>
      </c>
      <c r="H101" s="13" t="n">
        <v>25.40547989051911</v>
      </c>
      <c r="I101" s="13" t="n">
        <v>29.39698276894768</v>
      </c>
      <c r="J101" s="13" t="n">
        <v>31.23356450060865</v>
      </c>
      <c r="K101" s="13" t="n">
        <v>33.35687312184158</v>
      </c>
    </row>
    <row r="102" ht="15.75" customHeight="1" s="57">
      <c r="A102" s="11" t="inlineStr">
        <is>
          <t>NTB</t>
        </is>
      </c>
      <c r="B102" s="11" t="n">
        <v>20648000</v>
      </c>
      <c r="C102" s="11" t="inlineStr">
        <is>
          <t>(NTH) Ninh Chử</t>
        </is>
      </c>
      <c r="D102" s="11" t="inlineStr">
        <is>
          <t>thuong</t>
        </is>
      </c>
      <c r="E102" s="11" t="inlineStr">
        <is>
          <t>10-15kg</t>
        </is>
      </c>
      <c r="F102" s="13" t="n">
        <v>1207.526816081692</v>
      </c>
      <c r="G102" s="13" t="n">
        <v>1457.844788878913</v>
      </c>
      <c r="H102" s="13" t="n">
        <v>1568.389581212549</v>
      </c>
      <c r="I102" s="13" t="n">
        <v>1800.386431711321</v>
      </c>
      <c r="J102" s="13" t="n">
        <v>1914.246475157604</v>
      </c>
      <c r="K102" s="13" t="n">
        <v>2051.232330432318</v>
      </c>
    </row>
    <row r="103" ht="15.75" customHeight="1" s="57">
      <c r="A103" s="11" t="inlineStr">
        <is>
          <t>NTB</t>
        </is>
      </c>
      <c r="B103" s="11" t="n">
        <v>20648000</v>
      </c>
      <c r="C103" s="11" t="inlineStr">
        <is>
          <t>(NTH) Ninh Chử</t>
        </is>
      </c>
      <c r="D103" s="11" t="inlineStr">
        <is>
          <t>thuong</t>
        </is>
      </c>
      <c r="E103" s="11" t="inlineStr">
        <is>
          <t>15-30kg</t>
        </is>
      </c>
      <c r="F103" s="13" t="n">
        <v>439.7293795355481</v>
      </c>
      <c r="G103" s="13" t="n">
        <v>543.7451352111973</v>
      </c>
      <c r="H103" s="13" t="n">
        <v>593.9945890271651</v>
      </c>
      <c r="I103" s="13" t="n">
        <v>690.2484877405095</v>
      </c>
      <c r="J103" s="13" t="n">
        <v>729.6977346479384</v>
      </c>
      <c r="K103" s="13" t="n">
        <v>774.8898819179717</v>
      </c>
    </row>
    <row r="104" ht="15.75" customHeight="1" s="57">
      <c r="A104" s="11" t="inlineStr">
        <is>
          <t>NTB</t>
        </is>
      </c>
      <c r="B104" s="11" t="n">
        <v>20648000</v>
      </c>
      <c r="C104" s="11" t="inlineStr">
        <is>
          <t>(NTH) Ninh Chử</t>
        </is>
      </c>
      <c r="D104" s="11" t="inlineStr">
        <is>
          <t>thuong</t>
        </is>
      </c>
      <c r="E104" s="11" t="inlineStr">
        <is>
          <t>5-10kg</t>
        </is>
      </c>
      <c r="F104" s="13" t="n">
        <v>1475.896550122795</v>
      </c>
      <c r="G104" s="13" t="n">
        <v>1582.353667731518</v>
      </c>
      <c r="H104" s="13" t="n">
        <v>1570.412370978594</v>
      </c>
      <c r="I104" s="13" t="n">
        <v>1675.099548053372</v>
      </c>
      <c r="J104" s="13" t="n">
        <v>1772.226875259327</v>
      </c>
      <c r="K104" s="13" t="n">
        <v>1943.398274501753</v>
      </c>
    </row>
    <row r="105" ht="15.75" customHeight="1" s="57">
      <c r="A105" s="11" t="inlineStr">
        <is>
          <t>NTB</t>
        </is>
      </c>
      <c r="B105" s="11" t="n">
        <v>20648000</v>
      </c>
      <c r="C105" s="11" t="inlineStr">
        <is>
          <t>(NTH) Ninh Chử</t>
        </is>
      </c>
      <c r="D105" s="11" t="inlineStr">
        <is>
          <t>thuong</t>
        </is>
      </c>
      <c r="E105" s="11" t="inlineStr">
        <is>
          <t>&lt;5kg</t>
        </is>
      </c>
      <c r="F105" s="13" t="n">
        <v>23955.20398176418</v>
      </c>
      <c r="G105" s="13" t="n">
        <v>26010.26055686413</v>
      </c>
      <c r="H105" s="13" t="n">
        <v>25787.06468974175</v>
      </c>
      <c r="I105" s="13" t="n">
        <v>27475.35028702604</v>
      </c>
      <c r="J105" s="13" t="n">
        <v>29457.76856608598</v>
      </c>
      <c r="K105" s="13" t="n">
        <v>32635.67353430105</v>
      </c>
    </row>
    <row r="106" ht="15.75" customHeight="1" s="57">
      <c r="A106" s="11" t="inlineStr">
        <is>
          <t>NTB</t>
        </is>
      </c>
      <c r="B106" s="11" t="n">
        <v>20648000</v>
      </c>
      <c r="C106" s="11" t="inlineStr">
        <is>
          <t>(NTH) Ninh Chử</t>
        </is>
      </c>
      <c r="D106" s="11" t="inlineStr">
        <is>
          <t>thuong</t>
        </is>
      </c>
      <c r="E106" s="11" t="inlineStr">
        <is>
          <t>≥30kg</t>
        </is>
      </c>
      <c r="F106" s="13" t="n">
        <v>184.0002094271875</v>
      </c>
      <c r="G106" s="13" t="n">
        <v>228.6815411942143</v>
      </c>
      <c r="H106" s="13" t="n">
        <v>250.7404425818579</v>
      </c>
      <c r="I106" s="13" t="n">
        <v>292.2197210706336</v>
      </c>
      <c r="J106" s="13" t="n">
        <v>308.304894314753</v>
      </c>
      <c r="K106" s="13" t="n">
        <v>326.5255985809408</v>
      </c>
    </row>
    <row r="107" ht="15.75" customHeight="1" s="57">
      <c r="A107" s="11" t="inlineStr">
        <is>
          <t>NTB</t>
        </is>
      </c>
      <c r="B107" s="11" t="n">
        <v>20663000</v>
      </c>
      <c r="C107" s="11" t="inlineStr">
        <is>
          <t xml:space="preserve">Bưu Cục 44B Nguyễn Đình Chiểu-Đạ Teh-Lâm Đồng </t>
        </is>
      </c>
      <c r="D107" s="11" t="inlineStr">
        <is>
          <t>thuong</t>
        </is>
      </c>
      <c r="E107" s="11" t="inlineStr">
        <is>
          <t>10-15kg</t>
        </is>
      </c>
      <c r="F107" s="13" t="n">
        <v>662.0502239669131</v>
      </c>
      <c r="G107" s="13" t="n">
        <v>791.4825337995391</v>
      </c>
      <c r="H107" s="13" t="n">
        <v>848.3196985370035</v>
      </c>
      <c r="I107" s="13" t="n">
        <v>971.2597888330232</v>
      </c>
      <c r="J107" s="13" t="n">
        <v>1035.757895807151</v>
      </c>
      <c r="K107" s="13" t="n">
        <v>1113.61138938079</v>
      </c>
    </row>
    <row r="108" ht="15.75" customHeight="1" s="57">
      <c r="A108" s="11" t="inlineStr">
        <is>
          <t>NTB</t>
        </is>
      </c>
      <c r="B108" s="11" t="n">
        <v>20663000</v>
      </c>
      <c r="C108" s="11" t="inlineStr">
        <is>
          <t xml:space="preserve">Bưu Cục 44B Nguyễn Đình Chiểu-Đạ Teh-Lâm Đồng </t>
        </is>
      </c>
      <c r="D108" s="11" t="inlineStr">
        <is>
          <t>thuong</t>
        </is>
      </c>
      <c r="E108" s="11" t="inlineStr">
        <is>
          <t>15-30kg</t>
        </is>
      </c>
      <c r="F108" s="13" t="n">
        <v>596.0724657299039</v>
      </c>
      <c r="G108" s="13" t="n">
        <v>712.2465298204145</v>
      </c>
      <c r="H108" s="13" t="n">
        <v>764.772348496327</v>
      </c>
      <c r="I108" s="13" t="n">
        <v>877.3919629236074</v>
      </c>
      <c r="J108" s="13" t="n">
        <v>938.6161324311507</v>
      </c>
      <c r="K108" s="13" t="n">
        <v>1011.018217026101</v>
      </c>
    </row>
    <row r="109" ht="15.75" customHeight="1" s="57">
      <c r="A109" s="11" t="inlineStr">
        <is>
          <t>NTB</t>
        </is>
      </c>
      <c r="B109" s="11" t="n">
        <v>20663000</v>
      </c>
      <c r="C109" s="11" t="inlineStr">
        <is>
          <t xml:space="preserve">Bưu Cục 44B Nguyễn Đình Chiểu-Đạ Teh-Lâm Đồng </t>
        </is>
      </c>
      <c r="D109" s="11" t="inlineStr">
        <is>
          <t>thuong</t>
        </is>
      </c>
      <c r="E109" s="11" t="inlineStr">
        <is>
          <t>5-10kg</t>
        </is>
      </c>
      <c r="F109" s="13" t="n">
        <v>934.4890508256547</v>
      </c>
      <c r="G109" s="13" t="n">
        <v>1001.835578198046</v>
      </c>
      <c r="H109" s="13" t="n">
        <v>996.4708783160721</v>
      </c>
      <c r="I109" s="13" t="n">
        <v>1065.856447179117</v>
      </c>
      <c r="J109" s="13" t="n">
        <v>1132.225739125596</v>
      </c>
      <c r="K109" s="13" t="n">
        <v>1244.164007185949</v>
      </c>
    </row>
    <row r="110" ht="15.75" customHeight="1" s="57">
      <c r="A110" s="11" t="inlineStr">
        <is>
          <t>NTB</t>
        </is>
      </c>
      <c r="B110" s="11" t="n">
        <v>20663000</v>
      </c>
      <c r="C110" s="11" t="inlineStr">
        <is>
          <t xml:space="preserve">Bưu Cục 44B Nguyễn Đình Chiểu-Đạ Teh-Lâm Đồng </t>
        </is>
      </c>
      <c r="D110" s="11" t="inlineStr">
        <is>
          <t>thuong</t>
        </is>
      </c>
      <c r="E110" s="11" t="inlineStr">
        <is>
          <t>&lt;5kg</t>
        </is>
      </c>
      <c r="F110" s="13" t="n">
        <v>13140.20462445882</v>
      </c>
      <c r="G110" s="13" t="n">
        <v>14217.33645523487</v>
      </c>
      <c r="H110" s="13" t="n">
        <v>14159.528965552</v>
      </c>
      <c r="I110" s="13" t="n">
        <v>15171.70395186506</v>
      </c>
      <c r="J110" s="13" t="n">
        <v>16325.13137790869</v>
      </c>
      <c r="K110" s="13" t="n">
        <v>18099.95726686243</v>
      </c>
    </row>
    <row r="111" ht="15.75" customHeight="1" s="57">
      <c r="A111" s="11" t="inlineStr">
        <is>
          <t>NTB</t>
        </is>
      </c>
      <c r="B111" s="11" t="n">
        <v>20663000</v>
      </c>
      <c r="C111" s="11" t="inlineStr">
        <is>
          <t xml:space="preserve">Bưu Cục 44B Nguyễn Đình Chiểu-Đạ Teh-Lâm Đồng </t>
        </is>
      </c>
      <c r="D111" s="11" t="inlineStr">
        <is>
          <t>thuong</t>
        </is>
      </c>
      <c r="E111" s="11" t="inlineStr">
        <is>
          <t>≥30kg</t>
        </is>
      </c>
      <c r="F111" s="13" t="n">
        <v>251.2078005609563</v>
      </c>
      <c r="G111" s="13" t="n">
        <v>302.9027953336814</v>
      </c>
      <c r="H111" s="13" t="n">
        <v>327.5779767540465</v>
      </c>
      <c r="I111" s="13" t="n">
        <v>378.0027479904442</v>
      </c>
      <c r="J111" s="13" t="n">
        <v>402.7940976261658</v>
      </c>
      <c r="K111" s="13" t="n">
        <v>431.6281992960502</v>
      </c>
    </row>
    <row r="112" ht="15.75" customHeight="1" s="57">
      <c r="A112" s="11" t="inlineStr">
        <is>
          <t>NTB</t>
        </is>
      </c>
      <c r="B112" s="11" t="n">
        <v>20669000</v>
      </c>
      <c r="C112" s="11" t="inlineStr">
        <is>
          <t xml:space="preserve">Bưu Cục Đường Trần Lê-Cát Tiên-Lâm Đồng </t>
        </is>
      </c>
      <c r="D112" s="11" t="inlineStr">
        <is>
          <t>thuong</t>
        </is>
      </c>
      <c r="E112" s="11" t="inlineStr">
        <is>
          <t>10-15kg</t>
        </is>
      </c>
      <c r="F112" s="13" t="n">
        <v>379.52962504646</v>
      </c>
      <c r="G112" s="13" t="n">
        <v>446.921854460216</v>
      </c>
      <c r="H112" s="13" t="n">
        <v>474.909354427086</v>
      </c>
      <c r="I112" s="13" t="n">
        <v>540.0664938654367</v>
      </c>
      <c r="J112" s="13" t="n">
        <v>578.801900852861</v>
      </c>
      <c r="K112" s="13" t="n">
        <v>626.2806946502399</v>
      </c>
    </row>
    <row r="113" ht="15.75" customHeight="1" s="57">
      <c r="A113" s="11" t="inlineStr">
        <is>
          <t>NTB</t>
        </is>
      </c>
      <c r="B113" s="11" t="n">
        <v>20669000</v>
      </c>
      <c r="C113" s="11" t="inlineStr">
        <is>
          <t xml:space="preserve">Bưu Cục Đường Trần Lê-Cát Tiên-Lâm Đồng </t>
        </is>
      </c>
      <c r="D113" s="11" t="inlineStr">
        <is>
          <t>thuong</t>
        </is>
      </c>
      <c r="E113" s="11" t="inlineStr">
        <is>
          <t>15-30kg</t>
        </is>
      </c>
      <c r="F113" s="13" t="n">
        <v>271.4136857300887</v>
      </c>
      <c r="G113" s="13" t="n">
        <v>333.618538974799</v>
      </c>
      <c r="H113" s="13" t="n">
        <v>363.5259625100865</v>
      </c>
      <c r="I113" s="13" t="n">
        <v>421.669132341256</v>
      </c>
      <c r="J113" s="13" t="n">
        <v>446.5161756333393</v>
      </c>
      <c r="K113" s="13" t="n">
        <v>475.1381779053316</v>
      </c>
    </row>
    <row r="114" ht="15.75" customHeight="1" s="57">
      <c r="A114" s="11" t="inlineStr">
        <is>
          <t>NTB</t>
        </is>
      </c>
      <c r="B114" s="11" t="n">
        <v>20669000</v>
      </c>
      <c r="C114" s="11" t="inlineStr">
        <is>
          <t xml:space="preserve">Bưu Cục Đường Trần Lê-Cát Tiên-Lâm Đồng </t>
        </is>
      </c>
      <c r="D114" s="11" t="inlineStr">
        <is>
          <t>thuong</t>
        </is>
      </c>
      <c r="E114" s="11" t="inlineStr">
        <is>
          <t>5-10kg</t>
        </is>
      </c>
      <c r="F114" s="13" t="n">
        <v>504.3103288192008</v>
      </c>
      <c r="G114" s="13" t="n">
        <v>540.6827153832743</v>
      </c>
      <c r="H114" s="13" t="n">
        <v>537.8074951164646</v>
      </c>
      <c r="I114" s="13" t="n">
        <v>575.2761831836802</v>
      </c>
      <c r="J114" s="13" t="n">
        <v>611.0938660943209</v>
      </c>
      <c r="K114" s="13" t="n">
        <v>671.4978632790273</v>
      </c>
    </row>
    <row r="115" ht="15.75" customHeight="1" s="57">
      <c r="A115" s="11" t="inlineStr">
        <is>
          <t>NTB</t>
        </is>
      </c>
      <c r="B115" s="11" t="n">
        <v>20669000</v>
      </c>
      <c r="C115" s="11" t="inlineStr">
        <is>
          <t xml:space="preserve">Bưu Cục Đường Trần Lê-Cát Tiên-Lâm Đồng </t>
        </is>
      </c>
      <c r="D115" s="11" t="inlineStr">
        <is>
          <t>thuong</t>
        </is>
      </c>
      <c r="E115" s="11" t="inlineStr">
        <is>
          <t>&lt;5kg</t>
        </is>
      </c>
      <c r="F115" s="13" t="n">
        <v>7499.461575467053</v>
      </c>
      <c r="G115" s="13" t="n">
        <v>8114.191602651047</v>
      </c>
      <c r="H115" s="13" t="n">
        <v>8081.186308642095</v>
      </c>
      <c r="I115" s="13" t="n">
        <v>8658.845829387405</v>
      </c>
      <c r="J115" s="13" t="n">
        <v>9317.138412158391</v>
      </c>
      <c r="K115" s="13" t="n">
        <v>10330.08308786047</v>
      </c>
    </row>
    <row r="116" ht="15.75" customHeight="1" s="57">
      <c r="A116" s="11" t="inlineStr">
        <is>
          <t>NTB</t>
        </is>
      </c>
      <c r="B116" s="11" t="n">
        <v>20669000</v>
      </c>
      <c r="C116" s="11" t="inlineStr">
        <is>
          <t xml:space="preserve">Bưu Cục Đường Trần Lê-Cát Tiên-Lâm Đồng </t>
        </is>
      </c>
      <c r="D116" s="11" t="inlineStr">
        <is>
          <t>thuong</t>
        </is>
      </c>
      <c r="E116" s="11" t="inlineStr">
        <is>
          <t>≥30kg</t>
        </is>
      </c>
      <c r="F116" s="13" t="n">
        <v>128.9468530442192</v>
      </c>
      <c r="G116" s="13" t="n">
        <v>156.8885756036926</v>
      </c>
      <c r="H116" s="13" t="n">
        <v>170.4031297989877</v>
      </c>
      <c r="I116" s="13" t="n">
        <v>197.2559058390843</v>
      </c>
      <c r="J116" s="13" t="n">
        <v>209.5448143929771</v>
      </c>
      <c r="K116" s="13" t="n">
        <v>223.7294789788876</v>
      </c>
    </row>
    <row r="117" ht="15.75" customHeight="1" s="57">
      <c r="A117" s="11" t="inlineStr">
        <is>
          <t>NTB</t>
        </is>
      </c>
      <c r="B117" s="11" t="n">
        <v>20670000</v>
      </c>
      <c r="C117" s="11" t="inlineStr">
        <is>
          <t>(LDO) Đam Rông 3</t>
        </is>
      </c>
      <c r="D117" s="11" t="inlineStr">
        <is>
          <t>thuong</t>
        </is>
      </c>
      <c r="E117" s="11" t="inlineStr">
        <is>
          <t>10-15kg</t>
        </is>
      </c>
      <c r="F117" s="13" t="n">
        <v>685.792965182016</v>
      </c>
      <c r="G117" s="13" t="n">
        <v>816.7825196689747</v>
      </c>
      <c r="H117" s="13" t="n">
        <v>873.3738015313259</v>
      </c>
      <c r="I117" s="13" t="n">
        <v>998.0777062919069</v>
      </c>
      <c r="J117" s="13" t="n">
        <v>1065.849723175841</v>
      </c>
      <c r="K117" s="13" t="n">
        <v>1148.008810824499</v>
      </c>
    </row>
    <row r="118" ht="15.75" customHeight="1" s="57">
      <c r="A118" s="11" t="inlineStr">
        <is>
          <t>NTB</t>
        </is>
      </c>
      <c r="B118" s="11" t="n">
        <v>20670000</v>
      </c>
      <c r="C118" s="11" t="inlineStr">
        <is>
          <t>(LDO) Đam Rông 3</t>
        </is>
      </c>
      <c r="D118" s="11" t="inlineStr">
        <is>
          <t>thuong</t>
        </is>
      </c>
      <c r="E118" s="11" t="inlineStr">
        <is>
          <t>15-30kg</t>
        </is>
      </c>
      <c r="F118" s="13" t="n">
        <v>820.4253116384433</v>
      </c>
      <c r="G118" s="13" t="n">
        <v>980.2896757900913</v>
      </c>
      <c r="H118" s="13" t="n">
        <v>1052.513298120518</v>
      </c>
      <c r="I118" s="13" t="n">
        <v>1207.449008254568</v>
      </c>
      <c r="J118" s="13" t="n">
        <v>1291.90270529216</v>
      </c>
      <c r="K118" s="13" t="n">
        <v>1391.747904751448</v>
      </c>
    </row>
    <row r="119" ht="15.75" customHeight="1" s="57">
      <c r="A119" s="11" t="inlineStr">
        <is>
          <t>NTB</t>
        </is>
      </c>
      <c r="B119" s="11" t="n">
        <v>20670000</v>
      </c>
      <c r="C119" s="11" t="inlineStr">
        <is>
          <t>(LDO) Đam Rông 3</t>
        </is>
      </c>
      <c r="D119" s="11" t="inlineStr">
        <is>
          <t>thuong</t>
        </is>
      </c>
      <c r="E119" s="11" t="inlineStr">
        <is>
          <t>5-10kg</t>
        </is>
      </c>
      <c r="F119" s="13" t="n">
        <v>916.4586929953136</v>
      </c>
      <c r="G119" s="13" t="n">
        <v>983.4964422233535</v>
      </c>
      <c r="H119" s="13" t="n">
        <v>978.416235785663</v>
      </c>
      <c r="I119" s="13" t="n">
        <v>1046.782966056398</v>
      </c>
      <c r="J119" s="13" t="n">
        <v>1113.360254010001</v>
      </c>
      <c r="K119" s="13" t="n">
        <v>1224.480751149635</v>
      </c>
    </row>
    <row r="120" ht="15.75" customHeight="1" s="57">
      <c r="A120" s="11" t="inlineStr">
        <is>
          <t>NTB</t>
        </is>
      </c>
      <c r="B120" s="11" t="n">
        <v>20670000</v>
      </c>
      <c r="C120" s="11" t="inlineStr">
        <is>
          <t>(LDO) Đam Rông 3</t>
        </is>
      </c>
      <c r="D120" s="11" t="inlineStr">
        <is>
          <t>thuong</t>
        </is>
      </c>
      <c r="E120" s="11" t="inlineStr">
        <is>
          <t>&lt;5kg</t>
        </is>
      </c>
      <c r="F120" s="13" t="n">
        <v>12708.13512731525</v>
      </c>
      <c r="G120" s="13" t="n">
        <v>13773.77493994556</v>
      </c>
      <c r="H120" s="13" t="n">
        <v>13715.46012245682</v>
      </c>
      <c r="I120" s="13" t="n">
        <v>14692.75578947897</v>
      </c>
      <c r="J120" s="13" t="n">
        <v>15832.11869782854</v>
      </c>
      <c r="K120" s="13" t="n">
        <v>17572.65861967412</v>
      </c>
    </row>
    <row r="121" ht="15.75" customHeight="1" s="57">
      <c r="A121" s="11" t="inlineStr">
        <is>
          <t>NTB</t>
        </is>
      </c>
      <c r="B121" s="11" t="n">
        <v>20670000</v>
      </c>
      <c r="C121" s="11" t="inlineStr">
        <is>
          <t>(LDO) Đam Rông 3</t>
        </is>
      </c>
      <c r="D121" s="11" t="inlineStr">
        <is>
          <t>thuong</t>
        </is>
      </c>
      <c r="E121" s="11" t="inlineStr">
        <is>
          <t>≥30kg</t>
        </is>
      </c>
      <c r="F121" s="13" t="n">
        <v>299.7006128596335</v>
      </c>
      <c r="G121" s="13" t="n">
        <v>367.5002030227669</v>
      </c>
      <c r="H121" s="13" t="n">
        <v>400.630109411161</v>
      </c>
      <c r="I121" s="13" t="n">
        <v>465.0053252175535</v>
      </c>
      <c r="J121" s="13" t="n">
        <v>492.6819272487418</v>
      </c>
      <c r="K121" s="13" t="n">
        <v>524.4018419758632</v>
      </c>
    </row>
    <row r="122" ht="15.75" customHeight="1" s="57">
      <c r="A122" s="11" t="inlineStr">
        <is>
          <t>NTB</t>
        </is>
      </c>
      <c r="B122" s="11" t="n">
        <v>20673000</v>
      </c>
      <c r="C122" s="11" t="inlineStr">
        <is>
          <t>(DNO) Cư Jút</t>
        </is>
      </c>
      <c r="D122" s="11" t="inlineStr">
        <is>
          <t>thuong</t>
        </is>
      </c>
      <c r="E122" s="11" t="inlineStr">
        <is>
          <t>10-15kg</t>
        </is>
      </c>
      <c r="F122" s="13" t="n">
        <v>802.3920835936644</v>
      </c>
      <c r="G122" s="13" t="n">
        <v>953.3193146977179</v>
      </c>
      <c r="H122" s="13" t="n">
        <v>1014.963964462903</v>
      </c>
      <c r="I122" s="13" t="n">
        <v>1155.571881803147</v>
      </c>
      <c r="J122" s="13" t="n">
        <v>1237.885232802665</v>
      </c>
      <c r="K122" s="13" t="n">
        <v>1338.294820864319</v>
      </c>
    </row>
    <row r="123" ht="15.75" customHeight="1" s="57">
      <c r="A123" s="11" t="inlineStr">
        <is>
          <t>NTB</t>
        </is>
      </c>
      <c r="B123" s="11" t="n">
        <v>20673000</v>
      </c>
      <c r="C123" s="11" t="inlineStr">
        <is>
          <t>(DNO) Cư Jút</t>
        </is>
      </c>
      <c r="D123" s="11" t="inlineStr">
        <is>
          <t>thuong</t>
        </is>
      </c>
      <c r="E123" s="11" t="inlineStr">
        <is>
          <t>15-30kg</t>
        </is>
      </c>
      <c r="F123" s="13" t="n">
        <v>720.6644155010226</v>
      </c>
      <c r="G123" s="13" t="n">
        <v>878.5969066352075</v>
      </c>
      <c r="H123" s="13" t="n">
        <v>952.1733183671802</v>
      </c>
      <c r="I123" s="13" t="n">
        <v>1099.819177289445</v>
      </c>
      <c r="J123" s="13" t="n">
        <v>1168.678661692565</v>
      </c>
      <c r="K123" s="13" t="n">
        <v>1248.97542287687</v>
      </c>
    </row>
    <row r="124" ht="15.75" customHeight="1" s="57">
      <c r="A124" s="11" t="inlineStr">
        <is>
          <t>NTB</t>
        </is>
      </c>
      <c r="B124" s="11" t="n">
        <v>20673000</v>
      </c>
      <c r="C124" s="11" t="inlineStr">
        <is>
          <t>(DNO) Cư Jút</t>
        </is>
      </c>
      <c r="D124" s="11" t="inlineStr">
        <is>
          <t>thuong</t>
        </is>
      </c>
      <c r="E124" s="11" t="inlineStr">
        <is>
          <t>5-10kg</t>
        </is>
      </c>
      <c r="F124" s="13" t="n">
        <v>1191.564633089206</v>
      </c>
      <c r="G124" s="13" t="n">
        <v>1295.463559248337</v>
      </c>
      <c r="H124" s="13" t="n">
        <v>1291.721949254449</v>
      </c>
      <c r="I124" s="13" t="n">
        <v>1385.822748088892</v>
      </c>
      <c r="J124" s="13" t="n">
        <v>1498.077563624411</v>
      </c>
      <c r="K124" s="13" t="n">
        <v>1665.790544593081</v>
      </c>
    </row>
    <row r="125" ht="15.75" customHeight="1" s="57">
      <c r="A125" s="11" t="inlineStr">
        <is>
          <t>NTB</t>
        </is>
      </c>
      <c r="B125" s="11" t="n">
        <v>20673000</v>
      </c>
      <c r="C125" s="11" t="inlineStr">
        <is>
          <t>(DNO) Cư Jút</t>
        </is>
      </c>
      <c r="D125" s="11" t="inlineStr">
        <is>
          <t>thuong</t>
        </is>
      </c>
      <c r="E125" s="11" t="inlineStr">
        <is>
          <t>&lt;5kg</t>
        </is>
      </c>
      <c r="F125" s="13" t="n">
        <v>20080.48762151822</v>
      </c>
      <c r="G125" s="13" t="n">
        <v>22080.84216232408</v>
      </c>
      <c r="H125" s="13" t="n">
        <v>21957.01578752644</v>
      </c>
      <c r="I125" s="13" t="n">
        <v>23480.33233146284</v>
      </c>
      <c r="J125" s="13" t="n">
        <v>25596.11511003898</v>
      </c>
      <c r="K125" s="13" t="n">
        <v>28664.58261907961</v>
      </c>
    </row>
    <row r="126" ht="15.75" customHeight="1" s="57">
      <c r="A126" s="11" t="inlineStr">
        <is>
          <t>NTB</t>
        </is>
      </c>
      <c r="B126" s="11" t="n">
        <v>20673000</v>
      </c>
      <c r="C126" s="11" t="inlineStr">
        <is>
          <t>(DNO) Cư Jút</t>
        </is>
      </c>
      <c r="D126" s="11" t="inlineStr">
        <is>
          <t>thuong</t>
        </is>
      </c>
      <c r="E126" s="11" t="inlineStr">
        <is>
          <t>≥30kg</t>
        </is>
      </c>
      <c r="F126" s="13" t="n">
        <v>302.4279479814957</v>
      </c>
      <c r="G126" s="13" t="n">
        <v>366.1120876653123</v>
      </c>
      <c r="H126" s="13" t="n">
        <v>396.387390699429</v>
      </c>
      <c r="I126" s="13" t="n">
        <v>457.7259317820654</v>
      </c>
      <c r="J126" s="13" t="n">
        <v>487.2250591574645</v>
      </c>
      <c r="K126" s="13" t="n">
        <v>521.5113768173658</v>
      </c>
    </row>
    <row r="127" ht="15.75" customHeight="1" s="57">
      <c r="A127" s="11" t="inlineStr">
        <is>
          <t>NTB</t>
        </is>
      </c>
      <c r="B127" s="11" t="n">
        <v>20687000</v>
      </c>
      <c r="C127" s="11" t="inlineStr">
        <is>
          <t>(BTH) Hàm Tân</t>
        </is>
      </c>
      <c r="D127" s="11" t="inlineStr">
        <is>
          <t>thuong</t>
        </is>
      </c>
      <c r="E127" s="11" t="inlineStr">
        <is>
          <t>10-15kg</t>
        </is>
      </c>
      <c r="F127" s="13" t="n">
        <v>881.4919347306657</v>
      </c>
      <c r="G127" s="13" t="n">
        <v>1066.257982706261</v>
      </c>
      <c r="H127" s="13" t="n">
        <v>1149.215394372214</v>
      </c>
      <c r="I127" s="13" t="n">
        <v>1321.160744240763</v>
      </c>
      <c r="J127" s="13" t="n">
        <v>1402.662016900402</v>
      </c>
      <c r="K127" s="13" t="n">
        <v>1500.493412346347</v>
      </c>
    </row>
    <row r="128" ht="15.75" customHeight="1" s="57">
      <c r="A128" s="11" t="inlineStr">
        <is>
          <t>NTB</t>
        </is>
      </c>
      <c r="B128" s="11" t="n">
        <v>20687000</v>
      </c>
      <c r="C128" s="11" t="inlineStr">
        <is>
          <t>(BTH) Hàm Tân</t>
        </is>
      </c>
      <c r="D128" s="11" t="inlineStr">
        <is>
          <t>thuong</t>
        </is>
      </c>
      <c r="E128" s="11" t="inlineStr">
        <is>
          <t>15-30kg</t>
        </is>
      </c>
      <c r="F128" s="13" t="n">
        <v>136.7161929780212</v>
      </c>
      <c r="G128" s="13" t="n">
        <v>166.8900322086831</v>
      </c>
      <c r="H128" s="13" t="n">
        <v>181.1769780191252</v>
      </c>
      <c r="I128" s="13" t="n">
        <v>209.5756622294804</v>
      </c>
      <c r="J128" s="13" t="n">
        <v>222.5271017408666</v>
      </c>
      <c r="K128" s="13" t="n">
        <v>237.5500452955509</v>
      </c>
    </row>
    <row r="129" ht="15.75" customHeight="1" s="57">
      <c r="A129" s="11" t="inlineStr">
        <is>
          <t>NTB</t>
        </is>
      </c>
      <c r="B129" s="11" t="n">
        <v>20687000</v>
      </c>
      <c r="C129" s="11" t="inlineStr">
        <is>
          <t>(BTH) Hàm Tân</t>
        </is>
      </c>
      <c r="D129" s="11" t="inlineStr">
        <is>
          <t>thuong</t>
        </is>
      </c>
      <c r="E129" s="11" t="inlineStr">
        <is>
          <t>5-10kg</t>
        </is>
      </c>
      <c r="F129" s="13" t="n">
        <v>1084.039874065462</v>
      </c>
      <c r="G129" s="13" t="n">
        <v>1161.323115601851</v>
      </c>
      <c r="H129" s="13" t="n">
        <v>1153.698115058387</v>
      </c>
      <c r="I129" s="13" t="n">
        <v>1232.132481772053</v>
      </c>
      <c r="J129" s="13" t="n">
        <v>1304.823330633715</v>
      </c>
      <c r="K129" s="13" t="n">
        <v>1431.270664284596</v>
      </c>
    </row>
    <row r="130" ht="15.75" customHeight="1" s="57">
      <c r="A130" s="11" t="inlineStr">
        <is>
          <t>NTB</t>
        </is>
      </c>
      <c r="B130" s="11" t="n">
        <v>20687000</v>
      </c>
      <c r="C130" s="11" t="inlineStr">
        <is>
          <t>(BTH) Hàm Tân</t>
        </is>
      </c>
      <c r="D130" s="11" t="inlineStr">
        <is>
          <t>thuong</t>
        </is>
      </c>
      <c r="E130" s="11" t="inlineStr">
        <is>
          <t>&lt;5kg</t>
        </is>
      </c>
      <c r="F130" s="13" t="n">
        <v>17769.65171193356</v>
      </c>
      <c r="G130" s="13" t="n">
        <v>19234.90019315271</v>
      </c>
      <c r="H130" s="13" t="n">
        <v>19085.49321416464</v>
      </c>
      <c r="I130" s="13" t="n">
        <v>20355.99761448902</v>
      </c>
      <c r="J130" s="13" t="n">
        <v>21787.8280790023</v>
      </c>
      <c r="K130" s="13" t="n">
        <v>24100.08034993346</v>
      </c>
    </row>
    <row r="131" ht="15.75" customHeight="1" s="57">
      <c r="A131" s="11" t="inlineStr">
        <is>
          <t>NTB</t>
        </is>
      </c>
      <c r="B131" s="11" t="n">
        <v>20687000</v>
      </c>
      <c r="C131" s="11" t="inlineStr">
        <is>
          <t>(BTH) Hàm Tân</t>
        </is>
      </c>
      <c r="D131" s="11" t="inlineStr">
        <is>
          <t>thuong</t>
        </is>
      </c>
      <c r="E131" s="11" t="inlineStr">
        <is>
          <t>≥30kg</t>
        </is>
      </c>
      <c r="F131" s="13" t="n">
        <v>53.81146474192329</v>
      </c>
      <c r="G131" s="13" t="n">
        <v>66.47054357372463</v>
      </c>
      <c r="H131" s="13" t="n">
        <v>72.68901267231706</v>
      </c>
      <c r="I131" s="13" t="n">
        <v>84.55469369684772</v>
      </c>
      <c r="J131" s="13" t="n">
        <v>89.38102337377195</v>
      </c>
      <c r="K131" s="13" t="n">
        <v>94.87930789458031</v>
      </c>
    </row>
    <row r="132" ht="15.75" customHeight="1" s="57">
      <c r="A132" s="11" t="inlineStr">
        <is>
          <t>NTB</t>
        </is>
      </c>
      <c r="B132" s="11" t="n">
        <v>20694000</v>
      </c>
      <c r="C132" s="11" t="inlineStr">
        <is>
          <t>Bưu Cục Thôn Xuân Hoà 1-Ninh Hoà-Khánh Hoà</t>
        </is>
      </c>
      <c r="D132" s="11" t="inlineStr">
        <is>
          <t>thuong</t>
        </is>
      </c>
      <c r="E132" s="11" t="inlineStr">
        <is>
          <t>10-15kg</t>
        </is>
      </c>
      <c r="F132" s="13" t="n">
        <v>378.7366338759223</v>
      </c>
      <c r="G132" s="13" t="n">
        <v>448.3368880660888</v>
      </c>
      <c r="H132" s="13" t="n">
        <v>476.4968449989731</v>
      </c>
      <c r="I132" s="13" t="n">
        <v>541.6642184371224</v>
      </c>
      <c r="J132" s="13" t="n">
        <v>579.3944408672843</v>
      </c>
      <c r="K132" s="13" t="n">
        <v>626.0167967271669</v>
      </c>
    </row>
    <row r="133" ht="15.75" customHeight="1" s="57">
      <c r="A133" s="11" t="inlineStr">
        <is>
          <t>NTB</t>
        </is>
      </c>
      <c r="B133" s="11" t="n">
        <v>20694000</v>
      </c>
      <c r="C133" s="11" t="inlineStr">
        <is>
          <t>Bưu Cục Thôn Xuân Hoà 1-Ninh Hoà-Khánh Hoà</t>
        </is>
      </c>
      <c r="D133" s="11" t="inlineStr">
        <is>
          <t>thuong</t>
        </is>
      </c>
      <c r="E133" s="11" t="inlineStr">
        <is>
          <t>15-30kg</t>
        </is>
      </c>
      <c r="F133" s="13" t="n">
        <v>345.5585077746167</v>
      </c>
      <c r="G133" s="13" t="n">
        <v>416.0325686628821</v>
      </c>
      <c r="H133" s="13" t="n">
        <v>448.1359538646196</v>
      </c>
      <c r="I133" s="13" t="n">
        <v>515.3022298226083</v>
      </c>
      <c r="J133" s="13" t="n">
        <v>549.9415385311183</v>
      </c>
      <c r="K133" s="13" t="n">
        <v>590.7386089070634</v>
      </c>
    </row>
    <row r="134" ht="15.75" customHeight="1" s="57">
      <c r="A134" s="11" t="inlineStr">
        <is>
          <t>NTB</t>
        </is>
      </c>
      <c r="B134" s="11" t="n">
        <v>20694000</v>
      </c>
      <c r="C134" s="11" t="inlineStr">
        <is>
          <t>Bưu Cục Thôn Xuân Hoà 1-Ninh Hoà-Khánh Hoà</t>
        </is>
      </c>
      <c r="D134" s="11" t="inlineStr">
        <is>
          <t>thuong</t>
        </is>
      </c>
      <c r="E134" s="11" t="inlineStr">
        <is>
          <t>5-10kg</t>
        </is>
      </c>
      <c r="F134" s="13" t="n">
        <v>529.3363646176203</v>
      </c>
      <c r="G134" s="13" t="n">
        <v>567.6312290151907</v>
      </c>
      <c r="H134" s="13" t="n">
        <v>563.8642244501848</v>
      </c>
      <c r="I134" s="13" t="n">
        <v>602.2201746290007</v>
      </c>
      <c r="J134" s="13" t="n">
        <v>639.2187381108038</v>
      </c>
      <c r="K134" s="13" t="n">
        <v>702.3732567119416</v>
      </c>
    </row>
    <row r="135" ht="15.75" customHeight="1" s="57">
      <c r="A135" s="11" t="inlineStr">
        <is>
          <t>NTB</t>
        </is>
      </c>
      <c r="B135" s="11" t="n">
        <v>20694000</v>
      </c>
      <c r="C135" s="11" t="inlineStr">
        <is>
          <t>Bưu Cục Thôn Xuân Hoà 1-Ninh Hoà-Khánh Hoà</t>
        </is>
      </c>
      <c r="D135" s="11" t="inlineStr">
        <is>
          <t>thuong</t>
        </is>
      </c>
      <c r="E135" s="11" t="inlineStr">
        <is>
          <t>&lt;5kg</t>
        </is>
      </c>
      <c r="F135" s="13" t="n">
        <v>11095.05961108519</v>
      </c>
      <c r="G135" s="13" t="n">
        <v>12069.69947690298</v>
      </c>
      <c r="H135" s="13" t="n">
        <v>12015.18115526869</v>
      </c>
      <c r="I135" s="13" t="n">
        <v>12866.66225761416</v>
      </c>
      <c r="J135" s="13" t="n">
        <v>13907.3413484793</v>
      </c>
      <c r="K135" s="13" t="n">
        <v>15472.78164368486</v>
      </c>
    </row>
    <row r="136" ht="15.75" customHeight="1" s="57">
      <c r="A136" s="11" t="inlineStr">
        <is>
          <t>NTB</t>
        </is>
      </c>
      <c r="B136" s="11" t="n">
        <v>20694000</v>
      </c>
      <c r="C136" s="11" t="inlineStr">
        <is>
          <t>Bưu Cục Thôn Xuân Hoà 1-Ninh Hoà-Khánh Hoà</t>
        </is>
      </c>
      <c r="D136" s="11" t="inlineStr">
        <is>
          <t>thuong</t>
        </is>
      </c>
      <c r="E136" s="11" t="inlineStr">
        <is>
          <t>≥30kg</t>
        </is>
      </c>
      <c r="F136" s="13" t="n">
        <v>147.5371436317395</v>
      </c>
      <c r="G136" s="13" t="n">
        <v>179.9921688570862</v>
      </c>
      <c r="H136" s="13" t="n">
        <v>195.5961972382851</v>
      </c>
      <c r="I136" s="13" t="n">
        <v>226.4727870022818</v>
      </c>
      <c r="J136" s="13" t="n">
        <v>240.4338419319928</v>
      </c>
      <c r="K136" s="13" t="n">
        <v>256.5542099239541</v>
      </c>
    </row>
    <row r="137" ht="15.75" customHeight="1" s="57">
      <c r="A137" s="11" t="inlineStr">
        <is>
          <t>NTB</t>
        </is>
      </c>
      <c r="B137" s="11" t="n">
        <v>20784000</v>
      </c>
      <c r="C137" s="11" t="inlineStr">
        <is>
          <t>(KHO) Khánh Sơn</t>
        </is>
      </c>
      <c r="D137" s="11" t="inlineStr">
        <is>
          <t>thuong</t>
        </is>
      </c>
      <c r="E137" s="11" t="inlineStr">
        <is>
          <t>10-15kg</t>
        </is>
      </c>
      <c r="F137" s="13" t="n">
        <v>223.7073816323468</v>
      </c>
      <c r="G137" s="13" t="n">
        <v>266.5999396649324</v>
      </c>
      <c r="H137" s="13" t="n">
        <v>284.5012739214856</v>
      </c>
      <c r="I137" s="13" t="n">
        <v>324.4675273263263</v>
      </c>
      <c r="J137" s="13" t="n">
        <v>346.3077546993837</v>
      </c>
      <c r="K137" s="13" t="n">
        <v>373.0895672585951</v>
      </c>
    </row>
    <row r="138" ht="15.75" customHeight="1" s="57">
      <c r="A138" s="11" t="inlineStr">
        <is>
          <t>NTB</t>
        </is>
      </c>
      <c r="B138" s="11" t="n">
        <v>20784000</v>
      </c>
      <c r="C138" s="11" t="inlineStr">
        <is>
          <t>(KHO) Khánh Sơn</t>
        </is>
      </c>
      <c r="D138" s="11" t="inlineStr">
        <is>
          <t>thuong</t>
        </is>
      </c>
      <c r="E138" s="11" t="inlineStr">
        <is>
          <t>15-30kg</t>
        </is>
      </c>
      <c r="F138" s="13" t="n">
        <v>285.0004881979154</v>
      </c>
      <c r="G138" s="13" t="n">
        <v>341.479164854292</v>
      </c>
      <c r="H138" s="13" t="n">
        <v>366.8766109626315</v>
      </c>
      <c r="I138" s="13" t="n">
        <v>421.0359750586117</v>
      </c>
      <c r="J138" s="13" t="n">
        <v>450.1738634115104</v>
      </c>
      <c r="K138" s="13" t="n">
        <v>484.6274278554497</v>
      </c>
    </row>
    <row r="139" ht="15.75" customHeight="1" s="57">
      <c r="A139" s="11" t="inlineStr">
        <is>
          <t>NTB</t>
        </is>
      </c>
      <c r="B139" s="11" t="n">
        <v>20784000</v>
      </c>
      <c r="C139" s="11" t="inlineStr">
        <is>
          <t>(KHO) Khánh Sơn</t>
        </is>
      </c>
      <c r="D139" s="11" t="inlineStr">
        <is>
          <t>thuong</t>
        </is>
      </c>
      <c r="E139" s="11" t="inlineStr">
        <is>
          <t>5-10kg</t>
        </is>
      </c>
      <c r="F139" s="13" t="n">
        <v>325.9116508336856</v>
      </c>
      <c r="G139" s="13" t="n">
        <v>349.3399027645603</v>
      </c>
      <c r="H139" s="13" t="n">
        <v>346.9123704871724</v>
      </c>
      <c r="I139" s="13" t="n">
        <v>370.3988027694994</v>
      </c>
      <c r="J139" s="13" t="n">
        <v>393.1750043730336</v>
      </c>
      <c r="K139" s="13" t="n">
        <v>432.0861763815404</v>
      </c>
    </row>
    <row r="140" ht="15.75" customHeight="1" s="57">
      <c r="A140" s="11" t="inlineStr">
        <is>
          <t>NTB</t>
        </is>
      </c>
      <c r="B140" s="11" t="n">
        <v>20784000</v>
      </c>
      <c r="C140" s="11" t="inlineStr">
        <is>
          <t>(KHO) Khánh Sơn</t>
        </is>
      </c>
      <c r="D140" s="11" t="inlineStr">
        <is>
          <t>thuong</t>
        </is>
      </c>
      <c r="E140" s="11" t="inlineStr">
        <is>
          <t>&lt;5kg</t>
        </is>
      </c>
      <c r="F140" s="13" t="n">
        <v>5782.286266317613</v>
      </c>
      <c r="G140" s="13" t="n">
        <v>6290.171987524493</v>
      </c>
      <c r="H140" s="13" t="n">
        <v>6261.716049886341</v>
      </c>
      <c r="I140" s="13" t="n">
        <v>6705.42160195539</v>
      </c>
      <c r="J140" s="13" t="n">
        <v>7247.785926051295</v>
      </c>
      <c r="K140" s="13" t="n">
        <v>8063.645961984599</v>
      </c>
    </row>
    <row r="141" ht="15.75" customHeight="1" s="57">
      <c r="A141" s="11" t="inlineStr">
        <is>
          <t>NTB</t>
        </is>
      </c>
      <c r="B141" s="11" t="n">
        <v>20784000</v>
      </c>
      <c r="C141" s="11" t="inlineStr">
        <is>
          <t>(KHO) Khánh Sơn</t>
        </is>
      </c>
      <c r="D141" s="11" t="inlineStr">
        <is>
          <t>thuong</t>
        </is>
      </c>
      <c r="E141" s="11" t="inlineStr">
        <is>
          <t>≥30kg</t>
        </is>
      </c>
      <c r="F141" s="13" t="n">
        <v>115.985972907379</v>
      </c>
      <c r="G141" s="13" t="n">
        <v>140.9702215326317</v>
      </c>
      <c r="H141" s="13" t="n">
        <v>152.9085190986982</v>
      </c>
      <c r="I141" s="13" t="n">
        <v>176.8060087688352</v>
      </c>
      <c r="J141" s="13" t="n">
        <v>187.9490687559087</v>
      </c>
      <c r="K141" s="13" t="n">
        <v>200.8603505676158</v>
      </c>
    </row>
    <row r="142" ht="15.75" customHeight="1" s="57">
      <c r="A142" s="11" t="inlineStr">
        <is>
          <t>NTB</t>
        </is>
      </c>
      <c r="B142" s="11" t="n">
        <v>20785000</v>
      </c>
      <c r="C142" s="11" t="inlineStr">
        <is>
          <t>Bưu Cục 95A Đội Cấn-Bảo Lộc-Lâm Đồng</t>
        </is>
      </c>
      <c r="D142" s="11" t="inlineStr">
        <is>
          <t>thuong</t>
        </is>
      </c>
      <c r="E142" s="11" t="inlineStr">
        <is>
          <t>10-15kg</t>
        </is>
      </c>
      <c r="F142" s="13" t="n">
        <v>1508.346404755797</v>
      </c>
      <c r="G142" s="13" t="n">
        <v>1818.879370410898</v>
      </c>
      <c r="H142" s="13" t="n">
        <v>1958.935176802314</v>
      </c>
      <c r="I142" s="13" t="n">
        <v>2251.25924706791</v>
      </c>
      <c r="J142" s="13" t="n">
        <v>2394.156763075284</v>
      </c>
      <c r="K142" s="13" t="n">
        <v>2564.982386282186</v>
      </c>
    </row>
    <row r="143" ht="15.75" customHeight="1" s="57">
      <c r="A143" s="11" t="inlineStr">
        <is>
          <t>NTB</t>
        </is>
      </c>
      <c r="B143" s="11" t="n">
        <v>20785000</v>
      </c>
      <c r="C143" s="11" t="inlineStr">
        <is>
          <t>Bưu Cục 95A Đội Cấn-Bảo Lộc-Lâm Đồng</t>
        </is>
      </c>
      <c r="D143" s="11" t="inlineStr">
        <is>
          <t>thuong</t>
        </is>
      </c>
      <c r="E143" s="11" t="inlineStr">
        <is>
          <t>5-10kg</t>
        </is>
      </c>
      <c r="F143" s="13" t="n">
        <v>1874.035079631774</v>
      </c>
      <c r="G143" s="13" t="n">
        <v>2010.589823116433</v>
      </c>
      <c r="H143" s="13" t="n">
        <v>2000.901211465218</v>
      </c>
      <c r="I143" s="13" t="n">
        <v>2141.325038775753</v>
      </c>
      <c r="J143" s="13" t="n">
        <v>2274.452270665058</v>
      </c>
      <c r="K143" s="13" t="n">
        <v>2498.661480176614</v>
      </c>
    </row>
    <row r="144" ht="15.75" customHeight="1" s="57">
      <c r="A144" s="11" t="inlineStr">
        <is>
          <t>NTB</t>
        </is>
      </c>
      <c r="B144" s="11" t="n">
        <v>20785000</v>
      </c>
      <c r="C144" s="11" t="inlineStr">
        <is>
          <t>Bưu Cục 95A Đội Cấn-Bảo Lộc-Lâm Đồng</t>
        </is>
      </c>
      <c r="D144" s="11" t="inlineStr">
        <is>
          <t>thuong</t>
        </is>
      </c>
      <c r="E144" s="11" t="inlineStr">
        <is>
          <t>&lt;5kg</t>
        </is>
      </c>
      <c r="F144" s="13" t="n">
        <v>25078.40179394967</v>
      </c>
      <c r="G144" s="13" t="n">
        <v>27134.77674720413</v>
      </c>
      <c r="H144" s="13" t="n">
        <v>27024.92729705638</v>
      </c>
      <c r="I144" s="13" t="n">
        <v>28957.25434988248</v>
      </c>
      <c r="J144" s="13" t="n">
        <v>31158.55814262016</v>
      </c>
      <c r="K144" s="13" t="n">
        <v>34545.68455188892</v>
      </c>
    </row>
    <row r="145" ht="15.75" customHeight="1" s="57">
      <c r="A145" s="11" t="inlineStr">
        <is>
          <t>NTB</t>
        </is>
      </c>
      <c r="B145" s="11" t="n">
        <v>20849000</v>
      </c>
      <c r="C145" s="11" t="inlineStr">
        <is>
          <t>(LDO) Ninh Gia</t>
        </is>
      </c>
      <c r="D145" s="11" t="inlineStr">
        <is>
          <t>thuong</t>
        </is>
      </c>
      <c r="E145" s="11" t="inlineStr">
        <is>
          <t>10-15kg</t>
        </is>
      </c>
      <c r="F145" s="13" t="n">
        <v>589.4502361427698</v>
      </c>
      <c r="G145" s="13" t="n">
        <v>699.217640162564</v>
      </c>
      <c r="H145" s="13" t="n">
        <v>746.1282866541986</v>
      </c>
      <c r="I145" s="13" t="n">
        <v>851.310439744654</v>
      </c>
      <c r="J145" s="13" t="n">
        <v>910.151248607858</v>
      </c>
      <c r="K145" s="13" t="n">
        <v>981.7568504591788</v>
      </c>
    </row>
    <row r="146" ht="15.75" customHeight="1" s="57">
      <c r="A146" s="11" t="inlineStr">
        <is>
          <t>NTB</t>
        </is>
      </c>
      <c r="B146" s="11" t="n">
        <v>20849000</v>
      </c>
      <c r="C146" s="11" t="inlineStr">
        <is>
          <t>(LDO) Ninh Gia</t>
        </is>
      </c>
      <c r="D146" s="11" t="inlineStr">
        <is>
          <t>thuong</t>
        </is>
      </c>
      <c r="E146" s="11" t="inlineStr">
        <is>
          <t>15-30kg</t>
        </is>
      </c>
      <c r="F146" s="13" t="n">
        <v>501.6619975728372</v>
      </c>
      <c r="G146" s="13" t="n">
        <v>608.635874666864</v>
      </c>
      <c r="H146" s="13" t="n">
        <v>658.7675988053468</v>
      </c>
      <c r="I146" s="13" t="n">
        <v>760.3423889408392</v>
      </c>
      <c r="J146" s="13" t="n">
        <v>808.9190110341895</v>
      </c>
      <c r="K146" s="13" t="n">
        <v>865.5976401152975</v>
      </c>
    </row>
    <row r="147" ht="15.75" customHeight="1" s="57">
      <c r="A147" s="11" t="inlineStr">
        <is>
          <t>NTB</t>
        </is>
      </c>
      <c r="B147" s="11" t="n">
        <v>20849000</v>
      </c>
      <c r="C147" s="11" t="inlineStr">
        <is>
          <t>(LDO) Ninh Gia</t>
        </is>
      </c>
      <c r="D147" s="11" t="inlineStr">
        <is>
          <t>thuong</t>
        </is>
      </c>
      <c r="E147" s="11" t="inlineStr">
        <is>
          <t>5-10kg</t>
        </is>
      </c>
      <c r="F147" s="13" t="n">
        <v>806.6457931615815</v>
      </c>
      <c r="G147" s="13" t="n">
        <v>865.2743350362659</v>
      </c>
      <c r="H147" s="13" t="n">
        <v>860.9975253019904</v>
      </c>
      <c r="I147" s="13" t="n">
        <v>921.3133543865498</v>
      </c>
      <c r="J147" s="13" t="n">
        <v>978.6127187695876</v>
      </c>
      <c r="K147" s="13" t="n">
        <v>1075.146860790206</v>
      </c>
    </row>
    <row r="148" ht="15.75" customHeight="1" s="57">
      <c r="A148" s="11" t="inlineStr">
        <is>
          <t>NTB</t>
        </is>
      </c>
      <c r="B148" s="11" t="n">
        <v>20849000</v>
      </c>
      <c r="C148" s="11" t="inlineStr">
        <is>
          <t>(LDO) Ninh Gia</t>
        </is>
      </c>
      <c r="D148" s="11" t="inlineStr">
        <is>
          <t>thuong</t>
        </is>
      </c>
      <c r="E148" s="11" t="inlineStr">
        <is>
          <t>&lt;5kg</t>
        </is>
      </c>
      <c r="F148" s="13" t="n">
        <v>11887.11752608942</v>
      </c>
      <c r="G148" s="13" t="n">
        <v>12861.55466211653</v>
      </c>
      <c r="H148" s="13" t="n">
        <v>12809.27743241862</v>
      </c>
      <c r="I148" s="13" t="n">
        <v>13724.94938925395</v>
      </c>
      <c r="J148" s="13" t="n">
        <v>14768.3812159358</v>
      </c>
      <c r="K148" s="13" t="n">
        <v>16373.94834882325</v>
      </c>
    </row>
    <row r="149" ht="15.75" customHeight="1" s="57">
      <c r="A149" s="11" t="inlineStr">
        <is>
          <t>NTB</t>
        </is>
      </c>
      <c r="B149" s="11" t="n">
        <v>20849000</v>
      </c>
      <c r="C149" s="11" t="inlineStr">
        <is>
          <t>(LDO) Ninh Gia</t>
        </is>
      </c>
      <c r="D149" s="11" t="inlineStr">
        <is>
          <t>thuong</t>
        </is>
      </c>
      <c r="E149" s="11" t="inlineStr">
        <is>
          <t>≥30kg</t>
        </is>
      </c>
      <c r="F149" s="13" t="n">
        <v>258.4742330879302</v>
      </c>
      <c r="G149" s="13" t="n">
        <v>311.0013748339188</v>
      </c>
      <c r="H149" s="13" t="n">
        <v>335.9901271267253</v>
      </c>
      <c r="I149" s="13" t="n">
        <v>387.4163514904357</v>
      </c>
      <c r="J149" s="13" t="n">
        <v>413.1307443110961</v>
      </c>
      <c r="K149" s="13" t="n">
        <v>443.0894403904888</v>
      </c>
    </row>
    <row r="150" ht="15.75" customHeight="1" s="57">
      <c r="A150" s="11" t="inlineStr">
        <is>
          <t>NTB</t>
        </is>
      </c>
      <c r="B150" s="11" t="n">
        <v>20942000</v>
      </c>
      <c r="C150" s="11" t="inlineStr">
        <is>
          <t>Bưu Cục 1322 Hùng Vương-Di Linh-Lâm Đồng</t>
        </is>
      </c>
      <c r="D150" s="11" t="inlineStr">
        <is>
          <t>thuong</t>
        </is>
      </c>
      <c r="E150" s="11" t="inlineStr">
        <is>
          <t>10-15kg</t>
        </is>
      </c>
      <c r="F150" s="13" t="n">
        <v>1380.186205589337</v>
      </c>
      <c r="G150" s="13" t="n">
        <v>1669.155920783735</v>
      </c>
      <c r="H150" s="13" t="n">
        <v>1800.566847641256</v>
      </c>
      <c r="I150" s="13" t="n">
        <v>2071.821659234938</v>
      </c>
      <c r="J150" s="13" t="n">
        <v>2201.330071080031</v>
      </c>
      <c r="K150" s="13" t="n">
        <v>2355.623412725629</v>
      </c>
    </row>
    <row r="151" ht="15.75" customHeight="1" s="57">
      <c r="A151" s="11" t="inlineStr">
        <is>
          <t>NTB</t>
        </is>
      </c>
      <c r="B151" s="11" t="n">
        <v>20942000</v>
      </c>
      <c r="C151" s="11" t="inlineStr">
        <is>
          <t>Bưu Cục 1322 Hùng Vương-Di Linh-Lâm Đồng</t>
        </is>
      </c>
      <c r="D151" s="11" t="inlineStr">
        <is>
          <t>thuong</t>
        </is>
      </c>
      <c r="E151" s="11" t="inlineStr">
        <is>
          <t>15-30kg</t>
        </is>
      </c>
      <c r="F151" s="13" t="n">
        <v>839.0922525038072</v>
      </c>
      <c r="G151" s="13" t="n">
        <v>1034.610508673413</v>
      </c>
      <c r="H151" s="13" t="n">
        <v>1129.147236321655</v>
      </c>
      <c r="I151" s="13" t="n">
        <v>1311.292943997266</v>
      </c>
      <c r="J151" s="13" t="n">
        <v>1387.22166121017</v>
      </c>
      <c r="K151" s="13" t="n">
        <v>1474.347986772229</v>
      </c>
    </row>
    <row r="152" ht="15.75" customHeight="1" s="57">
      <c r="A152" s="11" t="inlineStr">
        <is>
          <t>NTB</t>
        </is>
      </c>
      <c r="B152" s="11" t="n">
        <v>20942000</v>
      </c>
      <c r="C152" s="11" t="inlineStr">
        <is>
          <t>Bưu Cục 1322 Hùng Vương-Di Linh-Lâm Đồng</t>
        </is>
      </c>
      <c r="D152" s="11" t="inlineStr">
        <is>
          <t>thuong</t>
        </is>
      </c>
      <c r="E152" s="11" t="inlineStr">
        <is>
          <t>5-10kg</t>
        </is>
      </c>
      <c r="F152" s="13" t="n">
        <v>1437.831462352457</v>
      </c>
      <c r="G152" s="13" t="n">
        <v>1542.858316065088</v>
      </c>
      <c r="H152" s="13" t="n">
        <v>1535.608351322926</v>
      </c>
      <c r="I152" s="13" t="n">
        <v>1643.5659713353</v>
      </c>
      <c r="J152" s="13" t="n">
        <v>1745.711339262614</v>
      </c>
      <c r="K152" s="13" t="n">
        <v>1917.686386796898</v>
      </c>
    </row>
    <row r="153" ht="15.75" customHeight="1" s="57">
      <c r="A153" s="11" t="inlineStr">
        <is>
          <t>NTB</t>
        </is>
      </c>
      <c r="B153" s="11" t="n">
        <v>20942000</v>
      </c>
      <c r="C153" s="11" t="inlineStr">
        <is>
          <t>Bưu Cục 1322 Hùng Vương-Di Linh-Lâm Đồng</t>
        </is>
      </c>
      <c r="D153" s="11" t="inlineStr">
        <is>
          <t>thuong</t>
        </is>
      </c>
      <c r="E153" s="11" t="inlineStr">
        <is>
          <t>&lt;5kg</t>
        </is>
      </c>
      <c r="F153" s="13" t="n">
        <v>22751.38038729577</v>
      </c>
      <c r="G153" s="13" t="n">
        <v>24616.30431265014</v>
      </c>
      <c r="H153" s="13" t="n">
        <v>24516.17188271401</v>
      </c>
      <c r="I153" s="13" t="n">
        <v>26268.63420450091</v>
      </c>
      <c r="J153" s="13" t="n">
        <v>28265.71983396773</v>
      </c>
      <c r="K153" s="13" t="n">
        <v>31338.72684945518</v>
      </c>
    </row>
    <row r="154" ht="15.75" customHeight="1" s="57">
      <c r="A154" s="11" t="inlineStr">
        <is>
          <t>NTB</t>
        </is>
      </c>
      <c r="B154" s="11" t="n">
        <v>20942000</v>
      </c>
      <c r="C154" s="11" t="inlineStr">
        <is>
          <t>Bưu Cục 1322 Hùng Vương-Di Linh-Lâm Đồng</t>
        </is>
      </c>
      <c r="D154" s="11" t="inlineStr">
        <is>
          <t>thuong</t>
        </is>
      </c>
      <c r="E154" s="11" t="inlineStr">
        <is>
          <t>≥30kg</t>
        </is>
      </c>
      <c r="F154" s="13" t="n">
        <v>350.3392866610054</v>
      </c>
      <c r="G154" s="13" t="n">
        <v>429.3423169916555</v>
      </c>
      <c r="H154" s="13" t="n">
        <v>467.9234043195753</v>
      </c>
      <c r="I154" s="13" t="n">
        <v>543.0086028988387</v>
      </c>
      <c r="J154" s="13" t="n">
        <v>575.4379939082114</v>
      </c>
      <c r="K154" s="13" t="n">
        <v>612.6241190940816</v>
      </c>
    </row>
    <row r="155" ht="15.75" customHeight="1" s="57">
      <c r="A155" s="11" t="inlineStr">
        <is>
          <t>NTB</t>
        </is>
      </c>
      <c r="B155" s="11" t="n">
        <v>21046000</v>
      </c>
      <c r="C155" s="11" t="inlineStr">
        <is>
          <t>(KHO) Vạn Ninh</t>
        </is>
      </c>
      <c r="D155" s="11" t="inlineStr">
        <is>
          <t>thuong</t>
        </is>
      </c>
      <c r="E155" s="11" t="inlineStr">
        <is>
          <t>10-15kg</t>
        </is>
      </c>
      <c r="F155" s="13" t="n">
        <v>606.0501170487694</v>
      </c>
      <c r="G155" s="13" t="n">
        <v>725.1329191429362</v>
      </c>
      <c r="H155" s="13" t="n">
        <v>775.6806141743081</v>
      </c>
      <c r="I155" s="13" t="n">
        <v>886.3377056643045</v>
      </c>
      <c r="J155" s="13" t="n">
        <v>944.7845919570996</v>
      </c>
      <c r="K155" s="13" t="n">
        <v>1016.116358423067</v>
      </c>
    </row>
    <row r="156" ht="15.75" customHeight="1" s="57">
      <c r="A156" s="11" t="inlineStr">
        <is>
          <t>NTB</t>
        </is>
      </c>
      <c r="B156" s="11" t="n">
        <v>21046000</v>
      </c>
      <c r="C156" s="11" t="inlineStr">
        <is>
          <t>(KHO) Vạn Ninh</t>
        </is>
      </c>
      <c r="D156" s="11" t="inlineStr">
        <is>
          <t>thuong</t>
        </is>
      </c>
      <c r="E156" s="11" t="inlineStr">
        <is>
          <t>15-30kg</t>
        </is>
      </c>
      <c r="F156" s="13" t="n">
        <v>618.7855883841639</v>
      </c>
      <c r="G156" s="13" t="n">
        <v>760.7887389387495</v>
      </c>
      <c r="H156" s="13" t="n">
        <v>828.6674492273947</v>
      </c>
      <c r="I156" s="13" t="n">
        <v>960.8622349878972</v>
      </c>
      <c r="J156" s="13" t="n">
        <v>1017.714576474567</v>
      </c>
      <c r="K156" s="13" t="n">
        <v>1083.28134434049</v>
      </c>
    </row>
    <row r="157" ht="15.75" customHeight="1" s="57">
      <c r="A157" s="11" t="inlineStr">
        <is>
          <t>NTB</t>
        </is>
      </c>
      <c r="B157" s="11" t="n">
        <v>21046000</v>
      </c>
      <c r="C157" s="11" t="inlineStr">
        <is>
          <t>(KHO) Vạn Ninh</t>
        </is>
      </c>
      <c r="D157" s="11" t="inlineStr">
        <is>
          <t>thuong</t>
        </is>
      </c>
      <c r="E157" s="11" t="inlineStr">
        <is>
          <t>5-10kg</t>
        </is>
      </c>
      <c r="F157" s="13" t="n">
        <v>910.4680489385717</v>
      </c>
      <c r="G157" s="13" t="n">
        <v>976.8907073712159</v>
      </c>
      <c r="H157" s="13" t="n">
        <v>970.8119866521276</v>
      </c>
      <c r="I157" s="13" t="n">
        <v>1037.263551580819</v>
      </c>
      <c r="J157" s="13" t="n">
        <v>1100.915672561129</v>
      </c>
      <c r="K157" s="13" t="n">
        <v>1209.442518275758</v>
      </c>
    </row>
    <row r="158" ht="15.75" customHeight="1" s="57">
      <c r="A158" s="11" t="inlineStr">
        <is>
          <t>NTB</t>
        </is>
      </c>
      <c r="B158" s="11" t="n">
        <v>21046000</v>
      </c>
      <c r="C158" s="11" t="inlineStr">
        <is>
          <t>(KHO) Vạn Ninh</t>
        </is>
      </c>
      <c r="D158" s="11" t="inlineStr">
        <is>
          <t>thuong</t>
        </is>
      </c>
      <c r="E158" s="11" t="inlineStr">
        <is>
          <t>&lt;5kg</t>
        </is>
      </c>
      <c r="F158" s="13" t="n">
        <v>17453.59485831776</v>
      </c>
      <c r="G158" s="13" t="n">
        <v>18987.27502455483</v>
      </c>
      <c r="H158" s="13" t="n">
        <v>18901.87978597765</v>
      </c>
      <c r="I158" s="13" t="n">
        <v>20241.77618512413</v>
      </c>
      <c r="J158" s="13" t="n">
        <v>21878.81838440349</v>
      </c>
      <c r="K158" s="13" t="n">
        <v>24341.25953533108</v>
      </c>
    </row>
    <row r="159" ht="15.75" customHeight="1" s="57">
      <c r="A159" s="11" t="inlineStr">
        <is>
          <t>NTB</t>
        </is>
      </c>
      <c r="B159" s="11" t="n">
        <v>21046000</v>
      </c>
      <c r="C159" s="11" t="inlineStr">
        <is>
          <t>(KHO) Vạn Ninh</t>
        </is>
      </c>
      <c r="D159" s="11" t="inlineStr">
        <is>
          <t>thuong</t>
        </is>
      </c>
      <c r="E159" s="11" t="inlineStr">
        <is>
          <t>≥30kg</t>
        </is>
      </c>
      <c r="F159" s="13" t="n">
        <v>311.1823419547722</v>
      </c>
      <c r="G159" s="13" t="n">
        <v>378.0022402293786</v>
      </c>
      <c r="H159" s="13" t="n">
        <v>409.9009558818353</v>
      </c>
      <c r="I159" s="13" t="n">
        <v>473.8665244739498</v>
      </c>
      <c r="J159" s="13" t="n">
        <v>503.8293227682579</v>
      </c>
      <c r="K159" s="13" t="n">
        <v>538.5642825574313</v>
      </c>
    </row>
    <row r="160" ht="15.75" customHeight="1" s="57">
      <c r="A160" s="11" t="inlineStr">
        <is>
          <t>NTB</t>
        </is>
      </c>
      <c r="B160" s="11" t="n">
        <v>21065000</v>
      </c>
      <c r="C160" s="11" t="inlineStr">
        <is>
          <t>(BTH) Hàm Thuận Nam</t>
        </is>
      </c>
      <c r="D160" s="11" t="inlineStr">
        <is>
          <t>thuong</t>
        </is>
      </c>
      <c r="E160" s="11" t="inlineStr">
        <is>
          <t>10-15kg</t>
        </is>
      </c>
      <c r="F160" s="13" t="n">
        <v>484.9183439004351</v>
      </c>
      <c r="G160" s="13" t="n">
        <v>582.6635830830239</v>
      </c>
      <c r="H160" s="13" t="n">
        <v>625.6004795858755</v>
      </c>
      <c r="I160" s="13" t="n">
        <v>717.0542529954661</v>
      </c>
      <c r="J160" s="13" t="n">
        <v>762.8259216631953</v>
      </c>
      <c r="K160" s="13" t="n">
        <v>818.236145717804</v>
      </c>
    </row>
    <row r="161" ht="15.75" customHeight="1" s="57">
      <c r="A161" s="11" t="inlineStr">
        <is>
          <t>NTB</t>
        </is>
      </c>
      <c r="B161" s="11" t="n">
        <v>21065000</v>
      </c>
      <c r="C161" s="11" t="inlineStr">
        <is>
          <t>(BTH) Hàm Thuận Nam</t>
        </is>
      </c>
      <c r="D161" s="11" t="inlineStr">
        <is>
          <t>thuong</t>
        </is>
      </c>
      <c r="E161" s="11" t="inlineStr">
        <is>
          <t>15-30kg</t>
        </is>
      </c>
      <c r="F161" s="13" t="n">
        <v>500.7710343282422</v>
      </c>
      <c r="G161" s="13" t="n">
        <v>614.3199333885261</v>
      </c>
      <c r="H161" s="13" t="n">
        <v>668.6074532932663</v>
      </c>
      <c r="I161" s="13" t="n">
        <v>774.8640678771006</v>
      </c>
      <c r="J161" s="13" t="n">
        <v>821.2468674800048</v>
      </c>
      <c r="K161" s="13" t="n">
        <v>874.7935333240152</v>
      </c>
    </row>
    <row r="162" ht="15.75" customHeight="1" s="57">
      <c r="A162" s="11" t="inlineStr">
        <is>
          <t>NTB</t>
        </is>
      </c>
      <c r="B162" s="11" t="n">
        <v>21065000</v>
      </c>
      <c r="C162" s="11" t="inlineStr">
        <is>
          <t>(BTH) Hàm Thuận Nam</t>
        </is>
      </c>
      <c r="D162" s="11" t="inlineStr">
        <is>
          <t>thuong</t>
        </is>
      </c>
      <c r="E162" s="11" t="inlineStr">
        <is>
          <t>5-10kg</t>
        </is>
      </c>
      <c r="F162" s="13" t="n">
        <v>668.7818539506706</v>
      </c>
      <c r="G162" s="13" t="n">
        <v>716.439505409753</v>
      </c>
      <c r="H162" s="13" t="n">
        <v>711.7202523854226</v>
      </c>
      <c r="I162" s="13" t="n">
        <v>760.0910449963735</v>
      </c>
      <c r="J162" s="13" t="n">
        <v>804.9357439914537</v>
      </c>
      <c r="K162" s="13" t="n">
        <v>882.9490096209074</v>
      </c>
    </row>
    <row r="163" ht="15.75" customHeight="1" s="57">
      <c r="A163" s="11" t="inlineStr">
        <is>
          <t>NTB</t>
        </is>
      </c>
      <c r="B163" s="11" t="n">
        <v>21065000</v>
      </c>
      <c r="C163" s="11" t="inlineStr">
        <is>
          <t>(BTH) Hàm Thuận Nam</t>
        </is>
      </c>
      <c r="D163" s="11" t="inlineStr">
        <is>
          <t>thuong</t>
        </is>
      </c>
      <c r="E163" s="11" t="inlineStr">
        <is>
          <t>&lt;5kg</t>
        </is>
      </c>
      <c r="F163" s="13" t="n">
        <v>10872.7953019155</v>
      </c>
      <c r="G163" s="13" t="n">
        <v>11769.54635738665</v>
      </c>
      <c r="H163" s="13" t="n">
        <v>11678.28337993492</v>
      </c>
      <c r="I163" s="13" t="n">
        <v>12455.85752192746</v>
      </c>
      <c r="J163" s="13" t="n">
        <v>13331.95242087168</v>
      </c>
      <c r="K163" s="13" t="n">
        <v>14746.71093996471</v>
      </c>
    </row>
    <row r="164" ht="15.75" customHeight="1" s="57">
      <c r="A164" s="11" t="inlineStr">
        <is>
          <t>NTB</t>
        </is>
      </c>
      <c r="B164" s="11" t="n">
        <v>21065000</v>
      </c>
      <c r="C164" s="11" t="inlineStr">
        <is>
          <t>(BTH) Hàm Thuận Nam</t>
        </is>
      </c>
      <c r="D164" s="11" t="inlineStr">
        <is>
          <t>thuong</t>
        </is>
      </c>
      <c r="E164" s="11" t="inlineStr">
        <is>
          <t>≥30kg</t>
        </is>
      </c>
      <c r="F164" s="13" t="n">
        <v>200.6385224089639</v>
      </c>
      <c r="G164" s="13" t="n">
        <v>246.5377700615798</v>
      </c>
      <c r="H164" s="13" t="n">
        <v>268.9262518131171</v>
      </c>
      <c r="I164" s="13" t="n">
        <v>312.2564327127045</v>
      </c>
      <c r="J164" s="13" t="n">
        <v>330.659720115934</v>
      </c>
      <c r="K164" s="13" t="n">
        <v>351.7386622588352</v>
      </c>
    </row>
    <row r="165" ht="15.75" customHeight="1" s="57">
      <c r="A165" s="11" t="inlineStr">
        <is>
          <t>NTB</t>
        </is>
      </c>
      <c r="B165" s="11" t="n">
        <v>21067000</v>
      </c>
      <c r="C165" s="11" t="inlineStr">
        <is>
          <t>(BTH) Tân Hải</t>
        </is>
      </c>
      <c r="D165" s="11" t="inlineStr">
        <is>
          <t>thuong</t>
        </is>
      </c>
      <c r="E165" s="11" t="inlineStr">
        <is>
          <t>10-15kg</t>
        </is>
      </c>
      <c r="F165" s="13" t="n">
        <v>636.921648828968</v>
      </c>
      <c r="G165" s="13" t="n">
        <v>765.7522837280648</v>
      </c>
      <c r="H165" s="13" t="n">
        <v>822.4571708396011</v>
      </c>
      <c r="I165" s="13" t="n">
        <v>942.9370619831739</v>
      </c>
      <c r="J165" s="13" t="n">
        <v>1002.949150595073</v>
      </c>
      <c r="K165" s="13" t="n">
        <v>1075.546119111779</v>
      </c>
    </row>
    <row r="166" ht="15.75" customHeight="1" s="57">
      <c r="A166" s="11" t="inlineStr">
        <is>
          <t>NTB</t>
        </is>
      </c>
      <c r="B166" s="11" t="n">
        <v>21067000</v>
      </c>
      <c r="C166" s="11" t="inlineStr">
        <is>
          <t>(BTH) Tân Hải</t>
        </is>
      </c>
      <c r="D166" s="11" t="inlineStr">
        <is>
          <t>thuong</t>
        </is>
      </c>
      <c r="E166" s="11" t="inlineStr">
        <is>
          <t>15-30kg</t>
        </is>
      </c>
      <c r="F166" s="13" t="n">
        <v>260.8695154244114</v>
      </c>
      <c r="G166" s="13" t="n">
        <v>319.0840064555828</v>
      </c>
      <c r="H166" s="13" t="n">
        <v>346.7585493792358</v>
      </c>
      <c r="I166" s="13" t="n">
        <v>401.4191007118087</v>
      </c>
      <c r="J166" s="13" t="n">
        <v>425.9099118411472</v>
      </c>
      <c r="K166" s="13" t="n">
        <v>454.2636945963893</v>
      </c>
    </row>
    <row r="167" ht="15.75" customHeight="1" s="57">
      <c r="A167" s="11" t="inlineStr">
        <is>
          <t>NTB</t>
        </is>
      </c>
      <c r="B167" s="11" t="n">
        <v>21067000</v>
      </c>
      <c r="C167" s="11" t="inlineStr">
        <is>
          <t>(BTH) Tân Hải</t>
        </is>
      </c>
      <c r="D167" s="11" t="inlineStr">
        <is>
          <t>thuong</t>
        </is>
      </c>
      <c r="E167" s="11" t="inlineStr">
        <is>
          <t>5-10kg</t>
        </is>
      </c>
      <c r="F167" s="13" t="n">
        <v>888.3585696330916</v>
      </c>
      <c r="G167" s="13" t="n">
        <v>951.2934358550356</v>
      </c>
      <c r="H167" s="13" t="n">
        <v>944.759134895707</v>
      </c>
      <c r="I167" s="13" t="n">
        <v>1008.693473484404</v>
      </c>
      <c r="J167" s="13" t="n">
        <v>1068.247499447086</v>
      </c>
      <c r="K167" s="13" t="n">
        <v>1171.936036564225</v>
      </c>
    </row>
    <row r="168" ht="15.75" customHeight="1" s="57">
      <c r="A168" s="11" t="inlineStr">
        <is>
          <t>NTB</t>
        </is>
      </c>
      <c r="B168" s="11" t="n">
        <v>21067000</v>
      </c>
      <c r="C168" s="11" t="inlineStr">
        <is>
          <t>(BTH) Tân Hải</t>
        </is>
      </c>
      <c r="D168" s="11" t="inlineStr">
        <is>
          <t>thuong</t>
        </is>
      </c>
      <c r="E168" s="11" t="inlineStr">
        <is>
          <t>&lt;5kg</t>
        </is>
      </c>
      <c r="F168" s="13" t="n">
        <v>14824.71515085229</v>
      </c>
      <c r="G168" s="13" t="n">
        <v>16047.28245661273</v>
      </c>
      <c r="H168" s="13" t="n">
        <v>15922.75289655999</v>
      </c>
      <c r="I168" s="13" t="n">
        <v>16982.83726628372</v>
      </c>
      <c r="J168" s="13" t="n">
        <v>18177.36856156038</v>
      </c>
      <c r="K168" s="13" t="n">
        <v>20106.37778333669</v>
      </c>
    </row>
    <row r="169" ht="15.75" customHeight="1" s="57">
      <c r="A169" s="11" t="inlineStr">
        <is>
          <t>NTB</t>
        </is>
      </c>
      <c r="B169" s="11" t="n">
        <v>21067000</v>
      </c>
      <c r="C169" s="11" t="inlineStr">
        <is>
          <t>(BTH) Tân Hải</t>
        </is>
      </c>
      <c r="D169" s="11" t="inlineStr">
        <is>
          <t>thuong</t>
        </is>
      </c>
      <c r="E169" s="11" t="inlineStr">
        <is>
          <t>≥30kg</t>
        </is>
      </c>
      <c r="F169" s="13" t="n">
        <v>120.5469290705017</v>
      </c>
      <c r="G169" s="13" t="n">
        <v>146.8023719510091</v>
      </c>
      <c r="H169" s="13" t="n">
        <v>159.4435797990183</v>
      </c>
      <c r="I169" s="13" t="n">
        <v>184.5508827935085</v>
      </c>
      <c r="J169" s="13" t="n">
        <v>196.0225243036454</v>
      </c>
      <c r="K169" s="13" t="n">
        <v>209.2747150677145</v>
      </c>
    </row>
    <row r="170" ht="15.75" customHeight="1" s="57">
      <c r="A170" s="11" t="inlineStr">
        <is>
          <t>NTB</t>
        </is>
      </c>
      <c r="B170" s="11" t="n">
        <v>21126000</v>
      </c>
      <c r="C170" s="11" t="inlineStr">
        <is>
          <t>Bưu cục Ngô Thỳ Sỹ - Đà Lạt - Lâm Đồng</t>
        </is>
      </c>
      <c r="D170" s="11" t="inlineStr">
        <is>
          <t>thuong</t>
        </is>
      </c>
      <c r="E170" s="11" t="inlineStr">
        <is>
          <t>10-15kg</t>
        </is>
      </c>
      <c r="F170" s="13" t="n">
        <v>1573.355341750031</v>
      </c>
      <c r="G170" s="13" t="n">
        <v>1937.233744584466</v>
      </c>
      <c r="H170" s="13" t="n">
        <v>2110.304126324942</v>
      </c>
      <c r="I170" s="13" t="n">
        <v>2446.460689753628</v>
      </c>
      <c r="J170" s="13" t="n">
        <v>2585.178511114134</v>
      </c>
      <c r="K170" s="13" t="n">
        <v>2746.645089251948</v>
      </c>
    </row>
    <row r="171" ht="15.75" customHeight="1" s="57">
      <c r="A171" s="11" t="inlineStr">
        <is>
          <t>NTB</t>
        </is>
      </c>
      <c r="B171" s="11" t="n">
        <v>21126000</v>
      </c>
      <c r="C171" s="11" t="inlineStr">
        <is>
          <t>Bưu cục Ngô Thỳ Sỹ - Đà Lạt - Lâm Đồng</t>
        </is>
      </c>
      <c r="D171" s="11" t="inlineStr">
        <is>
          <t>thuong</t>
        </is>
      </c>
      <c r="E171" s="11" t="inlineStr">
        <is>
          <t>5-10kg</t>
        </is>
      </c>
      <c r="F171" s="13" t="n">
        <v>1703.394916729913</v>
      </c>
      <c r="G171" s="13" t="n">
        <v>1827.186179911142</v>
      </c>
      <c r="H171" s="13" t="n">
        <v>1818.14433124937</v>
      </c>
      <c r="I171" s="13" t="n">
        <v>1945.500801362976</v>
      </c>
      <c r="J171" s="13" t="n">
        <v>2066.499650264928</v>
      </c>
      <c r="K171" s="13" t="n">
        <v>2270.353598376072</v>
      </c>
    </row>
    <row r="172" ht="15.75" customHeight="1" s="57">
      <c r="A172" s="11" t="inlineStr">
        <is>
          <t>NTB</t>
        </is>
      </c>
      <c r="B172" s="11" t="n">
        <v>21126000</v>
      </c>
      <c r="C172" s="11" t="inlineStr">
        <is>
          <t>Bưu cục Ngô Thỳ Sỹ - Đà Lạt - Lâm Đồng</t>
        </is>
      </c>
      <c r="D172" s="11" t="inlineStr">
        <is>
          <t>thuong</t>
        </is>
      </c>
      <c r="E172" s="11" t="inlineStr">
        <is>
          <t>&lt;5kg</t>
        </is>
      </c>
      <c r="F172" s="13" t="n">
        <v>22498.91289069302</v>
      </c>
      <c r="G172" s="13" t="n">
        <v>24345.62566188104</v>
      </c>
      <c r="H172" s="13" t="n">
        <v>24248.45028543847</v>
      </c>
      <c r="I172" s="13" t="n">
        <v>25983.6549787885</v>
      </c>
      <c r="J172" s="13" t="n">
        <v>27958.42222452358</v>
      </c>
      <c r="K172" s="13" t="n">
        <v>30996.66312046611</v>
      </c>
    </row>
    <row r="173" ht="15.75" customHeight="1" s="57">
      <c r="A173" s="11" t="inlineStr">
        <is>
          <t>NTB</t>
        </is>
      </c>
      <c r="B173" s="11" t="n">
        <v>21150000</v>
      </c>
      <c r="C173" s="11" t="inlineStr">
        <is>
          <t>(DNO) Quảng Sơn</t>
        </is>
      </c>
      <c r="D173" s="11" t="inlineStr">
        <is>
          <t>thuong</t>
        </is>
      </c>
      <c r="E173" s="11" t="inlineStr">
        <is>
          <t>10-15kg</t>
        </is>
      </c>
      <c r="F173" s="13" t="n">
        <v>479.2192149081385</v>
      </c>
      <c r="G173" s="13" t="n">
        <v>564.5674338759997</v>
      </c>
      <c r="H173" s="13" t="n">
        <v>597.9431156928546</v>
      </c>
      <c r="I173" s="13" t="n">
        <v>677.9353117569021</v>
      </c>
      <c r="J173" s="13" t="n">
        <v>728.5019560490979</v>
      </c>
      <c r="K173" s="13" t="n">
        <v>790.7030242665319</v>
      </c>
    </row>
    <row r="174" ht="15.75" customHeight="1" s="57">
      <c r="A174" s="11" t="inlineStr">
        <is>
          <t>NTB</t>
        </is>
      </c>
      <c r="B174" s="11" t="n">
        <v>21150000</v>
      </c>
      <c r="C174" s="11" t="inlineStr">
        <is>
          <t>(DNO) Quảng Sơn</t>
        </is>
      </c>
      <c r="D174" s="11" t="inlineStr">
        <is>
          <t>thuong</t>
        </is>
      </c>
      <c r="E174" s="11" t="inlineStr">
        <is>
          <t>15-30kg</t>
        </is>
      </c>
      <c r="F174" s="13" t="n">
        <v>485.8898433102504</v>
      </c>
      <c r="G174" s="13" t="n">
        <v>580.4156564057215</v>
      </c>
      <c r="H174" s="13" t="n">
        <v>622.0054459323806</v>
      </c>
      <c r="I174" s="13" t="n">
        <v>712.3425754394525</v>
      </c>
      <c r="J174" s="13" t="n">
        <v>762.6911491319787</v>
      </c>
      <c r="K174" s="13" t="n">
        <v>822.5584372645646</v>
      </c>
    </row>
    <row r="175" ht="15.75" customHeight="1" s="57">
      <c r="A175" s="11" t="inlineStr">
        <is>
          <t>NTB</t>
        </is>
      </c>
      <c r="B175" s="11" t="n">
        <v>21150000</v>
      </c>
      <c r="C175" s="11" t="inlineStr">
        <is>
          <t>(DNO) Quảng Sơn</t>
        </is>
      </c>
      <c r="D175" s="11" t="inlineStr">
        <is>
          <t>thuong</t>
        </is>
      </c>
      <c r="E175" s="11" t="inlineStr">
        <is>
          <t>5-10kg</t>
        </is>
      </c>
      <c r="F175" s="13" t="n">
        <v>677.9721002002357</v>
      </c>
      <c r="G175" s="13" t="n">
        <v>736.8550432992123</v>
      </c>
      <c r="H175" s="13" t="n">
        <v>734.5497654744346</v>
      </c>
      <c r="I175" s="13" t="n">
        <v>787.88225018189</v>
      </c>
      <c r="J175" s="13" t="n">
        <v>851.7754379584774</v>
      </c>
      <c r="K175" s="13" t="n">
        <v>947.2711165300439</v>
      </c>
    </row>
    <row r="176" ht="15.75" customHeight="1" s="57">
      <c r="A176" s="11" t="inlineStr">
        <is>
          <t>NTB</t>
        </is>
      </c>
      <c r="B176" s="11" t="n">
        <v>21150000</v>
      </c>
      <c r="C176" s="11" t="inlineStr">
        <is>
          <t>(DNO) Quảng Sơn</t>
        </is>
      </c>
      <c r="D176" s="11" t="inlineStr">
        <is>
          <t>thuong</t>
        </is>
      </c>
      <c r="E176" s="11" t="inlineStr">
        <is>
          <t>&lt;5kg</t>
        </is>
      </c>
      <c r="F176" s="13" t="n">
        <v>10052.65192325847</v>
      </c>
      <c r="G176" s="13" t="n">
        <v>11054.01429630032</v>
      </c>
      <c r="H176" s="13" t="n">
        <v>10991.98255520542</v>
      </c>
      <c r="I176" s="13" t="n">
        <v>11754.53251800002</v>
      </c>
      <c r="J176" s="13" t="n">
        <v>12813.73975004218</v>
      </c>
      <c r="K176" s="13" t="n">
        <v>14349.88951547796</v>
      </c>
    </row>
    <row r="177" ht="15.75" customHeight="1" s="57">
      <c r="A177" s="11" t="inlineStr">
        <is>
          <t>NTB</t>
        </is>
      </c>
      <c r="B177" s="11" t="n">
        <v>21150000</v>
      </c>
      <c r="C177" s="11" t="inlineStr">
        <is>
          <t>(DNO) Quảng Sơn</t>
        </is>
      </c>
      <c r="D177" s="11" t="inlineStr">
        <is>
          <t>thuong</t>
        </is>
      </c>
      <c r="E177" s="11" t="inlineStr">
        <is>
          <t>≥30kg</t>
        </is>
      </c>
      <c r="F177" s="13" t="n">
        <v>212.1414806934196</v>
      </c>
      <c r="G177" s="13" t="n">
        <v>253.7927390594488</v>
      </c>
      <c r="H177" s="13" t="n">
        <v>273.1639806022984</v>
      </c>
      <c r="I177" s="13" t="n">
        <v>314.0569028075322</v>
      </c>
      <c r="J177" s="13" t="n">
        <v>335.7018321775942</v>
      </c>
      <c r="K177" s="13" t="n">
        <v>361.1049436777027</v>
      </c>
    </row>
    <row r="178" ht="15.75" customHeight="1" s="57">
      <c r="A178" s="11" t="inlineStr">
        <is>
          <t>NTB</t>
        </is>
      </c>
      <c r="B178" s="11" t="n">
        <v>21290000</v>
      </c>
      <c r="C178" s="11" t="inlineStr">
        <is>
          <t>Bưu cục DT707-Hàm Thuận Nam-Bình Thuận</t>
        </is>
      </c>
      <c r="D178" s="11" t="inlineStr">
        <is>
          <t>thuong</t>
        </is>
      </c>
      <c r="E178" s="11" t="inlineStr">
        <is>
          <t>10-15kg</t>
        </is>
      </c>
      <c r="F178" s="13" t="n">
        <v>1077.938259322175</v>
      </c>
      <c r="G178" s="13" t="n">
        <v>1306.632781541073</v>
      </c>
      <c r="H178" s="13" t="n">
        <v>1409.984008265847</v>
      </c>
      <c r="I178" s="13" t="n">
        <v>1622.462924250264</v>
      </c>
      <c r="J178" s="13" t="n">
        <v>1721.465548885976</v>
      </c>
      <c r="K178" s="13" t="n">
        <v>1839.974824954292</v>
      </c>
    </row>
    <row r="179" ht="15.75" customHeight="1" s="57">
      <c r="A179" s="11" t="inlineStr">
        <is>
          <t>NTB</t>
        </is>
      </c>
      <c r="B179" s="11" t="n">
        <v>21290000</v>
      </c>
      <c r="C179" s="11" t="inlineStr">
        <is>
          <t>Bưu cục DT707-Hàm Thuận Nam-Bình Thuận</t>
        </is>
      </c>
      <c r="D179" s="11" t="inlineStr">
        <is>
          <t>thuong</t>
        </is>
      </c>
      <c r="E179" s="11" t="inlineStr">
        <is>
          <t>15-30kg</t>
        </is>
      </c>
      <c r="F179" s="13" t="n">
        <v>1010.085007308571</v>
      </c>
      <c r="G179" s="13" t="n">
        <v>1245.875200560497</v>
      </c>
      <c r="H179" s="13" t="n">
        <v>1359.760322004224</v>
      </c>
      <c r="I179" s="13" t="n">
        <v>1579.120535509473</v>
      </c>
      <c r="J179" s="13" t="n">
        <v>1670.582078871632</v>
      </c>
      <c r="K179" s="13" t="n">
        <v>1775.515465035342</v>
      </c>
    </row>
    <row r="180" ht="15.75" customHeight="1" s="57">
      <c r="A180" s="11" t="inlineStr">
        <is>
          <t>NTB</t>
        </is>
      </c>
      <c r="B180" s="11" t="n">
        <v>21290000</v>
      </c>
      <c r="C180" s="11" t="inlineStr">
        <is>
          <t>Bưu cục DT707-Hàm Thuận Nam-Bình Thuận</t>
        </is>
      </c>
      <c r="D180" s="11" t="inlineStr">
        <is>
          <t>thuong</t>
        </is>
      </c>
      <c r="E180" s="11" t="inlineStr">
        <is>
          <t>5-10kg</t>
        </is>
      </c>
      <c r="F180" s="13" t="n">
        <v>1503.857406250791</v>
      </c>
      <c r="G180" s="13" t="n">
        <v>1610.712459095913</v>
      </c>
      <c r="H180" s="13" t="n">
        <v>1599.877621971801</v>
      </c>
      <c r="I180" s="13" t="n">
        <v>1708.380075760348</v>
      </c>
      <c r="J180" s="13" t="n">
        <v>1809.208235305384</v>
      </c>
      <c r="K180" s="13" t="n">
        <v>1984.684661092586</v>
      </c>
    </row>
    <row r="181" ht="15.75" customHeight="1" s="57">
      <c r="A181" s="11" t="inlineStr">
        <is>
          <t>NTB</t>
        </is>
      </c>
      <c r="B181" s="11" t="n">
        <v>21290000</v>
      </c>
      <c r="C181" s="11" t="inlineStr">
        <is>
          <t>Bưu cục DT707-Hàm Thuận Nam-Bình Thuận</t>
        </is>
      </c>
      <c r="D181" s="11" t="inlineStr">
        <is>
          <t>thuong</t>
        </is>
      </c>
      <c r="E181" s="11" t="inlineStr">
        <is>
          <t>&lt;5kg</t>
        </is>
      </c>
      <c r="F181" s="13" t="n">
        <v>26496.29889375686</v>
      </c>
      <c r="G181" s="13" t="n">
        <v>28681.47339613973</v>
      </c>
      <c r="H181" s="13" t="n">
        <v>28458.95678247725</v>
      </c>
      <c r="I181" s="13" t="n">
        <v>30353.71813417402</v>
      </c>
      <c r="J181" s="13" t="n">
        <v>32488.70882059797</v>
      </c>
      <c r="K181" s="13" t="n">
        <v>35936.42035288821</v>
      </c>
    </row>
    <row r="182" ht="15.75" customHeight="1" s="57">
      <c r="A182" s="11" t="inlineStr">
        <is>
          <t>NTB</t>
        </is>
      </c>
      <c r="B182" s="11" t="n">
        <v>21290000</v>
      </c>
      <c r="C182" s="11" t="inlineStr">
        <is>
          <t>Bưu cục DT707-Hàm Thuận Nam-Bình Thuận</t>
        </is>
      </c>
      <c r="D182" s="11" t="inlineStr">
        <is>
          <t>thuong</t>
        </is>
      </c>
      <c r="E182" s="11" t="inlineStr">
        <is>
          <t>≥30kg</t>
        </is>
      </c>
      <c r="F182" s="13" t="n">
        <v>381.7059427160625</v>
      </c>
      <c r="G182" s="13" t="n">
        <v>471.318041290726</v>
      </c>
      <c r="H182" s="13" t="n">
        <v>515.3154579707873</v>
      </c>
      <c r="I182" s="13" t="n">
        <v>599.3546454005337</v>
      </c>
      <c r="J182" s="13" t="n">
        <v>633.6473534531749</v>
      </c>
      <c r="K182" s="13" t="n">
        <v>672.7305506235184</v>
      </c>
    </row>
    <row r="183" ht="15.75" customHeight="1" s="57">
      <c r="A183" s="11" t="inlineStr">
        <is>
          <t>NTB</t>
        </is>
      </c>
      <c r="B183" s="11" t="n">
        <v>21294000</v>
      </c>
      <c r="C183" s="11" t="inlineStr">
        <is>
          <t>(LDO) Đinh Văn Lâm Hà</t>
        </is>
      </c>
      <c r="D183" s="11" t="inlineStr">
        <is>
          <t>thuong</t>
        </is>
      </c>
      <c r="E183" s="11" t="inlineStr">
        <is>
          <t>10-15kg</t>
        </is>
      </c>
      <c r="F183" s="13" t="n">
        <v>1322.338372102937</v>
      </c>
      <c r="G183" s="13" t="n">
        <v>1548.113694990237</v>
      </c>
      <c r="H183" s="13" t="n">
        <v>1639.530609734312</v>
      </c>
      <c r="I183" s="13" t="n">
        <v>1859.490673242956</v>
      </c>
      <c r="J183" s="13" t="n">
        <v>1996.786655623971</v>
      </c>
      <c r="K183" s="13" t="n">
        <v>2165.988165461541</v>
      </c>
    </row>
    <row r="184" ht="15.75" customHeight="1" s="57">
      <c r="A184" s="11" t="inlineStr">
        <is>
          <t>NTB</t>
        </is>
      </c>
      <c r="B184" s="11" t="n">
        <v>21294000</v>
      </c>
      <c r="C184" s="11" t="inlineStr">
        <is>
          <t>(LDO) Đinh Văn Lâm Hà</t>
        </is>
      </c>
      <c r="D184" s="11" t="inlineStr">
        <is>
          <t>thuong</t>
        </is>
      </c>
      <c r="E184" s="11" t="inlineStr">
        <is>
          <t>15-30kg</t>
        </is>
      </c>
      <c r="F184" s="13" t="n">
        <v>500.9751736896696</v>
      </c>
      <c r="G184" s="13" t="n">
        <v>596.2974359381556</v>
      </c>
      <c r="H184" s="13" t="n">
        <v>638.9567106140403</v>
      </c>
      <c r="I184" s="13" t="n">
        <v>731.91224902735</v>
      </c>
      <c r="J184" s="13" t="n">
        <v>784.1958529695459</v>
      </c>
      <c r="K184" s="13" t="n">
        <v>846.1923545567192</v>
      </c>
    </row>
    <row r="185" ht="15.75" customHeight="1" s="57">
      <c r="A185" s="11" t="inlineStr">
        <is>
          <t>NTB</t>
        </is>
      </c>
      <c r="B185" s="11" t="n">
        <v>21294000</v>
      </c>
      <c r="C185" s="11" t="inlineStr">
        <is>
          <t>(LDO) Đinh Văn Lâm Hà</t>
        </is>
      </c>
      <c r="D185" s="11" t="inlineStr">
        <is>
          <t>thuong</t>
        </is>
      </c>
      <c r="E185" s="11" t="inlineStr">
        <is>
          <t>5-10kg</t>
        </is>
      </c>
      <c r="F185" s="13" t="n">
        <v>1579.633887039201</v>
      </c>
      <c r="G185" s="13" t="n">
        <v>1693.370447074587</v>
      </c>
      <c r="H185" s="13" t="n">
        <v>1684.227722901708</v>
      </c>
      <c r="I185" s="13" t="n">
        <v>1801.426320506135</v>
      </c>
      <c r="J185" s="13" t="n">
        <v>1913.613045716582</v>
      </c>
      <c r="K185" s="13" t="n">
        <v>2102.84931903374</v>
      </c>
    </row>
    <row r="186" ht="15.75" customHeight="1" s="57">
      <c r="A186" s="11" t="inlineStr">
        <is>
          <t>NTB</t>
        </is>
      </c>
      <c r="B186" s="11" t="n">
        <v>21294000</v>
      </c>
      <c r="C186" s="11" t="inlineStr">
        <is>
          <t>(LDO) Đinh Văn Lâm Hà</t>
        </is>
      </c>
      <c r="D186" s="11" t="inlineStr">
        <is>
          <t>thuong</t>
        </is>
      </c>
      <c r="E186" s="11" t="inlineStr">
        <is>
          <t>&lt;5kg</t>
        </is>
      </c>
      <c r="F186" s="13" t="n">
        <v>18590.4892089712</v>
      </c>
      <c r="G186" s="13" t="n">
        <v>20114.53809256814</v>
      </c>
      <c r="H186" s="13" t="n">
        <v>20032.86109326488</v>
      </c>
      <c r="I186" s="13" t="n">
        <v>21464.99317805258</v>
      </c>
      <c r="J186" s="13" t="n">
        <v>23096.82921947076</v>
      </c>
      <c r="K186" s="13" t="n">
        <v>25607.77722528375</v>
      </c>
    </row>
    <row r="187" ht="15.75" customHeight="1" s="57">
      <c r="A187" s="11" t="inlineStr">
        <is>
          <t>NTB</t>
        </is>
      </c>
      <c r="B187" s="11" t="n">
        <v>21294000</v>
      </c>
      <c r="C187" s="11" t="inlineStr">
        <is>
          <t>(LDO) Đinh Văn Lâm Hà</t>
        </is>
      </c>
      <c r="D187" s="11" t="inlineStr">
        <is>
          <t>thuong</t>
        </is>
      </c>
      <c r="E187" s="11" t="inlineStr">
        <is>
          <t>≥30kg</t>
        </is>
      </c>
      <c r="F187" s="13" t="n">
        <v>179.8045508105467</v>
      </c>
      <c r="G187" s="13" t="n">
        <v>220.368473261778</v>
      </c>
      <c r="H187" s="13" t="n">
        <v>240.1798241068513</v>
      </c>
      <c r="I187" s="13" t="n">
        <v>278.7276498630445</v>
      </c>
      <c r="J187" s="13" t="n">
        <v>295.3660329769308</v>
      </c>
      <c r="K187" s="13" t="n">
        <v>314.4435172615306</v>
      </c>
    </row>
    <row r="188" ht="15.75" customHeight="1" s="57">
      <c r="A188" s="11" t="inlineStr">
        <is>
          <t>NTB</t>
        </is>
      </c>
      <c r="B188" s="11" t="n">
        <v>21298000</v>
      </c>
      <c r="C188" s="11" t="inlineStr">
        <is>
          <t>Bưu cục Thị Trấn Liên Hương-Tuy Phong-Bình Thuận</t>
        </is>
      </c>
      <c r="D188" s="11" t="inlineStr">
        <is>
          <t>thuong</t>
        </is>
      </c>
      <c r="E188" s="11" t="inlineStr">
        <is>
          <t>10-15kg</t>
        </is>
      </c>
      <c r="F188" s="13" t="n">
        <v>1119.456954332337</v>
      </c>
      <c r="G188" s="13" t="n">
        <v>1338.94838557265</v>
      </c>
      <c r="H188" s="13" t="n">
        <v>1433.804984785221</v>
      </c>
      <c r="I188" s="13" t="n">
        <v>1639.975476456338</v>
      </c>
      <c r="J188" s="13" t="n">
        <v>1747.122243044576</v>
      </c>
      <c r="K188" s="13" t="n">
        <v>1877.555498786066</v>
      </c>
    </row>
    <row r="189" ht="15.75" customHeight="1" s="57">
      <c r="A189" s="11" t="inlineStr">
        <is>
          <t>NTB</t>
        </is>
      </c>
      <c r="B189" s="11" t="n">
        <v>21298000</v>
      </c>
      <c r="C189" s="11" t="inlineStr">
        <is>
          <t>Bưu cục Thị Trấn Liên Hương-Tuy Phong-Bình Thuận</t>
        </is>
      </c>
      <c r="D189" s="11" t="inlineStr">
        <is>
          <t>thuong</t>
        </is>
      </c>
      <c r="E189" s="11" t="inlineStr">
        <is>
          <t>5-10kg</t>
        </is>
      </c>
      <c r="F189" s="13" t="n">
        <v>1399.38812624418</v>
      </c>
      <c r="G189" s="13" t="n">
        <v>1499.039950088377</v>
      </c>
      <c r="H189" s="13" t="n">
        <v>1489.115556364628</v>
      </c>
      <c r="I189" s="13" t="n">
        <v>1590.269338544422</v>
      </c>
      <c r="J189" s="13" t="n">
        <v>1684.101669866986</v>
      </c>
      <c r="K189" s="13" t="n">
        <v>1847.351533076797</v>
      </c>
    </row>
    <row r="190" ht="15.75" customHeight="1" s="57">
      <c r="A190" s="11" t="inlineStr">
        <is>
          <t>NTB</t>
        </is>
      </c>
      <c r="B190" s="11" t="n">
        <v>21298000</v>
      </c>
      <c r="C190" s="11" t="inlineStr">
        <is>
          <t>Bưu cục Thị Trấn Liên Hương-Tuy Phong-Bình Thuận</t>
        </is>
      </c>
      <c r="D190" s="11" t="inlineStr">
        <is>
          <t>thuong</t>
        </is>
      </c>
      <c r="E190" s="11" t="inlineStr">
        <is>
          <t>&lt;5kg</t>
        </is>
      </c>
      <c r="F190" s="13" t="n">
        <v>21258.82670449209</v>
      </c>
      <c r="G190" s="13" t="n">
        <v>23011.85469277725</v>
      </c>
      <c r="H190" s="13" t="n">
        <v>22833.16388663523</v>
      </c>
      <c r="I190" s="13" t="n">
        <v>24353.20250385105</v>
      </c>
      <c r="J190" s="13" t="n">
        <v>26066.17935851656</v>
      </c>
      <c r="K190" s="13" t="n">
        <v>28832.4389583571</v>
      </c>
    </row>
    <row r="191" ht="15.75" customHeight="1" s="57">
      <c r="A191" s="11" t="inlineStr">
        <is>
          <t>NTB</t>
        </is>
      </c>
      <c r="B191" s="11" t="n">
        <v>21320000</v>
      </c>
      <c r="C191" s="11" t="inlineStr">
        <is>
          <t>(BTH) Phú Thủy</t>
        </is>
      </c>
      <c r="D191" s="11" t="inlineStr">
        <is>
          <t>thuong</t>
        </is>
      </c>
      <c r="E191" s="11" t="inlineStr">
        <is>
          <t>10-15kg</t>
        </is>
      </c>
      <c r="F191" s="13" t="n">
        <v>1740.217937648411</v>
      </c>
      <c r="G191" s="13" t="n">
        <v>2135.508173942579</v>
      </c>
      <c r="H191" s="13" t="n">
        <v>2320.426434231825</v>
      </c>
      <c r="I191" s="13" t="n">
        <v>2684.44123032234</v>
      </c>
      <c r="J191" s="13" t="n">
        <v>2837.99797283959</v>
      </c>
      <c r="K191" s="13" t="n">
        <v>3018.659852747396</v>
      </c>
    </row>
    <row r="192" ht="15.75" customHeight="1" s="57">
      <c r="A192" s="11" t="inlineStr">
        <is>
          <t>NTB</t>
        </is>
      </c>
      <c r="B192" s="11" t="n">
        <v>21320000</v>
      </c>
      <c r="C192" s="11" t="inlineStr">
        <is>
          <t>(BTH) Phú Thủy</t>
        </is>
      </c>
      <c r="D192" s="11" t="inlineStr">
        <is>
          <t>thuong</t>
        </is>
      </c>
      <c r="E192" s="11" t="inlineStr">
        <is>
          <t>15-30kg</t>
        </is>
      </c>
      <c r="F192" s="13" t="n">
        <v>693.5584735159076</v>
      </c>
      <c r="G192" s="13" t="n">
        <v>871.9091002278474</v>
      </c>
      <c r="H192" s="13" t="n">
        <v>960.7701862773545</v>
      </c>
      <c r="I192" s="13" t="n">
        <v>1123.620697356009</v>
      </c>
      <c r="J192" s="13" t="n">
        <v>1181.146021073387</v>
      </c>
      <c r="K192" s="13" t="n">
        <v>1245.561214394931</v>
      </c>
    </row>
    <row r="193" ht="15.75" customHeight="1" s="57">
      <c r="A193" s="11" t="inlineStr">
        <is>
          <t>NTB</t>
        </is>
      </c>
      <c r="B193" s="11" t="n">
        <v>21320000</v>
      </c>
      <c r="C193" s="11" t="inlineStr">
        <is>
          <t>(BTH) Phú Thủy</t>
        </is>
      </c>
      <c r="D193" s="11" t="inlineStr">
        <is>
          <t>thuong</t>
        </is>
      </c>
      <c r="E193" s="11" t="inlineStr">
        <is>
          <t>5-10kg</t>
        </is>
      </c>
      <c r="F193" s="13" t="n">
        <v>2316.651864432793</v>
      </c>
      <c r="G193" s="13" t="n">
        <v>2483.258694858981</v>
      </c>
      <c r="H193" s="13" t="n">
        <v>2468.003635394496</v>
      </c>
      <c r="I193" s="13" t="n">
        <v>2636.866132328805</v>
      </c>
      <c r="J193" s="13" t="n">
        <v>2792.266150113669</v>
      </c>
      <c r="K193" s="13" t="n">
        <v>3062.249386632291</v>
      </c>
    </row>
    <row r="194" ht="15.75" customHeight="1" s="57">
      <c r="A194" s="11" t="inlineStr">
        <is>
          <t>NTB</t>
        </is>
      </c>
      <c r="B194" s="11" t="n">
        <v>21320000</v>
      </c>
      <c r="C194" s="11" t="inlineStr">
        <is>
          <t>(BTH) Phú Thủy</t>
        </is>
      </c>
      <c r="D194" s="11" t="inlineStr">
        <is>
          <t>thuong</t>
        </is>
      </c>
      <c r="E194" s="11" t="inlineStr">
        <is>
          <t>&lt;5kg</t>
        </is>
      </c>
      <c r="F194" s="13" t="n">
        <v>34016.23581147371</v>
      </c>
      <c r="G194" s="13" t="n">
        <v>36821.39193651409</v>
      </c>
      <c r="H194" s="13" t="n">
        <v>36535.57379144425</v>
      </c>
      <c r="I194" s="13" t="n">
        <v>38967.9116125959</v>
      </c>
      <c r="J194" s="13" t="n">
        <v>41708.84110936984</v>
      </c>
      <c r="K194" s="13" t="n">
        <v>46135.09800294875</v>
      </c>
    </row>
    <row r="195" ht="15.75" customHeight="1" s="57">
      <c r="A195" s="11" t="inlineStr">
        <is>
          <t>NTB</t>
        </is>
      </c>
      <c r="B195" s="11" t="n">
        <v>21320000</v>
      </c>
      <c r="C195" s="11" t="inlineStr">
        <is>
          <t>(BTH) Phú Thủy</t>
        </is>
      </c>
      <c r="D195" s="11" t="inlineStr">
        <is>
          <t>thuong</t>
        </is>
      </c>
      <c r="E195" s="11" t="inlineStr">
        <is>
          <t>≥30kg</t>
        </is>
      </c>
      <c r="F195" s="13" t="n">
        <v>306.8051921963213</v>
      </c>
      <c r="G195" s="13" t="n">
        <v>381.5609592820407</v>
      </c>
      <c r="H195" s="13" t="n">
        <v>418.5972052845478</v>
      </c>
      <c r="I195" s="13" t="n">
        <v>488.0574591845964</v>
      </c>
      <c r="J195" s="13" t="n">
        <v>514.7651562084295</v>
      </c>
      <c r="K195" s="13" t="n">
        <v>544.9662853429695</v>
      </c>
    </row>
    <row r="196" ht="15.75" customHeight="1" s="57">
      <c r="A196" s="11" t="inlineStr">
        <is>
          <t>NTB</t>
        </is>
      </c>
      <c r="B196" s="11" t="n">
        <v>21331000</v>
      </c>
      <c r="C196" s="11" t="inlineStr">
        <is>
          <t>Bưu Cục Thôn Dầu Sơn-Cam Lâm-Khánh Hoà</t>
        </is>
      </c>
      <c r="D196" s="11" t="inlineStr">
        <is>
          <t>thuong</t>
        </is>
      </c>
      <c r="E196" s="11" t="inlineStr">
        <is>
          <t>10-15kg</t>
        </is>
      </c>
      <c r="F196" s="13" t="n">
        <v>445.2033622535477</v>
      </c>
      <c r="G196" s="13" t="n">
        <v>532.4659488241318</v>
      </c>
      <c r="H196" s="13" t="n">
        <v>569.4448805968516</v>
      </c>
      <c r="I196" s="13" t="n">
        <v>650.5551845343864</v>
      </c>
      <c r="J196" s="13" t="n">
        <v>693.544059524633</v>
      </c>
      <c r="K196" s="13" t="n">
        <v>746.0357086860506</v>
      </c>
    </row>
    <row r="197" ht="15.75" customHeight="1" s="57">
      <c r="A197" s="11" t="inlineStr">
        <is>
          <t>NTB</t>
        </is>
      </c>
      <c r="B197" s="11" t="n">
        <v>21331000</v>
      </c>
      <c r="C197" s="11" t="inlineStr">
        <is>
          <t>Bưu Cục Thôn Dầu Sơn-Cam Lâm-Khánh Hoà</t>
        </is>
      </c>
      <c r="D197" s="11" t="inlineStr">
        <is>
          <t>thuong</t>
        </is>
      </c>
      <c r="E197" s="11" t="inlineStr">
        <is>
          <t>15-30kg</t>
        </is>
      </c>
      <c r="F197" s="13" t="n">
        <v>377.0098898676772</v>
      </c>
      <c r="G197" s="13" t="n">
        <v>458.6876212502951</v>
      </c>
      <c r="H197" s="13" t="n">
        <v>496.8640533376439</v>
      </c>
      <c r="I197" s="13" t="n">
        <v>573.7625025671626</v>
      </c>
      <c r="J197" s="13" t="n">
        <v>610.0325492235022</v>
      </c>
      <c r="K197" s="13" t="n">
        <v>652.314748475033</v>
      </c>
    </row>
    <row r="198" ht="15.75" customHeight="1" s="57">
      <c r="A198" s="11" t="inlineStr">
        <is>
          <t>NTB</t>
        </is>
      </c>
      <c r="B198" s="11" t="n">
        <v>21331000</v>
      </c>
      <c r="C198" s="11" t="inlineStr">
        <is>
          <t>Bưu Cục Thôn Dầu Sơn-Cam Lâm-Khánh Hoà</t>
        </is>
      </c>
      <c r="D198" s="11" t="inlineStr">
        <is>
          <t>thuong</t>
        </is>
      </c>
      <c r="E198" s="11" t="inlineStr">
        <is>
          <t>5-10kg</t>
        </is>
      </c>
      <c r="F198" s="13" t="n">
        <v>516.8446392959687</v>
      </c>
      <c r="G198" s="13" t="n">
        <v>554.6065133263165</v>
      </c>
      <c r="H198" s="13" t="n">
        <v>551.1960859268452</v>
      </c>
      <c r="I198" s="13" t="n">
        <v>588.9667121064607</v>
      </c>
      <c r="J198" s="13" t="n">
        <v>625.1014588834413</v>
      </c>
      <c r="K198" s="13" t="n">
        <v>686.6987432233298</v>
      </c>
    </row>
    <row r="199" ht="15.75" customHeight="1" s="57">
      <c r="A199" s="11" t="inlineStr">
        <is>
          <t>NTB</t>
        </is>
      </c>
      <c r="B199" s="11" t="n">
        <v>21331000</v>
      </c>
      <c r="C199" s="11" t="inlineStr">
        <is>
          <t>Bưu Cục Thôn Dầu Sơn-Cam Lâm-Khánh Hoà</t>
        </is>
      </c>
      <c r="D199" s="11" t="inlineStr">
        <is>
          <t>thuong</t>
        </is>
      </c>
      <c r="E199" s="11" t="inlineStr">
        <is>
          <t>&lt;5kg</t>
        </is>
      </c>
      <c r="F199" s="13" t="n">
        <v>10035.9410572212</v>
      </c>
      <c r="G199" s="13" t="n">
        <v>10917.66147776903</v>
      </c>
      <c r="H199" s="13" t="n">
        <v>10868.43829235699</v>
      </c>
      <c r="I199" s="13" t="n">
        <v>11638.74581959994</v>
      </c>
      <c r="J199" s="13" t="n">
        <v>12580.07178539291</v>
      </c>
      <c r="K199" s="13" t="n">
        <v>13996.04104528804</v>
      </c>
    </row>
    <row r="200" ht="15.75" customHeight="1" s="57">
      <c r="A200" s="11" t="inlineStr">
        <is>
          <t>NTB</t>
        </is>
      </c>
      <c r="B200" s="11" t="n">
        <v>21331000</v>
      </c>
      <c r="C200" s="11" t="inlineStr">
        <is>
          <t>Bưu Cục Thôn Dầu Sơn-Cam Lâm-Khánh Hoà</t>
        </is>
      </c>
      <c r="D200" s="11" t="inlineStr">
        <is>
          <t>thuong</t>
        </is>
      </c>
      <c r="E200" s="11" t="inlineStr">
        <is>
          <t>≥30kg</t>
        </is>
      </c>
      <c r="F200" s="13" t="n">
        <v>149.2680371620275</v>
      </c>
      <c r="G200" s="13" t="n">
        <v>180.5946016532127</v>
      </c>
      <c r="H200" s="13" t="n">
        <v>195.4458274595954</v>
      </c>
      <c r="I200" s="13" t="n">
        <v>225.6141617415232</v>
      </c>
      <c r="J200" s="13" t="n">
        <v>240.2161177358975</v>
      </c>
      <c r="K200" s="13" t="n">
        <v>257.2039227793206</v>
      </c>
    </row>
    <row r="201" ht="15.75" customHeight="1" s="57">
      <c r="A201" s="11" t="inlineStr">
        <is>
          <t>NTB</t>
        </is>
      </c>
      <c r="B201" s="11" t="n">
        <v>21364000</v>
      </c>
      <c r="C201" s="11" t="inlineStr">
        <is>
          <t>(DNO) Quảng Khê</t>
        </is>
      </c>
      <c r="D201" s="11" t="inlineStr">
        <is>
          <t>thuong</t>
        </is>
      </c>
      <c r="E201" s="11" t="inlineStr">
        <is>
          <t>10-15kg</t>
        </is>
      </c>
      <c r="F201" s="13" t="n">
        <v>310.184488365526</v>
      </c>
      <c r="G201" s="13" t="n">
        <v>366.1679815994096</v>
      </c>
      <c r="H201" s="13" t="n">
        <v>388.3025823708261</v>
      </c>
      <c r="I201" s="13" t="n">
        <v>440.694613385199</v>
      </c>
      <c r="J201" s="13" t="n">
        <v>473.2077359051219</v>
      </c>
      <c r="K201" s="13" t="n">
        <v>513.1237855372663</v>
      </c>
    </row>
    <row r="202" ht="15.75" customHeight="1" s="57">
      <c r="A202" s="11" t="inlineStr">
        <is>
          <t>NTB</t>
        </is>
      </c>
      <c r="B202" s="11" t="n">
        <v>21364000</v>
      </c>
      <c r="C202" s="11" t="inlineStr">
        <is>
          <t>(DNO) Quảng Khê</t>
        </is>
      </c>
      <c r="D202" s="11" t="inlineStr">
        <is>
          <t>thuong</t>
        </is>
      </c>
      <c r="E202" s="11" t="inlineStr">
        <is>
          <t>15-30kg</t>
        </is>
      </c>
      <c r="F202" s="13" t="n">
        <v>388.7873371689826</v>
      </c>
      <c r="G202" s="13" t="n">
        <v>456.9232676612878</v>
      </c>
      <c r="H202" s="13" t="n">
        <v>485.1759095278042</v>
      </c>
      <c r="I202" s="13" t="n">
        <v>551.6943674021613</v>
      </c>
      <c r="J202" s="13" t="n">
        <v>594.5304856878856</v>
      </c>
      <c r="K202" s="13" t="n">
        <v>646.1067327561607</v>
      </c>
    </row>
    <row r="203" ht="15.75" customHeight="1" s="57">
      <c r="A203" s="11" t="inlineStr">
        <is>
          <t>NTB</t>
        </is>
      </c>
      <c r="B203" s="11" t="n">
        <v>21364000</v>
      </c>
      <c r="C203" s="11" t="inlineStr">
        <is>
          <t>(DNO) Quảng Khê</t>
        </is>
      </c>
      <c r="D203" s="11" t="inlineStr">
        <is>
          <t>thuong</t>
        </is>
      </c>
      <c r="E203" s="11" t="inlineStr">
        <is>
          <t>5-10kg</t>
        </is>
      </c>
      <c r="F203" s="13" t="n">
        <v>508.0810605605525</v>
      </c>
      <c r="G203" s="13" t="n">
        <v>552.2913234067794</v>
      </c>
      <c r="H203" s="13" t="n">
        <v>550.6262439076423</v>
      </c>
      <c r="I203" s="13" t="n">
        <v>590.6682565860976</v>
      </c>
      <c r="J203" s="13" t="n">
        <v>638.5425374188114</v>
      </c>
      <c r="K203" s="13" t="n">
        <v>710.0830813105406</v>
      </c>
    </row>
    <row r="204" ht="15.75" customHeight="1" s="57">
      <c r="A204" s="11" t="inlineStr">
        <is>
          <t>NTB</t>
        </is>
      </c>
      <c r="B204" s="11" t="n">
        <v>21364000</v>
      </c>
      <c r="C204" s="11" t="inlineStr">
        <is>
          <t>(DNO) Quảng Khê</t>
        </is>
      </c>
      <c r="D204" s="11" t="inlineStr">
        <is>
          <t>thuong</t>
        </is>
      </c>
      <c r="E204" s="11" t="inlineStr">
        <is>
          <t>&lt;5kg</t>
        </is>
      </c>
      <c r="F204" s="13" t="n">
        <v>8419.0637852091</v>
      </c>
      <c r="G204" s="13" t="n">
        <v>9257.616530336032</v>
      </c>
      <c r="H204" s="13" t="n">
        <v>9205.594989165405</v>
      </c>
      <c r="I204" s="13" t="n">
        <v>9844.145373590005</v>
      </c>
      <c r="J204" s="13" t="n">
        <v>10731.24215706397</v>
      </c>
      <c r="K204" s="13" t="n">
        <v>12017.79595334981</v>
      </c>
    </row>
    <row r="205" ht="15.75" customHeight="1" s="57">
      <c r="A205" s="11" t="inlineStr">
        <is>
          <t>NTB</t>
        </is>
      </c>
      <c r="B205" s="11" t="n">
        <v>21364000</v>
      </c>
      <c r="C205" s="11" t="inlineStr">
        <is>
          <t>(DNO) Quảng Khê</t>
        </is>
      </c>
      <c r="D205" s="11" t="inlineStr">
        <is>
          <t>thuong</t>
        </is>
      </c>
      <c r="E205" s="11" t="inlineStr">
        <is>
          <t>≥30kg</t>
        </is>
      </c>
      <c r="F205" s="13" t="n">
        <v>104.6259530302809</v>
      </c>
      <c r="G205" s="13" t="n">
        <v>126.2883528410216</v>
      </c>
      <c r="H205" s="13" t="n">
        <v>136.5340746084488</v>
      </c>
      <c r="I205" s="13" t="n">
        <v>157.4934613220814</v>
      </c>
      <c r="J205" s="13" t="n">
        <v>167.8152364188942</v>
      </c>
      <c r="K205" s="13" t="n">
        <v>179.8420825911333</v>
      </c>
    </row>
    <row r="206" ht="15.75" customHeight="1" s="57">
      <c r="A206" s="11" t="inlineStr">
        <is>
          <t>NTB</t>
        </is>
      </c>
      <c r="B206" s="11" t="n">
        <v>21377000</v>
      </c>
      <c r="C206" s="11" t="inlineStr">
        <is>
          <t>(LDO) Đơn Dương</t>
        </is>
      </c>
      <c r="D206" s="11" t="inlineStr">
        <is>
          <t>thuong</t>
        </is>
      </c>
      <c r="E206" s="11" t="inlineStr">
        <is>
          <t>10-15kg</t>
        </is>
      </c>
      <c r="F206" s="13" t="n">
        <v>1496.941490798549</v>
      </c>
      <c r="G206" s="13" t="n">
        <v>1787.520118704211</v>
      </c>
      <c r="H206" s="13" t="n">
        <v>1914.630832993861</v>
      </c>
      <c r="I206" s="13" t="n">
        <v>2190.983703834266</v>
      </c>
      <c r="J206" s="13" t="n">
        <v>2337.355690432017</v>
      </c>
      <c r="K206" s="13" t="n">
        <v>2514.256859039239</v>
      </c>
    </row>
    <row r="207" ht="15.75" customHeight="1" s="57">
      <c r="A207" s="11" t="inlineStr">
        <is>
          <t>NTB</t>
        </is>
      </c>
      <c r="B207" s="11" t="n">
        <v>21377000</v>
      </c>
      <c r="C207" s="11" t="inlineStr">
        <is>
          <t>(LDO) Đơn Dương</t>
        </is>
      </c>
      <c r="D207" s="11" t="inlineStr">
        <is>
          <t>thuong</t>
        </is>
      </c>
      <c r="E207" s="11" t="inlineStr">
        <is>
          <t>15-30kg</t>
        </is>
      </c>
      <c r="F207" s="13" t="n">
        <v>1487.057131718984</v>
      </c>
      <c r="G207" s="13" t="n">
        <v>1828.981266417137</v>
      </c>
      <c r="H207" s="13" t="n">
        <v>1993.574297868771</v>
      </c>
      <c r="I207" s="13" t="n">
        <v>2312.999803517485</v>
      </c>
      <c r="J207" s="13" t="n">
        <v>2449.045668164489</v>
      </c>
      <c r="K207" s="13" t="n">
        <v>2605.583748728102</v>
      </c>
    </row>
    <row r="208" ht="15.75" customHeight="1" s="57">
      <c r="A208" s="11" t="inlineStr">
        <is>
          <t>NTB</t>
        </is>
      </c>
      <c r="B208" s="11" t="n">
        <v>21377000</v>
      </c>
      <c r="C208" s="11" t="inlineStr">
        <is>
          <t>(LDO) Đơn Dương</t>
        </is>
      </c>
      <c r="D208" s="11" t="inlineStr">
        <is>
          <t>thuong</t>
        </is>
      </c>
      <c r="E208" s="11" t="inlineStr">
        <is>
          <t>5-10kg</t>
        </is>
      </c>
      <c r="F208" s="13" t="n">
        <v>1660.440587860492</v>
      </c>
      <c r="G208" s="13" t="n">
        <v>1780.926197417381</v>
      </c>
      <c r="H208" s="13" t="n">
        <v>1771.980867301206</v>
      </c>
      <c r="I208" s="13" t="n">
        <v>1895.968824101158</v>
      </c>
      <c r="J208" s="13" t="n">
        <v>2013.91283317381</v>
      </c>
      <c r="K208" s="13" t="n">
        <v>2212.659781412804</v>
      </c>
    </row>
    <row r="209" ht="15.75" customHeight="1" s="57">
      <c r="A209" s="11" t="inlineStr">
        <is>
          <t>NTB</t>
        </is>
      </c>
      <c r="B209" s="11" t="n">
        <v>21377000</v>
      </c>
      <c r="C209" s="11" t="inlineStr">
        <is>
          <t>(LDO) Đơn Dương</t>
        </is>
      </c>
      <c r="D209" s="11" t="inlineStr">
        <is>
          <t>thuong</t>
        </is>
      </c>
      <c r="E209" s="11" t="inlineStr">
        <is>
          <t>&lt;5kg</t>
        </is>
      </c>
      <c r="F209" s="13" t="n">
        <v>24482.79875767056</v>
      </c>
      <c r="G209" s="13" t="n">
        <v>26489.99014996471</v>
      </c>
      <c r="H209" s="13" t="n">
        <v>26382.49286784422</v>
      </c>
      <c r="I209" s="13" t="n">
        <v>28268.62340143192</v>
      </c>
      <c r="J209" s="13" t="n">
        <v>30417.66887172593</v>
      </c>
      <c r="K209" s="13" t="n">
        <v>33724.44480969476</v>
      </c>
    </row>
    <row r="210" ht="15.75" customHeight="1" s="57">
      <c r="A210" s="11" t="inlineStr">
        <is>
          <t>NTB</t>
        </is>
      </c>
      <c r="B210" s="11" t="n">
        <v>21377000</v>
      </c>
      <c r="C210" s="11" t="inlineStr">
        <is>
          <t>(LDO) Đơn Dương</t>
        </is>
      </c>
      <c r="D210" s="11" t="inlineStr">
        <is>
          <t>thuong</t>
        </is>
      </c>
      <c r="E210" s="11" t="inlineStr">
        <is>
          <t>≥30kg</t>
        </is>
      </c>
      <c r="F210" s="13" t="n">
        <v>603.9229695317403</v>
      </c>
      <c r="G210" s="13" t="n">
        <v>741.4738567584401</v>
      </c>
      <c r="H210" s="13" t="n">
        <v>808.8036850409566</v>
      </c>
      <c r="I210" s="13" t="n">
        <v>939.1772456230451</v>
      </c>
      <c r="J210" s="13" t="n">
        <v>994.6563485785848</v>
      </c>
      <c r="K210" s="13" t="n">
        <v>1058.161243386419</v>
      </c>
    </row>
    <row r="211" ht="15.75" customHeight="1" s="57">
      <c r="A211" s="11" t="inlineStr">
        <is>
          <t>NTB</t>
        </is>
      </c>
      <c r="B211" s="11" t="n">
        <v>21396000</v>
      </c>
      <c r="C211" s="11" t="inlineStr">
        <is>
          <t>Bưu Cục Phú Tài-Phan Thiết-Bình Thuận</t>
        </is>
      </c>
      <c r="D211" s="11" t="inlineStr">
        <is>
          <t>thuong</t>
        </is>
      </c>
      <c r="E211" s="11" t="inlineStr">
        <is>
          <t>10-15kg</t>
        </is>
      </c>
      <c r="F211" s="13" t="n">
        <v>1591.404240675561</v>
      </c>
      <c r="G211" s="13" t="n">
        <v>1914.608437784467</v>
      </c>
      <c r="H211" s="13" t="n">
        <v>2057.197625543089</v>
      </c>
      <c r="I211" s="13" t="n">
        <v>2359.280877518755</v>
      </c>
      <c r="J211" s="13" t="n">
        <v>2508.911411627539</v>
      </c>
      <c r="K211" s="13" t="n">
        <v>2689.766162003918</v>
      </c>
    </row>
    <row r="212" ht="15.75" customHeight="1" s="57">
      <c r="A212" s="11" t="inlineStr">
        <is>
          <t>NTB</t>
        </is>
      </c>
      <c r="B212" s="11" t="n">
        <v>21396000</v>
      </c>
      <c r="C212" s="11" t="inlineStr">
        <is>
          <t>Bưu Cục Phú Tài-Phan Thiết-Bình Thuận</t>
        </is>
      </c>
      <c r="D212" s="11" t="inlineStr">
        <is>
          <t>thuong</t>
        </is>
      </c>
      <c r="E212" s="11" t="inlineStr">
        <is>
          <t>15-30kg</t>
        </is>
      </c>
      <c r="F212" s="13" t="n">
        <v>510.7239899906126</v>
      </c>
      <c r="G212" s="13" t="n">
        <v>625.8151088892346</v>
      </c>
      <c r="H212" s="13" t="n">
        <v>680.7150161530298</v>
      </c>
      <c r="I212" s="13" t="n">
        <v>788.5438356276937</v>
      </c>
      <c r="J212" s="13" t="n">
        <v>836.0261973535836</v>
      </c>
      <c r="K212" s="13" t="n">
        <v>890.9236880789381</v>
      </c>
    </row>
    <row r="213" ht="15.75" customHeight="1" s="57">
      <c r="A213" s="11" t="inlineStr">
        <is>
          <t>NTB</t>
        </is>
      </c>
      <c r="B213" s="11" t="n">
        <v>21396000</v>
      </c>
      <c r="C213" s="11" t="inlineStr">
        <is>
          <t>Bưu Cục Phú Tài-Phan Thiết-Bình Thuận</t>
        </is>
      </c>
      <c r="D213" s="11" t="inlineStr">
        <is>
          <t>thuong</t>
        </is>
      </c>
      <c r="E213" s="11" t="inlineStr">
        <is>
          <t>5-10kg</t>
        </is>
      </c>
      <c r="F213" s="13" t="n">
        <v>1825.25674887582</v>
      </c>
      <c r="G213" s="13" t="n">
        <v>1955.527551051329</v>
      </c>
      <c r="H213" s="13" t="n">
        <v>1942.792907047374</v>
      </c>
      <c r="I213" s="13" t="n">
        <v>2074.981489022918</v>
      </c>
      <c r="J213" s="13" t="n">
        <v>2197.380588258578</v>
      </c>
      <c r="K213" s="13" t="n">
        <v>2410.262671865721</v>
      </c>
    </row>
    <row r="214" ht="15.75" customHeight="1" s="57">
      <c r="A214" s="11" t="inlineStr">
        <is>
          <t>NTB</t>
        </is>
      </c>
      <c r="B214" s="11" t="n">
        <v>21396000</v>
      </c>
      <c r="C214" s="11" t="inlineStr">
        <is>
          <t>Bưu Cục Phú Tài-Phan Thiết-Bình Thuận</t>
        </is>
      </c>
      <c r="D214" s="11" t="inlineStr">
        <is>
          <t>thuong</t>
        </is>
      </c>
      <c r="E214" s="11" t="inlineStr">
        <is>
          <t>&lt;5kg</t>
        </is>
      </c>
      <c r="F214" s="13" t="n">
        <v>29499.14544383661</v>
      </c>
      <c r="G214" s="13" t="n">
        <v>31931.88979594817</v>
      </c>
      <c r="H214" s="13" t="n">
        <v>31684.0957357243</v>
      </c>
      <c r="I214" s="13" t="n">
        <v>33793.52107230252</v>
      </c>
      <c r="J214" s="13" t="n">
        <v>36170.47406330205</v>
      </c>
      <c r="K214" s="13" t="n">
        <v>40008.93642239461</v>
      </c>
    </row>
    <row r="215" ht="15.75" customHeight="1" s="57">
      <c r="A215" s="11" t="inlineStr">
        <is>
          <t>NTB</t>
        </is>
      </c>
      <c r="B215" s="11" t="n">
        <v>21396000</v>
      </c>
      <c r="C215" s="11" t="inlineStr">
        <is>
          <t>Bưu Cục Phú Tài-Phan Thiết-Bình Thuận</t>
        </is>
      </c>
      <c r="D215" s="11" t="inlineStr">
        <is>
          <t>thuong</t>
        </is>
      </c>
      <c r="E215" s="11" t="inlineStr">
        <is>
          <t>≥30kg</t>
        </is>
      </c>
      <c r="F215" s="13" t="n">
        <v>189.9002609334191</v>
      </c>
      <c r="G215" s="13" t="n">
        <v>231.7363599957545</v>
      </c>
      <c r="H215" s="13" t="n">
        <v>251.9417158124396</v>
      </c>
      <c r="I215" s="13" t="n">
        <v>291.8269171398855</v>
      </c>
      <c r="J215" s="13" t="n">
        <v>309.7493201769078</v>
      </c>
      <c r="K215" s="13" t="n">
        <v>330.4144516334466</v>
      </c>
    </row>
    <row r="216" ht="15.75" customHeight="1" s="57">
      <c r="A216" s="11" t="inlineStr">
        <is>
          <t>NTB</t>
        </is>
      </c>
      <c r="B216" s="11" t="n">
        <v>21403000</v>
      </c>
      <c r="C216" s="11" t="inlineStr">
        <is>
          <t>(BTH) Hàm Liêm</t>
        </is>
      </c>
      <c r="D216" s="11" t="inlineStr">
        <is>
          <t>thuong</t>
        </is>
      </c>
      <c r="E216" s="11" t="inlineStr">
        <is>
          <t>10-15kg</t>
        </is>
      </c>
      <c r="F216" s="13" t="n">
        <v>923.6792284409248</v>
      </c>
      <c r="G216" s="13" t="n">
        <v>1127.509904635684</v>
      </c>
      <c r="H216" s="13" t="n">
        <v>1221.517557277496</v>
      </c>
      <c r="I216" s="13" t="n">
        <v>1409.916723718376</v>
      </c>
      <c r="J216" s="13" t="n">
        <v>1492.860716809617</v>
      </c>
      <c r="K216" s="13" t="n">
        <v>1591.197649280993</v>
      </c>
    </row>
    <row r="217" ht="15.75" customHeight="1" s="57">
      <c r="A217" s="11" t="inlineStr">
        <is>
          <t>NTB</t>
        </is>
      </c>
      <c r="B217" s="11" t="n">
        <v>21403000</v>
      </c>
      <c r="C217" s="11" t="inlineStr">
        <is>
          <t>(BTH) Hàm Liêm</t>
        </is>
      </c>
      <c r="D217" s="11" t="inlineStr">
        <is>
          <t>thuong</t>
        </is>
      </c>
      <c r="E217" s="11" t="inlineStr">
        <is>
          <t>15-30kg</t>
        </is>
      </c>
      <c r="F217" s="13" t="n">
        <v>950.3852888746561</v>
      </c>
      <c r="G217" s="13" t="n">
        <v>1181.626732097944</v>
      </c>
      <c r="H217" s="13" t="n">
        <v>1294.860387573095</v>
      </c>
      <c r="I217" s="13" t="n">
        <v>1508.220062213372</v>
      </c>
      <c r="J217" s="13" t="n">
        <v>1591.171195099875</v>
      </c>
      <c r="K217" s="13" t="n">
        <v>1685.462506646662</v>
      </c>
    </row>
    <row r="218" ht="15.75" customHeight="1" s="57">
      <c r="A218" s="11" t="inlineStr">
        <is>
          <t>NTB</t>
        </is>
      </c>
      <c r="B218" s="11" t="n">
        <v>21403000</v>
      </c>
      <c r="C218" s="11" t="inlineStr">
        <is>
          <t>(BTH) Hàm Liêm</t>
        </is>
      </c>
      <c r="D218" s="11" t="inlineStr">
        <is>
          <t>thuong</t>
        </is>
      </c>
      <c r="E218" s="11" t="inlineStr">
        <is>
          <t>5-10kg</t>
        </is>
      </c>
      <c r="F218" s="13" t="n">
        <v>1258.086100436932</v>
      </c>
      <c r="G218" s="13" t="n">
        <v>1347.203908905083</v>
      </c>
      <c r="H218" s="13" t="n">
        <v>1337.942882624639</v>
      </c>
      <c r="I218" s="13" t="n">
        <v>1428.477550989318</v>
      </c>
      <c r="J218" s="13" t="n">
        <v>1512.817086718438</v>
      </c>
      <c r="K218" s="13" t="n">
        <v>1659.661613295902</v>
      </c>
    </row>
    <row r="219" ht="15.75" customHeight="1" s="57">
      <c r="A219" s="11" t="inlineStr">
        <is>
          <t>NTB</t>
        </is>
      </c>
      <c r="B219" s="11" t="n">
        <v>21403000</v>
      </c>
      <c r="C219" s="11" t="inlineStr">
        <is>
          <t>(BTH) Hàm Liêm</t>
        </is>
      </c>
      <c r="D219" s="11" t="inlineStr">
        <is>
          <t>thuong</t>
        </is>
      </c>
      <c r="E219" s="11" t="inlineStr">
        <is>
          <t>&lt;5kg</t>
        </is>
      </c>
      <c r="F219" s="13" t="n">
        <v>20597.64085498186</v>
      </c>
      <c r="G219" s="13" t="n">
        <v>22296.04305734613</v>
      </c>
      <c r="H219" s="13" t="n">
        <v>22122.83055141972</v>
      </c>
      <c r="I219" s="13" t="n">
        <v>23595.49893465961</v>
      </c>
      <c r="J219" s="13" t="n">
        <v>25255.20210560489</v>
      </c>
      <c r="K219" s="13" t="n">
        <v>27935.4515676695</v>
      </c>
    </row>
    <row r="220" ht="15.75" customHeight="1" s="57">
      <c r="A220" s="11" t="inlineStr">
        <is>
          <t>NTB</t>
        </is>
      </c>
      <c r="B220" s="11" t="n">
        <v>21403000</v>
      </c>
      <c r="C220" s="11" t="inlineStr">
        <is>
          <t>(BTH) Hàm Liêm</t>
        </is>
      </c>
      <c r="D220" s="11" t="inlineStr">
        <is>
          <t>thuong</t>
        </is>
      </c>
      <c r="E220" s="11" t="inlineStr">
        <is>
          <t>≥30kg</t>
        </is>
      </c>
      <c r="F220" s="13" t="n">
        <v>357.9735730125615</v>
      </c>
      <c r="G220" s="13" t="n">
        <v>444.2282005966164</v>
      </c>
      <c r="H220" s="13" t="n">
        <v>486.8474058933093</v>
      </c>
      <c r="I220" s="13" t="n">
        <v>567.2131844200026</v>
      </c>
      <c r="J220" s="13" t="n">
        <v>598.679087160984</v>
      </c>
      <c r="K220" s="13" t="n">
        <v>634.3478439864242</v>
      </c>
    </row>
    <row r="221" ht="15.75" customHeight="1" s="57">
      <c r="A221" s="11" t="inlineStr">
        <is>
          <t>NTB</t>
        </is>
      </c>
      <c r="B221" s="11" t="n">
        <v>21456000</v>
      </c>
      <c r="C221" s="11" t="inlineStr">
        <is>
          <t>(BTH) Đức Linh</t>
        </is>
      </c>
      <c r="D221" s="11" t="inlineStr">
        <is>
          <t>thuong</t>
        </is>
      </c>
      <c r="E221" s="11" t="inlineStr">
        <is>
          <t>10-15kg</t>
        </is>
      </c>
      <c r="F221" s="13" t="n">
        <v>1549.228505682873</v>
      </c>
      <c r="G221" s="13" t="n">
        <v>1853.036498877678</v>
      </c>
      <c r="H221" s="13" t="n">
        <v>1984.345196769759</v>
      </c>
      <c r="I221" s="13" t="n">
        <v>2269.708147218782</v>
      </c>
      <c r="J221" s="13" t="n">
        <v>2417.977339091155</v>
      </c>
      <c r="K221" s="13" t="n">
        <v>2598.464303705555</v>
      </c>
    </row>
    <row r="222" ht="15.75" customHeight="1" s="57">
      <c r="A222" s="11" t="inlineStr">
        <is>
          <t>NTB</t>
        </is>
      </c>
      <c r="B222" s="11" t="n">
        <v>21456000</v>
      </c>
      <c r="C222" s="11" t="inlineStr">
        <is>
          <t>(BTH) Đức Linh</t>
        </is>
      </c>
      <c r="D222" s="11" t="inlineStr">
        <is>
          <t>thuong</t>
        </is>
      </c>
      <c r="E222" s="11" t="inlineStr">
        <is>
          <t>15-30kg</t>
        </is>
      </c>
      <c r="F222" s="13" t="n">
        <v>1604.724201982471</v>
      </c>
      <c r="G222" s="13" t="n">
        <v>1963.25466789771</v>
      </c>
      <c r="H222" s="13" t="n">
        <v>2133.759686615711</v>
      </c>
      <c r="I222" s="13" t="n">
        <v>2470.292661932307</v>
      </c>
      <c r="J222" s="13" t="n">
        <v>2620.648966623227</v>
      </c>
      <c r="K222" s="13" t="n">
        <v>2794.7265764227</v>
      </c>
    </row>
    <row r="223" ht="15.75" customHeight="1" s="57">
      <c r="A223" s="11" t="inlineStr">
        <is>
          <t>NTB</t>
        </is>
      </c>
      <c r="B223" s="11" t="n">
        <v>21456000</v>
      </c>
      <c r="C223" s="11" t="inlineStr">
        <is>
          <t>(BTH) Đức Linh</t>
        </is>
      </c>
      <c r="D223" s="11" t="inlineStr">
        <is>
          <t>thuong</t>
        </is>
      </c>
      <c r="E223" s="11" t="inlineStr">
        <is>
          <t>5-10kg</t>
        </is>
      </c>
      <c r="F223" s="13" t="n">
        <v>2037.545523845949</v>
      </c>
      <c r="G223" s="13" t="n">
        <v>2183.827792704105</v>
      </c>
      <c r="H223" s="13" t="n">
        <v>2170.229656153715</v>
      </c>
      <c r="I223" s="13" t="n">
        <v>2318.531394402061</v>
      </c>
      <c r="J223" s="13" t="n">
        <v>2455.199377835677</v>
      </c>
      <c r="K223" s="13" t="n">
        <v>2692.697522415851</v>
      </c>
    </row>
    <row r="224" ht="15.75" customHeight="1" s="57">
      <c r="A224" s="11" t="inlineStr">
        <is>
          <t>NTB</t>
        </is>
      </c>
      <c r="B224" s="11" t="n">
        <v>21456000</v>
      </c>
      <c r="C224" s="11" t="inlineStr">
        <is>
          <t>(BTH) Đức Linh</t>
        </is>
      </c>
      <c r="D224" s="11" t="inlineStr">
        <is>
          <t>thuong</t>
        </is>
      </c>
      <c r="E224" s="11" t="inlineStr">
        <is>
          <t>&lt;5kg</t>
        </is>
      </c>
      <c r="F224" s="13" t="n">
        <v>30612.39243793692</v>
      </c>
      <c r="G224" s="13" t="n">
        <v>33136.9185079836</v>
      </c>
      <c r="H224" s="13" t="n">
        <v>32879.75333186938</v>
      </c>
      <c r="I224" s="13" t="n">
        <v>35068.76117585109</v>
      </c>
      <c r="J224" s="13" t="n">
        <v>37535.41698819271</v>
      </c>
      <c r="K224" s="13" t="n">
        <v>41518.74261960647</v>
      </c>
    </row>
    <row r="225" ht="15.75" customHeight="1" s="57">
      <c r="A225" s="11" t="inlineStr">
        <is>
          <t>NTB</t>
        </is>
      </c>
      <c r="B225" s="11" t="n">
        <v>21456000</v>
      </c>
      <c r="C225" s="11" t="inlineStr">
        <is>
          <t>(BTH) Đức Linh</t>
        </is>
      </c>
      <c r="D225" s="11" t="inlineStr">
        <is>
          <t>thuong</t>
        </is>
      </c>
      <c r="E225" s="11" t="inlineStr">
        <is>
          <t>≥30kg</t>
        </is>
      </c>
      <c r="F225" s="13" t="n">
        <v>591.8305770004332</v>
      </c>
      <c r="G225" s="13" t="n">
        <v>726.5831322610751</v>
      </c>
      <c r="H225" s="13" t="n">
        <v>792.2320702352951</v>
      </c>
      <c r="I225" s="13" t="n">
        <v>919.5974640419083</v>
      </c>
      <c r="J225" s="13" t="n">
        <v>974.0824928128791</v>
      </c>
      <c r="K225" s="13" t="n">
        <v>1036.543509703618</v>
      </c>
    </row>
    <row r="226" ht="15.75" customHeight="1" s="57">
      <c r="A226" s="11" t="inlineStr">
        <is>
          <t>NTB</t>
        </is>
      </c>
      <c r="B226" s="11" t="n">
        <v>21458000</v>
      </c>
      <c r="C226" s="11" t="inlineStr">
        <is>
          <t>(LDO) Nam Ban Lâm Hà</t>
        </is>
      </c>
      <c r="D226" s="11" t="inlineStr">
        <is>
          <t>thuong</t>
        </is>
      </c>
      <c r="E226" s="11" t="inlineStr">
        <is>
          <t>10-15kg</t>
        </is>
      </c>
      <c r="F226" s="13" t="n">
        <v>583.3056195226072</v>
      </c>
      <c r="G226" s="13" t="n">
        <v>702.4351208779269</v>
      </c>
      <c r="H226" s="13" t="n">
        <v>755.9496299722172</v>
      </c>
      <c r="I226" s="13" t="n">
        <v>868.2469527672985</v>
      </c>
      <c r="J226" s="13" t="n">
        <v>923.7562814459526</v>
      </c>
      <c r="K226" s="13" t="n">
        <v>990.219168867729</v>
      </c>
    </row>
    <row r="227" ht="15.75" customHeight="1" s="57">
      <c r="A227" s="11" t="inlineStr">
        <is>
          <t>NTB</t>
        </is>
      </c>
      <c r="B227" s="11" t="n">
        <v>21458000</v>
      </c>
      <c r="C227" s="11" t="inlineStr">
        <is>
          <t>(LDO) Nam Ban Lâm Hà</t>
        </is>
      </c>
      <c r="D227" s="11" t="inlineStr">
        <is>
          <t>thuong</t>
        </is>
      </c>
      <c r="E227" s="11" t="inlineStr">
        <is>
          <t>15-30kg</t>
        </is>
      </c>
      <c r="F227" s="13" t="n">
        <v>155.6802537524897</v>
      </c>
      <c r="G227" s="13" t="n">
        <v>190.7962766292989</v>
      </c>
      <c r="H227" s="13" t="n">
        <v>207.5897042641623</v>
      </c>
      <c r="I227" s="13" t="n">
        <v>240.528658376478</v>
      </c>
      <c r="J227" s="13" t="n">
        <v>254.9914786718318</v>
      </c>
      <c r="K227" s="13" t="n">
        <v>271.6958705561534</v>
      </c>
    </row>
    <row r="228" ht="15.75" customHeight="1" s="57">
      <c r="A228" s="11" t="inlineStr">
        <is>
          <t>NTB</t>
        </is>
      </c>
      <c r="B228" s="11" t="n">
        <v>21458000</v>
      </c>
      <c r="C228" s="11" t="inlineStr">
        <is>
          <t>(LDO) Nam Ban Lâm Hà</t>
        </is>
      </c>
      <c r="D228" s="11" t="inlineStr">
        <is>
          <t>thuong</t>
        </is>
      </c>
      <c r="E228" s="11" t="inlineStr">
        <is>
          <t>5-10kg</t>
        </is>
      </c>
      <c r="F228" s="13" t="n">
        <v>810.8662610452573</v>
      </c>
      <c r="G228" s="13" t="n">
        <v>870.6711015317693</v>
      </c>
      <c r="H228" s="13" t="n">
        <v>866.9932287296085</v>
      </c>
      <c r="I228" s="13" t="n">
        <v>928.3663967710725</v>
      </c>
      <c r="J228" s="13" t="n">
        <v>985.9826858164681</v>
      </c>
      <c r="K228" s="13" t="n">
        <v>1082.863311073135</v>
      </c>
    </row>
    <row r="229" ht="15.75" customHeight="1" s="57">
      <c r="A229" s="11" t="inlineStr">
        <is>
          <t>NTB</t>
        </is>
      </c>
      <c r="B229" s="11" t="n">
        <v>21458000</v>
      </c>
      <c r="C229" s="11" t="inlineStr">
        <is>
          <t>(LDO) Nam Ban Lâm Hà</t>
        </is>
      </c>
      <c r="D229" s="11" t="inlineStr">
        <is>
          <t>thuong</t>
        </is>
      </c>
      <c r="E229" s="11" t="inlineStr">
        <is>
          <t>&lt;5kg</t>
        </is>
      </c>
      <c r="F229" s="13" t="n">
        <v>11187.79751389413</v>
      </c>
      <c r="G229" s="13" t="n">
        <v>12105.04699991116</v>
      </c>
      <c r="H229" s="13" t="n">
        <v>12055.9482289528</v>
      </c>
      <c r="I229" s="13" t="n">
        <v>12917.87326857288</v>
      </c>
      <c r="J229" s="13" t="n">
        <v>13899.91115667797</v>
      </c>
      <c r="K229" s="13" t="n">
        <v>15410.98552169892</v>
      </c>
    </row>
    <row r="230" ht="15.75" customHeight="1" s="57">
      <c r="A230" s="11" t="inlineStr">
        <is>
          <t>NTB</t>
        </is>
      </c>
      <c r="B230" s="11" t="n">
        <v>21458000</v>
      </c>
      <c r="C230" s="11" t="inlineStr">
        <is>
          <t>(LDO) Nam Ban Lâm Hà</t>
        </is>
      </c>
      <c r="D230" s="11" t="inlineStr">
        <is>
          <t>thuong</t>
        </is>
      </c>
      <c r="E230" s="11" t="inlineStr">
        <is>
          <t>≥30kg</t>
        </is>
      </c>
      <c r="F230" s="13" t="n">
        <v>79.54516234740015</v>
      </c>
      <c r="G230" s="13" t="n">
        <v>96.60725494894191</v>
      </c>
      <c r="H230" s="13" t="n">
        <v>104.8387450182776</v>
      </c>
      <c r="I230" s="13" t="n">
        <v>121.2833603260947</v>
      </c>
      <c r="J230" s="13" t="n">
        <v>128.9184271357897</v>
      </c>
      <c r="K230" s="13" t="n">
        <v>137.7452416606332</v>
      </c>
    </row>
    <row r="231" ht="15.75" customHeight="1" s="57">
      <c r="A231" s="11" t="inlineStr">
        <is>
          <t>NTB</t>
        </is>
      </c>
      <c r="B231" s="11" t="n">
        <v>21468000</v>
      </c>
      <c r="C231" s="11" t="inlineStr">
        <is>
          <t>(LDO) 3 Bảo Lộc</t>
        </is>
      </c>
      <c r="D231" s="11" t="inlineStr">
        <is>
          <t>thuong</t>
        </is>
      </c>
      <c r="E231" s="11" t="inlineStr">
        <is>
          <t>10-15kg</t>
        </is>
      </c>
      <c r="F231" s="13" t="n">
        <v>1222.344504821062</v>
      </c>
      <c r="G231" s="13" t="n">
        <v>1481.836243902677</v>
      </c>
      <c r="H231" s="13" t="n">
        <v>1600.628358924763</v>
      </c>
      <c r="I231" s="13" t="n">
        <v>1843.651522447801</v>
      </c>
      <c r="J231" s="13" t="n">
        <v>1957.425583329175</v>
      </c>
      <c r="K231" s="13" t="n">
        <v>2092.57997454526</v>
      </c>
    </row>
    <row r="232" ht="15.75" customHeight="1" s="57">
      <c r="A232" s="11" t="inlineStr">
        <is>
          <t>NTB</t>
        </is>
      </c>
      <c r="B232" s="11" t="n">
        <v>21468000</v>
      </c>
      <c r="C232" s="11" t="inlineStr">
        <is>
          <t>(LDO) 3 Bảo Lộc</t>
        </is>
      </c>
      <c r="D232" s="11" t="inlineStr">
        <is>
          <t>thuong</t>
        </is>
      </c>
      <c r="E232" s="11" t="inlineStr">
        <is>
          <t>15-30kg</t>
        </is>
      </c>
      <c r="F232" s="13" t="n">
        <v>30.71506096452683</v>
      </c>
      <c r="G232" s="13" t="n">
        <v>37.81857872527137</v>
      </c>
      <c r="H232" s="13" t="n">
        <v>41.24502836403996</v>
      </c>
      <c r="I232" s="13" t="n">
        <v>47.8738602704704</v>
      </c>
      <c r="J232" s="13" t="n">
        <v>50.67528841539283</v>
      </c>
      <c r="K232" s="13" t="n">
        <v>53.89357517831723</v>
      </c>
    </row>
    <row r="233" ht="15.75" customHeight="1" s="57">
      <c r="A233" s="11" t="inlineStr">
        <is>
          <t>NTB</t>
        </is>
      </c>
      <c r="B233" s="11" t="n">
        <v>21468000</v>
      </c>
      <c r="C233" s="11" t="inlineStr">
        <is>
          <t>(LDO) 3 Bảo Lộc</t>
        </is>
      </c>
      <c r="D233" s="11" t="inlineStr">
        <is>
          <t>thuong</t>
        </is>
      </c>
      <c r="E233" s="11" t="inlineStr">
        <is>
          <t>5-10kg</t>
        </is>
      </c>
      <c r="F233" s="13" t="n">
        <v>1483.201835517565</v>
      </c>
      <c r="G233" s="13" t="n">
        <v>1591.205597393158</v>
      </c>
      <c r="H233" s="13" t="n">
        <v>1583.485934604986</v>
      </c>
      <c r="I233" s="13" t="n">
        <v>1694.562494675363</v>
      </c>
      <c r="J233" s="13" t="n">
        <v>1799.92438982481</v>
      </c>
      <c r="K233" s="13" t="n">
        <v>1977.387560846809</v>
      </c>
    </row>
    <row r="234" ht="15.75" customHeight="1" s="57">
      <c r="A234" s="11" t="inlineStr">
        <is>
          <t>NTB</t>
        </is>
      </c>
      <c r="B234" s="11" t="n">
        <v>21468000</v>
      </c>
      <c r="C234" s="11" t="inlineStr">
        <is>
          <t>(LDO) 3 Bảo Lộc</t>
        </is>
      </c>
      <c r="D234" s="11" t="inlineStr">
        <is>
          <t>thuong</t>
        </is>
      </c>
      <c r="E234" s="11" t="inlineStr">
        <is>
          <t>&lt;5kg</t>
        </is>
      </c>
      <c r="F234" s="13" t="n">
        <v>21426.94605230455</v>
      </c>
      <c r="G234" s="13" t="n">
        <v>23183.328137332</v>
      </c>
      <c r="H234" s="13" t="n">
        <v>23089.0408447491</v>
      </c>
      <c r="I234" s="13" t="n">
        <v>24739.50552739557</v>
      </c>
      <c r="J234" s="13" t="n">
        <v>26620.33271905529</v>
      </c>
      <c r="K234" s="13" t="n">
        <v>29514.44386343862</v>
      </c>
    </row>
    <row r="235" ht="15.75" customHeight="1" s="57">
      <c r="A235" s="11" t="inlineStr">
        <is>
          <t>NTB</t>
        </is>
      </c>
      <c r="B235" s="11" t="n">
        <v>21468000</v>
      </c>
      <c r="C235" s="11" t="inlineStr">
        <is>
          <t>(LDO) 3 Bảo Lộc</t>
        </is>
      </c>
      <c r="D235" s="11" t="inlineStr">
        <is>
          <t>thuong</t>
        </is>
      </c>
      <c r="E235" s="11" t="inlineStr">
        <is>
          <t>≥30kg</t>
        </is>
      </c>
      <c r="F235" s="13" t="n">
        <v>16.67947549558458</v>
      </c>
      <c r="G235" s="13" t="n">
        <v>20.40583851018465</v>
      </c>
      <c r="H235" s="13" t="n">
        <v>22.22158602261206</v>
      </c>
      <c r="I235" s="13" t="n">
        <v>25.77227606072373</v>
      </c>
      <c r="J235" s="13" t="n">
        <v>27.32706959968964</v>
      </c>
      <c r="K235" s="13" t="n">
        <v>29.11278545316115</v>
      </c>
    </row>
    <row r="236" ht="15.75" customHeight="1" s="57">
      <c r="A236" s="11" t="inlineStr">
        <is>
          <t>NTB</t>
        </is>
      </c>
      <c r="B236" s="11" t="n">
        <v>21477000</v>
      </c>
      <c r="C236" s="11" t="inlineStr">
        <is>
          <t>(DNO) Đức An</t>
        </is>
      </c>
      <c r="D236" s="11" t="inlineStr">
        <is>
          <t>thuong</t>
        </is>
      </c>
      <c r="E236" s="11" t="inlineStr">
        <is>
          <t>10-15kg</t>
        </is>
      </c>
      <c r="F236" s="13" t="n">
        <v>569.4890151926135</v>
      </c>
      <c r="G236" s="13" t="n">
        <v>676.0884285639522</v>
      </c>
      <c r="H236" s="13" t="n">
        <v>719.466938347183</v>
      </c>
      <c r="I236" s="13" t="n">
        <v>818.8298450648932</v>
      </c>
      <c r="J236" s="13" t="n">
        <v>877.4033014777657</v>
      </c>
      <c r="K236" s="13" t="n">
        <v>948.9100026568109</v>
      </c>
    </row>
    <row r="237" ht="15.75" customHeight="1" s="57">
      <c r="A237" s="11" t="inlineStr">
        <is>
          <t>NTB</t>
        </is>
      </c>
      <c r="B237" s="11" t="n">
        <v>21477000</v>
      </c>
      <c r="C237" s="11" t="inlineStr">
        <is>
          <t>(DNO) Đức An</t>
        </is>
      </c>
      <c r="D237" s="11" t="inlineStr">
        <is>
          <t>thuong</t>
        </is>
      </c>
      <c r="E237" s="11" t="inlineStr">
        <is>
          <t>15-30kg</t>
        </is>
      </c>
      <c r="F237" s="13" t="n">
        <v>513.8681495111665</v>
      </c>
      <c r="G237" s="13" t="n">
        <v>622.4490339457095</v>
      </c>
      <c r="H237" s="13" t="n">
        <v>672.2084381374216</v>
      </c>
      <c r="I237" s="13" t="n">
        <v>774.3806335792432</v>
      </c>
      <c r="J237" s="13" t="n">
        <v>824.801364737221</v>
      </c>
      <c r="K237" s="13" t="n">
        <v>883.9872516830914</v>
      </c>
    </row>
    <row r="238" ht="15.75" customHeight="1" s="57">
      <c r="A238" s="11" t="inlineStr">
        <is>
          <t>NTB</t>
        </is>
      </c>
      <c r="B238" s="11" t="n">
        <v>21477000</v>
      </c>
      <c r="C238" s="11" t="inlineStr">
        <is>
          <t>(DNO) Đức An</t>
        </is>
      </c>
      <c r="D238" s="11" t="inlineStr">
        <is>
          <t>thuong</t>
        </is>
      </c>
      <c r="E238" s="11" t="inlineStr">
        <is>
          <t>5-10kg</t>
        </is>
      </c>
      <c r="F238" s="13" t="n">
        <v>901.4109454014471</v>
      </c>
      <c r="G238" s="13" t="n">
        <v>979.7011446445725</v>
      </c>
      <c r="H238" s="13" t="n">
        <v>976.6370570016638</v>
      </c>
      <c r="I238" s="13" t="n">
        <v>1047.54740656764</v>
      </c>
      <c r="J238" s="13" t="n">
        <v>1132.497710998023</v>
      </c>
      <c r="K238" s="13" t="n">
        <v>1259.465463409148</v>
      </c>
    </row>
    <row r="239" ht="15.75" customHeight="1" s="57">
      <c r="A239" s="11" t="inlineStr">
        <is>
          <t>NTB</t>
        </is>
      </c>
      <c r="B239" s="11" t="n">
        <v>21477000</v>
      </c>
      <c r="C239" s="11" t="inlineStr">
        <is>
          <t>(DNO) Đức An</t>
        </is>
      </c>
      <c r="D239" s="11" t="inlineStr">
        <is>
          <t>thuong</t>
        </is>
      </c>
      <c r="E239" s="11" t="inlineStr">
        <is>
          <t>&lt;5kg</t>
        </is>
      </c>
      <c r="F239" s="13" t="n">
        <v>13843.33942154734</v>
      </c>
      <c r="G239" s="13" t="n">
        <v>15222.26056937754</v>
      </c>
      <c r="H239" s="13" t="n">
        <v>15136.80610447531</v>
      </c>
      <c r="I239" s="13" t="n">
        <v>16186.86368343958</v>
      </c>
      <c r="J239" s="13" t="n">
        <v>17645.48666676691</v>
      </c>
      <c r="K239" s="13" t="n">
        <v>19760.90789466919</v>
      </c>
    </row>
    <row r="240" ht="15.75" customHeight="1" s="57">
      <c r="A240" s="11" t="inlineStr">
        <is>
          <t>NTB</t>
        </is>
      </c>
      <c r="B240" s="11" t="n">
        <v>21477000</v>
      </c>
      <c r="C240" s="11" t="inlineStr">
        <is>
          <t>(DNO) Đức An</t>
        </is>
      </c>
      <c r="D240" s="11" t="inlineStr">
        <is>
          <t>thuong</t>
        </is>
      </c>
      <c r="E240" s="11" t="inlineStr">
        <is>
          <t>≥30kg</t>
        </is>
      </c>
      <c r="F240" s="13" t="n">
        <v>199.9614190403651</v>
      </c>
      <c r="G240" s="13" t="n">
        <v>243.8348520228453</v>
      </c>
      <c r="H240" s="13" t="n">
        <v>264.9434352909821</v>
      </c>
      <c r="I240" s="13" t="n">
        <v>306.7473223321003</v>
      </c>
      <c r="J240" s="13" t="n">
        <v>325.6948380690129</v>
      </c>
      <c r="K240" s="13" t="n">
        <v>347.5735974280977</v>
      </c>
    </row>
    <row r="241" ht="15.75" customHeight="1" s="57">
      <c r="A241" s="11" t="inlineStr">
        <is>
          <t>NTB</t>
        </is>
      </c>
      <c r="B241" s="11" t="n">
        <v>21479000</v>
      </c>
      <c r="C241" s="11" t="inlineStr">
        <is>
          <t>(KHO) Bắc Cam Ranh</t>
        </is>
      </c>
      <c r="D241" s="11" t="inlineStr">
        <is>
          <t>thuong</t>
        </is>
      </c>
      <c r="E241" s="11" t="inlineStr">
        <is>
          <t>10-15kg</t>
        </is>
      </c>
      <c r="F241" s="13" t="n">
        <v>757.5538705513731</v>
      </c>
      <c r="G241" s="13" t="n">
        <v>914.9833298939325</v>
      </c>
      <c r="H241" s="13" t="n">
        <v>984.2716970134561</v>
      </c>
      <c r="I241" s="13" t="n">
        <v>1129.686799789181</v>
      </c>
      <c r="J241" s="13" t="n">
        <v>1200.598718026054</v>
      </c>
      <c r="K241" s="13" t="n">
        <v>1286.120916140015</v>
      </c>
    </row>
    <row r="242" ht="15.75" customHeight="1" s="57">
      <c r="A242" s="11" t="inlineStr">
        <is>
          <t>NTB</t>
        </is>
      </c>
      <c r="B242" s="11" t="n">
        <v>21479000</v>
      </c>
      <c r="C242" s="11" t="inlineStr">
        <is>
          <t>(KHO) Bắc Cam Ranh</t>
        </is>
      </c>
      <c r="D242" s="11" t="inlineStr">
        <is>
          <t>thuong</t>
        </is>
      </c>
      <c r="E242" s="11" t="inlineStr">
        <is>
          <t>5-10kg</t>
        </is>
      </c>
      <c r="F242" s="13" t="n">
        <v>674.3909921813814</v>
      </c>
      <c r="G242" s="13" t="n">
        <v>723.8431478295523</v>
      </c>
      <c r="H242" s="13" t="n">
        <v>719.5228059263765</v>
      </c>
      <c r="I242" s="13" t="n">
        <v>768.9617295834711</v>
      </c>
      <c r="J242" s="13" t="n">
        <v>816.1157016894736</v>
      </c>
      <c r="K242" s="13" t="n">
        <v>896.4568939977347</v>
      </c>
    </row>
    <row r="243" ht="15.75" customHeight="1" s="57">
      <c r="A243" s="11" t="inlineStr">
        <is>
          <t>NTB</t>
        </is>
      </c>
      <c r="B243" s="11" t="n">
        <v>21479000</v>
      </c>
      <c r="C243" s="11" t="inlineStr">
        <is>
          <t>(KHO) Bắc Cam Ranh</t>
        </is>
      </c>
      <c r="D243" s="11" t="inlineStr">
        <is>
          <t>thuong</t>
        </is>
      </c>
      <c r="E243" s="11" t="inlineStr">
        <is>
          <t>&lt;5kg</t>
        </is>
      </c>
      <c r="F243" s="13" t="n">
        <v>10928.68984023805</v>
      </c>
      <c r="G243" s="13" t="n">
        <v>11889.47250162805</v>
      </c>
      <c r="H243" s="13" t="n">
        <v>11836.35374428434</v>
      </c>
      <c r="I243" s="13" t="n">
        <v>12675.75594759486</v>
      </c>
      <c r="J243" s="13" t="n">
        <v>13700.75721341698</v>
      </c>
      <c r="K243" s="13" t="n">
        <v>15242.4911174424</v>
      </c>
    </row>
    <row r="244" ht="15.75" customHeight="1" s="57">
      <c r="A244" s="11" t="inlineStr">
        <is>
          <t>NTB</t>
        </is>
      </c>
      <c r="B244" s="11" t="n">
        <v>21516000</v>
      </c>
      <c r="C244" s="11" t="inlineStr">
        <is>
          <t>Bưu Cục 468 Quốc Lộ 20-Liên Nghĩa-Đức Trọng-Lâm Đồng</t>
        </is>
      </c>
      <c r="D244" s="11" t="inlineStr">
        <is>
          <t>thuong</t>
        </is>
      </c>
      <c r="E244" s="11" t="inlineStr">
        <is>
          <t>10-15kg</t>
        </is>
      </c>
      <c r="F244" s="13" t="n">
        <v>1423.755464057712</v>
      </c>
      <c r="G244" s="13" t="n">
        <v>1701.598434713436</v>
      </c>
      <c r="H244" s="13" t="n">
        <v>1823.487628405312</v>
      </c>
      <c r="I244" s="13" t="n">
        <v>2087.479093571759</v>
      </c>
      <c r="J244" s="13" t="n">
        <v>2226.314377152442</v>
      </c>
      <c r="K244" s="13" t="n">
        <v>2393.951323638971</v>
      </c>
    </row>
    <row r="245" ht="15.75" customHeight="1" s="57">
      <c r="A245" s="11" t="inlineStr">
        <is>
          <t>NTB</t>
        </is>
      </c>
      <c r="B245" s="11" t="n">
        <v>21516000</v>
      </c>
      <c r="C245" s="11" t="inlineStr">
        <is>
          <t>Bưu Cục 468 Quốc Lộ 20-Liên Nghĩa-Đức Trọng-Lâm Đồng</t>
        </is>
      </c>
      <c r="D245" s="11" t="inlineStr">
        <is>
          <t>thuong</t>
        </is>
      </c>
      <c r="E245" s="11" t="inlineStr">
        <is>
          <t>5-10kg</t>
        </is>
      </c>
      <c r="F245" s="13" t="n">
        <v>1425.897425665357</v>
      </c>
      <c r="G245" s="13" t="n">
        <v>1529.825061614978</v>
      </c>
      <c r="H245" s="13" t="n">
        <v>1522.472722673358</v>
      </c>
      <c r="I245" s="13" t="n">
        <v>1629.340231523734</v>
      </c>
      <c r="J245" s="13" t="n">
        <v>1730.633309450246</v>
      </c>
      <c r="K245" s="13" t="n">
        <v>1901.222451718894</v>
      </c>
    </row>
    <row r="246" ht="15.75" customHeight="1" s="57">
      <c r="A246" s="11" t="inlineStr">
        <is>
          <t>NTB</t>
        </is>
      </c>
      <c r="B246" s="11" t="n">
        <v>21516000</v>
      </c>
      <c r="C246" s="11" t="inlineStr">
        <is>
          <t>Bưu Cục 468 Quốc Lộ 20-Liên Nghĩa-Đức Trọng-Lâm Đồng</t>
        </is>
      </c>
      <c r="D246" s="11" t="inlineStr">
        <is>
          <t>thuong</t>
        </is>
      </c>
      <c r="E246" s="11" t="inlineStr">
        <is>
          <t>&lt;5kg</t>
        </is>
      </c>
      <c r="F246" s="13" t="n">
        <v>21942.56743227815</v>
      </c>
      <c r="G246" s="13" t="n">
        <v>23741.08244766662</v>
      </c>
      <c r="H246" s="13" t="n">
        <v>23644.42741508542</v>
      </c>
      <c r="I246" s="13" t="n">
        <v>25334.49197397659</v>
      </c>
      <c r="J246" s="13" t="n">
        <v>27260.58809488254</v>
      </c>
      <c r="K246" s="13" t="n">
        <v>30224.37920519595</v>
      </c>
    </row>
    <row r="247" ht="15.75" customHeight="1" s="57">
      <c r="A247" s="11" t="inlineStr">
        <is>
          <t>NTB</t>
        </is>
      </c>
      <c r="B247" s="11" t="n">
        <v>21537000</v>
      </c>
      <c r="C247" s="11" t="inlineStr">
        <is>
          <t>Bưu Cục 190/11 Phù Đổng Thiên Vương-Phường 8-Đà Lạt-Lâm Đồng</t>
        </is>
      </c>
      <c r="D247" s="11" t="inlineStr">
        <is>
          <t>thuong</t>
        </is>
      </c>
      <c r="E247" s="11" t="inlineStr">
        <is>
          <t>10-15kg</t>
        </is>
      </c>
      <c r="F247" s="13" t="n">
        <v>1033.619830519842</v>
      </c>
      <c r="G247" s="13" t="n">
        <v>1272.011533901545</v>
      </c>
      <c r="H247" s="13" t="n">
        <v>1385.265572591473</v>
      </c>
      <c r="I247" s="13" t="n">
        <v>1605.589308959001</v>
      </c>
      <c r="J247" s="13" t="n">
        <v>1696.890866299373</v>
      </c>
      <c r="K247" s="13" t="n">
        <v>1803.242562858421</v>
      </c>
    </row>
    <row r="248" ht="15.75" customHeight="1" s="57">
      <c r="A248" s="11" t="inlineStr">
        <is>
          <t>NTB</t>
        </is>
      </c>
      <c r="B248" s="11" t="n">
        <v>21537000</v>
      </c>
      <c r="C248" s="11" t="inlineStr">
        <is>
          <t>Bưu Cục 190/11 Phù Đổng Thiên Vương-Phường 8-Đà Lạt-Lâm Đồng</t>
        </is>
      </c>
      <c r="D248" s="11" t="inlineStr">
        <is>
          <t>thuong</t>
        </is>
      </c>
      <c r="E248" s="11" t="inlineStr">
        <is>
          <t>5-10kg</t>
        </is>
      </c>
      <c r="F248" s="13" t="n">
        <v>1096.801161294026</v>
      </c>
      <c r="G248" s="13" t="n">
        <v>1177.9458798872</v>
      </c>
      <c r="H248" s="13" t="n">
        <v>1173.150401065356</v>
      </c>
      <c r="I248" s="13" t="n">
        <v>1256.379603856798</v>
      </c>
      <c r="J248" s="13" t="n">
        <v>1334.318006325965</v>
      </c>
      <c r="K248" s="13" t="n">
        <v>1465.31577023951</v>
      </c>
    </row>
    <row r="249" ht="15.75" customHeight="1" s="57">
      <c r="A249" s="11" t="inlineStr">
        <is>
          <t>NTB</t>
        </is>
      </c>
      <c r="B249" s="11" t="n">
        <v>21537000</v>
      </c>
      <c r="C249" s="11" t="inlineStr">
        <is>
          <t>Bưu Cục 190/11 Phù Đổng Thiên Vương-Phường 8-Đà Lạt-Lâm Đồng</t>
        </is>
      </c>
      <c r="D249" s="11" t="inlineStr">
        <is>
          <t>thuong</t>
        </is>
      </c>
      <c r="E249" s="11" t="inlineStr">
        <is>
          <t>&lt;5kg</t>
        </is>
      </c>
      <c r="F249" s="13" t="n">
        <v>15803.2492599642</v>
      </c>
      <c r="G249" s="13" t="n">
        <v>17099.246390562</v>
      </c>
      <c r="H249" s="13" t="n">
        <v>17030.14677239713</v>
      </c>
      <c r="I249" s="13" t="n">
        <v>18247.95512368303</v>
      </c>
      <c r="J249" s="13" t="n">
        <v>19635.10457105707</v>
      </c>
      <c r="K249" s="13" t="n">
        <v>21769.4708802904</v>
      </c>
    </row>
    <row r="250" ht="15.75" customHeight="1" s="57">
      <c r="A250" s="11" t="inlineStr">
        <is>
          <t>NTB</t>
        </is>
      </c>
      <c r="B250" s="11" t="n">
        <v>21569000</v>
      </c>
      <c r="C250" s="11" t="inlineStr">
        <is>
          <t>Bưu Cục 70 Lê Hồng Phong-Ninh Diêm-Ninh Hoà-Khánh Hoà</t>
        </is>
      </c>
      <c r="D250" s="11" t="inlineStr">
        <is>
          <t>thuong</t>
        </is>
      </c>
      <c r="E250" s="11" t="inlineStr">
        <is>
          <t>10-15kg</t>
        </is>
      </c>
      <c r="F250" s="13" t="n">
        <v>743.467264826235</v>
      </c>
      <c r="G250" s="13" t="n">
        <v>891.4584155624248</v>
      </c>
      <c r="H250" s="13" t="n">
        <v>954.8247401058601</v>
      </c>
      <c r="I250" s="13" t="n">
        <v>1092.15011711159</v>
      </c>
      <c r="J250" s="13" t="n">
        <v>1163.372251135714</v>
      </c>
      <c r="K250" s="13" t="n">
        <v>1250.068257025632</v>
      </c>
    </row>
    <row r="251" ht="15.75" customHeight="1" s="57">
      <c r="A251" s="11" t="inlineStr">
        <is>
          <t>NTB</t>
        </is>
      </c>
      <c r="B251" s="11" t="n">
        <v>21569000</v>
      </c>
      <c r="C251" s="11" t="inlineStr">
        <is>
          <t>Bưu Cục 70 Lê Hồng Phong-Ninh Diêm-Ninh Hoà-Khánh Hoà</t>
        </is>
      </c>
      <c r="D251" s="11" t="inlineStr">
        <is>
          <t>thuong</t>
        </is>
      </c>
      <c r="E251" s="11" t="inlineStr">
        <is>
          <t>15-30kg</t>
        </is>
      </c>
      <c r="F251" s="13" t="n">
        <v>658.9965647211168</v>
      </c>
      <c r="G251" s="13" t="n">
        <v>811.7263180877854</v>
      </c>
      <c r="H251" s="13" t="n">
        <v>885.005722024577</v>
      </c>
      <c r="I251" s="13" t="n">
        <v>1026.933697587226</v>
      </c>
      <c r="J251" s="13" t="n">
        <v>1087.073998591973</v>
      </c>
      <c r="K251" s="13" t="n">
        <v>1156.265823724991</v>
      </c>
    </row>
    <row r="252" ht="15.75" customHeight="1" s="57">
      <c r="A252" s="11" t="inlineStr">
        <is>
          <t>NTB</t>
        </is>
      </c>
      <c r="B252" s="11" t="n">
        <v>21569000</v>
      </c>
      <c r="C252" s="11" t="inlineStr">
        <is>
          <t>Bưu Cục 70 Lê Hồng Phong-Ninh Diêm-Ninh Hoà-Khánh Hoà</t>
        </is>
      </c>
      <c r="D252" s="11" t="inlineStr">
        <is>
          <t>thuong</t>
        </is>
      </c>
      <c r="E252" s="11" t="inlineStr">
        <is>
          <t>5-10kg</t>
        </is>
      </c>
      <c r="F252" s="13" t="n">
        <v>944.3033938168619</v>
      </c>
      <c r="G252" s="13" t="n">
        <v>1013.158315661842</v>
      </c>
      <c r="H252" s="13" t="n">
        <v>1006.827574520659</v>
      </c>
      <c r="I252" s="13" t="n">
        <v>1075.717443002477</v>
      </c>
      <c r="J252" s="13" t="n">
        <v>1141.734133136119</v>
      </c>
      <c r="K252" s="13" t="n">
        <v>1254.300640891546</v>
      </c>
    </row>
    <row r="253" ht="15.75" customHeight="1" s="57">
      <c r="A253" s="11" t="inlineStr">
        <is>
          <t>NTB</t>
        </is>
      </c>
      <c r="B253" s="11" t="n">
        <v>21569000</v>
      </c>
      <c r="C253" s="11" t="inlineStr">
        <is>
          <t>Bưu Cục 70 Lê Hồng Phong-Ninh Diêm-Ninh Hoà-Khánh Hoà</t>
        </is>
      </c>
      <c r="D253" s="11" t="inlineStr">
        <is>
          <t>thuong</t>
        </is>
      </c>
      <c r="E253" s="11" t="inlineStr">
        <is>
          <t>&lt;5kg</t>
        </is>
      </c>
      <c r="F253" s="13" t="n">
        <v>16928.81137359418</v>
      </c>
      <c r="G253" s="13" t="n">
        <v>18416.07337559694</v>
      </c>
      <c r="H253" s="13" t="n">
        <v>18333.01179185546</v>
      </c>
      <c r="I253" s="13" t="n">
        <v>19632.34410658274</v>
      </c>
      <c r="J253" s="13" t="n">
        <v>21220.19407447851</v>
      </c>
      <c r="K253" s="13" t="n">
        <v>23608.68965903554</v>
      </c>
    </row>
    <row r="254" ht="15.75" customHeight="1" s="57">
      <c r="A254" s="11" t="inlineStr">
        <is>
          <t>NTB</t>
        </is>
      </c>
      <c r="B254" s="11" t="n">
        <v>21569000</v>
      </c>
      <c r="C254" s="11" t="inlineStr">
        <is>
          <t>Bưu Cục 70 Lê Hồng Phong-Ninh Diêm-Ninh Hoà-Khánh Hoà</t>
        </is>
      </c>
      <c r="D254" s="11" t="inlineStr">
        <is>
          <t>thuong</t>
        </is>
      </c>
      <c r="E254" s="11" t="inlineStr">
        <is>
          <t>≥30kg</t>
        </is>
      </c>
      <c r="F254" s="13" t="n">
        <v>358.0743788571391</v>
      </c>
      <c r="G254" s="13" t="n">
        <v>436.9880037798258</v>
      </c>
      <c r="H254" s="13" t="n">
        <v>474.9490149447007</v>
      </c>
      <c r="I254" s="13" t="n">
        <v>549.9896373490574</v>
      </c>
      <c r="J254" s="13" t="n">
        <v>583.8274748048408</v>
      </c>
      <c r="K254" s="13" t="n">
        <v>622.886673209573</v>
      </c>
    </row>
    <row r="255" ht="15.75" customHeight="1" s="57">
      <c r="A255" s="11" t="inlineStr">
        <is>
          <t>NTB</t>
        </is>
      </c>
      <c r="B255" s="11" t="n">
        <v>21594000</v>
      </c>
      <c r="C255" s="11" t="inlineStr">
        <is>
          <t>(BTH) Phước Hội</t>
        </is>
      </c>
      <c r="D255" s="11" t="inlineStr">
        <is>
          <t>thuong</t>
        </is>
      </c>
      <c r="E255" s="11" t="inlineStr">
        <is>
          <t>10-15kg</t>
        </is>
      </c>
      <c r="F255" s="13" t="n">
        <v>1541.574702493238</v>
      </c>
      <c r="G255" s="13" t="n">
        <v>1855.833209340152</v>
      </c>
      <c r="H255" s="13" t="n">
        <v>1994.771095728919</v>
      </c>
      <c r="I255" s="13" t="n">
        <v>2288.340532315236</v>
      </c>
      <c r="J255" s="13" t="n">
        <v>2433.003506125309</v>
      </c>
      <c r="K255" s="13" t="n">
        <v>2607.715552523322</v>
      </c>
    </row>
    <row r="256" ht="15.75" customHeight="1" s="57">
      <c r="A256" s="11" t="inlineStr">
        <is>
          <t>NTB</t>
        </is>
      </c>
      <c r="B256" s="11" t="n">
        <v>21594000</v>
      </c>
      <c r="C256" s="11" t="inlineStr">
        <is>
          <t>(BTH) Phước Hội</t>
        </is>
      </c>
      <c r="D256" s="11" t="inlineStr">
        <is>
          <t>thuong</t>
        </is>
      </c>
      <c r="E256" s="11" t="inlineStr">
        <is>
          <t>15-30kg</t>
        </is>
      </c>
      <c r="F256" s="13" t="n">
        <v>233.3681943774779</v>
      </c>
      <c r="G256" s="13" t="n">
        <v>289.7502410689258</v>
      </c>
      <c r="H256" s="13" t="n">
        <v>317.2958545432067</v>
      </c>
      <c r="I256" s="13" t="n">
        <v>369.3894488412914</v>
      </c>
      <c r="J256" s="13" t="n">
        <v>389.8860973776401</v>
      </c>
      <c r="K256" s="13" t="n">
        <v>413.2247023315125</v>
      </c>
    </row>
    <row r="257" ht="15.75" customHeight="1" s="57">
      <c r="A257" s="11" t="inlineStr">
        <is>
          <t>NTB</t>
        </is>
      </c>
      <c r="B257" s="11" t="n">
        <v>21594000</v>
      </c>
      <c r="C257" s="11" t="inlineStr">
        <is>
          <t>(BTH) Phước Hội</t>
        </is>
      </c>
      <c r="D257" s="11" t="inlineStr">
        <is>
          <t>thuong</t>
        </is>
      </c>
      <c r="E257" s="11" t="inlineStr">
        <is>
          <t>5-10kg</t>
        </is>
      </c>
      <c r="F257" s="13" t="n">
        <v>1905.726154056779</v>
      </c>
      <c r="G257" s="13" t="n">
        <v>2042.014953846509</v>
      </c>
      <c r="H257" s="13" t="n">
        <v>2028.916197857389</v>
      </c>
      <c r="I257" s="13" t="n">
        <v>2167.168554464903</v>
      </c>
      <c r="J257" s="13" t="n">
        <v>2294.97439227581</v>
      </c>
      <c r="K257" s="13" t="n">
        <v>2517.19589725628</v>
      </c>
    </row>
    <row r="258" ht="15.75" customHeight="1" s="57">
      <c r="A258" s="11" t="inlineStr">
        <is>
          <t>NTB</t>
        </is>
      </c>
      <c r="B258" s="11" t="n">
        <v>21594000</v>
      </c>
      <c r="C258" s="11" t="inlineStr">
        <is>
          <t>(BTH) Phước Hội</t>
        </is>
      </c>
      <c r="D258" s="11" t="inlineStr">
        <is>
          <t>thuong</t>
        </is>
      </c>
      <c r="E258" s="11" t="inlineStr">
        <is>
          <t>&lt;5kg</t>
        </is>
      </c>
      <c r="F258" s="13" t="n">
        <v>29493.74446284881</v>
      </c>
      <c r="G258" s="13" t="n">
        <v>31926.38636886728</v>
      </c>
      <c r="H258" s="13" t="n">
        <v>31678.9001132008</v>
      </c>
      <c r="I258" s="13" t="n">
        <v>33788.25180146372</v>
      </c>
      <c r="J258" s="13" t="n">
        <v>36164.76024868702</v>
      </c>
      <c r="K258" s="13" t="n">
        <v>40002.43620477443</v>
      </c>
    </row>
    <row r="259" ht="15.75" customHeight="1" s="57">
      <c r="A259" s="11" t="inlineStr">
        <is>
          <t>NTB</t>
        </is>
      </c>
      <c r="B259" s="11" t="n">
        <v>21594000</v>
      </c>
      <c r="C259" s="11" t="inlineStr">
        <is>
          <t>(BTH) Phước Hội</t>
        </is>
      </c>
      <c r="D259" s="11" t="inlineStr">
        <is>
          <t>thuong</t>
        </is>
      </c>
      <c r="E259" s="11" t="inlineStr">
        <is>
          <t>≥30kg</t>
        </is>
      </c>
      <c r="F259" s="13" t="n">
        <v>134.0916220080717</v>
      </c>
      <c r="G259" s="13" t="n">
        <v>167.5901132117948</v>
      </c>
      <c r="H259" s="13" t="n">
        <v>184.2833893092409</v>
      </c>
      <c r="I259" s="13" t="n">
        <v>215.2203390404818</v>
      </c>
      <c r="J259" s="13" t="n">
        <v>226.6340251368734</v>
      </c>
      <c r="K259" s="13" t="n">
        <v>239.4664479851843</v>
      </c>
    </row>
    <row r="260" ht="15.75" customHeight="1" s="57">
      <c r="A260" s="11" t="inlineStr">
        <is>
          <t>NTB</t>
        </is>
      </c>
      <c r="B260" s="11" t="n">
        <v>21687000</v>
      </c>
      <c r="C260" s="11" t="inlineStr">
        <is>
          <t>(LDO) Lang Biang - Đà Lạt 2</t>
        </is>
      </c>
      <c r="D260" s="11" t="inlineStr">
        <is>
          <t>thuong</t>
        </is>
      </c>
      <c r="E260" s="11" t="inlineStr">
        <is>
          <t>10-15kg</t>
        </is>
      </c>
      <c r="F260" s="13" t="n">
        <v>2502.180971936203</v>
      </c>
      <c r="G260" s="13" t="n">
        <v>3063.963022042837</v>
      </c>
      <c r="H260" s="13" t="n">
        <v>3327.788388339715</v>
      </c>
      <c r="I260" s="13" t="n">
        <v>3849.17665487992</v>
      </c>
      <c r="J260" s="13" t="n">
        <v>4074.161154678716</v>
      </c>
      <c r="K260" s="13" t="n">
        <v>4338.025232711277</v>
      </c>
    </row>
    <row r="261" ht="15.75" customHeight="1" s="57">
      <c r="A261" s="11" t="inlineStr">
        <is>
          <t>NTB</t>
        </is>
      </c>
      <c r="B261" s="11" t="n">
        <v>21687000</v>
      </c>
      <c r="C261" s="11" t="inlineStr">
        <is>
          <t>(LDO) Lang Biang - Đà Lạt 2</t>
        </is>
      </c>
      <c r="D261" s="11" t="inlineStr">
        <is>
          <t>thuong</t>
        </is>
      </c>
      <c r="E261" s="11" t="inlineStr">
        <is>
          <t>15-30kg</t>
        </is>
      </c>
      <c r="F261" s="13" t="n">
        <v>94.33704701841</v>
      </c>
      <c r="G261" s="13" t="n">
        <v>116.0573609933364</v>
      </c>
      <c r="H261" s="13" t="n">
        <v>126.5179534337373</v>
      </c>
      <c r="I261" s="13" t="n">
        <v>146.8040749234572</v>
      </c>
      <c r="J261" s="13" t="n">
        <v>155.4294717802505</v>
      </c>
      <c r="K261" s="13" t="n">
        <v>165.3502250739011</v>
      </c>
    </row>
    <row r="262" ht="15.75" customHeight="1" s="57">
      <c r="A262" s="11" t="inlineStr">
        <is>
          <t>NTB</t>
        </is>
      </c>
      <c r="B262" s="11" t="n">
        <v>21687000</v>
      </c>
      <c r="C262" s="11" t="inlineStr">
        <is>
          <t>(LDO) Lang Biang - Đà Lạt 2</t>
        </is>
      </c>
      <c r="D262" s="11" t="inlineStr">
        <is>
          <t>thuong</t>
        </is>
      </c>
      <c r="E262" s="11" t="inlineStr">
        <is>
          <t>5-10kg</t>
        </is>
      </c>
      <c r="F262" s="13" t="n">
        <v>2674.444092932556</v>
      </c>
      <c r="G262" s="13" t="n">
        <v>2870.685645628876</v>
      </c>
      <c r="H262" s="13" t="n">
        <v>2857.833345873884</v>
      </c>
      <c r="I262" s="13" t="n">
        <v>3059.396085394593</v>
      </c>
      <c r="J262" s="13" t="n">
        <v>3249.409430973782</v>
      </c>
      <c r="K262" s="13" t="n">
        <v>3569.130713059242</v>
      </c>
    </row>
    <row r="263" ht="15.75" customHeight="1" s="57">
      <c r="A263" s="11" t="inlineStr">
        <is>
          <t>NTB</t>
        </is>
      </c>
      <c r="B263" s="11" t="n">
        <v>21687000</v>
      </c>
      <c r="C263" s="11" t="inlineStr">
        <is>
          <t>(LDO) Lang Biang - Đà Lạt 2</t>
        </is>
      </c>
      <c r="D263" s="11" t="inlineStr">
        <is>
          <t>thuong</t>
        </is>
      </c>
      <c r="E263" s="11" t="inlineStr">
        <is>
          <t>&lt;5kg</t>
        </is>
      </c>
      <c r="F263" s="13" t="n">
        <v>34513.66971477076</v>
      </c>
      <c r="G263" s="13" t="n">
        <v>37343.42052436816</v>
      </c>
      <c r="H263" s="13" t="n">
        <v>37192.02246954751</v>
      </c>
      <c r="I263" s="13" t="n">
        <v>39851.08980298948</v>
      </c>
      <c r="J263" s="13" t="n">
        <v>42880.6106629834</v>
      </c>
      <c r="K263" s="13" t="n">
        <v>47542.157725503</v>
      </c>
    </row>
    <row r="264" ht="15.75" customHeight="1" s="57">
      <c r="A264" s="11" t="inlineStr">
        <is>
          <t>NTB</t>
        </is>
      </c>
      <c r="B264" s="11" t="n">
        <v>21687000</v>
      </c>
      <c r="C264" s="11" t="inlineStr">
        <is>
          <t>(LDO) Lang Biang - Đà Lạt 2</t>
        </is>
      </c>
      <c r="D264" s="11" t="inlineStr">
        <is>
          <t>thuong</t>
        </is>
      </c>
      <c r="E264" s="11" t="inlineStr">
        <is>
          <t>≥30kg</t>
        </is>
      </c>
      <c r="F264" s="13" t="n">
        <v>42.0243335958354</v>
      </c>
      <c r="G264" s="13" t="n">
        <v>51.55345217098516</v>
      </c>
      <c r="H264" s="13" t="n">
        <v>56.21302789083667</v>
      </c>
      <c r="I264" s="13" t="n">
        <v>65.25589412505553</v>
      </c>
      <c r="J264" s="13" t="n">
        <v>69.12961848718879</v>
      </c>
      <c r="K264" s="13" t="n">
        <v>73.56723695833938</v>
      </c>
    </row>
    <row r="265" ht="15.75" customHeight="1" s="57">
      <c r="A265" s="11" t="inlineStr">
        <is>
          <t>NTB</t>
        </is>
      </c>
      <c r="B265" s="11" t="n">
        <v>21688000</v>
      </c>
      <c r="C265" s="11" t="inlineStr">
        <is>
          <t>Bưu Cục 412 Nguyễn Văn Cừ-Lộc Phát-Bảo Lộc-Lâm Đồng</t>
        </is>
      </c>
      <c r="D265" s="11" t="inlineStr">
        <is>
          <t>thuong</t>
        </is>
      </c>
      <c r="E265" s="11" t="inlineStr">
        <is>
          <t>10-15kg</t>
        </is>
      </c>
      <c r="F265" s="13" t="n">
        <v>1151.763119752478</v>
      </c>
      <c r="G265" s="13" t="n">
        <v>1397.698884608171</v>
      </c>
      <c r="H265" s="13" t="n">
        <v>1510.595517314297</v>
      </c>
      <c r="I265" s="13" t="n">
        <v>1740.701803519068</v>
      </c>
      <c r="J265" s="13" t="n">
        <v>1847.53687394878</v>
      </c>
      <c r="K265" s="13" t="n">
        <v>1974.289663189595</v>
      </c>
    </row>
    <row r="266" ht="15.75" customHeight="1" s="57">
      <c r="A266" s="11" t="inlineStr">
        <is>
          <t>NTB</t>
        </is>
      </c>
      <c r="B266" s="11" t="n">
        <v>21688000</v>
      </c>
      <c r="C266" s="11" t="inlineStr">
        <is>
          <t>Bưu Cục 412 Nguyễn Văn Cừ-Lộc Phát-Bảo Lộc-Lâm Đồng</t>
        </is>
      </c>
      <c r="D266" s="11" t="inlineStr">
        <is>
          <t>thuong</t>
        </is>
      </c>
      <c r="E266" s="11" t="inlineStr">
        <is>
          <t>5-10kg</t>
        </is>
      </c>
      <c r="F266" s="13" t="n">
        <v>1300.639542230875</v>
      </c>
      <c r="G266" s="13" t="n">
        <v>1394.656303089777</v>
      </c>
      <c r="H266" s="13" t="n">
        <v>1387.391529978466</v>
      </c>
      <c r="I266" s="13" t="n">
        <v>1484.204738253663</v>
      </c>
      <c r="J266" s="13" t="n">
        <v>1576.584340724721</v>
      </c>
      <c r="K266" s="13" t="n">
        <v>1732.330599160208</v>
      </c>
    </row>
    <row r="267" ht="15.75" customHeight="1" s="57">
      <c r="A267" s="11" t="inlineStr">
        <is>
          <t>NTB</t>
        </is>
      </c>
      <c r="B267" s="11" t="n">
        <v>21688000</v>
      </c>
      <c r="C267" s="11" t="inlineStr">
        <is>
          <t>Bưu Cục 412 Nguyễn Văn Cừ-Lộc Phát-Bảo Lộc-Lâm Đồng</t>
        </is>
      </c>
      <c r="D267" s="11" t="inlineStr">
        <is>
          <t>thuong</t>
        </is>
      </c>
      <c r="E267" s="11" t="inlineStr">
        <is>
          <t>&lt;5kg</t>
        </is>
      </c>
      <c r="F267" s="13" t="n">
        <v>19396.23277124092</v>
      </c>
      <c r="G267" s="13" t="n">
        <v>20986.56299060641</v>
      </c>
      <c r="H267" s="13" t="n">
        <v>20901.51428388723</v>
      </c>
      <c r="I267" s="13" t="n">
        <v>22395.91702589114</v>
      </c>
      <c r="J267" s="13" t="n">
        <v>24098.46530212207</v>
      </c>
      <c r="K267" s="13" t="n">
        <v>26718.18139543912</v>
      </c>
    </row>
    <row r="268" ht="15.75" customHeight="1" s="57">
      <c r="A268" s="11" t="inlineStr">
        <is>
          <t>NTB</t>
        </is>
      </c>
      <c r="B268" s="11" t="n">
        <v>21722000</v>
      </c>
      <c r="C268" s="11" t="inlineStr">
        <is>
          <t>(KHO) Tu Bông</t>
        </is>
      </c>
      <c r="D268" s="11" t="inlineStr">
        <is>
          <t>thuong</t>
        </is>
      </c>
      <c r="E268" s="11" t="inlineStr">
        <is>
          <t>10-15kg</t>
        </is>
      </c>
      <c r="F268" s="13" t="n">
        <v>445.8621606416489</v>
      </c>
      <c r="G268" s="13" t="n">
        <v>531.7316434402098</v>
      </c>
      <c r="H268" s="13" t="n">
        <v>567.681968103425</v>
      </c>
      <c r="I268" s="13" t="n">
        <v>647.6531268167851</v>
      </c>
      <c r="J268" s="13" t="n">
        <v>691.0864260470781</v>
      </c>
      <c r="K268" s="13" t="n">
        <v>744.3019829851756</v>
      </c>
    </row>
    <row r="269" ht="15.75" customHeight="1" s="57">
      <c r="A269" s="11" t="inlineStr">
        <is>
          <t>NTB</t>
        </is>
      </c>
      <c r="B269" s="11" t="n">
        <v>21722000</v>
      </c>
      <c r="C269" s="11" t="inlineStr">
        <is>
          <t>(KHO) Tu Bông</t>
        </is>
      </c>
      <c r="D269" s="11" t="inlineStr">
        <is>
          <t>thuong</t>
        </is>
      </c>
      <c r="E269" s="11" t="inlineStr">
        <is>
          <t>15-30kg</t>
        </is>
      </c>
      <c r="F269" s="13" t="n">
        <v>478.1465835292084</v>
      </c>
      <c r="G269" s="13" t="n">
        <v>579.489511891323</v>
      </c>
      <c r="H269" s="13" t="n">
        <v>626.4289932291907</v>
      </c>
      <c r="I269" s="13" t="n">
        <v>722.257517344914</v>
      </c>
      <c r="J269" s="13" t="n">
        <v>768.958521191645</v>
      </c>
      <c r="K269" s="13" t="n">
        <v>823.6170387183151</v>
      </c>
    </row>
    <row r="270" ht="15.75" customHeight="1" s="57">
      <c r="A270" s="11" t="inlineStr">
        <is>
          <t>NTB</t>
        </is>
      </c>
      <c r="B270" s="11" t="n">
        <v>21722000</v>
      </c>
      <c r="C270" s="11" t="inlineStr">
        <is>
          <t>(KHO) Tu Bông</t>
        </is>
      </c>
      <c r="D270" s="11" t="inlineStr">
        <is>
          <t>thuong</t>
        </is>
      </c>
      <c r="E270" s="11" t="inlineStr">
        <is>
          <t>5-10kg</t>
        </is>
      </c>
      <c r="F270" s="13" t="n">
        <v>653.5775866761154</v>
      </c>
      <c r="G270" s="13" t="n">
        <v>701.0468994053376</v>
      </c>
      <c r="H270" s="13" t="n">
        <v>696.5301895922298</v>
      </c>
      <c r="I270" s="13" t="n">
        <v>744.0493630123451</v>
      </c>
      <c r="J270" s="13" t="n">
        <v>789.7365817275282</v>
      </c>
      <c r="K270" s="13" t="n">
        <v>867.6805954629776</v>
      </c>
    </row>
    <row r="271" ht="15.75" customHeight="1" s="57">
      <c r="A271" s="11" t="inlineStr">
        <is>
          <t>NTB</t>
        </is>
      </c>
      <c r="B271" s="11" t="n">
        <v>21722000</v>
      </c>
      <c r="C271" s="11" t="inlineStr">
        <is>
          <t>(KHO) Tu Bông</t>
        </is>
      </c>
      <c r="D271" s="11" t="inlineStr">
        <is>
          <t>thuong</t>
        </is>
      </c>
      <c r="E271" s="11" t="inlineStr">
        <is>
          <t>&lt;5kg</t>
        </is>
      </c>
      <c r="F271" s="13" t="n">
        <v>13338.73192975957</v>
      </c>
      <c r="G271" s="13" t="n">
        <v>14510.55219093029</v>
      </c>
      <c r="H271" s="13" t="n">
        <v>14445.07522513241</v>
      </c>
      <c r="I271" s="13" t="n">
        <v>15468.82344693327</v>
      </c>
      <c r="J271" s="13" t="n">
        <v>16719.94312696156</v>
      </c>
      <c r="K271" s="13" t="n">
        <v>18601.92443742667</v>
      </c>
    </row>
    <row r="272" ht="15.75" customHeight="1" s="57">
      <c r="A272" s="11" t="inlineStr">
        <is>
          <t>NTB</t>
        </is>
      </c>
      <c r="B272" s="11" t="n">
        <v>21722000</v>
      </c>
      <c r="C272" s="11" t="inlineStr">
        <is>
          <t>(KHO) Tu Bông</t>
        </is>
      </c>
      <c r="D272" s="11" t="inlineStr">
        <is>
          <t>thuong</t>
        </is>
      </c>
      <c r="E272" s="11" t="inlineStr">
        <is>
          <t>≥30kg</t>
        </is>
      </c>
      <c r="F272" s="13" t="n">
        <v>169.553814910534</v>
      </c>
      <c r="G272" s="13" t="n">
        <v>208.1071095908496</v>
      </c>
      <c r="H272" s="13" t="n">
        <v>226.8179656081649</v>
      </c>
      <c r="I272" s="13" t="n">
        <v>263.192434707555</v>
      </c>
      <c r="J272" s="13" t="n">
        <v>278.84010303538</v>
      </c>
      <c r="K272" s="13" t="n">
        <v>296.8019933873297</v>
      </c>
    </row>
    <row r="273" ht="15.75" customHeight="1" s="57">
      <c r="A273" s="11" t="inlineStr">
        <is>
          <t>NTB</t>
        </is>
      </c>
      <c r="B273" s="11" t="n">
        <v>22048000</v>
      </c>
      <c r="C273" s="11" t="inlineStr">
        <is>
          <t>(DNO) Đông Gia Nghĩa</t>
        </is>
      </c>
      <c r="D273" s="11" t="inlineStr">
        <is>
          <t>thuong</t>
        </is>
      </c>
      <c r="E273" s="11" t="inlineStr">
        <is>
          <t>10-15kg</t>
        </is>
      </c>
      <c r="F273" s="13" t="n">
        <v>576.3382969409568</v>
      </c>
      <c r="G273" s="13" t="n">
        <v>693.5152677680601</v>
      </c>
      <c r="H273" s="13" t="n">
        <v>744.0910288104504</v>
      </c>
      <c r="I273" s="13" t="n">
        <v>852.3786886079986</v>
      </c>
      <c r="J273" s="13" t="n">
        <v>908.9289286573095</v>
      </c>
      <c r="K273" s="13" t="n">
        <v>976.9641781182676</v>
      </c>
    </row>
    <row r="274" ht="15.75" customHeight="1" s="57">
      <c r="A274" s="11" t="inlineStr">
        <is>
          <t>NTB</t>
        </is>
      </c>
      <c r="B274" s="11" t="n">
        <v>22048000</v>
      </c>
      <c r="C274" s="11" t="inlineStr">
        <is>
          <t>(DNO) Đông Gia Nghĩa</t>
        </is>
      </c>
      <c r="D274" s="11" t="inlineStr">
        <is>
          <t>thuong</t>
        </is>
      </c>
      <c r="E274" s="11" t="inlineStr">
        <is>
          <t>15-30kg</t>
        </is>
      </c>
      <c r="F274" s="13" t="n">
        <v>163.0981550064187</v>
      </c>
      <c r="G274" s="13" t="n">
        <v>190.0901805579481</v>
      </c>
      <c r="H274" s="13" t="n">
        <v>200.8750066392154</v>
      </c>
      <c r="I274" s="13" t="n">
        <v>227.553264943083</v>
      </c>
      <c r="J274" s="13" t="n">
        <v>246.0386418818315</v>
      </c>
      <c r="K274" s="13" t="n">
        <v>268.4318382418684</v>
      </c>
    </row>
    <row r="275" ht="15.75" customHeight="1" s="57">
      <c r="A275" s="11" t="inlineStr">
        <is>
          <t>NTB</t>
        </is>
      </c>
      <c r="B275" s="11" t="n">
        <v>22048000</v>
      </c>
      <c r="C275" s="11" t="inlineStr">
        <is>
          <t>(DNO) Đông Gia Nghĩa</t>
        </is>
      </c>
      <c r="D275" s="11" t="inlineStr">
        <is>
          <t>thuong</t>
        </is>
      </c>
      <c r="E275" s="11" t="inlineStr">
        <is>
          <t>5-10kg</t>
        </is>
      </c>
      <c r="F275" s="13" t="n">
        <v>639.8968230630643</v>
      </c>
      <c r="G275" s="13" t="n">
        <v>696.4805475159105</v>
      </c>
      <c r="H275" s="13" t="n">
        <v>695.06729672329</v>
      </c>
      <c r="I275" s="13" t="n">
        <v>746.3066028355026</v>
      </c>
      <c r="J275" s="13" t="n">
        <v>806.5127216423073</v>
      </c>
      <c r="K275" s="13" t="n">
        <v>896.3385487527195</v>
      </c>
    </row>
    <row r="276" ht="15.75" customHeight="1" s="57">
      <c r="A276" s="11" t="inlineStr">
        <is>
          <t>NTB</t>
        </is>
      </c>
      <c r="B276" s="11" t="n">
        <v>22048000</v>
      </c>
      <c r="C276" s="11" t="inlineStr">
        <is>
          <t>(DNO) Đông Gia Nghĩa</t>
        </is>
      </c>
      <c r="D276" s="11" t="inlineStr">
        <is>
          <t>thuong</t>
        </is>
      </c>
      <c r="E276" s="11" t="inlineStr">
        <is>
          <t>&lt;5kg</t>
        </is>
      </c>
      <c r="F276" s="13" t="n">
        <v>10352.42794985794</v>
      </c>
      <c r="G276" s="13" t="n">
        <v>11383.85157975175</v>
      </c>
      <c r="H276" s="13" t="n">
        <v>11320.1350544137</v>
      </c>
      <c r="I276" s="13" t="n">
        <v>12105.61941159825</v>
      </c>
      <c r="J276" s="13" t="n">
        <v>13196.37961470304</v>
      </c>
      <c r="K276" s="13" t="n">
        <v>14778.25996626689</v>
      </c>
    </row>
    <row r="277" ht="15.75" customHeight="1" s="57">
      <c r="A277" s="11" t="inlineStr">
        <is>
          <t>NTB</t>
        </is>
      </c>
      <c r="B277" s="11" t="n">
        <v>22048000</v>
      </c>
      <c r="C277" s="11" t="inlineStr">
        <is>
          <t>(DNO) Đông Gia Nghĩa</t>
        </is>
      </c>
      <c r="D277" s="11" t="inlineStr">
        <is>
          <t>thuong</t>
        </is>
      </c>
      <c r="E277" s="11" t="inlineStr">
        <is>
          <t>≥30kg</t>
        </is>
      </c>
      <c r="F277" s="13" t="n">
        <v>34.70866424371432</v>
      </c>
      <c r="G277" s="13" t="n">
        <v>41.99560453530309</v>
      </c>
      <c r="H277" s="13" t="n">
        <v>45.45668801784007</v>
      </c>
      <c r="I277" s="13" t="n">
        <v>52.48085648570777</v>
      </c>
      <c r="J277" s="13" t="n">
        <v>55.87327336525924</v>
      </c>
      <c r="K277" s="13" t="n">
        <v>59.8179987957849</v>
      </c>
    </row>
    <row r="278" ht="15.75" customHeight="1" s="57">
      <c r="A278" s="11" t="inlineStr">
        <is>
          <t>NTB</t>
        </is>
      </c>
      <c r="B278" s="11" t="n">
        <v>22051000</v>
      </c>
      <c r="C278" s="11" t="inlineStr">
        <is>
          <t>(LDO) Lang Biang - Đà Lạt 1</t>
        </is>
      </c>
      <c r="D278" s="11" t="inlineStr">
        <is>
          <t>thuong</t>
        </is>
      </c>
      <c r="E278" s="11" t="inlineStr">
        <is>
          <t>10-15kg</t>
        </is>
      </c>
      <c r="F278" s="13" t="n">
        <v>1110.552075942937</v>
      </c>
      <c r="G278" s="13" t="n">
        <v>1347.101934240857</v>
      </c>
      <c r="H278" s="13" t="n">
        <v>1455.563339589853</v>
      </c>
      <c r="I278" s="13" t="n">
        <v>1676.978127561656</v>
      </c>
      <c r="J278" s="13" t="n">
        <v>1780.142185723973</v>
      </c>
      <c r="K278" s="13" t="n">
        <v>1902.604910582652</v>
      </c>
    </row>
    <row r="279" ht="15.75" customHeight="1" s="57">
      <c r="A279" s="11" t="inlineStr">
        <is>
          <t>NTB</t>
        </is>
      </c>
      <c r="B279" s="11" t="n">
        <v>22051000</v>
      </c>
      <c r="C279" s="11" t="inlineStr">
        <is>
          <t>(LDO) Lang Biang - Đà Lạt 1</t>
        </is>
      </c>
      <c r="D279" s="11" t="inlineStr">
        <is>
          <t>thuong</t>
        </is>
      </c>
      <c r="E279" s="11" t="inlineStr">
        <is>
          <t>15-30kg</t>
        </is>
      </c>
      <c r="F279" s="13" t="n">
        <v>315.9909435389912</v>
      </c>
      <c r="G279" s="13" t="n">
        <v>382.7588476530701</v>
      </c>
      <c r="H279" s="13" t="n">
        <v>413.9443468488179</v>
      </c>
      <c r="I279" s="13" t="n">
        <v>477.4800683703935</v>
      </c>
      <c r="J279" s="13" t="n">
        <v>508.3222544607356</v>
      </c>
      <c r="K279" s="13" t="n">
        <v>544.3489171023984</v>
      </c>
    </row>
    <row r="280" ht="15.75" customHeight="1" s="57">
      <c r="A280" s="11" t="inlineStr">
        <is>
          <t>NTB</t>
        </is>
      </c>
      <c r="B280" s="11" t="n">
        <v>22051000</v>
      </c>
      <c r="C280" s="11" t="inlineStr">
        <is>
          <t>(LDO) Lang Biang - Đà Lạt 1</t>
        </is>
      </c>
      <c r="D280" s="11" t="inlineStr">
        <is>
          <t>thuong</t>
        </is>
      </c>
      <c r="E280" s="11" t="inlineStr">
        <is>
          <t>5-10kg</t>
        </is>
      </c>
      <c r="F280" s="13" t="n">
        <v>960.8734856675595</v>
      </c>
      <c r="G280" s="13" t="n">
        <v>1031.473533591975</v>
      </c>
      <c r="H280" s="13" t="n">
        <v>1026.923443429164</v>
      </c>
      <c r="I280" s="13" t="n">
        <v>1099.421406879541</v>
      </c>
      <c r="J280" s="13" t="n">
        <v>1167.69120589154</v>
      </c>
      <c r="K280" s="13" t="n">
        <v>1282.543349053999</v>
      </c>
    </row>
    <row r="281" ht="15.75" customHeight="1" s="57">
      <c r="A281" s="11" t="inlineStr">
        <is>
          <t>NTB</t>
        </is>
      </c>
      <c r="B281" s="11" t="n">
        <v>22051000</v>
      </c>
      <c r="C281" s="11" t="inlineStr">
        <is>
          <t>(LDO) Lang Biang - Đà Lạt 1</t>
        </is>
      </c>
      <c r="D281" s="11" t="inlineStr">
        <is>
          <t>thuong</t>
        </is>
      </c>
      <c r="E281" s="11" t="inlineStr">
        <is>
          <t>&lt;5kg</t>
        </is>
      </c>
      <c r="F281" s="13" t="n">
        <v>13403.25215827674</v>
      </c>
      <c r="G281" s="13" t="n">
        <v>14502.06557741523</v>
      </c>
      <c r="H281" s="13" t="n">
        <v>14443.18931189343</v>
      </c>
      <c r="I281" s="13" t="n">
        <v>15475.73143850944</v>
      </c>
      <c r="J281" s="13" t="n">
        <v>16652.2412534397</v>
      </c>
      <c r="K281" s="13" t="n">
        <v>18462.56465078158</v>
      </c>
    </row>
    <row r="282" ht="15.75" customHeight="1" s="57">
      <c r="A282" s="11" t="inlineStr">
        <is>
          <t>NTB</t>
        </is>
      </c>
      <c r="B282" s="11" t="n">
        <v>22051000</v>
      </c>
      <c r="C282" s="11" t="inlineStr">
        <is>
          <t>(LDO) Lang Biang - Đà Lạt 1</t>
        </is>
      </c>
      <c r="D282" s="11" t="inlineStr">
        <is>
          <t>thuong</t>
        </is>
      </c>
      <c r="E282" s="11" t="inlineStr">
        <is>
          <t>≥30kg</t>
        </is>
      </c>
      <c r="F282" s="13" t="n">
        <v>130.9095817245728</v>
      </c>
      <c r="G282" s="13" t="n">
        <v>160.010200603337</v>
      </c>
      <c r="H282" s="13" t="n">
        <v>174.1731318188145</v>
      </c>
      <c r="I282" s="13" t="n">
        <v>201.9403050233111</v>
      </c>
      <c r="J282" s="13" t="n">
        <v>214.1884740081658</v>
      </c>
      <c r="K282" s="13" t="n">
        <v>228.267661291986</v>
      </c>
    </row>
    <row r="283" ht="15.75" customHeight="1" s="57">
      <c r="A283" s="11" t="inlineStr">
        <is>
          <t>NTB</t>
        </is>
      </c>
      <c r="B283" s="11" t="n">
        <v>22086000</v>
      </c>
      <c r="C283" s="11" t="inlineStr">
        <is>
          <t>(DNO) Trường Xuân</t>
        </is>
      </c>
      <c r="D283" s="11" t="inlineStr">
        <is>
          <t>thuong</t>
        </is>
      </c>
      <c r="E283" s="11" t="inlineStr">
        <is>
          <t>10-15kg</t>
        </is>
      </c>
      <c r="F283" s="13" t="n">
        <v>385.0300940190898</v>
      </c>
      <c r="G283" s="13" t="n">
        <v>455.0051708134441</v>
      </c>
      <c r="H283" s="13" t="n">
        <v>482.8276602684327</v>
      </c>
      <c r="I283" s="13" t="n">
        <v>548.2632997458458</v>
      </c>
      <c r="J283" s="13" t="n">
        <v>588.479873186302</v>
      </c>
      <c r="K283" s="13" t="n">
        <v>637.8023013517056</v>
      </c>
    </row>
    <row r="284" ht="15.75" customHeight="1" s="57">
      <c r="A284" s="11" t="inlineStr">
        <is>
          <t>NTB</t>
        </is>
      </c>
      <c r="B284" s="11" t="n">
        <v>22086000</v>
      </c>
      <c r="C284" s="11" t="inlineStr">
        <is>
          <t>(DNO) Trường Xuân</t>
        </is>
      </c>
      <c r="D284" s="11" t="inlineStr">
        <is>
          <t>thuong</t>
        </is>
      </c>
      <c r="E284" s="11" t="inlineStr">
        <is>
          <t>15-30kg</t>
        </is>
      </c>
      <c r="F284" s="13" t="n">
        <v>360.4602724174349</v>
      </c>
      <c r="G284" s="13" t="n">
        <v>434.91793332063</v>
      </c>
      <c r="H284" s="13" t="n">
        <v>468.6768727508143</v>
      </c>
      <c r="I284" s="13" t="n">
        <v>539.0306257903829</v>
      </c>
      <c r="J284" s="13" t="n">
        <v>574.9525835349192</v>
      </c>
      <c r="K284" s="13" t="n">
        <v>617.2819236016119</v>
      </c>
    </row>
    <row r="285" ht="15.75" customHeight="1" s="57">
      <c r="A285" s="11" t="inlineStr">
        <is>
          <t>NTB</t>
        </is>
      </c>
      <c r="B285" s="11" t="n">
        <v>22086000</v>
      </c>
      <c r="C285" s="11" t="inlineStr">
        <is>
          <t>(DNO) Trường Xuân</t>
        </is>
      </c>
      <c r="D285" s="11" t="inlineStr">
        <is>
          <t>thuong</t>
        </is>
      </c>
      <c r="E285" s="11" t="inlineStr">
        <is>
          <t>5-10kg</t>
        </is>
      </c>
      <c r="F285" s="13" t="n">
        <v>579.1168837515962</v>
      </c>
      <c r="G285" s="13" t="n">
        <v>629.5720793124929</v>
      </c>
      <c r="H285" s="13" t="n">
        <v>627.722488438041</v>
      </c>
      <c r="I285" s="13" t="n">
        <v>673.4199708595535</v>
      </c>
      <c r="J285" s="13" t="n">
        <v>727.9813943160973</v>
      </c>
      <c r="K285" s="13" t="n">
        <v>809.5047391251012</v>
      </c>
    </row>
    <row r="286" ht="15.75" customHeight="1" s="57">
      <c r="A286" s="11" t="inlineStr">
        <is>
          <t>NTB</t>
        </is>
      </c>
      <c r="B286" s="11" t="n">
        <v>22086000</v>
      </c>
      <c r="C286" s="11" t="inlineStr">
        <is>
          <t>(DNO) Trường Xuân</t>
        </is>
      </c>
      <c r="D286" s="11" t="inlineStr">
        <is>
          <t>thuong</t>
        </is>
      </c>
      <c r="E286" s="11" t="inlineStr">
        <is>
          <t>&lt;5kg</t>
        </is>
      </c>
      <c r="F286" s="13" t="n">
        <v>9345.605553157007</v>
      </c>
      <c r="G286" s="13" t="n">
        <v>10276.54493265625</v>
      </c>
      <c r="H286" s="13" t="n">
        <v>10218.88204334703</v>
      </c>
      <c r="I286" s="13" t="n">
        <v>10927.80552902341</v>
      </c>
      <c r="J286" s="13" t="n">
        <v>11912.51296195658</v>
      </c>
      <c r="K286" s="13" t="n">
        <v>13340.6158928735</v>
      </c>
    </row>
    <row r="287" ht="15.75" customHeight="1" s="57">
      <c r="A287" s="11" t="inlineStr">
        <is>
          <t>NTB</t>
        </is>
      </c>
      <c r="B287" s="11" t="n">
        <v>22086000</v>
      </c>
      <c r="C287" s="11" t="inlineStr">
        <is>
          <t>(DNO) Trường Xuân</t>
        </is>
      </c>
      <c r="D287" s="11" t="inlineStr">
        <is>
          <t>thuong</t>
        </is>
      </c>
      <c r="E287" s="11" t="inlineStr">
        <is>
          <t>≥30kg</t>
        </is>
      </c>
      <c r="F287" s="13" t="n">
        <v>170.3911749667329</v>
      </c>
      <c r="G287" s="13" t="n">
        <v>203.3380291565802</v>
      </c>
      <c r="H287" s="13" t="n">
        <v>218.5836219675469</v>
      </c>
      <c r="I287" s="13" t="n">
        <v>251.0703397586406</v>
      </c>
      <c r="J287" s="13" t="n">
        <v>268.6154019976645</v>
      </c>
      <c r="K287" s="13" t="n">
        <v>289.2462188810109</v>
      </c>
    </row>
    <row r="288" ht="15.75" customHeight="1" s="57">
      <c r="A288" s="11" t="inlineStr">
        <is>
          <t>NTB</t>
        </is>
      </c>
      <c r="B288" s="11" t="n">
        <v>22116000</v>
      </c>
      <c r="C288" s="11" t="inlineStr">
        <is>
          <t>(LDO) Xuân Trường - Đà Lạt</t>
        </is>
      </c>
      <c r="D288" s="11" t="inlineStr">
        <is>
          <t>thuong</t>
        </is>
      </c>
      <c r="E288" s="11" t="inlineStr">
        <is>
          <t>10-15kg</t>
        </is>
      </c>
      <c r="F288" s="13" t="n">
        <v>859.2126286887581</v>
      </c>
      <c r="G288" s="13" t="n">
        <v>1050.046165907209</v>
      </c>
      <c r="H288" s="13" t="n">
        <v>1139.239623533943</v>
      </c>
      <c r="I288" s="13" t="n">
        <v>1316.655568756819</v>
      </c>
      <c r="J288" s="13" t="n">
        <v>1394.448615138791</v>
      </c>
      <c r="K288" s="13" t="n">
        <v>1485.923664966445</v>
      </c>
    </row>
    <row r="289" ht="15.75" customHeight="1" s="57">
      <c r="A289" s="11" t="inlineStr">
        <is>
          <t>NTB</t>
        </is>
      </c>
      <c r="B289" s="11" t="n">
        <v>22116000</v>
      </c>
      <c r="C289" s="11" t="inlineStr">
        <is>
          <t>(LDO) Xuân Trường - Đà Lạt</t>
        </is>
      </c>
      <c r="D289" s="11" t="inlineStr">
        <is>
          <t>thuong</t>
        </is>
      </c>
      <c r="E289" s="11" t="inlineStr">
        <is>
          <t>15-30kg</t>
        </is>
      </c>
      <c r="F289" s="13" t="n">
        <v>443.8947100201854</v>
      </c>
      <c r="G289" s="13" t="n">
        <v>548.9645343803913</v>
      </c>
      <c r="H289" s="13" t="n">
        <v>600.0345570341518</v>
      </c>
      <c r="I289" s="13" t="n">
        <v>697.6112591832981</v>
      </c>
      <c r="J289" s="13" t="n">
        <v>737.3107652269384</v>
      </c>
      <c r="K289" s="13" t="n">
        <v>782.6945716930751</v>
      </c>
    </row>
    <row r="290" ht="15.75" customHeight="1" s="57">
      <c r="A290" s="11" t="inlineStr">
        <is>
          <t>NTB</t>
        </is>
      </c>
      <c r="B290" s="11" t="n">
        <v>22116000</v>
      </c>
      <c r="C290" s="11" t="inlineStr">
        <is>
          <t>(LDO) Xuân Trường - Đà Lạt</t>
        </is>
      </c>
      <c r="D290" s="11" t="inlineStr">
        <is>
          <t>thuong</t>
        </is>
      </c>
      <c r="E290" s="11" t="inlineStr">
        <is>
          <t>5-10kg</t>
        </is>
      </c>
      <c r="F290" s="13" t="n">
        <v>943.1423136214554</v>
      </c>
      <c r="G290" s="13" t="n">
        <v>1011.229546505184</v>
      </c>
      <c r="H290" s="13" t="n">
        <v>1005.898829849322</v>
      </c>
      <c r="I290" s="13" t="n">
        <v>1076.026778928507</v>
      </c>
      <c r="J290" s="13" t="n">
        <v>1143.012949215684</v>
      </c>
      <c r="K290" s="13" t="n">
        <v>1255.966398183334</v>
      </c>
    </row>
    <row r="291" ht="15.75" customHeight="1" s="57">
      <c r="A291" s="11" t="inlineStr">
        <is>
          <t>NTB</t>
        </is>
      </c>
      <c r="B291" s="11" t="n">
        <v>22116000</v>
      </c>
      <c r="C291" s="11" t="inlineStr">
        <is>
          <t>(LDO) Xuân Trường - Đà Lạt</t>
        </is>
      </c>
      <c r="D291" s="11" t="inlineStr">
        <is>
          <t>thuong</t>
        </is>
      </c>
      <c r="E291" s="11" t="inlineStr">
        <is>
          <t>&lt;5kg</t>
        </is>
      </c>
      <c r="F291" s="13" t="n">
        <v>13097.98217906233</v>
      </c>
      <c r="G291" s="13" t="n">
        <v>14171.90168436976</v>
      </c>
      <c r="H291" s="13" t="n">
        <v>14114.46482288907</v>
      </c>
      <c r="I291" s="13" t="n">
        <v>15123.60671479532</v>
      </c>
      <c r="J291" s="13" t="n">
        <v>16273.31218079562</v>
      </c>
      <c r="K291" s="13" t="n">
        <v>18042.36849117191</v>
      </c>
    </row>
    <row r="292" ht="15.75" customHeight="1" s="57">
      <c r="A292" s="11" t="inlineStr">
        <is>
          <t>NTB</t>
        </is>
      </c>
      <c r="B292" s="11" t="n">
        <v>22116000</v>
      </c>
      <c r="C292" s="11" t="inlineStr">
        <is>
          <t>(LDO) Xuân Trường - Đà Lạt</t>
        </is>
      </c>
      <c r="D292" s="11" t="inlineStr">
        <is>
          <t>thuong</t>
        </is>
      </c>
      <c r="E292" s="11" t="inlineStr">
        <is>
          <t>≥30kg</t>
        </is>
      </c>
      <c r="F292" s="13" t="n">
        <v>198.2267979407159</v>
      </c>
      <c r="G292" s="13" t="n">
        <v>242.2793084198058</v>
      </c>
      <c r="H292" s="13" t="n">
        <v>263.7176998839459</v>
      </c>
      <c r="I292" s="13" t="n">
        <v>305.7549321261553</v>
      </c>
      <c r="J292" s="13" t="n">
        <v>324.3052966476504</v>
      </c>
      <c r="K292" s="13" t="n">
        <v>345.6298235998942</v>
      </c>
    </row>
    <row r="293" ht="15.75" customHeight="1" s="57">
      <c r="A293" s="11" t="inlineStr">
        <is>
          <t>NTB</t>
        </is>
      </c>
      <c r="B293" s="11" t="n">
        <v>22222000</v>
      </c>
      <c r="C293" s="11" t="inlineStr">
        <is>
          <t xml:space="preserve">Bưu Cục 337 Hùng Vương-Lộc Thắng-Bảo Lâm-Lâm Đồng </t>
        </is>
      </c>
      <c r="D293" s="11" t="inlineStr">
        <is>
          <t>thuong</t>
        </is>
      </c>
      <c r="E293" s="11" t="inlineStr">
        <is>
          <t>10-15kg</t>
        </is>
      </c>
      <c r="F293" s="13" t="n">
        <v>590.5874366164024</v>
      </c>
      <c r="G293" s="13" t="n">
        <v>705.2226799860255</v>
      </c>
      <c r="H293" s="13" t="n">
        <v>755.3671591221088</v>
      </c>
      <c r="I293" s="13" t="n">
        <v>864.3913579840652</v>
      </c>
      <c r="J293" s="13" t="n">
        <v>922.1411105817845</v>
      </c>
      <c r="K293" s="13" t="n">
        <v>991.9365726299009</v>
      </c>
    </row>
    <row r="294" ht="15.75" customHeight="1" s="57">
      <c r="A294" s="11" t="inlineStr">
        <is>
          <t>NTB</t>
        </is>
      </c>
      <c r="B294" s="11" t="n">
        <v>22222000</v>
      </c>
      <c r="C294" s="11" t="inlineStr">
        <is>
          <t xml:space="preserve">Bưu Cục 337 Hùng Vương-Lộc Thắng-Bảo Lâm-Lâm Đồng </t>
        </is>
      </c>
      <c r="D294" s="11" t="inlineStr">
        <is>
          <t>thuong</t>
        </is>
      </c>
      <c r="E294" s="11" t="inlineStr">
        <is>
          <t>15-30kg</t>
        </is>
      </c>
      <c r="F294" s="13" t="n">
        <v>60.33081151725327</v>
      </c>
      <c r="G294" s="13" t="n">
        <v>74.20765530374754</v>
      </c>
      <c r="H294" s="13" t="n">
        <v>80.88791328259637</v>
      </c>
      <c r="I294" s="13" t="n">
        <v>93.84962877684616</v>
      </c>
      <c r="J294" s="13" t="n">
        <v>99.36108514830318</v>
      </c>
      <c r="K294" s="13" t="n">
        <v>105.7040571349822</v>
      </c>
    </row>
    <row r="295" ht="15.75" customHeight="1" s="57">
      <c r="A295" s="11" t="inlineStr">
        <is>
          <t>NTB</t>
        </is>
      </c>
      <c r="B295" s="11" t="n">
        <v>22222000</v>
      </c>
      <c r="C295" s="11" t="inlineStr">
        <is>
          <t xml:space="preserve">Bưu Cục 337 Hùng Vương-Lộc Thắng-Bảo Lâm-Lâm Đồng </t>
        </is>
      </c>
      <c r="D295" s="11" t="inlineStr">
        <is>
          <t>thuong</t>
        </is>
      </c>
      <c r="E295" s="11" t="inlineStr">
        <is>
          <t>5-10kg</t>
        </is>
      </c>
      <c r="F295" s="13" t="n">
        <v>720.2628773467277</v>
      </c>
      <c r="G295" s="13" t="n">
        <v>772.3714811478952</v>
      </c>
      <c r="H295" s="13" t="n">
        <v>768.3801383146281</v>
      </c>
      <c r="I295" s="13" t="n">
        <v>822.0308247328741</v>
      </c>
      <c r="J295" s="13" t="n">
        <v>873.1892996150032</v>
      </c>
      <c r="K295" s="13" t="n">
        <v>959.4297341965033</v>
      </c>
    </row>
    <row r="296" ht="15.75" customHeight="1" s="57">
      <c r="A296" s="11" t="inlineStr">
        <is>
          <t>NTB</t>
        </is>
      </c>
      <c r="B296" s="11" t="n">
        <v>22222000</v>
      </c>
      <c r="C296" s="11" t="inlineStr">
        <is>
          <t xml:space="preserve">Bưu Cục 337 Hùng Vương-Lộc Thắng-Bảo Lâm-Lâm Đồng </t>
        </is>
      </c>
      <c r="D296" s="11" t="inlineStr">
        <is>
          <t>thuong</t>
        </is>
      </c>
      <c r="E296" s="11" t="inlineStr">
        <is>
          <t>&lt;5kg</t>
        </is>
      </c>
      <c r="F296" s="13" t="n">
        <v>10360.53268733638</v>
      </c>
      <c r="G296" s="13" t="n">
        <v>11209.86107056562</v>
      </c>
      <c r="H296" s="13" t="n">
        <v>11164.32113076432</v>
      </c>
      <c r="I296" s="13" t="n">
        <v>11962.42738774832</v>
      </c>
      <c r="J296" s="13" t="n">
        <v>12871.85606769461</v>
      </c>
      <c r="K296" s="13" t="n">
        <v>14271.22217020417</v>
      </c>
    </row>
    <row r="297" ht="15.75" customHeight="1" s="57">
      <c r="A297" s="11" t="inlineStr">
        <is>
          <t>NTB</t>
        </is>
      </c>
      <c r="B297" s="11" t="n">
        <v>22222000</v>
      </c>
      <c r="C297" s="11" t="inlineStr">
        <is>
          <t xml:space="preserve">Bưu Cục 337 Hùng Vương-Lộc Thắng-Bảo Lâm-Lâm Đồng </t>
        </is>
      </c>
      <c r="D297" s="11" t="inlineStr">
        <is>
          <t>thuong</t>
        </is>
      </c>
      <c r="E297" s="11" t="inlineStr">
        <is>
          <t>≥30kg</t>
        </is>
      </c>
      <c r="F297" s="13" t="n">
        <v>30.99182034530136</v>
      </c>
      <c r="G297" s="13" t="n">
        <v>38.50650592594179</v>
      </c>
      <c r="H297" s="13" t="n">
        <v>42.2368184114197</v>
      </c>
      <c r="I297" s="13" t="n">
        <v>49.24152933078604</v>
      </c>
      <c r="J297" s="13" t="n">
        <v>51.947008556391</v>
      </c>
      <c r="K297" s="13" t="n">
        <v>55.00618415116263</v>
      </c>
    </row>
    <row r="298" ht="15.75" customHeight="1" s="57">
      <c r="A298" s="11" t="inlineStr">
        <is>
          <t>NTB</t>
        </is>
      </c>
      <c r="B298" s="11" t="n">
        <v>22242000</v>
      </c>
      <c r="C298" s="11" t="inlineStr">
        <is>
          <t>Bưu Cục 53 Tôn Đức Thắng-Nghĩa Thành-Gia Nghĩa-Đắk Nông</t>
        </is>
      </c>
      <c r="D298" s="11" t="inlineStr">
        <is>
          <t>thuong</t>
        </is>
      </c>
      <c r="E298" s="11" t="inlineStr">
        <is>
          <t>10-15kg</t>
        </is>
      </c>
      <c r="F298" s="13" t="n">
        <v>429.9618801510991</v>
      </c>
      <c r="G298" s="13" t="n">
        <v>514.671793270831</v>
      </c>
      <c r="H298" s="13" t="n">
        <v>550.4585733142355</v>
      </c>
      <c r="I298" s="13" t="n">
        <v>628.9928061278907</v>
      </c>
      <c r="J298" s="13" t="n">
        <v>671.97491526358</v>
      </c>
      <c r="K298" s="13" t="n">
        <v>723.9921344520219</v>
      </c>
    </row>
    <row r="299" ht="15.75" customHeight="1" s="57">
      <c r="A299" s="11" t="inlineStr">
        <is>
          <t>NTB</t>
        </is>
      </c>
      <c r="B299" s="11" t="n">
        <v>22242000</v>
      </c>
      <c r="C299" s="11" t="inlineStr">
        <is>
          <t>Bưu Cục 53 Tôn Đức Thắng-Nghĩa Thành-Gia Nghĩa-Đắk Nông</t>
        </is>
      </c>
      <c r="D299" s="11" t="inlineStr">
        <is>
          <t>thuong</t>
        </is>
      </c>
      <c r="E299" s="11" t="inlineStr">
        <is>
          <t>15-30kg</t>
        </is>
      </c>
      <c r="F299" s="13" t="n">
        <v>122.3127924225778</v>
      </c>
      <c r="G299" s="13" t="n">
        <v>147.8471191404408</v>
      </c>
      <c r="H299" s="13" t="n">
        <v>159.4819725844652</v>
      </c>
      <c r="I299" s="13" t="n">
        <v>183.5590957707832</v>
      </c>
      <c r="J299" s="13" t="n">
        <v>195.6373763659907</v>
      </c>
      <c r="K299" s="13" t="n">
        <v>209.8516915665877</v>
      </c>
    </row>
    <row r="300" ht="15.75" customHeight="1" s="57">
      <c r="A300" s="11" t="inlineStr">
        <is>
          <t>NTB</t>
        </is>
      </c>
      <c r="B300" s="11" t="n">
        <v>22242000</v>
      </c>
      <c r="C300" s="11" t="inlineStr">
        <is>
          <t>Bưu Cục 53 Tôn Đức Thắng-Nghĩa Thành-Gia Nghĩa-Đắk Nông</t>
        </is>
      </c>
      <c r="D300" s="11" t="inlineStr">
        <is>
          <t>thuong</t>
        </is>
      </c>
      <c r="E300" s="11" t="inlineStr">
        <is>
          <t>5-10kg</t>
        </is>
      </c>
      <c r="F300" s="13" t="n">
        <v>459.4926934177549</v>
      </c>
      <c r="G300" s="13" t="n">
        <v>499.7264240459309</v>
      </c>
      <c r="H300" s="13" t="n">
        <v>498.410783591937</v>
      </c>
      <c r="I300" s="13" t="n">
        <v>534.8485196145874</v>
      </c>
      <c r="J300" s="13" t="n">
        <v>578.1198867735213</v>
      </c>
      <c r="K300" s="13" t="n">
        <v>642.7424116111713</v>
      </c>
    </row>
    <row r="301" ht="15.75" customHeight="1" s="57">
      <c r="A301" s="11" t="inlineStr">
        <is>
          <t>NTB</t>
        </is>
      </c>
      <c r="B301" s="11" t="n">
        <v>22242000</v>
      </c>
      <c r="C301" s="11" t="inlineStr">
        <is>
          <t>Bưu Cục 53 Tôn Đức Thắng-Nghĩa Thành-Gia Nghĩa-Đắk Nông</t>
        </is>
      </c>
      <c r="D301" s="11" t="inlineStr">
        <is>
          <t>thuong</t>
        </is>
      </c>
      <c r="E301" s="11" t="inlineStr">
        <is>
          <t>&lt;5kg</t>
        </is>
      </c>
      <c r="F301" s="13" t="n">
        <v>7534.357827317272</v>
      </c>
      <c r="G301" s="13" t="n">
        <v>8285.096989495296</v>
      </c>
      <c r="H301" s="13" t="n">
        <v>8238.793368328257</v>
      </c>
      <c r="I301" s="13" t="n">
        <v>8810.539024156822</v>
      </c>
      <c r="J301" s="13" t="n">
        <v>9604.365862093164</v>
      </c>
      <c r="K301" s="13" t="n">
        <v>10755.60464746245</v>
      </c>
    </row>
    <row r="302" ht="15.75" customHeight="1" s="57">
      <c r="A302" s="11" t="inlineStr">
        <is>
          <t>NTB</t>
        </is>
      </c>
      <c r="B302" s="11" t="n">
        <v>22242000</v>
      </c>
      <c r="C302" s="11" t="inlineStr">
        <is>
          <t>Bưu Cục 53 Tôn Đức Thắng-Nghĩa Thành-Gia Nghĩa-Đắk Nông</t>
        </is>
      </c>
      <c r="D302" s="11" t="inlineStr">
        <is>
          <t>thuong</t>
        </is>
      </c>
      <c r="E302" s="11" t="inlineStr">
        <is>
          <t>≥30kg</t>
        </is>
      </c>
      <c r="F302" s="13" t="n">
        <v>66.41523162038879</v>
      </c>
      <c r="G302" s="13" t="n">
        <v>80.14352478958037</v>
      </c>
      <c r="H302" s="13" t="n">
        <v>86.63334392832843</v>
      </c>
      <c r="I302" s="13" t="n">
        <v>99.92204611691483</v>
      </c>
      <c r="J302" s="13" t="n">
        <v>106.4813434155639</v>
      </c>
      <c r="K302" s="13" t="n">
        <v>114.1260085609241</v>
      </c>
    </row>
    <row r="303" ht="15.75" customHeight="1" s="57">
      <c r="A303" s="11" t="inlineStr">
        <is>
          <t>NTB</t>
        </is>
      </c>
      <c r="B303" s="11" t="n">
        <v>22255000</v>
      </c>
      <c r="C303" s="11" t="inlineStr">
        <is>
          <t>(LDO) Hiệp Thạnh</t>
        </is>
      </c>
      <c r="D303" s="11" t="inlineStr">
        <is>
          <t>thuong</t>
        </is>
      </c>
      <c r="E303" s="11" t="inlineStr">
        <is>
          <t>10-15kg</t>
        </is>
      </c>
      <c r="F303" s="13" t="n">
        <v>729.2458781947965</v>
      </c>
      <c r="G303" s="13" t="n">
        <v>876.8269531757105</v>
      </c>
      <c r="H303" s="13" t="n">
        <v>942.8164078548606</v>
      </c>
      <c r="I303" s="13" t="n">
        <v>1082.151669501814</v>
      </c>
      <c r="J303" s="13" t="n">
        <v>1151.899473431347</v>
      </c>
      <c r="K303" s="13" t="n">
        <v>1235.557645722273</v>
      </c>
    </row>
    <row r="304" ht="15.75" customHeight="1" s="57">
      <c r="A304" s="11" t="inlineStr">
        <is>
          <t>NTB</t>
        </is>
      </c>
      <c r="B304" s="11" t="n">
        <v>22255000</v>
      </c>
      <c r="C304" s="11" t="inlineStr">
        <is>
          <t>(LDO) Hiệp Thạnh</t>
        </is>
      </c>
      <c r="D304" s="11" t="inlineStr">
        <is>
          <t>thuong</t>
        </is>
      </c>
      <c r="E304" s="11" t="inlineStr">
        <is>
          <t>5-10kg</t>
        </is>
      </c>
      <c r="F304" s="13" t="n">
        <v>914.0146384778136</v>
      </c>
      <c r="G304" s="13" t="n">
        <v>980.7809569955422</v>
      </c>
      <c r="H304" s="13" t="n">
        <v>976.173536943269</v>
      </c>
      <c r="I304" s="13" t="n">
        <v>1044.802644406328</v>
      </c>
      <c r="J304" s="13" t="n">
        <v>1109.735437865628</v>
      </c>
      <c r="K304" s="13" t="n">
        <v>1219.057868923016</v>
      </c>
    </row>
    <row r="305" ht="15.75" customHeight="1" s="57">
      <c r="A305" s="11" t="inlineStr">
        <is>
          <t>NTB</t>
        </is>
      </c>
      <c r="B305" s="11" t="n">
        <v>22255000</v>
      </c>
      <c r="C305" s="11" t="inlineStr">
        <is>
          <t>(LDO) Hiệp Thạnh</t>
        </is>
      </c>
      <c r="D305" s="11" t="inlineStr">
        <is>
          <t>thuong</t>
        </is>
      </c>
      <c r="E305" s="11" t="inlineStr">
        <is>
          <t>&lt;5kg</t>
        </is>
      </c>
      <c r="F305" s="13" t="n">
        <v>13813.30558640822</v>
      </c>
      <c r="G305" s="13" t="n">
        <v>14945.97220635691</v>
      </c>
      <c r="H305" s="13" t="n">
        <v>14885.47053606496</v>
      </c>
      <c r="I305" s="13" t="n">
        <v>15949.81034102087</v>
      </c>
      <c r="J305" s="13" t="n">
        <v>17162.29883271933</v>
      </c>
      <c r="K305" s="13" t="n">
        <v>19027.94309910847</v>
      </c>
    </row>
    <row r="306" ht="15.75" customHeight="1" s="57">
      <c r="A306" s="11" t="inlineStr">
        <is>
          <t>NTB</t>
        </is>
      </c>
      <c r="B306" s="11" t="n">
        <v>22312000</v>
      </c>
      <c r="C306" s="11" t="inlineStr">
        <is>
          <t>Bưu Cục Số 6 Trương Văn Hoàn-Phường 9-Đà Lạt-Lâm Đồng</t>
        </is>
      </c>
      <c r="D306" s="11" t="inlineStr">
        <is>
          <t>thuong</t>
        </is>
      </c>
      <c r="E306" s="11" t="inlineStr">
        <is>
          <t>10-15kg</t>
        </is>
      </c>
      <c r="F306" s="13" t="n">
        <v>1627.326283187756</v>
      </c>
      <c r="G306" s="13" t="n">
        <v>1986.444223784035</v>
      </c>
      <c r="H306" s="13" t="n">
        <v>2153.810901169672</v>
      </c>
      <c r="I306" s="13" t="n">
        <v>2488.022073437539</v>
      </c>
      <c r="J306" s="13" t="n">
        <v>2635.959193223886</v>
      </c>
      <c r="K306" s="13" t="n">
        <v>2810.179570386926</v>
      </c>
    </row>
    <row r="307" ht="15.75" customHeight="1" s="57">
      <c r="A307" s="11" t="inlineStr">
        <is>
          <t>NTB</t>
        </is>
      </c>
      <c r="B307" s="11" t="n">
        <v>22312000</v>
      </c>
      <c r="C307" s="11" t="inlineStr">
        <is>
          <t>Bưu Cục Số 6 Trương Văn Hoàn-Phường 9-Đà Lạt-Lâm Đồng</t>
        </is>
      </c>
      <c r="D307" s="11" t="inlineStr">
        <is>
          <t>thuong</t>
        </is>
      </c>
      <c r="E307" s="11" t="inlineStr">
        <is>
          <t>5-10kg</t>
        </is>
      </c>
      <c r="F307" s="13" t="n">
        <v>1675.439766047559</v>
      </c>
      <c r="G307" s="13" t="n">
        <v>1798.118713277032</v>
      </c>
      <c r="H307" s="13" t="n">
        <v>1789.882100657265</v>
      </c>
      <c r="I307" s="13" t="n">
        <v>1915.932648800819</v>
      </c>
      <c r="J307" s="13" t="n">
        <v>2034.963840266501</v>
      </c>
      <c r="K307" s="13" t="n">
        <v>2235.30458808161</v>
      </c>
    </row>
    <row r="308" ht="15.75" customHeight="1" s="57">
      <c r="A308" s="11" t="inlineStr">
        <is>
          <t>NTB</t>
        </is>
      </c>
      <c r="B308" s="11" t="n">
        <v>22312000</v>
      </c>
      <c r="C308" s="11" t="inlineStr">
        <is>
          <t>Bưu Cục Số 6 Trương Văn Hoàn-Phường 9-Đà Lạt-Lâm Đồng</t>
        </is>
      </c>
      <c r="D308" s="11" t="inlineStr">
        <is>
          <t>thuong</t>
        </is>
      </c>
      <c r="E308" s="11" t="inlineStr">
        <is>
          <t>&lt;5kg</t>
        </is>
      </c>
      <c r="F308" s="13" t="n">
        <v>23352.72407103357</v>
      </c>
      <c r="G308" s="13" t="n">
        <v>25267.30203569767</v>
      </c>
      <c r="H308" s="13" t="n">
        <v>25164.79211216077</v>
      </c>
      <c r="I308" s="13" t="n">
        <v>26963.89306471138</v>
      </c>
      <c r="J308" s="13" t="n">
        <v>29013.74092806331</v>
      </c>
      <c r="K308" s="13" t="n">
        <v>32167.87382022973</v>
      </c>
    </row>
    <row r="309" ht="15.75" customHeight="1" s="57">
      <c r="A309" s="11" t="inlineStr">
        <is>
          <t>NTB</t>
        </is>
      </c>
      <c r="B309" s="11" t="n">
        <v>22357000</v>
      </c>
      <c r="C309" s="11" t="inlineStr">
        <is>
          <t>(NTH) Thuận Nam</t>
        </is>
      </c>
      <c r="D309" s="11" t="inlineStr">
        <is>
          <t>thuong</t>
        </is>
      </c>
      <c r="E309" s="11" t="inlineStr">
        <is>
          <t>10-15kg</t>
        </is>
      </c>
      <c r="F309" s="13" t="n">
        <v>444.094809089889</v>
      </c>
      <c r="G309" s="13" t="n">
        <v>538.4604361122813</v>
      </c>
      <c r="H309" s="13" t="n">
        <v>580.7426379036654</v>
      </c>
      <c r="I309" s="13" t="n">
        <v>667.9532624574073</v>
      </c>
      <c r="J309" s="13" t="n">
        <v>709.2337554647663</v>
      </c>
      <c r="K309" s="13" t="n">
        <v>758.624228751768</v>
      </c>
    </row>
    <row r="310" ht="15.75" customHeight="1" s="57">
      <c r="A310" s="11" t="inlineStr">
        <is>
          <t>NTB</t>
        </is>
      </c>
      <c r="B310" s="11" t="n">
        <v>22357000</v>
      </c>
      <c r="C310" s="11" t="inlineStr">
        <is>
          <t>(NTH) Thuận Nam</t>
        </is>
      </c>
      <c r="D310" s="11" t="inlineStr">
        <is>
          <t>thuong</t>
        </is>
      </c>
      <c r="E310" s="11" t="inlineStr">
        <is>
          <t>15-30kg</t>
        </is>
      </c>
      <c r="F310" s="13" t="n">
        <v>402.2727813106368</v>
      </c>
      <c r="G310" s="13" t="n">
        <v>494.7925734710371</v>
      </c>
      <c r="H310" s="13" t="n">
        <v>539.0252764044166</v>
      </c>
      <c r="I310" s="13" t="n">
        <v>625.0888133459044</v>
      </c>
      <c r="J310" s="13" t="n">
        <v>662.0525467422315</v>
      </c>
      <c r="K310" s="13" t="n">
        <v>704.6557504385185</v>
      </c>
    </row>
    <row r="311" ht="15.75" customHeight="1" s="57">
      <c r="A311" s="11" t="inlineStr">
        <is>
          <t>NTB</t>
        </is>
      </c>
      <c r="B311" s="11" t="n">
        <v>22357000</v>
      </c>
      <c r="C311" s="11" t="inlineStr">
        <is>
          <t>(NTH) Thuận Nam</t>
        </is>
      </c>
      <c r="D311" s="11" t="inlineStr">
        <is>
          <t>thuong</t>
        </is>
      </c>
      <c r="E311" s="11" t="inlineStr">
        <is>
          <t>5-10kg</t>
        </is>
      </c>
      <c r="F311" s="13" t="n">
        <v>696.6754582865788</v>
      </c>
      <c r="G311" s="13" t="n">
        <v>746.9773050940826</v>
      </c>
      <c r="H311" s="13" t="n">
        <v>741.3771172306883</v>
      </c>
      <c r="I311" s="13" t="n">
        <v>790.836905037856</v>
      </c>
      <c r="J311" s="13" t="n">
        <v>836.6866880079273</v>
      </c>
      <c r="K311" s="13" t="n">
        <v>917.4773874291583</v>
      </c>
    </row>
    <row r="312" ht="15.75" customHeight="1" s="57">
      <c r="A312" s="11" t="inlineStr">
        <is>
          <t>NTB</t>
        </is>
      </c>
      <c r="B312" s="11" t="n">
        <v>22357000</v>
      </c>
      <c r="C312" s="11" t="inlineStr">
        <is>
          <t>(NTH) Thuận Nam</t>
        </is>
      </c>
      <c r="D312" s="11" t="inlineStr">
        <is>
          <t>thuong</t>
        </is>
      </c>
      <c r="E312" s="11" t="inlineStr">
        <is>
          <t>&lt;5kg</t>
        </is>
      </c>
      <c r="F312" s="13" t="n">
        <v>12204.20041515309</v>
      </c>
      <c r="G312" s="13" t="n">
        <v>13251.16350802779</v>
      </c>
      <c r="H312" s="13" t="n">
        <v>13137.45078273177</v>
      </c>
      <c r="I312" s="13" t="n">
        <v>13997.55931166106</v>
      </c>
      <c r="J312" s="13" t="n">
        <v>15007.52082951909</v>
      </c>
      <c r="K312" s="13" t="n">
        <v>16626.53510732325</v>
      </c>
    </row>
    <row r="313" ht="15.75" customHeight="1" s="57">
      <c r="A313" s="11" t="inlineStr">
        <is>
          <t>NTB</t>
        </is>
      </c>
      <c r="B313" s="11" t="n">
        <v>22357000</v>
      </c>
      <c r="C313" s="11" t="inlineStr">
        <is>
          <t>(NTH) Thuận Nam</t>
        </is>
      </c>
      <c r="D313" s="11" t="inlineStr">
        <is>
          <t>thuong</t>
        </is>
      </c>
      <c r="E313" s="11" t="inlineStr">
        <is>
          <t>≥30kg</t>
        </is>
      </c>
      <c r="F313" s="13" t="n">
        <v>177.425411522992</v>
      </c>
      <c r="G313" s="13" t="n">
        <v>216.8399505718477</v>
      </c>
      <c r="H313" s="13" t="n">
        <v>235.829977875964</v>
      </c>
      <c r="I313" s="13" t="n">
        <v>273.2180931675026</v>
      </c>
      <c r="J313" s="13" t="n">
        <v>289.8903705604868</v>
      </c>
      <c r="K313" s="13" t="n">
        <v>309.1128034124397</v>
      </c>
    </row>
    <row r="314" ht="15.75" customHeight="1" s="57">
      <c r="A314" s="11" t="inlineStr">
        <is>
          <t>NTB</t>
        </is>
      </c>
      <c r="B314" s="11" t="n">
        <v>22363000</v>
      </c>
      <c r="C314" s="11" t="inlineStr">
        <is>
          <t>Bưu Cục Đường 35 Hà Quang 1-Xã Nam Nha Trang-Khánh Hòa</t>
        </is>
      </c>
      <c r="D314" s="11" t="inlineStr">
        <is>
          <t>thuong</t>
        </is>
      </c>
      <c r="E314" s="11" t="inlineStr">
        <is>
          <t>10-15kg</t>
        </is>
      </c>
      <c r="F314" s="13" t="n">
        <v>1261.307094702524</v>
      </c>
      <c r="G314" s="13" t="n">
        <v>1549.541255458882</v>
      </c>
      <c r="H314" s="13" t="n">
        <v>1683.49215634196</v>
      </c>
      <c r="I314" s="13" t="n">
        <v>1947.209135687277</v>
      </c>
      <c r="J314" s="13" t="n">
        <v>2058.74169308237</v>
      </c>
      <c r="K314" s="13" t="n">
        <v>2190.045904952307</v>
      </c>
    </row>
    <row r="315" ht="15.75" customHeight="1" s="57">
      <c r="A315" s="11" t="inlineStr">
        <is>
          <t>NTB</t>
        </is>
      </c>
      <c r="B315" s="11" t="n">
        <v>22363000</v>
      </c>
      <c r="C315" s="11" t="inlineStr">
        <is>
          <t>Bưu Cục Đường 35 Hà Quang 1-Xã Nam Nha Trang-Khánh Hòa</t>
        </is>
      </c>
      <c r="D315" s="11" t="inlineStr">
        <is>
          <t>thuong</t>
        </is>
      </c>
      <c r="E315" s="11" t="inlineStr">
        <is>
          <t>15-30kg</t>
        </is>
      </c>
      <c r="F315" s="13" t="n">
        <v>461.1823684560579</v>
      </c>
      <c r="G315" s="13" t="n">
        <v>572.3383757204398</v>
      </c>
      <c r="H315" s="13" t="n">
        <v>626.4314406353893</v>
      </c>
      <c r="I315" s="13" t="n">
        <v>728.9831768990972</v>
      </c>
      <c r="J315" s="13" t="n">
        <v>769.7068563018265</v>
      </c>
      <c r="K315" s="13" t="n">
        <v>816.1360148511399</v>
      </c>
    </row>
    <row r="316" ht="15.75" customHeight="1" s="57">
      <c r="A316" s="11" t="inlineStr">
        <is>
          <t>NTB</t>
        </is>
      </c>
      <c r="B316" s="11" t="n">
        <v>22363000</v>
      </c>
      <c r="C316" s="11" t="inlineStr">
        <is>
          <t>Bưu Cục Đường 35 Hà Quang 1-Xã Nam Nha Trang-Khánh Hòa</t>
        </is>
      </c>
      <c r="D316" s="11" t="inlineStr">
        <is>
          <t>thuong</t>
        </is>
      </c>
      <c r="E316" s="11" t="inlineStr">
        <is>
          <t>5-10kg</t>
        </is>
      </c>
      <c r="F316" s="13" t="n">
        <v>1313.750523000387</v>
      </c>
      <c r="G316" s="13" t="n">
        <v>1410.98834268567</v>
      </c>
      <c r="H316" s="13" t="n">
        <v>1403.22359562382</v>
      </c>
      <c r="I316" s="13" t="n">
        <v>1500.311770863389</v>
      </c>
      <c r="J316" s="13" t="n">
        <v>1592.192938035268</v>
      </c>
      <c r="K316" s="13" t="n">
        <v>1748.53923862185</v>
      </c>
    </row>
    <row r="317" ht="15.75" customHeight="1" s="57">
      <c r="A317" s="11" t="inlineStr">
        <is>
          <t>NTB</t>
        </is>
      </c>
      <c r="B317" s="11" t="n">
        <v>22363000</v>
      </c>
      <c r="C317" s="11" t="inlineStr">
        <is>
          <t>Bưu Cục Đường 35 Hà Quang 1-Xã Nam Nha Trang-Khánh Hòa</t>
        </is>
      </c>
      <c r="D317" s="11" t="inlineStr">
        <is>
          <t>thuong</t>
        </is>
      </c>
      <c r="E317" s="11" t="inlineStr">
        <is>
          <t>&lt;5kg</t>
        </is>
      </c>
      <c r="F317" s="13" t="n">
        <v>19983.26826826599</v>
      </c>
      <c r="G317" s="13" t="n">
        <v>21739.03371128973</v>
      </c>
      <c r="H317" s="13" t="n">
        <v>21641.10640366635</v>
      </c>
      <c r="I317" s="13" t="n">
        <v>23175.01986649658</v>
      </c>
      <c r="J317" s="13" t="n">
        <v>25049.34964338673</v>
      </c>
      <c r="K317" s="13" t="n">
        <v>27868.75189194068</v>
      </c>
    </row>
    <row r="318" ht="15.75" customHeight="1" s="57">
      <c r="A318" s="11" t="inlineStr">
        <is>
          <t>NTB</t>
        </is>
      </c>
      <c r="B318" s="11" t="n">
        <v>22363000</v>
      </c>
      <c r="C318" s="11" t="inlineStr">
        <is>
          <t>Bưu Cục Đường 35 Hà Quang 1-Xã Nam Nha Trang-Khánh Hòa</t>
        </is>
      </c>
      <c r="D318" s="11" t="inlineStr">
        <is>
          <t>thuong</t>
        </is>
      </c>
      <c r="E318" s="11" t="inlineStr">
        <is>
          <t>≥30kg</t>
        </is>
      </c>
      <c r="F318" s="13" t="n">
        <v>200.7469604822371</v>
      </c>
      <c r="G318" s="13" t="n">
        <v>248.0342697294005</v>
      </c>
      <c r="H318" s="13" t="n">
        <v>271.2051623976832</v>
      </c>
      <c r="I318" s="13" t="n">
        <v>315.4356879776492</v>
      </c>
      <c r="J318" s="13" t="n">
        <v>333.4432259693434</v>
      </c>
      <c r="K318" s="13" t="n">
        <v>353.9719278523688</v>
      </c>
    </row>
    <row r="319" ht="15.75" customHeight="1" s="57">
      <c r="A319" s="11" t="inlineStr">
        <is>
          <t>NTB</t>
        </is>
      </c>
      <c r="B319" s="11" t="n">
        <v>22389000</v>
      </c>
      <c r="C319" s="11" t="inlineStr">
        <is>
          <t>(LDO) Đức Trọng 1</t>
        </is>
      </c>
      <c r="D319" s="11" t="inlineStr">
        <is>
          <t>thuong</t>
        </is>
      </c>
      <c r="E319" s="11" t="inlineStr">
        <is>
          <t>10-15kg</t>
        </is>
      </c>
      <c r="F319" s="13" t="n">
        <v>659.3130854984396</v>
      </c>
      <c r="G319" s="13" t="n">
        <v>784.4331828064551</v>
      </c>
      <c r="H319" s="13" t="n">
        <v>838.4854322584347</v>
      </c>
      <c r="I319" s="13" t="n">
        <v>957.9651188928391</v>
      </c>
      <c r="J319" s="13" t="n">
        <v>1023.173744199687</v>
      </c>
      <c r="K319" s="13" t="n">
        <v>1102.285852744804</v>
      </c>
    </row>
    <row r="320" ht="15.75" customHeight="1" s="57">
      <c r="A320" s="11" t="inlineStr">
        <is>
          <t>NTB</t>
        </is>
      </c>
      <c r="B320" s="11" t="n">
        <v>22389000</v>
      </c>
      <c r="C320" s="11" t="inlineStr">
        <is>
          <t>(LDO) Đức Trọng 1</t>
        </is>
      </c>
      <c r="D320" s="11" t="inlineStr">
        <is>
          <t>thuong</t>
        </is>
      </c>
      <c r="E320" s="11" t="inlineStr">
        <is>
          <t>15-30kg</t>
        </is>
      </c>
      <c r="F320" s="13" t="n">
        <v>49.93946773895325</v>
      </c>
      <c r="G320" s="13" t="n">
        <v>61.66339914892962</v>
      </c>
      <c r="H320" s="13" t="n">
        <v>67.34572965242984</v>
      </c>
      <c r="I320" s="13" t="n">
        <v>78.24981886035819</v>
      </c>
      <c r="J320" s="13" t="n">
        <v>82.7343999344312</v>
      </c>
      <c r="K320" s="13" t="n">
        <v>87.87380518060789</v>
      </c>
    </row>
    <row r="321" ht="15.75" customHeight="1" s="57">
      <c r="A321" s="11" t="inlineStr">
        <is>
          <t>NTB</t>
        </is>
      </c>
      <c r="B321" s="11" t="n">
        <v>22389000</v>
      </c>
      <c r="C321" s="11" t="inlineStr">
        <is>
          <t>(LDO) Đức Trọng 1</t>
        </is>
      </c>
      <c r="D321" s="11" t="inlineStr">
        <is>
          <t>thuong</t>
        </is>
      </c>
      <c r="E321" s="11" t="inlineStr">
        <is>
          <t>5-10kg</t>
        </is>
      </c>
      <c r="F321" s="13" t="n">
        <v>828.0310163422067</v>
      </c>
      <c r="G321" s="13" t="n">
        <v>888.0554989641516</v>
      </c>
      <c r="H321" s="13" t="n">
        <v>883.5521405180646</v>
      </c>
      <c r="I321" s="13" t="n">
        <v>945.3319175442751</v>
      </c>
      <c r="J321" s="13" t="n">
        <v>1004.147242609992</v>
      </c>
      <c r="K321" s="13" t="n">
        <v>1103.269515788146</v>
      </c>
    </row>
    <row r="322" ht="15.75" customHeight="1" s="57">
      <c r="A322" s="11" t="inlineStr">
        <is>
          <t>NTB</t>
        </is>
      </c>
      <c r="B322" s="11" t="n">
        <v>22389000</v>
      </c>
      <c r="C322" s="11" t="inlineStr">
        <is>
          <t>(LDO) Đức Trọng 1</t>
        </is>
      </c>
      <c r="D322" s="11" t="inlineStr">
        <is>
          <t>thuong</t>
        </is>
      </c>
      <c r="E322" s="11" t="inlineStr">
        <is>
          <t>&lt;5kg</t>
        </is>
      </c>
      <c r="F322" s="13" t="n">
        <v>13194.93925751906</v>
      </c>
      <c r="G322" s="13" t="n">
        <v>14276.43280239376</v>
      </c>
      <c r="H322" s="13" t="n">
        <v>14218.29160812592</v>
      </c>
      <c r="I322" s="13" t="n">
        <v>15234.57255539146</v>
      </c>
      <c r="J322" s="13" t="n">
        <v>16392.81241405743</v>
      </c>
      <c r="K322" s="13" t="n">
        <v>18175.06472122576</v>
      </c>
    </row>
    <row r="323" ht="15.75" customHeight="1" s="57">
      <c r="A323" s="11" t="inlineStr">
        <is>
          <t>NTB</t>
        </is>
      </c>
      <c r="B323" s="11" t="n">
        <v>22389000</v>
      </c>
      <c r="C323" s="11" t="inlineStr">
        <is>
          <t>(LDO) Đức Trọng 1</t>
        </is>
      </c>
      <c r="D323" s="11" t="inlineStr">
        <is>
          <t>thuong</t>
        </is>
      </c>
      <c r="E323" s="11" t="inlineStr">
        <is>
          <t>≥30kg</t>
        </is>
      </c>
      <c r="F323" s="13" t="n">
        <v>27.79706810161235</v>
      </c>
      <c r="G323" s="13" t="n">
        <v>34.0478681664827</v>
      </c>
      <c r="H323" s="13" t="n">
        <v>37.09842227457759</v>
      </c>
      <c r="I323" s="13" t="n">
        <v>43.0438244008433</v>
      </c>
      <c r="J323" s="13" t="n">
        <v>45.6223311670275</v>
      </c>
      <c r="K323" s="13" t="n">
        <v>48.58049311566721</v>
      </c>
    </row>
    <row r="324" ht="15.75" customHeight="1" s="57">
      <c r="A324" s="11" t="inlineStr">
        <is>
          <t>NTB</t>
        </is>
      </c>
      <c r="B324" s="11" t="n">
        <v>22394000</v>
      </c>
      <c r="C324" s="11" t="inlineStr">
        <is>
          <t>(DNO) Quảng Tín</t>
        </is>
      </c>
      <c r="D324" s="11" t="inlineStr">
        <is>
          <t>thuong</t>
        </is>
      </c>
      <c r="E324" s="11" t="inlineStr">
        <is>
          <t>10-15kg</t>
        </is>
      </c>
      <c r="F324" s="13" t="n">
        <v>467.8424733271929</v>
      </c>
      <c r="G324" s="13" t="n">
        <v>551.44661234174</v>
      </c>
      <c r="H324" s="13" t="n">
        <v>584.2325401860801</v>
      </c>
      <c r="I324" s="13" t="n">
        <v>662.5602909177754</v>
      </c>
      <c r="J324" s="13" t="n">
        <v>711.8436947813402</v>
      </c>
      <c r="K324" s="13" t="n">
        <v>772.4366475871235</v>
      </c>
    </row>
    <row r="325" ht="15.75" customHeight="1" s="57">
      <c r="A325" s="11" t="inlineStr">
        <is>
          <t>NTB</t>
        </is>
      </c>
      <c r="B325" s="11" t="n">
        <v>22394000</v>
      </c>
      <c r="C325" s="11" t="inlineStr">
        <is>
          <t>(DNO) Quảng Tín</t>
        </is>
      </c>
      <c r="D325" s="11" t="inlineStr">
        <is>
          <t>thuong</t>
        </is>
      </c>
      <c r="E325" s="11" t="inlineStr">
        <is>
          <t>15-30kg</t>
        </is>
      </c>
      <c r="F325" s="13" t="n">
        <v>442.1055629752198</v>
      </c>
      <c r="G325" s="13" t="n">
        <v>531.5373309309283</v>
      </c>
      <c r="H325" s="13" t="n">
        <v>571.6757173724437</v>
      </c>
      <c r="I325" s="13" t="n">
        <v>656.5113482501023</v>
      </c>
      <c r="J325" s="13" t="n">
        <v>701.2133494267345</v>
      </c>
      <c r="K325" s="13" t="n">
        <v>754.0572337671124</v>
      </c>
    </row>
    <row r="326" ht="15.75" customHeight="1" s="57">
      <c r="A326" s="11" t="inlineStr">
        <is>
          <t>NTB</t>
        </is>
      </c>
      <c r="B326" s="11" t="n">
        <v>22394000</v>
      </c>
      <c r="C326" s="11" t="inlineStr">
        <is>
          <t>(DNO) Quảng Tín</t>
        </is>
      </c>
      <c r="D326" s="11" t="inlineStr">
        <is>
          <t>thuong</t>
        </is>
      </c>
      <c r="E326" s="11" t="inlineStr">
        <is>
          <t>5-10kg</t>
        </is>
      </c>
      <c r="F326" s="13" t="n">
        <v>586.2308301726559</v>
      </c>
      <c r="G326" s="13" t="n">
        <v>637.3004234168721</v>
      </c>
      <c r="H326" s="13" t="n">
        <v>635.4240251451783</v>
      </c>
      <c r="I326" s="13" t="n">
        <v>681.6780272402735</v>
      </c>
      <c r="J326" s="13" t="n">
        <v>736.9102197142084</v>
      </c>
      <c r="K326" s="13" t="n">
        <v>819.4366518254213</v>
      </c>
    </row>
    <row r="327" ht="15.75" customHeight="1" s="57">
      <c r="A327" s="11" t="inlineStr">
        <is>
          <t>NTB</t>
        </is>
      </c>
      <c r="B327" s="11" t="n">
        <v>22394000</v>
      </c>
      <c r="C327" s="11" t="inlineStr">
        <is>
          <t>(DNO) Quảng Tín</t>
        </is>
      </c>
      <c r="D327" s="11" t="inlineStr">
        <is>
          <t>thuong</t>
        </is>
      </c>
      <c r="E327" s="11" t="inlineStr">
        <is>
          <t>&lt;5kg</t>
        </is>
      </c>
      <c r="F327" s="13" t="n">
        <v>9895.606706233022</v>
      </c>
      <c r="G327" s="13" t="n">
        <v>10881.32711465678</v>
      </c>
      <c r="H327" s="13" t="n">
        <v>10820.26575868207</v>
      </c>
      <c r="I327" s="13" t="n">
        <v>11570.90450589949</v>
      </c>
      <c r="J327" s="13" t="n">
        <v>12613.56425588932</v>
      </c>
      <c r="K327" s="13" t="n">
        <v>14125.71525788687</v>
      </c>
    </row>
    <row r="328" ht="15.75" customHeight="1" s="57">
      <c r="A328" s="11" t="inlineStr">
        <is>
          <t>NTB</t>
        </is>
      </c>
      <c r="B328" s="11" t="n">
        <v>22394000</v>
      </c>
      <c r="C328" s="11" t="inlineStr">
        <is>
          <t>(DNO) Quảng Tín</t>
        </is>
      </c>
      <c r="D328" s="11" t="inlineStr">
        <is>
          <t>thuong</t>
        </is>
      </c>
      <c r="E328" s="11" t="inlineStr">
        <is>
          <t>≥30kg</t>
        </is>
      </c>
      <c r="F328" s="13" t="n">
        <v>174.7545253050753</v>
      </c>
      <c r="G328" s="13" t="n">
        <v>209.4952706339342</v>
      </c>
      <c r="H328" s="13" t="n">
        <v>225.7181496779459</v>
      </c>
      <c r="I328" s="13" t="n">
        <v>259.7079566738812</v>
      </c>
      <c r="J328" s="13" t="n">
        <v>277.4027111628693</v>
      </c>
      <c r="K328" s="13" t="n">
        <v>298.1363670629256</v>
      </c>
    </row>
    <row r="329" ht="15.75" customHeight="1" s="57">
      <c r="A329" s="11" t="inlineStr">
        <is>
          <t>NTB</t>
        </is>
      </c>
      <c r="B329" s="11" t="n">
        <v>22425000</v>
      </c>
      <c r="C329" s="11" t="inlineStr">
        <is>
          <t>(LDO) Tân Hà Lâm Hà</t>
        </is>
      </c>
      <c r="D329" s="11" t="inlineStr">
        <is>
          <t>thuong</t>
        </is>
      </c>
      <c r="E329" s="11" t="inlineStr">
        <is>
          <t>10-15kg</t>
        </is>
      </c>
      <c r="F329" s="13" t="n">
        <v>717.3750543787376</v>
      </c>
      <c r="G329" s="13" t="n">
        <v>854.7389105024258</v>
      </c>
      <c r="H329" s="13" t="n">
        <v>914.3783323146271</v>
      </c>
      <c r="I329" s="13" t="n">
        <v>1045.337471788661</v>
      </c>
      <c r="J329" s="13" t="n">
        <v>1115.971694351192</v>
      </c>
      <c r="K329" s="13" t="n">
        <v>1201.538110505032</v>
      </c>
    </row>
    <row r="330" ht="15.75" customHeight="1" s="57">
      <c r="A330" s="11" t="inlineStr">
        <is>
          <t>NTB</t>
        </is>
      </c>
      <c r="B330" s="11" t="n">
        <v>22425000</v>
      </c>
      <c r="C330" s="11" t="inlineStr">
        <is>
          <t>(LDO) Tân Hà Lâm Hà</t>
        </is>
      </c>
      <c r="D330" s="11" t="inlineStr">
        <is>
          <t>thuong</t>
        </is>
      </c>
      <c r="E330" s="11" t="inlineStr">
        <is>
          <t>15-30kg</t>
        </is>
      </c>
      <c r="F330" s="13" t="n">
        <v>430.8685695372662</v>
      </c>
      <c r="G330" s="13" t="n">
        <v>521.8103641580478</v>
      </c>
      <c r="H330" s="13" t="n">
        <v>564.2659363415601</v>
      </c>
      <c r="I330" s="13" t="n">
        <v>650.8185390317462</v>
      </c>
      <c r="J330" s="13" t="n">
        <v>692.8581026314857</v>
      </c>
      <c r="K330" s="13" t="n">
        <v>741.9869473978622</v>
      </c>
    </row>
    <row r="331" ht="15.75" customHeight="1" s="57">
      <c r="A331" s="11" t="inlineStr">
        <is>
          <t>NTB</t>
        </is>
      </c>
      <c r="B331" s="11" t="n">
        <v>22425000</v>
      </c>
      <c r="C331" s="11" t="inlineStr">
        <is>
          <t>(LDO) Tân Hà Lâm Hà</t>
        </is>
      </c>
      <c r="D331" s="11" t="inlineStr">
        <is>
          <t>thuong</t>
        </is>
      </c>
      <c r="E331" s="11" t="inlineStr">
        <is>
          <t>5-10kg</t>
        </is>
      </c>
      <c r="F331" s="13" t="n">
        <v>872.223794490976</v>
      </c>
      <c r="G331" s="13" t="n">
        <v>934.7659264935827</v>
      </c>
      <c r="H331" s="13" t="n">
        <v>929.5321174959402</v>
      </c>
      <c r="I331" s="13" t="n">
        <v>994.0240265921909</v>
      </c>
      <c r="J331" s="13" t="n">
        <v>1055.964869301214</v>
      </c>
      <c r="K331" s="13" t="n">
        <v>1160.502491788789</v>
      </c>
    </row>
    <row r="332" ht="15.75" customHeight="1" s="57">
      <c r="A332" s="11" t="inlineStr">
        <is>
          <t>NTB</t>
        </is>
      </c>
      <c r="B332" s="11" t="n">
        <v>22425000</v>
      </c>
      <c r="C332" s="11" t="inlineStr">
        <is>
          <t>(LDO) Tân Hà Lâm Hà</t>
        </is>
      </c>
      <c r="D332" s="11" t="inlineStr">
        <is>
          <t>thuong</t>
        </is>
      </c>
      <c r="E332" s="11" t="inlineStr">
        <is>
          <t>&lt;5kg</t>
        </is>
      </c>
      <c r="F332" s="13" t="n">
        <v>11502.2875749049</v>
      </c>
      <c r="G332" s="13" t="n">
        <v>12445.0626315847</v>
      </c>
      <c r="H332" s="13" t="n">
        <v>12394.39163143267</v>
      </c>
      <c r="I332" s="13" t="n">
        <v>13280.31770118378</v>
      </c>
      <c r="J332" s="13" t="n">
        <v>14289.97711673279</v>
      </c>
      <c r="K332" s="13" t="n">
        <v>15843.59717748696</v>
      </c>
    </row>
    <row r="333" ht="15.75" customHeight="1" s="57">
      <c r="A333" s="11" t="inlineStr">
        <is>
          <t>NTB</t>
        </is>
      </c>
      <c r="B333" s="11" t="n">
        <v>22425000</v>
      </c>
      <c r="C333" s="11" t="inlineStr">
        <is>
          <t>(LDO) Tân Hà Lâm Hà</t>
        </is>
      </c>
      <c r="D333" s="11" t="inlineStr">
        <is>
          <t>thuong</t>
        </is>
      </c>
      <c r="E333" s="11" t="inlineStr">
        <is>
          <t>≥30kg</t>
        </is>
      </c>
      <c r="F333" s="13" t="n">
        <v>188.2117543722764</v>
      </c>
      <c r="G333" s="13" t="n">
        <v>229.3233940591005</v>
      </c>
      <c r="H333" s="13" t="n">
        <v>249.2470785346694</v>
      </c>
      <c r="I333" s="13" t="n">
        <v>288.6674684618132</v>
      </c>
      <c r="J333" s="13" t="n">
        <v>306.5026913021302</v>
      </c>
      <c r="K333" s="13" t="n">
        <v>327.0631643042327</v>
      </c>
    </row>
    <row r="334" ht="15.75" customHeight="1" s="57">
      <c r="A334" s="11" t="inlineStr">
        <is>
          <t>NTB</t>
        </is>
      </c>
      <c r="B334" s="11" t="n">
        <v>22452000</v>
      </c>
      <c r="C334" s="11" t="inlineStr">
        <is>
          <t>(BTH) Phú Quý</t>
        </is>
      </c>
      <c r="D334" s="11" t="inlineStr">
        <is>
          <t>thuong</t>
        </is>
      </c>
      <c r="E334" s="11" t="inlineStr">
        <is>
          <t>10-15kg</t>
        </is>
      </c>
      <c r="F334" s="13" t="n">
        <v>1218.769835890869</v>
      </c>
      <c r="G334" s="13" t="n">
        <v>1503.484637401765</v>
      </c>
      <c r="H334" s="13" t="n">
        <v>1638.44497915368</v>
      </c>
      <c r="I334" s="13" t="n">
        <v>1899.717907802245</v>
      </c>
      <c r="J334" s="13" t="n">
        <v>2005.369423365803</v>
      </c>
      <c r="K334" s="13" t="n">
        <v>2128.68063870197</v>
      </c>
    </row>
    <row r="335" ht="15.75" customHeight="1" s="57">
      <c r="A335" s="11" t="inlineStr">
        <is>
          <t>NTB</t>
        </is>
      </c>
      <c r="B335" s="11" t="n">
        <v>22452000</v>
      </c>
      <c r="C335" s="11" t="inlineStr">
        <is>
          <t>(BTH) Phú Quý</t>
        </is>
      </c>
      <c r="D335" s="11" t="inlineStr">
        <is>
          <t>thuong</t>
        </is>
      </c>
      <c r="E335" s="11" t="inlineStr">
        <is>
          <t>15-30kg</t>
        </is>
      </c>
      <c r="F335" s="13" t="n">
        <v>1124.073307322549</v>
      </c>
      <c r="G335" s="13" t="n">
        <v>1400.799224354661</v>
      </c>
      <c r="H335" s="13" t="n">
        <v>1536.825697859263</v>
      </c>
      <c r="I335" s="13" t="n">
        <v>1791.597047791727</v>
      </c>
      <c r="J335" s="13" t="n">
        <v>1888.809769439205</v>
      </c>
      <c r="K335" s="13" t="n">
        <v>1998.95583180646</v>
      </c>
    </row>
    <row r="336" ht="15.75" customHeight="1" s="57">
      <c r="A336" s="11" t="inlineStr">
        <is>
          <t>NTB</t>
        </is>
      </c>
      <c r="B336" s="11" t="n">
        <v>22452000</v>
      </c>
      <c r="C336" s="11" t="inlineStr">
        <is>
          <t>(BTH) Phú Quý</t>
        </is>
      </c>
      <c r="D336" s="11" t="inlineStr">
        <is>
          <t>thuong</t>
        </is>
      </c>
      <c r="E336" s="11" t="inlineStr">
        <is>
          <t>5-10kg</t>
        </is>
      </c>
      <c r="F336" s="13" t="n">
        <v>1079.921658190523</v>
      </c>
      <c r="G336" s="13" t="n">
        <v>1158.286018063561</v>
      </c>
      <c r="H336" s="13" t="n">
        <v>1151.677081670347</v>
      </c>
      <c r="I336" s="13" t="n">
        <v>1230.994234421898</v>
      </c>
      <c r="J336" s="13" t="n">
        <v>1303.461840560898</v>
      </c>
      <c r="K336" s="13" t="n">
        <v>1429.199532688504</v>
      </c>
    </row>
    <row r="337" ht="15.75" customHeight="1" s="57">
      <c r="A337" s="11" t="inlineStr">
        <is>
          <t>NTB</t>
        </is>
      </c>
      <c r="B337" s="11" t="n">
        <v>22452000</v>
      </c>
      <c r="C337" s="11" t="inlineStr">
        <is>
          <t>(BTH) Phú Quý</t>
        </is>
      </c>
      <c r="D337" s="11" t="inlineStr">
        <is>
          <t>thuong</t>
        </is>
      </c>
      <c r="E337" s="11" t="inlineStr">
        <is>
          <t>&lt;5kg</t>
        </is>
      </c>
      <c r="F337" s="13" t="n">
        <v>10911.05922697881</v>
      </c>
      <c r="G337" s="13" t="n">
        <v>11811.42205797706</v>
      </c>
      <c r="H337" s="13" t="n">
        <v>11720.18675787593</v>
      </c>
      <c r="I337" s="13" t="n">
        <v>12500.91285541074</v>
      </c>
      <c r="J337" s="13" t="n">
        <v>13380.07851111103</v>
      </c>
      <c r="K337" s="13" t="n">
        <v>14799.70474161954</v>
      </c>
    </row>
    <row r="338" ht="15.75" customHeight="1" s="57">
      <c r="A338" s="11" t="inlineStr">
        <is>
          <t>NTB</t>
        </is>
      </c>
      <c r="B338" s="11" t="n">
        <v>22452000</v>
      </c>
      <c r="C338" s="11" t="inlineStr">
        <is>
          <t>(BTH) Phú Quý</t>
        </is>
      </c>
      <c r="D338" s="11" t="inlineStr">
        <is>
          <t>thuong</t>
        </is>
      </c>
      <c r="E338" s="11" t="inlineStr">
        <is>
          <t>≥30kg</t>
        </is>
      </c>
      <c r="F338" s="13" t="n">
        <v>487.1234031947559</v>
      </c>
      <c r="G338" s="13" t="n">
        <v>614.7338975301585</v>
      </c>
      <c r="H338" s="13" t="n">
        <v>679.0047336340892</v>
      </c>
      <c r="I338" s="13" t="n">
        <v>795.5390695622198</v>
      </c>
      <c r="J338" s="13" t="n">
        <v>835.1454481797128</v>
      </c>
      <c r="K338" s="13" t="n">
        <v>879.1311582172542</v>
      </c>
    </row>
    <row r="339" ht="15.75" customHeight="1" s="57">
      <c r="A339" s="11" t="inlineStr">
        <is>
          <t>NTB</t>
        </is>
      </c>
      <c r="B339" s="11" t="n">
        <v>22483000</v>
      </c>
      <c r="C339" s="11" t="inlineStr">
        <is>
          <t>(BTH) Hàm Thuận</t>
        </is>
      </c>
      <c r="D339" s="11" t="inlineStr">
        <is>
          <t>thuong</t>
        </is>
      </c>
      <c r="E339" s="11" t="inlineStr">
        <is>
          <t>10-15kg</t>
        </is>
      </c>
      <c r="F339" s="13" t="n">
        <v>1093.345000321247</v>
      </c>
      <c r="G339" s="13" t="n">
        <v>1311.122656995725</v>
      </c>
      <c r="H339" s="13" t="n">
        <v>1406.125753750823</v>
      </c>
      <c r="I339" s="13" t="n">
        <v>1610.22770508837</v>
      </c>
      <c r="J339" s="13" t="n">
        <v>1714.05624937854</v>
      </c>
      <c r="K339" s="13" t="n">
        <v>1840.055425858726</v>
      </c>
    </row>
    <row r="340" ht="15.75" customHeight="1" s="57">
      <c r="A340" s="11" t="inlineStr">
        <is>
          <t>NTB</t>
        </is>
      </c>
      <c r="B340" s="11" t="n">
        <v>22483000</v>
      </c>
      <c r="C340" s="11" t="inlineStr">
        <is>
          <t>(BTH) Hàm Thuận</t>
        </is>
      </c>
      <c r="D340" s="11" t="inlineStr">
        <is>
          <t>thuong</t>
        </is>
      </c>
      <c r="E340" s="11" t="inlineStr">
        <is>
          <t>15-30kg</t>
        </is>
      </c>
      <c r="F340" s="13" t="n">
        <v>1145.894449884282</v>
      </c>
      <c r="G340" s="13" t="n">
        <v>1404.272651374675</v>
      </c>
      <c r="H340" s="13" t="n">
        <v>1527.55291407923</v>
      </c>
      <c r="I340" s="13" t="n">
        <v>1769.609397651</v>
      </c>
      <c r="J340" s="13" t="n">
        <v>1876.165898168893</v>
      </c>
      <c r="K340" s="13" t="n">
        <v>1999.328951913384</v>
      </c>
    </row>
    <row r="341" ht="15.75" customHeight="1" s="57">
      <c r="A341" s="11" t="inlineStr">
        <is>
          <t>NTB</t>
        </is>
      </c>
      <c r="B341" s="11" t="n">
        <v>22483000</v>
      </c>
      <c r="C341" s="11" t="inlineStr">
        <is>
          <t>(BTH) Hàm Thuận</t>
        </is>
      </c>
      <c r="D341" s="11" t="inlineStr">
        <is>
          <t>thuong</t>
        </is>
      </c>
      <c r="E341" s="11" t="inlineStr">
        <is>
          <t>5-10kg</t>
        </is>
      </c>
      <c r="F341" s="13" t="n">
        <v>1545.856882347942</v>
      </c>
      <c r="G341" s="13" t="n">
        <v>1656.280663243352</v>
      </c>
      <c r="H341" s="13" t="n">
        <v>1645.56292469541</v>
      </c>
      <c r="I341" s="13" t="n">
        <v>1757.597647654406</v>
      </c>
      <c r="J341" s="13" t="n">
        <v>1861.26421366182</v>
      </c>
      <c r="K341" s="13" t="n">
        <v>2041.543833149004</v>
      </c>
    </row>
    <row r="342" ht="15.75" customHeight="1" s="57">
      <c r="A342" s="11" t="inlineStr">
        <is>
          <t>NTB</t>
        </is>
      </c>
      <c r="B342" s="11" t="n">
        <v>22483000</v>
      </c>
      <c r="C342" s="11" t="inlineStr">
        <is>
          <t>(BTH) Hàm Thuận</t>
        </is>
      </c>
      <c r="D342" s="11" t="inlineStr">
        <is>
          <t>thuong</t>
        </is>
      </c>
      <c r="E342" s="11" t="inlineStr">
        <is>
          <t>&lt;5kg</t>
        </is>
      </c>
      <c r="F342" s="13" t="n">
        <v>24782.74328985411</v>
      </c>
      <c r="G342" s="13" t="n">
        <v>26825.95792963351</v>
      </c>
      <c r="H342" s="13" t="n">
        <v>26617.34105271137</v>
      </c>
      <c r="I342" s="13" t="n">
        <v>28388.98084254776</v>
      </c>
      <c r="J342" s="13" t="n">
        <v>30385.91594399628</v>
      </c>
      <c r="K342" s="13" t="n">
        <v>33610.8151419533</v>
      </c>
    </row>
    <row r="343" ht="15.75" customHeight="1" s="57">
      <c r="A343" s="11" t="inlineStr">
        <is>
          <t>NTB</t>
        </is>
      </c>
      <c r="B343" s="11" t="n">
        <v>22483000</v>
      </c>
      <c r="C343" s="11" t="inlineStr">
        <is>
          <t>(BTH) Hàm Thuận</t>
        </is>
      </c>
      <c r="D343" s="11" t="inlineStr">
        <is>
          <t>thuong</t>
        </is>
      </c>
      <c r="E343" s="11" t="inlineStr">
        <is>
          <t>≥30kg</t>
        </is>
      </c>
      <c r="F343" s="13" t="n">
        <v>449.872450349786</v>
      </c>
      <c r="G343" s="13" t="n">
        <v>550.366625003311</v>
      </c>
      <c r="H343" s="13" t="n">
        <v>599.0818537938566</v>
      </c>
      <c r="I343" s="13" t="n">
        <v>694.5400722072728</v>
      </c>
      <c r="J343" s="13" t="n">
        <v>736.5636675602681</v>
      </c>
      <c r="K343" s="13" t="n">
        <v>784.9035306431512</v>
      </c>
    </row>
    <row r="344" ht="15.75" customHeight="1" s="57">
      <c r="A344" s="11" t="inlineStr">
        <is>
          <t>NTB</t>
        </is>
      </c>
      <c r="B344" s="11" t="n">
        <v>22549000</v>
      </c>
      <c r="C344" s="11" t="inlineStr">
        <is>
          <t>Bưu Cục 21 Trần Hưng Đạo-Xã Phan Rí Cửa-Bình Thuận</t>
        </is>
      </c>
      <c r="D344" s="11" t="inlineStr">
        <is>
          <t>thuong</t>
        </is>
      </c>
      <c r="E344" s="11" t="inlineStr">
        <is>
          <t>10-15kg</t>
        </is>
      </c>
      <c r="F344" s="13" t="n">
        <v>825.4641264186297</v>
      </c>
      <c r="G344" s="13" t="n">
        <v>988.8139263169942</v>
      </c>
      <c r="H344" s="13" t="n">
        <v>1059.799117567866</v>
      </c>
      <c r="I344" s="13" t="n">
        <v>1213.032979393385</v>
      </c>
      <c r="J344" s="13" t="n">
        <v>1291.679749623232</v>
      </c>
      <c r="K344" s="13" t="n">
        <v>1387.245040049773</v>
      </c>
    </row>
    <row r="345" ht="15.75" customHeight="1" s="57">
      <c r="A345" s="11" t="inlineStr">
        <is>
          <t>NTB</t>
        </is>
      </c>
      <c r="B345" s="11" t="n">
        <v>22549000</v>
      </c>
      <c r="C345" s="11" t="inlineStr">
        <is>
          <t>Bưu Cục 21 Trần Hưng Đạo-Xã Phan Rí Cửa-Bình Thuận</t>
        </is>
      </c>
      <c r="D345" s="11" t="inlineStr">
        <is>
          <t>thuong</t>
        </is>
      </c>
      <c r="E345" s="11" t="inlineStr">
        <is>
          <t>15-30kg</t>
        </is>
      </c>
      <c r="F345" s="13" t="n">
        <v>1.266738549155126</v>
      </c>
      <c r="G345" s="13" t="n">
        <v>1.374643052215228</v>
      </c>
      <c r="H345" s="13" t="n">
        <v>1.395200592913473</v>
      </c>
      <c r="I345" s="13" t="n">
        <v>1.529365680110825</v>
      </c>
      <c r="J345" s="13" t="n">
        <v>1.696283666723006</v>
      </c>
      <c r="K345" s="13" t="n">
        <v>1.908030799367543</v>
      </c>
    </row>
    <row r="346" ht="15.75" customHeight="1" s="57">
      <c r="A346" s="11" t="inlineStr">
        <is>
          <t>NTB</t>
        </is>
      </c>
      <c r="B346" s="11" t="n">
        <v>22549000</v>
      </c>
      <c r="C346" s="11" t="inlineStr">
        <is>
          <t>Bưu Cục 21 Trần Hưng Đạo-Xã Phan Rí Cửa-Bình Thuận</t>
        </is>
      </c>
      <c r="D346" s="11" t="inlineStr">
        <is>
          <t>thuong</t>
        </is>
      </c>
      <c r="E346" s="11" t="inlineStr">
        <is>
          <t>5-10kg</t>
        </is>
      </c>
      <c r="F346" s="13" t="n">
        <v>945.7463654406213</v>
      </c>
      <c r="G346" s="13" t="n">
        <v>1013.453843667867</v>
      </c>
      <c r="H346" s="13" t="n">
        <v>1007.005103849327</v>
      </c>
      <c r="I346" s="13" t="n">
        <v>1075.676864640652</v>
      </c>
      <c r="J346" s="13" t="n">
        <v>1139.105279795412</v>
      </c>
      <c r="K346" s="13" t="n">
        <v>1249.37415842919</v>
      </c>
    </row>
    <row r="347" ht="15.75" customHeight="1" s="57">
      <c r="A347" s="11" t="inlineStr">
        <is>
          <t>NTB</t>
        </is>
      </c>
      <c r="B347" s="11" t="n">
        <v>22549000</v>
      </c>
      <c r="C347" s="11" t="inlineStr">
        <is>
          <t>Bưu Cục 21 Trần Hưng Đạo-Xã Phan Rí Cửa-Bình Thuận</t>
        </is>
      </c>
      <c r="D347" s="11" t="inlineStr">
        <is>
          <t>thuong</t>
        </is>
      </c>
      <c r="E347" s="11" t="inlineStr">
        <is>
          <t>&lt;5kg</t>
        </is>
      </c>
      <c r="F347" s="13" t="n">
        <v>15645.00953255971</v>
      </c>
      <c r="G347" s="13" t="n">
        <v>16935.09176391425</v>
      </c>
      <c r="H347" s="13" t="n">
        <v>16803.56965179308</v>
      </c>
      <c r="I347" s="13" t="n">
        <v>17922.19010768085</v>
      </c>
      <c r="J347" s="13" t="n">
        <v>19182.82190822934</v>
      </c>
      <c r="K347" s="13" t="n">
        <v>21218.60128301119</v>
      </c>
    </row>
    <row r="348" ht="15.75" customHeight="1" s="57">
      <c r="A348" s="11" t="inlineStr">
        <is>
          <t>NTB</t>
        </is>
      </c>
      <c r="B348" s="11" t="n">
        <v>22549000</v>
      </c>
      <c r="C348" s="11" t="inlineStr">
        <is>
          <t>Bưu Cục 21 Trần Hưng Đạo-Xã Phan Rí Cửa-Bình Thuận</t>
        </is>
      </c>
      <c r="D348" s="11" t="inlineStr">
        <is>
          <t>thuong</t>
        </is>
      </c>
      <c r="E348" s="11" t="inlineStr">
        <is>
          <t>≥30kg</t>
        </is>
      </c>
      <c r="F348" s="13" t="n">
        <v>1.630315095709533</v>
      </c>
      <c r="G348" s="13" t="n">
        <v>1.881607576470364</v>
      </c>
      <c r="H348" s="13" t="n">
        <v>1.988942797922594</v>
      </c>
      <c r="I348" s="13" t="n">
        <v>2.255761263777956</v>
      </c>
      <c r="J348" s="13" t="n">
        <v>2.443472706511026</v>
      </c>
      <c r="K348" s="13" t="n">
        <v>2.668849746110545</v>
      </c>
    </row>
    <row r="349" ht="15.75" customHeight="1" s="57">
      <c r="A349" s="11" t="inlineStr">
        <is>
          <t>NTB</t>
        </is>
      </c>
      <c r="B349" s="11" t="n">
        <v>22704000</v>
      </c>
      <c r="C349" s="11" t="inlineStr">
        <is>
          <t>Bưu Cục 06 Lê Hồng Phong-TP.Nha Trang-Khánh Hòa</t>
        </is>
      </c>
      <c r="D349" s="11" t="inlineStr">
        <is>
          <t>thuong</t>
        </is>
      </c>
      <c r="E349" s="11" t="inlineStr">
        <is>
          <t>10-15kg</t>
        </is>
      </c>
      <c r="F349" s="13" t="n">
        <v>1536.227618281183</v>
      </c>
      <c r="G349" s="13" t="n">
        <v>1877.035600741868</v>
      </c>
      <c r="H349" s="13" t="n">
        <v>2032.887696242508</v>
      </c>
      <c r="I349" s="13" t="n">
        <v>2345.606140643369</v>
      </c>
      <c r="J349" s="13" t="n">
        <v>2484.013336482153</v>
      </c>
      <c r="K349" s="13" t="n">
        <v>2648.289123344436</v>
      </c>
    </row>
    <row r="350" ht="15.75" customHeight="1" s="57">
      <c r="A350" s="11" t="inlineStr">
        <is>
          <t>NTB</t>
        </is>
      </c>
      <c r="B350" s="11" t="n">
        <v>22704000</v>
      </c>
      <c r="C350" s="11" t="inlineStr">
        <is>
          <t>Bưu Cục 06 Lê Hồng Phong-TP.Nha Trang-Khánh Hòa</t>
        </is>
      </c>
      <c r="D350" s="11" t="inlineStr">
        <is>
          <t>thuong</t>
        </is>
      </c>
      <c r="E350" s="11" t="inlineStr">
        <is>
          <t>15-30kg</t>
        </is>
      </c>
      <c r="F350" s="13" t="n">
        <v>1431.923366398291</v>
      </c>
      <c r="G350" s="13" t="n">
        <v>1783.438172068161</v>
      </c>
      <c r="H350" s="13" t="n">
        <v>1955.583924639579</v>
      </c>
      <c r="I350" s="13" t="n">
        <v>2278.794853891824</v>
      </c>
      <c r="J350" s="13" t="n">
        <v>2403.019306204947</v>
      </c>
      <c r="K350" s="13" t="n">
        <v>2544.039426544873</v>
      </c>
    </row>
    <row r="351" ht="15.75" customHeight="1" s="57">
      <c r="A351" s="11" t="inlineStr">
        <is>
          <t>NTB</t>
        </is>
      </c>
      <c r="B351" s="11" t="n">
        <v>22704000</v>
      </c>
      <c r="C351" s="11" t="inlineStr">
        <is>
          <t>Bưu Cục 06 Lê Hồng Phong-TP.Nha Trang-Khánh Hòa</t>
        </is>
      </c>
      <c r="D351" s="11" t="inlineStr">
        <is>
          <t>thuong</t>
        </is>
      </c>
      <c r="E351" s="11" t="inlineStr">
        <is>
          <t>5-10kg</t>
        </is>
      </c>
      <c r="F351" s="13" t="n">
        <v>1640.397214443843</v>
      </c>
      <c r="G351" s="13" t="n">
        <v>1762.81959835645</v>
      </c>
      <c r="H351" s="13" t="n">
        <v>1753.851832182419</v>
      </c>
      <c r="I351" s="13" t="n">
        <v>1875.949034600216</v>
      </c>
      <c r="J351" s="13" t="n">
        <v>1990.700534918913</v>
      </c>
      <c r="K351" s="13" t="n">
        <v>2185.738540833035</v>
      </c>
    </row>
    <row r="352" ht="15.75" customHeight="1" s="57">
      <c r="A352" s="11" t="inlineStr">
        <is>
          <t>NTB</t>
        </is>
      </c>
      <c r="B352" s="11" t="n">
        <v>22704000</v>
      </c>
      <c r="C352" s="11" t="inlineStr">
        <is>
          <t>Bưu Cục 06 Lê Hồng Phong-TP.Nha Trang-Khánh Hòa</t>
        </is>
      </c>
      <c r="D352" s="11" t="inlineStr">
        <is>
          <t>thuong</t>
        </is>
      </c>
      <c r="E352" s="11" t="inlineStr">
        <is>
          <t>&lt;5kg</t>
        </is>
      </c>
      <c r="F352" s="13" t="n">
        <v>23522.70830559439</v>
      </c>
      <c r="G352" s="13" t="n">
        <v>25590.00747817546</v>
      </c>
      <c r="H352" s="13" t="n">
        <v>25475.15963274853</v>
      </c>
      <c r="I352" s="13" t="n">
        <v>27281.2624560087</v>
      </c>
      <c r="J352" s="13" t="n">
        <v>29487.52070600194</v>
      </c>
      <c r="K352" s="13" t="n">
        <v>32806.12632558308</v>
      </c>
    </row>
    <row r="353" ht="15.75" customHeight="1" s="57">
      <c r="A353" s="11" t="inlineStr">
        <is>
          <t>NTB</t>
        </is>
      </c>
      <c r="B353" s="11" t="n">
        <v>22704000</v>
      </c>
      <c r="C353" s="11" t="inlineStr">
        <is>
          <t>Bưu Cục 06 Lê Hồng Phong-TP.Nha Trang-Khánh Hòa</t>
        </is>
      </c>
      <c r="D353" s="11" t="inlineStr">
        <is>
          <t>thuong</t>
        </is>
      </c>
      <c r="E353" s="11" t="inlineStr">
        <is>
          <t>≥30kg</t>
        </is>
      </c>
      <c r="F353" s="13" t="n">
        <v>550.3441019560386</v>
      </c>
      <c r="G353" s="13" t="n">
        <v>687.833283190658</v>
      </c>
      <c r="H353" s="13" t="n">
        <v>756.2248187479642</v>
      </c>
      <c r="I353" s="13" t="n">
        <v>883.0513753367218</v>
      </c>
      <c r="J353" s="13" t="n">
        <v>929.9364843729891</v>
      </c>
      <c r="K353" s="13" t="n">
        <v>982.6865356456324</v>
      </c>
    </row>
    <row r="354" ht="15.75" customHeight="1" s="57">
      <c r="A354" s="11" t="inlineStr">
        <is>
          <t>NTB</t>
        </is>
      </c>
      <c r="B354" s="11" t="n">
        <v>22746000</v>
      </c>
      <c r="C354" s="11" t="inlineStr">
        <is>
          <t>Bưu Cục 229 Phước Long-Nam Nha Trang-Khánh Hòa</t>
        </is>
      </c>
      <c r="D354" s="11" t="inlineStr">
        <is>
          <t>thuong</t>
        </is>
      </c>
      <c r="E354" s="11" t="inlineStr">
        <is>
          <t>10-15kg</t>
        </is>
      </c>
      <c r="F354" s="13" t="n">
        <v>1733.086591615843</v>
      </c>
      <c r="G354" s="13" t="n">
        <v>2114.90981661902</v>
      </c>
      <c r="H354" s="13" t="n">
        <v>2288.842298297974</v>
      </c>
      <c r="I354" s="13" t="n">
        <v>2639.435701952802</v>
      </c>
      <c r="J354" s="13" t="n">
        <v>2796.243794698343</v>
      </c>
      <c r="K354" s="13" t="n">
        <v>2982.698745851032</v>
      </c>
    </row>
    <row r="355" ht="15.75" customHeight="1" s="57">
      <c r="A355" s="11" t="inlineStr">
        <is>
          <t>NTB</t>
        </is>
      </c>
      <c r="B355" s="11" t="n">
        <v>22746000</v>
      </c>
      <c r="C355" s="11" t="inlineStr">
        <is>
          <t>Bưu Cục 229 Phước Long-Nam Nha Trang-Khánh Hòa</t>
        </is>
      </c>
      <c r="D355" s="11" t="inlineStr">
        <is>
          <t>thuong</t>
        </is>
      </c>
      <c r="E355" s="11" t="inlineStr">
        <is>
          <t>15-30kg</t>
        </is>
      </c>
      <c r="F355" s="13" t="n">
        <v>802.8024678404738</v>
      </c>
      <c r="G355" s="13" t="n">
        <v>995.0609374658633</v>
      </c>
      <c r="H355" s="13" t="n">
        <v>1088.40817564381</v>
      </c>
      <c r="I355" s="13" t="n">
        <v>1265.985638728193</v>
      </c>
      <c r="J355" s="13" t="n">
        <v>1337.232471268467</v>
      </c>
      <c r="K355" s="13" t="n">
        <v>1418.597569433184</v>
      </c>
    </row>
    <row r="356" ht="15.75" customHeight="1" s="57">
      <c r="A356" s="11" t="inlineStr">
        <is>
          <t>NTB</t>
        </is>
      </c>
      <c r="B356" s="11" t="n">
        <v>22746000</v>
      </c>
      <c r="C356" s="11" t="inlineStr">
        <is>
          <t>Bưu Cục 229 Phước Long-Nam Nha Trang-Khánh Hòa</t>
        </is>
      </c>
      <c r="D356" s="11" t="inlineStr">
        <is>
          <t>thuong</t>
        </is>
      </c>
      <c r="E356" s="11" t="inlineStr">
        <is>
          <t>5-10kg</t>
        </is>
      </c>
      <c r="F356" s="13" t="n">
        <v>1804.112065923705</v>
      </c>
      <c r="G356" s="13" t="n">
        <v>1938.303102347893</v>
      </c>
      <c r="H356" s="13" t="n">
        <v>1928.115890297097</v>
      </c>
      <c r="I356" s="13" t="n">
        <v>2062.010975877796</v>
      </c>
      <c r="J356" s="13" t="n">
        <v>2188.203620312099</v>
      </c>
      <c r="K356" s="13" t="n">
        <v>2402.78784024229</v>
      </c>
    </row>
    <row r="357" ht="15.75" customHeight="1" s="57">
      <c r="A357" s="11" t="inlineStr">
        <is>
          <t>NTB</t>
        </is>
      </c>
      <c r="B357" s="11" t="n">
        <v>22746000</v>
      </c>
      <c r="C357" s="11" t="inlineStr">
        <is>
          <t>Bưu Cục 229 Phước Long-Nam Nha Trang-Khánh Hòa</t>
        </is>
      </c>
      <c r="D357" s="11" t="inlineStr">
        <is>
          <t>thuong</t>
        </is>
      </c>
      <c r="E357" s="11" t="inlineStr">
        <is>
          <t>&lt;5kg</t>
        </is>
      </c>
      <c r="F357" s="13" t="n">
        <v>27484.75069479732</v>
      </c>
      <c r="G357" s="13" t="n">
        <v>29899.62299511191</v>
      </c>
      <c r="H357" s="13" t="n">
        <v>29764.94514584051</v>
      </c>
      <c r="I357" s="13" t="n">
        <v>31874.6836571618</v>
      </c>
      <c r="J357" s="13" t="n">
        <v>34452.61337265213</v>
      </c>
      <c r="K357" s="13" t="n">
        <v>38330.38177840617</v>
      </c>
    </row>
    <row r="358" ht="15.75" customHeight="1" s="57">
      <c r="A358" s="11" t="inlineStr">
        <is>
          <t>NTB</t>
        </is>
      </c>
      <c r="B358" s="11" t="n">
        <v>22746000</v>
      </c>
      <c r="C358" s="11" t="inlineStr">
        <is>
          <t>Bưu Cục 229 Phước Long-Nam Nha Trang-Khánh Hòa</t>
        </is>
      </c>
      <c r="D358" s="11" t="inlineStr">
        <is>
          <t>thuong</t>
        </is>
      </c>
      <c r="E358" s="11" t="inlineStr">
        <is>
          <t>≥30kg</t>
        </is>
      </c>
      <c r="F358" s="13" t="n">
        <v>328.7521829406519</v>
      </c>
      <c r="G358" s="13" t="n">
        <v>406.8730487185512</v>
      </c>
      <c r="H358" s="13" t="n">
        <v>445.2410606062221</v>
      </c>
      <c r="I358" s="13" t="n">
        <v>518.1580207847317</v>
      </c>
      <c r="J358" s="13" t="n">
        <v>547.4326655036939</v>
      </c>
      <c r="K358" s="13" t="n">
        <v>580.7452849433354</v>
      </c>
    </row>
    <row r="359" ht="15.75" customHeight="1" s="57">
      <c r="A359" s="11" t="inlineStr">
        <is>
          <t>NTB</t>
        </is>
      </c>
      <c r="B359" s="11" t="n">
        <v>22759000</v>
      </c>
      <c r="C359" s="11" t="inlineStr">
        <is>
          <t>Bưu Cục 231 Thôn 1-Xã Hòa Ninh-Lâm Đồng</t>
        </is>
      </c>
      <c r="D359" s="11" t="inlineStr">
        <is>
          <t>thuong</t>
        </is>
      </c>
      <c r="E359" s="11" t="inlineStr">
        <is>
          <t>10-15kg</t>
        </is>
      </c>
      <c r="F359" s="13" t="n">
        <v>605.4838777898448</v>
      </c>
      <c r="G359" s="13" t="n">
        <v>724.2020666335483</v>
      </c>
      <c r="H359" s="13" t="n">
        <v>776.4157240067796</v>
      </c>
      <c r="I359" s="13" t="n">
        <v>889.1211031813473</v>
      </c>
      <c r="J359" s="13" t="n">
        <v>948.0192317930619</v>
      </c>
      <c r="K359" s="13" t="n">
        <v>1019.076584173928</v>
      </c>
    </row>
    <row r="360" ht="15.75" customHeight="1" s="57">
      <c r="A360" s="11" t="inlineStr">
        <is>
          <t>NTB</t>
        </is>
      </c>
      <c r="B360" s="11" t="n">
        <v>22759000</v>
      </c>
      <c r="C360" s="11" t="inlineStr">
        <is>
          <t>Bưu Cục 231 Thôn 1-Xã Hòa Ninh-Lâm Đồng</t>
        </is>
      </c>
      <c r="D360" s="11" t="inlineStr">
        <is>
          <t>thuong</t>
        </is>
      </c>
      <c r="E360" s="11" t="inlineStr">
        <is>
          <t>15-30kg</t>
        </is>
      </c>
      <c r="F360" s="13" t="n">
        <v>375.0529527397865</v>
      </c>
      <c r="G360" s="13" t="n">
        <v>449.2275937584947</v>
      </c>
      <c r="H360" s="13" t="n">
        <v>482.9769184366871</v>
      </c>
      <c r="I360" s="13" t="n">
        <v>554.6476739994656</v>
      </c>
      <c r="J360" s="13" t="n">
        <v>592.9104142320754</v>
      </c>
      <c r="K360" s="13" t="n">
        <v>638.0428333834304</v>
      </c>
    </row>
    <row r="361" ht="15.75" customHeight="1" s="57">
      <c r="A361" s="11" t="inlineStr">
        <is>
          <t>NTB</t>
        </is>
      </c>
      <c r="B361" s="11" t="n">
        <v>22759000</v>
      </c>
      <c r="C361" s="11" t="inlineStr">
        <is>
          <t>Bưu Cục 231 Thôn 1-Xã Hòa Ninh-Lâm Đồng</t>
        </is>
      </c>
      <c r="D361" s="11" t="inlineStr">
        <is>
          <t>thuong</t>
        </is>
      </c>
      <c r="E361" s="11" t="inlineStr">
        <is>
          <t>5-10kg</t>
        </is>
      </c>
      <c r="F361" s="13" t="n">
        <v>688.6188407353804</v>
      </c>
      <c r="G361" s="13" t="n">
        <v>738.3514451445445</v>
      </c>
      <c r="H361" s="13" t="n">
        <v>734.4735375946209</v>
      </c>
      <c r="I361" s="13" t="n">
        <v>785.6932101334029</v>
      </c>
      <c r="J361" s="13" t="n">
        <v>834.6023811237388</v>
      </c>
      <c r="K361" s="13" t="n">
        <v>917.0697332241441</v>
      </c>
    </row>
    <row r="362" ht="15.75" customHeight="1" s="57">
      <c r="A362" s="11" t="inlineStr">
        <is>
          <t>NTB</t>
        </is>
      </c>
      <c r="B362" s="11" t="n">
        <v>22759000</v>
      </c>
      <c r="C362" s="11" t="inlineStr">
        <is>
          <t>Bưu Cục 231 Thôn 1-Xã Hòa Ninh-Lâm Đồng</t>
        </is>
      </c>
      <c r="D362" s="11" t="inlineStr">
        <is>
          <t>thuong</t>
        </is>
      </c>
      <c r="E362" s="11" t="inlineStr">
        <is>
          <t>&lt;5kg</t>
        </is>
      </c>
      <c r="F362" s="13" t="n">
        <v>10308.85560867312</v>
      </c>
      <c r="G362" s="13" t="n">
        <v>11153.70093612179</v>
      </c>
      <c r="H362" s="13" t="n">
        <v>11108.20477568918</v>
      </c>
      <c r="I362" s="13" t="n">
        <v>11902.11271551245</v>
      </c>
      <c r="J362" s="13" t="n">
        <v>12807.02088421482</v>
      </c>
      <c r="K362" s="13" t="n">
        <v>14199.47323574057</v>
      </c>
    </row>
    <row r="363" ht="15.75" customHeight="1" s="57">
      <c r="A363" s="11" t="inlineStr">
        <is>
          <t>NTB</t>
        </is>
      </c>
      <c r="B363" s="11" t="n">
        <v>22759000</v>
      </c>
      <c r="C363" s="11" t="inlineStr">
        <is>
          <t>Bưu Cục 231 Thôn 1-Xã Hòa Ninh-Lâm Đồng</t>
        </is>
      </c>
      <c r="D363" s="11" t="inlineStr">
        <is>
          <t>thuong</t>
        </is>
      </c>
      <c r="E363" s="11" t="inlineStr">
        <is>
          <t>≥30kg</t>
        </is>
      </c>
      <c r="F363" s="13" t="n">
        <v>89.40191476264134</v>
      </c>
      <c r="G363" s="13" t="n">
        <v>108.5116178273538</v>
      </c>
      <c r="H363" s="13" t="n">
        <v>117.7229034792839</v>
      </c>
      <c r="I363" s="13" t="n">
        <v>136.1593139323869</v>
      </c>
      <c r="J363" s="13" t="n">
        <v>144.7611584522428</v>
      </c>
      <c r="K363" s="13" t="n">
        <v>154.7109244136046</v>
      </c>
    </row>
    <row r="364" ht="15.75" customHeight="1" s="57">
      <c r="A364" s="11" t="inlineStr">
        <is>
          <t>NTB</t>
        </is>
      </c>
      <c r="B364" s="11" t="n">
        <v>22774000</v>
      </c>
      <c r="C364" s="11" t="inlineStr">
        <is>
          <t>Bưu Cục Thôn Phú An Nam 2-Xã Diên Khánh-Khánh Hòa</t>
        </is>
      </c>
      <c r="D364" s="11" t="inlineStr">
        <is>
          <t>thuong</t>
        </is>
      </c>
      <c r="E364" s="11" t="inlineStr">
        <is>
          <t>10-15kg</t>
        </is>
      </c>
      <c r="F364" s="13" t="n">
        <v>668.4641211479039</v>
      </c>
      <c r="G364" s="13" t="n">
        <v>809.7538381404727</v>
      </c>
      <c r="H364" s="13" t="n">
        <v>872.5834512273696</v>
      </c>
      <c r="I364" s="13" t="n">
        <v>1002.861418590872</v>
      </c>
      <c r="J364" s="13" t="n">
        <v>1064.840004983181</v>
      </c>
      <c r="K364" s="13" t="n">
        <v>1139.29669168675</v>
      </c>
    </row>
    <row r="365" ht="15.75" customHeight="1" s="57">
      <c r="A365" s="11" t="inlineStr">
        <is>
          <t>NTB</t>
        </is>
      </c>
      <c r="B365" s="11" t="n">
        <v>22774000</v>
      </c>
      <c r="C365" s="11" t="inlineStr">
        <is>
          <t>Bưu Cục Thôn Phú An Nam 2-Xã Diên Khánh-Khánh Hòa</t>
        </is>
      </c>
      <c r="D365" s="11" t="inlineStr">
        <is>
          <t>thuong</t>
        </is>
      </c>
      <c r="E365" s="11" t="inlineStr">
        <is>
          <t>15-30kg</t>
        </is>
      </c>
      <c r="F365" s="13" t="n">
        <v>445.1381078705658</v>
      </c>
      <c r="G365" s="13" t="n">
        <v>548.8833999419396</v>
      </c>
      <c r="H365" s="13" t="n">
        <v>598.7640431328001</v>
      </c>
      <c r="I365" s="13" t="n">
        <v>695.0730895478537</v>
      </c>
      <c r="J365" s="13" t="n">
        <v>735.5244527756365</v>
      </c>
      <c r="K365" s="13" t="n">
        <v>782.0030529917719</v>
      </c>
    </row>
    <row r="366" ht="15.75" customHeight="1" s="57">
      <c r="A366" s="11" t="inlineStr">
        <is>
          <t>NTB</t>
        </is>
      </c>
      <c r="B366" s="11" t="n">
        <v>22774000</v>
      </c>
      <c r="C366" s="11" t="inlineStr">
        <is>
          <t>Bưu Cục Thôn Phú An Nam 2-Xã Diên Khánh-Khánh Hòa</t>
        </is>
      </c>
      <c r="D366" s="11" t="inlineStr">
        <is>
          <t>thuong</t>
        </is>
      </c>
      <c r="E366" s="11" t="inlineStr">
        <is>
          <t>5-10kg</t>
        </is>
      </c>
      <c r="F366" s="13" t="n">
        <v>756.4028867024228</v>
      </c>
      <c r="G366" s="13" t="n">
        <v>812.1155441543555</v>
      </c>
      <c r="H366" s="13" t="n">
        <v>807.4479275543345</v>
      </c>
      <c r="I366" s="13" t="n">
        <v>863.1118798094724</v>
      </c>
      <c r="J366" s="13" t="n">
        <v>916.0063836149034</v>
      </c>
      <c r="K366" s="13" t="n">
        <v>1006.073283941605</v>
      </c>
    </row>
    <row r="367" ht="15.75" customHeight="1" s="57">
      <c r="A367" s="11" t="inlineStr">
        <is>
          <t>NTB</t>
        </is>
      </c>
      <c r="B367" s="11" t="n">
        <v>22774000</v>
      </c>
      <c r="C367" s="11" t="inlineStr">
        <is>
          <t>Bưu Cục Thôn Phú An Nam 2-Xã Diên Khánh-Khánh Hòa</t>
        </is>
      </c>
      <c r="D367" s="11" t="inlineStr">
        <is>
          <t>thuong</t>
        </is>
      </c>
      <c r="E367" s="11" t="inlineStr">
        <is>
          <t>&lt;5kg</t>
        </is>
      </c>
      <c r="F367" s="13" t="n">
        <v>12496.77581543755</v>
      </c>
      <c r="G367" s="13" t="n">
        <v>13594.75104189946</v>
      </c>
      <c r="H367" s="13" t="n">
        <v>13533.50050687544</v>
      </c>
      <c r="I367" s="13" t="n">
        <v>14492.73918155298</v>
      </c>
      <c r="J367" s="13" t="n">
        <v>15664.87504275174</v>
      </c>
      <c r="K367" s="13" t="n">
        <v>17428.02616610518</v>
      </c>
    </row>
    <row r="368" ht="15.75" customHeight="1" s="57">
      <c r="A368" s="11" t="inlineStr">
        <is>
          <t>NTB</t>
        </is>
      </c>
      <c r="B368" s="11" t="n">
        <v>22774000</v>
      </c>
      <c r="C368" s="11" t="inlineStr">
        <is>
          <t>Bưu Cục Thôn Phú An Nam 2-Xã Diên Khánh-Khánh Hòa</t>
        </is>
      </c>
      <c r="D368" s="11" t="inlineStr">
        <is>
          <t>thuong</t>
        </is>
      </c>
      <c r="E368" s="11" t="inlineStr">
        <is>
          <t>≥30kg</t>
        </is>
      </c>
      <c r="F368" s="13" t="n">
        <v>176.7584964494846</v>
      </c>
      <c r="G368" s="13" t="n">
        <v>219.9877387128284</v>
      </c>
      <c r="H368" s="13" t="n">
        <v>241.3773599310642</v>
      </c>
      <c r="I368" s="13" t="n">
        <v>281.4521368743239</v>
      </c>
      <c r="J368" s="13" t="n">
        <v>296.8043824238362</v>
      </c>
      <c r="K368" s="13" t="n">
        <v>314.164206723762</v>
      </c>
    </row>
    <row r="369" ht="15.75" customHeight="1" s="57">
      <c r="A369" s="11" t="inlineStr">
        <is>
          <t>NTB</t>
        </is>
      </c>
      <c r="B369" s="11" t="n">
        <v>22793000</v>
      </c>
      <c r="C369" s="11" t="inlineStr">
        <is>
          <t>(KHO) Diên Thọ</t>
        </is>
      </c>
      <c r="D369" s="11" t="inlineStr">
        <is>
          <t>thuong</t>
        </is>
      </c>
      <c r="E369" s="11" t="inlineStr">
        <is>
          <t>10-15kg</t>
        </is>
      </c>
      <c r="F369" s="13" t="n">
        <v>526.2844452783831</v>
      </c>
      <c r="G369" s="13" t="n">
        <v>633.5388173406424</v>
      </c>
      <c r="H369" s="13" t="n">
        <v>680.169824316363</v>
      </c>
      <c r="I369" s="13" t="n">
        <v>779.4430194562035</v>
      </c>
      <c r="J369" s="13" t="n">
        <v>829.235561598026</v>
      </c>
      <c r="K369" s="13" t="n">
        <v>889.5467521794831</v>
      </c>
    </row>
    <row r="370" ht="15.75" customHeight="1" s="57">
      <c r="A370" s="11" t="inlineStr">
        <is>
          <t>NTB</t>
        </is>
      </c>
      <c r="B370" s="11" t="n">
        <v>22793000</v>
      </c>
      <c r="C370" s="11" t="inlineStr">
        <is>
          <t>(KHO) Diên Thọ</t>
        </is>
      </c>
      <c r="D370" s="11" t="inlineStr">
        <is>
          <t>thuong</t>
        </is>
      </c>
      <c r="E370" s="11" t="inlineStr">
        <is>
          <t>15-30kg</t>
        </is>
      </c>
      <c r="F370" s="13" t="n">
        <v>252.2025298228544</v>
      </c>
      <c r="G370" s="13" t="n">
        <v>309.3346279129267</v>
      </c>
      <c r="H370" s="13" t="n">
        <v>336.5115697376779</v>
      </c>
      <c r="I370" s="13" t="n">
        <v>389.8319597737112</v>
      </c>
      <c r="J370" s="13" t="n">
        <v>413.2668277442414</v>
      </c>
      <c r="K370" s="13" t="n">
        <v>440.3602054813551</v>
      </c>
    </row>
    <row r="371" ht="15.75" customHeight="1" s="57">
      <c r="A371" s="11" t="inlineStr">
        <is>
          <t>NTB</t>
        </is>
      </c>
      <c r="B371" s="11" t="n">
        <v>22793000</v>
      </c>
      <c r="C371" s="11" t="inlineStr">
        <is>
          <t>(KHO) Diên Thọ</t>
        </is>
      </c>
      <c r="D371" s="11" t="inlineStr">
        <is>
          <t>thuong</t>
        </is>
      </c>
      <c r="E371" s="11" t="inlineStr">
        <is>
          <t>5-10kg</t>
        </is>
      </c>
      <c r="F371" s="13" t="n">
        <v>702.556014685451</v>
      </c>
      <c r="G371" s="13" t="n">
        <v>753.1811385474281</v>
      </c>
      <c r="H371" s="13" t="n">
        <v>748.0360564955288</v>
      </c>
      <c r="I371" s="13" t="n">
        <v>798.7698931077183</v>
      </c>
      <c r="J371" s="13" t="n">
        <v>847.8707858202829</v>
      </c>
      <c r="K371" s="13" t="n">
        <v>931.7282527245213</v>
      </c>
    </row>
    <row r="372" ht="15.75" customHeight="1" s="57">
      <c r="A372" s="11" t="inlineStr">
        <is>
          <t>NTB</t>
        </is>
      </c>
      <c r="B372" s="11" t="n">
        <v>22793000</v>
      </c>
      <c r="C372" s="11" t="inlineStr">
        <is>
          <t>(KHO) Diên Thọ</t>
        </is>
      </c>
      <c r="D372" s="11" t="inlineStr">
        <is>
          <t>thuong</t>
        </is>
      </c>
      <c r="E372" s="11" t="inlineStr">
        <is>
          <t>&lt;5kg</t>
        </is>
      </c>
      <c r="F372" s="13" t="n">
        <v>12704.36781349624</v>
      </c>
      <c r="G372" s="13" t="n">
        <v>13820.36087757867</v>
      </c>
      <c r="H372" s="13" t="n">
        <v>13757.9227865419</v>
      </c>
      <c r="I372" s="13" t="n">
        <v>14732.89465906239</v>
      </c>
      <c r="J372" s="13" t="n">
        <v>15924.52292733976</v>
      </c>
      <c r="K372" s="13" t="n">
        <v>17717.03088875463</v>
      </c>
    </row>
    <row r="373" ht="15.75" customHeight="1" s="57">
      <c r="A373" s="11" t="inlineStr">
        <is>
          <t>NTB</t>
        </is>
      </c>
      <c r="B373" s="11" t="n">
        <v>22793000</v>
      </c>
      <c r="C373" s="11" t="inlineStr">
        <is>
          <t>(KHO) Diên Thọ</t>
        </is>
      </c>
      <c r="D373" s="11" t="inlineStr">
        <is>
          <t>thuong</t>
        </is>
      </c>
      <c r="E373" s="11" t="inlineStr">
        <is>
          <t>≥30kg</t>
        </is>
      </c>
      <c r="F373" s="13" t="n">
        <v>114.2365786702712</v>
      </c>
      <c r="G373" s="13" t="n">
        <v>139.5359131649904</v>
      </c>
      <c r="H373" s="13" t="n">
        <v>151.7232064209888</v>
      </c>
      <c r="I373" s="13" t="n">
        <v>175.7510358560423</v>
      </c>
      <c r="J373" s="13" t="n">
        <v>186.5072904147395</v>
      </c>
      <c r="K373" s="13" t="n">
        <v>198.9128532940814</v>
      </c>
    </row>
    <row r="374" ht="15.75" customHeight="1" s="57">
      <c r="A374" s="11" t="inlineStr">
        <is>
          <t>NTB</t>
        </is>
      </c>
      <c r="B374" s="11" t="n">
        <v>22830000</v>
      </c>
      <c r="C374" s="11" t="inlineStr">
        <is>
          <t>(KHO) Cam Linh</t>
        </is>
      </c>
      <c r="D374" s="11" t="inlineStr">
        <is>
          <t>thuong</t>
        </is>
      </c>
      <c r="E374" s="11" t="inlineStr">
        <is>
          <t>10-15kg</t>
        </is>
      </c>
      <c r="F374" s="13" t="n">
        <v>1685.398337174273</v>
      </c>
      <c r="G374" s="13" t="n">
        <v>2051.267072622665</v>
      </c>
      <c r="H374" s="13" t="n">
        <v>2216.536313037701</v>
      </c>
      <c r="I374" s="13" t="n">
        <v>2552.976064489154</v>
      </c>
      <c r="J374" s="13" t="n">
        <v>2706.832296308792</v>
      </c>
      <c r="K374" s="13" t="n">
        <v>2890.469561862546</v>
      </c>
    </row>
    <row r="375" ht="15.75" customHeight="1" s="57">
      <c r="A375" s="11" t="inlineStr">
        <is>
          <t>NTB</t>
        </is>
      </c>
      <c r="B375" s="11" t="n">
        <v>22830000</v>
      </c>
      <c r="C375" s="11" t="inlineStr">
        <is>
          <t>(KHO) Cam Linh</t>
        </is>
      </c>
      <c r="D375" s="11" t="inlineStr">
        <is>
          <t>thuong</t>
        </is>
      </c>
      <c r="E375" s="11" t="inlineStr">
        <is>
          <t>15-30kg</t>
        </is>
      </c>
      <c r="F375" s="13" t="n">
        <v>311.893305018838</v>
      </c>
      <c r="G375" s="13" t="n">
        <v>386.0653458024389</v>
      </c>
      <c r="H375" s="13" t="n">
        <v>421.9881974789536</v>
      </c>
      <c r="I375" s="13" t="n">
        <v>490.5840511298194</v>
      </c>
      <c r="J375" s="13" t="n">
        <v>518.4297770646459</v>
      </c>
      <c r="K375" s="13" t="n">
        <v>550.2833564332318</v>
      </c>
    </row>
    <row r="376" ht="15.75" customHeight="1" s="57">
      <c r="A376" s="11" t="inlineStr">
        <is>
          <t>NTB</t>
        </is>
      </c>
      <c r="B376" s="11" t="n">
        <v>22830000</v>
      </c>
      <c r="C376" s="11" t="inlineStr">
        <is>
          <t>(KHO) Cam Linh</t>
        </is>
      </c>
      <c r="D376" s="11" t="inlineStr">
        <is>
          <t>thuong</t>
        </is>
      </c>
      <c r="E376" s="11" t="inlineStr">
        <is>
          <t>5-10kg</t>
        </is>
      </c>
      <c r="F376" s="13" t="n">
        <v>1379.340792249093</v>
      </c>
      <c r="G376" s="13" t="n">
        <v>1481.536919803119</v>
      </c>
      <c r="H376" s="13" t="n">
        <v>1473.45932539831</v>
      </c>
      <c r="I376" s="13" t="n">
        <v>1575.484113299479</v>
      </c>
      <c r="J376" s="13" t="n">
        <v>1671.955138002914</v>
      </c>
      <c r="K376" s="13" t="n">
        <v>1836.088492088453</v>
      </c>
    </row>
    <row r="377" ht="15.75" customHeight="1" s="57">
      <c r="A377" s="11" t="inlineStr">
        <is>
          <t>NTB</t>
        </is>
      </c>
      <c r="B377" s="11" t="n">
        <v>22830000</v>
      </c>
      <c r="C377" s="11" t="inlineStr">
        <is>
          <t>(KHO) Cam Linh</t>
        </is>
      </c>
      <c r="D377" s="11" t="inlineStr">
        <is>
          <t>thuong</t>
        </is>
      </c>
      <c r="E377" s="11" t="inlineStr">
        <is>
          <t>&lt;5kg</t>
        </is>
      </c>
      <c r="F377" s="13" t="n">
        <v>24332.03248042868</v>
      </c>
      <c r="G377" s="13" t="n">
        <v>26470.09451365637</v>
      </c>
      <c r="H377" s="13" t="n">
        <v>26351.01487773532</v>
      </c>
      <c r="I377" s="13" t="n">
        <v>28218.92678669273</v>
      </c>
      <c r="J377" s="13" t="n">
        <v>30501.12884418411</v>
      </c>
      <c r="K377" s="13" t="n">
        <v>33934.02674535565</v>
      </c>
    </row>
    <row r="378" ht="15.75" customHeight="1" s="57">
      <c r="A378" s="11" t="inlineStr">
        <is>
          <t>NTB</t>
        </is>
      </c>
      <c r="B378" s="11" t="n">
        <v>22830000</v>
      </c>
      <c r="C378" s="11" t="inlineStr">
        <is>
          <t>(KHO) Cam Linh</t>
        </is>
      </c>
      <c r="D378" s="11" t="inlineStr">
        <is>
          <t>thuong</t>
        </is>
      </c>
      <c r="E378" s="11" t="inlineStr">
        <is>
          <t>≥30kg</t>
        </is>
      </c>
      <c r="F378" s="13" t="n">
        <v>107.4942836385452</v>
      </c>
      <c r="G378" s="13" t="n">
        <v>132.8148853181327</v>
      </c>
      <c r="H378" s="13" t="n">
        <v>145.2219867634269</v>
      </c>
      <c r="I378" s="13" t="n">
        <v>168.9058859659202</v>
      </c>
      <c r="J378" s="13" t="n">
        <v>178.5485385403581</v>
      </c>
      <c r="K378" s="13" t="n">
        <v>189.5412568165289</v>
      </c>
    </row>
    <row r="379" ht="15.75" customHeight="1" s="57">
      <c r="A379" s="11" t="inlineStr">
        <is>
          <t>NTB</t>
        </is>
      </c>
      <c r="B379" s="11" t="n">
        <v>22861000</v>
      </c>
      <c r="C379" s="11" t="inlineStr">
        <is>
          <t>Bưu Cục 95 Thống Nhất-Phan Rang-Ninh Thuận</t>
        </is>
      </c>
      <c r="D379" s="11" t="inlineStr">
        <is>
          <t>thuong</t>
        </is>
      </c>
      <c r="E379" s="11" t="inlineStr">
        <is>
          <t>10-15kg</t>
        </is>
      </c>
      <c r="F379" s="13" t="n">
        <v>1791.567211077971</v>
      </c>
      <c r="G379" s="13" t="n">
        <v>2178.654613379619</v>
      </c>
      <c r="H379" s="13" t="n">
        <v>2353.743739127205</v>
      </c>
      <c r="I379" s="13" t="n">
        <v>2710.809343870711</v>
      </c>
      <c r="J379" s="13" t="n">
        <v>2875.694701600354</v>
      </c>
      <c r="K379" s="13" t="n">
        <v>3072.201164847035</v>
      </c>
    </row>
    <row r="380" ht="15.75" customHeight="1" s="57">
      <c r="A380" s="11" t="inlineStr">
        <is>
          <t>NTB</t>
        </is>
      </c>
      <c r="B380" s="11" t="n">
        <v>22861000</v>
      </c>
      <c r="C380" s="11" t="inlineStr">
        <is>
          <t>Bưu Cục 95 Thống Nhất-Phan Rang-Ninh Thuận</t>
        </is>
      </c>
      <c r="D380" s="11" t="inlineStr">
        <is>
          <t>thuong</t>
        </is>
      </c>
      <c r="E380" s="11" t="inlineStr">
        <is>
          <t>15-30kg</t>
        </is>
      </c>
      <c r="F380" s="13" t="n">
        <v>201.2759994960733</v>
      </c>
      <c r="G380" s="13" t="n">
        <v>247.4295312352232</v>
      </c>
      <c r="H380" s="13" t="n">
        <v>269.4690823170436</v>
      </c>
      <c r="I380" s="13" t="n">
        <v>312.4234282288882</v>
      </c>
      <c r="J380" s="13" t="n">
        <v>330.9455206968736</v>
      </c>
      <c r="K380" s="13" t="n">
        <v>352.3117532226857</v>
      </c>
    </row>
    <row r="381" ht="15.75" customHeight="1" s="57">
      <c r="A381" s="11" t="inlineStr">
        <is>
          <t>NTB</t>
        </is>
      </c>
      <c r="B381" s="11" t="n">
        <v>22861000</v>
      </c>
      <c r="C381" s="11" t="inlineStr">
        <is>
          <t>Bưu Cục 95 Thống Nhất-Phan Rang-Ninh Thuận</t>
        </is>
      </c>
      <c r="D381" s="11" t="inlineStr">
        <is>
          <t>thuong</t>
        </is>
      </c>
      <c r="E381" s="11" t="inlineStr">
        <is>
          <t>5-10kg</t>
        </is>
      </c>
      <c r="F381" s="13" t="n">
        <v>2172.403101481409</v>
      </c>
      <c r="G381" s="13" t="n">
        <v>2328.893091020027</v>
      </c>
      <c r="H381" s="13" t="n">
        <v>2311.166552807091</v>
      </c>
      <c r="I381" s="13" t="n">
        <v>2465.078349285214</v>
      </c>
      <c r="J381" s="13" t="n">
        <v>2608.032893457503</v>
      </c>
      <c r="K381" s="13" t="n">
        <v>2860.017584430398</v>
      </c>
    </row>
    <row r="382" ht="15.75" customHeight="1" s="57">
      <c r="A382" s="11" t="inlineStr">
        <is>
          <t>NTB</t>
        </is>
      </c>
      <c r="B382" s="11" t="n">
        <v>22861000</v>
      </c>
      <c r="C382" s="11" t="inlineStr">
        <is>
          <t>Bưu Cục 95 Thống Nhất-Phan Rang-Ninh Thuận</t>
        </is>
      </c>
      <c r="D382" s="11" t="inlineStr">
        <is>
          <t>thuong</t>
        </is>
      </c>
      <c r="E382" s="11" t="inlineStr">
        <is>
          <t>&lt;5kg</t>
        </is>
      </c>
      <c r="F382" s="13" t="n">
        <v>35766.01295546543</v>
      </c>
      <c r="G382" s="13" t="n">
        <v>38833.81654414223</v>
      </c>
      <c r="H382" s="13" t="n">
        <v>38500.20687408894</v>
      </c>
      <c r="I382" s="13" t="n">
        <v>41020.43980745272</v>
      </c>
      <c r="J382" s="13" t="n">
        <v>43980.28258781272</v>
      </c>
      <c r="K382" s="13" t="n">
        <v>48725.13651597641</v>
      </c>
    </row>
    <row r="383" ht="15.75" customHeight="1" s="57">
      <c r="A383" s="11" t="inlineStr">
        <is>
          <t>NTB</t>
        </is>
      </c>
      <c r="B383" s="11" t="n">
        <v>22861000</v>
      </c>
      <c r="C383" s="11" t="inlineStr">
        <is>
          <t>Bưu Cục 95 Thống Nhất-Phan Rang-Ninh Thuận</t>
        </is>
      </c>
      <c r="D383" s="11" t="inlineStr">
        <is>
          <t>thuong</t>
        </is>
      </c>
      <c r="E383" s="11" t="inlineStr">
        <is>
          <t>≥30kg</t>
        </is>
      </c>
      <c r="F383" s="13" t="n">
        <v>78.47125678958319</v>
      </c>
      <c r="G383" s="13" t="n">
        <v>95.14407926874415</v>
      </c>
      <c r="H383" s="13" t="n">
        <v>103.0710904621321</v>
      </c>
      <c r="I383" s="13" t="n">
        <v>119.0672279655128</v>
      </c>
      <c r="J383" s="13" t="n">
        <v>126.681381723561</v>
      </c>
      <c r="K383" s="13" t="n">
        <v>135.5249818240643</v>
      </c>
    </row>
    <row r="384" ht="15.75" customHeight="1" s="57">
      <c r="A384" s="11" t="inlineStr">
        <is>
          <t>NTB</t>
        </is>
      </c>
      <c r="B384" s="11" t="n">
        <v>22934000</v>
      </c>
      <c r="C384" s="11" t="inlineStr">
        <is>
          <t>Bưu Cục 585 Nguyễn Tất Thành-Xã Lương Sơn-Bình Thuận</t>
        </is>
      </c>
      <c r="D384" s="11" t="inlineStr">
        <is>
          <t>thuong</t>
        </is>
      </c>
      <c r="E384" s="11" t="inlineStr">
        <is>
          <t>10-15kg</t>
        </is>
      </c>
      <c r="F384" s="13" t="n">
        <v>533.795670655614</v>
      </c>
      <c r="G384" s="13" t="n">
        <v>641.3248601728967</v>
      </c>
      <c r="H384" s="13" t="n">
        <v>688.5422886993305</v>
      </c>
      <c r="I384" s="13" t="n">
        <v>789.1592048908461</v>
      </c>
      <c r="J384" s="13" t="n">
        <v>839.5608444595377</v>
      </c>
      <c r="K384" s="13" t="n">
        <v>900.5840375168018</v>
      </c>
    </row>
    <row r="385" ht="15.75" customHeight="1" s="57">
      <c r="A385" s="11" t="inlineStr">
        <is>
          <t>NTB</t>
        </is>
      </c>
      <c r="B385" s="11" t="n">
        <v>22934000</v>
      </c>
      <c r="C385" s="11" t="inlineStr">
        <is>
          <t>Bưu Cục 585 Nguyễn Tất Thành-Xã Lương Sơn-Bình Thuận</t>
        </is>
      </c>
      <c r="D385" s="11" t="inlineStr">
        <is>
          <t>thuong</t>
        </is>
      </c>
      <c r="E385" s="11" t="inlineStr">
        <is>
          <t>15-30kg</t>
        </is>
      </c>
      <c r="F385" s="13" t="n">
        <v>341.4119337447505</v>
      </c>
      <c r="G385" s="13" t="n">
        <v>414.909478271362</v>
      </c>
      <c r="H385" s="13" t="n">
        <v>449.3836074293222</v>
      </c>
      <c r="I385" s="13" t="n">
        <v>518.9183445676209</v>
      </c>
      <c r="J385" s="13" t="n">
        <v>551.8234095866239</v>
      </c>
      <c r="K385" s="13" t="n">
        <v>590.1714184049541</v>
      </c>
    </row>
    <row r="386" ht="15.75" customHeight="1" s="57">
      <c r="A386" s="11" t="inlineStr">
        <is>
          <t>NTB</t>
        </is>
      </c>
      <c r="B386" s="11" t="n">
        <v>22934000</v>
      </c>
      <c r="C386" s="11" t="inlineStr">
        <is>
          <t>Bưu Cục 585 Nguyễn Tất Thành-Xã Lương Sơn-Bình Thuận</t>
        </is>
      </c>
      <c r="D386" s="11" t="inlineStr">
        <is>
          <t>thuong</t>
        </is>
      </c>
      <c r="E386" s="11" t="inlineStr">
        <is>
          <t>5-10kg</t>
        </is>
      </c>
      <c r="F386" s="13" t="n">
        <v>713.6192381987441</v>
      </c>
      <c r="G386" s="13" t="n">
        <v>764.2973879377079</v>
      </c>
      <c r="H386" s="13" t="n">
        <v>759.1363486255393</v>
      </c>
      <c r="I386" s="13" t="n">
        <v>810.6000896848562</v>
      </c>
      <c r="J386" s="13" t="n">
        <v>858.4446073556252</v>
      </c>
      <c r="K386" s="13" t="n">
        <v>941.7172694955716</v>
      </c>
    </row>
    <row r="387" ht="15.75" customHeight="1" s="57">
      <c r="A387" s="11" t="inlineStr">
        <is>
          <t>NTB</t>
        </is>
      </c>
      <c r="B387" s="11" t="n">
        <v>22934000</v>
      </c>
      <c r="C387" s="11" t="inlineStr">
        <is>
          <t>Bưu Cục 585 Nguyễn Tất Thành-Xã Lương Sơn-Bình Thuận</t>
        </is>
      </c>
      <c r="D387" s="11" t="inlineStr">
        <is>
          <t>thuong</t>
        </is>
      </c>
      <c r="E387" s="11" t="inlineStr">
        <is>
          <t>&lt;5kg</t>
        </is>
      </c>
      <c r="F387" s="13" t="n">
        <v>11430.84323897319</v>
      </c>
      <c r="G387" s="13" t="n">
        <v>12373.60257944765</v>
      </c>
      <c r="H387" s="13" t="n">
        <v>12277.64204417746</v>
      </c>
      <c r="I387" s="13" t="n">
        <v>13095.10925763851</v>
      </c>
      <c r="J387" s="13" t="n">
        <v>14016.17034560272</v>
      </c>
      <c r="K387" s="13" t="n">
        <v>15503.54586160882</v>
      </c>
    </row>
    <row r="388" ht="15.75" customHeight="1" s="57">
      <c r="A388" s="11" t="inlineStr">
        <is>
          <t>NTB</t>
        </is>
      </c>
      <c r="B388" s="11" t="n">
        <v>22934000</v>
      </c>
      <c r="C388" s="11" t="inlineStr">
        <is>
          <t>Bưu Cục 585 Nguyễn Tất Thành-Xã Lương Sơn-Bình Thuận</t>
        </is>
      </c>
      <c r="D388" s="11" t="inlineStr">
        <is>
          <t>thuong</t>
        </is>
      </c>
      <c r="E388" s="11" t="inlineStr">
        <is>
          <t>≥30kg</t>
        </is>
      </c>
      <c r="F388" s="13" t="n">
        <v>129.4950887552344</v>
      </c>
      <c r="G388" s="13" t="n">
        <v>157.5429974334526</v>
      </c>
      <c r="H388" s="13" t="n">
        <v>171.0266399003549</v>
      </c>
      <c r="I388" s="13" t="n">
        <v>197.8879953543627</v>
      </c>
      <c r="J388" s="13" t="n">
        <v>210.2602643914525</v>
      </c>
      <c r="K388" s="13" t="n">
        <v>224.5657311028246</v>
      </c>
    </row>
    <row r="389" ht="15.75" customHeight="1" s="57">
      <c r="A389" s="11" t="inlineStr">
        <is>
          <t>NTB</t>
        </is>
      </c>
      <c r="B389" s="11" t="n">
        <v>23015000</v>
      </c>
      <c r="C389" s="11" t="inlineStr">
        <is>
          <t>(LDO) Bảo Lâm 3</t>
        </is>
      </c>
      <c r="D389" s="11" t="inlineStr">
        <is>
          <t>thuong</t>
        </is>
      </c>
      <c r="E389" s="11" t="inlineStr">
        <is>
          <t>10-15kg</t>
        </is>
      </c>
      <c r="F389" s="13" t="n">
        <v>464.3259764435843</v>
      </c>
      <c r="G389" s="13" t="n">
        <v>562.9217502386076</v>
      </c>
      <c r="H389" s="13" t="n">
        <v>608.0628781738732</v>
      </c>
      <c r="I389" s="13" t="n">
        <v>700.3975894235483</v>
      </c>
      <c r="J389" s="13" t="n">
        <v>743.6101904111682</v>
      </c>
      <c r="K389" s="13" t="n">
        <v>794.9406101436522</v>
      </c>
    </row>
    <row r="390" ht="15.75" customHeight="1" s="57">
      <c r="A390" s="11" t="inlineStr">
        <is>
          <t>NTB</t>
        </is>
      </c>
      <c r="B390" s="11" t="n">
        <v>23015000</v>
      </c>
      <c r="C390" s="11" t="inlineStr">
        <is>
          <t>(LDO) Bảo Lâm 3</t>
        </is>
      </c>
      <c r="D390" s="11" t="inlineStr">
        <is>
          <t>thuong</t>
        </is>
      </c>
      <c r="E390" s="11" t="inlineStr">
        <is>
          <t>15-30kg</t>
        </is>
      </c>
      <c r="F390" s="13" t="n">
        <v>498.5908748508255</v>
      </c>
      <c r="G390" s="13" t="n">
        <v>602.7044796653691</v>
      </c>
      <c r="H390" s="13" t="n">
        <v>651.1155940084186</v>
      </c>
      <c r="I390" s="13" t="n">
        <v>750.4562509903101</v>
      </c>
      <c r="J390" s="13" t="n">
        <v>799.5370484096629</v>
      </c>
      <c r="K390" s="13" t="n">
        <v>856.9713657907981</v>
      </c>
    </row>
    <row r="391" ht="15.75" customHeight="1" s="57">
      <c r="A391" s="11" t="inlineStr">
        <is>
          <t>NTB</t>
        </is>
      </c>
      <c r="B391" s="11" t="n">
        <v>23015000</v>
      </c>
      <c r="C391" s="11" t="inlineStr">
        <is>
          <t>(LDO) Bảo Lâm 3</t>
        </is>
      </c>
      <c r="D391" s="11" t="inlineStr">
        <is>
          <t>thuong</t>
        </is>
      </c>
      <c r="E391" s="11" t="inlineStr">
        <is>
          <t>5-10kg</t>
        </is>
      </c>
      <c r="F391" s="13" t="n">
        <v>601.2133292527672</v>
      </c>
      <c r="G391" s="13" t="n">
        <v>644.4784544683768</v>
      </c>
      <c r="H391" s="13" t="n">
        <v>640.9820253510626</v>
      </c>
      <c r="I391" s="13" t="n">
        <v>685.5682431965364</v>
      </c>
      <c r="J391" s="13" t="n">
        <v>728.2663827643242</v>
      </c>
      <c r="K391" s="13" t="n">
        <v>800.2945260812556</v>
      </c>
    </row>
    <row r="392" ht="15.75" customHeight="1" s="57">
      <c r="A392" s="11" t="inlineStr">
        <is>
          <t>NTB</t>
        </is>
      </c>
      <c r="B392" s="11" t="n">
        <v>23015000</v>
      </c>
      <c r="C392" s="11" t="inlineStr">
        <is>
          <t>(LDO) Bảo Lâm 3</t>
        </is>
      </c>
      <c r="D392" s="11" t="inlineStr">
        <is>
          <t>thuong</t>
        </is>
      </c>
      <c r="E392" s="11" t="inlineStr">
        <is>
          <t>&lt;5kg</t>
        </is>
      </c>
      <c r="F392" s="13" t="n">
        <v>8256.597451821406</v>
      </c>
      <c r="G392" s="13" t="n">
        <v>8933.253333190742</v>
      </c>
      <c r="H392" s="13" t="n">
        <v>8896.814421195551</v>
      </c>
      <c r="I392" s="13" t="n">
        <v>9532.673387675857</v>
      </c>
      <c r="J392" s="13" t="n">
        <v>10257.43496776379</v>
      </c>
      <c r="K392" s="13" t="n">
        <v>11372.68179765611</v>
      </c>
    </row>
    <row r="393" ht="15.75" customHeight="1" s="57">
      <c r="A393" s="11" t="inlineStr">
        <is>
          <t>NTB</t>
        </is>
      </c>
      <c r="B393" s="11" t="n">
        <v>23015000</v>
      </c>
      <c r="C393" s="11" t="inlineStr">
        <is>
          <t>(LDO) Bảo Lâm 3</t>
        </is>
      </c>
      <c r="D393" s="11" t="inlineStr">
        <is>
          <t>thuong</t>
        </is>
      </c>
      <c r="E393" s="11" t="inlineStr">
        <is>
          <t>≥30kg</t>
        </is>
      </c>
      <c r="F393" s="13" t="n">
        <v>198.8832057760808</v>
      </c>
      <c r="G393" s="13" t="n">
        <v>243.3641208164073</v>
      </c>
      <c r="H393" s="13" t="n">
        <v>265.0439896263904</v>
      </c>
      <c r="I393" s="13" t="n">
        <v>307.4151720363406</v>
      </c>
      <c r="J393" s="13" t="n">
        <v>325.9392341406945</v>
      </c>
      <c r="K393" s="13" t="n">
        <v>347.2105991324663</v>
      </c>
    </row>
    <row r="394" ht="15.75" customHeight="1" s="57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49" t="n"/>
    </row>
    <row r="395" ht="15.75" customHeight="1" s="57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49" t="n"/>
    </row>
    <row r="396" ht="15.75" customHeight="1" s="57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49" t="n"/>
    </row>
    <row r="397" ht="15.75" customHeight="1" s="57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49" t="n"/>
    </row>
    <row r="398" ht="15.75" customHeight="1" s="57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49" t="n"/>
    </row>
    <row r="399" ht="15.75" customHeight="1" s="57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49" t="n"/>
    </row>
    <row r="400" ht="15.75" customHeight="1" s="57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49" t="n"/>
    </row>
    <row r="401" ht="15.75" customHeight="1" s="57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49" t="n"/>
    </row>
    <row r="402" ht="15.75" customHeight="1" s="57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49" t="n"/>
    </row>
    <row r="403" ht="15.75" customHeight="1" s="57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49" t="n"/>
    </row>
    <row r="404" ht="15.75" customHeight="1" s="57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49" t="n"/>
    </row>
    <row r="405" ht="15.75" customHeight="1" s="57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49" t="n"/>
    </row>
    <row r="406" ht="15.75" customHeight="1" s="57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49" t="n"/>
    </row>
    <row r="407" ht="15.75" customHeight="1" s="57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49" t="n"/>
    </row>
    <row r="408" ht="15.75" customHeight="1" s="57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49" t="n"/>
    </row>
    <row r="409" ht="15.75" customHeight="1" s="57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49" t="n"/>
    </row>
    <row r="410" ht="15.75" customHeight="1" s="57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49" t="n"/>
    </row>
    <row r="411" ht="15.75" customHeight="1" s="57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49" t="n"/>
    </row>
    <row r="412" ht="15.75" customHeight="1" s="57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49" t="n"/>
    </row>
    <row r="413" ht="15.75" customHeight="1" s="57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49" t="n"/>
    </row>
    <row r="414" ht="15.75" customHeight="1" s="57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49" t="n"/>
    </row>
    <row r="415" ht="15.75" customHeight="1" s="57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49" t="n"/>
    </row>
    <row r="416" ht="15.75" customHeight="1" s="57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49" t="n"/>
    </row>
    <row r="417" ht="15.75" customHeight="1" s="57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49" t="n"/>
    </row>
    <row r="418" ht="15.75" customHeight="1" s="57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49" t="n"/>
    </row>
    <row r="419" ht="15.75" customHeight="1" s="57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49" t="n"/>
    </row>
    <row r="420" ht="15.75" customHeight="1" s="57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49" t="n"/>
    </row>
    <row r="421" ht="15.75" customHeight="1" s="57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49" t="n"/>
    </row>
    <row r="422" ht="15.75" customHeight="1" s="57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49" t="n"/>
    </row>
    <row r="423" ht="15.75" customHeight="1" s="57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49" t="n"/>
    </row>
    <row r="424" ht="15.75" customHeight="1" s="57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49" t="n"/>
    </row>
    <row r="425" ht="15.75" customHeight="1" s="57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49" t="n"/>
    </row>
    <row r="426" ht="15.75" customHeight="1" s="57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49" t="n"/>
    </row>
    <row r="427" ht="15.75" customHeight="1" s="57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49" t="n"/>
    </row>
    <row r="428" ht="15.75" customHeight="1" s="57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49" t="n"/>
    </row>
    <row r="429" ht="15.75" customHeight="1" s="57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49" t="n"/>
    </row>
    <row r="430" ht="15.75" customHeight="1" s="57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49" t="n"/>
    </row>
    <row r="431" ht="15.75" customHeight="1" s="57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49" t="n"/>
    </row>
    <row r="432" ht="15.75" customHeight="1" s="57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49" t="n"/>
    </row>
    <row r="433" ht="15.75" customHeight="1" s="57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49" t="n"/>
    </row>
    <row r="434" ht="15.75" customHeight="1" s="57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49" t="n"/>
    </row>
    <row r="435" ht="15.75" customHeight="1" s="57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49" t="n"/>
    </row>
    <row r="436" ht="15.75" customHeight="1" s="57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49" t="n"/>
    </row>
    <row r="437" ht="15.75" customHeight="1" s="57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49" t="n"/>
    </row>
    <row r="438" ht="15.75" customHeight="1" s="57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49" t="n"/>
    </row>
    <row r="439" ht="15.75" customHeight="1" s="57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49" t="n"/>
    </row>
    <row r="440" ht="15.75" customHeight="1" s="57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49" t="n"/>
    </row>
    <row r="441" ht="15.75" customHeight="1" s="57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49" t="n"/>
    </row>
    <row r="442" ht="15.75" customHeight="1" s="57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49" t="n"/>
    </row>
    <row r="443" ht="15.75" customHeight="1" s="57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49" t="n"/>
    </row>
    <row r="444" ht="15.75" customHeight="1" s="57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49" t="n"/>
    </row>
    <row r="445" ht="15.75" customHeight="1" s="57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49" t="n"/>
    </row>
    <row r="446" ht="15.75" customHeight="1" s="57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49" t="n"/>
    </row>
    <row r="447" ht="15.75" customHeight="1" s="57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49" t="n"/>
    </row>
    <row r="448" ht="15.75" customHeight="1" s="57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49" t="n"/>
    </row>
    <row r="449" ht="15.75" customHeight="1" s="57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49" t="n"/>
    </row>
    <row r="450" ht="15.75" customHeight="1" s="57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49" t="n"/>
    </row>
    <row r="451" ht="15.75" customHeight="1" s="57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49" t="n"/>
    </row>
    <row r="452" ht="15.75" customHeight="1" s="57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49" t="n"/>
    </row>
    <row r="453" ht="15.75" customHeight="1" s="57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49" t="n"/>
    </row>
    <row r="454" ht="15.75" customHeight="1" s="57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49" t="n"/>
    </row>
    <row r="455" ht="15.75" customHeight="1" s="57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49" t="n"/>
    </row>
    <row r="456" ht="15.75" customHeight="1" s="57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49" t="n"/>
    </row>
    <row r="457" ht="15.75" customHeight="1" s="57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49" t="n"/>
    </row>
    <row r="458" ht="15.75" customHeight="1" s="57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49" t="n"/>
    </row>
    <row r="459" ht="15.75" customHeight="1" s="57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49" t="n"/>
    </row>
    <row r="460" ht="15.75" customHeight="1" s="57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49" t="n"/>
    </row>
    <row r="461" ht="15.75" customHeight="1" s="57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49" t="n"/>
    </row>
    <row r="462" ht="15.75" customHeight="1" s="57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49" t="n"/>
    </row>
    <row r="463" ht="15.75" customHeight="1" s="57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49" t="n"/>
    </row>
    <row r="464" ht="15.75" customHeight="1" s="57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49" t="n"/>
    </row>
    <row r="465" ht="15.75" customHeight="1" s="57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49" t="n"/>
    </row>
    <row r="466" ht="15.75" customHeight="1" s="57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49" t="n"/>
    </row>
    <row r="467" ht="15.75" customHeight="1" s="57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49" t="n"/>
    </row>
    <row r="468" ht="15.75" customHeight="1" s="57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49" t="n"/>
    </row>
    <row r="469" ht="15.75" customHeight="1" s="57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49" t="n"/>
    </row>
    <row r="470" ht="15.75" customHeight="1" s="57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49" t="n"/>
    </row>
    <row r="471" ht="15.75" customHeight="1" s="57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49" t="n"/>
    </row>
    <row r="472" ht="15.75" customHeight="1" s="57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49" t="n"/>
    </row>
    <row r="473" ht="15.75" customHeight="1" s="57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49" t="n"/>
    </row>
    <row r="474" ht="15.75" customHeight="1" s="57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49" t="n"/>
    </row>
    <row r="475" ht="15.75" customHeight="1" s="57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49" t="n"/>
    </row>
    <row r="476" ht="15.75" customHeight="1" s="57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49" t="n"/>
    </row>
    <row r="477" ht="15.75" customHeight="1" s="57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49" t="n"/>
    </row>
    <row r="478" ht="15.75" customHeight="1" s="57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49" t="n"/>
    </row>
    <row r="479" ht="15.75" customHeight="1" s="57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49" t="n"/>
    </row>
    <row r="480" ht="15.75" customHeight="1" s="57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49" t="n"/>
    </row>
    <row r="481" ht="15.75" customHeight="1" s="57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49" t="n"/>
    </row>
    <row r="482" ht="15.75" customHeight="1" s="57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49" t="n"/>
    </row>
    <row r="483" ht="15.75" customHeight="1" s="57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49" t="n"/>
    </row>
    <row r="484" ht="15.75" customHeight="1" s="57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49" t="n"/>
    </row>
    <row r="485" ht="15.75" customHeight="1" s="57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49" t="n"/>
    </row>
    <row r="486" ht="15.75" customHeight="1" s="57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49" t="n"/>
    </row>
    <row r="487" ht="15.75" customHeight="1" s="57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49" t="n"/>
    </row>
    <row r="488" ht="15.75" customHeight="1" s="57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49" t="n"/>
    </row>
    <row r="489" ht="15.75" customHeight="1" s="57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49" t="n"/>
    </row>
    <row r="490" ht="15.75" customHeight="1" s="57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49" t="n"/>
    </row>
    <row r="491" ht="15.75" customHeight="1" s="57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49" t="n"/>
    </row>
    <row r="492" ht="15.75" customHeight="1" s="57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49" t="n"/>
    </row>
    <row r="493" ht="15.75" customHeight="1" s="57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49" t="n"/>
    </row>
    <row r="494" ht="15.75" customHeight="1" s="57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49" t="n"/>
    </row>
    <row r="495" ht="15.75" customHeight="1" s="57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49" t="n"/>
    </row>
    <row r="496" ht="15.75" customHeight="1" s="57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49" t="n"/>
    </row>
    <row r="497" ht="15.75" customHeight="1" s="57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49" t="n"/>
    </row>
    <row r="498" ht="15.75" customHeight="1" s="57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49" t="n"/>
    </row>
    <row r="499" ht="15.75" customHeight="1" s="57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49" t="n"/>
    </row>
    <row r="500" ht="15.75" customHeight="1" s="57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49" t="n"/>
    </row>
    <row r="501" ht="15.75" customHeight="1" s="57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49" t="n"/>
    </row>
    <row r="502" ht="15.75" customHeight="1" s="57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49" t="n"/>
    </row>
    <row r="503" ht="15.75" customHeight="1" s="57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49" t="n"/>
    </row>
    <row r="504" ht="15.75" customHeight="1" s="57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49" t="n"/>
    </row>
    <row r="505" ht="15.75" customHeight="1" s="57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49" t="n"/>
    </row>
    <row r="506" ht="15.75" customHeight="1" s="57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49" t="n"/>
    </row>
    <row r="507" ht="15.75" customHeight="1" s="57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49" t="n"/>
    </row>
    <row r="508" ht="15.75" customHeight="1" s="57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49" t="n"/>
    </row>
    <row r="509" ht="15.75" customHeight="1" s="57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49" t="n"/>
    </row>
    <row r="510" ht="15.75" customHeight="1" s="57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49" t="n"/>
    </row>
    <row r="511" ht="15.75" customHeight="1" s="57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49" t="n"/>
    </row>
    <row r="512" ht="15.75" customHeight="1" s="57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49" t="n"/>
    </row>
    <row r="513" ht="15.75" customHeight="1" s="57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49" t="n"/>
    </row>
    <row r="514" ht="15.75" customHeight="1" s="57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49" t="n"/>
    </row>
    <row r="515" ht="15.75" customHeight="1" s="57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49" t="n"/>
    </row>
    <row r="516" ht="15.75" customHeight="1" s="57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49" t="n"/>
    </row>
    <row r="517" ht="15.75" customHeight="1" s="57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49" t="n"/>
    </row>
    <row r="518" ht="15.75" customHeight="1" s="57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49" t="n"/>
    </row>
    <row r="519" ht="15.75" customHeight="1" s="57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49" t="n"/>
    </row>
    <row r="520" ht="15.75" customHeight="1" s="57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49" t="n"/>
    </row>
    <row r="521" ht="15.75" customHeight="1" s="57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49" t="n"/>
    </row>
    <row r="522" ht="15.75" customHeight="1" s="57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49" t="n"/>
    </row>
    <row r="523" ht="15.75" customHeight="1" s="57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49" t="n"/>
    </row>
    <row r="524" ht="15.75" customHeight="1" s="57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49" t="n"/>
    </row>
    <row r="525" ht="15.75" customHeight="1" s="57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49" t="n"/>
    </row>
    <row r="526" ht="15.75" customHeight="1" s="57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49" t="n"/>
    </row>
    <row r="527" ht="15.75" customHeight="1" s="57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49" t="n"/>
    </row>
    <row r="528" ht="15.75" customHeight="1" s="57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49" t="n"/>
    </row>
    <row r="529" ht="15.75" customHeight="1" s="57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49" t="n"/>
    </row>
    <row r="530" ht="15.75" customHeight="1" s="57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49" t="n"/>
    </row>
    <row r="531" ht="15.75" customHeight="1" s="57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49" t="n"/>
    </row>
    <row r="532" ht="15.75" customHeight="1" s="57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49" t="n"/>
    </row>
    <row r="533" ht="15.75" customHeight="1" s="57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49" t="n"/>
    </row>
    <row r="534" ht="15.75" customHeight="1" s="57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49" t="n"/>
    </row>
    <row r="535" ht="15.75" customHeight="1" s="57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49" t="n"/>
    </row>
    <row r="536" ht="15.75" customHeight="1" s="57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49" t="n"/>
    </row>
    <row r="537" ht="15.75" customHeight="1" s="57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49" t="n"/>
    </row>
    <row r="538" ht="15.75" customHeight="1" s="57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49" t="n"/>
    </row>
    <row r="539" ht="15.75" customHeight="1" s="57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49" t="n"/>
    </row>
    <row r="540" ht="15.75" customHeight="1" s="57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49" t="n"/>
    </row>
    <row r="541" ht="15.75" customHeight="1" s="57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49" t="n"/>
    </row>
    <row r="542" ht="15.75" customHeight="1" s="57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49" t="n"/>
    </row>
    <row r="543" ht="15.75" customHeight="1" s="57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49" t="n"/>
    </row>
    <row r="544" ht="15.75" customHeight="1" s="57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49" t="n"/>
    </row>
    <row r="545" ht="15.75" customHeight="1" s="57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49" t="n"/>
    </row>
    <row r="546" ht="15.75" customHeight="1" s="57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49" t="n"/>
    </row>
    <row r="547" ht="15.75" customHeight="1" s="57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49" t="n"/>
    </row>
    <row r="548" ht="15.75" customHeight="1" s="57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49" t="n"/>
    </row>
    <row r="549" ht="15.75" customHeight="1" s="57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49" t="n"/>
    </row>
    <row r="550" ht="15.75" customHeight="1" s="57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49" t="n"/>
    </row>
    <row r="551" ht="15.75" customHeight="1" s="57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49" t="n"/>
    </row>
    <row r="552" ht="15.75" customHeight="1" s="57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49" t="n"/>
    </row>
    <row r="553" ht="15.75" customHeight="1" s="57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49" t="n"/>
    </row>
    <row r="554" ht="15.75" customHeight="1" s="57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49" t="n"/>
    </row>
    <row r="555" ht="15.75" customHeight="1" s="57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49" t="n"/>
    </row>
    <row r="556" ht="15.75" customHeight="1" s="57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49" t="n"/>
    </row>
    <row r="557" ht="15.75" customHeight="1" s="57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49" t="n"/>
    </row>
    <row r="558" ht="15.75" customHeight="1" s="57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49" t="n"/>
    </row>
    <row r="559" ht="15.75" customHeight="1" s="57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49" t="n"/>
    </row>
    <row r="560" ht="15.75" customHeight="1" s="57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49" t="n"/>
    </row>
    <row r="561" ht="15.75" customHeight="1" s="57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49" t="n"/>
    </row>
    <row r="562" ht="15.75" customHeight="1" s="57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49" t="n"/>
    </row>
    <row r="563" ht="15.75" customHeight="1" s="57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49" t="n"/>
    </row>
    <row r="564" ht="15.75" customHeight="1" s="57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49" t="n"/>
    </row>
    <row r="565" ht="15.75" customHeight="1" s="57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49" t="n"/>
    </row>
    <row r="566" ht="15.75" customHeight="1" s="57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49" t="n"/>
    </row>
    <row r="567" ht="15.75" customHeight="1" s="57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49" t="n"/>
    </row>
    <row r="568" ht="15.75" customHeight="1" s="57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49" t="n"/>
    </row>
    <row r="569" ht="15.75" customHeight="1" s="57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49" t="n"/>
    </row>
    <row r="570" ht="15.75" customHeight="1" s="57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49" t="n"/>
    </row>
    <row r="571" ht="15.75" customHeight="1" s="57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49" t="n"/>
    </row>
    <row r="572" ht="15.75" customHeight="1" s="57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49" t="n"/>
    </row>
    <row r="573" ht="15.75" customHeight="1" s="57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49" t="n"/>
    </row>
    <row r="574" ht="15.75" customHeight="1" s="57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49" t="n"/>
    </row>
    <row r="575" ht="15.75" customHeight="1" s="57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49" t="n"/>
    </row>
    <row r="576" ht="15.75" customHeight="1" s="57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49" t="n"/>
    </row>
    <row r="577" ht="15.75" customHeight="1" s="57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49" t="n"/>
    </row>
    <row r="578" ht="15.75" customHeight="1" s="57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49" t="n"/>
    </row>
    <row r="579" ht="15.75" customHeight="1" s="57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49" t="n"/>
    </row>
    <row r="580" ht="15.75" customHeight="1" s="57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49" t="n"/>
    </row>
    <row r="581" ht="15.75" customHeight="1" s="57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49" t="n"/>
    </row>
    <row r="582" ht="15.75" customHeight="1" s="57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49" t="n"/>
    </row>
    <row r="583" ht="15.75" customHeight="1" s="57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49" t="n"/>
    </row>
    <row r="584" ht="15.75" customHeight="1" s="57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49" t="n"/>
    </row>
    <row r="585" ht="15.75" customHeight="1" s="57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49" t="n"/>
    </row>
    <row r="586" ht="15.75" customHeight="1" s="57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49" t="n"/>
    </row>
    <row r="587" ht="15.75" customHeight="1" s="57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49" t="n"/>
    </row>
    <row r="588" ht="15.75" customHeight="1" s="57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49" t="n"/>
    </row>
    <row r="589" ht="15.75" customHeight="1" s="57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49" t="n"/>
    </row>
    <row r="590" ht="15.75" customHeight="1" s="57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49" t="n"/>
    </row>
    <row r="591" ht="15.75" customHeight="1" s="57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49" t="n"/>
    </row>
    <row r="592" ht="15.75" customHeight="1" s="57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49" t="n"/>
    </row>
    <row r="593" ht="15.75" customHeight="1" s="57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49" t="n"/>
    </row>
    <row r="594" ht="15.75" customHeight="1" s="57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49" t="n"/>
    </row>
    <row r="595" ht="15.75" customHeight="1" s="57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49" t="n"/>
    </row>
    <row r="596" ht="15.75" customHeight="1" s="57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49" t="n"/>
    </row>
    <row r="597" ht="15.75" customHeight="1" s="57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49" t="n"/>
    </row>
    <row r="598" ht="15.75" customHeight="1" s="57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49" t="n"/>
    </row>
    <row r="599" ht="15.75" customHeight="1" s="57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49" t="n"/>
    </row>
    <row r="600" ht="15.75" customHeight="1" s="57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49" t="n"/>
    </row>
    <row r="601" ht="15.75" customHeight="1" s="57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49" t="n"/>
    </row>
    <row r="602" ht="15.75" customHeight="1" s="57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49" t="n"/>
    </row>
    <row r="603" ht="15.75" customHeight="1" s="57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49" t="n"/>
    </row>
    <row r="604" ht="15.75" customHeight="1" s="57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49" t="n"/>
    </row>
    <row r="605" ht="15.75" customHeight="1" s="57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49" t="n"/>
    </row>
    <row r="606" ht="15.75" customHeight="1" s="57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49" t="n"/>
    </row>
    <row r="607" ht="15.75" customHeight="1" s="57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49" t="n"/>
    </row>
    <row r="608" ht="15.75" customHeight="1" s="57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49" t="n"/>
    </row>
    <row r="609" ht="15.75" customHeight="1" s="57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49" t="n"/>
    </row>
    <row r="610" ht="15.75" customHeight="1" s="57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49" t="n"/>
    </row>
    <row r="611" ht="15.75" customHeight="1" s="57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49" t="n"/>
    </row>
    <row r="612" ht="15.75" customHeight="1" s="57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49" t="n"/>
    </row>
    <row r="613" ht="15.75" customHeight="1" s="57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49" t="n"/>
    </row>
    <row r="614" ht="15.75" customHeight="1" s="57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49" t="n"/>
    </row>
    <row r="615" ht="15.75" customHeight="1" s="57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49" t="n"/>
    </row>
    <row r="616" ht="15.75" customHeight="1" s="57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49" t="n"/>
    </row>
    <row r="617" ht="15.75" customHeight="1" s="57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49" t="n"/>
    </row>
    <row r="618" ht="15.75" customHeight="1" s="57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49" t="n"/>
    </row>
    <row r="619" ht="15.75" customHeight="1" s="57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49" t="n"/>
    </row>
    <row r="620" ht="15.75" customHeight="1" s="57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49" t="n"/>
    </row>
    <row r="621" ht="15.75" customHeight="1" s="57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49" t="n"/>
    </row>
    <row r="622" ht="15.75" customHeight="1" s="57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49" t="n"/>
    </row>
    <row r="623" ht="15.75" customHeight="1" s="57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49" t="n"/>
    </row>
    <row r="624" ht="15.75" customHeight="1" s="57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49" t="n"/>
    </row>
    <row r="625" ht="15.75" customHeight="1" s="57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49" t="n"/>
    </row>
    <row r="626" ht="15.75" customHeight="1" s="57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49" t="n"/>
    </row>
    <row r="627" ht="15.75" customHeight="1" s="57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49" t="n"/>
    </row>
    <row r="628" ht="15.75" customHeight="1" s="57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49" t="n"/>
    </row>
    <row r="629" ht="15.75" customHeight="1" s="57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49" t="n"/>
    </row>
    <row r="630" ht="15.75" customHeight="1" s="57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49" t="n"/>
    </row>
    <row r="631" ht="15.75" customHeight="1" s="57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49" t="n"/>
    </row>
    <row r="632" ht="15.75" customHeight="1" s="57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49" t="n"/>
    </row>
    <row r="633" ht="15.75" customHeight="1" s="57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49" t="n"/>
    </row>
    <row r="634" ht="15.75" customHeight="1" s="57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49" t="n"/>
    </row>
    <row r="635" ht="15.75" customHeight="1" s="57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49" t="n"/>
    </row>
    <row r="636" ht="15.75" customHeight="1" s="57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49" t="n"/>
    </row>
    <row r="637" ht="15.75" customHeight="1" s="57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49" t="n"/>
    </row>
    <row r="638" ht="15.75" customHeight="1" s="57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49" t="n"/>
    </row>
    <row r="639" ht="15.75" customHeight="1" s="57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49" t="n"/>
    </row>
    <row r="640" ht="15.75" customHeight="1" s="57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49" t="n"/>
    </row>
    <row r="641" ht="15.75" customHeight="1" s="57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49" t="n"/>
    </row>
    <row r="642" ht="15.75" customHeight="1" s="57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49" t="n"/>
    </row>
    <row r="643" ht="15.75" customHeight="1" s="57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49" t="n"/>
    </row>
    <row r="644" ht="15.75" customHeight="1" s="57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49" t="n"/>
    </row>
    <row r="645" ht="15.75" customHeight="1" s="57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49" t="n"/>
    </row>
    <row r="646" ht="15.75" customHeight="1" s="57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49" t="n"/>
    </row>
    <row r="647" ht="15.75" customHeight="1" s="57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49" t="n"/>
    </row>
    <row r="648" ht="15.75" customHeight="1" s="57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49" t="n"/>
    </row>
    <row r="649" ht="15.75" customHeight="1" s="57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49" t="n"/>
    </row>
    <row r="650" ht="15.75" customHeight="1" s="57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49" t="n"/>
    </row>
    <row r="651" ht="15.75" customHeight="1" s="57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49" t="n"/>
    </row>
    <row r="652" ht="15.75" customHeight="1" s="57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49" t="n"/>
    </row>
    <row r="653" ht="15.75" customHeight="1" s="57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49" t="n"/>
    </row>
    <row r="654" ht="15.75" customHeight="1" s="57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49" t="n"/>
    </row>
    <row r="655" ht="15.75" customHeight="1" s="57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49" t="n"/>
    </row>
    <row r="656" ht="15.75" customHeight="1" s="57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49" t="n"/>
    </row>
    <row r="657" ht="15.75" customHeight="1" s="57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49" t="n"/>
    </row>
    <row r="658" ht="15.75" customHeight="1" s="57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49" t="n"/>
    </row>
    <row r="659" ht="15.75" customHeight="1" s="57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49" t="n"/>
    </row>
    <row r="660" ht="15.75" customHeight="1" s="57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49" t="n"/>
    </row>
    <row r="661" ht="15.75" customHeight="1" s="57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49" t="n"/>
    </row>
    <row r="662" ht="15.75" customHeight="1" s="57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49" t="n"/>
    </row>
    <row r="663" ht="15.75" customHeight="1" s="57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49" t="n"/>
    </row>
    <row r="664" ht="15.75" customHeight="1" s="57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49" t="n"/>
    </row>
    <row r="665" ht="15.75" customHeight="1" s="57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49" t="n"/>
    </row>
    <row r="666" ht="15.75" customHeight="1" s="57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49" t="n"/>
    </row>
    <row r="667" ht="15.75" customHeight="1" s="57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49" t="n"/>
    </row>
    <row r="668" ht="15.75" customHeight="1" s="57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49" t="n"/>
    </row>
    <row r="669" ht="15.75" customHeight="1" s="57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49" t="n"/>
    </row>
    <row r="670" ht="15.75" customHeight="1" s="57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49" t="n"/>
    </row>
    <row r="671" ht="15.75" customHeight="1" s="57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49" t="n"/>
    </row>
    <row r="672" ht="15.75" customHeight="1" s="57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49" t="n"/>
    </row>
    <row r="673" ht="15.75" customHeight="1" s="57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49" t="n"/>
    </row>
    <row r="674" ht="15.75" customHeight="1" s="57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49" t="n"/>
    </row>
    <row r="675" ht="15.75" customHeight="1" s="57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49" t="n"/>
    </row>
    <row r="676" ht="15.75" customHeight="1" s="57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49" t="n"/>
    </row>
    <row r="677" ht="15.75" customHeight="1" s="57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49" t="n"/>
    </row>
    <row r="678" ht="15.75" customHeight="1" s="57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49" t="n"/>
    </row>
    <row r="679" ht="15.75" customHeight="1" s="57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49" t="n"/>
    </row>
    <row r="680" ht="15.75" customHeight="1" s="57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49" t="n"/>
    </row>
    <row r="681" ht="15.75" customHeight="1" s="57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49" t="n"/>
    </row>
    <row r="682" ht="15.75" customHeight="1" s="57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49" t="n"/>
    </row>
    <row r="683" ht="15.75" customHeight="1" s="57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49" t="n"/>
    </row>
    <row r="684" ht="15.75" customHeight="1" s="57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49" t="n"/>
    </row>
    <row r="685" ht="15.75" customHeight="1" s="57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49" t="n"/>
    </row>
    <row r="686" ht="15.75" customHeight="1" s="57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49" t="n"/>
    </row>
    <row r="687" ht="15.75" customHeight="1" s="57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49" t="n"/>
    </row>
    <row r="688" ht="15.75" customHeight="1" s="57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49" t="n"/>
    </row>
    <row r="689" ht="15.75" customHeight="1" s="57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49" t="n"/>
    </row>
    <row r="690" ht="15.75" customHeight="1" s="57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49" t="n"/>
    </row>
    <row r="691" ht="15.75" customHeight="1" s="57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49" t="n"/>
    </row>
    <row r="692" ht="15.75" customHeight="1" s="57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49" t="n"/>
    </row>
    <row r="693" ht="15.75" customHeight="1" s="57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49" t="n"/>
    </row>
    <row r="694" ht="15.75" customHeight="1" s="57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49" t="n"/>
    </row>
    <row r="695" ht="15.75" customHeight="1" s="57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49" t="n"/>
    </row>
    <row r="696" ht="15.75" customHeight="1" s="57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49" t="n"/>
    </row>
    <row r="697" ht="15.75" customHeight="1" s="57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49" t="n"/>
    </row>
    <row r="698" ht="15.75" customHeight="1" s="57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49" t="n"/>
    </row>
    <row r="699" ht="15.75" customHeight="1" s="57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49" t="n"/>
    </row>
    <row r="700" ht="15.75" customHeight="1" s="57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49" t="n"/>
    </row>
    <row r="701" ht="15.75" customHeight="1" s="57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49" t="n"/>
    </row>
    <row r="702" ht="15.75" customHeight="1" s="57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49" t="n"/>
    </row>
    <row r="703" ht="15.75" customHeight="1" s="57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49" t="n"/>
    </row>
    <row r="704" ht="15.75" customHeight="1" s="57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49" t="n"/>
    </row>
    <row r="705" ht="15.75" customHeight="1" s="57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49" t="n"/>
    </row>
    <row r="706" ht="15.75" customHeight="1" s="57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49" t="n"/>
    </row>
    <row r="707" ht="15.75" customHeight="1" s="57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49" t="n"/>
    </row>
    <row r="708" ht="15.75" customHeight="1" s="57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49" t="n"/>
    </row>
    <row r="709" ht="15.75" customHeight="1" s="57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49" t="n"/>
    </row>
    <row r="710" ht="15.75" customHeight="1" s="57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49" t="n"/>
    </row>
    <row r="711" ht="15.75" customHeight="1" s="57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49" t="n"/>
    </row>
    <row r="712" ht="15.75" customHeight="1" s="57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49" t="n"/>
    </row>
    <row r="713" ht="15.75" customHeight="1" s="57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49" t="n"/>
    </row>
    <row r="714" ht="15.75" customHeight="1" s="57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49" t="n"/>
    </row>
    <row r="715" ht="15.75" customHeight="1" s="57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49" t="n"/>
    </row>
    <row r="716" ht="15.75" customHeight="1" s="57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49" t="n"/>
    </row>
    <row r="717" ht="15.75" customHeight="1" s="57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49" t="n"/>
    </row>
    <row r="718" ht="15.75" customHeight="1" s="57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49" t="n"/>
    </row>
    <row r="719" ht="15.75" customHeight="1" s="57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49" t="n"/>
    </row>
    <row r="720" ht="15.75" customHeight="1" s="57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49" t="n"/>
    </row>
    <row r="721" ht="15.75" customHeight="1" s="57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49" t="n"/>
    </row>
    <row r="722" ht="15.75" customHeight="1" s="57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49" t="n"/>
    </row>
    <row r="723" ht="15.75" customHeight="1" s="57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49" t="n"/>
    </row>
    <row r="724" ht="15.75" customHeight="1" s="57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49" t="n"/>
    </row>
    <row r="725" ht="15.75" customHeight="1" s="57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49" t="n"/>
    </row>
    <row r="726" ht="15.75" customHeight="1" s="57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49" t="n"/>
    </row>
    <row r="727" ht="15.75" customHeight="1" s="57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49" t="n"/>
    </row>
    <row r="728" ht="15.75" customHeight="1" s="57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49" t="n"/>
    </row>
    <row r="729" ht="15.75" customHeight="1" s="57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49" t="n"/>
    </row>
    <row r="730" ht="15.75" customHeight="1" s="57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49" t="n"/>
    </row>
    <row r="731" ht="15.75" customHeight="1" s="57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49" t="n"/>
    </row>
    <row r="732" ht="15.75" customHeight="1" s="57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49" t="n"/>
    </row>
    <row r="733" ht="15.75" customHeight="1" s="57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49" t="n"/>
    </row>
    <row r="734" ht="15.75" customHeight="1" s="57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49" t="n"/>
    </row>
    <row r="735" ht="15.75" customHeight="1" s="57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49" t="n"/>
    </row>
    <row r="736" ht="15.75" customHeight="1" s="57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49" t="n"/>
    </row>
    <row r="737" ht="15.75" customHeight="1" s="57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49" t="n"/>
    </row>
    <row r="738" ht="15.75" customHeight="1" s="57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49" t="n"/>
    </row>
    <row r="739" ht="15.75" customHeight="1" s="57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49" t="n"/>
    </row>
    <row r="740" ht="15.75" customHeight="1" s="57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49" t="n"/>
    </row>
    <row r="741" ht="15.75" customHeight="1" s="57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49" t="n"/>
    </row>
    <row r="742" ht="15.75" customHeight="1" s="57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49" t="n"/>
    </row>
    <row r="743" ht="15.75" customHeight="1" s="57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49" t="n"/>
    </row>
    <row r="744" ht="15.75" customHeight="1" s="57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49" t="n"/>
    </row>
    <row r="745" ht="15.75" customHeight="1" s="57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49" t="n"/>
    </row>
    <row r="746" ht="15.75" customHeight="1" s="57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49" t="n"/>
    </row>
    <row r="747" ht="15.75" customHeight="1" s="57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49" t="n"/>
    </row>
    <row r="748" ht="15.75" customHeight="1" s="57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49" t="n"/>
    </row>
    <row r="749" ht="15.75" customHeight="1" s="57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49" t="n"/>
    </row>
    <row r="750" ht="15.75" customHeight="1" s="57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49" t="n"/>
    </row>
    <row r="751" ht="15.75" customHeight="1" s="57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49" t="n"/>
    </row>
    <row r="752" ht="15.75" customHeight="1" s="57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49" t="n"/>
    </row>
    <row r="753" ht="15.75" customHeight="1" s="57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49" t="n"/>
    </row>
    <row r="754" ht="15.75" customHeight="1" s="57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49" t="n"/>
    </row>
    <row r="755" ht="15.75" customHeight="1" s="57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49" t="n"/>
    </row>
    <row r="756" ht="15.75" customHeight="1" s="57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49" t="n"/>
    </row>
    <row r="757" ht="15.75" customHeight="1" s="57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49" t="n"/>
    </row>
    <row r="758" ht="15.75" customHeight="1" s="57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49" t="n"/>
    </row>
    <row r="759" ht="15.75" customHeight="1" s="57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49" t="n"/>
    </row>
    <row r="760" ht="15.75" customHeight="1" s="57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49" t="n"/>
    </row>
    <row r="761" ht="15.75" customHeight="1" s="57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49" t="n"/>
    </row>
    <row r="762" ht="15.75" customHeight="1" s="57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49" t="n"/>
    </row>
    <row r="763" ht="15.75" customHeight="1" s="57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49" t="n"/>
    </row>
    <row r="764" ht="15.75" customHeight="1" s="57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49" t="n"/>
    </row>
    <row r="765" ht="15.75" customHeight="1" s="57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49" t="n"/>
    </row>
    <row r="766" ht="15.75" customHeight="1" s="57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49" t="n"/>
    </row>
    <row r="767" ht="15.75" customHeight="1" s="57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49" t="n"/>
    </row>
    <row r="768" ht="15.75" customHeight="1" s="57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49" t="n"/>
    </row>
    <row r="769" ht="15.75" customHeight="1" s="57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49" t="n"/>
    </row>
    <row r="770" ht="15.75" customHeight="1" s="57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49" t="n"/>
    </row>
    <row r="771" ht="15.75" customHeight="1" s="57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49" t="n"/>
    </row>
    <row r="772" ht="15.75" customHeight="1" s="57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49" t="n"/>
    </row>
    <row r="773" ht="15.75" customHeight="1" s="57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49" t="n"/>
    </row>
    <row r="774" ht="15.75" customHeight="1" s="57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49" t="n"/>
    </row>
    <row r="775" ht="15.75" customHeight="1" s="57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49" t="n"/>
    </row>
    <row r="776" ht="15.75" customHeight="1" s="57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49" t="n"/>
    </row>
    <row r="777" ht="15.75" customHeight="1" s="57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49" t="n"/>
    </row>
    <row r="778" ht="15.75" customHeight="1" s="57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49" t="n"/>
    </row>
    <row r="779" ht="15.75" customHeight="1" s="57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49" t="n"/>
    </row>
    <row r="780" ht="15.75" customHeight="1" s="57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49" t="n"/>
    </row>
    <row r="781" ht="15.75" customHeight="1" s="57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49" t="n"/>
    </row>
    <row r="782" ht="15.75" customHeight="1" s="57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49" t="n"/>
    </row>
    <row r="783" ht="15.75" customHeight="1" s="57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49" t="n"/>
    </row>
    <row r="784" ht="15.75" customHeight="1" s="57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49" t="n"/>
    </row>
    <row r="785" ht="15.75" customHeight="1" s="57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49" t="n"/>
    </row>
    <row r="786" ht="15.75" customHeight="1" s="57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49" t="n"/>
    </row>
    <row r="787" ht="15.75" customHeight="1" s="57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49" t="n"/>
    </row>
    <row r="788" ht="15.75" customHeight="1" s="57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49" t="n"/>
    </row>
    <row r="789" ht="15.75" customHeight="1" s="57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49" t="n"/>
    </row>
    <row r="790" ht="15.75" customHeight="1" s="57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49" t="n"/>
    </row>
    <row r="791" ht="15.75" customHeight="1" s="57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49" t="n"/>
    </row>
    <row r="792" ht="15.75" customHeight="1" s="57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49" t="n"/>
    </row>
    <row r="793" ht="15.75" customHeight="1" s="57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49" t="n"/>
    </row>
    <row r="794" ht="15.75" customHeight="1" s="57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49" t="n"/>
    </row>
    <row r="795" ht="15.75" customHeight="1" s="57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49" t="n"/>
    </row>
    <row r="796" ht="15.75" customHeight="1" s="57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49" t="n"/>
    </row>
    <row r="797" ht="15.75" customHeight="1" s="57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49" t="n"/>
    </row>
    <row r="798" ht="15.75" customHeight="1" s="57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49" t="n"/>
    </row>
    <row r="799" ht="15.75" customHeight="1" s="57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49" t="n"/>
    </row>
    <row r="800" ht="15.75" customHeight="1" s="57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49" t="n"/>
    </row>
    <row r="801" ht="15.75" customHeight="1" s="57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49" t="n"/>
    </row>
    <row r="802" ht="15.75" customHeight="1" s="57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49" t="n"/>
    </row>
    <row r="803" ht="15.75" customHeight="1" s="57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49" t="n"/>
    </row>
    <row r="804" ht="15.75" customHeight="1" s="57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49" t="n"/>
    </row>
    <row r="805" ht="15.75" customHeight="1" s="57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49" t="n"/>
    </row>
    <row r="806" ht="15.75" customHeight="1" s="57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49" t="n"/>
    </row>
    <row r="807" ht="15.75" customHeight="1" s="57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49" t="n"/>
    </row>
    <row r="808" ht="15.75" customHeight="1" s="57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49" t="n"/>
    </row>
    <row r="809" ht="15.75" customHeight="1" s="57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49" t="n"/>
    </row>
    <row r="810" ht="15.75" customHeight="1" s="57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49" t="n"/>
    </row>
    <row r="811" ht="15.75" customHeight="1" s="57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49" t="n"/>
    </row>
    <row r="812" ht="15.75" customHeight="1" s="57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49" t="n"/>
    </row>
    <row r="813" ht="15.75" customHeight="1" s="57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49" t="n"/>
    </row>
    <row r="814" ht="15.75" customHeight="1" s="57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49" t="n"/>
    </row>
    <row r="815" ht="15.75" customHeight="1" s="57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49" t="n"/>
    </row>
    <row r="816" ht="15.75" customHeight="1" s="57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49" t="n"/>
    </row>
    <row r="817" ht="15.75" customHeight="1" s="57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49" t="n"/>
    </row>
    <row r="818" ht="15.75" customHeight="1" s="57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49" t="n"/>
    </row>
    <row r="819" ht="15.75" customHeight="1" s="57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49" t="n"/>
    </row>
    <row r="820" ht="15.75" customHeight="1" s="57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49" t="n"/>
    </row>
    <row r="821" ht="15.75" customHeight="1" s="57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49" t="n"/>
    </row>
    <row r="822" ht="15.75" customHeight="1" s="57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49" t="n"/>
    </row>
    <row r="823" ht="15.75" customHeight="1" s="57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49" t="n"/>
    </row>
    <row r="824" ht="15.75" customHeight="1" s="57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49" t="n"/>
    </row>
    <row r="825" ht="15.75" customHeight="1" s="57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49" t="n"/>
    </row>
    <row r="826" ht="15.75" customHeight="1" s="57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49" t="n"/>
    </row>
    <row r="827" ht="15.75" customHeight="1" s="57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49" t="n"/>
    </row>
    <row r="828" ht="15.75" customHeight="1" s="57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49" t="n"/>
    </row>
    <row r="829" ht="15.75" customHeight="1" s="57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49" t="n"/>
    </row>
    <row r="830" ht="15.75" customHeight="1" s="57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49" t="n"/>
    </row>
    <row r="831" ht="15.75" customHeight="1" s="57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49" t="n"/>
    </row>
    <row r="832" ht="15.75" customHeight="1" s="57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49" t="n"/>
    </row>
    <row r="833" ht="15.75" customHeight="1" s="57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49" t="n"/>
    </row>
    <row r="834" ht="15.75" customHeight="1" s="57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49" t="n"/>
    </row>
    <row r="835" ht="15.75" customHeight="1" s="57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49" t="n"/>
    </row>
    <row r="836" ht="15.75" customHeight="1" s="57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49" t="n"/>
    </row>
    <row r="837" ht="15.75" customHeight="1" s="57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49" t="n"/>
    </row>
    <row r="838" ht="15.75" customHeight="1" s="57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49" t="n"/>
    </row>
    <row r="839" ht="15.75" customHeight="1" s="57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49" t="n"/>
    </row>
    <row r="840" ht="15.75" customHeight="1" s="57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49" t="n"/>
    </row>
    <row r="841" ht="15.75" customHeight="1" s="57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49" t="n"/>
    </row>
    <row r="842" ht="15.75" customHeight="1" s="57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49" t="n"/>
    </row>
    <row r="843" ht="15.75" customHeight="1" s="57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49" t="n"/>
    </row>
    <row r="844" ht="15.75" customHeight="1" s="57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49" t="n"/>
    </row>
    <row r="845" ht="15.75" customHeight="1" s="57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49" t="n"/>
    </row>
    <row r="846" ht="15.75" customHeight="1" s="57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49" t="n"/>
    </row>
    <row r="847" ht="15.75" customHeight="1" s="57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49" t="n"/>
    </row>
    <row r="848" ht="15.75" customHeight="1" s="57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49" t="n"/>
    </row>
    <row r="849" ht="15.75" customHeight="1" s="57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49" t="n"/>
    </row>
    <row r="850" ht="15.75" customHeight="1" s="57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49" t="n"/>
    </row>
    <row r="851" ht="15.75" customHeight="1" s="57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49" t="n"/>
    </row>
    <row r="852" ht="15.75" customHeight="1" s="57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49" t="n"/>
    </row>
    <row r="853" ht="15.75" customHeight="1" s="57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49" t="n"/>
    </row>
    <row r="854" ht="15.75" customHeight="1" s="57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49" t="n"/>
    </row>
    <row r="855" ht="15.75" customHeight="1" s="57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49" t="n"/>
    </row>
    <row r="856" ht="15.75" customHeight="1" s="57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49" t="n"/>
    </row>
    <row r="857" ht="15.75" customHeight="1" s="57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49" t="n"/>
    </row>
    <row r="858" ht="15.75" customHeight="1" s="57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49" t="n"/>
    </row>
    <row r="859" ht="15.75" customHeight="1" s="57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49" t="n"/>
    </row>
    <row r="860" ht="15.75" customHeight="1" s="57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49" t="n"/>
    </row>
    <row r="861" ht="15.75" customHeight="1" s="57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49" t="n"/>
    </row>
    <row r="862" ht="15.75" customHeight="1" s="57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49" t="n"/>
    </row>
    <row r="863" ht="15.75" customHeight="1" s="57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49" t="n"/>
    </row>
    <row r="864" ht="15.75" customHeight="1" s="57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49" t="n"/>
    </row>
    <row r="865" ht="15.75" customHeight="1" s="57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49" t="n"/>
    </row>
    <row r="866" ht="15.75" customHeight="1" s="57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49" t="n"/>
    </row>
    <row r="867" ht="15.75" customHeight="1" s="57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49" t="n"/>
    </row>
    <row r="868" ht="15.75" customHeight="1" s="57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49" t="n"/>
    </row>
    <row r="869" ht="15.75" customHeight="1" s="57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49" t="n"/>
    </row>
    <row r="870" ht="15.75" customHeight="1" s="57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49" t="n"/>
    </row>
    <row r="871" ht="15.75" customHeight="1" s="57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49" t="n"/>
    </row>
    <row r="872" ht="15.75" customHeight="1" s="57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49" t="n"/>
    </row>
    <row r="873" ht="15.75" customHeight="1" s="57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49" t="n"/>
    </row>
    <row r="874" ht="15.75" customHeight="1" s="57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49" t="n"/>
    </row>
    <row r="875" ht="15.75" customHeight="1" s="57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49" t="n"/>
    </row>
    <row r="876" ht="15.75" customHeight="1" s="57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49" t="n"/>
    </row>
    <row r="877" ht="15.75" customHeight="1" s="57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49" t="n"/>
    </row>
    <row r="878" ht="15.75" customHeight="1" s="57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49" t="n"/>
    </row>
    <row r="879" ht="15.75" customHeight="1" s="57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49" t="n"/>
    </row>
    <row r="880" ht="15.75" customHeight="1" s="57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49" t="n"/>
    </row>
    <row r="881" ht="15.75" customHeight="1" s="57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49" t="n"/>
    </row>
    <row r="882" ht="15.75" customHeight="1" s="57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49" t="n"/>
    </row>
    <row r="883" ht="15.75" customHeight="1" s="57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49" t="n"/>
    </row>
    <row r="884" ht="15.75" customHeight="1" s="57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49" t="n"/>
    </row>
    <row r="885" ht="15.75" customHeight="1" s="57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49" t="n"/>
    </row>
    <row r="886" ht="15.75" customHeight="1" s="57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49" t="n"/>
    </row>
    <row r="887" ht="15.75" customHeight="1" s="57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49" t="n"/>
    </row>
    <row r="888" ht="15.75" customHeight="1" s="57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49" t="n"/>
    </row>
    <row r="889" ht="15.75" customHeight="1" s="57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49" t="n"/>
    </row>
    <row r="890" ht="15.75" customHeight="1" s="57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49" t="n"/>
    </row>
    <row r="891" ht="15.75" customHeight="1" s="57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49" t="n"/>
    </row>
    <row r="892" ht="15.75" customHeight="1" s="57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49" t="n"/>
    </row>
    <row r="893" ht="15.75" customHeight="1" s="57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49" t="n"/>
    </row>
    <row r="894" ht="15.75" customHeight="1" s="57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49" t="n"/>
    </row>
    <row r="895" ht="15.75" customHeight="1" s="57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49" t="n"/>
    </row>
    <row r="896" ht="15.75" customHeight="1" s="57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49" t="n"/>
    </row>
    <row r="897" ht="15.75" customHeight="1" s="57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49" t="n"/>
    </row>
    <row r="898" ht="15.75" customHeight="1" s="57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49" t="n"/>
    </row>
    <row r="899" ht="15.75" customHeight="1" s="57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49" t="n"/>
    </row>
    <row r="900" ht="15.75" customHeight="1" s="57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49" t="n"/>
    </row>
    <row r="901" ht="15.75" customHeight="1" s="57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49" t="n"/>
    </row>
    <row r="902" ht="15.75" customHeight="1" s="57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49" t="n"/>
    </row>
    <row r="903" ht="15.75" customHeight="1" s="57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49" t="n"/>
    </row>
    <row r="904" ht="15.75" customHeight="1" s="57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49" t="n"/>
    </row>
    <row r="905" ht="15.75" customHeight="1" s="57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49" t="n"/>
    </row>
    <row r="906" ht="15.75" customHeight="1" s="57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49" t="n"/>
    </row>
    <row r="907" ht="15.75" customHeight="1" s="57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49" t="n"/>
    </row>
    <row r="908" ht="15.75" customHeight="1" s="57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49" t="n"/>
    </row>
    <row r="909" ht="15.75" customHeight="1" s="57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49" t="n"/>
    </row>
    <row r="910" ht="15.75" customHeight="1" s="57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49" t="n"/>
    </row>
    <row r="911" ht="15.75" customHeight="1" s="57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49" t="n"/>
    </row>
    <row r="912" ht="15.75" customHeight="1" s="57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49" t="n"/>
    </row>
    <row r="913" ht="15.75" customHeight="1" s="57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49" t="n"/>
    </row>
    <row r="914" ht="15.75" customHeight="1" s="57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49" t="n"/>
    </row>
    <row r="915" ht="15.75" customHeight="1" s="57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49" t="n"/>
    </row>
    <row r="916" ht="15.75" customHeight="1" s="57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49" t="n"/>
    </row>
    <row r="917" ht="15.75" customHeight="1" s="57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49" t="n"/>
    </row>
    <row r="918" ht="15.75" customHeight="1" s="57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49" t="n"/>
    </row>
    <row r="919" ht="15.75" customHeight="1" s="57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49" t="n"/>
    </row>
    <row r="920" ht="15.75" customHeight="1" s="57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49" t="n"/>
    </row>
    <row r="921" ht="15.75" customHeight="1" s="57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49" t="n"/>
    </row>
    <row r="922" ht="15.75" customHeight="1" s="57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49" t="n"/>
    </row>
    <row r="923" ht="15.75" customHeight="1" s="57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49" t="n"/>
    </row>
    <row r="924" ht="15.75" customHeight="1" s="57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49" t="n"/>
    </row>
    <row r="925" ht="15.75" customHeight="1" s="57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49" t="n"/>
    </row>
    <row r="926" ht="15.75" customHeight="1" s="57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49" t="n"/>
    </row>
    <row r="927" ht="15.75" customHeight="1" s="57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49" t="n"/>
    </row>
    <row r="928" ht="15.75" customHeight="1" s="57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49" t="n"/>
    </row>
    <row r="929" ht="15.75" customHeight="1" s="57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49" t="n"/>
    </row>
    <row r="930" ht="15.75" customHeight="1" s="57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49" t="n"/>
    </row>
    <row r="931" ht="15.75" customHeight="1" s="57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49" t="n"/>
    </row>
    <row r="932" ht="15.75" customHeight="1" s="57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49" t="n"/>
    </row>
    <row r="933" ht="15.75" customHeight="1" s="57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49" t="n"/>
    </row>
    <row r="934" ht="15.75" customHeight="1" s="57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49" t="n"/>
    </row>
    <row r="935" ht="15.75" customHeight="1" s="57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49" t="n"/>
    </row>
    <row r="936" ht="15.75" customHeight="1" s="57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49" t="n"/>
    </row>
    <row r="937" ht="15.75" customHeight="1" s="57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49" t="n"/>
    </row>
    <row r="938" ht="15.75" customHeight="1" s="57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49" t="n"/>
    </row>
    <row r="939" ht="15.75" customHeight="1" s="57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49" t="n"/>
    </row>
    <row r="940" ht="15.75" customHeight="1" s="57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49" t="n"/>
    </row>
    <row r="941" ht="15.75" customHeight="1" s="57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49" t="n"/>
    </row>
    <row r="942" ht="15.75" customHeight="1" s="57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49" t="n"/>
    </row>
    <row r="943" ht="15.75" customHeight="1" s="57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49" t="n"/>
    </row>
    <row r="944" ht="15.75" customHeight="1" s="57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49" t="n"/>
    </row>
    <row r="945" ht="15.75" customHeight="1" s="57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49" t="n"/>
    </row>
    <row r="946" ht="15.75" customHeight="1" s="57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49" t="n"/>
    </row>
    <row r="947" ht="15.75" customHeight="1" s="57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49" t="n"/>
    </row>
    <row r="948" ht="15.75" customHeight="1" s="57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49" t="n"/>
    </row>
    <row r="949" ht="15.75" customHeight="1" s="57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49" t="n"/>
    </row>
    <row r="950" ht="15.75" customHeight="1" s="57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49" t="n"/>
    </row>
    <row r="951" ht="15.75" customHeight="1" s="57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49" t="n"/>
    </row>
    <row r="952" ht="15.75" customHeight="1" s="57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49" t="n"/>
    </row>
    <row r="953" ht="15.75" customHeight="1" s="57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49" t="n"/>
    </row>
    <row r="954" ht="15.75" customHeight="1" s="57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49" t="n"/>
    </row>
    <row r="955" ht="15.75" customHeight="1" s="57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49" t="n"/>
    </row>
    <row r="956" ht="15.75" customHeight="1" s="57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49" t="n"/>
    </row>
    <row r="957" ht="15.75" customHeight="1" s="57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49" t="n"/>
    </row>
    <row r="958" ht="15.75" customHeight="1" s="57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49" t="n"/>
    </row>
    <row r="959" ht="15.75" customHeight="1" s="57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49" t="n"/>
    </row>
    <row r="960" ht="15.75" customHeight="1" s="57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49" t="n"/>
    </row>
    <row r="961" ht="15.75" customHeight="1" s="57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49" t="n"/>
    </row>
    <row r="962" ht="15.75" customHeight="1" s="57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49" t="n"/>
    </row>
    <row r="963" ht="15.75" customHeight="1" s="57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49" t="n"/>
    </row>
    <row r="964" ht="15.75" customHeight="1" s="57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49" t="n"/>
    </row>
    <row r="965" ht="15.75" customHeight="1" s="57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49" t="n"/>
    </row>
    <row r="966" ht="15.75" customHeight="1" s="57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49" t="n"/>
    </row>
    <row r="967" ht="15.75" customHeight="1" s="57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49" t="n"/>
    </row>
    <row r="968" ht="15.75" customHeight="1" s="57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49" t="n"/>
    </row>
    <row r="969" ht="15.75" customHeight="1" s="57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49" t="n"/>
    </row>
    <row r="970" ht="15.75" customHeight="1" s="57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49" t="n"/>
    </row>
    <row r="971" ht="15.75" customHeight="1" s="57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49" t="n"/>
    </row>
    <row r="972" ht="15.75" customHeight="1" s="57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49" t="n"/>
    </row>
    <row r="973" ht="15.75" customHeight="1" s="57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49" t="n"/>
    </row>
    <row r="974" ht="15.75" customHeight="1" s="57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49" t="n"/>
    </row>
    <row r="975" ht="15.75" customHeight="1" s="57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49" t="n"/>
    </row>
    <row r="976" ht="15.75" customHeight="1" s="57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49" t="n"/>
    </row>
    <row r="977" ht="15.75" customHeight="1" s="57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49" t="n"/>
    </row>
    <row r="978" ht="15.75" customHeight="1" s="57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49" t="n"/>
    </row>
    <row r="979" ht="15.75" customHeight="1" s="57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49" t="n"/>
    </row>
    <row r="980" ht="15.75" customHeight="1" s="57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49" t="n"/>
    </row>
    <row r="981" ht="15.75" customHeight="1" s="57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49" t="n"/>
    </row>
    <row r="982" ht="15.75" customHeight="1" s="57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49" t="n"/>
    </row>
    <row r="983" ht="15.75" customHeight="1" s="57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49" t="n"/>
    </row>
    <row r="984" ht="15.75" customHeight="1" s="57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49" t="n"/>
    </row>
    <row r="985" ht="15.75" customHeight="1" s="57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49" t="n"/>
    </row>
    <row r="986" ht="15.75" customHeight="1" s="57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49" t="n"/>
    </row>
    <row r="987" ht="15.75" customHeight="1" s="57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49" t="n"/>
    </row>
    <row r="988" ht="15.75" customHeight="1" s="57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49" t="n"/>
    </row>
    <row r="989" ht="15.75" customHeight="1" s="57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49" t="n"/>
    </row>
    <row r="990" ht="15.75" customHeight="1" s="57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49" t="n"/>
    </row>
    <row r="991" ht="15.75" customHeight="1" s="57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49" t="n"/>
    </row>
    <row r="992" ht="15.75" customHeight="1" s="57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49" t="n"/>
    </row>
    <row r="993" ht="15.75" customHeight="1" s="57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49" t="n"/>
    </row>
    <row r="994" ht="15.75" customHeight="1" s="57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49" t="n"/>
    </row>
    <row r="995" ht="15.75" customHeight="1" s="57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49" t="n"/>
    </row>
    <row r="996" ht="15.75" customHeight="1" s="57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49" t="n"/>
    </row>
    <row r="997" ht="15.75" customHeight="1" s="57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49" t="n"/>
    </row>
    <row r="998" ht="15.75" customHeight="1" s="57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49" t="n"/>
    </row>
    <row r="999" ht="15.75" customHeight="1" s="57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49" t="n"/>
    </row>
    <row r="1000" ht="15.75" customHeight="1" s="57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49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R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" customHeight="1" outlineLevelCol="0"/>
  <cols>
    <col width="4.75" customWidth="1" style="57" min="1" max="1"/>
    <col width="9.25" customWidth="1" style="57" min="2" max="2"/>
    <col width="7" customWidth="1" style="57" min="3" max="3"/>
    <col width="8.880000000000001" customWidth="1" style="57" min="4" max="4"/>
    <col width="7.63" customWidth="1" style="57" min="5" max="5"/>
    <col width="9.130000000000001" customWidth="1" style="57" min="6" max="6"/>
    <col width="5.75" customWidth="1" style="57" min="7" max="7"/>
    <col width="7.5" customWidth="1" style="57" min="8" max="8"/>
    <col width="9.380000000000001" customWidth="1" style="57" min="9" max="9"/>
    <col width="23.25" customWidth="1" style="57" min="10" max="10"/>
    <col width="9.630000000000001" customWidth="1" style="57" min="11" max="11"/>
    <col width="8.130000000000001" customWidth="1" style="57" min="12" max="17"/>
    <col width="7.38" customWidth="1" style="57" min="18" max="18"/>
  </cols>
  <sheetData>
    <row r="1" ht="15.75" customHeight="1" s="57">
      <c r="A1" s="4" t="inlineStr">
        <is>
          <t>Vùng</t>
        </is>
      </c>
      <c r="B1" s="4" t="inlineStr">
        <is>
          <t>Tỉnh</t>
        </is>
      </c>
      <c r="C1" s="4" t="inlineStr">
        <is>
          <t>Quận_ID</t>
        </is>
      </c>
      <c r="D1" s="4" t="inlineStr">
        <is>
          <t>Phường_ID</t>
        </is>
      </c>
      <c r="E1" s="4" t="inlineStr">
        <is>
          <t>B2B_Nhóm</t>
        </is>
      </c>
      <c r="F1" s="4" t="inlineStr">
        <is>
          <t>B2B_Từ_kg</t>
        </is>
      </c>
      <c r="G1" s="4" t="inlineStr">
        <is>
          <t>B2B_Pct</t>
        </is>
      </c>
      <c r="H1" s="4" t="inlineStr">
        <is>
          <t>B2B_Status</t>
        </is>
      </c>
      <c r="I1" s="4" t="inlineStr">
        <is>
          <t>routed_bc_id</t>
        </is>
      </c>
      <c r="J1" s="4" t="inlineStr">
        <is>
          <t>routed_bc_name</t>
        </is>
      </c>
      <c r="K1" s="4" t="inlineStr">
        <is>
          <t>Weight_Band</t>
        </is>
      </c>
      <c r="L1" s="4" t="inlineStr">
        <is>
          <t>T07/2026</t>
        </is>
      </c>
      <c r="M1" s="4" t="inlineStr">
        <is>
          <t>T08/2026</t>
        </is>
      </c>
      <c r="N1" s="4" t="inlineStr">
        <is>
          <t>T09/2026</t>
        </is>
      </c>
      <c r="O1" s="4" t="inlineStr">
        <is>
          <t>T10/2026</t>
        </is>
      </c>
      <c r="P1" s="4" t="inlineStr">
        <is>
          <t>T11/2026</t>
        </is>
      </c>
      <c r="Q1" s="4" t="inlineStr">
        <is>
          <t>T12/2026</t>
        </is>
      </c>
      <c r="R1" s="4" t="inlineStr">
        <is>
          <t>TOTAL_T05_T12</t>
        </is>
      </c>
    </row>
    <row r="2" ht="15.75" customHeight="1" s="57">
      <c r="A2" s="7" t="inlineStr">
        <is>
          <t>NTB</t>
        </is>
      </c>
      <c r="B2" s="7" t="inlineStr">
        <is>
          <t>Bình Thuận</t>
        </is>
      </c>
      <c r="C2" s="7" t="n">
        <v>1666</v>
      </c>
      <c r="D2" s="7" t="n">
        <v>470102</v>
      </c>
      <c r="E2" s="7" t="inlineStr">
        <is>
          <t>A</t>
        </is>
      </c>
      <c r="F2" s="7" t="n">
        <v>15</v>
      </c>
      <c r="G2" s="27" t="n">
        <v>1</v>
      </c>
      <c r="H2" s="7" t="inlineStr">
        <is>
          <t>Đã mở</t>
        </is>
      </c>
      <c r="I2" s="7" t="n"/>
      <c r="J2" s="7" t="inlineStr">
        <is>
          <t>GHN B2B Bình Thuận (sắp mở)</t>
        </is>
      </c>
      <c r="K2" s="7" t="inlineStr">
        <is>
          <t>15to30</t>
        </is>
      </c>
      <c r="L2" s="28" t="n">
        <v>189.097356241428</v>
      </c>
      <c r="M2" s="28" t="n">
        <v>234.973442015903</v>
      </c>
      <c r="N2" s="28" t="n">
        <v>257.4189471404791</v>
      </c>
      <c r="O2" s="28" t="n">
        <v>299.7771020470977</v>
      </c>
      <c r="P2" s="28" t="n">
        <v>316.3596622140973</v>
      </c>
      <c r="Q2" s="28" t="n">
        <v>335.2134713257987</v>
      </c>
      <c r="R2" s="28" t="n">
        <v>1632.839980984804</v>
      </c>
    </row>
    <row r="3" ht="15.75" customHeight="1" s="57">
      <c r="A3" s="7" t="inlineStr">
        <is>
          <t>NTB</t>
        </is>
      </c>
      <c r="B3" s="7" t="inlineStr">
        <is>
          <t>Bình Thuận</t>
        </is>
      </c>
      <c r="C3" s="7" t="n">
        <v>1666</v>
      </c>
      <c r="D3" s="7" t="n">
        <v>470102</v>
      </c>
      <c r="E3" s="7" t="inlineStr">
        <is>
          <t>A</t>
        </is>
      </c>
      <c r="F3" s="7" t="n">
        <v>15</v>
      </c>
      <c r="G3" s="27" t="n">
        <v>1</v>
      </c>
      <c r="H3" s="7" t="inlineStr">
        <is>
          <t>Đã mở</t>
        </is>
      </c>
      <c r="I3" s="7" t="n"/>
      <c r="J3" s="7" t="inlineStr">
        <is>
          <t>GHN B2B Bình Thuận (sắp mở)</t>
        </is>
      </c>
      <c r="K3" s="7" t="inlineStr">
        <is>
          <t>gte30</t>
        </is>
      </c>
      <c r="L3" s="28" t="n">
        <v>59.50077465585667</v>
      </c>
      <c r="M3" s="28" t="n">
        <v>73.44987986767747</v>
      </c>
      <c r="N3" s="28" t="n">
        <v>80.29615135009405</v>
      </c>
      <c r="O3" s="28" t="n">
        <v>93.38244896240919</v>
      </c>
      <c r="P3" s="28" t="n">
        <v>98.7342287126951</v>
      </c>
      <c r="Q3" s="28" t="n">
        <v>104.835338535863</v>
      </c>
      <c r="R3" s="28" t="n">
        <v>510.1988220845954</v>
      </c>
    </row>
    <row r="4" ht="15.75" customHeight="1" s="57">
      <c r="A4" s="7" t="inlineStr">
        <is>
          <t>NTB</t>
        </is>
      </c>
      <c r="B4" s="7" t="inlineStr">
        <is>
          <t>Bình Thuận</t>
        </is>
      </c>
      <c r="C4" s="7" t="n">
        <v>1666</v>
      </c>
      <c r="D4" s="7" t="n">
        <v>470105</v>
      </c>
      <c r="E4" s="7" t="inlineStr">
        <is>
          <t>A</t>
        </is>
      </c>
      <c r="F4" s="7" t="n">
        <v>15</v>
      </c>
      <c r="G4" s="27" t="n">
        <v>1</v>
      </c>
      <c r="H4" s="7" t="inlineStr">
        <is>
          <t>Đã mở</t>
        </is>
      </c>
      <c r="I4" s="7" t="n"/>
      <c r="J4" s="7" t="inlineStr">
        <is>
          <t>GHN B2B Bình Thuận (sắp mở)</t>
        </is>
      </c>
      <c r="K4" s="7" t="inlineStr">
        <is>
          <t>15to30</t>
        </is>
      </c>
      <c r="L4" s="28" t="n">
        <v>443.0006155484525</v>
      </c>
      <c r="M4" s="28" t="n">
        <v>558.4055602235502</v>
      </c>
      <c r="N4" s="28" t="n">
        <v>616.1263783496918</v>
      </c>
      <c r="O4" s="28" t="n">
        <v>721.2464627226232</v>
      </c>
      <c r="P4" s="28" t="n">
        <v>757.4932832737579</v>
      </c>
      <c r="Q4" s="28" t="n">
        <v>797.9301495273023</v>
      </c>
      <c r="R4" s="28" t="n">
        <v>3894.202449645378</v>
      </c>
    </row>
    <row r="5" ht="15.75" customHeight="1" s="57">
      <c r="A5" s="7" t="inlineStr">
        <is>
          <t>NTB</t>
        </is>
      </c>
      <c r="B5" s="7" t="inlineStr">
        <is>
          <t>Bình Thuận</t>
        </is>
      </c>
      <c r="C5" s="7" t="n">
        <v>1666</v>
      </c>
      <c r="D5" s="7" t="n">
        <v>470105</v>
      </c>
      <c r="E5" s="7" t="inlineStr">
        <is>
          <t>A</t>
        </is>
      </c>
      <c r="F5" s="7" t="n">
        <v>15</v>
      </c>
      <c r="G5" s="27" t="n">
        <v>1</v>
      </c>
      <c r="H5" s="7" t="inlineStr">
        <is>
          <t>Đã mở</t>
        </is>
      </c>
      <c r="I5" s="7" t="n"/>
      <c r="J5" s="7" t="inlineStr">
        <is>
          <t>GHN B2B Bình Thuận (sắp mở)</t>
        </is>
      </c>
      <c r="K5" s="7" t="inlineStr">
        <is>
          <t>gte30</t>
        </is>
      </c>
      <c r="L5" s="28" t="n">
        <v>186.6427778271789</v>
      </c>
      <c r="M5" s="28" t="n">
        <v>234.9396884062479</v>
      </c>
      <c r="N5" s="28" t="n">
        <v>259.1990117401431</v>
      </c>
      <c r="O5" s="28" t="n">
        <v>303.4308013933755</v>
      </c>
      <c r="P5" s="28" t="n">
        <v>318.7935450492077</v>
      </c>
      <c r="Q5" s="28" t="n">
        <v>335.9124355390457</v>
      </c>
      <c r="R5" s="28" t="n">
        <v>1638.918259955199</v>
      </c>
    </row>
    <row r="6" ht="15.75" customHeight="1" s="57">
      <c r="A6" s="7" t="inlineStr">
        <is>
          <t>NTB</t>
        </is>
      </c>
      <c r="B6" s="7" t="inlineStr">
        <is>
          <t>Bình Thuận</t>
        </is>
      </c>
      <c r="C6" s="7" t="n">
        <v>1666</v>
      </c>
      <c r="D6" s="7" t="n">
        <v>470106</v>
      </c>
      <c r="E6" s="7" t="inlineStr">
        <is>
          <t>A</t>
        </is>
      </c>
      <c r="F6" s="7" t="n">
        <v>15</v>
      </c>
      <c r="G6" s="27" t="n">
        <v>1</v>
      </c>
      <c r="H6" s="7" t="inlineStr">
        <is>
          <t>Đã mở</t>
        </is>
      </c>
      <c r="I6" s="7" t="n"/>
      <c r="J6" s="7" t="inlineStr">
        <is>
          <t>GHN B2B Bình Thuận (sắp mở)</t>
        </is>
      </c>
      <c r="K6" s="7" t="inlineStr">
        <is>
          <t>15to30</t>
        </is>
      </c>
      <c r="L6" s="28" t="n">
        <v>62.98310159105713</v>
      </c>
      <c r="M6" s="28" t="n">
        <v>78.57447135621072</v>
      </c>
      <c r="N6" s="28" t="n">
        <v>86.25207127057435</v>
      </c>
      <c r="O6" s="28" t="n">
        <v>100.5913771576757</v>
      </c>
      <c r="P6" s="28" t="n">
        <v>106.0116790441906</v>
      </c>
      <c r="Q6" s="28" t="n">
        <v>112.1441751884472</v>
      </c>
      <c r="R6" s="28" t="n">
        <v>546.5568756081556</v>
      </c>
    </row>
    <row r="7" ht="15.75" customHeight="1" s="57">
      <c r="A7" s="7" t="inlineStr">
        <is>
          <t>NTB</t>
        </is>
      </c>
      <c r="B7" s="7" t="inlineStr">
        <is>
          <t>Bình Thuận</t>
        </is>
      </c>
      <c r="C7" s="7" t="n">
        <v>1666</v>
      </c>
      <c r="D7" s="7" t="n">
        <v>470106</v>
      </c>
      <c r="E7" s="7" t="inlineStr">
        <is>
          <t>A</t>
        </is>
      </c>
      <c r="F7" s="7" t="n">
        <v>15</v>
      </c>
      <c r="G7" s="27" t="n">
        <v>1</v>
      </c>
      <c r="H7" s="7" t="inlineStr">
        <is>
          <t>Đã mở</t>
        </is>
      </c>
      <c r="I7" s="7" t="n"/>
      <c r="J7" s="7" t="inlineStr">
        <is>
          <t>GHN B2B Bình Thuận (sắp mở)</t>
        </is>
      </c>
      <c r="K7" s="7" t="inlineStr">
        <is>
          <t>gte30</t>
        </is>
      </c>
      <c r="L7" s="28" t="n">
        <v>25.10499483499228</v>
      </c>
      <c r="M7" s="28" t="n">
        <v>31.75881075383776</v>
      </c>
      <c r="N7" s="28" t="n">
        <v>35.11843067426445</v>
      </c>
      <c r="O7" s="28" t="n">
        <v>41.17833776215797</v>
      </c>
      <c r="P7" s="28" t="n">
        <v>43.19534379793034</v>
      </c>
      <c r="Q7" s="28" t="n">
        <v>45.42795436742637</v>
      </c>
      <c r="R7" s="28" t="n">
        <v>221.7838721906092</v>
      </c>
    </row>
    <row r="8" ht="15.75" customHeight="1" s="57">
      <c r="A8" s="7" t="inlineStr">
        <is>
          <t>NTB</t>
        </is>
      </c>
      <c r="B8" s="7" t="inlineStr">
        <is>
          <t>Bình Thuận</t>
        </is>
      </c>
      <c r="C8" s="7" t="n">
        <v>1666</v>
      </c>
      <c r="D8" s="7" t="n">
        <v>470107</v>
      </c>
      <c r="E8" s="7" t="inlineStr">
        <is>
          <t>A</t>
        </is>
      </c>
      <c r="F8" s="7" t="n">
        <v>15</v>
      </c>
      <c r="G8" s="27" t="n">
        <v>1</v>
      </c>
      <c r="H8" s="7" t="inlineStr">
        <is>
          <t>Đã mở</t>
        </is>
      </c>
      <c r="I8" s="7" t="n"/>
      <c r="J8" s="7" t="inlineStr">
        <is>
          <t>GHN B2B Bình Thuận (sắp mở)</t>
        </is>
      </c>
      <c r="K8" s="7" t="inlineStr">
        <is>
          <t>15to30</t>
        </is>
      </c>
      <c r="L8" s="28" t="n">
        <v>227.6968258130265</v>
      </c>
      <c r="M8" s="28" t="n">
        <v>283.9302725707834</v>
      </c>
      <c r="N8" s="28" t="n">
        <v>311.5993119502634</v>
      </c>
      <c r="O8" s="28" t="n">
        <v>363.3374601109489</v>
      </c>
      <c r="P8" s="28" t="n">
        <v>382.9580494258421</v>
      </c>
      <c r="Q8" s="28" t="n">
        <v>405.1745327496753</v>
      </c>
      <c r="R8" s="28" t="n">
        <v>1974.69645262054</v>
      </c>
    </row>
    <row r="9" ht="15.75" customHeight="1" s="57">
      <c r="A9" s="7" t="inlineStr">
        <is>
          <t>NTB</t>
        </is>
      </c>
      <c r="B9" s="7" t="inlineStr">
        <is>
          <t>Bình Thuận</t>
        </is>
      </c>
      <c r="C9" s="7" t="n">
        <v>1666</v>
      </c>
      <c r="D9" s="7" t="n">
        <v>470107</v>
      </c>
      <c r="E9" s="7" t="inlineStr">
        <is>
          <t>A</t>
        </is>
      </c>
      <c r="F9" s="7" t="n">
        <v>15</v>
      </c>
      <c r="G9" s="27" t="n">
        <v>1</v>
      </c>
      <c r="H9" s="7" t="inlineStr">
        <is>
          <t>Đã mở</t>
        </is>
      </c>
      <c r="I9" s="7" t="n"/>
      <c r="J9" s="7" t="inlineStr">
        <is>
          <t>GHN B2B Bình Thuận (sắp mở)</t>
        </is>
      </c>
      <c r="K9" s="7" t="inlineStr">
        <is>
          <t>gte30</t>
        </is>
      </c>
      <c r="L9" s="28" t="n">
        <v>77.52514119158039</v>
      </c>
      <c r="M9" s="28" t="n">
        <v>96.1342034619672</v>
      </c>
      <c r="N9" s="28" t="n">
        <v>105.3206915251549</v>
      </c>
      <c r="O9" s="28" t="n">
        <v>122.6756120431164</v>
      </c>
      <c r="P9" s="28" t="n">
        <v>129.5122953716614</v>
      </c>
      <c r="Q9" s="28" t="n">
        <v>137.268445132435</v>
      </c>
      <c r="R9" s="28" t="n">
        <v>668.4363887259152</v>
      </c>
    </row>
    <row r="10" ht="15.75" customHeight="1" s="57">
      <c r="A10" s="7" t="inlineStr">
        <is>
          <t>NTB</t>
        </is>
      </c>
      <c r="B10" s="7" t="inlineStr">
        <is>
          <t>Bình Thuận</t>
        </is>
      </c>
      <c r="C10" s="7" t="n">
        <v>1666</v>
      </c>
      <c r="D10" s="7" t="n">
        <v>470108</v>
      </c>
      <c r="E10" s="7" t="inlineStr">
        <is>
          <t>A</t>
        </is>
      </c>
      <c r="F10" s="7" t="n">
        <v>15</v>
      </c>
      <c r="G10" s="27" t="n">
        <v>1</v>
      </c>
      <c r="H10" s="7" t="inlineStr">
        <is>
          <t>Đã mở</t>
        </is>
      </c>
      <c r="I10" s="7" t="n"/>
      <c r="J10" s="7" t="inlineStr">
        <is>
          <t>GHN B2B Bình Thuận (sắp mở)</t>
        </is>
      </c>
      <c r="K10" s="7" t="inlineStr">
        <is>
          <t>15to30</t>
        </is>
      </c>
      <c r="L10" s="28" t="n">
        <v>500.4745435344496</v>
      </c>
      <c r="M10" s="28" t="n">
        <v>626.2672208101185</v>
      </c>
      <c r="N10" s="28" t="n">
        <v>688.5008959734672</v>
      </c>
      <c r="O10" s="28" t="n">
        <v>803.8412984987509</v>
      </c>
      <c r="P10" s="28" t="n">
        <v>846.206067785787</v>
      </c>
      <c r="Q10" s="28" t="n">
        <v>893.9691258880578</v>
      </c>
      <c r="R10" s="28" t="n">
        <v>4359.259152490631</v>
      </c>
    </row>
    <row r="11" ht="15.75" customHeight="1" s="57">
      <c r="A11" s="7" t="inlineStr">
        <is>
          <t>NTB</t>
        </is>
      </c>
      <c r="B11" s="7" t="inlineStr">
        <is>
          <t>Bình Thuận</t>
        </is>
      </c>
      <c r="C11" s="7" t="n">
        <v>1666</v>
      </c>
      <c r="D11" s="7" t="n">
        <v>470108</v>
      </c>
      <c r="E11" s="7" t="inlineStr">
        <is>
          <t>A</t>
        </is>
      </c>
      <c r="F11" s="7" t="n">
        <v>15</v>
      </c>
      <c r="G11" s="27" t="n">
        <v>1</v>
      </c>
      <c r="H11" s="7" t="inlineStr">
        <is>
          <t>Đã mở</t>
        </is>
      </c>
      <c r="I11" s="7" t="n"/>
      <c r="J11" s="7" t="inlineStr">
        <is>
          <t>GHN B2B Bình Thuận (sắp mở)</t>
        </is>
      </c>
      <c r="K11" s="7" t="inlineStr">
        <is>
          <t>gte30</t>
        </is>
      </c>
      <c r="L11" s="28" t="n">
        <v>199.6956223959432</v>
      </c>
      <c r="M11" s="28" t="n">
        <v>247.4072919681788</v>
      </c>
      <c r="N11" s="28" t="n">
        <v>270.9338482950953</v>
      </c>
      <c r="O11" s="28" t="n">
        <v>315.4817390342641</v>
      </c>
      <c r="P11" s="28" t="n">
        <v>333.1622202056951</v>
      </c>
      <c r="Q11" s="28" t="n">
        <v>353.2403358254888</v>
      </c>
      <c r="R11" s="28" t="n">
        <v>1719.921057724665</v>
      </c>
    </row>
    <row r="12" ht="15.75" customHeight="1" s="57">
      <c r="A12" s="7" t="inlineStr">
        <is>
          <t>NTB</t>
        </is>
      </c>
      <c r="B12" s="7" t="inlineStr">
        <is>
          <t>Bình Thuận</t>
        </is>
      </c>
      <c r="C12" s="7" t="n">
        <v>1666</v>
      </c>
      <c r="D12" s="7" t="n">
        <v>470109</v>
      </c>
      <c r="E12" s="7" t="inlineStr">
        <is>
          <t>A</t>
        </is>
      </c>
      <c r="F12" s="7" t="n">
        <v>15</v>
      </c>
      <c r="G12" s="27" t="n">
        <v>1</v>
      </c>
      <c r="H12" s="7" t="inlineStr">
        <is>
          <t>Đã mở</t>
        </is>
      </c>
      <c r="I12" s="7" t="n"/>
      <c r="J12" s="7" t="inlineStr">
        <is>
          <t>GHN B2B Bình Thuận (sắp mở)</t>
        </is>
      </c>
      <c r="K12" s="7" t="inlineStr">
        <is>
          <t>15to30</t>
        </is>
      </c>
      <c r="L12" s="28" t="n">
        <v>278.5459965807494</v>
      </c>
      <c r="M12" s="28" t="n">
        <v>348.4003387646856</v>
      </c>
      <c r="N12" s="28" t="n">
        <v>382.9385498331189</v>
      </c>
      <c r="O12" s="28" t="n">
        <v>447.0238539833354</v>
      </c>
      <c r="P12" s="28" t="n">
        <v>470.702153668086</v>
      </c>
      <c r="Q12" s="28" t="n">
        <v>497.4014646666914</v>
      </c>
      <c r="R12" s="28" t="n">
        <v>2425.012357496667</v>
      </c>
    </row>
    <row r="13" ht="15.75" customHeight="1" s="57">
      <c r="A13" s="7" t="inlineStr">
        <is>
          <t>NTB</t>
        </is>
      </c>
      <c r="B13" s="7" t="inlineStr">
        <is>
          <t>Bình Thuận</t>
        </is>
      </c>
      <c r="C13" s="7" t="n">
        <v>1666</v>
      </c>
      <c r="D13" s="7" t="n">
        <v>470109</v>
      </c>
      <c r="E13" s="7" t="inlineStr">
        <is>
          <t>A</t>
        </is>
      </c>
      <c r="F13" s="7" t="n">
        <v>15</v>
      </c>
      <c r="G13" s="27" t="n">
        <v>1</v>
      </c>
      <c r="H13" s="7" t="inlineStr">
        <is>
          <t>Đã mở</t>
        </is>
      </c>
      <c r="I13" s="7" t="n"/>
      <c r="J13" s="7" t="inlineStr">
        <is>
          <t>GHN B2B Bình Thuận (sắp mở)</t>
        </is>
      </c>
      <c r="K13" s="7" t="inlineStr">
        <is>
          <t>gte30</t>
        </is>
      </c>
      <c r="L13" s="28" t="n">
        <v>116.572869589199</v>
      </c>
      <c r="M13" s="28" t="n">
        <v>143.6836385943428</v>
      </c>
      <c r="N13" s="28" t="n">
        <v>156.9630496182563</v>
      </c>
      <c r="O13" s="28" t="n">
        <v>182.4486651868128</v>
      </c>
      <c r="P13" s="28" t="n">
        <v>193.0021974994891</v>
      </c>
      <c r="Q13" s="28" t="n">
        <v>205.0523459226644</v>
      </c>
      <c r="R13" s="28" t="n">
        <v>997.7227664107644</v>
      </c>
    </row>
    <row r="14" ht="15.75" customHeight="1" s="57">
      <c r="A14" s="7" t="inlineStr">
        <is>
          <t>NTB</t>
        </is>
      </c>
      <c r="B14" s="7" t="inlineStr">
        <is>
          <t>Bình Thuận</t>
        </is>
      </c>
      <c r="C14" s="7" t="n">
        <v>1666</v>
      </c>
      <c r="D14" s="7" t="n">
        <v>470110</v>
      </c>
      <c r="E14" s="7" t="inlineStr">
        <is>
          <t>A</t>
        </is>
      </c>
      <c r="F14" s="7" t="n">
        <v>15</v>
      </c>
      <c r="G14" s="27" t="n">
        <v>1</v>
      </c>
      <c r="H14" s="7" t="inlineStr">
        <is>
          <t>Đã mở</t>
        </is>
      </c>
      <c r="I14" s="7" t="n"/>
      <c r="J14" s="7" t="inlineStr">
        <is>
          <t>GHN B2B Bình Thuận (sắp mở)</t>
        </is>
      </c>
      <c r="K14" s="7" t="inlineStr">
        <is>
          <t>15to30</t>
        </is>
      </c>
      <c r="L14" s="28" t="n">
        <v>451.8401347390625</v>
      </c>
      <c r="M14" s="28" t="n">
        <v>563.0842993636408</v>
      </c>
      <c r="N14" s="28" t="n">
        <v>617.7675721551622</v>
      </c>
      <c r="O14" s="28" t="n">
        <v>720.1816900886752</v>
      </c>
      <c r="P14" s="28" t="n">
        <v>759.2389290187025</v>
      </c>
      <c r="Q14" s="28" t="n">
        <v>803.4955414747114</v>
      </c>
      <c r="R14" s="28" t="n">
        <v>3915.608166839955</v>
      </c>
    </row>
    <row r="15" ht="15.75" customHeight="1" s="57">
      <c r="A15" s="7" t="inlineStr">
        <is>
          <t>NTB</t>
        </is>
      </c>
      <c r="B15" s="7" t="inlineStr">
        <is>
          <t>Bình Thuận</t>
        </is>
      </c>
      <c r="C15" s="7" t="n">
        <v>1666</v>
      </c>
      <c r="D15" s="7" t="n">
        <v>470110</v>
      </c>
      <c r="E15" s="7" t="inlineStr">
        <is>
          <t>A</t>
        </is>
      </c>
      <c r="F15" s="7" t="n">
        <v>15</v>
      </c>
      <c r="G15" s="27" t="n">
        <v>1</v>
      </c>
      <c r="H15" s="7" t="inlineStr">
        <is>
          <t>Đã mở</t>
        </is>
      </c>
      <c r="I15" s="7" t="n"/>
      <c r="J15" s="7" t="inlineStr">
        <is>
          <t>GHN B2B Bình Thuận (sắp mở)</t>
        </is>
      </c>
      <c r="K15" s="7" t="inlineStr">
        <is>
          <t>gte30</t>
        </is>
      </c>
      <c r="L15" s="28" t="n">
        <v>188.2361860638972</v>
      </c>
      <c r="M15" s="28" t="n">
        <v>233.2407928418783</v>
      </c>
      <c r="N15" s="28" t="n">
        <v>255.4361998383956</v>
      </c>
      <c r="O15" s="28" t="n">
        <v>297.4493503659804</v>
      </c>
      <c r="P15" s="28" t="n">
        <v>314.1055671523072</v>
      </c>
      <c r="Q15" s="28" t="n">
        <v>333.0177938096433</v>
      </c>
      <c r="R15" s="28" t="n">
        <v>1621.485890072102</v>
      </c>
    </row>
    <row r="16" ht="15.75" customHeight="1" s="57">
      <c r="A16" s="7" t="inlineStr">
        <is>
          <t>NTB</t>
        </is>
      </c>
      <c r="B16" s="7" t="inlineStr">
        <is>
          <t>Bình Thuận</t>
        </is>
      </c>
      <c r="C16" s="7" t="n">
        <v>1666</v>
      </c>
      <c r="D16" s="7" t="n">
        <v>470111</v>
      </c>
      <c r="E16" s="7" t="inlineStr">
        <is>
          <t>A</t>
        </is>
      </c>
      <c r="F16" s="7" t="n">
        <v>15</v>
      </c>
      <c r="G16" s="27" t="n">
        <v>1</v>
      </c>
      <c r="H16" s="7" t="inlineStr">
        <is>
          <t>Đã mở</t>
        </is>
      </c>
      <c r="I16" s="7" t="n"/>
      <c r="J16" s="7" t="inlineStr">
        <is>
          <t>GHN B2B Bình Thuận (sắp mở)</t>
        </is>
      </c>
      <c r="K16" s="7" t="inlineStr">
        <is>
          <t>15to30</t>
        </is>
      </c>
      <c r="L16" s="28" t="n">
        <v>1012.677574496674</v>
      </c>
      <c r="M16" s="28" t="n">
        <v>1265.091041330272</v>
      </c>
      <c r="N16" s="28" t="n">
        <v>1389.649701457175</v>
      </c>
      <c r="O16" s="28" t="n">
        <v>1621.475194015608</v>
      </c>
      <c r="P16" s="28" t="n">
        <v>1707.987390568047</v>
      </c>
      <c r="Q16" s="28" t="n">
        <v>1805.713304043314</v>
      </c>
      <c r="R16" s="28" t="n">
        <v>8802.594205911089</v>
      </c>
    </row>
    <row r="17" ht="15.75" customHeight="1" s="57">
      <c r="A17" s="7" t="inlineStr">
        <is>
          <t>NTB</t>
        </is>
      </c>
      <c r="B17" s="7" t="inlineStr">
        <is>
          <t>Bình Thuận</t>
        </is>
      </c>
      <c r="C17" s="7" t="n">
        <v>1666</v>
      </c>
      <c r="D17" s="7" t="n">
        <v>470111</v>
      </c>
      <c r="E17" s="7" t="inlineStr">
        <is>
          <t>A</t>
        </is>
      </c>
      <c r="F17" s="7" t="n">
        <v>15</v>
      </c>
      <c r="G17" s="27" t="n">
        <v>1</v>
      </c>
      <c r="H17" s="7" t="inlineStr">
        <is>
          <t>Đã mở</t>
        </is>
      </c>
      <c r="I17" s="7" t="n"/>
      <c r="J17" s="7" t="inlineStr">
        <is>
          <t>GHN B2B Bình Thuận (sắp mở)</t>
        </is>
      </c>
      <c r="K17" s="7" t="inlineStr">
        <is>
          <t>gte30</t>
        </is>
      </c>
      <c r="L17" s="28" t="n">
        <v>449.6534476651788</v>
      </c>
      <c r="M17" s="28" t="n">
        <v>556.7364165918588</v>
      </c>
      <c r="N17" s="28" t="n">
        <v>609.4970084646761</v>
      </c>
      <c r="O17" s="28" t="n">
        <v>709.5605652485577</v>
      </c>
      <c r="P17" s="28" t="n">
        <v>749.4811336270461</v>
      </c>
      <c r="Q17" s="28" t="n">
        <v>794.8461342012796</v>
      </c>
      <c r="R17" s="28" t="n">
        <v>3869.774705798597</v>
      </c>
    </row>
    <row r="18" ht="15.75" customHeight="1" s="57">
      <c r="A18" s="7" t="inlineStr">
        <is>
          <t>NTB</t>
        </is>
      </c>
      <c r="B18" s="7" t="inlineStr">
        <is>
          <t>Bình Thuận</t>
        </is>
      </c>
      <c r="C18" s="7" t="n">
        <v>1666</v>
      </c>
      <c r="D18" s="7" t="n">
        <v>470112</v>
      </c>
      <c r="E18" s="7" t="inlineStr">
        <is>
          <t>A</t>
        </is>
      </c>
      <c r="F18" s="7" t="n">
        <v>15</v>
      </c>
      <c r="G18" s="27" t="n">
        <v>1</v>
      </c>
      <c r="H18" s="7" t="inlineStr">
        <is>
          <t>Đã mở</t>
        </is>
      </c>
      <c r="I18" s="7" t="n"/>
      <c r="J18" s="7" t="inlineStr">
        <is>
          <t>GHN B2B Bình Thuận (sắp mở)</t>
        </is>
      </c>
      <c r="K18" s="7" t="inlineStr">
        <is>
          <t>15to30</t>
        </is>
      </c>
      <c r="L18" s="28" t="n">
        <v>404.8955786755514</v>
      </c>
      <c r="M18" s="28" t="n">
        <v>503.6771510447184</v>
      </c>
      <c r="N18" s="28" t="n">
        <v>552.0943939983106</v>
      </c>
      <c r="O18" s="28" t="n">
        <v>643.200092510483</v>
      </c>
      <c r="P18" s="28" t="n">
        <v>678.5187027155035</v>
      </c>
      <c r="Q18" s="28" t="n">
        <v>718.6227263211775</v>
      </c>
      <c r="R18" s="28" t="n">
        <v>3501.008645265744</v>
      </c>
    </row>
    <row r="19" ht="15.75" customHeight="1" s="57">
      <c r="A19" s="7" t="inlineStr">
        <is>
          <t>NTB</t>
        </is>
      </c>
      <c r="B19" s="7" t="inlineStr">
        <is>
          <t>Bình Thuận</t>
        </is>
      </c>
      <c r="C19" s="7" t="n">
        <v>1666</v>
      </c>
      <c r="D19" s="7" t="n">
        <v>470112</v>
      </c>
      <c r="E19" s="7" t="inlineStr">
        <is>
          <t>A</t>
        </is>
      </c>
      <c r="F19" s="7" t="n">
        <v>15</v>
      </c>
      <c r="G19" s="27" t="n">
        <v>1</v>
      </c>
      <c r="H19" s="7" t="inlineStr">
        <is>
          <t>Đã mở</t>
        </is>
      </c>
      <c r="I19" s="7" t="n"/>
      <c r="J19" s="7" t="inlineStr">
        <is>
          <t>GHN B2B Bình Thuận (sắp mở)</t>
        </is>
      </c>
      <c r="K19" s="7" t="inlineStr">
        <is>
          <t>gte30</t>
        </is>
      </c>
      <c r="L19" s="28" t="n">
        <v>159.6333447477313</v>
      </c>
      <c r="M19" s="28" t="n">
        <v>197.9342361886746</v>
      </c>
      <c r="N19" s="28" t="n">
        <v>216.8396567640754</v>
      </c>
      <c r="O19" s="28" t="n">
        <v>252.563313460641</v>
      </c>
      <c r="P19" s="28" t="n">
        <v>266.6462876990228</v>
      </c>
      <c r="Q19" s="28" t="n">
        <v>282.6248214318506</v>
      </c>
      <c r="R19" s="28" t="n">
        <v>1376.241660291996</v>
      </c>
    </row>
    <row r="20" ht="15.75" customHeight="1" s="57">
      <c r="A20" s="7" t="inlineStr">
        <is>
          <t>NTB</t>
        </is>
      </c>
      <c r="B20" s="7" t="inlineStr">
        <is>
          <t>Bình Thuận</t>
        </is>
      </c>
      <c r="C20" s="7" t="n">
        <v>1778</v>
      </c>
      <c r="D20" s="7" t="n">
        <v>471001</v>
      </c>
      <c r="E20" s="7" t="inlineStr">
        <is>
          <t>A</t>
        </is>
      </c>
      <c r="F20" s="7" t="n">
        <v>15</v>
      </c>
      <c r="G20" s="27" t="n">
        <v>1</v>
      </c>
      <c r="H20" s="7" t="inlineStr">
        <is>
          <t>Đã mở</t>
        </is>
      </c>
      <c r="I20" s="7" t="n"/>
      <c r="J20" s="7" t="inlineStr">
        <is>
          <t>GHN B2B Bình Thuận (sắp mở)</t>
        </is>
      </c>
      <c r="K20" s="7" t="inlineStr">
        <is>
          <t>15to30</t>
        </is>
      </c>
      <c r="L20" s="28" t="n">
        <v>242.5378291033954</v>
      </c>
      <c r="M20" s="28" t="n">
        <v>302.4774644204011</v>
      </c>
      <c r="N20" s="28" t="n">
        <v>331.9767206545536</v>
      </c>
      <c r="O20" s="28" t="n">
        <v>387.1181263567562</v>
      </c>
      <c r="P20" s="28" t="n">
        <v>408.007953487043</v>
      </c>
      <c r="Q20" s="28" t="n">
        <v>431.6565598620754</v>
      </c>
      <c r="R20" s="28" t="n">
        <v>2103.774653884225</v>
      </c>
    </row>
    <row r="21" ht="15.75" customHeight="1" s="57">
      <c r="A21" s="7" t="inlineStr">
        <is>
          <t>NTB</t>
        </is>
      </c>
      <c r="B21" s="7" t="inlineStr">
        <is>
          <t>Bình Thuận</t>
        </is>
      </c>
      <c r="C21" s="7" t="n">
        <v>1778</v>
      </c>
      <c r="D21" s="7" t="n">
        <v>471001</v>
      </c>
      <c r="E21" s="7" t="inlineStr">
        <is>
          <t>A</t>
        </is>
      </c>
      <c r="F21" s="7" t="n">
        <v>15</v>
      </c>
      <c r="G21" s="27" t="n">
        <v>1</v>
      </c>
      <c r="H21" s="7" t="inlineStr">
        <is>
          <t>Đã mở</t>
        </is>
      </c>
      <c r="I21" s="7" t="n"/>
      <c r="J21" s="7" t="inlineStr">
        <is>
          <t>GHN B2B Bình Thuận (sắp mở)</t>
        </is>
      </c>
      <c r="K21" s="7" t="inlineStr">
        <is>
          <t>gte30</t>
        </is>
      </c>
      <c r="L21" s="28" t="n">
        <v>88.27791119559117</v>
      </c>
      <c r="M21" s="28" t="n">
        <v>108.3560754058101</v>
      </c>
      <c r="N21" s="28" t="n">
        <v>118.1350612239383</v>
      </c>
      <c r="O21" s="28" t="n">
        <v>137.117822698399</v>
      </c>
      <c r="P21" s="28" t="n">
        <v>145.2516392100378</v>
      </c>
      <c r="Q21" s="28" t="n">
        <v>154.5779916162227</v>
      </c>
      <c r="R21" s="28" t="n">
        <v>751.7165013499991</v>
      </c>
    </row>
    <row r="22" ht="15.75" customHeight="1" s="57">
      <c r="A22" s="7" t="inlineStr">
        <is>
          <t>NTB</t>
        </is>
      </c>
      <c r="B22" s="7" t="inlineStr">
        <is>
          <t>Bình Thuận</t>
        </is>
      </c>
      <c r="C22" s="7" t="n">
        <v>1778</v>
      </c>
      <c r="D22" s="7" t="n">
        <v>471002</v>
      </c>
      <c r="E22" s="7" t="inlineStr">
        <is>
          <t>A</t>
        </is>
      </c>
      <c r="F22" s="7" t="n">
        <v>15</v>
      </c>
      <c r="G22" s="27" t="n">
        <v>1</v>
      </c>
      <c r="H22" s="7" t="inlineStr">
        <is>
          <t>Đã mở</t>
        </is>
      </c>
      <c r="I22" s="7" t="n"/>
      <c r="J22" s="7" t="inlineStr">
        <is>
          <t>GHN B2B Bình Thuận (sắp mở)</t>
        </is>
      </c>
      <c r="K22" s="7" t="inlineStr">
        <is>
          <t>15to30</t>
        </is>
      </c>
      <c r="L22" s="28" t="n">
        <v>217.1683974023373</v>
      </c>
      <c r="M22" s="28" t="n">
        <v>268.9023523804509</v>
      </c>
      <c r="N22" s="28" t="n">
        <v>294.0555295450378</v>
      </c>
      <c r="O22" s="28" t="n">
        <v>341.9761879656186</v>
      </c>
      <c r="P22" s="28" t="n">
        <v>361.2186667670823</v>
      </c>
      <c r="Q22" s="28" t="n">
        <v>383.2194006184008</v>
      </c>
      <c r="R22" s="28" t="n">
        <v>1866.540534678928</v>
      </c>
    </row>
    <row r="23" ht="15.75" customHeight="1" s="57">
      <c r="A23" s="7" t="inlineStr">
        <is>
          <t>NTB</t>
        </is>
      </c>
      <c r="B23" s="7" t="inlineStr">
        <is>
          <t>Bình Thuận</t>
        </is>
      </c>
      <c r="C23" s="7" t="n">
        <v>1778</v>
      </c>
      <c r="D23" s="7" t="n">
        <v>471002</v>
      </c>
      <c r="E23" s="7" t="inlineStr">
        <is>
          <t>A</t>
        </is>
      </c>
      <c r="F23" s="7" t="n">
        <v>15</v>
      </c>
      <c r="G23" s="27" t="n">
        <v>1</v>
      </c>
      <c r="H23" s="7" t="inlineStr">
        <is>
          <t>Đã mở</t>
        </is>
      </c>
      <c r="I23" s="7" t="n"/>
      <c r="J23" s="7" t="inlineStr">
        <is>
          <t>GHN B2B Bình Thuận (sắp mở)</t>
        </is>
      </c>
      <c r="K23" s="7" t="inlineStr">
        <is>
          <t>gte30</t>
        </is>
      </c>
      <c r="L23" s="28" t="n">
        <v>87.75802837462251</v>
      </c>
      <c r="M23" s="28" t="n">
        <v>107.7936937864019</v>
      </c>
      <c r="N23" s="28" t="n">
        <v>117.5615229165613</v>
      </c>
      <c r="O23" s="28" t="n">
        <v>136.4855748775731</v>
      </c>
      <c r="P23" s="28" t="n">
        <v>144.5477252817012</v>
      </c>
      <c r="Q23" s="28" t="n">
        <v>153.7854748852544</v>
      </c>
      <c r="R23" s="28" t="n">
        <v>747.9320201221144</v>
      </c>
    </row>
    <row r="24" ht="15.75" customHeight="1" s="57">
      <c r="A24" s="7" t="inlineStr">
        <is>
          <t>NTB</t>
        </is>
      </c>
      <c r="B24" s="7" t="inlineStr">
        <is>
          <t>Bình Thuận</t>
        </is>
      </c>
      <c r="C24" s="7" t="n">
        <v>1778</v>
      </c>
      <c r="D24" s="7" t="n">
        <v>471003</v>
      </c>
      <c r="E24" s="7" t="inlineStr">
        <is>
          <t>A</t>
        </is>
      </c>
      <c r="F24" s="7" t="n">
        <v>15</v>
      </c>
      <c r="G24" s="27" t="n">
        <v>1</v>
      </c>
      <c r="H24" s="7" t="inlineStr">
        <is>
          <t>Đã mở</t>
        </is>
      </c>
      <c r="I24" s="7" t="n"/>
      <c r="J24" s="7" t="inlineStr">
        <is>
          <t>GHN B2B Bình Thuận (sắp mở)</t>
        </is>
      </c>
      <c r="K24" s="7" t="inlineStr">
        <is>
          <t>15to30</t>
        </is>
      </c>
      <c r="L24" s="28" t="n">
        <v>133.6902238758695</v>
      </c>
      <c r="M24" s="28" t="n">
        <v>167.7191706262777</v>
      </c>
      <c r="N24" s="28" t="n">
        <v>184.6194071503692</v>
      </c>
      <c r="O24" s="28" t="n">
        <v>215.7458211423087</v>
      </c>
      <c r="P24" s="28" t="n">
        <v>226.9190507399036</v>
      </c>
      <c r="Q24" s="28" t="n">
        <v>239.4739708915725</v>
      </c>
      <c r="R24" s="28" t="n">
        <v>1168.167644426301</v>
      </c>
    </row>
    <row r="25" ht="15.75" customHeight="1" s="57">
      <c r="A25" s="7" t="inlineStr">
        <is>
          <t>NTB</t>
        </is>
      </c>
      <c r="B25" s="7" t="inlineStr">
        <is>
          <t>Bình Thuận</t>
        </is>
      </c>
      <c r="C25" s="7" t="n">
        <v>1778</v>
      </c>
      <c r="D25" s="7" t="n">
        <v>471003</v>
      </c>
      <c r="E25" s="7" t="inlineStr">
        <is>
          <t>A</t>
        </is>
      </c>
      <c r="F25" s="7" t="n">
        <v>15</v>
      </c>
      <c r="G25" s="27" t="n">
        <v>1</v>
      </c>
      <c r="H25" s="7" t="inlineStr">
        <is>
          <t>Đã mở</t>
        </is>
      </c>
      <c r="I25" s="7" t="n"/>
      <c r="J25" s="7" t="inlineStr">
        <is>
          <t>GHN B2B Bình Thuận (sắp mở)</t>
        </is>
      </c>
      <c r="K25" s="7" t="inlineStr">
        <is>
          <t>gte30</t>
        </is>
      </c>
      <c r="L25" s="28" t="n">
        <v>64.90483980210547</v>
      </c>
      <c r="M25" s="28" t="n">
        <v>82.24619319522884</v>
      </c>
      <c r="N25" s="28" t="n">
        <v>91.01715222423843</v>
      </c>
      <c r="O25" s="28" t="n">
        <v>106.7814635084302</v>
      </c>
      <c r="P25" s="28" t="n">
        <v>111.952488584442</v>
      </c>
      <c r="Q25" s="28" t="n">
        <v>117.6627303843916</v>
      </c>
      <c r="R25" s="28" t="n">
        <v>574.5648676988366</v>
      </c>
    </row>
    <row r="26" ht="15.75" customHeight="1" s="57">
      <c r="A26" s="7" t="inlineStr">
        <is>
          <t>NTB</t>
        </is>
      </c>
      <c r="B26" s="7" t="inlineStr">
        <is>
          <t>Bình Thuận</t>
        </is>
      </c>
      <c r="C26" s="7" t="n">
        <v>1778</v>
      </c>
      <c r="D26" s="7" t="n">
        <v>471004</v>
      </c>
      <c r="E26" s="7" t="inlineStr">
        <is>
          <t>A</t>
        </is>
      </c>
      <c r="F26" s="7" t="n">
        <v>15</v>
      </c>
      <c r="G26" s="27" t="n">
        <v>1</v>
      </c>
      <c r="H26" s="7" t="inlineStr">
        <is>
          <t>Đã mở</t>
        </is>
      </c>
      <c r="I26" s="7" t="n"/>
      <c r="J26" s="7" t="inlineStr">
        <is>
          <t>GHN B2B Bình Thuận (sắp mở)</t>
        </is>
      </c>
      <c r="K26" s="7" t="inlineStr">
        <is>
          <t>15to30</t>
        </is>
      </c>
      <c r="L26" s="28" t="n">
        <v>381.5291947319359</v>
      </c>
      <c r="M26" s="28" t="n">
        <v>474.3466135902341</v>
      </c>
      <c r="N26" s="28" t="n">
        <v>519.7941203043935</v>
      </c>
      <c r="O26" s="28" t="n">
        <v>605.4342596007026</v>
      </c>
      <c r="P26" s="28" t="n">
        <v>638.7254413520155</v>
      </c>
      <c r="Q26" s="28" t="n">
        <v>676.5727592682464</v>
      </c>
      <c r="R26" s="28" t="n">
        <v>3296.402388847528</v>
      </c>
    </row>
    <row r="27" ht="15.75" customHeight="1" s="57">
      <c r="A27" s="7" t="inlineStr">
        <is>
          <t>NTB</t>
        </is>
      </c>
      <c r="B27" s="7" t="inlineStr">
        <is>
          <t>Bình Thuận</t>
        </is>
      </c>
      <c r="C27" s="7" t="n">
        <v>1778</v>
      </c>
      <c r="D27" s="7" t="n">
        <v>471004</v>
      </c>
      <c r="E27" s="7" t="inlineStr">
        <is>
          <t>A</t>
        </is>
      </c>
      <c r="F27" s="7" t="n">
        <v>15</v>
      </c>
      <c r="G27" s="27" t="n">
        <v>1</v>
      </c>
      <c r="H27" s="7" t="inlineStr">
        <is>
          <t>Đã mở</t>
        </is>
      </c>
      <c r="I27" s="7" t="n"/>
      <c r="J27" s="7" t="inlineStr">
        <is>
          <t>GHN B2B Bình Thuận (sắp mở)</t>
        </is>
      </c>
      <c r="K27" s="7" t="inlineStr">
        <is>
          <t>gte30</t>
        </is>
      </c>
      <c r="L27" s="28" t="n">
        <v>183.0373578542105</v>
      </c>
      <c r="M27" s="28" t="n">
        <v>227.6169766477963</v>
      </c>
      <c r="N27" s="28" t="n">
        <v>249.7008167646257</v>
      </c>
      <c r="O27" s="28" t="n">
        <v>291.1268721577209</v>
      </c>
      <c r="P27" s="28" t="n">
        <v>307.066427868941</v>
      </c>
      <c r="Q27" s="28" t="n">
        <v>325.0926264999607</v>
      </c>
      <c r="R27" s="28" t="n">
        <v>1583.641077793255</v>
      </c>
    </row>
    <row r="28" ht="15.75" customHeight="1" s="57">
      <c r="A28" s="7" t="inlineStr">
        <is>
          <t>NTB</t>
        </is>
      </c>
      <c r="B28" s="7" t="inlineStr">
        <is>
          <t>Bình Thuận</t>
        </is>
      </c>
      <c r="C28" s="7" t="n">
        <v>1778</v>
      </c>
      <c r="D28" s="7" t="n">
        <v>471005</v>
      </c>
      <c r="E28" s="7" t="inlineStr">
        <is>
          <t>A</t>
        </is>
      </c>
      <c r="F28" s="7" t="n">
        <v>15</v>
      </c>
      <c r="G28" s="27" t="n">
        <v>1</v>
      </c>
      <c r="H28" s="7" t="inlineStr">
        <is>
          <t>Đã mở</t>
        </is>
      </c>
      <c r="I28" s="7" t="n"/>
      <c r="J28" s="7" t="inlineStr">
        <is>
          <t>GHN B2B Bình Thuận (sắp mở)</t>
        </is>
      </c>
      <c r="K28" s="7" t="inlineStr">
        <is>
          <t>15to30</t>
        </is>
      </c>
      <c r="L28" s="28" t="n">
        <v>176.9604346361157</v>
      </c>
      <c r="M28" s="28" t="n">
        <v>221.9969884145615</v>
      </c>
      <c r="N28" s="28" t="n">
        <v>244.3645028423779</v>
      </c>
      <c r="O28" s="28" t="n">
        <v>285.5641157652705</v>
      </c>
      <c r="P28" s="28" t="n">
        <v>300.3768306198205</v>
      </c>
      <c r="Q28" s="28" t="n">
        <v>317.0167195349512</v>
      </c>
      <c r="R28" s="28" t="n">
        <v>1546.279591813097</v>
      </c>
    </row>
    <row r="29" ht="15.75" customHeight="1" s="57">
      <c r="A29" s="7" t="inlineStr">
        <is>
          <t>NTB</t>
        </is>
      </c>
      <c r="B29" s="7" t="inlineStr">
        <is>
          <t>Bình Thuận</t>
        </is>
      </c>
      <c r="C29" s="7" t="n">
        <v>1778</v>
      </c>
      <c r="D29" s="7" t="n">
        <v>471005</v>
      </c>
      <c r="E29" s="7" t="inlineStr">
        <is>
          <t>A</t>
        </is>
      </c>
      <c r="F29" s="7" t="n">
        <v>15</v>
      </c>
      <c r="G29" s="27" t="n">
        <v>1</v>
      </c>
      <c r="H29" s="7" t="inlineStr">
        <is>
          <t>Đã mở</t>
        </is>
      </c>
      <c r="I29" s="7" t="n"/>
      <c r="J29" s="7" t="inlineStr">
        <is>
          <t>GHN B2B Bình Thuận (sắp mở)</t>
        </is>
      </c>
      <c r="K29" s="7" t="inlineStr">
        <is>
          <t>gte30</t>
        </is>
      </c>
      <c r="L29" s="28" t="n">
        <v>78.87278975607589</v>
      </c>
      <c r="M29" s="28" t="n">
        <v>97.23796016545454</v>
      </c>
      <c r="N29" s="28" t="n">
        <v>106.2363228199109</v>
      </c>
      <c r="O29" s="28" t="n">
        <v>123.4953021016939</v>
      </c>
      <c r="P29" s="28" t="n">
        <v>130.6288443921679</v>
      </c>
      <c r="Q29" s="28" t="n">
        <v>138.7720966657224</v>
      </c>
      <c r="R29" s="28" t="n">
        <v>675.2433159010255</v>
      </c>
    </row>
    <row r="30" ht="15.75" customHeight="1" s="57">
      <c r="A30" s="7" t="inlineStr">
        <is>
          <t>NTB</t>
        </is>
      </c>
      <c r="B30" s="7" t="inlineStr">
        <is>
          <t>Bình Thuận</t>
        </is>
      </c>
      <c r="C30" s="7" t="n">
        <v>1778</v>
      </c>
      <c r="D30" s="7" t="n">
        <v>471006</v>
      </c>
      <c r="E30" s="7" t="inlineStr">
        <is>
          <t>A</t>
        </is>
      </c>
      <c r="F30" s="7" t="n">
        <v>15</v>
      </c>
      <c r="G30" s="27" t="n">
        <v>1</v>
      </c>
      <c r="H30" s="7" t="inlineStr">
        <is>
          <t>Đã mở</t>
        </is>
      </c>
      <c r="I30" s="7" t="n"/>
      <c r="J30" s="7" t="inlineStr">
        <is>
          <t>GHN B2B Bình Thuận (sắp mở)</t>
        </is>
      </c>
      <c r="K30" s="7" t="inlineStr">
        <is>
          <t>15to30</t>
        </is>
      </c>
      <c r="L30" s="28" t="n">
        <v>111.1230873982784</v>
      </c>
      <c r="M30" s="28" t="n">
        <v>138.832222403845</v>
      </c>
      <c r="N30" s="28" t="n">
        <v>152.5077951611791</v>
      </c>
      <c r="O30" s="28" t="n">
        <v>177.9553067782901</v>
      </c>
      <c r="P30" s="28" t="n">
        <v>187.4475218412809</v>
      </c>
      <c r="Q30" s="28" t="n">
        <v>198.1682853567813</v>
      </c>
      <c r="R30" s="28" t="n">
        <v>966.0342189396547</v>
      </c>
    </row>
    <row r="31" ht="15.75" customHeight="1" s="57">
      <c r="A31" s="7" t="inlineStr">
        <is>
          <t>NTB</t>
        </is>
      </c>
      <c r="B31" s="7" t="inlineStr">
        <is>
          <t>Bình Thuận</t>
        </is>
      </c>
      <c r="C31" s="7" t="n">
        <v>1778</v>
      </c>
      <c r="D31" s="7" t="n">
        <v>471006</v>
      </c>
      <c r="E31" s="7" t="inlineStr">
        <is>
          <t>A</t>
        </is>
      </c>
      <c r="F31" s="7" t="n">
        <v>15</v>
      </c>
      <c r="G31" s="27" t="n">
        <v>1</v>
      </c>
      <c r="H31" s="7" t="inlineStr">
        <is>
          <t>Đã mở</t>
        </is>
      </c>
      <c r="I31" s="7" t="n"/>
      <c r="J31" s="7" t="inlineStr">
        <is>
          <t>GHN B2B Bình Thuận (sắp mở)</t>
        </is>
      </c>
      <c r="K31" s="7" t="inlineStr">
        <is>
          <t>gte30</t>
        </is>
      </c>
      <c r="L31" s="28" t="n">
        <v>44.95322293534048</v>
      </c>
      <c r="M31" s="28" t="n">
        <v>55.1178785089152</v>
      </c>
      <c r="N31" s="28" t="n">
        <v>60.06101992478768</v>
      </c>
      <c r="O31" s="28" t="n">
        <v>69.68570936495695</v>
      </c>
      <c r="P31" s="28" t="n">
        <v>73.84635062620536</v>
      </c>
      <c r="Q31" s="28" t="n">
        <v>78.62206363196975</v>
      </c>
      <c r="R31" s="28" t="n">
        <v>382.2862449921755</v>
      </c>
    </row>
    <row r="32" ht="15.75" customHeight="1" s="57">
      <c r="A32" s="7" t="inlineStr">
        <is>
          <t>NTB</t>
        </is>
      </c>
      <c r="B32" s="7" t="inlineStr">
        <is>
          <t>Bình Thuận</t>
        </is>
      </c>
      <c r="C32" s="7" t="n">
        <v>1778</v>
      </c>
      <c r="D32" s="7" t="n">
        <v>471007</v>
      </c>
      <c r="E32" s="7" t="inlineStr">
        <is>
          <t>A</t>
        </is>
      </c>
      <c r="F32" s="7" t="n">
        <v>15</v>
      </c>
      <c r="G32" s="27" t="n">
        <v>1</v>
      </c>
      <c r="H32" s="7" t="inlineStr">
        <is>
          <t>Đã mở</t>
        </is>
      </c>
      <c r="I32" s="7" t="n"/>
      <c r="J32" s="7" t="inlineStr">
        <is>
          <t>GHN B2B Bình Thuận (sắp mở)</t>
        </is>
      </c>
      <c r="K32" s="7" t="inlineStr">
        <is>
          <t>15to30</t>
        </is>
      </c>
      <c r="L32" s="28" t="n">
        <v>185.2420632475193</v>
      </c>
      <c r="M32" s="28" t="n">
        <v>228.8267349118989</v>
      </c>
      <c r="N32" s="28" t="n">
        <v>249.9347720842931</v>
      </c>
      <c r="O32" s="28" t="n">
        <v>290.4192473553891</v>
      </c>
      <c r="P32" s="28" t="n">
        <v>307.0875960178038</v>
      </c>
      <c r="Q32" s="28" t="n">
        <v>326.1768382275758</v>
      </c>
      <c r="R32" s="28" t="n">
        <v>1587.68725184448</v>
      </c>
    </row>
    <row r="33" ht="15.75" customHeight="1" s="57">
      <c r="A33" s="7" t="inlineStr">
        <is>
          <t>NTB</t>
        </is>
      </c>
      <c r="B33" s="7" t="inlineStr">
        <is>
          <t>Bình Thuận</t>
        </is>
      </c>
      <c r="C33" s="7" t="n">
        <v>1778</v>
      </c>
      <c r="D33" s="7" t="n">
        <v>471007</v>
      </c>
      <c r="E33" s="7" t="inlineStr">
        <is>
          <t>A</t>
        </is>
      </c>
      <c r="F33" s="7" t="n">
        <v>15</v>
      </c>
      <c r="G33" s="27" t="n">
        <v>1</v>
      </c>
      <c r="H33" s="7" t="inlineStr">
        <is>
          <t>Đã mở</t>
        </is>
      </c>
      <c r="I33" s="7" t="n"/>
      <c r="J33" s="7" t="inlineStr">
        <is>
          <t>GHN B2B Bình Thuận (sắp mở)</t>
        </is>
      </c>
      <c r="K33" s="7" t="inlineStr">
        <is>
          <t>gte30</t>
        </is>
      </c>
      <c r="L33" s="28" t="n">
        <v>82.53220335297195</v>
      </c>
      <c r="M33" s="28" t="n">
        <v>102.9668090361819</v>
      </c>
      <c r="N33" s="28" t="n">
        <v>113.1289324936704</v>
      </c>
      <c r="O33" s="28" t="n">
        <v>132.0418082253252</v>
      </c>
      <c r="P33" s="28" t="n">
        <v>139.1243778563682</v>
      </c>
      <c r="Q33" s="28" t="n">
        <v>147.1041736186504</v>
      </c>
      <c r="R33" s="28" t="n">
        <v>716.8983045831682</v>
      </c>
    </row>
    <row r="34" ht="15.75" customHeight="1" s="57">
      <c r="A34" s="7" t="inlineStr">
        <is>
          <t>NTB</t>
        </is>
      </c>
      <c r="B34" s="7" t="inlineStr">
        <is>
          <t>Bình Thuận</t>
        </is>
      </c>
      <c r="C34" s="7" t="n">
        <v>1778</v>
      </c>
      <c r="D34" s="7" t="n">
        <v>471008</v>
      </c>
      <c r="E34" s="7" t="inlineStr">
        <is>
          <t>A</t>
        </is>
      </c>
      <c r="F34" s="7" t="n">
        <v>15</v>
      </c>
      <c r="G34" s="27" t="n">
        <v>1</v>
      </c>
      <c r="H34" s="7" t="inlineStr">
        <is>
          <t>Đã mở</t>
        </is>
      </c>
      <c r="I34" s="7" t="n"/>
      <c r="J34" s="7" t="inlineStr">
        <is>
          <t>GHN B2B Bình Thuận (sắp mở)</t>
        </is>
      </c>
      <c r="K34" s="7" t="inlineStr">
        <is>
          <t>15to30</t>
        </is>
      </c>
      <c r="L34" s="28" t="n">
        <v>181.5400392634886</v>
      </c>
      <c r="M34" s="28" t="n">
        <v>225.0289461123945</v>
      </c>
      <c r="N34" s="28" t="n">
        <v>246.2174372518892</v>
      </c>
      <c r="O34" s="28" t="n">
        <v>286.4685196430831</v>
      </c>
      <c r="P34" s="28" t="n">
        <v>302.550497215835</v>
      </c>
      <c r="Q34" s="28" t="n">
        <v>320.8943111009747</v>
      </c>
      <c r="R34" s="28" t="n">
        <v>1562.699750587665</v>
      </c>
    </row>
    <row r="35" ht="15.75" customHeight="1" s="57">
      <c r="A35" s="7" t="inlineStr">
        <is>
          <t>NTB</t>
        </is>
      </c>
      <c r="B35" s="7" t="inlineStr">
        <is>
          <t>Bình Thuận</t>
        </is>
      </c>
      <c r="C35" s="7" t="n">
        <v>1778</v>
      </c>
      <c r="D35" s="7" t="n">
        <v>471008</v>
      </c>
      <c r="E35" s="7" t="inlineStr">
        <is>
          <t>A</t>
        </is>
      </c>
      <c r="F35" s="7" t="n">
        <v>15</v>
      </c>
      <c r="G35" s="27" t="n">
        <v>1</v>
      </c>
      <c r="H35" s="7" t="inlineStr">
        <is>
          <t>Đã mở</t>
        </is>
      </c>
      <c r="I35" s="7" t="n"/>
      <c r="J35" s="7" t="inlineStr">
        <is>
          <t>GHN B2B Bình Thuận (sắp mở)</t>
        </is>
      </c>
      <c r="K35" s="7" t="inlineStr">
        <is>
          <t>gte30</t>
        </is>
      </c>
      <c r="L35" s="28" t="n">
        <v>67.953470095114</v>
      </c>
      <c r="M35" s="28" t="n">
        <v>85.42602019343228</v>
      </c>
      <c r="N35" s="28" t="n">
        <v>94.19005419270869</v>
      </c>
      <c r="O35" s="28" t="n">
        <v>110.2159326320859</v>
      </c>
      <c r="P35" s="28" t="n">
        <v>115.8442412329606</v>
      </c>
      <c r="Q35" s="28" t="n">
        <v>122.1265312169953</v>
      </c>
      <c r="R35" s="28" t="n">
        <v>595.7562495632967</v>
      </c>
    </row>
    <row r="36" ht="15.75" customHeight="1" s="57">
      <c r="A36" s="7" t="inlineStr">
        <is>
          <t>NTB</t>
        </is>
      </c>
      <c r="B36" s="7" t="inlineStr">
        <is>
          <t>Bình Thuận</t>
        </is>
      </c>
      <c r="C36" s="7" t="n">
        <v>1778</v>
      </c>
      <c r="D36" s="7" t="n">
        <v>471009</v>
      </c>
      <c r="E36" s="7" t="inlineStr">
        <is>
          <t>A</t>
        </is>
      </c>
      <c r="F36" s="7" t="n">
        <v>15</v>
      </c>
      <c r="G36" s="27" t="n">
        <v>1</v>
      </c>
      <c r="H36" s="7" t="inlineStr">
        <is>
          <t>Đã mở</t>
        </is>
      </c>
      <c r="I36" s="7" t="n"/>
      <c r="J36" s="7" t="inlineStr">
        <is>
          <t>GHN B2B Bình Thuận (sắp mở)</t>
        </is>
      </c>
      <c r="K36" s="7" t="inlineStr">
        <is>
          <t>15to30</t>
        </is>
      </c>
      <c r="L36" s="28" t="n">
        <v>138.3645085367843</v>
      </c>
      <c r="M36" s="28" t="n">
        <v>170.1684082537161</v>
      </c>
      <c r="N36" s="28" t="n">
        <v>185.4473394809247</v>
      </c>
      <c r="O36" s="28" t="n">
        <v>215.1269881938316</v>
      </c>
      <c r="P36" s="28" t="n">
        <v>227.8104152625252</v>
      </c>
      <c r="Q36" s="28" t="n">
        <v>242.4108435609915</v>
      </c>
      <c r="R36" s="28" t="n">
        <v>1179.328503288773</v>
      </c>
    </row>
    <row r="37" ht="15.75" customHeight="1" s="57">
      <c r="A37" s="7" t="inlineStr">
        <is>
          <t>NTB</t>
        </is>
      </c>
      <c r="B37" s="7" t="inlineStr">
        <is>
          <t>Bình Thuận</t>
        </is>
      </c>
      <c r="C37" s="7" t="n">
        <v>1778</v>
      </c>
      <c r="D37" s="7" t="n">
        <v>471009</v>
      </c>
      <c r="E37" s="7" t="inlineStr">
        <is>
          <t>A</t>
        </is>
      </c>
      <c r="F37" s="7" t="n">
        <v>15</v>
      </c>
      <c r="G37" s="27" t="n">
        <v>1</v>
      </c>
      <c r="H37" s="7" t="inlineStr">
        <is>
          <t>Đã mở</t>
        </is>
      </c>
      <c r="I37" s="7" t="n"/>
      <c r="J37" s="7" t="inlineStr">
        <is>
          <t>GHN B2B Bình Thuận (sắp mở)</t>
        </is>
      </c>
      <c r="K37" s="7" t="inlineStr">
        <is>
          <t>gte30</t>
        </is>
      </c>
      <c r="L37" s="28" t="n">
        <v>74.14839412589838</v>
      </c>
      <c r="M37" s="28" t="n">
        <v>91.18320546422285</v>
      </c>
      <c r="N37" s="28" t="n">
        <v>99.50139335456188</v>
      </c>
      <c r="O37" s="28" t="n">
        <v>115.5651771246855</v>
      </c>
      <c r="P37" s="28" t="n">
        <v>122.3436855934657</v>
      </c>
      <c r="Q37" s="28" t="n">
        <v>130.1015663923301</v>
      </c>
      <c r="R37" s="28" t="n">
        <v>632.8434220551644</v>
      </c>
    </row>
    <row r="38" ht="15.75" customHeight="1" s="57">
      <c r="A38" s="7" t="inlineStr">
        <is>
          <t>NTB</t>
        </is>
      </c>
      <c r="B38" s="7" t="inlineStr">
        <is>
          <t>Bình Thuận</t>
        </is>
      </c>
      <c r="C38" s="7" t="n">
        <v>1780</v>
      </c>
      <c r="D38" s="7" t="n">
        <v>470301</v>
      </c>
      <c r="E38" s="7" t="inlineStr">
        <is>
          <t>A</t>
        </is>
      </c>
      <c r="F38" s="7" t="n">
        <v>15</v>
      </c>
      <c r="G38" s="27" t="n">
        <v>1</v>
      </c>
      <c r="H38" s="7" t="inlineStr">
        <is>
          <t>Đã mở</t>
        </is>
      </c>
      <c r="I38" s="7" t="n"/>
      <c r="J38" s="7" t="inlineStr">
        <is>
          <t>GHN B2B Bình Thuận (sắp mở)</t>
        </is>
      </c>
      <c r="K38" s="7" t="inlineStr">
        <is>
          <t>15to30</t>
        </is>
      </c>
      <c r="L38" s="28" t="n">
        <v>202.409039812469</v>
      </c>
      <c r="M38" s="28" t="n">
        <v>254.3711744860582</v>
      </c>
      <c r="N38" s="28" t="n">
        <v>280.2464538514699</v>
      </c>
      <c r="O38" s="28" t="n">
        <v>327.7049597106568</v>
      </c>
      <c r="P38" s="28" t="n">
        <v>344.5053377440176</v>
      </c>
      <c r="Q38" s="28" t="n">
        <v>363.3310673344063</v>
      </c>
      <c r="R38" s="28" t="n">
        <v>1772.568032939078</v>
      </c>
    </row>
    <row r="39" ht="15.75" customHeight="1" s="57">
      <c r="A39" s="7" t="inlineStr">
        <is>
          <t>NTB</t>
        </is>
      </c>
      <c r="B39" s="7" t="inlineStr">
        <is>
          <t>Bình Thuận</t>
        </is>
      </c>
      <c r="C39" s="7" t="n">
        <v>1780</v>
      </c>
      <c r="D39" s="7" t="n">
        <v>470301</v>
      </c>
      <c r="E39" s="7" t="inlineStr">
        <is>
          <t>A</t>
        </is>
      </c>
      <c r="F39" s="7" t="n">
        <v>15</v>
      </c>
      <c r="G39" s="27" t="n">
        <v>1</v>
      </c>
      <c r="H39" s="7" t="inlineStr">
        <is>
          <t>Đã mở</t>
        </is>
      </c>
      <c r="I39" s="7" t="n"/>
      <c r="J39" s="7" t="inlineStr">
        <is>
          <t>GHN B2B Bình Thuận (sắp mở)</t>
        </is>
      </c>
      <c r="K39" s="7" t="inlineStr">
        <is>
          <t>gte30</t>
        </is>
      </c>
      <c r="L39" s="28" t="n">
        <v>85.91571338050244</v>
      </c>
      <c r="M39" s="28" t="n">
        <v>105.3286980551942</v>
      </c>
      <c r="N39" s="28" t="n">
        <v>114.7675964912638</v>
      </c>
      <c r="O39" s="28" t="n">
        <v>133.1527602098948</v>
      </c>
      <c r="P39" s="28" t="n">
        <v>141.1090598106867</v>
      </c>
      <c r="Q39" s="28" t="n">
        <v>150.2427264795265</v>
      </c>
      <c r="R39" s="28" t="n">
        <v>730.5165544270685</v>
      </c>
    </row>
    <row r="40" ht="15.75" customHeight="1" s="57">
      <c r="A40" s="7" t="inlineStr">
        <is>
          <t>NTB</t>
        </is>
      </c>
      <c r="B40" s="7" t="inlineStr">
        <is>
          <t>Bình Thuận</t>
        </is>
      </c>
      <c r="C40" s="7" t="n">
        <v>1780</v>
      </c>
      <c r="D40" s="7" t="n">
        <v>470302</v>
      </c>
      <c r="E40" s="7" t="inlineStr">
        <is>
          <t>A</t>
        </is>
      </c>
      <c r="F40" s="7" t="n">
        <v>15</v>
      </c>
      <c r="G40" s="27" t="n">
        <v>1</v>
      </c>
      <c r="H40" s="7" t="inlineStr">
        <is>
          <t>Đã mở</t>
        </is>
      </c>
      <c r="I40" s="7" t="n"/>
      <c r="J40" s="7" t="inlineStr">
        <is>
          <t>GHN B2B Bình Thuận (sắp mở)</t>
        </is>
      </c>
      <c r="K40" s="7" t="inlineStr">
        <is>
          <t>15to30</t>
        </is>
      </c>
      <c r="L40" s="28" t="n">
        <v>175.0738020195581</v>
      </c>
      <c r="M40" s="28" t="n">
        <v>217.1880807643054</v>
      </c>
      <c r="N40" s="28" t="n">
        <v>237.7334641021266</v>
      </c>
      <c r="O40" s="28" t="n">
        <v>276.6768659924033</v>
      </c>
      <c r="P40" s="28" t="n">
        <v>292.1075815153561</v>
      </c>
      <c r="Q40" s="28" t="n">
        <v>309.6973170024218</v>
      </c>
      <c r="R40" s="28" t="n">
        <v>1508.477111396171</v>
      </c>
    </row>
    <row r="41" ht="15.75" customHeight="1" s="57">
      <c r="A41" s="7" t="inlineStr">
        <is>
          <t>NTB</t>
        </is>
      </c>
      <c r="B41" s="7" t="inlineStr">
        <is>
          <t>Bình Thuận</t>
        </is>
      </c>
      <c r="C41" s="7" t="n">
        <v>1780</v>
      </c>
      <c r="D41" s="7" t="n">
        <v>470302</v>
      </c>
      <c r="E41" s="7" t="inlineStr">
        <is>
          <t>A</t>
        </is>
      </c>
      <c r="F41" s="7" t="n">
        <v>15</v>
      </c>
      <c r="G41" s="27" t="n">
        <v>1</v>
      </c>
      <c r="H41" s="7" t="inlineStr">
        <is>
          <t>Đã mở</t>
        </is>
      </c>
      <c r="I41" s="7" t="n"/>
      <c r="J41" s="7" t="inlineStr">
        <is>
          <t>GHN B2B Bình Thuận (sắp mở)</t>
        </is>
      </c>
      <c r="K41" s="7" t="inlineStr">
        <is>
          <t>gte30</t>
        </is>
      </c>
      <c r="L41" s="28" t="n">
        <v>81.78186720409713</v>
      </c>
      <c r="M41" s="28" t="n">
        <v>100.0307876916165</v>
      </c>
      <c r="N41" s="28" t="n">
        <v>108.8745332090834</v>
      </c>
      <c r="O41" s="28" t="n">
        <v>126.2139008550125</v>
      </c>
      <c r="P41" s="28" t="n">
        <v>133.8595458618224</v>
      </c>
      <c r="Q41" s="28" t="n">
        <v>142.6560124903083</v>
      </c>
      <c r="R41" s="28" t="n">
        <v>693.4166473119402</v>
      </c>
    </row>
    <row r="42" ht="15.75" customHeight="1" s="57">
      <c r="A42" s="7" t="inlineStr">
        <is>
          <t>NTB</t>
        </is>
      </c>
      <c r="B42" s="7" t="inlineStr">
        <is>
          <t>Bình Thuận</t>
        </is>
      </c>
      <c r="C42" s="7" t="n">
        <v>1780</v>
      </c>
      <c r="D42" s="7" t="n">
        <v>470303</v>
      </c>
      <c r="E42" s="7" t="inlineStr">
        <is>
          <t>A</t>
        </is>
      </c>
      <c r="F42" s="7" t="n">
        <v>15</v>
      </c>
      <c r="G42" s="27" t="n">
        <v>1</v>
      </c>
      <c r="H42" s="7" t="inlineStr">
        <is>
          <t>Đã mở</t>
        </is>
      </c>
      <c r="I42" s="7" t="n"/>
      <c r="J42" s="7" t="inlineStr">
        <is>
          <t>GHN B2B Bình Thuận (sắp mở)</t>
        </is>
      </c>
      <c r="K42" s="7" t="inlineStr">
        <is>
          <t>15to30</t>
        </is>
      </c>
      <c r="L42" s="28" t="n">
        <v>59.17464694623273</v>
      </c>
      <c r="M42" s="28" t="n">
        <v>72.47957189095436</v>
      </c>
      <c r="N42" s="28" t="n">
        <v>78.82072119060409</v>
      </c>
      <c r="O42" s="28" t="n">
        <v>91.29108920312471</v>
      </c>
      <c r="P42" s="28" t="n">
        <v>96.79719844307098</v>
      </c>
      <c r="Q42" s="28" t="n">
        <v>103.1673825474147</v>
      </c>
      <c r="R42" s="28" t="n">
        <v>501.7306102214017</v>
      </c>
    </row>
    <row r="43" ht="15.75" customHeight="1" s="57">
      <c r="A43" s="7" t="inlineStr">
        <is>
          <t>NTB</t>
        </is>
      </c>
      <c r="B43" s="7" t="inlineStr">
        <is>
          <t>Bình Thuận</t>
        </is>
      </c>
      <c r="C43" s="7" t="n">
        <v>1780</v>
      </c>
      <c r="D43" s="7" t="n">
        <v>470303</v>
      </c>
      <c r="E43" s="7" t="inlineStr">
        <is>
          <t>A</t>
        </is>
      </c>
      <c r="F43" s="7" t="n">
        <v>15</v>
      </c>
      <c r="G43" s="27" t="n">
        <v>1</v>
      </c>
      <c r="H43" s="7" t="inlineStr">
        <is>
          <t>Đã mở</t>
        </is>
      </c>
      <c r="I43" s="7" t="n"/>
      <c r="J43" s="7" t="inlineStr">
        <is>
          <t>GHN B2B Bình Thuận (sắp mở)</t>
        </is>
      </c>
      <c r="K43" s="7" t="inlineStr">
        <is>
          <t>gte30</t>
        </is>
      </c>
      <c r="L43" s="28" t="n">
        <v>24.44377874841658</v>
      </c>
      <c r="M43" s="28" t="n">
        <v>30.80750369793805</v>
      </c>
      <c r="N43" s="28" t="n">
        <v>34.00823661530417</v>
      </c>
      <c r="O43" s="28" t="n">
        <v>39.82805433873182</v>
      </c>
      <c r="P43" s="28" t="n">
        <v>41.82796802659142</v>
      </c>
      <c r="Q43" s="28" t="n">
        <v>44.05283853004655</v>
      </c>
      <c r="R43" s="28" t="n">
        <v>214.9683799570286</v>
      </c>
    </row>
    <row r="44" ht="15.75" customHeight="1" s="57">
      <c r="A44" s="7" t="inlineStr">
        <is>
          <t>NTB</t>
        </is>
      </c>
      <c r="B44" s="7" t="inlineStr">
        <is>
          <t>Bình Thuận</t>
        </is>
      </c>
      <c r="C44" s="7" t="n">
        <v>1780</v>
      </c>
      <c r="D44" s="7" t="n">
        <v>470305</v>
      </c>
      <c r="E44" s="7" t="inlineStr">
        <is>
          <t>A</t>
        </is>
      </c>
      <c r="F44" s="7" t="n">
        <v>15</v>
      </c>
      <c r="G44" s="27" t="n">
        <v>1</v>
      </c>
      <c r="H44" s="7" t="inlineStr">
        <is>
          <t>Đã mở</t>
        </is>
      </c>
      <c r="I44" s="7" t="n"/>
      <c r="J44" s="7" t="inlineStr">
        <is>
          <t>GHN B2B Bình Thuận (sắp mở)</t>
        </is>
      </c>
      <c r="K44" s="7" t="inlineStr">
        <is>
          <t>15to30</t>
        </is>
      </c>
      <c r="L44" s="28" t="n">
        <v>111.135492723455</v>
      </c>
      <c r="M44" s="28" t="n">
        <v>138.615760326683</v>
      </c>
      <c r="N44" s="28" t="n">
        <v>152.1427553637022</v>
      </c>
      <c r="O44" s="28" t="n">
        <v>177.4213212594182</v>
      </c>
      <c r="P44" s="28" t="n">
        <v>186.9931943630382</v>
      </c>
      <c r="Q44" s="28" t="n">
        <v>197.8265199144732</v>
      </c>
      <c r="R44" s="28" t="n">
        <v>964.1350439507697</v>
      </c>
    </row>
    <row r="45" ht="15.75" customHeight="1" s="57">
      <c r="A45" s="7" t="inlineStr">
        <is>
          <t>NTB</t>
        </is>
      </c>
      <c r="B45" s="7" t="inlineStr">
        <is>
          <t>Bình Thuận</t>
        </is>
      </c>
      <c r="C45" s="7" t="n">
        <v>1780</v>
      </c>
      <c r="D45" s="7" t="n">
        <v>470305</v>
      </c>
      <c r="E45" s="7" t="inlineStr">
        <is>
          <t>A</t>
        </is>
      </c>
      <c r="F45" s="7" t="n">
        <v>15</v>
      </c>
      <c r="G45" s="27" t="n">
        <v>1</v>
      </c>
      <c r="H45" s="7" t="inlineStr">
        <is>
          <t>Đã mở</t>
        </is>
      </c>
      <c r="I45" s="7" t="n"/>
      <c r="J45" s="7" t="inlineStr">
        <is>
          <t>GHN B2B Bình Thuận (sắp mở)</t>
        </is>
      </c>
      <c r="K45" s="7" t="inlineStr">
        <is>
          <t>gte30</t>
        </is>
      </c>
      <c r="L45" s="28" t="n">
        <v>43.50969134669742</v>
      </c>
      <c r="M45" s="28" t="n">
        <v>54.61851649549424</v>
      </c>
      <c r="N45" s="28" t="n">
        <v>60.18181757740452</v>
      </c>
      <c r="O45" s="28" t="n">
        <v>70.38787829335405</v>
      </c>
      <c r="P45" s="28" t="n">
        <v>74.01627320636916</v>
      </c>
      <c r="Q45" s="28" t="n">
        <v>78.07369268694879</v>
      </c>
      <c r="R45" s="28" t="n">
        <v>380.7878696062681</v>
      </c>
    </row>
    <row r="46" ht="15.75" customHeight="1" s="57">
      <c r="A46" s="7" t="inlineStr">
        <is>
          <t>NTB</t>
        </is>
      </c>
      <c r="B46" s="7" t="inlineStr">
        <is>
          <t>Bình Thuận</t>
        </is>
      </c>
      <c r="C46" s="7" t="n">
        <v>1780</v>
      </c>
      <c r="D46" s="7" t="n">
        <v>470308</v>
      </c>
      <c r="E46" s="7" t="inlineStr">
        <is>
          <t>A</t>
        </is>
      </c>
      <c r="F46" s="7" t="n">
        <v>15</v>
      </c>
      <c r="G46" s="27" t="n">
        <v>1</v>
      </c>
      <c r="H46" s="7" t="inlineStr">
        <is>
          <t>Đã mở</t>
        </is>
      </c>
      <c r="I46" s="7" t="n"/>
      <c r="J46" s="7" t="inlineStr">
        <is>
          <t>GHN B2B Bình Thuận (sắp mở)</t>
        </is>
      </c>
      <c r="K46" s="7" t="inlineStr">
        <is>
          <t>15to30</t>
        </is>
      </c>
      <c r="L46" s="28" t="n">
        <v>92.35788478035489</v>
      </c>
      <c r="M46" s="28" t="n">
        <v>114.0672797474065</v>
      </c>
      <c r="N46" s="28" t="n">
        <v>124.5772348597684</v>
      </c>
      <c r="O46" s="28" t="n">
        <v>144.7452067655429</v>
      </c>
      <c r="P46" s="28" t="n">
        <v>153.0555332329079</v>
      </c>
      <c r="Q46" s="28" t="n">
        <v>162.5767358109987</v>
      </c>
      <c r="R46" s="28" t="n">
        <v>791.3798751969794</v>
      </c>
    </row>
    <row r="47" ht="15.75" customHeight="1" s="57">
      <c r="A47" s="7" t="inlineStr">
        <is>
          <t>NTB</t>
        </is>
      </c>
      <c r="B47" s="7" t="inlineStr">
        <is>
          <t>Bình Thuận</t>
        </is>
      </c>
      <c r="C47" s="7" t="n">
        <v>1780</v>
      </c>
      <c r="D47" s="7" t="n">
        <v>470308</v>
      </c>
      <c r="E47" s="7" t="inlineStr">
        <is>
          <t>A</t>
        </is>
      </c>
      <c r="F47" s="7" t="n">
        <v>15</v>
      </c>
      <c r="G47" s="27" t="n">
        <v>1</v>
      </c>
      <c r="H47" s="7" t="inlineStr">
        <is>
          <t>Đã mở</t>
        </is>
      </c>
      <c r="I47" s="7" t="n"/>
      <c r="J47" s="7" t="inlineStr">
        <is>
          <t>GHN B2B Bình Thuận (sắp mở)</t>
        </is>
      </c>
      <c r="K47" s="7" t="inlineStr">
        <is>
          <t>gte30</t>
        </is>
      </c>
      <c r="L47" s="28" t="n">
        <v>36.96819711374392</v>
      </c>
      <c r="M47" s="28" t="n">
        <v>45.29990865474278</v>
      </c>
      <c r="N47" s="28" t="n">
        <v>49.34820486359348</v>
      </c>
      <c r="O47" s="28" t="n">
        <v>57.24406186039262</v>
      </c>
      <c r="P47" s="28" t="n">
        <v>60.67424641448114</v>
      </c>
      <c r="Q47" s="28" t="n">
        <v>64.61383386635637</v>
      </c>
      <c r="R47" s="28" t="n">
        <v>314.1484527733103</v>
      </c>
    </row>
    <row r="48" ht="15.75" customHeight="1" s="57">
      <c r="A48" s="7" t="inlineStr">
        <is>
          <t>NTB</t>
        </is>
      </c>
      <c r="B48" s="7" t="inlineStr">
        <is>
          <t>Bình Thuận</t>
        </is>
      </c>
      <c r="C48" s="7" t="n">
        <v>1780</v>
      </c>
      <c r="D48" s="7" t="n">
        <v>470309</v>
      </c>
      <c r="E48" s="7" t="inlineStr">
        <is>
          <t>A</t>
        </is>
      </c>
      <c r="F48" s="7" t="n">
        <v>15</v>
      </c>
      <c r="G48" s="27" t="n">
        <v>1</v>
      </c>
      <c r="H48" s="7" t="inlineStr">
        <is>
          <t>Đã mở</t>
        </is>
      </c>
      <c r="I48" s="7" t="n"/>
      <c r="J48" s="7" t="inlineStr">
        <is>
          <t>GHN B2B Bình Thuận (sắp mở)</t>
        </is>
      </c>
      <c r="K48" s="7" t="inlineStr">
        <is>
          <t>15to30</t>
        </is>
      </c>
      <c r="L48" s="28" t="n">
        <v>10.37202749398167</v>
      </c>
      <c r="M48" s="28" t="n">
        <v>11.84430239826314</v>
      </c>
      <c r="N48" s="28" t="n">
        <v>12.39763386667731</v>
      </c>
      <c r="O48" s="28" t="n">
        <v>13.94227051524558</v>
      </c>
      <c r="P48" s="28" t="n">
        <v>15.17157976800035</v>
      </c>
      <c r="Q48" s="28" t="n">
        <v>16.67713665738089</v>
      </c>
      <c r="R48" s="28" t="n">
        <v>80.40495069954895</v>
      </c>
    </row>
    <row r="49" ht="15.75" customHeight="1" s="57">
      <c r="A49" s="7" t="inlineStr">
        <is>
          <t>NTB</t>
        </is>
      </c>
      <c r="B49" s="7" t="inlineStr">
        <is>
          <t>Bình Thuận</t>
        </is>
      </c>
      <c r="C49" s="7" t="n">
        <v>1780</v>
      </c>
      <c r="D49" s="7" t="n">
        <v>470309</v>
      </c>
      <c r="E49" s="7" t="inlineStr">
        <is>
          <t>A</t>
        </is>
      </c>
      <c r="F49" s="7" t="n">
        <v>15</v>
      </c>
      <c r="G49" s="27" t="n">
        <v>1</v>
      </c>
      <c r="H49" s="7" t="inlineStr">
        <is>
          <t>Đã mở</t>
        </is>
      </c>
      <c r="I49" s="7" t="n"/>
      <c r="J49" s="7" t="inlineStr">
        <is>
          <t>GHN B2B Bình Thuận (sắp mở)</t>
        </is>
      </c>
      <c r="K49" s="7" t="inlineStr">
        <is>
          <t>gte30</t>
        </is>
      </c>
      <c r="L49" s="28" t="n">
        <v>3.401963457026093</v>
      </c>
      <c r="M49" s="28" t="n">
        <v>4.152140589432248</v>
      </c>
      <c r="N49" s="28" t="n">
        <v>4.51454134742847</v>
      </c>
      <c r="O49" s="28" t="n">
        <v>5.229558130156113</v>
      </c>
      <c r="P49" s="28" t="n">
        <v>5.550407256024341</v>
      </c>
      <c r="Q49" s="28" t="n">
        <v>5.920298598632654</v>
      </c>
      <c r="R49" s="28" t="n">
        <v>28.76890937869992</v>
      </c>
    </row>
    <row r="50" ht="15.75" customHeight="1" s="57">
      <c r="A50" s="7" t="inlineStr">
        <is>
          <t>NTB</t>
        </is>
      </c>
      <c r="B50" s="7" t="inlineStr">
        <is>
          <t>Bình Thuận</t>
        </is>
      </c>
      <c r="C50" s="7" t="n">
        <v>1780</v>
      </c>
      <c r="D50" s="7" t="n">
        <v>470310</v>
      </c>
      <c r="E50" s="7" t="inlineStr">
        <is>
          <t>A</t>
        </is>
      </c>
      <c r="F50" s="7" t="n">
        <v>15</v>
      </c>
      <c r="G50" s="27" t="n">
        <v>1</v>
      </c>
      <c r="H50" s="7" t="inlineStr">
        <is>
          <t>Đã mở</t>
        </is>
      </c>
      <c r="I50" s="7" t="n"/>
      <c r="J50" s="7" t="inlineStr">
        <is>
          <t>GHN B2B Bình Thuận (sắp mở)</t>
        </is>
      </c>
      <c r="K50" s="7" t="inlineStr">
        <is>
          <t>15to30</t>
        </is>
      </c>
      <c r="L50" s="28" t="n">
        <v>22.08844628888258</v>
      </c>
      <c r="M50" s="28" t="n">
        <v>27.11290716697393</v>
      </c>
      <c r="N50" s="28" t="n">
        <v>29.51774438521274</v>
      </c>
      <c r="O50" s="28" t="n">
        <v>34.21630483126184</v>
      </c>
      <c r="P50" s="28" t="n">
        <v>36.25612179930554</v>
      </c>
      <c r="Q50" s="28" t="n">
        <v>38.60975900356623</v>
      </c>
      <c r="R50" s="28" t="n">
        <v>187.8012834752029</v>
      </c>
    </row>
    <row r="51" ht="15.75" customHeight="1" s="57">
      <c r="A51" s="7" t="inlineStr">
        <is>
          <t>NTB</t>
        </is>
      </c>
      <c r="B51" s="7" t="inlineStr">
        <is>
          <t>Bình Thuận</t>
        </is>
      </c>
      <c r="C51" s="7" t="n">
        <v>1780</v>
      </c>
      <c r="D51" s="7" t="n">
        <v>470310</v>
      </c>
      <c r="E51" s="7" t="inlineStr">
        <is>
          <t>A</t>
        </is>
      </c>
      <c r="F51" s="7" t="n">
        <v>15</v>
      </c>
      <c r="G51" s="27" t="n">
        <v>1</v>
      </c>
      <c r="H51" s="7" t="inlineStr">
        <is>
          <t>Đã mở</t>
        </is>
      </c>
      <c r="I51" s="7" t="n"/>
      <c r="J51" s="7" t="inlineStr">
        <is>
          <t>GHN B2B Bình Thuận (sắp mở)</t>
        </is>
      </c>
      <c r="K51" s="7" t="inlineStr">
        <is>
          <t>gte30</t>
        </is>
      </c>
      <c r="L51" s="28" t="n">
        <v>9.095458096337419</v>
      </c>
      <c r="M51" s="28" t="n">
        <v>11.13719581123458</v>
      </c>
      <c r="N51" s="28" t="n">
        <v>12.1282195517398</v>
      </c>
      <c r="O51" s="28" t="n">
        <v>14.06516094751634</v>
      </c>
      <c r="P51" s="28" t="n">
        <v>14.91166298989862</v>
      </c>
      <c r="Q51" s="28" t="n">
        <v>15.88456278075567</v>
      </c>
      <c r="R51" s="28" t="n">
        <v>77.22226017748244</v>
      </c>
    </row>
    <row r="52" ht="15.75" customHeight="1" s="57">
      <c r="A52" s="7" t="inlineStr">
        <is>
          <t>NTB</t>
        </is>
      </c>
      <c r="B52" s="7" t="inlineStr">
        <is>
          <t>Bình Thuận</t>
        </is>
      </c>
      <c r="C52" s="7" t="n">
        <v>1780</v>
      </c>
      <c r="D52" s="7" t="n">
        <v>470311</v>
      </c>
      <c r="E52" s="7" t="inlineStr">
        <is>
          <t>A</t>
        </is>
      </c>
      <c r="F52" s="7" t="n">
        <v>15</v>
      </c>
      <c r="G52" s="27" t="n">
        <v>1</v>
      </c>
      <c r="H52" s="7" t="inlineStr">
        <is>
          <t>Đã mở</t>
        </is>
      </c>
      <c r="I52" s="7" t="n"/>
      <c r="J52" s="7" t="inlineStr">
        <is>
          <t>GHN B2B Bình Thuận (sắp mở)</t>
        </is>
      </c>
      <c r="K52" s="7" t="inlineStr">
        <is>
          <t>15to30</t>
        </is>
      </c>
      <c r="L52" s="28" t="n">
        <v>24.30745812492525</v>
      </c>
      <c r="M52" s="28" t="n">
        <v>30.89936150906573</v>
      </c>
      <c r="N52" s="28" t="n">
        <v>34.2342401996173</v>
      </c>
      <c r="O52" s="28" t="n">
        <v>40.19377331334984</v>
      </c>
      <c r="P52" s="28" t="n">
        <v>42.09042556014706</v>
      </c>
      <c r="Q52" s="28" t="n">
        <v>44.18083212472567</v>
      </c>
      <c r="R52" s="28" t="n">
        <v>215.9060908318308</v>
      </c>
    </row>
    <row r="53" ht="15.75" customHeight="1" s="57">
      <c r="A53" s="7" t="inlineStr">
        <is>
          <t>NTB</t>
        </is>
      </c>
      <c r="B53" s="7" t="inlineStr">
        <is>
          <t>Bình Thuận</t>
        </is>
      </c>
      <c r="C53" s="7" t="n">
        <v>1780</v>
      </c>
      <c r="D53" s="7" t="n">
        <v>470311</v>
      </c>
      <c r="E53" s="7" t="inlineStr">
        <is>
          <t>A</t>
        </is>
      </c>
      <c r="F53" s="7" t="n">
        <v>15</v>
      </c>
      <c r="G53" s="27" t="n">
        <v>1</v>
      </c>
      <c r="H53" s="7" t="inlineStr">
        <is>
          <t>Đã mở</t>
        </is>
      </c>
      <c r="I53" s="7" t="n"/>
      <c r="J53" s="7" t="inlineStr">
        <is>
          <t>GHN B2B Bình Thuận (sắp mở)</t>
        </is>
      </c>
      <c r="K53" s="7" t="inlineStr">
        <is>
          <t>gte30</t>
        </is>
      </c>
      <c r="L53" s="28" t="n">
        <v>11.24565601301563</v>
      </c>
      <c r="M53" s="28" t="n">
        <v>13.58118500711315</v>
      </c>
      <c r="N53" s="28" t="n">
        <v>14.69070065703938</v>
      </c>
      <c r="O53" s="28" t="n">
        <v>16.95317003212024</v>
      </c>
      <c r="P53" s="28" t="n">
        <v>18.05904962474628</v>
      </c>
      <c r="Q53" s="28" t="n">
        <v>19.34592925783447</v>
      </c>
      <c r="R53" s="28" t="n">
        <v>93.87569059186914</v>
      </c>
    </row>
    <row r="54" ht="15.75" customHeight="1" s="57">
      <c r="A54" s="7" t="inlineStr">
        <is>
          <t>NTB</t>
        </is>
      </c>
      <c r="B54" s="7" t="inlineStr">
        <is>
          <t>Bình Thuận</t>
        </is>
      </c>
      <c r="C54" s="7" t="n">
        <v>1780</v>
      </c>
      <c r="D54" s="7" t="n">
        <v>470313</v>
      </c>
      <c r="E54" s="7" t="inlineStr">
        <is>
          <t>A</t>
        </is>
      </c>
      <c r="F54" s="7" t="n">
        <v>15</v>
      </c>
      <c r="G54" s="27" t="n">
        <v>1</v>
      </c>
      <c r="H54" s="7" t="inlineStr">
        <is>
          <t>Đã mở</t>
        </is>
      </c>
      <c r="I54" s="7" t="n"/>
      <c r="J54" s="7" t="inlineStr">
        <is>
          <t>GHN B2B Bình Thuận (sắp mở)</t>
        </is>
      </c>
      <c r="K54" s="7" t="inlineStr">
        <is>
          <t>15to30</t>
        </is>
      </c>
      <c r="L54" s="28" t="n">
        <v>117.6998602267735</v>
      </c>
      <c r="M54" s="28" t="n">
        <v>147.0121630407675</v>
      </c>
      <c r="N54" s="28" t="n">
        <v>161.4727775035764</v>
      </c>
      <c r="O54" s="28" t="n">
        <v>188.3978000611033</v>
      </c>
      <c r="P54" s="28" t="n">
        <v>198.4559737962021</v>
      </c>
      <c r="Q54" s="28" t="n">
        <v>209.8216252908711</v>
      </c>
      <c r="R54" s="28" t="n">
        <v>1022.860199919294</v>
      </c>
    </row>
    <row r="55" ht="15.75" customHeight="1" s="57">
      <c r="A55" s="7" t="inlineStr">
        <is>
          <t>NTB</t>
        </is>
      </c>
      <c r="B55" s="7" t="inlineStr">
        <is>
          <t>Bình Thuận</t>
        </is>
      </c>
      <c r="C55" s="7" t="n">
        <v>1780</v>
      </c>
      <c r="D55" s="7" t="n">
        <v>470313</v>
      </c>
      <c r="E55" s="7" t="inlineStr">
        <is>
          <t>A</t>
        </is>
      </c>
      <c r="F55" s="7" t="n">
        <v>15</v>
      </c>
      <c r="G55" s="27" t="n">
        <v>1</v>
      </c>
      <c r="H55" s="7" t="inlineStr">
        <is>
          <t>Đã mở</t>
        </is>
      </c>
      <c r="I55" s="7" t="n"/>
      <c r="J55" s="7" t="inlineStr">
        <is>
          <t>GHN B2B Bình Thuận (sắp mở)</t>
        </is>
      </c>
      <c r="K55" s="7" t="inlineStr">
        <is>
          <t>gte30</t>
        </is>
      </c>
      <c r="L55" s="28" t="n">
        <v>56.66236384063892</v>
      </c>
      <c r="M55" s="28" t="n">
        <v>70.85151505976125</v>
      </c>
      <c r="N55" s="28" t="n">
        <v>77.92626883671315</v>
      </c>
      <c r="O55" s="28" t="n">
        <v>91.02286801039077</v>
      </c>
      <c r="P55" s="28" t="n">
        <v>95.83525816454178</v>
      </c>
      <c r="Q55" s="28" t="n">
        <v>101.2427222644829</v>
      </c>
      <c r="R55" s="28" t="n">
        <v>493.5409961765287</v>
      </c>
    </row>
    <row r="56" ht="15.75" customHeight="1" s="57">
      <c r="A56" s="7" t="inlineStr">
        <is>
          <t>NTB</t>
        </is>
      </c>
      <c r="B56" s="7" t="inlineStr">
        <is>
          <t>Bình Thuận</t>
        </is>
      </c>
      <c r="C56" s="7" t="n">
        <v>1780</v>
      </c>
      <c r="D56" s="7" t="n">
        <v>470315</v>
      </c>
      <c r="E56" s="7" t="inlineStr">
        <is>
          <t>A</t>
        </is>
      </c>
      <c r="F56" s="7" t="n">
        <v>15</v>
      </c>
      <c r="G56" s="27" t="n">
        <v>1</v>
      </c>
      <c r="H56" s="7" t="inlineStr">
        <is>
          <t>Đã mở</t>
        </is>
      </c>
      <c r="I56" s="7" t="n"/>
      <c r="J56" s="7" t="inlineStr">
        <is>
          <t>GHN B2B Bình Thuận (sắp mở)</t>
        </is>
      </c>
      <c r="K56" s="7" t="inlineStr">
        <is>
          <t>15to30</t>
        </is>
      </c>
      <c r="L56" s="28" t="n">
        <v>36.29267433862204</v>
      </c>
      <c r="M56" s="28" t="n">
        <v>45.5349172329138</v>
      </c>
      <c r="N56" s="28" t="n">
        <v>50.12508281206879</v>
      </c>
      <c r="O56" s="28" t="n">
        <v>58.57671838689846</v>
      </c>
      <c r="P56" s="28" t="n">
        <v>61.59911201016556</v>
      </c>
      <c r="Q56" s="28" t="n">
        <v>64.9971032346922</v>
      </c>
      <c r="R56" s="28" t="n">
        <v>317.1256080153609</v>
      </c>
    </row>
    <row r="57" ht="15.75" customHeight="1" s="57">
      <c r="A57" s="7" t="inlineStr">
        <is>
          <t>NTB</t>
        </is>
      </c>
      <c r="B57" s="7" t="inlineStr">
        <is>
          <t>Bình Thuận</t>
        </is>
      </c>
      <c r="C57" s="7" t="n">
        <v>1780</v>
      </c>
      <c r="D57" s="7" t="n">
        <v>470315</v>
      </c>
      <c r="E57" s="7" t="inlineStr">
        <is>
          <t>A</t>
        </is>
      </c>
      <c r="F57" s="7" t="n">
        <v>15</v>
      </c>
      <c r="G57" s="27" t="n">
        <v>1</v>
      </c>
      <c r="H57" s="7" t="inlineStr">
        <is>
          <t>Đã mở</t>
        </is>
      </c>
      <c r="I57" s="7" t="n"/>
      <c r="J57" s="7" t="inlineStr">
        <is>
          <t>GHN B2B Bình Thuận (sắp mở)</t>
        </is>
      </c>
      <c r="K57" s="7" t="inlineStr">
        <is>
          <t>gte30</t>
        </is>
      </c>
      <c r="L57" s="28" t="n">
        <v>25.62487765596095</v>
      </c>
      <c r="M57" s="28" t="n">
        <v>32.32119237324596</v>
      </c>
      <c r="N57" s="28" t="n">
        <v>35.69196898164142</v>
      </c>
      <c r="O57" s="28" t="n">
        <v>41.81058558298393</v>
      </c>
      <c r="P57" s="28" t="n">
        <v>43.89925772626697</v>
      </c>
      <c r="Q57" s="28" t="n">
        <v>46.22047109839462</v>
      </c>
      <c r="R57" s="28" t="n">
        <v>225.5683534184938</v>
      </c>
    </row>
    <row r="58" ht="15.75" customHeight="1" s="57">
      <c r="A58" s="7" t="inlineStr">
        <is>
          <t>NTB</t>
        </is>
      </c>
      <c r="B58" s="7" t="inlineStr">
        <is>
          <t>Bình Thuận</t>
        </is>
      </c>
      <c r="C58" s="7" t="n">
        <v>1781</v>
      </c>
      <c r="D58" s="7" t="n">
        <v>470201</v>
      </c>
      <c r="E58" s="7" t="inlineStr">
        <is>
          <t>A</t>
        </is>
      </c>
      <c r="F58" s="7" t="n">
        <v>15</v>
      </c>
      <c r="G58" s="27" t="n">
        <v>1</v>
      </c>
      <c r="H58" s="7" t="inlineStr">
        <is>
          <t>Đã mở</t>
        </is>
      </c>
      <c r="I58" s="7" t="n"/>
      <c r="J58" s="7" t="inlineStr">
        <is>
          <t>GHN B2B Bình Thuận (sắp mở)</t>
        </is>
      </c>
      <c r="K58" s="7" t="inlineStr">
        <is>
          <t>15to30</t>
        </is>
      </c>
      <c r="L58" s="28" t="n">
        <v>516.0663973071955</v>
      </c>
      <c r="M58" s="28" t="n">
        <v>639.9122262032331</v>
      </c>
      <c r="N58" s="28" t="n">
        <v>700.2866951957556</v>
      </c>
      <c r="O58" s="28" t="n">
        <v>814.8707555835304</v>
      </c>
      <c r="P58" s="28" t="n">
        <v>860.5087886799345</v>
      </c>
      <c r="Q58" s="28" t="n">
        <v>912.546102853657</v>
      </c>
      <c r="R58" s="28" t="n">
        <v>4444.190965823305</v>
      </c>
    </row>
    <row r="59" ht="15.75" customHeight="1" s="57">
      <c r="A59" s="7" t="inlineStr">
        <is>
          <t>NTB</t>
        </is>
      </c>
      <c r="B59" s="7" t="inlineStr">
        <is>
          <t>Bình Thuận</t>
        </is>
      </c>
      <c r="C59" s="7" t="n">
        <v>1781</v>
      </c>
      <c r="D59" s="7" t="n">
        <v>470201</v>
      </c>
      <c r="E59" s="7" t="inlineStr">
        <is>
          <t>A</t>
        </is>
      </c>
      <c r="F59" s="7" t="n">
        <v>15</v>
      </c>
      <c r="G59" s="27" t="n">
        <v>1</v>
      </c>
      <c r="H59" s="7" t="inlineStr">
        <is>
          <t>Đã mở</t>
        </is>
      </c>
      <c r="I59" s="7" t="n"/>
      <c r="J59" s="7" t="inlineStr">
        <is>
          <t>GHN B2B Bình Thuận (sắp mở)</t>
        </is>
      </c>
      <c r="K59" s="7" t="inlineStr">
        <is>
          <t>gte30</t>
        </is>
      </c>
      <c r="L59" s="28" t="n">
        <v>232.4845230918223</v>
      </c>
      <c r="M59" s="28" t="n">
        <v>286.4159701327859</v>
      </c>
      <c r="N59" s="28" t="n">
        <v>312.8159051775524</v>
      </c>
      <c r="O59" s="28" t="n">
        <v>363.5470469501995</v>
      </c>
      <c r="P59" s="28" t="n">
        <v>384.6370192276393</v>
      </c>
      <c r="Q59" s="28" t="n">
        <v>408.7295760079489</v>
      </c>
      <c r="R59" s="28" t="n">
        <v>1988.630040587948</v>
      </c>
    </row>
    <row r="60" ht="15.75" customHeight="1" s="57">
      <c r="A60" s="7" t="inlineStr">
        <is>
          <t>NTB</t>
        </is>
      </c>
      <c r="B60" s="7" t="inlineStr">
        <is>
          <t>Bình Thuận</t>
        </is>
      </c>
      <c r="C60" s="7" t="n">
        <v>1781</v>
      </c>
      <c r="D60" s="7" t="n">
        <v>470202</v>
      </c>
      <c r="E60" s="7" t="inlineStr">
        <is>
          <t>A</t>
        </is>
      </c>
      <c r="F60" s="7" t="n">
        <v>15</v>
      </c>
      <c r="G60" s="27" t="n">
        <v>1</v>
      </c>
      <c r="H60" s="7" t="inlineStr">
        <is>
          <t>Đã mở</t>
        </is>
      </c>
      <c r="I60" s="7" t="n"/>
      <c r="J60" s="7" t="inlineStr">
        <is>
          <t>GHN B2B Bình Thuận (sắp mở)</t>
        </is>
      </c>
      <c r="K60" s="7" t="inlineStr">
        <is>
          <t>15to30</t>
        </is>
      </c>
      <c r="L60" s="28" t="n">
        <v>505.2153750879716</v>
      </c>
      <c r="M60" s="28" t="n">
        <v>625.9131234781391</v>
      </c>
      <c r="N60" s="28" t="n">
        <v>684.6609260264403</v>
      </c>
      <c r="O60" s="28" t="n">
        <v>796.4198697876434</v>
      </c>
      <c r="P60" s="28" t="n">
        <v>841.2030610559029</v>
      </c>
      <c r="Q60" s="28" t="n">
        <v>892.3376314723837</v>
      </c>
      <c r="R60" s="28" t="n">
        <v>4345.749986908481</v>
      </c>
    </row>
    <row r="61" ht="15.75" customHeight="1" s="57">
      <c r="A61" s="7" t="inlineStr">
        <is>
          <t>NTB</t>
        </is>
      </c>
      <c r="B61" s="7" t="inlineStr">
        <is>
          <t>Bình Thuận</t>
        </is>
      </c>
      <c r="C61" s="7" t="n">
        <v>1781</v>
      </c>
      <c r="D61" s="7" t="n">
        <v>470202</v>
      </c>
      <c r="E61" s="7" t="inlineStr">
        <is>
          <t>A</t>
        </is>
      </c>
      <c r="F61" s="7" t="n">
        <v>15</v>
      </c>
      <c r="G61" s="27" t="n">
        <v>1</v>
      </c>
      <c r="H61" s="7" t="inlineStr">
        <is>
          <t>Đã mở</t>
        </is>
      </c>
      <c r="I61" s="7" t="n"/>
      <c r="J61" s="7" t="inlineStr">
        <is>
          <t>GHN B2B Bình Thuận (sắp mở)</t>
        </is>
      </c>
      <c r="K61" s="7" t="inlineStr">
        <is>
          <t>gte30</t>
        </is>
      </c>
      <c r="L61" s="28" t="n">
        <v>218.3173013472875</v>
      </c>
      <c r="M61" s="28" t="n">
        <v>268.2593509213904</v>
      </c>
      <c r="N61" s="28" t="n">
        <v>292.6196204803252</v>
      </c>
      <c r="O61" s="28" t="n">
        <v>339.7666848032361</v>
      </c>
      <c r="P61" s="28" t="n">
        <v>359.792003890622</v>
      </c>
      <c r="Q61" s="28" t="n">
        <v>382.7289328270061</v>
      </c>
      <c r="R61" s="28" t="n">
        <v>1861.483894269868</v>
      </c>
    </row>
    <row r="62" ht="15.75" customHeight="1" s="57">
      <c r="A62" s="7" t="inlineStr">
        <is>
          <t>NTB</t>
        </is>
      </c>
      <c r="B62" s="7" t="inlineStr">
        <is>
          <t>Bình Thuận</t>
        </is>
      </c>
      <c r="C62" s="7" t="n">
        <v>1781</v>
      </c>
      <c r="D62" s="7" t="n">
        <v>470203</v>
      </c>
      <c r="E62" s="7" t="inlineStr">
        <is>
          <t>A</t>
        </is>
      </c>
      <c r="F62" s="7" t="n">
        <v>15</v>
      </c>
      <c r="G62" s="27" t="n">
        <v>1</v>
      </c>
      <c r="H62" s="7" t="inlineStr">
        <is>
          <t>Đã mở</t>
        </is>
      </c>
      <c r="I62" s="7" t="n"/>
      <c r="J62" s="7" t="inlineStr">
        <is>
          <t>GHN B2B Bình Thuận (sắp mở)</t>
        </is>
      </c>
      <c r="K62" s="7" t="inlineStr">
        <is>
          <t>15to30</t>
        </is>
      </c>
      <c r="L62" s="28" t="n">
        <v>93.67625543380639</v>
      </c>
      <c r="M62" s="28" t="n">
        <v>115.0404956877898</v>
      </c>
      <c r="N62" s="28" t="n">
        <v>125.2757499886792</v>
      </c>
      <c r="O62" s="28" t="n">
        <v>145.2443929212266</v>
      </c>
      <c r="P62" s="28" t="n">
        <v>153.8823585029989</v>
      </c>
      <c r="Q62" s="28" t="n">
        <v>163.8426112190278</v>
      </c>
      <c r="R62" s="28" t="n">
        <v>796.9618637535289</v>
      </c>
    </row>
    <row r="63" ht="15.75" customHeight="1" s="57">
      <c r="A63" s="7" t="inlineStr">
        <is>
          <t>NTB</t>
        </is>
      </c>
      <c r="B63" s="7" t="inlineStr">
        <is>
          <t>Bình Thuận</t>
        </is>
      </c>
      <c r="C63" s="7" t="n">
        <v>1781</v>
      </c>
      <c r="D63" s="7" t="n">
        <v>470203</v>
      </c>
      <c r="E63" s="7" t="inlineStr">
        <is>
          <t>A</t>
        </is>
      </c>
      <c r="F63" s="7" t="n">
        <v>15</v>
      </c>
      <c r="G63" s="27" t="n">
        <v>1</v>
      </c>
      <c r="H63" s="7" t="inlineStr">
        <is>
          <t>Đã mở</t>
        </is>
      </c>
      <c r="I63" s="7" t="n"/>
      <c r="J63" s="7" t="inlineStr">
        <is>
          <t>GHN B2B Bình Thuận (sắp mở)</t>
        </is>
      </c>
      <c r="K63" s="7" t="inlineStr">
        <is>
          <t>gte30</t>
        </is>
      </c>
      <c r="L63" s="28" t="n">
        <v>38.73984547506048</v>
      </c>
      <c r="M63" s="28" t="n">
        <v>47.57044166770467</v>
      </c>
      <c r="N63" s="28" t="n">
        <v>51.87380341309937</v>
      </c>
      <c r="O63" s="28" t="n">
        <v>60.21785872677078</v>
      </c>
      <c r="P63" s="28" t="n">
        <v>63.78118096399446</v>
      </c>
      <c r="Q63" s="28" t="n">
        <v>67.86528271887849</v>
      </c>
      <c r="R63" s="28" t="n">
        <v>330.0484129655082</v>
      </c>
    </row>
    <row r="64" ht="15.75" customHeight="1" s="57">
      <c r="A64" s="7" t="inlineStr">
        <is>
          <t>NTB</t>
        </is>
      </c>
      <c r="B64" s="7" t="inlineStr">
        <is>
          <t>Bình Thuận</t>
        </is>
      </c>
      <c r="C64" s="7" t="n">
        <v>1781</v>
      </c>
      <c r="D64" s="7" t="n">
        <v>470204</v>
      </c>
      <c r="E64" s="7" t="inlineStr">
        <is>
          <t>A</t>
        </is>
      </c>
      <c r="F64" s="7" t="n">
        <v>15</v>
      </c>
      <c r="G64" s="27" t="n">
        <v>1</v>
      </c>
      <c r="H64" s="7" t="inlineStr">
        <is>
          <t>Đã mở</t>
        </is>
      </c>
      <c r="I64" s="7" t="n"/>
      <c r="J64" s="7" t="inlineStr">
        <is>
          <t>GHN B2B Bình Thuận (sắp mở)</t>
        </is>
      </c>
      <c r="K64" s="7" t="inlineStr">
        <is>
          <t>15to30</t>
        </is>
      </c>
      <c r="L64" s="28" t="n">
        <v>203.1064072404246</v>
      </c>
      <c r="M64" s="28" t="n">
        <v>251.4542620215518</v>
      </c>
      <c r="N64" s="28" t="n">
        <v>274.9595401259763</v>
      </c>
      <c r="O64" s="28" t="n">
        <v>319.7611101817255</v>
      </c>
      <c r="P64" s="28" t="n">
        <v>337.8357921267273</v>
      </c>
      <c r="Q64" s="28" t="n">
        <v>358.4871332905751</v>
      </c>
      <c r="R64" s="28" t="n">
        <v>1745.604244986981</v>
      </c>
    </row>
    <row r="65" ht="15.75" customHeight="1" s="57">
      <c r="A65" s="7" t="inlineStr">
        <is>
          <t>NTB</t>
        </is>
      </c>
      <c r="B65" s="7" t="inlineStr">
        <is>
          <t>Bình Thuận</t>
        </is>
      </c>
      <c r="C65" s="7" t="n">
        <v>1781</v>
      </c>
      <c r="D65" s="7" t="n">
        <v>470204</v>
      </c>
      <c r="E65" s="7" t="inlineStr">
        <is>
          <t>A</t>
        </is>
      </c>
      <c r="F65" s="7" t="n">
        <v>15</v>
      </c>
      <c r="G65" s="27" t="n">
        <v>1</v>
      </c>
      <c r="H65" s="7" t="inlineStr">
        <is>
          <t>Đã mở</t>
        </is>
      </c>
      <c r="I65" s="7" t="n"/>
      <c r="J65" s="7" t="inlineStr">
        <is>
          <t>GHN B2B Bình Thuận (sắp mở)</t>
        </is>
      </c>
      <c r="K65" s="7" t="inlineStr">
        <is>
          <t>gte30</t>
        </is>
      </c>
      <c r="L65" s="28" t="n">
        <v>74.05251110175081</v>
      </c>
      <c r="M65" s="28" t="n">
        <v>91.78760015428921</v>
      </c>
      <c r="N65" s="28" t="n">
        <v>100.5378223019348</v>
      </c>
      <c r="O65" s="28" t="n">
        <v>117.0870361116602</v>
      </c>
      <c r="P65" s="28" t="n">
        <v>123.630157194136</v>
      </c>
      <c r="Q65" s="28" t="n">
        <v>131.0568469805965</v>
      </c>
      <c r="R65" s="28" t="n">
        <v>638.1519738443675</v>
      </c>
    </row>
    <row r="66" ht="15.75" customHeight="1" s="57">
      <c r="A66" s="7" t="inlineStr">
        <is>
          <t>NTB</t>
        </is>
      </c>
      <c r="B66" s="7" t="inlineStr">
        <is>
          <t>Bình Thuận</t>
        </is>
      </c>
      <c r="C66" s="7" t="n">
        <v>1781</v>
      </c>
      <c r="D66" s="7" t="n">
        <v>470205</v>
      </c>
      <c r="E66" s="7" t="inlineStr">
        <is>
          <t>A</t>
        </is>
      </c>
      <c r="F66" s="7" t="n">
        <v>15</v>
      </c>
      <c r="G66" s="27" t="n">
        <v>1</v>
      </c>
      <c r="H66" s="7" t="inlineStr">
        <is>
          <t>Đã mở</t>
        </is>
      </c>
      <c r="I66" s="7" t="n"/>
      <c r="J66" s="7" t="inlineStr">
        <is>
          <t>GHN B2B Bình Thuận (sắp mở)</t>
        </is>
      </c>
      <c r="K66" s="7" t="inlineStr">
        <is>
          <t>15to30</t>
        </is>
      </c>
      <c r="L66" s="28" t="n">
        <v>96.17388959109735</v>
      </c>
      <c r="M66" s="28" t="n">
        <v>120.6283488949348</v>
      </c>
      <c r="N66" s="28" t="n">
        <v>132.7708376262551</v>
      </c>
      <c r="O66" s="28" t="n">
        <v>155.1467112857855</v>
      </c>
      <c r="P66" s="28" t="n">
        <v>163.2108418820756</v>
      </c>
      <c r="Q66" s="28" t="n">
        <v>172.2703048645955</v>
      </c>
      <c r="R66" s="28" t="n">
        <v>840.2009341447439</v>
      </c>
    </row>
    <row r="67" ht="15.75" customHeight="1" s="57">
      <c r="A67" s="7" t="inlineStr">
        <is>
          <t>NTB</t>
        </is>
      </c>
      <c r="B67" s="7" t="inlineStr">
        <is>
          <t>Bình Thuận</t>
        </is>
      </c>
      <c r="C67" s="7" t="n">
        <v>1781</v>
      </c>
      <c r="D67" s="7" t="n">
        <v>470205</v>
      </c>
      <c r="E67" s="7" t="inlineStr">
        <is>
          <t>A</t>
        </is>
      </c>
      <c r="F67" s="7" t="n">
        <v>15</v>
      </c>
      <c r="G67" s="27" t="n">
        <v>1</v>
      </c>
      <c r="H67" s="7" t="inlineStr">
        <is>
          <t>Đã mở</t>
        </is>
      </c>
      <c r="I67" s="7" t="n"/>
      <c r="J67" s="7" t="inlineStr">
        <is>
          <t>GHN B2B Bình Thuận (sắp mở)</t>
        </is>
      </c>
      <c r="K67" s="7" t="inlineStr">
        <is>
          <t>gte30</t>
        </is>
      </c>
      <c r="L67" s="28" t="n">
        <v>39.37584517029211</v>
      </c>
      <c r="M67" s="28" t="n">
        <v>49.32060613191651</v>
      </c>
      <c r="N67" s="28" t="n">
        <v>54.28875429522414</v>
      </c>
      <c r="O67" s="28" t="n">
        <v>63.44901893847168</v>
      </c>
      <c r="P67" s="28" t="n">
        <v>66.76675925750476</v>
      </c>
      <c r="Q67" s="28" t="n">
        <v>70.48697869773054</v>
      </c>
      <c r="R67" s="28" t="n">
        <v>343.6879624911397</v>
      </c>
    </row>
    <row r="68" ht="15.75" customHeight="1" s="57">
      <c r="A68" s="7" t="inlineStr">
        <is>
          <t>NTB</t>
        </is>
      </c>
      <c r="B68" s="7" t="inlineStr">
        <is>
          <t>Bình Thuận</t>
        </is>
      </c>
      <c r="C68" s="7" t="n">
        <v>1781</v>
      </c>
      <c r="D68" s="7" t="n">
        <v>470207</v>
      </c>
      <c r="E68" s="7" t="inlineStr">
        <is>
          <t>A</t>
        </is>
      </c>
      <c r="F68" s="7" t="n">
        <v>15</v>
      </c>
      <c r="G68" s="27" t="n">
        <v>1</v>
      </c>
      <c r="H68" s="7" t="inlineStr">
        <is>
          <t>Đã mở</t>
        </is>
      </c>
      <c r="I68" s="7" t="n"/>
      <c r="J68" s="7" t="inlineStr">
        <is>
          <t>GHN B2B Bình Thuận (sắp mở)</t>
        </is>
      </c>
      <c r="K68" s="7" t="inlineStr">
        <is>
          <t>15to30</t>
        </is>
      </c>
      <c r="L68" s="28" t="n">
        <v>24.9843223551965</v>
      </c>
      <c r="M68" s="28" t="n">
        <v>28.19059186164699</v>
      </c>
      <c r="N68" s="28" t="n">
        <v>29.30431537475467</v>
      </c>
      <c r="O68" s="28" t="n">
        <v>32.77559004321621</v>
      </c>
      <c r="P68" s="28" t="n">
        <v>35.86715652425343</v>
      </c>
      <c r="Q68" s="28" t="n">
        <v>39.67034426312829</v>
      </c>
      <c r="R68" s="28" t="n">
        <v>190.7923204221961</v>
      </c>
    </row>
    <row r="69" ht="15.75" customHeight="1" s="57">
      <c r="A69" s="7" t="inlineStr">
        <is>
          <t>NTB</t>
        </is>
      </c>
      <c r="B69" s="7" t="inlineStr">
        <is>
          <t>Bình Thuận</t>
        </is>
      </c>
      <c r="C69" s="7" t="n">
        <v>1781</v>
      </c>
      <c r="D69" s="7" t="n">
        <v>470207</v>
      </c>
      <c r="E69" s="7" t="inlineStr">
        <is>
          <t>A</t>
        </is>
      </c>
      <c r="F69" s="7" t="n">
        <v>15</v>
      </c>
      <c r="G69" s="27" t="n">
        <v>1</v>
      </c>
      <c r="H69" s="7" t="inlineStr">
        <is>
          <t>Đã mở</t>
        </is>
      </c>
      <c r="I69" s="7" t="n"/>
      <c r="J69" s="7" t="inlineStr">
        <is>
          <t>GHN B2B Bình Thuận (sắp mở)</t>
        </is>
      </c>
      <c r="K69" s="7" t="inlineStr">
        <is>
          <t>gte30</t>
        </is>
      </c>
      <c r="L69" s="28" t="n">
        <v>4.583062364570466</v>
      </c>
      <c r="M69" s="28" t="n">
        <v>5.665829264740172</v>
      </c>
      <c r="N69" s="28" t="n">
        <v>6.198273713765722</v>
      </c>
      <c r="O69" s="28" t="n">
        <v>7.212089374408218</v>
      </c>
      <c r="P69" s="28" t="n">
        <v>7.621696955699885</v>
      </c>
      <c r="Q69" s="28" t="n">
        <v>8.087931166980727</v>
      </c>
      <c r="R69" s="28" t="n">
        <v>39.36888284016519</v>
      </c>
    </row>
    <row r="70" ht="15.75" customHeight="1" s="57">
      <c r="A70" s="7" t="inlineStr">
        <is>
          <t>NTB</t>
        </is>
      </c>
      <c r="B70" s="7" t="inlineStr">
        <is>
          <t>Bình Thuận</t>
        </is>
      </c>
      <c r="C70" s="7" t="n">
        <v>1781</v>
      </c>
      <c r="D70" s="7" t="n">
        <v>470208</v>
      </c>
      <c r="E70" s="7" t="inlineStr">
        <is>
          <t>A</t>
        </is>
      </c>
      <c r="F70" s="7" t="n">
        <v>15</v>
      </c>
      <c r="G70" s="27" t="n">
        <v>1</v>
      </c>
      <c r="H70" s="7" t="inlineStr">
        <is>
          <t>Đã mở</t>
        </is>
      </c>
      <c r="I70" s="7" t="n"/>
      <c r="J70" s="7" t="inlineStr">
        <is>
          <t>GHN B2B Bình Thuận (sắp mở)</t>
        </is>
      </c>
      <c r="K70" s="7" t="inlineStr">
        <is>
          <t>15to30</t>
        </is>
      </c>
      <c r="L70" s="28" t="n">
        <v>74.76341669057962</v>
      </c>
      <c r="M70" s="28" t="n">
        <v>91.26253588739108</v>
      </c>
      <c r="N70" s="28" t="n">
        <v>99.07275912324636</v>
      </c>
      <c r="O70" s="28" t="n">
        <v>114.5973747762488</v>
      </c>
      <c r="P70" s="28" t="n">
        <v>121.6548564965164</v>
      </c>
      <c r="Q70" s="28" t="n">
        <v>129.8484957181303</v>
      </c>
      <c r="R70" s="28" t="n">
        <v>631.1994386921126</v>
      </c>
    </row>
    <row r="71" ht="15.75" customHeight="1" s="57">
      <c r="A71" s="7" t="inlineStr">
        <is>
          <t>NTB</t>
        </is>
      </c>
      <c r="B71" s="7" t="inlineStr">
        <is>
          <t>Bình Thuận</t>
        </is>
      </c>
      <c r="C71" s="7" t="n">
        <v>1781</v>
      </c>
      <c r="D71" s="7" t="n">
        <v>470208</v>
      </c>
      <c r="E71" s="7" t="inlineStr">
        <is>
          <t>A</t>
        </is>
      </c>
      <c r="F71" s="7" t="n">
        <v>15</v>
      </c>
      <c r="G71" s="27" t="n">
        <v>1</v>
      </c>
      <c r="H71" s="7" t="inlineStr">
        <is>
          <t>Đã mở</t>
        </is>
      </c>
      <c r="I71" s="7" t="n"/>
      <c r="J71" s="7" t="inlineStr">
        <is>
          <t>GHN B2B Bình Thuận (sắp mở)</t>
        </is>
      </c>
      <c r="K71" s="7" t="inlineStr">
        <is>
          <t>gte30</t>
        </is>
      </c>
      <c r="L71" s="28" t="n">
        <v>31.27470247443259</v>
      </c>
      <c r="M71" s="28" t="n">
        <v>38.31485343294045</v>
      </c>
      <c r="N71" s="28" t="n">
        <v>41.73452665928215</v>
      </c>
      <c r="O71" s="28" t="n">
        <v>48.40845904303239</v>
      </c>
      <c r="P71" s="28" t="n">
        <v>51.31299068060686</v>
      </c>
      <c r="Q71" s="28" t="n">
        <v>54.64956968423336</v>
      </c>
      <c r="R71" s="28" t="n">
        <v>265.6951019745278</v>
      </c>
    </row>
    <row r="72" ht="15.75" customHeight="1" s="57">
      <c r="A72" s="7" t="inlineStr">
        <is>
          <t>NTB</t>
        </is>
      </c>
      <c r="B72" s="7" t="inlineStr">
        <is>
          <t>Bình Thuận</t>
        </is>
      </c>
      <c r="C72" s="7" t="n">
        <v>1781</v>
      </c>
      <c r="D72" s="7" t="n">
        <v>470209</v>
      </c>
      <c r="E72" s="7" t="inlineStr">
        <is>
          <t>A</t>
        </is>
      </c>
      <c r="F72" s="7" t="n">
        <v>15</v>
      </c>
      <c r="G72" s="27" t="n">
        <v>1</v>
      </c>
      <c r="H72" s="7" t="inlineStr">
        <is>
          <t>Đã mở</t>
        </is>
      </c>
      <c r="I72" s="7" t="n"/>
      <c r="J72" s="7" t="inlineStr">
        <is>
          <t>GHN B2B Bình Thuận (sắp mở)</t>
        </is>
      </c>
      <c r="K72" s="7" t="inlineStr">
        <is>
          <t>15to30</t>
        </is>
      </c>
      <c r="L72" s="28" t="n">
        <v>84.56720674290057</v>
      </c>
      <c r="M72" s="28" t="n">
        <v>104.3377672567802</v>
      </c>
      <c r="N72" s="28" t="n">
        <v>113.8922056195678</v>
      </c>
      <c r="O72" s="28" t="n">
        <v>132.2808955594204</v>
      </c>
      <c r="P72" s="28" t="n">
        <v>139.9366636256082</v>
      </c>
      <c r="Q72" s="28" t="n">
        <v>148.7151329109067</v>
      </c>
      <c r="R72" s="28" t="n">
        <v>723.7298717151839</v>
      </c>
    </row>
    <row r="73" ht="15.75" customHeight="1" s="57">
      <c r="A73" s="7" t="inlineStr">
        <is>
          <t>NTB</t>
        </is>
      </c>
      <c r="B73" s="7" t="inlineStr">
        <is>
          <t>Bình Thuận</t>
        </is>
      </c>
      <c r="C73" s="7" t="n">
        <v>1781</v>
      </c>
      <c r="D73" s="7" t="n">
        <v>470209</v>
      </c>
      <c r="E73" s="7" t="inlineStr">
        <is>
          <t>A</t>
        </is>
      </c>
      <c r="F73" s="7" t="n">
        <v>15</v>
      </c>
      <c r="G73" s="27" t="n">
        <v>1</v>
      </c>
      <c r="H73" s="7" t="inlineStr">
        <is>
          <t>Đã mở</t>
        </is>
      </c>
      <c r="I73" s="7" t="n"/>
      <c r="J73" s="7" t="inlineStr">
        <is>
          <t>GHN B2B Bình Thuận (sắp mở)</t>
        </is>
      </c>
      <c r="K73" s="7" t="inlineStr">
        <is>
          <t>gte30</t>
        </is>
      </c>
      <c r="L73" s="28" t="n">
        <v>34.88866582986923</v>
      </c>
      <c r="M73" s="28" t="n">
        <v>43.05038217710998</v>
      </c>
      <c r="N73" s="28" t="n">
        <v>47.05405163408555</v>
      </c>
      <c r="O73" s="28" t="n">
        <v>54.71507057708881</v>
      </c>
      <c r="P73" s="28" t="n">
        <v>57.85859070113463</v>
      </c>
      <c r="Q73" s="28" t="n">
        <v>61.44376694248335</v>
      </c>
      <c r="R73" s="28" t="n">
        <v>299.0105278617715</v>
      </c>
    </row>
    <row r="74" ht="15.75" customHeight="1" s="57">
      <c r="A74" s="7" t="inlineStr">
        <is>
          <t>NTB</t>
        </is>
      </c>
      <c r="B74" s="7" t="inlineStr">
        <is>
          <t>Bình Thuận</t>
        </is>
      </c>
      <c r="C74" s="7" t="n">
        <v>1781</v>
      </c>
      <c r="D74" s="7" t="n">
        <v>470210</v>
      </c>
      <c r="E74" s="7" t="inlineStr">
        <is>
          <t>A</t>
        </is>
      </c>
      <c r="F74" s="7" t="n">
        <v>15</v>
      </c>
      <c r="G74" s="27" t="n">
        <v>1</v>
      </c>
      <c r="H74" s="7" t="inlineStr">
        <is>
          <t>Đã mở</t>
        </is>
      </c>
      <c r="I74" s="7" t="n"/>
      <c r="J74" s="7" t="inlineStr">
        <is>
          <t>GHN B2B Bình Thuận (sắp mở)</t>
        </is>
      </c>
      <c r="K74" s="7" t="inlineStr">
        <is>
          <t>15to30</t>
        </is>
      </c>
      <c r="L74" s="28" t="n">
        <v>114.1286061648756</v>
      </c>
      <c r="M74" s="28" t="n">
        <v>142.8979372714293</v>
      </c>
      <c r="N74" s="28" t="n">
        <v>157.1436942833055</v>
      </c>
      <c r="O74" s="28" t="n">
        <v>183.5076420647783</v>
      </c>
      <c r="P74" s="28" t="n">
        <v>193.139114292695</v>
      </c>
      <c r="Q74" s="28" t="n">
        <v>203.9899657333726</v>
      </c>
      <c r="R74" s="28" t="n">
        <v>994.8069598104562</v>
      </c>
    </row>
    <row r="75" ht="15.75" customHeight="1" s="57">
      <c r="A75" s="7" t="inlineStr">
        <is>
          <t>NTB</t>
        </is>
      </c>
      <c r="B75" s="7" t="inlineStr">
        <is>
          <t>Bình Thuận</t>
        </is>
      </c>
      <c r="C75" s="7" t="n">
        <v>1781</v>
      </c>
      <c r="D75" s="7" t="n">
        <v>470210</v>
      </c>
      <c r="E75" s="7" t="inlineStr">
        <is>
          <t>A</t>
        </is>
      </c>
      <c r="F75" s="7" t="n">
        <v>15</v>
      </c>
      <c r="G75" s="27" t="n">
        <v>1</v>
      </c>
      <c r="H75" s="7" t="inlineStr">
        <is>
          <t>Đã mở</t>
        </is>
      </c>
      <c r="I75" s="7" t="n"/>
      <c r="J75" s="7" t="inlineStr">
        <is>
          <t>GHN B2B Bình Thuận (sắp mở)</t>
        </is>
      </c>
      <c r="K75" s="7" t="inlineStr">
        <is>
          <t>gte30</t>
        </is>
      </c>
      <c r="L75" s="28" t="n">
        <v>52.63036583437891</v>
      </c>
      <c r="M75" s="28" t="n">
        <v>64.95685489841671</v>
      </c>
      <c r="N75" s="28" t="n">
        <v>71.0052803059798</v>
      </c>
      <c r="O75" s="28" t="n">
        <v>82.57216245259562</v>
      </c>
      <c r="P75" s="28" t="n">
        <v>87.30973367409641</v>
      </c>
      <c r="Q75" s="28" t="n">
        <v>92.71167532623222</v>
      </c>
      <c r="R75" s="28" t="n">
        <v>451.1860724916996</v>
      </c>
    </row>
    <row r="76" ht="15.75" customHeight="1" s="57">
      <c r="A76" s="7" t="inlineStr">
        <is>
          <t>NTB</t>
        </is>
      </c>
      <c r="B76" s="7" t="inlineStr">
        <is>
          <t>Bình Thuận</t>
        </is>
      </c>
      <c r="C76" s="7" t="n">
        <v>1781</v>
      </c>
      <c r="D76" s="7" t="n">
        <v>470211</v>
      </c>
      <c r="E76" s="7" t="inlineStr">
        <is>
          <t>A</t>
        </is>
      </c>
      <c r="F76" s="7" t="n">
        <v>15</v>
      </c>
      <c r="G76" s="27" t="n">
        <v>1</v>
      </c>
      <c r="H76" s="7" t="inlineStr">
        <is>
          <t>Đã mở</t>
        </is>
      </c>
      <c r="I76" s="7" t="n"/>
      <c r="J76" s="7" t="inlineStr">
        <is>
          <t>GHN B2B Bình Thuận (sắp mở)</t>
        </is>
      </c>
      <c r="K76" s="7" t="inlineStr">
        <is>
          <t>15to30</t>
        </is>
      </c>
      <c r="L76" s="28" t="n">
        <v>79.11079892167587</v>
      </c>
      <c r="M76" s="28" t="n">
        <v>98.74601386315371</v>
      </c>
      <c r="N76" s="28" t="n">
        <v>108.4218934568176</v>
      </c>
      <c r="O76" s="28" t="n">
        <v>126.4686401304136</v>
      </c>
      <c r="P76" s="28" t="n">
        <v>133.2443673419198</v>
      </c>
      <c r="Q76" s="28" t="n">
        <v>140.9092440704709</v>
      </c>
      <c r="R76" s="28" t="n">
        <v>686.9009577844514</v>
      </c>
    </row>
    <row r="77" ht="15.75" customHeight="1" s="57">
      <c r="A77" s="7" t="inlineStr">
        <is>
          <t>NTB</t>
        </is>
      </c>
      <c r="B77" s="7" t="inlineStr">
        <is>
          <t>Bình Thuận</t>
        </is>
      </c>
      <c r="C77" s="7" t="n">
        <v>1781</v>
      </c>
      <c r="D77" s="7" t="n">
        <v>470211</v>
      </c>
      <c r="E77" s="7" t="inlineStr">
        <is>
          <t>A</t>
        </is>
      </c>
      <c r="F77" s="7" t="n">
        <v>15</v>
      </c>
      <c r="G77" s="27" t="n">
        <v>1</v>
      </c>
      <c r="H77" s="7" t="inlineStr">
        <is>
          <t>Đã mở</t>
        </is>
      </c>
      <c r="I77" s="7" t="n"/>
      <c r="J77" s="7" t="inlineStr">
        <is>
          <t>GHN B2B Bình Thuận (sắp mở)</t>
        </is>
      </c>
      <c r="K77" s="7" t="inlineStr">
        <is>
          <t>gte30</t>
        </is>
      </c>
      <c r="L77" s="28" t="n">
        <v>40.10772788967132</v>
      </c>
      <c r="M77" s="28" t="n">
        <v>50.46637590606199</v>
      </c>
      <c r="N77" s="28" t="n">
        <v>55.66727622997604</v>
      </c>
      <c r="O77" s="28" t="n">
        <v>65.15832016319793</v>
      </c>
      <c r="P77" s="28" t="n">
        <v>68.46586595034482</v>
      </c>
      <c r="Q77" s="28" t="n">
        <v>72.15339408831613</v>
      </c>
      <c r="R77" s="28" t="n">
        <v>352.0189602275682</v>
      </c>
    </row>
    <row r="78" ht="15.75" customHeight="1" s="57">
      <c r="A78" s="7" t="inlineStr">
        <is>
          <t>NTB</t>
        </is>
      </c>
      <c r="B78" s="7" t="inlineStr">
        <is>
          <t>Bình Thuận</t>
        </is>
      </c>
      <c r="C78" s="7" t="n">
        <v>1781</v>
      </c>
      <c r="D78" s="7" t="n">
        <v>470212</v>
      </c>
      <c r="E78" s="7" t="inlineStr">
        <is>
          <t>A</t>
        </is>
      </c>
      <c r="F78" s="7" t="n">
        <v>15</v>
      </c>
      <c r="G78" s="27" t="n">
        <v>1</v>
      </c>
      <c r="H78" s="7" t="inlineStr">
        <is>
          <t>Đã mở</t>
        </is>
      </c>
      <c r="I78" s="7" t="n"/>
      <c r="J78" s="7" t="inlineStr">
        <is>
          <t>GHN B2B Bình Thuận (sắp mở)</t>
        </is>
      </c>
      <c r="K78" s="7" t="inlineStr">
        <is>
          <t>15to30</t>
        </is>
      </c>
      <c r="L78" s="28" t="n">
        <v>95.53548938468646</v>
      </c>
      <c r="M78" s="28" t="n">
        <v>116.4950836595532</v>
      </c>
      <c r="N78" s="28" t="n">
        <v>126.3974678190458</v>
      </c>
      <c r="O78" s="28" t="n">
        <v>146.1493097997934</v>
      </c>
      <c r="P78" s="28" t="n">
        <v>155.2430447900257</v>
      </c>
      <c r="Q78" s="28" t="n">
        <v>165.8019336678829</v>
      </c>
      <c r="R78" s="28" t="n">
        <v>805.6223291209874</v>
      </c>
    </row>
    <row r="79" ht="15.75" customHeight="1" s="57">
      <c r="A79" s="7" t="inlineStr">
        <is>
          <t>NTB</t>
        </is>
      </c>
      <c r="B79" s="7" t="inlineStr">
        <is>
          <t>Bình Thuận</t>
        </is>
      </c>
      <c r="C79" s="7" t="n">
        <v>1781</v>
      </c>
      <c r="D79" s="7" t="n">
        <v>470212</v>
      </c>
      <c r="E79" s="7" t="inlineStr">
        <is>
          <t>A</t>
        </is>
      </c>
      <c r="F79" s="7" t="n">
        <v>15</v>
      </c>
      <c r="G79" s="27" t="n">
        <v>1</v>
      </c>
      <c r="H79" s="7" t="inlineStr">
        <is>
          <t>Đã mở</t>
        </is>
      </c>
      <c r="I79" s="7" t="n"/>
      <c r="J79" s="7" t="inlineStr">
        <is>
          <t>GHN B2B Bình Thuận (sắp mở)</t>
        </is>
      </c>
      <c r="K79" s="7" t="inlineStr">
        <is>
          <t>gte30</t>
        </is>
      </c>
      <c r="L79" s="28" t="n">
        <v>36.89753048094041</v>
      </c>
      <c r="M79" s="28" t="n">
        <v>45.10544593649703</v>
      </c>
      <c r="N79" s="28" t="n">
        <v>49.07987698780185</v>
      </c>
      <c r="O79" s="28" t="n">
        <v>56.88504405909252</v>
      </c>
      <c r="P79" s="28" t="n">
        <v>60.34251549298</v>
      </c>
      <c r="Q79" s="28" t="n">
        <v>64.3225343131506</v>
      </c>
      <c r="R79" s="28" t="n">
        <v>312.6329472704624</v>
      </c>
    </row>
    <row r="80" ht="15.75" customHeight="1" s="57">
      <c r="A80" s="7" t="inlineStr">
        <is>
          <t>NTB</t>
        </is>
      </c>
      <c r="B80" s="7" t="inlineStr">
        <is>
          <t>Bình Thuận</t>
        </is>
      </c>
      <c r="C80" s="7" t="n">
        <v>3196</v>
      </c>
      <c r="D80" s="7" t="n">
        <v>470601</v>
      </c>
      <c r="E80" s="7" t="inlineStr">
        <is>
          <t>A</t>
        </is>
      </c>
      <c r="F80" s="7" t="n">
        <v>15</v>
      </c>
      <c r="G80" s="27" t="n">
        <v>1</v>
      </c>
      <c r="H80" s="7" t="inlineStr">
        <is>
          <t>Đã mở</t>
        </is>
      </c>
      <c r="I80" s="7" t="n"/>
      <c r="J80" s="7" t="inlineStr">
        <is>
          <t>GHN B2B Bình Thuận (sắp mở)</t>
        </is>
      </c>
      <c r="K80" s="7" t="inlineStr">
        <is>
          <t>15to30</t>
        </is>
      </c>
      <c r="L80" s="28" t="n">
        <v>153.531241357602</v>
      </c>
      <c r="M80" s="28" t="n">
        <v>191.0161760487143</v>
      </c>
      <c r="N80" s="28" t="n">
        <v>209.3919336644728</v>
      </c>
      <c r="O80" s="28" t="n">
        <v>243.9546747166221</v>
      </c>
      <c r="P80" s="28" t="n">
        <v>257.311104911719</v>
      </c>
      <c r="Q80" s="28" t="n">
        <v>272.4813637391906</v>
      </c>
      <c r="R80" s="28" t="n">
        <v>1327.686494438321</v>
      </c>
    </row>
    <row r="81" ht="15.75" customHeight="1" s="57">
      <c r="A81" s="7" t="inlineStr">
        <is>
          <t>NTB</t>
        </is>
      </c>
      <c r="B81" s="7" t="inlineStr">
        <is>
          <t>Bình Thuận</t>
        </is>
      </c>
      <c r="C81" s="7" t="n">
        <v>3196</v>
      </c>
      <c r="D81" s="7" t="n">
        <v>470601</v>
      </c>
      <c r="E81" s="7" t="inlineStr">
        <is>
          <t>A</t>
        </is>
      </c>
      <c r="F81" s="7" t="n">
        <v>15</v>
      </c>
      <c r="G81" s="27" t="n">
        <v>1</v>
      </c>
      <c r="H81" s="7" t="inlineStr">
        <is>
          <t>Đã mở</t>
        </is>
      </c>
      <c r="I81" s="7" t="n"/>
      <c r="J81" s="7" t="inlineStr">
        <is>
          <t>GHN B2B Bình Thuận (sắp mở)</t>
        </is>
      </c>
      <c r="K81" s="7" t="inlineStr">
        <is>
          <t>gte30</t>
        </is>
      </c>
      <c r="L81" s="28" t="n">
        <v>50.3136182607496</v>
      </c>
      <c r="M81" s="28" t="n">
        <v>62.92279767435873</v>
      </c>
      <c r="N81" s="28" t="n">
        <v>69.21090027226145</v>
      </c>
      <c r="O81" s="28" t="n">
        <v>80.84699455366626</v>
      </c>
      <c r="P81" s="28" t="n">
        <v>85.11708771841784</v>
      </c>
      <c r="Q81" s="28" t="n">
        <v>89.9142898842141</v>
      </c>
      <c r="R81" s="28" t="n">
        <v>438.325688363668</v>
      </c>
    </row>
    <row r="82" ht="15.75" customHeight="1" s="57">
      <c r="A82" s="7" t="inlineStr">
        <is>
          <t>NTB</t>
        </is>
      </c>
      <c r="B82" s="7" t="inlineStr">
        <is>
          <t>Bình Thuận</t>
        </is>
      </c>
      <c r="C82" s="7" t="n">
        <v>3196</v>
      </c>
      <c r="D82" s="7" t="n">
        <v>470602</v>
      </c>
      <c r="E82" s="7" t="inlineStr">
        <is>
          <t>A</t>
        </is>
      </c>
      <c r="F82" s="7" t="n">
        <v>15</v>
      </c>
      <c r="G82" s="27" t="n">
        <v>1</v>
      </c>
      <c r="H82" s="7" t="inlineStr">
        <is>
          <t>Đã mở</t>
        </is>
      </c>
      <c r="I82" s="7" t="n"/>
      <c r="J82" s="7" t="inlineStr">
        <is>
          <t>GHN B2B Bình Thuận (sắp mở)</t>
        </is>
      </c>
      <c r="K82" s="7" t="inlineStr">
        <is>
          <t>15to30</t>
        </is>
      </c>
      <c r="L82" s="28" t="n">
        <v>201.3121737685604</v>
      </c>
      <c r="M82" s="28" t="n">
        <v>249.1609452419072</v>
      </c>
      <c r="N82" s="28" t="n">
        <v>272.4121980091936</v>
      </c>
      <c r="O82" s="28" t="n">
        <v>316.7651833960826</v>
      </c>
      <c r="P82" s="28" t="n">
        <v>334.7076544970398</v>
      </c>
      <c r="Q82" s="28" t="n">
        <v>355.2138126609254</v>
      </c>
      <c r="R82" s="28" t="n">
        <v>1729.571967573709</v>
      </c>
    </row>
    <row r="83" ht="15.75" customHeight="1" s="57">
      <c r="A83" s="7" t="inlineStr">
        <is>
          <t>NTB</t>
        </is>
      </c>
      <c r="B83" s="7" t="inlineStr">
        <is>
          <t>Bình Thuận</t>
        </is>
      </c>
      <c r="C83" s="7" t="n">
        <v>3196</v>
      </c>
      <c r="D83" s="7" t="n">
        <v>470602</v>
      </c>
      <c r="E83" s="7" t="inlineStr">
        <is>
          <t>A</t>
        </is>
      </c>
      <c r="F83" s="7" t="n">
        <v>15</v>
      </c>
      <c r="G83" s="27" t="n">
        <v>1</v>
      </c>
      <c r="H83" s="7" t="inlineStr">
        <is>
          <t>Đã mở</t>
        </is>
      </c>
      <c r="I83" s="7" t="n"/>
      <c r="J83" s="7" t="inlineStr">
        <is>
          <t>GHN B2B Bình Thuận (sắp mở)</t>
        </is>
      </c>
      <c r="K83" s="7" t="inlineStr">
        <is>
          <t>gte30</t>
        </is>
      </c>
      <c r="L83" s="28" t="n">
        <v>112.6946931320439</v>
      </c>
      <c r="M83" s="28" t="n">
        <v>139.9605105476102</v>
      </c>
      <c r="N83" s="28" t="n">
        <v>153.4460904901214</v>
      </c>
      <c r="O83" s="28" t="n">
        <v>178.8245885931425</v>
      </c>
      <c r="P83" s="28" t="n">
        <v>188.6953990946625</v>
      </c>
      <c r="Q83" s="28" t="n">
        <v>199.8746961893477</v>
      </c>
      <c r="R83" s="28" t="n">
        <v>973.4959780469283</v>
      </c>
    </row>
    <row r="84" ht="15.75" customHeight="1" s="57">
      <c r="A84" s="7" t="inlineStr">
        <is>
          <t>NTB</t>
        </is>
      </c>
      <c r="B84" s="7" t="inlineStr">
        <is>
          <t>Bình Thuận</t>
        </is>
      </c>
      <c r="C84" s="7" t="n">
        <v>3196</v>
      </c>
      <c r="D84" s="7" t="n">
        <v>470604</v>
      </c>
      <c r="E84" s="7" t="inlineStr">
        <is>
          <t>A</t>
        </is>
      </c>
      <c r="F84" s="7" t="n">
        <v>15</v>
      </c>
      <c r="G84" s="27" t="n">
        <v>1</v>
      </c>
      <c r="H84" s="7" t="inlineStr">
        <is>
          <t>Đã mở</t>
        </is>
      </c>
      <c r="I84" s="7" t="n"/>
      <c r="J84" s="7" t="inlineStr">
        <is>
          <t>GHN B2B Bình Thuận (sắp mở)</t>
        </is>
      </c>
      <c r="K84" s="7" t="inlineStr">
        <is>
          <t>15to30</t>
        </is>
      </c>
      <c r="L84" s="28" t="n">
        <v>64.78377607074576</v>
      </c>
      <c r="M84" s="28" t="n">
        <v>80.87809401127838</v>
      </c>
      <c r="N84" s="28" t="n">
        <v>88.81207536680692</v>
      </c>
      <c r="O84" s="28" t="n">
        <v>103.6033689171515</v>
      </c>
      <c r="P84" s="28" t="n">
        <v>109.1572392722861</v>
      </c>
      <c r="Q84" s="28" t="n">
        <v>115.4358345119625</v>
      </c>
      <c r="R84" s="28" t="n">
        <v>562.6703881502311</v>
      </c>
    </row>
    <row r="85" ht="15.75" customHeight="1" s="57">
      <c r="A85" s="7" t="inlineStr">
        <is>
          <t>NTB</t>
        </is>
      </c>
      <c r="B85" s="7" t="inlineStr">
        <is>
          <t>Bình Thuận</t>
        </is>
      </c>
      <c r="C85" s="7" t="n">
        <v>3196</v>
      </c>
      <c r="D85" s="7" t="n">
        <v>470604</v>
      </c>
      <c r="E85" s="7" t="inlineStr">
        <is>
          <t>A</t>
        </is>
      </c>
      <c r="F85" s="7" t="n">
        <v>15</v>
      </c>
      <c r="G85" s="27" t="n">
        <v>1</v>
      </c>
      <c r="H85" s="7" t="inlineStr">
        <is>
          <t>Đã mở</t>
        </is>
      </c>
      <c r="I85" s="7" t="n"/>
      <c r="J85" s="7" t="inlineStr">
        <is>
          <t>GHN B2B Bình Thuận (sắp mở)</t>
        </is>
      </c>
      <c r="K85" s="7" t="inlineStr">
        <is>
          <t>gte30</t>
        </is>
      </c>
      <c r="L85" s="28" t="n">
        <v>28.98317129214736</v>
      </c>
      <c r="M85" s="28" t="n">
        <v>35.48193880057036</v>
      </c>
      <c r="N85" s="28" t="n">
        <v>38.6353898023993</v>
      </c>
      <c r="O85" s="28" t="n">
        <v>44.80241435582829</v>
      </c>
      <c r="P85" s="28" t="n">
        <v>47.50214220275691</v>
      </c>
      <c r="Q85" s="28" t="n">
        <v>50.60560410074299</v>
      </c>
      <c r="R85" s="28" t="n">
        <v>246.0106605544452</v>
      </c>
    </row>
    <row r="86" ht="15.75" customHeight="1" s="57">
      <c r="A86" s="7" t="inlineStr">
        <is>
          <t>NTB</t>
        </is>
      </c>
      <c r="B86" s="7" t="inlineStr">
        <is>
          <t>Bình Thuận</t>
        </is>
      </c>
      <c r="C86" s="7" t="n">
        <v>3196</v>
      </c>
      <c r="D86" s="7" t="n">
        <v>470605</v>
      </c>
      <c r="E86" s="7" t="inlineStr">
        <is>
          <t>A</t>
        </is>
      </c>
      <c r="F86" s="7" t="n">
        <v>15</v>
      </c>
      <c r="G86" s="27" t="n">
        <v>1</v>
      </c>
      <c r="H86" s="7" t="inlineStr">
        <is>
          <t>Đã mở</t>
        </is>
      </c>
      <c r="I86" s="7" t="n"/>
      <c r="J86" s="7" t="inlineStr">
        <is>
          <t>GHN B2B Bình Thuận (sắp mở)</t>
        </is>
      </c>
      <c r="K86" s="7" t="inlineStr">
        <is>
          <t>15to30</t>
        </is>
      </c>
      <c r="L86" s="28" t="n">
        <v>54.14239469016353</v>
      </c>
      <c r="M86" s="28" t="n">
        <v>67.46717880603084</v>
      </c>
      <c r="N86" s="28" t="n">
        <v>74.01570923709576</v>
      </c>
      <c r="O86" s="28" t="n">
        <v>86.28226354838914</v>
      </c>
      <c r="P86" s="28" t="n">
        <v>90.95482469805172</v>
      </c>
      <c r="Q86" s="28" t="n">
        <v>96.25228830260271</v>
      </c>
      <c r="R86" s="28" t="n">
        <v>469.1146592823337</v>
      </c>
    </row>
    <row r="87" ht="15.75" customHeight="1" s="57">
      <c r="A87" s="7" t="inlineStr">
        <is>
          <t>NTB</t>
        </is>
      </c>
      <c r="B87" s="7" t="inlineStr">
        <is>
          <t>Bình Thuận</t>
        </is>
      </c>
      <c r="C87" s="7" t="n">
        <v>3196</v>
      </c>
      <c r="D87" s="7" t="n">
        <v>470605</v>
      </c>
      <c r="E87" s="7" t="inlineStr">
        <is>
          <t>A</t>
        </is>
      </c>
      <c r="F87" s="7" t="n">
        <v>15</v>
      </c>
      <c r="G87" s="27" t="n">
        <v>1</v>
      </c>
      <c r="H87" s="7" t="inlineStr">
        <is>
          <t>Đã mở</t>
        </is>
      </c>
      <c r="I87" s="7" t="n"/>
      <c r="J87" s="7" t="inlineStr">
        <is>
          <t>GHN B2B Bình Thuận (sắp mở)</t>
        </is>
      </c>
      <c r="K87" s="7" t="inlineStr">
        <is>
          <t>gte30</t>
        </is>
      </c>
      <c r="L87" s="28" t="n">
        <v>33.54101726537375</v>
      </c>
      <c r="M87" s="28" t="n">
        <v>41.94662547362265</v>
      </c>
      <c r="N87" s="28" t="n">
        <v>46.13842033932952</v>
      </c>
      <c r="O87" s="28" t="n">
        <v>53.89538051851125</v>
      </c>
      <c r="P87" s="28" t="n">
        <v>56.74204168062818</v>
      </c>
      <c r="Q87" s="28" t="n">
        <v>59.94011540919595</v>
      </c>
      <c r="R87" s="28" t="n">
        <v>292.2036006866613</v>
      </c>
    </row>
    <row r="88" ht="15.75" customHeight="1" s="57">
      <c r="A88" s="7" t="inlineStr">
        <is>
          <t>NTB</t>
        </is>
      </c>
      <c r="B88" s="7" t="inlineStr">
        <is>
          <t>Bình Thuận</t>
        </is>
      </c>
      <c r="C88" s="7" t="n">
        <v>3196</v>
      </c>
      <c r="D88" s="7" t="n">
        <v>470606</v>
      </c>
      <c r="E88" s="7" t="inlineStr">
        <is>
          <t>A</t>
        </is>
      </c>
      <c r="F88" s="7" t="n">
        <v>15</v>
      </c>
      <c r="G88" s="27" t="n">
        <v>1</v>
      </c>
      <c r="H88" s="7" t="inlineStr">
        <is>
          <t>Đã mở</t>
        </is>
      </c>
      <c r="I88" s="7" t="n"/>
      <c r="J88" s="7" t="inlineStr">
        <is>
          <t>GHN B2B Bình Thuận (sắp mở)</t>
        </is>
      </c>
      <c r="K88" s="7" t="inlineStr">
        <is>
          <t>15to30</t>
        </is>
      </c>
      <c r="L88" s="28" t="n">
        <v>121.5806185689602</v>
      </c>
      <c r="M88" s="28" t="n">
        <v>149.6296531771392</v>
      </c>
      <c r="N88" s="28" t="n">
        <v>163.1228158408094</v>
      </c>
      <c r="O88" s="28" t="n">
        <v>189.2809011276618</v>
      </c>
      <c r="P88" s="28" t="n">
        <v>200.4053736852238</v>
      </c>
      <c r="Q88" s="28" t="n">
        <v>213.1979776511338</v>
      </c>
      <c r="R88" s="28" t="n">
        <v>1037.217340050928</v>
      </c>
    </row>
    <row r="89" ht="15.75" customHeight="1" s="57">
      <c r="A89" s="7" t="inlineStr">
        <is>
          <t>NTB</t>
        </is>
      </c>
      <c r="B89" s="7" t="inlineStr">
        <is>
          <t>Bình Thuận</t>
        </is>
      </c>
      <c r="C89" s="7" t="n">
        <v>3196</v>
      </c>
      <c r="D89" s="7" t="n">
        <v>470606</v>
      </c>
      <c r="E89" s="7" t="inlineStr">
        <is>
          <t>A</t>
        </is>
      </c>
      <c r="F89" s="7" t="n">
        <v>15</v>
      </c>
      <c r="G89" s="27" t="n">
        <v>1</v>
      </c>
      <c r="H89" s="7" t="inlineStr">
        <is>
          <t>Đã mở</t>
        </is>
      </c>
      <c r="I89" s="7" t="n"/>
      <c r="J89" s="7" t="inlineStr">
        <is>
          <t>GHN B2B Bình Thuận (sắp mở)</t>
        </is>
      </c>
      <c r="K89" s="7" t="inlineStr">
        <is>
          <t>gte30</t>
        </is>
      </c>
      <c r="L89" s="28" t="n">
        <v>41.00616026600164</v>
      </c>
      <c r="M89" s="28" t="n">
        <v>51.20221370838687</v>
      </c>
      <c r="N89" s="28" t="n">
        <v>56.27769709314673</v>
      </c>
      <c r="O89" s="28" t="n">
        <v>65.70478020224962</v>
      </c>
      <c r="P89" s="28" t="n">
        <v>69.21023196401578</v>
      </c>
      <c r="Q89" s="28" t="n">
        <v>73.15582844384107</v>
      </c>
      <c r="R89" s="28" t="n">
        <v>356.5569116776417</v>
      </c>
    </row>
    <row r="90" ht="15.75" customHeight="1" s="57">
      <c r="A90" s="7" t="inlineStr">
        <is>
          <t>NTB</t>
        </is>
      </c>
      <c r="B90" s="7" t="inlineStr">
        <is>
          <t>Bình Thuận</t>
        </is>
      </c>
      <c r="C90" s="7" t="n">
        <v>3196</v>
      </c>
      <c r="D90" s="7" t="n">
        <v>470607</v>
      </c>
      <c r="E90" s="7" t="inlineStr">
        <is>
          <t>A</t>
        </is>
      </c>
      <c r="F90" s="7" t="n">
        <v>15</v>
      </c>
      <c r="G90" s="27" t="n">
        <v>1</v>
      </c>
      <c r="H90" s="7" t="inlineStr">
        <is>
          <t>Đã mở</t>
        </is>
      </c>
      <c r="I90" s="7" t="n"/>
      <c r="J90" s="7" t="inlineStr">
        <is>
          <t>GHN B2B Bình Thuận (sắp mở)</t>
        </is>
      </c>
      <c r="K90" s="7" t="inlineStr">
        <is>
          <t>15to30</t>
        </is>
      </c>
      <c r="L90" s="28" t="n">
        <v>72.49217939983477</v>
      </c>
      <c r="M90" s="28" t="n">
        <v>90.97386449513722</v>
      </c>
      <c r="N90" s="28" t="n">
        <v>100.1570668884864</v>
      </c>
      <c r="O90" s="28" t="n">
        <v>117.0569314306917</v>
      </c>
      <c r="P90" s="28" t="n">
        <v>123.1040834747359</v>
      </c>
      <c r="Q90" s="28" t="n">
        <v>129.8963908663509</v>
      </c>
      <c r="R90" s="28" t="n">
        <v>633.6805165552369</v>
      </c>
    </row>
    <row r="91" ht="15.75" customHeight="1" s="57">
      <c r="A91" s="7" t="inlineStr">
        <is>
          <t>NTB</t>
        </is>
      </c>
      <c r="B91" s="7" t="inlineStr">
        <is>
          <t>Bình Thuận</t>
        </is>
      </c>
      <c r="C91" s="7" t="n">
        <v>3196</v>
      </c>
      <c r="D91" s="7" t="n">
        <v>470607</v>
      </c>
      <c r="E91" s="7" t="inlineStr">
        <is>
          <t>A</t>
        </is>
      </c>
      <c r="F91" s="7" t="n">
        <v>15</v>
      </c>
      <c r="G91" s="27" t="n">
        <v>1</v>
      </c>
      <c r="H91" s="7" t="inlineStr">
        <is>
          <t>Đã mở</t>
        </is>
      </c>
      <c r="I91" s="7" t="n"/>
      <c r="J91" s="7" t="inlineStr">
        <is>
          <t>GHN B2B Bình Thuận (sắp mở)</t>
        </is>
      </c>
      <c r="K91" s="7" t="inlineStr">
        <is>
          <t>gte30</t>
        </is>
      </c>
      <c r="L91" s="28" t="n">
        <v>37.84141309873016</v>
      </c>
      <c r="M91" s="28" t="n">
        <v>46.83460386537979</v>
      </c>
      <c r="N91" s="28" t="n">
        <v>51.26338254992868</v>
      </c>
      <c r="O91" s="28" t="n">
        <v>59.67139868771908</v>
      </c>
      <c r="P91" s="28" t="n">
        <v>63.0368149503235</v>
      </c>
      <c r="Q91" s="28" t="n">
        <v>66.86284836335355</v>
      </c>
      <c r="R91" s="28" t="n">
        <v>325.5104615154347</v>
      </c>
    </row>
    <row r="92" ht="15.75" customHeight="1" s="57">
      <c r="A92" s="7" t="inlineStr">
        <is>
          <t>NTB</t>
        </is>
      </c>
      <c r="B92" s="7" t="inlineStr">
        <is>
          <t>Bình Thuận</t>
        </is>
      </c>
      <c r="C92" s="7" t="n">
        <v>3196</v>
      </c>
      <c r="D92" s="7" t="n">
        <v>470609</v>
      </c>
      <c r="E92" s="7" t="inlineStr">
        <is>
          <t>A</t>
        </is>
      </c>
      <c r="F92" s="7" t="n">
        <v>15</v>
      </c>
      <c r="G92" s="27" t="n">
        <v>1</v>
      </c>
      <c r="H92" s="7" t="inlineStr">
        <is>
          <t>Đã mở</t>
        </is>
      </c>
      <c r="I92" s="7" t="n"/>
      <c r="J92" s="7" t="inlineStr">
        <is>
          <t>GHN B2B Bình Thuận (sắp mở)</t>
        </is>
      </c>
      <c r="K92" s="7" t="inlineStr">
        <is>
          <t>15to30</t>
        </is>
      </c>
      <c r="L92" s="28" t="n">
        <v>102.9928558268722</v>
      </c>
      <c r="M92" s="28" t="n">
        <v>127.4679205895797</v>
      </c>
      <c r="N92" s="28" t="n">
        <v>139.360969505851</v>
      </c>
      <c r="O92" s="28" t="n">
        <v>162.050278672821</v>
      </c>
      <c r="P92" s="28" t="n">
        <v>171.2405557045556</v>
      </c>
      <c r="Q92" s="28" t="n">
        <v>181.7419748388416</v>
      </c>
      <c r="R92" s="28" t="n">
        <v>884.8545551385209</v>
      </c>
    </row>
    <row r="93" ht="15.75" customHeight="1" s="57">
      <c r="A93" s="7" t="inlineStr">
        <is>
          <t>NTB</t>
        </is>
      </c>
      <c r="B93" s="7" t="inlineStr">
        <is>
          <t>Bình Thuận</t>
        </is>
      </c>
      <c r="C93" s="7" t="n">
        <v>3196</v>
      </c>
      <c r="D93" s="7" t="n">
        <v>470609</v>
      </c>
      <c r="E93" s="7" t="inlineStr">
        <is>
          <t>A</t>
        </is>
      </c>
      <c r="F93" s="7" t="n">
        <v>15</v>
      </c>
      <c r="G93" s="27" t="n">
        <v>1</v>
      </c>
      <c r="H93" s="7" t="inlineStr">
        <is>
          <t>Đã mở</t>
        </is>
      </c>
      <c r="I93" s="7" t="n"/>
      <c r="J93" s="7" t="inlineStr">
        <is>
          <t>GHN B2B Bình Thuận (sắp mở)</t>
        </is>
      </c>
      <c r="K93" s="7" t="inlineStr">
        <is>
          <t>gte30</t>
        </is>
      </c>
      <c r="L93" s="28" t="n">
        <v>38.59851220945345</v>
      </c>
      <c r="M93" s="28" t="n">
        <v>47.18151623121314</v>
      </c>
      <c r="N93" s="28" t="n">
        <v>51.33714766151608</v>
      </c>
      <c r="O93" s="28" t="n">
        <v>59.49982312417058</v>
      </c>
      <c r="P93" s="28" t="n">
        <v>63.11771912099216</v>
      </c>
      <c r="Q93" s="28" t="n">
        <v>67.28268361246691</v>
      </c>
      <c r="R93" s="28" t="n">
        <v>327.0174019598123</v>
      </c>
    </row>
    <row r="94" ht="15.75" customHeight="1" s="57">
      <c r="A94" s="7" t="inlineStr">
        <is>
          <t>NTB</t>
        </is>
      </c>
      <c r="B94" s="7" t="inlineStr">
        <is>
          <t>Khánh Hòa</t>
        </is>
      </c>
      <c r="C94" s="7" t="n">
        <v>1548</v>
      </c>
      <c r="D94" s="7" t="n">
        <v>410102</v>
      </c>
      <c r="E94" s="7" t="inlineStr">
        <is>
          <t>B</t>
        </is>
      </c>
      <c r="F94" s="7" t="n">
        <v>15</v>
      </c>
      <c r="G94" s="27" t="n">
        <v>0.7</v>
      </c>
      <c r="H94" s="7" t="inlineStr">
        <is>
          <t>Đã mở</t>
        </is>
      </c>
      <c r="I94" s="7" t="n"/>
      <c r="J94" s="7" t="inlineStr">
        <is>
          <t>GHN B2B Khánh Hòa (sắp mở)</t>
        </is>
      </c>
      <c r="K94" s="7" t="inlineStr">
        <is>
          <t>15to30</t>
        </is>
      </c>
      <c r="L94" s="28" t="n">
        <v>303.9289074557445</v>
      </c>
      <c r="M94" s="28" t="n">
        <v>372.7173787570823</v>
      </c>
      <c r="N94" s="28" t="n">
        <v>405.4299752241429</v>
      </c>
      <c r="O94" s="28" t="n">
        <v>469.6457627534413</v>
      </c>
      <c r="P94" s="28" t="n">
        <v>497.9462086709856</v>
      </c>
      <c r="Q94" s="28" t="n">
        <v>530.6598727530675</v>
      </c>
      <c r="R94" s="28" t="n">
        <v>2580.328105614464</v>
      </c>
    </row>
    <row r="95" ht="15.75" customHeight="1" s="57">
      <c r="A95" s="7" t="inlineStr">
        <is>
          <t>NTB</t>
        </is>
      </c>
      <c r="B95" s="7" t="inlineStr">
        <is>
          <t>Khánh Hòa</t>
        </is>
      </c>
      <c r="C95" s="7" t="n">
        <v>1548</v>
      </c>
      <c r="D95" s="7" t="n">
        <v>410102</v>
      </c>
      <c r="E95" s="7" t="inlineStr">
        <is>
          <t>B</t>
        </is>
      </c>
      <c r="F95" s="7" t="n">
        <v>15</v>
      </c>
      <c r="G95" s="27" t="n">
        <v>0.7</v>
      </c>
      <c r="H95" s="7" t="inlineStr">
        <is>
          <t>Đã mở</t>
        </is>
      </c>
      <c r="I95" s="7" t="n"/>
      <c r="J95" s="7" t="inlineStr">
        <is>
          <t>GHN B2B Khánh Hòa (sắp mở)</t>
        </is>
      </c>
      <c r="K95" s="7" t="inlineStr">
        <is>
          <t>gte30</t>
        </is>
      </c>
      <c r="L95" s="28" t="n">
        <v>122.8113509210555</v>
      </c>
      <c r="M95" s="28" t="n">
        <v>151.5966117725636</v>
      </c>
      <c r="N95" s="28" t="n">
        <v>165.6827509373181</v>
      </c>
      <c r="O95" s="28" t="n">
        <v>192.6397554853566</v>
      </c>
      <c r="P95" s="28" t="n">
        <v>203.701716705933</v>
      </c>
      <c r="Q95" s="28" t="n">
        <v>216.325224201721</v>
      </c>
      <c r="R95" s="28" t="n">
        <v>1052.757410023948</v>
      </c>
    </row>
    <row r="96" ht="15.75" customHeight="1" s="57">
      <c r="A96" s="7" t="inlineStr">
        <is>
          <t>NTB</t>
        </is>
      </c>
      <c r="B96" s="7" t="inlineStr">
        <is>
          <t>Khánh Hòa</t>
        </is>
      </c>
      <c r="C96" s="7" t="n">
        <v>1548</v>
      </c>
      <c r="D96" s="7" t="n">
        <v>410103</v>
      </c>
      <c r="E96" s="7" t="inlineStr">
        <is>
          <t>B</t>
        </is>
      </c>
      <c r="F96" s="7" t="n">
        <v>15</v>
      </c>
      <c r="G96" s="27" t="n">
        <v>0.7</v>
      </c>
      <c r="H96" s="7" t="inlineStr">
        <is>
          <t>Đã mở</t>
        </is>
      </c>
      <c r="I96" s="7" t="n"/>
      <c r="J96" s="7" t="inlineStr">
        <is>
          <t>GHN B2B Khánh Hòa (sắp mở)</t>
        </is>
      </c>
      <c r="K96" s="7" t="inlineStr">
        <is>
          <t>15to30</t>
        </is>
      </c>
      <c r="L96" s="28" t="n">
        <v>645.126958470434</v>
      </c>
      <c r="M96" s="28" t="n">
        <v>804.6080192797218</v>
      </c>
      <c r="N96" s="28" t="n">
        <v>882.898977051512</v>
      </c>
      <c r="O96" s="28" t="n">
        <v>1029.361705054677</v>
      </c>
      <c r="P96" s="28" t="n">
        <v>1085.01159098279</v>
      </c>
      <c r="Q96" s="28" t="n">
        <v>1148.060153283876</v>
      </c>
      <c r="R96" s="28" t="n">
        <v>5595.06740412301</v>
      </c>
    </row>
    <row r="97" ht="15.75" customHeight="1" s="57">
      <c r="A97" s="7" t="inlineStr">
        <is>
          <t>NTB</t>
        </is>
      </c>
      <c r="B97" s="7" t="inlineStr">
        <is>
          <t>Khánh Hòa</t>
        </is>
      </c>
      <c r="C97" s="7" t="n">
        <v>1548</v>
      </c>
      <c r="D97" s="7" t="n">
        <v>410103</v>
      </c>
      <c r="E97" s="7" t="inlineStr">
        <is>
          <t>B</t>
        </is>
      </c>
      <c r="F97" s="7" t="n">
        <v>15</v>
      </c>
      <c r="G97" s="27" t="n">
        <v>0.7</v>
      </c>
      <c r="H97" s="7" t="inlineStr">
        <is>
          <t>Đã mở</t>
        </is>
      </c>
      <c r="I97" s="7" t="n"/>
      <c r="J97" s="7" t="inlineStr">
        <is>
          <t>GHN B2B Khánh Hòa (sắp mở)</t>
        </is>
      </c>
      <c r="K97" s="7" t="inlineStr">
        <is>
          <t>gte30</t>
        </is>
      </c>
      <c r="L97" s="28" t="n">
        <v>275.1902106620932</v>
      </c>
      <c r="M97" s="28" t="n">
        <v>341.4403227421914</v>
      </c>
      <c r="N97" s="28" t="n">
        <v>374.0887075835307</v>
      </c>
      <c r="O97" s="28" t="n">
        <v>435.7336075802016</v>
      </c>
      <c r="P97" s="28" t="n">
        <v>459.967724982294</v>
      </c>
      <c r="Q97" s="28" t="n">
        <v>487.467665545462</v>
      </c>
      <c r="R97" s="28" t="n">
        <v>2373.888239095773</v>
      </c>
    </row>
    <row r="98" ht="15.75" customHeight="1" s="57">
      <c r="A98" s="7" t="inlineStr">
        <is>
          <t>NTB</t>
        </is>
      </c>
      <c r="B98" s="7" t="inlineStr">
        <is>
          <t>Khánh Hòa</t>
        </is>
      </c>
      <c r="C98" s="7" t="n">
        <v>1548</v>
      </c>
      <c r="D98" s="7" t="n">
        <v>410104</v>
      </c>
      <c r="E98" s="7" t="inlineStr">
        <is>
          <t>B</t>
        </is>
      </c>
      <c r="F98" s="7" t="n">
        <v>15</v>
      </c>
      <c r="G98" s="27" t="n">
        <v>0.7</v>
      </c>
      <c r="H98" s="7" t="inlineStr">
        <is>
          <t>Đã mở</t>
        </is>
      </c>
      <c r="I98" s="7" t="n"/>
      <c r="J98" s="7" t="inlineStr">
        <is>
          <t>GHN B2B Khánh Hòa (sắp mở)</t>
        </is>
      </c>
      <c r="K98" s="7" t="inlineStr">
        <is>
          <t>15to30</t>
        </is>
      </c>
      <c r="L98" s="28" t="n">
        <v>226.1945632975858</v>
      </c>
      <c r="M98" s="28" t="n">
        <v>282.115738060754</v>
      </c>
      <c r="N98" s="28" t="n">
        <v>309.5686215785228</v>
      </c>
      <c r="O98" s="28" t="n">
        <v>360.9241620278314</v>
      </c>
      <c r="P98" s="28" t="n">
        <v>380.4335844371446</v>
      </c>
      <c r="Q98" s="28" t="n">
        <v>402.5367151770573</v>
      </c>
      <c r="R98" s="28" t="n">
        <v>1961.773384578896</v>
      </c>
    </row>
    <row r="99" ht="15.75" customHeight="1" s="57">
      <c r="A99" s="7" t="inlineStr">
        <is>
          <t>NTB</t>
        </is>
      </c>
      <c r="B99" s="7" t="inlineStr">
        <is>
          <t>Khánh Hòa</t>
        </is>
      </c>
      <c r="C99" s="7" t="n">
        <v>1548</v>
      </c>
      <c r="D99" s="7" t="n">
        <v>410104</v>
      </c>
      <c r="E99" s="7" t="inlineStr">
        <is>
          <t>B</t>
        </is>
      </c>
      <c r="F99" s="7" t="n">
        <v>15</v>
      </c>
      <c r="G99" s="27" t="n">
        <v>0.7</v>
      </c>
      <c r="H99" s="7" t="inlineStr">
        <is>
          <t>Đã mở</t>
        </is>
      </c>
      <c r="I99" s="7" t="n"/>
      <c r="J99" s="7" t="inlineStr">
        <is>
          <t>GHN B2B Khánh Hòa (sắp mở)</t>
        </is>
      </c>
      <c r="K99" s="7" t="inlineStr">
        <is>
          <t>gte30</t>
        </is>
      </c>
      <c r="L99" s="28" t="n">
        <v>111.8733609958811</v>
      </c>
      <c r="M99" s="28" t="n">
        <v>138.2149851344579</v>
      </c>
      <c r="N99" s="28" t="n">
        <v>151.121024095897</v>
      </c>
      <c r="O99" s="28" t="n">
        <v>175.7623173272814</v>
      </c>
      <c r="P99" s="28" t="n">
        <v>185.8011038633394</v>
      </c>
      <c r="Q99" s="28" t="n">
        <v>197.2463522344177</v>
      </c>
      <c r="R99" s="28" t="n">
        <v>960.0191436512744</v>
      </c>
    </row>
    <row r="100" ht="15.75" customHeight="1" s="57">
      <c r="A100" s="7" t="inlineStr">
        <is>
          <t>NTB</t>
        </is>
      </c>
      <c r="B100" s="7" t="inlineStr">
        <is>
          <t>Khánh Hòa</t>
        </is>
      </c>
      <c r="C100" s="7" t="n">
        <v>1548</v>
      </c>
      <c r="D100" s="7" t="n">
        <v>410105</v>
      </c>
      <c r="E100" s="7" t="inlineStr">
        <is>
          <t>B</t>
        </is>
      </c>
      <c r="F100" s="7" t="n">
        <v>15</v>
      </c>
      <c r="G100" s="27" t="n">
        <v>0.7</v>
      </c>
      <c r="H100" s="7" t="inlineStr">
        <is>
          <t>Đã mở</t>
        </is>
      </c>
      <c r="I100" s="7" t="n"/>
      <c r="J100" s="7" t="inlineStr">
        <is>
          <t>GHN B2B Khánh Hòa (sắp mở)</t>
        </is>
      </c>
      <c r="K100" s="7" t="inlineStr">
        <is>
          <t>15to30</t>
        </is>
      </c>
      <c r="L100" s="28" t="n">
        <v>785.8619872326624</v>
      </c>
      <c r="M100" s="28" t="n">
        <v>977.957732668666</v>
      </c>
      <c r="N100" s="28" t="n">
        <v>1071.894622034899</v>
      </c>
      <c r="O100" s="28" t="n">
        <v>1248.659749144634</v>
      </c>
      <c r="P100" s="28" t="n">
        <v>1317.112926315879</v>
      </c>
      <c r="Q100" s="28" t="n">
        <v>1394.902992301156</v>
      </c>
      <c r="R100" s="28" t="n">
        <v>6796.390009697898</v>
      </c>
    </row>
    <row r="101" ht="15.75" customHeight="1" s="57">
      <c r="A101" s="7" t="inlineStr">
        <is>
          <t>NTB</t>
        </is>
      </c>
      <c r="B101" s="7" t="inlineStr">
        <is>
          <t>Khánh Hòa</t>
        </is>
      </c>
      <c r="C101" s="7" t="n">
        <v>1548</v>
      </c>
      <c r="D101" s="7" t="n">
        <v>410105</v>
      </c>
      <c r="E101" s="7" t="inlineStr">
        <is>
          <t>B</t>
        </is>
      </c>
      <c r="F101" s="7" t="n">
        <v>15</v>
      </c>
      <c r="G101" s="27" t="n">
        <v>0.7</v>
      </c>
      <c r="H101" s="7" t="inlineStr">
        <is>
          <t>Đã mở</t>
        </is>
      </c>
      <c r="I101" s="7" t="n"/>
      <c r="J101" s="7" t="inlineStr">
        <is>
          <t>GHN B2B Khánh Hòa (sắp mở)</t>
        </is>
      </c>
      <c r="K101" s="7" t="inlineStr">
        <is>
          <t>gte30</t>
        </is>
      </c>
      <c r="L101" s="28" t="n">
        <v>316.2906094170025</v>
      </c>
      <c r="M101" s="28" t="n">
        <v>391.2863940173706</v>
      </c>
      <c r="N101" s="28" t="n">
        <v>428.0984327575525</v>
      </c>
      <c r="O101" s="28" t="n">
        <v>498.1352017799287</v>
      </c>
      <c r="P101" s="28" t="n">
        <v>526.3519715721256</v>
      </c>
      <c r="Q101" s="28" t="n">
        <v>558.4754986726779</v>
      </c>
      <c r="R101" s="28" t="n">
        <v>2718.638108216658</v>
      </c>
    </row>
    <row r="102" ht="15.75" customHeight="1" s="57">
      <c r="A102" s="7" t="inlineStr">
        <is>
          <t>NTB</t>
        </is>
      </c>
      <c r="B102" s="7" t="inlineStr">
        <is>
          <t>Khánh Hòa</t>
        </is>
      </c>
      <c r="C102" s="7" t="n">
        <v>1548</v>
      </c>
      <c r="D102" s="7" t="n">
        <v>410110</v>
      </c>
      <c r="E102" s="7" t="inlineStr">
        <is>
          <t>B</t>
        </is>
      </c>
      <c r="F102" s="7" t="n">
        <v>15</v>
      </c>
      <c r="G102" s="27" t="n">
        <v>0.7</v>
      </c>
      <c r="H102" s="7" t="inlineStr">
        <is>
          <t>Đã mở</t>
        </is>
      </c>
      <c r="I102" s="7" t="n"/>
      <c r="J102" s="7" t="inlineStr">
        <is>
          <t>GHN B2B Khánh Hòa (sắp mở)</t>
        </is>
      </c>
      <c r="K102" s="7" t="inlineStr">
        <is>
          <t>15to30</t>
        </is>
      </c>
      <c r="L102" s="28" t="n">
        <v>102.4267108054242</v>
      </c>
      <c r="M102" s="28" t="n">
        <v>116.3317391105059</v>
      </c>
      <c r="N102" s="28" t="n">
        <v>121.2527139164277</v>
      </c>
      <c r="O102" s="28" t="n">
        <v>135.8850723363506</v>
      </c>
      <c r="P102" s="28" t="n">
        <v>148.3787662584493</v>
      </c>
      <c r="Q102" s="28" t="n">
        <v>163.7264852453816</v>
      </c>
      <c r="R102" s="28" t="n">
        <v>788.0014876725393</v>
      </c>
    </row>
    <row r="103" ht="15.75" customHeight="1" s="57">
      <c r="A103" s="7" t="inlineStr">
        <is>
          <t>NTB</t>
        </is>
      </c>
      <c r="B103" s="7" t="inlineStr">
        <is>
          <t>Khánh Hòa</t>
        </is>
      </c>
      <c r="C103" s="7" t="n">
        <v>1548</v>
      </c>
      <c r="D103" s="7" t="n">
        <v>410110</v>
      </c>
      <c r="E103" s="7" t="inlineStr">
        <is>
          <t>B</t>
        </is>
      </c>
      <c r="F103" s="7" t="n">
        <v>15</v>
      </c>
      <c r="G103" s="27" t="n">
        <v>0.7</v>
      </c>
      <c r="H103" s="7" t="inlineStr">
        <is>
          <t>Đã mở</t>
        </is>
      </c>
      <c r="I103" s="7" t="n"/>
      <c r="J103" s="7" t="inlineStr">
        <is>
          <t>GHN B2B Khánh Hòa (sắp mở)</t>
        </is>
      </c>
      <c r="K103" s="7" t="inlineStr">
        <is>
          <t>gte30</t>
        </is>
      </c>
      <c r="L103" s="28" t="n">
        <v>30.51263369472469</v>
      </c>
      <c r="M103" s="28" t="n">
        <v>34.57971357072171</v>
      </c>
      <c r="N103" s="28" t="n">
        <v>36.16663805242215</v>
      </c>
      <c r="O103" s="28" t="n">
        <v>40.67617993602258</v>
      </c>
      <c r="P103" s="28" t="n">
        <v>44.3996923771102</v>
      </c>
      <c r="Q103" s="28" t="n">
        <v>48.92240645040353</v>
      </c>
      <c r="R103" s="28" t="n">
        <v>235.2572640814049</v>
      </c>
    </row>
    <row r="104" ht="15.75" customHeight="1" s="57">
      <c r="A104" s="7" t="inlineStr">
        <is>
          <t>NTB</t>
        </is>
      </c>
      <c r="B104" s="7" t="inlineStr">
        <is>
          <t>Khánh Hòa</t>
        </is>
      </c>
      <c r="C104" s="7" t="n">
        <v>1548</v>
      </c>
      <c r="D104" s="7" t="n">
        <v>410113</v>
      </c>
      <c r="E104" s="7" t="inlineStr">
        <is>
          <t>B</t>
        </is>
      </c>
      <c r="F104" s="7" t="n">
        <v>15</v>
      </c>
      <c r="G104" s="27" t="n">
        <v>0.7</v>
      </c>
      <c r="H104" s="7" t="inlineStr">
        <is>
          <t>Đã mở</t>
        </is>
      </c>
      <c r="I104" s="7" t="n"/>
      <c r="J104" s="7" t="inlineStr">
        <is>
          <t>GHN B2B Khánh Hòa (sắp mở)</t>
        </is>
      </c>
      <c r="K104" s="7" t="inlineStr">
        <is>
          <t>15to30</t>
        </is>
      </c>
      <c r="L104" s="28" t="n">
        <v>391.4346624638433</v>
      </c>
      <c r="M104" s="28" t="n">
        <v>487.2323171675466</v>
      </c>
      <c r="N104" s="28" t="n">
        <v>534.0982532099624</v>
      </c>
      <c r="O104" s="28" t="n">
        <v>622.2324894533768</v>
      </c>
      <c r="P104" s="28" t="n">
        <v>656.2984116074837</v>
      </c>
      <c r="Q104" s="28" t="n">
        <v>694.9972100132065</v>
      </c>
      <c r="R104" s="28" t="n">
        <v>3386.293343915419</v>
      </c>
    </row>
    <row r="105" ht="15.75" customHeight="1" s="57">
      <c r="A105" s="7" t="inlineStr">
        <is>
          <t>NTB</t>
        </is>
      </c>
      <c r="B105" s="7" t="inlineStr">
        <is>
          <t>Khánh Hòa</t>
        </is>
      </c>
      <c r="C105" s="7" t="n">
        <v>1548</v>
      </c>
      <c r="D105" s="7" t="n">
        <v>410113</v>
      </c>
      <c r="E105" s="7" t="inlineStr">
        <is>
          <t>B</t>
        </is>
      </c>
      <c r="F105" s="7" t="n">
        <v>15</v>
      </c>
      <c r="G105" s="27" t="n">
        <v>0.7</v>
      </c>
      <c r="H105" s="7" t="inlineStr">
        <is>
          <t>Đã mở</t>
        </is>
      </c>
      <c r="I105" s="7" t="n"/>
      <c r="J105" s="7" t="inlineStr">
        <is>
          <t>GHN B2B Khánh Hòa (sắp mở)</t>
        </is>
      </c>
      <c r="K105" s="7" t="inlineStr">
        <is>
          <t>gte30</t>
        </is>
      </c>
      <c r="L105" s="28" t="n">
        <v>176.3349666199186</v>
      </c>
      <c r="M105" s="28" t="n">
        <v>218.7781632322537</v>
      </c>
      <c r="N105" s="28" t="n">
        <v>239.6933366982645</v>
      </c>
      <c r="O105" s="28" t="n">
        <v>279.1880155871439</v>
      </c>
      <c r="P105" s="28" t="n">
        <v>294.7192237628612</v>
      </c>
      <c r="Q105" s="28" t="n">
        <v>312.3441837066414</v>
      </c>
      <c r="R105" s="28" t="n">
        <v>1521.057889607083</v>
      </c>
    </row>
    <row r="106" ht="15.75" customHeight="1" s="57">
      <c r="A106" s="7" t="inlineStr">
        <is>
          <t>NTB</t>
        </is>
      </c>
      <c r="B106" s="7" t="inlineStr">
        <is>
          <t>Khánh Hòa</t>
        </is>
      </c>
      <c r="C106" s="7" t="n">
        <v>1548</v>
      </c>
      <c r="D106" s="7" t="n">
        <v>410114</v>
      </c>
      <c r="E106" s="7" t="inlineStr">
        <is>
          <t>B</t>
        </is>
      </c>
      <c r="F106" s="7" t="n">
        <v>15</v>
      </c>
      <c r="G106" s="27" t="n">
        <v>0.7</v>
      </c>
      <c r="H106" s="7" t="inlineStr">
        <is>
          <t>Đã mở</t>
        </is>
      </c>
      <c r="I106" s="7" t="n"/>
      <c r="J106" s="7" t="inlineStr">
        <is>
          <t>GHN B2B Khánh Hòa (sắp mở)</t>
        </is>
      </c>
      <c r="K106" s="7" t="inlineStr">
        <is>
          <t>15to30</t>
        </is>
      </c>
      <c r="L106" s="28" t="n">
        <v>528.9477219761585</v>
      </c>
      <c r="M106" s="28" t="n">
        <v>657.8166455861871</v>
      </c>
      <c r="N106" s="28" t="n">
        <v>720.7642885431071</v>
      </c>
      <c r="O106" s="28" t="n">
        <v>839.4228844386851</v>
      </c>
      <c r="P106" s="28" t="n">
        <v>885.6608848217588</v>
      </c>
      <c r="Q106" s="28" t="n">
        <v>938.2429731218267</v>
      </c>
      <c r="R106" s="28" t="n">
        <v>4570.855398487724</v>
      </c>
    </row>
    <row r="107" ht="15.75" customHeight="1" s="57">
      <c r="A107" s="7" t="inlineStr">
        <is>
          <t>NTB</t>
        </is>
      </c>
      <c r="B107" s="7" t="inlineStr">
        <is>
          <t>Khánh Hòa</t>
        </is>
      </c>
      <c r="C107" s="7" t="n">
        <v>1548</v>
      </c>
      <c r="D107" s="7" t="n">
        <v>410114</v>
      </c>
      <c r="E107" s="7" t="inlineStr">
        <is>
          <t>B</t>
        </is>
      </c>
      <c r="F107" s="7" t="n">
        <v>15</v>
      </c>
      <c r="G107" s="27" t="n">
        <v>0.7</v>
      </c>
      <c r="H107" s="7" t="inlineStr">
        <is>
          <t>Đã mở</t>
        </is>
      </c>
      <c r="I107" s="7" t="n"/>
      <c r="J107" s="7" t="inlineStr">
        <is>
          <t>GHN B2B Khánh Hòa (sắp mở)</t>
        </is>
      </c>
      <c r="K107" s="7" t="inlineStr">
        <is>
          <t>gte30</t>
        </is>
      </c>
      <c r="L107" s="28" t="n">
        <v>247.7246543223395</v>
      </c>
      <c r="M107" s="28" t="n">
        <v>309.3514346088117</v>
      </c>
      <c r="N107" s="28" t="n">
        <v>339.974584151351</v>
      </c>
      <c r="O107" s="28" t="n">
        <v>396.8776416000038</v>
      </c>
      <c r="P107" s="28" t="n">
        <v>418.0643319222922</v>
      </c>
      <c r="Q107" s="28" t="n">
        <v>441.9257577947075</v>
      </c>
      <c r="R107" s="28" t="n">
        <v>2153.918404399506</v>
      </c>
    </row>
    <row r="108" ht="15.75" customHeight="1" s="57">
      <c r="A108" s="7" t="inlineStr">
        <is>
          <t>NTB</t>
        </is>
      </c>
      <c r="B108" s="7" t="inlineStr">
        <is>
          <t>Khánh Hòa</t>
        </is>
      </c>
      <c r="C108" s="7" t="n">
        <v>1548</v>
      </c>
      <c r="D108" s="7" t="n">
        <v>410115</v>
      </c>
      <c r="E108" s="7" t="inlineStr">
        <is>
          <t>B</t>
        </is>
      </c>
      <c r="F108" s="7" t="n">
        <v>15</v>
      </c>
      <c r="G108" s="27" t="n">
        <v>0.7</v>
      </c>
      <c r="H108" s="7" t="inlineStr">
        <is>
          <t>Đã mở</t>
        </is>
      </c>
      <c r="I108" s="7" t="n"/>
      <c r="J108" s="7" t="inlineStr">
        <is>
          <t>GHN B2B Khánh Hòa (sắp mở)</t>
        </is>
      </c>
      <c r="K108" s="7" t="inlineStr">
        <is>
          <t>15to30</t>
        </is>
      </c>
      <c r="L108" s="28" t="n">
        <v>266.5526965211603</v>
      </c>
      <c r="M108" s="28" t="n">
        <v>327.4949173340283</v>
      </c>
      <c r="N108" s="28" t="n">
        <v>356.5851876850415</v>
      </c>
      <c r="O108" s="28" t="n">
        <v>413.3592062048805</v>
      </c>
      <c r="P108" s="28" t="n">
        <v>437.9298508212639</v>
      </c>
      <c r="Q108" s="28" t="n">
        <v>466.2870677655106</v>
      </c>
      <c r="R108" s="28" t="n">
        <v>2268.208926331885</v>
      </c>
    </row>
    <row r="109" ht="15.75" customHeight="1" s="57">
      <c r="A109" s="7" t="inlineStr">
        <is>
          <t>NTB</t>
        </is>
      </c>
      <c r="B109" s="7" t="inlineStr">
        <is>
          <t>Khánh Hòa</t>
        </is>
      </c>
      <c r="C109" s="7" t="n">
        <v>1548</v>
      </c>
      <c r="D109" s="7" t="n">
        <v>410115</v>
      </c>
      <c r="E109" s="7" t="inlineStr">
        <is>
          <t>B</t>
        </is>
      </c>
      <c r="F109" s="7" t="n">
        <v>15</v>
      </c>
      <c r="G109" s="27" t="n">
        <v>0.7</v>
      </c>
      <c r="H109" s="7" t="inlineStr">
        <is>
          <t>Đã mở</t>
        </is>
      </c>
      <c r="I109" s="7" t="n"/>
      <c r="J109" s="7" t="inlineStr">
        <is>
          <t>GHN B2B Khánh Hòa (sắp mở)</t>
        </is>
      </c>
      <c r="K109" s="7" t="inlineStr">
        <is>
          <t>gte30</t>
        </is>
      </c>
      <c r="L109" s="28" t="n">
        <v>109.0730792357982</v>
      </c>
      <c r="M109" s="28" t="n">
        <v>133.5654454435905</v>
      </c>
      <c r="N109" s="28" t="n">
        <v>145.4105751373536</v>
      </c>
      <c r="O109" s="28" t="n">
        <v>168.5910710947754</v>
      </c>
      <c r="P109" s="28" t="n">
        <v>178.7547444348168</v>
      </c>
      <c r="Q109" s="28" t="n">
        <v>190.4483080687089</v>
      </c>
      <c r="R109" s="28" t="n">
        <v>925.8432234150434</v>
      </c>
    </row>
    <row r="110" ht="15.75" customHeight="1" s="57">
      <c r="A110" s="7" t="inlineStr">
        <is>
          <t>NTB</t>
        </is>
      </c>
      <c r="B110" s="7" t="inlineStr">
        <is>
          <t>Khánh Hòa</t>
        </is>
      </c>
      <c r="C110" s="7" t="n">
        <v>1548</v>
      </c>
      <c r="D110" s="7" t="n">
        <v>410116</v>
      </c>
      <c r="E110" s="7" t="inlineStr">
        <is>
          <t>B</t>
        </is>
      </c>
      <c r="F110" s="7" t="n">
        <v>15</v>
      </c>
      <c r="G110" s="27" t="n">
        <v>0.7</v>
      </c>
      <c r="H110" s="7" t="inlineStr">
        <is>
          <t>Đã mở</t>
        </is>
      </c>
      <c r="I110" s="7" t="n"/>
      <c r="J110" s="7" t="inlineStr">
        <is>
          <t>GHN B2B Khánh Hòa (sắp mở)</t>
        </is>
      </c>
      <c r="K110" s="7" t="inlineStr">
        <is>
          <t>15to30</t>
        </is>
      </c>
      <c r="L110" s="28" t="n">
        <v>532.4191035745177</v>
      </c>
      <c r="M110" s="28" t="n">
        <v>664.3238937771763</v>
      </c>
      <c r="N110" s="28" t="n">
        <v>729.1231813955798</v>
      </c>
      <c r="O110" s="28" t="n">
        <v>850.2085477506358</v>
      </c>
      <c r="P110" s="28" t="n">
        <v>896.0071981100214</v>
      </c>
      <c r="Q110" s="28" t="n">
        <v>947.874237641537</v>
      </c>
      <c r="R110" s="28" t="n">
        <v>4619.956162249468</v>
      </c>
    </row>
    <row r="111" ht="15.75" customHeight="1" s="57">
      <c r="A111" s="7" t="inlineStr">
        <is>
          <t>NTB</t>
        </is>
      </c>
      <c r="B111" s="7" t="inlineStr">
        <is>
          <t>Khánh Hòa</t>
        </is>
      </c>
      <c r="C111" s="7" t="n">
        <v>1548</v>
      </c>
      <c r="D111" s="7" t="n">
        <v>410116</v>
      </c>
      <c r="E111" s="7" t="inlineStr">
        <is>
          <t>B</t>
        </is>
      </c>
      <c r="F111" s="7" t="n">
        <v>15</v>
      </c>
      <c r="G111" s="27" t="n">
        <v>0.7</v>
      </c>
      <c r="H111" s="7" t="inlineStr">
        <is>
          <t>Đã mở</t>
        </is>
      </c>
      <c r="I111" s="7" t="n"/>
      <c r="J111" s="7" t="inlineStr">
        <is>
          <t>GHN B2B Khánh Hòa (sắp mở)</t>
        </is>
      </c>
      <c r="K111" s="7" t="inlineStr">
        <is>
          <t>gte30</t>
        </is>
      </c>
      <c r="L111" s="28" t="n">
        <v>213.5836610427457</v>
      </c>
      <c r="M111" s="28" t="n">
        <v>266.2329898377191</v>
      </c>
      <c r="N111" s="28" t="n">
        <v>292.3354854704338</v>
      </c>
      <c r="O111" s="28" t="n">
        <v>341.0528478760317</v>
      </c>
      <c r="P111" s="28" t="n">
        <v>359.4726799613337</v>
      </c>
      <c r="Q111" s="28" t="n">
        <v>380.2631653334965</v>
      </c>
      <c r="R111" s="28" t="n">
        <v>1852.94082952176</v>
      </c>
    </row>
    <row r="112" ht="15.75" customHeight="1" s="57">
      <c r="A112" s="7" t="inlineStr">
        <is>
          <t>NTB</t>
        </is>
      </c>
      <c r="B112" s="7" t="inlineStr">
        <is>
          <t>Khánh Hòa</t>
        </is>
      </c>
      <c r="C112" s="7" t="n">
        <v>1548</v>
      </c>
      <c r="D112" s="7" t="n">
        <v>410120</v>
      </c>
      <c r="E112" s="7" t="inlineStr">
        <is>
          <t>B</t>
        </is>
      </c>
      <c r="F112" s="7" t="n">
        <v>15</v>
      </c>
      <c r="G112" s="27" t="n">
        <v>0.7</v>
      </c>
      <c r="H112" s="7" t="inlineStr">
        <is>
          <t>Đã mở</t>
        </is>
      </c>
      <c r="I112" s="7" t="n"/>
      <c r="J112" s="7" t="inlineStr">
        <is>
          <t>GHN B2B Khánh Hòa (sắp mở)</t>
        </is>
      </c>
      <c r="K112" s="7" t="inlineStr">
        <is>
          <t>15to30</t>
        </is>
      </c>
      <c r="L112" s="28" t="n">
        <v>328.4312764592131</v>
      </c>
      <c r="M112" s="28" t="n">
        <v>405.9833232428671</v>
      </c>
      <c r="N112" s="28" t="n">
        <v>443.4462471619502</v>
      </c>
      <c r="O112" s="28" t="n">
        <v>515.258942049135</v>
      </c>
      <c r="P112" s="28" t="n">
        <v>544.7390498032719</v>
      </c>
      <c r="Q112" s="28" t="n">
        <v>578.523149222034</v>
      </c>
      <c r="R112" s="28" t="n">
        <v>2816.381987938471</v>
      </c>
    </row>
    <row r="113" ht="15.75" customHeight="1" s="57">
      <c r="A113" s="7" t="inlineStr">
        <is>
          <t>NTB</t>
        </is>
      </c>
      <c r="B113" s="7" t="inlineStr">
        <is>
          <t>Khánh Hòa</t>
        </is>
      </c>
      <c r="C113" s="7" t="n">
        <v>1548</v>
      </c>
      <c r="D113" s="7" t="n">
        <v>410120</v>
      </c>
      <c r="E113" s="7" t="inlineStr">
        <is>
          <t>B</t>
        </is>
      </c>
      <c r="F113" s="7" t="n">
        <v>15</v>
      </c>
      <c r="G113" s="27" t="n">
        <v>0.7</v>
      </c>
      <c r="H113" s="7" t="inlineStr">
        <is>
          <t>Đã mở</t>
        </is>
      </c>
      <c r="I113" s="7" t="n"/>
      <c r="J113" s="7" t="inlineStr">
        <is>
          <t>GHN B2B Khánh Hòa (sắp mở)</t>
        </is>
      </c>
      <c r="K113" s="7" t="inlineStr">
        <is>
          <t>gte30</t>
        </is>
      </c>
      <c r="L113" s="28" t="n">
        <v>141.1314510482198</v>
      </c>
      <c r="M113" s="28" t="n">
        <v>175.0755328992042</v>
      </c>
      <c r="N113" s="28" t="n">
        <v>191.7992305493244</v>
      </c>
      <c r="O113" s="28" t="n">
        <v>223.3909234594627</v>
      </c>
      <c r="P113" s="28" t="n">
        <v>235.8296227162045</v>
      </c>
      <c r="Q113" s="28" t="n">
        <v>249.947510563498</v>
      </c>
      <c r="R113" s="28" t="n">
        <v>1217.174271235914</v>
      </c>
    </row>
    <row r="114" ht="15.75" customHeight="1" s="57">
      <c r="A114" s="7" t="inlineStr">
        <is>
          <t>NTB</t>
        </is>
      </c>
      <c r="B114" s="7" t="inlineStr">
        <is>
          <t>Khánh Hòa</t>
        </is>
      </c>
      <c r="C114" s="7" t="n">
        <v>1548</v>
      </c>
      <c r="D114" s="7" t="n">
        <v>410121</v>
      </c>
      <c r="E114" s="7" t="inlineStr">
        <is>
          <t>B</t>
        </is>
      </c>
      <c r="F114" s="7" t="n">
        <v>15</v>
      </c>
      <c r="G114" s="27" t="n">
        <v>0.7</v>
      </c>
      <c r="H114" s="7" t="inlineStr">
        <is>
          <t>Đã mở</t>
        </is>
      </c>
      <c r="I114" s="7" t="n"/>
      <c r="J114" s="7" t="inlineStr">
        <is>
          <t>GHN B2B Khánh Hòa (sắp mở)</t>
        </is>
      </c>
      <c r="K114" s="7" t="inlineStr">
        <is>
          <t>15to30</t>
        </is>
      </c>
      <c r="L114" s="28" t="n">
        <v>313.6159341034463</v>
      </c>
      <c r="M114" s="28" t="n">
        <v>392.0366532331681</v>
      </c>
      <c r="N114" s="28" t="n">
        <v>430.682414402037</v>
      </c>
      <c r="O114" s="28" t="n">
        <v>502.5542193596536</v>
      </c>
      <c r="P114" s="28" t="n">
        <v>529.3081978268493</v>
      </c>
      <c r="Q114" s="28" t="n">
        <v>559.5292337613545</v>
      </c>
      <c r="R114" s="28" t="n">
        <v>2727.726652686509</v>
      </c>
    </row>
    <row r="115" ht="15.75" customHeight="1" s="57">
      <c r="A115" s="7" t="inlineStr">
        <is>
          <t>NTB</t>
        </is>
      </c>
      <c r="B115" s="7" t="inlineStr">
        <is>
          <t>Khánh Hòa</t>
        </is>
      </c>
      <c r="C115" s="7" t="n">
        <v>1548</v>
      </c>
      <c r="D115" s="7" t="n">
        <v>410121</v>
      </c>
      <c r="E115" s="7" t="inlineStr">
        <is>
          <t>B</t>
        </is>
      </c>
      <c r="F115" s="7" t="n">
        <v>15</v>
      </c>
      <c r="G115" s="27" t="n">
        <v>0.7</v>
      </c>
      <c r="H115" s="7" t="inlineStr">
        <is>
          <t>Đã mở</t>
        </is>
      </c>
      <c r="I115" s="7" t="n"/>
      <c r="J115" s="7" t="inlineStr">
        <is>
          <t>GHN B2B Khánh Hòa (sắp mở)</t>
        </is>
      </c>
      <c r="K115" s="7" t="inlineStr">
        <is>
          <t>gte30</t>
        </is>
      </c>
      <c r="L115" s="28" t="n">
        <v>132.9377256073447</v>
      </c>
      <c r="M115" s="28" t="n">
        <v>164.5037932313561</v>
      </c>
      <c r="N115" s="28" t="n">
        <v>180.003984074897</v>
      </c>
      <c r="O115" s="28" t="n">
        <v>209.4726391772475</v>
      </c>
      <c r="P115" s="28" t="n">
        <v>221.3179428091884</v>
      </c>
      <c r="Q115" s="28" t="n">
        <v>234.7992464790518</v>
      </c>
      <c r="R115" s="28" t="n">
        <v>1143.035331379086</v>
      </c>
    </row>
    <row r="116" ht="15.75" customHeight="1" s="57">
      <c r="A116" s="7" t="inlineStr">
        <is>
          <t>NTB</t>
        </is>
      </c>
      <c r="B116" s="7" t="inlineStr">
        <is>
          <t>Khánh Hòa</t>
        </is>
      </c>
      <c r="C116" s="7" t="n">
        <v>1548</v>
      </c>
      <c r="D116" s="7" t="n">
        <v>410122</v>
      </c>
      <c r="E116" s="7" t="inlineStr">
        <is>
          <t>B</t>
        </is>
      </c>
      <c r="F116" s="7" t="n">
        <v>15</v>
      </c>
      <c r="G116" s="27" t="n">
        <v>0.7</v>
      </c>
      <c r="H116" s="7" t="inlineStr">
        <is>
          <t>Đã mở</t>
        </is>
      </c>
      <c r="I116" s="7" t="n"/>
      <c r="J116" s="7" t="inlineStr">
        <is>
          <t>GHN B2B Khánh Hòa (sắp mở)</t>
        </is>
      </c>
      <c r="K116" s="7" t="inlineStr">
        <is>
          <t>15to30</t>
        </is>
      </c>
      <c r="L116" s="28" t="n">
        <v>87.46034359056006</v>
      </c>
      <c r="M116" s="28" t="n">
        <v>106.7397605228839</v>
      </c>
      <c r="N116" s="28" t="n">
        <v>115.8135578642753</v>
      </c>
      <c r="O116" s="28" t="n">
        <v>133.9015011828563</v>
      </c>
      <c r="P116" s="28" t="n">
        <v>142.1983060444346</v>
      </c>
      <c r="Q116" s="28" t="n">
        <v>151.8423814679988</v>
      </c>
      <c r="R116" s="28" t="n">
        <v>737.9558506730089</v>
      </c>
    </row>
    <row r="117" ht="15.75" customHeight="1" s="57">
      <c r="A117" s="7" t="inlineStr">
        <is>
          <t>NTB</t>
        </is>
      </c>
      <c r="B117" s="7" t="inlineStr">
        <is>
          <t>Khánh Hòa</t>
        </is>
      </c>
      <c r="C117" s="7" t="n">
        <v>1548</v>
      </c>
      <c r="D117" s="7" t="n">
        <v>410122</v>
      </c>
      <c r="E117" s="7" t="inlineStr">
        <is>
          <t>B</t>
        </is>
      </c>
      <c r="F117" s="7" t="n">
        <v>15</v>
      </c>
      <c r="G117" s="27" t="n">
        <v>0.7</v>
      </c>
      <c r="H117" s="7" t="inlineStr">
        <is>
          <t>Đã mở</t>
        </is>
      </c>
      <c r="I117" s="7" t="n"/>
      <c r="J117" s="7" t="inlineStr">
        <is>
          <t>GHN B2B Khánh Hòa (sắp mở)</t>
        </is>
      </c>
      <c r="K117" s="7" t="inlineStr">
        <is>
          <t>gte30</t>
        </is>
      </c>
      <c r="L117" s="28" t="n">
        <v>31.99786071350424</v>
      </c>
      <c r="M117" s="28" t="n">
        <v>38.53356711712692</v>
      </c>
      <c r="N117" s="28" t="n">
        <v>41.60577179792577</v>
      </c>
      <c r="O117" s="28" t="n">
        <v>47.94540768000759</v>
      </c>
      <c r="P117" s="28" t="n">
        <v>51.13234000161311</v>
      </c>
      <c r="Q117" s="28" t="n">
        <v>54.85466086080487</v>
      </c>
      <c r="R117" s="28" t="n">
        <v>266.0696081709825</v>
      </c>
    </row>
    <row r="118" ht="15.75" customHeight="1" s="57">
      <c r="A118" s="7" t="inlineStr">
        <is>
          <t>NTB</t>
        </is>
      </c>
      <c r="B118" s="7" t="inlineStr">
        <is>
          <t>Khánh Hòa</t>
        </is>
      </c>
      <c r="C118" s="7" t="n">
        <v>1548</v>
      </c>
      <c r="D118" s="7" t="n">
        <v>410125</v>
      </c>
      <c r="E118" s="7" t="inlineStr">
        <is>
          <t>B</t>
        </is>
      </c>
      <c r="F118" s="7" t="n">
        <v>15</v>
      </c>
      <c r="G118" s="27" t="n">
        <v>0.7</v>
      </c>
      <c r="H118" s="7" t="inlineStr">
        <is>
          <t>Đã mở</t>
        </is>
      </c>
      <c r="I118" s="7" t="n"/>
      <c r="J118" s="7" t="inlineStr">
        <is>
          <t>GHN B2B Khánh Hòa (sắp mở)</t>
        </is>
      </c>
      <c r="K118" s="7" t="inlineStr">
        <is>
          <t>15to30</t>
        </is>
      </c>
      <c r="L118" s="28" t="n">
        <v>430.9652345937006</v>
      </c>
      <c r="M118" s="28" t="n">
        <v>530.8481907346376</v>
      </c>
      <c r="N118" s="28" t="n">
        <v>578.7743844310627</v>
      </c>
      <c r="O118" s="28" t="n">
        <v>671.5990410432157</v>
      </c>
      <c r="P118" s="28" t="n">
        <v>710.9710737214718</v>
      </c>
      <c r="Q118" s="28" t="n">
        <v>756.2572147021167</v>
      </c>
      <c r="R118" s="28" t="n">
        <v>3679.415139226205</v>
      </c>
    </row>
    <row r="119" ht="15.75" customHeight="1" s="57">
      <c r="A119" s="7" t="inlineStr">
        <is>
          <t>NTB</t>
        </is>
      </c>
      <c r="B119" s="7" t="inlineStr">
        <is>
          <t>Khánh Hòa</t>
        </is>
      </c>
      <c r="C119" s="7" t="n">
        <v>1548</v>
      </c>
      <c r="D119" s="7" t="n">
        <v>410125</v>
      </c>
      <c r="E119" s="7" t="inlineStr">
        <is>
          <t>B</t>
        </is>
      </c>
      <c r="F119" s="7" t="n">
        <v>15</v>
      </c>
      <c r="G119" s="27" t="n">
        <v>0.7</v>
      </c>
      <c r="H119" s="7" t="inlineStr">
        <is>
          <t>Đã mở</t>
        </is>
      </c>
      <c r="I119" s="7" t="n"/>
      <c r="J119" s="7" t="inlineStr">
        <is>
          <t>GHN B2B Khánh Hòa (sắp mở)</t>
        </is>
      </c>
      <c r="K119" s="7" t="inlineStr">
        <is>
          <t>gte30</t>
        </is>
      </c>
      <c r="L119" s="28" t="n">
        <v>193.2193637964598</v>
      </c>
      <c r="M119" s="28" t="n">
        <v>237.3063066264095</v>
      </c>
      <c r="N119" s="28" t="n">
        <v>258.7233380110632</v>
      </c>
      <c r="O119" s="28" t="n">
        <v>300.2829977009798</v>
      </c>
      <c r="P119" s="28" t="n">
        <v>318.0664689461736</v>
      </c>
      <c r="Q119" s="28" t="n">
        <v>338.4668327767317</v>
      </c>
      <c r="R119" s="28" t="n">
        <v>1646.065307857818</v>
      </c>
    </row>
    <row r="120" ht="15.75" customHeight="1" s="57">
      <c r="A120" s="7" t="inlineStr">
        <is>
          <t>NTB</t>
        </is>
      </c>
      <c r="B120" s="7" t="inlineStr">
        <is>
          <t>Khánh Hòa</t>
        </is>
      </c>
      <c r="C120" s="7" t="n">
        <v>1548</v>
      </c>
      <c r="D120" s="7" t="n">
        <v>410126</v>
      </c>
      <c r="E120" s="7" t="inlineStr">
        <is>
          <t>B</t>
        </is>
      </c>
      <c r="F120" s="7" t="n">
        <v>15</v>
      </c>
      <c r="G120" s="27" t="n">
        <v>0.7</v>
      </c>
      <c r="H120" s="7" t="inlineStr">
        <is>
          <t>Đã mở</t>
        </is>
      </c>
      <c r="I120" s="7" t="n"/>
      <c r="J120" s="7" t="inlineStr">
        <is>
          <t>GHN B2B Khánh Hòa (sắp mở)</t>
        </is>
      </c>
      <c r="K120" s="7" t="inlineStr">
        <is>
          <t>15to30</t>
        </is>
      </c>
      <c r="L120" s="28" t="n">
        <v>256.6832249333856</v>
      </c>
      <c r="M120" s="28" t="n">
        <v>315.2363469091272</v>
      </c>
      <c r="N120" s="28" t="n">
        <v>343.1648102124973</v>
      </c>
      <c r="O120" s="28" t="n">
        <v>397.7437043862939</v>
      </c>
      <c r="P120" s="28" t="n">
        <v>421.4960379676662</v>
      </c>
      <c r="Q120" s="28" t="n">
        <v>448.9084596232752</v>
      </c>
      <c r="R120" s="28" t="n">
        <v>2183.232584032246</v>
      </c>
    </row>
    <row r="121" ht="15.75" customHeight="1" s="57">
      <c r="A121" s="7" t="inlineStr">
        <is>
          <t>NTB</t>
        </is>
      </c>
      <c r="B121" s="7" t="inlineStr">
        <is>
          <t>Khánh Hòa</t>
        </is>
      </c>
      <c r="C121" s="7" t="n">
        <v>1548</v>
      </c>
      <c r="D121" s="7" t="n">
        <v>410126</v>
      </c>
      <c r="E121" s="7" t="inlineStr">
        <is>
          <t>B</t>
        </is>
      </c>
      <c r="F121" s="7" t="n">
        <v>15</v>
      </c>
      <c r="G121" s="27" t="n">
        <v>0.7</v>
      </c>
      <c r="H121" s="7" t="inlineStr">
        <is>
          <t>Đã mở</t>
        </is>
      </c>
      <c r="I121" s="7" t="n"/>
      <c r="J121" s="7" t="inlineStr">
        <is>
          <t>GHN B2B Khánh Hòa (sắp mở)</t>
        </is>
      </c>
      <c r="K121" s="7" t="inlineStr">
        <is>
          <t>gte30</t>
        </is>
      </c>
      <c r="L121" s="28" t="n">
        <v>104.8015386041966</v>
      </c>
      <c r="M121" s="28" t="n">
        <v>128.9396402074438</v>
      </c>
      <c r="N121" s="28" t="n">
        <v>140.6959934996793</v>
      </c>
      <c r="O121" s="28" t="n">
        <v>163.397756024407</v>
      </c>
      <c r="P121" s="28" t="n">
        <v>172.9721669195208</v>
      </c>
      <c r="Q121" s="28" t="n">
        <v>183.9359101095968</v>
      </c>
      <c r="R121" s="28" t="n">
        <v>894.7430053648443</v>
      </c>
    </row>
    <row r="122" ht="15.75" customHeight="1" s="57">
      <c r="A122" s="7" t="inlineStr">
        <is>
          <t>NTB</t>
        </is>
      </c>
      <c r="B122" s="7" t="inlineStr">
        <is>
          <t>Khánh Hòa</t>
        </is>
      </c>
      <c r="C122" s="7" t="n">
        <v>1664</v>
      </c>
      <c r="D122" s="7" t="n">
        <v>410601</v>
      </c>
      <c r="E122" s="7" t="inlineStr">
        <is>
          <t>A</t>
        </is>
      </c>
      <c r="F122" s="7" t="n">
        <v>15</v>
      </c>
      <c r="G122" s="27" t="n">
        <v>1</v>
      </c>
      <c r="H122" s="7" t="inlineStr">
        <is>
          <t>Đã mở</t>
        </is>
      </c>
      <c r="I122" s="7" t="n"/>
      <c r="J122" s="7" t="inlineStr">
        <is>
          <t>GHN B2B Khánh Hòa (sắp mở)</t>
        </is>
      </c>
      <c r="K122" s="7" t="inlineStr">
        <is>
          <t>15to30</t>
        </is>
      </c>
      <c r="L122" s="28" t="n">
        <v>240.2245471671457</v>
      </c>
      <c r="M122" s="28" t="n">
        <v>285.2537913994117</v>
      </c>
      <c r="N122" s="28" t="n">
        <v>304.9672637654604</v>
      </c>
      <c r="O122" s="28" t="n">
        <v>348.6743297187135</v>
      </c>
      <c r="P122" s="28" t="n">
        <v>374.0748133427773</v>
      </c>
      <c r="Q122" s="28" t="n">
        <v>404.3330485348605</v>
      </c>
      <c r="R122" s="28" t="n">
        <v>1957.527793928369</v>
      </c>
    </row>
    <row r="123" ht="15.75" customHeight="1" s="57">
      <c r="A123" s="7" t="inlineStr">
        <is>
          <t>NTB</t>
        </is>
      </c>
      <c r="B123" s="7" t="inlineStr">
        <is>
          <t>Khánh Hòa</t>
        </is>
      </c>
      <c r="C123" s="7" t="n">
        <v>1664</v>
      </c>
      <c r="D123" s="7" t="n">
        <v>410601</v>
      </c>
      <c r="E123" s="7" t="inlineStr">
        <is>
          <t>A</t>
        </is>
      </c>
      <c r="F123" s="7" t="n">
        <v>15</v>
      </c>
      <c r="G123" s="27" t="n">
        <v>1</v>
      </c>
      <c r="H123" s="7" t="inlineStr">
        <is>
          <t>Đã mở</t>
        </is>
      </c>
      <c r="I123" s="7" t="n"/>
      <c r="J123" s="7" t="inlineStr">
        <is>
          <t>GHN B2B Khánh Hòa (sắp mở)</t>
        </is>
      </c>
      <c r="K123" s="7" t="inlineStr">
        <is>
          <t>gte30</t>
        </is>
      </c>
      <c r="L123" s="28" t="n">
        <v>77.03213655621111</v>
      </c>
      <c r="M123" s="28" t="n">
        <v>92.6635686829369</v>
      </c>
      <c r="N123" s="28" t="n">
        <v>99.99594001166201</v>
      </c>
      <c r="O123" s="28" t="n">
        <v>115.1852112057481</v>
      </c>
      <c r="P123" s="28" t="n">
        <v>122.8899556829257</v>
      </c>
      <c r="Q123" s="28" t="n">
        <v>131.8972977963044</v>
      </c>
      <c r="R123" s="28" t="n">
        <v>639.6641099357882</v>
      </c>
    </row>
    <row r="124" ht="15.75" customHeight="1" s="57">
      <c r="A124" s="7" t="inlineStr">
        <is>
          <t>NTB</t>
        </is>
      </c>
      <c r="B124" s="7" t="inlineStr">
        <is>
          <t>Khánh Hòa</t>
        </is>
      </c>
      <c r="C124" s="7" t="n">
        <v>1664</v>
      </c>
      <c r="D124" s="7" t="n">
        <v>410602</v>
      </c>
      <c r="E124" s="7" t="inlineStr">
        <is>
          <t>A</t>
        </is>
      </c>
      <c r="F124" s="7" t="n">
        <v>15</v>
      </c>
      <c r="G124" s="27" t="n">
        <v>1</v>
      </c>
      <c r="H124" s="7" t="inlineStr">
        <is>
          <t>Đã mở</t>
        </is>
      </c>
      <c r="I124" s="7" t="n"/>
      <c r="J124" s="7" t="inlineStr">
        <is>
          <t>GHN B2B Khánh Hòa (sắp mở)</t>
        </is>
      </c>
      <c r="K124" s="7" t="inlineStr">
        <is>
          <t>15to30</t>
        </is>
      </c>
      <c r="L124" s="28" t="n">
        <v>165.4817647890065</v>
      </c>
      <c r="M124" s="28" t="n">
        <v>203.7593436781386</v>
      </c>
      <c r="N124" s="28" t="n">
        <v>222.1117535906003</v>
      </c>
      <c r="O124" s="28" t="n">
        <v>257.6957137855343</v>
      </c>
      <c r="P124" s="28" t="n">
        <v>272.8254003110514</v>
      </c>
      <c r="Q124" s="28" t="n">
        <v>290.2385595494822</v>
      </c>
      <c r="R124" s="28" t="n">
        <v>1412.112535703813</v>
      </c>
    </row>
    <row r="125" ht="15.75" customHeight="1" s="57">
      <c r="A125" s="7" t="inlineStr">
        <is>
          <t>NTB</t>
        </is>
      </c>
      <c r="B125" s="7" t="inlineStr">
        <is>
          <t>Khánh Hòa</t>
        </is>
      </c>
      <c r="C125" s="7" t="n">
        <v>1664</v>
      </c>
      <c r="D125" s="7" t="n">
        <v>410602</v>
      </c>
      <c r="E125" s="7" t="inlineStr">
        <is>
          <t>A</t>
        </is>
      </c>
      <c r="F125" s="7" t="n">
        <v>15</v>
      </c>
      <c r="G125" s="27" t="n">
        <v>1</v>
      </c>
      <c r="H125" s="7" t="inlineStr">
        <is>
          <t>Đã mở</t>
        </is>
      </c>
      <c r="I125" s="7" t="n"/>
      <c r="J125" s="7" t="inlineStr">
        <is>
          <t>GHN B2B Khánh Hòa (sắp mở)</t>
        </is>
      </c>
      <c r="K125" s="7" t="inlineStr">
        <is>
          <t>gte30</t>
        </is>
      </c>
      <c r="L125" s="28" t="n">
        <v>77.0362343092899</v>
      </c>
      <c r="M125" s="28" t="n">
        <v>94.28515070867316</v>
      </c>
      <c r="N125" s="28" t="n">
        <v>102.6203986426035</v>
      </c>
      <c r="O125" s="28" t="n">
        <v>118.9571771782433</v>
      </c>
      <c r="P125" s="28" t="n">
        <v>126.1512577041655</v>
      </c>
      <c r="Q125" s="28" t="n">
        <v>134.4324796101864</v>
      </c>
      <c r="R125" s="28" t="n">
        <v>653.4826981531618</v>
      </c>
    </row>
    <row r="126" ht="15.75" customHeight="1" s="57">
      <c r="A126" s="7" t="inlineStr">
        <is>
          <t>NTB</t>
        </is>
      </c>
      <c r="B126" s="7" t="inlineStr">
        <is>
          <t>Khánh Hòa</t>
        </is>
      </c>
      <c r="C126" s="7" t="n">
        <v>1664</v>
      </c>
      <c r="D126" s="7" t="n">
        <v>410603</v>
      </c>
      <c r="E126" s="7" t="inlineStr">
        <is>
          <t>A</t>
        </is>
      </c>
      <c r="F126" s="7" t="n">
        <v>15</v>
      </c>
      <c r="G126" s="27" t="n">
        <v>1</v>
      </c>
      <c r="H126" s="7" t="inlineStr">
        <is>
          <t>Đã mở</t>
        </is>
      </c>
      <c r="I126" s="7" t="n"/>
      <c r="J126" s="7" t="inlineStr">
        <is>
          <t>GHN B2B Khánh Hòa (sắp mở)</t>
        </is>
      </c>
      <c r="K126" s="7" t="inlineStr">
        <is>
          <t>15to30</t>
        </is>
      </c>
      <c r="L126" s="28" t="n">
        <v>299.268421205434</v>
      </c>
      <c r="M126" s="28" t="n">
        <v>366.9160595190597</v>
      </c>
      <c r="N126" s="28" t="n">
        <v>399.0699826218687</v>
      </c>
      <c r="O126" s="28" t="n">
        <v>462.2347869535802</v>
      </c>
      <c r="P126" s="28" t="n">
        <v>490.1198060161125</v>
      </c>
      <c r="Q126" s="28" t="n">
        <v>522.3640932420152</v>
      </c>
      <c r="R126" s="28" t="n">
        <v>2539.97314955807</v>
      </c>
    </row>
    <row r="127" ht="15.75" customHeight="1" s="57">
      <c r="A127" s="7" t="inlineStr">
        <is>
          <t>NTB</t>
        </is>
      </c>
      <c r="B127" s="7" t="inlineStr">
        <is>
          <t>Khánh Hòa</t>
        </is>
      </c>
      <c r="C127" s="7" t="n">
        <v>1664</v>
      </c>
      <c r="D127" s="7" t="n">
        <v>410603</v>
      </c>
      <c r="E127" s="7" t="inlineStr">
        <is>
          <t>A</t>
        </is>
      </c>
      <c r="F127" s="7" t="n">
        <v>15</v>
      </c>
      <c r="G127" s="27" t="n">
        <v>1</v>
      </c>
      <c r="H127" s="7" t="inlineStr">
        <is>
          <t>Đã mở</t>
        </is>
      </c>
      <c r="I127" s="7" t="n"/>
      <c r="J127" s="7" t="inlineStr">
        <is>
          <t>GHN B2B Khánh Hòa (sắp mở)</t>
        </is>
      </c>
      <c r="K127" s="7" t="inlineStr">
        <is>
          <t>gte30</t>
        </is>
      </c>
      <c r="L127" s="28" t="n">
        <v>115.6346492613414</v>
      </c>
      <c r="M127" s="28" t="n">
        <v>143.2475249365293</v>
      </c>
      <c r="N127" s="28" t="n">
        <v>156.8266008947003</v>
      </c>
      <c r="O127" s="28" t="n">
        <v>182.5698806438788</v>
      </c>
      <c r="P127" s="28" t="n">
        <v>192.8242739240665</v>
      </c>
      <c r="Q127" s="28" t="n">
        <v>204.481006171577</v>
      </c>
      <c r="R127" s="28" t="n">
        <v>995.5839358320933</v>
      </c>
    </row>
    <row r="128" ht="15.75" customHeight="1" s="57">
      <c r="A128" s="7" t="inlineStr">
        <is>
          <t>NTB</t>
        </is>
      </c>
      <c r="B128" s="7" t="inlineStr">
        <is>
          <t>Khánh Hòa</t>
        </is>
      </c>
      <c r="C128" s="7" t="n">
        <v>1664</v>
      </c>
      <c r="D128" s="7" t="n">
        <v>410604</v>
      </c>
      <c r="E128" s="7" t="inlineStr">
        <is>
          <t>A</t>
        </is>
      </c>
      <c r="F128" s="7" t="n">
        <v>15</v>
      </c>
      <c r="G128" s="27" t="n">
        <v>1</v>
      </c>
      <c r="H128" s="7" t="inlineStr">
        <is>
          <t>Đã mở</t>
        </is>
      </c>
      <c r="I128" s="7" t="n"/>
      <c r="J128" s="7" t="inlineStr">
        <is>
          <t>GHN B2B Khánh Hòa (sắp mở)</t>
        </is>
      </c>
      <c r="K128" s="7" t="inlineStr">
        <is>
          <t>15to30</t>
        </is>
      </c>
      <c r="L128" s="28" t="n">
        <v>103.3403258709046</v>
      </c>
      <c r="M128" s="28" t="n">
        <v>128.5079823666798</v>
      </c>
      <c r="N128" s="28" t="n">
        <v>140.7998522534565</v>
      </c>
      <c r="O128" s="28" t="n">
        <v>163.9750463145891</v>
      </c>
      <c r="P128" s="28" t="n">
        <v>173.0117037017376</v>
      </c>
      <c r="Q128" s="28" t="n">
        <v>183.2891725189424</v>
      </c>
      <c r="R128" s="28" t="n">
        <v>892.92408302631</v>
      </c>
    </row>
    <row r="129" ht="15.75" customHeight="1" s="57">
      <c r="A129" s="7" t="inlineStr">
        <is>
          <t>NTB</t>
        </is>
      </c>
      <c r="B129" s="7" t="inlineStr">
        <is>
          <t>Khánh Hòa</t>
        </is>
      </c>
      <c r="C129" s="7" t="n">
        <v>1664</v>
      </c>
      <c r="D129" s="7" t="n">
        <v>410604</v>
      </c>
      <c r="E129" s="7" t="inlineStr">
        <is>
          <t>A</t>
        </is>
      </c>
      <c r="F129" s="7" t="n">
        <v>15</v>
      </c>
      <c r="G129" s="27" t="n">
        <v>1</v>
      </c>
      <c r="H129" s="7" t="inlineStr">
        <is>
          <t>Đã mở</t>
        </is>
      </c>
      <c r="I129" s="7" t="n"/>
      <c r="J129" s="7" t="inlineStr">
        <is>
          <t>GHN B2B Khánh Hòa (sắp mở)</t>
        </is>
      </c>
      <c r="K129" s="7" t="inlineStr">
        <is>
          <t>gte30</t>
        </is>
      </c>
      <c r="L129" s="28" t="n">
        <v>57.11337821197196</v>
      </c>
      <c r="M129" s="28" t="n">
        <v>68.5501066622115</v>
      </c>
      <c r="N129" s="28" t="n">
        <v>73.89176030673202</v>
      </c>
      <c r="O129" s="28" t="n">
        <v>85.04507036605078</v>
      </c>
      <c r="P129" s="28" t="n">
        <v>90.80583876132927</v>
      </c>
      <c r="Q129" s="28" t="n">
        <v>97.55274946329074</v>
      </c>
      <c r="R129" s="28" t="n">
        <v>472.9589037715863</v>
      </c>
    </row>
    <row r="130" ht="15.75" customHeight="1" s="57">
      <c r="A130" s="7" t="inlineStr">
        <is>
          <t>NTB</t>
        </is>
      </c>
      <c r="B130" s="7" t="inlineStr">
        <is>
          <t>Khánh Hòa</t>
        </is>
      </c>
      <c r="C130" s="7" t="n">
        <v>1664</v>
      </c>
      <c r="D130" s="7" t="n">
        <v>410605</v>
      </c>
      <c r="E130" s="7" t="inlineStr">
        <is>
          <t>A</t>
        </is>
      </c>
      <c r="F130" s="7" t="n">
        <v>15</v>
      </c>
      <c r="G130" s="27" t="n">
        <v>1</v>
      </c>
      <c r="H130" s="7" t="inlineStr">
        <is>
          <t>Đã mở</t>
        </is>
      </c>
      <c r="I130" s="7" t="n"/>
      <c r="J130" s="7" t="inlineStr">
        <is>
          <t>GHN B2B Khánh Hòa (sắp mở)</t>
        </is>
      </c>
      <c r="K130" s="7" t="inlineStr">
        <is>
          <t>15to30</t>
        </is>
      </c>
      <c r="L130" s="28" t="n">
        <v>473.7337849201668</v>
      </c>
      <c r="M130" s="28" t="n">
        <v>584.479287295027</v>
      </c>
      <c r="N130" s="28" t="n">
        <v>637.7844932049254</v>
      </c>
      <c r="O130" s="28" t="n">
        <v>740.5323874615303</v>
      </c>
      <c r="P130" s="28" t="n">
        <v>783.4645023407727</v>
      </c>
      <c r="Q130" s="28" t="n">
        <v>832.7628917512787</v>
      </c>
      <c r="R130" s="28" t="n">
        <v>4052.757346973701</v>
      </c>
    </row>
    <row r="131" ht="15.75" customHeight="1" s="57">
      <c r="A131" s="7" t="inlineStr">
        <is>
          <t>NTB</t>
        </is>
      </c>
      <c r="B131" s="7" t="inlineStr">
        <is>
          <t>Khánh Hòa</t>
        </is>
      </c>
      <c r="C131" s="7" t="n">
        <v>1664</v>
      </c>
      <c r="D131" s="7" t="n">
        <v>410605</v>
      </c>
      <c r="E131" s="7" t="inlineStr">
        <is>
          <t>A</t>
        </is>
      </c>
      <c r="F131" s="7" t="n">
        <v>15</v>
      </c>
      <c r="G131" s="27" t="n">
        <v>1</v>
      </c>
      <c r="H131" s="7" t="inlineStr">
        <is>
          <t>Đã mở</t>
        </is>
      </c>
      <c r="I131" s="7" t="n"/>
      <c r="J131" s="7" t="inlineStr">
        <is>
          <t>GHN B2B Khánh Hòa (sắp mở)</t>
        </is>
      </c>
      <c r="K131" s="7" t="inlineStr">
        <is>
          <t>gte30</t>
        </is>
      </c>
      <c r="L131" s="28" t="n">
        <v>210.188233573617</v>
      </c>
      <c r="M131" s="28" t="n">
        <v>259.275652897868</v>
      </c>
      <c r="N131" s="28" t="n">
        <v>283.2734623321838</v>
      </c>
      <c r="O131" s="28" t="n">
        <v>329.2835452893722</v>
      </c>
      <c r="P131" s="28" t="n">
        <v>348.2719814295226</v>
      </c>
      <c r="Q131" s="28" t="n">
        <v>369.9566590058876</v>
      </c>
      <c r="R131" s="28" t="n">
        <v>1800.249534528451</v>
      </c>
    </row>
    <row r="132" ht="15.75" customHeight="1" s="57">
      <c r="A132" s="7" t="inlineStr">
        <is>
          <t>NTB</t>
        </is>
      </c>
      <c r="B132" s="7" t="inlineStr">
        <is>
          <t>Khánh Hòa</t>
        </is>
      </c>
      <c r="C132" s="7" t="n">
        <v>1664</v>
      </c>
      <c r="D132" s="7" t="n">
        <v>410606</v>
      </c>
      <c r="E132" s="7" t="inlineStr">
        <is>
          <t>A</t>
        </is>
      </c>
      <c r="F132" s="7" t="n">
        <v>15</v>
      </c>
      <c r="G132" s="27" t="n">
        <v>1</v>
      </c>
      <c r="H132" s="7" t="inlineStr">
        <is>
          <t>Đã mở</t>
        </is>
      </c>
      <c r="I132" s="7" t="n"/>
      <c r="J132" s="7" t="inlineStr">
        <is>
          <t>GHN B2B Khánh Hòa (sắp mở)</t>
        </is>
      </c>
      <c r="K132" s="7" t="inlineStr">
        <is>
          <t>15to30</t>
        </is>
      </c>
      <c r="L132" s="28" t="n">
        <v>177.9021591877292</v>
      </c>
      <c r="M132" s="28" t="n">
        <v>221.6227377989009</v>
      </c>
      <c r="N132" s="28" t="n">
        <v>243.0374628205064</v>
      </c>
      <c r="O132" s="28" t="n">
        <v>283.2170674208909</v>
      </c>
      <c r="P132" s="28" t="n">
        <v>298.5488749866316</v>
      </c>
      <c r="Q132" s="28" t="n">
        <v>315.9704759374416</v>
      </c>
      <c r="R132" s="28" t="n">
        <v>1540.298778152101</v>
      </c>
    </row>
    <row r="133" ht="15.75" customHeight="1" s="57">
      <c r="A133" s="7" t="inlineStr">
        <is>
          <t>NTB</t>
        </is>
      </c>
      <c r="B133" s="7" t="inlineStr">
        <is>
          <t>Khánh Hòa</t>
        </is>
      </c>
      <c r="C133" s="7" t="n">
        <v>1664</v>
      </c>
      <c r="D133" s="7" t="n">
        <v>410606</v>
      </c>
      <c r="E133" s="7" t="inlineStr">
        <is>
          <t>A</t>
        </is>
      </c>
      <c r="F133" s="7" t="n">
        <v>15</v>
      </c>
      <c r="G133" s="27" t="n">
        <v>1</v>
      </c>
      <c r="H133" s="7" t="inlineStr">
        <is>
          <t>Đã mở</t>
        </is>
      </c>
      <c r="I133" s="7" t="n"/>
      <c r="J133" s="7" t="inlineStr">
        <is>
          <t>GHN B2B Khánh Hòa (sắp mở)</t>
        </is>
      </c>
      <c r="K133" s="7" t="inlineStr">
        <is>
          <t>gte30</t>
        </is>
      </c>
      <c r="L133" s="28" t="n">
        <v>88.52963233085471</v>
      </c>
      <c r="M133" s="28" t="n">
        <v>110.4288426274948</v>
      </c>
      <c r="N133" s="28" t="n">
        <v>121.295518427559</v>
      </c>
      <c r="O133" s="28" t="n">
        <v>141.5427750066621</v>
      </c>
      <c r="P133" s="28" t="n">
        <v>149.153618840803</v>
      </c>
      <c r="Q133" s="28" t="n">
        <v>157.7369230277924</v>
      </c>
      <c r="R133" s="28" t="n">
        <v>768.687310261166</v>
      </c>
    </row>
    <row r="134" ht="15.75" customHeight="1" s="57">
      <c r="A134" s="7" t="inlineStr">
        <is>
          <t>NTB</t>
        </is>
      </c>
      <c r="B134" s="7" t="inlineStr">
        <is>
          <t>Khánh Hòa</t>
        </is>
      </c>
      <c r="C134" s="7" t="n">
        <v>1664</v>
      </c>
      <c r="D134" s="7" t="n">
        <v>410607</v>
      </c>
      <c r="E134" s="7" t="inlineStr">
        <is>
          <t>A</t>
        </is>
      </c>
      <c r="F134" s="7" t="n">
        <v>15</v>
      </c>
      <c r="G134" s="27" t="n">
        <v>1</v>
      </c>
      <c r="H134" s="7" t="inlineStr">
        <is>
          <t>Đã mở</t>
        </is>
      </c>
      <c r="I134" s="7" t="n"/>
      <c r="J134" s="7" t="inlineStr">
        <is>
          <t>GHN B2B Khánh Hòa (sắp mở)</t>
        </is>
      </c>
      <c r="K134" s="7" t="inlineStr">
        <is>
          <t>15to30</t>
        </is>
      </c>
      <c r="L134" s="28" t="n">
        <v>176.7875190802343</v>
      </c>
      <c r="M134" s="28" t="n">
        <v>216.6459670089655</v>
      </c>
      <c r="N134" s="28" t="n">
        <v>235.5726571205517</v>
      </c>
      <c r="O134" s="28" t="n">
        <v>272.8088075044431</v>
      </c>
      <c r="P134" s="28" t="n">
        <v>289.3185346767738</v>
      </c>
      <c r="Q134" s="28" t="n">
        <v>308.4181207510722</v>
      </c>
      <c r="R134" s="28" t="n">
        <v>1499.551606142041</v>
      </c>
    </row>
    <row r="135" ht="15.75" customHeight="1" s="57">
      <c r="A135" s="7" t="inlineStr">
        <is>
          <t>NTB</t>
        </is>
      </c>
      <c r="B135" s="7" t="inlineStr">
        <is>
          <t>Khánh Hòa</t>
        </is>
      </c>
      <c r="C135" s="7" t="n">
        <v>1664</v>
      </c>
      <c r="D135" s="7" t="n">
        <v>410607</v>
      </c>
      <c r="E135" s="7" t="inlineStr">
        <is>
          <t>A</t>
        </is>
      </c>
      <c r="F135" s="7" t="n">
        <v>15</v>
      </c>
      <c r="G135" s="27" t="n">
        <v>1</v>
      </c>
      <c r="H135" s="7" t="inlineStr">
        <is>
          <t>Đã mở</t>
        </is>
      </c>
      <c r="I135" s="7" t="n"/>
      <c r="J135" s="7" t="inlineStr">
        <is>
          <t>GHN B2B Khánh Hòa (sắp mở)</t>
        </is>
      </c>
      <c r="K135" s="7" t="inlineStr">
        <is>
          <t>gte30</t>
        </is>
      </c>
      <c r="L135" s="28" t="n">
        <v>61.77361705215063</v>
      </c>
      <c r="M135" s="28" t="n">
        <v>75.33034234333195</v>
      </c>
      <c r="N135" s="28" t="n">
        <v>81.84379133464942</v>
      </c>
      <c r="O135" s="28" t="n">
        <v>94.74897442684866</v>
      </c>
      <c r="P135" s="28" t="n">
        <v>100.604615200865</v>
      </c>
      <c r="Q135" s="28" t="n">
        <v>107.3686441637392</v>
      </c>
      <c r="R135" s="28" t="n">
        <v>521.6699845215849</v>
      </c>
    </row>
    <row r="136" ht="15.75" customHeight="1" s="57">
      <c r="A136" s="7" t="inlineStr">
        <is>
          <t>NTB</t>
        </is>
      </c>
      <c r="B136" s="7" t="inlineStr">
        <is>
          <t>Khánh Hòa</t>
        </is>
      </c>
      <c r="C136" s="7" t="n">
        <v>1664</v>
      </c>
      <c r="D136" s="7" t="n">
        <v>410608</v>
      </c>
      <c r="E136" s="7" t="inlineStr">
        <is>
          <t>A</t>
        </is>
      </c>
      <c r="F136" s="7" t="n">
        <v>15</v>
      </c>
      <c r="G136" s="27" t="n">
        <v>1</v>
      </c>
      <c r="H136" s="7" t="inlineStr">
        <is>
          <t>Đã mở</t>
        </is>
      </c>
      <c r="I136" s="7" t="n"/>
      <c r="J136" s="7" t="inlineStr">
        <is>
          <t>GHN B2B Khánh Hòa (sắp mở)</t>
        </is>
      </c>
      <c r="K136" s="7" t="inlineStr">
        <is>
          <t>15to30</t>
        </is>
      </c>
      <c r="L136" s="28" t="n">
        <v>85.42067953593875</v>
      </c>
      <c r="M136" s="28" t="n">
        <v>104.1661250720149</v>
      </c>
      <c r="N136" s="28" t="n">
        <v>112.9735089578165</v>
      </c>
      <c r="O136" s="28" t="n">
        <v>130.5778500342308</v>
      </c>
      <c r="P136" s="28" t="n">
        <v>138.7213933437667</v>
      </c>
      <c r="Q136" s="28" t="n">
        <v>148.1916352107507</v>
      </c>
      <c r="R136" s="28" t="n">
        <v>720.0511921545184</v>
      </c>
    </row>
    <row r="137" ht="15.75" customHeight="1" s="57">
      <c r="A137" s="7" t="inlineStr">
        <is>
          <t>NTB</t>
        </is>
      </c>
      <c r="B137" s="7" t="inlineStr">
        <is>
          <t>Khánh Hòa</t>
        </is>
      </c>
      <c r="C137" s="7" t="n">
        <v>1664</v>
      </c>
      <c r="D137" s="7" t="n">
        <v>410608</v>
      </c>
      <c r="E137" s="7" t="inlineStr">
        <is>
          <t>A</t>
        </is>
      </c>
      <c r="F137" s="7" t="n">
        <v>15</v>
      </c>
      <c r="G137" s="27" t="n">
        <v>1</v>
      </c>
      <c r="H137" s="7" t="inlineStr">
        <is>
          <t>Đã mở</t>
        </is>
      </c>
      <c r="I137" s="7" t="n"/>
      <c r="J137" s="7" t="inlineStr">
        <is>
          <t>GHN B2B Khánh Hòa (sắp mở)</t>
        </is>
      </c>
      <c r="K137" s="7" t="inlineStr">
        <is>
          <t>gte30</t>
        </is>
      </c>
      <c r="L137" s="28" t="n">
        <v>26.52699300935109</v>
      </c>
      <c r="M137" s="28" t="n">
        <v>32.88559451703955</v>
      </c>
      <c r="N137" s="28" t="n">
        <v>36.01563342351985</v>
      </c>
      <c r="O137" s="28" t="n">
        <v>41.93833406046004</v>
      </c>
      <c r="P137" s="28" t="n">
        <v>44.28310543918411</v>
      </c>
      <c r="Q137" s="28" t="n">
        <v>46.94636386960232</v>
      </c>
      <c r="R137" s="28" t="n">
        <v>228.596024319157</v>
      </c>
    </row>
    <row r="138" ht="15.75" customHeight="1" s="57">
      <c r="A138" s="7" t="inlineStr">
        <is>
          <t>NTB</t>
        </is>
      </c>
      <c r="B138" s="7" t="inlineStr">
        <is>
          <t>Khánh Hòa</t>
        </is>
      </c>
      <c r="C138" s="7" t="n">
        <v>1664</v>
      </c>
      <c r="D138" s="7" t="n">
        <v>410609</v>
      </c>
      <c r="E138" s="7" t="inlineStr">
        <is>
          <t>A</t>
        </is>
      </c>
      <c r="F138" s="7" t="n">
        <v>15</v>
      </c>
      <c r="G138" s="27" t="n">
        <v>1</v>
      </c>
      <c r="H138" s="7" t="inlineStr">
        <is>
          <t>Đã mở</t>
        </is>
      </c>
      <c r="I138" s="7" t="n"/>
      <c r="J138" s="7" t="inlineStr">
        <is>
          <t>GHN B2B Khánh Hòa (sắp mở)</t>
        </is>
      </c>
      <c r="K138" s="7" t="inlineStr">
        <is>
          <t>15to30</t>
        </is>
      </c>
      <c r="L138" s="28" t="n">
        <v>224.5255337436351</v>
      </c>
      <c r="M138" s="28" t="n">
        <v>278.059695752473</v>
      </c>
      <c r="N138" s="28" t="n">
        <v>304.0125561239487</v>
      </c>
      <c r="O138" s="28" t="n">
        <v>353.5016911240491</v>
      </c>
      <c r="P138" s="28" t="n">
        <v>373.5247153295223</v>
      </c>
      <c r="Q138" s="28" t="n">
        <v>396.4098130267967</v>
      </c>
      <c r="R138" s="28" t="n">
        <v>1930.034005100425</v>
      </c>
    </row>
    <row r="139" ht="15.75" customHeight="1" s="57">
      <c r="A139" s="7" t="inlineStr">
        <is>
          <t>NTB</t>
        </is>
      </c>
      <c r="B139" s="7" t="inlineStr">
        <is>
          <t>Khánh Hòa</t>
        </is>
      </c>
      <c r="C139" s="7" t="n">
        <v>1664</v>
      </c>
      <c r="D139" s="7" t="n">
        <v>410609</v>
      </c>
      <c r="E139" s="7" t="inlineStr">
        <is>
          <t>A</t>
        </is>
      </c>
      <c r="F139" s="7" t="n">
        <v>15</v>
      </c>
      <c r="G139" s="27" t="n">
        <v>1</v>
      </c>
      <c r="H139" s="7" t="inlineStr">
        <is>
          <t>Đã mở</t>
        </is>
      </c>
      <c r="I139" s="7" t="n"/>
      <c r="J139" s="7" t="inlineStr">
        <is>
          <t>GHN B2B Khánh Hòa (sắp mở)</t>
        </is>
      </c>
      <c r="K139" s="7" t="inlineStr">
        <is>
          <t>gte30</t>
        </is>
      </c>
      <c r="L139" s="28" t="n">
        <v>89.25115361427856</v>
      </c>
      <c r="M139" s="28" t="n">
        <v>110.7474157203671</v>
      </c>
      <c r="N139" s="28" t="n">
        <v>121.3421119847503</v>
      </c>
      <c r="O139" s="28" t="n">
        <v>141.3419752489818</v>
      </c>
      <c r="P139" s="28" t="n">
        <v>149.1986551788647</v>
      </c>
      <c r="Q139" s="28" t="n">
        <v>158.1132346660069</v>
      </c>
      <c r="R139" s="28" t="n">
        <v>769.9945464132494</v>
      </c>
    </row>
    <row r="140" ht="15.75" customHeight="1" s="57">
      <c r="A140" s="7" t="inlineStr">
        <is>
          <t>NTB</t>
        </is>
      </c>
      <c r="B140" s="7" t="inlineStr">
        <is>
          <t>Khánh Hòa</t>
        </is>
      </c>
      <c r="C140" s="7" t="n">
        <v>1664</v>
      </c>
      <c r="D140" s="7" t="n">
        <v>410612</v>
      </c>
      <c r="E140" s="7" t="inlineStr">
        <is>
          <t>A</t>
        </is>
      </c>
      <c r="F140" s="7" t="n">
        <v>15</v>
      </c>
      <c r="G140" s="27" t="n">
        <v>1</v>
      </c>
      <c r="H140" s="7" t="inlineStr">
        <is>
          <t>Đã mở</t>
        </is>
      </c>
      <c r="I140" s="7" t="n"/>
      <c r="J140" s="7" t="inlineStr">
        <is>
          <t>GHN B2B Khánh Hòa (sắp mở)</t>
        </is>
      </c>
      <c r="K140" s="7" t="inlineStr">
        <is>
          <t>15to30</t>
        </is>
      </c>
      <c r="L140" s="28" t="n">
        <v>102.8912798912086</v>
      </c>
      <c r="M140" s="28" t="n">
        <v>125.8236991708552</v>
      </c>
      <c r="N140" s="28" t="n">
        <v>136.6630310948901</v>
      </c>
      <c r="O140" s="28" t="n">
        <v>158.129946298518</v>
      </c>
      <c r="P140" s="28" t="n">
        <v>167.7945709843917</v>
      </c>
      <c r="Q140" s="28" t="n">
        <v>179.0090035354147</v>
      </c>
      <c r="R140" s="28" t="n">
        <v>870.3115309752783</v>
      </c>
    </row>
    <row r="141" ht="15.75" customHeight="1" s="57">
      <c r="A141" s="7" t="inlineStr">
        <is>
          <t>NTB</t>
        </is>
      </c>
      <c r="B141" s="7" t="inlineStr">
        <is>
          <t>Khánh Hòa</t>
        </is>
      </c>
      <c r="C141" s="7" t="n">
        <v>1664</v>
      </c>
      <c r="D141" s="7" t="n">
        <v>410612</v>
      </c>
      <c r="E141" s="7" t="inlineStr">
        <is>
          <t>A</t>
        </is>
      </c>
      <c r="F141" s="7" t="n">
        <v>15</v>
      </c>
      <c r="G141" s="27" t="n">
        <v>1</v>
      </c>
      <c r="H141" s="7" t="inlineStr">
        <is>
          <t>Đã mở</t>
        </is>
      </c>
      <c r="I141" s="7" t="n"/>
      <c r="J141" s="7" t="inlineStr">
        <is>
          <t>GHN B2B Khánh Hòa (sắp mở)</t>
        </is>
      </c>
      <c r="K141" s="7" t="inlineStr">
        <is>
          <t>gte30</t>
        </is>
      </c>
      <c r="L141" s="28" t="n">
        <v>41.63775641326617</v>
      </c>
      <c r="M141" s="28" t="n">
        <v>49.82741630353935</v>
      </c>
      <c r="N141" s="28" t="n">
        <v>53.62981916035737</v>
      </c>
      <c r="O141" s="28" t="n">
        <v>61.65591916642788</v>
      </c>
      <c r="P141" s="28" t="n">
        <v>65.90256200512134</v>
      </c>
      <c r="Q141" s="28" t="n">
        <v>70.88788784995187</v>
      </c>
      <c r="R141" s="28" t="n">
        <v>343.541360898664</v>
      </c>
    </row>
    <row r="142" ht="15.75" customHeight="1" s="57">
      <c r="A142" s="7" t="inlineStr">
        <is>
          <t>NTB</t>
        </is>
      </c>
      <c r="B142" s="7" t="inlineStr">
        <is>
          <t>Khánh Hòa</t>
        </is>
      </c>
      <c r="C142" s="7" t="n">
        <v>1664</v>
      </c>
      <c r="D142" s="7" t="n">
        <v>410613</v>
      </c>
      <c r="E142" s="7" t="inlineStr">
        <is>
          <t>A</t>
        </is>
      </c>
      <c r="F142" s="7" t="n">
        <v>15</v>
      </c>
      <c r="G142" s="27" t="n">
        <v>1</v>
      </c>
      <c r="H142" s="7" t="inlineStr">
        <is>
          <t>Đã mở</t>
        </is>
      </c>
      <c r="I142" s="7" t="n"/>
      <c r="J142" s="7" t="inlineStr">
        <is>
          <t>GHN B2B Khánh Hòa (sắp mở)</t>
        </is>
      </c>
      <c r="K142" s="7" t="inlineStr">
        <is>
          <t>15to30</t>
        </is>
      </c>
      <c r="L142" s="28" t="n">
        <v>60.3087345744518</v>
      </c>
      <c r="M142" s="28" t="n">
        <v>73.60318615396328</v>
      </c>
      <c r="N142" s="28" t="n">
        <v>79.86086817625591</v>
      </c>
      <c r="O142" s="28" t="n">
        <v>92.33550203876534</v>
      </c>
      <c r="P142" s="28" t="n">
        <v>98.06898227229837</v>
      </c>
      <c r="Q142" s="28" t="n">
        <v>104.729973044893</v>
      </c>
      <c r="R142" s="28" t="n">
        <v>508.9072462606276</v>
      </c>
    </row>
    <row r="143" ht="15.75" customHeight="1" s="57">
      <c r="A143" s="7" t="inlineStr">
        <is>
          <t>NTB</t>
        </is>
      </c>
      <c r="B143" s="7" t="inlineStr">
        <is>
          <t>Khánh Hòa</t>
        </is>
      </c>
      <c r="C143" s="7" t="n">
        <v>1664</v>
      </c>
      <c r="D143" s="7" t="n">
        <v>410613</v>
      </c>
      <c r="E143" s="7" t="inlineStr">
        <is>
          <t>A</t>
        </is>
      </c>
      <c r="F143" s="7" t="n">
        <v>15</v>
      </c>
      <c r="G143" s="27" t="n">
        <v>1</v>
      </c>
      <c r="H143" s="7" t="inlineStr">
        <is>
          <t>Đã mở</t>
        </is>
      </c>
      <c r="I143" s="7" t="n"/>
      <c r="J143" s="7" t="inlineStr">
        <is>
          <t>GHN B2B Khánh Hòa (sắp mở)</t>
        </is>
      </c>
      <c r="K143" s="7" t="inlineStr">
        <is>
          <t>gte30</t>
        </is>
      </c>
      <c r="L143" s="28" t="n">
        <v>29.86594442393537</v>
      </c>
      <c r="M143" s="28" t="n">
        <v>36.1550277246693</v>
      </c>
      <c r="N143" s="28" t="n">
        <v>39.139634843072</v>
      </c>
      <c r="O143" s="28" t="n">
        <v>45.19081907961075</v>
      </c>
      <c r="P143" s="28" t="n">
        <v>48.10572107789117</v>
      </c>
      <c r="Q143" s="28" t="n">
        <v>51.49516627647697</v>
      </c>
      <c r="R143" s="28" t="n">
        <v>249.9523134256555</v>
      </c>
    </row>
    <row r="144" ht="15.75" customHeight="1" s="57">
      <c r="A144" s="7" t="inlineStr">
        <is>
          <t>NTB</t>
        </is>
      </c>
      <c r="B144" s="7" t="inlineStr">
        <is>
          <t>Khánh Hòa</t>
        </is>
      </c>
      <c r="C144" s="7" t="n">
        <v>1739</v>
      </c>
      <c r="D144" s="7" t="n">
        <v>410401</v>
      </c>
      <c r="E144" s="7" t="inlineStr">
        <is>
          <t>A</t>
        </is>
      </c>
      <c r="F144" s="7" t="n">
        <v>15</v>
      </c>
      <c r="G144" s="27" t="n">
        <v>1</v>
      </c>
      <c r="H144" s="7" t="inlineStr">
        <is>
          <t>Đã mở</t>
        </is>
      </c>
      <c r="I144" s="7" t="n"/>
      <c r="J144" s="7" t="inlineStr">
        <is>
          <t>GHN B2B Khánh Hòa (sắp mở)</t>
        </is>
      </c>
      <c r="K144" s="7" t="inlineStr">
        <is>
          <t>15to30</t>
        </is>
      </c>
      <c r="L144" s="28" t="n">
        <v>289.2311287478388</v>
      </c>
      <c r="M144" s="28" t="n">
        <v>356.7822347365512</v>
      </c>
      <c r="N144" s="28" t="n">
        <v>389.2846356408589</v>
      </c>
      <c r="O144" s="28" t="n">
        <v>451.9657396741094</v>
      </c>
      <c r="P144" s="28" t="n">
        <v>478.179862267159</v>
      </c>
      <c r="Q144" s="28" t="n">
        <v>508.2921578653979</v>
      </c>
      <c r="R144" s="28" t="n">
        <v>2473.735758931915</v>
      </c>
    </row>
    <row r="145" ht="15.75" customHeight="1" s="57">
      <c r="A145" s="7" t="inlineStr">
        <is>
          <t>NTB</t>
        </is>
      </c>
      <c r="B145" s="7" t="inlineStr">
        <is>
          <t>Khánh Hòa</t>
        </is>
      </c>
      <c r="C145" s="7" t="n">
        <v>1739</v>
      </c>
      <c r="D145" s="7" t="n">
        <v>410401</v>
      </c>
      <c r="E145" s="7" t="inlineStr">
        <is>
          <t>A</t>
        </is>
      </c>
      <c r="F145" s="7" t="n">
        <v>15</v>
      </c>
      <c r="G145" s="27" t="n">
        <v>1</v>
      </c>
      <c r="H145" s="7" t="inlineStr">
        <is>
          <t>Đã mở</t>
        </is>
      </c>
      <c r="I145" s="7" t="n"/>
      <c r="J145" s="7" t="inlineStr">
        <is>
          <t>GHN B2B Khánh Hòa (sắp mở)</t>
        </is>
      </c>
      <c r="K145" s="7" t="inlineStr">
        <is>
          <t>gte30</t>
        </is>
      </c>
      <c r="L145" s="28" t="n">
        <v>146.8837270532988</v>
      </c>
      <c r="M145" s="28" t="n">
        <v>181.4782293313148</v>
      </c>
      <c r="N145" s="28" t="n">
        <v>198.4289718975658</v>
      </c>
      <c r="O145" s="28" t="n">
        <v>230.7883094565407</v>
      </c>
      <c r="P145" s="28" t="n">
        <v>243.9657386572459</v>
      </c>
      <c r="Q145" s="28" t="n">
        <v>258.9885288189934</v>
      </c>
      <c r="R145" s="28" t="n">
        <v>1260.533505214959</v>
      </c>
    </row>
    <row r="146" ht="15.75" customHeight="1" s="57">
      <c r="A146" s="7" t="inlineStr">
        <is>
          <t>NTB</t>
        </is>
      </c>
      <c r="B146" s="7" t="inlineStr">
        <is>
          <t>Khánh Hòa</t>
        </is>
      </c>
      <c r="C146" s="7" t="n">
        <v>1739</v>
      </c>
      <c r="D146" s="7" t="n">
        <v>410404</v>
      </c>
      <c r="E146" s="7" t="inlineStr">
        <is>
          <t>A</t>
        </is>
      </c>
      <c r="F146" s="7" t="n">
        <v>15</v>
      </c>
      <c r="G146" s="27" t="n">
        <v>1</v>
      </c>
      <c r="H146" s="7" t="inlineStr">
        <is>
          <t>Đã mở</t>
        </is>
      </c>
      <c r="I146" s="7" t="n"/>
      <c r="J146" s="7" t="inlineStr">
        <is>
          <t>GHN B2B Khánh Hòa (sắp mở)</t>
        </is>
      </c>
      <c r="K146" s="7" t="inlineStr">
        <is>
          <t>15to30</t>
        </is>
      </c>
      <c r="L146" s="28" t="n">
        <v>97.36075169940545</v>
      </c>
      <c r="M146" s="28" t="n">
        <v>120.8462065703623</v>
      </c>
      <c r="N146" s="28" t="n">
        <v>132.2783125071153</v>
      </c>
      <c r="O146" s="28" t="n">
        <v>153.9421612230227</v>
      </c>
      <c r="P146" s="28" t="n">
        <v>162.5301439905078</v>
      </c>
      <c r="Q146" s="28" t="n">
        <v>172.3201619575511</v>
      </c>
      <c r="R146" s="28" t="n">
        <v>839.2777379479645</v>
      </c>
    </row>
    <row r="147" ht="15.75" customHeight="1" s="57">
      <c r="A147" s="7" t="inlineStr">
        <is>
          <t>NTB</t>
        </is>
      </c>
      <c r="B147" s="7" t="inlineStr">
        <is>
          <t>Khánh Hòa</t>
        </is>
      </c>
      <c r="C147" s="7" t="n">
        <v>1739</v>
      </c>
      <c r="D147" s="7" t="n">
        <v>410404</v>
      </c>
      <c r="E147" s="7" t="inlineStr">
        <is>
          <t>A</t>
        </is>
      </c>
      <c r="F147" s="7" t="n">
        <v>15</v>
      </c>
      <c r="G147" s="27" t="n">
        <v>1</v>
      </c>
      <c r="H147" s="7" t="inlineStr">
        <is>
          <t>Đã mở</t>
        </is>
      </c>
      <c r="I147" s="7" t="n"/>
      <c r="J147" s="7" t="inlineStr">
        <is>
          <t>GHN B2B Khánh Hòa (sắp mở)</t>
        </is>
      </c>
      <c r="K147" s="7" t="inlineStr">
        <is>
          <t>gte30</t>
        </is>
      </c>
      <c r="L147" s="28" t="n">
        <v>48.97943233650966</v>
      </c>
      <c r="M147" s="28" t="n">
        <v>59.74156364078187</v>
      </c>
      <c r="N147" s="28" t="n">
        <v>64.91416763616621</v>
      </c>
      <c r="O147" s="28" t="n">
        <v>75.15586472814023</v>
      </c>
      <c r="P147" s="28" t="n">
        <v>79.79454878737742</v>
      </c>
      <c r="Q147" s="28" t="n">
        <v>85.1517220384322</v>
      </c>
      <c r="R147" s="28" t="n">
        <v>413.7372991674076</v>
      </c>
    </row>
    <row r="148" ht="15.75" customHeight="1" s="57">
      <c r="A148" s="7" t="inlineStr">
        <is>
          <t>NTB</t>
        </is>
      </c>
      <c r="B148" s="7" t="inlineStr">
        <is>
          <t>Khánh Hòa</t>
        </is>
      </c>
      <c r="C148" s="7" t="n">
        <v>1739</v>
      </c>
      <c r="D148" s="7" t="n">
        <v>410407</v>
      </c>
      <c r="E148" s="7" t="inlineStr">
        <is>
          <t>A</t>
        </is>
      </c>
      <c r="F148" s="7" t="n">
        <v>15</v>
      </c>
      <c r="G148" s="27" t="n">
        <v>1</v>
      </c>
      <c r="H148" s="7" t="inlineStr">
        <is>
          <t>Đã mở</t>
        </is>
      </c>
      <c r="I148" s="7" t="n"/>
      <c r="J148" s="7" t="inlineStr">
        <is>
          <t>GHN B2B Khánh Hòa (sắp mở)</t>
        </is>
      </c>
      <c r="K148" s="7" t="inlineStr">
        <is>
          <t>15to30</t>
        </is>
      </c>
      <c r="L148" s="28" t="n">
        <v>110.5857237801454</v>
      </c>
      <c r="M148" s="28" t="n">
        <v>136.1636669185115</v>
      </c>
      <c r="N148" s="28" t="n">
        <v>148.4262885873725</v>
      </c>
      <c r="O148" s="28" t="n">
        <v>172.2029389554918</v>
      </c>
      <c r="P148" s="28" t="n">
        <v>182.3029150819673</v>
      </c>
      <c r="Q148" s="28" t="n">
        <v>193.9304218496251</v>
      </c>
      <c r="R148" s="28" t="n">
        <v>943.6119551731138</v>
      </c>
    </row>
    <row r="149" ht="15.75" customHeight="1" s="57">
      <c r="A149" s="7" t="inlineStr">
        <is>
          <t>NTB</t>
        </is>
      </c>
      <c r="B149" s="7" t="inlineStr">
        <is>
          <t>Khánh Hòa</t>
        </is>
      </c>
      <c r="C149" s="7" t="n">
        <v>1739</v>
      </c>
      <c r="D149" s="7" t="n">
        <v>410407</v>
      </c>
      <c r="E149" s="7" t="inlineStr">
        <is>
          <t>A</t>
        </is>
      </c>
      <c r="F149" s="7" t="n">
        <v>15</v>
      </c>
      <c r="G149" s="27" t="n">
        <v>1</v>
      </c>
      <c r="H149" s="7" t="inlineStr">
        <is>
          <t>Đã mở</t>
        </is>
      </c>
      <c r="I149" s="7" t="n"/>
      <c r="J149" s="7" t="inlineStr">
        <is>
          <t>GHN B2B Khánh Hòa (sắp mở)</t>
        </is>
      </c>
      <c r="K149" s="7" t="inlineStr">
        <is>
          <t>gte30</t>
        </is>
      </c>
      <c r="L149" s="28" t="n">
        <v>53.05824475655932</v>
      </c>
      <c r="M149" s="28" t="n">
        <v>65.77710828630701</v>
      </c>
      <c r="N149" s="28" t="n">
        <v>72.0380852736449</v>
      </c>
      <c r="O149" s="28" t="n">
        <v>83.88489112828869</v>
      </c>
      <c r="P149" s="28" t="n">
        <v>88.57460810050935</v>
      </c>
      <c r="Q149" s="28" t="n">
        <v>93.90126502738796</v>
      </c>
      <c r="R149" s="28" t="n">
        <v>457.2342025726973</v>
      </c>
    </row>
    <row r="150" ht="15.75" customHeight="1" s="57">
      <c r="A150" s="7" t="inlineStr">
        <is>
          <t>NTB</t>
        </is>
      </c>
      <c r="B150" s="7" t="inlineStr">
        <is>
          <t>Khánh Hòa</t>
        </is>
      </c>
      <c r="C150" s="7" t="n">
        <v>1739</v>
      </c>
      <c r="D150" s="7" t="n">
        <v>410410</v>
      </c>
      <c r="E150" s="7" t="inlineStr">
        <is>
          <t>A</t>
        </is>
      </c>
      <c r="F150" s="7" t="n">
        <v>15</v>
      </c>
      <c r="G150" s="27" t="n">
        <v>1</v>
      </c>
      <c r="H150" s="7" t="inlineStr">
        <is>
          <t>Đã mở</t>
        </is>
      </c>
      <c r="I150" s="7" t="n"/>
      <c r="J150" s="7" t="inlineStr">
        <is>
          <t>GHN B2B Khánh Hòa (sắp mở)</t>
        </is>
      </c>
      <c r="K150" s="7" t="inlineStr">
        <is>
          <t>15to30</t>
        </is>
      </c>
      <c r="L150" s="28" t="n">
        <v>132.5405652328686</v>
      </c>
      <c r="M150" s="28" t="n">
        <v>160.4229751763755</v>
      </c>
      <c r="N150" s="28" t="n">
        <v>173.2982553424049</v>
      </c>
      <c r="O150" s="28" t="n">
        <v>199.7079577149768</v>
      </c>
      <c r="P150" s="28" t="n">
        <v>212.7517332972981</v>
      </c>
      <c r="Q150" s="28" t="n">
        <v>228.0284199250667</v>
      </c>
      <c r="R150" s="28" t="n">
        <v>1106.749906688991</v>
      </c>
    </row>
    <row r="151" ht="15.75" customHeight="1" s="57">
      <c r="A151" s="7" t="inlineStr">
        <is>
          <t>NTB</t>
        </is>
      </c>
      <c r="B151" s="7" t="inlineStr">
        <is>
          <t>Khánh Hòa</t>
        </is>
      </c>
      <c r="C151" s="7" t="n">
        <v>1739</v>
      </c>
      <c r="D151" s="7" t="n">
        <v>410410</v>
      </c>
      <c r="E151" s="7" t="inlineStr">
        <is>
          <t>A</t>
        </is>
      </c>
      <c r="F151" s="7" t="n">
        <v>15</v>
      </c>
      <c r="G151" s="27" t="n">
        <v>1</v>
      </c>
      <c r="H151" s="7" t="inlineStr">
        <is>
          <t>Đã mở</t>
        </is>
      </c>
      <c r="I151" s="7" t="n"/>
      <c r="J151" s="7" t="inlineStr">
        <is>
          <t>GHN B2B Khánh Hòa (sắp mở)</t>
        </is>
      </c>
      <c r="K151" s="7" t="inlineStr">
        <is>
          <t>gte30</t>
        </is>
      </c>
      <c r="L151" s="28" t="n">
        <v>88.22236114063456</v>
      </c>
      <c r="M151" s="28" t="n">
        <v>107.20692899972</v>
      </c>
      <c r="N151" s="28" t="n">
        <v>116.2756511428449</v>
      </c>
      <c r="O151" s="28" t="n">
        <v>134.4391765970424</v>
      </c>
      <c r="P151" s="28" t="n">
        <v>142.9209842828508</v>
      </c>
      <c r="Q151" s="28" t="n">
        <v>152.7503121839853</v>
      </c>
      <c r="R151" s="28" t="n">
        <v>741.815414347078</v>
      </c>
    </row>
    <row r="152" ht="15.75" customHeight="1" s="57">
      <c r="A152" s="7" t="inlineStr">
        <is>
          <t>NTB</t>
        </is>
      </c>
      <c r="B152" s="7" t="inlineStr">
        <is>
          <t>Khánh Hòa</t>
        </is>
      </c>
      <c r="C152" s="7" t="n">
        <v>1739</v>
      </c>
      <c r="D152" s="7" t="n">
        <v>410411</v>
      </c>
      <c r="E152" s="7" t="inlineStr">
        <is>
          <t>A</t>
        </is>
      </c>
      <c r="F152" s="7" t="n">
        <v>15</v>
      </c>
      <c r="G152" s="27" t="n">
        <v>1</v>
      </c>
      <c r="H152" s="7" t="inlineStr">
        <is>
          <t>Đã mở</t>
        </is>
      </c>
      <c r="I152" s="7" t="n"/>
      <c r="J152" s="7" t="inlineStr">
        <is>
          <t>GHN B2B Khánh Hòa (sắp mở)</t>
        </is>
      </c>
      <c r="K152" s="7" t="inlineStr">
        <is>
          <t>15to30</t>
        </is>
      </c>
      <c r="L152" s="28" t="n">
        <v>79.45914562796965</v>
      </c>
      <c r="M152" s="28" t="n">
        <v>99.28298667271225</v>
      </c>
      <c r="N152" s="28" t="n">
        <v>109.0446000108127</v>
      </c>
      <c r="O152" s="28" t="n">
        <v>127.2198783343805</v>
      </c>
      <c r="P152" s="28" t="n">
        <v>134.0104080693484</v>
      </c>
      <c r="Q152" s="28" t="n">
        <v>141.6863051355177</v>
      </c>
      <c r="R152" s="28" t="n">
        <v>690.7033238507411</v>
      </c>
    </row>
    <row r="153" ht="15.75" customHeight="1" s="57">
      <c r="A153" s="7" t="inlineStr">
        <is>
          <t>NTB</t>
        </is>
      </c>
      <c r="B153" s="7" t="inlineStr">
        <is>
          <t>Khánh Hòa</t>
        </is>
      </c>
      <c r="C153" s="7" t="n">
        <v>1739</v>
      </c>
      <c r="D153" s="7" t="n">
        <v>410411</v>
      </c>
      <c r="E153" s="7" t="inlineStr">
        <is>
          <t>A</t>
        </is>
      </c>
      <c r="F153" s="7" t="n">
        <v>15</v>
      </c>
      <c r="G153" s="27" t="n">
        <v>1</v>
      </c>
      <c r="H153" s="7" t="inlineStr">
        <is>
          <t>Đã mở</t>
        </is>
      </c>
      <c r="I153" s="7" t="n"/>
      <c r="J153" s="7" t="inlineStr">
        <is>
          <t>GHN B2B Khánh Hòa (sắp mở)</t>
        </is>
      </c>
      <c r="K153" s="7" t="inlineStr">
        <is>
          <t>gte30</t>
        </is>
      </c>
      <c r="L153" s="28" t="n">
        <v>31.76525577066533</v>
      </c>
      <c r="M153" s="28" t="n">
        <v>39.59891799015494</v>
      </c>
      <c r="N153" s="28" t="n">
        <v>43.48311349505872</v>
      </c>
      <c r="O153" s="28" t="n">
        <v>50.73100969801467</v>
      </c>
      <c r="P153" s="28" t="n">
        <v>53.4694315227992</v>
      </c>
      <c r="Q153" s="28" t="n">
        <v>56.55997784423305</v>
      </c>
      <c r="R153" s="28" t="n">
        <v>275.6077063209259</v>
      </c>
    </row>
    <row r="154" ht="15.75" customHeight="1" s="57">
      <c r="A154" s="7" t="inlineStr">
        <is>
          <t>NTB</t>
        </is>
      </c>
      <c r="B154" s="7" t="inlineStr">
        <is>
          <t>Khánh Hòa</t>
        </is>
      </c>
      <c r="C154" s="7" t="n">
        <v>1739</v>
      </c>
      <c r="D154" s="7" t="n">
        <v>410412</v>
      </c>
      <c r="E154" s="7" t="inlineStr">
        <is>
          <t>A</t>
        </is>
      </c>
      <c r="F154" s="7" t="n">
        <v>15</v>
      </c>
      <c r="G154" s="27" t="n">
        <v>1</v>
      </c>
      <c r="H154" s="7" t="inlineStr">
        <is>
          <t>Đã mở</t>
        </is>
      </c>
      <c r="I154" s="7" t="n"/>
      <c r="J154" s="7" t="inlineStr">
        <is>
          <t>GHN B2B Khánh Hòa (sắp mở)</t>
        </is>
      </c>
      <c r="K154" s="7" t="inlineStr">
        <is>
          <t>15to30</t>
        </is>
      </c>
      <c r="L154" s="28" t="n">
        <v>109.3540154823568</v>
      </c>
      <c r="M154" s="28" t="n">
        <v>137.1236442190185</v>
      </c>
      <c r="N154" s="28" t="n">
        <v>150.8781912647643</v>
      </c>
      <c r="O154" s="28" t="n">
        <v>176.2587599442926</v>
      </c>
      <c r="P154" s="28" t="n">
        <v>185.4414673808259</v>
      </c>
      <c r="Q154" s="28" t="n">
        <v>195.7716907263417</v>
      </c>
      <c r="R154" s="28" t="n">
        <v>954.8277690175998</v>
      </c>
    </row>
    <row r="155" ht="15.75" customHeight="1" s="57">
      <c r="A155" s="7" t="inlineStr">
        <is>
          <t>NTB</t>
        </is>
      </c>
      <c r="B155" s="7" t="inlineStr">
        <is>
          <t>Khánh Hòa</t>
        </is>
      </c>
      <c r="C155" s="7" t="n">
        <v>1739</v>
      </c>
      <c r="D155" s="7" t="n">
        <v>410412</v>
      </c>
      <c r="E155" s="7" t="inlineStr">
        <is>
          <t>A</t>
        </is>
      </c>
      <c r="F155" s="7" t="n">
        <v>15</v>
      </c>
      <c r="G155" s="27" t="n">
        <v>1</v>
      </c>
      <c r="H155" s="7" t="inlineStr">
        <is>
          <t>Đã mở</t>
        </is>
      </c>
      <c r="I155" s="7" t="n"/>
      <c r="J155" s="7" t="inlineStr">
        <is>
          <t>GHN B2B Khánh Hòa (sắp mở)</t>
        </is>
      </c>
      <c r="K155" s="7" t="inlineStr">
        <is>
          <t>gte30</t>
        </is>
      </c>
      <c r="L155" s="28" t="n">
        <v>49.49862756355797</v>
      </c>
      <c r="M155" s="28" t="n">
        <v>61.92227058951807</v>
      </c>
      <c r="N155" s="28" t="n">
        <v>68.1092672422497</v>
      </c>
      <c r="O155" s="28" t="n">
        <v>79.55712856964843</v>
      </c>
      <c r="P155" s="28" t="n">
        <v>83.75579350442936</v>
      </c>
      <c r="Q155" s="28" t="n">
        <v>88.47426672812786</v>
      </c>
      <c r="R155" s="28" t="n">
        <v>431.3173541975314</v>
      </c>
    </row>
    <row r="156" ht="15.75" customHeight="1" s="57">
      <c r="A156" s="7" t="inlineStr">
        <is>
          <t>NTB</t>
        </is>
      </c>
      <c r="B156" s="7" t="inlineStr">
        <is>
          <t>Khánh Hòa</t>
        </is>
      </c>
      <c r="C156" s="7" t="n">
        <v>1739</v>
      </c>
      <c r="D156" s="7" t="n">
        <v>410414</v>
      </c>
      <c r="E156" s="7" t="inlineStr">
        <is>
          <t>A</t>
        </is>
      </c>
      <c r="F156" s="7" t="n">
        <v>15</v>
      </c>
      <c r="G156" s="27" t="n">
        <v>1</v>
      </c>
      <c r="H156" s="7" t="inlineStr">
        <is>
          <t>Đã mở</t>
        </is>
      </c>
      <c r="I156" s="7" t="n"/>
      <c r="J156" s="7" t="inlineStr">
        <is>
          <t>GHN B2B Khánh Hòa (sắp mở)</t>
        </is>
      </c>
      <c r="K156" s="7" t="inlineStr">
        <is>
          <t>15to30</t>
        </is>
      </c>
      <c r="L156" s="28" t="n">
        <v>56.15471226803443</v>
      </c>
      <c r="M156" s="28" t="n">
        <v>70.34234142621033</v>
      </c>
      <c r="N156" s="28" t="n">
        <v>77.35794579083756</v>
      </c>
      <c r="O156" s="28" t="n">
        <v>90.3368142851491</v>
      </c>
      <c r="P156" s="28" t="n">
        <v>95.07766473559317</v>
      </c>
      <c r="Q156" s="28" t="n">
        <v>100.418175469361</v>
      </c>
      <c r="R156" s="28" t="n">
        <v>489.6876539751856</v>
      </c>
    </row>
    <row r="157" ht="15.75" customHeight="1" s="57">
      <c r="A157" s="7" t="inlineStr">
        <is>
          <t>NTB</t>
        </is>
      </c>
      <c r="B157" s="7" t="inlineStr">
        <is>
          <t>Khánh Hòa</t>
        </is>
      </c>
      <c r="C157" s="7" t="n">
        <v>1739</v>
      </c>
      <c r="D157" s="7" t="n">
        <v>410414</v>
      </c>
      <c r="E157" s="7" t="inlineStr">
        <is>
          <t>A</t>
        </is>
      </c>
      <c r="F157" s="7" t="n">
        <v>15</v>
      </c>
      <c r="G157" s="27" t="n">
        <v>1</v>
      </c>
      <c r="H157" s="7" t="inlineStr">
        <is>
          <t>Đã mở</t>
        </is>
      </c>
      <c r="I157" s="7" t="n"/>
      <c r="J157" s="7" t="inlineStr">
        <is>
          <t>GHN B2B Khánh Hòa (sắp mở)</t>
        </is>
      </c>
      <c r="K157" s="7" t="inlineStr">
        <is>
          <t>gte30</t>
        </is>
      </c>
      <c r="L157" s="28" t="n">
        <v>34.38376640656411</v>
      </c>
      <c r="M157" s="28" t="n">
        <v>43.35886677728203</v>
      </c>
      <c r="N157" s="28" t="n">
        <v>47.87062287447071</v>
      </c>
      <c r="O157" s="28" t="n">
        <v>56.0675774911854</v>
      </c>
      <c r="P157" s="28" t="n">
        <v>58.87503491725227</v>
      </c>
      <c r="Q157" s="28" t="n">
        <v>61.99756093389625</v>
      </c>
      <c r="R157" s="28" t="n">
        <v>302.5534294006508</v>
      </c>
    </row>
    <row r="158" ht="15.75" customHeight="1" s="57">
      <c r="A158" s="7" t="inlineStr">
        <is>
          <t>NTB</t>
        </is>
      </c>
      <c r="B158" s="7" t="inlineStr">
        <is>
          <t>Khánh Hòa</t>
        </is>
      </c>
      <c r="C158" s="7" t="n">
        <v>1739</v>
      </c>
      <c r="D158" s="7" t="n">
        <v>410416</v>
      </c>
      <c r="E158" s="7" t="inlineStr">
        <is>
          <t>A</t>
        </is>
      </c>
      <c r="F158" s="7" t="n">
        <v>15</v>
      </c>
      <c r="G158" s="27" t="n">
        <v>1</v>
      </c>
      <c r="H158" s="7" t="inlineStr">
        <is>
          <t>Đã mở</t>
        </is>
      </c>
      <c r="I158" s="7" t="n"/>
      <c r="J158" s="7" t="inlineStr">
        <is>
          <t>GHN B2B Khánh Hòa (sắp mở)</t>
        </is>
      </c>
      <c r="K158" s="7" t="inlineStr">
        <is>
          <t>15to30</t>
        </is>
      </c>
      <c r="L158" s="28" t="n">
        <v>92.06236871379583</v>
      </c>
      <c r="M158" s="28" t="n">
        <v>113.1184570210116</v>
      </c>
      <c r="N158" s="28" t="n">
        <v>123.1707933432131</v>
      </c>
      <c r="O158" s="28" t="n">
        <v>142.7853088950531</v>
      </c>
      <c r="P158" s="28" t="n">
        <v>151.2687215506356</v>
      </c>
      <c r="Q158" s="28" t="n">
        <v>161.058843277527</v>
      </c>
      <c r="R158" s="28" t="n">
        <v>783.4644928012361</v>
      </c>
    </row>
    <row r="159" ht="15.75" customHeight="1" s="57">
      <c r="A159" s="7" t="inlineStr">
        <is>
          <t>NTB</t>
        </is>
      </c>
      <c r="B159" s="7" t="inlineStr">
        <is>
          <t>Khánh Hòa</t>
        </is>
      </c>
      <c r="C159" s="7" t="n">
        <v>1739</v>
      </c>
      <c r="D159" s="7" t="n">
        <v>410416</v>
      </c>
      <c r="E159" s="7" t="inlineStr">
        <is>
          <t>A</t>
        </is>
      </c>
      <c r="F159" s="7" t="n">
        <v>15</v>
      </c>
      <c r="G159" s="27" t="n">
        <v>1</v>
      </c>
      <c r="H159" s="7" t="inlineStr">
        <is>
          <t>Đã mở</t>
        </is>
      </c>
      <c r="I159" s="7" t="n"/>
      <c r="J159" s="7" t="inlineStr">
        <is>
          <t>GHN B2B Khánh Hòa (sắp mở)</t>
        </is>
      </c>
      <c r="K159" s="7" t="inlineStr">
        <is>
          <t>gte30</t>
        </is>
      </c>
      <c r="L159" s="28" t="n">
        <v>34.59677094813063</v>
      </c>
      <c r="M159" s="28" t="n">
        <v>43.12674877061297</v>
      </c>
      <c r="N159" s="28" t="n">
        <v>47.35595671289131</v>
      </c>
      <c r="O159" s="28" t="n">
        <v>55.24852593941365</v>
      </c>
      <c r="P159" s="28" t="n">
        <v>58.23166917015969</v>
      </c>
      <c r="Q159" s="28" t="n">
        <v>61.5985871007879</v>
      </c>
      <c r="R159" s="28" t="n">
        <v>300.1582586419962</v>
      </c>
    </row>
    <row r="160" ht="15.75" customHeight="1" s="57">
      <c r="A160" s="7" t="inlineStr">
        <is>
          <t>NTB</t>
        </is>
      </c>
      <c r="B160" s="7" t="inlineStr">
        <is>
          <t>Khánh Hòa</t>
        </is>
      </c>
      <c r="C160" s="7" t="n">
        <v>1902</v>
      </c>
      <c r="D160" s="7" t="n">
        <v>410901</v>
      </c>
      <c r="E160" s="7" t="inlineStr">
        <is>
          <t>A</t>
        </is>
      </c>
      <c r="F160" s="7" t="n">
        <v>15</v>
      </c>
      <c r="G160" s="27" t="n">
        <v>1</v>
      </c>
      <c r="H160" s="7" t="inlineStr">
        <is>
          <t>Đã mở</t>
        </is>
      </c>
      <c r="I160" s="7" t="n"/>
      <c r="J160" s="7" t="inlineStr">
        <is>
          <t>GHN B2B Khánh Hòa (sắp mở)</t>
        </is>
      </c>
      <c r="K160" s="7" t="inlineStr">
        <is>
          <t>15to30</t>
        </is>
      </c>
      <c r="L160" s="28" t="n">
        <v>337.1157789323079</v>
      </c>
      <c r="M160" s="28" t="n">
        <v>416.7379110641382</v>
      </c>
      <c r="N160" s="28" t="n">
        <v>455.2040680172453</v>
      </c>
      <c r="O160" s="28" t="n">
        <v>528.929898571529</v>
      </c>
      <c r="P160" s="28" t="n">
        <v>559.1803532417733</v>
      </c>
      <c r="Q160" s="28" t="n">
        <v>593.846099116471</v>
      </c>
      <c r="R160" s="28" t="n">
        <v>2891.014108943465</v>
      </c>
    </row>
    <row r="161" ht="15.75" customHeight="1" s="57">
      <c r="A161" s="7" t="inlineStr">
        <is>
          <t>NTB</t>
        </is>
      </c>
      <c r="B161" s="7" t="inlineStr">
        <is>
          <t>Khánh Hòa</t>
        </is>
      </c>
      <c r="C161" s="7" t="n">
        <v>1902</v>
      </c>
      <c r="D161" s="7" t="n">
        <v>410901</v>
      </c>
      <c r="E161" s="7" t="inlineStr">
        <is>
          <t>A</t>
        </is>
      </c>
      <c r="F161" s="7" t="n">
        <v>15</v>
      </c>
      <c r="G161" s="27" t="n">
        <v>1</v>
      </c>
      <c r="H161" s="7" t="inlineStr">
        <is>
          <t>Đã mở</t>
        </is>
      </c>
      <c r="I161" s="7" t="n"/>
      <c r="J161" s="7" t="inlineStr">
        <is>
          <t>GHN B2B Khánh Hòa (sắp mở)</t>
        </is>
      </c>
      <c r="K161" s="7" t="inlineStr">
        <is>
          <t>gte30</t>
        </is>
      </c>
      <c r="L161" s="28" t="n">
        <v>144.1957092381218</v>
      </c>
      <c r="M161" s="28" t="n">
        <v>178.335883851734</v>
      </c>
      <c r="N161" s="28" t="n">
        <v>195.0872731933031</v>
      </c>
      <c r="O161" s="28" t="n">
        <v>226.9812218807047</v>
      </c>
      <c r="P161" s="28" t="n">
        <v>239.8609877038677</v>
      </c>
      <c r="Q161" s="28" t="n">
        <v>254.5285119264707</v>
      </c>
      <c r="R161" s="28" t="n">
        <v>1238.989587794202</v>
      </c>
    </row>
    <row r="162" ht="15.75" customHeight="1" s="57">
      <c r="A162" s="7" t="inlineStr">
        <is>
          <t>NTB</t>
        </is>
      </c>
      <c r="B162" s="7" t="inlineStr">
        <is>
          <t>Khánh Hòa</t>
        </is>
      </c>
      <c r="C162" s="7" t="n">
        <v>1902</v>
      </c>
      <c r="D162" s="7" t="n">
        <v>410911</v>
      </c>
      <c r="E162" s="7" t="inlineStr">
        <is>
          <t>A</t>
        </is>
      </c>
      <c r="F162" s="7" t="n">
        <v>15</v>
      </c>
      <c r="G162" s="27" t="n">
        <v>1</v>
      </c>
      <c r="H162" s="7" t="inlineStr">
        <is>
          <t>Đã mở</t>
        </is>
      </c>
      <c r="I162" s="7" t="n"/>
      <c r="J162" s="7" t="inlineStr">
        <is>
          <t>GHN B2B Khánh Hòa (sắp mở)</t>
        </is>
      </c>
      <c r="K162" s="7" t="inlineStr">
        <is>
          <t>15to30</t>
        </is>
      </c>
      <c r="L162" s="28" t="n">
        <v>164.3570725952588</v>
      </c>
      <c r="M162" s="28" t="n">
        <v>201.8401797954891</v>
      </c>
      <c r="N162" s="28" t="n">
        <v>219.715844446358</v>
      </c>
      <c r="O162" s="28" t="n">
        <v>254.6529049385113</v>
      </c>
      <c r="P162" s="28" t="n">
        <v>269.8406107961415</v>
      </c>
      <c r="Q162" s="28" t="n">
        <v>287.3760995826562</v>
      </c>
      <c r="R162" s="28" t="n">
        <v>1397.782712154415</v>
      </c>
    </row>
    <row r="163" ht="15.75" customHeight="1" s="57">
      <c r="A163" s="7" t="inlineStr">
        <is>
          <t>NTB</t>
        </is>
      </c>
      <c r="B163" s="7" t="inlineStr">
        <is>
          <t>Khánh Hòa</t>
        </is>
      </c>
      <c r="C163" s="7" t="n">
        <v>1902</v>
      </c>
      <c r="D163" s="7" t="n">
        <v>410911</v>
      </c>
      <c r="E163" s="7" t="inlineStr">
        <is>
          <t>A</t>
        </is>
      </c>
      <c r="F163" s="7" t="n">
        <v>15</v>
      </c>
      <c r="G163" s="27" t="n">
        <v>1</v>
      </c>
      <c r="H163" s="7" t="inlineStr">
        <is>
          <t>Đã mở</t>
        </is>
      </c>
      <c r="I163" s="7" t="n"/>
      <c r="J163" s="7" t="inlineStr">
        <is>
          <t>GHN B2B Khánh Hòa (sắp mở)</t>
        </is>
      </c>
      <c r="K163" s="7" t="inlineStr">
        <is>
          <t>gte30</t>
        </is>
      </c>
      <c r="L163" s="28" t="n">
        <v>51.09476547314659</v>
      </c>
      <c r="M163" s="28" t="n">
        <v>63.76582925296515</v>
      </c>
      <c r="N163" s="28" t="n">
        <v>70.05733724046382</v>
      </c>
      <c r="O163" s="28" t="n">
        <v>81.76568675092784</v>
      </c>
      <c r="P163" s="28" t="n">
        <v>86.14817141262502</v>
      </c>
      <c r="Q163" s="28" t="n">
        <v>91.08764926595893</v>
      </c>
      <c r="R163" s="28" t="n">
        <v>443.9194393960873</v>
      </c>
    </row>
    <row r="164" ht="15.75" customHeight="1" s="57">
      <c r="A164" s="7" t="inlineStr">
        <is>
          <t>NTB</t>
        </is>
      </c>
      <c r="B164" s="7" t="inlineStr">
        <is>
          <t>Lâm Đồng</t>
        </is>
      </c>
      <c r="C164" s="7" t="n">
        <v>1550</v>
      </c>
      <c r="D164" s="7" t="n">
        <v>420101</v>
      </c>
      <c r="E164" s="7" t="inlineStr">
        <is>
          <t>A</t>
        </is>
      </c>
      <c r="F164" s="7" t="n">
        <v>15</v>
      </c>
      <c r="G164" s="27" t="n">
        <v>1</v>
      </c>
      <c r="H164" s="7" t="inlineStr">
        <is>
          <t>Đã mở</t>
        </is>
      </c>
      <c r="I164" s="7" t="n"/>
      <c r="J164" s="7" t="inlineStr">
        <is>
          <t>GHN B2B Lâm Đồng (sắp mở)</t>
        </is>
      </c>
      <c r="K164" s="7" t="inlineStr">
        <is>
          <t>15to30</t>
        </is>
      </c>
      <c r="L164" s="28" t="n">
        <v>421.8576338562808</v>
      </c>
      <c r="M164" s="28" t="n">
        <v>524.3154774435903</v>
      </c>
      <c r="N164" s="28" t="n">
        <v>574.5234570610302</v>
      </c>
      <c r="O164" s="28" t="n">
        <v>669.169378547161</v>
      </c>
      <c r="P164" s="28" t="n">
        <v>706.007880686331</v>
      </c>
      <c r="Q164" s="28" t="n">
        <v>747.885861341819</v>
      </c>
      <c r="R164" s="28" t="n">
        <v>3643.759688936212</v>
      </c>
    </row>
    <row r="165" ht="15.75" customHeight="1" s="57">
      <c r="A165" s="7" t="inlineStr">
        <is>
          <t>NTB</t>
        </is>
      </c>
      <c r="B165" s="7" t="inlineStr">
        <is>
          <t>Lâm Đồng</t>
        </is>
      </c>
      <c r="C165" s="7" t="n">
        <v>1550</v>
      </c>
      <c r="D165" s="7" t="n">
        <v>420101</v>
      </c>
      <c r="E165" s="7" t="inlineStr">
        <is>
          <t>A</t>
        </is>
      </c>
      <c r="F165" s="7" t="n">
        <v>15</v>
      </c>
      <c r="G165" s="27" t="n">
        <v>1</v>
      </c>
      <c r="H165" s="7" t="inlineStr">
        <is>
          <t>Đã mở</t>
        </is>
      </c>
      <c r="I165" s="7" t="n"/>
      <c r="J165" s="7" t="inlineStr">
        <is>
          <t>GHN B2B Lâm Đồng (sắp mở)</t>
        </is>
      </c>
      <c r="K165" s="7" t="inlineStr">
        <is>
          <t>gte30</t>
        </is>
      </c>
      <c r="L165" s="28" t="n">
        <v>157.506590716852</v>
      </c>
      <c r="M165" s="28" t="n">
        <v>196.1583914898397</v>
      </c>
      <c r="N165" s="28" t="n">
        <v>215.3945656701216</v>
      </c>
      <c r="O165" s="28" t="n">
        <v>251.3114434207953</v>
      </c>
      <c r="P165" s="28" t="n">
        <v>264.9181792038219</v>
      </c>
      <c r="Q165" s="28" t="n">
        <v>280.2636959545314</v>
      </c>
      <c r="R165" s="28" t="n">
        <v>1365.552866455962</v>
      </c>
    </row>
    <row r="166" ht="15.75" customHeight="1" s="57">
      <c r="A166" s="7" t="inlineStr">
        <is>
          <t>NTB</t>
        </is>
      </c>
      <c r="B166" s="7" t="inlineStr">
        <is>
          <t>Lâm Đồng</t>
        </is>
      </c>
      <c r="C166" s="7" t="n">
        <v>1550</v>
      </c>
      <c r="D166" s="7" t="n">
        <v>420102</v>
      </c>
      <c r="E166" s="7" t="inlineStr">
        <is>
          <t>A</t>
        </is>
      </c>
      <c r="F166" s="7" t="n">
        <v>15</v>
      </c>
      <c r="G166" s="27" t="n">
        <v>1</v>
      </c>
      <c r="H166" s="7" t="inlineStr">
        <is>
          <t>Đã mở</t>
        </is>
      </c>
      <c r="I166" s="7" t="n"/>
      <c r="J166" s="7" t="inlineStr">
        <is>
          <t>GHN B2B Lâm Đồng (sắp mở)</t>
        </is>
      </c>
      <c r="K166" s="7" t="inlineStr">
        <is>
          <t>15to30</t>
        </is>
      </c>
      <c r="L166" s="28" t="n">
        <v>500.17581313223</v>
      </c>
      <c r="M166" s="28" t="n">
        <v>624.5874093087201</v>
      </c>
      <c r="N166" s="28" t="n">
        <v>686.0113505067136</v>
      </c>
      <c r="O166" s="28" t="n">
        <v>800.4084141209241</v>
      </c>
      <c r="P166" s="28" t="n">
        <v>843.2345556929383</v>
      </c>
      <c r="Q166" s="28" t="n">
        <v>891.6085353210317</v>
      </c>
      <c r="R166" s="28" t="n">
        <v>4346.026078082558</v>
      </c>
    </row>
    <row r="167" ht="15.75" customHeight="1" s="57">
      <c r="A167" s="7" t="inlineStr">
        <is>
          <t>NTB</t>
        </is>
      </c>
      <c r="B167" s="7" t="inlineStr">
        <is>
          <t>Lâm Đồng</t>
        </is>
      </c>
      <c r="C167" s="7" t="n">
        <v>1550</v>
      </c>
      <c r="D167" s="7" t="n">
        <v>420102</v>
      </c>
      <c r="E167" s="7" t="inlineStr">
        <is>
          <t>A</t>
        </is>
      </c>
      <c r="F167" s="7" t="n">
        <v>15</v>
      </c>
      <c r="G167" s="27" t="n">
        <v>1</v>
      </c>
      <c r="H167" s="7" t="inlineStr">
        <is>
          <t>Đã mở</t>
        </is>
      </c>
      <c r="I167" s="7" t="n"/>
      <c r="J167" s="7" t="inlineStr">
        <is>
          <t>GHN B2B Lâm Đồng (sắp mở)</t>
        </is>
      </c>
      <c r="K167" s="7" t="inlineStr">
        <is>
          <t>gte30</t>
        </is>
      </c>
      <c r="L167" s="28" t="n">
        <v>200.937933488452</v>
      </c>
      <c r="M167" s="28" t="n">
        <v>250.3637440362871</v>
      </c>
      <c r="N167" s="28" t="n">
        <v>274.9741842078721</v>
      </c>
      <c r="O167" s="28" t="n">
        <v>320.8748807804493</v>
      </c>
      <c r="P167" s="28" t="n">
        <v>338.1975448639943</v>
      </c>
      <c r="Q167" s="28" t="n">
        <v>357.7236411954754</v>
      </c>
      <c r="R167" s="28" t="n">
        <v>1743.07192857253</v>
      </c>
    </row>
    <row r="168" ht="15.75" customHeight="1" s="57">
      <c r="A168" s="7" t="inlineStr">
        <is>
          <t>NTB</t>
        </is>
      </c>
      <c r="B168" s="7" t="inlineStr">
        <is>
          <t>Lâm Đồng</t>
        </is>
      </c>
      <c r="C168" s="7" t="n">
        <v>1550</v>
      </c>
      <c r="D168" s="7" t="n">
        <v>420103</v>
      </c>
      <c r="E168" s="7" t="inlineStr">
        <is>
          <t>A</t>
        </is>
      </c>
      <c r="F168" s="7" t="n">
        <v>15</v>
      </c>
      <c r="G168" s="27" t="n">
        <v>1</v>
      </c>
      <c r="H168" s="7" t="inlineStr">
        <is>
          <t>Đã mở</t>
        </is>
      </c>
      <c r="I168" s="7" t="n"/>
      <c r="J168" s="7" t="inlineStr">
        <is>
          <t>GHN B2B Lâm Đồng (sắp mở)</t>
        </is>
      </c>
      <c r="K168" s="7" t="inlineStr">
        <is>
          <t>15to30</t>
        </is>
      </c>
      <c r="L168" s="28" t="n">
        <v>394.1849091130091</v>
      </c>
      <c r="M168" s="28" t="n">
        <v>494.7236491865289</v>
      </c>
      <c r="N168" s="28" t="n">
        <v>544.7348982131059</v>
      </c>
      <c r="O168" s="28" t="n">
        <v>636.7277021780277</v>
      </c>
      <c r="P168" s="28" t="n">
        <v>669.6696929534432</v>
      </c>
      <c r="Q168" s="28" t="n">
        <v>706.6317347752668</v>
      </c>
      <c r="R168" s="28" t="n">
        <v>3446.672586419381</v>
      </c>
    </row>
    <row r="169" ht="15.75" customHeight="1" s="57">
      <c r="A169" s="7" t="inlineStr">
        <is>
          <t>NTB</t>
        </is>
      </c>
      <c r="B169" s="7" t="inlineStr">
        <is>
          <t>Lâm Đồng</t>
        </is>
      </c>
      <c r="C169" s="7" t="n">
        <v>1550</v>
      </c>
      <c r="D169" s="7" t="n">
        <v>420103</v>
      </c>
      <c r="E169" s="7" t="inlineStr">
        <is>
          <t>A</t>
        </is>
      </c>
      <c r="F169" s="7" t="n">
        <v>15</v>
      </c>
      <c r="G169" s="27" t="n">
        <v>1</v>
      </c>
      <c r="H169" s="7" t="inlineStr">
        <is>
          <t>Đã mở</t>
        </is>
      </c>
      <c r="I169" s="7" t="n"/>
      <c r="J169" s="7" t="inlineStr">
        <is>
          <t>GHN B2B Lâm Đồng (sắp mở)</t>
        </is>
      </c>
      <c r="K169" s="7" t="inlineStr">
        <is>
          <t>gte30</t>
        </is>
      </c>
      <c r="L169" s="28" t="n">
        <v>142.6802655992554</v>
      </c>
      <c r="M169" s="28" t="n">
        <v>178.0057562541085</v>
      </c>
      <c r="N169" s="28" t="n">
        <v>195.6194954546679</v>
      </c>
      <c r="O169" s="28" t="n">
        <v>228.3705553602622</v>
      </c>
      <c r="P169" s="28" t="n">
        <v>240.5995755058895</v>
      </c>
      <c r="Q169" s="28" t="n">
        <v>254.3638916182472</v>
      </c>
      <c r="R169" s="28" t="n">
        <v>1239.639539792431</v>
      </c>
    </row>
    <row r="170" ht="15.75" customHeight="1" s="57">
      <c r="A170" s="7" t="inlineStr">
        <is>
          <t>NTB</t>
        </is>
      </c>
      <c r="B170" s="7" t="inlineStr">
        <is>
          <t>Lâm Đồng</t>
        </is>
      </c>
      <c r="C170" s="7" t="n">
        <v>1550</v>
      </c>
      <c r="D170" s="7" t="n">
        <v>420104</v>
      </c>
      <c r="E170" s="7" t="inlineStr">
        <is>
          <t>A</t>
        </is>
      </c>
      <c r="F170" s="7" t="n">
        <v>15</v>
      </c>
      <c r="G170" s="27" t="n">
        <v>1</v>
      </c>
      <c r="H170" s="7" t="inlineStr">
        <is>
          <t>Đã mở</t>
        </is>
      </c>
      <c r="I170" s="7" t="n"/>
      <c r="J170" s="7" t="inlineStr">
        <is>
          <t>GHN B2B Lâm Đồng (sắp mở)</t>
        </is>
      </c>
      <c r="K170" s="7" t="inlineStr">
        <is>
          <t>15to30</t>
        </is>
      </c>
      <c r="L170" s="28" t="n">
        <v>284.3998750910823</v>
      </c>
      <c r="M170" s="28" t="n">
        <v>344.2279537584503</v>
      </c>
      <c r="N170" s="28" t="n">
        <v>372.1264952033964</v>
      </c>
      <c r="O170" s="28" t="n">
        <v>429.1179203113361</v>
      </c>
      <c r="P170" s="28" t="n">
        <v>456.9799784581198</v>
      </c>
      <c r="Q170" s="28" t="n">
        <v>489.5434539501897</v>
      </c>
      <c r="R170" s="28" t="n">
        <v>2376.395676772574</v>
      </c>
    </row>
    <row r="171" ht="15.75" customHeight="1" s="57">
      <c r="A171" s="7" t="inlineStr">
        <is>
          <t>NTB</t>
        </is>
      </c>
      <c r="B171" s="7" t="inlineStr">
        <is>
          <t>Lâm Đồng</t>
        </is>
      </c>
      <c r="C171" s="7" t="n">
        <v>1550</v>
      </c>
      <c r="D171" s="7" t="n">
        <v>420104</v>
      </c>
      <c r="E171" s="7" t="inlineStr">
        <is>
          <t>A</t>
        </is>
      </c>
      <c r="F171" s="7" t="n">
        <v>15</v>
      </c>
      <c r="G171" s="27" t="n">
        <v>1</v>
      </c>
      <c r="H171" s="7" t="inlineStr">
        <is>
          <t>Đã mở</t>
        </is>
      </c>
      <c r="I171" s="7" t="n"/>
      <c r="J171" s="7" t="inlineStr">
        <is>
          <t>GHN B2B Lâm Đồng (sắp mở)</t>
        </is>
      </c>
      <c r="K171" s="7" t="inlineStr">
        <is>
          <t>gte30</t>
        </is>
      </c>
      <c r="L171" s="28" t="n">
        <v>72.40928983012218</v>
      </c>
      <c r="M171" s="28" t="n">
        <v>89.40290468511586</v>
      </c>
      <c r="N171" s="28" t="n">
        <v>97.77825590457026</v>
      </c>
      <c r="O171" s="28" t="n">
        <v>113.7555049121673</v>
      </c>
      <c r="P171" s="28" t="n">
        <v>120.2516239586593</v>
      </c>
      <c r="Q171" s="28" t="n">
        <v>127.6460372925157</v>
      </c>
      <c r="R171" s="28" t="n">
        <v>621.2436165831507</v>
      </c>
    </row>
    <row r="172" ht="15.75" customHeight="1" s="57">
      <c r="A172" s="7" t="inlineStr">
        <is>
          <t>NTB</t>
        </is>
      </c>
      <c r="B172" s="7" t="inlineStr">
        <is>
          <t>Lâm Đồng</t>
        </is>
      </c>
      <c r="C172" s="7" t="n">
        <v>1550</v>
      </c>
      <c r="D172" s="7" t="n">
        <v>420105</v>
      </c>
      <c r="E172" s="7" t="inlineStr">
        <is>
          <t>A</t>
        </is>
      </c>
      <c r="F172" s="7" t="n">
        <v>15</v>
      </c>
      <c r="G172" s="27" t="n">
        <v>1</v>
      </c>
      <c r="H172" s="7" t="inlineStr">
        <is>
          <t>Đã mở</t>
        </is>
      </c>
      <c r="I172" s="7" t="n"/>
      <c r="J172" s="7" t="inlineStr">
        <is>
          <t>GHN B2B Lâm Đồng (sắp mở)</t>
        </is>
      </c>
      <c r="K172" s="7" t="inlineStr">
        <is>
          <t>15to30</t>
        </is>
      </c>
      <c r="L172" s="28" t="n">
        <v>739.6451628452701</v>
      </c>
      <c r="M172" s="28" t="n">
        <v>926.3463195047178</v>
      </c>
      <c r="N172" s="28" t="n">
        <v>1018.927457336292</v>
      </c>
      <c r="O172" s="28" t="n">
        <v>1190.092512074795</v>
      </c>
      <c r="P172" s="28" t="n">
        <v>1252.467054397805</v>
      </c>
      <c r="Q172" s="28" t="n">
        <v>1322.669146336624</v>
      </c>
      <c r="R172" s="28" t="n">
        <v>6450.147652495504</v>
      </c>
    </row>
    <row r="173" ht="15.75" customHeight="1" s="57">
      <c r="A173" s="7" t="inlineStr">
        <is>
          <t>NTB</t>
        </is>
      </c>
      <c r="B173" s="7" t="inlineStr">
        <is>
          <t>Lâm Đồng</t>
        </is>
      </c>
      <c r="C173" s="7" t="n">
        <v>1550</v>
      </c>
      <c r="D173" s="7" t="n">
        <v>420105</v>
      </c>
      <c r="E173" s="7" t="inlineStr">
        <is>
          <t>A</t>
        </is>
      </c>
      <c r="F173" s="7" t="n">
        <v>15</v>
      </c>
      <c r="G173" s="27" t="n">
        <v>1</v>
      </c>
      <c r="H173" s="7" t="inlineStr">
        <is>
          <t>Đã mở</t>
        </is>
      </c>
      <c r="I173" s="7" t="n"/>
      <c r="J173" s="7" t="inlineStr">
        <is>
          <t>GHN B2B Lâm Đồng (sắp mở)</t>
        </is>
      </c>
      <c r="K173" s="7" t="inlineStr">
        <is>
          <t>gte30</t>
        </is>
      </c>
      <c r="L173" s="28" t="n">
        <v>350.0599336654598</v>
      </c>
      <c r="M173" s="28" t="n">
        <v>437.7174363691321</v>
      </c>
      <c r="N173" s="28" t="n">
        <v>481.5281330056427</v>
      </c>
      <c r="O173" s="28" t="n">
        <v>562.5624356107687</v>
      </c>
      <c r="P173" s="28" t="n">
        <v>592.2590477467692</v>
      </c>
      <c r="Q173" s="28" t="n">
        <v>625.5964010419748</v>
      </c>
      <c r="R173" s="28" t="n">
        <v>3049.723387439748</v>
      </c>
    </row>
    <row r="174" ht="15.75" customHeight="1" s="57">
      <c r="A174" s="7" t="inlineStr">
        <is>
          <t>NTB</t>
        </is>
      </c>
      <c r="B174" s="7" t="inlineStr">
        <is>
          <t>Lâm Đồng</t>
        </is>
      </c>
      <c r="C174" s="7" t="n">
        <v>1550</v>
      </c>
      <c r="D174" s="7" t="n">
        <v>420106</v>
      </c>
      <c r="E174" s="7" t="inlineStr">
        <is>
          <t>A</t>
        </is>
      </c>
      <c r="F174" s="7" t="n">
        <v>15</v>
      </c>
      <c r="G174" s="27" t="n">
        <v>1</v>
      </c>
      <c r="H174" s="7" t="inlineStr">
        <is>
          <t>Đã mở</t>
        </is>
      </c>
      <c r="I174" s="7" t="n"/>
      <c r="J174" s="7" t="inlineStr">
        <is>
          <t>GHN B2B Lâm Đồng (sắp mở)</t>
        </is>
      </c>
      <c r="K174" s="7" t="inlineStr">
        <is>
          <t>15to30</t>
        </is>
      </c>
      <c r="L174" s="28" t="n">
        <v>722.9539619727352</v>
      </c>
      <c r="M174" s="28" t="n">
        <v>905.6057974320138</v>
      </c>
      <c r="N174" s="28" t="n">
        <v>996.2068018447409</v>
      </c>
      <c r="O174" s="28" t="n">
        <v>1163.638808309044</v>
      </c>
      <c r="P174" s="28" t="n">
        <v>1224.603808098878</v>
      </c>
      <c r="Q174" s="28" t="n">
        <v>1293.190127989968</v>
      </c>
      <c r="R174" s="28" t="n">
        <v>6306.199305647378</v>
      </c>
    </row>
    <row r="175" ht="15.75" customHeight="1" s="57">
      <c r="A175" s="7" t="inlineStr">
        <is>
          <t>NTB</t>
        </is>
      </c>
      <c r="B175" s="7" t="inlineStr">
        <is>
          <t>Lâm Đồng</t>
        </is>
      </c>
      <c r="C175" s="7" t="n">
        <v>1550</v>
      </c>
      <c r="D175" s="7" t="n">
        <v>420106</v>
      </c>
      <c r="E175" s="7" t="inlineStr">
        <is>
          <t>A</t>
        </is>
      </c>
      <c r="F175" s="7" t="n">
        <v>15</v>
      </c>
      <c r="G175" s="27" t="n">
        <v>1</v>
      </c>
      <c r="H175" s="7" t="inlineStr">
        <is>
          <t>Đã mở</t>
        </is>
      </c>
      <c r="I175" s="7" t="n"/>
      <c r="J175" s="7" t="inlineStr">
        <is>
          <t>GHN B2B Lâm Đồng (sắp mở)</t>
        </is>
      </c>
      <c r="K175" s="7" t="inlineStr">
        <is>
          <t>gte30</t>
        </is>
      </c>
      <c r="L175" s="28" t="n">
        <v>373.5640721039738</v>
      </c>
      <c r="M175" s="28" t="n">
        <v>463.2303253286117</v>
      </c>
      <c r="N175" s="28" t="n">
        <v>507.6432058147418</v>
      </c>
      <c r="O175" s="28" t="n">
        <v>591.4460834566413</v>
      </c>
      <c r="P175" s="28" t="n">
        <v>624.3404488455246</v>
      </c>
      <c r="Q175" s="28" t="n">
        <v>661.6146266612237</v>
      </c>
      <c r="R175" s="28" t="n">
        <v>3221.838762210717</v>
      </c>
    </row>
    <row r="176" ht="15.75" customHeight="1" s="57">
      <c r="A176" s="7" t="inlineStr">
        <is>
          <t>NTB</t>
        </is>
      </c>
      <c r="B176" s="7" t="inlineStr">
        <is>
          <t>Lâm Đồng</t>
        </is>
      </c>
      <c r="C176" s="7" t="n">
        <v>1550</v>
      </c>
      <c r="D176" s="7" t="n">
        <v>420107</v>
      </c>
      <c r="E176" s="7" t="inlineStr">
        <is>
          <t>A</t>
        </is>
      </c>
      <c r="F176" s="7" t="n">
        <v>15</v>
      </c>
      <c r="G176" s="27" t="n">
        <v>1</v>
      </c>
      <c r="H176" s="7" t="inlineStr">
        <is>
          <t>Đã mở</t>
        </is>
      </c>
      <c r="I176" s="7" t="n"/>
      <c r="J176" s="7" t="inlineStr">
        <is>
          <t>GHN B2B Lâm Đồng (sắp mở)</t>
        </is>
      </c>
      <c r="K176" s="7" t="inlineStr">
        <is>
          <t>15to30</t>
        </is>
      </c>
      <c r="L176" s="28" t="n">
        <v>874.9152930896996</v>
      </c>
      <c r="M176" s="28" t="n">
        <v>1098.250565746621</v>
      </c>
      <c r="N176" s="28" t="n">
        <v>1209.362598167462</v>
      </c>
      <c r="O176" s="28" t="n">
        <v>1413.659466431901</v>
      </c>
      <c r="P176" s="28" t="n">
        <v>1486.586549314574</v>
      </c>
      <c r="Q176" s="28" t="n">
        <v>1568.426606119723</v>
      </c>
      <c r="R176" s="28" t="n">
        <v>7651.201078869981</v>
      </c>
    </row>
    <row r="177" ht="15.75" customHeight="1" s="57">
      <c r="A177" s="7" t="inlineStr">
        <is>
          <t>NTB</t>
        </is>
      </c>
      <c r="B177" s="7" t="inlineStr">
        <is>
          <t>Lâm Đồng</t>
        </is>
      </c>
      <c r="C177" s="7" t="n">
        <v>1550</v>
      </c>
      <c r="D177" s="7" t="n">
        <v>420107</v>
      </c>
      <c r="E177" s="7" t="inlineStr">
        <is>
          <t>A</t>
        </is>
      </c>
      <c r="F177" s="7" t="n">
        <v>15</v>
      </c>
      <c r="G177" s="27" t="n">
        <v>1</v>
      </c>
      <c r="H177" s="7" t="inlineStr">
        <is>
          <t>Đã mở</t>
        </is>
      </c>
      <c r="I177" s="7" t="n"/>
      <c r="J177" s="7" t="inlineStr">
        <is>
          <t>GHN B2B Lâm Đồng (sắp mở)</t>
        </is>
      </c>
      <c r="K177" s="7" t="inlineStr">
        <is>
          <t>gte30</t>
        </is>
      </c>
      <c r="L177" s="28" t="n">
        <v>403.2575767647591</v>
      </c>
      <c r="M177" s="28" t="n">
        <v>503.2262652326808</v>
      </c>
      <c r="N177" s="28" t="n">
        <v>553.0853597825309</v>
      </c>
      <c r="O177" s="28" t="n">
        <v>645.7381065435435</v>
      </c>
      <c r="P177" s="28" t="n">
        <v>680.261216706785</v>
      </c>
      <c r="Q177" s="28" t="n">
        <v>719.10718529721</v>
      </c>
      <c r="R177" s="28" t="n">
        <v>3504.675710327509</v>
      </c>
    </row>
    <row r="178" ht="15.75" customHeight="1" s="57">
      <c r="A178" s="7" t="inlineStr">
        <is>
          <t>NTB</t>
        </is>
      </c>
      <c r="B178" s="7" t="inlineStr">
        <is>
          <t>Lâm Đồng</t>
        </is>
      </c>
      <c r="C178" s="7" t="n">
        <v>1550</v>
      </c>
      <c r="D178" s="7" t="n">
        <v>420108</v>
      </c>
      <c r="E178" s="7" t="inlineStr">
        <is>
          <t>A</t>
        </is>
      </c>
      <c r="F178" s="7" t="n">
        <v>15</v>
      </c>
      <c r="G178" s="27" t="n">
        <v>1</v>
      </c>
      <c r="H178" s="7" t="inlineStr">
        <is>
          <t>Đã mở</t>
        </is>
      </c>
      <c r="I178" s="7" t="n"/>
      <c r="J178" s="7" t="inlineStr">
        <is>
          <t>GHN B2B Lâm Đồng (sắp mở)</t>
        </is>
      </c>
      <c r="K178" s="7" t="inlineStr">
        <is>
          <t>15to30</t>
        </is>
      </c>
      <c r="L178" s="28" t="n">
        <v>537.160735098176</v>
      </c>
      <c r="M178" s="28" t="n">
        <v>670.3340966776058</v>
      </c>
      <c r="N178" s="28" t="n">
        <v>736.0124170791025</v>
      </c>
      <c r="O178" s="28" t="n">
        <v>858.5317039083998</v>
      </c>
      <c r="P178" s="28" t="n">
        <v>904.5847458907365</v>
      </c>
      <c r="Q178" s="28" t="n">
        <v>956.6680087753322</v>
      </c>
      <c r="R178" s="28" t="n">
        <v>4663.291707429353</v>
      </c>
    </row>
    <row r="179" ht="15.75" customHeight="1" s="57">
      <c r="A179" s="7" t="inlineStr">
        <is>
          <t>NTB</t>
        </is>
      </c>
      <c r="B179" s="7" t="inlineStr">
        <is>
          <t>Lâm Đồng</t>
        </is>
      </c>
      <c r="C179" s="7" t="n">
        <v>1550</v>
      </c>
      <c r="D179" s="7" t="n">
        <v>420108</v>
      </c>
      <c r="E179" s="7" t="inlineStr">
        <is>
          <t>A</t>
        </is>
      </c>
      <c r="F179" s="7" t="n">
        <v>15</v>
      </c>
      <c r="G179" s="27" t="n">
        <v>1</v>
      </c>
      <c r="H179" s="7" t="inlineStr">
        <is>
          <t>Đã mở</t>
        </is>
      </c>
      <c r="I179" s="7" t="n"/>
      <c r="J179" s="7" t="inlineStr">
        <is>
          <t>GHN B2B Lâm Đồng (sắp mở)</t>
        </is>
      </c>
      <c r="K179" s="7" t="inlineStr">
        <is>
          <t>gte30</t>
        </is>
      </c>
      <c r="L179" s="28" t="n">
        <v>258.6835609723549</v>
      </c>
      <c r="M179" s="28" t="n">
        <v>319.2753388160139</v>
      </c>
      <c r="N179" s="28" t="n">
        <v>349.1250943593116</v>
      </c>
      <c r="O179" s="28" t="n">
        <v>406.122620740883</v>
      </c>
      <c r="P179" s="28" t="n">
        <v>429.3668426966976</v>
      </c>
      <c r="Q179" s="28" t="n">
        <v>455.8353226003191</v>
      </c>
      <c r="R179" s="28" t="n">
        <v>2218.40878018558</v>
      </c>
    </row>
    <row r="180" ht="15.75" customHeight="1" s="57">
      <c r="A180" s="7" t="inlineStr">
        <is>
          <t>NTB</t>
        </is>
      </c>
      <c r="B180" s="7" t="inlineStr">
        <is>
          <t>Lâm Đồng</t>
        </is>
      </c>
      <c r="C180" s="7" t="n">
        <v>1550</v>
      </c>
      <c r="D180" s="7" t="n">
        <v>420109</v>
      </c>
      <c r="E180" s="7" t="inlineStr">
        <is>
          <t>A</t>
        </is>
      </c>
      <c r="F180" s="7" t="n">
        <v>15</v>
      </c>
      <c r="G180" s="27" t="n">
        <v>1</v>
      </c>
      <c r="H180" s="7" t="inlineStr">
        <is>
          <t>Đã mở</t>
        </is>
      </c>
      <c r="I180" s="7" t="n"/>
      <c r="J180" s="7" t="inlineStr">
        <is>
          <t>GHN B2B Lâm Đồng (sắp mở)</t>
        </is>
      </c>
      <c r="K180" s="7" t="inlineStr">
        <is>
          <t>15to30</t>
        </is>
      </c>
      <c r="L180" s="28" t="n">
        <v>689.4500587249952</v>
      </c>
      <c r="M180" s="28" t="n">
        <v>867.8210286587798</v>
      </c>
      <c r="N180" s="28" t="n">
        <v>956.9147925800141</v>
      </c>
      <c r="O180" s="28" t="n">
        <v>1119.66917680188</v>
      </c>
      <c r="P180" s="28" t="n">
        <v>1176.424387691157</v>
      </c>
      <c r="Q180" s="28" t="n">
        <v>1239.859437234973</v>
      </c>
      <c r="R180" s="28" t="n">
        <v>6050.138881691798</v>
      </c>
    </row>
    <row r="181" ht="15.75" customHeight="1" s="57">
      <c r="A181" s="7" t="inlineStr">
        <is>
          <t>NTB</t>
        </is>
      </c>
      <c r="B181" s="7" t="inlineStr">
        <is>
          <t>Lâm Đồng</t>
        </is>
      </c>
      <c r="C181" s="7" t="n">
        <v>1550</v>
      </c>
      <c r="D181" s="7" t="n">
        <v>420109</v>
      </c>
      <c r="E181" s="7" t="inlineStr">
        <is>
          <t>A</t>
        </is>
      </c>
      <c r="F181" s="7" t="n">
        <v>15</v>
      </c>
      <c r="G181" s="27" t="n">
        <v>1</v>
      </c>
      <c r="H181" s="7" t="inlineStr">
        <is>
          <t>Đã mở</t>
        </is>
      </c>
      <c r="I181" s="7" t="n"/>
      <c r="J181" s="7" t="inlineStr">
        <is>
          <t>GHN B2B Lâm Đồng (sắp mở)</t>
        </is>
      </c>
      <c r="K181" s="7" t="inlineStr">
        <is>
          <t>gte30</t>
        </is>
      </c>
      <c r="L181" s="28" t="n">
        <v>298.7224989283516</v>
      </c>
      <c r="M181" s="28" t="n">
        <v>371.0744862031134</v>
      </c>
      <c r="N181" s="28" t="n">
        <v>406.9816453346257</v>
      </c>
      <c r="O181" s="28" t="n">
        <v>474.4430339725948</v>
      </c>
      <c r="P181" s="28" t="n">
        <v>500.5453864214546</v>
      </c>
      <c r="Q181" s="28" t="n">
        <v>530.0671642512139</v>
      </c>
      <c r="R181" s="28" t="n">
        <v>2581.834215111354</v>
      </c>
    </row>
    <row r="182" ht="15.75" customHeight="1" s="57">
      <c r="A182" s="7" t="inlineStr">
        <is>
          <t>NTB</t>
        </is>
      </c>
      <c r="B182" s="7" t="inlineStr">
        <is>
          <t>Lâm Đồng</t>
        </is>
      </c>
      <c r="C182" s="7" t="n">
        <v>1550</v>
      </c>
      <c r="D182" s="7" t="n">
        <v>420110</v>
      </c>
      <c r="E182" s="7" t="inlineStr">
        <is>
          <t>A</t>
        </is>
      </c>
      <c r="F182" s="7" t="n">
        <v>15</v>
      </c>
      <c r="G182" s="27" t="n">
        <v>1</v>
      </c>
      <c r="H182" s="7" t="inlineStr">
        <is>
          <t>Đã mở</t>
        </is>
      </c>
      <c r="I182" s="7" t="n"/>
      <c r="J182" s="7" t="inlineStr">
        <is>
          <t>GHN B2B Lâm Đồng (sắp mở)</t>
        </is>
      </c>
      <c r="K182" s="7" t="inlineStr">
        <is>
          <t>15to30</t>
        </is>
      </c>
      <c r="L182" s="28" t="n">
        <v>579.7122533063587</v>
      </c>
      <c r="M182" s="28" t="n">
        <v>718.7459333568069</v>
      </c>
      <c r="N182" s="28" t="n">
        <v>786.6102669501515</v>
      </c>
      <c r="O182" s="28" t="n">
        <v>915.3806847389329</v>
      </c>
      <c r="P182" s="28" t="n">
        <v>966.6310795808818</v>
      </c>
      <c r="Q182" s="28" t="n">
        <v>1025.049030474623</v>
      </c>
      <c r="R182" s="28" t="n">
        <v>4992.129248407755</v>
      </c>
    </row>
    <row r="183" ht="15.75" customHeight="1" s="57">
      <c r="A183" s="7" t="inlineStr">
        <is>
          <t>NTB</t>
        </is>
      </c>
      <c r="B183" s="7" t="inlineStr">
        <is>
          <t>Lâm Đồng</t>
        </is>
      </c>
      <c r="C183" s="7" t="n">
        <v>1550</v>
      </c>
      <c r="D183" s="7" t="n">
        <v>420110</v>
      </c>
      <c r="E183" s="7" t="inlineStr">
        <is>
          <t>A</t>
        </is>
      </c>
      <c r="F183" s="7" t="n">
        <v>15</v>
      </c>
      <c r="G183" s="27" t="n">
        <v>1</v>
      </c>
      <c r="H183" s="7" t="inlineStr">
        <is>
          <t>Đã mở</t>
        </is>
      </c>
      <c r="I183" s="7" t="n"/>
      <c r="J183" s="7" t="inlineStr">
        <is>
          <t>GHN B2B Lâm Đồng (sắp mở)</t>
        </is>
      </c>
      <c r="K183" s="7" t="inlineStr">
        <is>
          <t>gte30</t>
        </is>
      </c>
      <c r="L183" s="28" t="n">
        <v>247.6658562560653</v>
      </c>
      <c r="M183" s="28" t="n">
        <v>306.3686120307158</v>
      </c>
      <c r="N183" s="28" t="n">
        <v>335.3643966368703</v>
      </c>
      <c r="O183" s="28" t="n">
        <v>390.4110857475529</v>
      </c>
      <c r="P183" s="28" t="n">
        <v>412.4505280629027</v>
      </c>
      <c r="Q183" s="28" t="n">
        <v>437.4886574044379</v>
      </c>
      <c r="R183" s="28" t="n">
        <v>2129.749136138545</v>
      </c>
    </row>
    <row r="184" ht="15.75" customHeight="1" s="57">
      <c r="A184" s="7" t="inlineStr">
        <is>
          <t>NTB</t>
        </is>
      </c>
      <c r="B184" s="7" t="inlineStr">
        <is>
          <t>Lâm Đồng</t>
        </is>
      </c>
      <c r="C184" s="7" t="n">
        <v>1550</v>
      </c>
      <c r="D184" s="7" t="n">
        <v>420111</v>
      </c>
      <c r="E184" s="7" t="inlineStr">
        <is>
          <t>A</t>
        </is>
      </c>
      <c r="F184" s="7" t="n">
        <v>15</v>
      </c>
      <c r="G184" s="27" t="n">
        <v>1</v>
      </c>
      <c r="H184" s="7" t="inlineStr">
        <is>
          <t>Đã mở</t>
        </is>
      </c>
      <c r="I184" s="7" t="n"/>
      <c r="J184" s="7" t="inlineStr">
        <is>
          <t>GHN B2B Lâm Đồng (sắp mở)</t>
        </is>
      </c>
      <c r="K184" s="7" t="inlineStr">
        <is>
          <t>15to30</t>
        </is>
      </c>
      <c r="L184" s="28" t="n">
        <v>970.3157568293918</v>
      </c>
      <c r="M184" s="28" t="n">
        <v>1211.164703368999</v>
      </c>
      <c r="N184" s="28" t="n">
        <v>1329.994773795912</v>
      </c>
      <c r="O184" s="28" t="n">
        <v>1551.535337532086</v>
      </c>
      <c r="P184" s="28" t="n">
        <v>1634.704047349814</v>
      </c>
      <c r="Q184" s="28" t="n">
        <v>1728.715863447135</v>
      </c>
      <c r="R184" s="28" t="n">
        <v>8426.430482323338</v>
      </c>
    </row>
    <row r="185" ht="15.75" customHeight="1" s="57">
      <c r="A185" s="7" t="inlineStr">
        <is>
          <t>NTB</t>
        </is>
      </c>
      <c r="B185" s="7" t="inlineStr">
        <is>
          <t>Lâm Đồng</t>
        </is>
      </c>
      <c r="C185" s="7" t="n">
        <v>1550</v>
      </c>
      <c r="D185" s="7" t="n">
        <v>420111</v>
      </c>
      <c r="E185" s="7" t="inlineStr">
        <is>
          <t>A</t>
        </is>
      </c>
      <c r="F185" s="7" t="n">
        <v>15</v>
      </c>
      <c r="G185" s="27" t="n">
        <v>1</v>
      </c>
      <c r="H185" s="7" t="inlineStr">
        <is>
          <t>Đã mở</t>
        </is>
      </c>
      <c r="I185" s="7" t="n"/>
      <c r="J185" s="7" t="inlineStr">
        <is>
          <t>GHN B2B Lâm Đồng (sắp mở)</t>
        </is>
      </c>
      <c r="K185" s="7" t="inlineStr">
        <is>
          <t>gte30</t>
        </is>
      </c>
      <c r="L185" s="28" t="n">
        <v>439.9376606364131</v>
      </c>
      <c r="M185" s="28" t="n">
        <v>542.5932541588813</v>
      </c>
      <c r="N185" s="28" t="n">
        <v>593.121822499351</v>
      </c>
      <c r="O185" s="28" t="n">
        <v>689.7864056114508</v>
      </c>
      <c r="P185" s="28" t="n">
        <v>729.438948664882</v>
      </c>
      <c r="Q185" s="28" t="n">
        <v>774.624875572119</v>
      </c>
      <c r="R185" s="28" t="n">
        <v>3769.502967143097</v>
      </c>
    </row>
    <row r="186" ht="15.75" customHeight="1" s="57">
      <c r="A186" s="7" t="inlineStr">
        <is>
          <t>NTB</t>
        </is>
      </c>
      <c r="B186" s="7" t="inlineStr">
        <is>
          <t>Lâm Đồng</t>
        </is>
      </c>
      <c r="C186" s="7" t="n">
        <v>1550</v>
      </c>
      <c r="D186" s="7" t="n">
        <v>420112</v>
      </c>
      <c r="E186" s="7" t="inlineStr">
        <is>
          <t>A</t>
        </is>
      </c>
      <c r="F186" s="7" t="n">
        <v>15</v>
      </c>
      <c r="G186" s="27" t="n">
        <v>1</v>
      </c>
      <c r="H186" s="7" t="inlineStr">
        <is>
          <t>Đã mở</t>
        </is>
      </c>
      <c r="I186" s="7" t="n"/>
      <c r="J186" s="7" t="inlineStr">
        <is>
          <t>GHN B2B Lâm Đồng (sắp mở)</t>
        </is>
      </c>
      <c r="K186" s="7" t="inlineStr">
        <is>
          <t>15to30</t>
        </is>
      </c>
      <c r="L186" s="28" t="n">
        <v>820.4125714607512</v>
      </c>
      <c r="M186" s="28" t="n">
        <v>1021.971164889898</v>
      </c>
      <c r="N186" s="28" t="n">
        <v>1121.102526259732</v>
      </c>
      <c r="O186" s="28" t="n">
        <v>1306.880470885781</v>
      </c>
      <c r="P186" s="28" t="n">
        <v>1377.868201952024</v>
      </c>
      <c r="Q186" s="28" t="n">
        <v>1458.319285057133</v>
      </c>
      <c r="R186" s="28" t="n">
        <v>7106.554220505319</v>
      </c>
    </row>
    <row r="187" ht="15.75" customHeight="1" s="57">
      <c r="A187" s="7" t="inlineStr">
        <is>
          <t>NTB</t>
        </is>
      </c>
      <c r="B187" s="7" t="inlineStr">
        <is>
          <t>Lâm Đồng</t>
        </is>
      </c>
      <c r="C187" s="7" t="n">
        <v>1550</v>
      </c>
      <c r="D187" s="7" t="n">
        <v>420112</v>
      </c>
      <c r="E187" s="7" t="inlineStr">
        <is>
          <t>A</t>
        </is>
      </c>
      <c r="F187" s="7" t="n">
        <v>15</v>
      </c>
      <c r="G187" s="27" t="n">
        <v>1</v>
      </c>
      <c r="H187" s="7" t="inlineStr">
        <is>
          <t>Đã mở</t>
        </is>
      </c>
      <c r="I187" s="7" t="n"/>
      <c r="J187" s="7" t="inlineStr">
        <is>
          <t>GHN B2B Lâm Đồng (sắp mở)</t>
        </is>
      </c>
      <c r="K187" s="7" t="inlineStr">
        <is>
          <t>gte30</t>
        </is>
      </c>
      <c r="L187" s="28" t="n">
        <v>357.864644734354</v>
      </c>
      <c r="M187" s="28" t="n">
        <v>442.6250776026922</v>
      </c>
      <c r="N187" s="28" t="n">
        <v>484.4850586098274</v>
      </c>
      <c r="O187" s="28" t="n">
        <v>563.9819487166128</v>
      </c>
      <c r="P187" s="28" t="n">
        <v>595.8471065299574</v>
      </c>
      <c r="Q187" s="28" t="n">
        <v>632.0531361736123</v>
      </c>
      <c r="R187" s="28" t="n">
        <v>3076.856972367056</v>
      </c>
    </row>
    <row r="188" ht="15.75" customHeight="1" s="57">
      <c r="A188" s="7" t="inlineStr">
        <is>
          <t>NTB</t>
        </is>
      </c>
      <c r="B188" s="7" t="inlineStr">
        <is>
          <t>Lâm Đồng</t>
        </is>
      </c>
      <c r="C188" s="7" t="n">
        <v>1837</v>
      </c>
      <c r="D188" s="7" t="n">
        <v>420301</v>
      </c>
      <c r="E188" s="7" t="inlineStr">
        <is>
          <t>A</t>
        </is>
      </c>
      <c r="F188" s="7" t="n">
        <v>15</v>
      </c>
      <c r="G188" s="27" t="n">
        <v>1</v>
      </c>
      <c r="H188" s="7" t="inlineStr">
        <is>
          <t>Đã mở</t>
        </is>
      </c>
      <c r="I188" s="7" t="n"/>
      <c r="J188" s="7" t="inlineStr">
        <is>
          <t>GHN B2B Lâm Đồng (sắp mở)</t>
        </is>
      </c>
      <c r="K188" s="7" t="inlineStr">
        <is>
          <t>15to30</t>
        </is>
      </c>
      <c r="L188" s="28" t="n">
        <v>1189.206015200749</v>
      </c>
      <c r="M188" s="28" t="n">
        <v>1463.820744109775</v>
      </c>
      <c r="N188" s="28" t="n">
        <v>1596.188129644459</v>
      </c>
      <c r="O188" s="28" t="n">
        <v>1852.464034094835</v>
      </c>
      <c r="P188" s="28" t="n">
        <v>1960.654576132823</v>
      </c>
      <c r="Q188" s="28" t="n">
        <v>2085.09453504159</v>
      </c>
      <c r="R188" s="28" t="n">
        <v>10147.42803422423</v>
      </c>
    </row>
    <row r="189" ht="15.75" customHeight="1" s="57">
      <c r="A189" s="7" t="inlineStr">
        <is>
          <t>NTB</t>
        </is>
      </c>
      <c r="B189" s="7" t="inlineStr">
        <is>
          <t>Lâm Đồng</t>
        </is>
      </c>
      <c r="C189" s="7" t="n">
        <v>1837</v>
      </c>
      <c r="D189" s="7" t="n">
        <v>420301</v>
      </c>
      <c r="E189" s="7" t="inlineStr">
        <is>
          <t>A</t>
        </is>
      </c>
      <c r="F189" s="7" t="n">
        <v>15</v>
      </c>
      <c r="G189" s="27" t="n">
        <v>1</v>
      </c>
      <c r="H189" s="7" t="inlineStr">
        <is>
          <t>Đã mở</t>
        </is>
      </c>
      <c r="I189" s="7" t="n"/>
      <c r="J189" s="7" t="inlineStr">
        <is>
          <t>GHN B2B Lâm Đồng (sắp mở)</t>
        </is>
      </c>
      <c r="K189" s="7" t="inlineStr">
        <is>
          <t>gte30</t>
        </is>
      </c>
      <c r="L189" s="28" t="n">
        <v>497.9640801851379</v>
      </c>
      <c r="M189" s="28" t="n">
        <v>613.4419249322293</v>
      </c>
      <c r="N189" s="28" t="n">
        <v>670.201971624052</v>
      </c>
      <c r="O189" s="28" t="n">
        <v>779.1215989850168</v>
      </c>
      <c r="P189" s="28" t="n">
        <v>824.2270494643478</v>
      </c>
      <c r="Q189" s="28" t="n">
        <v>875.6872869209478</v>
      </c>
      <c r="R189" s="28" t="n">
        <v>4260.643912111731</v>
      </c>
    </row>
    <row r="190" ht="15.75" customHeight="1" s="57">
      <c r="A190" s="7" t="inlineStr">
        <is>
          <t>NTB</t>
        </is>
      </c>
      <c r="B190" s="7" t="inlineStr">
        <is>
          <t>Lâm Đồng</t>
        </is>
      </c>
      <c r="C190" s="7" t="n">
        <v>1837</v>
      </c>
      <c r="D190" s="7" t="n">
        <v>420305</v>
      </c>
      <c r="E190" s="7" t="inlineStr">
        <is>
          <t>A</t>
        </is>
      </c>
      <c r="F190" s="7" t="n">
        <v>15</v>
      </c>
      <c r="G190" s="27" t="n">
        <v>1</v>
      </c>
      <c r="H190" s="7" t="inlineStr">
        <is>
          <t>Đã mở</t>
        </is>
      </c>
      <c r="I190" s="7" t="n"/>
      <c r="J190" s="7" t="inlineStr">
        <is>
          <t>GHN B2B Lâm Đồng (sắp mở)</t>
        </is>
      </c>
      <c r="K190" s="7" t="inlineStr">
        <is>
          <t>15to30</t>
        </is>
      </c>
      <c r="L190" s="28" t="n">
        <v>197.1375854356201</v>
      </c>
      <c r="M190" s="28" t="n">
        <v>244.7380975675087</v>
      </c>
      <c r="N190" s="28" t="n">
        <v>268.0241698449973</v>
      </c>
      <c r="O190" s="28" t="n">
        <v>312.0544959272992</v>
      </c>
      <c r="P190" s="28" t="n">
        <v>329.402642707853</v>
      </c>
      <c r="Q190" s="28" t="n">
        <v>349.1398687304354</v>
      </c>
      <c r="R190" s="28" t="n">
        <v>1700.496860213714</v>
      </c>
    </row>
    <row r="191" ht="15.75" customHeight="1" s="57">
      <c r="A191" s="7" t="inlineStr">
        <is>
          <t>NTB</t>
        </is>
      </c>
      <c r="B191" s="7" t="inlineStr">
        <is>
          <t>Lâm Đồng</t>
        </is>
      </c>
      <c r="C191" s="7" t="n">
        <v>1837</v>
      </c>
      <c r="D191" s="7" t="n">
        <v>420305</v>
      </c>
      <c r="E191" s="7" t="inlineStr">
        <is>
          <t>A</t>
        </is>
      </c>
      <c r="F191" s="7" t="n">
        <v>15</v>
      </c>
      <c r="G191" s="27" t="n">
        <v>1</v>
      </c>
      <c r="H191" s="7" t="inlineStr">
        <is>
          <t>Đã mở</t>
        </is>
      </c>
      <c r="I191" s="7" t="n"/>
      <c r="J191" s="7" t="inlineStr">
        <is>
          <t>GHN B2B Lâm Đồng (sắp mở)</t>
        </is>
      </c>
      <c r="K191" s="7" t="inlineStr">
        <is>
          <t>gte30</t>
        </is>
      </c>
      <c r="L191" s="28" t="n">
        <v>64.4934535143868</v>
      </c>
      <c r="M191" s="28" t="n">
        <v>80.34973006743992</v>
      </c>
      <c r="N191" s="28" t="n">
        <v>88.24420174793097</v>
      </c>
      <c r="O191" s="28" t="n">
        <v>102.9713910955765</v>
      </c>
      <c r="P191" s="28" t="n">
        <v>108.5336483705384</v>
      </c>
      <c r="Q191" s="28" t="n">
        <v>114.8040849534262</v>
      </c>
      <c r="R191" s="28" t="n">
        <v>559.3965097492987</v>
      </c>
    </row>
    <row r="192" ht="15.75" customHeight="1" s="57">
      <c r="A192" s="7" t="inlineStr">
        <is>
          <t>NTB</t>
        </is>
      </c>
      <c r="B192" s="7" t="inlineStr">
        <is>
          <t>Lâm Đồng</t>
        </is>
      </c>
      <c r="C192" s="7" t="n">
        <v>1837</v>
      </c>
      <c r="D192" s="7" t="n">
        <v>420306</v>
      </c>
      <c r="E192" s="7" t="inlineStr">
        <is>
          <t>A</t>
        </is>
      </c>
      <c r="F192" s="7" t="n">
        <v>15</v>
      </c>
      <c r="G192" s="27" t="n">
        <v>1</v>
      </c>
      <c r="H192" s="7" t="inlineStr">
        <is>
          <t>Đã mở</t>
        </is>
      </c>
      <c r="I192" s="7" t="n"/>
      <c r="J192" s="7" t="inlineStr">
        <is>
          <t>GHN B2B Lâm Đồng (sắp mở)</t>
        </is>
      </c>
      <c r="K192" s="7" t="inlineStr">
        <is>
          <t>15to30</t>
        </is>
      </c>
      <c r="L192" s="28" t="n">
        <v>284.7899100360975</v>
      </c>
      <c r="M192" s="28" t="n">
        <v>351.9086630730666</v>
      </c>
      <c r="N192" s="28" t="n">
        <v>384.4803488377177</v>
      </c>
      <c r="O192" s="28" t="n">
        <v>446.8535790508453</v>
      </c>
      <c r="P192" s="28" t="n">
        <v>472.3324342795678</v>
      </c>
      <c r="Q192" s="28" t="n">
        <v>501.5100465924386</v>
      </c>
      <c r="R192" s="28" t="n">
        <v>2441.874981869733</v>
      </c>
    </row>
    <row r="193" ht="15.75" customHeight="1" s="57">
      <c r="A193" s="7" t="inlineStr">
        <is>
          <t>NTB</t>
        </is>
      </c>
      <c r="B193" s="7" t="inlineStr">
        <is>
          <t>Lâm Đồng</t>
        </is>
      </c>
      <c r="C193" s="7" t="n">
        <v>1837</v>
      </c>
      <c r="D193" s="7" t="n">
        <v>420306</v>
      </c>
      <c r="E193" s="7" t="inlineStr">
        <is>
          <t>A</t>
        </is>
      </c>
      <c r="F193" s="7" t="n">
        <v>15</v>
      </c>
      <c r="G193" s="27" t="n">
        <v>1</v>
      </c>
      <c r="H193" s="7" t="inlineStr">
        <is>
          <t>Đã mở</t>
        </is>
      </c>
      <c r="I193" s="7" t="n"/>
      <c r="J193" s="7" t="inlineStr">
        <is>
          <t>GHN B2B Lâm Đồng (sắp mở)</t>
        </is>
      </c>
      <c r="K193" s="7" t="inlineStr">
        <is>
          <t>gte30</t>
        </is>
      </c>
      <c r="L193" s="28" t="n">
        <v>134.0792891907835</v>
      </c>
      <c r="M193" s="28" t="n">
        <v>164.314417691942</v>
      </c>
      <c r="N193" s="28" t="n">
        <v>179.079688051018</v>
      </c>
      <c r="O193" s="28" t="n">
        <v>207.8155162249288</v>
      </c>
      <c r="P193" s="28" t="n">
        <v>220.2267590662971</v>
      </c>
      <c r="Q193" s="28" t="n">
        <v>234.4585069527877</v>
      </c>
      <c r="R193" s="28" t="n">
        <v>1139.974177177757</v>
      </c>
    </row>
    <row r="194" ht="15.75" customHeight="1" s="57">
      <c r="A194" s="7" t="inlineStr">
        <is>
          <t>NTB</t>
        </is>
      </c>
      <c r="B194" s="7" t="inlineStr">
        <is>
          <t>Lâm Đồng</t>
        </is>
      </c>
      <c r="C194" s="7" t="n">
        <v>1837</v>
      </c>
      <c r="D194" s="7" t="n">
        <v>420307</v>
      </c>
      <c r="E194" s="7" t="inlineStr">
        <is>
          <t>A</t>
        </is>
      </c>
      <c r="F194" s="7" t="n">
        <v>15</v>
      </c>
      <c r="G194" s="27" t="n">
        <v>1</v>
      </c>
      <c r="H194" s="7" t="inlineStr">
        <is>
          <t>Đã mở</t>
        </is>
      </c>
      <c r="I194" s="7" t="n"/>
      <c r="J194" s="7" t="inlineStr">
        <is>
          <t>GHN B2B Lâm Đồng (sắp mở)</t>
        </is>
      </c>
      <c r="K194" s="7" t="inlineStr">
        <is>
          <t>15to30</t>
        </is>
      </c>
      <c r="L194" s="28" t="n">
        <v>162.4932373499285</v>
      </c>
      <c r="M194" s="28" t="n">
        <v>203.3047765771313</v>
      </c>
      <c r="N194" s="28" t="n">
        <v>223.5074314216723</v>
      </c>
      <c r="O194" s="28" t="n">
        <v>260.9485345402396</v>
      </c>
      <c r="P194" s="28" t="n">
        <v>274.6527385719244</v>
      </c>
      <c r="Q194" s="28" t="n">
        <v>290.1137683544929</v>
      </c>
      <c r="R194" s="28" t="n">
        <v>1415.020486815389</v>
      </c>
    </row>
    <row r="195" ht="15.75" customHeight="1" s="57">
      <c r="A195" s="7" t="inlineStr">
        <is>
          <t>NTB</t>
        </is>
      </c>
      <c r="B195" s="7" t="inlineStr">
        <is>
          <t>Lâm Đồng</t>
        </is>
      </c>
      <c r="C195" s="7" t="n">
        <v>1837</v>
      </c>
      <c r="D195" s="7" t="n">
        <v>420307</v>
      </c>
      <c r="E195" s="7" t="inlineStr">
        <is>
          <t>A</t>
        </is>
      </c>
      <c r="F195" s="7" t="n">
        <v>15</v>
      </c>
      <c r="G195" s="27" t="n">
        <v>1</v>
      </c>
      <c r="H195" s="7" t="inlineStr">
        <is>
          <t>Đã mở</t>
        </is>
      </c>
      <c r="I195" s="7" t="n"/>
      <c r="J195" s="7" t="inlineStr">
        <is>
          <t>GHN B2B Lâm Đồng (sắp mở)</t>
        </is>
      </c>
      <c r="K195" s="7" t="inlineStr">
        <is>
          <t>gte30</t>
        </is>
      </c>
      <c r="L195" s="28" t="n">
        <v>77.80507707883957</v>
      </c>
      <c r="M195" s="28" t="n">
        <v>95.10515987612669</v>
      </c>
      <c r="N195" s="28" t="n">
        <v>103.5254169884551</v>
      </c>
      <c r="O195" s="28" t="n">
        <v>120.0316223673682</v>
      </c>
      <c r="P195" s="28" t="n">
        <v>127.3098712547945</v>
      </c>
      <c r="Q195" s="28" t="n">
        <v>135.6758152171062</v>
      </c>
      <c r="R195" s="28" t="n">
        <v>659.4529627826901</v>
      </c>
    </row>
    <row r="196" ht="15.75" customHeight="1" s="57">
      <c r="A196" s="7" t="inlineStr">
        <is>
          <t>NTB</t>
        </is>
      </c>
      <c r="B196" s="7" t="inlineStr">
        <is>
          <t>Lâm Đồng</t>
        </is>
      </c>
      <c r="C196" s="7" t="n">
        <v>1837</v>
      </c>
      <c r="D196" s="7" t="n">
        <v>420310</v>
      </c>
      <c r="E196" s="7" t="inlineStr">
        <is>
          <t>A</t>
        </is>
      </c>
      <c r="F196" s="7" t="n">
        <v>15</v>
      </c>
      <c r="G196" s="27" t="n">
        <v>1</v>
      </c>
      <c r="H196" s="7" t="inlineStr">
        <is>
          <t>Đã mở</t>
        </is>
      </c>
      <c r="I196" s="7" t="n"/>
      <c r="J196" s="7" t="inlineStr">
        <is>
          <t>GHN B2B Lâm Đồng (sắp mở)</t>
        </is>
      </c>
      <c r="K196" s="7" t="inlineStr">
        <is>
          <t>15to30</t>
        </is>
      </c>
      <c r="L196" s="28" t="n">
        <v>57.89348733129154</v>
      </c>
      <c r="M196" s="28" t="n">
        <v>71.67578664217223</v>
      </c>
      <c r="N196" s="28" t="n">
        <v>78.38700360075282</v>
      </c>
      <c r="O196" s="28" t="n">
        <v>91.17079342704264</v>
      </c>
      <c r="P196" s="28" t="n">
        <v>96.31966236340644</v>
      </c>
      <c r="Q196" s="28" t="n">
        <v>102.199127697124</v>
      </c>
      <c r="R196" s="28" t="n">
        <v>497.6458610617896</v>
      </c>
    </row>
    <row r="197" ht="15.75" customHeight="1" s="57">
      <c r="A197" s="7" t="inlineStr">
        <is>
          <t>NTB</t>
        </is>
      </c>
      <c r="B197" s="7" t="inlineStr">
        <is>
          <t>Lâm Đồng</t>
        </is>
      </c>
      <c r="C197" s="7" t="n">
        <v>1837</v>
      </c>
      <c r="D197" s="7" t="n">
        <v>420310</v>
      </c>
      <c r="E197" s="7" t="inlineStr">
        <is>
          <t>A</t>
        </is>
      </c>
      <c r="F197" s="7" t="n">
        <v>15</v>
      </c>
      <c r="G197" s="27" t="n">
        <v>1</v>
      </c>
      <c r="H197" s="7" t="inlineStr">
        <is>
          <t>Đã mở</t>
        </is>
      </c>
      <c r="I197" s="7" t="n"/>
      <c r="J197" s="7" t="inlineStr">
        <is>
          <t>GHN B2B Lâm Đồng (sắp mở)</t>
        </is>
      </c>
      <c r="K197" s="7" t="inlineStr">
        <is>
          <t>gte30</t>
        </is>
      </c>
      <c r="L197" s="28" t="n">
        <v>31.61106123496753</v>
      </c>
      <c r="M197" s="28" t="n">
        <v>39.29957976697178</v>
      </c>
      <c r="N197" s="28" t="n">
        <v>43.11871821691007</v>
      </c>
      <c r="O197" s="28" t="n">
        <v>50.27971395536753</v>
      </c>
      <c r="P197" s="28" t="n">
        <v>53.03189661123466</v>
      </c>
      <c r="Q197" s="28" t="n">
        <v>56.14182113942081</v>
      </c>
      <c r="R197" s="28" t="n">
        <v>273.4827909248723</v>
      </c>
    </row>
    <row r="198" ht="15.75" customHeight="1" s="57">
      <c r="A198" s="7" t="inlineStr">
        <is>
          <t>NTB</t>
        </is>
      </c>
      <c r="B198" s="7" t="inlineStr">
        <is>
          <t>Lâm Đồng</t>
        </is>
      </c>
      <c r="C198" s="7" t="n">
        <v>1837</v>
      </c>
      <c r="D198" s="7" t="n">
        <v>420311</v>
      </c>
      <c r="E198" s="7" t="inlineStr">
        <is>
          <t>A</t>
        </is>
      </c>
      <c r="F198" s="7" t="n">
        <v>15</v>
      </c>
      <c r="G198" s="27" t="n">
        <v>1</v>
      </c>
      <c r="H198" s="7" t="inlineStr">
        <is>
          <t>Đã mở</t>
        </is>
      </c>
      <c r="I198" s="7" t="n"/>
      <c r="J198" s="7" t="inlineStr">
        <is>
          <t>GHN B2B Lâm Đồng (sắp mở)</t>
        </is>
      </c>
      <c r="K198" s="7" t="inlineStr">
        <is>
          <t>15to30</t>
        </is>
      </c>
      <c r="L198" s="28" t="n">
        <v>261.0705084821865</v>
      </c>
      <c r="M198" s="28" t="n">
        <v>323.0589764092696</v>
      </c>
      <c r="N198" s="28" t="n">
        <v>353.2136165984017</v>
      </c>
      <c r="O198" s="28" t="n">
        <v>410.7305000959961</v>
      </c>
      <c r="P198" s="28" t="n">
        <v>433.9341221068032</v>
      </c>
      <c r="Q198" s="28" t="n">
        <v>460.4639043576883</v>
      </c>
      <c r="R198" s="28" t="n">
        <v>2242.471628050345</v>
      </c>
    </row>
    <row r="199" ht="15.75" customHeight="1" s="57">
      <c r="A199" s="7" t="inlineStr">
        <is>
          <t>NTB</t>
        </is>
      </c>
      <c r="B199" s="7" t="inlineStr">
        <is>
          <t>Lâm Đồng</t>
        </is>
      </c>
      <c r="C199" s="7" t="n">
        <v>1837</v>
      </c>
      <c r="D199" s="7" t="n">
        <v>420311</v>
      </c>
      <c r="E199" s="7" t="inlineStr">
        <is>
          <t>A</t>
        </is>
      </c>
      <c r="F199" s="7" t="n">
        <v>15</v>
      </c>
      <c r="G199" s="27" t="n">
        <v>1</v>
      </c>
      <c r="H199" s="7" t="inlineStr">
        <is>
          <t>Đã mở</t>
        </is>
      </c>
      <c r="I199" s="7" t="n"/>
      <c r="J199" s="7" t="inlineStr">
        <is>
          <t>GHN B2B Lâm Đồng (sắp mở)</t>
        </is>
      </c>
      <c r="K199" s="7" t="inlineStr">
        <is>
          <t>gte30</t>
        </is>
      </c>
      <c r="L199" s="28" t="n">
        <v>130.6669577193188</v>
      </c>
      <c r="M199" s="28" t="n">
        <v>161.7608924672944</v>
      </c>
      <c r="N199" s="28" t="n">
        <v>177.1329446577745</v>
      </c>
      <c r="O199" s="28" t="n">
        <v>206.2598303323544</v>
      </c>
      <c r="P199" s="28" t="n">
        <v>217.8495933167641</v>
      </c>
      <c r="Q199" s="28" t="n">
        <v>231.0057868697438</v>
      </c>
      <c r="R199" s="28" t="n">
        <v>1124.67600536325</v>
      </c>
    </row>
    <row r="200" ht="15.75" customHeight="1" s="57">
      <c r="A200" s="7" t="inlineStr">
        <is>
          <t>NTB</t>
        </is>
      </c>
      <c r="B200" s="7" t="inlineStr">
        <is>
          <t>Lâm Đồng</t>
        </is>
      </c>
      <c r="C200" s="7" t="n">
        <v>1837</v>
      </c>
      <c r="D200" s="7" t="n">
        <v>420314</v>
      </c>
      <c r="E200" s="7" t="inlineStr">
        <is>
          <t>A</t>
        </is>
      </c>
      <c r="F200" s="7" t="n">
        <v>15</v>
      </c>
      <c r="G200" s="27" t="n">
        <v>1</v>
      </c>
      <c r="H200" s="7" t="inlineStr">
        <is>
          <t>Đã mở</t>
        </is>
      </c>
      <c r="I200" s="7" t="n"/>
      <c r="J200" s="7" t="inlineStr">
        <is>
          <t>GHN B2B Lâm Đồng (sắp mở)</t>
        </is>
      </c>
      <c r="K200" s="7" t="inlineStr">
        <is>
          <t>15to30</t>
        </is>
      </c>
      <c r="L200" s="28" t="n">
        <v>134.3594558776003</v>
      </c>
      <c r="M200" s="28" t="n">
        <v>164.7698413920328</v>
      </c>
      <c r="N200" s="28" t="n">
        <v>179.3270486306717</v>
      </c>
      <c r="O200" s="28" t="n">
        <v>207.8241182847543</v>
      </c>
      <c r="P200" s="28" t="n">
        <v>220.2298997046395</v>
      </c>
      <c r="Q200" s="28" t="n">
        <v>234.5609649639721</v>
      </c>
      <c r="R200" s="28" t="n">
        <v>1141.071328853671</v>
      </c>
    </row>
    <row r="201" ht="15.75" customHeight="1" s="57">
      <c r="A201" s="7" t="inlineStr">
        <is>
          <t>NTB</t>
        </is>
      </c>
      <c r="B201" s="7" t="inlineStr">
        <is>
          <t>Lâm Đồng</t>
        </is>
      </c>
      <c r="C201" s="7" t="n">
        <v>1837</v>
      </c>
      <c r="D201" s="7" t="n">
        <v>420314</v>
      </c>
      <c r="E201" s="7" t="inlineStr">
        <is>
          <t>A</t>
        </is>
      </c>
      <c r="F201" s="7" t="n">
        <v>15</v>
      </c>
      <c r="G201" s="27" t="n">
        <v>1</v>
      </c>
      <c r="H201" s="7" t="inlineStr">
        <is>
          <t>Đã mở</t>
        </is>
      </c>
      <c r="I201" s="7" t="n"/>
      <c r="J201" s="7" t="inlineStr">
        <is>
          <t>GHN B2B Lâm Đồng (sắp mở)</t>
        </is>
      </c>
      <c r="K201" s="7" t="inlineStr">
        <is>
          <t>gte30</t>
        </is>
      </c>
      <c r="L201" s="28" t="n">
        <v>61.09086639314917</v>
      </c>
      <c r="M201" s="28" t="n">
        <v>74.41178184089702</v>
      </c>
      <c r="N201" s="28" t="n">
        <v>80.86464337806025</v>
      </c>
      <c r="O201" s="28" t="n">
        <v>93.64385474107289</v>
      </c>
      <c r="P201" s="28" t="n">
        <v>99.44016254398433</v>
      </c>
      <c r="Q201" s="28" t="n">
        <v>106.1240256596548</v>
      </c>
      <c r="R201" s="28" t="n">
        <v>515.5753345568186</v>
      </c>
    </row>
    <row r="202" ht="15.75" customHeight="1" s="57">
      <c r="A202" s="7" t="inlineStr">
        <is>
          <t>NTB</t>
        </is>
      </c>
      <c r="B202" s="7" t="inlineStr">
        <is>
          <t>Lâm Đồng</t>
        </is>
      </c>
      <c r="C202" s="7" t="n">
        <v>1838</v>
      </c>
      <c r="D202" s="7" t="n">
        <v>420201</v>
      </c>
      <c r="E202" s="7" t="inlineStr">
        <is>
          <t>A</t>
        </is>
      </c>
      <c r="F202" s="7" t="n">
        <v>15</v>
      </c>
      <c r="G202" s="27" t="n">
        <v>1</v>
      </c>
      <c r="H202" s="7" t="inlineStr">
        <is>
          <t>Đã mở</t>
        </is>
      </c>
      <c r="I202" s="7" t="n"/>
      <c r="J202" s="7" t="inlineStr">
        <is>
          <t>GHN B2B Lâm Đồng (sắp mở)</t>
        </is>
      </c>
      <c r="K202" s="7" t="inlineStr">
        <is>
          <t>15to30</t>
        </is>
      </c>
      <c r="L202" s="28" t="n">
        <v>510.0314161815613</v>
      </c>
      <c r="M202" s="28" t="n">
        <v>626.025000481754</v>
      </c>
      <c r="N202" s="28" t="n">
        <v>681.6483992989213</v>
      </c>
      <c r="O202" s="28" t="n">
        <v>790.2491670022229</v>
      </c>
      <c r="P202" s="28" t="n">
        <v>837.2549761673636</v>
      </c>
      <c r="Q202" s="28" t="n">
        <v>891.4790135748228</v>
      </c>
      <c r="R202" s="28" t="n">
        <v>4336.687972706646</v>
      </c>
    </row>
    <row r="203" ht="15.75" customHeight="1" s="57">
      <c r="A203" s="7" t="inlineStr">
        <is>
          <t>NTB</t>
        </is>
      </c>
      <c r="B203" s="7" t="inlineStr">
        <is>
          <t>Lâm Đồng</t>
        </is>
      </c>
      <c r="C203" s="7" t="n">
        <v>1838</v>
      </c>
      <c r="D203" s="7" t="n">
        <v>420201</v>
      </c>
      <c r="E203" s="7" t="inlineStr">
        <is>
          <t>A</t>
        </is>
      </c>
      <c r="F203" s="7" t="n">
        <v>15</v>
      </c>
      <c r="G203" s="27" t="n">
        <v>1</v>
      </c>
      <c r="H203" s="7" t="inlineStr">
        <is>
          <t>Đã mở</t>
        </is>
      </c>
      <c r="I203" s="7" t="n"/>
      <c r="J203" s="7" t="inlineStr">
        <is>
          <t>GHN B2B Lâm Đồng (sắp mở)</t>
        </is>
      </c>
      <c r="K203" s="7" t="inlineStr">
        <is>
          <t>gte30</t>
        </is>
      </c>
      <c r="L203" s="28" t="n">
        <v>228.0299348414665</v>
      </c>
      <c r="M203" s="28" t="n">
        <v>279.6261281929795</v>
      </c>
      <c r="N203" s="28" t="n">
        <v>304.8431774046319</v>
      </c>
      <c r="O203" s="28" t="n">
        <v>353.8351180979178</v>
      </c>
      <c r="P203" s="28" t="n">
        <v>374.8886913654326</v>
      </c>
      <c r="Q203" s="28" t="n">
        <v>399.0160854917779</v>
      </c>
      <c r="R203" s="28" t="n">
        <v>1940.239135394206</v>
      </c>
    </row>
    <row r="204" ht="15.75" customHeight="1" s="57">
      <c r="A204" s="7" t="inlineStr">
        <is>
          <t>NTB</t>
        </is>
      </c>
      <c r="B204" s="7" t="inlineStr">
        <is>
          <t>Lâm Đồng</t>
        </is>
      </c>
      <c r="C204" s="7" t="n">
        <v>1838</v>
      </c>
      <c r="D204" s="7" t="n">
        <v>420202</v>
      </c>
      <c r="E204" s="7" t="inlineStr">
        <is>
          <t>A</t>
        </is>
      </c>
      <c r="F204" s="7" t="n">
        <v>15</v>
      </c>
      <c r="G204" s="27" t="n">
        <v>1</v>
      </c>
      <c r="H204" s="7" t="inlineStr">
        <is>
          <t>Đã mở</t>
        </is>
      </c>
      <c r="I204" s="7" t="n"/>
      <c r="J204" s="7" t="inlineStr">
        <is>
          <t>GHN B2B Lâm Đồng (sắp mở)</t>
        </is>
      </c>
      <c r="K204" s="7" t="inlineStr">
        <is>
          <t>15to30</t>
        </is>
      </c>
      <c r="L204" s="28" t="n">
        <v>552.1341449099336</v>
      </c>
      <c r="M204" s="28" t="n">
        <v>680.6880420500531</v>
      </c>
      <c r="N204" s="28" t="n">
        <v>742.8332825356518</v>
      </c>
      <c r="O204" s="28" t="n">
        <v>862.6212986714116</v>
      </c>
      <c r="P204" s="28" t="n">
        <v>912.6587212430185</v>
      </c>
      <c r="Q204" s="28" t="n">
        <v>970.0730573647188</v>
      </c>
      <c r="R204" s="28" t="n">
        <v>4721.008546774788</v>
      </c>
    </row>
    <row r="205" ht="15.75" customHeight="1" s="57">
      <c r="A205" s="7" t="inlineStr">
        <is>
          <t>NTB</t>
        </is>
      </c>
      <c r="B205" s="7" t="inlineStr">
        <is>
          <t>Lâm Đồng</t>
        </is>
      </c>
      <c r="C205" s="7" t="n">
        <v>1838</v>
      </c>
      <c r="D205" s="7" t="n">
        <v>420202</v>
      </c>
      <c r="E205" s="7" t="inlineStr">
        <is>
          <t>A</t>
        </is>
      </c>
      <c r="F205" s="7" t="n">
        <v>15</v>
      </c>
      <c r="G205" s="27" t="n">
        <v>1</v>
      </c>
      <c r="H205" s="7" t="inlineStr">
        <is>
          <t>Đã mở</t>
        </is>
      </c>
      <c r="I205" s="7" t="n"/>
      <c r="J205" s="7" t="inlineStr">
        <is>
          <t>GHN B2B Lâm Đồng (sắp mở)</t>
        </is>
      </c>
      <c r="K205" s="7" t="inlineStr">
        <is>
          <t>gte30</t>
        </is>
      </c>
      <c r="L205" s="28" t="n">
        <v>215.8114245124057</v>
      </c>
      <c r="M205" s="28" t="n">
        <v>265.4223973701959</v>
      </c>
      <c r="N205" s="28" t="n">
        <v>289.7585887591414</v>
      </c>
      <c r="O205" s="28" t="n">
        <v>336.6626781882854</v>
      </c>
      <c r="P205" s="28" t="n">
        <v>356.3461057860609</v>
      </c>
      <c r="Q205" s="28" t="n">
        <v>378.8392048669977</v>
      </c>
      <c r="R205" s="28" t="n">
        <v>1842.840399483087</v>
      </c>
    </row>
    <row r="206" ht="15.75" customHeight="1" s="57">
      <c r="A206" s="7" t="inlineStr">
        <is>
          <t>NTB</t>
        </is>
      </c>
      <c r="B206" s="7" t="inlineStr">
        <is>
          <t>Lâm Đồng</t>
        </is>
      </c>
      <c r="C206" s="7" t="n">
        <v>1838</v>
      </c>
      <c r="D206" s="7" t="n">
        <v>420203</v>
      </c>
      <c r="E206" s="7" t="inlineStr">
        <is>
          <t>A</t>
        </is>
      </c>
      <c r="F206" s="7" t="n">
        <v>15</v>
      </c>
      <c r="G206" s="27" t="n">
        <v>1</v>
      </c>
      <c r="H206" s="7" t="inlineStr">
        <is>
          <t>Đã mở</t>
        </is>
      </c>
      <c r="I206" s="7" t="n"/>
      <c r="J206" s="7" t="inlineStr">
        <is>
          <t>GHN B2B Lâm Đồng (sắp mở)</t>
        </is>
      </c>
      <c r="K206" s="7" t="inlineStr">
        <is>
          <t>15to30</t>
        </is>
      </c>
      <c r="L206" s="28" t="n">
        <v>236.8936083897864</v>
      </c>
      <c r="M206" s="28" t="n">
        <v>291.8048290014936</v>
      </c>
      <c r="N206" s="28" t="n">
        <v>318.3115016892403</v>
      </c>
      <c r="O206" s="28" t="n">
        <v>369.528100646245</v>
      </c>
      <c r="P206" s="28" t="n">
        <v>391.0887782743487</v>
      </c>
      <c r="Q206" s="28" t="n">
        <v>415.8475857171726</v>
      </c>
      <c r="R206" s="28" t="n">
        <v>2023.474403718287</v>
      </c>
    </row>
    <row r="207" ht="15.75" customHeight="1" s="57">
      <c r="A207" s="7" t="inlineStr">
        <is>
          <t>NTB</t>
        </is>
      </c>
      <c r="B207" s="7" t="inlineStr">
        <is>
          <t>Lâm Đồng</t>
        </is>
      </c>
      <c r="C207" s="7" t="n">
        <v>1838</v>
      </c>
      <c r="D207" s="7" t="n">
        <v>420203</v>
      </c>
      <c r="E207" s="7" t="inlineStr">
        <is>
          <t>A</t>
        </is>
      </c>
      <c r="F207" s="7" t="n">
        <v>15</v>
      </c>
      <c r="G207" s="27" t="n">
        <v>1</v>
      </c>
      <c r="H207" s="7" t="inlineStr">
        <is>
          <t>Đã mở</t>
        </is>
      </c>
      <c r="I207" s="7" t="n"/>
      <c r="J207" s="7" t="inlineStr">
        <is>
          <t>GHN B2B Lâm Đồng (sắp mở)</t>
        </is>
      </c>
      <c r="K207" s="7" t="inlineStr">
        <is>
          <t>gte30</t>
        </is>
      </c>
      <c r="L207" s="28" t="n">
        <v>100.6177639438521</v>
      </c>
      <c r="M207" s="28" t="n">
        <v>122.7645362255447</v>
      </c>
      <c r="N207" s="28" t="n">
        <v>133.5174157516096</v>
      </c>
      <c r="O207" s="28" t="n">
        <v>154.7076825130313</v>
      </c>
      <c r="P207" s="28" t="n">
        <v>164.1900347433399</v>
      </c>
      <c r="Q207" s="28" t="n">
        <v>175.1077991381652</v>
      </c>
      <c r="R207" s="28" t="n">
        <v>850.9052323155428</v>
      </c>
    </row>
    <row r="208" ht="15.75" customHeight="1" s="57">
      <c r="A208" s="7" t="inlineStr">
        <is>
          <t>NTB</t>
        </is>
      </c>
      <c r="B208" s="7" t="inlineStr">
        <is>
          <t>Lâm Đồng</t>
        </is>
      </c>
      <c r="C208" s="7" t="n">
        <v>1838</v>
      </c>
      <c r="D208" s="7" t="n">
        <v>420204</v>
      </c>
      <c r="E208" s="7" t="inlineStr">
        <is>
          <t>A</t>
        </is>
      </c>
      <c r="F208" s="7" t="n">
        <v>15</v>
      </c>
      <c r="G208" s="27" t="n">
        <v>1</v>
      </c>
      <c r="H208" s="7" t="inlineStr">
        <is>
          <t>Đã mở</t>
        </is>
      </c>
      <c r="I208" s="7" t="n"/>
      <c r="J208" s="7" t="inlineStr">
        <is>
          <t>GHN B2B Lâm Đồng (sắp mở)</t>
        </is>
      </c>
      <c r="K208" s="7" t="inlineStr">
        <is>
          <t>15to30</t>
        </is>
      </c>
      <c r="L208" s="28" t="n">
        <v>362.7044153928157</v>
      </c>
      <c r="M208" s="28" t="n">
        <v>451.0499996987841</v>
      </c>
      <c r="N208" s="28" t="n">
        <v>494.3826538949529</v>
      </c>
      <c r="O208" s="28" t="n">
        <v>575.9475134712204</v>
      </c>
      <c r="P208" s="28" t="n">
        <v>607.5530297242473</v>
      </c>
      <c r="Q208" s="28" t="n">
        <v>643.4535067145094</v>
      </c>
      <c r="R208" s="28" t="n">
        <v>3135.09111889653</v>
      </c>
    </row>
    <row r="209" ht="15.75" customHeight="1" s="57">
      <c r="A209" s="7" t="inlineStr">
        <is>
          <t>NTB</t>
        </is>
      </c>
      <c r="B209" s="7" t="inlineStr">
        <is>
          <t>Lâm Đồng</t>
        </is>
      </c>
      <c r="C209" s="7" t="n">
        <v>1838</v>
      </c>
      <c r="D209" s="7" t="n">
        <v>420204</v>
      </c>
      <c r="E209" s="7" t="inlineStr">
        <is>
          <t>A</t>
        </is>
      </c>
      <c r="F209" s="7" t="n">
        <v>15</v>
      </c>
      <c r="G209" s="27" t="n">
        <v>1</v>
      </c>
      <c r="H209" s="7" t="inlineStr">
        <is>
          <t>Đã mở</t>
        </is>
      </c>
      <c r="I209" s="7" t="n"/>
      <c r="J209" s="7" t="inlineStr">
        <is>
          <t>GHN B2B Lâm Đồng (sắp mở)</t>
        </is>
      </c>
      <c r="K209" s="7" t="inlineStr">
        <is>
          <t>gte30</t>
        </is>
      </c>
      <c r="L209" s="28" t="n">
        <v>190.8351241984947</v>
      </c>
      <c r="M209" s="28" t="n">
        <v>236.8098446892991</v>
      </c>
      <c r="N209" s="28" t="n">
        <v>259.599974361387</v>
      </c>
      <c r="O209" s="28" t="n">
        <v>302.5269653265966</v>
      </c>
      <c r="P209" s="28" t="n">
        <v>319.2786496918992</v>
      </c>
      <c r="Q209" s="28" t="n">
        <v>338.2462326028092</v>
      </c>
      <c r="R209" s="28" t="n">
        <v>1647.296790870486</v>
      </c>
    </row>
    <row r="210" ht="15.75" customHeight="1" s="57">
      <c r="A210" s="7" t="inlineStr">
        <is>
          <t>NTB</t>
        </is>
      </c>
      <c r="B210" s="7" t="inlineStr">
        <is>
          <t>Lâm Đồng</t>
        </is>
      </c>
      <c r="C210" s="7" t="n">
        <v>1838</v>
      </c>
      <c r="D210" s="7" t="n">
        <v>420205</v>
      </c>
      <c r="E210" s="7" t="inlineStr">
        <is>
          <t>A</t>
        </is>
      </c>
      <c r="F210" s="7" t="n">
        <v>15</v>
      </c>
      <c r="G210" s="27" t="n">
        <v>1</v>
      </c>
      <c r="H210" s="7" t="inlineStr">
        <is>
          <t>Đã mở</t>
        </is>
      </c>
      <c r="I210" s="7" t="n"/>
      <c r="J210" s="7" t="inlineStr">
        <is>
          <t>GHN B2B Lâm Đồng (sắp mở)</t>
        </is>
      </c>
      <c r="K210" s="7" t="inlineStr">
        <is>
          <t>15to30</t>
        </is>
      </c>
      <c r="L210" s="28" t="n">
        <v>431.1144497028228</v>
      </c>
      <c r="M210" s="28" t="n">
        <v>538.1432070921898</v>
      </c>
      <c r="N210" s="28" t="n">
        <v>590.9508697855773</v>
      </c>
      <c r="O210" s="28" t="n">
        <v>689.3934729319541</v>
      </c>
      <c r="P210" s="28" t="n">
        <v>726.3250364611393</v>
      </c>
      <c r="Q210" s="28" t="n">
        <v>768.0733834174956</v>
      </c>
      <c r="R210" s="28" t="n">
        <v>3744.000419391179</v>
      </c>
    </row>
    <row r="211" ht="15.75" customHeight="1" s="57">
      <c r="A211" s="7" t="inlineStr">
        <is>
          <t>NTB</t>
        </is>
      </c>
      <c r="B211" s="7" t="inlineStr">
        <is>
          <t>Lâm Đồng</t>
        </is>
      </c>
      <c r="C211" s="7" t="n">
        <v>1838</v>
      </c>
      <c r="D211" s="7" t="n">
        <v>420205</v>
      </c>
      <c r="E211" s="7" t="inlineStr">
        <is>
          <t>A</t>
        </is>
      </c>
      <c r="F211" s="7" t="n">
        <v>15</v>
      </c>
      <c r="G211" s="27" t="n">
        <v>1</v>
      </c>
      <c r="H211" s="7" t="inlineStr">
        <is>
          <t>Đã mở</t>
        </is>
      </c>
      <c r="I211" s="7" t="n"/>
      <c r="J211" s="7" t="inlineStr">
        <is>
          <t>GHN B2B Lâm Đồng (sắp mở)</t>
        </is>
      </c>
      <c r="K211" s="7" t="inlineStr">
        <is>
          <t>gte30</t>
        </is>
      </c>
      <c r="L211" s="28" t="n">
        <v>229.6640129848026</v>
      </c>
      <c r="M211" s="28" t="n">
        <v>276.9897904872332</v>
      </c>
      <c r="N211" s="28" t="n">
        <v>299.5875409558313</v>
      </c>
      <c r="O211" s="28" t="n">
        <v>345.7320873095903</v>
      </c>
      <c r="P211" s="28" t="n">
        <v>368.3773789586097</v>
      </c>
      <c r="Q211" s="28" t="n">
        <v>394.7105236095521</v>
      </c>
      <c r="R211" s="28" t="n">
        <v>1915.061334305619</v>
      </c>
    </row>
    <row r="212" ht="15.75" customHeight="1" s="57">
      <c r="A212" s="7" t="inlineStr">
        <is>
          <t>NTB</t>
        </is>
      </c>
      <c r="B212" s="7" t="inlineStr">
        <is>
          <t>Lâm Đồng</t>
        </is>
      </c>
      <c r="C212" s="7" t="n">
        <v>1838</v>
      </c>
      <c r="D212" s="7" t="n">
        <v>420206</v>
      </c>
      <c r="E212" s="7" t="inlineStr">
        <is>
          <t>A</t>
        </is>
      </c>
      <c r="F212" s="7" t="n">
        <v>15</v>
      </c>
      <c r="G212" s="27" t="n">
        <v>1</v>
      </c>
      <c r="H212" s="7" t="inlineStr">
        <is>
          <t>Đã mở</t>
        </is>
      </c>
      <c r="I212" s="7" t="n"/>
      <c r="J212" s="7" t="inlineStr">
        <is>
          <t>GHN B2B Lâm Đồng (sắp mở)</t>
        </is>
      </c>
      <c r="K212" s="7" t="inlineStr">
        <is>
          <t>15to30</t>
        </is>
      </c>
      <c r="L212" s="28" t="n">
        <v>255.1297311010974</v>
      </c>
      <c r="M212" s="28" t="n">
        <v>319.3482258866234</v>
      </c>
      <c r="N212" s="28" t="n">
        <v>351.1636159437161</v>
      </c>
      <c r="O212" s="28" t="n">
        <v>410.0650028404004</v>
      </c>
      <c r="P212" s="28" t="n">
        <v>431.6051917335573</v>
      </c>
      <c r="Q212" s="28" t="n">
        <v>455.8752597543408</v>
      </c>
      <c r="R212" s="28" t="n">
        <v>2223.187027259735</v>
      </c>
    </row>
    <row r="213" ht="15.75" customHeight="1" s="57">
      <c r="A213" s="7" t="inlineStr">
        <is>
          <t>NTB</t>
        </is>
      </c>
      <c r="B213" s="7" t="inlineStr">
        <is>
          <t>Lâm Đồng</t>
        </is>
      </c>
      <c r="C213" s="7" t="n">
        <v>1838</v>
      </c>
      <c r="D213" s="7" t="n">
        <v>420206</v>
      </c>
      <c r="E213" s="7" t="inlineStr">
        <is>
          <t>A</t>
        </is>
      </c>
      <c r="F213" s="7" t="n">
        <v>15</v>
      </c>
      <c r="G213" s="27" t="n">
        <v>1</v>
      </c>
      <c r="H213" s="7" t="inlineStr">
        <is>
          <t>Đã mở</t>
        </is>
      </c>
      <c r="I213" s="7" t="n"/>
      <c r="J213" s="7" t="inlineStr">
        <is>
          <t>GHN B2B Lâm Đồng (sắp mở)</t>
        </is>
      </c>
      <c r="K213" s="7" t="inlineStr">
        <is>
          <t>gte30</t>
        </is>
      </c>
      <c r="L213" s="28" t="n">
        <v>125.0703396396561</v>
      </c>
      <c r="M213" s="28" t="n">
        <v>154.7095440883628</v>
      </c>
      <c r="N213" s="28" t="n">
        <v>169.3490072993452</v>
      </c>
      <c r="O213" s="28" t="n">
        <v>197.1436110461786</v>
      </c>
      <c r="P213" s="28" t="n">
        <v>208.2751461732918</v>
      </c>
      <c r="Q213" s="28" t="n">
        <v>220.9217049747985</v>
      </c>
      <c r="R213" s="28" t="n">
        <v>1075.469353221633</v>
      </c>
    </row>
    <row r="214" ht="15.75" customHeight="1" s="57">
      <c r="A214" s="7" t="inlineStr">
        <is>
          <t>NTB</t>
        </is>
      </c>
      <c r="B214" s="7" t="inlineStr">
        <is>
          <t>Lâm Đồng</t>
        </is>
      </c>
      <c r="C214" s="7" t="n">
        <v>1838</v>
      </c>
      <c r="D214" s="7" t="n">
        <v>420207</v>
      </c>
      <c r="E214" s="7" t="inlineStr">
        <is>
          <t>A</t>
        </is>
      </c>
      <c r="F214" s="7" t="n">
        <v>15</v>
      </c>
      <c r="G214" s="27" t="n">
        <v>1</v>
      </c>
      <c r="H214" s="7" t="inlineStr">
        <is>
          <t>Đã mở</t>
        </is>
      </c>
      <c r="I214" s="7" t="n"/>
      <c r="J214" s="7" t="inlineStr">
        <is>
          <t>GHN B2B Lâm Đồng (sắp mở)</t>
        </is>
      </c>
      <c r="K214" s="7" t="inlineStr">
        <is>
          <t>15to30</t>
        </is>
      </c>
      <c r="L214" s="28" t="n">
        <v>193.1829772728885</v>
      </c>
      <c r="M214" s="28" t="n">
        <v>229.8492276639512</v>
      </c>
      <c r="N214" s="28" t="n">
        <v>246.2418304290015</v>
      </c>
      <c r="O214" s="28" t="n">
        <v>282.0227511530871</v>
      </c>
      <c r="P214" s="28" t="n">
        <v>302.2334754340553</v>
      </c>
      <c r="Q214" s="28" t="n">
        <v>326.2000632424634</v>
      </c>
      <c r="R214" s="28" t="n">
        <v>1579.730325195447</v>
      </c>
    </row>
    <row r="215" ht="15.75" customHeight="1" s="57">
      <c r="A215" s="7" t="inlineStr">
        <is>
          <t>NTB</t>
        </is>
      </c>
      <c r="B215" s="7" t="inlineStr">
        <is>
          <t>Lâm Đồng</t>
        </is>
      </c>
      <c r="C215" s="7" t="n">
        <v>1838</v>
      </c>
      <c r="D215" s="7" t="n">
        <v>420207</v>
      </c>
      <c r="E215" s="7" t="inlineStr">
        <is>
          <t>A</t>
        </is>
      </c>
      <c r="F215" s="7" t="n">
        <v>15</v>
      </c>
      <c r="G215" s="27" t="n">
        <v>1</v>
      </c>
      <c r="H215" s="7" t="inlineStr">
        <is>
          <t>Đã mở</t>
        </is>
      </c>
      <c r="I215" s="7" t="n"/>
      <c r="J215" s="7" t="inlineStr">
        <is>
          <t>GHN B2B Lâm Đồng (sắp mở)</t>
        </is>
      </c>
      <c r="K215" s="7" t="inlineStr">
        <is>
          <t>gte30</t>
        </is>
      </c>
      <c r="L215" s="28" t="n">
        <v>56.25159909005846</v>
      </c>
      <c r="M215" s="28" t="n">
        <v>69.05903617548763</v>
      </c>
      <c r="N215" s="28" t="n">
        <v>75.32763350709575</v>
      </c>
      <c r="O215" s="28" t="n">
        <v>87.46796384926779</v>
      </c>
      <c r="P215" s="28" t="n">
        <v>92.63690580735009</v>
      </c>
      <c r="Q215" s="28" t="n">
        <v>98.55398080101155</v>
      </c>
      <c r="R215" s="28" t="n">
        <v>479.2971192302713</v>
      </c>
    </row>
    <row r="216" ht="15.75" customHeight="1" s="57">
      <c r="A216" s="7" t="inlineStr">
        <is>
          <t>NTB</t>
        </is>
      </c>
      <c r="B216" s="7" t="inlineStr">
        <is>
          <t>Lâm Đồng</t>
        </is>
      </c>
      <c r="C216" s="7" t="n">
        <v>1838</v>
      </c>
      <c r="D216" s="7" t="n">
        <v>420208</v>
      </c>
      <c r="E216" s="7" t="inlineStr">
        <is>
          <t>A</t>
        </is>
      </c>
      <c r="F216" s="7" t="n">
        <v>15</v>
      </c>
      <c r="G216" s="27" t="n">
        <v>1</v>
      </c>
      <c r="H216" s="7" t="inlineStr">
        <is>
          <t>Đã mở</t>
        </is>
      </c>
      <c r="I216" s="7" t="n"/>
      <c r="J216" s="7" t="inlineStr">
        <is>
          <t>GHN B2B Lâm Đồng (sắp mở)</t>
        </is>
      </c>
      <c r="K216" s="7" t="inlineStr">
        <is>
          <t>15to30</t>
        </is>
      </c>
      <c r="L216" s="28" t="n">
        <v>164.9708069212383</v>
      </c>
      <c r="M216" s="28" t="n">
        <v>207.4916520686778</v>
      </c>
      <c r="N216" s="28" t="n">
        <v>228.7050150807112</v>
      </c>
      <c r="O216" s="28" t="n">
        <v>267.5257703611667</v>
      </c>
      <c r="P216" s="28" t="n">
        <v>281.1269767029739</v>
      </c>
      <c r="Q216" s="28" t="n">
        <v>296.3529600724486</v>
      </c>
      <c r="R216" s="28" t="n">
        <v>1446.173181207217</v>
      </c>
    </row>
    <row r="217" ht="15.75" customHeight="1" s="57">
      <c r="A217" s="7" t="inlineStr">
        <is>
          <t>NTB</t>
        </is>
      </c>
      <c r="B217" s="7" t="inlineStr">
        <is>
          <t>Lâm Đồng</t>
        </is>
      </c>
      <c r="C217" s="7" t="n">
        <v>1838</v>
      </c>
      <c r="D217" s="7" t="n">
        <v>420208</v>
      </c>
      <c r="E217" s="7" t="inlineStr">
        <is>
          <t>A</t>
        </is>
      </c>
      <c r="F217" s="7" t="n">
        <v>15</v>
      </c>
      <c r="G217" s="27" t="n">
        <v>1</v>
      </c>
      <c r="H217" s="7" t="inlineStr">
        <is>
          <t>Đã mở</t>
        </is>
      </c>
      <c r="I217" s="7" t="n"/>
      <c r="J217" s="7" t="inlineStr">
        <is>
          <t>GHN B2B Lâm Đồng (sắp mở)</t>
        </is>
      </c>
      <c r="K217" s="7" t="inlineStr">
        <is>
          <t>gte30</t>
        </is>
      </c>
      <c r="L217" s="28" t="n">
        <v>71.38401566038664</v>
      </c>
      <c r="M217" s="28" t="n">
        <v>89.30187062019554</v>
      </c>
      <c r="N217" s="28" t="n">
        <v>98.26154197593827</v>
      </c>
      <c r="O217" s="28" t="n">
        <v>114.8155035748865</v>
      </c>
      <c r="P217" s="28" t="n">
        <v>120.8579326662322</v>
      </c>
      <c r="Q217" s="28" t="n">
        <v>127.637320457626</v>
      </c>
      <c r="R217" s="28" t="n">
        <v>622.2581849552652</v>
      </c>
    </row>
    <row r="218" ht="15.75" customHeight="1" s="57">
      <c r="A218" s="7" t="inlineStr">
        <is>
          <t>NTB</t>
        </is>
      </c>
      <c r="B218" s="7" t="inlineStr">
        <is>
          <t>Lâm Đồng</t>
        </is>
      </c>
      <c r="C218" s="7" t="n">
        <v>1838</v>
      </c>
      <c r="D218" s="7" t="n">
        <v>420209</v>
      </c>
      <c r="E218" s="7" t="inlineStr">
        <is>
          <t>A</t>
        </is>
      </c>
      <c r="F218" s="7" t="n">
        <v>15</v>
      </c>
      <c r="G218" s="27" t="n">
        <v>1</v>
      </c>
      <c r="H218" s="7" t="inlineStr">
        <is>
          <t>Đã mở</t>
        </is>
      </c>
      <c r="I218" s="7" t="n"/>
      <c r="J218" s="7" t="inlineStr">
        <is>
          <t>GHN B2B Lâm Đồng (sắp mở)</t>
        </is>
      </c>
      <c r="K218" s="7" t="inlineStr">
        <is>
          <t>15to30</t>
        </is>
      </c>
      <c r="L218" s="28" t="n">
        <v>282.258343353671</v>
      </c>
      <c r="M218" s="28" t="n">
        <v>347.0093636182917</v>
      </c>
      <c r="N218" s="28" t="n">
        <v>378.1550022051998</v>
      </c>
      <c r="O218" s="28" t="n">
        <v>438.6761111720094</v>
      </c>
      <c r="P218" s="28" t="n">
        <v>464.5552503643074</v>
      </c>
      <c r="Q218" s="28" t="n">
        <v>494.3442064347057</v>
      </c>
      <c r="R218" s="28" t="n">
        <v>2404.998277148185</v>
      </c>
    </row>
    <row r="219" ht="15.75" customHeight="1" s="57">
      <c r="A219" s="7" t="inlineStr">
        <is>
          <t>NTB</t>
        </is>
      </c>
      <c r="B219" s="7" t="inlineStr">
        <is>
          <t>Lâm Đồng</t>
        </is>
      </c>
      <c r="C219" s="7" t="n">
        <v>1838</v>
      </c>
      <c r="D219" s="7" t="n">
        <v>420209</v>
      </c>
      <c r="E219" s="7" t="inlineStr">
        <is>
          <t>A</t>
        </is>
      </c>
      <c r="F219" s="7" t="n">
        <v>15</v>
      </c>
      <c r="G219" s="27" t="n">
        <v>1</v>
      </c>
      <c r="H219" s="7" t="inlineStr">
        <is>
          <t>Đã mở</t>
        </is>
      </c>
      <c r="I219" s="7" t="n"/>
      <c r="J219" s="7" t="inlineStr">
        <is>
          <t>GHN B2B Lâm Đồng (sắp mở)</t>
        </is>
      </c>
      <c r="K219" s="7" t="inlineStr">
        <is>
          <t>gte30</t>
        </is>
      </c>
      <c r="L219" s="28" t="n">
        <v>104.1334161745171</v>
      </c>
      <c r="M219" s="28" t="n">
        <v>129.4535926537258</v>
      </c>
      <c r="N219" s="28" t="n">
        <v>142.0301618988162</v>
      </c>
      <c r="O219" s="28" t="n">
        <v>165.614868908999</v>
      </c>
      <c r="P219" s="28" t="n">
        <v>174.6834305906562</v>
      </c>
      <c r="Q219" s="28" t="n">
        <v>184.9314131052866</v>
      </c>
      <c r="R219" s="28" t="n">
        <v>900.846883332001</v>
      </c>
    </row>
    <row r="220" ht="15.75" customHeight="1" s="57">
      <c r="A220" s="7" t="inlineStr">
        <is>
          <t>NTB</t>
        </is>
      </c>
      <c r="B220" s="7" t="inlineStr">
        <is>
          <t>Lâm Đồng</t>
        </is>
      </c>
      <c r="C220" s="7" t="n">
        <v>1838</v>
      </c>
      <c r="D220" s="7" t="n">
        <v>420210</v>
      </c>
      <c r="E220" s="7" t="inlineStr">
        <is>
          <t>A</t>
        </is>
      </c>
      <c r="F220" s="7" t="n">
        <v>15</v>
      </c>
      <c r="G220" s="27" t="n">
        <v>1</v>
      </c>
      <c r="H220" s="7" t="inlineStr">
        <is>
          <t>Đã mở</t>
        </is>
      </c>
      <c r="I220" s="7" t="n"/>
      <c r="J220" s="7" t="inlineStr">
        <is>
          <t>GHN B2B Lâm Đồng (sắp mở)</t>
        </is>
      </c>
      <c r="K220" s="7" t="inlineStr">
        <is>
          <t>15to30</t>
        </is>
      </c>
      <c r="L220" s="28" t="n">
        <v>178.053124882541</v>
      </c>
      <c r="M220" s="28" t="n">
        <v>222.7349184682288</v>
      </c>
      <c r="N220" s="28" t="n">
        <v>244.8519419859517</v>
      </c>
      <c r="O220" s="28" t="n">
        <v>285.8603556857436</v>
      </c>
      <c r="P220" s="28" t="n">
        <v>300.9475729373986</v>
      </c>
      <c r="Q220" s="28" t="n">
        <v>317.9578540279387</v>
      </c>
      <c r="R220" s="28" t="n">
        <v>1550.405767987803</v>
      </c>
    </row>
    <row r="221" ht="15.75" customHeight="1" s="57">
      <c r="A221" s="7" t="inlineStr">
        <is>
          <t>NTB</t>
        </is>
      </c>
      <c r="B221" s="7" t="inlineStr">
        <is>
          <t>Lâm Đồng</t>
        </is>
      </c>
      <c r="C221" s="7" t="n">
        <v>1838</v>
      </c>
      <c r="D221" s="7" t="n">
        <v>420210</v>
      </c>
      <c r="E221" s="7" t="inlineStr">
        <is>
          <t>A</t>
        </is>
      </c>
      <c r="F221" s="7" t="n">
        <v>15</v>
      </c>
      <c r="G221" s="27" t="n">
        <v>1</v>
      </c>
      <c r="H221" s="7" t="inlineStr">
        <is>
          <t>Đã mở</t>
        </is>
      </c>
      <c r="I221" s="7" t="n"/>
      <c r="J221" s="7" t="inlineStr">
        <is>
          <t>GHN B2B Lâm Đồng (sắp mở)</t>
        </is>
      </c>
      <c r="K221" s="7" t="inlineStr">
        <is>
          <t>gte30</t>
        </is>
      </c>
      <c r="L221" s="28" t="n">
        <v>72.56489461729643</v>
      </c>
      <c r="M221" s="28" t="n">
        <v>90.45155459238136</v>
      </c>
      <c r="N221" s="28" t="n">
        <v>99.3617570681804</v>
      </c>
      <c r="O221" s="28" t="n">
        <v>115.9637467265566</v>
      </c>
      <c r="P221" s="28" t="n">
        <v>122.2078597976915</v>
      </c>
      <c r="Q221" s="28" t="n">
        <v>129.2429193935305</v>
      </c>
      <c r="R221" s="28" t="n">
        <v>629.7927321956366</v>
      </c>
    </row>
    <row r="222" ht="15.75" customHeight="1" s="57">
      <c r="A222" s="7" t="inlineStr">
        <is>
          <t>NTB</t>
        </is>
      </c>
      <c r="B222" s="7" t="inlineStr">
        <is>
          <t>Lâm Đồng</t>
        </is>
      </c>
      <c r="C222" s="7" t="n">
        <v>1838</v>
      </c>
      <c r="D222" s="7" t="n">
        <v>420211</v>
      </c>
      <c r="E222" s="7" t="inlineStr">
        <is>
          <t>A</t>
        </is>
      </c>
      <c r="F222" s="7" t="n">
        <v>15</v>
      </c>
      <c r="G222" s="27" t="n">
        <v>1</v>
      </c>
      <c r="H222" s="7" t="inlineStr">
        <is>
          <t>Đã mở</t>
        </is>
      </c>
      <c r="I222" s="7" t="n"/>
      <c r="J222" s="7" t="inlineStr">
        <is>
          <t>GHN B2B Lâm Đồng (sắp mở)</t>
        </is>
      </c>
      <c r="K222" s="7" t="inlineStr">
        <is>
          <t>15to30</t>
        </is>
      </c>
      <c r="L222" s="28" t="n">
        <v>204.3942864751403</v>
      </c>
      <c r="M222" s="28" t="n">
        <v>255.9149956078703</v>
      </c>
      <c r="N222" s="28" t="n">
        <v>281.4517779026564</v>
      </c>
      <c r="O222" s="28" t="n">
        <v>328.6969763747824</v>
      </c>
      <c r="P222" s="28" t="n">
        <v>345.9496840559166</v>
      </c>
      <c r="Q222" s="28" t="n">
        <v>365.3766477176373</v>
      </c>
      <c r="R222" s="28" t="n">
        <v>1781.784368134003</v>
      </c>
    </row>
    <row r="223" ht="15.75" customHeight="1" s="57">
      <c r="A223" s="7" t="inlineStr">
        <is>
          <t>NTB</t>
        </is>
      </c>
      <c r="B223" s="7" t="inlineStr">
        <is>
          <t>Lâm Đồng</t>
        </is>
      </c>
      <c r="C223" s="7" t="n">
        <v>1838</v>
      </c>
      <c r="D223" s="7" t="n">
        <v>420211</v>
      </c>
      <c r="E223" s="7" t="inlineStr">
        <is>
          <t>A</t>
        </is>
      </c>
      <c r="F223" s="7" t="n">
        <v>15</v>
      </c>
      <c r="G223" s="27" t="n">
        <v>1</v>
      </c>
      <c r="H223" s="7" t="inlineStr">
        <is>
          <t>Đã mở</t>
        </is>
      </c>
      <c r="I223" s="7" t="n"/>
      <c r="J223" s="7" t="inlineStr">
        <is>
          <t>GHN B2B Lâm Đồng (sắp mở)</t>
        </is>
      </c>
      <c r="K223" s="7" t="inlineStr">
        <is>
          <t>gte30</t>
        </is>
      </c>
      <c r="L223" s="28" t="n">
        <v>80.83985291717539</v>
      </c>
      <c r="M223" s="28" t="n">
        <v>101.9053738802715</v>
      </c>
      <c r="N223" s="28" t="n">
        <v>112.5190503876344</v>
      </c>
      <c r="O223" s="28" t="n">
        <v>131.7994724321722</v>
      </c>
      <c r="P223" s="28" t="n">
        <v>138.4019092622166</v>
      </c>
      <c r="Q223" s="28" t="n">
        <v>145.7401522456649</v>
      </c>
      <c r="R223" s="28" t="n">
        <v>711.205811125135</v>
      </c>
    </row>
    <row r="224" ht="15.75" customHeight="1" s="57">
      <c r="A224" s="7" t="inlineStr">
        <is>
          <t>NTB</t>
        </is>
      </c>
      <c r="B224" s="7" t="inlineStr">
        <is>
          <t>Lâm Đồng</t>
        </is>
      </c>
      <c r="C224" s="7" t="n">
        <v>1839</v>
      </c>
      <c r="D224" s="7" t="n">
        <v>42111</v>
      </c>
      <c r="E224" s="7" t="inlineStr">
        <is>
          <t>A</t>
        </is>
      </c>
      <c r="F224" s="7" t="n">
        <v>15</v>
      </c>
      <c r="G224" s="27" t="n">
        <v>1</v>
      </c>
      <c r="H224" s="7" t="inlineStr">
        <is>
          <t>Đã mở</t>
        </is>
      </c>
      <c r="I224" s="7" t="n"/>
      <c r="J224" s="7" t="inlineStr">
        <is>
          <t>GHN B2B Lâm Đồng (sắp mở)</t>
        </is>
      </c>
      <c r="K224" s="7" t="inlineStr">
        <is>
          <t>15to30</t>
        </is>
      </c>
      <c r="L224" s="28" t="n">
        <v>306.7864689425282</v>
      </c>
      <c r="M224" s="28" t="n">
        <v>378.209346664923</v>
      </c>
      <c r="N224" s="28" t="n">
        <v>412.7326716259969</v>
      </c>
      <c r="O224" s="28" t="n">
        <v>479.2800542949562</v>
      </c>
      <c r="P224" s="28" t="n">
        <v>507.0461507509266</v>
      </c>
      <c r="Q224" s="28" t="n">
        <v>538.9169023268604</v>
      </c>
      <c r="R224" s="28" t="n">
        <v>2622.971594606192</v>
      </c>
    </row>
    <row r="225" ht="15.75" customHeight="1" s="57">
      <c r="A225" s="7" t="inlineStr">
        <is>
          <t>NTB</t>
        </is>
      </c>
      <c r="B225" s="7" t="inlineStr">
        <is>
          <t>Lâm Đồng</t>
        </is>
      </c>
      <c r="C225" s="7" t="n">
        <v>1839</v>
      </c>
      <c r="D225" s="7" t="n">
        <v>42111</v>
      </c>
      <c r="E225" s="7" t="inlineStr">
        <is>
          <t>A</t>
        </is>
      </c>
      <c r="F225" s="7" t="n">
        <v>15</v>
      </c>
      <c r="G225" s="27" t="n">
        <v>1</v>
      </c>
      <c r="H225" s="7" t="inlineStr">
        <is>
          <t>Đã mở</t>
        </is>
      </c>
      <c r="I225" s="7" t="n"/>
      <c r="J225" s="7" t="inlineStr">
        <is>
          <t>GHN B2B Lâm Đồng (sắp mở)</t>
        </is>
      </c>
      <c r="K225" s="7" t="inlineStr">
        <is>
          <t>gte30</t>
        </is>
      </c>
      <c r="L225" s="28" t="n">
        <v>127.9261511654942</v>
      </c>
      <c r="M225" s="28" t="n">
        <v>156.9135597874089</v>
      </c>
      <c r="N225" s="28" t="n">
        <v>171.0855994796684</v>
      </c>
      <c r="O225" s="28" t="n">
        <v>198.5990703753573</v>
      </c>
      <c r="P225" s="28" t="n">
        <v>210.3973213633237</v>
      </c>
      <c r="Q225" s="28" t="n">
        <v>223.9146919918953</v>
      </c>
      <c r="R225" s="28" t="n">
        <v>1088.836394163148</v>
      </c>
    </row>
    <row r="226" ht="15.75" customHeight="1" s="57">
      <c r="A226" s="7" t="inlineStr">
        <is>
          <t>NTB</t>
        </is>
      </c>
      <c r="B226" s="7" t="inlineStr">
        <is>
          <t>Lâm Đồng</t>
        </is>
      </c>
      <c r="C226" s="7" t="n">
        <v>1839</v>
      </c>
      <c r="D226" s="7" t="n">
        <v>761203</v>
      </c>
      <c r="E226" s="7" t="inlineStr">
        <is>
          <t>A</t>
        </is>
      </c>
      <c r="F226" s="7" t="n">
        <v>15</v>
      </c>
      <c r="G226" s="27" t="n">
        <v>1</v>
      </c>
      <c r="H226" s="7" t="inlineStr">
        <is>
          <t>Đã mở</t>
        </is>
      </c>
      <c r="I226" s="7" t="n"/>
      <c r="J226" s="7" t="inlineStr">
        <is>
          <t>GHN B2B Lâm Đồng (sắp mở)</t>
        </is>
      </c>
      <c r="K226" s="7" t="inlineStr">
        <is>
          <t>15to30</t>
        </is>
      </c>
      <c r="L226" s="28" t="n">
        <v>269.1037015085664</v>
      </c>
      <c r="M226" s="28" t="n">
        <v>330.5566790653912</v>
      </c>
      <c r="N226" s="28" t="n">
        <v>360.0711535209001</v>
      </c>
      <c r="O226" s="28" t="n">
        <v>417.5669129089207</v>
      </c>
      <c r="P226" s="28" t="n">
        <v>442.3428565057314</v>
      </c>
      <c r="Q226" s="28" t="n">
        <v>470.8845466514429</v>
      </c>
      <c r="R226" s="28" t="n">
        <v>2290.525850160952</v>
      </c>
    </row>
    <row r="227" ht="15.75" customHeight="1" s="57">
      <c r="A227" s="7" t="inlineStr">
        <is>
          <t>NTB</t>
        </is>
      </c>
      <c r="B227" s="7" t="inlineStr">
        <is>
          <t>Lâm Đồng</t>
        </is>
      </c>
      <c r="C227" s="7" t="n">
        <v>1839</v>
      </c>
      <c r="D227" s="7" t="n">
        <v>761203</v>
      </c>
      <c r="E227" s="7" t="inlineStr">
        <is>
          <t>A</t>
        </is>
      </c>
      <c r="F227" s="7" t="n">
        <v>15</v>
      </c>
      <c r="G227" s="27" t="n">
        <v>1</v>
      </c>
      <c r="H227" s="7" t="inlineStr">
        <is>
          <t>Đã mở</t>
        </is>
      </c>
      <c r="I227" s="7" t="n"/>
      <c r="J227" s="7" t="inlineStr">
        <is>
          <t>GHN B2B Lâm Đồng (sắp mở)</t>
        </is>
      </c>
      <c r="K227" s="7" t="inlineStr">
        <is>
          <t>gte30</t>
        </is>
      </c>
      <c r="L227" s="28" t="n">
        <v>106.9291931223398</v>
      </c>
      <c r="M227" s="28" t="n">
        <v>131.2169456123713</v>
      </c>
      <c r="N227" s="28" t="n">
        <v>143.0979672112294</v>
      </c>
      <c r="O227" s="28" t="n">
        <v>166.1356384206526</v>
      </c>
      <c r="P227" s="28" t="n">
        <v>175.9793464753803</v>
      </c>
      <c r="Q227" s="28" t="n">
        <v>187.2525906417478</v>
      </c>
      <c r="R227" s="28" t="n">
        <v>910.6116814837211</v>
      </c>
    </row>
    <row r="228" ht="15.75" customHeight="1" s="57">
      <c r="A228" s="7" t="inlineStr">
        <is>
          <t>NTB</t>
        </is>
      </c>
      <c r="B228" s="7" t="inlineStr">
        <is>
          <t>Lâm Đồng</t>
        </is>
      </c>
      <c r="C228" s="7" t="n">
        <v>1839</v>
      </c>
      <c r="D228" s="7" t="n">
        <v>761206</v>
      </c>
      <c r="E228" s="7" t="inlineStr">
        <is>
          <t>A</t>
        </is>
      </c>
      <c r="F228" s="7" t="n">
        <v>15</v>
      </c>
      <c r="G228" s="27" t="n">
        <v>1</v>
      </c>
      <c r="H228" s="7" t="inlineStr">
        <is>
          <t>Đã mở</t>
        </is>
      </c>
      <c r="I228" s="7" t="n"/>
      <c r="J228" s="7" t="inlineStr">
        <is>
          <t>GHN B2B Lâm Đồng (sắp mở)</t>
        </is>
      </c>
      <c r="K228" s="7" t="inlineStr">
        <is>
          <t>15to30</t>
        </is>
      </c>
      <c r="L228" s="28" t="n">
        <v>89.3210140793804</v>
      </c>
      <c r="M228" s="28" t="n">
        <v>108.1038353250352</v>
      </c>
      <c r="N228" s="28" t="n">
        <v>116.8610179115693</v>
      </c>
      <c r="O228" s="28" t="n">
        <v>134.7544243579121</v>
      </c>
      <c r="P228" s="28" t="n">
        <v>143.5048795520676</v>
      </c>
      <c r="Q228" s="28" t="n">
        <v>153.7332453979617</v>
      </c>
      <c r="R228" s="28" t="n">
        <v>746.2784166239263</v>
      </c>
    </row>
    <row r="229" ht="15.75" customHeight="1" s="57">
      <c r="A229" s="7" t="inlineStr">
        <is>
          <t>NTB</t>
        </is>
      </c>
      <c r="B229" s="7" t="inlineStr">
        <is>
          <t>Lâm Đồng</t>
        </is>
      </c>
      <c r="C229" s="7" t="n">
        <v>1839</v>
      </c>
      <c r="D229" s="7" t="n">
        <v>761206</v>
      </c>
      <c r="E229" s="7" t="inlineStr">
        <is>
          <t>A</t>
        </is>
      </c>
      <c r="F229" s="7" t="n">
        <v>15</v>
      </c>
      <c r="G229" s="27" t="n">
        <v>1</v>
      </c>
      <c r="H229" s="7" t="inlineStr">
        <is>
          <t>Đã mở</t>
        </is>
      </c>
      <c r="I229" s="7" t="n"/>
      <c r="J229" s="7" t="inlineStr">
        <is>
          <t>GHN B2B Lâm Đồng (sắp mở)</t>
        </is>
      </c>
      <c r="K229" s="7" t="inlineStr">
        <is>
          <t>gte30</t>
        </is>
      </c>
      <c r="L229" s="28" t="n">
        <v>37.11991359311234</v>
      </c>
      <c r="M229" s="28" t="n">
        <v>45.7529431596208</v>
      </c>
      <c r="N229" s="28" t="n">
        <v>49.99906707813074</v>
      </c>
      <c r="O229" s="28" t="n">
        <v>58.13548145203259</v>
      </c>
      <c r="P229" s="28" t="n">
        <v>61.49005392813209</v>
      </c>
      <c r="Q229" s="28" t="n">
        <v>65.31515373736141</v>
      </c>
      <c r="R229" s="28" t="n">
        <v>317.81261294839</v>
      </c>
    </row>
    <row r="230" ht="15.75" customHeight="1" s="57">
      <c r="A230" s="7" t="inlineStr">
        <is>
          <t>NTB</t>
        </is>
      </c>
      <c r="B230" s="7" t="inlineStr">
        <is>
          <t>Lâm Đồng</t>
        </is>
      </c>
      <c r="C230" s="7" t="n">
        <v>1839</v>
      </c>
      <c r="D230" s="7" t="n">
        <v>761209</v>
      </c>
      <c r="E230" s="7" t="inlineStr">
        <is>
          <t>A</t>
        </is>
      </c>
      <c r="F230" s="7" t="n">
        <v>15</v>
      </c>
      <c r="G230" s="27" t="n">
        <v>1</v>
      </c>
      <c r="H230" s="7" t="inlineStr">
        <is>
          <t>Đã mở</t>
        </is>
      </c>
      <c r="I230" s="7" t="n"/>
      <c r="J230" s="7" t="inlineStr">
        <is>
          <t>GHN B2B Lâm Đồng (sắp mở)</t>
        </is>
      </c>
      <c r="K230" s="7" t="inlineStr">
        <is>
          <t>15to30</t>
        </is>
      </c>
      <c r="L230" s="28" t="n">
        <v>133.0058752188145</v>
      </c>
      <c r="M230" s="28" t="n">
        <v>162.5163654014901</v>
      </c>
      <c r="N230" s="28" t="n">
        <v>176.5477883677559</v>
      </c>
      <c r="O230" s="28" t="n">
        <v>204.3270704381205</v>
      </c>
      <c r="P230" s="28" t="n">
        <v>216.8425987305773</v>
      </c>
      <c r="Q230" s="28" t="n">
        <v>231.34267159758</v>
      </c>
      <c r="R230" s="28" t="n">
        <v>1124.582369754338</v>
      </c>
    </row>
    <row r="231" ht="15.75" customHeight="1" s="57">
      <c r="A231" s="7" t="inlineStr">
        <is>
          <t>NTB</t>
        </is>
      </c>
      <c r="B231" s="7" t="inlineStr">
        <is>
          <t>Lâm Đồng</t>
        </is>
      </c>
      <c r="C231" s="7" t="n">
        <v>1839</v>
      </c>
      <c r="D231" s="7" t="n">
        <v>761209</v>
      </c>
      <c r="E231" s="7" t="inlineStr">
        <is>
          <t>A</t>
        </is>
      </c>
      <c r="F231" s="7" t="n">
        <v>15</v>
      </c>
      <c r="G231" s="27" t="n">
        <v>1</v>
      </c>
      <c r="H231" s="7" t="inlineStr">
        <is>
          <t>Đã mở</t>
        </is>
      </c>
      <c r="I231" s="7" t="n"/>
      <c r="J231" s="7" t="inlineStr">
        <is>
          <t>GHN B2B Lâm Đồng (sắp mở)</t>
        </is>
      </c>
      <c r="K231" s="7" t="inlineStr">
        <is>
          <t>gte30</t>
        </is>
      </c>
      <c r="L231" s="28" t="n">
        <v>65.97267337398677</v>
      </c>
      <c r="M231" s="28" t="n">
        <v>80.06206921193376</v>
      </c>
      <c r="N231" s="28" t="n">
        <v>86.85196663529902</v>
      </c>
      <c r="O231" s="28" t="n">
        <v>100.448337405803</v>
      </c>
      <c r="P231" s="28" t="n">
        <v>106.7997450988886</v>
      </c>
      <c r="Q231" s="28" t="n">
        <v>114.1473979459628</v>
      </c>
      <c r="R231" s="28" t="n">
        <v>554.2821896718739</v>
      </c>
    </row>
    <row r="232" ht="15.75" customHeight="1" s="57">
      <c r="A232" s="7" t="inlineStr">
        <is>
          <t>NTB</t>
        </is>
      </c>
      <c r="B232" s="7" t="inlineStr">
        <is>
          <t>Lâm Đồng</t>
        </is>
      </c>
      <c r="C232" s="7" t="n">
        <v>1839</v>
      </c>
      <c r="D232" s="7" t="n">
        <v>761211</v>
      </c>
      <c r="E232" s="7" t="inlineStr">
        <is>
          <t>A</t>
        </is>
      </c>
      <c r="F232" s="7" t="n">
        <v>15</v>
      </c>
      <c r="G232" s="27" t="n">
        <v>1</v>
      </c>
      <c r="H232" s="7" t="inlineStr">
        <is>
          <t>Đã mở</t>
        </is>
      </c>
      <c r="I232" s="7" t="n"/>
      <c r="J232" s="7" t="inlineStr">
        <is>
          <t>GHN B2B Lâm Đồng (sắp mở)</t>
        </is>
      </c>
      <c r="K232" s="7" t="inlineStr">
        <is>
          <t>15to30</t>
        </is>
      </c>
      <c r="L232" s="28" t="n">
        <v>44.05913280940857</v>
      </c>
      <c r="M232" s="28" t="n">
        <v>54.13546582229354</v>
      </c>
      <c r="N232" s="28" t="n">
        <v>58.97695787986618</v>
      </c>
      <c r="O232" s="28" t="n">
        <v>68.40056466033107</v>
      </c>
      <c r="P232" s="28" t="n">
        <v>72.44676458781129</v>
      </c>
      <c r="Q232" s="28" t="n">
        <v>77.10808222160287</v>
      </c>
      <c r="R232" s="28" t="n">
        <v>375.1269679813136</v>
      </c>
    </row>
    <row r="233" ht="15.75" customHeight="1" s="57">
      <c r="A233" s="7" t="inlineStr">
        <is>
          <t>NTB</t>
        </is>
      </c>
      <c r="B233" s="7" t="inlineStr">
        <is>
          <t>Lâm Đồng</t>
        </is>
      </c>
      <c r="C233" s="7" t="n">
        <v>1839</v>
      </c>
      <c r="D233" s="7" t="n">
        <v>761211</v>
      </c>
      <c r="E233" s="7" t="inlineStr">
        <is>
          <t>A</t>
        </is>
      </c>
      <c r="F233" s="7" t="n">
        <v>15</v>
      </c>
      <c r="G233" s="27" t="n">
        <v>1</v>
      </c>
      <c r="H233" s="7" t="inlineStr">
        <is>
          <t>Đã mở</t>
        </is>
      </c>
      <c r="I233" s="7" t="n"/>
      <c r="J233" s="7" t="inlineStr">
        <is>
          <t>GHN B2B Lâm Đồng (sắp mở)</t>
        </is>
      </c>
      <c r="K233" s="7" t="inlineStr">
        <is>
          <t>gte30</t>
        </is>
      </c>
      <c r="L233" s="28" t="n">
        <v>24.74311211085318</v>
      </c>
      <c r="M233" s="28" t="n">
        <v>30.49766085454379</v>
      </c>
      <c r="N233" s="28" t="n">
        <v>33.32801554436996</v>
      </c>
      <c r="O233" s="28" t="n">
        <v>38.75153148435037</v>
      </c>
      <c r="P233" s="28" t="n">
        <v>40.98759431969329</v>
      </c>
      <c r="Q233" s="28" t="n">
        <v>43.53729656989098</v>
      </c>
      <c r="R233" s="28" t="n">
        <v>211.8452108837016</v>
      </c>
    </row>
    <row r="234" ht="15.75" customHeight="1" s="57">
      <c r="A234" s="7" t="inlineStr">
        <is>
          <t>NTB</t>
        </is>
      </c>
      <c r="B234" s="7" t="inlineStr">
        <is>
          <t>Lâm Đồng</t>
        </is>
      </c>
      <c r="C234" s="7" t="n">
        <v>1956</v>
      </c>
      <c r="D234" s="7" t="n">
        <v>420601</v>
      </c>
      <c r="E234" s="7" t="inlineStr">
        <is>
          <t>A</t>
        </is>
      </c>
      <c r="F234" s="7" t="n">
        <v>15</v>
      </c>
      <c r="G234" s="27" t="n">
        <v>1</v>
      </c>
      <c r="H234" s="7" t="inlineStr">
        <is>
          <t>Chưa mở</t>
        </is>
      </c>
      <c r="I234" s="7" t="n"/>
      <c r="J234" s="7" t="inlineStr">
        <is>
          <t>GHN B2B Lâm Đồng (sắp mở)</t>
        </is>
      </c>
      <c r="K234" s="7" t="inlineStr">
        <is>
          <t>15to30</t>
        </is>
      </c>
      <c r="L234" s="28" t="n">
        <v>271.548576259483</v>
      </c>
      <c r="M234" s="28" t="n">
        <v>329.128201583623</v>
      </c>
      <c r="N234" s="28" t="n">
        <v>356.0601960421203</v>
      </c>
      <c r="O234" s="28" t="n">
        <v>410.8148355211022</v>
      </c>
      <c r="P234" s="28" t="n">
        <v>437.2870921205804</v>
      </c>
      <c r="Q234" s="28" t="n">
        <v>468.1818606216949</v>
      </c>
      <c r="R234" s="28" t="n">
        <v>2273.020762148604</v>
      </c>
    </row>
    <row r="235" ht="15.75" customHeight="1" s="57">
      <c r="A235" s="7" t="inlineStr">
        <is>
          <t>NTB</t>
        </is>
      </c>
      <c r="B235" s="7" t="inlineStr">
        <is>
          <t>Lâm Đồng</t>
        </is>
      </c>
      <c r="C235" s="7" t="n">
        <v>1956</v>
      </c>
      <c r="D235" s="7" t="n">
        <v>420601</v>
      </c>
      <c r="E235" s="7" t="inlineStr">
        <is>
          <t>A</t>
        </is>
      </c>
      <c r="F235" s="7" t="n">
        <v>15</v>
      </c>
      <c r="G235" s="27" t="n">
        <v>1</v>
      </c>
      <c r="H235" s="7" t="inlineStr">
        <is>
          <t>Chưa mở</t>
        </is>
      </c>
      <c r="I235" s="7" t="n"/>
      <c r="J235" s="7" t="inlineStr">
        <is>
          <t>GHN B2B Lâm Đồng (sắp mở)</t>
        </is>
      </c>
      <c r="K235" s="7" t="inlineStr">
        <is>
          <t>gte30</t>
        </is>
      </c>
      <c r="L235" s="28" t="n">
        <v>103.1378130108701</v>
      </c>
      <c r="M235" s="28" t="n">
        <v>126.1154556522098</v>
      </c>
      <c r="N235" s="28" t="n">
        <v>137.3043088243641</v>
      </c>
      <c r="O235" s="28" t="n">
        <v>159.2156788744213</v>
      </c>
      <c r="P235" s="28" t="n">
        <v>168.8497630353256</v>
      </c>
      <c r="Q235" s="28" t="n">
        <v>179.9199735526642</v>
      </c>
      <c r="R235" s="28" t="n">
        <v>874.542992949855</v>
      </c>
    </row>
    <row r="236" ht="15.75" customHeight="1" s="57">
      <c r="A236" s="7" t="inlineStr">
        <is>
          <t>NTB</t>
        </is>
      </c>
      <c r="B236" s="7" t="inlineStr">
        <is>
          <t>Lâm Đồng</t>
        </is>
      </c>
      <c r="C236" s="7" t="n">
        <v>1958</v>
      </c>
      <c r="D236" s="7" t="n">
        <v>421001</v>
      </c>
      <c r="E236" s="7" t="inlineStr">
        <is>
          <t>A</t>
        </is>
      </c>
      <c r="F236" s="7" t="n">
        <v>15</v>
      </c>
      <c r="G236" s="27" t="n">
        <v>1</v>
      </c>
      <c r="H236" s="7" t="inlineStr">
        <is>
          <t>Đã mở</t>
        </is>
      </c>
      <c r="I236" s="7" t="n"/>
      <c r="J236" s="7" t="inlineStr">
        <is>
          <t>GHN B2B Lâm Đồng (sắp mở)</t>
        </is>
      </c>
      <c r="K236" s="7" t="inlineStr">
        <is>
          <t>15to30</t>
        </is>
      </c>
      <c r="L236" s="28" t="n">
        <v>510.1505019982715</v>
      </c>
      <c r="M236" s="28" t="n">
        <v>609.5935524482677</v>
      </c>
      <c r="N236" s="28" t="n">
        <v>654.5432103294334</v>
      </c>
      <c r="O236" s="28" t="n">
        <v>750.9054503832242</v>
      </c>
      <c r="P236" s="28" t="n">
        <v>803.0940529815249</v>
      </c>
      <c r="Q236" s="28" t="n">
        <v>864.8729045052756</v>
      </c>
      <c r="R236" s="28" t="n">
        <v>4193.159672645997</v>
      </c>
    </row>
    <row r="237" ht="15.75" customHeight="1" s="57">
      <c r="A237" s="7" t="inlineStr">
        <is>
          <t>NTB</t>
        </is>
      </c>
      <c r="B237" s="7" t="inlineStr">
        <is>
          <t>Lâm Đồng</t>
        </is>
      </c>
      <c r="C237" s="7" t="n">
        <v>1958</v>
      </c>
      <c r="D237" s="7" t="n">
        <v>421001</v>
      </c>
      <c r="E237" s="7" t="inlineStr">
        <is>
          <t>A</t>
        </is>
      </c>
      <c r="F237" s="7" t="n">
        <v>15</v>
      </c>
      <c r="G237" s="27" t="n">
        <v>1</v>
      </c>
      <c r="H237" s="7" t="inlineStr">
        <is>
          <t>Đã mở</t>
        </is>
      </c>
      <c r="I237" s="7" t="n"/>
      <c r="J237" s="7" t="inlineStr">
        <is>
          <t>GHN B2B Lâm Đồng (sắp mở)</t>
        </is>
      </c>
      <c r="K237" s="7" t="inlineStr">
        <is>
          <t>gte30</t>
        </is>
      </c>
      <c r="L237" s="28" t="n">
        <v>200.7886401820428</v>
      </c>
      <c r="M237" s="28" t="n">
        <v>242.5304427945927</v>
      </c>
      <c r="N237" s="28" t="n">
        <v>262.5080038431959</v>
      </c>
      <c r="O237" s="28" t="n">
        <v>303.1033013475271</v>
      </c>
      <c r="P237" s="28" t="n">
        <v>322.7877057837007</v>
      </c>
      <c r="Q237" s="28" t="n">
        <v>345.6495684662807</v>
      </c>
      <c r="R237" s="28" t="n">
        <v>1677.36766241734</v>
      </c>
    </row>
    <row r="238" ht="15.75" customHeight="1" s="57">
      <c r="A238" s="7" t="inlineStr">
        <is>
          <t>NTB</t>
        </is>
      </c>
      <c r="B238" s="7" t="inlineStr">
        <is>
          <t>Lâm Đồng</t>
        </is>
      </c>
      <c r="C238" s="7" t="n">
        <v>1958</v>
      </c>
      <c r="D238" s="7" t="n">
        <v>421002</v>
      </c>
      <c r="E238" s="7" t="inlineStr">
        <is>
          <t>A</t>
        </is>
      </c>
      <c r="F238" s="7" t="n">
        <v>15</v>
      </c>
      <c r="G238" s="27" t="n">
        <v>1</v>
      </c>
      <c r="H238" s="7" t="inlineStr">
        <is>
          <t>Đã mở</t>
        </is>
      </c>
      <c r="I238" s="7" t="n"/>
      <c r="J238" s="7" t="inlineStr">
        <is>
          <t>GHN B2B Lâm Đồng (sắp mở)</t>
        </is>
      </c>
      <c r="K238" s="7" t="inlineStr">
        <is>
          <t>15to30</t>
        </is>
      </c>
      <c r="L238" s="28" t="n">
        <v>235.3800821654284</v>
      </c>
      <c r="M238" s="28" t="n">
        <v>290.3693963120547</v>
      </c>
      <c r="N238" s="28" t="n">
        <v>316.9790128239417</v>
      </c>
      <c r="O238" s="28" t="n">
        <v>368.1755793762016</v>
      </c>
      <c r="P238" s="28" t="n">
        <v>389.4048983331684</v>
      </c>
      <c r="Q238" s="28" t="n">
        <v>413.7580755873985</v>
      </c>
      <c r="R238" s="28" t="n">
        <v>2014.067044598193</v>
      </c>
    </row>
    <row r="239" ht="15.75" customHeight="1" s="57">
      <c r="A239" s="7" t="inlineStr">
        <is>
          <t>NTB</t>
        </is>
      </c>
      <c r="B239" s="7" t="inlineStr">
        <is>
          <t>Lâm Đồng</t>
        </is>
      </c>
      <c r="C239" s="7" t="n">
        <v>1958</v>
      </c>
      <c r="D239" s="7" t="n">
        <v>421002</v>
      </c>
      <c r="E239" s="7" t="inlineStr">
        <is>
          <t>A</t>
        </is>
      </c>
      <c r="F239" s="7" t="n">
        <v>15</v>
      </c>
      <c r="G239" s="27" t="n">
        <v>1</v>
      </c>
      <c r="H239" s="7" t="inlineStr">
        <is>
          <t>Đã mở</t>
        </is>
      </c>
      <c r="I239" s="7" t="n"/>
      <c r="J239" s="7" t="inlineStr">
        <is>
          <t>GHN B2B Lâm Đồng (sắp mở)</t>
        </is>
      </c>
      <c r="K239" s="7" t="inlineStr">
        <is>
          <t>gte30</t>
        </is>
      </c>
      <c r="L239" s="28" t="n">
        <v>112.9041133385693</v>
      </c>
      <c r="M239" s="28" t="n">
        <v>137.4189319693112</v>
      </c>
      <c r="N239" s="28" t="n">
        <v>149.2819170635017</v>
      </c>
      <c r="O239" s="28" t="n">
        <v>172.8279124475421</v>
      </c>
      <c r="P239" s="28" t="n">
        <v>183.5725663351689</v>
      </c>
      <c r="Q239" s="28" t="n">
        <v>195.9708125669555</v>
      </c>
      <c r="R239" s="28" t="n">
        <v>951.9762537210488</v>
      </c>
    </row>
    <row r="240" ht="15.75" customHeight="1" s="57">
      <c r="A240" s="7" t="inlineStr">
        <is>
          <t>NTB</t>
        </is>
      </c>
      <c r="B240" s="7" t="inlineStr">
        <is>
          <t>Lâm Đồng</t>
        </is>
      </c>
      <c r="C240" s="7" t="n">
        <v>1958</v>
      </c>
      <c r="D240" s="7" t="n">
        <v>421005</v>
      </c>
      <c r="E240" s="7" t="inlineStr">
        <is>
          <t>A</t>
        </is>
      </c>
      <c r="F240" s="7" t="n">
        <v>15</v>
      </c>
      <c r="G240" s="27" t="n">
        <v>1</v>
      </c>
      <c r="H240" s="7" t="inlineStr">
        <is>
          <t>Đã mở</t>
        </is>
      </c>
      <c r="I240" s="7" t="n"/>
      <c r="J240" s="7" t="inlineStr">
        <is>
          <t>GHN B2B Lâm Đồng (sắp mở)</t>
        </is>
      </c>
      <c r="K240" s="7" t="inlineStr">
        <is>
          <t>15to30</t>
        </is>
      </c>
      <c r="L240" s="28" t="n">
        <v>46.01939000649613</v>
      </c>
      <c r="M240" s="28" t="n">
        <v>57.4015452078811</v>
      </c>
      <c r="N240" s="28" t="n">
        <v>63.00980272265918</v>
      </c>
      <c r="O240" s="28" t="n">
        <v>73.48361013865438</v>
      </c>
      <c r="P240" s="28" t="n">
        <v>77.42195702218294</v>
      </c>
      <c r="Q240" s="28" t="n">
        <v>81.88272840831968</v>
      </c>
      <c r="R240" s="28" t="n">
        <v>399.2190335061934</v>
      </c>
    </row>
    <row r="241" ht="15.75" customHeight="1" s="57">
      <c r="A241" s="7" t="inlineStr">
        <is>
          <t>NTB</t>
        </is>
      </c>
      <c r="B241" s="7" t="inlineStr">
        <is>
          <t>Lâm Đồng</t>
        </is>
      </c>
      <c r="C241" s="7" t="n">
        <v>1958</v>
      </c>
      <c r="D241" s="7" t="n">
        <v>421005</v>
      </c>
      <c r="E241" s="7" t="inlineStr">
        <is>
          <t>A</t>
        </is>
      </c>
      <c r="F241" s="7" t="n">
        <v>15</v>
      </c>
      <c r="G241" s="27" t="n">
        <v>1</v>
      </c>
      <c r="H241" s="7" t="inlineStr">
        <is>
          <t>Đã mở</t>
        </is>
      </c>
      <c r="I241" s="7" t="n"/>
      <c r="J241" s="7" t="inlineStr">
        <is>
          <t>GHN B2B Lâm Đồng (sắp mở)</t>
        </is>
      </c>
      <c r="K241" s="7" t="inlineStr">
        <is>
          <t>gte30</t>
        </is>
      </c>
      <c r="L241" s="28" t="n">
        <v>23.58484617582885</v>
      </c>
      <c r="M241" s="28" t="n">
        <v>29.49819852268561</v>
      </c>
      <c r="N241" s="28" t="n">
        <v>32.45443800759499</v>
      </c>
      <c r="O241" s="28" t="n">
        <v>37.91921834097313</v>
      </c>
      <c r="P241" s="28" t="n">
        <v>39.91764919238642</v>
      </c>
      <c r="Q241" s="28" t="n">
        <v>42.16040856865656</v>
      </c>
      <c r="R241" s="28" t="n">
        <v>205.5347588081256</v>
      </c>
    </row>
    <row r="242" ht="15.75" customHeight="1" s="57">
      <c r="A242" s="7" t="inlineStr">
        <is>
          <t>NTB</t>
        </is>
      </c>
      <c r="B242" s="7" t="inlineStr">
        <is>
          <t>Lâm Đồng</t>
        </is>
      </c>
      <c r="C242" s="7" t="n">
        <v>1958</v>
      </c>
      <c r="D242" s="7" t="n">
        <v>421006</v>
      </c>
      <c r="E242" s="7" t="inlineStr">
        <is>
          <t>A</t>
        </is>
      </c>
      <c r="F242" s="7" t="n">
        <v>15</v>
      </c>
      <c r="G242" s="27" t="n">
        <v>1</v>
      </c>
      <c r="H242" s="7" t="inlineStr">
        <is>
          <t>Đã mở</t>
        </is>
      </c>
      <c r="I242" s="7" t="n"/>
      <c r="J242" s="7" t="inlineStr">
        <is>
          <t>GHN B2B Lâm Đồng (sắp mở)</t>
        </is>
      </c>
      <c r="K242" s="7" t="inlineStr">
        <is>
          <t>15to30</t>
        </is>
      </c>
      <c r="L242" s="28" t="n">
        <v>121.9403665100122</v>
      </c>
      <c r="M242" s="28" t="n">
        <v>149.6941275530728</v>
      </c>
      <c r="N242" s="28" t="n">
        <v>163.0082778963878</v>
      </c>
      <c r="O242" s="28" t="n">
        <v>188.9927586281844</v>
      </c>
      <c r="P242" s="28" t="n">
        <v>200.24701214347</v>
      </c>
      <c r="Q242" s="28" t="n">
        <v>213.2211117589947</v>
      </c>
      <c r="R242" s="28" t="n">
        <v>1037.103654490122</v>
      </c>
    </row>
    <row r="243" ht="15.75" customHeight="1" s="57">
      <c r="A243" s="7" t="inlineStr">
        <is>
          <t>NTB</t>
        </is>
      </c>
      <c r="B243" s="7" t="inlineStr">
        <is>
          <t>Lâm Đồng</t>
        </is>
      </c>
      <c r="C243" s="7" t="n">
        <v>1958</v>
      </c>
      <c r="D243" s="7" t="n">
        <v>421006</v>
      </c>
      <c r="E243" s="7" t="inlineStr">
        <is>
          <t>A</t>
        </is>
      </c>
      <c r="F243" s="7" t="n">
        <v>15</v>
      </c>
      <c r="G243" s="27" t="n">
        <v>1</v>
      </c>
      <c r="H243" s="7" t="inlineStr">
        <is>
          <t>Đã mở</t>
        </is>
      </c>
      <c r="I243" s="7" t="n"/>
      <c r="J243" s="7" t="inlineStr">
        <is>
          <t>GHN B2B Lâm Đồng (sắp mở)</t>
        </is>
      </c>
      <c r="K243" s="7" t="inlineStr">
        <is>
          <t>gte30</t>
        </is>
      </c>
      <c r="L243" s="28" t="n">
        <v>57.61069585602799</v>
      </c>
      <c r="M243" s="28" t="n">
        <v>71.40759169526659</v>
      </c>
      <c r="N243" s="28" t="n">
        <v>78.23798731841521</v>
      </c>
      <c r="O243" s="28" t="n">
        <v>91.1403788236199</v>
      </c>
      <c r="P243" s="28" t="n">
        <v>96.22305078199403</v>
      </c>
      <c r="Q243" s="28" t="n">
        <v>101.9851727726008</v>
      </c>
      <c r="R243" s="28" t="n">
        <v>496.6048772479245</v>
      </c>
    </row>
    <row r="244" ht="15.75" customHeight="1" s="57">
      <c r="A244" s="7" t="inlineStr">
        <is>
          <t>NTB</t>
        </is>
      </c>
      <c r="B244" s="7" t="inlineStr">
        <is>
          <t>Lâm Đồng</t>
        </is>
      </c>
      <c r="C244" s="7" t="n">
        <v>1958</v>
      </c>
      <c r="D244" s="7" t="n">
        <v>421014</v>
      </c>
      <c r="E244" s="7" t="inlineStr">
        <is>
          <t>A</t>
        </is>
      </c>
      <c r="F244" s="7" t="n">
        <v>15</v>
      </c>
      <c r="G244" s="27" t="n">
        <v>1</v>
      </c>
      <c r="H244" s="7" t="inlineStr">
        <is>
          <t>Đã mở</t>
        </is>
      </c>
      <c r="I244" s="7" t="n"/>
      <c r="J244" s="7" t="inlineStr">
        <is>
          <t>GHN B2B Lâm Đồng (sắp mở)</t>
        </is>
      </c>
      <c r="K244" s="7" t="inlineStr">
        <is>
          <t>15to30</t>
        </is>
      </c>
      <c r="L244" s="28" t="n">
        <v>298.7036094950894</v>
      </c>
      <c r="M244" s="28" t="n">
        <v>359.4125054130388</v>
      </c>
      <c r="N244" s="28" t="n">
        <v>387.340301194551</v>
      </c>
      <c r="O244" s="28" t="n">
        <v>445.6189868670976</v>
      </c>
      <c r="P244" s="28" t="n">
        <v>475.5186606465001</v>
      </c>
      <c r="Q244" s="28" t="n">
        <v>510.6639687854479</v>
      </c>
      <c r="R244" s="28" t="n">
        <v>2477.258032401724</v>
      </c>
    </row>
    <row r="245" ht="15.75" customHeight="1" s="57">
      <c r="A245" s="7" t="inlineStr">
        <is>
          <t>NTB</t>
        </is>
      </c>
      <c r="B245" s="7" t="inlineStr">
        <is>
          <t>Lâm Đồng</t>
        </is>
      </c>
      <c r="C245" s="7" t="n">
        <v>1958</v>
      </c>
      <c r="D245" s="7" t="n">
        <v>421014</v>
      </c>
      <c r="E245" s="7" t="inlineStr">
        <is>
          <t>A</t>
        </is>
      </c>
      <c r="F245" s="7" t="n">
        <v>15</v>
      </c>
      <c r="G245" s="27" t="n">
        <v>1</v>
      </c>
      <c r="H245" s="7" t="inlineStr">
        <is>
          <t>Đã mở</t>
        </is>
      </c>
      <c r="I245" s="7" t="n"/>
      <c r="J245" s="7" t="inlineStr">
        <is>
          <t>GHN B2B Lâm Đồng (sắp mở)</t>
        </is>
      </c>
      <c r="K245" s="7" t="inlineStr">
        <is>
          <t>gte30</t>
        </is>
      </c>
      <c r="L245" s="28" t="n">
        <v>137.3134028531885</v>
      </c>
      <c r="M245" s="28" t="n">
        <v>165.6690713689964</v>
      </c>
      <c r="N245" s="28" t="n">
        <v>179.2162927251842</v>
      </c>
      <c r="O245" s="28" t="n">
        <v>206.8470302948213</v>
      </c>
      <c r="P245" s="28" t="n">
        <v>220.3677069726454</v>
      </c>
      <c r="Q245" s="28" t="n">
        <v>236.085634000147</v>
      </c>
      <c r="R245" s="28" t="n">
        <v>1145.499138214983</v>
      </c>
    </row>
    <row r="246" ht="15.75" customHeight="1" s="57">
      <c r="A246" s="7" t="inlineStr">
        <is>
          <t>NTB</t>
        </is>
      </c>
      <c r="B246" s="7" t="inlineStr">
        <is>
          <t>Lâm Đồng</t>
        </is>
      </c>
      <c r="C246" s="7" t="n">
        <v>1958</v>
      </c>
      <c r="D246" s="7" t="n">
        <v>421016</v>
      </c>
      <c r="E246" s="7" t="inlineStr">
        <is>
          <t>A</t>
        </is>
      </c>
      <c r="F246" s="7" t="n">
        <v>15</v>
      </c>
      <c r="G246" s="27" t="n">
        <v>1</v>
      </c>
      <c r="H246" s="7" t="inlineStr">
        <is>
          <t>Đã mở</t>
        </is>
      </c>
      <c r="I246" s="7" t="n"/>
      <c r="J246" s="7" t="inlineStr">
        <is>
          <t>GHN B2B Lâm Đồng (sắp mở)</t>
        </is>
      </c>
      <c r="K246" s="7" t="inlineStr">
        <is>
          <t>15to30</t>
        </is>
      </c>
      <c r="L246" s="28" t="n">
        <v>99.07527260699455</v>
      </c>
      <c r="M246" s="28" t="n">
        <v>124.6190205144188</v>
      </c>
      <c r="N246" s="28" t="n">
        <v>137.3639713020975</v>
      </c>
      <c r="O246" s="28" t="n">
        <v>160.6843501634331</v>
      </c>
      <c r="P246" s="28" t="n">
        <v>168.8544098359622</v>
      </c>
      <c r="Q246" s="28" t="n">
        <v>177.998704765541</v>
      </c>
      <c r="R246" s="28" t="n">
        <v>868.5957291884472</v>
      </c>
    </row>
    <row r="247" ht="15.75" customHeight="1" s="57">
      <c r="A247" s="7" t="inlineStr">
        <is>
          <t>NTB</t>
        </is>
      </c>
      <c r="B247" s="7" t="inlineStr">
        <is>
          <t>Lâm Đồng</t>
        </is>
      </c>
      <c r="C247" s="7" t="n">
        <v>1958</v>
      </c>
      <c r="D247" s="7" t="n">
        <v>421016</v>
      </c>
      <c r="E247" s="7" t="inlineStr">
        <is>
          <t>A</t>
        </is>
      </c>
      <c r="F247" s="7" t="n">
        <v>15</v>
      </c>
      <c r="G247" s="27" t="n">
        <v>1</v>
      </c>
      <c r="H247" s="7" t="inlineStr">
        <is>
          <t>Đã mở</t>
        </is>
      </c>
      <c r="I247" s="7" t="n"/>
      <c r="J247" s="7" t="inlineStr">
        <is>
          <t>GHN B2B Lâm Đồng (sắp mở)</t>
        </is>
      </c>
      <c r="K247" s="7" t="inlineStr">
        <is>
          <t>gte30</t>
        </is>
      </c>
      <c r="L247" s="28" t="n">
        <v>64.51606653627229</v>
      </c>
      <c r="M247" s="28" t="n">
        <v>80.49995170776756</v>
      </c>
      <c r="N247" s="28" t="n">
        <v>88.47083930339815</v>
      </c>
      <c r="O247" s="28" t="n">
        <v>103.2873211038693</v>
      </c>
      <c r="P247" s="28" t="n">
        <v>108.8136303746908</v>
      </c>
      <c r="Q247" s="28" t="n">
        <v>115.0327958880962</v>
      </c>
      <c r="R247" s="28" t="n">
        <v>560.6206049140943</v>
      </c>
    </row>
    <row r="248" ht="15.75" customHeight="1" s="57">
      <c r="A248" s="7" t="inlineStr">
        <is>
          <t>NTB</t>
        </is>
      </c>
      <c r="B248" s="7" t="inlineStr">
        <is>
          <t>Lâm Đồng</t>
        </is>
      </c>
      <c r="C248" s="7" t="n">
        <v>3160</v>
      </c>
      <c r="D248" s="7" t="n">
        <v>420401</v>
      </c>
      <c r="E248" s="7" t="inlineStr">
        <is>
          <t>A</t>
        </is>
      </c>
      <c r="F248" s="7" t="n">
        <v>15</v>
      </c>
      <c r="G248" s="27" t="n">
        <v>1</v>
      </c>
      <c r="H248" s="7" t="inlineStr">
        <is>
          <t>Đã mở</t>
        </is>
      </c>
      <c r="I248" s="7" t="n"/>
      <c r="J248" s="7" t="inlineStr">
        <is>
          <t>GHN B2B Lâm Đồng (sắp mở)</t>
        </is>
      </c>
      <c r="K248" s="7" t="inlineStr">
        <is>
          <t>15to30</t>
        </is>
      </c>
      <c r="L248" s="28" t="n">
        <v>505.2259221939534</v>
      </c>
      <c r="M248" s="28" t="n">
        <v>627.891954285707</v>
      </c>
      <c r="N248" s="28" t="n">
        <v>687.9985343747535</v>
      </c>
      <c r="O248" s="28" t="n">
        <v>801.324011486901</v>
      </c>
      <c r="P248" s="28" t="n">
        <v>845.4835850840891</v>
      </c>
      <c r="Q248" s="28" t="n">
        <v>895.6806463636647</v>
      </c>
      <c r="R248" s="28" t="n">
        <v>4363.604653789069</v>
      </c>
    </row>
    <row r="249" ht="15.75" customHeight="1" s="57">
      <c r="A249" s="7" t="inlineStr">
        <is>
          <t>NTB</t>
        </is>
      </c>
      <c r="B249" s="7" t="inlineStr">
        <is>
          <t>Lâm Đồng</t>
        </is>
      </c>
      <c r="C249" s="7" t="n">
        <v>3160</v>
      </c>
      <c r="D249" s="7" t="n">
        <v>420401</v>
      </c>
      <c r="E249" s="7" t="inlineStr">
        <is>
          <t>A</t>
        </is>
      </c>
      <c r="F249" s="7" t="n">
        <v>15</v>
      </c>
      <c r="G249" s="27" t="n">
        <v>1</v>
      </c>
      <c r="H249" s="7" t="inlineStr">
        <is>
          <t>Đã mở</t>
        </is>
      </c>
      <c r="I249" s="7" t="n"/>
      <c r="J249" s="7" t="inlineStr">
        <is>
          <t>GHN B2B Lâm Đồng (sắp mở)</t>
        </is>
      </c>
      <c r="K249" s="7" t="inlineStr">
        <is>
          <t>gte30</t>
        </is>
      </c>
      <c r="L249" s="28" t="n">
        <v>240.2640002082097</v>
      </c>
      <c r="M249" s="28" t="n">
        <v>297.367405233014</v>
      </c>
      <c r="N249" s="28" t="n">
        <v>325.590180306877</v>
      </c>
      <c r="O249" s="28" t="n">
        <v>379.0986067214328</v>
      </c>
      <c r="P249" s="28" t="n">
        <v>400.4312172160128</v>
      </c>
      <c r="Q249" s="28" t="n">
        <v>424.6531107036309</v>
      </c>
      <c r="R249" s="28" t="n">
        <v>2067.404520389177</v>
      </c>
    </row>
    <row r="250" ht="15.75" customHeight="1" s="57">
      <c r="A250" s="7" t="inlineStr">
        <is>
          <t>NTB</t>
        </is>
      </c>
      <c r="B250" s="7" t="inlineStr">
        <is>
          <t>Lâm Đồng</t>
        </is>
      </c>
      <c r="C250" s="7" t="n">
        <v>3160</v>
      </c>
      <c r="D250" s="7" t="n">
        <v>420404</v>
      </c>
      <c r="E250" s="7" t="inlineStr">
        <is>
          <t>A</t>
        </is>
      </c>
      <c r="F250" s="7" t="n">
        <v>15</v>
      </c>
      <c r="G250" s="27" t="n">
        <v>1</v>
      </c>
      <c r="H250" s="7" t="inlineStr">
        <is>
          <t>Đã mở</t>
        </is>
      </c>
      <c r="I250" s="7" t="n"/>
      <c r="J250" s="7" t="inlineStr">
        <is>
          <t>GHN B2B Lâm Đồng (sắp mở)</t>
        </is>
      </c>
      <c r="K250" s="7" t="inlineStr">
        <is>
          <t>15to30</t>
        </is>
      </c>
      <c r="L250" s="28" t="n">
        <v>151.6320303775495</v>
      </c>
      <c r="M250" s="28" t="n">
        <v>180.8256268680657</v>
      </c>
      <c r="N250" s="28" t="n">
        <v>193.9581730854116</v>
      </c>
      <c r="O250" s="28" t="n">
        <v>222.3469026701941</v>
      </c>
      <c r="P250" s="28" t="n">
        <v>238.0679293358677</v>
      </c>
      <c r="Q250" s="28" t="n">
        <v>256.6795284365971</v>
      </c>
      <c r="R250" s="28" t="n">
        <v>1243.510190773686</v>
      </c>
    </row>
    <row r="251" ht="15.75" customHeight="1" s="57">
      <c r="A251" s="7" t="inlineStr">
        <is>
          <t>NTB</t>
        </is>
      </c>
      <c r="B251" s="7" t="inlineStr">
        <is>
          <t>Lâm Đồng</t>
        </is>
      </c>
      <c r="C251" s="7" t="n">
        <v>3160</v>
      </c>
      <c r="D251" s="7" t="n">
        <v>420404</v>
      </c>
      <c r="E251" s="7" t="inlineStr">
        <is>
          <t>A</t>
        </is>
      </c>
      <c r="F251" s="7" t="n">
        <v>15</v>
      </c>
      <c r="G251" s="27" t="n">
        <v>1</v>
      </c>
      <c r="H251" s="7" t="inlineStr">
        <is>
          <t>Đã mở</t>
        </is>
      </c>
      <c r="I251" s="7" t="n"/>
      <c r="J251" s="7" t="inlineStr">
        <is>
          <t>GHN B2B Lâm Đồng (sắp mở)</t>
        </is>
      </c>
      <c r="K251" s="7" t="inlineStr">
        <is>
          <t>gte30</t>
        </is>
      </c>
      <c r="L251" s="28" t="n">
        <v>36.98423546179946</v>
      </c>
      <c r="M251" s="28" t="n">
        <v>44.85161331765499</v>
      </c>
      <c r="N251" s="28" t="n">
        <v>48.63924174532769</v>
      </c>
      <c r="O251" s="28" t="n">
        <v>56.23990140227556</v>
      </c>
      <c r="P251" s="28" t="n">
        <v>59.81016190321746</v>
      </c>
      <c r="Q251" s="28" t="n">
        <v>63.94288812934127</v>
      </c>
      <c r="R251" s="28" t="n">
        <v>310.4680419596165</v>
      </c>
    </row>
    <row r="252" ht="15.75" customHeight="1" s="57">
      <c r="A252" s="7" t="inlineStr">
        <is>
          <t>NTB</t>
        </is>
      </c>
      <c r="B252" s="7" t="inlineStr">
        <is>
          <t>Lâm Đồng</t>
        </is>
      </c>
      <c r="C252" s="7" t="n">
        <v>3160</v>
      </c>
      <c r="D252" s="7" t="n">
        <v>420411</v>
      </c>
      <c r="E252" s="7" t="inlineStr">
        <is>
          <t>A</t>
        </is>
      </c>
      <c r="F252" s="7" t="n">
        <v>15</v>
      </c>
      <c r="G252" s="27" t="n">
        <v>1</v>
      </c>
      <c r="H252" s="7" t="inlineStr">
        <is>
          <t>Đã mở</t>
        </is>
      </c>
      <c r="I252" s="7" t="n"/>
      <c r="J252" s="7" t="inlineStr">
        <is>
          <t>GHN B2B Lâm Đồng (sắp mở)</t>
        </is>
      </c>
      <c r="K252" s="7" t="inlineStr">
        <is>
          <t>15to30</t>
        </is>
      </c>
      <c r="L252" s="28" t="n">
        <v>151.644242056946</v>
      </c>
      <c r="M252" s="28" t="n">
        <v>184.2389059242857</v>
      </c>
      <c r="N252" s="28" t="n">
        <v>199.5575322588811</v>
      </c>
      <c r="O252" s="28" t="n">
        <v>230.4485570108657</v>
      </c>
      <c r="P252" s="28" t="n">
        <v>245.0259568409679</v>
      </c>
      <c r="Q252" s="28" t="n">
        <v>262.0187952687821</v>
      </c>
      <c r="R252" s="28" t="n">
        <v>1272.933989360728</v>
      </c>
    </row>
    <row r="253" ht="15.75" customHeight="1" s="57">
      <c r="A253" s="7" t="inlineStr">
        <is>
          <t>NTB</t>
        </is>
      </c>
      <c r="B253" s="7" t="inlineStr">
        <is>
          <t>Lâm Đồng</t>
        </is>
      </c>
      <c r="C253" s="7" t="n">
        <v>3160</v>
      </c>
      <c r="D253" s="7" t="n">
        <v>420411</v>
      </c>
      <c r="E253" s="7" t="inlineStr">
        <is>
          <t>A</t>
        </is>
      </c>
      <c r="F253" s="7" t="n">
        <v>15</v>
      </c>
      <c r="G253" s="27" t="n">
        <v>1</v>
      </c>
      <c r="H253" s="7" t="inlineStr">
        <is>
          <t>Đã mở</t>
        </is>
      </c>
      <c r="I253" s="7" t="n"/>
      <c r="J253" s="7" t="inlineStr">
        <is>
          <t>GHN B2B Lâm Đồng (sắp mở)</t>
        </is>
      </c>
      <c r="K253" s="7" t="inlineStr">
        <is>
          <t>gte30</t>
        </is>
      </c>
      <c r="L253" s="28" t="n">
        <v>69.11708145228786</v>
      </c>
      <c r="M253" s="28" t="n">
        <v>84.2131630851832</v>
      </c>
      <c r="N253" s="28" t="n">
        <v>91.52892358737533</v>
      </c>
      <c r="O253" s="28" t="n">
        <v>106.0043503554673</v>
      </c>
      <c r="P253" s="28" t="n">
        <v>112.5544099628326</v>
      </c>
      <c r="Q253" s="28" t="n">
        <v>120.1054382304191</v>
      </c>
      <c r="R253" s="28" t="n">
        <v>583.5233666735653</v>
      </c>
    </row>
    <row r="254" ht="15.75" customHeight="1" s="57">
      <c r="A254" s="7" t="inlineStr">
        <is>
          <t>NTB</t>
        </is>
      </c>
      <c r="B254" s="7" t="inlineStr">
        <is>
          <t>Lâm Đồng</t>
        </is>
      </c>
      <c r="C254" s="7" t="n">
        <v>3160</v>
      </c>
      <c r="D254" s="7" t="n">
        <v>420413</v>
      </c>
      <c r="E254" s="7" t="inlineStr">
        <is>
          <t>A</t>
        </is>
      </c>
      <c r="F254" s="7" t="n">
        <v>15</v>
      </c>
      <c r="G254" s="27" t="n">
        <v>1</v>
      </c>
      <c r="H254" s="7" t="inlineStr">
        <is>
          <t>Đã mở</t>
        </is>
      </c>
      <c r="I254" s="7" t="n"/>
      <c r="J254" s="7" t="inlineStr">
        <is>
          <t>GHN B2B Lâm Đồng (sắp mở)</t>
        </is>
      </c>
      <c r="K254" s="7" t="inlineStr">
        <is>
          <t>15to30</t>
        </is>
      </c>
      <c r="L254" s="28" t="n">
        <v>98.85097337645573</v>
      </c>
      <c r="M254" s="28" t="n">
        <v>121.6444284898817</v>
      </c>
      <c r="N254" s="28" t="n">
        <v>132.6271277304753</v>
      </c>
      <c r="O254" s="28" t="n">
        <v>153.9083787836168</v>
      </c>
      <c r="P254" s="28" t="n">
        <v>162.9325082539363</v>
      </c>
      <c r="Q254" s="28" t="n">
        <v>173.3095648637596</v>
      </c>
      <c r="R254" s="28" t="n">
        <v>843.2729814981255</v>
      </c>
    </row>
    <row r="255" ht="15.75" customHeight="1" s="57">
      <c r="A255" s="7" t="inlineStr">
        <is>
          <t>NTB</t>
        </is>
      </c>
      <c r="B255" s="7" t="inlineStr">
        <is>
          <t>Lâm Đồng</t>
        </is>
      </c>
      <c r="C255" s="7" t="n">
        <v>3160</v>
      </c>
      <c r="D255" s="7" t="n">
        <v>420413</v>
      </c>
      <c r="E255" s="7" t="inlineStr">
        <is>
          <t>A</t>
        </is>
      </c>
      <c r="F255" s="7" t="n">
        <v>15</v>
      </c>
      <c r="G255" s="27" t="n">
        <v>1</v>
      </c>
      <c r="H255" s="7" t="inlineStr">
        <is>
          <t>Đã mở</t>
        </is>
      </c>
      <c r="I255" s="7" t="n"/>
      <c r="J255" s="7" t="inlineStr">
        <is>
          <t>GHN B2B Lâm Đồng (sắp mở)</t>
        </is>
      </c>
      <c r="K255" s="7" t="inlineStr">
        <is>
          <t>gte30</t>
        </is>
      </c>
      <c r="L255" s="28" t="n">
        <v>38.39124463756406</v>
      </c>
      <c r="M255" s="28" t="n">
        <v>47.50351369311716</v>
      </c>
      <c r="N255" s="28" t="n">
        <v>52.00583239224156</v>
      </c>
      <c r="O255" s="28" t="n">
        <v>60.54744463687399</v>
      </c>
      <c r="P255" s="28" t="n">
        <v>63.95990907620114</v>
      </c>
      <c r="Q255" s="28" t="n">
        <v>67.83559641194594</v>
      </c>
      <c r="R255" s="28" t="n">
        <v>330.2435408479439</v>
      </c>
    </row>
    <row r="256" ht="15.75" customHeight="1" s="57">
      <c r="A256" s="7" t="inlineStr">
        <is>
          <t>NTB</t>
        </is>
      </c>
      <c r="B256" s="7" t="inlineStr">
        <is>
          <t>Ninh Thuận</t>
        </is>
      </c>
      <c r="C256" s="7" t="n">
        <v>1665</v>
      </c>
      <c r="D256" s="7" t="n">
        <v>450101</v>
      </c>
      <c r="E256" s="7" t="inlineStr">
        <is>
          <t>A</t>
        </is>
      </c>
      <c r="F256" s="7" t="n">
        <v>15</v>
      </c>
      <c r="G256" s="27" t="n">
        <v>1</v>
      </c>
      <c r="H256" s="7" t="inlineStr">
        <is>
          <t>Đã mở</t>
        </is>
      </c>
      <c r="I256" s="7" t="n"/>
      <c r="J256" s="7" t="inlineStr">
        <is>
          <t>GHN B2B Ninh Thuận (sắp mở)</t>
        </is>
      </c>
      <c r="K256" s="7" t="inlineStr">
        <is>
          <t>15to30</t>
        </is>
      </c>
      <c r="L256" s="28" t="n">
        <v>161.7726545540065</v>
      </c>
      <c r="M256" s="28" t="n">
        <v>201.4686758145875</v>
      </c>
      <c r="N256" s="28" t="n">
        <v>220.8978170129853</v>
      </c>
      <c r="O256" s="28" t="n">
        <v>257.3918046178209</v>
      </c>
      <c r="P256" s="28" t="n">
        <v>271.4511972641637</v>
      </c>
      <c r="Q256" s="28" t="n">
        <v>287.4116934046526</v>
      </c>
      <c r="R256" s="28" t="n">
        <v>1400.393842668216</v>
      </c>
    </row>
    <row r="257" ht="15.75" customHeight="1" s="57">
      <c r="A257" s="7" t="inlineStr">
        <is>
          <t>NTB</t>
        </is>
      </c>
      <c r="B257" s="7" t="inlineStr">
        <is>
          <t>Ninh Thuận</t>
        </is>
      </c>
      <c r="C257" s="7" t="n">
        <v>1665</v>
      </c>
      <c r="D257" s="7" t="n">
        <v>450101</v>
      </c>
      <c r="E257" s="7" t="inlineStr">
        <is>
          <t>A</t>
        </is>
      </c>
      <c r="F257" s="7" t="n">
        <v>15</v>
      </c>
      <c r="G257" s="27" t="n">
        <v>1</v>
      </c>
      <c r="H257" s="7" t="inlineStr">
        <is>
          <t>Đã mở</t>
        </is>
      </c>
      <c r="I257" s="7" t="n"/>
      <c r="J257" s="7" t="inlineStr">
        <is>
          <t>GHN B2B Ninh Thuận (sắp mở)</t>
        </is>
      </c>
      <c r="K257" s="7" t="inlineStr">
        <is>
          <t>gte30</t>
        </is>
      </c>
      <c r="L257" s="28" t="n">
        <v>64.57963307079399</v>
      </c>
      <c r="M257" s="28" t="n">
        <v>78.44548366125744</v>
      </c>
      <c r="N257" s="28" t="n">
        <v>85.05903646487567</v>
      </c>
      <c r="O257" s="28" t="n">
        <v>98.32618811126927</v>
      </c>
      <c r="P257" s="28" t="n">
        <v>104.5466504663723</v>
      </c>
      <c r="Q257" s="28" t="n">
        <v>111.7595723114067</v>
      </c>
      <c r="R257" s="28" t="n">
        <v>542.7165640859754</v>
      </c>
    </row>
    <row r="258" ht="15.75" customHeight="1" s="57">
      <c r="A258" s="7" t="inlineStr">
        <is>
          <t>NTB</t>
        </is>
      </c>
      <c r="B258" s="7" t="inlineStr">
        <is>
          <t>Ninh Thuận</t>
        </is>
      </c>
      <c r="C258" s="7" t="n">
        <v>1665</v>
      </c>
      <c r="D258" s="7" t="n">
        <v>450102</v>
      </c>
      <c r="E258" s="7" t="inlineStr">
        <is>
          <t>A</t>
        </is>
      </c>
      <c r="F258" s="7" t="n">
        <v>15</v>
      </c>
      <c r="G258" s="27" t="n">
        <v>1</v>
      </c>
      <c r="H258" s="7" t="inlineStr">
        <is>
          <t>Đã mở</t>
        </is>
      </c>
      <c r="I258" s="7" t="n"/>
      <c r="J258" s="7" t="inlineStr">
        <is>
          <t>GHN B2B Ninh Thuận (sắp mở)</t>
        </is>
      </c>
      <c r="K258" s="7" t="inlineStr">
        <is>
          <t>15to30</t>
        </is>
      </c>
      <c r="L258" s="28" t="n">
        <v>180.999736895358</v>
      </c>
      <c r="M258" s="28" t="n">
        <v>227.0502202682944</v>
      </c>
      <c r="N258" s="28" t="n">
        <v>249.86591582426</v>
      </c>
      <c r="O258" s="28" t="n">
        <v>291.9314834659775</v>
      </c>
      <c r="P258" s="28" t="n">
        <v>307.1034602674499</v>
      </c>
      <c r="Q258" s="28" t="n">
        <v>324.1647802945259</v>
      </c>
      <c r="R258" s="28" t="n">
        <v>1581.115597015866</v>
      </c>
    </row>
    <row r="259" ht="15.75" customHeight="1" s="57">
      <c r="A259" s="7" t="inlineStr">
        <is>
          <t>NTB</t>
        </is>
      </c>
      <c r="B259" s="7" t="inlineStr">
        <is>
          <t>Ninh Thuận</t>
        </is>
      </c>
      <c r="C259" s="7" t="n">
        <v>1665</v>
      </c>
      <c r="D259" s="7" t="n">
        <v>450102</v>
      </c>
      <c r="E259" s="7" t="inlineStr">
        <is>
          <t>A</t>
        </is>
      </c>
      <c r="F259" s="7" t="n">
        <v>15</v>
      </c>
      <c r="G259" s="27" t="n">
        <v>1</v>
      </c>
      <c r="H259" s="7" t="inlineStr">
        <is>
          <t>Đã mở</t>
        </is>
      </c>
      <c r="I259" s="7" t="n"/>
      <c r="J259" s="7" t="inlineStr">
        <is>
          <t>GHN B2B Ninh Thuận (sắp mở)</t>
        </is>
      </c>
      <c r="K259" s="7" t="inlineStr">
        <is>
          <t>gte30</t>
        </is>
      </c>
      <c r="L259" s="28" t="n">
        <v>92.5265076213563</v>
      </c>
      <c r="M259" s="28" t="n">
        <v>114.262016254103</v>
      </c>
      <c r="N259" s="28" t="n">
        <v>124.8991014401121</v>
      </c>
      <c r="O259" s="28" t="n">
        <v>145.2363593270548</v>
      </c>
      <c r="P259" s="28" t="n">
        <v>153.5570026265106</v>
      </c>
      <c r="Q259" s="28" t="n">
        <v>163.0495659540948</v>
      </c>
      <c r="R259" s="28" t="n">
        <v>793.5305532232315</v>
      </c>
    </row>
    <row r="260" ht="15.75" customHeight="1" s="57">
      <c r="A260" s="7" t="inlineStr">
        <is>
          <t>NTB</t>
        </is>
      </c>
      <c r="B260" s="7" t="inlineStr">
        <is>
          <t>Ninh Thuận</t>
        </is>
      </c>
      <c r="C260" s="7" t="n">
        <v>1665</v>
      </c>
      <c r="D260" s="7" t="n">
        <v>450103</v>
      </c>
      <c r="E260" s="7" t="inlineStr">
        <is>
          <t>A</t>
        </is>
      </c>
      <c r="F260" s="7" t="n">
        <v>15</v>
      </c>
      <c r="G260" s="27" t="n">
        <v>1</v>
      </c>
      <c r="H260" s="7" t="inlineStr">
        <is>
          <t>Đã mở</t>
        </is>
      </c>
      <c r="I260" s="7" t="n"/>
      <c r="J260" s="7" t="inlineStr">
        <is>
          <t>GHN B2B Ninh Thuận (sắp mở)</t>
        </is>
      </c>
      <c r="K260" s="7" t="inlineStr">
        <is>
          <t>15to30</t>
        </is>
      </c>
      <c r="L260" s="28" t="n">
        <v>80.01062335916933</v>
      </c>
      <c r="M260" s="28" t="n">
        <v>99.60961756269928</v>
      </c>
      <c r="N260" s="28" t="n">
        <v>109.1964300490237</v>
      </c>
      <c r="O260" s="28" t="n">
        <v>127.2198067072974</v>
      </c>
      <c r="P260" s="28" t="n">
        <v>134.1827845679024</v>
      </c>
      <c r="Q260" s="28" t="n">
        <v>142.0912471403707</v>
      </c>
      <c r="R260" s="28" t="n">
        <v>692.3105093864627</v>
      </c>
    </row>
    <row r="261" ht="15.75" customHeight="1" s="57">
      <c r="A261" s="7" t="inlineStr">
        <is>
          <t>NTB</t>
        </is>
      </c>
      <c r="B261" s="7" t="inlineStr">
        <is>
          <t>Ninh Thuận</t>
        </is>
      </c>
      <c r="C261" s="7" t="n">
        <v>1665</v>
      </c>
      <c r="D261" s="7" t="n">
        <v>450103</v>
      </c>
      <c r="E261" s="7" t="inlineStr">
        <is>
          <t>A</t>
        </is>
      </c>
      <c r="F261" s="7" t="n">
        <v>15</v>
      </c>
      <c r="G261" s="27" t="n">
        <v>1</v>
      </c>
      <c r="H261" s="7" t="inlineStr">
        <is>
          <t>Đã mở</t>
        </is>
      </c>
      <c r="I261" s="7" t="n"/>
      <c r="J261" s="7" t="inlineStr">
        <is>
          <t>GHN B2B Ninh Thuận (sắp mở)</t>
        </is>
      </c>
      <c r="K261" s="7" t="inlineStr">
        <is>
          <t>gte30</t>
        </is>
      </c>
      <c r="L261" s="28" t="n">
        <v>58.3828598104332</v>
      </c>
      <c r="M261" s="28" t="n">
        <v>68.1934697993334</v>
      </c>
      <c r="N261" s="28" t="n">
        <v>72.47927844704456</v>
      </c>
      <c r="O261" s="28" t="n">
        <v>82.53647255377561</v>
      </c>
      <c r="P261" s="28" t="n">
        <v>89.02260824382239</v>
      </c>
      <c r="Q261" s="28" t="n">
        <v>96.77043542272003</v>
      </c>
      <c r="R261" s="28" t="n">
        <v>467.3851242771292</v>
      </c>
    </row>
    <row r="262" ht="15.75" customHeight="1" s="57">
      <c r="A262" s="7" t="inlineStr">
        <is>
          <t>NTB</t>
        </is>
      </c>
      <c r="B262" s="7" t="inlineStr">
        <is>
          <t>Ninh Thuận</t>
        </is>
      </c>
      <c r="C262" s="7" t="n">
        <v>1665</v>
      </c>
      <c r="D262" s="7" t="n">
        <v>450104</v>
      </c>
      <c r="E262" s="7" t="inlineStr">
        <is>
          <t>A</t>
        </is>
      </c>
      <c r="F262" s="7" t="n">
        <v>15</v>
      </c>
      <c r="G262" s="27" t="n">
        <v>1</v>
      </c>
      <c r="H262" s="7" t="inlineStr">
        <is>
          <t>Đã mở</t>
        </is>
      </c>
      <c r="I262" s="7" t="n"/>
      <c r="J262" s="7" t="inlineStr">
        <is>
          <t>GHN B2B Ninh Thuận (sắp mở)</t>
        </is>
      </c>
      <c r="K262" s="7" t="inlineStr">
        <is>
          <t>15to30</t>
        </is>
      </c>
      <c r="L262" s="28" t="n">
        <v>161.5522667277279</v>
      </c>
      <c r="M262" s="28" t="n">
        <v>197.2481445573236</v>
      </c>
      <c r="N262" s="28" t="n">
        <v>214.0485329026338</v>
      </c>
      <c r="O262" s="28" t="n">
        <v>247.5039278929023</v>
      </c>
      <c r="P262" s="28" t="n">
        <v>262.8010613912555</v>
      </c>
      <c r="Q262" s="28" t="n">
        <v>280.5804317090272</v>
      </c>
      <c r="R262" s="28" t="n">
        <v>1363.73436518087</v>
      </c>
    </row>
    <row r="263" ht="15.75" customHeight="1" s="57">
      <c r="A263" s="7" t="inlineStr">
        <is>
          <t>NTB</t>
        </is>
      </c>
      <c r="B263" s="7" t="inlineStr">
        <is>
          <t>Ninh Thuận</t>
        </is>
      </c>
      <c r="C263" s="7" t="n">
        <v>1665</v>
      </c>
      <c r="D263" s="7" t="n">
        <v>450104</v>
      </c>
      <c r="E263" s="7" t="inlineStr">
        <is>
          <t>A</t>
        </is>
      </c>
      <c r="F263" s="7" t="n">
        <v>15</v>
      </c>
      <c r="G263" s="27" t="n">
        <v>1</v>
      </c>
      <c r="H263" s="7" t="inlineStr">
        <is>
          <t>Đã mở</t>
        </is>
      </c>
      <c r="I263" s="7" t="n"/>
      <c r="J263" s="7" t="inlineStr">
        <is>
          <t>GHN B2B Ninh Thuận (sắp mở)</t>
        </is>
      </c>
      <c r="K263" s="7" t="inlineStr">
        <is>
          <t>gte30</t>
        </is>
      </c>
      <c r="L263" s="28" t="n">
        <v>79.81391420455394</v>
      </c>
      <c r="M263" s="28" t="n">
        <v>96.36251370805101</v>
      </c>
      <c r="N263" s="28" t="n">
        <v>104.1706974740242</v>
      </c>
      <c r="O263" s="28" t="n">
        <v>120.1494367336377</v>
      </c>
      <c r="P263" s="28" t="n">
        <v>128.0235035595739</v>
      </c>
      <c r="Q263" s="28" t="n">
        <v>137.2028277336467</v>
      </c>
      <c r="R263" s="28" t="n">
        <v>665.7228934134873</v>
      </c>
    </row>
    <row r="264" ht="15.75" customHeight="1" s="57">
      <c r="A264" s="7" t="inlineStr">
        <is>
          <t>NTB</t>
        </is>
      </c>
      <c r="B264" s="7" t="inlineStr">
        <is>
          <t>Ninh Thuận</t>
        </is>
      </c>
      <c r="C264" s="7" t="n">
        <v>1665</v>
      </c>
      <c r="D264" s="7" t="n">
        <v>450105</v>
      </c>
      <c r="E264" s="7" t="inlineStr">
        <is>
          <t>A</t>
        </is>
      </c>
      <c r="F264" s="7" t="n">
        <v>15</v>
      </c>
      <c r="G264" s="27" t="n">
        <v>1</v>
      </c>
      <c r="H264" s="7" t="inlineStr">
        <is>
          <t>Đã mở</t>
        </is>
      </c>
      <c r="I264" s="7" t="n"/>
      <c r="J264" s="7" t="inlineStr">
        <is>
          <t>GHN B2B Ninh Thuận (sắp mở)</t>
        </is>
      </c>
      <c r="K264" s="7" t="inlineStr">
        <is>
          <t>15to30</t>
        </is>
      </c>
      <c r="L264" s="28" t="n">
        <v>117.2808796030335</v>
      </c>
      <c r="M264" s="28" t="n">
        <v>143.7127984493183</v>
      </c>
      <c r="N264" s="28" t="n">
        <v>156.2514932342562</v>
      </c>
      <c r="O264" s="28" t="n">
        <v>180.9329977414019</v>
      </c>
      <c r="P264" s="28" t="n">
        <v>191.8853160274293</v>
      </c>
      <c r="Q264" s="28" t="n">
        <v>204.5615799924361</v>
      </c>
      <c r="R264" s="28" t="n">
        <v>994.6250650478754</v>
      </c>
    </row>
    <row r="265" ht="15.75" customHeight="1" s="57">
      <c r="A265" s="7" t="inlineStr">
        <is>
          <t>NTB</t>
        </is>
      </c>
      <c r="B265" s="7" t="inlineStr">
        <is>
          <t>Ninh Thuận</t>
        </is>
      </c>
      <c r="C265" s="7" t="n">
        <v>1665</v>
      </c>
      <c r="D265" s="7" t="n">
        <v>450105</v>
      </c>
      <c r="E265" s="7" t="inlineStr">
        <is>
          <t>A</t>
        </is>
      </c>
      <c r="F265" s="7" t="n">
        <v>15</v>
      </c>
      <c r="G265" s="27" t="n">
        <v>1</v>
      </c>
      <c r="H265" s="7" t="inlineStr">
        <is>
          <t>Đã mở</t>
        </is>
      </c>
      <c r="I265" s="7" t="n"/>
      <c r="J265" s="7" t="inlineStr">
        <is>
          <t>GHN B2B Ninh Thuận (sắp mở)</t>
        </is>
      </c>
      <c r="K265" s="7" t="inlineStr">
        <is>
          <t>gte30</t>
        </is>
      </c>
      <c r="L265" s="28" t="n">
        <v>85.62309142864933</v>
      </c>
      <c r="M265" s="28" t="n">
        <v>102.3007396728181</v>
      </c>
      <c r="N265" s="28" t="n">
        <v>110.0089707639579</v>
      </c>
      <c r="O265" s="28" t="n">
        <v>126.3862321739444</v>
      </c>
      <c r="P265" s="28" t="n">
        <v>135.1738491255886</v>
      </c>
      <c r="Q265" s="28" t="n">
        <v>145.5055754446528</v>
      </c>
      <c r="R265" s="28" t="n">
        <v>704.9984586096114</v>
      </c>
    </row>
    <row r="266" ht="15.75" customHeight="1" s="57">
      <c r="A266" s="11" t="inlineStr">
        <is>
          <t>NTB</t>
        </is>
      </c>
      <c r="B266" s="11" t="inlineStr">
        <is>
          <t>Ninh Thuận</t>
        </is>
      </c>
      <c r="C266" s="11" t="n">
        <v>1665</v>
      </c>
      <c r="D266" s="11" t="n">
        <v>450106</v>
      </c>
      <c r="E266" s="11" t="inlineStr">
        <is>
          <t>A</t>
        </is>
      </c>
      <c r="F266" s="11" t="n">
        <v>15</v>
      </c>
      <c r="G266" s="33" t="n">
        <v>1</v>
      </c>
      <c r="H266" s="11" t="inlineStr">
        <is>
          <t>Đã mở</t>
        </is>
      </c>
      <c r="I266" s="11" t="n"/>
      <c r="J266" s="11" t="inlineStr">
        <is>
          <t>GHN B2B Ninh Thuận (sắp mở)</t>
        </is>
      </c>
      <c r="K266" s="11" t="inlineStr">
        <is>
          <t>15to30</t>
        </is>
      </c>
      <c r="L266" s="13" t="n">
        <v>386.3429912474211</v>
      </c>
      <c r="M266" s="13" t="n">
        <v>482.4416904003623</v>
      </c>
      <c r="N266" s="13" t="n">
        <v>529.6971568985939</v>
      </c>
      <c r="O266" s="13" t="n">
        <v>617.8329445799938</v>
      </c>
      <c r="P266" s="13" t="n">
        <v>650.9879181947506</v>
      </c>
      <c r="Q266" s="13" t="n">
        <v>688.4921495313538</v>
      </c>
      <c r="R266" s="13" t="n">
        <v>3355.794850852475</v>
      </c>
    </row>
    <row r="267" ht="15.75" customHeight="1" s="57">
      <c r="A267" s="11" t="inlineStr">
        <is>
          <t>NTB</t>
        </is>
      </c>
      <c r="B267" s="11" t="inlineStr">
        <is>
          <t>Ninh Thuận</t>
        </is>
      </c>
      <c r="C267" s="11" t="n">
        <v>1665</v>
      </c>
      <c r="D267" s="11" t="n">
        <v>450106</v>
      </c>
      <c r="E267" s="11" t="inlineStr">
        <is>
          <t>A</t>
        </is>
      </c>
      <c r="F267" s="11" t="n">
        <v>15</v>
      </c>
      <c r="G267" s="33" t="n">
        <v>1</v>
      </c>
      <c r="H267" s="11" t="inlineStr">
        <is>
          <t>Đã mở</t>
        </is>
      </c>
      <c r="I267" s="11" t="n"/>
      <c r="J267" s="11" t="inlineStr">
        <is>
          <t>GHN B2B Ninh Thuận (sắp mở)</t>
        </is>
      </c>
      <c r="K267" s="11" t="inlineStr">
        <is>
          <t>gte30</t>
        </is>
      </c>
      <c r="L267" s="13" t="n">
        <v>136.3654340196149</v>
      </c>
      <c r="M267" s="13" t="n">
        <v>168.2359192271821</v>
      </c>
      <c r="N267" s="13" t="n">
        <v>183.8113810756342</v>
      </c>
      <c r="O267" s="13" t="n">
        <v>213.6683362945563</v>
      </c>
      <c r="P267" s="13" t="n">
        <v>225.9829762788271</v>
      </c>
      <c r="Q267" s="13" t="n">
        <v>240.0466303421048</v>
      </c>
      <c r="R267" s="13" t="n">
        <v>1168.110677237919</v>
      </c>
    </row>
    <row r="268" ht="15.75" customHeight="1" s="57">
      <c r="A268" s="11" t="inlineStr">
        <is>
          <t>NTB</t>
        </is>
      </c>
      <c r="B268" s="11" t="inlineStr">
        <is>
          <t>Ninh Thuận</t>
        </is>
      </c>
      <c r="C268" s="11" t="n">
        <v>1665</v>
      </c>
      <c r="D268" s="11" t="n">
        <v>450107</v>
      </c>
      <c r="E268" s="11" t="inlineStr">
        <is>
          <t>A</t>
        </is>
      </c>
      <c r="F268" s="11" t="n">
        <v>15</v>
      </c>
      <c r="G268" s="33" t="n">
        <v>1</v>
      </c>
      <c r="H268" s="11" t="inlineStr">
        <is>
          <t>Đã mở</t>
        </is>
      </c>
      <c r="I268" s="11" t="n"/>
      <c r="J268" s="11" t="inlineStr">
        <is>
          <t>GHN B2B Ninh Thuận (sắp mở)</t>
        </is>
      </c>
      <c r="K268" s="11" t="inlineStr">
        <is>
          <t>15to30</t>
        </is>
      </c>
      <c r="L268" s="13" t="n">
        <v>193.0081736770786</v>
      </c>
      <c r="M268" s="13" t="n">
        <v>236.6167416169053</v>
      </c>
      <c r="N268" s="13" t="n">
        <v>257.3240786585823</v>
      </c>
      <c r="O268" s="13" t="n">
        <v>298.0257118314975</v>
      </c>
      <c r="P268" s="13" t="n">
        <v>316.0172191396926</v>
      </c>
      <c r="Q268" s="13" t="n">
        <v>336.8292963523234</v>
      </c>
      <c r="R268" s="13" t="n">
        <v>1637.82122127608</v>
      </c>
    </row>
    <row r="269" ht="15.75" customHeight="1" s="57">
      <c r="A269" s="11" t="inlineStr">
        <is>
          <t>NTB</t>
        </is>
      </c>
      <c r="B269" s="11" t="inlineStr">
        <is>
          <t>Ninh Thuận</t>
        </is>
      </c>
      <c r="C269" s="11" t="n">
        <v>1665</v>
      </c>
      <c r="D269" s="11" t="n">
        <v>450107</v>
      </c>
      <c r="E269" s="11" t="inlineStr">
        <is>
          <t>A</t>
        </is>
      </c>
      <c r="F269" s="11" t="n">
        <v>15</v>
      </c>
      <c r="G269" s="33" t="n">
        <v>1</v>
      </c>
      <c r="H269" s="11" t="inlineStr">
        <is>
          <t>Đã mở</t>
        </is>
      </c>
      <c r="I269" s="11" t="n"/>
      <c r="J269" s="11" t="inlineStr">
        <is>
          <t>GHN B2B Ninh Thuận (sắp mở)</t>
        </is>
      </c>
      <c r="K269" s="11" t="inlineStr">
        <is>
          <t>gte30</t>
        </is>
      </c>
      <c r="L269" s="13" t="n">
        <v>85.70525590170159</v>
      </c>
      <c r="M269" s="13" t="n">
        <v>107.2275596671262</v>
      </c>
      <c r="N269" s="13" t="n">
        <v>117.9436878161019</v>
      </c>
      <c r="O269" s="13" t="n">
        <v>137.7691520959289</v>
      </c>
      <c r="P269" s="13" t="n">
        <v>145.0366103386016</v>
      </c>
      <c r="Q269" s="13" t="n">
        <v>153.2037732979018</v>
      </c>
      <c r="R269" s="13" t="n">
        <v>746.886039117362</v>
      </c>
    </row>
    <row r="270" ht="15.75" customHeight="1" s="57">
      <c r="A270" s="11" t="inlineStr">
        <is>
          <t>NTB</t>
        </is>
      </c>
      <c r="B270" s="11" t="inlineStr">
        <is>
          <t>Ninh Thuận</t>
        </is>
      </c>
      <c r="C270" s="11" t="n">
        <v>1665</v>
      </c>
      <c r="D270" s="11" t="n">
        <v>450108</v>
      </c>
      <c r="E270" s="11" t="inlineStr">
        <is>
          <t>A</t>
        </is>
      </c>
      <c r="F270" s="11" t="n">
        <v>15</v>
      </c>
      <c r="G270" s="33" t="n">
        <v>1</v>
      </c>
      <c r="H270" s="11" t="inlineStr">
        <is>
          <t>Đã mở</t>
        </is>
      </c>
      <c r="I270" s="11" t="n"/>
      <c r="J270" s="11" t="inlineStr">
        <is>
          <t>GHN B2B Ninh Thuận (sắp mở)</t>
        </is>
      </c>
      <c r="K270" s="11" t="inlineStr">
        <is>
          <t>15to30</t>
        </is>
      </c>
      <c r="L270" s="13" t="n">
        <v>126.3871511455876</v>
      </c>
      <c r="M270" s="13" t="n">
        <v>154.8709839710616</v>
      </c>
      <c r="N270" s="13" t="n">
        <v>168.3820883679911</v>
      </c>
      <c r="O270" s="13" t="n">
        <v>194.9770953138051</v>
      </c>
      <c r="P270" s="13" t="n">
        <v>206.7619104521151</v>
      </c>
      <c r="Q270" s="13" t="n">
        <v>220.406703133879</v>
      </c>
      <c r="R270" s="13" t="n">
        <v>1071.785932384439</v>
      </c>
    </row>
    <row r="271" ht="15.75" customHeight="1" s="57">
      <c r="A271" s="11" t="inlineStr">
        <is>
          <t>NTB</t>
        </is>
      </c>
      <c r="B271" s="11" t="inlineStr">
        <is>
          <t>Ninh Thuận</t>
        </is>
      </c>
      <c r="C271" s="11" t="n">
        <v>1665</v>
      </c>
      <c r="D271" s="11" t="n">
        <v>450108</v>
      </c>
      <c r="E271" s="11" t="inlineStr">
        <is>
          <t>A</t>
        </is>
      </c>
      <c r="F271" s="11" t="n">
        <v>15</v>
      </c>
      <c r="G271" s="33" t="n">
        <v>1</v>
      </c>
      <c r="H271" s="11" t="inlineStr">
        <is>
          <t>Đã mở</t>
        </is>
      </c>
      <c r="I271" s="11" t="n"/>
      <c r="J271" s="11" t="inlineStr">
        <is>
          <t>GHN B2B Ninh Thuận (sắp mở)</t>
        </is>
      </c>
      <c r="K271" s="11" t="inlineStr">
        <is>
          <t>gte30</t>
        </is>
      </c>
      <c r="L271" s="13" t="n">
        <v>49.6344882894863</v>
      </c>
      <c r="M271" s="13" t="n">
        <v>61.90362201849115</v>
      </c>
      <c r="N271" s="13" t="n">
        <v>67.98843267078367</v>
      </c>
      <c r="O271" s="13" t="n">
        <v>79.3312811245809</v>
      </c>
      <c r="P271" s="13" t="n">
        <v>83.60184004001667</v>
      </c>
      <c r="Q271" s="13" t="n">
        <v>88.41953898037291</v>
      </c>
      <c r="R271" s="13" t="n">
        <v>430.8792031237316</v>
      </c>
    </row>
    <row r="272" ht="15.75" customHeight="1" s="57">
      <c r="A272" s="11" t="inlineStr">
        <is>
          <t>NTB</t>
        </is>
      </c>
      <c r="B272" s="11" t="inlineStr">
        <is>
          <t>Ninh Thuận</t>
        </is>
      </c>
      <c r="C272" s="11" t="n">
        <v>1665</v>
      </c>
      <c r="D272" s="11" t="n">
        <v>450109</v>
      </c>
      <c r="E272" s="11" t="inlineStr">
        <is>
          <t>A</t>
        </is>
      </c>
      <c r="F272" s="11" t="n">
        <v>15</v>
      </c>
      <c r="G272" s="33" t="n">
        <v>1</v>
      </c>
      <c r="H272" s="11" t="inlineStr">
        <is>
          <t>Đã mở</t>
        </is>
      </c>
      <c r="I272" s="11" t="n"/>
      <c r="J272" s="11" t="inlineStr">
        <is>
          <t>GHN B2B Ninh Thuận (sắp mở)</t>
        </is>
      </c>
      <c r="K272" s="11" t="inlineStr">
        <is>
          <t>15to30</t>
        </is>
      </c>
      <c r="L272" s="13" t="n">
        <v>95.73221404702781</v>
      </c>
      <c r="M272" s="13" t="n">
        <v>118.5481521467545</v>
      </c>
      <c r="N272" s="13" t="n">
        <v>129.6011206639647</v>
      </c>
      <c r="O272" s="13" t="n">
        <v>150.6873869036146</v>
      </c>
      <c r="P272" s="13" t="n">
        <v>159.2324963657097</v>
      </c>
      <c r="Q272" s="13" t="n">
        <v>169.0012709226247</v>
      </c>
      <c r="R272" s="13" t="n">
        <v>822.802641049696</v>
      </c>
    </row>
    <row r="273" ht="15.75" customHeight="1" s="57">
      <c r="A273" s="11" t="inlineStr">
        <is>
          <t>NTB</t>
        </is>
      </c>
      <c r="B273" s="11" t="inlineStr">
        <is>
          <t>Ninh Thuận</t>
        </is>
      </c>
      <c r="C273" s="11" t="n">
        <v>1665</v>
      </c>
      <c r="D273" s="11" t="n">
        <v>450109</v>
      </c>
      <c r="E273" s="11" t="inlineStr">
        <is>
          <t>A</t>
        </is>
      </c>
      <c r="F273" s="11" t="n">
        <v>15</v>
      </c>
      <c r="G273" s="33" t="n">
        <v>1</v>
      </c>
      <c r="H273" s="11" t="inlineStr">
        <is>
          <t>Đã mở</t>
        </is>
      </c>
      <c r="I273" s="11" t="n"/>
      <c r="J273" s="11" t="inlineStr">
        <is>
          <t>GHN B2B Ninh Thuận (sắp mở)</t>
        </is>
      </c>
      <c r="K273" s="11" t="inlineStr">
        <is>
          <t>gte30</t>
        </is>
      </c>
      <c r="L273" s="13" t="n">
        <v>35.38784554208072</v>
      </c>
      <c r="M273" s="13" t="n">
        <v>44.34836140094686</v>
      </c>
      <c r="N273" s="13" t="n">
        <v>48.81900249211875</v>
      </c>
      <c r="O273" s="13" t="n">
        <v>57.05751705989709</v>
      </c>
      <c r="P273" s="13" t="n">
        <v>60.03486222901173</v>
      </c>
      <c r="Q273" s="13" t="n">
        <v>63.37380935448299</v>
      </c>
      <c r="R273" s="13" t="n">
        <v>309.0213980785381</v>
      </c>
    </row>
    <row r="274" ht="15.75" customHeight="1" s="57">
      <c r="A274" s="11" t="inlineStr">
        <is>
          <t>NTB</t>
        </is>
      </c>
      <c r="B274" s="11" t="inlineStr">
        <is>
          <t>Ninh Thuận</t>
        </is>
      </c>
      <c r="C274" s="11" t="n">
        <v>1665</v>
      </c>
      <c r="D274" s="11" t="n">
        <v>450110</v>
      </c>
      <c r="E274" s="11" t="inlineStr">
        <is>
          <t>A</t>
        </is>
      </c>
      <c r="F274" s="11" t="n">
        <v>15</v>
      </c>
      <c r="G274" s="33" t="n">
        <v>1</v>
      </c>
      <c r="H274" s="11" t="inlineStr">
        <is>
          <t>Đã mở</t>
        </is>
      </c>
      <c r="I274" s="11" t="n"/>
      <c r="J274" s="11" t="inlineStr">
        <is>
          <t>GHN B2B Ninh Thuận (sắp mở)</t>
        </is>
      </c>
      <c r="K274" s="11" t="inlineStr">
        <is>
          <t>15to30</t>
        </is>
      </c>
      <c r="L274" s="13" t="n">
        <v>10.60638022836227</v>
      </c>
      <c r="M274" s="13" t="n">
        <v>11.8916769364226</v>
      </c>
      <c r="N274" s="13" t="n">
        <v>12.29747410743286</v>
      </c>
      <c r="O274" s="13" t="n">
        <v>13.69431956661104</v>
      </c>
      <c r="P274" s="13" t="n">
        <v>15.04921054004468</v>
      </c>
      <c r="Q274" s="13" t="n">
        <v>16.72201947916977</v>
      </c>
      <c r="R274" s="13" t="n">
        <v>80.26108085804321</v>
      </c>
    </row>
    <row r="275" ht="15.75" customHeight="1" s="57">
      <c r="A275" s="11" t="inlineStr">
        <is>
          <t>NTB</t>
        </is>
      </c>
      <c r="B275" s="11" t="inlineStr">
        <is>
          <t>Ninh Thuận</t>
        </is>
      </c>
      <c r="C275" s="11" t="n">
        <v>1665</v>
      </c>
      <c r="D275" s="11" t="n">
        <v>450110</v>
      </c>
      <c r="E275" s="11" t="inlineStr">
        <is>
          <t>A</t>
        </is>
      </c>
      <c r="F275" s="11" t="n">
        <v>15</v>
      </c>
      <c r="G275" s="33" t="n">
        <v>1</v>
      </c>
      <c r="H275" s="11" t="inlineStr">
        <is>
          <t>Đã mở</t>
        </is>
      </c>
      <c r="I275" s="11" t="n"/>
      <c r="J275" s="11" t="inlineStr">
        <is>
          <t>GHN B2B Ninh Thuận (sắp mở)</t>
        </is>
      </c>
      <c r="K275" s="11" t="inlineStr">
        <is>
          <t>gte30</t>
        </is>
      </c>
      <c r="L275" s="13" t="n">
        <v>16.88040548104398</v>
      </c>
      <c r="M275" s="13" t="n">
        <v>18.51991453077055</v>
      </c>
      <c r="N275" s="13" t="n">
        <v>19.01523498923861</v>
      </c>
      <c r="O275" s="13" t="n">
        <v>21.07215985836936</v>
      </c>
      <c r="P275" s="13" t="n">
        <v>23.3264650052737</v>
      </c>
      <c r="Q275" s="13" t="n">
        <v>26.10568703279935</v>
      </c>
      <c r="R275" s="13" t="n">
        <v>124.9198668974956</v>
      </c>
    </row>
    <row r="276" ht="15.75" customHeight="1" s="57">
      <c r="A276" s="11" t="inlineStr">
        <is>
          <t>NTB</t>
        </is>
      </c>
      <c r="B276" s="11" t="inlineStr">
        <is>
          <t>Ninh Thuận</t>
        </is>
      </c>
      <c r="C276" s="11" t="n">
        <v>1665</v>
      </c>
      <c r="D276" s="11" t="n">
        <v>450111</v>
      </c>
      <c r="E276" s="11" t="inlineStr">
        <is>
          <t>A</t>
        </is>
      </c>
      <c r="F276" s="11" t="n">
        <v>15</v>
      </c>
      <c r="G276" s="33" t="n">
        <v>1</v>
      </c>
      <c r="H276" s="11" t="inlineStr">
        <is>
          <t>Đã mở</t>
        </is>
      </c>
      <c r="I276" s="11" t="n"/>
      <c r="J276" s="11" t="inlineStr">
        <is>
          <t>GHN B2B Ninh Thuận (sắp mở)</t>
        </is>
      </c>
      <c r="K276" s="11" t="inlineStr">
        <is>
          <t>15to30</t>
        </is>
      </c>
      <c r="L276" s="13" t="n">
        <v>580.1485229166069</v>
      </c>
      <c r="M276" s="13" t="n">
        <v>727.8632941020876</v>
      </c>
      <c r="N276" s="13" t="n">
        <v>801.0700107116846</v>
      </c>
      <c r="O276" s="13" t="n">
        <v>935.9942099432235</v>
      </c>
      <c r="P276" s="13" t="n">
        <v>984.652069486983</v>
      </c>
      <c r="Q276" s="13" t="n">
        <v>1039.341748942795</v>
      </c>
      <c r="R276" s="13" t="n">
        <v>5069.069856103381</v>
      </c>
    </row>
    <row r="277" ht="15.75" customHeight="1" s="57">
      <c r="A277" s="11" t="inlineStr">
        <is>
          <t>NTB</t>
        </is>
      </c>
      <c r="B277" s="11" t="inlineStr">
        <is>
          <t>Ninh Thuận</t>
        </is>
      </c>
      <c r="C277" s="11" t="n">
        <v>1665</v>
      </c>
      <c r="D277" s="11" t="n">
        <v>450111</v>
      </c>
      <c r="E277" s="11" t="inlineStr">
        <is>
          <t>A</t>
        </is>
      </c>
      <c r="F277" s="11" t="n">
        <v>15</v>
      </c>
      <c r="G277" s="33" t="n">
        <v>1</v>
      </c>
      <c r="H277" s="11" t="inlineStr">
        <is>
          <t>Đã mở</t>
        </is>
      </c>
      <c r="I277" s="11" t="n"/>
      <c r="J277" s="11" t="inlineStr">
        <is>
          <t>GHN B2B Ninh Thuận (sắp mở)</t>
        </is>
      </c>
      <c r="K277" s="11" t="inlineStr">
        <is>
          <t>gte30</t>
        </is>
      </c>
      <c r="L277" s="13" t="n">
        <v>231.6186896239992</v>
      </c>
      <c r="M277" s="13" t="n">
        <v>291.1153636624248</v>
      </c>
      <c r="N277" s="13" t="n">
        <v>320.9037936273845</v>
      </c>
      <c r="O277" s="13" t="n">
        <v>375.4294472871883</v>
      </c>
      <c r="P277" s="13" t="n">
        <v>394.6479195740025</v>
      </c>
      <c r="Q277" s="13" t="n">
        <v>416.1195975865514</v>
      </c>
      <c r="R277" s="13" t="n">
        <v>2029.834811361551</v>
      </c>
    </row>
    <row r="278" ht="15.75" customHeight="1" s="57">
      <c r="A278" s="11" t="inlineStr">
        <is>
          <t>NTB</t>
        </is>
      </c>
      <c r="B278" s="11" t="inlineStr">
        <is>
          <t>Ninh Thuận</t>
        </is>
      </c>
      <c r="C278" s="11" t="n">
        <v>1665</v>
      </c>
      <c r="D278" s="11" t="n">
        <v>450112</v>
      </c>
      <c r="E278" s="11" t="inlineStr">
        <is>
          <t>A</t>
        </is>
      </c>
      <c r="F278" s="11" t="n">
        <v>15</v>
      </c>
      <c r="G278" s="33" t="n">
        <v>1</v>
      </c>
      <c r="H278" s="11" t="inlineStr">
        <is>
          <t>Đã mở</t>
        </is>
      </c>
      <c r="I278" s="11" t="n"/>
      <c r="J278" s="11" t="inlineStr">
        <is>
          <t>GHN B2B Ninh Thuận (sắp mở)</t>
        </is>
      </c>
      <c r="K278" s="11" t="inlineStr">
        <is>
          <t>15to30</t>
        </is>
      </c>
      <c r="L278" s="13" t="n">
        <v>283.0552966957814</v>
      </c>
      <c r="M278" s="13" t="n">
        <v>349.3050097866254</v>
      </c>
      <c r="N278" s="13" t="n">
        <v>381.1853872738645</v>
      </c>
      <c r="O278" s="13" t="n">
        <v>442.6097417226533</v>
      </c>
      <c r="P278" s="13" t="n">
        <v>468.2268711263132</v>
      </c>
      <c r="Q278" s="13" t="n">
        <v>497.6452427214213</v>
      </c>
      <c r="R278" s="13" t="n">
        <v>2422.027549326659</v>
      </c>
    </row>
    <row r="279" ht="15.75" customHeight="1" s="57">
      <c r="A279" s="11" t="inlineStr">
        <is>
          <t>NTB</t>
        </is>
      </c>
      <c r="B279" s="11" t="inlineStr">
        <is>
          <t>Ninh Thuận</t>
        </is>
      </c>
      <c r="C279" s="11" t="n">
        <v>1665</v>
      </c>
      <c r="D279" s="11" t="n">
        <v>450112</v>
      </c>
      <c r="E279" s="11" t="inlineStr">
        <is>
          <t>A</t>
        </is>
      </c>
      <c r="F279" s="11" t="n">
        <v>15</v>
      </c>
      <c r="G279" s="33" t="n">
        <v>1</v>
      </c>
      <c r="H279" s="11" t="inlineStr">
        <is>
          <t>Đã mở</t>
        </is>
      </c>
      <c r="I279" s="11" t="n"/>
      <c r="J279" s="11" t="inlineStr">
        <is>
          <t>GHN B2B Ninh Thuận (sắp mở)</t>
        </is>
      </c>
      <c r="K279" s="11" t="inlineStr">
        <is>
          <t>gte30</t>
        </is>
      </c>
      <c r="L279" s="13" t="n">
        <v>101.5728716401929</v>
      </c>
      <c r="M279" s="13" t="n">
        <v>124.6504688543992</v>
      </c>
      <c r="N279" s="13" t="n">
        <v>135.8409929727947</v>
      </c>
      <c r="O279" s="13" t="n">
        <v>157.6100306145104</v>
      </c>
      <c r="P279" s="13" t="n">
        <v>166.9920603910823</v>
      </c>
      <c r="Q279" s="13" t="n">
        <v>177.765324894387</v>
      </c>
      <c r="R279" s="13" t="n">
        <v>864.4317493673664</v>
      </c>
    </row>
    <row r="280" ht="15.75" customHeight="1" s="57">
      <c r="A280" s="11" t="inlineStr">
        <is>
          <t>NTB</t>
        </is>
      </c>
      <c r="B280" s="11" t="inlineStr">
        <is>
          <t>Ninh Thuận</t>
        </is>
      </c>
      <c r="C280" s="11" t="n">
        <v>1665</v>
      </c>
      <c r="D280" s="11" t="n">
        <v>450113</v>
      </c>
      <c r="E280" s="11" t="inlineStr">
        <is>
          <t>A</t>
        </is>
      </c>
      <c r="F280" s="11" t="n">
        <v>15</v>
      </c>
      <c r="G280" s="33" t="n">
        <v>1</v>
      </c>
      <c r="H280" s="11" t="inlineStr">
        <is>
          <t>Đã mở</t>
        </is>
      </c>
      <c r="I280" s="11" t="n"/>
      <c r="J280" s="11" t="inlineStr">
        <is>
          <t>GHN B2B Ninh Thuận (sắp mở)</t>
        </is>
      </c>
      <c r="K280" s="11" t="inlineStr">
        <is>
          <t>15to30</t>
        </is>
      </c>
      <c r="L280" s="13" t="n">
        <v>33.08270173621653</v>
      </c>
      <c r="M280" s="13" t="n">
        <v>38.97435406726159</v>
      </c>
      <c r="N280" s="13" t="n">
        <v>41.4799505230048</v>
      </c>
      <c r="O280" s="13" t="n">
        <v>47.25804164714717</v>
      </c>
      <c r="P280" s="13" t="n">
        <v>50.85095159311381</v>
      </c>
      <c r="Q280" s="13" t="n">
        <v>55.16093883465392</v>
      </c>
      <c r="R280" s="13" t="n">
        <v>266.8069384013979</v>
      </c>
    </row>
    <row r="281" ht="15.75" customHeight="1" s="57">
      <c r="A281" s="11" t="inlineStr">
        <is>
          <t>NTB</t>
        </is>
      </c>
      <c r="B281" s="11" t="inlineStr">
        <is>
          <t>Ninh Thuận</t>
        </is>
      </c>
      <c r="C281" s="11" t="n">
        <v>1665</v>
      </c>
      <c r="D281" s="11" t="n">
        <v>450113</v>
      </c>
      <c r="E281" s="11" t="inlineStr">
        <is>
          <t>A</t>
        </is>
      </c>
      <c r="F281" s="11" t="n">
        <v>15</v>
      </c>
      <c r="G281" s="33" t="n">
        <v>1</v>
      </c>
      <c r="H281" s="11" t="inlineStr">
        <is>
          <t>Đã mở</t>
        </is>
      </c>
      <c r="I281" s="11" t="n"/>
      <c r="J281" s="11" t="inlineStr">
        <is>
          <t>GHN B2B Ninh Thuận (sắp mở)</t>
        </is>
      </c>
      <c r="K281" s="11" t="inlineStr">
        <is>
          <t>gte30</t>
        </is>
      </c>
      <c r="L281" s="13" t="n">
        <v>17.08333342000704</v>
      </c>
      <c r="M281" s="13" t="n">
        <v>19.68396715784919</v>
      </c>
      <c r="N281" s="13" t="n">
        <v>20.77023293731345</v>
      </c>
      <c r="O281" s="13" t="n">
        <v>23.52109806038715</v>
      </c>
      <c r="P281" s="13" t="n">
        <v>25.50448240561096</v>
      </c>
      <c r="Q281" s="13" t="n">
        <v>27.89316904997957</v>
      </c>
      <c r="R281" s="13" t="n">
        <v>134.4562830311474</v>
      </c>
    </row>
    <row r="282" ht="15.75" customHeight="1" s="57">
      <c r="A282" s="11" t="inlineStr">
        <is>
          <t>NTB</t>
        </is>
      </c>
      <c r="B282" s="11" t="inlineStr">
        <is>
          <t>Ninh Thuận</t>
        </is>
      </c>
      <c r="C282" s="11" t="n">
        <v>1665</v>
      </c>
      <c r="D282" s="11" t="n">
        <v>450114</v>
      </c>
      <c r="E282" s="11" t="inlineStr">
        <is>
          <t>A</t>
        </is>
      </c>
      <c r="F282" s="11" t="n">
        <v>15</v>
      </c>
      <c r="G282" s="33" t="n">
        <v>1</v>
      </c>
      <c r="H282" s="11" t="inlineStr">
        <is>
          <t>Đã mở</t>
        </is>
      </c>
      <c r="I282" s="11" t="n"/>
      <c r="J282" s="11" t="inlineStr">
        <is>
          <t>GHN B2B Ninh Thuận (sắp mở)</t>
        </is>
      </c>
      <c r="K282" s="11" t="inlineStr">
        <is>
          <t>15to30</t>
        </is>
      </c>
      <c r="L282" s="13" t="n">
        <v>75.64631041992394</v>
      </c>
      <c r="M282" s="13" t="n">
        <v>88.60605681328524</v>
      </c>
      <c r="N282" s="13" t="n">
        <v>93.99680943400193</v>
      </c>
      <c r="O282" s="13" t="n">
        <v>106.818616492306</v>
      </c>
      <c r="P282" s="13" t="n">
        <v>115.1800537966672</v>
      </c>
      <c r="Q282" s="13" t="n">
        <v>125.2588981192769</v>
      </c>
      <c r="R282" s="13" t="n">
        <v>605.5067450754613</v>
      </c>
    </row>
    <row r="283" ht="15.75" customHeight="1" s="57">
      <c r="A283" s="11" t="inlineStr">
        <is>
          <t>NTB</t>
        </is>
      </c>
      <c r="B283" s="11" t="inlineStr">
        <is>
          <t>Ninh Thuận</t>
        </is>
      </c>
      <c r="C283" s="11" t="n">
        <v>1665</v>
      </c>
      <c r="D283" s="11" t="n">
        <v>450114</v>
      </c>
      <c r="E283" s="11" t="inlineStr">
        <is>
          <t>A</t>
        </is>
      </c>
      <c r="F283" s="11" t="n">
        <v>15</v>
      </c>
      <c r="G283" s="33" t="n">
        <v>1</v>
      </c>
      <c r="H283" s="11" t="inlineStr">
        <is>
          <t>Đã mở</t>
        </is>
      </c>
      <c r="I283" s="11" t="n"/>
      <c r="J283" s="11" t="inlineStr">
        <is>
          <t>GHN B2B Ninh Thuận (sắp mở)</t>
        </is>
      </c>
      <c r="K283" s="11" t="inlineStr">
        <is>
          <t>gte30</t>
        </is>
      </c>
      <c r="L283" s="13" t="n">
        <v>18.36082340580703</v>
      </c>
      <c r="M283" s="13" t="n">
        <v>21.42167971241352</v>
      </c>
      <c r="N283" s="13" t="n">
        <v>22.75431048132279</v>
      </c>
      <c r="O283" s="13" t="n">
        <v>25.8997938027205</v>
      </c>
      <c r="P283" s="13" t="n">
        <v>27.94736858555225</v>
      </c>
      <c r="Q283" s="13" t="n">
        <v>30.39500742866331</v>
      </c>
      <c r="R283" s="13" t="n">
        <v>146.7789834164794</v>
      </c>
    </row>
    <row r="284" ht="15.75" customHeight="1" s="57">
      <c r="A284" s="11" t="inlineStr">
        <is>
          <t>NTB</t>
        </is>
      </c>
      <c r="B284" s="11" t="inlineStr">
        <is>
          <t>Ninh Thuận</t>
        </is>
      </c>
      <c r="C284" s="11" t="n">
        <v>1665</v>
      </c>
      <c r="D284" s="11" t="n">
        <v>450115</v>
      </c>
      <c r="E284" s="11" t="inlineStr">
        <is>
          <t>A</t>
        </is>
      </c>
      <c r="F284" s="11" t="n">
        <v>15</v>
      </c>
      <c r="G284" s="33" t="n">
        <v>1</v>
      </c>
      <c r="H284" s="11" t="inlineStr">
        <is>
          <t>Đã mở</t>
        </is>
      </c>
      <c r="I284" s="11" t="n"/>
      <c r="J284" s="11" t="inlineStr">
        <is>
          <t>GHN B2B Ninh Thuận (sắp mở)</t>
        </is>
      </c>
      <c r="K284" s="11" t="inlineStr">
        <is>
          <t>15to30</t>
        </is>
      </c>
      <c r="L284" s="13" t="n">
        <v>167.6985949097922</v>
      </c>
      <c r="M284" s="13" t="n">
        <v>209.2759198276776</v>
      </c>
      <c r="N284" s="13" t="n">
        <v>229.6971739071302</v>
      </c>
      <c r="O284" s="13" t="n">
        <v>267.8477480363388</v>
      </c>
      <c r="P284" s="13" t="n">
        <v>282.2597019687467</v>
      </c>
      <c r="Q284" s="13" t="n">
        <v>298.5823087837782</v>
      </c>
      <c r="R284" s="13" t="n">
        <v>1455.361447433464</v>
      </c>
    </row>
    <row r="285" ht="15.75" customHeight="1" s="57">
      <c r="A285" s="11" t="inlineStr">
        <is>
          <t>NTB</t>
        </is>
      </c>
      <c r="B285" s="11" t="inlineStr">
        <is>
          <t>Ninh Thuận</t>
        </is>
      </c>
      <c r="C285" s="11" t="n">
        <v>1665</v>
      </c>
      <c r="D285" s="11" t="n">
        <v>450115</v>
      </c>
      <c r="E285" s="11" t="inlineStr">
        <is>
          <t>A</t>
        </is>
      </c>
      <c r="F285" s="11" t="n">
        <v>15</v>
      </c>
      <c r="G285" s="33" t="n">
        <v>1</v>
      </c>
      <c r="H285" s="11" t="inlineStr">
        <is>
          <t>Đã mở</t>
        </is>
      </c>
      <c r="I285" s="11" t="n"/>
      <c r="J285" s="11" t="inlineStr">
        <is>
          <t>GHN B2B Ninh Thuận (sắp mở)</t>
        </is>
      </c>
      <c r="K285" s="11" t="inlineStr">
        <is>
          <t>gte30</t>
        </is>
      </c>
      <c r="L285" s="13" t="n">
        <v>78.21469744477997</v>
      </c>
      <c r="M285" s="13" t="n">
        <v>97.2260337518162</v>
      </c>
      <c r="N285" s="13" t="n">
        <v>106.6141417935644</v>
      </c>
      <c r="O285" s="13" t="n">
        <v>124.2590822365795</v>
      </c>
      <c r="P285" s="13" t="n">
        <v>131.090789159434</v>
      </c>
      <c r="Q285" s="13" t="n">
        <v>138.8278287973062</v>
      </c>
      <c r="R285" s="13" t="n">
        <v>676.2325731834803</v>
      </c>
    </row>
    <row r="286" ht="15.75" customHeight="1" s="57">
      <c r="A286" s="11" t="inlineStr">
        <is>
          <t>NTB</t>
        </is>
      </c>
      <c r="B286" s="11" t="inlineStr">
        <is>
          <t>Ninh Thuận</t>
        </is>
      </c>
      <c r="C286" s="11" t="n">
        <v>1985</v>
      </c>
      <c r="D286" s="11" t="n">
        <v>450301</v>
      </c>
      <c r="E286" s="11" t="inlineStr">
        <is>
          <t>A</t>
        </is>
      </c>
      <c r="F286" s="11" t="n">
        <v>15</v>
      </c>
      <c r="G286" s="33" t="n">
        <v>1</v>
      </c>
      <c r="H286" s="11" t="inlineStr">
        <is>
          <t>Đã mở</t>
        </is>
      </c>
      <c r="I286" s="11" t="n"/>
      <c r="J286" s="11" t="inlineStr">
        <is>
          <t>GHN B2B Ninh Thuận (sắp mở)</t>
        </is>
      </c>
      <c r="K286" s="11" t="inlineStr">
        <is>
          <t>15to30</t>
        </is>
      </c>
      <c r="L286" s="13" t="n">
        <v>185.574513889963</v>
      </c>
      <c r="M286" s="13" t="n">
        <v>228.0680832593536</v>
      </c>
      <c r="N286" s="13" t="n">
        <v>248.3500873666674</v>
      </c>
      <c r="O286" s="13" t="n">
        <v>287.9114135448414</v>
      </c>
      <c r="P286" s="13" t="n">
        <v>305.0279289033985</v>
      </c>
      <c r="Q286" s="13" t="n">
        <v>324.7731274779932</v>
      </c>
      <c r="R286" s="13" t="n">
        <v>1579.705154442217</v>
      </c>
    </row>
    <row r="287" ht="15.75" customHeight="1" s="57">
      <c r="A287" s="11" t="inlineStr">
        <is>
          <t>NTB</t>
        </is>
      </c>
      <c r="B287" s="11" t="inlineStr">
        <is>
          <t>Ninh Thuận</t>
        </is>
      </c>
      <c r="C287" s="11" t="n">
        <v>1985</v>
      </c>
      <c r="D287" s="11" t="n">
        <v>450301</v>
      </c>
      <c r="E287" s="11" t="inlineStr">
        <is>
          <t>A</t>
        </is>
      </c>
      <c r="F287" s="11" t="n">
        <v>15</v>
      </c>
      <c r="G287" s="33" t="n">
        <v>1</v>
      </c>
      <c r="H287" s="11" t="inlineStr">
        <is>
          <t>Đã mở</t>
        </is>
      </c>
      <c r="I287" s="11" t="n"/>
      <c r="J287" s="11" t="inlineStr">
        <is>
          <t>GHN B2B Ninh Thuận (sắp mở)</t>
        </is>
      </c>
      <c r="K287" s="11" t="inlineStr">
        <is>
          <t>gte30</t>
        </is>
      </c>
      <c r="L287" s="13" t="n">
        <v>87.44026854036801</v>
      </c>
      <c r="M287" s="13" t="n">
        <v>108.0448525075183</v>
      </c>
      <c r="N287" s="13" t="n">
        <v>118.1369112691983</v>
      </c>
      <c r="O287" s="13" t="n">
        <v>137.4016340418871</v>
      </c>
      <c r="P287" s="13" t="n">
        <v>145.2446611155442</v>
      </c>
      <c r="Q287" s="13" t="n">
        <v>154.1866410970692</v>
      </c>
      <c r="R287" s="13" t="n">
        <v>750.4549685715853</v>
      </c>
    </row>
    <row r="288" ht="15.75" customHeight="1" s="57">
      <c r="A288" s="11" t="inlineStr">
        <is>
          <t>NTB</t>
        </is>
      </c>
      <c r="B288" s="11" t="inlineStr">
        <is>
          <t>Ninh Thuận</t>
        </is>
      </c>
      <c r="C288" s="49" t="n">
        <v>1985</v>
      </c>
      <c r="D288" s="11" t="n">
        <v>450302</v>
      </c>
      <c r="E288" s="11" t="inlineStr">
        <is>
          <t>A</t>
        </is>
      </c>
      <c r="F288" s="11" t="n">
        <v>15</v>
      </c>
      <c r="G288" s="33" t="n">
        <v>1</v>
      </c>
      <c r="H288" s="11" t="inlineStr">
        <is>
          <t>Đã mở</t>
        </is>
      </c>
      <c r="I288" s="49" t="n"/>
      <c r="J288" s="11" t="inlineStr">
        <is>
          <t>GHN B2B Ninh Thuận (sắp mở)</t>
        </is>
      </c>
      <c r="K288" s="11" t="inlineStr">
        <is>
          <t>15to30</t>
        </is>
      </c>
      <c r="L288" s="13" t="n">
        <v>130.6751278864525</v>
      </c>
      <c r="M288" s="13" t="n">
        <v>161.3609665559259</v>
      </c>
      <c r="N288" s="13" t="n">
        <v>176.1456549467955</v>
      </c>
      <c r="O288" s="13" t="n">
        <v>204.5798402890737</v>
      </c>
      <c r="P288" s="13" t="n">
        <v>216.3777062914257</v>
      </c>
      <c r="Q288" s="13" t="n">
        <v>229.9150748838627</v>
      </c>
      <c r="R288" s="13" t="n">
        <v>1119.054370853536</v>
      </c>
    </row>
    <row r="289" ht="15.75" customHeight="1" s="57">
      <c r="A289" s="11" t="inlineStr">
        <is>
          <t>NTB</t>
        </is>
      </c>
      <c r="B289" s="11" t="inlineStr">
        <is>
          <t>Ninh Thuận</t>
        </is>
      </c>
      <c r="C289" s="49" t="n">
        <v>1985</v>
      </c>
      <c r="D289" s="11" t="n">
        <v>450302</v>
      </c>
      <c r="E289" s="11" t="inlineStr">
        <is>
          <t>A</t>
        </is>
      </c>
      <c r="F289" s="11" t="n">
        <v>15</v>
      </c>
      <c r="G289" s="33" t="n">
        <v>1</v>
      </c>
      <c r="H289" s="11" t="inlineStr">
        <is>
          <t>Đã mở</t>
        </is>
      </c>
      <c r="I289" s="49" t="n"/>
      <c r="J289" s="11" t="inlineStr">
        <is>
          <t>GHN B2B Ninh Thuận (sắp mở)</t>
        </is>
      </c>
      <c r="K289" s="11" t="inlineStr">
        <is>
          <t>gte30</t>
        </is>
      </c>
      <c r="L289" s="13" t="n">
        <v>46.57311344660999</v>
      </c>
      <c r="M289" s="13" t="n">
        <v>57.87969423761372</v>
      </c>
      <c r="N289" s="13" t="n">
        <v>63.4613126664921</v>
      </c>
      <c r="O289" s="13" t="n">
        <v>73.95824897002026</v>
      </c>
      <c r="P289" s="13" t="n">
        <v>78.03056020373758</v>
      </c>
      <c r="Q289" s="13" t="n">
        <v>82.64379450484834</v>
      </c>
      <c r="R289" s="13" t="n">
        <v>402.546724029322</v>
      </c>
    </row>
    <row r="290" ht="15.75" customHeight="1" s="57">
      <c r="A290" s="11" t="inlineStr">
        <is>
          <t>NTB</t>
        </is>
      </c>
      <c r="B290" s="11" t="inlineStr">
        <is>
          <t>Ninh Thuận</t>
        </is>
      </c>
      <c r="C290" s="49" t="n">
        <v>1985</v>
      </c>
      <c r="D290" s="11" t="n">
        <v>450303</v>
      </c>
      <c r="E290" s="11" t="inlineStr">
        <is>
          <t>A</t>
        </is>
      </c>
      <c r="F290" s="11" t="n">
        <v>15</v>
      </c>
      <c r="G290" s="33" t="n">
        <v>1</v>
      </c>
      <c r="H290" s="11" t="inlineStr">
        <is>
          <t>Đã mở</t>
        </is>
      </c>
      <c r="I290" s="11" t="n"/>
      <c r="J290" s="11" t="inlineStr">
        <is>
          <t>GHN B2B Ninh Thuận (sắp mở)</t>
        </is>
      </c>
      <c r="K290" s="11" t="inlineStr">
        <is>
          <t>15to30</t>
        </is>
      </c>
      <c r="L290" s="13" t="n">
        <v>210.4714566623238</v>
      </c>
      <c r="M290" s="13" t="n">
        <v>259.4936564753018</v>
      </c>
      <c r="N290" s="13" t="n">
        <v>283.0424783250334</v>
      </c>
      <c r="O290" s="13" t="n">
        <v>328.5381743023678</v>
      </c>
      <c r="P290" s="13" t="n">
        <v>347.6866883996224</v>
      </c>
      <c r="Q290" s="13" t="n">
        <v>369.6942152512096</v>
      </c>
      <c r="R290" s="13" t="n">
        <v>1798.926669415859</v>
      </c>
    </row>
    <row r="291" ht="15.75" customHeight="1" s="57">
      <c r="A291" s="11" t="inlineStr">
        <is>
          <t>NTB</t>
        </is>
      </c>
      <c r="B291" s="11" t="inlineStr">
        <is>
          <t>Ninh Thuận</t>
        </is>
      </c>
      <c r="C291" s="49" t="n">
        <v>1985</v>
      </c>
      <c r="D291" s="11" t="n">
        <v>450303</v>
      </c>
      <c r="E291" s="11" t="inlineStr">
        <is>
          <t>A</t>
        </is>
      </c>
      <c r="F291" s="11" t="n">
        <v>15</v>
      </c>
      <c r="G291" s="33" t="n">
        <v>1</v>
      </c>
      <c r="H291" s="11" t="inlineStr">
        <is>
          <t>Đã mở</t>
        </is>
      </c>
      <c r="I291" s="11" t="n"/>
      <c r="J291" s="11" t="inlineStr">
        <is>
          <t>GHN B2B Ninh Thuận (sắp mở)</t>
        </is>
      </c>
      <c r="K291" s="11" t="inlineStr">
        <is>
          <t>gte30</t>
        </is>
      </c>
      <c r="L291" s="13" t="n">
        <v>65.66501589396819</v>
      </c>
      <c r="M291" s="13" t="n">
        <v>81.74509786234856</v>
      </c>
      <c r="N291" s="13" t="n">
        <v>89.70090530973081</v>
      </c>
      <c r="O291" s="13" t="n">
        <v>104.599381601492</v>
      </c>
      <c r="P291" s="13" t="n">
        <v>110.2972115073594</v>
      </c>
      <c r="Q291" s="13" t="n">
        <v>116.7391747031037</v>
      </c>
      <c r="R291" s="13" t="n">
        <v>568.7467868780027</v>
      </c>
    </row>
    <row r="292" ht="15.75" customHeight="1" s="57">
      <c r="A292" s="11" t="inlineStr">
        <is>
          <t>NTB</t>
        </is>
      </c>
      <c r="B292" s="11" t="inlineStr">
        <is>
          <t>Ninh Thuận</t>
        </is>
      </c>
      <c r="C292" s="49" t="n">
        <v>1985</v>
      </c>
      <c r="D292" s="11" t="n">
        <v>450307</v>
      </c>
      <c r="E292" s="11" t="inlineStr">
        <is>
          <t>A</t>
        </is>
      </c>
      <c r="F292" s="11" t="n">
        <v>15</v>
      </c>
      <c r="G292" s="33" t="n">
        <v>1</v>
      </c>
      <c r="H292" s="11" t="inlineStr">
        <is>
          <t>Đã mở</t>
        </is>
      </c>
      <c r="I292" s="11" t="n"/>
      <c r="J292" s="11" t="inlineStr">
        <is>
          <t>GHN B2B Ninh Thuận (sắp mở)</t>
        </is>
      </c>
      <c r="K292" s="11" t="inlineStr">
        <is>
          <t>15to30</t>
        </is>
      </c>
      <c r="L292" s="13" t="n">
        <v>101.0257390490848</v>
      </c>
      <c r="M292" s="13" t="n">
        <v>127.2553359478299</v>
      </c>
      <c r="N292" s="13" t="n">
        <v>140.3368822347124</v>
      </c>
      <c r="O292" s="13" t="n">
        <v>164.2139646249806</v>
      </c>
      <c r="P292" s="13" t="n">
        <v>172.5101320537868</v>
      </c>
      <c r="Q292" s="13" t="n">
        <v>181.7835135014084</v>
      </c>
      <c r="R292" s="13" t="n">
        <v>887.1255674118029</v>
      </c>
    </row>
    <row r="293" ht="15.75" customHeight="1" s="57">
      <c r="A293" s="11" t="inlineStr">
        <is>
          <t>NTB</t>
        </is>
      </c>
      <c r="B293" s="11" t="inlineStr">
        <is>
          <t>Ninh Thuận</t>
        </is>
      </c>
      <c r="C293" s="49" t="n">
        <v>1985</v>
      </c>
      <c r="D293" s="11" t="n">
        <v>450307</v>
      </c>
      <c r="E293" s="11" t="inlineStr">
        <is>
          <t>A</t>
        </is>
      </c>
      <c r="F293" s="11" t="n">
        <v>15</v>
      </c>
      <c r="G293" s="33" t="n">
        <v>1</v>
      </c>
      <c r="H293" s="11" t="inlineStr">
        <is>
          <t>Đã mở</t>
        </is>
      </c>
      <c r="I293" s="11" t="n"/>
      <c r="J293" s="11" t="inlineStr">
        <is>
          <t>GHN B2B Ninh Thuận (sắp mở)</t>
        </is>
      </c>
      <c r="K293" s="11" t="inlineStr">
        <is>
          <t>gte30</t>
        </is>
      </c>
      <c r="L293" s="13" t="n">
        <v>42.58587252166356</v>
      </c>
      <c r="M293" s="13" t="n">
        <v>52.97065161147521</v>
      </c>
      <c r="N293" s="13" t="n">
        <v>58.1031115951057</v>
      </c>
      <c r="O293" s="13" t="n">
        <v>67.73420845830272</v>
      </c>
      <c r="P293" s="13" t="n">
        <v>71.44325891207285</v>
      </c>
      <c r="Q293" s="13" t="n">
        <v>75.640745158163</v>
      </c>
      <c r="R293" s="13" t="n">
        <v>368.477848256783</v>
      </c>
    </row>
    <row r="294" ht="15.75" customHeight="1" s="57">
      <c r="A294" s="11" t="inlineStr">
        <is>
          <t>NTB</t>
        </is>
      </c>
      <c r="B294" s="11" t="inlineStr">
        <is>
          <t>Ninh Thuận</t>
        </is>
      </c>
      <c r="C294" s="49" t="n">
        <v>1986</v>
      </c>
      <c r="D294" s="11" t="n">
        <v>450401</v>
      </c>
      <c r="E294" s="11" t="inlineStr">
        <is>
          <t>A</t>
        </is>
      </c>
      <c r="F294" s="11" t="n">
        <v>15</v>
      </c>
      <c r="G294" s="33" t="n">
        <v>1</v>
      </c>
      <c r="H294" s="11" t="inlineStr">
        <is>
          <t>Đã mở</t>
        </is>
      </c>
      <c r="I294" s="49" t="n"/>
      <c r="J294" s="11" t="inlineStr">
        <is>
          <t>GHN B2B Ninh Thuận (sắp mở)</t>
        </is>
      </c>
      <c r="K294" s="11" t="inlineStr">
        <is>
          <t>15to30</t>
        </is>
      </c>
      <c r="L294" s="13" t="n">
        <v>234.2858690097001</v>
      </c>
      <c r="M294" s="13" t="n">
        <v>284.4059298698683</v>
      </c>
      <c r="N294" s="13" t="n">
        <v>307.6869473597989</v>
      </c>
      <c r="O294" s="13" t="n">
        <v>354.9652128650374</v>
      </c>
      <c r="P294" s="13" t="n">
        <v>377.729089247629</v>
      </c>
      <c r="Q294" s="13" t="n">
        <v>404.3298502571124</v>
      </c>
      <c r="R294" s="13" t="n">
        <v>1963.402898609146</v>
      </c>
    </row>
    <row r="295" ht="15.75" customHeight="1" s="57">
      <c r="A295" s="11" t="inlineStr">
        <is>
          <t>NTB</t>
        </is>
      </c>
      <c r="B295" s="11" t="inlineStr">
        <is>
          <t>Ninh Thuận</t>
        </is>
      </c>
      <c r="C295" s="49" t="n">
        <v>1986</v>
      </c>
      <c r="D295" s="11" t="n">
        <v>450401</v>
      </c>
      <c r="E295" s="11" t="inlineStr">
        <is>
          <t>A</t>
        </is>
      </c>
      <c r="F295" s="11" t="n">
        <v>15</v>
      </c>
      <c r="G295" s="33" t="n">
        <v>1</v>
      </c>
      <c r="H295" s="11" t="inlineStr">
        <is>
          <t>Đã mở</t>
        </is>
      </c>
      <c r="I295" s="49" t="n"/>
      <c r="J295" s="11" t="inlineStr">
        <is>
          <t>GHN B2B Ninh Thuận (sắp mở)</t>
        </is>
      </c>
      <c r="K295" s="11" t="inlineStr">
        <is>
          <t>gte30</t>
        </is>
      </c>
      <c r="L295" s="13" t="n">
        <v>114.6960801223517</v>
      </c>
      <c r="M295" s="13" t="n">
        <v>140.1631471585369</v>
      </c>
      <c r="N295" s="13" t="n">
        <v>152.4315245483393</v>
      </c>
      <c r="O295" s="13" t="n">
        <v>176.5921826726096</v>
      </c>
      <c r="P295" s="13" t="n">
        <v>187.3738265430879</v>
      </c>
      <c r="Q295" s="13" t="n">
        <v>199.8056598610999</v>
      </c>
      <c r="R295" s="13" t="n">
        <v>971.0624209060253</v>
      </c>
    </row>
    <row r="296" ht="15.75" customHeight="1" s="57">
      <c r="A296" s="11" t="inlineStr">
        <is>
          <t>NTB</t>
        </is>
      </c>
      <c r="B296" s="11" t="inlineStr">
        <is>
          <t>Ninh Thuận</t>
        </is>
      </c>
      <c r="C296" s="49" t="n">
        <v>1986</v>
      </c>
      <c r="D296" s="11" t="n">
        <v>450402</v>
      </c>
      <c r="E296" s="11" t="inlineStr">
        <is>
          <t>A</t>
        </is>
      </c>
      <c r="F296" s="11" t="n">
        <v>15</v>
      </c>
      <c r="G296" s="33" t="n">
        <v>1</v>
      </c>
      <c r="H296" s="11" t="inlineStr">
        <is>
          <t>Đã mở</t>
        </is>
      </c>
      <c r="I296" s="11" t="n"/>
      <c r="J296" s="11" t="inlineStr">
        <is>
          <t>GHN B2B Ninh Thuận (sắp mở)</t>
        </is>
      </c>
      <c r="K296" s="11" t="inlineStr">
        <is>
          <t>15to30</t>
        </is>
      </c>
      <c r="L296" s="13" t="n">
        <v>178.7633849247796</v>
      </c>
      <c r="M296" s="13" t="n">
        <v>222.0095990737803</v>
      </c>
      <c r="N296" s="13" t="n">
        <v>243.0708048841269</v>
      </c>
      <c r="O296" s="13" t="n">
        <v>282.9278874318996</v>
      </c>
      <c r="P296" s="13" t="n">
        <v>298.6545080987714</v>
      </c>
      <c r="Q296" s="13" t="n">
        <v>316.5742438538359</v>
      </c>
      <c r="R296" s="13" t="n">
        <v>1542.000428267194</v>
      </c>
    </row>
    <row r="297" ht="15.75" customHeight="1" s="57">
      <c r="A297" s="11" t="inlineStr">
        <is>
          <t>NTB</t>
        </is>
      </c>
      <c r="B297" s="11" t="inlineStr">
        <is>
          <t>Ninh Thuận</t>
        </is>
      </c>
      <c r="C297" s="49" t="n">
        <v>1986</v>
      </c>
      <c r="D297" s="11" t="n">
        <v>450402</v>
      </c>
      <c r="E297" s="11" t="inlineStr">
        <is>
          <t>A</t>
        </is>
      </c>
      <c r="F297" s="11" t="n">
        <v>15</v>
      </c>
      <c r="G297" s="33" t="n">
        <v>1</v>
      </c>
      <c r="H297" s="11" t="inlineStr">
        <is>
          <t>Đã mở</t>
        </is>
      </c>
      <c r="I297" s="11" t="n"/>
      <c r="J297" s="11" t="inlineStr">
        <is>
          <t>GHN B2B Ninh Thuận (sắp mở)</t>
        </is>
      </c>
      <c r="K297" s="11" t="inlineStr">
        <is>
          <t>gte30</t>
        </is>
      </c>
      <c r="L297" s="13" t="n">
        <v>77.20262294922063</v>
      </c>
      <c r="M297" s="13" t="n">
        <v>96.12980312960647</v>
      </c>
      <c r="N297" s="13" t="n">
        <v>105.497001459488</v>
      </c>
      <c r="O297" s="13" t="n">
        <v>123.0286704457604</v>
      </c>
      <c r="P297" s="13" t="n">
        <v>129.7207424375398</v>
      </c>
      <c r="Q297" s="13" t="n">
        <v>137.2847838521193</v>
      </c>
      <c r="R297" s="13" t="n">
        <v>668.8636242737346</v>
      </c>
    </row>
    <row r="298" ht="15.75" customHeight="1" s="57">
      <c r="A298" s="11" t="inlineStr">
        <is>
          <t>NTB</t>
        </is>
      </c>
      <c r="B298" s="11" t="inlineStr">
        <is>
          <t>Ninh Thuận</t>
        </is>
      </c>
      <c r="C298" s="49" t="n">
        <v>1986</v>
      </c>
      <c r="D298" s="11" t="n">
        <v>450404</v>
      </c>
      <c r="E298" s="11" t="inlineStr">
        <is>
          <t>A</t>
        </is>
      </c>
      <c r="F298" s="11" t="n">
        <v>15</v>
      </c>
      <c r="G298" s="33" t="n">
        <v>1</v>
      </c>
      <c r="H298" s="11" t="inlineStr">
        <is>
          <t>Đã mở</t>
        </is>
      </c>
      <c r="I298" s="49" t="n"/>
      <c r="J298" s="11" t="inlineStr">
        <is>
          <t>GHN B2B Ninh Thuận (sắp mở)</t>
        </is>
      </c>
      <c r="K298" s="11" t="inlineStr">
        <is>
          <t>15to30</t>
        </is>
      </c>
      <c r="L298" s="13" t="n">
        <v>83.5418158282543</v>
      </c>
      <c r="M298" s="13" t="n">
        <v>104.3583260826852</v>
      </c>
      <c r="N298" s="13" t="n">
        <v>114.599832261771</v>
      </c>
      <c r="O298" s="13" t="n">
        <v>133.6830919753386</v>
      </c>
      <c r="P298" s="13" t="n">
        <v>140.8231647624875</v>
      </c>
      <c r="Q298" s="13" t="n">
        <v>148.9004082054436</v>
      </c>
      <c r="R298" s="13" t="n">
        <v>725.9066391159803</v>
      </c>
    </row>
    <row r="299" ht="15.75" customHeight="1" s="57">
      <c r="A299" s="11" t="inlineStr">
        <is>
          <t>NTB</t>
        </is>
      </c>
      <c r="B299" s="11" t="inlineStr">
        <is>
          <t>Ninh Thuận</t>
        </is>
      </c>
      <c r="C299" s="49" t="n">
        <v>1986</v>
      </c>
      <c r="D299" s="11" t="n">
        <v>450404</v>
      </c>
      <c r="E299" s="11" t="inlineStr">
        <is>
          <t>A</t>
        </is>
      </c>
      <c r="F299" s="11" t="n">
        <v>15</v>
      </c>
      <c r="G299" s="33" t="n">
        <v>1</v>
      </c>
      <c r="H299" s="11" t="inlineStr">
        <is>
          <t>Đã mở</t>
        </is>
      </c>
      <c r="I299" s="49" t="n"/>
      <c r="J299" s="11" t="inlineStr">
        <is>
          <t>GHN B2B Ninh Thuận (sắp mở)</t>
        </is>
      </c>
      <c r="K299" s="11" t="inlineStr">
        <is>
          <t>gte30</t>
        </is>
      </c>
      <c r="L299" s="13" t="n">
        <v>30.36605864326985</v>
      </c>
      <c r="M299" s="13" t="n">
        <v>37.6111448178169</v>
      </c>
      <c r="N299" s="13" t="n">
        <v>41.17155229061838</v>
      </c>
      <c r="O299" s="13" t="n">
        <v>47.92543525155214</v>
      </c>
      <c r="P299" s="13" t="n">
        <v>50.6207881432181</v>
      </c>
      <c r="Q299" s="13" t="n">
        <v>53.68580153722876</v>
      </c>
      <c r="R299" s="13" t="n">
        <v>261.3807806837041</v>
      </c>
    </row>
    <row r="300" ht="15.75" customHeight="1" s="57">
      <c r="A300" s="11" t="inlineStr">
        <is>
          <t>NTB</t>
        </is>
      </c>
      <c r="B300" s="11" t="inlineStr">
        <is>
          <t>Ninh Thuận</t>
        </is>
      </c>
      <c r="C300" s="49" t="n">
        <v>1986</v>
      </c>
      <c r="D300" s="11" t="n">
        <v>450408</v>
      </c>
      <c r="E300" s="11" t="inlineStr">
        <is>
          <t>A</t>
        </is>
      </c>
      <c r="F300" s="11" t="n">
        <v>15</v>
      </c>
      <c r="G300" s="33" t="n">
        <v>1</v>
      </c>
      <c r="H300" s="11" t="inlineStr">
        <is>
          <t>Đã mở</t>
        </is>
      </c>
      <c r="I300" s="11" t="n"/>
      <c r="J300" s="11" t="inlineStr">
        <is>
          <t>GHN B2B Ninh Thuận (sắp mở)</t>
        </is>
      </c>
      <c r="K300" s="11" t="inlineStr">
        <is>
          <t>15to30</t>
        </is>
      </c>
      <c r="L300" s="13" t="n">
        <v>119.49366962138</v>
      </c>
      <c r="M300" s="13" t="n">
        <v>147.0278655434461</v>
      </c>
      <c r="N300" s="13" t="n">
        <v>160.2006495421702</v>
      </c>
      <c r="O300" s="13" t="n">
        <v>185.8034986446697</v>
      </c>
      <c r="P300" s="13" t="n">
        <v>196.7598038318959</v>
      </c>
      <c r="Q300" s="13" t="n">
        <v>209.3845202504413</v>
      </c>
      <c r="R300" s="13" t="n">
        <v>1018.670007434003</v>
      </c>
    </row>
    <row r="301" ht="15.75" customHeight="1" s="57">
      <c r="A301" s="11" t="inlineStr">
        <is>
          <t>NTB</t>
        </is>
      </c>
      <c r="B301" s="11" t="inlineStr">
        <is>
          <t>Ninh Thuận</t>
        </is>
      </c>
      <c r="C301" s="49" t="n">
        <v>1986</v>
      </c>
      <c r="D301" s="11" t="n">
        <v>450408</v>
      </c>
      <c r="E301" s="11" t="inlineStr">
        <is>
          <t>A</t>
        </is>
      </c>
      <c r="F301" s="11" t="n">
        <v>15</v>
      </c>
      <c r="G301" s="33" t="n">
        <v>1</v>
      </c>
      <c r="H301" s="11" t="inlineStr">
        <is>
          <t>Đã mở</t>
        </is>
      </c>
      <c r="I301" s="11" t="n"/>
      <c r="J301" s="11" t="inlineStr">
        <is>
          <t>GHN B2B Ninh Thuận (sắp mở)</t>
        </is>
      </c>
      <c r="K301" s="11" t="inlineStr">
        <is>
          <t>gte30</t>
        </is>
      </c>
      <c r="L301" s="13" t="n">
        <v>52.40672677991032</v>
      </c>
      <c r="M301" s="13" t="n">
        <v>64.5523813953413</v>
      </c>
      <c r="N301" s="13" t="n">
        <v>70.47449546001877</v>
      </c>
      <c r="O301" s="13" t="n">
        <v>81.87597164346155</v>
      </c>
      <c r="P301" s="13" t="n">
        <v>86.64107720944995</v>
      </c>
      <c r="Q301" s="13" t="n">
        <v>92.0920613646912</v>
      </c>
      <c r="R301" s="13" t="n">
        <v>448.042713852873</v>
      </c>
    </row>
    <row r="302" ht="15.75" customHeight="1" s="57">
      <c r="A302" s="11" t="inlineStr">
        <is>
          <t>NTB</t>
        </is>
      </c>
      <c r="B302" s="11" t="inlineStr">
        <is>
          <t>Ninh Thuận</t>
        </is>
      </c>
      <c r="C302" s="49" t="n">
        <v>3302</v>
      </c>
      <c r="D302" s="11" t="n">
        <v>450707</v>
      </c>
      <c r="E302" s="11" t="inlineStr">
        <is>
          <t>A</t>
        </is>
      </c>
      <c r="F302" s="11" t="n">
        <v>15</v>
      </c>
      <c r="G302" s="33" t="n">
        <v>1</v>
      </c>
      <c r="H302" s="11" t="inlineStr">
        <is>
          <t>Đã mở</t>
        </is>
      </c>
      <c r="I302" s="49" t="n"/>
      <c r="J302" s="11" t="inlineStr">
        <is>
          <t>GHN B2B Ninh Thuận (sắp mở)</t>
        </is>
      </c>
      <c r="K302" s="11" t="inlineStr">
        <is>
          <t>15to30</t>
        </is>
      </c>
      <c r="L302" s="13" t="n">
        <v>53.24697857839583</v>
      </c>
      <c r="M302" s="13" t="n">
        <v>66.26062686912647</v>
      </c>
      <c r="N302" s="13" t="n">
        <v>72.6202421494848</v>
      </c>
      <c r="O302" s="13" t="n">
        <v>84.58966399370522</v>
      </c>
      <c r="P302" s="13" t="n">
        <v>89.21345686787718</v>
      </c>
      <c r="Q302" s="13" t="n">
        <v>94.47311217971033</v>
      </c>
      <c r="R302" s="13" t="n">
        <v>460.4040806382998</v>
      </c>
    </row>
    <row r="303" ht="15.75" customHeight="1" s="57">
      <c r="A303" s="11" t="inlineStr">
        <is>
          <t>NTB</t>
        </is>
      </c>
      <c r="B303" s="11" t="inlineStr">
        <is>
          <t>Ninh Thuận</t>
        </is>
      </c>
      <c r="C303" s="49" t="n">
        <v>3302</v>
      </c>
      <c r="D303" s="11" t="n">
        <v>450707</v>
      </c>
      <c r="E303" s="11" t="inlineStr">
        <is>
          <t>A</t>
        </is>
      </c>
      <c r="F303" s="11" t="n">
        <v>15</v>
      </c>
      <c r="G303" s="33" t="n">
        <v>1</v>
      </c>
      <c r="H303" s="11" t="inlineStr">
        <is>
          <t>Đã mở</t>
        </is>
      </c>
      <c r="I303" s="49" t="n"/>
      <c r="J303" s="11" t="inlineStr">
        <is>
          <t>GHN B2B Ninh Thuận (sắp mở)</t>
        </is>
      </c>
      <c r="K303" s="11" t="inlineStr">
        <is>
          <t>gte30</t>
        </is>
      </c>
      <c r="L303" s="13" t="n">
        <v>27.96245451432986</v>
      </c>
      <c r="M303" s="13" t="n">
        <v>33.8275573703794</v>
      </c>
      <c r="N303" s="13" t="n">
        <v>36.60498593746406</v>
      </c>
      <c r="O303" s="13" t="n">
        <v>42.25096022633914</v>
      </c>
      <c r="P303" s="13" t="n">
        <v>44.98827670591572</v>
      </c>
      <c r="Q303" s="13" t="n">
        <v>48.17387238478604</v>
      </c>
      <c r="R303" s="13" t="n">
        <v>233.8081071392142</v>
      </c>
    </row>
    <row r="304" ht="15.75" customHeight="1" s="57">
      <c r="A304" s="11" t="inlineStr">
        <is>
          <t>NTB</t>
        </is>
      </c>
      <c r="B304" s="11" t="inlineStr">
        <is>
          <t>Đắk Nông</t>
        </is>
      </c>
      <c r="C304" s="11" t="n">
        <v>1627</v>
      </c>
      <c r="D304" s="11" t="n">
        <v>630101</v>
      </c>
      <c r="E304" s="11" t="inlineStr">
        <is>
          <t>A</t>
        </is>
      </c>
      <c r="F304" s="11" t="n">
        <v>15</v>
      </c>
      <c r="G304" s="33" t="n">
        <v>1</v>
      </c>
      <c r="H304" s="11" t="inlineStr">
        <is>
          <t>Đã mở</t>
        </is>
      </c>
      <c r="I304" s="11" t="n"/>
      <c r="J304" s="11" t="inlineStr">
        <is>
          <t>GHN B2B Đắk Nông (sắp mở)</t>
        </is>
      </c>
      <c r="K304" s="11" t="inlineStr">
        <is>
          <t>15to30</t>
        </is>
      </c>
      <c r="L304" s="13" t="n">
        <v>84.15796322345923</v>
      </c>
      <c r="M304" s="13" t="n">
        <v>104.5475305656675</v>
      </c>
      <c r="N304" s="13" t="n">
        <v>114.4448069832657</v>
      </c>
      <c r="O304" s="13" t="n">
        <v>133.1856860543805</v>
      </c>
      <c r="P304" s="13" t="n">
        <v>140.5865256938143</v>
      </c>
      <c r="Q304" s="13" t="n">
        <v>149.0289629494538</v>
      </c>
      <c r="R304" s="13" t="n">
        <v>725.9514754700409</v>
      </c>
    </row>
    <row r="305" ht="15.75" customHeight="1" s="57">
      <c r="A305" s="11" t="inlineStr">
        <is>
          <t>NTB</t>
        </is>
      </c>
      <c r="B305" s="11" t="inlineStr">
        <is>
          <t>Đắk Nông</t>
        </is>
      </c>
      <c r="C305" s="11" t="n">
        <v>1627</v>
      </c>
      <c r="D305" s="11" t="n">
        <v>630101</v>
      </c>
      <c r="E305" s="11" t="inlineStr">
        <is>
          <t>A</t>
        </is>
      </c>
      <c r="F305" s="11" t="n">
        <v>15</v>
      </c>
      <c r="G305" s="33" t="n">
        <v>1</v>
      </c>
      <c r="H305" s="11" t="inlineStr">
        <is>
          <t>Đã mở</t>
        </is>
      </c>
      <c r="I305" s="11" t="n"/>
      <c r="J305" s="11" t="inlineStr">
        <is>
          <t>GHN B2B Đắk Nông (sắp mở)</t>
        </is>
      </c>
      <c r="K305" s="11" t="inlineStr">
        <is>
          <t>gte30</t>
        </is>
      </c>
      <c r="L305" s="13" t="n">
        <v>45.38487928986574</v>
      </c>
      <c r="M305" s="13" t="n">
        <v>55.22596892342406</v>
      </c>
      <c r="N305" s="13" t="n">
        <v>59.94481516925988</v>
      </c>
      <c r="O305" s="13" t="n">
        <v>69.35047656127486</v>
      </c>
      <c r="P305" s="13" t="n">
        <v>73.68778195083783</v>
      </c>
      <c r="Q305" s="13" t="n">
        <v>78.70585677085244</v>
      </c>
      <c r="R305" s="13" t="n">
        <v>382.2997786655148</v>
      </c>
    </row>
    <row r="306" ht="15.75" customHeight="1" s="57">
      <c r="A306" s="11" t="inlineStr">
        <is>
          <t>NTB</t>
        </is>
      </c>
      <c r="B306" s="11" t="inlineStr">
        <is>
          <t>Đắk Nông</t>
        </is>
      </c>
      <c r="C306" s="11" t="n">
        <v>1627</v>
      </c>
      <c r="D306" s="11" t="n">
        <v>630102</v>
      </c>
      <c r="E306" s="11" t="inlineStr">
        <is>
          <t>A</t>
        </is>
      </c>
      <c r="F306" s="11" t="n">
        <v>15</v>
      </c>
      <c r="G306" s="33" t="n">
        <v>1</v>
      </c>
      <c r="H306" s="11" t="inlineStr">
        <is>
          <t>Đã mở</t>
        </is>
      </c>
      <c r="I306" s="11" t="n"/>
      <c r="J306" s="11" t="inlineStr">
        <is>
          <t>GHN B2B Đắk Nông (sắp mở)</t>
        </is>
      </c>
      <c r="K306" s="11" t="inlineStr">
        <is>
          <t>15to30</t>
        </is>
      </c>
      <c r="L306" s="13" t="n">
        <v>97.16524915511519</v>
      </c>
      <c r="M306" s="13" t="n">
        <v>121.2191915086458</v>
      </c>
      <c r="N306" s="13" t="n">
        <v>132.9902566475067</v>
      </c>
      <c r="O306" s="13" t="n">
        <v>155.0231585172955</v>
      </c>
      <c r="P306" s="13" t="n">
        <v>163.4021681046385</v>
      </c>
      <c r="Q306" s="13" t="n">
        <v>172.9059228985923</v>
      </c>
      <c r="R306" s="13" t="n">
        <v>842.7059468317941</v>
      </c>
    </row>
    <row r="307" ht="15.75" customHeight="1" s="57">
      <c r="A307" s="11" t="inlineStr">
        <is>
          <t>NTB</t>
        </is>
      </c>
      <c r="B307" s="11" t="inlineStr">
        <is>
          <t>Đắk Nông</t>
        </is>
      </c>
      <c r="C307" s="11" t="n">
        <v>1627</v>
      </c>
      <c r="D307" s="11" t="n">
        <v>630102</v>
      </c>
      <c r="E307" s="11" t="inlineStr">
        <is>
          <t>A</t>
        </is>
      </c>
      <c r="F307" s="11" t="n">
        <v>15</v>
      </c>
      <c r="G307" s="33" t="n">
        <v>1</v>
      </c>
      <c r="H307" s="11" t="inlineStr">
        <is>
          <t>Đã mở</t>
        </is>
      </c>
      <c r="I307" s="11" t="n"/>
      <c r="J307" s="11" t="inlineStr">
        <is>
          <t>GHN B2B Đắk Nông (sắp mở)</t>
        </is>
      </c>
      <c r="K307" s="11" t="inlineStr">
        <is>
          <t>gte30</t>
        </is>
      </c>
      <c r="L307" s="13" t="n">
        <v>35.17912636556741</v>
      </c>
      <c r="M307" s="13" t="n">
        <v>42.14634237748155</v>
      </c>
      <c r="N307" s="13" t="n">
        <v>45.39585875949659</v>
      </c>
      <c r="O307" s="13" t="n">
        <v>52.21963009761529</v>
      </c>
      <c r="P307" s="13" t="n">
        <v>55.78998289734199</v>
      </c>
      <c r="Q307" s="13" t="n">
        <v>59.97556900078141</v>
      </c>
      <c r="R307" s="13" t="n">
        <v>290.7065094982843</v>
      </c>
    </row>
    <row r="308" ht="15.75" customHeight="1" s="57">
      <c r="A308" s="11" t="inlineStr">
        <is>
          <t>NTB</t>
        </is>
      </c>
      <c r="B308" s="11" t="inlineStr">
        <is>
          <t>Đắk Nông</t>
        </is>
      </c>
      <c r="C308" s="49" t="n">
        <v>1627</v>
      </c>
      <c r="D308" s="11" t="n">
        <v>630103</v>
      </c>
      <c r="E308" s="11" t="inlineStr">
        <is>
          <t>A</t>
        </is>
      </c>
      <c r="F308" s="11" t="n">
        <v>15</v>
      </c>
      <c r="G308" s="33" t="n">
        <v>1</v>
      </c>
      <c r="H308" s="11" t="inlineStr">
        <is>
          <t>Đã mở</t>
        </is>
      </c>
      <c r="I308" s="11" t="n"/>
      <c r="J308" s="11" t="inlineStr">
        <is>
          <t>GHN B2B Đắk Nông (sắp mở)</t>
        </is>
      </c>
      <c r="K308" s="11" t="inlineStr">
        <is>
          <t>15to30</t>
        </is>
      </c>
      <c r="L308" s="13" t="n">
        <v>126.7374288556758</v>
      </c>
      <c r="M308" s="13" t="n">
        <v>154.3749851263548</v>
      </c>
      <c r="N308" s="13" t="n">
        <v>167.2225683952983</v>
      </c>
      <c r="O308" s="13" t="n">
        <v>193.0824998560713</v>
      </c>
      <c r="P308" s="13" t="n">
        <v>205.2369904687962</v>
      </c>
      <c r="Q308" s="13" t="n">
        <v>219.4235501550301</v>
      </c>
      <c r="R308" s="13" t="n">
        <v>1066.078022857226</v>
      </c>
    </row>
    <row r="309" ht="15.75" customHeight="1" s="57">
      <c r="A309" s="11" t="inlineStr">
        <is>
          <t>NTB</t>
        </is>
      </c>
      <c r="B309" s="11" t="inlineStr">
        <is>
          <t>Đắk Nông</t>
        </is>
      </c>
      <c r="C309" s="49" t="n">
        <v>1627</v>
      </c>
      <c r="D309" s="11" t="n">
        <v>630103</v>
      </c>
      <c r="E309" s="11" t="inlineStr">
        <is>
          <t>A</t>
        </is>
      </c>
      <c r="F309" s="11" t="n">
        <v>15</v>
      </c>
      <c r="G309" s="33" t="n">
        <v>1</v>
      </c>
      <c r="H309" s="11" t="inlineStr">
        <is>
          <t>Đã mở</t>
        </is>
      </c>
      <c r="I309" s="11" t="n"/>
      <c r="J309" s="11" t="inlineStr">
        <is>
          <t>GHN B2B Đắk Nông (sắp mở)</t>
        </is>
      </c>
      <c r="K309" s="11" t="inlineStr">
        <is>
          <t>gte30</t>
        </is>
      </c>
      <c r="L309" s="13" t="n">
        <v>89.2122256029582</v>
      </c>
      <c r="M309" s="13" t="n">
        <v>107.212416850637</v>
      </c>
      <c r="N309" s="13" t="n">
        <v>115.6578957537073</v>
      </c>
      <c r="O309" s="13" t="n">
        <v>133.1969074643411</v>
      </c>
      <c r="P309" s="13" t="n">
        <v>142.1465180743712</v>
      </c>
      <c r="Q309" s="13" t="n">
        <v>152.612379493394</v>
      </c>
      <c r="R309" s="13" t="n">
        <v>740.0383432394088</v>
      </c>
    </row>
    <row r="310" ht="15.75" customHeight="1" s="57">
      <c r="A310" s="11" t="inlineStr">
        <is>
          <t>NTB</t>
        </is>
      </c>
      <c r="B310" s="11" t="inlineStr">
        <is>
          <t>Đắk Nông</t>
        </is>
      </c>
      <c r="C310" s="49" t="n">
        <v>1627</v>
      </c>
      <c r="D310" s="11" t="n">
        <v>630104</v>
      </c>
      <c r="E310" s="11" t="inlineStr">
        <is>
          <t>A</t>
        </is>
      </c>
      <c r="F310" s="11" t="n">
        <v>15</v>
      </c>
      <c r="G310" s="33" t="n">
        <v>1</v>
      </c>
      <c r="H310" s="11" t="inlineStr">
        <is>
          <t>Đã mở</t>
        </is>
      </c>
      <c r="I310" s="11" t="n"/>
      <c r="J310" s="11" t="inlineStr">
        <is>
          <t>GHN B2B Đắk Nông (sắp mở)</t>
        </is>
      </c>
      <c r="K310" s="11" t="inlineStr">
        <is>
          <t>15to30</t>
        </is>
      </c>
      <c r="L310" s="13" t="n">
        <v>221.6890258342622</v>
      </c>
      <c r="M310" s="13" t="n">
        <v>273.7308860994264</v>
      </c>
      <c r="N310" s="13" t="n">
        <v>298.6822843956109</v>
      </c>
      <c r="O310" s="13" t="n">
        <v>346.7597674059016</v>
      </c>
      <c r="P310" s="13" t="n">
        <v>366.7648504843113</v>
      </c>
      <c r="Q310" s="13" t="n">
        <v>389.7701058340213</v>
      </c>
      <c r="R310" s="13" t="n">
        <v>1897.396920053533</v>
      </c>
    </row>
    <row r="311" ht="15.75" customHeight="1" s="57">
      <c r="A311" s="11" t="inlineStr">
        <is>
          <t>NTB</t>
        </is>
      </c>
      <c r="B311" s="11" t="inlineStr">
        <is>
          <t>Đắk Nông</t>
        </is>
      </c>
      <c r="C311" s="49" t="n">
        <v>1627</v>
      </c>
      <c r="D311" s="11" t="n">
        <v>630104</v>
      </c>
      <c r="E311" s="11" t="inlineStr">
        <is>
          <t>A</t>
        </is>
      </c>
      <c r="F311" s="11" t="n">
        <v>15</v>
      </c>
      <c r="G311" s="33" t="n">
        <v>1</v>
      </c>
      <c r="H311" s="11" t="inlineStr">
        <is>
          <t>Đã mở</t>
        </is>
      </c>
      <c r="I311" s="11" t="n"/>
      <c r="J311" s="11" t="inlineStr">
        <is>
          <t>GHN B2B Đắk Nông (sắp mở)</t>
        </is>
      </c>
      <c r="K311" s="11" t="inlineStr">
        <is>
          <t>gte30</t>
        </is>
      </c>
      <c r="L311" s="13" t="n">
        <v>125.8044033588104</v>
      </c>
      <c r="M311" s="13" t="n">
        <v>153.9957170614705</v>
      </c>
      <c r="N311" s="13" t="n">
        <v>167.6396075545897</v>
      </c>
      <c r="O311" s="13" t="n">
        <v>194.3560311966632</v>
      </c>
      <c r="P311" s="13" t="n">
        <v>206.0911372559869</v>
      </c>
      <c r="Q311" s="13" t="n">
        <v>219.5924391314996</v>
      </c>
      <c r="R311" s="13" t="n">
        <v>1067.47933555902</v>
      </c>
    </row>
    <row r="312" ht="15.75" customHeight="1" s="57">
      <c r="A312" s="11" t="inlineStr">
        <is>
          <t>NTB</t>
        </is>
      </c>
      <c r="B312" s="11" t="inlineStr">
        <is>
          <t>Đắk Nông</t>
        </is>
      </c>
      <c r="C312" s="49" t="n">
        <v>1627</v>
      </c>
      <c r="D312" s="11" t="n">
        <v>630105</v>
      </c>
      <c r="E312" s="11" t="inlineStr">
        <is>
          <t>A</t>
        </is>
      </c>
      <c r="F312" s="11" t="n">
        <v>15</v>
      </c>
      <c r="G312" s="33" t="n">
        <v>1</v>
      </c>
      <c r="H312" s="11" t="inlineStr">
        <is>
          <t>Đã mở</t>
        </is>
      </c>
      <c r="I312" s="11" t="n"/>
      <c r="J312" s="11" t="inlineStr">
        <is>
          <t>GHN B2B Đắk Nông (sắp mở)</t>
        </is>
      </c>
      <c r="K312" s="11" t="inlineStr">
        <is>
          <t>15to30</t>
        </is>
      </c>
      <c r="L312" s="13" t="n">
        <v>213.3094793293983</v>
      </c>
      <c r="M312" s="13" t="n">
        <v>261.2249060882843</v>
      </c>
      <c r="N312" s="13" t="n">
        <v>283.7874424582191</v>
      </c>
      <c r="O312" s="13" t="n">
        <v>328.392419214297</v>
      </c>
      <c r="P312" s="13" t="n">
        <v>348.4134845970592</v>
      </c>
      <c r="Q312" s="13" t="n">
        <v>371.6406076149983</v>
      </c>
      <c r="R312" s="13" t="n">
        <v>1806.768339302256</v>
      </c>
    </row>
    <row r="313" ht="15.75" customHeight="1" s="57">
      <c r="A313" s="11" t="inlineStr">
        <is>
          <t>NTB</t>
        </is>
      </c>
      <c r="B313" s="11" t="inlineStr">
        <is>
          <t>Đắk Nông</t>
        </is>
      </c>
      <c r="C313" s="49" t="n">
        <v>1627</v>
      </c>
      <c r="D313" s="11" t="n">
        <v>630105</v>
      </c>
      <c r="E313" s="11" t="inlineStr">
        <is>
          <t>A</t>
        </is>
      </c>
      <c r="F313" s="11" t="n">
        <v>15</v>
      </c>
      <c r="G313" s="33" t="n">
        <v>1</v>
      </c>
      <c r="H313" s="11" t="inlineStr">
        <is>
          <t>Đã mở</t>
        </is>
      </c>
      <c r="I313" s="11" t="n"/>
      <c r="J313" s="11" t="inlineStr">
        <is>
          <t>GHN B2B Đắk Nông (sắp mở)</t>
        </is>
      </c>
      <c r="K313" s="11" t="inlineStr">
        <is>
          <t>gte30</t>
        </is>
      </c>
      <c r="L313" s="13" t="n">
        <v>85.22188696506284</v>
      </c>
      <c r="M313" s="13" t="n">
        <v>104.9244251800281</v>
      </c>
      <c r="N313" s="13" t="n">
        <v>114.5408691968838</v>
      </c>
      <c r="O313" s="13" t="n">
        <v>133.0665514130301</v>
      </c>
      <c r="P313" s="13" t="n">
        <v>140.8252450700923</v>
      </c>
      <c r="Q313" s="13" t="n">
        <v>149.700203431803</v>
      </c>
      <c r="R313" s="13" t="n">
        <v>728.2791812569003</v>
      </c>
    </row>
    <row r="314" ht="15.75" customHeight="1" s="57">
      <c r="A314" s="11" t="inlineStr">
        <is>
          <t>NTB</t>
        </is>
      </c>
      <c r="B314" s="11" t="inlineStr">
        <is>
          <t>Đắk Nông</t>
        </is>
      </c>
      <c r="C314" s="49" t="n">
        <v>1790</v>
      </c>
      <c r="D314" s="11" t="n">
        <v>630201</v>
      </c>
      <c r="E314" s="11" t="inlineStr">
        <is>
          <t>A</t>
        </is>
      </c>
      <c r="F314" s="11" t="n">
        <v>15</v>
      </c>
      <c r="G314" s="33" t="n">
        <v>1</v>
      </c>
      <c r="H314" s="11" t="inlineStr">
        <is>
          <t>Đã mở</t>
        </is>
      </c>
      <c r="I314" s="11" t="n"/>
      <c r="J314" s="11" t="inlineStr">
        <is>
          <t>GHN B2B Đắk Nông (sắp mở)</t>
        </is>
      </c>
      <c r="K314" s="11" t="inlineStr">
        <is>
          <t>15to30</t>
        </is>
      </c>
      <c r="L314" s="13" t="n">
        <v>267.2210400330951</v>
      </c>
      <c r="M314" s="13" t="n">
        <v>323.0646394306342</v>
      </c>
      <c r="N314" s="13" t="n">
        <v>348.5243170767455</v>
      </c>
      <c r="O314" s="13" t="n">
        <v>401.1775700454235</v>
      </c>
      <c r="P314" s="13" t="n">
        <v>427.598746648836</v>
      </c>
      <c r="Q314" s="13" t="n">
        <v>458.6719993795707</v>
      </c>
      <c r="R314" s="13" t="n">
        <v>2226.258312614304</v>
      </c>
    </row>
    <row r="315" ht="15.75" customHeight="1" s="57">
      <c r="A315" s="11" t="inlineStr">
        <is>
          <t>NTB</t>
        </is>
      </c>
      <c r="B315" s="11" t="inlineStr">
        <is>
          <t>Đắk Nông</t>
        </is>
      </c>
      <c r="C315" s="49" t="n">
        <v>1790</v>
      </c>
      <c r="D315" s="11" t="n">
        <v>630201</v>
      </c>
      <c r="E315" s="11" t="inlineStr">
        <is>
          <t>A</t>
        </is>
      </c>
      <c r="F315" s="11" t="n">
        <v>15</v>
      </c>
      <c r="G315" s="33" t="n">
        <v>1</v>
      </c>
      <c r="H315" s="11" t="inlineStr">
        <is>
          <t>Đã mở</t>
        </is>
      </c>
      <c r="I315" s="11" t="n"/>
      <c r="J315" s="11" t="inlineStr">
        <is>
          <t>GHN B2B Đắk Nông (sắp mở)</t>
        </is>
      </c>
      <c r="K315" s="11" t="inlineStr">
        <is>
          <t>gte30</t>
        </is>
      </c>
      <c r="L315" s="13" t="n">
        <v>117.3468951184458</v>
      </c>
      <c r="M315" s="13" t="n">
        <v>140.8958292355719</v>
      </c>
      <c r="N315" s="13" t="n">
        <v>151.925720240529</v>
      </c>
      <c r="O315" s="13" t="n">
        <v>174.9056021967852</v>
      </c>
      <c r="P315" s="13" t="n">
        <v>186.7179720362035</v>
      </c>
      <c r="Q315" s="13" t="n">
        <v>200.5417176505001</v>
      </c>
      <c r="R315" s="13" t="n">
        <v>972.3337364780355</v>
      </c>
    </row>
    <row r="316" ht="15.75" customHeight="1" s="57">
      <c r="A316" s="11" t="inlineStr">
        <is>
          <t>NTB</t>
        </is>
      </c>
      <c r="B316" s="11" t="inlineStr">
        <is>
          <t>Đắk Nông</t>
        </is>
      </c>
      <c r="C316" s="49" t="n">
        <v>1790</v>
      </c>
      <c r="D316" s="11" t="n">
        <v>630204</v>
      </c>
      <c r="E316" s="11" t="inlineStr">
        <is>
          <t>A</t>
        </is>
      </c>
      <c r="F316" s="11" t="n">
        <v>15</v>
      </c>
      <c r="G316" s="33" t="n">
        <v>1</v>
      </c>
      <c r="H316" s="11" t="inlineStr">
        <is>
          <t>Đã mở</t>
        </is>
      </c>
      <c r="I316" s="11" t="n"/>
      <c r="J316" s="11" t="inlineStr">
        <is>
          <t>GHN B2B Đắk Nông (sắp mở)</t>
        </is>
      </c>
      <c r="K316" s="11" t="inlineStr">
        <is>
          <t>15to30</t>
        </is>
      </c>
      <c r="L316" s="13" t="n">
        <v>137.5777754541376</v>
      </c>
      <c r="M316" s="13" t="n">
        <v>168.4517342929837</v>
      </c>
      <c r="N316" s="13" t="n">
        <v>182.9827001951145</v>
      </c>
      <c r="O316" s="13" t="n">
        <v>211.7245630088284</v>
      </c>
      <c r="P316" s="13" t="n">
        <v>224.6166356516258</v>
      </c>
      <c r="Q316" s="13" t="n">
        <v>239.5844718270558</v>
      </c>
      <c r="R316" s="13" t="n">
        <v>1164.937880429746</v>
      </c>
    </row>
    <row r="317" ht="15.75" customHeight="1" s="57">
      <c r="A317" s="11" t="inlineStr">
        <is>
          <t>NTB</t>
        </is>
      </c>
      <c r="B317" s="11" t="inlineStr">
        <is>
          <t>Đắk Nông</t>
        </is>
      </c>
      <c r="C317" s="49" t="n">
        <v>1790</v>
      </c>
      <c r="D317" s="11" t="n">
        <v>630204</v>
      </c>
      <c r="E317" s="11" t="inlineStr">
        <is>
          <t>A</t>
        </is>
      </c>
      <c r="F317" s="11" t="n">
        <v>15</v>
      </c>
      <c r="G317" s="33" t="n">
        <v>1</v>
      </c>
      <c r="H317" s="11" t="inlineStr">
        <is>
          <t>Đã mở</t>
        </is>
      </c>
      <c r="I317" s="11" t="n"/>
      <c r="J317" s="11" t="inlineStr">
        <is>
          <t>GHN B2B Đắk Nông (sắp mở)</t>
        </is>
      </c>
      <c r="K317" s="11" t="inlineStr">
        <is>
          <t>gte30</t>
        </is>
      </c>
      <c r="L317" s="13" t="n">
        <v>54.35907977275535</v>
      </c>
      <c r="M317" s="13" t="n">
        <v>66.61424915247468</v>
      </c>
      <c r="N317" s="13" t="n">
        <v>72.55532619244056</v>
      </c>
      <c r="O317" s="13" t="n">
        <v>84.15149895513156</v>
      </c>
      <c r="P317" s="13" t="n">
        <v>89.19883516608125</v>
      </c>
      <c r="Q317" s="13" t="n">
        <v>94.99953728662246</v>
      </c>
      <c r="R317" s="13" t="n">
        <v>461.8785265255059</v>
      </c>
    </row>
    <row r="318" ht="15.75" customHeight="1" s="57">
      <c r="A318" s="11" t="inlineStr">
        <is>
          <t>NTB</t>
        </is>
      </c>
      <c r="B318" s="11" t="inlineStr">
        <is>
          <t>Đắk Nông</t>
        </is>
      </c>
      <c r="C318" s="49" t="n">
        <v>1790</v>
      </c>
      <c r="D318" s="11" t="n">
        <v>630209</v>
      </c>
      <c r="E318" s="11" t="inlineStr">
        <is>
          <t>A</t>
        </is>
      </c>
      <c r="F318" s="11" t="n">
        <v>15</v>
      </c>
      <c r="G318" s="33" t="n">
        <v>1</v>
      </c>
      <c r="H318" s="11" t="inlineStr">
        <is>
          <t>Đã mở</t>
        </is>
      </c>
      <c r="I318" s="11" t="n"/>
      <c r="J318" s="11" t="inlineStr">
        <is>
          <t>GHN B2B Đắk Nông (sắp mở)</t>
        </is>
      </c>
      <c r="K318" s="11" t="inlineStr">
        <is>
          <t>15to30</t>
        </is>
      </c>
      <c r="L318" s="13" t="n">
        <v>197.9583736928326</v>
      </c>
      <c r="M318" s="13" t="n">
        <v>241.5446100888776</v>
      </c>
      <c r="N318" s="13" t="n">
        <v>261.8925649988805</v>
      </c>
      <c r="O318" s="13" t="n">
        <v>302.6084107069978</v>
      </c>
      <c r="P318" s="13" t="n">
        <v>321.47312129724</v>
      </c>
      <c r="Q318" s="13" t="n">
        <v>343.4468237546284</v>
      </c>
      <c r="R318" s="13" t="n">
        <v>1668.923904539457</v>
      </c>
    </row>
    <row r="319" ht="15.75" customHeight="1" s="57">
      <c r="A319" s="11" t="inlineStr">
        <is>
          <t>NTB</t>
        </is>
      </c>
      <c r="B319" s="11" t="inlineStr">
        <is>
          <t>Đắk Nông</t>
        </is>
      </c>
      <c r="C319" s="49" t="n">
        <v>1790</v>
      </c>
      <c r="D319" s="11" t="n">
        <v>630209</v>
      </c>
      <c r="E319" s="11" t="inlineStr">
        <is>
          <t>A</t>
        </is>
      </c>
      <c r="F319" s="11" t="n">
        <v>15</v>
      </c>
      <c r="G319" s="33" t="n">
        <v>1</v>
      </c>
      <c r="H319" s="11" t="inlineStr">
        <is>
          <t>Đã mở</t>
        </is>
      </c>
      <c r="I319" s="11" t="n"/>
      <c r="J319" s="11" t="inlineStr">
        <is>
          <t>GHN B2B Đắk Nông (sắp mở)</t>
        </is>
      </c>
      <c r="K319" s="11" t="inlineStr">
        <is>
          <t>gte30</t>
        </is>
      </c>
      <c r="L319" s="13" t="n">
        <v>84.67012874694265</v>
      </c>
      <c r="M319" s="13" t="n">
        <v>102.2954853078921</v>
      </c>
      <c r="N319" s="13" t="n">
        <v>110.6455012036167</v>
      </c>
      <c r="O319" s="13" t="n">
        <v>127.674115974105</v>
      </c>
      <c r="P319" s="13" t="n">
        <v>135.9972983129522</v>
      </c>
      <c r="Q319" s="13" t="n">
        <v>145.6877857419691</v>
      </c>
      <c r="R319" s="13" t="n">
        <v>706.9703152874777</v>
      </c>
    </row>
    <row r="320" ht="15.75" customHeight="1" s="57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49" t="n"/>
      <c r="L320" s="49" t="n"/>
      <c r="M320" s="49" t="n"/>
      <c r="N320" s="49" t="n"/>
      <c r="O320" s="49" t="n"/>
      <c r="P320" s="49" t="n"/>
      <c r="Q320" s="49" t="n"/>
      <c r="R320" s="49" t="n"/>
    </row>
    <row r="321" ht="15.75" customHeight="1" s="57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49" t="n"/>
      <c r="L321" s="49" t="n"/>
      <c r="M321" s="49" t="n"/>
      <c r="N321" s="49" t="n"/>
      <c r="O321" s="49" t="n"/>
      <c r="P321" s="49" t="n"/>
      <c r="Q321" s="49" t="n"/>
      <c r="R321" s="49" t="n"/>
    </row>
    <row r="322" ht="15.75" customHeight="1" s="57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49" t="n"/>
      <c r="L322" s="49" t="n"/>
      <c r="M322" s="49" t="n"/>
      <c r="N322" s="49" t="n"/>
      <c r="O322" s="49" t="n"/>
      <c r="P322" s="49" t="n"/>
      <c r="Q322" s="49" t="n"/>
      <c r="R322" s="49" t="n"/>
    </row>
    <row r="323" ht="15.75" customHeight="1" s="57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49" t="n"/>
      <c r="L323" s="49" t="n"/>
      <c r="M323" s="49" t="n"/>
      <c r="N323" s="49" t="n"/>
      <c r="O323" s="49" t="n"/>
      <c r="P323" s="49" t="n"/>
      <c r="Q323" s="49" t="n"/>
      <c r="R323" s="49" t="n"/>
    </row>
    <row r="324" ht="15.75" customHeight="1" s="57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49" t="n"/>
      <c r="L324" s="49" t="n"/>
      <c r="M324" s="49" t="n"/>
      <c r="N324" s="49" t="n"/>
      <c r="O324" s="49" t="n"/>
      <c r="P324" s="49" t="n"/>
      <c r="Q324" s="49" t="n"/>
      <c r="R324" s="49" t="n"/>
    </row>
    <row r="325" ht="15.75" customHeight="1" s="57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49" t="n"/>
      <c r="L325" s="49" t="n"/>
      <c r="M325" s="49" t="n"/>
      <c r="N325" s="49" t="n"/>
      <c r="O325" s="49" t="n"/>
      <c r="P325" s="49" t="n"/>
      <c r="Q325" s="49" t="n"/>
      <c r="R325" s="49" t="n"/>
    </row>
    <row r="326" ht="15.75" customHeight="1" s="57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49" t="n"/>
      <c r="L326" s="49" t="n"/>
      <c r="M326" s="49" t="n"/>
      <c r="N326" s="49" t="n"/>
      <c r="O326" s="49" t="n"/>
      <c r="P326" s="49" t="n"/>
      <c r="Q326" s="49" t="n"/>
      <c r="R326" s="49" t="n"/>
    </row>
    <row r="327" ht="15.75" customHeight="1" s="57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49" t="n"/>
      <c r="L327" s="49" t="n"/>
      <c r="M327" s="49" t="n"/>
      <c r="N327" s="49" t="n"/>
      <c r="O327" s="49" t="n"/>
      <c r="P327" s="49" t="n"/>
      <c r="Q327" s="49" t="n"/>
      <c r="R327" s="49" t="n"/>
    </row>
    <row r="328" ht="15.75" customHeight="1" s="57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49" t="n"/>
      <c r="L328" s="49" t="n"/>
      <c r="M328" s="49" t="n"/>
      <c r="N328" s="49" t="n"/>
      <c r="O328" s="49" t="n"/>
      <c r="P328" s="49" t="n"/>
      <c r="Q328" s="49" t="n"/>
      <c r="R328" s="49" t="n"/>
    </row>
    <row r="329" ht="15.75" customHeight="1" s="57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49" t="n"/>
      <c r="L329" s="49" t="n"/>
      <c r="M329" s="49" t="n"/>
      <c r="N329" s="49" t="n"/>
      <c r="O329" s="49" t="n"/>
      <c r="P329" s="49" t="n"/>
      <c r="Q329" s="49" t="n"/>
      <c r="R329" s="49" t="n"/>
    </row>
    <row r="330" ht="15.75" customHeight="1" s="57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49" t="n"/>
      <c r="L330" s="49" t="n"/>
      <c r="M330" s="49" t="n"/>
      <c r="N330" s="49" t="n"/>
      <c r="O330" s="49" t="n"/>
      <c r="P330" s="49" t="n"/>
      <c r="Q330" s="49" t="n"/>
      <c r="R330" s="49" t="n"/>
    </row>
    <row r="331" ht="15.75" customHeight="1" s="57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49" t="n"/>
      <c r="L331" s="49" t="n"/>
      <c r="M331" s="49" t="n"/>
      <c r="N331" s="49" t="n"/>
      <c r="O331" s="49" t="n"/>
      <c r="P331" s="49" t="n"/>
      <c r="Q331" s="49" t="n"/>
      <c r="R331" s="49" t="n"/>
    </row>
    <row r="332" ht="15.75" customHeight="1" s="57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49" t="n"/>
      <c r="L332" s="49" t="n"/>
      <c r="M332" s="49" t="n"/>
      <c r="N332" s="49" t="n"/>
      <c r="O332" s="49" t="n"/>
      <c r="P332" s="49" t="n"/>
      <c r="Q332" s="49" t="n"/>
      <c r="R332" s="49" t="n"/>
    </row>
    <row r="333" ht="15.75" customHeight="1" s="57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49" t="n"/>
      <c r="L333" s="49" t="n"/>
      <c r="M333" s="49" t="n"/>
      <c r="N333" s="49" t="n"/>
      <c r="O333" s="49" t="n"/>
      <c r="P333" s="49" t="n"/>
      <c r="Q333" s="49" t="n"/>
      <c r="R333" s="49" t="n"/>
    </row>
    <row r="334" ht="15.75" customHeight="1" s="57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49" t="n"/>
      <c r="L334" s="49" t="n"/>
      <c r="M334" s="49" t="n"/>
      <c r="N334" s="49" t="n"/>
      <c r="O334" s="49" t="n"/>
      <c r="P334" s="49" t="n"/>
      <c r="Q334" s="49" t="n"/>
      <c r="R334" s="49" t="n"/>
    </row>
    <row r="335" ht="15.75" customHeight="1" s="57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49" t="n"/>
      <c r="L335" s="49" t="n"/>
      <c r="M335" s="49" t="n"/>
      <c r="N335" s="49" t="n"/>
      <c r="O335" s="49" t="n"/>
      <c r="P335" s="49" t="n"/>
      <c r="Q335" s="49" t="n"/>
      <c r="R335" s="49" t="n"/>
    </row>
    <row r="336" ht="15.75" customHeight="1" s="57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49" t="n"/>
      <c r="L336" s="49" t="n"/>
      <c r="M336" s="49" t="n"/>
      <c r="N336" s="49" t="n"/>
      <c r="O336" s="49" t="n"/>
      <c r="P336" s="49" t="n"/>
      <c r="Q336" s="49" t="n"/>
      <c r="R336" s="49" t="n"/>
    </row>
    <row r="337" ht="15.75" customHeight="1" s="57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49" t="n"/>
      <c r="L337" s="49" t="n"/>
      <c r="M337" s="49" t="n"/>
      <c r="N337" s="49" t="n"/>
      <c r="O337" s="49" t="n"/>
      <c r="P337" s="49" t="n"/>
      <c r="Q337" s="49" t="n"/>
      <c r="R337" s="49" t="n"/>
    </row>
    <row r="338" ht="15.75" customHeight="1" s="57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49" t="n"/>
      <c r="L338" s="49" t="n"/>
      <c r="M338" s="49" t="n"/>
      <c r="N338" s="49" t="n"/>
      <c r="O338" s="49" t="n"/>
      <c r="P338" s="49" t="n"/>
      <c r="Q338" s="49" t="n"/>
      <c r="R338" s="49" t="n"/>
    </row>
    <row r="339" ht="15.75" customHeight="1" s="57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49" t="n"/>
      <c r="L339" s="49" t="n"/>
      <c r="M339" s="49" t="n"/>
      <c r="N339" s="49" t="n"/>
      <c r="O339" s="49" t="n"/>
      <c r="P339" s="49" t="n"/>
      <c r="Q339" s="49" t="n"/>
      <c r="R339" s="49" t="n"/>
    </row>
    <row r="340" ht="15.75" customHeight="1" s="57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49" t="n"/>
      <c r="L340" s="49" t="n"/>
      <c r="M340" s="49" t="n"/>
      <c r="N340" s="49" t="n"/>
      <c r="O340" s="49" t="n"/>
      <c r="P340" s="49" t="n"/>
      <c r="Q340" s="49" t="n"/>
      <c r="R340" s="49" t="n"/>
    </row>
    <row r="341" ht="15.75" customHeight="1" s="57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49" t="n"/>
      <c r="L341" s="49" t="n"/>
      <c r="M341" s="49" t="n"/>
      <c r="N341" s="49" t="n"/>
      <c r="O341" s="49" t="n"/>
      <c r="P341" s="49" t="n"/>
      <c r="Q341" s="49" t="n"/>
      <c r="R341" s="49" t="n"/>
    </row>
    <row r="342" ht="15.75" customHeight="1" s="57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49" t="n"/>
      <c r="L342" s="49" t="n"/>
      <c r="M342" s="49" t="n"/>
      <c r="N342" s="49" t="n"/>
      <c r="O342" s="49" t="n"/>
      <c r="P342" s="49" t="n"/>
      <c r="Q342" s="49" t="n"/>
      <c r="R342" s="49" t="n"/>
    </row>
    <row r="343" ht="15.75" customHeight="1" s="57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49" t="n"/>
      <c r="L343" s="49" t="n"/>
      <c r="M343" s="49" t="n"/>
      <c r="N343" s="49" t="n"/>
      <c r="O343" s="49" t="n"/>
      <c r="P343" s="49" t="n"/>
      <c r="Q343" s="49" t="n"/>
      <c r="R343" s="49" t="n"/>
    </row>
    <row r="344" ht="15.75" customHeight="1" s="57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49" t="n"/>
      <c r="L344" s="49" t="n"/>
      <c r="M344" s="49" t="n"/>
      <c r="N344" s="49" t="n"/>
      <c r="O344" s="49" t="n"/>
      <c r="P344" s="49" t="n"/>
      <c r="Q344" s="49" t="n"/>
      <c r="R344" s="49" t="n"/>
    </row>
    <row r="345" ht="15.75" customHeight="1" s="57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49" t="n"/>
      <c r="L345" s="49" t="n"/>
      <c r="M345" s="49" t="n"/>
      <c r="N345" s="49" t="n"/>
      <c r="O345" s="49" t="n"/>
      <c r="P345" s="49" t="n"/>
      <c r="Q345" s="49" t="n"/>
      <c r="R345" s="49" t="n"/>
    </row>
    <row r="346" ht="15.75" customHeight="1" s="57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49" t="n"/>
      <c r="L346" s="49" t="n"/>
      <c r="M346" s="49" t="n"/>
      <c r="N346" s="49" t="n"/>
      <c r="O346" s="49" t="n"/>
      <c r="P346" s="49" t="n"/>
      <c r="Q346" s="49" t="n"/>
      <c r="R346" s="49" t="n"/>
    </row>
    <row r="347" ht="15.75" customHeight="1" s="57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49" t="n"/>
      <c r="L347" s="49" t="n"/>
      <c r="M347" s="49" t="n"/>
      <c r="N347" s="49" t="n"/>
      <c r="O347" s="49" t="n"/>
      <c r="P347" s="49" t="n"/>
      <c r="Q347" s="49" t="n"/>
      <c r="R347" s="49" t="n"/>
    </row>
    <row r="348" ht="15.75" customHeight="1" s="57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49" t="n"/>
      <c r="L348" s="49" t="n"/>
      <c r="M348" s="49" t="n"/>
      <c r="N348" s="49" t="n"/>
      <c r="O348" s="49" t="n"/>
      <c r="P348" s="49" t="n"/>
      <c r="Q348" s="49" t="n"/>
      <c r="R348" s="49" t="n"/>
    </row>
    <row r="349" ht="15.75" customHeight="1" s="57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49" t="n"/>
      <c r="L349" s="49" t="n"/>
      <c r="M349" s="49" t="n"/>
      <c r="N349" s="49" t="n"/>
      <c r="O349" s="49" t="n"/>
      <c r="P349" s="49" t="n"/>
      <c r="Q349" s="49" t="n"/>
      <c r="R349" s="49" t="n"/>
    </row>
    <row r="350" ht="15.75" customHeight="1" s="57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49" t="n"/>
      <c r="L350" s="49" t="n"/>
      <c r="M350" s="49" t="n"/>
      <c r="N350" s="49" t="n"/>
      <c r="O350" s="49" t="n"/>
      <c r="P350" s="49" t="n"/>
      <c r="Q350" s="49" t="n"/>
      <c r="R350" s="49" t="n"/>
    </row>
    <row r="351" ht="15.75" customHeight="1" s="57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49" t="n"/>
      <c r="L351" s="49" t="n"/>
      <c r="M351" s="49" t="n"/>
      <c r="N351" s="49" t="n"/>
      <c r="O351" s="49" t="n"/>
      <c r="P351" s="49" t="n"/>
      <c r="Q351" s="49" t="n"/>
      <c r="R351" s="49" t="n"/>
    </row>
    <row r="352" ht="15.75" customHeight="1" s="57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49" t="n"/>
      <c r="L352" s="49" t="n"/>
      <c r="M352" s="49" t="n"/>
      <c r="N352" s="49" t="n"/>
      <c r="O352" s="49" t="n"/>
      <c r="P352" s="49" t="n"/>
      <c r="Q352" s="49" t="n"/>
      <c r="R352" s="49" t="n"/>
    </row>
    <row r="353" ht="15.75" customHeight="1" s="57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49" t="n"/>
      <c r="L353" s="49" t="n"/>
      <c r="M353" s="49" t="n"/>
      <c r="N353" s="49" t="n"/>
      <c r="O353" s="49" t="n"/>
      <c r="P353" s="49" t="n"/>
      <c r="Q353" s="49" t="n"/>
      <c r="R353" s="49" t="n"/>
    </row>
    <row r="354" ht="15.75" customHeight="1" s="57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49" t="n"/>
      <c r="L354" s="49" t="n"/>
      <c r="M354" s="49" t="n"/>
      <c r="N354" s="49" t="n"/>
      <c r="O354" s="49" t="n"/>
      <c r="P354" s="49" t="n"/>
      <c r="Q354" s="49" t="n"/>
      <c r="R354" s="49" t="n"/>
    </row>
    <row r="355" ht="15.75" customHeight="1" s="57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49" t="n"/>
      <c r="L355" s="49" t="n"/>
      <c r="M355" s="49" t="n"/>
      <c r="N355" s="49" t="n"/>
      <c r="O355" s="49" t="n"/>
      <c r="P355" s="49" t="n"/>
      <c r="Q355" s="49" t="n"/>
      <c r="R355" s="49" t="n"/>
    </row>
    <row r="356" ht="15.75" customHeight="1" s="57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49" t="n"/>
      <c r="L356" s="49" t="n"/>
      <c r="M356" s="49" t="n"/>
      <c r="N356" s="49" t="n"/>
      <c r="O356" s="49" t="n"/>
      <c r="P356" s="49" t="n"/>
      <c r="Q356" s="49" t="n"/>
      <c r="R356" s="49" t="n"/>
    </row>
    <row r="357" ht="15.75" customHeight="1" s="57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49" t="n"/>
      <c r="L357" s="49" t="n"/>
      <c r="M357" s="49" t="n"/>
      <c r="N357" s="49" t="n"/>
      <c r="O357" s="49" t="n"/>
      <c r="P357" s="49" t="n"/>
      <c r="Q357" s="49" t="n"/>
      <c r="R357" s="49" t="n"/>
    </row>
    <row r="358" ht="15.75" customHeight="1" s="57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49" t="n"/>
      <c r="L358" s="49" t="n"/>
      <c r="M358" s="49" t="n"/>
      <c r="N358" s="49" t="n"/>
      <c r="O358" s="49" t="n"/>
      <c r="P358" s="49" t="n"/>
      <c r="Q358" s="49" t="n"/>
      <c r="R358" s="49" t="n"/>
    </row>
    <row r="359" ht="15.75" customHeight="1" s="57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49" t="n"/>
      <c r="L359" s="49" t="n"/>
      <c r="M359" s="49" t="n"/>
      <c r="N359" s="49" t="n"/>
      <c r="O359" s="49" t="n"/>
      <c r="P359" s="49" t="n"/>
      <c r="Q359" s="49" t="n"/>
      <c r="R359" s="49" t="n"/>
    </row>
    <row r="360" ht="15.75" customHeight="1" s="57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49" t="n"/>
      <c r="L360" s="49" t="n"/>
      <c r="M360" s="49" t="n"/>
      <c r="N360" s="49" t="n"/>
      <c r="O360" s="49" t="n"/>
      <c r="P360" s="49" t="n"/>
      <c r="Q360" s="49" t="n"/>
      <c r="R360" s="49" t="n"/>
    </row>
    <row r="361" ht="15.75" customHeight="1" s="57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49" t="n"/>
      <c r="L361" s="49" t="n"/>
      <c r="M361" s="49" t="n"/>
      <c r="N361" s="49" t="n"/>
      <c r="O361" s="49" t="n"/>
      <c r="P361" s="49" t="n"/>
      <c r="Q361" s="49" t="n"/>
      <c r="R361" s="49" t="n"/>
    </row>
    <row r="362" ht="15.75" customHeight="1" s="57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49" t="n"/>
      <c r="L362" s="49" t="n"/>
      <c r="M362" s="49" t="n"/>
      <c r="N362" s="49" t="n"/>
      <c r="O362" s="49" t="n"/>
      <c r="P362" s="49" t="n"/>
      <c r="Q362" s="49" t="n"/>
      <c r="R362" s="49" t="n"/>
    </row>
    <row r="363" ht="15.75" customHeight="1" s="57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49" t="n"/>
      <c r="L363" s="49" t="n"/>
      <c r="M363" s="49" t="n"/>
      <c r="N363" s="49" t="n"/>
      <c r="O363" s="49" t="n"/>
      <c r="P363" s="49" t="n"/>
      <c r="Q363" s="49" t="n"/>
      <c r="R363" s="49" t="n"/>
    </row>
    <row r="364" ht="15.75" customHeight="1" s="57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49" t="n"/>
      <c r="L364" s="49" t="n"/>
      <c r="M364" s="49" t="n"/>
      <c r="N364" s="49" t="n"/>
      <c r="O364" s="49" t="n"/>
      <c r="P364" s="49" t="n"/>
      <c r="Q364" s="49" t="n"/>
      <c r="R364" s="49" t="n"/>
    </row>
    <row r="365" ht="15.75" customHeight="1" s="57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49" t="n"/>
      <c r="L365" s="49" t="n"/>
      <c r="M365" s="49" t="n"/>
      <c r="N365" s="49" t="n"/>
      <c r="O365" s="49" t="n"/>
      <c r="P365" s="49" t="n"/>
      <c r="Q365" s="49" t="n"/>
      <c r="R365" s="49" t="n"/>
    </row>
    <row r="366" ht="15.75" customHeight="1" s="57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49" t="n"/>
      <c r="L366" s="49" t="n"/>
      <c r="M366" s="49" t="n"/>
      <c r="N366" s="49" t="n"/>
      <c r="O366" s="49" t="n"/>
      <c r="P366" s="49" t="n"/>
      <c r="Q366" s="49" t="n"/>
      <c r="R366" s="49" t="n"/>
    </row>
    <row r="367" ht="15.75" customHeight="1" s="57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49" t="n"/>
      <c r="L367" s="49" t="n"/>
      <c r="M367" s="49" t="n"/>
      <c r="N367" s="49" t="n"/>
      <c r="O367" s="49" t="n"/>
      <c r="P367" s="49" t="n"/>
      <c r="Q367" s="49" t="n"/>
      <c r="R367" s="49" t="n"/>
    </row>
    <row r="368" ht="15.75" customHeight="1" s="57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49" t="n"/>
      <c r="L368" s="49" t="n"/>
      <c r="M368" s="49" t="n"/>
      <c r="N368" s="49" t="n"/>
      <c r="O368" s="49" t="n"/>
      <c r="P368" s="49" t="n"/>
      <c r="Q368" s="49" t="n"/>
      <c r="R368" s="49" t="n"/>
    </row>
    <row r="369" ht="15.75" customHeight="1" s="57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49" t="n"/>
      <c r="L369" s="49" t="n"/>
      <c r="M369" s="49" t="n"/>
      <c r="N369" s="49" t="n"/>
      <c r="O369" s="49" t="n"/>
      <c r="P369" s="49" t="n"/>
      <c r="Q369" s="49" t="n"/>
      <c r="R369" s="49" t="n"/>
    </row>
    <row r="370" ht="15.75" customHeight="1" s="57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49" t="n"/>
      <c r="L370" s="49" t="n"/>
      <c r="M370" s="49" t="n"/>
      <c r="N370" s="49" t="n"/>
      <c r="O370" s="49" t="n"/>
      <c r="P370" s="49" t="n"/>
      <c r="Q370" s="49" t="n"/>
      <c r="R370" s="49" t="n"/>
    </row>
    <row r="371" ht="15.75" customHeight="1" s="57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49" t="n"/>
      <c r="L371" s="49" t="n"/>
      <c r="M371" s="49" t="n"/>
      <c r="N371" s="49" t="n"/>
      <c r="O371" s="49" t="n"/>
      <c r="P371" s="49" t="n"/>
      <c r="Q371" s="49" t="n"/>
      <c r="R371" s="49" t="n"/>
    </row>
    <row r="372" ht="15.75" customHeight="1" s="57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49" t="n"/>
      <c r="L372" s="49" t="n"/>
      <c r="M372" s="49" t="n"/>
      <c r="N372" s="49" t="n"/>
      <c r="O372" s="49" t="n"/>
      <c r="P372" s="49" t="n"/>
      <c r="Q372" s="49" t="n"/>
      <c r="R372" s="49" t="n"/>
    </row>
    <row r="373" ht="15.75" customHeight="1" s="57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49" t="n"/>
      <c r="L373" s="49" t="n"/>
      <c r="M373" s="49" t="n"/>
      <c r="N373" s="49" t="n"/>
      <c r="O373" s="49" t="n"/>
      <c r="P373" s="49" t="n"/>
      <c r="Q373" s="49" t="n"/>
      <c r="R373" s="49" t="n"/>
    </row>
    <row r="374" ht="15.75" customHeight="1" s="57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49" t="n"/>
      <c r="L374" s="49" t="n"/>
      <c r="M374" s="49" t="n"/>
      <c r="N374" s="49" t="n"/>
      <c r="O374" s="49" t="n"/>
      <c r="P374" s="49" t="n"/>
      <c r="Q374" s="49" t="n"/>
      <c r="R374" s="49" t="n"/>
    </row>
    <row r="375" ht="15.75" customHeight="1" s="57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49" t="n"/>
      <c r="L375" s="49" t="n"/>
      <c r="M375" s="49" t="n"/>
      <c r="N375" s="49" t="n"/>
      <c r="O375" s="49" t="n"/>
      <c r="P375" s="49" t="n"/>
      <c r="Q375" s="49" t="n"/>
      <c r="R375" s="49" t="n"/>
    </row>
    <row r="376" ht="15.75" customHeight="1" s="57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49" t="n"/>
      <c r="L376" s="49" t="n"/>
      <c r="M376" s="49" t="n"/>
      <c r="N376" s="49" t="n"/>
      <c r="O376" s="49" t="n"/>
      <c r="P376" s="49" t="n"/>
      <c r="Q376" s="49" t="n"/>
      <c r="R376" s="49" t="n"/>
    </row>
    <row r="377" ht="15.75" customHeight="1" s="57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49" t="n"/>
      <c r="L377" s="49" t="n"/>
      <c r="M377" s="49" t="n"/>
      <c r="N377" s="49" t="n"/>
      <c r="O377" s="49" t="n"/>
      <c r="P377" s="49" t="n"/>
      <c r="Q377" s="49" t="n"/>
      <c r="R377" s="49" t="n"/>
    </row>
    <row r="378" ht="15.75" customHeight="1" s="57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49" t="n"/>
      <c r="L378" s="49" t="n"/>
      <c r="M378" s="49" t="n"/>
      <c r="N378" s="49" t="n"/>
      <c r="O378" s="49" t="n"/>
      <c r="P378" s="49" t="n"/>
      <c r="Q378" s="49" t="n"/>
      <c r="R378" s="49" t="n"/>
    </row>
    <row r="379" ht="15.75" customHeight="1" s="57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49" t="n"/>
      <c r="L379" s="49" t="n"/>
      <c r="M379" s="49" t="n"/>
      <c r="N379" s="49" t="n"/>
      <c r="O379" s="49" t="n"/>
      <c r="P379" s="49" t="n"/>
      <c r="Q379" s="49" t="n"/>
      <c r="R379" s="49" t="n"/>
    </row>
    <row r="380" ht="15.75" customHeight="1" s="57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49" t="n"/>
      <c r="L380" s="49" t="n"/>
      <c r="M380" s="49" t="n"/>
      <c r="N380" s="49" t="n"/>
      <c r="O380" s="49" t="n"/>
      <c r="P380" s="49" t="n"/>
      <c r="Q380" s="49" t="n"/>
      <c r="R380" s="49" t="n"/>
    </row>
    <row r="381" ht="15.75" customHeight="1" s="57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49" t="n"/>
      <c r="L381" s="49" t="n"/>
      <c r="M381" s="49" t="n"/>
      <c r="N381" s="49" t="n"/>
      <c r="O381" s="49" t="n"/>
      <c r="P381" s="49" t="n"/>
      <c r="Q381" s="49" t="n"/>
      <c r="R381" s="49" t="n"/>
    </row>
    <row r="382" ht="15.75" customHeight="1" s="57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49" t="n"/>
      <c r="L382" s="49" t="n"/>
      <c r="M382" s="49" t="n"/>
      <c r="N382" s="49" t="n"/>
      <c r="O382" s="49" t="n"/>
      <c r="P382" s="49" t="n"/>
      <c r="Q382" s="49" t="n"/>
      <c r="R382" s="49" t="n"/>
    </row>
    <row r="383" ht="15.75" customHeight="1" s="57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49" t="n"/>
      <c r="L383" s="49" t="n"/>
      <c r="M383" s="49" t="n"/>
      <c r="N383" s="49" t="n"/>
      <c r="O383" s="49" t="n"/>
      <c r="P383" s="49" t="n"/>
      <c r="Q383" s="49" t="n"/>
      <c r="R383" s="49" t="n"/>
    </row>
    <row r="384" ht="15.75" customHeight="1" s="57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49" t="n"/>
      <c r="L384" s="49" t="n"/>
      <c r="M384" s="49" t="n"/>
      <c r="N384" s="49" t="n"/>
      <c r="O384" s="49" t="n"/>
      <c r="P384" s="49" t="n"/>
      <c r="Q384" s="49" t="n"/>
      <c r="R384" s="49" t="n"/>
    </row>
    <row r="385" ht="15.75" customHeight="1" s="57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49" t="n"/>
      <c r="L385" s="49" t="n"/>
      <c r="M385" s="49" t="n"/>
      <c r="N385" s="49" t="n"/>
      <c r="O385" s="49" t="n"/>
      <c r="P385" s="49" t="n"/>
      <c r="Q385" s="49" t="n"/>
      <c r="R385" s="49" t="n"/>
    </row>
    <row r="386" ht="15.75" customHeight="1" s="57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49" t="n"/>
      <c r="L386" s="49" t="n"/>
      <c r="M386" s="49" t="n"/>
      <c r="N386" s="49" t="n"/>
      <c r="O386" s="49" t="n"/>
      <c r="P386" s="49" t="n"/>
      <c r="Q386" s="49" t="n"/>
      <c r="R386" s="49" t="n"/>
    </row>
    <row r="387" ht="15.75" customHeight="1" s="57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49" t="n"/>
      <c r="L387" s="49" t="n"/>
      <c r="M387" s="49" t="n"/>
      <c r="N387" s="49" t="n"/>
      <c r="O387" s="49" t="n"/>
      <c r="P387" s="49" t="n"/>
      <c r="Q387" s="49" t="n"/>
      <c r="R387" s="49" t="n"/>
    </row>
    <row r="388" ht="15.75" customHeight="1" s="57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49" t="n"/>
      <c r="L388" s="49" t="n"/>
      <c r="M388" s="49" t="n"/>
      <c r="N388" s="49" t="n"/>
      <c r="O388" s="49" t="n"/>
      <c r="P388" s="49" t="n"/>
      <c r="Q388" s="49" t="n"/>
      <c r="R388" s="49" t="n"/>
    </row>
    <row r="389" ht="15.75" customHeight="1" s="57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49" t="n"/>
      <c r="L389" s="49" t="n"/>
      <c r="M389" s="49" t="n"/>
      <c r="N389" s="49" t="n"/>
      <c r="O389" s="49" t="n"/>
      <c r="P389" s="49" t="n"/>
      <c r="Q389" s="49" t="n"/>
      <c r="R389" s="49" t="n"/>
    </row>
    <row r="390" ht="15.75" customHeight="1" s="57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49" t="n"/>
      <c r="L390" s="49" t="n"/>
      <c r="M390" s="49" t="n"/>
      <c r="N390" s="49" t="n"/>
      <c r="O390" s="49" t="n"/>
      <c r="P390" s="49" t="n"/>
      <c r="Q390" s="49" t="n"/>
      <c r="R390" s="49" t="n"/>
    </row>
    <row r="391" ht="15.75" customHeight="1" s="57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49" t="n"/>
      <c r="L391" s="49" t="n"/>
      <c r="M391" s="49" t="n"/>
      <c r="N391" s="49" t="n"/>
      <c r="O391" s="49" t="n"/>
      <c r="P391" s="49" t="n"/>
      <c r="Q391" s="49" t="n"/>
      <c r="R391" s="49" t="n"/>
    </row>
    <row r="392" ht="15.75" customHeight="1" s="57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49" t="n"/>
      <c r="L392" s="49" t="n"/>
      <c r="M392" s="49" t="n"/>
      <c r="N392" s="49" t="n"/>
      <c r="O392" s="49" t="n"/>
      <c r="P392" s="49" t="n"/>
      <c r="Q392" s="49" t="n"/>
      <c r="R392" s="49" t="n"/>
    </row>
    <row r="393" ht="15.75" customHeight="1" s="57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49" t="n"/>
      <c r="L393" s="49" t="n"/>
      <c r="M393" s="49" t="n"/>
      <c r="N393" s="49" t="n"/>
      <c r="O393" s="49" t="n"/>
      <c r="P393" s="49" t="n"/>
      <c r="Q393" s="49" t="n"/>
      <c r="R393" s="49" t="n"/>
    </row>
    <row r="394" ht="15.75" customHeight="1" s="57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49" t="n"/>
      <c r="L394" s="49" t="n"/>
      <c r="M394" s="49" t="n"/>
      <c r="N394" s="49" t="n"/>
      <c r="O394" s="49" t="n"/>
      <c r="P394" s="49" t="n"/>
      <c r="Q394" s="49" t="n"/>
      <c r="R394" s="49" t="n"/>
    </row>
    <row r="395" ht="15.75" customHeight="1" s="57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49" t="n"/>
      <c r="L395" s="49" t="n"/>
      <c r="M395" s="49" t="n"/>
      <c r="N395" s="49" t="n"/>
      <c r="O395" s="49" t="n"/>
      <c r="P395" s="49" t="n"/>
      <c r="Q395" s="49" t="n"/>
      <c r="R395" s="49" t="n"/>
    </row>
    <row r="396" ht="15.75" customHeight="1" s="57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49" t="n"/>
      <c r="L396" s="49" t="n"/>
      <c r="M396" s="49" t="n"/>
      <c r="N396" s="49" t="n"/>
      <c r="O396" s="49" t="n"/>
      <c r="P396" s="49" t="n"/>
      <c r="Q396" s="49" t="n"/>
      <c r="R396" s="49" t="n"/>
    </row>
    <row r="397" ht="15.75" customHeight="1" s="57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49" t="n"/>
      <c r="L397" s="49" t="n"/>
      <c r="M397" s="49" t="n"/>
      <c r="N397" s="49" t="n"/>
      <c r="O397" s="49" t="n"/>
      <c r="P397" s="49" t="n"/>
      <c r="Q397" s="49" t="n"/>
      <c r="R397" s="49" t="n"/>
    </row>
    <row r="398" ht="15.75" customHeight="1" s="57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49" t="n"/>
      <c r="L398" s="49" t="n"/>
      <c r="M398" s="49" t="n"/>
      <c r="N398" s="49" t="n"/>
      <c r="O398" s="49" t="n"/>
      <c r="P398" s="49" t="n"/>
      <c r="Q398" s="49" t="n"/>
      <c r="R398" s="49" t="n"/>
    </row>
    <row r="399" ht="15.75" customHeight="1" s="57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49" t="n"/>
      <c r="L399" s="49" t="n"/>
      <c r="M399" s="49" t="n"/>
      <c r="N399" s="49" t="n"/>
      <c r="O399" s="49" t="n"/>
      <c r="P399" s="49" t="n"/>
      <c r="Q399" s="49" t="n"/>
      <c r="R399" s="49" t="n"/>
    </row>
    <row r="400" ht="15.75" customHeight="1" s="57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49" t="n"/>
      <c r="L400" s="49" t="n"/>
      <c r="M400" s="49" t="n"/>
      <c r="N400" s="49" t="n"/>
      <c r="O400" s="49" t="n"/>
      <c r="P400" s="49" t="n"/>
      <c r="Q400" s="49" t="n"/>
      <c r="R400" s="49" t="n"/>
    </row>
    <row r="401" ht="15.75" customHeight="1" s="57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49" t="n"/>
      <c r="L401" s="49" t="n"/>
      <c r="M401" s="49" t="n"/>
      <c r="N401" s="49" t="n"/>
      <c r="O401" s="49" t="n"/>
      <c r="P401" s="49" t="n"/>
      <c r="Q401" s="49" t="n"/>
      <c r="R401" s="49" t="n"/>
    </row>
    <row r="402" ht="15.75" customHeight="1" s="57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49" t="n"/>
      <c r="L402" s="49" t="n"/>
      <c r="M402" s="49" t="n"/>
      <c r="N402" s="49" t="n"/>
      <c r="O402" s="49" t="n"/>
      <c r="P402" s="49" t="n"/>
      <c r="Q402" s="49" t="n"/>
      <c r="R402" s="49" t="n"/>
    </row>
    <row r="403" ht="15.75" customHeight="1" s="57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49" t="n"/>
      <c r="L403" s="49" t="n"/>
      <c r="M403" s="49" t="n"/>
      <c r="N403" s="49" t="n"/>
      <c r="O403" s="49" t="n"/>
      <c r="P403" s="49" t="n"/>
      <c r="Q403" s="49" t="n"/>
      <c r="R403" s="49" t="n"/>
    </row>
    <row r="404" ht="15.75" customHeight="1" s="57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49" t="n"/>
      <c r="L404" s="49" t="n"/>
      <c r="M404" s="49" t="n"/>
      <c r="N404" s="49" t="n"/>
      <c r="O404" s="49" t="n"/>
      <c r="P404" s="49" t="n"/>
      <c r="Q404" s="49" t="n"/>
      <c r="R404" s="49" t="n"/>
    </row>
    <row r="405" ht="15.75" customHeight="1" s="57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49" t="n"/>
      <c r="L405" s="49" t="n"/>
      <c r="M405" s="49" t="n"/>
      <c r="N405" s="49" t="n"/>
      <c r="O405" s="49" t="n"/>
      <c r="P405" s="49" t="n"/>
      <c r="Q405" s="49" t="n"/>
      <c r="R405" s="49" t="n"/>
    </row>
    <row r="406" ht="15.75" customHeight="1" s="57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49" t="n"/>
      <c r="L406" s="49" t="n"/>
      <c r="M406" s="49" t="n"/>
      <c r="N406" s="49" t="n"/>
      <c r="O406" s="49" t="n"/>
      <c r="P406" s="49" t="n"/>
      <c r="Q406" s="49" t="n"/>
      <c r="R406" s="49" t="n"/>
    </row>
    <row r="407" ht="15.75" customHeight="1" s="57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49" t="n"/>
      <c r="L407" s="49" t="n"/>
      <c r="M407" s="49" t="n"/>
      <c r="N407" s="49" t="n"/>
      <c r="O407" s="49" t="n"/>
      <c r="P407" s="49" t="n"/>
      <c r="Q407" s="49" t="n"/>
      <c r="R407" s="49" t="n"/>
    </row>
    <row r="408" ht="15.75" customHeight="1" s="57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49" t="n"/>
      <c r="L408" s="49" t="n"/>
      <c r="M408" s="49" t="n"/>
      <c r="N408" s="49" t="n"/>
      <c r="O408" s="49" t="n"/>
      <c r="P408" s="49" t="n"/>
      <c r="Q408" s="49" t="n"/>
      <c r="R408" s="49" t="n"/>
    </row>
    <row r="409" ht="15.75" customHeight="1" s="57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49" t="n"/>
      <c r="L409" s="49" t="n"/>
      <c r="M409" s="49" t="n"/>
      <c r="N409" s="49" t="n"/>
      <c r="O409" s="49" t="n"/>
      <c r="P409" s="49" t="n"/>
      <c r="Q409" s="49" t="n"/>
      <c r="R409" s="49" t="n"/>
    </row>
    <row r="410" ht="15.75" customHeight="1" s="57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49" t="n"/>
      <c r="L410" s="49" t="n"/>
      <c r="M410" s="49" t="n"/>
      <c r="N410" s="49" t="n"/>
      <c r="O410" s="49" t="n"/>
      <c r="P410" s="49" t="n"/>
      <c r="Q410" s="49" t="n"/>
      <c r="R410" s="49" t="n"/>
    </row>
    <row r="411" ht="15.75" customHeight="1" s="57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49" t="n"/>
      <c r="L411" s="49" t="n"/>
      <c r="M411" s="49" t="n"/>
      <c r="N411" s="49" t="n"/>
      <c r="O411" s="49" t="n"/>
      <c r="P411" s="49" t="n"/>
      <c r="Q411" s="49" t="n"/>
      <c r="R411" s="49" t="n"/>
    </row>
    <row r="412" ht="15.75" customHeight="1" s="57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49" t="n"/>
      <c r="L412" s="49" t="n"/>
      <c r="M412" s="49" t="n"/>
      <c r="N412" s="49" t="n"/>
      <c r="O412" s="49" t="n"/>
      <c r="P412" s="49" t="n"/>
      <c r="Q412" s="49" t="n"/>
      <c r="R412" s="49" t="n"/>
    </row>
    <row r="413" ht="15.75" customHeight="1" s="57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49" t="n"/>
      <c r="L413" s="49" t="n"/>
      <c r="M413" s="49" t="n"/>
      <c r="N413" s="49" t="n"/>
      <c r="O413" s="49" t="n"/>
      <c r="P413" s="49" t="n"/>
      <c r="Q413" s="49" t="n"/>
      <c r="R413" s="49" t="n"/>
    </row>
    <row r="414" ht="15.75" customHeight="1" s="57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49" t="n"/>
      <c r="L414" s="49" t="n"/>
      <c r="M414" s="49" t="n"/>
      <c r="N414" s="49" t="n"/>
      <c r="O414" s="49" t="n"/>
      <c r="P414" s="49" t="n"/>
      <c r="Q414" s="49" t="n"/>
      <c r="R414" s="49" t="n"/>
    </row>
    <row r="415" ht="15.75" customHeight="1" s="57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49" t="n"/>
      <c r="L415" s="49" t="n"/>
      <c r="M415" s="49" t="n"/>
      <c r="N415" s="49" t="n"/>
      <c r="O415" s="49" t="n"/>
      <c r="P415" s="49" t="n"/>
      <c r="Q415" s="49" t="n"/>
      <c r="R415" s="49" t="n"/>
    </row>
    <row r="416" ht="15.75" customHeight="1" s="57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49" t="n"/>
      <c r="L416" s="49" t="n"/>
      <c r="M416" s="49" t="n"/>
      <c r="N416" s="49" t="n"/>
      <c r="O416" s="49" t="n"/>
      <c r="P416" s="49" t="n"/>
      <c r="Q416" s="49" t="n"/>
      <c r="R416" s="49" t="n"/>
    </row>
    <row r="417" ht="15.75" customHeight="1" s="57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49" t="n"/>
      <c r="L417" s="49" t="n"/>
      <c r="M417" s="49" t="n"/>
      <c r="N417" s="49" t="n"/>
      <c r="O417" s="49" t="n"/>
      <c r="P417" s="49" t="n"/>
      <c r="Q417" s="49" t="n"/>
      <c r="R417" s="49" t="n"/>
    </row>
    <row r="418" ht="15.75" customHeight="1" s="57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49" t="n"/>
      <c r="L418" s="49" t="n"/>
      <c r="M418" s="49" t="n"/>
      <c r="N418" s="49" t="n"/>
      <c r="O418" s="49" t="n"/>
      <c r="P418" s="49" t="n"/>
      <c r="Q418" s="49" t="n"/>
      <c r="R418" s="49" t="n"/>
    </row>
    <row r="419" ht="15.75" customHeight="1" s="57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49" t="n"/>
      <c r="L419" s="49" t="n"/>
      <c r="M419" s="49" t="n"/>
      <c r="N419" s="49" t="n"/>
      <c r="O419" s="49" t="n"/>
      <c r="P419" s="49" t="n"/>
      <c r="Q419" s="49" t="n"/>
      <c r="R419" s="49" t="n"/>
    </row>
    <row r="420" ht="15.75" customHeight="1" s="57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49" t="n"/>
      <c r="L420" s="49" t="n"/>
      <c r="M420" s="49" t="n"/>
      <c r="N420" s="49" t="n"/>
      <c r="O420" s="49" t="n"/>
      <c r="P420" s="49" t="n"/>
      <c r="Q420" s="49" t="n"/>
      <c r="R420" s="49" t="n"/>
    </row>
    <row r="421" ht="15.75" customHeight="1" s="57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49" t="n"/>
      <c r="L421" s="49" t="n"/>
      <c r="M421" s="49" t="n"/>
      <c r="N421" s="49" t="n"/>
      <c r="O421" s="49" t="n"/>
      <c r="P421" s="49" t="n"/>
      <c r="Q421" s="49" t="n"/>
      <c r="R421" s="49" t="n"/>
    </row>
    <row r="422" ht="15.75" customHeight="1" s="57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49" t="n"/>
      <c r="L422" s="49" t="n"/>
      <c r="M422" s="49" t="n"/>
      <c r="N422" s="49" t="n"/>
      <c r="O422" s="49" t="n"/>
      <c r="P422" s="49" t="n"/>
      <c r="Q422" s="49" t="n"/>
      <c r="R422" s="49" t="n"/>
    </row>
    <row r="423" ht="15.75" customHeight="1" s="57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49" t="n"/>
      <c r="L423" s="49" t="n"/>
      <c r="M423" s="49" t="n"/>
      <c r="N423" s="49" t="n"/>
      <c r="O423" s="49" t="n"/>
      <c r="P423" s="49" t="n"/>
      <c r="Q423" s="49" t="n"/>
      <c r="R423" s="49" t="n"/>
    </row>
    <row r="424" ht="15.75" customHeight="1" s="57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49" t="n"/>
      <c r="L424" s="49" t="n"/>
      <c r="M424" s="49" t="n"/>
      <c r="N424" s="49" t="n"/>
      <c r="O424" s="49" t="n"/>
      <c r="P424" s="49" t="n"/>
      <c r="Q424" s="49" t="n"/>
      <c r="R424" s="49" t="n"/>
    </row>
    <row r="425" ht="15.75" customHeight="1" s="57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49" t="n"/>
      <c r="L425" s="49" t="n"/>
      <c r="M425" s="49" t="n"/>
      <c r="N425" s="49" t="n"/>
      <c r="O425" s="49" t="n"/>
      <c r="P425" s="49" t="n"/>
      <c r="Q425" s="49" t="n"/>
      <c r="R425" s="49" t="n"/>
    </row>
    <row r="426" ht="15.75" customHeight="1" s="57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49" t="n"/>
      <c r="L426" s="49" t="n"/>
      <c r="M426" s="49" t="n"/>
      <c r="N426" s="49" t="n"/>
      <c r="O426" s="49" t="n"/>
      <c r="P426" s="49" t="n"/>
      <c r="Q426" s="49" t="n"/>
      <c r="R426" s="49" t="n"/>
    </row>
    <row r="427" ht="15.75" customHeight="1" s="57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49" t="n"/>
      <c r="L427" s="49" t="n"/>
      <c r="M427" s="49" t="n"/>
      <c r="N427" s="49" t="n"/>
      <c r="O427" s="49" t="n"/>
      <c r="P427" s="49" t="n"/>
      <c r="Q427" s="49" t="n"/>
      <c r="R427" s="49" t="n"/>
    </row>
    <row r="428" ht="15.75" customHeight="1" s="57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49" t="n"/>
      <c r="L428" s="49" t="n"/>
      <c r="M428" s="49" t="n"/>
      <c r="N428" s="49" t="n"/>
      <c r="O428" s="49" t="n"/>
      <c r="P428" s="49" t="n"/>
      <c r="Q428" s="49" t="n"/>
      <c r="R428" s="49" t="n"/>
    </row>
    <row r="429" ht="15.75" customHeight="1" s="57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49" t="n"/>
      <c r="L429" s="49" t="n"/>
      <c r="M429" s="49" t="n"/>
      <c r="N429" s="49" t="n"/>
      <c r="O429" s="49" t="n"/>
      <c r="P429" s="49" t="n"/>
      <c r="Q429" s="49" t="n"/>
      <c r="R429" s="49" t="n"/>
    </row>
    <row r="430" ht="15.75" customHeight="1" s="57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49" t="n"/>
      <c r="L430" s="49" t="n"/>
      <c r="M430" s="49" t="n"/>
      <c r="N430" s="49" t="n"/>
      <c r="O430" s="49" t="n"/>
      <c r="P430" s="49" t="n"/>
      <c r="Q430" s="49" t="n"/>
      <c r="R430" s="49" t="n"/>
    </row>
    <row r="431" ht="15.75" customHeight="1" s="57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49" t="n"/>
      <c r="L431" s="49" t="n"/>
      <c r="M431" s="49" t="n"/>
      <c r="N431" s="49" t="n"/>
      <c r="O431" s="49" t="n"/>
      <c r="P431" s="49" t="n"/>
      <c r="Q431" s="49" t="n"/>
      <c r="R431" s="49" t="n"/>
    </row>
    <row r="432" ht="15.75" customHeight="1" s="57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49" t="n"/>
      <c r="L432" s="49" t="n"/>
      <c r="M432" s="49" t="n"/>
      <c r="N432" s="49" t="n"/>
      <c r="O432" s="49" t="n"/>
      <c r="P432" s="49" t="n"/>
      <c r="Q432" s="49" t="n"/>
      <c r="R432" s="49" t="n"/>
    </row>
    <row r="433" ht="15.75" customHeight="1" s="57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49" t="n"/>
      <c r="L433" s="49" t="n"/>
      <c r="M433" s="49" t="n"/>
      <c r="N433" s="49" t="n"/>
      <c r="O433" s="49" t="n"/>
      <c r="P433" s="49" t="n"/>
      <c r="Q433" s="49" t="n"/>
      <c r="R433" s="49" t="n"/>
    </row>
    <row r="434" ht="15.75" customHeight="1" s="57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49" t="n"/>
      <c r="L434" s="49" t="n"/>
      <c r="M434" s="49" t="n"/>
      <c r="N434" s="49" t="n"/>
      <c r="O434" s="49" t="n"/>
      <c r="P434" s="49" t="n"/>
      <c r="Q434" s="49" t="n"/>
      <c r="R434" s="49" t="n"/>
    </row>
    <row r="435" ht="15.75" customHeight="1" s="57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49" t="n"/>
      <c r="L435" s="49" t="n"/>
      <c r="M435" s="49" t="n"/>
      <c r="N435" s="49" t="n"/>
      <c r="O435" s="49" t="n"/>
      <c r="P435" s="49" t="n"/>
      <c r="Q435" s="49" t="n"/>
      <c r="R435" s="49" t="n"/>
    </row>
    <row r="436" ht="15.75" customHeight="1" s="57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49" t="n"/>
      <c r="L436" s="49" t="n"/>
      <c r="M436" s="49" t="n"/>
      <c r="N436" s="49" t="n"/>
      <c r="O436" s="49" t="n"/>
      <c r="P436" s="49" t="n"/>
      <c r="Q436" s="49" t="n"/>
      <c r="R436" s="49" t="n"/>
    </row>
    <row r="437" ht="15.75" customHeight="1" s="57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49" t="n"/>
      <c r="L437" s="49" t="n"/>
      <c r="M437" s="49" t="n"/>
      <c r="N437" s="49" t="n"/>
      <c r="O437" s="49" t="n"/>
      <c r="P437" s="49" t="n"/>
      <c r="Q437" s="49" t="n"/>
      <c r="R437" s="49" t="n"/>
    </row>
    <row r="438" ht="15.75" customHeight="1" s="57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49" t="n"/>
      <c r="L438" s="49" t="n"/>
      <c r="M438" s="49" t="n"/>
      <c r="N438" s="49" t="n"/>
      <c r="O438" s="49" t="n"/>
      <c r="P438" s="49" t="n"/>
      <c r="Q438" s="49" t="n"/>
      <c r="R438" s="49" t="n"/>
    </row>
    <row r="439" ht="15.75" customHeight="1" s="57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49" t="n"/>
      <c r="L439" s="49" t="n"/>
      <c r="M439" s="49" t="n"/>
      <c r="N439" s="49" t="n"/>
      <c r="O439" s="49" t="n"/>
      <c r="P439" s="49" t="n"/>
      <c r="Q439" s="49" t="n"/>
      <c r="R439" s="49" t="n"/>
    </row>
    <row r="440" ht="15.75" customHeight="1" s="57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49" t="n"/>
      <c r="L440" s="49" t="n"/>
      <c r="M440" s="49" t="n"/>
      <c r="N440" s="49" t="n"/>
      <c r="O440" s="49" t="n"/>
      <c r="P440" s="49" t="n"/>
      <c r="Q440" s="49" t="n"/>
      <c r="R440" s="49" t="n"/>
    </row>
    <row r="441" ht="15.75" customHeight="1" s="57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49" t="n"/>
      <c r="L441" s="49" t="n"/>
      <c r="M441" s="49" t="n"/>
      <c r="N441" s="49" t="n"/>
      <c r="O441" s="49" t="n"/>
      <c r="P441" s="49" t="n"/>
      <c r="Q441" s="49" t="n"/>
      <c r="R441" s="49" t="n"/>
    </row>
    <row r="442" ht="15.75" customHeight="1" s="57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49" t="n"/>
      <c r="L442" s="49" t="n"/>
      <c r="M442" s="49" t="n"/>
      <c r="N442" s="49" t="n"/>
      <c r="O442" s="49" t="n"/>
      <c r="P442" s="49" t="n"/>
      <c r="Q442" s="49" t="n"/>
      <c r="R442" s="49" t="n"/>
    </row>
    <row r="443" ht="15.75" customHeight="1" s="57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49" t="n"/>
      <c r="L443" s="49" t="n"/>
      <c r="M443" s="49" t="n"/>
      <c r="N443" s="49" t="n"/>
      <c r="O443" s="49" t="n"/>
      <c r="P443" s="49" t="n"/>
      <c r="Q443" s="49" t="n"/>
      <c r="R443" s="49" t="n"/>
    </row>
    <row r="444" ht="15.75" customHeight="1" s="57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49" t="n"/>
      <c r="L444" s="49" t="n"/>
      <c r="M444" s="49" t="n"/>
      <c r="N444" s="49" t="n"/>
      <c r="O444" s="49" t="n"/>
      <c r="P444" s="49" t="n"/>
      <c r="Q444" s="49" t="n"/>
      <c r="R444" s="49" t="n"/>
    </row>
    <row r="445" ht="15.75" customHeight="1" s="57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49" t="n"/>
      <c r="L445" s="49" t="n"/>
      <c r="M445" s="49" t="n"/>
      <c r="N445" s="49" t="n"/>
      <c r="O445" s="49" t="n"/>
      <c r="P445" s="49" t="n"/>
      <c r="Q445" s="49" t="n"/>
      <c r="R445" s="49" t="n"/>
    </row>
    <row r="446" ht="15.75" customHeight="1" s="57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49" t="n"/>
      <c r="L446" s="49" t="n"/>
      <c r="M446" s="49" t="n"/>
      <c r="N446" s="49" t="n"/>
      <c r="O446" s="49" t="n"/>
      <c r="P446" s="49" t="n"/>
      <c r="Q446" s="49" t="n"/>
      <c r="R446" s="49" t="n"/>
    </row>
    <row r="447" ht="15.75" customHeight="1" s="57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49" t="n"/>
      <c r="L447" s="49" t="n"/>
      <c r="M447" s="49" t="n"/>
      <c r="N447" s="49" t="n"/>
      <c r="O447" s="49" t="n"/>
      <c r="P447" s="49" t="n"/>
      <c r="Q447" s="49" t="n"/>
      <c r="R447" s="49" t="n"/>
    </row>
    <row r="448" ht="15.75" customHeight="1" s="57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49" t="n"/>
      <c r="L448" s="49" t="n"/>
      <c r="M448" s="49" t="n"/>
      <c r="N448" s="49" t="n"/>
      <c r="O448" s="49" t="n"/>
      <c r="P448" s="49" t="n"/>
      <c r="Q448" s="49" t="n"/>
      <c r="R448" s="49" t="n"/>
    </row>
    <row r="449" ht="15.75" customHeight="1" s="57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49" t="n"/>
      <c r="L449" s="49" t="n"/>
      <c r="M449" s="49" t="n"/>
      <c r="N449" s="49" t="n"/>
      <c r="O449" s="49" t="n"/>
      <c r="P449" s="49" t="n"/>
      <c r="Q449" s="49" t="n"/>
      <c r="R449" s="49" t="n"/>
    </row>
    <row r="450" ht="15.75" customHeight="1" s="57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49" t="n"/>
      <c r="L450" s="49" t="n"/>
      <c r="M450" s="49" t="n"/>
      <c r="N450" s="49" t="n"/>
      <c r="O450" s="49" t="n"/>
      <c r="P450" s="49" t="n"/>
      <c r="Q450" s="49" t="n"/>
      <c r="R450" s="49" t="n"/>
    </row>
    <row r="451" ht="15.75" customHeight="1" s="57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49" t="n"/>
      <c r="L451" s="49" t="n"/>
      <c r="M451" s="49" t="n"/>
      <c r="N451" s="49" t="n"/>
      <c r="O451" s="49" t="n"/>
      <c r="P451" s="49" t="n"/>
      <c r="Q451" s="49" t="n"/>
      <c r="R451" s="49" t="n"/>
    </row>
    <row r="452" ht="15.75" customHeight="1" s="57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49" t="n"/>
      <c r="L452" s="49" t="n"/>
      <c r="M452" s="49" t="n"/>
      <c r="N452" s="49" t="n"/>
      <c r="O452" s="49" t="n"/>
      <c r="P452" s="49" t="n"/>
      <c r="Q452" s="49" t="n"/>
      <c r="R452" s="49" t="n"/>
    </row>
    <row r="453" ht="15.75" customHeight="1" s="57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49" t="n"/>
      <c r="L453" s="49" t="n"/>
      <c r="M453" s="49" t="n"/>
      <c r="N453" s="49" t="n"/>
      <c r="O453" s="49" t="n"/>
      <c r="P453" s="49" t="n"/>
      <c r="Q453" s="49" t="n"/>
      <c r="R453" s="49" t="n"/>
    </row>
    <row r="454" ht="15.75" customHeight="1" s="57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49" t="n"/>
      <c r="L454" s="49" t="n"/>
      <c r="M454" s="49" t="n"/>
      <c r="N454" s="49" t="n"/>
      <c r="O454" s="49" t="n"/>
      <c r="P454" s="49" t="n"/>
      <c r="Q454" s="49" t="n"/>
      <c r="R454" s="49" t="n"/>
    </row>
    <row r="455" ht="15.75" customHeight="1" s="57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49" t="n"/>
      <c r="L455" s="49" t="n"/>
      <c r="M455" s="49" t="n"/>
      <c r="N455" s="49" t="n"/>
      <c r="O455" s="49" t="n"/>
      <c r="P455" s="49" t="n"/>
      <c r="Q455" s="49" t="n"/>
      <c r="R455" s="49" t="n"/>
    </row>
    <row r="456" ht="15.75" customHeight="1" s="57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49" t="n"/>
      <c r="L456" s="49" t="n"/>
      <c r="M456" s="49" t="n"/>
      <c r="N456" s="49" t="n"/>
      <c r="O456" s="49" t="n"/>
      <c r="P456" s="49" t="n"/>
      <c r="Q456" s="49" t="n"/>
      <c r="R456" s="49" t="n"/>
    </row>
    <row r="457" ht="15.75" customHeight="1" s="57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49" t="n"/>
      <c r="L457" s="49" t="n"/>
      <c r="M457" s="49" t="n"/>
      <c r="N457" s="49" t="n"/>
      <c r="O457" s="49" t="n"/>
      <c r="P457" s="49" t="n"/>
      <c r="Q457" s="49" t="n"/>
      <c r="R457" s="49" t="n"/>
    </row>
    <row r="458" ht="15.75" customHeight="1" s="57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49" t="n"/>
      <c r="L458" s="49" t="n"/>
      <c r="M458" s="49" t="n"/>
      <c r="N458" s="49" t="n"/>
      <c r="O458" s="49" t="n"/>
      <c r="P458" s="49" t="n"/>
      <c r="Q458" s="49" t="n"/>
      <c r="R458" s="49" t="n"/>
    </row>
    <row r="459" ht="15.75" customHeight="1" s="57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49" t="n"/>
      <c r="L459" s="49" t="n"/>
      <c r="M459" s="49" t="n"/>
      <c r="N459" s="49" t="n"/>
      <c r="O459" s="49" t="n"/>
      <c r="P459" s="49" t="n"/>
      <c r="Q459" s="49" t="n"/>
      <c r="R459" s="49" t="n"/>
    </row>
    <row r="460" ht="15.75" customHeight="1" s="57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49" t="n"/>
      <c r="L460" s="49" t="n"/>
      <c r="M460" s="49" t="n"/>
      <c r="N460" s="49" t="n"/>
      <c r="O460" s="49" t="n"/>
      <c r="P460" s="49" t="n"/>
      <c r="Q460" s="49" t="n"/>
      <c r="R460" s="49" t="n"/>
    </row>
    <row r="461" ht="15.75" customHeight="1" s="57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49" t="n"/>
      <c r="L461" s="49" t="n"/>
      <c r="M461" s="49" t="n"/>
      <c r="N461" s="49" t="n"/>
      <c r="O461" s="49" t="n"/>
      <c r="P461" s="49" t="n"/>
      <c r="Q461" s="49" t="n"/>
      <c r="R461" s="49" t="n"/>
    </row>
    <row r="462" ht="15.75" customHeight="1" s="57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49" t="n"/>
      <c r="L462" s="49" t="n"/>
      <c r="M462" s="49" t="n"/>
      <c r="N462" s="49" t="n"/>
      <c r="O462" s="49" t="n"/>
      <c r="P462" s="49" t="n"/>
      <c r="Q462" s="49" t="n"/>
      <c r="R462" s="49" t="n"/>
    </row>
    <row r="463" ht="15.75" customHeight="1" s="57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49" t="n"/>
      <c r="L463" s="49" t="n"/>
      <c r="M463" s="49" t="n"/>
      <c r="N463" s="49" t="n"/>
      <c r="O463" s="49" t="n"/>
      <c r="P463" s="49" t="n"/>
      <c r="Q463" s="49" t="n"/>
      <c r="R463" s="49" t="n"/>
    </row>
    <row r="464" ht="15.75" customHeight="1" s="57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49" t="n"/>
      <c r="L464" s="49" t="n"/>
      <c r="M464" s="49" t="n"/>
      <c r="N464" s="49" t="n"/>
      <c r="O464" s="49" t="n"/>
      <c r="P464" s="49" t="n"/>
      <c r="Q464" s="49" t="n"/>
      <c r="R464" s="49" t="n"/>
    </row>
    <row r="465" ht="15.75" customHeight="1" s="57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49" t="n"/>
      <c r="L465" s="49" t="n"/>
      <c r="M465" s="49" t="n"/>
      <c r="N465" s="49" t="n"/>
      <c r="O465" s="49" t="n"/>
      <c r="P465" s="49" t="n"/>
      <c r="Q465" s="49" t="n"/>
      <c r="R465" s="49" t="n"/>
    </row>
    <row r="466" ht="15.75" customHeight="1" s="57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49" t="n"/>
      <c r="L466" s="49" t="n"/>
      <c r="M466" s="49" t="n"/>
      <c r="N466" s="49" t="n"/>
      <c r="O466" s="49" t="n"/>
      <c r="P466" s="49" t="n"/>
      <c r="Q466" s="49" t="n"/>
      <c r="R466" s="49" t="n"/>
    </row>
    <row r="467" ht="15.75" customHeight="1" s="57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49" t="n"/>
      <c r="L467" s="49" t="n"/>
      <c r="M467" s="49" t="n"/>
      <c r="N467" s="49" t="n"/>
      <c r="O467" s="49" t="n"/>
      <c r="P467" s="49" t="n"/>
      <c r="Q467" s="49" t="n"/>
      <c r="R467" s="49" t="n"/>
    </row>
    <row r="468" ht="15.75" customHeight="1" s="57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49" t="n"/>
      <c r="L468" s="49" t="n"/>
      <c r="M468" s="49" t="n"/>
      <c r="N468" s="49" t="n"/>
      <c r="O468" s="49" t="n"/>
      <c r="P468" s="49" t="n"/>
      <c r="Q468" s="49" t="n"/>
      <c r="R468" s="49" t="n"/>
    </row>
    <row r="469" ht="15.75" customHeight="1" s="57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49" t="n"/>
      <c r="L469" s="49" t="n"/>
      <c r="M469" s="49" t="n"/>
      <c r="N469" s="49" t="n"/>
      <c r="O469" s="49" t="n"/>
      <c r="P469" s="49" t="n"/>
      <c r="Q469" s="49" t="n"/>
      <c r="R469" s="49" t="n"/>
    </row>
    <row r="470" ht="15.75" customHeight="1" s="57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49" t="n"/>
      <c r="L470" s="49" t="n"/>
      <c r="M470" s="49" t="n"/>
      <c r="N470" s="49" t="n"/>
      <c r="O470" s="49" t="n"/>
      <c r="P470" s="49" t="n"/>
      <c r="Q470" s="49" t="n"/>
      <c r="R470" s="49" t="n"/>
    </row>
    <row r="471" ht="15.75" customHeight="1" s="57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49" t="n"/>
      <c r="L471" s="49" t="n"/>
      <c r="M471" s="49" t="n"/>
      <c r="N471" s="49" t="n"/>
      <c r="O471" s="49" t="n"/>
      <c r="P471" s="49" t="n"/>
      <c r="Q471" s="49" t="n"/>
      <c r="R471" s="49" t="n"/>
    </row>
    <row r="472" ht="15.75" customHeight="1" s="57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49" t="n"/>
      <c r="L472" s="49" t="n"/>
      <c r="M472" s="49" t="n"/>
      <c r="N472" s="49" t="n"/>
      <c r="O472" s="49" t="n"/>
      <c r="P472" s="49" t="n"/>
      <c r="Q472" s="49" t="n"/>
      <c r="R472" s="49" t="n"/>
    </row>
    <row r="473" ht="15.75" customHeight="1" s="57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49" t="n"/>
      <c r="L473" s="49" t="n"/>
      <c r="M473" s="49" t="n"/>
      <c r="N473" s="49" t="n"/>
      <c r="O473" s="49" t="n"/>
      <c r="P473" s="49" t="n"/>
      <c r="Q473" s="49" t="n"/>
      <c r="R473" s="49" t="n"/>
    </row>
    <row r="474" ht="15.75" customHeight="1" s="57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49" t="n"/>
      <c r="L474" s="49" t="n"/>
      <c r="M474" s="49" t="n"/>
      <c r="N474" s="49" t="n"/>
      <c r="O474" s="49" t="n"/>
      <c r="P474" s="49" t="n"/>
      <c r="Q474" s="49" t="n"/>
      <c r="R474" s="49" t="n"/>
    </row>
    <row r="475" ht="15.75" customHeight="1" s="57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49" t="n"/>
      <c r="L475" s="49" t="n"/>
      <c r="M475" s="49" t="n"/>
      <c r="N475" s="49" t="n"/>
      <c r="O475" s="49" t="n"/>
      <c r="P475" s="49" t="n"/>
      <c r="Q475" s="49" t="n"/>
      <c r="R475" s="49" t="n"/>
    </row>
    <row r="476" ht="15.75" customHeight="1" s="57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49" t="n"/>
      <c r="L476" s="49" t="n"/>
      <c r="M476" s="49" t="n"/>
      <c r="N476" s="49" t="n"/>
      <c r="O476" s="49" t="n"/>
      <c r="P476" s="49" t="n"/>
      <c r="Q476" s="49" t="n"/>
      <c r="R476" s="49" t="n"/>
    </row>
    <row r="477" ht="15.75" customHeight="1" s="57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49" t="n"/>
      <c r="L477" s="49" t="n"/>
      <c r="M477" s="49" t="n"/>
      <c r="N477" s="49" t="n"/>
      <c r="O477" s="49" t="n"/>
      <c r="P477" s="49" t="n"/>
      <c r="Q477" s="49" t="n"/>
      <c r="R477" s="49" t="n"/>
    </row>
    <row r="478" ht="15.75" customHeight="1" s="57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49" t="n"/>
      <c r="L478" s="49" t="n"/>
      <c r="M478" s="49" t="n"/>
      <c r="N478" s="49" t="n"/>
      <c r="O478" s="49" t="n"/>
      <c r="P478" s="49" t="n"/>
      <c r="Q478" s="49" t="n"/>
      <c r="R478" s="49" t="n"/>
    </row>
    <row r="479" ht="15.75" customHeight="1" s="57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49" t="n"/>
      <c r="L479" s="49" t="n"/>
      <c r="M479" s="49" t="n"/>
      <c r="N479" s="49" t="n"/>
      <c r="O479" s="49" t="n"/>
      <c r="P479" s="49" t="n"/>
      <c r="Q479" s="49" t="n"/>
      <c r="R479" s="49" t="n"/>
    </row>
    <row r="480" ht="15.75" customHeight="1" s="57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49" t="n"/>
      <c r="L480" s="49" t="n"/>
      <c r="M480" s="49" t="n"/>
      <c r="N480" s="49" t="n"/>
      <c r="O480" s="49" t="n"/>
      <c r="P480" s="49" t="n"/>
      <c r="Q480" s="49" t="n"/>
      <c r="R480" s="49" t="n"/>
    </row>
    <row r="481" ht="15.75" customHeight="1" s="57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49" t="n"/>
      <c r="L481" s="49" t="n"/>
      <c r="M481" s="49" t="n"/>
      <c r="N481" s="49" t="n"/>
      <c r="O481" s="49" t="n"/>
      <c r="P481" s="49" t="n"/>
      <c r="Q481" s="49" t="n"/>
      <c r="R481" s="49" t="n"/>
    </row>
    <row r="482" ht="15.75" customHeight="1" s="57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49" t="n"/>
      <c r="L482" s="49" t="n"/>
      <c r="M482" s="49" t="n"/>
      <c r="N482" s="49" t="n"/>
      <c r="O482" s="49" t="n"/>
      <c r="P482" s="49" t="n"/>
      <c r="Q482" s="49" t="n"/>
      <c r="R482" s="49" t="n"/>
    </row>
    <row r="483" ht="15.75" customHeight="1" s="57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49" t="n"/>
      <c r="L483" s="49" t="n"/>
      <c r="M483" s="49" t="n"/>
      <c r="N483" s="49" t="n"/>
      <c r="O483" s="49" t="n"/>
      <c r="P483" s="49" t="n"/>
      <c r="Q483" s="49" t="n"/>
      <c r="R483" s="49" t="n"/>
    </row>
    <row r="484" ht="15.75" customHeight="1" s="57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49" t="n"/>
      <c r="L484" s="49" t="n"/>
      <c r="M484" s="49" t="n"/>
      <c r="N484" s="49" t="n"/>
      <c r="O484" s="49" t="n"/>
      <c r="P484" s="49" t="n"/>
      <c r="Q484" s="49" t="n"/>
      <c r="R484" s="49" t="n"/>
    </row>
    <row r="485" ht="15.75" customHeight="1" s="57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49" t="n"/>
      <c r="L485" s="49" t="n"/>
      <c r="M485" s="49" t="n"/>
      <c r="N485" s="49" t="n"/>
      <c r="O485" s="49" t="n"/>
      <c r="P485" s="49" t="n"/>
      <c r="Q485" s="49" t="n"/>
      <c r="R485" s="49" t="n"/>
    </row>
    <row r="486" ht="15.75" customHeight="1" s="57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49" t="n"/>
      <c r="L486" s="49" t="n"/>
      <c r="M486" s="49" t="n"/>
      <c r="N486" s="49" t="n"/>
      <c r="O486" s="49" t="n"/>
      <c r="P486" s="49" t="n"/>
      <c r="Q486" s="49" t="n"/>
      <c r="R486" s="49" t="n"/>
    </row>
    <row r="487" ht="15.75" customHeight="1" s="57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49" t="n"/>
      <c r="L487" s="49" t="n"/>
      <c r="M487" s="49" t="n"/>
      <c r="N487" s="49" t="n"/>
      <c r="O487" s="49" t="n"/>
      <c r="P487" s="49" t="n"/>
      <c r="Q487" s="49" t="n"/>
      <c r="R487" s="49" t="n"/>
    </row>
    <row r="488" ht="15.75" customHeight="1" s="57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49" t="n"/>
      <c r="L488" s="49" t="n"/>
      <c r="M488" s="49" t="n"/>
      <c r="N488" s="49" t="n"/>
      <c r="O488" s="49" t="n"/>
      <c r="P488" s="49" t="n"/>
      <c r="Q488" s="49" t="n"/>
      <c r="R488" s="49" t="n"/>
    </row>
    <row r="489" ht="15.75" customHeight="1" s="57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49" t="n"/>
      <c r="L489" s="49" t="n"/>
      <c r="M489" s="49" t="n"/>
      <c r="N489" s="49" t="n"/>
      <c r="O489" s="49" t="n"/>
      <c r="P489" s="49" t="n"/>
      <c r="Q489" s="49" t="n"/>
      <c r="R489" s="49" t="n"/>
    </row>
    <row r="490" ht="15.75" customHeight="1" s="57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49" t="n"/>
      <c r="L490" s="49" t="n"/>
      <c r="M490" s="49" t="n"/>
      <c r="N490" s="49" t="n"/>
      <c r="O490" s="49" t="n"/>
      <c r="P490" s="49" t="n"/>
      <c r="Q490" s="49" t="n"/>
      <c r="R490" s="49" t="n"/>
    </row>
    <row r="491" ht="15.75" customHeight="1" s="57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49" t="n"/>
      <c r="L491" s="49" t="n"/>
      <c r="M491" s="49" t="n"/>
      <c r="N491" s="49" t="n"/>
      <c r="O491" s="49" t="n"/>
      <c r="P491" s="49" t="n"/>
      <c r="Q491" s="49" t="n"/>
      <c r="R491" s="49" t="n"/>
    </row>
    <row r="492" ht="15.75" customHeight="1" s="57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49" t="n"/>
      <c r="L492" s="49" t="n"/>
      <c r="M492" s="49" t="n"/>
      <c r="N492" s="49" t="n"/>
      <c r="O492" s="49" t="n"/>
      <c r="P492" s="49" t="n"/>
      <c r="Q492" s="49" t="n"/>
      <c r="R492" s="49" t="n"/>
    </row>
    <row r="493" ht="15.75" customHeight="1" s="57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49" t="n"/>
      <c r="L493" s="49" t="n"/>
      <c r="M493" s="49" t="n"/>
      <c r="N493" s="49" t="n"/>
      <c r="O493" s="49" t="n"/>
      <c r="P493" s="49" t="n"/>
      <c r="Q493" s="49" t="n"/>
      <c r="R493" s="49" t="n"/>
    </row>
    <row r="494" ht="15.75" customHeight="1" s="57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49" t="n"/>
      <c r="L494" s="49" t="n"/>
      <c r="M494" s="49" t="n"/>
      <c r="N494" s="49" t="n"/>
      <c r="O494" s="49" t="n"/>
      <c r="P494" s="49" t="n"/>
      <c r="Q494" s="49" t="n"/>
      <c r="R494" s="49" t="n"/>
    </row>
    <row r="495" ht="15.75" customHeight="1" s="57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49" t="n"/>
      <c r="L495" s="49" t="n"/>
      <c r="M495" s="49" t="n"/>
      <c r="N495" s="49" t="n"/>
      <c r="O495" s="49" t="n"/>
      <c r="P495" s="49" t="n"/>
      <c r="Q495" s="49" t="n"/>
      <c r="R495" s="49" t="n"/>
    </row>
    <row r="496" ht="15.75" customHeight="1" s="57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49" t="n"/>
      <c r="L496" s="49" t="n"/>
      <c r="M496" s="49" t="n"/>
      <c r="N496" s="49" t="n"/>
      <c r="O496" s="49" t="n"/>
      <c r="P496" s="49" t="n"/>
      <c r="Q496" s="49" t="n"/>
      <c r="R496" s="49" t="n"/>
    </row>
    <row r="497" ht="15.75" customHeight="1" s="57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49" t="n"/>
      <c r="L497" s="49" t="n"/>
      <c r="M497" s="49" t="n"/>
      <c r="N497" s="49" t="n"/>
      <c r="O497" s="49" t="n"/>
      <c r="P497" s="49" t="n"/>
      <c r="Q497" s="49" t="n"/>
      <c r="R497" s="49" t="n"/>
    </row>
    <row r="498" ht="15.75" customHeight="1" s="57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49" t="n"/>
      <c r="L498" s="49" t="n"/>
      <c r="M498" s="49" t="n"/>
      <c r="N498" s="49" t="n"/>
      <c r="O498" s="49" t="n"/>
      <c r="P498" s="49" t="n"/>
      <c r="Q498" s="49" t="n"/>
      <c r="R498" s="49" t="n"/>
    </row>
    <row r="499" ht="15.75" customHeight="1" s="57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49" t="n"/>
      <c r="L499" s="49" t="n"/>
      <c r="M499" s="49" t="n"/>
      <c r="N499" s="49" t="n"/>
      <c r="O499" s="49" t="n"/>
      <c r="P499" s="49" t="n"/>
      <c r="Q499" s="49" t="n"/>
      <c r="R499" s="49" t="n"/>
    </row>
    <row r="500" ht="15.75" customHeight="1" s="57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49" t="n"/>
      <c r="L500" s="49" t="n"/>
      <c r="M500" s="49" t="n"/>
      <c r="N500" s="49" t="n"/>
      <c r="O500" s="49" t="n"/>
      <c r="P500" s="49" t="n"/>
      <c r="Q500" s="49" t="n"/>
      <c r="R500" s="49" t="n"/>
    </row>
    <row r="501" ht="15.75" customHeight="1" s="57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49" t="n"/>
      <c r="L501" s="49" t="n"/>
      <c r="M501" s="49" t="n"/>
      <c r="N501" s="49" t="n"/>
      <c r="O501" s="49" t="n"/>
      <c r="P501" s="49" t="n"/>
      <c r="Q501" s="49" t="n"/>
      <c r="R501" s="49" t="n"/>
    </row>
    <row r="502" ht="15.75" customHeight="1" s="57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49" t="n"/>
      <c r="L502" s="49" t="n"/>
      <c r="M502" s="49" t="n"/>
      <c r="N502" s="49" t="n"/>
      <c r="O502" s="49" t="n"/>
      <c r="P502" s="49" t="n"/>
      <c r="Q502" s="49" t="n"/>
      <c r="R502" s="49" t="n"/>
    </row>
    <row r="503" ht="15.75" customHeight="1" s="57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49" t="n"/>
      <c r="L503" s="49" t="n"/>
      <c r="M503" s="49" t="n"/>
      <c r="N503" s="49" t="n"/>
      <c r="O503" s="49" t="n"/>
      <c r="P503" s="49" t="n"/>
      <c r="Q503" s="49" t="n"/>
      <c r="R503" s="49" t="n"/>
    </row>
    <row r="504" ht="15.75" customHeight="1" s="57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49" t="n"/>
      <c r="L504" s="49" t="n"/>
      <c r="M504" s="49" t="n"/>
      <c r="N504" s="49" t="n"/>
      <c r="O504" s="49" t="n"/>
      <c r="P504" s="49" t="n"/>
      <c r="Q504" s="49" t="n"/>
      <c r="R504" s="49" t="n"/>
    </row>
    <row r="505" ht="15.75" customHeight="1" s="57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49" t="n"/>
      <c r="L505" s="49" t="n"/>
      <c r="M505" s="49" t="n"/>
      <c r="N505" s="49" t="n"/>
      <c r="O505" s="49" t="n"/>
      <c r="P505" s="49" t="n"/>
      <c r="Q505" s="49" t="n"/>
      <c r="R505" s="49" t="n"/>
    </row>
    <row r="506" ht="15.75" customHeight="1" s="57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49" t="n"/>
      <c r="L506" s="49" t="n"/>
      <c r="M506" s="49" t="n"/>
      <c r="N506" s="49" t="n"/>
      <c r="O506" s="49" t="n"/>
      <c r="P506" s="49" t="n"/>
      <c r="Q506" s="49" t="n"/>
      <c r="R506" s="49" t="n"/>
    </row>
    <row r="507" ht="15.75" customHeight="1" s="57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49" t="n"/>
      <c r="L507" s="49" t="n"/>
      <c r="M507" s="49" t="n"/>
      <c r="N507" s="49" t="n"/>
      <c r="O507" s="49" t="n"/>
      <c r="P507" s="49" t="n"/>
      <c r="Q507" s="49" t="n"/>
      <c r="R507" s="49" t="n"/>
    </row>
    <row r="508" ht="15.75" customHeight="1" s="57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49" t="n"/>
      <c r="L508" s="49" t="n"/>
      <c r="M508" s="49" t="n"/>
      <c r="N508" s="49" t="n"/>
      <c r="O508" s="49" t="n"/>
      <c r="P508" s="49" t="n"/>
      <c r="Q508" s="49" t="n"/>
      <c r="R508" s="49" t="n"/>
    </row>
    <row r="509" ht="15.75" customHeight="1" s="57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49" t="n"/>
      <c r="L509" s="49" t="n"/>
      <c r="M509" s="49" t="n"/>
      <c r="N509" s="49" t="n"/>
      <c r="O509" s="49" t="n"/>
      <c r="P509" s="49" t="n"/>
      <c r="Q509" s="49" t="n"/>
      <c r="R509" s="49" t="n"/>
    </row>
    <row r="510" ht="15.75" customHeight="1" s="57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49" t="n"/>
      <c r="L510" s="49" t="n"/>
      <c r="M510" s="49" t="n"/>
      <c r="N510" s="49" t="n"/>
      <c r="O510" s="49" t="n"/>
      <c r="P510" s="49" t="n"/>
      <c r="Q510" s="49" t="n"/>
      <c r="R510" s="49" t="n"/>
    </row>
    <row r="511" ht="15.75" customHeight="1" s="57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49" t="n"/>
      <c r="L511" s="49" t="n"/>
      <c r="M511" s="49" t="n"/>
      <c r="N511" s="49" t="n"/>
      <c r="O511" s="49" t="n"/>
      <c r="P511" s="49" t="n"/>
      <c r="Q511" s="49" t="n"/>
      <c r="R511" s="49" t="n"/>
    </row>
    <row r="512" ht="15.75" customHeight="1" s="57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49" t="n"/>
      <c r="L512" s="49" t="n"/>
      <c r="M512" s="49" t="n"/>
      <c r="N512" s="49" t="n"/>
      <c r="O512" s="49" t="n"/>
      <c r="P512" s="49" t="n"/>
      <c r="Q512" s="49" t="n"/>
      <c r="R512" s="49" t="n"/>
    </row>
    <row r="513" ht="15.75" customHeight="1" s="57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49" t="n"/>
      <c r="L513" s="49" t="n"/>
      <c r="M513" s="49" t="n"/>
      <c r="N513" s="49" t="n"/>
      <c r="O513" s="49" t="n"/>
      <c r="P513" s="49" t="n"/>
      <c r="Q513" s="49" t="n"/>
      <c r="R513" s="49" t="n"/>
    </row>
    <row r="514" ht="15.75" customHeight="1" s="57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49" t="n"/>
      <c r="L514" s="49" t="n"/>
      <c r="M514" s="49" t="n"/>
      <c r="N514" s="49" t="n"/>
      <c r="O514" s="49" t="n"/>
      <c r="P514" s="49" t="n"/>
      <c r="Q514" s="49" t="n"/>
      <c r="R514" s="49" t="n"/>
    </row>
    <row r="515" ht="15.75" customHeight="1" s="57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49" t="n"/>
      <c r="L515" s="49" t="n"/>
      <c r="M515" s="49" t="n"/>
      <c r="N515" s="49" t="n"/>
      <c r="O515" s="49" t="n"/>
      <c r="P515" s="49" t="n"/>
      <c r="Q515" s="49" t="n"/>
      <c r="R515" s="49" t="n"/>
    </row>
    <row r="516" ht="15.75" customHeight="1" s="57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49" t="n"/>
      <c r="L516" s="49" t="n"/>
      <c r="M516" s="49" t="n"/>
      <c r="N516" s="49" t="n"/>
      <c r="O516" s="49" t="n"/>
      <c r="P516" s="49" t="n"/>
      <c r="Q516" s="49" t="n"/>
      <c r="R516" s="49" t="n"/>
    </row>
    <row r="517" ht="15.75" customHeight="1" s="57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49" t="n"/>
      <c r="L517" s="49" t="n"/>
      <c r="M517" s="49" t="n"/>
      <c r="N517" s="49" t="n"/>
      <c r="O517" s="49" t="n"/>
      <c r="P517" s="49" t="n"/>
      <c r="Q517" s="49" t="n"/>
      <c r="R517" s="49" t="n"/>
    </row>
    <row r="518" ht="15.75" customHeight="1" s="57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49" t="n"/>
      <c r="L518" s="49" t="n"/>
      <c r="M518" s="49" t="n"/>
      <c r="N518" s="49" t="n"/>
      <c r="O518" s="49" t="n"/>
      <c r="P518" s="49" t="n"/>
      <c r="Q518" s="49" t="n"/>
      <c r="R518" s="49" t="n"/>
    </row>
    <row r="519" ht="15.75" customHeight="1" s="57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49" t="n"/>
      <c r="L519" s="49" t="n"/>
      <c r="M519" s="49" t="n"/>
      <c r="N519" s="49" t="n"/>
      <c r="O519" s="49" t="n"/>
      <c r="P519" s="49" t="n"/>
      <c r="Q519" s="49" t="n"/>
      <c r="R519" s="49" t="n"/>
    </row>
    <row r="520" ht="15.75" customHeight="1" s="57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49" t="n"/>
      <c r="L520" s="49" t="n"/>
      <c r="M520" s="49" t="n"/>
      <c r="N520" s="49" t="n"/>
      <c r="O520" s="49" t="n"/>
      <c r="P520" s="49" t="n"/>
      <c r="Q520" s="49" t="n"/>
      <c r="R520" s="49" t="n"/>
    </row>
    <row r="521" ht="15.75" customHeight="1" s="57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49" t="n"/>
      <c r="L521" s="49" t="n"/>
      <c r="M521" s="49" t="n"/>
      <c r="N521" s="49" t="n"/>
      <c r="O521" s="49" t="n"/>
      <c r="P521" s="49" t="n"/>
      <c r="Q521" s="49" t="n"/>
      <c r="R521" s="49" t="n"/>
    </row>
    <row r="522" ht="15.75" customHeight="1" s="57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49" t="n"/>
      <c r="L522" s="49" t="n"/>
      <c r="M522" s="49" t="n"/>
      <c r="N522" s="49" t="n"/>
      <c r="O522" s="49" t="n"/>
      <c r="P522" s="49" t="n"/>
      <c r="Q522" s="49" t="n"/>
      <c r="R522" s="49" t="n"/>
    </row>
    <row r="523" ht="15.75" customHeight="1" s="57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49" t="n"/>
      <c r="L523" s="49" t="n"/>
      <c r="M523" s="49" t="n"/>
      <c r="N523" s="49" t="n"/>
      <c r="O523" s="49" t="n"/>
      <c r="P523" s="49" t="n"/>
      <c r="Q523" s="49" t="n"/>
      <c r="R523" s="49" t="n"/>
    </row>
    <row r="524" ht="15.75" customHeight="1" s="57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49" t="n"/>
      <c r="L524" s="49" t="n"/>
      <c r="M524" s="49" t="n"/>
      <c r="N524" s="49" t="n"/>
      <c r="O524" s="49" t="n"/>
      <c r="P524" s="49" t="n"/>
      <c r="Q524" s="49" t="n"/>
      <c r="R524" s="49" t="n"/>
    </row>
    <row r="525" ht="15.75" customHeight="1" s="57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49" t="n"/>
      <c r="L525" s="49" t="n"/>
      <c r="M525" s="49" t="n"/>
      <c r="N525" s="49" t="n"/>
      <c r="O525" s="49" t="n"/>
      <c r="P525" s="49" t="n"/>
      <c r="Q525" s="49" t="n"/>
      <c r="R525" s="49" t="n"/>
    </row>
    <row r="526" ht="15.75" customHeight="1" s="57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49" t="n"/>
      <c r="L526" s="49" t="n"/>
      <c r="M526" s="49" t="n"/>
      <c r="N526" s="49" t="n"/>
      <c r="O526" s="49" t="n"/>
      <c r="P526" s="49" t="n"/>
      <c r="Q526" s="49" t="n"/>
      <c r="R526" s="49" t="n"/>
    </row>
    <row r="527" ht="15.75" customHeight="1" s="57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49" t="n"/>
      <c r="L527" s="49" t="n"/>
      <c r="M527" s="49" t="n"/>
      <c r="N527" s="49" t="n"/>
      <c r="O527" s="49" t="n"/>
      <c r="P527" s="49" t="n"/>
      <c r="Q527" s="49" t="n"/>
      <c r="R527" s="49" t="n"/>
    </row>
    <row r="528" ht="15.75" customHeight="1" s="57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49" t="n"/>
      <c r="L528" s="49" t="n"/>
      <c r="M528" s="49" t="n"/>
      <c r="N528" s="49" t="n"/>
      <c r="O528" s="49" t="n"/>
      <c r="P528" s="49" t="n"/>
      <c r="Q528" s="49" t="n"/>
      <c r="R528" s="49" t="n"/>
    </row>
    <row r="529" ht="15.75" customHeight="1" s="57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49" t="n"/>
      <c r="L529" s="49" t="n"/>
      <c r="M529" s="49" t="n"/>
      <c r="N529" s="49" t="n"/>
      <c r="O529" s="49" t="n"/>
      <c r="P529" s="49" t="n"/>
      <c r="Q529" s="49" t="n"/>
      <c r="R529" s="49" t="n"/>
    </row>
    <row r="530" ht="15.75" customHeight="1" s="57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49" t="n"/>
      <c r="L530" s="49" t="n"/>
      <c r="M530" s="49" t="n"/>
      <c r="N530" s="49" t="n"/>
      <c r="O530" s="49" t="n"/>
      <c r="P530" s="49" t="n"/>
      <c r="Q530" s="49" t="n"/>
      <c r="R530" s="49" t="n"/>
    </row>
    <row r="531" ht="15.75" customHeight="1" s="57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49" t="n"/>
      <c r="L531" s="49" t="n"/>
      <c r="M531" s="49" t="n"/>
      <c r="N531" s="49" t="n"/>
      <c r="O531" s="49" t="n"/>
      <c r="P531" s="49" t="n"/>
      <c r="Q531" s="49" t="n"/>
      <c r="R531" s="49" t="n"/>
    </row>
    <row r="532" ht="15.75" customHeight="1" s="57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49" t="n"/>
      <c r="L532" s="49" t="n"/>
      <c r="M532" s="49" t="n"/>
      <c r="N532" s="49" t="n"/>
      <c r="O532" s="49" t="n"/>
      <c r="P532" s="49" t="n"/>
      <c r="Q532" s="49" t="n"/>
      <c r="R532" s="49" t="n"/>
    </row>
    <row r="533" ht="15.75" customHeight="1" s="57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49" t="n"/>
      <c r="L533" s="49" t="n"/>
      <c r="M533" s="49" t="n"/>
      <c r="N533" s="49" t="n"/>
      <c r="O533" s="49" t="n"/>
      <c r="P533" s="49" t="n"/>
      <c r="Q533" s="49" t="n"/>
      <c r="R533" s="49" t="n"/>
    </row>
    <row r="534" ht="15.75" customHeight="1" s="57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49" t="n"/>
      <c r="L534" s="49" t="n"/>
      <c r="M534" s="49" t="n"/>
      <c r="N534" s="49" t="n"/>
      <c r="O534" s="49" t="n"/>
      <c r="P534" s="49" t="n"/>
      <c r="Q534" s="49" t="n"/>
      <c r="R534" s="49" t="n"/>
    </row>
    <row r="535" ht="15.75" customHeight="1" s="57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49" t="n"/>
      <c r="L535" s="49" t="n"/>
      <c r="M535" s="49" t="n"/>
      <c r="N535" s="49" t="n"/>
      <c r="O535" s="49" t="n"/>
      <c r="P535" s="49" t="n"/>
      <c r="Q535" s="49" t="n"/>
      <c r="R535" s="49" t="n"/>
    </row>
    <row r="536" ht="15.75" customHeight="1" s="57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49" t="n"/>
      <c r="L536" s="49" t="n"/>
      <c r="M536" s="49" t="n"/>
      <c r="N536" s="49" t="n"/>
      <c r="O536" s="49" t="n"/>
      <c r="P536" s="49" t="n"/>
      <c r="Q536" s="49" t="n"/>
      <c r="R536" s="49" t="n"/>
    </row>
    <row r="537" ht="15.75" customHeight="1" s="57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49" t="n"/>
      <c r="L537" s="49" t="n"/>
      <c r="M537" s="49" t="n"/>
      <c r="N537" s="49" t="n"/>
      <c r="O537" s="49" t="n"/>
      <c r="P537" s="49" t="n"/>
      <c r="Q537" s="49" t="n"/>
      <c r="R537" s="49" t="n"/>
    </row>
    <row r="538" ht="15.75" customHeight="1" s="57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49" t="n"/>
      <c r="L538" s="49" t="n"/>
      <c r="M538" s="49" t="n"/>
      <c r="N538" s="49" t="n"/>
      <c r="O538" s="49" t="n"/>
      <c r="P538" s="49" t="n"/>
      <c r="Q538" s="49" t="n"/>
      <c r="R538" s="49" t="n"/>
    </row>
    <row r="539" ht="15.75" customHeight="1" s="57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49" t="n"/>
      <c r="L539" s="49" t="n"/>
      <c r="M539" s="49" t="n"/>
      <c r="N539" s="49" t="n"/>
      <c r="O539" s="49" t="n"/>
      <c r="P539" s="49" t="n"/>
      <c r="Q539" s="49" t="n"/>
      <c r="R539" s="49" t="n"/>
    </row>
    <row r="540" ht="15.75" customHeight="1" s="57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49" t="n"/>
      <c r="L540" s="49" t="n"/>
      <c r="M540" s="49" t="n"/>
      <c r="N540" s="49" t="n"/>
      <c r="O540" s="49" t="n"/>
      <c r="P540" s="49" t="n"/>
      <c r="Q540" s="49" t="n"/>
      <c r="R540" s="49" t="n"/>
    </row>
    <row r="541" ht="15.75" customHeight="1" s="57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49" t="n"/>
      <c r="L541" s="49" t="n"/>
      <c r="M541" s="49" t="n"/>
      <c r="N541" s="49" t="n"/>
      <c r="O541" s="49" t="n"/>
      <c r="P541" s="49" t="n"/>
      <c r="Q541" s="49" t="n"/>
      <c r="R541" s="49" t="n"/>
    </row>
    <row r="542" ht="15.75" customHeight="1" s="57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49" t="n"/>
      <c r="L542" s="49" t="n"/>
      <c r="M542" s="49" t="n"/>
      <c r="N542" s="49" t="n"/>
      <c r="O542" s="49" t="n"/>
      <c r="P542" s="49" t="n"/>
      <c r="Q542" s="49" t="n"/>
      <c r="R542" s="49" t="n"/>
    </row>
    <row r="543" ht="15.75" customHeight="1" s="57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49" t="n"/>
      <c r="L543" s="49" t="n"/>
      <c r="M543" s="49" t="n"/>
      <c r="N543" s="49" t="n"/>
      <c r="O543" s="49" t="n"/>
      <c r="P543" s="49" t="n"/>
      <c r="Q543" s="49" t="n"/>
      <c r="R543" s="49" t="n"/>
    </row>
    <row r="544" ht="15.75" customHeight="1" s="57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49" t="n"/>
      <c r="L544" s="49" t="n"/>
      <c r="M544" s="49" t="n"/>
      <c r="N544" s="49" t="n"/>
      <c r="O544" s="49" t="n"/>
      <c r="P544" s="49" t="n"/>
      <c r="Q544" s="49" t="n"/>
      <c r="R544" s="49" t="n"/>
    </row>
    <row r="545" ht="15.75" customHeight="1" s="57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49" t="n"/>
      <c r="L545" s="49" t="n"/>
      <c r="M545" s="49" t="n"/>
      <c r="N545" s="49" t="n"/>
      <c r="O545" s="49" t="n"/>
      <c r="P545" s="49" t="n"/>
      <c r="Q545" s="49" t="n"/>
      <c r="R545" s="49" t="n"/>
    </row>
    <row r="546" ht="15.75" customHeight="1" s="57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49" t="n"/>
      <c r="L546" s="49" t="n"/>
      <c r="M546" s="49" t="n"/>
      <c r="N546" s="49" t="n"/>
      <c r="O546" s="49" t="n"/>
      <c r="P546" s="49" t="n"/>
      <c r="Q546" s="49" t="n"/>
      <c r="R546" s="49" t="n"/>
    </row>
    <row r="547" ht="15.75" customHeight="1" s="57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49" t="n"/>
      <c r="L547" s="49" t="n"/>
      <c r="M547" s="49" t="n"/>
      <c r="N547" s="49" t="n"/>
      <c r="O547" s="49" t="n"/>
      <c r="P547" s="49" t="n"/>
      <c r="Q547" s="49" t="n"/>
      <c r="R547" s="49" t="n"/>
    </row>
    <row r="548" ht="15.75" customHeight="1" s="57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49" t="n"/>
      <c r="L548" s="49" t="n"/>
      <c r="M548" s="49" t="n"/>
      <c r="N548" s="49" t="n"/>
      <c r="O548" s="49" t="n"/>
      <c r="P548" s="49" t="n"/>
      <c r="Q548" s="49" t="n"/>
      <c r="R548" s="49" t="n"/>
    </row>
    <row r="549" ht="15.75" customHeight="1" s="57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49" t="n"/>
      <c r="L549" s="49" t="n"/>
      <c r="M549" s="49" t="n"/>
      <c r="N549" s="49" t="n"/>
      <c r="O549" s="49" t="n"/>
      <c r="P549" s="49" t="n"/>
      <c r="Q549" s="49" t="n"/>
      <c r="R549" s="49" t="n"/>
    </row>
    <row r="550" ht="15.75" customHeight="1" s="57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49" t="n"/>
      <c r="L550" s="49" t="n"/>
      <c r="M550" s="49" t="n"/>
      <c r="N550" s="49" t="n"/>
      <c r="O550" s="49" t="n"/>
      <c r="P550" s="49" t="n"/>
      <c r="Q550" s="49" t="n"/>
      <c r="R550" s="49" t="n"/>
    </row>
    <row r="551" ht="15.75" customHeight="1" s="57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49" t="n"/>
      <c r="L551" s="49" t="n"/>
      <c r="M551" s="49" t="n"/>
      <c r="N551" s="49" t="n"/>
      <c r="O551" s="49" t="n"/>
      <c r="P551" s="49" t="n"/>
      <c r="Q551" s="49" t="n"/>
      <c r="R551" s="49" t="n"/>
    </row>
    <row r="552" ht="15.75" customHeight="1" s="57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49" t="n"/>
      <c r="L552" s="49" t="n"/>
      <c r="M552" s="49" t="n"/>
      <c r="N552" s="49" t="n"/>
      <c r="O552" s="49" t="n"/>
      <c r="P552" s="49" t="n"/>
      <c r="Q552" s="49" t="n"/>
      <c r="R552" s="49" t="n"/>
    </row>
    <row r="553" ht="15.75" customHeight="1" s="57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49" t="n"/>
      <c r="L553" s="49" t="n"/>
      <c r="M553" s="49" t="n"/>
      <c r="N553" s="49" t="n"/>
      <c r="O553" s="49" t="n"/>
      <c r="P553" s="49" t="n"/>
      <c r="Q553" s="49" t="n"/>
      <c r="R553" s="49" t="n"/>
    </row>
    <row r="554" ht="15.75" customHeight="1" s="57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49" t="n"/>
      <c r="L554" s="49" t="n"/>
      <c r="M554" s="49" t="n"/>
      <c r="N554" s="49" t="n"/>
      <c r="O554" s="49" t="n"/>
      <c r="P554" s="49" t="n"/>
      <c r="Q554" s="49" t="n"/>
      <c r="R554" s="49" t="n"/>
    </row>
    <row r="555" ht="15.75" customHeight="1" s="57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49" t="n"/>
      <c r="L555" s="49" t="n"/>
      <c r="M555" s="49" t="n"/>
      <c r="N555" s="49" t="n"/>
      <c r="O555" s="49" t="n"/>
      <c r="P555" s="49" t="n"/>
      <c r="Q555" s="49" t="n"/>
      <c r="R555" s="49" t="n"/>
    </row>
    <row r="556" ht="15.75" customHeight="1" s="57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49" t="n"/>
      <c r="L556" s="49" t="n"/>
      <c r="M556" s="49" t="n"/>
      <c r="N556" s="49" t="n"/>
      <c r="O556" s="49" t="n"/>
      <c r="P556" s="49" t="n"/>
      <c r="Q556" s="49" t="n"/>
      <c r="R556" s="49" t="n"/>
    </row>
    <row r="557" ht="15.75" customHeight="1" s="57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49" t="n"/>
      <c r="L557" s="49" t="n"/>
      <c r="M557" s="49" t="n"/>
      <c r="N557" s="49" t="n"/>
      <c r="O557" s="49" t="n"/>
      <c r="P557" s="49" t="n"/>
      <c r="Q557" s="49" t="n"/>
      <c r="R557" s="49" t="n"/>
    </row>
    <row r="558" ht="15.75" customHeight="1" s="57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49" t="n"/>
      <c r="L558" s="49" t="n"/>
      <c r="M558" s="49" t="n"/>
      <c r="N558" s="49" t="n"/>
      <c r="O558" s="49" t="n"/>
      <c r="P558" s="49" t="n"/>
      <c r="Q558" s="49" t="n"/>
      <c r="R558" s="49" t="n"/>
    </row>
    <row r="559" ht="15.75" customHeight="1" s="57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49" t="n"/>
      <c r="L559" s="49" t="n"/>
      <c r="M559" s="49" t="n"/>
      <c r="N559" s="49" t="n"/>
      <c r="O559" s="49" t="n"/>
      <c r="P559" s="49" t="n"/>
      <c r="Q559" s="49" t="n"/>
      <c r="R559" s="49" t="n"/>
    </row>
    <row r="560" ht="15.75" customHeight="1" s="57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49" t="n"/>
      <c r="L560" s="49" t="n"/>
      <c r="M560" s="49" t="n"/>
      <c r="N560" s="49" t="n"/>
      <c r="O560" s="49" t="n"/>
      <c r="P560" s="49" t="n"/>
      <c r="Q560" s="49" t="n"/>
      <c r="R560" s="49" t="n"/>
    </row>
    <row r="561" ht="15.75" customHeight="1" s="57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49" t="n"/>
      <c r="L561" s="49" t="n"/>
      <c r="M561" s="49" t="n"/>
      <c r="N561" s="49" t="n"/>
      <c r="O561" s="49" t="n"/>
      <c r="P561" s="49" t="n"/>
      <c r="Q561" s="49" t="n"/>
      <c r="R561" s="49" t="n"/>
    </row>
    <row r="562" ht="15.75" customHeight="1" s="57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49" t="n"/>
      <c r="L562" s="49" t="n"/>
      <c r="M562" s="49" t="n"/>
      <c r="N562" s="49" t="n"/>
      <c r="O562" s="49" t="n"/>
      <c r="P562" s="49" t="n"/>
      <c r="Q562" s="49" t="n"/>
      <c r="R562" s="49" t="n"/>
    </row>
    <row r="563" ht="15.75" customHeight="1" s="57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49" t="n"/>
      <c r="L563" s="49" t="n"/>
      <c r="M563" s="49" t="n"/>
      <c r="N563" s="49" t="n"/>
      <c r="O563" s="49" t="n"/>
      <c r="P563" s="49" t="n"/>
      <c r="Q563" s="49" t="n"/>
      <c r="R563" s="49" t="n"/>
    </row>
    <row r="564" ht="15.75" customHeight="1" s="57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49" t="n"/>
      <c r="L564" s="49" t="n"/>
      <c r="M564" s="49" t="n"/>
      <c r="N564" s="49" t="n"/>
      <c r="O564" s="49" t="n"/>
      <c r="P564" s="49" t="n"/>
      <c r="Q564" s="49" t="n"/>
      <c r="R564" s="49" t="n"/>
    </row>
    <row r="565" ht="15.75" customHeight="1" s="57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49" t="n"/>
      <c r="L565" s="49" t="n"/>
      <c r="M565" s="49" t="n"/>
      <c r="N565" s="49" t="n"/>
      <c r="O565" s="49" t="n"/>
      <c r="P565" s="49" t="n"/>
      <c r="Q565" s="49" t="n"/>
      <c r="R565" s="49" t="n"/>
    </row>
    <row r="566" ht="15.75" customHeight="1" s="57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49" t="n"/>
      <c r="L566" s="49" t="n"/>
      <c r="M566" s="49" t="n"/>
      <c r="N566" s="49" t="n"/>
      <c r="O566" s="49" t="n"/>
      <c r="P566" s="49" t="n"/>
      <c r="Q566" s="49" t="n"/>
      <c r="R566" s="49" t="n"/>
    </row>
    <row r="567" ht="15.75" customHeight="1" s="57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49" t="n"/>
      <c r="L567" s="49" t="n"/>
      <c r="M567" s="49" t="n"/>
      <c r="N567" s="49" t="n"/>
      <c r="O567" s="49" t="n"/>
      <c r="P567" s="49" t="n"/>
      <c r="Q567" s="49" t="n"/>
      <c r="R567" s="49" t="n"/>
    </row>
    <row r="568" ht="15.75" customHeight="1" s="57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49" t="n"/>
      <c r="L568" s="49" t="n"/>
      <c r="M568" s="49" t="n"/>
      <c r="N568" s="49" t="n"/>
      <c r="O568" s="49" t="n"/>
      <c r="P568" s="49" t="n"/>
      <c r="Q568" s="49" t="n"/>
      <c r="R568" s="49" t="n"/>
    </row>
    <row r="569" ht="15.75" customHeight="1" s="57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49" t="n"/>
      <c r="L569" s="49" t="n"/>
      <c r="M569" s="49" t="n"/>
      <c r="N569" s="49" t="n"/>
      <c r="O569" s="49" t="n"/>
      <c r="P569" s="49" t="n"/>
      <c r="Q569" s="49" t="n"/>
      <c r="R569" s="49" t="n"/>
    </row>
    <row r="570" ht="15.75" customHeight="1" s="57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49" t="n"/>
      <c r="L570" s="49" t="n"/>
      <c r="M570" s="49" t="n"/>
      <c r="N570" s="49" t="n"/>
      <c r="O570" s="49" t="n"/>
      <c r="P570" s="49" t="n"/>
      <c r="Q570" s="49" t="n"/>
      <c r="R570" s="49" t="n"/>
    </row>
    <row r="571" ht="15.75" customHeight="1" s="57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49" t="n"/>
      <c r="L571" s="49" t="n"/>
      <c r="M571" s="49" t="n"/>
      <c r="N571" s="49" t="n"/>
      <c r="O571" s="49" t="n"/>
      <c r="P571" s="49" t="n"/>
      <c r="Q571" s="49" t="n"/>
      <c r="R571" s="49" t="n"/>
    </row>
    <row r="572" ht="15.75" customHeight="1" s="57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49" t="n"/>
      <c r="L572" s="49" t="n"/>
      <c r="M572" s="49" t="n"/>
      <c r="N572" s="49" t="n"/>
      <c r="O572" s="49" t="n"/>
      <c r="P572" s="49" t="n"/>
      <c r="Q572" s="49" t="n"/>
      <c r="R572" s="49" t="n"/>
    </row>
    <row r="573" ht="15.75" customHeight="1" s="57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49" t="n"/>
      <c r="L573" s="49" t="n"/>
      <c r="M573" s="49" t="n"/>
      <c r="N573" s="49" t="n"/>
      <c r="O573" s="49" t="n"/>
      <c r="P573" s="49" t="n"/>
      <c r="Q573" s="49" t="n"/>
      <c r="R573" s="49" t="n"/>
    </row>
    <row r="574" ht="15.75" customHeight="1" s="57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49" t="n"/>
      <c r="L574" s="49" t="n"/>
      <c r="M574" s="49" t="n"/>
      <c r="N574" s="49" t="n"/>
      <c r="O574" s="49" t="n"/>
      <c r="P574" s="49" t="n"/>
      <c r="Q574" s="49" t="n"/>
      <c r="R574" s="49" t="n"/>
    </row>
    <row r="575" ht="15.75" customHeight="1" s="57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49" t="n"/>
      <c r="L575" s="49" t="n"/>
      <c r="M575" s="49" t="n"/>
      <c r="N575" s="49" t="n"/>
      <c r="O575" s="49" t="n"/>
      <c r="P575" s="49" t="n"/>
      <c r="Q575" s="49" t="n"/>
      <c r="R575" s="49" t="n"/>
    </row>
    <row r="576" ht="15.75" customHeight="1" s="57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49" t="n"/>
      <c r="L576" s="49" t="n"/>
      <c r="M576" s="49" t="n"/>
      <c r="N576" s="49" t="n"/>
      <c r="O576" s="49" t="n"/>
      <c r="P576" s="49" t="n"/>
      <c r="Q576" s="49" t="n"/>
      <c r="R576" s="49" t="n"/>
    </row>
    <row r="577" ht="15.75" customHeight="1" s="57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49" t="n"/>
      <c r="L577" s="49" t="n"/>
      <c r="M577" s="49" t="n"/>
      <c r="N577" s="49" t="n"/>
      <c r="O577" s="49" t="n"/>
      <c r="P577" s="49" t="n"/>
      <c r="Q577" s="49" t="n"/>
      <c r="R577" s="49" t="n"/>
    </row>
    <row r="578" ht="15.75" customHeight="1" s="57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49" t="n"/>
      <c r="L578" s="49" t="n"/>
      <c r="M578" s="49" t="n"/>
      <c r="N578" s="49" t="n"/>
      <c r="O578" s="49" t="n"/>
      <c r="P578" s="49" t="n"/>
      <c r="Q578" s="49" t="n"/>
      <c r="R578" s="49" t="n"/>
    </row>
    <row r="579" ht="15.75" customHeight="1" s="57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49" t="n"/>
      <c r="L579" s="49" t="n"/>
      <c r="M579" s="49" t="n"/>
      <c r="N579" s="49" t="n"/>
      <c r="O579" s="49" t="n"/>
      <c r="P579" s="49" t="n"/>
      <c r="Q579" s="49" t="n"/>
      <c r="R579" s="49" t="n"/>
    </row>
    <row r="580" ht="15.75" customHeight="1" s="57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49" t="n"/>
      <c r="L580" s="49" t="n"/>
      <c r="M580" s="49" t="n"/>
      <c r="N580" s="49" t="n"/>
      <c r="O580" s="49" t="n"/>
      <c r="P580" s="49" t="n"/>
      <c r="Q580" s="49" t="n"/>
      <c r="R580" s="49" t="n"/>
    </row>
    <row r="581" ht="15.75" customHeight="1" s="57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49" t="n"/>
      <c r="L581" s="49" t="n"/>
      <c r="M581" s="49" t="n"/>
      <c r="N581" s="49" t="n"/>
      <c r="O581" s="49" t="n"/>
      <c r="P581" s="49" t="n"/>
      <c r="Q581" s="49" t="n"/>
      <c r="R581" s="49" t="n"/>
    </row>
    <row r="582" ht="15.75" customHeight="1" s="57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49" t="n"/>
      <c r="L582" s="49" t="n"/>
      <c r="M582" s="49" t="n"/>
      <c r="N582" s="49" t="n"/>
      <c r="O582" s="49" t="n"/>
      <c r="P582" s="49" t="n"/>
      <c r="Q582" s="49" t="n"/>
      <c r="R582" s="49" t="n"/>
    </row>
    <row r="583" ht="15.75" customHeight="1" s="57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49" t="n"/>
      <c r="L583" s="49" t="n"/>
      <c r="M583" s="49" t="n"/>
      <c r="N583" s="49" t="n"/>
      <c r="O583" s="49" t="n"/>
      <c r="P583" s="49" t="n"/>
      <c r="Q583" s="49" t="n"/>
      <c r="R583" s="49" t="n"/>
    </row>
    <row r="584" ht="15.75" customHeight="1" s="57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49" t="n"/>
      <c r="L584" s="49" t="n"/>
      <c r="M584" s="49" t="n"/>
      <c r="N584" s="49" t="n"/>
      <c r="O584" s="49" t="n"/>
      <c r="P584" s="49" t="n"/>
      <c r="Q584" s="49" t="n"/>
      <c r="R584" s="49" t="n"/>
    </row>
    <row r="585" ht="15.75" customHeight="1" s="57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49" t="n"/>
      <c r="L585" s="49" t="n"/>
      <c r="M585" s="49" t="n"/>
      <c r="N585" s="49" t="n"/>
      <c r="O585" s="49" t="n"/>
      <c r="P585" s="49" t="n"/>
      <c r="Q585" s="49" t="n"/>
      <c r="R585" s="49" t="n"/>
    </row>
    <row r="586" ht="15.75" customHeight="1" s="57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49" t="n"/>
      <c r="L586" s="49" t="n"/>
      <c r="M586" s="49" t="n"/>
      <c r="N586" s="49" t="n"/>
      <c r="O586" s="49" t="n"/>
      <c r="P586" s="49" t="n"/>
      <c r="Q586" s="49" t="n"/>
      <c r="R586" s="49" t="n"/>
    </row>
    <row r="587" ht="15.75" customHeight="1" s="57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49" t="n"/>
      <c r="L587" s="49" t="n"/>
      <c r="M587" s="49" t="n"/>
      <c r="N587" s="49" t="n"/>
      <c r="O587" s="49" t="n"/>
      <c r="P587" s="49" t="n"/>
      <c r="Q587" s="49" t="n"/>
      <c r="R587" s="49" t="n"/>
    </row>
    <row r="588" ht="15.75" customHeight="1" s="57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49" t="n"/>
      <c r="L588" s="49" t="n"/>
      <c r="M588" s="49" t="n"/>
      <c r="N588" s="49" t="n"/>
      <c r="O588" s="49" t="n"/>
      <c r="P588" s="49" t="n"/>
      <c r="Q588" s="49" t="n"/>
      <c r="R588" s="49" t="n"/>
    </row>
    <row r="589" ht="15.75" customHeight="1" s="57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49" t="n"/>
      <c r="L589" s="49" t="n"/>
      <c r="M589" s="49" t="n"/>
      <c r="N589" s="49" t="n"/>
      <c r="O589" s="49" t="n"/>
      <c r="P589" s="49" t="n"/>
      <c r="Q589" s="49" t="n"/>
      <c r="R589" s="49" t="n"/>
    </row>
    <row r="590" ht="15.75" customHeight="1" s="57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49" t="n"/>
      <c r="L590" s="49" t="n"/>
      <c r="M590" s="49" t="n"/>
      <c r="N590" s="49" t="n"/>
      <c r="O590" s="49" t="n"/>
      <c r="P590" s="49" t="n"/>
      <c r="Q590" s="49" t="n"/>
      <c r="R590" s="49" t="n"/>
    </row>
    <row r="591" ht="15.75" customHeight="1" s="57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49" t="n"/>
      <c r="L591" s="49" t="n"/>
      <c r="M591" s="49" t="n"/>
      <c r="N591" s="49" t="n"/>
      <c r="O591" s="49" t="n"/>
      <c r="P591" s="49" t="n"/>
      <c r="Q591" s="49" t="n"/>
      <c r="R591" s="49" t="n"/>
    </row>
    <row r="592" ht="15.75" customHeight="1" s="57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49" t="n"/>
      <c r="L592" s="49" t="n"/>
      <c r="M592" s="49" t="n"/>
      <c r="N592" s="49" t="n"/>
      <c r="O592" s="49" t="n"/>
      <c r="P592" s="49" t="n"/>
      <c r="Q592" s="49" t="n"/>
      <c r="R592" s="49" t="n"/>
    </row>
    <row r="593" ht="15.75" customHeight="1" s="57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49" t="n"/>
      <c r="L593" s="49" t="n"/>
      <c r="M593" s="49" t="n"/>
      <c r="N593" s="49" t="n"/>
      <c r="O593" s="49" t="n"/>
      <c r="P593" s="49" t="n"/>
      <c r="Q593" s="49" t="n"/>
      <c r="R593" s="49" t="n"/>
    </row>
    <row r="594" ht="15.75" customHeight="1" s="57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49" t="n"/>
      <c r="L594" s="49" t="n"/>
      <c r="M594" s="49" t="n"/>
      <c r="N594" s="49" t="n"/>
      <c r="O594" s="49" t="n"/>
      <c r="P594" s="49" t="n"/>
      <c r="Q594" s="49" t="n"/>
      <c r="R594" s="49" t="n"/>
    </row>
    <row r="595" ht="15.75" customHeight="1" s="57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49" t="n"/>
      <c r="L595" s="49" t="n"/>
      <c r="M595" s="49" t="n"/>
      <c r="N595" s="49" t="n"/>
      <c r="O595" s="49" t="n"/>
      <c r="P595" s="49" t="n"/>
      <c r="Q595" s="49" t="n"/>
      <c r="R595" s="49" t="n"/>
    </row>
    <row r="596" ht="15.75" customHeight="1" s="57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49" t="n"/>
      <c r="L596" s="49" t="n"/>
      <c r="M596" s="49" t="n"/>
      <c r="N596" s="49" t="n"/>
      <c r="O596" s="49" t="n"/>
      <c r="P596" s="49" t="n"/>
      <c r="Q596" s="49" t="n"/>
      <c r="R596" s="49" t="n"/>
    </row>
    <row r="597" ht="15.75" customHeight="1" s="57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49" t="n"/>
      <c r="L597" s="49" t="n"/>
      <c r="M597" s="49" t="n"/>
      <c r="N597" s="49" t="n"/>
      <c r="O597" s="49" t="n"/>
      <c r="P597" s="49" t="n"/>
      <c r="Q597" s="49" t="n"/>
      <c r="R597" s="49" t="n"/>
    </row>
    <row r="598" ht="15.75" customHeight="1" s="57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49" t="n"/>
      <c r="L598" s="49" t="n"/>
      <c r="M598" s="49" t="n"/>
      <c r="N598" s="49" t="n"/>
      <c r="O598" s="49" t="n"/>
      <c r="P598" s="49" t="n"/>
      <c r="Q598" s="49" t="n"/>
      <c r="R598" s="49" t="n"/>
    </row>
    <row r="599" ht="15.75" customHeight="1" s="57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49" t="n"/>
      <c r="L599" s="49" t="n"/>
      <c r="M599" s="49" t="n"/>
      <c r="N599" s="49" t="n"/>
      <c r="O599" s="49" t="n"/>
      <c r="P599" s="49" t="n"/>
      <c r="Q599" s="49" t="n"/>
      <c r="R599" s="49" t="n"/>
    </row>
    <row r="600" ht="15.75" customHeight="1" s="57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49" t="n"/>
      <c r="L600" s="49" t="n"/>
      <c r="M600" s="49" t="n"/>
      <c r="N600" s="49" t="n"/>
      <c r="O600" s="49" t="n"/>
      <c r="P600" s="49" t="n"/>
      <c r="Q600" s="49" t="n"/>
      <c r="R600" s="49" t="n"/>
    </row>
    <row r="601" ht="15.75" customHeight="1" s="57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49" t="n"/>
      <c r="L601" s="49" t="n"/>
      <c r="M601" s="49" t="n"/>
      <c r="N601" s="49" t="n"/>
      <c r="O601" s="49" t="n"/>
      <c r="P601" s="49" t="n"/>
      <c r="Q601" s="49" t="n"/>
      <c r="R601" s="49" t="n"/>
    </row>
    <row r="602" ht="15.75" customHeight="1" s="57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49" t="n"/>
      <c r="L602" s="49" t="n"/>
      <c r="M602" s="49" t="n"/>
      <c r="N602" s="49" t="n"/>
      <c r="O602" s="49" t="n"/>
      <c r="P602" s="49" t="n"/>
      <c r="Q602" s="49" t="n"/>
      <c r="R602" s="49" t="n"/>
    </row>
    <row r="603" ht="15.75" customHeight="1" s="57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49" t="n"/>
      <c r="L603" s="49" t="n"/>
      <c r="M603" s="49" t="n"/>
      <c r="N603" s="49" t="n"/>
      <c r="O603" s="49" t="n"/>
      <c r="P603" s="49" t="n"/>
      <c r="Q603" s="49" t="n"/>
      <c r="R603" s="49" t="n"/>
    </row>
    <row r="604" ht="15.75" customHeight="1" s="57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49" t="n"/>
      <c r="L604" s="49" t="n"/>
      <c r="M604" s="49" t="n"/>
      <c r="N604" s="49" t="n"/>
      <c r="O604" s="49" t="n"/>
      <c r="P604" s="49" t="n"/>
      <c r="Q604" s="49" t="n"/>
      <c r="R604" s="49" t="n"/>
    </row>
    <row r="605" ht="15.75" customHeight="1" s="57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49" t="n"/>
      <c r="L605" s="49" t="n"/>
      <c r="M605" s="49" t="n"/>
      <c r="N605" s="49" t="n"/>
      <c r="O605" s="49" t="n"/>
      <c r="P605" s="49" t="n"/>
      <c r="Q605" s="49" t="n"/>
      <c r="R605" s="49" t="n"/>
    </row>
    <row r="606" ht="15.75" customHeight="1" s="57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49" t="n"/>
      <c r="L606" s="49" t="n"/>
      <c r="M606" s="49" t="n"/>
      <c r="N606" s="49" t="n"/>
      <c r="O606" s="49" t="n"/>
      <c r="P606" s="49" t="n"/>
      <c r="Q606" s="49" t="n"/>
      <c r="R606" s="49" t="n"/>
    </row>
    <row r="607" ht="15.75" customHeight="1" s="57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49" t="n"/>
      <c r="L607" s="49" t="n"/>
      <c r="M607" s="49" t="n"/>
      <c r="N607" s="49" t="n"/>
      <c r="O607" s="49" t="n"/>
      <c r="P607" s="49" t="n"/>
      <c r="Q607" s="49" t="n"/>
      <c r="R607" s="49" t="n"/>
    </row>
    <row r="608" ht="15.75" customHeight="1" s="57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49" t="n"/>
      <c r="L608" s="49" t="n"/>
      <c r="M608" s="49" t="n"/>
      <c r="N608" s="49" t="n"/>
      <c r="O608" s="49" t="n"/>
      <c r="P608" s="49" t="n"/>
      <c r="Q608" s="49" t="n"/>
      <c r="R608" s="49" t="n"/>
    </row>
    <row r="609" ht="15.75" customHeight="1" s="57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49" t="n"/>
      <c r="L609" s="49" t="n"/>
      <c r="M609" s="49" t="n"/>
      <c r="N609" s="49" t="n"/>
      <c r="O609" s="49" t="n"/>
      <c r="P609" s="49" t="n"/>
      <c r="Q609" s="49" t="n"/>
      <c r="R609" s="49" t="n"/>
    </row>
    <row r="610" ht="15.75" customHeight="1" s="57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49" t="n"/>
      <c r="L610" s="49" t="n"/>
      <c r="M610" s="49" t="n"/>
      <c r="N610" s="49" t="n"/>
      <c r="O610" s="49" t="n"/>
      <c r="P610" s="49" t="n"/>
      <c r="Q610" s="49" t="n"/>
      <c r="R610" s="49" t="n"/>
    </row>
    <row r="611" ht="15.75" customHeight="1" s="57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49" t="n"/>
      <c r="L611" s="49" t="n"/>
      <c r="M611" s="49" t="n"/>
      <c r="N611" s="49" t="n"/>
      <c r="O611" s="49" t="n"/>
      <c r="P611" s="49" t="n"/>
      <c r="Q611" s="49" t="n"/>
      <c r="R611" s="49" t="n"/>
    </row>
    <row r="612" ht="15.75" customHeight="1" s="57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49" t="n"/>
      <c r="L612" s="49" t="n"/>
      <c r="M612" s="49" t="n"/>
      <c r="N612" s="49" t="n"/>
      <c r="O612" s="49" t="n"/>
      <c r="P612" s="49" t="n"/>
      <c r="Q612" s="49" t="n"/>
      <c r="R612" s="49" t="n"/>
    </row>
    <row r="613" ht="15.75" customHeight="1" s="57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49" t="n"/>
      <c r="L613" s="49" t="n"/>
      <c r="M613" s="49" t="n"/>
      <c r="N613" s="49" t="n"/>
      <c r="O613" s="49" t="n"/>
      <c r="P613" s="49" t="n"/>
      <c r="Q613" s="49" t="n"/>
      <c r="R613" s="49" t="n"/>
    </row>
    <row r="614" ht="15.75" customHeight="1" s="57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49" t="n"/>
      <c r="L614" s="49" t="n"/>
      <c r="M614" s="49" t="n"/>
      <c r="N614" s="49" t="n"/>
      <c r="O614" s="49" t="n"/>
      <c r="P614" s="49" t="n"/>
      <c r="Q614" s="49" t="n"/>
      <c r="R614" s="49" t="n"/>
    </row>
    <row r="615" ht="15.75" customHeight="1" s="57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49" t="n"/>
      <c r="L615" s="49" t="n"/>
      <c r="M615" s="49" t="n"/>
      <c r="N615" s="49" t="n"/>
      <c r="O615" s="49" t="n"/>
      <c r="P615" s="49" t="n"/>
      <c r="Q615" s="49" t="n"/>
      <c r="R615" s="49" t="n"/>
    </row>
    <row r="616" ht="15.75" customHeight="1" s="57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49" t="n"/>
      <c r="L616" s="49" t="n"/>
      <c r="M616" s="49" t="n"/>
      <c r="N616" s="49" t="n"/>
      <c r="O616" s="49" t="n"/>
      <c r="P616" s="49" t="n"/>
      <c r="Q616" s="49" t="n"/>
      <c r="R616" s="49" t="n"/>
    </row>
    <row r="617" ht="15.75" customHeight="1" s="57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49" t="n"/>
      <c r="L617" s="49" t="n"/>
      <c r="M617" s="49" t="n"/>
      <c r="N617" s="49" t="n"/>
      <c r="O617" s="49" t="n"/>
      <c r="P617" s="49" t="n"/>
      <c r="Q617" s="49" t="n"/>
      <c r="R617" s="49" t="n"/>
    </row>
    <row r="618" ht="15.75" customHeight="1" s="57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49" t="n"/>
      <c r="L618" s="49" t="n"/>
      <c r="M618" s="49" t="n"/>
      <c r="N618" s="49" t="n"/>
      <c r="O618" s="49" t="n"/>
      <c r="P618" s="49" t="n"/>
      <c r="Q618" s="49" t="n"/>
      <c r="R618" s="49" t="n"/>
    </row>
    <row r="619" ht="15.75" customHeight="1" s="57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49" t="n"/>
      <c r="L619" s="49" t="n"/>
      <c r="M619" s="49" t="n"/>
      <c r="N619" s="49" t="n"/>
      <c r="O619" s="49" t="n"/>
      <c r="P619" s="49" t="n"/>
      <c r="Q619" s="49" t="n"/>
      <c r="R619" s="49" t="n"/>
    </row>
    <row r="620" ht="15.75" customHeight="1" s="57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49" t="n"/>
      <c r="L620" s="49" t="n"/>
      <c r="M620" s="49" t="n"/>
      <c r="N620" s="49" t="n"/>
      <c r="O620" s="49" t="n"/>
      <c r="P620" s="49" t="n"/>
      <c r="Q620" s="49" t="n"/>
      <c r="R620" s="49" t="n"/>
    </row>
    <row r="621" ht="15.75" customHeight="1" s="57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49" t="n"/>
      <c r="L621" s="49" t="n"/>
      <c r="M621" s="49" t="n"/>
      <c r="N621" s="49" t="n"/>
      <c r="O621" s="49" t="n"/>
      <c r="P621" s="49" t="n"/>
      <c r="Q621" s="49" t="n"/>
      <c r="R621" s="49" t="n"/>
    </row>
    <row r="622" ht="15.75" customHeight="1" s="57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49" t="n"/>
      <c r="L622" s="49" t="n"/>
      <c r="M622" s="49" t="n"/>
      <c r="N622" s="49" t="n"/>
      <c r="O622" s="49" t="n"/>
      <c r="P622" s="49" t="n"/>
      <c r="Q622" s="49" t="n"/>
      <c r="R622" s="49" t="n"/>
    </row>
    <row r="623" ht="15.75" customHeight="1" s="57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49" t="n"/>
      <c r="L623" s="49" t="n"/>
      <c r="M623" s="49" t="n"/>
      <c r="N623" s="49" t="n"/>
      <c r="O623" s="49" t="n"/>
      <c r="P623" s="49" t="n"/>
      <c r="Q623" s="49" t="n"/>
      <c r="R623" s="49" t="n"/>
    </row>
    <row r="624" ht="15.75" customHeight="1" s="57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49" t="n"/>
      <c r="L624" s="49" t="n"/>
      <c r="M624" s="49" t="n"/>
      <c r="N624" s="49" t="n"/>
      <c r="O624" s="49" t="n"/>
      <c r="P624" s="49" t="n"/>
      <c r="Q624" s="49" t="n"/>
      <c r="R624" s="49" t="n"/>
    </row>
    <row r="625" ht="15.75" customHeight="1" s="57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49" t="n"/>
      <c r="L625" s="49" t="n"/>
      <c r="M625" s="49" t="n"/>
      <c r="N625" s="49" t="n"/>
      <c r="O625" s="49" t="n"/>
      <c r="P625" s="49" t="n"/>
      <c r="Q625" s="49" t="n"/>
      <c r="R625" s="49" t="n"/>
    </row>
    <row r="626" ht="15.75" customHeight="1" s="57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49" t="n"/>
      <c r="L626" s="49" t="n"/>
      <c r="M626" s="49" t="n"/>
      <c r="N626" s="49" t="n"/>
      <c r="O626" s="49" t="n"/>
      <c r="P626" s="49" t="n"/>
      <c r="Q626" s="49" t="n"/>
      <c r="R626" s="49" t="n"/>
    </row>
    <row r="627" ht="15.75" customHeight="1" s="57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49" t="n"/>
      <c r="L627" s="49" t="n"/>
      <c r="M627" s="49" t="n"/>
      <c r="N627" s="49" t="n"/>
      <c r="O627" s="49" t="n"/>
      <c r="P627" s="49" t="n"/>
      <c r="Q627" s="49" t="n"/>
      <c r="R627" s="49" t="n"/>
    </row>
    <row r="628" ht="15.75" customHeight="1" s="57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49" t="n"/>
      <c r="L628" s="49" t="n"/>
      <c r="M628" s="49" t="n"/>
      <c r="N628" s="49" t="n"/>
      <c r="O628" s="49" t="n"/>
      <c r="P628" s="49" t="n"/>
      <c r="Q628" s="49" t="n"/>
      <c r="R628" s="49" t="n"/>
    </row>
    <row r="629" ht="15.75" customHeight="1" s="57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49" t="n"/>
      <c r="L629" s="49" t="n"/>
      <c r="M629" s="49" t="n"/>
      <c r="N629" s="49" t="n"/>
      <c r="O629" s="49" t="n"/>
      <c r="P629" s="49" t="n"/>
      <c r="Q629" s="49" t="n"/>
      <c r="R629" s="49" t="n"/>
    </row>
    <row r="630" ht="15.75" customHeight="1" s="57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49" t="n"/>
      <c r="L630" s="49" t="n"/>
      <c r="M630" s="49" t="n"/>
      <c r="N630" s="49" t="n"/>
      <c r="O630" s="49" t="n"/>
      <c r="P630" s="49" t="n"/>
      <c r="Q630" s="49" t="n"/>
      <c r="R630" s="49" t="n"/>
    </row>
    <row r="631" ht="15.75" customHeight="1" s="57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49" t="n"/>
      <c r="L631" s="49" t="n"/>
      <c r="M631" s="49" t="n"/>
      <c r="N631" s="49" t="n"/>
      <c r="O631" s="49" t="n"/>
      <c r="P631" s="49" t="n"/>
      <c r="Q631" s="49" t="n"/>
      <c r="R631" s="49" t="n"/>
    </row>
    <row r="632" ht="15.75" customHeight="1" s="57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49" t="n"/>
      <c r="L632" s="49" t="n"/>
      <c r="M632" s="49" t="n"/>
      <c r="N632" s="49" t="n"/>
      <c r="O632" s="49" t="n"/>
      <c r="P632" s="49" t="n"/>
      <c r="Q632" s="49" t="n"/>
      <c r="R632" s="49" t="n"/>
    </row>
    <row r="633" ht="15.75" customHeight="1" s="57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49" t="n"/>
      <c r="L633" s="49" t="n"/>
      <c r="M633" s="49" t="n"/>
      <c r="N633" s="49" t="n"/>
      <c r="O633" s="49" t="n"/>
      <c r="P633" s="49" t="n"/>
      <c r="Q633" s="49" t="n"/>
      <c r="R633" s="49" t="n"/>
    </row>
    <row r="634" ht="15.75" customHeight="1" s="57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49" t="n"/>
      <c r="L634" s="49" t="n"/>
      <c r="M634" s="49" t="n"/>
      <c r="N634" s="49" t="n"/>
      <c r="O634" s="49" t="n"/>
      <c r="P634" s="49" t="n"/>
      <c r="Q634" s="49" t="n"/>
      <c r="R634" s="49" t="n"/>
    </row>
    <row r="635" ht="15.75" customHeight="1" s="57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49" t="n"/>
      <c r="L635" s="49" t="n"/>
      <c r="M635" s="49" t="n"/>
      <c r="N635" s="49" t="n"/>
      <c r="O635" s="49" t="n"/>
      <c r="P635" s="49" t="n"/>
      <c r="Q635" s="49" t="n"/>
      <c r="R635" s="49" t="n"/>
    </row>
    <row r="636" ht="15.75" customHeight="1" s="57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49" t="n"/>
      <c r="L636" s="49" t="n"/>
      <c r="M636" s="49" t="n"/>
      <c r="N636" s="49" t="n"/>
      <c r="O636" s="49" t="n"/>
      <c r="P636" s="49" t="n"/>
      <c r="Q636" s="49" t="n"/>
      <c r="R636" s="49" t="n"/>
    </row>
    <row r="637" ht="15.75" customHeight="1" s="57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49" t="n"/>
      <c r="L637" s="49" t="n"/>
      <c r="M637" s="49" t="n"/>
      <c r="N637" s="49" t="n"/>
      <c r="O637" s="49" t="n"/>
      <c r="P637" s="49" t="n"/>
      <c r="Q637" s="49" t="n"/>
      <c r="R637" s="49" t="n"/>
    </row>
    <row r="638" ht="15.75" customHeight="1" s="57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49" t="n"/>
      <c r="L638" s="49" t="n"/>
      <c r="M638" s="49" t="n"/>
      <c r="N638" s="49" t="n"/>
      <c r="O638" s="49" t="n"/>
      <c r="P638" s="49" t="n"/>
      <c r="Q638" s="49" t="n"/>
      <c r="R638" s="49" t="n"/>
    </row>
    <row r="639" ht="15.75" customHeight="1" s="57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49" t="n"/>
      <c r="L639" s="49" t="n"/>
      <c r="M639" s="49" t="n"/>
      <c r="N639" s="49" t="n"/>
      <c r="O639" s="49" t="n"/>
      <c r="P639" s="49" t="n"/>
      <c r="Q639" s="49" t="n"/>
      <c r="R639" s="49" t="n"/>
    </row>
    <row r="640" ht="15.75" customHeight="1" s="57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49" t="n"/>
      <c r="L640" s="49" t="n"/>
      <c r="M640" s="49" t="n"/>
      <c r="N640" s="49" t="n"/>
      <c r="O640" s="49" t="n"/>
      <c r="P640" s="49" t="n"/>
      <c r="Q640" s="49" t="n"/>
      <c r="R640" s="49" t="n"/>
    </row>
    <row r="641" ht="15.75" customHeight="1" s="57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49" t="n"/>
      <c r="L641" s="49" t="n"/>
      <c r="M641" s="49" t="n"/>
      <c r="N641" s="49" t="n"/>
      <c r="O641" s="49" t="n"/>
      <c r="P641" s="49" t="n"/>
      <c r="Q641" s="49" t="n"/>
      <c r="R641" s="49" t="n"/>
    </row>
    <row r="642" ht="15.75" customHeight="1" s="57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49" t="n"/>
      <c r="L642" s="49" t="n"/>
      <c r="M642" s="49" t="n"/>
      <c r="N642" s="49" t="n"/>
      <c r="O642" s="49" t="n"/>
      <c r="P642" s="49" t="n"/>
      <c r="Q642" s="49" t="n"/>
      <c r="R642" s="49" t="n"/>
    </row>
    <row r="643" ht="15.75" customHeight="1" s="57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49" t="n"/>
      <c r="L643" s="49" t="n"/>
      <c r="M643" s="49" t="n"/>
      <c r="N643" s="49" t="n"/>
      <c r="O643" s="49" t="n"/>
      <c r="P643" s="49" t="n"/>
      <c r="Q643" s="49" t="n"/>
      <c r="R643" s="49" t="n"/>
    </row>
    <row r="644" ht="15.75" customHeight="1" s="57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49" t="n"/>
      <c r="L644" s="49" t="n"/>
      <c r="M644" s="49" t="n"/>
      <c r="N644" s="49" t="n"/>
      <c r="O644" s="49" t="n"/>
      <c r="P644" s="49" t="n"/>
      <c r="Q644" s="49" t="n"/>
      <c r="R644" s="49" t="n"/>
    </row>
    <row r="645" ht="15.75" customHeight="1" s="57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49" t="n"/>
      <c r="L645" s="49" t="n"/>
      <c r="M645" s="49" t="n"/>
      <c r="N645" s="49" t="n"/>
      <c r="O645" s="49" t="n"/>
      <c r="P645" s="49" t="n"/>
      <c r="Q645" s="49" t="n"/>
      <c r="R645" s="49" t="n"/>
    </row>
    <row r="646" ht="15.75" customHeight="1" s="57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49" t="n"/>
      <c r="L646" s="49" t="n"/>
      <c r="M646" s="49" t="n"/>
      <c r="N646" s="49" t="n"/>
      <c r="O646" s="49" t="n"/>
      <c r="P646" s="49" t="n"/>
      <c r="Q646" s="49" t="n"/>
      <c r="R646" s="49" t="n"/>
    </row>
    <row r="647" ht="15.75" customHeight="1" s="57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49" t="n"/>
      <c r="L647" s="49" t="n"/>
      <c r="M647" s="49" t="n"/>
      <c r="N647" s="49" t="n"/>
      <c r="O647" s="49" t="n"/>
      <c r="P647" s="49" t="n"/>
      <c r="Q647" s="49" t="n"/>
      <c r="R647" s="49" t="n"/>
    </row>
    <row r="648" ht="15.75" customHeight="1" s="57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49" t="n"/>
      <c r="L648" s="49" t="n"/>
      <c r="M648" s="49" t="n"/>
      <c r="N648" s="49" t="n"/>
      <c r="O648" s="49" t="n"/>
      <c r="P648" s="49" t="n"/>
      <c r="Q648" s="49" t="n"/>
      <c r="R648" s="49" t="n"/>
    </row>
    <row r="649" ht="15.75" customHeight="1" s="57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49" t="n"/>
      <c r="L649" s="49" t="n"/>
      <c r="M649" s="49" t="n"/>
      <c r="N649" s="49" t="n"/>
      <c r="O649" s="49" t="n"/>
      <c r="P649" s="49" t="n"/>
      <c r="Q649" s="49" t="n"/>
      <c r="R649" s="49" t="n"/>
    </row>
    <row r="650" ht="15.75" customHeight="1" s="57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49" t="n"/>
      <c r="L650" s="49" t="n"/>
      <c r="M650" s="49" t="n"/>
      <c r="N650" s="49" t="n"/>
      <c r="O650" s="49" t="n"/>
      <c r="P650" s="49" t="n"/>
      <c r="Q650" s="49" t="n"/>
      <c r="R650" s="49" t="n"/>
    </row>
    <row r="651" ht="15.75" customHeight="1" s="57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49" t="n"/>
      <c r="L651" s="49" t="n"/>
      <c r="M651" s="49" t="n"/>
      <c r="N651" s="49" t="n"/>
      <c r="O651" s="49" t="n"/>
      <c r="P651" s="49" t="n"/>
      <c r="Q651" s="49" t="n"/>
      <c r="R651" s="49" t="n"/>
    </row>
    <row r="652" ht="15.75" customHeight="1" s="57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49" t="n"/>
      <c r="L652" s="49" t="n"/>
      <c r="M652" s="49" t="n"/>
      <c r="N652" s="49" t="n"/>
      <c r="O652" s="49" t="n"/>
      <c r="P652" s="49" t="n"/>
      <c r="Q652" s="49" t="n"/>
      <c r="R652" s="49" t="n"/>
    </row>
    <row r="653" ht="15.75" customHeight="1" s="57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49" t="n"/>
      <c r="L653" s="49" t="n"/>
      <c r="M653" s="49" t="n"/>
      <c r="N653" s="49" t="n"/>
      <c r="O653" s="49" t="n"/>
      <c r="P653" s="49" t="n"/>
      <c r="Q653" s="49" t="n"/>
      <c r="R653" s="49" t="n"/>
    </row>
    <row r="654" ht="15.75" customHeight="1" s="57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49" t="n"/>
      <c r="L654" s="49" t="n"/>
      <c r="M654" s="49" t="n"/>
      <c r="N654" s="49" t="n"/>
      <c r="O654" s="49" t="n"/>
      <c r="P654" s="49" t="n"/>
      <c r="Q654" s="49" t="n"/>
      <c r="R654" s="49" t="n"/>
    </row>
    <row r="655" ht="15.75" customHeight="1" s="57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49" t="n"/>
      <c r="L655" s="49" t="n"/>
      <c r="M655" s="49" t="n"/>
      <c r="N655" s="49" t="n"/>
      <c r="O655" s="49" t="n"/>
      <c r="P655" s="49" t="n"/>
      <c r="Q655" s="49" t="n"/>
      <c r="R655" s="49" t="n"/>
    </row>
    <row r="656" ht="15.75" customHeight="1" s="57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49" t="n"/>
      <c r="L656" s="49" t="n"/>
      <c r="M656" s="49" t="n"/>
      <c r="N656" s="49" t="n"/>
      <c r="O656" s="49" t="n"/>
      <c r="P656" s="49" t="n"/>
      <c r="Q656" s="49" t="n"/>
      <c r="R656" s="49" t="n"/>
    </row>
    <row r="657" ht="15.75" customHeight="1" s="57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49" t="n"/>
      <c r="L657" s="49" t="n"/>
      <c r="M657" s="49" t="n"/>
      <c r="N657" s="49" t="n"/>
      <c r="O657" s="49" t="n"/>
      <c r="P657" s="49" t="n"/>
      <c r="Q657" s="49" t="n"/>
      <c r="R657" s="49" t="n"/>
    </row>
    <row r="658" ht="15.75" customHeight="1" s="57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49" t="n"/>
      <c r="L658" s="49" t="n"/>
      <c r="M658" s="49" t="n"/>
      <c r="N658" s="49" t="n"/>
      <c r="O658" s="49" t="n"/>
      <c r="P658" s="49" t="n"/>
      <c r="Q658" s="49" t="n"/>
      <c r="R658" s="49" t="n"/>
    </row>
    <row r="659" ht="15.75" customHeight="1" s="57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49" t="n"/>
      <c r="L659" s="49" t="n"/>
      <c r="M659" s="49" t="n"/>
      <c r="N659" s="49" t="n"/>
      <c r="O659" s="49" t="n"/>
      <c r="P659" s="49" t="n"/>
      <c r="Q659" s="49" t="n"/>
      <c r="R659" s="49" t="n"/>
    </row>
    <row r="660" ht="15.75" customHeight="1" s="57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49" t="n"/>
      <c r="L660" s="49" t="n"/>
      <c r="M660" s="49" t="n"/>
      <c r="N660" s="49" t="n"/>
      <c r="O660" s="49" t="n"/>
      <c r="P660" s="49" t="n"/>
      <c r="Q660" s="49" t="n"/>
      <c r="R660" s="49" t="n"/>
    </row>
    <row r="661" ht="15.75" customHeight="1" s="57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49" t="n"/>
      <c r="L661" s="49" t="n"/>
      <c r="M661" s="49" t="n"/>
      <c r="N661" s="49" t="n"/>
      <c r="O661" s="49" t="n"/>
      <c r="P661" s="49" t="n"/>
      <c r="Q661" s="49" t="n"/>
      <c r="R661" s="49" t="n"/>
    </row>
    <row r="662" ht="15.75" customHeight="1" s="57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49" t="n"/>
      <c r="L662" s="49" t="n"/>
      <c r="M662" s="49" t="n"/>
      <c r="N662" s="49" t="n"/>
      <c r="O662" s="49" t="n"/>
      <c r="P662" s="49" t="n"/>
      <c r="Q662" s="49" t="n"/>
      <c r="R662" s="49" t="n"/>
    </row>
    <row r="663" ht="15.75" customHeight="1" s="57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49" t="n"/>
      <c r="L663" s="49" t="n"/>
      <c r="M663" s="49" t="n"/>
      <c r="N663" s="49" t="n"/>
      <c r="O663" s="49" t="n"/>
      <c r="P663" s="49" t="n"/>
      <c r="Q663" s="49" t="n"/>
      <c r="R663" s="49" t="n"/>
    </row>
    <row r="664" ht="15.75" customHeight="1" s="57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49" t="n"/>
      <c r="L664" s="49" t="n"/>
      <c r="M664" s="49" t="n"/>
      <c r="N664" s="49" t="n"/>
      <c r="O664" s="49" t="n"/>
      <c r="P664" s="49" t="n"/>
      <c r="Q664" s="49" t="n"/>
      <c r="R664" s="49" t="n"/>
    </row>
    <row r="665" ht="15.75" customHeight="1" s="57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49" t="n"/>
      <c r="L665" s="49" t="n"/>
      <c r="M665" s="49" t="n"/>
      <c r="N665" s="49" t="n"/>
      <c r="O665" s="49" t="n"/>
      <c r="P665" s="49" t="n"/>
      <c r="Q665" s="49" t="n"/>
      <c r="R665" s="49" t="n"/>
    </row>
    <row r="666" ht="15.75" customHeight="1" s="57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49" t="n"/>
      <c r="L666" s="49" t="n"/>
      <c r="M666" s="49" t="n"/>
      <c r="N666" s="49" t="n"/>
      <c r="O666" s="49" t="n"/>
      <c r="P666" s="49" t="n"/>
      <c r="Q666" s="49" t="n"/>
      <c r="R666" s="49" t="n"/>
    </row>
    <row r="667" ht="15.75" customHeight="1" s="57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49" t="n"/>
      <c r="L667" s="49" t="n"/>
      <c r="M667" s="49" t="n"/>
      <c r="N667" s="49" t="n"/>
      <c r="O667" s="49" t="n"/>
      <c r="P667" s="49" t="n"/>
      <c r="Q667" s="49" t="n"/>
      <c r="R667" s="49" t="n"/>
    </row>
    <row r="668" ht="15.75" customHeight="1" s="57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49" t="n"/>
      <c r="L668" s="49" t="n"/>
      <c r="M668" s="49" t="n"/>
      <c r="N668" s="49" t="n"/>
      <c r="O668" s="49" t="n"/>
      <c r="P668" s="49" t="n"/>
      <c r="Q668" s="49" t="n"/>
      <c r="R668" s="49" t="n"/>
    </row>
    <row r="669" ht="15.75" customHeight="1" s="57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49" t="n"/>
      <c r="L669" s="49" t="n"/>
      <c r="M669" s="49" t="n"/>
      <c r="N669" s="49" t="n"/>
      <c r="O669" s="49" t="n"/>
      <c r="P669" s="49" t="n"/>
      <c r="Q669" s="49" t="n"/>
      <c r="R669" s="49" t="n"/>
    </row>
    <row r="670" ht="15.75" customHeight="1" s="57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49" t="n"/>
      <c r="L670" s="49" t="n"/>
      <c r="M670" s="49" t="n"/>
      <c r="N670" s="49" t="n"/>
      <c r="O670" s="49" t="n"/>
      <c r="P670" s="49" t="n"/>
      <c r="Q670" s="49" t="n"/>
      <c r="R670" s="49" t="n"/>
    </row>
    <row r="671" ht="15.75" customHeight="1" s="57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49" t="n"/>
      <c r="L671" s="49" t="n"/>
      <c r="M671" s="49" t="n"/>
      <c r="N671" s="49" t="n"/>
      <c r="O671" s="49" t="n"/>
      <c r="P671" s="49" t="n"/>
      <c r="Q671" s="49" t="n"/>
      <c r="R671" s="49" t="n"/>
    </row>
    <row r="672" ht="15.75" customHeight="1" s="57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49" t="n"/>
      <c r="L672" s="49" t="n"/>
      <c r="M672" s="49" t="n"/>
      <c r="N672" s="49" t="n"/>
      <c r="O672" s="49" t="n"/>
      <c r="P672" s="49" t="n"/>
      <c r="Q672" s="49" t="n"/>
      <c r="R672" s="49" t="n"/>
    </row>
    <row r="673" ht="15.75" customHeight="1" s="57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49" t="n"/>
      <c r="L673" s="49" t="n"/>
      <c r="M673" s="49" t="n"/>
      <c r="N673" s="49" t="n"/>
      <c r="O673" s="49" t="n"/>
      <c r="P673" s="49" t="n"/>
      <c r="Q673" s="49" t="n"/>
      <c r="R673" s="49" t="n"/>
    </row>
    <row r="674" ht="15.75" customHeight="1" s="57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49" t="n"/>
      <c r="L674" s="49" t="n"/>
      <c r="M674" s="49" t="n"/>
      <c r="N674" s="49" t="n"/>
      <c r="O674" s="49" t="n"/>
      <c r="P674" s="49" t="n"/>
      <c r="Q674" s="49" t="n"/>
      <c r="R674" s="49" t="n"/>
    </row>
    <row r="675" ht="15.75" customHeight="1" s="57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49" t="n"/>
      <c r="L675" s="49" t="n"/>
      <c r="M675" s="49" t="n"/>
      <c r="N675" s="49" t="n"/>
      <c r="O675" s="49" t="n"/>
      <c r="P675" s="49" t="n"/>
      <c r="Q675" s="49" t="n"/>
      <c r="R675" s="49" t="n"/>
    </row>
    <row r="676" ht="15.75" customHeight="1" s="57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49" t="n"/>
      <c r="L676" s="49" t="n"/>
      <c r="M676" s="49" t="n"/>
      <c r="N676" s="49" t="n"/>
      <c r="O676" s="49" t="n"/>
      <c r="P676" s="49" t="n"/>
      <c r="Q676" s="49" t="n"/>
      <c r="R676" s="49" t="n"/>
    </row>
    <row r="677" ht="15.75" customHeight="1" s="57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49" t="n"/>
      <c r="L677" s="49" t="n"/>
      <c r="M677" s="49" t="n"/>
      <c r="N677" s="49" t="n"/>
      <c r="O677" s="49" t="n"/>
      <c r="P677" s="49" t="n"/>
      <c r="Q677" s="49" t="n"/>
      <c r="R677" s="49" t="n"/>
    </row>
    <row r="678" ht="15.75" customHeight="1" s="57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49" t="n"/>
      <c r="L678" s="49" t="n"/>
      <c r="M678" s="49" t="n"/>
      <c r="N678" s="49" t="n"/>
      <c r="O678" s="49" t="n"/>
      <c r="P678" s="49" t="n"/>
      <c r="Q678" s="49" t="n"/>
      <c r="R678" s="49" t="n"/>
    </row>
    <row r="679" ht="15.75" customHeight="1" s="57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49" t="n"/>
      <c r="L679" s="49" t="n"/>
      <c r="M679" s="49" t="n"/>
      <c r="N679" s="49" t="n"/>
      <c r="O679" s="49" t="n"/>
      <c r="P679" s="49" t="n"/>
      <c r="Q679" s="49" t="n"/>
      <c r="R679" s="49" t="n"/>
    </row>
    <row r="680" ht="15.75" customHeight="1" s="57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49" t="n"/>
      <c r="L680" s="49" t="n"/>
      <c r="M680" s="49" t="n"/>
      <c r="N680" s="49" t="n"/>
      <c r="O680" s="49" t="n"/>
      <c r="P680" s="49" t="n"/>
      <c r="Q680" s="49" t="n"/>
      <c r="R680" s="49" t="n"/>
    </row>
    <row r="681" ht="15.75" customHeight="1" s="57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49" t="n"/>
      <c r="L681" s="49" t="n"/>
      <c r="M681" s="49" t="n"/>
      <c r="N681" s="49" t="n"/>
      <c r="O681" s="49" t="n"/>
      <c r="P681" s="49" t="n"/>
      <c r="Q681" s="49" t="n"/>
      <c r="R681" s="49" t="n"/>
    </row>
    <row r="682" ht="15.75" customHeight="1" s="57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49" t="n"/>
      <c r="L682" s="49" t="n"/>
      <c r="M682" s="49" t="n"/>
      <c r="N682" s="49" t="n"/>
      <c r="O682" s="49" t="n"/>
      <c r="P682" s="49" t="n"/>
      <c r="Q682" s="49" t="n"/>
      <c r="R682" s="49" t="n"/>
    </row>
    <row r="683" ht="15.75" customHeight="1" s="57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49" t="n"/>
      <c r="L683" s="49" t="n"/>
      <c r="M683" s="49" t="n"/>
      <c r="N683" s="49" t="n"/>
      <c r="O683" s="49" t="n"/>
      <c r="P683" s="49" t="n"/>
      <c r="Q683" s="49" t="n"/>
      <c r="R683" s="49" t="n"/>
    </row>
    <row r="684" ht="15.75" customHeight="1" s="57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49" t="n"/>
      <c r="L684" s="49" t="n"/>
      <c r="M684" s="49" t="n"/>
      <c r="N684" s="49" t="n"/>
      <c r="O684" s="49" t="n"/>
      <c r="P684" s="49" t="n"/>
      <c r="Q684" s="49" t="n"/>
      <c r="R684" s="49" t="n"/>
    </row>
    <row r="685" ht="15.75" customHeight="1" s="57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49" t="n"/>
      <c r="L685" s="49" t="n"/>
      <c r="M685" s="49" t="n"/>
      <c r="N685" s="49" t="n"/>
      <c r="O685" s="49" t="n"/>
      <c r="P685" s="49" t="n"/>
      <c r="Q685" s="49" t="n"/>
      <c r="R685" s="49" t="n"/>
    </row>
    <row r="686" ht="15.75" customHeight="1" s="57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49" t="n"/>
      <c r="L686" s="49" t="n"/>
      <c r="M686" s="49" t="n"/>
      <c r="N686" s="49" t="n"/>
      <c r="O686" s="49" t="n"/>
      <c r="P686" s="49" t="n"/>
      <c r="Q686" s="49" t="n"/>
      <c r="R686" s="49" t="n"/>
    </row>
    <row r="687" ht="15.75" customHeight="1" s="57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49" t="n"/>
      <c r="L687" s="49" t="n"/>
      <c r="M687" s="49" t="n"/>
      <c r="N687" s="49" t="n"/>
      <c r="O687" s="49" t="n"/>
      <c r="P687" s="49" t="n"/>
      <c r="Q687" s="49" t="n"/>
      <c r="R687" s="49" t="n"/>
    </row>
    <row r="688" ht="15.75" customHeight="1" s="57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49" t="n"/>
      <c r="L688" s="49" t="n"/>
      <c r="M688" s="49" t="n"/>
      <c r="N688" s="49" t="n"/>
      <c r="O688" s="49" t="n"/>
      <c r="P688" s="49" t="n"/>
      <c r="Q688" s="49" t="n"/>
      <c r="R688" s="49" t="n"/>
    </row>
    <row r="689" ht="15.75" customHeight="1" s="57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49" t="n"/>
      <c r="L689" s="49" t="n"/>
      <c r="M689" s="49" t="n"/>
      <c r="N689" s="49" t="n"/>
      <c r="O689" s="49" t="n"/>
      <c r="P689" s="49" t="n"/>
      <c r="Q689" s="49" t="n"/>
      <c r="R689" s="49" t="n"/>
    </row>
    <row r="690" ht="15.75" customHeight="1" s="57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49" t="n"/>
      <c r="L690" s="49" t="n"/>
      <c r="M690" s="49" t="n"/>
      <c r="N690" s="49" t="n"/>
      <c r="O690" s="49" t="n"/>
      <c r="P690" s="49" t="n"/>
      <c r="Q690" s="49" t="n"/>
      <c r="R690" s="49" t="n"/>
    </row>
    <row r="691" ht="15.75" customHeight="1" s="57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49" t="n"/>
      <c r="L691" s="49" t="n"/>
      <c r="M691" s="49" t="n"/>
      <c r="N691" s="49" t="n"/>
      <c r="O691" s="49" t="n"/>
      <c r="P691" s="49" t="n"/>
      <c r="Q691" s="49" t="n"/>
      <c r="R691" s="49" t="n"/>
    </row>
    <row r="692" ht="15.75" customHeight="1" s="57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49" t="n"/>
      <c r="L692" s="49" t="n"/>
      <c r="M692" s="49" t="n"/>
      <c r="N692" s="49" t="n"/>
      <c r="O692" s="49" t="n"/>
      <c r="P692" s="49" t="n"/>
      <c r="Q692" s="49" t="n"/>
      <c r="R692" s="49" t="n"/>
    </row>
    <row r="693" ht="15.75" customHeight="1" s="57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49" t="n"/>
      <c r="L693" s="49" t="n"/>
      <c r="M693" s="49" t="n"/>
      <c r="N693" s="49" t="n"/>
      <c r="O693" s="49" t="n"/>
      <c r="P693" s="49" t="n"/>
      <c r="Q693" s="49" t="n"/>
      <c r="R693" s="49" t="n"/>
    </row>
    <row r="694" ht="15.75" customHeight="1" s="57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49" t="n"/>
      <c r="L694" s="49" t="n"/>
      <c r="M694" s="49" t="n"/>
      <c r="N694" s="49" t="n"/>
      <c r="O694" s="49" t="n"/>
      <c r="P694" s="49" t="n"/>
      <c r="Q694" s="49" t="n"/>
      <c r="R694" s="49" t="n"/>
    </row>
    <row r="695" ht="15.75" customHeight="1" s="57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49" t="n"/>
      <c r="L695" s="49" t="n"/>
      <c r="M695" s="49" t="n"/>
      <c r="N695" s="49" t="n"/>
      <c r="O695" s="49" t="n"/>
      <c r="P695" s="49" t="n"/>
      <c r="Q695" s="49" t="n"/>
      <c r="R695" s="49" t="n"/>
    </row>
    <row r="696" ht="15.75" customHeight="1" s="57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49" t="n"/>
      <c r="L696" s="49" t="n"/>
      <c r="M696" s="49" t="n"/>
      <c r="N696" s="49" t="n"/>
      <c r="O696" s="49" t="n"/>
      <c r="P696" s="49" t="n"/>
      <c r="Q696" s="49" t="n"/>
      <c r="R696" s="49" t="n"/>
    </row>
    <row r="697" ht="15.75" customHeight="1" s="57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49" t="n"/>
      <c r="L697" s="49" t="n"/>
      <c r="M697" s="49" t="n"/>
      <c r="N697" s="49" t="n"/>
      <c r="O697" s="49" t="n"/>
      <c r="P697" s="49" t="n"/>
      <c r="Q697" s="49" t="n"/>
      <c r="R697" s="49" t="n"/>
    </row>
    <row r="698" ht="15.75" customHeight="1" s="57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49" t="n"/>
      <c r="L698" s="49" t="n"/>
      <c r="M698" s="49" t="n"/>
      <c r="N698" s="49" t="n"/>
      <c r="O698" s="49" t="n"/>
      <c r="P698" s="49" t="n"/>
      <c r="Q698" s="49" t="n"/>
      <c r="R698" s="49" t="n"/>
    </row>
    <row r="699" ht="15.75" customHeight="1" s="57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49" t="n"/>
      <c r="L699" s="49" t="n"/>
      <c r="M699" s="49" t="n"/>
      <c r="N699" s="49" t="n"/>
      <c r="O699" s="49" t="n"/>
      <c r="P699" s="49" t="n"/>
      <c r="Q699" s="49" t="n"/>
      <c r="R699" s="49" t="n"/>
    </row>
    <row r="700" ht="15.75" customHeight="1" s="57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49" t="n"/>
      <c r="L700" s="49" t="n"/>
      <c r="M700" s="49" t="n"/>
      <c r="N700" s="49" t="n"/>
      <c r="O700" s="49" t="n"/>
      <c r="P700" s="49" t="n"/>
      <c r="Q700" s="49" t="n"/>
      <c r="R700" s="49" t="n"/>
    </row>
    <row r="701" ht="15.75" customHeight="1" s="57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49" t="n"/>
      <c r="L701" s="49" t="n"/>
      <c r="M701" s="49" t="n"/>
      <c r="N701" s="49" t="n"/>
      <c r="O701" s="49" t="n"/>
      <c r="P701" s="49" t="n"/>
      <c r="Q701" s="49" t="n"/>
      <c r="R701" s="49" t="n"/>
    </row>
    <row r="702" ht="15.75" customHeight="1" s="57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49" t="n"/>
      <c r="L702" s="49" t="n"/>
      <c r="M702" s="49" t="n"/>
      <c r="N702" s="49" t="n"/>
      <c r="O702" s="49" t="n"/>
      <c r="P702" s="49" t="n"/>
      <c r="Q702" s="49" t="n"/>
      <c r="R702" s="49" t="n"/>
    </row>
    <row r="703" ht="15.75" customHeight="1" s="57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49" t="n"/>
      <c r="L703" s="49" t="n"/>
      <c r="M703" s="49" t="n"/>
      <c r="N703" s="49" t="n"/>
      <c r="O703" s="49" t="n"/>
      <c r="P703" s="49" t="n"/>
      <c r="Q703" s="49" t="n"/>
      <c r="R703" s="49" t="n"/>
    </row>
    <row r="704" ht="15.75" customHeight="1" s="57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49" t="n"/>
      <c r="L704" s="49" t="n"/>
      <c r="M704" s="49" t="n"/>
      <c r="N704" s="49" t="n"/>
      <c r="O704" s="49" t="n"/>
      <c r="P704" s="49" t="n"/>
      <c r="Q704" s="49" t="n"/>
      <c r="R704" s="49" t="n"/>
    </row>
    <row r="705" ht="15.75" customHeight="1" s="57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49" t="n"/>
      <c r="L705" s="49" t="n"/>
      <c r="M705" s="49" t="n"/>
      <c r="N705" s="49" t="n"/>
      <c r="O705" s="49" t="n"/>
      <c r="P705" s="49" t="n"/>
      <c r="Q705" s="49" t="n"/>
      <c r="R705" s="49" t="n"/>
    </row>
    <row r="706" ht="15.75" customHeight="1" s="57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49" t="n"/>
      <c r="L706" s="49" t="n"/>
      <c r="M706" s="49" t="n"/>
      <c r="N706" s="49" t="n"/>
      <c r="O706" s="49" t="n"/>
      <c r="P706" s="49" t="n"/>
      <c r="Q706" s="49" t="n"/>
      <c r="R706" s="49" t="n"/>
    </row>
    <row r="707" ht="15.75" customHeight="1" s="57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49" t="n"/>
      <c r="L707" s="49" t="n"/>
      <c r="M707" s="49" t="n"/>
      <c r="N707" s="49" t="n"/>
      <c r="O707" s="49" t="n"/>
      <c r="P707" s="49" t="n"/>
      <c r="Q707" s="49" t="n"/>
      <c r="R707" s="49" t="n"/>
    </row>
    <row r="708" ht="15.75" customHeight="1" s="57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49" t="n"/>
      <c r="L708" s="49" t="n"/>
      <c r="M708" s="49" t="n"/>
      <c r="N708" s="49" t="n"/>
      <c r="O708" s="49" t="n"/>
      <c r="P708" s="49" t="n"/>
      <c r="Q708" s="49" t="n"/>
      <c r="R708" s="49" t="n"/>
    </row>
    <row r="709" ht="15.75" customHeight="1" s="57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49" t="n"/>
      <c r="L709" s="49" t="n"/>
      <c r="M709" s="49" t="n"/>
      <c r="N709" s="49" t="n"/>
      <c r="O709" s="49" t="n"/>
      <c r="P709" s="49" t="n"/>
      <c r="Q709" s="49" t="n"/>
      <c r="R709" s="49" t="n"/>
    </row>
    <row r="710" ht="15.75" customHeight="1" s="57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49" t="n"/>
      <c r="L710" s="49" t="n"/>
      <c r="M710" s="49" t="n"/>
      <c r="N710" s="49" t="n"/>
      <c r="O710" s="49" t="n"/>
      <c r="P710" s="49" t="n"/>
      <c r="Q710" s="49" t="n"/>
      <c r="R710" s="49" t="n"/>
    </row>
    <row r="711" ht="15.75" customHeight="1" s="57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49" t="n"/>
      <c r="L711" s="49" t="n"/>
      <c r="M711" s="49" t="n"/>
      <c r="N711" s="49" t="n"/>
      <c r="O711" s="49" t="n"/>
      <c r="P711" s="49" t="n"/>
      <c r="Q711" s="49" t="n"/>
      <c r="R711" s="49" t="n"/>
    </row>
    <row r="712" ht="15.75" customHeight="1" s="57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49" t="n"/>
      <c r="L712" s="49" t="n"/>
      <c r="M712" s="49" t="n"/>
      <c r="N712" s="49" t="n"/>
      <c r="O712" s="49" t="n"/>
      <c r="P712" s="49" t="n"/>
      <c r="Q712" s="49" t="n"/>
      <c r="R712" s="49" t="n"/>
    </row>
    <row r="713" ht="15.75" customHeight="1" s="57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49" t="n"/>
      <c r="L713" s="49" t="n"/>
      <c r="M713" s="49" t="n"/>
      <c r="N713" s="49" t="n"/>
      <c r="O713" s="49" t="n"/>
      <c r="P713" s="49" t="n"/>
      <c r="Q713" s="49" t="n"/>
      <c r="R713" s="49" t="n"/>
    </row>
    <row r="714" ht="15.75" customHeight="1" s="57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49" t="n"/>
      <c r="L714" s="49" t="n"/>
      <c r="M714" s="49" t="n"/>
      <c r="N714" s="49" t="n"/>
      <c r="O714" s="49" t="n"/>
      <c r="P714" s="49" t="n"/>
      <c r="Q714" s="49" t="n"/>
      <c r="R714" s="49" t="n"/>
    </row>
    <row r="715" ht="15.75" customHeight="1" s="57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49" t="n"/>
      <c r="L715" s="49" t="n"/>
      <c r="M715" s="49" t="n"/>
      <c r="N715" s="49" t="n"/>
      <c r="O715" s="49" t="n"/>
      <c r="P715" s="49" t="n"/>
      <c r="Q715" s="49" t="n"/>
      <c r="R715" s="49" t="n"/>
    </row>
    <row r="716" ht="15.75" customHeight="1" s="57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49" t="n"/>
      <c r="L716" s="49" t="n"/>
      <c r="M716" s="49" t="n"/>
      <c r="N716" s="49" t="n"/>
      <c r="O716" s="49" t="n"/>
      <c r="P716" s="49" t="n"/>
      <c r="Q716" s="49" t="n"/>
      <c r="R716" s="49" t="n"/>
    </row>
    <row r="717" ht="15.75" customHeight="1" s="57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49" t="n"/>
      <c r="L717" s="49" t="n"/>
      <c r="M717" s="49" t="n"/>
      <c r="N717" s="49" t="n"/>
      <c r="O717" s="49" t="n"/>
      <c r="P717" s="49" t="n"/>
      <c r="Q717" s="49" t="n"/>
      <c r="R717" s="49" t="n"/>
    </row>
    <row r="718" ht="15.75" customHeight="1" s="57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49" t="n"/>
      <c r="L718" s="49" t="n"/>
      <c r="M718" s="49" t="n"/>
      <c r="N718" s="49" t="n"/>
      <c r="O718" s="49" t="n"/>
      <c r="P718" s="49" t="n"/>
      <c r="Q718" s="49" t="n"/>
      <c r="R718" s="49" t="n"/>
    </row>
    <row r="719" ht="15.75" customHeight="1" s="57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49" t="n"/>
      <c r="L719" s="49" t="n"/>
      <c r="M719" s="49" t="n"/>
      <c r="N719" s="49" t="n"/>
      <c r="O719" s="49" t="n"/>
      <c r="P719" s="49" t="n"/>
      <c r="Q719" s="49" t="n"/>
      <c r="R719" s="49" t="n"/>
    </row>
    <row r="720" ht="15.75" customHeight="1" s="57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49" t="n"/>
      <c r="L720" s="49" t="n"/>
      <c r="M720" s="49" t="n"/>
      <c r="N720" s="49" t="n"/>
      <c r="O720" s="49" t="n"/>
      <c r="P720" s="49" t="n"/>
      <c r="Q720" s="49" t="n"/>
      <c r="R720" s="49" t="n"/>
    </row>
    <row r="721" ht="15.75" customHeight="1" s="57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49" t="n"/>
      <c r="L721" s="49" t="n"/>
      <c r="M721" s="49" t="n"/>
      <c r="N721" s="49" t="n"/>
      <c r="O721" s="49" t="n"/>
      <c r="P721" s="49" t="n"/>
      <c r="Q721" s="49" t="n"/>
      <c r="R721" s="49" t="n"/>
    </row>
    <row r="722" ht="15.75" customHeight="1" s="57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49" t="n"/>
      <c r="L722" s="49" t="n"/>
      <c r="M722" s="49" t="n"/>
      <c r="N722" s="49" t="n"/>
      <c r="O722" s="49" t="n"/>
      <c r="P722" s="49" t="n"/>
      <c r="Q722" s="49" t="n"/>
      <c r="R722" s="49" t="n"/>
    </row>
    <row r="723" ht="15.75" customHeight="1" s="57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49" t="n"/>
      <c r="L723" s="49" t="n"/>
      <c r="M723" s="49" t="n"/>
      <c r="N723" s="49" t="n"/>
      <c r="O723" s="49" t="n"/>
      <c r="P723" s="49" t="n"/>
      <c r="Q723" s="49" t="n"/>
      <c r="R723" s="49" t="n"/>
    </row>
    <row r="724" ht="15.75" customHeight="1" s="57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49" t="n"/>
      <c r="L724" s="49" t="n"/>
      <c r="M724" s="49" t="n"/>
      <c r="N724" s="49" t="n"/>
      <c r="O724" s="49" t="n"/>
      <c r="P724" s="49" t="n"/>
      <c r="Q724" s="49" t="n"/>
      <c r="R724" s="49" t="n"/>
    </row>
    <row r="725" ht="15.75" customHeight="1" s="57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49" t="n"/>
      <c r="L725" s="49" t="n"/>
      <c r="M725" s="49" t="n"/>
      <c r="N725" s="49" t="n"/>
      <c r="O725" s="49" t="n"/>
      <c r="P725" s="49" t="n"/>
      <c r="Q725" s="49" t="n"/>
      <c r="R725" s="49" t="n"/>
    </row>
    <row r="726" ht="15.75" customHeight="1" s="57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49" t="n"/>
      <c r="L726" s="49" t="n"/>
      <c r="M726" s="49" t="n"/>
      <c r="N726" s="49" t="n"/>
      <c r="O726" s="49" t="n"/>
      <c r="P726" s="49" t="n"/>
      <c r="Q726" s="49" t="n"/>
      <c r="R726" s="49" t="n"/>
    </row>
    <row r="727" ht="15.75" customHeight="1" s="57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49" t="n"/>
      <c r="L727" s="49" t="n"/>
      <c r="M727" s="49" t="n"/>
      <c r="N727" s="49" t="n"/>
      <c r="O727" s="49" t="n"/>
      <c r="P727" s="49" t="n"/>
      <c r="Q727" s="49" t="n"/>
      <c r="R727" s="49" t="n"/>
    </row>
    <row r="728" ht="15.75" customHeight="1" s="57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49" t="n"/>
      <c r="L728" s="49" t="n"/>
      <c r="M728" s="49" t="n"/>
      <c r="N728" s="49" t="n"/>
      <c r="O728" s="49" t="n"/>
      <c r="P728" s="49" t="n"/>
      <c r="Q728" s="49" t="n"/>
      <c r="R728" s="49" t="n"/>
    </row>
    <row r="729" ht="15.75" customHeight="1" s="57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49" t="n"/>
      <c r="L729" s="49" t="n"/>
      <c r="M729" s="49" t="n"/>
      <c r="N729" s="49" t="n"/>
      <c r="O729" s="49" t="n"/>
      <c r="P729" s="49" t="n"/>
      <c r="Q729" s="49" t="n"/>
      <c r="R729" s="49" t="n"/>
    </row>
    <row r="730" ht="15.75" customHeight="1" s="57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49" t="n"/>
      <c r="L730" s="49" t="n"/>
      <c r="M730" s="49" t="n"/>
      <c r="N730" s="49" t="n"/>
      <c r="O730" s="49" t="n"/>
      <c r="P730" s="49" t="n"/>
      <c r="Q730" s="49" t="n"/>
      <c r="R730" s="49" t="n"/>
    </row>
    <row r="731" ht="15.75" customHeight="1" s="57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49" t="n"/>
      <c r="L731" s="49" t="n"/>
      <c r="M731" s="49" t="n"/>
      <c r="N731" s="49" t="n"/>
      <c r="O731" s="49" t="n"/>
      <c r="P731" s="49" t="n"/>
      <c r="Q731" s="49" t="n"/>
      <c r="R731" s="49" t="n"/>
    </row>
    <row r="732" ht="15.75" customHeight="1" s="57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49" t="n"/>
      <c r="L732" s="49" t="n"/>
      <c r="M732" s="49" t="n"/>
      <c r="N732" s="49" t="n"/>
      <c r="O732" s="49" t="n"/>
      <c r="P732" s="49" t="n"/>
      <c r="Q732" s="49" t="n"/>
      <c r="R732" s="49" t="n"/>
    </row>
    <row r="733" ht="15.75" customHeight="1" s="57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49" t="n"/>
      <c r="L733" s="49" t="n"/>
      <c r="M733" s="49" t="n"/>
      <c r="N733" s="49" t="n"/>
      <c r="O733" s="49" t="n"/>
      <c r="P733" s="49" t="n"/>
      <c r="Q733" s="49" t="n"/>
      <c r="R733" s="49" t="n"/>
    </row>
    <row r="734" ht="15.75" customHeight="1" s="57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49" t="n"/>
      <c r="L734" s="49" t="n"/>
      <c r="M734" s="49" t="n"/>
      <c r="N734" s="49" t="n"/>
      <c r="O734" s="49" t="n"/>
      <c r="P734" s="49" t="n"/>
      <c r="Q734" s="49" t="n"/>
      <c r="R734" s="49" t="n"/>
    </row>
    <row r="735" ht="15.75" customHeight="1" s="57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49" t="n"/>
      <c r="L735" s="49" t="n"/>
      <c r="M735" s="49" t="n"/>
      <c r="N735" s="49" t="n"/>
      <c r="O735" s="49" t="n"/>
      <c r="P735" s="49" t="n"/>
      <c r="Q735" s="49" t="n"/>
      <c r="R735" s="49" t="n"/>
    </row>
    <row r="736" ht="15.75" customHeight="1" s="57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49" t="n"/>
      <c r="L736" s="49" t="n"/>
      <c r="M736" s="49" t="n"/>
      <c r="N736" s="49" t="n"/>
      <c r="O736" s="49" t="n"/>
      <c r="P736" s="49" t="n"/>
      <c r="Q736" s="49" t="n"/>
      <c r="R736" s="49" t="n"/>
    </row>
    <row r="737" ht="15.75" customHeight="1" s="57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49" t="n"/>
      <c r="L737" s="49" t="n"/>
      <c r="M737" s="49" t="n"/>
      <c r="N737" s="49" t="n"/>
      <c r="O737" s="49" t="n"/>
      <c r="P737" s="49" t="n"/>
      <c r="Q737" s="49" t="n"/>
      <c r="R737" s="49" t="n"/>
    </row>
    <row r="738" ht="15.75" customHeight="1" s="57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49" t="n"/>
      <c r="L738" s="49" t="n"/>
      <c r="M738" s="49" t="n"/>
      <c r="N738" s="49" t="n"/>
      <c r="O738" s="49" t="n"/>
      <c r="P738" s="49" t="n"/>
      <c r="Q738" s="49" t="n"/>
      <c r="R738" s="49" t="n"/>
    </row>
    <row r="739" ht="15.75" customHeight="1" s="57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49" t="n"/>
      <c r="L739" s="49" t="n"/>
      <c r="M739" s="49" t="n"/>
      <c r="N739" s="49" t="n"/>
      <c r="O739" s="49" t="n"/>
      <c r="P739" s="49" t="n"/>
      <c r="Q739" s="49" t="n"/>
      <c r="R739" s="49" t="n"/>
    </row>
    <row r="740" ht="15.75" customHeight="1" s="57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49" t="n"/>
      <c r="L740" s="49" t="n"/>
      <c r="M740" s="49" t="n"/>
      <c r="N740" s="49" t="n"/>
      <c r="O740" s="49" t="n"/>
      <c r="P740" s="49" t="n"/>
      <c r="Q740" s="49" t="n"/>
      <c r="R740" s="49" t="n"/>
    </row>
    <row r="741" ht="15.75" customHeight="1" s="57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49" t="n"/>
      <c r="L741" s="49" t="n"/>
      <c r="M741" s="49" t="n"/>
      <c r="N741" s="49" t="n"/>
      <c r="O741" s="49" t="n"/>
      <c r="P741" s="49" t="n"/>
      <c r="Q741" s="49" t="n"/>
      <c r="R741" s="49" t="n"/>
    </row>
    <row r="742" ht="15.75" customHeight="1" s="57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49" t="n"/>
      <c r="L742" s="49" t="n"/>
      <c r="M742" s="49" t="n"/>
      <c r="N742" s="49" t="n"/>
      <c r="O742" s="49" t="n"/>
      <c r="P742" s="49" t="n"/>
      <c r="Q742" s="49" t="n"/>
      <c r="R742" s="49" t="n"/>
    </row>
    <row r="743" ht="15.75" customHeight="1" s="57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49" t="n"/>
      <c r="L743" s="49" t="n"/>
      <c r="M743" s="49" t="n"/>
      <c r="N743" s="49" t="n"/>
      <c r="O743" s="49" t="n"/>
      <c r="P743" s="49" t="n"/>
      <c r="Q743" s="49" t="n"/>
      <c r="R743" s="49" t="n"/>
    </row>
    <row r="744" ht="15.75" customHeight="1" s="57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49" t="n"/>
      <c r="L744" s="49" t="n"/>
      <c r="M744" s="49" t="n"/>
      <c r="N744" s="49" t="n"/>
      <c r="O744" s="49" t="n"/>
      <c r="P744" s="49" t="n"/>
      <c r="Q744" s="49" t="n"/>
      <c r="R744" s="49" t="n"/>
    </row>
    <row r="745" ht="15.75" customHeight="1" s="57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49" t="n"/>
      <c r="L745" s="49" t="n"/>
      <c r="M745" s="49" t="n"/>
      <c r="N745" s="49" t="n"/>
      <c r="O745" s="49" t="n"/>
      <c r="P745" s="49" t="n"/>
      <c r="Q745" s="49" t="n"/>
      <c r="R745" s="49" t="n"/>
    </row>
    <row r="746" ht="15.75" customHeight="1" s="57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49" t="n"/>
      <c r="L746" s="49" t="n"/>
      <c r="M746" s="49" t="n"/>
      <c r="N746" s="49" t="n"/>
      <c r="O746" s="49" t="n"/>
      <c r="P746" s="49" t="n"/>
      <c r="Q746" s="49" t="n"/>
      <c r="R746" s="49" t="n"/>
    </row>
    <row r="747" ht="15.75" customHeight="1" s="57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49" t="n"/>
      <c r="L747" s="49" t="n"/>
      <c r="M747" s="49" t="n"/>
      <c r="N747" s="49" t="n"/>
      <c r="O747" s="49" t="n"/>
      <c r="P747" s="49" t="n"/>
      <c r="Q747" s="49" t="n"/>
      <c r="R747" s="49" t="n"/>
    </row>
    <row r="748" ht="15.75" customHeight="1" s="57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49" t="n"/>
      <c r="L748" s="49" t="n"/>
      <c r="M748" s="49" t="n"/>
      <c r="N748" s="49" t="n"/>
      <c r="O748" s="49" t="n"/>
      <c r="P748" s="49" t="n"/>
      <c r="Q748" s="49" t="n"/>
      <c r="R748" s="49" t="n"/>
    </row>
    <row r="749" ht="15.75" customHeight="1" s="57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49" t="n"/>
      <c r="L749" s="49" t="n"/>
      <c r="M749" s="49" t="n"/>
      <c r="N749" s="49" t="n"/>
      <c r="O749" s="49" t="n"/>
      <c r="P749" s="49" t="n"/>
      <c r="Q749" s="49" t="n"/>
      <c r="R749" s="49" t="n"/>
    </row>
    <row r="750" ht="15.75" customHeight="1" s="57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49" t="n"/>
      <c r="L750" s="49" t="n"/>
      <c r="M750" s="49" t="n"/>
      <c r="N750" s="49" t="n"/>
      <c r="O750" s="49" t="n"/>
      <c r="P750" s="49" t="n"/>
      <c r="Q750" s="49" t="n"/>
      <c r="R750" s="49" t="n"/>
    </row>
    <row r="751" ht="15.75" customHeight="1" s="57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49" t="n"/>
      <c r="L751" s="49" t="n"/>
      <c r="M751" s="49" t="n"/>
      <c r="N751" s="49" t="n"/>
      <c r="O751" s="49" t="n"/>
      <c r="P751" s="49" t="n"/>
      <c r="Q751" s="49" t="n"/>
      <c r="R751" s="49" t="n"/>
    </row>
    <row r="752" ht="15.75" customHeight="1" s="57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49" t="n"/>
      <c r="L752" s="49" t="n"/>
      <c r="M752" s="49" t="n"/>
      <c r="N752" s="49" t="n"/>
      <c r="O752" s="49" t="n"/>
      <c r="P752" s="49" t="n"/>
      <c r="Q752" s="49" t="n"/>
      <c r="R752" s="49" t="n"/>
    </row>
    <row r="753" ht="15.75" customHeight="1" s="57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49" t="n"/>
      <c r="L753" s="49" t="n"/>
      <c r="M753" s="49" t="n"/>
      <c r="N753" s="49" t="n"/>
      <c r="O753" s="49" t="n"/>
      <c r="P753" s="49" t="n"/>
      <c r="Q753" s="49" t="n"/>
      <c r="R753" s="49" t="n"/>
    </row>
    <row r="754" ht="15.75" customHeight="1" s="57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49" t="n"/>
      <c r="L754" s="49" t="n"/>
      <c r="M754" s="49" t="n"/>
      <c r="N754" s="49" t="n"/>
      <c r="O754" s="49" t="n"/>
      <c r="P754" s="49" t="n"/>
      <c r="Q754" s="49" t="n"/>
      <c r="R754" s="49" t="n"/>
    </row>
    <row r="755" ht="15.75" customHeight="1" s="57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49" t="n"/>
      <c r="L755" s="49" t="n"/>
      <c r="M755" s="49" t="n"/>
      <c r="N755" s="49" t="n"/>
      <c r="O755" s="49" t="n"/>
      <c r="P755" s="49" t="n"/>
      <c r="Q755" s="49" t="n"/>
      <c r="R755" s="49" t="n"/>
    </row>
    <row r="756" ht="15.75" customHeight="1" s="57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49" t="n"/>
      <c r="L756" s="49" t="n"/>
      <c r="M756" s="49" t="n"/>
      <c r="N756" s="49" t="n"/>
      <c r="O756" s="49" t="n"/>
      <c r="P756" s="49" t="n"/>
      <c r="Q756" s="49" t="n"/>
      <c r="R756" s="49" t="n"/>
    </row>
    <row r="757" ht="15.75" customHeight="1" s="57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49" t="n"/>
      <c r="L757" s="49" t="n"/>
      <c r="M757" s="49" t="n"/>
      <c r="N757" s="49" t="n"/>
      <c r="O757" s="49" t="n"/>
      <c r="P757" s="49" t="n"/>
      <c r="Q757" s="49" t="n"/>
      <c r="R757" s="49" t="n"/>
    </row>
    <row r="758" ht="15.75" customHeight="1" s="57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49" t="n"/>
      <c r="L758" s="49" t="n"/>
      <c r="M758" s="49" t="n"/>
      <c r="N758" s="49" t="n"/>
      <c r="O758" s="49" t="n"/>
      <c r="P758" s="49" t="n"/>
      <c r="Q758" s="49" t="n"/>
      <c r="R758" s="49" t="n"/>
    </row>
    <row r="759" ht="15.75" customHeight="1" s="57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49" t="n"/>
      <c r="L759" s="49" t="n"/>
      <c r="M759" s="49" t="n"/>
      <c r="N759" s="49" t="n"/>
      <c r="O759" s="49" t="n"/>
      <c r="P759" s="49" t="n"/>
      <c r="Q759" s="49" t="n"/>
      <c r="R759" s="49" t="n"/>
    </row>
    <row r="760" ht="15.75" customHeight="1" s="57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49" t="n"/>
      <c r="L760" s="49" t="n"/>
      <c r="M760" s="49" t="n"/>
      <c r="N760" s="49" t="n"/>
      <c r="O760" s="49" t="n"/>
      <c r="P760" s="49" t="n"/>
      <c r="Q760" s="49" t="n"/>
      <c r="R760" s="49" t="n"/>
    </row>
    <row r="761" ht="15.75" customHeight="1" s="57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49" t="n"/>
      <c r="L761" s="49" t="n"/>
      <c r="M761" s="49" t="n"/>
      <c r="N761" s="49" t="n"/>
      <c r="O761" s="49" t="n"/>
      <c r="P761" s="49" t="n"/>
      <c r="Q761" s="49" t="n"/>
      <c r="R761" s="49" t="n"/>
    </row>
    <row r="762" ht="15.75" customHeight="1" s="57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49" t="n"/>
      <c r="L762" s="49" t="n"/>
      <c r="M762" s="49" t="n"/>
      <c r="N762" s="49" t="n"/>
      <c r="O762" s="49" t="n"/>
      <c r="P762" s="49" t="n"/>
      <c r="Q762" s="49" t="n"/>
      <c r="R762" s="49" t="n"/>
    </row>
    <row r="763" ht="15.75" customHeight="1" s="57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49" t="n"/>
      <c r="L763" s="49" t="n"/>
      <c r="M763" s="49" t="n"/>
      <c r="N763" s="49" t="n"/>
      <c r="O763" s="49" t="n"/>
      <c r="P763" s="49" t="n"/>
      <c r="Q763" s="49" t="n"/>
      <c r="R763" s="49" t="n"/>
    </row>
    <row r="764" ht="15.75" customHeight="1" s="57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49" t="n"/>
      <c r="L764" s="49" t="n"/>
      <c r="M764" s="49" t="n"/>
      <c r="N764" s="49" t="n"/>
      <c r="O764" s="49" t="n"/>
      <c r="P764" s="49" t="n"/>
      <c r="Q764" s="49" t="n"/>
      <c r="R764" s="49" t="n"/>
    </row>
    <row r="765" ht="15.75" customHeight="1" s="57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49" t="n"/>
      <c r="L765" s="49" t="n"/>
      <c r="M765" s="49" t="n"/>
      <c r="N765" s="49" t="n"/>
      <c r="O765" s="49" t="n"/>
      <c r="P765" s="49" t="n"/>
      <c r="Q765" s="49" t="n"/>
      <c r="R765" s="49" t="n"/>
    </row>
    <row r="766" ht="15.75" customHeight="1" s="57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49" t="n"/>
      <c r="L766" s="49" t="n"/>
      <c r="M766" s="49" t="n"/>
      <c r="N766" s="49" t="n"/>
      <c r="O766" s="49" t="n"/>
      <c r="P766" s="49" t="n"/>
      <c r="Q766" s="49" t="n"/>
      <c r="R766" s="49" t="n"/>
    </row>
    <row r="767" ht="15.75" customHeight="1" s="57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49" t="n"/>
      <c r="L767" s="49" t="n"/>
      <c r="M767" s="49" t="n"/>
      <c r="N767" s="49" t="n"/>
      <c r="O767" s="49" t="n"/>
      <c r="P767" s="49" t="n"/>
      <c r="Q767" s="49" t="n"/>
      <c r="R767" s="49" t="n"/>
    </row>
    <row r="768" ht="15.75" customHeight="1" s="57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49" t="n"/>
      <c r="L768" s="49" t="n"/>
      <c r="M768" s="49" t="n"/>
      <c r="N768" s="49" t="n"/>
      <c r="O768" s="49" t="n"/>
      <c r="P768" s="49" t="n"/>
      <c r="Q768" s="49" t="n"/>
      <c r="R768" s="49" t="n"/>
    </row>
    <row r="769" ht="15.75" customHeight="1" s="57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49" t="n"/>
      <c r="L769" s="49" t="n"/>
      <c r="M769" s="49" t="n"/>
      <c r="N769" s="49" t="n"/>
      <c r="O769" s="49" t="n"/>
      <c r="P769" s="49" t="n"/>
      <c r="Q769" s="49" t="n"/>
      <c r="R769" s="49" t="n"/>
    </row>
    <row r="770" ht="15.75" customHeight="1" s="57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49" t="n"/>
      <c r="L770" s="49" t="n"/>
      <c r="M770" s="49" t="n"/>
      <c r="N770" s="49" t="n"/>
      <c r="O770" s="49" t="n"/>
      <c r="P770" s="49" t="n"/>
      <c r="Q770" s="49" t="n"/>
      <c r="R770" s="49" t="n"/>
    </row>
    <row r="771" ht="15.75" customHeight="1" s="57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49" t="n"/>
      <c r="L771" s="49" t="n"/>
      <c r="M771" s="49" t="n"/>
      <c r="N771" s="49" t="n"/>
      <c r="O771" s="49" t="n"/>
      <c r="P771" s="49" t="n"/>
      <c r="Q771" s="49" t="n"/>
      <c r="R771" s="49" t="n"/>
    </row>
    <row r="772" ht="15.75" customHeight="1" s="57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49" t="n"/>
      <c r="L772" s="49" t="n"/>
      <c r="M772" s="49" t="n"/>
      <c r="N772" s="49" t="n"/>
      <c r="O772" s="49" t="n"/>
      <c r="P772" s="49" t="n"/>
      <c r="Q772" s="49" t="n"/>
      <c r="R772" s="49" t="n"/>
    </row>
    <row r="773" ht="15.75" customHeight="1" s="57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49" t="n"/>
      <c r="L773" s="49" t="n"/>
      <c r="M773" s="49" t="n"/>
      <c r="N773" s="49" t="n"/>
      <c r="O773" s="49" t="n"/>
      <c r="P773" s="49" t="n"/>
      <c r="Q773" s="49" t="n"/>
      <c r="R773" s="49" t="n"/>
    </row>
    <row r="774" ht="15.75" customHeight="1" s="57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49" t="n"/>
      <c r="L774" s="49" t="n"/>
      <c r="M774" s="49" t="n"/>
      <c r="N774" s="49" t="n"/>
      <c r="O774" s="49" t="n"/>
      <c r="P774" s="49" t="n"/>
      <c r="Q774" s="49" t="n"/>
      <c r="R774" s="49" t="n"/>
    </row>
    <row r="775" ht="15.75" customHeight="1" s="57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49" t="n"/>
      <c r="L775" s="49" t="n"/>
      <c r="M775" s="49" t="n"/>
      <c r="N775" s="49" t="n"/>
      <c r="O775" s="49" t="n"/>
      <c r="P775" s="49" t="n"/>
      <c r="Q775" s="49" t="n"/>
      <c r="R775" s="49" t="n"/>
    </row>
    <row r="776" ht="15.75" customHeight="1" s="57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49" t="n"/>
      <c r="L776" s="49" t="n"/>
      <c r="M776" s="49" t="n"/>
      <c r="N776" s="49" t="n"/>
      <c r="O776" s="49" t="n"/>
      <c r="P776" s="49" t="n"/>
      <c r="Q776" s="49" t="n"/>
      <c r="R776" s="49" t="n"/>
    </row>
    <row r="777" ht="15.75" customHeight="1" s="57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49" t="n"/>
      <c r="L777" s="49" t="n"/>
      <c r="M777" s="49" t="n"/>
      <c r="N777" s="49" t="n"/>
      <c r="O777" s="49" t="n"/>
      <c r="P777" s="49" t="n"/>
      <c r="Q777" s="49" t="n"/>
      <c r="R777" s="49" t="n"/>
    </row>
    <row r="778" ht="15.75" customHeight="1" s="57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49" t="n"/>
      <c r="L778" s="49" t="n"/>
      <c r="M778" s="49" t="n"/>
      <c r="N778" s="49" t="n"/>
      <c r="O778" s="49" t="n"/>
      <c r="P778" s="49" t="n"/>
      <c r="Q778" s="49" t="n"/>
      <c r="R778" s="49" t="n"/>
    </row>
    <row r="779" ht="15.75" customHeight="1" s="57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49" t="n"/>
      <c r="L779" s="49" t="n"/>
      <c r="M779" s="49" t="n"/>
      <c r="N779" s="49" t="n"/>
      <c r="O779" s="49" t="n"/>
      <c r="P779" s="49" t="n"/>
      <c r="Q779" s="49" t="n"/>
      <c r="R779" s="49" t="n"/>
    </row>
    <row r="780" ht="15.75" customHeight="1" s="57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49" t="n"/>
      <c r="L780" s="49" t="n"/>
      <c r="M780" s="49" t="n"/>
      <c r="N780" s="49" t="n"/>
      <c r="O780" s="49" t="n"/>
      <c r="P780" s="49" t="n"/>
      <c r="Q780" s="49" t="n"/>
      <c r="R780" s="49" t="n"/>
    </row>
    <row r="781" ht="15.75" customHeight="1" s="57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49" t="n"/>
      <c r="L781" s="49" t="n"/>
      <c r="M781" s="49" t="n"/>
      <c r="N781" s="49" t="n"/>
      <c r="O781" s="49" t="n"/>
      <c r="P781" s="49" t="n"/>
      <c r="Q781" s="49" t="n"/>
      <c r="R781" s="49" t="n"/>
    </row>
    <row r="782" ht="15.75" customHeight="1" s="57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49" t="n"/>
      <c r="L782" s="49" t="n"/>
      <c r="M782" s="49" t="n"/>
      <c r="N782" s="49" t="n"/>
      <c r="O782" s="49" t="n"/>
      <c r="P782" s="49" t="n"/>
      <c r="Q782" s="49" t="n"/>
      <c r="R782" s="49" t="n"/>
    </row>
    <row r="783" ht="15.75" customHeight="1" s="57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49" t="n"/>
      <c r="L783" s="49" t="n"/>
      <c r="M783" s="49" t="n"/>
      <c r="N783" s="49" t="n"/>
      <c r="O783" s="49" t="n"/>
      <c r="P783" s="49" t="n"/>
      <c r="Q783" s="49" t="n"/>
      <c r="R783" s="49" t="n"/>
    </row>
    <row r="784" ht="15.75" customHeight="1" s="57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49" t="n"/>
      <c r="L784" s="49" t="n"/>
      <c r="M784" s="49" t="n"/>
      <c r="N784" s="49" t="n"/>
      <c r="O784" s="49" t="n"/>
      <c r="P784" s="49" t="n"/>
      <c r="Q784" s="49" t="n"/>
      <c r="R784" s="49" t="n"/>
    </row>
    <row r="785" ht="15.75" customHeight="1" s="57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49" t="n"/>
      <c r="L785" s="49" t="n"/>
      <c r="M785" s="49" t="n"/>
      <c r="N785" s="49" t="n"/>
      <c r="O785" s="49" t="n"/>
      <c r="P785" s="49" t="n"/>
      <c r="Q785" s="49" t="n"/>
      <c r="R785" s="49" t="n"/>
    </row>
    <row r="786" ht="15.75" customHeight="1" s="57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49" t="n"/>
      <c r="L786" s="49" t="n"/>
      <c r="M786" s="49" t="n"/>
      <c r="N786" s="49" t="n"/>
      <c r="O786" s="49" t="n"/>
      <c r="P786" s="49" t="n"/>
      <c r="Q786" s="49" t="n"/>
      <c r="R786" s="49" t="n"/>
    </row>
    <row r="787" ht="15.75" customHeight="1" s="57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49" t="n"/>
      <c r="L787" s="49" t="n"/>
      <c r="M787" s="49" t="n"/>
      <c r="N787" s="49" t="n"/>
      <c r="O787" s="49" t="n"/>
      <c r="P787" s="49" t="n"/>
      <c r="Q787" s="49" t="n"/>
      <c r="R787" s="49" t="n"/>
    </row>
    <row r="788" ht="15.75" customHeight="1" s="57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49" t="n"/>
      <c r="L788" s="49" t="n"/>
      <c r="M788" s="49" t="n"/>
      <c r="N788" s="49" t="n"/>
      <c r="O788" s="49" t="n"/>
      <c r="P788" s="49" t="n"/>
      <c r="Q788" s="49" t="n"/>
      <c r="R788" s="49" t="n"/>
    </row>
    <row r="789" ht="15.75" customHeight="1" s="57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49" t="n"/>
      <c r="L789" s="49" t="n"/>
      <c r="M789" s="49" t="n"/>
      <c r="N789" s="49" t="n"/>
      <c r="O789" s="49" t="n"/>
      <c r="P789" s="49" t="n"/>
      <c r="Q789" s="49" t="n"/>
      <c r="R789" s="49" t="n"/>
    </row>
    <row r="790" ht="15.75" customHeight="1" s="57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49" t="n"/>
      <c r="L790" s="49" t="n"/>
      <c r="M790" s="49" t="n"/>
      <c r="N790" s="49" t="n"/>
      <c r="O790" s="49" t="n"/>
      <c r="P790" s="49" t="n"/>
      <c r="Q790" s="49" t="n"/>
      <c r="R790" s="49" t="n"/>
    </row>
    <row r="791" ht="15.75" customHeight="1" s="57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49" t="n"/>
      <c r="L791" s="49" t="n"/>
      <c r="M791" s="49" t="n"/>
      <c r="N791" s="49" t="n"/>
      <c r="O791" s="49" t="n"/>
      <c r="P791" s="49" t="n"/>
      <c r="Q791" s="49" t="n"/>
      <c r="R791" s="49" t="n"/>
    </row>
    <row r="792" ht="15.75" customHeight="1" s="57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49" t="n"/>
      <c r="L792" s="49" t="n"/>
      <c r="M792" s="49" t="n"/>
      <c r="N792" s="49" t="n"/>
      <c r="O792" s="49" t="n"/>
      <c r="P792" s="49" t="n"/>
      <c r="Q792" s="49" t="n"/>
      <c r="R792" s="49" t="n"/>
    </row>
    <row r="793" ht="15.75" customHeight="1" s="57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49" t="n"/>
      <c r="L793" s="49" t="n"/>
      <c r="M793" s="49" t="n"/>
      <c r="N793" s="49" t="n"/>
      <c r="O793" s="49" t="n"/>
      <c r="P793" s="49" t="n"/>
      <c r="Q793" s="49" t="n"/>
      <c r="R793" s="49" t="n"/>
    </row>
    <row r="794" ht="15.75" customHeight="1" s="57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49" t="n"/>
      <c r="L794" s="49" t="n"/>
      <c r="M794" s="49" t="n"/>
      <c r="N794" s="49" t="n"/>
      <c r="O794" s="49" t="n"/>
      <c r="P794" s="49" t="n"/>
      <c r="Q794" s="49" t="n"/>
      <c r="R794" s="49" t="n"/>
    </row>
    <row r="795" ht="15.75" customHeight="1" s="57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49" t="n"/>
      <c r="L795" s="49" t="n"/>
      <c r="M795" s="49" t="n"/>
      <c r="N795" s="49" t="n"/>
      <c r="O795" s="49" t="n"/>
      <c r="P795" s="49" t="n"/>
      <c r="Q795" s="49" t="n"/>
      <c r="R795" s="49" t="n"/>
    </row>
    <row r="796" ht="15.75" customHeight="1" s="57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49" t="n"/>
      <c r="L796" s="49" t="n"/>
      <c r="M796" s="49" t="n"/>
      <c r="N796" s="49" t="n"/>
      <c r="O796" s="49" t="n"/>
      <c r="P796" s="49" t="n"/>
      <c r="Q796" s="49" t="n"/>
      <c r="R796" s="49" t="n"/>
    </row>
    <row r="797" ht="15.75" customHeight="1" s="57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49" t="n"/>
      <c r="L797" s="49" t="n"/>
      <c r="M797" s="49" t="n"/>
      <c r="N797" s="49" t="n"/>
      <c r="O797" s="49" t="n"/>
      <c r="P797" s="49" t="n"/>
      <c r="Q797" s="49" t="n"/>
      <c r="R797" s="49" t="n"/>
    </row>
    <row r="798" ht="15.75" customHeight="1" s="57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49" t="n"/>
      <c r="L798" s="49" t="n"/>
      <c r="M798" s="49" t="n"/>
      <c r="N798" s="49" t="n"/>
      <c r="O798" s="49" t="n"/>
      <c r="P798" s="49" t="n"/>
      <c r="Q798" s="49" t="n"/>
      <c r="R798" s="49" t="n"/>
    </row>
    <row r="799" ht="15.75" customHeight="1" s="57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49" t="n"/>
      <c r="L799" s="49" t="n"/>
      <c r="M799" s="49" t="n"/>
      <c r="N799" s="49" t="n"/>
      <c r="O799" s="49" t="n"/>
      <c r="P799" s="49" t="n"/>
      <c r="Q799" s="49" t="n"/>
      <c r="R799" s="49" t="n"/>
    </row>
    <row r="800" ht="15.75" customHeight="1" s="57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49" t="n"/>
      <c r="L800" s="49" t="n"/>
      <c r="M800" s="49" t="n"/>
      <c r="N800" s="49" t="n"/>
      <c r="O800" s="49" t="n"/>
      <c r="P800" s="49" t="n"/>
      <c r="Q800" s="49" t="n"/>
      <c r="R800" s="49" t="n"/>
    </row>
    <row r="801" ht="15.75" customHeight="1" s="57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49" t="n"/>
      <c r="L801" s="49" t="n"/>
      <c r="M801" s="49" t="n"/>
      <c r="N801" s="49" t="n"/>
      <c r="O801" s="49" t="n"/>
      <c r="P801" s="49" t="n"/>
      <c r="Q801" s="49" t="n"/>
      <c r="R801" s="49" t="n"/>
    </row>
    <row r="802" ht="15.75" customHeight="1" s="57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49" t="n"/>
      <c r="L802" s="49" t="n"/>
      <c r="M802" s="49" t="n"/>
      <c r="N802" s="49" t="n"/>
      <c r="O802" s="49" t="n"/>
      <c r="P802" s="49" t="n"/>
      <c r="Q802" s="49" t="n"/>
      <c r="R802" s="49" t="n"/>
    </row>
    <row r="803" ht="15.75" customHeight="1" s="57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49" t="n"/>
      <c r="L803" s="49" t="n"/>
      <c r="M803" s="49" t="n"/>
      <c r="N803" s="49" t="n"/>
      <c r="O803" s="49" t="n"/>
      <c r="P803" s="49" t="n"/>
      <c r="Q803" s="49" t="n"/>
      <c r="R803" s="49" t="n"/>
    </row>
    <row r="804" ht="15.75" customHeight="1" s="57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49" t="n"/>
      <c r="L804" s="49" t="n"/>
      <c r="M804" s="49" t="n"/>
      <c r="N804" s="49" t="n"/>
      <c r="O804" s="49" t="n"/>
      <c r="P804" s="49" t="n"/>
      <c r="Q804" s="49" t="n"/>
      <c r="R804" s="49" t="n"/>
    </row>
    <row r="805" ht="15.75" customHeight="1" s="57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49" t="n"/>
      <c r="L805" s="49" t="n"/>
      <c r="M805" s="49" t="n"/>
      <c r="N805" s="49" t="n"/>
      <c r="O805" s="49" t="n"/>
      <c r="P805" s="49" t="n"/>
      <c r="Q805" s="49" t="n"/>
      <c r="R805" s="49" t="n"/>
    </row>
    <row r="806" ht="15.75" customHeight="1" s="57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49" t="n"/>
      <c r="L806" s="49" t="n"/>
      <c r="M806" s="49" t="n"/>
      <c r="N806" s="49" t="n"/>
      <c r="O806" s="49" t="n"/>
      <c r="P806" s="49" t="n"/>
      <c r="Q806" s="49" t="n"/>
      <c r="R806" s="49" t="n"/>
    </row>
    <row r="807" ht="15.75" customHeight="1" s="57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49" t="n"/>
      <c r="L807" s="49" t="n"/>
      <c r="M807" s="49" t="n"/>
      <c r="N807" s="49" t="n"/>
      <c r="O807" s="49" t="n"/>
      <c r="P807" s="49" t="n"/>
      <c r="Q807" s="49" t="n"/>
      <c r="R807" s="49" t="n"/>
    </row>
    <row r="808" ht="15.75" customHeight="1" s="57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49" t="n"/>
      <c r="L808" s="49" t="n"/>
      <c r="M808" s="49" t="n"/>
      <c r="N808" s="49" t="n"/>
      <c r="O808" s="49" t="n"/>
      <c r="P808" s="49" t="n"/>
      <c r="Q808" s="49" t="n"/>
      <c r="R808" s="49" t="n"/>
    </row>
    <row r="809" ht="15.75" customHeight="1" s="57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49" t="n"/>
      <c r="L809" s="49" t="n"/>
      <c r="M809" s="49" t="n"/>
      <c r="N809" s="49" t="n"/>
      <c r="O809" s="49" t="n"/>
      <c r="P809" s="49" t="n"/>
      <c r="Q809" s="49" t="n"/>
      <c r="R809" s="49" t="n"/>
    </row>
    <row r="810" ht="15.75" customHeight="1" s="57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49" t="n"/>
      <c r="L810" s="49" t="n"/>
      <c r="M810" s="49" t="n"/>
      <c r="N810" s="49" t="n"/>
      <c r="O810" s="49" t="n"/>
      <c r="P810" s="49" t="n"/>
      <c r="Q810" s="49" t="n"/>
      <c r="R810" s="49" t="n"/>
    </row>
    <row r="811" ht="15.75" customHeight="1" s="57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49" t="n"/>
      <c r="L811" s="49" t="n"/>
      <c r="M811" s="49" t="n"/>
      <c r="N811" s="49" t="n"/>
      <c r="O811" s="49" t="n"/>
      <c r="P811" s="49" t="n"/>
      <c r="Q811" s="49" t="n"/>
      <c r="R811" s="49" t="n"/>
    </row>
    <row r="812" ht="15.75" customHeight="1" s="57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49" t="n"/>
      <c r="L812" s="49" t="n"/>
      <c r="M812" s="49" t="n"/>
      <c r="N812" s="49" t="n"/>
      <c r="O812" s="49" t="n"/>
      <c r="P812" s="49" t="n"/>
      <c r="Q812" s="49" t="n"/>
      <c r="R812" s="49" t="n"/>
    </row>
    <row r="813" ht="15.75" customHeight="1" s="57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49" t="n"/>
      <c r="L813" s="49" t="n"/>
      <c r="M813" s="49" t="n"/>
      <c r="N813" s="49" t="n"/>
      <c r="O813" s="49" t="n"/>
      <c r="P813" s="49" t="n"/>
      <c r="Q813" s="49" t="n"/>
      <c r="R813" s="49" t="n"/>
    </row>
    <row r="814" ht="15.75" customHeight="1" s="57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49" t="n"/>
      <c r="L814" s="49" t="n"/>
      <c r="M814" s="49" t="n"/>
      <c r="N814" s="49" t="n"/>
      <c r="O814" s="49" t="n"/>
      <c r="P814" s="49" t="n"/>
      <c r="Q814" s="49" t="n"/>
      <c r="R814" s="49" t="n"/>
    </row>
    <row r="815" ht="15.75" customHeight="1" s="57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49" t="n"/>
      <c r="L815" s="49" t="n"/>
      <c r="M815" s="49" t="n"/>
      <c r="N815" s="49" t="n"/>
      <c r="O815" s="49" t="n"/>
      <c r="P815" s="49" t="n"/>
      <c r="Q815" s="49" t="n"/>
      <c r="R815" s="49" t="n"/>
    </row>
    <row r="816" ht="15.75" customHeight="1" s="57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49" t="n"/>
      <c r="L816" s="49" t="n"/>
      <c r="M816" s="49" t="n"/>
      <c r="N816" s="49" t="n"/>
      <c r="O816" s="49" t="n"/>
      <c r="P816" s="49" t="n"/>
      <c r="Q816" s="49" t="n"/>
      <c r="R816" s="49" t="n"/>
    </row>
    <row r="817" ht="15.75" customHeight="1" s="57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49" t="n"/>
      <c r="L817" s="49" t="n"/>
      <c r="M817" s="49" t="n"/>
      <c r="N817" s="49" t="n"/>
      <c r="O817" s="49" t="n"/>
      <c r="P817" s="49" t="n"/>
      <c r="Q817" s="49" t="n"/>
      <c r="R817" s="49" t="n"/>
    </row>
    <row r="818" ht="15.75" customHeight="1" s="57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49" t="n"/>
      <c r="L818" s="49" t="n"/>
      <c r="M818" s="49" t="n"/>
      <c r="N818" s="49" t="n"/>
      <c r="O818" s="49" t="n"/>
      <c r="P818" s="49" t="n"/>
      <c r="Q818" s="49" t="n"/>
      <c r="R818" s="49" t="n"/>
    </row>
    <row r="819" ht="15.75" customHeight="1" s="57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49" t="n"/>
      <c r="L819" s="49" t="n"/>
      <c r="M819" s="49" t="n"/>
      <c r="N819" s="49" t="n"/>
      <c r="O819" s="49" t="n"/>
      <c r="P819" s="49" t="n"/>
      <c r="Q819" s="49" t="n"/>
      <c r="R819" s="49" t="n"/>
    </row>
    <row r="820" ht="15.75" customHeight="1" s="57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49" t="n"/>
      <c r="L820" s="49" t="n"/>
      <c r="M820" s="49" t="n"/>
      <c r="N820" s="49" t="n"/>
      <c r="O820" s="49" t="n"/>
      <c r="P820" s="49" t="n"/>
      <c r="Q820" s="49" t="n"/>
      <c r="R820" s="49" t="n"/>
    </row>
    <row r="821" ht="15.75" customHeight="1" s="57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49" t="n"/>
      <c r="L821" s="49" t="n"/>
      <c r="M821" s="49" t="n"/>
      <c r="N821" s="49" t="n"/>
      <c r="O821" s="49" t="n"/>
      <c r="P821" s="49" t="n"/>
      <c r="Q821" s="49" t="n"/>
      <c r="R821" s="49" t="n"/>
    </row>
    <row r="822" ht="15.75" customHeight="1" s="57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49" t="n"/>
      <c r="L822" s="49" t="n"/>
      <c r="M822" s="49" t="n"/>
      <c r="N822" s="49" t="n"/>
      <c r="O822" s="49" t="n"/>
      <c r="P822" s="49" t="n"/>
      <c r="Q822" s="49" t="n"/>
      <c r="R822" s="49" t="n"/>
    </row>
    <row r="823" ht="15.75" customHeight="1" s="57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49" t="n"/>
      <c r="L823" s="49" t="n"/>
      <c r="M823" s="49" t="n"/>
      <c r="N823" s="49" t="n"/>
      <c r="O823" s="49" t="n"/>
      <c r="P823" s="49" t="n"/>
      <c r="Q823" s="49" t="n"/>
      <c r="R823" s="49" t="n"/>
    </row>
    <row r="824" ht="15.75" customHeight="1" s="57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49" t="n"/>
      <c r="L824" s="49" t="n"/>
      <c r="M824" s="49" t="n"/>
      <c r="N824" s="49" t="n"/>
      <c r="O824" s="49" t="n"/>
      <c r="P824" s="49" t="n"/>
      <c r="Q824" s="49" t="n"/>
      <c r="R824" s="49" t="n"/>
    </row>
    <row r="825" ht="15.75" customHeight="1" s="57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49" t="n"/>
      <c r="L825" s="49" t="n"/>
      <c r="M825" s="49" t="n"/>
      <c r="N825" s="49" t="n"/>
      <c r="O825" s="49" t="n"/>
      <c r="P825" s="49" t="n"/>
      <c r="Q825" s="49" t="n"/>
      <c r="R825" s="49" t="n"/>
    </row>
    <row r="826" ht="15.75" customHeight="1" s="57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49" t="n"/>
      <c r="L826" s="49" t="n"/>
      <c r="M826" s="49" t="n"/>
      <c r="N826" s="49" t="n"/>
      <c r="O826" s="49" t="n"/>
      <c r="P826" s="49" t="n"/>
      <c r="Q826" s="49" t="n"/>
      <c r="R826" s="49" t="n"/>
    </row>
    <row r="827" ht="15.75" customHeight="1" s="57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49" t="n"/>
      <c r="L827" s="49" t="n"/>
      <c r="M827" s="49" t="n"/>
      <c r="N827" s="49" t="n"/>
      <c r="O827" s="49" t="n"/>
      <c r="P827" s="49" t="n"/>
      <c r="Q827" s="49" t="n"/>
      <c r="R827" s="49" t="n"/>
    </row>
    <row r="828" ht="15.75" customHeight="1" s="57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49" t="n"/>
      <c r="L828" s="49" t="n"/>
      <c r="M828" s="49" t="n"/>
      <c r="N828" s="49" t="n"/>
      <c r="O828" s="49" t="n"/>
      <c r="P828" s="49" t="n"/>
      <c r="Q828" s="49" t="n"/>
      <c r="R828" s="49" t="n"/>
    </row>
    <row r="829" ht="15.75" customHeight="1" s="57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49" t="n"/>
      <c r="L829" s="49" t="n"/>
      <c r="M829" s="49" t="n"/>
      <c r="N829" s="49" t="n"/>
      <c r="O829" s="49" t="n"/>
      <c r="P829" s="49" t="n"/>
      <c r="Q829" s="49" t="n"/>
      <c r="R829" s="49" t="n"/>
    </row>
    <row r="830" ht="15.75" customHeight="1" s="57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49" t="n"/>
      <c r="L830" s="49" t="n"/>
      <c r="M830" s="49" t="n"/>
      <c r="N830" s="49" t="n"/>
      <c r="O830" s="49" t="n"/>
      <c r="P830" s="49" t="n"/>
      <c r="Q830" s="49" t="n"/>
      <c r="R830" s="49" t="n"/>
    </row>
    <row r="831" ht="15.75" customHeight="1" s="57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49" t="n"/>
      <c r="L831" s="49" t="n"/>
      <c r="M831" s="49" t="n"/>
      <c r="N831" s="49" t="n"/>
      <c r="O831" s="49" t="n"/>
      <c r="P831" s="49" t="n"/>
      <c r="Q831" s="49" t="n"/>
      <c r="R831" s="49" t="n"/>
    </row>
    <row r="832" ht="15.75" customHeight="1" s="57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49" t="n"/>
      <c r="L832" s="49" t="n"/>
      <c r="M832" s="49" t="n"/>
      <c r="N832" s="49" t="n"/>
      <c r="O832" s="49" t="n"/>
      <c r="P832" s="49" t="n"/>
      <c r="Q832" s="49" t="n"/>
      <c r="R832" s="49" t="n"/>
    </row>
    <row r="833" ht="15.75" customHeight="1" s="57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49" t="n"/>
      <c r="L833" s="49" t="n"/>
      <c r="M833" s="49" t="n"/>
      <c r="N833" s="49" t="n"/>
      <c r="O833" s="49" t="n"/>
      <c r="P833" s="49" t="n"/>
      <c r="Q833" s="49" t="n"/>
      <c r="R833" s="49" t="n"/>
    </row>
    <row r="834" ht="15.75" customHeight="1" s="57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49" t="n"/>
      <c r="L834" s="49" t="n"/>
      <c r="M834" s="49" t="n"/>
      <c r="N834" s="49" t="n"/>
      <c r="O834" s="49" t="n"/>
      <c r="P834" s="49" t="n"/>
      <c r="Q834" s="49" t="n"/>
      <c r="R834" s="49" t="n"/>
    </row>
    <row r="835" ht="15.75" customHeight="1" s="57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49" t="n"/>
      <c r="L835" s="49" t="n"/>
      <c r="M835" s="49" t="n"/>
      <c r="N835" s="49" t="n"/>
      <c r="O835" s="49" t="n"/>
      <c r="P835" s="49" t="n"/>
      <c r="Q835" s="49" t="n"/>
      <c r="R835" s="49" t="n"/>
    </row>
    <row r="836" ht="15.75" customHeight="1" s="57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49" t="n"/>
      <c r="L836" s="49" t="n"/>
      <c r="M836" s="49" t="n"/>
      <c r="N836" s="49" t="n"/>
      <c r="O836" s="49" t="n"/>
      <c r="P836" s="49" t="n"/>
      <c r="Q836" s="49" t="n"/>
      <c r="R836" s="49" t="n"/>
    </row>
    <row r="837" ht="15.75" customHeight="1" s="57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49" t="n"/>
      <c r="L837" s="49" t="n"/>
      <c r="M837" s="49" t="n"/>
      <c r="N837" s="49" t="n"/>
      <c r="O837" s="49" t="n"/>
      <c r="P837" s="49" t="n"/>
      <c r="Q837" s="49" t="n"/>
      <c r="R837" s="49" t="n"/>
    </row>
    <row r="838" ht="15.75" customHeight="1" s="57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49" t="n"/>
      <c r="L838" s="49" t="n"/>
      <c r="M838" s="49" t="n"/>
      <c r="N838" s="49" t="n"/>
      <c r="O838" s="49" t="n"/>
      <c r="P838" s="49" t="n"/>
      <c r="Q838" s="49" t="n"/>
      <c r="R838" s="49" t="n"/>
    </row>
    <row r="839" ht="15.75" customHeight="1" s="57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49" t="n"/>
      <c r="L839" s="49" t="n"/>
      <c r="M839" s="49" t="n"/>
      <c r="N839" s="49" t="n"/>
      <c r="O839" s="49" t="n"/>
      <c r="P839" s="49" t="n"/>
      <c r="Q839" s="49" t="n"/>
      <c r="R839" s="49" t="n"/>
    </row>
    <row r="840" ht="15.75" customHeight="1" s="57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49" t="n"/>
      <c r="L840" s="49" t="n"/>
      <c r="M840" s="49" t="n"/>
      <c r="N840" s="49" t="n"/>
      <c r="O840" s="49" t="n"/>
      <c r="P840" s="49" t="n"/>
      <c r="Q840" s="49" t="n"/>
      <c r="R840" s="49" t="n"/>
    </row>
    <row r="841" ht="15.75" customHeight="1" s="57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49" t="n"/>
      <c r="L841" s="49" t="n"/>
      <c r="M841" s="49" t="n"/>
      <c r="N841" s="49" t="n"/>
      <c r="O841" s="49" t="n"/>
      <c r="P841" s="49" t="n"/>
      <c r="Q841" s="49" t="n"/>
      <c r="R841" s="49" t="n"/>
    </row>
    <row r="842" ht="15.75" customHeight="1" s="57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49" t="n"/>
      <c r="L842" s="49" t="n"/>
      <c r="M842" s="49" t="n"/>
      <c r="N842" s="49" t="n"/>
      <c r="O842" s="49" t="n"/>
      <c r="P842" s="49" t="n"/>
      <c r="Q842" s="49" t="n"/>
      <c r="R842" s="49" t="n"/>
    </row>
    <row r="843" ht="15.75" customHeight="1" s="57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49" t="n"/>
      <c r="L843" s="49" t="n"/>
      <c r="M843" s="49" t="n"/>
      <c r="N843" s="49" t="n"/>
      <c r="O843" s="49" t="n"/>
      <c r="P843" s="49" t="n"/>
      <c r="Q843" s="49" t="n"/>
      <c r="R843" s="49" t="n"/>
    </row>
    <row r="844" ht="15.75" customHeight="1" s="57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49" t="n"/>
      <c r="L844" s="49" t="n"/>
      <c r="M844" s="49" t="n"/>
      <c r="N844" s="49" t="n"/>
      <c r="O844" s="49" t="n"/>
      <c r="P844" s="49" t="n"/>
      <c r="Q844" s="49" t="n"/>
      <c r="R844" s="49" t="n"/>
    </row>
    <row r="845" ht="15.75" customHeight="1" s="57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49" t="n"/>
      <c r="L845" s="49" t="n"/>
      <c r="M845" s="49" t="n"/>
      <c r="N845" s="49" t="n"/>
      <c r="O845" s="49" t="n"/>
      <c r="P845" s="49" t="n"/>
      <c r="Q845" s="49" t="n"/>
      <c r="R845" s="49" t="n"/>
    </row>
    <row r="846" ht="15.75" customHeight="1" s="57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49" t="n"/>
      <c r="L846" s="49" t="n"/>
      <c r="M846" s="49" t="n"/>
      <c r="N846" s="49" t="n"/>
      <c r="O846" s="49" t="n"/>
      <c r="P846" s="49" t="n"/>
      <c r="Q846" s="49" t="n"/>
      <c r="R846" s="49" t="n"/>
    </row>
    <row r="847" ht="15.75" customHeight="1" s="57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49" t="n"/>
      <c r="L847" s="49" t="n"/>
      <c r="M847" s="49" t="n"/>
      <c r="N847" s="49" t="n"/>
      <c r="O847" s="49" t="n"/>
      <c r="P847" s="49" t="n"/>
      <c r="Q847" s="49" t="n"/>
      <c r="R847" s="49" t="n"/>
    </row>
    <row r="848" ht="15.75" customHeight="1" s="57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49" t="n"/>
      <c r="L848" s="49" t="n"/>
      <c r="M848" s="49" t="n"/>
      <c r="N848" s="49" t="n"/>
      <c r="O848" s="49" t="n"/>
      <c r="P848" s="49" t="n"/>
      <c r="Q848" s="49" t="n"/>
      <c r="R848" s="49" t="n"/>
    </row>
    <row r="849" ht="15.75" customHeight="1" s="57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49" t="n"/>
      <c r="L849" s="49" t="n"/>
      <c r="M849" s="49" t="n"/>
      <c r="N849" s="49" t="n"/>
      <c r="O849" s="49" t="n"/>
      <c r="P849" s="49" t="n"/>
      <c r="Q849" s="49" t="n"/>
      <c r="R849" s="49" t="n"/>
    </row>
    <row r="850" ht="15.75" customHeight="1" s="57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49" t="n"/>
      <c r="L850" s="49" t="n"/>
      <c r="M850" s="49" t="n"/>
      <c r="N850" s="49" t="n"/>
      <c r="O850" s="49" t="n"/>
      <c r="P850" s="49" t="n"/>
      <c r="Q850" s="49" t="n"/>
      <c r="R850" s="49" t="n"/>
    </row>
    <row r="851" ht="15.75" customHeight="1" s="57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49" t="n"/>
      <c r="L851" s="49" t="n"/>
      <c r="M851" s="49" t="n"/>
      <c r="N851" s="49" t="n"/>
      <c r="O851" s="49" t="n"/>
      <c r="P851" s="49" t="n"/>
      <c r="Q851" s="49" t="n"/>
      <c r="R851" s="49" t="n"/>
    </row>
    <row r="852" ht="15.75" customHeight="1" s="57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49" t="n"/>
      <c r="L852" s="49" t="n"/>
      <c r="M852" s="49" t="n"/>
      <c r="N852" s="49" t="n"/>
      <c r="O852" s="49" t="n"/>
      <c r="P852" s="49" t="n"/>
      <c r="Q852" s="49" t="n"/>
      <c r="R852" s="49" t="n"/>
    </row>
    <row r="853" ht="15.75" customHeight="1" s="57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49" t="n"/>
      <c r="L853" s="49" t="n"/>
      <c r="M853" s="49" t="n"/>
      <c r="N853" s="49" t="n"/>
      <c r="O853" s="49" t="n"/>
      <c r="P853" s="49" t="n"/>
      <c r="Q853" s="49" t="n"/>
      <c r="R853" s="49" t="n"/>
    </row>
    <row r="854" ht="15.75" customHeight="1" s="57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49" t="n"/>
      <c r="L854" s="49" t="n"/>
      <c r="M854" s="49" t="n"/>
      <c r="N854" s="49" t="n"/>
      <c r="O854" s="49" t="n"/>
      <c r="P854" s="49" t="n"/>
      <c r="Q854" s="49" t="n"/>
      <c r="R854" s="49" t="n"/>
    </row>
    <row r="855" ht="15.75" customHeight="1" s="57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49" t="n"/>
      <c r="L855" s="49" t="n"/>
      <c r="M855" s="49" t="n"/>
      <c r="N855" s="49" t="n"/>
      <c r="O855" s="49" t="n"/>
      <c r="P855" s="49" t="n"/>
      <c r="Q855" s="49" t="n"/>
      <c r="R855" s="49" t="n"/>
    </row>
    <row r="856" ht="15.75" customHeight="1" s="57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49" t="n"/>
      <c r="L856" s="49" t="n"/>
      <c r="M856" s="49" t="n"/>
      <c r="N856" s="49" t="n"/>
      <c r="O856" s="49" t="n"/>
      <c r="P856" s="49" t="n"/>
      <c r="Q856" s="49" t="n"/>
      <c r="R856" s="49" t="n"/>
    </row>
    <row r="857" ht="15.75" customHeight="1" s="57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49" t="n"/>
      <c r="L857" s="49" t="n"/>
      <c r="M857" s="49" t="n"/>
      <c r="N857" s="49" t="n"/>
      <c r="O857" s="49" t="n"/>
      <c r="P857" s="49" t="n"/>
      <c r="Q857" s="49" t="n"/>
      <c r="R857" s="49" t="n"/>
    </row>
    <row r="858" ht="15.75" customHeight="1" s="57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49" t="n"/>
      <c r="L858" s="49" t="n"/>
      <c r="M858" s="49" t="n"/>
      <c r="N858" s="49" t="n"/>
      <c r="O858" s="49" t="n"/>
      <c r="P858" s="49" t="n"/>
      <c r="Q858" s="49" t="n"/>
      <c r="R858" s="49" t="n"/>
    </row>
    <row r="859" ht="15.75" customHeight="1" s="57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49" t="n"/>
      <c r="L859" s="49" t="n"/>
      <c r="M859" s="49" t="n"/>
      <c r="N859" s="49" t="n"/>
      <c r="O859" s="49" t="n"/>
      <c r="P859" s="49" t="n"/>
      <c r="Q859" s="49" t="n"/>
      <c r="R859" s="49" t="n"/>
    </row>
    <row r="860" ht="15.75" customHeight="1" s="57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49" t="n"/>
      <c r="L860" s="49" t="n"/>
      <c r="M860" s="49" t="n"/>
      <c r="N860" s="49" t="n"/>
      <c r="O860" s="49" t="n"/>
      <c r="P860" s="49" t="n"/>
      <c r="Q860" s="49" t="n"/>
      <c r="R860" s="49" t="n"/>
    </row>
    <row r="861" ht="15.75" customHeight="1" s="57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49" t="n"/>
      <c r="L861" s="49" t="n"/>
      <c r="M861" s="49" t="n"/>
      <c r="N861" s="49" t="n"/>
      <c r="O861" s="49" t="n"/>
      <c r="P861" s="49" t="n"/>
      <c r="Q861" s="49" t="n"/>
      <c r="R861" s="49" t="n"/>
    </row>
    <row r="862" ht="15.75" customHeight="1" s="57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49" t="n"/>
      <c r="L862" s="49" t="n"/>
      <c r="M862" s="49" t="n"/>
      <c r="N862" s="49" t="n"/>
      <c r="O862" s="49" t="n"/>
      <c r="P862" s="49" t="n"/>
      <c r="Q862" s="49" t="n"/>
      <c r="R862" s="49" t="n"/>
    </row>
    <row r="863" ht="15.75" customHeight="1" s="57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49" t="n"/>
      <c r="L863" s="49" t="n"/>
      <c r="M863" s="49" t="n"/>
      <c r="N863" s="49" t="n"/>
      <c r="O863" s="49" t="n"/>
      <c r="P863" s="49" t="n"/>
      <c r="Q863" s="49" t="n"/>
      <c r="R863" s="49" t="n"/>
    </row>
    <row r="864" ht="15.75" customHeight="1" s="57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49" t="n"/>
      <c r="L864" s="49" t="n"/>
      <c r="M864" s="49" t="n"/>
      <c r="N864" s="49" t="n"/>
      <c r="O864" s="49" t="n"/>
      <c r="P864" s="49" t="n"/>
      <c r="Q864" s="49" t="n"/>
      <c r="R864" s="49" t="n"/>
    </row>
    <row r="865" ht="15.75" customHeight="1" s="57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49" t="n"/>
      <c r="L865" s="49" t="n"/>
      <c r="M865" s="49" t="n"/>
      <c r="N865" s="49" t="n"/>
      <c r="O865" s="49" t="n"/>
      <c r="P865" s="49" t="n"/>
      <c r="Q865" s="49" t="n"/>
      <c r="R865" s="49" t="n"/>
    </row>
    <row r="866" ht="15.75" customHeight="1" s="57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49" t="n"/>
      <c r="L866" s="49" t="n"/>
      <c r="M866" s="49" t="n"/>
      <c r="N866" s="49" t="n"/>
      <c r="O866" s="49" t="n"/>
      <c r="P866" s="49" t="n"/>
      <c r="Q866" s="49" t="n"/>
      <c r="R866" s="49" t="n"/>
    </row>
    <row r="867" ht="15.75" customHeight="1" s="57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49" t="n"/>
      <c r="L867" s="49" t="n"/>
      <c r="M867" s="49" t="n"/>
      <c r="N867" s="49" t="n"/>
      <c r="O867" s="49" t="n"/>
      <c r="P867" s="49" t="n"/>
      <c r="Q867" s="49" t="n"/>
      <c r="R867" s="49" t="n"/>
    </row>
    <row r="868" ht="15.75" customHeight="1" s="57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49" t="n"/>
      <c r="L868" s="49" t="n"/>
      <c r="M868" s="49" t="n"/>
      <c r="N868" s="49" t="n"/>
      <c r="O868" s="49" t="n"/>
      <c r="P868" s="49" t="n"/>
      <c r="Q868" s="49" t="n"/>
      <c r="R868" s="49" t="n"/>
    </row>
    <row r="869" ht="15.75" customHeight="1" s="57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49" t="n"/>
      <c r="L869" s="49" t="n"/>
      <c r="M869" s="49" t="n"/>
      <c r="N869" s="49" t="n"/>
      <c r="O869" s="49" t="n"/>
      <c r="P869" s="49" t="n"/>
      <c r="Q869" s="49" t="n"/>
      <c r="R869" s="49" t="n"/>
    </row>
    <row r="870" ht="15.75" customHeight="1" s="57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49" t="n"/>
      <c r="L870" s="49" t="n"/>
      <c r="M870" s="49" t="n"/>
      <c r="N870" s="49" t="n"/>
      <c r="O870" s="49" t="n"/>
      <c r="P870" s="49" t="n"/>
      <c r="Q870" s="49" t="n"/>
      <c r="R870" s="49" t="n"/>
    </row>
    <row r="871" ht="15.75" customHeight="1" s="57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49" t="n"/>
      <c r="L871" s="49" t="n"/>
      <c r="M871" s="49" t="n"/>
      <c r="N871" s="49" t="n"/>
      <c r="O871" s="49" t="n"/>
      <c r="P871" s="49" t="n"/>
      <c r="Q871" s="49" t="n"/>
      <c r="R871" s="49" t="n"/>
    </row>
    <row r="872" ht="15.75" customHeight="1" s="57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49" t="n"/>
      <c r="L872" s="49" t="n"/>
      <c r="M872" s="49" t="n"/>
      <c r="N872" s="49" t="n"/>
      <c r="O872" s="49" t="n"/>
      <c r="P872" s="49" t="n"/>
      <c r="Q872" s="49" t="n"/>
      <c r="R872" s="49" t="n"/>
    </row>
    <row r="873" ht="15.75" customHeight="1" s="57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49" t="n"/>
      <c r="L873" s="49" t="n"/>
      <c r="M873" s="49" t="n"/>
      <c r="N873" s="49" t="n"/>
      <c r="O873" s="49" t="n"/>
      <c r="P873" s="49" t="n"/>
      <c r="Q873" s="49" t="n"/>
      <c r="R873" s="49" t="n"/>
    </row>
    <row r="874" ht="15.75" customHeight="1" s="57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49" t="n"/>
      <c r="L874" s="49" t="n"/>
      <c r="M874" s="49" t="n"/>
      <c r="N874" s="49" t="n"/>
      <c r="O874" s="49" t="n"/>
      <c r="P874" s="49" t="n"/>
      <c r="Q874" s="49" t="n"/>
      <c r="R874" s="49" t="n"/>
    </row>
    <row r="875" ht="15.75" customHeight="1" s="57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49" t="n"/>
      <c r="L875" s="49" t="n"/>
      <c r="M875" s="49" t="n"/>
      <c r="N875" s="49" t="n"/>
      <c r="O875" s="49" t="n"/>
      <c r="P875" s="49" t="n"/>
      <c r="Q875" s="49" t="n"/>
      <c r="R875" s="49" t="n"/>
    </row>
    <row r="876" ht="15.75" customHeight="1" s="57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49" t="n"/>
      <c r="L876" s="49" t="n"/>
      <c r="M876" s="49" t="n"/>
      <c r="N876" s="49" t="n"/>
      <c r="O876" s="49" t="n"/>
      <c r="P876" s="49" t="n"/>
      <c r="Q876" s="49" t="n"/>
      <c r="R876" s="49" t="n"/>
    </row>
    <row r="877" ht="15.75" customHeight="1" s="57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49" t="n"/>
      <c r="L877" s="49" t="n"/>
      <c r="M877" s="49" t="n"/>
      <c r="N877" s="49" t="n"/>
      <c r="O877" s="49" t="n"/>
      <c r="P877" s="49" t="n"/>
      <c r="Q877" s="49" t="n"/>
      <c r="R877" s="49" t="n"/>
    </row>
    <row r="878" ht="15.75" customHeight="1" s="57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49" t="n"/>
      <c r="L878" s="49" t="n"/>
      <c r="M878" s="49" t="n"/>
      <c r="N878" s="49" t="n"/>
      <c r="O878" s="49" t="n"/>
      <c r="P878" s="49" t="n"/>
      <c r="Q878" s="49" t="n"/>
      <c r="R878" s="49" t="n"/>
    </row>
    <row r="879" ht="15.75" customHeight="1" s="57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49" t="n"/>
      <c r="L879" s="49" t="n"/>
      <c r="M879" s="49" t="n"/>
      <c r="N879" s="49" t="n"/>
      <c r="O879" s="49" t="n"/>
      <c r="P879" s="49" t="n"/>
      <c r="Q879" s="49" t="n"/>
      <c r="R879" s="49" t="n"/>
    </row>
    <row r="880" ht="15.75" customHeight="1" s="57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49" t="n"/>
      <c r="L880" s="49" t="n"/>
      <c r="M880" s="49" t="n"/>
      <c r="N880" s="49" t="n"/>
      <c r="O880" s="49" t="n"/>
      <c r="P880" s="49" t="n"/>
      <c r="Q880" s="49" t="n"/>
      <c r="R880" s="49" t="n"/>
    </row>
    <row r="881" ht="15.75" customHeight="1" s="57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49" t="n"/>
      <c r="L881" s="49" t="n"/>
      <c r="M881" s="49" t="n"/>
      <c r="N881" s="49" t="n"/>
      <c r="O881" s="49" t="n"/>
      <c r="P881" s="49" t="n"/>
      <c r="Q881" s="49" t="n"/>
      <c r="R881" s="49" t="n"/>
    </row>
    <row r="882" ht="15.75" customHeight="1" s="57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49" t="n"/>
      <c r="L882" s="49" t="n"/>
      <c r="M882" s="49" t="n"/>
      <c r="N882" s="49" t="n"/>
      <c r="O882" s="49" t="n"/>
      <c r="P882" s="49" t="n"/>
      <c r="Q882" s="49" t="n"/>
      <c r="R882" s="49" t="n"/>
    </row>
    <row r="883" ht="15.75" customHeight="1" s="57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49" t="n"/>
      <c r="L883" s="49" t="n"/>
      <c r="M883" s="49" t="n"/>
      <c r="N883" s="49" t="n"/>
      <c r="O883" s="49" t="n"/>
      <c r="P883" s="49" t="n"/>
      <c r="Q883" s="49" t="n"/>
      <c r="R883" s="49" t="n"/>
    </row>
    <row r="884" ht="15.75" customHeight="1" s="57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49" t="n"/>
      <c r="L884" s="49" t="n"/>
      <c r="M884" s="49" t="n"/>
      <c r="N884" s="49" t="n"/>
      <c r="O884" s="49" t="n"/>
      <c r="P884" s="49" t="n"/>
      <c r="Q884" s="49" t="n"/>
      <c r="R884" s="49" t="n"/>
    </row>
    <row r="885" ht="15.75" customHeight="1" s="57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49" t="n"/>
      <c r="L885" s="49" t="n"/>
      <c r="M885" s="49" t="n"/>
      <c r="N885" s="49" t="n"/>
      <c r="O885" s="49" t="n"/>
      <c r="P885" s="49" t="n"/>
      <c r="Q885" s="49" t="n"/>
      <c r="R885" s="49" t="n"/>
    </row>
    <row r="886" ht="15.75" customHeight="1" s="57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49" t="n"/>
      <c r="L886" s="49" t="n"/>
      <c r="M886" s="49" t="n"/>
      <c r="N886" s="49" t="n"/>
      <c r="O886" s="49" t="n"/>
      <c r="P886" s="49" t="n"/>
      <c r="Q886" s="49" t="n"/>
      <c r="R886" s="49" t="n"/>
    </row>
    <row r="887" ht="15.75" customHeight="1" s="57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49" t="n"/>
      <c r="L887" s="49" t="n"/>
      <c r="M887" s="49" t="n"/>
      <c r="N887" s="49" t="n"/>
      <c r="O887" s="49" t="n"/>
      <c r="P887" s="49" t="n"/>
      <c r="Q887" s="49" t="n"/>
      <c r="R887" s="49" t="n"/>
    </row>
    <row r="888" ht="15.75" customHeight="1" s="57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49" t="n"/>
      <c r="L888" s="49" t="n"/>
      <c r="M888" s="49" t="n"/>
      <c r="N888" s="49" t="n"/>
      <c r="O888" s="49" t="n"/>
      <c r="P888" s="49" t="n"/>
      <c r="Q888" s="49" t="n"/>
      <c r="R888" s="49" t="n"/>
    </row>
    <row r="889" ht="15.75" customHeight="1" s="57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49" t="n"/>
      <c r="L889" s="49" t="n"/>
      <c r="M889" s="49" t="n"/>
      <c r="N889" s="49" t="n"/>
      <c r="O889" s="49" t="n"/>
      <c r="P889" s="49" t="n"/>
      <c r="Q889" s="49" t="n"/>
      <c r="R889" s="49" t="n"/>
    </row>
    <row r="890" ht="15.75" customHeight="1" s="57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49" t="n"/>
      <c r="L890" s="49" t="n"/>
      <c r="M890" s="49" t="n"/>
      <c r="N890" s="49" t="n"/>
      <c r="O890" s="49" t="n"/>
      <c r="P890" s="49" t="n"/>
      <c r="Q890" s="49" t="n"/>
      <c r="R890" s="49" t="n"/>
    </row>
    <row r="891" ht="15.75" customHeight="1" s="57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49" t="n"/>
      <c r="L891" s="49" t="n"/>
      <c r="M891" s="49" t="n"/>
      <c r="N891" s="49" t="n"/>
      <c r="O891" s="49" t="n"/>
      <c r="P891" s="49" t="n"/>
      <c r="Q891" s="49" t="n"/>
      <c r="R891" s="49" t="n"/>
    </row>
    <row r="892" ht="15.75" customHeight="1" s="57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49" t="n"/>
      <c r="L892" s="49" t="n"/>
      <c r="M892" s="49" t="n"/>
      <c r="N892" s="49" t="n"/>
      <c r="O892" s="49" t="n"/>
      <c r="P892" s="49" t="n"/>
      <c r="Q892" s="49" t="n"/>
      <c r="R892" s="49" t="n"/>
    </row>
    <row r="893" ht="15.75" customHeight="1" s="57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49" t="n"/>
      <c r="L893" s="49" t="n"/>
      <c r="M893" s="49" t="n"/>
      <c r="N893" s="49" t="n"/>
      <c r="O893" s="49" t="n"/>
      <c r="P893" s="49" t="n"/>
      <c r="Q893" s="49" t="n"/>
      <c r="R893" s="49" t="n"/>
    </row>
    <row r="894" ht="15.75" customHeight="1" s="57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49" t="n"/>
      <c r="L894" s="49" t="n"/>
      <c r="M894" s="49" t="n"/>
      <c r="N894" s="49" t="n"/>
      <c r="O894" s="49" t="n"/>
      <c r="P894" s="49" t="n"/>
      <c r="Q894" s="49" t="n"/>
      <c r="R894" s="49" t="n"/>
    </row>
    <row r="895" ht="15.75" customHeight="1" s="57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49" t="n"/>
      <c r="L895" s="49" t="n"/>
      <c r="M895" s="49" t="n"/>
      <c r="N895" s="49" t="n"/>
      <c r="O895" s="49" t="n"/>
      <c r="P895" s="49" t="n"/>
      <c r="Q895" s="49" t="n"/>
      <c r="R895" s="49" t="n"/>
    </row>
    <row r="896" ht="15.75" customHeight="1" s="57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49" t="n"/>
      <c r="L896" s="49" t="n"/>
      <c r="M896" s="49" t="n"/>
      <c r="N896" s="49" t="n"/>
      <c r="O896" s="49" t="n"/>
      <c r="P896" s="49" t="n"/>
      <c r="Q896" s="49" t="n"/>
      <c r="R896" s="49" t="n"/>
    </row>
    <row r="897" ht="15.75" customHeight="1" s="57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49" t="n"/>
      <c r="L897" s="49" t="n"/>
      <c r="M897" s="49" t="n"/>
      <c r="N897" s="49" t="n"/>
      <c r="O897" s="49" t="n"/>
      <c r="P897" s="49" t="n"/>
      <c r="Q897" s="49" t="n"/>
      <c r="R897" s="49" t="n"/>
    </row>
    <row r="898" ht="15.75" customHeight="1" s="57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49" t="n"/>
      <c r="L898" s="49" t="n"/>
      <c r="M898" s="49" t="n"/>
      <c r="N898" s="49" t="n"/>
      <c r="O898" s="49" t="n"/>
      <c r="P898" s="49" t="n"/>
      <c r="Q898" s="49" t="n"/>
      <c r="R898" s="49" t="n"/>
    </row>
    <row r="899" ht="15.75" customHeight="1" s="57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49" t="n"/>
      <c r="L899" s="49" t="n"/>
      <c r="M899" s="49" t="n"/>
      <c r="N899" s="49" t="n"/>
      <c r="O899" s="49" t="n"/>
      <c r="P899" s="49" t="n"/>
      <c r="Q899" s="49" t="n"/>
      <c r="R899" s="49" t="n"/>
    </row>
    <row r="900" ht="15.75" customHeight="1" s="57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49" t="n"/>
      <c r="L900" s="49" t="n"/>
      <c r="M900" s="49" t="n"/>
      <c r="N900" s="49" t="n"/>
      <c r="O900" s="49" t="n"/>
      <c r="P900" s="49" t="n"/>
      <c r="Q900" s="49" t="n"/>
      <c r="R900" s="49" t="n"/>
    </row>
    <row r="901" ht="15.75" customHeight="1" s="57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49" t="n"/>
      <c r="L901" s="49" t="n"/>
      <c r="M901" s="49" t="n"/>
      <c r="N901" s="49" t="n"/>
      <c r="O901" s="49" t="n"/>
      <c r="P901" s="49" t="n"/>
      <c r="Q901" s="49" t="n"/>
      <c r="R901" s="49" t="n"/>
    </row>
    <row r="902" ht="15.75" customHeight="1" s="57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49" t="n"/>
      <c r="L902" s="49" t="n"/>
      <c r="M902" s="49" t="n"/>
      <c r="N902" s="49" t="n"/>
      <c r="O902" s="49" t="n"/>
      <c r="P902" s="49" t="n"/>
      <c r="Q902" s="49" t="n"/>
      <c r="R902" s="49" t="n"/>
    </row>
    <row r="903" ht="15.75" customHeight="1" s="57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49" t="n"/>
      <c r="L903" s="49" t="n"/>
      <c r="M903" s="49" t="n"/>
      <c r="N903" s="49" t="n"/>
      <c r="O903" s="49" t="n"/>
      <c r="P903" s="49" t="n"/>
      <c r="Q903" s="49" t="n"/>
      <c r="R903" s="49" t="n"/>
    </row>
    <row r="904" ht="15.75" customHeight="1" s="57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49" t="n"/>
      <c r="L904" s="49" t="n"/>
      <c r="M904" s="49" t="n"/>
      <c r="N904" s="49" t="n"/>
      <c r="O904" s="49" t="n"/>
      <c r="P904" s="49" t="n"/>
      <c r="Q904" s="49" t="n"/>
      <c r="R904" s="49" t="n"/>
    </row>
    <row r="905" ht="15.75" customHeight="1" s="57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49" t="n"/>
      <c r="L905" s="49" t="n"/>
      <c r="M905" s="49" t="n"/>
      <c r="N905" s="49" t="n"/>
      <c r="O905" s="49" t="n"/>
      <c r="P905" s="49" t="n"/>
      <c r="Q905" s="49" t="n"/>
      <c r="R905" s="49" t="n"/>
    </row>
    <row r="906" ht="15.75" customHeight="1" s="57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49" t="n"/>
      <c r="L906" s="49" t="n"/>
      <c r="M906" s="49" t="n"/>
      <c r="N906" s="49" t="n"/>
      <c r="O906" s="49" t="n"/>
      <c r="P906" s="49" t="n"/>
      <c r="Q906" s="49" t="n"/>
      <c r="R906" s="49" t="n"/>
    </row>
    <row r="907" ht="15.75" customHeight="1" s="57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49" t="n"/>
      <c r="L907" s="49" t="n"/>
      <c r="M907" s="49" t="n"/>
      <c r="N907" s="49" t="n"/>
      <c r="O907" s="49" t="n"/>
      <c r="P907" s="49" t="n"/>
      <c r="Q907" s="49" t="n"/>
      <c r="R907" s="49" t="n"/>
    </row>
    <row r="908" ht="15.75" customHeight="1" s="57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49" t="n"/>
      <c r="L908" s="49" t="n"/>
      <c r="M908" s="49" t="n"/>
      <c r="N908" s="49" t="n"/>
      <c r="O908" s="49" t="n"/>
      <c r="P908" s="49" t="n"/>
      <c r="Q908" s="49" t="n"/>
      <c r="R908" s="49" t="n"/>
    </row>
    <row r="909" ht="15.75" customHeight="1" s="57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49" t="n"/>
      <c r="L909" s="49" t="n"/>
      <c r="M909" s="49" t="n"/>
      <c r="N909" s="49" t="n"/>
      <c r="O909" s="49" t="n"/>
      <c r="P909" s="49" t="n"/>
      <c r="Q909" s="49" t="n"/>
      <c r="R909" s="49" t="n"/>
    </row>
    <row r="910" ht="15.75" customHeight="1" s="57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49" t="n"/>
      <c r="L910" s="49" t="n"/>
      <c r="M910" s="49" t="n"/>
      <c r="N910" s="49" t="n"/>
      <c r="O910" s="49" t="n"/>
      <c r="P910" s="49" t="n"/>
      <c r="Q910" s="49" t="n"/>
      <c r="R910" s="49" t="n"/>
    </row>
    <row r="911" ht="15.75" customHeight="1" s="57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49" t="n"/>
      <c r="L911" s="49" t="n"/>
      <c r="M911" s="49" t="n"/>
      <c r="N911" s="49" t="n"/>
      <c r="O911" s="49" t="n"/>
      <c r="P911" s="49" t="n"/>
      <c r="Q911" s="49" t="n"/>
      <c r="R911" s="49" t="n"/>
    </row>
    <row r="912" ht="15.75" customHeight="1" s="57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49" t="n"/>
      <c r="L912" s="49" t="n"/>
      <c r="M912" s="49" t="n"/>
      <c r="N912" s="49" t="n"/>
      <c r="O912" s="49" t="n"/>
      <c r="P912" s="49" t="n"/>
      <c r="Q912" s="49" t="n"/>
      <c r="R912" s="49" t="n"/>
    </row>
    <row r="913" ht="15.75" customHeight="1" s="57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49" t="n"/>
      <c r="L913" s="49" t="n"/>
      <c r="M913" s="49" t="n"/>
      <c r="N913" s="49" t="n"/>
      <c r="O913" s="49" t="n"/>
      <c r="P913" s="49" t="n"/>
      <c r="Q913" s="49" t="n"/>
      <c r="R913" s="49" t="n"/>
    </row>
    <row r="914" ht="15.75" customHeight="1" s="57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49" t="n"/>
      <c r="L914" s="49" t="n"/>
      <c r="M914" s="49" t="n"/>
      <c r="N914" s="49" t="n"/>
      <c r="O914" s="49" t="n"/>
      <c r="P914" s="49" t="n"/>
      <c r="Q914" s="49" t="n"/>
      <c r="R914" s="49" t="n"/>
    </row>
    <row r="915" ht="15.75" customHeight="1" s="57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49" t="n"/>
      <c r="L915" s="49" t="n"/>
      <c r="M915" s="49" t="n"/>
      <c r="N915" s="49" t="n"/>
      <c r="O915" s="49" t="n"/>
      <c r="P915" s="49" t="n"/>
      <c r="Q915" s="49" t="n"/>
      <c r="R915" s="49" t="n"/>
    </row>
    <row r="916" ht="15.75" customHeight="1" s="57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49" t="n"/>
      <c r="L916" s="49" t="n"/>
      <c r="M916" s="49" t="n"/>
      <c r="N916" s="49" t="n"/>
      <c r="O916" s="49" t="n"/>
      <c r="P916" s="49" t="n"/>
      <c r="Q916" s="49" t="n"/>
      <c r="R916" s="49" t="n"/>
    </row>
    <row r="917" ht="15.75" customHeight="1" s="57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49" t="n"/>
      <c r="L917" s="49" t="n"/>
      <c r="M917" s="49" t="n"/>
      <c r="N917" s="49" t="n"/>
      <c r="O917" s="49" t="n"/>
      <c r="P917" s="49" t="n"/>
      <c r="Q917" s="49" t="n"/>
      <c r="R917" s="49" t="n"/>
    </row>
    <row r="918" ht="15.75" customHeight="1" s="57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49" t="n"/>
      <c r="L918" s="49" t="n"/>
      <c r="M918" s="49" t="n"/>
      <c r="N918" s="49" t="n"/>
      <c r="O918" s="49" t="n"/>
      <c r="P918" s="49" t="n"/>
      <c r="Q918" s="49" t="n"/>
      <c r="R918" s="49" t="n"/>
    </row>
    <row r="919" ht="15.75" customHeight="1" s="57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49" t="n"/>
      <c r="L919" s="49" t="n"/>
      <c r="M919" s="49" t="n"/>
      <c r="N919" s="49" t="n"/>
      <c r="O919" s="49" t="n"/>
      <c r="P919" s="49" t="n"/>
      <c r="Q919" s="49" t="n"/>
      <c r="R919" s="49" t="n"/>
    </row>
    <row r="920" ht="15.75" customHeight="1" s="57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49" t="n"/>
      <c r="L920" s="49" t="n"/>
      <c r="M920" s="49" t="n"/>
      <c r="N920" s="49" t="n"/>
      <c r="O920" s="49" t="n"/>
      <c r="P920" s="49" t="n"/>
      <c r="Q920" s="49" t="n"/>
      <c r="R920" s="49" t="n"/>
    </row>
    <row r="921" ht="15.75" customHeight="1" s="57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49" t="n"/>
      <c r="L921" s="49" t="n"/>
      <c r="M921" s="49" t="n"/>
      <c r="N921" s="49" t="n"/>
      <c r="O921" s="49" t="n"/>
      <c r="P921" s="49" t="n"/>
      <c r="Q921" s="49" t="n"/>
      <c r="R921" s="49" t="n"/>
    </row>
    <row r="922" ht="15.75" customHeight="1" s="57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49" t="n"/>
      <c r="L922" s="49" t="n"/>
      <c r="M922" s="49" t="n"/>
      <c r="N922" s="49" t="n"/>
      <c r="O922" s="49" t="n"/>
      <c r="P922" s="49" t="n"/>
      <c r="Q922" s="49" t="n"/>
      <c r="R922" s="49" t="n"/>
    </row>
    <row r="923" ht="15.75" customHeight="1" s="57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49" t="n"/>
      <c r="L923" s="49" t="n"/>
      <c r="M923" s="49" t="n"/>
      <c r="N923" s="49" t="n"/>
      <c r="O923" s="49" t="n"/>
      <c r="P923" s="49" t="n"/>
      <c r="Q923" s="49" t="n"/>
      <c r="R923" s="49" t="n"/>
    </row>
    <row r="924" ht="15.75" customHeight="1" s="57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49" t="n"/>
      <c r="L924" s="49" t="n"/>
      <c r="M924" s="49" t="n"/>
      <c r="N924" s="49" t="n"/>
      <c r="O924" s="49" t="n"/>
      <c r="P924" s="49" t="n"/>
      <c r="Q924" s="49" t="n"/>
      <c r="R924" s="49" t="n"/>
    </row>
    <row r="925" ht="15.75" customHeight="1" s="57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49" t="n"/>
      <c r="L925" s="49" t="n"/>
      <c r="M925" s="49" t="n"/>
      <c r="N925" s="49" t="n"/>
      <c r="O925" s="49" t="n"/>
      <c r="P925" s="49" t="n"/>
      <c r="Q925" s="49" t="n"/>
      <c r="R925" s="49" t="n"/>
    </row>
    <row r="926" ht="15.75" customHeight="1" s="57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49" t="n"/>
      <c r="L926" s="49" t="n"/>
      <c r="M926" s="49" t="n"/>
      <c r="N926" s="49" t="n"/>
      <c r="O926" s="49" t="n"/>
      <c r="P926" s="49" t="n"/>
      <c r="Q926" s="49" t="n"/>
      <c r="R926" s="49" t="n"/>
    </row>
    <row r="927" ht="15.75" customHeight="1" s="57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49" t="n"/>
      <c r="L927" s="49" t="n"/>
      <c r="M927" s="49" t="n"/>
      <c r="N927" s="49" t="n"/>
      <c r="O927" s="49" t="n"/>
      <c r="P927" s="49" t="n"/>
      <c r="Q927" s="49" t="n"/>
      <c r="R927" s="49" t="n"/>
    </row>
    <row r="928" ht="15.75" customHeight="1" s="57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49" t="n"/>
      <c r="L928" s="49" t="n"/>
      <c r="M928" s="49" t="n"/>
      <c r="N928" s="49" t="n"/>
      <c r="O928" s="49" t="n"/>
      <c r="P928" s="49" t="n"/>
      <c r="Q928" s="49" t="n"/>
      <c r="R928" s="49" t="n"/>
    </row>
    <row r="929" ht="15.75" customHeight="1" s="57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49" t="n"/>
      <c r="L929" s="49" t="n"/>
      <c r="M929" s="49" t="n"/>
      <c r="N929" s="49" t="n"/>
      <c r="O929" s="49" t="n"/>
      <c r="P929" s="49" t="n"/>
      <c r="Q929" s="49" t="n"/>
      <c r="R929" s="49" t="n"/>
    </row>
    <row r="930" ht="15.75" customHeight="1" s="57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49" t="n"/>
      <c r="L930" s="49" t="n"/>
      <c r="M930" s="49" t="n"/>
      <c r="N930" s="49" t="n"/>
      <c r="O930" s="49" t="n"/>
      <c r="P930" s="49" t="n"/>
      <c r="Q930" s="49" t="n"/>
      <c r="R930" s="49" t="n"/>
    </row>
    <row r="931" ht="15.75" customHeight="1" s="57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49" t="n"/>
      <c r="L931" s="49" t="n"/>
      <c r="M931" s="49" t="n"/>
      <c r="N931" s="49" t="n"/>
      <c r="O931" s="49" t="n"/>
      <c r="P931" s="49" t="n"/>
      <c r="Q931" s="49" t="n"/>
      <c r="R931" s="49" t="n"/>
    </row>
    <row r="932" ht="15.75" customHeight="1" s="57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49" t="n"/>
      <c r="L932" s="49" t="n"/>
      <c r="M932" s="49" t="n"/>
      <c r="N932" s="49" t="n"/>
      <c r="O932" s="49" t="n"/>
      <c r="P932" s="49" t="n"/>
      <c r="Q932" s="49" t="n"/>
      <c r="R932" s="49" t="n"/>
    </row>
    <row r="933" ht="15.75" customHeight="1" s="57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49" t="n"/>
      <c r="L933" s="49" t="n"/>
      <c r="M933" s="49" t="n"/>
      <c r="N933" s="49" t="n"/>
      <c r="O933" s="49" t="n"/>
      <c r="P933" s="49" t="n"/>
      <c r="Q933" s="49" t="n"/>
      <c r="R933" s="49" t="n"/>
    </row>
    <row r="934" ht="15.75" customHeight="1" s="57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49" t="n"/>
      <c r="L934" s="49" t="n"/>
      <c r="M934" s="49" t="n"/>
      <c r="N934" s="49" t="n"/>
      <c r="O934" s="49" t="n"/>
      <c r="P934" s="49" t="n"/>
      <c r="Q934" s="49" t="n"/>
      <c r="R934" s="49" t="n"/>
    </row>
    <row r="935" ht="15.75" customHeight="1" s="57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49" t="n"/>
      <c r="L935" s="49" t="n"/>
      <c r="M935" s="49" t="n"/>
      <c r="N935" s="49" t="n"/>
      <c r="O935" s="49" t="n"/>
      <c r="P935" s="49" t="n"/>
      <c r="Q935" s="49" t="n"/>
      <c r="R935" s="49" t="n"/>
    </row>
    <row r="936" ht="15.75" customHeight="1" s="57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49" t="n"/>
      <c r="L936" s="49" t="n"/>
      <c r="M936" s="49" t="n"/>
      <c r="N936" s="49" t="n"/>
      <c r="O936" s="49" t="n"/>
      <c r="P936" s="49" t="n"/>
      <c r="Q936" s="49" t="n"/>
      <c r="R936" s="49" t="n"/>
    </row>
    <row r="937" ht="15.75" customHeight="1" s="57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49" t="n"/>
      <c r="L937" s="49" t="n"/>
      <c r="M937" s="49" t="n"/>
      <c r="N937" s="49" t="n"/>
      <c r="O937" s="49" t="n"/>
      <c r="P937" s="49" t="n"/>
      <c r="Q937" s="49" t="n"/>
      <c r="R937" s="49" t="n"/>
    </row>
    <row r="938" ht="15.75" customHeight="1" s="57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49" t="n"/>
      <c r="L938" s="49" t="n"/>
      <c r="M938" s="49" t="n"/>
      <c r="N938" s="49" t="n"/>
      <c r="O938" s="49" t="n"/>
      <c r="P938" s="49" t="n"/>
      <c r="Q938" s="49" t="n"/>
      <c r="R938" s="49" t="n"/>
    </row>
    <row r="939" ht="15.75" customHeight="1" s="57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49" t="n"/>
      <c r="L939" s="49" t="n"/>
      <c r="M939" s="49" t="n"/>
      <c r="N939" s="49" t="n"/>
      <c r="O939" s="49" t="n"/>
      <c r="P939" s="49" t="n"/>
      <c r="Q939" s="49" t="n"/>
      <c r="R939" s="49" t="n"/>
    </row>
    <row r="940" ht="15.75" customHeight="1" s="57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49" t="n"/>
      <c r="L940" s="49" t="n"/>
      <c r="M940" s="49" t="n"/>
      <c r="N940" s="49" t="n"/>
      <c r="O940" s="49" t="n"/>
      <c r="P940" s="49" t="n"/>
      <c r="Q940" s="49" t="n"/>
      <c r="R940" s="49" t="n"/>
    </row>
    <row r="941" ht="15.75" customHeight="1" s="57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49" t="n"/>
      <c r="L941" s="49" t="n"/>
      <c r="M941" s="49" t="n"/>
      <c r="N941" s="49" t="n"/>
      <c r="O941" s="49" t="n"/>
      <c r="P941" s="49" t="n"/>
      <c r="Q941" s="49" t="n"/>
      <c r="R941" s="49" t="n"/>
    </row>
    <row r="942" ht="15.75" customHeight="1" s="57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49" t="n"/>
      <c r="L942" s="49" t="n"/>
      <c r="M942" s="49" t="n"/>
      <c r="N942" s="49" t="n"/>
      <c r="O942" s="49" t="n"/>
      <c r="P942" s="49" t="n"/>
      <c r="Q942" s="49" t="n"/>
      <c r="R942" s="49" t="n"/>
    </row>
    <row r="943" ht="15.75" customHeight="1" s="57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49" t="n"/>
      <c r="L943" s="49" t="n"/>
      <c r="M943" s="49" t="n"/>
      <c r="N943" s="49" t="n"/>
      <c r="O943" s="49" t="n"/>
      <c r="P943" s="49" t="n"/>
      <c r="Q943" s="49" t="n"/>
      <c r="R943" s="49" t="n"/>
    </row>
    <row r="944" ht="15.75" customHeight="1" s="57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49" t="n"/>
      <c r="L944" s="49" t="n"/>
      <c r="M944" s="49" t="n"/>
      <c r="N944" s="49" t="n"/>
      <c r="O944" s="49" t="n"/>
      <c r="P944" s="49" t="n"/>
      <c r="Q944" s="49" t="n"/>
      <c r="R944" s="49" t="n"/>
    </row>
    <row r="945" ht="15.75" customHeight="1" s="57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49" t="n"/>
      <c r="L945" s="49" t="n"/>
      <c r="M945" s="49" t="n"/>
      <c r="N945" s="49" t="n"/>
      <c r="O945" s="49" t="n"/>
      <c r="P945" s="49" t="n"/>
      <c r="Q945" s="49" t="n"/>
      <c r="R945" s="49" t="n"/>
    </row>
    <row r="946" ht="15.75" customHeight="1" s="57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49" t="n"/>
      <c r="L946" s="49" t="n"/>
      <c r="M946" s="49" t="n"/>
      <c r="N946" s="49" t="n"/>
      <c r="O946" s="49" t="n"/>
      <c r="P946" s="49" t="n"/>
      <c r="Q946" s="49" t="n"/>
      <c r="R946" s="49" t="n"/>
    </row>
    <row r="947" ht="15.75" customHeight="1" s="57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49" t="n"/>
      <c r="L947" s="49" t="n"/>
      <c r="M947" s="49" t="n"/>
      <c r="N947" s="49" t="n"/>
      <c r="O947" s="49" t="n"/>
      <c r="P947" s="49" t="n"/>
      <c r="Q947" s="49" t="n"/>
      <c r="R947" s="49" t="n"/>
    </row>
    <row r="948" ht="15.75" customHeight="1" s="57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49" t="n"/>
      <c r="L948" s="49" t="n"/>
      <c r="M948" s="49" t="n"/>
      <c r="N948" s="49" t="n"/>
      <c r="O948" s="49" t="n"/>
      <c r="P948" s="49" t="n"/>
      <c r="Q948" s="49" t="n"/>
      <c r="R948" s="49" t="n"/>
    </row>
    <row r="949" ht="15.75" customHeight="1" s="57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49" t="n"/>
      <c r="L949" s="49" t="n"/>
      <c r="M949" s="49" t="n"/>
      <c r="N949" s="49" t="n"/>
      <c r="O949" s="49" t="n"/>
      <c r="P949" s="49" t="n"/>
      <c r="Q949" s="49" t="n"/>
      <c r="R949" s="49" t="n"/>
    </row>
    <row r="950" ht="15.75" customHeight="1" s="57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49" t="n"/>
      <c r="L950" s="49" t="n"/>
      <c r="M950" s="49" t="n"/>
      <c r="N950" s="49" t="n"/>
      <c r="O950" s="49" t="n"/>
      <c r="P950" s="49" t="n"/>
      <c r="Q950" s="49" t="n"/>
      <c r="R950" s="49" t="n"/>
    </row>
    <row r="951" ht="15.75" customHeight="1" s="57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49" t="n"/>
      <c r="L951" s="49" t="n"/>
      <c r="M951" s="49" t="n"/>
      <c r="N951" s="49" t="n"/>
      <c r="O951" s="49" t="n"/>
      <c r="P951" s="49" t="n"/>
      <c r="Q951" s="49" t="n"/>
      <c r="R951" s="49" t="n"/>
    </row>
    <row r="952" ht="15.75" customHeight="1" s="57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49" t="n"/>
      <c r="L952" s="49" t="n"/>
      <c r="M952" s="49" t="n"/>
      <c r="N952" s="49" t="n"/>
      <c r="O952" s="49" t="n"/>
      <c r="P952" s="49" t="n"/>
      <c r="Q952" s="49" t="n"/>
      <c r="R952" s="49" t="n"/>
    </row>
    <row r="953" ht="15.75" customHeight="1" s="57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49" t="n"/>
      <c r="L953" s="49" t="n"/>
      <c r="M953" s="49" t="n"/>
      <c r="N953" s="49" t="n"/>
      <c r="O953" s="49" t="n"/>
      <c r="P953" s="49" t="n"/>
      <c r="Q953" s="49" t="n"/>
      <c r="R953" s="49" t="n"/>
    </row>
    <row r="954" ht="15.75" customHeight="1" s="57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49" t="n"/>
      <c r="L954" s="49" t="n"/>
      <c r="M954" s="49" t="n"/>
      <c r="N954" s="49" t="n"/>
      <c r="O954" s="49" t="n"/>
      <c r="P954" s="49" t="n"/>
      <c r="Q954" s="49" t="n"/>
      <c r="R954" s="49" t="n"/>
    </row>
    <row r="955" ht="15.75" customHeight="1" s="57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49" t="n"/>
      <c r="L955" s="49" t="n"/>
      <c r="M955" s="49" t="n"/>
      <c r="N955" s="49" t="n"/>
      <c r="O955" s="49" t="n"/>
      <c r="P955" s="49" t="n"/>
      <c r="Q955" s="49" t="n"/>
      <c r="R955" s="49" t="n"/>
    </row>
    <row r="956" ht="15.75" customHeight="1" s="57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49" t="n"/>
      <c r="L956" s="49" t="n"/>
      <c r="M956" s="49" t="n"/>
      <c r="N956" s="49" t="n"/>
      <c r="O956" s="49" t="n"/>
      <c r="P956" s="49" t="n"/>
      <c r="Q956" s="49" t="n"/>
      <c r="R956" s="49" t="n"/>
    </row>
    <row r="957" ht="15.75" customHeight="1" s="57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49" t="n"/>
      <c r="L957" s="49" t="n"/>
      <c r="M957" s="49" t="n"/>
      <c r="N957" s="49" t="n"/>
      <c r="O957" s="49" t="n"/>
      <c r="P957" s="49" t="n"/>
      <c r="Q957" s="49" t="n"/>
      <c r="R957" s="49" t="n"/>
    </row>
    <row r="958" ht="15.75" customHeight="1" s="57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49" t="n"/>
      <c r="L958" s="49" t="n"/>
      <c r="M958" s="49" t="n"/>
      <c r="N958" s="49" t="n"/>
      <c r="O958" s="49" t="n"/>
      <c r="P958" s="49" t="n"/>
      <c r="Q958" s="49" t="n"/>
      <c r="R958" s="49" t="n"/>
    </row>
    <row r="959" ht="15.75" customHeight="1" s="57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49" t="n"/>
      <c r="L959" s="49" t="n"/>
      <c r="M959" s="49" t="n"/>
      <c r="N959" s="49" t="n"/>
      <c r="O959" s="49" t="n"/>
      <c r="P959" s="49" t="n"/>
      <c r="Q959" s="49" t="n"/>
      <c r="R959" s="49" t="n"/>
    </row>
    <row r="960" ht="15.75" customHeight="1" s="57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49" t="n"/>
      <c r="L960" s="49" t="n"/>
      <c r="M960" s="49" t="n"/>
      <c r="N960" s="49" t="n"/>
      <c r="O960" s="49" t="n"/>
      <c r="P960" s="49" t="n"/>
      <c r="Q960" s="49" t="n"/>
      <c r="R960" s="49" t="n"/>
    </row>
    <row r="961" ht="15.75" customHeight="1" s="57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49" t="n"/>
      <c r="L961" s="49" t="n"/>
      <c r="M961" s="49" t="n"/>
      <c r="N961" s="49" t="n"/>
      <c r="O961" s="49" t="n"/>
      <c r="P961" s="49" t="n"/>
      <c r="Q961" s="49" t="n"/>
      <c r="R961" s="49" t="n"/>
    </row>
    <row r="962" ht="15.75" customHeight="1" s="57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49" t="n"/>
      <c r="L962" s="49" t="n"/>
      <c r="M962" s="49" t="n"/>
      <c r="N962" s="49" t="n"/>
      <c r="O962" s="49" t="n"/>
      <c r="P962" s="49" t="n"/>
      <c r="Q962" s="49" t="n"/>
      <c r="R962" s="49" t="n"/>
    </row>
    <row r="963" ht="15.75" customHeight="1" s="57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49" t="n"/>
      <c r="L963" s="49" t="n"/>
      <c r="M963" s="49" t="n"/>
      <c r="N963" s="49" t="n"/>
      <c r="O963" s="49" t="n"/>
      <c r="P963" s="49" t="n"/>
      <c r="Q963" s="49" t="n"/>
      <c r="R963" s="49" t="n"/>
    </row>
    <row r="964" ht="15.75" customHeight="1" s="57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49" t="n"/>
      <c r="L964" s="49" t="n"/>
      <c r="M964" s="49" t="n"/>
      <c r="N964" s="49" t="n"/>
      <c r="O964" s="49" t="n"/>
      <c r="P964" s="49" t="n"/>
      <c r="Q964" s="49" t="n"/>
      <c r="R964" s="49" t="n"/>
    </row>
    <row r="965" ht="15.75" customHeight="1" s="57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49" t="n"/>
      <c r="L965" s="49" t="n"/>
      <c r="M965" s="49" t="n"/>
      <c r="N965" s="49" t="n"/>
      <c r="O965" s="49" t="n"/>
      <c r="P965" s="49" t="n"/>
      <c r="Q965" s="49" t="n"/>
      <c r="R965" s="49" t="n"/>
    </row>
    <row r="966" ht="15.75" customHeight="1" s="57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49" t="n"/>
      <c r="L966" s="49" t="n"/>
      <c r="M966" s="49" t="n"/>
      <c r="N966" s="49" t="n"/>
      <c r="O966" s="49" t="n"/>
      <c r="P966" s="49" t="n"/>
      <c r="Q966" s="49" t="n"/>
      <c r="R966" s="49" t="n"/>
    </row>
    <row r="967" ht="15.75" customHeight="1" s="57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49" t="n"/>
      <c r="L967" s="49" t="n"/>
      <c r="M967" s="49" t="n"/>
      <c r="N967" s="49" t="n"/>
      <c r="O967" s="49" t="n"/>
      <c r="P967" s="49" t="n"/>
      <c r="Q967" s="49" t="n"/>
      <c r="R967" s="49" t="n"/>
    </row>
    <row r="968" ht="15.75" customHeight="1" s="57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49" t="n"/>
      <c r="L968" s="49" t="n"/>
      <c r="M968" s="49" t="n"/>
      <c r="N968" s="49" t="n"/>
      <c r="O968" s="49" t="n"/>
      <c r="P968" s="49" t="n"/>
      <c r="Q968" s="49" t="n"/>
      <c r="R968" s="49" t="n"/>
    </row>
    <row r="969" ht="15.75" customHeight="1" s="57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49" t="n"/>
      <c r="L969" s="49" t="n"/>
      <c r="M969" s="49" t="n"/>
      <c r="N969" s="49" t="n"/>
      <c r="O969" s="49" t="n"/>
      <c r="P969" s="49" t="n"/>
      <c r="Q969" s="49" t="n"/>
      <c r="R969" s="49" t="n"/>
    </row>
    <row r="970" ht="15.75" customHeight="1" s="57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49" t="n"/>
      <c r="L970" s="49" t="n"/>
      <c r="M970" s="49" t="n"/>
      <c r="N970" s="49" t="n"/>
      <c r="O970" s="49" t="n"/>
      <c r="P970" s="49" t="n"/>
      <c r="Q970" s="49" t="n"/>
      <c r="R970" s="49" t="n"/>
    </row>
    <row r="971" ht="15.75" customHeight="1" s="57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49" t="n"/>
      <c r="L971" s="49" t="n"/>
      <c r="M971" s="49" t="n"/>
      <c r="N971" s="49" t="n"/>
      <c r="O971" s="49" t="n"/>
      <c r="P971" s="49" t="n"/>
      <c r="Q971" s="49" t="n"/>
      <c r="R971" s="49" t="n"/>
    </row>
    <row r="972" ht="15.75" customHeight="1" s="57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49" t="n"/>
      <c r="L972" s="49" t="n"/>
      <c r="M972" s="49" t="n"/>
      <c r="N972" s="49" t="n"/>
      <c r="O972" s="49" t="n"/>
      <c r="P972" s="49" t="n"/>
      <c r="Q972" s="49" t="n"/>
      <c r="R972" s="49" t="n"/>
    </row>
    <row r="973" ht="15.75" customHeight="1" s="57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49" t="n"/>
      <c r="L973" s="49" t="n"/>
      <c r="M973" s="49" t="n"/>
      <c r="N973" s="49" t="n"/>
      <c r="O973" s="49" t="n"/>
      <c r="P973" s="49" t="n"/>
      <c r="Q973" s="49" t="n"/>
      <c r="R973" s="49" t="n"/>
    </row>
    <row r="974" ht="15.75" customHeight="1" s="57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49" t="n"/>
      <c r="L974" s="49" t="n"/>
      <c r="M974" s="49" t="n"/>
      <c r="N974" s="49" t="n"/>
      <c r="O974" s="49" t="n"/>
      <c r="P974" s="49" t="n"/>
      <c r="Q974" s="49" t="n"/>
      <c r="R974" s="49" t="n"/>
    </row>
    <row r="975" ht="15.75" customHeight="1" s="57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49" t="n"/>
      <c r="L975" s="49" t="n"/>
      <c r="M975" s="49" t="n"/>
      <c r="N975" s="49" t="n"/>
      <c r="O975" s="49" t="n"/>
      <c r="P975" s="49" t="n"/>
      <c r="Q975" s="49" t="n"/>
      <c r="R975" s="49" t="n"/>
    </row>
    <row r="976" ht="15.75" customHeight="1" s="57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49" t="n"/>
      <c r="L976" s="49" t="n"/>
      <c r="M976" s="49" t="n"/>
      <c r="N976" s="49" t="n"/>
      <c r="O976" s="49" t="n"/>
      <c r="P976" s="49" t="n"/>
      <c r="Q976" s="49" t="n"/>
      <c r="R976" s="49" t="n"/>
    </row>
    <row r="977" ht="15.75" customHeight="1" s="57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49" t="n"/>
      <c r="L977" s="49" t="n"/>
      <c r="M977" s="49" t="n"/>
      <c r="N977" s="49" t="n"/>
      <c r="O977" s="49" t="n"/>
      <c r="P977" s="49" t="n"/>
      <c r="Q977" s="49" t="n"/>
      <c r="R977" s="49" t="n"/>
    </row>
    <row r="978" ht="15.75" customHeight="1" s="57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49" t="n"/>
      <c r="L978" s="49" t="n"/>
      <c r="M978" s="49" t="n"/>
      <c r="N978" s="49" t="n"/>
      <c r="O978" s="49" t="n"/>
      <c r="P978" s="49" t="n"/>
      <c r="Q978" s="49" t="n"/>
      <c r="R978" s="49" t="n"/>
    </row>
    <row r="979" ht="15.75" customHeight="1" s="57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49" t="n"/>
      <c r="L979" s="49" t="n"/>
      <c r="M979" s="49" t="n"/>
      <c r="N979" s="49" t="n"/>
      <c r="O979" s="49" t="n"/>
      <c r="P979" s="49" t="n"/>
      <c r="Q979" s="49" t="n"/>
      <c r="R979" s="49" t="n"/>
    </row>
    <row r="980" ht="15.75" customHeight="1" s="57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49" t="n"/>
      <c r="L980" s="49" t="n"/>
      <c r="M980" s="49" t="n"/>
      <c r="N980" s="49" t="n"/>
      <c r="O980" s="49" t="n"/>
      <c r="P980" s="49" t="n"/>
      <c r="Q980" s="49" t="n"/>
      <c r="R980" s="49" t="n"/>
    </row>
    <row r="981" ht="15.75" customHeight="1" s="57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49" t="n"/>
      <c r="L981" s="49" t="n"/>
      <c r="M981" s="49" t="n"/>
      <c r="N981" s="49" t="n"/>
      <c r="O981" s="49" t="n"/>
      <c r="P981" s="49" t="n"/>
      <c r="Q981" s="49" t="n"/>
      <c r="R981" s="49" t="n"/>
    </row>
    <row r="982" ht="15.75" customHeight="1" s="57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49" t="n"/>
      <c r="L982" s="49" t="n"/>
      <c r="M982" s="49" t="n"/>
      <c r="N982" s="49" t="n"/>
      <c r="O982" s="49" t="n"/>
      <c r="P982" s="49" t="n"/>
      <c r="Q982" s="49" t="n"/>
      <c r="R982" s="49" t="n"/>
    </row>
    <row r="983" ht="15.75" customHeight="1" s="57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49" t="n"/>
      <c r="L983" s="49" t="n"/>
      <c r="M983" s="49" t="n"/>
      <c r="N983" s="49" t="n"/>
      <c r="O983" s="49" t="n"/>
      <c r="P983" s="49" t="n"/>
      <c r="Q983" s="49" t="n"/>
      <c r="R983" s="49" t="n"/>
    </row>
    <row r="984" ht="15.75" customHeight="1" s="57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49" t="n"/>
      <c r="L984" s="49" t="n"/>
      <c r="M984" s="49" t="n"/>
      <c r="N984" s="49" t="n"/>
      <c r="O984" s="49" t="n"/>
      <c r="P984" s="49" t="n"/>
      <c r="Q984" s="49" t="n"/>
      <c r="R984" s="49" t="n"/>
    </row>
    <row r="985" ht="15.75" customHeight="1" s="57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49" t="n"/>
      <c r="L985" s="49" t="n"/>
      <c r="M985" s="49" t="n"/>
      <c r="N985" s="49" t="n"/>
      <c r="O985" s="49" t="n"/>
      <c r="P985" s="49" t="n"/>
      <c r="Q985" s="49" t="n"/>
      <c r="R985" s="49" t="n"/>
    </row>
    <row r="986" ht="15.75" customHeight="1" s="57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49" t="n"/>
      <c r="L986" s="49" t="n"/>
      <c r="M986" s="49" t="n"/>
      <c r="N986" s="49" t="n"/>
      <c r="O986" s="49" t="n"/>
      <c r="P986" s="49" t="n"/>
      <c r="Q986" s="49" t="n"/>
      <c r="R986" s="49" t="n"/>
    </row>
    <row r="987" ht="15.75" customHeight="1" s="57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49" t="n"/>
      <c r="L987" s="49" t="n"/>
      <c r="M987" s="49" t="n"/>
      <c r="N987" s="49" t="n"/>
      <c r="O987" s="49" t="n"/>
      <c r="P987" s="49" t="n"/>
      <c r="Q987" s="49" t="n"/>
      <c r="R987" s="49" t="n"/>
    </row>
    <row r="988" ht="15.75" customHeight="1" s="57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49" t="n"/>
      <c r="L988" s="49" t="n"/>
      <c r="M988" s="49" t="n"/>
      <c r="N988" s="49" t="n"/>
      <c r="O988" s="49" t="n"/>
      <c r="P988" s="49" t="n"/>
      <c r="Q988" s="49" t="n"/>
      <c r="R988" s="49" t="n"/>
    </row>
    <row r="989" ht="15.75" customHeight="1" s="57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49" t="n"/>
      <c r="L989" s="49" t="n"/>
      <c r="M989" s="49" t="n"/>
      <c r="N989" s="49" t="n"/>
      <c r="O989" s="49" t="n"/>
      <c r="P989" s="49" t="n"/>
      <c r="Q989" s="49" t="n"/>
      <c r="R989" s="49" t="n"/>
    </row>
    <row r="990" ht="15.75" customHeight="1" s="57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49" t="n"/>
      <c r="L990" s="49" t="n"/>
      <c r="M990" s="49" t="n"/>
      <c r="N990" s="49" t="n"/>
      <c r="O990" s="49" t="n"/>
      <c r="P990" s="49" t="n"/>
      <c r="Q990" s="49" t="n"/>
      <c r="R990" s="49" t="n"/>
    </row>
    <row r="991" ht="15.75" customHeight="1" s="57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49" t="n"/>
      <c r="L991" s="49" t="n"/>
      <c r="M991" s="49" t="n"/>
      <c r="N991" s="49" t="n"/>
      <c r="O991" s="49" t="n"/>
      <c r="P991" s="49" t="n"/>
      <c r="Q991" s="49" t="n"/>
      <c r="R991" s="49" t="n"/>
    </row>
    <row r="992" ht="15.75" customHeight="1" s="57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49" t="n"/>
      <c r="L992" s="49" t="n"/>
      <c r="M992" s="49" t="n"/>
      <c r="N992" s="49" t="n"/>
      <c r="O992" s="49" t="n"/>
      <c r="P992" s="49" t="n"/>
      <c r="Q992" s="49" t="n"/>
      <c r="R992" s="49" t="n"/>
    </row>
    <row r="993" ht="15.75" customHeight="1" s="57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49" t="n"/>
      <c r="L993" s="49" t="n"/>
      <c r="M993" s="49" t="n"/>
      <c r="N993" s="49" t="n"/>
      <c r="O993" s="49" t="n"/>
      <c r="P993" s="49" t="n"/>
      <c r="Q993" s="49" t="n"/>
      <c r="R993" s="49" t="n"/>
    </row>
    <row r="994" ht="15.75" customHeight="1" s="57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49" t="n"/>
      <c r="L994" s="49" t="n"/>
      <c r="M994" s="49" t="n"/>
      <c r="N994" s="49" t="n"/>
      <c r="O994" s="49" t="n"/>
      <c r="P994" s="49" t="n"/>
      <c r="Q994" s="49" t="n"/>
      <c r="R994" s="49" t="n"/>
    </row>
    <row r="995" ht="15.75" customHeight="1" s="57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49" t="n"/>
      <c r="L995" s="49" t="n"/>
      <c r="M995" s="49" t="n"/>
      <c r="N995" s="49" t="n"/>
      <c r="O995" s="49" t="n"/>
      <c r="P995" s="49" t="n"/>
      <c r="Q995" s="49" t="n"/>
      <c r="R995" s="49" t="n"/>
    </row>
    <row r="996" ht="15.75" customHeight="1" s="57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49" t="n"/>
      <c r="L996" s="49" t="n"/>
      <c r="M996" s="49" t="n"/>
      <c r="N996" s="49" t="n"/>
      <c r="O996" s="49" t="n"/>
      <c r="P996" s="49" t="n"/>
      <c r="Q996" s="49" t="n"/>
      <c r="R996" s="49" t="n"/>
    </row>
    <row r="997" ht="15.75" customHeight="1" s="57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49" t="n"/>
      <c r="L997" s="49" t="n"/>
      <c r="M997" s="49" t="n"/>
      <c r="N997" s="49" t="n"/>
      <c r="O997" s="49" t="n"/>
      <c r="P997" s="49" t="n"/>
      <c r="Q997" s="49" t="n"/>
      <c r="R997" s="49" t="n"/>
    </row>
    <row r="998" ht="15.75" customHeight="1" s="57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49" t="n"/>
      <c r="L998" s="49" t="n"/>
      <c r="M998" s="49" t="n"/>
      <c r="N998" s="49" t="n"/>
      <c r="O998" s="49" t="n"/>
      <c r="P998" s="49" t="n"/>
      <c r="Q998" s="49" t="n"/>
      <c r="R998" s="49" t="n"/>
    </row>
    <row r="999" ht="15.75" customHeight="1" s="57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49" t="n"/>
      <c r="L999" s="49" t="n"/>
      <c r="M999" s="49" t="n"/>
      <c r="N999" s="49" t="n"/>
      <c r="O999" s="49" t="n"/>
      <c r="P999" s="49" t="n"/>
      <c r="Q999" s="49" t="n"/>
      <c r="R999" s="49" t="n"/>
    </row>
    <row r="1000" ht="15.75" customHeight="1" s="57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49" t="n"/>
      <c r="L1000" s="49" t="n"/>
      <c r="M1000" s="49" t="n"/>
      <c r="N1000" s="49" t="n"/>
      <c r="O1000" s="49" t="n"/>
      <c r="P1000" s="49" t="n"/>
      <c r="Q1000" s="49" t="n"/>
      <c r="R1000" s="49" t="n"/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8" defaultColWidth="12.63" defaultRowHeight="15" customHeight="1" outlineLevelCol="0"/>
  <cols>
    <col width="27" customWidth="1" style="57" min="1" max="1"/>
    <col width="8.880000000000001" customWidth="1" style="57" min="2" max="2"/>
    <col width="18.25" customWidth="1" style="57" min="3" max="3"/>
    <col width="5.38" customWidth="1" style="57" min="4" max="4"/>
    <col width="12.5" customWidth="1" style="57" min="5" max="5"/>
    <col width="12.13" customWidth="1" style="57" min="6" max="6"/>
    <col width="10.88" customWidth="1" style="57" min="7" max="7"/>
    <col width="11.75" customWidth="1" style="57" min="8" max="8"/>
    <col width="9.880000000000001" customWidth="1" style="57" min="9" max="9"/>
    <col width="9.25" customWidth="1" style="57" min="10" max="16"/>
  </cols>
  <sheetData>
    <row r="1" ht="15.75" customHeight="1" s="57">
      <c r="A1" s="5" t="inlineStr">
        <is>
          <t>Quận_Tên</t>
        </is>
      </c>
      <c r="B1" s="5" t="inlineStr">
        <is>
          <t>Phường_ID</t>
        </is>
      </c>
      <c r="C1" s="5" t="inlineStr">
        <is>
          <t>Phường_Tên</t>
        </is>
      </c>
      <c r="D1" s="5" t="inlineStr">
        <is>
          <t>Nhóm</t>
        </is>
      </c>
      <c r="E1" s="5" t="inlineStr">
        <is>
          <t>Ngưỡng_CŨ_GXT_kg</t>
        </is>
      </c>
      <c r="F1" s="5" t="inlineStr">
        <is>
          <t>Ngưỡng_MỚI_kg</t>
        </is>
      </c>
      <c r="G1" s="5" t="inlineStr">
        <is>
          <t>b2b_CŨ_Tổng</t>
        </is>
      </c>
      <c r="H1" s="5" t="inlineStr">
        <is>
          <t>b2b_MỚI_Tổng</t>
        </is>
      </c>
      <c r="I1" s="5" t="inlineStr">
        <is>
          <t>Chênh_Tổng</t>
        </is>
      </c>
      <c r="J1" s="5" t="inlineStr">
        <is>
          <t>Chênh_T06</t>
        </is>
      </c>
      <c r="K1" s="5" t="inlineStr">
        <is>
          <t>Chênh_T07</t>
        </is>
      </c>
      <c r="L1" s="5" t="inlineStr">
        <is>
          <t>Chênh_T08</t>
        </is>
      </c>
      <c r="M1" s="5" t="inlineStr">
        <is>
          <t>Chênh_T09</t>
        </is>
      </c>
      <c r="N1" s="5" t="inlineStr">
        <is>
          <t>Chênh_T10</t>
        </is>
      </c>
      <c r="O1" s="5" t="inlineStr">
        <is>
          <t>Chênh_T11</t>
        </is>
      </c>
      <c r="P1" s="5" t="inlineStr">
        <is>
          <t>Chênh_T12</t>
        </is>
      </c>
    </row>
    <row r="2" ht="15.75" customHeight="1" s="57">
      <c r="A2" s="29" t="inlineStr">
        <is>
          <t>━ TỔNG VÙNG NTB ━</t>
        </is>
      </c>
      <c r="B2" s="29" t="n"/>
      <c r="C2" s="29" t="n"/>
      <c r="D2" s="29" t="n"/>
      <c r="E2" s="29" t="n"/>
      <c r="F2" s="29" t="n"/>
      <c r="G2" s="29" t="n">
        <v>548873</v>
      </c>
      <c r="H2" s="29" t="n">
        <v>593084</v>
      </c>
      <c r="I2" s="29" t="n">
        <v>44211</v>
      </c>
      <c r="J2" s="29" t="n">
        <v>4699</v>
      </c>
      <c r="K2" s="29" t="n">
        <v>5456</v>
      </c>
      <c r="L2" s="29" t="n">
        <v>5924</v>
      </c>
      <c r="M2" s="29" t="n">
        <v>6186</v>
      </c>
      <c r="N2" s="29" t="n">
        <v>6914</v>
      </c>
      <c r="O2" s="29" t="n">
        <v>7164</v>
      </c>
      <c r="P2" s="29" t="n">
        <v>7868</v>
      </c>
    </row>
    <row r="3" ht="15.75" customHeight="1" s="57">
      <c r="A3" s="7" t="inlineStr">
        <is>
          <t>Thành phố Nha Trang</t>
        </is>
      </c>
      <c r="B3" s="7" t="n">
        <v>410105</v>
      </c>
      <c r="C3" s="7" t="inlineStr">
        <is>
          <t>Phường Phước Long</t>
        </is>
      </c>
      <c r="D3" s="7" t="inlineStr">
        <is>
          <t>B</t>
        </is>
      </c>
      <c r="E3" s="7" t="n">
        <v>20</v>
      </c>
      <c r="F3" s="7" t="n">
        <v>15</v>
      </c>
      <c r="G3" s="7" t="n">
        <v>8096</v>
      </c>
      <c r="H3" s="7" t="n">
        <v>10586</v>
      </c>
      <c r="I3" s="7" t="n">
        <v>2490</v>
      </c>
      <c r="J3" s="7" t="n">
        <v>266</v>
      </c>
      <c r="K3" s="7" t="n">
        <v>310</v>
      </c>
      <c r="L3" s="7" t="n">
        <v>336</v>
      </c>
      <c r="M3" s="7" t="n">
        <v>351</v>
      </c>
      <c r="N3" s="7" t="n">
        <v>390</v>
      </c>
      <c r="O3" s="7" t="n">
        <v>393</v>
      </c>
      <c r="P3" s="7" t="n">
        <v>445</v>
      </c>
    </row>
    <row r="4" ht="15.75" customHeight="1" s="57">
      <c r="A4" s="7" t="inlineStr">
        <is>
          <t>Huyện Tuy Phong</t>
        </is>
      </c>
      <c r="B4" s="7" t="n">
        <v>470201</v>
      </c>
      <c r="C4" s="7" t="inlineStr">
        <is>
          <t>Thị trấn Liên Hương</t>
        </is>
      </c>
      <c r="D4" s="7" t="inlineStr">
        <is>
          <t>A</t>
        </is>
      </c>
      <c r="E4" s="7" t="n">
        <v>20</v>
      </c>
      <c r="F4" s="7" t="n">
        <v>15</v>
      </c>
      <c r="G4" s="7" t="n">
        <v>6376</v>
      </c>
      <c r="H4" s="7" t="n">
        <v>8359</v>
      </c>
      <c r="I4" s="7" t="n">
        <v>1983</v>
      </c>
      <c r="J4" s="7" t="n">
        <v>209</v>
      </c>
      <c r="K4" s="7" t="n">
        <v>244</v>
      </c>
      <c r="L4" s="7" t="n">
        <v>265</v>
      </c>
      <c r="M4" s="7" t="n">
        <v>278</v>
      </c>
      <c r="N4" s="7" t="n">
        <v>312</v>
      </c>
      <c r="O4" s="7" t="n">
        <v>323</v>
      </c>
      <c r="P4" s="7" t="n">
        <v>352</v>
      </c>
    </row>
    <row r="5" ht="15.75" customHeight="1" s="57">
      <c r="A5" s="7" t="inlineStr">
        <is>
          <t>Thành phố Phan Thiết</t>
        </is>
      </c>
      <c r="B5" s="7" t="n">
        <v>470111</v>
      </c>
      <c r="C5" s="7" t="inlineStr">
        <is>
          <t>Phường Phú Thủy</t>
        </is>
      </c>
      <c r="D5" s="7" t="inlineStr">
        <is>
          <t>A</t>
        </is>
      </c>
      <c r="E5" s="7" t="n">
        <v>18</v>
      </c>
      <c r="F5" s="7" t="n">
        <v>15</v>
      </c>
      <c r="G5" s="7" t="n">
        <v>11953</v>
      </c>
      <c r="H5" s="7" t="n">
        <v>13885</v>
      </c>
      <c r="I5" s="7" t="n">
        <v>1932</v>
      </c>
      <c r="J5" s="7" t="n">
        <v>203</v>
      </c>
      <c r="K5" s="7" t="n">
        <v>236</v>
      </c>
      <c r="L5" s="7" t="n">
        <v>258</v>
      </c>
      <c r="M5" s="7" t="n">
        <v>271</v>
      </c>
      <c r="N5" s="7" t="n">
        <v>305</v>
      </c>
      <c r="O5" s="7" t="n">
        <v>316</v>
      </c>
      <c r="P5" s="7" t="n">
        <v>343</v>
      </c>
    </row>
    <row r="6" ht="15.75" customHeight="1" s="57">
      <c r="A6" s="7" t="inlineStr">
        <is>
          <t>Thành phố Đà Lạt</t>
        </is>
      </c>
      <c r="B6" s="7" t="n">
        <v>420107</v>
      </c>
      <c r="C6" s="7" t="inlineStr">
        <is>
          <t>Phường 4</t>
        </is>
      </c>
      <c r="D6" s="7" t="inlineStr">
        <is>
          <t>A</t>
        </is>
      </c>
      <c r="E6" s="7" t="n">
        <v>18</v>
      </c>
      <c r="F6" s="7" t="n">
        <v>15</v>
      </c>
      <c r="G6" s="7" t="n">
        <v>11633</v>
      </c>
      <c r="H6" s="7" t="n">
        <v>13503</v>
      </c>
      <c r="I6" s="7" t="n">
        <v>1870</v>
      </c>
      <c r="J6" s="7" t="n">
        <v>195</v>
      </c>
      <c r="K6" s="7" t="n">
        <v>230</v>
      </c>
      <c r="L6" s="7" t="n">
        <v>250</v>
      </c>
      <c r="M6" s="7" t="n">
        <v>261</v>
      </c>
      <c r="N6" s="7" t="n">
        <v>295</v>
      </c>
      <c r="O6" s="7" t="n">
        <v>308</v>
      </c>
      <c r="P6" s="7" t="n">
        <v>331</v>
      </c>
    </row>
    <row r="7" ht="15.75" customHeight="1" s="57">
      <c r="A7" s="7" t="inlineStr">
        <is>
          <t>Huyện Lâm Hà</t>
        </is>
      </c>
      <c r="B7" s="7" t="n">
        <v>421001</v>
      </c>
      <c r="C7" s="7" t="inlineStr">
        <is>
          <t>Thị trấn Đinh Văn</t>
        </is>
      </c>
      <c r="D7" s="7" t="inlineStr">
        <is>
          <t>A</t>
        </is>
      </c>
      <c r="E7" s="7" t="n">
        <v>20</v>
      </c>
      <c r="F7" s="7" t="n">
        <v>15</v>
      </c>
      <c r="G7" s="7" t="n">
        <v>5502</v>
      </c>
      <c r="H7" s="7" t="n">
        <v>7316</v>
      </c>
      <c r="I7" s="7" t="n">
        <v>1814</v>
      </c>
      <c r="J7" s="7" t="n">
        <v>199</v>
      </c>
      <c r="K7" s="7" t="n">
        <v>228</v>
      </c>
      <c r="L7" s="7" t="n">
        <v>245</v>
      </c>
      <c r="M7" s="7" t="n">
        <v>249</v>
      </c>
      <c r="N7" s="7" t="n">
        <v>273</v>
      </c>
      <c r="O7" s="7" t="n">
        <v>296</v>
      </c>
      <c r="P7" s="7" t="n">
        <v>325</v>
      </c>
    </row>
    <row r="8" ht="15.75" customHeight="1" s="57">
      <c r="A8" s="7" t="inlineStr">
        <is>
          <t>Thành phố Đà Lạt</t>
        </is>
      </c>
      <c r="B8" s="7" t="n">
        <v>420106</v>
      </c>
      <c r="C8" s="7" t="inlineStr">
        <is>
          <t>Phường 3</t>
        </is>
      </c>
      <c r="D8" s="7" t="inlineStr">
        <is>
          <t>A</t>
        </is>
      </c>
      <c r="E8" s="7" t="n">
        <v>18</v>
      </c>
      <c r="F8" s="7" t="n">
        <v>15</v>
      </c>
      <c r="G8" s="7" t="n">
        <v>10498</v>
      </c>
      <c r="H8" s="7" t="n">
        <v>12184</v>
      </c>
      <c r="I8" s="7" t="n">
        <v>1686</v>
      </c>
      <c r="J8" s="7" t="n">
        <v>176</v>
      </c>
      <c r="K8" s="7" t="n">
        <v>206</v>
      </c>
      <c r="L8" s="7" t="n">
        <v>226</v>
      </c>
      <c r="M8" s="7" t="n">
        <v>236</v>
      </c>
      <c r="N8" s="7" t="n">
        <v>265</v>
      </c>
      <c r="O8" s="7" t="n">
        <v>278</v>
      </c>
      <c r="P8" s="7" t="n">
        <v>299</v>
      </c>
    </row>
    <row r="9" ht="15.75" customHeight="1" s="57">
      <c r="A9" s="7" t="inlineStr">
        <is>
          <t>Huyện Tuy Phong</t>
        </is>
      </c>
      <c r="B9" s="7" t="n">
        <v>470202</v>
      </c>
      <c r="C9" s="7" t="inlineStr">
        <is>
          <t>Thị trấn Phan Rí Cửa</t>
        </is>
      </c>
      <c r="D9" s="7" t="inlineStr">
        <is>
          <t>A</t>
        </is>
      </c>
      <c r="E9" s="7" t="n">
        <v>20</v>
      </c>
      <c r="F9" s="7" t="n">
        <v>15</v>
      </c>
      <c r="G9" s="7" t="n">
        <v>5424</v>
      </c>
      <c r="H9" s="7" t="n">
        <v>6896</v>
      </c>
      <c r="I9" s="7" t="n">
        <v>1472</v>
      </c>
      <c r="J9" s="7" t="n">
        <v>158</v>
      </c>
      <c r="K9" s="7" t="n">
        <v>184</v>
      </c>
      <c r="L9" s="7" t="n">
        <v>196</v>
      </c>
      <c r="M9" s="7" t="n">
        <v>206</v>
      </c>
      <c r="N9" s="7" t="n">
        <v>230</v>
      </c>
      <c r="O9" s="7" t="n">
        <v>238</v>
      </c>
      <c r="P9" s="7" t="n">
        <v>261</v>
      </c>
    </row>
    <row r="10" ht="15.75" customHeight="1" s="57">
      <c r="A10" s="7" t="inlineStr">
        <is>
          <t>Thành phố Nha Trang</t>
        </is>
      </c>
      <c r="B10" s="7" t="n">
        <v>410125</v>
      </c>
      <c r="C10" s="7" t="inlineStr">
        <is>
          <t>Xã Vĩnh Thái</t>
        </is>
      </c>
      <c r="D10" s="7" t="inlineStr">
        <is>
          <t>B</t>
        </is>
      </c>
      <c r="E10" s="7" t="n">
        <v>20</v>
      </c>
      <c r="F10" s="7" t="n">
        <v>15</v>
      </c>
      <c r="G10" s="7" t="n">
        <v>4569</v>
      </c>
      <c r="H10" s="7" t="n">
        <v>5933</v>
      </c>
      <c r="I10" s="7" t="n">
        <v>1363</v>
      </c>
      <c r="J10" s="7" t="n">
        <v>145</v>
      </c>
      <c r="K10" s="7" t="n">
        <v>169</v>
      </c>
      <c r="L10" s="7" t="n">
        <v>184</v>
      </c>
      <c r="M10" s="7" t="n">
        <v>192</v>
      </c>
      <c r="N10" s="7" t="n">
        <v>214</v>
      </c>
      <c r="O10" s="7" t="n">
        <v>215</v>
      </c>
      <c r="P10" s="7" t="n">
        <v>244</v>
      </c>
    </row>
    <row r="11" ht="15.75" customHeight="1" s="57">
      <c r="A11" s="7" t="inlineStr">
        <is>
          <t>Huyện Bảo Lâm</t>
        </is>
      </c>
      <c r="B11" s="7" t="n">
        <v>42111</v>
      </c>
      <c r="C11" s="7" t="inlineStr">
        <is>
          <t>Thị trấn Lộc Thắng</t>
        </is>
      </c>
      <c r="D11" s="7" t="inlineStr">
        <is>
          <t>A</t>
        </is>
      </c>
      <c r="E11" s="7" t="n">
        <v>20</v>
      </c>
      <c r="F11" s="7" t="n">
        <v>15</v>
      </c>
      <c r="G11" s="7" t="n">
        <v>3703</v>
      </c>
      <c r="H11" s="7" t="n">
        <v>4842</v>
      </c>
      <c r="I11" s="7" t="n">
        <v>1139</v>
      </c>
      <c r="J11" s="7" t="n">
        <v>121</v>
      </c>
      <c r="K11" s="7" t="n">
        <v>141</v>
      </c>
      <c r="L11" s="7" t="n">
        <v>153</v>
      </c>
      <c r="M11" s="7" t="n">
        <v>158</v>
      </c>
      <c r="N11" s="7" t="n">
        <v>177</v>
      </c>
      <c r="O11" s="7" t="n">
        <v>187</v>
      </c>
      <c r="P11" s="7" t="n">
        <v>202</v>
      </c>
    </row>
    <row r="12" ht="15.75" customHeight="1" s="57">
      <c r="A12" s="7" t="inlineStr">
        <is>
          <t>Thành phố Nha Trang</t>
        </is>
      </c>
      <c r="B12" s="7" t="n">
        <v>410120</v>
      </c>
      <c r="C12" s="7" t="inlineStr">
        <is>
          <t>Xã Phước Đồng</t>
        </is>
      </c>
      <c r="D12" s="7" t="inlineStr">
        <is>
          <t>B</t>
        </is>
      </c>
      <c r="E12" s="7" t="n">
        <v>20</v>
      </c>
      <c r="F12" s="7" t="n">
        <v>15</v>
      </c>
      <c r="G12" s="7" t="n">
        <v>3562</v>
      </c>
      <c r="H12" s="7" t="n">
        <v>4696</v>
      </c>
      <c r="I12" s="7" t="n">
        <v>1134</v>
      </c>
      <c r="J12" s="7" t="n">
        <v>121</v>
      </c>
      <c r="K12" s="7" t="n">
        <v>142</v>
      </c>
      <c r="L12" s="7" t="n">
        <v>153</v>
      </c>
      <c r="M12" s="7" t="n">
        <v>160</v>
      </c>
      <c r="N12" s="7" t="n">
        <v>177</v>
      </c>
      <c r="O12" s="7" t="n">
        <v>178</v>
      </c>
      <c r="P12" s="7" t="n">
        <v>202</v>
      </c>
    </row>
    <row r="13" ht="15.75" customHeight="1" s="57">
      <c r="A13" s="7" t="inlineStr">
        <is>
          <t>Thành phố Phan Thiết</t>
        </is>
      </c>
      <c r="B13" s="7" t="n">
        <v>470108</v>
      </c>
      <c r="C13" s="7" t="inlineStr">
        <is>
          <t>Phường Mũi Né</t>
        </is>
      </c>
      <c r="D13" s="7" t="inlineStr">
        <is>
          <t>A</t>
        </is>
      </c>
      <c r="E13" s="7" t="n">
        <v>18</v>
      </c>
      <c r="F13" s="7" t="n">
        <v>15</v>
      </c>
      <c r="G13" s="7" t="n">
        <v>6695</v>
      </c>
      <c r="H13" s="7" t="n">
        <v>7818</v>
      </c>
      <c r="I13" s="7" t="n">
        <v>1123</v>
      </c>
      <c r="J13" s="7" t="n">
        <v>119</v>
      </c>
      <c r="K13" s="7" t="n">
        <v>138</v>
      </c>
      <c r="L13" s="7" t="n">
        <v>150</v>
      </c>
      <c r="M13" s="7" t="n">
        <v>157</v>
      </c>
      <c r="N13" s="7" t="n">
        <v>176</v>
      </c>
      <c r="O13" s="7" t="n">
        <v>183</v>
      </c>
      <c r="P13" s="7" t="n">
        <v>200</v>
      </c>
    </row>
    <row r="14" ht="15.75" customHeight="1" s="57">
      <c r="A14" s="7" t="inlineStr">
        <is>
          <t>Huyện Bảo Lâm</t>
        </is>
      </c>
      <c r="B14" s="7" t="n">
        <v>761203</v>
      </c>
      <c r="C14" s="7" t="inlineStr">
        <is>
          <t>Xã Lộc An</t>
        </is>
      </c>
      <c r="D14" s="7" t="inlineStr">
        <is>
          <t>A</t>
        </is>
      </c>
      <c r="E14" s="7" t="n">
        <v>20</v>
      </c>
      <c r="F14" s="7" t="n">
        <v>15</v>
      </c>
      <c r="G14" s="7" t="n">
        <v>3473</v>
      </c>
      <c r="H14" s="7" t="n">
        <v>4502</v>
      </c>
      <c r="I14" s="7" t="n">
        <v>1029</v>
      </c>
      <c r="J14" s="7" t="n">
        <v>110</v>
      </c>
      <c r="K14" s="7" t="n">
        <v>127</v>
      </c>
      <c r="L14" s="7" t="n">
        <v>138</v>
      </c>
      <c r="M14" s="7" t="n">
        <v>143</v>
      </c>
      <c r="N14" s="7" t="n">
        <v>159</v>
      </c>
      <c r="O14" s="7" t="n">
        <v>169</v>
      </c>
      <c r="P14" s="7" t="n">
        <v>183</v>
      </c>
    </row>
    <row r="15" ht="15.75" customHeight="1" s="57">
      <c r="A15" s="7" t="inlineStr">
        <is>
          <t>Thành phố Phan Thiết</t>
        </is>
      </c>
      <c r="B15" s="7" t="n">
        <v>470110</v>
      </c>
      <c r="C15" s="7" t="inlineStr">
        <is>
          <t>Phường Phú Tài</t>
        </is>
      </c>
      <c r="D15" s="7" t="inlineStr">
        <is>
          <t>A</t>
        </is>
      </c>
      <c r="E15" s="7" t="n">
        <v>18</v>
      </c>
      <c r="F15" s="7" t="n">
        <v>15</v>
      </c>
      <c r="G15" s="7" t="n">
        <v>5980</v>
      </c>
      <c r="H15" s="7" t="n">
        <v>6950</v>
      </c>
      <c r="I15" s="7" t="n">
        <v>969</v>
      </c>
      <c r="J15" s="7" t="n">
        <v>102</v>
      </c>
      <c r="K15" s="7" t="n">
        <v>119</v>
      </c>
      <c r="L15" s="7" t="n">
        <v>130</v>
      </c>
      <c r="M15" s="7" t="n">
        <v>136</v>
      </c>
      <c r="N15" s="7" t="n">
        <v>153</v>
      </c>
      <c r="O15" s="7" t="n">
        <v>158</v>
      </c>
      <c r="P15" s="7" t="n">
        <v>172</v>
      </c>
    </row>
    <row r="16" ht="15.75" customHeight="1" s="57">
      <c r="A16" s="7" t="inlineStr">
        <is>
          <t>Thành phố Nha Trang</t>
        </is>
      </c>
      <c r="B16" s="7" t="n">
        <v>410115</v>
      </c>
      <c r="C16" s="7" t="inlineStr">
        <is>
          <t>Phường Vĩnh Nguyên</t>
        </is>
      </c>
      <c r="D16" s="7" t="inlineStr">
        <is>
          <t>B</t>
        </is>
      </c>
      <c r="E16" s="7" t="n">
        <v>20</v>
      </c>
      <c r="F16" s="7" t="n">
        <v>15</v>
      </c>
      <c r="G16" s="7" t="n">
        <v>2992</v>
      </c>
      <c r="H16" s="7" t="n">
        <v>3915</v>
      </c>
      <c r="I16" s="7" t="n">
        <v>923</v>
      </c>
      <c r="J16" s="7" t="n">
        <v>99</v>
      </c>
      <c r="K16" s="7" t="n">
        <v>115</v>
      </c>
      <c r="L16" s="7" t="n">
        <v>125</v>
      </c>
      <c r="M16" s="7" t="n">
        <v>130</v>
      </c>
      <c r="N16" s="7" t="n">
        <v>144</v>
      </c>
      <c r="O16" s="7" t="n">
        <v>145</v>
      </c>
      <c r="P16" s="7" t="n">
        <v>165</v>
      </c>
    </row>
    <row r="17" ht="15.75" customHeight="1" s="57">
      <c r="A17" s="7" t="inlineStr">
        <is>
          <t>Huyện Lâm Hà</t>
        </is>
      </c>
      <c r="B17" s="7" t="n">
        <v>421014</v>
      </c>
      <c r="C17" s="7" t="inlineStr">
        <is>
          <t>Xã Tân Hà</t>
        </is>
      </c>
      <c r="D17" s="7" t="inlineStr">
        <is>
          <t>A</t>
        </is>
      </c>
      <c r="E17" s="7" t="n">
        <v>20</v>
      </c>
      <c r="F17" s="7" t="n">
        <v>15</v>
      </c>
      <c r="G17" s="7" t="n">
        <v>3144</v>
      </c>
      <c r="H17" s="7" t="n">
        <v>4055</v>
      </c>
      <c r="I17" s="7" t="n">
        <v>911</v>
      </c>
      <c r="J17" s="7" t="n">
        <v>98</v>
      </c>
      <c r="K17" s="7" t="n">
        <v>113</v>
      </c>
      <c r="L17" s="7" t="n">
        <v>123</v>
      </c>
      <c r="M17" s="7" t="n">
        <v>126</v>
      </c>
      <c r="N17" s="7" t="n">
        <v>140</v>
      </c>
      <c r="O17" s="7" t="n">
        <v>149</v>
      </c>
      <c r="P17" s="7" t="n">
        <v>163</v>
      </c>
    </row>
    <row r="18" ht="15.75" customHeight="1" s="57">
      <c r="A18" s="7" t="inlineStr">
        <is>
          <t>Thành phố Phan Thiết</t>
        </is>
      </c>
      <c r="B18" s="7" t="n">
        <v>470112</v>
      </c>
      <c r="C18" s="7" t="inlineStr">
        <is>
          <t>Phường Phú Trinh</t>
        </is>
      </c>
      <c r="D18" s="7" t="inlineStr">
        <is>
          <t>A</t>
        </is>
      </c>
      <c r="E18" s="7" t="n">
        <v>18</v>
      </c>
      <c r="F18" s="7" t="n">
        <v>15</v>
      </c>
      <c r="G18" s="7" t="n">
        <v>5058</v>
      </c>
      <c r="H18" s="7" t="n">
        <v>5940</v>
      </c>
      <c r="I18" s="7" t="n">
        <v>882</v>
      </c>
      <c r="J18" s="7" t="n">
        <v>93</v>
      </c>
      <c r="K18" s="7" t="n">
        <v>108</v>
      </c>
      <c r="L18" s="7" t="n">
        <v>118</v>
      </c>
      <c r="M18" s="7" t="n">
        <v>124</v>
      </c>
      <c r="N18" s="7" t="n">
        <v>139</v>
      </c>
      <c r="O18" s="7" t="n">
        <v>144</v>
      </c>
      <c r="P18" s="7" t="n">
        <v>156</v>
      </c>
    </row>
    <row r="19" ht="15.75" customHeight="1" s="57">
      <c r="A19" s="7" t="inlineStr">
        <is>
          <t>Thành phố Phan Thiết</t>
        </is>
      </c>
      <c r="B19" s="7" t="n">
        <v>470105</v>
      </c>
      <c r="C19" s="7" t="inlineStr">
        <is>
          <t>Phường Hàm Tiến</t>
        </is>
      </c>
      <c r="D19" s="7" t="inlineStr">
        <is>
          <t>A</t>
        </is>
      </c>
      <c r="E19" s="7" t="n">
        <v>18</v>
      </c>
      <c r="F19" s="7" t="n">
        <v>15</v>
      </c>
      <c r="G19" s="7" t="n">
        <v>5587</v>
      </c>
      <c r="H19" s="7" t="n">
        <v>6463</v>
      </c>
      <c r="I19" s="7" t="n">
        <v>876</v>
      </c>
      <c r="J19" s="7" t="n">
        <v>92</v>
      </c>
      <c r="K19" s="7" t="n">
        <v>107</v>
      </c>
      <c r="L19" s="7" t="n">
        <v>117</v>
      </c>
      <c r="M19" s="7" t="n">
        <v>123</v>
      </c>
      <c r="N19" s="7" t="n">
        <v>138</v>
      </c>
      <c r="O19" s="7" t="n">
        <v>143</v>
      </c>
      <c r="P19" s="7" t="n">
        <v>155</v>
      </c>
    </row>
    <row r="20" ht="15.75" customHeight="1" s="57">
      <c r="A20" s="7" t="inlineStr">
        <is>
          <t>Thành phố Nha Trang</t>
        </is>
      </c>
      <c r="B20" s="7" t="n">
        <v>410104</v>
      </c>
      <c r="C20" s="7" t="inlineStr">
        <is>
          <t>Phường Phước Hòa</t>
        </is>
      </c>
      <c r="D20" s="7" t="inlineStr">
        <is>
          <t>B</t>
        </is>
      </c>
      <c r="E20" s="7" t="n">
        <v>20</v>
      </c>
      <c r="F20" s="7" t="n">
        <v>15</v>
      </c>
      <c r="G20" s="7" t="n">
        <v>2849</v>
      </c>
      <c r="H20" s="7" t="n">
        <v>3696</v>
      </c>
      <c r="I20" s="7" t="n">
        <v>847</v>
      </c>
      <c r="J20" s="7" t="n">
        <v>90</v>
      </c>
      <c r="K20" s="7" t="n">
        <v>105</v>
      </c>
      <c r="L20" s="7" t="n">
        <v>114</v>
      </c>
      <c r="M20" s="7" t="n">
        <v>119</v>
      </c>
      <c r="N20" s="7" t="n">
        <v>133</v>
      </c>
      <c r="O20" s="7" t="n">
        <v>135</v>
      </c>
      <c r="P20" s="7" t="n">
        <v>151</v>
      </c>
    </row>
    <row r="21" ht="15.75" customHeight="1" s="57">
      <c r="A21" s="7" t="inlineStr">
        <is>
          <t>Huyện Ninh Hải</t>
        </is>
      </c>
      <c r="B21" s="7" t="n">
        <v>450303</v>
      </c>
      <c r="C21" s="7" t="inlineStr">
        <is>
          <t>Xã Nhơn Hải</t>
        </is>
      </c>
      <c r="D21" s="7" t="inlineStr">
        <is>
          <t>A</t>
        </is>
      </c>
      <c r="E21" s="7" t="n">
        <v>20</v>
      </c>
      <c r="F21" s="7" t="n">
        <v>15</v>
      </c>
      <c r="G21" s="7" t="n">
        <v>2648</v>
      </c>
      <c r="H21" s="7" t="n">
        <v>3441</v>
      </c>
      <c r="I21" s="7" t="n">
        <v>793</v>
      </c>
      <c r="J21" s="7" t="n">
        <v>85</v>
      </c>
      <c r="K21" s="7" t="n">
        <v>98</v>
      </c>
      <c r="L21" s="7" t="n">
        <v>106</v>
      </c>
      <c r="M21" s="7" t="n">
        <v>111</v>
      </c>
      <c r="N21" s="7" t="n">
        <v>124</v>
      </c>
      <c r="O21" s="7" t="n">
        <v>127</v>
      </c>
      <c r="P21" s="7" t="n">
        <v>142</v>
      </c>
    </row>
    <row r="22" ht="15.75" customHeight="1" s="57">
      <c r="A22" s="7" t="inlineStr">
        <is>
          <t>Huyện Lâm Hà</t>
        </is>
      </c>
      <c r="B22" s="7" t="n">
        <v>421002</v>
      </c>
      <c r="C22" s="7" t="inlineStr">
        <is>
          <t>Thị trấn Nam Ban</t>
        </is>
      </c>
      <c r="D22" s="7" t="inlineStr">
        <is>
          <t>A</t>
        </is>
      </c>
      <c r="E22" s="7" t="n">
        <v>20</v>
      </c>
      <c r="F22" s="7" t="n">
        <v>15</v>
      </c>
      <c r="G22" s="7" t="n">
        <v>2715</v>
      </c>
      <c r="H22" s="7" t="n">
        <v>3482</v>
      </c>
      <c r="I22" s="7" t="n">
        <v>767</v>
      </c>
      <c r="J22" s="7" t="n">
        <v>82</v>
      </c>
      <c r="K22" s="7" t="n">
        <v>95</v>
      </c>
      <c r="L22" s="7" t="n">
        <v>103</v>
      </c>
      <c r="M22" s="7" t="n">
        <v>106</v>
      </c>
      <c r="N22" s="7" t="n">
        <v>118</v>
      </c>
      <c r="O22" s="7" t="n">
        <v>126</v>
      </c>
      <c r="P22" s="7" t="n">
        <v>137</v>
      </c>
    </row>
    <row r="23" ht="15.75" customHeight="1" s="57">
      <c r="A23" s="7" t="inlineStr">
        <is>
          <t>Huyện Ninh Phước</t>
        </is>
      </c>
      <c r="B23" s="7" t="n">
        <v>450401</v>
      </c>
      <c r="C23" s="7" t="inlineStr">
        <is>
          <t>Thị trấn Phước Dân</t>
        </is>
      </c>
      <c r="D23" s="7" t="inlineStr">
        <is>
          <t>A</t>
        </is>
      </c>
      <c r="E23" s="7" t="n">
        <v>20</v>
      </c>
      <c r="F23" s="7" t="n">
        <v>15</v>
      </c>
      <c r="G23" s="7" t="n">
        <v>2624</v>
      </c>
      <c r="H23" s="7" t="n">
        <v>3382</v>
      </c>
      <c r="I23" s="7" t="n">
        <v>758</v>
      </c>
      <c r="J23" s="7" t="n">
        <v>82</v>
      </c>
      <c r="K23" s="7" t="n">
        <v>94</v>
      </c>
      <c r="L23" s="7" t="n">
        <v>101</v>
      </c>
      <c r="M23" s="7" t="n">
        <v>106</v>
      </c>
      <c r="N23" s="7" t="n">
        <v>119</v>
      </c>
      <c r="O23" s="7" t="n">
        <v>121</v>
      </c>
      <c r="P23" s="7" t="n">
        <v>136</v>
      </c>
    </row>
    <row r="24" ht="15.75" customHeight="1" s="57">
      <c r="A24" s="7" t="inlineStr">
        <is>
          <t>Huyện Bắc Bình</t>
        </is>
      </c>
      <c r="B24" s="7" t="n">
        <v>470301</v>
      </c>
      <c r="C24" s="7" t="inlineStr">
        <is>
          <t>Thị trấn Chợ Lầu</t>
        </is>
      </c>
      <c r="D24" s="7" t="inlineStr">
        <is>
          <t>A</t>
        </is>
      </c>
      <c r="E24" s="7" t="n">
        <v>20</v>
      </c>
      <c r="F24" s="7" t="n">
        <v>15</v>
      </c>
      <c r="G24" s="7" t="n">
        <v>2279</v>
      </c>
      <c r="H24" s="7" t="n">
        <v>2996</v>
      </c>
      <c r="I24" s="7" t="n">
        <v>717</v>
      </c>
      <c r="J24" s="7" t="n">
        <v>76</v>
      </c>
      <c r="K24" s="7" t="n">
        <v>88</v>
      </c>
      <c r="L24" s="7" t="n">
        <v>96</v>
      </c>
      <c r="M24" s="7" t="n">
        <v>100</v>
      </c>
      <c r="N24" s="7" t="n">
        <v>113</v>
      </c>
      <c r="O24" s="7" t="n">
        <v>117</v>
      </c>
      <c r="P24" s="7" t="n">
        <v>127</v>
      </c>
    </row>
    <row r="25" ht="15.75" customHeight="1" s="57">
      <c r="A25" s="7" t="inlineStr">
        <is>
          <t>Huyện Tuy Phong</t>
        </is>
      </c>
      <c r="B25" s="7" t="n">
        <v>470204</v>
      </c>
      <c r="C25" s="7" t="inlineStr">
        <is>
          <t>Xã Chí Công</t>
        </is>
      </c>
      <c r="D25" s="7" t="inlineStr">
        <is>
          <t>A</t>
        </is>
      </c>
      <c r="E25" s="7" t="n">
        <v>20</v>
      </c>
      <c r="F25" s="7" t="n">
        <v>15</v>
      </c>
      <c r="G25" s="7" t="n">
        <v>2199</v>
      </c>
      <c r="H25" s="7" t="n">
        <v>2893</v>
      </c>
      <c r="I25" s="7" t="n">
        <v>694</v>
      </c>
      <c r="J25" s="7" t="n">
        <v>74</v>
      </c>
      <c r="K25" s="7" t="n">
        <v>85</v>
      </c>
      <c r="L25" s="7" t="n">
        <v>93</v>
      </c>
      <c r="M25" s="7" t="n">
        <v>97</v>
      </c>
      <c r="N25" s="7" t="n">
        <v>109</v>
      </c>
      <c r="O25" s="7" t="n">
        <v>113</v>
      </c>
      <c r="P25" s="7" t="n">
        <v>123</v>
      </c>
    </row>
    <row r="26" ht="15.75" customHeight="1" s="57">
      <c r="A26" s="7" t="inlineStr">
        <is>
          <t>Huyện Hàm Tân</t>
        </is>
      </c>
      <c r="B26" s="7" t="n">
        <v>470602</v>
      </c>
      <c r="C26" s="7" t="inlineStr">
        <is>
          <t>Thị trấn Tân Nghĩa</t>
        </is>
      </c>
      <c r="D26" s="7" t="inlineStr">
        <is>
          <t>A</t>
        </is>
      </c>
      <c r="E26" s="7" t="n">
        <v>20</v>
      </c>
      <c r="F26" s="7" t="n">
        <v>15</v>
      </c>
      <c r="G26" s="7" t="n">
        <v>2249</v>
      </c>
      <c r="H26" s="7" t="n">
        <v>2888</v>
      </c>
      <c r="I26" s="7" t="n">
        <v>639</v>
      </c>
      <c r="J26" s="7" t="n">
        <v>68</v>
      </c>
      <c r="K26" s="7" t="n">
        <v>79</v>
      </c>
      <c r="L26" s="7" t="n">
        <v>85</v>
      </c>
      <c r="M26" s="7" t="n">
        <v>89</v>
      </c>
      <c r="N26" s="7" t="n">
        <v>100</v>
      </c>
      <c r="O26" s="7" t="n">
        <v>104</v>
      </c>
      <c r="P26" s="7" t="n">
        <v>114</v>
      </c>
    </row>
    <row r="27" ht="15.75" customHeight="1" s="57">
      <c r="A27" s="7" t="inlineStr">
        <is>
          <t>Huyện Bảo Lâm</t>
        </is>
      </c>
      <c r="B27" s="7" t="n">
        <v>761209</v>
      </c>
      <c r="C27" s="7" t="inlineStr">
        <is>
          <t>Xã Lộc Ngãi</t>
        </is>
      </c>
      <c r="D27" s="7" t="inlineStr">
        <is>
          <t>A</t>
        </is>
      </c>
      <c r="E27" s="7" t="n">
        <v>20</v>
      </c>
      <c r="F27" s="7" t="n">
        <v>15</v>
      </c>
      <c r="G27" s="7" t="n">
        <v>1840</v>
      </c>
      <c r="H27" s="7" t="n">
        <v>2437</v>
      </c>
      <c r="I27" s="7" t="n">
        <v>597</v>
      </c>
      <c r="J27" s="7" t="n">
        <v>63</v>
      </c>
      <c r="K27" s="7" t="n">
        <v>73</v>
      </c>
      <c r="L27" s="7" t="n">
        <v>80</v>
      </c>
      <c r="M27" s="7" t="n">
        <v>83</v>
      </c>
      <c r="N27" s="7" t="n">
        <v>93</v>
      </c>
      <c r="O27" s="7" t="n">
        <v>98</v>
      </c>
      <c r="P27" s="7" t="n">
        <v>106</v>
      </c>
    </row>
    <row r="28" ht="15.75" customHeight="1" s="57">
      <c r="A28" s="7" t="inlineStr">
        <is>
          <t>Thành phố Đà Lạt</t>
        </is>
      </c>
      <c r="B28" s="7" t="n">
        <v>420112</v>
      </c>
      <c r="C28" s="7" t="inlineStr">
        <is>
          <t>Phường 9</t>
        </is>
      </c>
      <c r="D28" s="7" t="inlineStr">
        <is>
          <t>A</t>
        </is>
      </c>
      <c r="E28" s="7" t="n">
        <v>16</v>
      </c>
      <c r="F28" s="7" t="n">
        <v>15</v>
      </c>
      <c r="G28" s="7" t="n">
        <v>12218</v>
      </c>
      <c r="H28" s="7" t="n">
        <v>12808</v>
      </c>
      <c r="I28" s="7" t="n">
        <v>591</v>
      </c>
      <c r="J28" s="7" t="n">
        <v>62</v>
      </c>
      <c r="K28" s="7" t="n">
        <v>73</v>
      </c>
      <c r="L28" s="7" t="n">
        <v>79</v>
      </c>
      <c r="M28" s="7" t="n">
        <v>82</v>
      </c>
      <c r="N28" s="7" t="n">
        <v>93</v>
      </c>
      <c r="O28" s="7" t="n">
        <v>97</v>
      </c>
      <c r="P28" s="7" t="n">
        <v>105</v>
      </c>
    </row>
    <row r="29" ht="15.75" customHeight="1" s="57">
      <c r="A29" s="7" t="inlineStr">
        <is>
          <t>Thị xã La Gi</t>
        </is>
      </c>
      <c r="B29" s="7" t="n">
        <v>471008</v>
      </c>
      <c r="C29" s="7" t="inlineStr">
        <is>
          <t>Xã Tân Phước</t>
        </is>
      </c>
      <c r="D29" s="7" t="inlineStr">
        <is>
          <t>A</t>
        </is>
      </c>
      <c r="E29" s="7" t="n">
        <v>20</v>
      </c>
      <c r="F29" s="7" t="n">
        <v>15</v>
      </c>
      <c r="G29" s="7" t="n">
        <v>1950</v>
      </c>
      <c r="H29" s="7" t="n">
        <v>2538</v>
      </c>
      <c r="I29" s="7" t="n">
        <v>588</v>
      </c>
      <c r="J29" s="7" t="n">
        <v>62</v>
      </c>
      <c r="K29" s="7" t="n">
        <v>72</v>
      </c>
      <c r="L29" s="7" t="n">
        <v>79</v>
      </c>
      <c r="M29" s="7" t="n">
        <v>82</v>
      </c>
      <c r="N29" s="7" t="n">
        <v>93</v>
      </c>
      <c r="O29" s="7" t="n">
        <v>96</v>
      </c>
      <c r="P29" s="7" t="n">
        <v>104</v>
      </c>
    </row>
    <row r="30" ht="15.75" customHeight="1" s="57">
      <c r="A30" s="7" t="inlineStr">
        <is>
          <t>Huyện Ninh Phước</t>
        </is>
      </c>
      <c r="B30" s="7" t="n">
        <v>450402</v>
      </c>
      <c r="C30" s="7" t="inlineStr">
        <is>
          <t>Xã An Hải</t>
        </is>
      </c>
      <c r="D30" s="7" t="inlineStr">
        <is>
          <t>A</t>
        </is>
      </c>
      <c r="E30" s="7" t="n">
        <v>20</v>
      </c>
      <c r="F30" s="7" t="n">
        <v>15</v>
      </c>
      <c r="G30" s="7" t="n">
        <v>1925</v>
      </c>
      <c r="H30" s="7" t="n">
        <v>2512</v>
      </c>
      <c r="I30" s="7" t="n">
        <v>587</v>
      </c>
      <c r="J30" s="7" t="n">
        <v>63</v>
      </c>
      <c r="K30" s="7" t="n">
        <v>72</v>
      </c>
      <c r="L30" s="7" t="n">
        <v>79</v>
      </c>
      <c r="M30" s="7" t="n">
        <v>82</v>
      </c>
      <c r="N30" s="7" t="n">
        <v>92</v>
      </c>
      <c r="O30" s="7" t="n">
        <v>93</v>
      </c>
      <c r="P30" s="7" t="n">
        <v>105</v>
      </c>
    </row>
    <row r="31" ht="15.75" customHeight="1" s="57">
      <c r="A31" s="7" t="inlineStr">
        <is>
          <t>Huyện Bắc Bình</t>
        </is>
      </c>
      <c r="B31" s="7" t="n">
        <v>470302</v>
      </c>
      <c r="C31" s="7" t="inlineStr">
        <is>
          <t>Thị trấn Lương Sơn</t>
        </is>
      </c>
      <c r="D31" s="7" t="inlineStr">
        <is>
          <t>A</t>
        </is>
      </c>
      <c r="E31" s="7" t="n">
        <v>20</v>
      </c>
      <c r="F31" s="7" t="n">
        <v>15</v>
      </c>
      <c r="G31" s="7" t="n">
        <v>2010</v>
      </c>
      <c r="H31" s="7" t="n">
        <v>2583</v>
      </c>
      <c r="I31" s="7" t="n">
        <v>572</v>
      </c>
      <c r="J31" s="7" t="n">
        <v>60</v>
      </c>
      <c r="K31" s="7" t="n">
        <v>70</v>
      </c>
      <c r="L31" s="7" t="n">
        <v>76</v>
      </c>
      <c r="M31" s="7" t="n">
        <v>80</v>
      </c>
      <c r="N31" s="7" t="n">
        <v>90</v>
      </c>
      <c r="O31" s="7" t="n">
        <v>93</v>
      </c>
      <c r="P31" s="7" t="n">
        <v>102</v>
      </c>
    </row>
    <row r="32" ht="15.75" customHeight="1" s="57">
      <c r="A32" s="7" t="inlineStr">
        <is>
          <t>Thành phố Phan Thiết</t>
        </is>
      </c>
      <c r="B32" s="7" t="n">
        <v>470109</v>
      </c>
      <c r="C32" s="7" t="inlineStr">
        <is>
          <t>Phường Phú Hài</t>
        </is>
      </c>
      <c r="D32" s="7" t="inlineStr">
        <is>
          <t>A</t>
        </is>
      </c>
      <c r="E32" s="7" t="n">
        <v>18</v>
      </c>
      <c r="F32" s="7" t="n">
        <v>15</v>
      </c>
      <c r="G32" s="7" t="n">
        <v>3194</v>
      </c>
      <c r="H32" s="7" t="n">
        <v>3670</v>
      </c>
      <c r="I32" s="7" t="n">
        <v>476</v>
      </c>
      <c r="J32" s="7" t="n">
        <v>50</v>
      </c>
      <c r="K32" s="7" t="n">
        <v>58</v>
      </c>
      <c r="L32" s="7" t="n">
        <v>64</v>
      </c>
      <c r="M32" s="7" t="n">
        <v>67</v>
      </c>
      <c r="N32" s="7" t="n">
        <v>75</v>
      </c>
      <c r="O32" s="7" t="n">
        <v>78</v>
      </c>
      <c r="P32" s="7" t="n">
        <v>85</v>
      </c>
    </row>
    <row r="33" ht="15.75" customHeight="1" s="57">
      <c r="A33" s="7" t="inlineStr">
        <is>
          <t>Huyện Hàm Tân</t>
        </is>
      </c>
      <c r="B33" s="7" t="n">
        <v>470601</v>
      </c>
      <c r="C33" s="7" t="inlineStr">
        <is>
          <t>Thị trấn Tân Minh</t>
        </is>
      </c>
      <c r="D33" s="7" t="inlineStr">
        <is>
          <t>A</t>
        </is>
      </c>
      <c r="E33" s="7" t="n">
        <v>20</v>
      </c>
      <c r="F33" s="7" t="n">
        <v>15</v>
      </c>
      <c r="G33" s="7" t="n">
        <v>1451</v>
      </c>
      <c r="H33" s="7" t="n">
        <v>1925</v>
      </c>
      <c r="I33" s="7" t="n">
        <v>474</v>
      </c>
      <c r="J33" s="7" t="n">
        <v>50</v>
      </c>
      <c r="K33" s="7" t="n">
        <v>58</v>
      </c>
      <c r="L33" s="7" t="n">
        <v>63</v>
      </c>
      <c r="M33" s="7" t="n">
        <v>66</v>
      </c>
      <c r="N33" s="7" t="n">
        <v>75</v>
      </c>
      <c r="O33" s="7" t="n">
        <v>77</v>
      </c>
      <c r="P33" s="7" t="n">
        <v>84</v>
      </c>
    </row>
    <row r="34" ht="15.75" customHeight="1" s="57">
      <c r="A34" s="7" t="inlineStr">
        <is>
          <t>Huyện Bắc Bình</t>
        </is>
      </c>
      <c r="B34" s="7" t="n">
        <v>470313</v>
      </c>
      <c r="C34" s="7" t="inlineStr">
        <is>
          <t>Xã Phan Rí Thành</t>
        </is>
      </c>
      <c r="D34" s="7" t="inlineStr">
        <is>
          <t>A</t>
        </is>
      </c>
      <c r="E34" s="7" t="n">
        <v>20</v>
      </c>
      <c r="F34" s="7" t="n">
        <v>15</v>
      </c>
      <c r="G34" s="7" t="n">
        <v>1501</v>
      </c>
      <c r="H34" s="7" t="n">
        <v>1971</v>
      </c>
      <c r="I34" s="7" t="n">
        <v>470</v>
      </c>
      <c r="J34" s="7" t="n">
        <v>50</v>
      </c>
      <c r="K34" s="7" t="n">
        <v>58</v>
      </c>
      <c r="L34" s="7" t="n">
        <v>63</v>
      </c>
      <c r="M34" s="7" t="n">
        <v>66</v>
      </c>
      <c r="N34" s="7" t="n">
        <v>74</v>
      </c>
      <c r="O34" s="7" t="n">
        <v>76</v>
      </c>
      <c r="P34" s="7" t="n">
        <v>84</v>
      </c>
    </row>
    <row r="35" ht="15.75" customHeight="1" s="57">
      <c r="A35" s="7" t="inlineStr">
        <is>
          <t>Huyện Ninh Hải</t>
        </is>
      </c>
      <c r="B35" s="7" t="n">
        <v>450301</v>
      </c>
      <c r="C35" s="7" t="inlineStr">
        <is>
          <t>Thị trấn Khánh Hải</t>
        </is>
      </c>
      <c r="D35" s="7" t="inlineStr">
        <is>
          <t>A</t>
        </is>
      </c>
      <c r="E35" s="7" t="n">
        <v>20</v>
      </c>
      <c r="F35" s="7" t="n">
        <v>15</v>
      </c>
      <c r="G35" s="7" t="n">
        <v>1529</v>
      </c>
      <c r="H35" s="7" t="n">
        <v>1993</v>
      </c>
      <c r="I35" s="7" t="n">
        <v>464</v>
      </c>
      <c r="J35" s="7" t="n">
        <v>50</v>
      </c>
      <c r="K35" s="7" t="n">
        <v>57</v>
      </c>
      <c r="L35" s="7" t="n">
        <v>62</v>
      </c>
      <c r="M35" s="7" t="n">
        <v>65</v>
      </c>
      <c r="N35" s="7" t="n">
        <v>73</v>
      </c>
      <c r="O35" s="7" t="n">
        <v>74</v>
      </c>
      <c r="P35" s="7" t="n">
        <v>83</v>
      </c>
    </row>
    <row r="36" ht="15.75" customHeight="1" s="57">
      <c r="A36" s="7" t="inlineStr">
        <is>
          <t>Huyện Bắc Bình</t>
        </is>
      </c>
      <c r="B36" s="7" t="n">
        <v>470305</v>
      </c>
      <c r="C36" s="7" t="inlineStr">
        <is>
          <t>Xã Hải Ninh</t>
        </is>
      </c>
      <c r="D36" s="7" t="inlineStr">
        <is>
          <t>A</t>
        </is>
      </c>
      <c r="E36" s="7" t="n">
        <v>20</v>
      </c>
      <c r="F36" s="7" t="n">
        <v>15</v>
      </c>
      <c r="G36" s="7" t="n">
        <v>1371</v>
      </c>
      <c r="H36" s="7" t="n">
        <v>1788</v>
      </c>
      <c r="I36" s="7" t="n">
        <v>417</v>
      </c>
      <c r="J36" s="7" t="n">
        <v>44</v>
      </c>
      <c r="K36" s="7" t="n">
        <v>51</v>
      </c>
      <c r="L36" s="7" t="n">
        <v>56</v>
      </c>
      <c r="M36" s="7" t="n">
        <v>58</v>
      </c>
      <c r="N36" s="7" t="n">
        <v>66</v>
      </c>
      <c r="O36" s="7" t="n">
        <v>68</v>
      </c>
      <c r="P36" s="7" t="n">
        <v>74</v>
      </c>
    </row>
    <row r="37" ht="15.75" customHeight="1" s="57">
      <c r="A37" s="7" t="inlineStr">
        <is>
          <t>Huyện Ninh Phước</t>
        </is>
      </c>
      <c r="B37" s="7" t="n">
        <v>450408</v>
      </c>
      <c r="C37" s="7" t="inlineStr">
        <is>
          <t>Xã Phước Thuận</t>
        </is>
      </c>
      <c r="D37" s="7" t="inlineStr">
        <is>
          <t>A</t>
        </is>
      </c>
      <c r="E37" s="7" t="n">
        <v>20</v>
      </c>
      <c r="F37" s="7" t="n">
        <v>15</v>
      </c>
      <c r="G37" s="7" t="n">
        <v>1231</v>
      </c>
      <c r="H37" s="7" t="n">
        <v>1634</v>
      </c>
      <c r="I37" s="7" t="n">
        <v>403</v>
      </c>
      <c r="J37" s="7" t="n">
        <v>44</v>
      </c>
      <c r="K37" s="7" t="n">
        <v>50</v>
      </c>
      <c r="L37" s="7" t="n">
        <v>54</v>
      </c>
      <c r="M37" s="7" t="n">
        <v>56</v>
      </c>
      <c r="N37" s="7" t="n">
        <v>63</v>
      </c>
      <c r="O37" s="7" t="n">
        <v>64</v>
      </c>
      <c r="P37" s="7" t="n">
        <v>72</v>
      </c>
    </row>
    <row r="38" ht="15.75" customHeight="1" s="57">
      <c r="A38" s="7" t="inlineStr">
        <is>
          <t>Thành phố Đà Lạt</t>
        </is>
      </c>
      <c r="B38" s="7" t="n">
        <v>420102</v>
      </c>
      <c r="C38" s="7" t="inlineStr">
        <is>
          <t>Phường 10</t>
        </is>
      </c>
      <c r="D38" s="7" t="inlineStr">
        <is>
          <t>A</t>
        </is>
      </c>
      <c r="E38" s="7" t="n">
        <v>16</v>
      </c>
      <c r="F38" s="7" t="n">
        <v>15</v>
      </c>
      <c r="G38" s="7" t="n">
        <v>8069</v>
      </c>
      <c r="H38" s="7" t="n">
        <v>8464</v>
      </c>
      <c r="I38" s="7" t="n">
        <v>395</v>
      </c>
      <c r="J38" s="7" t="n">
        <v>41</v>
      </c>
      <c r="K38" s="7" t="n">
        <v>48</v>
      </c>
      <c r="L38" s="7" t="n">
        <v>53</v>
      </c>
      <c r="M38" s="7" t="n">
        <v>55</v>
      </c>
      <c r="N38" s="7" t="n">
        <v>62</v>
      </c>
      <c r="O38" s="7" t="n">
        <v>65</v>
      </c>
      <c r="P38" s="7" t="n">
        <v>70</v>
      </c>
    </row>
    <row r="39" ht="15.75" customHeight="1" s="57">
      <c r="A39" s="7" t="inlineStr">
        <is>
          <t>Thành phố Phan Thiết</t>
        </is>
      </c>
      <c r="B39" s="7" t="n">
        <v>470102</v>
      </c>
      <c r="C39" s="7" t="inlineStr">
        <is>
          <t>Phường Đức Long</t>
        </is>
      </c>
      <c r="D39" s="7" t="inlineStr">
        <is>
          <t>A</t>
        </is>
      </c>
      <c r="E39" s="7" t="n">
        <v>18</v>
      </c>
      <c r="F39" s="7" t="n">
        <v>15</v>
      </c>
      <c r="G39" s="7" t="n">
        <v>2192</v>
      </c>
      <c r="H39" s="7" t="n">
        <v>2586</v>
      </c>
      <c r="I39" s="7" t="n">
        <v>394</v>
      </c>
      <c r="J39" s="7" t="n">
        <v>42</v>
      </c>
      <c r="K39" s="7" t="n">
        <v>48</v>
      </c>
      <c r="L39" s="7" t="n">
        <v>53</v>
      </c>
      <c r="M39" s="7" t="n">
        <v>55</v>
      </c>
      <c r="N39" s="7" t="n">
        <v>62</v>
      </c>
      <c r="O39" s="7" t="n">
        <v>64</v>
      </c>
      <c r="P39" s="7" t="n">
        <v>70</v>
      </c>
    </row>
    <row r="40" ht="15.75" customHeight="1" s="57">
      <c r="A40" s="7" t="inlineStr">
        <is>
          <t>Huyện Tuy Phong</t>
        </is>
      </c>
      <c r="B40" s="7" t="n">
        <v>470210</v>
      </c>
      <c r="C40" s="7" t="inlineStr">
        <is>
          <t>Xã Phước Thể</t>
        </is>
      </c>
      <c r="D40" s="7" t="inlineStr">
        <is>
          <t>A</t>
        </is>
      </c>
      <c r="E40" s="7" t="n">
        <v>20</v>
      </c>
      <c r="F40" s="7" t="n">
        <v>15</v>
      </c>
      <c r="G40" s="7" t="n">
        <v>1251</v>
      </c>
      <c r="H40" s="7" t="n">
        <v>1630</v>
      </c>
      <c r="I40" s="7" t="n">
        <v>380</v>
      </c>
      <c r="J40" s="7" t="n">
        <v>40</v>
      </c>
      <c r="K40" s="7" t="n">
        <v>47</v>
      </c>
      <c r="L40" s="7" t="n">
        <v>51</v>
      </c>
      <c r="M40" s="7" t="n">
        <v>53</v>
      </c>
      <c r="N40" s="7" t="n">
        <v>60</v>
      </c>
      <c r="O40" s="7" t="n">
        <v>62</v>
      </c>
      <c r="P40" s="7" t="n">
        <v>67</v>
      </c>
    </row>
    <row r="41" ht="15.75" customHeight="1" s="57">
      <c r="A41" s="7" t="inlineStr">
        <is>
          <t>Huyện Ninh Hải</t>
        </is>
      </c>
      <c r="B41" s="7" t="n">
        <v>450302</v>
      </c>
      <c r="C41" s="7" t="inlineStr">
        <is>
          <t>Xã Hộ Hải</t>
        </is>
      </c>
      <c r="D41" s="7" t="inlineStr">
        <is>
          <t>A</t>
        </is>
      </c>
      <c r="E41" s="7" t="n">
        <v>20</v>
      </c>
      <c r="F41" s="7" t="n">
        <v>15</v>
      </c>
      <c r="G41" s="7" t="n">
        <v>1160</v>
      </c>
      <c r="H41" s="7" t="n">
        <v>1532</v>
      </c>
      <c r="I41" s="7" t="n">
        <v>371</v>
      </c>
      <c r="J41" s="7" t="n">
        <v>40</v>
      </c>
      <c r="K41" s="7" t="n">
        <v>46</v>
      </c>
      <c r="L41" s="7" t="n">
        <v>50</v>
      </c>
      <c r="M41" s="7" t="n">
        <v>52</v>
      </c>
      <c r="N41" s="7" t="n">
        <v>58</v>
      </c>
      <c r="O41" s="7" t="n">
        <v>60</v>
      </c>
      <c r="P41" s="7" t="n">
        <v>66</v>
      </c>
    </row>
    <row r="42" ht="15.75" customHeight="1" s="57">
      <c r="A42" s="7" t="inlineStr">
        <is>
          <t>Huyện Diên Khánh</t>
        </is>
      </c>
      <c r="B42" s="7" t="n">
        <v>410407</v>
      </c>
      <c r="C42" s="7" t="inlineStr">
        <is>
          <t>Xã Diên Lạc</t>
        </is>
      </c>
      <c r="D42" s="7" t="inlineStr">
        <is>
          <t>A</t>
        </is>
      </c>
      <c r="E42" s="7" t="n">
        <v>20</v>
      </c>
      <c r="F42" s="7" t="n">
        <v>15</v>
      </c>
      <c r="G42" s="7" t="n">
        <v>1250</v>
      </c>
      <c r="H42" s="7" t="n">
        <v>1620</v>
      </c>
      <c r="I42" s="7" t="n">
        <v>369</v>
      </c>
      <c r="J42" s="7" t="n">
        <v>40</v>
      </c>
      <c r="K42" s="7" t="n">
        <v>46</v>
      </c>
      <c r="L42" s="7" t="n">
        <v>50</v>
      </c>
      <c r="M42" s="7" t="n">
        <v>52</v>
      </c>
      <c r="N42" s="7" t="n">
        <v>58</v>
      </c>
      <c r="O42" s="7" t="n">
        <v>58</v>
      </c>
      <c r="P42" s="7" t="n">
        <v>66</v>
      </c>
    </row>
    <row r="43" ht="15.75" customHeight="1" s="57">
      <c r="A43" s="7" t="inlineStr">
        <is>
          <t>Huyện Lâm Hà</t>
        </is>
      </c>
      <c r="B43" s="7" t="n">
        <v>421016</v>
      </c>
      <c r="C43" s="7" t="inlineStr">
        <is>
          <t>Xã Tân Văn</t>
        </is>
      </c>
      <c r="D43" s="7" t="inlineStr">
        <is>
          <t>A</t>
        </is>
      </c>
      <c r="E43" s="7" t="n">
        <v>20</v>
      </c>
      <c r="F43" s="7" t="n">
        <v>15</v>
      </c>
      <c r="G43" s="7" t="n">
        <v>1300</v>
      </c>
      <c r="H43" s="7" t="n">
        <v>1659</v>
      </c>
      <c r="I43" s="7" t="n">
        <v>359</v>
      </c>
      <c r="J43" s="7" t="n">
        <v>38</v>
      </c>
      <c r="K43" s="7" t="n">
        <v>44</v>
      </c>
      <c r="L43" s="7" t="n">
        <v>48</v>
      </c>
      <c r="M43" s="7" t="n">
        <v>50</v>
      </c>
      <c r="N43" s="7" t="n">
        <v>56</v>
      </c>
      <c r="O43" s="7" t="n">
        <v>59</v>
      </c>
      <c r="P43" s="7" t="n">
        <v>64</v>
      </c>
    </row>
    <row r="44" ht="15.75" customHeight="1" s="57">
      <c r="A44" s="7" t="inlineStr">
        <is>
          <t>Huyện Ninh Phước</t>
        </is>
      </c>
      <c r="B44" s="7" t="n">
        <v>450404</v>
      </c>
      <c r="C44" s="7" t="inlineStr">
        <is>
          <t>Xã Phước Hậu</t>
        </is>
      </c>
      <c r="D44" s="7" t="inlineStr">
        <is>
          <t>A</t>
        </is>
      </c>
      <c r="E44" s="7" t="n">
        <v>20</v>
      </c>
      <c r="F44" s="7" t="n">
        <v>15</v>
      </c>
      <c r="G44" s="7" t="n">
        <v>1077</v>
      </c>
      <c r="H44" s="7" t="n">
        <v>1430</v>
      </c>
      <c r="I44" s="7" t="n">
        <v>353</v>
      </c>
      <c r="J44" s="7" t="n">
        <v>38</v>
      </c>
      <c r="K44" s="7" t="n">
        <v>43</v>
      </c>
      <c r="L44" s="7" t="n">
        <v>47</v>
      </c>
      <c r="M44" s="7" t="n">
        <v>49</v>
      </c>
      <c r="N44" s="7" t="n">
        <v>55</v>
      </c>
      <c r="O44" s="7" t="n">
        <v>56</v>
      </c>
      <c r="P44" s="7" t="n">
        <v>63</v>
      </c>
    </row>
    <row r="45" ht="15.75" customHeight="1" s="57">
      <c r="A45" s="7" t="inlineStr">
        <is>
          <t>Huyện Tuy Phong</t>
        </is>
      </c>
      <c r="B45" s="7" t="n">
        <v>470205</v>
      </c>
      <c r="C45" s="7" t="inlineStr">
        <is>
          <t>Xã Hòa Minh</t>
        </is>
      </c>
      <c r="D45" s="7" t="inlineStr">
        <is>
          <t>A</t>
        </is>
      </c>
      <c r="E45" s="7" t="n">
        <v>20</v>
      </c>
      <c r="F45" s="7" t="n">
        <v>15</v>
      </c>
      <c r="G45" s="7" t="n">
        <v>1124</v>
      </c>
      <c r="H45" s="7" t="n">
        <v>1476</v>
      </c>
      <c r="I45" s="7" t="n">
        <v>352</v>
      </c>
      <c r="J45" s="7" t="n">
        <v>38</v>
      </c>
      <c r="K45" s="7" t="n">
        <v>43</v>
      </c>
      <c r="L45" s="7" t="n">
        <v>47</v>
      </c>
      <c r="M45" s="7" t="n">
        <v>49</v>
      </c>
      <c r="N45" s="7" t="n">
        <v>55</v>
      </c>
      <c r="O45" s="7" t="n">
        <v>57</v>
      </c>
      <c r="P45" s="7" t="n">
        <v>63</v>
      </c>
    </row>
    <row r="46" ht="15.75" customHeight="1" s="57">
      <c r="A46" s="7" t="inlineStr">
        <is>
          <t>Huyện Ninh Hải</t>
        </is>
      </c>
      <c r="B46" s="7" t="n">
        <v>450307</v>
      </c>
      <c r="C46" s="7" t="inlineStr">
        <is>
          <t>Xã Tri Hải</t>
        </is>
      </c>
      <c r="D46" s="7" t="inlineStr">
        <is>
          <t>A</t>
        </is>
      </c>
      <c r="E46" s="7" t="n">
        <v>20</v>
      </c>
      <c r="F46" s="7" t="n">
        <v>15</v>
      </c>
      <c r="G46" s="7" t="n">
        <v>966</v>
      </c>
      <c r="H46" s="7" t="n">
        <v>1317</v>
      </c>
      <c r="I46" s="7" t="n">
        <v>351</v>
      </c>
      <c r="J46" s="7" t="n">
        <v>38</v>
      </c>
      <c r="K46" s="7" t="n">
        <v>43</v>
      </c>
      <c r="L46" s="7" t="n">
        <v>47</v>
      </c>
      <c r="M46" s="7" t="n">
        <v>49</v>
      </c>
      <c r="N46" s="7" t="n">
        <v>55</v>
      </c>
      <c r="O46" s="7" t="n">
        <v>56</v>
      </c>
      <c r="P46" s="7" t="n">
        <v>63</v>
      </c>
    </row>
    <row r="47" ht="15.75" customHeight="1" s="57">
      <c r="A47" s="7" t="inlineStr">
        <is>
          <t>Huyện Hàm Tân</t>
        </is>
      </c>
      <c r="B47" s="7" t="n">
        <v>470609</v>
      </c>
      <c r="C47" s="7" t="inlineStr">
        <is>
          <t>Xã Tân Xuân</t>
        </is>
      </c>
      <c r="D47" s="7" t="inlineStr">
        <is>
          <t>A</t>
        </is>
      </c>
      <c r="E47" s="7" t="n">
        <v>20</v>
      </c>
      <c r="F47" s="7" t="n">
        <v>15</v>
      </c>
      <c r="G47" s="7" t="n">
        <v>1114</v>
      </c>
      <c r="H47" s="7" t="n">
        <v>1454</v>
      </c>
      <c r="I47" s="7" t="n">
        <v>340</v>
      </c>
      <c r="J47" s="7" t="n">
        <v>36</v>
      </c>
      <c r="K47" s="7" t="n">
        <v>42</v>
      </c>
      <c r="L47" s="7" t="n">
        <v>45</v>
      </c>
      <c r="M47" s="7" t="n">
        <v>48</v>
      </c>
      <c r="N47" s="7" t="n">
        <v>53</v>
      </c>
      <c r="O47" s="7" t="n">
        <v>55</v>
      </c>
      <c r="P47" s="7" t="n">
        <v>61</v>
      </c>
    </row>
    <row r="48" ht="15.75" customHeight="1" s="57">
      <c r="A48" s="7" t="inlineStr">
        <is>
          <t>Huyện Tuy Phong</t>
        </is>
      </c>
      <c r="B48" s="7" t="n">
        <v>470211</v>
      </c>
      <c r="C48" s="7" t="inlineStr">
        <is>
          <t>Xã Vĩnh Hảo</t>
        </is>
      </c>
      <c r="D48" s="7" t="inlineStr">
        <is>
          <t>A</t>
        </is>
      </c>
      <c r="E48" s="7" t="n">
        <v>20</v>
      </c>
      <c r="F48" s="7" t="n">
        <v>15</v>
      </c>
      <c r="G48" s="7" t="n">
        <v>1031</v>
      </c>
      <c r="H48" s="7" t="n">
        <v>1367</v>
      </c>
      <c r="I48" s="7" t="n">
        <v>336</v>
      </c>
      <c r="J48" s="7" t="n">
        <v>36</v>
      </c>
      <c r="K48" s="7" t="n">
        <v>41</v>
      </c>
      <c r="L48" s="7" t="n">
        <v>45</v>
      </c>
      <c r="M48" s="7" t="n">
        <v>47</v>
      </c>
      <c r="N48" s="7" t="n">
        <v>52</v>
      </c>
      <c r="O48" s="7" t="n">
        <v>54</v>
      </c>
      <c r="P48" s="7" t="n">
        <v>60</v>
      </c>
    </row>
    <row r="49" ht="15.75" customHeight="1" s="57">
      <c r="A49" s="7" t="inlineStr">
        <is>
          <t>Huyện Bắc Bình</t>
        </is>
      </c>
      <c r="B49" s="7" t="n">
        <v>470308</v>
      </c>
      <c r="C49" s="7" t="inlineStr">
        <is>
          <t>Xã Hồng Thái</t>
        </is>
      </c>
      <c r="D49" s="7" t="inlineStr">
        <is>
          <t>A</t>
        </is>
      </c>
      <c r="E49" s="7" t="n">
        <v>20</v>
      </c>
      <c r="F49" s="7" t="n">
        <v>15</v>
      </c>
      <c r="G49" s="7" t="n">
        <v>1151</v>
      </c>
      <c r="H49" s="7" t="n">
        <v>1481</v>
      </c>
      <c r="I49" s="7" t="n">
        <v>331</v>
      </c>
      <c r="J49" s="7" t="n">
        <v>35</v>
      </c>
      <c r="K49" s="7" t="n">
        <v>41</v>
      </c>
      <c r="L49" s="7" t="n">
        <v>44</v>
      </c>
      <c r="M49" s="7" t="n">
        <v>46</v>
      </c>
      <c r="N49" s="7" t="n">
        <v>52</v>
      </c>
      <c r="O49" s="7" t="n">
        <v>54</v>
      </c>
      <c r="P49" s="7" t="n">
        <v>59</v>
      </c>
    </row>
    <row r="50" ht="15.75" customHeight="1" s="57">
      <c r="A50" s="7" t="inlineStr">
        <is>
          <t>Huyện Lâm Hà</t>
        </is>
      </c>
      <c r="B50" s="7" t="n">
        <v>421006</v>
      </c>
      <c r="C50" s="7" t="inlineStr">
        <is>
          <t>Xã Gia Lâm</t>
        </is>
      </c>
      <c r="D50" s="7" t="inlineStr">
        <is>
          <t>A</t>
        </is>
      </c>
      <c r="E50" s="7" t="n">
        <v>20</v>
      </c>
      <c r="F50" s="7" t="n">
        <v>15</v>
      </c>
      <c r="G50" s="7" t="n">
        <v>1185</v>
      </c>
      <c r="H50" s="7" t="n">
        <v>1515</v>
      </c>
      <c r="I50" s="7" t="n">
        <v>330</v>
      </c>
      <c r="J50" s="7" t="n">
        <v>35</v>
      </c>
      <c r="K50" s="7" t="n">
        <v>41</v>
      </c>
      <c r="L50" s="7" t="n">
        <v>44</v>
      </c>
      <c r="M50" s="7" t="n">
        <v>46</v>
      </c>
      <c r="N50" s="7" t="n">
        <v>52</v>
      </c>
      <c r="O50" s="7" t="n">
        <v>54</v>
      </c>
      <c r="P50" s="7" t="n">
        <v>58</v>
      </c>
    </row>
    <row r="51" ht="15.75" customHeight="1" s="57">
      <c r="A51" s="7" t="inlineStr">
        <is>
          <t>Huyện Tuy Phong</t>
        </is>
      </c>
      <c r="B51" s="7" t="n">
        <v>470212</v>
      </c>
      <c r="C51" s="7" t="inlineStr">
        <is>
          <t>Xã Vĩnh Tân</t>
        </is>
      </c>
      <c r="D51" s="7" t="inlineStr">
        <is>
          <t>A</t>
        </is>
      </c>
      <c r="E51" s="7" t="n">
        <v>20</v>
      </c>
      <c r="F51" s="7" t="n">
        <v>15</v>
      </c>
      <c r="G51" s="7" t="n">
        <v>897</v>
      </c>
      <c r="H51" s="7" t="n">
        <v>1195</v>
      </c>
      <c r="I51" s="7" t="n">
        <v>298</v>
      </c>
      <c r="J51" s="7" t="n">
        <v>32</v>
      </c>
      <c r="K51" s="7" t="n">
        <v>37</v>
      </c>
      <c r="L51" s="7" t="n">
        <v>40</v>
      </c>
      <c r="M51" s="7" t="n">
        <v>42</v>
      </c>
      <c r="N51" s="7" t="n">
        <v>46</v>
      </c>
      <c r="O51" s="7" t="n">
        <v>48</v>
      </c>
      <c r="P51" s="7" t="n">
        <v>53</v>
      </c>
    </row>
    <row r="52" ht="15.75" customHeight="1" s="57">
      <c r="A52" s="7" t="inlineStr">
        <is>
          <t>Huyện Bảo Lâm</t>
        </is>
      </c>
      <c r="B52" s="7" t="n">
        <v>761206</v>
      </c>
      <c r="C52" s="7" t="inlineStr">
        <is>
          <t>Xã Lộc Đức</t>
        </is>
      </c>
      <c r="D52" s="7" t="inlineStr">
        <is>
          <t>A</t>
        </is>
      </c>
      <c r="E52" s="7" t="n">
        <v>20</v>
      </c>
      <c r="F52" s="7" t="n">
        <v>15</v>
      </c>
      <c r="G52" s="7" t="n">
        <v>1012</v>
      </c>
      <c r="H52" s="7" t="n">
        <v>1307</v>
      </c>
      <c r="I52" s="7" t="n">
        <v>295</v>
      </c>
      <c r="J52" s="7" t="n">
        <v>31</v>
      </c>
      <c r="K52" s="7" t="n">
        <v>37</v>
      </c>
      <c r="L52" s="7" t="n">
        <v>40</v>
      </c>
      <c r="M52" s="7" t="n">
        <v>41</v>
      </c>
      <c r="N52" s="7" t="n">
        <v>46</v>
      </c>
      <c r="O52" s="7" t="n">
        <v>48</v>
      </c>
      <c r="P52" s="7" t="n">
        <v>52</v>
      </c>
    </row>
    <row r="53" ht="15.75" customHeight="1" s="57">
      <c r="A53" s="7" t="inlineStr">
        <is>
          <t>Huyện Hàm Tân</t>
        </is>
      </c>
      <c r="B53" s="7" t="n">
        <v>470604</v>
      </c>
      <c r="C53" s="7" t="inlineStr">
        <is>
          <t>Xã Sông Phan</t>
        </is>
      </c>
      <c r="D53" s="7" t="inlineStr">
        <is>
          <t>A</t>
        </is>
      </c>
      <c r="E53" s="7" t="n">
        <v>20</v>
      </c>
      <c r="F53" s="7" t="n">
        <v>15</v>
      </c>
      <c r="G53" s="7" t="n">
        <v>953</v>
      </c>
      <c r="H53" s="7" t="n">
        <v>1248</v>
      </c>
      <c r="I53" s="7" t="n">
        <v>295</v>
      </c>
      <c r="J53" s="7" t="n">
        <v>31</v>
      </c>
      <c r="K53" s="7" t="n">
        <v>36</v>
      </c>
      <c r="L53" s="7" t="n">
        <v>39</v>
      </c>
      <c r="M53" s="7" t="n">
        <v>41</v>
      </c>
      <c r="N53" s="7" t="n">
        <v>46</v>
      </c>
      <c r="O53" s="7" t="n">
        <v>48</v>
      </c>
      <c r="P53" s="7" t="n">
        <v>52</v>
      </c>
    </row>
    <row r="54" ht="15.75" customHeight="1" s="57">
      <c r="A54" s="7" t="inlineStr">
        <is>
          <t>Huyện Diên Khánh</t>
        </is>
      </c>
      <c r="B54" s="7" t="n">
        <v>410411</v>
      </c>
      <c r="C54" s="7" t="inlineStr">
        <is>
          <t>Xã Diên Phước</t>
        </is>
      </c>
      <c r="D54" s="7" t="inlineStr">
        <is>
          <t>A</t>
        </is>
      </c>
      <c r="E54" s="7" t="n">
        <v>20</v>
      </c>
      <c r="F54" s="7" t="n">
        <v>15</v>
      </c>
      <c r="G54" s="7" t="n">
        <v>1009</v>
      </c>
      <c r="H54" s="7" t="n">
        <v>1301</v>
      </c>
      <c r="I54" s="7" t="n">
        <v>292</v>
      </c>
      <c r="J54" s="7" t="n">
        <v>31</v>
      </c>
      <c r="K54" s="7" t="n">
        <v>36</v>
      </c>
      <c r="L54" s="7" t="n">
        <v>39</v>
      </c>
      <c r="M54" s="7" t="n">
        <v>41</v>
      </c>
      <c r="N54" s="7" t="n">
        <v>46</v>
      </c>
      <c r="O54" s="7" t="n">
        <v>46</v>
      </c>
      <c r="P54" s="7" t="n">
        <v>52</v>
      </c>
    </row>
    <row r="55" ht="15.75" customHeight="1" s="57">
      <c r="A55" s="7" t="inlineStr">
        <is>
          <t>Thành phố Đà Lạt</t>
        </is>
      </c>
      <c r="B55" s="7" t="n">
        <v>420103</v>
      </c>
      <c r="C55" s="7" t="inlineStr">
        <is>
          <t>Phường 11</t>
        </is>
      </c>
      <c r="D55" s="7" t="inlineStr">
        <is>
          <t>A</t>
        </is>
      </c>
      <c r="E55" s="7" t="n">
        <v>16</v>
      </c>
      <c r="F55" s="7" t="n">
        <v>15</v>
      </c>
      <c r="G55" s="7" t="n">
        <v>5549</v>
      </c>
      <c r="H55" s="7" t="n">
        <v>5836</v>
      </c>
      <c r="I55" s="7" t="n">
        <v>287</v>
      </c>
      <c r="J55" s="7" t="n">
        <v>30</v>
      </c>
      <c r="K55" s="7" t="n">
        <v>35</v>
      </c>
      <c r="L55" s="7" t="n">
        <v>38</v>
      </c>
      <c r="M55" s="7" t="n">
        <v>40</v>
      </c>
      <c r="N55" s="7" t="n">
        <v>45</v>
      </c>
      <c r="O55" s="7" t="n">
        <v>47</v>
      </c>
      <c r="P55" s="7" t="n">
        <v>51</v>
      </c>
    </row>
    <row r="56" ht="15.75" customHeight="1" s="57">
      <c r="A56" s="7" t="inlineStr">
        <is>
          <t>Huyện Hàm Tân</t>
        </is>
      </c>
      <c r="B56" s="7" t="n">
        <v>470606</v>
      </c>
      <c r="C56" s="7" t="inlineStr">
        <is>
          <t>Xã Tân Hà</t>
        </is>
      </c>
      <c r="D56" s="7" t="inlineStr">
        <is>
          <t>A</t>
        </is>
      </c>
      <c r="E56" s="7" t="n">
        <v>20</v>
      </c>
      <c r="F56" s="7" t="n">
        <v>15</v>
      </c>
      <c r="G56" s="7" t="n">
        <v>985</v>
      </c>
      <c r="H56" s="7" t="n">
        <v>1266</v>
      </c>
      <c r="I56" s="7" t="n">
        <v>281</v>
      </c>
      <c r="J56" s="7" t="n">
        <v>30</v>
      </c>
      <c r="K56" s="7" t="n">
        <v>35</v>
      </c>
      <c r="L56" s="7" t="n">
        <v>37</v>
      </c>
      <c r="M56" s="7" t="n">
        <v>39</v>
      </c>
      <c r="N56" s="7" t="n">
        <v>44</v>
      </c>
      <c r="O56" s="7" t="n">
        <v>46</v>
      </c>
      <c r="P56" s="7" t="n">
        <v>50</v>
      </c>
    </row>
    <row r="57" ht="15.75" customHeight="1" s="57">
      <c r="A57" s="7" t="inlineStr">
        <is>
          <t>Huyện Hàm Tân</t>
        </is>
      </c>
      <c r="B57" s="7" t="n">
        <v>470607</v>
      </c>
      <c r="C57" s="7" t="inlineStr">
        <is>
          <t>Xã Tân Phúc</t>
        </is>
      </c>
      <c r="D57" s="7" t="inlineStr">
        <is>
          <t>A</t>
        </is>
      </c>
      <c r="E57" s="7" t="n">
        <v>20</v>
      </c>
      <c r="F57" s="7" t="n">
        <v>15</v>
      </c>
      <c r="G57" s="7" t="n">
        <v>883</v>
      </c>
      <c r="H57" s="7" t="n">
        <v>1153</v>
      </c>
      <c r="I57" s="7" t="n">
        <v>270</v>
      </c>
      <c r="J57" s="7" t="n">
        <v>29</v>
      </c>
      <c r="K57" s="7" t="n">
        <v>33</v>
      </c>
      <c r="L57" s="7" t="n">
        <v>36</v>
      </c>
      <c r="M57" s="7" t="n">
        <v>38</v>
      </c>
      <c r="N57" s="7" t="n">
        <v>42</v>
      </c>
      <c r="O57" s="7" t="n">
        <v>44</v>
      </c>
      <c r="P57" s="7" t="n">
        <v>48</v>
      </c>
    </row>
    <row r="58" ht="15.75" customHeight="1" s="57">
      <c r="A58" s="7" t="inlineStr">
        <is>
          <t>Thành phố Phan Thiết</t>
        </is>
      </c>
      <c r="B58" s="7" t="n">
        <v>470106</v>
      </c>
      <c r="C58" s="7" t="inlineStr">
        <is>
          <t>Phường Hưng Long</t>
        </is>
      </c>
      <c r="D58" s="7" t="inlineStr">
        <is>
          <t>A</t>
        </is>
      </c>
      <c r="E58" s="7" t="n">
        <v>18</v>
      </c>
      <c r="F58" s="7" t="n">
        <v>15</v>
      </c>
      <c r="G58" s="7" t="n">
        <v>1500</v>
      </c>
      <c r="H58" s="7" t="n">
        <v>1748</v>
      </c>
      <c r="I58" s="7" t="n">
        <v>248</v>
      </c>
      <c r="J58" s="7" t="n">
        <v>26</v>
      </c>
      <c r="K58" s="7" t="n">
        <v>30</v>
      </c>
      <c r="L58" s="7" t="n">
        <v>33</v>
      </c>
      <c r="M58" s="7" t="n">
        <v>35</v>
      </c>
      <c r="N58" s="7" t="n">
        <v>39</v>
      </c>
      <c r="O58" s="7" t="n">
        <v>41</v>
      </c>
      <c r="P58" s="7" t="n">
        <v>44</v>
      </c>
    </row>
    <row r="59" ht="15.75" customHeight="1" s="57">
      <c r="A59" s="7" t="inlineStr">
        <is>
          <t>Huyện Tuy Phong</t>
        </is>
      </c>
      <c r="B59" s="7" t="n">
        <v>470209</v>
      </c>
      <c r="C59" s="7" t="inlineStr">
        <is>
          <t>Xã Phú Lạc</t>
        </is>
      </c>
      <c r="D59" s="7" t="inlineStr">
        <is>
          <t>A</t>
        </is>
      </c>
      <c r="E59" s="7" t="n">
        <v>20</v>
      </c>
      <c r="F59" s="7" t="n">
        <v>15</v>
      </c>
      <c r="G59" s="7" t="n">
        <v>714</v>
      </c>
      <c r="H59" s="7" t="n">
        <v>955</v>
      </c>
      <c r="I59" s="7" t="n">
        <v>240</v>
      </c>
      <c r="J59" s="7" t="n">
        <v>26</v>
      </c>
      <c r="K59" s="7" t="n">
        <v>30</v>
      </c>
      <c r="L59" s="7" t="n">
        <v>32</v>
      </c>
      <c r="M59" s="7" t="n">
        <v>34</v>
      </c>
      <c r="N59" s="7" t="n">
        <v>37</v>
      </c>
      <c r="O59" s="7" t="n">
        <v>39</v>
      </c>
      <c r="P59" s="7" t="n">
        <v>43</v>
      </c>
    </row>
    <row r="60" ht="15.75" customHeight="1" s="57">
      <c r="A60" s="7" t="inlineStr">
        <is>
          <t>Huyện Hàm Tân</t>
        </is>
      </c>
      <c r="B60" s="7" t="n">
        <v>470605</v>
      </c>
      <c r="C60" s="7" t="inlineStr">
        <is>
          <t>Xã Tân Đức</t>
        </is>
      </c>
      <c r="D60" s="7" t="inlineStr">
        <is>
          <t>A</t>
        </is>
      </c>
      <c r="E60" s="7" t="n">
        <v>20</v>
      </c>
      <c r="F60" s="7" t="n">
        <v>15</v>
      </c>
      <c r="G60" s="7" t="n">
        <v>737</v>
      </c>
      <c r="H60" s="7" t="n">
        <v>976</v>
      </c>
      <c r="I60" s="7" t="n">
        <v>239</v>
      </c>
      <c r="J60" s="7" t="n">
        <v>25</v>
      </c>
      <c r="K60" s="7" t="n">
        <v>29</v>
      </c>
      <c r="L60" s="7" t="n">
        <v>32</v>
      </c>
      <c r="M60" s="7" t="n">
        <v>33</v>
      </c>
      <c r="N60" s="7" t="n">
        <v>37</v>
      </c>
      <c r="O60" s="7" t="n">
        <v>39</v>
      </c>
      <c r="P60" s="7" t="n">
        <v>42</v>
      </c>
    </row>
    <row r="61" ht="15.75" customHeight="1" s="57">
      <c r="A61" s="7" t="inlineStr">
        <is>
          <t>Huyện Lâm Hà</t>
        </is>
      </c>
      <c r="B61" s="7" t="n">
        <v>421005</v>
      </c>
      <c r="C61" s="7" t="inlineStr">
        <is>
          <t>Xã Đông Thanh</t>
        </is>
      </c>
      <c r="D61" s="7" t="inlineStr">
        <is>
          <t>A</t>
        </is>
      </c>
      <c r="E61" s="7" t="n">
        <v>20</v>
      </c>
      <c r="F61" s="7" t="n">
        <v>15</v>
      </c>
      <c r="G61" s="7" t="n">
        <v>727</v>
      </c>
      <c r="H61" s="7" t="n">
        <v>961</v>
      </c>
      <c r="I61" s="7" t="n">
        <v>233</v>
      </c>
      <c r="J61" s="7" t="n">
        <v>25</v>
      </c>
      <c r="K61" s="7" t="n">
        <v>29</v>
      </c>
      <c r="L61" s="7" t="n">
        <v>31</v>
      </c>
      <c r="M61" s="7" t="n">
        <v>32</v>
      </c>
      <c r="N61" s="7" t="n">
        <v>36</v>
      </c>
      <c r="O61" s="7" t="n">
        <v>38</v>
      </c>
      <c r="P61" s="7" t="n">
        <v>42</v>
      </c>
    </row>
    <row r="62" ht="15.75" customHeight="1" s="57">
      <c r="A62" s="7" t="inlineStr">
        <is>
          <t>Huyện Diên Khánh</t>
        </is>
      </c>
      <c r="B62" s="7" t="n">
        <v>410414</v>
      </c>
      <c r="C62" s="7" t="inlineStr">
        <is>
          <t>Xã Diên Thạnh</t>
        </is>
      </c>
      <c r="D62" s="7" t="inlineStr">
        <is>
          <t>A</t>
        </is>
      </c>
      <c r="E62" s="7" t="n">
        <v>20</v>
      </c>
      <c r="F62" s="7" t="n">
        <v>15</v>
      </c>
      <c r="G62" s="7" t="n">
        <v>867</v>
      </c>
      <c r="H62" s="7" t="n">
        <v>1099</v>
      </c>
      <c r="I62" s="7" t="n">
        <v>232</v>
      </c>
      <c r="J62" s="7" t="n">
        <v>24</v>
      </c>
      <c r="K62" s="7" t="n">
        <v>29</v>
      </c>
      <c r="L62" s="7" t="n">
        <v>31</v>
      </c>
      <c r="M62" s="7" t="n">
        <v>33</v>
      </c>
      <c r="N62" s="7" t="n">
        <v>37</v>
      </c>
      <c r="O62" s="7" t="n">
        <v>37</v>
      </c>
      <c r="P62" s="7" t="n">
        <v>41</v>
      </c>
    </row>
    <row r="63" ht="15.75" customHeight="1" s="57">
      <c r="A63" s="7" t="inlineStr">
        <is>
          <t>Thành phố Phan Thiết</t>
        </is>
      </c>
      <c r="B63" s="7" t="n">
        <v>470107</v>
      </c>
      <c r="C63" s="7" t="inlineStr">
        <is>
          <t>Phường Lạc Đạo</t>
        </is>
      </c>
      <c r="D63" s="7" t="inlineStr">
        <is>
          <t>A</t>
        </is>
      </c>
      <c r="E63" s="7" t="n">
        <v>18</v>
      </c>
      <c r="F63" s="7" t="n">
        <v>15</v>
      </c>
      <c r="G63" s="7" t="n">
        <v>1373</v>
      </c>
      <c r="H63" s="7" t="n">
        <v>1603</v>
      </c>
      <c r="I63" s="7" t="n">
        <v>230</v>
      </c>
      <c r="J63" s="7" t="n">
        <v>24</v>
      </c>
      <c r="K63" s="7" t="n">
        <v>28</v>
      </c>
      <c r="L63" s="7" t="n">
        <v>31</v>
      </c>
      <c r="M63" s="7" t="n">
        <v>32</v>
      </c>
      <c r="N63" s="7" t="n">
        <v>36</v>
      </c>
      <c r="O63" s="7" t="n">
        <v>37</v>
      </c>
      <c r="P63" s="7" t="n">
        <v>41</v>
      </c>
    </row>
    <row r="64" ht="15.75" customHeight="1" s="57">
      <c r="A64" s="7" t="inlineStr">
        <is>
          <t>Huyện Tuy Phong</t>
        </is>
      </c>
      <c r="B64" s="7" t="n">
        <v>470203</v>
      </c>
      <c r="C64" s="7" t="inlineStr">
        <is>
          <t>Xã Bình Thạnh</t>
        </is>
      </c>
      <c r="D64" s="7" t="inlineStr">
        <is>
          <t>A</t>
        </is>
      </c>
      <c r="E64" s="7" t="n">
        <v>20</v>
      </c>
      <c r="F64" s="7" t="n">
        <v>15</v>
      </c>
      <c r="G64" s="7" t="n">
        <v>771</v>
      </c>
      <c r="H64" s="7" t="n">
        <v>1001</v>
      </c>
      <c r="I64" s="7" t="n">
        <v>229</v>
      </c>
      <c r="J64" s="7" t="n">
        <v>25</v>
      </c>
      <c r="K64" s="7" t="n">
        <v>28</v>
      </c>
      <c r="L64" s="7" t="n">
        <v>31</v>
      </c>
      <c r="M64" s="7" t="n">
        <v>32</v>
      </c>
      <c r="N64" s="7" t="n">
        <v>36</v>
      </c>
      <c r="O64" s="7" t="n">
        <v>37</v>
      </c>
      <c r="P64" s="7" t="n">
        <v>41</v>
      </c>
    </row>
    <row r="65" ht="15.75" customHeight="1" s="57">
      <c r="A65" s="7" t="inlineStr">
        <is>
          <t>Huyện Tuy Phong</t>
        </is>
      </c>
      <c r="B65" s="7" t="n">
        <v>470208</v>
      </c>
      <c r="C65" s="7" t="inlineStr">
        <is>
          <t>Xã Phong Phú</t>
        </is>
      </c>
      <c r="D65" s="7" t="inlineStr">
        <is>
          <t>A</t>
        </is>
      </c>
      <c r="E65" s="7" t="n">
        <v>20</v>
      </c>
      <c r="F65" s="7" t="n">
        <v>15</v>
      </c>
      <c r="G65" s="7" t="n">
        <v>649</v>
      </c>
      <c r="H65" s="7" t="n">
        <v>852</v>
      </c>
      <c r="I65" s="7" t="n">
        <v>203</v>
      </c>
      <c r="J65" s="7" t="n">
        <v>22</v>
      </c>
      <c r="K65" s="7" t="n">
        <v>25</v>
      </c>
      <c r="L65" s="7" t="n">
        <v>27</v>
      </c>
      <c r="M65" s="7" t="n">
        <v>28</v>
      </c>
      <c r="N65" s="7" t="n">
        <v>32</v>
      </c>
      <c r="O65" s="7" t="n">
        <v>33</v>
      </c>
      <c r="P65" s="7" t="n">
        <v>36</v>
      </c>
    </row>
    <row r="66" ht="15.75" customHeight="1" s="57">
      <c r="A66" s="7" t="inlineStr">
        <is>
          <t>Thành phố Đà Lạt</t>
        </is>
      </c>
      <c r="B66" s="7" t="n">
        <v>420104</v>
      </c>
      <c r="C66" s="7" t="inlineStr">
        <is>
          <t>Phường 12</t>
        </is>
      </c>
      <c r="D66" s="7" t="inlineStr">
        <is>
          <t>A</t>
        </is>
      </c>
      <c r="E66" s="7" t="n">
        <v>16</v>
      </c>
      <c r="F66" s="7" t="n">
        <v>15</v>
      </c>
      <c r="G66" s="7" t="n">
        <v>3502</v>
      </c>
      <c r="H66" s="7" t="n">
        <v>3693</v>
      </c>
      <c r="I66" s="7" t="n">
        <v>190</v>
      </c>
      <c r="J66" s="7" t="n">
        <v>20</v>
      </c>
      <c r="K66" s="7" t="n">
        <v>23</v>
      </c>
      <c r="L66" s="7" t="n">
        <v>26</v>
      </c>
      <c r="M66" s="7" t="n">
        <v>26</v>
      </c>
      <c r="N66" s="7" t="n">
        <v>29</v>
      </c>
      <c r="O66" s="7" t="n">
        <v>31</v>
      </c>
      <c r="P66" s="7" t="n">
        <v>34</v>
      </c>
    </row>
    <row r="67" ht="15.75" customHeight="1" s="57">
      <c r="A67" s="7" t="inlineStr">
        <is>
          <t>Huyện Bảo Lâm</t>
        </is>
      </c>
      <c r="B67" s="7" t="n">
        <v>761211</v>
      </c>
      <c r="C67" s="7" t="inlineStr">
        <is>
          <t>Xã Lộc Quảng</t>
        </is>
      </c>
      <c r="D67" s="7" t="inlineStr">
        <is>
          <t>A</t>
        </is>
      </c>
      <c r="E67" s="7" t="n">
        <v>20</v>
      </c>
      <c r="F67" s="7" t="n">
        <v>15</v>
      </c>
      <c r="G67" s="7" t="n">
        <v>631</v>
      </c>
      <c r="H67" s="7" t="n">
        <v>819</v>
      </c>
      <c r="I67" s="7" t="n">
        <v>188</v>
      </c>
      <c r="J67" s="7" t="n">
        <v>20</v>
      </c>
      <c r="K67" s="7" t="n">
        <v>23</v>
      </c>
      <c r="L67" s="7" t="n">
        <v>25</v>
      </c>
      <c r="M67" s="7" t="n">
        <v>26</v>
      </c>
      <c r="N67" s="7" t="n">
        <v>30</v>
      </c>
      <c r="O67" s="7" t="n">
        <v>31</v>
      </c>
      <c r="P67" s="7" t="n">
        <v>33</v>
      </c>
    </row>
    <row r="68" ht="15.75" customHeight="1" s="57">
      <c r="A68" s="7" t="inlineStr">
        <is>
          <t>Huyện Bắc Bình</t>
        </is>
      </c>
      <c r="B68" s="7" t="n">
        <v>470303</v>
      </c>
      <c r="C68" s="7" t="inlineStr">
        <is>
          <t>Xã Bình An</t>
        </is>
      </c>
      <c r="D68" s="7" t="inlineStr">
        <is>
          <t>A</t>
        </is>
      </c>
      <c r="E68" s="7" t="n">
        <v>20</v>
      </c>
      <c r="F68" s="7" t="n">
        <v>15</v>
      </c>
      <c r="G68" s="7" t="n">
        <v>549</v>
      </c>
      <c r="H68" s="7" t="n">
        <v>729</v>
      </c>
      <c r="I68" s="7" t="n">
        <v>180</v>
      </c>
      <c r="J68" s="7" t="n">
        <v>19</v>
      </c>
      <c r="K68" s="7" t="n">
        <v>22</v>
      </c>
      <c r="L68" s="7" t="n">
        <v>24</v>
      </c>
      <c r="M68" s="7" t="n">
        <v>25</v>
      </c>
      <c r="N68" s="7" t="n">
        <v>28</v>
      </c>
      <c r="O68" s="7" t="n">
        <v>29</v>
      </c>
      <c r="P68" s="7" t="n">
        <v>32</v>
      </c>
    </row>
    <row r="69" ht="15.75" customHeight="1" s="57">
      <c r="A69" s="7" t="inlineStr">
        <is>
          <t>Huyện Thuận Nam</t>
        </is>
      </c>
      <c r="B69" s="7" t="n">
        <v>450707</v>
      </c>
      <c r="C69" s="7" t="inlineStr">
        <is>
          <t>Xã Phước Nam</t>
        </is>
      </c>
      <c r="D69" s="7" t="inlineStr">
        <is>
          <t>A</t>
        </is>
      </c>
      <c r="E69" s="7" t="n">
        <v>20</v>
      </c>
      <c r="F69" s="7" t="n">
        <v>15</v>
      </c>
      <c r="G69" s="7" t="n">
        <v>688</v>
      </c>
      <c r="H69" s="7" t="n">
        <v>861</v>
      </c>
      <c r="I69" s="7" t="n">
        <v>173</v>
      </c>
      <c r="J69" s="7" t="n">
        <v>18</v>
      </c>
      <c r="K69" s="7" t="n">
        <v>21</v>
      </c>
      <c r="L69" s="7" t="n">
        <v>23</v>
      </c>
      <c r="M69" s="7" t="n">
        <v>24</v>
      </c>
      <c r="N69" s="7" t="n">
        <v>27</v>
      </c>
      <c r="O69" s="7" t="n">
        <v>28</v>
      </c>
      <c r="P69" s="7" t="n">
        <v>31</v>
      </c>
    </row>
    <row r="70" ht="15.75" customHeight="1" s="57">
      <c r="A70" s="7" t="inlineStr">
        <is>
          <t>Huyện Bắc Bình</t>
        </is>
      </c>
      <c r="B70" s="7" t="n">
        <v>470311</v>
      </c>
      <c r="C70" s="7" t="inlineStr">
        <is>
          <t>Xã Phan Hòa</t>
        </is>
      </c>
      <c r="D70" s="7" t="inlineStr">
        <is>
          <t>A</t>
        </is>
      </c>
      <c r="E70" s="7" t="n">
        <v>20</v>
      </c>
      <c r="F70" s="7" t="n">
        <v>15</v>
      </c>
      <c r="G70" s="7" t="n">
        <v>476</v>
      </c>
      <c r="H70" s="7" t="n">
        <v>624</v>
      </c>
      <c r="I70" s="7" t="n">
        <v>147</v>
      </c>
      <c r="J70" s="7" t="n">
        <v>16</v>
      </c>
      <c r="K70" s="7" t="n">
        <v>18</v>
      </c>
      <c r="L70" s="7" t="n">
        <v>20</v>
      </c>
      <c r="M70" s="7" t="n">
        <v>21</v>
      </c>
      <c r="N70" s="7" t="n">
        <v>23</v>
      </c>
      <c r="O70" s="7" t="n">
        <v>24</v>
      </c>
      <c r="P70" s="7" t="n">
        <v>26</v>
      </c>
    </row>
    <row r="71" ht="15.75" customHeight="1" s="57">
      <c r="A71" s="7" t="inlineStr">
        <is>
          <t>Huyện Bắc Bình</t>
        </is>
      </c>
      <c r="B71" s="7" t="n">
        <v>470315</v>
      </c>
      <c r="C71" s="7" t="inlineStr">
        <is>
          <t>Xã Phan Thanh</t>
        </is>
      </c>
      <c r="D71" s="7" t="inlineStr">
        <is>
          <t>A</t>
        </is>
      </c>
      <c r="E71" s="7" t="n">
        <v>20</v>
      </c>
      <c r="F71" s="7" t="n">
        <v>15</v>
      </c>
      <c r="G71" s="7" t="n">
        <v>459</v>
      </c>
      <c r="H71" s="7" t="n">
        <v>596</v>
      </c>
      <c r="I71" s="7" t="n">
        <v>137</v>
      </c>
      <c r="J71" s="7" t="n">
        <v>15</v>
      </c>
      <c r="K71" s="7" t="n">
        <v>17</v>
      </c>
      <c r="L71" s="7" t="n">
        <v>18</v>
      </c>
      <c r="M71" s="7" t="n">
        <v>19</v>
      </c>
      <c r="N71" s="7" t="n">
        <v>21</v>
      </c>
      <c r="O71" s="7" t="n">
        <v>22</v>
      </c>
      <c r="P71" s="7" t="n">
        <v>24</v>
      </c>
    </row>
    <row r="72" ht="15.75" customHeight="1" s="57">
      <c r="A72" s="7" t="inlineStr">
        <is>
          <t>Huyện Tuy Phong</t>
        </is>
      </c>
      <c r="B72" s="7" t="n">
        <v>470207</v>
      </c>
      <c r="C72" s="7" t="inlineStr">
        <is>
          <t>Xã Phan Dũng</t>
        </is>
      </c>
      <c r="D72" s="7" t="inlineStr">
        <is>
          <t>A</t>
        </is>
      </c>
      <c r="E72" s="7" t="n">
        <v>20</v>
      </c>
      <c r="F72" s="7" t="n">
        <v>15</v>
      </c>
      <c r="G72" s="7" t="n">
        <v>270</v>
      </c>
      <c r="H72" s="7" t="n">
        <v>380</v>
      </c>
      <c r="I72" s="7" t="n">
        <v>110</v>
      </c>
      <c r="J72" s="7" t="n">
        <v>13</v>
      </c>
      <c r="K72" s="7" t="n">
        <v>14</v>
      </c>
      <c r="L72" s="7" t="n">
        <v>15</v>
      </c>
      <c r="M72" s="7" t="n">
        <v>15</v>
      </c>
      <c r="N72" s="7" t="n">
        <v>16</v>
      </c>
      <c r="O72" s="7" t="n">
        <v>17</v>
      </c>
      <c r="P72" s="7" t="n">
        <v>20</v>
      </c>
    </row>
    <row r="73" ht="15.75" customHeight="1" s="57">
      <c r="A73" s="7" t="inlineStr">
        <is>
          <t>Huyện Bắc Bình</t>
        </is>
      </c>
      <c r="B73" s="7" t="n">
        <v>470310</v>
      </c>
      <c r="C73" s="7" t="inlineStr">
        <is>
          <t>Xã Phan Hiệp</t>
        </is>
      </c>
      <c r="D73" s="7" t="inlineStr">
        <is>
          <t>A</t>
        </is>
      </c>
      <c r="E73" s="7" t="n">
        <v>20</v>
      </c>
      <c r="F73" s="7" t="n">
        <v>15</v>
      </c>
      <c r="G73" s="7" t="n">
        <v>248</v>
      </c>
      <c r="H73" s="7" t="n">
        <v>327</v>
      </c>
      <c r="I73" s="7" t="n">
        <v>78</v>
      </c>
      <c r="J73" s="7" t="n">
        <v>8</v>
      </c>
      <c r="K73" s="7" t="n">
        <v>10</v>
      </c>
      <c r="L73" s="7" t="n">
        <v>10</v>
      </c>
      <c r="M73" s="7" t="n">
        <v>11</v>
      </c>
      <c r="N73" s="7" t="n">
        <v>12</v>
      </c>
      <c r="O73" s="7" t="n">
        <v>13</v>
      </c>
      <c r="P73" s="7" t="n">
        <v>14</v>
      </c>
    </row>
    <row r="74" ht="15.75" customHeight="1" s="57">
      <c r="A74" s="7" t="inlineStr">
        <is>
          <t>Huyện Bắc Bình</t>
        </is>
      </c>
      <c r="B74" s="7" t="n">
        <v>470309</v>
      </c>
      <c r="C74" s="7" t="inlineStr">
        <is>
          <t>Xã Phan Điền</t>
        </is>
      </c>
      <c r="D74" s="7" t="inlineStr">
        <is>
          <t>A</t>
        </is>
      </c>
      <c r="E74" s="7" t="n">
        <v>20</v>
      </c>
      <c r="F74" s="7" t="n">
        <v>15</v>
      </c>
      <c r="G74" s="7" t="n">
        <v>66</v>
      </c>
      <c r="H74" s="7" t="n">
        <v>89</v>
      </c>
      <c r="I74" s="7" t="n">
        <v>23</v>
      </c>
      <c r="J74" s="7" t="n">
        <v>2</v>
      </c>
      <c r="K74" s="7" t="n">
        <v>3</v>
      </c>
      <c r="L74" s="7" t="n">
        <v>3</v>
      </c>
      <c r="M74" s="7" t="n">
        <v>3</v>
      </c>
      <c r="N74" s="7" t="n">
        <v>4</v>
      </c>
      <c r="O74" s="7" t="n">
        <v>4</v>
      </c>
      <c r="P74" s="7" t="n">
        <v>4</v>
      </c>
    </row>
    <row r="75" ht="15.75" customHeight="1" s="57">
      <c r="A75" s="7" t="inlineStr">
        <is>
          <t>Thành phố Cam Ranh</t>
        </is>
      </c>
      <c r="B75" s="7" t="n">
        <v>410609</v>
      </c>
      <c r="C75" s="7" t="inlineStr">
        <is>
          <t>Phường Cam Thuận</t>
        </is>
      </c>
      <c r="D75" s="7" t="inlineStr">
        <is>
          <t>A</t>
        </is>
      </c>
      <c r="E75" s="7" t="n">
        <v>15</v>
      </c>
      <c r="F75" s="7" t="n">
        <v>15</v>
      </c>
      <c r="G75" s="7" t="n">
        <v>2992</v>
      </c>
      <c r="H75" s="7" t="n">
        <v>2992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0</v>
      </c>
    </row>
    <row r="76" ht="15.75" customHeight="1" s="57">
      <c r="A76" s="7" t="inlineStr">
        <is>
          <t>Thành phố Cam Ranh</t>
        </is>
      </c>
      <c r="B76" s="7" t="n">
        <v>410607</v>
      </c>
      <c r="C76" s="7" t="inlineStr">
        <is>
          <t>Phường Cam Phúc Bắc</t>
        </is>
      </c>
      <c r="D76" s="7" t="inlineStr">
        <is>
          <t>A</t>
        </is>
      </c>
      <c r="E76" s="7" t="n">
        <v>15</v>
      </c>
      <c r="F76" s="7" t="n">
        <v>15</v>
      </c>
      <c r="G76" s="7" t="n">
        <v>2654</v>
      </c>
      <c r="H76" s="7" t="n">
        <v>2654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</row>
    <row r="77" ht="15.75" customHeight="1" s="57">
      <c r="A77" s="7" t="inlineStr">
        <is>
          <t>Thành phố Cam Ranh</t>
        </is>
      </c>
      <c r="B77" s="7" t="n">
        <v>410608</v>
      </c>
      <c r="C77" s="7" t="inlineStr">
        <is>
          <t>Phường Cam Phúc Nam</t>
        </is>
      </c>
      <c r="D77" s="7" t="inlineStr">
        <is>
          <t>A</t>
        </is>
      </c>
      <c r="E77" s="7" t="n">
        <v>15</v>
      </c>
      <c r="F77" s="7" t="n">
        <v>15</v>
      </c>
      <c r="G77" s="7" t="n">
        <v>1192</v>
      </c>
      <c r="H77" s="7" t="n">
        <v>1192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0</v>
      </c>
    </row>
    <row r="78" ht="15.75" customHeight="1" s="57">
      <c r="A78" s="7" t="inlineStr">
        <is>
          <t>Thành phố Cam Ranh</t>
        </is>
      </c>
      <c r="B78" s="7" t="n">
        <v>410605</v>
      </c>
      <c r="C78" s="7" t="inlineStr">
        <is>
          <t>Phường Cam Nghĩa</t>
        </is>
      </c>
      <c r="D78" s="7" t="inlineStr">
        <is>
          <t>A</t>
        </is>
      </c>
      <c r="E78" s="7" t="n">
        <v>15</v>
      </c>
      <c r="F78" s="7" t="n">
        <v>15</v>
      </c>
      <c r="G78" s="7" t="n">
        <v>6713</v>
      </c>
      <c r="H78" s="7" t="n">
        <v>6713</v>
      </c>
      <c r="I78" s="7" t="n">
        <v>0</v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</row>
    <row r="79" ht="15.75" customHeight="1" s="57">
      <c r="A79" s="7" t="inlineStr">
        <is>
          <t>Thành phố Cam Ranh</t>
        </is>
      </c>
      <c r="B79" s="7" t="n">
        <v>410604</v>
      </c>
      <c r="C79" s="7" t="inlineStr">
        <is>
          <t>Phường Cam Lợi</t>
        </is>
      </c>
      <c r="D79" s="7" t="inlineStr">
        <is>
          <t>A</t>
        </is>
      </c>
      <c r="E79" s="7" t="n">
        <v>15</v>
      </c>
      <c r="F79" s="7" t="n">
        <v>15</v>
      </c>
      <c r="G79" s="7" t="n">
        <v>2100</v>
      </c>
      <c r="H79" s="7" t="n">
        <v>2100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0</v>
      </c>
      <c r="O79" s="7" t="n">
        <v>0</v>
      </c>
      <c r="P79" s="7" t="n">
        <v>0</v>
      </c>
    </row>
    <row r="80" ht="15.75" customHeight="1" s="57">
      <c r="A80" s="7" t="inlineStr">
        <is>
          <t>Thành phố Cam Ranh</t>
        </is>
      </c>
      <c r="B80" s="7" t="n">
        <v>410603</v>
      </c>
      <c r="C80" s="7" t="inlineStr">
        <is>
          <t>Phường Cam Lộc</t>
        </is>
      </c>
      <c r="D80" s="7" t="inlineStr">
        <is>
          <t>A</t>
        </is>
      </c>
      <c r="E80" s="7" t="n">
        <v>15</v>
      </c>
      <c r="F80" s="7" t="n">
        <v>15</v>
      </c>
      <c r="G80" s="7" t="n">
        <v>3562</v>
      </c>
      <c r="H80" s="7" t="n">
        <v>3562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</row>
    <row r="81" ht="15.75" customHeight="1" s="57">
      <c r="A81" s="7" t="inlineStr">
        <is>
          <t>Thành phố Cam Ranh</t>
        </is>
      </c>
      <c r="B81" s="7" t="n">
        <v>410606</v>
      </c>
      <c r="C81" s="7" t="inlineStr">
        <is>
          <t>Phường Cam Phú</t>
        </is>
      </c>
      <c r="D81" s="7" t="inlineStr">
        <is>
          <t>A</t>
        </is>
      </c>
      <c r="E81" s="7" t="n">
        <v>15</v>
      </c>
      <c r="F81" s="7" t="n">
        <v>15</v>
      </c>
      <c r="G81" s="7" t="n">
        <v>2842</v>
      </c>
      <c r="H81" s="7" t="n">
        <v>2842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>0</v>
      </c>
      <c r="P81" s="7" t="n">
        <v>0</v>
      </c>
    </row>
    <row r="82" ht="15.75" customHeight="1" s="57">
      <c r="A82" s="7" t="inlineStr">
        <is>
          <t>Thành phố Nha Trang</t>
        </is>
      </c>
      <c r="B82" s="7" t="n">
        <v>410102</v>
      </c>
      <c r="C82" s="7" t="inlineStr">
        <is>
          <t>Phường Ngọc Hiệp</t>
        </is>
      </c>
      <c r="D82" s="7" t="inlineStr">
        <is>
          <t>B</t>
        </is>
      </c>
      <c r="E82" s="7" t="n">
        <v>15</v>
      </c>
      <c r="F82" s="7" t="n">
        <v>15</v>
      </c>
      <c r="G82" s="7" t="n">
        <v>4221</v>
      </c>
      <c r="H82" s="7" t="n">
        <v>4221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</row>
    <row r="83" ht="15.75" customHeight="1" s="57">
      <c r="A83" s="7" t="inlineStr">
        <is>
          <t>Thành phố Nha Trang</t>
        </is>
      </c>
      <c r="B83" s="7" t="n">
        <v>410103</v>
      </c>
      <c r="C83" s="7" t="inlineStr">
        <is>
          <t>Phường Phước Hải</t>
        </is>
      </c>
      <c r="D83" s="7" t="inlineStr">
        <is>
          <t>B</t>
        </is>
      </c>
      <c r="E83" s="7" t="n">
        <v>15</v>
      </c>
      <c r="F83" s="7" t="n">
        <v>15</v>
      </c>
      <c r="G83" s="7" t="n">
        <v>9765</v>
      </c>
      <c r="H83" s="7" t="n">
        <v>9765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0</v>
      </c>
      <c r="O83" s="7" t="n">
        <v>0</v>
      </c>
      <c r="P83" s="7" t="n">
        <v>0</v>
      </c>
    </row>
    <row r="84" ht="15.75" customHeight="1" s="57">
      <c r="A84" s="7" t="inlineStr">
        <is>
          <t>Thành phố Nha Trang</t>
        </is>
      </c>
      <c r="B84" s="7" t="n">
        <v>410113</v>
      </c>
      <c r="C84" s="7" t="inlineStr">
        <is>
          <t>Phường Vĩnh Hải</t>
        </is>
      </c>
      <c r="D84" s="7" t="inlineStr">
        <is>
          <t>B</t>
        </is>
      </c>
      <c r="E84" s="7" t="n">
        <v>15</v>
      </c>
      <c r="F84" s="7" t="n">
        <v>15</v>
      </c>
      <c r="G84" s="7" t="n">
        <v>5850</v>
      </c>
      <c r="H84" s="7" t="n">
        <v>5850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</row>
    <row r="85" ht="15.75" customHeight="1" s="57">
      <c r="A85" s="7" t="inlineStr">
        <is>
          <t>Thành phố Nha Trang</t>
        </is>
      </c>
      <c r="B85" s="7" t="n">
        <v>410121</v>
      </c>
      <c r="C85" s="7" t="inlineStr">
        <is>
          <t>Xã Vĩnh Hiệp</t>
        </is>
      </c>
      <c r="D85" s="7" t="inlineStr">
        <is>
          <t>B</t>
        </is>
      </c>
      <c r="E85" s="7" t="n">
        <v>15</v>
      </c>
      <c r="F85" s="7" t="n">
        <v>15</v>
      </c>
      <c r="G85" s="7" t="n">
        <v>4387</v>
      </c>
      <c r="H85" s="7" t="n">
        <v>4387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0</v>
      </c>
      <c r="O85" s="7" t="n">
        <v>0</v>
      </c>
      <c r="P85" s="7" t="n">
        <v>0</v>
      </c>
    </row>
    <row r="86" ht="15.75" customHeight="1" s="57">
      <c r="A86" s="7" t="inlineStr">
        <is>
          <t>Thành phố Nha Trang</t>
        </is>
      </c>
      <c r="B86" s="7" t="n">
        <v>410116</v>
      </c>
      <c r="C86" s="7" t="inlineStr">
        <is>
          <t>Phường Vĩnh Phước</t>
        </is>
      </c>
      <c r="D86" s="7" t="inlineStr">
        <is>
          <t>B</t>
        </is>
      </c>
      <c r="E86" s="7" t="n">
        <v>15</v>
      </c>
      <c r="F86" s="7" t="n">
        <v>15</v>
      </c>
      <c r="G86" s="7" t="n">
        <v>7017</v>
      </c>
      <c r="H86" s="7" t="n">
        <v>7017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</row>
    <row r="87" ht="15.75" customHeight="1" s="57">
      <c r="A87" s="7" t="inlineStr">
        <is>
          <t>Thành phố Nha Trang</t>
        </is>
      </c>
      <c r="B87" s="7" t="n">
        <v>410110</v>
      </c>
      <c r="C87" s="7" t="inlineStr">
        <is>
          <t>Phường Tân Lập</t>
        </is>
      </c>
      <c r="D87" s="7" t="inlineStr">
        <is>
          <t>B</t>
        </is>
      </c>
      <c r="E87" s="7" t="n">
        <v>15</v>
      </c>
      <c r="F87" s="7" t="n">
        <v>15</v>
      </c>
      <c r="G87" s="7" t="n">
        <v>5362</v>
      </c>
      <c r="H87" s="7" t="n">
        <v>5362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0</v>
      </c>
      <c r="O87" s="7" t="n">
        <v>0</v>
      </c>
      <c r="P87" s="7" t="n">
        <v>0</v>
      </c>
    </row>
    <row r="88" ht="15.75" customHeight="1" s="57">
      <c r="A88" s="7" t="inlineStr">
        <is>
          <t>Thành phố Nha Trang</t>
        </is>
      </c>
      <c r="B88" s="7" t="n">
        <v>410114</v>
      </c>
      <c r="C88" s="7" t="inlineStr">
        <is>
          <t>Phường Vĩnh Hòa</t>
        </is>
      </c>
      <c r="D88" s="7" t="inlineStr">
        <is>
          <t>B</t>
        </is>
      </c>
      <c r="E88" s="7" t="n">
        <v>15</v>
      </c>
      <c r="F88" s="7" t="n">
        <v>15</v>
      </c>
      <c r="G88" s="7" t="n">
        <v>7318</v>
      </c>
      <c r="H88" s="7" t="n">
        <v>7318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</row>
    <row r="89" ht="15.75" customHeight="1" s="57">
      <c r="A89" s="7" t="inlineStr">
        <is>
          <t>Thành phố Cam Ranh</t>
        </is>
      </c>
      <c r="B89" s="7" t="n">
        <v>410602</v>
      </c>
      <c r="C89" s="7" t="inlineStr">
        <is>
          <t>Phường Cam Linh</t>
        </is>
      </c>
      <c r="D89" s="7" t="inlineStr">
        <is>
          <t>A</t>
        </is>
      </c>
      <c r="E89" s="7" t="n">
        <v>15</v>
      </c>
      <c r="F89" s="7" t="n">
        <v>15</v>
      </c>
      <c r="G89" s="7" t="n">
        <v>3014</v>
      </c>
      <c r="H89" s="7" t="n">
        <v>3014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</row>
    <row r="90" ht="15.75" customHeight="1" s="57">
      <c r="A90" s="7" t="inlineStr">
        <is>
          <t>Thành phố Cam Ranh</t>
        </is>
      </c>
      <c r="B90" s="7" t="n">
        <v>410601</v>
      </c>
      <c r="C90" s="7" t="inlineStr">
        <is>
          <t>Phường Ba Ngòi</t>
        </is>
      </c>
      <c r="D90" s="7" t="inlineStr">
        <is>
          <t>A</t>
        </is>
      </c>
      <c r="E90" s="7" t="n">
        <v>15</v>
      </c>
      <c r="F90" s="7" t="n">
        <v>15</v>
      </c>
      <c r="G90" s="7" t="n">
        <v>2931</v>
      </c>
      <c r="H90" s="7" t="n">
        <v>2931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</row>
    <row r="91" ht="15.75" customHeight="1" s="57">
      <c r="A91" s="7" t="inlineStr">
        <is>
          <t>Huyện Diên Khánh</t>
        </is>
      </c>
      <c r="B91" s="7" t="n">
        <v>410416</v>
      </c>
      <c r="C91" s="7" t="inlineStr">
        <is>
          <t>Xã Diên Toàn</t>
        </is>
      </c>
      <c r="D91" s="7" t="inlineStr">
        <is>
          <t>A</t>
        </is>
      </c>
      <c r="E91" s="7" t="n">
        <v>15</v>
      </c>
      <c r="F91" s="7" t="n">
        <v>15</v>
      </c>
      <c r="G91" s="7" t="n">
        <v>1466</v>
      </c>
      <c r="H91" s="7" t="n">
        <v>1466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7" t="n">
        <v>0</v>
      </c>
      <c r="P91" s="7" t="n">
        <v>0</v>
      </c>
    </row>
    <row r="92" ht="15.75" customHeight="1" s="57">
      <c r="A92" s="7" t="inlineStr">
        <is>
          <t>Huyện Diên Khánh</t>
        </is>
      </c>
      <c r="B92" s="7" t="n">
        <v>410412</v>
      </c>
      <c r="C92" s="7" t="inlineStr">
        <is>
          <t>Xã Diên Sơn</t>
        </is>
      </c>
      <c r="D92" s="7" t="inlineStr">
        <is>
          <t>A</t>
        </is>
      </c>
      <c r="E92" s="7" t="n">
        <v>15</v>
      </c>
      <c r="F92" s="7" t="n">
        <v>15</v>
      </c>
      <c r="G92" s="7" t="n">
        <v>1776</v>
      </c>
      <c r="H92" s="7" t="n">
        <v>1776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</row>
    <row r="93" ht="15.75" customHeight="1" s="57">
      <c r="A93" s="7" t="inlineStr">
        <is>
          <t>Huyện Diên Khánh</t>
        </is>
      </c>
      <c r="B93" s="7" t="n">
        <v>410410</v>
      </c>
      <c r="C93" s="7" t="inlineStr">
        <is>
          <t>Xã Diên Phú</t>
        </is>
      </c>
      <c r="D93" s="7" t="inlineStr">
        <is>
          <t>A</t>
        </is>
      </c>
      <c r="E93" s="7" t="n">
        <v>15</v>
      </c>
      <c r="F93" s="7" t="n">
        <v>15</v>
      </c>
      <c r="G93" s="7" t="n">
        <v>2511</v>
      </c>
      <c r="H93" s="7" t="n">
        <v>2511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0</v>
      </c>
      <c r="O93" s="7" t="n">
        <v>0</v>
      </c>
      <c r="P93" s="7" t="n">
        <v>0</v>
      </c>
    </row>
    <row r="94" ht="15.75" customHeight="1" s="57">
      <c r="A94" s="7" t="inlineStr">
        <is>
          <t>Huyện Diên Khánh</t>
        </is>
      </c>
      <c r="B94" s="7" t="n">
        <v>410404</v>
      </c>
      <c r="C94" s="7" t="inlineStr">
        <is>
          <t>Xã Diên Điền</t>
        </is>
      </c>
      <c r="D94" s="7" t="inlineStr">
        <is>
          <t>A</t>
        </is>
      </c>
      <c r="E94" s="7" t="n">
        <v>15</v>
      </c>
      <c r="F94" s="7" t="n">
        <v>15</v>
      </c>
      <c r="G94" s="7" t="n">
        <v>1854</v>
      </c>
      <c r="H94" s="7" t="n">
        <v>1854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</row>
    <row r="95" ht="15.75" customHeight="1" s="57">
      <c r="A95" s="7" t="inlineStr">
        <is>
          <t>Thành phố Nha Trang</t>
        </is>
      </c>
      <c r="B95" s="7" t="n">
        <v>410122</v>
      </c>
      <c r="C95" s="7" t="inlineStr">
        <is>
          <t>Xã Vĩnh Lương</t>
        </is>
      </c>
      <c r="D95" s="7" t="inlineStr">
        <is>
          <t>B</t>
        </is>
      </c>
      <c r="E95" s="7" t="n">
        <v>15</v>
      </c>
      <c r="F95" s="7" t="n">
        <v>15</v>
      </c>
      <c r="G95" s="7" t="n">
        <v>1311</v>
      </c>
      <c r="H95" s="7" t="n">
        <v>1311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0</v>
      </c>
      <c r="O95" s="7" t="n">
        <v>0</v>
      </c>
      <c r="P95" s="7" t="n">
        <v>0</v>
      </c>
    </row>
    <row r="96" ht="15.75" customHeight="1" s="57">
      <c r="A96" s="7" t="inlineStr">
        <is>
          <t>Thành phố Nha Trang</t>
        </is>
      </c>
      <c r="B96" s="7" t="n">
        <v>410126</v>
      </c>
      <c r="C96" s="7" t="inlineStr">
        <is>
          <t>Xã Vĩnh Thạnh</t>
        </is>
      </c>
      <c r="D96" s="7" t="inlineStr">
        <is>
          <t>B</t>
        </is>
      </c>
      <c r="E96" s="7" t="n">
        <v>15</v>
      </c>
      <c r="F96" s="7" t="n">
        <v>15</v>
      </c>
      <c r="G96" s="7" t="n">
        <v>3698</v>
      </c>
      <c r="H96" s="7" t="n">
        <v>3698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n">
        <v>0</v>
      </c>
      <c r="O96" s="7" t="n">
        <v>0</v>
      </c>
      <c r="P96" s="7" t="n">
        <v>0</v>
      </c>
    </row>
    <row r="97" ht="15.75" customHeight="1" s="57">
      <c r="A97" s="7" t="inlineStr">
        <is>
          <t>Huyện Diên Khánh</t>
        </is>
      </c>
      <c r="B97" s="7" t="n">
        <v>410401</v>
      </c>
      <c r="C97" s="7" t="inlineStr">
        <is>
          <t>Thị trấn Diên Khánh</t>
        </is>
      </c>
      <c r="D97" s="7" t="inlineStr">
        <is>
          <t>A</t>
        </is>
      </c>
      <c r="E97" s="7" t="n">
        <v>15</v>
      </c>
      <c r="F97" s="7" t="n">
        <v>15</v>
      </c>
      <c r="G97" s="7" t="n">
        <v>5371</v>
      </c>
      <c r="H97" s="7" t="n">
        <v>5371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</row>
    <row r="98" ht="15.75" customHeight="1" s="57">
      <c r="A98" s="7" t="inlineStr">
        <is>
          <t>Thành phố Phan Rang – Tháp Chàm</t>
        </is>
      </c>
      <c r="B98" s="7" t="n">
        <v>450115</v>
      </c>
      <c r="C98" s="7" t="inlineStr">
        <is>
          <t>Phường Văn Hải</t>
        </is>
      </c>
      <c r="D98" s="7" t="inlineStr">
        <is>
          <t>A</t>
        </is>
      </c>
      <c r="E98" s="7" t="n">
        <v>15</v>
      </c>
      <c r="F98" s="7" t="n">
        <v>15</v>
      </c>
      <c r="G98" s="7" t="n">
        <v>2382</v>
      </c>
      <c r="H98" s="7" t="n">
        <v>2382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</row>
    <row r="99" ht="15.75" customHeight="1" s="57">
      <c r="A99" s="7" t="inlineStr">
        <is>
          <t>Thành phố Phan Rang – Tháp Chàm</t>
        </is>
      </c>
      <c r="B99" s="7" t="n">
        <v>450112</v>
      </c>
      <c r="C99" s="7" t="inlineStr">
        <is>
          <t>Phường Phước Mỹ</t>
        </is>
      </c>
      <c r="D99" s="7" t="inlineStr">
        <is>
          <t>A</t>
        </is>
      </c>
      <c r="E99" s="7" t="n">
        <v>15</v>
      </c>
      <c r="F99" s="7" t="n">
        <v>15</v>
      </c>
      <c r="G99" s="7" t="n">
        <v>3816</v>
      </c>
      <c r="H99" s="7" t="n">
        <v>3816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</row>
    <row r="100" ht="15.75" customHeight="1" s="57">
      <c r="A100" s="7" t="inlineStr">
        <is>
          <t>Thành phố Phan Rang – Tháp Chàm</t>
        </is>
      </c>
      <c r="B100" s="7" t="n">
        <v>450113</v>
      </c>
      <c r="C100" s="7" t="inlineStr">
        <is>
          <t>Phường Tấn Tài</t>
        </is>
      </c>
      <c r="D100" s="7" t="inlineStr">
        <is>
          <t>A</t>
        </is>
      </c>
      <c r="E100" s="7" t="n">
        <v>15</v>
      </c>
      <c r="F100" s="7" t="n">
        <v>15</v>
      </c>
      <c r="G100" s="7" t="n">
        <v>2610</v>
      </c>
      <c r="H100" s="7" t="n">
        <v>2610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</row>
    <row r="101" ht="15.75" customHeight="1" s="57">
      <c r="A101" s="7" t="inlineStr">
        <is>
          <t>Thành phố Phan Rang – Tháp Chàm</t>
        </is>
      </c>
      <c r="B101" s="7" t="n">
        <v>450114</v>
      </c>
      <c r="C101" s="7" t="inlineStr">
        <is>
          <t>Phường Thanh Sơn</t>
        </is>
      </c>
      <c r="D101" s="7" t="inlineStr">
        <is>
          <t>A</t>
        </is>
      </c>
      <c r="E101" s="7" t="n">
        <v>15</v>
      </c>
      <c r="F101" s="7" t="n">
        <v>15</v>
      </c>
      <c r="G101" s="7" t="n">
        <v>6186</v>
      </c>
      <c r="H101" s="7" t="n">
        <v>6186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0</v>
      </c>
      <c r="O101" s="7" t="n">
        <v>0</v>
      </c>
      <c r="P101" s="7" t="n">
        <v>0</v>
      </c>
    </row>
    <row r="102" ht="15.75" customHeight="1" s="57">
      <c r="A102" s="7" t="inlineStr">
        <is>
          <t>Thành phố Phan Rang – Tháp Chàm</t>
        </is>
      </c>
      <c r="B102" s="7" t="n">
        <v>450111</v>
      </c>
      <c r="C102" s="7" t="inlineStr">
        <is>
          <t>Phường Phủ Hà</t>
        </is>
      </c>
      <c r="D102" s="7" t="inlineStr">
        <is>
          <t>A</t>
        </is>
      </c>
      <c r="E102" s="7" t="n">
        <v>15</v>
      </c>
      <c r="F102" s="7" t="n">
        <v>15</v>
      </c>
      <c r="G102" s="7" t="n">
        <v>3478</v>
      </c>
      <c r="H102" s="7" t="n">
        <v>3478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</row>
    <row r="103" ht="15.75" customHeight="1" s="57">
      <c r="A103" s="7" t="inlineStr">
        <is>
          <t>Thành phố Phan Rang – Tháp Chàm</t>
        </is>
      </c>
      <c r="B103" s="7" t="n">
        <v>450108</v>
      </c>
      <c r="C103" s="7" t="inlineStr">
        <is>
          <t>Phường Mỹ Đông</t>
        </is>
      </c>
      <c r="D103" s="7" t="inlineStr">
        <is>
          <t>A</t>
        </is>
      </c>
      <c r="E103" s="7" t="n">
        <v>15</v>
      </c>
      <c r="F103" s="7" t="n">
        <v>15</v>
      </c>
      <c r="G103" s="7" t="n">
        <v>1864</v>
      </c>
      <c r="H103" s="7" t="n">
        <v>1864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0</v>
      </c>
      <c r="O103" s="7" t="n">
        <v>0</v>
      </c>
      <c r="P103" s="7" t="n">
        <v>0</v>
      </c>
    </row>
    <row r="104" ht="15.75" customHeight="1" s="57">
      <c r="A104" s="7" t="inlineStr">
        <is>
          <t>Thành phố Phan Rang – Tháp Chàm</t>
        </is>
      </c>
      <c r="B104" s="7" t="n">
        <v>450109</v>
      </c>
      <c r="C104" s="7" t="inlineStr">
        <is>
          <t>Phường Mỹ Hải</t>
        </is>
      </c>
      <c r="D104" s="7" t="inlineStr">
        <is>
          <t>A</t>
        </is>
      </c>
      <c r="E104" s="7" t="n">
        <v>15</v>
      </c>
      <c r="F104" s="7" t="n">
        <v>15</v>
      </c>
      <c r="G104" s="7" t="n">
        <v>1358</v>
      </c>
      <c r="H104" s="7" t="n">
        <v>1358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</row>
    <row r="105" ht="15.75" customHeight="1" s="57">
      <c r="A105" s="7" t="inlineStr">
        <is>
          <t>Thành phố Phan Rang – Tháp Chàm</t>
        </is>
      </c>
      <c r="B105" s="7" t="n">
        <v>450110</v>
      </c>
      <c r="C105" s="7" t="inlineStr">
        <is>
          <t>Phường Mỹ Hương</t>
        </is>
      </c>
      <c r="D105" s="7" t="inlineStr">
        <is>
          <t>A</t>
        </is>
      </c>
      <c r="E105" s="7" t="n">
        <v>15</v>
      </c>
      <c r="F105" s="7" t="n">
        <v>15</v>
      </c>
      <c r="G105" s="7" t="n">
        <v>695</v>
      </c>
      <c r="H105" s="7" t="n">
        <v>695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0</v>
      </c>
      <c r="O105" s="7" t="n">
        <v>0</v>
      </c>
      <c r="P105" s="7" t="n">
        <v>0</v>
      </c>
    </row>
    <row r="106" ht="15.75" customHeight="1" s="57">
      <c r="A106" s="7" t="inlineStr">
        <is>
          <t>Thành phố Phan Rang – Tháp Chàm</t>
        </is>
      </c>
      <c r="B106" s="7" t="n">
        <v>450106</v>
      </c>
      <c r="C106" s="7" t="inlineStr">
        <is>
          <t>Phường Kinh Dinh</t>
        </is>
      </c>
      <c r="D106" s="7" t="inlineStr">
        <is>
          <t>A</t>
        </is>
      </c>
      <c r="E106" s="7" t="n">
        <v>15</v>
      </c>
      <c r="F106" s="7" t="n">
        <v>15</v>
      </c>
      <c r="G106" s="7" t="n">
        <v>3344</v>
      </c>
      <c r="H106" s="7" t="n">
        <v>3344</v>
      </c>
      <c r="I106" s="7" t="n">
        <v>0</v>
      </c>
      <c r="J106" s="7" t="n">
        <v>0</v>
      </c>
      <c r="K106" s="7" t="n">
        <v>0</v>
      </c>
      <c r="L106" s="7" t="n">
        <v>0</v>
      </c>
      <c r="M106" s="7" t="n">
        <v>0</v>
      </c>
      <c r="N106" s="7" t="n">
        <v>0</v>
      </c>
      <c r="O106" s="7" t="n">
        <v>0</v>
      </c>
      <c r="P106" s="7" t="n">
        <v>0</v>
      </c>
    </row>
    <row r="107" ht="15.75" customHeight="1" s="57">
      <c r="A107" s="7" t="inlineStr">
        <is>
          <t>Thành phố Phan Rang – Tháp Chàm</t>
        </is>
      </c>
      <c r="B107" s="7" t="n">
        <v>450105</v>
      </c>
      <c r="C107" s="7" t="inlineStr">
        <is>
          <t>Phường Đông Hải</t>
        </is>
      </c>
      <c r="D107" s="7" t="inlineStr">
        <is>
          <t>A</t>
        </is>
      </c>
      <c r="E107" s="7" t="n">
        <v>15</v>
      </c>
      <c r="F107" s="7" t="n">
        <v>15</v>
      </c>
      <c r="G107" s="7" t="n">
        <v>1862</v>
      </c>
      <c r="H107" s="7" t="n">
        <v>1862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0</v>
      </c>
      <c r="O107" s="7" t="n">
        <v>0</v>
      </c>
      <c r="P107" s="7" t="n">
        <v>0</v>
      </c>
    </row>
    <row r="108" ht="15.75" customHeight="1" s="57">
      <c r="A108" s="7" t="inlineStr">
        <is>
          <t>Thành phố Phan Rang – Tháp Chàm</t>
        </is>
      </c>
      <c r="B108" s="7" t="n">
        <v>450104</v>
      </c>
      <c r="C108" s="7" t="inlineStr">
        <is>
          <t>Phường Đô Vinh</t>
        </is>
      </c>
      <c r="D108" s="7" t="inlineStr">
        <is>
          <t>A</t>
        </is>
      </c>
      <c r="E108" s="7" t="n">
        <v>15</v>
      </c>
      <c r="F108" s="7" t="n">
        <v>15</v>
      </c>
      <c r="G108" s="7" t="n">
        <v>2610</v>
      </c>
      <c r="H108" s="7" t="n">
        <v>2610</v>
      </c>
      <c r="I108" s="7" t="n">
        <v>0</v>
      </c>
      <c r="J108" s="7" t="n">
        <v>0</v>
      </c>
      <c r="K108" s="7" t="n">
        <v>0</v>
      </c>
      <c r="L108" s="7" t="n">
        <v>0</v>
      </c>
      <c r="M108" s="7" t="n">
        <v>0</v>
      </c>
      <c r="N108" s="7" t="n">
        <v>0</v>
      </c>
      <c r="O108" s="7" t="n">
        <v>0</v>
      </c>
      <c r="P108" s="7" t="n">
        <v>0</v>
      </c>
    </row>
    <row r="109" ht="15.75" customHeight="1" s="57">
      <c r="A109" s="7" t="inlineStr">
        <is>
          <t>Thành phố Phan Rang – Tháp Chàm</t>
        </is>
      </c>
      <c r="B109" s="7" t="n">
        <v>450107</v>
      </c>
      <c r="C109" s="7" t="inlineStr">
        <is>
          <t>Phường Mỹ Bình</t>
        </is>
      </c>
      <c r="D109" s="7" t="inlineStr">
        <is>
          <t>A</t>
        </is>
      </c>
      <c r="E109" s="7" t="n">
        <v>15</v>
      </c>
      <c r="F109" s="7" t="n">
        <v>15</v>
      </c>
      <c r="G109" s="7" t="n">
        <v>3429</v>
      </c>
      <c r="H109" s="7" t="n">
        <v>3429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0</v>
      </c>
      <c r="O109" s="7" t="n">
        <v>0</v>
      </c>
      <c r="P109" s="7" t="n">
        <v>0</v>
      </c>
    </row>
    <row r="110" ht="15.75" customHeight="1" s="57">
      <c r="A110" s="7" t="inlineStr">
        <is>
          <t>Thành phố Phan Rang – Tháp Chàm</t>
        </is>
      </c>
      <c r="B110" s="7" t="n">
        <v>450103</v>
      </c>
      <c r="C110" s="7" t="inlineStr">
        <is>
          <t>Phường Đạo Long</t>
        </is>
      </c>
      <c r="D110" s="7" t="inlineStr">
        <is>
          <t>A</t>
        </is>
      </c>
      <c r="E110" s="7" t="n">
        <v>15</v>
      </c>
      <c r="F110" s="7" t="n">
        <v>15</v>
      </c>
      <c r="G110" s="7" t="n">
        <v>1685</v>
      </c>
      <c r="H110" s="7" t="n">
        <v>1685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</row>
    <row r="111" ht="15.75" customHeight="1" s="57">
      <c r="A111" s="7" t="inlineStr">
        <is>
          <t>Huyện Di Linh</t>
        </is>
      </c>
      <c r="B111" s="7" t="n">
        <v>420401</v>
      </c>
      <c r="C111" s="7" t="inlineStr">
        <is>
          <t>Thị trấn Di Linh</t>
        </is>
      </c>
      <c r="D111" s="7" t="inlineStr">
        <is>
          <t>A</t>
        </is>
      </c>
      <c r="E111" s="7" t="n">
        <v>15</v>
      </c>
      <c r="F111" s="7" t="n">
        <v>15</v>
      </c>
      <c r="G111" s="7" t="n">
        <v>8663</v>
      </c>
      <c r="H111" s="7" t="n">
        <v>8663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0</v>
      </c>
      <c r="O111" s="7" t="n">
        <v>0</v>
      </c>
      <c r="P111" s="7" t="n">
        <v>0</v>
      </c>
    </row>
    <row r="112" ht="15.75" customHeight="1" s="57">
      <c r="A112" s="7" t="inlineStr">
        <is>
          <t>Thành phố Phan Rang – Tháp Chàm</t>
        </is>
      </c>
      <c r="B112" s="7" t="n">
        <v>450101</v>
      </c>
      <c r="C112" s="7" t="inlineStr">
        <is>
          <t>Phường Bảo An</t>
        </is>
      </c>
      <c r="D112" s="7" t="inlineStr">
        <is>
          <t>A</t>
        </is>
      </c>
      <c r="E112" s="7" t="n">
        <v>15</v>
      </c>
      <c r="F112" s="7" t="n">
        <v>15</v>
      </c>
      <c r="G112" s="7" t="n">
        <v>1730</v>
      </c>
      <c r="H112" s="7" t="n">
        <v>1730</v>
      </c>
      <c r="I112" s="7" t="n">
        <v>0</v>
      </c>
      <c r="J112" s="7" t="n">
        <v>0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0</v>
      </c>
    </row>
    <row r="113" ht="15.75" customHeight="1" s="57">
      <c r="A113" s="7" t="inlineStr">
        <is>
          <t>Thành phố Phan Rang – Tháp Chàm</t>
        </is>
      </c>
      <c r="B113" s="7" t="n">
        <v>450102</v>
      </c>
      <c r="C113" s="7" t="inlineStr">
        <is>
          <t>Phường Đài Sơn</t>
        </is>
      </c>
      <c r="D113" s="7" t="inlineStr">
        <is>
          <t>A</t>
        </is>
      </c>
      <c r="E113" s="7" t="n">
        <v>15</v>
      </c>
      <c r="F113" s="7" t="n">
        <v>15</v>
      </c>
      <c r="G113" s="7" t="n">
        <v>2820</v>
      </c>
      <c r="H113" s="7" t="n">
        <v>2820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0</v>
      </c>
      <c r="O113" s="7" t="n">
        <v>0</v>
      </c>
      <c r="P113" s="7" t="n">
        <v>0</v>
      </c>
    </row>
    <row r="114" ht="15.75" customHeight="1" s="57">
      <c r="A114" s="7" t="inlineStr">
        <is>
          <t>Huyện Đức Trọng</t>
        </is>
      </c>
      <c r="B114" s="7" t="n">
        <v>420311</v>
      </c>
      <c r="C114" s="7" t="inlineStr">
        <is>
          <t>Xã Phú Hội</t>
        </is>
      </c>
      <c r="D114" s="7" t="inlineStr">
        <is>
          <t>A</t>
        </is>
      </c>
      <c r="E114" s="7" t="n">
        <v>15</v>
      </c>
      <c r="F114" s="7" t="n">
        <v>15</v>
      </c>
      <c r="G114" s="7" t="n">
        <v>4225</v>
      </c>
      <c r="H114" s="7" t="n">
        <v>4225</v>
      </c>
      <c r="I114" s="7" t="n">
        <v>0</v>
      </c>
      <c r="J114" s="7" t="n">
        <v>0</v>
      </c>
      <c r="K114" s="7" t="n">
        <v>0</v>
      </c>
      <c r="L114" s="7" t="n">
        <v>0</v>
      </c>
      <c r="M114" s="7" t="n">
        <v>0</v>
      </c>
      <c r="N114" s="7" t="n">
        <v>0</v>
      </c>
      <c r="O114" s="7" t="n">
        <v>0</v>
      </c>
      <c r="P114" s="7" t="n">
        <v>0</v>
      </c>
    </row>
    <row r="115" ht="15.75" customHeight="1" s="57">
      <c r="A115" s="7" t="inlineStr">
        <is>
          <t>Huyện Di Linh</t>
        </is>
      </c>
      <c r="B115" s="7" t="n">
        <v>420411</v>
      </c>
      <c r="C115" s="7" t="inlineStr">
        <is>
          <t>Xã Hòa Ninh</t>
        </is>
      </c>
      <c r="D115" s="7" t="inlineStr">
        <is>
          <t>A</t>
        </is>
      </c>
      <c r="E115" s="7" t="n">
        <v>15</v>
      </c>
      <c r="F115" s="7" t="n">
        <v>15</v>
      </c>
      <c r="G115" s="7" t="n">
        <v>2427</v>
      </c>
      <c r="H115" s="7" t="n">
        <v>2427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0</v>
      </c>
      <c r="O115" s="7" t="n">
        <v>0</v>
      </c>
      <c r="P115" s="7" t="n">
        <v>0</v>
      </c>
    </row>
    <row r="116" ht="15.75" customHeight="1" s="57">
      <c r="A116" s="7" t="inlineStr">
        <is>
          <t>Huyện Di Linh</t>
        </is>
      </c>
      <c r="B116" s="7" t="n">
        <v>420413</v>
      </c>
      <c r="C116" s="7" t="inlineStr">
        <is>
          <t>Xã Liên Đầm</t>
        </is>
      </c>
      <c r="D116" s="7" t="inlineStr">
        <is>
          <t>A</t>
        </is>
      </c>
      <c r="E116" s="7" t="n">
        <v>15</v>
      </c>
      <c r="F116" s="7" t="n">
        <v>15</v>
      </c>
      <c r="G116" s="7" t="n">
        <v>1618</v>
      </c>
      <c r="H116" s="7" t="n">
        <v>1618</v>
      </c>
      <c r="I116" s="7" t="n">
        <v>0</v>
      </c>
      <c r="J116" s="7" t="n">
        <v>0</v>
      </c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0</v>
      </c>
      <c r="P116" s="7" t="n">
        <v>0</v>
      </c>
    </row>
    <row r="117" ht="15.75" customHeight="1" s="57">
      <c r="A117" s="7" t="inlineStr">
        <is>
          <t>Huyện Đức Trọng</t>
        </is>
      </c>
      <c r="B117" s="7" t="n">
        <v>420314</v>
      </c>
      <c r="C117" s="7" t="inlineStr">
        <is>
          <t>Xã Tân Hội</t>
        </is>
      </c>
      <c r="D117" s="7" t="inlineStr">
        <is>
          <t>A</t>
        </is>
      </c>
      <c r="E117" s="7" t="n">
        <v>15</v>
      </c>
      <c r="F117" s="7" t="n">
        <v>15</v>
      </c>
      <c r="G117" s="7" t="n">
        <v>2324</v>
      </c>
      <c r="H117" s="7" t="n">
        <v>2324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0</v>
      </c>
      <c r="O117" s="7" t="n">
        <v>0</v>
      </c>
      <c r="P117" s="7" t="n">
        <v>0</v>
      </c>
    </row>
    <row r="118" ht="15.75" customHeight="1" s="57">
      <c r="A118" s="7" t="inlineStr">
        <is>
          <t>Huyện Di Linh</t>
        </is>
      </c>
      <c r="B118" s="7" t="n">
        <v>420404</v>
      </c>
      <c r="C118" s="7" t="inlineStr">
        <is>
          <t>Xã Đinh Trang Hòa</t>
        </is>
      </c>
      <c r="D118" s="7" t="inlineStr">
        <is>
          <t>A</t>
        </is>
      </c>
      <c r="E118" s="7" t="n">
        <v>15</v>
      </c>
      <c r="F118" s="7" t="n">
        <v>15</v>
      </c>
      <c r="G118" s="7" t="n">
        <v>1853</v>
      </c>
      <c r="H118" s="7" t="n">
        <v>1853</v>
      </c>
      <c r="I118" s="7" t="n">
        <v>0</v>
      </c>
      <c r="J118" s="7" t="n">
        <v>0</v>
      </c>
      <c r="K118" s="7" t="n">
        <v>0</v>
      </c>
      <c r="L118" s="7" t="n">
        <v>0</v>
      </c>
      <c r="M118" s="7" t="n">
        <v>0</v>
      </c>
      <c r="N118" s="7" t="n">
        <v>0</v>
      </c>
      <c r="O118" s="7" t="n">
        <v>0</v>
      </c>
      <c r="P118" s="7" t="n">
        <v>0</v>
      </c>
    </row>
    <row r="119" ht="15.75" customHeight="1" s="57">
      <c r="A119" s="7" t="inlineStr">
        <is>
          <t>Huyện Lạc Dương</t>
        </is>
      </c>
      <c r="B119" s="7" t="n">
        <v>420601</v>
      </c>
      <c r="C119" s="7" t="inlineStr">
        <is>
          <t>Thị trấn Lạc Dương</t>
        </is>
      </c>
      <c r="D119" s="7" t="inlineStr">
        <is>
          <t>A</t>
        </is>
      </c>
      <c r="E119" s="7" t="n">
        <v>15</v>
      </c>
      <c r="F119" s="7" t="n">
        <v>15</v>
      </c>
      <c r="G119" s="7" t="n">
        <v>3804</v>
      </c>
      <c r="H119" s="7" t="n">
        <v>3804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0</v>
      </c>
      <c r="O119" s="7" t="n">
        <v>0</v>
      </c>
      <c r="P119" s="7" t="n">
        <v>0</v>
      </c>
    </row>
    <row r="120" ht="15.75" customHeight="1" s="57">
      <c r="A120" s="7" t="inlineStr">
        <is>
          <t>Thành phố Bảo Lộc</t>
        </is>
      </c>
      <c r="B120" s="7" t="n">
        <v>420207</v>
      </c>
      <c r="C120" s="7" t="inlineStr">
        <is>
          <t>Xã Đại Lào</t>
        </is>
      </c>
      <c r="D120" s="7" t="inlineStr">
        <is>
          <t>A</t>
        </is>
      </c>
      <c r="E120" s="7" t="n">
        <v>15</v>
      </c>
      <c r="F120" s="7" t="n">
        <v>15</v>
      </c>
      <c r="G120" s="7" t="n">
        <v>1946</v>
      </c>
      <c r="H120" s="7" t="n">
        <v>1946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0</v>
      </c>
    </row>
    <row r="121" ht="15.75" customHeight="1" s="57">
      <c r="A121" s="7" t="inlineStr">
        <is>
          <t>Thành phố Bảo Lộc</t>
        </is>
      </c>
      <c r="B121" s="7" t="n">
        <v>420208</v>
      </c>
      <c r="C121" s="7" t="inlineStr">
        <is>
          <t>Xã Đạm Bri</t>
        </is>
      </c>
      <c r="D121" s="7" t="inlineStr">
        <is>
          <t>A</t>
        </is>
      </c>
      <c r="E121" s="7" t="n">
        <v>15</v>
      </c>
      <c r="F121" s="7" t="n">
        <v>15</v>
      </c>
      <c r="G121" s="7" t="n">
        <v>2540</v>
      </c>
      <c r="H121" s="7" t="n">
        <v>2540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0</v>
      </c>
      <c r="O121" s="7" t="n">
        <v>0</v>
      </c>
      <c r="P121" s="7" t="n">
        <v>0</v>
      </c>
    </row>
    <row r="122" ht="15.75" customHeight="1" s="57">
      <c r="A122" s="7" t="inlineStr">
        <is>
          <t>Thành phố Bảo Lộc</t>
        </is>
      </c>
      <c r="B122" s="7" t="n">
        <v>420209</v>
      </c>
      <c r="C122" s="7" t="inlineStr">
        <is>
          <t>Xã Lộc Châu</t>
        </is>
      </c>
      <c r="D122" s="7" t="inlineStr">
        <is>
          <t>A</t>
        </is>
      </c>
      <c r="E122" s="7" t="n">
        <v>15</v>
      </c>
      <c r="F122" s="7" t="n">
        <v>15</v>
      </c>
      <c r="G122" s="7" t="n">
        <v>4711</v>
      </c>
      <c r="H122" s="7" t="n">
        <v>4711</v>
      </c>
      <c r="I122" s="7" t="n">
        <v>0</v>
      </c>
      <c r="J122" s="7" t="n">
        <v>0</v>
      </c>
      <c r="K122" s="7" t="n">
        <v>0</v>
      </c>
      <c r="L122" s="7" t="n">
        <v>0</v>
      </c>
      <c r="M122" s="7" t="n">
        <v>0</v>
      </c>
      <c r="N122" s="7" t="n">
        <v>0</v>
      </c>
      <c r="O122" s="7" t="n">
        <v>0</v>
      </c>
      <c r="P122" s="7" t="n">
        <v>0</v>
      </c>
    </row>
    <row r="123" ht="15.75" customHeight="1" s="57">
      <c r="A123" s="7" t="inlineStr">
        <is>
          <t>Thành phố Bảo Lộc</t>
        </is>
      </c>
      <c r="B123" s="7" t="n">
        <v>420210</v>
      </c>
      <c r="C123" s="7" t="inlineStr">
        <is>
          <t>Xã Lộc Nga</t>
        </is>
      </c>
      <c r="D123" s="7" t="inlineStr">
        <is>
          <t>A</t>
        </is>
      </c>
      <c r="E123" s="7" t="n">
        <v>15</v>
      </c>
      <c r="F123" s="7" t="n">
        <v>15</v>
      </c>
      <c r="G123" s="7" t="n">
        <v>2344</v>
      </c>
      <c r="H123" s="7" t="n">
        <v>2344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0</v>
      </c>
      <c r="O123" s="7" t="n">
        <v>0</v>
      </c>
      <c r="P123" s="7" t="n">
        <v>0</v>
      </c>
    </row>
    <row r="124" ht="15.75" customHeight="1" s="57">
      <c r="A124" s="7" t="inlineStr">
        <is>
          <t>Thành phố Bảo Lộc</t>
        </is>
      </c>
      <c r="B124" s="7" t="n">
        <v>420211</v>
      </c>
      <c r="C124" s="7" t="inlineStr">
        <is>
          <t>Xã Lộc Thanh</t>
        </is>
      </c>
      <c r="D124" s="7" t="inlineStr">
        <is>
          <t>A</t>
        </is>
      </c>
      <c r="E124" s="7" t="n">
        <v>15</v>
      </c>
      <c r="F124" s="7" t="n">
        <v>15</v>
      </c>
      <c r="G124" s="7" t="n">
        <v>2964</v>
      </c>
      <c r="H124" s="7" t="n">
        <v>2964</v>
      </c>
      <c r="I124" s="7" t="n">
        <v>0</v>
      </c>
      <c r="J124" s="7" t="n">
        <v>0</v>
      </c>
      <c r="K124" s="7" t="n">
        <v>0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0</v>
      </c>
    </row>
    <row r="125" ht="15.75" customHeight="1" s="57">
      <c r="A125" s="7" t="inlineStr">
        <is>
          <t>Huyện Đức Trọng</t>
        </is>
      </c>
      <c r="B125" s="7" t="n">
        <v>420301</v>
      </c>
      <c r="C125" s="7" t="inlineStr">
        <is>
          <t>Thị trấn Liên Nghĩa</t>
        </is>
      </c>
      <c r="D125" s="7" t="inlineStr">
        <is>
          <t>A</t>
        </is>
      </c>
      <c r="E125" s="7" t="n">
        <v>15</v>
      </c>
      <c r="F125" s="7" t="n">
        <v>15</v>
      </c>
      <c r="G125" s="7" t="n">
        <v>17020</v>
      </c>
      <c r="H125" s="7" t="n">
        <v>17020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0</v>
      </c>
      <c r="O125" s="7" t="n">
        <v>0</v>
      </c>
      <c r="P125" s="7" t="n">
        <v>0</v>
      </c>
    </row>
    <row r="126" ht="15.75" customHeight="1" s="57">
      <c r="A126" s="7" t="inlineStr">
        <is>
          <t>Huyện Đức Trọng</t>
        </is>
      </c>
      <c r="B126" s="7" t="n">
        <v>420305</v>
      </c>
      <c r="C126" s="7" t="inlineStr">
        <is>
          <t>Xã Hiệp An</t>
        </is>
      </c>
      <c r="D126" s="7" t="inlineStr">
        <is>
          <t>A</t>
        </is>
      </c>
      <c r="E126" s="7" t="n">
        <v>15</v>
      </c>
      <c r="F126" s="7" t="n">
        <v>15</v>
      </c>
      <c r="G126" s="7" t="n">
        <v>2196</v>
      </c>
      <c r="H126" s="7" t="n">
        <v>2196</v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>
        <v>0</v>
      </c>
      <c r="O126" s="7" t="n">
        <v>0</v>
      </c>
      <c r="P126" s="7" t="n">
        <v>0</v>
      </c>
    </row>
    <row r="127" ht="15.75" customHeight="1" s="57">
      <c r="A127" s="7" t="inlineStr">
        <is>
          <t>Huyện Đức Trọng</t>
        </is>
      </c>
      <c r="B127" s="7" t="n">
        <v>420306</v>
      </c>
      <c r="C127" s="7" t="inlineStr">
        <is>
          <t>Xã Hiệp Thạnh</t>
        </is>
      </c>
      <c r="D127" s="7" t="inlineStr">
        <is>
          <t>A</t>
        </is>
      </c>
      <c r="E127" s="7" t="n">
        <v>15</v>
      </c>
      <c r="F127" s="7" t="n">
        <v>15</v>
      </c>
      <c r="G127" s="7" t="n">
        <v>4982</v>
      </c>
      <c r="H127" s="7" t="n">
        <v>4982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0</v>
      </c>
      <c r="O127" s="7" t="n">
        <v>0</v>
      </c>
      <c r="P127" s="7" t="n">
        <v>0</v>
      </c>
    </row>
    <row r="128" ht="15.75" customHeight="1" s="57">
      <c r="A128" s="7" t="inlineStr">
        <is>
          <t>Huyện Đức Trọng</t>
        </is>
      </c>
      <c r="B128" s="7" t="n">
        <v>420307</v>
      </c>
      <c r="C128" s="7" t="inlineStr">
        <is>
          <t>Xã Liên Hiệp</t>
        </is>
      </c>
      <c r="D128" s="7" t="inlineStr">
        <is>
          <t>A</t>
        </is>
      </c>
      <c r="E128" s="7" t="n">
        <v>15</v>
      </c>
      <c r="F128" s="7" t="n">
        <v>15</v>
      </c>
      <c r="G128" s="7" t="n">
        <v>2353</v>
      </c>
      <c r="H128" s="7" t="n">
        <v>2353</v>
      </c>
      <c r="I128" s="7" t="n">
        <v>0</v>
      </c>
      <c r="J128" s="7" t="n">
        <v>0</v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0</v>
      </c>
    </row>
    <row r="129" ht="15.75" customHeight="1" s="57">
      <c r="A129" s="7" t="inlineStr">
        <is>
          <t>Huyện Đức Trọng</t>
        </is>
      </c>
      <c r="B129" s="7" t="n">
        <v>420310</v>
      </c>
      <c r="C129" s="7" t="inlineStr">
        <is>
          <t>Xã N'Thol Hạ</t>
        </is>
      </c>
      <c r="D129" s="7" t="inlineStr">
        <is>
          <t>A</t>
        </is>
      </c>
      <c r="E129" s="7" t="n">
        <v>15</v>
      </c>
      <c r="F129" s="7" t="n">
        <v>15</v>
      </c>
      <c r="G129" s="7" t="n">
        <v>934</v>
      </c>
      <c r="H129" s="7" t="n">
        <v>934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0</v>
      </c>
      <c r="O129" s="7" t="n">
        <v>0</v>
      </c>
      <c r="P129" s="7" t="n">
        <v>0</v>
      </c>
    </row>
    <row r="130" ht="15.75" customHeight="1" s="57">
      <c r="A130" s="7" t="inlineStr">
        <is>
          <t>Thành phố Đà Lạt</t>
        </is>
      </c>
      <c r="B130" s="7" t="n">
        <v>420111</v>
      </c>
      <c r="C130" s="7" t="inlineStr">
        <is>
          <t>Phường 8</t>
        </is>
      </c>
      <c r="D130" s="7" t="inlineStr">
        <is>
          <t>A</t>
        </is>
      </c>
      <c r="E130" s="7" t="n">
        <v>15</v>
      </c>
      <c r="F130" s="7" t="n">
        <v>15</v>
      </c>
      <c r="G130" s="7" t="n">
        <v>15608</v>
      </c>
      <c r="H130" s="7" t="n">
        <v>15608</v>
      </c>
      <c r="I130" s="7" t="n">
        <v>0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0</v>
      </c>
      <c r="O130" s="7" t="n">
        <v>0</v>
      </c>
      <c r="P130" s="7" t="n">
        <v>0</v>
      </c>
    </row>
    <row r="131" ht="15.75" customHeight="1" s="57">
      <c r="A131" s="7" t="inlineStr">
        <is>
          <t>Thành phố Đà Lạt</t>
        </is>
      </c>
      <c r="B131" s="7" t="n">
        <v>420110</v>
      </c>
      <c r="C131" s="7" t="inlineStr">
        <is>
          <t>Phường 7</t>
        </is>
      </c>
      <c r="D131" s="7" t="inlineStr">
        <is>
          <t>A</t>
        </is>
      </c>
      <c r="E131" s="7" t="n">
        <v>15</v>
      </c>
      <c r="F131" s="7" t="n">
        <v>15</v>
      </c>
      <c r="G131" s="7" t="n">
        <v>8652</v>
      </c>
      <c r="H131" s="7" t="n">
        <v>8652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0</v>
      </c>
      <c r="O131" s="7" t="n">
        <v>0</v>
      </c>
      <c r="P131" s="7" t="n">
        <v>0</v>
      </c>
    </row>
    <row r="132" ht="15.75" customHeight="1" s="57">
      <c r="A132" s="7" t="inlineStr">
        <is>
          <t>Thành phố Đà Lạt</t>
        </is>
      </c>
      <c r="B132" s="7" t="n">
        <v>420109</v>
      </c>
      <c r="C132" s="7" t="inlineStr">
        <is>
          <t>Phường 6</t>
        </is>
      </c>
      <c r="D132" s="7" t="inlineStr">
        <is>
          <t>A</t>
        </is>
      </c>
      <c r="E132" s="7" t="n">
        <v>15</v>
      </c>
      <c r="F132" s="7" t="n">
        <v>15</v>
      </c>
      <c r="G132" s="7" t="n">
        <v>10227</v>
      </c>
      <c r="H132" s="7" t="n">
        <v>10227</v>
      </c>
      <c r="I132" s="7" t="n">
        <v>0</v>
      </c>
      <c r="J132" s="7" t="n">
        <v>0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</v>
      </c>
      <c r="P132" s="7" t="n">
        <v>0</v>
      </c>
    </row>
    <row r="133" ht="15.75" customHeight="1" s="57">
      <c r="A133" s="7" t="inlineStr">
        <is>
          <t>Thành phố Đà Lạt</t>
        </is>
      </c>
      <c r="B133" s="7" t="n">
        <v>420108</v>
      </c>
      <c r="C133" s="7" t="inlineStr">
        <is>
          <t>Phường 5</t>
        </is>
      </c>
      <c r="D133" s="7" t="inlineStr">
        <is>
          <t>A</t>
        </is>
      </c>
      <c r="E133" s="7" t="n">
        <v>15</v>
      </c>
      <c r="F133" s="7" t="n">
        <v>15</v>
      </c>
      <c r="G133" s="7" t="n">
        <v>7717</v>
      </c>
      <c r="H133" s="7" t="n">
        <v>7717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0</v>
      </c>
      <c r="O133" s="7" t="n">
        <v>0</v>
      </c>
      <c r="P133" s="7" t="n">
        <v>0</v>
      </c>
    </row>
    <row r="134" ht="15.75" customHeight="1" s="57">
      <c r="A134" s="7" t="inlineStr">
        <is>
          <t>Thành phố Đà Lạt</t>
        </is>
      </c>
      <c r="B134" s="7" t="n">
        <v>420105</v>
      </c>
      <c r="C134" s="7" t="inlineStr">
        <is>
          <t>Phường 2</t>
        </is>
      </c>
      <c r="D134" s="7" t="inlineStr">
        <is>
          <t>A</t>
        </is>
      </c>
      <c r="E134" s="7" t="n">
        <v>15</v>
      </c>
      <c r="F134" s="7" t="n">
        <v>15</v>
      </c>
      <c r="G134" s="7" t="n">
        <v>11836</v>
      </c>
      <c r="H134" s="7" t="n">
        <v>11836</v>
      </c>
      <c r="I134" s="7" t="n">
        <v>0</v>
      </c>
      <c r="J134" s="7" t="n">
        <v>0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</v>
      </c>
      <c r="P134" s="7" t="n">
        <v>0</v>
      </c>
    </row>
    <row r="135" ht="15.75" customHeight="1" s="57">
      <c r="A135" s="7" t="inlineStr">
        <is>
          <t>Huyện Cam Lâm</t>
        </is>
      </c>
      <c r="B135" s="7" t="n">
        <v>410901</v>
      </c>
      <c r="C135" s="7" t="inlineStr">
        <is>
          <t>Thị trấn Cam Đức</t>
        </is>
      </c>
      <c r="D135" s="7" t="inlineStr">
        <is>
          <t>A</t>
        </is>
      </c>
      <c r="E135" s="7" t="n">
        <v>15</v>
      </c>
      <c r="F135" s="7" t="n">
        <v>15</v>
      </c>
      <c r="G135" s="7" t="n">
        <v>5179</v>
      </c>
      <c r="H135" s="7" t="n">
        <v>5179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0</v>
      </c>
      <c r="O135" s="7" t="n">
        <v>0</v>
      </c>
      <c r="P135" s="7" t="n">
        <v>0</v>
      </c>
    </row>
    <row r="136" ht="15.75" customHeight="1" s="57">
      <c r="A136" s="7" t="inlineStr">
        <is>
          <t>Thành phố Cam Ranh</t>
        </is>
      </c>
      <c r="B136" s="7" t="n">
        <v>410613</v>
      </c>
      <c r="C136" s="7" t="inlineStr">
        <is>
          <t>Xã Cam Thành Nam</t>
        </is>
      </c>
      <c r="D136" s="7" t="inlineStr">
        <is>
          <t>A</t>
        </is>
      </c>
      <c r="E136" s="7" t="n">
        <v>15</v>
      </c>
      <c r="F136" s="7" t="n">
        <v>15</v>
      </c>
      <c r="G136" s="7" t="n">
        <v>760</v>
      </c>
      <c r="H136" s="7" t="n">
        <v>760</v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</v>
      </c>
      <c r="P136" s="7" t="n">
        <v>0</v>
      </c>
    </row>
    <row r="137" ht="15.75" customHeight="1" s="57">
      <c r="A137" s="7" t="inlineStr">
        <is>
          <t>Thành phố Đà Lạt</t>
        </is>
      </c>
      <c r="B137" s="7" t="n">
        <v>420101</v>
      </c>
      <c r="C137" s="7" t="inlineStr">
        <is>
          <t>Phường 1</t>
        </is>
      </c>
      <c r="D137" s="7" t="inlineStr">
        <is>
          <t>A</t>
        </is>
      </c>
      <c r="E137" s="7" t="n">
        <v>15</v>
      </c>
      <c r="F137" s="7" t="n">
        <v>15</v>
      </c>
      <c r="G137" s="7" t="n">
        <v>5740</v>
      </c>
      <c r="H137" s="7" t="n">
        <v>5740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0</v>
      </c>
      <c r="O137" s="7" t="n">
        <v>0</v>
      </c>
      <c r="P137" s="7" t="n">
        <v>0</v>
      </c>
    </row>
    <row r="138" ht="15.75" customHeight="1" s="57">
      <c r="A138" s="7" t="inlineStr">
        <is>
          <t>Thành phố Cam Ranh</t>
        </is>
      </c>
      <c r="B138" s="7" t="n">
        <v>410612</v>
      </c>
      <c r="C138" s="7" t="inlineStr">
        <is>
          <t>Xã Cam Phước Đông</t>
        </is>
      </c>
      <c r="D138" s="7" t="inlineStr">
        <is>
          <t>A</t>
        </is>
      </c>
      <c r="E138" s="7" t="n">
        <v>15</v>
      </c>
      <c r="F138" s="7" t="n">
        <v>15</v>
      </c>
      <c r="G138" s="7" t="n">
        <v>1697</v>
      </c>
      <c r="H138" s="7" t="n">
        <v>1697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</row>
    <row r="139" ht="15.75" customHeight="1" s="57">
      <c r="A139" s="7" t="inlineStr">
        <is>
          <t>Huyện Cam Lâm</t>
        </is>
      </c>
      <c r="B139" s="7" t="n">
        <v>410911</v>
      </c>
      <c r="C139" s="7" t="inlineStr">
        <is>
          <t>Xã Cam Thành Bắc</t>
        </is>
      </c>
      <c r="D139" s="7" t="inlineStr">
        <is>
          <t>A</t>
        </is>
      </c>
      <c r="E139" s="7" t="n">
        <v>15</v>
      </c>
      <c r="F139" s="7" t="n">
        <v>15</v>
      </c>
      <c r="G139" s="7" t="n">
        <v>2130</v>
      </c>
      <c r="H139" s="7" t="n">
        <v>2130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0</v>
      </c>
      <c r="O139" s="7" t="n">
        <v>0</v>
      </c>
      <c r="P139" s="7" t="n">
        <v>0</v>
      </c>
    </row>
    <row r="140" ht="15.75" customHeight="1" s="57">
      <c r="A140" s="7" t="inlineStr">
        <is>
          <t>Thành phố Bảo Lộc</t>
        </is>
      </c>
      <c r="B140" s="7" t="n">
        <v>420206</v>
      </c>
      <c r="C140" s="7" t="inlineStr">
        <is>
          <t>Phường Lộc Tiến</t>
        </is>
      </c>
      <c r="D140" s="7" t="inlineStr">
        <is>
          <t>A</t>
        </is>
      </c>
      <c r="E140" s="7" t="n">
        <v>15</v>
      </c>
      <c r="F140" s="7" t="n">
        <v>15</v>
      </c>
      <c r="G140" s="7" t="n">
        <v>4504</v>
      </c>
      <c r="H140" s="7" t="n">
        <v>4504</v>
      </c>
      <c r="I140" s="7" t="n">
        <v>0</v>
      </c>
      <c r="J140" s="7" t="n">
        <v>0</v>
      </c>
      <c r="K140" s="7" t="n">
        <v>0</v>
      </c>
      <c r="L140" s="7" t="n">
        <v>0</v>
      </c>
      <c r="M140" s="7" t="n">
        <v>0</v>
      </c>
      <c r="N140" s="7" t="n">
        <v>0</v>
      </c>
      <c r="O140" s="7" t="n">
        <v>0</v>
      </c>
      <c r="P140" s="7" t="n">
        <v>0</v>
      </c>
    </row>
    <row r="141" ht="15.75" customHeight="1" s="57">
      <c r="A141" s="7" t="inlineStr">
        <is>
          <t>Thành phố Bảo Lộc</t>
        </is>
      </c>
      <c r="B141" s="7" t="n">
        <v>420205</v>
      </c>
      <c r="C141" s="7" t="inlineStr">
        <is>
          <t>Phường Lộc Sơn</t>
        </is>
      </c>
      <c r="D141" s="7" t="inlineStr">
        <is>
          <t>A</t>
        </is>
      </c>
      <c r="E141" s="7" t="n">
        <v>15</v>
      </c>
      <c r="F141" s="7" t="n">
        <v>15</v>
      </c>
      <c r="G141" s="7" t="n">
        <v>6967</v>
      </c>
      <c r="H141" s="7" t="n">
        <v>6967</v>
      </c>
      <c r="I141" s="7" t="n">
        <v>0</v>
      </c>
      <c r="J141" s="7" t="n">
        <v>0</v>
      </c>
      <c r="K141" s="7" t="n">
        <v>0</v>
      </c>
      <c r="L141" s="7" t="n">
        <v>0</v>
      </c>
      <c r="M141" s="7" t="n">
        <v>0</v>
      </c>
      <c r="N141" s="7" t="n">
        <v>0</v>
      </c>
      <c r="O141" s="7" t="n">
        <v>0</v>
      </c>
      <c r="P141" s="7" t="n">
        <v>0</v>
      </c>
    </row>
    <row r="142" ht="15.75" customHeight="1" s="57">
      <c r="A142" s="7" t="inlineStr">
        <is>
          <t>Thành phố Bảo Lộc</t>
        </is>
      </c>
      <c r="B142" s="7" t="n">
        <v>420204</v>
      </c>
      <c r="C142" s="7" t="inlineStr">
        <is>
          <t>Phường Lộc Phát</t>
        </is>
      </c>
      <c r="D142" s="7" t="inlineStr">
        <is>
          <t>A</t>
        </is>
      </c>
      <c r="E142" s="7" t="n">
        <v>15</v>
      </c>
      <c r="F142" s="7" t="n">
        <v>15</v>
      </c>
      <c r="G142" s="7" t="n">
        <v>6465</v>
      </c>
      <c r="H142" s="7" t="n">
        <v>6465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0</v>
      </c>
      <c r="N142" s="7" t="n">
        <v>0</v>
      </c>
      <c r="O142" s="7" t="n">
        <v>0</v>
      </c>
      <c r="P142" s="7" t="n">
        <v>0</v>
      </c>
    </row>
    <row r="143" ht="15.75" customHeight="1" s="57">
      <c r="A143" s="7" t="inlineStr">
        <is>
          <t>Thành phố Bảo Lộc</t>
        </is>
      </c>
      <c r="B143" s="7" t="n">
        <v>420203</v>
      </c>
      <c r="C143" s="7" t="inlineStr">
        <is>
          <t>Phường B'lao</t>
        </is>
      </c>
      <c r="D143" s="7" t="inlineStr">
        <is>
          <t>A</t>
        </is>
      </c>
      <c r="E143" s="7" t="n">
        <v>15</v>
      </c>
      <c r="F143" s="7" t="n">
        <v>15</v>
      </c>
      <c r="G143" s="7" t="n">
        <v>3987</v>
      </c>
      <c r="H143" s="7" t="n">
        <v>3987</v>
      </c>
      <c r="I143" s="7" t="n">
        <v>0</v>
      </c>
      <c r="J143" s="7" t="n">
        <v>0</v>
      </c>
      <c r="K143" s="7" t="n">
        <v>0</v>
      </c>
      <c r="L143" s="7" t="n">
        <v>0</v>
      </c>
      <c r="M143" s="7" t="n">
        <v>0</v>
      </c>
      <c r="N143" s="7" t="n">
        <v>0</v>
      </c>
      <c r="O143" s="7" t="n">
        <v>0</v>
      </c>
      <c r="P143" s="7" t="n">
        <v>0</v>
      </c>
    </row>
    <row r="144" ht="15.75" customHeight="1" s="57">
      <c r="A144" s="7" t="inlineStr">
        <is>
          <t>Thành phố Bảo Lộc</t>
        </is>
      </c>
      <c r="B144" s="7" t="n">
        <v>420202</v>
      </c>
      <c r="C144" s="7" t="inlineStr">
        <is>
          <t>Phường 2</t>
        </is>
      </c>
      <c r="D144" s="7" t="inlineStr">
        <is>
          <t>A</t>
        </is>
      </c>
      <c r="E144" s="7" t="n">
        <v>15</v>
      </c>
      <c r="F144" s="7" t="n">
        <v>15</v>
      </c>
      <c r="G144" s="7" t="n">
        <v>9205</v>
      </c>
      <c r="H144" s="7" t="n">
        <v>9205</v>
      </c>
      <c r="I144" s="7" t="n">
        <v>0</v>
      </c>
      <c r="J144" s="7" t="n">
        <v>0</v>
      </c>
      <c r="K144" s="7" t="n">
        <v>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</v>
      </c>
    </row>
    <row r="145" ht="15.75" customHeight="1" s="57">
      <c r="A145" s="7" t="inlineStr">
        <is>
          <t>Thành phố Bảo Lộc</t>
        </is>
      </c>
      <c r="B145" s="7" t="n">
        <v>420201</v>
      </c>
      <c r="C145" s="7" t="inlineStr">
        <is>
          <t>Phường 1</t>
        </is>
      </c>
      <c r="D145" s="7" t="inlineStr">
        <is>
          <t>A</t>
        </is>
      </c>
      <c r="E145" s="7" t="n">
        <v>15</v>
      </c>
      <c r="F145" s="7" t="n">
        <v>15</v>
      </c>
      <c r="G145" s="7" t="n">
        <v>8845</v>
      </c>
      <c r="H145" s="7" t="n">
        <v>8845</v>
      </c>
      <c r="I145" s="7" t="n">
        <v>0</v>
      </c>
      <c r="J145" s="7" t="n">
        <v>0</v>
      </c>
      <c r="K145" s="7" t="n">
        <v>0</v>
      </c>
      <c r="L145" s="7" t="n">
        <v>0</v>
      </c>
      <c r="M145" s="7" t="n">
        <v>0</v>
      </c>
      <c r="N145" s="7" t="n">
        <v>0</v>
      </c>
      <c r="O145" s="7" t="n">
        <v>0</v>
      </c>
      <c r="P145" s="7" t="n">
        <v>0</v>
      </c>
    </row>
    <row r="146" ht="15.75" customHeight="1" s="57">
      <c r="A146" s="7" t="inlineStr">
        <is>
          <t>Thị xã La Gi</t>
        </is>
      </c>
      <c r="B146" s="7" t="n">
        <v>471005</v>
      </c>
      <c r="C146" s="7" t="inlineStr">
        <is>
          <t>Phường Tân Thiện</t>
        </is>
      </c>
      <c r="D146" s="7" t="inlineStr">
        <is>
          <t>A</t>
        </is>
      </c>
      <c r="E146" s="7" t="n">
        <v>15</v>
      </c>
      <c r="F146" s="7" t="n">
        <v>15</v>
      </c>
      <c r="G146" s="7" t="n">
        <v>2375</v>
      </c>
      <c r="H146" s="7" t="n">
        <v>2375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</row>
    <row r="147" ht="15.75" customHeight="1" s="57">
      <c r="A147" s="7" t="inlineStr">
        <is>
          <t>Thị xã La Gi</t>
        </is>
      </c>
      <c r="B147" s="7" t="n">
        <v>471004</v>
      </c>
      <c r="C147" s="7" t="inlineStr">
        <is>
          <t>Phường Tân An</t>
        </is>
      </c>
      <c r="D147" s="7" t="inlineStr">
        <is>
          <t>A</t>
        </is>
      </c>
      <c r="E147" s="7" t="n">
        <v>15</v>
      </c>
      <c r="F147" s="7" t="n">
        <v>15</v>
      </c>
      <c r="G147" s="7" t="n">
        <v>5122</v>
      </c>
      <c r="H147" s="7" t="n">
        <v>5122</v>
      </c>
      <c r="I147" s="7" t="n">
        <v>0</v>
      </c>
      <c r="J147" s="7" t="n">
        <v>0</v>
      </c>
      <c r="K147" s="7" t="n">
        <v>0</v>
      </c>
      <c r="L147" s="7" t="n">
        <v>0</v>
      </c>
      <c r="M147" s="7" t="n">
        <v>0</v>
      </c>
      <c r="N147" s="7" t="n">
        <v>0</v>
      </c>
      <c r="O147" s="7" t="n">
        <v>0</v>
      </c>
      <c r="P147" s="7" t="n">
        <v>0</v>
      </c>
    </row>
    <row r="148" ht="15.75" customHeight="1" s="57">
      <c r="A148" s="7" t="inlineStr">
        <is>
          <t>Thị xã La Gi</t>
        </is>
      </c>
      <c r="B148" s="7" t="n">
        <v>471003</v>
      </c>
      <c r="C148" s="7" t="inlineStr">
        <is>
          <t>Phường Phước Lộc</t>
        </is>
      </c>
      <c r="D148" s="7" t="inlineStr">
        <is>
          <t>A</t>
        </is>
      </c>
      <c r="E148" s="7" t="n">
        <v>15</v>
      </c>
      <c r="F148" s="7" t="n">
        <v>15</v>
      </c>
      <c r="G148" s="7" t="n">
        <v>1650</v>
      </c>
      <c r="H148" s="7" t="n">
        <v>1650</v>
      </c>
      <c r="I148" s="7" t="n">
        <v>0</v>
      </c>
      <c r="J148" s="7" t="n">
        <v>0</v>
      </c>
      <c r="K148" s="7" t="n">
        <v>0</v>
      </c>
      <c r="L148" s="7" t="n">
        <v>0</v>
      </c>
      <c r="M148" s="7" t="n">
        <v>0</v>
      </c>
      <c r="N148" s="7" t="n">
        <v>0</v>
      </c>
      <c r="O148" s="7" t="n">
        <v>0</v>
      </c>
      <c r="P148" s="7" t="n">
        <v>0</v>
      </c>
    </row>
    <row r="149" ht="15.75" customHeight="1" s="57">
      <c r="A149" s="7" t="inlineStr">
        <is>
          <t>Thị xã La Gi</t>
        </is>
      </c>
      <c r="B149" s="7" t="n">
        <v>471002</v>
      </c>
      <c r="C149" s="7" t="inlineStr">
        <is>
          <t>Phường Phước Hội</t>
        </is>
      </c>
      <c r="D149" s="7" t="inlineStr">
        <is>
          <t>A</t>
        </is>
      </c>
      <c r="E149" s="7" t="n">
        <v>15</v>
      </c>
      <c r="F149" s="7" t="n">
        <v>15</v>
      </c>
      <c r="G149" s="7" t="n">
        <v>3932</v>
      </c>
      <c r="H149" s="7" t="n">
        <v>3932</v>
      </c>
      <c r="I149" s="7" t="n">
        <v>0</v>
      </c>
      <c r="J149" s="7" t="n">
        <v>0</v>
      </c>
      <c r="K149" s="7" t="n">
        <v>0</v>
      </c>
      <c r="L149" s="7" t="n">
        <v>0</v>
      </c>
      <c r="M149" s="7" t="n">
        <v>0</v>
      </c>
      <c r="N149" s="7" t="n">
        <v>0</v>
      </c>
      <c r="O149" s="7" t="n">
        <v>0</v>
      </c>
      <c r="P149" s="7" t="n">
        <v>0</v>
      </c>
    </row>
    <row r="150" ht="15.75" customHeight="1" s="57">
      <c r="A150" s="7" t="inlineStr">
        <is>
          <t>Thị xã La Gi</t>
        </is>
      </c>
      <c r="B150" s="7" t="n">
        <v>471001</v>
      </c>
      <c r="C150" s="7" t="inlineStr">
        <is>
          <t>Phường Bình Tân</t>
        </is>
      </c>
      <c r="D150" s="7" t="inlineStr">
        <is>
          <t>A</t>
        </is>
      </c>
      <c r="E150" s="7" t="n">
        <v>15</v>
      </c>
      <c r="F150" s="7" t="n">
        <v>15</v>
      </c>
      <c r="G150" s="7" t="n">
        <v>2934</v>
      </c>
      <c r="H150" s="7" t="n">
        <v>2934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0</v>
      </c>
      <c r="N150" s="7" t="n">
        <v>0</v>
      </c>
      <c r="O150" s="7" t="n">
        <v>0</v>
      </c>
      <c r="P150" s="7" t="n">
        <v>0</v>
      </c>
    </row>
    <row r="151" ht="15.75" customHeight="1" s="57">
      <c r="A151" s="7" t="inlineStr">
        <is>
          <t>Thị xã La Gi</t>
        </is>
      </c>
      <c r="B151" s="7" t="n">
        <v>471006</v>
      </c>
      <c r="C151" s="7" t="inlineStr">
        <is>
          <t>Xã Tân Bình</t>
        </is>
      </c>
      <c r="D151" s="7" t="inlineStr">
        <is>
          <t>A</t>
        </is>
      </c>
      <c r="E151" s="7" t="n">
        <v>15</v>
      </c>
      <c r="F151" s="7" t="n">
        <v>15</v>
      </c>
      <c r="G151" s="7" t="n">
        <v>1790</v>
      </c>
      <c r="H151" s="7" t="n">
        <v>1790</v>
      </c>
      <c r="I151" s="7" t="n">
        <v>0</v>
      </c>
      <c r="J151" s="7" t="n">
        <v>0</v>
      </c>
      <c r="K151" s="7" t="n">
        <v>0</v>
      </c>
      <c r="L151" s="7" t="n">
        <v>0</v>
      </c>
      <c r="M151" s="7" t="n">
        <v>0</v>
      </c>
      <c r="N151" s="7" t="n">
        <v>0</v>
      </c>
      <c r="O151" s="7" t="n">
        <v>0</v>
      </c>
      <c r="P151" s="7" t="n">
        <v>0</v>
      </c>
    </row>
    <row r="152" ht="15.75" customHeight="1" s="57">
      <c r="A152" s="7" t="inlineStr">
        <is>
          <t>Thị xã La Gi</t>
        </is>
      </c>
      <c r="B152" s="7" t="n">
        <v>471007</v>
      </c>
      <c r="C152" s="7" t="inlineStr">
        <is>
          <t>Xã Tân Hải</t>
        </is>
      </c>
      <c r="D152" s="7" t="inlineStr">
        <is>
          <t>A</t>
        </is>
      </c>
      <c r="E152" s="7" t="n">
        <v>15</v>
      </c>
      <c r="F152" s="7" t="n">
        <v>15</v>
      </c>
      <c r="G152" s="7" t="n">
        <v>2403</v>
      </c>
      <c r="H152" s="7" t="n">
        <v>2403</v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0</v>
      </c>
      <c r="N152" s="7" t="n">
        <v>0</v>
      </c>
      <c r="O152" s="7" t="n">
        <v>0</v>
      </c>
      <c r="P152" s="7" t="n">
        <v>0</v>
      </c>
    </row>
    <row r="153" ht="15.75" customHeight="1" s="57">
      <c r="A153" s="7" t="inlineStr">
        <is>
          <t>Thị xã La Gi</t>
        </is>
      </c>
      <c r="B153" s="7" t="n">
        <v>471009</v>
      </c>
      <c r="C153" s="7" t="inlineStr">
        <is>
          <t>Xã Tân Tiến</t>
        </is>
      </c>
      <c r="D153" s="7" t="inlineStr">
        <is>
          <t>A</t>
        </is>
      </c>
      <c r="E153" s="7" t="n">
        <v>15</v>
      </c>
      <c r="F153" s="7" t="n">
        <v>15</v>
      </c>
      <c r="G153" s="7" t="n">
        <v>2099</v>
      </c>
      <c r="H153" s="7" t="n">
        <v>2099</v>
      </c>
      <c r="I153" s="7" t="n">
        <v>0</v>
      </c>
      <c r="J153" s="7" t="n">
        <v>0</v>
      </c>
      <c r="K153" s="7" t="n">
        <v>0</v>
      </c>
      <c r="L153" s="7" t="n">
        <v>0</v>
      </c>
      <c r="M153" s="7" t="n">
        <v>0</v>
      </c>
      <c r="N153" s="7" t="n">
        <v>0</v>
      </c>
      <c r="O153" s="7" t="n">
        <v>0</v>
      </c>
      <c r="P153" s="7" t="n">
        <v>0</v>
      </c>
    </row>
    <row r="154" ht="15.75" customHeight="1" s="57">
      <c r="A154" s="7" t="inlineStr">
        <is>
          <t>Thành phố Gia Nghĩa</t>
        </is>
      </c>
      <c r="B154" s="7" t="n">
        <v>630104</v>
      </c>
      <c r="C154" s="7" t="inlineStr">
        <is>
          <t>Phường Nghĩa Thành</t>
        </is>
      </c>
      <c r="D154" s="7" t="inlineStr">
        <is>
          <t>A</t>
        </is>
      </c>
      <c r="E154" s="7" t="n">
        <v>15</v>
      </c>
      <c r="F154" s="7" t="n">
        <v>15</v>
      </c>
      <c r="G154" s="7" t="n">
        <v>2961</v>
      </c>
      <c r="H154" s="7" t="n">
        <v>2961</v>
      </c>
      <c r="I154" s="7" t="n">
        <v>0</v>
      </c>
      <c r="J154" s="7" t="n">
        <v>0</v>
      </c>
      <c r="K154" s="7" t="n">
        <v>0</v>
      </c>
      <c r="L154" s="7" t="n">
        <v>0</v>
      </c>
      <c r="M154" s="7" t="n">
        <v>0</v>
      </c>
      <c r="N154" s="7" t="n">
        <v>0</v>
      </c>
      <c r="O154" s="7" t="n">
        <v>0</v>
      </c>
      <c r="P154" s="7" t="n">
        <v>0</v>
      </c>
    </row>
    <row r="155" ht="15.75" customHeight="1" s="57">
      <c r="A155" s="7" t="inlineStr">
        <is>
          <t>Thành phố Gia Nghĩa</t>
        </is>
      </c>
      <c r="B155" s="7" t="n">
        <v>630103</v>
      </c>
      <c r="C155" s="7" t="inlineStr">
        <is>
          <t>Phường Nghĩa Tân</t>
        </is>
      </c>
      <c r="D155" s="7" t="inlineStr">
        <is>
          <t>A</t>
        </is>
      </c>
      <c r="E155" s="7" t="n">
        <v>15</v>
      </c>
      <c r="F155" s="7" t="n">
        <v>15</v>
      </c>
      <c r="G155" s="7" t="n">
        <v>2073</v>
      </c>
      <c r="H155" s="7" t="n">
        <v>2073</v>
      </c>
      <c r="I155" s="7" t="n">
        <v>0</v>
      </c>
      <c r="J155" s="7" t="n">
        <v>0</v>
      </c>
      <c r="K155" s="7" t="n">
        <v>0</v>
      </c>
      <c r="L155" s="7" t="n">
        <v>0</v>
      </c>
      <c r="M155" s="7" t="n">
        <v>0</v>
      </c>
      <c r="N155" s="7" t="n">
        <v>0</v>
      </c>
      <c r="O155" s="7" t="n">
        <v>0</v>
      </c>
      <c r="P155" s="7" t="n">
        <v>0</v>
      </c>
    </row>
    <row r="156" ht="15.75" customHeight="1" s="57">
      <c r="A156" s="7" t="inlineStr">
        <is>
          <t>Thành phố Gia Nghĩa</t>
        </is>
      </c>
      <c r="B156" s="7" t="n">
        <v>630102</v>
      </c>
      <c r="C156" s="7" t="inlineStr">
        <is>
          <t>Phường Nghĩa Phú</t>
        </is>
      </c>
      <c r="D156" s="7" t="inlineStr">
        <is>
          <t>A</t>
        </is>
      </c>
      <c r="E156" s="7" t="n">
        <v>15</v>
      </c>
      <c r="F156" s="7" t="n">
        <v>15</v>
      </c>
      <c r="G156" s="7" t="n">
        <v>1435</v>
      </c>
      <c r="H156" s="7" t="n">
        <v>1435</v>
      </c>
      <c r="I156" s="7" t="n">
        <v>0</v>
      </c>
      <c r="J156" s="7" t="n">
        <v>0</v>
      </c>
      <c r="K156" s="7" t="n">
        <v>0</v>
      </c>
      <c r="L156" s="7" t="n">
        <v>0</v>
      </c>
      <c r="M156" s="7" t="n">
        <v>0</v>
      </c>
      <c r="N156" s="7" t="n">
        <v>0</v>
      </c>
      <c r="O156" s="7" t="n">
        <v>0</v>
      </c>
      <c r="P156" s="7" t="n">
        <v>0</v>
      </c>
    </row>
    <row r="157" ht="15.75" customHeight="1" s="57">
      <c r="A157" s="7" t="inlineStr">
        <is>
          <t>Thành phố Gia Nghĩa</t>
        </is>
      </c>
      <c r="B157" s="7" t="n">
        <v>630101</v>
      </c>
      <c r="C157" s="7" t="inlineStr">
        <is>
          <t>Phường Nghĩa Đức</t>
        </is>
      </c>
      <c r="D157" s="7" t="inlineStr">
        <is>
          <t>A</t>
        </is>
      </c>
      <c r="E157" s="7" t="n">
        <v>15</v>
      </c>
      <c r="F157" s="7" t="n">
        <v>15</v>
      </c>
      <c r="G157" s="7" t="n">
        <v>1358</v>
      </c>
      <c r="H157" s="7" t="n">
        <v>1358</v>
      </c>
      <c r="I157" s="7" t="n">
        <v>0</v>
      </c>
      <c r="J157" s="7" t="n">
        <v>0</v>
      </c>
      <c r="K157" s="7" t="n">
        <v>0</v>
      </c>
      <c r="L157" s="7" t="n">
        <v>0</v>
      </c>
      <c r="M157" s="7" t="n">
        <v>0</v>
      </c>
      <c r="N157" s="7" t="n">
        <v>0</v>
      </c>
      <c r="O157" s="7" t="n">
        <v>0</v>
      </c>
      <c r="P157" s="7" t="n">
        <v>0</v>
      </c>
    </row>
    <row r="158" ht="15.75" customHeight="1" s="57">
      <c r="A158" s="7" t="inlineStr">
        <is>
          <t>Huyện Đắk R lấp</t>
        </is>
      </c>
      <c r="B158" s="7" t="n">
        <v>630209</v>
      </c>
      <c r="C158" s="7" t="inlineStr">
        <is>
          <t>Xã Nhân Cơ</t>
        </is>
      </c>
      <c r="D158" s="7" t="inlineStr">
        <is>
          <t>A</t>
        </is>
      </c>
      <c r="E158" s="7" t="n">
        <v>15</v>
      </c>
      <c r="F158" s="7" t="n">
        <v>15</v>
      </c>
      <c r="G158" s="7" t="n">
        <v>3342</v>
      </c>
      <c r="H158" s="7" t="n">
        <v>3342</v>
      </c>
      <c r="I158" s="7" t="n">
        <v>0</v>
      </c>
      <c r="J158" s="7" t="n">
        <v>0</v>
      </c>
      <c r="K158" s="7" t="n">
        <v>0</v>
      </c>
      <c r="L158" s="7" t="n">
        <v>0</v>
      </c>
      <c r="M158" s="7" t="n">
        <v>0</v>
      </c>
      <c r="N158" s="7" t="n">
        <v>0</v>
      </c>
      <c r="O158" s="7" t="n">
        <v>0</v>
      </c>
      <c r="P158" s="7" t="n">
        <v>0</v>
      </c>
    </row>
    <row r="159" ht="15.75" customHeight="1" s="57">
      <c r="A159" s="7" t="inlineStr">
        <is>
          <t>Huyện Đắk R lấp</t>
        </is>
      </c>
      <c r="B159" s="7" t="n">
        <v>630204</v>
      </c>
      <c r="C159" s="7" t="inlineStr">
        <is>
          <t>Xã Đắk Wer</t>
        </is>
      </c>
      <c r="D159" s="7" t="inlineStr">
        <is>
          <t>A</t>
        </is>
      </c>
      <c r="E159" s="7" t="n">
        <v>15</v>
      </c>
      <c r="F159" s="7" t="n">
        <v>15</v>
      </c>
      <c r="G159" s="7" t="n">
        <v>1842</v>
      </c>
      <c r="H159" s="7" t="n">
        <v>1842</v>
      </c>
      <c r="I159" s="7" t="n">
        <v>0</v>
      </c>
      <c r="J159" s="7" t="n">
        <v>0</v>
      </c>
      <c r="K159" s="7" t="n">
        <v>0</v>
      </c>
      <c r="L159" s="7" t="n">
        <v>0</v>
      </c>
      <c r="M159" s="7" t="n">
        <v>0</v>
      </c>
      <c r="N159" s="7" t="n">
        <v>0</v>
      </c>
      <c r="O159" s="7" t="n">
        <v>0</v>
      </c>
      <c r="P159" s="7" t="n">
        <v>0</v>
      </c>
    </row>
    <row r="160" ht="15.75" customHeight="1" s="57">
      <c r="A160" s="7" t="inlineStr">
        <is>
          <t>Huyện Đắk R lấp</t>
        </is>
      </c>
      <c r="B160" s="7" t="n">
        <v>630201</v>
      </c>
      <c r="C160" s="7" t="inlineStr">
        <is>
          <t>Thị trấn Kiến Đức</t>
        </is>
      </c>
      <c r="D160" s="7" t="inlineStr">
        <is>
          <t>A</t>
        </is>
      </c>
      <c r="E160" s="7" t="n">
        <v>15</v>
      </c>
      <c r="F160" s="7" t="n">
        <v>15</v>
      </c>
      <c r="G160" s="7" t="n">
        <v>4219</v>
      </c>
      <c r="H160" s="7" t="n">
        <v>4219</v>
      </c>
      <c r="I160" s="7" t="n">
        <v>0</v>
      </c>
      <c r="J160" s="7" t="n">
        <v>0</v>
      </c>
      <c r="K160" s="7" t="n">
        <v>0</v>
      </c>
      <c r="L160" s="7" t="n">
        <v>0</v>
      </c>
      <c r="M160" s="7" t="n">
        <v>0</v>
      </c>
      <c r="N160" s="7" t="n">
        <v>0</v>
      </c>
      <c r="O160" s="7" t="n">
        <v>0</v>
      </c>
      <c r="P160" s="7" t="n">
        <v>0</v>
      </c>
    </row>
    <row r="161" ht="15.75" customHeight="1" s="57">
      <c r="A161" s="7" t="inlineStr">
        <is>
          <t>Thành phố Gia Nghĩa</t>
        </is>
      </c>
      <c r="B161" s="7" t="n">
        <v>630105</v>
      </c>
      <c r="C161" s="7" t="inlineStr">
        <is>
          <t>Phường Nghĩa Trung</t>
        </is>
      </c>
      <c r="D161" s="7" t="inlineStr">
        <is>
          <t>A</t>
        </is>
      </c>
      <c r="E161" s="7" t="n">
        <v>15</v>
      </c>
      <c r="F161" s="7" t="n">
        <v>15</v>
      </c>
      <c r="G161" s="7" t="n">
        <v>2723</v>
      </c>
      <c r="H161" s="7" t="n">
        <v>2723</v>
      </c>
      <c r="I161" s="7" t="n">
        <v>0</v>
      </c>
      <c r="J161" s="7" t="n">
        <v>0</v>
      </c>
      <c r="K161" s="7" t="n">
        <v>0</v>
      </c>
      <c r="L161" s="7" t="n">
        <v>0</v>
      </c>
      <c r="M161" s="7" t="n">
        <v>0</v>
      </c>
      <c r="N161" s="7" t="n">
        <v>0</v>
      </c>
      <c r="O161" s="7" t="n">
        <v>0</v>
      </c>
      <c r="P161" s="7" t="n">
        <v>0</v>
      </c>
    </row>
    <row r="162" ht="15.75" customHeight="1" s="57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</row>
    <row r="163" ht="15.75" customHeight="1" s="57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</row>
    <row r="164" ht="15.75" customHeight="1" s="57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</row>
    <row r="165" ht="15.75" customHeight="1" s="57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</row>
    <row r="166" ht="15.75" customHeight="1" s="57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</row>
    <row r="167" ht="15.75" customHeight="1" s="57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</row>
    <row r="168" ht="15.75" customHeight="1" s="57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</row>
    <row r="169" ht="15.75" customHeight="1" s="57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</row>
    <row r="170" ht="15.75" customHeight="1" s="57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</row>
    <row r="171" ht="15.75" customHeight="1" s="57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</row>
    <row r="172" ht="15.75" customHeight="1" s="57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</row>
    <row r="173" ht="15.75" customHeight="1" s="57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</row>
    <row r="174" ht="15.75" customHeight="1" s="57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</row>
    <row r="175" ht="15.75" customHeight="1" s="57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</row>
    <row r="176" ht="15.75" customHeight="1" s="57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</row>
    <row r="177" ht="15.75" customHeight="1" s="57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</row>
    <row r="178" ht="15.75" customHeight="1" s="57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</row>
    <row r="179" ht="15.75" customHeight="1" s="57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</row>
    <row r="180" ht="15.75" customHeight="1" s="57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</row>
    <row r="181" ht="15.75" customHeight="1" s="57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</row>
    <row r="182" ht="15.75" customHeight="1" s="57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</row>
    <row r="183" ht="15.75" customHeight="1" s="57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</row>
    <row r="184" ht="15.75" customHeight="1" s="57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</row>
    <row r="185" ht="15.75" customHeight="1" s="57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</row>
    <row r="186" ht="15.75" customHeight="1" s="57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</row>
    <row r="187" ht="15.75" customHeight="1" s="57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</row>
    <row r="188" ht="15.75" customHeight="1" s="57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</row>
    <row r="189" ht="15.75" customHeight="1" s="57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</row>
    <row r="190" ht="15.75" customHeight="1" s="57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</row>
    <row r="191" ht="15.75" customHeight="1" s="57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</row>
    <row r="192" ht="15.75" customHeight="1" s="57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</row>
    <row r="193" ht="15.75" customHeight="1" s="57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</row>
    <row r="194" ht="15.75" customHeight="1" s="57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</row>
    <row r="195" ht="15.75" customHeight="1" s="57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</row>
    <row r="196" ht="15.75" customHeight="1" s="57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</row>
    <row r="197" ht="15.75" customHeight="1" s="57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</row>
    <row r="198" ht="15.75" customHeight="1" s="57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</row>
    <row r="199" ht="15.75" customHeight="1" s="57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</row>
    <row r="200" ht="15.75" customHeight="1" s="57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</row>
    <row r="201" ht="15.75" customHeight="1" s="57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</row>
    <row r="202" ht="15.75" customHeight="1" s="57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</row>
    <row r="203" ht="15.75" customHeight="1" s="57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</row>
    <row r="204" ht="15.75" customHeight="1" s="57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</row>
    <row r="205" ht="15.75" customHeight="1" s="57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</row>
    <row r="206" ht="15.75" customHeight="1" s="57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</row>
    <row r="207" ht="15.75" customHeight="1" s="57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</row>
    <row r="208" ht="15.75" customHeight="1" s="57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</row>
    <row r="209" ht="15.75" customHeight="1" s="57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</row>
    <row r="210" ht="15.75" customHeight="1" s="57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</row>
    <row r="211" ht="15.75" customHeight="1" s="57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</row>
    <row r="212" ht="15.75" customHeight="1" s="57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</row>
    <row r="213" ht="15.75" customHeight="1" s="57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</row>
    <row r="214" ht="15.75" customHeight="1" s="57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</row>
    <row r="215" ht="15.75" customHeight="1" s="57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</row>
    <row r="216" ht="15.75" customHeight="1" s="57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</row>
    <row r="217" ht="15.75" customHeight="1" s="57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</row>
    <row r="218" ht="15.75" customHeight="1" s="57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</row>
    <row r="219" ht="15.75" customHeight="1" s="57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</row>
    <row r="220" ht="15.75" customHeight="1" s="57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</row>
    <row r="221" ht="15.75" customHeight="1" s="57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49" t="n"/>
      <c r="L221" s="49" t="n"/>
      <c r="M221" s="49" t="n"/>
      <c r="N221" s="49" t="n"/>
      <c r="O221" s="49" t="n"/>
      <c r="P221" s="49" t="n"/>
    </row>
    <row r="222" ht="15.75" customHeight="1" s="57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49" t="n"/>
      <c r="L222" s="49" t="n"/>
      <c r="M222" s="49" t="n"/>
      <c r="N222" s="49" t="n"/>
      <c r="O222" s="49" t="n"/>
      <c r="P222" s="49" t="n"/>
    </row>
    <row r="223" ht="15.75" customHeight="1" s="57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49" t="n"/>
      <c r="L223" s="49" t="n"/>
      <c r="M223" s="49" t="n"/>
      <c r="N223" s="49" t="n"/>
      <c r="O223" s="49" t="n"/>
      <c r="P223" s="49" t="n"/>
    </row>
    <row r="224" ht="15.75" customHeight="1" s="57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49" t="n"/>
      <c r="L224" s="49" t="n"/>
      <c r="M224" s="49" t="n"/>
      <c r="N224" s="49" t="n"/>
      <c r="O224" s="49" t="n"/>
      <c r="P224" s="49" t="n"/>
    </row>
    <row r="225" ht="15.75" customHeight="1" s="57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49" t="n"/>
      <c r="L225" s="49" t="n"/>
      <c r="M225" s="49" t="n"/>
      <c r="N225" s="49" t="n"/>
      <c r="O225" s="49" t="n"/>
      <c r="P225" s="49" t="n"/>
    </row>
    <row r="226" ht="15.75" customHeight="1" s="57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49" t="n"/>
      <c r="L226" s="49" t="n"/>
      <c r="M226" s="49" t="n"/>
      <c r="N226" s="49" t="n"/>
      <c r="O226" s="49" t="n"/>
      <c r="P226" s="49" t="n"/>
    </row>
    <row r="227" ht="15.75" customHeight="1" s="57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49" t="n"/>
      <c r="L227" s="49" t="n"/>
      <c r="M227" s="49" t="n"/>
      <c r="N227" s="49" t="n"/>
      <c r="O227" s="49" t="n"/>
      <c r="P227" s="49" t="n"/>
    </row>
    <row r="228" ht="15.75" customHeight="1" s="57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49" t="n"/>
      <c r="L228" s="49" t="n"/>
      <c r="M228" s="49" t="n"/>
      <c r="N228" s="49" t="n"/>
      <c r="O228" s="49" t="n"/>
      <c r="P228" s="49" t="n"/>
    </row>
    <row r="229" ht="15.75" customHeight="1" s="57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49" t="n"/>
      <c r="L229" s="49" t="n"/>
      <c r="M229" s="49" t="n"/>
      <c r="N229" s="49" t="n"/>
      <c r="O229" s="49" t="n"/>
      <c r="P229" s="49" t="n"/>
    </row>
    <row r="230" ht="15.75" customHeight="1" s="57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49" t="n"/>
      <c r="L230" s="49" t="n"/>
      <c r="M230" s="49" t="n"/>
      <c r="N230" s="49" t="n"/>
      <c r="O230" s="49" t="n"/>
      <c r="P230" s="49" t="n"/>
    </row>
    <row r="231" ht="15.75" customHeight="1" s="57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49" t="n"/>
      <c r="L231" s="49" t="n"/>
      <c r="M231" s="49" t="n"/>
      <c r="N231" s="49" t="n"/>
      <c r="O231" s="49" t="n"/>
      <c r="P231" s="49" t="n"/>
    </row>
    <row r="232" ht="15.75" customHeight="1" s="57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49" t="n"/>
      <c r="L232" s="49" t="n"/>
      <c r="M232" s="49" t="n"/>
      <c r="N232" s="49" t="n"/>
      <c r="O232" s="49" t="n"/>
      <c r="P232" s="49" t="n"/>
    </row>
    <row r="233" ht="15.75" customHeight="1" s="57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49" t="n"/>
      <c r="L233" s="49" t="n"/>
      <c r="M233" s="49" t="n"/>
      <c r="N233" s="49" t="n"/>
      <c r="O233" s="49" t="n"/>
      <c r="P233" s="49" t="n"/>
    </row>
    <row r="234" ht="15.75" customHeight="1" s="57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49" t="n"/>
      <c r="L234" s="49" t="n"/>
      <c r="M234" s="49" t="n"/>
      <c r="N234" s="49" t="n"/>
      <c r="O234" s="49" t="n"/>
      <c r="P234" s="49" t="n"/>
    </row>
    <row r="235" ht="15.75" customHeight="1" s="57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49" t="n"/>
      <c r="L235" s="49" t="n"/>
      <c r="M235" s="49" t="n"/>
      <c r="N235" s="49" t="n"/>
      <c r="O235" s="49" t="n"/>
      <c r="P235" s="49" t="n"/>
    </row>
    <row r="236" ht="15.75" customHeight="1" s="57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49" t="n"/>
      <c r="L236" s="49" t="n"/>
      <c r="M236" s="49" t="n"/>
      <c r="N236" s="49" t="n"/>
      <c r="O236" s="49" t="n"/>
      <c r="P236" s="49" t="n"/>
    </row>
    <row r="237" ht="15.75" customHeight="1" s="57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49" t="n"/>
      <c r="L237" s="49" t="n"/>
      <c r="M237" s="49" t="n"/>
      <c r="N237" s="49" t="n"/>
      <c r="O237" s="49" t="n"/>
      <c r="P237" s="49" t="n"/>
    </row>
    <row r="238" ht="15.75" customHeight="1" s="57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49" t="n"/>
      <c r="L238" s="49" t="n"/>
      <c r="M238" s="49" t="n"/>
      <c r="N238" s="49" t="n"/>
      <c r="O238" s="49" t="n"/>
      <c r="P238" s="49" t="n"/>
    </row>
    <row r="239" ht="15.75" customHeight="1" s="57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49" t="n"/>
      <c r="L239" s="49" t="n"/>
      <c r="M239" s="49" t="n"/>
      <c r="N239" s="49" t="n"/>
      <c r="O239" s="49" t="n"/>
      <c r="P239" s="49" t="n"/>
    </row>
    <row r="240" ht="15.75" customHeight="1" s="57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49" t="n"/>
      <c r="L240" s="49" t="n"/>
      <c r="M240" s="49" t="n"/>
      <c r="N240" s="49" t="n"/>
      <c r="O240" s="49" t="n"/>
      <c r="P240" s="49" t="n"/>
    </row>
    <row r="241" ht="15.75" customHeight="1" s="57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49" t="n"/>
      <c r="L241" s="49" t="n"/>
      <c r="M241" s="49" t="n"/>
      <c r="N241" s="49" t="n"/>
      <c r="O241" s="49" t="n"/>
      <c r="P241" s="49" t="n"/>
    </row>
    <row r="242" ht="15.75" customHeight="1" s="57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49" t="n"/>
      <c r="L242" s="49" t="n"/>
      <c r="M242" s="49" t="n"/>
      <c r="N242" s="49" t="n"/>
      <c r="O242" s="49" t="n"/>
      <c r="P242" s="49" t="n"/>
    </row>
    <row r="243" ht="15.75" customHeight="1" s="57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49" t="n"/>
      <c r="L243" s="49" t="n"/>
      <c r="M243" s="49" t="n"/>
      <c r="N243" s="49" t="n"/>
      <c r="O243" s="49" t="n"/>
      <c r="P243" s="49" t="n"/>
    </row>
    <row r="244" ht="15.75" customHeight="1" s="57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49" t="n"/>
      <c r="L244" s="49" t="n"/>
      <c r="M244" s="49" t="n"/>
      <c r="N244" s="49" t="n"/>
      <c r="O244" s="49" t="n"/>
      <c r="P244" s="49" t="n"/>
    </row>
    <row r="245" ht="15.75" customHeight="1" s="57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49" t="n"/>
      <c r="L245" s="49" t="n"/>
      <c r="M245" s="49" t="n"/>
      <c r="N245" s="49" t="n"/>
      <c r="O245" s="49" t="n"/>
      <c r="P245" s="49" t="n"/>
    </row>
    <row r="246" ht="15.75" customHeight="1" s="57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49" t="n"/>
      <c r="L246" s="49" t="n"/>
      <c r="M246" s="49" t="n"/>
      <c r="N246" s="49" t="n"/>
      <c r="O246" s="49" t="n"/>
      <c r="P246" s="49" t="n"/>
    </row>
    <row r="247" ht="15.75" customHeight="1" s="57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49" t="n"/>
      <c r="L247" s="49" t="n"/>
      <c r="M247" s="49" t="n"/>
      <c r="N247" s="49" t="n"/>
      <c r="O247" s="49" t="n"/>
      <c r="P247" s="49" t="n"/>
    </row>
    <row r="248" ht="15.75" customHeight="1" s="57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49" t="n"/>
      <c r="L248" s="49" t="n"/>
      <c r="M248" s="49" t="n"/>
      <c r="N248" s="49" t="n"/>
      <c r="O248" s="49" t="n"/>
      <c r="P248" s="49" t="n"/>
    </row>
    <row r="249" ht="15.75" customHeight="1" s="57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49" t="n"/>
      <c r="L249" s="49" t="n"/>
      <c r="M249" s="49" t="n"/>
      <c r="N249" s="49" t="n"/>
      <c r="O249" s="49" t="n"/>
      <c r="P249" s="49" t="n"/>
    </row>
    <row r="250" ht="15.75" customHeight="1" s="57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49" t="n"/>
      <c r="L250" s="49" t="n"/>
      <c r="M250" s="49" t="n"/>
      <c r="N250" s="49" t="n"/>
      <c r="O250" s="49" t="n"/>
      <c r="P250" s="49" t="n"/>
    </row>
    <row r="251" ht="15.75" customHeight="1" s="57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49" t="n"/>
      <c r="L251" s="49" t="n"/>
      <c r="M251" s="49" t="n"/>
      <c r="N251" s="49" t="n"/>
      <c r="O251" s="49" t="n"/>
      <c r="P251" s="49" t="n"/>
    </row>
    <row r="252" ht="15.75" customHeight="1" s="57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49" t="n"/>
      <c r="L252" s="49" t="n"/>
      <c r="M252" s="49" t="n"/>
      <c r="N252" s="49" t="n"/>
      <c r="O252" s="49" t="n"/>
      <c r="P252" s="49" t="n"/>
    </row>
    <row r="253" ht="15.75" customHeight="1" s="57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49" t="n"/>
      <c r="L253" s="49" t="n"/>
      <c r="M253" s="49" t="n"/>
      <c r="N253" s="49" t="n"/>
      <c r="O253" s="49" t="n"/>
      <c r="P253" s="49" t="n"/>
    </row>
    <row r="254" ht="15.75" customHeight="1" s="57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49" t="n"/>
      <c r="L254" s="49" t="n"/>
      <c r="M254" s="49" t="n"/>
      <c r="N254" s="49" t="n"/>
      <c r="O254" s="49" t="n"/>
      <c r="P254" s="49" t="n"/>
    </row>
    <row r="255" ht="15.75" customHeight="1" s="57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49" t="n"/>
      <c r="L255" s="49" t="n"/>
      <c r="M255" s="49" t="n"/>
      <c r="N255" s="49" t="n"/>
      <c r="O255" s="49" t="n"/>
      <c r="P255" s="49" t="n"/>
    </row>
    <row r="256" ht="15.75" customHeight="1" s="57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49" t="n"/>
      <c r="L256" s="49" t="n"/>
      <c r="M256" s="49" t="n"/>
      <c r="N256" s="49" t="n"/>
      <c r="O256" s="49" t="n"/>
      <c r="P256" s="49" t="n"/>
    </row>
    <row r="257" ht="15.75" customHeight="1" s="57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49" t="n"/>
      <c r="L257" s="49" t="n"/>
      <c r="M257" s="49" t="n"/>
      <c r="N257" s="49" t="n"/>
      <c r="O257" s="49" t="n"/>
      <c r="P257" s="49" t="n"/>
    </row>
    <row r="258" ht="15.75" customHeight="1" s="57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49" t="n"/>
      <c r="L258" s="49" t="n"/>
      <c r="M258" s="49" t="n"/>
      <c r="N258" s="49" t="n"/>
      <c r="O258" s="49" t="n"/>
      <c r="P258" s="49" t="n"/>
    </row>
    <row r="259" ht="15.75" customHeight="1" s="57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49" t="n"/>
      <c r="L259" s="49" t="n"/>
      <c r="M259" s="49" t="n"/>
      <c r="N259" s="49" t="n"/>
      <c r="O259" s="49" t="n"/>
      <c r="P259" s="49" t="n"/>
    </row>
    <row r="260" ht="15.75" customHeight="1" s="57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49" t="n"/>
      <c r="L260" s="49" t="n"/>
      <c r="M260" s="49" t="n"/>
      <c r="N260" s="49" t="n"/>
      <c r="O260" s="49" t="n"/>
      <c r="P260" s="49" t="n"/>
    </row>
    <row r="261" ht="15.75" customHeight="1" s="57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49" t="n"/>
      <c r="L261" s="49" t="n"/>
      <c r="M261" s="49" t="n"/>
      <c r="N261" s="49" t="n"/>
      <c r="O261" s="49" t="n"/>
      <c r="P261" s="49" t="n"/>
    </row>
    <row r="262" ht="15.75" customHeight="1" s="57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49" t="n"/>
      <c r="L262" s="49" t="n"/>
      <c r="M262" s="49" t="n"/>
      <c r="N262" s="49" t="n"/>
      <c r="O262" s="49" t="n"/>
      <c r="P262" s="49" t="n"/>
    </row>
    <row r="263" ht="15.75" customHeight="1" s="57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49" t="n"/>
      <c r="L263" s="49" t="n"/>
      <c r="M263" s="49" t="n"/>
      <c r="N263" s="49" t="n"/>
      <c r="O263" s="49" t="n"/>
      <c r="P263" s="49" t="n"/>
    </row>
    <row r="264" ht="15.75" customHeight="1" s="57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49" t="n"/>
      <c r="L264" s="49" t="n"/>
      <c r="M264" s="49" t="n"/>
      <c r="N264" s="49" t="n"/>
      <c r="O264" s="49" t="n"/>
      <c r="P264" s="49" t="n"/>
    </row>
    <row r="265" ht="15.75" customHeight="1" s="57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49" t="n"/>
      <c r="L265" s="49" t="n"/>
      <c r="M265" s="49" t="n"/>
      <c r="N265" s="49" t="n"/>
      <c r="O265" s="49" t="n"/>
      <c r="P265" s="49" t="n"/>
    </row>
    <row r="266" ht="15.75" customHeight="1" s="57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49" t="n"/>
      <c r="L266" s="49" t="n"/>
      <c r="M266" s="49" t="n"/>
      <c r="N266" s="49" t="n"/>
      <c r="O266" s="49" t="n"/>
      <c r="P266" s="49" t="n"/>
    </row>
    <row r="267" ht="15.75" customHeight="1" s="57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49" t="n"/>
      <c r="L267" s="49" t="n"/>
      <c r="M267" s="49" t="n"/>
      <c r="N267" s="49" t="n"/>
      <c r="O267" s="49" t="n"/>
      <c r="P267" s="49" t="n"/>
    </row>
    <row r="268" ht="15.75" customHeight="1" s="57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49" t="n"/>
      <c r="L268" s="49" t="n"/>
      <c r="M268" s="49" t="n"/>
      <c r="N268" s="49" t="n"/>
      <c r="O268" s="49" t="n"/>
      <c r="P268" s="49" t="n"/>
    </row>
    <row r="269" ht="15.75" customHeight="1" s="57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49" t="n"/>
      <c r="L269" s="49" t="n"/>
      <c r="M269" s="49" t="n"/>
      <c r="N269" s="49" t="n"/>
      <c r="O269" s="49" t="n"/>
      <c r="P269" s="49" t="n"/>
    </row>
    <row r="270" ht="15.75" customHeight="1" s="57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49" t="n"/>
      <c r="L270" s="49" t="n"/>
      <c r="M270" s="49" t="n"/>
      <c r="N270" s="49" t="n"/>
      <c r="O270" s="49" t="n"/>
      <c r="P270" s="49" t="n"/>
    </row>
    <row r="271" ht="15.75" customHeight="1" s="57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49" t="n"/>
      <c r="L271" s="49" t="n"/>
      <c r="M271" s="49" t="n"/>
      <c r="N271" s="49" t="n"/>
      <c r="O271" s="49" t="n"/>
      <c r="P271" s="49" t="n"/>
    </row>
    <row r="272" ht="15.75" customHeight="1" s="57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49" t="n"/>
      <c r="L272" s="49" t="n"/>
      <c r="M272" s="49" t="n"/>
      <c r="N272" s="49" t="n"/>
      <c r="O272" s="49" t="n"/>
      <c r="P272" s="49" t="n"/>
    </row>
    <row r="273" ht="15.75" customHeight="1" s="57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49" t="n"/>
      <c r="L273" s="49" t="n"/>
      <c r="M273" s="49" t="n"/>
      <c r="N273" s="49" t="n"/>
      <c r="O273" s="49" t="n"/>
      <c r="P273" s="49" t="n"/>
    </row>
    <row r="274" ht="15.75" customHeight="1" s="57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49" t="n"/>
      <c r="L274" s="49" t="n"/>
      <c r="M274" s="49" t="n"/>
      <c r="N274" s="49" t="n"/>
      <c r="O274" s="49" t="n"/>
      <c r="P274" s="49" t="n"/>
    </row>
    <row r="275" ht="15.75" customHeight="1" s="57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49" t="n"/>
      <c r="L275" s="49" t="n"/>
      <c r="M275" s="49" t="n"/>
      <c r="N275" s="49" t="n"/>
      <c r="O275" s="49" t="n"/>
      <c r="P275" s="49" t="n"/>
    </row>
    <row r="276" ht="15.75" customHeight="1" s="57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49" t="n"/>
      <c r="L276" s="49" t="n"/>
      <c r="M276" s="49" t="n"/>
      <c r="N276" s="49" t="n"/>
      <c r="O276" s="49" t="n"/>
      <c r="P276" s="49" t="n"/>
    </row>
    <row r="277" ht="15.75" customHeight="1" s="57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49" t="n"/>
      <c r="L277" s="49" t="n"/>
      <c r="M277" s="49" t="n"/>
      <c r="N277" s="49" t="n"/>
      <c r="O277" s="49" t="n"/>
      <c r="P277" s="49" t="n"/>
    </row>
    <row r="278" ht="15.75" customHeight="1" s="57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49" t="n"/>
      <c r="L278" s="49" t="n"/>
      <c r="M278" s="49" t="n"/>
      <c r="N278" s="49" t="n"/>
      <c r="O278" s="49" t="n"/>
      <c r="P278" s="49" t="n"/>
    </row>
    <row r="279" ht="15.75" customHeight="1" s="57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49" t="n"/>
      <c r="L279" s="49" t="n"/>
      <c r="M279" s="49" t="n"/>
      <c r="N279" s="49" t="n"/>
      <c r="O279" s="49" t="n"/>
      <c r="P279" s="49" t="n"/>
    </row>
    <row r="280" ht="15.75" customHeight="1" s="57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49" t="n"/>
      <c r="L280" s="49" t="n"/>
      <c r="M280" s="49" t="n"/>
      <c r="N280" s="49" t="n"/>
      <c r="O280" s="49" t="n"/>
      <c r="P280" s="49" t="n"/>
    </row>
    <row r="281" ht="15.75" customHeight="1" s="57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49" t="n"/>
      <c r="L281" s="49" t="n"/>
      <c r="M281" s="49" t="n"/>
      <c r="N281" s="49" t="n"/>
      <c r="O281" s="49" t="n"/>
      <c r="P281" s="49" t="n"/>
    </row>
    <row r="282" ht="15.75" customHeight="1" s="57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49" t="n"/>
      <c r="L282" s="49" t="n"/>
      <c r="M282" s="49" t="n"/>
      <c r="N282" s="49" t="n"/>
      <c r="O282" s="49" t="n"/>
      <c r="P282" s="49" t="n"/>
    </row>
    <row r="283" ht="15.75" customHeight="1" s="57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49" t="n"/>
      <c r="L283" s="49" t="n"/>
      <c r="M283" s="49" t="n"/>
      <c r="N283" s="49" t="n"/>
      <c r="O283" s="49" t="n"/>
      <c r="P283" s="49" t="n"/>
    </row>
    <row r="284" ht="15.75" customHeight="1" s="57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49" t="n"/>
      <c r="L284" s="49" t="n"/>
      <c r="M284" s="49" t="n"/>
      <c r="N284" s="49" t="n"/>
      <c r="O284" s="49" t="n"/>
      <c r="P284" s="49" t="n"/>
    </row>
    <row r="285" ht="15.75" customHeight="1" s="57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49" t="n"/>
      <c r="L285" s="49" t="n"/>
      <c r="M285" s="49" t="n"/>
      <c r="N285" s="49" t="n"/>
      <c r="O285" s="49" t="n"/>
      <c r="P285" s="49" t="n"/>
    </row>
    <row r="286" ht="15.75" customHeight="1" s="57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49" t="n"/>
      <c r="L286" s="49" t="n"/>
      <c r="M286" s="49" t="n"/>
      <c r="N286" s="49" t="n"/>
      <c r="O286" s="49" t="n"/>
      <c r="P286" s="49" t="n"/>
    </row>
    <row r="287" ht="15.75" customHeight="1" s="57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49" t="n"/>
      <c r="L287" s="49" t="n"/>
      <c r="M287" s="49" t="n"/>
      <c r="N287" s="49" t="n"/>
      <c r="O287" s="49" t="n"/>
      <c r="P287" s="49" t="n"/>
    </row>
    <row r="288" ht="15.75" customHeight="1" s="57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49" t="n"/>
      <c r="L288" s="49" t="n"/>
      <c r="M288" s="49" t="n"/>
      <c r="N288" s="49" t="n"/>
      <c r="O288" s="49" t="n"/>
      <c r="P288" s="49" t="n"/>
    </row>
    <row r="289" ht="15.75" customHeight="1" s="57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49" t="n"/>
      <c r="L289" s="49" t="n"/>
      <c r="M289" s="49" t="n"/>
      <c r="N289" s="49" t="n"/>
      <c r="O289" s="49" t="n"/>
      <c r="P289" s="49" t="n"/>
    </row>
    <row r="290" ht="15.75" customHeight="1" s="57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49" t="n"/>
      <c r="L290" s="49" t="n"/>
      <c r="M290" s="49" t="n"/>
      <c r="N290" s="49" t="n"/>
      <c r="O290" s="49" t="n"/>
      <c r="P290" s="49" t="n"/>
    </row>
    <row r="291" ht="15.75" customHeight="1" s="57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49" t="n"/>
      <c r="L291" s="49" t="n"/>
      <c r="M291" s="49" t="n"/>
      <c r="N291" s="49" t="n"/>
      <c r="O291" s="49" t="n"/>
      <c r="P291" s="49" t="n"/>
    </row>
    <row r="292" ht="15.75" customHeight="1" s="57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49" t="n"/>
      <c r="L292" s="49" t="n"/>
      <c r="M292" s="49" t="n"/>
      <c r="N292" s="49" t="n"/>
      <c r="O292" s="49" t="n"/>
      <c r="P292" s="49" t="n"/>
    </row>
    <row r="293" ht="15.75" customHeight="1" s="57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49" t="n"/>
      <c r="L293" s="49" t="n"/>
      <c r="M293" s="49" t="n"/>
      <c r="N293" s="49" t="n"/>
      <c r="O293" s="49" t="n"/>
      <c r="P293" s="49" t="n"/>
    </row>
    <row r="294" ht="15.75" customHeight="1" s="57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49" t="n"/>
      <c r="L294" s="49" t="n"/>
      <c r="M294" s="49" t="n"/>
      <c r="N294" s="49" t="n"/>
      <c r="O294" s="49" t="n"/>
      <c r="P294" s="49" t="n"/>
    </row>
    <row r="295" ht="15.75" customHeight="1" s="57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49" t="n"/>
      <c r="L295" s="49" t="n"/>
      <c r="M295" s="49" t="n"/>
      <c r="N295" s="49" t="n"/>
      <c r="O295" s="49" t="n"/>
      <c r="P295" s="49" t="n"/>
    </row>
    <row r="296" ht="15.75" customHeight="1" s="57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49" t="n"/>
      <c r="L296" s="49" t="n"/>
      <c r="M296" s="49" t="n"/>
      <c r="N296" s="49" t="n"/>
      <c r="O296" s="49" t="n"/>
      <c r="P296" s="49" t="n"/>
    </row>
    <row r="297" ht="15.75" customHeight="1" s="57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49" t="n"/>
      <c r="L297" s="49" t="n"/>
      <c r="M297" s="49" t="n"/>
      <c r="N297" s="49" t="n"/>
      <c r="O297" s="49" t="n"/>
      <c r="P297" s="49" t="n"/>
    </row>
    <row r="298" ht="15.75" customHeight="1" s="57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49" t="n"/>
      <c r="L298" s="49" t="n"/>
      <c r="M298" s="49" t="n"/>
      <c r="N298" s="49" t="n"/>
      <c r="O298" s="49" t="n"/>
      <c r="P298" s="49" t="n"/>
    </row>
    <row r="299" ht="15.75" customHeight="1" s="57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49" t="n"/>
      <c r="L299" s="49" t="n"/>
      <c r="M299" s="49" t="n"/>
      <c r="N299" s="49" t="n"/>
      <c r="O299" s="49" t="n"/>
      <c r="P299" s="49" t="n"/>
    </row>
    <row r="300" ht="15.75" customHeight="1" s="57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49" t="n"/>
      <c r="L300" s="49" t="n"/>
      <c r="M300" s="49" t="n"/>
      <c r="N300" s="49" t="n"/>
      <c r="O300" s="49" t="n"/>
      <c r="P300" s="49" t="n"/>
    </row>
    <row r="301" ht="15.75" customHeight="1" s="57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49" t="n"/>
      <c r="L301" s="49" t="n"/>
      <c r="M301" s="49" t="n"/>
      <c r="N301" s="49" t="n"/>
      <c r="O301" s="49" t="n"/>
      <c r="P301" s="49" t="n"/>
    </row>
    <row r="302" ht="15.75" customHeight="1" s="57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49" t="n"/>
      <c r="L302" s="49" t="n"/>
      <c r="M302" s="49" t="n"/>
      <c r="N302" s="49" t="n"/>
      <c r="O302" s="49" t="n"/>
      <c r="P302" s="49" t="n"/>
    </row>
    <row r="303" ht="15.75" customHeight="1" s="57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49" t="n"/>
      <c r="L303" s="49" t="n"/>
      <c r="M303" s="49" t="n"/>
      <c r="N303" s="49" t="n"/>
      <c r="O303" s="49" t="n"/>
      <c r="P303" s="49" t="n"/>
    </row>
    <row r="304" ht="15.75" customHeight="1" s="57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49" t="n"/>
      <c r="L304" s="49" t="n"/>
      <c r="M304" s="49" t="n"/>
      <c r="N304" s="49" t="n"/>
      <c r="O304" s="49" t="n"/>
      <c r="P304" s="49" t="n"/>
    </row>
    <row r="305" ht="15.75" customHeight="1" s="57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49" t="n"/>
      <c r="L305" s="49" t="n"/>
      <c r="M305" s="49" t="n"/>
      <c r="N305" s="49" t="n"/>
      <c r="O305" s="49" t="n"/>
      <c r="P305" s="49" t="n"/>
    </row>
    <row r="306" ht="15.75" customHeight="1" s="57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49" t="n"/>
      <c r="L306" s="49" t="n"/>
      <c r="M306" s="49" t="n"/>
      <c r="N306" s="49" t="n"/>
      <c r="O306" s="49" t="n"/>
      <c r="P306" s="49" t="n"/>
    </row>
    <row r="307" ht="15.75" customHeight="1" s="57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49" t="n"/>
      <c r="L307" s="49" t="n"/>
      <c r="M307" s="49" t="n"/>
      <c r="N307" s="49" t="n"/>
      <c r="O307" s="49" t="n"/>
      <c r="P307" s="49" t="n"/>
    </row>
    <row r="308" ht="15.75" customHeight="1" s="57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49" t="n"/>
      <c r="L308" s="49" t="n"/>
      <c r="M308" s="49" t="n"/>
      <c r="N308" s="49" t="n"/>
      <c r="O308" s="49" t="n"/>
      <c r="P308" s="49" t="n"/>
    </row>
    <row r="309" ht="15.75" customHeight="1" s="57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49" t="n"/>
      <c r="L309" s="49" t="n"/>
      <c r="M309" s="49" t="n"/>
      <c r="N309" s="49" t="n"/>
      <c r="O309" s="49" t="n"/>
      <c r="P309" s="49" t="n"/>
    </row>
    <row r="310" ht="15.75" customHeight="1" s="57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49" t="n"/>
      <c r="L310" s="49" t="n"/>
      <c r="M310" s="49" t="n"/>
      <c r="N310" s="49" t="n"/>
      <c r="O310" s="49" t="n"/>
      <c r="P310" s="49" t="n"/>
    </row>
    <row r="311" ht="15.75" customHeight="1" s="57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49" t="n"/>
      <c r="L311" s="49" t="n"/>
      <c r="M311" s="49" t="n"/>
      <c r="N311" s="49" t="n"/>
      <c r="O311" s="49" t="n"/>
      <c r="P311" s="49" t="n"/>
    </row>
    <row r="312" ht="15.75" customHeight="1" s="57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49" t="n"/>
      <c r="L312" s="49" t="n"/>
      <c r="M312" s="49" t="n"/>
      <c r="N312" s="49" t="n"/>
      <c r="O312" s="49" t="n"/>
      <c r="P312" s="49" t="n"/>
    </row>
    <row r="313" ht="15.75" customHeight="1" s="57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49" t="n"/>
      <c r="L313" s="49" t="n"/>
      <c r="M313" s="49" t="n"/>
      <c r="N313" s="49" t="n"/>
      <c r="O313" s="49" t="n"/>
      <c r="P313" s="49" t="n"/>
    </row>
    <row r="314" ht="15.75" customHeight="1" s="57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49" t="n"/>
      <c r="L314" s="49" t="n"/>
      <c r="M314" s="49" t="n"/>
      <c r="N314" s="49" t="n"/>
      <c r="O314" s="49" t="n"/>
      <c r="P314" s="49" t="n"/>
    </row>
    <row r="315" ht="15.75" customHeight="1" s="57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49" t="n"/>
      <c r="L315" s="49" t="n"/>
      <c r="M315" s="49" t="n"/>
      <c r="N315" s="49" t="n"/>
      <c r="O315" s="49" t="n"/>
      <c r="P315" s="49" t="n"/>
    </row>
    <row r="316" ht="15.75" customHeight="1" s="57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49" t="n"/>
      <c r="L316" s="49" t="n"/>
      <c r="M316" s="49" t="n"/>
      <c r="N316" s="49" t="n"/>
      <c r="O316" s="49" t="n"/>
      <c r="P316" s="49" t="n"/>
    </row>
    <row r="317" ht="15.75" customHeight="1" s="57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49" t="n"/>
      <c r="L317" s="49" t="n"/>
      <c r="M317" s="49" t="n"/>
      <c r="N317" s="49" t="n"/>
      <c r="O317" s="49" t="n"/>
      <c r="P317" s="49" t="n"/>
    </row>
    <row r="318" ht="15.75" customHeight="1" s="57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49" t="n"/>
      <c r="L318" s="49" t="n"/>
      <c r="M318" s="49" t="n"/>
      <c r="N318" s="49" t="n"/>
      <c r="O318" s="49" t="n"/>
      <c r="P318" s="49" t="n"/>
    </row>
    <row r="319" ht="15.75" customHeight="1" s="57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49" t="n"/>
      <c r="L319" s="49" t="n"/>
      <c r="M319" s="49" t="n"/>
      <c r="N319" s="49" t="n"/>
      <c r="O319" s="49" t="n"/>
      <c r="P319" s="49" t="n"/>
    </row>
    <row r="320" ht="15.75" customHeight="1" s="57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49" t="n"/>
      <c r="L320" s="49" t="n"/>
      <c r="M320" s="49" t="n"/>
      <c r="N320" s="49" t="n"/>
      <c r="O320" s="49" t="n"/>
      <c r="P320" s="49" t="n"/>
    </row>
    <row r="321" ht="15.75" customHeight="1" s="57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49" t="n"/>
      <c r="L321" s="49" t="n"/>
      <c r="M321" s="49" t="n"/>
      <c r="N321" s="49" t="n"/>
      <c r="O321" s="49" t="n"/>
      <c r="P321" s="49" t="n"/>
    </row>
    <row r="322" ht="15.75" customHeight="1" s="57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49" t="n"/>
      <c r="L322" s="49" t="n"/>
      <c r="M322" s="49" t="n"/>
      <c r="N322" s="49" t="n"/>
      <c r="O322" s="49" t="n"/>
      <c r="P322" s="49" t="n"/>
    </row>
    <row r="323" ht="15.75" customHeight="1" s="57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49" t="n"/>
      <c r="L323" s="49" t="n"/>
      <c r="M323" s="49" t="n"/>
      <c r="N323" s="49" t="n"/>
      <c r="O323" s="49" t="n"/>
      <c r="P323" s="49" t="n"/>
    </row>
    <row r="324" ht="15.75" customHeight="1" s="57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49" t="n"/>
      <c r="L324" s="49" t="n"/>
      <c r="M324" s="49" t="n"/>
      <c r="N324" s="49" t="n"/>
      <c r="O324" s="49" t="n"/>
      <c r="P324" s="49" t="n"/>
    </row>
    <row r="325" ht="15.75" customHeight="1" s="57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49" t="n"/>
      <c r="L325" s="49" t="n"/>
      <c r="M325" s="49" t="n"/>
      <c r="N325" s="49" t="n"/>
      <c r="O325" s="49" t="n"/>
      <c r="P325" s="49" t="n"/>
    </row>
    <row r="326" ht="15.75" customHeight="1" s="57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49" t="n"/>
      <c r="L326" s="49" t="n"/>
      <c r="M326" s="49" t="n"/>
      <c r="N326" s="49" t="n"/>
      <c r="O326" s="49" t="n"/>
      <c r="P326" s="49" t="n"/>
    </row>
    <row r="327" ht="15.75" customHeight="1" s="57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49" t="n"/>
      <c r="L327" s="49" t="n"/>
      <c r="M327" s="49" t="n"/>
      <c r="N327" s="49" t="n"/>
      <c r="O327" s="49" t="n"/>
      <c r="P327" s="49" t="n"/>
    </row>
    <row r="328" ht="15.75" customHeight="1" s="57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49" t="n"/>
      <c r="L328" s="49" t="n"/>
      <c r="M328" s="49" t="n"/>
      <c r="N328" s="49" t="n"/>
      <c r="O328" s="49" t="n"/>
      <c r="P328" s="49" t="n"/>
    </row>
    <row r="329" ht="15.75" customHeight="1" s="57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49" t="n"/>
      <c r="L329" s="49" t="n"/>
      <c r="M329" s="49" t="n"/>
      <c r="N329" s="49" t="n"/>
      <c r="O329" s="49" t="n"/>
      <c r="P329" s="49" t="n"/>
    </row>
    <row r="330" ht="15.75" customHeight="1" s="57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49" t="n"/>
      <c r="L330" s="49" t="n"/>
      <c r="M330" s="49" t="n"/>
      <c r="N330" s="49" t="n"/>
      <c r="O330" s="49" t="n"/>
      <c r="P330" s="49" t="n"/>
    </row>
    <row r="331" ht="15.75" customHeight="1" s="57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49" t="n"/>
      <c r="L331" s="49" t="n"/>
      <c r="M331" s="49" t="n"/>
      <c r="N331" s="49" t="n"/>
      <c r="O331" s="49" t="n"/>
      <c r="P331" s="49" t="n"/>
    </row>
    <row r="332" ht="15.75" customHeight="1" s="57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49" t="n"/>
      <c r="L332" s="49" t="n"/>
      <c r="M332" s="49" t="n"/>
      <c r="N332" s="49" t="n"/>
      <c r="O332" s="49" t="n"/>
      <c r="P332" s="49" t="n"/>
    </row>
    <row r="333" ht="15.75" customHeight="1" s="57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49" t="n"/>
      <c r="L333" s="49" t="n"/>
      <c r="M333" s="49" t="n"/>
      <c r="N333" s="49" t="n"/>
      <c r="O333" s="49" t="n"/>
      <c r="P333" s="49" t="n"/>
    </row>
    <row r="334" ht="15.75" customHeight="1" s="57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49" t="n"/>
      <c r="L334" s="49" t="n"/>
      <c r="M334" s="49" t="n"/>
      <c r="N334" s="49" t="n"/>
      <c r="O334" s="49" t="n"/>
      <c r="P334" s="49" t="n"/>
    </row>
    <row r="335" ht="15.75" customHeight="1" s="57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49" t="n"/>
      <c r="L335" s="49" t="n"/>
      <c r="M335" s="49" t="n"/>
      <c r="N335" s="49" t="n"/>
      <c r="O335" s="49" t="n"/>
      <c r="P335" s="49" t="n"/>
    </row>
    <row r="336" ht="15.75" customHeight="1" s="57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49" t="n"/>
      <c r="L336" s="49" t="n"/>
      <c r="M336" s="49" t="n"/>
      <c r="N336" s="49" t="n"/>
      <c r="O336" s="49" t="n"/>
      <c r="P336" s="49" t="n"/>
    </row>
    <row r="337" ht="15.75" customHeight="1" s="57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49" t="n"/>
      <c r="L337" s="49" t="n"/>
      <c r="M337" s="49" t="n"/>
      <c r="N337" s="49" t="n"/>
      <c r="O337" s="49" t="n"/>
      <c r="P337" s="49" t="n"/>
    </row>
    <row r="338" ht="15.75" customHeight="1" s="57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49" t="n"/>
      <c r="L338" s="49" t="n"/>
      <c r="M338" s="49" t="n"/>
      <c r="N338" s="49" t="n"/>
      <c r="O338" s="49" t="n"/>
      <c r="P338" s="49" t="n"/>
    </row>
    <row r="339" ht="15.75" customHeight="1" s="57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49" t="n"/>
      <c r="L339" s="49" t="n"/>
      <c r="M339" s="49" t="n"/>
      <c r="N339" s="49" t="n"/>
      <c r="O339" s="49" t="n"/>
      <c r="P339" s="49" t="n"/>
    </row>
    <row r="340" ht="15.75" customHeight="1" s="57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49" t="n"/>
      <c r="L340" s="49" t="n"/>
      <c r="M340" s="49" t="n"/>
      <c r="N340" s="49" t="n"/>
      <c r="O340" s="49" t="n"/>
      <c r="P340" s="49" t="n"/>
    </row>
    <row r="341" ht="15.75" customHeight="1" s="57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49" t="n"/>
      <c r="L341" s="49" t="n"/>
      <c r="M341" s="49" t="n"/>
      <c r="N341" s="49" t="n"/>
      <c r="O341" s="49" t="n"/>
      <c r="P341" s="49" t="n"/>
    </row>
    <row r="342" ht="15.75" customHeight="1" s="57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49" t="n"/>
      <c r="L342" s="49" t="n"/>
      <c r="M342" s="49" t="n"/>
      <c r="N342" s="49" t="n"/>
      <c r="O342" s="49" t="n"/>
      <c r="P342" s="49" t="n"/>
    </row>
    <row r="343" ht="15.75" customHeight="1" s="57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49" t="n"/>
      <c r="L343" s="49" t="n"/>
      <c r="M343" s="49" t="n"/>
      <c r="N343" s="49" t="n"/>
      <c r="O343" s="49" t="n"/>
      <c r="P343" s="49" t="n"/>
    </row>
    <row r="344" ht="15.75" customHeight="1" s="57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49" t="n"/>
      <c r="L344" s="49" t="n"/>
      <c r="M344" s="49" t="n"/>
      <c r="N344" s="49" t="n"/>
      <c r="O344" s="49" t="n"/>
      <c r="P344" s="49" t="n"/>
    </row>
    <row r="345" ht="15.75" customHeight="1" s="57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49" t="n"/>
      <c r="L345" s="49" t="n"/>
      <c r="M345" s="49" t="n"/>
      <c r="N345" s="49" t="n"/>
      <c r="O345" s="49" t="n"/>
      <c r="P345" s="49" t="n"/>
    </row>
    <row r="346" ht="15.75" customHeight="1" s="57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49" t="n"/>
      <c r="L346" s="49" t="n"/>
      <c r="M346" s="49" t="n"/>
      <c r="N346" s="49" t="n"/>
      <c r="O346" s="49" t="n"/>
      <c r="P346" s="49" t="n"/>
    </row>
    <row r="347" ht="15.75" customHeight="1" s="57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49" t="n"/>
      <c r="L347" s="49" t="n"/>
      <c r="M347" s="49" t="n"/>
      <c r="N347" s="49" t="n"/>
      <c r="O347" s="49" t="n"/>
      <c r="P347" s="49" t="n"/>
    </row>
    <row r="348" ht="15.75" customHeight="1" s="57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49" t="n"/>
      <c r="L348" s="49" t="n"/>
      <c r="M348" s="49" t="n"/>
      <c r="N348" s="49" t="n"/>
      <c r="O348" s="49" t="n"/>
      <c r="P348" s="49" t="n"/>
    </row>
    <row r="349" ht="15.75" customHeight="1" s="57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49" t="n"/>
      <c r="L349" s="49" t="n"/>
      <c r="M349" s="49" t="n"/>
      <c r="N349" s="49" t="n"/>
      <c r="O349" s="49" t="n"/>
      <c r="P349" s="49" t="n"/>
    </row>
    <row r="350" ht="15.75" customHeight="1" s="57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49" t="n"/>
      <c r="L350" s="49" t="n"/>
      <c r="M350" s="49" t="n"/>
      <c r="N350" s="49" t="n"/>
      <c r="O350" s="49" t="n"/>
      <c r="P350" s="49" t="n"/>
    </row>
    <row r="351" ht="15.75" customHeight="1" s="57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49" t="n"/>
      <c r="L351" s="49" t="n"/>
      <c r="M351" s="49" t="n"/>
      <c r="N351" s="49" t="n"/>
      <c r="O351" s="49" t="n"/>
      <c r="P351" s="49" t="n"/>
    </row>
    <row r="352" ht="15.75" customHeight="1" s="57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49" t="n"/>
      <c r="L352" s="49" t="n"/>
      <c r="M352" s="49" t="n"/>
      <c r="N352" s="49" t="n"/>
      <c r="O352" s="49" t="n"/>
      <c r="P352" s="49" t="n"/>
    </row>
    <row r="353" ht="15.75" customHeight="1" s="57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49" t="n"/>
      <c r="L353" s="49" t="n"/>
      <c r="M353" s="49" t="n"/>
      <c r="N353" s="49" t="n"/>
      <c r="O353" s="49" t="n"/>
      <c r="P353" s="49" t="n"/>
    </row>
    <row r="354" ht="15.75" customHeight="1" s="57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49" t="n"/>
      <c r="L354" s="49" t="n"/>
      <c r="M354" s="49" t="n"/>
      <c r="N354" s="49" t="n"/>
      <c r="O354" s="49" t="n"/>
      <c r="P354" s="49" t="n"/>
    </row>
    <row r="355" ht="15.75" customHeight="1" s="57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49" t="n"/>
      <c r="L355" s="49" t="n"/>
      <c r="M355" s="49" t="n"/>
      <c r="N355" s="49" t="n"/>
      <c r="O355" s="49" t="n"/>
      <c r="P355" s="49" t="n"/>
    </row>
    <row r="356" ht="15.75" customHeight="1" s="57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49" t="n"/>
      <c r="L356" s="49" t="n"/>
      <c r="M356" s="49" t="n"/>
      <c r="N356" s="49" t="n"/>
      <c r="O356" s="49" t="n"/>
      <c r="P356" s="49" t="n"/>
    </row>
    <row r="357" ht="15.75" customHeight="1" s="57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49" t="n"/>
      <c r="L357" s="49" t="n"/>
      <c r="M357" s="49" t="n"/>
      <c r="N357" s="49" t="n"/>
      <c r="O357" s="49" t="n"/>
      <c r="P357" s="49" t="n"/>
    </row>
    <row r="358" ht="15.75" customHeight="1" s="57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49" t="n"/>
      <c r="L358" s="49" t="n"/>
      <c r="M358" s="49" t="n"/>
      <c r="N358" s="49" t="n"/>
      <c r="O358" s="49" t="n"/>
      <c r="P358" s="49" t="n"/>
    </row>
    <row r="359" ht="15.75" customHeight="1" s="57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49" t="n"/>
      <c r="L359" s="49" t="n"/>
      <c r="M359" s="49" t="n"/>
      <c r="N359" s="49" t="n"/>
      <c r="O359" s="49" t="n"/>
      <c r="P359" s="49" t="n"/>
    </row>
    <row r="360" ht="15.75" customHeight="1" s="57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49" t="n"/>
      <c r="L360" s="49" t="n"/>
      <c r="M360" s="49" t="n"/>
      <c r="N360" s="49" t="n"/>
      <c r="O360" s="49" t="n"/>
      <c r="P360" s="49" t="n"/>
    </row>
    <row r="361" ht="15.75" customHeight="1" s="57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49" t="n"/>
      <c r="L361" s="49" t="n"/>
      <c r="M361" s="49" t="n"/>
      <c r="N361" s="49" t="n"/>
      <c r="O361" s="49" t="n"/>
      <c r="P361" s="49" t="n"/>
    </row>
    <row r="362" ht="15.75" customHeight="1" s="57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49" t="n"/>
      <c r="L362" s="49" t="n"/>
      <c r="M362" s="49" t="n"/>
      <c r="N362" s="49" t="n"/>
      <c r="O362" s="49" t="n"/>
      <c r="P362" s="49" t="n"/>
    </row>
    <row r="363" ht="15.75" customHeight="1" s="57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49" t="n"/>
      <c r="L363" s="49" t="n"/>
      <c r="M363" s="49" t="n"/>
      <c r="N363" s="49" t="n"/>
      <c r="O363" s="49" t="n"/>
      <c r="P363" s="49" t="n"/>
    </row>
    <row r="364" ht="15.75" customHeight="1" s="57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49" t="n"/>
      <c r="L364" s="49" t="n"/>
      <c r="M364" s="49" t="n"/>
      <c r="N364" s="49" t="n"/>
      <c r="O364" s="49" t="n"/>
      <c r="P364" s="49" t="n"/>
    </row>
    <row r="365" ht="15.75" customHeight="1" s="57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49" t="n"/>
      <c r="L365" s="49" t="n"/>
      <c r="M365" s="49" t="n"/>
      <c r="N365" s="49" t="n"/>
      <c r="O365" s="49" t="n"/>
      <c r="P365" s="49" t="n"/>
    </row>
    <row r="366" ht="15.75" customHeight="1" s="57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49" t="n"/>
      <c r="L366" s="49" t="n"/>
      <c r="M366" s="49" t="n"/>
      <c r="N366" s="49" t="n"/>
      <c r="O366" s="49" t="n"/>
      <c r="P366" s="49" t="n"/>
    </row>
    <row r="367" ht="15.75" customHeight="1" s="57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49" t="n"/>
      <c r="L367" s="49" t="n"/>
      <c r="M367" s="49" t="n"/>
      <c r="N367" s="49" t="n"/>
      <c r="O367" s="49" t="n"/>
      <c r="P367" s="49" t="n"/>
    </row>
    <row r="368" ht="15.75" customHeight="1" s="57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49" t="n"/>
      <c r="L368" s="49" t="n"/>
      <c r="M368" s="49" t="n"/>
      <c r="N368" s="49" t="n"/>
      <c r="O368" s="49" t="n"/>
      <c r="P368" s="49" t="n"/>
    </row>
    <row r="369" ht="15.75" customHeight="1" s="57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49" t="n"/>
      <c r="L369" s="49" t="n"/>
      <c r="M369" s="49" t="n"/>
      <c r="N369" s="49" t="n"/>
      <c r="O369" s="49" t="n"/>
      <c r="P369" s="49" t="n"/>
    </row>
    <row r="370" ht="15.75" customHeight="1" s="57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49" t="n"/>
      <c r="L370" s="49" t="n"/>
      <c r="M370" s="49" t="n"/>
      <c r="N370" s="49" t="n"/>
      <c r="O370" s="49" t="n"/>
      <c r="P370" s="49" t="n"/>
    </row>
    <row r="371" ht="15.75" customHeight="1" s="57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49" t="n"/>
      <c r="L371" s="49" t="n"/>
      <c r="M371" s="49" t="n"/>
      <c r="N371" s="49" t="n"/>
      <c r="O371" s="49" t="n"/>
      <c r="P371" s="49" t="n"/>
    </row>
    <row r="372" ht="15.75" customHeight="1" s="57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49" t="n"/>
      <c r="L372" s="49" t="n"/>
      <c r="M372" s="49" t="n"/>
      <c r="N372" s="49" t="n"/>
      <c r="O372" s="49" t="n"/>
      <c r="P372" s="49" t="n"/>
    </row>
    <row r="373" ht="15.75" customHeight="1" s="57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49" t="n"/>
      <c r="L373" s="49" t="n"/>
      <c r="M373" s="49" t="n"/>
      <c r="N373" s="49" t="n"/>
      <c r="O373" s="49" t="n"/>
      <c r="P373" s="49" t="n"/>
    </row>
    <row r="374" ht="15.75" customHeight="1" s="57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49" t="n"/>
      <c r="L374" s="49" t="n"/>
      <c r="M374" s="49" t="n"/>
      <c r="N374" s="49" t="n"/>
      <c r="O374" s="49" t="n"/>
      <c r="P374" s="49" t="n"/>
    </row>
    <row r="375" ht="15.75" customHeight="1" s="57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49" t="n"/>
      <c r="L375" s="49" t="n"/>
      <c r="M375" s="49" t="n"/>
      <c r="N375" s="49" t="n"/>
      <c r="O375" s="49" t="n"/>
      <c r="P375" s="49" t="n"/>
    </row>
    <row r="376" ht="15.75" customHeight="1" s="57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49" t="n"/>
      <c r="L376" s="49" t="n"/>
      <c r="M376" s="49" t="n"/>
      <c r="N376" s="49" t="n"/>
      <c r="O376" s="49" t="n"/>
      <c r="P376" s="49" t="n"/>
    </row>
    <row r="377" ht="15.75" customHeight="1" s="57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49" t="n"/>
      <c r="L377" s="49" t="n"/>
      <c r="M377" s="49" t="n"/>
      <c r="N377" s="49" t="n"/>
      <c r="O377" s="49" t="n"/>
      <c r="P377" s="49" t="n"/>
    </row>
    <row r="378" ht="15.75" customHeight="1" s="57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49" t="n"/>
      <c r="L378" s="49" t="n"/>
      <c r="M378" s="49" t="n"/>
      <c r="N378" s="49" t="n"/>
      <c r="O378" s="49" t="n"/>
      <c r="P378" s="49" t="n"/>
    </row>
    <row r="379" ht="15.75" customHeight="1" s="57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49" t="n"/>
      <c r="L379" s="49" t="n"/>
      <c r="M379" s="49" t="n"/>
      <c r="N379" s="49" t="n"/>
      <c r="O379" s="49" t="n"/>
      <c r="P379" s="49" t="n"/>
    </row>
    <row r="380" ht="15.75" customHeight="1" s="57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49" t="n"/>
      <c r="L380" s="49" t="n"/>
      <c r="M380" s="49" t="n"/>
      <c r="N380" s="49" t="n"/>
      <c r="O380" s="49" t="n"/>
      <c r="P380" s="49" t="n"/>
    </row>
    <row r="381" ht="15.75" customHeight="1" s="57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49" t="n"/>
      <c r="L381" s="49" t="n"/>
      <c r="M381" s="49" t="n"/>
      <c r="N381" s="49" t="n"/>
      <c r="O381" s="49" t="n"/>
      <c r="P381" s="49" t="n"/>
    </row>
    <row r="382" ht="15.75" customHeight="1" s="57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49" t="n"/>
      <c r="L382" s="49" t="n"/>
      <c r="M382" s="49" t="n"/>
      <c r="N382" s="49" t="n"/>
      <c r="O382" s="49" t="n"/>
      <c r="P382" s="49" t="n"/>
    </row>
    <row r="383" ht="15.75" customHeight="1" s="57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49" t="n"/>
      <c r="L383" s="49" t="n"/>
      <c r="M383" s="49" t="n"/>
      <c r="N383" s="49" t="n"/>
      <c r="O383" s="49" t="n"/>
      <c r="P383" s="49" t="n"/>
    </row>
    <row r="384" ht="15.75" customHeight="1" s="57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49" t="n"/>
      <c r="L384" s="49" t="n"/>
      <c r="M384" s="49" t="n"/>
      <c r="N384" s="49" t="n"/>
      <c r="O384" s="49" t="n"/>
      <c r="P384" s="49" t="n"/>
    </row>
    <row r="385" ht="15.75" customHeight="1" s="57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49" t="n"/>
      <c r="L385" s="49" t="n"/>
      <c r="M385" s="49" t="n"/>
      <c r="N385" s="49" t="n"/>
      <c r="O385" s="49" t="n"/>
      <c r="P385" s="49" t="n"/>
    </row>
    <row r="386" ht="15.75" customHeight="1" s="57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49" t="n"/>
      <c r="L386" s="49" t="n"/>
      <c r="M386" s="49" t="n"/>
      <c r="N386" s="49" t="n"/>
      <c r="O386" s="49" t="n"/>
      <c r="P386" s="49" t="n"/>
    </row>
    <row r="387" ht="15.75" customHeight="1" s="57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49" t="n"/>
      <c r="L387" s="49" t="n"/>
      <c r="M387" s="49" t="n"/>
      <c r="N387" s="49" t="n"/>
      <c r="O387" s="49" t="n"/>
      <c r="P387" s="49" t="n"/>
    </row>
    <row r="388" ht="15.75" customHeight="1" s="57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49" t="n"/>
      <c r="L388" s="49" t="n"/>
      <c r="M388" s="49" t="n"/>
      <c r="N388" s="49" t="n"/>
      <c r="O388" s="49" t="n"/>
      <c r="P388" s="49" t="n"/>
    </row>
    <row r="389" ht="15.75" customHeight="1" s="57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49" t="n"/>
      <c r="L389" s="49" t="n"/>
      <c r="M389" s="49" t="n"/>
      <c r="N389" s="49" t="n"/>
      <c r="O389" s="49" t="n"/>
      <c r="P389" s="49" t="n"/>
    </row>
    <row r="390" ht="15.75" customHeight="1" s="57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49" t="n"/>
      <c r="L390" s="49" t="n"/>
      <c r="M390" s="49" t="n"/>
      <c r="N390" s="49" t="n"/>
      <c r="O390" s="49" t="n"/>
      <c r="P390" s="49" t="n"/>
    </row>
    <row r="391" ht="15.75" customHeight="1" s="57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49" t="n"/>
      <c r="L391" s="49" t="n"/>
      <c r="M391" s="49" t="n"/>
      <c r="N391" s="49" t="n"/>
      <c r="O391" s="49" t="n"/>
      <c r="P391" s="49" t="n"/>
    </row>
    <row r="392" ht="15.75" customHeight="1" s="57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49" t="n"/>
      <c r="L392" s="49" t="n"/>
      <c r="M392" s="49" t="n"/>
      <c r="N392" s="49" t="n"/>
      <c r="O392" s="49" t="n"/>
      <c r="P392" s="49" t="n"/>
    </row>
    <row r="393" ht="15.75" customHeight="1" s="57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49" t="n"/>
      <c r="L393" s="49" t="n"/>
      <c r="M393" s="49" t="n"/>
      <c r="N393" s="49" t="n"/>
      <c r="O393" s="49" t="n"/>
      <c r="P393" s="49" t="n"/>
    </row>
    <row r="394" ht="15.75" customHeight="1" s="57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49" t="n"/>
      <c r="L394" s="49" t="n"/>
      <c r="M394" s="49" t="n"/>
      <c r="N394" s="49" t="n"/>
      <c r="O394" s="49" t="n"/>
      <c r="P394" s="49" t="n"/>
    </row>
    <row r="395" ht="15.75" customHeight="1" s="57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49" t="n"/>
      <c r="L395" s="49" t="n"/>
      <c r="M395" s="49" t="n"/>
      <c r="N395" s="49" t="n"/>
      <c r="O395" s="49" t="n"/>
      <c r="P395" s="49" t="n"/>
    </row>
    <row r="396" ht="15.75" customHeight="1" s="57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49" t="n"/>
      <c r="L396" s="49" t="n"/>
      <c r="M396" s="49" t="n"/>
      <c r="N396" s="49" t="n"/>
      <c r="O396" s="49" t="n"/>
      <c r="P396" s="49" t="n"/>
    </row>
    <row r="397" ht="15.75" customHeight="1" s="57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49" t="n"/>
      <c r="L397" s="49" t="n"/>
      <c r="M397" s="49" t="n"/>
      <c r="N397" s="49" t="n"/>
      <c r="O397" s="49" t="n"/>
      <c r="P397" s="49" t="n"/>
    </row>
    <row r="398" ht="15.75" customHeight="1" s="57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49" t="n"/>
      <c r="L398" s="49" t="n"/>
      <c r="M398" s="49" t="n"/>
      <c r="N398" s="49" t="n"/>
      <c r="O398" s="49" t="n"/>
      <c r="P398" s="49" t="n"/>
    </row>
    <row r="399" ht="15.75" customHeight="1" s="57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49" t="n"/>
      <c r="L399" s="49" t="n"/>
      <c r="M399" s="49" t="n"/>
      <c r="N399" s="49" t="n"/>
      <c r="O399" s="49" t="n"/>
      <c r="P399" s="49" t="n"/>
    </row>
    <row r="400" ht="15.75" customHeight="1" s="57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49" t="n"/>
      <c r="L400" s="49" t="n"/>
      <c r="M400" s="49" t="n"/>
      <c r="N400" s="49" t="n"/>
      <c r="O400" s="49" t="n"/>
      <c r="P400" s="49" t="n"/>
    </row>
    <row r="401" ht="15.75" customHeight="1" s="57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49" t="n"/>
      <c r="L401" s="49" t="n"/>
      <c r="M401" s="49" t="n"/>
      <c r="N401" s="49" t="n"/>
      <c r="O401" s="49" t="n"/>
      <c r="P401" s="49" t="n"/>
    </row>
    <row r="402" ht="15.75" customHeight="1" s="57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49" t="n"/>
      <c r="L402" s="49" t="n"/>
      <c r="M402" s="49" t="n"/>
      <c r="N402" s="49" t="n"/>
      <c r="O402" s="49" t="n"/>
      <c r="P402" s="49" t="n"/>
    </row>
    <row r="403" ht="15.75" customHeight="1" s="57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49" t="n"/>
      <c r="L403" s="49" t="n"/>
      <c r="M403" s="49" t="n"/>
      <c r="N403" s="49" t="n"/>
      <c r="O403" s="49" t="n"/>
      <c r="P403" s="49" t="n"/>
    </row>
    <row r="404" ht="15.75" customHeight="1" s="57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49" t="n"/>
      <c r="L404" s="49" t="n"/>
      <c r="M404" s="49" t="n"/>
      <c r="N404" s="49" t="n"/>
      <c r="O404" s="49" t="n"/>
      <c r="P404" s="49" t="n"/>
    </row>
    <row r="405" ht="15.75" customHeight="1" s="57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49" t="n"/>
      <c r="L405" s="49" t="n"/>
      <c r="M405" s="49" t="n"/>
      <c r="N405" s="49" t="n"/>
      <c r="O405" s="49" t="n"/>
      <c r="P405" s="49" t="n"/>
    </row>
    <row r="406" ht="15.75" customHeight="1" s="57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49" t="n"/>
      <c r="L406" s="49" t="n"/>
      <c r="M406" s="49" t="n"/>
      <c r="N406" s="49" t="n"/>
      <c r="O406" s="49" t="n"/>
      <c r="P406" s="49" t="n"/>
    </row>
    <row r="407" ht="15.75" customHeight="1" s="57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49" t="n"/>
      <c r="L407" s="49" t="n"/>
      <c r="M407" s="49" t="n"/>
      <c r="N407" s="49" t="n"/>
      <c r="O407" s="49" t="n"/>
      <c r="P407" s="49" t="n"/>
    </row>
    <row r="408" ht="15.75" customHeight="1" s="57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49" t="n"/>
      <c r="L408" s="49" t="n"/>
      <c r="M408" s="49" t="n"/>
      <c r="N408" s="49" t="n"/>
      <c r="O408" s="49" t="n"/>
      <c r="P408" s="49" t="n"/>
    </row>
    <row r="409" ht="15.75" customHeight="1" s="57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49" t="n"/>
      <c r="L409" s="49" t="n"/>
      <c r="M409" s="49" t="n"/>
      <c r="N409" s="49" t="n"/>
      <c r="O409" s="49" t="n"/>
      <c r="P409" s="49" t="n"/>
    </row>
    <row r="410" ht="15.75" customHeight="1" s="57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49" t="n"/>
      <c r="L410" s="49" t="n"/>
      <c r="M410" s="49" t="n"/>
      <c r="N410" s="49" t="n"/>
      <c r="O410" s="49" t="n"/>
      <c r="P410" s="49" t="n"/>
    </row>
    <row r="411" ht="15.75" customHeight="1" s="57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49" t="n"/>
      <c r="L411" s="49" t="n"/>
      <c r="M411" s="49" t="n"/>
      <c r="N411" s="49" t="n"/>
      <c r="O411" s="49" t="n"/>
      <c r="P411" s="49" t="n"/>
    </row>
    <row r="412" ht="15.75" customHeight="1" s="57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49" t="n"/>
      <c r="L412" s="49" t="n"/>
      <c r="M412" s="49" t="n"/>
      <c r="N412" s="49" t="n"/>
      <c r="O412" s="49" t="n"/>
      <c r="P412" s="49" t="n"/>
    </row>
    <row r="413" ht="15.75" customHeight="1" s="57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49" t="n"/>
      <c r="L413" s="49" t="n"/>
      <c r="M413" s="49" t="n"/>
      <c r="N413" s="49" t="n"/>
      <c r="O413" s="49" t="n"/>
      <c r="P413" s="49" t="n"/>
    </row>
    <row r="414" ht="15.75" customHeight="1" s="57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49" t="n"/>
      <c r="L414" s="49" t="n"/>
      <c r="M414" s="49" t="n"/>
      <c r="N414" s="49" t="n"/>
      <c r="O414" s="49" t="n"/>
      <c r="P414" s="49" t="n"/>
    </row>
    <row r="415" ht="15.75" customHeight="1" s="57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49" t="n"/>
      <c r="L415" s="49" t="n"/>
      <c r="M415" s="49" t="n"/>
      <c r="N415" s="49" t="n"/>
      <c r="O415" s="49" t="n"/>
      <c r="P415" s="49" t="n"/>
    </row>
    <row r="416" ht="15.75" customHeight="1" s="57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49" t="n"/>
      <c r="L416" s="49" t="n"/>
      <c r="M416" s="49" t="n"/>
      <c r="N416" s="49" t="n"/>
      <c r="O416" s="49" t="n"/>
      <c r="P416" s="49" t="n"/>
    </row>
    <row r="417" ht="15.75" customHeight="1" s="57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49" t="n"/>
      <c r="L417" s="49" t="n"/>
      <c r="M417" s="49" t="n"/>
      <c r="N417" s="49" t="n"/>
      <c r="O417" s="49" t="n"/>
      <c r="P417" s="49" t="n"/>
    </row>
    <row r="418" ht="15.75" customHeight="1" s="57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49" t="n"/>
      <c r="L418" s="49" t="n"/>
      <c r="M418" s="49" t="n"/>
      <c r="N418" s="49" t="n"/>
      <c r="O418" s="49" t="n"/>
      <c r="P418" s="49" t="n"/>
    </row>
    <row r="419" ht="15.75" customHeight="1" s="57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49" t="n"/>
      <c r="L419" s="49" t="n"/>
      <c r="M419" s="49" t="n"/>
      <c r="N419" s="49" t="n"/>
      <c r="O419" s="49" t="n"/>
      <c r="P419" s="49" t="n"/>
    </row>
    <row r="420" ht="15.75" customHeight="1" s="57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49" t="n"/>
      <c r="L420" s="49" t="n"/>
      <c r="M420" s="49" t="n"/>
      <c r="N420" s="49" t="n"/>
      <c r="O420" s="49" t="n"/>
      <c r="P420" s="49" t="n"/>
    </row>
    <row r="421" ht="15.75" customHeight="1" s="57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49" t="n"/>
      <c r="L421" s="49" t="n"/>
      <c r="M421" s="49" t="n"/>
      <c r="N421" s="49" t="n"/>
      <c r="O421" s="49" t="n"/>
      <c r="P421" s="49" t="n"/>
    </row>
    <row r="422" ht="15.75" customHeight="1" s="57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49" t="n"/>
      <c r="L422" s="49" t="n"/>
      <c r="M422" s="49" t="n"/>
      <c r="N422" s="49" t="n"/>
      <c r="O422" s="49" t="n"/>
      <c r="P422" s="49" t="n"/>
    </row>
    <row r="423" ht="15.75" customHeight="1" s="57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49" t="n"/>
      <c r="L423" s="49" t="n"/>
      <c r="M423" s="49" t="n"/>
      <c r="N423" s="49" t="n"/>
      <c r="O423" s="49" t="n"/>
      <c r="P423" s="49" t="n"/>
    </row>
    <row r="424" ht="15.75" customHeight="1" s="57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49" t="n"/>
      <c r="L424" s="49" t="n"/>
      <c r="M424" s="49" t="n"/>
      <c r="N424" s="49" t="n"/>
      <c r="O424" s="49" t="n"/>
      <c r="P424" s="49" t="n"/>
    </row>
    <row r="425" ht="15.75" customHeight="1" s="57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49" t="n"/>
      <c r="L425" s="49" t="n"/>
      <c r="M425" s="49" t="n"/>
      <c r="N425" s="49" t="n"/>
      <c r="O425" s="49" t="n"/>
      <c r="P425" s="49" t="n"/>
    </row>
    <row r="426" ht="15.75" customHeight="1" s="57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49" t="n"/>
      <c r="L426" s="49" t="n"/>
      <c r="M426" s="49" t="n"/>
      <c r="N426" s="49" t="n"/>
      <c r="O426" s="49" t="n"/>
      <c r="P426" s="49" t="n"/>
    </row>
    <row r="427" ht="15.75" customHeight="1" s="57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49" t="n"/>
      <c r="L427" s="49" t="n"/>
      <c r="M427" s="49" t="n"/>
      <c r="N427" s="49" t="n"/>
      <c r="O427" s="49" t="n"/>
      <c r="P427" s="49" t="n"/>
    </row>
    <row r="428" ht="15.75" customHeight="1" s="57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49" t="n"/>
      <c r="L428" s="49" t="n"/>
      <c r="M428" s="49" t="n"/>
      <c r="N428" s="49" t="n"/>
      <c r="O428" s="49" t="n"/>
      <c r="P428" s="49" t="n"/>
    </row>
    <row r="429" ht="15.75" customHeight="1" s="57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49" t="n"/>
      <c r="L429" s="49" t="n"/>
      <c r="M429" s="49" t="n"/>
      <c r="N429" s="49" t="n"/>
      <c r="O429" s="49" t="n"/>
      <c r="P429" s="49" t="n"/>
    </row>
    <row r="430" ht="15.75" customHeight="1" s="57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49" t="n"/>
      <c r="L430" s="49" t="n"/>
      <c r="M430" s="49" t="n"/>
      <c r="N430" s="49" t="n"/>
      <c r="O430" s="49" t="n"/>
      <c r="P430" s="49" t="n"/>
    </row>
    <row r="431" ht="15.75" customHeight="1" s="57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49" t="n"/>
      <c r="L431" s="49" t="n"/>
      <c r="M431" s="49" t="n"/>
      <c r="N431" s="49" t="n"/>
      <c r="O431" s="49" t="n"/>
      <c r="P431" s="49" t="n"/>
    </row>
    <row r="432" ht="15.75" customHeight="1" s="57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49" t="n"/>
      <c r="L432" s="49" t="n"/>
      <c r="M432" s="49" t="n"/>
      <c r="N432" s="49" t="n"/>
      <c r="O432" s="49" t="n"/>
      <c r="P432" s="49" t="n"/>
    </row>
    <row r="433" ht="15.75" customHeight="1" s="57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49" t="n"/>
      <c r="L433" s="49" t="n"/>
      <c r="M433" s="49" t="n"/>
      <c r="N433" s="49" t="n"/>
      <c r="O433" s="49" t="n"/>
      <c r="P433" s="49" t="n"/>
    </row>
    <row r="434" ht="15.75" customHeight="1" s="57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49" t="n"/>
      <c r="L434" s="49" t="n"/>
      <c r="M434" s="49" t="n"/>
      <c r="N434" s="49" t="n"/>
      <c r="O434" s="49" t="n"/>
      <c r="P434" s="49" t="n"/>
    </row>
    <row r="435" ht="15.75" customHeight="1" s="57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49" t="n"/>
      <c r="L435" s="49" t="n"/>
      <c r="M435" s="49" t="n"/>
      <c r="N435" s="49" t="n"/>
      <c r="O435" s="49" t="n"/>
      <c r="P435" s="49" t="n"/>
    </row>
    <row r="436" ht="15.75" customHeight="1" s="57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49" t="n"/>
      <c r="L436" s="49" t="n"/>
      <c r="M436" s="49" t="n"/>
      <c r="N436" s="49" t="n"/>
      <c r="O436" s="49" t="n"/>
      <c r="P436" s="49" t="n"/>
    </row>
    <row r="437" ht="15.75" customHeight="1" s="57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49" t="n"/>
      <c r="L437" s="49" t="n"/>
      <c r="M437" s="49" t="n"/>
      <c r="N437" s="49" t="n"/>
      <c r="O437" s="49" t="n"/>
      <c r="P437" s="49" t="n"/>
    </row>
    <row r="438" ht="15.75" customHeight="1" s="57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49" t="n"/>
      <c r="L438" s="49" t="n"/>
      <c r="M438" s="49" t="n"/>
      <c r="N438" s="49" t="n"/>
      <c r="O438" s="49" t="n"/>
      <c r="P438" s="49" t="n"/>
    </row>
    <row r="439" ht="15.75" customHeight="1" s="57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49" t="n"/>
      <c r="L439" s="49" t="n"/>
      <c r="M439" s="49" t="n"/>
      <c r="N439" s="49" t="n"/>
      <c r="O439" s="49" t="n"/>
      <c r="P439" s="49" t="n"/>
    </row>
    <row r="440" ht="15.75" customHeight="1" s="57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49" t="n"/>
      <c r="L440" s="49" t="n"/>
      <c r="M440" s="49" t="n"/>
      <c r="N440" s="49" t="n"/>
      <c r="O440" s="49" t="n"/>
      <c r="P440" s="49" t="n"/>
    </row>
    <row r="441" ht="15.75" customHeight="1" s="57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49" t="n"/>
      <c r="L441" s="49" t="n"/>
      <c r="M441" s="49" t="n"/>
      <c r="N441" s="49" t="n"/>
      <c r="O441" s="49" t="n"/>
      <c r="P441" s="49" t="n"/>
    </row>
    <row r="442" ht="15.75" customHeight="1" s="57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49" t="n"/>
      <c r="L442" s="49" t="n"/>
      <c r="M442" s="49" t="n"/>
      <c r="N442" s="49" t="n"/>
      <c r="O442" s="49" t="n"/>
      <c r="P442" s="49" t="n"/>
    </row>
    <row r="443" ht="15.75" customHeight="1" s="57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49" t="n"/>
      <c r="L443" s="49" t="n"/>
      <c r="M443" s="49" t="n"/>
      <c r="N443" s="49" t="n"/>
      <c r="O443" s="49" t="n"/>
      <c r="P443" s="49" t="n"/>
    </row>
    <row r="444" ht="15.75" customHeight="1" s="57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49" t="n"/>
      <c r="L444" s="49" t="n"/>
      <c r="M444" s="49" t="n"/>
      <c r="N444" s="49" t="n"/>
      <c r="O444" s="49" t="n"/>
      <c r="P444" s="49" t="n"/>
    </row>
    <row r="445" ht="15.75" customHeight="1" s="57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49" t="n"/>
      <c r="L445" s="49" t="n"/>
      <c r="M445" s="49" t="n"/>
      <c r="N445" s="49" t="n"/>
      <c r="O445" s="49" t="n"/>
      <c r="P445" s="49" t="n"/>
    </row>
    <row r="446" ht="15.75" customHeight="1" s="57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49" t="n"/>
      <c r="L446" s="49" t="n"/>
      <c r="M446" s="49" t="n"/>
      <c r="N446" s="49" t="n"/>
      <c r="O446" s="49" t="n"/>
      <c r="P446" s="49" t="n"/>
    </row>
    <row r="447" ht="15.75" customHeight="1" s="57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49" t="n"/>
      <c r="L447" s="49" t="n"/>
      <c r="M447" s="49" t="n"/>
      <c r="N447" s="49" t="n"/>
      <c r="O447" s="49" t="n"/>
      <c r="P447" s="49" t="n"/>
    </row>
    <row r="448" ht="15.75" customHeight="1" s="57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49" t="n"/>
      <c r="L448" s="49" t="n"/>
      <c r="M448" s="49" t="n"/>
      <c r="N448" s="49" t="n"/>
      <c r="O448" s="49" t="n"/>
      <c r="P448" s="49" t="n"/>
    </row>
    <row r="449" ht="15.75" customHeight="1" s="57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49" t="n"/>
      <c r="L449" s="49" t="n"/>
      <c r="M449" s="49" t="n"/>
      <c r="N449" s="49" t="n"/>
      <c r="O449" s="49" t="n"/>
      <c r="P449" s="49" t="n"/>
    </row>
    <row r="450" ht="15.75" customHeight="1" s="57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49" t="n"/>
      <c r="L450" s="49" t="n"/>
      <c r="M450" s="49" t="n"/>
      <c r="N450" s="49" t="n"/>
      <c r="O450" s="49" t="n"/>
      <c r="P450" s="49" t="n"/>
    </row>
    <row r="451" ht="15.75" customHeight="1" s="57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49" t="n"/>
      <c r="L451" s="49" t="n"/>
      <c r="M451" s="49" t="n"/>
      <c r="N451" s="49" t="n"/>
      <c r="O451" s="49" t="n"/>
      <c r="P451" s="49" t="n"/>
    </row>
    <row r="452" ht="15.75" customHeight="1" s="57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49" t="n"/>
      <c r="L452" s="49" t="n"/>
      <c r="M452" s="49" t="n"/>
      <c r="N452" s="49" t="n"/>
      <c r="O452" s="49" t="n"/>
      <c r="P452" s="49" t="n"/>
    </row>
    <row r="453" ht="15.75" customHeight="1" s="57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49" t="n"/>
      <c r="L453" s="49" t="n"/>
      <c r="M453" s="49" t="n"/>
      <c r="N453" s="49" t="n"/>
      <c r="O453" s="49" t="n"/>
      <c r="P453" s="49" t="n"/>
    </row>
    <row r="454" ht="15.75" customHeight="1" s="57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49" t="n"/>
      <c r="L454" s="49" t="n"/>
      <c r="M454" s="49" t="n"/>
      <c r="N454" s="49" t="n"/>
      <c r="O454" s="49" t="n"/>
      <c r="P454" s="49" t="n"/>
    </row>
    <row r="455" ht="15.75" customHeight="1" s="57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49" t="n"/>
      <c r="L455" s="49" t="n"/>
      <c r="M455" s="49" t="n"/>
      <c r="N455" s="49" t="n"/>
      <c r="O455" s="49" t="n"/>
      <c r="P455" s="49" t="n"/>
    </row>
    <row r="456" ht="15.75" customHeight="1" s="57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49" t="n"/>
      <c r="L456" s="49" t="n"/>
      <c r="M456" s="49" t="n"/>
      <c r="N456" s="49" t="n"/>
      <c r="O456" s="49" t="n"/>
      <c r="P456" s="49" t="n"/>
    </row>
    <row r="457" ht="15.75" customHeight="1" s="57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49" t="n"/>
      <c r="L457" s="49" t="n"/>
      <c r="M457" s="49" t="n"/>
      <c r="N457" s="49" t="n"/>
      <c r="O457" s="49" t="n"/>
      <c r="P457" s="49" t="n"/>
    </row>
    <row r="458" ht="15.75" customHeight="1" s="57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49" t="n"/>
      <c r="L458" s="49" t="n"/>
      <c r="M458" s="49" t="n"/>
      <c r="N458" s="49" t="n"/>
      <c r="O458" s="49" t="n"/>
      <c r="P458" s="49" t="n"/>
    </row>
    <row r="459" ht="15.75" customHeight="1" s="57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49" t="n"/>
      <c r="L459" s="49" t="n"/>
      <c r="M459" s="49" t="n"/>
      <c r="N459" s="49" t="n"/>
      <c r="O459" s="49" t="n"/>
      <c r="P459" s="49" t="n"/>
    </row>
    <row r="460" ht="15.75" customHeight="1" s="57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49" t="n"/>
      <c r="L460" s="49" t="n"/>
      <c r="M460" s="49" t="n"/>
      <c r="N460" s="49" t="n"/>
      <c r="O460" s="49" t="n"/>
      <c r="P460" s="49" t="n"/>
    </row>
    <row r="461" ht="15.75" customHeight="1" s="57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49" t="n"/>
      <c r="L461" s="49" t="n"/>
      <c r="M461" s="49" t="n"/>
      <c r="N461" s="49" t="n"/>
      <c r="O461" s="49" t="n"/>
      <c r="P461" s="49" t="n"/>
    </row>
    <row r="462" ht="15.75" customHeight="1" s="57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49" t="n"/>
      <c r="L462" s="49" t="n"/>
      <c r="M462" s="49" t="n"/>
      <c r="N462" s="49" t="n"/>
      <c r="O462" s="49" t="n"/>
      <c r="P462" s="49" t="n"/>
    </row>
    <row r="463" ht="15.75" customHeight="1" s="57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49" t="n"/>
      <c r="L463" s="49" t="n"/>
      <c r="M463" s="49" t="n"/>
      <c r="N463" s="49" t="n"/>
      <c r="O463" s="49" t="n"/>
      <c r="P463" s="49" t="n"/>
    </row>
    <row r="464" ht="15.75" customHeight="1" s="57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49" t="n"/>
      <c r="L464" s="49" t="n"/>
      <c r="M464" s="49" t="n"/>
      <c r="N464" s="49" t="n"/>
      <c r="O464" s="49" t="n"/>
      <c r="P464" s="49" t="n"/>
    </row>
    <row r="465" ht="15.75" customHeight="1" s="57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49" t="n"/>
      <c r="L465" s="49" t="n"/>
      <c r="M465" s="49" t="n"/>
      <c r="N465" s="49" t="n"/>
      <c r="O465" s="49" t="n"/>
      <c r="P465" s="49" t="n"/>
    </row>
    <row r="466" ht="15.75" customHeight="1" s="57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49" t="n"/>
      <c r="L466" s="49" t="n"/>
      <c r="M466" s="49" t="n"/>
      <c r="N466" s="49" t="n"/>
      <c r="O466" s="49" t="n"/>
      <c r="P466" s="49" t="n"/>
    </row>
    <row r="467" ht="15.75" customHeight="1" s="57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49" t="n"/>
      <c r="L467" s="49" t="n"/>
      <c r="M467" s="49" t="n"/>
      <c r="N467" s="49" t="n"/>
      <c r="O467" s="49" t="n"/>
      <c r="P467" s="49" t="n"/>
    </row>
    <row r="468" ht="15.75" customHeight="1" s="57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49" t="n"/>
      <c r="L468" s="49" t="n"/>
      <c r="M468" s="49" t="n"/>
      <c r="N468" s="49" t="n"/>
      <c r="O468" s="49" t="n"/>
      <c r="P468" s="49" t="n"/>
    </row>
    <row r="469" ht="15.75" customHeight="1" s="57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49" t="n"/>
      <c r="L469" s="49" t="n"/>
      <c r="M469" s="49" t="n"/>
      <c r="N469" s="49" t="n"/>
      <c r="O469" s="49" t="n"/>
      <c r="P469" s="49" t="n"/>
    </row>
    <row r="470" ht="15.75" customHeight="1" s="57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49" t="n"/>
      <c r="L470" s="49" t="n"/>
      <c r="M470" s="49" t="n"/>
      <c r="N470" s="49" t="n"/>
      <c r="O470" s="49" t="n"/>
      <c r="P470" s="49" t="n"/>
    </row>
    <row r="471" ht="15.75" customHeight="1" s="57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49" t="n"/>
      <c r="L471" s="49" t="n"/>
      <c r="M471" s="49" t="n"/>
      <c r="N471" s="49" t="n"/>
      <c r="O471" s="49" t="n"/>
      <c r="P471" s="49" t="n"/>
    </row>
    <row r="472" ht="15.75" customHeight="1" s="57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49" t="n"/>
      <c r="L472" s="49" t="n"/>
      <c r="M472" s="49" t="n"/>
      <c r="N472" s="49" t="n"/>
      <c r="O472" s="49" t="n"/>
      <c r="P472" s="49" t="n"/>
    </row>
    <row r="473" ht="15.75" customHeight="1" s="57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49" t="n"/>
      <c r="L473" s="49" t="n"/>
      <c r="M473" s="49" t="n"/>
      <c r="N473" s="49" t="n"/>
      <c r="O473" s="49" t="n"/>
      <c r="P473" s="49" t="n"/>
    </row>
    <row r="474" ht="15.75" customHeight="1" s="57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49" t="n"/>
      <c r="L474" s="49" t="n"/>
      <c r="M474" s="49" t="n"/>
      <c r="N474" s="49" t="n"/>
      <c r="O474" s="49" t="n"/>
      <c r="P474" s="49" t="n"/>
    </row>
    <row r="475" ht="15.75" customHeight="1" s="57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49" t="n"/>
      <c r="L475" s="49" t="n"/>
      <c r="M475" s="49" t="n"/>
      <c r="N475" s="49" t="n"/>
      <c r="O475" s="49" t="n"/>
      <c r="P475" s="49" t="n"/>
    </row>
    <row r="476" ht="15.75" customHeight="1" s="57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49" t="n"/>
      <c r="L476" s="49" t="n"/>
      <c r="M476" s="49" t="n"/>
      <c r="N476" s="49" t="n"/>
      <c r="O476" s="49" t="n"/>
      <c r="P476" s="49" t="n"/>
    </row>
    <row r="477" ht="15.75" customHeight="1" s="57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49" t="n"/>
      <c r="L477" s="49" t="n"/>
      <c r="M477" s="49" t="n"/>
      <c r="N477" s="49" t="n"/>
      <c r="O477" s="49" t="n"/>
      <c r="P477" s="49" t="n"/>
    </row>
    <row r="478" ht="15.75" customHeight="1" s="57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49" t="n"/>
      <c r="L478" s="49" t="n"/>
      <c r="M478" s="49" t="n"/>
      <c r="N478" s="49" t="n"/>
      <c r="O478" s="49" t="n"/>
      <c r="P478" s="49" t="n"/>
    </row>
    <row r="479" ht="15.75" customHeight="1" s="57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49" t="n"/>
      <c r="L479" s="49" t="n"/>
      <c r="M479" s="49" t="n"/>
      <c r="N479" s="49" t="n"/>
      <c r="O479" s="49" t="n"/>
      <c r="P479" s="49" t="n"/>
    </row>
    <row r="480" ht="15.75" customHeight="1" s="57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49" t="n"/>
      <c r="L480" s="49" t="n"/>
      <c r="M480" s="49" t="n"/>
      <c r="N480" s="49" t="n"/>
      <c r="O480" s="49" t="n"/>
      <c r="P480" s="49" t="n"/>
    </row>
    <row r="481" ht="15.75" customHeight="1" s="57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49" t="n"/>
      <c r="L481" s="49" t="n"/>
      <c r="M481" s="49" t="n"/>
      <c r="N481" s="49" t="n"/>
      <c r="O481" s="49" t="n"/>
      <c r="P481" s="49" t="n"/>
    </row>
    <row r="482" ht="15.75" customHeight="1" s="57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49" t="n"/>
      <c r="L482" s="49" t="n"/>
      <c r="M482" s="49" t="n"/>
      <c r="N482" s="49" t="n"/>
      <c r="O482" s="49" t="n"/>
      <c r="P482" s="49" t="n"/>
    </row>
    <row r="483" ht="15.75" customHeight="1" s="57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49" t="n"/>
      <c r="L483" s="49" t="n"/>
      <c r="M483" s="49" t="n"/>
      <c r="N483" s="49" t="n"/>
      <c r="O483" s="49" t="n"/>
      <c r="P483" s="49" t="n"/>
    </row>
    <row r="484" ht="15.75" customHeight="1" s="57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49" t="n"/>
      <c r="L484" s="49" t="n"/>
      <c r="M484" s="49" t="n"/>
      <c r="N484" s="49" t="n"/>
      <c r="O484" s="49" t="n"/>
      <c r="P484" s="49" t="n"/>
    </row>
    <row r="485" ht="15.75" customHeight="1" s="57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49" t="n"/>
      <c r="L485" s="49" t="n"/>
      <c r="M485" s="49" t="n"/>
      <c r="N485" s="49" t="n"/>
      <c r="O485" s="49" t="n"/>
      <c r="P485" s="49" t="n"/>
    </row>
    <row r="486" ht="15.75" customHeight="1" s="57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49" t="n"/>
      <c r="L486" s="49" t="n"/>
      <c r="M486" s="49" t="n"/>
      <c r="N486" s="49" t="n"/>
      <c r="O486" s="49" t="n"/>
      <c r="P486" s="49" t="n"/>
    </row>
    <row r="487" ht="15.75" customHeight="1" s="57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49" t="n"/>
      <c r="L487" s="49" t="n"/>
      <c r="M487" s="49" t="n"/>
      <c r="N487" s="49" t="n"/>
      <c r="O487" s="49" t="n"/>
      <c r="P487" s="49" t="n"/>
    </row>
    <row r="488" ht="15.75" customHeight="1" s="57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49" t="n"/>
      <c r="L488" s="49" t="n"/>
      <c r="M488" s="49" t="n"/>
      <c r="N488" s="49" t="n"/>
      <c r="O488" s="49" t="n"/>
      <c r="P488" s="49" t="n"/>
    </row>
    <row r="489" ht="15.75" customHeight="1" s="57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49" t="n"/>
      <c r="L489" s="49" t="n"/>
      <c r="M489" s="49" t="n"/>
      <c r="N489" s="49" t="n"/>
      <c r="O489" s="49" t="n"/>
      <c r="P489" s="49" t="n"/>
    </row>
    <row r="490" ht="15.75" customHeight="1" s="57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49" t="n"/>
      <c r="L490" s="49" t="n"/>
      <c r="M490" s="49" t="n"/>
      <c r="N490" s="49" t="n"/>
      <c r="O490" s="49" t="n"/>
      <c r="P490" s="49" t="n"/>
    </row>
    <row r="491" ht="15.75" customHeight="1" s="57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49" t="n"/>
      <c r="L491" s="49" t="n"/>
      <c r="M491" s="49" t="n"/>
      <c r="N491" s="49" t="n"/>
      <c r="O491" s="49" t="n"/>
      <c r="P491" s="49" t="n"/>
    </row>
    <row r="492" ht="15.75" customHeight="1" s="57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49" t="n"/>
      <c r="L492" s="49" t="n"/>
      <c r="M492" s="49" t="n"/>
      <c r="N492" s="49" t="n"/>
      <c r="O492" s="49" t="n"/>
      <c r="P492" s="49" t="n"/>
    </row>
    <row r="493" ht="15.75" customHeight="1" s="57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49" t="n"/>
      <c r="L493" s="49" t="n"/>
      <c r="M493" s="49" t="n"/>
      <c r="N493" s="49" t="n"/>
      <c r="O493" s="49" t="n"/>
      <c r="P493" s="49" t="n"/>
    </row>
    <row r="494" ht="15.75" customHeight="1" s="57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49" t="n"/>
      <c r="L494" s="49" t="n"/>
      <c r="M494" s="49" t="n"/>
      <c r="N494" s="49" t="n"/>
      <c r="O494" s="49" t="n"/>
      <c r="P494" s="49" t="n"/>
    </row>
    <row r="495" ht="15.75" customHeight="1" s="57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49" t="n"/>
      <c r="L495" s="49" t="n"/>
      <c r="M495" s="49" t="n"/>
      <c r="N495" s="49" t="n"/>
      <c r="O495" s="49" t="n"/>
      <c r="P495" s="49" t="n"/>
    </row>
    <row r="496" ht="15.75" customHeight="1" s="57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49" t="n"/>
      <c r="L496" s="49" t="n"/>
      <c r="M496" s="49" t="n"/>
      <c r="N496" s="49" t="n"/>
      <c r="O496" s="49" t="n"/>
      <c r="P496" s="49" t="n"/>
    </row>
    <row r="497" ht="15.75" customHeight="1" s="57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49" t="n"/>
      <c r="L497" s="49" t="n"/>
      <c r="M497" s="49" t="n"/>
      <c r="N497" s="49" t="n"/>
      <c r="O497" s="49" t="n"/>
      <c r="P497" s="49" t="n"/>
    </row>
    <row r="498" ht="15.75" customHeight="1" s="57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49" t="n"/>
      <c r="L498" s="49" t="n"/>
      <c r="M498" s="49" t="n"/>
      <c r="N498" s="49" t="n"/>
      <c r="O498" s="49" t="n"/>
      <c r="P498" s="49" t="n"/>
    </row>
    <row r="499" ht="15.75" customHeight="1" s="57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49" t="n"/>
      <c r="L499" s="49" t="n"/>
      <c r="M499" s="49" t="n"/>
      <c r="N499" s="49" t="n"/>
      <c r="O499" s="49" t="n"/>
      <c r="P499" s="49" t="n"/>
    </row>
    <row r="500" ht="15.75" customHeight="1" s="57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49" t="n"/>
      <c r="L500" s="49" t="n"/>
      <c r="M500" s="49" t="n"/>
      <c r="N500" s="49" t="n"/>
      <c r="O500" s="49" t="n"/>
      <c r="P500" s="49" t="n"/>
    </row>
    <row r="501" ht="15.75" customHeight="1" s="57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49" t="n"/>
      <c r="L501" s="49" t="n"/>
      <c r="M501" s="49" t="n"/>
      <c r="N501" s="49" t="n"/>
      <c r="O501" s="49" t="n"/>
      <c r="P501" s="49" t="n"/>
    </row>
    <row r="502" ht="15.75" customHeight="1" s="57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49" t="n"/>
      <c r="L502" s="49" t="n"/>
      <c r="M502" s="49" t="n"/>
      <c r="N502" s="49" t="n"/>
      <c r="O502" s="49" t="n"/>
      <c r="P502" s="49" t="n"/>
    </row>
    <row r="503" ht="15.75" customHeight="1" s="57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49" t="n"/>
      <c r="L503" s="49" t="n"/>
      <c r="M503" s="49" t="n"/>
      <c r="N503" s="49" t="n"/>
      <c r="O503" s="49" t="n"/>
      <c r="P503" s="49" t="n"/>
    </row>
    <row r="504" ht="15.75" customHeight="1" s="57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49" t="n"/>
      <c r="L504" s="49" t="n"/>
      <c r="M504" s="49" t="n"/>
      <c r="N504" s="49" t="n"/>
      <c r="O504" s="49" t="n"/>
      <c r="P504" s="49" t="n"/>
    </row>
    <row r="505" ht="15.75" customHeight="1" s="57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49" t="n"/>
      <c r="L505" s="49" t="n"/>
      <c r="M505" s="49" t="n"/>
      <c r="N505" s="49" t="n"/>
      <c r="O505" s="49" t="n"/>
      <c r="P505" s="49" t="n"/>
    </row>
    <row r="506" ht="15.75" customHeight="1" s="57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49" t="n"/>
      <c r="L506" s="49" t="n"/>
      <c r="M506" s="49" t="n"/>
      <c r="N506" s="49" t="n"/>
      <c r="O506" s="49" t="n"/>
      <c r="P506" s="49" t="n"/>
    </row>
    <row r="507" ht="15.75" customHeight="1" s="57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49" t="n"/>
      <c r="L507" s="49" t="n"/>
      <c r="M507" s="49" t="n"/>
      <c r="N507" s="49" t="n"/>
      <c r="O507" s="49" t="n"/>
      <c r="P507" s="49" t="n"/>
    </row>
    <row r="508" ht="15.75" customHeight="1" s="57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49" t="n"/>
      <c r="L508" s="49" t="n"/>
      <c r="M508" s="49" t="n"/>
      <c r="N508" s="49" t="n"/>
      <c r="O508" s="49" t="n"/>
      <c r="P508" s="49" t="n"/>
    </row>
    <row r="509" ht="15.75" customHeight="1" s="57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49" t="n"/>
      <c r="L509" s="49" t="n"/>
      <c r="M509" s="49" t="n"/>
      <c r="N509" s="49" t="n"/>
      <c r="O509" s="49" t="n"/>
      <c r="P509" s="49" t="n"/>
    </row>
    <row r="510" ht="15.75" customHeight="1" s="57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49" t="n"/>
      <c r="L510" s="49" t="n"/>
      <c r="M510" s="49" t="n"/>
      <c r="N510" s="49" t="n"/>
      <c r="O510" s="49" t="n"/>
      <c r="P510" s="49" t="n"/>
    </row>
    <row r="511" ht="15.75" customHeight="1" s="57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49" t="n"/>
      <c r="L511" s="49" t="n"/>
      <c r="M511" s="49" t="n"/>
      <c r="N511" s="49" t="n"/>
      <c r="O511" s="49" t="n"/>
      <c r="P511" s="49" t="n"/>
    </row>
    <row r="512" ht="15.75" customHeight="1" s="57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49" t="n"/>
      <c r="L512" s="49" t="n"/>
      <c r="M512" s="49" t="n"/>
      <c r="N512" s="49" t="n"/>
      <c r="O512" s="49" t="n"/>
      <c r="P512" s="49" t="n"/>
    </row>
    <row r="513" ht="15.75" customHeight="1" s="57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49" t="n"/>
      <c r="L513" s="49" t="n"/>
      <c r="M513" s="49" t="n"/>
      <c r="N513" s="49" t="n"/>
      <c r="O513" s="49" t="n"/>
      <c r="P513" s="49" t="n"/>
    </row>
    <row r="514" ht="15.75" customHeight="1" s="57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49" t="n"/>
      <c r="L514" s="49" t="n"/>
      <c r="M514" s="49" t="n"/>
      <c r="N514" s="49" t="n"/>
      <c r="O514" s="49" t="n"/>
      <c r="P514" s="49" t="n"/>
    </row>
    <row r="515" ht="15.75" customHeight="1" s="57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49" t="n"/>
      <c r="L515" s="49" t="n"/>
      <c r="M515" s="49" t="n"/>
      <c r="N515" s="49" t="n"/>
      <c r="O515" s="49" t="n"/>
      <c r="P515" s="49" t="n"/>
    </row>
    <row r="516" ht="15.75" customHeight="1" s="57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49" t="n"/>
      <c r="L516" s="49" t="n"/>
      <c r="M516" s="49" t="n"/>
      <c r="N516" s="49" t="n"/>
      <c r="O516" s="49" t="n"/>
      <c r="P516" s="49" t="n"/>
    </row>
    <row r="517" ht="15.75" customHeight="1" s="57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49" t="n"/>
      <c r="L517" s="49" t="n"/>
      <c r="M517" s="49" t="n"/>
      <c r="N517" s="49" t="n"/>
      <c r="O517" s="49" t="n"/>
      <c r="P517" s="49" t="n"/>
    </row>
    <row r="518" ht="15.75" customHeight="1" s="57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49" t="n"/>
      <c r="L518" s="49" t="n"/>
      <c r="M518" s="49" t="n"/>
      <c r="N518" s="49" t="n"/>
      <c r="O518" s="49" t="n"/>
      <c r="P518" s="49" t="n"/>
    </row>
    <row r="519" ht="15.75" customHeight="1" s="57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49" t="n"/>
      <c r="L519" s="49" t="n"/>
      <c r="M519" s="49" t="n"/>
      <c r="N519" s="49" t="n"/>
      <c r="O519" s="49" t="n"/>
      <c r="P519" s="49" t="n"/>
    </row>
    <row r="520" ht="15.75" customHeight="1" s="57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49" t="n"/>
      <c r="L520" s="49" t="n"/>
      <c r="M520" s="49" t="n"/>
      <c r="N520" s="49" t="n"/>
      <c r="O520" s="49" t="n"/>
      <c r="P520" s="49" t="n"/>
    </row>
    <row r="521" ht="15.75" customHeight="1" s="57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49" t="n"/>
      <c r="L521" s="49" t="n"/>
      <c r="M521" s="49" t="n"/>
      <c r="N521" s="49" t="n"/>
      <c r="O521" s="49" t="n"/>
      <c r="P521" s="49" t="n"/>
    </row>
    <row r="522" ht="15.75" customHeight="1" s="57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49" t="n"/>
      <c r="L522" s="49" t="n"/>
      <c r="M522" s="49" t="n"/>
      <c r="N522" s="49" t="n"/>
      <c r="O522" s="49" t="n"/>
      <c r="P522" s="49" t="n"/>
    </row>
    <row r="523" ht="15.75" customHeight="1" s="57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49" t="n"/>
      <c r="L523" s="49" t="n"/>
      <c r="M523" s="49" t="n"/>
      <c r="N523" s="49" t="n"/>
      <c r="O523" s="49" t="n"/>
      <c r="P523" s="49" t="n"/>
    </row>
    <row r="524" ht="15.75" customHeight="1" s="57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49" t="n"/>
      <c r="L524" s="49" t="n"/>
      <c r="M524" s="49" t="n"/>
      <c r="N524" s="49" t="n"/>
      <c r="O524" s="49" t="n"/>
      <c r="P524" s="49" t="n"/>
    </row>
    <row r="525" ht="15.75" customHeight="1" s="57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49" t="n"/>
      <c r="L525" s="49" t="n"/>
      <c r="M525" s="49" t="n"/>
      <c r="N525" s="49" t="n"/>
      <c r="O525" s="49" t="n"/>
      <c r="P525" s="49" t="n"/>
    </row>
    <row r="526" ht="15.75" customHeight="1" s="57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49" t="n"/>
      <c r="L526" s="49" t="n"/>
      <c r="M526" s="49" t="n"/>
      <c r="N526" s="49" t="n"/>
      <c r="O526" s="49" t="n"/>
      <c r="P526" s="49" t="n"/>
    </row>
    <row r="527" ht="15.75" customHeight="1" s="57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49" t="n"/>
      <c r="L527" s="49" t="n"/>
      <c r="M527" s="49" t="n"/>
      <c r="N527" s="49" t="n"/>
      <c r="O527" s="49" t="n"/>
      <c r="P527" s="49" t="n"/>
    </row>
    <row r="528" ht="15.75" customHeight="1" s="57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49" t="n"/>
      <c r="L528" s="49" t="n"/>
      <c r="M528" s="49" t="n"/>
      <c r="N528" s="49" t="n"/>
      <c r="O528" s="49" t="n"/>
      <c r="P528" s="49" t="n"/>
    </row>
    <row r="529" ht="15.75" customHeight="1" s="57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49" t="n"/>
      <c r="L529" s="49" t="n"/>
      <c r="M529" s="49" t="n"/>
      <c r="N529" s="49" t="n"/>
      <c r="O529" s="49" t="n"/>
      <c r="P529" s="49" t="n"/>
    </row>
    <row r="530" ht="15.75" customHeight="1" s="57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49" t="n"/>
      <c r="L530" s="49" t="n"/>
      <c r="M530" s="49" t="n"/>
      <c r="N530" s="49" t="n"/>
      <c r="O530" s="49" t="n"/>
      <c r="P530" s="49" t="n"/>
    </row>
    <row r="531" ht="15.75" customHeight="1" s="57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49" t="n"/>
      <c r="L531" s="49" t="n"/>
      <c r="M531" s="49" t="n"/>
      <c r="N531" s="49" t="n"/>
      <c r="O531" s="49" t="n"/>
      <c r="P531" s="49" t="n"/>
    </row>
    <row r="532" ht="15.75" customHeight="1" s="57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49" t="n"/>
      <c r="L532" s="49" t="n"/>
      <c r="M532" s="49" t="n"/>
      <c r="N532" s="49" t="n"/>
      <c r="O532" s="49" t="n"/>
      <c r="P532" s="49" t="n"/>
    </row>
    <row r="533" ht="15.75" customHeight="1" s="57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49" t="n"/>
      <c r="L533" s="49" t="n"/>
      <c r="M533" s="49" t="n"/>
      <c r="N533" s="49" t="n"/>
      <c r="O533" s="49" t="n"/>
      <c r="P533" s="49" t="n"/>
    </row>
    <row r="534" ht="15.75" customHeight="1" s="57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49" t="n"/>
      <c r="L534" s="49" t="n"/>
      <c r="M534" s="49" t="n"/>
      <c r="N534" s="49" t="n"/>
      <c r="O534" s="49" t="n"/>
      <c r="P534" s="49" t="n"/>
    </row>
    <row r="535" ht="15.75" customHeight="1" s="57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49" t="n"/>
      <c r="L535" s="49" t="n"/>
      <c r="M535" s="49" t="n"/>
      <c r="N535" s="49" t="n"/>
      <c r="O535" s="49" t="n"/>
      <c r="P535" s="49" t="n"/>
    </row>
    <row r="536" ht="15.75" customHeight="1" s="57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49" t="n"/>
      <c r="L536" s="49" t="n"/>
      <c r="M536" s="49" t="n"/>
      <c r="N536" s="49" t="n"/>
      <c r="O536" s="49" t="n"/>
      <c r="P536" s="49" t="n"/>
    </row>
    <row r="537" ht="15.75" customHeight="1" s="57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49" t="n"/>
      <c r="L537" s="49" t="n"/>
      <c r="M537" s="49" t="n"/>
      <c r="N537" s="49" t="n"/>
      <c r="O537" s="49" t="n"/>
      <c r="P537" s="49" t="n"/>
    </row>
    <row r="538" ht="15.75" customHeight="1" s="57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49" t="n"/>
      <c r="L538" s="49" t="n"/>
      <c r="M538" s="49" t="n"/>
      <c r="N538" s="49" t="n"/>
      <c r="O538" s="49" t="n"/>
      <c r="P538" s="49" t="n"/>
    </row>
    <row r="539" ht="15.75" customHeight="1" s="57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49" t="n"/>
      <c r="L539" s="49" t="n"/>
      <c r="M539" s="49" t="n"/>
      <c r="N539" s="49" t="n"/>
      <c r="O539" s="49" t="n"/>
      <c r="P539" s="49" t="n"/>
    </row>
    <row r="540" ht="15.75" customHeight="1" s="57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49" t="n"/>
      <c r="L540" s="49" t="n"/>
      <c r="M540" s="49" t="n"/>
      <c r="N540" s="49" t="n"/>
      <c r="O540" s="49" t="n"/>
      <c r="P540" s="49" t="n"/>
    </row>
    <row r="541" ht="15.75" customHeight="1" s="57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49" t="n"/>
      <c r="L541" s="49" t="n"/>
      <c r="M541" s="49" t="n"/>
      <c r="N541" s="49" t="n"/>
      <c r="O541" s="49" t="n"/>
      <c r="P541" s="49" t="n"/>
    </row>
    <row r="542" ht="15.75" customHeight="1" s="57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49" t="n"/>
      <c r="L542" s="49" t="n"/>
      <c r="M542" s="49" t="n"/>
      <c r="N542" s="49" t="n"/>
      <c r="O542" s="49" t="n"/>
      <c r="P542" s="49" t="n"/>
    </row>
    <row r="543" ht="15.75" customHeight="1" s="57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49" t="n"/>
      <c r="L543" s="49" t="n"/>
      <c r="M543" s="49" t="n"/>
      <c r="N543" s="49" t="n"/>
      <c r="O543" s="49" t="n"/>
      <c r="P543" s="49" t="n"/>
    </row>
    <row r="544" ht="15.75" customHeight="1" s="57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49" t="n"/>
      <c r="L544" s="49" t="n"/>
      <c r="M544" s="49" t="n"/>
      <c r="N544" s="49" t="n"/>
      <c r="O544" s="49" t="n"/>
      <c r="P544" s="49" t="n"/>
    </row>
    <row r="545" ht="15.75" customHeight="1" s="57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49" t="n"/>
      <c r="L545" s="49" t="n"/>
      <c r="M545" s="49" t="n"/>
      <c r="N545" s="49" t="n"/>
      <c r="O545" s="49" t="n"/>
      <c r="P545" s="49" t="n"/>
    </row>
    <row r="546" ht="15.75" customHeight="1" s="57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49" t="n"/>
      <c r="L546" s="49" t="n"/>
      <c r="M546" s="49" t="n"/>
      <c r="N546" s="49" t="n"/>
      <c r="O546" s="49" t="n"/>
      <c r="P546" s="49" t="n"/>
    </row>
    <row r="547" ht="15.75" customHeight="1" s="57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49" t="n"/>
      <c r="L547" s="49" t="n"/>
      <c r="M547" s="49" t="n"/>
      <c r="N547" s="49" t="n"/>
      <c r="O547" s="49" t="n"/>
      <c r="P547" s="49" t="n"/>
    </row>
    <row r="548" ht="15.75" customHeight="1" s="57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49" t="n"/>
      <c r="L548" s="49" t="n"/>
      <c r="M548" s="49" t="n"/>
      <c r="N548" s="49" t="n"/>
      <c r="O548" s="49" t="n"/>
      <c r="P548" s="49" t="n"/>
    </row>
    <row r="549" ht="15.75" customHeight="1" s="57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49" t="n"/>
      <c r="L549" s="49" t="n"/>
      <c r="M549" s="49" t="n"/>
      <c r="N549" s="49" t="n"/>
      <c r="O549" s="49" t="n"/>
      <c r="P549" s="49" t="n"/>
    </row>
    <row r="550" ht="15.75" customHeight="1" s="57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49" t="n"/>
      <c r="L550" s="49" t="n"/>
      <c r="M550" s="49" t="n"/>
      <c r="N550" s="49" t="n"/>
      <c r="O550" s="49" t="n"/>
      <c r="P550" s="49" t="n"/>
    </row>
    <row r="551" ht="15.75" customHeight="1" s="57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49" t="n"/>
      <c r="L551" s="49" t="n"/>
      <c r="M551" s="49" t="n"/>
      <c r="N551" s="49" t="n"/>
      <c r="O551" s="49" t="n"/>
      <c r="P551" s="49" t="n"/>
    </row>
    <row r="552" ht="15.75" customHeight="1" s="57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49" t="n"/>
      <c r="L552" s="49" t="n"/>
      <c r="M552" s="49" t="n"/>
      <c r="N552" s="49" t="n"/>
      <c r="O552" s="49" t="n"/>
      <c r="P552" s="49" t="n"/>
    </row>
    <row r="553" ht="15.75" customHeight="1" s="57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49" t="n"/>
      <c r="L553" s="49" t="n"/>
      <c r="M553" s="49" t="n"/>
      <c r="N553" s="49" t="n"/>
      <c r="O553" s="49" t="n"/>
      <c r="P553" s="49" t="n"/>
    </row>
    <row r="554" ht="15.75" customHeight="1" s="57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49" t="n"/>
      <c r="L554" s="49" t="n"/>
      <c r="M554" s="49" t="n"/>
      <c r="N554" s="49" t="n"/>
      <c r="O554" s="49" t="n"/>
      <c r="P554" s="49" t="n"/>
    </row>
    <row r="555" ht="15.75" customHeight="1" s="57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49" t="n"/>
      <c r="L555" s="49" t="n"/>
      <c r="M555" s="49" t="n"/>
      <c r="N555" s="49" t="n"/>
      <c r="O555" s="49" t="n"/>
      <c r="P555" s="49" t="n"/>
    </row>
    <row r="556" ht="15.75" customHeight="1" s="57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49" t="n"/>
      <c r="L556" s="49" t="n"/>
      <c r="M556" s="49" t="n"/>
      <c r="N556" s="49" t="n"/>
      <c r="O556" s="49" t="n"/>
      <c r="P556" s="49" t="n"/>
    </row>
    <row r="557" ht="15.75" customHeight="1" s="57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49" t="n"/>
      <c r="L557" s="49" t="n"/>
      <c r="M557" s="49" t="n"/>
      <c r="N557" s="49" t="n"/>
      <c r="O557" s="49" t="n"/>
      <c r="P557" s="49" t="n"/>
    </row>
    <row r="558" ht="15.75" customHeight="1" s="57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49" t="n"/>
      <c r="L558" s="49" t="n"/>
      <c r="M558" s="49" t="n"/>
      <c r="N558" s="49" t="n"/>
      <c r="O558" s="49" t="n"/>
      <c r="P558" s="49" t="n"/>
    </row>
    <row r="559" ht="15.75" customHeight="1" s="57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49" t="n"/>
      <c r="L559" s="49" t="n"/>
      <c r="M559" s="49" t="n"/>
      <c r="N559" s="49" t="n"/>
      <c r="O559" s="49" t="n"/>
      <c r="P559" s="49" t="n"/>
    </row>
    <row r="560" ht="15.75" customHeight="1" s="57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49" t="n"/>
      <c r="L560" s="49" t="n"/>
      <c r="M560" s="49" t="n"/>
      <c r="N560" s="49" t="n"/>
      <c r="O560" s="49" t="n"/>
      <c r="P560" s="49" t="n"/>
    </row>
    <row r="561" ht="15.75" customHeight="1" s="57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49" t="n"/>
      <c r="L561" s="49" t="n"/>
      <c r="M561" s="49" t="n"/>
      <c r="N561" s="49" t="n"/>
      <c r="O561" s="49" t="n"/>
      <c r="P561" s="49" t="n"/>
    </row>
    <row r="562" ht="15.75" customHeight="1" s="57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49" t="n"/>
      <c r="L562" s="49" t="n"/>
      <c r="M562" s="49" t="n"/>
      <c r="N562" s="49" t="n"/>
      <c r="O562" s="49" t="n"/>
      <c r="P562" s="49" t="n"/>
    </row>
    <row r="563" ht="15.75" customHeight="1" s="57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49" t="n"/>
      <c r="L563" s="49" t="n"/>
      <c r="M563" s="49" t="n"/>
      <c r="N563" s="49" t="n"/>
      <c r="O563" s="49" t="n"/>
      <c r="P563" s="49" t="n"/>
    </row>
    <row r="564" ht="15.75" customHeight="1" s="57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49" t="n"/>
      <c r="L564" s="49" t="n"/>
      <c r="M564" s="49" t="n"/>
      <c r="N564" s="49" t="n"/>
      <c r="O564" s="49" t="n"/>
      <c r="P564" s="49" t="n"/>
    </row>
    <row r="565" ht="15.75" customHeight="1" s="57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49" t="n"/>
      <c r="L565" s="49" t="n"/>
      <c r="M565" s="49" t="n"/>
      <c r="N565" s="49" t="n"/>
      <c r="O565" s="49" t="n"/>
      <c r="P565" s="49" t="n"/>
    </row>
    <row r="566" ht="15.75" customHeight="1" s="57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49" t="n"/>
      <c r="L566" s="49" t="n"/>
      <c r="M566" s="49" t="n"/>
      <c r="N566" s="49" t="n"/>
      <c r="O566" s="49" t="n"/>
      <c r="P566" s="49" t="n"/>
    </row>
    <row r="567" ht="15.75" customHeight="1" s="57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49" t="n"/>
      <c r="L567" s="49" t="n"/>
      <c r="M567" s="49" t="n"/>
      <c r="N567" s="49" t="n"/>
      <c r="O567" s="49" t="n"/>
      <c r="P567" s="49" t="n"/>
    </row>
    <row r="568" ht="15.75" customHeight="1" s="57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49" t="n"/>
      <c r="L568" s="49" t="n"/>
      <c r="M568" s="49" t="n"/>
      <c r="N568" s="49" t="n"/>
      <c r="O568" s="49" t="n"/>
      <c r="P568" s="49" t="n"/>
    </row>
    <row r="569" ht="15.75" customHeight="1" s="57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49" t="n"/>
      <c r="L569" s="49" t="n"/>
      <c r="M569" s="49" t="n"/>
      <c r="N569" s="49" t="n"/>
      <c r="O569" s="49" t="n"/>
      <c r="P569" s="49" t="n"/>
    </row>
    <row r="570" ht="15.75" customHeight="1" s="57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49" t="n"/>
      <c r="L570" s="49" t="n"/>
      <c r="M570" s="49" t="n"/>
      <c r="N570" s="49" t="n"/>
      <c r="O570" s="49" t="n"/>
      <c r="P570" s="49" t="n"/>
    </row>
    <row r="571" ht="15.75" customHeight="1" s="57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49" t="n"/>
      <c r="L571" s="49" t="n"/>
      <c r="M571" s="49" t="n"/>
      <c r="N571" s="49" t="n"/>
      <c r="O571" s="49" t="n"/>
      <c r="P571" s="49" t="n"/>
    </row>
    <row r="572" ht="15.75" customHeight="1" s="57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49" t="n"/>
      <c r="L572" s="49" t="n"/>
      <c r="M572" s="49" t="n"/>
      <c r="N572" s="49" t="n"/>
      <c r="O572" s="49" t="n"/>
      <c r="P572" s="49" t="n"/>
    </row>
    <row r="573" ht="15.75" customHeight="1" s="57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49" t="n"/>
      <c r="L573" s="49" t="n"/>
      <c r="M573" s="49" t="n"/>
      <c r="N573" s="49" t="n"/>
      <c r="O573" s="49" t="n"/>
      <c r="P573" s="49" t="n"/>
    </row>
    <row r="574" ht="15.75" customHeight="1" s="57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49" t="n"/>
      <c r="L574" s="49" t="n"/>
      <c r="M574" s="49" t="n"/>
      <c r="N574" s="49" t="n"/>
      <c r="O574" s="49" t="n"/>
      <c r="P574" s="49" t="n"/>
    </row>
    <row r="575" ht="15.75" customHeight="1" s="57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49" t="n"/>
      <c r="L575" s="49" t="n"/>
      <c r="M575" s="49" t="n"/>
      <c r="N575" s="49" t="n"/>
      <c r="O575" s="49" t="n"/>
      <c r="P575" s="49" t="n"/>
    </row>
    <row r="576" ht="15.75" customHeight="1" s="57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49" t="n"/>
      <c r="L576" s="49" t="n"/>
      <c r="M576" s="49" t="n"/>
      <c r="N576" s="49" t="n"/>
      <c r="O576" s="49" t="n"/>
      <c r="P576" s="49" t="n"/>
    </row>
    <row r="577" ht="15.75" customHeight="1" s="57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49" t="n"/>
      <c r="L577" s="49" t="n"/>
      <c r="M577" s="49" t="n"/>
      <c r="N577" s="49" t="n"/>
      <c r="O577" s="49" t="n"/>
      <c r="P577" s="49" t="n"/>
    </row>
    <row r="578" ht="15.75" customHeight="1" s="57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49" t="n"/>
      <c r="L578" s="49" t="n"/>
      <c r="M578" s="49" t="n"/>
      <c r="N578" s="49" t="n"/>
      <c r="O578" s="49" t="n"/>
      <c r="P578" s="49" t="n"/>
    </row>
    <row r="579" ht="15.75" customHeight="1" s="57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49" t="n"/>
      <c r="L579" s="49" t="n"/>
      <c r="M579" s="49" t="n"/>
      <c r="N579" s="49" t="n"/>
      <c r="O579" s="49" t="n"/>
      <c r="P579" s="49" t="n"/>
    </row>
    <row r="580" ht="15.75" customHeight="1" s="57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49" t="n"/>
      <c r="L580" s="49" t="n"/>
      <c r="M580" s="49" t="n"/>
      <c r="N580" s="49" t="n"/>
      <c r="O580" s="49" t="n"/>
      <c r="P580" s="49" t="n"/>
    </row>
    <row r="581" ht="15.75" customHeight="1" s="57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49" t="n"/>
      <c r="L581" s="49" t="n"/>
      <c r="M581" s="49" t="n"/>
      <c r="N581" s="49" t="n"/>
      <c r="O581" s="49" t="n"/>
      <c r="P581" s="49" t="n"/>
    </row>
    <row r="582" ht="15.75" customHeight="1" s="57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49" t="n"/>
      <c r="L582" s="49" t="n"/>
      <c r="M582" s="49" t="n"/>
      <c r="N582" s="49" t="n"/>
      <c r="O582" s="49" t="n"/>
      <c r="P582" s="49" t="n"/>
    </row>
    <row r="583" ht="15.75" customHeight="1" s="57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49" t="n"/>
      <c r="L583" s="49" t="n"/>
      <c r="M583" s="49" t="n"/>
      <c r="N583" s="49" t="n"/>
      <c r="O583" s="49" t="n"/>
      <c r="P583" s="49" t="n"/>
    </row>
    <row r="584" ht="15.75" customHeight="1" s="57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49" t="n"/>
      <c r="L584" s="49" t="n"/>
      <c r="M584" s="49" t="n"/>
      <c r="N584" s="49" t="n"/>
      <c r="O584" s="49" t="n"/>
      <c r="P584" s="49" t="n"/>
    </row>
    <row r="585" ht="15.75" customHeight="1" s="57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49" t="n"/>
      <c r="L585" s="49" t="n"/>
      <c r="M585" s="49" t="n"/>
      <c r="N585" s="49" t="n"/>
      <c r="O585" s="49" t="n"/>
      <c r="P585" s="49" t="n"/>
    </row>
    <row r="586" ht="15.75" customHeight="1" s="57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49" t="n"/>
      <c r="L586" s="49" t="n"/>
      <c r="M586" s="49" t="n"/>
      <c r="N586" s="49" t="n"/>
      <c r="O586" s="49" t="n"/>
      <c r="P586" s="49" t="n"/>
    </row>
    <row r="587" ht="15.75" customHeight="1" s="57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49" t="n"/>
      <c r="L587" s="49" t="n"/>
      <c r="M587" s="49" t="n"/>
      <c r="N587" s="49" t="n"/>
      <c r="O587" s="49" t="n"/>
      <c r="P587" s="49" t="n"/>
    </row>
    <row r="588" ht="15.75" customHeight="1" s="57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49" t="n"/>
      <c r="L588" s="49" t="n"/>
      <c r="M588" s="49" t="n"/>
      <c r="N588" s="49" t="n"/>
      <c r="O588" s="49" t="n"/>
      <c r="P588" s="49" t="n"/>
    </row>
    <row r="589" ht="15.75" customHeight="1" s="57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49" t="n"/>
      <c r="L589" s="49" t="n"/>
      <c r="M589" s="49" t="n"/>
      <c r="N589" s="49" t="n"/>
      <c r="O589" s="49" t="n"/>
      <c r="P589" s="49" t="n"/>
    </row>
    <row r="590" ht="15.75" customHeight="1" s="57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49" t="n"/>
      <c r="L590" s="49" t="n"/>
      <c r="M590" s="49" t="n"/>
      <c r="N590" s="49" t="n"/>
      <c r="O590" s="49" t="n"/>
      <c r="P590" s="49" t="n"/>
    </row>
    <row r="591" ht="15.75" customHeight="1" s="57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49" t="n"/>
      <c r="L591" s="49" t="n"/>
      <c r="M591" s="49" t="n"/>
      <c r="N591" s="49" t="n"/>
      <c r="O591" s="49" t="n"/>
      <c r="P591" s="49" t="n"/>
    </row>
    <row r="592" ht="15.75" customHeight="1" s="57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49" t="n"/>
      <c r="L592" s="49" t="n"/>
      <c r="M592" s="49" t="n"/>
      <c r="N592" s="49" t="n"/>
      <c r="O592" s="49" t="n"/>
      <c r="P592" s="49" t="n"/>
    </row>
    <row r="593" ht="15.75" customHeight="1" s="57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49" t="n"/>
      <c r="L593" s="49" t="n"/>
      <c r="M593" s="49" t="n"/>
      <c r="N593" s="49" t="n"/>
      <c r="O593" s="49" t="n"/>
      <c r="P593" s="49" t="n"/>
    </row>
    <row r="594" ht="15.75" customHeight="1" s="57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49" t="n"/>
      <c r="L594" s="49" t="n"/>
      <c r="M594" s="49" t="n"/>
      <c r="N594" s="49" t="n"/>
      <c r="O594" s="49" t="n"/>
      <c r="P594" s="49" t="n"/>
    </row>
    <row r="595" ht="15.75" customHeight="1" s="57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49" t="n"/>
      <c r="L595" s="49" t="n"/>
      <c r="M595" s="49" t="n"/>
      <c r="N595" s="49" t="n"/>
      <c r="O595" s="49" t="n"/>
      <c r="P595" s="49" t="n"/>
    </row>
    <row r="596" ht="15.75" customHeight="1" s="57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49" t="n"/>
      <c r="L596" s="49" t="n"/>
      <c r="M596" s="49" t="n"/>
      <c r="N596" s="49" t="n"/>
      <c r="O596" s="49" t="n"/>
      <c r="P596" s="49" t="n"/>
    </row>
    <row r="597" ht="15.75" customHeight="1" s="57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49" t="n"/>
      <c r="L597" s="49" t="n"/>
      <c r="M597" s="49" t="n"/>
      <c r="N597" s="49" t="n"/>
      <c r="O597" s="49" t="n"/>
      <c r="P597" s="49" t="n"/>
    </row>
    <row r="598" ht="15.75" customHeight="1" s="57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49" t="n"/>
      <c r="L598" s="49" t="n"/>
      <c r="M598" s="49" t="n"/>
      <c r="N598" s="49" t="n"/>
      <c r="O598" s="49" t="n"/>
      <c r="P598" s="49" t="n"/>
    </row>
    <row r="599" ht="15.75" customHeight="1" s="57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49" t="n"/>
      <c r="L599" s="49" t="n"/>
      <c r="M599" s="49" t="n"/>
      <c r="N599" s="49" t="n"/>
      <c r="O599" s="49" t="n"/>
      <c r="P599" s="49" t="n"/>
    </row>
    <row r="600" ht="15.75" customHeight="1" s="57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49" t="n"/>
      <c r="L600" s="49" t="n"/>
      <c r="M600" s="49" t="n"/>
      <c r="N600" s="49" t="n"/>
      <c r="O600" s="49" t="n"/>
      <c r="P600" s="49" t="n"/>
    </row>
    <row r="601" ht="15.75" customHeight="1" s="57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49" t="n"/>
      <c r="L601" s="49" t="n"/>
      <c r="M601" s="49" t="n"/>
      <c r="N601" s="49" t="n"/>
      <c r="O601" s="49" t="n"/>
      <c r="P601" s="49" t="n"/>
    </row>
    <row r="602" ht="15.75" customHeight="1" s="57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49" t="n"/>
      <c r="L602" s="49" t="n"/>
      <c r="M602" s="49" t="n"/>
      <c r="N602" s="49" t="n"/>
      <c r="O602" s="49" t="n"/>
      <c r="P602" s="49" t="n"/>
    </row>
    <row r="603" ht="15.75" customHeight="1" s="57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49" t="n"/>
      <c r="L603" s="49" t="n"/>
      <c r="M603" s="49" t="n"/>
      <c r="N603" s="49" t="n"/>
      <c r="O603" s="49" t="n"/>
      <c r="P603" s="49" t="n"/>
    </row>
    <row r="604" ht="15.75" customHeight="1" s="57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49" t="n"/>
      <c r="L604" s="49" t="n"/>
      <c r="M604" s="49" t="n"/>
      <c r="N604" s="49" t="n"/>
      <c r="O604" s="49" t="n"/>
      <c r="P604" s="49" t="n"/>
    </row>
    <row r="605" ht="15.75" customHeight="1" s="57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49" t="n"/>
      <c r="L605" s="49" t="n"/>
      <c r="M605" s="49" t="n"/>
      <c r="N605" s="49" t="n"/>
      <c r="O605" s="49" t="n"/>
      <c r="P605" s="49" t="n"/>
    </row>
    <row r="606" ht="15.75" customHeight="1" s="57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49" t="n"/>
      <c r="L606" s="49" t="n"/>
      <c r="M606" s="49" t="n"/>
      <c r="N606" s="49" t="n"/>
      <c r="O606" s="49" t="n"/>
      <c r="P606" s="49" t="n"/>
    </row>
    <row r="607" ht="15.75" customHeight="1" s="57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49" t="n"/>
      <c r="L607" s="49" t="n"/>
      <c r="M607" s="49" t="n"/>
      <c r="N607" s="49" t="n"/>
      <c r="O607" s="49" t="n"/>
      <c r="P607" s="49" t="n"/>
    </row>
    <row r="608" ht="15.75" customHeight="1" s="57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49" t="n"/>
      <c r="L608" s="49" t="n"/>
      <c r="M608" s="49" t="n"/>
      <c r="N608" s="49" t="n"/>
      <c r="O608" s="49" t="n"/>
      <c r="P608" s="49" t="n"/>
    </row>
    <row r="609" ht="15.75" customHeight="1" s="57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49" t="n"/>
      <c r="L609" s="49" t="n"/>
      <c r="M609" s="49" t="n"/>
      <c r="N609" s="49" t="n"/>
      <c r="O609" s="49" t="n"/>
      <c r="P609" s="49" t="n"/>
    </row>
    <row r="610" ht="15.75" customHeight="1" s="57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49" t="n"/>
      <c r="L610" s="49" t="n"/>
      <c r="M610" s="49" t="n"/>
      <c r="N610" s="49" t="n"/>
      <c r="O610" s="49" t="n"/>
      <c r="P610" s="49" t="n"/>
    </row>
    <row r="611" ht="15.75" customHeight="1" s="57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49" t="n"/>
      <c r="L611" s="49" t="n"/>
      <c r="M611" s="49" t="n"/>
      <c r="N611" s="49" t="n"/>
      <c r="O611" s="49" t="n"/>
      <c r="P611" s="49" t="n"/>
    </row>
    <row r="612" ht="15.75" customHeight="1" s="57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49" t="n"/>
      <c r="L612" s="49" t="n"/>
      <c r="M612" s="49" t="n"/>
      <c r="N612" s="49" t="n"/>
      <c r="O612" s="49" t="n"/>
      <c r="P612" s="49" t="n"/>
    </row>
    <row r="613" ht="15.75" customHeight="1" s="57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49" t="n"/>
      <c r="L613" s="49" t="n"/>
      <c r="M613" s="49" t="n"/>
      <c r="N613" s="49" t="n"/>
      <c r="O613" s="49" t="n"/>
      <c r="P613" s="49" t="n"/>
    </row>
    <row r="614" ht="15.75" customHeight="1" s="57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49" t="n"/>
      <c r="L614" s="49" t="n"/>
      <c r="M614" s="49" t="n"/>
      <c r="N614" s="49" t="n"/>
      <c r="O614" s="49" t="n"/>
      <c r="P614" s="49" t="n"/>
    </row>
    <row r="615" ht="15.75" customHeight="1" s="57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49" t="n"/>
      <c r="L615" s="49" t="n"/>
      <c r="M615" s="49" t="n"/>
      <c r="N615" s="49" t="n"/>
      <c r="O615" s="49" t="n"/>
      <c r="P615" s="49" t="n"/>
    </row>
    <row r="616" ht="15.75" customHeight="1" s="57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49" t="n"/>
      <c r="L616" s="49" t="n"/>
      <c r="M616" s="49" t="n"/>
      <c r="N616" s="49" t="n"/>
      <c r="O616" s="49" t="n"/>
      <c r="P616" s="49" t="n"/>
    </row>
    <row r="617" ht="15.75" customHeight="1" s="57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49" t="n"/>
      <c r="L617" s="49" t="n"/>
      <c r="M617" s="49" t="n"/>
      <c r="N617" s="49" t="n"/>
      <c r="O617" s="49" t="n"/>
      <c r="P617" s="49" t="n"/>
    </row>
    <row r="618" ht="15.75" customHeight="1" s="57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49" t="n"/>
      <c r="L618" s="49" t="n"/>
      <c r="M618" s="49" t="n"/>
      <c r="N618" s="49" t="n"/>
      <c r="O618" s="49" t="n"/>
      <c r="P618" s="49" t="n"/>
    </row>
    <row r="619" ht="15.75" customHeight="1" s="57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49" t="n"/>
      <c r="L619" s="49" t="n"/>
      <c r="M619" s="49" t="n"/>
      <c r="N619" s="49" t="n"/>
      <c r="O619" s="49" t="n"/>
      <c r="P619" s="49" t="n"/>
    </row>
    <row r="620" ht="15.75" customHeight="1" s="57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49" t="n"/>
      <c r="L620" s="49" t="n"/>
      <c r="M620" s="49" t="n"/>
      <c r="N620" s="49" t="n"/>
      <c r="O620" s="49" t="n"/>
      <c r="P620" s="49" t="n"/>
    </row>
    <row r="621" ht="15.75" customHeight="1" s="57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49" t="n"/>
      <c r="L621" s="49" t="n"/>
      <c r="M621" s="49" t="n"/>
      <c r="N621" s="49" t="n"/>
      <c r="O621" s="49" t="n"/>
      <c r="P621" s="49" t="n"/>
    </row>
    <row r="622" ht="15.75" customHeight="1" s="57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49" t="n"/>
      <c r="L622" s="49" t="n"/>
      <c r="M622" s="49" t="n"/>
      <c r="N622" s="49" t="n"/>
      <c r="O622" s="49" t="n"/>
      <c r="P622" s="49" t="n"/>
    </row>
    <row r="623" ht="15.75" customHeight="1" s="57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49" t="n"/>
      <c r="L623" s="49" t="n"/>
      <c r="M623" s="49" t="n"/>
      <c r="N623" s="49" t="n"/>
      <c r="O623" s="49" t="n"/>
      <c r="P623" s="49" t="n"/>
    </row>
    <row r="624" ht="15.75" customHeight="1" s="57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49" t="n"/>
      <c r="L624" s="49" t="n"/>
      <c r="M624" s="49" t="n"/>
      <c r="N624" s="49" t="n"/>
      <c r="O624" s="49" t="n"/>
      <c r="P624" s="49" t="n"/>
    </row>
    <row r="625" ht="15.75" customHeight="1" s="57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49" t="n"/>
      <c r="L625" s="49" t="n"/>
      <c r="M625" s="49" t="n"/>
      <c r="N625" s="49" t="n"/>
      <c r="O625" s="49" t="n"/>
      <c r="P625" s="49" t="n"/>
    </row>
    <row r="626" ht="15.75" customHeight="1" s="57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49" t="n"/>
      <c r="L626" s="49" t="n"/>
      <c r="M626" s="49" t="n"/>
      <c r="N626" s="49" t="n"/>
      <c r="O626" s="49" t="n"/>
      <c r="P626" s="49" t="n"/>
    </row>
    <row r="627" ht="15.75" customHeight="1" s="57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49" t="n"/>
      <c r="L627" s="49" t="n"/>
      <c r="M627" s="49" t="n"/>
      <c r="N627" s="49" t="n"/>
      <c r="O627" s="49" t="n"/>
      <c r="P627" s="49" t="n"/>
    </row>
    <row r="628" ht="15.75" customHeight="1" s="57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49" t="n"/>
      <c r="L628" s="49" t="n"/>
      <c r="M628" s="49" t="n"/>
      <c r="N628" s="49" t="n"/>
      <c r="O628" s="49" t="n"/>
      <c r="P628" s="49" t="n"/>
    </row>
    <row r="629" ht="15.75" customHeight="1" s="57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49" t="n"/>
      <c r="L629" s="49" t="n"/>
      <c r="M629" s="49" t="n"/>
      <c r="N629" s="49" t="n"/>
      <c r="O629" s="49" t="n"/>
      <c r="P629" s="49" t="n"/>
    </row>
    <row r="630" ht="15.75" customHeight="1" s="57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49" t="n"/>
      <c r="L630" s="49" t="n"/>
      <c r="M630" s="49" t="n"/>
      <c r="N630" s="49" t="n"/>
      <c r="O630" s="49" t="n"/>
      <c r="P630" s="49" t="n"/>
    </row>
    <row r="631" ht="15.75" customHeight="1" s="57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49" t="n"/>
      <c r="L631" s="49" t="n"/>
      <c r="M631" s="49" t="n"/>
      <c r="N631" s="49" t="n"/>
      <c r="O631" s="49" t="n"/>
      <c r="P631" s="49" t="n"/>
    </row>
    <row r="632" ht="15.75" customHeight="1" s="57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49" t="n"/>
      <c r="L632" s="49" t="n"/>
      <c r="M632" s="49" t="n"/>
      <c r="N632" s="49" t="n"/>
      <c r="O632" s="49" t="n"/>
      <c r="P632" s="49" t="n"/>
    </row>
    <row r="633" ht="15.75" customHeight="1" s="57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49" t="n"/>
      <c r="L633" s="49" t="n"/>
      <c r="M633" s="49" t="n"/>
      <c r="N633" s="49" t="n"/>
      <c r="O633" s="49" t="n"/>
      <c r="P633" s="49" t="n"/>
    </row>
    <row r="634" ht="15.75" customHeight="1" s="57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49" t="n"/>
      <c r="L634" s="49" t="n"/>
      <c r="M634" s="49" t="n"/>
      <c r="N634" s="49" t="n"/>
      <c r="O634" s="49" t="n"/>
      <c r="P634" s="49" t="n"/>
    </row>
    <row r="635" ht="15.75" customHeight="1" s="57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49" t="n"/>
      <c r="L635" s="49" t="n"/>
      <c r="M635" s="49" t="n"/>
      <c r="N635" s="49" t="n"/>
      <c r="O635" s="49" t="n"/>
      <c r="P635" s="49" t="n"/>
    </row>
    <row r="636" ht="15.75" customHeight="1" s="57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49" t="n"/>
      <c r="L636" s="49" t="n"/>
      <c r="M636" s="49" t="n"/>
      <c r="N636" s="49" t="n"/>
      <c r="O636" s="49" t="n"/>
      <c r="P636" s="49" t="n"/>
    </row>
    <row r="637" ht="15.75" customHeight="1" s="57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49" t="n"/>
      <c r="L637" s="49" t="n"/>
      <c r="M637" s="49" t="n"/>
      <c r="N637" s="49" t="n"/>
      <c r="O637" s="49" t="n"/>
      <c r="P637" s="49" t="n"/>
    </row>
    <row r="638" ht="15.75" customHeight="1" s="57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49" t="n"/>
      <c r="L638" s="49" t="n"/>
      <c r="M638" s="49" t="n"/>
      <c r="N638" s="49" t="n"/>
      <c r="O638" s="49" t="n"/>
      <c r="P638" s="49" t="n"/>
    </row>
    <row r="639" ht="15.75" customHeight="1" s="57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49" t="n"/>
      <c r="L639" s="49" t="n"/>
      <c r="M639" s="49" t="n"/>
      <c r="N639" s="49" t="n"/>
      <c r="O639" s="49" t="n"/>
      <c r="P639" s="49" t="n"/>
    </row>
    <row r="640" ht="15.75" customHeight="1" s="57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49" t="n"/>
      <c r="L640" s="49" t="n"/>
      <c r="M640" s="49" t="n"/>
      <c r="N640" s="49" t="n"/>
      <c r="O640" s="49" t="n"/>
      <c r="P640" s="49" t="n"/>
    </row>
    <row r="641" ht="15.75" customHeight="1" s="57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49" t="n"/>
      <c r="L641" s="49" t="n"/>
      <c r="M641" s="49" t="n"/>
      <c r="N641" s="49" t="n"/>
      <c r="O641" s="49" t="n"/>
      <c r="P641" s="49" t="n"/>
    </row>
    <row r="642" ht="15.75" customHeight="1" s="57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49" t="n"/>
      <c r="L642" s="49" t="n"/>
      <c r="M642" s="49" t="n"/>
      <c r="N642" s="49" t="n"/>
      <c r="O642" s="49" t="n"/>
      <c r="P642" s="49" t="n"/>
    </row>
    <row r="643" ht="15.75" customHeight="1" s="57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49" t="n"/>
      <c r="L643" s="49" t="n"/>
      <c r="M643" s="49" t="n"/>
      <c r="N643" s="49" t="n"/>
      <c r="O643" s="49" t="n"/>
      <c r="P643" s="49" t="n"/>
    </row>
    <row r="644" ht="15.75" customHeight="1" s="57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49" t="n"/>
      <c r="L644" s="49" t="n"/>
      <c r="M644" s="49" t="n"/>
      <c r="N644" s="49" t="n"/>
      <c r="O644" s="49" t="n"/>
      <c r="P644" s="49" t="n"/>
    </row>
    <row r="645" ht="15.75" customHeight="1" s="57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49" t="n"/>
      <c r="L645" s="49" t="n"/>
      <c r="M645" s="49" t="n"/>
      <c r="N645" s="49" t="n"/>
      <c r="O645" s="49" t="n"/>
      <c r="P645" s="49" t="n"/>
    </row>
    <row r="646" ht="15.75" customHeight="1" s="57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49" t="n"/>
      <c r="L646" s="49" t="n"/>
      <c r="M646" s="49" t="n"/>
      <c r="N646" s="49" t="n"/>
      <c r="O646" s="49" t="n"/>
      <c r="P646" s="49" t="n"/>
    </row>
    <row r="647" ht="15.75" customHeight="1" s="57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49" t="n"/>
      <c r="L647" s="49" t="n"/>
      <c r="M647" s="49" t="n"/>
      <c r="N647" s="49" t="n"/>
      <c r="O647" s="49" t="n"/>
      <c r="P647" s="49" t="n"/>
    </row>
    <row r="648" ht="15.75" customHeight="1" s="57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49" t="n"/>
      <c r="L648" s="49" t="n"/>
      <c r="M648" s="49" t="n"/>
      <c r="N648" s="49" t="n"/>
      <c r="O648" s="49" t="n"/>
      <c r="P648" s="49" t="n"/>
    </row>
    <row r="649" ht="15.75" customHeight="1" s="57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49" t="n"/>
      <c r="L649" s="49" t="n"/>
      <c r="M649" s="49" t="n"/>
      <c r="N649" s="49" t="n"/>
      <c r="O649" s="49" t="n"/>
      <c r="P649" s="49" t="n"/>
    </row>
    <row r="650" ht="15.75" customHeight="1" s="57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49" t="n"/>
      <c r="L650" s="49" t="n"/>
      <c r="M650" s="49" t="n"/>
      <c r="N650" s="49" t="n"/>
      <c r="O650" s="49" t="n"/>
      <c r="P650" s="49" t="n"/>
    </row>
    <row r="651" ht="15.75" customHeight="1" s="57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49" t="n"/>
      <c r="L651" s="49" t="n"/>
      <c r="M651" s="49" t="n"/>
      <c r="N651" s="49" t="n"/>
      <c r="O651" s="49" t="n"/>
      <c r="P651" s="49" t="n"/>
    </row>
    <row r="652" ht="15.75" customHeight="1" s="57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49" t="n"/>
      <c r="L652" s="49" t="n"/>
      <c r="M652" s="49" t="n"/>
      <c r="N652" s="49" t="n"/>
      <c r="O652" s="49" t="n"/>
      <c r="P652" s="49" t="n"/>
    </row>
    <row r="653" ht="15.75" customHeight="1" s="57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49" t="n"/>
      <c r="L653" s="49" t="n"/>
      <c r="M653" s="49" t="n"/>
      <c r="N653" s="49" t="n"/>
      <c r="O653" s="49" t="n"/>
      <c r="P653" s="49" t="n"/>
    </row>
    <row r="654" ht="15.75" customHeight="1" s="57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49" t="n"/>
      <c r="L654" s="49" t="n"/>
      <c r="M654" s="49" t="n"/>
      <c r="N654" s="49" t="n"/>
      <c r="O654" s="49" t="n"/>
      <c r="P654" s="49" t="n"/>
    </row>
    <row r="655" ht="15.75" customHeight="1" s="57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49" t="n"/>
      <c r="L655" s="49" t="n"/>
      <c r="M655" s="49" t="n"/>
      <c r="N655" s="49" t="n"/>
      <c r="O655" s="49" t="n"/>
      <c r="P655" s="49" t="n"/>
    </row>
    <row r="656" ht="15.75" customHeight="1" s="57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49" t="n"/>
      <c r="L656" s="49" t="n"/>
      <c r="M656" s="49" t="n"/>
      <c r="N656" s="49" t="n"/>
      <c r="O656" s="49" t="n"/>
      <c r="P656" s="49" t="n"/>
    </row>
    <row r="657" ht="15.75" customHeight="1" s="57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49" t="n"/>
      <c r="L657" s="49" t="n"/>
      <c r="M657" s="49" t="n"/>
      <c r="N657" s="49" t="n"/>
      <c r="O657" s="49" t="n"/>
      <c r="P657" s="49" t="n"/>
    </row>
    <row r="658" ht="15.75" customHeight="1" s="57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49" t="n"/>
      <c r="L658" s="49" t="n"/>
      <c r="M658" s="49" t="n"/>
      <c r="N658" s="49" t="n"/>
      <c r="O658" s="49" t="n"/>
      <c r="P658" s="49" t="n"/>
    </row>
    <row r="659" ht="15.75" customHeight="1" s="57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49" t="n"/>
      <c r="L659" s="49" t="n"/>
      <c r="M659" s="49" t="n"/>
      <c r="N659" s="49" t="n"/>
      <c r="O659" s="49" t="n"/>
      <c r="P659" s="49" t="n"/>
    </row>
    <row r="660" ht="15.75" customHeight="1" s="57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49" t="n"/>
      <c r="L660" s="49" t="n"/>
      <c r="M660" s="49" t="n"/>
      <c r="N660" s="49" t="n"/>
      <c r="O660" s="49" t="n"/>
      <c r="P660" s="49" t="n"/>
    </row>
    <row r="661" ht="15.75" customHeight="1" s="57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49" t="n"/>
      <c r="L661" s="49" t="n"/>
      <c r="M661" s="49" t="n"/>
      <c r="N661" s="49" t="n"/>
      <c r="O661" s="49" t="n"/>
      <c r="P661" s="49" t="n"/>
    </row>
    <row r="662" ht="15.75" customHeight="1" s="57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49" t="n"/>
      <c r="L662" s="49" t="n"/>
      <c r="M662" s="49" t="n"/>
      <c r="N662" s="49" t="n"/>
      <c r="O662" s="49" t="n"/>
      <c r="P662" s="49" t="n"/>
    </row>
    <row r="663" ht="15.75" customHeight="1" s="57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49" t="n"/>
      <c r="L663" s="49" t="n"/>
      <c r="M663" s="49" t="n"/>
      <c r="N663" s="49" t="n"/>
      <c r="O663" s="49" t="n"/>
      <c r="P663" s="49" t="n"/>
    </row>
    <row r="664" ht="15.75" customHeight="1" s="57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49" t="n"/>
      <c r="L664" s="49" t="n"/>
      <c r="M664" s="49" t="n"/>
      <c r="N664" s="49" t="n"/>
      <c r="O664" s="49" t="n"/>
      <c r="P664" s="49" t="n"/>
    </row>
    <row r="665" ht="15.75" customHeight="1" s="57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49" t="n"/>
      <c r="L665" s="49" t="n"/>
      <c r="M665" s="49" t="n"/>
      <c r="N665" s="49" t="n"/>
      <c r="O665" s="49" t="n"/>
      <c r="P665" s="49" t="n"/>
    </row>
    <row r="666" ht="15.75" customHeight="1" s="57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49" t="n"/>
      <c r="L666" s="49" t="n"/>
      <c r="M666" s="49" t="n"/>
      <c r="N666" s="49" t="n"/>
      <c r="O666" s="49" t="n"/>
      <c r="P666" s="49" t="n"/>
    </row>
    <row r="667" ht="15.75" customHeight="1" s="57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49" t="n"/>
      <c r="L667" s="49" t="n"/>
      <c r="M667" s="49" t="n"/>
      <c r="N667" s="49" t="n"/>
      <c r="O667" s="49" t="n"/>
      <c r="P667" s="49" t="n"/>
    </row>
    <row r="668" ht="15.75" customHeight="1" s="57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49" t="n"/>
      <c r="L668" s="49" t="n"/>
      <c r="M668" s="49" t="n"/>
      <c r="N668" s="49" t="n"/>
      <c r="O668" s="49" t="n"/>
      <c r="P668" s="49" t="n"/>
    </row>
    <row r="669" ht="15.75" customHeight="1" s="57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49" t="n"/>
      <c r="L669" s="49" t="n"/>
      <c r="M669" s="49" t="n"/>
      <c r="N669" s="49" t="n"/>
      <c r="O669" s="49" t="n"/>
      <c r="P669" s="49" t="n"/>
    </row>
    <row r="670" ht="15.75" customHeight="1" s="57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49" t="n"/>
      <c r="L670" s="49" t="n"/>
      <c r="M670" s="49" t="n"/>
      <c r="N670" s="49" t="n"/>
      <c r="O670" s="49" t="n"/>
      <c r="P670" s="49" t="n"/>
    </row>
    <row r="671" ht="15.75" customHeight="1" s="57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49" t="n"/>
      <c r="L671" s="49" t="n"/>
      <c r="M671" s="49" t="n"/>
      <c r="N671" s="49" t="n"/>
      <c r="O671" s="49" t="n"/>
      <c r="P671" s="49" t="n"/>
    </row>
    <row r="672" ht="15.75" customHeight="1" s="57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49" t="n"/>
      <c r="L672" s="49" t="n"/>
      <c r="M672" s="49" t="n"/>
      <c r="N672" s="49" t="n"/>
      <c r="O672" s="49" t="n"/>
      <c r="P672" s="49" t="n"/>
    </row>
    <row r="673" ht="15.75" customHeight="1" s="57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49" t="n"/>
      <c r="L673" s="49" t="n"/>
      <c r="M673" s="49" t="n"/>
      <c r="N673" s="49" t="n"/>
      <c r="O673" s="49" t="n"/>
      <c r="P673" s="49" t="n"/>
    </row>
    <row r="674" ht="15.75" customHeight="1" s="57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49" t="n"/>
      <c r="L674" s="49" t="n"/>
      <c r="M674" s="49" t="n"/>
      <c r="N674" s="49" t="n"/>
      <c r="O674" s="49" t="n"/>
      <c r="P674" s="49" t="n"/>
    </row>
    <row r="675" ht="15.75" customHeight="1" s="57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49" t="n"/>
      <c r="L675" s="49" t="n"/>
      <c r="M675" s="49" t="n"/>
      <c r="N675" s="49" t="n"/>
      <c r="O675" s="49" t="n"/>
      <c r="P675" s="49" t="n"/>
    </row>
    <row r="676" ht="15.75" customHeight="1" s="57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49" t="n"/>
      <c r="L676" s="49" t="n"/>
      <c r="M676" s="49" t="n"/>
      <c r="N676" s="49" t="n"/>
      <c r="O676" s="49" t="n"/>
      <c r="P676" s="49" t="n"/>
    </row>
    <row r="677" ht="15.75" customHeight="1" s="57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49" t="n"/>
      <c r="L677" s="49" t="n"/>
      <c r="M677" s="49" t="n"/>
      <c r="N677" s="49" t="n"/>
      <c r="O677" s="49" t="n"/>
      <c r="P677" s="49" t="n"/>
    </row>
    <row r="678" ht="15.75" customHeight="1" s="57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49" t="n"/>
      <c r="L678" s="49" t="n"/>
      <c r="M678" s="49" t="n"/>
      <c r="N678" s="49" t="n"/>
      <c r="O678" s="49" t="n"/>
      <c r="P678" s="49" t="n"/>
    </row>
    <row r="679" ht="15.75" customHeight="1" s="57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49" t="n"/>
      <c r="L679" s="49" t="n"/>
      <c r="M679" s="49" t="n"/>
      <c r="N679" s="49" t="n"/>
      <c r="O679" s="49" t="n"/>
      <c r="P679" s="49" t="n"/>
    </row>
    <row r="680" ht="15.75" customHeight="1" s="57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49" t="n"/>
      <c r="L680" s="49" t="n"/>
      <c r="M680" s="49" t="n"/>
      <c r="N680" s="49" t="n"/>
      <c r="O680" s="49" t="n"/>
      <c r="P680" s="49" t="n"/>
    </row>
    <row r="681" ht="15.75" customHeight="1" s="57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49" t="n"/>
      <c r="L681" s="49" t="n"/>
      <c r="M681" s="49" t="n"/>
      <c r="N681" s="49" t="n"/>
      <c r="O681" s="49" t="n"/>
      <c r="P681" s="49" t="n"/>
    </row>
    <row r="682" ht="15.75" customHeight="1" s="57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49" t="n"/>
      <c r="L682" s="49" t="n"/>
      <c r="M682" s="49" t="n"/>
      <c r="N682" s="49" t="n"/>
      <c r="O682" s="49" t="n"/>
      <c r="P682" s="49" t="n"/>
    </row>
    <row r="683" ht="15.75" customHeight="1" s="57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49" t="n"/>
      <c r="L683" s="49" t="n"/>
      <c r="M683" s="49" t="n"/>
      <c r="N683" s="49" t="n"/>
      <c r="O683" s="49" t="n"/>
      <c r="P683" s="49" t="n"/>
    </row>
    <row r="684" ht="15.75" customHeight="1" s="57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49" t="n"/>
      <c r="L684" s="49" t="n"/>
      <c r="M684" s="49" t="n"/>
      <c r="N684" s="49" t="n"/>
      <c r="O684" s="49" t="n"/>
      <c r="P684" s="49" t="n"/>
    </row>
    <row r="685" ht="15.75" customHeight="1" s="57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49" t="n"/>
      <c r="L685" s="49" t="n"/>
      <c r="M685" s="49" t="n"/>
      <c r="N685" s="49" t="n"/>
      <c r="O685" s="49" t="n"/>
      <c r="P685" s="49" t="n"/>
    </row>
    <row r="686" ht="15.75" customHeight="1" s="57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49" t="n"/>
      <c r="L686" s="49" t="n"/>
      <c r="M686" s="49" t="n"/>
      <c r="N686" s="49" t="n"/>
      <c r="O686" s="49" t="n"/>
      <c r="P686" s="49" t="n"/>
    </row>
    <row r="687" ht="15.75" customHeight="1" s="57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49" t="n"/>
      <c r="L687" s="49" t="n"/>
      <c r="M687" s="49" t="n"/>
      <c r="N687" s="49" t="n"/>
      <c r="O687" s="49" t="n"/>
      <c r="P687" s="49" t="n"/>
    </row>
    <row r="688" ht="15.75" customHeight="1" s="57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49" t="n"/>
      <c r="L688" s="49" t="n"/>
      <c r="M688" s="49" t="n"/>
      <c r="N688" s="49" t="n"/>
      <c r="O688" s="49" t="n"/>
      <c r="P688" s="49" t="n"/>
    </row>
    <row r="689" ht="15.75" customHeight="1" s="57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49" t="n"/>
      <c r="L689" s="49" t="n"/>
      <c r="M689" s="49" t="n"/>
      <c r="N689" s="49" t="n"/>
      <c r="O689" s="49" t="n"/>
      <c r="P689" s="49" t="n"/>
    </row>
    <row r="690" ht="15.75" customHeight="1" s="57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49" t="n"/>
      <c r="L690" s="49" t="n"/>
      <c r="M690" s="49" t="n"/>
      <c r="N690" s="49" t="n"/>
      <c r="O690" s="49" t="n"/>
      <c r="P690" s="49" t="n"/>
    </row>
    <row r="691" ht="15.75" customHeight="1" s="57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49" t="n"/>
      <c r="L691" s="49" t="n"/>
      <c r="M691" s="49" t="n"/>
      <c r="N691" s="49" t="n"/>
      <c r="O691" s="49" t="n"/>
      <c r="P691" s="49" t="n"/>
    </row>
    <row r="692" ht="15.75" customHeight="1" s="57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49" t="n"/>
      <c r="L692" s="49" t="n"/>
      <c r="M692" s="49" t="n"/>
      <c r="N692" s="49" t="n"/>
      <c r="O692" s="49" t="n"/>
      <c r="P692" s="49" t="n"/>
    </row>
    <row r="693" ht="15.75" customHeight="1" s="57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49" t="n"/>
      <c r="L693" s="49" t="n"/>
      <c r="M693" s="49" t="n"/>
      <c r="N693" s="49" t="n"/>
      <c r="O693" s="49" t="n"/>
      <c r="P693" s="49" t="n"/>
    </row>
    <row r="694" ht="15.75" customHeight="1" s="57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49" t="n"/>
      <c r="L694" s="49" t="n"/>
      <c r="M694" s="49" t="n"/>
      <c r="N694" s="49" t="n"/>
      <c r="O694" s="49" t="n"/>
      <c r="P694" s="49" t="n"/>
    </row>
    <row r="695" ht="15.75" customHeight="1" s="57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49" t="n"/>
      <c r="L695" s="49" t="n"/>
      <c r="M695" s="49" t="n"/>
      <c r="N695" s="49" t="n"/>
      <c r="O695" s="49" t="n"/>
      <c r="P695" s="49" t="n"/>
    </row>
    <row r="696" ht="15.75" customHeight="1" s="57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49" t="n"/>
      <c r="L696" s="49" t="n"/>
      <c r="M696" s="49" t="n"/>
      <c r="N696" s="49" t="n"/>
      <c r="O696" s="49" t="n"/>
      <c r="P696" s="49" t="n"/>
    </row>
    <row r="697" ht="15.75" customHeight="1" s="57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49" t="n"/>
      <c r="L697" s="49" t="n"/>
      <c r="M697" s="49" t="n"/>
      <c r="N697" s="49" t="n"/>
      <c r="O697" s="49" t="n"/>
      <c r="P697" s="49" t="n"/>
    </row>
    <row r="698" ht="15.75" customHeight="1" s="57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49" t="n"/>
      <c r="L698" s="49" t="n"/>
      <c r="M698" s="49" t="n"/>
      <c r="N698" s="49" t="n"/>
      <c r="O698" s="49" t="n"/>
      <c r="P698" s="49" t="n"/>
    </row>
    <row r="699" ht="15.75" customHeight="1" s="57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49" t="n"/>
      <c r="L699" s="49" t="n"/>
      <c r="M699" s="49" t="n"/>
      <c r="N699" s="49" t="n"/>
      <c r="O699" s="49" t="n"/>
      <c r="P699" s="49" t="n"/>
    </row>
    <row r="700" ht="15.75" customHeight="1" s="57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49" t="n"/>
      <c r="L700" s="49" t="n"/>
      <c r="M700" s="49" t="n"/>
      <c r="N700" s="49" t="n"/>
      <c r="O700" s="49" t="n"/>
      <c r="P700" s="49" t="n"/>
    </row>
    <row r="701" ht="15.75" customHeight="1" s="57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49" t="n"/>
      <c r="L701" s="49" t="n"/>
      <c r="M701" s="49" t="n"/>
      <c r="N701" s="49" t="n"/>
      <c r="O701" s="49" t="n"/>
      <c r="P701" s="49" t="n"/>
    </row>
    <row r="702" ht="15.75" customHeight="1" s="57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49" t="n"/>
      <c r="L702" s="49" t="n"/>
      <c r="M702" s="49" t="n"/>
      <c r="N702" s="49" t="n"/>
      <c r="O702" s="49" t="n"/>
      <c r="P702" s="49" t="n"/>
    </row>
    <row r="703" ht="15.75" customHeight="1" s="57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49" t="n"/>
      <c r="L703" s="49" t="n"/>
      <c r="M703" s="49" t="n"/>
      <c r="N703" s="49" t="n"/>
      <c r="O703" s="49" t="n"/>
      <c r="P703" s="49" t="n"/>
    </row>
    <row r="704" ht="15.75" customHeight="1" s="57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49" t="n"/>
      <c r="L704" s="49" t="n"/>
      <c r="M704" s="49" t="n"/>
      <c r="N704" s="49" t="n"/>
      <c r="O704" s="49" t="n"/>
      <c r="P704" s="49" t="n"/>
    </row>
    <row r="705" ht="15.75" customHeight="1" s="57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49" t="n"/>
      <c r="L705" s="49" t="n"/>
      <c r="M705" s="49" t="n"/>
      <c r="N705" s="49" t="n"/>
      <c r="O705" s="49" t="n"/>
      <c r="P705" s="49" t="n"/>
    </row>
    <row r="706" ht="15.75" customHeight="1" s="57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49" t="n"/>
      <c r="L706" s="49" t="n"/>
      <c r="M706" s="49" t="n"/>
      <c r="N706" s="49" t="n"/>
      <c r="O706" s="49" t="n"/>
      <c r="P706" s="49" t="n"/>
    </row>
    <row r="707" ht="15.75" customHeight="1" s="57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49" t="n"/>
      <c r="L707" s="49" t="n"/>
      <c r="M707" s="49" t="n"/>
      <c r="N707" s="49" t="n"/>
      <c r="O707" s="49" t="n"/>
      <c r="P707" s="49" t="n"/>
    </row>
    <row r="708" ht="15.75" customHeight="1" s="57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49" t="n"/>
      <c r="L708" s="49" t="n"/>
      <c r="M708" s="49" t="n"/>
      <c r="N708" s="49" t="n"/>
      <c r="O708" s="49" t="n"/>
      <c r="P708" s="49" t="n"/>
    </row>
    <row r="709" ht="15.75" customHeight="1" s="57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49" t="n"/>
      <c r="L709" s="49" t="n"/>
      <c r="M709" s="49" t="n"/>
      <c r="N709" s="49" t="n"/>
      <c r="O709" s="49" t="n"/>
      <c r="P709" s="49" t="n"/>
    </row>
    <row r="710" ht="15.75" customHeight="1" s="57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49" t="n"/>
      <c r="L710" s="49" t="n"/>
      <c r="M710" s="49" t="n"/>
      <c r="N710" s="49" t="n"/>
      <c r="O710" s="49" t="n"/>
      <c r="P710" s="49" t="n"/>
    </row>
    <row r="711" ht="15.75" customHeight="1" s="57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49" t="n"/>
      <c r="L711" s="49" t="n"/>
      <c r="M711" s="49" t="n"/>
      <c r="N711" s="49" t="n"/>
      <c r="O711" s="49" t="n"/>
      <c r="P711" s="49" t="n"/>
    </row>
    <row r="712" ht="15.75" customHeight="1" s="57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49" t="n"/>
      <c r="L712" s="49" t="n"/>
      <c r="M712" s="49" t="n"/>
      <c r="N712" s="49" t="n"/>
      <c r="O712" s="49" t="n"/>
      <c r="P712" s="49" t="n"/>
    </row>
    <row r="713" ht="15.75" customHeight="1" s="57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49" t="n"/>
      <c r="L713" s="49" t="n"/>
      <c r="M713" s="49" t="n"/>
      <c r="N713" s="49" t="n"/>
      <c r="O713" s="49" t="n"/>
      <c r="P713" s="49" t="n"/>
    </row>
    <row r="714" ht="15.75" customHeight="1" s="57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49" t="n"/>
      <c r="L714" s="49" t="n"/>
      <c r="M714" s="49" t="n"/>
      <c r="N714" s="49" t="n"/>
      <c r="O714" s="49" t="n"/>
      <c r="P714" s="49" t="n"/>
    </row>
    <row r="715" ht="15.75" customHeight="1" s="57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49" t="n"/>
      <c r="L715" s="49" t="n"/>
      <c r="M715" s="49" t="n"/>
      <c r="N715" s="49" t="n"/>
      <c r="O715" s="49" t="n"/>
      <c r="P715" s="49" t="n"/>
    </row>
    <row r="716" ht="15.75" customHeight="1" s="57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49" t="n"/>
      <c r="L716" s="49" t="n"/>
      <c r="M716" s="49" t="n"/>
      <c r="N716" s="49" t="n"/>
      <c r="O716" s="49" t="n"/>
      <c r="P716" s="49" t="n"/>
    </row>
    <row r="717" ht="15.75" customHeight="1" s="57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49" t="n"/>
      <c r="L717" s="49" t="n"/>
      <c r="M717" s="49" t="n"/>
      <c r="N717" s="49" t="n"/>
      <c r="O717" s="49" t="n"/>
      <c r="P717" s="49" t="n"/>
    </row>
    <row r="718" ht="15.75" customHeight="1" s="57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49" t="n"/>
      <c r="L718" s="49" t="n"/>
      <c r="M718" s="49" t="n"/>
      <c r="N718" s="49" t="n"/>
      <c r="O718" s="49" t="n"/>
      <c r="P718" s="49" t="n"/>
    </row>
    <row r="719" ht="15.75" customHeight="1" s="57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49" t="n"/>
      <c r="L719" s="49" t="n"/>
      <c r="M719" s="49" t="n"/>
      <c r="N719" s="49" t="n"/>
      <c r="O719" s="49" t="n"/>
      <c r="P719" s="49" t="n"/>
    </row>
    <row r="720" ht="15.75" customHeight="1" s="57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49" t="n"/>
      <c r="L720" s="49" t="n"/>
      <c r="M720" s="49" t="n"/>
      <c r="N720" s="49" t="n"/>
      <c r="O720" s="49" t="n"/>
      <c r="P720" s="49" t="n"/>
    </row>
    <row r="721" ht="15.75" customHeight="1" s="57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49" t="n"/>
      <c r="L721" s="49" t="n"/>
      <c r="M721" s="49" t="n"/>
      <c r="N721" s="49" t="n"/>
      <c r="O721" s="49" t="n"/>
      <c r="P721" s="49" t="n"/>
    </row>
    <row r="722" ht="15.75" customHeight="1" s="57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49" t="n"/>
      <c r="L722" s="49" t="n"/>
      <c r="M722" s="49" t="n"/>
      <c r="N722" s="49" t="n"/>
      <c r="O722" s="49" t="n"/>
      <c r="P722" s="49" t="n"/>
    </row>
    <row r="723" ht="15.75" customHeight="1" s="57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49" t="n"/>
      <c r="L723" s="49" t="n"/>
      <c r="M723" s="49" t="n"/>
      <c r="N723" s="49" t="n"/>
      <c r="O723" s="49" t="n"/>
      <c r="P723" s="49" t="n"/>
    </row>
    <row r="724" ht="15.75" customHeight="1" s="57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49" t="n"/>
      <c r="L724" s="49" t="n"/>
      <c r="M724" s="49" t="n"/>
      <c r="N724" s="49" t="n"/>
      <c r="O724" s="49" t="n"/>
      <c r="P724" s="49" t="n"/>
    </row>
    <row r="725" ht="15.75" customHeight="1" s="57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49" t="n"/>
      <c r="L725" s="49" t="n"/>
      <c r="M725" s="49" t="n"/>
      <c r="N725" s="49" t="n"/>
      <c r="O725" s="49" t="n"/>
      <c r="P725" s="49" t="n"/>
    </row>
    <row r="726" ht="15.75" customHeight="1" s="57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49" t="n"/>
      <c r="L726" s="49" t="n"/>
      <c r="M726" s="49" t="n"/>
      <c r="N726" s="49" t="n"/>
      <c r="O726" s="49" t="n"/>
      <c r="P726" s="49" t="n"/>
    </row>
    <row r="727" ht="15.75" customHeight="1" s="57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49" t="n"/>
      <c r="L727" s="49" t="n"/>
      <c r="M727" s="49" t="n"/>
      <c r="N727" s="49" t="n"/>
      <c r="O727" s="49" t="n"/>
      <c r="P727" s="49" t="n"/>
    </row>
    <row r="728" ht="15.75" customHeight="1" s="57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49" t="n"/>
      <c r="L728" s="49" t="n"/>
      <c r="M728" s="49" t="n"/>
      <c r="N728" s="49" t="n"/>
      <c r="O728" s="49" t="n"/>
      <c r="P728" s="49" t="n"/>
    </row>
    <row r="729" ht="15.75" customHeight="1" s="57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49" t="n"/>
      <c r="L729" s="49" t="n"/>
      <c r="M729" s="49" t="n"/>
      <c r="N729" s="49" t="n"/>
      <c r="O729" s="49" t="n"/>
      <c r="P729" s="49" t="n"/>
    </row>
    <row r="730" ht="15.75" customHeight="1" s="57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49" t="n"/>
      <c r="L730" s="49" t="n"/>
      <c r="M730" s="49" t="n"/>
      <c r="N730" s="49" t="n"/>
      <c r="O730" s="49" t="n"/>
      <c r="P730" s="49" t="n"/>
    </row>
    <row r="731" ht="15.75" customHeight="1" s="57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49" t="n"/>
      <c r="L731" s="49" t="n"/>
      <c r="M731" s="49" t="n"/>
      <c r="N731" s="49" t="n"/>
      <c r="O731" s="49" t="n"/>
      <c r="P731" s="49" t="n"/>
    </row>
    <row r="732" ht="15.75" customHeight="1" s="57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49" t="n"/>
      <c r="L732" s="49" t="n"/>
      <c r="M732" s="49" t="n"/>
      <c r="N732" s="49" t="n"/>
      <c r="O732" s="49" t="n"/>
      <c r="P732" s="49" t="n"/>
    </row>
    <row r="733" ht="15.75" customHeight="1" s="57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49" t="n"/>
      <c r="L733" s="49" t="n"/>
      <c r="M733" s="49" t="n"/>
      <c r="N733" s="49" t="n"/>
      <c r="O733" s="49" t="n"/>
      <c r="P733" s="49" t="n"/>
    </row>
    <row r="734" ht="15.75" customHeight="1" s="57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49" t="n"/>
      <c r="L734" s="49" t="n"/>
      <c r="M734" s="49" t="n"/>
      <c r="N734" s="49" t="n"/>
      <c r="O734" s="49" t="n"/>
      <c r="P734" s="49" t="n"/>
    </row>
    <row r="735" ht="15.75" customHeight="1" s="57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49" t="n"/>
      <c r="L735" s="49" t="n"/>
      <c r="M735" s="49" t="n"/>
      <c r="N735" s="49" t="n"/>
      <c r="O735" s="49" t="n"/>
      <c r="P735" s="49" t="n"/>
    </row>
    <row r="736" ht="15.75" customHeight="1" s="57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49" t="n"/>
      <c r="L736" s="49" t="n"/>
      <c r="M736" s="49" t="n"/>
      <c r="N736" s="49" t="n"/>
      <c r="O736" s="49" t="n"/>
      <c r="P736" s="49" t="n"/>
    </row>
    <row r="737" ht="15.75" customHeight="1" s="57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49" t="n"/>
      <c r="L737" s="49" t="n"/>
      <c r="M737" s="49" t="n"/>
      <c r="N737" s="49" t="n"/>
      <c r="O737" s="49" t="n"/>
      <c r="P737" s="49" t="n"/>
    </row>
    <row r="738" ht="15.75" customHeight="1" s="57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49" t="n"/>
      <c r="L738" s="49" t="n"/>
      <c r="M738" s="49" t="n"/>
      <c r="N738" s="49" t="n"/>
      <c r="O738" s="49" t="n"/>
      <c r="P738" s="49" t="n"/>
    </row>
    <row r="739" ht="15.75" customHeight="1" s="57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49" t="n"/>
      <c r="L739" s="49" t="n"/>
      <c r="M739" s="49" t="n"/>
      <c r="N739" s="49" t="n"/>
      <c r="O739" s="49" t="n"/>
      <c r="P739" s="49" t="n"/>
    </row>
    <row r="740" ht="15.75" customHeight="1" s="57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49" t="n"/>
      <c r="L740" s="49" t="n"/>
      <c r="M740" s="49" t="n"/>
      <c r="N740" s="49" t="n"/>
      <c r="O740" s="49" t="n"/>
      <c r="P740" s="49" t="n"/>
    </row>
    <row r="741" ht="15.75" customHeight="1" s="57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49" t="n"/>
      <c r="L741" s="49" t="n"/>
      <c r="M741" s="49" t="n"/>
      <c r="N741" s="49" t="n"/>
      <c r="O741" s="49" t="n"/>
      <c r="P741" s="49" t="n"/>
    </row>
    <row r="742" ht="15.75" customHeight="1" s="57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49" t="n"/>
      <c r="L742" s="49" t="n"/>
      <c r="M742" s="49" t="n"/>
      <c r="N742" s="49" t="n"/>
      <c r="O742" s="49" t="n"/>
      <c r="P742" s="49" t="n"/>
    </row>
    <row r="743" ht="15.75" customHeight="1" s="57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49" t="n"/>
      <c r="L743" s="49" t="n"/>
      <c r="M743" s="49" t="n"/>
      <c r="N743" s="49" t="n"/>
      <c r="O743" s="49" t="n"/>
      <c r="P743" s="49" t="n"/>
    </row>
    <row r="744" ht="15.75" customHeight="1" s="57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49" t="n"/>
      <c r="L744" s="49" t="n"/>
      <c r="M744" s="49" t="n"/>
      <c r="N744" s="49" t="n"/>
      <c r="O744" s="49" t="n"/>
      <c r="P744" s="49" t="n"/>
    </row>
    <row r="745" ht="15.75" customHeight="1" s="57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49" t="n"/>
      <c r="L745" s="49" t="n"/>
      <c r="M745" s="49" t="n"/>
      <c r="N745" s="49" t="n"/>
      <c r="O745" s="49" t="n"/>
      <c r="P745" s="49" t="n"/>
    </row>
    <row r="746" ht="15.75" customHeight="1" s="57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49" t="n"/>
      <c r="L746" s="49" t="n"/>
      <c r="M746" s="49" t="n"/>
      <c r="N746" s="49" t="n"/>
      <c r="O746" s="49" t="n"/>
      <c r="P746" s="49" t="n"/>
    </row>
    <row r="747" ht="15.75" customHeight="1" s="57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49" t="n"/>
      <c r="L747" s="49" t="n"/>
      <c r="M747" s="49" t="n"/>
      <c r="N747" s="49" t="n"/>
      <c r="O747" s="49" t="n"/>
      <c r="P747" s="49" t="n"/>
    </row>
    <row r="748" ht="15.75" customHeight="1" s="57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49" t="n"/>
      <c r="L748" s="49" t="n"/>
      <c r="M748" s="49" t="n"/>
      <c r="N748" s="49" t="n"/>
      <c r="O748" s="49" t="n"/>
      <c r="P748" s="49" t="n"/>
    </row>
    <row r="749" ht="15.75" customHeight="1" s="57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49" t="n"/>
      <c r="L749" s="49" t="n"/>
      <c r="M749" s="49" t="n"/>
      <c r="N749" s="49" t="n"/>
      <c r="O749" s="49" t="n"/>
      <c r="P749" s="49" t="n"/>
    </row>
    <row r="750" ht="15.75" customHeight="1" s="57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49" t="n"/>
      <c r="L750" s="49" t="n"/>
      <c r="M750" s="49" t="n"/>
      <c r="N750" s="49" t="n"/>
      <c r="O750" s="49" t="n"/>
      <c r="P750" s="49" t="n"/>
    </row>
    <row r="751" ht="15.75" customHeight="1" s="57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49" t="n"/>
      <c r="L751" s="49" t="n"/>
      <c r="M751" s="49" t="n"/>
      <c r="N751" s="49" t="n"/>
      <c r="O751" s="49" t="n"/>
      <c r="P751" s="49" t="n"/>
    </row>
    <row r="752" ht="15.75" customHeight="1" s="57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49" t="n"/>
      <c r="L752" s="49" t="n"/>
      <c r="M752" s="49" t="n"/>
      <c r="N752" s="49" t="n"/>
      <c r="O752" s="49" t="n"/>
      <c r="P752" s="49" t="n"/>
    </row>
    <row r="753" ht="15.75" customHeight="1" s="57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49" t="n"/>
      <c r="L753" s="49" t="n"/>
      <c r="M753" s="49" t="n"/>
      <c r="N753" s="49" t="n"/>
      <c r="O753" s="49" t="n"/>
      <c r="P753" s="49" t="n"/>
    </row>
    <row r="754" ht="15.75" customHeight="1" s="57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49" t="n"/>
      <c r="L754" s="49" t="n"/>
      <c r="M754" s="49" t="n"/>
      <c r="N754" s="49" t="n"/>
      <c r="O754" s="49" t="n"/>
      <c r="P754" s="49" t="n"/>
    </row>
    <row r="755" ht="15.75" customHeight="1" s="57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49" t="n"/>
      <c r="L755" s="49" t="n"/>
      <c r="M755" s="49" t="n"/>
      <c r="N755" s="49" t="n"/>
      <c r="O755" s="49" t="n"/>
      <c r="P755" s="49" t="n"/>
    </row>
    <row r="756" ht="15.75" customHeight="1" s="57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49" t="n"/>
      <c r="L756" s="49" t="n"/>
      <c r="M756" s="49" t="n"/>
      <c r="N756" s="49" t="n"/>
      <c r="O756" s="49" t="n"/>
      <c r="P756" s="49" t="n"/>
    </row>
    <row r="757" ht="15.75" customHeight="1" s="57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49" t="n"/>
      <c r="L757" s="49" t="n"/>
      <c r="M757" s="49" t="n"/>
      <c r="N757" s="49" t="n"/>
      <c r="O757" s="49" t="n"/>
      <c r="P757" s="49" t="n"/>
    </row>
    <row r="758" ht="15.75" customHeight="1" s="57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49" t="n"/>
      <c r="L758" s="49" t="n"/>
      <c r="M758" s="49" t="n"/>
      <c r="N758" s="49" t="n"/>
      <c r="O758" s="49" t="n"/>
      <c r="P758" s="49" t="n"/>
    </row>
    <row r="759" ht="15.75" customHeight="1" s="57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49" t="n"/>
      <c r="L759" s="49" t="n"/>
      <c r="M759" s="49" t="n"/>
      <c r="N759" s="49" t="n"/>
      <c r="O759" s="49" t="n"/>
      <c r="P759" s="49" t="n"/>
    </row>
    <row r="760" ht="15.75" customHeight="1" s="57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49" t="n"/>
      <c r="L760" s="49" t="n"/>
      <c r="M760" s="49" t="n"/>
      <c r="N760" s="49" t="n"/>
      <c r="O760" s="49" t="n"/>
      <c r="P760" s="49" t="n"/>
    </row>
    <row r="761" ht="15.75" customHeight="1" s="57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49" t="n"/>
      <c r="L761" s="49" t="n"/>
      <c r="M761" s="49" t="n"/>
      <c r="N761" s="49" t="n"/>
      <c r="O761" s="49" t="n"/>
      <c r="P761" s="49" t="n"/>
    </row>
    <row r="762" ht="15.75" customHeight="1" s="57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49" t="n"/>
      <c r="L762" s="49" t="n"/>
      <c r="M762" s="49" t="n"/>
      <c r="N762" s="49" t="n"/>
      <c r="O762" s="49" t="n"/>
      <c r="P762" s="49" t="n"/>
    </row>
    <row r="763" ht="15.75" customHeight="1" s="57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49" t="n"/>
      <c r="L763" s="49" t="n"/>
      <c r="M763" s="49" t="n"/>
      <c r="N763" s="49" t="n"/>
      <c r="O763" s="49" t="n"/>
      <c r="P763" s="49" t="n"/>
    </row>
    <row r="764" ht="15.75" customHeight="1" s="57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49" t="n"/>
      <c r="L764" s="49" t="n"/>
      <c r="M764" s="49" t="n"/>
      <c r="N764" s="49" t="n"/>
      <c r="O764" s="49" t="n"/>
      <c r="P764" s="49" t="n"/>
    </row>
    <row r="765" ht="15.75" customHeight="1" s="57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49" t="n"/>
      <c r="L765" s="49" t="n"/>
      <c r="M765" s="49" t="n"/>
      <c r="N765" s="49" t="n"/>
      <c r="O765" s="49" t="n"/>
      <c r="P765" s="49" t="n"/>
    </row>
    <row r="766" ht="15.75" customHeight="1" s="57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49" t="n"/>
      <c r="L766" s="49" t="n"/>
      <c r="M766" s="49" t="n"/>
      <c r="N766" s="49" t="n"/>
      <c r="O766" s="49" t="n"/>
      <c r="P766" s="49" t="n"/>
    </row>
    <row r="767" ht="15.75" customHeight="1" s="57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49" t="n"/>
      <c r="L767" s="49" t="n"/>
      <c r="M767" s="49" t="n"/>
      <c r="N767" s="49" t="n"/>
      <c r="O767" s="49" t="n"/>
      <c r="P767" s="49" t="n"/>
    </row>
    <row r="768" ht="15.75" customHeight="1" s="57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49" t="n"/>
      <c r="L768" s="49" t="n"/>
      <c r="M768" s="49" t="n"/>
      <c r="N768" s="49" t="n"/>
      <c r="O768" s="49" t="n"/>
      <c r="P768" s="49" t="n"/>
    </row>
    <row r="769" ht="15.75" customHeight="1" s="57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49" t="n"/>
      <c r="L769" s="49" t="n"/>
      <c r="M769" s="49" t="n"/>
      <c r="N769" s="49" t="n"/>
      <c r="O769" s="49" t="n"/>
      <c r="P769" s="49" t="n"/>
    </row>
    <row r="770" ht="15.75" customHeight="1" s="57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49" t="n"/>
      <c r="L770" s="49" t="n"/>
      <c r="M770" s="49" t="n"/>
      <c r="N770" s="49" t="n"/>
      <c r="O770" s="49" t="n"/>
      <c r="P770" s="49" t="n"/>
    </row>
    <row r="771" ht="15.75" customHeight="1" s="57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49" t="n"/>
      <c r="L771" s="49" t="n"/>
      <c r="M771" s="49" t="n"/>
      <c r="N771" s="49" t="n"/>
      <c r="O771" s="49" t="n"/>
      <c r="P771" s="49" t="n"/>
    </row>
    <row r="772" ht="15.75" customHeight="1" s="57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49" t="n"/>
      <c r="L772" s="49" t="n"/>
      <c r="M772" s="49" t="n"/>
      <c r="N772" s="49" t="n"/>
      <c r="O772" s="49" t="n"/>
      <c r="P772" s="49" t="n"/>
    </row>
    <row r="773" ht="15.75" customHeight="1" s="57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49" t="n"/>
      <c r="L773" s="49" t="n"/>
      <c r="M773" s="49" t="n"/>
      <c r="N773" s="49" t="n"/>
      <c r="O773" s="49" t="n"/>
      <c r="P773" s="49" t="n"/>
    </row>
    <row r="774" ht="15.75" customHeight="1" s="57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49" t="n"/>
      <c r="L774" s="49" t="n"/>
      <c r="M774" s="49" t="n"/>
      <c r="N774" s="49" t="n"/>
      <c r="O774" s="49" t="n"/>
      <c r="P774" s="49" t="n"/>
    </row>
    <row r="775" ht="15.75" customHeight="1" s="57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49" t="n"/>
      <c r="L775" s="49" t="n"/>
      <c r="M775" s="49" t="n"/>
      <c r="N775" s="49" t="n"/>
      <c r="O775" s="49" t="n"/>
      <c r="P775" s="49" t="n"/>
    </row>
    <row r="776" ht="15.75" customHeight="1" s="57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49" t="n"/>
      <c r="L776" s="49" t="n"/>
      <c r="M776" s="49" t="n"/>
      <c r="N776" s="49" t="n"/>
      <c r="O776" s="49" t="n"/>
      <c r="P776" s="49" t="n"/>
    </row>
    <row r="777" ht="15.75" customHeight="1" s="57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49" t="n"/>
      <c r="L777" s="49" t="n"/>
      <c r="M777" s="49" t="n"/>
      <c r="N777" s="49" t="n"/>
      <c r="O777" s="49" t="n"/>
      <c r="P777" s="49" t="n"/>
    </row>
    <row r="778" ht="15.75" customHeight="1" s="57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49" t="n"/>
      <c r="L778" s="49" t="n"/>
      <c r="M778" s="49" t="n"/>
      <c r="N778" s="49" t="n"/>
      <c r="O778" s="49" t="n"/>
      <c r="P778" s="49" t="n"/>
    </row>
    <row r="779" ht="15.75" customHeight="1" s="57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49" t="n"/>
      <c r="L779" s="49" t="n"/>
      <c r="M779" s="49" t="n"/>
      <c r="N779" s="49" t="n"/>
      <c r="O779" s="49" t="n"/>
      <c r="P779" s="49" t="n"/>
    </row>
    <row r="780" ht="15.75" customHeight="1" s="57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49" t="n"/>
      <c r="L780" s="49" t="n"/>
      <c r="M780" s="49" t="n"/>
      <c r="N780" s="49" t="n"/>
      <c r="O780" s="49" t="n"/>
      <c r="P780" s="49" t="n"/>
    </row>
    <row r="781" ht="15.75" customHeight="1" s="57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49" t="n"/>
      <c r="L781" s="49" t="n"/>
      <c r="M781" s="49" t="n"/>
      <c r="N781" s="49" t="n"/>
      <c r="O781" s="49" t="n"/>
      <c r="P781" s="49" t="n"/>
    </row>
    <row r="782" ht="15.75" customHeight="1" s="57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49" t="n"/>
      <c r="L782" s="49" t="n"/>
      <c r="M782" s="49" t="n"/>
      <c r="N782" s="49" t="n"/>
      <c r="O782" s="49" t="n"/>
      <c r="P782" s="49" t="n"/>
    </row>
    <row r="783" ht="15.75" customHeight="1" s="57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49" t="n"/>
      <c r="L783" s="49" t="n"/>
      <c r="M783" s="49" t="n"/>
      <c r="N783" s="49" t="n"/>
      <c r="O783" s="49" t="n"/>
      <c r="P783" s="49" t="n"/>
    </row>
    <row r="784" ht="15.75" customHeight="1" s="57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49" t="n"/>
      <c r="L784" s="49" t="n"/>
      <c r="M784" s="49" t="n"/>
      <c r="N784" s="49" t="n"/>
      <c r="O784" s="49" t="n"/>
      <c r="P784" s="49" t="n"/>
    </row>
    <row r="785" ht="15.75" customHeight="1" s="57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49" t="n"/>
      <c r="L785" s="49" t="n"/>
      <c r="M785" s="49" t="n"/>
      <c r="N785" s="49" t="n"/>
      <c r="O785" s="49" t="n"/>
      <c r="P785" s="49" t="n"/>
    </row>
    <row r="786" ht="15.75" customHeight="1" s="57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49" t="n"/>
      <c r="L786" s="49" t="n"/>
      <c r="M786" s="49" t="n"/>
      <c r="N786" s="49" t="n"/>
      <c r="O786" s="49" t="n"/>
      <c r="P786" s="49" t="n"/>
    </row>
    <row r="787" ht="15.75" customHeight="1" s="57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49" t="n"/>
      <c r="L787" s="49" t="n"/>
      <c r="M787" s="49" t="n"/>
      <c r="N787" s="49" t="n"/>
      <c r="O787" s="49" t="n"/>
      <c r="P787" s="49" t="n"/>
    </row>
    <row r="788" ht="15.75" customHeight="1" s="57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49" t="n"/>
      <c r="L788" s="49" t="n"/>
      <c r="M788" s="49" t="n"/>
      <c r="N788" s="49" t="n"/>
      <c r="O788" s="49" t="n"/>
      <c r="P788" s="49" t="n"/>
    </row>
    <row r="789" ht="15.75" customHeight="1" s="57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49" t="n"/>
      <c r="L789" s="49" t="n"/>
      <c r="M789" s="49" t="n"/>
      <c r="N789" s="49" t="n"/>
      <c r="O789" s="49" t="n"/>
      <c r="P789" s="49" t="n"/>
    </row>
    <row r="790" ht="15.75" customHeight="1" s="57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49" t="n"/>
      <c r="L790" s="49" t="n"/>
      <c r="M790" s="49" t="n"/>
      <c r="N790" s="49" t="n"/>
      <c r="O790" s="49" t="n"/>
      <c r="P790" s="49" t="n"/>
    </row>
    <row r="791" ht="15.75" customHeight="1" s="57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49" t="n"/>
      <c r="L791" s="49" t="n"/>
      <c r="M791" s="49" t="n"/>
      <c r="N791" s="49" t="n"/>
      <c r="O791" s="49" t="n"/>
      <c r="P791" s="49" t="n"/>
    </row>
    <row r="792" ht="15.75" customHeight="1" s="57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49" t="n"/>
      <c r="L792" s="49" t="n"/>
      <c r="M792" s="49" t="n"/>
      <c r="N792" s="49" t="n"/>
      <c r="O792" s="49" t="n"/>
      <c r="P792" s="49" t="n"/>
    </row>
    <row r="793" ht="15.75" customHeight="1" s="57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49" t="n"/>
      <c r="L793" s="49" t="n"/>
      <c r="M793" s="49" t="n"/>
      <c r="N793" s="49" t="n"/>
      <c r="O793" s="49" t="n"/>
      <c r="P793" s="49" t="n"/>
    </row>
    <row r="794" ht="15.75" customHeight="1" s="57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49" t="n"/>
      <c r="L794" s="49" t="n"/>
      <c r="M794" s="49" t="n"/>
      <c r="N794" s="49" t="n"/>
      <c r="O794" s="49" t="n"/>
      <c r="P794" s="49" t="n"/>
    </row>
    <row r="795" ht="15.75" customHeight="1" s="57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49" t="n"/>
      <c r="L795" s="49" t="n"/>
      <c r="M795" s="49" t="n"/>
      <c r="N795" s="49" t="n"/>
      <c r="O795" s="49" t="n"/>
      <c r="P795" s="49" t="n"/>
    </row>
    <row r="796" ht="15.75" customHeight="1" s="57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49" t="n"/>
      <c r="L796" s="49" t="n"/>
      <c r="M796" s="49" t="n"/>
      <c r="N796" s="49" t="n"/>
      <c r="O796" s="49" t="n"/>
      <c r="P796" s="49" t="n"/>
    </row>
    <row r="797" ht="15.75" customHeight="1" s="57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49" t="n"/>
      <c r="L797" s="49" t="n"/>
      <c r="M797" s="49" t="n"/>
      <c r="N797" s="49" t="n"/>
      <c r="O797" s="49" t="n"/>
      <c r="P797" s="49" t="n"/>
    </row>
    <row r="798" ht="15.75" customHeight="1" s="57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49" t="n"/>
      <c r="L798" s="49" t="n"/>
      <c r="M798" s="49" t="n"/>
      <c r="N798" s="49" t="n"/>
      <c r="O798" s="49" t="n"/>
      <c r="P798" s="49" t="n"/>
    </row>
    <row r="799" ht="15.75" customHeight="1" s="57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49" t="n"/>
      <c r="L799" s="49" t="n"/>
      <c r="M799" s="49" t="n"/>
      <c r="N799" s="49" t="n"/>
      <c r="O799" s="49" t="n"/>
      <c r="P799" s="49" t="n"/>
    </row>
    <row r="800" ht="15.75" customHeight="1" s="57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49" t="n"/>
      <c r="L800" s="49" t="n"/>
      <c r="M800" s="49" t="n"/>
      <c r="N800" s="49" t="n"/>
      <c r="O800" s="49" t="n"/>
      <c r="P800" s="49" t="n"/>
    </row>
    <row r="801" ht="15.75" customHeight="1" s="57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49" t="n"/>
      <c r="L801" s="49" t="n"/>
      <c r="M801" s="49" t="n"/>
      <c r="N801" s="49" t="n"/>
      <c r="O801" s="49" t="n"/>
      <c r="P801" s="49" t="n"/>
    </row>
    <row r="802" ht="15.75" customHeight="1" s="57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49" t="n"/>
      <c r="L802" s="49" t="n"/>
      <c r="M802" s="49" t="n"/>
      <c r="N802" s="49" t="n"/>
      <c r="O802" s="49" t="n"/>
      <c r="P802" s="49" t="n"/>
    </row>
    <row r="803" ht="15.75" customHeight="1" s="57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49" t="n"/>
      <c r="L803" s="49" t="n"/>
      <c r="M803" s="49" t="n"/>
      <c r="N803" s="49" t="n"/>
      <c r="O803" s="49" t="n"/>
      <c r="P803" s="49" t="n"/>
    </row>
    <row r="804" ht="15.75" customHeight="1" s="57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49" t="n"/>
      <c r="L804" s="49" t="n"/>
      <c r="M804" s="49" t="n"/>
      <c r="N804" s="49" t="n"/>
      <c r="O804" s="49" t="n"/>
      <c r="P804" s="49" t="n"/>
    </row>
    <row r="805" ht="15.75" customHeight="1" s="57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49" t="n"/>
      <c r="L805" s="49" t="n"/>
      <c r="M805" s="49" t="n"/>
      <c r="N805" s="49" t="n"/>
      <c r="O805" s="49" t="n"/>
      <c r="P805" s="49" t="n"/>
    </row>
    <row r="806" ht="15.75" customHeight="1" s="57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49" t="n"/>
      <c r="L806" s="49" t="n"/>
      <c r="M806" s="49" t="n"/>
      <c r="N806" s="49" t="n"/>
      <c r="O806" s="49" t="n"/>
      <c r="P806" s="49" t="n"/>
    </row>
    <row r="807" ht="15.75" customHeight="1" s="57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49" t="n"/>
      <c r="L807" s="49" t="n"/>
      <c r="M807" s="49" t="n"/>
      <c r="N807" s="49" t="n"/>
      <c r="O807" s="49" t="n"/>
      <c r="P807" s="49" t="n"/>
    </row>
    <row r="808" ht="15.75" customHeight="1" s="57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49" t="n"/>
      <c r="L808" s="49" t="n"/>
      <c r="M808" s="49" t="n"/>
      <c r="N808" s="49" t="n"/>
      <c r="O808" s="49" t="n"/>
      <c r="P808" s="49" t="n"/>
    </row>
    <row r="809" ht="15.75" customHeight="1" s="57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49" t="n"/>
      <c r="L809" s="49" t="n"/>
      <c r="M809" s="49" t="n"/>
      <c r="N809" s="49" t="n"/>
      <c r="O809" s="49" t="n"/>
      <c r="P809" s="49" t="n"/>
    </row>
    <row r="810" ht="15.75" customHeight="1" s="57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49" t="n"/>
      <c r="L810" s="49" t="n"/>
      <c r="M810" s="49" t="n"/>
      <c r="N810" s="49" t="n"/>
      <c r="O810" s="49" t="n"/>
      <c r="P810" s="49" t="n"/>
    </row>
    <row r="811" ht="15.75" customHeight="1" s="57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49" t="n"/>
      <c r="L811" s="49" t="n"/>
      <c r="M811" s="49" t="n"/>
      <c r="N811" s="49" t="n"/>
      <c r="O811" s="49" t="n"/>
      <c r="P811" s="49" t="n"/>
    </row>
    <row r="812" ht="15.75" customHeight="1" s="57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49" t="n"/>
      <c r="L812" s="49" t="n"/>
      <c r="M812" s="49" t="n"/>
      <c r="N812" s="49" t="n"/>
      <c r="O812" s="49" t="n"/>
      <c r="P812" s="49" t="n"/>
    </row>
    <row r="813" ht="15.75" customHeight="1" s="57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49" t="n"/>
      <c r="L813" s="49" t="n"/>
      <c r="M813" s="49" t="n"/>
      <c r="N813" s="49" t="n"/>
      <c r="O813" s="49" t="n"/>
      <c r="P813" s="49" t="n"/>
    </row>
    <row r="814" ht="15.75" customHeight="1" s="57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49" t="n"/>
      <c r="L814" s="49" t="n"/>
      <c r="M814" s="49" t="n"/>
      <c r="N814" s="49" t="n"/>
      <c r="O814" s="49" t="n"/>
      <c r="P814" s="49" t="n"/>
    </row>
    <row r="815" ht="15.75" customHeight="1" s="57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49" t="n"/>
      <c r="L815" s="49" t="n"/>
      <c r="M815" s="49" t="n"/>
      <c r="N815" s="49" t="n"/>
      <c r="O815" s="49" t="n"/>
      <c r="P815" s="49" t="n"/>
    </row>
    <row r="816" ht="15.75" customHeight="1" s="57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49" t="n"/>
      <c r="L816" s="49" t="n"/>
      <c r="M816" s="49" t="n"/>
      <c r="N816" s="49" t="n"/>
      <c r="O816" s="49" t="n"/>
      <c r="P816" s="49" t="n"/>
    </row>
    <row r="817" ht="15.75" customHeight="1" s="57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49" t="n"/>
      <c r="L817" s="49" t="n"/>
      <c r="M817" s="49" t="n"/>
      <c r="N817" s="49" t="n"/>
      <c r="O817" s="49" t="n"/>
      <c r="P817" s="49" t="n"/>
    </row>
    <row r="818" ht="15.75" customHeight="1" s="57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49" t="n"/>
      <c r="L818" s="49" t="n"/>
      <c r="M818" s="49" t="n"/>
      <c r="N818" s="49" t="n"/>
      <c r="O818" s="49" t="n"/>
      <c r="P818" s="49" t="n"/>
    </row>
    <row r="819" ht="15.75" customHeight="1" s="57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49" t="n"/>
      <c r="L819" s="49" t="n"/>
      <c r="M819" s="49" t="n"/>
      <c r="N819" s="49" t="n"/>
      <c r="O819" s="49" t="n"/>
      <c r="P819" s="49" t="n"/>
    </row>
    <row r="820" ht="15.75" customHeight="1" s="57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49" t="n"/>
      <c r="L820" s="49" t="n"/>
      <c r="M820" s="49" t="n"/>
      <c r="N820" s="49" t="n"/>
      <c r="O820" s="49" t="n"/>
      <c r="P820" s="49" t="n"/>
    </row>
    <row r="821" ht="15.75" customHeight="1" s="57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49" t="n"/>
      <c r="L821" s="49" t="n"/>
      <c r="M821" s="49" t="n"/>
      <c r="N821" s="49" t="n"/>
      <c r="O821" s="49" t="n"/>
      <c r="P821" s="49" t="n"/>
    </row>
    <row r="822" ht="15.75" customHeight="1" s="57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49" t="n"/>
      <c r="L822" s="49" t="n"/>
      <c r="M822" s="49" t="n"/>
      <c r="N822" s="49" t="n"/>
      <c r="O822" s="49" t="n"/>
      <c r="P822" s="49" t="n"/>
    </row>
    <row r="823" ht="15.75" customHeight="1" s="57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49" t="n"/>
      <c r="L823" s="49" t="n"/>
      <c r="M823" s="49" t="n"/>
      <c r="N823" s="49" t="n"/>
      <c r="O823" s="49" t="n"/>
      <c r="P823" s="49" t="n"/>
    </row>
    <row r="824" ht="15.75" customHeight="1" s="57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49" t="n"/>
      <c r="L824" s="49" t="n"/>
      <c r="M824" s="49" t="n"/>
      <c r="N824" s="49" t="n"/>
      <c r="O824" s="49" t="n"/>
      <c r="P824" s="49" t="n"/>
    </row>
    <row r="825" ht="15.75" customHeight="1" s="57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49" t="n"/>
      <c r="L825" s="49" t="n"/>
      <c r="M825" s="49" t="n"/>
      <c r="N825" s="49" t="n"/>
      <c r="O825" s="49" t="n"/>
      <c r="P825" s="49" t="n"/>
    </row>
    <row r="826" ht="15.75" customHeight="1" s="57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49" t="n"/>
      <c r="L826" s="49" t="n"/>
      <c r="M826" s="49" t="n"/>
      <c r="N826" s="49" t="n"/>
      <c r="O826" s="49" t="n"/>
      <c r="P826" s="49" t="n"/>
    </row>
    <row r="827" ht="15.75" customHeight="1" s="57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49" t="n"/>
      <c r="L827" s="49" t="n"/>
      <c r="M827" s="49" t="n"/>
      <c r="N827" s="49" t="n"/>
      <c r="O827" s="49" t="n"/>
      <c r="P827" s="49" t="n"/>
    </row>
    <row r="828" ht="15.75" customHeight="1" s="57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49" t="n"/>
      <c r="L828" s="49" t="n"/>
      <c r="M828" s="49" t="n"/>
      <c r="N828" s="49" t="n"/>
      <c r="O828" s="49" t="n"/>
      <c r="P828" s="49" t="n"/>
    </row>
    <row r="829" ht="15.75" customHeight="1" s="57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49" t="n"/>
      <c r="L829" s="49" t="n"/>
      <c r="M829" s="49" t="n"/>
      <c r="N829" s="49" t="n"/>
      <c r="O829" s="49" t="n"/>
      <c r="P829" s="49" t="n"/>
    </row>
    <row r="830" ht="15.75" customHeight="1" s="57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49" t="n"/>
      <c r="L830" s="49" t="n"/>
      <c r="M830" s="49" t="n"/>
      <c r="N830" s="49" t="n"/>
      <c r="O830" s="49" t="n"/>
      <c r="P830" s="49" t="n"/>
    </row>
    <row r="831" ht="15.75" customHeight="1" s="57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49" t="n"/>
      <c r="L831" s="49" t="n"/>
      <c r="M831" s="49" t="n"/>
      <c r="N831" s="49" t="n"/>
      <c r="O831" s="49" t="n"/>
      <c r="P831" s="49" t="n"/>
    </row>
    <row r="832" ht="15.75" customHeight="1" s="57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49" t="n"/>
      <c r="L832" s="49" t="n"/>
      <c r="M832" s="49" t="n"/>
      <c r="N832" s="49" t="n"/>
      <c r="O832" s="49" t="n"/>
      <c r="P832" s="49" t="n"/>
    </row>
    <row r="833" ht="15.75" customHeight="1" s="57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49" t="n"/>
      <c r="L833" s="49" t="n"/>
      <c r="M833" s="49" t="n"/>
      <c r="N833" s="49" t="n"/>
      <c r="O833" s="49" t="n"/>
      <c r="P833" s="49" t="n"/>
    </row>
    <row r="834" ht="15.75" customHeight="1" s="57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49" t="n"/>
      <c r="L834" s="49" t="n"/>
      <c r="M834" s="49" t="n"/>
      <c r="N834" s="49" t="n"/>
      <c r="O834" s="49" t="n"/>
      <c r="P834" s="49" t="n"/>
    </row>
    <row r="835" ht="15.75" customHeight="1" s="57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49" t="n"/>
      <c r="L835" s="49" t="n"/>
      <c r="M835" s="49" t="n"/>
      <c r="N835" s="49" t="n"/>
      <c r="O835" s="49" t="n"/>
      <c r="P835" s="49" t="n"/>
    </row>
    <row r="836" ht="15.75" customHeight="1" s="57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49" t="n"/>
      <c r="L836" s="49" t="n"/>
      <c r="M836" s="49" t="n"/>
      <c r="N836" s="49" t="n"/>
      <c r="O836" s="49" t="n"/>
      <c r="P836" s="49" t="n"/>
    </row>
    <row r="837" ht="15.75" customHeight="1" s="57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49" t="n"/>
      <c r="L837" s="49" t="n"/>
      <c r="M837" s="49" t="n"/>
      <c r="N837" s="49" t="n"/>
      <c r="O837" s="49" t="n"/>
      <c r="P837" s="49" t="n"/>
    </row>
    <row r="838" ht="15.75" customHeight="1" s="57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49" t="n"/>
      <c r="L838" s="49" t="n"/>
      <c r="M838" s="49" t="n"/>
      <c r="N838" s="49" t="n"/>
      <c r="O838" s="49" t="n"/>
      <c r="P838" s="49" t="n"/>
    </row>
    <row r="839" ht="15.75" customHeight="1" s="57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49" t="n"/>
      <c r="L839" s="49" t="n"/>
      <c r="M839" s="49" t="n"/>
      <c r="N839" s="49" t="n"/>
      <c r="O839" s="49" t="n"/>
      <c r="P839" s="49" t="n"/>
    </row>
    <row r="840" ht="15.75" customHeight="1" s="57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49" t="n"/>
      <c r="L840" s="49" t="n"/>
      <c r="M840" s="49" t="n"/>
      <c r="N840" s="49" t="n"/>
      <c r="O840" s="49" t="n"/>
      <c r="P840" s="49" t="n"/>
    </row>
    <row r="841" ht="15.75" customHeight="1" s="57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49" t="n"/>
      <c r="L841" s="49" t="n"/>
      <c r="M841" s="49" t="n"/>
      <c r="N841" s="49" t="n"/>
      <c r="O841" s="49" t="n"/>
      <c r="P841" s="49" t="n"/>
    </row>
    <row r="842" ht="15.75" customHeight="1" s="57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49" t="n"/>
      <c r="L842" s="49" t="n"/>
      <c r="M842" s="49" t="n"/>
      <c r="N842" s="49" t="n"/>
      <c r="O842" s="49" t="n"/>
      <c r="P842" s="49" t="n"/>
    </row>
    <row r="843" ht="15.75" customHeight="1" s="57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49" t="n"/>
      <c r="L843" s="49" t="n"/>
      <c r="M843" s="49" t="n"/>
      <c r="N843" s="49" t="n"/>
      <c r="O843" s="49" t="n"/>
      <c r="P843" s="49" t="n"/>
    </row>
    <row r="844" ht="15.75" customHeight="1" s="57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49" t="n"/>
      <c r="L844" s="49" t="n"/>
      <c r="M844" s="49" t="n"/>
      <c r="N844" s="49" t="n"/>
      <c r="O844" s="49" t="n"/>
      <c r="P844" s="49" t="n"/>
    </row>
    <row r="845" ht="15.75" customHeight="1" s="57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49" t="n"/>
      <c r="L845" s="49" t="n"/>
      <c r="M845" s="49" t="n"/>
      <c r="N845" s="49" t="n"/>
      <c r="O845" s="49" t="n"/>
      <c r="P845" s="49" t="n"/>
    </row>
    <row r="846" ht="15.75" customHeight="1" s="57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49" t="n"/>
      <c r="L846" s="49" t="n"/>
      <c r="M846" s="49" t="n"/>
      <c r="N846" s="49" t="n"/>
      <c r="O846" s="49" t="n"/>
      <c r="P846" s="49" t="n"/>
    </row>
    <row r="847" ht="15.75" customHeight="1" s="57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49" t="n"/>
      <c r="L847" s="49" t="n"/>
      <c r="M847" s="49" t="n"/>
      <c r="N847" s="49" t="n"/>
      <c r="O847" s="49" t="n"/>
      <c r="P847" s="49" t="n"/>
    </row>
    <row r="848" ht="15.75" customHeight="1" s="57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49" t="n"/>
      <c r="L848" s="49" t="n"/>
      <c r="M848" s="49" t="n"/>
      <c r="N848" s="49" t="n"/>
      <c r="O848" s="49" t="n"/>
      <c r="P848" s="49" t="n"/>
    </row>
    <row r="849" ht="15.75" customHeight="1" s="57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49" t="n"/>
      <c r="L849" s="49" t="n"/>
      <c r="M849" s="49" t="n"/>
      <c r="N849" s="49" t="n"/>
      <c r="O849" s="49" t="n"/>
      <c r="P849" s="49" t="n"/>
    </row>
    <row r="850" ht="15.75" customHeight="1" s="57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49" t="n"/>
      <c r="L850" s="49" t="n"/>
      <c r="M850" s="49" t="n"/>
      <c r="N850" s="49" t="n"/>
      <c r="O850" s="49" t="n"/>
      <c r="P850" s="49" t="n"/>
    </row>
    <row r="851" ht="15.75" customHeight="1" s="57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49" t="n"/>
      <c r="L851" s="49" t="n"/>
      <c r="M851" s="49" t="n"/>
      <c r="N851" s="49" t="n"/>
      <c r="O851" s="49" t="n"/>
      <c r="P851" s="49" t="n"/>
    </row>
    <row r="852" ht="15.75" customHeight="1" s="57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49" t="n"/>
      <c r="L852" s="49" t="n"/>
      <c r="M852" s="49" t="n"/>
      <c r="N852" s="49" t="n"/>
      <c r="O852" s="49" t="n"/>
      <c r="P852" s="49" t="n"/>
    </row>
    <row r="853" ht="15.75" customHeight="1" s="57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49" t="n"/>
      <c r="L853" s="49" t="n"/>
      <c r="M853" s="49" t="n"/>
      <c r="N853" s="49" t="n"/>
      <c r="O853" s="49" t="n"/>
      <c r="P853" s="49" t="n"/>
    </row>
    <row r="854" ht="15.75" customHeight="1" s="57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49" t="n"/>
      <c r="L854" s="49" t="n"/>
      <c r="M854" s="49" t="n"/>
      <c r="N854" s="49" t="n"/>
      <c r="O854" s="49" t="n"/>
      <c r="P854" s="49" t="n"/>
    </row>
    <row r="855" ht="15.75" customHeight="1" s="57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49" t="n"/>
      <c r="L855" s="49" t="n"/>
      <c r="M855" s="49" t="n"/>
      <c r="N855" s="49" t="n"/>
      <c r="O855" s="49" t="n"/>
      <c r="P855" s="49" t="n"/>
    </row>
    <row r="856" ht="15.75" customHeight="1" s="57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49" t="n"/>
      <c r="L856" s="49" t="n"/>
      <c r="M856" s="49" t="n"/>
      <c r="N856" s="49" t="n"/>
      <c r="O856" s="49" t="n"/>
      <c r="P856" s="49" t="n"/>
    </row>
    <row r="857" ht="15.75" customHeight="1" s="57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49" t="n"/>
      <c r="L857" s="49" t="n"/>
      <c r="M857" s="49" t="n"/>
      <c r="N857" s="49" t="n"/>
      <c r="O857" s="49" t="n"/>
      <c r="P857" s="49" t="n"/>
    </row>
    <row r="858" ht="15.75" customHeight="1" s="57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49" t="n"/>
      <c r="L858" s="49" t="n"/>
      <c r="M858" s="49" t="n"/>
      <c r="N858" s="49" t="n"/>
      <c r="O858" s="49" t="n"/>
      <c r="P858" s="49" t="n"/>
    </row>
    <row r="859" ht="15.75" customHeight="1" s="57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49" t="n"/>
      <c r="L859" s="49" t="n"/>
      <c r="M859" s="49" t="n"/>
      <c r="N859" s="49" t="n"/>
      <c r="O859" s="49" t="n"/>
      <c r="P859" s="49" t="n"/>
    </row>
    <row r="860" ht="15.75" customHeight="1" s="57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49" t="n"/>
      <c r="L860" s="49" t="n"/>
      <c r="M860" s="49" t="n"/>
      <c r="N860" s="49" t="n"/>
      <c r="O860" s="49" t="n"/>
      <c r="P860" s="49" t="n"/>
    </row>
    <row r="861" ht="15.75" customHeight="1" s="57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49" t="n"/>
      <c r="L861" s="49" t="n"/>
      <c r="M861" s="49" t="n"/>
      <c r="N861" s="49" t="n"/>
      <c r="O861" s="49" t="n"/>
      <c r="P861" s="49" t="n"/>
    </row>
    <row r="862" ht="15.75" customHeight="1" s="57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49" t="n"/>
      <c r="L862" s="49" t="n"/>
      <c r="M862" s="49" t="n"/>
      <c r="N862" s="49" t="n"/>
      <c r="O862" s="49" t="n"/>
      <c r="P862" s="49" t="n"/>
    </row>
    <row r="863" ht="15.75" customHeight="1" s="57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49" t="n"/>
      <c r="L863" s="49" t="n"/>
      <c r="M863" s="49" t="n"/>
      <c r="N863" s="49" t="n"/>
      <c r="O863" s="49" t="n"/>
      <c r="P863" s="49" t="n"/>
    </row>
    <row r="864" ht="15.75" customHeight="1" s="57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49" t="n"/>
      <c r="L864" s="49" t="n"/>
      <c r="M864" s="49" t="n"/>
      <c r="N864" s="49" t="n"/>
      <c r="O864" s="49" t="n"/>
      <c r="P864" s="49" t="n"/>
    </row>
    <row r="865" ht="15.75" customHeight="1" s="57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49" t="n"/>
      <c r="L865" s="49" t="n"/>
      <c r="M865" s="49" t="n"/>
      <c r="N865" s="49" t="n"/>
      <c r="O865" s="49" t="n"/>
      <c r="P865" s="49" t="n"/>
    </row>
    <row r="866" ht="15.75" customHeight="1" s="57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49" t="n"/>
      <c r="L866" s="49" t="n"/>
      <c r="M866" s="49" t="n"/>
      <c r="N866" s="49" t="n"/>
      <c r="O866" s="49" t="n"/>
      <c r="P866" s="49" t="n"/>
    </row>
    <row r="867" ht="15.75" customHeight="1" s="57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49" t="n"/>
      <c r="L867" s="49" t="n"/>
      <c r="M867" s="49" t="n"/>
      <c r="N867" s="49" t="n"/>
      <c r="O867" s="49" t="n"/>
      <c r="P867" s="49" t="n"/>
    </row>
    <row r="868" ht="15.75" customHeight="1" s="57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49" t="n"/>
      <c r="L868" s="49" t="n"/>
      <c r="M868" s="49" t="n"/>
      <c r="N868" s="49" t="n"/>
      <c r="O868" s="49" t="n"/>
      <c r="P868" s="49" t="n"/>
    </row>
    <row r="869" ht="15.75" customHeight="1" s="57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49" t="n"/>
      <c r="L869" s="49" t="n"/>
      <c r="M869" s="49" t="n"/>
      <c r="N869" s="49" t="n"/>
      <c r="O869" s="49" t="n"/>
      <c r="P869" s="49" t="n"/>
    </row>
    <row r="870" ht="15.75" customHeight="1" s="57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49" t="n"/>
      <c r="L870" s="49" t="n"/>
      <c r="M870" s="49" t="n"/>
      <c r="N870" s="49" t="n"/>
      <c r="O870" s="49" t="n"/>
      <c r="P870" s="49" t="n"/>
    </row>
    <row r="871" ht="15.75" customHeight="1" s="57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49" t="n"/>
      <c r="L871" s="49" t="n"/>
      <c r="M871" s="49" t="n"/>
      <c r="N871" s="49" t="n"/>
      <c r="O871" s="49" t="n"/>
      <c r="P871" s="49" t="n"/>
    </row>
    <row r="872" ht="15.75" customHeight="1" s="57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49" t="n"/>
      <c r="L872" s="49" t="n"/>
      <c r="M872" s="49" t="n"/>
      <c r="N872" s="49" t="n"/>
      <c r="O872" s="49" t="n"/>
      <c r="P872" s="49" t="n"/>
    </row>
    <row r="873" ht="15.75" customHeight="1" s="57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49" t="n"/>
      <c r="L873" s="49" t="n"/>
      <c r="M873" s="49" t="n"/>
      <c r="N873" s="49" t="n"/>
      <c r="O873" s="49" t="n"/>
      <c r="P873" s="49" t="n"/>
    </row>
    <row r="874" ht="15.75" customHeight="1" s="57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49" t="n"/>
      <c r="L874" s="49" t="n"/>
      <c r="M874" s="49" t="n"/>
      <c r="N874" s="49" t="n"/>
      <c r="O874" s="49" t="n"/>
      <c r="P874" s="49" t="n"/>
    </row>
    <row r="875" ht="15.75" customHeight="1" s="57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49" t="n"/>
      <c r="L875" s="49" t="n"/>
      <c r="M875" s="49" t="n"/>
      <c r="N875" s="49" t="n"/>
      <c r="O875" s="49" t="n"/>
      <c r="P875" s="49" t="n"/>
    </row>
    <row r="876" ht="15.75" customHeight="1" s="57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49" t="n"/>
      <c r="L876" s="49" t="n"/>
      <c r="M876" s="49" t="n"/>
      <c r="N876" s="49" t="n"/>
      <c r="O876" s="49" t="n"/>
      <c r="P876" s="49" t="n"/>
    </row>
    <row r="877" ht="15.75" customHeight="1" s="57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49" t="n"/>
      <c r="L877" s="49" t="n"/>
      <c r="M877" s="49" t="n"/>
      <c r="N877" s="49" t="n"/>
      <c r="O877" s="49" t="n"/>
      <c r="P877" s="49" t="n"/>
    </row>
    <row r="878" ht="15.75" customHeight="1" s="57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49" t="n"/>
      <c r="L878" s="49" t="n"/>
      <c r="M878" s="49" t="n"/>
      <c r="N878" s="49" t="n"/>
      <c r="O878" s="49" t="n"/>
      <c r="P878" s="49" t="n"/>
    </row>
    <row r="879" ht="15.75" customHeight="1" s="57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49" t="n"/>
      <c r="L879" s="49" t="n"/>
      <c r="M879" s="49" t="n"/>
      <c r="N879" s="49" t="n"/>
      <c r="O879" s="49" t="n"/>
      <c r="P879" s="49" t="n"/>
    </row>
    <row r="880" ht="15.75" customHeight="1" s="57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49" t="n"/>
      <c r="L880" s="49" t="n"/>
      <c r="M880" s="49" t="n"/>
      <c r="N880" s="49" t="n"/>
      <c r="O880" s="49" t="n"/>
      <c r="P880" s="49" t="n"/>
    </row>
    <row r="881" ht="15.75" customHeight="1" s="57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49" t="n"/>
      <c r="L881" s="49" t="n"/>
      <c r="M881" s="49" t="n"/>
      <c r="N881" s="49" t="n"/>
      <c r="O881" s="49" t="n"/>
      <c r="P881" s="49" t="n"/>
    </row>
    <row r="882" ht="15.75" customHeight="1" s="57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49" t="n"/>
      <c r="L882" s="49" t="n"/>
      <c r="M882" s="49" t="n"/>
      <c r="N882" s="49" t="n"/>
      <c r="O882" s="49" t="n"/>
      <c r="P882" s="49" t="n"/>
    </row>
    <row r="883" ht="15.75" customHeight="1" s="57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49" t="n"/>
      <c r="L883" s="49" t="n"/>
      <c r="M883" s="49" t="n"/>
      <c r="N883" s="49" t="n"/>
      <c r="O883" s="49" t="n"/>
      <c r="P883" s="49" t="n"/>
    </row>
    <row r="884" ht="15.75" customHeight="1" s="57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49" t="n"/>
      <c r="L884" s="49" t="n"/>
      <c r="M884" s="49" t="n"/>
      <c r="N884" s="49" t="n"/>
      <c r="O884" s="49" t="n"/>
      <c r="P884" s="49" t="n"/>
    </row>
    <row r="885" ht="15.75" customHeight="1" s="57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49" t="n"/>
      <c r="L885" s="49" t="n"/>
      <c r="M885" s="49" t="n"/>
      <c r="N885" s="49" t="n"/>
      <c r="O885" s="49" t="n"/>
      <c r="P885" s="49" t="n"/>
    </row>
    <row r="886" ht="15.75" customHeight="1" s="57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49" t="n"/>
      <c r="L886" s="49" t="n"/>
      <c r="M886" s="49" t="n"/>
      <c r="N886" s="49" t="n"/>
      <c r="O886" s="49" t="n"/>
      <c r="P886" s="49" t="n"/>
    </row>
    <row r="887" ht="15.75" customHeight="1" s="57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49" t="n"/>
      <c r="L887" s="49" t="n"/>
      <c r="M887" s="49" t="n"/>
      <c r="N887" s="49" t="n"/>
      <c r="O887" s="49" t="n"/>
      <c r="P887" s="49" t="n"/>
    </row>
    <row r="888" ht="15.75" customHeight="1" s="57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49" t="n"/>
      <c r="L888" s="49" t="n"/>
      <c r="M888" s="49" t="n"/>
      <c r="N888" s="49" t="n"/>
      <c r="O888" s="49" t="n"/>
      <c r="P888" s="49" t="n"/>
    </row>
    <row r="889" ht="15.75" customHeight="1" s="57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49" t="n"/>
      <c r="L889" s="49" t="n"/>
      <c r="M889" s="49" t="n"/>
      <c r="N889" s="49" t="n"/>
      <c r="O889" s="49" t="n"/>
      <c r="P889" s="49" t="n"/>
    </row>
    <row r="890" ht="15.75" customHeight="1" s="57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49" t="n"/>
      <c r="L890" s="49" t="n"/>
      <c r="M890" s="49" t="n"/>
      <c r="N890" s="49" t="n"/>
      <c r="O890" s="49" t="n"/>
      <c r="P890" s="49" t="n"/>
    </row>
    <row r="891" ht="15.75" customHeight="1" s="57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49" t="n"/>
      <c r="L891" s="49" t="n"/>
      <c r="M891" s="49" t="n"/>
      <c r="N891" s="49" t="n"/>
      <c r="O891" s="49" t="n"/>
      <c r="P891" s="49" t="n"/>
    </row>
    <row r="892" ht="15.75" customHeight="1" s="57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49" t="n"/>
      <c r="L892" s="49" t="n"/>
      <c r="M892" s="49" t="n"/>
      <c r="N892" s="49" t="n"/>
      <c r="O892" s="49" t="n"/>
      <c r="P892" s="49" t="n"/>
    </row>
    <row r="893" ht="15.75" customHeight="1" s="57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49" t="n"/>
      <c r="L893" s="49" t="n"/>
      <c r="M893" s="49" t="n"/>
      <c r="N893" s="49" t="n"/>
      <c r="O893" s="49" t="n"/>
      <c r="P893" s="49" t="n"/>
    </row>
    <row r="894" ht="15.75" customHeight="1" s="57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49" t="n"/>
      <c r="L894" s="49" t="n"/>
      <c r="M894" s="49" t="n"/>
      <c r="N894" s="49" t="n"/>
      <c r="O894" s="49" t="n"/>
      <c r="P894" s="49" t="n"/>
    </row>
    <row r="895" ht="15.75" customHeight="1" s="57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49" t="n"/>
      <c r="L895" s="49" t="n"/>
      <c r="M895" s="49" t="n"/>
      <c r="N895" s="49" t="n"/>
      <c r="O895" s="49" t="n"/>
      <c r="P895" s="49" t="n"/>
    </row>
    <row r="896" ht="15.75" customHeight="1" s="57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49" t="n"/>
      <c r="L896" s="49" t="n"/>
      <c r="M896" s="49" t="n"/>
      <c r="N896" s="49" t="n"/>
      <c r="O896" s="49" t="n"/>
      <c r="P896" s="49" t="n"/>
    </row>
    <row r="897" ht="15.75" customHeight="1" s="57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49" t="n"/>
      <c r="L897" s="49" t="n"/>
      <c r="M897" s="49" t="n"/>
      <c r="N897" s="49" t="n"/>
      <c r="O897" s="49" t="n"/>
      <c r="P897" s="49" t="n"/>
    </row>
    <row r="898" ht="15.75" customHeight="1" s="57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49" t="n"/>
      <c r="L898" s="49" t="n"/>
      <c r="M898" s="49" t="n"/>
      <c r="N898" s="49" t="n"/>
      <c r="O898" s="49" t="n"/>
      <c r="P898" s="49" t="n"/>
    </row>
    <row r="899" ht="15.75" customHeight="1" s="57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49" t="n"/>
      <c r="L899" s="49" t="n"/>
      <c r="M899" s="49" t="n"/>
      <c r="N899" s="49" t="n"/>
      <c r="O899" s="49" t="n"/>
      <c r="P899" s="49" t="n"/>
    </row>
    <row r="900" ht="15.75" customHeight="1" s="57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49" t="n"/>
      <c r="L900" s="49" t="n"/>
      <c r="M900" s="49" t="n"/>
      <c r="N900" s="49" t="n"/>
      <c r="O900" s="49" t="n"/>
      <c r="P900" s="49" t="n"/>
    </row>
    <row r="901" ht="15.75" customHeight="1" s="57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49" t="n"/>
      <c r="L901" s="49" t="n"/>
      <c r="M901" s="49" t="n"/>
      <c r="N901" s="49" t="n"/>
      <c r="O901" s="49" t="n"/>
      <c r="P901" s="49" t="n"/>
    </row>
    <row r="902" ht="15.75" customHeight="1" s="57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49" t="n"/>
      <c r="L902" s="49" t="n"/>
      <c r="M902" s="49" t="n"/>
      <c r="N902" s="49" t="n"/>
      <c r="O902" s="49" t="n"/>
      <c r="P902" s="49" t="n"/>
    </row>
    <row r="903" ht="15.75" customHeight="1" s="57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49" t="n"/>
      <c r="L903" s="49" t="n"/>
      <c r="M903" s="49" t="n"/>
      <c r="N903" s="49" t="n"/>
      <c r="O903" s="49" t="n"/>
      <c r="P903" s="49" t="n"/>
    </row>
    <row r="904" ht="15.75" customHeight="1" s="57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49" t="n"/>
      <c r="L904" s="49" t="n"/>
      <c r="M904" s="49" t="n"/>
      <c r="N904" s="49" t="n"/>
      <c r="O904" s="49" t="n"/>
      <c r="P904" s="49" t="n"/>
    </row>
    <row r="905" ht="15.75" customHeight="1" s="57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49" t="n"/>
      <c r="L905" s="49" t="n"/>
      <c r="M905" s="49" t="n"/>
      <c r="N905" s="49" t="n"/>
      <c r="O905" s="49" t="n"/>
      <c r="P905" s="49" t="n"/>
    </row>
    <row r="906" ht="15.75" customHeight="1" s="57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49" t="n"/>
      <c r="L906" s="49" t="n"/>
      <c r="M906" s="49" t="n"/>
      <c r="N906" s="49" t="n"/>
      <c r="O906" s="49" t="n"/>
      <c r="P906" s="49" t="n"/>
    </row>
    <row r="907" ht="15.75" customHeight="1" s="57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49" t="n"/>
      <c r="L907" s="49" t="n"/>
      <c r="M907" s="49" t="n"/>
      <c r="N907" s="49" t="n"/>
      <c r="O907" s="49" t="n"/>
      <c r="P907" s="49" t="n"/>
    </row>
    <row r="908" ht="15.75" customHeight="1" s="57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49" t="n"/>
      <c r="L908" s="49" t="n"/>
      <c r="M908" s="49" t="n"/>
      <c r="N908" s="49" t="n"/>
      <c r="O908" s="49" t="n"/>
      <c r="P908" s="49" t="n"/>
    </row>
    <row r="909" ht="15.75" customHeight="1" s="57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49" t="n"/>
      <c r="L909" s="49" t="n"/>
      <c r="M909" s="49" t="n"/>
      <c r="N909" s="49" t="n"/>
      <c r="O909" s="49" t="n"/>
      <c r="P909" s="49" t="n"/>
    </row>
    <row r="910" ht="15.75" customHeight="1" s="57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49" t="n"/>
      <c r="L910" s="49" t="n"/>
      <c r="M910" s="49" t="n"/>
      <c r="N910" s="49" t="n"/>
      <c r="O910" s="49" t="n"/>
      <c r="P910" s="49" t="n"/>
    </row>
    <row r="911" ht="15.75" customHeight="1" s="57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49" t="n"/>
      <c r="L911" s="49" t="n"/>
      <c r="M911" s="49" t="n"/>
      <c r="N911" s="49" t="n"/>
      <c r="O911" s="49" t="n"/>
      <c r="P911" s="49" t="n"/>
    </row>
    <row r="912" ht="15.75" customHeight="1" s="57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49" t="n"/>
      <c r="L912" s="49" t="n"/>
      <c r="M912" s="49" t="n"/>
      <c r="N912" s="49" t="n"/>
      <c r="O912" s="49" t="n"/>
      <c r="P912" s="49" t="n"/>
    </row>
    <row r="913" ht="15.75" customHeight="1" s="57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49" t="n"/>
      <c r="L913" s="49" t="n"/>
      <c r="M913" s="49" t="n"/>
      <c r="N913" s="49" t="n"/>
      <c r="O913" s="49" t="n"/>
      <c r="P913" s="49" t="n"/>
    </row>
    <row r="914" ht="15.75" customHeight="1" s="57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49" t="n"/>
      <c r="L914" s="49" t="n"/>
      <c r="M914" s="49" t="n"/>
      <c r="N914" s="49" t="n"/>
      <c r="O914" s="49" t="n"/>
      <c r="P914" s="49" t="n"/>
    </row>
    <row r="915" ht="15.75" customHeight="1" s="57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49" t="n"/>
      <c r="L915" s="49" t="n"/>
      <c r="M915" s="49" t="n"/>
      <c r="N915" s="49" t="n"/>
      <c r="O915" s="49" t="n"/>
      <c r="P915" s="49" t="n"/>
    </row>
    <row r="916" ht="15.75" customHeight="1" s="57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49" t="n"/>
      <c r="L916" s="49" t="n"/>
      <c r="M916" s="49" t="n"/>
      <c r="N916" s="49" t="n"/>
      <c r="O916" s="49" t="n"/>
      <c r="P916" s="49" t="n"/>
    </row>
    <row r="917" ht="15.75" customHeight="1" s="57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49" t="n"/>
      <c r="L917" s="49" t="n"/>
      <c r="M917" s="49" t="n"/>
      <c r="N917" s="49" t="n"/>
      <c r="O917" s="49" t="n"/>
      <c r="P917" s="49" t="n"/>
    </row>
    <row r="918" ht="15.75" customHeight="1" s="57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49" t="n"/>
      <c r="L918" s="49" t="n"/>
      <c r="M918" s="49" t="n"/>
      <c r="N918" s="49" t="n"/>
      <c r="O918" s="49" t="n"/>
      <c r="P918" s="49" t="n"/>
    </row>
    <row r="919" ht="15.75" customHeight="1" s="57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49" t="n"/>
      <c r="L919" s="49" t="n"/>
      <c r="M919" s="49" t="n"/>
      <c r="N919" s="49" t="n"/>
      <c r="O919" s="49" t="n"/>
      <c r="P919" s="49" t="n"/>
    </row>
    <row r="920" ht="15.75" customHeight="1" s="57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49" t="n"/>
      <c r="L920" s="49" t="n"/>
      <c r="M920" s="49" t="n"/>
      <c r="N920" s="49" t="n"/>
      <c r="O920" s="49" t="n"/>
      <c r="P920" s="49" t="n"/>
    </row>
    <row r="921" ht="15.75" customHeight="1" s="57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49" t="n"/>
      <c r="L921" s="49" t="n"/>
      <c r="M921" s="49" t="n"/>
      <c r="N921" s="49" t="n"/>
      <c r="O921" s="49" t="n"/>
      <c r="P921" s="49" t="n"/>
    </row>
    <row r="922" ht="15.75" customHeight="1" s="57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49" t="n"/>
      <c r="L922" s="49" t="n"/>
      <c r="M922" s="49" t="n"/>
      <c r="N922" s="49" t="n"/>
      <c r="O922" s="49" t="n"/>
      <c r="P922" s="49" t="n"/>
    </row>
    <row r="923" ht="15.75" customHeight="1" s="57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49" t="n"/>
      <c r="L923" s="49" t="n"/>
      <c r="M923" s="49" t="n"/>
      <c r="N923" s="49" t="n"/>
      <c r="O923" s="49" t="n"/>
      <c r="P923" s="49" t="n"/>
    </row>
    <row r="924" ht="15.75" customHeight="1" s="57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49" t="n"/>
      <c r="L924" s="49" t="n"/>
      <c r="M924" s="49" t="n"/>
      <c r="N924" s="49" t="n"/>
      <c r="O924" s="49" t="n"/>
      <c r="P924" s="49" t="n"/>
    </row>
    <row r="925" ht="15.75" customHeight="1" s="57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49" t="n"/>
      <c r="L925" s="49" t="n"/>
      <c r="M925" s="49" t="n"/>
      <c r="N925" s="49" t="n"/>
      <c r="O925" s="49" t="n"/>
      <c r="P925" s="49" t="n"/>
    </row>
    <row r="926" ht="15.75" customHeight="1" s="57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49" t="n"/>
      <c r="L926" s="49" t="n"/>
      <c r="M926" s="49" t="n"/>
      <c r="N926" s="49" t="n"/>
      <c r="O926" s="49" t="n"/>
      <c r="P926" s="49" t="n"/>
    </row>
    <row r="927" ht="15.75" customHeight="1" s="57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49" t="n"/>
      <c r="L927" s="49" t="n"/>
      <c r="M927" s="49" t="n"/>
      <c r="N927" s="49" t="n"/>
      <c r="O927" s="49" t="n"/>
      <c r="P927" s="49" t="n"/>
    </row>
    <row r="928" ht="15.75" customHeight="1" s="57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49" t="n"/>
      <c r="L928" s="49" t="n"/>
      <c r="M928" s="49" t="n"/>
      <c r="N928" s="49" t="n"/>
      <c r="O928" s="49" t="n"/>
      <c r="P928" s="49" t="n"/>
    </row>
    <row r="929" ht="15.75" customHeight="1" s="57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49" t="n"/>
      <c r="L929" s="49" t="n"/>
      <c r="M929" s="49" t="n"/>
      <c r="N929" s="49" t="n"/>
      <c r="O929" s="49" t="n"/>
      <c r="P929" s="49" t="n"/>
    </row>
    <row r="930" ht="15.75" customHeight="1" s="57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49" t="n"/>
      <c r="L930" s="49" t="n"/>
      <c r="M930" s="49" t="n"/>
      <c r="N930" s="49" t="n"/>
      <c r="O930" s="49" t="n"/>
      <c r="P930" s="49" t="n"/>
    </row>
    <row r="931" ht="15.75" customHeight="1" s="57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49" t="n"/>
      <c r="L931" s="49" t="n"/>
      <c r="M931" s="49" t="n"/>
      <c r="N931" s="49" t="n"/>
      <c r="O931" s="49" t="n"/>
      <c r="P931" s="49" t="n"/>
    </row>
    <row r="932" ht="15.75" customHeight="1" s="57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49" t="n"/>
      <c r="L932" s="49" t="n"/>
      <c r="M932" s="49" t="n"/>
      <c r="N932" s="49" t="n"/>
      <c r="O932" s="49" t="n"/>
      <c r="P932" s="49" t="n"/>
    </row>
    <row r="933" ht="15.75" customHeight="1" s="57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49" t="n"/>
      <c r="L933" s="49" t="n"/>
      <c r="M933" s="49" t="n"/>
      <c r="N933" s="49" t="n"/>
      <c r="O933" s="49" t="n"/>
      <c r="P933" s="49" t="n"/>
    </row>
    <row r="934" ht="15.75" customHeight="1" s="57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49" t="n"/>
      <c r="L934" s="49" t="n"/>
      <c r="M934" s="49" t="n"/>
      <c r="N934" s="49" t="n"/>
      <c r="O934" s="49" t="n"/>
      <c r="P934" s="49" t="n"/>
    </row>
    <row r="935" ht="15.75" customHeight="1" s="57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49" t="n"/>
      <c r="L935" s="49" t="n"/>
      <c r="M935" s="49" t="n"/>
      <c r="N935" s="49" t="n"/>
      <c r="O935" s="49" t="n"/>
      <c r="P935" s="49" t="n"/>
    </row>
    <row r="936" ht="15.75" customHeight="1" s="57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49" t="n"/>
      <c r="L936" s="49" t="n"/>
      <c r="M936" s="49" t="n"/>
      <c r="N936" s="49" t="n"/>
      <c r="O936" s="49" t="n"/>
      <c r="P936" s="49" t="n"/>
    </row>
    <row r="937" ht="15.75" customHeight="1" s="57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49" t="n"/>
      <c r="L937" s="49" t="n"/>
      <c r="M937" s="49" t="n"/>
      <c r="N937" s="49" t="n"/>
      <c r="O937" s="49" t="n"/>
      <c r="P937" s="49" t="n"/>
    </row>
    <row r="938" ht="15.75" customHeight="1" s="57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49" t="n"/>
      <c r="L938" s="49" t="n"/>
      <c r="M938" s="49" t="n"/>
      <c r="N938" s="49" t="n"/>
      <c r="O938" s="49" t="n"/>
      <c r="P938" s="49" t="n"/>
    </row>
    <row r="939" ht="15.75" customHeight="1" s="57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49" t="n"/>
      <c r="L939" s="49" t="n"/>
      <c r="M939" s="49" t="n"/>
      <c r="N939" s="49" t="n"/>
      <c r="O939" s="49" t="n"/>
      <c r="P939" s="49" t="n"/>
    </row>
    <row r="940" ht="15.75" customHeight="1" s="57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49" t="n"/>
      <c r="L940" s="49" t="n"/>
      <c r="M940" s="49" t="n"/>
      <c r="N940" s="49" t="n"/>
      <c r="O940" s="49" t="n"/>
      <c r="P940" s="49" t="n"/>
    </row>
    <row r="941" ht="15.75" customHeight="1" s="57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49" t="n"/>
      <c r="L941" s="49" t="n"/>
      <c r="M941" s="49" t="n"/>
      <c r="N941" s="49" t="n"/>
      <c r="O941" s="49" t="n"/>
      <c r="P941" s="49" t="n"/>
    </row>
    <row r="942" ht="15.75" customHeight="1" s="57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49" t="n"/>
      <c r="L942" s="49" t="n"/>
      <c r="M942" s="49" t="n"/>
      <c r="N942" s="49" t="n"/>
      <c r="O942" s="49" t="n"/>
      <c r="P942" s="49" t="n"/>
    </row>
    <row r="943" ht="15.75" customHeight="1" s="57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49" t="n"/>
      <c r="L943" s="49" t="n"/>
      <c r="M943" s="49" t="n"/>
      <c r="N943" s="49" t="n"/>
      <c r="O943" s="49" t="n"/>
      <c r="P943" s="49" t="n"/>
    </row>
    <row r="944" ht="15.75" customHeight="1" s="57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49" t="n"/>
      <c r="L944" s="49" t="n"/>
      <c r="M944" s="49" t="n"/>
      <c r="N944" s="49" t="n"/>
      <c r="O944" s="49" t="n"/>
      <c r="P944" s="49" t="n"/>
    </row>
    <row r="945" ht="15.75" customHeight="1" s="57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49" t="n"/>
      <c r="L945" s="49" t="n"/>
      <c r="M945" s="49" t="n"/>
      <c r="N945" s="49" t="n"/>
      <c r="O945" s="49" t="n"/>
      <c r="P945" s="49" t="n"/>
    </row>
    <row r="946" ht="15.75" customHeight="1" s="57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49" t="n"/>
      <c r="L946" s="49" t="n"/>
      <c r="M946" s="49" t="n"/>
      <c r="N946" s="49" t="n"/>
      <c r="O946" s="49" t="n"/>
      <c r="P946" s="49" t="n"/>
    </row>
    <row r="947" ht="15.75" customHeight="1" s="57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49" t="n"/>
      <c r="L947" s="49" t="n"/>
      <c r="M947" s="49" t="n"/>
      <c r="N947" s="49" t="n"/>
      <c r="O947" s="49" t="n"/>
      <c r="P947" s="49" t="n"/>
    </row>
    <row r="948" ht="15.75" customHeight="1" s="57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49" t="n"/>
      <c r="L948" s="49" t="n"/>
      <c r="M948" s="49" t="n"/>
      <c r="N948" s="49" t="n"/>
      <c r="O948" s="49" t="n"/>
      <c r="P948" s="49" t="n"/>
    </row>
    <row r="949" ht="15.75" customHeight="1" s="57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49" t="n"/>
      <c r="L949" s="49" t="n"/>
      <c r="M949" s="49" t="n"/>
      <c r="N949" s="49" t="n"/>
      <c r="O949" s="49" t="n"/>
      <c r="P949" s="49" t="n"/>
    </row>
    <row r="950" ht="15.75" customHeight="1" s="57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49" t="n"/>
      <c r="L950" s="49" t="n"/>
      <c r="M950" s="49" t="n"/>
      <c r="N950" s="49" t="n"/>
      <c r="O950" s="49" t="n"/>
      <c r="P950" s="49" t="n"/>
    </row>
    <row r="951" ht="15.75" customHeight="1" s="57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49" t="n"/>
      <c r="L951" s="49" t="n"/>
      <c r="M951" s="49" t="n"/>
      <c r="N951" s="49" t="n"/>
      <c r="O951" s="49" t="n"/>
      <c r="P951" s="49" t="n"/>
    </row>
    <row r="952" ht="15.75" customHeight="1" s="57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49" t="n"/>
      <c r="L952" s="49" t="n"/>
      <c r="M952" s="49" t="n"/>
      <c r="N952" s="49" t="n"/>
      <c r="O952" s="49" t="n"/>
      <c r="P952" s="49" t="n"/>
    </row>
    <row r="953" ht="15.75" customHeight="1" s="57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49" t="n"/>
      <c r="L953" s="49" t="n"/>
      <c r="M953" s="49" t="n"/>
      <c r="N953" s="49" t="n"/>
      <c r="O953" s="49" t="n"/>
      <c r="P953" s="49" t="n"/>
    </row>
    <row r="954" ht="15.75" customHeight="1" s="57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49" t="n"/>
      <c r="L954" s="49" t="n"/>
      <c r="M954" s="49" t="n"/>
      <c r="N954" s="49" t="n"/>
      <c r="O954" s="49" t="n"/>
      <c r="P954" s="49" t="n"/>
    </row>
    <row r="955" ht="15.75" customHeight="1" s="57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49" t="n"/>
      <c r="L955" s="49" t="n"/>
      <c r="M955" s="49" t="n"/>
      <c r="N955" s="49" t="n"/>
      <c r="O955" s="49" t="n"/>
      <c r="P955" s="49" t="n"/>
    </row>
    <row r="956" ht="15.75" customHeight="1" s="57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49" t="n"/>
      <c r="L956" s="49" t="n"/>
      <c r="M956" s="49" t="n"/>
      <c r="N956" s="49" t="n"/>
      <c r="O956" s="49" t="n"/>
      <c r="P956" s="49" t="n"/>
    </row>
    <row r="957" ht="15.75" customHeight="1" s="57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49" t="n"/>
      <c r="L957" s="49" t="n"/>
      <c r="M957" s="49" t="n"/>
      <c r="N957" s="49" t="n"/>
      <c r="O957" s="49" t="n"/>
      <c r="P957" s="49" t="n"/>
    </row>
    <row r="958" ht="15.75" customHeight="1" s="57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49" t="n"/>
      <c r="L958" s="49" t="n"/>
      <c r="M958" s="49" t="n"/>
      <c r="N958" s="49" t="n"/>
      <c r="O958" s="49" t="n"/>
      <c r="P958" s="49" t="n"/>
    </row>
    <row r="959" ht="15.75" customHeight="1" s="57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49" t="n"/>
      <c r="L959" s="49" t="n"/>
      <c r="M959" s="49" t="n"/>
      <c r="N959" s="49" t="n"/>
      <c r="O959" s="49" t="n"/>
      <c r="P959" s="49" t="n"/>
    </row>
    <row r="960" ht="15.75" customHeight="1" s="57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49" t="n"/>
      <c r="L960" s="49" t="n"/>
      <c r="M960" s="49" t="n"/>
      <c r="N960" s="49" t="n"/>
      <c r="O960" s="49" t="n"/>
      <c r="P960" s="49" t="n"/>
    </row>
    <row r="961" ht="15.75" customHeight="1" s="57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49" t="n"/>
      <c r="L961" s="49" t="n"/>
      <c r="M961" s="49" t="n"/>
      <c r="N961" s="49" t="n"/>
      <c r="O961" s="49" t="n"/>
      <c r="P961" s="49" t="n"/>
    </row>
    <row r="962" ht="15.75" customHeight="1" s="57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49" t="n"/>
      <c r="L962" s="49" t="n"/>
      <c r="M962" s="49" t="n"/>
      <c r="N962" s="49" t="n"/>
      <c r="O962" s="49" t="n"/>
      <c r="P962" s="49" t="n"/>
    </row>
    <row r="963" ht="15.75" customHeight="1" s="57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49" t="n"/>
      <c r="L963" s="49" t="n"/>
      <c r="M963" s="49" t="n"/>
      <c r="N963" s="49" t="n"/>
      <c r="O963" s="49" t="n"/>
      <c r="P963" s="49" t="n"/>
    </row>
    <row r="964" ht="15.75" customHeight="1" s="57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49" t="n"/>
      <c r="L964" s="49" t="n"/>
      <c r="M964" s="49" t="n"/>
      <c r="N964" s="49" t="n"/>
      <c r="O964" s="49" t="n"/>
      <c r="P964" s="49" t="n"/>
    </row>
    <row r="965" ht="15.75" customHeight="1" s="57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49" t="n"/>
      <c r="L965" s="49" t="n"/>
      <c r="M965" s="49" t="n"/>
      <c r="N965" s="49" t="n"/>
      <c r="O965" s="49" t="n"/>
      <c r="P965" s="49" t="n"/>
    </row>
    <row r="966" ht="15.75" customHeight="1" s="57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49" t="n"/>
      <c r="L966" s="49" t="n"/>
      <c r="M966" s="49" t="n"/>
      <c r="N966" s="49" t="n"/>
      <c r="O966" s="49" t="n"/>
      <c r="P966" s="49" t="n"/>
    </row>
    <row r="967" ht="15.75" customHeight="1" s="57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49" t="n"/>
      <c r="L967" s="49" t="n"/>
      <c r="M967" s="49" t="n"/>
      <c r="N967" s="49" t="n"/>
      <c r="O967" s="49" t="n"/>
      <c r="P967" s="49" t="n"/>
    </row>
    <row r="968" ht="15.75" customHeight="1" s="57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49" t="n"/>
      <c r="L968" s="49" t="n"/>
      <c r="M968" s="49" t="n"/>
      <c r="N968" s="49" t="n"/>
      <c r="O968" s="49" t="n"/>
      <c r="P968" s="49" t="n"/>
    </row>
    <row r="969" ht="15.75" customHeight="1" s="57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49" t="n"/>
      <c r="L969" s="49" t="n"/>
      <c r="M969" s="49" t="n"/>
      <c r="N969" s="49" t="n"/>
      <c r="O969" s="49" t="n"/>
      <c r="P969" s="49" t="n"/>
    </row>
    <row r="970" ht="15.75" customHeight="1" s="57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49" t="n"/>
      <c r="L970" s="49" t="n"/>
      <c r="M970" s="49" t="n"/>
      <c r="N970" s="49" t="n"/>
      <c r="O970" s="49" t="n"/>
      <c r="P970" s="49" t="n"/>
    </row>
    <row r="971" ht="15.75" customHeight="1" s="57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49" t="n"/>
      <c r="L971" s="49" t="n"/>
      <c r="M971" s="49" t="n"/>
      <c r="N971" s="49" t="n"/>
      <c r="O971" s="49" t="n"/>
      <c r="P971" s="49" t="n"/>
    </row>
    <row r="972" ht="15.75" customHeight="1" s="57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49" t="n"/>
      <c r="L972" s="49" t="n"/>
      <c r="M972" s="49" t="n"/>
      <c r="N972" s="49" t="n"/>
      <c r="O972" s="49" t="n"/>
      <c r="P972" s="49" t="n"/>
    </row>
    <row r="973" ht="15.75" customHeight="1" s="57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49" t="n"/>
      <c r="L973" s="49" t="n"/>
      <c r="M973" s="49" t="n"/>
      <c r="N973" s="49" t="n"/>
      <c r="O973" s="49" t="n"/>
      <c r="P973" s="49" t="n"/>
    </row>
    <row r="974" ht="15.75" customHeight="1" s="57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49" t="n"/>
      <c r="L974" s="49" t="n"/>
      <c r="M974" s="49" t="n"/>
      <c r="N974" s="49" t="n"/>
      <c r="O974" s="49" t="n"/>
      <c r="P974" s="49" t="n"/>
    </row>
    <row r="975" ht="15.75" customHeight="1" s="57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49" t="n"/>
      <c r="L975" s="49" t="n"/>
      <c r="M975" s="49" t="n"/>
      <c r="N975" s="49" t="n"/>
      <c r="O975" s="49" t="n"/>
      <c r="P975" s="49" t="n"/>
    </row>
    <row r="976" ht="15.75" customHeight="1" s="57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49" t="n"/>
      <c r="L976" s="49" t="n"/>
      <c r="M976" s="49" t="n"/>
      <c r="N976" s="49" t="n"/>
      <c r="O976" s="49" t="n"/>
      <c r="P976" s="49" t="n"/>
    </row>
    <row r="977" ht="15.75" customHeight="1" s="57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49" t="n"/>
      <c r="L977" s="49" t="n"/>
      <c r="M977" s="49" t="n"/>
      <c r="N977" s="49" t="n"/>
      <c r="O977" s="49" t="n"/>
      <c r="P977" s="49" t="n"/>
    </row>
    <row r="978" ht="15.75" customHeight="1" s="57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49" t="n"/>
      <c r="L978" s="49" t="n"/>
      <c r="M978" s="49" t="n"/>
      <c r="N978" s="49" t="n"/>
      <c r="O978" s="49" t="n"/>
      <c r="P978" s="49" t="n"/>
    </row>
    <row r="979" ht="15.75" customHeight="1" s="57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49" t="n"/>
      <c r="L979" s="49" t="n"/>
      <c r="M979" s="49" t="n"/>
      <c r="N979" s="49" t="n"/>
      <c r="O979" s="49" t="n"/>
      <c r="P979" s="49" t="n"/>
    </row>
    <row r="980" ht="15.75" customHeight="1" s="57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49" t="n"/>
      <c r="L980" s="49" t="n"/>
      <c r="M980" s="49" t="n"/>
      <c r="N980" s="49" t="n"/>
      <c r="O980" s="49" t="n"/>
      <c r="P980" s="49" t="n"/>
    </row>
    <row r="981" ht="15.75" customHeight="1" s="57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49" t="n"/>
      <c r="L981" s="49" t="n"/>
      <c r="M981" s="49" t="n"/>
      <c r="N981" s="49" t="n"/>
      <c r="O981" s="49" t="n"/>
      <c r="P981" s="49" t="n"/>
    </row>
    <row r="982" ht="15.75" customHeight="1" s="57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49" t="n"/>
      <c r="L982" s="49" t="n"/>
      <c r="M982" s="49" t="n"/>
      <c r="N982" s="49" t="n"/>
      <c r="O982" s="49" t="n"/>
      <c r="P982" s="49" t="n"/>
    </row>
    <row r="983" ht="15.75" customHeight="1" s="57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49" t="n"/>
      <c r="L983" s="49" t="n"/>
      <c r="M983" s="49" t="n"/>
      <c r="N983" s="49" t="n"/>
      <c r="O983" s="49" t="n"/>
      <c r="P983" s="49" t="n"/>
    </row>
    <row r="984" ht="15.75" customHeight="1" s="57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49" t="n"/>
      <c r="L984" s="49" t="n"/>
      <c r="M984" s="49" t="n"/>
      <c r="N984" s="49" t="n"/>
      <c r="O984" s="49" t="n"/>
      <c r="P984" s="49" t="n"/>
    </row>
    <row r="985" ht="15.75" customHeight="1" s="57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49" t="n"/>
      <c r="L985" s="49" t="n"/>
      <c r="M985" s="49" t="n"/>
      <c r="N985" s="49" t="n"/>
      <c r="O985" s="49" t="n"/>
      <c r="P985" s="49" t="n"/>
    </row>
    <row r="986" ht="15.75" customHeight="1" s="57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49" t="n"/>
      <c r="L986" s="49" t="n"/>
      <c r="M986" s="49" t="n"/>
      <c r="N986" s="49" t="n"/>
      <c r="O986" s="49" t="n"/>
      <c r="P986" s="49" t="n"/>
    </row>
    <row r="987" ht="15.75" customHeight="1" s="57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49" t="n"/>
      <c r="L987" s="49" t="n"/>
      <c r="M987" s="49" t="n"/>
      <c r="N987" s="49" t="n"/>
      <c r="O987" s="49" t="n"/>
      <c r="P987" s="49" t="n"/>
    </row>
    <row r="988" ht="15.75" customHeight="1" s="57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49" t="n"/>
      <c r="L988" s="49" t="n"/>
      <c r="M988" s="49" t="n"/>
      <c r="N988" s="49" t="n"/>
      <c r="O988" s="49" t="n"/>
      <c r="P988" s="49" t="n"/>
    </row>
    <row r="989" ht="15.75" customHeight="1" s="57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49" t="n"/>
      <c r="L989" s="49" t="n"/>
      <c r="M989" s="49" t="n"/>
      <c r="N989" s="49" t="n"/>
      <c r="O989" s="49" t="n"/>
      <c r="P989" s="49" t="n"/>
    </row>
    <row r="990" ht="15.75" customHeight="1" s="57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49" t="n"/>
      <c r="L990" s="49" t="n"/>
      <c r="M990" s="49" t="n"/>
      <c r="N990" s="49" t="n"/>
      <c r="O990" s="49" t="n"/>
      <c r="P990" s="49" t="n"/>
    </row>
    <row r="991" ht="15.75" customHeight="1" s="57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49" t="n"/>
      <c r="L991" s="49" t="n"/>
      <c r="M991" s="49" t="n"/>
      <c r="N991" s="49" t="n"/>
      <c r="O991" s="49" t="n"/>
      <c r="P991" s="49" t="n"/>
    </row>
    <row r="992" ht="15.75" customHeight="1" s="57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49" t="n"/>
      <c r="L992" s="49" t="n"/>
      <c r="M992" s="49" t="n"/>
      <c r="N992" s="49" t="n"/>
      <c r="O992" s="49" t="n"/>
      <c r="P992" s="49" t="n"/>
    </row>
    <row r="993" ht="15.75" customHeight="1" s="57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49" t="n"/>
      <c r="L993" s="49" t="n"/>
      <c r="M993" s="49" t="n"/>
      <c r="N993" s="49" t="n"/>
      <c r="O993" s="49" t="n"/>
      <c r="P993" s="49" t="n"/>
    </row>
    <row r="994" ht="15.75" customHeight="1" s="57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49" t="n"/>
      <c r="L994" s="49" t="n"/>
      <c r="M994" s="49" t="n"/>
      <c r="N994" s="49" t="n"/>
      <c r="O994" s="49" t="n"/>
      <c r="P994" s="49" t="n"/>
    </row>
    <row r="995" ht="15.75" customHeight="1" s="57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49" t="n"/>
      <c r="L995" s="49" t="n"/>
      <c r="M995" s="49" t="n"/>
      <c r="N995" s="49" t="n"/>
      <c r="O995" s="49" t="n"/>
      <c r="P995" s="49" t="n"/>
    </row>
    <row r="996" ht="15.75" customHeight="1" s="57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49" t="n"/>
      <c r="L996" s="49" t="n"/>
      <c r="M996" s="49" t="n"/>
      <c r="N996" s="49" t="n"/>
      <c r="O996" s="49" t="n"/>
      <c r="P996" s="49" t="n"/>
    </row>
    <row r="997" ht="15.75" customHeight="1" s="57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49" t="n"/>
      <c r="L997" s="49" t="n"/>
      <c r="M997" s="49" t="n"/>
      <c r="N997" s="49" t="n"/>
      <c r="O997" s="49" t="n"/>
      <c r="P997" s="49" t="n"/>
    </row>
    <row r="998" ht="15.75" customHeight="1" s="57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49" t="n"/>
      <c r="L998" s="49" t="n"/>
      <c r="M998" s="49" t="n"/>
      <c r="N998" s="49" t="n"/>
      <c r="O998" s="49" t="n"/>
      <c r="P998" s="49" t="n"/>
    </row>
    <row r="999" ht="15.75" customHeight="1" s="57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49" t="n"/>
      <c r="L999" s="49" t="n"/>
      <c r="M999" s="49" t="n"/>
      <c r="N999" s="49" t="n"/>
      <c r="O999" s="49" t="n"/>
      <c r="P999" s="49" t="n"/>
    </row>
    <row r="1000" ht="15.75" customHeight="1" s="57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49" t="n"/>
      <c r="L1000" s="49" t="n"/>
      <c r="M1000" s="49" t="n"/>
      <c r="N1000" s="49" t="n"/>
      <c r="O1000" s="49" t="n"/>
      <c r="P1000" s="49" t="n"/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CC523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8" defaultColWidth="12.63" defaultRowHeight="15" customHeight="1" outlineLevelCol="0"/>
  <cols>
    <col width="5.25" customWidth="1" style="57" min="1" max="1"/>
    <col width="9.25" customWidth="1" style="57" min="2" max="2"/>
    <col width="8.25" customWidth="1" style="57" min="3" max="3"/>
    <col width="34.5" customWidth="1" style="57" min="4" max="4"/>
    <col width="18" customWidth="1" style="57" min="5" max="5"/>
    <col width="6" customWidth="1" style="57" min="6" max="54"/>
    <col width="5.25" customWidth="1" style="57" min="55" max="56"/>
    <col width="6" customWidth="1" style="57" min="57" max="80"/>
    <col width="8.25" customWidth="1" style="57" min="81" max="81"/>
  </cols>
  <sheetData>
    <row r="1" ht="15.75" customHeight="1" s="57">
      <c r="A1" s="4" t="inlineStr">
        <is>
          <t>Vùng</t>
        </is>
      </c>
      <c r="B1" s="4" t="inlineStr">
        <is>
          <t>Tỉnh/Quận</t>
        </is>
      </c>
      <c r="C1" s="4" t="inlineStr">
        <is>
          <t>ID</t>
        </is>
      </c>
      <c r="D1" s="4" t="inlineStr">
        <is>
          <t>BC</t>
        </is>
      </c>
      <c r="E1" s="4" t="inlineStr">
        <is>
          <t>Sàn</t>
        </is>
      </c>
      <c r="F1" s="4" t="inlineStr">
        <is>
          <t>T4 15/07</t>
        </is>
      </c>
      <c r="G1" s="4" t="inlineStr">
        <is>
          <t>T5 16/07</t>
        </is>
      </c>
      <c r="H1" s="4" t="inlineStr">
        <is>
          <t>T6 17/07</t>
        </is>
      </c>
      <c r="I1" s="4" t="inlineStr">
        <is>
          <t>T7 18/07</t>
        </is>
      </c>
      <c r="J1" s="4" t="inlineStr">
        <is>
          <t>CN 19/07</t>
        </is>
      </c>
      <c r="K1" s="4" t="inlineStr">
        <is>
          <t>T2 20/07</t>
        </is>
      </c>
      <c r="L1" s="4" t="inlineStr">
        <is>
          <t>T3 21/07</t>
        </is>
      </c>
      <c r="M1" s="4" t="inlineStr">
        <is>
          <t>T4 22/07</t>
        </is>
      </c>
      <c r="N1" s="4" t="inlineStr">
        <is>
          <t>T5 23/07</t>
        </is>
      </c>
      <c r="O1" s="4" t="inlineStr">
        <is>
          <t>T6 24/07</t>
        </is>
      </c>
      <c r="P1" s="4" t="inlineStr">
        <is>
          <t>T7 25/07</t>
        </is>
      </c>
      <c r="Q1" s="4" t="inlineStr">
        <is>
          <t>CN 26/07</t>
        </is>
      </c>
      <c r="R1" s="4" t="inlineStr">
        <is>
          <t>T2 27/07</t>
        </is>
      </c>
      <c r="S1" s="4" t="inlineStr">
        <is>
          <t>T3 28/07</t>
        </is>
      </c>
      <c r="T1" s="4" t="inlineStr">
        <is>
          <t>T4 29/07</t>
        </is>
      </c>
      <c r="U1" s="4" t="inlineStr">
        <is>
          <t>T5 30/07</t>
        </is>
      </c>
      <c r="V1" s="4" t="inlineStr">
        <is>
          <t>T6 31/07</t>
        </is>
      </c>
      <c r="W1" s="4" t="inlineStr">
        <is>
          <t>T7 01/08</t>
        </is>
      </c>
      <c r="X1" s="4" t="inlineStr">
        <is>
          <t>CN 02/08</t>
        </is>
      </c>
      <c r="Y1" s="4" t="inlineStr">
        <is>
          <t>T2 03/08</t>
        </is>
      </c>
      <c r="Z1" s="4" t="inlineStr">
        <is>
          <t>T3 04/08</t>
        </is>
      </c>
      <c r="AA1" s="4" t="inlineStr">
        <is>
          <t>T4 05/08</t>
        </is>
      </c>
      <c r="AB1" s="4" t="inlineStr">
        <is>
          <t>T5 06/08</t>
        </is>
      </c>
      <c r="AC1" s="4" t="inlineStr">
        <is>
          <t>T6 07/08</t>
        </is>
      </c>
      <c r="AD1" s="4" t="inlineStr">
        <is>
          <t>T7 08/08</t>
        </is>
      </c>
      <c r="AE1" s="4" t="inlineStr">
        <is>
          <t>CN 09/08</t>
        </is>
      </c>
      <c r="AF1" s="4" t="inlineStr">
        <is>
          <t>T2 10/08</t>
        </is>
      </c>
      <c r="AG1" s="4" t="inlineStr">
        <is>
          <t>T3 11/08</t>
        </is>
      </c>
      <c r="AH1" s="31" t="inlineStr">
        <is>
          <t>T4 12/08</t>
        </is>
      </c>
      <c r="AI1" s="31" t="inlineStr">
        <is>
          <t>T5 13/08</t>
        </is>
      </c>
      <c r="AJ1" s="31" t="inlineStr">
        <is>
          <t>T6 14/08</t>
        </is>
      </c>
      <c r="AK1" s="31" t="inlineStr">
        <is>
          <t>T7 15/08</t>
        </is>
      </c>
      <c r="AL1" s="31" t="inlineStr">
        <is>
          <t>CN 16/08</t>
        </is>
      </c>
      <c r="AM1" s="31" t="inlineStr">
        <is>
          <t>T2 17/08</t>
        </is>
      </c>
      <c r="AN1" s="31" t="inlineStr">
        <is>
          <t>T3 18/08</t>
        </is>
      </c>
      <c r="AO1" s="31" t="inlineStr">
        <is>
          <t>T4 19/08</t>
        </is>
      </c>
      <c r="AP1" s="31" t="inlineStr">
        <is>
          <t>T5 20/08</t>
        </is>
      </c>
      <c r="AQ1" s="31" t="inlineStr">
        <is>
          <t>T6 21/08</t>
        </is>
      </c>
      <c r="AR1" s="31" t="inlineStr">
        <is>
          <t>T7 22/08</t>
        </is>
      </c>
      <c r="AS1" s="31" t="inlineStr">
        <is>
          <t>CN 23/08</t>
        </is>
      </c>
      <c r="AT1" s="31" t="inlineStr">
        <is>
          <t>T2 24/08</t>
        </is>
      </c>
      <c r="AU1" s="31" t="inlineStr">
        <is>
          <t>T3 25/08</t>
        </is>
      </c>
      <c r="AV1" s="31" t="inlineStr">
        <is>
          <t>T4 26/08</t>
        </is>
      </c>
      <c r="AW1" s="31" t="inlineStr">
        <is>
          <t>T5 27/08</t>
        </is>
      </c>
      <c r="AX1" s="31" t="inlineStr">
        <is>
          <t>T6 28/08</t>
        </is>
      </c>
      <c r="AY1" s="31" t="inlineStr">
        <is>
          <t>T7 29/08</t>
        </is>
      </c>
      <c r="AZ1" s="31" t="inlineStr">
        <is>
          <t>CN 30/08</t>
        </is>
      </c>
      <c r="BA1" s="31" t="inlineStr">
        <is>
          <t>T2 31/08</t>
        </is>
      </c>
      <c r="BB1" s="31" t="inlineStr">
        <is>
          <t>T3 01/09</t>
        </is>
      </c>
      <c r="BC1" s="31" t="inlineStr">
        <is>
          <t>T4 02/09</t>
        </is>
      </c>
      <c r="BD1" s="31" t="inlineStr">
        <is>
          <t>T5 03/09</t>
        </is>
      </c>
      <c r="BE1" s="31" t="inlineStr">
        <is>
          <t>T6 04/09</t>
        </is>
      </c>
      <c r="BF1" s="31" t="inlineStr">
        <is>
          <t>T7 05/09</t>
        </is>
      </c>
      <c r="BG1" s="31" t="inlineStr">
        <is>
          <t>CN 06/09</t>
        </is>
      </c>
      <c r="BH1" s="31" t="inlineStr">
        <is>
          <t>T2 07/09</t>
        </is>
      </c>
      <c r="BI1" s="31" t="inlineStr">
        <is>
          <t>T3 08/09</t>
        </is>
      </c>
      <c r="BJ1" s="31" t="inlineStr">
        <is>
          <t>T4 09/09</t>
        </is>
      </c>
      <c r="BK1" s="31" t="inlineStr">
        <is>
          <t>T5 10/09</t>
        </is>
      </c>
      <c r="BL1" s="31" t="inlineStr">
        <is>
          <t>T6 11/09</t>
        </is>
      </c>
      <c r="BM1" s="31" t="inlineStr">
        <is>
          <t>T7 12/09</t>
        </is>
      </c>
      <c r="BN1" s="31" t="inlineStr">
        <is>
          <t>CN 13/09</t>
        </is>
      </c>
      <c r="BO1" s="31" t="inlineStr">
        <is>
          <t>T2 14/09</t>
        </is>
      </c>
      <c r="BP1" s="31" t="inlineStr">
        <is>
          <t>T3 15/09</t>
        </is>
      </c>
      <c r="BQ1" s="31" t="inlineStr">
        <is>
          <t>T4 16/09</t>
        </is>
      </c>
      <c r="BR1" s="31" t="inlineStr">
        <is>
          <t>T5 17/09</t>
        </is>
      </c>
      <c r="BS1" s="31" t="inlineStr">
        <is>
          <t>T6 18/09</t>
        </is>
      </c>
      <c r="BT1" s="31" t="inlineStr">
        <is>
          <t>T7 19/09</t>
        </is>
      </c>
      <c r="BU1" s="31" t="inlineStr">
        <is>
          <t>CN 20/09</t>
        </is>
      </c>
      <c r="BV1" s="31" t="inlineStr">
        <is>
          <t>T2 21/09</t>
        </is>
      </c>
      <c r="BW1" s="31" t="inlineStr">
        <is>
          <t>T3 22/09</t>
        </is>
      </c>
      <c r="BX1" s="31" t="inlineStr">
        <is>
          <t>T4 23/09</t>
        </is>
      </c>
      <c r="BY1" s="31" t="inlineStr">
        <is>
          <t>T5 24/09</t>
        </is>
      </c>
      <c r="BZ1" s="31" t="inlineStr">
        <is>
          <t>T6 25/09</t>
        </is>
      </c>
      <c r="CA1" s="31" t="inlineStr">
        <is>
          <t>T7 26/09</t>
        </is>
      </c>
      <c r="CB1" s="31" t="inlineStr">
        <is>
          <t>CN 27/09</t>
        </is>
      </c>
      <c r="CC1" s="31" t="inlineStr">
        <is>
          <t>Tổng 60d</t>
        </is>
      </c>
    </row>
    <row r="2" ht="15.75" customHeight="1" s="57">
      <c r="A2" s="32" t="n"/>
      <c r="B2" s="32" t="n"/>
      <c r="C2" s="32" t="n"/>
      <c r="D2" s="32" t="n"/>
      <c r="E2" s="32" t="inlineStr">
        <is>
          <t>Source</t>
        </is>
      </c>
      <c r="F2" s="34" t="inlineStr">
        <is>
          <t>✅ACT</t>
        </is>
      </c>
      <c r="G2" s="34" t="inlineStr">
        <is>
          <t>✅ACT</t>
        </is>
      </c>
      <c r="H2" s="34" t="inlineStr">
        <is>
          <t>✅ACT</t>
        </is>
      </c>
      <c r="I2" s="34" t="inlineStr">
        <is>
          <t>✅ACT</t>
        </is>
      </c>
      <c r="J2" s="34" t="inlineStr">
        <is>
          <t>✅ACT</t>
        </is>
      </c>
      <c r="K2" s="34" t="inlineStr">
        <is>
          <t>✅ACT</t>
        </is>
      </c>
      <c r="L2" s="34" t="inlineStr">
        <is>
          <t>✅ACT</t>
        </is>
      </c>
      <c r="M2" s="34" t="inlineStr">
        <is>
          <t>✅ACT</t>
        </is>
      </c>
      <c r="N2" s="34" t="inlineStr">
        <is>
          <t>✅ACT</t>
        </is>
      </c>
      <c r="O2" s="34" t="inlineStr">
        <is>
          <t>✅ACT</t>
        </is>
      </c>
      <c r="P2" s="34" t="inlineStr">
        <is>
          <t>✅ACT</t>
        </is>
      </c>
      <c r="Q2" s="34" t="inlineStr">
        <is>
          <t>✅ACT</t>
        </is>
      </c>
      <c r="R2" s="34" t="inlineStr">
        <is>
          <t>✅ACT</t>
        </is>
      </c>
      <c r="S2" s="34" t="inlineStr">
        <is>
          <t>✅ACT</t>
        </is>
      </c>
      <c r="T2" s="34" t="inlineStr">
        <is>
          <t>✅ACT</t>
        </is>
      </c>
      <c r="U2" s="34" t="inlineStr">
        <is>
          <t>📊FC</t>
        </is>
      </c>
      <c r="V2" s="34" t="inlineStr">
        <is>
          <t>📊FC</t>
        </is>
      </c>
      <c r="W2" s="34" t="inlineStr">
        <is>
          <t>📊FC</t>
        </is>
      </c>
      <c r="X2" s="34" t="inlineStr">
        <is>
          <t>📊FC</t>
        </is>
      </c>
      <c r="Y2" s="34" t="inlineStr">
        <is>
          <t>📊FC</t>
        </is>
      </c>
      <c r="Z2" s="34" t="inlineStr">
        <is>
          <t>📊FC</t>
        </is>
      </c>
      <c r="AA2" s="34" t="inlineStr">
        <is>
          <t>📊FC</t>
        </is>
      </c>
      <c r="AB2" s="34" t="inlineStr">
        <is>
          <t>📊FC</t>
        </is>
      </c>
      <c r="AC2" s="34" t="inlineStr">
        <is>
          <t>📊FC</t>
        </is>
      </c>
      <c r="AD2" s="34" t="inlineStr">
        <is>
          <t>📊FC</t>
        </is>
      </c>
      <c r="AE2" s="34" t="inlineStr">
        <is>
          <t>📊FC</t>
        </is>
      </c>
      <c r="AF2" s="34" t="inlineStr">
        <is>
          <t>📊FC</t>
        </is>
      </c>
      <c r="AG2" s="34" t="inlineStr">
        <is>
          <t>📊FC</t>
        </is>
      </c>
      <c r="AH2" s="35" t="inlineStr">
        <is>
          <t>📊FC</t>
        </is>
      </c>
      <c r="AI2" s="35" t="inlineStr">
        <is>
          <t>📊FC</t>
        </is>
      </c>
      <c r="AJ2" s="35" t="inlineStr">
        <is>
          <t>📊FC</t>
        </is>
      </c>
      <c r="AK2" s="35" t="inlineStr">
        <is>
          <t>📊FC</t>
        </is>
      </c>
      <c r="AL2" s="35" t="inlineStr">
        <is>
          <t>📊FC</t>
        </is>
      </c>
      <c r="AM2" s="35" t="inlineStr">
        <is>
          <t>📊FC</t>
        </is>
      </c>
      <c r="AN2" s="35" t="inlineStr">
        <is>
          <t>📊FC</t>
        </is>
      </c>
      <c r="AO2" s="35" t="inlineStr">
        <is>
          <t>📊FC</t>
        </is>
      </c>
      <c r="AP2" s="35" t="inlineStr">
        <is>
          <t>📊FC</t>
        </is>
      </c>
      <c r="AQ2" s="35" t="inlineStr">
        <is>
          <t>📊FC</t>
        </is>
      </c>
      <c r="AR2" s="35" t="inlineStr">
        <is>
          <t>📊FC</t>
        </is>
      </c>
      <c r="AS2" s="35" t="inlineStr">
        <is>
          <t>📊FC</t>
        </is>
      </c>
      <c r="AT2" s="35" t="inlineStr">
        <is>
          <t>📊FC</t>
        </is>
      </c>
      <c r="AU2" s="35" t="inlineStr">
        <is>
          <t>📊FC</t>
        </is>
      </c>
      <c r="AV2" s="35" t="inlineStr">
        <is>
          <t>📊FC</t>
        </is>
      </c>
      <c r="AW2" s="35" t="inlineStr">
        <is>
          <t>📊FC</t>
        </is>
      </c>
      <c r="AX2" s="35" t="inlineStr">
        <is>
          <t>📊FC</t>
        </is>
      </c>
      <c r="AY2" s="35" t="inlineStr">
        <is>
          <t>📊FC</t>
        </is>
      </c>
      <c r="AZ2" s="35" t="inlineStr">
        <is>
          <t>📊FC</t>
        </is>
      </c>
      <c r="BA2" s="35" t="inlineStr">
        <is>
          <t>📊FC</t>
        </is>
      </c>
      <c r="BB2" s="35" t="inlineStr">
        <is>
          <t>📊FC</t>
        </is>
      </c>
      <c r="BC2" s="35" t="inlineStr">
        <is>
          <t>📊FC</t>
        </is>
      </c>
      <c r="BD2" s="35" t="inlineStr">
        <is>
          <t>📊FC</t>
        </is>
      </c>
      <c r="BE2" s="35" t="inlineStr">
        <is>
          <t>📊FC</t>
        </is>
      </c>
      <c r="BF2" s="35" t="inlineStr">
        <is>
          <t>📊FC</t>
        </is>
      </c>
      <c r="BG2" s="35" t="inlineStr">
        <is>
          <t>📊FC</t>
        </is>
      </c>
      <c r="BH2" s="35" t="inlineStr">
        <is>
          <t>📊FC</t>
        </is>
      </c>
      <c r="BI2" s="35" t="inlineStr">
        <is>
          <t>📊FC</t>
        </is>
      </c>
      <c r="BJ2" s="35" t="inlineStr">
        <is>
          <t>📊FC</t>
        </is>
      </c>
      <c r="BK2" s="35" t="inlineStr">
        <is>
          <t>📊FC</t>
        </is>
      </c>
      <c r="BL2" s="35" t="inlineStr">
        <is>
          <t>📊FC</t>
        </is>
      </c>
      <c r="BM2" s="35" t="inlineStr">
        <is>
          <t>📊FC</t>
        </is>
      </c>
      <c r="BN2" s="35" t="inlineStr">
        <is>
          <t>📊FC</t>
        </is>
      </c>
      <c r="BO2" s="35" t="inlineStr">
        <is>
          <t>📊FC</t>
        </is>
      </c>
      <c r="BP2" s="35" t="inlineStr">
        <is>
          <t>📊FC</t>
        </is>
      </c>
      <c r="BQ2" s="35" t="inlineStr">
        <is>
          <t>📊FC</t>
        </is>
      </c>
      <c r="BR2" s="35" t="inlineStr">
        <is>
          <t>📊FC</t>
        </is>
      </c>
      <c r="BS2" s="35" t="inlineStr">
        <is>
          <t>📊FC</t>
        </is>
      </c>
      <c r="BT2" s="35" t="inlineStr">
        <is>
          <t>📊FC</t>
        </is>
      </c>
      <c r="BU2" s="35" t="inlineStr">
        <is>
          <t>📊FC</t>
        </is>
      </c>
      <c r="BV2" s="35" t="inlineStr">
        <is>
          <t>📊FC</t>
        </is>
      </c>
      <c r="BW2" s="35" t="inlineStr">
        <is>
          <t>📊FC</t>
        </is>
      </c>
      <c r="BX2" s="35" t="inlineStr">
        <is>
          <t>📊FC</t>
        </is>
      </c>
      <c r="BY2" s="35" t="inlineStr">
        <is>
          <t>📊FC</t>
        </is>
      </c>
      <c r="BZ2" s="35" t="inlineStr">
        <is>
          <t>📊FC</t>
        </is>
      </c>
      <c r="CA2" s="35" t="inlineStr">
        <is>
          <t>📊FC</t>
        </is>
      </c>
      <c r="CB2" s="35" t="inlineStr">
        <is>
          <t>📊FC</t>
        </is>
      </c>
      <c r="CC2" s="35" t="n"/>
    </row>
    <row r="3" ht="15.75" customHeight="1" s="57">
      <c r="A3" s="7" t="inlineStr">
        <is>
          <t>NTB</t>
        </is>
      </c>
      <c r="B3" s="7" t="inlineStr">
        <is>
          <t>Bình Thuận</t>
        </is>
      </c>
      <c r="C3" s="7" t="n">
        <v>2357</v>
      </c>
      <c r="D3" s="7" t="inlineStr">
        <is>
          <t>(BTH) Đồng Kho</t>
        </is>
      </c>
      <c r="E3" s="7" t="inlineStr">
        <is>
          <t>SME</t>
        </is>
      </c>
      <c r="F3" s="36" t="n">
        <v>147</v>
      </c>
      <c r="G3" s="36" t="n">
        <v>237</v>
      </c>
      <c r="H3" s="36" t="n">
        <v>365</v>
      </c>
      <c r="I3" s="36" t="n">
        <v>183</v>
      </c>
      <c r="J3" s="36" t="n">
        <v>454</v>
      </c>
      <c r="K3" s="28" t="n">
        <v>213</v>
      </c>
      <c r="L3" s="36" t="n">
        <v>172</v>
      </c>
      <c r="M3" s="36" t="n">
        <v>129</v>
      </c>
      <c r="N3" s="36" t="n">
        <v>175</v>
      </c>
      <c r="O3" s="36" t="n">
        <v>203</v>
      </c>
      <c r="P3" s="36" t="n">
        <v>213</v>
      </c>
      <c r="Q3" s="36" t="n">
        <v>214</v>
      </c>
      <c r="R3" s="28" t="n">
        <v>51</v>
      </c>
      <c r="S3" s="36" t="n">
        <v>179</v>
      </c>
      <c r="T3" s="36" t="n">
        <v>206</v>
      </c>
      <c r="U3" s="36" t="n">
        <v>209.9</v>
      </c>
      <c r="V3" s="36" t="n">
        <v>218.39</v>
      </c>
      <c r="W3" s="36" t="n">
        <v>211.89</v>
      </c>
      <c r="X3" s="36" t="n">
        <v>174.14</v>
      </c>
      <c r="Y3" s="28" t="n">
        <v>234.93</v>
      </c>
      <c r="Z3" s="36" t="n">
        <v>216.82</v>
      </c>
      <c r="AA3" s="36" t="n">
        <v>210.91</v>
      </c>
      <c r="AB3" s="36" t="n">
        <v>209.9</v>
      </c>
      <c r="AC3" s="36" t="n">
        <v>218.39</v>
      </c>
      <c r="AD3" s="36" t="n">
        <v>156.83</v>
      </c>
      <c r="AE3" s="36" t="n">
        <v>174.14</v>
      </c>
      <c r="AF3" s="28" t="n">
        <v>234.93</v>
      </c>
      <c r="AG3" s="36" t="n">
        <v>216.82</v>
      </c>
      <c r="AH3" s="37" t="n">
        <v>210.91</v>
      </c>
      <c r="AI3" s="37" t="n">
        <v>209.9</v>
      </c>
      <c r="AJ3" s="37" t="n">
        <v>218.39</v>
      </c>
      <c r="AK3" s="37" t="n">
        <v>211.89</v>
      </c>
      <c r="AL3" s="37" t="n">
        <v>174.14</v>
      </c>
      <c r="AM3" s="37" t="n">
        <v>234.93</v>
      </c>
      <c r="AN3" s="37" t="n">
        <v>216.82</v>
      </c>
      <c r="AO3" s="37" t="n">
        <v>210.91</v>
      </c>
      <c r="AP3" s="37" t="n">
        <v>209.9</v>
      </c>
      <c r="AQ3" s="37" t="n">
        <v>218.39</v>
      </c>
      <c r="AR3" s="37" t="n">
        <v>211.89</v>
      </c>
      <c r="AS3" s="37" t="n">
        <v>174.14</v>
      </c>
      <c r="AT3" s="37" t="n">
        <v>234.93</v>
      </c>
      <c r="AU3" s="37" t="n">
        <v>216.82</v>
      </c>
      <c r="AV3" s="37" t="n">
        <v>210.91</v>
      </c>
      <c r="AW3" s="37" t="n">
        <v>209.9</v>
      </c>
      <c r="AX3" s="37" t="n">
        <v>218.39</v>
      </c>
      <c r="AY3" s="37" t="n">
        <v>211.89</v>
      </c>
      <c r="AZ3" s="37" t="n">
        <v>174.14</v>
      </c>
      <c r="BA3" s="37" t="n">
        <v>223.55</v>
      </c>
      <c r="BB3" s="37" t="n">
        <v>198.04</v>
      </c>
      <c r="BC3" s="37" t="n">
        <v>121.21</v>
      </c>
      <c r="BD3" s="37" t="n">
        <v>94.91</v>
      </c>
      <c r="BE3" s="37" t="n">
        <v>204.54</v>
      </c>
      <c r="BF3" s="37" t="n">
        <v>198.83</v>
      </c>
      <c r="BG3" s="37" t="n">
        <v>179.45</v>
      </c>
      <c r="BH3" s="37" t="n">
        <v>242.22</v>
      </c>
      <c r="BI3" s="37" t="n">
        <v>223.91</v>
      </c>
      <c r="BJ3" s="37" t="n">
        <v>160.76</v>
      </c>
      <c r="BK3" s="37" t="n">
        <v>216.2</v>
      </c>
      <c r="BL3" s="37" t="n">
        <v>225.29</v>
      </c>
      <c r="BM3" s="37" t="n">
        <v>218.2</v>
      </c>
      <c r="BN3" s="37" t="n">
        <v>179.45</v>
      </c>
      <c r="BO3" s="37" t="n">
        <v>242.22</v>
      </c>
      <c r="BP3" s="37" t="n">
        <v>223.91</v>
      </c>
      <c r="BQ3" s="37" t="n">
        <v>217.21</v>
      </c>
      <c r="BR3" s="37" t="n">
        <v>216.2</v>
      </c>
      <c r="BS3" s="37" t="n">
        <v>225.29</v>
      </c>
      <c r="BT3" s="37" t="n">
        <v>218.2</v>
      </c>
      <c r="BU3" s="37" t="n">
        <v>179.45</v>
      </c>
      <c r="BV3" s="37" t="n">
        <v>242.22</v>
      </c>
      <c r="BW3" s="37" t="n">
        <v>223.91</v>
      </c>
      <c r="BX3" s="37" t="n">
        <v>217.21</v>
      </c>
      <c r="BY3" s="37" t="n">
        <v>216.2</v>
      </c>
      <c r="BZ3" s="37" t="n">
        <v>225.29</v>
      </c>
      <c r="CA3" s="37" t="n">
        <v>218.2</v>
      </c>
      <c r="CB3" s="37" t="n">
        <v>179.45</v>
      </c>
      <c r="CC3" s="37" t="n">
        <v>15539.7</v>
      </c>
    </row>
    <row r="4" ht="15.75" customHeight="1" s="57">
      <c r="A4" s="7" t="inlineStr">
        <is>
          <t>NTB</t>
        </is>
      </c>
      <c r="B4" s="7" t="inlineStr">
        <is>
          <t>Bình Thuận</t>
        </is>
      </c>
      <c r="C4" s="7" t="n">
        <v>2357</v>
      </c>
      <c r="D4" s="7" t="inlineStr">
        <is>
          <t>(BTH) Đồng Kho</t>
        </is>
      </c>
      <c r="E4" s="7" t="inlineStr">
        <is>
          <t>SME-Bulky</t>
        </is>
      </c>
      <c r="F4" s="36" t="n">
        <v>2</v>
      </c>
      <c r="G4" s="36" t="n">
        <v>5</v>
      </c>
      <c r="H4" s="36" t="n">
        <v>3</v>
      </c>
      <c r="I4" s="36" t="n">
        <v>4</v>
      </c>
      <c r="J4" s="36" t="n">
        <v>3</v>
      </c>
      <c r="K4" s="28" t="n">
        <v>1</v>
      </c>
      <c r="L4" s="36" t="n">
        <v>1</v>
      </c>
      <c r="M4" s="36" t="n">
        <v>0</v>
      </c>
      <c r="N4" s="36" t="n">
        <v>2</v>
      </c>
      <c r="O4" s="36" t="n">
        <v>2</v>
      </c>
      <c r="P4" s="36" t="n">
        <v>6</v>
      </c>
      <c r="Q4" s="36" t="n">
        <v>0</v>
      </c>
      <c r="R4" s="28" t="n">
        <v>1</v>
      </c>
      <c r="S4" s="36" t="n">
        <v>1</v>
      </c>
      <c r="T4" s="36" t="n">
        <v>0</v>
      </c>
      <c r="U4" s="36" t="n">
        <v>2.79</v>
      </c>
      <c r="V4" s="36" t="n">
        <v>2.79</v>
      </c>
      <c r="W4" s="36" t="n">
        <v>2.71</v>
      </c>
      <c r="X4" s="36" t="n">
        <v>1.95</v>
      </c>
      <c r="Y4" s="28" t="n">
        <v>3.44</v>
      </c>
      <c r="Z4" s="36" t="n">
        <v>3.55</v>
      </c>
      <c r="AA4" s="36" t="n">
        <v>2.9</v>
      </c>
      <c r="AB4" s="36" t="n">
        <v>2.79</v>
      </c>
      <c r="AC4" s="36" t="n">
        <v>2.79</v>
      </c>
      <c r="AD4" s="36" t="n">
        <v>2.1</v>
      </c>
      <c r="AE4" s="36" t="n">
        <v>1.95</v>
      </c>
      <c r="AF4" s="28" t="n">
        <v>3.44</v>
      </c>
      <c r="AG4" s="36" t="n">
        <v>3.55</v>
      </c>
      <c r="AH4" s="37" t="n">
        <v>2.9</v>
      </c>
      <c r="AI4" s="37" t="n">
        <v>2.79</v>
      </c>
      <c r="AJ4" s="37" t="n">
        <v>2.79</v>
      </c>
      <c r="AK4" s="37" t="n">
        <v>2.71</v>
      </c>
      <c r="AL4" s="37" t="n">
        <v>1.95</v>
      </c>
      <c r="AM4" s="37" t="n">
        <v>3.44</v>
      </c>
      <c r="AN4" s="37" t="n">
        <v>3.55</v>
      </c>
      <c r="AO4" s="37" t="n">
        <v>2.9</v>
      </c>
      <c r="AP4" s="37" t="n">
        <v>2.79</v>
      </c>
      <c r="AQ4" s="37" t="n">
        <v>2.79</v>
      </c>
      <c r="AR4" s="37" t="n">
        <v>2.71</v>
      </c>
      <c r="AS4" s="37" t="n">
        <v>1.95</v>
      </c>
      <c r="AT4" s="37" t="n">
        <v>3.44</v>
      </c>
      <c r="AU4" s="37" t="n">
        <v>3.55</v>
      </c>
      <c r="AV4" s="37" t="n">
        <v>2.9</v>
      </c>
      <c r="AW4" s="37" t="n">
        <v>2.79</v>
      </c>
      <c r="AX4" s="37" t="n">
        <v>2.79</v>
      </c>
      <c r="AY4" s="37" t="n">
        <v>2.71</v>
      </c>
      <c r="AZ4" s="37" t="n">
        <v>1.95</v>
      </c>
      <c r="BA4" s="37" t="n">
        <v>3.55</v>
      </c>
      <c r="BB4" s="37" t="n">
        <v>1.98</v>
      </c>
      <c r="BC4" s="37" t="n">
        <v>0.95</v>
      </c>
      <c r="BD4" s="37" t="n">
        <v>0.53</v>
      </c>
      <c r="BE4" s="37" t="n">
        <v>1.56</v>
      </c>
      <c r="BF4" s="37" t="n">
        <v>1.53</v>
      </c>
      <c r="BG4" s="37" t="n">
        <v>1.07</v>
      </c>
      <c r="BH4" s="37" t="n">
        <v>1.91</v>
      </c>
      <c r="BI4" s="37" t="n">
        <v>1.98</v>
      </c>
      <c r="BJ4" s="37" t="n">
        <v>1.37</v>
      </c>
      <c r="BK4" s="37" t="n">
        <v>1.56</v>
      </c>
      <c r="BL4" s="37" t="n">
        <v>1.56</v>
      </c>
      <c r="BM4" s="37" t="n">
        <v>1.53</v>
      </c>
      <c r="BN4" s="37" t="n">
        <v>1.07</v>
      </c>
      <c r="BO4" s="37" t="n">
        <v>1.91</v>
      </c>
      <c r="BP4" s="37" t="n">
        <v>1.98</v>
      </c>
      <c r="BQ4" s="37" t="n">
        <v>1.64</v>
      </c>
      <c r="BR4" s="37" t="n">
        <v>1.56</v>
      </c>
      <c r="BS4" s="37" t="n">
        <v>1.56</v>
      </c>
      <c r="BT4" s="37" t="n">
        <v>1.53</v>
      </c>
      <c r="BU4" s="37" t="n">
        <v>1.07</v>
      </c>
      <c r="BV4" s="37" t="n">
        <v>1.91</v>
      </c>
      <c r="BW4" s="37" t="n">
        <v>1.98</v>
      </c>
      <c r="BX4" s="37" t="n">
        <v>1.64</v>
      </c>
      <c r="BY4" s="37" t="n">
        <v>1.56</v>
      </c>
      <c r="BZ4" s="37" t="n">
        <v>1.56</v>
      </c>
      <c r="CA4" s="37" t="n">
        <v>1.53</v>
      </c>
      <c r="CB4" s="37" t="n">
        <v>1.07</v>
      </c>
      <c r="CC4" s="37" t="n">
        <v>165.8</v>
      </c>
    </row>
    <row r="5" ht="15.75" customHeight="1" s="57">
      <c r="A5" s="7" t="inlineStr">
        <is>
          <t>NTB</t>
        </is>
      </c>
      <c r="B5" s="7" t="inlineStr">
        <is>
          <t>Bình Thuận</t>
        </is>
      </c>
      <c r="C5" s="7" t="n">
        <v>2357</v>
      </c>
      <c r="D5" s="7" t="inlineStr">
        <is>
          <t>(BTH) Đồng Kho</t>
        </is>
      </c>
      <c r="E5" s="7" t="inlineStr">
        <is>
          <t>Shopee</t>
        </is>
      </c>
      <c r="F5" s="36" t="n">
        <v>69</v>
      </c>
      <c r="G5" s="36" t="n">
        <v>73</v>
      </c>
      <c r="H5" s="36" t="n">
        <v>40</v>
      </c>
      <c r="I5" s="36" t="n">
        <v>47</v>
      </c>
      <c r="J5" s="36" t="n">
        <v>53</v>
      </c>
      <c r="K5" s="28" t="n">
        <v>43</v>
      </c>
      <c r="L5" s="36" t="n">
        <v>52</v>
      </c>
      <c r="M5" s="36" t="n">
        <v>63</v>
      </c>
      <c r="N5" s="36" t="n">
        <v>20</v>
      </c>
      <c r="O5" s="36" t="n">
        <v>47</v>
      </c>
      <c r="P5" s="36" t="n">
        <v>31</v>
      </c>
      <c r="Q5" s="36" t="n">
        <v>26</v>
      </c>
      <c r="R5" s="28" t="n">
        <v>55</v>
      </c>
      <c r="S5" s="36" t="n">
        <v>56</v>
      </c>
      <c r="T5" s="36" t="n">
        <v>54</v>
      </c>
      <c r="U5" s="36" t="n">
        <v>46.56</v>
      </c>
      <c r="V5" s="36" t="n">
        <v>47.03</v>
      </c>
      <c r="W5" s="36" t="n">
        <v>44.56</v>
      </c>
      <c r="X5" s="36" t="n">
        <v>38.57</v>
      </c>
      <c r="Y5" s="28" t="n">
        <v>62.32</v>
      </c>
      <c r="Z5" s="36" t="n">
        <v>49.38</v>
      </c>
      <c r="AA5" s="36" t="n">
        <v>60.08</v>
      </c>
      <c r="AB5" s="36" t="n">
        <v>47.39</v>
      </c>
      <c r="AC5" s="36" t="n">
        <v>38.33</v>
      </c>
      <c r="AD5" s="36" t="n">
        <v>77.84</v>
      </c>
      <c r="AE5" s="36" t="n">
        <v>41.15</v>
      </c>
      <c r="AF5" s="28" t="n">
        <v>68.78</v>
      </c>
      <c r="AG5" s="36" t="n">
        <v>51.74</v>
      </c>
      <c r="AH5" s="37" t="n">
        <v>54.56</v>
      </c>
      <c r="AI5" s="37" t="n">
        <v>46.56</v>
      </c>
      <c r="AJ5" s="37" t="n">
        <v>47.03</v>
      </c>
      <c r="AK5" s="37" t="n">
        <v>49.03</v>
      </c>
      <c r="AL5" s="37" t="n">
        <v>69.48999999999999</v>
      </c>
      <c r="AM5" s="37" t="n">
        <v>62.32</v>
      </c>
      <c r="AN5" s="37" t="n">
        <v>49.38</v>
      </c>
      <c r="AO5" s="37" t="n">
        <v>54.56</v>
      </c>
      <c r="AP5" s="37" t="n">
        <v>50.32</v>
      </c>
      <c r="AQ5" s="37" t="n">
        <v>37.04</v>
      </c>
      <c r="AR5" s="37" t="n">
        <v>44.56</v>
      </c>
      <c r="AS5" s="37" t="n">
        <v>38.57</v>
      </c>
      <c r="AT5" s="37" t="n">
        <v>62.32</v>
      </c>
      <c r="AU5" s="37" t="n">
        <v>53.85</v>
      </c>
      <c r="AV5" s="37" t="n">
        <v>55.85</v>
      </c>
      <c r="AW5" s="37" t="n">
        <v>46.56</v>
      </c>
      <c r="AX5" s="37" t="n">
        <v>47.03</v>
      </c>
      <c r="AY5" s="37" t="n">
        <v>44.56</v>
      </c>
      <c r="AZ5" s="37" t="n">
        <v>38.57</v>
      </c>
      <c r="BA5" s="37" t="n">
        <v>53.15</v>
      </c>
      <c r="BB5" s="37" t="n">
        <v>37.63</v>
      </c>
      <c r="BC5" s="37" t="n">
        <v>16.7</v>
      </c>
      <c r="BD5" s="37" t="n">
        <v>27.4</v>
      </c>
      <c r="BE5" s="37" t="n">
        <v>55.85</v>
      </c>
      <c r="BF5" s="37" t="n">
        <v>53.97</v>
      </c>
      <c r="BG5" s="37" t="n">
        <v>38.45</v>
      </c>
      <c r="BH5" s="37" t="n">
        <v>59.97</v>
      </c>
      <c r="BI5" s="37" t="n">
        <v>39.62</v>
      </c>
      <c r="BJ5" s="37" t="n">
        <v>110.76</v>
      </c>
      <c r="BK5" s="37" t="n">
        <v>47.97</v>
      </c>
      <c r="BL5" s="37" t="n">
        <v>47.62</v>
      </c>
      <c r="BM5" s="37" t="n">
        <v>43.39</v>
      </c>
      <c r="BN5" s="37" t="n">
        <v>37.63</v>
      </c>
      <c r="BO5" s="37" t="n">
        <v>59.97</v>
      </c>
      <c r="BP5" s="37" t="n">
        <v>52.32</v>
      </c>
      <c r="BQ5" s="37" t="n">
        <v>79.72</v>
      </c>
      <c r="BR5" s="37" t="n">
        <v>45.27</v>
      </c>
      <c r="BS5" s="37" t="n">
        <v>45.74</v>
      </c>
      <c r="BT5" s="37" t="n">
        <v>43.39</v>
      </c>
      <c r="BU5" s="37" t="n">
        <v>41.27</v>
      </c>
      <c r="BV5" s="37" t="n">
        <v>48.44</v>
      </c>
      <c r="BW5" s="37" t="n">
        <v>47.97</v>
      </c>
      <c r="BX5" s="37" t="n">
        <v>52.79</v>
      </c>
      <c r="BY5" s="37" t="n">
        <v>45.27</v>
      </c>
      <c r="BZ5" s="37" t="n">
        <v>49.27</v>
      </c>
      <c r="CA5" s="37" t="n">
        <v>44.45</v>
      </c>
      <c r="CB5" s="37" t="n">
        <v>37.63</v>
      </c>
      <c r="CC5" s="37" t="n">
        <v>3718.499999999998</v>
      </c>
    </row>
    <row r="6" ht="15.75" customHeight="1" s="57">
      <c r="A6" s="7" t="inlineStr">
        <is>
          <t>NTB</t>
        </is>
      </c>
      <c r="B6" s="7" t="inlineStr">
        <is>
          <t>Bình Thuận</t>
        </is>
      </c>
      <c r="C6" s="7" t="n">
        <v>2357</v>
      </c>
      <c r="D6" s="7" t="inlineStr">
        <is>
          <t>(BTH) Đồng Kho</t>
        </is>
      </c>
      <c r="E6" s="7" t="inlineStr">
        <is>
          <t>Shopee-Bulky</t>
        </is>
      </c>
      <c r="F6" s="36" t="n">
        <v>3.14</v>
      </c>
      <c r="G6" s="36" t="n">
        <v>0.79</v>
      </c>
      <c r="H6" s="36" t="n">
        <v>0.79</v>
      </c>
      <c r="I6" s="36" t="n">
        <v>4.71</v>
      </c>
      <c r="J6" s="36" t="n">
        <v>3.14</v>
      </c>
      <c r="K6" s="28" t="n">
        <v>5.5</v>
      </c>
      <c r="L6" s="36" t="n">
        <v>3.93</v>
      </c>
      <c r="M6" s="36" t="n">
        <v>3.14</v>
      </c>
      <c r="N6" s="36" t="n">
        <v>2.36</v>
      </c>
      <c r="O6" s="36" t="n">
        <v>0</v>
      </c>
      <c r="P6" s="36" t="n">
        <v>0.79</v>
      </c>
      <c r="Q6" s="36" t="n">
        <v>2.36</v>
      </c>
      <c r="R6" s="28" t="n">
        <v>1.57</v>
      </c>
      <c r="S6" s="36" t="n">
        <v>4.71</v>
      </c>
      <c r="T6" s="36" t="n">
        <v>2.36</v>
      </c>
      <c r="U6" s="36" t="n">
        <v>2.99</v>
      </c>
      <c r="V6" s="36" t="n">
        <v>2.99</v>
      </c>
      <c r="W6" s="36" t="n">
        <v>3.63</v>
      </c>
      <c r="X6" s="36" t="n">
        <v>1.92</v>
      </c>
      <c r="Y6" s="28" t="n">
        <v>4.53</v>
      </c>
      <c r="Z6" s="36" t="n">
        <v>3.47</v>
      </c>
      <c r="AA6" s="36" t="n">
        <v>5.28</v>
      </c>
      <c r="AB6" s="36" t="n">
        <v>3.47</v>
      </c>
      <c r="AC6" s="36" t="n">
        <v>3.31</v>
      </c>
      <c r="AD6" s="36" t="n">
        <v>12.86</v>
      </c>
      <c r="AE6" s="36" t="n">
        <v>10.3</v>
      </c>
      <c r="AF6" s="28" t="n">
        <v>10.03</v>
      </c>
      <c r="AG6" s="36" t="n">
        <v>5.71</v>
      </c>
      <c r="AH6" s="37" t="n">
        <v>3.36</v>
      </c>
      <c r="AI6" s="37" t="n">
        <v>3.73</v>
      </c>
      <c r="AJ6" s="37" t="n">
        <v>3.2</v>
      </c>
      <c r="AK6" s="37" t="n">
        <v>7.36</v>
      </c>
      <c r="AL6" s="37" t="n">
        <v>3.31</v>
      </c>
      <c r="AM6" s="37" t="n">
        <v>6.14</v>
      </c>
      <c r="AN6" s="37" t="n">
        <v>3.41</v>
      </c>
      <c r="AO6" s="37" t="n">
        <v>3.41</v>
      </c>
      <c r="AP6" s="37" t="n">
        <v>6.14</v>
      </c>
      <c r="AQ6" s="37" t="n">
        <v>4.48</v>
      </c>
      <c r="AR6" s="37" t="n">
        <v>3.41</v>
      </c>
      <c r="AS6" s="37" t="n">
        <v>1.81</v>
      </c>
      <c r="AT6" s="37" t="n">
        <v>4.37</v>
      </c>
      <c r="AU6" s="37" t="n">
        <v>7.58</v>
      </c>
      <c r="AV6" s="37" t="n">
        <v>8.06</v>
      </c>
      <c r="AW6" s="37" t="n">
        <v>3.15</v>
      </c>
      <c r="AX6" s="37" t="n">
        <v>3.15</v>
      </c>
      <c r="AY6" s="37" t="n">
        <v>3.41</v>
      </c>
      <c r="AZ6" s="37" t="n">
        <v>1.81</v>
      </c>
      <c r="BA6" s="37" t="n">
        <v>3.89</v>
      </c>
      <c r="BB6" s="37" t="n">
        <v>2.56</v>
      </c>
      <c r="BC6" s="37" t="n">
        <v>0.32</v>
      </c>
      <c r="BD6" s="37" t="n">
        <v>1.01</v>
      </c>
      <c r="BE6" s="37" t="n">
        <v>3.95</v>
      </c>
      <c r="BF6" s="37" t="n">
        <v>3.31</v>
      </c>
      <c r="BG6" s="37" t="n">
        <v>2.08</v>
      </c>
      <c r="BH6" s="37" t="n">
        <v>4.75</v>
      </c>
      <c r="BI6" s="37" t="n">
        <v>3.68</v>
      </c>
      <c r="BJ6" s="37" t="n">
        <v>19.85</v>
      </c>
      <c r="BK6" s="37" t="n">
        <v>7.79</v>
      </c>
      <c r="BL6" s="37" t="n">
        <v>4.16</v>
      </c>
      <c r="BM6" s="37" t="n">
        <v>2.77</v>
      </c>
      <c r="BN6" s="37" t="n">
        <v>1.97</v>
      </c>
      <c r="BO6" s="37" t="n">
        <v>5.5</v>
      </c>
      <c r="BP6" s="37" t="n">
        <v>7.79</v>
      </c>
      <c r="BQ6" s="37" t="n">
        <v>5.92</v>
      </c>
      <c r="BR6" s="37" t="n">
        <v>3.31</v>
      </c>
      <c r="BS6" s="37" t="n">
        <v>3.31</v>
      </c>
      <c r="BT6" s="37" t="n">
        <v>2.56</v>
      </c>
      <c r="BU6" s="37" t="n">
        <v>4.05</v>
      </c>
      <c r="BV6" s="37" t="n">
        <v>5.01</v>
      </c>
      <c r="BW6" s="37" t="n">
        <v>3.68</v>
      </c>
      <c r="BX6" s="37" t="n">
        <v>3.63</v>
      </c>
      <c r="BY6" s="37" t="n">
        <v>3.31</v>
      </c>
      <c r="BZ6" s="37" t="n">
        <v>6.78</v>
      </c>
      <c r="CA6" s="37" t="n">
        <v>3.31</v>
      </c>
      <c r="CB6" s="37" t="n">
        <v>2.03</v>
      </c>
      <c r="CC6" s="37" t="n">
        <v>313.35</v>
      </c>
    </row>
    <row r="7" ht="15.75" customHeight="1" s="57">
      <c r="A7" s="7" t="inlineStr">
        <is>
          <t>NTB</t>
        </is>
      </c>
      <c r="B7" s="7" t="inlineStr">
        <is>
          <t>Bình Thuận</t>
        </is>
      </c>
      <c r="C7" s="7" t="n">
        <v>2357</v>
      </c>
      <c r="D7" s="7" t="inlineStr">
        <is>
          <t>(BTH) Đồng Kho</t>
        </is>
      </c>
      <c r="E7" s="7" t="inlineStr">
        <is>
          <t>Shopee-Bulky (10-15kg)</t>
        </is>
      </c>
      <c r="F7" s="36" t="n">
        <v>0.86</v>
      </c>
      <c r="G7" s="36" t="n">
        <v>0.21</v>
      </c>
      <c r="H7" s="36" t="n">
        <v>0.21</v>
      </c>
      <c r="I7" s="36" t="n">
        <v>1.29</v>
      </c>
      <c r="J7" s="36" t="n">
        <v>0.86</v>
      </c>
      <c r="K7" s="28" t="n">
        <v>1.5</v>
      </c>
      <c r="L7" s="36" t="n">
        <v>1.07</v>
      </c>
      <c r="M7" s="36" t="n">
        <v>0.86</v>
      </c>
      <c r="N7" s="36" t="n">
        <v>0.64</v>
      </c>
      <c r="O7" s="36" t="n">
        <v>0</v>
      </c>
      <c r="P7" s="36" t="n">
        <v>0.21</v>
      </c>
      <c r="Q7" s="36" t="n">
        <v>0.64</v>
      </c>
      <c r="R7" s="28" t="n">
        <v>0.43</v>
      </c>
      <c r="S7" s="36" t="n">
        <v>1.29</v>
      </c>
      <c r="T7" s="36" t="n">
        <v>0.64</v>
      </c>
      <c r="U7" s="36" t="n">
        <v>0.75</v>
      </c>
      <c r="V7" s="36" t="n">
        <v>0.6899999999999999</v>
      </c>
      <c r="W7" s="36" t="n">
        <v>0.85</v>
      </c>
      <c r="X7" s="36" t="n">
        <v>0.43</v>
      </c>
      <c r="Y7" s="28" t="n">
        <v>1.17</v>
      </c>
      <c r="Z7" s="36" t="n">
        <v>0.8</v>
      </c>
      <c r="AA7" s="36" t="n">
        <v>1.17</v>
      </c>
      <c r="AB7" s="36" t="n">
        <v>0.8</v>
      </c>
      <c r="AC7" s="36" t="n">
        <v>0.85</v>
      </c>
      <c r="AD7" s="36" t="n">
        <v>5.28</v>
      </c>
      <c r="AE7" s="36" t="n">
        <v>2.35</v>
      </c>
      <c r="AF7" s="28" t="n">
        <v>1.97</v>
      </c>
      <c r="AG7" s="36" t="n">
        <v>1.49</v>
      </c>
      <c r="AH7" s="37" t="n">
        <v>0.8</v>
      </c>
      <c r="AI7" s="37" t="n">
        <v>0.8</v>
      </c>
      <c r="AJ7" s="37" t="n">
        <v>0.6899999999999999</v>
      </c>
      <c r="AK7" s="37" t="n">
        <v>1.97</v>
      </c>
      <c r="AL7" s="37" t="n">
        <v>0.75</v>
      </c>
      <c r="AM7" s="37" t="n">
        <v>1.39</v>
      </c>
      <c r="AN7" s="37" t="n">
        <v>0.8</v>
      </c>
      <c r="AO7" s="37" t="n">
        <v>0.8</v>
      </c>
      <c r="AP7" s="37" t="n">
        <v>1.55</v>
      </c>
      <c r="AQ7" s="37" t="n">
        <v>0.96</v>
      </c>
      <c r="AR7" s="37" t="n">
        <v>0.8</v>
      </c>
      <c r="AS7" s="37" t="n">
        <v>0.32</v>
      </c>
      <c r="AT7" s="37" t="n">
        <v>1.01</v>
      </c>
      <c r="AU7" s="37" t="n">
        <v>1.76</v>
      </c>
      <c r="AV7" s="37" t="n">
        <v>2.08</v>
      </c>
      <c r="AW7" s="37" t="n">
        <v>0.8</v>
      </c>
      <c r="AX7" s="37" t="n">
        <v>0.6899999999999999</v>
      </c>
      <c r="AY7" s="37" t="n">
        <v>0.75</v>
      </c>
      <c r="AZ7" s="37" t="n">
        <v>0.32</v>
      </c>
      <c r="BA7" s="37" t="n">
        <v>0.91</v>
      </c>
      <c r="BB7" s="37" t="n">
        <v>0.59</v>
      </c>
      <c r="BC7" s="37" t="n">
        <v>0.11</v>
      </c>
      <c r="BD7" s="37" t="n">
        <v>0.21</v>
      </c>
      <c r="BE7" s="37" t="n">
        <v>0.85</v>
      </c>
      <c r="BF7" s="37" t="n">
        <v>0.75</v>
      </c>
      <c r="BG7" s="37" t="n">
        <v>0.37</v>
      </c>
      <c r="BH7" s="37" t="n">
        <v>1.07</v>
      </c>
      <c r="BI7" s="37" t="n">
        <v>0.85</v>
      </c>
      <c r="BJ7" s="37" t="n">
        <v>6.19</v>
      </c>
      <c r="BK7" s="37" t="n">
        <v>2.24</v>
      </c>
      <c r="BL7" s="37" t="n">
        <v>1.07</v>
      </c>
      <c r="BM7" s="37" t="n">
        <v>0.6899999999999999</v>
      </c>
      <c r="BN7" s="37" t="n">
        <v>0.37</v>
      </c>
      <c r="BO7" s="37" t="n">
        <v>1.6</v>
      </c>
      <c r="BP7" s="37" t="n">
        <v>2.24</v>
      </c>
      <c r="BQ7" s="37" t="n">
        <v>1.71</v>
      </c>
      <c r="BR7" s="37" t="n">
        <v>0.91</v>
      </c>
      <c r="BS7" s="37" t="n">
        <v>0.75</v>
      </c>
      <c r="BT7" s="37" t="n">
        <v>0.59</v>
      </c>
      <c r="BU7" s="37" t="n">
        <v>0.96</v>
      </c>
      <c r="BV7" s="37" t="n">
        <v>1.17</v>
      </c>
      <c r="BW7" s="37" t="n">
        <v>0.85</v>
      </c>
      <c r="BX7" s="37" t="n">
        <v>0.85</v>
      </c>
      <c r="BY7" s="37" t="n">
        <v>0.91</v>
      </c>
      <c r="BZ7" s="37" t="n">
        <v>2.03</v>
      </c>
      <c r="CA7" s="37" t="n">
        <v>0.85</v>
      </c>
      <c r="CB7" s="37" t="n">
        <v>0.37</v>
      </c>
      <c r="CC7" s="37" t="n">
        <v>80.40999999999995</v>
      </c>
    </row>
    <row r="8" ht="15.75" customHeight="1" s="57">
      <c r="A8" s="7" t="inlineStr">
        <is>
          <t>NTB</t>
        </is>
      </c>
      <c r="B8" s="7" t="inlineStr">
        <is>
          <t>Bình Thuận</t>
        </is>
      </c>
      <c r="C8" s="7" t="n">
        <v>2357</v>
      </c>
      <c r="D8" s="7" t="inlineStr">
        <is>
          <t>(BTH) Đồng Kho</t>
        </is>
      </c>
      <c r="E8" s="7" t="inlineStr">
        <is>
          <t>TTS</t>
        </is>
      </c>
      <c r="F8" s="36" t="n">
        <v>18</v>
      </c>
      <c r="G8" s="36" t="n">
        <v>8</v>
      </c>
      <c r="H8" s="36" t="n">
        <v>11</v>
      </c>
      <c r="I8" s="36" t="n">
        <v>9</v>
      </c>
      <c r="J8" s="36" t="n">
        <v>13</v>
      </c>
      <c r="K8" s="28" t="n">
        <v>11</v>
      </c>
      <c r="L8" s="36" t="n">
        <v>12</v>
      </c>
      <c r="M8" s="36" t="n">
        <v>11</v>
      </c>
      <c r="N8" s="36" t="n">
        <v>16</v>
      </c>
      <c r="O8" s="36" t="n">
        <v>12</v>
      </c>
      <c r="P8" s="36" t="n">
        <v>20</v>
      </c>
      <c r="Q8" s="36" t="n">
        <v>13</v>
      </c>
      <c r="R8" s="28" t="n">
        <v>7</v>
      </c>
      <c r="S8" s="36" t="n">
        <v>12</v>
      </c>
      <c r="T8" s="36" t="n">
        <v>11</v>
      </c>
      <c r="U8" s="36" t="n">
        <v>22.73</v>
      </c>
      <c r="V8" s="36" t="n">
        <v>22.44</v>
      </c>
      <c r="W8" s="36" t="n">
        <v>21.86</v>
      </c>
      <c r="X8" s="36" t="n">
        <v>17.53</v>
      </c>
      <c r="Y8" s="28" t="n">
        <v>25.69</v>
      </c>
      <c r="Z8" s="36" t="n">
        <v>21.86</v>
      </c>
      <c r="AA8" s="36" t="n">
        <v>24.19</v>
      </c>
      <c r="AB8" s="36" t="n">
        <v>27.03</v>
      </c>
      <c r="AC8" s="36" t="n">
        <v>28.52</v>
      </c>
      <c r="AD8" s="36" t="n">
        <v>24</v>
      </c>
      <c r="AE8" s="36" t="n">
        <v>20.35</v>
      </c>
      <c r="AF8" s="28" t="n">
        <v>26.47</v>
      </c>
      <c r="AG8" s="36" t="n">
        <v>22.22</v>
      </c>
      <c r="AH8" s="37" t="n">
        <v>22.06</v>
      </c>
      <c r="AI8" s="37" t="n">
        <v>25.31</v>
      </c>
      <c r="AJ8" s="37" t="n">
        <v>27.23</v>
      </c>
      <c r="AK8" s="37" t="n">
        <v>26.8</v>
      </c>
      <c r="AL8" s="37" t="n">
        <v>18.97</v>
      </c>
      <c r="AM8" s="37" t="n">
        <v>26.14</v>
      </c>
      <c r="AN8" s="37" t="n">
        <v>22.5</v>
      </c>
      <c r="AO8" s="37" t="n">
        <v>22.32</v>
      </c>
      <c r="AP8" s="37" t="n">
        <v>21.81</v>
      </c>
      <c r="AQ8" s="37" t="n">
        <v>21.98</v>
      </c>
      <c r="AR8" s="37" t="n">
        <v>21.6</v>
      </c>
      <c r="AS8" s="37" t="n">
        <v>17.56</v>
      </c>
      <c r="AT8" s="37" t="n">
        <v>28.21</v>
      </c>
      <c r="AU8" s="37" t="n">
        <v>25.49</v>
      </c>
      <c r="AV8" s="37" t="n">
        <v>22.71</v>
      </c>
      <c r="AW8" s="37" t="n">
        <v>21.55</v>
      </c>
      <c r="AX8" s="37" t="n">
        <v>21.4</v>
      </c>
      <c r="AY8" s="37" t="n">
        <v>21.25</v>
      </c>
      <c r="AZ8" s="37" t="n">
        <v>17.64</v>
      </c>
      <c r="BA8" s="37" t="n">
        <v>25.45</v>
      </c>
      <c r="BB8" s="37" t="n">
        <v>23.73</v>
      </c>
      <c r="BC8" s="37" t="n">
        <v>12.01</v>
      </c>
      <c r="BD8" s="37" t="n">
        <v>17.15</v>
      </c>
      <c r="BE8" s="37" t="n">
        <v>39.86</v>
      </c>
      <c r="BF8" s="37" t="n">
        <v>38.76</v>
      </c>
      <c r="BG8" s="37" t="n">
        <v>18.97</v>
      </c>
      <c r="BH8" s="37" t="n">
        <v>28.17</v>
      </c>
      <c r="BI8" s="37" t="n">
        <v>23.73</v>
      </c>
      <c r="BJ8" s="37" t="n">
        <v>18.16</v>
      </c>
      <c r="BK8" s="37" t="n">
        <v>24.16</v>
      </c>
      <c r="BL8" s="37" t="n">
        <v>24.19</v>
      </c>
      <c r="BM8" s="37" t="n">
        <v>23.49</v>
      </c>
      <c r="BN8" s="37" t="n">
        <v>18.97</v>
      </c>
      <c r="BO8" s="37" t="n">
        <v>28.17</v>
      </c>
      <c r="BP8" s="37" t="n">
        <v>23.73</v>
      </c>
      <c r="BQ8" s="37" t="n">
        <v>23.54</v>
      </c>
      <c r="BR8" s="37" t="n">
        <v>24.16</v>
      </c>
      <c r="BS8" s="37" t="n">
        <v>24.19</v>
      </c>
      <c r="BT8" s="37" t="n">
        <v>23.49</v>
      </c>
      <c r="BU8" s="37" t="n">
        <v>18.97</v>
      </c>
      <c r="BV8" s="37" t="n">
        <v>28.17</v>
      </c>
      <c r="BW8" s="37" t="n">
        <v>23.73</v>
      </c>
      <c r="BX8" s="37" t="n">
        <v>23.54</v>
      </c>
      <c r="BY8" s="37" t="n">
        <v>24.16</v>
      </c>
      <c r="BZ8" s="37" t="n">
        <v>24.19</v>
      </c>
      <c r="CA8" s="37" t="n">
        <v>23.49</v>
      </c>
      <c r="CB8" s="37" t="n">
        <v>18.97</v>
      </c>
      <c r="CC8" s="37" t="n">
        <v>1590.720000000001</v>
      </c>
    </row>
    <row r="9" ht="15.75" customHeight="1" s="57">
      <c r="A9" s="7" t="inlineStr">
        <is>
          <t>NTB</t>
        </is>
      </c>
      <c r="B9" s="7" t="inlineStr">
        <is>
          <t>Bình Thuận</t>
        </is>
      </c>
      <c r="C9" s="7" t="n">
        <v>2357</v>
      </c>
      <c r="D9" s="7" t="inlineStr">
        <is>
          <t>(BTH) Đồng Kho</t>
        </is>
      </c>
      <c r="E9" s="7" t="inlineStr">
        <is>
          <t>TTS-Bulky</t>
        </is>
      </c>
      <c r="F9" s="36" t="n">
        <v>0</v>
      </c>
      <c r="G9" s="36" t="n">
        <v>0</v>
      </c>
      <c r="H9" s="36" t="n">
        <v>0</v>
      </c>
      <c r="I9" s="36" t="n">
        <v>0</v>
      </c>
      <c r="J9" s="36" t="n">
        <v>0</v>
      </c>
      <c r="K9" s="28" t="n">
        <v>0</v>
      </c>
      <c r="L9" s="36" t="n">
        <v>0</v>
      </c>
      <c r="M9" s="36" t="n">
        <v>0</v>
      </c>
      <c r="N9" s="36" t="n">
        <v>0</v>
      </c>
      <c r="O9" s="36" t="n">
        <v>0</v>
      </c>
      <c r="P9" s="36" t="n">
        <v>0</v>
      </c>
      <c r="Q9" s="36" t="n">
        <v>0</v>
      </c>
      <c r="R9" s="28" t="n">
        <v>0</v>
      </c>
      <c r="S9" s="36" t="n">
        <v>0</v>
      </c>
      <c r="T9" s="36" t="n">
        <v>0</v>
      </c>
      <c r="U9" s="36" t="n">
        <v>0.41</v>
      </c>
      <c r="V9" s="36" t="n">
        <v>0.41</v>
      </c>
      <c r="W9" s="36" t="n">
        <v>0.18</v>
      </c>
      <c r="X9" s="36" t="n">
        <v>0.17</v>
      </c>
      <c r="Y9" s="28" t="n">
        <v>0.2</v>
      </c>
      <c r="Z9" s="36" t="n">
        <v>0.2</v>
      </c>
      <c r="AA9" s="36" t="n">
        <v>0.22</v>
      </c>
      <c r="AB9" s="36" t="n">
        <v>0.2</v>
      </c>
      <c r="AC9" s="36" t="n">
        <v>0.24</v>
      </c>
      <c r="AD9" s="36" t="n">
        <v>0.06</v>
      </c>
      <c r="AE9" s="36" t="n">
        <v>0.17</v>
      </c>
      <c r="AF9" s="28" t="n">
        <v>0.25</v>
      </c>
      <c r="AG9" s="36" t="n">
        <v>0.21</v>
      </c>
      <c r="AH9" s="37" t="n">
        <v>0.18</v>
      </c>
      <c r="AI9" s="37" t="n">
        <v>0.2</v>
      </c>
      <c r="AJ9" s="37" t="n">
        <v>0.2</v>
      </c>
      <c r="AK9" s="37" t="n">
        <v>0.2</v>
      </c>
      <c r="AL9" s="37" t="n">
        <v>0.17</v>
      </c>
      <c r="AM9" s="37" t="n">
        <v>0.2</v>
      </c>
      <c r="AN9" s="37" t="n">
        <v>0.18</v>
      </c>
      <c r="AO9" s="37" t="n">
        <v>0.18</v>
      </c>
      <c r="AP9" s="37" t="n">
        <v>0.21</v>
      </c>
      <c r="AQ9" s="37" t="n">
        <v>0.22</v>
      </c>
      <c r="AR9" s="37" t="n">
        <v>0.18</v>
      </c>
      <c r="AS9" s="37" t="n">
        <v>0.17</v>
      </c>
      <c r="AT9" s="37" t="n">
        <v>0.26</v>
      </c>
      <c r="AU9" s="37" t="n">
        <v>0.23</v>
      </c>
      <c r="AV9" s="37" t="n">
        <v>0.18</v>
      </c>
      <c r="AW9" s="37" t="n">
        <v>0.18</v>
      </c>
      <c r="AX9" s="37" t="n">
        <v>0.22</v>
      </c>
      <c r="AY9" s="37" t="n">
        <v>0.18</v>
      </c>
      <c r="AZ9" s="37" t="n">
        <v>0.17</v>
      </c>
      <c r="BA9" s="37" t="n">
        <v>0.2</v>
      </c>
      <c r="BB9" s="37" t="n">
        <v>0.06</v>
      </c>
      <c r="BC9" s="37" t="n">
        <v>0.03</v>
      </c>
      <c r="BD9" s="37" t="n">
        <v>0.04</v>
      </c>
      <c r="BE9" s="37" t="n">
        <v>0.06</v>
      </c>
      <c r="BF9" s="37" t="n">
        <v>0.06</v>
      </c>
      <c r="BG9" s="37" t="n">
        <v>0.04</v>
      </c>
      <c r="BH9" s="37" t="n">
        <v>0.07000000000000001</v>
      </c>
      <c r="BI9" s="37" t="n">
        <v>0.06</v>
      </c>
      <c r="BJ9" s="37" t="n">
        <v>0.01</v>
      </c>
      <c r="BK9" s="37" t="n">
        <v>0.06</v>
      </c>
      <c r="BL9" s="37" t="n">
        <v>0.06</v>
      </c>
      <c r="BM9" s="37" t="n">
        <v>0.06</v>
      </c>
      <c r="BN9" s="37" t="n">
        <v>0.04</v>
      </c>
      <c r="BO9" s="37" t="n">
        <v>0.07000000000000001</v>
      </c>
      <c r="BP9" s="37" t="n">
        <v>0.07000000000000001</v>
      </c>
      <c r="BQ9" s="37" t="n">
        <v>0.06</v>
      </c>
      <c r="BR9" s="37" t="n">
        <v>0.06</v>
      </c>
      <c r="BS9" s="37" t="n">
        <v>0.06</v>
      </c>
      <c r="BT9" s="37" t="n">
        <v>0.06</v>
      </c>
      <c r="BU9" s="37" t="n">
        <v>0.04</v>
      </c>
      <c r="BV9" s="37" t="n">
        <v>0.07000000000000001</v>
      </c>
      <c r="BW9" s="37" t="n">
        <v>0.06</v>
      </c>
      <c r="BX9" s="37" t="n">
        <v>0.06</v>
      </c>
      <c r="BY9" s="37" t="n">
        <v>0.06</v>
      </c>
      <c r="BZ9" s="37" t="n">
        <v>0.06</v>
      </c>
      <c r="CA9" s="37" t="n">
        <v>0.06</v>
      </c>
      <c r="CB9" s="37" t="n">
        <v>0.04</v>
      </c>
      <c r="CC9" s="37" t="n">
        <v>8.309999999999997</v>
      </c>
    </row>
    <row r="10" ht="15.75" customHeight="1" s="57">
      <c r="A10" s="7" t="inlineStr">
        <is>
          <t>NTB</t>
        </is>
      </c>
      <c r="B10" s="7" t="inlineStr">
        <is>
          <t>Bình Thuận</t>
        </is>
      </c>
      <c r="C10" s="7" t="n">
        <v>20144000</v>
      </c>
      <c r="D10" s="7" t="inlineStr">
        <is>
          <t>(BTH) Mũi Né</t>
        </is>
      </c>
      <c r="E10" s="7" t="inlineStr">
        <is>
          <t>SME</t>
        </is>
      </c>
      <c r="F10" s="36" t="n">
        <v>36</v>
      </c>
      <c r="G10" s="36" t="n">
        <v>24</v>
      </c>
      <c r="H10" s="36" t="n">
        <v>16</v>
      </c>
      <c r="I10" s="36" t="n">
        <v>32</v>
      </c>
      <c r="J10" s="36" t="n">
        <v>15</v>
      </c>
      <c r="K10" s="28" t="n">
        <v>21</v>
      </c>
      <c r="L10" s="36" t="n">
        <v>29</v>
      </c>
      <c r="M10" s="36" t="n">
        <v>16</v>
      </c>
      <c r="N10" s="36" t="n">
        <v>14</v>
      </c>
      <c r="O10" s="36" t="n">
        <v>27</v>
      </c>
      <c r="P10" s="36" t="n">
        <v>13</v>
      </c>
      <c r="Q10" s="36" t="n">
        <v>18</v>
      </c>
      <c r="R10" s="28" t="n">
        <v>18</v>
      </c>
      <c r="S10" s="36" t="n">
        <v>16</v>
      </c>
      <c r="T10" s="36" t="n">
        <v>15</v>
      </c>
      <c r="U10" s="36" t="n">
        <v>22.93</v>
      </c>
      <c r="V10" s="36" t="n">
        <v>23.86</v>
      </c>
      <c r="W10" s="36" t="n">
        <v>23.16</v>
      </c>
      <c r="X10" s="36" t="n">
        <v>19</v>
      </c>
      <c r="Y10" s="28" t="n">
        <v>25.69</v>
      </c>
      <c r="Z10" s="36" t="n">
        <v>23.69</v>
      </c>
      <c r="AA10" s="36" t="n">
        <v>23.06</v>
      </c>
      <c r="AB10" s="36" t="n">
        <v>22.93</v>
      </c>
      <c r="AC10" s="36" t="n">
        <v>23.86</v>
      </c>
      <c r="AD10" s="36" t="n">
        <v>17.34</v>
      </c>
      <c r="AE10" s="36" t="n">
        <v>19</v>
      </c>
      <c r="AF10" s="28" t="n">
        <v>25.69</v>
      </c>
      <c r="AG10" s="36" t="n">
        <v>23.69</v>
      </c>
      <c r="AH10" s="37" t="n">
        <v>23.06</v>
      </c>
      <c r="AI10" s="37" t="n">
        <v>22.93</v>
      </c>
      <c r="AJ10" s="37" t="n">
        <v>23.86</v>
      </c>
      <c r="AK10" s="37" t="n">
        <v>23.16</v>
      </c>
      <c r="AL10" s="37" t="n">
        <v>19</v>
      </c>
      <c r="AM10" s="37" t="n">
        <v>25.69</v>
      </c>
      <c r="AN10" s="37" t="n">
        <v>23.69</v>
      </c>
      <c r="AO10" s="37" t="n">
        <v>23.06</v>
      </c>
      <c r="AP10" s="37" t="n">
        <v>22.93</v>
      </c>
      <c r="AQ10" s="37" t="n">
        <v>23.86</v>
      </c>
      <c r="AR10" s="37" t="n">
        <v>23.16</v>
      </c>
      <c r="AS10" s="37" t="n">
        <v>19</v>
      </c>
      <c r="AT10" s="37" t="n">
        <v>25.69</v>
      </c>
      <c r="AU10" s="37" t="n">
        <v>23.69</v>
      </c>
      <c r="AV10" s="37" t="n">
        <v>23.06</v>
      </c>
      <c r="AW10" s="37" t="n">
        <v>22.93</v>
      </c>
      <c r="AX10" s="37" t="n">
        <v>23.86</v>
      </c>
      <c r="AY10" s="37" t="n">
        <v>23.16</v>
      </c>
      <c r="AZ10" s="37" t="n">
        <v>19</v>
      </c>
      <c r="BA10" s="37" t="n">
        <v>24.42</v>
      </c>
      <c r="BB10" s="37" t="n">
        <v>21.65</v>
      </c>
      <c r="BC10" s="37" t="n">
        <v>13.22</v>
      </c>
      <c r="BD10" s="37" t="n">
        <v>10.3</v>
      </c>
      <c r="BE10" s="37" t="n">
        <v>22.34</v>
      </c>
      <c r="BF10" s="37" t="n">
        <v>21.73</v>
      </c>
      <c r="BG10" s="37" t="n">
        <v>19.57</v>
      </c>
      <c r="BH10" s="37" t="n">
        <v>26.47</v>
      </c>
      <c r="BI10" s="37" t="n">
        <v>24.45</v>
      </c>
      <c r="BJ10" s="37" t="n">
        <v>17.76</v>
      </c>
      <c r="BK10" s="37" t="n">
        <v>23.61</v>
      </c>
      <c r="BL10" s="37" t="n">
        <v>24.6</v>
      </c>
      <c r="BM10" s="37" t="n">
        <v>23.84</v>
      </c>
      <c r="BN10" s="37" t="n">
        <v>19.57</v>
      </c>
      <c r="BO10" s="37" t="n">
        <v>26.47</v>
      </c>
      <c r="BP10" s="37" t="n">
        <v>24.45</v>
      </c>
      <c r="BQ10" s="37" t="n">
        <v>23.73</v>
      </c>
      <c r="BR10" s="37" t="n">
        <v>23.61</v>
      </c>
      <c r="BS10" s="37" t="n">
        <v>24.6</v>
      </c>
      <c r="BT10" s="37" t="n">
        <v>23.84</v>
      </c>
      <c r="BU10" s="37" t="n">
        <v>19.57</v>
      </c>
      <c r="BV10" s="37" t="n">
        <v>26.47</v>
      </c>
      <c r="BW10" s="37" t="n">
        <v>24.45</v>
      </c>
      <c r="BX10" s="37" t="n">
        <v>23.73</v>
      </c>
      <c r="BY10" s="37" t="n">
        <v>23.61</v>
      </c>
      <c r="BZ10" s="37" t="n">
        <v>24.6</v>
      </c>
      <c r="CA10" s="37" t="n">
        <v>23.84</v>
      </c>
      <c r="CB10" s="37" t="n">
        <v>19.57</v>
      </c>
      <c r="CC10" s="37" t="n">
        <v>1664.759999999999</v>
      </c>
    </row>
    <row r="11" ht="15.75" customHeight="1" s="57">
      <c r="A11" s="7" t="inlineStr">
        <is>
          <t>NTB</t>
        </is>
      </c>
      <c r="B11" s="7" t="inlineStr">
        <is>
          <t>Bình Thuận</t>
        </is>
      </c>
      <c r="C11" s="7" t="n">
        <v>20144000</v>
      </c>
      <c r="D11" s="7" t="inlineStr">
        <is>
          <t>(BTH) Mũi Né</t>
        </is>
      </c>
      <c r="E11" s="7" t="inlineStr">
        <is>
          <t>SME-Bulky</t>
        </is>
      </c>
      <c r="F11" s="36" t="n">
        <v>3</v>
      </c>
      <c r="G11" s="36" t="n">
        <v>4</v>
      </c>
      <c r="H11" s="36" t="n">
        <v>0</v>
      </c>
      <c r="I11" s="36" t="n">
        <v>0</v>
      </c>
      <c r="J11" s="36" t="n">
        <v>0</v>
      </c>
      <c r="K11" s="28" t="n">
        <v>1</v>
      </c>
      <c r="L11" s="36" t="n">
        <v>1</v>
      </c>
      <c r="M11" s="36" t="n">
        <v>1</v>
      </c>
      <c r="N11" s="36" t="n">
        <v>0</v>
      </c>
      <c r="O11" s="36" t="n">
        <v>2</v>
      </c>
      <c r="P11" s="36" t="n">
        <v>0</v>
      </c>
      <c r="Q11" s="36" t="n">
        <v>0</v>
      </c>
      <c r="R11" s="28" t="n">
        <v>0</v>
      </c>
      <c r="S11" s="36" t="n">
        <v>1</v>
      </c>
      <c r="T11" s="36" t="n">
        <v>1</v>
      </c>
      <c r="U11" s="36" t="n">
        <v>1.21</v>
      </c>
      <c r="V11" s="36" t="n">
        <v>1.21</v>
      </c>
      <c r="W11" s="36" t="n">
        <v>1.17</v>
      </c>
      <c r="X11" s="36" t="n">
        <v>0.84</v>
      </c>
      <c r="Y11" s="28" t="n">
        <v>1.49</v>
      </c>
      <c r="Z11" s="36" t="n">
        <v>1.54</v>
      </c>
      <c r="AA11" s="36" t="n">
        <v>1.26</v>
      </c>
      <c r="AB11" s="36" t="n">
        <v>1.21</v>
      </c>
      <c r="AC11" s="36" t="n">
        <v>1.21</v>
      </c>
      <c r="AD11" s="36" t="n">
        <v>0.91</v>
      </c>
      <c r="AE11" s="36" t="n">
        <v>0.84</v>
      </c>
      <c r="AF11" s="28" t="n">
        <v>1.49</v>
      </c>
      <c r="AG11" s="36" t="n">
        <v>1.54</v>
      </c>
      <c r="AH11" s="37" t="n">
        <v>1.26</v>
      </c>
      <c r="AI11" s="37" t="n">
        <v>1.21</v>
      </c>
      <c r="AJ11" s="37" t="n">
        <v>1.21</v>
      </c>
      <c r="AK11" s="37" t="n">
        <v>1.17</v>
      </c>
      <c r="AL11" s="37" t="n">
        <v>0.84</v>
      </c>
      <c r="AM11" s="37" t="n">
        <v>1.49</v>
      </c>
      <c r="AN11" s="37" t="n">
        <v>1.54</v>
      </c>
      <c r="AO11" s="37" t="n">
        <v>1.26</v>
      </c>
      <c r="AP11" s="37" t="n">
        <v>1.21</v>
      </c>
      <c r="AQ11" s="37" t="n">
        <v>1.21</v>
      </c>
      <c r="AR11" s="37" t="n">
        <v>1.17</v>
      </c>
      <c r="AS11" s="37" t="n">
        <v>0.84</v>
      </c>
      <c r="AT11" s="37" t="n">
        <v>1.49</v>
      </c>
      <c r="AU11" s="37" t="n">
        <v>1.54</v>
      </c>
      <c r="AV11" s="37" t="n">
        <v>1.26</v>
      </c>
      <c r="AW11" s="37" t="n">
        <v>1.21</v>
      </c>
      <c r="AX11" s="37" t="n">
        <v>1.21</v>
      </c>
      <c r="AY11" s="37" t="n">
        <v>1.17</v>
      </c>
      <c r="AZ11" s="37" t="n">
        <v>0.84</v>
      </c>
      <c r="BA11" s="37" t="n">
        <v>1.54</v>
      </c>
      <c r="BB11" s="37" t="n">
        <v>0.86</v>
      </c>
      <c r="BC11" s="37" t="n">
        <v>0.41</v>
      </c>
      <c r="BD11" s="37" t="n">
        <v>0.23</v>
      </c>
      <c r="BE11" s="37" t="n">
        <v>0.68</v>
      </c>
      <c r="BF11" s="37" t="n">
        <v>0.66</v>
      </c>
      <c r="BG11" s="37" t="n">
        <v>0.46</v>
      </c>
      <c r="BH11" s="37" t="n">
        <v>0.83</v>
      </c>
      <c r="BI11" s="37" t="n">
        <v>0.86</v>
      </c>
      <c r="BJ11" s="37" t="n">
        <v>0.6</v>
      </c>
      <c r="BK11" s="37" t="n">
        <v>0.68</v>
      </c>
      <c r="BL11" s="37" t="n">
        <v>0.68</v>
      </c>
      <c r="BM11" s="37" t="n">
        <v>0.66</v>
      </c>
      <c r="BN11" s="37" t="n">
        <v>0.46</v>
      </c>
      <c r="BO11" s="37" t="n">
        <v>0.83</v>
      </c>
      <c r="BP11" s="37" t="n">
        <v>0.86</v>
      </c>
      <c r="BQ11" s="37" t="n">
        <v>0.71</v>
      </c>
      <c r="BR11" s="37" t="n">
        <v>0.68</v>
      </c>
      <c r="BS11" s="37" t="n">
        <v>0.68</v>
      </c>
      <c r="BT11" s="37" t="n">
        <v>0.66</v>
      </c>
      <c r="BU11" s="37" t="n">
        <v>0.46</v>
      </c>
      <c r="BV11" s="37" t="n">
        <v>0.83</v>
      </c>
      <c r="BW11" s="37" t="n">
        <v>0.86</v>
      </c>
      <c r="BX11" s="37" t="n">
        <v>0.71</v>
      </c>
      <c r="BY11" s="37" t="n">
        <v>0.68</v>
      </c>
      <c r="BZ11" s="37" t="n">
        <v>0.68</v>
      </c>
      <c r="CA11" s="37" t="n">
        <v>0.66</v>
      </c>
      <c r="CB11" s="37" t="n">
        <v>0.46</v>
      </c>
      <c r="CC11" s="37" t="n">
        <v>72.42</v>
      </c>
    </row>
    <row r="12" ht="15.75" customHeight="1" s="57">
      <c r="A12" s="7" t="inlineStr">
        <is>
          <t>NTB</t>
        </is>
      </c>
      <c r="B12" s="7" t="inlineStr">
        <is>
          <t>Bình Thuận</t>
        </is>
      </c>
      <c r="C12" s="7" t="n">
        <v>20144000</v>
      </c>
      <c r="D12" s="7" t="inlineStr">
        <is>
          <t>(BTH) Mũi Né</t>
        </is>
      </c>
      <c r="E12" s="7" t="inlineStr">
        <is>
          <t>Shopee</t>
        </is>
      </c>
      <c r="F12" s="36" t="n">
        <v>9</v>
      </c>
      <c r="G12" s="36" t="n">
        <v>4</v>
      </c>
      <c r="H12" s="36" t="n">
        <v>13</v>
      </c>
      <c r="I12" s="36" t="n">
        <v>10</v>
      </c>
      <c r="J12" s="36" t="n">
        <v>10</v>
      </c>
      <c r="K12" s="28" t="n">
        <v>16</v>
      </c>
      <c r="L12" s="36" t="n">
        <v>15</v>
      </c>
      <c r="M12" s="36" t="n">
        <v>10</v>
      </c>
      <c r="N12" s="36" t="n">
        <v>13</v>
      </c>
      <c r="O12" s="36" t="n">
        <v>10</v>
      </c>
      <c r="P12" s="36" t="n">
        <v>11</v>
      </c>
      <c r="Q12" s="36" t="n">
        <v>8</v>
      </c>
      <c r="R12" s="28" t="n">
        <v>10</v>
      </c>
      <c r="S12" s="36" t="n">
        <v>22</v>
      </c>
      <c r="T12" s="36" t="n">
        <v>20</v>
      </c>
      <c r="U12" s="36" t="n">
        <v>12.56</v>
      </c>
      <c r="V12" s="36" t="n">
        <v>12.69</v>
      </c>
      <c r="W12" s="36" t="n">
        <v>12.03</v>
      </c>
      <c r="X12" s="36" t="n">
        <v>10.41</v>
      </c>
      <c r="Y12" s="28" t="n">
        <v>16.82</v>
      </c>
      <c r="Z12" s="36" t="n">
        <v>13.33</v>
      </c>
      <c r="AA12" s="36" t="n">
        <v>16.21</v>
      </c>
      <c r="AB12" s="36" t="n">
        <v>12.79</v>
      </c>
      <c r="AC12" s="36" t="n">
        <v>10.34</v>
      </c>
      <c r="AD12" s="36" t="n">
        <v>21</v>
      </c>
      <c r="AE12" s="36" t="n">
        <v>11.1</v>
      </c>
      <c r="AF12" s="28" t="n">
        <v>18.56</v>
      </c>
      <c r="AG12" s="36" t="n">
        <v>13.96</v>
      </c>
      <c r="AH12" s="37" t="n">
        <v>14.72</v>
      </c>
      <c r="AI12" s="37" t="n">
        <v>12.56</v>
      </c>
      <c r="AJ12" s="37" t="n">
        <v>12.69</v>
      </c>
      <c r="AK12" s="37" t="n">
        <v>13.23</v>
      </c>
      <c r="AL12" s="37" t="n">
        <v>18.75</v>
      </c>
      <c r="AM12" s="37" t="n">
        <v>16.82</v>
      </c>
      <c r="AN12" s="37" t="n">
        <v>13.33</v>
      </c>
      <c r="AO12" s="37" t="n">
        <v>14.72</v>
      </c>
      <c r="AP12" s="37" t="n">
        <v>13.58</v>
      </c>
      <c r="AQ12" s="37" t="n">
        <v>9.99</v>
      </c>
      <c r="AR12" s="37" t="n">
        <v>12.03</v>
      </c>
      <c r="AS12" s="37" t="n">
        <v>10.41</v>
      </c>
      <c r="AT12" s="37" t="n">
        <v>16.82</v>
      </c>
      <c r="AU12" s="37" t="n">
        <v>14.53</v>
      </c>
      <c r="AV12" s="37" t="n">
        <v>15.07</v>
      </c>
      <c r="AW12" s="37" t="n">
        <v>12.56</v>
      </c>
      <c r="AX12" s="37" t="n">
        <v>12.69</v>
      </c>
      <c r="AY12" s="37" t="n">
        <v>12.03</v>
      </c>
      <c r="AZ12" s="37" t="n">
        <v>10.41</v>
      </c>
      <c r="BA12" s="37" t="n">
        <v>14.34</v>
      </c>
      <c r="BB12" s="37" t="n">
        <v>10.15</v>
      </c>
      <c r="BC12" s="37" t="n">
        <v>4.51</v>
      </c>
      <c r="BD12" s="37" t="n">
        <v>7.39</v>
      </c>
      <c r="BE12" s="37" t="n">
        <v>15.07</v>
      </c>
      <c r="BF12" s="37" t="n">
        <v>14.56</v>
      </c>
      <c r="BG12" s="37" t="n">
        <v>10.38</v>
      </c>
      <c r="BH12" s="37" t="n">
        <v>16.18</v>
      </c>
      <c r="BI12" s="37" t="n">
        <v>10.69</v>
      </c>
      <c r="BJ12" s="37" t="n">
        <v>29.89</v>
      </c>
      <c r="BK12" s="37" t="n">
        <v>12.95</v>
      </c>
      <c r="BL12" s="37" t="n">
        <v>12.85</v>
      </c>
      <c r="BM12" s="37" t="n">
        <v>11.71</v>
      </c>
      <c r="BN12" s="37" t="n">
        <v>10.15</v>
      </c>
      <c r="BO12" s="37" t="n">
        <v>16.18</v>
      </c>
      <c r="BP12" s="37" t="n">
        <v>14.12</v>
      </c>
      <c r="BQ12" s="37" t="n">
        <v>21.51</v>
      </c>
      <c r="BR12" s="37" t="n">
        <v>12.22</v>
      </c>
      <c r="BS12" s="37" t="n">
        <v>12.34</v>
      </c>
      <c r="BT12" s="37" t="n">
        <v>11.71</v>
      </c>
      <c r="BU12" s="37" t="n">
        <v>11.14</v>
      </c>
      <c r="BV12" s="37" t="n">
        <v>13.07</v>
      </c>
      <c r="BW12" s="37" t="n">
        <v>12.95</v>
      </c>
      <c r="BX12" s="37" t="n">
        <v>14.25</v>
      </c>
      <c r="BY12" s="37" t="n">
        <v>12.22</v>
      </c>
      <c r="BZ12" s="37" t="n">
        <v>13.29</v>
      </c>
      <c r="CA12" s="37" t="n">
        <v>11.99</v>
      </c>
      <c r="CB12" s="37" t="n">
        <v>10.15</v>
      </c>
      <c r="CC12" s="37" t="n">
        <v>987.7000000000002</v>
      </c>
    </row>
    <row r="13" ht="15.75" customHeight="1" s="57">
      <c r="A13" s="7" t="inlineStr">
        <is>
          <t>NTB</t>
        </is>
      </c>
      <c r="B13" s="7" t="inlineStr">
        <is>
          <t>Bình Thuận</t>
        </is>
      </c>
      <c r="C13" s="7" t="n">
        <v>20144000</v>
      </c>
      <c r="D13" s="7" t="inlineStr">
        <is>
          <t>(BTH) Mũi Né</t>
        </is>
      </c>
      <c r="E13" s="7" t="inlineStr">
        <is>
          <t>Shopee-Bulky</t>
        </is>
      </c>
      <c r="F13" s="36" t="n">
        <v>7.07</v>
      </c>
      <c r="G13" s="36" t="n">
        <v>0</v>
      </c>
      <c r="H13" s="36" t="n">
        <v>0.79</v>
      </c>
      <c r="I13" s="36" t="n">
        <v>0</v>
      </c>
      <c r="J13" s="36" t="n">
        <v>0</v>
      </c>
      <c r="K13" s="28" t="n">
        <v>0.79</v>
      </c>
      <c r="L13" s="36" t="n">
        <v>0.79</v>
      </c>
      <c r="M13" s="36" t="n">
        <v>0</v>
      </c>
      <c r="N13" s="36" t="n">
        <v>0</v>
      </c>
      <c r="O13" s="36" t="n">
        <v>0.79</v>
      </c>
      <c r="P13" s="36" t="n">
        <v>0.79</v>
      </c>
      <c r="Q13" s="36" t="n">
        <v>0</v>
      </c>
      <c r="R13" s="28" t="n">
        <v>0</v>
      </c>
      <c r="S13" s="36" t="n">
        <v>0</v>
      </c>
      <c r="T13" s="36" t="n">
        <v>0</v>
      </c>
      <c r="U13" s="36" t="n">
        <v>0.83</v>
      </c>
      <c r="V13" s="36" t="n">
        <v>0.83</v>
      </c>
      <c r="W13" s="36" t="n">
        <v>1.01</v>
      </c>
      <c r="X13" s="36" t="n">
        <v>0.54</v>
      </c>
      <c r="Y13" s="28" t="n">
        <v>1.27</v>
      </c>
      <c r="Z13" s="36" t="n">
        <v>0.97</v>
      </c>
      <c r="AA13" s="36" t="n">
        <v>1.47</v>
      </c>
      <c r="AB13" s="36" t="n">
        <v>0.97</v>
      </c>
      <c r="AC13" s="36" t="n">
        <v>0.92</v>
      </c>
      <c r="AD13" s="36" t="n">
        <v>3.59</v>
      </c>
      <c r="AE13" s="36" t="n">
        <v>2.87</v>
      </c>
      <c r="AF13" s="28" t="n">
        <v>2.8</v>
      </c>
      <c r="AG13" s="36" t="n">
        <v>1.59</v>
      </c>
      <c r="AH13" s="37" t="n">
        <v>0.9399999999999999</v>
      </c>
      <c r="AI13" s="37" t="n">
        <v>1.04</v>
      </c>
      <c r="AJ13" s="37" t="n">
        <v>0.89</v>
      </c>
      <c r="AK13" s="37" t="n">
        <v>2.05</v>
      </c>
      <c r="AL13" s="37" t="n">
        <v>0.92</v>
      </c>
      <c r="AM13" s="37" t="n">
        <v>1.71</v>
      </c>
      <c r="AN13" s="37" t="n">
        <v>0.95</v>
      </c>
      <c r="AO13" s="37" t="n">
        <v>0.95</v>
      </c>
      <c r="AP13" s="37" t="n">
        <v>1.71</v>
      </c>
      <c r="AQ13" s="37" t="n">
        <v>1.25</v>
      </c>
      <c r="AR13" s="37" t="n">
        <v>0.95</v>
      </c>
      <c r="AS13" s="37" t="n">
        <v>0.51</v>
      </c>
      <c r="AT13" s="37" t="n">
        <v>1.22</v>
      </c>
      <c r="AU13" s="37" t="n">
        <v>2.11</v>
      </c>
      <c r="AV13" s="37" t="n">
        <v>2.25</v>
      </c>
      <c r="AW13" s="37" t="n">
        <v>0.88</v>
      </c>
      <c r="AX13" s="37" t="n">
        <v>0.88</v>
      </c>
      <c r="AY13" s="37" t="n">
        <v>0.95</v>
      </c>
      <c r="AZ13" s="37" t="n">
        <v>0.51</v>
      </c>
      <c r="BA13" s="37" t="n">
        <v>1.09</v>
      </c>
      <c r="BB13" s="37" t="n">
        <v>0.71</v>
      </c>
      <c r="BC13" s="37" t="n">
        <v>0.09</v>
      </c>
      <c r="BD13" s="37" t="n">
        <v>0.28</v>
      </c>
      <c r="BE13" s="37" t="n">
        <v>1.1</v>
      </c>
      <c r="BF13" s="37" t="n">
        <v>0.92</v>
      </c>
      <c r="BG13" s="37" t="n">
        <v>0.58</v>
      </c>
      <c r="BH13" s="37" t="n">
        <v>1.33</v>
      </c>
      <c r="BI13" s="37" t="n">
        <v>1.03</v>
      </c>
      <c r="BJ13" s="37" t="n">
        <v>5.54</v>
      </c>
      <c r="BK13" s="37" t="n">
        <v>2.17</v>
      </c>
      <c r="BL13" s="37" t="n">
        <v>1.16</v>
      </c>
      <c r="BM13" s="37" t="n">
        <v>0.77</v>
      </c>
      <c r="BN13" s="37" t="n">
        <v>0.55</v>
      </c>
      <c r="BO13" s="37" t="n">
        <v>1.53</v>
      </c>
      <c r="BP13" s="37" t="n">
        <v>2.17</v>
      </c>
      <c r="BQ13" s="37" t="n">
        <v>1.65</v>
      </c>
      <c r="BR13" s="37" t="n">
        <v>0.92</v>
      </c>
      <c r="BS13" s="37" t="n">
        <v>0.92</v>
      </c>
      <c r="BT13" s="37" t="n">
        <v>0.71</v>
      </c>
      <c r="BU13" s="37" t="n">
        <v>1.13</v>
      </c>
      <c r="BV13" s="37" t="n">
        <v>1.4</v>
      </c>
      <c r="BW13" s="37" t="n">
        <v>1.03</v>
      </c>
      <c r="BX13" s="37" t="n">
        <v>1.01</v>
      </c>
      <c r="BY13" s="37" t="n">
        <v>0.92</v>
      </c>
      <c r="BZ13" s="37" t="n">
        <v>1.89</v>
      </c>
      <c r="CA13" s="37" t="n">
        <v>0.92</v>
      </c>
      <c r="CB13" s="37" t="n">
        <v>0.57</v>
      </c>
      <c r="CC13" s="37" t="n">
        <v>87.44000000000003</v>
      </c>
    </row>
    <row r="14" ht="15.75" customHeight="1" s="57">
      <c r="A14" s="7" t="inlineStr">
        <is>
          <t>NTB</t>
        </is>
      </c>
      <c r="B14" s="7" t="inlineStr">
        <is>
          <t>Bình Thuận</t>
        </is>
      </c>
      <c r="C14" s="7" t="n">
        <v>20144000</v>
      </c>
      <c r="D14" s="7" t="inlineStr">
        <is>
          <t>(BTH) Mũi Né</t>
        </is>
      </c>
      <c r="E14" s="7" t="inlineStr">
        <is>
          <t>Shopee-Bulky (10-15kg)</t>
        </is>
      </c>
      <c r="F14" s="36" t="n">
        <v>1.93</v>
      </c>
      <c r="G14" s="36" t="n">
        <v>0</v>
      </c>
      <c r="H14" s="36" t="n">
        <v>0.21</v>
      </c>
      <c r="I14" s="36" t="n">
        <v>0</v>
      </c>
      <c r="J14" s="36" t="n">
        <v>0</v>
      </c>
      <c r="K14" s="28" t="n">
        <v>0.21</v>
      </c>
      <c r="L14" s="36" t="n">
        <v>0.21</v>
      </c>
      <c r="M14" s="36" t="n">
        <v>0</v>
      </c>
      <c r="N14" s="36" t="n">
        <v>0</v>
      </c>
      <c r="O14" s="36" t="n">
        <v>0.21</v>
      </c>
      <c r="P14" s="36" t="n">
        <v>0.21</v>
      </c>
      <c r="Q14" s="36" t="n">
        <v>0</v>
      </c>
      <c r="R14" s="28" t="n">
        <v>0</v>
      </c>
      <c r="S14" s="36" t="n">
        <v>0</v>
      </c>
      <c r="T14" s="36" t="n">
        <v>0</v>
      </c>
      <c r="U14" s="36" t="n">
        <v>0.21</v>
      </c>
      <c r="V14" s="36" t="n">
        <v>0.19</v>
      </c>
      <c r="W14" s="36" t="n">
        <v>0.24</v>
      </c>
      <c r="X14" s="36" t="n">
        <v>0.12</v>
      </c>
      <c r="Y14" s="28" t="n">
        <v>0.33</v>
      </c>
      <c r="Z14" s="36" t="n">
        <v>0.22</v>
      </c>
      <c r="AA14" s="36" t="n">
        <v>0.33</v>
      </c>
      <c r="AB14" s="36" t="n">
        <v>0.22</v>
      </c>
      <c r="AC14" s="36" t="n">
        <v>0.24</v>
      </c>
      <c r="AD14" s="36" t="n">
        <v>1.47</v>
      </c>
      <c r="AE14" s="36" t="n">
        <v>0.66</v>
      </c>
      <c r="AF14" s="28" t="n">
        <v>0.55</v>
      </c>
      <c r="AG14" s="36" t="n">
        <v>0.42</v>
      </c>
      <c r="AH14" s="37" t="n">
        <v>0.22</v>
      </c>
      <c r="AI14" s="37" t="n">
        <v>0.22</v>
      </c>
      <c r="AJ14" s="37" t="n">
        <v>0.19</v>
      </c>
      <c r="AK14" s="37" t="n">
        <v>0.55</v>
      </c>
      <c r="AL14" s="37" t="n">
        <v>0.21</v>
      </c>
      <c r="AM14" s="37" t="n">
        <v>0.39</v>
      </c>
      <c r="AN14" s="37" t="n">
        <v>0.22</v>
      </c>
      <c r="AO14" s="37" t="n">
        <v>0.22</v>
      </c>
      <c r="AP14" s="37" t="n">
        <v>0.43</v>
      </c>
      <c r="AQ14" s="37" t="n">
        <v>0.27</v>
      </c>
      <c r="AR14" s="37" t="n">
        <v>0.22</v>
      </c>
      <c r="AS14" s="37" t="n">
        <v>0.09</v>
      </c>
      <c r="AT14" s="37" t="n">
        <v>0.28</v>
      </c>
      <c r="AU14" s="37" t="n">
        <v>0.49</v>
      </c>
      <c r="AV14" s="37" t="n">
        <v>0.58</v>
      </c>
      <c r="AW14" s="37" t="n">
        <v>0.22</v>
      </c>
      <c r="AX14" s="37" t="n">
        <v>0.19</v>
      </c>
      <c r="AY14" s="37" t="n">
        <v>0.21</v>
      </c>
      <c r="AZ14" s="37" t="n">
        <v>0.09</v>
      </c>
      <c r="BA14" s="37" t="n">
        <v>0.25</v>
      </c>
      <c r="BB14" s="37" t="n">
        <v>0.16</v>
      </c>
      <c r="BC14" s="37" t="n">
        <v>0.03</v>
      </c>
      <c r="BD14" s="37" t="n">
        <v>0.06</v>
      </c>
      <c r="BE14" s="37" t="n">
        <v>0.24</v>
      </c>
      <c r="BF14" s="37" t="n">
        <v>0.21</v>
      </c>
      <c r="BG14" s="37" t="n">
        <v>0.1</v>
      </c>
      <c r="BH14" s="37" t="n">
        <v>0.3</v>
      </c>
      <c r="BI14" s="37" t="n">
        <v>0.24</v>
      </c>
      <c r="BJ14" s="37" t="n">
        <v>1.73</v>
      </c>
      <c r="BK14" s="37" t="n">
        <v>0.63</v>
      </c>
      <c r="BL14" s="37" t="n">
        <v>0.3</v>
      </c>
      <c r="BM14" s="37" t="n">
        <v>0.19</v>
      </c>
      <c r="BN14" s="37" t="n">
        <v>0.1</v>
      </c>
      <c r="BO14" s="37" t="n">
        <v>0.45</v>
      </c>
      <c r="BP14" s="37" t="n">
        <v>0.63</v>
      </c>
      <c r="BQ14" s="37" t="n">
        <v>0.48</v>
      </c>
      <c r="BR14" s="37" t="n">
        <v>0.25</v>
      </c>
      <c r="BS14" s="37" t="n">
        <v>0.21</v>
      </c>
      <c r="BT14" s="37" t="n">
        <v>0.16</v>
      </c>
      <c r="BU14" s="37" t="n">
        <v>0.27</v>
      </c>
      <c r="BV14" s="37" t="n">
        <v>0.33</v>
      </c>
      <c r="BW14" s="37" t="n">
        <v>0.24</v>
      </c>
      <c r="BX14" s="37" t="n">
        <v>0.24</v>
      </c>
      <c r="BY14" s="37" t="n">
        <v>0.25</v>
      </c>
      <c r="BZ14" s="37" t="n">
        <v>0.57</v>
      </c>
      <c r="CA14" s="37" t="n">
        <v>0.24</v>
      </c>
      <c r="CB14" s="37" t="n">
        <v>0.1</v>
      </c>
      <c r="CC14" s="37" t="n">
        <v>22.43</v>
      </c>
    </row>
    <row r="15" ht="15.75" customHeight="1" s="57">
      <c r="A15" s="7" t="inlineStr">
        <is>
          <t>NTB</t>
        </is>
      </c>
      <c r="B15" s="7" t="inlineStr">
        <is>
          <t>Bình Thuận</t>
        </is>
      </c>
      <c r="C15" s="7" t="n">
        <v>20144000</v>
      </c>
      <c r="D15" s="7" t="inlineStr">
        <is>
          <t>(BTH) Mũi Né</t>
        </is>
      </c>
      <c r="E15" s="7" t="inlineStr">
        <is>
          <t>TTS</t>
        </is>
      </c>
      <c r="F15" s="36" t="n">
        <v>21</v>
      </c>
      <c r="G15" s="36" t="n">
        <v>16</v>
      </c>
      <c r="H15" s="36" t="n">
        <v>25</v>
      </c>
      <c r="I15" s="36" t="n">
        <v>33</v>
      </c>
      <c r="J15" s="36" t="n">
        <v>34</v>
      </c>
      <c r="K15" s="28" t="n">
        <v>33</v>
      </c>
      <c r="L15" s="36" t="n">
        <v>20</v>
      </c>
      <c r="M15" s="36" t="n">
        <v>36</v>
      </c>
      <c r="N15" s="36" t="n">
        <v>34</v>
      </c>
      <c r="O15" s="36" t="n">
        <v>24</v>
      </c>
      <c r="P15" s="36" t="n">
        <v>18</v>
      </c>
      <c r="Q15" s="36" t="n">
        <v>13</v>
      </c>
      <c r="R15" s="28" t="n">
        <v>15</v>
      </c>
      <c r="S15" s="36" t="n">
        <v>27</v>
      </c>
      <c r="T15" s="36" t="n">
        <v>15</v>
      </c>
      <c r="U15" s="36" t="n">
        <v>45.43</v>
      </c>
      <c r="V15" s="36" t="n">
        <v>44.84</v>
      </c>
      <c r="W15" s="36" t="n">
        <v>43.69</v>
      </c>
      <c r="X15" s="36" t="n">
        <v>35.03</v>
      </c>
      <c r="Y15" s="28" t="n">
        <v>51.34</v>
      </c>
      <c r="Z15" s="36" t="n">
        <v>43.69</v>
      </c>
      <c r="AA15" s="36" t="n">
        <v>48.35</v>
      </c>
      <c r="AB15" s="36" t="n">
        <v>54.03</v>
      </c>
      <c r="AC15" s="36" t="n">
        <v>57.02</v>
      </c>
      <c r="AD15" s="36" t="n">
        <v>47.94</v>
      </c>
      <c r="AE15" s="36" t="n">
        <v>40.66999999999999</v>
      </c>
      <c r="AF15" s="28" t="n">
        <v>52.88</v>
      </c>
      <c r="AG15" s="36" t="n">
        <v>44.41999999999999</v>
      </c>
      <c r="AH15" s="37" t="n">
        <v>44.09</v>
      </c>
      <c r="AI15" s="37" t="n">
        <v>50.59</v>
      </c>
      <c r="AJ15" s="37" t="n">
        <v>54.43</v>
      </c>
      <c r="AK15" s="37" t="n">
        <v>53.57</v>
      </c>
      <c r="AL15" s="37" t="n">
        <v>37.91999999999999</v>
      </c>
      <c r="AM15" s="37" t="n">
        <v>52.23</v>
      </c>
      <c r="AN15" s="37" t="n">
        <v>44.97</v>
      </c>
      <c r="AO15" s="37" t="n">
        <v>44.61</v>
      </c>
      <c r="AP15" s="37" t="n">
        <v>43.59</v>
      </c>
      <c r="AQ15" s="37" t="n">
        <v>43.91999999999999</v>
      </c>
      <c r="AR15" s="37" t="n">
        <v>43.16999999999999</v>
      </c>
      <c r="AS15" s="37" t="n">
        <v>35.09</v>
      </c>
      <c r="AT15" s="37" t="n">
        <v>56.36</v>
      </c>
      <c r="AU15" s="37" t="n">
        <v>50.95</v>
      </c>
      <c r="AV15" s="37" t="n">
        <v>45.4</v>
      </c>
      <c r="AW15" s="37" t="n">
        <v>43.07</v>
      </c>
      <c r="AX15" s="37" t="n">
        <v>42.77</v>
      </c>
      <c r="AY15" s="37" t="n">
        <v>42.48</v>
      </c>
      <c r="AZ15" s="37" t="n">
        <v>35.26</v>
      </c>
      <c r="BA15" s="37" t="n">
        <v>50.85</v>
      </c>
      <c r="BB15" s="37" t="n">
        <v>47.43</v>
      </c>
      <c r="BC15" s="37" t="n">
        <v>23.99</v>
      </c>
      <c r="BD15" s="37" t="n">
        <v>34.27</v>
      </c>
      <c r="BE15" s="37" t="n">
        <v>79.62</v>
      </c>
      <c r="BF15" s="37" t="n">
        <v>77.42</v>
      </c>
      <c r="BG15" s="37" t="n">
        <v>37.91999999999999</v>
      </c>
      <c r="BH15" s="37" t="n">
        <v>56.3</v>
      </c>
      <c r="BI15" s="37" t="n">
        <v>47.43</v>
      </c>
      <c r="BJ15" s="37" t="n">
        <v>36.25</v>
      </c>
      <c r="BK15" s="37" t="n">
        <v>48.29</v>
      </c>
      <c r="BL15" s="37" t="n">
        <v>48.35</v>
      </c>
      <c r="BM15" s="37" t="n">
        <v>46.94</v>
      </c>
      <c r="BN15" s="37" t="n">
        <v>37.91999999999999</v>
      </c>
      <c r="BO15" s="37" t="n">
        <v>56.3</v>
      </c>
      <c r="BP15" s="37" t="n">
        <v>47.43</v>
      </c>
      <c r="BQ15" s="37" t="n">
        <v>47.04</v>
      </c>
      <c r="BR15" s="37" t="n">
        <v>48.29</v>
      </c>
      <c r="BS15" s="37" t="n">
        <v>48.35</v>
      </c>
      <c r="BT15" s="37" t="n">
        <v>46.94</v>
      </c>
      <c r="BU15" s="37" t="n">
        <v>37.91999999999999</v>
      </c>
      <c r="BV15" s="37" t="n">
        <v>56.3</v>
      </c>
      <c r="BW15" s="37" t="n">
        <v>47.43</v>
      </c>
      <c r="BX15" s="37" t="n">
        <v>47.04</v>
      </c>
      <c r="BY15" s="37" t="n">
        <v>48.29</v>
      </c>
      <c r="BZ15" s="37" t="n">
        <v>48.35</v>
      </c>
      <c r="CA15" s="37" t="n">
        <v>46.94</v>
      </c>
      <c r="CB15" s="37" t="n">
        <v>37.91999999999999</v>
      </c>
      <c r="CC15" s="37" t="n">
        <v>3175.32</v>
      </c>
    </row>
    <row r="16" ht="15.75" customHeight="1" s="57">
      <c r="A16" s="7" t="inlineStr">
        <is>
          <t>NTB</t>
        </is>
      </c>
      <c r="B16" s="7" t="inlineStr">
        <is>
          <t>Bình Thuận</t>
        </is>
      </c>
      <c r="C16" s="7" t="n">
        <v>20144000</v>
      </c>
      <c r="D16" s="7" t="inlineStr">
        <is>
          <t>(BTH) Mũi Né</t>
        </is>
      </c>
      <c r="E16" s="7" t="inlineStr">
        <is>
          <t>TTS-Bulky</t>
        </is>
      </c>
      <c r="F16" s="36" t="n">
        <v>0</v>
      </c>
      <c r="G16" s="36" t="n">
        <v>1</v>
      </c>
      <c r="H16" s="36" t="n">
        <v>0</v>
      </c>
      <c r="I16" s="36" t="n">
        <v>0</v>
      </c>
      <c r="J16" s="36" t="n">
        <v>0</v>
      </c>
      <c r="K16" s="28" t="n">
        <v>0</v>
      </c>
      <c r="L16" s="36" t="n">
        <v>0</v>
      </c>
      <c r="M16" s="36" t="n">
        <v>0</v>
      </c>
      <c r="N16" s="36" t="n">
        <v>0</v>
      </c>
      <c r="O16" s="36" t="n">
        <v>0</v>
      </c>
      <c r="P16" s="36" t="n">
        <v>0</v>
      </c>
      <c r="Q16" s="36" t="n">
        <v>0</v>
      </c>
      <c r="R16" s="28" t="n">
        <v>0</v>
      </c>
      <c r="S16" s="36" t="n">
        <v>0</v>
      </c>
      <c r="T16" s="36" t="n">
        <v>0</v>
      </c>
      <c r="U16" s="36" t="n">
        <v>0.21</v>
      </c>
      <c r="V16" s="36" t="n">
        <v>0.21</v>
      </c>
      <c r="W16" s="36" t="n">
        <v>0.09</v>
      </c>
      <c r="X16" s="36" t="n">
        <v>0.09</v>
      </c>
      <c r="Y16" s="28" t="n">
        <v>0.1</v>
      </c>
      <c r="Z16" s="36" t="n">
        <v>0.1</v>
      </c>
      <c r="AA16" s="36" t="n">
        <v>0.11</v>
      </c>
      <c r="AB16" s="36" t="n">
        <v>0.1</v>
      </c>
      <c r="AC16" s="36" t="n">
        <v>0.12</v>
      </c>
      <c r="AD16" s="36" t="n">
        <v>0.03</v>
      </c>
      <c r="AE16" s="36" t="n">
        <v>0.09</v>
      </c>
      <c r="AF16" s="28" t="n">
        <v>0.13</v>
      </c>
      <c r="AG16" s="36" t="n">
        <v>0.11</v>
      </c>
      <c r="AH16" s="37" t="n">
        <v>0.09</v>
      </c>
      <c r="AI16" s="37" t="n">
        <v>0.1</v>
      </c>
      <c r="AJ16" s="37" t="n">
        <v>0.1</v>
      </c>
      <c r="AK16" s="37" t="n">
        <v>0.1</v>
      </c>
      <c r="AL16" s="37" t="n">
        <v>0.09</v>
      </c>
      <c r="AM16" s="37" t="n">
        <v>0.1</v>
      </c>
      <c r="AN16" s="37" t="n">
        <v>0.09</v>
      </c>
      <c r="AO16" s="37" t="n">
        <v>0.09</v>
      </c>
      <c r="AP16" s="37" t="n">
        <v>0.11</v>
      </c>
      <c r="AQ16" s="37" t="n">
        <v>0.11</v>
      </c>
      <c r="AR16" s="37" t="n">
        <v>0.09</v>
      </c>
      <c r="AS16" s="37" t="n">
        <v>0.09</v>
      </c>
      <c r="AT16" s="37" t="n">
        <v>0.13</v>
      </c>
      <c r="AU16" s="37" t="n">
        <v>0.12</v>
      </c>
      <c r="AV16" s="37" t="n">
        <v>0.09</v>
      </c>
      <c r="AW16" s="37" t="n">
        <v>0.09</v>
      </c>
      <c r="AX16" s="37" t="n">
        <v>0.11</v>
      </c>
      <c r="AY16" s="37" t="n">
        <v>0.09</v>
      </c>
      <c r="AZ16" s="37" t="n">
        <v>0.09</v>
      </c>
      <c r="BA16" s="37" t="n">
        <v>0.1</v>
      </c>
      <c r="BB16" s="37" t="n">
        <v>0.03</v>
      </c>
      <c r="BC16" s="37" t="n">
        <v>0.01</v>
      </c>
      <c r="BD16" s="37" t="n">
        <v>0.02</v>
      </c>
      <c r="BE16" s="37" t="n">
        <v>0.03</v>
      </c>
      <c r="BF16" s="37" t="n">
        <v>0.03</v>
      </c>
      <c r="BG16" s="37" t="n">
        <v>0.02</v>
      </c>
      <c r="BH16" s="37" t="n">
        <v>0.03</v>
      </c>
      <c r="BI16" s="37" t="n">
        <v>0.03</v>
      </c>
      <c r="BJ16" s="37" t="n">
        <v>0.01</v>
      </c>
      <c r="BK16" s="37" t="n">
        <v>0.03</v>
      </c>
      <c r="BL16" s="37" t="n">
        <v>0.03</v>
      </c>
      <c r="BM16" s="37" t="n">
        <v>0.03</v>
      </c>
      <c r="BN16" s="37" t="n">
        <v>0.02</v>
      </c>
      <c r="BO16" s="37" t="n">
        <v>0.04</v>
      </c>
      <c r="BP16" s="37" t="n">
        <v>0.03</v>
      </c>
      <c r="BQ16" s="37" t="n">
        <v>0.03</v>
      </c>
      <c r="BR16" s="37" t="n">
        <v>0.03</v>
      </c>
      <c r="BS16" s="37" t="n">
        <v>0.03</v>
      </c>
      <c r="BT16" s="37" t="n">
        <v>0.03</v>
      </c>
      <c r="BU16" s="37" t="n">
        <v>0.02</v>
      </c>
      <c r="BV16" s="37" t="n">
        <v>0.03</v>
      </c>
      <c r="BW16" s="37" t="n">
        <v>0.03</v>
      </c>
      <c r="BX16" s="37" t="n">
        <v>0.03</v>
      </c>
      <c r="BY16" s="37" t="n">
        <v>0.03</v>
      </c>
      <c r="BZ16" s="37" t="n">
        <v>0.03</v>
      </c>
      <c r="CA16" s="37" t="n">
        <v>0.03</v>
      </c>
      <c r="CB16" s="37" t="n">
        <v>0.02</v>
      </c>
      <c r="CC16" s="37" t="n">
        <v>5.200000000000001</v>
      </c>
    </row>
    <row r="17" ht="15.75" customHeight="1" s="57">
      <c r="A17" s="7" t="inlineStr">
        <is>
          <t>NTB</t>
        </is>
      </c>
      <c r="B17" s="7" t="inlineStr">
        <is>
          <t>Bình Thuận</t>
        </is>
      </c>
      <c r="C17" s="7" t="n">
        <v>20633000</v>
      </c>
      <c r="D17" s="7" t="inlineStr">
        <is>
          <t>(BTH) Bắc Bình</t>
        </is>
      </c>
      <c r="E17" s="7" t="inlineStr">
        <is>
          <t>SME</t>
        </is>
      </c>
      <c r="F17" s="36" t="n">
        <v>31</v>
      </c>
      <c r="G17" s="36" t="n">
        <v>4</v>
      </c>
      <c r="H17" s="36" t="n">
        <v>16</v>
      </c>
      <c r="I17" s="36" t="n">
        <v>18</v>
      </c>
      <c r="J17" s="36" t="n">
        <v>30</v>
      </c>
      <c r="K17" s="28" t="n">
        <v>23</v>
      </c>
      <c r="L17" s="36" t="n">
        <v>24</v>
      </c>
      <c r="M17" s="36" t="n">
        <v>17</v>
      </c>
      <c r="N17" s="36" t="n">
        <v>36</v>
      </c>
      <c r="O17" s="36" t="n">
        <v>27</v>
      </c>
      <c r="P17" s="36" t="n">
        <v>21</v>
      </c>
      <c r="Q17" s="36" t="n">
        <v>24</v>
      </c>
      <c r="R17" s="28" t="n">
        <v>43</v>
      </c>
      <c r="S17" s="36" t="n">
        <v>29</v>
      </c>
      <c r="T17" s="36" t="n">
        <v>32</v>
      </c>
      <c r="U17" s="36" t="n">
        <v>37.85</v>
      </c>
      <c r="V17" s="36" t="n">
        <v>39.39</v>
      </c>
      <c r="W17" s="36" t="n">
        <v>38.22</v>
      </c>
      <c r="X17" s="36" t="n">
        <v>31.39</v>
      </c>
      <c r="Y17" s="28" t="n">
        <v>42.37</v>
      </c>
      <c r="Z17" s="36" t="n">
        <v>39.09999999999999</v>
      </c>
      <c r="AA17" s="36" t="n">
        <v>38.04</v>
      </c>
      <c r="AB17" s="36" t="n">
        <v>37.85</v>
      </c>
      <c r="AC17" s="36" t="n">
        <v>39.39</v>
      </c>
      <c r="AD17" s="36" t="n">
        <v>28.34</v>
      </c>
      <c r="AE17" s="36" t="n">
        <v>31.39</v>
      </c>
      <c r="AF17" s="28" t="n">
        <v>42.37</v>
      </c>
      <c r="AG17" s="36" t="n">
        <v>39.09999999999999</v>
      </c>
      <c r="AH17" s="37" t="n">
        <v>38.04</v>
      </c>
      <c r="AI17" s="37" t="n">
        <v>37.85</v>
      </c>
      <c r="AJ17" s="37" t="n">
        <v>39.39</v>
      </c>
      <c r="AK17" s="37" t="n">
        <v>38.22</v>
      </c>
      <c r="AL17" s="37" t="n">
        <v>31.39</v>
      </c>
      <c r="AM17" s="37" t="n">
        <v>42.37</v>
      </c>
      <c r="AN17" s="37" t="n">
        <v>39.09999999999999</v>
      </c>
      <c r="AO17" s="37" t="n">
        <v>38.04</v>
      </c>
      <c r="AP17" s="37" t="n">
        <v>37.85</v>
      </c>
      <c r="AQ17" s="37" t="n">
        <v>39.39</v>
      </c>
      <c r="AR17" s="37" t="n">
        <v>38.22</v>
      </c>
      <c r="AS17" s="37" t="n">
        <v>31.39</v>
      </c>
      <c r="AT17" s="37" t="n">
        <v>42.37</v>
      </c>
      <c r="AU17" s="37" t="n">
        <v>39.09999999999999</v>
      </c>
      <c r="AV17" s="37" t="n">
        <v>38.04</v>
      </c>
      <c r="AW17" s="37" t="n">
        <v>37.85</v>
      </c>
      <c r="AX17" s="37" t="n">
        <v>39.39</v>
      </c>
      <c r="AY17" s="37" t="n">
        <v>38.22</v>
      </c>
      <c r="AZ17" s="37" t="n">
        <v>31.39</v>
      </c>
      <c r="BA17" s="37" t="n">
        <v>40.32</v>
      </c>
      <c r="BB17" s="37" t="n">
        <v>35.72</v>
      </c>
      <c r="BC17" s="37" t="n">
        <v>21.85</v>
      </c>
      <c r="BD17" s="37" t="n">
        <v>17.09</v>
      </c>
      <c r="BE17" s="37" t="n">
        <v>36.89</v>
      </c>
      <c r="BF17" s="37" t="n">
        <v>35.86</v>
      </c>
      <c r="BG17" s="37" t="n">
        <v>32.35</v>
      </c>
      <c r="BH17" s="37" t="n">
        <v>43.68</v>
      </c>
      <c r="BI17" s="37" t="n">
        <v>40.38</v>
      </c>
      <c r="BJ17" s="37" t="n">
        <v>29.05</v>
      </c>
      <c r="BK17" s="37" t="n">
        <v>38.99</v>
      </c>
      <c r="BL17" s="37" t="n">
        <v>40.62</v>
      </c>
      <c r="BM17" s="37" t="n">
        <v>39.34999999999999</v>
      </c>
      <c r="BN17" s="37" t="n">
        <v>32.35</v>
      </c>
      <c r="BO17" s="37" t="n">
        <v>43.68</v>
      </c>
      <c r="BP17" s="37" t="n">
        <v>40.38</v>
      </c>
      <c r="BQ17" s="37" t="n">
        <v>39.16999999999999</v>
      </c>
      <c r="BR17" s="37" t="n">
        <v>38.99</v>
      </c>
      <c r="BS17" s="37" t="n">
        <v>40.62</v>
      </c>
      <c r="BT17" s="37" t="n">
        <v>39.34999999999999</v>
      </c>
      <c r="BU17" s="37" t="n">
        <v>32.35</v>
      </c>
      <c r="BV17" s="37" t="n">
        <v>43.68</v>
      </c>
      <c r="BW17" s="37" t="n">
        <v>40.38</v>
      </c>
      <c r="BX17" s="37" t="n">
        <v>39.16999999999999</v>
      </c>
      <c r="BY17" s="37" t="n">
        <v>38.99</v>
      </c>
      <c r="BZ17" s="37" t="n">
        <v>40.62</v>
      </c>
      <c r="CA17" s="37" t="n">
        <v>39.34999999999999</v>
      </c>
      <c r="CB17" s="37" t="n">
        <v>32.35</v>
      </c>
      <c r="CC17" s="37" t="n">
        <v>2610.989999999998</v>
      </c>
    </row>
    <row r="18" ht="15.75" customHeight="1" s="57">
      <c r="A18" s="7" t="inlineStr">
        <is>
          <t>NTB</t>
        </is>
      </c>
      <c r="B18" s="7" t="inlineStr">
        <is>
          <t>Bình Thuận</t>
        </is>
      </c>
      <c r="C18" s="7" t="n">
        <v>20633000</v>
      </c>
      <c r="D18" s="7" t="inlineStr">
        <is>
          <t>(BTH) Bắc Bình</t>
        </is>
      </c>
      <c r="E18" s="7" t="inlineStr">
        <is>
          <t>SME-Bulky</t>
        </is>
      </c>
      <c r="F18" s="36" t="n">
        <v>0</v>
      </c>
      <c r="G18" s="36" t="n">
        <v>0</v>
      </c>
      <c r="H18" s="36" t="n">
        <v>1</v>
      </c>
      <c r="I18" s="36" t="n">
        <v>0</v>
      </c>
      <c r="J18" s="36" t="n">
        <v>0</v>
      </c>
      <c r="K18" s="28" t="n">
        <v>0</v>
      </c>
      <c r="L18" s="36" t="n">
        <v>1</v>
      </c>
      <c r="M18" s="36" t="n">
        <v>0</v>
      </c>
      <c r="N18" s="36" t="n">
        <v>1</v>
      </c>
      <c r="O18" s="36" t="n">
        <v>1</v>
      </c>
      <c r="P18" s="36" t="n">
        <v>0</v>
      </c>
      <c r="Q18" s="36" t="n">
        <v>2</v>
      </c>
      <c r="R18" s="28" t="n">
        <v>0</v>
      </c>
      <c r="S18" s="36" t="n">
        <v>1</v>
      </c>
      <c r="T18" s="36" t="n">
        <v>1</v>
      </c>
      <c r="U18" s="36" t="n">
        <v>0.74</v>
      </c>
      <c r="V18" s="36" t="n">
        <v>0.74</v>
      </c>
      <c r="W18" s="36" t="n">
        <v>0.72</v>
      </c>
      <c r="X18" s="36" t="n">
        <v>0.52</v>
      </c>
      <c r="Y18" s="28" t="n">
        <v>0.92</v>
      </c>
      <c r="Z18" s="36" t="n">
        <v>0.95</v>
      </c>
      <c r="AA18" s="36" t="n">
        <v>0.77</v>
      </c>
      <c r="AB18" s="36" t="n">
        <v>0.74</v>
      </c>
      <c r="AC18" s="36" t="n">
        <v>0.74</v>
      </c>
      <c r="AD18" s="36" t="n">
        <v>0.5600000000000001</v>
      </c>
      <c r="AE18" s="36" t="n">
        <v>0.52</v>
      </c>
      <c r="AF18" s="28" t="n">
        <v>0.92</v>
      </c>
      <c r="AG18" s="36" t="n">
        <v>0.95</v>
      </c>
      <c r="AH18" s="37" t="n">
        <v>0.77</v>
      </c>
      <c r="AI18" s="37" t="n">
        <v>0.74</v>
      </c>
      <c r="AJ18" s="37" t="n">
        <v>0.74</v>
      </c>
      <c r="AK18" s="37" t="n">
        <v>0.72</v>
      </c>
      <c r="AL18" s="37" t="n">
        <v>0.52</v>
      </c>
      <c r="AM18" s="37" t="n">
        <v>0.92</v>
      </c>
      <c r="AN18" s="37" t="n">
        <v>0.95</v>
      </c>
      <c r="AO18" s="37" t="n">
        <v>0.77</v>
      </c>
      <c r="AP18" s="37" t="n">
        <v>0.74</v>
      </c>
      <c r="AQ18" s="37" t="n">
        <v>0.74</v>
      </c>
      <c r="AR18" s="37" t="n">
        <v>0.72</v>
      </c>
      <c r="AS18" s="37" t="n">
        <v>0.52</v>
      </c>
      <c r="AT18" s="37" t="n">
        <v>0.92</v>
      </c>
      <c r="AU18" s="37" t="n">
        <v>0.95</v>
      </c>
      <c r="AV18" s="37" t="n">
        <v>0.77</v>
      </c>
      <c r="AW18" s="37" t="n">
        <v>0.74</v>
      </c>
      <c r="AX18" s="37" t="n">
        <v>0.74</v>
      </c>
      <c r="AY18" s="37" t="n">
        <v>0.72</v>
      </c>
      <c r="AZ18" s="37" t="n">
        <v>0.52</v>
      </c>
      <c r="BA18" s="37" t="n">
        <v>0.95</v>
      </c>
      <c r="BB18" s="37" t="n">
        <v>0.53</v>
      </c>
      <c r="BC18" s="37" t="n">
        <v>0.25</v>
      </c>
      <c r="BD18" s="37" t="n">
        <v>0.14</v>
      </c>
      <c r="BE18" s="37" t="n">
        <v>0.42</v>
      </c>
      <c r="BF18" s="37" t="n">
        <v>0.41</v>
      </c>
      <c r="BG18" s="37" t="n">
        <v>0.28</v>
      </c>
      <c r="BH18" s="37" t="n">
        <v>0.51</v>
      </c>
      <c r="BI18" s="37" t="n">
        <v>0.53</v>
      </c>
      <c r="BJ18" s="37" t="n">
        <v>0.37</v>
      </c>
      <c r="BK18" s="37" t="n">
        <v>0.42</v>
      </c>
      <c r="BL18" s="37" t="n">
        <v>0.42</v>
      </c>
      <c r="BM18" s="37" t="n">
        <v>0.41</v>
      </c>
      <c r="BN18" s="37" t="n">
        <v>0.28</v>
      </c>
      <c r="BO18" s="37" t="n">
        <v>0.51</v>
      </c>
      <c r="BP18" s="37" t="n">
        <v>0.53</v>
      </c>
      <c r="BQ18" s="37" t="n">
        <v>0.44</v>
      </c>
      <c r="BR18" s="37" t="n">
        <v>0.42</v>
      </c>
      <c r="BS18" s="37" t="n">
        <v>0.42</v>
      </c>
      <c r="BT18" s="37" t="n">
        <v>0.41</v>
      </c>
      <c r="BU18" s="37" t="n">
        <v>0.28</v>
      </c>
      <c r="BV18" s="37" t="n">
        <v>0.51</v>
      </c>
      <c r="BW18" s="37" t="n">
        <v>0.53</v>
      </c>
      <c r="BX18" s="37" t="n">
        <v>0.44</v>
      </c>
      <c r="BY18" s="37" t="n">
        <v>0.42</v>
      </c>
      <c r="BZ18" s="37" t="n">
        <v>0.42</v>
      </c>
      <c r="CA18" s="37" t="n">
        <v>0.41</v>
      </c>
      <c r="CB18" s="37" t="n">
        <v>0.28</v>
      </c>
      <c r="CC18" s="37" t="n">
        <v>43.93999999999998</v>
      </c>
    </row>
    <row r="19" ht="15.75" customHeight="1" s="57">
      <c r="A19" s="7" t="inlineStr">
        <is>
          <t>NTB</t>
        </is>
      </c>
      <c r="B19" s="7" t="inlineStr">
        <is>
          <t>Bình Thuận</t>
        </is>
      </c>
      <c r="C19" s="7" t="n">
        <v>20633000</v>
      </c>
      <c r="D19" s="7" t="inlineStr">
        <is>
          <t>(BTH) Bắc Bình</t>
        </is>
      </c>
      <c r="E19" s="7" t="inlineStr">
        <is>
          <t>Shopee</t>
        </is>
      </c>
      <c r="F19" s="36" t="n">
        <v>6</v>
      </c>
      <c r="G19" s="36" t="n">
        <v>8</v>
      </c>
      <c r="H19" s="36" t="n">
        <v>2</v>
      </c>
      <c r="I19" s="36" t="n">
        <v>4</v>
      </c>
      <c r="J19" s="36" t="n">
        <v>4</v>
      </c>
      <c r="K19" s="28" t="n">
        <v>7</v>
      </c>
      <c r="L19" s="36" t="n">
        <v>7</v>
      </c>
      <c r="M19" s="36" t="n">
        <v>11</v>
      </c>
      <c r="N19" s="36" t="n">
        <v>13</v>
      </c>
      <c r="O19" s="36" t="n">
        <v>7</v>
      </c>
      <c r="P19" s="36" t="n">
        <v>6</v>
      </c>
      <c r="Q19" s="36" t="n">
        <v>7</v>
      </c>
      <c r="R19" s="28" t="n">
        <v>7</v>
      </c>
      <c r="S19" s="36" t="n">
        <v>7</v>
      </c>
      <c r="T19" s="36" t="n">
        <v>9</v>
      </c>
      <c r="U19" s="36" t="n">
        <v>8.279999999999999</v>
      </c>
      <c r="V19" s="36" t="n">
        <v>8.359999999999999</v>
      </c>
      <c r="W19" s="36" t="n">
        <v>7.92</v>
      </c>
      <c r="X19" s="36" t="n">
        <v>6.86</v>
      </c>
      <c r="Y19" s="28" t="n">
        <v>11.08</v>
      </c>
      <c r="Z19" s="36" t="n">
        <v>8.779999999999999</v>
      </c>
      <c r="AA19" s="36" t="n">
        <v>10.68</v>
      </c>
      <c r="AB19" s="36" t="n">
        <v>8.42</v>
      </c>
      <c r="AC19" s="36" t="n">
        <v>6.81</v>
      </c>
      <c r="AD19" s="36" t="n">
        <v>13.84</v>
      </c>
      <c r="AE19" s="36" t="n">
        <v>7.32</v>
      </c>
      <c r="AF19" s="28" t="n">
        <v>12.23</v>
      </c>
      <c r="AG19" s="36" t="n">
        <v>9.199999999999999</v>
      </c>
      <c r="AH19" s="37" t="n">
        <v>9.699999999999999</v>
      </c>
      <c r="AI19" s="37" t="n">
        <v>8.279999999999999</v>
      </c>
      <c r="AJ19" s="37" t="n">
        <v>8.359999999999999</v>
      </c>
      <c r="AK19" s="37" t="n">
        <v>8.720000000000001</v>
      </c>
      <c r="AL19" s="37" t="n">
        <v>12.35</v>
      </c>
      <c r="AM19" s="37" t="n">
        <v>11.08</v>
      </c>
      <c r="AN19" s="37" t="n">
        <v>8.779999999999999</v>
      </c>
      <c r="AO19" s="37" t="n">
        <v>9.699999999999999</v>
      </c>
      <c r="AP19" s="37" t="n">
        <v>8.949999999999999</v>
      </c>
      <c r="AQ19" s="37" t="n">
        <v>6.58</v>
      </c>
      <c r="AR19" s="37" t="n">
        <v>7.92</v>
      </c>
      <c r="AS19" s="37" t="n">
        <v>6.86</v>
      </c>
      <c r="AT19" s="37" t="n">
        <v>11.08</v>
      </c>
      <c r="AU19" s="37" t="n">
        <v>9.57</v>
      </c>
      <c r="AV19" s="37" t="n">
        <v>9.93</v>
      </c>
      <c r="AW19" s="37" t="n">
        <v>8.279999999999999</v>
      </c>
      <c r="AX19" s="37" t="n">
        <v>8.359999999999999</v>
      </c>
      <c r="AY19" s="37" t="n">
        <v>7.92</v>
      </c>
      <c r="AZ19" s="37" t="n">
        <v>6.86</v>
      </c>
      <c r="BA19" s="37" t="n">
        <v>9.449999999999999</v>
      </c>
      <c r="BB19" s="37" t="n">
        <v>6.69</v>
      </c>
      <c r="BC19" s="37" t="n">
        <v>2.97</v>
      </c>
      <c r="BD19" s="37" t="n">
        <v>4.87</v>
      </c>
      <c r="BE19" s="37" t="n">
        <v>9.93</v>
      </c>
      <c r="BF19" s="37" t="n">
        <v>9.59</v>
      </c>
      <c r="BG19" s="37" t="n">
        <v>6.84</v>
      </c>
      <c r="BH19" s="37" t="n">
        <v>10.66</v>
      </c>
      <c r="BI19" s="37" t="n">
        <v>7.04</v>
      </c>
      <c r="BJ19" s="37" t="n">
        <v>19.69</v>
      </c>
      <c r="BK19" s="37" t="n">
        <v>8.529999999999999</v>
      </c>
      <c r="BL19" s="37" t="n">
        <v>8.470000000000001</v>
      </c>
      <c r="BM19" s="37" t="n">
        <v>7.71</v>
      </c>
      <c r="BN19" s="37" t="n">
        <v>6.69</v>
      </c>
      <c r="BO19" s="37" t="n">
        <v>10.66</v>
      </c>
      <c r="BP19" s="37" t="n">
        <v>9.300000000000001</v>
      </c>
      <c r="BQ19" s="37" t="n">
        <v>14.17</v>
      </c>
      <c r="BR19" s="37" t="n">
        <v>8.050000000000001</v>
      </c>
      <c r="BS19" s="37" t="n">
        <v>8.130000000000001</v>
      </c>
      <c r="BT19" s="37" t="n">
        <v>7.71</v>
      </c>
      <c r="BU19" s="37" t="n">
        <v>7.34</v>
      </c>
      <c r="BV19" s="37" t="n">
        <v>8.609999999999999</v>
      </c>
      <c r="BW19" s="37" t="n">
        <v>8.529999999999999</v>
      </c>
      <c r="BX19" s="37" t="n">
        <v>9.390000000000001</v>
      </c>
      <c r="BY19" s="37" t="n">
        <v>8.050000000000001</v>
      </c>
      <c r="BZ19" s="37" t="n">
        <v>8.76</v>
      </c>
      <c r="CA19" s="37" t="n">
        <v>7.9</v>
      </c>
      <c r="CB19" s="37" t="n">
        <v>6.69</v>
      </c>
      <c r="CC19" s="37" t="n">
        <v>636.4799999999999</v>
      </c>
    </row>
    <row r="20" ht="15.75" customHeight="1" s="57">
      <c r="A20" s="7" t="inlineStr">
        <is>
          <t>NTB</t>
        </is>
      </c>
      <c r="B20" s="7" t="inlineStr">
        <is>
          <t>Bình Thuận</t>
        </is>
      </c>
      <c r="C20" s="7" t="n">
        <v>20633000</v>
      </c>
      <c r="D20" s="7" t="inlineStr">
        <is>
          <t>(BTH) Bắc Bình</t>
        </is>
      </c>
      <c r="E20" s="7" t="inlineStr">
        <is>
          <t>Shopee-Bulky</t>
        </is>
      </c>
      <c r="F20" s="36" t="n">
        <v>3.93</v>
      </c>
      <c r="G20" s="36" t="n">
        <v>0</v>
      </c>
      <c r="H20" s="36" t="n">
        <v>2.36</v>
      </c>
      <c r="I20" s="36" t="n">
        <v>1.57</v>
      </c>
      <c r="J20" s="36" t="n">
        <v>2.36</v>
      </c>
      <c r="K20" s="28" t="n">
        <v>0.79</v>
      </c>
      <c r="L20" s="36" t="n">
        <v>3.93</v>
      </c>
      <c r="M20" s="36" t="n">
        <v>2.36</v>
      </c>
      <c r="N20" s="36" t="n">
        <v>2.36</v>
      </c>
      <c r="O20" s="36" t="n">
        <v>3.93</v>
      </c>
      <c r="P20" s="36" t="n">
        <v>3.14</v>
      </c>
      <c r="Q20" s="36" t="n">
        <v>3.93</v>
      </c>
      <c r="R20" s="28" t="n">
        <v>2.36</v>
      </c>
      <c r="S20" s="36" t="n">
        <v>2.36</v>
      </c>
      <c r="T20" s="36" t="n">
        <v>6.29</v>
      </c>
      <c r="U20" s="36" t="n">
        <v>3.33</v>
      </c>
      <c r="V20" s="36" t="n">
        <v>3.33</v>
      </c>
      <c r="W20" s="36" t="n">
        <v>4.05</v>
      </c>
      <c r="X20" s="36" t="n">
        <v>2.14</v>
      </c>
      <c r="Y20" s="28" t="n">
        <v>5.06</v>
      </c>
      <c r="Z20" s="36" t="n">
        <v>3.87</v>
      </c>
      <c r="AA20" s="36" t="n">
        <v>5.9</v>
      </c>
      <c r="AB20" s="36" t="n">
        <v>3.87</v>
      </c>
      <c r="AC20" s="36" t="n">
        <v>3.69</v>
      </c>
      <c r="AD20" s="36" t="n">
        <v>14.35</v>
      </c>
      <c r="AE20" s="36" t="n">
        <v>11.49</v>
      </c>
      <c r="AF20" s="28" t="n">
        <v>11.2</v>
      </c>
      <c r="AG20" s="36" t="n">
        <v>6.37</v>
      </c>
      <c r="AH20" s="37" t="n">
        <v>3.75</v>
      </c>
      <c r="AI20" s="37" t="n">
        <v>4.17</v>
      </c>
      <c r="AJ20" s="37" t="n">
        <v>3.57</v>
      </c>
      <c r="AK20" s="37" t="n">
        <v>8.220000000000001</v>
      </c>
      <c r="AL20" s="37" t="n">
        <v>3.69</v>
      </c>
      <c r="AM20" s="37" t="n">
        <v>6.85</v>
      </c>
      <c r="AN20" s="37" t="n">
        <v>3.81</v>
      </c>
      <c r="AO20" s="37" t="n">
        <v>3.81</v>
      </c>
      <c r="AP20" s="37" t="n">
        <v>6.85</v>
      </c>
      <c r="AQ20" s="37" t="n">
        <v>5</v>
      </c>
      <c r="AR20" s="37" t="n">
        <v>3.81</v>
      </c>
      <c r="AS20" s="37" t="n">
        <v>2.02</v>
      </c>
      <c r="AT20" s="37" t="n">
        <v>4.88</v>
      </c>
      <c r="AU20" s="37" t="n">
        <v>8.460000000000001</v>
      </c>
      <c r="AV20" s="37" t="n">
        <v>8.99</v>
      </c>
      <c r="AW20" s="37" t="n">
        <v>3.51</v>
      </c>
      <c r="AX20" s="37" t="n">
        <v>3.51</v>
      </c>
      <c r="AY20" s="37" t="n">
        <v>3.81</v>
      </c>
      <c r="AZ20" s="37" t="n">
        <v>2.02</v>
      </c>
      <c r="BA20" s="37" t="n">
        <v>4.35</v>
      </c>
      <c r="BB20" s="37" t="n">
        <v>2.86</v>
      </c>
      <c r="BC20" s="37" t="n">
        <v>0.36</v>
      </c>
      <c r="BD20" s="37" t="n">
        <v>1.13</v>
      </c>
      <c r="BE20" s="37" t="n">
        <v>4.41</v>
      </c>
      <c r="BF20" s="37" t="n">
        <v>3.69</v>
      </c>
      <c r="BG20" s="37" t="n">
        <v>2.32</v>
      </c>
      <c r="BH20" s="37" t="n">
        <v>5.3</v>
      </c>
      <c r="BI20" s="37" t="n">
        <v>4.11</v>
      </c>
      <c r="BJ20" s="37" t="n">
        <v>22.15</v>
      </c>
      <c r="BK20" s="37" t="n">
        <v>8.69</v>
      </c>
      <c r="BL20" s="37" t="n">
        <v>4.65</v>
      </c>
      <c r="BM20" s="37" t="n">
        <v>3.1</v>
      </c>
      <c r="BN20" s="37" t="n">
        <v>2.2</v>
      </c>
      <c r="BO20" s="37" t="n">
        <v>6.13</v>
      </c>
      <c r="BP20" s="37" t="n">
        <v>8.69</v>
      </c>
      <c r="BQ20" s="37" t="n">
        <v>6.61</v>
      </c>
      <c r="BR20" s="37" t="n">
        <v>3.69</v>
      </c>
      <c r="BS20" s="37" t="n">
        <v>3.69</v>
      </c>
      <c r="BT20" s="37" t="n">
        <v>2.86</v>
      </c>
      <c r="BU20" s="37" t="n">
        <v>4.53</v>
      </c>
      <c r="BV20" s="37" t="n">
        <v>5.6</v>
      </c>
      <c r="BW20" s="37" t="n">
        <v>4.11</v>
      </c>
      <c r="BX20" s="37" t="n">
        <v>4.05</v>
      </c>
      <c r="BY20" s="37" t="n">
        <v>3.69</v>
      </c>
      <c r="BZ20" s="37" t="n">
        <v>7.56</v>
      </c>
      <c r="CA20" s="37" t="n">
        <v>3.69</v>
      </c>
      <c r="CB20" s="37" t="n">
        <v>2.26</v>
      </c>
      <c r="CC20" s="37" t="n">
        <v>347.53</v>
      </c>
    </row>
    <row r="21" ht="15.75" customHeight="1" s="57">
      <c r="A21" s="7" t="inlineStr">
        <is>
          <t>NTB</t>
        </is>
      </c>
      <c r="B21" s="7" t="inlineStr">
        <is>
          <t>Bình Thuận</t>
        </is>
      </c>
      <c r="C21" s="7" t="n">
        <v>20633000</v>
      </c>
      <c r="D21" s="7" t="inlineStr">
        <is>
          <t>(BTH) Bắc Bình</t>
        </is>
      </c>
      <c r="E21" s="7" t="inlineStr">
        <is>
          <t>Shopee-Bulky (10-15kg)</t>
        </is>
      </c>
      <c r="F21" s="36" t="n">
        <v>1.07</v>
      </c>
      <c r="G21" s="36" t="n">
        <v>0</v>
      </c>
      <c r="H21" s="36" t="n">
        <v>0.64</v>
      </c>
      <c r="I21" s="36" t="n">
        <v>0.43</v>
      </c>
      <c r="J21" s="36" t="n">
        <v>0.64</v>
      </c>
      <c r="K21" s="28" t="n">
        <v>0.21</v>
      </c>
      <c r="L21" s="36" t="n">
        <v>1.07</v>
      </c>
      <c r="M21" s="36" t="n">
        <v>0.64</v>
      </c>
      <c r="N21" s="36" t="n">
        <v>0.64</v>
      </c>
      <c r="O21" s="36" t="n">
        <v>1.07</v>
      </c>
      <c r="P21" s="36" t="n">
        <v>0.86</v>
      </c>
      <c r="Q21" s="36" t="n">
        <v>1.07</v>
      </c>
      <c r="R21" s="28" t="n">
        <v>0.64</v>
      </c>
      <c r="S21" s="36" t="n">
        <v>0.64</v>
      </c>
      <c r="T21" s="36" t="n">
        <v>1.71</v>
      </c>
      <c r="U21" s="36" t="n">
        <v>0.83</v>
      </c>
      <c r="V21" s="36" t="n">
        <v>0.77</v>
      </c>
      <c r="W21" s="36" t="n">
        <v>0.95</v>
      </c>
      <c r="X21" s="36" t="n">
        <v>0.48</v>
      </c>
      <c r="Y21" s="28" t="n">
        <v>1.31</v>
      </c>
      <c r="Z21" s="36" t="n">
        <v>0.89</v>
      </c>
      <c r="AA21" s="36" t="n">
        <v>1.31</v>
      </c>
      <c r="AB21" s="36" t="n">
        <v>0.89</v>
      </c>
      <c r="AC21" s="36" t="n">
        <v>0.95</v>
      </c>
      <c r="AD21" s="36" t="n">
        <v>5.9</v>
      </c>
      <c r="AE21" s="36" t="n">
        <v>2.62</v>
      </c>
      <c r="AF21" s="28" t="n">
        <v>2.2</v>
      </c>
      <c r="AG21" s="36" t="n">
        <v>1.67</v>
      </c>
      <c r="AH21" s="37" t="n">
        <v>0.89</v>
      </c>
      <c r="AI21" s="37" t="n">
        <v>0.89</v>
      </c>
      <c r="AJ21" s="37" t="n">
        <v>0.77</v>
      </c>
      <c r="AK21" s="37" t="n">
        <v>2.2</v>
      </c>
      <c r="AL21" s="37" t="n">
        <v>0.83</v>
      </c>
      <c r="AM21" s="37" t="n">
        <v>1.55</v>
      </c>
      <c r="AN21" s="37" t="n">
        <v>0.89</v>
      </c>
      <c r="AO21" s="37" t="n">
        <v>0.89</v>
      </c>
      <c r="AP21" s="37" t="n">
        <v>1.73</v>
      </c>
      <c r="AQ21" s="37" t="n">
        <v>1.07</v>
      </c>
      <c r="AR21" s="37" t="n">
        <v>0.89</v>
      </c>
      <c r="AS21" s="37" t="n">
        <v>0.36</v>
      </c>
      <c r="AT21" s="37" t="n">
        <v>1.13</v>
      </c>
      <c r="AU21" s="37" t="n">
        <v>1.97</v>
      </c>
      <c r="AV21" s="37" t="n">
        <v>2.32</v>
      </c>
      <c r="AW21" s="37" t="n">
        <v>0.89</v>
      </c>
      <c r="AX21" s="37" t="n">
        <v>0.77</v>
      </c>
      <c r="AY21" s="37" t="n">
        <v>0.83</v>
      </c>
      <c r="AZ21" s="37" t="n">
        <v>0.36</v>
      </c>
      <c r="BA21" s="37" t="n">
        <v>1.01</v>
      </c>
      <c r="BB21" s="37" t="n">
        <v>0.66</v>
      </c>
      <c r="BC21" s="37" t="n">
        <v>0.12</v>
      </c>
      <c r="BD21" s="37" t="n">
        <v>0.24</v>
      </c>
      <c r="BE21" s="37" t="n">
        <v>0.95</v>
      </c>
      <c r="BF21" s="37" t="n">
        <v>0.83</v>
      </c>
      <c r="BG21" s="37" t="n">
        <v>0.42</v>
      </c>
      <c r="BH21" s="37" t="n">
        <v>1.19</v>
      </c>
      <c r="BI21" s="37" t="n">
        <v>0.95</v>
      </c>
      <c r="BJ21" s="37" t="n">
        <v>6.91</v>
      </c>
      <c r="BK21" s="37" t="n">
        <v>2.5</v>
      </c>
      <c r="BL21" s="37" t="n">
        <v>1.19</v>
      </c>
      <c r="BM21" s="37" t="n">
        <v>0.77</v>
      </c>
      <c r="BN21" s="37" t="n">
        <v>0.42</v>
      </c>
      <c r="BO21" s="37" t="n">
        <v>1.79</v>
      </c>
      <c r="BP21" s="37" t="n">
        <v>2.5</v>
      </c>
      <c r="BQ21" s="37" t="n">
        <v>1.91</v>
      </c>
      <c r="BR21" s="37" t="n">
        <v>1.01</v>
      </c>
      <c r="BS21" s="37" t="n">
        <v>0.83</v>
      </c>
      <c r="BT21" s="37" t="n">
        <v>0.66</v>
      </c>
      <c r="BU21" s="37" t="n">
        <v>1.07</v>
      </c>
      <c r="BV21" s="37" t="n">
        <v>1.31</v>
      </c>
      <c r="BW21" s="37" t="n">
        <v>0.95</v>
      </c>
      <c r="BX21" s="37" t="n">
        <v>0.95</v>
      </c>
      <c r="BY21" s="37" t="n">
        <v>1.01</v>
      </c>
      <c r="BZ21" s="37" t="n">
        <v>2.26</v>
      </c>
      <c r="CA21" s="37" t="n">
        <v>0.95</v>
      </c>
      <c r="CB21" s="37" t="n">
        <v>0.42</v>
      </c>
      <c r="CC21" s="37" t="n">
        <v>89.11000000000001</v>
      </c>
    </row>
    <row r="22" ht="15.75" customHeight="1" s="57">
      <c r="A22" s="7" t="inlineStr">
        <is>
          <t>NTB</t>
        </is>
      </c>
      <c r="B22" s="7" t="inlineStr">
        <is>
          <t>Bình Thuận</t>
        </is>
      </c>
      <c r="C22" s="7" t="n">
        <v>20633000</v>
      </c>
      <c r="D22" s="7" t="inlineStr">
        <is>
          <t>(BTH) Bắc Bình</t>
        </is>
      </c>
      <c r="E22" s="7" t="inlineStr">
        <is>
          <t>TTS</t>
        </is>
      </c>
      <c r="F22" s="36" t="n">
        <v>7</v>
      </c>
      <c r="G22" s="36" t="n">
        <v>19</v>
      </c>
      <c r="H22" s="36" t="n">
        <v>67</v>
      </c>
      <c r="I22" s="36" t="n">
        <v>32</v>
      </c>
      <c r="J22" s="36" t="n">
        <v>12</v>
      </c>
      <c r="K22" s="28" t="n">
        <v>29</v>
      </c>
      <c r="L22" s="36" t="n">
        <v>33</v>
      </c>
      <c r="M22" s="36" t="n">
        <v>56</v>
      </c>
      <c r="N22" s="36" t="n">
        <v>99</v>
      </c>
      <c r="O22" s="36" t="n">
        <v>53</v>
      </c>
      <c r="P22" s="36" t="n">
        <v>109</v>
      </c>
      <c r="Q22" s="36" t="n">
        <v>139</v>
      </c>
      <c r="R22" s="28" t="n">
        <v>54</v>
      </c>
      <c r="S22" s="36" t="n">
        <v>130</v>
      </c>
      <c r="T22" s="36" t="n">
        <v>62</v>
      </c>
      <c r="U22" s="36" t="n">
        <v>164.35</v>
      </c>
      <c r="V22" s="36" t="n">
        <v>162.21</v>
      </c>
      <c r="W22" s="36" t="n">
        <v>158.06</v>
      </c>
      <c r="X22" s="36" t="n">
        <v>126.73</v>
      </c>
      <c r="Y22" s="28" t="n">
        <v>185.74</v>
      </c>
      <c r="Z22" s="36" t="n">
        <v>158.06</v>
      </c>
      <c r="AA22" s="36" t="n">
        <v>174.91</v>
      </c>
      <c r="AB22" s="36" t="n">
        <v>195.44</v>
      </c>
      <c r="AC22" s="36" t="n">
        <v>206.24</v>
      </c>
      <c r="AD22" s="36" t="n">
        <v>173.44</v>
      </c>
      <c r="AE22" s="36" t="n">
        <v>147.14</v>
      </c>
      <c r="AF22" s="28" t="n">
        <v>191.32</v>
      </c>
      <c r="AG22" s="36" t="n">
        <v>160.67</v>
      </c>
      <c r="AH22" s="37" t="n">
        <v>159.49</v>
      </c>
      <c r="AI22" s="37" t="n">
        <v>182.98</v>
      </c>
      <c r="AJ22" s="37" t="n">
        <v>196.87</v>
      </c>
      <c r="AK22" s="37" t="n">
        <v>193.78</v>
      </c>
      <c r="AL22" s="37" t="n">
        <v>137.18</v>
      </c>
      <c r="AM22" s="37" t="n">
        <v>188.95</v>
      </c>
      <c r="AN22" s="37" t="n">
        <v>162.69</v>
      </c>
      <c r="AO22" s="37" t="n">
        <v>161.38</v>
      </c>
      <c r="AP22" s="37" t="n">
        <v>157.71</v>
      </c>
      <c r="AQ22" s="37" t="n">
        <v>158.89</v>
      </c>
      <c r="AR22" s="37" t="n">
        <v>156.16</v>
      </c>
      <c r="AS22" s="37" t="n">
        <v>126.97</v>
      </c>
      <c r="AT22" s="37" t="n">
        <v>203.9</v>
      </c>
      <c r="AU22" s="37" t="n">
        <v>184.29</v>
      </c>
      <c r="AV22" s="37" t="n">
        <v>164.23</v>
      </c>
      <c r="AW22" s="37" t="n">
        <v>155.81</v>
      </c>
      <c r="AX22" s="37" t="n">
        <v>154.74</v>
      </c>
      <c r="AY22" s="37" t="n">
        <v>153.67</v>
      </c>
      <c r="AZ22" s="37" t="n">
        <v>127.56</v>
      </c>
      <c r="BA22" s="37" t="n">
        <v>183.96</v>
      </c>
      <c r="BB22" s="37" t="n">
        <v>171.59</v>
      </c>
      <c r="BC22" s="37" t="n">
        <v>86.79000000000001</v>
      </c>
      <c r="BD22" s="37" t="n">
        <v>124</v>
      </c>
      <c r="BE22" s="37" t="n">
        <v>288.11</v>
      </c>
      <c r="BF22" s="37" t="n">
        <v>280.16</v>
      </c>
      <c r="BG22" s="37" t="n">
        <v>137.18</v>
      </c>
      <c r="BH22" s="37" t="n">
        <v>203.66</v>
      </c>
      <c r="BI22" s="37" t="n">
        <v>171.59</v>
      </c>
      <c r="BJ22" s="37" t="n">
        <v>131.19</v>
      </c>
      <c r="BK22" s="37" t="n">
        <v>174.68</v>
      </c>
      <c r="BL22" s="37" t="n">
        <v>174.91</v>
      </c>
      <c r="BM22" s="37" t="n">
        <v>169.81</v>
      </c>
      <c r="BN22" s="37" t="n">
        <v>137.18</v>
      </c>
      <c r="BO22" s="37" t="n">
        <v>203.66</v>
      </c>
      <c r="BP22" s="37" t="n">
        <v>171.59</v>
      </c>
      <c r="BQ22" s="37" t="n">
        <v>170.17</v>
      </c>
      <c r="BR22" s="37" t="n">
        <v>174.68</v>
      </c>
      <c r="BS22" s="37" t="n">
        <v>174.91</v>
      </c>
      <c r="BT22" s="37" t="n">
        <v>169.81</v>
      </c>
      <c r="BU22" s="37" t="n">
        <v>137.18</v>
      </c>
      <c r="BV22" s="37" t="n">
        <v>203.66</v>
      </c>
      <c r="BW22" s="37" t="n">
        <v>171.59</v>
      </c>
      <c r="BX22" s="37" t="n">
        <v>170.17</v>
      </c>
      <c r="BY22" s="37" t="n">
        <v>174.68</v>
      </c>
      <c r="BZ22" s="37" t="n">
        <v>174.91</v>
      </c>
      <c r="CA22" s="37" t="n">
        <v>169.81</v>
      </c>
      <c r="CB22" s="37" t="n">
        <v>137.18</v>
      </c>
      <c r="CC22" s="37" t="n">
        <v>11071.37</v>
      </c>
    </row>
    <row r="23" ht="15.75" customHeight="1" s="57">
      <c r="A23" s="7" t="inlineStr">
        <is>
          <t>NTB</t>
        </is>
      </c>
      <c r="B23" s="7" t="inlineStr">
        <is>
          <t>Bình Thuận</t>
        </is>
      </c>
      <c r="C23" s="7" t="n">
        <v>20633000</v>
      </c>
      <c r="D23" s="7" t="inlineStr">
        <is>
          <t>(BTH) Bắc Bình</t>
        </is>
      </c>
      <c r="E23" s="7" t="inlineStr">
        <is>
          <t>TTS-Bulky</t>
        </is>
      </c>
      <c r="F23" s="36" t="n">
        <v>0</v>
      </c>
      <c r="G23" s="36" t="n">
        <v>1</v>
      </c>
      <c r="H23" s="36" t="n">
        <v>1</v>
      </c>
      <c r="I23" s="36" t="n">
        <v>0</v>
      </c>
      <c r="J23" s="36" t="n">
        <v>0</v>
      </c>
      <c r="K23" s="28" t="n">
        <v>0</v>
      </c>
      <c r="L23" s="36" t="n">
        <v>0</v>
      </c>
      <c r="M23" s="36" t="n">
        <v>0</v>
      </c>
      <c r="N23" s="36" t="n">
        <v>0</v>
      </c>
      <c r="O23" s="36" t="n">
        <v>0</v>
      </c>
      <c r="P23" s="36" t="n">
        <v>0</v>
      </c>
      <c r="Q23" s="36" t="n">
        <v>3</v>
      </c>
      <c r="R23" s="28" t="n">
        <v>1</v>
      </c>
      <c r="S23" s="36" t="n">
        <v>0</v>
      </c>
      <c r="T23" s="36" t="n">
        <v>0</v>
      </c>
      <c r="U23" s="36" t="n">
        <v>2.07</v>
      </c>
      <c r="V23" s="36" t="n">
        <v>2.07</v>
      </c>
      <c r="W23" s="36" t="n">
        <v>0.91</v>
      </c>
      <c r="X23" s="36" t="n">
        <v>0.87</v>
      </c>
      <c r="Y23" s="28" t="n">
        <v>1.01</v>
      </c>
      <c r="Z23" s="36" t="n">
        <v>0.98</v>
      </c>
      <c r="AA23" s="36" t="n">
        <v>1.12</v>
      </c>
      <c r="AB23" s="36" t="n">
        <v>1.01</v>
      </c>
      <c r="AC23" s="36" t="n">
        <v>1.2</v>
      </c>
      <c r="AD23" s="36" t="n">
        <v>0.29</v>
      </c>
      <c r="AE23" s="36" t="n">
        <v>0.87</v>
      </c>
      <c r="AF23" s="28" t="n">
        <v>1.27</v>
      </c>
      <c r="AG23" s="36" t="n">
        <v>1.05</v>
      </c>
      <c r="AH23" s="37" t="n">
        <v>0.91</v>
      </c>
      <c r="AI23" s="37" t="n">
        <v>1.01</v>
      </c>
      <c r="AJ23" s="37" t="n">
        <v>1.01</v>
      </c>
      <c r="AK23" s="37" t="n">
        <v>1.01</v>
      </c>
      <c r="AL23" s="37" t="n">
        <v>0.87</v>
      </c>
      <c r="AM23" s="37" t="n">
        <v>1.01</v>
      </c>
      <c r="AN23" s="37" t="n">
        <v>0.91</v>
      </c>
      <c r="AO23" s="37" t="n">
        <v>0.91</v>
      </c>
      <c r="AP23" s="37" t="n">
        <v>1.05</v>
      </c>
      <c r="AQ23" s="37" t="n">
        <v>1.12</v>
      </c>
      <c r="AR23" s="37" t="n">
        <v>0.91</v>
      </c>
      <c r="AS23" s="37" t="n">
        <v>0.87</v>
      </c>
      <c r="AT23" s="37" t="n">
        <v>1.3</v>
      </c>
      <c r="AU23" s="37" t="n">
        <v>1.16</v>
      </c>
      <c r="AV23" s="37" t="n">
        <v>0.91</v>
      </c>
      <c r="AW23" s="37" t="n">
        <v>0.91</v>
      </c>
      <c r="AX23" s="37" t="n">
        <v>1.09</v>
      </c>
      <c r="AY23" s="37" t="n">
        <v>0.91</v>
      </c>
      <c r="AZ23" s="37" t="n">
        <v>0.87</v>
      </c>
      <c r="BA23" s="37" t="n">
        <v>1.01</v>
      </c>
      <c r="BB23" s="37" t="n">
        <v>0.29</v>
      </c>
      <c r="BC23" s="37" t="n">
        <v>0.14</v>
      </c>
      <c r="BD23" s="37" t="n">
        <v>0.22</v>
      </c>
      <c r="BE23" s="37" t="n">
        <v>0.29</v>
      </c>
      <c r="BF23" s="37" t="n">
        <v>0.29</v>
      </c>
      <c r="BG23" s="37" t="n">
        <v>0.22</v>
      </c>
      <c r="BH23" s="37" t="n">
        <v>0.33</v>
      </c>
      <c r="BI23" s="37" t="n">
        <v>0.29</v>
      </c>
      <c r="BJ23" s="37" t="n">
        <v>0.07000000000000001</v>
      </c>
      <c r="BK23" s="37" t="n">
        <v>0.29</v>
      </c>
      <c r="BL23" s="37" t="n">
        <v>0.29</v>
      </c>
      <c r="BM23" s="37" t="n">
        <v>0.29</v>
      </c>
      <c r="BN23" s="37" t="n">
        <v>0.22</v>
      </c>
      <c r="BO23" s="37" t="n">
        <v>0.36</v>
      </c>
      <c r="BP23" s="37" t="n">
        <v>0.33</v>
      </c>
      <c r="BQ23" s="37" t="n">
        <v>0.29</v>
      </c>
      <c r="BR23" s="37" t="n">
        <v>0.29</v>
      </c>
      <c r="BS23" s="37" t="n">
        <v>0.29</v>
      </c>
      <c r="BT23" s="37" t="n">
        <v>0.29</v>
      </c>
      <c r="BU23" s="37" t="n">
        <v>0.22</v>
      </c>
      <c r="BV23" s="37" t="n">
        <v>0.33</v>
      </c>
      <c r="BW23" s="37" t="n">
        <v>0.29</v>
      </c>
      <c r="BX23" s="37" t="n">
        <v>0.29</v>
      </c>
      <c r="BY23" s="37" t="n">
        <v>0.29</v>
      </c>
      <c r="BZ23" s="37" t="n">
        <v>0.29</v>
      </c>
      <c r="CA23" s="37" t="n">
        <v>0.29</v>
      </c>
      <c r="CB23" s="37" t="n">
        <v>0.22</v>
      </c>
      <c r="CC23" s="37" t="n">
        <v>47.76999999999997</v>
      </c>
    </row>
    <row r="24" ht="15.75" customHeight="1" s="57">
      <c r="A24" s="7" t="inlineStr">
        <is>
          <t>NTB</t>
        </is>
      </c>
      <c r="B24" s="7" t="inlineStr">
        <is>
          <t>Bình Thuận</t>
        </is>
      </c>
      <c r="C24" s="7" t="n">
        <v>20687000</v>
      </c>
      <c r="D24" s="7" t="inlineStr">
        <is>
          <t>(BTH) Hàm Tân</t>
        </is>
      </c>
      <c r="E24" s="7" t="inlineStr">
        <is>
          <t>SME</t>
        </is>
      </c>
      <c r="F24" s="36" t="n">
        <v>8</v>
      </c>
      <c r="G24" s="36" t="n">
        <v>13</v>
      </c>
      <c r="H24" s="36" t="n">
        <v>29</v>
      </c>
      <c r="I24" s="36" t="n">
        <v>21</v>
      </c>
      <c r="J24" s="36" t="n">
        <v>11</v>
      </c>
      <c r="K24" s="28" t="n">
        <v>11</v>
      </c>
      <c r="L24" s="36" t="n">
        <v>16</v>
      </c>
      <c r="M24" s="36" t="n">
        <v>20</v>
      </c>
      <c r="N24" s="36" t="n">
        <v>22</v>
      </c>
      <c r="O24" s="36" t="n">
        <v>19</v>
      </c>
      <c r="P24" s="36" t="n">
        <v>16</v>
      </c>
      <c r="Q24" s="36" t="n">
        <v>17</v>
      </c>
      <c r="R24" s="28" t="n">
        <v>20</v>
      </c>
      <c r="S24" s="36" t="n">
        <v>18</v>
      </c>
      <c r="T24" s="36" t="n">
        <v>14</v>
      </c>
      <c r="U24" s="36" t="n">
        <v>24.37</v>
      </c>
      <c r="V24" s="36" t="n">
        <v>25.34</v>
      </c>
      <c r="W24" s="36" t="n">
        <v>24.61</v>
      </c>
      <c r="X24" s="36" t="n">
        <v>20.17</v>
      </c>
      <c r="Y24" s="28" t="n">
        <v>27.32</v>
      </c>
      <c r="Z24" s="36" t="n">
        <v>25.17</v>
      </c>
      <c r="AA24" s="36" t="n">
        <v>24.5</v>
      </c>
      <c r="AB24" s="36" t="n">
        <v>24.37</v>
      </c>
      <c r="AC24" s="36" t="n">
        <v>25.34</v>
      </c>
      <c r="AD24" s="36" t="n">
        <v>18.59</v>
      </c>
      <c r="AE24" s="36" t="n">
        <v>20.17</v>
      </c>
      <c r="AF24" s="28" t="n">
        <v>27.32</v>
      </c>
      <c r="AG24" s="36" t="n">
        <v>25.17</v>
      </c>
      <c r="AH24" s="37" t="n">
        <v>24.5</v>
      </c>
      <c r="AI24" s="37" t="n">
        <v>24.37</v>
      </c>
      <c r="AJ24" s="37" t="n">
        <v>25.34</v>
      </c>
      <c r="AK24" s="37" t="n">
        <v>24.61</v>
      </c>
      <c r="AL24" s="37" t="n">
        <v>20.17</v>
      </c>
      <c r="AM24" s="37" t="n">
        <v>27.32</v>
      </c>
      <c r="AN24" s="37" t="n">
        <v>25.17</v>
      </c>
      <c r="AO24" s="37" t="n">
        <v>24.5</v>
      </c>
      <c r="AP24" s="37" t="n">
        <v>24.37</v>
      </c>
      <c r="AQ24" s="37" t="n">
        <v>25.34</v>
      </c>
      <c r="AR24" s="37" t="n">
        <v>24.61</v>
      </c>
      <c r="AS24" s="37" t="n">
        <v>20.17</v>
      </c>
      <c r="AT24" s="37" t="n">
        <v>27.32</v>
      </c>
      <c r="AU24" s="37" t="n">
        <v>25.17</v>
      </c>
      <c r="AV24" s="37" t="n">
        <v>24.5</v>
      </c>
      <c r="AW24" s="37" t="n">
        <v>24.37</v>
      </c>
      <c r="AX24" s="37" t="n">
        <v>25.34</v>
      </c>
      <c r="AY24" s="37" t="n">
        <v>24.61</v>
      </c>
      <c r="AZ24" s="37" t="n">
        <v>20.17</v>
      </c>
      <c r="BA24" s="37" t="n">
        <v>25.95</v>
      </c>
      <c r="BB24" s="37" t="n">
        <v>23.02</v>
      </c>
      <c r="BC24" s="37" t="n">
        <v>14.02</v>
      </c>
      <c r="BD24" s="37" t="n">
        <v>10.89</v>
      </c>
      <c r="BE24" s="37" t="n">
        <v>23.75</v>
      </c>
      <c r="BF24" s="37" t="n">
        <v>23.1</v>
      </c>
      <c r="BG24" s="37" t="n">
        <v>20.77</v>
      </c>
      <c r="BH24" s="37" t="n">
        <v>28.14</v>
      </c>
      <c r="BI24" s="37" t="n">
        <v>25.96</v>
      </c>
      <c r="BJ24" s="37" t="n">
        <v>19.03</v>
      </c>
      <c r="BK24" s="37" t="n">
        <v>25.08</v>
      </c>
      <c r="BL24" s="37" t="n">
        <v>26.12</v>
      </c>
      <c r="BM24" s="37" t="n">
        <v>25.32</v>
      </c>
      <c r="BN24" s="37" t="n">
        <v>20.77</v>
      </c>
      <c r="BO24" s="37" t="n">
        <v>28.14</v>
      </c>
      <c r="BP24" s="37" t="n">
        <v>25.96</v>
      </c>
      <c r="BQ24" s="37" t="n">
        <v>25.21</v>
      </c>
      <c r="BR24" s="37" t="n">
        <v>25.08</v>
      </c>
      <c r="BS24" s="37" t="n">
        <v>26.12</v>
      </c>
      <c r="BT24" s="37" t="n">
        <v>25.32</v>
      </c>
      <c r="BU24" s="37" t="n">
        <v>20.77</v>
      </c>
      <c r="BV24" s="37" t="n">
        <v>28.14</v>
      </c>
      <c r="BW24" s="37" t="n">
        <v>25.96</v>
      </c>
      <c r="BX24" s="37" t="n">
        <v>25.21</v>
      </c>
      <c r="BY24" s="37" t="n">
        <v>25.08</v>
      </c>
      <c r="BZ24" s="37" t="n">
        <v>26.12</v>
      </c>
      <c r="CA24" s="37" t="n">
        <v>25.32</v>
      </c>
      <c r="CB24" s="37" t="n">
        <v>20.77</v>
      </c>
      <c r="CC24" s="37" t="n">
        <v>1694.51</v>
      </c>
    </row>
    <row r="25" ht="15.75" customHeight="1" s="57">
      <c r="A25" s="7" t="inlineStr">
        <is>
          <t>NTB</t>
        </is>
      </c>
      <c r="B25" s="7" t="inlineStr">
        <is>
          <t>Bình Thuận</t>
        </is>
      </c>
      <c r="C25" s="7" t="n">
        <v>20687000</v>
      </c>
      <c r="D25" s="7" t="inlineStr">
        <is>
          <t>(BTH) Hàm Tân</t>
        </is>
      </c>
      <c r="E25" s="7" t="inlineStr">
        <is>
          <t>SME-Bulky</t>
        </is>
      </c>
      <c r="F25" s="36" t="n">
        <v>1</v>
      </c>
      <c r="G25" s="36" t="n">
        <v>1</v>
      </c>
      <c r="H25" s="36" t="n">
        <v>1</v>
      </c>
      <c r="I25" s="36" t="n">
        <v>1</v>
      </c>
      <c r="J25" s="36" t="n">
        <v>4</v>
      </c>
      <c r="K25" s="28" t="n">
        <v>1</v>
      </c>
      <c r="L25" s="36" t="n">
        <v>2</v>
      </c>
      <c r="M25" s="36" t="n">
        <v>2</v>
      </c>
      <c r="N25" s="36" t="n">
        <v>0</v>
      </c>
      <c r="O25" s="36" t="n">
        <v>1</v>
      </c>
      <c r="P25" s="36" t="n">
        <v>2</v>
      </c>
      <c r="Q25" s="36" t="n">
        <v>2</v>
      </c>
      <c r="R25" s="28" t="n">
        <v>1</v>
      </c>
      <c r="S25" s="36" t="n">
        <v>0</v>
      </c>
      <c r="T25" s="36" t="n">
        <v>3</v>
      </c>
      <c r="U25" s="36" t="n">
        <v>1.95</v>
      </c>
      <c r="V25" s="36" t="n">
        <v>1.95</v>
      </c>
      <c r="W25" s="36" t="n">
        <v>1.9</v>
      </c>
      <c r="X25" s="36" t="n">
        <v>1.36</v>
      </c>
      <c r="Y25" s="28" t="n">
        <v>2.4</v>
      </c>
      <c r="Z25" s="36" t="n">
        <v>2.48</v>
      </c>
      <c r="AA25" s="36" t="n">
        <v>2.03</v>
      </c>
      <c r="AB25" s="36" t="n">
        <v>1.95</v>
      </c>
      <c r="AC25" s="36" t="n">
        <v>1.95</v>
      </c>
      <c r="AD25" s="36" t="n">
        <v>1.47</v>
      </c>
      <c r="AE25" s="36" t="n">
        <v>1.36</v>
      </c>
      <c r="AF25" s="28" t="n">
        <v>2.4</v>
      </c>
      <c r="AG25" s="36" t="n">
        <v>2.48</v>
      </c>
      <c r="AH25" s="37" t="n">
        <v>2.03</v>
      </c>
      <c r="AI25" s="37" t="n">
        <v>1.95</v>
      </c>
      <c r="AJ25" s="37" t="n">
        <v>1.95</v>
      </c>
      <c r="AK25" s="37" t="n">
        <v>1.9</v>
      </c>
      <c r="AL25" s="37" t="n">
        <v>1.36</v>
      </c>
      <c r="AM25" s="37" t="n">
        <v>2.4</v>
      </c>
      <c r="AN25" s="37" t="n">
        <v>2.48</v>
      </c>
      <c r="AO25" s="37" t="n">
        <v>2.03</v>
      </c>
      <c r="AP25" s="37" t="n">
        <v>1.95</v>
      </c>
      <c r="AQ25" s="37" t="n">
        <v>1.95</v>
      </c>
      <c r="AR25" s="37" t="n">
        <v>1.9</v>
      </c>
      <c r="AS25" s="37" t="n">
        <v>1.36</v>
      </c>
      <c r="AT25" s="37" t="n">
        <v>2.4</v>
      </c>
      <c r="AU25" s="37" t="n">
        <v>2.48</v>
      </c>
      <c r="AV25" s="37" t="n">
        <v>2.03</v>
      </c>
      <c r="AW25" s="37" t="n">
        <v>1.95</v>
      </c>
      <c r="AX25" s="37" t="n">
        <v>1.95</v>
      </c>
      <c r="AY25" s="37" t="n">
        <v>1.9</v>
      </c>
      <c r="AZ25" s="37" t="n">
        <v>1.36</v>
      </c>
      <c r="BA25" s="37" t="n">
        <v>2.48</v>
      </c>
      <c r="BB25" s="37" t="n">
        <v>1.39</v>
      </c>
      <c r="BC25" s="37" t="n">
        <v>0.67</v>
      </c>
      <c r="BD25" s="37" t="n">
        <v>0.37</v>
      </c>
      <c r="BE25" s="37" t="n">
        <v>1.1</v>
      </c>
      <c r="BF25" s="37" t="n">
        <v>1.07</v>
      </c>
      <c r="BG25" s="37" t="n">
        <v>0.75</v>
      </c>
      <c r="BH25" s="37" t="n">
        <v>1.34</v>
      </c>
      <c r="BI25" s="37" t="n">
        <v>1.39</v>
      </c>
      <c r="BJ25" s="37" t="n">
        <v>0.96</v>
      </c>
      <c r="BK25" s="37" t="n">
        <v>1.1</v>
      </c>
      <c r="BL25" s="37" t="n">
        <v>1.1</v>
      </c>
      <c r="BM25" s="37" t="n">
        <v>1.07</v>
      </c>
      <c r="BN25" s="37" t="n">
        <v>0.75</v>
      </c>
      <c r="BO25" s="37" t="n">
        <v>1.34</v>
      </c>
      <c r="BP25" s="37" t="n">
        <v>1.39</v>
      </c>
      <c r="BQ25" s="37" t="n">
        <v>1.15</v>
      </c>
      <c r="BR25" s="37" t="n">
        <v>1.1</v>
      </c>
      <c r="BS25" s="37" t="n">
        <v>1.1</v>
      </c>
      <c r="BT25" s="37" t="n">
        <v>1.07</v>
      </c>
      <c r="BU25" s="37" t="n">
        <v>0.75</v>
      </c>
      <c r="BV25" s="37" t="n">
        <v>1.34</v>
      </c>
      <c r="BW25" s="37" t="n">
        <v>1.39</v>
      </c>
      <c r="BX25" s="37" t="n">
        <v>1.15</v>
      </c>
      <c r="BY25" s="37" t="n">
        <v>1.1</v>
      </c>
      <c r="BZ25" s="37" t="n">
        <v>1.1</v>
      </c>
      <c r="CA25" s="37" t="n">
        <v>1.07</v>
      </c>
      <c r="CB25" s="37" t="n">
        <v>0.75</v>
      </c>
      <c r="CC25" s="37" t="n">
        <v>116.35</v>
      </c>
    </row>
    <row r="26" ht="15.75" customHeight="1" s="57">
      <c r="A26" s="7" t="inlineStr">
        <is>
          <t>NTB</t>
        </is>
      </c>
      <c r="B26" s="7" t="inlineStr">
        <is>
          <t>Bình Thuận</t>
        </is>
      </c>
      <c r="C26" s="7" t="n">
        <v>20687000</v>
      </c>
      <c r="D26" s="7" t="inlineStr">
        <is>
          <t>(BTH) Hàm Tân</t>
        </is>
      </c>
      <c r="E26" s="7" t="inlineStr">
        <is>
          <t>Shopee</t>
        </is>
      </c>
      <c r="F26" s="36" t="n">
        <v>18</v>
      </c>
      <c r="G26" s="36" t="n">
        <v>20</v>
      </c>
      <c r="H26" s="36" t="n">
        <v>19</v>
      </c>
      <c r="I26" s="36" t="n">
        <v>14</v>
      </c>
      <c r="J26" s="36" t="n">
        <v>16</v>
      </c>
      <c r="K26" s="28" t="n">
        <v>21</v>
      </c>
      <c r="L26" s="36" t="n">
        <v>28</v>
      </c>
      <c r="M26" s="36" t="n">
        <v>17</v>
      </c>
      <c r="N26" s="36" t="n">
        <v>25</v>
      </c>
      <c r="O26" s="36" t="n">
        <v>10</v>
      </c>
      <c r="P26" s="36" t="n">
        <v>4</v>
      </c>
      <c r="Q26" s="36" t="n">
        <v>26</v>
      </c>
      <c r="R26" s="28" t="n">
        <v>22</v>
      </c>
      <c r="S26" s="36" t="n">
        <v>22</v>
      </c>
      <c r="T26" s="36" t="n">
        <v>21</v>
      </c>
      <c r="U26" s="36" t="n">
        <v>20.25</v>
      </c>
      <c r="V26" s="36" t="n">
        <v>20.46</v>
      </c>
      <c r="W26" s="36" t="n">
        <v>19.38</v>
      </c>
      <c r="X26" s="36" t="n">
        <v>16.77</v>
      </c>
      <c r="Y26" s="28" t="n">
        <v>27.1</v>
      </c>
      <c r="Z26" s="36" t="n">
        <v>21.48</v>
      </c>
      <c r="AA26" s="36" t="n">
        <v>26.13</v>
      </c>
      <c r="AB26" s="36" t="n">
        <v>20.61</v>
      </c>
      <c r="AC26" s="36" t="n">
        <v>16.67</v>
      </c>
      <c r="AD26" s="36" t="n">
        <v>33.85</v>
      </c>
      <c r="AE26" s="36" t="n">
        <v>17.9</v>
      </c>
      <c r="AF26" s="28" t="n">
        <v>29.92</v>
      </c>
      <c r="AG26" s="36" t="n">
        <v>22.5</v>
      </c>
      <c r="AH26" s="37" t="n">
        <v>23.73</v>
      </c>
      <c r="AI26" s="37" t="n">
        <v>20.25</v>
      </c>
      <c r="AJ26" s="37" t="n">
        <v>20.46</v>
      </c>
      <c r="AK26" s="37" t="n">
        <v>21.32</v>
      </c>
      <c r="AL26" s="37" t="n">
        <v>30.22</v>
      </c>
      <c r="AM26" s="37" t="n">
        <v>27.1</v>
      </c>
      <c r="AN26" s="37" t="n">
        <v>21.48</v>
      </c>
      <c r="AO26" s="37" t="n">
        <v>23.73</v>
      </c>
      <c r="AP26" s="37" t="n">
        <v>21.89</v>
      </c>
      <c r="AQ26" s="37" t="n">
        <v>16.11</v>
      </c>
      <c r="AR26" s="37" t="n">
        <v>19.38</v>
      </c>
      <c r="AS26" s="37" t="n">
        <v>16.77</v>
      </c>
      <c r="AT26" s="37" t="n">
        <v>27.1</v>
      </c>
      <c r="AU26" s="37" t="n">
        <v>23.42</v>
      </c>
      <c r="AV26" s="37" t="n">
        <v>24.29</v>
      </c>
      <c r="AW26" s="37" t="n">
        <v>20.25</v>
      </c>
      <c r="AX26" s="37" t="n">
        <v>20.46</v>
      </c>
      <c r="AY26" s="37" t="n">
        <v>19.38</v>
      </c>
      <c r="AZ26" s="37" t="n">
        <v>16.77</v>
      </c>
      <c r="BA26" s="37" t="n">
        <v>23.11</v>
      </c>
      <c r="BB26" s="37" t="n">
        <v>16.36</v>
      </c>
      <c r="BC26" s="37" t="n">
        <v>7.26</v>
      </c>
      <c r="BD26" s="37" t="n">
        <v>11.92</v>
      </c>
      <c r="BE26" s="37" t="n">
        <v>24.29</v>
      </c>
      <c r="BF26" s="37" t="n">
        <v>23.47</v>
      </c>
      <c r="BG26" s="37" t="n">
        <v>16.72</v>
      </c>
      <c r="BH26" s="37" t="n">
        <v>26.08</v>
      </c>
      <c r="BI26" s="37" t="n">
        <v>17.23</v>
      </c>
      <c r="BJ26" s="37" t="n">
        <v>48.17</v>
      </c>
      <c r="BK26" s="37" t="n">
        <v>20.86</v>
      </c>
      <c r="BL26" s="37" t="n">
        <v>20.71</v>
      </c>
      <c r="BM26" s="37" t="n">
        <v>18.87</v>
      </c>
      <c r="BN26" s="37" t="n">
        <v>16.36</v>
      </c>
      <c r="BO26" s="37" t="n">
        <v>26.08</v>
      </c>
      <c r="BP26" s="37" t="n">
        <v>22.76</v>
      </c>
      <c r="BQ26" s="37" t="n">
        <v>34.67</v>
      </c>
      <c r="BR26" s="37" t="n">
        <v>19.69</v>
      </c>
      <c r="BS26" s="37" t="n">
        <v>19.89</v>
      </c>
      <c r="BT26" s="37" t="n">
        <v>18.87</v>
      </c>
      <c r="BU26" s="37" t="n">
        <v>17.95</v>
      </c>
      <c r="BV26" s="37" t="n">
        <v>21.07</v>
      </c>
      <c r="BW26" s="37" t="n">
        <v>20.86</v>
      </c>
      <c r="BX26" s="37" t="n">
        <v>22.96</v>
      </c>
      <c r="BY26" s="37" t="n">
        <v>19.69</v>
      </c>
      <c r="BZ26" s="37" t="n">
        <v>21.43</v>
      </c>
      <c r="CA26" s="37" t="n">
        <v>19.33</v>
      </c>
      <c r="CB26" s="37" t="n">
        <v>16.36</v>
      </c>
      <c r="CC26" s="37" t="n">
        <v>1583.15</v>
      </c>
    </row>
    <row r="27" ht="15.75" customHeight="1" s="57">
      <c r="A27" s="7" t="inlineStr">
        <is>
          <t>NTB</t>
        </is>
      </c>
      <c r="B27" s="7" t="inlineStr">
        <is>
          <t>Bình Thuận</t>
        </is>
      </c>
      <c r="C27" s="7" t="n">
        <v>20687000</v>
      </c>
      <c r="D27" s="7" t="inlineStr">
        <is>
          <t>(BTH) Hàm Tân</t>
        </is>
      </c>
      <c r="E27" s="7" t="inlineStr">
        <is>
          <t>Shopee-Bulky</t>
        </is>
      </c>
      <c r="F27" s="36" t="n">
        <v>2.36</v>
      </c>
      <c r="G27" s="36" t="n">
        <v>1.57</v>
      </c>
      <c r="H27" s="36" t="n">
        <v>0</v>
      </c>
      <c r="I27" s="36" t="n">
        <v>0</v>
      </c>
      <c r="J27" s="36" t="n">
        <v>0</v>
      </c>
      <c r="K27" s="28" t="n">
        <v>0</v>
      </c>
      <c r="L27" s="36" t="n">
        <v>1.57</v>
      </c>
      <c r="M27" s="36" t="n">
        <v>1.57</v>
      </c>
      <c r="N27" s="36" t="n">
        <v>1.57</v>
      </c>
      <c r="O27" s="36" t="n">
        <v>0</v>
      </c>
      <c r="P27" s="36" t="n">
        <v>15.71</v>
      </c>
      <c r="Q27" s="36" t="n">
        <v>0.79</v>
      </c>
      <c r="R27" s="28" t="n">
        <v>0.79</v>
      </c>
      <c r="S27" s="36" t="n">
        <v>2.36</v>
      </c>
      <c r="T27" s="36" t="n">
        <v>0.79</v>
      </c>
      <c r="U27" s="36" t="n">
        <v>1.04</v>
      </c>
      <c r="V27" s="36" t="n">
        <v>1.04</v>
      </c>
      <c r="W27" s="36" t="n">
        <v>1.27</v>
      </c>
      <c r="X27" s="36" t="n">
        <v>0.67</v>
      </c>
      <c r="Y27" s="28" t="n">
        <v>1.58</v>
      </c>
      <c r="Z27" s="36" t="n">
        <v>1.21</v>
      </c>
      <c r="AA27" s="36" t="n">
        <v>1.84</v>
      </c>
      <c r="AB27" s="36" t="n">
        <v>1.21</v>
      </c>
      <c r="AC27" s="36" t="n">
        <v>1.15</v>
      </c>
      <c r="AD27" s="36" t="n">
        <v>4.49</v>
      </c>
      <c r="AE27" s="36" t="n">
        <v>3.59</v>
      </c>
      <c r="AF27" s="28" t="n">
        <v>3.5</v>
      </c>
      <c r="AG27" s="36" t="n">
        <v>1.99</v>
      </c>
      <c r="AH27" s="37" t="n">
        <v>1.17</v>
      </c>
      <c r="AI27" s="37" t="n">
        <v>1.3</v>
      </c>
      <c r="AJ27" s="37" t="n">
        <v>1.12</v>
      </c>
      <c r="AK27" s="37" t="n">
        <v>2.57</v>
      </c>
      <c r="AL27" s="37" t="n">
        <v>1.15</v>
      </c>
      <c r="AM27" s="37" t="n">
        <v>2.14</v>
      </c>
      <c r="AN27" s="37" t="n">
        <v>1.19</v>
      </c>
      <c r="AO27" s="37" t="n">
        <v>1.19</v>
      </c>
      <c r="AP27" s="37" t="n">
        <v>2.14</v>
      </c>
      <c r="AQ27" s="37" t="n">
        <v>1.56</v>
      </c>
      <c r="AR27" s="37" t="n">
        <v>1.19</v>
      </c>
      <c r="AS27" s="37" t="n">
        <v>0.63</v>
      </c>
      <c r="AT27" s="37" t="n">
        <v>1.53</v>
      </c>
      <c r="AU27" s="37" t="n">
        <v>2.64</v>
      </c>
      <c r="AV27" s="37" t="n">
        <v>2.81</v>
      </c>
      <c r="AW27" s="37" t="n">
        <v>1.1</v>
      </c>
      <c r="AX27" s="37" t="n">
        <v>1.1</v>
      </c>
      <c r="AY27" s="37" t="n">
        <v>1.19</v>
      </c>
      <c r="AZ27" s="37" t="n">
        <v>0.63</v>
      </c>
      <c r="BA27" s="37" t="n">
        <v>1.36</v>
      </c>
      <c r="BB27" s="37" t="n">
        <v>0.89</v>
      </c>
      <c r="BC27" s="37" t="n">
        <v>0.11</v>
      </c>
      <c r="BD27" s="37" t="n">
        <v>0.35</v>
      </c>
      <c r="BE27" s="37" t="n">
        <v>1.38</v>
      </c>
      <c r="BF27" s="37" t="n">
        <v>1.15</v>
      </c>
      <c r="BG27" s="37" t="n">
        <v>0.73</v>
      </c>
      <c r="BH27" s="37" t="n">
        <v>1.66</v>
      </c>
      <c r="BI27" s="37" t="n">
        <v>1.28</v>
      </c>
      <c r="BJ27" s="37" t="n">
        <v>6.92</v>
      </c>
      <c r="BK27" s="37" t="n">
        <v>2.72</v>
      </c>
      <c r="BL27" s="37" t="n">
        <v>1.45</v>
      </c>
      <c r="BM27" s="37" t="n">
        <v>0.97</v>
      </c>
      <c r="BN27" s="37" t="n">
        <v>0.6899999999999999</v>
      </c>
      <c r="BO27" s="37" t="n">
        <v>1.92</v>
      </c>
      <c r="BP27" s="37" t="n">
        <v>2.72</v>
      </c>
      <c r="BQ27" s="37" t="n">
        <v>2.07</v>
      </c>
      <c r="BR27" s="37" t="n">
        <v>1.15</v>
      </c>
      <c r="BS27" s="37" t="n">
        <v>1.15</v>
      </c>
      <c r="BT27" s="37" t="n">
        <v>0.89</v>
      </c>
      <c r="BU27" s="37" t="n">
        <v>1.41</v>
      </c>
      <c r="BV27" s="37" t="n">
        <v>1.75</v>
      </c>
      <c r="BW27" s="37" t="n">
        <v>1.28</v>
      </c>
      <c r="BX27" s="37" t="n">
        <v>1.27</v>
      </c>
      <c r="BY27" s="37" t="n">
        <v>1.15</v>
      </c>
      <c r="BZ27" s="37" t="n">
        <v>2.36</v>
      </c>
      <c r="CA27" s="37" t="n">
        <v>1.15</v>
      </c>
      <c r="CB27" s="37" t="n">
        <v>0.71</v>
      </c>
      <c r="CC27" s="37" t="n">
        <v>124.65</v>
      </c>
    </row>
    <row r="28" ht="15.75" customHeight="1" s="57">
      <c r="A28" s="7" t="inlineStr">
        <is>
          <t>NTB</t>
        </is>
      </c>
      <c r="B28" s="7" t="inlineStr">
        <is>
          <t>Bình Thuận</t>
        </is>
      </c>
      <c r="C28" s="7" t="n">
        <v>20687000</v>
      </c>
      <c r="D28" s="7" t="inlineStr">
        <is>
          <t>(BTH) Hàm Tân</t>
        </is>
      </c>
      <c r="E28" s="7" t="inlineStr">
        <is>
          <t>Shopee-Bulky (10-15kg)</t>
        </is>
      </c>
      <c r="F28" s="36" t="n">
        <v>0.64</v>
      </c>
      <c r="G28" s="36" t="n">
        <v>0.43</v>
      </c>
      <c r="H28" s="36" t="n">
        <v>0</v>
      </c>
      <c r="I28" s="36" t="n">
        <v>0</v>
      </c>
      <c r="J28" s="36" t="n">
        <v>0</v>
      </c>
      <c r="K28" s="28" t="n">
        <v>0</v>
      </c>
      <c r="L28" s="36" t="n">
        <v>0.43</v>
      </c>
      <c r="M28" s="36" t="n">
        <v>0.43</v>
      </c>
      <c r="N28" s="36" t="n">
        <v>0.43</v>
      </c>
      <c r="O28" s="36" t="n">
        <v>0</v>
      </c>
      <c r="P28" s="36" t="n">
        <v>4.29</v>
      </c>
      <c r="Q28" s="36" t="n">
        <v>0.21</v>
      </c>
      <c r="R28" s="28" t="n">
        <v>0.21</v>
      </c>
      <c r="S28" s="36" t="n">
        <v>0.64</v>
      </c>
      <c r="T28" s="36" t="n">
        <v>0.21</v>
      </c>
      <c r="U28" s="36" t="n">
        <v>0.26</v>
      </c>
      <c r="V28" s="36" t="n">
        <v>0.24</v>
      </c>
      <c r="W28" s="36" t="n">
        <v>0.3</v>
      </c>
      <c r="X28" s="36" t="n">
        <v>0.15</v>
      </c>
      <c r="Y28" s="28" t="n">
        <v>0.41</v>
      </c>
      <c r="Z28" s="36" t="n">
        <v>0.28</v>
      </c>
      <c r="AA28" s="36" t="n">
        <v>0.41</v>
      </c>
      <c r="AB28" s="36" t="n">
        <v>0.28</v>
      </c>
      <c r="AC28" s="36" t="n">
        <v>0.3</v>
      </c>
      <c r="AD28" s="36" t="n">
        <v>1.84</v>
      </c>
      <c r="AE28" s="36" t="n">
        <v>0.82</v>
      </c>
      <c r="AF28" s="28" t="n">
        <v>0.6899999999999999</v>
      </c>
      <c r="AG28" s="36" t="n">
        <v>0.52</v>
      </c>
      <c r="AH28" s="37" t="n">
        <v>0.28</v>
      </c>
      <c r="AI28" s="37" t="n">
        <v>0.28</v>
      </c>
      <c r="AJ28" s="37" t="n">
        <v>0.24</v>
      </c>
      <c r="AK28" s="37" t="n">
        <v>0.6899999999999999</v>
      </c>
      <c r="AL28" s="37" t="n">
        <v>0.26</v>
      </c>
      <c r="AM28" s="37" t="n">
        <v>0.48</v>
      </c>
      <c r="AN28" s="37" t="n">
        <v>0.28</v>
      </c>
      <c r="AO28" s="37" t="n">
        <v>0.28</v>
      </c>
      <c r="AP28" s="37" t="n">
        <v>0.54</v>
      </c>
      <c r="AQ28" s="37" t="n">
        <v>0.33</v>
      </c>
      <c r="AR28" s="37" t="n">
        <v>0.28</v>
      </c>
      <c r="AS28" s="37" t="n">
        <v>0.11</v>
      </c>
      <c r="AT28" s="37" t="n">
        <v>0.35</v>
      </c>
      <c r="AU28" s="37" t="n">
        <v>0.61</v>
      </c>
      <c r="AV28" s="37" t="n">
        <v>0.73</v>
      </c>
      <c r="AW28" s="37" t="n">
        <v>0.28</v>
      </c>
      <c r="AX28" s="37" t="n">
        <v>0.24</v>
      </c>
      <c r="AY28" s="37" t="n">
        <v>0.26</v>
      </c>
      <c r="AZ28" s="37" t="n">
        <v>0.11</v>
      </c>
      <c r="BA28" s="37" t="n">
        <v>0.32</v>
      </c>
      <c r="BB28" s="37" t="n">
        <v>0.2</v>
      </c>
      <c r="BC28" s="37" t="n">
        <v>0.04</v>
      </c>
      <c r="BD28" s="37" t="n">
        <v>0.07000000000000001</v>
      </c>
      <c r="BE28" s="37" t="n">
        <v>0.3</v>
      </c>
      <c r="BF28" s="37" t="n">
        <v>0.26</v>
      </c>
      <c r="BG28" s="37" t="n">
        <v>0.13</v>
      </c>
      <c r="BH28" s="37" t="n">
        <v>0.37</v>
      </c>
      <c r="BI28" s="37" t="n">
        <v>0.3</v>
      </c>
      <c r="BJ28" s="37" t="n">
        <v>2.16</v>
      </c>
      <c r="BK28" s="37" t="n">
        <v>0.78</v>
      </c>
      <c r="BL28" s="37" t="n">
        <v>0.37</v>
      </c>
      <c r="BM28" s="37" t="n">
        <v>0.24</v>
      </c>
      <c r="BN28" s="37" t="n">
        <v>0.13</v>
      </c>
      <c r="BO28" s="37" t="n">
        <v>0.5600000000000001</v>
      </c>
      <c r="BP28" s="37" t="n">
        <v>0.78</v>
      </c>
      <c r="BQ28" s="37" t="n">
        <v>0.6</v>
      </c>
      <c r="BR28" s="37" t="n">
        <v>0.32</v>
      </c>
      <c r="BS28" s="37" t="n">
        <v>0.26</v>
      </c>
      <c r="BT28" s="37" t="n">
        <v>0.2</v>
      </c>
      <c r="BU28" s="37" t="n">
        <v>0.33</v>
      </c>
      <c r="BV28" s="37" t="n">
        <v>0.41</v>
      </c>
      <c r="BW28" s="37" t="n">
        <v>0.3</v>
      </c>
      <c r="BX28" s="37" t="n">
        <v>0.3</v>
      </c>
      <c r="BY28" s="37" t="n">
        <v>0.32</v>
      </c>
      <c r="BZ28" s="37" t="n">
        <v>0.71</v>
      </c>
      <c r="CA28" s="37" t="n">
        <v>0.3</v>
      </c>
      <c r="CB28" s="37" t="n">
        <v>0.13</v>
      </c>
      <c r="CC28" s="37" t="n">
        <v>32.24000000000001</v>
      </c>
    </row>
    <row r="29" ht="15.75" customHeight="1" s="57">
      <c r="A29" s="7" t="inlineStr">
        <is>
          <t>NTB</t>
        </is>
      </c>
      <c r="B29" s="7" t="inlineStr">
        <is>
          <t>Bình Thuận</t>
        </is>
      </c>
      <c r="C29" s="7" t="n">
        <v>20687000</v>
      </c>
      <c r="D29" s="7" t="inlineStr">
        <is>
          <t>(BTH) Hàm Tân</t>
        </is>
      </c>
      <c r="E29" s="7" t="inlineStr">
        <is>
          <t>TTS</t>
        </is>
      </c>
      <c r="F29" s="36" t="n">
        <v>197</v>
      </c>
      <c r="G29" s="36" t="n">
        <v>170</v>
      </c>
      <c r="H29" s="36" t="n">
        <v>136</v>
      </c>
      <c r="I29" s="36" t="n">
        <v>148</v>
      </c>
      <c r="J29" s="36" t="n">
        <v>93</v>
      </c>
      <c r="K29" s="28" t="n">
        <v>21</v>
      </c>
      <c r="L29" s="36" t="n">
        <v>9</v>
      </c>
      <c r="M29" s="36" t="n">
        <v>5</v>
      </c>
      <c r="N29" s="36" t="n">
        <v>4</v>
      </c>
      <c r="O29" s="36" t="n">
        <v>118</v>
      </c>
      <c r="P29" s="36" t="n">
        <v>175</v>
      </c>
      <c r="Q29" s="36" t="n">
        <v>64</v>
      </c>
      <c r="R29" s="28" t="n">
        <v>66</v>
      </c>
      <c r="S29" s="36" t="n">
        <v>74</v>
      </c>
      <c r="T29" s="36" t="n">
        <v>114</v>
      </c>
      <c r="U29" s="36" t="n">
        <v>123.25</v>
      </c>
      <c r="V29" s="36" t="n">
        <v>121.65</v>
      </c>
      <c r="W29" s="36" t="n">
        <v>118.53</v>
      </c>
      <c r="X29" s="36" t="n">
        <v>95.02</v>
      </c>
      <c r="Y29" s="28" t="n">
        <v>139.28</v>
      </c>
      <c r="Z29" s="36" t="n">
        <v>118.53</v>
      </c>
      <c r="AA29" s="36" t="n">
        <v>131.18</v>
      </c>
      <c r="AB29" s="36" t="n">
        <v>146.58</v>
      </c>
      <c r="AC29" s="36" t="n">
        <v>154.69</v>
      </c>
      <c r="AD29" s="36" t="n">
        <v>130.02</v>
      </c>
      <c r="AE29" s="36" t="n">
        <v>110.34</v>
      </c>
      <c r="AF29" s="28" t="n">
        <v>143.47</v>
      </c>
      <c r="AG29" s="36" t="n">
        <v>120.49</v>
      </c>
      <c r="AH29" s="37" t="n">
        <v>119.6</v>
      </c>
      <c r="AI29" s="37" t="n">
        <v>137.23</v>
      </c>
      <c r="AJ29" s="37" t="n">
        <v>147.65</v>
      </c>
      <c r="AK29" s="37" t="n">
        <v>145.34</v>
      </c>
      <c r="AL29" s="37" t="n">
        <v>102.86</v>
      </c>
      <c r="AM29" s="37" t="n">
        <v>141.68</v>
      </c>
      <c r="AN29" s="37" t="n">
        <v>122</v>
      </c>
      <c r="AO29" s="37" t="n">
        <v>121.02</v>
      </c>
      <c r="AP29" s="37" t="n">
        <v>118.26</v>
      </c>
      <c r="AQ29" s="37" t="n">
        <v>119.15</v>
      </c>
      <c r="AR29" s="37" t="n">
        <v>117.11</v>
      </c>
      <c r="AS29" s="37" t="n">
        <v>95.2</v>
      </c>
      <c r="AT29" s="37" t="n">
        <v>152.9</v>
      </c>
      <c r="AU29" s="37" t="n">
        <v>138.21</v>
      </c>
      <c r="AV29" s="37" t="n">
        <v>123.16</v>
      </c>
      <c r="AW29" s="37" t="n">
        <v>116.84</v>
      </c>
      <c r="AX29" s="37" t="n">
        <v>116.04</v>
      </c>
      <c r="AY29" s="37" t="n">
        <v>115.24</v>
      </c>
      <c r="AZ29" s="37" t="n">
        <v>95.64</v>
      </c>
      <c r="BA29" s="37" t="n">
        <v>137.94</v>
      </c>
      <c r="BB29" s="37" t="n">
        <v>128.68</v>
      </c>
      <c r="BC29" s="37" t="n">
        <v>65.09999999999999</v>
      </c>
      <c r="BD29" s="37" t="n">
        <v>92.97</v>
      </c>
      <c r="BE29" s="37" t="n">
        <v>215.95</v>
      </c>
      <c r="BF29" s="37" t="n">
        <v>209.99</v>
      </c>
      <c r="BG29" s="37" t="n">
        <v>102.86</v>
      </c>
      <c r="BH29" s="37" t="n">
        <v>152.73</v>
      </c>
      <c r="BI29" s="37" t="n">
        <v>128.68</v>
      </c>
      <c r="BJ29" s="37" t="n">
        <v>98.31</v>
      </c>
      <c r="BK29" s="37" t="n">
        <v>131</v>
      </c>
      <c r="BL29" s="37" t="n">
        <v>131.18</v>
      </c>
      <c r="BM29" s="37" t="n">
        <v>127.35</v>
      </c>
      <c r="BN29" s="37" t="n">
        <v>102.86</v>
      </c>
      <c r="BO29" s="37" t="n">
        <v>152.73</v>
      </c>
      <c r="BP29" s="37" t="n">
        <v>128.68</v>
      </c>
      <c r="BQ29" s="37" t="n">
        <v>127.61</v>
      </c>
      <c r="BR29" s="37" t="n">
        <v>131</v>
      </c>
      <c r="BS29" s="37" t="n">
        <v>131.18</v>
      </c>
      <c r="BT29" s="37" t="n">
        <v>127.35</v>
      </c>
      <c r="BU29" s="37" t="n">
        <v>102.86</v>
      </c>
      <c r="BV29" s="37" t="n">
        <v>152.73</v>
      </c>
      <c r="BW29" s="37" t="n">
        <v>128.68</v>
      </c>
      <c r="BX29" s="37" t="n">
        <v>127.61</v>
      </c>
      <c r="BY29" s="37" t="n">
        <v>131</v>
      </c>
      <c r="BZ29" s="37" t="n">
        <v>131.18</v>
      </c>
      <c r="CA29" s="37" t="n">
        <v>127.35</v>
      </c>
      <c r="CB29" s="37" t="n">
        <v>102.86</v>
      </c>
      <c r="CC29" s="37" t="n">
        <v>9020.580000000002</v>
      </c>
    </row>
    <row r="30" ht="15.75" customHeight="1" s="57">
      <c r="A30" s="7" t="inlineStr">
        <is>
          <t>NTB</t>
        </is>
      </c>
      <c r="B30" s="7" t="inlineStr">
        <is>
          <t>Bình Thuận</t>
        </is>
      </c>
      <c r="C30" s="7" t="n">
        <v>21065000</v>
      </c>
      <c r="D30" s="7" t="inlineStr">
        <is>
          <t>(BTH) Hàm Thuận Nam</t>
        </is>
      </c>
      <c r="E30" s="7" t="inlineStr">
        <is>
          <t>SME</t>
        </is>
      </c>
      <c r="F30" s="36" t="n">
        <v>17</v>
      </c>
      <c r="G30" s="36" t="n">
        <v>15</v>
      </c>
      <c r="H30" s="36" t="n">
        <v>12</v>
      </c>
      <c r="I30" s="36" t="n">
        <v>15</v>
      </c>
      <c r="J30" s="36" t="n">
        <v>9</v>
      </c>
      <c r="K30" s="28" t="n">
        <v>21</v>
      </c>
      <c r="L30" s="36" t="n">
        <v>14</v>
      </c>
      <c r="M30" s="36" t="n">
        <v>10</v>
      </c>
      <c r="N30" s="36" t="n">
        <v>10</v>
      </c>
      <c r="O30" s="36" t="n">
        <v>9</v>
      </c>
      <c r="P30" s="36" t="n">
        <v>9</v>
      </c>
      <c r="Q30" s="36" t="n">
        <v>11</v>
      </c>
      <c r="R30" s="28" t="n">
        <v>8</v>
      </c>
      <c r="S30" s="36" t="n">
        <v>14</v>
      </c>
      <c r="T30" s="36" t="n">
        <v>13</v>
      </c>
      <c r="U30" s="36" t="n">
        <v>14.54</v>
      </c>
      <c r="V30" s="36" t="n">
        <v>15.12</v>
      </c>
      <c r="W30" s="36" t="n">
        <v>14.7</v>
      </c>
      <c r="X30" s="36" t="n">
        <v>12.01</v>
      </c>
      <c r="Y30" s="28" t="n">
        <v>16.33</v>
      </c>
      <c r="Z30" s="36" t="n">
        <v>15.02</v>
      </c>
      <c r="AA30" s="36" t="n">
        <v>14.63</v>
      </c>
      <c r="AB30" s="36" t="n">
        <v>14.54</v>
      </c>
      <c r="AC30" s="36" t="n">
        <v>15.12</v>
      </c>
      <c r="AD30" s="36" t="n">
        <v>11.32</v>
      </c>
      <c r="AE30" s="36" t="n">
        <v>12.01</v>
      </c>
      <c r="AF30" s="28" t="n">
        <v>16.33</v>
      </c>
      <c r="AG30" s="36" t="n">
        <v>15.02</v>
      </c>
      <c r="AH30" s="37" t="n">
        <v>14.63</v>
      </c>
      <c r="AI30" s="37" t="n">
        <v>14.54</v>
      </c>
      <c r="AJ30" s="37" t="n">
        <v>15.12</v>
      </c>
      <c r="AK30" s="37" t="n">
        <v>14.7</v>
      </c>
      <c r="AL30" s="37" t="n">
        <v>12.01</v>
      </c>
      <c r="AM30" s="37" t="n">
        <v>16.33</v>
      </c>
      <c r="AN30" s="37" t="n">
        <v>15.02</v>
      </c>
      <c r="AO30" s="37" t="n">
        <v>14.63</v>
      </c>
      <c r="AP30" s="37" t="n">
        <v>14.54</v>
      </c>
      <c r="AQ30" s="37" t="n">
        <v>15.12</v>
      </c>
      <c r="AR30" s="37" t="n">
        <v>14.7</v>
      </c>
      <c r="AS30" s="37" t="n">
        <v>12.01</v>
      </c>
      <c r="AT30" s="37" t="n">
        <v>16.33</v>
      </c>
      <c r="AU30" s="37" t="n">
        <v>15.02</v>
      </c>
      <c r="AV30" s="37" t="n">
        <v>14.63</v>
      </c>
      <c r="AW30" s="37" t="n">
        <v>14.54</v>
      </c>
      <c r="AX30" s="37" t="n">
        <v>15.12</v>
      </c>
      <c r="AY30" s="37" t="n">
        <v>14.7</v>
      </c>
      <c r="AZ30" s="37" t="n">
        <v>12.01</v>
      </c>
      <c r="BA30" s="37" t="n">
        <v>15.48</v>
      </c>
      <c r="BB30" s="37" t="n">
        <v>13.74</v>
      </c>
      <c r="BC30" s="37" t="n">
        <v>8.34</v>
      </c>
      <c r="BD30" s="37" t="n">
        <v>6.42</v>
      </c>
      <c r="BE30" s="37" t="n">
        <v>14.16</v>
      </c>
      <c r="BF30" s="37" t="n">
        <v>13.79</v>
      </c>
      <c r="BG30" s="37" t="n">
        <v>12.36</v>
      </c>
      <c r="BH30" s="37" t="n">
        <v>16.8</v>
      </c>
      <c r="BI30" s="37" t="n">
        <v>15.48</v>
      </c>
      <c r="BJ30" s="37" t="n">
        <v>11.57</v>
      </c>
      <c r="BK30" s="37" t="n">
        <v>14.95</v>
      </c>
      <c r="BL30" s="37" t="n">
        <v>15.56</v>
      </c>
      <c r="BM30" s="37" t="n">
        <v>15.11</v>
      </c>
      <c r="BN30" s="37" t="n">
        <v>12.36</v>
      </c>
      <c r="BO30" s="37" t="n">
        <v>16.8</v>
      </c>
      <c r="BP30" s="37" t="n">
        <v>15.48</v>
      </c>
      <c r="BQ30" s="37" t="n">
        <v>15.04</v>
      </c>
      <c r="BR30" s="37" t="n">
        <v>14.95</v>
      </c>
      <c r="BS30" s="37" t="n">
        <v>15.56</v>
      </c>
      <c r="BT30" s="37" t="n">
        <v>15.11</v>
      </c>
      <c r="BU30" s="37" t="n">
        <v>12.36</v>
      </c>
      <c r="BV30" s="37" t="n">
        <v>16.8</v>
      </c>
      <c r="BW30" s="37" t="n">
        <v>15.48</v>
      </c>
      <c r="BX30" s="37" t="n">
        <v>15.04</v>
      </c>
      <c r="BY30" s="37" t="n">
        <v>14.95</v>
      </c>
      <c r="BZ30" s="37" t="n">
        <v>15.56</v>
      </c>
      <c r="CA30" s="37" t="n">
        <v>15.11</v>
      </c>
      <c r="CB30" s="37" t="n">
        <v>12.36</v>
      </c>
      <c r="CC30" s="37" t="n">
        <v>1046.11</v>
      </c>
    </row>
    <row r="31" ht="15.75" customHeight="1" s="57">
      <c r="A31" s="7" t="inlineStr">
        <is>
          <t>NTB</t>
        </is>
      </c>
      <c r="B31" s="7" t="inlineStr">
        <is>
          <t>Bình Thuận</t>
        </is>
      </c>
      <c r="C31" s="7" t="n">
        <v>21065000</v>
      </c>
      <c r="D31" s="7" t="inlineStr">
        <is>
          <t>(BTH) Hàm Thuận Nam</t>
        </is>
      </c>
      <c r="E31" s="7" t="inlineStr">
        <is>
          <t>SME-Bulky</t>
        </is>
      </c>
      <c r="F31" s="36" t="n">
        <v>1</v>
      </c>
      <c r="G31" s="36" t="n">
        <v>3</v>
      </c>
      <c r="H31" s="36" t="n">
        <v>0</v>
      </c>
      <c r="I31" s="36" t="n">
        <v>0</v>
      </c>
      <c r="J31" s="36" t="n">
        <v>2</v>
      </c>
      <c r="K31" s="28" t="n">
        <v>2</v>
      </c>
      <c r="L31" s="36" t="n">
        <v>1</v>
      </c>
      <c r="M31" s="36" t="n">
        <v>2</v>
      </c>
      <c r="N31" s="36" t="n">
        <v>1</v>
      </c>
      <c r="O31" s="36" t="n">
        <v>1</v>
      </c>
      <c r="P31" s="36" t="n">
        <v>0</v>
      </c>
      <c r="Q31" s="36" t="n">
        <v>1</v>
      </c>
      <c r="R31" s="28" t="n">
        <v>2</v>
      </c>
      <c r="S31" s="36" t="n">
        <v>1</v>
      </c>
      <c r="T31" s="36" t="n">
        <v>4</v>
      </c>
      <c r="U31" s="36" t="n">
        <v>2.14</v>
      </c>
      <c r="V31" s="36" t="n">
        <v>2.14</v>
      </c>
      <c r="W31" s="36" t="n">
        <v>2.08</v>
      </c>
      <c r="X31" s="36" t="n">
        <v>1.49</v>
      </c>
      <c r="Y31" s="28" t="n">
        <v>2.63</v>
      </c>
      <c r="Z31" s="36" t="n">
        <v>2.72</v>
      </c>
      <c r="AA31" s="36" t="n">
        <v>2.22</v>
      </c>
      <c r="AB31" s="36" t="n">
        <v>2.14</v>
      </c>
      <c r="AC31" s="36" t="n">
        <v>2.14</v>
      </c>
      <c r="AD31" s="36" t="n">
        <v>1.61</v>
      </c>
      <c r="AE31" s="36" t="n">
        <v>1.49</v>
      </c>
      <c r="AF31" s="28" t="n">
        <v>2.63</v>
      </c>
      <c r="AG31" s="36" t="n">
        <v>2.72</v>
      </c>
      <c r="AH31" s="37" t="n">
        <v>2.22</v>
      </c>
      <c r="AI31" s="37" t="n">
        <v>2.14</v>
      </c>
      <c r="AJ31" s="37" t="n">
        <v>2.14</v>
      </c>
      <c r="AK31" s="37" t="n">
        <v>2.08</v>
      </c>
      <c r="AL31" s="37" t="n">
        <v>1.49</v>
      </c>
      <c r="AM31" s="37" t="n">
        <v>2.63</v>
      </c>
      <c r="AN31" s="37" t="n">
        <v>2.72</v>
      </c>
      <c r="AO31" s="37" t="n">
        <v>2.22</v>
      </c>
      <c r="AP31" s="37" t="n">
        <v>2.14</v>
      </c>
      <c r="AQ31" s="37" t="n">
        <v>2.14</v>
      </c>
      <c r="AR31" s="37" t="n">
        <v>2.08</v>
      </c>
      <c r="AS31" s="37" t="n">
        <v>1.49</v>
      </c>
      <c r="AT31" s="37" t="n">
        <v>2.63</v>
      </c>
      <c r="AU31" s="37" t="n">
        <v>2.72</v>
      </c>
      <c r="AV31" s="37" t="n">
        <v>2.22</v>
      </c>
      <c r="AW31" s="37" t="n">
        <v>2.14</v>
      </c>
      <c r="AX31" s="37" t="n">
        <v>2.14</v>
      </c>
      <c r="AY31" s="37" t="n">
        <v>2.08</v>
      </c>
      <c r="AZ31" s="37" t="n">
        <v>1.49</v>
      </c>
      <c r="BA31" s="37" t="n">
        <v>2.72</v>
      </c>
      <c r="BB31" s="37" t="n">
        <v>1.52</v>
      </c>
      <c r="BC31" s="37" t="n">
        <v>0.73</v>
      </c>
      <c r="BD31" s="37" t="n">
        <v>0.41</v>
      </c>
      <c r="BE31" s="37" t="n">
        <v>1.2</v>
      </c>
      <c r="BF31" s="37" t="n">
        <v>1.17</v>
      </c>
      <c r="BG31" s="37" t="n">
        <v>0.82</v>
      </c>
      <c r="BH31" s="37" t="n">
        <v>1.46</v>
      </c>
      <c r="BI31" s="37" t="n">
        <v>1.52</v>
      </c>
      <c r="BJ31" s="37" t="n">
        <v>1.05</v>
      </c>
      <c r="BK31" s="37" t="n">
        <v>1.2</v>
      </c>
      <c r="BL31" s="37" t="n">
        <v>1.2</v>
      </c>
      <c r="BM31" s="37" t="n">
        <v>1.17</v>
      </c>
      <c r="BN31" s="37" t="n">
        <v>0.82</v>
      </c>
      <c r="BO31" s="37" t="n">
        <v>1.46</v>
      </c>
      <c r="BP31" s="37" t="n">
        <v>1.52</v>
      </c>
      <c r="BQ31" s="37" t="n">
        <v>1.26</v>
      </c>
      <c r="BR31" s="37" t="n">
        <v>1.2</v>
      </c>
      <c r="BS31" s="37" t="n">
        <v>1.2</v>
      </c>
      <c r="BT31" s="37" t="n">
        <v>1.17</v>
      </c>
      <c r="BU31" s="37" t="n">
        <v>0.82</v>
      </c>
      <c r="BV31" s="37" t="n">
        <v>1.46</v>
      </c>
      <c r="BW31" s="37" t="n">
        <v>1.52</v>
      </c>
      <c r="BX31" s="37" t="n">
        <v>1.26</v>
      </c>
      <c r="BY31" s="37" t="n">
        <v>1.2</v>
      </c>
      <c r="BZ31" s="37" t="n">
        <v>1.2</v>
      </c>
      <c r="CA31" s="37" t="n">
        <v>1.17</v>
      </c>
      <c r="CB31" s="37" t="n">
        <v>0.82</v>
      </c>
      <c r="CC31" s="37" t="n">
        <v>124.31</v>
      </c>
    </row>
    <row r="32" ht="15.75" customHeight="1" s="57">
      <c r="A32" s="7" t="inlineStr">
        <is>
          <t>NTB</t>
        </is>
      </c>
      <c r="B32" s="7" t="inlineStr">
        <is>
          <t>Bình Thuận</t>
        </is>
      </c>
      <c r="C32" s="7" t="n">
        <v>21065000</v>
      </c>
      <c r="D32" s="7" t="inlineStr">
        <is>
          <t>(BTH) Hàm Thuận Nam</t>
        </is>
      </c>
      <c r="E32" s="7" t="inlineStr">
        <is>
          <t>Shopee</t>
        </is>
      </c>
      <c r="F32" s="36" t="n">
        <v>3</v>
      </c>
      <c r="G32" s="36" t="n">
        <v>6</v>
      </c>
      <c r="H32" s="36" t="n">
        <v>2</v>
      </c>
      <c r="I32" s="36" t="n">
        <v>0</v>
      </c>
      <c r="J32" s="36" t="n">
        <v>3</v>
      </c>
      <c r="K32" s="28" t="n">
        <v>3</v>
      </c>
      <c r="L32" s="36" t="n">
        <v>2</v>
      </c>
      <c r="M32" s="36" t="n">
        <v>7</v>
      </c>
      <c r="N32" s="36" t="n">
        <v>4</v>
      </c>
      <c r="O32" s="36" t="n">
        <v>0</v>
      </c>
      <c r="P32" s="36" t="n">
        <v>1</v>
      </c>
      <c r="Q32" s="36" t="n">
        <v>3</v>
      </c>
      <c r="R32" s="28" t="n">
        <v>2</v>
      </c>
      <c r="S32" s="36" t="n">
        <v>1</v>
      </c>
      <c r="T32" s="36" t="n">
        <v>2</v>
      </c>
      <c r="U32" s="36" t="n">
        <v>1.77</v>
      </c>
      <c r="V32" s="36" t="n">
        <v>1.79</v>
      </c>
      <c r="W32" s="36" t="n">
        <v>1.7</v>
      </c>
      <c r="X32" s="36" t="n">
        <v>1.47</v>
      </c>
      <c r="Y32" s="28" t="n">
        <v>2.37</v>
      </c>
      <c r="Z32" s="36" t="n">
        <v>1.88</v>
      </c>
      <c r="AA32" s="36" t="n">
        <v>2.29</v>
      </c>
      <c r="AB32" s="36" t="n">
        <v>1.81</v>
      </c>
      <c r="AC32" s="36" t="n">
        <v>1.46</v>
      </c>
      <c r="AD32" s="36" t="n">
        <v>2.97</v>
      </c>
      <c r="AE32" s="36" t="n">
        <v>1.57</v>
      </c>
      <c r="AF32" s="28" t="n">
        <v>2.62</v>
      </c>
      <c r="AG32" s="36" t="n">
        <v>1.97</v>
      </c>
      <c r="AH32" s="37" t="n">
        <v>2.08</v>
      </c>
      <c r="AI32" s="37" t="n">
        <v>1.77</v>
      </c>
      <c r="AJ32" s="37" t="n">
        <v>1.79</v>
      </c>
      <c r="AK32" s="37" t="n">
        <v>1.87</v>
      </c>
      <c r="AL32" s="37" t="n">
        <v>2.65</v>
      </c>
      <c r="AM32" s="37" t="n">
        <v>2.37</v>
      </c>
      <c r="AN32" s="37" t="n">
        <v>1.88</v>
      </c>
      <c r="AO32" s="37" t="n">
        <v>2.08</v>
      </c>
      <c r="AP32" s="37" t="n">
        <v>1.92</v>
      </c>
      <c r="AQ32" s="37" t="n">
        <v>1.41</v>
      </c>
      <c r="AR32" s="37" t="n">
        <v>1.7</v>
      </c>
      <c r="AS32" s="37" t="n">
        <v>1.47</v>
      </c>
      <c r="AT32" s="37" t="n">
        <v>2.37</v>
      </c>
      <c r="AU32" s="37" t="n">
        <v>2.05</v>
      </c>
      <c r="AV32" s="37" t="n">
        <v>2.13</v>
      </c>
      <c r="AW32" s="37" t="n">
        <v>1.77</v>
      </c>
      <c r="AX32" s="37" t="n">
        <v>1.79</v>
      </c>
      <c r="AY32" s="37" t="n">
        <v>1.7</v>
      </c>
      <c r="AZ32" s="37" t="n">
        <v>1.47</v>
      </c>
      <c r="BA32" s="37" t="n">
        <v>2.02</v>
      </c>
      <c r="BB32" s="37" t="n">
        <v>1.43</v>
      </c>
      <c r="BC32" s="37" t="n">
        <v>0.64</v>
      </c>
      <c r="BD32" s="37" t="n">
        <v>1.04</v>
      </c>
      <c r="BE32" s="37" t="n">
        <v>2.13</v>
      </c>
      <c r="BF32" s="37" t="n">
        <v>2.06</v>
      </c>
      <c r="BG32" s="37" t="n">
        <v>1.46</v>
      </c>
      <c r="BH32" s="37" t="n">
        <v>2.28</v>
      </c>
      <c r="BI32" s="37" t="n">
        <v>1.51</v>
      </c>
      <c r="BJ32" s="37" t="n">
        <v>4.22</v>
      </c>
      <c r="BK32" s="37" t="n">
        <v>1.83</v>
      </c>
      <c r="BL32" s="37" t="n">
        <v>1.81</v>
      </c>
      <c r="BM32" s="37" t="n">
        <v>1.65</v>
      </c>
      <c r="BN32" s="37" t="n">
        <v>1.43</v>
      </c>
      <c r="BO32" s="37" t="n">
        <v>2.28</v>
      </c>
      <c r="BP32" s="37" t="n">
        <v>1.99</v>
      </c>
      <c r="BQ32" s="37" t="n">
        <v>3.04</v>
      </c>
      <c r="BR32" s="37" t="n">
        <v>1.72</v>
      </c>
      <c r="BS32" s="37" t="n">
        <v>1.74</v>
      </c>
      <c r="BT32" s="37" t="n">
        <v>1.65</v>
      </c>
      <c r="BU32" s="37" t="n">
        <v>1.57</v>
      </c>
      <c r="BV32" s="37" t="n">
        <v>1.85</v>
      </c>
      <c r="BW32" s="37" t="n">
        <v>1.83</v>
      </c>
      <c r="BX32" s="37" t="n">
        <v>2.01</v>
      </c>
      <c r="BY32" s="37" t="n">
        <v>1.72</v>
      </c>
      <c r="BZ32" s="37" t="n">
        <v>1.88</v>
      </c>
      <c r="CA32" s="37" t="n">
        <v>1.69</v>
      </c>
      <c r="CB32" s="37" t="n">
        <v>1.43</v>
      </c>
      <c r="CC32" s="37" t="n">
        <v>152.85</v>
      </c>
    </row>
    <row r="33" ht="15.75" customHeight="1" s="57">
      <c r="A33" s="7" t="inlineStr">
        <is>
          <t>NTB</t>
        </is>
      </c>
      <c r="B33" s="7" t="inlineStr">
        <is>
          <t>Bình Thuận</t>
        </is>
      </c>
      <c r="C33" s="7" t="n">
        <v>21065000</v>
      </c>
      <c r="D33" s="7" t="inlineStr">
        <is>
          <t>(BTH) Hàm Thuận Nam</t>
        </is>
      </c>
      <c r="E33" s="7" t="inlineStr">
        <is>
          <t>Shopee-Bulky</t>
        </is>
      </c>
      <c r="F33" s="36" t="n">
        <v>0.79</v>
      </c>
      <c r="G33" s="36" t="n">
        <v>0.79</v>
      </c>
      <c r="H33" s="36" t="n">
        <v>0</v>
      </c>
      <c r="I33" s="36" t="n">
        <v>0</v>
      </c>
      <c r="J33" s="36" t="n">
        <v>0</v>
      </c>
      <c r="K33" s="28" t="n">
        <v>0</v>
      </c>
      <c r="L33" s="36" t="n">
        <v>0</v>
      </c>
      <c r="M33" s="36" t="n">
        <v>0</v>
      </c>
      <c r="N33" s="36" t="n">
        <v>0.79</v>
      </c>
      <c r="O33" s="36" t="n">
        <v>0</v>
      </c>
      <c r="P33" s="36" t="n">
        <v>0</v>
      </c>
      <c r="Q33" s="36" t="n">
        <v>0.79</v>
      </c>
      <c r="R33" s="28" t="n">
        <v>0</v>
      </c>
      <c r="S33" s="36" t="n">
        <v>0</v>
      </c>
      <c r="T33" s="36" t="n">
        <v>0</v>
      </c>
      <c r="U33" s="36" t="n">
        <v>0.21</v>
      </c>
      <c r="V33" s="36" t="n">
        <v>0.21</v>
      </c>
      <c r="W33" s="36" t="n">
        <v>0.25</v>
      </c>
      <c r="X33" s="36" t="n">
        <v>0.13</v>
      </c>
      <c r="Y33" s="28" t="n">
        <v>0.32</v>
      </c>
      <c r="Z33" s="36" t="n">
        <v>0.24</v>
      </c>
      <c r="AA33" s="36" t="n">
        <v>0.37</v>
      </c>
      <c r="AB33" s="36" t="n">
        <v>0.24</v>
      </c>
      <c r="AC33" s="36" t="n">
        <v>0.23</v>
      </c>
      <c r="AD33" s="36" t="n">
        <v>0.9</v>
      </c>
      <c r="AE33" s="36" t="n">
        <v>0.72</v>
      </c>
      <c r="AF33" s="28" t="n">
        <v>0.7</v>
      </c>
      <c r="AG33" s="36" t="n">
        <v>0.4</v>
      </c>
      <c r="AH33" s="37" t="n">
        <v>0.23</v>
      </c>
      <c r="AI33" s="37" t="n">
        <v>0.26</v>
      </c>
      <c r="AJ33" s="37" t="n">
        <v>0.22</v>
      </c>
      <c r="AK33" s="37" t="n">
        <v>0.51</v>
      </c>
      <c r="AL33" s="37" t="n">
        <v>0.23</v>
      </c>
      <c r="AM33" s="37" t="n">
        <v>0.43</v>
      </c>
      <c r="AN33" s="37" t="n">
        <v>0.24</v>
      </c>
      <c r="AO33" s="37" t="n">
        <v>0.24</v>
      </c>
      <c r="AP33" s="37" t="n">
        <v>0.43</v>
      </c>
      <c r="AQ33" s="37" t="n">
        <v>0.31</v>
      </c>
      <c r="AR33" s="37" t="n">
        <v>0.24</v>
      </c>
      <c r="AS33" s="37" t="n">
        <v>0.13</v>
      </c>
      <c r="AT33" s="37" t="n">
        <v>0.31</v>
      </c>
      <c r="AU33" s="37" t="n">
        <v>0.53</v>
      </c>
      <c r="AV33" s="37" t="n">
        <v>0.5600000000000001</v>
      </c>
      <c r="AW33" s="37" t="n">
        <v>0.22</v>
      </c>
      <c r="AX33" s="37" t="n">
        <v>0.22</v>
      </c>
      <c r="AY33" s="37" t="n">
        <v>0.24</v>
      </c>
      <c r="AZ33" s="37" t="n">
        <v>0.13</v>
      </c>
      <c r="BA33" s="37" t="n">
        <v>0.27</v>
      </c>
      <c r="BB33" s="37" t="n">
        <v>0.18</v>
      </c>
      <c r="BC33" s="37" t="n">
        <v>0.02</v>
      </c>
      <c r="BD33" s="37" t="n">
        <v>0.07000000000000001</v>
      </c>
      <c r="BE33" s="37" t="n">
        <v>0.28</v>
      </c>
      <c r="BF33" s="37" t="n">
        <v>0.23</v>
      </c>
      <c r="BG33" s="37" t="n">
        <v>0.15</v>
      </c>
      <c r="BH33" s="37" t="n">
        <v>0.33</v>
      </c>
      <c r="BI33" s="37" t="n">
        <v>0.26</v>
      </c>
      <c r="BJ33" s="37" t="n">
        <v>1.38</v>
      </c>
      <c r="BK33" s="37" t="n">
        <v>0.54</v>
      </c>
      <c r="BL33" s="37" t="n">
        <v>0.29</v>
      </c>
      <c r="BM33" s="37" t="n">
        <v>0.19</v>
      </c>
      <c r="BN33" s="37" t="n">
        <v>0.14</v>
      </c>
      <c r="BO33" s="37" t="n">
        <v>0.38</v>
      </c>
      <c r="BP33" s="37" t="n">
        <v>0.54</v>
      </c>
      <c r="BQ33" s="37" t="n">
        <v>0.41</v>
      </c>
      <c r="BR33" s="37" t="n">
        <v>0.23</v>
      </c>
      <c r="BS33" s="37" t="n">
        <v>0.23</v>
      </c>
      <c r="BT33" s="37" t="n">
        <v>0.18</v>
      </c>
      <c r="BU33" s="37" t="n">
        <v>0.28</v>
      </c>
      <c r="BV33" s="37" t="n">
        <v>0.35</v>
      </c>
      <c r="BW33" s="37" t="n">
        <v>0.26</v>
      </c>
      <c r="BX33" s="37" t="n">
        <v>0.25</v>
      </c>
      <c r="BY33" s="37" t="n">
        <v>0.23</v>
      </c>
      <c r="BZ33" s="37" t="n">
        <v>0.47</v>
      </c>
      <c r="CA33" s="37" t="n">
        <v>0.23</v>
      </c>
      <c r="CB33" s="37" t="n">
        <v>0.14</v>
      </c>
      <c r="CC33" s="37" t="n">
        <v>22.27000000000001</v>
      </c>
    </row>
    <row r="34" ht="15.75" customHeight="1" s="57">
      <c r="A34" s="7" t="inlineStr">
        <is>
          <t>NTB</t>
        </is>
      </c>
      <c r="B34" s="7" t="inlineStr">
        <is>
          <t>Bình Thuận</t>
        </is>
      </c>
      <c r="C34" s="7" t="n">
        <v>21065000</v>
      </c>
      <c r="D34" s="7" t="inlineStr">
        <is>
          <t>(BTH) Hàm Thuận Nam</t>
        </is>
      </c>
      <c r="E34" s="7" t="inlineStr">
        <is>
          <t>Shopee-Bulky (10-15kg)</t>
        </is>
      </c>
      <c r="F34" s="36" t="n">
        <v>0.21</v>
      </c>
      <c r="G34" s="36" t="n">
        <v>0.21</v>
      </c>
      <c r="H34" s="36" t="n">
        <v>0</v>
      </c>
      <c r="I34" s="36" t="n">
        <v>0</v>
      </c>
      <c r="J34" s="36" t="n">
        <v>0</v>
      </c>
      <c r="K34" s="28" t="n">
        <v>0</v>
      </c>
      <c r="L34" s="36" t="n">
        <v>0</v>
      </c>
      <c r="M34" s="36" t="n">
        <v>0</v>
      </c>
      <c r="N34" s="36" t="n">
        <v>0.21</v>
      </c>
      <c r="O34" s="36" t="n">
        <v>0</v>
      </c>
      <c r="P34" s="36" t="n">
        <v>0</v>
      </c>
      <c r="Q34" s="36" t="n">
        <v>0.21</v>
      </c>
      <c r="R34" s="28" t="n">
        <v>0</v>
      </c>
      <c r="S34" s="36" t="n">
        <v>0</v>
      </c>
      <c r="T34" s="36" t="n">
        <v>0</v>
      </c>
      <c r="U34" s="36" t="n">
        <v>0.05</v>
      </c>
      <c r="V34" s="36" t="n">
        <v>0.05</v>
      </c>
      <c r="W34" s="36" t="n">
        <v>0.06</v>
      </c>
      <c r="X34" s="36" t="n">
        <v>0.03</v>
      </c>
      <c r="Y34" s="28" t="n">
        <v>0.08</v>
      </c>
      <c r="Z34" s="36" t="n">
        <v>0.06</v>
      </c>
      <c r="AA34" s="36" t="n">
        <v>0.08</v>
      </c>
      <c r="AB34" s="36" t="n">
        <v>0.06</v>
      </c>
      <c r="AC34" s="36" t="n">
        <v>0.06</v>
      </c>
      <c r="AD34" s="36" t="n">
        <v>0.37</v>
      </c>
      <c r="AE34" s="36" t="n">
        <v>0.16</v>
      </c>
      <c r="AF34" s="28" t="n">
        <v>0.14</v>
      </c>
      <c r="AG34" s="36" t="n">
        <v>0.1</v>
      </c>
      <c r="AH34" s="37" t="n">
        <v>0.06</v>
      </c>
      <c r="AI34" s="37" t="n">
        <v>0.06</v>
      </c>
      <c r="AJ34" s="37" t="n">
        <v>0.05</v>
      </c>
      <c r="AK34" s="37" t="n">
        <v>0.14</v>
      </c>
      <c r="AL34" s="37" t="n">
        <v>0.05</v>
      </c>
      <c r="AM34" s="37" t="n">
        <v>0.1</v>
      </c>
      <c r="AN34" s="37" t="n">
        <v>0.06</v>
      </c>
      <c r="AO34" s="37" t="n">
        <v>0.06</v>
      </c>
      <c r="AP34" s="37" t="n">
        <v>0.11</v>
      </c>
      <c r="AQ34" s="37" t="n">
        <v>0.07000000000000001</v>
      </c>
      <c r="AR34" s="37" t="n">
        <v>0.06</v>
      </c>
      <c r="AS34" s="37" t="n">
        <v>0.02</v>
      </c>
      <c r="AT34" s="37" t="n">
        <v>0.07000000000000001</v>
      </c>
      <c r="AU34" s="37" t="n">
        <v>0.12</v>
      </c>
      <c r="AV34" s="37" t="n">
        <v>0.15</v>
      </c>
      <c r="AW34" s="37" t="n">
        <v>0.06</v>
      </c>
      <c r="AX34" s="37" t="n">
        <v>0.05</v>
      </c>
      <c r="AY34" s="37" t="n">
        <v>0.05</v>
      </c>
      <c r="AZ34" s="37" t="n">
        <v>0.02</v>
      </c>
      <c r="BA34" s="37" t="n">
        <v>0.06</v>
      </c>
      <c r="BB34" s="37" t="n">
        <v>0.04</v>
      </c>
      <c r="BC34" s="37" t="n">
        <v>0.01</v>
      </c>
      <c r="BD34" s="37" t="n">
        <v>0.01</v>
      </c>
      <c r="BE34" s="37" t="n">
        <v>0.06</v>
      </c>
      <c r="BF34" s="37" t="n">
        <v>0.05</v>
      </c>
      <c r="BG34" s="37" t="n">
        <v>0.03</v>
      </c>
      <c r="BH34" s="37" t="n">
        <v>0.07000000000000001</v>
      </c>
      <c r="BI34" s="37" t="n">
        <v>0.06</v>
      </c>
      <c r="BJ34" s="37" t="n">
        <v>0.43</v>
      </c>
      <c r="BK34" s="37" t="n">
        <v>0.16</v>
      </c>
      <c r="BL34" s="37" t="n">
        <v>0.07000000000000001</v>
      </c>
      <c r="BM34" s="37" t="n">
        <v>0.05</v>
      </c>
      <c r="BN34" s="37" t="n">
        <v>0.03</v>
      </c>
      <c r="BO34" s="37" t="n">
        <v>0.11</v>
      </c>
      <c r="BP34" s="37" t="n">
        <v>0.16</v>
      </c>
      <c r="BQ34" s="37" t="n">
        <v>0.12</v>
      </c>
      <c r="BR34" s="37" t="n">
        <v>0.06</v>
      </c>
      <c r="BS34" s="37" t="n">
        <v>0.05</v>
      </c>
      <c r="BT34" s="37" t="n">
        <v>0.04</v>
      </c>
      <c r="BU34" s="37" t="n">
        <v>0.07000000000000001</v>
      </c>
      <c r="BV34" s="37" t="n">
        <v>0.08</v>
      </c>
      <c r="BW34" s="37" t="n">
        <v>0.06</v>
      </c>
      <c r="BX34" s="37" t="n">
        <v>0.06</v>
      </c>
      <c r="BY34" s="37" t="n">
        <v>0.06</v>
      </c>
      <c r="BZ34" s="37" t="n">
        <v>0.14</v>
      </c>
      <c r="CA34" s="37" t="n">
        <v>0.06</v>
      </c>
      <c r="CB34" s="37" t="n">
        <v>0.03</v>
      </c>
      <c r="CC34" s="37" t="n">
        <v>5.729999999999998</v>
      </c>
    </row>
    <row r="35" ht="15.75" customHeight="1" s="57">
      <c r="A35" s="7" t="inlineStr">
        <is>
          <t>NTB</t>
        </is>
      </c>
      <c r="B35" s="7" t="inlineStr">
        <is>
          <t>Bình Thuận</t>
        </is>
      </c>
      <c r="C35" s="7" t="n">
        <v>21065000</v>
      </c>
      <c r="D35" s="7" t="inlineStr">
        <is>
          <t>(BTH) Hàm Thuận Nam</t>
        </is>
      </c>
      <c r="E35" s="7" t="inlineStr">
        <is>
          <t>TTS</t>
        </is>
      </c>
      <c r="F35" s="36" t="n">
        <v>6</v>
      </c>
      <c r="G35" s="36" t="n">
        <v>5</v>
      </c>
      <c r="H35" s="36" t="n">
        <v>5</v>
      </c>
      <c r="I35" s="36" t="n">
        <v>6</v>
      </c>
      <c r="J35" s="36" t="n">
        <v>8</v>
      </c>
      <c r="K35" s="28" t="n">
        <v>4</v>
      </c>
      <c r="L35" s="36" t="n">
        <v>8</v>
      </c>
      <c r="M35" s="36" t="n">
        <v>7</v>
      </c>
      <c r="N35" s="36" t="n">
        <v>6</v>
      </c>
      <c r="O35" s="36" t="n">
        <v>6</v>
      </c>
      <c r="P35" s="36" t="n">
        <v>4</v>
      </c>
      <c r="Q35" s="36" t="n">
        <v>6</v>
      </c>
      <c r="R35" s="28" t="n">
        <v>3</v>
      </c>
      <c r="S35" s="36" t="n">
        <v>4</v>
      </c>
      <c r="T35" s="36" t="n">
        <v>3</v>
      </c>
      <c r="U35" s="36" t="n">
        <v>9.69</v>
      </c>
      <c r="V35" s="36" t="n">
        <v>9.57</v>
      </c>
      <c r="W35" s="36" t="n">
        <v>9.32</v>
      </c>
      <c r="X35" s="36" t="n">
        <v>7.47</v>
      </c>
      <c r="Y35" s="28" t="n">
        <v>10.95</v>
      </c>
      <c r="Z35" s="36" t="n">
        <v>9.32</v>
      </c>
      <c r="AA35" s="36" t="n">
        <v>10.32</v>
      </c>
      <c r="AB35" s="36" t="n">
        <v>11.53</v>
      </c>
      <c r="AC35" s="36" t="n">
        <v>12.17</v>
      </c>
      <c r="AD35" s="36" t="n">
        <v>10.23</v>
      </c>
      <c r="AE35" s="36" t="n">
        <v>8.68</v>
      </c>
      <c r="AF35" s="28" t="n">
        <v>11.28</v>
      </c>
      <c r="AG35" s="36" t="n">
        <v>9.48</v>
      </c>
      <c r="AH35" s="37" t="n">
        <v>9.41</v>
      </c>
      <c r="AI35" s="37" t="n">
        <v>10.79</v>
      </c>
      <c r="AJ35" s="37" t="n">
        <v>11.61</v>
      </c>
      <c r="AK35" s="37" t="n">
        <v>11.43</v>
      </c>
      <c r="AL35" s="37" t="n">
        <v>8.09</v>
      </c>
      <c r="AM35" s="37" t="n">
        <v>11.14</v>
      </c>
      <c r="AN35" s="37" t="n">
        <v>9.6</v>
      </c>
      <c r="AO35" s="37" t="n">
        <v>9.52</v>
      </c>
      <c r="AP35" s="37" t="n">
        <v>9.300000000000001</v>
      </c>
      <c r="AQ35" s="37" t="n">
        <v>9.369999999999999</v>
      </c>
      <c r="AR35" s="37" t="n">
        <v>9.210000000000001</v>
      </c>
      <c r="AS35" s="37" t="n">
        <v>7.49</v>
      </c>
      <c r="AT35" s="37" t="n">
        <v>12.03</v>
      </c>
      <c r="AU35" s="37" t="n">
        <v>10.87</v>
      </c>
      <c r="AV35" s="37" t="n">
        <v>9.69</v>
      </c>
      <c r="AW35" s="37" t="n">
        <v>9.19</v>
      </c>
      <c r="AX35" s="37" t="n">
        <v>9.130000000000001</v>
      </c>
      <c r="AY35" s="37" t="n">
        <v>9.06</v>
      </c>
      <c r="AZ35" s="37" t="n">
        <v>7.52</v>
      </c>
      <c r="BA35" s="37" t="n">
        <v>10.85</v>
      </c>
      <c r="BB35" s="37" t="n">
        <v>10.12</v>
      </c>
      <c r="BC35" s="37" t="n">
        <v>5.12</v>
      </c>
      <c r="BD35" s="37" t="n">
        <v>7.31</v>
      </c>
      <c r="BE35" s="37" t="n">
        <v>16.99</v>
      </c>
      <c r="BF35" s="37" t="n">
        <v>16.52</v>
      </c>
      <c r="BG35" s="37" t="n">
        <v>8.09</v>
      </c>
      <c r="BH35" s="37" t="n">
        <v>12.01</v>
      </c>
      <c r="BI35" s="37" t="n">
        <v>10.12</v>
      </c>
      <c r="BJ35" s="37" t="n">
        <v>7.73</v>
      </c>
      <c r="BK35" s="37" t="n">
        <v>10.3</v>
      </c>
      <c r="BL35" s="37" t="n">
        <v>10.32</v>
      </c>
      <c r="BM35" s="37" t="n">
        <v>10.02</v>
      </c>
      <c r="BN35" s="37" t="n">
        <v>8.09</v>
      </c>
      <c r="BO35" s="37" t="n">
        <v>12.01</v>
      </c>
      <c r="BP35" s="37" t="n">
        <v>10.12</v>
      </c>
      <c r="BQ35" s="37" t="n">
        <v>10.04</v>
      </c>
      <c r="BR35" s="37" t="n">
        <v>10.3</v>
      </c>
      <c r="BS35" s="37" t="n">
        <v>10.32</v>
      </c>
      <c r="BT35" s="37" t="n">
        <v>10.02</v>
      </c>
      <c r="BU35" s="37" t="n">
        <v>8.09</v>
      </c>
      <c r="BV35" s="37" t="n">
        <v>12.01</v>
      </c>
      <c r="BW35" s="37" t="n">
        <v>10.12</v>
      </c>
      <c r="BX35" s="37" t="n">
        <v>10.04</v>
      </c>
      <c r="BY35" s="37" t="n">
        <v>10.3</v>
      </c>
      <c r="BZ35" s="37" t="n">
        <v>10.32</v>
      </c>
      <c r="CA35" s="37" t="n">
        <v>10.02</v>
      </c>
      <c r="CB35" s="37" t="n">
        <v>8.09</v>
      </c>
      <c r="CC35" s="37" t="n">
        <v>680.8499999999999</v>
      </c>
    </row>
    <row r="36" ht="15.75" customHeight="1" s="57">
      <c r="A36" s="7" t="inlineStr">
        <is>
          <t>NTB</t>
        </is>
      </c>
      <c r="B36" s="7" t="inlineStr">
        <is>
          <t>Bình Thuận</t>
        </is>
      </c>
      <c r="C36" s="7" t="n">
        <v>21067000</v>
      </c>
      <c r="D36" s="7" t="inlineStr">
        <is>
          <t>(BTH) Tân Hải</t>
        </is>
      </c>
      <c r="E36" s="7" t="inlineStr">
        <is>
          <t>SME</t>
        </is>
      </c>
      <c r="F36" s="36" t="n">
        <v>43</v>
      </c>
      <c r="G36" s="36" t="n">
        <v>23</v>
      </c>
      <c r="H36" s="36" t="n">
        <v>53</v>
      </c>
      <c r="I36" s="36" t="n">
        <v>36</v>
      </c>
      <c r="J36" s="36" t="n">
        <v>19</v>
      </c>
      <c r="K36" s="28" t="n">
        <v>36</v>
      </c>
      <c r="L36" s="36" t="n">
        <v>48</v>
      </c>
      <c r="M36" s="36" t="n">
        <v>77</v>
      </c>
      <c r="N36" s="36" t="n">
        <v>23</v>
      </c>
      <c r="O36" s="36" t="n">
        <v>18</v>
      </c>
      <c r="P36" s="36" t="n">
        <v>39</v>
      </c>
      <c r="Q36" s="36" t="n">
        <v>36</v>
      </c>
      <c r="R36" s="28" t="n">
        <v>22</v>
      </c>
      <c r="S36" s="36" t="n">
        <v>69</v>
      </c>
      <c r="T36" s="36" t="n">
        <v>59</v>
      </c>
      <c r="U36" s="36" t="n">
        <v>58.41</v>
      </c>
      <c r="V36" s="36" t="n">
        <v>60.73</v>
      </c>
      <c r="W36" s="36" t="n">
        <v>59.03</v>
      </c>
      <c r="X36" s="36" t="n">
        <v>48.26</v>
      </c>
      <c r="Y36" s="28" t="n">
        <v>65.55</v>
      </c>
      <c r="Z36" s="36" t="n">
        <v>60.32</v>
      </c>
      <c r="AA36" s="36" t="n">
        <v>58.77</v>
      </c>
      <c r="AB36" s="36" t="n">
        <v>58.41</v>
      </c>
      <c r="AC36" s="36" t="n">
        <v>60.73</v>
      </c>
      <c r="AD36" s="36" t="n">
        <v>45.2</v>
      </c>
      <c r="AE36" s="36" t="n">
        <v>48.26</v>
      </c>
      <c r="AF36" s="28" t="n">
        <v>65.55</v>
      </c>
      <c r="AG36" s="36" t="n">
        <v>60.32</v>
      </c>
      <c r="AH36" s="37" t="n">
        <v>58.77</v>
      </c>
      <c r="AI36" s="37" t="n">
        <v>58.41</v>
      </c>
      <c r="AJ36" s="37" t="n">
        <v>60.73</v>
      </c>
      <c r="AK36" s="37" t="n">
        <v>59.03</v>
      </c>
      <c r="AL36" s="37" t="n">
        <v>48.26</v>
      </c>
      <c r="AM36" s="37" t="n">
        <v>65.55</v>
      </c>
      <c r="AN36" s="37" t="n">
        <v>60.32</v>
      </c>
      <c r="AO36" s="37" t="n">
        <v>58.77</v>
      </c>
      <c r="AP36" s="37" t="n">
        <v>58.41</v>
      </c>
      <c r="AQ36" s="37" t="n">
        <v>60.73</v>
      </c>
      <c r="AR36" s="37" t="n">
        <v>59.03</v>
      </c>
      <c r="AS36" s="37" t="n">
        <v>48.26</v>
      </c>
      <c r="AT36" s="37" t="n">
        <v>65.55</v>
      </c>
      <c r="AU36" s="37" t="n">
        <v>60.32</v>
      </c>
      <c r="AV36" s="37" t="n">
        <v>58.77</v>
      </c>
      <c r="AW36" s="37" t="n">
        <v>58.41</v>
      </c>
      <c r="AX36" s="37" t="n">
        <v>60.73</v>
      </c>
      <c r="AY36" s="37" t="n">
        <v>59.03</v>
      </c>
      <c r="AZ36" s="37" t="n">
        <v>48.26</v>
      </c>
      <c r="BA36" s="37" t="n">
        <v>62.18</v>
      </c>
      <c r="BB36" s="37" t="n">
        <v>55.19</v>
      </c>
      <c r="BC36" s="37" t="n">
        <v>33.52</v>
      </c>
      <c r="BD36" s="37" t="n">
        <v>25.87</v>
      </c>
      <c r="BE36" s="37" t="n">
        <v>56.9</v>
      </c>
      <c r="BF36" s="37" t="n">
        <v>55.4</v>
      </c>
      <c r="BG36" s="37" t="n">
        <v>49.66</v>
      </c>
      <c r="BH36" s="37" t="n">
        <v>67.45999999999999</v>
      </c>
      <c r="BI36" s="37" t="n">
        <v>62.18</v>
      </c>
      <c r="BJ36" s="37" t="n">
        <v>46.24</v>
      </c>
      <c r="BK36" s="37" t="n">
        <v>60.06</v>
      </c>
      <c r="BL36" s="37" t="n">
        <v>62.54</v>
      </c>
      <c r="BM36" s="37" t="n">
        <v>60.68</v>
      </c>
      <c r="BN36" s="37" t="n">
        <v>49.66</v>
      </c>
      <c r="BO36" s="37" t="n">
        <v>67.45999999999999</v>
      </c>
      <c r="BP36" s="37" t="n">
        <v>62.18</v>
      </c>
      <c r="BQ36" s="37" t="n">
        <v>60.42</v>
      </c>
      <c r="BR36" s="37" t="n">
        <v>60.06</v>
      </c>
      <c r="BS36" s="37" t="n">
        <v>62.54</v>
      </c>
      <c r="BT36" s="37" t="n">
        <v>60.68</v>
      </c>
      <c r="BU36" s="37" t="n">
        <v>49.66</v>
      </c>
      <c r="BV36" s="37" t="n">
        <v>67.45999999999999</v>
      </c>
      <c r="BW36" s="37" t="n">
        <v>62.18</v>
      </c>
      <c r="BX36" s="37" t="n">
        <v>60.42</v>
      </c>
      <c r="BY36" s="37" t="n">
        <v>60.06</v>
      </c>
      <c r="BZ36" s="37" t="n">
        <v>62.54</v>
      </c>
      <c r="CA36" s="37" t="n">
        <v>60.68</v>
      </c>
      <c r="CB36" s="37" t="n">
        <v>49.66</v>
      </c>
      <c r="CC36" s="37" t="n">
        <v>4051.419999999999</v>
      </c>
    </row>
    <row r="37" ht="15.75" customHeight="1" s="57">
      <c r="A37" s="7" t="inlineStr">
        <is>
          <t>NTB</t>
        </is>
      </c>
      <c r="B37" s="7" t="inlineStr">
        <is>
          <t>Bình Thuận</t>
        </is>
      </c>
      <c r="C37" s="7" t="n">
        <v>21067000</v>
      </c>
      <c r="D37" s="7" t="inlineStr">
        <is>
          <t>(BTH) Tân Hải</t>
        </is>
      </c>
      <c r="E37" s="7" t="inlineStr">
        <is>
          <t>SME-Bulky</t>
        </is>
      </c>
      <c r="F37" s="36" t="n">
        <v>6</v>
      </c>
      <c r="G37" s="36" t="n">
        <v>2</v>
      </c>
      <c r="H37" s="36" t="n">
        <v>8</v>
      </c>
      <c r="I37" s="36" t="n">
        <v>8</v>
      </c>
      <c r="J37" s="36" t="n">
        <v>3</v>
      </c>
      <c r="K37" s="28" t="n">
        <v>9</v>
      </c>
      <c r="L37" s="36" t="n">
        <v>6</v>
      </c>
      <c r="M37" s="36" t="n">
        <v>5</v>
      </c>
      <c r="N37" s="36" t="n">
        <v>3</v>
      </c>
      <c r="O37" s="36" t="n">
        <v>6</v>
      </c>
      <c r="P37" s="36" t="n">
        <v>5</v>
      </c>
      <c r="Q37" s="36" t="n">
        <v>5</v>
      </c>
      <c r="R37" s="28" t="n">
        <v>8</v>
      </c>
      <c r="S37" s="36" t="n">
        <v>8</v>
      </c>
      <c r="T37" s="36" t="n">
        <v>12</v>
      </c>
      <c r="U37" s="36" t="n">
        <v>7.52</v>
      </c>
      <c r="V37" s="36" t="n">
        <v>7.52</v>
      </c>
      <c r="W37" s="36" t="n">
        <v>7.32</v>
      </c>
      <c r="X37" s="36" t="n">
        <v>5.26</v>
      </c>
      <c r="Y37" s="28" t="n">
        <v>9.27</v>
      </c>
      <c r="Z37" s="36" t="n">
        <v>9.58</v>
      </c>
      <c r="AA37" s="36" t="n">
        <v>7.83</v>
      </c>
      <c r="AB37" s="36" t="n">
        <v>7.52</v>
      </c>
      <c r="AC37" s="36" t="n">
        <v>7.52</v>
      </c>
      <c r="AD37" s="36" t="n">
        <v>5.67</v>
      </c>
      <c r="AE37" s="36" t="n">
        <v>5.26</v>
      </c>
      <c r="AF37" s="28" t="n">
        <v>9.27</v>
      </c>
      <c r="AG37" s="36" t="n">
        <v>9.58</v>
      </c>
      <c r="AH37" s="37" t="n">
        <v>7.83</v>
      </c>
      <c r="AI37" s="37" t="n">
        <v>7.52</v>
      </c>
      <c r="AJ37" s="37" t="n">
        <v>7.52</v>
      </c>
      <c r="AK37" s="37" t="n">
        <v>7.32</v>
      </c>
      <c r="AL37" s="37" t="n">
        <v>5.26</v>
      </c>
      <c r="AM37" s="37" t="n">
        <v>9.27</v>
      </c>
      <c r="AN37" s="37" t="n">
        <v>9.58</v>
      </c>
      <c r="AO37" s="37" t="n">
        <v>7.83</v>
      </c>
      <c r="AP37" s="37" t="n">
        <v>7.52</v>
      </c>
      <c r="AQ37" s="37" t="n">
        <v>7.52</v>
      </c>
      <c r="AR37" s="37" t="n">
        <v>7.32</v>
      </c>
      <c r="AS37" s="37" t="n">
        <v>5.26</v>
      </c>
      <c r="AT37" s="37" t="n">
        <v>9.27</v>
      </c>
      <c r="AU37" s="37" t="n">
        <v>9.58</v>
      </c>
      <c r="AV37" s="37" t="n">
        <v>7.83</v>
      </c>
      <c r="AW37" s="37" t="n">
        <v>7.52</v>
      </c>
      <c r="AX37" s="37" t="n">
        <v>7.52</v>
      </c>
      <c r="AY37" s="37" t="n">
        <v>7.32</v>
      </c>
      <c r="AZ37" s="37" t="n">
        <v>5.26</v>
      </c>
      <c r="BA37" s="37" t="n">
        <v>9.58</v>
      </c>
      <c r="BB37" s="37" t="n">
        <v>5.36</v>
      </c>
      <c r="BC37" s="37" t="n">
        <v>2.58</v>
      </c>
      <c r="BD37" s="37" t="n">
        <v>1.44</v>
      </c>
      <c r="BE37" s="37" t="n">
        <v>4.23</v>
      </c>
      <c r="BF37" s="37" t="n">
        <v>4.12</v>
      </c>
      <c r="BG37" s="37" t="n">
        <v>2.89</v>
      </c>
      <c r="BH37" s="37" t="n">
        <v>5.15</v>
      </c>
      <c r="BI37" s="37" t="n">
        <v>5.36</v>
      </c>
      <c r="BJ37" s="37" t="n">
        <v>3.71</v>
      </c>
      <c r="BK37" s="37" t="n">
        <v>4.23</v>
      </c>
      <c r="BL37" s="37" t="n">
        <v>4.23</v>
      </c>
      <c r="BM37" s="37" t="n">
        <v>4.12</v>
      </c>
      <c r="BN37" s="37" t="n">
        <v>2.89</v>
      </c>
      <c r="BO37" s="37" t="n">
        <v>5.15</v>
      </c>
      <c r="BP37" s="37" t="n">
        <v>5.36</v>
      </c>
      <c r="BQ37" s="37" t="n">
        <v>4.43</v>
      </c>
      <c r="BR37" s="37" t="n">
        <v>4.23</v>
      </c>
      <c r="BS37" s="37" t="n">
        <v>4.23</v>
      </c>
      <c r="BT37" s="37" t="n">
        <v>4.12</v>
      </c>
      <c r="BU37" s="37" t="n">
        <v>2.89</v>
      </c>
      <c r="BV37" s="37" t="n">
        <v>5.15</v>
      </c>
      <c r="BW37" s="37" t="n">
        <v>5.36</v>
      </c>
      <c r="BX37" s="37" t="n">
        <v>4.43</v>
      </c>
      <c r="BY37" s="37" t="n">
        <v>4.23</v>
      </c>
      <c r="BZ37" s="37" t="n">
        <v>4.23</v>
      </c>
      <c r="CA37" s="37" t="n">
        <v>4.12</v>
      </c>
      <c r="CB37" s="37" t="n">
        <v>2.89</v>
      </c>
      <c r="CC37" s="37" t="n">
        <v>457.88</v>
      </c>
    </row>
    <row r="38" ht="15.75" customHeight="1" s="57">
      <c r="A38" s="7" t="inlineStr">
        <is>
          <t>NTB</t>
        </is>
      </c>
      <c r="B38" s="7" t="inlineStr">
        <is>
          <t>Bình Thuận</t>
        </is>
      </c>
      <c r="C38" s="7" t="n">
        <v>21067000</v>
      </c>
      <c r="D38" s="7" t="inlineStr">
        <is>
          <t>(BTH) Tân Hải</t>
        </is>
      </c>
      <c r="E38" s="7" t="inlineStr">
        <is>
          <t>Shopee</t>
        </is>
      </c>
      <c r="F38" s="36" t="n">
        <v>13</v>
      </c>
      <c r="G38" s="36" t="n">
        <v>13</v>
      </c>
      <c r="H38" s="36" t="n">
        <v>10</v>
      </c>
      <c r="I38" s="36" t="n">
        <v>10</v>
      </c>
      <c r="J38" s="36" t="n">
        <v>5</v>
      </c>
      <c r="K38" s="28" t="n">
        <v>18</v>
      </c>
      <c r="L38" s="36" t="n">
        <v>11</v>
      </c>
      <c r="M38" s="36" t="n">
        <v>22</v>
      </c>
      <c r="N38" s="36" t="n">
        <v>11</v>
      </c>
      <c r="O38" s="36" t="n">
        <v>13</v>
      </c>
      <c r="P38" s="36" t="n">
        <v>8</v>
      </c>
      <c r="Q38" s="36" t="n">
        <v>11</v>
      </c>
      <c r="R38" s="28" t="n">
        <v>10</v>
      </c>
      <c r="S38" s="36" t="n">
        <v>10</v>
      </c>
      <c r="T38" s="36" t="n">
        <v>15</v>
      </c>
      <c r="U38" s="36" t="n">
        <v>12.12</v>
      </c>
      <c r="V38" s="36" t="n">
        <v>12.24</v>
      </c>
      <c r="W38" s="36" t="n">
        <v>11.6</v>
      </c>
      <c r="X38" s="36" t="n">
        <v>10.04</v>
      </c>
      <c r="Y38" s="28" t="n">
        <v>16.22</v>
      </c>
      <c r="Z38" s="36" t="n">
        <v>12.86</v>
      </c>
      <c r="AA38" s="36" t="n">
        <v>15.64</v>
      </c>
      <c r="AB38" s="36" t="n">
        <v>12.34</v>
      </c>
      <c r="AC38" s="36" t="n">
        <v>9.98</v>
      </c>
      <c r="AD38" s="36" t="n">
        <v>20.26</v>
      </c>
      <c r="AE38" s="36" t="n">
        <v>10.71</v>
      </c>
      <c r="AF38" s="28" t="n">
        <v>17.91</v>
      </c>
      <c r="AG38" s="36" t="n">
        <v>13.47</v>
      </c>
      <c r="AH38" s="37" t="n">
        <v>14.2</v>
      </c>
      <c r="AI38" s="37" t="n">
        <v>12.12</v>
      </c>
      <c r="AJ38" s="37" t="n">
        <v>12.24</v>
      </c>
      <c r="AK38" s="37" t="n">
        <v>12.76</v>
      </c>
      <c r="AL38" s="37" t="n">
        <v>18.09</v>
      </c>
      <c r="AM38" s="37" t="n">
        <v>16.22</v>
      </c>
      <c r="AN38" s="37" t="n">
        <v>12.86</v>
      </c>
      <c r="AO38" s="37" t="n">
        <v>14.2</v>
      </c>
      <c r="AP38" s="37" t="n">
        <v>13.1</v>
      </c>
      <c r="AQ38" s="37" t="n">
        <v>9.640000000000001</v>
      </c>
      <c r="AR38" s="37" t="n">
        <v>11.6</v>
      </c>
      <c r="AS38" s="37" t="n">
        <v>10.04</v>
      </c>
      <c r="AT38" s="37" t="n">
        <v>16.22</v>
      </c>
      <c r="AU38" s="37" t="n">
        <v>14.02</v>
      </c>
      <c r="AV38" s="37" t="n">
        <v>14.54</v>
      </c>
      <c r="AW38" s="37" t="n">
        <v>12.12</v>
      </c>
      <c r="AX38" s="37" t="n">
        <v>12.24</v>
      </c>
      <c r="AY38" s="37" t="n">
        <v>11.6</v>
      </c>
      <c r="AZ38" s="37" t="n">
        <v>10.04</v>
      </c>
      <c r="BA38" s="37" t="n">
        <v>13.84</v>
      </c>
      <c r="BB38" s="37" t="n">
        <v>9.789999999999999</v>
      </c>
      <c r="BC38" s="37" t="n">
        <v>4.35</v>
      </c>
      <c r="BD38" s="37" t="n">
        <v>7.13</v>
      </c>
      <c r="BE38" s="37" t="n">
        <v>14.54</v>
      </c>
      <c r="BF38" s="37" t="n">
        <v>14.05</v>
      </c>
      <c r="BG38" s="37" t="n">
        <v>10.01</v>
      </c>
      <c r="BH38" s="37" t="n">
        <v>15.61</v>
      </c>
      <c r="BI38" s="37" t="n">
        <v>10.32</v>
      </c>
      <c r="BJ38" s="37" t="n">
        <v>28.83</v>
      </c>
      <c r="BK38" s="37" t="n">
        <v>12.49</v>
      </c>
      <c r="BL38" s="37" t="n">
        <v>12.4</v>
      </c>
      <c r="BM38" s="37" t="n">
        <v>11.29</v>
      </c>
      <c r="BN38" s="37" t="n">
        <v>9.789999999999999</v>
      </c>
      <c r="BO38" s="37" t="n">
        <v>15.61</v>
      </c>
      <c r="BP38" s="37" t="n">
        <v>13.62</v>
      </c>
      <c r="BQ38" s="37" t="n">
        <v>20.75</v>
      </c>
      <c r="BR38" s="37" t="n">
        <v>11.78</v>
      </c>
      <c r="BS38" s="37" t="n">
        <v>11.91</v>
      </c>
      <c r="BT38" s="37" t="n">
        <v>11.29</v>
      </c>
      <c r="BU38" s="37" t="n">
        <v>10.74</v>
      </c>
      <c r="BV38" s="37" t="n">
        <v>12.61</v>
      </c>
      <c r="BW38" s="37" t="n">
        <v>12.49</v>
      </c>
      <c r="BX38" s="37" t="n">
        <v>13.74</v>
      </c>
      <c r="BY38" s="37" t="n">
        <v>11.78</v>
      </c>
      <c r="BZ38" s="37" t="n">
        <v>12.82</v>
      </c>
      <c r="CA38" s="37" t="n">
        <v>11.57</v>
      </c>
      <c r="CB38" s="37" t="n">
        <v>9.789999999999999</v>
      </c>
      <c r="CC38" s="37" t="n">
        <v>958.1799999999999</v>
      </c>
    </row>
    <row r="39" ht="15.75" customHeight="1" s="57">
      <c r="A39" s="7" t="inlineStr">
        <is>
          <t>NTB</t>
        </is>
      </c>
      <c r="B39" s="7" t="inlineStr">
        <is>
          <t>Bình Thuận</t>
        </is>
      </c>
      <c r="C39" s="7" t="n">
        <v>21067000</v>
      </c>
      <c r="D39" s="7" t="inlineStr">
        <is>
          <t>(BTH) Tân Hải</t>
        </is>
      </c>
      <c r="E39" s="7" t="inlineStr">
        <is>
          <t>Shopee-Bulky</t>
        </is>
      </c>
      <c r="F39" s="36" t="n">
        <v>5.5</v>
      </c>
      <c r="G39" s="36" t="n">
        <v>3.93</v>
      </c>
      <c r="H39" s="36" t="n">
        <v>0.79</v>
      </c>
      <c r="I39" s="36" t="n">
        <v>4.71</v>
      </c>
      <c r="J39" s="36" t="n">
        <v>3.14</v>
      </c>
      <c r="K39" s="28" t="n">
        <v>5.5</v>
      </c>
      <c r="L39" s="36" t="n">
        <v>3.14</v>
      </c>
      <c r="M39" s="36" t="n">
        <v>4.71</v>
      </c>
      <c r="N39" s="36" t="n">
        <v>2.36</v>
      </c>
      <c r="O39" s="36" t="n">
        <v>1.57</v>
      </c>
      <c r="P39" s="36" t="n">
        <v>5.5</v>
      </c>
      <c r="Q39" s="36" t="n">
        <v>7.07</v>
      </c>
      <c r="R39" s="28" t="n">
        <v>0.79</v>
      </c>
      <c r="S39" s="36" t="n">
        <v>4.71</v>
      </c>
      <c r="T39" s="36" t="n">
        <v>2.36</v>
      </c>
      <c r="U39" s="36" t="n">
        <v>3.96</v>
      </c>
      <c r="V39" s="36" t="n">
        <v>3.96</v>
      </c>
      <c r="W39" s="36" t="n">
        <v>4.81</v>
      </c>
      <c r="X39" s="36" t="n">
        <v>2.55</v>
      </c>
      <c r="Y39" s="28" t="n">
        <v>6.01</v>
      </c>
      <c r="Z39" s="36" t="n">
        <v>4.6</v>
      </c>
      <c r="AA39" s="36" t="n">
        <v>7</v>
      </c>
      <c r="AB39" s="36" t="n">
        <v>4.6</v>
      </c>
      <c r="AC39" s="36" t="n">
        <v>4.38</v>
      </c>
      <c r="AD39" s="36" t="n">
        <v>17.04</v>
      </c>
      <c r="AE39" s="36" t="n">
        <v>13.65</v>
      </c>
      <c r="AF39" s="28" t="n">
        <v>13.3</v>
      </c>
      <c r="AG39" s="36" t="n">
        <v>7.57</v>
      </c>
      <c r="AH39" s="37" t="n">
        <v>4.46</v>
      </c>
      <c r="AI39" s="37" t="n">
        <v>4.95</v>
      </c>
      <c r="AJ39" s="37" t="n">
        <v>4.24</v>
      </c>
      <c r="AK39" s="37" t="n">
        <v>9.76</v>
      </c>
      <c r="AL39" s="37" t="n">
        <v>4.38</v>
      </c>
      <c r="AM39" s="37" t="n">
        <v>8.130000000000001</v>
      </c>
      <c r="AN39" s="37" t="n">
        <v>4.53</v>
      </c>
      <c r="AO39" s="37" t="n">
        <v>4.53</v>
      </c>
      <c r="AP39" s="37" t="n">
        <v>8.130000000000001</v>
      </c>
      <c r="AQ39" s="37" t="n">
        <v>5.94</v>
      </c>
      <c r="AR39" s="37" t="n">
        <v>4.53</v>
      </c>
      <c r="AS39" s="37" t="n">
        <v>2.4</v>
      </c>
      <c r="AT39" s="37" t="n">
        <v>5.8</v>
      </c>
      <c r="AU39" s="37" t="n">
        <v>10.04</v>
      </c>
      <c r="AV39" s="37" t="n">
        <v>10.68</v>
      </c>
      <c r="AW39" s="37" t="n">
        <v>4.17</v>
      </c>
      <c r="AX39" s="37" t="n">
        <v>4.17</v>
      </c>
      <c r="AY39" s="37" t="n">
        <v>4.53</v>
      </c>
      <c r="AZ39" s="37" t="n">
        <v>2.4</v>
      </c>
      <c r="BA39" s="37" t="n">
        <v>5.16</v>
      </c>
      <c r="BB39" s="37" t="n">
        <v>3.39</v>
      </c>
      <c r="BC39" s="37" t="n">
        <v>0.42</v>
      </c>
      <c r="BD39" s="37" t="n">
        <v>1.34</v>
      </c>
      <c r="BE39" s="37" t="n">
        <v>5.23</v>
      </c>
      <c r="BF39" s="37" t="n">
        <v>4.38</v>
      </c>
      <c r="BG39" s="37" t="n">
        <v>2.76</v>
      </c>
      <c r="BH39" s="37" t="n">
        <v>6.29</v>
      </c>
      <c r="BI39" s="37" t="n">
        <v>4.88</v>
      </c>
      <c r="BJ39" s="37" t="n">
        <v>26.31</v>
      </c>
      <c r="BK39" s="37" t="n">
        <v>10.33</v>
      </c>
      <c r="BL39" s="37" t="n">
        <v>5.52</v>
      </c>
      <c r="BM39" s="37" t="n">
        <v>3.68</v>
      </c>
      <c r="BN39" s="37" t="n">
        <v>2.62</v>
      </c>
      <c r="BO39" s="37" t="n">
        <v>7.28</v>
      </c>
      <c r="BP39" s="37" t="n">
        <v>10.33</v>
      </c>
      <c r="BQ39" s="37" t="n">
        <v>7.85</v>
      </c>
      <c r="BR39" s="37" t="n">
        <v>4.38</v>
      </c>
      <c r="BS39" s="37" t="n">
        <v>4.38</v>
      </c>
      <c r="BT39" s="37" t="n">
        <v>3.39</v>
      </c>
      <c r="BU39" s="37" t="n">
        <v>5.37</v>
      </c>
      <c r="BV39" s="37" t="n">
        <v>6.65</v>
      </c>
      <c r="BW39" s="37" t="n">
        <v>4.88</v>
      </c>
      <c r="BX39" s="37" t="n">
        <v>4.81</v>
      </c>
      <c r="BY39" s="37" t="n">
        <v>4.38</v>
      </c>
      <c r="BZ39" s="37" t="n">
        <v>8.98</v>
      </c>
      <c r="CA39" s="37" t="n">
        <v>4.38</v>
      </c>
      <c r="CB39" s="37" t="n">
        <v>2.69</v>
      </c>
      <c r="CC39" s="37" t="n">
        <v>419.0399999999999</v>
      </c>
    </row>
    <row r="40" ht="15.75" customHeight="1" s="57">
      <c r="A40" s="7" t="inlineStr">
        <is>
          <t>NTB</t>
        </is>
      </c>
      <c r="B40" s="7" t="inlineStr">
        <is>
          <t>Bình Thuận</t>
        </is>
      </c>
      <c r="C40" s="7" t="n">
        <v>21067000</v>
      </c>
      <c r="D40" s="7" t="inlineStr">
        <is>
          <t>(BTH) Tân Hải</t>
        </is>
      </c>
      <c r="E40" s="7" t="inlineStr">
        <is>
          <t>Shopee-Bulky (10-15kg)</t>
        </is>
      </c>
      <c r="F40" s="36" t="n">
        <v>1.5</v>
      </c>
      <c r="G40" s="36" t="n">
        <v>1.07</v>
      </c>
      <c r="H40" s="36" t="n">
        <v>0.21</v>
      </c>
      <c r="I40" s="36" t="n">
        <v>1.29</v>
      </c>
      <c r="J40" s="36" t="n">
        <v>0.86</v>
      </c>
      <c r="K40" s="28" t="n">
        <v>1.5</v>
      </c>
      <c r="L40" s="36" t="n">
        <v>0.86</v>
      </c>
      <c r="M40" s="36" t="n">
        <v>1.29</v>
      </c>
      <c r="N40" s="36" t="n">
        <v>0.64</v>
      </c>
      <c r="O40" s="36" t="n">
        <v>0.43</v>
      </c>
      <c r="P40" s="36" t="n">
        <v>1.5</v>
      </c>
      <c r="Q40" s="36" t="n">
        <v>1.93</v>
      </c>
      <c r="R40" s="28" t="n">
        <v>0.21</v>
      </c>
      <c r="S40" s="36" t="n">
        <v>1.29</v>
      </c>
      <c r="T40" s="36" t="n">
        <v>0.64</v>
      </c>
      <c r="U40" s="36" t="n">
        <v>0.99</v>
      </c>
      <c r="V40" s="36" t="n">
        <v>0.92</v>
      </c>
      <c r="W40" s="36" t="n">
        <v>1.13</v>
      </c>
      <c r="X40" s="36" t="n">
        <v>0.57</v>
      </c>
      <c r="Y40" s="28" t="n">
        <v>1.56</v>
      </c>
      <c r="Z40" s="36" t="n">
        <v>1.06</v>
      </c>
      <c r="AA40" s="36" t="n">
        <v>1.56</v>
      </c>
      <c r="AB40" s="36" t="n">
        <v>1.06</v>
      </c>
      <c r="AC40" s="36" t="n">
        <v>1.13</v>
      </c>
      <c r="AD40" s="36" t="n">
        <v>7</v>
      </c>
      <c r="AE40" s="36" t="n">
        <v>3.11</v>
      </c>
      <c r="AF40" s="28" t="n">
        <v>2.62</v>
      </c>
      <c r="AG40" s="36" t="n">
        <v>1.98</v>
      </c>
      <c r="AH40" s="37" t="n">
        <v>1.06</v>
      </c>
      <c r="AI40" s="37" t="n">
        <v>1.06</v>
      </c>
      <c r="AJ40" s="37" t="n">
        <v>0.92</v>
      </c>
      <c r="AK40" s="37" t="n">
        <v>2.62</v>
      </c>
      <c r="AL40" s="37" t="n">
        <v>0.99</v>
      </c>
      <c r="AM40" s="37" t="n">
        <v>1.84</v>
      </c>
      <c r="AN40" s="37" t="n">
        <v>1.06</v>
      </c>
      <c r="AO40" s="37" t="n">
        <v>1.06</v>
      </c>
      <c r="AP40" s="37" t="n">
        <v>2.05</v>
      </c>
      <c r="AQ40" s="37" t="n">
        <v>1.27</v>
      </c>
      <c r="AR40" s="37" t="n">
        <v>1.06</v>
      </c>
      <c r="AS40" s="37" t="n">
        <v>0.42</v>
      </c>
      <c r="AT40" s="37" t="n">
        <v>1.34</v>
      </c>
      <c r="AU40" s="37" t="n">
        <v>2.33</v>
      </c>
      <c r="AV40" s="37" t="n">
        <v>2.76</v>
      </c>
      <c r="AW40" s="37" t="n">
        <v>1.06</v>
      </c>
      <c r="AX40" s="37" t="n">
        <v>0.92</v>
      </c>
      <c r="AY40" s="37" t="n">
        <v>0.99</v>
      </c>
      <c r="AZ40" s="37" t="n">
        <v>0.42</v>
      </c>
      <c r="BA40" s="37" t="n">
        <v>1.2</v>
      </c>
      <c r="BB40" s="37" t="n">
        <v>0.78</v>
      </c>
      <c r="BC40" s="37" t="n">
        <v>0.14</v>
      </c>
      <c r="BD40" s="37" t="n">
        <v>0.28</v>
      </c>
      <c r="BE40" s="37" t="n">
        <v>1.13</v>
      </c>
      <c r="BF40" s="37" t="n">
        <v>0.99</v>
      </c>
      <c r="BG40" s="37" t="n">
        <v>0.5</v>
      </c>
      <c r="BH40" s="37" t="n">
        <v>1.41</v>
      </c>
      <c r="BI40" s="37" t="n">
        <v>1.13</v>
      </c>
      <c r="BJ40" s="37" t="n">
        <v>8.199999999999999</v>
      </c>
      <c r="BK40" s="37" t="n">
        <v>2.97</v>
      </c>
      <c r="BL40" s="37" t="n">
        <v>1.41</v>
      </c>
      <c r="BM40" s="37" t="n">
        <v>0.92</v>
      </c>
      <c r="BN40" s="37" t="n">
        <v>0.5</v>
      </c>
      <c r="BO40" s="37" t="n">
        <v>2.12</v>
      </c>
      <c r="BP40" s="37" t="n">
        <v>2.97</v>
      </c>
      <c r="BQ40" s="37" t="n">
        <v>2.26</v>
      </c>
      <c r="BR40" s="37" t="n">
        <v>1.2</v>
      </c>
      <c r="BS40" s="37" t="n">
        <v>0.99</v>
      </c>
      <c r="BT40" s="37" t="n">
        <v>0.78</v>
      </c>
      <c r="BU40" s="37" t="n">
        <v>1.27</v>
      </c>
      <c r="BV40" s="37" t="n">
        <v>1.56</v>
      </c>
      <c r="BW40" s="37" t="n">
        <v>1.13</v>
      </c>
      <c r="BX40" s="37" t="n">
        <v>1.13</v>
      </c>
      <c r="BY40" s="37" t="n">
        <v>1.2</v>
      </c>
      <c r="BZ40" s="37" t="n">
        <v>2.69</v>
      </c>
      <c r="CA40" s="37" t="n">
        <v>1.13</v>
      </c>
      <c r="CB40" s="37" t="n">
        <v>0.5</v>
      </c>
      <c r="CC40" s="37" t="n">
        <v>107.63</v>
      </c>
    </row>
    <row r="41" ht="15.75" customHeight="1" s="57">
      <c r="A41" s="7" t="inlineStr">
        <is>
          <t>NTB</t>
        </is>
      </c>
      <c r="B41" s="7" t="inlineStr">
        <is>
          <t>Bình Thuận</t>
        </is>
      </c>
      <c r="C41" s="7" t="n">
        <v>21067000</v>
      </c>
      <c r="D41" s="7" t="inlineStr">
        <is>
          <t>(BTH) Tân Hải</t>
        </is>
      </c>
      <c r="E41" s="7" t="inlineStr">
        <is>
          <t>TTS</t>
        </is>
      </c>
      <c r="F41" s="36" t="n">
        <v>59</v>
      </c>
      <c r="G41" s="36" t="n">
        <v>44</v>
      </c>
      <c r="H41" s="36" t="n">
        <v>48</v>
      </c>
      <c r="I41" s="36" t="n">
        <v>27</v>
      </c>
      <c r="J41" s="36" t="n">
        <v>49</v>
      </c>
      <c r="K41" s="28" t="n">
        <v>59</v>
      </c>
      <c r="L41" s="36" t="n">
        <v>61</v>
      </c>
      <c r="M41" s="36" t="n">
        <v>36</v>
      </c>
      <c r="N41" s="36" t="n">
        <v>29</v>
      </c>
      <c r="O41" s="36" t="n">
        <v>36</v>
      </c>
      <c r="P41" s="36" t="n">
        <v>41</v>
      </c>
      <c r="Q41" s="36" t="n">
        <v>58</v>
      </c>
      <c r="R41" s="28" t="n">
        <v>36</v>
      </c>
      <c r="S41" s="36" t="n">
        <v>62</v>
      </c>
      <c r="T41" s="36" t="n">
        <v>42</v>
      </c>
      <c r="U41" s="36" t="n">
        <v>85.56</v>
      </c>
      <c r="V41" s="36" t="n">
        <v>84.48999999999999</v>
      </c>
      <c r="W41" s="36" t="n">
        <v>82.39</v>
      </c>
      <c r="X41" s="36" t="n">
        <v>66.59</v>
      </c>
      <c r="Y41" s="28" t="n">
        <v>97.25</v>
      </c>
      <c r="Z41" s="36" t="n">
        <v>82.39</v>
      </c>
      <c r="AA41" s="36" t="n">
        <v>90.89</v>
      </c>
      <c r="AB41" s="36" t="n">
        <v>101.24</v>
      </c>
      <c r="AC41" s="36" t="n">
        <v>106.68</v>
      </c>
      <c r="AD41" s="36" t="n">
        <v>91.94</v>
      </c>
      <c r="AE41" s="36" t="n">
        <v>76.89</v>
      </c>
      <c r="AF41" s="28" t="n">
        <v>100.07</v>
      </c>
      <c r="AG41" s="36" t="n">
        <v>83.70999999999999</v>
      </c>
      <c r="AH41" s="37" t="n">
        <v>83.11</v>
      </c>
      <c r="AI41" s="37" t="n">
        <v>94.95999999999999</v>
      </c>
      <c r="AJ41" s="37" t="n">
        <v>101.96</v>
      </c>
      <c r="AK41" s="37" t="n">
        <v>100.4</v>
      </c>
      <c r="AL41" s="37" t="n">
        <v>71.86</v>
      </c>
      <c r="AM41" s="37" t="n">
        <v>98.87</v>
      </c>
      <c r="AN41" s="37" t="n">
        <v>84.73</v>
      </c>
      <c r="AO41" s="37" t="n">
        <v>84.06999999999999</v>
      </c>
      <c r="AP41" s="37" t="n">
        <v>82.20999999999999</v>
      </c>
      <c r="AQ41" s="37" t="n">
        <v>82.81</v>
      </c>
      <c r="AR41" s="37" t="n">
        <v>81.43000000000001</v>
      </c>
      <c r="AS41" s="37" t="n">
        <v>66.71000000000001</v>
      </c>
      <c r="AT41" s="37" t="n">
        <v>106.41</v>
      </c>
      <c r="AU41" s="37" t="n">
        <v>95.62</v>
      </c>
      <c r="AV41" s="37" t="n">
        <v>85.5</v>
      </c>
      <c r="AW41" s="37" t="n">
        <v>81.25</v>
      </c>
      <c r="AX41" s="37" t="n">
        <v>80.72</v>
      </c>
      <c r="AY41" s="37" t="n">
        <v>80.18000000000001</v>
      </c>
      <c r="AZ41" s="37" t="n">
        <v>67.01000000000001</v>
      </c>
      <c r="BA41" s="37" t="n">
        <v>96.36</v>
      </c>
      <c r="BB41" s="37" t="n">
        <v>89.20999999999999</v>
      </c>
      <c r="BC41" s="37" t="n">
        <v>44.66</v>
      </c>
      <c r="BD41" s="37" t="n">
        <v>65.22</v>
      </c>
      <c r="BE41" s="37" t="n">
        <v>153.35</v>
      </c>
      <c r="BF41" s="37" t="n">
        <v>149.34</v>
      </c>
      <c r="BG41" s="37" t="n">
        <v>71.86</v>
      </c>
      <c r="BH41" s="37" t="n">
        <v>106.29</v>
      </c>
      <c r="BI41" s="37" t="n">
        <v>89.20999999999999</v>
      </c>
      <c r="BJ41" s="37" t="n">
        <v>70.64</v>
      </c>
      <c r="BK41" s="37" t="n">
        <v>90.77</v>
      </c>
      <c r="BL41" s="37" t="n">
        <v>90.89</v>
      </c>
      <c r="BM41" s="37" t="n">
        <v>88.31999999999999</v>
      </c>
      <c r="BN41" s="37" t="n">
        <v>71.86</v>
      </c>
      <c r="BO41" s="37" t="n">
        <v>106.29</v>
      </c>
      <c r="BP41" s="37" t="n">
        <v>89.20999999999999</v>
      </c>
      <c r="BQ41" s="37" t="n">
        <v>88.48999999999999</v>
      </c>
      <c r="BR41" s="37" t="n">
        <v>90.77</v>
      </c>
      <c r="BS41" s="37" t="n">
        <v>90.89</v>
      </c>
      <c r="BT41" s="37" t="n">
        <v>88.31999999999999</v>
      </c>
      <c r="BU41" s="37" t="n">
        <v>71.86</v>
      </c>
      <c r="BV41" s="37" t="n">
        <v>106.29</v>
      </c>
      <c r="BW41" s="37" t="n">
        <v>89.20999999999999</v>
      </c>
      <c r="BX41" s="37" t="n">
        <v>88.48999999999999</v>
      </c>
      <c r="BY41" s="37" t="n">
        <v>90.77</v>
      </c>
      <c r="BZ41" s="37" t="n">
        <v>90.89</v>
      </c>
      <c r="CA41" s="37" t="n">
        <v>88.31999999999999</v>
      </c>
      <c r="CB41" s="37" t="n">
        <v>71.86</v>
      </c>
      <c r="CC41" s="37" t="n">
        <v>5996.54</v>
      </c>
    </row>
    <row r="42" ht="15.75" customHeight="1" s="57">
      <c r="A42" s="7" t="inlineStr">
        <is>
          <t>NTB</t>
        </is>
      </c>
      <c r="B42" s="7" t="inlineStr">
        <is>
          <t>Bình Thuận</t>
        </is>
      </c>
      <c r="C42" s="7" t="n">
        <v>21067000</v>
      </c>
      <c r="D42" s="7" t="inlineStr">
        <is>
          <t>(BTH) Tân Hải</t>
        </is>
      </c>
      <c r="E42" s="7" t="inlineStr">
        <is>
          <t>TTS-Bulky</t>
        </is>
      </c>
      <c r="F42" s="36" t="n">
        <v>12</v>
      </c>
      <c r="G42" s="36" t="n">
        <v>20</v>
      </c>
      <c r="H42" s="36" t="n">
        <v>11</v>
      </c>
      <c r="I42" s="36" t="n">
        <v>0</v>
      </c>
      <c r="J42" s="36" t="n">
        <v>1</v>
      </c>
      <c r="K42" s="28" t="n">
        <v>0</v>
      </c>
      <c r="L42" s="36" t="n">
        <v>0</v>
      </c>
      <c r="M42" s="36" t="n">
        <v>0</v>
      </c>
      <c r="N42" s="36" t="n">
        <v>0</v>
      </c>
      <c r="O42" s="36" t="n">
        <v>0</v>
      </c>
      <c r="P42" s="36" t="n">
        <v>0</v>
      </c>
      <c r="Q42" s="36" t="n">
        <v>0</v>
      </c>
      <c r="R42" s="28" t="n">
        <v>1</v>
      </c>
      <c r="S42" s="36" t="n">
        <v>0</v>
      </c>
      <c r="T42" s="36" t="n">
        <v>0</v>
      </c>
      <c r="U42" s="36" t="n">
        <v>52.25</v>
      </c>
      <c r="V42" s="36" t="n">
        <v>52.25</v>
      </c>
      <c r="W42" s="36" t="n">
        <v>22.92</v>
      </c>
      <c r="X42" s="36" t="n">
        <v>22</v>
      </c>
      <c r="Y42" s="28" t="n">
        <v>25.67</v>
      </c>
      <c r="Z42" s="36" t="n">
        <v>24.75</v>
      </c>
      <c r="AA42" s="36" t="n">
        <v>28.42</v>
      </c>
      <c r="AB42" s="36" t="n">
        <v>25.67</v>
      </c>
      <c r="AC42" s="36" t="n">
        <v>30.25</v>
      </c>
      <c r="AD42" s="36" t="n">
        <v>7.33</v>
      </c>
      <c r="AE42" s="36" t="n">
        <v>22</v>
      </c>
      <c r="AF42" s="28" t="n">
        <v>32.08</v>
      </c>
      <c r="AG42" s="36" t="n">
        <v>26.58</v>
      </c>
      <c r="AH42" s="37" t="n">
        <v>22.92</v>
      </c>
      <c r="AI42" s="37" t="n">
        <v>25.67</v>
      </c>
      <c r="AJ42" s="37" t="n">
        <v>25.67</v>
      </c>
      <c r="AK42" s="37" t="n">
        <v>25.67</v>
      </c>
      <c r="AL42" s="37" t="n">
        <v>22</v>
      </c>
      <c r="AM42" s="37" t="n">
        <v>25.67</v>
      </c>
      <c r="AN42" s="37" t="n">
        <v>22.92</v>
      </c>
      <c r="AO42" s="37" t="n">
        <v>22.92</v>
      </c>
      <c r="AP42" s="37" t="n">
        <v>26.58</v>
      </c>
      <c r="AQ42" s="37" t="n">
        <v>28.42</v>
      </c>
      <c r="AR42" s="37" t="n">
        <v>22.92</v>
      </c>
      <c r="AS42" s="37" t="n">
        <v>22</v>
      </c>
      <c r="AT42" s="37" t="n">
        <v>33</v>
      </c>
      <c r="AU42" s="37" t="n">
        <v>29.33</v>
      </c>
      <c r="AV42" s="37" t="n">
        <v>22.92</v>
      </c>
      <c r="AW42" s="37" t="n">
        <v>22.92</v>
      </c>
      <c r="AX42" s="37" t="n">
        <v>27.5</v>
      </c>
      <c r="AY42" s="37" t="n">
        <v>22.92</v>
      </c>
      <c r="AZ42" s="37" t="n">
        <v>22</v>
      </c>
      <c r="BA42" s="37" t="n">
        <v>25.67</v>
      </c>
      <c r="BB42" s="37" t="n">
        <v>7.33</v>
      </c>
      <c r="BC42" s="37" t="n">
        <v>3.67</v>
      </c>
      <c r="BD42" s="37" t="n">
        <v>5.5</v>
      </c>
      <c r="BE42" s="37" t="n">
        <v>7.33</v>
      </c>
      <c r="BF42" s="37" t="n">
        <v>7.33</v>
      </c>
      <c r="BG42" s="37" t="n">
        <v>5.5</v>
      </c>
      <c r="BH42" s="37" t="n">
        <v>8.25</v>
      </c>
      <c r="BI42" s="37" t="n">
        <v>7.33</v>
      </c>
      <c r="BJ42" s="37" t="n">
        <v>1.83</v>
      </c>
      <c r="BK42" s="37" t="n">
        <v>7.33</v>
      </c>
      <c r="BL42" s="37" t="n">
        <v>7.33</v>
      </c>
      <c r="BM42" s="37" t="n">
        <v>7.33</v>
      </c>
      <c r="BN42" s="37" t="n">
        <v>5.5</v>
      </c>
      <c r="BO42" s="37" t="n">
        <v>9.17</v>
      </c>
      <c r="BP42" s="37" t="n">
        <v>8.25</v>
      </c>
      <c r="BQ42" s="37" t="n">
        <v>7.33</v>
      </c>
      <c r="BR42" s="37" t="n">
        <v>7.33</v>
      </c>
      <c r="BS42" s="37" t="n">
        <v>7.33</v>
      </c>
      <c r="BT42" s="37" t="n">
        <v>7.33</v>
      </c>
      <c r="BU42" s="37" t="n">
        <v>5.5</v>
      </c>
      <c r="BV42" s="37" t="n">
        <v>8.25</v>
      </c>
      <c r="BW42" s="37" t="n">
        <v>7.33</v>
      </c>
      <c r="BX42" s="37" t="n">
        <v>7.33</v>
      </c>
      <c r="BY42" s="37" t="n">
        <v>7.33</v>
      </c>
      <c r="BZ42" s="37" t="n">
        <v>7.33</v>
      </c>
      <c r="CA42" s="37" t="n">
        <v>7.33</v>
      </c>
      <c r="CB42" s="37" t="n">
        <v>5.5</v>
      </c>
      <c r="CC42" s="37" t="n">
        <v>1100.99</v>
      </c>
    </row>
    <row r="43" ht="15.75" customHeight="1" s="57">
      <c r="A43" s="7" t="inlineStr">
        <is>
          <t>NTB</t>
        </is>
      </c>
      <c r="B43" s="7" t="inlineStr">
        <is>
          <t>Bình Thuận</t>
        </is>
      </c>
      <c r="C43" s="7" t="n">
        <v>21285000</v>
      </c>
      <c r="D43" s="7" t="inlineStr">
        <is>
          <t>Kho Giao Hàng Nặng - Phan Thiết - Bình Thuận</t>
        </is>
      </c>
      <c r="E43" s="7" t="inlineStr">
        <is>
          <t>SME</t>
        </is>
      </c>
      <c r="F43" s="36" t="n">
        <v>30</v>
      </c>
      <c r="G43" s="36" t="n">
        <v>2</v>
      </c>
      <c r="H43" s="36" t="n">
        <v>17</v>
      </c>
      <c r="I43" s="36" t="n">
        <v>7</v>
      </c>
      <c r="J43" s="36" t="n">
        <v>7</v>
      </c>
      <c r="K43" s="28" t="n">
        <v>11</v>
      </c>
      <c r="L43" s="36" t="n">
        <v>3</v>
      </c>
      <c r="M43" s="36" t="n">
        <v>7</v>
      </c>
      <c r="N43" s="36" t="n">
        <v>14</v>
      </c>
      <c r="O43" s="36" t="n">
        <v>3</v>
      </c>
      <c r="P43" s="36" t="n">
        <v>1</v>
      </c>
      <c r="Q43" s="36" t="n">
        <v>1</v>
      </c>
      <c r="R43" s="28" t="n">
        <v>3</v>
      </c>
      <c r="S43" s="36" t="n">
        <v>2</v>
      </c>
      <c r="T43" s="36" t="n">
        <v>16</v>
      </c>
      <c r="U43" s="36" t="n">
        <v>8.289999999999999</v>
      </c>
      <c r="V43" s="36" t="n">
        <v>8.630000000000001</v>
      </c>
      <c r="W43" s="36" t="n">
        <v>8.369999999999999</v>
      </c>
      <c r="X43" s="36" t="n">
        <v>6.88</v>
      </c>
      <c r="Y43" s="28" t="n">
        <v>9.279999999999999</v>
      </c>
      <c r="Z43" s="36" t="n">
        <v>8.57</v>
      </c>
      <c r="AA43" s="36" t="n">
        <v>8.33</v>
      </c>
      <c r="AB43" s="36" t="n">
        <v>8.289999999999999</v>
      </c>
      <c r="AC43" s="36" t="n">
        <v>8.630000000000001</v>
      </c>
      <c r="AD43" s="36" t="n">
        <v>6.17</v>
      </c>
      <c r="AE43" s="36" t="n">
        <v>6.88</v>
      </c>
      <c r="AF43" s="28" t="n">
        <v>9.279999999999999</v>
      </c>
      <c r="AG43" s="36" t="n">
        <v>8.57</v>
      </c>
      <c r="AH43" s="37" t="n">
        <v>8.33</v>
      </c>
      <c r="AI43" s="37" t="n">
        <v>8.289999999999999</v>
      </c>
      <c r="AJ43" s="37" t="n">
        <v>8.630000000000001</v>
      </c>
      <c r="AK43" s="37" t="n">
        <v>8.369999999999999</v>
      </c>
      <c r="AL43" s="37" t="n">
        <v>6.88</v>
      </c>
      <c r="AM43" s="37" t="n">
        <v>9.279999999999999</v>
      </c>
      <c r="AN43" s="37" t="n">
        <v>8.57</v>
      </c>
      <c r="AO43" s="37" t="n">
        <v>8.33</v>
      </c>
      <c r="AP43" s="37" t="n">
        <v>8.289999999999999</v>
      </c>
      <c r="AQ43" s="37" t="n">
        <v>8.630000000000001</v>
      </c>
      <c r="AR43" s="37" t="n">
        <v>8.369999999999999</v>
      </c>
      <c r="AS43" s="37" t="n">
        <v>6.88</v>
      </c>
      <c r="AT43" s="37" t="n">
        <v>9.279999999999999</v>
      </c>
      <c r="AU43" s="37" t="n">
        <v>8.57</v>
      </c>
      <c r="AV43" s="37" t="n">
        <v>8.33</v>
      </c>
      <c r="AW43" s="37" t="n">
        <v>8.289999999999999</v>
      </c>
      <c r="AX43" s="37" t="n">
        <v>8.630000000000001</v>
      </c>
      <c r="AY43" s="37" t="n">
        <v>8.369999999999999</v>
      </c>
      <c r="AZ43" s="37" t="n">
        <v>6.88</v>
      </c>
      <c r="BA43" s="37" t="n">
        <v>8.83</v>
      </c>
      <c r="BB43" s="37" t="n">
        <v>7.82</v>
      </c>
      <c r="BC43" s="37" t="n">
        <v>4.79</v>
      </c>
      <c r="BD43" s="37" t="n">
        <v>3.76</v>
      </c>
      <c r="BE43" s="37" t="n">
        <v>8.08</v>
      </c>
      <c r="BF43" s="37" t="n">
        <v>7.85</v>
      </c>
      <c r="BG43" s="37" t="n">
        <v>7.09</v>
      </c>
      <c r="BH43" s="37" t="n">
        <v>9.57</v>
      </c>
      <c r="BI43" s="37" t="n">
        <v>8.85</v>
      </c>
      <c r="BJ43" s="37" t="n">
        <v>6.33</v>
      </c>
      <c r="BK43" s="37" t="n">
        <v>8.539999999999999</v>
      </c>
      <c r="BL43" s="37" t="n">
        <v>8.9</v>
      </c>
      <c r="BM43" s="37" t="n">
        <v>8.619999999999999</v>
      </c>
      <c r="BN43" s="37" t="n">
        <v>7.09</v>
      </c>
      <c r="BO43" s="37" t="n">
        <v>9.57</v>
      </c>
      <c r="BP43" s="37" t="n">
        <v>8.85</v>
      </c>
      <c r="BQ43" s="37" t="n">
        <v>8.58</v>
      </c>
      <c r="BR43" s="37" t="n">
        <v>8.539999999999999</v>
      </c>
      <c r="BS43" s="37" t="n">
        <v>8.9</v>
      </c>
      <c r="BT43" s="37" t="n">
        <v>8.619999999999999</v>
      </c>
      <c r="BU43" s="37" t="n">
        <v>7.09</v>
      </c>
      <c r="BV43" s="37" t="n">
        <v>9.57</v>
      </c>
      <c r="BW43" s="37" t="n">
        <v>8.85</v>
      </c>
      <c r="BX43" s="37" t="n">
        <v>8.58</v>
      </c>
      <c r="BY43" s="37" t="n">
        <v>8.539999999999999</v>
      </c>
      <c r="BZ43" s="37" t="n">
        <v>8.9</v>
      </c>
      <c r="CA43" s="37" t="n">
        <v>8.619999999999999</v>
      </c>
      <c r="CB43" s="37" t="n">
        <v>7.09</v>
      </c>
      <c r="CC43" s="37" t="n">
        <v>613.79</v>
      </c>
    </row>
    <row r="44" ht="15.75" customHeight="1" s="57">
      <c r="A44" s="7" t="inlineStr">
        <is>
          <t>NTB</t>
        </is>
      </c>
      <c r="B44" s="7" t="inlineStr">
        <is>
          <t>Bình Thuận</t>
        </is>
      </c>
      <c r="C44" s="7" t="n">
        <v>21290000</v>
      </c>
      <c r="D44" s="7" t="inlineStr">
        <is>
          <t>(BTH) Tuyên Quang</t>
        </is>
      </c>
      <c r="E44" s="7" t="inlineStr">
        <is>
          <t>SME</t>
        </is>
      </c>
      <c r="F44" s="36" t="n">
        <v>17</v>
      </c>
      <c r="G44" s="36" t="n">
        <v>31</v>
      </c>
      <c r="H44" s="36" t="n">
        <v>24</v>
      </c>
      <c r="I44" s="36" t="n">
        <v>81</v>
      </c>
      <c r="J44" s="36" t="n">
        <v>18</v>
      </c>
      <c r="K44" s="28" t="n">
        <v>48</v>
      </c>
      <c r="L44" s="36" t="n">
        <v>19</v>
      </c>
      <c r="M44" s="36" t="n">
        <v>18</v>
      </c>
      <c r="N44" s="36" t="n">
        <v>41</v>
      </c>
      <c r="O44" s="36" t="n">
        <v>61</v>
      </c>
      <c r="P44" s="36" t="n">
        <v>35</v>
      </c>
      <c r="Q44" s="36" t="n">
        <v>13</v>
      </c>
      <c r="R44" s="28" t="n">
        <v>33</v>
      </c>
      <c r="S44" s="36" t="n">
        <v>39</v>
      </c>
      <c r="T44" s="36" t="n">
        <v>15</v>
      </c>
      <c r="U44" s="36" t="n">
        <v>43.36</v>
      </c>
      <c r="V44" s="36" t="n">
        <v>45.07</v>
      </c>
      <c r="W44" s="36" t="n">
        <v>43.83</v>
      </c>
      <c r="X44" s="36" t="n">
        <v>35.77</v>
      </c>
      <c r="Y44" s="28" t="n">
        <v>48.7</v>
      </c>
      <c r="Z44" s="36" t="n">
        <v>44.77</v>
      </c>
      <c r="AA44" s="36" t="n">
        <v>43.64</v>
      </c>
      <c r="AB44" s="36" t="n">
        <v>43.36</v>
      </c>
      <c r="AC44" s="36" t="n">
        <v>45.07</v>
      </c>
      <c r="AD44" s="36" t="n">
        <v>34.05</v>
      </c>
      <c r="AE44" s="36" t="n">
        <v>35.77</v>
      </c>
      <c r="AF44" s="28" t="n">
        <v>48.7</v>
      </c>
      <c r="AG44" s="36" t="n">
        <v>44.77</v>
      </c>
      <c r="AH44" s="37" t="n">
        <v>43.64</v>
      </c>
      <c r="AI44" s="37" t="n">
        <v>43.36</v>
      </c>
      <c r="AJ44" s="37" t="n">
        <v>45.07</v>
      </c>
      <c r="AK44" s="37" t="n">
        <v>43.83</v>
      </c>
      <c r="AL44" s="37" t="n">
        <v>35.77</v>
      </c>
      <c r="AM44" s="37" t="n">
        <v>48.7</v>
      </c>
      <c r="AN44" s="37" t="n">
        <v>44.77</v>
      </c>
      <c r="AO44" s="37" t="n">
        <v>43.64</v>
      </c>
      <c r="AP44" s="37" t="n">
        <v>43.36</v>
      </c>
      <c r="AQ44" s="37" t="n">
        <v>45.07</v>
      </c>
      <c r="AR44" s="37" t="n">
        <v>43.83</v>
      </c>
      <c r="AS44" s="37" t="n">
        <v>35.77</v>
      </c>
      <c r="AT44" s="37" t="n">
        <v>48.7</v>
      </c>
      <c r="AU44" s="37" t="n">
        <v>44.77</v>
      </c>
      <c r="AV44" s="37" t="n">
        <v>43.64</v>
      </c>
      <c r="AW44" s="37" t="n">
        <v>43.36</v>
      </c>
      <c r="AX44" s="37" t="n">
        <v>45.07</v>
      </c>
      <c r="AY44" s="37" t="n">
        <v>43.83</v>
      </c>
      <c r="AZ44" s="37" t="n">
        <v>35.77</v>
      </c>
      <c r="BA44" s="37" t="n">
        <v>46.15000000000001</v>
      </c>
      <c r="BB44" s="37" t="n">
        <v>41</v>
      </c>
      <c r="BC44" s="37" t="n">
        <v>24.82</v>
      </c>
      <c r="BD44" s="37" t="n">
        <v>19.03</v>
      </c>
      <c r="BE44" s="37" t="n">
        <v>42.23999999999999</v>
      </c>
      <c r="BF44" s="37" t="n">
        <v>41.15000000000001</v>
      </c>
      <c r="BG44" s="37" t="n">
        <v>36.78</v>
      </c>
      <c r="BH44" s="37" t="n">
        <v>50.09</v>
      </c>
      <c r="BI44" s="37" t="n">
        <v>46.11</v>
      </c>
      <c r="BJ44" s="37" t="n">
        <v>34.8</v>
      </c>
      <c r="BK44" s="37" t="n">
        <v>44.55</v>
      </c>
      <c r="BL44" s="37" t="n">
        <v>46.38</v>
      </c>
      <c r="BM44" s="37" t="n">
        <v>45.02999999999999</v>
      </c>
      <c r="BN44" s="37" t="n">
        <v>36.78</v>
      </c>
      <c r="BO44" s="37" t="n">
        <v>50.09</v>
      </c>
      <c r="BP44" s="37" t="n">
        <v>46.11</v>
      </c>
      <c r="BQ44" s="37" t="n">
        <v>44.84</v>
      </c>
      <c r="BR44" s="37" t="n">
        <v>44.55</v>
      </c>
      <c r="BS44" s="37" t="n">
        <v>46.38</v>
      </c>
      <c r="BT44" s="37" t="n">
        <v>45.02999999999999</v>
      </c>
      <c r="BU44" s="37" t="n">
        <v>36.78</v>
      </c>
      <c r="BV44" s="37" t="n">
        <v>50.09</v>
      </c>
      <c r="BW44" s="37" t="n">
        <v>46.11</v>
      </c>
      <c r="BX44" s="37" t="n">
        <v>44.84</v>
      </c>
      <c r="BY44" s="37" t="n">
        <v>44.55</v>
      </c>
      <c r="BZ44" s="37" t="n">
        <v>46.38</v>
      </c>
      <c r="CA44" s="37" t="n">
        <v>45.02999999999999</v>
      </c>
      <c r="CB44" s="37" t="n">
        <v>36.78</v>
      </c>
      <c r="CC44" s="37" t="n">
        <v>3054.280000000003</v>
      </c>
    </row>
    <row r="45" ht="15.75" customHeight="1" s="57">
      <c r="A45" s="7" t="inlineStr">
        <is>
          <t>NTB</t>
        </is>
      </c>
      <c r="B45" s="7" t="inlineStr">
        <is>
          <t>Bình Thuận</t>
        </is>
      </c>
      <c r="C45" s="7" t="n">
        <v>21290000</v>
      </c>
      <c r="D45" s="7" t="inlineStr">
        <is>
          <t>(BTH) Tuyên Quang</t>
        </is>
      </c>
      <c r="E45" s="7" t="inlineStr">
        <is>
          <t>SME-Bulky</t>
        </is>
      </c>
      <c r="F45" s="36" t="n">
        <v>5</v>
      </c>
      <c r="G45" s="36" t="n">
        <v>11</v>
      </c>
      <c r="H45" s="36" t="n">
        <v>7</v>
      </c>
      <c r="I45" s="36" t="n">
        <v>10</v>
      </c>
      <c r="J45" s="36" t="n">
        <v>7</v>
      </c>
      <c r="K45" s="28" t="n">
        <v>8</v>
      </c>
      <c r="L45" s="36" t="n">
        <v>7</v>
      </c>
      <c r="M45" s="36" t="n">
        <v>6</v>
      </c>
      <c r="N45" s="36" t="n">
        <v>2</v>
      </c>
      <c r="O45" s="36" t="n">
        <v>6</v>
      </c>
      <c r="P45" s="36" t="n">
        <v>8</v>
      </c>
      <c r="Q45" s="36" t="n">
        <v>2</v>
      </c>
      <c r="R45" s="28" t="n">
        <v>5</v>
      </c>
      <c r="S45" s="36" t="n">
        <v>4</v>
      </c>
      <c r="T45" s="36" t="n">
        <v>5</v>
      </c>
      <c r="U45" s="36" t="n">
        <v>7.71</v>
      </c>
      <c r="V45" s="36" t="n">
        <v>7.71</v>
      </c>
      <c r="W45" s="36" t="n">
        <v>7.5</v>
      </c>
      <c r="X45" s="36" t="n">
        <v>5.39</v>
      </c>
      <c r="Y45" s="28" t="n">
        <v>9.5</v>
      </c>
      <c r="Z45" s="36" t="n">
        <v>9.82</v>
      </c>
      <c r="AA45" s="36" t="n">
        <v>8.029999999999999</v>
      </c>
      <c r="AB45" s="36" t="n">
        <v>7.71</v>
      </c>
      <c r="AC45" s="36" t="n">
        <v>7.71</v>
      </c>
      <c r="AD45" s="36" t="n">
        <v>5.81</v>
      </c>
      <c r="AE45" s="36" t="n">
        <v>5.39</v>
      </c>
      <c r="AF45" s="28" t="n">
        <v>9.5</v>
      </c>
      <c r="AG45" s="36" t="n">
        <v>9.82</v>
      </c>
      <c r="AH45" s="37" t="n">
        <v>8.029999999999999</v>
      </c>
      <c r="AI45" s="37" t="n">
        <v>7.71</v>
      </c>
      <c r="AJ45" s="37" t="n">
        <v>7.71</v>
      </c>
      <c r="AK45" s="37" t="n">
        <v>7.5</v>
      </c>
      <c r="AL45" s="37" t="n">
        <v>5.39</v>
      </c>
      <c r="AM45" s="37" t="n">
        <v>9.5</v>
      </c>
      <c r="AN45" s="37" t="n">
        <v>9.82</v>
      </c>
      <c r="AO45" s="37" t="n">
        <v>8.029999999999999</v>
      </c>
      <c r="AP45" s="37" t="n">
        <v>7.71</v>
      </c>
      <c r="AQ45" s="37" t="n">
        <v>7.71</v>
      </c>
      <c r="AR45" s="37" t="n">
        <v>7.5</v>
      </c>
      <c r="AS45" s="37" t="n">
        <v>5.39</v>
      </c>
      <c r="AT45" s="37" t="n">
        <v>9.5</v>
      </c>
      <c r="AU45" s="37" t="n">
        <v>9.82</v>
      </c>
      <c r="AV45" s="37" t="n">
        <v>8.029999999999999</v>
      </c>
      <c r="AW45" s="37" t="n">
        <v>7.71</v>
      </c>
      <c r="AX45" s="37" t="n">
        <v>7.71</v>
      </c>
      <c r="AY45" s="37" t="n">
        <v>7.5</v>
      </c>
      <c r="AZ45" s="37" t="n">
        <v>5.39</v>
      </c>
      <c r="BA45" s="37" t="n">
        <v>9.82</v>
      </c>
      <c r="BB45" s="37" t="n">
        <v>5.49</v>
      </c>
      <c r="BC45" s="37" t="n">
        <v>2.64</v>
      </c>
      <c r="BD45" s="37" t="n">
        <v>1.48</v>
      </c>
      <c r="BE45" s="37" t="n">
        <v>4.33</v>
      </c>
      <c r="BF45" s="37" t="n">
        <v>4.22</v>
      </c>
      <c r="BG45" s="37" t="n">
        <v>2.96</v>
      </c>
      <c r="BH45" s="37" t="n">
        <v>5.28</v>
      </c>
      <c r="BI45" s="37" t="n">
        <v>5.49</v>
      </c>
      <c r="BJ45" s="37" t="n">
        <v>3.8</v>
      </c>
      <c r="BK45" s="37" t="n">
        <v>4.33</v>
      </c>
      <c r="BL45" s="37" t="n">
        <v>4.33</v>
      </c>
      <c r="BM45" s="37" t="n">
        <v>4.22</v>
      </c>
      <c r="BN45" s="37" t="n">
        <v>2.96</v>
      </c>
      <c r="BO45" s="37" t="n">
        <v>5.28</v>
      </c>
      <c r="BP45" s="37" t="n">
        <v>5.49</v>
      </c>
      <c r="BQ45" s="37" t="n">
        <v>4.54</v>
      </c>
      <c r="BR45" s="37" t="n">
        <v>4.33</v>
      </c>
      <c r="BS45" s="37" t="n">
        <v>4.33</v>
      </c>
      <c r="BT45" s="37" t="n">
        <v>4.22</v>
      </c>
      <c r="BU45" s="37" t="n">
        <v>2.96</v>
      </c>
      <c r="BV45" s="37" t="n">
        <v>5.28</v>
      </c>
      <c r="BW45" s="37" t="n">
        <v>5.49</v>
      </c>
      <c r="BX45" s="37" t="n">
        <v>4.54</v>
      </c>
      <c r="BY45" s="37" t="n">
        <v>4.33</v>
      </c>
      <c r="BZ45" s="37" t="n">
        <v>4.33</v>
      </c>
      <c r="CA45" s="37" t="n">
        <v>4.22</v>
      </c>
      <c r="CB45" s="37" t="n">
        <v>2.96</v>
      </c>
      <c r="CC45" s="37" t="n">
        <v>465.9099999999997</v>
      </c>
    </row>
    <row r="46" ht="15.75" customHeight="1" s="57">
      <c r="A46" s="7" t="inlineStr">
        <is>
          <t>NTB</t>
        </is>
      </c>
      <c r="B46" s="7" t="inlineStr">
        <is>
          <t>Bình Thuận</t>
        </is>
      </c>
      <c r="C46" s="7" t="n">
        <v>21290000</v>
      </c>
      <c r="D46" s="7" t="inlineStr">
        <is>
          <t>(BTH) Tuyên Quang</t>
        </is>
      </c>
      <c r="E46" s="7" t="inlineStr">
        <is>
          <t>Shopee</t>
        </is>
      </c>
      <c r="F46" s="36" t="n">
        <v>18</v>
      </c>
      <c r="G46" s="36" t="n">
        <v>23</v>
      </c>
      <c r="H46" s="36" t="n">
        <v>26</v>
      </c>
      <c r="I46" s="36" t="n">
        <v>19</v>
      </c>
      <c r="J46" s="36" t="n">
        <v>27</v>
      </c>
      <c r="K46" s="28" t="n">
        <v>22</v>
      </c>
      <c r="L46" s="36" t="n">
        <v>30</v>
      </c>
      <c r="M46" s="36" t="n">
        <v>29</v>
      </c>
      <c r="N46" s="36" t="n">
        <v>18</v>
      </c>
      <c r="O46" s="36" t="n">
        <v>29</v>
      </c>
      <c r="P46" s="36" t="n">
        <v>18</v>
      </c>
      <c r="Q46" s="36" t="n">
        <v>18</v>
      </c>
      <c r="R46" s="28" t="n">
        <v>24</v>
      </c>
      <c r="S46" s="36" t="n">
        <v>20</v>
      </c>
      <c r="T46" s="36" t="n">
        <v>26</v>
      </c>
      <c r="U46" s="36" t="n">
        <v>21.88</v>
      </c>
      <c r="V46" s="36" t="n">
        <v>22.1</v>
      </c>
      <c r="W46" s="36" t="n">
        <v>20.94</v>
      </c>
      <c r="X46" s="36" t="n">
        <v>18.12</v>
      </c>
      <c r="Y46" s="28" t="n">
        <v>29.28</v>
      </c>
      <c r="Z46" s="36" t="n">
        <v>23.2</v>
      </c>
      <c r="AA46" s="36" t="n">
        <v>28.23</v>
      </c>
      <c r="AB46" s="36" t="n">
        <v>22.26</v>
      </c>
      <c r="AC46" s="36" t="n">
        <v>18.01</v>
      </c>
      <c r="AD46" s="36" t="n">
        <v>36.57</v>
      </c>
      <c r="AE46" s="36" t="n">
        <v>19.34</v>
      </c>
      <c r="AF46" s="28" t="n">
        <v>32.32</v>
      </c>
      <c r="AG46" s="36" t="n">
        <v>24.31</v>
      </c>
      <c r="AH46" s="37" t="n">
        <v>25.63</v>
      </c>
      <c r="AI46" s="37" t="n">
        <v>21.88</v>
      </c>
      <c r="AJ46" s="37" t="n">
        <v>22.1</v>
      </c>
      <c r="AK46" s="37" t="n">
        <v>23.04</v>
      </c>
      <c r="AL46" s="37" t="n">
        <v>32.65</v>
      </c>
      <c r="AM46" s="37" t="n">
        <v>29.28</v>
      </c>
      <c r="AN46" s="37" t="n">
        <v>23.2</v>
      </c>
      <c r="AO46" s="37" t="n">
        <v>25.63</v>
      </c>
      <c r="AP46" s="37" t="n">
        <v>23.64</v>
      </c>
      <c r="AQ46" s="37" t="n">
        <v>17.4</v>
      </c>
      <c r="AR46" s="37" t="n">
        <v>20.94</v>
      </c>
      <c r="AS46" s="37" t="n">
        <v>18.12</v>
      </c>
      <c r="AT46" s="37" t="n">
        <v>29.28</v>
      </c>
      <c r="AU46" s="37" t="n">
        <v>25.3</v>
      </c>
      <c r="AV46" s="37" t="n">
        <v>26.24</v>
      </c>
      <c r="AW46" s="37" t="n">
        <v>21.88</v>
      </c>
      <c r="AX46" s="37" t="n">
        <v>22.1</v>
      </c>
      <c r="AY46" s="37" t="n">
        <v>20.94</v>
      </c>
      <c r="AZ46" s="37" t="n">
        <v>18.12</v>
      </c>
      <c r="BA46" s="37" t="n">
        <v>24.97</v>
      </c>
      <c r="BB46" s="37" t="n">
        <v>17.68</v>
      </c>
      <c r="BC46" s="37" t="n">
        <v>7.84</v>
      </c>
      <c r="BD46" s="37" t="n">
        <v>12.87</v>
      </c>
      <c r="BE46" s="37" t="n">
        <v>26.24</v>
      </c>
      <c r="BF46" s="37" t="n">
        <v>25.36</v>
      </c>
      <c r="BG46" s="37" t="n">
        <v>18.06</v>
      </c>
      <c r="BH46" s="37" t="n">
        <v>28.17</v>
      </c>
      <c r="BI46" s="37" t="n">
        <v>18.62</v>
      </c>
      <c r="BJ46" s="37" t="n">
        <v>52.04</v>
      </c>
      <c r="BK46" s="37" t="n">
        <v>22.54</v>
      </c>
      <c r="BL46" s="37" t="n">
        <v>22.37</v>
      </c>
      <c r="BM46" s="37" t="n">
        <v>20.39</v>
      </c>
      <c r="BN46" s="37" t="n">
        <v>17.68</v>
      </c>
      <c r="BO46" s="37" t="n">
        <v>28.17</v>
      </c>
      <c r="BP46" s="37" t="n">
        <v>24.58</v>
      </c>
      <c r="BQ46" s="37" t="n">
        <v>37.46</v>
      </c>
      <c r="BR46" s="37" t="n">
        <v>21.27</v>
      </c>
      <c r="BS46" s="37" t="n">
        <v>21.49</v>
      </c>
      <c r="BT46" s="37" t="n">
        <v>20.39</v>
      </c>
      <c r="BU46" s="37" t="n">
        <v>19.39</v>
      </c>
      <c r="BV46" s="37" t="n">
        <v>22.76</v>
      </c>
      <c r="BW46" s="37" t="n">
        <v>22.54</v>
      </c>
      <c r="BX46" s="37" t="n">
        <v>24.8</v>
      </c>
      <c r="BY46" s="37" t="n">
        <v>21.27</v>
      </c>
      <c r="BZ46" s="37" t="n">
        <v>23.15</v>
      </c>
      <c r="CA46" s="37" t="n">
        <v>20.88</v>
      </c>
      <c r="CB46" s="37" t="n">
        <v>17.68</v>
      </c>
      <c r="CC46" s="37" t="n">
        <v>1751.59</v>
      </c>
    </row>
    <row r="47" ht="15.75" customHeight="1" s="57">
      <c r="A47" s="7" t="inlineStr">
        <is>
          <t>NTB</t>
        </is>
      </c>
      <c r="B47" s="7" t="inlineStr">
        <is>
          <t>Bình Thuận</t>
        </is>
      </c>
      <c r="C47" s="7" t="n">
        <v>21290000</v>
      </c>
      <c r="D47" s="7" t="inlineStr">
        <is>
          <t>(BTH) Tuyên Quang</t>
        </is>
      </c>
      <c r="E47" s="7" t="inlineStr">
        <is>
          <t>Shopee-Bulky</t>
        </is>
      </c>
      <c r="F47" s="36" t="n">
        <v>5.5</v>
      </c>
      <c r="G47" s="36" t="n">
        <v>3.93</v>
      </c>
      <c r="H47" s="36" t="n">
        <v>2.36</v>
      </c>
      <c r="I47" s="36" t="n">
        <v>5.5</v>
      </c>
      <c r="J47" s="36" t="n">
        <v>7.07</v>
      </c>
      <c r="K47" s="28" t="n">
        <v>9.43</v>
      </c>
      <c r="L47" s="36" t="n">
        <v>2.36</v>
      </c>
      <c r="M47" s="36" t="n">
        <v>3.93</v>
      </c>
      <c r="N47" s="36" t="n">
        <v>4.71</v>
      </c>
      <c r="O47" s="36" t="n">
        <v>10.21</v>
      </c>
      <c r="P47" s="36" t="n">
        <v>6.29</v>
      </c>
      <c r="Q47" s="36" t="n">
        <v>7.07</v>
      </c>
      <c r="R47" s="28" t="n">
        <v>8.640000000000001</v>
      </c>
      <c r="S47" s="36" t="n">
        <v>2.36</v>
      </c>
      <c r="T47" s="36" t="n">
        <v>5.5</v>
      </c>
      <c r="U47" s="36" t="n">
        <v>6.39</v>
      </c>
      <c r="V47" s="36" t="n">
        <v>6.39</v>
      </c>
      <c r="W47" s="36" t="n">
        <v>7.76</v>
      </c>
      <c r="X47" s="36" t="n">
        <v>4.11</v>
      </c>
      <c r="Y47" s="28" t="n">
        <v>9.699999999999999</v>
      </c>
      <c r="Z47" s="36" t="n">
        <v>7.42</v>
      </c>
      <c r="AA47" s="36" t="n">
        <v>11.3</v>
      </c>
      <c r="AB47" s="36" t="n">
        <v>7.42</v>
      </c>
      <c r="AC47" s="36" t="n">
        <v>7.08</v>
      </c>
      <c r="AD47" s="36" t="n">
        <v>27.51</v>
      </c>
      <c r="AE47" s="36" t="n">
        <v>22.03</v>
      </c>
      <c r="AF47" s="28" t="n">
        <v>21.46</v>
      </c>
      <c r="AG47" s="36" t="n">
        <v>12.21</v>
      </c>
      <c r="AH47" s="37" t="n">
        <v>7.19</v>
      </c>
      <c r="AI47" s="37" t="n">
        <v>7.99</v>
      </c>
      <c r="AJ47" s="37" t="n">
        <v>6.85</v>
      </c>
      <c r="AK47" s="37" t="n">
        <v>15.75</v>
      </c>
      <c r="AL47" s="37" t="n">
        <v>7.08</v>
      </c>
      <c r="AM47" s="37" t="n">
        <v>13.13</v>
      </c>
      <c r="AN47" s="37" t="n">
        <v>7.31</v>
      </c>
      <c r="AO47" s="37" t="n">
        <v>7.31</v>
      </c>
      <c r="AP47" s="37" t="n">
        <v>13.13</v>
      </c>
      <c r="AQ47" s="37" t="n">
        <v>9.59</v>
      </c>
      <c r="AR47" s="37" t="n">
        <v>7.31</v>
      </c>
      <c r="AS47" s="37" t="n">
        <v>3.88</v>
      </c>
      <c r="AT47" s="37" t="n">
        <v>9.359999999999999</v>
      </c>
      <c r="AU47" s="37" t="n">
        <v>16.21</v>
      </c>
      <c r="AV47" s="37" t="n">
        <v>17.24</v>
      </c>
      <c r="AW47" s="37" t="n">
        <v>6.73</v>
      </c>
      <c r="AX47" s="37" t="n">
        <v>6.73</v>
      </c>
      <c r="AY47" s="37" t="n">
        <v>7.31</v>
      </c>
      <c r="AZ47" s="37" t="n">
        <v>3.88</v>
      </c>
      <c r="BA47" s="37" t="n">
        <v>8.33</v>
      </c>
      <c r="BB47" s="37" t="n">
        <v>5.48</v>
      </c>
      <c r="BC47" s="37" t="n">
        <v>0.68</v>
      </c>
      <c r="BD47" s="37" t="n">
        <v>2.17</v>
      </c>
      <c r="BE47" s="37" t="n">
        <v>8.449999999999999</v>
      </c>
      <c r="BF47" s="37" t="n">
        <v>7.08</v>
      </c>
      <c r="BG47" s="37" t="n">
        <v>4.45</v>
      </c>
      <c r="BH47" s="37" t="n">
        <v>10.16</v>
      </c>
      <c r="BI47" s="37" t="n">
        <v>7.88</v>
      </c>
      <c r="BJ47" s="37" t="n">
        <v>42.46</v>
      </c>
      <c r="BK47" s="37" t="n">
        <v>16.67</v>
      </c>
      <c r="BL47" s="37" t="n">
        <v>8.9</v>
      </c>
      <c r="BM47" s="37" t="n">
        <v>5.94</v>
      </c>
      <c r="BN47" s="37" t="n">
        <v>4.22</v>
      </c>
      <c r="BO47" s="37" t="n">
        <v>11.76</v>
      </c>
      <c r="BP47" s="37" t="n">
        <v>16.67</v>
      </c>
      <c r="BQ47" s="37" t="n">
        <v>12.67</v>
      </c>
      <c r="BR47" s="37" t="n">
        <v>7.08</v>
      </c>
      <c r="BS47" s="37" t="n">
        <v>7.08</v>
      </c>
      <c r="BT47" s="37" t="n">
        <v>5.48</v>
      </c>
      <c r="BU47" s="37" t="n">
        <v>8.67</v>
      </c>
      <c r="BV47" s="37" t="n">
        <v>10.73</v>
      </c>
      <c r="BW47" s="37" t="n">
        <v>7.88</v>
      </c>
      <c r="BX47" s="37" t="n">
        <v>7.76</v>
      </c>
      <c r="BY47" s="37" t="n">
        <v>7.08</v>
      </c>
      <c r="BZ47" s="37" t="n">
        <v>14.5</v>
      </c>
      <c r="CA47" s="37" t="n">
        <v>7.08</v>
      </c>
      <c r="CB47" s="37" t="n">
        <v>4.34</v>
      </c>
      <c r="CC47" s="37" t="n">
        <v>671.2700000000001</v>
      </c>
    </row>
    <row r="48" ht="15.75" customHeight="1" s="57">
      <c r="A48" s="7" t="inlineStr">
        <is>
          <t>NTB</t>
        </is>
      </c>
      <c r="B48" s="7" t="inlineStr">
        <is>
          <t>Bình Thuận</t>
        </is>
      </c>
      <c r="C48" s="7" t="n">
        <v>21290000</v>
      </c>
      <c r="D48" s="7" t="inlineStr">
        <is>
          <t>(BTH) Tuyên Quang</t>
        </is>
      </c>
      <c r="E48" s="7" t="inlineStr">
        <is>
          <t>Shopee-Bulky (10-15kg)</t>
        </is>
      </c>
      <c r="F48" s="36" t="n">
        <v>1.5</v>
      </c>
      <c r="G48" s="36" t="n">
        <v>1.07</v>
      </c>
      <c r="H48" s="36" t="n">
        <v>0.64</v>
      </c>
      <c r="I48" s="36" t="n">
        <v>1.5</v>
      </c>
      <c r="J48" s="36" t="n">
        <v>1.93</v>
      </c>
      <c r="K48" s="28" t="n">
        <v>2.57</v>
      </c>
      <c r="L48" s="36" t="n">
        <v>0.64</v>
      </c>
      <c r="M48" s="36" t="n">
        <v>1.07</v>
      </c>
      <c r="N48" s="36" t="n">
        <v>1.29</v>
      </c>
      <c r="O48" s="36" t="n">
        <v>2.79</v>
      </c>
      <c r="P48" s="36" t="n">
        <v>1.71</v>
      </c>
      <c r="Q48" s="36" t="n">
        <v>1.93</v>
      </c>
      <c r="R48" s="28" t="n">
        <v>2.36</v>
      </c>
      <c r="S48" s="36" t="n">
        <v>0.64</v>
      </c>
      <c r="T48" s="36" t="n">
        <v>1.5</v>
      </c>
      <c r="U48" s="36" t="n">
        <v>1.6</v>
      </c>
      <c r="V48" s="36" t="n">
        <v>1.48</v>
      </c>
      <c r="W48" s="36" t="n">
        <v>1.83</v>
      </c>
      <c r="X48" s="36" t="n">
        <v>0.91</v>
      </c>
      <c r="Y48" s="28" t="n">
        <v>2.51</v>
      </c>
      <c r="Z48" s="36" t="n">
        <v>1.71</v>
      </c>
      <c r="AA48" s="36" t="n">
        <v>2.51</v>
      </c>
      <c r="AB48" s="36" t="n">
        <v>1.71</v>
      </c>
      <c r="AC48" s="36" t="n">
        <v>1.83</v>
      </c>
      <c r="AD48" s="36" t="n">
        <v>11.3</v>
      </c>
      <c r="AE48" s="36" t="n">
        <v>5.02</v>
      </c>
      <c r="AF48" s="28" t="n">
        <v>4.22</v>
      </c>
      <c r="AG48" s="36" t="n">
        <v>3.2</v>
      </c>
      <c r="AH48" s="37" t="n">
        <v>1.71</v>
      </c>
      <c r="AI48" s="37" t="n">
        <v>1.71</v>
      </c>
      <c r="AJ48" s="37" t="n">
        <v>1.48</v>
      </c>
      <c r="AK48" s="37" t="n">
        <v>4.22</v>
      </c>
      <c r="AL48" s="37" t="n">
        <v>1.6</v>
      </c>
      <c r="AM48" s="37" t="n">
        <v>2.97</v>
      </c>
      <c r="AN48" s="37" t="n">
        <v>1.71</v>
      </c>
      <c r="AO48" s="37" t="n">
        <v>1.71</v>
      </c>
      <c r="AP48" s="37" t="n">
        <v>3.31</v>
      </c>
      <c r="AQ48" s="37" t="n">
        <v>2.05</v>
      </c>
      <c r="AR48" s="37" t="n">
        <v>1.71</v>
      </c>
      <c r="AS48" s="37" t="n">
        <v>0.68</v>
      </c>
      <c r="AT48" s="37" t="n">
        <v>2.17</v>
      </c>
      <c r="AU48" s="37" t="n">
        <v>3.77</v>
      </c>
      <c r="AV48" s="37" t="n">
        <v>4.45</v>
      </c>
      <c r="AW48" s="37" t="n">
        <v>1.71</v>
      </c>
      <c r="AX48" s="37" t="n">
        <v>1.48</v>
      </c>
      <c r="AY48" s="37" t="n">
        <v>1.6</v>
      </c>
      <c r="AZ48" s="37" t="n">
        <v>0.68</v>
      </c>
      <c r="BA48" s="37" t="n">
        <v>1.94</v>
      </c>
      <c r="BB48" s="37" t="n">
        <v>1.26</v>
      </c>
      <c r="BC48" s="37" t="n">
        <v>0.23</v>
      </c>
      <c r="BD48" s="37" t="n">
        <v>0.46</v>
      </c>
      <c r="BE48" s="37" t="n">
        <v>1.83</v>
      </c>
      <c r="BF48" s="37" t="n">
        <v>1.6</v>
      </c>
      <c r="BG48" s="37" t="n">
        <v>0.8</v>
      </c>
      <c r="BH48" s="37" t="n">
        <v>2.28</v>
      </c>
      <c r="BI48" s="37" t="n">
        <v>1.83</v>
      </c>
      <c r="BJ48" s="37" t="n">
        <v>13.24</v>
      </c>
      <c r="BK48" s="37" t="n">
        <v>4.79</v>
      </c>
      <c r="BL48" s="37" t="n">
        <v>2.28</v>
      </c>
      <c r="BM48" s="37" t="n">
        <v>1.48</v>
      </c>
      <c r="BN48" s="37" t="n">
        <v>0.8</v>
      </c>
      <c r="BO48" s="37" t="n">
        <v>3.42</v>
      </c>
      <c r="BP48" s="37" t="n">
        <v>4.79</v>
      </c>
      <c r="BQ48" s="37" t="n">
        <v>3.65</v>
      </c>
      <c r="BR48" s="37" t="n">
        <v>1.94</v>
      </c>
      <c r="BS48" s="37" t="n">
        <v>1.6</v>
      </c>
      <c r="BT48" s="37" t="n">
        <v>1.26</v>
      </c>
      <c r="BU48" s="37" t="n">
        <v>2.05</v>
      </c>
      <c r="BV48" s="37" t="n">
        <v>2.51</v>
      </c>
      <c r="BW48" s="37" t="n">
        <v>1.83</v>
      </c>
      <c r="BX48" s="37" t="n">
        <v>1.83</v>
      </c>
      <c r="BY48" s="37" t="n">
        <v>1.94</v>
      </c>
      <c r="BZ48" s="37" t="n">
        <v>4.34</v>
      </c>
      <c r="CA48" s="37" t="n">
        <v>1.83</v>
      </c>
      <c r="CB48" s="37" t="n">
        <v>0.8</v>
      </c>
      <c r="CC48" s="37" t="n">
        <v>172.3</v>
      </c>
    </row>
    <row r="49" ht="15.75" customHeight="1" s="57">
      <c r="A49" s="7" t="inlineStr">
        <is>
          <t>NTB</t>
        </is>
      </c>
      <c r="B49" s="7" t="inlineStr">
        <is>
          <t>Bình Thuận</t>
        </is>
      </c>
      <c r="C49" s="7" t="n">
        <v>21290000</v>
      </c>
      <c r="D49" s="7" t="inlineStr">
        <is>
          <t>(BTH) Tuyên Quang</t>
        </is>
      </c>
      <c r="E49" s="7" t="inlineStr">
        <is>
          <t>TTS</t>
        </is>
      </c>
      <c r="F49" s="36" t="n">
        <v>19</v>
      </c>
      <c r="G49" s="36" t="n">
        <v>25</v>
      </c>
      <c r="H49" s="36" t="n">
        <v>39</v>
      </c>
      <c r="I49" s="36" t="n">
        <v>24</v>
      </c>
      <c r="J49" s="36" t="n">
        <v>260</v>
      </c>
      <c r="K49" s="28" t="n">
        <v>333</v>
      </c>
      <c r="L49" s="36" t="n">
        <v>91</v>
      </c>
      <c r="M49" s="36" t="n">
        <v>50</v>
      </c>
      <c r="N49" s="36" t="n">
        <v>59</v>
      </c>
      <c r="O49" s="36" t="n">
        <v>118</v>
      </c>
      <c r="P49" s="36" t="n">
        <v>199</v>
      </c>
      <c r="Q49" s="36" t="n">
        <v>128</v>
      </c>
      <c r="R49" s="28" t="n">
        <v>73</v>
      </c>
      <c r="S49" s="36" t="n">
        <v>46</v>
      </c>
      <c r="T49" s="36" t="n">
        <v>33</v>
      </c>
      <c r="U49" s="36" t="n">
        <v>140.45</v>
      </c>
      <c r="V49" s="36" t="n">
        <v>138.63</v>
      </c>
      <c r="W49" s="36" t="n">
        <v>135.07</v>
      </c>
      <c r="X49" s="36" t="n">
        <v>108.29</v>
      </c>
      <c r="Y49" s="28" t="n">
        <v>158.72</v>
      </c>
      <c r="Z49" s="36" t="n">
        <v>135.07</v>
      </c>
      <c r="AA49" s="36" t="n">
        <v>149.48</v>
      </c>
      <c r="AB49" s="36" t="n">
        <v>167.03</v>
      </c>
      <c r="AC49" s="36" t="n">
        <v>176.27</v>
      </c>
      <c r="AD49" s="36" t="n">
        <v>148.18</v>
      </c>
      <c r="AE49" s="36" t="n">
        <v>125.74</v>
      </c>
      <c r="AF49" s="28" t="n">
        <v>163.49</v>
      </c>
      <c r="AG49" s="36" t="n">
        <v>137.31</v>
      </c>
      <c r="AH49" s="37" t="n">
        <v>136.29</v>
      </c>
      <c r="AI49" s="37" t="n">
        <v>156.38</v>
      </c>
      <c r="AJ49" s="37" t="n">
        <v>168.25</v>
      </c>
      <c r="AK49" s="37" t="n">
        <v>165.61</v>
      </c>
      <c r="AL49" s="37" t="n">
        <v>117.22</v>
      </c>
      <c r="AM49" s="37" t="n">
        <v>161.46</v>
      </c>
      <c r="AN49" s="37" t="n">
        <v>139.03</v>
      </c>
      <c r="AO49" s="37" t="n">
        <v>137.92</v>
      </c>
      <c r="AP49" s="37" t="n">
        <v>134.77</v>
      </c>
      <c r="AQ49" s="37" t="n">
        <v>135.78</v>
      </c>
      <c r="AR49" s="37" t="n">
        <v>133.45</v>
      </c>
      <c r="AS49" s="37" t="n">
        <v>108.49</v>
      </c>
      <c r="AT49" s="37" t="n">
        <v>174.25</v>
      </c>
      <c r="AU49" s="37" t="n">
        <v>157.5</v>
      </c>
      <c r="AV49" s="37" t="n">
        <v>140.35</v>
      </c>
      <c r="AW49" s="37" t="n">
        <v>133.15</v>
      </c>
      <c r="AX49" s="37" t="n">
        <v>132.23</v>
      </c>
      <c r="AY49" s="37" t="n">
        <v>131.32</v>
      </c>
      <c r="AZ49" s="37" t="n">
        <v>109</v>
      </c>
      <c r="BA49" s="37" t="n">
        <v>157.2</v>
      </c>
      <c r="BB49" s="37" t="n">
        <v>146.64</v>
      </c>
      <c r="BC49" s="37" t="n">
        <v>74.18000000000001</v>
      </c>
      <c r="BD49" s="37" t="n">
        <v>105.96</v>
      </c>
      <c r="BE49" s="37" t="n">
        <v>246.14</v>
      </c>
      <c r="BF49" s="37" t="n">
        <v>239.34</v>
      </c>
      <c r="BG49" s="37" t="n">
        <v>117.22</v>
      </c>
      <c r="BH49" s="37" t="n">
        <v>174.05</v>
      </c>
      <c r="BI49" s="37" t="n">
        <v>146.64</v>
      </c>
      <c r="BJ49" s="37" t="n">
        <v>112.06</v>
      </c>
      <c r="BK49" s="37" t="n">
        <v>149.28</v>
      </c>
      <c r="BL49" s="37" t="n">
        <v>149.48</v>
      </c>
      <c r="BM49" s="37" t="n">
        <v>145.12</v>
      </c>
      <c r="BN49" s="37" t="n">
        <v>117.22</v>
      </c>
      <c r="BO49" s="37" t="n">
        <v>174.05</v>
      </c>
      <c r="BP49" s="37" t="n">
        <v>146.64</v>
      </c>
      <c r="BQ49" s="37" t="n">
        <v>145.42</v>
      </c>
      <c r="BR49" s="37" t="n">
        <v>149.28</v>
      </c>
      <c r="BS49" s="37" t="n">
        <v>149.48</v>
      </c>
      <c r="BT49" s="37" t="n">
        <v>145.12</v>
      </c>
      <c r="BU49" s="37" t="n">
        <v>117.22</v>
      </c>
      <c r="BV49" s="37" t="n">
        <v>174.05</v>
      </c>
      <c r="BW49" s="37" t="n">
        <v>146.64</v>
      </c>
      <c r="BX49" s="37" t="n">
        <v>145.42</v>
      </c>
      <c r="BY49" s="37" t="n">
        <v>149.28</v>
      </c>
      <c r="BZ49" s="37" t="n">
        <v>149.48</v>
      </c>
      <c r="CA49" s="37" t="n">
        <v>145.12</v>
      </c>
      <c r="CB49" s="37" t="n">
        <v>117.22</v>
      </c>
      <c r="CC49" s="37" t="n">
        <v>10188.13</v>
      </c>
    </row>
    <row r="50" ht="15.75" customHeight="1" s="57">
      <c r="A50" s="7" t="inlineStr">
        <is>
          <t>NTB</t>
        </is>
      </c>
      <c r="B50" s="7" t="inlineStr">
        <is>
          <t>Bình Thuận</t>
        </is>
      </c>
      <c r="C50" s="7" t="n">
        <v>21290000</v>
      </c>
      <c r="D50" s="7" t="inlineStr">
        <is>
          <t>(BTH) Tuyên Quang</t>
        </is>
      </c>
      <c r="E50" s="7" t="inlineStr">
        <is>
          <t>TTS-Bulky</t>
        </is>
      </c>
      <c r="F50" s="36" t="n">
        <v>0</v>
      </c>
      <c r="G50" s="36" t="n">
        <v>0</v>
      </c>
      <c r="H50" s="36" t="n">
        <v>0</v>
      </c>
      <c r="I50" s="36" t="n">
        <v>0</v>
      </c>
      <c r="J50" s="36" t="n">
        <v>0</v>
      </c>
      <c r="K50" s="28" t="n">
        <v>0</v>
      </c>
      <c r="L50" s="36" t="n">
        <v>1</v>
      </c>
      <c r="M50" s="36" t="n">
        <v>0</v>
      </c>
      <c r="N50" s="36" t="n">
        <v>0</v>
      </c>
      <c r="O50" s="36" t="n">
        <v>0</v>
      </c>
      <c r="P50" s="36" t="n">
        <v>0</v>
      </c>
      <c r="Q50" s="36" t="n">
        <v>0</v>
      </c>
      <c r="R50" s="28" t="n">
        <v>0</v>
      </c>
      <c r="S50" s="36" t="n">
        <v>0</v>
      </c>
      <c r="T50" s="36" t="n">
        <v>0</v>
      </c>
      <c r="U50" s="36" t="n">
        <v>0.62</v>
      </c>
      <c r="V50" s="36" t="n">
        <v>0.62</v>
      </c>
      <c r="W50" s="36" t="n">
        <v>0.27</v>
      </c>
      <c r="X50" s="36" t="n">
        <v>0.26</v>
      </c>
      <c r="Y50" s="28" t="n">
        <v>0.3</v>
      </c>
      <c r="Z50" s="36" t="n">
        <v>0.29</v>
      </c>
      <c r="AA50" s="36" t="n">
        <v>0.34</v>
      </c>
      <c r="AB50" s="36" t="n">
        <v>0.3</v>
      </c>
      <c r="AC50" s="36" t="n">
        <v>0.36</v>
      </c>
      <c r="AD50" s="36" t="n">
        <v>0.09</v>
      </c>
      <c r="AE50" s="36" t="n">
        <v>0.26</v>
      </c>
      <c r="AF50" s="28" t="n">
        <v>0.38</v>
      </c>
      <c r="AG50" s="36" t="n">
        <v>0.32</v>
      </c>
      <c r="AH50" s="37" t="n">
        <v>0.27</v>
      </c>
      <c r="AI50" s="37" t="n">
        <v>0.3</v>
      </c>
      <c r="AJ50" s="37" t="n">
        <v>0.3</v>
      </c>
      <c r="AK50" s="37" t="n">
        <v>0.3</v>
      </c>
      <c r="AL50" s="37" t="n">
        <v>0.26</v>
      </c>
      <c r="AM50" s="37" t="n">
        <v>0.3</v>
      </c>
      <c r="AN50" s="37" t="n">
        <v>0.27</v>
      </c>
      <c r="AO50" s="37" t="n">
        <v>0.27</v>
      </c>
      <c r="AP50" s="37" t="n">
        <v>0.32</v>
      </c>
      <c r="AQ50" s="37" t="n">
        <v>0.34</v>
      </c>
      <c r="AR50" s="37" t="n">
        <v>0.27</v>
      </c>
      <c r="AS50" s="37" t="n">
        <v>0.26</v>
      </c>
      <c r="AT50" s="37" t="n">
        <v>0.39</v>
      </c>
      <c r="AU50" s="37" t="n">
        <v>0.35</v>
      </c>
      <c r="AV50" s="37" t="n">
        <v>0.27</v>
      </c>
      <c r="AW50" s="37" t="n">
        <v>0.27</v>
      </c>
      <c r="AX50" s="37" t="n">
        <v>0.33</v>
      </c>
      <c r="AY50" s="37" t="n">
        <v>0.27</v>
      </c>
      <c r="AZ50" s="37" t="n">
        <v>0.26</v>
      </c>
      <c r="BA50" s="37" t="n">
        <v>0.3</v>
      </c>
      <c r="BB50" s="37" t="n">
        <v>0.09</v>
      </c>
      <c r="BC50" s="37" t="n">
        <v>0.04</v>
      </c>
      <c r="BD50" s="37" t="n">
        <v>0.07000000000000001</v>
      </c>
      <c r="BE50" s="37" t="n">
        <v>0.09</v>
      </c>
      <c r="BF50" s="37" t="n">
        <v>0.09</v>
      </c>
      <c r="BG50" s="37" t="n">
        <v>0.07000000000000001</v>
      </c>
      <c r="BH50" s="37" t="n">
        <v>0.1</v>
      </c>
      <c r="BI50" s="37" t="n">
        <v>0.09</v>
      </c>
      <c r="BJ50" s="37" t="n">
        <v>0.02</v>
      </c>
      <c r="BK50" s="37" t="n">
        <v>0.09</v>
      </c>
      <c r="BL50" s="37" t="n">
        <v>0.09</v>
      </c>
      <c r="BM50" s="37" t="n">
        <v>0.09</v>
      </c>
      <c r="BN50" s="37" t="n">
        <v>0.07000000000000001</v>
      </c>
      <c r="BO50" s="37" t="n">
        <v>0.11</v>
      </c>
      <c r="BP50" s="37" t="n">
        <v>0.1</v>
      </c>
      <c r="BQ50" s="37" t="n">
        <v>0.09</v>
      </c>
      <c r="BR50" s="37" t="n">
        <v>0.09</v>
      </c>
      <c r="BS50" s="37" t="n">
        <v>0.09</v>
      </c>
      <c r="BT50" s="37" t="n">
        <v>0.09</v>
      </c>
      <c r="BU50" s="37" t="n">
        <v>0.07000000000000001</v>
      </c>
      <c r="BV50" s="37" t="n">
        <v>0.1</v>
      </c>
      <c r="BW50" s="37" t="n">
        <v>0.09</v>
      </c>
      <c r="BX50" s="37" t="n">
        <v>0.09</v>
      </c>
      <c r="BY50" s="37" t="n">
        <v>0.09</v>
      </c>
      <c r="BZ50" s="37" t="n">
        <v>0.09</v>
      </c>
      <c r="CA50" s="37" t="n">
        <v>0.09</v>
      </c>
      <c r="CB50" s="37" t="n">
        <v>0.07000000000000001</v>
      </c>
      <c r="CC50" s="37" t="n">
        <v>13.56999999999999</v>
      </c>
    </row>
    <row r="51" ht="15.75" customHeight="1" s="57">
      <c r="A51" s="7" t="inlineStr">
        <is>
          <t>NTB</t>
        </is>
      </c>
      <c r="B51" s="7" t="inlineStr">
        <is>
          <t>Bình Thuận</t>
        </is>
      </c>
      <c r="C51" s="7" t="n">
        <v>21298000</v>
      </c>
      <c r="D51" s="7" t="inlineStr">
        <is>
          <t>(BTH) Liên Hương</t>
        </is>
      </c>
      <c r="E51" s="7" t="inlineStr">
        <is>
          <t>SME</t>
        </is>
      </c>
      <c r="F51" s="36" t="n">
        <v>110</v>
      </c>
      <c r="G51" s="36" t="n">
        <v>37</v>
      </c>
      <c r="H51" s="36" t="n">
        <v>40</v>
      </c>
      <c r="I51" s="36" t="n">
        <v>52</v>
      </c>
      <c r="J51" s="36" t="n">
        <v>28</v>
      </c>
      <c r="K51" s="28" t="n">
        <v>26</v>
      </c>
      <c r="L51" s="36" t="n">
        <v>102</v>
      </c>
      <c r="M51" s="36" t="n">
        <v>25</v>
      </c>
      <c r="N51" s="36" t="n">
        <v>29</v>
      </c>
      <c r="O51" s="36" t="n">
        <v>14</v>
      </c>
      <c r="P51" s="36" t="n">
        <v>14</v>
      </c>
      <c r="Q51" s="36" t="n">
        <v>64</v>
      </c>
      <c r="R51" s="28" t="n">
        <v>43</v>
      </c>
      <c r="S51" s="36" t="n">
        <v>25</v>
      </c>
      <c r="T51" s="36" t="n">
        <v>35</v>
      </c>
      <c r="U51" s="36" t="n">
        <v>44.32</v>
      </c>
      <c r="V51" s="36" t="n">
        <v>46.1</v>
      </c>
      <c r="W51" s="36" t="n">
        <v>44.78</v>
      </c>
      <c r="X51" s="36" t="n">
        <v>36.66999999999999</v>
      </c>
      <c r="Y51" s="28" t="n">
        <v>49.7</v>
      </c>
      <c r="Z51" s="36" t="n">
        <v>45.78</v>
      </c>
      <c r="AA51" s="36" t="n">
        <v>44.58000000000001</v>
      </c>
      <c r="AB51" s="36" t="n">
        <v>44.32</v>
      </c>
      <c r="AC51" s="36" t="n">
        <v>46.1</v>
      </c>
      <c r="AD51" s="36" t="n">
        <v>33.93</v>
      </c>
      <c r="AE51" s="36" t="n">
        <v>36.66999999999999</v>
      </c>
      <c r="AF51" s="28" t="n">
        <v>49.7</v>
      </c>
      <c r="AG51" s="36" t="n">
        <v>45.78</v>
      </c>
      <c r="AH51" s="37" t="n">
        <v>44.58000000000001</v>
      </c>
      <c r="AI51" s="37" t="n">
        <v>44.32</v>
      </c>
      <c r="AJ51" s="37" t="n">
        <v>46.1</v>
      </c>
      <c r="AK51" s="37" t="n">
        <v>44.78</v>
      </c>
      <c r="AL51" s="37" t="n">
        <v>36.66999999999999</v>
      </c>
      <c r="AM51" s="37" t="n">
        <v>49.7</v>
      </c>
      <c r="AN51" s="37" t="n">
        <v>45.78</v>
      </c>
      <c r="AO51" s="37" t="n">
        <v>44.58000000000001</v>
      </c>
      <c r="AP51" s="37" t="n">
        <v>44.32</v>
      </c>
      <c r="AQ51" s="37" t="n">
        <v>46.1</v>
      </c>
      <c r="AR51" s="37" t="n">
        <v>44.78</v>
      </c>
      <c r="AS51" s="37" t="n">
        <v>36.66999999999999</v>
      </c>
      <c r="AT51" s="37" t="n">
        <v>49.7</v>
      </c>
      <c r="AU51" s="37" t="n">
        <v>45.78</v>
      </c>
      <c r="AV51" s="37" t="n">
        <v>44.58000000000001</v>
      </c>
      <c r="AW51" s="37" t="n">
        <v>44.32</v>
      </c>
      <c r="AX51" s="37" t="n">
        <v>46.1</v>
      </c>
      <c r="AY51" s="37" t="n">
        <v>44.78</v>
      </c>
      <c r="AZ51" s="37" t="n">
        <v>36.66999999999999</v>
      </c>
      <c r="BA51" s="37" t="n">
        <v>47.19</v>
      </c>
      <c r="BB51" s="37" t="n">
        <v>41.86</v>
      </c>
      <c r="BC51" s="37" t="n">
        <v>25.49</v>
      </c>
      <c r="BD51" s="37" t="n">
        <v>19.76</v>
      </c>
      <c r="BE51" s="37" t="n">
        <v>43.18</v>
      </c>
      <c r="BF51" s="37" t="n">
        <v>42.02</v>
      </c>
      <c r="BG51" s="37" t="n">
        <v>37.75</v>
      </c>
      <c r="BH51" s="37" t="n">
        <v>51.18</v>
      </c>
      <c r="BI51" s="37" t="n">
        <v>47.22000000000001</v>
      </c>
      <c r="BJ51" s="37" t="n">
        <v>34.73</v>
      </c>
      <c r="BK51" s="37" t="n">
        <v>45.6</v>
      </c>
      <c r="BL51" s="37" t="n">
        <v>47.5</v>
      </c>
      <c r="BM51" s="37" t="n">
        <v>46.06</v>
      </c>
      <c r="BN51" s="37" t="n">
        <v>37.75</v>
      </c>
      <c r="BO51" s="37" t="n">
        <v>51.18</v>
      </c>
      <c r="BP51" s="37" t="n">
        <v>47.22000000000001</v>
      </c>
      <c r="BQ51" s="37" t="n">
        <v>45.86000000000001</v>
      </c>
      <c r="BR51" s="37" t="n">
        <v>45.6</v>
      </c>
      <c r="BS51" s="37" t="n">
        <v>47.5</v>
      </c>
      <c r="BT51" s="37" t="n">
        <v>46.06</v>
      </c>
      <c r="BU51" s="37" t="n">
        <v>37.75</v>
      </c>
      <c r="BV51" s="37" t="n">
        <v>51.18</v>
      </c>
      <c r="BW51" s="37" t="n">
        <v>47.22000000000001</v>
      </c>
      <c r="BX51" s="37" t="n">
        <v>45.86000000000001</v>
      </c>
      <c r="BY51" s="37" t="n">
        <v>45.6</v>
      </c>
      <c r="BZ51" s="37" t="n">
        <v>47.5</v>
      </c>
      <c r="CA51" s="37" t="n">
        <v>46.06</v>
      </c>
      <c r="CB51" s="37" t="n">
        <v>37.75</v>
      </c>
      <c r="CC51" s="37" t="n">
        <v>3262.369999999999</v>
      </c>
    </row>
    <row r="52" ht="15.75" customHeight="1" s="57">
      <c r="A52" s="7" t="inlineStr">
        <is>
          <t>NTB</t>
        </is>
      </c>
      <c r="B52" s="7" t="inlineStr">
        <is>
          <t>Bình Thuận</t>
        </is>
      </c>
      <c r="C52" s="7" t="n">
        <v>21298000</v>
      </c>
      <c r="D52" s="7" t="inlineStr">
        <is>
          <t>(BTH) Liên Hương</t>
        </is>
      </c>
      <c r="E52" s="7" t="inlineStr">
        <is>
          <t>SME-Bulky</t>
        </is>
      </c>
      <c r="F52" s="36" t="n">
        <v>6</v>
      </c>
      <c r="G52" s="36" t="n">
        <v>5</v>
      </c>
      <c r="H52" s="36" t="n">
        <v>5</v>
      </c>
      <c r="I52" s="36" t="n">
        <v>1</v>
      </c>
      <c r="J52" s="36" t="n">
        <v>1</v>
      </c>
      <c r="K52" s="28" t="n">
        <v>0</v>
      </c>
      <c r="L52" s="36" t="n">
        <v>2</v>
      </c>
      <c r="M52" s="36" t="n">
        <v>1</v>
      </c>
      <c r="N52" s="36" t="n">
        <v>5</v>
      </c>
      <c r="O52" s="36" t="n">
        <v>5</v>
      </c>
      <c r="P52" s="36" t="n">
        <v>2</v>
      </c>
      <c r="Q52" s="36" t="n">
        <v>1</v>
      </c>
      <c r="R52" s="28" t="n">
        <v>0</v>
      </c>
      <c r="S52" s="36" t="n">
        <v>4</v>
      </c>
      <c r="T52" s="36" t="n">
        <v>2</v>
      </c>
      <c r="U52" s="36" t="n">
        <v>4.09</v>
      </c>
      <c r="V52" s="36" t="n">
        <v>4.09</v>
      </c>
      <c r="W52" s="36" t="n">
        <v>3.97</v>
      </c>
      <c r="X52" s="36" t="n">
        <v>2.85</v>
      </c>
      <c r="Y52" s="28" t="n">
        <v>5.04</v>
      </c>
      <c r="Z52" s="36" t="n">
        <v>5.21</v>
      </c>
      <c r="AA52" s="36" t="n">
        <v>4.25</v>
      </c>
      <c r="AB52" s="36" t="n">
        <v>4.09</v>
      </c>
      <c r="AC52" s="36" t="n">
        <v>4.09</v>
      </c>
      <c r="AD52" s="36" t="n">
        <v>3.08</v>
      </c>
      <c r="AE52" s="36" t="n">
        <v>2.85</v>
      </c>
      <c r="AF52" s="28" t="n">
        <v>5.04</v>
      </c>
      <c r="AG52" s="36" t="n">
        <v>5.21</v>
      </c>
      <c r="AH52" s="37" t="n">
        <v>4.25</v>
      </c>
      <c r="AI52" s="37" t="n">
        <v>4.09</v>
      </c>
      <c r="AJ52" s="37" t="n">
        <v>4.09</v>
      </c>
      <c r="AK52" s="37" t="n">
        <v>3.97</v>
      </c>
      <c r="AL52" s="37" t="n">
        <v>2.85</v>
      </c>
      <c r="AM52" s="37" t="n">
        <v>5.04</v>
      </c>
      <c r="AN52" s="37" t="n">
        <v>5.21</v>
      </c>
      <c r="AO52" s="37" t="n">
        <v>4.25</v>
      </c>
      <c r="AP52" s="37" t="n">
        <v>4.09</v>
      </c>
      <c r="AQ52" s="37" t="n">
        <v>4.09</v>
      </c>
      <c r="AR52" s="37" t="n">
        <v>3.97</v>
      </c>
      <c r="AS52" s="37" t="n">
        <v>2.85</v>
      </c>
      <c r="AT52" s="37" t="n">
        <v>5.04</v>
      </c>
      <c r="AU52" s="37" t="n">
        <v>5.21</v>
      </c>
      <c r="AV52" s="37" t="n">
        <v>4.25</v>
      </c>
      <c r="AW52" s="37" t="n">
        <v>4.09</v>
      </c>
      <c r="AX52" s="37" t="n">
        <v>4.09</v>
      </c>
      <c r="AY52" s="37" t="n">
        <v>3.97</v>
      </c>
      <c r="AZ52" s="37" t="n">
        <v>2.85</v>
      </c>
      <c r="BA52" s="37" t="n">
        <v>5.21</v>
      </c>
      <c r="BB52" s="37" t="n">
        <v>2.91</v>
      </c>
      <c r="BC52" s="37" t="n">
        <v>1.4</v>
      </c>
      <c r="BD52" s="37" t="n">
        <v>0.78</v>
      </c>
      <c r="BE52" s="37" t="n">
        <v>2.3</v>
      </c>
      <c r="BF52" s="37" t="n">
        <v>2.24</v>
      </c>
      <c r="BG52" s="37" t="n">
        <v>1.57</v>
      </c>
      <c r="BH52" s="37" t="n">
        <v>2.8</v>
      </c>
      <c r="BI52" s="37" t="n">
        <v>2.91</v>
      </c>
      <c r="BJ52" s="37" t="n">
        <v>2.02</v>
      </c>
      <c r="BK52" s="37" t="n">
        <v>2.3</v>
      </c>
      <c r="BL52" s="37" t="n">
        <v>2.3</v>
      </c>
      <c r="BM52" s="37" t="n">
        <v>2.24</v>
      </c>
      <c r="BN52" s="37" t="n">
        <v>1.57</v>
      </c>
      <c r="BO52" s="37" t="n">
        <v>2.8</v>
      </c>
      <c r="BP52" s="37" t="n">
        <v>2.91</v>
      </c>
      <c r="BQ52" s="37" t="n">
        <v>2.41</v>
      </c>
      <c r="BR52" s="37" t="n">
        <v>2.3</v>
      </c>
      <c r="BS52" s="37" t="n">
        <v>2.3</v>
      </c>
      <c r="BT52" s="37" t="n">
        <v>2.24</v>
      </c>
      <c r="BU52" s="37" t="n">
        <v>1.57</v>
      </c>
      <c r="BV52" s="37" t="n">
        <v>2.8</v>
      </c>
      <c r="BW52" s="37" t="n">
        <v>2.91</v>
      </c>
      <c r="BX52" s="37" t="n">
        <v>2.41</v>
      </c>
      <c r="BY52" s="37" t="n">
        <v>2.3</v>
      </c>
      <c r="BZ52" s="37" t="n">
        <v>2.3</v>
      </c>
      <c r="CA52" s="37" t="n">
        <v>2.24</v>
      </c>
      <c r="CB52" s="37" t="n">
        <v>1.57</v>
      </c>
      <c r="CC52" s="37" t="n">
        <v>237.7200000000001</v>
      </c>
    </row>
    <row r="53" ht="15.75" customHeight="1" s="57">
      <c r="A53" s="7" t="inlineStr">
        <is>
          <t>NTB</t>
        </is>
      </c>
      <c r="B53" s="7" t="inlineStr">
        <is>
          <t>Bình Thuận</t>
        </is>
      </c>
      <c r="C53" s="7" t="n">
        <v>21298000</v>
      </c>
      <c r="D53" s="7" t="inlineStr">
        <is>
          <t>(BTH) Liên Hương</t>
        </is>
      </c>
      <c r="E53" s="7" t="inlineStr">
        <is>
          <t>Shopee</t>
        </is>
      </c>
      <c r="F53" s="36" t="n">
        <v>12</v>
      </c>
      <c r="G53" s="36" t="n">
        <v>33</v>
      </c>
      <c r="H53" s="36" t="n">
        <v>25</v>
      </c>
      <c r="I53" s="36" t="n">
        <v>16</v>
      </c>
      <c r="J53" s="36" t="n">
        <v>31</v>
      </c>
      <c r="K53" s="28" t="n">
        <v>31</v>
      </c>
      <c r="L53" s="36" t="n">
        <v>22</v>
      </c>
      <c r="M53" s="36" t="n">
        <v>20</v>
      </c>
      <c r="N53" s="36" t="n">
        <v>16</v>
      </c>
      <c r="O53" s="36" t="n">
        <v>25</v>
      </c>
      <c r="P53" s="36" t="n">
        <v>13</v>
      </c>
      <c r="Q53" s="36" t="n">
        <v>18</v>
      </c>
      <c r="R53" s="28" t="n">
        <v>25</v>
      </c>
      <c r="S53" s="36" t="n">
        <v>22</v>
      </c>
      <c r="T53" s="36" t="n">
        <v>39</v>
      </c>
      <c r="U53" s="36" t="n">
        <v>23.65</v>
      </c>
      <c r="V53" s="36" t="n">
        <v>23.89</v>
      </c>
      <c r="W53" s="36" t="n">
        <v>22.64</v>
      </c>
      <c r="X53" s="36" t="n">
        <v>19.59</v>
      </c>
      <c r="Y53" s="28" t="n">
        <v>31.65</v>
      </c>
      <c r="Z53" s="36" t="n">
        <v>25.08</v>
      </c>
      <c r="AA53" s="36" t="n">
        <v>30.52</v>
      </c>
      <c r="AB53" s="36" t="n">
        <v>24.07</v>
      </c>
      <c r="AC53" s="36" t="n">
        <v>19.47</v>
      </c>
      <c r="AD53" s="36" t="n">
        <v>39.54</v>
      </c>
      <c r="AE53" s="36" t="n">
        <v>20.9</v>
      </c>
      <c r="AF53" s="28" t="n">
        <v>34.94</v>
      </c>
      <c r="AG53" s="36" t="n">
        <v>26.28</v>
      </c>
      <c r="AH53" s="37" t="n">
        <v>27.71</v>
      </c>
      <c r="AI53" s="37" t="n">
        <v>23.65</v>
      </c>
      <c r="AJ53" s="37" t="n">
        <v>23.89</v>
      </c>
      <c r="AK53" s="37" t="n">
        <v>24.9</v>
      </c>
      <c r="AL53" s="37" t="n">
        <v>35.3</v>
      </c>
      <c r="AM53" s="37" t="n">
        <v>31.65</v>
      </c>
      <c r="AN53" s="37" t="n">
        <v>25.08</v>
      </c>
      <c r="AO53" s="37" t="n">
        <v>27.71</v>
      </c>
      <c r="AP53" s="37" t="n">
        <v>25.56</v>
      </c>
      <c r="AQ53" s="37" t="n">
        <v>18.81</v>
      </c>
      <c r="AR53" s="37" t="n">
        <v>22.64</v>
      </c>
      <c r="AS53" s="37" t="n">
        <v>19.59</v>
      </c>
      <c r="AT53" s="37" t="n">
        <v>31.65</v>
      </c>
      <c r="AU53" s="37" t="n">
        <v>27.35</v>
      </c>
      <c r="AV53" s="37" t="n">
        <v>28.37</v>
      </c>
      <c r="AW53" s="37" t="n">
        <v>23.65</v>
      </c>
      <c r="AX53" s="37" t="n">
        <v>23.89</v>
      </c>
      <c r="AY53" s="37" t="n">
        <v>22.64</v>
      </c>
      <c r="AZ53" s="37" t="n">
        <v>19.59</v>
      </c>
      <c r="BA53" s="37" t="n">
        <v>27</v>
      </c>
      <c r="BB53" s="37" t="n">
        <v>19.11</v>
      </c>
      <c r="BC53" s="37" t="n">
        <v>8.48</v>
      </c>
      <c r="BD53" s="37" t="n">
        <v>13.92</v>
      </c>
      <c r="BE53" s="37" t="n">
        <v>28.37</v>
      </c>
      <c r="BF53" s="37" t="n">
        <v>27.41</v>
      </c>
      <c r="BG53" s="37" t="n">
        <v>19.53</v>
      </c>
      <c r="BH53" s="37" t="n">
        <v>30.46</v>
      </c>
      <c r="BI53" s="37" t="n">
        <v>20.13</v>
      </c>
      <c r="BJ53" s="37" t="n">
        <v>56.26</v>
      </c>
      <c r="BK53" s="37" t="n">
        <v>24.37</v>
      </c>
      <c r="BL53" s="37" t="n">
        <v>24.19</v>
      </c>
      <c r="BM53" s="37" t="n">
        <v>22.04</v>
      </c>
      <c r="BN53" s="37" t="n">
        <v>19.11</v>
      </c>
      <c r="BO53" s="37" t="n">
        <v>30.46</v>
      </c>
      <c r="BP53" s="37" t="n">
        <v>26.58</v>
      </c>
      <c r="BQ53" s="37" t="n">
        <v>40.49</v>
      </c>
      <c r="BR53" s="37" t="n">
        <v>22.99</v>
      </c>
      <c r="BS53" s="37" t="n">
        <v>23.23</v>
      </c>
      <c r="BT53" s="37" t="n">
        <v>22.04</v>
      </c>
      <c r="BU53" s="37" t="n">
        <v>20.96</v>
      </c>
      <c r="BV53" s="37" t="n">
        <v>24.61</v>
      </c>
      <c r="BW53" s="37" t="n">
        <v>24.37</v>
      </c>
      <c r="BX53" s="37" t="n">
        <v>26.82</v>
      </c>
      <c r="BY53" s="37" t="n">
        <v>22.99</v>
      </c>
      <c r="BZ53" s="37" t="n">
        <v>25.02</v>
      </c>
      <c r="CA53" s="37" t="n">
        <v>22.58</v>
      </c>
      <c r="CB53" s="37" t="n">
        <v>19.11</v>
      </c>
      <c r="CC53" s="37" t="n">
        <v>1866.479999999999</v>
      </c>
    </row>
    <row r="54" ht="15.75" customHeight="1" s="57">
      <c r="A54" s="7" t="inlineStr">
        <is>
          <t>NTB</t>
        </is>
      </c>
      <c r="B54" s="7" t="inlineStr">
        <is>
          <t>Bình Thuận</t>
        </is>
      </c>
      <c r="C54" s="7" t="n">
        <v>21298000</v>
      </c>
      <c r="D54" s="7" t="inlineStr">
        <is>
          <t>(BTH) Liên Hương</t>
        </is>
      </c>
      <c r="E54" s="7" t="inlineStr">
        <is>
          <t>Shopee-Bulky</t>
        </is>
      </c>
      <c r="F54" s="36" t="n">
        <v>0</v>
      </c>
      <c r="G54" s="36" t="n">
        <v>0.79</v>
      </c>
      <c r="H54" s="36" t="n">
        <v>0.79</v>
      </c>
      <c r="I54" s="36" t="n">
        <v>2.36</v>
      </c>
      <c r="J54" s="36" t="n">
        <v>2.36</v>
      </c>
      <c r="K54" s="28" t="n">
        <v>0</v>
      </c>
      <c r="L54" s="36" t="n">
        <v>1.57</v>
      </c>
      <c r="M54" s="36" t="n">
        <v>0.79</v>
      </c>
      <c r="N54" s="36" t="n">
        <v>1.57</v>
      </c>
      <c r="O54" s="36" t="n">
        <v>0</v>
      </c>
      <c r="P54" s="36" t="n">
        <v>0.79</v>
      </c>
      <c r="Q54" s="36" t="n">
        <v>0.79</v>
      </c>
      <c r="R54" s="28" t="n">
        <v>1.57</v>
      </c>
      <c r="S54" s="36" t="n">
        <v>0.79</v>
      </c>
      <c r="T54" s="36" t="n">
        <v>0</v>
      </c>
      <c r="U54" s="36" t="n">
        <v>1.46</v>
      </c>
      <c r="V54" s="36" t="n">
        <v>1.46</v>
      </c>
      <c r="W54" s="36" t="n">
        <v>1.77</v>
      </c>
      <c r="X54" s="36" t="n">
        <v>0.9399999999999999</v>
      </c>
      <c r="Y54" s="28" t="n">
        <v>2.21</v>
      </c>
      <c r="Z54" s="36" t="n">
        <v>1.69</v>
      </c>
      <c r="AA54" s="36" t="n">
        <v>2.58</v>
      </c>
      <c r="AB54" s="36" t="n">
        <v>1.69</v>
      </c>
      <c r="AC54" s="36" t="n">
        <v>1.62</v>
      </c>
      <c r="AD54" s="36" t="n">
        <v>6.28</v>
      </c>
      <c r="AE54" s="36" t="n">
        <v>5.03</v>
      </c>
      <c r="AF54" s="28" t="n">
        <v>4.9</v>
      </c>
      <c r="AG54" s="36" t="n">
        <v>2.79</v>
      </c>
      <c r="AH54" s="37" t="n">
        <v>1.64</v>
      </c>
      <c r="AI54" s="37" t="n">
        <v>1.82</v>
      </c>
      <c r="AJ54" s="37" t="n">
        <v>1.56</v>
      </c>
      <c r="AK54" s="37" t="n">
        <v>3.6</v>
      </c>
      <c r="AL54" s="37" t="n">
        <v>1.62</v>
      </c>
      <c r="AM54" s="37" t="n">
        <v>3</v>
      </c>
      <c r="AN54" s="37" t="n">
        <v>1.67</v>
      </c>
      <c r="AO54" s="37" t="n">
        <v>1.67</v>
      </c>
      <c r="AP54" s="37" t="n">
        <v>3</v>
      </c>
      <c r="AQ54" s="37" t="n">
        <v>2.19</v>
      </c>
      <c r="AR54" s="37" t="n">
        <v>1.67</v>
      </c>
      <c r="AS54" s="37" t="n">
        <v>0.89</v>
      </c>
      <c r="AT54" s="37" t="n">
        <v>2.14</v>
      </c>
      <c r="AU54" s="37" t="n">
        <v>3.7</v>
      </c>
      <c r="AV54" s="37" t="n">
        <v>3.93</v>
      </c>
      <c r="AW54" s="37" t="n">
        <v>1.54</v>
      </c>
      <c r="AX54" s="37" t="n">
        <v>1.54</v>
      </c>
      <c r="AY54" s="37" t="n">
        <v>1.67</v>
      </c>
      <c r="AZ54" s="37" t="n">
        <v>0.89</v>
      </c>
      <c r="BA54" s="37" t="n">
        <v>1.9</v>
      </c>
      <c r="BB54" s="37" t="n">
        <v>1.25</v>
      </c>
      <c r="BC54" s="37" t="n">
        <v>0.16</v>
      </c>
      <c r="BD54" s="37" t="n">
        <v>0.5</v>
      </c>
      <c r="BE54" s="37" t="n">
        <v>1.93</v>
      </c>
      <c r="BF54" s="37" t="n">
        <v>1.62</v>
      </c>
      <c r="BG54" s="37" t="n">
        <v>1.02</v>
      </c>
      <c r="BH54" s="37" t="n">
        <v>2.32</v>
      </c>
      <c r="BI54" s="37" t="n">
        <v>1.8</v>
      </c>
      <c r="BJ54" s="37" t="n">
        <v>9.69</v>
      </c>
      <c r="BK54" s="37" t="n">
        <v>3.8</v>
      </c>
      <c r="BL54" s="37" t="n">
        <v>2.03</v>
      </c>
      <c r="BM54" s="37" t="n">
        <v>1.35</v>
      </c>
      <c r="BN54" s="37" t="n">
        <v>0.96</v>
      </c>
      <c r="BO54" s="37" t="n">
        <v>2.68</v>
      </c>
      <c r="BP54" s="37" t="n">
        <v>3.8</v>
      </c>
      <c r="BQ54" s="37" t="n">
        <v>2.89</v>
      </c>
      <c r="BR54" s="37" t="n">
        <v>1.62</v>
      </c>
      <c r="BS54" s="37" t="n">
        <v>1.62</v>
      </c>
      <c r="BT54" s="37" t="n">
        <v>1.25</v>
      </c>
      <c r="BU54" s="37" t="n">
        <v>1.98</v>
      </c>
      <c r="BV54" s="37" t="n">
        <v>2.45</v>
      </c>
      <c r="BW54" s="37" t="n">
        <v>1.8</v>
      </c>
      <c r="BX54" s="37" t="n">
        <v>1.77</v>
      </c>
      <c r="BY54" s="37" t="n">
        <v>1.62</v>
      </c>
      <c r="BZ54" s="37" t="n">
        <v>3.31</v>
      </c>
      <c r="CA54" s="37" t="n">
        <v>1.62</v>
      </c>
      <c r="CB54" s="37" t="n">
        <v>0.99</v>
      </c>
      <c r="CC54" s="37" t="n">
        <v>148.06</v>
      </c>
    </row>
    <row r="55" ht="15.75" customHeight="1" s="57">
      <c r="A55" s="7" t="inlineStr">
        <is>
          <t>NTB</t>
        </is>
      </c>
      <c r="B55" s="7" t="inlineStr">
        <is>
          <t>Bình Thuận</t>
        </is>
      </c>
      <c r="C55" s="7" t="n">
        <v>21298000</v>
      </c>
      <c r="D55" s="7" t="inlineStr">
        <is>
          <t>(BTH) Liên Hương</t>
        </is>
      </c>
      <c r="E55" s="7" t="inlineStr">
        <is>
          <t>Shopee-Bulky (10-15kg)</t>
        </is>
      </c>
      <c r="F55" s="36" t="n">
        <v>0</v>
      </c>
      <c r="G55" s="36" t="n">
        <v>0.21</v>
      </c>
      <c r="H55" s="36" t="n">
        <v>0.21</v>
      </c>
      <c r="I55" s="36" t="n">
        <v>0.64</v>
      </c>
      <c r="J55" s="36" t="n">
        <v>0.64</v>
      </c>
      <c r="K55" s="28" t="n">
        <v>0</v>
      </c>
      <c r="L55" s="36" t="n">
        <v>0.43</v>
      </c>
      <c r="M55" s="36" t="n">
        <v>0.21</v>
      </c>
      <c r="N55" s="36" t="n">
        <v>0.43</v>
      </c>
      <c r="O55" s="36" t="n">
        <v>0</v>
      </c>
      <c r="P55" s="36" t="n">
        <v>0.21</v>
      </c>
      <c r="Q55" s="36" t="n">
        <v>0.21</v>
      </c>
      <c r="R55" s="28" t="n">
        <v>0.43</v>
      </c>
      <c r="S55" s="36" t="n">
        <v>0.21</v>
      </c>
      <c r="T55" s="36" t="n">
        <v>0</v>
      </c>
      <c r="U55" s="36" t="n">
        <v>0.36</v>
      </c>
      <c r="V55" s="36" t="n">
        <v>0.34</v>
      </c>
      <c r="W55" s="36" t="n">
        <v>0.42</v>
      </c>
      <c r="X55" s="36" t="n">
        <v>0.21</v>
      </c>
      <c r="Y55" s="28" t="n">
        <v>0.57</v>
      </c>
      <c r="Z55" s="36" t="n">
        <v>0.39</v>
      </c>
      <c r="AA55" s="36" t="n">
        <v>0.57</v>
      </c>
      <c r="AB55" s="36" t="n">
        <v>0.39</v>
      </c>
      <c r="AC55" s="36" t="n">
        <v>0.42</v>
      </c>
      <c r="AD55" s="36" t="n">
        <v>2.58</v>
      </c>
      <c r="AE55" s="36" t="n">
        <v>1.15</v>
      </c>
      <c r="AF55" s="28" t="n">
        <v>0.96</v>
      </c>
      <c r="AG55" s="36" t="n">
        <v>0.73</v>
      </c>
      <c r="AH55" s="37" t="n">
        <v>0.39</v>
      </c>
      <c r="AI55" s="37" t="n">
        <v>0.39</v>
      </c>
      <c r="AJ55" s="37" t="n">
        <v>0.34</v>
      </c>
      <c r="AK55" s="37" t="n">
        <v>0.96</v>
      </c>
      <c r="AL55" s="37" t="n">
        <v>0.36</v>
      </c>
      <c r="AM55" s="37" t="n">
        <v>0.68</v>
      </c>
      <c r="AN55" s="37" t="n">
        <v>0.39</v>
      </c>
      <c r="AO55" s="37" t="n">
        <v>0.39</v>
      </c>
      <c r="AP55" s="37" t="n">
        <v>0.76</v>
      </c>
      <c r="AQ55" s="37" t="n">
        <v>0.47</v>
      </c>
      <c r="AR55" s="37" t="n">
        <v>0.39</v>
      </c>
      <c r="AS55" s="37" t="n">
        <v>0.16</v>
      </c>
      <c r="AT55" s="37" t="n">
        <v>0.5</v>
      </c>
      <c r="AU55" s="37" t="n">
        <v>0.86</v>
      </c>
      <c r="AV55" s="37" t="n">
        <v>1.02</v>
      </c>
      <c r="AW55" s="37" t="n">
        <v>0.39</v>
      </c>
      <c r="AX55" s="37" t="n">
        <v>0.34</v>
      </c>
      <c r="AY55" s="37" t="n">
        <v>0.36</v>
      </c>
      <c r="AZ55" s="37" t="n">
        <v>0.16</v>
      </c>
      <c r="BA55" s="37" t="n">
        <v>0.44</v>
      </c>
      <c r="BB55" s="37" t="n">
        <v>0.29</v>
      </c>
      <c r="BC55" s="37" t="n">
        <v>0.05</v>
      </c>
      <c r="BD55" s="37" t="n">
        <v>0.1</v>
      </c>
      <c r="BE55" s="37" t="n">
        <v>0.42</v>
      </c>
      <c r="BF55" s="37" t="n">
        <v>0.36</v>
      </c>
      <c r="BG55" s="37" t="n">
        <v>0.18</v>
      </c>
      <c r="BH55" s="37" t="n">
        <v>0.52</v>
      </c>
      <c r="BI55" s="37" t="n">
        <v>0.42</v>
      </c>
      <c r="BJ55" s="37" t="n">
        <v>3.02</v>
      </c>
      <c r="BK55" s="37" t="n">
        <v>1.09</v>
      </c>
      <c r="BL55" s="37" t="n">
        <v>0.52</v>
      </c>
      <c r="BM55" s="37" t="n">
        <v>0.34</v>
      </c>
      <c r="BN55" s="37" t="n">
        <v>0.18</v>
      </c>
      <c r="BO55" s="37" t="n">
        <v>0.78</v>
      </c>
      <c r="BP55" s="37" t="n">
        <v>1.09</v>
      </c>
      <c r="BQ55" s="37" t="n">
        <v>0.83</v>
      </c>
      <c r="BR55" s="37" t="n">
        <v>0.44</v>
      </c>
      <c r="BS55" s="37" t="n">
        <v>0.36</v>
      </c>
      <c r="BT55" s="37" t="n">
        <v>0.29</v>
      </c>
      <c r="BU55" s="37" t="n">
        <v>0.47</v>
      </c>
      <c r="BV55" s="37" t="n">
        <v>0.57</v>
      </c>
      <c r="BW55" s="37" t="n">
        <v>0.42</v>
      </c>
      <c r="BX55" s="37" t="n">
        <v>0.42</v>
      </c>
      <c r="BY55" s="37" t="n">
        <v>0.44</v>
      </c>
      <c r="BZ55" s="37" t="n">
        <v>0.99</v>
      </c>
      <c r="CA55" s="37" t="n">
        <v>0.42</v>
      </c>
      <c r="CB55" s="37" t="n">
        <v>0.18</v>
      </c>
      <c r="CC55" s="37" t="n">
        <v>37.86000000000001</v>
      </c>
    </row>
    <row r="56" ht="15.75" customHeight="1" s="57">
      <c r="A56" s="7" t="inlineStr">
        <is>
          <t>NTB</t>
        </is>
      </c>
      <c r="B56" s="7" t="inlineStr">
        <is>
          <t>Bình Thuận</t>
        </is>
      </c>
      <c r="C56" s="7" t="n">
        <v>21298000</v>
      </c>
      <c r="D56" s="7" t="inlineStr">
        <is>
          <t>(BTH) Liên Hương</t>
        </is>
      </c>
      <c r="E56" s="7" t="inlineStr">
        <is>
          <t>TTS</t>
        </is>
      </c>
      <c r="F56" s="36" t="n">
        <v>28</v>
      </c>
      <c r="G56" s="36" t="n">
        <v>23</v>
      </c>
      <c r="H56" s="36" t="n">
        <v>22</v>
      </c>
      <c r="I56" s="36" t="n">
        <v>30</v>
      </c>
      <c r="J56" s="36" t="n">
        <v>18</v>
      </c>
      <c r="K56" s="28" t="n">
        <v>28</v>
      </c>
      <c r="L56" s="36" t="n">
        <v>21</v>
      </c>
      <c r="M56" s="36" t="n">
        <v>29</v>
      </c>
      <c r="N56" s="36" t="n">
        <v>27</v>
      </c>
      <c r="O56" s="36" t="n">
        <v>17</v>
      </c>
      <c r="P56" s="36" t="n">
        <v>25</v>
      </c>
      <c r="Q56" s="36" t="n">
        <v>14</v>
      </c>
      <c r="R56" s="28" t="n">
        <v>30</v>
      </c>
      <c r="S56" s="36" t="n">
        <v>23</v>
      </c>
      <c r="T56" s="36" t="n">
        <v>26</v>
      </c>
      <c r="U56" s="36" t="n">
        <v>46</v>
      </c>
      <c r="V56" s="36" t="n">
        <v>45.40000000000001</v>
      </c>
      <c r="W56" s="36" t="n">
        <v>44.24</v>
      </c>
      <c r="X56" s="36" t="n">
        <v>35.47000000000001</v>
      </c>
      <c r="Y56" s="28" t="n">
        <v>51.99</v>
      </c>
      <c r="Z56" s="36" t="n">
        <v>44.24</v>
      </c>
      <c r="AA56" s="36" t="n">
        <v>48.95</v>
      </c>
      <c r="AB56" s="36" t="n">
        <v>54.7</v>
      </c>
      <c r="AC56" s="36" t="n">
        <v>57.72000000000001</v>
      </c>
      <c r="AD56" s="36" t="n">
        <v>48.54</v>
      </c>
      <c r="AE56" s="36" t="n">
        <v>41.18</v>
      </c>
      <c r="AF56" s="28" t="n">
        <v>53.55</v>
      </c>
      <c r="AG56" s="36" t="n">
        <v>44.97000000000001</v>
      </c>
      <c r="AH56" s="37" t="n">
        <v>44.63</v>
      </c>
      <c r="AI56" s="37" t="n">
        <v>51.21</v>
      </c>
      <c r="AJ56" s="37" t="n">
        <v>55.1</v>
      </c>
      <c r="AK56" s="37" t="n">
        <v>54.23</v>
      </c>
      <c r="AL56" s="37" t="n">
        <v>38.39</v>
      </c>
      <c r="AM56" s="37" t="n">
        <v>52.88</v>
      </c>
      <c r="AN56" s="37" t="n">
        <v>45.53</v>
      </c>
      <c r="AO56" s="37" t="n">
        <v>45.17</v>
      </c>
      <c r="AP56" s="37" t="n">
        <v>44.14</v>
      </c>
      <c r="AQ56" s="37" t="n">
        <v>44.47000000000001</v>
      </c>
      <c r="AR56" s="37" t="n">
        <v>43.7</v>
      </c>
      <c r="AS56" s="37" t="n">
        <v>35.53</v>
      </c>
      <c r="AT56" s="37" t="n">
        <v>57.07</v>
      </c>
      <c r="AU56" s="37" t="n">
        <v>51.58000000000001</v>
      </c>
      <c r="AV56" s="37" t="n">
        <v>45.96</v>
      </c>
      <c r="AW56" s="37" t="n">
        <v>43.6</v>
      </c>
      <c r="AX56" s="37" t="n">
        <v>43.31</v>
      </c>
      <c r="AY56" s="37" t="n">
        <v>43.01000000000001</v>
      </c>
      <c r="AZ56" s="37" t="n">
        <v>35.7</v>
      </c>
      <c r="BA56" s="37" t="n">
        <v>51.49</v>
      </c>
      <c r="BB56" s="37" t="n">
        <v>48.02</v>
      </c>
      <c r="BC56" s="37" t="n">
        <v>24.29</v>
      </c>
      <c r="BD56" s="37" t="n">
        <v>34.7</v>
      </c>
      <c r="BE56" s="37" t="n">
        <v>80.63</v>
      </c>
      <c r="BF56" s="37" t="n">
        <v>78.39999999999999</v>
      </c>
      <c r="BG56" s="37" t="n">
        <v>38.39</v>
      </c>
      <c r="BH56" s="37" t="n">
        <v>57</v>
      </c>
      <c r="BI56" s="37" t="n">
        <v>48.02</v>
      </c>
      <c r="BJ56" s="37" t="n">
        <v>36.71</v>
      </c>
      <c r="BK56" s="37" t="n">
        <v>48.89</v>
      </c>
      <c r="BL56" s="37" t="n">
        <v>48.95</v>
      </c>
      <c r="BM56" s="37" t="n">
        <v>47.52</v>
      </c>
      <c r="BN56" s="37" t="n">
        <v>38.39</v>
      </c>
      <c r="BO56" s="37" t="n">
        <v>57</v>
      </c>
      <c r="BP56" s="37" t="n">
        <v>48.02</v>
      </c>
      <c r="BQ56" s="37" t="n">
        <v>47.62</v>
      </c>
      <c r="BR56" s="37" t="n">
        <v>48.89</v>
      </c>
      <c r="BS56" s="37" t="n">
        <v>48.95</v>
      </c>
      <c r="BT56" s="37" t="n">
        <v>47.52</v>
      </c>
      <c r="BU56" s="37" t="n">
        <v>38.39</v>
      </c>
      <c r="BV56" s="37" t="n">
        <v>57</v>
      </c>
      <c r="BW56" s="37" t="n">
        <v>48.02</v>
      </c>
      <c r="BX56" s="37" t="n">
        <v>47.62</v>
      </c>
      <c r="BY56" s="37" t="n">
        <v>48.89</v>
      </c>
      <c r="BZ56" s="37" t="n">
        <v>48.95</v>
      </c>
      <c r="CA56" s="37" t="n">
        <v>47.52</v>
      </c>
      <c r="CB56" s="37" t="n">
        <v>38.39</v>
      </c>
      <c r="CC56" s="37" t="n">
        <v>3207.339999999998</v>
      </c>
    </row>
    <row r="57" ht="15.75" customHeight="1" s="57">
      <c r="A57" s="7" t="inlineStr">
        <is>
          <t>NTB</t>
        </is>
      </c>
      <c r="B57" s="7" t="inlineStr">
        <is>
          <t>Bình Thuận</t>
        </is>
      </c>
      <c r="C57" s="7" t="n">
        <v>21298000</v>
      </c>
      <c r="D57" s="7" t="inlineStr">
        <is>
          <t>(BTH) Liên Hương</t>
        </is>
      </c>
      <c r="E57" s="7" t="inlineStr">
        <is>
          <t>TTS-Bulky</t>
        </is>
      </c>
      <c r="F57" s="36" t="n">
        <v>0</v>
      </c>
      <c r="G57" s="36" t="n">
        <v>1</v>
      </c>
      <c r="H57" s="36" t="n">
        <v>0</v>
      </c>
      <c r="I57" s="36" t="n">
        <v>0</v>
      </c>
      <c r="J57" s="36" t="n">
        <v>0</v>
      </c>
      <c r="K57" s="28" t="n">
        <v>0</v>
      </c>
      <c r="L57" s="36" t="n">
        <v>0</v>
      </c>
      <c r="M57" s="36" t="n">
        <v>0</v>
      </c>
      <c r="N57" s="36" t="n">
        <v>0</v>
      </c>
      <c r="O57" s="36" t="n">
        <v>0</v>
      </c>
      <c r="P57" s="36" t="n">
        <v>0</v>
      </c>
      <c r="Q57" s="36" t="n">
        <v>0</v>
      </c>
      <c r="R57" s="28" t="n">
        <v>0</v>
      </c>
      <c r="S57" s="36" t="n">
        <v>0</v>
      </c>
      <c r="T57" s="36" t="n">
        <v>0</v>
      </c>
      <c r="U57" s="36" t="n">
        <v>0.41</v>
      </c>
      <c r="V57" s="36" t="n">
        <v>0.41</v>
      </c>
      <c r="W57" s="36" t="n">
        <v>0.18</v>
      </c>
      <c r="X57" s="36" t="n">
        <v>0.17</v>
      </c>
      <c r="Y57" s="28" t="n">
        <v>0.2</v>
      </c>
      <c r="Z57" s="36" t="n">
        <v>0.2</v>
      </c>
      <c r="AA57" s="36" t="n">
        <v>0.22</v>
      </c>
      <c r="AB57" s="36" t="n">
        <v>0.2</v>
      </c>
      <c r="AC57" s="36" t="n">
        <v>0.24</v>
      </c>
      <c r="AD57" s="36" t="n">
        <v>0.06</v>
      </c>
      <c r="AE57" s="36" t="n">
        <v>0.17</v>
      </c>
      <c r="AF57" s="28" t="n">
        <v>0.25</v>
      </c>
      <c r="AG57" s="36" t="n">
        <v>0.21</v>
      </c>
      <c r="AH57" s="37" t="n">
        <v>0.18</v>
      </c>
      <c r="AI57" s="37" t="n">
        <v>0.2</v>
      </c>
      <c r="AJ57" s="37" t="n">
        <v>0.2</v>
      </c>
      <c r="AK57" s="37" t="n">
        <v>0.2</v>
      </c>
      <c r="AL57" s="37" t="n">
        <v>0.17</v>
      </c>
      <c r="AM57" s="37" t="n">
        <v>0.2</v>
      </c>
      <c r="AN57" s="37" t="n">
        <v>0.18</v>
      </c>
      <c r="AO57" s="37" t="n">
        <v>0.18</v>
      </c>
      <c r="AP57" s="37" t="n">
        <v>0.21</v>
      </c>
      <c r="AQ57" s="37" t="n">
        <v>0.22</v>
      </c>
      <c r="AR57" s="37" t="n">
        <v>0.18</v>
      </c>
      <c r="AS57" s="37" t="n">
        <v>0.17</v>
      </c>
      <c r="AT57" s="37" t="n">
        <v>0.26</v>
      </c>
      <c r="AU57" s="37" t="n">
        <v>0.23</v>
      </c>
      <c r="AV57" s="37" t="n">
        <v>0.18</v>
      </c>
      <c r="AW57" s="37" t="n">
        <v>0.18</v>
      </c>
      <c r="AX57" s="37" t="n">
        <v>0.22</v>
      </c>
      <c r="AY57" s="37" t="n">
        <v>0.18</v>
      </c>
      <c r="AZ57" s="37" t="n">
        <v>0.17</v>
      </c>
      <c r="BA57" s="37" t="n">
        <v>0.2</v>
      </c>
      <c r="BB57" s="37" t="n">
        <v>0.06</v>
      </c>
      <c r="BC57" s="37" t="n">
        <v>0.03</v>
      </c>
      <c r="BD57" s="37" t="n">
        <v>0.04</v>
      </c>
      <c r="BE57" s="37" t="n">
        <v>0.06</v>
      </c>
      <c r="BF57" s="37" t="n">
        <v>0.06</v>
      </c>
      <c r="BG57" s="37" t="n">
        <v>0.04</v>
      </c>
      <c r="BH57" s="37" t="n">
        <v>0.07000000000000001</v>
      </c>
      <c r="BI57" s="37" t="n">
        <v>0.06</v>
      </c>
      <c r="BJ57" s="37" t="n">
        <v>0.01</v>
      </c>
      <c r="BK57" s="37" t="n">
        <v>0.06</v>
      </c>
      <c r="BL57" s="37" t="n">
        <v>0.06</v>
      </c>
      <c r="BM57" s="37" t="n">
        <v>0.06</v>
      </c>
      <c r="BN57" s="37" t="n">
        <v>0.04</v>
      </c>
      <c r="BO57" s="37" t="n">
        <v>0.07000000000000001</v>
      </c>
      <c r="BP57" s="37" t="n">
        <v>0.07000000000000001</v>
      </c>
      <c r="BQ57" s="37" t="n">
        <v>0.06</v>
      </c>
      <c r="BR57" s="37" t="n">
        <v>0.06</v>
      </c>
      <c r="BS57" s="37" t="n">
        <v>0.06</v>
      </c>
      <c r="BT57" s="37" t="n">
        <v>0.06</v>
      </c>
      <c r="BU57" s="37" t="n">
        <v>0.04</v>
      </c>
      <c r="BV57" s="37" t="n">
        <v>0.07000000000000001</v>
      </c>
      <c r="BW57" s="37" t="n">
        <v>0.06</v>
      </c>
      <c r="BX57" s="37" t="n">
        <v>0.06</v>
      </c>
      <c r="BY57" s="37" t="n">
        <v>0.06</v>
      </c>
      <c r="BZ57" s="37" t="n">
        <v>0.06</v>
      </c>
      <c r="CA57" s="37" t="n">
        <v>0.06</v>
      </c>
      <c r="CB57" s="37" t="n">
        <v>0.04</v>
      </c>
      <c r="CC57" s="37" t="n">
        <v>9.310000000000004</v>
      </c>
    </row>
    <row r="58" ht="15.75" customHeight="1" s="57">
      <c r="A58" s="7" t="inlineStr">
        <is>
          <t>NTB</t>
        </is>
      </c>
      <c r="B58" s="7" t="inlineStr">
        <is>
          <t>Bình Thuận</t>
        </is>
      </c>
      <c r="C58" s="7" t="n">
        <v>21320000</v>
      </c>
      <c r="D58" s="7" t="inlineStr">
        <is>
          <t>(BTH) Phú Thủy</t>
        </is>
      </c>
      <c r="E58" s="7" t="inlineStr">
        <is>
          <t>SME</t>
        </is>
      </c>
      <c r="F58" s="36" t="n">
        <v>96</v>
      </c>
      <c r="G58" s="36" t="n">
        <v>102</v>
      </c>
      <c r="H58" s="36" t="n">
        <v>85</v>
      </c>
      <c r="I58" s="36" t="n">
        <v>90</v>
      </c>
      <c r="J58" s="36" t="n">
        <v>87</v>
      </c>
      <c r="K58" s="28" t="n">
        <v>92</v>
      </c>
      <c r="L58" s="36" t="n">
        <v>98</v>
      </c>
      <c r="M58" s="36" t="n">
        <v>101</v>
      </c>
      <c r="N58" s="36" t="n">
        <v>100</v>
      </c>
      <c r="O58" s="36" t="n">
        <v>96</v>
      </c>
      <c r="P58" s="36" t="n">
        <v>102</v>
      </c>
      <c r="Q58" s="36" t="n">
        <v>83</v>
      </c>
      <c r="R58" s="28" t="n">
        <v>99</v>
      </c>
      <c r="S58" s="36" t="n">
        <v>107</v>
      </c>
      <c r="T58" s="36" t="n">
        <v>102</v>
      </c>
      <c r="U58" s="36" t="n">
        <v>127.36</v>
      </c>
      <c r="V58" s="36" t="n">
        <v>132.49</v>
      </c>
      <c r="W58" s="36" t="n">
        <v>128.63</v>
      </c>
      <c r="X58" s="36" t="n">
        <v>105.52</v>
      </c>
      <c r="Y58" s="28" t="n">
        <v>142.68</v>
      </c>
      <c r="Z58" s="36" t="n">
        <v>131.55</v>
      </c>
      <c r="AA58" s="36" t="n">
        <v>128.04</v>
      </c>
      <c r="AB58" s="36" t="n">
        <v>127.36</v>
      </c>
      <c r="AC58" s="36" t="n">
        <v>132.49</v>
      </c>
      <c r="AD58" s="36" t="n">
        <v>96.38</v>
      </c>
      <c r="AE58" s="36" t="n">
        <v>105.52</v>
      </c>
      <c r="AF58" s="28" t="n">
        <v>142.68</v>
      </c>
      <c r="AG58" s="36" t="n">
        <v>131.55</v>
      </c>
      <c r="AH58" s="37" t="n">
        <v>128.04</v>
      </c>
      <c r="AI58" s="37" t="n">
        <v>127.36</v>
      </c>
      <c r="AJ58" s="37" t="n">
        <v>132.49</v>
      </c>
      <c r="AK58" s="37" t="n">
        <v>128.63</v>
      </c>
      <c r="AL58" s="37" t="n">
        <v>105.52</v>
      </c>
      <c r="AM58" s="37" t="n">
        <v>142.68</v>
      </c>
      <c r="AN58" s="37" t="n">
        <v>131.55</v>
      </c>
      <c r="AO58" s="37" t="n">
        <v>128.04</v>
      </c>
      <c r="AP58" s="37" t="n">
        <v>127.36</v>
      </c>
      <c r="AQ58" s="37" t="n">
        <v>132.49</v>
      </c>
      <c r="AR58" s="37" t="n">
        <v>128.63</v>
      </c>
      <c r="AS58" s="37" t="n">
        <v>105.52</v>
      </c>
      <c r="AT58" s="37" t="n">
        <v>142.68</v>
      </c>
      <c r="AU58" s="37" t="n">
        <v>131.55</v>
      </c>
      <c r="AV58" s="37" t="n">
        <v>128.04</v>
      </c>
      <c r="AW58" s="37" t="n">
        <v>127.36</v>
      </c>
      <c r="AX58" s="37" t="n">
        <v>132.49</v>
      </c>
      <c r="AY58" s="37" t="n">
        <v>128.63</v>
      </c>
      <c r="AZ58" s="37" t="n">
        <v>105.52</v>
      </c>
      <c r="BA58" s="37" t="n">
        <v>135.63</v>
      </c>
      <c r="BB58" s="37" t="n">
        <v>120.23</v>
      </c>
      <c r="BC58" s="37" t="n">
        <v>73.39</v>
      </c>
      <c r="BD58" s="37" t="n">
        <v>57.16</v>
      </c>
      <c r="BE58" s="37" t="n">
        <v>124.09</v>
      </c>
      <c r="BF58" s="37" t="n">
        <v>120.7</v>
      </c>
      <c r="BG58" s="37" t="n">
        <v>108.68</v>
      </c>
      <c r="BH58" s="37" t="n">
        <v>147.01</v>
      </c>
      <c r="BI58" s="37" t="n">
        <v>135.77</v>
      </c>
      <c r="BJ58" s="37" t="n">
        <v>98.72</v>
      </c>
      <c r="BK58" s="37" t="n">
        <v>131.1</v>
      </c>
      <c r="BL58" s="37" t="n">
        <v>136.59</v>
      </c>
      <c r="BM58" s="37" t="n">
        <v>132.37</v>
      </c>
      <c r="BN58" s="37" t="n">
        <v>108.68</v>
      </c>
      <c r="BO58" s="37" t="n">
        <v>147.01</v>
      </c>
      <c r="BP58" s="37" t="n">
        <v>135.77</v>
      </c>
      <c r="BQ58" s="37" t="n">
        <v>131.79</v>
      </c>
      <c r="BR58" s="37" t="n">
        <v>131.1</v>
      </c>
      <c r="BS58" s="37" t="n">
        <v>136.59</v>
      </c>
      <c r="BT58" s="37" t="n">
        <v>132.37</v>
      </c>
      <c r="BU58" s="37" t="n">
        <v>108.68</v>
      </c>
      <c r="BV58" s="37" t="n">
        <v>147.01</v>
      </c>
      <c r="BW58" s="37" t="n">
        <v>135.77</v>
      </c>
      <c r="BX58" s="37" t="n">
        <v>131.79</v>
      </c>
      <c r="BY58" s="37" t="n">
        <v>131.1</v>
      </c>
      <c r="BZ58" s="37" t="n">
        <v>136.59</v>
      </c>
      <c r="CA58" s="37" t="n">
        <v>132.37</v>
      </c>
      <c r="CB58" s="37" t="n">
        <v>108.68</v>
      </c>
      <c r="CC58" s="37" t="n">
        <v>8963.570000000007</v>
      </c>
    </row>
    <row r="59" ht="15.75" customHeight="1" s="57">
      <c r="A59" s="7" t="inlineStr">
        <is>
          <t>NTB</t>
        </is>
      </c>
      <c r="B59" s="7" t="inlineStr">
        <is>
          <t>Bình Thuận</t>
        </is>
      </c>
      <c r="C59" s="7" t="n">
        <v>21320000</v>
      </c>
      <c r="D59" s="7" t="inlineStr">
        <is>
          <t>(BTH) Phú Thủy</t>
        </is>
      </c>
      <c r="E59" s="7" t="inlineStr">
        <is>
          <t>SME-Bulky</t>
        </is>
      </c>
      <c r="F59" s="36" t="n">
        <v>8</v>
      </c>
      <c r="G59" s="36" t="n">
        <v>2</v>
      </c>
      <c r="H59" s="36" t="n">
        <v>5</v>
      </c>
      <c r="I59" s="36" t="n">
        <v>2</v>
      </c>
      <c r="J59" s="36" t="n">
        <v>9</v>
      </c>
      <c r="K59" s="28" t="n">
        <v>2</v>
      </c>
      <c r="L59" s="36" t="n">
        <v>3</v>
      </c>
      <c r="M59" s="36" t="n">
        <v>7</v>
      </c>
      <c r="N59" s="36" t="n">
        <v>8</v>
      </c>
      <c r="O59" s="36" t="n">
        <v>7</v>
      </c>
      <c r="P59" s="36" t="n">
        <v>5</v>
      </c>
      <c r="Q59" s="36" t="n">
        <v>4</v>
      </c>
      <c r="R59" s="28" t="n">
        <v>5</v>
      </c>
      <c r="S59" s="36" t="n">
        <v>10</v>
      </c>
      <c r="T59" s="36" t="n">
        <v>3</v>
      </c>
      <c r="U59" s="36" t="n">
        <v>6.97</v>
      </c>
      <c r="V59" s="36" t="n">
        <v>6.97</v>
      </c>
      <c r="W59" s="36" t="n">
        <v>6.77</v>
      </c>
      <c r="X59" s="36" t="n">
        <v>4.87</v>
      </c>
      <c r="Y59" s="28" t="n">
        <v>8.59</v>
      </c>
      <c r="Z59" s="36" t="n">
        <v>8.869999999999999</v>
      </c>
      <c r="AA59" s="36" t="n">
        <v>7.25</v>
      </c>
      <c r="AB59" s="36" t="n">
        <v>6.97</v>
      </c>
      <c r="AC59" s="36" t="n">
        <v>6.97</v>
      </c>
      <c r="AD59" s="36" t="n">
        <v>5.25</v>
      </c>
      <c r="AE59" s="36" t="n">
        <v>4.87</v>
      </c>
      <c r="AF59" s="28" t="n">
        <v>8.59</v>
      </c>
      <c r="AG59" s="36" t="n">
        <v>8.869999999999999</v>
      </c>
      <c r="AH59" s="37" t="n">
        <v>7.25</v>
      </c>
      <c r="AI59" s="37" t="n">
        <v>6.97</v>
      </c>
      <c r="AJ59" s="37" t="n">
        <v>6.97</v>
      </c>
      <c r="AK59" s="37" t="n">
        <v>6.77</v>
      </c>
      <c r="AL59" s="37" t="n">
        <v>4.87</v>
      </c>
      <c r="AM59" s="37" t="n">
        <v>8.59</v>
      </c>
      <c r="AN59" s="37" t="n">
        <v>8.869999999999999</v>
      </c>
      <c r="AO59" s="37" t="n">
        <v>7.25</v>
      </c>
      <c r="AP59" s="37" t="n">
        <v>6.97</v>
      </c>
      <c r="AQ59" s="37" t="n">
        <v>6.97</v>
      </c>
      <c r="AR59" s="37" t="n">
        <v>6.77</v>
      </c>
      <c r="AS59" s="37" t="n">
        <v>4.87</v>
      </c>
      <c r="AT59" s="37" t="n">
        <v>8.59</v>
      </c>
      <c r="AU59" s="37" t="n">
        <v>8.869999999999999</v>
      </c>
      <c r="AV59" s="37" t="n">
        <v>7.25</v>
      </c>
      <c r="AW59" s="37" t="n">
        <v>6.97</v>
      </c>
      <c r="AX59" s="37" t="n">
        <v>6.97</v>
      </c>
      <c r="AY59" s="37" t="n">
        <v>6.77</v>
      </c>
      <c r="AZ59" s="37" t="n">
        <v>4.87</v>
      </c>
      <c r="BA59" s="37" t="n">
        <v>8.869999999999999</v>
      </c>
      <c r="BB59" s="37" t="n">
        <v>4.96</v>
      </c>
      <c r="BC59" s="37" t="n">
        <v>2.39</v>
      </c>
      <c r="BD59" s="37" t="n">
        <v>1.34</v>
      </c>
      <c r="BE59" s="37" t="n">
        <v>3.91</v>
      </c>
      <c r="BF59" s="37" t="n">
        <v>3.82</v>
      </c>
      <c r="BG59" s="37" t="n">
        <v>2.67</v>
      </c>
      <c r="BH59" s="37" t="n">
        <v>4.77</v>
      </c>
      <c r="BI59" s="37" t="n">
        <v>4.96</v>
      </c>
      <c r="BJ59" s="37" t="n">
        <v>3.44</v>
      </c>
      <c r="BK59" s="37" t="n">
        <v>3.91</v>
      </c>
      <c r="BL59" s="37" t="n">
        <v>3.91</v>
      </c>
      <c r="BM59" s="37" t="n">
        <v>3.82</v>
      </c>
      <c r="BN59" s="37" t="n">
        <v>2.67</v>
      </c>
      <c r="BO59" s="37" t="n">
        <v>4.77</v>
      </c>
      <c r="BP59" s="37" t="n">
        <v>4.96</v>
      </c>
      <c r="BQ59" s="37" t="n">
        <v>4.1</v>
      </c>
      <c r="BR59" s="37" t="n">
        <v>3.91</v>
      </c>
      <c r="BS59" s="37" t="n">
        <v>3.91</v>
      </c>
      <c r="BT59" s="37" t="n">
        <v>3.82</v>
      </c>
      <c r="BU59" s="37" t="n">
        <v>2.67</v>
      </c>
      <c r="BV59" s="37" t="n">
        <v>4.77</v>
      </c>
      <c r="BW59" s="37" t="n">
        <v>4.96</v>
      </c>
      <c r="BX59" s="37" t="n">
        <v>4.1</v>
      </c>
      <c r="BY59" s="37" t="n">
        <v>3.91</v>
      </c>
      <c r="BZ59" s="37" t="n">
        <v>3.91</v>
      </c>
      <c r="CA59" s="37" t="n">
        <v>3.82</v>
      </c>
      <c r="CB59" s="37" t="n">
        <v>2.67</v>
      </c>
      <c r="CC59" s="37" t="n">
        <v>416.9400000000002</v>
      </c>
    </row>
    <row r="60" ht="15.75" customHeight="1" s="57">
      <c r="A60" s="7" t="inlineStr">
        <is>
          <t>NTB</t>
        </is>
      </c>
      <c r="B60" s="7" t="inlineStr">
        <is>
          <t>Bình Thuận</t>
        </is>
      </c>
      <c r="C60" s="7" t="n">
        <v>21320000</v>
      </c>
      <c r="D60" s="7" t="inlineStr">
        <is>
          <t>(BTH) Phú Thủy</t>
        </is>
      </c>
      <c r="E60" s="7" t="inlineStr">
        <is>
          <t>Shopee</t>
        </is>
      </c>
      <c r="F60" s="36" t="n">
        <v>41</v>
      </c>
      <c r="G60" s="36" t="n">
        <v>70</v>
      </c>
      <c r="H60" s="36" t="n">
        <v>67</v>
      </c>
      <c r="I60" s="36" t="n">
        <v>61</v>
      </c>
      <c r="J60" s="36" t="n">
        <v>32</v>
      </c>
      <c r="K60" s="28" t="n">
        <v>87</v>
      </c>
      <c r="L60" s="36" t="n">
        <v>68</v>
      </c>
      <c r="M60" s="36" t="n">
        <v>78</v>
      </c>
      <c r="N60" s="36" t="n">
        <v>44</v>
      </c>
      <c r="O60" s="36" t="n">
        <v>59</v>
      </c>
      <c r="P60" s="36" t="n">
        <v>49</v>
      </c>
      <c r="Q60" s="36" t="n">
        <v>36</v>
      </c>
      <c r="R60" s="28" t="n">
        <v>69</v>
      </c>
      <c r="S60" s="36" t="n">
        <v>60</v>
      </c>
      <c r="T60" s="36" t="n">
        <v>93</v>
      </c>
      <c r="U60" s="36" t="n">
        <v>61.34</v>
      </c>
      <c r="V60" s="36" t="n">
        <v>61.96</v>
      </c>
      <c r="W60" s="36" t="n">
        <v>58.71</v>
      </c>
      <c r="X60" s="36" t="n">
        <v>50.81</v>
      </c>
      <c r="Y60" s="28" t="n">
        <v>82.09999999999999</v>
      </c>
      <c r="Z60" s="36" t="n">
        <v>65.06</v>
      </c>
      <c r="AA60" s="36" t="n">
        <v>79.16</v>
      </c>
      <c r="AB60" s="36" t="n">
        <v>62.43</v>
      </c>
      <c r="AC60" s="36" t="n">
        <v>50.5</v>
      </c>
      <c r="AD60" s="36" t="n">
        <v>102.55</v>
      </c>
      <c r="AE60" s="36" t="n">
        <v>54.22</v>
      </c>
      <c r="AF60" s="28" t="n">
        <v>90.62</v>
      </c>
      <c r="AG60" s="36" t="n">
        <v>68.16</v>
      </c>
      <c r="AH60" s="37" t="n">
        <v>71.88</v>
      </c>
      <c r="AI60" s="37" t="n">
        <v>61.34</v>
      </c>
      <c r="AJ60" s="37" t="n">
        <v>61.96</v>
      </c>
      <c r="AK60" s="37" t="n">
        <v>64.59999999999999</v>
      </c>
      <c r="AL60" s="37" t="n">
        <v>91.55</v>
      </c>
      <c r="AM60" s="37" t="n">
        <v>82.09999999999999</v>
      </c>
      <c r="AN60" s="37" t="n">
        <v>65.06</v>
      </c>
      <c r="AO60" s="37" t="n">
        <v>71.88</v>
      </c>
      <c r="AP60" s="37" t="n">
        <v>66.3</v>
      </c>
      <c r="AQ60" s="37" t="n">
        <v>48.8</v>
      </c>
      <c r="AR60" s="37" t="n">
        <v>58.71</v>
      </c>
      <c r="AS60" s="37" t="n">
        <v>50.81</v>
      </c>
      <c r="AT60" s="37" t="n">
        <v>82.09999999999999</v>
      </c>
      <c r="AU60" s="37" t="n">
        <v>70.95</v>
      </c>
      <c r="AV60" s="37" t="n">
        <v>73.58</v>
      </c>
      <c r="AW60" s="37" t="n">
        <v>61.34</v>
      </c>
      <c r="AX60" s="37" t="n">
        <v>61.96</v>
      </c>
      <c r="AY60" s="37" t="n">
        <v>58.71</v>
      </c>
      <c r="AZ60" s="37" t="n">
        <v>50.81</v>
      </c>
      <c r="BA60" s="37" t="n">
        <v>70.02</v>
      </c>
      <c r="BB60" s="37" t="n">
        <v>49.57</v>
      </c>
      <c r="BC60" s="37" t="n">
        <v>22</v>
      </c>
      <c r="BD60" s="37" t="n">
        <v>36.09</v>
      </c>
      <c r="BE60" s="37" t="n">
        <v>73.58</v>
      </c>
      <c r="BF60" s="37" t="n">
        <v>71.09999999999999</v>
      </c>
      <c r="BG60" s="37" t="n">
        <v>50.66</v>
      </c>
      <c r="BH60" s="37" t="n">
        <v>79</v>
      </c>
      <c r="BI60" s="37" t="n">
        <v>52.2</v>
      </c>
      <c r="BJ60" s="37" t="n">
        <v>145.92</v>
      </c>
      <c r="BK60" s="37" t="n">
        <v>63.2</v>
      </c>
      <c r="BL60" s="37" t="n">
        <v>62.74</v>
      </c>
      <c r="BM60" s="37" t="n">
        <v>57.16</v>
      </c>
      <c r="BN60" s="37" t="n">
        <v>49.57</v>
      </c>
      <c r="BO60" s="37" t="n">
        <v>79</v>
      </c>
      <c r="BP60" s="37" t="n">
        <v>68.93000000000001</v>
      </c>
      <c r="BQ60" s="37" t="n">
        <v>105.03</v>
      </c>
      <c r="BR60" s="37" t="n">
        <v>59.64</v>
      </c>
      <c r="BS60" s="37" t="n">
        <v>60.26</v>
      </c>
      <c r="BT60" s="37" t="n">
        <v>57.16</v>
      </c>
      <c r="BU60" s="37" t="n">
        <v>54.37</v>
      </c>
      <c r="BV60" s="37" t="n">
        <v>63.82</v>
      </c>
      <c r="BW60" s="37" t="n">
        <v>63.2</v>
      </c>
      <c r="BX60" s="37" t="n">
        <v>69.55</v>
      </c>
      <c r="BY60" s="37" t="n">
        <v>59.64</v>
      </c>
      <c r="BZ60" s="37" t="n">
        <v>64.91</v>
      </c>
      <c r="CA60" s="37" t="n">
        <v>58.56</v>
      </c>
      <c r="CB60" s="37" t="n">
        <v>49.57</v>
      </c>
      <c r="CC60" s="37" t="n">
        <v>4852.51</v>
      </c>
    </row>
    <row r="61" ht="15.75" customHeight="1" s="57">
      <c r="A61" s="7" t="inlineStr">
        <is>
          <t>NTB</t>
        </is>
      </c>
      <c r="B61" s="7" t="inlineStr">
        <is>
          <t>Bình Thuận</t>
        </is>
      </c>
      <c r="C61" s="7" t="n">
        <v>21320000</v>
      </c>
      <c r="D61" s="7" t="inlineStr">
        <is>
          <t>(BTH) Phú Thủy</t>
        </is>
      </c>
      <c r="E61" s="7" t="inlineStr">
        <is>
          <t>Shopee-Bulky</t>
        </is>
      </c>
      <c r="F61" s="36" t="n">
        <v>5.5</v>
      </c>
      <c r="G61" s="36" t="n">
        <v>6.29</v>
      </c>
      <c r="H61" s="36" t="n">
        <v>3.93</v>
      </c>
      <c r="I61" s="36" t="n">
        <v>3.93</v>
      </c>
      <c r="J61" s="36" t="n">
        <v>3.14</v>
      </c>
      <c r="K61" s="28" t="n">
        <v>18.07</v>
      </c>
      <c r="L61" s="36" t="n">
        <v>7.86</v>
      </c>
      <c r="M61" s="36" t="n">
        <v>7.07</v>
      </c>
      <c r="N61" s="36" t="n">
        <v>8.640000000000001</v>
      </c>
      <c r="O61" s="36" t="n">
        <v>9.43</v>
      </c>
      <c r="P61" s="36" t="n">
        <v>12.57</v>
      </c>
      <c r="Q61" s="36" t="n">
        <v>1.57</v>
      </c>
      <c r="R61" s="28" t="n">
        <v>10.21</v>
      </c>
      <c r="S61" s="36" t="n">
        <v>10.21</v>
      </c>
      <c r="T61" s="36" t="n">
        <v>14.14</v>
      </c>
      <c r="U61" s="36" t="n">
        <v>8.960000000000001</v>
      </c>
      <c r="V61" s="36" t="n">
        <v>8.960000000000001</v>
      </c>
      <c r="W61" s="36" t="n">
        <v>10.88</v>
      </c>
      <c r="X61" s="36" t="n">
        <v>5.76</v>
      </c>
      <c r="Y61" s="28" t="n">
        <v>13.6</v>
      </c>
      <c r="Z61" s="36" t="n">
        <v>10.4</v>
      </c>
      <c r="AA61" s="36" t="n">
        <v>15.84</v>
      </c>
      <c r="AB61" s="36" t="n">
        <v>10.4</v>
      </c>
      <c r="AC61" s="36" t="n">
        <v>9.92</v>
      </c>
      <c r="AD61" s="36" t="n">
        <v>38.57</v>
      </c>
      <c r="AE61" s="36" t="n">
        <v>30.89</v>
      </c>
      <c r="AF61" s="28" t="n">
        <v>30.09</v>
      </c>
      <c r="AG61" s="36" t="n">
        <v>17.13</v>
      </c>
      <c r="AH61" s="37" t="n">
        <v>10.08</v>
      </c>
      <c r="AI61" s="37" t="n">
        <v>11.2</v>
      </c>
      <c r="AJ61" s="37" t="n">
        <v>9.6</v>
      </c>
      <c r="AK61" s="37" t="n">
        <v>22.09</v>
      </c>
      <c r="AL61" s="37" t="n">
        <v>9.92</v>
      </c>
      <c r="AM61" s="37" t="n">
        <v>18.41</v>
      </c>
      <c r="AN61" s="37" t="n">
        <v>10.24</v>
      </c>
      <c r="AO61" s="37" t="n">
        <v>10.24</v>
      </c>
      <c r="AP61" s="37" t="n">
        <v>18.41</v>
      </c>
      <c r="AQ61" s="37" t="n">
        <v>13.44</v>
      </c>
      <c r="AR61" s="37" t="n">
        <v>10.24</v>
      </c>
      <c r="AS61" s="37" t="n">
        <v>5.44</v>
      </c>
      <c r="AT61" s="37" t="n">
        <v>13.12</v>
      </c>
      <c r="AU61" s="37" t="n">
        <v>22.73</v>
      </c>
      <c r="AV61" s="37" t="n">
        <v>24.17</v>
      </c>
      <c r="AW61" s="37" t="n">
        <v>9.44</v>
      </c>
      <c r="AX61" s="37" t="n">
        <v>9.44</v>
      </c>
      <c r="AY61" s="37" t="n">
        <v>10.24</v>
      </c>
      <c r="AZ61" s="37" t="n">
        <v>5.44</v>
      </c>
      <c r="BA61" s="37" t="n">
        <v>11.68</v>
      </c>
      <c r="BB61" s="37" t="n">
        <v>7.68</v>
      </c>
      <c r="BC61" s="37" t="n">
        <v>0.96</v>
      </c>
      <c r="BD61" s="37" t="n">
        <v>3.04</v>
      </c>
      <c r="BE61" s="37" t="n">
        <v>11.84</v>
      </c>
      <c r="BF61" s="37" t="n">
        <v>9.92</v>
      </c>
      <c r="BG61" s="37" t="n">
        <v>6.24</v>
      </c>
      <c r="BH61" s="37" t="n">
        <v>14.24</v>
      </c>
      <c r="BI61" s="37" t="n">
        <v>11.04</v>
      </c>
      <c r="BJ61" s="37" t="n">
        <v>59.54</v>
      </c>
      <c r="BK61" s="37" t="n">
        <v>23.37</v>
      </c>
      <c r="BL61" s="37" t="n">
        <v>12.48</v>
      </c>
      <c r="BM61" s="37" t="n">
        <v>8.32</v>
      </c>
      <c r="BN61" s="37" t="n">
        <v>5.92</v>
      </c>
      <c r="BO61" s="37" t="n">
        <v>16.49</v>
      </c>
      <c r="BP61" s="37" t="n">
        <v>23.37</v>
      </c>
      <c r="BQ61" s="37" t="n">
        <v>17.77</v>
      </c>
      <c r="BR61" s="37" t="n">
        <v>9.92</v>
      </c>
      <c r="BS61" s="37" t="n">
        <v>9.92</v>
      </c>
      <c r="BT61" s="37" t="n">
        <v>7.68</v>
      </c>
      <c r="BU61" s="37" t="n">
        <v>12.16</v>
      </c>
      <c r="BV61" s="37" t="n">
        <v>15.04</v>
      </c>
      <c r="BW61" s="37" t="n">
        <v>11.04</v>
      </c>
      <c r="BX61" s="37" t="n">
        <v>10.88</v>
      </c>
      <c r="BY61" s="37" t="n">
        <v>9.92</v>
      </c>
      <c r="BZ61" s="37" t="n">
        <v>20.33</v>
      </c>
      <c r="CA61" s="37" t="n">
        <v>9.92</v>
      </c>
      <c r="CB61" s="37" t="n">
        <v>6.08</v>
      </c>
      <c r="CC61" s="37" t="n">
        <v>944.6399999999998</v>
      </c>
    </row>
    <row r="62" ht="15.75" customHeight="1" s="57">
      <c r="A62" s="7" t="inlineStr">
        <is>
          <t>NTB</t>
        </is>
      </c>
      <c r="B62" s="7" t="inlineStr">
        <is>
          <t>Bình Thuận</t>
        </is>
      </c>
      <c r="C62" s="7" t="n">
        <v>21320000</v>
      </c>
      <c r="D62" s="7" t="inlineStr">
        <is>
          <t>(BTH) Phú Thủy</t>
        </is>
      </c>
      <c r="E62" s="7" t="inlineStr">
        <is>
          <t>Shopee-Bulky (10-15kg)</t>
        </is>
      </c>
      <c r="F62" s="36" t="n">
        <v>1.5</v>
      </c>
      <c r="G62" s="36" t="n">
        <v>1.71</v>
      </c>
      <c r="H62" s="36" t="n">
        <v>1.07</v>
      </c>
      <c r="I62" s="36" t="n">
        <v>1.07</v>
      </c>
      <c r="J62" s="36" t="n">
        <v>0.86</v>
      </c>
      <c r="K62" s="28" t="n">
        <v>4.93</v>
      </c>
      <c r="L62" s="36" t="n">
        <v>2.14</v>
      </c>
      <c r="M62" s="36" t="n">
        <v>1.93</v>
      </c>
      <c r="N62" s="36" t="n">
        <v>2.36</v>
      </c>
      <c r="O62" s="36" t="n">
        <v>2.57</v>
      </c>
      <c r="P62" s="36" t="n">
        <v>3.43</v>
      </c>
      <c r="Q62" s="36" t="n">
        <v>0.43</v>
      </c>
      <c r="R62" s="28" t="n">
        <v>2.79</v>
      </c>
      <c r="S62" s="36" t="n">
        <v>2.79</v>
      </c>
      <c r="T62" s="36" t="n">
        <v>3.86</v>
      </c>
      <c r="U62" s="36" t="n">
        <v>2.24</v>
      </c>
      <c r="V62" s="36" t="n">
        <v>2.08</v>
      </c>
      <c r="W62" s="36" t="n">
        <v>2.56</v>
      </c>
      <c r="X62" s="36" t="n">
        <v>1.28</v>
      </c>
      <c r="Y62" s="28" t="n">
        <v>3.52</v>
      </c>
      <c r="Z62" s="36" t="n">
        <v>2.4</v>
      </c>
      <c r="AA62" s="36" t="n">
        <v>3.52</v>
      </c>
      <c r="AB62" s="36" t="n">
        <v>2.4</v>
      </c>
      <c r="AC62" s="36" t="n">
        <v>2.56</v>
      </c>
      <c r="AD62" s="36" t="n">
        <v>15.84</v>
      </c>
      <c r="AE62" s="36" t="n">
        <v>7.04</v>
      </c>
      <c r="AF62" s="28" t="n">
        <v>5.92</v>
      </c>
      <c r="AG62" s="36" t="n">
        <v>4.48</v>
      </c>
      <c r="AH62" s="37" t="n">
        <v>2.4</v>
      </c>
      <c r="AI62" s="37" t="n">
        <v>2.4</v>
      </c>
      <c r="AJ62" s="37" t="n">
        <v>2.08</v>
      </c>
      <c r="AK62" s="37" t="n">
        <v>5.92</v>
      </c>
      <c r="AL62" s="37" t="n">
        <v>2.24</v>
      </c>
      <c r="AM62" s="37" t="n">
        <v>4.16</v>
      </c>
      <c r="AN62" s="37" t="n">
        <v>2.4</v>
      </c>
      <c r="AO62" s="37" t="n">
        <v>2.4</v>
      </c>
      <c r="AP62" s="37" t="n">
        <v>4.64</v>
      </c>
      <c r="AQ62" s="37" t="n">
        <v>2.88</v>
      </c>
      <c r="AR62" s="37" t="n">
        <v>2.4</v>
      </c>
      <c r="AS62" s="37" t="n">
        <v>0.96</v>
      </c>
      <c r="AT62" s="37" t="n">
        <v>3.04</v>
      </c>
      <c r="AU62" s="37" t="n">
        <v>5.28</v>
      </c>
      <c r="AV62" s="37" t="n">
        <v>6.24</v>
      </c>
      <c r="AW62" s="37" t="n">
        <v>2.4</v>
      </c>
      <c r="AX62" s="37" t="n">
        <v>2.08</v>
      </c>
      <c r="AY62" s="37" t="n">
        <v>2.24</v>
      </c>
      <c r="AZ62" s="37" t="n">
        <v>0.96</v>
      </c>
      <c r="BA62" s="37" t="n">
        <v>2.72</v>
      </c>
      <c r="BB62" s="37" t="n">
        <v>1.76</v>
      </c>
      <c r="BC62" s="37" t="n">
        <v>0.32</v>
      </c>
      <c r="BD62" s="37" t="n">
        <v>0.64</v>
      </c>
      <c r="BE62" s="37" t="n">
        <v>2.56</v>
      </c>
      <c r="BF62" s="37" t="n">
        <v>2.24</v>
      </c>
      <c r="BG62" s="37" t="n">
        <v>1.12</v>
      </c>
      <c r="BH62" s="37" t="n">
        <v>3.2</v>
      </c>
      <c r="BI62" s="37" t="n">
        <v>2.56</v>
      </c>
      <c r="BJ62" s="37" t="n">
        <v>18.57</v>
      </c>
      <c r="BK62" s="37" t="n">
        <v>6.72</v>
      </c>
      <c r="BL62" s="37" t="n">
        <v>3.2</v>
      </c>
      <c r="BM62" s="37" t="n">
        <v>2.08</v>
      </c>
      <c r="BN62" s="37" t="n">
        <v>1.12</v>
      </c>
      <c r="BO62" s="37" t="n">
        <v>4.8</v>
      </c>
      <c r="BP62" s="37" t="n">
        <v>6.72</v>
      </c>
      <c r="BQ62" s="37" t="n">
        <v>5.12</v>
      </c>
      <c r="BR62" s="37" t="n">
        <v>2.72</v>
      </c>
      <c r="BS62" s="37" t="n">
        <v>2.24</v>
      </c>
      <c r="BT62" s="37" t="n">
        <v>1.76</v>
      </c>
      <c r="BU62" s="37" t="n">
        <v>2.88</v>
      </c>
      <c r="BV62" s="37" t="n">
        <v>3.52</v>
      </c>
      <c r="BW62" s="37" t="n">
        <v>2.56</v>
      </c>
      <c r="BX62" s="37" t="n">
        <v>2.56</v>
      </c>
      <c r="BY62" s="37" t="n">
        <v>2.72</v>
      </c>
      <c r="BZ62" s="37" t="n">
        <v>6.08</v>
      </c>
      <c r="CA62" s="37" t="n">
        <v>2.56</v>
      </c>
      <c r="CB62" s="37" t="n">
        <v>1.12</v>
      </c>
      <c r="CC62" s="37" t="n">
        <v>242.5700000000001</v>
      </c>
    </row>
    <row r="63" ht="15.75" customHeight="1" s="57">
      <c r="A63" s="7" t="inlineStr">
        <is>
          <t>NTB</t>
        </is>
      </c>
      <c r="B63" s="7" t="inlineStr">
        <is>
          <t>Bình Thuận</t>
        </is>
      </c>
      <c r="C63" s="7" t="n">
        <v>21320000</v>
      </c>
      <c r="D63" s="7" t="inlineStr">
        <is>
          <t>(BTH) Phú Thủy</t>
        </is>
      </c>
      <c r="E63" s="7" t="inlineStr">
        <is>
          <t>TTS</t>
        </is>
      </c>
      <c r="F63" s="36" t="n">
        <v>77</v>
      </c>
      <c r="G63" s="36" t="n">
        <v>104</v>
      </c>
      <c r="H63" s="36" t="n">
        <v>100</v>
      </c>
      <c r="I63" s="36" t="n">
        <v>120</v>
      </c>
      <c r="J63" s="36" t="n">
        <v>93</v>
      </c>
      <c r="K63" s="28" t="n">
        <v>114</v>
      </c>
      <c r="L63" s="36" t="n">
        <v>79</v>
      </c>
      <c r="M63" s="36" t="n">
        <v>81</v>
      </c>
      <c r="N63" s="36" t="n">
        <v>83</v>
      </c>
      <c r="O63" s="36" t="n">
        <v>80</v>
      </c>
      <c r="P63" s="36" t="n">
        <v>94</v>
      </c>
      <c r="Q63" s="36" t="n">
        <v>84</v>
      </c>
      <c r="R63" s="28" t="n">
        <v>67</v>
      </c>
      <c r="S63" s="36" t="n">
        <v>70</v>
      </c>
      <c r="T63" s="36" t="n">
        <v>78</v>
      </c>
      <c r="U63" s="36" t="n">
        <v>150.39</v>
      </c>
      <c r="V63" s="36" t="n">
        <v>148.44</v>
      </c>
      <c r="W63" s="36" t="n">
        <v>144.63</v>
      </c>
      <c r="X63" s="36" t="n">
        <v>115.95</v>
      </c>
      <c r="Y63" s="28" t="n">
        <v>169.95</v>
      </c>
      <c r="Z63" s="36" t="n">
        <v>144.63</v>
      </c>
      <c r="AA63" s="36" t="n">
        <v>160.06</v>
      </c>
      <c r="AB63" s="36" t="n">
        <v>178.86</v>
      </c>
      <c r="AC63" s="36" t="n">
        <v>188.75</v>
      </c>
      <c r="AD63" s="36" t="n">
        <v>158.65</v>
      </c>
      <c r="AE63" s="36" t="n">
        <v>134.64</v>
      </c>
      <c r="AF63" s="28" t="n">
        <v>175.06</v>
      </c>
      <c r="AG63" s="36" t="n">
        <v>147.02</v>
      </c>
      <c r="AH63" s="37" t="n">
        <v>145.94</v>
      </c>
      <c r="AI63" s="37" t="n">
        <v>167.45</v>
      </c>
      <c r="AJ63" s="37" t="n">
        <v>180.17</v>
      </c>
      <c r="AK63" s="37" t="n">
        <v>177.34</v>
      </c>
      <c r="AL63" s="37" t="n">
        <v>125.51</v>
      </c>
      <c r="AM63" s="37" t="n">
        <v>172.89</v>
      </c>
      <c r="AN63" s="37" t="n">
        <v>148.87</v>
      </c>
      <c r="AO63" s="37" t="n">
        <v>147.68</v>
      </c>
      <c r="AP63" s="37" t="n">
        <v>144.31</v>
      </c>
      <c r="AQ63" s="37" t="n">
        <v>145.39</v>
      </c>
      <c r="AR63" s="37" t="n">
        <v>142.89</v>
      </c>
      <c r="AS63" s="37" t="n">
        <v>116.16</v>
      </c>
      <c r="AT63" s="37" t="n">
        <v>186.58</v>
      </c>
      <c r="AU63" s="37" t="n">
        <v>168.65</v>
      </c>
      <c r="AV63" s="37" t="n">
        <v>150.28</v>
      </c>
      <c r="AW63" s="37" t="n">
        <v>142.57</v>
      </c>
      <c r="AX63" s="37" t="n">
        <v>141.59</v>
      </c>
      <c r="AY63" s="37" t="n">
        <v>140.61</v>
      </c>
      <c r="AZ63" s="37" t="n">
        <v>116.71</v>
      </c>
      <c r="BA63" s="37" t="n">
        <v>168.32</v>
      </c>
      <c r="BB63" s="37" t="n">
        <v>157.02</v>
      </c>
      <c r="BC63" s="37" t="n">
        <v>79.43000000000001</v>
      </c>
      <c r="BD63" s="37" t="n">
        <v>113.45</v>
      </c>
      <c r="BE63" s="37" t="n">
        <v>263.51</v>
      </c>
      <c r="BF63" s="37" t="n">
        <v>256.23</v>
      </c>
      <c r="BG63" s="37" t="n">
        <v>125.51</v>
      </c>
      <c r="BH63" s="37" t="n">
        <v>186.36</v>
      </c>
      <c r="BI63" s="37" t="n">
        <v>157.02</v>
      </c>
      <c r="BJ63" s="37" t="n">
        <v>119.97</v>
      </c>
      <c r="BK63" s="37" t="n">
        <v>159.85</v>
      </c>
      <c r="BL63" s="37" t="n">
        <v>160.06</v>
      </c>
      <c r="BM63" s="37" t="n">
        <v>155.39</v>
      </c>
      <c r="BN63" s="37" t="n">
        <v>125.51</v>
      </c>
      <c r="BO63" s="37" t="n">
        <v>186.36</v>
      </c>
      <c r="BP63" s="37" t="n">
        <v>157.02</v>
      </c>
      <c r="BQ63" s="37" t="n">
        <v>155.72</v>
      </c>
      <c r="BR63" s="37" t="n">
        <v>159.85</v>
      </c>
      <c r="BS63" s="37" t="n">
        <v>160.06</v>
      </c>
      <c r="BT63" s="37" t="n">
        <v>155.39</v>
      </c>
      <c r="BU63" s="37" t="n">
        <v>125.51</v>
      </c>
      <c r="BV63" s="37" t="n">
        <v>186.36</v>
      </c>
      <c r="BW63" s="37" t="n">
        <v>157.02</v>
      </c>
      <c r="BX63" s="37" t="n">
        <v>155.72</v>
      </c>
      <c r="BY63" s="37" t="n">
        <v>159.85</v>
      </c>
      <c r="BZ63" s="37" t="n">
        <v>160.06</v>
      </c>
      <c r="CA63" s="37" t="n">
        <v>155.39</v>
      </c>
      <c r="CB63" s="37" t="n">
        <v>125.51</v>
      </c>
      <c r="CC63" s="37" t="n">
        <v>10630.07</v>
      </c>
    </row>
    <row r="64" ht="15.75" customHeight="1" s="57">
      <c r="A64" s="7" t="inlineStr">
        <is>
          <t>NTB</t>
        </is>
      </c>
      <c r="B64" s="7" t="inlineStr">
        <is>
          <t>Bình Thuận</t>
        </is>
      </c>
      <c r="C64" s="7" t="n">
        <v>21320000</v>
      </c>
      <c r="D64" s="7" t="inlineStr">
        <is>
          <t>(BTH) Phú Thủy</t>
        </is>
      </c>
      <c r="E64" s="7" t="inlineStr">
        <is>
          <t>TTS-Bulky</t>
        </is>
      </c>
      <c r="F64" s="36" t="n">
        <v>1</v>
      </c>
      <c r="G64" s="36" t="n">
        <v>0</v>
      </c>
      <c r="H64" s="36" t="n">
        <v>0</v>
      </c>
      <c r="I64" s="36" t="n">
        <v>0</v>
      </c>
      <c r="J64" s="36" t="n">
        <v>0</v>
      </c>
      <c r="K64" s="28" t="n">
        <v>1</v>
      </c>
      <c r="L64" s="36" t="n">
        <v>0</v>
      </c>
      <c r="M64" s="36" t="n">
        <v>0</v>
      </c>
      <c r="N64" s="36" t="n">
        <v>0</v>
      </c>
      <c r="O64" s="36" t="n">
        <v>0</v>
      </c>
      <c r="P64" s="36" t="n">
        <v>0</v>
      </c>
      <c r="Q64" s="36" t="n">
        <v>0</v>
      </c>
      <c r="R64" s="28" t="n">
        <v>0</v>
      </c>
      <c r="S64" s="36" t="n">
        <v>0</v>
      </c>
      <c r="T64" s="36" t="n">
        <v>0</v>
      </c>
      <c r="U64" s="36" t="n">
        <v>0</v>
      </c>
      <c r="V64" s="36" t="n">
        <v>0</v>
      </c>
      <c r="W64" s="36" t="n">
        <v>0</v>
      </c>
      <c r="X64" s="36" t="n">
        <v>0</v>
      </c>
      <c r="Y64" s="28" t="n">
        <v>0</v>
      </c>
      <c r="Z64" s="36" t="n">
        <v>0</v>
      </c>
      <c r="AA64" s="36" t="n">
        <v>0</v>
      </c>
      <c r="AB64" s="36" t="n">
        <v>0</v>
      </c>
      <c r="AC64" s="36" t="n">
        <v>0</v>
      </c>
      <c r="AD64" s="36" t="n">
        <v>0</v>
      </c>
      <c r="AE64" s="36" t="n">
        <v>0</v>
      </c>
      <c r="AF64" s="28" t="n">
        <v>0</v>
      </c>
      <c r="AG64" s="36" t="n">
        <v>0</v>
      </c>
      <c r="AH64" s="37" t="n">
        <v>0</v>
      </c>
      <c r="AI64" s="37" t="n">
        <v>0</v>
      </c>
      <c r="AJ64" s="37" t="n">
        <v>0</v>
      </c>
      <c r="AK64" s="37" t="n">
        <v>0</v>
      </c>
      <c r="AL64" s="37" t="n">
        <v>0</v>
      </c>
      <c r="AM64" s="37" t="n">
        <v>0</v>
      </c>
      <c r="AN64" s="37" t="n">
        <v>0</v>
      </c>
      <c r="AO64" s="37" t="n">
        <v>0</v>
      </c>
      <c r="AP64" s="37" t="n">
        <v>0</v>
      </c>
      <c r="AQ64" s="37" t="n">
        <v>0</v>
      </c>
      <c r="AR64" s="37" t="n">
        <v>0</v>
      </c>
      <c r="AS64" s="37" t="n">
        <v>0</v>
      </c>
      <c r="AT64" s="37" t="n">
        <v>0</v>
      </c>
      <c r="AU64" s="37" t="n">
        <v>0</v>
      </c>
      <c r="AV64" s="37" t="n">
        <v>0</v>
      </c>
      <c r="AW64" s="37" t="n">
        <v>0</v>
      </c>
      <c r="AX64" s="37" t="n">
        <v>0</v>
      </c>
      <c r="AY64" s="37" t="n">
        <v>0</v>
      </c>
      <c r="AZ64" s="37" t="n">
        <v>0</v>
      </c>
      <c r="BA64" s="37" t="n">
        <v>0</v>
      </c>
      <c r="BB64" s="37" t="n">
        <v>0</v>
      </c>
      <c r="BC64" s="37" t="n">
        <v>0</v>
      </c>
      <c r="BD64" s="37" t="n">
        <v>0</v>
      </c>
      <c r="BE64" s="37" t="n">
        <v>0</v>
      </c>
      <c r="BF64" s="37" t="n">
        <v>0</v>
      </c>
      <c r="BG64" s="37" t="n">
        <v>0</v>
      </c>
      <c r="BH64" s="37" t="n">
        <v>0</v>
      </c>
      <c r="BI64" s="37" t="n">
        <v>0</v>
      </c>
      <c r="BJ64" s="37" t="n">
        <v>0</v>
      </c>
      <c r="BK64" s="37" t="n">
        <v>0</v>
      </c>
      <c r="BL64" s="37" t="n">
        <v>0</v>
      </c>
      <c r="BM64" s="37" t="n">
        <v>0</v>
      </c>
      <c r="BN64" s="37" t="n">
        <v>0</v>
      </c>
      <c r="BO64" s="37" t="n">
        <v>0</v>
      </c>
      <c r="BP64" s="37" t="n">
        <v>0</v>
      </c>
      <c r="BQ64" s="37" t="n">
        <v>0</v>
      </c>
      <c r="BR64" s="37" t="n">
        <v>0</v>
      </c>
      <c r="BS64" s="37" t="n">
        <v>0</v>
      </c>
      <c r="BT64" s="37" t="n">
        <v>0</v>
      </c>
      <c r="BU64" s="37" t="n">
        <v>0</v>
      </c>
      <c r="BV64" s="37" t="n">
        <v>0</v>
      </c>
      <c r="BW64" s="37" t="n">
        <v>0</v>
      </c>
      <c r="BX64" s="37" t="n">
        <v>0</v>
      </c>
      <c r="BY64" s="37" t="n">
        <v>0</v>
      </c>
      <c r="BZ64" s="37" t="n">
        <v>0</v>
      </c>
      <c r="CA64" s="37" t="n">
        <v>0</v>
      </c>
      <c r="CB64" s="37" t="n">
        <v>0</v>
      </c>
      <c r="CC64" s="37" t="n">
        <v>2</v>
      </c>
    </row>
    <row r="65" ht="15.75" customHeight="1" s="57">
      <c r="A65" s="7" t="inlineStr">
        <is>
          <t>NTB</t>
        </is>
      </c>
      <c r="B65" s="7" t="inlineStr">
        <is>
          <t>Bình Thuận</t>
        </is>
      </c>
      <c r="C65" s="7" t="n">
        <v>21396000</v>
      </c>
      <c r="D65" s="7" t="inlineStr">
        <is>
          <t>(BTH) Hàm Thắng</t>
        </is>
      </c>
      <c r="E65" s="7" t="inlineStr">
        <is>
          <t>SME</t>
        </is>
      </c>
      <c r="F65" s="36" t="n">
        <v>95</v>
      </c>
      <c r="G65" s="36" t="n">
        <v>61</v>
      </c>
      <c r="H65" s="36" t="n">
        <v>90</v>
      </c>
      <c r="I65" s="36" t="n">
        <v>50</v>
      </c>
      <c r="J65" s="36" t="n">
        <v>85</v>
      </c>
      <c r="K65" s="28" t="n">
        <v>75</v>
      </c>
      <c r="L65" s="36" t="n">
        <v>45</v>
      </c>
      <c r="M65" s="36" t="n">
        <v>61</v>
      </c>
      <c r="N65" s="36" t="n">
        <v>53</v>
      </c>
      <c r="O65" s="36" t="n">
        <v>50</v>
      </c>
      <c r="P65" s="36" t="n">
        <v>57</v>
      </c>
      <c r="Q65" s="36" t="n">
        <v>34</v>
      </c>
      <c r="R65" s="28" t="n">
        <v>44</v>
      </c>
      <c r="S65" s="36" t="n">
        <v>73</v>
      </c>
      <c r="T65" s="36" t="n">
        <v>37</v>
      </c>
      <c r="U65" s="36" t="n">
        <v>64.7</v>
      </c>
      <c r="V65" s="36" t="n">
        <v>67.31</v>
      </c>
      <c r="W65" s="36" t="n">
        <v>65.33</v>
      </c>
      <c r="X65" s="36" t="n">
        <v>53.63</v>
      </c>
      <c r="Y65" s="28" t="n">
        <v>72.45999999999999</v>
      </c>
      <c r="Z65" s="36" t="n">
        <v>66.83</v>
      </c>
      <c r="AA65" s="36" t="n">
        <v>65.03</v>
      </c>
      <c r="AB65" s="36" t="n">
        <v>64.7</v>
      </c>
      <c r="AC65" s="36" t="n">
        <v>67.31</v>
      </c>
      <c r="AD65" s="36" t="n">
        <v>48.74</v>
      </c>
      <c r="AE65" s="36" t="n">
        <v>53.63</v>
      </c>
      <c r="AF65" s="28" t="n">
        <v>72.45999999999999</v>
      </c>
      <c r="AG65" s="36" t="n">
        <v>66.83</v>
      </c>
      <c r="AH65" s="37" t="n">
        <v>65.03</v>
      </c>
      <c r="AI65" s="37" t="n">
        <v>64.7</v>
      </c>
      <c r="AJ65" s="37" t="n">
        <v>67.31</v>
      </c>
      <c r="AK65" s="37" t="n">
        <v>65.33</v>
      </c>
      <c r="AL65" s="37" t="n">
        <v>53.63</v>
      </c>
      <c r="AM65" s="37" t="n">
        <v>72.45999999999999</v>
      </c>
      <c r="AN65" s="37" t="n">
        <v>66.83</v>
      </c>
      <c r="AO65" s="37" t="n">
        <v>65.03</v>
      </c>
      <c r="AP65" s="37" t="n">
        <v>64.7</v>
      </c>
      <c r="AQ65" s="37" t="n">
        <v>67.31</v>
      </c>
      <c r="AR65" s="37" t="n">
        <v>65.33</v>
      </c>
      <c r="AS65" s="37" t="n">
        <v>53.63</v>
      </c>
      <c r="AT65" s="37" t="n">
        <v>72.45999999999999</v>
      </c>
      <c r="AU65" s="37" t="n">
        <v>66.83</v>
      </c>
      <c r="AV65" s="37" t="n">
        <v>65.03</v>
      </c>
      <c r="AW65" s="37" t="n">
        <v>64.7</v>
      </c>
      <c r="AX65" s="37" t="n">
        <v>67.31</v>
      </c>
      <c r="AY65" s="37" t="n">
        <v>65.33</v>
      </c>
      <c r="AZ65" s="37" t="n">
        <v>53.63</v>
      </c>
      <c r="BA65" s="37" t="n">
        <v>68.89999999999999</v>
      </c>
      <c r="BB65" s="37" t="n">
        <v>61.06</v>
      </c>
      <c r="BC65" s="37" t="n">
        <v>37.31</v>
      </c>
      <c r="BD65" s="37" t="n">
        <v>29.12</v>
      </c>
      <c r="BE65" s="37" t="n">
        <v>63.04</v>
      </c>
      <c r="BF65" s="37" t="n">
        <v>61.3</v>
      </c>
      <c r="BG65" s="37" t="n">
        <v>55.24</v>
      </c>
      <c r="BH65" s="37" t="n">
        <v>74.67999999999999</v>
      </c>
      <c r="BI65" s="37" t="n">
        <v>68.98</v>
      </c>
      <c r="BJ65" s="37" t="n">
        <v>49.94</v>
      </c>
      <c r="BK65" s="37" t="n">
        <v>66.62</v>
      </c>
      <c r="BL65" s="37" t="n">
        <v>69.40000000000001</v>
      </c>
      <c r="BM65" s="37" t="n">
        <v>67.25</v>
      </c>
      <c r="BN65" s="37" t="n">
        <v>55.24</v>
      </c>
      <c r="BO65" s="37" t="n">
        <v>74.67999999999999</v>
      </c>
      <c r="BP65" s="37" t="n">
        <v>68.98</v>
      </c>
      <c r="BQ65" s="37" t="n">
        <v>66.95</v>
      </c>
      <c r="BR65" s="37" t="n">
        <v>66.62</v>
      </c>
      <c r="BS65" s="37" t="n">
        <v>69.40000000000001</v>
      </c>
      <c r="BT65" s="37" t="n">
        <v>67.25</v>
      </c>
      <c r="BU65" s="37" t="n">
        <v>55.24</v>
      </c>
      <c r="BV65" s="37" t="n">
        <v>74.67999999999999</v>
      </c>
      <c r="BW65" s="37" t="n">
        <v>68.98</v>
      </c>
      <c r="BX65" s="37" t="n">
        <v>66.95</v>
      </c>
      <c r="BY65" s="37" t="n">
        <v>66.62</v>
      </c>
      <c r="BZ65" s="37" t="n">
        <v>69.40000000000001</v>
      </c>
      <c r="CA65" s="37" t="n">
        <v>67.25</v>
      </c>
      <c r="CB65" s="37" t="n">
        <v>55.24</v>
      </c>
      <c r="CC65" s="37" t="n">
        <v>4731.859999999998</v>
      </c>
    </row>
    <row r="66" ht="15.75" customHeight="1" s="57">
      <c r="A66" s="7" t="inlineStr">
        <is>
          <t>NTB</t>
        </is>
      </c>
      <c r="B66" s="7" t="inlineStr">
        <is>
          <t>Bình Thuận</t>
        </is>
      </c>
      <c r="C66" s="7" t="n">
        <v>21396000</v>
      </c>
      <c r="D66" s="7" t="inlineStr">
        <is>
          <t>(BTH) Hàm Thắng</t>
        </is>
      </c>
      <c r="E66" s="7" t="inlineStr">
        <is>
          <t>SME-Bulky</t>
        </is>
      </c>
      <c r="F66" s="36" t="n">
        <v>4</v>
      </c>
      <c r="G66" s="36" t="n">
        <v>2</v>
      </c>
      <c r="H66" s="36" t="n">
        <v>1</v>
      </c>
      <c r="I66" s="36" t="n">
        <v>4</v>
      </c>
      <c r="J66" s="36" t="n">
        <v>1</v>
      </c>
      <c r="K66" s="28" t="n">
        <v>2</v>
      </c>
      <c r="L66" s="36" t="n">
        <v>3</v>
      </c>
      <c r="M66" s="36" t="n">
        <v>2</v>
      </c>
      <c r="N66" s="36" t="n">
        <v>0</v>
      </c>
      <c r="O66" s="36" t="n">
        <v>4</v>
      </c>
      <c r="P66" s="36" t="n">
        <v>0</v>
      </c>
      <c r="Q66" s="36" t="n">
        <v>3</v>
      </c>
      <c r="R66" s="28" t="n">
        <v>0</v>
      </c>
      <c r="S66" s="36" t="n">
        <v>1</v>
      </c>
      <c r="T66" s="36" t="n">
        <v>5</v>
      </c>
      <c r="U66" s="36" t="n">
        <v>2.6</v>
      </c>
      <c r="V66" s="36" t="n">
        <v>2.6</v>
      </c>
      <c r="W66" s="36" t="n">
        <v>2.53</v>
      </c>
      <c r="X66" s="36" t="n">
        <v>1.82</v>
      </c>
      <c r="Y66" s="28" t="n">
        <v>3.21</v>
      </c>
      <c r="Z66" s="36" t="n">
        <v>3.31</v>
      </c>
      <c r="AA66" s="36" t="n">
        <v>2.71</v>
      </c>
      <c r="AB66" s="36" t="n">
        <v>2.6</v>
      </c>
      <c r="AC66" s="36" t="n">
        <v>2.6</v>
      </c>
      <c r="AD66" s="36" t="n">
        <v>1.96</v>
      </c>
      <c r="AE66" s="36" t="n">
        <v>1.82</v>
      </c>
      <c r="AF66" s="28" t="n">
        <v>3.21</v>
      </c>
      <c r="AG66" s="36" t="n">
        <v>3.31</v>
      </c>
      <c r="AH66" s="37" t="n">
        <v>2.71</v>
      </c>
      <c r="AI66" s="37" t="n">
        <v>2.6</v>
      </c>
      <c r="AJ66" s="37" t="n">
        <v>2.6</v>
      </c>
      <c r="AK66" s="37" t="n">
        <v>2.53</v>
      </c>
      <c r="AL66" s="37" t="n">
        <v>1.82</v>
      </c>
      <c r="AM66" s="37" t="n">
        <v>3.21</v>
      </c>
      <c r="AN66" s="37" t="n">
        <v>3.31</v>
      </c>
      <c r="AO66" s="37" t="n">
        <v>2.71</v>
      </c>
      <c r="AP66" s="37" t="n">
        <v>2.6</v>
      </c>
      <c r="AQ66" s="37" t="n">
        <v>2.6</v>
      </c>
      <c r="AR66" s="37" t="n">
        <v>2.53</v>
      </c>
      <c r="AS66" s="37" t="n">
        <v>1.82</v>
      </c>
      <c r="AT66" s="37" t="n">
        <v>3.21</v>
      </c>
      <c r="AU66" s="37" t="n">
        <v>3.31</v>
      </c>
      <c r="AV66" s="37" t="n">
        <v>2.71</v>
      </c>
      <c r="AW66" s="37" t="n">
        <v>2.6</v>
      </c>
      <c r="AX66" s="37" t="n">
        <v>2.6</v>
      </c>
      <c r="AY66" s="37" t="n">
        <v>2.53</v>
      </c>
      <c r="AZ66" s="37" t="n">
        <v>1.82</v>
      </c>
      <c r="BA66" s="37" t="n">
        <v>3.31</v>
      </c>
      <c r="BB66" s="37" t="n">
        <v>1.85</v>
      </c>
      <c r="BC66" s="37" t="n">
        <v>0.89</v>
      </c>
      <c r="BD66" s="37" t="n">
        <v>0.5</v>
      </c>
      <c r="BE66" s="37" t="n">
        <v>1.46</v>
      </c>
      <c r="BF66" s="37" t="n">
        <v>1.42</v>
      </c>
      <c r="BG66" s="37" t="n">
        <v>1</v>
      </c>
      <c r="BH66" s="37" t="n">
        <v>1.78</v>
      </c>
      <c r="BI66" s="37" t="n">
        <v>1.85</v>
      </c>
      <c r="BJ66" s="37" t="n">
        <v>1.28</v>
      </c>
      <c r="BK66" s="37" t="n">
        <v>1.46</v>
      </c>
      <c r="BL66" s="37" t="n">
        <v>1.46</v>
      </c>
      <c r="BM66" s="37" t="n">
        <v>1.42</v>
      </c>
      <c r="BN66" s="37" t="n">
        <v>1</v>
      </c>
      <c r="BO66" s="37" t="n">
        <v>1.78</v>
      </c>
      <c r="BP66" s="37" t="n">
        <v>1.85</v>
      </c>
      <c r="BQ66" s="37" t="n">
        <v>1.53</v>
      </c>
      <c r="BR66" s="37" t="n">
        <v>1.46</v>
      </c>
      <c r="BS66" s="37" t="n">
        <v>1.46</v>
      </c>
      <c r="BT66" s="37" t="n">
        <v>1.42</v>
      </c>
      <c r="BU66" s="37" t="n">
        <v>1</v>
      </c>
      <c r="BV66" s="37" t="n">
        <v>1.78</v>
      </c>
      <c r="BW66" s="37" t="n">
        <v>1.85</v>
      </c>
      <c r="BX66" s="37" t="n">
        <v>1.53</v>
      </c>
      <c r="BY66" s="37" t="n">
        <v>1.46</v>
      </c>
      <c r="BZ66" s="37" t="n">
        <v>1.46</v>
      </c>
      <c r="CA66" s="37" t="n">
        <v>1.42</v>
      </c>
      <c r="CB66" s="37" t="n">
        <v>1</v>
      </c>
      <c r="CC66" s="37" t="n">
        <v>157.7799999999999</v>
      </c>
    </row>
    <row r="67" ht="15.75" customHeight="1" s="57">
      <c r="A67" s="7" t="inlineStr">
        <is>
          <t>NTB</t>
        </is>
      </c>
      <c r="B67" s="7" t="inlineStr">
        <is>
          <t>Bình Thuận</t>
        </is>
      </c>
      <c r="C67" s="7" t="n">
        <v>21396000</v>
      </c>
      <c r="D67" s="7" t="inlineStr">
        <is>
          <t>(BTH) Hàm Thắng</t>
        </is>
      </c>
      <c r="E67" s="7" t="inlineStr">
        <is>
          <t>Shopee</t>
        </is>
      </c>
      <c r="F67" s="36" t="n">
        <v>28</v>
      </c>
      <c r="G67" s="36" t="n">
        <v>24</v>
      </c>
      <c r="H67" s="36" t="n">
        <v>20</v>
      </c>
      <c r="I67" s="36" t="n">
        <v>15</v>
      </c>
      <c r="J67" s="36" t="n">
        <v>15</v>
      </c>
      <c r="K67" s="28" t="n">
        <v>21</v>
      </c>
      <c r="L67" s="36" t="n">
        <v>24</v>
      </c>
      <c r="M67" s="36" t="n">
        <v>12</v>
      </c>
      <c r="N67" s="36" t="n">
        <v>22</v>
      </c>
      <c r="O67" s="36" t="n">
        <v>18</v>
      </c>
      <c r="P67" s="36" t="n">
        <v>18</v>
      </c>
      <c r="Q67" s="36" t="n">
        <v>14</v>
      </c>
      <c r="R67" s="28" t="n">
        <v>19</v>
      </c>
      <c r="S67" s="36" t="n">
        <v>24</v>
      </c>
      <c r="T67" s="36" t="n">
        <v>18</v>
      </c>
      <c r="U67" s="36" t="n">
        <v>16.56</v>
      </c>
      <c r="V67" s="36" t="n">
        <v>16.72</v>
      </c>
      <c r="W67" s="36" t="n">
        <v>15.84</v>
      </c>
      <c r="X67" s="36" t="n">
        <v>13.71</v>
      </c>
      <c r="Y67" s="28" t="n">
        <v>22.16</v>
      </c>
      <c r="Z67" s="36" t="n">
        <v>17.56</v>
      </c>
      <c r="AA67" s="36" t="n">
        <v>21.36</v>
      </c>
      <c r="AB67" s="36" t="n">
        <v>16.85</v>
      </c>
      <c r="AC67" s="36" t="n">
        <v>13.63</v>
      </c>
      <c r="AD67" s="36" t="n">
        <v>27.68</v>
      </c>
      <c r="AE67" s="36" t="n">
        <v>14.63</v>
      </c>
      <c r="AF67" s="28" t="n">
        <v>24.46</v>
      </c>
      <c r="AG67" s="36" t="n">
        <v>18.39</v>
      </c>
      <c r="AH67" s="37" t="n">
        <v>19.4</v>
      </c>
      <c r="AI67" s="37" t="n">
        <v>16.56</v>
      </c>
      <c r="AJ67" s="37" t="n">
        <v>16.72</v>
      </c>
      <c r="AK67" s="37" t="n">
        <v>17.43</v>
      </c>
      <c r="AL67" s="37" t="n">
        <v>24.71</v>
      </c>
      <c r="AM67" s="37" t="n">
        <v>22.16</v>
      </c>
      <c r="AN67" s="37" t="n">
        <v>17.56</v>
      </c>
      <c r="AO67" s="37" t="n">
        <v>19.4</v>
      </c>
      <c r="AP67" s="37" t="n">
        <v>17.89</v>
      </c>
      <c r="AQ67" s="37" t="n">
        <v>13.17</v>
      </c>
      <c r="AR67" s="37" t="n">
        <v>15.84</v>
      </c>
      <c r="AS67" s="37" t="n">
        <v>13.71</v>
      </c>
      <c r="AT67" s="37" t="n">
        <v>22.16</v>
      </c>
      <c r="AU67" s="37" t="n">
        <v>19.15</v>
      </c>
      <c r="AV67" s="37" t="n">
        <v>19.86</v>
      </c>
      <c r="AW67" s="37" t="n">
        <v>16.56</v>
      </c>
      <c r="AX67" s="37" t="n">
        <v>16.72</v>
      </c>
      <c r="AY67" s="37" t="n">
        <v>15.84</v>
      </c>
      <c r="AZ67" s="37" t="n">
        <v>13.71</v>
      </c>
      <c r="BA67" s="37" t="n">
        <v>18.9</v>
      </c>
      <c r="BB67" s="37" t="n">
        <v>13.38</v>
      </c>
      <c r="BC67" s="37" t="n">
        <v>5.94</v>
      </c>
      <c r="BD67" s="37" t="n">
        <v>9.74</v>
      </c>
      <c r="BE67" s="37" t="n">
        <v>19.86</v>
      </c>
      <c r="BF67" s="37" t="n">
        <v>19.19</v>
      </c>
      <c r="BG67" s="37" t="n">
        <v>13.67</v>
      </c>
      <c r="BH67" s="37" t="n">
        <v>21.32</v>
      </c>
      <c r="BI67" s="37" t="n">
        <v>14.09</v>
      </c>
      <c r="BJ67" s="37" t="n">
        <v>39.38</v>
      </c>
      <c r="BK67" s="37" t="n">
        <v>17.06</v>
      </c>
      <c r="BL67" s="37" t="n">
        <v>16.93</v>
      </c>
      <c r="BM67" s="37" t="n">
        <v>15.43</v>
      </c>
      <c r="BN67" s="37" t="n">
        <v>13.38</v>
      </c>
      <c r="BO67" s="37" t="n">
        <v>21.32</v>
      </c>
      <c r="BP67" s="37" t="n">
        <v>18.6</v>
      </c>
      <c r="BQ67" s="37" t="n">
        <v>28.34</v>
      </c>
      <c r="BR67" s="37" t="n">
        <v>16.1</v>
      </c>
      <c r="BS67" s="37" t="n">
        <v>16.26</v>
      </c>
      <c r="BT67" s="37" t="n">
        <v>15.43</v>
      </c>
      <c r="BU67" s="37" t="n">
        <v>14.67</v>
      </c>
      <c r="BV67" s="37" t="n">
        <v>17.22</v>
      </c>
      <c r="BW67" s="37" t="n">
        <v>17.06</v>
      </c>
      <c r="BX67" s="37" t="n">
        <v>18.77</v>
      </c>
      <c r="BY67" s="37" t="n">
        <v>16.1</v>
      </c>
      <c r="BZ67" s="37" t="n">
        <v>17.52</v>
      </c>
      <c r="CA67" s="37" t="n">
        <v>15.8</v>
      </c>
      <c r="CB67" s="37" t="n">
        <v>13.38</v>
      </c>
      <c r="CC67" s="37" t="n">
        <v>1354.94</v>
      </c>
    </row>
    <row r="68" ht="15.75" customHeight="1" s="57">
      <c r="A68" s="7" t="inlineStr">
        <is>
          <t>NTB</t>
        </is>
      </c>
      <c r="B68" s="7" t="inlineStr">
        <is>
          <t>Bình Thuận</t>
        </is>
      </c>
      <c r="C68" s="7" t="n">
        <v>21396000</v>
      </c>
      <c r="D68" s="7" t="inlineStr">
        <is>
          <t>(BTH) Hàm Thắng</t>
        </is>
      </c>
      <c r="E68" s="7" t="inlineStr">
        <is>
          <t>Shopee-Bulky</t>
        </is>
      </c>
      <c r="F68" s="36" t="n">
        <v>0</v>
      </c>
      <c r="G68" s="36" t="n">
        <v>2.36</v>
      </c>
      <c r="H68" s="36" t="n">
        <v>0</v>
      </c>
      <c r="I68" s="36" t="n">
        <v>0</v>
      </c>
      <c r="J68" s="36" t="n">
        <v>0</v>
      </c>
      <c r="K68" s="28" t="n">
        <v>0</v>
      </c>
      <c r="L68" s="36" t="n">
        <v>1.57</v>
      </c>
      <c r="M68" s="36" t="n">
        <v>0.79</v>
      </c>
      <c r="N68" s="36" t="n">
        <v>0.79</v>
      </c>
      <c r="O68" s="36" t="n">
        <v>0</v>
      </c>
      <c r="P68" s="36" t="n">
        <v>0</v>
      </c>
      <c r="Q68" s="36" t="n">
        <v>0</v>
      </c>
      <c r="R68" s="28" t="n">
        <v>0</v>
      </c>
      <c r="S68" s="36" t="n">
        <v>0</v>
      </c>
      <c r="T68" s="36" t="n">
        <v>0</v>
      </c>
      <c r="U68" s="36" t="n">
        <v>0.6899999999999999</v>
      </c>
      <c r="V68" s="36" t="n">
        <v>0.6899999999999999</v>
      </c>
      <c r="W68" s="36" t="n">
        <v>0.84</v>
      </c>
      <c r="X68" s="36" t="n">
        <v>0.45</v>
      </c>
      <c r="Y68" s="28" t="n">
        <v>1.05</v>
      </c>
      <c r="Z68" s="36" t="n">
        <v>0.8100000000000001</v>
      </c>
      <c r="AA68" s="36" t="n">
        <v>1.23</v>
      </c>
      <c r="AB68" s="36" t="n">
        <v>0.8100000000000001</v>
      </c>
      <c r="AC68" s="36" t="n">
        <v>0.77</v>
      </c>
      <c r="AD68" s="36" t="n">
        <v>2.99</v>
      </c>
      <c r="AE68" s="36" t="n">
        <v>2.39</v>
      </c>
      <c r="AF68" s="28" t="n">
        <v>2.33</v>
      </c>
      <c r="AG68" s="36" t="n">
        <v>1.33</v>
      </c>
      <c r="AH68" s="37" t="n">
        <v>0.78</v>
      </c>
      <c r="AI68" s="37" t="n">
        <v>0.87</v>
      </c>
      <c r="AJ68" s="37" t="n">
        <v>0.74</v>
      </c>
      <c r="AK68" s="37" t="n">
        <v>1.71</v>
      </c>
      <c r="AL68" s="37" t="n">
        <v>0.77</v>
      </c>
      <c r="AM68" s="37" t="n">
        <v>1.43</v>
      </c>
      <c r="AN68" s="37" t="n">
        <v>0.79</v>
      </c>
      <c r="AO68" s="37" t="n">
        <v>0.79</v>
      </c>
      <c r="AP68" s="37" t="n">
        <v>1.43</v>
      </c>
      <c r="AQ68" s="37" t="n">
        <v>1.04</v>
      </c>
      <c r="AR68" s="37" t="n">
        <v>0.79</v>
      </c>
      <c r="AS68" s="37" t="n">
        <v>0.42</v>
      </c>
      <c r="AT68" s="37" t="n">
        <v>1.02</v>
      </c>
      <c r="AU68" s="37" t="n">
        <v>1.76</v>
      </c>
      <c r="AV68" s="37" t="n">
        <v>1.87</v>
      </c>
      <c r="AW68" s="37" t="n">
        <v>0.73</v>
      </c>
      <c r="AX68" s="37" t="n">
        <v>0.73</v>
      </c>
      <c r="AY68" s="37" t="n">
        <v>0.79</v>
      </c>
      <c r="AZ68" s="37" t="n">
        <v>0.42</v>
      </c>
      <c r="BA68" s="37" t="n">
        <v>0.91</v>
      </c>
      <c r="BB68" s="37" t="n">
        <v>0.6</v>
      </c>
      <c r="BC68" s="37" t="n">
        <v>0.07000000000000001</v>
      </c>
      <c r="BD68" s="37" t="n">
        <v>0.24</v>
      </c>
      <c r="BE68" s="37" t="n">
        <v>0.92</v>
      </c>
      <c r="BF68" s="37" t="n">
        <v>0.77</v>
      </c>
      <c r="BG68" s="37" t="n">
        <v>0.48</v>
      </c>
      <c r="BH68" s="37" t="n">
        <v>1.1</v>
      </c>
      <c r="BI68" s="37" t="n">
        <v>0.86</v>
      </c>
      <c r="BJ68" s="37" t="n">
        <v>4.62</v>
      </c>
      <c r="BK68" s="37" t="n">
        <v>1.81</v>
      </c>
      <c r="BL68" s="37" t="n">
        <v>0.97</v>
      </c>
      <c r="BM68" s="37" t="n">
        <v>0.65</v>
      </c>
      <c r="BN68" s="37" t="n">
        <v>0.46</v>
      </c>
      <c r="BO68" s="37" t="n">
        <v>1.28</v>
      </c>
      <c r="BP68" s="37" t="n">
        <v>1.81</v>
      </c>
      <c r="BQ68" s="37" t="n">
        <v>1.38</v>
      </c>
      <c r="BR68" s="37" t="n">
        <v>0.77</v>
      </c>
      <c r="BS68" s="37" t="n">
        <v>0.77</v>
      </c>
      <c r="BT68" s="37" t="n">
        <v>0.6</v>
      </c>
      <c r="BU68" s="37" t="n">
        <v>0.9399999999999999</v>
      </c>
      <c r="BV68" s="37" t="n">
        <v>1.17</v>
      </c>
      <c r="BW68" s="37" t="n">
        <v>0.86</v>
      </c>
      <c r="BX68" s="37" t="n">
        <v>0.84</v>
      </c>
      <c r="BY68" s="37" t="n">
        <v>0.77</v>
      </c>
      <c r="BZ68" s="37" t="n">
        <v>1.58</v>
      </c>
      <c r="CA68" s="37" t="n">
        <v>0.77</v>
      </c>
      <c r="CB68" s="37" t="n">
        <v>0.47</v>
      </c>
      <c r="CC68" s="37" t="n">
        <v>69.24000000000001</v>
      </c>
    </row>
    <row r="69" ht="15.75" customHeight="1" s="57">
      <c r="A69" s="7" t="inlineStr">
        <is>
          <t>NTB</t>
        </is>
      </c>
      <c r="B69" s="7" t="inlineStr">
        <is>
          <t>Bình Thuận</t>
        </is>
      </c>
      <c r="C69" s="7" t="n">
        <v>21396000</v>
      </c>
      <c r="D69" s="7" t="inlineStr">
        <is>
          <t>(BTH) Hàm Thắng</t>
        </is>
      </c>
      <c r="E69" s="7" t="inlineStr">
        <is>
          <t>Shopee-Bulky (10-15kg)</t>
        </is>
      </c>
      <c r="F69" s="36" t="n">
        <v>0</v>
      </c>
      <c r="G69" s="36" t="n">
        <v>0.64</v>
      </c>
      <c r="H69" s="36" t="n">
        <v>0</v>
      </c>
      <c r="I69" s="36" t="n">
        <v>0</v>
      </c>
      <c r="J69" s="36" t="n">
        <v>0</v>
      </c>
      <c r="K69" s="28" t="n">
        <v>0</v>
      </c>
      <c r="L69" s="36" t="n">
        <v>0.43</v>
      </c>
      <c r="M69" s="36" t="n">
        <v>0.21</v>
      </c>
      <c r="N69" s="36" t="n">
        <v>0.21</v>
      </c>
      <c r="O69" s="36" t="n">
        <v>0</v>
      </c>
      <c r="P69" s="36" t="n">
        <v>0</v>
      </c>
      <c r="Q69" s="36" t="n">
        <v>0</v>
      </c>
      <c r="R69" s="28" t="n">
        <v>0</v>
      </c>
      <c r="S69" s="36" t="n">
        <v>0</v>
      </c>
      <c r="T69" s="36" t="n">
        <v>0</v>
      </c>
      <c r="U69" s="36" t="n">
        <v>0.17</v>
      </c>
      <c r="V69" s="36" t="n">
        <v>0.16</v>
      </c>
      <c r="W69" s="36" t="n">
        <v>0.2</v>
      </c>
      <c r="X69" s="36" t="n">
        <v>0.1</v>
      </c>
      <c r="Y69" s="28" t="n">
        <v>0.27</v>
      </c>
      <c r="Z69" s="36" t="n">
        <v>0.19</v>
      </c>
      <c r="AA69" s="36" t="n">
        <v>0.27</v>
      </c>
      <c r="AB69" s="36" t="n">
        <v>0.19</v>
      </c>
      <c r="AC69" s="36" t="n">
        <v>0.2</v>
      </c>
      <c r="AD69" s="36" t="n">
        <v>1.23</v>
      </c>
      <c r="AE69" s="36" t="n">
        <v>0.55</v>
      </c>
      <c r="AF69" s="28" t="n">
        <v>0.46</v>
      </c>
      <c r="AG69" s="36" t="n">
        <v>0.35</v>
      </c>
      <c r="AH69" s="37" t="n">
        <v>0.19</v>
      </c>
      <c r="AI69" s="37" t="n">
        <v>0.19</v>
      </c>
      <c r="AJ69" s="37" t="n">
        <v>0.16</v>
      </c>
      <c r="AK69" s="37" t="n">
        <v>0.46</v>
      </c>
      <c r="AL69" s="37" t="n">
        <v>0.17</v>
      </c>
      <c r="AM69" s="37" t="n">
        <v>0.32</v>
      </c>
      <c r="AN69" s="37" t="n">
        <v>0.19</v>
      </c>
      <c r="AO69" s="37" t="n">
        <v>0.19</v>
      </c>
      <c r="AP69" s="37" t="n">
        <v>0.36</v>
      </c>
      <c r="AQ69" s="37" t="n">
        <v>0.22</v>
      </c>
      <c r="AR69" s="37" t="n">
        <v>0.19</v>
      </c>
      <c r="AS69" s="37" t="n">
        <v>0.07000000000000001</v>
      </c>
      <c r="AT69" s="37" t="n">
        <v>0.24</v>
      </c>
      <c r="AU69" s="37" t="n">
        <v>0.41</v>
      </c>
      <c r="AV69" s="37" t="n">
        <v>0.48</v>
      </c>
      <c r="AW69" s="37" t="n">
        <v>0.19</v>
      </c>
      <c r="AX69" s="37" t="n">
        <v>0.16</v>
      </c>
      <c r="AY69" s="37" t="n">
        <v>0.17</v>
      </c>
      <c r="AZ69" s="37" t="n">
        <v>0.07000000000000001</v>
      </c>
      <c r="BA69" s="37" t="n">
        <v>0.21</v>
      </c>
      <c r="BB69" s="37" t="n">
        <v>0.14</v>
      </c>
      <c r="BC69" s="37" t="n">
        <v>0.02</v>
      </c>
      <c r="BD69" s="37" t="n">
        <v>0.05</v>
      </c>
      <c r="BE69" s="37" t="n">
        <v>0.2</v>
      </c>
      <c r="BF69" s="37" t="n">
        <v>0.17</v>
      </c>
      <c r="BG69" s="37" t="n">
        <v>0.09</v>
      </c>
      <c r="BH69" s="37" t="n">
        <v>0.25</v>
      </c>
      <c r="BI69" s="37" t="n">
        <v>0.2</v>
      </c>
      <c r="BJ69" s="37" t="n">
        <v>1.44</v>
      </c>
      <c r="BK69" s="37" t="n">
        <v>0.52</v>
      </c>
      <c r="BL69" s="37" t="n">
        <v>0.25</v>
      </c>
      <c r="BM69" s="37" t="n">
        <v>0.16</v>
      </c>
      <c r="BN69" s="37" t="n">
        <v>0.09</v>
      </c>
      <c r="BO69" s="37" t="n">
        <v>0.37</v>
      </c>
      <c r="BP69" s="37" t="n">
        <v>0.52</v>
      </c>
      <c r="BQ69" s="37" t="n">
        <v>0.4</v>
      </c>
      <c r="BR69" s="37" t="n">
        <v>0.21</v>
      </c>
      <c r="BS69" s="37" t="n">
        <v>0.17</v>
      </c>
      <c r="BT69" s="37" t="n">
        <v>0.14</v>
      </c>
      <c r="BU69" s="37" t="n">
        <v>0.22</v>
      </c>
      <c r="BV69" s="37" t="n">
        <v>0.27</v>
      </c>
      <c r="BW69" s="37" t="n">
        <v>0.2</v>
      </c>
      <c r="BX69" s="37" t="n">
        <v>0.2</v>
      </c>
      <c r="BY69" s="37" t="n">
        <v>0.21</v>
      </c>
      <c r="BZ69" s="37" t="n">
        <v>0.47</v>
      </c>
      <c r="CA69" s="37" t="n">
        <v>0.2</v>
      </c>
      <c r="CB69" s="37" t="n">
        <v>0.09</v>
      </c>
      <c r="CC69" s="37" t="n">
        <v>17.72</v>
      </c>
    </row>
    <row r="70" ht="15.75" customHeight="1" s="57">
      <c r="A70" s="7" t="inlineStr">
        <is>
          <t>NTB</t>
        </is>
      </c>
      <c r="B70" s="7" t="inlineStr">
        <is>
          <t>Bình Thuận</t>
        </is>
      </c>
      <c r="C70" s="7" t="n">
        <v>21396000</v>
      </c>
      <c r="D70" s="7" t="inlineStr">
        <is>
          <t>(BTH) Hàm Thắng</t>
        </is>
      </c>
      <c r="E70" s="7" t="inlineStr">
        <is>
          <t>TTS</t>
        </is>
      </c>
      <c r="F70" s="36" t="n">
        <v>56</v>
      </c>
      <c r="G70" s="36" t="n">
        <v>72</v>
      </c>
      <c r="H70" s="36" t="n">
        <v>59</v>
      </c>
      <c r="I70" s="36" t="n">
        <v>82</v>
      </c>
      <c r="J70" s="36" t="n">
        <v>72</v>
      </c>
      <c r="K70" s="28" t="n">
        <v>57</v>
      </c>
      <c r="L70" s="36" t="n">
        <v>73</v>
      </c>
      <c r="M70" s="36" t="n">
        <v>69</v>
      </c>
      <c r="N70" s="36" t="n">
        <v>64</v>
      </c>
      <c r="O70" s="36" t="n">
        <v>66</v>
      </c>
      <c r="P70" s="36" t="n">
        <v>73</v>
      </c>
      <c r="Q70" s="36" t="n">
        <v>64</v>
      </c>
      <c r="R70" s="28" t="n">
        <v>47</v>
      </c>
      <c r="S70" s="36" t="n">
        <v>84</v>
      </c>
      <c r="T70" s="36" t="n">
        <v>57</v>
      </c>
      <c r="U70" s="36" t="n">
        <v>124.91</v>
      </c>
      <c r="V70" s="36" t="n">
        <v>123.29</v>
      </c>
      <c r="W70" s="36" t="n">
        <v>120.13</v>
      </c>
      <c r="X70" s="36" t="n">
        <v>96.3</v>
      </c>
      <c r="Y70" s="28" t="n">
        <v>141.16</v>
      </c>
      <c r="Z70" s="36" t="n">
        <v>120.13</v>
      </c>
      <c r="AA70" s="36" t="n">
        <v>132.94</v>
      </c>
      <c r="AB70" s="36" t="n">
        <v>148.56</v>
      </c>
      <c r="AC70" s="36" t="n">
        <v>156.77</v>
      </c>
      <c r="AD70" s="36" t="n">
        <v>131.77</v>
      </c>
      <c r="AE70" s="36" t="n">
        <v>111.82</v>
      </c>
      <c r="AF70" s="28" t="n">
        <v>145.4</v>
      </c>
      <c r="AG70" s="36" t="n">
        <v>122.11</v>
      </c>
      <c r="AH70" s="37" t="n">
        <v>121.21</v>
      </c>
      <c r="AI70" s="37" t="n">
        <v>139.08</v>
      </c>
      <c r="AJ70" s="37" t="n">
        <v>149.64</v>
      </c>
      <c r="AK70" s="37" t="n">
        <v>147.29</v>
      </c>
      <c r="AL70" s="37" t="n">
        <v>104.24</v>
      </c>
      <c r="AM70" s="37" t="n">
        <v>143.59</v>
      </c>
      <c r="AN70" s="37" t="n">
        <v>123.65</v>
      </c>
      <c r="AO70" s="37" t="n">
        <v>122.66</v>
      </c>
      <c r="AP70" s="37" t="n">
        <v>119.86</v>
      </c>
      <c r="AQ70" s="37" t="n">
        <v>120.76</v>
      </c>
      <c r="AR70" s="37" t="n">
        <v>118.68</v>
      </c>
      <c r="AS70" s="37" t="n">
        <v>96.48</v>
      </c>
      <c r="AT70" s="37" t="n">
        <v>154.97</v>
      </c>
      <c r="AU70" s="37" t="n">
        <v>140.07</v>
      </c>
      <c r="AV70" s="37" t="n">
        <v>124.82</v>
      </c>
      <c r="AW70" s="37" t="n">
        <v>118.41</v>
      </c>
      <c r="AX70" s="37" t="n">
        <v>117.6</v>
      </c>
      <c r="AY70" s="37" t="n">
        <v>116.79</v>
      </c>
      <c r="AZ70" s="37" t="n">
        <v>96.93000000000001</v>
      </c>
      <c r="BA70" s="37" t="n">
        <v>139.8</v>
      </c>
      <c r="BB70" s="37" t="n">
        <v>130.42</v>
      </c>
      <c r="BC70" s="37" t="n">
        <v>65.98</v>
      </c>
      <c r="BD70" s="37" t="n">
        <v>94.23</v>
      </c>
      <c r="BE70" s="37" t="n">
        <v>218.87</v>
      </c>
      <c r="BF70" s="37" t="n">
        <v>212.82</v>
      </c>
      <c r="BG70" s="37" t="n">
        <v>104.24</v>
      </c>
      <c r="BH70" s="37" t="n">
        <v>154.79</v>
      </c>
      <c r="BI70" s="37" t="n">
        <v>130.42</v>
      </c>
      <c r="BJ70" s="37" t="n">
        <v>99.64</v>
      </c>
      <c r="BK70" s="37" t="n">
        <v>132.76</v>
      </c>
      <c r="BL70" s="37" t="n">
        <v>132.94</v>
      </c>
      <c r="BM70" s="37" t="n">
        <v>129.06</v>
      </c>
      <c r="BN70" s="37" t="n">
        <v>104.24</v>
      </c>
      <c r="BO70" s="37" t="n">
        <v>154.79</v>
      </c>
      <c r="BP70" s="37" t="n">
        <v>130.42</v>
      </c>
      <c r="BQ70" s="37" t="n">
        <v>129.33</v>
      </c>
      <c r="BR70" s="37" t="n">
        <v>132.76</v>
      </c>
      <c r="BS70" s="37" t="n">
        <v>132.94</v>
      </c>
      <c r="BT70" s="37" t="n">
        <v>129.06</v>
      </c>
      <c r="BU70" s="37" t="n">
        <v>104.24</v>
      </c>
      <c r="BV70" s="37" t="n">
        <v>154.79</v>
      </c>
      <c r="BW70" s="37" t="n">
        <v>130.42</v>
      </c>
      <c r="BX70" s="37" t="n">
        <v>129.33</v>
      </c>
      <c r="BY70" s="37" t="n">
        <v>132.76</v>
      </c>
      <c r="BZ70" s="37" t="n">
        <v>132.94</v>
      </c>
      <c r="CA70" s="37" t="n">
        <v>129.06</v>
      </c>
      <c r="CB70" s="37" t="n">
        <v>104.24</v>
      </c>
      <c r="CC70" s="37" t="n">
        <v>8724.309999999999</v>
      </c>
    </row>
    <row r="71" ht="15.75" customHeight="1" s="57">
      <c r="A71" s="7" t="inlineStr">
        <is>
          <t>NTB</t>
        </is>
      </c>
      <c r="B71" s="7" t="inlineStr">
        <is>
          <t>Bình Thuận</t>
        </is>
      </c>
      <c r="C71" s="7" t="n">
        <v>21403000</v>
      </c>
      <c r="D71" s="7" t="inlineStr">
        <is>
          <t>(BTH) Hàm Liêm</t>
        </is>
      </c>
      <c r="E71" s="7" t="inlineStr">
        <is>
          <t>SME</t>
        </is>
      </c>
      <c r="F71" s="36" t="n">
        <v>54</v>
      </c>
      <c r="G71" s="36" t="n">
        <v>59</v>
      </c>
      <c r="H71" s="36" t="n">
        <v>43</v>
      </c>
      <c r="I71" s="36" t="n">
        <v>60</v>
      </c>
      <c r="J71" s="36" t="n">
        <v>16</v>
      </c>
      <c r="K71" s="28" t="n">
        <v>61</v>
      </c>
      <c r="L71" s="36" t="n">
        <v>27</v>
      </c>
      <c r="M71" s="36" t="n">
        <v>53</v>
      </c>
      <c r="N71" s="36" t="n">
        <v>32</v>
      </c>
      <c r="O71" s="36" t="n">
        <v>99</v>
      </c>
      <c r="P71" s="36" t="n">
        <v>61</v>
      </c>
      <c r="Q71" s="36" t="n">
        <v>41</v>
      </c>
      <c r="R71" s="28" t="n">
        <v>94</v>
      </c>
      <c r="S71" s="36" t="n">
        <v>52</v>
      </c>
      <c r="T71" s="36" t="n">
        <v>47</v>
      </c>
      <c r="U71" s="36" t="n">
        <v>81.00999999999999</v>
      </c>
      <c r="V71" s="36" t="n">
        <v>84.22999999999999</v>
      </c>
      <c r="W71" s="36" t="n">
        <v>81.88</v>
      </c>
      <c r="X71" s="36" t="n">
        <v>66.90000000000001</v>
      </c>
      <c r="Y71" s="28" t="n">
        <v>90.93000000000001</v>
      </c>
      <c r="Z71" s="36" t="n">
        <v>83.66</v>
      </c>
      <c r="AA71" s="36" t="n">
        <v>81.52000000000001</v>
      </c>
      <c r="AB71" s="36" t="n">
        <v>81.00999999999999</v>
      </c>
      <c r="AC71" s="36" t="n">
        <v>84.22999999999999</v>
      </c>
      <c r="AD71" s="36" t="n">
        <v>63.02</v>
      </c>
      <c r="AE71" s="36" t="n">
        <v>66.90000000000001</v>
      </c>
      <c r="AF71" s="28" t="n">
        <v>90.93000000000001</v>
      </c>
      <c r="AG71" s="36" t="n">
        <v>83.66</v>
      </c>
      <c r="AH71" s="37" t="n">
        <v>81.52000000000001</v>
      </c>
      <c r="AI71" s="37" t="n">
        <v>81.00999999999999</v>
      </c>
      <c r="AJ71" s="37" t="n">
        <v>84.22999999999999</v>
      </c>
      <c r="AK71" s="37" t="n">
        <v>81.88</v>
      </c>
      <c r="AL71" s="37" t="n">
        <v>66.90000000000001</v>
      </c>
      <c r="AM71" s="37" t="n">
        <v>90.93000000000001</v>
      </c>
      <c r="AN71" s="37" t="n">
        <v>83.66</v>
      </c>
      <c r="AO71" s="37" t="n">
        <v>81.52000000000001</v>
      </c>
      <c r="AP71" s="37" t="n">
        <v>81.00999999999999</v>
      </c>
      <c r="AQ71" s="37" t="n">
        <v>84.22999999999999</v>
      </c>
      <c r="AR71" s="37" t="n">
        <v>81.88</v>
      </c>
      <c r="AS71" s="37" t="n">
        <v>66.90000000000001</v>
      </c>
      <c r="AT71" s="37" t="n">
        <v>90.93000000000001</v>
      </c>
      <c r="AU71" s="37" t="n">
        <v>83.66</v>
      </c>
      <c r="AV71" s="37" t="n">
        <v>81.52000000000001</v>
      </c>
      <c r="AW71" s="37" t="n">
        <v>81.00999999999999</v>
      </c>
      <c r="AX71" s="37" t="n">
        <v>84.22999999999999</v>
      </c>
      <c r="AY71" s="37" t="n">
        <v>81.88</v>
      </c>
      <c r="AZ71" s="37" t="n">
        <v>66.90000000000001</v>
      </c>
      <c r="BA71" s="37" t="n">
        <v>86.24000000000001</v>
      </c>
      <c r="BB71" s="37" t="n">
        <v>76.56999999999999</v>
      </c>
      <c r="BC71" s="37" t="n">
        <v>46.45</v>
      </c>
      <c r="BD71" s="37" t="n">
        <v>35.77</v>
      </c>
      <c r="BE71" s="37" t="n">
        <v>78.92</v>
      </c>
      <c r="BF71" s="37" t="n">
        <v>76.84999999999999</v>
      </c>
      <c r="BG71" s="37" t="n">
        <v>68.81999999999999</v>
      </c>
      <c r="BH71" s="37" t="n">
        <v>93.56</v>
      </c>
      <c r="BI71" s="37" t="n">
        <v>86.22</v>
      </c>
      <c r="BJ71" s="37" t="n">
        <v>64.44</v>
      </c>
      <c r="BK71" s="37" t="n">
        <v>83.28</v>
      </c>
      <c r="BL71" s="37" t="n">
        <v>86.72</v>
      </c>
      <c r="BM71" s="37" t="n">
        <v>84.15000000000001</v>
      </c>
      <c r="BN71" s="37" t="n">
        <v>68.81999999999999</v>
      </c>
      <c r="BO71" s="37" t="n">
        <v>93.56</v>
      </c>
      <c r="BP71" s="37" t="n">
        <v>86.22</v>
      </c>
      <c r="BQ71" s="37" t="n">
        <v>83.80000000000001</v>
      </c>
      <c r="BR71" s="37" t="n">
        <v>83.28</v>
      </c>
      <c r="BS71" s="37" t="n">
        <v>86.72</v>
      </c>
      <c r="BT71" s="37" t="n">
        <v>84.15000000000001</v>
      </c>
      <c r="BU71" s="37" t="n">
        <v>68.81999999999999</v>
      </c>
      <c r="BV71" s="37" t="n">
        <v>93.56</v>
      </c>
      <c r="BW71" s="37" t="n">
        <v>86.22</v>
      </c>
      <c r="BX71" s="37" t="n">
        <v>83.80000000000001</v>
      </c>
      <c r="BY71" s="37" t="n">
        <v>83.28</v>
      </c>
      <c r="BZ71" s="37" t="n">
        <v>86.72</v>
      </c>
      <c r="CA71" s="37" t="n">
        <v>84.15000000000001</v>
      </c>
      <c r="CB71" s="37" t="n">
        <v>68.81999999999999</v>
      </c>
      <c r="CC71" s="37" t="n">
        <v>5584.59</v>
      </c>
    </row>
    <row r="72" ht="15.75" customHeight="1" s="57">
      <c r="A72" s="7" t="inlineStr">
        <is>
          <t>NTB</t>
        </is>
      </c>
      <c r="B72" s="7" t="inlineStr">
        <is>
          <t>Bình Thuận</t>
        </is>
      </c>
      <c r="C72" s="7" t="n">
        <v>21403000</v>
      </c>
      <c r="D72" s="7" t="inlineStr">
        <is>
          <t>(BTH) Hàm Liêm</t>
        </is>
      </c>
      <c r="E72" s="7" t="inlineStr">
        <is>
          <t>SME-Bulky</t>
        </is>
      </c>
      <c r="F72" s="36" t="n">
        <v>9</v>
      </c>
      <c r="G72" s="36" t="n">
        <v>9</v>
      </c>
      <c r="H72" s="36" t="n">
        <v>4</v>
      </c>
      <c r="I72" s="36" t="n">
        <v>3</v>
      </c>
      <c r="J72" s="36" t="n">
        <v>9</v>
      </c>
      <c r="K72" s="28" t="n">
        <v>10</v>
      </c>
      <c r="L72" s="36" t="n">
        <v>12</v>
      </c>
      <c r="M72" s="36" t="n">
        <v>5</v>
      </c>
      <c r="N72" s="36" t="n">
        <v>7</v>
      </c>
      <c r="O72" s="36" t="n">
        <v>4</v>
      </c>
      <c r="P72" s="36" t="n">
        <v>11</v>
      </c>
      <c r="Q72" s="36" t="n">
        <v>9</v>
      </c>
      <c r="R72" s="28" t="n">
        <v>16</v>
      </c>
      <c r="S72" s="36" t="n">
        <v>13</v>
      </c>
      <c r="T72" s="36" t="n">
        <v>12</v>
      </c>
      <c r="U72" s="36" t="n">
        <v>11.8</v>
      </c>
      <c r="V72" s="36" t="n">
        <v>11.8</v>
      </c>
      <c r="W72" s="36" t="n">
        <v>11.47</v>
      </c>
      <c r="X72" s="36" t="n">
        <v>8.24</v>
      </c>
      <c r="Y72" s="28" t="n">
        <v>14.54</v>
      </c>
      <c r="Z72" s="36" t="n">
        <v>15.03</v>
      </c>
      <c r="AA72" s="36" t="n">
        <v>12.28</v>
      </c>
      <c r="AB72" s="36" t="n">
        <v>11.8</v>
      </c>
      <c r="AC72" s="36" t="n">
        <v>11.8</v>
      </c>
      <c r="AD72" s="36" t="n">
        <v>8.890000000000001</v>
      </c>
      <c r="AE72" s="36" t="n">
        <v>8.24</v>
      </c>
      <c r="AF72" s="28" t="n">
        <v>14.54</v>
      </c>
      <c r="AG72" s="36" t="n">
        <v>15.03</v>
      </c>
      <c r="AH72" s="37" t="n">
        <v>12.28</v>
      </c>
      <c r="AI72" s="37" t="n">
        <v>11.8</v>
      </c>
      <c r="AJ72" s="37" t="n">
        <v>11.8</v>
      </c>
      <c r="AK72" s="37" t="n">
        <v>11.47</v>
      </c>
      <c r="AL72" s="37" t="n">
        <v>8.24</v>
      </c>
      <c r="AM72" s="37" t="n">
        <v>14.54</v>
      </c>
      <c r="AN72" s="37" t="n">
        <v>15.03</v>
      </c>
      <c r="AO72" s="37" t="n">
        <v>12.28</v>
      </c>
      <c r="AP72" s="37" t="n">
        <v>11.8</v>
      </c>
      <c r="AQ72" s="37" t="n">
        <v>11.8</v>
      </c>
      <c r="AR72" s="37" t="n">
        <v>11.47</v>
      </c>
      <c r="AS72" s="37" t="n">
        <v>8.24</v>
      </c>
      <c r="AT72" s="37" t="n">
        <v>14.54</v>
      </c>
      <c r="AU72" s="37" t="n">
        <v>15.03</v>
      </c>
      <c r="AV72" s="37" t="n">
        <v>12.28</v>
      </c>
      <c r="AW72" s="37" t="n">
        <v>11.8</v>
      </c>
      <c r="AX72" s="37" t="n">
        <v>11.8</v>
      </c>
      <c r="AY72" s="37" t="n">
        <v>11.47</v>
      </c>
      <c r="AZ72" s="37" t="n">
        <v>8.24</v>
      </c>
      <c r="BA72" s="37" t="n">
        <v>15.03</v>
      </c>
      <c r="BB72" s="37" t="n">
        <v>8.4</v>
      </c>
      <c r="BC72" s="37" t="n">
        <v>4.04</v>
      </c>
      <c r="BD72" s="37" t="n">
        <v>2.26</v>
      </c>
      <c r="BE72" s="37" t="n">
        <v>6.62</v>
      </c>
      <c r="BF72" s="37" t="n">
        <v>6.46</v>
      </c>
      <c r="BG72" s="37" t="n">
        <v>4.52</v>
      </c>
      <c r="BH72" s="37" t="n">
        <v>8.08</v>
      </c>
      <c r="BI72" s="37" t="n">
        <v>8.4</v>
      </c>
      <c r="BJ72" s="37" t="n">
        <v>5.82</v>
      </c>
      <c r="BK72" s="37" t="n">
        <v>6.62</v>
      </c>
      <c r="BL72" s="37" t="n">
        <v>6.62</v>
      </c>
      <c r="BM72" s="37" t="n">
        <v>6.46</v>
      </c>
      <c r="BN72" s="37" t="n">
        <v>4.52</v>
      </c>
      <c r="BO72" s="37" t="n">
        <v>8.08</v>
      </c>
      <c r="BP72" s="37" t="n">
        <v>8.4</v>
      </c>
      <c r="BQ72" s="37" t="n">
        <v>6.95</v>
      </c>
      <c r="BR72" s="37" t="n">
        <v>6.62</v>
      </c>
      <c r="BS72" s="37" t="n">
        <v>6.62</v>
      </c>
      <c r="BT72" s="37" t="n">
        <v>6.46</v>
      </c>
      <c r="BU72" s="37" t="n">
        <v>4.52</v>
      </c>
      <c r="BV72" s="37" t="n">
        <v>8.08</v>
      </c>
      <c r="BW72" s="37" t="n">
        <v>8.4</v>
      </c>
      <c r="BX72" s="37" t="n">
        <v>6.95</v>
      </c>
      <c r="BY72" s="37" t="n">
        <v>6.62</v>
      </c>
      <c r="BZ72" s="37" t="n">
        <v>6.62</v>
      </c>
      <c r="CA72" s="37" t="n">
        <v>6.46</v>
      </c>
      <c r="CB72" s="37" t="n">
        <v>4.52</v>
      </c>
      <c r="CC72" s="37" t="n">
        <v>703.5200000000003</v>
      </c>
    </row>
    <row r="73" ht="15.75" customHeight="1" s="57">
      <c r="A73" s="7" t="inlineStr">
        <is>
          <t>NTB</t>
        </is>
      </c>
      <c r="B73" s="7" t="inlineStr">
        <is>
          <t>Bình Thuận</t>
        </is>
      </c>
      <c r="C73" s="7" t="n">
        <v>21403000</v>
      </c>
      <c r="D73" s="7" t="inlineStr">
        <is>
          <t>(BTH) Hàm Liêm</t>
        </is>
      </c>
      <c r="E73" s="7" t="inlineStr">
        <is>
          <t>Shopee</t>
        </is>
      </c>
      <c r="F73" s="36" t="n">
        <v>30</v>
      </c>
      <c r="G73" s="36" t="n">
        <v>44</v>
      </c>
      <c r="H73" s="36" t="n">
        <v>38</v>
      </c>
      <c r="I73" s="36" t="n">
        <v>28</v>
      </c>
      <c r="J73" s="36" t="n">
        <v>38</v>
      </c>
      <c r="K73" s="28" t="n">
        <v>76</v>
      </c>
      <c r="L73" s="36" t="n">
        <v>50</v>
      </c>
      <c r="M73" s="36" t="n">
        <v>55</v>
      </c>
      <c r="N73" s="36" t="n">
        <v>36</v>
      </c>
      <c r="O73" s="36" t="n">
        <v>45</v>
      </c>
      <c r="P73" s="36" t="n">
        <v>40</v>
      </c>
      <c r="Q73" s="36" t="n">
        <v>38</v>
      </c>
      <c r="R73" s="28" t="n">
        <v>67</v>
      </c>
      <c r="S73" s="36" t="n">
        <v>53</v>
      </c>
      <c r="T73" s="36" t="n">
        <v>72</v>
      </c>
      <c r="U73" s="36" t="n">
        <v>52.77</v>
      </c>
      <c r="V73" s="36" t="n">
        <v>53.3</v>
      </c>
      <c r="W73" s="36" t="n">
        <v>50.51</v>
      </c>
      <c r="X73" s="36" t="n">
        <v>43.71</v>
      </c>
      <c r="Y73" s="28" t="n">
        <v>70.63</v>
      </c>
      <c r="Z73" s="36" t="n">
        <v>55.97</v>
      </c>
      <c r="AA73" s="36" t="n">
        <v>68.09999999999999</v>
      </c>
      <c r="AB73" s="36" t="n">
        <v>53.7</v>
      </c>
      <c r="AC73" s="36" t="n">
        <v>43.44</v>
      </c>
      <c r="AD73" s="36" t="n">
        <v>88.22</v>
      </c>
      <c r="AE73" s="36" t="n">
        <v>46.64</v>
      </c>
      <c r="AF73" s="28" t="n">
        <v>77.95999999999999</v>
      </c>
      <c r="AG73" s="36" t="n">
        <v>58.63</v>
      </c>
      <c r="AH73" s="37" t="n">
        <v>61.83</v>
      </c>
      <c r="AI73" s="37" t="n">
        <v>52.77</v>
      </c>
      <c r="AJ73" s="37" t="n">
        <v>53.3</v>
      </c>
      <c r="AK73" s="37" t="n">
        <v>55.57</v>
      </c>
      <c r="AL73" s="37" t="n">
        <v>78.76000000000001</v>
      </c>
      <c r="AM73" s="37" t="n">
        <v>70.63</v>
      </c>
      <c r="AN73" s="37" t="n">
        <v>55.97</v>
      </c>
      <c r="AO73" s="37" t="n">
        <v>61.83</v>
      </c>
      <c r="AP73" s="37" t="n">
        <v>57.03</v>
      </c>
      <c r="AQ73" s="37" t="n">
        <v>41.98</v>
      </c>
      <c r="AR73" s="37" t="n">
        <v>50.51</v>
      </c>
      <c r="AS73" s="37" t="n">
        <v>43.71</v>
      </c>
      <c r="AT73" s="37" t="n">
        <v>70.63</v>
      </c>
      <c r="AU73" s="37" t="n">
        <v>61.03</v>
      </c>
      <c r="AV73" s="37" t="n">
        <v>63.3</v>
      </c>
      <c r="AW73" s="37" t="n">
        <v>52.77</v>
      </c>
      <c r="AX73" s="37" t="n">
        <v>53.3</v>
      </c>
      <c r="AY73" s="37" t="n">
        <v>50.51</v>
      </c>
      <c r="AZ73" s="37" t="n">
        <v>43.71</v>
      </c>
      <c r="BA73" s="37" t="n">
        <v>60.23</v>
      </c>
      <c r="BB73" s="37" t="n">
        <v>42.64</v>
      </c>
      <c r="BC73" s="37" t="n">
        <v>18.92</v>
      </c>
      <c r="BD73" s="37" t="n">
        <v>31.05</v>
      </c>
      <c r="BE73" s="37" t="n">
        <v>63.3</v>
      </c>
      <c r="BF73" s="37" t="n">
        <v>61.17</v>
      </c>
      <c r="BG73" s="37" t="n">
        <v>43.58</v>
      </c>
      <c r="BH73" s="37" t="n">
        <v>67.95999999999999</v>
      </c>
      <c r="BI73" s="37" t="n">
        <v>44.91</v>
      </c>
      <c r="BJ73" s="37" t="n">
        <v>125.53</v>
      </c>
      <c r="BK73" s="37" t="n">
        <v>54.37</v>
      </c>
      <c r="BL73" s="37" t="n">
        <v>53.97</v>
      </c>
      <c r="BM73" s="37" t="n">
        <v>49.17</v>
      </c>
      <c r="BN73" s="37" t="n">
        <v>42.64</v>
      </c>
      <c r="BO73" s="37" t="n">
        <v>67.95999999999999</v>
      </c>
      <c r="BP73" s="37" t="n">
        <v>59.3</v>
      </c>
      <c r="BQ73" s="37" t="n">
        <v>90.34999999999999</v>
      </c>
      <c r="BR73" s="37" t="n">
        <v>51.3</v>
      </c>
      <c r="BS73" s="37" t="n">
        <v>51.84</v>
      </c>
      <c r="BT73" s="37" t="n">
        <v>49.17</v>
      </c>
      <c r="BU73" s="37" t="n">
        <v>46.77</v>
      </c>
      <c r="BV73" s="37" t="n">
        <v>54.9</v>
      </c>
      <c r="BW73" s="37" t="n">
        <v>54.37</v>
      </c>
      <c r="BX73" s="37" t="n">
        <v>59.83</v>
      </c>
      <c r="BY73" s="37" t="n">
        <v>51.3</v>
      </c>
      <c r="BZ73" s="37" t="n">
        <v>55.84</v>
      </c>
      <c r="CA73" s="37" t="n">
        <v>50.37</v>
      </c>
      <c r="CB73" s="37" t="n">
        <v>42.64</v>
      </c>
      <c r="CC73" s="37" t="n">
        <v>4098.100000000002</v>
      </c>
    </row>
    <row r="74" ht="15.75" customHeight="1" s="57">
      <c r="A74" s="7" t="inlineStr">
        <is>
          <t>NTB</t>
        </is>
      </c>
      <c r="B74" s="7" t="inlineStr">
        <is>
          <t>Bình Thuận</t>
        </is>
      </c>
      <c r="C74" s="7" t="n">
        <v>21403000</v>
      </c>
      <c r="D74" s="7" t="inlineStr">
        <is>
          <t>(BTH) Hàm Liêm</t>
        </is>
      </c>
      <c r="E74" s="7" t="inlineStr">
        <is>
          <t>Shopee-Bulky</t>
        </is>
      </c>
      <c r="F74" s="36" t="n">
        <v>11.79</v>
      </c>
      <c r="G74" s="36" t="n">
        <v>5.5</v>
      </c>
      <c r="H74" s="36" t="n">
        <v>3.14</v>
      </c>
      <c r="I74" s="36" t="n">
        <v>3.14</v>
      </c>
      <c r="J74" s="36" t="n">
        <v>6.29</v>
      </c>
      <c r="K74" s="28" t="n">
        <v>7.07</v>
      </c>
      <c r="L74" s="36" t="n">
        <v>3.14</v>
      </c>
      <c r="M74" s="36" t="n">
        <v>3.14</v>
      </c>
      <c r="N74" s="36" t="n">
        <v>0.79</v>
      </c>
      <c r="O74" s="36" t="n">
        <v>2.36</v>
      </c>
      <c r="P74" s="36" t="n">
        <v>8.65</v>
      </c>
      <c r="Q74" s="36" t="n">
        <v>0.79</v>
      </c>
      <c r="R74" s="28" t="n">
        <v>0.79</v>
      </c>
      <c r="S74" s="36" t="n">
        <v>4.72</v>
      </c>
      <c r="T74" s="36" t="n">
        <v>3.14</v>
      </c>
      <c r="U74" s="36" t="n">
        <v>3.89</v>
      </c>
      <c r="V74" s="36" t="n">
        <v>3.89</v>
      </c>
      <c r="W74" s="36" t="n">
        <v>4.72</v>
      </c>
      <c r="X74" s="36" t="n">
        <v>2.5</v>
      </c>
      <c r="Y74" s="28" t="n">
        <v>5.91</v>
      </c>
      <c r="Z74" s="36" t="n">
        <v>4.52</v>
      </c>
      <c r="AA74" s="36" t="n">
        <v>6.88</v>
      </c>
      <c r="AB74" s="36" t="n">
        <v>4.52</v>
      </c>
      <c r="AC74" s="36" t="n">
        <v>4.31</v>
      </c>
      <c r="AD74" s="36" t="n">
        <v>16.74</v>
      </c>
      <c r="AE74" s="36" t="n">
        <v>13.41</v>
      </c>
      <c r="AF74" s="28" t="n">
        <v>13.06</v>
      </c>
      <c r="AG74" s="36" t="n">
        <v>7.43</v>
      </c>
      <c r="AH74" s="37" t="n">
        <v>4.38</v>
      </c>
      <c r="AI74" s="37" t="n">
        <v>4.86</v>
      </c>
      <c r="AJ74" s="37" t="n">
        <v>4.17</v>
      </c>
      <c r="AK74" s="37" t="n">
        <v>9.59</v>
      </c>
      <c r="AL74" s="37" t="n">
        <v>4.31</v>
      </c>
      <c r="AM74" s="37" t="n">
        <v>7.99</v>
      </c>
      <c r="AN74" s="37" t="n">
        <v>4.45</v>
      </c>
      <c r="AO74" s="37" t="n">
        <v>4.45</v>
      </c>
      <c r="AP74" s="37" t="n">
        <v>7.99</v>
      </c>
      <c r="AQ74" s="37" t="n">
        <v>5.84</v>
      </c>
      <c r="AR74" s="37" t="n">
        <v>4.45</v>
      </c>
      <c r="AS74" s="37" t="n">
        <v>2.36</v>
      </c>
      <c r="AT74" s="37" t="n">
        <v>5.7</v>
      </c>
      <c r="AU74" s="37" t="n">
        <v>9.869999999999999</v>
      </c>
      <c r="AV74" s="37" t="n">
        <v>10.49</v>
      </c>
      <c r="AW74" s="37" t="n">
        <v>4.1</v>
      </c>
      <c r="AX74" s="37" t="n">
        <v>4.1</v>
      </c>
      <c r="AY74" s="37" t="n">
        <v>4.45</v>
      </c>
      <c r="AZ74" s="37" t="n">
        <v>2.36</v>
      </c>
      <c r="BA74" s="37" t="n">
        <v>5.07</v>
      </c>
      <c r="BB74" s="37" t="n">
        <v>3.33</v>
      </c>
      <c r="BC74" s="37" t="n">
        <v>0.42</v>
      </c>
      <c r="BD74" s="37" t="n">
        <v>1.32</v>
      </c>
      <c r="BE74" s="37" t="n">
        <v>5.14</v>
      </c>
      <c r="BF74" s="37" t="n">
        <v>4.31</v>
      </c>
      <c r="BG74" s="37" t="n">
        <v>2.71</v>
      </c>
      <c r="BH74" s="37" t="n">
        <v>6.18</v>
      </c>
      <c r="BI74" s="37" t="n">
        <v>4.79</v>
      </c>
      <c r="BJ74" s="37" t="n">
        <v>25.85</v>
      </c>
      <c r="BK74" s="37" t="n">
        <v>10.14</v>
      </c>
      <c r="BL74" s="37" t="n">
        <v>5.42</v>
      </c>
      <c r="BM74" s="37" t="n">
        <v>3.61</v>
      </c>
      <c r="BN74" s="37" t="n">
        <v>2.57</v>
      </c>
      <c r="BO74" s="37" t="n">
        <v>7.16</v>
      </c>
      <c r="BP74" s="37" t="n">
        <v>10.14</v>
      </c>
      <c r="BQ74" s="37" t="n">
        <v>7.71</v>
      </c>
      <c r="BR74" s="37" t="n">
        <v>4.31</v>
      </c>
      <c r="BS74" s="37" t="n">
        <v>4.31</v>
      </c>
      <c r="BT74" s="37" t="n">
        <v>3.33</v>
      </c>
      <c r="BU74" s="37" t="n">
        <v>5.28</v>
      </c>
      <c r="BV74" s="37" t="n">
        <v>6.53</v>
      </c>
      <c r="BW74" s="37" t="n">
        <v>4.79</v>
      </c>
      <c r="BX74" s="37" t="n">
        <v>4.72</v>
      </c>
      <c r="BY74" s="37" t="n">
        <v>4.31</v>
      </c>
      <c r="BZ74" s="37" t="n">
        <v>8.82</v>
      </c>
      <c r="CA74" s="37" t="n">
        <v>4.31</v>
      </c>
      <c r="CB74" s="37" t="n">
        <v>2.64</v>
      </c>
      <c r="CC74" s="37" t="n">
        <v>421.36</v>
      </c>
    </row>
    <row r="75" ht="15.75" customHeight="1" s="57">
      <c r="A75" s="7" t="inlineStr">
        <is>
          <t>NTB</t>
        </is>
      </c>
      <c r="B75" s="7" t="inlineStr">
        <is>
          <t>Bình Thuận</t>
        </is>
      </c>
      <c r="C75" s="7" t="n">
        <v>21403000</v>
      </c>
      <c r="D75" s="7" t="inlineStr">
        <is>
          <t>(BTH) Hàm Liêm</t>
        </is>
      </c>
      <c r="E75" s="7" t="inlineStr">
        <is>
          <t>Shopee-Bulky (10-15kg)</t>
        </is>
      </c>
      <c r="F75" s="36" t="n">
        <v>3.21</v>
      </c>
      <c r="G75" s="36" t="n">
        <v>1.5</v>
      </c>
      <c r="H75" s="36" t="n">
        <v>0.86</v>
      </c>
      <c r="I75" s="36" t="n">
        <v>0.86</v>
      </c>
      <c r="J75" s="36" t="n">
        <v>1.71</v>
      </c>
      <c r="K75" s="28" t="n">
        <v>1.93</v>
      </c>
      <c r="L75" s="36" t="n">
        <v>0.86</v>
      </c>
      <c r="M75" s="36" t="n">
        <v>0.86</v>
      </c>
      <c r="N75" s="36" t="n">
        <v>0.21</v>
      </c>
      <c r="O75" s="36" t="n">
        <v>0.64</v>
      </c>
      <c r="P75" s="36" t="n">
        <v>2.35</v>
      </c>
      <c r="Q75" s="36" t="n">
        <v>0.21</v>
      </c>
      <c r="R75" s="28" t="n">
        <v>0.21</v>
      </c>
      <c r="S75" s="36" t="n">
        <v>1.28</v>
      </c>
      <c r="T75" s="36" t="n">
        <v>0.86</v>
      </c>
      <c r="U75" s="36" t="n">
        <v>0.97</v>
      </c>
      <c r="V75" s="36" t="n">
        <v>0.9</v>
      </c>
      <c r="W75" s="36" t="n">
        <v>1.11</v>
      </c>
      <c r="X75" s="36" t="n">
        <v>0.5600000000000001</v>
      </c>
      <c r="Y75" s="28" t="n">
        <v>1.53</v>
      </c>
      <c r="Z75" s="36" t="n">
        <v>1.04</v>
      </c>
      <c r="AA75" s="36" t="n">
        <v>1.53</v>
      </c>
      <c r="AB75" s="36" t="n">
        <v>1.04</v>
      </c>
      <c r="AC75" s="36" t="n">
        <v>1.11</v>
      </c>
      <c r="AD75" s="36" t="n">
        <v>6.88</v>
      </c>
      <c r="AE75" s="36" t="n">
        <v>3.06</v>
      </c>
      <c r="AF75" s="28" t="n">
        <v>2.57</v>
      </c>
      <c r="AG75" s="36" t="n">
        <v>1.95</v>
      </c>
      <c r="AH75" s="37" t="n">
        <v>1.04</v>
      </c>
      <c r="AI75" s="37" t="n">
        <v>1.04</v>
      </c>
      <c r="AJ75" s="37" t="n">
        <v>0.9</v>
      </c>
      <c r="AK75" s="37" t="n">
        <v>2.57</v>
      </c>
      <c r="AL75" s="37" t="n">
        <v>0.97</v>
      </c>
      <c r="AM75" s="37" t="n">
        <v>1.81</v>
      </c>
      <c r="AN75" s="37" t="n">
        <v>1.04</v>
      </c>
      <c r="AO75" s="37" t="n">
        <v>1.04</v>
      </c>
      <c r="AP75" s="37" t="n">
        <v>2.01</v>
      </c>
      <c r="AQ75" s="37" t="n">
        <v>1.25</v>
      </c>
      <c r="AR75" s="37" t="n">
        <v>1.04</v>
      </c>
      <c r="AS75" s="37" t="n">
        <v>0.42</v>
      </c>
      <c r="AT75" s="37" t="n">
        <v>1.32</v>
      </c>
      <c r="AU75" s="37" t="n">
        <v>2.29</v>
      </c>
      <c r="AV75" s="37" t="n">
        <v>2.71</v>
      </c>
      <c r="AW75" s="37" t="n">
        <v>1.04</v>
      </c>
      <c r="AX75" s="37" t="n">
        <v>0.9</v>
      </c>
      <c r="AY75" s="37" t="n">
        <v>0.97</v>
      </c>
      <c r="AZ75" s="37" t="n">
        <v>0.42</v>
      </c>
      <c r="BA75" s="37" t="n">
        <v>1.18</v>
      </c>
      <c r="BB75" s="37" t="n">
        <v>0.76</v>
      </c>
      <c r="BC75" s="37" t="n">
        <v>0.14</v>
      </c>
      <c r="BD75" s="37" t="n">
        <v>0.28</v>
      </c>
      <c r="BE75" s="37" t="n">
        <v>1.11</v>
      </c>
      <c r="BF75" s="37" t="n">
        <v>0.97</v>
      </c>
      <c r="BG75" s="37" t="n">
        <v>0.49</v>
      </c>
      <c r="BH75" s="37" t="n">
        <v>1.39</v>
      </c>
      <c r="BI75" s="37" t="n">
        <v>1.11</v>
      </c>
      <c r="BJ75" s="37" t="n">
        <v>8.06</v>
      </c>
      <c r="BK75" s="37" t="n">
        <v>2.92</v>
      </c>
      <c r="BL75" s="37" t="n">
        <v>1.39</v>
      </c>
      <c r="BM75" s="37" t="n">
        <v>0.9</v>
      </c>
      <c r="BN75" s="37" t="n">
        <v>0.49</v>
      </c>
      <c r="BO75" s="37" t="n">
        <v>2.08</v>
      </c>
      <c r="BP75" s="37" t="n">
        <v>2.92</v>
      </c>
      <c r="BQ75" s="37" t="n">
        <v>2.22</v>
      </c>
      <c r="BR75" s="37" t="n">
        <v>1.18</v>
      </c>
      <c r="BS75" s="37" t="n">
        <v>0.97</v>
      </c>
      <c r="BT75" s="37" t="n">
        <v>0.76</v>
      </c>
      <c r="BU75" s="37" t="n">
        <v>1.25</v>
      </c>
      <c r="BV75" s="37" t="n">
        <v>1.53</v>
      </c>
      <c r="BW75" s="37" t="n">
        <v>1.11</v>
      </c>
      <c r="BX75" s="37" t="n">
        <v>1.11</v>
      </c>
      <c r="BY75" s="37" t="n">
        <v>1.18</v>
      </c>
      <c r="BZ75" s="37" t="n">
        <v>2.64</v>
      </c>
      <c r="CA75" s="37" t="n">
        <v>1.11</v>
      </c>
      <c r="CB75" s="37" t="n">
        <v>0.49</v>
      </c>
      <c r="CC75" s="37" t="n">
        <v>108.32</v>
      </c>
    </row>
    <row r="76" ht="15.75" customHeight="1" s="57">
      <c r="A76" s="7" t="inlineStr">
        <is>
          <t>NTB</t>
        </is>
      </c>
      <c r="B76" s="7" t="inlineStr">
        <is>
          <t>Bình Thuận</t>
        </is>
      </c>
      <c r="C76" s="7" t="n">
        <v>21403000</v>
      </c>
      <c r="D76" s="7" t="inlineStr">
        <is>
          <t>(BTH) Hàm Liêm</t>
        </is>
      </c>
      <c r="E76" s="7" t="inlineStr">
        <is>
          <t>TTS</t>
        </is>
      </c>
      <c r="F76" s="36" t="n">
        <v>24</v>
      </c>
      <c r="G76" s="36" t="n">
        <v>29</v>
      </c>
      <c r="H76" s="36" t="n">
        <v>47</v>
      </c>
      <c r="I76" s="36" t="n">
        <v>44</v>
      </c>
      <c r="J76" s="36" t="n">
        <v>34</v>
      </c>
      <c r="K76" s="28" t="n">
        <v>33</v>
      </c>
      <c r="L76" s="36" t="n">
        <v>97</v>
      </c>
      <c r="M76" s="36" t="n">
        <v>138</v>
      </c>
      <c r="N76" s="36" t="n">
        <v>36</v>
      </c>
      <c r="O76" s="36" t="n">
        <v>30</v>
      </c>
      <c r="P76" s="36" t="n">
        <v>35</v>
      </c>
      <c r="Q76" s="36" t="n">
        <v>42</v>
      </c>
      <c r="R76" s="28" t="n">
        <v>37</v>
      </c>
      <c r="S76" s="36" t="n">
        <v>39</v>
      </c>
      <c r="T76" s="36" t="n">
        <v>37</v>
      </c>
      <c r="U76" s="36" t="n">
        <v>99.45</v>
      </c>
      <c r="V76" s="36" t="n">
        <v>98.16</v>
      </c>
      <c r="W76" s="36" t="n">
        <v>95.64</v>
      </c>
      <c r="X76" s="36" t="n">
        <v>76.67999999999999</v>
      </c>
      <c r="Y76" s="28" t="n">
        <v>112.39</v>
      </c>
      <c r="Z76" s="36" t="n">
        <v>95.64</v>
      </c>
      <c r="AA76" s="36" t="n">
        <v>105.84</v>
      </c>
      <c r="AB76" s="36" t="n">
        <v>118.27</v>
      </c>
      <c r="AC76" s="36" t="n">
        <v>124.81</v>
      </c>
      <c r="AD76" s="36" t="n">
        <v>104.93</v>
      </c>
      <c r="AE76" s="36" t="n">
        <v>89.03</v>
      </c>
      <c r="AF76" s="28" t="n">
        <v>115.77</v>
      </c>
      <c r="AG76" s="36" t="n">
        <v>97.22</v>
      </c>
      <c r="AH76" s="37" t="n">
        <v>96.50999999999999</v>
      </c>
      <c r="AI76" s="37" t="n">
        <v>110.73</v>
      </c>
      <c r="AJ76" s="37" t="n">
        <v>119.14</v>
      </c>
      <c r="AK76" s="37" t="n">
        <v>117.27</v>
      </c>
      <c r="AL76" s="37" t="n">
        <v>83</v>
      </c>
      <c r="AM76" s="37" t="n">
        <v>114.33</v>
      </c>
      <c r="AN76" s="37" t="n">
        <v>98.45</v>
      </c>
      <c r="AO76" s="37" t="n">
        <v>97.64999999999999</v>
      </c>
      <c r="AP76" s="37" t="n">
        <v>95.42999999999999</v>
      </c>
      <c r="AQ76" s="37" t="n">
        <v>96.14999999999999</v>
      </c>
      <c r="AR76" s="37" t="n">
        <v>94.48999999999999</v>
      </c>
      <c r="AS76" s="37" t="n">
        <v>76.81999999999999</v>
      </c>
      <c r="AT76" s="37" t="n">
        <v>123.38</v>
      </c>
      <c r="AU76" s="37" t="n">
        <v>111.52</v>
      </c>
      <c r="AV76" s="37" t="n">
        <v>99.38</v>
      </c>
      <c r="AW76" s="37" t="n">
        <v>94.28</v>
      </c>
      <c r="AX76" s="37" t="n">
        <v>93.63</v>
      </c>
      <c r="AY76" s="37" t="n">
        <v>92.97999999999999</v>
      </c>
      <c r="AZ76" s="37" t="n">
        <v>77.17999999999999</v>
      </c>
      <c r="BA76" s="37" t="n">
        <v>111.31</v>
      </c>
      <c r="BB76" s="37" t="n">
        <v>103.83</v>
      </c>
      <c r="BC76" s="37" t="n">
        <v>52.53</v>
      </c>
      <c r="BD76" s="37" t="n">
        <v>75.02</v>
      </c>
      <c r="BE76" s="37" t="n">
        <v>174.29</v>
      </c>
      <c r="BF76" s="37" t="n">
        <v>169.48</v>
      </c>
      <c r="BG76" s="37" t="n">
        <v>83</v>
      </c>
      <c r="BH76" s="37" t="n">
        <v>123.24</v>
      </c>
      <c r="BI76" s="37" t="n">
        <v>103.83</v>
      </c>
      <c r="BJ76" s="37" t="n">
        <v>79.35000000000001</v>
      </c>
      <c r="BK76" s="37" t="n">
        <v>105.7</v>
      </c>
      <c r="BL76" s="37" t="n">
        <v>105.84</v>
      </c>
      <c r="BM76" s="37" t="n">
        <v>102.76</v>
      </c>
      <c r="BN76" s="37" t="n">
        <v>83</v>
      </c>
      <c r="BO76" s="37" t="n">
        <v>123.24</v>
      </c>
      <c r="BP76" s="37" t="n">
        <v>103.83</v>
      </c>
      <c r="BQ76" s="37" t="n">
        <v>102.97</v>
      </c>
      <c r="BR76" s="37" t="n">
        <v>105.7</v>
      </c>
      <c r="BS76" s="37" t="n">
        <v>105.84</v>
      </c>
      <c r="BT76" s="37" t="n">
        <v>102.76</v>
      </c>
      <c r="BU76" s="37" t="n">
        <v>83</v>
      </c>
      <c r="BV76" s="37" t="n">
        <v>123.24</v>
      </c>
      <c r="BW76" s="37" t="n">
        <v>103.83</v>
      </c>
      <c r="BX76" s="37" t="n">
        <v>102.97</v>
      </c>
      <c r="BY76" s="37" t="n">
        <v>105.7</v>
      </c>
      <c r="BZ76" s="37" t="n">
        <v>105.84</v>
      </c>
      <c r="CA76" s="37" t="n">
        <v>102.76</v>
      </c>
      <c r="CB76" s="37" t="n">
        <v>83</v>
      </c>
      <c r="CC76" s="37" t="n">
        <v>6856.01</v>
      </c>
    </row>
    <row r="77" ht="15.75" customHeight="1" s="57">
      <c r="A77" s="7" t="inlineStr">
        <is>
          <t>NTB</t>
        </is>
      </c>
      <c r="B77" s="7" t="inlineStr">
        <is>
          <t>Bình Thuận</t>
        </is>
      </c>
      <c r="C77" s="7" t="n">
        <v>21403000</v>
      </c>
      <c r="D77" s="7" t="inlineStr">
        <is>
          <t>(BTH) Hàm Liêm</t>
        </is>
      </c>
      <c r="E77" s="7" t="inlineStr">
        <is>
          <t>TTS-Bulky</t>
        </is>
      </c>
      <c r="F77" s="36" t="n">
        <v>2</v>
      </c>
      <c r="G77" s="36" t="n">
        <v>0</v>
      </c>
      <c r="H77" s="36" t="n">
        <v>0</v>
      </c>
      <c r="I77" s="36" t="n">
        <v>0</v>
      </c>
      <c r="J77" s="36" t="n">
        <v>0</v>
      </c>
      <c r="K77" s="28" t="n">
        <v>0</v>
      </c>
      <c r="L77" s="36" t="n">
        <v>0</v>
      </c>
      <c r="M77" s="36" t="n">
        <v>0</v>
      </c>
      <c r="N77" s="36" t="n">
        <v>0</v>
      </c>
      <c r="O77" s="36" t="n">
        <v>0</v>
      </c>
      <c r="P77" s="36" t="n">
        <v>0</v>
      </c>
      <c r="Q77" s="36" t="n">
        <v>0</v>
      </c>
      <c r="R77" s="28" t="n">
        <v>0</v>
      </c>
      <c r="S77" s="36" t="n">
        <v>0</v>
      </c>
      <c r="T77" s="36" t="n">
        <v>1</v>
      </c>
      <c r="U77" s="36" t="n">
        <v>0.41</v>
      </c>
      <c r="V77" s="36" t="n">
        <v>0.41</v>
      </c>
      <c r="W77" s="36" t="n">
        <v>0.18</v>
      </c>
      <c r="X77" s="36" t="n">
        <v>0.17</v>
      </c>
      <c r="Y77" s="28" t="n">
        <v>0.2</v>
      </c>
      <c r="Z77" s="36" t="n">
        <v>0.2</v>
      </c>
      <c r="AA77" s="36" t="n">
        <v>0.22</v>
      </c>
      <c r="AB77" s="36" t="n">
        <v>0.2</v>
      </c>
      <c r="AC77" s="36" t="n">
        <v>0.24</v>
      </c>
      <c r="AD77" s="36" t="n">
        <v>0.06</v>
      </c>
      <c r="AE77" s="36" t="n">
        <v>0.17</v>
      </c>
      <c r="AF77" s="28" t="n">
        <v>0.25</v>
      </c>
      <c r="AG77" s="36" t="n">
        <v>0.21</v>
      </c>
      <c r="AH77" s="37" t="n">
        <v>0.18</v>
      </c>
      <c r="AI77" s="37" t="n">
        <v>0.2</v>
      </c>
      <c r="AJ77" s="37" t="n">
        <v>0.2</v>
      </c>
      <c r="AK77" s="37" t="n">
        <v>0.2</v>
      </c>
      <c r="AL77" s="37" t="n">
        <v>0.17</v>
      </c>
      <c r="AM77" s="37" t="n">
        <v>0.2</v>
      </c>
      <c r="AN77" s="37" t="n">
        <v>0.18</v>
      </c>
      <c r="AO77" s="37" t="n">
        <v>0.18</v>
      </c>
      <c r="AP77" s="37" t="n">
        <v>0.21</v>
      </c>
      <c r="AQ77" s="37" t="n">
        <v>0.22</v>
      </c>
      <c r="AR77" s="37" t="n">
        <v>0.18</v>
      </c>
      <c r="AS77" s="37" t="n">
        <v>0.17</v>
      </c>
      <c r="AT77" s="37" t="n">
        <v>0.26</v>
      </c>
      <c r="AU77" s="37" t="n">
        <v>0.23</v>
      </c>
      <c r="AV77" s="37" t="n">
        <v>0.18</v>
      </c>
      <c r="AW77" s="37" t="n">
        <v>0.18</v>
      </c>
      <c r="AX77" s="37" t="n">
        <v>0.22</v>
      </c>
      <c r="AY77" s="37" t="n">
        <v>0.18</v>
      </c>
      <c r="AZ77" s="37" t="n">
        <v>0.17</v>
      </c>
      <c r="BA77" s="37" t="n">
        <v>0.2</v>
      </c>
      <c r="BB77" s="37" t="n">
        <v>0.06</v>
      </c>
      <c r="BC77" s="37" t="n">
        <v>0.03</v>
      </c>
      <c r="BD77" s="37" t="n">
        <v>0.04</v>
      </c>
      <c r="BE77" s="37" t="n">
        <v>0.06</v>
      </c>
      <c r="BF77" s="37" t="n">
        <v>0.06</v>
      </c>
      <c r="BG77" s="37" t="n">
        <v>0.04</v>
      </c>
      <c r="BH77" s="37" t="n">
        <v>0.07000000000000001</v>
      </c>
      <c r="BI77" s="37" t="n">
        <v>0.06</v>
      </c>
      <c r="BJ77" s="37" t="n">
        <v>0.01</v>
      </c>
      <c r="BK77" s="37" t="n">
        <v>0.06</v>
      </c>
      <c r="BL77" s="37" t="n">
        <v>0.06</v>
      </c>
      <c r="BM77" s="37" t="n">
        <v>0.06</v>
      </c>
      <c r="BN77" s="37" t="n">
        <v>0.04</v>
      </c>
      <c r="BO77" s="37" t="n">
        <v>0.07000000000000001</v>
      </c>
      <c r="BP77" s="37" t="n">
        <v>0.07000000000000001</v>
      </c>
      <c r="BQ77" s="37" t="n">
        <v>0.06</v>
      </c>
      <c r="BR77" s="37" t="n">
        <v>0.06</v>
      </c>
      <c r="BS77" s="37" t="n">
        <v>0.06</v>
      </c>
      <c r="BT77" s="37" t="n">
        <v>0.06</v>
      </c>
      <c r="BU77" s="37" t="n">
        <v>0.04</v>
      </c>
      <c r="BV77" s="37" t="n">
        <v>0.07000000000000001</v>
      </c>
      <c r="BW77" s="37" t="n">
        <v>0.06</v>
      </c>
      <c r="BX77" s="37" t="n">
        <v>0.06</v>
      </c>
      <c r="BY77" s="37" t="n">
        <v>0.06</v>
      </c>
      <c r="BZ77" s="37" t="n">
        <v>0.06</v>
      </c>
      <c r="CA77" s="37" t="n">
        <v>0.06</v>
      </c>
      <c r="CB77" s="37" t="n">
        <v>0.04</v>
      </c>
      <c r="CC77" s="37" t="n">
        <v>11.31</v>
      </c>
    </row>
    <row r="78" ht="15.75" customHeight="1" s="57">
      <c r="A78" s="7" t="inlineStr">
        <is>
          <t>NTB</t>
        </is>
      </c>
      <c r="B78" s="7" t="inlineStr">
        <is>
          <t>Bình Thuận</t>
        </is>
      </c>
      <c r="C78" s="7" t="n">
        <v>21456000</v>
      </c>
      <c r="D78" s="7" t="inlineStr">
        <is>
          <t>(BTH) Đức Linh</t>
        </is>
      </c>
      <c r="E78" s="7" t="inlineStr">
        <is>
          <t>SME</t>
        </is>
      </c>
      <c r="F78" s="36" t="n">
        <v>74</v>
      </c>
      <c r="G78" s="36" t="n">
        <v>66</v>
      </c>
      <c r="H78" s="36" t="n">
        <v>83</v>
      </c>
      <c r="I78" s="36" t="n">
        <v>89</v>
      </c>
      <c r="J78" s="36" t="n">
        <v>68</v>
      </c>
      <c r="K78" s="28" t="n">
        <v>57</v>
      </c>
      <c r="L78" s="36" t="n">
        <v>115</v>
      </c>
      <c r="M78" s="36" t="n">
        <v>91</v>
      </c>
      <c r="N78" s="36" t="n">
        <v>79</v>
      </c>
      <c r="O78" s="36" t="n">
        <v>55</v>
      </c>
      <c r="P78" s="36" t="n">
        <v>57</v>
      </c>
      <c r="Q78" s="36" t="n">
        <v>69</v>
      </c>
      <c r="R78" s="28" t="n">
        <v>68</v>
      </c>
      <c r="S78" s="36" t="n">
        <v>55</v>
      </c>
      <c r="T78" s="36" t="n">
        <v>48</v>
      </c>
      <c r="U78" s="36" t="n">
        <v>86.27</v>
      </c>
      <c r="V78" s="36" t="n">
        <v>89.73999999999999</v>
      </c>
      <c r="W78" s="36" t="n">
        <v>87.13</v>
      </c>
      <c r="X78" s="36" t="n">
        <v>71.45999999999999</v>
      </c>
      <c r="Y78" s="28" t="n">
        <v>96.66000000000001</v>
      </c>
      <c r="Z78" s="36" t="n">
        <v>89.11</v>
      </c>
      <c r="AA78" s="36" t="n">
        <v>86.72999999999999</v>
      </c>
      <c r="AB78" s="36" t="n">
        <v>86.27</v>
      </c>
      <c r="AC78" s="36" t="n">
        <v>89.73999999999999</v>
      </c>
      <c r="AD78" s="36" t="n">
        <v>65.38</v>
      </c>
      <c r="AE78" s="36" t="n">
        <v>71.45999999999999</v>
      </c>
      <c r="AF78" s="28" t="n">
        <v>96.66000000000001</v>
      </c>
      <c r="AG78" s="36" t="n">
        <v>89.11</v>
      </c>
      <c r="AH78" s="37" t="n">
        <v>86.72999999999999</v>
      </c>
      <c r="AI78" s="37" t="n">
        <v>86.27</v>
      </c>
      <c r="AJ78" s="37" t="n">
        <v>89.73999999999999</v>
      </c>
      <c r="AK78" s="37" t="n">
        <v>87.13</v>
      </c>
      <c r="AL78" s="37" t="n">
        <v>71.45999999999999</v>
      </c>
      <c r="AM78" s="37" t="n">
        <v>96.66000000000001</v>
      </c>
      <c r="AN78" s="37" t="n">
        <v>89.11</v>
      </c>
      <c r="AO78" s="37" t="n">
        <v>86.72999999999999</v>
      </c>
      <c r="AP78" s="37" t="n">
        <v>86.27</v>
      </c>
      <c r="AQ78" s="37" t="n">
        <v>89.73999999999999</v>
      </c>
      <c r="AR78" s="37" t="n">
        <v>87.13</v>
      </c>
      <c r="AS78" s="37" t="n">
        <v>71.45999999999999</v>
      </c>
      <c r="AT78" s="37" t="n">
        <v>96.66000000000001</v>
      </c>
      <c r="AU78" s="37" t="n">
        <v>89.11</v>
      </c>
      <c r="AV78" s="37" t="n">
        <v>86.72999999999999</v>
      </c>
      <c r="AW78" s="37" t="n">
        <v>86.27</v>
      </c>
      <c r="AX78" s="37" t="n">
        <v>89.73999999999999</v>
      </c>
      <c r="AY78" s="37" t="n">
        <v>87.13</v>
      </c>
      <c r="AZ78" s="37" t="n">
        <v>71.45999999999999</v>
      </c>
      <c r="BA78" s="37" t="n">
        <v>91.87</v>
      </c>
      <c r="BB78" s="37" t="n">
        <v>81.44999999999999</v>
      </c>
      <c r="BC78" s="37" t="n">
        <v>49.7</v>
      </c>
      <c r="BD78" s="37" t="n">
        <v>38.69</v>
      </c>
      <c r="BE78" s="37" t="n">
        <v>84.06</v>
      </c>
      <c r="BF78" s="37" t="n">
        <v>81.77</v>
      </c>
      <c r="BG78" s="37" t="n">
        <v>73.59999999999999</v>
      </c>
      <c r="BH78" s="37" t="n">
        <v>99.59</v>
      </c>
      <c r="BI78" s="37" t="n">
        <v>91.95999999999999</v>
      </c>
      <c r="BJ78" s="37" t="n">
        <v>66.96000000000001</v>
      </c>
      <c r="BK78" s="37" t="n">
        <v>88.8</v>
      </c>
      <c r="BL78" s="37" t="n">
        <v>92.50999999999999</v>
      </c>
      <c r="BM78" s="37" t="n">
        <v>89.66</v>
      </c>
      <c r="BN78" s="37" t="n">
        <v>73.59999999999999</v>
      </c>
      <c r="BO78" s="37" t="n">
        <v>99.59</v>
      </c>
      <c r="BP78" s="37" t="n">
        <v>91.95999999999999</v>
      </c>
      <c r="BQ78" s="37" t="n">
        <v>89.27</v>
      </c>
      <c r="BR78" s="37" t="n">
        <v>88.8</v>
      </c>
      <c r="BS78" s="37" t="n">
        <v>92.50999999999999</v>
      </c>
      <c r="BT78" s="37" t="n">
        <v>89.66</v>
      </c>
      <c r="BU78" s="37" t="n">
        <v>73.59999999999999</v>
      </c>
      <c r="BV78" s="37" t="n">
        <v>99.59</v>
      </c>
      <c r="BW78" s="37" t="n">
        <v>91.95999999999999</v>
      </c>
      <c r="BX78" s="37" t="n">
        <v>89.27</v>
      </c>
      <c r="BY78" s="37" t="n">
        <v>88.8</v>
      </c>
      <c r="BZ78" s="37" t="n">
        <v>92.50999999999999</v>
      </c>
      <c r="CA78" s="37" t="n">
        <v>89.66</v>
      </c>
      <c r="CB78" s="37" t="n">
        <v>73.59999999999999</v>
      </c>
      <c r="CC78" s="37" t="n">
        <v>6170.250000000004</v>
      </c>
    </row>
    <row r="79" ht="15.75" customHeight="1" s="57">
      <c r="A79" s="7" t="inlineStr">
        <is>
          <t>NTB</t>
        </is>
      </c>
      <c r="B79" s="7" t="inlineStr">
        <is>
          <t>Bình Thuận</t>
        </is>
      </c>
      <c r="C79" s="7" t="n">
        <v>21456000</v>
      </c>
      <c r="D79" s="7" t="inlineStr">
        <is>
          <t>(BTH) Đức Linh</t>
        </is>
      </c>
      <c r="E79" s="7" t="inlineStr">
        <is>
          <t>SME-Bulky</t>
        </is>
      </c>
      <c r="F79" s="36" t="n">
        <v>6</v>
      </c>
      <c r="G79" s="36" t="n">
        <v>2</v>
      </c>
      <c r="H79" s="36" t="n">
        <v>8</v>
      </c>
      <c r="I79" s="36" t="n">
        <v>7</v>
      </c>
      <c r="J79" s="36" t="n">
        <v>1</v>
      </c>
      <c r="K79" s="28" t="n">
        <v>2</v>
      </c>
      <c r="L79" s="36" t="n">
        <v>5</v>
      </c>
      <c r="M79" s="36" t="n">
        <v>2</v>
      </c>
      <c r="N79" s="36" t="n">
        <v>4</v>
      </c>
      <c r="O79" s="36" t="n">
        <v>1</v>
      </c>
      <c r="P79" s="36" t="n">
        <v>2</v>
      </c>
      <c r="Q79" s="36" t="n">
        <v>2</v>
      </c>
      <c r="R79" s="28" t="n">
        <v>4</v>
      </c>
      <c r="S79" s="36" t="n">
        <v>6</v>
      </c>
      <c r="T79" s="36" t="n">
        <v>4</v>
      </c>
      <c r="U79" s="36" t="n">
        <v>5.11</v>
      </c>
      <c r="V79" s="36" t="n">
        <v>5.11</v>
      </c>
      <c r="W79" s="36" t="n">
        <v>4.97</v>
      </c>
      <c r="X79" s="36" t="n">
        <v>3.57</v>
      </c>
      <c r="Y79" s="28" t="n">
        <v>6.3</v>
      </c>
      <c r="Z79" s="36" t="n">
        <v>6.51</v>
      </c>
      <c r="AA79" s="36" t="n">
        <v>5.32</v>
      </c>
      <c r="AB79" s="36" t="n">
        <v>5.11</v>
      </c>
      <c r="AC79" s="36" t="n">
        <v>5.11</v>
      </c>
      <c r="AD79" s="36" t="n">
        <v>3.85</v>
      </c>
      <c r="AE79" s="36" t="n">
        <v>3.57</v>
      </c>
      <c r="AF79" s="28" t="n">
        <v>6.3</v>
      </c>
      <c r="AG79" s="36" t="n">
        <v>6.51</v>
      </c>
      <c r="AH79" s="37" t="n">
        <v>5.32</v>
      </c>
      <c r="AI79" s="37" t="n">
        <v>5.11</v>
      </c>
      <c r="AJ79" s="37" t="n">
        <v>5.11</v>
      </c>
      <c r="AK79" s="37" t="n">
        <v>4.97</v>
      </c>
      <c r="AL79" s="37" t="n">
        <v>3.57</v>
      </c>
      <c r="AM79" s="37" t="n">
        <v>6.3</v>
      </c>
      <c r="AN79" s="37" t="n">
        <v>6.51</v>
      </c>
      <c r="AO79" s="37" t="n">
        <v>5.32</v>
      </c>
      <c r="AP79" s="37" t="n">
        <v>5.11</v>
      </c>
      <c r="AQ79" s="37" t="n">
        <v>5.11</v>
      </c>
      <c r="AR79" s="37" t="n">
        <v>4.97</v>
      </c>
      <c r="AS79" s="37" t="n">
        <v>3.57</v>
      </c>
      <c r="AT79" s="37" t="n">
        <v>6.3</v>
      </c>
      <c r="AU79" s="37" t="n">
        <v>6.51</v>
      </c>
      <c r="AV79" s="37" t="n">
        <v>5.32</v>
      </c>
      <c r="AW79" s="37" t="n">
        <v>5.11</v>
      </c>
      <c r="AX79" s="37" t="n">
        <v>5.11</v>
      </c>
      <c r="AY79" s="37" t="n">
        <v>4.97</v>
      </c>
      <c r="AZ79" s="37" t="n">
        <v>3.57</v>
      </c>
      <c r="BA79" s="37" t="n">
        <v>6.51</v>
      </c>
      <c r="BB79" s="37" t="n">
        <v>3.64</v>
      </c>
      <c r="BC79" s="37" t="n">
        <v>1.75</v>
      </c>
      <c r="BD79" s="37" t="n">
        <v>0.98</v>
      </c>
      <c r="BE79" s="37" t="n">
        <v>2.87</v>
      </c>
      <c r="BF79" s="37" t="n">
        <v>2.8</v>
      </c>
      <c r="BG79" s="37" t="n">
        <v>1.96</v>
      </c>
      <c r="BH79" s="37" t="n">
        <v>3.5</v>
      </c>
      <c r="BI79" s="37" t="n">
        <v>3.64</v>
      </c>
      <c r="BJ79" s="37" t="n">
        <v>2.52</v>
      </c>
      <c r="BK79" s="37" t="n">
        <v>2.87</v>
      </c>
      <c r="BL79" s="37" t="n">
        <v>2.87</v>
      </c>
      <c r="BM79" s="37" t="n">
        <v>2.8</v>
      </c>
      <c r="BN79" s="37" t="n">
        <v>1.96</v>
      </c>
      <c r="BO79" s="37" t="n">
        <v>3.5</v>
      </c>
      <c r="BP79" s="37" t="n">
        <v>3.64</v>
      </c>
      <c r="BQ79" s="37" t="n">
        <v>3.01</v>
      </c>
      <c r="BR79" s="37" t="n">
        <v>2.87</v>
      </c>
      <c r="BS79" s="37" t="n">
        <v>2.87</v>
      </c>
      <c r="BT79" s="37" t="n">
        <v>2.8</v>
      </c>
      <c r="BU79" s="37" t="n">
        <v>1.96</v>
      </c>
      <c r="BV79" s="37" t="n">
        <v>3.5</v>
      </c>
      <c r="BW79" s="37" t="n">
        <v>3.64</v>
      </c>
      <c r="BX79" s="37" t="n">
        <v>3.01</v>
      </c>
      <c r="BY79" s="37" t="n">
        <v>2.87</v>
      </c>
      <c r="BZ79" s="37" t="n">
        <v>2.87</v>
      </c>
      <c r="CA79" s="37" t="n">
        <v>2.8</v>
      </c>
      <c r="CB79" s="37" t="n">
        <v>1.96</v>
      </c>
      <c r="CC79" s="37" t="n">
        <v>303.17</v>
      </c>
    </row>
    <row r="80" ht="15.75" customHeight="1" s="57">
      <c r="A80" s="7" t="inlineStr">
        <is>
          <t>NTB</t>
        </is>
      </c>
      <c r="B80" s="7" t="inlineStr">
        <is>
          <t>Bình Thuận</t>
        </is>
      </c>
      <c r="C80" s="7" t="n">
        <v>21456000</v>
      </c>
      <c r="D80" s="7" t="inlineStr">
        <is>
          <t>(BTH) Đức Linh</t>
        </is>
      </c>
      <c r="E80" s="7" t="inlineStr">
        <is>
          <t>Shopee</t>
        </is>
      </c>
      <c r="F80" s="36" t="n">
        <v>68</v>
      </c>
      <c r="G80" s="36" t="n">
        <v>74</v>
      </c>
      <c r="H80" s="36" t="n">
        <v>41</v>
      </c>
      <c r="I80" s="36" t="n">
        <v>67</v>
      </c>
      <c r="J80" s="36" t="n">
        <v>59</v>
      </c>
      <c r="K80" s="28" t="n">
        <v>99</v>
      </c>
      <c r="L80" s="36" t="n">
        <v>81</v>
      </c>
      <c r="M80" s="36" t="n">
        <v>80</v>
      </c>
      <c r="N80" s="36" t="n">
        <v>61</v>
      </c>
      <c r="O80" s="36" t="n">
        <v>69</v>
      </c>
      <c r="P80" s="36" t="n">
        <v>57</v>
      </c>
      <c r="Q80" s="36" t="n">
        <v>50</v>
      </c>
      <c r="R80" s="28" t="n">
        <v>83</v>
      </c>
      <c r="S80" s="36" t="n">
        <v>50</v>
      </c>
      <c r="T80" s="36" t="n">
        <v>60</v>
      </c>
      <c r="U80" s="36" t="n">
        <v>63.56</v>
      </c>
      <c r="V80" s="36" t="n">
        <v>64.2</v>
      </c>
      <c r="W80" s="36" t="n">
        <v>60.83</v>
      </c>
      <c r="X80" s="36" t="n">
        <v>52.65</v>
      </c>
      <c r="Y80" s="28" t="n">
        <v>85.06999999999999</v>
      </c>
      <c r="Z80" s="36" t="n">
        <v>67.41</v>
      </c>
      <c r="AA80" s="36" t="n">
        <v>82.02</v>
      </c>
      <c r="AB80" s="36" t="n">
        <v>64.68000000000001</v>
      </c>
      <c r="AC80" s="36" t="n">
        <v>52.33</v>
      </c>
      <c r="AD80" s="36" t="n">
        <v>106.26</v>
      </c>
      <c r="AE80" s="36" t="n">
        <v>56.18</v>
      </c>
      <c r="AF80" s="28" t="n">
        <v>93.90000000000001</v>
      </c>
      <c r="AG80" s="36" t="n">
        <v>70.62</v>
      </c>
      <c r="AH80" s="37" t="n">
        <v>74.48</v>
      </c>
      <c r="AI80" s="37" t="n">
        <v>63.56</v>
      </c>
      <c r="AJ80" s="37" t="n">
        <v>64.2</v>
      </c>
      <c r="AK80" s="37" t="n">
        <v>66.93000000000001</v>
      </c>
      <c r="AL80" s="37" t="n">
        <v>94.86</v>
      </c>
      <c r="AM80" s="37" t="n">
        <v>85.06999999999999</v>
      </c>
      <c r="AN80" s="37" t="n">
        <v>67.41</v>
      </c>
      <c r="AO80" s="37" t="n">
        <v>74.48</v>
      </c>
      <c r="AP80" s="37" t="n">
        <v>68.7</v>
      </c>
      <c r="AQ80" s="37" t="n">
        <v>50.56</v>
      </c>
      <c r="AR80" s="37" t="n">
        <v>60.83</v>
      </c>
      <c r="AS80" s="37" t="n">
        <v>52.65</v>
      </c>
      <c r="AT80" s="37" t="n">
        <v>85.06999999999999</v>
      </c>
      <c r="AU80" s="37" t="n">
        <v>73.51000000000001</v>
      </c>
      <c r="AV80" s="37" t="n">
        <v>76.23999999999999</v>
      </c>
      <c r="AW80" s="37" t="n">
        <v>63.56</v>
      </c>
      <c r="AX80" s="37" t="n">
        <v>64.2</v>
      </c>
      <c r="AY80" s="37" t="n">
        <v>60.83</v>
      </c>
      <c r="AZ80" s="37" t="n">
        <v>52.65</v>
      </c>
      <c r="BA80" s="37" t="n">
        <v>72.55</v>
      </c>
      <c r="BB80" s="37" t="n">
        <v>51.36</v>
      </c>
      <c r="BC80" s="37" t="n">
        <v>22.79</v>
      </c>
      <c r="BD80" s="37" t="n">
        <v>37.4</v>
      </c>
      <c r="BE80" s="37" t="n">
        <v>76.23999999999999</v>
      </c>
      <c r="BF80" s="37" t="n">
        <v>73.67</v>
      </c>
      <c r="BG80" s="37" t="n">
        <v>52.49</v>
      </c>
      <c r="BH80" s="37" t="n">
        <v>81.86</v>
      </c>
      <c r="BI80" s="37" t="n">
        <v>54.09</v>
      </c>
      <c r="BJ80" s="37" t="n">
        <v>151.2</v>
      </c>
      <c r="BK80" s="37" t="n">
        <v>65.48999999999999</v>
      </c>
      <c r="BL80" s="37" t="n">
        <v>65.01000000000001</v>
      </c>
      <c r="BM80" s="37" t="n">
        <v>59.23</v>
      </c>
      <c r="BN80" s="37" t="n">
        <v>51.36</v>
      </c>
      <c r="BO80" s="37" t="n">
        <v>81.86</v>
      </c>
      <c r="BP80" s="37" t="n">
        <v>71.43000000000001</v>
      </c>
      <c r="BQ80" s="37" t="n">
        <v>108.82</v>
      </c>
      <c r="BR80" s="37" t="n">
        <v>61.8</v>
      </c>
      <c r="BS80" s="37" t="n">
        <v>62.44</v>
      </c>
      <c r="BT80" s="37" t="n">
        <v>59.23</v>
      </c>
      <c r="BU80" s="37" t="n">
        <v>56.34</v>
      </c>
      <c r="BV80" s="37" t="n">
        <v>66.13</v>
      </c>
      <c r="BW80" s="37" t="n">
        <v>65.48999999999999</v>
      </c>
      <c r="BX80" s="37" t="n">
        <v>72.06999999999999</v>
      </c>
      <c r="BY80" s="37" t="n">
        <v>61.8</v>
      </c>
      <c r="BZ80" s="37" t="n">
        <v>67.25</v>
      </c>
      <c r="CA80" s="37" t="n">
        <v>60.67</v>
      </c>
      <c r="CB80" s="37" t="n">
        <v>51.36</v>
      </c>
      <c r="CC80" s="37" t="n">
        <v>5079.929999999998</v>
      </c>
    </row>
    <row r="81" ht="15.75" customHeight="1" s="57">
      <c r="A81" s="7" t="inlineStr">
        <is>
          <t>NTB</t>
        </is>
      </c>
      <c r="B81" s="7" t="inlineStr">
        <is>
          <t>Bình Thuận</t>
        </is>
      </c>
      <c r="C81" s="7" t="n">
        <v>21456000</v>
      </c>
      <c r="D81" s="7" t="inlineStr">
        <is>
          <t>(BTH) Đức Linh</t>
        </is>
      </c>
      <c r="E81" s="7" t="inlineStr">
        <is>
          <t>Shopee-Bulky</t>
        </is>
      </c>
      <c r="F81" s="36" t="n">
        <v>11</v>
      </c>
      <c r="G81" s="36" t="n">
        <v>1.57</v>
      </c>
      <c r="H81" s="36" t="n">
        <v>7.86</v>
      </c>
      <c r="I81" s="36" t="n">
        <v>4.71</v>
      </c>
      <c r="J81" s="36" t="n">
        <v>3.14</v>
      </c>
      <c r="K81" s="28" t="n">
        <v>6.29</v>
      </c>
      <c r="L81" s="36" t="n">
        <v>3.14</v>
      </c>
      <c r="M81" s="36" t="n">
        <v>3.14</v>
      </c>
      <c r="N81" s="36" t="n">
        <v>2.36</v>
      </c>
      <c r="O81" s="36" t="n">
        <v>3.14</v>
      </c>
      <c r="P81" s="36" t="n">
        <v>7.86</v>
      </c>
      <c r="Q81" s="36" t="n">
        <v>0.79</v>
      </c>
      <c r="R81" s="28" t="n">
        <v>6.29</v>
      </c>
      <c r="S81" s="36" t="n">
        <v>3.14</v>
      </c>
      <c r="T81" s="36" t="n">
        <v>8.640000000000001</v>
      </c>
      <c r="U81" s="36" t="n">
        <v>5</v>
      </c>
      <c r="V81" s="36" t="n">
        <v>5</v>
      </c>
      <c r="W81" s="36" t="n">
        <v>6.07</v>
      </c>
      <c r="X81" s="36" t="n">
        <v>3.22</v>
      </c>
      <c r="Y81" s="28" t="n">
        <v>7.59</v>
      </c>
      <c r="Z81" s="36" t="n">
        <v>5.81</v>
      </c>
      <c r="AA81" s="36" t="n">
        <v>8.84</v>
      </c>
      <c r="AB81" s="36" t="n">
        <v>5.81</v>
      </c>
      <c r="AC81" s="36" t="n">
        <v>5.54</v>
      </c>
      <c r="AD81" s="36" t="n">
        <v>21.53</v>
      </c>
      <c r="AE81" s="36" t="n">
        <v>17.24</v>
      </c>
      <c r="AF81" s="28" t="n">
        <v>16.79</v>
      </c>
      <c r="AG81" s="36" t="n">
        <v>9.56</v>
      </c>
      <c r="AH81" s="37" t="n">
        <v>5.63</v>
      </c>
      <c r="AI81" s="37" t="n">
        <v>6.25</v>
      </c>
      <c r="AJ81" s="37" t="n">
        <v>5.36</v>
      </c>
      <c r="AK81" s="37" t="n">
        <v>12.33</v>
      </c>
      <c r="AL81" s="37" t="n">
        <v>5.54</v>
      </c>
      <c r="AM81" s="37" t="n">
        <v>10.27</v>
      </c>
      <c r="AN81" s="37" t="n">
        <v>5.72</v>
      </c>
      <c r="AO81" s="37" t="n">
        <v>5.72</v>
      </c>
      <c r="AP81" s="37" t="n">
        <v>10.27</v>
      </c>
      <c r="AQ81" s="37" t="n">
        <v>7.5</v>
      </c>
      <c r="AR81" s="37" t="n">
        <v>5.72</v>
      </c>
      <c r="AS81" s="37" t="n">
        <v>3.04</v>
      </c>
      <c r="AT81" s="37" t="n">
        <v>7.33</v>
      </c>
      <c r="AU81" s="37" t="n">
        <v>12.68</v>
      </c>
      <c r="AV81" s="37" t="n">
        <v>13.49</v>
      </c>
      <c r="AW81" s="37" t="n">
        <v>5.27</v>
      </c>
      <c r="AX81" s="37" t="n">
        <v>5.27</v>
      </c>
      <c r="AY81" s="37" t="n">
        <v>5.72</v>
      </c>
      <c r="AZ81" s="37" t="n">
        <v>3.04</v>
      </c>
      <c r="BA81" s="37" t="n">
        <v>6.52</v>
      </c>
      <c r="BB81" s="37" t="n">
        <v>4.29</v>
      </c>
      <c r="BC81" s="37" t="n">
        <v>0.54</v>
      </c>
      <c r="BD81" s="37" t="n">
        <v>1.7</v>
      </c>
      <c r="BE81" s="37" t="n">
        <v>6.61</v>
      </c>
      <c r="BF81" s="37" t="n">
        <v>5.54</v>
      </c>
      <c r="BG81" s="37" t="n">
        <v>3.48</v>
      </c>
      <c r="BH81" s="37" t="n">
        <v>7.95</v>
      </c>
      <c r="BI81" s="37" t="n">
        <v>6.16</v>
      </c>
      <c r="BJ81" s="37" t="n">
        <v>33.23</v>
      </c>
      <c r="BK81" s="37" t="n">
        <v>13.04</v>
      </c>
      <c r="BL81" s="37" t="n">
        <v>6.97</v>
      </c>
      <c r="BM81" s="37" t="n">
        <v>4.65</v>
      </c>
      <c r="BN81" s="37" t="n">
        <v>3.31</v>
      </c>
      <c r="BO81" s="37" t="n">
        <v>9.199999999999999</v>
      </c>
      <c r="BP81" s="37" t="n">
        <v>13.04</v>
      </c>
      <c r="BQ81" s="37" t="n">
        <v>9.92</v>
      </c>
      <c r="BR81" s="37" t="n">
        <v>5.54</v>
      </c>
      <c r="BS81" s="37" t="n">
        <v>5.54</v>
      </c>
      <c r="BT81" s="37" t="n">
        <v>4.29</v>
      </c>
      <c r="BU81" s="37" t="n">
        <v>6.79</v>
      </c>
      <c r="BV81" s="37" t="n">
        <v>8.4</v>
      </c>
      <c r="BW81" s="37" t="n">
        <v>6.16</v>
      </c>
      <c r="BX81" s="37" t="n">
        <v>6.07</v>
      </c>
      <c r="BY81" s="37" t="n">
        <v>5.54</v>
      </c>
      <c r="BZ81" s="37" t="n">
        <v>11.34</v>
      </c>
      <c r="CA81" s="37" t="n">
        <v>5.54</v>
      </c>
      <c r="CB81" s="37" t="n">
        <v>3.39</v>
      </c>
      <c r="CC81" s="37" t="n">
        <v>531.9700000000003</v>
      </c>
    </row>
    <row r="82" ht="15.75" customHeight="1" s="57">
      <c r="A82" s="7" t="inlineStr">
        <is>
          <t>NTB</t>
        </is>
      </c>
      <c r="B82" s="7" t="inlineStr">
        <is>
          <t>Bình Thuận</t>
        </is>
      </c>
      <c r="C82" s="7" t="n">
        <v>21456000</v>
      </c>
      <c r="D82" s="7" t="inlineStr">
        <is>
          <t>(BTH) Đức Linh</t>
        </is>
      </c>
      <c r="E82" s="7" t="inlineStr">
        <is>
          <t>Shopee-Bulky (10-15kg)</t>
        </is>
      </c>
      <c r="F82" s="36" t="n">
        <v>3</v>
      </c>
      <c r="G82" s="36" t="n">
        <v>0.43</v>
      </c>
      <c r="H82" s="36" t="n">
        <v>2.14</v>
      </c>
      <c r="I82" s="36" t="n">
        <v>1.29</v>
      </c>
      <c r="J82" s="36" t="n">
        <v>0.86</v>
      </c>
      <c r="K82" s="28" t="n">
        <v>1.71</v>
      </c>
      <c r="L82" s="36" t="n">
        <v>0.86</v>
      </c>
      <c r="M82" s="36" t="n">
        <v>0.86</v>
      </c>
      <c r="N82" s="36" t="n">
        <v>0.64</v>
      </c>
      <c r="O82" s="36" t="n">
        <v>0.86</v>
      </c>
      <c r="P82" s="36" t="n">
        <v>2.14</v>
      </c>
      <c r="Q82" s="36" t="n">
        <v>0.21</v>
      </c>
      <c r="R82" s="28" t="n">
        <v>1.71</v>
      </c>
      <c r="S82" s="36" t="n">
        <v>0.86</v>
      </c>
      <c r="T82" s="36" t="n">
        <v>2.36</v>
      </c>
      <c r="U82" s="36" t="n">
        <v>1.25</v>
      </c>
      <c r="V82" s="36" t="n">
        <v>1.16</v>
      </c>
      <c r="W82" s="36" t="n">
        <v>1.43</v>
      </c>
      <c r="X82" s="36" t="n">
        <v>0.71</v>
      </c>
      <c r="Y82" s="28" t="n">
        <v>1.97</v>
      </c>
      <c r="Z82" s="36" t="n">
        <v>1.34</v>
      </c>
      <c r="AA82" s="36" t="n">
        <v>1.97</v>
      </c>
      <c r="AB82" s="36" t="n">
        <v>1.34</v>
      </c>
      <c r="AC82" s="36" t="n">
        <v>1.43</v>
      </c>
      <c r="AD82" s="36" t="n">
        <v>8.84</v>
      </c>
      <c r="AE82" s="36" t="n">
        <v>3.93</v>
      </c>
      <c r="AF82" s="28" t="n">
        <v>3.31</v>
      </c>
      <c r="AG82" s="36" t="n">
        <v>2.5</v>
      </c>
      <c r="AH82" s="37" t="n">
        <v>1.34</v>
      </c>
      <c r="AI82" s="37" t="n">
        <v>1.34</v>
      </c>
      <c r="AJ82" s="37" t="n">
        <v>1.16</v>
      </c>
      <c r="AK82" s="37" t="n">
        <v>3.31</v>
      </c>
      <c r="AL82" s="37" t="n">
        <v>1.25</v>
      </c>
      <c r="AM82" s="37" t="n">
        <v>2.32</v>
      </c>
      <c r="AN82" s="37" t="n">
        <v>1.34</v>
      </c>
      <c r="AO82" s="37" t="n">
        <v>1.34</v>
      </c>
      <c r="AP82" s="37" t="n">
        <v>2.59</v>
      </c>
      <c r="AQ82" s="37" t="n">
        <v>1.61</v>
      </c>
      <c r="AR82" s="37" t="n">
        <v>1.34</v>
      </c>
      <c r="AS82" s="37" t="n">
        <v>0.54</v>
      </c>
      <c r="AT82" s="37" t="n">
        <v>1.7</v>
      </c>
      <c r="AU82" s="37" t="n">
        <v>2.95</v>
      </c>
      <c r="AV82" s="37" t="n">
        <v>3.48</v>
      </c>
      <c r="AW82" s="37" t="n">
        <v>1.34</v>
      </c>
      <c r="AX82" s="37" t="n">
        <v>1.16</v>
      </c>
      <c r="AY82" s="37" t="n">
        <v>1.25</v>
      </c>
      <c r="AZ82" s="37" t="n">
        <v>0.54</v>
      </c>
      <c r="BA82" s="37" t="n">
        <v>1.52</v>
      </c>
      <c r="BB82" s="37" t="n">
        <v>0.98</v>
      </c>
      <c r="BC82" s="37" t="n">
        <v>0.18</v>
      </c>
      <c r="BD82" s="37" t="n">
        <v>0.36</v>
      </c>
      <c r="BE82" s="37" t="n">
        <v>1.43</v>
      </c>
      <c r="BF82" s="37" t="n">
        <v>1.25</v>
      </c>
      <c r="BG82" s="37" t="n">
        <v>0.63</v>
      </c>
      <c r="BH82" s="37" t="n">
        <v>1.79</v>
      </c>
      <c r="BI82" s="37" t="n">
        <v>1.43</v>
      </c>
      <c r="BJ82" s="37" t="n">
        <v>10.36</v>
      </c>
      <c r="BK82" s="37" t="n">
        <v>3.75</v>
      </c>
      <c r="BL82" s="37" t="n">
        <v>1.79</v>
      </c>
      <c r="BM82" s="37" t="n">
        <v>1.16</v>
      </c>
      <c r="BN82" s="37" t="n">
        <v>0.63</v>
      </c>
      <c r="BO82" s="37" t="n">
        <v>2.68</v>
      </c>
      <c r="BP82" s="37" t="n">
        <v>3.75</v>
      </c>
      <c r="BQ82" s="37" t="n">
        <v>2.86</v>
      </c>
      <c r="BR82" s="37" t="n">
        <v>1.52</v>
      </c>
      <c r="BS82" s="37" t="n">
        <v>1.25</v>
      </c>
      <c r="BT82" s="37" t="n">
        <v>0.98</v>
      </c>
      <c r="BU82" s="37" t="n">
        <v>1.61</v>
      </c>
      <c r="BV82" s="37" t="n">
        <v>1.97</v>
      </c>
      <c r="BW82" s="37" t="n">
        <v>1.43</v>
      </c>
      <c r="BX82" s="37" t="n">
        <v>1.43</v>
      </c>
      <c r="BY82" s="37" t="n">
        <v>1.52</v>
      </c>
      <c r="BZ82" s="37" t="n">
        <v>3.39</v>
      </c>
      <c r="CA82" s="37" t="n">
        <v>1.43</v>
      </c>
      <c r="CB82" s="37" t="n">
        <v>0.63</v>
      </c>
      <c r="CC82" s="37" t="n">
        <v>136.7200000000001</v>
      </c>
    </row>
    <row r="83" ht="15.75" customHeight="1" s="57">
      <c r="A83" s="7" t="inlineStr">
        <is>
          <t>NTB</t>
        </is>
      </c>
      <c r="B83" s="7" t="inlineStr">
        <is>
          <t>Bình Thuận</t>
        </is>
      </c>
      <c r="C83" s="7" t="n">
        <v>21456000</v>
      </c>
      <c r="D83" s="7" t="inlineStr">
        <is>
          <t>(BTH) Đức Linh</t>
        </is>
      </c>
      <c r="E83" s="7" t="inlineStr">
        <is>
          <t>TTS</t>
        </is>
      </c>
      <c r="F83" s="36" t="n">
        <v>81</v>
      </c>
      <c r="G83" s="36" t="n">
        <v>111</v>
      </c>
      <c r="H83" s="36" t="n">
        <v>96</v>
      </c>
      <c r="I83" s="36" t="n">
        <v>123</v>
      </c>
      <c r="J83" s="36" t="n">
        <v>88</v>
      </c>
      <c r="K83" s="28" t="n">
        <v>90</v>
      </c>
      <c r="L83" s="36" t="n">
        <v>79</v>
      </c>
      <c r="M83" s="36" t="n">
        <v>104</v>
      </c>
      <c r="N83" s="36" t="n">
        <v>112</v>
      </c>
      <c r="O83" s="36" t="n">
        <v>64</v>
      </c>
      <c r="P83" s="36" t="n">
        <v>97</v>
      </c>
      <c r="Q83" s="36" t="n">
        <v>87</v>
      </c>
      <c r="R83" s="28" t="n">
        <v>109</v>
      </c>
      <c r="S83" s="36" t="n">
        <v>95</v>
      </c>
      <c r="T83" s="36" t="n">
        <v>96</v>
      </c>
      <c r="U83" s="36" t="n">
        <v>184.76</v>
      </c>
      <c r="V83" s="36" t="n">
        <v>182.35</v>
      </c>
      <c r="W83" s="36" t="n">
        <v>177.68</v>
      </c>
      <c r="X83" s="36" t="n">
        <v>142.44</v>
      </c>
      <c r="Y83" s="28" t="n">
        <v>208.79</v>
      </c>
      <c r="Z83" s="36" t="n">
        <v>177.68</v>
      </c>
      <c r="AA83" s="36" t="n">
        <v>196.64</v>
      </c>
      <c r="AB83" s="36" t="n">
        <v>219.73</v>
      </c>
      <c r="AC83" s="36" t="n">
        <v>231.87</v>
      </c>
      <c r="AD83" s="36" t="n">
        <v>194.92</v>
      </c>
      <c r="AE83" s="36" t="n">
        <v>165.4</v>
      </c>
      <c r="AF83" s="28" t="n">
        <v>215.07</v>
      </c>
      <c r="AG83" s="36" t="n">
        <v>180.62</v>
      </c>
      <c r="AH83" s="37" t="n">
        <v>179.28</v>
      </c>
      <c r="AI83" s="37" t="n">
        <v>205.71</v>
      </c>
      <c r="AJ83" s="37" t="n">
        <v>221.33</v>
      </c>
      <c r="AK83" s="37" t="n">
        <v>217.86</v>
      </c>
      <c r="AL83" s="37" t="n">
        <v>154.19</v>
      </c>
      <c r="AM83" s="37" t="n">
        <v>212.4</v>
      </c>
      <c r="AN83" s="37" t="n">
        <v>182.89</v>
      </c>
      <c r="AO83" s="37" t="n">
        <v>181.42</v>
      </c>
      <c r="AP83" s="37" t="n">
        <v>177.28</v>
      </c>
      <c r="AQ83" s="37" t="n">
        <v>178.62</v>
      </c>
      <c r="AR83" s="37" t="n">
        <v>175.55</v>
      </c>
      <c r="AS83" s="37" t="n">
        <v>142.71</v>
      </c>
      <c r="AT83" s="37" t="n">
        <v>229.22</v>
      </c>
      <c r="AU83" s="37" t="n">
        <v>207.18</v>
      </c>
      <c r="AV83" s="37" t="n">
        <v>184.62</v>
      </c>
      <c r="AW83" s="37" t="n">
        <v>175.15</v>
      </c>
      <c r="AX83" s="37" t="n">
        <v>173.94</v>
      </c>
      <c r="AY83" s="37" t="n">
        <v>172.74</v>
      </c>
      <c r="AZ83" s="37" t="n">
        <v>143.38</v>
      </c>
      <c r="BA83" s="37" t="n">
        <v>206.79</v>
      </c>
      <c r="BB83" s="37" t="n">
        <v>192.9</v>
      </c>
      <c r="BC83" s="37" t="n">
        <v>97.58</v>
      </c>
      <c r="BD83" s="37" t="n">
        <v>139.37</v>
      </c>
      <c r="BE83" s="37" t="n">
        <v>323.76</v>
      </c>
      <c r="BF83" s="37" t="n">
        <v>314.82</v>
      </c>
      <c r="BG83" s="37" t="n">
        <v>154.19</v>
      </c>
      <c r="BH83" s="37" t="n">
        <v>228.95</v>
      </c>
      <c r="BI83" s="37" t="n">
        <v>192.9</v>
      </c>
      <c r="BJ83" s="37" t="n">
        <v>147.4</v>
      </c>
      <c r="BK83" s="37" t="n">
        <v>196.37</v>
      </c>
      <c r="BL83" s="37" t="n">
        <v>196.64</v>
      </c>
      <c r="BM83" s="37" t="n">
        <v>190.9</v>
      </c>
      <c r="BN83" s="37" t="n">
        <v>154.19</v>
      </c>
      <c r="BO83" s="37" t="n">
        <v>228.95</v>
      </c>
      <c r="BP83" s="37" t="n">
        <v>192.9</v>
      </c>
      <c r="BQ83" s="37" t="n">
        <v>191.3</v>
      </c>
      <c r="BR83" s="37" t="n">
        <v>196.37</v>
      </c>
      <c r="BS83" s="37" t="n">
        <v>196.64</v>
      </c>
      <c r="BT83" s="37" t="n">
        <v>190.9</v>
      </c>
      <c r="BU83" s="37" t="n">
        <v>154.19</v>
      </c>
      <c r="BV83" s="37" t="n">
        <v>228.95</v>
      </c>
      <c r="BW83" s="37" t="n">
        <v>192.9</v>
      </c>
      <c r="BX83" s="37" t="n">
        <v>191.3</v>
      </c>
      <c r="BY83" s="37" t="n">
        <v>196.37</v>
      </c>
      <c r="BZ83" s="37" t="n">
        <v>196.64</v>
      </c>
      <c r="CA83" s="37" t="n">
        <v>190.9</v>
      </c>
      <c r="CB83" s="37" t="n">
        <v>154.19</v>
      </c>
      <c r="CC83" s="37" t="n">
        <v>12864.68</v>
      </c>
    </row>
    <row r="84" ht="15.75" customHeight="1" s="57">
      <c r="A84" s="7" t="inlineStr">
        <is>
          <t>NTB</t>
        </is>
      </c>
      <c r="B84" s="7" t="inlineStr">
        <is>
          <t>Bình Thuận</t>
        </is>
      </c>
      <c r="C84" s="7" t="n">
        <v>21456000</v>
      </c>
      <c r="D84" s="7" t="inlineStr">
        <is>
          <t>(BTH) Đức Linh</t>
        </is>
      </c>
      <c r="E84" s="7" t="inlineStr">
        <is>
          <t>TTS-Bulky</t>
        </is>
      </c>
      <c r="F84" s="36" t="n">
        <v>0</v>
      </c>
      <c r="G84" s="36" t="n">
        <v>0</v>
      </c>
      <c r="H84" s="36" t="n">
        <v>0</v>
      </c>
      <c r="I84" s="36" t="n">
        <v>0</v>
      </c>
      <c r="J84" s="36" t="n">
        <v>0</v>
      </c>
      <c r="K84" s="28" t="n">
        <v>0</v>
      </c>
      <c r="L84" s="36" t="n">
        <v>0</v>
      </c>
      <c r="M84" s="36" t="n">
        <v>0</v>
      </c>
      <c r="N84" s="36" t="n">
        <v>0</v>
      </c>
      <c r="O84" s="36" t="n">
        <v>0</v>
      </c>
      <c r="P84" s="36" t="n">
        <v>0</v>
      </c>
      <c r="Q84" s="36" t="n">
        <v>0</v>
      </c>
      <c r="R84" s="28" t="n">
        <v>0</v>
      </c>
      <c r="S84" s="36" t="n">
        <v>0</v>
      </c>
      <c r="T84" s="36" t="n">
        <v>1</v>
      </c>
      <c r="U84" s="36" t="n">
        <v>0.41</v>
      </c>
      <c r="V84" s="36" t="n">
        <v>0.41</v>
      </c>
      <c r="W84" s="36" t="n">
        <v>0.18</v>
      </c>
      <c r="X84" s="36" t="n">
        <v>0.17</v>
      </c>
      <c r="Y84" s="28" t="n">
        <v>0.2</v>
      </c>
      <c r="Z84" s="36" t="n">
        <v>0.2</v>
      </c>
      <c r="AA84" s="36" t="n">
        <v>0.22</v>
      </c>
      <c r="AB84" s="36" t="n">
        <v>0.2</v>
      </c>
      <c r="AC84" s="36" t="n">
        <v>0.24</v>
      </c>
      <c r="AD84" s="36" t="n">
        <v>0.06</v>
      </c>
      <c r="AE84" s="36" t="n">
        <v>0.17</v>
      </c>
      <c r="AF84" s="28" t="n">
        <v>0.25</v>
      </c>
      <c r="AG84" s="36" t="n">
        <v>0.21</v>
      </c>
      <c r="AH84" s="37" t="n">
        <v>0.18</v>
      </c>
      <c r="AI84" s="37" t="n">
        <v>0.2</v>
      </c>
      <c r="AJ84" s="37" t="n">
        <v>0.2</v>
      </c>
      <c r="AK84" s="37" t="n">
        <v>0.2</v>
      </c>
      <c r="AL84" s="37" t="n">
        <v>0.17</v>
      </c>
      <c r="AM84" s="37" t="n">
        <v>0.2</v>
      </c>
      <c r="AN84" s="37" t="n">
        <v>0.18</v>
      </c>
      <c r="AO84" s="37" t="n">
        <v>0.18</v>
      </c>
      <c r="AP84" s="37" t="n">
        <v>0.21</v>
      </c>
      <c r="AQ84" s="37" t="n">
        <v>0.22</v>
      </c>
      <c r="AR84" s="37" t="n">
        <v>0.18</v>
      </c>
      <c r="AS84" s="37" t="n">
        <v>0.17</v>
      </c>
      <c r="AT84" s="37" t="n">
        <v>0.26</v>
      </c>
      <c r="AU84" s="37" t="n">
        <v>0.23</v>
      </c>
      <c r="AV84" s="37" t="n">
        <v>0.18</v>
      </c>
      <c r="AW84" s="37" t="n">
        <v>0.18</v>
      </c>
      <c r="AX84" s="37" t="n">
        <v>0.22</v>
      </c>
      <c r="AY84" s="37" t="n">
        <v>0.18</v>
      </c>
      <c r="AZ84" s="37" t="n">
        <v>0.17</v>
      </c>
      <c r="BA84" s="37" t="n">
        <v>0.2</v>
      </c>
      <c r="BB84" s="37" t="n">
        <v>0.06</v>
      </c>
      <c r="BC84" s="37" t="n">
        <v>0.03</v>
      </c>
      <c r="BD84" s="37" t="n">
        <v>0.04</v>
      </c>
      <c r="BE84" s="37" t="n">
        <v>0.06</v>
      </c>
      <c r="BF84" s="37" t="n">
        <v>0.06</v>
      </c>
      <c r="BG84" s="37" t="n">
        <v>0.04</v>
      </c>
      <c r="BH84" s="37" t="n">
        <v>0.07000000000000001</v>
      </c>
      <c r="BI84" s="37" t="n">
        <v>0.06</v>
      </c>
      <c r="BJ84" s="37" t="n">
        <v>0.01</v>
      </c>
      <c r="BK84" s="37" t="n">
        <v>0.06</v>
      </c>
      <c r="BL84" s="37" t="n">
        <v>0.06</v>
      </c>
      <c r="BM84" s="37" t="n">
        <v>0.06</v>
      </c>
      <c r="BN84" s="37" t="n">
        <v>0.04</v>
      </c>
      <c r="BO84" s="37" t="n">
        <v>0.07000000000000001</v>
      </c>
      <c r="BP84" s="37" t="n">
        <v>0.07000000000000001</v>
      </c>
      <c r="BQ84" s="37" t="n">
        <v>0.06</v>
      </c>
      <c r="BR84" s="37" t="n">
        <v>0.06</v>
      </c>
      <c r="BS84" s="37" t="n">
        <v>0.06</v>
      </c>
      <c r="BT84" s="37" t="n">
        <v>0.06</v>
      </c>
      <c r="BU84" s="37" t="n">
        <v>0.04</v>
      </c>
      <c r="BV84" s="37" t="n">
        <v>0.07000000000000001</v>
      </c>
      <c r="BW84" s="37" t="n">
        <v>0.06</v>
      </c>
      <c r="BX84" s="37" t="n">
        <v>0.06</v>
      </c>
      <c r="BY84" s="37" t="n">
        <v>0.06</v>
      </c>
      <c r="BZ84" s="37" t="n">
        <v>0.06</v>
      </c>
      <c r="CA84" s="37" t="n">
        <v>0.06</v>
      </c>
      <c r="CB84" s="37" t="n">
        <v>0.04</v>
      </c>
      <c r="CC84" s="37" t="n">
        <v>9.310000000000004</v>
      </c>
    </row>
    <row r="85" ht="15.75" customHeight="1" s="57">
      <c r="A85" s="7" t="inlineStr">
        <is>
          <t>NTB</t>
        </is>
      </c>
      <c r="B85" s="7" t="inlineStr">
        <is>
          <t>Bình Thuận</t>
        </is>
      </c>
      <c r="C85" s="7" t="n">
        <v>21594000</v>
      </c>
      <c r="D85" s="7" t="inlineStr">
        <is>
          <t>(BTH) Phước Hội</t>
        </is>
      </c>
      <c r="E85" s="7" t="inlineStr">
        <is>
          <t>SME</t>
        </is>
      </c>
      <c r="F85" s="36" t="n">
        <v>180</v>
      </c>
      <c r="G85" s="36" t="n">
        <v>98</v>
      </c>
      <c r="H85" s="36" t="n">
        <v>155</v>
      </c>
      <c r="I85" s="36" t="n">
        <v>110</v>
      </c>
      <c r="J85" s="36" t="n">
        <v>96</v>
      </c>
      <c r="K85" s="28" t="n">
        <v>91</v>
      </c>
      <c r="L85" s="36" t="n">
        <v>169</v>
      </c>
      <c r="M85" s="36" t="n">
        <v>155</v>
      </c>
      <c r="N85" s="36" t="n">
        <v>117</v>
      </c>
      <c r="O85" s="36" t="n">
        <v>95</v>
      </c>
      <c r="P85" s="36" t="n">
        <v>83</v>
      </c>
      <c r="Q85" s="36" t="n">
        <v>43</v>
      </c>
      <c r="R85" s="28" t="n">
        <v>171</v>
      </c>
      <c r="S85" s="36" t="n">
        <v>89</v>
      </c>
      <c r="T85" s="36" t="n">
        <v>92</v>
      </c>
      <c r="U85" s="36" t="n">
        <v>142.11</v>
      </c>
      <c r="V85" s="36" t="n">
        <v>147.83</v>
      </c>
      <c r="W85" s="36" t="n">
        <v>143.55</v>
      </c>
      <c r="X85" s="36" t="n">
        <v>117.69</v>
      </c>
      <c r="Y85" s="28" t="n">
        <v>159.28</v>
      </c>
      <c r="Z85" s="36" t="n">
        <v>146.79</v>
      </c>
      <c r="AA85" s="36" t="n">
        <v>142.9</v>
      </c>
      <c r="AB85" s="36" t="n">
        <v>142.11</v>
      </c>
      <c r="AC85" s="36" t="n">
        <v>147.83</v>
      </c>
      <c r="AD85" s="36" t="n">
        <v>108.06</v>
      </c>
      <c r="AE85" s="36" t="n">
        <v>117.69</v>
      </c>
      <c r="AF85" s="28" t="n">
        <v>159.28</v>
      </c>
      <c r="AG85" s="36" t="n">
        <v>146.79</v>
      </c>
      <c r="AH85" s="37" t="n">
        <v>142.9</v>
      </c>
      <c r="AI85" s="37" t="n">
        <v>142.11</v>
      </c>
      <c r="AJ85" s="37" t="n">
        <v>147.83</v>
      </c>
      <c r="AK85" s="37" t="n">
        <v>143.55</v>
      </c>
      <c r="AL85" s="37" t="n">
        <v>117.69</v>
      </c>
      <c r="AM85" s="37" t="n">
        <v>159.28</v>
      </c>
      <c r="AN85" s="37" t="n">
        <v>146.79</v>
      </c>
      <c r="AO85" s="37" t="n">
        <v>142.9</v>
      </c>
      <c r="AP85" s="37" t="n">
        <v>142.11</v>
      </c>
      <c r="AQ85" s="37" t="n">
        <v>147.83</v>
      </c>
      <c r="AR85" s="37" t="n">
        <v>143.55</v>
      </c>
      <c r="AS85" s="37" t="n">
        <v>117.69</v>
      </c>
      <c r="AT85" s="37" t="n">
        <v>159.28</v>
      </c>
      <c r="AU85" s="37" t="n">
        <v>146.79</v>
      </c>
      <c r="AV85" s="37" t="n">
        <v>142.9</v>
      </c>
      <c r="AW85" s="37" t="n">
        <v>142.11</v>
      </c>
      <c r="AX85" s="37" t="n">
        <v>147.83</v>
      </c>
      <c r="AY85" s="37" t="n">
        <v>143.55</v>
      </c>
      <c r="AZ85" s="37" t="n">
        <v>117.69</v>
      </c>
      <c r="BA85" s="37" t="n">
        <v>151.34</v>
      </c>
      <c r="BB85" s="37" t="n">
        <v>134.2</v>
      </c>
      <c r="BC85" s="37" t="n">
        <v>81.83</v>
      </c>
      <c r="BD85" s="37" t="n">
        <v>63.62</v>
      </c>
      <c r="BE85" s="37" t="n">
        <v>138.48</v>
      </c>
      <c r="BF85" s="37" t="n">
        <v>134.72</v>
      </c>
      <c r="BG85" s="37" t="n">
        <v>121.19</v>
      </c>
      <c r="BH85" s="37" t="n">
        <v>164.08</v>
      </c>
      <c r="BI85" s="37" t="n">
        <v>151.46</v>
      </c>
      <c r="BJ85" s="37" t="n">
        <v>110.65</v>
      </c>
      <c r="BK85" s="37" t="n">
        <v>146.27</v>
      </c>
      <c r="BL85" s="37" t="n">
        <v>152.37</v>
      </c>
      <c r="BM85" s="37" t="n">
        <v>147.7</v>
      </c>
      <c r="BN85" s="37" t="n">
        <v>121.19</v>
      </c>
      <c r="BO85" s="37" t="n">
        <v>164.08</v>
      </c>
      <c r="BP85" s="37" t="n">
        <v>151.46</v>
      </c>
      <c r="BQ85" s="37" t="n">
        <v>147.05</v>
      </c>
      <c r="BR85" s="37" t="n">
        <v>146.27</v>
      </c>
      <c r="BS85" s="37" t="n">
        <v>152.37</v>
      </c>
      <c r="BT85" s="37" t="n">
        <v>147.7</v>
      </c>
      <c r="BU85" s="37" t="n">
        <v>121.19</v>
      </c>
      <c r="BV85" s="37" t="n">
        <v>164.08</v>
      </c>
      <c r="BW85" s="37" t="n">
        <v>151.46</v>
      </c>
      <c r="BX85" s="37" t="n">
        <v>147.05</v>
      </c>
      <c r="BY85" s="37" t="n">
        <v>146.27</v>
      </c>
      <c r="BZ85" s="37" t="n">
        <v>152.37</v>
      </c>
      <c r="CA85" s="37" t="n">
        <v>147.7</v>
      </c>
      <c r="CB85" s="37" t="n">
        <v>121.19</v>
      </c>
      <c r="CC85" s="37" t="n">
        <v>10139.63</v>
      </c>
    </row>
    <row r="86" ht="15.75" customHeight="1" s="57">
      <c r="A86" s="7" t="inlineStr">
        <is>
          <t>NTB</t>
        </is>
      </c>
      <c r="B86" s="7" t="inlineStr">
        <is>
          <t>Bình Thuận</t>
        </is>
      </c>
      <c r="C86" s="7" t="n">
        <v>21594000</v>
      </c>
      <c r="D86" s="7" t="inlineStr">
        <is>
          <t>(BTH) Phước Hội</t>
        </is>
      </c>
      <c r="E86" s="7" t="inlineStr">
        <is>
          <t>SME-Bulky</t>
        </is>
      </c>
      <c r="F86" s="36" t="n">
        <v>9</v>
      </c>
      <c r="G86" s="36" t="n">
        <v>5</v>
      </c>
      <c r="H86" s="36" t="n">
        <v>7</v>
      </c>
      <c r="I86" s="36" t="n">
        <v>3</v>
      </c>
      <c r="J86" s="36" t="n">
        <v>15</v>
      </c>
      <c r="K86" s="28" t="n">
        <v>6</v>
      </c>
      <c r="L86" s="36" t="n">
        <v>11</v>
      </c>
      <c r="M86" s="36" t="n">
        <v>12</v>
      </c>
      <c r="N86" s="36" t="n">
        <v>4</v>
      </c>
      <c r="O86" s="36" t="n">
        <v>21</v>
      </c>
      <c r="P86" s="36" t="n">
        <v>6</v>
      </c>
      <c r="Q86" s="36" t="n">
        <v>7</v>
      </c>
      <c r="R86" s="28" t="n">
        <v>3</v>
      </c>
      <c r="S86" s="36" t="n">
        <v>5</v>
      </c>
      <c r="T86" s="36" t="n">
        <v>7</v>
      </c>
      <c r="U86" s="36" t="n">
        <v>9.94</v>
      </c>
      <c r="V86" s="36" t="n">
        <v>9.94</v>
      </c>
      <c r="W86" s="36" t="n">
        <v>9.67</v>
      </c>
      <c r="X86" s="36" t="n">
        <v>6.94</v>
      </c>
      <c r="Y86" s="28" t="n">
        <v>12.25</v>
      </c>
      <c r="Z86" s="36" t="n">
        <v>12.66</v>
      </c>
      <c r="AA86" s="36" t="n">
        <v>10.35</v>
      </c>
      <c r="AB86" s="36" t="n">
        <v>9.94</v>
      </c>
      <c r="AC86" s="36" t="n">
        <v>9.94</v>
      </c>
      <c r="AD86" s="36" t="n">
        <v>7.49</v>
      </c>
      <c r="AE86" s="36" t="n">
        <v>6.94</v>
      </c>
      <c r="AF86" s="28" t="n">
        <v>12.25</v>
      </c>
      <c r="AG86" s="36" t="n">
        <v>12.66</v>
      </c>
      <c r="AH86" s="37" t="n">
        <v>10.35</v>
      </c>
      <c r="AI86" s="37" t="n">
        <v>9.94</v>
      </c>
      <c r="AJ86" s="37" t="n">
        <v>9.94</v>
      </c>
      <c r="AK86" s="37" t="n">
        <v>9.67</v>
      </c>
      <c r="AL86" s="37" t="n">
        <v>6.94</v>
      </c>
      <c r="AM86" s="37" t="n">
        <v>12.25</v>
      </c>
      <c r="AN86" s="37" t="n">
        <v>12.66</v>
      </c>
      <c r="AO86" s="37" t="n">
        <v>10.35</v>
      </c>
      <c r="AP86" s="37" t="n">
        <v>9.94</v>
      </c>
      <c r="AQ86" s="37" t="n">
        <v>9.94</v>
      </c>
      <c r="AR86" s="37" t="n">
        <v>9.67</v>
      </c>
      <c r="AS86" s="37" t="n">
        <v>6.94</v>
      </c>
      <c r="AT86" s="37" t="n">
        <v>12.25</v>
      </c>
      <c r="AU86" s="37" t="n">
        <v>12.66</v>
      </c>
      <c r="AV86" s="37" t="n">
        <v>10.35</v>
      </c>
      <c r="AW86" s="37" t="n">
        <v>9.94</v>
      </c>
      <c r="AX86" s="37" t="n">
        <v>9.94</v>
      </c>
      <c r="AY86" s="37" t="n">
        <v>9.67</v>
      </c>
      <c r="AZ86" s="37" t="n">
        <v>6.94</v>
      </c>
      <c r="BA86" s="37" t="n">
        <v>12.66</v>
      </c>
      <c r="BB86" s="37" t="n">
        <v>7.08</v>
      </c>
      <c r="BC86" s="37" t="n">
        <v>3.4</v>
      </c>
      <c r="BD86" s="37" t="n">
        <v>1.91</v>
      </c>
      <c r="BE86" s="37" t="n">
        <v>5.58</v>
      </c>
      <c r="BF86" s="37" t="n">
        <v>5.45</v>
      </c>
      <c r="BG86" s="37" t="n">
        <v>3.81</v>
      </c>
      <c r="BH86" s="37" t="n">
        <v>6.81</v>
      </c>
      <c r="BI86" s="37" t="n">
        <v>7.08</v>
      </c>
      <c r="BJ86" s="37" t="n">
        <v>4.9</v>
      </c>
      <c r="BK86" s="37" t="n">
        <v>5.58</v>
      </c>
      <c r="BL86" s="37" t="n">
        <v>5.58</v>
      </c>
      <c r="BM86" s="37" t="n">
        <v>5.45</v>
      </c>
      <c r="BN86" s="37" t="n">
        <v>3.81</v>
      </c>
      <c r="BO86" s="37" t="n">
        <v>6.81</v>
      </c>
      <c r="BP86" s="37" t="n">
        <v>7.08</v>
      </c>
      <c r="BQ86" s="37" t="n">
        <v>5.85</v>
      </c>
      <c r="BR86" s="37" t="n">
        <v>5.58</v>
      </c>
      <c r="BS86" s="37" t="n">
        <v>5.58</v>
      </c>
      <c r="BT86" s="37" t="n">
        <v>5.45</v>
      </c>
      <c r="BU86" s="37" t="n">
        <v>3.81</v>
      </c>
      <c r="BV86" s="37" t="n">
        <v>6.81</v>
      </c>
      <c r="BW86" s="37" t="n">
        <v>7.08</v>
      </c>
      <c r="BX86" s="37" t="n">
        <v>5.85</v>
      </c>
      <c r="BY86" s="37" t="n">
        <v>5.58</v>
      </c>
      <c r="BZ86" s="37" t="n">
        <v>5.58</v>
      </c>
      <c r="CA86" s="37" t="n">
        <v>5.45</v>
      </c>
      <c r="CB86" s="37" t="n">
        <v>3.81</v>
      </c>
      <c r="CC86" s="37" t="n">
        <v>601.7300000000002</v>
      </c>
    </row>
    <row r="87" ht="15.75" customHeight="1" s="57">
      <c r="A87" s="7" t="inlineStr">
        <is>
          <t>NTB</t>
        </is>
      </c>
      <c r="B87" s="7" t="inlineStr">
        <is>
          <t>Bình Thuận</t>
        </is>
      </c>
      <c r="C87" s="7" t="n">
        <v>21594000</v>
      </c>
      <c r="D87" s="7" t="inlineStr">
        <is>
          <t>(BTH) Phước Hội</t>
        </is>
      </c>
      <c r="E87" s="7" t="inlineStr">
        <is>
          <t>Shopee</t>
        </is>
      </c>
      <c r="F87" s="36" t="n">
        <v>28</v>
      </c>
      <c r="G87" s="36" t="n">
        <v>43</v>
      </c>
      <c r="H87" s="36" t="n">
        <v>27</v>
      </c>
      <c r="I87" s="36" t="n">
        <v>30</v>
      </c>
      <c r="J87" s="36" t="n">
        <v>36</v>
      </c>
      <c r="K87" s="28" t="n">
        <v>47</v>
      </c>
      <c r="L87" s="36" t="n">
        <v>24</v>
      </c>
      <c r="M87" s="36" t="n">
        <v>32</v>
      </c>
      <c r="N87" s="36" t="n">
        <v>26</v>
      </c>
      <c r="O87" s="36" t="n">
        <v>33</v>
      </c>
      <c r="P87" s="36" t="n">
        <v>19</v>
      </c>
      <c r="Q87" s="36" t="n">
        <v>24</v>
      </c>
      <c r="R87" s="28" t="n">
        <v>42</v>
      </c>
      <c r="S87" s="36" t="n">
        <v>29</v>
      </c>
      <c r="T87" s="36" t="n">
        <v>23</v>
      </c>
      <c r="U87" s="36" t="n">
        <v>29.71</v>
      </c>
      <c r="V87" s="36" t="n">
        <v>30.01</v>
      </c>
      <c r="W87" s="36" t="n">
        <v>28.44</v>
      </c>
      <c r="X87" s="36" t="n">
        <v>24.61</v>
      </c>
      <c r="Y87" s="28" t="n">
        <v>39.76</v>
      </c>
      <c r="Z87" s="36" t="n">
        <v>31.51</v>
      </c>
      <c r="AA87" s="36" t="n">
        <v>38.34</v>
      </c>
      <c r="AB87" s="36" t="n">
        <v>30.24</v>
      </c>
      <c r="AC87" s="36" t="n">
        <v>24.46</v>
      </c>
      <c r="AD87" s="36" t="n">
        <v>49.67</v>
      </c>
      <c r="AE87" s="36" t="n">
        <v>26.26</v>
      </c>
      <c r="AF87" s="28" t="n">
        <v>43.89</v>
      </c>
      <c r="AG87" s="36" t="n">
        <v>33.01</v>
      </c>
      <c r="AH87" s="37" t="n">
        <v>34.81</v>
      </c>
      <c r="AI87" s="37" t="n">
        <v>29.71</v>
      </c>
      <c r="AJ87" s="37" t="n">
        <v>30.01</v>
      </c>
      <c r="AK87" s="37" t="n">
        <v>31.29</v>
      </c>
      <c r="AL87" s="37" t="n">
        <v>44.34</v>
      </c>
      <c r="AM87" s="37" t="n">
        <v>39.76</v>
      </c>
      <c r="AN87" s="37" t="n">
        <v>31.51</v>
      </c>
      <c r="AO87" s="37" t="n">
        <v>34.81</v>
      </c>
      <c r="AP87" s="37" t="n">
        <v>32.11</v>
      </c>
      <c r="AQ87" s="37" t="n">
        <v>23.63</v>
      </c>
      <c r="AR87" s="37" t="n">
        <v>28.44</v>
      </c>
      <c r="AS87" s="37" t="n">
        <v>24.61</v>
      </c>
      <c r="AT87" s="37" t="n">
        <v>39.76</v>
      </c>
      <c r="AU87" s="37" t="n">
        <v>34.36</v>
      </c>
      <c r="AV87" s="37" t="n">
        <v>35.64</v>
      </c>
      <c r="AW87" s="37" t="n">
        <v>29.71</v>
      </c>
      <c r="AX87" s="37" t="n">
        <v>30.01</v>
      </c>
      <c r="AY87" s="37" t="n">
        <v>28.44</v>
      </c>
      <c r="AZ87" s="37" t="n">
        <v>24.61</v>
      </c>
      <c r="BA87" s="37" t="n">
        <v>33.91</v>
      </c>
      <c r="BB87" s="37" t="n">
        <v>24.01</v>
      </c>
      <c r="BC87" s="37" t="n">
        <v>10.65</v>
      </c>
      <c r="BD87" s="37" t="n">
        <v>17.48</v>
      </c>
      <c r="BE87" s="37" t="n">
        <v>35.64</v>
      </c>
      <c r="BF87" s="37" t="n">
        <v>34.44</v>
      </c>
      <c r="BG87" s="37" t="n">
        <v>24.53</v>
      </c>
      <c r="BH87" s="37" t="n">
        <v>38.26</v>
      </c>
      <c r="BI87" s="37" t="n">
        <v>25.28</v>
      </c>
      <c r="BJ87" s="37" t="n">
        <v>70.68000000000001</v>
      </c>
      <c r="BK87" s="37" t="n">
        <v>30.61</v>
      </c>
      <c r="BL87" s="37" t="n">
        <v>30.39</v>
      </c>
      <c r="BM87" s="37" t="n">
        <v>27.69</v>
      </c>
      <c r="BN87" s="37" t="n">
        <v>24.01</v>
      </c>
      <c r="BO87" s="37" t="n">
        <v>38.26</v>
      </c>
      <c r="BP87" s="37" t="n">
        <v>33.39</v>
      </c>
      <c r="BQ87" s="37" t="n">
        <v>50.87</v>
      </c>
      <c r="BR87" s="37" t="n">
        <v>28.89</v>
      </c>
      <c r="BS87" s="37" t="n">
        <v>29.19</v>
      </c>
      <c r="BT87" s="37" t="n">
        <v>27.69</v>
      </c>
      <c r="BU87" s="37" t="n">
        <v>26.33</v>
      </c>
      <c r="BV87" s="37" t="n">
        <v>30.91</v>
      </c>
      <c r="BW87" s="37" t="n">
        <v>30.61</v>
      </c>
      <c r="BX87" s="37" t="n">
        <v>33.69</v>
      </c>
      <c r="BY87" s="37" t="n">
        <v>28.89</v>
      </c>
      <c r="BZ87" s="37" t="n">
        <v>31.44</v>
      </c>
      <c r="CA87" s="37" t="n">
        <v>28.36</v>
      </c>
      <c r="CB87" s="37" t="n">
        <v>24.01</v>
      </c>
      <c r="CC87" s="37" t="n">
        <v>2370.58</v>
      </c>
    </row>
    <row r="88" ht="15.75" customHeight="1" s="57">
      <c r="A88" s="7" t="inlineStr">
        <is>
          <t>NTB</t>
        </is>
      </c>
      <c r="B88" s="7" t="inlineStr">
        <is>
          <t>Bình Thuận</t>
        </is>
      </c>
      <c r="C88" s="7" t="n">
        <v>21594000</v>
      </c>
      <c r="D88" s="7" t="inlineStr">
        <is>
          <t>(BTH) Phước Hội</t>
        </is>
      </c>
      <c r="E88" s="7" t="inlineStr">
        <is>
          <t>Shopee-Bulky</t>
        </is>
      </c>
      <c r="F88" s="36" t="n">
        <v>14.93</v>
      </c>
      <c r="G88" s="36" t="n">
        <v>24.36</v>
      </c>
      <c r="H88" s="36" t="n">
        <v>17.29</v>
      </c>
      <c r="I88" s="36" t="n">
        <v>8.640000000000001</v>
      </c>
      <c r="J88" s="36" t="n">
        <v>11.79</v>
      </c>
      <c r="K88" s="28" t="n">
        <v>32.21</v>
      </c>
      <c r="L88" s="36" t="n">
        <v>10.21</v>
      </c>
      <c r="M88" s="36" t="n">
        <v>12.57</v>
      </c>
      <c r="N88" s="36" t="n">
        <v>11.79</v>
      </c>
      <c r="O88" s="36" t="n">
        <v>22.79</v>
      </c>
      <c r="P88" s="36" t="n">
        <v>37.71</v>
      </c>
      <c r="Q88" s="36" t="n">
        <v>10.21</v>
      </c>
      <c r="R88" s="28" t="n">
        <v>7.86</v>
      </c>
      <c r="S88" s="36" t="n">
        <v>15.71</v>
      </c>
      <c r="T88" s="36" t="n">
        <v>7.07</v>
      </c>
      <c r="U88" s="36" t="n">
        <v>15.56</v>
      </c>
      <c r="V88" s="36" t="n">
        <v>15.56</v>
      </c>
      <c r="W88" s="36" t="n">
        <v>18.9</v>
      </c>
      <c r="X88" s="36" t="n">
        <v>10</v>
      </c>
      <c r="Y88" s="28" t="n">
        <v>23.62</v>
      </c>
      <c r="Z88" s="36" t="n">
        <v>18.06</v>
      </c>
      <c r="AA88" s="36" t="n">
        <v>27.51</v>
      </c>
      <c r="AB88" s="36" t="n">
        <v>18.06</v>
      </c>
      <c r="AC88" s="36" t="n">
        <v>17.23</v>
      </c>
      <c r="AD88" s="36" t="n">
        <v>66.98</v>
      </c>
      <c r="AE88" s="36" t="n">
        <v>53.64</v>
      </c>
      <c r="AF88" s="28" t="n">
        <v>52.25</v>
      </c>
      <c r="AG88" s="36" t="n">
        <v>29.74</v>
      </c>
      <c r="AH88" s="37" t="n">
        <v>17.51</v>
      </c>
      <c r="AI88" s="37" t="n">
        <v>19.45</v>
      </c>
      <c r="AJ88" s="37" t="n">
        <v>16.67</v>
      </c>
      <c r="AK88" s="37" t="n">
        <v>38.35</v>
      </c>
      <c r="AL88" s="37" t="n">
        <v>17.23</v>
      </c>
      <c r="AM88" s="37" t="n">
        <v>31.96</v>
      </c>
      <c r="AN88" s="37" t="n">
        <v>17.79</v>
      </c>
      <c r="AO88" s="37" t="n">
        <v>17.79</v>
      </c>
      <c r="AP88" s="37" t="n">
        <v>31.96</v>
      </c>
      <c r="AQ88" s="37" t="n">
        <v>23.34</v>
      </c>
      <c r="AR88" s="37" t="n">
        <v>17.79</v>
      </c>
      <c r="AS88" s="37" t="n">
        <v>9.449999999999999</v>
      </c>
      <c r="AT88" s="37" t="n">
        <v>22.79</v>
      </c>
      <c r="AU88" s="37" t="n">
        <v>39.46</v>
      </c>
      <c r="AV88" s="37" t="n">
        <v>41.97</v>
      </c>
      <c r="AW88" s="37" t="n">
        <v>16.4</v>
      </c>
      <c r="AX88" s="37" t="n">
        <v>16.4</v>
      </c>
      <c r="AY88" s="37" t="n">
        <v>17.79</v>
      </c>
      <c r="AZ88" s="37" t="n">
        <v>9.449999999999999</v>
      </c>
      <c r="BA88" s="37" t="n">
        <v>20.29</v>
      </c>
      <c r="BB88" s="37" t="n">
        <v>13.34</v>
      </c>
      <c r="BC88" s="37" t="n">
        <v>1.67</v>
      </c>
      <c r="BD88" s="37" t="n">
        <v>5.28</v>
      </c>
      <c r="BE88" s="37" t="n">
        <v>20.57</v>
      </c>
      <c r="BF88" s="37" t="n">
        <v>17.23</v>
      </c>
      <c r="BG88" s="37" t="n">
        <v>10.84</v>
      </c>
      <c r="BH88" s="37" t="n">
        <v>24.73</v>
      </c>
      <c r="BI88" s="37" t="n">
        <v>19.18</v>
      </c>
      <c r="BJ88" s="37" t="n">
        <v>103.38</v>
      </c>
      <c r="BK88" s="37" t="n">
        <v>40.58</v>
      </c>
      <c r="BL88" s="37" t="n">
        <v>21.68</v>
      </c>
      <c r="BM88" s="37" t="n">
        <v>14.45</v>
      </c>
      <c r="BN88" s="37" t="n">
        <v>10.28</v>
      </c>
      <c r="BO88" s="37" t="n">
        <v>28.63</v>
      </c>
      <c r="BP88" s="37" t="n">
        <v>40.58</v>
      </c>
      <c r="BQ88" s="37" t="n">
        <v>30.85</v>
      </c>
      <c r="BR88" s="37" t="n">
        <v>17.23</v>
      </c>
      <c r="BS88" s="37" t="n">
        <v>17.23</v>
      </c>
      <c r="BT88" s="37" t="n">
        <v>13.34</v>
      </c>
      <c r="BU88" s="37" t="n">
        <v>21.12</v>
      </c>
      <c r="BV88" s="37" t="n">
        <v>26.12</v>
      </c>
      <c r="BW88" s="37" t="n">
        <v>19.18</v>
      </c>
      <c r="BX88" s="37" t="n">
        <v>18.9</v>
      </c>
      <c r="BY88" s="37" t="n">
        <v>17.23</v>
      </c>
      <c r="BZ88" s="37" t="n">
        <v>35.3</v>
      </c>
      <c r="CA88" s="37" t="n">
        <v>17.23</v>
      </c>
      <c r="CB88" s="37" t="n">
        <v>10.56</v>
      </c>
      <c r="CC88" s="37" t="n">
        <v>1672.8</v>
      </c>
    </row>
    <row r="89" ht="15.75" customHeight="1" s="57">
      <c r="A89" s="7" t="inlineStr">
        <is>
          <t>NTB</t>
        </is>
      </c>
      <c r="B89" s="7" t="inlineStr">
        <is>
          <t>Bình Thuận</t>
        </is>
      </c>
      <c r="C89" s="7" t="n">
        <v>21594000</v>
      </c>
      <c r="D89" s="7" t="inlineStr">
        <is>
          <t>(BTH) Phước Hội</t>
        </is>
      </c>
      <c r="E89" s="7" t="inlineStr">
        <is>
          <t>Shopee-Bulky (10-15kg)</t>
        </is>
      </c>
      <c r="F89" s="36" t="n">
        <v>4.07</v>
      </c>
      <c r="G89" s="36" t="n">
        <v>6.64</v>
      </c>
      <c r="H89" s="36" t="n">
        <v>4.71</v>
      </c>
      <c r="I89" s="36" t="n">
        <v>2.36</v>
      </c>
      <c r="J89" s="36" t="n">
        <v>3.21</v>
      </c>
      <c r="K89" s="28" t="n">
        <v>8.789999999999999</v>
      </c>
      <c r="L89" s="36" t="n">
        <v>2.79</v>
      </c>
      <c r="M89" s="36" t="n">
        <v>3.43</v>
      </c>
      <c r="N89" s="36" t="n">
        <v>3.21</v>
      </c>
      <c r="O89" s="36" t="n">
        <v>6.21</v>
      </c>
      <c r="P89" s="36" t="n">
        <v>10.29</v>
      </c>
      <c r="Q89" s="36" t="n">
        <v>2.79</v>
      </c>
      <c r="R89" s="28" t="n">
        <v>2.14</v>
      </c>
      <c r="S89" s="36" t="n">
        <v>4.29</v>
      </c>
      <c r="T89" s="36" t="n">
        <v>1.93</v>
      </c>
      <c r="U89" s="36" t="n">
        <v>3.89</v>
      </c>
      <c r="V89" s="36" t="n">
        <v>3.61</v>
      </c>
      <c r="W89" s="36" t="n">
        <v>4.45</v>
      </c>
      <c r="X89" s="36" t="n">
        <v>2.22</v>
      </c>
      <c r="Y89" s="28" t="n">
        <v>6.11</v>
      </c>
      <c r="Z89" s="36" t="n">
        <v>4.17</v>
      </c>
      <c r="AA89" s="36" t="n">
        <v>6.11</v>
      </c>
      <c r="AB89" s="36" t="n">
        <v>4.17</v>
      </c>
      <c r="AC89" s="36" t="n">
        <v>4.45</v>
      </c>
      <c r="AD89" s="36" t="n">
        <v>27.51</v>
      </c>
      <c r="AE89" s="36" t="n">
        <v>12.23</v>
      </c>
      <c r="AF89" s="28" t="n">
        <v>10.28</v>
      </c>
      <c r="AG89" s="36" t="n">
        <v>7.78</v>
      </c>
      <c r="AH89" s="37" t="n">
        <v>4.17</v>
      </c>
      <c r="AI89" s="37" t="n">
        <v>4.17</v>
      </c>
      <c r="AJ89" s="37" t="n">
        <v>3.61</v>
      </c>
      <c r="AK89" s="37" t="n">
        <v>10.28</v>
      </c>
      <c r="AL89" s="37" t="n">
        <v>3.89</v>
      </c>
      <c r="AM89" s="37" t="n">
        <v>7.23</v>
      </c>
      <c r="AN89" s="37" t="n">
        <v>4.17</v>
      </c>
      <c r="AO89" s="37" t="n">
        <v>4.17</v>
      </c>
      <c r="AP89" s="37" t="n">
        <v>8.06</v>
      </c>
      <c r="AQ89" s="37" t="n">
        <v>5</v>
      </c>
      <c r="AR89" s="37" t="n">
        <v>4.17</v>
      </c>
      <c r="AS89" s="37" t="n">
        <v>1.67</v>
      </c>
      <c r="AT89" s="37" t="n">
        <v>5.28</v>
      </c>
      <c r="AU89" s="37" t="n">
        <v>9.17</v>
      </c>
      <c r="AV89" s="37" t="n">
        <v>10.84</v>
      </c>
      <c r="AW89" s="37" t="n">
        <v>4.17</v>
      </c>
      <c r="AX89" s="37" t="n">
        <v>3.61</v>
      </c>
      <c r="AY89" s="37" t="n">
        <v>3.89</v>
      </c>
      <c r="AZ89" s="37" t="n">
        <v>1.67</v>
      </c>
      <c r="BA89" s="37" t="n">
        <v>4.72</v>
      </c>
      <c r="BB89" s="37" t="n">
        <v>3.06</v>
      </c>
      <c r="BC89" s="37" t="n">
        <v>0.5600000000000001</v>
      </c>
      <c r="BD89" s="37" t="n">
        <v>1.11</v>
      </c>
      <c r="BE89" s="37" t="n">
        <v>4.45</v>
      </c>
      <c r="BF89" s="37" t="n">
        <v>3.89</v>
      </c>
      <c r="BG89" s="37" t="n">
        <v>1.95</v>
      </c>
      <c r="BH89" s="37" t="n">
        <v>5.56</v>
      </c>
      <c r="BI89" s="37" t="n">
        <v>4.45</v>
      </c>
      <c r="BJ89" s="37" t="n">
        <v>32.24</v>
      </c>
      <c r="BK89" s="37" t="n">
        <v>11.67</v>
      </c>
      <c r="BL89" s="37" t="n">
        <v>5.56</v>
      </c>
      <c r="BM89" s="37" t="n">
        <v>3.61</v>
      </c>
      <c r="BN89" s="37" t="n">
        <v>1.95</v>
      </c>
      <c r="BO89" s="37" t="n">
        <v>8.34</v>
      </c>
      <c r="BP89" s="37" t="n">
        <v>11.67</v>
      </c>
      <c r="BQ89" s="37" t="n">
        <v>8.890000000000001</v>
      </c>
      <c r="BR89" s="37" t="n">
        <v>4.72</v>
      </c>
      <c r="BS89" s="37" t="n">
        <v>3.89</v>
      </c>
      <c r="BT89" s="37" t="n">
        <v>3.06</v>
      </c>
      <c r="BU89" s="37" t="n">
        <v>5</v>
      </c>
      <c r="BV89" s="37" t="n">
        <v>6.11</v>
      </c>
      <c r="BW89" s="37" t="n">
        <v>4.45</v>
      </c>
      <c r="BX89" s="37" t="n">
        <v>4.45</v>
      </c>
      <c r="BY89" s="37" t="n">
        <v>4.72</v>
      </c>
      <c r="BZ89" s="37" t="n">
        <v>10.56</v>
      </c>
      <c r="CA89" s="37" t="n">
        <v>4.45</v>
      </c>
      <c r="CB89" s="37" t="n">
        <v>1.95</v>
      </c>
      <c r="CC89" s="37" t="n">
        <v>430.0999999999999</v>
      </c>
    </row>
    <row r="90" ht="15.75" customHeight="1" s="57">
      <c r="A90" s="7" t="inlineStr">
        <is>
          <t>NTB</t>
        </is>
      </c>
      <c r="B90" s="7" t="inlineStr">
        <is>
          <t>Bình Thuận</t>
        </is>
      </c>
      <c r="C90" s="7" t="n">
        <v>21594000</v>
      </c>
      <c r="D90" s="7" t="inlineStr">
        <is>
          <t>(BTH) Phước Hội</t>
        </is>
      </c>
      <c r="E90" s="7" t="inlineStr">
        <is>
          <t>TTS</t>
        </is>
      </c>
      <c r="F90" s="36" t="n">
        <v>42</v>
      </c>
      <c r="G90" s="36" t="n">
        <v>42</v>
      </c>
      <c r="H90" s="36" t="n">
        <v>42</v>
      </c>
      <c r="I90" s="36" t="n">
        <v>42</v>
      </c>
      <c r="J90" s="36" t="n">
        <v>36</v>
      </c>
      <c r="K90" s="28" t="n">
        <v>66</v>
      </c>
      <c r="L90" s="36" t="n">
        <v>34</v>
      </c>
      <c r="M90" s="36" t="n">
        <v>44</v>
      </c>
      <c r="N90" s="36" t="n">
        <v>43</v>
      </c>
      <c r="O90" s="36" t="n">
        <v>24</v>
      </c>
      <c r="P90" s="36" t="n">
        <v>53</v>
      </c>
      <c r="Q90" s="36" t="n">
        <v>28</v>
      </c>
      <c r="R90" s="28" t="n">
        <v>40</v>
      </c>
      <c r="S90" s="36" t="n">
        <v>22</v>
      </c>
      <c r="T90" s="36" t="n">
        <v>65</v>
      </c>
      <c r="U90" s="36" t="n">
        <v>73.68000000000001</v>
      </c>
      <c r="V90" s="36" t="n">
        <v>72.72</v>
      </c>
      <c r="W90" s="36" t="n">
        <v>70.86</v>
      </c>
      <c r="X90" s="36" t="n">
        <v>56.81</v>
      </c>
      <c r="Y90" s="28" t="n">
        <v>83.26000000000001</v>
      </c>
      <c r="Z90" s="36" t="n">
        <v>70.86</v>
      </c>
      <c r="AA90" s="36" t="n">
        <v>78.42</v>
      </c>
      <c r="AB90" s="36" t="n">
        <v>87.63000000000001</v>
      </c>
      <c r="AC90" s="36" t="n">
        <v>92.47</v>
      </c>
      <c r="AD90" s="36" t="n">
        <v>77.73999999999999</v>
      </c>
      <c r="AE90" s="36" t="n">
        <v>65.96000000000001</v>
      </c>
      <c r="AF90" s="28" t="n">
        <v>85.77000000000001</v>
      </c>
      <c r="AG90" s="36" t="n">
        <v>72.03</v>
      </c>
      <c r="AH90" s="37" t="n">
        <v>71.5</v>
      </c>
      <c r="AI90" s="37" t="n">
        <v>82.04000000000001</v>
      </c>
      <c r="AJ90" s="37" t="n">
        <v>88.27000000000001</v>
      </c>
      <c r="AK90" s="37" t="n">
        <v>86.88000000000001</v>
      </c>
      <c r="AL90" s="37" t="n">
        <v>61.48999999999999</v>
      </c>
      <c r="AM90" s="37" t="n">
        <v>84.7</v>
      </c>
      <c r="AN90" s="37" t="n">
        <v>72.94000000000001</v>
      </c>
      <c r="AO90" s="37" t="n">
        <v>72.35000000000001</v>
      </c>
      <c r="AP90" s="37" t="n">
        <v>70.7</v>
      </c>
      <c r="AQ90" s="37" t="n">
        <v>71.23</v>
      </c>
      <c r="AR90" s="37" t="n">
        <v>70.01000000000001</v>
      </c>
      <c r="AS90" s="37" t="n">
        <v>56.91</v>
      </c>
      <c r="AT90" s="37" t="n">
        <v>91.41000000000001</v>
      </c>
      <c r="AU90" s="37" t="n">
        <v>82.63000000000001</v>
      </c>
      <c r="AV90" s="37" t="n">
        <v>73.63000000000001</v>
      </c>
      <c r="AW90" s="37" t="n">
        <v>69.85000000000001</v>
      </c>
      <c r="AX90" s="37" t="n">
        <v>69.37</v>
      </c>
      <c r="AY90" s="37" t="n">
        <v>68.89</v>
      </c>
      <c r="AZ90" s="37" t="n">
        <v>57.18</v>
      </c>
      <c r="BA90" s="37" t="n">
        <v>82.47</v>
      </c>
      <c r="BB90" s="37" t="n">
        <v>76.93000000000001</v>
      </c>
      <c r="BC90" s="37" t="n">
        <v>38.91</v>
      </c>
      <c r="BD90" s="37" t="n">
        <v>55.58</v>
      </c>
      <c r="BE90" s="37" t="n">
        <v>129.12</v>
      </c>
      <c r="BF90" s="37" t="n">
        <v>125.55</v>
      </c>
      <c r="BG90" s="37" t="n">
        <v>61.48999999999999</v>
      </c>
      <c r="BH90" s="37" t="n">
        <v>91.30000000000001</v>
      </c>
      <c r="BI90" s="37" t="n">
        <v>76.93000000000001</v>
      </c>
      <c r="BJ90" s="37" t="n">
        <v>58.79000000000001</v>
      </c>
      <c r="BK90" s="37" t="n">
        <v>78.31</v>
      </c>
      <c r="BL90" s="37" t="n">
        <v>78.42</v>
      </c>
      <c r="BM90" s="37" t="n">
        <v>76.13000000000001</v>
      </c>
      <c r="BN90" s="37" t="n">
        <v>61.48999999999999</v>
      </c>
      <c r="BO90" s="37" t="n">
        <v>91.30000000000001</v>
      </c>
      <c r="BP90" s="37" t="n">
        <v>76.93000000000001</v>
      </c>
      <c r="BQ90" s="37" t="n">
        <v>76.29000000000001</v>
      </c>
      <c r="BR90" s="37" t="n">
        <v>78.31</v>
      </c>
      <c r="BS90" s="37" t="n">
        <v>78.42</v>
      </c>
      <c r="BT90" s="37" t="n">
        <v>76.13000000000001</v>
      </c>
      <c r="BU90" s="37" t="n">
        <v>61.48999999999999</v>
      </c>
      <c r="BV90" s="37" t="n">
        <v>91.30000000000001</v>
      </c>
      <c r="BW90" s="37" t="n">
        <v>76.93000000000001</v>
      </c>
      <c r="BX90" s="37" t="n">
        <v>76.29000000000001</v>
      </c>
      <c r="BY90" s="37" t="n">
        <v>78.31</v>
      </c>
      <c r="BZ90" s="37" t="n">
        <v>78.42</v>
      </c>
      <c r="CA90" s="37" t="n">
        <v>76.13000000000001</v>
      </c>
      <c r="CB90" s="37" t="n">
        <v>61.48999999999999</v>
      </c>
      <c r="CC90" s="37" t="n">
        <v>5182.35</v>
      </c>
    </row>
    <row r="91" ht="15.75" customHeight="1" s="57">
      <c r="A91" s="7" t="inlineStr">
        <is>
          <t>NTB</t>
        </is>
      </c>
      <c r="B91" s="7" t="inlineStr">
        <is>
          <t>Bình Thuận</t>
        </is>
      </c>
      <c r="C91" s="7" t="n">
        <v>21594000</v>
      </c>
      <c r="D91" s="7" t="inlineStr">
        <is>
          <t>(BTH) Phước Hội</t>
        </is>
      </c>
      <c r="E91" s="7" t="inlineStr">
        <is>
          <t>TTS-Bulky</t>
        </is>
      </c>
      <c r="F91" s="36" t="n">
        <v>0</v>
      </c>
      <c r="G91" s="36" t="n">
        <v>0</v>
      </c>
      <c r="H91" s="36" t="n">
        <v>0</v>
      </c>
      <c r="I91" s="36" t="n">
        <v>0</v>
      </c>
      <c r="J91" s="36" t="n">
        <v>0</v>
      </c>
      <c r="K91" s="28" t="n">
        <v>0</v>
      </c>
      <c r="L91" s="36" t="n">
        <v>0</v>
      </c>
      <c r="M91" s="36" t="n">
        <v>0</v>
      </c>
      <c r="N91" s="36" t="n">
        <v>0</v>
      </c>
      <c r="O91" s="36" t="n">
        <v>0</v>
      </c>
      <c r="P91" s="36" t="n">
        <v>0</v>
      </c>
      <c r="Q91" s="36" t="n">
        <v>0</v>
      </c>
      <c r="R91" s="28" t="n">
        <v>0</v>
      </c>
      <c r="S91" s="36" t="n">
        <v>0</v>
      </c>
      <c r="T91" s="36" t="n">
        <v>0</v>
      </c>
      <c r="U91" s="36" t="n">
        <v>0.21</v>
      </c>
      <c r="V91" s="36" t="n">
        <v>0.21</v>
      </c>
      <c r="W91" s="36" t="n">
        <v>0.09</v>
      </c>
      <c r="X91" s="36" t="n">
        <v>0.09</v>
      </c>
      <c r="Y91" s="28" t="n">
        <v>0.1</v>
      </c>
      <c r="Z91" s="36" t="n">
        <v>0.1</v>
      </c>
      <c r="AA91" s="36" t="n">
        <v>0.11</v>
      </c>
      <c r="AB91" s="36" t="n">
        <v>0.1</v>
      </c>
      <c r="AC91" s="36" t="n">
        <v>0.12</v>
      </c>
      <c r="AD91" s="36" t="n">
        <v>0.03</v>
      </c>
      <c r="AE91" s="36" t="n">
        <v>0.09</v>
      </c>
      <c r="AF91" s="28" t="n">
        <v>0.13</v>
      </c>
      <c r="AG91" s="36" t="n">
        <v>0.11</v>
      </c>
      <c r="AH91" s="37" t="n">
        <v>0.09</v>
      </c>
      <c r="AI91" s="37" t="n">
        <v>0.1</v>
      </c>
      <c r="AJ91" s="37" t="n">
        <v>0.1</v>
      </c>
      <c r="AK91" s="37" t="n">
        <v>0.1</v>
      </c>
      <c r="AL91" s="37" t="n">
        <v>0.09</v>
      </c>
      <c r="AM91" s="37" t="n">
        <v>0.1</v>
      </c>
      <c r="AN91" s="37" t="n">
        <v>0.09</v>
      </c>
      <c r="AO91" s="37" t="n">
        <v>0.09</v>
      </c>
      <c r="AP91" s="37" t="n">
        <v>0.11</v>
      </c>
      <c r="AQ91" s="37" t="n">
        <v>0.11</v>
      </c>
      <c r="AR91" s="37" t="n">
        <v>0.09</v>
      </c>
      <c r="AS91" s="37" t="n">
        <v>0.09</v>
      </c>
      <c r="AT91" s="37" t="n">
        <v>0.13</v>
      </c>
      <c r="AU91" s="37" t="n">
        <v>0.12</v>
      </c>
      <c r="AV91" s="37" t="n">
        <v>0.09</v>
      </c>
      <c r="AW91" s="37" t="n">
        <v>0.09</v>
      </c>
      <c r="AX91" s="37" t="n">
        <v>0.11</v>
      </c>
      <c r="AY91" s="37" t="n">
        <v>0.09</v>
      </c>
      <c r="AZ91" s="37" t="n">
        <v>0.09</v>
      </c>
      <c r="BA91" s="37" t="n">
        <v>0.1</v>
      </c>
      <c r="BB91" s="37" t="n">
        <v>0.03</v>
      </c>
      <c r="BC91" s="37" t="n">
        <v>0.01</v>
      </c>
      <c r="BD91" s="37" t="n">
        <v>0.02</v>
      </c>
      <c r="BE91" s="37" t="n">
        <v>0.03</v>
      </c>
      <c r="BF91" s="37" t="n">
        <v>0.03</v>
      </c>
      <c r="BG91" s="37" t="n">
        <v>0.02</v>
      </c>
      <c r="BH91" s="37" t="n">
        <v>0.03</v>
      </c>
      <c r="BI91" s="37" t="n">
        <v>0.03</v>
      </c>
      <c r="BJ91" s="37" t="n">
        <v>0.01</v>
      </c>
      <c r="BK91" s="37" t="n">
        <v>0.03</v>
      </c>
      <c r="BL91" s="37" t="n">
        <v>0.03</v>
      </c>
      <c r="BM91" s="37" t="n">
        <v>0.03</v>
      </c>
      <c r="BN91" s="37" t="n">
        <v>0.02</v>
      </c>
      <c r="BO91" s="37" t="n">
        <v>0.04</v>
      </c>
      <c r="BP91" s="37" t="n">
        <v>0.03</v>
      </c>
      <c r="BQ91" s="37" t="n">
        <v>0.03</v>
      </c>
      <c r="BR91" s="37" t="n">
        <v>0.03</v>
      </c>
      <c r="BS91" s="37" t="n">
        <v>0.03</v>
      </c>
      <c r="BT91" s="37" t="n">
        <v>0.03</v>
      </c>
      <c r="BU91" s="37" t="n">
        <v>0.02</v>
      </c>
      <c r="BV91" s="37" t="n">
        <v>0.03</v>
      </c>
      <c r="BW91" s="37" t="n">
        <v>0.03</v>
      </c>
      <c r="BX91" s="37" t="n">
        <v>0.03</v>
      </c>
      <c r="BY91" s="37" t="n">
        <v>0.03</v>
      </c>
      <c r="BZ91" s="37" t="n">
        <v>0.03</v>
      </c>
      <c r="CA91" s="37" t="n">
        <v>0.03</v>
      </c>
      <c r="CB91" s="37" t="n">
        <v>0.02</v>
      </c>
      <c r="CC91" s="37" t="n">
        <v>4.199999999999997</v>
      </c>
    </row>
    <row r="92" ht="15.75" customHeight="1" s="57">
      <c r="A92" s="7" t="inlineStr">
        <is>
          <t>NTB</t>
        </is>
      </c>
      <c r="B92" s="7" t="inlineStr">
        <is>
          <t>Bình Thuận</t>
        </is>
      </c>
      <c r="C92" s="7" t="n">
        <v>22028000</v>
      </c>
      <c r="D92" s="7" t="inlineStr">
        <is>
          <t>Kho Giao Hàng Nặng - La Gi - Bình Thuận</t>
        </is>
      </c>
      <c r="E92" s="7" t="inlineStr">
        <is>
          <t>SME</t>
        </is>
      </c>
      <c r="F92" s="36" t="n">
        <v>1</v>
      </c>
      <c r="G92" s="36" t="n">
        <v>1</v>
      </c>
      <c r="H92" s="36" t="n">
        <v>2</v>
      </c>
      <c r="I92" s="36" t="n">
        <v>2</v>
      </c>
      <c r="J92" s="36" t="n">
        <v>3</v>
      </c>
      <c r="K92" s="28" t="n">
        <v>0</v>
      </c>
      <c r="L92" s="36" t="n">
        <v>0</v>
      </c>
      <c r="M92" s="36" t="n">
        <v>1</v>
      </c>
      <c r="N92" s="36" t="n">
        <v>2</v>
      </c>
      <c r="O92" s="36" t="n">
        <v>1</v>
      </c>
      <c r="P92" s="36" t="n">
        <v>0</v>
      </c>
      <c r="Q92" s="36" t="n">
        <v>0</v>
      </c>
      <c r="R92" s="28" t="n">
        <v>2</v>
      </c>
      <c r="S92" s="36" t="n">
        <v>0</v>
      </c>
      <c r="T92" s="36" t="n">
        <v>1</v>
      </c>
      <c r="U92" s="36" t="n">
        <v>1.35</v>
      </c>
      <c r="V92" s="36" t="n">
        <v>1.4</v>
      </c>
      <c r="W92" s="36" t="n">
        <v>1.36</v>
      </c>
      <c r="X92" s="36" t="n">
        <v>1.12</v>
      </c>
      <c r="Y92" s="28" t="n">
        <v>1.51</v>
      </c>
      <c r="Z92" s="36" t="n">
        <v>1.39</v>
      </c>
      <c r="AA92" s="36" t="n">
        <v>1.36</v>
      </c>
      <c r="AB92" s="36" t="n">
        <v>1.35</v>
      </c>
      <c r="AC92" s="36" t="n">
        <v>1.4</v>
      </c>
      <c r="AD92" s="36" t="n">
        <v>1.05</v>
      </c>
      <c r="AE92" s="36" t="n">
        <v>1.12</v>
      </c>
      <c r="AF92" s="28" t="n">
        <v>1.51</v>
      </c>
      <c r="AG92" s="36" t="n">
        <v>1.39</v>
      </c>
      <c r="AH92" s="37" t="n">
        <v>1.36</v>
      </c>
      <c r="AI92" s="37" t="n">
        <v>1.35</v>
      </c>
      <c r="AJ92" s="37" t="n">
        <v>1.4</v>
      </c>
      <c r="AK92" s="37" t="n">
        <v>1.36</v>
      </c>
      <c r="AL92" s="37" t="n">
        <v>1.12</v>
      </c>
      <c r="AM92" s="37" t="n">
        <v>1.51</v>
      </c>
      <c r="AN92" s="37" t="n">
        <v>1.39</v>
      </c>
      <c r="AO92" s="37" t="n">
        <v>1.36</v>
      </c>
      <c r="AP92" s="37" t="n">
        <v>1.35</v>
      </c>
      <c r="AQ92" s="37" t="n">
        <v>1.4</v>
      </c>
      <c r="AR92" s="37" t="n">
        <v>1.36</v>
      </c>
      <c r="AS92" s="37" t="n">
        <v>1.12</v>
      </c>
      <c r="AT92" s="37" t="n">
        <v>1.51</v>
      </c>
      <c r="AU92" s="37" t="n">
        <v>1.39</v>
      </c>
      <c r="AV92" s="37" t="n">
        <v>1.36</v>
      </c>
      <c r="AW92" s="37" t="n">
        <v>1.35</v>
      </c>
      <c r="AX92" s="37" t="n">
        <v>1.4</v>
      </c>
      <c r="AY92" s="37" t="n">
        <v>1.36</v>
      </c>
      <c r="AZ92" s="37" t="n">
        <v>1.12</v>
      </c>
      <c r="BA92" s="37" t="n">
        <v>1.43</v>
      </c>
      <c r="BB92" s="37" t="n">
        <v>1.28</v>
      </c>
      <c r="BC92" s="37" t="n">
        <v>0.78</v>
      </c>
      <c r="BD92" s="37" t="n">
        <v>0.6</v>
      </c>
      <c r="BE92" s="37" t="n">
        <v>1.32</v>
      </c>
      <c r="BF92" s="37" t="n">
        <v>1.29</v>
      </c>
      <c r="BG92" s="37" t="n">
        <v>1.15</v>
      </c>
      <c r="BH92" s="37" t="n">
        <v>1.56</v>
      </c>
      <c r="BI92" s="37" t="n">
        <v>1.44</v>
      </c>
      <c r="BJ92" s="37" t="n">
        <v>1.07</v>
      </c>
      <c r="BK92" s="37" t="n">
        <v>1.39</v>
      </c>
      <c r="BL92" s="37" t="n">
        <v>1.44</v>
      </c>
      <c r="BM92" s="37" t="n">
        <v>1.4</v>
      </c>
      <c r="BN92" s="37" t="n">
        <v>1.15</v>
      </c>
      <c r="BO92" s="37" t="n">
        <v>1.56</v>
      </c>
      <c r="BP92" s="37" t="n">
        <v>1.44</v>
      </c>
      <c r="BQ92" s="37" t="n">
        <v>1.4</v>
      </c>
      <c r="BR92" s="37" t="n">
        <v>1.39</v>
      </c>
      <c r="BS92" s="37" t="n">
        <v>1.44</v>
      </c>
      <c r="BT92" s="37" t="n">
        <v>1.4</v>
      </c>
      <c r="BU92" s="37" t="n">
        <v>1.15</v>
      </c>
      <c r="BV92" s="37" t="n">
        <v>1.56</v>
      </c>
      <c r="BW92" s="37" t="n">
        <v>1.44</v>
      </c>
      <c r="BX92" s="37" t="n">
        <v>1.4</v>
      </c>
      <c r="BY92" s="37" t="n">
        <v>1.39</v>
      </c>
      <c r="BZ92" s="37" t="n">
        <v>1.44</v>
      </c>
      <c r="CA92" s="37" t="n">
        <v>1.4</v>
      </c>
      <c r="CB92" s="37" t="n">
        <v>1.15</v>
      </c>
      <c r="CC92" s="37" t="n">
        <v>95.74000000000004</v>
      </c>
    </row>
    <row r="93" ht="15.75" customHeight="1" s="57">
      <c r="A93" s="7" t="inlineStr">
        <is>
          <t>NTB</t>
        </is>
      </c>
      <c r="B93" s="7" t="inlineStr">
        <is>
          <t>Bình Thuận</t>
        </is>
      </c>
      <c r="C93" s="7" t="n">
        <v>22028000</v>
      </c>
      <c r="D93" s="7" t="inlineStr">
        <is>
          <t>Kho Giao Hàng Nặng - La Gi - Bình Thuận</t>
        </is>
      </c>
      <c r="E93" s="7" t="inlineStr">
        <is>
          <t>SME-Bulky</t>
        </is>
      </c>
      <c r="F93" s="36" t="n">
        <v>0</v>
      </c>
      <c r="G93" s="36" t="n">
        <v>0</v>
      </c>
      <c r="H93" s="36" t="n">
        <v>0</v>
      </c>
      <c r="I93" s="36" t="n">
        <v>0</v>
      </c>
      <c r="J93" s="36" t="n">
        <v>0</v>
      </c>
      <c r="K93" s="28" t="n">
        <v>0</v>
      </c>
      <c r="L93" s="36" t="n">
        <v>0</v>
      </c>
      <c r="M93" s="36" t="n">
        <v>0</v>
      </c>
      <c r="N93" s="36" t="n">
        <v>0</v>
      </c>
      <c r="O93" s="36" t="n">
        <v>0</v>
      </c>
      <c r="P93" s="36" t="n">
        <v>0</v>
      </c>
      <c r="Q93" s="36" t="n">
        <v>0</v>
      </c>
      <c r="R93" s="28" t="n">
        <v>0</v>
      </c>
      <c r="S93" s="36" t="n">
        <v>0</v>
      </c>
      <c r="T93" s="36" t="n">
        <v>0</v>
      </c>
      <c r="U93" s="36" t="n">
        <v>0.19</v>
      </c>
      <c r="V93" s="36" t="n">
        <v>0.19</v>
      </c>
      <c r="W93" s="36" t="n">
        <v>0.18</v>
      </c>
      <c r="X93" s="36" t="n">
        <v>0.13</v>
      </c>
      <c r="Y93" s="28" t="n">
        <v>0.23</v>
      </c>
      <c r="Z93" s="36" t="n">
        <v>0.24</v>
      </c>
      <c r="AA93" s="36" t="n">
        <v>0.19</v>
      </c>
      <c r="AB93" s="36" t="n">
        <v>0.19</v>
      </c>
      <c r="AC93" s="36" t="n">
        <v>0.19</v>
      </c>
      <c r="AD93" s="36" t="n">
        <v>0.14</v>
      </c>
      <c r="AE93" s="36" t="n">
        <v>0.13</v>
      </c>
      <c r="AF93" s="28" t="n">
        <v>0.23</v>
      </c>
      <c r="AG93" s="36" t="n">
        <v>0.24</v>
      </c>
      <c r="AH93" s="37" t="n">
        <v>0.19</v>
      </c>
      <c r="AI93" s="37" t="n">
        <v>0.19</v>
      </c>
      <c r="AJ93" s="37" t="n">
        <v>0.19</v>
      </c>
      <c r="AK93" s="37" t="n">
        <v>0.18</v>
      </c>
      <c r="AL93" s="37" t="n">
        <v>0.13</v>
      </c>
      <c r="AM93" s="37" t="n">
        <v>0.23</v>
      </c>
      <c r="AN93" s="37" t="n">
        <v>0.24</v>
      </c>
      <c r="AO93" s="37" t="n">
        <v>0.19</v>
      </c>
      <c r="AP93" s="37" t="n">
        <v>0.19</v>
      </c>
      <c r="AQ93" s="37" t="n">
        <v>0.19</v>
      </c>
      <c r="AR93" s="37" t="n">
        <v>0.18</v>
      </c>
      <c r="AS93" s="37" t="n">
        <v>0.13</v>
      </c>
      <c r="AT93" s="37" t="n">
        <v>0.23</v>
      </c>
      <c r="AU93" s="37" t="n">
        <v>0.24</v>
      </c>
      <c r="AV93" s="37" t="n">
        <v>0.19</v>
      </c>
      <c r="AW93" s="37" t="n">
        <v>0.19</v>
      </c>
      <c r="AX93" s="37" t="n">
        <v>0.19</v>
      </c>
      <c r="AY93" s="37" t="n">
        <v>0.18</v>
      </c>
      <c r="AZ93" s="37" t="n">
        <v>0.13</v>
      </c>
      <c r="BA93" s="37" t="n">
        <v>0.24</v>
      </c>
      <c r="BB93" s="37" t="n">
        <v>0.13</v>
      </c>
      <c r="BC93" s="37" t="n">
        <v>0.06</v>
      </c>
      <c r="BD93" s="37" t="n">
        <v>0.04</v>
      </c>
      <c r="BE93" s="37" t="n">
        <v>0.1</v>
      </c>
      <c r="BF93" s="37" t="n">
        <v>0.1</v>
      </c>
      <c r="BG93" s="37" t="n">
        <v>0.07000000000000001</v>
      </c>
      <c r="BH93" s="37" t="n">
        <v>0.13</v>
      </c>
      <c r="BI93" s="37" t="n">
        <v>0.13</v>
      </c>
      <c r="BJ93" s="37" t="n">
        <v>0.09</v>
      </c>
      <c r="BK93" s="37" t="n">
        <v>0.1</v>
      </c>
      <c r="BL93" s="37" t="n">
        <v>0.1</v>
      </c>
      <c r="BM93" s="37" t="n">
        <v>0.1</v>
      </c>
      <c r="BN93" s="37" t="n">
        <v>0.07000000000000001</v>
      </c>
      <c r="BO93" s="37" t="n">
        <v>0.13</v>
      </c>
      <c r="BP93" s="37" t="n">
        <v>0.13</v>
      </c>
      <c r="BQ93" s="37" t="n">
        <v>0.11</v>
      </c>
      <c r="BR93" s="37" t="n">
        <v>0.1</v>
      </c>
      <c r="BS93" s="37" t="n">
        <v>0.1</v>
      </c>
      <c r="BT93" s="37" t="n">
        <v>0.1</v>
      </c>
      <c r="BU93" s="37" t="n">
        <v>0.07000000000000001</v>
      </c>
      <c r="BV93" s="37" t="n">
        <v>0.13</v>
      </c>
      <c r="BW93" s="37" t="n">
        <v>0.13</v>
      </c>
      <c r="BX93" s="37" t="n">
        <v>0.11</v>
      </c>
      <c r="BY93" s="37" t="n">
        <v>0.1</v>
      </c>
      <c r="BZ93" s="37" t="n">
        <v>0.1</v>
      </c>
      <c r="CA93" s="37" t="n">
        <v>0.1</v>
      </c>
      <c r="CB93" s="37" t="n">
        <v>0.07000000000000001</v>
      </c>
      <c r="CC93" s="37" t="n">
        <v>8.99</v>
      </c>
    </row>
    <row r="94" ht="15.75" customHeight="1" s="57">
      <c r="A94" s="7" t="inlineStr">
        <is>
          <t>NTB</t>
        </is>
      </c>
      <c r="B94" s="7" t="inlineStr">
        <is>
          <t>Bình Thuận</t>
        </is>
      </c>
      <c r="C94" s="7" t="n">
        <v>22057000</v>
      </c>
      <c r="D94" s="7" t="inlineStr">
        <is>
          <t>Kho Giao Hàng Nặng - Tuy Phong - Bình Thuận</t>
        </is>
      </c>
      <c r="E94" s="7" t="inlineStr">
        <is>
          <t>SME</t>
        </is>
      </c>
      <c r="F94" s="36" t="n">
        <v>0</v>
      </c>
      <c r="G94" s="36" t="n">
        <v>0</v>
      </c>
      <c r="H94" s="36" t="n">
        <v>2</v>
      </c>
      <c r="I94" s="36" t="n">
        <v>1</v>
      </c>
      <c r="J94" s="36" t="n">
        <v>2</v>
      </c>
      <c r="K94" s="28" t="n">
        <v>2</v>
      </c>
      <c r="L94" s="36" t="n">
        <v>0</v>
      </c>
      <c r="M94" s="36" t="n">
        <v>3</v>
      </c>
      <c r="N94" s="36" t="n">
        <v>6</v>
      </c>
      <c r="O94" s="36" t="n">
        <v>2</v>
      </c>
      <c r="P94" s="36" t="n">
        <v>1</v>
      </c>
      <c r="Q94" s="36" t="n">
        <v>1</v>
      </c>
      <c r="R94" s="28" t="n">
        <v>2</v>
      </c>
      <c r="S94" s="36" t="n">
        <v>2</v>
      </c>
      <c r="T94" s="36" t="n">
        <v>3</v>
      </c>
      <c r="U94" s="36" t="n">
        <v>3.42</v>
      </c>
      <c r="V94" s="36" t="n">
        <v>3.56</v>
      </c>
      <c r="W94" s="36" t="n">
        <v>3.46</v>
      </c>
      <c r="X94" s="36" t="n">
        <v>2.84</v>
      </c>
      <c r="Y94" s="28" t="n">
        <v>3.83</v>
      </c>
      <c r="Z94" s="36" t="n">
        <v>3.54</v>
      </c>
      <c r="AA94" s="36" t="n">
        <v>3.44</v>
      </c>
      <c r="AB94" s="36" t="n">
        <v>3.42</v>
      </c>
      <c r="AC94" s="36" t="n">
        <v>3.56</v>
      </c>
      <c r="AD94" s="36" t="n">
        <v>2.55</v>
      </c>
      <c r="AE94" s="36" t="n">
        <v>2.84</v>
      </c>
      <c r="AF94" s="28" t="n">
        <v>3.83</v>
      </c>
      <c r="AG94" s="36" t="n">
        <v>3.54</v>
      </c>
      <c r="AH94" s="37" t="n">
        <v>3.44</v>
      </c>
      <c r="AI94" s="37" t="n">
        <v>3.42</v>
      </c>
      <c r="AJ94" s="37" t="n">
        <v>3.56</v>
      </c>
      <c r="AK94" s="37" t="n">
        <v>3.46</v>
      </c>
      <c r="AL94" s="37" t="n">
        <v>2.84</v>
      </c>
      <c r="AM94" s="37" t="n">
        <v>3.83</v>
      </c>
      <c r="AN94" s="37" t="n">
        <v>3.54</v>
      </c>
      <c r="AO94" s="37" t="n">
        <v>3.44</v>
      </c>
      <c r="AP94" s="37" t="n">
        <v>3.42</v>
      </c>
      <c r="AQ94" s="37" t="n">
        <v>3.56</v>
      </c>
      <c r="AR94" s="37" t="n">
        <v>3.46</v>
      </c>
      <c r="AS94" s="37" t="n">
        <v>2.84</v>
      </c>
      <c r="AT94" s="37" t="n">
        <v>3.83</v>
      </c>
      <c r="AU94" s="37" t="n">
        <v>3.54</v>
      </c>
      <c r="AV94" s="37" t="n">
        <v>3.44</v>
      </c>
      <c r="AW94" s="37" t="n">
        <v>3.42</v>
      </c>
      <c r="AX94" s="37" t="n">
        <v>3.56</v>
      </c>
      <c r="AY94" s="37" t="n">
        <v>3.46</v>
      </c>
      <c r="AZ94" s="37" t="n">
        <v>2.84</v>
      </c>
      <c r="BA94" s="37" t="n">
        <v>3.65</v>
      </c>
      <c r="BB94" s="37" t="n">
        <v>3.23</v>
      </c>
      <c r="BC94" s="37" t="n">
        <v>1.98</v>
      </c>
      <c r="BD94" s="37" t="n">
        <v>1.55</v>
      </c>
      <c r="BE94" s="37" t="n">
        <v>3.34</v>
      </c>
      <c r="BF94" s="37" t="n">
        <v>3.24</v>
      </c>
      <c r="BG94" s="37" t="n">
        <v>2.93</v>
      </c>
      <c r="BH94" s="37" t="n">
        <v>3.95</v>
      </c>
      <c r="BI94" s="37" t="n">
        <v>3.65</v>
      </c>
      <c r="BJ94" s="37" t="n">
        <v>2.61</v>
      </c>
      <c r="BK94" s="37" t="n">
        <v>3.53</v>
      </c>
      <c r="BL94" s="37" t="n">
        <v>3.68</v>
      </c>
      <c r="BM94" s="37" t="n">
        <v>3.56</v>
      </c>
      <c r="BN94" s="37" t="n">
        <v>2.93</v>
      </c>
      <c r="BO94" s="37" t="n">
        <v>3.95</v>
      </c>
      <c r="BP94" s="37" t="n">
        <v>3.65</v>
      </c>
      <c r="BQ94" s="37" t="n">
        <v>3.54</v>
      </c>
      <c r="BR94" s="37" t="n">
        <v>3.53</v>
      </c>
      <c r="BS94" s="37" t="n">
        <v>3.68</v>
      </c>
      <c r="BT94" s="37" t="n">
        <v>3.56</v>
      </c>
      <c r="BU94" s="37" t="n">
        <v>2.93</v>
      </c>
      <c r="BV94" s="37" t="n">
        <v>3.95</v>
      </c>
      <c r="BW94" s="37" t="n">
        <v>3.65</v>
      </c>
      <c r="BX94" s="37" t="n">
        <v>3.54</v>
      </c>
      <c r="BY94" s="37" t="n">
        <v>3.53</v>
      </c>
      <c r="BZ94" s="37" t="n">
        <v>3.68</v>
      </c>
      <c r="CA94" s="37" t="n">
        <v>3.56</v>
      </c>
      <c r="CB94" s="37" t="n">
        <v>2.93</v>
      </c>
      <c r="CC94" s="37" t="n">
        <v>229.2400000000001</v>
      </c>
    </row>
    <row r="95" ht="15.75" customHeight="1" s="57">
      <c r="A95" s="7" t="inlineStr">
        <is>
          <t>NTB</t>
        </is>
      </c>
      <c r="B95" s="7" t="inlineStr">
        <is>
          <t>Bình Thuận</t>
        </is>
      </c>
      <c r="C95" s="7" t="n">
        <v>22452000</v>
      </c>
      <c r="D95" s="7" t="inlineStr">
        <is>
          <t>(BTH) Phú Quý</t>
        </is>
      </c>
      <c r="E95" s="7" t="inlineStr">
        <is>
          <t>SME</t>
        </is>
      </c>
      <c r="F95" s="36" t="n">
        <v>3</v>
      </c>
      <c r="G95" s="36" t="n">
        <v>12</v>
      </c>
      <c r="H95" s="36" t="n">
        <v>4</v>
      </c>
      <c r="I95" s="36" t="n">
        <v>6</v>
      </c>
      <c r="J95" s="36" t="n">
        <v>10</v>
      </c>
      <c r="K95" s="28" t="n">
        <v>7</v>
      </c>
      <c r="L95" s="36" t="n">
        <v>10</v>
      </c>
      <c r="M95" s="36" t="n">
        <v>10</v>
      </c>
      <c r="N95" s="36" t="n">
        <v>13</v>
      </c>
      <c r="O95" s="36" t="n">
        <v>7</v>
      </c>
      <c r="P95" s="36" t="n">
        <v>4</v>
      </c>
      <c r="Q95" s="36" t="n">
        <v>10</v>
      </c>
      <c r="R95" s="28" t="n">
        <v>8</v>
      </c>
      <c r="S95" s="36" t="n">
        <v>6</v>
      </c>
      <c r="T95" s="36" t="n">
        <v>5</v>
      </c>
      <c r="U95" s="36" t="n">
        <v>11.04</v>
      </c>
      <c r="V95" s="36" t="n">
        <v>11.48</v>
      </c>
      <c r="W95" s="36" t="n">
        <v>11.15</v>
      </c>
      <c r="X95" s="36" t="n">
        <v>9.140000000000001</v>
      </c>
      <c r="Y95" s="28" t="n">
        <v>12.37</v>
      </c>
      <c r="Z95" s="36" t="n">
        <v>11.4</v>
      </c>
      <c r="AA95" s="36" t="n">
        <v>11.1</v>
      </c>
      <c r="AB95" s="36" t="n">
        <v>11.04</v>
      </c>
      <c r="AC95" s="36" t="n">
        <v>11.48</v>
      </c>
      <c r="AD95" s="36" t="n">
        <v>8.4</v>
      </c>
      <c r="AE95" s="36" t="n">
        <v>9.140000000000001</v>
      </c>
      <c r="AF95" s="28" t="n">
        <v>12.37</v>
      </c>
      <c r="AG95" s="36" t="n">
        <v>11.4</v>
      </c>
      <c r="AH95" s="37" t="n">
        <v>11.1</v>
      </c>
      <c r="AI95" s="37" t="n">
        <v>11.04</v>
      </c>
      <c r="AJ95" s="37" t="n">
        <v>11.48</v>
      </c>
      <c r="AK95" s="37" t="n">
        <v>11.15</v>
      </c>
      <c r="AL95" s="37" t="n">
        <v>9.140000000000001</v>
      </c>
      <c r="AM95" s="37" t="n">
        <v>12.37</v>
      </c>
      <c r="AN95" s="37" t="n">
        <v>11.4</v>
      </c>
      <c r="AO95" s="37" t="n">
        <v>11.1</v>
      </c>
      <c r="AP95" s="37" t="n">
        <v>11.04</v>
      </c>
      <c r="AQ95" s="37" t="n">
        <v>11.48</v>
      </c>
      <c r="AR95" s="37" t="n">
        <v>11.15</v>
      </c>
      <c r="AS95" s="37" t="n">
        <v>9.140000000000001</v>
      </c>
      <c r="AT95" s="37" t="n">
        <v>12.37</v>
      </c>
      <c r="AU95" s="37" t="n">
        <v>11.4</v>
      </c>
      <c r="AV95" s="37" t="n">
        <v>11.1</v>
      </c>
      <c r="AW95" s="37" t="n">
        <v>11.04</v>
      </c>
      <c r="AX95" s="37" t="n">
        <v>11.48</v>
      </c>
      <c r="AY95" s="37" t="n">
        <v>11.15</v>
      </c>
      <c r="AZ95" s="37" t="n">
        <v>9.140000000000001</v>
      </c>
      <c r="BA95" s="37" t="n">
        <v>11.75</v>
      </c>
      <c r="BB95" s="37" t="n">
        <v>10.42</v>
      </c>
      <c r="BC95" s="37" t="n">
        <v>6.36</v>
      </c>
      <c r="BD95" s="37" t="n">
        <v>4.930000000000001</v>
      </c>
      <c r="BE95" s="37" t="n">
        <v>10.75</v>
      </c>
      <c r="BF95" s="37" t="n">
        <v>10.46</v>
      </c>
      <c r="BG95" s="37" t="n">
        <v>9.41</v>
      </c>
      <c r="BH95" s="37" t="n">
        <v>12.74</v>
      </c>
      <c r="BI95" s="37" t="n">
        <v>11.76</v>
      </c>
      <c r="BJ95" s="37" t="n">
        <v>8.6</v>
      </c>
      <c r="BK95" s="37" t="n">
        <v>11.36</v>
      </c>
      <c r="BL95" s="37" t="n">
        <v>11.83</v>
      </c>
      <c r="BM95" s="37" t="n">
        <v>11.47</v>
      </c>
      <c r="BN95" s="37" t="n">
        <v>9.41</v>
      </c>
      <c r="BO95" s="37" t="n">
        <v>12.74</v>
      </c>
      <c r="BP95" s="37" t="n">
        <v>11.76</v>
      </c>
      <c r="BQ95" s="37" t="n">
        <v>11.42</v>
      </c>
      <c r="BR95" s="37" t="n">
        <v>11.36</v>
      </c>
      <c r="BS95" s="37" t="n">
        <v>11.83</v>
      </c>
      <c r="BT95" s="37" t="n">
        <v>11.47</v>
      </c>
      <c r="BU95" s="37" t="n">
        <v>9.41</v>
      </c>
      <c r="BV95" s="37" t="n">
        <v>12.74</v>
      </c>
      <c r="BW95" s="37" t="n">
        <v>11.76</v>
      </c>
      <c r="BX95" s="37" t="n">
        <v>11.42</v>
      </c>
      <c r="BY95" s="37" t="n">
        <v>11.36</v>
      </c>
      <c r="BZ95" s="37" t="n">
        <v>11.83</v>
      </c>
      <c r="CA95" s="37" t="n">
        <v>11.47</v>
      </c>
      <c r="CB95" s="37" t="n">
        <v>9.41</v>
      </c>
      <c r="CC95" s="37" t="n">
        <v>767.0100000000001</v>
      </c>
    </row>
    <row r="96" ht="15.75" customHeight="1" s="57">
      <c r="A96" s="7" t="inlineStr">
        <is>
          <t>NTB</t>
        </is>
      </c>
      <c r="B96" s="7" t="inlineStr">
        <is>
          <t>Bình Thuận</t>
        </is>
      </c>
      <c r="C96" s="7" t="n">
        <v>22452000</v>
      </c>
      <c r="D96" s="7" t="inlineStr">
        <is>
          <t>(BTH) Phú Quý</t>
        </is>
      </c>
      <c r="E96" s="7" t="inlineStr">
        <is>
          <t>SME-Bulky</t>
        </is>
      </c>
      <c r="F96" s="36" t="n">
        <v>1</v>
      </c>
      <c r="G96" s="36" t="n">
        <v>0</v>
      </c>
      <c r="H96" s="36" t="n">
        <v>0</v>
      </c>
      <c r="I96" s="36" t="n">
        <v>0</v>
      </c>
      <c r="J96" s="36" t="n">
        <v>1</v>
      </c>
      <c r="K96" s="28" t="n">
        <v>0</v>
      </c>
      <c r="L96" s="36" t="n">
        <v>0</v>
      </c>
      <c r="M96" s="36" t="n">
        <v>2</v>
      </c>
      <c r="N96" s="36" t="n">
        <v>0</v>
      </c>
      <c r="O96" s="36" t="n">
        <v>1</v>
      </c>
      <c r="P96" s="36" t="n">
        <v>2</v>
      </c>
      <c r="Q96" s="36" t="n">
        <v>2</v>
      </c>
      <c r="R96" s="28" t="n">
        <v>1</v>
      </c>
      <c r="S96" s="36" t="n">
        <v>1</v>
      </c>
      <c r="T96" s="36" t="n">
        <v>1</v>
      </c>
      <c r="U96" s="36" t="n">
        <v>0.84</v>
      </c>
      <c r="V96" s="36" t="n">
        <v>0.84</v>
      </c>
      <c r="W96" s="36" t="n">
        <v>0.8100000000000001</v>
      </c>
      <c r="X96" s="36" t="n">
        <v>0.58</v>
      </c>
      <c r="Y96" s="28" t="n">
        <v>1.03</v>
      </c>
      <c r="Z96" s="36" t="n">
        <v>1.06</v>
      </c>
      <c r="AA96" s="36" t="n">
        <v>0.87</v>
      </c>
      <c r="AB96" s="36" t="n">
        <v>0.84</v>
      </c>
      <c r="AC96" s="36" t="n">
        <v>0.84</v>
      </c>
      <c r="AD96" s="36" t="n">
        <v>0.63</v>
      </c>
      <c r="AE96" s="36" t="n">
        <v>0.58</v>
      </c>
      <c r="AF96" s="28" t="n">
        <v>1.03</v>
      </c>
      <c r="AG96" s="36" t="n">
        <v>1.06</v>
      </c>
      <c r="AH96" s="37" t="n">
        <v>0.87</v>
      </c>
      <c r="AI96" s="37" t="n">
        <v>0.84</v>
      </c>
      <c r="AJ96" s="37" t="n">
        <v>0.84</v>
      </c>
      <c r="AK96" s="37" t="n">
        <v>0.8100000000000001</v>
      </c>
      <c r="AL96" s="37" t="n">
        <v>0.58</v>
      </c>
      <c r="AM96" s="37" t="n">
        <v>1.03</v>
      </c>
      <c r="AN96" s="37" t="n">
        <v>1.06</v>
      </c>
      <c r="AO96" s="37" t="n">
        <v>0.87</v>
      </c>
      <c r="AP96" s="37" t="n">
        <v>0.84</v>
      </c>
      <c r="AQ96" s="37" t="n">
        <v>0.84</v>
      </c>
      <c r="AR96" s="37" t="n">
        <v>0.8100000000000001</v>
      </c>
      <c r="AS96" s="37" t="n">
        <v>0.58</v>
      </c>
      <c r="AT96" s="37" t="n">
        <v>1.03</v>
      </c>
      <c r="AU96" s="37" t="n">
        <v>1.06</v>
      </c>
      <c r="AV96" s="37" t="n">
        <v>0.87</v>
      </c>
      <c r="AW96" s="37" t="n">
        <v>0.84</v>
      </c>
      <c r="AX96" s="37" t="n">
        <v>0.84</v>
      </c>
      <c r="AY96" s="37" t="n">
        <v>0.8100000000000001</v>
      </c>
      <c r="AZ96" s="37" t="n">
        <v>0.58</v>
      </c>
      <c r="BA96" s="37" t="n">
        <v>1.06</v>
      </c>
      <c r="BB96" s="37" t="n">
        <v>0.6</v>
      </c>
      <c r="BC96" s="37" t="n">
        <v>0.29</v>
      </c>
      <c r="BD96" s="37" t="n">
        <v>0.16</v>
      </c>
      <c r="BE96" s="37" t="n">
        <v>0.47</v>
      </c>
      <c r="BF96" s="37" t="n">
        <v>0.46</v>
      </c>
      <c r="BG96" s="37" t="n">
        <v>0.32</v>
      </c>
      <c r="BH96" s="37" t="n">
        <v>0.57</v>
      </c>
      <c r="BI96" s="37" t="n">
        <v>0.6</v>
      </c>
      <c r="BJ96" s="37" t="n">
        <v>0.41</v>
      </c>
      <c r="BK96" s="37" t="n">
        <v>0.47</v>
      </c>
      <c r="BL96" s="37" t="n">
        <v>0.47</v>
      </c>
      <c r="BM96" s="37" t="n">
        <v>0.46</v>
      </c>
      <c r="BN96" s="37" t="n">
        <v>0.32</v>
      </c>
      <c r="BO96" s="37" t="n">
        <v>0.57</v>
      </c>
      <c r="BP96" s="37" t="n">
        <v>0.6</v>
      </c>
      <c r="BQ96" s="37" t="n">
        <v>0.49</v>
      </c>
      <c r="BR96" s="37" t="n">
        <v>0.47</v>
      </c>
      <c r="BS96" s="37" t="n">
        <v>0.47</v>
      </c>
      <c r="BT96" s="37" t="n">
        <v>0.46</v>
      </c>
      <c r="BU96" s="37" t="n">
        <v>0.32</v>
      </c>
      <c r="BV96" s="37" t="n">
        <v>0.57</v>
      </c>
      <c r="BW96" s="37" t="n">
        <v>0.6</v>
      </c>
      <c r="BX96" s="37" t="n">
        <v>0.49</v>
      </c>
      <c r="BY96" s="37" t="n">
        <v>0.47</v>
      </c>
      <c r="BZ96" s="37" t="n">
        <v>0.47</v>
      </c>
      <c r="CA96" s="37" t="n">
        <v>0.46</v>
      </c>
      <c r="CB96" s="37" t="n">
        <v>0.32</v>
      </c>
      <c r="CC96" s="37" t="n">
        <v>52.43000000000001</v>
      </c>
    </row>
    <row r="97" ht="15.75" customHeight="1" s="57">
      <c r="A97" s="7" t="inlineStr">
        <is>
          <t>NTB</t>
        </is>
      </c>
      <c r="B97" s="7" t="inlineStr">
        <is>
          <t>Bình Thuận</t>
        </is>
      </c>
      <c r="C97" s="7" t="n">
        <v>22452000</v>
      </c>
      <c r="D97" s="7" t="inlineStr">
        <is>
          <t>(BTH) Phú Quý</t>
        </is>
      </c>
      <c r="E97" s="7" t="inlineStr">
        <is>
          <t>Shopee</t>
        </is>
      </c>
      <c r="F97" s="36" t="n">
        <v>4</v>
      </c>
      <c r="G97" s="36" t="n">
        <v>0</v>
      </c>
      <c r="H97" s="36" t="n">
        <v>3</v>
      </c>
      <c r="I97" s="36" t="n">
        <v>8</v>
      </c>
      <c r="J97" s="36" t="n">
        <v>4</v>
      </c>
      <c r="K97" s="28" t="n">
        <v>1</v>
      </c>
      <c r="L97" s="36" t="n">
        <v>4</v>
      </c>
      <c r="M97" s="36" t="n">
        <v>1</v>
      </c>
      <c r="N97" s="36" t="n">
        <v>5</v>
      </c>
      <c r="O97" s="36" t="n">
        <v>4</v>
      </c>
      <c r="P97" s="36" t="n">
        <v>1</v>
      </c>
      <c r="Q97" s="36" t="n">
        <v>1</v>
      </c>
      <c r="R97" s="28" t="n">
        <v>5</v>
      </c>
      <c r="S97" s="36" t="n">
        <v>2</v>
      </c>
      <c r="T97" s="36" t="n">
        <v>3</v>
      </c>
      <c r="U97" s="36" t="n">
        <v>2.51</v>
      </c>
      <c r="V97" s="36" t="n">
        <v>2.54</v>
      </c>
      <c r="W97" s="36" t="n">
        <v>2.41</v>
      </c>
      <c r="X97" s="36" t="n">
        <v>2.08</v>
      </c>
      <c r="Y97" s="28" t="n">
        <v>3.36</v>
      </c>
      <c r="Z97" s="36" t="n">
        <v>2.67</v>
      </c>
      <c r="AA97" s="36" t="n">
        <v>3.24</v>
      </c>
      <c r="AB97" s="36" t="n">
        <v>2.56</v>
      </c>
      <c r="AC97" s="36" t="n">
        <v>2.07</v>
      </c>
      <c r="AD97" s="36" t="n">
        <v>4.2</v>
      </c>
      <c r="AE97" s="36" t="n">
        <v>2.22</v>
      </c>
      <c r="AF97" s="28" t="n">
        <v>3.71</v>
      </c>
      <c r="AG97" s="36" t="n">
        <v>2.79</v>
      </c>
      <c r="AH97" s="37" t="n">
        <v>2.94</v>
      </c>
      <c r="AI97" s="37" t="n">
        <v>2.51</v>
      </c>
      <c r="AJ97" s="37" t="n">
        <v>2.54</v>
      </c>
      <c r="AK97" s="37" t="n">
        <v>2.65</v>
      </c>
      <c r="AL97" s="37" t="n">
        <v>3.75</v>
      </c>
      <c r="AM97" s="37" t="n">
        <v>3.36</v>
      </c>
      <c r="AN97" s="37" t="n">
        <v>2.67</v>
      </c>
      <c r="AO97" s="37" t="n">
        <v>2.94</v>
      </c>
      <c r="AP97" s="37" t="n">
        <v>2.72</v>
      </c>
      <c r="AQ97" s="37" t="n">
        <v>2</v>
      </c>
      <c r="AR97" s="37" t="n">
        <v>2.41</v>
      </c>
      <c r="AS97" s="37" t="n">
        <v>2.08</v>
      </c>
      <c r="AT97" s="37" t="n">
        <v>3.36</v>
      </c>
      <c r="AU97" s="37" t="n">
        <v>2.91</v>
      </c>
      <c r="AV97" s="37" t="n">
        <v>3.01</v>
      </c>
      <c r="AW97" s="37" t="n">
        <v>2.51</v>
      </c>
      <c r="AX97" s="37" t="n">
        <v>2.54</v>
      </c>
      <c r="AY97" s="37" t="n">
        <v>2.41</v>
      </c>
      <c r="AZ97" s="37" t="n">
        <v>2.08</v>
      </c>
      <c r="BA97" s="37" t="n">
        <v>2.87</v>
      </c>
      <c r="BB97" s="37" t="n">
        <v>2.03</v>
      </c>
      <c r="BC97" s="37" t="n">
        <v>0.9</v>
      </c>
      <c r="BD97" s="37" t="n">
        <v>1.48</v>
      </c>
      <c r="BE97" s="37" t="n">
        <v>3.01</v>
      </c>
      <c r="BF97" s="37" t="n">
        <v>2.91</v>
      </c>
      <c r="BG97" s="37" t="n">
        <v>2.08</v>
      </c>
      <c r="BH97" s="37" t="n">
        <v>3.24</v>
      </c>
      <c r="BI97" s="37" t="n">
        <v>2.14</v>
      </c>
      <c r="BJ97" s="37" t="n">
        <v>5.98</v>
      </c>
      <c r="BK97" s="37" t="n">
        <v>2.59</v>
      </c>
      <c r="BL97" s="37" t="n">
        <v>2.57</v>
      </c>
      <c r="BM97" s="37" t="n">
        <v>2.34</v>
      </c>
      <c r="BN97" s="37" t="n">
        <v>2.03</v>
      </c>
      <c r="BO97" s="37" t="n">
        <v>3.24</v>
      </c>
      <c r="BP97" s="37" t="n">
        <v>2.82</v>
      </c>
      <c r="BQ97" s="37" t="n">
        <v>4.3</v>
      </c>
      <c r="BR97" s="37" t="n">
        <v>2.44</v>
      </c>
      <c r="BS97" s="37" t="n">
        <v>2.47</v>
      </c>
      <c r="BT97" s="37" t="n">
        <v>2.34</v>
      </c>
      <c r="BU97" s="37" t="n">
        <v>2.23</v>
      </c>
      <c r="BV97" s="37" t="n">
        <v>2.61</v>
      </c>
      <c r="BW97" s="37" t="n">
        <v>2.59</v>
      </c>
      <c r="BX97" s="37" t="n">
        <v>2.85</v>
      </c>
      <c r="BY97" s="37" t="n">
        <v>2.44</v>
      </c>
      <c r="BZ97" s="37" t="n">
        <v>2.66</v>
      </c>
      <c r="CA97" s="37" t="n">
        <v>2.4</v>
      </c>
      <c r="CB97" s="37" t="n">
        <v>2.03</v>
      </c>
      <c r="CC97" s="37" t="n">
        <v>207.34</v>
      </c>
    </row>
    <row r="98" ht="15.75" customHeight="1" s="57">
      <c r="A98" s="7" t="inlineStr">
        <is>
          <t>NTB</t>
        </is>
      </c>
      <c r="B98" s="7" t="inlineStr">
        <is>
          <t>Bình Thuận</t>
        </is>
      </c>
      <c r="C98" s="7" t="n">
        <v>22452000</v>
      </c>
      <c r="D98" s="7" t="inlineStr">
        <is>
          <t>(BTH) Phú Quý</t>
        </is>
      </c>
      <c r="E98" s="7" t="inlineStr">
        <is>
          <t>TTS</t>
        </is>
      </c>
      <c r="F98" s="36" t="n">
        <v>10</v>
      </c>
      <c r="G98" s="36" t="n">
        <v>5</v>
      </c>
      <c r="H98" s="36" t="n">
        <v>9</v>
      </c>
      <c r="I98" s="36" t="n">
        <v>7</v>
      </c>
      <c r="J98" s="36" t="n">
        <v>6</v>
      </c>
      <c r="K98" s="28" t="n">
        <v>9</v>
      </c>
      <c r="L98" s="36" t="n">
        <v>1</v>
      </c>
      <c r="M98" s="36" t="n">
        <v>5</v>
      </c>
      <c r="N98" s="36" t="n">
        <v>5</v>
      </c>
      <c r="O98" s="36" t="n">
        <v>10</v>
      </c>
      <c r="P98" s="36" t="n">
        <v>3</v>
      </c>
      <c r="Q98" s="36" t="n">
        <v>5</v>
      </c>
      <c r="R98" s="28" t="n">
        <v>4</v>
      </c>
      <c r="S98" s="36" t="n">
        <v>7</v>
      </c>
      <c r="T98" s="36" t="n">
        <v>12</v>
      </c>
      <c r="U98" s="36" t="n">
        <v>13.29</v>
      </c>
      <c r="V98" s="36" t="n">
        <v>13.12</v>
      </c>
      <c r="W98" s="36" t="n">
        <v>12.79</v>
      </c>
      <c r="X98" s="36" t="n">
        <v>10.25</v>
      </c>
      <c r="Y98" s="28" t="n">
        <v>15.02</v>
      </c>
      <c r="Z98" s="36" t="n">
        <v>12.79</v>
      </c>
      <c r="AA98" s="36" t="n">
        <v>14.15</v>
      </c>
      <c r="AB98" s="36" t="n">
        <v>15.81</v>
      </c>
      <c r="AC98" s="36" t="n">
        <v>16.69</v>
      </c>
      <c r="AD98" s="36" t="n">
        <v>14.02</v>
      </c>
      <c r="AE98" s="36" t="n">
        <v>11.9</v>
      </c>
      <c r="AF98" s="28" t="n">
        <v>15.47</v>
      </c>
      <c r="AG98" s="36" t="n">
        <v>13</v>
      </c>
      <c r="AH98" s="37" t="n">
        <v>12.9</v>
      </c>
      <c r="AI98" s="37" t="n">
        <v>14.8</v>
      </c>
      <c r="AJ98" s="37" t="n">
        <v>15.93</v>
      </c>
      <c r="AK98" s="37" t="n">
        <v>15.68</v>
      </c>
      <c r="AL98" s="37" t="n">
        <v>11.09</v>
      </c>
      <c r="AM98" s="37" t="n">
        <v>15.28</v>
      </c>
      <c r="AN98" s="37" t="n">
        <v>13.16</v>
      </c>
      <c r="AO98" s="37" t="n">
        <v>13.05</v>
      </c>
      <c r="AP98" s="37" t="n">
        <v>12.76</v>
      </c>
      <c r="AQ98" s="37" t="n">
        <v>12.85</v>
      </c>
      <c r="AR98" s="37" t="n">
        <v>12.63</v>
      </c>
      <c r="AS98" s="37" t="n">
        <v>10.27</v>
      </c>
      <c r="AT98" s="37" t="n">
        <v>16.49</v>
      </c>
      <c r="AU98" s="37" t="n">
        <v>14.91</v>
      </c>
      <c r="AV98" s="37" t="n">
        <v>13.28</v>
      </c>
      <c r="AW98" s="37" t="n">
        <v>12.6</v>
      </c>
      <c r="AX98" s="37" t="n">
        <v>12.52</v>
      </c>
      <c r="AY98" s="37" t="n">
        <v>12.43</v>
      </c>
      <c r="AZ98" s="37" t="n">
        <v>10.32</v>
      </c>
      <c r="BA98" s="37" t="n">
        <v>14.88</v>
      </c>
      <c r="BB98" s="37" t="n">
        <v>13.88</v>
      </c>
      <c r="BC98" s="37" t="n">
        <v>7.02</v>
      </c>
      <c r="BD98" s="37" t="n">
        <v>10.03</v>
      </c>
      <c r="BE98" s="37" t="n">
        <v>23.29</v>
      </c>
      <c r="BF98" s="37" t="n">
        <v>22.65</v>
      </c>
      <c r="BG98" s="37" t="n">
        <v>11.09</v>
      </c>
      <c r="BH98" s="37" t="n">
        <v>16.47</v>
      </c>
      <c r="BI98" s="37" t="n">
        <v>13.88</v>
      </c>
      <c r="BJ98" s="37" t="n">
        <v>10.6</v>
      </c>
      <c r="BK98" s="37" t="n">
        <v>14.13</v>
      </c>
      <c r="BL98" s="37" t="n">
        <v>14.15</v>
      </c>
      <c r="BM98" s="37" t="n">
        <v>13.74</v>
      </c>
      <c r="BN98" s="37" t="n">
        <v>11.09</v>
      </c>
      <c r="BO98" s="37" t="n">
        <v>16.47</v>
      </c>
      <c r="BP98" s="37" t="n">
        <v>13.88</v>
      </c>
      <c r="BQ98" s="37" t="n">
        <v>13.77</v>
      </c>
      <c r="BR98" s="37" t="n">
        <v>14.13</v>
      </c>
      <c r="BS98" s="37" t="n">
        <v>14.15</v>
      </c>
      <c r="BT98" s="37" t="n">
        <v>13.74</v>
      </c>
      <c r="BU98" s="37" t="n">
        <v>11.09</v>
      </c>
      <c r="BV98" s="37" t="n">
        <v>16.47</v>
      </c>
      <c r="BW98" s="37" t="n">
        <v>13.88</v>
      </c>
      <c r="BX98" s="37" t="n">
        <v>13.77</v>
      </c>
      <c r="BY98" s="37" t="n">
        <v>14.13</v>
      </c>
      <c r="BZ98" s="37" t="n">
        <v>14.15</v>
      </c>
      <c r="CA98" s="37" t="n">
        <v>13.74</v>
      </c>
      <c r="CB98" s="37" t="n">
        <v>11.09</v>
      </c>
      <c r="CC98" s="37" t="n">
        <v>920.61</v>
      </c>
    </row>
    <row r="99" ht="15.75" customHeight="1" s="57">
      <c r="A99" s="7" t="inlineStr">
        <is>
          <t>NTB</t>
        </is>
      </c>
      <c r="B99" s="7" t="inlineStr">
        <is>
          <t>Bình Thuận</t>
        </is>
      </c>
      <c r="C99" s="7" t="n">
        <v>22483000</v>
      </c>
      <c r="D99" s="7" t="inlineStr">
        <is>
          <t>(BTH) Hàm Thuận</t>
        </is>
      </c>
      <c r="E99" s="7" t="inlineStr">
        <is>
          <t>SME</t>
        </is>
      </c>
      <c r="F99" s="36" t="n">
        <v>24</v>
      </c>
      <c r="G99" s="36" t="n">
        <v>17</v>
      </c>
      <c r="H99" s="36" t="n">
        <v>31</v>
      </c>
      <c r="I99" s="36" t="n">
        <v>26</v>
      </c>
      <c r="J99" s="36" t="n">
        <v>24</v>
      </c>
      <c r="K99" s="28" t="n">
        <v>35</v>
      </c>
      <c r="L99" s="36" t="n">
        <v>32</v>
      </c>
      <c r="M99" s="36" t="n">
        <v>40</v>
      </c>
      <c r="N99" s="36" t="n">
        <v>24</v>
      </c>
      <c r="O99" s="36" t="n">
        <v>33</v>
      </c>
      <c r="P99" s="36" t="n">
        <v>19</v>
      </c>
      <c r="Q99" s="36" t="n">
        <v>34</v>
      </c>
      <c r="R99" s="28" t="n">
        <v>51</v>
      </c>
      <c r="S99" s="36" t="n">
        <v>42</v>
      </c>
      <c r="T99" s="36" t="n">
        <v>29</v>
      </c>
      <c r="U99" s="36" t="n">
        <v>46.98</v>
      </c>
      <c r="V99" s="36" t="n">
        <v>48.88</v>
      </c>
      <c r="W99" s="36" t="n">
        <v>47.46</v>
      </c>
      <c r="X99" s="36" t="n">
        <v>38.91</v>
      </c>
      <c r="Y99" s="28" t="n">
        <v>52.65</v>
      </c>
      <c r="Z99" s="36" t="n">
        <v>48.53</v>
      </c>
      <c r="AA99" s="36" t="n">
        <v>47.24</v>
      </c>
      <c r="AB99" s="36" t="n">
        <v>46.98</v>
      </c>
      <c r="AC99" s="36" t="n">
        <v>48.88</v>
      </c>
      <c r="AD99" s="36" t="n">
        <v>35.63</v>
      </c>
      <c r="AE99" s="36" t="n">
        <v>38.91</v>
      </c>
      <c r="AF99" s="28" t="n">
        <v>52.65</v>
      </c>
      <c r="AG99" s="36" t="n">
        <v>48.53</v>
      </c>
      <c r="AH99" s="37" t="n">
        <v>47.24</v>
      </c>
      <c r="AI99" s="37" t="n">
        <v>46.98</v>
      </c>
      <c r="AJ99" s="37" t="n">
        <v>48.88</v>
      </c>
      <c r="AK99" s="37" t="n">
        <v>47.46</v>
      </c>
      <c r="AL99" s="37" t="n">
        <v>38.91</v>
      </c>
      <c r="AM99" s="37" t="n">
        <v>52.65</v>
      </c>
      <c r="AN99" s="37" t="n">
        <v>48.53</v>
      </c>
      <c r="AO99" s="37" t="n">
        <v>47.24</v>
      </c>
      <c r="AP99" s="37" t="n">
        <v>46.98</v>
      </c>
      <c r="AQ99" s="37" t="n">
        <v>48.88</v>
      </c>
      <c r="AR99" s="37" t="n">
        <v>47.46</v>
      </c>
      <c r="AS99" s="37" t="n">
        <v>38.91</v>
      </c>
      <c r="AT99" s="37" t="n">
        <v>52.65</v>
      </c>
      <c r="AU99" s="37" t="n">
        <v>48.53</v>
      </c>
      <c r="AV99" s="37" t="n">
        <v>47.24</v>
      </c>
      <c r="AW99" s="37" t="n">
        <v>46.98</v>
      </c>
      <c r="AX99" s="37" t="n">
        <v>48.88</v>
      </c>
      <c r="AY99" s="37" t="n">
        <v>47.46</v>
      </c>
      <c r="AZ99" s="37" t="n">
        <v>38.91</v>
      </c>
      <c r="BA99" s="37" t="n">
        <v>50.04</v>
      </c>
      <c r="BB99" s="37" t="n">
        <v>44.36000000000001</v>
      </c>
      <c r="BC99" s="37" t="n">
        <v>27.07</v>
      </c>
      <c r="BD99" s="37" t="n">
        <v>21.06</v>
      </c>
      <c r="BE99" s="37" t="n">
        <v>45.78</v>
      </c>
      <c r="BF99" s="37" t="n">
        <v>44.53</v>
      </c>
      <c r="BG99" s="37" t="n">
        <v>40.08000000000001</v>
      </c>
      <c r="BH99" s="37" t="n">
        <v>54.23999999999999</v>
      </c>
      <c r="BI99" s="37" t="n">
        <v>50.08</v>
      </c>
      <c r="BJ99" s="37" t="n">
        <v>36.5</v>
      </c>
      <c r="BK99" s="37" t="n">
        <v>48.36</v>
      </c>
      <c r="BL99" s="37" t="n">
        <v>50.38</v>
      </c>
      <c r="BM99" s="37" t="n">
        <v>48.83</v>
      </c>
      <c r="BN99" s="37" t="n">
        <v>40.08000000000001</v>
      </c>
      <c r="BO99" s="37" t="n">
        <v>54.23999999999999</v>
      </c>
      <c r="BP99" s="37" t="n">
        <v>50.08</v>
      </c>
      <c r="BQ99" s="37" t="n">
        <v>48.62</v>
      </c>
      <c r="BR99" s="37" t="n">
        <v>48.36</v>
      </c>
      <c r="BS99" s="37" t="n">
        <v>50.38</v>
      </c>
      <c r="BT99" s="37" t="n">
        <v>48.83</v>
      </c>
      <c r="BU99" s="37" t="n">
        <v>40.08000000000001</v>
      </c>
      <c r="BV99" s="37" t="n">
        <v>54.23999999999999</v>
      </c>
      <c r="BW99" s="37" t="n">
        <v>50.08</v>
      </c>
      <c r="BX99" s="37" t="n">
        <v>48.62</v>
      </c>
      <c r="BY99" s="37" t="n">
        <v>48.36</v>
      </c>
      <c r="BZ99" s="37" t="n">
        <v>50.38</v>
      </c>
      <c r="CA99" s="37" t="n">
        <v>48.83</v>
      </c>
      <c r="CB99" s="37" t="n">
        <v>40.08000000000001</v>
      </c>
      <c r="CC99" s="37" t="n">
        <v>3236.570000000001</v>
      </c>
    </row>
    <row r="100" ht="15.75" customHeight="1" s="57">
      <c r="A100" s="7" t="inlineStr">
        <is>
          <t>NTB</t>
        </is>
      </c>
      <c r="B100" s="7" t="inlineStr">
        <is>
          <t>Bình Thuận</t>
        </is>
      </c>
      <c r="C100" s="7" t="n">
        <v>22483000</v>
      </c>
      <c r="D100" s="7" t="inlineStr">
        <is>
          <t>(BTH) Hàm Thuận</t>
        </is>
      </c>
      <c r="E100" s="7" t="inlineStr">
        <is>
          <t>SME-Bulky</t>
        </is>
      </c>
      <c r="F100" s="36" t="n">
        <v>4</v>
      </c>
      <c r="G100" s="36" t="n">
        <v>0</v>
      </c>
      <c r="H100" s="36" t="n">
        <v>1</v>
      </c>
      <c r="I100" s="36" t="n">
        <v>0</v>
      </c>
      <c r="J100" s="36" t="n">
        <v>2</v>
      </c>
      <c r="K100" s="28" t="n">
        <v>0</v>
      </c>
      <c r="L100" s="36" t="n">
        <v>1</v>
      </c>
      <c r="M100" s="36" t="n">
        <v>1</v>
      </c>
      <c r="N100" s="36" t="n">
        <v>3</v>
      </c>
      <c r="O100" s="36" t="n">
        <v>6</v>
      </c>
      <c r="P100" s="36" t="n">
        <v>2</v>
      </c>
      <c r="Q100" s="36" t="n">
        <v>1</v>
      </c>
      <c r="R100" s="28" t="n">
        <v>4</v>
      </c>
      <c r="S100" s="36" t="n">
        <v>0</v>
      </c>
      <c r="T100" s="36" t="n">
        <v>5</v>
      </c>
      <c r="U100" s="36" t="n">
        <v>2.88</v>
      </c>
      <c r="V100" s="36" t="n">
        <v>2.88</v>
      </c>
      <c r="W100" s="36" t="n">
        <v>2.8</v>
      </c>
      <c r="X100" s="36" t="n">
        <v>2.01</v>
      </c>
      <c r="Y100" s="28" t="n">
        <v>3.55</v>
      </c>
      <c r="Z100" s="36" t="n">
        <v>3.67</v>
      </c>
      <c r="AA100" s="36" t="n">
        <v>3</v>
      </c>
      <c r="AB100" s="36" t="n">
        <v>2.88</v>
      </c>
      <c r="AC100" s="36" t="n">
        <v>2.88</v>
      </c>
      <c r="AD100" s="36" t="n">
        <v>2.17</v>
      </c>
      <c r="AE100" s="36" t="n">
        <v>2.01</v>
      </c>
      <c r="AF100" s="28" t="n">
        <v>3.55</v>
      </c>
      <c r="AG100" s="36" t="n">
        <v>3.67</v>
      </c>
      <c r="AH100" s="37" t="n">
        <v>3</v>
      </c>
      <c r="AI100" s="37" t="n">
        <v>2.88</v>
      </c>
      <c r="AJ100" s="37" t="n">
        <v>2.88</v>
      </c>
      <c r="AK100" s="37" t="n">
        <v>2.8</v>
      </c>
      <c r="AL100" s="37" t="n">
        <v>2.01</v>
      </c>
      <c r="AM100" s="37" t="n">
        <v>3.55</v>
      </c>
      <c r="AN100" s="37" t="n">
        <v>3.67</v>
      </c>
      <c r="AO100" s="37" t="n">
        <v>3</v>
      </c>
      <c r="AP100" s="37" t="n">
        <v>2.88</v>
      </c>
      <c r="AQ100" s="37" t="n">
        <v>2.88</v>
      </c>
      <c r="AR100" s="37" t="n">
        <v>2.8</v>
      </c>
      <c r="AS100" s="37" t="n">
        <v>2.01</v>
      </c>
      <c r="AT100" s="37" t="n">
        <v>3.55</v>
      </c>
      <c r="AU100" s="37" t="n">
        <v>3.67</v>
      </c>
      <c r="AV100" s="37" t="n">
        <v>3</v>
      </c>
      <c r="AW100" s="37" t="n">
        <v>2.88</v>
      </c>
      <c r="AX100" s="37" t="n">
        <v>2.88</v>
      </c>
      <c r="AY100" s="37" t="n">
        <v>2.8</v>
      </c>
      <c r="AZ100" s="37" t="n">
        <v>2.01</v>
      </c>
      <c r="BA100" s="37" t="n">
        <v>3.67</v>
      </c>
      <c r="BB100" s="37" t="n">
        <v>2.05</v>
      </c>
      <c r="BC100" s="37" t="n">
        <v>0.99</v>
      </c>
      <c r="BD100" s="37" t="n">
        <v>0.55</v>
      </c>
      <c r="BE100" s="37" t="n">
        <v>1.62</v>
      </c>
      <c r="BF100" s="37" t="n">
        <v>1.58</v>
      </c>
      <c r="BG100" s="37" t="n">
        <v>1.1</v>
      </c>
      <c r="BH100" s="37" t="n">
        <v>1.97</v>
      </c>
      <c r="BI100" s="37" t="n">
        <v>2.05</v>
      </c>
      <c r="BJ100" s="37" t="n">
        <v>1.42</v>
      </c>
      <c r="BK100" s="37" t="n">
        <v>1.62</v>
      </c>
      <c r="BL100" s="37" t="n">
        <v>1.62</v>
      </c>
      <c r="BM100" s="37" t="n">
        <v>1.58</v>
      </c>
      <c r="BN100" s="37" t="n">
        <v>1.1</v>
      </c>
      <c r="BO100" s="37" t="n">
        <v>1.97</v>
      </c>
      <c r="BP100" s="37" t="n">
        <v>2.05</v>
      </c>
      <c r="BQ100" s="37" t="n">
        <v>1.7</v>
      </c>
      <c r="BR100" s="37" t="n">
        <v>1.62</v>
      </c>
      <c r="BS100" s="37" t="n">
        <v>1.62</v>
      </c>
      <c r="BT100" s="37" t="n">
        <v>1.58</v>
      </c>
      <c r="BU100" s="37" t="n">
        <v>1.1</v>
      </c>
      <c r="BV100" s="37" t="n">
        <v>1.97</v>
      </c>
      <c r="BW100" s="37" t="n">
        <v>2.05</v>
      </c>
      <c r="BX100" s="37" t="n">
        <v>1.7</v>
      </c>
      <c r="BY100" s="37" t="n">
        <v>1.62</v>
      </c>
      <c r="BZ100" s="37" t="n">
        <v>1.62</v>
      </c>
      <c r="CA100" s="37" t="n">
        <v>1.58</v>
      </c>
      <c r="CB100" s="37" t="n">
        <v>1.1</v>
      </c>
      <c r="CC100" s="37" t="n">
        <v>169.3000000000001</v>
      </c>
    </row>
    <row r="101" ht="15.75" customHeight="1" s="57">
      <c r="A101" s="7" t="inlineStr">
        <is>
          <t>NTB</t>
        </is>
      </c>
      <c r="B101" s="7" t="inlineStr">
        <is>
          <t>Bình Thuận</t>
        </is>
      </c>
      <c r="C101" s="7" t="n">
        <v>22483000</v>
      </c>
      <c r="D101" s="7" t="inlineStr">
        <is>
          <t>(BTH) Hàm Thuận</t>
        </is>
      </c>
      <c r="E101" s="7" t="inlineStr">
        <is>
          <t>Shopee</t>
        </is>
      </c>
      <c r="F101" s="36" t="n">
        <v>16</v>
      </c>
      <c r="G101" s="36" t="n">
        <v>13</v>
      </c>
      <c r="H101" s="36" t="n">
        <v>9</v>
      </c>
      <c r="I101" s="36" t="n">
        <v>10</v>
      </c>
      <c r="J101" s="36" t="n">
        <v>13</v>
      </c>
      <c r="K101" s="28" t="n">
        <v>16</v>
      </c>
      <c r="L101" s="36" t="n">
        <v>23</v>
      </c>
      <c r="M101" s="36" t="n">
        <v>12</v>
      </c>
      <c r="N101" s="36" t="n">
        <v>12</v>
      </c>
      <c r="O101" s="36" t="n">
        <v>10</v>
      </c>
      <c r="P101" s="36" t="n">
        <v>16</v>
      </c>
      <c r="Q101" s="36" t="n">
        <v>13</v>
      </c>
      <c r="R101" s="28" t="n">
        <v>10</v>
      </c>
      <c r="S101" s="36" t="n">
        <v>10</v>
      </c>
      <c r="T101" s="36" t="n">
        <v>22</v>
      </c>
      <c r="U101" s="36" t="n">
        <v>12.42</v>
      </c>
      <c r="V101" s="36" t="n">
        <v>12.54</v>
      </c>
      <c r="W101" s="36" t="n">
        <v>11.88</v>
      </c>
      <c r="X101" s="36" t="n">
        <v>10.28</v>
      </c>
      <c r="Y101" s="28" t="n">
        <v>16.62</v>
      </c>
      <c r="Z101" s="36" t="n">
        <v>13.17</v>
      </c>
      <c r="AA101" s="36" t="n">
        <v>16.02</v>
      </c>
      <c r="AB101" s="36" t="n">
        <v>12.64</v>
      </c>
      <c r="AC101" s="36" t="n">
        <v>10.22</v>
      </c>
      <c r="AD101" s="36" t="n">
        <v>20.76</v>
      </c>
      <c r="AE101" s="36" t="n">
        <v>10.97</v>
      </c>
      <c r="AF101" s="28" t="n">
        <v>18.34</v>
      </c>
      <c r="AG101" s="36" t="n">
        <v>13.8</v>
      </c>
      <c r="AH101" s="37" t="n">
        <v>14.55</v>
      </c>
      <c r="AI101" s="37" t="n">
        <v>12.42</v>
      </c>
      <c r="AJ101" s="37" t="n">
        <v>12.54</v>
      </c>
      <c r="AK101" s="37" t="n">
        <v>13.08</v>
      </c>
      <c r="AL101" s="37" t="n">
        <v>18.53</v>
      </c>
      <c r="AM101" s="37" t="n">
        <v>16.62</v>
      </c>
      <c r="AN101" s="37" t="n">
        <v>13.17</v>
      </c>
      <c r="AO101" s="37" t="n">
        <v>14.55</v>
      </c>
      <c r="AP101" s="37" t="n">
        <v>13.42</v>
      </c>
      <c r="AQ101" s="37" t="n">
        <v>9.880000000000001</v>
      </c>
      <c r="AR101" s="37" t="n">
        <v>11.88</v>
      </c>
      <c r="AS101" s="37" t="n">
        <v>10.28</v>
      </c>
      <c r="AT101" s="37" t="n">
        <v>16.62</v>
      </c>
      <c r="AU101" s="37" t="n">
        <v>14.36</v>
      </c>
      <c r="AV101" s="37" t="n">
        <v>14.89</v>
      </c>
      <c r="AW101" s="37" t="n">
        <v>12.42</v>
      </c>
      <c r="AX101" s="37" t="n">
        <v>12.54</v>
      </c>
      <c r="AY101" s="37" t="n">
        <v>11.88</v>
      </c>
      <c r="AZ101" s="37" t="n">
        <v>10.28</v>
      </c>
      <c r="BA101" s="37" t="n">
        <v>14.17</v>
      </c>
      <c r="BB101" s="37" t="n">
        <v>10.03</v>
      </c>
      <c r="BC101" s="37" t="n">
        <v>4.45</v>
      </c>
      <c r="BD101" s="37" t="n">
        <v>7.31</v>
      </c>
      <c r="BE101" s="37" t="n">
        <v>14.89</v>
      </c>
      <c r="BF101" s="37" t="n">
        <v>14.39</v>
      </c>
      <c r="BG101" s="37" t="n">
        <v>10.25</v>
      </c>
      <c r="BH101" s="37" t="n">
        <v>15.99</v>
      </c>
      <c r="BI101" s="37" t="n">
        <v>10.57</v>
      </c>
      <c r="BJ101" s="37" t="n">
        <v>29.54</v>
      </c>
      <c r="BK101" s="37" t="n">
        <v>12.79</v>
      </c>
      <c r="BL101" s="37" t="n">
        <v>12.7</v>
      </c>
      <c r="BM101" s="37" t="n">
        <v>11.57</v>
      </c>
      <c r="BN101" s="37" t="n">
        <v>10.03</v>
      </c>
      <c r="BO101" s="37" t="n">
        <v>15.99</v>
      </c>
      <c r="BP101" s="37" t="n">
        <v>13.95</v>
      </c>
      <c r="BQ101" s="37" t="n">
        <v>21.26</v>
      </c>
      <c r="BR101" s="37" t="n">
        <v>12.07</v>
      </c>
      <c r="BS101" s="37" t="n">
        <v>12.2</v>
      </c>
      <c r="BT101" s="37" t="n">
        <v>11.57</v>
      </c>
      <c r="BU101" s="37" t="n">
        <v>11.01</v>
      </c>
      <c r="BV101" s="37" t="n">
        <v>12.92</v>
      </c>
      <c r="BW101" s="37" t="n">
        <v>12.79</v>
      </c>
      <c r="BX101" s="37" t="n">
        <v>14.08</v>
      </c>
      <c r="BY101" s="37" t="n">
        <v>12.07</v>
      </c>
      <c r="BZ101" s="37" t="n">
        <v>13.14</v>
      </c>
      <c r="CA101" s="37" t="n">
        <v>11.85</v>
      </c>
      <c r="CB101" s="37" t="n">
        <v>10.03</v>
      </c>
      <c r="CC101" s="37" t="n">
        <v>1002.18</v>
      </c>
    </row>
    <row r="102" ht="15.75" customHeight="1" s="57">
      <c r="A102" s="7" t="inlineStr">
        <is>
          <t>NTB</t>
        </is>
      </c>
      <c r="B102" s="7" t="inlineStr">
        <is>
          <t>Bình Thuận</t>
        </is>
      </c>
      <c r="C102" s="7" t="n">
        <v>22483000</v>
      </c>
      <c r="D102" s="7" t="inlineStr">
        <is>
          <t>(BTH) Hàm Thuận</t>
        </is>
      </c>
      <c r="E102" s="7" t="inlineStr">
        <is>
          <t>Shopee-Bulky</t>
        </is>
      </c>
      <c r="F102" s="36" t="n">
        <v>0.79</v>
      </c>
      <c r="G102" s="36" t="n">
        <v>0</v>
      </c>
      <c r="H102" s="36" t="n">
        <v>0.79</v>
      </c>
      <c r="I102" s="36" t="n">
        <v>0</v>
      </c>
      <c r="J102" s="36" t="n">
        <v>0.79</v>
      </c>
      <c r="K102" s="28" t="n">
        <v>0.79</v>
      </c>
      <c r="L102" s="36" t="n">
        <v>0.79</v>
      </c>
      <c r="M102" s="36" t="n">
        <v>0</v>
      </c>
      <c r="N102" s="36" t="n">
        <v>0.79</v>
      </c>
      <c r="O102" s="36" t="n">
        <v>0.79</v>
      </c>
      <c r="P102" s="36" t="n">
        <v>0.79</v>
      </c>
      <c r="Q102" s="36" t="n">
        <v>2.36</v>
      </c>
      <c r="R102" s="28" t="n">
        <v>1.57</v>
      </c>
      <c r="S102" s="36" t="n">
        <v>0</v>
      </c>
      <c r="T102" s="36" t="n">
        <v>0</v>
      </c>
      <c r="U102" s="36" t="n">
        <v>0.6899999999999999</v>
      </c>
      <c r="V102" s="36" t="n">
        <v>0.6899999999999999</v>
      </c>
      <c r="W102" s="36" t="n">
        <v>0.84</v>
      </c>
      <c r="X102" s="36" t="n">
        <v>0.45</v>
      </c>
      <c r="Y102" s="28" t="n">
        <v>1.05</v>
      </c>
      <c r="Z102" s="36" t="n">
        <v>0.8100000000000001</v>
      </c>
      <c r="AA102" s="36" t="n">
        <v>1.23</v>
      </c>
      <c r="AB102" s="36" t="n">
        <v>0.8100000000000001</v>
      </c>
      <c r="AC102" s="36" t="n">
        <v>0.77</v>
      </c>
      <c r="AD102" s="36" t="n">
        <v>2.99</v>
      </c>
      <c r="AE102" s="36" t="n">
        <v>2.39</v>
      </c>
      <c r="AF102" s="28" t="n">
        <v>2.33</v>
      </c>
      <c r="AG102" s="36" t="n">
        <v>1.33</v>
      </c>
      <c r="AH102" s="37" t="n">
        <v>0.78</v>
      </c>
      <c r="AI102" s="37" t="n">
        <v>0.87</v>
      </c>
      <c r="AJ102" s="37" t="n">
        <v>0.74</v>
      </c>
      <c r="AK102" s="37" t="n">
        <v>1.71</v>
      </c>
      <c r="AL102" s="37" t="n">
        <v>0.77</v>
      </c>
      <c r="AM102" s="37" t="n">
        <v>1.43</v>
      </c>
      <c r="AN102" s="37" t="n">
        <v>0.79</v>
      </c>
      <c r="AO102" s="37" t="n">
        <v>0.79</v>
      </c>
      <c r="AP102" s="37" t="n">
        <v>1.43</v>
      </c>
      <c r="AQ102" s="37" t="n">
        <v>1.04</v>
      </c>
      <c r="AR102" s="37" t="n">
        <v>0.79</v>
      </c>
      <c r="AS102" s="37" t="n">
        <v>0.42</v>
      </c>
      <c r="AT102" s="37" t="n">
        <v>1.02</v>
      </c>
      <c r="AU102" s="37" t="n">
        <v>1.76</v>
      </c>
      <c r="AV102" s="37" t="n">
        <v>1.87</v>
      </c>
      <c r="AW102" s="37" t="n">
        <v>0.73</v>
      </c>
      <c r="AX102" s="37" t="n">
        <v>0.73</v>
      </c>
      <c r="AY102" s="37" t="n">
        <v>0.79</v>
      </c>
      <c r="AZ102" s="37" t="n">
        <v>0.42</v>
      </c>
      <c r="BA102" s="37" t="n">
        <v>0.91</v>
      </c>
      <c r="BB102" s="37" t="n">
        <v>0.6</v>
      </c>
      <c r="BC102" s="37" t="n">
        <v>0.07000000000000001</v>
      </c>
      <c r="BD102" s="37" t="n">
        <v>0.24</v>
      </c>
      <c r="BE102" s="37" t="n">
        <v>0.92</v>
      </c>
      <c r="BF102" s="37" t="n">
        <v>0.77</v>
      </c>
      <c r="BG102" s="37" t="n">
        <v>0.48</v>
      </c>
      <c r="BH102" s="37" t="n">
        <v>1.1</v>
      </c>
      <c r="BI102" s="37" t="n">
        <v>0.86</v>
      </c>
      <c r="BJ102" s="37" t="n">
        <v>4.62</v>
      </c>
      <c r="BK102" s="37" t="n">
        <v>1.81</v>
      </c>
      <c r="BL102" s="37" t="n">
        <v>0.97</v>
      </c>
      <c r="BM102" s="37" t="n">
        <v>0.65</v>
      </c>
      <c r="BN102" s="37" t="n">
        <v>0.46</v>
      </c>
      <c r="BO102" s="37" t="n">
        <v>1.28</v>
      </c>
      <c r="BP102" s="37" t="n">
        <v>1.81</v>
      </c>
      <c r="BQ102" s="37" t="n">
        <v>1.38</v>
      </c>
      <c r="BR102" s="37" t="n">
        <v>0.77</v>
      </c>
      <c r="BS102" s="37" t="n">
        <v>0.77</v>
      </c>
      <c r="BT102" s="37" t="n">
        <v>0.6</v>
      </c>
      <c r="BU102" s="37" t="n">
        <v>0.9399999999999999</v>
      </c>
      <c r="BV102" s="37" t="n">
        <v>1.17</v>
      </c>
      <c r="BW102" s="37" t="n">
        <v>0.86</v>
      </c>
      <c r="BX102" s="37" t="n">
        <v>0.84</v>
      </c>
      <c r="BY102" s="37" t="n">
        <v>0.77</v>
      </c>
      <c r="BZ102" s="37" t="n">
        <v>1.58</v>
      </c>
      <c r="CA102" s="37" t="n">
        <v>0.77</v>
      </c>
      <c r="CB102" s="37" t="n">
        <v>0.47</v>
      </c>
      <c r="CC102" s="37" t="n">
        <v>73.97999999999998</v>
      </c>
    </row>
    <row r="103" ht="15.75" customHeight="1" s="57">
      <c r="A103" s="7" t="inlineStr">
        <is>
          <t>NTB</t>
        </is>
      </c>
      <c r="B103" s="7" t="inlineStr">
        <is>
          <t>Bình Thuận</t>
        </is>
      </c>
      <c r="C103" s="7" t="n">
        <v>22483000</v>
      </c>
      <c r="D103" s="7" t="inlineStr">
        <is>
          <t>(BTH) Hàm Thuận</t>
        </is>
      </c>
      <c r="E103" s="7" t="inlineStr">
        <is>
          <t>Shopee-Bulky (10-15kg)</t>
        </is>
      </c>
      <c r="F103" s="36" t="n">
        <v>0.21</v>
      </c>
      <c r="G103" s="36" t="n">
        <v>0</v>
      </c>
      <c r="H103" s="36" t="n">
        <v>0.21</v>
      </c>
      <c r="I103" s="36" t="n">
        <v>0</v>
      </c>
      <c r="J103" s="36" t="n">
        <v>0.21</v>
      </c>
      <c r="K103" s="28" t="n">
        <v>0.21</v>
      </c>
      <c r="L103" s="36" t="n">
        <v>0.21</v>
      </c>
      <c r="M103" s="36" t="n">
        <v>0</v>
      </c>
      <c r="N103" s="36" t="n">
        <v>0.21</v>
      </c>
      <c r="O103" s="36" t="n">
        <v>0.21</v>
      </c>
      <c r="P103" s="36" t="n">
        <v>0.21</v>
      </c>
      <c r="Q103" s="36" t="n">
        <v>0.64</v>
      </c>
      <c r="R103" s="28" t="n">
        <v>0.43</v>
      </c>
      <c r="S103" s="36" t="n">
        <v>0</v>
      </c>
      <c r="T103" s="36" t="n">
        <v>0</v>
      </c>
      <c r="U103" s="36" t="n">
        <v>0.17</v>
      </c>
      <c r="V103" s="36" t="n">
        <v>0.16</v>
      </c>
      <c r="W103" s="36" t="n">
        <v>0.2</v>
      </c>
      <c r="X103" s="36" t="n">
        <v>0.1</v>
      </c>
      <c r="Y103" s="28" t="n">
        <v>0.27</v>
      </c>
      <c r="Z103" s="36" t="n">
        <v>0.19</v>
      </c>
      <c r="AA103" s="36" t="n">
        <v>0.27</v>
      </c>
      <c r="AB103" s="36" t="n">
        <v>0.19</v>
      </c>
      <c r="AC103" s="36" t="n">
        <v>0.2</v>
      </c>
      <c r="AD103" s="36" t="n">
        <v>1.23</v>
      </c>
      <c r="AE103" s="36" t="n">
        <v>0.55</v>
      </c>
      <c r="AF103" s="28" t="n">
        <v>0.46</v>
      </c>
      <c r="AG103" s="36" t="n">
        <v>0.35</v>
      </c>
      <c r="AH103" s="37" t="n">
        <v>0.19</v>
      </c>
      <c r="AI103" s="37" t="n">
        <v>0.19</v>
      </c>
      <c r="AJ103" s="37" t="n">
        <v>0.16</v>
      </c>
      <c r="AK103" s="37" t="n">
        <v>0.46</v>
      </c>
      <c r="AL103" s="37" t="n">
        <v>0.17</v>
      </c>
      <c r="AM103" s="37" t="n">
        <v>0.32</v>
      </c>
      <c r="AN103" s="37" t="n">
        <v>0.19</v>
      </c>
      <c r="AO103" s="37" t="n">
        <v>0.19</v>
      </c>
      <c r="AP103" s="37" t="n">
        <v>0.36</v>
      </c>
      <c r="AQ103" s="37" t="n">
        <v>0.22</v>
      </c>
      <c r="AR103" s="37" t="n">
        <v>0.19</v>
      </c>
      <c r="AS103" s="37" t="n">
        <v>0.07000000000000001</v>
      </c>
      <c r="AT103" s="37" t="n">
        <v>0.24</v>
      </c>
      <c r="AU103" s="37" t="n">
        <v>0.41</v>
      </c>
      <c r="AV103" s="37" t="n">
        <v>0.48</v>
      </c>
      <c r="AW103" s="37" t="n">
        <v>0.19</v>
      </c>
      <c r="AX103" s="37" t="n">
        <v>0.16</v>
      </c>
      <c r="AY103" s="37" t="n">
        <v>0.17</v>
      </c>
      <c r="AZ103" s="37" t="n">
        <v>0.07000000000000001</v>
      </c>
      <c r="BA103" s="37" t="n">
        <v>0.21</v>
      </c>
      <c r="BB103" s="37" t="n">
        <v>0.14</v>
      </c>
      <c r="BC103" s="37" t="n">
        <v>0.02</v>
      </c>
      <c r="BD103" s="37" t="n">
        <v>0.05</v>
      </c>
      <c r="BE103" s="37" t="n">
        <v>0.2</v>
      </c>
      <c r="BF103" s="37" t="n">
        <v>0.17</v>
      </c>
      <c r="BG103" s="37" t="n">
        <v>0.09</v>
      </c>
      <c r="BH103" s="37" t="n">
        <v>0.25</v>
      </c>
      <c r="BI103" s="37" t="n">
        <v>0.2</v>
      </c>
      <c r="BJ103" s="37" t="n">
        <v>1.44</v>
      </c>
      <c r="BK103" s="37" t="n">
        <v>0.52</v>
      </c>
      <c r="BL103" s="37" t="n">
        <v>0.25</v>
      </c>
      <c r="BM103" s="37" t="n">
        <v>0.16</v>
      </c>
      <c r="BN103" s="37" t="n">
        <v>0.09</v>
      </c>
      <c r="BO103" s="37" t="n">
        <v>0.37</v>
      </c>
      <c r="BP103" s="37" t="n">
        <v>0.52</v>
      </c>
      <c r="BQ103" s="37" t="n">
        <v>0.4</v>
      </c>
      <c r="BR103" s="37" t="n">
        <v>0.21</v>
      </c>
      <c r="BS103" s="37" t="n">
        <v>0.17</v>
      </c>
      <c r="BT103" s="37" t="n">
        <v>0.14</v>
      </c>
      <c r="BU103" s="37" t="n">
        <v>0.22</v>
      </c>
      <c r="BV103" s="37" t="n">
        <v>0.27</v>
      </c>
      <c r="BW103" s="37" t="n">
        <v>0.2</v>
      </c>
      <c r="BX103" s="37" t="n">
        <v>0.2</v>
      </c>
      <c r="BY103" s="37" t="n">
        <v>0.21</v>
      </c>
      <c r="BZ103" s="37" t="n">
        <v>0.47</v>
      </c>
      <c r="CA103" s="37" t="n">
        <v>0.2</v>
      </c>
      <c r="CB103" s="37" t="n">
        <v>0.09</v>
      </c>
      <c r="CC103" s="37" t="n">
        <v>18.98</v>
      </c>
    </row>
    <row r="104" ht="15.75" customHeight="1" s="57">
      <c r="A104" s="7" t="inlineStr">
        <is>
          <t>NTB</t>
        </is>
      </c>
      <c r="B104" s="7" t="inlineStr">
        <is>
          <t>Bình Thuận</t>
        </is>
      </c>
      <c r="C104" s="7" t="n">
        <v>22483000</v>
      </c>
      <c r="D104" s="7" t="inlineStr">
        <is>
          <t>(BTH) Hàm Thuận</t>
        </is>
      </c>
      <c r="E104" s="7" t="inlineStr">
        <is>
          <t>TTS</t>
        </is>
      </c>
      <c r="F104" s="36" t="n">
        <v>12</v>
      </c>
      <c r="G104" s="36" t="n">
        <v>12</v>
      </c>
      <c r="H104" s="36" t="n">
        <v>12</v>
      </c>
      <c r="I104" s="36" t="n">
        <v>13</v>
      </c>
      <c r="J104" s="36" t="n">
        <v>12</v>
      </c>
      <c r="K104" s="28" t="n">
        <v>12</v>
      </c>
      <c r="L104" s="36" t="n">
        <v>21</v>
      </c>
      <c r="M104" s="36" t="n">
        <v>16</v>
      </c>
      <c r="N104" s="36" t="n">
        <v>10</v>
      </c>
      <c r="O104" s="36" t="n">
        <v>8</v>
      </c>
      <c r="P104" s="36" t="n">
        <v>13</v>
      </c>
      <c r="Q104" s="36" t="n">
        <v>9</v>
      </c>
      <c r="R104" s="28" t="n">
        <v>12</v>
      </c>
      <c r="S104" s="36" t="n">
        <v>15</v>
      </c>
      <c r="T104" s="36" t="n">
        <v>12</v>
      </c>
      <c r="U104" s="36" t="n">
        <v>22.71</v>
      </c>
      <c r="V104" s="36" t="n">
        <v>22.42</v>
      </c>
      <c r="W104" s="36" t="n">
        <v>21.84</v>
      </c>
      <c r="X104" s="36" t="n">
        <v>17.51</v>
      </c>
      <c r="Y104" s="28" t="n">
        <v>25.66</v>
      </c>
      <c r="Z104" s="36" t="n">
        <v>21.84</v>
      </c>
      <c r="AA104" s="36" t="n">
        <v>24.17</v>
      </c>
      <c r="AB104" s="36" t="n">
        <v>27.01</v>
      </c>
      <c r="AC104" s="36" t="n">
        <v>28.5</v>
      </c>
      <c r="AD104" s="36" t="n">
        <v>23.96</v>
      </c>
      <c r="AE104" s="36" t="n">
        <v>20.33</v>
      </c>
      <c r="AF104" s="28" t="n">
        <v>26.44</v>
      </c>
      <c r="AG104" s="36" t="n">
        <v>22.2</v>
      </c>
      <c r="AH104" s="37" t="n">
        <v>22.04</v>
      </c>
      <c r="AI104" s="37" t="n">
        <v>25.29</v>
      </c>
      <c r="AJ104" s="37" t="n">
        <v>27.21</v>
      </c>
      <c r="AK104" s="37" t="n">
        <v>26.78</v>
      </c>
      <c r="AL104" s="37" t="n">
        <v>18.95</v>
      </c>
      <c r="AM104" s="37" t="n">
        <v>26.11</v>
      </c>
      <c r="AN104" s="37" t="n">
        <v>22.48</v>
      </c>
      <c r="AO104" s="37" t="n">
        <v>22.3</v>
      </c>
      <c r="AP104" s="37" t="n">
        <v>21.79</v>
      </c>
      <c r="AQ104" s="37" t="n">
        <v>21.96</v>
      </c>
      <c r="AR104" s="37" t="n">
        <v>21.58</v>
      </c>
      <c r="AS104" s="37" t="n">
        <v>17.54</v>
      </c>
      <c r="AT104" s="37" t="n">
        <v>28.18</v>
      </c>
      <c r="AU104" s="37" t="n">
        <v>25.47</v>
      </c>
      <c r="AV104" s="37" t="n">
        <v>22.69</v>
      </c>
      <c r="AW104" s="37" t="n">
        <v>21.53</v>
      </c>
      <c r="AX104" s="37" t="n">
        <v>21.38</v>
      </c>
      <c r="AY104" s="37" t="n">
        <v>21.23</v>
      </c>
      <c r="AZ104" s="37" t="n">
        <v>17.62</v>
      </c>
      <c r="BA104" s="37" t="n">
        <v>25.42</v>
      </c>
      <c r="BB104" s="37" t="n">
        <v>23.71</v>
      </c>
      <c r="BC104" s="37" t="n">
        <v>12</v>
      </c>
      <c r="BD104" s="37" t="n">
        <v>17.13</v>
      </c>
      <c r="BE104" s="37" t="n">
        <v>39.79</v>
      </c>
      <c r="BF104" s="37" t="n">
        <v>38.69</v>
      </c>
      <c r="BG104" s="37" t="n">
        <v>18.95</v>
      </c>
      <c r="BH104" s="37" t="n">
        <v>28.14</v>
      </c>
      <c r="BI104" s="37" t="n">
        <v>23.71</v>
      </c>
      <c r="BJ104" s="37" t="n">
        <v>18.12</v>
      </c>
      <c r="BK104" s="37" t="n">
        <v>24.14</v>
      </c>
      <c r="BL104" s="37" t="n">
        <v>24.17</v>
      </c>
      <c r="BM104" s="37" t="n">
        <v>23.47</v>
      </c>
      <c r="BN104" s="37" t="n">
        <v>18.95</v>
      </c>
      <c r="BO104" s="37" t="n">
        <v>28.14</v>
      </c>
      <c r="BP104" s="37" t="n">
        <v>23.71</v>
      </c>
      <c r="BQ104" s="37" t="n">
        <v>23.52</v>
      </c>
      <c r="BR104" s="37" t="n">
        <v>24.14</v>
      </c>
      <c r="BS104" s="37" t="n">
        <v>24.17</v>
      </c>
      <c r="BT104" s="37" t="n">
        <v>23.47</v>
      </c>
      <c r="BU104" s="37" t="n">
        <v>18.95</v>
      </c>
      <c r="BV104" s="37" t="n">
        <v>28.14</v>
      </c>
      <c r="BW104" s="37" t="n">
        <v>23.71</v>
      </c>
      <c r="BX104" s="37" t="n">
        <v>23.52</v>
      </c>
      <c r="BY104" s="37" t="n">
        <v>24.14</v>
      </c>
      <c r="BZ104" s="37" t="n">
        <v>24.17</v>
      </c>
      <c r="CA104" s="37" t="n">
        <v>23.47</v>
      </c>
      <c r="CB104" s="37" t="n">
        <v>18.95</v>
      </c>
      <c r="CC104" s="37" t="n">
        <v>1594.310000000001</v>
      </c>
    </row>
    <row r="105" ht="15.75" customHeight="1" s="57">
      <c r="A105" s="7" t="inlineStr">
        <is>
          <t>NTB</t>
        </is>
      </c>
      <c r="B105" s="7" t="inlineStr">
        <is>
          <t>Bình Thuận</t>
        </is>
      </c>
      <c r="C105" s="7" t="n">
        <v>22549000</v>
      </c>
      <c r="D105" s="7" t="inlineStr">
        <is>
          <t>(BTH) Phan Rí Cửa</t>
        </is>
      </c>
      <c r="E105" s="7" t="inlineStr">
        <is>
          <t>SME</t>
        </is>
      </c>
      <c r="F105" s="36" t="n">
        <v>48</v>
      </c>
      <c r="G105" s="36" t="n">
        <v>71</v>
      </c>
      <c r="H105" s="36" t="n">
        <v>67</v>
      </c>
      <c r="I105" s="36" t="n">
        <v>68</v>
      </c>
      <c r="J105" s="36" t="n">
        <v>57</v>
      </c>
      <c r="K105" s="28" t="n">
        <v>49</v>
      </c>
      <c r="L105" s="36" t="n">
        <v>110</v>
      </c>
      <c r="M105" s="36" t="n">
        <v>60</v>
      </c>
      <c r="N105" s="36" t="n">
        <v>58</v>
      </c>
      <c r="O105" s="36" t="n">
        <v>51</v>
      </c>
      <c r="P105" s="36" t="n">
        <v>79</v>
      </c>
      <c r="Q105" s="36" t="n">
        <v>42</v>
      </c>
      <c r="R105" s="28" t="n">
        <v>24</v>
      </c>
      <c r="S105" s="36" t="n">
        <v>12</v>
      </c>
      <c r="T105" s="36" t="n">
        <v>23</v>
      </c>
      <c r="U105" s="36" t="n">
        <v>50.01000000000001</v>
      </c>
      <c r="V105" s="36" t="n">
        <v>52.02</v>
      </c>
      <c r="W105" s="36" t="n">
        <v>50.5</v>
      </c>
      <c r="X105" s="36" t="n">
        <v>41.43</v>
      </c>
      <c r="Y105" s="28" t="n">
        <v>56.02</v>
      </c>
      <c r="Z105" s="36" t="n">
        <v>51.65</v>
      </c>
      <c r="AA105" s="36" t="n">
        <v>50.27</v>
      </c>
      <c r="AB105" s="36" t="n">
        <v>50.01000000000001</v>
      </c>
      <c r="AC105" s="36" t="n">
        <v>52.02</v>
      </c>
      <c r="AD105" s="36" t="n">
        <v>37.85</v>
      </c>
      <c r="AE105" s="36" t="n">
        <v>41.43</v>
      </c>
      <c r="AF105" s="28" t="n">
        <v>56.02</v>
      </c>
      <c r="AG105" s="36" t="n">
        <v>51.65</v>
      </c>
      <c r="AH105" s="37" t="n">
        <v>50.27</v>
      </c>
      <c r="AI105" s="37" t="n">
        <v>50.01000000000001</v>
      </c>
      <c r="AJ105" s="37" t="n">
        <v>52.02</v>
      </c>
      <c r="AK105" s="37" t="n">
        <v>50.5</v>
      </c>
      <c r="AL105" s="37" t="n">
        <v>41.43</v>
      </c>
      <c r="AM105" s="37" t="n">
        <v>56.02</v>
      </c>
      <c r="AN105" s="37" t="n">
        <v>51.65</v>
      </c>
      <c r="AO105" s="37" t="n">
        <v>50.27</v>
      </c>
      <c r="AP105" s="37" t="n">
        <v>50.01000000000001</v>
      </c>
      <c r="AQ105" s="37" t="n">
        <v>52.02</v>
      </c>
      <c r="AR105" s="37" t="n">
        <v>50.5</v>
      </c>
      <c r="AS105" s="37" t="n">
        <v>41.43</v>
      </c>
      <c r="AT105" s="37" t="n">
        <v>56.02</v>
      </c>
      <c r="AU105" s="37" t="n">
        <v>51.65</v>
      </c>
      <c r="AV105" s="37" t="n">
        <v>50.27</v>
      </c>
      <c r="AW105" s="37" t="n">
        <v>50.01000000000001</v>
      </c>
      <c r="AX105" s="37" t="n">
        <v>52.02</v>
      </c>
      <c r="AY105" s="37" t="n">
        <v>50.5</v>
      </c>
      <c r="AZ105" s="37" t="n">
        <v>41.43</v>
      </c>
      <c r="BA105" s="37" t="n">
        <v>53.25</v>
      </c>
      <c r="BB105" s="37" t="n">
        <v>47.20999999999999</v>
      </c>
      <c r="BC105" s="37" t="n">
        <v>28.82</v>
      </c>
      <c r="BD105" s="37" t="n">
        <v>22.44</v>
      </c>
      <c r="BE105" s="37" t="n">
        <v>48.73</v>
      </c>
      <c r="BF105" s="37" t="n">
        <v>47.4</v>
      </c>
      <c r="BG105" s="37" t="n">
        <v>42.67</v>
      </c>
      <c r="BH105" s="37" t="n">
        <v>57.72</v>
      </c>
      <c r="BI105" s="37" t="n">
        <v>53.3</v>
      </c>
      <c r="BJ105" s="37" t="n">
        <v>38.77</v>
      </c>
      <c r="BK105" s="37" t="n">
        <v>51.48</v>
      </c>
      <c r="BL105" s="37" t="n">
        <v>53.62</v>
      </c>
      <c r="BM105" s="37" t="n">
        <v>51.97</v>
      </c>
      <c r="BN105" s="37" t="n">
        <v>42.67</v>
      </c>
      <c r="BO105" s="37" t="n">
        <v>57.72</v>
      </c>
      <c r="BP105" s="37" t="n">
        <v>53.3</v>
      </c>
      <c r="BQ105" s="37" t="n">
        <v>51.73999999999999</v>
      </c>
      <c r="BR105" s="37" t="n">
        <v>51.48</v>
      </c>
      <c r="BS105" s="37" t="n">
        <v>53.62</v>
      </c>
      <c r="BT105" s="37" t="n">
        <v>51.97</v>
      </c>
      <c r="BU105" s="37" t="n">
        <v>42.67</v>
      </c>
      <c r="BV105" s="37" t="n">
        <v>57.72</v>
      </c>
      <c r="BW105" s="37" t="n">
        <v>53.3</v>
      </c>
      <c r="BX105" s="37" t="n">
        <v>51.73999999999999</v>
      </c>
      <c r="BY105" s="37" t="n">
        <v>51.48</v>
      </c>
      <c r="BZ105" s="37" t="n">
        <v>53.62</v>
      </c>
      <c r="CA105" s="37" t="n">
        <v>51.97</v>
      </c>
      <c r="CB105" s="37" t="n">
        <v>42.67</v>
      </c>
      <c r="CC105" s="37" t="n">
        <v>3772.96</v>
      </c>
    </row>
    <row r="106" ht="15.75" customHeight="1" s="57">
      <c r="A106" s="7" t="inlineStr">
        <is>
          <t>NTB</t>
        </is>
      </c>
      <c r="B106" s="7" t="inlineStr">
        <is>
          <t>Bình Thuận</t>
        </is>
      </c>
      <c r="C106" s="7" t="n">
        <v>22549000</v>
      </c>
      <c r="D106" s="7" t="inlineStr">
        <is>
          <t>(BTH) Phan Rí Cửa</t>
        </is>
      </c>
      <c r="E106" s="7" t="inlineStr">
        <is>
          <t>SME-Bulky</t>
        </is>
      </c>
      <c r="F106" s="36" t="n">
        <v>0</v>
      </c>
      <c r="G106" s="36" t="n">
        <v>2</v>
      </c>
      <c r="H106" s="36" t="n">
        <v>3</v>
      </c>
      <c r="I106" s="36" t="n">
        <v>1</v>
      </c>
      <c r="J106" s="36" t="n">
        <v>5</v>
      </c>
      <c r="K106" s="28" t="n">
        <v>1</v>
      </c>
      <c r="L106" s="36" t="n">
        <v>1</v>
      </c>
      <c r="M106" s="36" t="n">
        <v>1</v>
      </c>
      <c r="N106" s="36" t="n">
        <v>4</v>
      </c>
      <c r="O106" s="36" t="n">
        <v>4</v>
      </c>
      <c r="P106" s="36" t="n">
        <v>2</v>
      </c>
      <c r="Q106" s="36" t="n">
        <v>0</v>
      </c>
      <c r="R106" s="28" t="n">
        <v>0</v>
      </c>
      <c r="S106" s="36" t="n">
        <v>2</v>
      </c>
      <c r="T106" s="36" t="n">
        <v>3</v>
      </c>
      <c r="U106" s="36" t="n">
        <v>2.79</v>
      </c>
      <c r="V106" s="36" t="n">
        <v>2.79</v>
      </c>
      <c r="W106" s="36" t="n">
        <v>2.71</v>
      </c>
      <c r="X106" s="36" t="n">
        <v>1.95</v>
      </c>
      <c r="Y106" s="28" t="n">
        <v>3.44</v>
      </c>
      <c r="Z106" s="36" t="n">
        <v>3.55</v>
      </c>
      <c r="AA106" s="36" t="n">
        <v>2.9</v>
      </c>
      <c r="AB106" s="36" t="n">
        <v>2.79</v>
      </c>
      <c r="AC106" s="36" t="n">
        <v>2.79</v>
      </c>
      <c r="AD106" s="36" t="n">
        <v>2.1</v>
      </c>
      <c r="AE106" s="36" t="n">
        <v>1.95</v>
      </c>
      <c r="AF106" s="28" t="n">
        <v>3.44</v>
      </c>
      <c r="AG106" s="36" t="n">
        <v>3.55</v>
      </c>
      <c r="AH106" s="37" t="n">
        <v>2.9</v>
      </c>
      <c r="AI106" s="37" t="n">
        <v>2.79</v>
      </c>
      <c r="AJ106" s="37" t="n">
        <v>2.79</v>
      </c>
      <c r="AK106" s="37" t="n">
        <v>2.71</v>
      </c>
      <c r="AL106" s="37" t="n">
        <v>1.95</v>
      </c>
      <c r="AM106" s="37" t="n">
        <v>3.44</v>
      </c>
      <c r="AN106" s="37" t="n">
        <v>3.55</v>
      </c>
      <c r="AO106" s="37" t="n">
        <v>2.9</v>
      </c>
      <c r="AP106" s="37" t="n">
        <v>2.79</v>
      </c>
      <c r="AQ106" s="37" t="n">
        <v>2.79</v>
      </c>
      <c r="AR106" s="37" t="n">
        <v>2.71</v>
      </c>
      <c r="AS106" s="37" t="n">
        <v>1.95</v>
      </c>
      <c r="AT106" s="37" t="n">
        <v>3.44</v>
      </c>
      <c r="AU106" s="37" t="n">
        <v>3.55</v>
      </c>
      <c r="AV106" s="37" t="n">
        <v>2.9</v>
      </c>
      <c r="AW106" s="37" t="n">
        <v>2.79</v>
      </c>
      <c r="AX106" s="37" t="n">
        <v>2.79</v>
      </c>
      <c r="AY106" s="37" t="n">
        <v>2.71</v>
      </c>
      <c r="AZ106" s="37" t="n">
        <v>1.95</v>
      </c>
      <c r="BA106" s="37" t="n">
        <v>3.55</v>
      </c>
      <c r="BB106" s="37" t="n">
        <v>1.98</v>
      </c>
      <c r="BC106" s="37" t="n">
        <v>0.95</v>
      </c>
      <c r="BD106" s="37" t="n">
        <v>0.53</v>
      </c>
      <c r="BE106" s="37" t="n">
        <v>1.56</v>
      </c>
      <c r="BF106" s="37" t="n">
        <v>1.53</v>
      </c>
      <c r="BG106" s="37" t="n">
        <v>1.07</v>
      </c>
      <c r="BH106" s="37" t="n">
        <v>1.91</v>
      </c>
      <c r="BI106" s="37" t="n">
        <v>1.98</v>
      </c>
      <c r="BJ106" s="37" t="n">
        <v>1.37</v>
      </c>
      <c r="BK106" s="37" t="n">
        <v>1.56</v>
      </c>
      <c r="BL106" s="37" t="n">
        <v>1.56</v>
      </c>
      <c r="BM106" s="37" t="n">
        <v>1.53</v>
      </c>
      <c r="BN106" s="37" t="n">
        <v>1.07</v>
      </c>
      <c r="BO106" s="37" t="n">
        <v>1.91</v>
      </c>
      <c r="BP106" s="37" t="n">
        <v>1.98</v>
      </c>
      <c r="BQ106" s="37" t="n">
        <v>1.64</v>
      </c>
      <c r="BR106" s="37" t="n">
        <v>1.56</v>
      </c>
      <c r="BS106" s="37" t="n">
        <v>1.56</v>
      </c>
      <c r="BT106" s="37" t="n">
        <v>1.53</v>
      </c>
      <c r="BU106" s="37" t="n">
        <v>1.07</v>
      </c>
      <c r="BV106" s="37" t="n">
        <v>1.91</v>
      </c>
      <c r="BW106" s="37" t="n">
        <v>1.98</v>
      </c>
      <c r="BX106" s="37" t="n">
        <v>1.64</v>
      </c>
      <c r="BY106" s="37" t="n">
        <v>1.56</v>
      </c>
      <c r="BZ106" s="37" t="n">
        <v>1.56</v>
      </c>
      <c r="CA106" s="37" t="n">
        <v>1.53</v>
      </c>
      <c r="CB106" s="37" t="n">
        <v>1.07</v>
      </c>
      <c r="CC106" s="37" t="n">
        <v>163.8</v>
      </c>
    </row>
    <row r="107" ht="15.75" customHeight="1" s="57">
      <c r="A107" s="7" t="inlineStr">
        <is>
          <t>NTB</t>
        </is>
      </c>
      <c r="B107" s="7" t="inlineStr">
        <is>
          <t>Bình Thuận</t>
        </is>
      </c>
      <c r="C107" s="7" t="n">
        <v>22549000</v>
      </c>
      <c r="D107" s="7" t="inlineStr">
        <is>
          <t>(BTH) Phan Rí Cửa</t>
        </is>
      </c>
      <c r="E107" s="7" t="inlineStr">
        <is>
          <t>Shopee</t>
        </is>
      </c>
      <c r="F107" s="36" t="n">
        <v>9</v>
      </c>
      <c r="G107" s="36" t="n">
        <v>14</v>
      </c>
      <c r="H107" s="36" t="n">
        <v>12</v>
      </c>
      <c r="I107" s="36" t="n">
        <v>3</v>
      </c>
      <c r="J107" s="36" t="n">
        <v>3</v>
      </c>
      <c r="K107" s="28" t="n">
        <v>17</v>
      </c>
      <c r="L107" s="36" t="n">
        <v>10</v>
      </c>
      <c r="M107" s="36" t="n">
        <v>8</v>
      </c>
      <c r="N107" s="36" t="n">
        <v>9</v>
      </c>
      <c r="O107" s="36" t="n">
        <v>8</v>
      </c>
      <c r="P107" s="36" t="n">
        <v>8</v>
      </c>
      <c r="Q107" s="36" t="n">
        <v>7</v>
      </c>
      <c r="R107" s="28" t="n">
        <v>7</v>
      </c>
      <c r="S107" s="36" t="n">
        <v>12</v>
      </c>
      <c r="T107" s="36" t="n">
        <v>9</v>
      </c>
      <c r="U107" s="36" t="n">
        <v>7.69</v>
      </c>
      <c r="V107" s="36" t="n">
        <v>7.76</v>
      </c>
      <c r="W107" s="36" t="n">
        <v>7.36</v>
      </c>
      <c r="X107" s="36" t="n">
        <v>6.37</v>
      </c>
      <c r="Y107" s="28" t="n">
        <v>10.29</v>
      </c>
      <c r="Z107" s="36" t="n">
        <v>8.15</v>
      </c>
      <c r="AA107" s="36" t="n">
        <v>9.92</v>
      </c>
      <c r="AB107" s="36" t="n">
        <v>7.82</v>
      </c>
      <c r="AC107" s="36" t="n">
        <v>6.33</v>
      </c>
      <c r="AD107" s="36" t="n">
        <v>12.85</v>
      </c>
      <c r="AE107" s="36" t="n">
        <v>6.79</v>
      </c>
      <c r="AF107" s="28" t="n">
        <v>11.35</v>
      </c>
      <c r="AG107" s="36" t="n">
        <v>8.539999999999999</v>
      </c>
      <c r="AH107" s="37" t="n">
        <v>9.01</v>
      </c>
      <c r="AI107" s="37" t="n">
        <v>7.69</v>
      </c>
      <c r="AJ107" s="37" t="n">
        <v>7.76</v>
      </c>
      <c r="AK107" s="37" t="n">
        <v>8.09</v>
      </c>
      <c r="AL107" s="37" t="n">
        <v>11.47</v>
      </c>
      <c r="AM107" s="37" t="n">
        <v>10.29</v>
      </c>
      <c r="AN107" s="37" t="n">
        <v>8.15</v>
      </c>
      <c r="AO107" s="37" t="n">
        <v>9.01</v>
      </c>
      <c r="AP107" s="37" t="n">
        <v>8.31</v>
      </c>
      <c r="AQ107" s="37" t="n">
        <v>6.11</v>
      </c>
      <c r="AR107" s="37" t="n">
        <v>7.36</v>
      </c>
      <c r="AS107" s="37" t="n">
        <v>6.37</v>
      </c>
      <c r="AT107" s="37" t="n">
        <v>10.29</v>
      </c>
      <c r="AU107" s="37" t="n">
        <v>8.890000000000001</v>
      </c>
      <c r="AV107" s="37" t="n">
        <v>9.220000000000001</v>
      </c>
      <c r="AW107" s="37" t="n">
        <v>7.69</v>
      </c>
      <c r="AX107" s="37" t="n">
        <v>7.76</v>
      </c>
      <c r="AY107" s="37" t="n">
        <v>7.36</v>
      </c>
      <c r="AZ107" s="37" t="n">
        <v>6.37</v>
      </c>
      <c r="BA107" s="37" t="n">
        <v>8.77</v>
      </c>
      <c r="BB107" s="37" t="n">
        <v>6.21</v>
      </c>
      <c r="BC107" s="37" t="n">
        <v>2.76</v>
      </c>
      <c r="BD107" s="37" t="n">
        <v>4.52</v>
      </c>
      <c r="BE107" s="37" t="n">
        <v>9.220000000000001</v>
      </c>
      <c r="BF107" s="37" t="n">
        <v>8.91</v>
      </c>
      <c r="BG107" s="37" t="n">
        <v>6.35</v>
      </c>
      <c r="BH107" s="37" t="n">
        <v>9.9</v>
      </c>
      <c r="BI107" s="37" t="n">
        <v>6.54</v>
      </c>
      <c r="BJ107" s="37" t="n">
        <v>18.28</v>
      </c>
      <c r="BK107" s="37" t="n">
        <v>7.92</v>
      </c>
      <c r="BL107" s="37" t="n">
        <v>7.86</v>
      </c>
      <c r="BM107" s="37" t="n">
        <v>7.16</v>
      </c>
      <c r="BN107" s="37" t="n">
        <v>6.21</v>
      </c>
      <c r="BO107" s="37" t="n">
        <v>9.9</v>
      </c>
      <c r="BP107" s="37" t="n">
        <v>8.640000000000001</v>
      </c>
      <c r="BQ107" s="37" t="n">
        <v>13.16</v>
      </c>
      <c r="BR107" s="37" t="n">
        <v>7.47</v>
      </c>
      <c r="BS107" s="37" t="n">
        <v>7.55</v>
      </c>
      <c r="BT107" s="37" t="n">
        <v>7.16</v>
      </c>
      <c r="BU107" s="37" t="n">
        <v>6.81</v>
      </c>
      <c r="BV107" s="37" t="n">
        <v>8</v>
      </c>
      <c r="BW107" s="37" t="n">
        <v>7.92</v>
      </c>
      <c r="BX107" s="37" t="n">
        <v>8.720000000000001</v>
      </c>
      <c r="BY107" s="37" t="n">
        <v>7.47</v>
      </c>
      <c r="BZ107" s="37" t="n">
        <v>8.130000000000001</v>
      </c>
      <c r="CA107" s="37" t="n">
        <v>7.34</v>
      </c>
      <c r="CB107" s="37" t="n">
        <v>6.21</v>
      </c>
      <c r="CC107" s="37" t="n">
        <v>629.51</v>
      </c>
    </row>
    <row r="108" ht="15.75" customHeight="1" s="57">
      <c r="A108" s="7" t="inlineStr">
        <is>
          <t>NTB</t>
        </is>
      </c>
      <c r="B108" s="7" t="inlineStr">
        <is>
          <t>Bình Thuận</t>
        </is>
      </c>
      <c r="C108" s="7" t="n">
        <v>22549000</v>
      </c>
      <c r="D108" s="7" t="inlineStr">
        <is>
          <t>(BTH) Phan Rí Cửa</t>
        </is>
      </c>
      <c r="E108" s="7" t="inlineStr">
        <is>
          <t>Shopee-Bulky</t>
        </is>
      </c>
      <c r="F108" s="36" t="n">
        <v>0.79</v>
      </c>
      <c r="G108" s="36" t="n">
        <v>0</v>
      </c>
      <c r="H108" s="36" t="n">
        <v>2.36</v>
      </c>
      <c r="I108" s="36" t="n">
        <v>0.79</v>
      </c>
      <c r="J108" s="36" t="n">
        <v>0</v>
      </c>
      <c r="K108" s="28" t="n">
        <v>0.79</v>
      </c>
      <c r="L108" s="36" t="n">
        <v>1.57</v>
      </c>
      <c r="M108" s="36" t="n">
        <v>1.57</v>
      </c>
      <c r="N108" s="36" t="n">
        <v>0</v>
      </c>
      <c r="O108" s="36" t="n">
        <v>0.79</v>
      </c>
      <c r="P108" s="36" t="n">
        <v>0.79</v>
      </c>
      <c r="Q108" s="36" t="n">
        <v>0</v>
      </c>
      <c r="R108" s="28" t="n">
        <v>0.79</v>
      </c>
      <c r="S108" s="36" t="n">
        <v>0.79</v>
      </c>
      <c r="T108" s="36" t="n">
        <v>1.57</v>
      </c>
      <c r="U108" s="36" t="n">
        <v>0.97</v>
      </c>
      <c r="V108" s="36" t="n">
        <v>0.97</v>
      </c>
      <c r="W108" s="36" t="n">
        <v>1.18</v>
      </c>
      <c r="X108" s="36" t="n">
        <v>0.63</v>
      </c>
      <c r="Y108" s="28" t="n">
        <v>1.48</v>
      </c>
      <c r="Z108" s="36" t="n">
        <v>1.13</v>
      </c>
      <c r="AA108" s="36" t="n">
        <v>1.72</v>
      </c>
      <c r="AB108" s="36" t="n">
        <v>1.13</v>
      </c>
      <c r="AC108" s="36" t="n">
        <v>1.08</v>
      </c>
      <c r="AD108" s="36" t="n">
        <v>4.19</v>
      </c>
      <c r="AE108" s="36" t="n">
        <v>3.35</v>
      </c>
      <c r="AF108" s="28" t="n">
        <v>3.27</v>
      </c>
      <c r="AG108" s="36" t="n">
        <v>1.86</v>
      </c>
      <c r="AH108" s="37" t="n">
        <v>1.09</v>
      </c>
      <c r="AI108" s="37" t="n">
        <v>1.22</v>
      </c>
      <c r="AJ108" s="37" t="n">
        <v>1.04</v>
      </c>
      <c r="AK108" s="37" t="n">
        <v>2.4</v>
      </c>
      <c r="AL108" s="37" t="n">
        <v>1.08</v>
      </c>
      <c r="AM108" s="37" t="n">
        <v>2</v>
      </c>
      <c r="AN108" s="37" t="n">
        <v>1.11</v>
      </c>
      <c r="AO108" s="37" t="n">
        <v>1.11</v>
      </c>
      <c r="AP108" s="37" t="n">
        <v>2</v>
      </c>
      <c r="AQ108" s="37" t="n">
        <v>1.46</v>
      </c>
      <c r="AR108" s="37" t="n">
        <v>1.11</v>
      </c>
      <c r="AS108" s="37" t="n">
        <v>0.59</v>
      </c>
      <c r="AT108" s="37" t="n">
        <v>1.42</v>
      </c>
      <c r="AU108" s="37" t="n">
        <v>2.47</v>
      </c>
      <c r="AV108" s="37" t="n">
        <v>2.62</v>
      </c>
      <c r="AW108" s="37" t="n">
        <v>1.02</v>
      </c>
      <c r="AX108" s="37" t="n">
        <v>1.02</v>
      </c>
      <c r="AY108" s="37" t="n">
        <v>1.11</v>
      </c>
      <c r="AZ108" s="37" t="n">
        <v>0.59</v>
      </c>
      <c r="BA108" s="37" t="n">
        <v>1.27</v>
      </c>
      <c r="BB108" s="37" t="n">
        <v>0.83</v>
      </c>
      <c r="BC108" s="37" t="n">
        <v>0.1</v>
      </c>
      <c r="BD108" s="37" t="n">
        <v>0.33</v>
      </c>
      <c r="BE108" s="37" t="n">
        <v>1.29</v>
      </c>
      <c r="BF108" s="37" t="n">
        <v>1.08</v>
      </c>
      <c r="BG108" s="37" t="n">
        <v>0.68</v>
      </c>
      <c r="BH108" s="37" t="n">
        <v>1.55</v>
      </c>
      <c r="BI108" s="37" t="n">
        <v>1.2</v>
      </c>
      <c r="BJ108" s="37" t="n">
        <v>6.46</v>
      </c>
      <c r="BK108" s="37" t="n">
        <v>2.54</v>
      </c>
      <c r="BL108" s="37" t="n">
        <v>1.35</v>
      </c>
      <c r="BM108" s="37" t="n">
        <v>0.9</v>
      </c>
      <c r="BN108" s="37" t="n">
        <v>0.64</v>
      </c>
      <c r="BO108" s="37" t="n">
        <v>1.79</v>
      </c>
      <c r="BP108" s="37" t="n">
        <v>2.54</v>
      </c>
      <c r="BQ108" s="37" t="n">
        <v>1.93</v>
      </c>
      <c r="BR108" s="37" t="n">
        <v>1.08</v>
      </c>
      <c r="BS108" s="37" t="n">
        <v>1.08</v>
      </c>
      <c r="BT108" s="37" t="n">
        <v>0.83</v>
      </c>
      <c r="BU108" s="37" t="n">
        <v>1.32</v>
      </c>
      <c r="BV108" s="37" t="n">
        <v>1.63</v>
      </c>
      <c r="BW108" s="37" t="n">
        <v>1.2</v>
      </c>
      <c r="BX108" s="37" t="n">
        <v>1.18</v>
      </c>
      <c r="BY108" s="37" t="n">
        <v>1.08</v>
      </c>
      <c r="BZ108" s="37" t="n">
        <v>2.21</v>
      </c>
      <c r="CA108" s="37" t="n">
        <v>1.08</v>
      </c>
      <c r="CB108" s="37" t="n">
        <v>0.66</v>
      </c>
      <c r="CC108" s="37" t="n">
        <v>101.85</v>
      </c>
    </row>
    <row r="109" ht="15.75" customHeight="1" s="57">
      <c r="A109" s="7" t="inlineStr">
        <is>
          <t>NTB</t>
        </is>
      </c>
      <c r="B109" s="7" t="inlineStr">
        <is>
          <t>Bình Thuận</t>
        </is>
      </c>
      <c r="C109" s="7" t="n">
        <v>22549000</v>
      </c>
      <c r="D109" s="7" t="inlineStr">
        <is>
          <t>(BTH) Phan Rí Cửa</t>
        </is>
      </c>
      <c r="E109" s="7" t="inlineStr">
        <is>
          <t>Shopee-Bulky (10-15kg)</t>
        </is>
      </c>
      <c r="F109" s="36" t="n">
        <v>0.21</v>
      </c>
      <c r="G109" s="36" t="n">
        <v>0</v>
      </c>
      <c r="H109" s="36" t="n">
        <v>0.64</v>
      </c>
      <c r="I109" s="36" t="n">
        <v>0.21</v>
      </c>
      <c r="J109" s="36" t="n">
        <v>0</v>
      </c>
      <c r="K109" s="28" t="n">
        <v>0.21</v>
      </c>
      <c r="L109" s="36" t="n">
        <v>0.43</v>
      </c>
      <c r="M109" s="36" t="n">
        <v>0.43</v>
      </c>
      <c r="N109" s="36" t="n">
        <v>0</v>
      </c>
      <c r="O109" s="36" t="n">
        <v>0.21</v>
      </c>
      <c r="P109" s="36" t="n">
        <v>0.21</v>
      </c>
      <c r="Q109" s="36" t="n">
        <v>0</v>
      </c>
      <c r="R109" s="28" t="n">
        <v>0.21</v>
      </c>
      <c r="S109" s="36" t="n">
        <v>0.21</v>
      </c>
      <c r="T109" s="36" t="n">
        <v>0.43</v>
      </c>
      <c r="U109" s="36" t="n">
        <v>0.24</v>
      </c>
      <c r="V109" s="36" t="n">
        <v>0.23</v>
      </c>
      <c r="W109" s="36" t="n">
        <v>0.28</v>
      </c>
      <c r="X109" s="36" t="n">
        <v>0.14</v>
      </c>
      <c r="Y109" s="28" t="n">
        <v>0.38</v>
      </c>
      <c r="Z109" s="36" t="n">
        <v>0.26</v>
      </c>
      <c r="AA109" s="36" t="n">
        <v>0.38</v>
      </c>
      <c r="AB109" s="36" t="n">
        <v>0.26</v>
      </c>
      <c r="AC109" s="36" t="n">
        <v>0.28</v>
      </c>
      <c r="AD109" s="36" t="n">
        <v>1.72</v>
      </c>
      <c r="AE109" s="36" t="n">
        <v>0.76</v>
      </c>
      <c r="AF109" s="28" t="n">
        <v>0.64</v>
      </c>
      <c r="AG109" s="36" t="n">
        <v>0.49</v>
      </c>
      <c r="AH109" s="37" t="n">
        <v>0.26</v>
      </c>
      <c r="AI109" s="37" t="n">
        <v>0.26</v>
      </c>
      <c r="AJ109" s="37" t="n">
        <v>0.23</v>
      </c>
      <c r="AK109" s="37" t="n">
        <v>0.64</v>
      </c>
      <c r="AL109" s="37" t="n">
        <v>0.24</v>
      </c>
      <c r="AM109" s="37" t="n">
        <v>0.45</v>
      </c>
      <c r="AN109" s="37" t="n">
        <v>0.26</v>
      </c>
      <c r="AO109" s="37" t="n">
        <v>0.26</v>
      </c>
      <c r="AP109" s="37" t="n">
        <v>0.5</v>
      </c>
      <c r="AQ109" s="37" t="n">
        <v>0.31</v>
      </c>
      <c r="AR109" s="37" t="n">
        <v>0.26</v>
      </c>
      <c r="AS109" s="37" t="n">
        <v>0.1</v>
      </c>
      <c r="AT109" s="37" t="n">
        <v>0.33</v>
      </c>
      <c r="AU109" s="37" t="n">
        <v>0.57</v>
      </c>
      <c r="AV109" s="37" t="n">
        <v>0.68</v>
      </c>
      <c r="AW109" s="37" t="n">
        <v>0.26</v>
      </c>
      <c r="AX109" s="37" t="n">
        <v>0.23</v>
      </c>
      <c r="AY109" s="37" t="n">
        <v>0.24</v>
      </c>
      <c r="AZ109" s="37" t="n">
        <v>0.1</v>
      </c>
      <c r="BA109" s="37" t="n">
        <v>0.3</v>
      </c>
      <c r="BB109" s="37" t="n">
        <v>0.19</v>
      </c>
      <c r="BC109" s="37" t="n">
        <v>0.03</v>
      </c>
      <c r="BD109" s="37" t="n">
        <v>0.07000000000000001</v>
      </c>
      <c r="BE109" s="37" t="n">
        <v>0.28</v>
      </c>
      <c r="BF109" s="37" t="n">
        <v>0.24</v>
      </c>
      <c r="BG109" s="37" t="n">
        <v>0.12</v>
      </c>
      <c r="BH109" s="37" t="n">
        <v>0.35</v>
      </c>
      <c r="BI109" s="37" t="n">
        <v>0.28</v>
      </c>
      <c r="BJ109" s="37" t="n">
        <v>2.01</v>
      </c>
      <c r="BK109" s="37" t="n">
        <v>0.73</v>
      </c>
      <c r="BL109" s="37" t="n">
        <v>0.35</v>
      </c>
      <c r="BM109" s="37" t="n">
        <v>0.23</v>
      </c>
      <c r="BN109" s="37" t="n">
        <v>0.12</v>
      </c>
      <c r="BO109" s="37" t="n">
        <v>0.52</v>
      </c>
      <c r="BP109" s="37" t="n">
        <v>0.73</v>
      </c>
      <c r="BQ109" s="37" t="n">
        <v>0.5600000000000001</v>
      </c>
      <c r="BR109" s="37" t="n">
        <v>0.3</v>
      </c>
      <c r="BS109" s="37" t="n">
        <v>0.24</v>
      </c>
      <c r="BT109" s="37" t="n">
        <v>0.19</v>
      </c>
      <c r="BU109" s="37" t="n">
        <v>0.31</v>
      </c>
      <c r="BV109" s="37" t="n">
        <v>0.38</v>
      </c>
      <c r="BW109" s="37" t="n">
        <v>0.28</v>
      </c>
      <c r="BX109" s="37" t="n">
        <v>0.28</v>
      </c>
      <c r="BY109" s="37" t="n">
        <v>0.3</v>
      </c>
      <c r="BZ109" s="37" t="n">
        <v>0.66</v>
      </c>
      <c r="CA109" s="37" t="n">
        <v>0.28</v>
      </c>
      <c r="CB109" s="37" t="n">
        <v>0.12</v>
      </c>
      <c r="CC109" s="37" t="n">
        <v>26.09000000000001</v>
      </c>
    </row>
    <row r="110" ht="15.75" customHeight="1" s="57">
      <c r="A110" s="7" t="inlineStr">
        <is>
          <t>NTB</t>
        </is>
      </c>
      <c r="B110" s="7" t="inlineStr">
        <is>
          <t>Bình Thuận</t>
        </is>
      </c>
      <c r="C110" s="7" t="n">
        <v>22549000</v>
      </c>
      <c r="D110" s="7" t="inlineStr">
        <is>
          <t>(BTH) Phan Rí Cửa</t>
        </is>
      </c>
      <c r="E110" s="7" t="inlineStr">
        <is>
          <t>TTS</t>
        </is>
      </c>
      <c r="F110" s="36" t="n">
        <v>6</v>
      </c>
      <c r="G110" s="36" t="n">
        <v>10</v>
      </c>
      <c r="H110" s="36" t="n">
        <v>6</v>
      </c>
      <c r="I110" s="36" t="n">
        <v>4</v>
      </c>
      <c r="J110" s="36" t="n">
        <v>5</v>
      </c>
      <c r="K110" s="28" t="n">
        <v>3</v>
      </c>
      <c r="L110" s="36" t="n">
        <v>8</v>
      </c>
      <c r="M110" s="36" t="n">
        <v>2</v>
      </c>
      <c r="N110" s="36" t="n">
        <v>10</v>
      </c>
      <c r="O110" s="36" t="n">
        <v>12</v>
      </c>
      <c r="P110" s="36" t="n">
        <v>2</v>
      </c>
      <c r="Q110" s="36" t="n">
        <v>7</v>
      </c>
      <c r="R110" s="28" t="n">
        <v>7</v>
      </c>
      <c r="S110" s="36" t="n">
        <v>11</v>
      </c>
      <c r="T110" s="36" t="n">
        <v>9</v>
      </c>
      <c r="U110" s="36" t="n">
        <v>16.06</v>
      </c>
      <c r="V110" s="36" t="n">
        <v>15.86</v>
      </c>
      <c r="W110" s="36" t="n">
        <v>15.45</v>
      </c>
      <c r="X110" s="36" t="n">
        <v>12.38</v>
      </c>
      <c r="Y110" s="28" t="n">
        <v>18.15</v>
      </c>
      <c r="Z110" s="36" t="n">
        <v>15.45</v>
      </c>
      <c r="AA110" s="36" t="n">
        <v>17.1</v>
      </c>
      <c r="AB110" s="36" t="n">
        <v>19.11</v>
      </c>
      <c r="AC110" s="36" t="n">
        <v>20.16</v>
      </c>
      <c r="AD110" s="36" t="n">
        <v>16.95</v>
      </c>
      <c r="AE110" s="36" t="n">
        <v>14.38</v>
      </c>
      <c r="AF110" s="28" t="n">
        <v>18.7</v>
      </c>
      <c r="AG110" s="36" t="n">
        <v>15.7</v>
      </c>
      <c r="AH110" s="37" t="n">
        <v>15.59</v>
      </c>
      <c r="AI110" s="37" t="n">
        <v>17.89</v>
      </c>
      <c r="AJ110" s="37" t="n">
        <v>19.24</v>
      </c>
      <c r="AK110" s="37" t="n">
        <v>18.94</v>
      </c>
      <c r="AL110" s="37" t="n">
        <v>13.41</v>
      </c>
      <c r="AM110" s="37" t="n">
        <v>18.47</v>
      </c>
      <c r="AN110" s="37" t="n">
        <v>15.9</v>
      </c>
      <c r="AO110" s="37" t="n">
        <v>15.77</v>
      </c>
      <c r="AP110" s="37" t="n">
        <v>15.41</v>
      </c>
      <c r="AQ110" s="37" t="n">
        <v>15.53</v>
      </c>
      <c r="AR110" s="37" t="n">
        <v>15.26</v>
      </c>
      <c r="AS110" s="37" t="n">
        <v>12.41</v>
      </c>
      <c r="AT110" s="37" t="n">
        <v>19.93</v>
      </c>
      <c r="AU110" s="37" t="n">
        <v>18.01</v>
      </c>
      <c r="AV110" s="37" t="n">
        <v>16.05</v>
      </c>
      <c r="AW110" s="37" t="n">
        <v>15.23</v>
      </c>
      <c r="AX110" s="37" t="n">
        <v>15.12</v>
      </c>
      <c r="AY110" s="37" t="n">
        <v>15.02</v>
      </c>
      <c r="AZ110" s="37" t="n">
        <v>12.47</v>
      </c>
      <c r="BA110" s="37" t="n">
        <v>17.98</v>
      </c>
      <c r="BB110" s="37" t="n">
        <v>16.77</v>
      </c>
      <c r="BC110" s="37" t="n">
        <v>8.48</v>
      </c>
      <c r="BD110" s="37" t="n">
        <v>12.12</v>
      </c>
      <c r="BE110" s="37" t="n">
        <v>28.15</v>
      </c>
      <c r="BF110" s="37" t="n">
        <v>27.37</v>
      </c>
      <c r="BG110" s="37" t="n">
        <v>13.41</v>
      </c>
      <c r="BH110" s="37" t="n">
        <v>19.91</v>
      </c>
      <c r="BI110" s="37" t="n">
        <v>16.77</v>
      </c>
      <c r="BJ110" s="37" t="n">
        <v>12.81</v>
      </c>
      <c r="BK110" s="37" t="n">
        <v>17.07</v>
      </c>
      <c r="BL110" s="37" t="n">
        <v>17.1</v>
      </c>
      <c r="BM110" s="37" t="n">
        <v>16.6</v>
      </c>
      <c r="BN110" s="37" t="n">
        <v>13.41</v>
      </c>
      <c r="BO110" s="37" t="n">
        <v>19.91</v>
      </c>
      <c r="BP110" s="37" t="n">
        <v>16.77</v>
      </c>
      <c r="BQ110" s="37" t="n">
        <v>16.63</v>
      </c>
      <c r="BR110" s="37" t="n">
        <v>17.07</v>
      </c>
      <c r="BS110" s="37" t="n">
        <v>17.1</v>
      </c>
      <c r="BT110" s="37" t="n">
        <v>16.6</v>
      </c>
      <c r="BU110" s="37" t="n">
        <v>13.41</v>
      </c>
      <c r="BV110" s="37" t="n">
        <v>19.91</v>
      </c>
      <c r="BW110" s="37" t="n">
        <v>16.77</v>
      </c>
      <c r="BX110" s="37" t="n">
        <v>16.63</v>
      </c>
      <c r="BY110" s="37" t="n">
        <v>17.07</v>
      </c>
      <c r="BZ110" s="37" t="n">
        <v>17.1</v>
      </c>
      <c r="CA110" s="37" t="n">
        <v>16.6</v>
      </c>
      <c r="CB110" s="37" t="n">
        <v>13.41</v>
      </c>
      <c r="CC110" s="37" t="n">
        <v>1096.03</v>
      </c>
    </row>
    <row r="111" ht="15.75" customHeight="1" s="57">
      <c r="A111" s="7" t="inlineStr">
        <is>
          <t>NTB</t>
        </is>
      </c>
      <c r="B111" s="7" t="inlineStr">
        <is>
          <t>Bình Thuận</t>
        </is>
      </c>
      <c r="C111" s="7" t="n">
        <v>22934000</v>
      </c>
      <c r="D111" s="7" t="inlineStr">
        <is>
          <t>(BTH) Lương Sơn</t>
        </is>
      </c>
      <c r="E111" s="7" t="inlineStr">
        <is>
          <t>SME</t>
        </is>
      </c>
      <c r="F111" s="36" t="n">
        <v>12</v>
      </c>
      <c r="G111" s="36" t="n">
        <v>57</v>
      </c>
      <c r="H111" s="36" t="n">
        <v>9</v>
      </c>
      <c r="I111" s="36" t="n">
        <v>12</v>
      </c>
      <c r="J111" s="36" t="n">
        <v>8</v>
      </c>
      <c r="K111" s="28" t="n">
        <v>4</v>
      </c>
      <c r="L111" s="36" t="n">
        <v>10</v>
      </c>
      <c r="M111" s="36" t="n">
        <v>11</v>
      </c>
      <c r="N111" s="36" t="n">
        <v>12</v>
      </c>
      <c r="O111" s="36" t="n">
        <v>15</v>
      </c>
      <c r="P111" s="36" t="n">
        <v>53</v>
      </c>
      <c r="Q111" s="36" t="n">
        <v>8</v>
      </c>
      <c r="R111" s="28" t="n">
        <v>11</v>
      </c>
      <c r="S111" s="36" t="n">
        <v>10</v>
      </c>
      <c r="T111" s="36" t="n">
        <v>16</v>
      </c>
      <c r="U111" s="36" t="n">
        <v>15.81</v>
      </c>
      <c r="V111" s="36" t="n">
        <v>16.44</v>
      </c>
      <c r="W111" s="36" t="n">
        <v>15.97</v>
      </c>
      <c r="X111" s="36" t="n">
        <v>13.07</v>
      </c>
      <c r="Y111" s="28" t="n">
        <v>17.73</v>
      </c>
      <c r="Z111" s="36" t="n">
        <v>16.33</v>
      </c>
      <c r="AA111" s="36" t="n">
        <v>15.9</v>
      </c>
      <c r="AB111" s="36" t="n">
        <v>15.81</v>
      </c>
      <c r="AC111" s="36" t="n">
        <v>16.44</v>
      </c>
      <c r="AD111" s="36" t="n">
        <v>12.17</v>
      </c>
      <c r="AE111" s="36" t="n">
        <v>13.07</v>
      </c>
      <c r="AF111" s="28" t="n">
        <v>17.73</v>
      </c>
      <c r="AG111" s="36" t="n">
        <v>16.33</v>
      </c>
      <c r="AH111" s="37" t="n">
        <v>15.9</v>
      </c>
      <c r="AI111" s="37" t="n">
        <v>15.81</v>
      </c>
      <c r="AJ111" s="37" t="n">
        <v>16.44</v>
      </c>
      <c r="AK111" s="37" t="n">
        <v>15.97</v>
      </c>
      <c r="AL111" s="37" t="n">
        <v>13.07</v>
      </c>
      <c r="AM111" s="37" t="n">
        <v>17.73</v>
      </c>
      <c r="AN111" s="37" t="n">
        <v>16.33</v>
      </c>
      <c r="AO111" s="37" t="n">
        <v>15.9</v>
      </c>
      <c r="AP111" s="37" t="n">
        <v>15.81</v>
      </c>
      <c r="AQ111" s="37" t="n">
        <v>16.44</v>
      </c>
      <c r="AR111" s="37" t="n">
        <v>15.97</v>
      </c>
      <c r="AS111" s="37" t="n">
        <v>13.07</v>
      </c>
      <c r="AT111" s="37" t="n">
        <v>17.73</v>
      </c>
      <c r="AU111" s="37" t="n">
        <v>16.33</v>
      </c>
      <c r="AV111" s="37" t="n">
        <v>15.9</v>
      </c>
      <c r="AW111" s="37" t="n">
        <v>15.81</v>
      </c>
      <c r="AX111" s="37" t="n">
        <v>16.44</v>
      </c>
      <c r="AY111" s="37" t="n">
        <v>15.97</v>
      </c>
      <c r="AZ111" s="37" t="n">
        <v>13.07</v>
      </c>
      <c r="BA111" s="37" t="n">
        <v>16.83</v>
      </c>
      <c r="BB111" s="37" t="n">
        <v>14.93</v>
      </c>
      <c r="BC111" s="37" t="n">
        <v>9.09</v>
      </c>
      <c r="BD111" s="37" t="n">
        <v>7.02</v>
      </c>
      <c r="BE111" s="37" t="n">
        <v>15.4</v>
      </c>
      <c r="BF111" s="37" t="n">
        <v>14.99</v>
      </c>
      <c r="BG111" s="37" t="n">
        <v>13.45</v>
      </c>
      <c r="BH111" s="37" t="n">
        <v>18.25</v>
      </c>
      <c r="BI111" s="37" t="n">
        <v>16.83</v>
      </c>
      <c r="BJ111" s="37" t="n">
        <v>12.46</v>
      </c>
      <c r="BK111" s="37" t="n">
        <v>16.26</v>
      </c>
      <c r="BL111" s="37" t="n">
        <v>16.93</v>
      </c>
      <c r="BM111" s="37" t="n">
        <v>16.42</v>
      </c>
      <c r="BN111" s="37" t="n">
        <v>13.45</v>
      </c>
      <c r="BO111" s="37" t="n">
        <v>18.25</v>
      </c>
      <c r="BP111" s="37" t="n">
        <v>16.83</v>
      </c>
      <c r="BQ111" s="37" t="n">
        <v>16.35</v>
      </c>
      <c r="BR111" s="37" t="n">
        <v>16.26</v>
      </c>
      <c r="BS111" s="37" t="n">
        <v>16.93</v>
      </c>
      <c r="BT111" s="37" t="n">
        <v>16.42</v>
      </c>
      <c r="BU111" s="37" t="n">
        <v>13.45</v>
      </c>
      <c r="BV111" s="37" t="n">
        <v>18.25</v>
      </c>
      <c r="BW111" s="37" t="n">
        <v>16.83</v>
      </c>
      <c r="BX111" s="37" t="n">
        <v>16.35</v>
      </c>
      <c r="BY111" s="37" t="n">
        <v>16.26</v>
      </c>
      <c r="BZ111" s="37" t="n">
        <v>16.93</v>
      </c>
      <c r="CA111" s="37" t="n">
        <v>16.42</v>
      </c>
      <c r="CB111" s="37" t="n">
        <v>13.45</v>
      </c>
      <c r="CC111" s="37" t="n">
        <v>1181.78</v>
      </c>
    </row>
    <row r="112" ht="15.75" customHeight="1" s="57">
      <c r="A112" s="7" t="inlineStr">
        <is>
          <t>NTB</t>
        </is>
      </c>
      <c r="B112" s="7" t="inlineStr">
        <is>
          <t>Bình Thuận</t>
        </is>
      </c>
      <c r="C112" s="7" t="n">
        <v>22934000</v>
      </c>
      <c r="D112" s="7" t="inlineStr">
        <is>
          <t>(BTH) Lương Sơn</t>
        </is>
      </c>
      <c r="E112" s="7" t="inlineStr">
        <is>
          <t>SME-Bulky</t>
        </is>
      </c>
      <c r="F112" s="36" t="n">
        <v>0</v>
      </c>
      <c r="G112" s="36" t="n">
        <v>1</v>
      </c>
      <c r="H112" s="36" t="n">
        <v>0</v>
      </c>
      <c r="I112" s="36" t="n">
        <v>0</v>
      </c>
      <c r="J112" s="36" t="n">
        <v>3</v>
      </c>
      <c r="K112" s="28" t="n">
        <v>0</v>
      </c>
      <c r="L112" s="36" t="n">
        <v>0</v>
      </c>
      <c r="M112" s="36" t="n">
        <v>1</v>
      </c>
      <c r="N112" s="36" t="n">
        <v>0</v>
      </c>
      <c r="O112" s="36" t="n">
        <v>0</v>
      </c>
      <c r="P112" s="36" t="n">
        <v>1</v>
      </c>
      <c r="Q112" s="36" t="n">
        <v>1</v>
      </c>
      <c r="R112" s="28" t="n">
        <v>0</v>
      </c>
      <c r="S112" s="36" t="n">
        <v>2</v>
      </c>
      <c r="T112" s="36" t="n">
        <v>1</v>
      </c>
      <c r="U112" s="36" t="n">
        <v>1.76</v>
      </c>
      <c r="V112" s="36" t="n">
        <v>1.76</v>
      </c>
      <c r="W112" s="36" t="n">
        <v>1.72</v>
      </c>
      <c r="X112" s="36" t="n">
        <v>1.23</v>
      </c>
      <c r="Y112" s="28" t="n">
        <v>2.18</v>
      </c>
      <c r="Z112" s="36" t="n">
        <v>2.25</v>
      </c>
      <c r="AA112" s="36" t="n">
        <v>1.84</v>
      </c>
      <c r="AB112" s="36" t="n">
        <v>1.76</v>
      </c>
      <c r="AC112" s="36" t="n">
        <v>1.76</v>
      </c>
      <c r="AD112" s="36" t="n">
        <v>1.33</v>
      </c>
      <c r="AE112" s="36" t="n">
        <v>1.23</v>
      </c>
      <c r="AF112" s="28" t="n">
        <v>2.18</v>
      </c>
      <c r="AG112" s="36" t="n">
        <v>2.25</v>
      </c>
      <c r="AH112" s="37" t="n">
        <v>1.84</v>
      </c>
      <c r="AI112" s="37" t="n">
        <v>1.76</v>
      </c>
      <c r="AJ112" s="37" t="n">
        <v>1.76</v>
      </c>
      <c r="AK112" s="37" t="n">
        <v>1.72</v>
      </c>
      <c r="AL112" s="37" t="n">
        <v>1.23</v>
      </c>
      <c r="AM112" s="37" t="n">
        <v>2.18</v>
      </c>
      <c r="AN112" s="37" t="n">
        <v>2.25</v>
      </c>
      <c r="AO112" s="37" t="n">
        <v>1.84</v>
      </c>
      <c r="AP112" s="37" t="n">
        <v>1.76</v>
      </c>
      <c r="AQ112" s="37" t="n">
        <v>1.76</v>
      </c>
      <c r="AR112" s="37" t="n">
        <v>1.72</v>
      </c>
      <c r="AS112" s="37" t="n">
        <v>1.23</v>
      </c>
      <c r="AT112" s="37" t="n">
        <v>2.18</v>
      </c>
      <c r="AU112" s="37" t="n">
        <v>2.25</v>
      </c>
      <c r="AV112" s="37" t="n">
        <v>1.84</v>
      </c>
      <c r="AW112" s="37" t="n">
        <v>1.76</v>
      </c>
      <c r="AX112" s="37" t="n">
        <v>1.76</v>
      </c>
      <c r="AY112" s="37" t="n">
        <v>1.72</v>
      </c>
      <c r="AZ112" s="37" t="n">
        <v>1.23</v>
      </c>
      <c r="BA112" s="37" t="n">
        <v>2.25</v>
      </c>
      <c r="BB112" s="37" t="n">
        <v>1.26</v>
      </c>
      <c r="BC112" s="37" t="n">
        <v>0.6</v>
      </c>
      <c r="BD112" s="37" t="n">
        <v>0.34</v>
      </c>
      <c r="BE112" s="37" t="n">
        <v>0.99</v>
      </c>
      <c r="BF112" s="37" t="n">
        <v>0.97</v>
      </c>
      <c r="BG112" s="37" t="n">
        <v>0.68</v>
      </c>
      <c r="BH112" s="37" t="n">
        <v>1.21</v>
      </c>
      <c r="BI112" s="37" t="n">
        <v>1.26</v>
      </c>
      <c r="BJ112" s="37" t="n">
        <v>0.87</v>
      </c>
      <c r="BK112" s="37" t="n">
        <v>0.99</v>
      </c>
      <c r="BL112" s="37" t="n">
        <v>0.99</v>
      </c>
      <c r="BM112" s="37" t="n">
        <v>0.97</v>
      </c>
      <c r="BN112" s="37" t="n">
        <v>0.68</v>
      </c>
      <c r="BO112" s="37" t="n">
        <v>1.21</v>
      </c>
      <c r="BP112" s="37" t="n">
        <v>1.26</v>
      </c>
      <c r="BQ112" s="37" t="n">
        <v>1.04</v>
      </c>
      <c r="BR112" s="37" t="n">
        <v>0.99</v>
      </c>
      <c r="BS112" s="37" t="n">
        <v>0.99</v>
      </c>
      <c r="BT112" s="37" t="n">
        <v>0.97</v>
      </c>
      <c r="BU112" s="37" t="n">
        <v>0.68</v>
      </c>
      <c r="BV112" s="37" t="n">
        <v>1.21</v>
      </c>
      <c r="BW112" s="37" t="n">
        <v>1.26</v>
      </c>
      <c r="BX112" s="37" t="n">
        <v>1.04</v>
      </c>
      <c r="BY112" s="37" t="n">
        <v>0.99</v>
      </c>
      <c r="BZ112" s="37" t="n">
        <v>0.99</v>
      </c>
      <c r="CA112" s="37" t="n">
        <v>0.97</v>
      </c>
      <c r="CB112" s="37" t="n">
        <v>0.68</v>
      </c>
      <c r="CC112" s="37" t="n">
        <v>95.38</v>
      </c>
    </row>
    <row r="113" ht="15.75" customHeight="1" s="57">
      <c r="A113" s="7" t="inlineStr">
        <is>
          <t>NTB</t>
        </is>
      </c>
      <c r="B113" s="7" t="inlineStr">
        <is>
          <t>Bình Thuận</t>
        </is>
      </c>
      <c r="C113" s="7" t="n">
        <v>22934000</v>
      </c>
      <c r="D113" s="7" t="inlineStr">
        <is>
          <t>(BTH) Lương Sơn</t>
        </is>
      </c>
      <c r="E113" s="7" t="inlineStr">
        <is>
          <t>Shopee</t>
        </is>
      </c>
      <c r="F113" s="36" t="n">
        <v>3</v>
      </c>
      <c r="G113" s="36" t="n">
        <v>5</v>
      </c>
      <c r="H113" s="36" t="n">
        <v>2</v>
      </c>
      <c r="I113" s="36" t="n">
        <v>2</v>
      </c>
      <c r="J113" s="36" t="n">
        <v>6</v>
      </c>
      <c r="K113" s="28" t="n">
        <v>1</v>
      </c>
      <c r="L113" s="36" t="n">
        <v>4</v>
      </c>
      <c r="M113" s="36" t="n">
        <v>2</v>
      </c>
      <c r="N113" s="36" t="n">
        <v>5</v>
      </c>
      <c r="O113" s="36" t="n">
        <v>3</v>
      </c>
      <c r="P113" s="36" t="n">
        <v>4</v>
      </c>
      <c r="Q113" s="36" t="n">
        <v>2</v>
      </c>
      <c r="R113" s="28" t="n">
        <v>2</v>
      </c>
      <c r="S113" s="36" t="n">
        <v>4</v>
      </c>
      <c r="T113" s="36" t="n">
        <v>2</v>
      </c>
      <c r="U113" s="36" t="n">
        <v>2.37</v>
      </c>
      <c r="V113" s="36" t="n">
        <v>2.39</v>
      </c>
      <c r="W113" s="36" t="n">
        <v>2.26</v>
      </c>
      <c r="X113" s="36" t="n">
        <v>1.96</v>
      </c>
      <c r="Y113" s="28" t="n">
        <v>3.17</v>
      </c>
      <c r="Z113" s="36" t="n">
        <v>2.51</v>
      </c>
      <c r="AA113" s="36" t="n">
        <v>3.05</v>
      </c>
      <c r="AB113" s="36" t="n">
        <v>2.41</v>
      </c>
      <c r="AC113" s="36" t="n">
        <v>1.95</v>
      </c>
      <c r="AD113" s="36" t="n">
        <v>3.95</v>
      </c>
      <c r="AE113" s="36" t="n">
        <v>2.09</v>
      </c>
      <c r="AF113" s="28" t="n">
        <v>3.49</v>
      </c>
      <c r="AG113" s="36" t="n">
        <v>2.63</v>
      </c>
      <c r="AH113" s="37" t="n">
        <v>2.77</v>
      </c>
      <c r="AI113" s="37" t="n">
        <v>2.37</v>
      </c>
      <c r="AJ113" s="37" t="n">
        <v>2.39</v>
      </c>
      <c r="AK113" s="37" t="n">
        <v>2.49</v>
      </c>
      <c r="AL113" s="37" t="n">
        <v>3.53</v>
      </c>
      <c r="AM113" s="37" t="n">
        <v>3.17</v>
      </c>
      <c r="AN113" s="37" t="n">
        <v>2.51</v>
      </c>
      <c r="AO113" s="37" t="n">
        <v>2.77</v>
      </c>
      <c r="AP113" s="37" t="n">
        <v>2.56</v>
      </c>
      <c r="AQ113" s="37" t="n">
        <v>1.88</v>
      </c>
      <c r="AR113" s="37" t="n">
        <v>2.26</v>
      </c>
      <c r="AS113" s="37" t="n">
        <v>1.96</v>
      </c>
      <c r="AT113" s="37" t="n">
        <v>3.17</v>
      </c>
      <c r="AU113" s="37" t="n">
        <v>2.74</v>
      </c>
      <c r="AV113" s="37" t="n">
        <v>2.84</v>
      </c>
      <c r="AW113" s="37" t="n">
        <v>2.37</v>
      </c>
      <c r="AX113" s="37" t="n">
        <v>2.39</v>
      </c>
      <c r="AY113" s="37" t="n">
        <v>2.26</v>
      </c>
      <c r="AZ113" s="37" t="n">
        <v>1.96</v>
      </c>
      <c r="BA113" s="37" t="n">
        <v>2.7</v>
      </c>
      <c r="BB113" s="37" t="n">
        <v>1.91</v>
      </c>
      <c r="BC113" s="37" t="n">
        <v>0.85</v>
      </c>
      <c r="BD113" s="37" t="n">
        <v>1.39</v>
      </c>
      <c r="BE113" s="37" t="n">
        <v>2.84</v>
      </c>
      <c r="BF113" s="37" t="n">
        <v>2.74</v>
      </c>
      <c r="BG113" s="37" t="n">
        <v>1.95</v>
      </c>
      <c r="BH113" s="37" t="n">
        <v>3.05</v>
      </c>
      <c r="BI113" s="37" t="n">
        <v>2.01</v>
      </c>
      <c r="BJ113" s="37" t="n">
        <v>5.63</v>
      </c>
      <c r="BK113" s="37" t="n">
        <v>2.44</v>
      </c>
      <c r="BL113" s="37" t="n">
        <v>2.42</v>
      </c>
      <c r="BM113" s="37" t="n">
        <v>2.2</v>
      </c>
      <c r="BN113" s="37" t="n">
        <v>1.91</v>
      </c>
      <c r="BO113" s="37" t="n">
        <v>3.05</v>
      </c>
      <c r="BP113" s="37" t="n">
        <v>2.66</v>
      </c>
      <c r="BQ113" s="37" t="n">
        <v>4.05</v>
      </c>
      <c r="BR113" s="37" t="n">
        <v>2.3</v>
      </c>
      <c r="BS113" s="37" t="n">
        <v>2.32</v>
      </c>
      <c r="BT113" s="37" t="n">
        <v>2.2</v>
      </c>
      <c r="BU113" s="37" t="n">
        <v>2.1</v>
      </c>
      <c r="BV113" s="37" t="n">
        <v>2.46</v>
      </c>
      <c r="BW113" s="37" t="n">
        <v>2.44</v>
      </c>
      <c r="BX113" s="37" t="n">
        <v>2.68</v>
      </c>
      <c r="BY113" s="37" t="n">
        <v>2.3</v>
      </c>
      <c r="BZ113" s="37" t="n">
        <v>2.5</v>
      </c>
      <c r="CA113" s="37" t="n">
        <v>2.26</v>
      </c>
      <c r="CB113" s="37" t="n">
        <v>1.91</v>
      </c>
      <c r="CC113" s="37" t="n">
        <v>198.89</v>
      </c>
    </row>
    <row r="114" ht="15.75" customHeight="1" s="57">
      <c r="A114" s="7" t="inlineStr">
        <is>
          <t>NTB</t>
        </is>
      </c>
      <c r="B114" s="7" t="inlineStr">
        <is>
          <t>Bình Thuận</t>
        </is>
      </c>
      <c r="C114" s="7" t="n">
        <v>22934000</v>
      </c>
      <c r="D114" s="7" t="inlineStr">
        <is>
          <t>(BTH) Lương Sơn</t>
        </is>
      </c>
      <c r="E114" s="7" t="inlineStr">
        <is>
          <t>TTS</t>
        </is>
      </c>
      <c r="F114" s="36" t="n">
        <v>18</v>
      </c>
      <c r="G114" s="36" t="n">
        <v>18</v>
      </c>
      <c r="H114" s="36" t="n">
        <v>198</v>
      </c>
      <c r="I114" s="36" t="n">
        <v>110</v>
      </c>
      <c r="J114" s="36" t="n">
        <v>22</v>
      </c>
      <c r="K114" s="28" t="n">
        <v>11</v>
      </c>
      <c r="L114" s="36" t="n">
        <v>48</v>
      </c>
      <c r="M114" s="36" t="n">
        <v>146</v>
      </c>
      <c r="N114" s="36" t="n">
        <v>20</v>
      </c>
      <c r="O114" s="36" t="n">
        <v>11</v>
      </c>
      <c r="P114" s="36" t="n">
        <v>17</v>
      </c>
      <c r="Q114" s="36" t="n">
        <v>14</v>
      </c>
      <c r="R114" s="28" t="n">
        <v>11</v>
      </c>
      <c r="S114" s="36" t="n">
        <v>12</v>
      </c>
      <c r="T114" s="36" t="n">
        <v>17</v>
      </c>
      <c r="U114" s="36" t="n">
        <v>63.98</v>
      </c>
      <c r="V114" s="36" t="n">
        <v>63.15</v>
      </c>
      <c r="W114" s="36" t="n">
        <v>61.53</v>
      </c>
      <c r="X114" s="36" t="n">
        <v>49.32</v>
      </c>
      <c r="Y114" s="28" t="n">
        <v>72.3</v>
      </c>
      <c r="Z114" s="36" t="n">
        <v>61.53</v>
      </c>
      <c r="AA114" s="36" t="n">
        <v>68.09</v>
      </c>
      <c r="AB114" s="36" t="n">
        <v>76.09</v>
      </c>
      <c r="AC114" s="36" t="n">
        <v>80.3</v>
      </c>
      <c r="AD114" s="36" t="n">
        <v>67.48999999999999</v>
      </c>
      <c r="AE114" s="36" t="n">
        <v>57.28</v>
      </c>
      <c r="AF114" s="28" t="n">
        <v>74.47</v>
      </c>
      <c r="AG114" s="36" t="n">
        <v>62.55</v>
      </c>
      <c r="AH114" s="37" t="n">
        <v>62.08</v>
      </c>
      <c r="AI114" s="37" t="n">
        <v>71.23999999999999</v>
      </c>
      <c r="AJ114" s="37" t="n">
        <v>76.65000000000001</v>
      </c>
      <c r="AK114" s="37" t="n">
        <v>75.44</v>
      </c>
      <c r="AL114" s="37" t="n">
        <v>53.39</v>
      </c>
      <c r="AM114" s="37" t="n">
        <v>73.55</v>
      </c>
      <c r="AN114" s="37" t="n">
        <v>63.33</v>
      </c>
      <c r="AO114" s="37" t="n">
        <v>62.82</v>
      </c>
      <c r="AP114" s="37" t="n">
        <v>61.39</v>
      </c>
      <c r="AQ114" s="37" t="n">
        <v>61.85</v>
      </c>
      <c r="AR114" s="37" t="n">
        <v>60.79</v>
      </c>
      <c r="AS114" s="37" t="n">
        <v>49.42</v>
      </c>
      <c r="AT114" s="37" t="n">
        <v>79.37</v>
      </c>
      <c r="AU114" s="37" t="n">
        <v>71.75</v>
      </c>
      <c r="AV114" s="37" t="n">
        <v>63.93</v>
      </c>
      <c r="AW114" s="37" t="n">
        <v>60.65</v>
      </c>
      <c r="AX114" s="37" t="n">
        <v>60.23</v>
      </c>
      <c r="AY114" s="37" t="n">
        <v>59.82</v>
      </c>
      <c r="AZ114" s="37" t="n">
        <v>49.65</v>
      </c>
      <c r="BA114" s="37" t="n">
        <v>71.61</v>
      </c>
      <c r="BB114" s="37" t="n">
        <v>66.8</v>
      </c>
      <c r="BC114" s="37" t="n">
        <v>33.79</v>
      </c>
      <c r="BD114" s="37" t="n">
        <v>48.26</v>
      </c>
      <c r="BE114" s="37" t="n">
        <v>112.1</v>
      </c>
      <c r="BF114" s="37" t="n">
        <v>109.01</v>
      </c>
      <c r="BG114" s="37" t="n">
        <v>53.39</v>
      </c>
      <c r="BH114" s="37" t="n">
        <v>79.28</v>
      </c>
      <c r="BI114" s="37" t="n">
        <v>66.8</v>
      </c>
      <c r="BJ114" s="37" t="n">
        <v>51.04</v>
      </c>
      <c r="BK114" s="37" t="n">
        <v>68</v>
      </c>
      <c r="BL114" s="37" t="n">
        <v>68.09</v>
      </c>
      <c r="BM114" s="37" t="n">
        <v>66.11</v>
      </c>
      <c r="BN114" s="37" t="n">
        <v>53.39</v>
      </c>
      <c r="BO114" s="37" t="n">
        <v>79.28</v>
      </c>
      <c r="BP114" s="37" t="n">
        <v>66.8</v>
      </c>
      <c r="BQ114" s="37" t="n">
        <v>66.23999999999999</v>
      </c>
      <c r="BR114" s="37" t="n">
        <v>68</v>
      </c>
      <c r="BS114" s="37" t="n">
        <v>68.09</v>
      </c>
      <c r="BT114" s="37" t="n">
        <v>66.11</v>
      </c>
      <c r="BU114" s="37" t="n">
        <v>53.39</v>
      </c>
      <c r="BV114" s="37" t="n">
        <v>79.28</v>
      </c>
      <c r="BW114" s="37" t="n">
        <v>66.8</v>
      </c>
      <c r="BX114" s="37" t="n">
        <v>66.23999999999999</v>
      </c>
      <c r="BY114" s="37" t="n">
        <v>68</v>
      </c>
      <c r="BZ114" s="37" t="n">
        <v>68.09</v>
      </c>
      <c r="CA114" s="37" t="n">
        <v>66.11</v>
      </c>
      <c r="CB114" s="37" t="n">
        <v>53.39</v>
      </c>
      <c r="CC114" s="37" t="n">
        <v>4631.920000000001</v>
      </c>
    </row>
    <row r="115" ht="15.75" customHeight="1" s="57">
      <c r="A115" s="7" t="inlineStr">
        <is>
          <t>NTB</t>
        </is>
      </c>
      <c r="B115" s="7" t="inlineStr">
        <is>
          <t>Khánh Hòa</t>
        </is>
      </c>
      <c r="C115" s="7" t="n">
        <v>2399</v>
      </c>
      <c r="D115" s="7" t="inlineStr">
        <is>
          <t>(KHO) Bắc Nha Trang</t>
        </is>
      </c>
      <c r="E115" s="7" t="inlineStr">
        <is>
          <t>SME</t>
        </is>
      </c>
      <c r="F115" s="36" t="n">
        <v>196</v>
      </c>
      <c r="G115" s="36" t="n">
        <v>135</v>
      </c>
      <c r="H115" s="36" t="n">
        <v>119</v>
      </c>
      <c r="I115" s="36" t="n">
        <v>149</v>
      </c>
      <c r="J115" s="36" t="n">
        <v>229</v>
      </c>
      <c r="K115" s="28" t="n">
        <v>120</v>
      </c>
      <c r="L115" s="36" t="n">
        <v>165</v>
      </c>
      <c r="M115" s="36" t="n">
        <v>164</v>
      </c>
      <c r="N115" s="36" t="n">
        <v>104</v>
      </c>
      <c r="O115" s="36" t="n">
        <v>213</v>
      </c>
      <c r="P115" s="36" t="n">
        <v>182</v>
      </c>
      <c r="Q115" s="36" t="n">
        <v>120</v>
      </c>
      <c r="R115" s="28" t="n">
        <v>217</v>
      </c>
      <c r="S115" s="36" t="n">
        <v>203</v>
      </c>
      <c r="T115" s="36" t="n">
        <v>210</v>
      </c>
      <c r="U115" s="36" t="n">
        <v>249.75</v>
      </c>
      <c r="V115" s="36" t="n">
        <v>258.29</v>
      </c>
      <c r="W115" s="36" t="n">
        <v>251.78</v>
      </c>
      <c r="X115" s="36" t="n">
        <v>205.39</v>
      </c>
      <c r="Y115" s="28" t="n">
        <v>278.85</v>
      </c>
      <c r="Z115" s="36" t="n">
        <v>256.29</v>
      </c>
      <c r="AA115" s="36" t="n">
        <v>250.89</v>
      </c>
      <c r="AB115" s="36" t="n">
        <v>249.75</v>
      </c>
      <c r="AC115" s="36" t="n">
        <v>258.29</v>
      </c>
      <c r="AD115" s="36" t="n">
        <v>292.37</v>
      </c>
      <c r="AE115" s="36" t="n">
        <v>205.39</v>
      </c>
      <c r="AF115" s="28" t="n">
        <v>278.85</v>
      </c>
      <c r="AG115" s="36" t="n">
        <v>256.29</v>
      </c>
      <c r="AH115" s="37" t="n">
        <v>250.89</v>
      </c>
      <c r="AI115" s="37" t="n">
        <v>249.75</v>
      </c>
      <c r="AJ115" s="37" t="n">
        <v>258.29</v>
      </c>
      <c r="AK115" s="37" t="n">
        <v>251.78</v>
      </c>
      <c r="AL115" s="37" t="n">
        <v>205.39</v>
      </c>
      <c r="AM115" s="37" t="n">
        <v>278.85</v>
      </c>
      <c r="AN115" s="37" t="n">
        <v>256.29</v>
      </c>
      <c r="AO115" s="37" t="n">
        <v>250.89</v>
      </c>
      <c r="AP115" s="37" t="n">
        <v>249.75</v>
      </c>
      <c r="AQ115" s="37" t="n">
        <v>258.29</v>
      </c>
      <c r="AR115" s="37" t="n">
        <v>251.78</v>
      </c>
      <c r="AS115" s="37" t="n">
        <v>205.39</v>
      </c>
      <c r="AT115" s="37" t="n">
        <v>278.85</v>
      </c>
      <c r="AU115" s="37" t="n">
        <v>256.29</v>
      </c>
      <c r="AV115" s="37" t="n">
        <v>250.89</v>
      </c>
      <c r="AW115" s="37" t="n">
        <v>249.75</v>
      </c>
      <c r="AX115" s="37" t="n">
        <v>258.29</v>
      </c>
      <c r="AY115" s="37" t="n">
        <v>251.78</v>
      </c>
      <c r="AZ115" s="37" t="n">
        <v>205.39</v>
      </c>
      <c r="BA115" s="37" t="n">
        <v>264.87</v>
      </c>
      <c r="BB115" s="37" t="n">
        <v>236.03</v>
      </c>
      <c r="BC115" s="37" t="n">
        <v>144.88</v>
      </c>
      <c r="BD115" s="37" t="n">
        <v>113.12</v>
      </c>
      <c r="BE115" s="37" t="n">
        <v>242.81</v>
      </c>
      <c r="BF115" s="37" t="n">
        <v>236.44</v>
      </c>
      <c r="BG115" s="37" t="n">
        <v>212.1</v>
      </c>
      <c r="BH115" s="37" t="n">
        <v>287.83</v>
      </c>
      <c r="BI115" s="37" t="n">
        <v>264.48</v>
      </c>
      <c r="BJ115" s="37" t="n">
        <v>300.33</v>
      </c>
      <c r="BK115" s="37" t="n">
        <v>257.94</v>
      </c>
      <c r="BL115" s="37" t="n">
        <v>266.59</v>
      </c>
      <c r="BM115" s="37" t="n">
        <v>259.98</v>
      </c>
      <c r="BN115" s="37" t="n">
        <v>212.1</v>
      </c>
      <c r="BO115" s="37" t="n">
        <v>287.83</v>
      </c>
      <c r="BP115" s="37" t="n">
        <v>264.48</v>
      </c>
      <c r="BQ115" s="37" t="n">
        <v>259.09</v>
      </c>
      <c r="BR115" s="37" t="n">
        <v>257.94</v>
      </c>
      <c r="BS115" s="37" t="n">
        <v>266.59</v>
      </c>
      <c r="BT115" s="37" t="n">
        <v>259.98</v>
      </c>
      <c r="BU115" s="37" t="n">
        <v>212.1</v>
      </c>
      <c r="BV115" s="37" t="n">
        <v>287.83</v>
      </c>
      <c r="BW115" s="37" t="n">
        <v>264.48</v>
      </c>
      <c r="BX115" s="37" t="n">
        <v>259.09</v>
      </c>
      <c r="BY115" s="37" t="n">
        <v>257.94</v>
      </c>
      <c r="BZ115" s="37" t="n">
        <v>266.59</v>
      </c>
      <c r="CA115" s="37" t="n">
        <v>259.98</v>
      </c>
      <c r="CB115" s="37" t="n">
        <v>212.1</v>
      </c>
      <c r="CC115" s="37" t="n">
        <v>17452.28</v>
      </c>
    </row>
    <row r="116" ht="15.75" customHeight="1" s="57">
      <c r="A116" s="7" t="inlineStr">
        <is>
          <t>NTB</t>
        </is>
      </c>
      <c r="B116" s="7" t="inlineStr">
        <is>
          <t>Khánh Hòa</t>
        </is>
      </c>
      <c r="C116" s="7" t="n">
        <v>2399</v>
      </c>
      <c r="D116" s="7" t="inlineStr">
        <is>
          <t>(KHO) Bắc Nha Trang</t>
        </is>
      </c>
      <c r="E116" s="7" t="inlineStr">
        <is>
          <t>SME-Bulky</t>
        </is>
      </c>
      <c r="F116" s="36" t="n">
        <v>14</v>
      </c>
      <c r="G116" s="36" t="n">
        <v>7</v>
      </c>
      <c r="H116" s="36" t="n">
        <v>4</v>
      </c>
      <c r="I116" s="36" t="n">
        <v>12</v>
      </c>
      <c r="J116" s="36" t="n">
        <v>4</v>
      </c>
      <c r="K116" s="28" t="n">
        <v>12</v>
      </c>
      <c r="L116" s="36" t="n">
        <v>15</v>
      </c>
      <c r="M116" s="36" t="n">
        <v>14</v>
      </c>
      <c r="N116" s="36" t="n">
        <v>7</v>
      </c>
      <c r="O116" s="36" t="n">
        <v>14</v>
      </c>
      <c r="P116" s="36" t="n">
        <v>7</v>
      </c>
      <c r="Q116" s="36" t="n">
        <v>7</v>
      </c>
      <c r="R116" s="28" t="n">
        <v>15</v>
      </c>
      <c r="S116" s="36" t="n">
        <v>12</v>
      </c>
      <c r="T116" s="36" t="n">
        <v>3</v>
      </c>
      <c r="U116" s="36" t="n">
        <v>9.06</v>
      </c>
      <c r="V116" s="36" t="n">
        <v>9.31</v>
      </c>
      <c r="W116" s="36" t="n">
        <v>8.800000000000001</v>
      </c>
      <c r="X116" s="36" t="n">
        <v>6.04</v>
      </c>
      <c r="Y116" s="28" t="n">
        <v>9.960000000000001</v>
      </c>
      <c r="Z116" s="36" t="n">
        <v>9.51</v>
      </c>
      <c r="AA116" s="36" t="n">
        <v>9.44</v>
      </c>
      <c r="AB116" s="36" t="n">
        <v>9.06</v>
      </c>
      <c r="AC116" s="36" t="n">
        <v>9.31</v>
      </c>
      <c r="AD116" s="36" t="n">
        <v>6.04</v>
      </c>
      <c r="AE116" s="36" t="n">
        <v>6.04</v>
      </c>
      <c r="AF116" s="28" t="n">
        <v>9.960000000000001</v>
      </c>
      <c r="AG116" s="36" t="n">
        <v>9.51</v>
      </c>
      <c r="AH116" s="37" t="n">
        <v>9.44</v>
      </c>
      <c r="AI116" s="37" t="n">
        <v>9.06</v>
      </c>
      <c r="AJ116" s="37" t="n">
        <v>9.31</v>
      </c>
      <c r="AK116" s="37" t="n">
        <v>8.800000000000001</v>
      </c>
      <c r="AL116" s="37" t="n">
        <v>6.04</v>
      </c>
      <c r="AM116" s="37" t="n">
        <v>9.960000000000001</v>
      </c>
      <c r="AN116" s="37" t="n">
        <v>9.51</v>
      </c>
      <c r="AO116" s="37" t="n">
        <v>9.44</v>
      </c>
      <c r="AP116" s="37" t="n">
        <v>9.06</v>
      </c>
      <c r="AQ116" s="37" t="n">
        <v>9.31</v>
      </c>
      <c r="AR116" s="37" t="n">
        <v>8.800000000000001</v>
      </c>
      <c r="AS116" s="37" t="n">
        <v>6.04</v>
      </c>
      <c r="AT116" s="37" t="n">
        <v>9.960000000000001</v>
      </c>
      <c r="AU116" s="37" t="n">
        <v>9.51</v>
      </c>
      <c r="AV116" s="37" t="n">
        <v>9.44</v>
      </c>
      <c r="AW116" s="37" t="n">
        <v>9.06</v>
      </c>
      <c r="AX116" s="37" t="n">
        <v>9.31</v>
      </c>
      <c r="AY116" s="37" t="n">
        <v>8.800000000000001</v>
      </c>
      <c r="AZ116" s="37" t="n">
        <v>6.04</v>
      </c>
      <c r="BA116" s="37" t="n">
        <v>10.79</v>
      </c>
      <c r="BB116" s="37" t="n">
        <v>5.52</v>
      </c>
      <c r="BC116" s="37" t="n">
        <v>2.83</v>
      </c>
      <c r="BD116" s="37" t="n">
        <v>2.12</v>
      </c>
      <c r="BE116" s="37" t="n">
        <v>5.14</v>
      </c>
      <c r="BF116" s="37" t="n">
        <v>5.07</v>
      </c>
      <c r="BG116" s="37" t="n">
        <v>3.34</v>
      </c>
      <c r="BH116" s="37" t="n">
        <v>5.72</v>
      </c>
      <c r="BI116" s="37" t="n">
        <v>5.52</v>
      </c>
      <c r="BJ116" s="37" t="n">
        <v>4.17</v>
      </c>
      <c r="BK116" s="37" t="n">
        <v>5.2</v>
      </c>
      <c r="BL116" s="37" t="n">
        <v>5.33</v>
      </c>
      <c r="BM116" s="37" t="n">
        <v>5.07</v>
      </c>
      <c r="BN116" s="37" t="n">
        <v>3.34</v>
      </c>
      <c r="BO116" s="37" t="n">
        <v>5.72</v>
      </c>
      <c r="BP116" s="37" t="n">
        <v>5.52</v>
      </c>
      <c r="BQ116" s="37" t="n">
        <v>5.4</v>
      </c>
      <c r="BR116" s="37" t="n">
        <v>5.2</v>
      </c>
      <c r="BS116" s="37" t="n">
        <v>5.33</v>
      </c>
      <c r="BT116" s="37" t="n">
        <v>5.07</v>
      </c>
      <c r="BU116" s="37" t="n">
        <v>3.34</v>
      </c>
      <c r="BV116" s="37" t="n">
        <v>5.72</v>
      </c>
      <c r="BW116" s="37" t="n">
        <v>5.52</v>
      </c>
      <c r="BX116" s="37" t="n">
        <v>5.4</v>
      </c>
      <c r="BY116" s="37" t="n">
        <v>5.2</v>
      </c>
      <c r="BZ116" s="37" t="n">
        <v>5.33</v>
      </c>
      <c r="CA116" s="37" t="n">
        <v>5.07</v>
      </c>
      <c r="CB116" s="37" t="n">
        <v>3.34</v>
      </c>
      <c r="CC116" s="37" t="n">
        <v>566.2500000000002</v>
      </c>
    </row>
    <row r="117" ht="15.75" customHeight="1" s="57">
      <c r="A117" s="7" t="inlineStr">
        <is>
          <t>NTB</t>
        </is>
      </c>
      <c r="B117" s="7" t="inlineStr">
        <is>
          <t>Khánh Hòa</t>
        </is>
      </c>
      <c r="C117" s="7" t="n">
        <v>2399</v>
      </c>
      <c r="D117" s="7" t="inlineStr">
        <is>
          <t>(KHO) Bắc Nha Trang</t>
        </is>
      </c>
      <c r="E117" s="7" t="inlineStr">
        <is>
          <t>Shopee</t>
        </is>
      </c>
      <c r="F117" s="36" t="n">
        <v>142</v>
      </c>
      <c r="G117" s="36" t="n">
        <v>143</v>
      </c>
      <c r="H117" s="36" t="n">
        <v>124</v>
      </c>
      <c r="I117" s="36" t="n">
        <v>62</v>
      </c>
      <c r="J117" s="36" t="n">
        <v>130</v>
      </c>
      <c r="K117" s="28" t="n">
        <v>136</v>
      </c>
      <c r="L117" s="36" t="n">
        <v>119</v>
      </c>
      <c r="M117" s="36" t="n">
        <v>160</v>
      </c>
      <c r="N117" s="36" t="n">
        <v>118</v>
      </c>
      <c r="O117" s="36" t="n">
        <v>111</v>
      </c>
      <c r="P117" s="36" t="n">
        <v>99</v>
      </c>
      <c r="Q117" s="36" t="n">
        <v>102</v>
      </c>
      <c r="R117" s="28" t="n">
        <v>177</v>
      </c>
      <c r="S117" s="36" t="n">
        <v>113</v>
      </c>
      <c r="T117" s="36" t="n">
        <v>192</v>
      </c>
      <c r="U117" s="36" t="n">
        <v>178.04</v>
      </c>
      <c r="V117" s="36" t="n">
        <v>178.86</v>
      </c>
      <c r="W117" s="36" t="n">
        <v>172.59</v>
      </c>
      <c r="X117" s="36" t="n">
        <v>148.64</v>
      </c>
      <c r="Y117" s="28" t="n">
        <v>240.11</v>
      </c>
      <c r="Z117" s="36" t="n">
        <v>189.75</v>
      </c>
      <c r="AA117" s="36" t="n">
        <v>231.67</v>
      </c>
      <c r="AB117" s="36" t="n">
        <v>182.12</v>
      </c>
      <c r="AC117" s="36" t="n">
        <v>147.28</v>
      </c>
      <c r="AD117" s="36" t="n">
        <v>338.93</v>
      </c>
      <c r="AE117" s="36" t="n">
        <v>157.62</v>
      </c>
      <c r="AF117" s="28" t="n">
        <v>265.43</v>
      </c>
      <c r="AG117" s="36" t="n">
        <v>199.27</v>
      </c>
      <c r="AH117" s="37" t="n">
        <v>211.52</v>
      </c>
      <c r="AI117" s="37" t="n">
        <v>178.04</v>
      </c>
      <c r="AJ117" s="37" t="n">
        <v>178.86</v>
      </c>
      <c r="AK117" s="37" t="n">
        <v>189.2</v>
      </c>
      <c r="AL117" s="37" t="n">
        <v>266.24</v>
      </c>
      <c r="AM117" s="37" t="n">
        <v>240.11</v>
      </c>
      <c r="AN117" s="37" t="n">
        <v>189.75</v>
      </c>
      <c r="AO117" s="37" t="n">
        <v>211.52</v>
      </c>
      <c r="AP117" s="37" t="n">
        <v>195.73</v>
      </c>
      <c r="AQ117" s="37" t="n">
        <v>143.74</v>
      </c>
      <c r="AR117" s="37" t="n">
        <v>172.59</v>
      </c>
      <c r="AS117" s="37" t="n">
        <v>148.64</v>
      </c>
      <c r="AT117" s="37" t="n">
        <v>240.11</v>
      </c>
      <c r="AU117" s="37" t="n">
        <v>209.07</v>
      </c>
      <c r="AV117" s="37" t="n">
        <v>215.88</v>
      </c>
      <c r="AW117" s="37" t="n">
        <v>178.04</v>
      </c>
      <c r="AX117" s="37" t="n">
        <v>178.86</v>
      </c>
      <c r="AY117" s="37" t="n">
        <v>172.59</v>
      </c>
      <c r="AZ117" s="37" t="n">
        <v>148.64</v>
      </c>
      <c r="BA117" s="37" t="n">
        <v>205.53</v>
      </c>
      <c r="BB117" s="37" t="n">
        <v>142.65</v>
      </c>
      <c r="BC117" s="37" t="n">
        <v>63.7</v>
      </c>
      <c r="BD117" s="37" t="n">
        <v>106.99</v>
      </c>
      <c r="BE117" s="37" t="n">
        <v>214.25</v>
      </c>
      <c r="BF117" s="37" t="n">
        <v>206.08</v>
      </c>
      <c r="BG117" s="37" t="n">
        <v>145.64</v>
      </c>
      <c r="BH117" s="37" t="n">
        <v>228.67</v>
      </c>
      <c r="BI117" s="37" t="n">
        <v>149.46</v>
      </c>
      <c r="BJ117" s="37" t="n">
        <v>478.31</v>
      </c>
      <c r="BK117" s="37" t="n">
        <v>182.4</v>
      </c>
      <c r="BL117" s="37" t="n">
        <v>179.67</v>
      </c>
      <c r="BM117" s="37" t="n">
        <v>165.24</v>
      </c>
      <c r="BN117" s="37" t="n">
        <v>142.92</v>
      </c>
      <c r="BO117" s="37" t="n">
        <v>228.67</v>
      </c>
      <c r="BP117" s="37" t="n">
        <v>199.82</v>
      </c>
      <c r="BQ117" s="37" t="n">
        <v>307.08</v>
      </c>
      <c r="BR117" s="37" t="n">
        <v>170.42</v>
      </c>
      <c r="BS117" s="37" t="n">
        <v>171.23</v>
      </c>
      <c r="BT117" s="37" t="n">
        <v>165.24</v>
      </c>
      <c r="BU117" s="37" t="n">
        <v>156.26</v>
      </c>
      <c r="BV117" s="37" t="n">
        <v>184.57</v>
      </c>
      <c r="BW117" s="37" t="n">
        <v>181.31</v>
      </c>
      <c r="BX117" s="37" t="n">
        <v>201.72</v>
      </c>
      <c r="BY117" s="37" t="n">
        <v>170.42</v>
      </c>
      <c r="BZ117" s="37" t="n">
        <v>187.84</v>
      </c>
      <c r="CA117" s="37" t="n">
        <v>167.69</v>
      </c>
      <c r="CB117" s="37" t="n">
        <v>142.92</v>
      </c>
      <c r="CC117" s="37" t="n">
        <v>13474.14</v>
      </c>
    </row>
    <row r="118" ht="15.75" customHeight="1" s="57">
      <c r="A118" s="7" t="inlineStr">
        <is>
          <t>NTB</t>
        </is>
      </c>
      <c r="B118" s="7" t="inlineStr">
        <is>
          <t>Khánh Hòa</t>
        </is>
      </c>
      <c r="C118" s="7" t="n">
        <v>2399</v>
      </c>
      <c r="D118" s="7" t="inlineStr">
        <is>
          <t>(KHO) Bắc Nha Trang</t>
        </is>
      </c>
      <c r="E118" s="7" t="inlineStr">
        <is>
          <t>Shopee-Bulky</t>
        </is>
      </c>
      <c r="F118" s="36" t="n">
        <v>3.43</v>
      </c>
      <c r="G118" s="36" t="n">
        <v>2.29</v>
      </c>
      <c r="H118" s="36" t="n">
        <v>1.14</v>
      </c>
      <c r="I118" s="36" t="n">
        <v>0</v>
      </c>
      <c r="J118" s="36" t="n">
        <v>0</v>
      </c>
      <c r="K118" s="28" t="n">
        <v>2.86</v>
      </c>
      <c r="L118" s="36" t="n">
        <v>1.72</v>
      </c>
      <c r="M118" s="36" t="n">
        <v>2.29</v>
      </c>
      <c r="N118" s="36" t="n">
        <v>1.14</v>
      </c>
      <c r="O118" s="36" t="n">
        <v>0</v>
      </c>
      <c r="P118" s="36" t="n">
        <v>1.72</v>
      </c>
      <c r="Q118" s="36" t="n">
        <v>0</v>
      </c>
      <c r="R118" s="28" t="n">
        <v>0</v>
      </c>
      <c r="S118" s="36" t="n">
        <v>2.86</v>
      </c>
      <c r="T118" s="36" t="n">
        <v>1.72</v>
      </c>
      <c r="U118" s="36" t="n">
        <v>1.47</v>
      </c>
      <c r="V118" s="36" t="n">
        <v>1.37</v>
      </c>
      <c r="W118" s="36" t="n">
        <v>1.65</v>
      </c>
      <c r="X118" s="36" t="n">
        <v>0.87</v>
      </c>
      <c r="Y118" s="28" t="n">
        <v>2.2</v>
      </c>
      <c r="Z118" s="36" t="n">
        <v>1.7</v>
      </c>
      <c r="AA118" s="36" t="n">
        <v>2.47</v>
      </c>
      <c r="AB118" s="36" t="n">
        <v>1.7</v>
      </c>
      <c r="AC118" s="36" t="n">
        <v>1.79</v>
      </c>
      <c r="AD118" s="36" t="n">
        <v>6.64</v>
      </c>
      <c r="AE118" s="36" t="n">
        <v>4.49</v>
      </c>
      <c r="AF118" s="28" t="n">
        <v>5.22</v>
      </c>
      <c r="AG118" s="36" t="n">
        <v>2.34</v>
      </c>
      <c r="AH118" s="37" t="n">
        <v>1.7</v>
      </c>
      <c r="AI118" s="37" t="n">
        <v>1.65</v>
      </c>
      <c r="AJ118" s="37" t="n">
        <v>1.51</v>
      </c>
      <c r="AK118" s="37" t="n">
        <v>3.3</v>
      </c>
      <c r="AL118" s="37" t="n">
        <v>1.88</v>
      </c>
      <c r="AM118" s="37" t="n">
        <v>2.79</v>
      </c>
      <c r="AN118" s="37" t="n">
        <v>1.7</v>
      </c>
      <c r="AO118" s="37" t="n">
        <v>1.6</v>
      </c>
      <c r="AP118" s="37" t="n">
        <v>2.89</v>
      </c>
      <c r="AQ118" s="37" t="n">
        <v>2.06</v>
      </c>
      <c r="AR118" s="37" t="n">
        <v>1.42</v>
      </c>
      <c r="AS118" s="37" t="n">
        <v>0.73</v>
      </c>
      <c r="AT118" s="37" t="n">
        <v>2.06</v>
      </c>
      <c r="AU118" s="37" t="n">
        <v>3.48</v>
      </c>
      <c r="AV118" s="37" t="n">
        <v>3.48</v>
      </c>
      <c r="AW118" s="37" t="n">
        <v>1.6</v>
      </c>
      <c r="AX118" s="37" t="n">
        <v>1.51</v>
      </c>
      <c r="AY118" s="37" t="n">
        <v>1.37</v>
      </c>
      <c r="AZ118" s="37" t="n">
        <v>0.73</v>
      </c>
      <c r="BA118" s="37" t="n">
        <v>1.92</v>
      </c>
      <c r="BB118" s="37" t="n">
        <v>1.33</v>
      </c>
      <c r="BC118" s="37" t="n">
        <v>0.41</v>
      </c>
      <c r="BD118" s="37" t="n">
        <v>0.64</v>
      </c>
      <c r="BE118" s="37" t="n">
        <v>2.2</v>
      </c>
      <c r="BF118" s="37" t="n">
        <v>1.88</v>
      </c>
      <c r="BG118" s="37" t="n">
        <v>0.96</v>
      </c>
      <c r="BH118" s="37" t="n">
        <v>2.34</v>
      </c>
      <c r="BI118" s="37" t="n">
        <v>2.11</v>
      </c>
      <c r="BJ118" s="37" t="n">
        <v>13.38</v>
      </c>
      <c r="BK118" s="37" t="n">
        <v>4.49</v>
      </c>
      <c r="BL118" s="37" t="n">
        <v>2.34</v>
      </c>
      <c r="BM118" s="37" t="n">
        <v>1.6</v>
      </c>
      <c r="BN118" s="37" t="n">
        <v>0.96</v>
      </c>
      <c r="BO118" s="37" t="n">
        <v>2.79</v>
      </c>
      <c r="BP118" s="37" t="n">
        <v>4.22</v>
      </c>
      <c r="BQ118" s="37" t="n">
        <v>3.07</v>
      </c>
      <c r="BR118" s="37" t="n">
        <v>2.02</v>
      </c>
      <c r="BS118" s="37" t="n">
        <v>1.88</v>
      </c>
      <c r="BT118" s="37" t="n">
        <v>1.33</v>
      </c>
      <c r="BU118" s="37" t="n">
        <v>2.34</v>
      </c>
      <c r="BV118" s="37" t="n">
        <v>2.57</v>
      </c>
      <c r="BW118" s="37" t="n">
        <v>2.11</v>
      </c>
      <c r="BX118" s="37" t="n">
        <v>2.02</v>
      </c>
      <c r="BY118" s="37" t="n">
        <v>2.02</v>
      </c>
      <c r="BZ118" s="37" t="n">
        <v>2.84</v>
      </c>
      <c r="CA118" s="37" t="n">
        <v>1.88</v>
      </c>
      <c r="CB118" s="37" t="n">
        <v>0.96</v>
      </c>
      <c r="CC118" s="37" t="n">
        <v>161.1500000000001</v>
      </c>
    </row>
    <row r="119" ht="15.75" customHeight="1" s="57">
      <c r="A119" s="7" t="inlineStr">
        <is>
          <t>NTB</t>
        </is>
      </c>
      <c r="B119" s="7" t="inlineStr">
        <is>
          <t>Khánh Hòa</t>
        </is>
      </c>
      <c r="C119" s="7" t="n">
        <v>2399</v>
      </c>
      <c r="D119" s="7" t="inlineStr">
        <is>
          <t>(KHO) Bắc Nha Trang</t>
        </is>
      </c>
      <c r="E119" s="7" t="inlineStr">
        <is>
          <t>Shopee-Bulky (10-15kg)</t>
        </is>
      </c>
      <c r="F119" s="36" t="n">
        <v>2.57</v>
      </c>
      <c r="G119" s="36" t="n">
        <v>1.71</v>
      </c>
      <c r="H119" s="36" t="n">
        <v>0.86</v>
      </c>
      <c r="I119" s="36" t="n">
        <v>0</v>
      </c>
      <c r="J119" s="36" t="n">
        <v>0</v>
      </c>
      <c r="K119" s="28" t="n">
        <v>2.14</v>
      </c>
      <c r="L119" s="36" t="n">
        <v>1.28</v>
      </c>
      <c r="M119" s="36" t="n">
        <v>1.71</v>
      </c>
      <c r="N119" s="36" t="n">
        <v>0.86</v>
      </c>
      <c r="O119" s="36" t="n">
        <v>0</v>
      </c>
      <c r="P119" s="36" t="n">
        <v>1.28</v>
      </c>
      <c r="Q119" s="36" t="n">
        <v>0</v>
      </c>
      <c r="R119" s="28" t="n">
        <v>0</v>
      </c>
      <c r="S119" s="36" t="n">
        <v>2.14</v>
      </c>
      <c r="T119" s="36" t="n">
        <v>1.28</v>
      </c>
      <c r="U119" s="36" t="n">
        <v>1.05</v>
      </c>
      <c r="V119" s="36" t="n">
        <v>1.1</v>
      </c>
      <c r="W119" s="36" t="n">
        <v>1.33</v>
      </c>
      <c r="X119" s="36" t="n">
        <v>0.82</v>
      </c>
      <c r="Y119" s="28" t="n">
        <v>1.42</v>
      </c>
      <c r="Z119" s="36" t="n">
        <v>1.1</v>
      </c>
      <c r="AA119" s="36" t="n">
        <v>1.56</v>
      </c>
      <c r="AB119" s="36" t="n">
        <v>1.1</v>
      </c>
      <c r="AC119" s="36" t="n">
        <v>1.28</v>
      </c>
      <c r="AD119" s="36" t="n">
        <v>5.77</v>
      </c>
      <c r="AE119" s="36" t="n">
        <v>3.12</v>
      </c>
      <c r="AF119" s="28" t="n">
        <v>3.25</v>
      </c>
      <c r="AG119" s="36" t="n">
        <v>1.74</v>
      </c>
      <c r="AH119" s="37" t="n">
        <v>1.1</v>
      </c>
      <c r="AI119" s="37" t="n">
        <v>1.19</v>
      </c>
      <c r="AJ119" s="37" t="n">
        <v>1.15</v>
      </c>
      <c r="AK119" s="37" t="n">
        <v>2.29</v>
      </c>
      <c r="AL119" s="37" t="n">
        <v>1.37</v>
      </c>
      <c r="AM119" s="37" t="n">
        <v>1.83</v>
      </c>
      <c r="AN119" s="37" t="n">
        <v>1.1</v>
      </c>
      <c r="AO119" s="37" t="n">
        <v>1.1</v>
      </c>
      <c r="AP119" s="37" t="n">
        <v>1.74</v>
      </c>
      <c r="AQ119" s="37" t="n">
        <v>1.51</v>
      </c>
      <c r="AR119" s="37" t="n">
        <v>1.15</v>
      </c>
      <c r="AS119" s="37" t="n">
        <v>0.64</v>
      </c>
      <c r="AT119" s="37" t="n">
        <v>1.37</v>
      </c>
      <c r="AU119" s="37" t="n">
        <v>2.52</v>
      </c>
      <c r="AV119" s="37" t="n">
        <v>2.43</v>
      </c>
      <c r="AW119" s="37" t="n">
        <v>1.1</v>
      </c>
      <c r="AX119" s="37" t="n">
        <v>1.1</v>
      </c>
      <c r="AY119" s="37" t="n">
        <v>1.15</v>
      </c>
      <c r="AZ119" s="37" t="n">
        <v>0.64</v>
      </c>
      <c r="BA119" s="37" t="n">
        <v>1.37</v>
      </c>
      <c r="BB119" s="37" t="n">
        <v>0.96</v>
      </c>
      <c r="BC119" s="37" t="n">
        <v>0.18</v>
      </c>
      <c r="BD119" s="37" t="n">
        <v>0.5</v>
      </c>
      <c r="BE119" s="37" t="n">
        <v>1.47</v>
      </c>
      <c r="BF119" s="37" t="n">
        <v>1.24</v>
      </c>
      <c r="BG119" s="37" t="n">
        <v>0.96</v>
      </c>
      <c r="BH119" s="37" t="n">
        <v>1.7</v>
      </c>
      <c r="BI119" s="37" t="n">
        <v>1.28</v>
      </c>
      <c r="BJ119" s="37" t="n">
        <v>7.56</v>
      </c>
      <c r="BK119" s="37" t="n">
        <v>2.61</v>
      </c>
      <c r="BL119" s="37" t="n">
        <v>1.7</v>
      </c>
      <c r="BM119" s="37" t="n">
        <v>1.1</v>
      </c>
      <c r="BN119" s="37" t="n">
        <v>0.87</v>
      </c>
      <c r="BO119" s="37" t="n">
        <v>1.92</v>
      </c>
      <c r="BP119" s="37" t="n">
        <v>2.79</v>
      </c>
      <c r="BQ119" s="37" t="n">
        <v>2.15</v>
      </c>
      <c r="BR119" s="37" t="n">
        <v>1.24</v>
      </c>
      <c r="BS119" s="37" t="n">
        <v>1.24</v>
      </c>
      <c r="BT119" s="37" t="n">
        <v>1.01</v>
      </c>
      <c r="BU119" s="37" t="n">
        <v>1.56</v>
      </c>
      <c r="BV119" s="37" t="n">
        <v>1.79</v>
      </c>
      <c r="BW119" s="37" t="n">
        <v>1.28</v>
      </c>
      <c r="BX119" s="37" t="n">
        <v>1.28</v>
      </c>
      <c r="BY119" s="37" t="n">
        <v>1.24</v>
      </c>
      <c r="BZ119" s="37" t="n">
        <v>2.15</v>
      </c>
      <c r="CA119" s="37" t="n">
        <v>1.37</v>
      </c>
      <c r="CB119" s="37" t="n">
        <v>0.87</v>
      </c>
      <c r="CC119" s="37" t="n">
        <v>112.34</v>
      </c>
    </row>
    <row r="120" ht="15.75" customHeight="1" s="57">
      <c r="A120" s="7" t="inlineStr">
        <is>
          <t>NTB</t>
        </is>
      </c>
      <c r="B120" s="7" t="inlineStr">
        <is>
          <t>Khánh Hòa</t>
        </is>
      </c>
      <c r="C120" s="7" t="n">
        <v>2399</v>
      </c>
      <c r="D120" s="7" t="inlineStr">
        <is>
          <t>(KHO) Bắc Nha Trang</t>
        </is>
      </c>
      <c r="E120" s="7" t="inlineStr">
        <is>
          <t>TTS</t>
        </is>
      </c>
      <c r="F120" s="36" t="n">
        <v>101</v>
      </c>
      <c r="G120" s="36" t="n">
        <v>108</v>
      </c>
      <c r="H120" s="36" t="n">
        <v>113</v>
      </c>
      <c r="I120" s="36" t="n">
        <v>99</v>
      </c>
      <c r="J120" s="36" t="n">
        <v>55</v>
      </c>
      <c r="K120" s="28" t="n">
        <v>145</v>
      </c>
      <c r="L120" s="36" t="n">
        <v>132</v>
      </c>
      <c r="M120" s="36" t="n">
        <v>103</v>
      </c>
      <c r="N120" s="36" t="n">
        <v>95</v>
      </c>
      <c r="O120" s="36" t="n">
        <v>104</v>
      </c>
      <c r="P120" s="36" t="n">
        <v>107</v>
      </c>
      <c r="Q120" s="36" t="n">
        <v>73</v>
      </c>
      <c r="R120" s="28" t="n">
        <v>132</v>
      </c>
      <c r="S120" s="36" t="n">
        <v>101</v>
      </c>
      <c r="T120" s="36" t="n">
        <v>108</v>
      </c>
      <c r="U120" s="36" t="n">
        <v>95.09999999999999</v>
      </c>
      <c r="V120" s="36" t="n">
        <v>93.04000000000001</v>
      </c>
      <c r="W120" s="36" t="n">
        <v>90.98</v>
      </c>
      <c r="X120" s="36" t="n">
        <v>73.39</v>
      </c>
      <c r="Y120" s="28" t="n">
        <v>106.51</v>
      </c>
      <c r="Z120" s="36" t="n">
        <v>90.84</v>
      </c>
      <c r="AA120" s="36" t="n">
        <v>102.11</v>
      </c>
      <c r="AB120" s="36" t="n">
        <v>112.14</v>
      </c>
      <c r="AC120" s="36" t="n">
        <v>118.46</v>
      </c>
      <c r="AD120" s="36" t="n">
        <v>113.24</v>
      </c>
      <c r="AE120" s="36" t="n">
        <v>85.06999999999999</v>
      </c>
      <c r="AF120" s="28" t="n">
        <v>109.8</v>
      </c>
      <c r="AG120" s="36" t="n">
        <v>92.76000000000001</v>
      </c>
      <c r="AH120" s="37" t="n">
        <v>91.8</v>
      </c>
      <c r="AI120" s="37" t="n">
        <v>106.23</v>
      </c>
      <c r="AJ120" s="37" t="n">
        <v>113.1</v>
      </c>
      <c r="AK120" s="37" t="n">
        <v>111.87</v>
      </c>
      <c r="AL120" s="37" t="n">
        <v>79.84999999999999</v>
      </c>
      <c r="AM120" s="37" t="n">
        <v>107.74</v>
      </c>
      <c r="AN120" s="37" t="n">
        <v>93.31</v>
      </c>
      <c r="AO120" s="37" t="n">
        <v>93.18000000000001</v>
      </c>
      <c r="AP120" s="37" t="n">
        <v>90.43000000000001</v>
      </c>
      <c r="AQ120" s="37" t="n">
        <v>91.25</v>
      </c>
      <c r="AR120" s="37" t="n">
        <v>89.88</v>
      </c>
      <c r="AS120" s="37" t="n">
        <v>73.52</v>
      </c>
      <c r="AT120" s="37" t="n">
        <v>116.54</v>
      </c>
      <c r="AU120" s="37" t="n">
        <v>106.09</v>
      </c>
      <c r="AV120" s="37" t="n">
        <v>94.28</v>
      </c>
      <c r="AW120" s="37" t="n">
        <v>89.73999999999999</v>
      </c>
      <c r="AX120" s="37" t="n">
        <v>88.23</v>
      </c>
      <c r="AY120" s="37" t="n">
        <v>88.5</v>
      </c>
      <c r="AZ120" s="37" t="n">
        <v>73.52</v>
      </c>
      <c r="BA120" s="37" t="n">
        <v>105</v>
      </c>
      <c r="BB120" s="37" t="n">
        <v>98.54000000000001</v>
      </c>
      <c r="BC120" s="37" t="n">
        <v>51.95</v>
      </c>
      <c r="BD120" s="37" t="n">
        <v>72.15000000000001</v>
      </c>
      <c r="BE120" s="37" t="n">
        <v>165.74</v>
      </c>
      <c r="BF120" s="37" t="n">
        <v>161.07</v>
      </c>
      <c r="BG120" s="37" t="n">
        <v>79.84999999999999</v>
      </c>
      <c r="BH120" s="37" t="n">
        <v>116.4</v>
      </c>
      <c r="BI120" s="37" t="n">
        <v>98.54000000000001</v>
      </c>
      <c r="BJ120" s="37" t="n">
        <v>86.72</v>
      </c>
      <c r="BK120" s="37" t="n">
        <v>100.19</v>
      </c>
      <c r="BL120" s="37" t="n">
        <v>100.19</v>
      </c>
      <c r="BM120" s="37" t="n">
        <v>97.3</v>
      </c>
      <c r="BN120" s="37" t="n">
        <v>79.84999999999999</v>
      </c>
      <c r="BO120" s="37" t="n">
        <v>116.4</v>
      </c>
      <c r="BP120" s="37" t="n">
        <v>98.54000000000001</v>
      </c>
      <c r="BQ120" s="37" t="n">
        <v>97.44</v>
      </c>
      <c r="BR120" s="37" t="n">
        <v>100.19</v>
      </c>
      <c r="BS120" s="37" t="n">
        <v>100.19</v>
      </c>
      <c r="BT120" s="37" t="n">
        <v>97.3</v>
      </c>
      <c r="BU120" s="37" t="n">
        <v>79.84999999999999</v>
      </c>
      <c r="BV120" s="37" t="n">
        <v>116.4</v>
      </c>
      <c r="BW120" s="37" t="n">
        <v>98.54000000000001</v>
      </c>
      <c r="BX120" s="37" t="n">
        <v>97.44</v>
      </c>
      <c r="BY120" s="37" t="n">
        <v>100.19</v>
      </c>
      <c r="BZ120" s="37" t="n">
        <v>100.19</v>
      </c>
      <c r="CA120" s="37" t="n">
        <v>97.3</v>
      </c>
      <c r="CB120" s="37" t="n">
        <v>79.84999999999999</v>
      </c>
      <c r="CC120" s="37" t="n">
        <v>7451.809999999997</v>
      </c>
    </row>
    <row r="121" ht="15.75" customHeight="1" s="57">
      <c r="A121" s="7" t="inlineStr">
        <is>
          <t>NTB</t>
        </is>
      </c>
      <c r="B121" s="7" t="inlineStr">
        <is>
          <t>Khánh Hòa</t>
        </is>
      </c>
      <c r="C121" s="7" t="n">
        <v>2502</v>
      </c>
      <c r="D121" s="7" t="inlineStr">
        <is>
          <t>(KHO) Nam Nha Trang 5</t>
        </is>
      </c>
      <c r="E121" s="7" t="inlineStr">
        <is>
          <t>SME</t>
        </is>
      </c>
      <c r="F121" s="36" t="n">
        <v>192</v>
      </c>
      <c r="G121" s="36" t="n">
        <v>168</v>
      </c>
      <c r="H121" s="36" t="n">
        <v>178</v>
      </c>
      <c r="I121" s="36" t="n">
        <v>259</v>
      </c>
      <c r="J121" s="36" t="n">
        <v>161</v>
      </c>
      <c r="K121" s="28" t="n">
        <v>115</v>
      </c>
      <c r="L121" s="36" t="n">
        <v>309</v>
      </c>
      <c r="M121" s="36" t="n">
        <v>232</v>
      </c>
      <c r="N121" s="36" t="n">
        <v>99</v>
      </c>
      <c r="O121" s="36" t="n">
        <v>116</v>
      </c>
      <c r="P121" s="36" t="n">
        <v>248</v>
      </c>
      <c r="Q121" s="36" t="n">
        <v>80</v>
      </c>
      <c r="R121" s="28" t="n">
        <v>222</v>
      </c>
      <c r="S121" s="36" t="n">
        <v>196</v>
      </c>
      <c r="T121" s="36" t="n">
        <v>167</v>
      </c>
      <c r="U121" s="36" t="n">
        <v>224.37</v>
      </c>
      <c r="V121" s="36" t="n">
        <v>232.02</v>
      </c>
      <c r="W121" s="36" t="n">
        <v>226.2</v>
      </c>
      <c r="X121" s="36" t="n">
        <v>184.58</v>
      </c>
      <c r="Y121" s="28" t="n">
        <v>250.51</v>
      </c>
      <c r="Z121" s="36" t="n">
        <v>230.23</v>
      </c>
      <c r="AA121" s="36" t="n">
        <v>225.4</v>
      </c>
      <c r="AB121" s="36" t="n">
        <v>224.37</v>
      </c>
      <c r="AC121" s="36" t="n">
        <v>232.02</v>
      </c>
      <c r="AD121" s="36" t="n">
        <v>262.66</v>
      </c>
      <c r="AE121" s="36" t="n">
        <v>184.58</v>
      </c>
      <c r="AF121" s="28" t="n">
        <v>250.51</v>
      </c>
      <c r="AG121" s="36" t="n">
        <v>230.23</v>
      </c>
      <c r="AH121" s="37" t="n">
        <v>225.4</v>
      </c>
      <c r="AI121" s="37" t="n">
        <v>224.37</v>
      </c>
      <c r="AJ121" s="37" t="n">
        <v>232.02</v>
      </c>
      <c r="AK121" s="37" t="n">
        <v>226.2</v>
      </c>
      <c r="AL121" s="37" t="n">
        <v>184.58</v>
      </c>
      <c r="AM121" s="37" t="n">
        <v>250.51</v>
      </c>
      <c r="AN121" s="37" t="n">
        <v>230.23</v>
      </c>
      <c r="AO121" s="37" t="n">
        <v>225.4</v>
      </c>
      <c r="AP121" s="37" t="n">
        <v>224.37</v>
      </c>
      <c r="AQ121" s="37" t="n">
        <v>232.02</v>
      </c>
      <c r="AR121" s="37" t="n">
        <v>226.2</v>
      </c>
      <c r="AS121" s="37" t="n">
        <v>184.58</v>
      </c>
      <c r="AT121" s="37" t="n">
        <v>250.51</v>
      </c>
      <c r="AU121" s="37" t="n">
        <v>230.23</v>
      </c>
      <c r="AV121" s="37" t="n">
        <v>225.4</v>
      </c>
      <c r="AW121" s="37" t="n">
        <v>224.37</v>
      </c>
      <c r="AX121" s="37" t="n">
        <v>232.02</v>
      </c>
      <c r="AY121" s="37" t="n">
        <v>226.2</v>
      </c>
      <c r="AZ121" s="37" t="n">
        <v>184.58</v>
      </c>
      <c r="BA121" s="37" t="n">
        <v>237.96</v>
      </c>
      <c r="BB121" s="37" t="n">
        <v>212.08</v>
      </c>
      <c r="BC121" s="37" t="n">
        <v>130.27</v>
      </c>
      <c r="BD121" s="37" t="n">
        <v>101.71</v>
      </c>
      <c r="BE121" s="37" t="n">
        <v>218.19</v>
      </c>
      <c r="BF121" s="37" t="n">
        <v>212.46</v>
      </c>
      <c r="BG121" s="37" t="n">
        <v>190.64</v>
      </c>
      <c r="BH121" s="37" t="n">
        <v>258.63</v>
      </c>
      <c r="BI121" s="37" t="n">
        <v>237.63</v>
      </c>
      <c r="BJ121" s="37" t="n">
        <v>269.85</v>
      </c>
      <c r="BK121" s="37" t="n">
        <v>231.77</v>
      </c>
      <c r="BL121" s="37" t="n">
        <v>239.52</v>
      </c>
      <c r="BM121" s="37" t="n">
        <v>233.61</v>
      </c>
      <c r="BN121" s="37" t="n">
        <v>190.64</v>
      </c>
      <c r="BO121" s="37" t="n">
        <v>258.63</v>
      </c>
      <c r="BP121" s="37" t="n">
        <v>237.63</v>
      </c>
      <c r="BQ121" s="37" t="n">
        <v>232.8</v>
      </c>
      <c r="BR121" s="37" t="n">
        <v>231.77</v>
      </c>
      <c r="BS121" s="37" t="n">
        <v>239.52</v>
      </c>
      <c r="BT121" s="37" t="n">
        <v>233.61</v>
      </c>
      <c r="BU121" s="37" t="n">
        <v>190.64</v>
      </c>
      <c r="BV121" s="37" t="n">
        <v>258.63</v>
      </c>
      <c r="BW121" s="37" t="n">
        <v>237.63</v>
      </c>
      <c r="BX121" s="37" t="n">
        <v>232.8</v>
      </c>
      <c r="BY121" s="37" t="n">
        <v>231.77</v>
      </c>
      <c r="BZ121" s="37" t="n">
        <v>239.52</v>
      </c>
      <c r="CA121" s="37" t="n">
        <v>233.61</v>
      </c>
      <c r="CB121" s="37" t="n">
        <v>190.64</v>
      </c>
      <c r="CC121" s="37" t="n">
        <v>16153.03</v>
      </c>
    </row>
    <row r="122" ht="15.75" customHeight="1" s="57">
      <c r="A122" s="7" t="inlineStr">
        <is>
          <t>NTB</t>
        </is>
      </c>
      <c r="B122" s="7" t="inlineStr">
        <is>
          <t>Khánh Hòa</t>
        </is>
      </c>
      <c r="C122" s="7" t="n">
        <v>2502</v>
      </c>
      <c r="D122" s="7" t="inlineStr">
        <is>
          <t>(KHO) Nam Nha Trang 5</t>
        </is>
      </c>
      <c r="E122" s="7" t="inlineStr">
        <is>
          <t>SME-Bulky</t>
        </is>
      </c>
      <c r="F122" s="36" t="n">
        <v>5</v>
      </c>
      <c r="G122" s="36" t="n">
        <v>4</v>
      </c>
      <c r="H122" s="36" t="n">
        <v>8</v>
      </c>
      <c r="I122" s="36" t="n">
        <v>5</v>
      </c>
      <c r="J122" s="36" t="n">
        <v>3</v>
      </c>
      <c r="K122" s="28" t="n">
        <v>5</v>
      </c>
      <c r="L122" s="36" t="n">
        <v>7</v>
      </c>
      <c r="M122" s="36" t="n">
        <v>9</v>
      </c>
      <c r="N122" s="36" t="n">
        <v>6</v>
      </c>
      <c r="O122" s="36" t="n">
        <v>6</v>
      </c>
      <c r="P122" s="36" t="n">
        <v>4</v>
      </c>
      <c r="Q122" s="36" t="n">
        <v>5</v>
      </c>
      <c r="R122" s="28" t="n">
        <v>5</v>
      </c>
      <c r="S122" s="36" t="n">
        <v>11</v>
      </c>
      <c r="T122" s="36" t="n">
        <v>12</v>
      </c>
      <c r="U122" s="36" t="n">
        <v>6.79</v>
      </c>
      <c r="V122" s="36" t="n">
        <v>6.98</v>
      </c>
      <c r="W122" s="36" t="n">
        <v>6.6</v>
      </c>
      <c r="X122" s="36" t="n">
        <v>4.53</v>
      </c>
      <c r="Y122" s="28" t="n">
        <v>7.47</v>
      </c>
      <c r="Z122" s="36" t="n">
        <v>7.13</v>
      </c>
      <c r="AA122" s="36" t="n">
        <v>7.08</v>
      </c>
      <c r="AB122" s="36" t="n">
        <v>6.79</v>
      </c>
      <c r="AC122" s="36" t="n">
        <v>6.98</v>
      </c>
      <c r="AD122" s="36" t="n">
        <v>4.53</v>
      </c>
      <c r="AE122" s="36" t="n">
        <v>4.53</v>
      </c>
      <c r="AF122" s="28" t="n">
        <v>7.47</v>
      </c>
      <c r="AG122" s="36" t="n">
        <v>7.13</v>
      </c>
      <c r="AH122" s="37" t="n">
        <v>7.08</v>
      </c>
      <c r="AI122" s="37" t="n">
        <v>6.79</v>
      </c>
      <c r="AJ122" s="37" t="n">
        <v>6.98</v>
      </c>
      <c r="AK122" s="37" t="n">
        <v>6.6</v>
      </c>
      <c r="AL122" s="37" t="n">
        <v>4.53</v>
      </c>
      <c r="AM122" s="37" t="n">
        <v>7.47</v>
      </c>
      <c r="AN122" s="37" t="n">
        <v>7.13</v>
      </c>
      <c r="AO122" s="37" t="n">
        <v>7.08</v>
      </c>
      <c r="AP122" s="37" t="n">
        <v>6.79</v>
      </c>
      <c r="AQ122" s="37" t="n">
        <v>6.98</v>
      </c>
      <c r="AR122" s="37" t="n">
        <v>6.6</v>
      </c>
      <c r="AS122" s="37" t="n">
        <v>4.53</v>
      </c>
      <c r="AT122" s="37" t="n">
        <v>7.47</v>
      </c>
      <c r="AU122" s="37" t="n">
        <v>7.13</v>
      </c>
      <c r="AV122" s="37" t="n">
        <v>7.08</v>
      </c>
      <c r="AW122" s="37" t="n">
        <v>6.79</v>
      </c>
      <c r="AX122" s="37" t="n">
        <v>6.98</v>
      </c>
      <c r="AY122" s="37" t="n">
        <v>6.6</v>
      </c>
      <c r="AZ122" s="37" t="n">
        <v>4.53</v>
      </c>
      <c r="BA122" s="37" t="n">
        <v>8.09</v>
      </c>
      <c r="BB122" s="37" t="n">
        <v>4.14</v>
      </c>
      <c r="BC122" s="37" t="n">
        <v>2.12</v>
      </c>
      <c r="BD122" s="37" t="n">
        <v>1.59</v>
      </c>
      <c r="BE122" s="37" t="n">
        <v>3.85</v>
      </c>
      <c r="BF122" s="37" t="n">
        <v>3.81</v>
      </c>
      <c r="BG122" s="37" t="n">
        <v>2.5</v>
      </c>
      <c r="BH122" s="37" t="n">
        <v>4.29</v>
      </c>
      <c r="BI122" s="37" t="n">
        <v>4.14</v>
      </c>
      <c r="BJ122" s="37" t="n">
        <v>3.13</v>
      </c>
      <c r="BK122" s="37" t="n">
        <v>3.9</v>
      </c>
      <c r="BL122" s="37" t="n">
        <v>4</v>
      </c>
      <c r="BM122" s="37" t="n">
        <v>3.81</v>
      </c>
      <c r="BN122" s="37" t="n">
        <v>2.5</v>
      </c>
      <c r="BO122" s="37" t="n">
        <v>4.29</v>
      </c>
      <c r="BP122" s="37" t="n">
        <v>4.14</v>
      </c>
      <c r="BQ122" s="37" t="n">
        <v>4.05</v>
      </c>
      <c r="BR122" s="37" t="n">
        <v>3.9</v>
      </c>
      <c r="BS122" s="37" t="n">
        <v>4</v>
      </c>
      <c r="BT122" s="37" t="n">
        <v>3.81</v>
      </c>
      <c r="BU122" s="37" t="n">
        <v>2.5</v>
      </c>
      <c r="BV122" s="37" t="n">
        <v>4.29</v>
      </c>
      <c r="BW122" s="37" t="n">
        <v>4.14</v>
      </c>
      <c r="BX122" s="37" t="n">
        <v>4.05</v>
      </c>
      <c r="BY122" s="37" t="n">
        <v>3.9</v>
      </c>
      <c r="BZ122" s="37" t="n">
        <v>4</v>
      </c>
      <c r="CA122" s="37" t="n">
        <v>3.81</v>
      </c>
      <c r="CB122" s="37" t="n">
        <v>2.5</v>
      </c>
      <c r="CC122" s="37" t="n">
        <v>409.3999999999999</v>
      </c>
    </row>
    <row r="123" ht="15.75" customHeight="1" s="57">
      <c r="A123" s="7" t="inlineStr">
        <is>
          <t>NTB</t>
        </is>
      </c>
      <c r="B123" s="7" t="inlineStr">
        <is>
          <t>Khánh Hòa</t>
        </is>
      </c>
      <c r="C123" s="7" t="n">
        <v>2502</v>
      </c>
      <c r="D123" s="7" t="inlineStr">
        <is>
          <t>(KHO) Nam Nha Trang 5</t>
        </is>
      </c>
      <c r="E123" s="7" t="inlineStr">
        <is>
          <t>Shopee</t>
        </is>
      </c>
      <c r="F123" s="36" t="n">
        <v>10</v>
      </c>
      <c r="G123" s="36" t="n">
        <v>21</v>
      </c>
      <c r="H123" s="36" t="n">
        <v>7</v>
      </c>
      <c r="I123" s="36" t="n">
        <v>5</v>
      </c>
      <c r="J123" s="36" t="n">
        <v>11</v>
      </c>
      <c r="K123" s="28" t="n">
        <v>16</v>
      </c>
      <c r="L123" s="36" t="n">
        <v>6</v>
      </c>
      <c r="M123" s="36" t="n">
        <v>8</v>
      </c>
      <c r="N123" s="36" t="n">
        <v>7</v>
      </c>
      <c r="O123" s="36" t="n">
        <v>13</v>
      </c>
      <c r="P123" s="36" t="n">
        <v>5</v>
      </c>
      <c r="Q123" s="36" t="n">
        <v>8</v>
      </c>
      <c r="R123" s="28" t="n">
        <v>9</v>
      </c>
      <c r="S123" s="36" t="n">
        <v>11</v>
      </c>
      <c r="T123" s="36" t="n">
        <v>8</v>
      </c>
      <c r="U123" s="36" t="n">
        <v>10.69</v>
      </c>
      <c r="V123" s="36" t="n">
        <v>10.74</v>
      </c>
      <c r="W123" s="36" t="n">
        <v>10.37</v>
      </c>
      <c r="X123" s="36" t="n">
        <v>8.93</v>
      </c>
      <c r="Y123" s="28" t="n">
        <v>14.42</v>
      </c>
      <c r="Z123" s="36" t="n">
        <v>11.4</v>
      </c>
      <c r="AA123" s="36" t="n">
        <v>13.91</v>
      </c>
      <c r="AB123" s="36" t="n">
        <v>10.94</v>
      </c>
      <c r="AC123" s="36" t="n">
        <v>8.85</v>
      </c>
      <c r="AD123" s="36" t="n">
        <v>20.36</v>
      </c>
      <c r="AE123" s="36" t="n">
        <v>9.470000000000001</v>
      </c>
      <c r="AF123" s="28" t="n">
        <v>15.94</v>
      </c>
      <c r="AG123" s="36" t="n">
        <v>11.97</v>
      </c>
      <c r="AH123" s="37" t="n">
        <v>12.7</v>
      </c>
      <c r="AI123" s="37" t="n">
        <v>10.69</v>
      </c>
      <c r="AJ123" s="37" t="n">
        <v>10.74</v>
      </c>
      <c r="AK123" s="37" t="n">
        <v>11.36</v>
      </c>
      <c r="AL123" s="37" t="n">
        <v>15.99</v>
      </c>
      <c r="AM123" s="37" t="n">
        <v>14.42</v>
      </c>
      <c r="AN123" s="37" t="n">
        <v>11.4</v>
      </c>
      <c r="AO123" s="37" t="n">
        <v>12.7</v>
      </c>
      <c r="AP123" s="37" t="n">
        <v>11.76</v>
      </c>
      <c r="AQ123" s="37" t="n">
        <v>8.630000000000001</v>
      </c>
      <c r="AR123" s="37" t="n">
        <v>10.37</v>
      </c>
      <c r="AS123" s="37" t="n">
        <v>8.93</v>
      </c>
      <c r="AT123" s="37" t="n">
        <v>14.42</v>
      </c>
      <c r="AU123" s="37" t="n">
        <v>12.56</v>
      </c>
      <c r="AV123" s="37" t="n">
        <v>12.97</v>
      </c>
      <c r="AW123" s="37" t="n">
        <v>10.69</v>
      </c>
      <c r="AX123" s="37" t="n">
        <v>10.74</v>
      </c>
      <c r="AY123" s="37" t="n">
        <v>10.37</v>
      </c>
      <c r="AZ123" s="37" t="n">
        <v>8.93</v>
      </c>
      <c r="BA123" s="37" t="n">
        <v>12.35</v>
      </c>
      <c r="BB123" s="37" t="n">
        <v>8.57</v>
      </c>
      <c r="BC123" s="37" t="n">
        <v>3.83</v>
      </c>
      <c r="BD123" s="37" t="n">
        <v>6.43</v>
      </c>
      <c r="BE123" s="37" t="n">
        <v>12.87</v>
      </c>
      <c r="BF123" s="37" t="n">
        <v>12.38</v>
      </c>
      <c r="BG123" s="37" t="n">
        <v>8.75</v>
      </c>
      <c r="BH123" s="37" t="n">
        <v>13.73</v>
      </c>
      <c r="BI123" s="37" t="n">
        <v>8.98</v>
      </c>
      <c r="BJ123" s="37" t="n">
        <v>28.73</v>
      </c>
      <c r="BK123" s="37" t="n">
        <v>10.96</v>
      </c>
      <c r="BL123" s="37" t="n">
        <v>10.79</v>
      </c>
      <c r="BM123" s="37" t="n">
        <v>9.93</v>
      </c>
      <c r="BN123" s="37" t="n">
        <v>8.58</v>
      </c>
      <c r="BO123" s="37" t="n">
        <v>13.73</v>
      </c>
      <c r="BP123" s="37" t="n">
        <v>12</v>
      </c>
      <c r="BQ123" s="37" t="n">
        <v>18.44</v>
      </c>
      <c r="BR123" s="37" t="n">
        <v>10.24</v>
      </c>
      <c r="BS123" s="37" t="n">
        <v>10.28</v>
      </c>
      <c r="BT123" s="37" t="n">
        <v>9.93</v>
      </c>
      <c r="BU123" s="37" t="n">
        <v>9.390000000000001</v>
      </c>
      <c r="BV123" s="37" t="n">
        <v>11.09</v>
      </c>
      <c r="BW123" s="37" t="n">
        <v>10.89</v>
      </c>
      <c r="BX123" s="37" t="n">
        <v>12.12</v>
      </c>
      <c r="BY123" s="37" t="n">
        <v>10.24</v>
      </c>
      <c r="BZ123" s="37" t="n">
        <v>11.28</v>
      </c>
      <c r="CA123" s="37" t="n">
        <v>10.07</v>
      </c>
      <c r="CB123" s="37" t="n">
        <v>8.58</v>
      </c>
      <c r="CC123" s="37" t="n">
        <v>838.5200000000002</v>
      </c>
    </row>
    <row r="124" ht="15.75" customHeight="1" s="57">
      <c r="A124" s="7" t="inlineStr">
        <is>
          <t>NTB</t>
        </is>
      </c>
      <c r="B124" s="7" t="inlineStr">
        <is>
          <t>Khánh Hòa</t>
        </is>
      </c>
      <c r="C124" s="7" t="n">
        <v>2502</v>
      </c>
      <c r="D124" s="7" t="inlineStr">
        <is>
          <t>(KHO) Nam Nha Trang 5</t>
        </is>
      </c>
      <c r="E124" s="7" t="inlineStr">
        <is>
          <t>Shopee-Bulky</t>
        </is>
      </c>
      <c r="F124" s="36" t="n">
        <v>2.86</v>
      </c>
      <c r="G124" s="36" t="n">
        <v>1.14</v>
      </c>
      <c r="H124" s="36" t="n">
        <v>0.57</v>
      </c>
      <c r="I124" s="36" t="n">
        <v>1.14</v>
      </c>
      <c r="J124" s="36" t="n">
        <v>0.57</v>
      </c>
      <c r="K124" s="28" t="n">
        <v>1.72</v>
      </c>
      <c r="L124" s="36" t="n">
        <v>0.57</v>
      </c>
      <c r="M124" s="36" t="n">
        <v>0.57</v>
      </c>
      <c r="N124" s="36" t="n">
        <v>2.29</v>
      </c>
      <c r="O124" s="36" t="n">
        <v>0</v>
      </c>
      <c r="P124" s="36" t="n">
        <v>0.57</v>
      </c>
      <c r="Q124" s="36" t="n">
        <v>0.57</v>
      </c>
      <c r="R124" s="28" t="n">
        <v>1.14</v>
      </c>
      <c r="S124" s="36" t="n">
        <v>0</v>
      </c>
      <c r="T124" s="36" t="n">
        <v>0.57</v>
      </c>
      <c r="U124" s="36" t="n">
        <v>1.08</v>
      </c>
      <c r="V124" s="36" t="n">
        <v>1.02</v>
      </c>
      <c r="W124" s="36" t="n">
        <v>1.22</v>
      </c>
      <c r="X124" s="36" t="n">
        <v>0.64</v>
      </c>
      <c r="Y124" s="28" t="n">
        <v>1.63</v>
      </c>
      <c r="Z124" s="36" t="n">
        <v>1.25</v>
      </c>
      <c r="AA124" s="36" t="n">
        <v>1.83</v>
      </c>
      <c r="AB124" s="36" t="n">
        <v>1.25</v>
      </c>
      <c r="AC124" s="36" t="n">
        <v>1.32</v>
      </c>
      <c r="AD124" s="36" t="n">
        <v>4.91</v>
      </c>
      <c r="AE124" s="36" t="n">
        <v>3.32</v>
      </c>
      <c r="AF124" s="28" t="n">
        <v>3.86</v>
      </c>
      <c r="AG124" s="36" t="n">
        <v>1.73</v>
      </c>
      <c r="AH124" s="37" t="n">
        <v>1.25</v>
      </c>
      <c r="AI124" s="37" t="n">
        <v>1.22</v>
      </c>
      <c r="AJ124" s="37" t="n">
        <v>1.12</v>
      </c>
      <c r="AK124" s="37" t="n">
        <v>2.44</v>
      </c>
      <c r="AL124" s="37" t="n">
        <v>1.39</v>
      </c>
      <c r="AM124" s="37" t="n">
        <v>2.07</v>
      </c>
      <c r="AN124" s="37" t="n">
        <v>1.25</v>
      </c>
      <c r="AO124" s="37" t="n">
        <v>1.19</v>
      </c>
      <c r="AP124" s="37" t="n">
        <v>2.13</v>
      </c>
      <c r="AQ124" s="37" t="n">
        <v>1.52</v>
      </c>
      <c r="AR124" s="37" t="n">
        <v>1.05</v>
      </c>
      <c r="AS124" s="37" t="n">
        <v>0.54</v>
      </c>
      <c r="AT124" s="37" t="n">
        <v>1.52</v>
      </c>
      <c r="AU124" s="37" t="n">
        <v>2.57</v>
      </c>
      <c r="AV124" s="37" t="n">
        <v>2.57</v>
      </c>
      <c r="AW124" s="37" t="n">
        <v>1.19</v>
      </c>
      <c r="AX124" s="37" t="n">
        <v>1.12</v>
      </c>
      <c r="AY124" s="37" t="n">
        <v>1.02</v>
      </c>
      <c r="AZ124" s="37" t="n">
        <v>0.54</v>
      </c>
      <c r="BA124" s="37" t="n">
        <v>1.42</v>
      </c>
      <c r="BB124" s="37" t="n">
        <v>0.98</v>
      </c>
      <c r="BC124" s="37" t="n">
        <v>0.3</v>
      </c>
      <c r="BD124" s="37" t="n">
        <v>0.47</v>
      </c>
      <c r="BE124" s="37" t="n">
        <v>1.63</v>
      </c>
      <c r="BF124" s="37" t="n">
        <v>1.39</v>
      </c>
      <c r="BG124" s="37" t="n">
        <v>0.71</v>
      </c>
      <c r="BH124" s="37" t="n">
        <v>1.73</v>
      </c>
      <c r="BI124" s="37" t="n">
        <v>1.56</v>
      </c>
      <c r="BJ124" s="37" t="n">
        <v>9.890000000000001</v>
      </c>
      <c r="BK124" s="37" t="n">
        <v>3.32</v>
      </c>
      <c r="BL124" s="37" t="n">
        <v>1.73</v>
      </c>
      <c r="BM124" s="37" t="n">
        <v>1.19</v>
      </c>
      <c r="BN124" s="37" t="n">
        <v>0.71</v>
      </c>
      <c r="BO124" s="37" t="n">
        <v>2.07</v>
      </c>
      <c r="BP124" s="37" t="n">
        <v>3.12</v>
      </c>
      <c r="BQ124" s="37" t="n">
        <v>2.27</v>
      </c>
      <c r="BR124" s="37" t="n">
        <v>1.49</v>
      </c>
      <c r="BS124" s="37" t="n">
        <v>1.39</v>
      </c>
      <c r="BT124" s="37" t="n">
        <v>0.98</v>
      </c>
      <c r="BU124" s="37" t="n">
        <v>1.73</v>
      </c>
      <c r="BV124" s="37" t="n">
        <v>1.9</v>
      </c>
      <c r="BW124" s="37" t="n">
        <v>1.56</v>
      </c>
      <c r="BX124" s="37" t="n">
        <v>1.49</v>
      </c>
      <c r="BY124" s="37" t="n">
        <v>1.49</v>
      </c>
      <c r="BZ124" s="37" t="n">
        <v>2.1</v>
      </c>
      <c r="CA124" s="37" t="n">
        <v>1.39</v>
      </c>
      <c r="CB124" s="37" t="n">
        <v>0.71</v>
      </c>
      <c r="CC124" s="37" t="n">
        <v>117.76</v>
      </c>
    </row>
    <row r="125" ht="15.75" customHeight="1" s="57">
      <c r="A125" s="7" t="inlineStr">
        <is>
          <t>NTB</t>
        </is>
      </c>
      <c r="B125" s="7" t="inlineStr">
        <is>
          <t>Khánh Hòa</t>
        </is>
      </c>
      <c r="C125" s="7" t="n">
        <v>2502</v>
      </c>
      <c r="D125" s="7" t="inlineStr">
        <is>
          <t>(KHO) Nam Nha Trang 5</t>
        </is>
      </c>
      <c r="E125" s="7" t="inlineStr">
        <is>
          <t>Shopee-Bulky (10-15kg)</t>
        </is>
      </c>
      <c r="F125" s="36" t="n">
        <v>2.14</v>
      </c>
      <c r="G125" s="36" t="n">
        <v>0.86</v>
      </c>
      <c r="H125" s="36" t="n">
        <v>0.43</v>
      </c>
      <c r="I125" s="36" t="n">
        <v>0.86</v>
      </c>
      <c r="J125" s="36" t="n">
        <v>0.43</v>
      </c>
      <c r="K125" s="28" t="n">
        <v>1.28</v>
      </c>
      <c r="L125" s="36" t="n">
        <v>0.43</v>
      </c>
      <c r="M125" s="36" t="n">
        <v>0.43</v>
      </c>
      <c r="N125" s="36" t="n">
        <v>1.71</v>
      </c>
      <c r="O125" s="36" t="n">
        <v>0</v>
      </c>
      <c r="P125" s="36" t="n">
        <v>0.43</v>
      </c>
      <c r="Q125" s="36" t="n">
        <v>0.43</v>
      </c>
      <c r="R125" s="28" t="n">
        <v>0.86</v>
      </c>
      <c r="S125" s="36" t="n">
        <v>0</v>
      </c>
      <c r="T125" s="36" t="n">
        <v>0.43</v>
      </c>
      <c r="U125" s="36" t="n">
        <v>0.78</v>
      </c>
      <c r="V125" s="36" t="n">
        <v>0.8100000000000001</v>
      </c>
      <c r="W125" s="36" t="n">
        <v>0.98</v>
      </c>
      <c r="X125" s="36" t="n">
        <v>0.61</v>
      </c>
      <c r="Y125" s="28" t="n">
        <v>1.05</v>
      </c>
      <c r="Z125" s="36" t="n">
        <v>0.8100000000000001</v>
      </c>
      <c r="AA125" s="36" t="n">
        <v>1.15</v>
      </c>
      <c r="AB125" s="36" t="n">
        <v>0.8100000000000001</v>
      </c>
      <c r="AC125" s="36" t="n">
        <v>0.95</v>
      </c>
      <c r="AD125" s="36" t="n">
        <v>4.27</v>
      </c>
      <c r="AE125" s="36" t="n">
        <v>2.3</v>
      </c>
      <c r="AF125" s="28" t="n">
        <v>2.4</v>
      </c>
      <c r="AG125" s="36" t="n">
        <v>1.29</v>
      </c>
      <c r="AH125" s="37" t="n">
        <v>0.8100000000000001</v>
      </c>
      <c r="AI125" s="37" t="n">
        <v>0.88</v>
      </c>
      <c r="AJ125" s="37" t="n">
        <v>0.85</v>
      </c>
      <c r="AK125" s="37" t="n">
        <v>1.69</v>
      </c>
      <c r="AL125" s="37" t="n">
        <v>1.02</v>
      </c>
      <c r="AM125" s="37" t="n">
        <v>1.35</v>
      </c>
      <c r="AN125" s="37" t="n">
        <v>0.8100000000000001</v>
      </c>
      <c r="AO125" s="37" t="n">
        <v>0.8100000000000001</v>
      </c>
      <c r="AP125" s="37" t="n">
        <v>1.29</v>
      </c>
      <c r="AQ125" s="37" t="n">
        <v>1.12</v>
      </c>
      <c r="AR125" s="37" t="n">
        <v>0.85</v>
      </c>
      <c r="AS125" s="37" t="n">
        <v>0.47</v>
      </c>
      <c r="AT125" s="37" t="n">
        <v>1.02</v>
      </c>
      <c r="AU125" s="37" t="n">
        <v>1.86</v>
      </c>
      <c r="AV125" s="37" t="n">
        <v>1.79</v>
      </c>
      <c r="AW125" s="37" t="n">
        <v>0.8100000000000001</v>
      </c>
      <c r="AX125" s="37" t="n">
        <v>0.8100000000000001</v>
      </c>
      <c r="AY125" s="37" t="n">
        <v>0.85</v>
      </c>
      <c r="AZ125" s="37" t="n">
        <v>0.47</v>
      </c>
      <c r="BA125" s="37" t="n">
        <v>1.02</v>
      </c>
      <c r="BB125" s="37" t="n">
        <v>0.71</v>
      </c>
      <c r="BC125" s="37" t="n">
        <v>0.14</v>
      </c>
      <c r="BD125" s="37" t="n">
        <v>0.37</v>
      </c>
      <c r="BE125" s="37" t="n">
        <v>1.08</v>
      </c>
      <c r="BF125" s="37" t="n">
        <v>0.91</v>
      </c>
      <c r="BG125" s="37" t="n">
        <v>0.71</v>
      </c>
      <c r="BH125" s="37" t="n">
        <v>1.25</v>
      </c>
      <c r="BI125" s="37" t="n">
        <v>0.95</v>
      </c>
      <c r="BJ125" s="37" t="n">
        <v>5.59</v>
      </c>
      <c r="BK125" s="37" t="n">
        <v>1.93</v>
      </c>
      <c r="BL125" s="37" t="n">
        <v>1.25</v>
      </c>
      <c r="BM125" s="37" t="n">
        <v>0.8100000000000001</v>
      </c>
      <c r="BN125" s="37" t="n">
        <v>0.64</v>
      </c>
      <c r="BO125" s="37" t="n">
        <v>1.42</v>
      </c>
      <c r="BP125" s="37" t="n">
        <v>2.07</v>
      </c>
      <c r="BQ125" s="37" t="n">
        <v>1.59</v>
      </c>
      <c r="BR125" s="37" t="n">
        <v>0.91</v>
      </c>
      <c r="BS125" s="37" t="n">
        <v>0.91</v>
      </c>
      <c r="BT125" s="37" t="n">
        <v>0.75</v>
      </c>
      <c r="BU125" s="37" t="n">
        <v>1.15</v>
      </c>
      <c r="BV125" s="37" t="n">
        <v>1.32</v>
      </c>
      <c r="BW125" s="37" t="n">
        <v>0.95</v>
      </c>
      <c r="BX125" s="37" t="n">
        <v>0.95</v>
      </c>
      <c r="BY125" s="37" t="n">
        <v>0.91</v>
      </c>
      <c r="BZ125" s="37" t="n">
        <v>1.59</v>
      </c>
      <c r="CA125" s="37" t="n">
        <v>1.02</v>
      </c>
      <c r="CB125" s="37" t="n">
        <v>0.64</v>
      </c>
      <c r="CC125" s="37" t="n">
        <v>82.03</v>
      </c>
    </row>
    <row r="126" ht="15.75" customHeight="1" s="57">
      <c r="A126" s="7" t="inlineStr">
        <is>
          <t>NTB</t>
        </is>
      </c>
      <c r="B126" s="7" t="inlineStr">
        <is>
          <t>Khánh Hòa</t>
        </is>
      </c>
      <c r="C126" s="7" t="n">
        <v>2502</v>
      </c>
      <c r="D126" s="7" t="inlineStr">
        <is>
          <t>(KHO) Nam Nha Trang 5</t>
        </is>
      </c>
      <c r="E126" s="7" t="inlineStr">
        <is>
          <t>TTS</t>
        </is>
      </c>
      <c r="F126" s="36" t="n">
        <v>9</v>
      </c>
      <c r="G126" s="36" t="n">
        <v>5</v>
      </c>
      <c r="H126" s="36" t="n">
        <v>5</v>
      </c>
      <c r="I126" s="36" t="n">
        <v>7</v>
      </c>
      <c r="J126" s="36" t="n">
        <v>3</v>
      </c>
      <c r="K126" s="28" t="n">
        <v>6</v>
      </c>
      <c r="L126" s="36" t="n">
        <v>4</v>
      </c>
      <c r="M126" s="36" t="n">
        <v>11</v>
      </c>
      <c r="N126" s="36" t="n">
        <v>4</v>
      </c>
      <c r="O126" s="36" t="n">
        <v>3</v>
      </c>
      <c r="P126" s="36" t="n">
        <v>3</v>
      </c>
      <c r="Q126" s="36" t="n">
        <v>2</v>
      </c>
      <c r="R126" s="28" t="n">
        <v>6</v>
      </c>
      <c r="S126" s="36" t="n">
        <v>7</v>
      </c>
      <c r="T126" s="36" t="n">
        <v>3</v>
      </c>
      <c r="U126" s="36" t="n">
        <v>4.78</v>
      </c>
      <c r="V126" s="36" t="n">
        <v>4.68</v>
      </c>
      <c r="W126" s="36" t="n">
        <v>4.57</v>
      </c>
      <c r="X126" s="36" t="n">
        <v>3.69</v>
      </c>
      <c r="Y126" s="28" t="n">
        <v>5.37</v>
      </c>
      <c r="Z126" s="36" t="n">
        <v>4.57</v>
      </c>
      <c r="AA126" s="36" t="n">
        <v>5.13</v>
      </c>
      <c r="AB126" s="36" t="n">
        <v>5.64</v>
      </c>
      <c r="AC126" s="36" t="n">
        <v>5.96</v>
      </c>
      <c r="AD126" s="36" t="n">
        <v>5.69</v>
      </c>
      <c r="AE126" s="36" t="n">
        <v>4.28</v>
      </c>
      <c r="AF126" s="28" t="n">
        <v>5.529999999999999</v>
      </c>
      <c r="AG126" s="36" t="n">
        <v>4.66</v>
      </c>
      <c r="AH126" s="37" t="n">
        <v>4.62</v>
      </c>
      <c r="AI126" s="37" t="n">
        <v>5.34</v>
      </c>
      <c r="AJ126" s="37" t="n">
        <v>5.69</v>
      </c>
      <c r="AK126" s="37" t="n">
        <v>5.62</v>
      </c>
      <c r="AL126" s="37" t="n">
        <v>4.01</v>
      </c>
      <c r="AM126" s="37" t="n">
        <v>5.43</v>
      </c>
      <c r="AN126" s="37" t="n">
        <v>4.69</v>
      </c>
      <c r="AO126" s="37" t="n">
        <v>4.68</v>
      </c>
      <c r="AP126" s="37" t="n">
        <v>4.55</v>
      </c>
      <c r="AQ126" s="37" t="n">
        <v>4.59</v>
      </c>
      <c r="AR126" s="37" t="n">
        <v>4.52</v>
      </c>
      <c r="AS126" s="37" t="n">
        <v>3.7</v>
      </c>
      <c r="AT126" s="37" t="n">
        <v>5.87</v>
      </c>
      <c r="AU126" s="37" t="n">
        <v>5.33</v>
      </c>
      <c r="AV126" s="37" t="n">
        <v>4.74</v>
      </c>
      <c r="AW126" s="37" t="n">
        <v>4.51</v>
      </c>
      <c r="AX126" s="37" t="n">
        <v>4.44</v>
      </c>
      <c r="AY126" s="37" t="n">
        <v>4.45</v>
      </c>
      <c r="AZ126" s="37" t="n">
        <v>3.7</v>
      </c>
      <c r="BA126" s="37" t="n">
        <v>5.29</v>
      </c>
      <c r="BB126" s="37" t="n">
        <v>4.95</v>
      </c>
      <c r="BC126" s="37" t="n">
        <v>2.61</v>
      </c>
      <c r="BD126" s="37" t="n">
        <v>3.63</v>
      </c>
      <c r="BE126" s="37" t="n">
        <v>8.34</v>
      </c>
      <c r="BF126" s="37" t="n">
        <v>8.109999999999999</v>
      </c>
      <c r="BG126" s="37" t="n">
        <v>4.01</v>
      </c>
      <c r="BH126" s="37" t="n">
        <v>5.859999999999999</v>
      </c>
      <c r="BI126" s="37" t="n">
        <v>4.95</v>
      </c>
      <c r="BJ126" s="37" t="n">
        <v>4.36</v>
      </c>
      <c r="BK126" s="37" t="n">
        <v>5.04</v>
      </c>
      <c r="BL126" s="37" t="n">
        <v>5.04</v>
      </c>
      <c r="BM126" s="37" t="n">
        <v>4.89</v>
      </c>
      <c r="BN126" s="37" t="n">
        <v>4.01</v>
      </c>
      <c r="BO126" s="37" t="n">
        <v>5.859999999999999</v>
      </c>
      <c r="BP126" s="37" t="n">
        <v>4.95</v>
      </c>
      <c r="BQ126" s="37" t="n">
        <v>4.9</v>
      </c>
      <c r="BR126" s="37" t="n">
        <v>5.04</v>
      </c>
      <c r="BS126" s="37" t="n">
        <v>5.04</v>
      </c>
      <c r="BT126" s="37" t="n">
        <v>4.89</v>
      </c>
      <c r="BU126" s="37" t="n">
        <v>4.01</v>
      </c>
      <c r="BV126" s="37" t="n">
        <v>5.859999999999999</v>
      </c>
      <c r="BW126" s="37" t="n">
        <v>4.95</v>
      </c>
      <c r="BX126" s="37" t="n">
        <v>4.9</v>
      </c>
      <c r="BY126" s="37" t="n">
        <v>5.04</v>
      </c>
      <c r="BZ126" s="37" t="n">
        <v>5.04</v>
      </c>
      <c r="CA126" s="37" t="n">
        <v>4.89</v>
      </c>
      <c r="CB126" s="37" t="n">
        <v>4.01</v>
      </c>
      <c r="CC126" s="37" t="n">
        <v>373.5</v>
      </c>
    </row>
    <row r="127" ht="15.75" customHeight="1" s="57">
      <c r="A127" s="7" t="inlineStr">
        <is>
          <t>NTB</t>
        </is>
      </c>
      <c r="B127" s="7" t="inlineStr">
        <is>
          <t>Khánh Hòa</t>
        </is>
      </c>
      <c r="C127" s="7" t="n">
        <v>2502</v>
      </c>
      <c r="D127" s="7" t="inlineStr">
        <is>
          <t>(KHO) Nam Nha Trang 5</t>
        </is>
      </c>
      <c r="E127" s="7" t="inlineStr">
        <is>
          <t>TTS-Bulky</t>
        </is>
      </c>
      <c r="F127" s="36" t="n">
        <v>0</v>
      </c>
      <c r="G127" s="36" t="n">
        <v>1</v>
      </c>
      <c r="H127" s="36" t="n">
        <v>0</v>
      </c>
      <c r="I127" s="36" t="n">
        <v>0</v>
      </c>
      <c r="J127" s="36" t="n">
        <v>0</v>
      </c>
      <c r="K127" s="28" t="n">
        <v>0</v>
      </c>
      <c r="L127" s="36" t="n">
        <v>0</v>
      </c>
      <c r="M127" s="36" t="n">
        <v>0</v>
      </c>
      <c r="N127" s="36" t="n">
        <v>0</v>
      </c>
      <c r="O127" s="36" t="n">
        <v>0</v>
      </c>
      <c r="P127" s="36" t="n">
        <v>0</v>
      </c>
      <c r="Q127" s="36" t="n">
        <v>0</v>
      </c>
      <c r="R127" s="28" t="n">
        <v>0</v>
      </c>
      <c r="S127" s="36" t="n">
        <v>0</v>
      </c>
      <c r="T127" s="36" t="n">
        <v>0</v>
      </c>
      <c r="U127" s="36" t="n">
        <v>0.08</v>
      </c>
      <c r="V127" s="36" t="n">
        <v>0.09</v>
      </c>
      <c r="W127" s="36" t="n">
        <v>0.04</v>
      </c>
      <c r="X127" s="36" t="n">
        <v>0.02</v>
      </c>
      <c r="Y127" s="28" t="n">
        <v>0.04</v>
      </c>
      <c r="Z127" s="36" t="n">
        <v>0.03</v>
      </c>
      <c r="AA127" s="36" t="n">
        <v>0.04</v>
      </c>
      <c r="AB127" s="36" t="n">
        <v>0.04</v>
      </c>
      <c r="AC127" s="36" t="n">
        <v>0.05</v>
      </c>
      <c r="AD127" s="36" t="n">
        <v>0.02</v>
      </c>
      <c r="AE127" s="36" t="n">
        <v>0.02</v>
      </c>
      <c r="AF127" s="28" t="n">
        <v>0.04</v>
      </c>
      <c r="AG127" s="36" t="n">
        <v>0.04</v>
      </c>
      <c r="AH127" s="37" t="n">
        <v>0.04</v>
      </c>
      <c r="AI127" s="37" t="n">
        <v>0.04</v>
      </c>
      <c r="AJ127" s="37" t="n">
        <v>0.04</v>
      </c>
      <c r="AK127" s="37" t="n">
        <v>0.04</v>
      </c>
      <c r="AL127" s="37" t="n">
        <v>0.02</v>
      </c>
      <c r="AM127" s="37" t="n">
        <v>0.04</v>
      </c>
      <c r="AN127" s="37" t="n">
        <v>0.04</v>
      </c>
      <c r="AO127" s="37" t="n">
        <v>0.04</v>
      </c>
      <c r="AP127" s="37" t="n">
        <v>0.04</v>
      </c>
      <c r="AQ127" s="37" t="n">
        <v>0.04</v>
      </c>
      <c r="AR127" s="37" t="n">
        <v>0.04</v>
      </c>
      <c r="AS127" s="37" t="n">
        <v>0.02</v>
      </c>
      <c r="AT127" s="37" t="n">
        <v>0.05</v>
      </c>
      <c r="AU127" s="37" t="n">
        <v>0.05</v>
      </c>
      <c r="AV127" s="37" t="n">
        <v>0.04</v>
      </c>
      <c r="AW127" s="37" t="n">
        <v>0.04</v>
      </c>
      <c r="AX127" s="37" t="n">
        <v>0.04</v>
      </c>
      <c r="AY127" s="37" t="n">
        <v>0.04</v>
      </c>
      <c r="AZ127" s="37" t="n">
        <v>0.02</v>
      </c>
      <c r="BA127" s="37" t="n">
        <v>0.04</v>
      </c>
      <c r="BB127" s="37" t="n">
        <v>0.01</v>
      </c>
      <c r="BC127" s="37" t="n">
        <v>0.01</v>
      </c>
      <c r="BD127" s="37" t="n">
        <v>0.01</v>
      </c>
      <c r="BE127" s="37" t="n">
        <v>0.01</v>
      </c>
      <c r="BF127" s="37" t="n">
        <v>0.01</v>
      </c>
      <c r="BG127" s="37" t="n">
        <v>0.01</v>
      </c>
      <c r="BH127" s="37" t="n">
        <v>0.01</v>
      </c>
      <c r="BI127" s="37" t="n">
        <v>0.01</v>
      </c>
      <c r="BJ127" s="37" t="n">
        <v>0.01</v>
      </c>
      <c r="BK127" s="37" t="n">
        <v>0.01</v>
      </c>
      <c r="BL127" s="37" t="n">
        <v>0.01</v>
      </c>
      <c r="BM127" s="37" t="n">
        <v>0.01</v>
      </c>
      <c r="BN127" s="37" t="n">
        <v>0.01</v>
      </c>
      <c r="BO127" s="37" t="n">
        <v>0.02</v>
      </c>
      <c r="BP127" s="37" t="n">
        <v>0.01</v>
      </c>
      <c r="BQ127" s="37" t="n">
        <v>0.01</v>
      </c>
      <c r="BR127" s="37" t="n">
        <v>0.01</v>
      </c>
      <c r="BS127" s="37" t="n">
        <v>0.01</v>
      </c>
      <c r="BT127" s="37" t="n">
        <v>0.01</v>
      </c>
      <c r="BU127" s="37" t="n">
        <v>0.01</v>
      </c>
      <c r="BV127" s="37" t="n">
        <v>0.01</v>
      </c>
      <c r="BW127" s="37" t="n">
        <v>0.01</v>
      </c>
      <c r="BX127" s="37" t="n">
        <v>0.01</v>
      </c>
      <c r="BY127" s="37" t="n">
        <v>0.01</v>
      </c>
      <c r="BZ127" s="37" t="n">
        <v>0.01</v>
      </c>
      <c r="CA127" s="37" t="n">
        <v>0.01</v>
      </c>
      <c r="CB127" s="37" t="n">
        <v>0.01</v>
      </c>
      <c r="CC127" s="37" t="n">
        <v>2.589999999999995</v>
      </c>
    </row>
    <row r="128" ht="15.75" customHeight="1" s="57">
      <c r="A128" s="7" t="inlineStr">
        <is>
          <t>NTB</t>
        </is>
      </c>
      <c r="B128" s="7" t="inlineStr">
        <is>
          <t>Khánh Hòa</t>
        </is>
      </c>
      <c r="C128" s="7" t="n">
        <v>20143000</v>
      </c>
      <c r="D128" s="7" t="inlineStr">
        <is>
          <t>(KHO) Diên Khánh 2</t>
        </is>
      </c>
      <c r="E128" s="7" t="inlineStr">
        <is>
          <t>SME</t>
        </is>
      </c>
      <c r="F128" s="36" t="n">
        <v>102</v>
      </c>
      <c r="G128" s="36" t="n">
        <v>80</v>
      </c>
      <c r="H128" s="36" t="n">
        <v>147</v>
      </c>
      <c r="I128" s="36" t="n">
        <v>89</v>
      </c>
      <c r="J128" s="36" t="n">
        <v>26</v>
      </c>
      <c r="K128" s="28" t="n">
        <v>182</v>
      </c>
      <c r="L128" s="36" t="n">
        <v>103</v>
      </c>
      <c r="M128" s="36" t="n">
        <v>136</v>
      </c>
      <c r="N128" s="36" t="n">
        <v>81</v>
      </c>
      <c r="O128" s="36" t="n">
        <v>95</v>
      </c>
      <c r="P128" s="36" t="n">
        <v>110</v>
      </c>
      <c r="Q128" s="36" t="n">
        <v>31</v>
      </c>
      <c r="R128" s="28" t="n">
        <v>155</v>
      </c>
      <c r="S128" s="36" t="n">
        <v>117</v>
      </c>
      <c r="T128" s="36" t="n">
        <v>75</v>
      </c>
      <c r="U128" s="36" t="n">
        <v>149.54</v>
      </c>
      <c r="V128" s="36" t="n">
        <v>154.87</v>
      </c>
      <c r="W128" s="36" t="n">
        <v>150.75</v>
      </c>
      <c r="X128" s="36" t="n">
        <v>122.53</v>
      </c>
      <c r="Y128" s="28" t="n">
        <v>167</v>
      </c>
      <c r="Z128" s="36" t="n">
        <v>153.58</v>
      </c>
      <c r="AA128" s="36" t="n">
        <v>150.26</v>
      </c>
      <c r="AB128" s="36" t="n">
        <v>149.54</v>
      </c>
      <c r="AC128" s="36" t="n">
        <v>154.87</v>
      </c>
      <c r="AD128" s="36" t="n">
        <v>175.03</v>
      </c>
      <c r="AE128" s="36" t="n">
        <v>122.53</v>
      </c>
      <c r="AF128" s="28" t="n">
        <v>167</v>
      </c>
      <c r="AG128" s="36" t="n">
        <v>153.58</v>
      </c>
      <c r="AH128" s="37" t="n">
        <v>150.26</v>
      </c>
      <c r="AI128" s="37" t="n">
        <v>149.54</v>
      </c>
      <c r="AJ128" s="37" t="n">
        <v>154.87</v>
      </c>
      <c r="AK128" s="37" t="n">
        <v>150.75</v>
      </c>
      <c r="AL128" s="37" t="n">
        <v>122.53</v>
      </c>
      <c r="AM128" s="37" t="n">
        <v>167</v>
      </c>
      <c r="AN128" s="37" t="n">
        <v>153.58</v>
      </c>
      <c r="AO128" s="37" t="n">
        <v>150.26</v>
      </c>
      <c r="AP128" s="37" t="n">
        <v>149.54</v>
      </c>
      <c r="AQ128" s="37" t="n">
        <v>154.87</v>
      </c>
      <c r="AR128" s="37" t="n">
        <v>150.75</v>
      </c>
      <c r="AS128" s="37" t="n">
        <v>122.53</v>
      </c>
      <c r="AT128" s="37" t="n">
        <v>167</v>
      </c>
      <c r="AU128" s="37" t="n">
        <v>153.58</v>
      </c>
      <c r="AV128" s="37" t="n">
        <v>150.26</v>
      </c>
      <c r="AW128" s="37" t="n">
        <v>149.54</v>
      </c>
      <c r="AX128" s="37" t="n">
        <v>154.87</v>
      </c>
      <c r="AY128" s="37" t="n">
        <v>150.75</v>
      </c>
      <c r="AZ128" s="37" t="n">
        <v>122.53</v>
      </c>
      <c r="BA128" s="37" t="n">
        <v>158.63</v>
      </c>
      <c r="BB128" s="37" t="n">
        <v>141.17</v>
      </c>
      <c r="BC128" s="37" t="n">
        <v>85.95</v>
      </c>
      <c r="BD128" s="37" t="n">
        <v>66.98999999999999</v>
      </c>
      <c r="BE128" s="37" t="n">
        <v>145.04</v>
      </c>
      <c r="BF128" s="37" t="n">
        <v>141.16</v>
      </c>
      <c r="BG128" s="37" t="n">
        <v>126.3</v>
      </c>
      <c r="BH128" s="37" t="n">
        <v>172.04</v>
      </c>
      <c r="BI128" s="37" t="n">
        <v>158.18</v>
      </c>
      <c r="BJ128" s="37" t="n">
        <v>179.57</v>
      </c>
      <c r="BK128" s="37" t="n">
        <v>154.13</v>
      </c>
      <c r="BL128" s="37" t="n">
        <v>159.51</v>
      </c>
      <c r="BM128" s="37" t="n">
        <v>155.35</v>
      </c>
      <c r="BN128" s="37" t="n">
        <v>126.3</v>
      </c>
      <c r="BO128" s="37" t="n">
        <v>172.04</v>
      </c>
      <c r="BP128" s="37" t="n">
        <v>158.18</v>
      </c>
      <c r="BQ128" s="37" t="n">
        <v>154.85</v>
      </c>
      <c r="BR128" s="37" t="n">
        <v>154.13</v>
      </c>
      <c r="BS128" s="37" t="n">
        <v>159.51</v>
      </c>
      <c r="BT128" s="37" t="n">
        <v>155.35</v>
      </c>
      <c r="BU128" s="37" t="n">
        <v>126.3</v>
      </c>
      <c r="BV128" s="37" t="n">
        <v>172.04</v>
      </c>
      <c r="BW128" s="37" t="n">
        <v>158.18</v>
      </c>
      <c r="BX128" s="37" t="n">
        <v>154.85</v>
      </c>
      <c r="BY128" s="37" t="n">
        <v>154.13</v>
      </c>
      <c r="BZ128" s="37" t="n">
        <v>159.51</v>
      </c>
      <c r="CA128" s="37" t="n">
        <v>155.35</v>
      </c>
      <c r="CB128" s="37" t="n">
        <v>126.3</v>
      </c>
      <c r="CC128" s="37" t="n">
        <v>10456.13</v>
      </c>
    </row>
    <row r="129" ht="15.75" customHeight="1" s="57">
      <c r="A129" s="7" t="inlineStr">
        <is>
          <t>NTB</t>
        </is>
      </c>
      <c r="B129" s="7" t="inlineStr">
        <is>
          <t>Khánh Hòa</t>
        </is>
      </c>
      <c r="C129" s="7" t="n">
        <v>20143000</v>
      </c>
      <c r="D129" s="7" t="inlineStr">
        <is>
          <t>(KHO) Diên Khánh 2</t>
        </is>
      </c>
      <c r="E129" s="7" t="inlineStr">
        <is>
          <t>SME-Bulky</t>
        </is>
      </c>
      <c r="F129" s="36" t="n">
        <v>12</v>
      </c>
      <c r="G129" s="36" t="n">
        <v>15</v>
      </c>
      <c r="H129" s="36" t="n">
        <v>10</v>
      </c>
      <c r="I129" s="36" t="n">
        <v>16</v>
      </c>
      <c r="J129" s="36" t="n">
        <v>15</v>
      </c>
      <c r="K129" s="28" t="n">
        <v>20</v>
      </c>
      <c r="L129" s="36" t="n">
        <v>11</v>
      </c>
      <c r="M129" s="36" t="n">
        <v>22</v>
      </c>
      <c r="N129" s="36" t="n">
        <v>26</v>
      </c>
      <c r="O129" s="36" t="n">
        <v>17</v>
      </c>
      <c r="P129" s="36" t="n">
        <v>10</v>
      </c>
      <c r="Q129" s="36" t="n">
        <v>15</v>
      </c>
      <c r="R129" s="28" t="n">
        <v>18</v>
      </c>
      <c r="S129" s="36" t="n">
        <v>17</v>
      </c>
      <c r="T129" s="36" t="n">
        <v>11</v>
      </c>
      <c r="U129" s="36" t="n">
        <v>15.85</v>
      </c>
      <c r="V129" s="36" t="n">
        <v>16.3</v>
      </c>
      <c r="W129" s="36" t="n">
        <v>15.4</v>
      </c>
      <c r="X129" s="36" t="n">
        <v>10.57</v>
      </c>
      <c r="Y129" s="28" t="n">
        <v>17.42</v>
      </c>
      <c r="Z129" s="36" t="n">
        <v>16.64</v>
      </c>
      <c r="AA129" s="36" t="n">
        <v>16.52</v>
      </c>
      <c r="AB129" s="36" t="n">
        <v>15.85</v>
      </c>
      <c r="AC129" s="36" t="n">
        <v>16.3</v>
      </c>
      <c r="AD129" s="36" t="n">
        <v>10.57</v>
      </c>
      <c r="AE129" s="36" t="n">
        <v>10.57</v>
      </c>
      <c r="AF129" s="28" t="n">
        <v>17.42</v>
      </c>
      <c r="AG129" s="36" t="n">
        <v>16.64</v>
      </c>
      <c r="AH129" s="37" t="n">
        <v>16.52</v>
      </c>
      <c r="AI129" s="37" t="n">
        <v>15.85</v>
      </c>
      <c r="AJ129" s="37" t="n">
        <v>16.3</v>
      </c>
      <c r="AK129" s="37" t="n">
        <v>15.4</v>
      </c>
      <c r="AL129" s="37" t="n">
        <v>10.57</v>
      </c>
      <c r="AM129" s="37" t="n">
        <v>17.42</v>
      </c>
      <c r="AN129" s="37" t="n">
        <v>16.64</v>
      </c>
      <c r="AO129" s="37" t="n">
        <v>16.52</v>
      </c>
      <c r="AP129" s="37" t="n">
        <v>15.85</v>
      </c>
      <c r="AQ129" s="37" t="n">
        <v>16.3</v>
      </c>
      <c r="AR129" s="37" t="n">
        <v>15.4</v>
      </c>
      <c r="AS129" s="37" t="n">
        <v>10.57</v>
      </c>
      <c r="AT129" s="37" t="n">
        <v>17.42</v>
      </c>
      <c r="AU129" s="37" t="n">
        <v>16.64</v>
      </c>
      <c r="AV129" s="37" t="n">
        <v>16.52</v>
      </c>
      <c r="AW129" s="37" t="n">
        <v>15.85</v>
      </c>
      <c r="AX129" s="37" t="n">
        <v>16.3</v>
      </c>
      <c r="AY129" s="37" t="n">
        <v>15.4</v>
      </c>
      <c r="AZ129" s="37" t="n">
        <v>10.57</v>
      </c>
      <c r="BA129" s="37" t="n">
        <v>18.88</v>
      </c>
      <c r="BB129" s="37" t="n">
        <v>9.67</v>
      </c>
      <c r="BC129" s="37" t="n">
        <v>4.95</v>
      </c>
      <c r="BD129" s="37" t="n">
        <v>3.71</v>
      </c>
      <c r="BE129" s="37" t="n">
        <v>8.99</v>
      </c>
      <c r="BF129" s="37" t="n">
        <v>8.880000000000001</v>
      </c>
      <c r="BG129" s="37" t="n">
        <v>5.84</v>
      </c>
      <c r="BH129" s="37" t="n">
        <v>10</v>
      </c>
      <c r="BI129" s="37" t="n">
        <v>9.67</v>
      </c>
      <c r="BJ129" s="37" t="n">
        <v>7.31</v>
      </c>
      <c r="BK129" s="37" t="n">
        <v>9.1</v>
      </c>
      <c r="BL129" s="37" t="n">
        <v>9.33</v>
      </c>
      <c r="BM129" s="37" t="n">
        <v>8.880000000000001</v>
      </c>
      <c r="BN129" s="37" t="n">
        <v>5.84</v>
      </c>
      <c r="BO129" s="37" t="n">
        <v>10</v>
      </c>
      <c r="BP129" s="37" t="n">
        <v>9.67</v>
      </c>
      <c r="BQ129" s="37" t="n">
        <v>9.44</v>
      </c>
      <c r="BR129" s="37" t="n">
        <v>9.1</v>
      </c>
      <c r="BS129" s="37" t="n">
        <v>9.33</v>
      </c>
      <c r="BT129" s="37" t="n">
        <v>8.880000000000001</v>
      </c>
      <c r="BU129" s="37" t="n">
        <v>5.84</v>
      </c>
      <c r="BV129" s="37" t="n">
        <v>10</v>
      </c>
      <c r="BW129" s="37" t="n">
        <v>9.67</v>
      </c>
      <c r="BX129" s="37" t="n">
        <v>9.44</v>
      </c>
      <c r="BY129" s="37" t="n">
        <v>9.1</v>
      </c>
      <c r="BZ129" s="37" t="n">
        <v>9.33</v>
      </c>
      <c r="CA129" s="37" t="n">
        <v>8.880000000000001</v>
      </c>
      <c r="CB129" s="37" t="n">
        <v>5.84</v>
      </c>
      <c r="CC129" s="37" t="n">
        <v>968.6600000000001</v>
      </c>
    </row>
    <row r="130" ht="15.75" customHeight="1" s="57">
      <c r="A130" s="7" t="inlineStr">
        <is>
          <t>NTB</t>
        </is>
      </c>
      <c r="B130" s="7" t="inlineStr">
        <is>
          <t>Khánh Hòa</t>
        </is>
      </c>
      <c r="C130" s="7" t="n">
        <v>20143000</v>
      </c>
      <c r="D130" s="7" t="inlineStr">
        <is>
          <t>(KHO) Diên Khánh 2</t>
        </is>
      </c>
      <c r="E130" s="7" t="inlineStr">
        <is>
          <t>Shopee</t>
        </is>
      </c>
      <c r="F130" s="36" t="n">
        <v>33</v>
      </c>
      <c r="G130" s="36" t="n">
        <v>24</v>
      </c>
      <c r="H130" s="36" t="n">
        <v>19</v>
      </c>
      <c r="I130" s="36" t="n">
        <v>31</v>
      </c>
      <c r="J130" s="36" t="n">
        <v>21</v>
      </c>
      <c r="K130" s="28" t="n">
        <v>34</v>
      </c>
      <c r="L130" s="36" t="n">
        <v>38</v>
      </c>
      <c r="M130" s="36" t="n">
        <v>43</v>
      </c>
      <c r="N130" s="36" t="n">
        <v>20</v>
      </c>
      <c r="O130" s="36" t="n">
        <v>34</v>
      </c>
      <c r="P130" s="36" t="n">
        <v>25</v>
      </c>
      <c r="Q130" s="36" t="n">
        <v>5</v>
      </c>
      <c r="R130" s="28" t="n">
        <v>41</v>
      </c>
      <c r="S130" s="36" t="n">
        <v>19</v>
      </c>
      <c r="T130" s="36" t="n">
        <v>34</v>
      </c>
      <c r="U130" s="36" t="n">
        <v>35.65</v>
      </c>
      <c r="V130" s="36" t="n">
        <v>35.81</v>
      </c>
      <c r="W130" s="36" t="n">
        <v>34.56</v>
      </c>
      <c r="X130" s="36" t="n">
        <v>29.76</v>
      </c>
      <c r="Y130" s="28" t="n">
        <v>48.07</v>
      </c>
      <c r="Z130" s="36" t="n">
        <v>37.99</v>
      </c>
      <c r="AA130" s="36" t="n">
        <v>46.38</v>
      </c>
      <c r="AB130" s="36" t="n">
        <v>36.46</v>
      </c>
      <c r="AC130" s="36" t="n">
        <v>29.49</v>
      </c>
      <c r="AD130" s="36" t="n">
        <v>67.86</v>
      </c>
      <c r="AE130" s="36" t="n">
        <v>31.56</v>
      </c>
      <c r="AF130" s="28" t="n">
        <v>53.14</v>
      </c>
      <c r="AG130" s="36" t="n">
        <v>39.9</v>
      </c>
      <c r="AH130" s="37" t="n">
        <v>42.35</v>
      </c>
      <c r="AI130" s="37" t="n">
        <v>35.65</v>
      </c>
      <c r="AJ130" s="37" t="n">
        <v>35.81</v>
      </c>
      <c r="AK130" s="37" t="n">
        <v>37.88</v>
      </c>
      <c r="AL130" s="37" t="n">
        <v>53.3</v>
      </c>
      <c r="AM130" s="37" t="n">
        <v>48.07</v>
      </c>
      <c r="AN130" s="37" t="n">
        <v>37.99</v>
      </c>
      <c r="AO130" s="37" t="n">
        <v>42.35</v>
      </c>
      <c r="AP130" s="37" t="n">
        <v>39.19</v>
      </c>
      <c r="AQ130" s="37" t="n">
        <v>28.78</v>
      </c>
      <c r="AR130" s="37" t="n">
        <v>34.56</v>
      </c>
      <c r="AS130" s="37" t="n">
        <v>29.76</v>
      </c>
      <c r="AT130" s="37" t="n">
        <v>48.07</v>
      </c>
      <c r="AU130" s="37" t="n">
        <v>41.86</v>
      </c>
      <c r="AV130" s="37" t="n">
        <v>43.22</v>
      </c>
      <c r="AW130" s="37" t="n">
        <v>35.65</v>
      </c>
      <c r="AX130" s="37" t="n">
        <v>35.81</v>
      </c>
      <c r="AY130" s="37" t="n">
        <v>34.56</v>
      </c>
      <c r="AZ130" s="37" t="n">
        <v>29.76</v>
      </c>
      <c r="BA130" s="37" t="n">
        <v>41.15</v>
      </c>
      <c r="BB130" s="37" t="n">
        <v>28.56</v>
      </c>
      <c r="BC130" s="37" t="n">
        <v>12.75</v>
      </c>
      <c r="BD130" s="37" t="n">
        <v>21.42</v>
      </c>
      <c r="BE130" s="37" t="n">
        <v>42.89</v>
      </c>
      <c r="BF130" s="37" t="n">
        <v>41.26</v>
      </c>
      <c r="BG130" s="37" t="n">
        <v>29.16</v>
      </c>
      <c r="BH130" s="37" t="n">
        <v>45.78</v>
      </c>
      <c r="BI130" s="37" t="n">
        <v>29.92</v>
      </c>
      <c r="BJ130" s="37" t="n">
        <v>95.76000000000001</v>
      </c>
      <c r="BK130" s="37" t="n">
        <v>36.52</v>
      </c>
      <c r="BL130" s="37" t="n">
        <v>35.97</v>
      </c>
      <c r="BM130" s="37" t="n">
        <v>33.08</v>
      </c>
      <c r="BN130" s="37" t="n">
        <v>28.61</v>
      </c>
      <c r="BO130" s="37" t="n">
        <v>45.78</v>
      </c>
      <c r="BP130" s="37" t="n">
        <v>40.01</v>
      </c>
      <c r="BQ130" s="37" t="n">
        <v>61.48</v>
      </c>
      <c r="BR130" s="37" t="n">
        <v>34.12</v>
      </c>
      <c r="BS130" s="37" t="n">
        <v>34.28</v>
      </c>
      <c r="BT130" s="37" t="n">
        <v>33.08</v>
      </c>
      <c r="BU130" s="37" t="n">
        <v>31.29</v>
      </c>
      <c r="BV130" s="37" t="n">
        <v>36.95</v>
      </c>
      <c r="BW130" s="37" t="n">
        <v>36.3</v>
      </c>
      <c r="BX130" s="37" t="n">
        <v>40.39</v>
      </c>
      <c r="BY130" s="37" t="n">
        <v>34.12</v>
      </c>
      <c r="BZ130" s="37" t="n">
        <v>37.61</v>
      </c>
      <c r="CA130" s="37" t="n">
        <v>33.57</v>
      </c>
      <c r="CB130" s="37" t="n">
        <v>28.61</v>
      </c>
      <c r="CC130" s="37" t="n">
        <v>2732.670000000001</v>
      </c>
    </row>
    <row r="131" ht="15.75" customHeight="1" s="57">
      <c r="A131" s="7" t="inlineStr">
        <is>
          <t>NTB</t>
        </is>
      </c>
      <c r="B131" s="7" t="inlineStr">
        <is>
          <t>Khánh Hòa</t>
        </is>
      </c>
      <c r="C131" s="7" t="n">
        <v>20143000</v>
      </c>
      <c r="D131" s="7" t="inlineStr">
        <is>
          <t>(KHO) Diên Khánh 2</t>
        </is>
      </c>
      <c r="E131" s="7" t="inlineStr">
        <is>
          <t>Shopee-Bulky</t>
        </is>
      </c>
      <c r="F131" s="36" t="n">
        <v>4</v>
      </c>
      <c r="G131" s="36" t="n">
        <v>0.57</v>
      </c>
      <c r="H131" s="36" t="n">
        <v>0</v>
      </c>
      <c r="I131" s="36" t="n">
        <v>0</v>
      </c>
      <c r="J131" s="36" t="n">
        <v>0</v>
      </c>
      <c r="K131" s="28" t="n">
        <v>4</v>
      </c>
      <c r="L131" s="36" t="n">
        <v>1.72</v>
      </c>
      <c r="M131" s="36" t="n">
        <v>1.72</v>
      </c>
      <c r="N131" s="36" t="n">
        <v>2.29</v>
      </c>
      <c r="O131" s="36" t="n">
        <v>1.14</v>
      </c>
      <c r="P131" s="36" t="n">
        <v>1.72</v>
      </c>
      <c r="Q131" s="36" t="n">
        <v>0</v>
      </c>
      <c r="R131" s="28" t="n">
        <v>4.57</v>
      </c>
      <c r="S131" s="36" t="n">
        <v>1.72</v>
      </c>
      <c r="T131" s="36" t="n">
        <v>0.57</v>
      </c>
      <c r="U131" s="36" t="n">
        <v>2.17</v>
      </c>
      <c r="V131" s="36" t="n">
        <v>2.03</v>
      </c>
      <c r="W131" s="36" t="n">
        <v>2.44</v>
      </c>
      <c r="X131" s="36" t="n">
        <v>1.29</v>
      </c>
      <c r="Y131" s="28" t="n">
        <v>3.25</v>
      </c>
      <c r="Z131" s="36" t="n">
        <v>2.51</v>
      </c>
      <c r="AA131" s="36" t="n">
        <v>3.66</v>
      </c>
      <c r="AB131" s="36" t="n">
        <v>2.51</v>
      </c>
      <c r="AC131" s="36" t="n">
        <v>2.64</v>
      </c>
      <c r="AD131" s="36" t="n">
        <v>9.82</v>
      </c>
      <c r="AE131" s="36" t="n">
        <v>6.64</v>
      </c>
      <c r="AF131" s="28" t="n">
        <v>7.72</v>
      </c>
      <c r="AG131" s="36" t="n">
        <v>3.45</v>
      </c>
      <c r="AH131" s="37" t="n">
        <v>2.51</v>
      </c>
      <c r="AI131" s="37" t="n">
        <v>2.44</v>
      </c>
      <c r="AJ131" s="37" t="n">
        <v>2.24</v>
      </c>
      <c r="AK131" s="37" t="n">
        <v>4.88</v>
      </c>
      <c r="AL131" s="37" t="n">
        <v>2.78</v>
      </c>
      <c r="AM131" s="37" t="n">
        <v>4.13</v>
      </c>
      <c r="AN131" s="37" t="n">
        <v>2.51</v>
      </c>
      <c r="AO131" s="37" t="n">
        <v>2.37</v>
      </c>
      <c r="AP131" s="37" t="n">
        <v>4.27</v>
      </c>
      <c r="AQ131" s="37" t="n">
        <v>3.05</v>
      </c>
      <c r="AR131" s="37" t="n">
        <v>2.1</v>
      </c>
      <c r="AS131" s="37" t="n">
        <v>1.08</v>
      </c>
      <c r="AT131" s="37" t="n">
        <v>3.05</v>
      </c>
      <c r="AU131" s="37" t="n">
        <v>5.15</v>
      </c>
      <c r="AV131" s="37" t="n">
        <v>5.15</v>
      </c>
      <c r="AW131" s="37" t="n">
        <v>2.37</v>
      </c>
      <c r="AX131" s="37" t="n">
        <v>2.24</v>
      </c>
      <c r="AY131" s="37" t="n">
        <v>2.03</v>
      </c>
      <c r="AZ131" s="37" t="n">
        <v>1.08</v>
      </c>
      <c r="BA131" s="37" t="n">
        <v>2.84</v>
      </c>
      <c r="BB131" s="37" t="n">
        <v>1.96</v>
      </c>
      <c r="BC131" s="37" t="n">
        <v>0.61</v>
      </c>
      <c r="BD131" s="37" t="n">
        <v>0.95</v>
      </c>
      <c r="BE131" s="37" t="n">
        <v>3.25</v>
      </c>
      <c r="BF131" s="37" t="n">
        <v>2.78</v>
      </c>
      <c r="BG131" s="37" t="n">
        <v>1.42</v>
      </c>
      <c r="BH131" s="37" t="n">
        <v>3.45</v>
      </c>
      <c r="BI131" s="37" t="n">
        <v>3.12</v>
      </c>
      <c r="BJ131" s="37" t="n">
        <v>19.78</v>
      </c>
      <c r="BK131" s="37" t="n">
        <v>6.64</v>
      </c>
      <c r="BL131" s="37" t="n">
        <v>3.45</v>
      </c>
      <c r="BM131" s="37" t="n">
        <v>2.37</v>
      </c>
      <c r="BN131" s="37" t="n">
        <v>1.42</v>
      </c>
      <c r="BO131" s="37" t="n">
        <v>4.13</v>
      </c>
      <c r="BP131" s="37" t="n">
        <v>6.23</v>
      </c>
      <c r="BQ131" s="37" t="n">
        <v>4.54</v>
      </c>
      <c r="BR131" s="37" t="n">
        <v>2.98</v>
      </c>
      <c r="BS131" s="37" t="n">
        <v>2.78</v>
      </c>
      <c r="BT131" s="37" t="n">
        <v>1.96</v>
      </c>
      <c r="BU131" s="37" t="n">
        <v>3.45</v>
      </c>
      <c r="BV131" s="37" t="n">
        <v>3.79</v>
      </c>
      <c r="BW131" s="37" t="n">
        <v>3.12</v>
      </c>
      <c r="BX131" s="37" t="n">
        <v>2.98</v>
      </c>
      <c r="BY131" s="37" t="n">
        <v>2.98</v>
      </c>
      <c r="BZ131" s="37" t="n">
        <v>4.2</v>
      </c>
      <c r="CA131" s="37" t="n">
        <v>2.78</v>
      </c>
      <c r="CB131" s="37" t="n">
        <v>1.42</v>
      </c>
      <c r="CC131" s="37" t="n">
        <v>230.9599999999999</v>
      </c>
    </row>
    <row r="132" ht="15.75" customHeight="1" s="57">
      <c r="A132" s="7" t="inlineStr">
        <is>
          <t>NTB</t>
        </is>
      </c>
      <c r="B132" s="7" t="inlineStr">
        <is>
          <t>Khánh Hòa</t>
        </is>
      </c>
      <c r="C132" s="7" t="n">
        <v>20143000</v>
      </c>
      <c r="D132" s="7" t="inlineStr">
        <is>
          <t>(KHO) Diên Khánh 2</t>
        </is>
      </c>
      <c r="E132" s="7" t="inlineStr">
        <is>
          <t>Shopee-Bulky (10-15kg)</t>
        </is>
      </c>
      <c r="F132" s="36" t="n">
        <v>3</v>
      </c>
      <c r="G132" s="36" t="n">
        <v>0.43</v>
      </c>
      <c r="H132" s="36" t="n">
        <v>0</v>
      </c>
      <c r="I132" s="36" t="n">
        <v>0</v>
      </c>
      <c r="J132" s="36" t="n">
        <v>0</v>
      </c>
      <c r="K132" s="28" t="n">
        <v>3</v>
      </c>
      <c r="L132" s="36" t="n">
        <v>1.28</v>
      </c>
      <c r="M132" s="36" t="n">
        <v>1.28</v>
      </c>
      <c r="N132" s="36" t="n">
        <v>1.71</v>
      </c>
      <c r="O132" s="36" t="n">
        <v>0.86</v>
      </c>
      <c r="P132" s="36" t="n">
        <v>1.28</v>
      </c>
      <c r="Q132" s="36" t="n">
        <v>0</v>
      </c>
      <c r="R132" s="28" t="n">
        <v>3.43</v>
      </c>
      <c r="S132" s="36" t="n">
        <v>1.28</v>
      </c>
      <c r="T132" s="36" t="n">
        <v>0.43</v>
      </c>
      <c r="U132" s="36" t="n">
        <v>1.56</v>
      </c>
      <c r="V132" s="36" t="n">
        <v>1.63</v>
      </c>
      <c r="W132" s="36" t="n">
        <v>1.96</v>
      </c>
      <c r="X132" s="36" t="n">
        <v>1.22</v>
      </c>
      <c r="Y132" s="28" t="n">
        <v>2.1</v>
      </c>
      <c r="Z132" s="36" t="n">
        <v>1.63</v>
      </c>
      <c r="AA132" s="36" t="n">
        <v>2.3</v>
      </c>
      <c r="AB132" s="36" t="n">
        <v>1.63</v>
      </c>
      <c r="AC132" s="36" t="n">
        <v>1.9</v>
      </c>
      <c r="AD132" s="36" t="n">
        <v>8.529999999999999</v>
      </c>
      <c r="AE132" s="36" t="n">
        <v>4.61</v>
      </c>
      <c r="AF132" s="28" t="n">
        <v>4.81</v>
      </c>
      <c r="AG132" s="36" t="n">
        <v>2.57</v>
      </c>
      <c r="AH132" s="37" t="n">
        <v>1.63</v>
      </c>
      <c r="AI132" s="37" t="n">
        <v>1.76</v>
      </c>
      <c r="AJ132" s="37" t="n">
        <v>1.69</v>
      </c>
      <c r="AK132" s="37" t="n">
        <v>3.39</v>
      </c>
      <c r="AL132" s="37" t="n">
        <v>2.03</v>
      </c>
      <c r="AM132" s="37" t="n">
        <v>2.71</v>
      </c>
      <c r="AN132" s="37" t="n">
        <v>1.63</v>
      </c>
      <c r="AO132" s="37" t="n">
        <v>1.63</v>
      </c>
      <c r="AP132" s="37" t="n">
        <v>2.57</v>
      </c>
      <c r="AQ132" s="37" t="n">
        <v>2.24</v>
      </c>
      <c r="AR132" s="37" t="n">
        <v>1.69</v>
      </c>
      <c r="AS132" s="37" t="n">
        <v>0.95</v>
      </c>
      <c r="AT132" s="37" t="n">
        <v>2.03</v>
      </c>
      <c r="AU132" s="37" t="n">
        <v>3.73</v>
      </c>
      <c r="AV132" s="37" t="n">
        <v>3.59</v>
      </c>
      <c r="AW132" s="37" t="n">
        <v>1.63</v>
      </c>
      <c r="AX132" s="37" t="n">
        <v>1.63</v>
      </c>
      <c r="AY132" s="37" t="n">
        <v>1.69</v>
      </c>
      <c r="AZ132" s="37" t="n">
        <v>0.95</v>
      </c>
      <c r="BA132" s="37" t="n">
        <v>2.03</v>
      </c>
      <c r="BB132" s="37" t="n">
        <v>1.42</v>
      </c>
      <c r="BC132" s="37" t="n">
        <v>0.27</v>
      </c>
      <c r="BD132" s="37" t="n">
        <v>0.75</v>
      </c>
      <c r="BE132" s="37" t="n">
        <v>2.17</v>
      </c>
      <c r="BF132" s="37" t="n">
        <v>1.83</v>
      </c>
      <c r="BG132" s="37" t="n">
        <v>1.42</v>
      </c>
      <c r="BH132" s="37" t="n">
        <v>2.51</v>
      </c>
      <c r="BI132" s="37" t="n">
        <v>1.9</v>
      </c>
      <c r="BJ132" s="37" t="n">
        <v>11.18</v>
      </c>
      <c r="BK132" s="37" t="n">
        <v>3.86</v>
      </c>
      <c r="BL132" s="37" t="n">
        <v>2.51</v>
      </c>
      <c r="BM132" s="37" t="n">
        <v>1.63</v>
      </c>
      <c r="BN132" s="37" t="n">
        <v>1.29</v>
      </c>
      <c r="BO132" s="37" t="n">
        <v>2.84</v>
      </c>
      <c r="BP132" s="37" t="n">
        <v>4.13</v>
      </c>
      <c r="BQ132" s="37" t="n">
        <v>3.18</v>
      </c>
      <c r="BR132" s="37" t="n">
        <v>1.83</v>
      </c>
      <c r="BS132" s="37" t="n">
        <v>1.83</v>
      </c>
      <c r="BT132" s="37" t="n">
        <v>1.49</v>
      </c>
      <c r="BU132" s="37" t="n">
        <v>2.3</v>
      </c>
      <c r="BV132" s="37" t="n">
        <v>2.64</v>
      </c>
      <c r="BW132" s="37" t="n">
        <v>1.9</v>
      </c>
      <c r="BX132" s="37" t="n">
        <v>1.9</v>
      </c>
      <c r="BY132" s="37" t="n">
        <v>1.83</v>
      </c>
      <c r="BZ132" s="37" t="n">
        <v>3.18</v>
      </c>
      <c r="CA132" s="37" t="n">
        <v>2.03</v>
      </c>
      <c r="CB132" s="37" t="n">
        <v>1.29</v>
      </c>
      <c r="CC132" s="37" t="n">
        <v>160.74</v>
      </c>
    </row>
    <row r="133" ht="15.75" customHeight="1" s="57">
      <c r="A133" s="7" t="inlineStr">
        <is>
          <t>NTB</t>
        </is>
      </c>
      <c r="B133" s="7" t="inlineStr">
        <is>
          <t>Khánh Hòa</t>
        </is>
      </c>
      <c r="C133" s="7" t="n">
        <v>20143000</v>
      </c>
      <c r="D133" s="7" t="inlineStr">
        <is>
          <t>(KHO) Diên Khánh 2</t>
        </is>
      </c>
      <c r="E133" s="7" t="inlineStr">
        <is>
          <t>TTS</t>
        </is>
      </c>
      <c r="F133" s="36" t="n">
        <v>9</v>
      </c>
      <c r="G133" s="36" t="n">
        <v>7</v>
      </c>
      <c r="H133" s="36" t="n">
        <v>6</v>
      </c>
      <c r="I133" s="36" t="n">
        <v>1</v>
      </c>
      <c r="J133" s="36" t="n">
        <v>11</v>
      </c>
      <c r="K133" s="28" t="n">
        <v>8</v>
      </c>
      <c r="L133" s="36" t="n">
        <v>7</v>
      </c>
      <c r="M133" s="36" t="n">
        <v>8</v>
      </c>
      <c r="N133" s="36" t="n">
        <v>10</v>
      </c>
      <c r="O133" s="36" t="n">
        <v>12</v>
      </c>
      <c r="P133" s="36" t="n">
        <v>5</v>
      </c>
      <c r="Q133" s="36" t="n">
        <v>12</v>
      </c>
      <c r="R133" s="28" t="n">
        <v>9</v>
      </c>
      <c r="S133" s="36" t="n">
        <v>15</v>
      </c>
      <c r="T133" s="36" t="n">
        <v>7</v>
      </c>
      <c r="U133" s="36" t="n">
        <v>9.699999999999999</v>
      </c>
      <c r="V133" s="36" t="n">
        <v>9.49</v>
      </c>
      <c r="W133" s="36" t="n">
        <v>9.279999999999999</v>
      </c>
      <c r="X133" s="36" t="n">
        <v>7.48</v>
      </c>
      <c r="Y133" s="28" t="n">
        <v>10.86</v>
      </c>
      <c r="Z133" s="36" t="n">
        <v>9.26</v>
      </c>
      <c r="AA133" s="36" t="n">
        <v>10.41</v>
      </c>
      <c r="AB133" s="36" t="n">
        <v>11.43</v>
      </c>
      <c r="AC133" s="36" t="n">
        <v>12.08</v>
      </c>
      <c r="AD133" s="36" t="n">
        <v>11.55</v>
      </c>
      <c r="AE133" s="36" t="n">
        <v>8.67</v>
      </c>
      <c r="AF133" s="28" t="n">
        <v>11.2</v>
      </c>
      <c r="AG133" s="36" t="n">
        <v>9.460000000000001</v>
      </c>
      <c r="AH133" s="37" t="n">
        <v>9.359999999999999</v>
      </c>
      <c r="AI133" s="37" t="n">
        <v>10.83</v>
      </c>
      <c r="AJ133" s="37" t="n">
        <v>11.53</v>
      </c>
      <c r="AK133" s="37" t="n">
        <v>11.41</v>
      </c>
      <c r="AL133" s="37" t="n">
        <v>8.140000000000001</v>
      </c>
      <c r="AM133" s="37" t="n">
        <v>10.99</v>
      </c>
      <c r="AN133" s="37" t="n">
        <v>9.51</v>
      </c>
      <c r="AO133" s="37" t="n">
        <v>9.5</v>
      </c>
      <c r="AP133" s="37" t="n">
        <v>9.220000000000001</v>
      </c>
      <c r="AQ133" s="37" t="n">
        <v>9.300000000000001</v>
      </c>
      <c r="AR133" s="37" t="n">
        <v>9.16</v>
      </c>
      <c r="AS133" s="37" t="n">
        <v>7.5</v>
      </c>
      <c r="AT133" s="37" t="n">
        <v>11.88</v>
      </c>
      <c r="AU133" s="37" t="n">
        <v>10.82</v>
      </c>
      <c r="AV133" s="37" t="n">
        <v>9.609999999999999</v>
      </c>
      <c r="AW133" s="37" t="n">
        <v>9.15</v>
      </c>
      <c r="AX133" s="37" t="n">
        <v>9</v>
      </c>
      <c r="AY133" s="37" t="n">
        <v>9.02</v>
      </c>
      <c r="AZ133" s="37" t="n">
        <v>7.5</v>
      </c>
      <c r="BA133" s="37" t="n">
        <v>10.7</v>
      </c>
      <c r="BB133" s="37" t="n">
        <v>10.05</v>
      </c>
      <c r="BC133" s="37" t="n">
        <v>5.3</v>
      </c>
      <c r="BD133" s="37" t="n">
        <v>7.36</v>
      </c>
      <c r="BE133" s="37" t="n">
        <v>16.9</v>
      </c>
      <c r="BF133" s="37" t="n">
        <v>16.42</v>
      </c>
      <c r="BG133" s="37" t="n">
        <v>8.140000000000001</v>
      </c>
      <c r="BH133" s="37" t="n">
        <v>11.87</v>
      </c>
      <c r="BI133" s="37" t="n">
        <v>10.05</v>
      </c>
      <c r="BJ133" s="37" t="n">
        <v>8.84</v>
      </c>
      <c r="BK133" s="37" t="n">
        <v>10.21</v>
      </c>
      <c r="BL133" s="37" t="n">
        <v>10.21</v>
      </c>
      <c r="BM133" s="37" t="n">
        <v>9.92</v>
      </c>
      <c r="BN133" s="37" t="n">
        <v>8.140000000000001</v>
      </c>
      <c r="BO133" s="37" t="n">
        <v>11.87</v>
      </c>
      <c r="BP133" s="37" t="n">
        <v>10.05</v>
      </c>
      <c r="BQ133" s="37" t="n">
        <v>9.93</v>
      </c>
      <c r="BR133" s="37" t="n">
        <v>10.21</v>
      </c>
      <c r="BS133" s="37" t="n">
        <v>10.21</v>
      </c>
      <c r="BT133" s="37" t="n">
        <v>9.92</v>
      </c>
      <c r="BU133" s="37" t="n">
        <v>8.140000000000001</v>
      </c>
      <c r="BV133" s="37" t="n">
        <v>11.87</v>
      </c>
      <c r="BW133" s="37" t="n">
        <v>10.05</v>
      </c>
      <c r="BX133" s="37" t="n">
        <v>9.93</v>
      </c>
      <c r="BY133" s="37" t="n">
        <v>10.21</v>
      </c>
      <c r="BZ133" s="37" t="n">
        <v>10.21</v>
      </c>
      <c r="CA133" s="37" t="n">
        <v>9.92</v>
      </c>
      <c r="CB133" s="37" t="n">
        <v>8.140000000000001</v>
      </c>
      <c r="CC133" s="37" t="n">
        <v>726.0699999999999</v>
      </c>
    </row>
    <row r="134" ht="15.75" customHeight="1" s="57">
      <c r="A134" s="7" t="inlineStr">
        <is>
          <t>NTB</t>
        </is>
      </c>
      <c r="B134" s="7" t="inlineStr">
        <is>
          <t>Khánh Hòa</t>
        </is>
      </c>
      <c r="C134" s="7" t="n">
        <v>20320000</v>
      </c>
      <c r="D134" s="7" t="inlineStr">
        <is>
          <t>(KHO) Tây Nha Trang</t>
        </is>
      </c>
      <c r="E134" s="7" t="inlineStr">
        <is>
          <t>SME</t>
        </is>
      </c>
      <c r="F134" s="36" t="n">
        <v>26</v>
      </c>
      <c r="G134" s="36" t="n">
        <v>59</v>
      </c>
      <c r="H134" s="36" t="n">
        <v>56</v>
      </c>
      <c r="I134" s="36" t="n">
        <v>33</v>
      </c>
      <c r="J134" s="36" t="n">
        <v>23</v>
      </c>
      <c r="K134" s="28" t="n">
        <v>59</v>
      </c>
      <c r="L134" s="36" t="n">
        <v>39</v>
      </c>
      <c r="M134" s="36" t="n">
        <v>32</v>
      </c>
      <c r="N134" s="36" t="n">
        <v>51</v>
      </c>
      <c r="O134" s="36" t="n">
        <v>31</v>
      </c>
      <c r="P134" s="36" t="n">
        <v>48</v>
      </c>
      <c r="Q134" s="36" t="n">
        <v>36</v>
      </c>
      <c r="R134" s="28" t="n">
        <v>44</v>
      </c>
      <c r="S134" s="36" t="n">
        <v>37</v>
      </c>
      <c r="T134" s="36" t="n">
        <v>45</v>
      </c>
      <c r="U134" s="36" t="n">
        <v>59.54</v>
      </c>
      <c r="V134" s="36" t="n">
        <v>61.66</v>
      </c>
      <c r="W134" s="36" t="n">
        <v>60.04</v>
      </c>
      <c r="X134" s="36" t="n">
        <v>48.8</v>
      </c>
      <c r="Y134" s="28" t="n">
        <v>66.48999999999999</v>
      </c>
      <c r="Z134" s="36" t="n">
        <v>61.16</v>
      </c>
      <c r="AA134" s="36" t="n">
        <v>59.84</v>
      </c>
      <c r="AB134" s="36" t="n">
        <v>59.54</v>
      </c>
      <c r="AC134" s="36" t="n">
        <v>61.66</v>
      </c>
      <c r="AD134" s="36" t="n">
        <v>69.7</v>
      </c>
      <c r="AE134" s="36" t="n">
        <v>48.8</v>
      </c>
      <c r="AF134" s="28" t="n">
        <v>66.48999999999999</v>
      </c>
      <c r="AG134" s="36" t="n">
        <v>61.16</v>
      </c>
      <c r="AH134" s="37" t="n">
        <v>59.84</v>
      </c>
      <c r="AI134" s="37" t="n">
        <v>59.54</v>
      </c>
      <c r="AJ134" s="37" t="n">
        <v>61.66</v>
      </c>
      <c r="AK134" s="37" t="n">
        <v>60.04</v>
      </c>
      <c r="AL134" s="37" t="n">
        <v>48.8</v>
      </c>
      <c r="AM134" s="37" t="n">
        <v>66.48999999999999</v>
      </c>
      <c r="AN134" s="37" t="n">
        <v>61.16</v>
      </c>
      <c r="AO134" s="37" t="n">
        <v>59.84</v>
      </c>
      <c r="AP134" s="37" t="n">
        <v>59.54</v>
      </c>
      <c r="AQ134" s="37" t="n">
        <v>61.66</v>
      </c>
      <c r="AR134" s="37" t="n">
        <v>60.04</v>
      </c>
      <c r="AS134" s="37" t="n">
        <v>48.8</v>
      </c>
      <c r="AT134" s="37" t="n">
        <v>66.48999999999999</v>
      </c>
      <c r="AU134" s="37" t="n">
        <v>61.16</v>
      </c>
      <c r="AV134" s="37" t="n">
        <v>59.84</v>
      </c>
      <c r="AW134" s="37" t="n">
        <v>59.54</v>
      </c>
      <c r="AX134" s="37" t="n">
        <v>61.66</v>
      </c>
      <c r="AY134" s="37" t="n">
        <v>60.04</v>
      </c>
      <c r="AZ134" s="37" t="n">
        <v>48.8</v>
      </c>
      <c r="BA134" s="37" t="n">
        <v>63.16</v>
      </c>
      <c r="BB134" s="37" t="n">
        <v>56.22</v>
      </c>
      <c r="BC134" s="37" t="n">
        <v>34.24</v>
      </c>
      <c r="BD134" s="37" t="n">
        <v>26.69</v>
      </c>
      <c r="BE134" s="37" t="n">
        <v>57.77</v>
      </c>
      <c r="BF134" s="37" t="n">
        <v>56.22</v>
      </c>
      <c r="BG134" s="37" t="n">
        <v>50.31</v>
      </c>
      <c r="BH134" s="37" t="n">
        <v>68.51000000000001</v>
      </c>
      <c r="BI134" s="37" t="n">
        <v>63</v>
      </c>
      <c r="BJ134" s="37" t="n">
        <v>71.51000000000001</v>
      </c>
      <c r="BK134" s="37" t="n">
        <v>61.38</v>
      </c>
      <c r="BL134" s="37" t="n">
        <v>63.52</v>
      </c>
      <c r="BM134" s="37" t="n">
        <v>61.88</v>
      </c>
      <c r="BN134" s="37" t="n">
        <v>50.31</v>
      </c>
      <c r="BO134" s="37" t="n">
        <v>68.51000000000001</v>
      </c>
      <c r="BP134" s="37" t="n">
        <v>63</v>
      </c>
      <c r="BQ134" s="37" t="n">
        <v>61.68</v>
      </c>
      <c r="BR134" s="37" t="n">
        <v>61.38</v>
      </c>
      <c r="BS134" s="37" t="n">
        <v>63.52</v>
      </c>
      <c r="BT134" s="37" t="n">
        <v>61.88</v>
      </c>
      <c r="BU134" s="37" t="n">
        <v>50.31</v>
      </c>
      <c r="BV134" s="37" t="n">
        <v>68.51000000000001</v>
      </c>
      <c r="BW134" s="37" t="n">
        <v>63</v>
      </c>
      <c r="BX134" s="37" t="n">
        <v>61.68</v>
      </c>
      <c r="BY134" s="37" t="n">
        <v>61.38</v>
      </c>
      <c r="BZ134" s="37" t="n">
        <v>63.52</v>
      </c>
      <c r="CA134" s="37" t="n">
        <v>61.88</v>
      </c>
      <c r="CB134" s="37" t="n">
        <v>50.31</v>
      </c>
      <c r="CC134" s="37" t="n">
        <v>4174.1</v>
      </c>
    </row>
    <row r="135" ht="15.75" customHeight="1" s="57">
      <c r="A135" s="7" t="inlineStr">
        <is>
          <t>NTB</t>
        </is>
      </c>
      <c r="B135" s="7" t="inlineStr">
        <is>
          <t>Khánh Hòa</t>
        </is>
      </c>
      <c r="C135" s="7" t="n">
        <v>20320000</v>
      </c>
      <c r="D135" s="7" t="inlineStr">
        <is>
          <t>(KHO) Tây Nha Trang</t>
        </is>
      </c>
      <c r="E135" s="7" t="inlineStr">
        <is>
          <t>SME-Bulky</t>
        </is>
      </c>
      <c r="F135" s="36" t="n">
        <v>6</v>
      </c>
      <c r="G135" s="36" t="n">
        <v>2</v>
      </c>
      <c r="H135" s="36" t="n">
        <v>5</v>
      </c>
      <c r="I135" s="36" t="n">
        <v>14</v>
      </c>
      <c r="J135" s="36" t="n">
        <v>14</v>
      </c>
      <c r="K135" s="28" t="n">
        <v>7</v>
      </c>
      <c r="L135" s="36" t="n">
        <v>3</v>
      </c>
      <c r="M135" s="36" t="n">
        <v>9</v>
      </c>
      <c r="N135" s="36" t="n">
        <v>7</v>
      </c>
      <c r="O135" s="36" t="n">
        <v>5</v>
      </c>
      <c r="P135" s="36" t="n">
        <v>2</v>
      </c>
      <c r="Q135" s="36" t="n">
        <v>5</v>
      </c>
      <c r="R135" s="28" t="n">
        <v>8</v>
      </c>
      <c r="S135" s="36" t="n">
        <v>6</v>
      </c>
      <c r="T135" s="36" t="n">
        <v>8</v>
      </c>
      <c r="U135" s="36" t="n">
        <v>6.04</v>
      </c>
      <c r="V135" s="36" t="n">
        <v>6.21</v>
      </c>
      <c r="W135" s="36" t="n">
        <v>5.87</v>
      </c>
      <c r="X135" s="36" t="n">
        <v>4.02</v>
      </c>
      <c r="Y135" s="28" t="n">
        <v>6.64</v>
      </c>
      <c r="Z135" s="36" t="n">
        <v>6.34</v>
      </c>
      <c r="AA135" s="36" t="n">
        <v>6.29</v>
      </c>
      <c r="AB135" s="36" t="n">
        <v>6.04</v>
      </c>
      <c r="AC135" s="36" t="n">
        <v>6.21</v>
      </c>
      <c r="AD135" s="36" t="n">
        <v>4.02</v>
      </c>
      <c r="AE135" s="36" t="n">
        <v>4.02</v>
      </c>
      <c r="AF135" s="28" t="n">
        <v>6.64</v>
      </c>
      <c r="AG135" s="36" t="n">
        <v>6.34</v>
      </c>
      <c r="AH135" s="37" t="n">
        <v>6.29</v>
      </c>
      <c r="AI135" s="37" t="n">
        <v>6.04</v>
      </c>
      <c r="AJ135" s="37" t="n">
        <v>6.21</v>
      </c>
      <c r="AK135" s="37" t="n">
        <v>5.87</v>
      </c>
      <c r="AL135" s="37" t="n">
        <v>4.02</v>
      </c>
      <c r="AM135" s="37" t="n">
        <v>6.64</v>
      </c>
      <c r="AN135" s="37" t="n">
        <v>6.34</v>
      </c>
      <c r="AO135" s="37" t="n">
        <v>6.29</v>
      </c>
      <c r="AP135" s="37" t="n">
        <v>6.04</v>
      </c>
      <c r="AQ135" s="37" t="n">
        <v>6.21</v>
      </c>
      <c r="AR135" s="37" t="n">
        <v>5.87</v>
      </c>
      <c r="AS135" s="37" t="n">
        <v>4.02</v>
      </c>
      <c r="AT135" s="37" t="n">
        <v>6.64</v>
      </c>
      <c r="AU135" s="37" t="n">
        <v>6.34</v>
      </c>
      <c r="AV135" s="37" t="n">
        <v>6.29</v>
      </c>
      <c r="AW135" s="37" t="n">
        <v>6.04</v>
      </c>
      <c r="AX135" s="37" t="n">
        <v>6.21</v>
      </c>
      <c r="AY135" s="37" t="n">
        <v>5.87</v>
      </c>
      <c r="AZ135" s="37" t="n">
        <v>4.02</v>
      </c>
      <c r="BA135" s="37" t="n">
        <v>7.19</v>
      </c>
      <c r="BB135" s="37" t="n">
        <v>3.68</v>
      </c>
      <c r="BC135" s="37" t="n">
        <v>1.88</v>
      </c>
      <c r="BD135" s="37" t="n">
        <v>1.41</v>
      </c>
      <c r="BE135" s="37" t="n">
        <v>3.43</v>
      </c>
      <c r="BF135" s="37" t="n">
        <v>3.38</v>
      </c>
      <c r="BG135" s="37" t="n">
        <v>2.23</v>
      </c>
      <c r="BH135" s="37" t="n">
        <v>3.81</v>
      </c>
      <c r="BI135" s="37" t="n">
        <v>3.68</v>
      </c>
      <c r="BJ135" s="37" t="n">
        <v>2.78</v>
      </c>
      <c r="BK135" s="37" t="n">
        <v>3.47</v>
      </c>
      <c r="BL135" s="37" t="n">
        <v>3.55</v>
      </c>
      <c r="BM135" s="37" t="n">
        <v>3.38</v>
      </c>
      <c r="BN135" s="37" t="n">
        <v>2.23</v>
      </c>
      <c r="BO135" s="37" t="n">
        <v>3.81</v>
      </c>
      <c r="BP135" s="37" t="n">
        <v>3.68</v>
      </c>
      <c r="BQ135" s="37" t="n">
        <v>3.6</v>
      </c>
      <c r="BR135" s="37" t="n">
        <v>3.47</v>
      </c>
      <c r="BS135" s="37" t="n">
        <v>3.55</v>
      </c>
      <c r="BT135" s="37" t="n">
        <v>3.38</v>
      </c>
      <c r="BU135" s="37" t="n">
        <v>2.23</v>
      </c>
      <c r="BV135" s="37" t="n">
        <v>3.81</v>
      </c>
      <c r="BW135" s="37" t="n">
        <v>3.68</v>
      </c>
      <c r="BX135" s="37" t="n">
        <v>3.6</v>
      </c>
      <c r="BY135" s="37" t="n">
        <v>3.47</v>
      </c>
      <c r="BZ135" s="37" t="n">
        <v>3.55</v>
      </c>
      <c r="CA135" s="37" t="n">
        <v>3.38</v>
      </c>
      <c r="CB135" s="37" t="n">
        <v>2.23</v>
      </c>
      <c r="CC135" s="37" t="n">
        <v>380.4700000000003</v>
      </c>
    </row>
    <row r="136" ht="15.75" customHeight="1" s="57">
      <c r="A136" s="7" t="inlineStr">
        <is>
          <t>NTB</t>
        </is>
      </c>
      <c r="B136" s="7" t="inlineStr">
        <is>
          <t>Khánh Hòa</t>
        </is>
      </c>
      <c r="C136" s="7" t="n">
        <v>20320000</v>
      </c>
      <c r="D136" s="7" t="inlineStr">
        <is>
          <t>(KHO) Tây Nha Trang</t>
        </is>
      </c>
      <c r="E136" s="7" t="inlineStr">
        <is>
          <t>Shopee</t>
        </is>
      </c>
      <c r="F136" s="36" t="n">
        <v>78</v>
      </c>
      <c r="G136" s="36" t="n">
        <v>56</v>
      </c>
      <c r="H136" s="36" t="n">
        <v>46</v>
      </c>
      <c r="I136" s="36" t="n">
        <v>45</v>
      </c>
      <c r="J136" s="36" t="n">
        <v>68</v>
      </c>
      <c r="K136" s="28" t="n">
        <v>56</v>
      </c>
      <c r="L136" s="36" t="n">
        <v>68</v>
      </c>
      <c r="M136" s="36" t="n">
        <v>63</v>
      </c>
      <c r="N136" s="36" t="n">
        <v>64</v>
      </c>
      <c r="O136" s="36" t="n">
        <v>52</v>
      </c>
      <c r="P136" s="36" t="n">
        <v>82</v>
      </c>
      <c r="Q136" s="36" t="n">
        <v>63</v>
      </c>
      <c r="R136" s="28" t="n">
        <v>77</v>
      </c>
      <c r="S136" s="36" t="n">
        <v>72</v>
      </c>
      <c r="T136" s="36" t="n">
        <v>76</v>
      </c>
      <c r="U136" s="36" t="n">
        <v>84.23999999999999</v>
      </c>
      <c r="V136" s="36" t="n">
        <v>84.62</v>
      </c>
      <c r="W136" s="36" t="n">
        <v>81.66</v>
      </c>
      <c r="X136" s="36" t="n">
        <v>70.33</v>
      </c>
      <c r="Y136" s="28" t="n">
        <v>113.6</v>
      </c>
      <c r="Z136" s="36" t="n">
        <v>89.77</v>
      </c>
      <c r="AA136" s="36" t="n">
        <v>109.61</v>
      </c>
      <c r="AB136" s="36" t="n">
        <v>86.17</v>
      </c>
      <c r="AC136" s="36" t="n">
        <v>69.68000000000001</v>
      </c>
      <c r="AD136" s="36" t="n">
        <v>160.36</v>
      </c>
      <c r="AE136" s="36" t="n">
        <v>74.58</v>
      </c>
      <c r="AF136" s="28" t="n">
        <v>125.58</v>
      </c>
      <c r="AG136" s="36" t="n">
        <v>94.28</v>
      </c>
      <c r="AH136" s="37" t="n">
        <v>100.08</v>
      </c>
      <c r="AI136" s="37" t="n">
        <v>84.23999999999999</v>
      </c>
      <c r="AJ136" s="37" t="n">
        <v>84.62</v>
      </c>
      <c r="AK136" s="37" t="n">
        <v>89.52</v>
      </c>
      <c r="AL136" s="37" t="n">
        <v>125.97</v>
      </c>
      <c r="AM136" s="37" t="n">
        <v>113.6</v>
      </c>
      <c r="AN136" s="37" t="n">
        <v>89.77</v>
      </c>
      <c r="AO136" s="37" t="n">
        <v>100.08</v>
      </c>
      <c r="AP136" s="37" t="n">
        <v>92.61</v>
      </c>
      <c r="AQ136" s="37" t="n">
        <v>68.01000000000001</v>
      </c>
      <c r="AR136" s="37" t="n">
        <v>81.66</v>
      </c>
      <c r="AS136" s="37" t="n">
        <v>70.33</v>
      </c>
      <c r="AT136" s="37" t="n">
        <v>113.6</v>
      </c>
      <c r="AU136" s="37" t="n">
        <v>98.92</v>
      </c>
      <c r="AV136" s="37" t="n">
        <v>102.14</v>
      </c>
      <c r="AW136" s="37" t="n">
        <v>84.23999999999999</v>
      </c>
      <c r="AX136" s="37" t="n">
        <v>84.62</v>
      </c>
      <c r="AY136" s="37" t="n">
        <v>81.66</v>
      </c>
      <c r="AZ136" s="37" t="n">
        <v>70.33</v>
      </c>
      <c r="BA136" s="37" t="n">
        <v>97.23999999999999</v>
      </c>
      <c r="BB136" s="37" t="n">
        <v>67.48999999999999</v>
      </c>
      <c r="BC136" s="37" t="n">
        <v>30.14</v>
      </c>
      <c r="BD136" s="37" t="n">
        <v>50.62</v>
      </c>
      <c r="BE136" s="37" t="n">
        <v>101.37</v>
      </c>
      <c r="BF136" s="37" t="n">
        <v>97.5</v>
      </c>
      <c r="BG136" s="37" t="n">
        <v>68.91</v>
      </c>
      <c r="BH136" s="37" t="n">
        <v>108.19</v>
      </c>
      <c r="BI136" s="37" t="n">
        <v>70.70999999999999</v>
      </c>
      <c r="BJ136" s="37" t="n">
        <v>226.3</v>
      </c>
      <c r="BK136" s="37" t="n">
        <v>86.3</v>
      </c>
      <c r="BL136" s="37" t="n">
        <v>85.01000000000001</v>
      </c>
      <c r="BM136" s="37" t="n">
        <v>78.18000000000001</v>
      </c>
      <c r="BN136" s="37" t="n">
        <v>67.62</v>
      </c>
      <c r="BO136" s="37" t="n">
        <v>108.19</v>
      </c>
      <c r="BP136" s="37" t="n">
        <v>94.54000000000001</v>
      </c>
      <c r="BQ136" s="37" t="n">
        <v>145.29</v>
      </c>
      <c r="BR136" s="37" t="n">
        <v>80.63</v>
      </c>
      <c r="BS136" s="37" t="n">
        <v>81.02</v>
      </c>
      <c r="BT136" s="37" t="n">
        <v>78.18000000000001</v>
      </c>
      <c r="BU136" s="37" t="n">
        <v>73.93000000000001</v>
      </c>
      <c r="BV136" s="37" t="n">
        <v>87.33</v>
      </c>
      <c r="BW136" s="37" t="n">
        <v>85.78</v>
      </c>
      <c r="BX136" s="37" t="n">
        <v>95.44</v>
      </c>
      <c r="BY136" s="37" t="n">
        <v>80.63</v>
      </c>
      <c r="BZ136" s="37" t="n">
        <v>88.87</v>
      </c>
      <c r="CA136" s="37" t="n">
        <v>79.34</v>
      </c>
      <c r="CB136" s="37" t="n">
        <v>67.62</v>
      </c>
      <c r="CC136" s="37" t="n">
        <v>6428.849999999999</v>
      </c>
    </row>
    <row r="137" ht="15.75" customHeight="1" s="57">
      <c r="A137" s="7" t="inlineStr">
        <is>
          <t>NTB</t>
        </is>
      </c>
      <c r="B137" s="7" t="inlineStr">
        <is>
          <t>Khánh Hòa</t>
        </is>
      </c>
      <c r="C137" s="7" t="n">
        <v>20320000</v>
      </c>
      <c r="D137" s="7" t="inlineStr">
        <is>
          <t>(KHO) Tây Nha Trang</t>
        </is>
      </c>
      <c r="E137" s="7" t="inlineStr">
        <is>
          <t>Shopee-Bulky</t>
        </is>
      </c>
      <c r="F137" s="36" t="n">
        <v>3.43</v>
      </c>
      <c r="G137" s="36" t="n">
        <v>2.86</v>
      </c>
      <c r="H137" s="36" t="n">
        <v>1.14</v>
      </c>
      <c r="I137" s="36" t="n">
        <v>2.86</v>
      </c>
      <c r="J137" s="36" t="n">
        <v>2.86</v>
      </c>
      <c r="K137" s="28" t="n">
        <v>4.57</v>
      </c>
      <c r="L137" s="36" t="n">
        <v>2.86</v>
      </c>
      <c r="M137" s="36" t="n">
        <v>1.14</v>
      </c>
      <c r="N137" s="36" t="n">
        <v>4</v>
      </c>
      <c r="O137" s="36" t="n">
        <v>1.72</v>
      </c>
      <c r="P137" s="36" t="n">
        <v>2.29</v>
      </c>
      <c r="Q137" s="36" t="n">
        <v>3.43</v>
      </c>
      <c r="R137" s="28" t="n">
        <v>1.14</v>
      </c>
      <c r="S137" s="36" t="n">
        <v>0</v>
      </c>
      <c r="T137" s="36" t="n">
        <v>4</v>
      </c>
      <c r="U137" s="36" t="n">
        <v>3.76</v>
      </c>
      <c r="V137" s="36" t="n">
        <v>3.53</v>
      </c>
      <c r="W137" s="36" t="n">
        <v>4.23</v>
      </c>
      <c r="X137" s="36" t="n">
        <v>2.23</v>
      </c>
      <c r="Y137" s="28" t="n">
        <v>5.64</v>
      </c>
      <c r="Z137" s="36" t="n">
        <v>4.35</v>
      </c>
      <c r="AA137" s="36" t="n">
        <v>6.35</v>
      </c>
      <c r="AB137" s="36" t="n">
        <v>4.35</v>
      </c>
      <c r="AC137" s="36" t="n">
        <v>4.58</v>
      </c>
      <c r="AD137" s="36" t="n">
        <v>17.04</v>
      </c>
      <c r="AE137" s="36" t="n">
        <v>11.52</v>
      </c>
      <c r="AF137" s="28" t="n">
        <v>13.4</v>
      </c>
      <c r="AG137" s="36" t="n">
        <v>5.99</v>
      </c>
      <c r="AH137" s="37" t="n">
        <v>4.35</v>
      </c>
      <c r="AI137" s="37" t="n">
        <v>4.23</v>
      </c>
      <c r="AJ137" s="37" t="n">
        <v>3.88</v>
      </c>
      <c r="AK137" s="37" t="n">
        <v>8.460000000000001</v>
      </c>
      <c r="AL137" s="37" t="n">
        <v>4.82</v>
      </c>
      <c r="AM137" s="37" t="n">
        <v>7.17</v>
      </c>
      <c r="AN137" s="37" t="n">
        <v>4.35</v>
      </c>
      <c r="AO137" s="37" t="n">
        <v>4.11</v>
      </c>
      <c r="AP137" s="37" t="n">
        <v>7.4</v>
      </c>
      <c r="AQ137" s="37" t="n">
        <v>5.29</v>
      </c>
      <c r="AR137" s="37" t="n">
        <v>3.64</v>
      </c>
      <c r="AS137" s="37" t="n">
        <v>1.88</v>
      </c>
      <c r="AT137" s="37" t="n">
        <v>5.29</v>
      </c>
      <c r="AU137" s="37" t="n">
        <v>8.93</v>
      </c>
      <c r="AV137" s="37" t="n">
        <v>8.93</v>
      </c>
      <c r="AW137" s="37" t="n">
        <v>4.11</v>
      </c>
      <c r="AX137" s="37" t="n">
        <v>3.88</v>
      </c>
      <c r="AY137" s="37" t="n">
        <v>3.53</v>
      </c>
      <c r="AZ137" s="37" t="n">
        <v>1.88</v>
      </c>
      <c r="BA137" s="37" t="n">
        <v>4.94</v>
      </c>
      <c r="BB137" s="37" t="n">
        <v>3.41</v>
      </c>
      <c r="BC137" s="37" t="n">
        <v>1.06</v>
      </c>
      <c r="BD137" s="37" t="n">
        <v>1.65</v>
      </c>
      <c r="BE137" s="37" t="n">
        <v>5.64</v>
      </c>
      <c r="BF137" s="37" t="n">
        <v>4.82</v>
      </c>
      <c r="BG137" s="37" t="n">
        <v>2.47</v>
      </c>
      <c r="BH137" s="37" t="n">
        <v>5.99</v>
      </c>
      <c r="BI137" s="37" t="n">
        <v>5.41</v>
      </c>
      <c r="BJ137" s="37" t="n">
        <v>34.32</v>
      </c>
      <c r="BK137" s="37" t="n">
        <v>11.52</v>
      </c>
      <c r="BL137" s="37" t="n">
        <v>5.99</v>
      </c>
      <c r="BM137" s="37" t="n">
        <v>4.11</v>
      </c>
      <c r="BN137" s="37" t="n">
        <v>2.47</v>
      </c>
      <c r="BO137" s="37" t="n">
        <v>7.17</v>
      </c>
      <c r="BP137" s="37" t="n">
        <v>10.81</v>
      </c>
      <c r="BQ137" s="37" t="n">
        <v>7.87</v>
      </c>
      <c r="BR137" s="37" t="n">
        <v>5.17</v>
      </c>
      <c r="BS137" s="37" t="n">
        <v>4.82</v>
      </c>
      <c r="BT137" s="37" t="n">
        <v>3.41</v>
      </c>
      <c r="BU137" s="37" t="n">
        <v>5.99</v>
      </c>
      <c r="BV137" s="37" t="n">
        <v>6.58</v>
      </c>
      <c r="BW137" s="37" t="n">
        <v>5.41</v>
      </c>
      <c r="BX137" s="37" t="n">
        <v>5.17</v>
      </c>
      <c r="BY137" s="37" t="n">
        <v>5.17</v>
      </c>
      <c r="BZ137" s="37" t="n">
        <v>7.29</v>
      </c>
      <c r="CA137" s="37" t="n">
        <v>4.82</v>
      </c>
      <c r="CB137" s="37" t="n">
        <v>2.47</v>
      </c>
      <c r="CC137" s="37" t="n">
        <v>397.3500000000001</v>
      </c>
    </row>
    <row r="138" ht="15.75" customHeight="1" s="57">
      <c r="A138" s="7" t="inlineStr">
        <is>
          <t>NTB</t>
        </is>
      </c>
      <c r="B138" s="7" t="inlineStr">
        <is>
          <t>Khánh Hòa</t>
        </is>
      </c>
      <c r="C138" s="7" t="n">
        <v>20320000</v>
      </c>
      <c r="D138" s="7" t="inlineStr">
        <is>
          <t>(KHO) Tây Nha Trang</t>
        </is>
      </c>
      <c r="E138" s="7" t="inlineStr">
        <is>
          <t>Shopee-Bulky (10-15kg)</t>
        </is>
      </c>
      <c r="F138" s="36" t="n">
        <v>2.57</v>
      </c>
      <c r="G138" s="36" t="n">
        <v>2.14</v>
      </c>
      <c r="H138" s="36" t="n">
        <v>0.86</v>
      </c>
      <c r="I138" s="36" t="n">
        <v>2.14</v>
      </c>
      <c r="J138" s="36" t="n">
        <v>2.14</v>
      </c>
      <c r="K138" s="28" t="n">
        <v>3.43</v>
      </c>
      <c r="L138" s="36" t="n">
        <v>2.14</v>
      </c>
      <c r="M138" s="36" t="n">
        <v>0.86</v>
      </c>
      <c r="N138" s="36" t="n">
        <v>3</v>
      </c>
      <c r="O138" s="36" t="n">
        <v>1.28</v>
      </c>
      <c r="P138" s="36" t="n">
        <v>1.71</v>
      </c>
      <c r="Q138" s="36" t="n">
        <v>2.57</v>
      </c>
      <c r="R138" s="28" t="n">
        <v>0.86</v>
      </c>
      <c r="S138" s="36" t="n">
        <v>0</v>
      </c>
      <c r="T138" s="36" t="n">
        <v>3</v>
      </c>
      <c r="U138" s="36" t="n">
        <v>2.7</v>
      </c>
      <c r="V138" s="36" t="n">
        <v>2.82</v>
      </c>
      <c r="W138" s="36" t="n">
        <v>3.41</v>
      </c>
      <c r="X138" s="36" t="n">
        <v>2.12</v>
      </c>
      <c r="Y138" s="28" t="n">
        <v>3.64</v>
      </c>
      <c r="Z138" s="36" t="n">
        <v>2.82</v>
      </c>
      <c r="AA138" s="36" t="n">
        <v>4</v>
      </c>
      <c r="AB138" s="36" t="n">
        <v>2.82</v>
      </c>
      <c r="AC138" s="36" t="n">
        <v>3.29</v>
      </c>
      <c r="AD138" s="36" t="n">
        <v>14.81</v>
      </c>
      <c r="AE138" s="36" t="n">
        <v>7.99</v>
      </c>
      <c r="AF138" s="28" t="n">
        <v>8.34</v>
      </c>
      <c r="AG138" s="36" t="n">
        <v>4.47</v>
      </c>
      <c r="AH138" s="37" t="n">
        <v>2.82</v>
      </c>
      <c r="AI138" s="37" t="n">
        <v>3.06</v>
      </c>
      <c r="AJ138" s="37" t="n">
        <v>2.94</v>
      </c>
      <c r="AK138" s="37" t="n">
        <v>5.88</v>
      </c>
      <c r="AL138" s="37" t="n">
        <v>3.53</v>
      </c>
      <c r="AM138" s="37" t="n">
        <v>4.7</v>
      </c>
      <c r="AN138" s="37" t="n">
        <v>2.82</v>
      </c>
      <c r="AO138" s="37" t="n">
        <v>2.82</v>
      </c>
      <c r="AP138" s="37" t="n">
        <v>4.47</v>
      </c>
      <c r="AQ138" s="37" t="n">
        <v>3.88</v>
      </c>
      <c r="AR138" s="37" t="n">
        <v>2.94</v>
      </c>
      <c r="AS138" s="37" t="n">
        <v>1.65</v>
      </c>
      <c r="AT138" s="37" t="n">
        <v>3.53</v>
      </c>
      <c r="AU138" s="37" t="n">
        <v>6.46</v>
      </c>
      <c r="AV138" s="37" t="n">
        <v>6.23</v>
      </c>
      <c r="AW138" s="37" t="n">
        <v>2.82</v>
      </c>
      <c r="AX138" s="37" t="n">
        <v>2.82</v>
      </c>
      <c r="AY138" s="37" t="n">
        <v>2.94</v>
      </c>
      <c r="AZ138" s="37" t="n">
        <v>1.65</v>
      </c>
      <c r="BA138" s="37" t="n">
        <v>3.53</v>
      </c>
      <c r="BB138" s="37" t="n">
        <v>2.47</v>
      </c>
      <c r="BC138" s="37" t="n">
        <v>0.47</v>
      </c>
      <c r="BD138" s="37" t="n">
        <v>1.29</v>
      </c>
      <c r="BE138" s="37" t="n">
        <v>3.76</v>
      </c>
      <c r="BF138" s="37" t="n">
        <v>3.17</v>
      </c>
      <c r="BG138" s="37" t="n">
        <v>2.47</v>
      </c>
      <c r="BH138" s="37" t="n">
        <v>4.35</v>
      </c>
      <c r="BI138" s="37" t="n">
        <v>3.29</v>
      </c>
      <c r="BJ138" s="37" t="n">
        <v>19.39</v>
      </c>
      <c r="BK138" s="37" t="n">
        <v>6.7</v>
      </c>
      <c r="BL138" s="37" t="n">
        <v>4.35</v>
      </c>
      <c r="BM138" s="37" t="n">
        <v>2.82</v>
      </c>
      <c r="BN138" s="37" t="n">
        <v>2.23</v>
      </c>
      <c r="BO138" s="37" t="n">
        <v>4.94</v>
      </c>
      <c r="BP138" s="37" t="n">
        <v>7.17</v>
      </c>
      <c r="BQ138" s="37" t="n">
        <v>5.52</v>
      </c>
      <c r="BR138" s="37" t="n">
        <v>3.17</v>
      </c>
      <c r="BS138" s="37" t="n">
        <v>3.17</v>
      </c>
      <c r="BT138" s="37" t="n">
        <v>2.59</v>
      </c>
      <c r="BU138" s="37" t="n">
        <v>4</v>
      </c>
      <c r="BV138" s="37" t="n">
        <v>4.58</v>
      </c>
      <c r="BW138" s="37" t="n">
        <v>3.29</v>
      </c>
      <c r="BX138" s="37" t="n">
        <v>3.29</v>
      </c>
      <c r="BY138" s="37" t="n">
        <v>3.17</v>
      </c>
      <c r="BZ138" s="37" t="n">
        <v>5.52</v>
      </c>
      <c r="CA138" s="37" t="n">
        <v>3.53</v>
      </c>
      <c r="CB138" s="37" t="n">
        <v>2.23</v>
      </c>
      <c r="CC138" s="37" t="n">
        <v>276.3499999999999</v>
      </c>
    </row>
    <row r="139" ht="15.75" customHeight="1" s="57">
      <c r="A139" s="7" t="inlineStr">
        <is>
          <t>NTB</t>
        </is>
      </c>
      <c r="B139" s="7" t="inlineStr">
        <is>
          <t>Khánh Hòa</t>
        </is>
      </c>
      <c r="C139" s="7" t="n">
        <v>20320000</v>
      </c>
      <c r="D139" s="7" t="inlineStr">
        <is>
          <t>(KHO) Tây Nha Trang</t>
        </is>
      </c>
      <c r="E139" s="7" t="inlineStr">
        <is>
          <t>TTS</t>
        </is>
      </c>
      <c r="F139" s="36" t="n">
        <v>6</v>
      </c>
      <c r="G139" s="36" t="n">
        <v>13</v>
      </c>
      <c r="H139" s="36" t="n">
        <v>13</v>
      </c>
      <c r="I139" s="36" t="n">
        <v>13</v>
      </c>
      <c r="J139" s="36" t="n">
        <v>9</v>
      </c>
      <c r="K139" s="28" t="n">
        <v>22</v>
      </c>
      <c r="L139" s="36" t="n">
        <v>17</v>
      </c>
      <c r="M139" s="36" t="n">
        <v>13</v>
      </c>
      <c r="N139" s="36" t="n">
        <v>11</v>
      </c>
      <c r="O139" s="36" t="n">
        <v>31</v>
      </c>
      <c r="P139" s="36" t="n">
        <v>14</v>
      </c>
      <c r="Q139" s="36" t="n">
        <v>16</v>
      </c>
      <c r="R139" s="28" t="n">
        <v>17</v>
      </c>
      <c r="S139" s="36" t="n">
        <v>11</v>
      </c>
      <c r="T139" s="36" t="n">
        <v>9</v>
      </c>
      <c r="U139" s="36" t="n">
        <v>14.34</v>
      </c>
      <c r="V139" s="36" t="n">
        <v>14.03</v>
      </c>
      <c r="W139" s="36" t="n">
        <v>13.72</v>
      </c>
      <c r="X139" s="36" t="n">
        <v>11.07</v>
      </c>
      <c r="Y139" s="28" t="n">
        <v>16.09</v>
      </c>
      <c r="Z139" s="36" t="n">
        <v>13.7</v>
      </c>
      <c r="AA139" s="36" t="n">
        <v>15.4</v>
      </c>
      <c r="AB139" s="36" t="n">
        <v>16.92</v>
      </c>
      <c r="AC139" s="36" t="n">
        <v>17.87</v>
      </c>
      <c r="AD139" s="36" t="n">
        <v>17.08</v>
      </c>
      <c r="AE139" s="36" t="n">
        <v>12.83</v>
      </c>
      <c r="AF139" s="28" t="n">
        <v>16.58</v>
      </c>
      <c r="AG139" s="36" t="n">
        <v>13.99</v>
      </c>
      <c r="AH139" s="37" t="n">
        <v>13.85</v>
      </c>
      <c r="AI139" s="37" t="n">
        <v>16.02</v>
      </c>
      <c r="AJ139" s="37" t="n">
        <v>17.06</v>
      </c>
      <c r="AK139" s="37" t="n">
        <v>16.87</v>
      </c>
      <c r="AL139" s="37" t="n">
        <v>12.04</v>
      </c>
      <c r="AM139" s="37" t="n">
        <v>16.27</v>
      </c>
      <c r="AN139" s="37" t="n">
        <v>14.08</v>
      </c>
      <c r="AO139" s="37" t="n">
        <v>14.05</v>
      </c>
      <c r="AP139" s="37" t="n">
        <v>13.64</v>
      </c>
      <c r="AQ139" s="37" t="n">
        <v>13.76</v>
      </c>
      <c r="AR139" s="37" t="n">
        <v>13.56</v>
      </c>
      <c r="AS139" s="37" t="n">
        <v>11.09</v>
      </c>
      <c r="AT139" s="37" t="n">
        <v>17.6</v>
      </c>
      <c r="AU139" s="37" t="n">
        <v>16</v>
      </c>
      <c r="AV139" s="37" t="n">
        <v>14.22</v>
      </c>
      <c r="AW139" s="37" t="n">
        <v>13.54</v>
      </c>
      <c r="AX139" s="37" t="n">
        <v>13.31</v>
      </c>
      <c r="AY139" s="37" t="n">
        <v>13.35</v>
      </c>
      <c r="AZ139" s="37" t="n">
        <v>11.09</v>
      </c>
      <c r="BA139" s="37" t="n">
        <v>15.86</v>
      </c>
      <c r="BB139" s="37" t="n">
        <v>14.86</v>
      </c>
      <c r="BC139" s="37" t="n">
        <v>7.84</v>
      </c>
      <c r="BD139" s="37" t="n">
        <v>10.88</v>
      </c>
      <c r="BE139" s="37" t="n">
        <v>25.02</v>
      </c>
      <c r="BF139" s="37" t="n">
        <v>24.31</v>
      </c>
      <c r="BG139" s="37" t="n">
        <v>12.04</v>
      </c>
      <c r="BH139" s="37" t="n">
        <v>17.58</v>
      </c>
      <c r="BI139" s="37" t="n">
        <v>14.86</v>
      </c>
      <c r="BJ139" s="37" t="n">
        <v>13.08</v>
      </c>
      <c r="BK139" s="37" t="n">
        <v>15.11</v>
      </c>
      <c r="BL139" s="37" t="n">
        <v>15.11</v>
      </c>
      <c r="BM139" s="37" t="n">
        <v>14.68</v>
      </c>
      <c r="BN139" s="37" t="n">
        <v>12.04</v>
      </c>
      <c r="BO139" s="37" t="n">
        <v>17.58</v>
      </c>
      <c r="BP139" s="37" t="n">
        <v>14.86</v>
      </c>
      <c r="BQ139" s="37" t="n">
        <v>14.7</v>
      </c>
      <c r="BR139" s="37" t="n">
        <v>15.11</v>
      </c>
      <c r="BS139" s="37" t="n">
        <v>15.11</v>
      </c>
      <c r="BT139" s="37" t="n">
        <v>14.68</v>
      </c>
      <c r="BU139" s="37" t="n">
        <v>12.04</v>
      </c>
      <c r="BV139" s="37" t="n">
        <v>17.58</v>
      </c>
      <c r="BW139" s="37" t="n">
        <v>14.86</v>
      </c>
      <c r="BX139" s="37" t="n">
        <v>14.7</v>
      </c>
      <c r="BY139" s="37" t="n">
        <v>15.11</v>
      </c>
      <c r="BZ139" s="37" t="n">
        <v>15.11</v>
      </c>
      <c r="CA139" s="37" t="n">
        <v>14.68</v>
      </c>
      <c r="CB139" s="37" t="n">
        <v>12.04</v>
      </c>
      <c r="CC139" s="37" t="n">
        <v>1101.45</v>
      </c>
    </row>
    <row r="140" ht="15.75" customHeight="1" s="57">
      <c r="A140" s="7" t="inlineStr">
        <is>
          <t>NTB</t>
        </is>
      </c>
      <c r="B140" s="7" t="inlineStr">
        <is>
          <t>Khánh Hòa</t>
        </is>
      </c>
      <c r="C140" s="7" t="n">
        <v>20320000</v>
      </c>
      <c r="D140" s="7" t="inlineStr">
        <is>
          <t>(KHO) Tây Nha Trang</t>
        </is>
      </c>
      <c r="E140" s="7" t="inlineStr">
        <is>
          <t>TTS-Bulky</t>
        </is>
      </c>
      <c r="F140" s="36" t="n">
        <v>1</v>
      </c>
      <c r="G140" s="36" t="n">
        <v>0</v>
      </c>
      <c r="H140" s="36" t="n">
        <v>0</v>
      </c>
      <c r="I140" s="36" t="n">
        <v>0</v>
      </c>
      <c r="J140" s="36" t="n">
        <v>0</v>
      </c>
      <c r="K140" s="28" t="n">
        <v>0</v>
      </c>
      <c r="L140" s="36" t="n">
        <v>0</v>
      </c>
      <c r="M140" s="36" t="n">
        <v>0</v>
      </c>
      <c r="N140" s="36" t="n">
        <v>0</v>
      </c>
      <c r="O140" s="36" t="n">
        <v>0</v>
      </c>
      <c r="P140" s="36" t="n">
        <v>0</v>
      </c>
      <c r="Q140" s="36" t="n">
        <v>0</v>
      </c>
      <c r="R140" s="28" t="n">
        <v>0</v>
      </c>
      <c r="S140" s="36" t="n">
        <v>0</v>
      </c>
      <c r="T140" s="36" t="n">
        <v>0</v>
      </c>
      <c r="U140" s="36" t="n">
        <v>0.32</v>
      </c>
      <c r="V140" s="36" t="n">
        <v>0.35</v>
      </c>
      <c r="W140" s="36" t="n">
        <v>0.16</v>
      </c>
      <c r="X140" s="36" t="n">
        <v>0.09</v>
      </c>
      <c r="Y140" s="28" t="n">
        <v>0.16</v>
      </c>
      <c r="Z140" s="36" t="n">
        <v>0.14</v>
      </c>
      <c r="AA140" s="36" t="n">
        <v>0.16</v>
      </c>
      <c r="AB140" s="36" t="n">
        <v>0.16</v>
      </c>
      <c r="AC140" s="36" t="n">
        <v>0.21</v>
      </c>
      <c r="AD140" s="36" t="n">
        <v>0.09</v>
      </c>
      <c r="AE140" s="36" t="n">
        <v>0.09</v>
      </c>
      <c r="AF140" s="28" t="n">
        <v>0.16</v>
      </c>
      <c r="AG140" s="36" t="n">
        <v>0.16</v>
      </c>
      <c r="AH140" s="37" t="n">
        <v>0.16</v>
      </c>
      <c r="AI140" s="37" t="n">
        <v>0.16</v>
      </c>
      <c r="AJ140" s="37" t="n">
        <v>0.16</v>
      </c>
      <c r="AK140" s="37" t="n">
        <v>0.16</v>
      </c>
      <c r="AL140" s="37" t="n">
        <v>0.09</v>
      </c>
      <c r="AM140" s="37" t="n">
        <v>0.16</v>
      </c>
      <c r="AN140" s="37" t="n">
        <v>0.16</v>
      </c>
      <c r="AO140" s="37" t="n">
        <v>0.16</v>
      </c>
      <c r="AP140" s="37" t="n">
        <v>0.16</v>
      </c>
      <c r="AQ140" s="37" t="n">
        <v>0.16</v>
      </c>
      <c r="AR140" s="37" t="n">
        <v>0.16</v>
      </c>
      <c r="AS140" s="37" t="n">
        <v>0.09</v>
      </c>
      <c r="AT140" s="37" t="n">
        <v>0.18</v>
      </c>
      <c r="AU140" s="37" t="n">
        <v>0.18</v>
      </c>
      <c r="AV140" s="37" t="n">
        <v>0.16</v>
      </c>
      <c r="AW140" s="37" t="n">
        <v>0.16</v>
      </c>
      <c r="AX140" s="37" t="n">
        <v>0.16</v>
      </c>
      <c r="AY140" s="37" t="n">
        <v>0.16</v>
      </c>
      <c r="AZ140" s="37" t="n">
        <v>0.09</v>
      </c>
      <c r="BA140" s="37" t="n">
        <v>0.16</v>
      </c>
      <c r="BB140" s="37" t="n">
        <v>0.05</v>
      </c>
      <c r="BC140" s="37" t="n">
        <v>0.02</v>
      </c>
      <c r="BD140" s="37" t="n">
        <v>0.02</v>
      </c>
      <c r="BE140" s="37" t="n">
        <v>0.05</v>
      </c>
      <c r="BF140" s="37" t="n">
        <v>0.05</v>
      </c>
      <c r="BG140" s="37" t="n">
        <v>0.02</v>
      </c>
      <c r="BH140" s="37" t="n">
        <v>0.05</v>
      </c>
      <c r="BI140" s="37" t="n">
        <v>0.05</v>
      </c>
      <c r="BJ140" s="37" t="n">
        <v>0.02</v>
      </c>
      <c r="BK140" s="37" t="n">
        <v>0.05</v>
      </c>
      <c r="BL140" s="37" t="n">
        <v>0.05</v>
      </c>
      <c r="BM140" s="37" t="n">
        <v>0.05</v>
      </c>
      <c r="BN140" s="37" t="n">
        <v>0.02</v>
      </c>
      <c r="BO140" s="37" t="n">
        <v>0.07000000000000001</v>
      </c>
      <c r="BP140" s="37" t="n">
        <v>0.05</v>
      </c>
      <c r="BQ140" s="37" t="n">
        <v>0.05</v>
      </c>
      <c r="BR140" s="37" t="n">
        <v>0.05</v>
      </c>
      <c r="BS140" s="37" t="n">
        <v>0.05</v>
      </c>
      <c r="BT140" s="37" t="n">
        <v>0.05</v>
      </c>
      <c r="BU140" s="37" t="n">
        <v>0.02</v>
      </c>
      <c r="BV140" s="37" t="n">
        <v>0.05</v>
      </c>
      <c r="BW140" s="37" t="n">
        <v>0.05</v>
      </c>
      <c r="BX140" s="37" t="n">
        <v>0.05</v>
      </c>
      <c r="BY140" s="37" t="n">
        <v>0.05</v>
      </c>
      <c r="BZ140" s="37" t="n">
        <v>0.05</v>
      </c>
      <c r="CA140" s="37" t="n">
        <v>0.05</v>
      </c>
      <c r="CB140" s="37" t="n">
        <v>0.02</v>
      </c>
      <c r="CC140" s="37" t="n">
        <v>7.439999999999995</v>
      </c>
    </row>
    <row r="141" ht="15.75" customHeight="1" s="57">
      <c r="A141" s="7" t="inlineStr">
        <is>
          <t>NTB</t>
        </is>
      </c>
      <c r="B141" s="7" t="inlineStr">
        <is>
          <t>Khánh Hòa</t>
        </is>
      </c>
      <c r="C141" s="7" t="n">
        <v>20495000</v>
      </c>
      <c r="D141" s="7" t="inlineStr">
        <is>
          <t>(KHO) Nha Trang</t>
        </is>
      </c>
      <c r="E141" s="7" t="inlineStr">
        <is>
          <t>SME</t>
        </is>
      </c>
      <c r="F141" s="36" t="n">
        <v>221</v>
      </c>
      <c r="G141" s="36" t="n">
        <v>240</v>
      </c>
      <c r="H141" s="36" t="n">
        <v>237</v>
      </c>
      <c r="I141" s="36" t="n">
        <v>220</v>
      </c>
      <c r="J141" s="36" t="n">
        <v>79</v>
      </c>
      <c r="K141" s="28" t="n">
        <v>258</v>
      </c>
      <c r="L141" s="36" t="n">
        <v>197</v>
      </c>
      <c r="M141" s="36" t="n">
        <v>319</v>
      </c>
      <c r="N141" s="36" t="n">
        <v>258</v>
      </c>
      <c r="O141" s="36" t="n">
        <v>260</v>
      </c>
      <c r="P141" s="36" t="n">
        <v>220</v>
      </c>
      <c r="Q141" s="36" t="n">
        <v>97</v>
      </c>
      <c r="R141" s="28" t="n">
        <v>277</v>
      </c>
      <c r="S141" s="36" t="n">
        <v>244</v>
      </c>
      <c r="T141" s="36" t="n">
        <v>232</v>
      </c>
      <c r="U141" s="36" t="n">
        <v>337.17</v>
      </c>
      <c r="V141" s="36" t="n">
        <v>348.59</v>
      </c>
      <c r="W141" s="36" t="n">
        <v>339.92</v>
      </c>
      <c r="X141" s="36" t="n">
        <v>277.52</v>
      </c>
      <c r="Y141" s="28" t="n">
        <v>376.44</v>
      </c>
      <c r="Z141" s="36" t="n">
        <v>345.9299999999999</v>
      </c>
      <c r="AA141" s="36" t="n">
        <v>338.71</v>
      </c>
      <c r="AB141" s="36" t="n">
        <v>337.17</v>
      </c>
      <c r="AC141" s="36" t="n">
        <v>348.59</v>
      </c>
      <c r="AD141" s="36" t="n">
        <v>394.72</v>
      </c>
      <c r="AE141" s="36" t="n">
        <v>277.52</v>
      </c>
      <c r="AF141" s="28" t="n">
        <v>376.44</v>
      </c>
      <c r="AG141" s="36" t="n">
        <v>345.9299999999999</v>
      </c>
      <c r="AH141" s="37" t="n">
        <v>338.71</v>
      </c>
      <c r="AI141" s="37" t="n">
        <v>337.17</v>
      </c>
      <c r="AJ141" s="37" t="n">
        <v>348.59</v>
      </c>
      <c r="AK141" s="37" t="n">
        <v>339.92</v>
      </c>
      <c r="AL141" s="37" t="n">
        <v>277.52</v>
      </c>
      <c r="AM141" s="37" t="n">
        <v>376.44</v>
      </c>
      <c r="AN141" s="37" t="n">
        <v>345.9299999999999</v>
      </c>
      <c r="AO141" s="37" t="n">
        <v>338.71</v>
      </c>
      <c r="AP141" s="37" t="n">
        <v>337.17</v>
      </c>
      <c r="AQ141" s="37" t="n">
        <v>348.59</v>
      </c>
      <c r="AR141" s="37" t="n">
        <v>339.92</v>
      </c>
      <c r="AS141" s="37" t="n">
        <v>277.52</v>
      </c>
      <c r="AT141" s="37" t="n">
        <v>376.44</v>
      </c>
      <c r="AU141" s="37" t="n">
        <v>345.9299999999999</v>
      </c>
      <c r="AV141" s="37" t="n">
        <v>338.71</v>
      </c>
      <c r="AW141" s="37" t="n">
        <v>337.17</v>
      </c>
      <c r="AX141" s="37" t="n">
        <v>348.59</v>
      </c>
      <c r="AY141" s="37" t="n">
        <v>339.92</v>
      </c>
      <c r="AZ141" s="37" t="n">
        <v>277.52</v>
      </c>
      <c r="BA141" s="37" t="n">
        <v>357.57</v>
      </c>
      <c r="BB141" s="37" t="n">
        <v>318.74</v>
      </c>
      <c r="BC141" s="37" t="n">
        <v>196.03</v>
      </c>
      <c r="BD141" s="37" t="n">
        <v>153.1</v>
      </c>
      <c r="BE141" s="37" t="n">
        <v>327.99</v>
      </c>
      <c r="BF141" s="37" t="n">
        <v>319.41</v>
      </c>
      <c r="BG141" s="37" t="n">
        <v>286.73</v>
      </c>
      <c r="BH141" s="37" t="n">
        <v>388.76</v>
      </c>
      <c r="BI141" s="37" t="n">
        <v>357.16</v>
      </c>
      <c r="BJ141" s="37" t="n">
        <v>405.59</v>
      </c>
      <c r="BK141" s="37" t="n">
        <v>348.4</v>
      </c>
      <c r="BL141" s="37" t="n">
        <v>359.96</v>
      </c>
      <c r="BM141" s="37" t="n">
        <v>351.15</v>
      </c>
      <c r="BN141" s="37" t="n">
        <v>286.73</v>
      </c>
      <c r="BO141" s="37" t="n">
        <v>388.76</v>
      </c>
      <c r="BP141" s="37" t="n">
        <v>357.16</v>
      </c>
      <c r="BQ141" s="37" t="n">
        <v>349.94</v>
      </c>
      <c r="BR141" s="37" t="n">
        <v>348.4</v>
      </c>
      <c r="BS141" s="37" t="n">
        <v>359.96</v>
      </c>
      <c r="BT141" s="37" t="n">
        <v>351.15</v>
      </c>
      <c r="BU141" s="37" t="n">
        <v>286.73</v>
      </c>
      <c r="BV141" s="37" t="n">
        <v>388.76</v>
      </c>
      <c r="BW141" s="37" t="n">
        <v>357.16</v>
      </c>
      <c r="BX141" s="37" t="n">
        <v>349.94</v>
      </c>
      <c r="BY141" s="37" t="n">
        <v>348.4</v>
      </c>
      <c r="BZ141" s="37" t="n">
        <v>359.96</v>
      </c>
      <c r="CA141" s="37" t="n">
        <v>351.15</v>
      </c>
      <c r="CB141" s="37" t="n">
        <v>286.73</v>
      </c>
      <c r="CC141" s="37" t="n">
        <v>23515.64</v>
      </c>
    </row>
    <row r="142" ht="15.75" customHeight="1" s="57">
      <c r="A142" s="7" t="inlineStr">
        <is>
          <t>NTB</t>
        </is>
      </c>
      <c r="B142" s="7" t="inlineStr">
        <is>
          <t>Khánh Hòa</t>
        </is>
      </c>
      <c r="C142" s="7" t="n">
        <v>20495000</v>
      </c>
      <c r="D142" s="7" t="inlineStr">
        <is>
          <t>(KHO) Nha Trang</t>
        </is>
      </c>
      <c r="E142" s="7" t="inlineStr">
        <is>
          <t>SME-Bulky</t>
        </is>
      </c>
      <c r="F142" s="36" t="n">
        <v>6</v>
      </c>
      <c r="G142" s="36" t="n">
        <v>5</v>
      </c>
      <c r="H142" s="36" t="n">
        <v>3</v>
      </c>
      <c r="I142" s="36" t="n">
        <v>8</v>
      </c>
      <c r="J142" s="36" t="n">
        <v>6</v>
      </c>
      <c r="K142" s="28" t="n">
        <v>5</v>
      </c>
      <c r="L142" s="36" t="n">
        <v>11</v>
      </c>
      <c r="M142" s="36" t="n">
        <v>6</v>
      </c>
      <c r="N142" s="36" t="n">
        <v>8</v>
      </c>
      <c r="O142" s="36" t="n">
        <v>8</v>
      </c>
      <c r="P142" s="36" t="n">
        <v>10</v>
      </c>
      <c r="Q142" s="36" t="n">
        <v>6</v>
      </c>
      <c r="R142" s="28" t="n">
        <v>11</v>
      </c>
      <c r="S142" s="36" t="n">
        <v>3</v>
      </c>
      <c r="T142" s="36" t="n">
        <v>11</v>
      </c>
      <c r="U142" s="36" t="n">
        <v>6.67</v>
      </c>
      <c r="V142" s="36" t="n">
        <v>6.86</v>
      </c>
      <c r="W142" s="36" t="n">
        <v>6.48</v>
      </c>
      <c r="X142" s="36" t="n">
        <v>4.44</v>
      </c>
      <c r="Y142" s="28" t="n">
        <v>7.33</v>
      </c>
      <c r="Z142" s="36" t="n">
        <v>7</v>
      </c>
      <c r="AA142" s="36" t="n">
        <v>6.95</v>
      </c>
      <c r="AB142" s="36" t="n">
        <v>6.67</v>
      </c>
      <c r="AC142" s="36" t="n">
        <v>6.86</v>
      </c>
      <c r="AD142" s="36" t="n">
        <v>4.44</v>
      </c>
      <c r="AE142" s="36" t="n">
        <v>4.44</v>
      </c>
      <c r="AF142" s="28" t="n">
        <v>7.33</v>
      </c>
      <c r="AG142" s="36" t="n">
        <v>7</v>
      </c>
      <c r="AH142" s="37" t="n">
        <v>6.95</v>
      </c>
      <c r="AI142" s="37" t="n">
        <v>6.67</v>
      </c>
      <c r="AJ142" s="37" t="n">
        <v>6.86</v>
      </c>
      <c r="AK142" s="37" t="n">
        <v>6.48</v>
      </c>
      <c r="AL142" s="37" t="n">
        <v>4.44</v>
      </c>
      <c r="AM142" s="37" t="n">
        <v>7.33</v>
      </c>
      <c r="AN142" s="37" t="n">
        <v>7</v>
      </c>
      <c r="AO142" s="37" t="n">
        <v>6.95</v>
      </c>
      <c r="AP142" s="37" t="n">
        <v>6.67</v>
      </c>
      <c r="AQ142" s="37" t="n">
        <v>6.86</v>
      </c>
      <c r="AR142" s="37" t="n">
        <v>6.48</v>
      </c>
      <c r="AS142" s="37" t="n">
        <v>4.44</v>
      </c>
      <c r="AT142" s="37" t="n">
        <v>7.33</v>
      </c>
      <c r="AU142" s="37" t="n">
        <v>7</v>
      </c>
      <c r="AV142" s="37" t="n">
        <v>6.95</v>
      </c>
      <c r="AW142" s="37" t="n">
        <v>6.67</v>
      </c>
      <c r="AX142" s="37" t="n">
        <v>6.86</v>
      </c>
      <c r="AY142" s="37" t="n">
        <v>6.48</v>
      </c>
      <c r="AZ142" s="37" t="n">
        <v>4.44</v>
      </c>
      <c r="BA142" s="37" t="n">
        <v>7.94</v>
      </c>
      <c r="BB142" s="37" t="n">
        <v>4.07</v>
      </c>
      <c r="BC142" s="37" t="n">
        <v>2.08</v>
      </c>
      <c r="BD142" s="37" t="n">
        <v>1.56</v>
      </c>
      <c r="BE142" s="37" t="n">
        <v>3.78</v>
      </c>
      <c r="BF142" s="37" t="n">
        <v>3.74</v>
      </c>
      <c r="BG142" s="37" t="n">
        <v>2.46</v>
      </c>
      <c r="BH142" s="37" t="n">
        <v>4.21</v>
      </c>
      <c r="BI142" s="37" t="n">
        <v>4.07</v>
      </c>
      <c r="BJ142" s="37" t="n">
        <v>3.07</v>
      </c>
      <c r="BK142" s="37" t="n">
        <v>3.83</v>
      </c>
      <c r="BL142" s="37" t="n">
        <v>3.92</v>
      </c>
      <c r="BM142" s="37" t="n">
        <v>3.74</v>
      </c>
      <c r="BN142" s="37" t="n">
        <v>2.46</v>
      </c>
      <c r="BO142" s="37" t="n">
        <v>4.21</v>
      </c>
      <c r="BP142" s="37" t="n">
        <v>4.07</v>
      </c>
      <c r="BQ142" s="37" t="n">
        <v>3.97</v>
      </c>
      <c r="BR142" s="37" t="n">
        <v>3.83</v>
      </c>
      <c r="BS142" s="37" t="n">
        <v>3.92</v>
      </c>
      <c r="BT142" s="37" t="n">
        <v>3.74</v>
      </c>
      <c r="BU142" s="37" t="n">
        <v>2.46</v>
      </c>
      <c r="BV142" s="37" t="n">
        <v>4.21</v>
      </c>
      <c r="BW142" s="37" t="n">
        <v>4.07</v>
      </c>
      <c r="BX142" s="37" t="n">
        <v>3.97</v>
      </c>
      <c r="BY142" s="37" t="n">
        <v>3.83</v>
      </c>
      <c r="BZ142" s="37" t="n">
        <v>3.92</v>
      </c>
      <c r="CA142" s="37" t="n">
        <v>3.74</v>
      </c>
      <c r="CB142" s="37" t="n">
        <v>2.46</v>
      </c>
      <c r="CC142" s="37" t="n">
        <v>415.6599999999999</v>
      </c>
    </row>
    <row r="143" ht="15.75" customHeight="1" s="57">
      <c r="A143" s="7" t="inlineStr">
        <is>
          <t>NTB</t>
        </is>
      </c>
      <c r="B143" s="7" t="inlineStr">
        <is>
          <t>Khánh Hòa</t>
        </is>
      </c>
      <c r="C143" s="7" t="n">
        <v>20495000</v>
      </c>
      <c r="D143" s="7" t="inlineStr">
        <is>
          <t>(KHO) Nha Trang</t>
        </is>
      </c>
      <c r="E143" s="7" t="inlineStr">
        <is>
          <t>Shopee</t>
        </is>
      </c>
      <c r="F143" s="36" t="n">
        <v>19</v>
      </c>
      <c r="G143" s="36" t="n">
        <v>25</v>
      </c>
      <c r="H143" s="36" t="n">
        <v>19</v>
      </c>
      <c r="I143" s="36" t="n">
        <v>18</v>
      </c>
      <c r="J143" s="36" t="n">
        <v>24</v>
      </c>
      <c r="K143" s="28" t="n">
        <v>31</v>
      </c>
      <c r="L143" s="36" t="n">
        <v>32</v>
      </c>
      <c r="M143" s="36" t="n">
        <v>27</v>
      </c>
      <c r="N143" s="36" t="n">
        <v>18</v>
      </c>
      <c r="O143" s="36" t="n">
        <v>29</v>
      </c>
      <c r="P143" s="36" t="n">
        <v>17</v>
      </c>
      <c r="Q143" s="36" t="n">
        <v>21</v>
      </c>
      <c r="R143" s="28" t="n">
        <v>14</v>
      </c>
      <c r="S143" s="36" t="n">
        <v>32</v>
      </c>
      <c r="T143" s="36" t="n">
        <v>28</v>
      </c>
      <c r="U143" s="36" t="n">
        <v>27.39</v>
      </c>
      <c r="V143" s="36" t="n">
        <v>27.52</v>
      </c>
      <c r="W143" s="36" t="n">
        <v>26.55</v>
      </c>
      <c r="X143" s="36" t="n">
        <v>22.87</v>
      </c>
      <c r="Y143" s="28" t="n">
        <v>36.94</v>
      </c>
      <c r="Z143" s="36" t="n">
        <v>29.19</v>
      </c>
      <c r="AA143" s="36" t="n">
        <v>35.64</v>
      </c>
      <c r="AB143" s="36" t="n">
        <v>28.02</v>
      </c>
      <c r="AC143" s="36" t="n">
        <v>22.66</v>
      </c>
      <c r="AD143" s="36" t="n">
        <v>52.14</v>
      </c>
      <c r="AE143" s="36" t="n">
        <v>24.25</v>
      </c>
      <c r="AF143" s="28" t="n">
        <v>40.83</v>
      </c>
      <c r="AG143" s="36" t="n">
        <v>30.66</v>
      </c>
      <c r="AH143" s="37" t="n">
        <v>32.54</v>
      </c>
      <c r="AI143" s="37" t="n">
        <v>27.39</v>
      </c>
      <c r="AJ143" s="37" t="n">
        <v>27.52</v>
      </c>
      <c r="AK143" s="37" t="n">
        <v>29.11</v>
      </c>
      <c r="AL143" s="37" t="n">
        <v>40.96</v>
      </c>
      <c r="AM143" s="37" t="n">
        <v>36.94</v>
      </c>
      <c r="AN143" s="37" t="n">
        <v>29.19</v>
      </c>
      <c r="AO143" s="37" t="n">
        <v>32.54</v>
      </c>
      <c r="AP143" s="37" t="n">
        <v>30.11</v>
      </c>
      <c r="AQ143" s="37" t="n">
        <v>22.11</v>
      </c>
      <c r="AR143" s="37" t="n">
        <v>26.55</v>
      </c>
      <c r="AS143" s="37" t="n">
        <v>22.87</v>
      </c>
      <c r="AT143" s="37" t="n">
        <v>36.94</v>
      </c>
      <c r="AU143" s="37" t="n">
        <v>32.17</v>
      </c>
      <c r="AV143" s="37" t="n">
        <v>33.21</v>
      </c>
      <c r="AW143" s="37" t="n">
        <v>27.39</v>
      </c>
      <c r="AX143" s="37" t="n">
        <v>27.52</v>
      </c>
      <c r="AY143" s="37" t="n">
        <v>26.55</v>
      </c>
      <c r="AZ143" s="37" t="n">
        <v>22.87</v>
      </c>
      <c r="BA143" s="37" t="n">
        <v>31.62</v>
      </c>
      <c r="BB143" s="37" t="n">
        <v>21.95</v>
      </c>
      <c r="BC143" s="37" t="n">
        <v>9.800000000000001</v>
      </c>
      <c r="BD143" s="37" t="n">
        <v>16.46</v>
      </c>
      <c r="BE143" s="37" t="n">
        <v>32.96</v>
      </c>
      <c r="BF143" s="37" t="n">
        <v>31.7</v>
      </c>
      <c r="BG143" s="37" t="n">
        <v>22.41</v>
      </c>
      <c r="BH143" s="37" t="n">
        <v>35.18</v>
      </c>
      <c r="BI143" s="37" t="n">
        <v>22.99</v>
      </c>
      <c r="BJ143" s="37" t="n">
        <v>73.59</v>
      </c>
      <c r="BK143" s="37" t="n">
        <v>28.06</v>
      </c>
      <c r="BL143" s="37" t="n">
        <v>27.64</v>
      </c>
      <c r="BM143" s="37" t="n">
        <v>25.42</v>
      </c>
      <c r="BN143" s="37" t="n">
        <v>21.99</v>
      </c>
      <c r="BO143" s="37" t="n">
        <v>35.18</v>
      </c>
      <c r="BP143" s="37" t="n">
        <v>30.74</v>
      </c>
      <c r="BQ143" s="37" t="n">
        <v>47.24</v>
      </c>
      <c r="BR143" s="37" t="n">
        <v>26.22</v>
      </c>
      <c r="BS143" s="37" t="n">
        <v>26.34</v>
      </c>
      <c r="BT143" s="37" t="n">
        <v>25.42</v>
      </c>
      <c r="BU143" s="37" t="n">
        <v>24.04</v>
      </c>
      <c r="BV143" s="37" t="n">
        <v>28.4</v>
      </c>
      <c r="BW143" s="37" t="n">
        <v>27.89</v>
      </c>
      <c r="BX143" s="37" t="n">
        <v>31.03</v>
      </c>
      <c r="BY143" s="37" t="n">
        <v>26.22</v>
      </c>
      <c r="BZ143" s="37" t="n">
        <v>28.9</v>
      </c>
      <c r="CA143" s="37" t="n">
        <v>25.8</v>
      </c>
      <c r="CB143" s="37" t="n">
        <v>21.99</v>
      </c>
      <c r="CC143" s="37" t="n">
        <v>2130.32</v>
      </c>
    </row>
    <row r="144" ht="15.75" customHeight="1" s="57">
      <c r="A144" s="7" t="inlineStr">
        <is>
          <t>NTB</t>
        </is>
      </c>
      <c r="B144" s="7" t="inlineStr">
        <is>
          <t>Khánh Hòa</t>
        </is>
      </c>
      <c r="C144" s="7" t="n">
        <v>20495000</v>
      </c>
      <c r="D144" s="7" t="inlineStr">
        <is>
          <t>(KHO) Nha Trang</t>
        </is>
      </c>
      <c r="E144" s="7" t="inlineStr">
        <is>
          <t>Shopee-Bulky</t>
        </is>
      </c>
      <c r="F144" s="36" t="n">
        <v>9.720000000000001</v>
      </c>
      <c r="G144" s="36" t="n">
        <v>6.86</v>
      </c>
      <c r="H144" s="36" t="n">
        <v>0.57</v>
      </c>
      <c r="I144" s="36" t="n">
        <v>0</v>
      </c>
      <c r="J144" s="36" t="n">
        <v>0.57</v>
      </c>
      <c r="K144" s="28" t="n">
        <v>14.87</v>
      </c>
      <c r="L144" s="36" t="n">
        <v>8.01</v>
      </c>
      <c r="M144" s="36" t="n">
        <v>0.57</v>
      </c>
      <c r="N144" s="36" t="n">
        <v>1.72</v>
      </c>
      <c r="O144" s="36" t="n">
        <v>1.72</v>
      </c>
      <c r="P144" s="36" t="n">
        <v>4.58</v>
      </c>
      <c r="Q144" s="36" t="n">
        <v>5.72</v>
      </c>
      <c r="R144" s="28" t="n">
        <v>6.86</v>
      </c>
      <c r="S144" s="36" t="n">
        <v>1.72</v>
      </c>
      <c r="T144" s="36" t="n">
        <v>0.57</v>
      </c>
      <c r="U144" s="36" t="n">
        <v>4.59</v>
      </c>
      <c r="V144" s="36" t="n">
        <v>4.3</v>
      </c>
      <c r="W144" s="36" t="n">
        <v>5.16</v>
      </c>
      <c r="X144" s="36" t="n">
        <v>2.73</v>
      </c>
      <c r="Y144" s="28" t="n">
        <v>6.88</v>
      </c>
      <c r="Z144" s="36" t="n">
        <v>5.31</v>
      </c>
      <c r="AA144" s="36" t="n">
        <v>7.75</v>
      </c>
      <c r="AB144" s="36" t="n">
        <v>5.31</v>
      </c>
      <c r="AC144" s="36" t="n">
        <v>5.59</v>
      </c>
      <c r="AD144" s="36" t="n">
        <v>20.8</v>
      </c>
      <c r="AE144" s="36" t="n">
        <v>14.06</v>
      </c>
      <c r="AF144" s="28" t="n">
        <v>16.35</v>
      </c>
      <c r="AG144" s="36" t="n">
        <v>7.31</v>
      </c>
      <c r="AH144" s="37" t="n">
        <v>5.31</v>
      </c>
      <c r="AI144" s="37" t="n">
        <v>5.16</v>
      </c>
      <c r="AJ144" s="37" t="n">
        <v>4.73</v>
      </c>
      <c r="AK144" s="37" t="n">
        <v>10.33</v>
      </c>
      <c r="AL144" s="37" t="n">
        <v>5.88</v>
      </c>
      <c r="AM144" s="37" t="n">
        <v>8.75</v>
      </c>
      <c r="AN144" s="37" t="n">
        <v>5.31</v>
      </c>
      <c r="AO144" s="37" t="n">
        <v>5.02</v>
      </c>
      <c r="AP144" s="37" t="n">
        <v>9.039999999999999</v>
      </c>
      <c r="AQ144" s="37" t="n">
        <v>6.45</v>
      </c>
      <c r="AR144" s="37" t="n">
        <v>4.45</v>
      </c>
      <c r="AS144" s="37" t="n">
        <v>2.29</v>
      </c>
      <c r="AT144" s="37" t="n">
        <v>6.45</v>
      </c>
      <c r="AU144" s="37" t="n">
        <v>10.9</v>
      </c>
      <c r="AV144" s="37" t="n">
        <v>10.9</v>
      </c>
      <c r="AW144" s="37" t="n">
        <v>5.02</v>
      </c>
      <c r="AX144" s="37" t="n">
        <v>4.73</v>
      </c>
      <c r="AY144" s="37" t="n">
        <v>4.3</v>
      </c>
      <c r="AZ144" s="37" t="n">
        <v>2.29</v>
      </c>
      <c r="BA144" s="37" t="n">
        <v>6.02</v>
      </c>
      <c r="BB144" s="37" t="n">
        <v>4.16</v>
      </c>
      <c r="BC144" s="37" t="n">
        <v>1.29</v>
      </c>
      <c r="BD144" s="37" t="n">
        <v>2.01</v>
      </c>
      <c r="BE144" s="37" t="n">
        <v>6.88</v>
      </c>
      <c r="BF144" s="37" t="n">
        <v>5.88</v>
      </c>
      <c r="BG144" s="37" t="n">
        <v>3.01</v>
      </c>
      <c r="BH144" s="37" t="n">
        <v>7.31</v>
      </c>
      <c r="BI144" s="37" t="n">
        <v>6.6</v>
      </c>
      <c r="BJ144" s="37" t="n">
        <v>41.88</v>
      </c>
      <c r="BK144" s="37" t="n">
        <v>14.06</v>
      </c>
      <c r="BL144" s="37" t="n">
        <v>7.31</v>
      </c>
      <c r="BM144" s="37" t="n">
        <v>5.02</v>
      </c>
      <c r="BN144" s="37" t="n">
        <v>3.01</v>
      </c>
      <c r="BO144" s="37" t="n">
        <v>8.75</v>
      </c>
      <c r="BP144" s="37" t="n">
        <v>13.2</v>
      </c>
      <c r="BQ144" s="37" t="n">
        <v>9.609999999999999</v>
      </c>
      <c r="BR144" s="37" t="n">
        <v>6.31</v>
      </c>
      <c r="BS144" s="37" t="n">
        <v>5.88</v>
      </c>
      <c r="BT144" s="37" t="n">
        <v>4.16</v>
      </c>
      <c r="BU144" s="37" t="n">
        <v>7.31</v>
      </c>
      <c r="BV144" s="37" t="n">
        <v>8.029999999999999</v>
      </c>
      <c r="BW144" s="37" t="n">
        <v>6.6</v>
      </c>
      <c r="BX144" s="37" t="n">
        <v>6.31</v>
      </c>
      <c r="BY144" s="37" t="n">
        <v>6.31</v>
      </c>
      <c r="BZ144" s="37" t="n">
        <v>8.890000000000001</v>
      </c>
      <c r="CA144" s="37" t="n">
        <v>5.88</v>
      </c>
      <c r="CB144" s="37" t="n">
        <v>3.01</v>
      </c>
      <c r="CC144" s="37" t="n">
        <v>502.1999999999999</v>
      </c>
    </row>
    <row r="145" ht="15.75" customHeight="1" s="57">
      <c r="A145" s="7" t="inlineStr">
        <is>
          <t>NTB</t>
        </is>
      </c>
      <c r="B145" s="7" t="inlineStr">
        <is>
          <t>Khánh Hòa</t>
        </is>
      </c>
      <c r="C145" s="7" t="n">
        <v>20495000</v>
      </c>
      <c r="D145" s="7" t="inlineStr">
        <is>
          <t>(KHO) Nha Trang</t>
        </is>
      </c>
      <c r="E145" s="7" t="inlineStr">
        <is>
          <t>Shopee-Bulky (10-15kg)</t>
        </is>
      </c>
      <c r="F145" s="36" t="n">
        <v>7.28</v>
      </c>
      <c r="G145" s="36" t="n">
        <v>5.14</v>
      </c>
      <c r="H145" s="36" t="n">
        <v>0.43</v>
      </c>
      <c r="I145" s="36" t="n">
        <v>0</v>
      </c>
      <c r="J145" s="36" t="n">
        <v>0.43</v>
      </c>
      <c r="K145" s="28" t="n">
        <v>11.13</v>
      </c>
      <c r="L145" s="36" t="n">
        <v>5.99</v>
      </c>
      <c r="M145" s="36" t="n">
        <v>0.43</v>
      </c>
      <c r="N145" s="36" t="n">
        <v>1.28</v>
      </c>
      <c r="O145" s="36" t="n">
        <v>1.28</v>
      </c>
      <c r="P145" s="36" t="n">
        <v>3.42</v>
      </c>
      <c r="Q145" s="36" t="n">
        <v>4.28</v>
      </c>
      <c r="R145" s="28" t="n">
        <v>5.14</v>
      </c>
      <c r="S145" s="36" t="n">
        <v>1.28</v>
      </c>
      <c r="T145" s="36" t="n">
        <v>0.43</v>
      </c>
      <c r="U145" s="36" t="n">
        <v>3.3</v>
      </c>
      <c r="V145" s="36" t="n">
        <v>3.44</v>
      </c>
      <c r="W145" s="36" t="n">
        <v>4.16</v>
      </c>
      <c r="X145" s="36" t="n">
        <v>2.58</v>
      </c>
      <c r="Y145" s="28" t="n">
        <v>4.45</v>
      </c>
      <c r="Z145" s="36" t="n">
        <v>3.44</v>
      </c>
      <c r="AA145" s="36" t="n">
        <v>4.88</v>
      </c>
      <c r="AB145" s="36" t="n">
        <v>3.44</v>
      </c>
      <c r="AC145" s="36" t="n">
        <v>4.02</v>
      </c>
      <c r="AD145" s="36" t="n">
        <v>18.07</v>
      </c>
      <c r="AE145" s="36" t="n">
        <v>9.75</v>
      </c>
      <c r="AF145" s="28" t="n">
        <v>10.18</v>
      </c>
      <c r="AG145" s="36" t="n">
        <v>5.45</v>
      </c>
      <c r="AH145" s="37" t="n">
        <v>3.44</v>
      </c>
      <c r="AI145" s="37" t="n">
        <v>3.73</v>
      </c>
      <c r="AJ145" s="37" t="n">
        <v>3.59</v>
      </c>
      <c r="AK145" s="37" t="n">
        <v>7.17</v>
      </c>
      <c r="AL145" s="37" t="n">
        <v>4.3</v>
      </c>
      <c r="AM145" s="37" t="n">
        <v>5.74</v>
      </c>
      <c r="AN145" s="37" t="n">
        <v>3.44</v>
      </c>
      <c r="AO145" s="37" t="n">
        <v>3.44</v>
      </c>
      <c r="AP145" s="37" t="n">
        <v>5.45</v>
      </c>
      <c r="AQ145" s="37" t="n">
        <v>4.73</v>
      </c>
      <c r="AR145" s="37" t="n">
        <v>3.59</v>
      </c>
      <c r="AS145" s="37" t="n">
        <v>2.01</v>
      </c>
      <c r="AT145" s="37" t="n">
        <v>4.3</v>
      </c>
      <c r="AU145" s="37" t="n">
        <v>7.89</v>
      </c>
      <c r="AV145" s="37" t="n">
        <v>7.6</v>
      </c>
      <c r="AW145" s="37" t="n">
        <v>3.44</v>
      </c>
      <c r="AX145" s="37" t="n">
        <v>3.44</v>
      </c>
      <c r="AY145" s="37" t="n">
        <v>3.59</v>
      </c>
      <c r="AZ145" s="37" t="n">
        <v>2.01</v>
      </c>
      <c r="BA145" s="37" t="n">
        <v>4.3</v>
      </c>
      <c r="BB145" s="37" t="n">
        <v>3.01</v>
      </c>
      <c r="BC145" s="37" t="n">
        <v>0.57</v>
      </c>
      <c r="BD145" s="37" t="n">
        <v>1.58</v>
      </c>
      <c r="BE145" s="37" t="n">
        <v>4.59</v>
      </c>
      <c r="BF145" s="37" t="n">
        <v>3.87</v>
      </c>
      <c r="BG145" s="37" t="n">
        <v>3.01</v>
      </c>
      <c r="BH145" s="37" t="n">
        <v>5.31</v>
      </c>
      <c r="BI145" s="37" t="n">
        <v>4.02</v>
      </c>
      <c r="BJ145" s="37" t="n">
        <v>23.67</v>
      </c>
      <c r="BK145" s="37" t="n">
        <v>8.18</v>
      </c>
      <c r="BL145" s="37" t="n">
        <v>5.31</v>
      </c>
      <c r="BM145" s="37" t="n">
        <v>3.44</v>
      </c>
      <c r="BN145" s="37" t="n">
        <v>2.73</v>
      </c>
      <c r="BO145" s="37" t="n">
        <v>6.02</v>
      </c>
      <c r="BP145" s="37" t="n">
        <v>8.75</v>
      </c>
      <c r="BQ145" s="37" t="n">
        <v>6.74</v>
      </c>
      <c r="BR145" s="37" t="n">
        <v>3.87</v>
      </c>
      <c r="BS145" s="37" t="n">
        <v>3.87</v>
      </c>
      <c r="BT145" s="37" t="n">
        <v>3.16</v>
      </c>
      <c r="BU145" s="37" t="n">
        <v>4.88</v>
      </c>
      <c r="BV145" s="37" t="n">
        <v>5.59</v>
      </c>
      <c r="BW145" s="37" t="n">
        <v>4.02</v>
      </c>
      <c r="BX145" s="37" t="n">
        <v>4.02</v>
      </c>
      <c r="BY145" s="37" t="n">
        <v>3.87</v>
      </c>
      <c r="BZ145" s="37" t="n">
        <v>6.74</v>
      </c>
      <c r="CA145" s="37" t="n">
        <v>4.3</v>
      </c>
      <c r="CB145" s="37" t="n">
        <v>2.73</v>
      </c>
      <c r="CC145" s="37" t="n">
        <v>350.15</v>
      </c>
    </row>
    <row r="146" ht="15.75" customHeight="1" s="57">
      <c r="A146" s="7" t="inlineStr">
        <is>
          <t>NTB</t>
        </is>
      </c>
      <c r="B146" s="7" t="inlineStr">
        <is>
          <t>Khánh Hòa</t>
        </is>
      </c>
      <c r="C146" s="7" t="n">
        <v>20495000</v>
      </c>
      <c r="D146" s="7" t="inlineStr">
        <is>
          <t>(KHO) Nha Trang</t>
        </is>
      </c>
      <c r="E146" s="7" t="inlineStr">
        <is>
          <t>TTS</t>
        </is>
      </c>
      <c r="F146" s="36" t="n">
        <v>13</v>
      </c>
      <c r="G146" s="36" t="n">
        <v>10</v>
      </c>
      <c r="H146" s="36" t="n">
        <v>9</v>
      </c>
      <c r="I146" s="36" t="n">
        <v>9</v>
      </c>
      <c r="J146" s="36" t="n">
        <v>5</v>
      </c>
      <c r="K146" s="28" t="n">
        <v>3</v>
      </c>
      <c r="L146" s="36" t="n">
        <v>8</v>
      </c>
      <c r="M146" s="36" t="n">
        <v>6</v>
      </c>
      <c r="N146" s="36" t="n">
        <v>8</v>
      </c>
      <c r="O146" s="36" t="n">
        <v>8</v>
      </c>
      <c r="P146" s="36" t="n">
        <v>4</v>
      </c>
      <c r="Q146" s="36" t="n">
        <v>1</v>
      </c>
      <c r="R146" s="28" t="n">
        <v>4</v>
      </c>
      <c r="S146" s="36" t="n">
        <v>6</v>
      </c>
      <c r="T146" s="36" t="n">
        <v>8</v>
      </c>
      <c r="U146" s="36" t="n">
        <v>5.45</v>
      </c>
      <c r="V146" s="36" t="n">
        <v>5.33</v>
      </c>
      <c r="W146" s="36" t="n">
        <v>5.21</v>
      </c>
      <c r="X146" s="36" t="n">
        <v>4.2</v>
      </c>
      <c r="Y146" s="28" t="n">
        <v>6.899999999999999</v>
      </c>
      <c r="Z146" s="36" t="n">
        <v>5.2</v>
      </c>
      <c r="AA146" s="36" t="n">
        <v>5.85</v>
      </c>
      <c r="AB146" s="36" t="n">
        <v>6.42</v>
      </c>
      <c r="AC146" s="36" t="n">
        <v>6.78</v>
      </c>
      <c r="AD146" s="36" t="n">
        <v>6.48</v>
      </c>
      <c r="AE146" s="36" t="n">
        <v>4.87</v>
      </c>
      <c r="AF146" s="28" t="n">
        <v>7.09</v>
      </c>
      <c r="AG146" s="36" t="n">
        <v>5.31</v>
      </c>
      <c r="AH146" s="37" t="n">
        <v>5.26</v>
      </c>
      <c r="AI146" s="37" t="n">
        <v>6.08</v>
      </c>
      <c r="AJ146" s="37" t="n">
        <v>6.48</v>
      </c>
      <c r="AK146" s="37" t="n">
        <v>6.41</v>
      </c>
      <c r="AL146" s="37" t="n">
        <v>4.57</v>
      </c>
      <c r="AM146" s="37" t="n">
        <v>6.97</v>
      </c>
      <c r="AN146" s="37" t="n">
        <v>5.34</v>
      </c>
      <c r="AO146" s="37" t="n">
        <v>5.34</v>
      </c>
      <c r="AP146" s="37" t="n">
        <v>5.18</v>
      </c>
      <c r="AQ146" s="37" t="n">
        <v>5.23</v>
      </c>
      <c r="AR146" s="37" t="n">
        <v>5.15</v>
      </c>
      <c r="AS146" s="37" t="n">
        <v>4.21</v>
      </c>
      <c r="AT146" s="37" t="n">
        <v>7.47</v>
      </c>
      <c r="AU146" s="37" t="n">
        <v>6.08</v>
      </c>
      <c r="AV146" s="37" t="n">
        <v>5.4</v>
      </c>
      <c r="AW146" s="37" t="n">
        <v>5.14</v>
      </c>
      <c r="AX146" s="37" t="n">
        <v>5.05</v>
      </c>
      <c r="AY146" s="37" t="n">
        <v>5.07</v>
      </c>
      <c r="AZ146" s="37" t="n">
        <v>4.21</v>
      </c>
      <c r="BA146" s="37" t="n">
        <v>6.81</v>
      </c>
      <c r="BB146" s="37" t="n">
        <v>5.64</v>
      </c>
      <c r="BC146" s="37" t="n">
        <v>2.97</v>
      </c>
      <c r="BD146" s="37" t="n">
        <v>4.13</v>
      </c>
      <c r="BE146" s="37" t="n">
        <v>10.29</v>
      </c>
      <c r="BF146" s="37" t="n">
        <v>10.02</v>
      </c>
      <c r="BG146" s="37" t="n">
        <v>4.57</v>
      </c>
      <c r="BH146" s="37" t="n">
        <v>7.47</v>
      </c>
      <c r="BI146" s="37" t="n">
        <v>5.64</v>
      </c>
      <c r="BJ146" s="37" t="n">
        <v>4.97</v>
      </c>
      <c r="BK146" s="37" t="n">
        <v>5.74</v>
      </c>
      <c r="BL146" s="37" t="n">
        <v>5.74</v>
      </c>
      <c r="BM146" s="37" t="n">
        <v>5.57</v>
      </c>
      <c r="BN146" s="37" t="n">
        <v>4.57</v>
      </c>
      <c r="BO146" s="37" t="n">
        <v>7.47</v>
      </c>
      <c r="BP146" s="37" t="n">
        <v>5.64</v>
      </c>
      <c r="BQ146" s="37" t="n">
        <v>5.58</v>
      </c>
      <c r="BR146" s="37" t="n">
        <v>5.74</v>
      </c>
      <c r="BS146" s="37" t="n">
        <v>5.74</v>
      </c>
      <c r="BT146" s="37" t="n">
        <v>5.57</v>
      </c>
      <c r="BU146" s="37" t="n">
        <v>4.57</v>
      </c>
      <c r="BV146" s="37" t="n">
        <v>7.47</v>
      </c>
      <c r="BW146" s="37" t="n">
        <v>5.64</v>
      </c>
      <c r="BX146" s="37" t="n">
        <v>5.58</v>
      </c>
      <c r="BY146" s="37" t="n">
        <v>5.74</v>
      </c>
      <c r="BZ146" s="37" t="n">
        <v>5.74</v>
      </c>
      <c r="CA146" s="37" t="n">
        <v>5.57</v>
      </c>
      <c r="CB146" s="37" t="n">
        <v>4.57</v>
      </c>
      <c r="CC146" s="37" t="n">
        <v>446.48</v>
      </c>
    </row>
    <row r="147" ht="15.75" customHeight="1" s="57">
      <c r="A147" s="7" t="inlineStr">
        <is>
          <t>NTB</t>
        </is>
      </c>
      <c r="B147" s="7" t="inlineStr">
        <is>
          <t>Khánh Hòa</t>
        </is>
      </c>
      <c r="C147" s="7" t="n">
        <v>20495000</v>
      </c>
      <c r="D147" s="7" t="inlineStr">
        <is>
          <t>(KHO) Nha Trang</t>
        </is>
      </c>
      <c r="E147" s="7" t="inlineStr">
        <is>
          <t>TTS-Bulky</t>
        </is>
      </c>
      <c r="F147" s="36" t="n">
        <v>0</v>
      </c>
      <c r="G147" s="36" t="n">
        <v>1</v>
      </c>
      <c r="H147" s="36" t="n">
        <v>1</v>
      </c>
      <c r="I147" s="36" t="n">
        <v>3</v>
      </c>
      <c r="J147" s="36" t="n">
        <v>0</v>
      </c>
      <c r="K147" s="28" t="n">
        <v>0</v>
      </c>
      <c r="L147" s="36" t="n">
        <v>0</v>
      </c>
      <c r="M147" s="36" t="n">
        <v>0</v>
      </c>
      <c r="N147" s="36" t="n">
        <v>0</v>
      </c>
      <c r="O147" s="36" t="n">
        <v>0</v>
      </c>
      <c r="P147" s="36" t="n">
        <v>0</v>
      </c>
      <c r="Q147" s="36" t="n">
        <v>0</v>
      </c>
      <c r="R147" s="28" t="n">
        <v>0</v>
      </c>
      <c r="S147" s="36" t="n">
        <v>0</v>
      </c>
      <c r="T147" s="36" t="n">
        <v>0</v>
      </c>
      <c r="U147" s="36" t="n">
        <v>11.17</v>
      </c>
      <c r="V147" s="36" t="n">
        <v>11.97</v>
      </c>
      <c r="W147" s="36" t="n">
        <v>5.58</v>
      </c>
      <c r="X147" s="36" t="n">
        <v>3.19</v>
      </c>
      <c r="Y147" s="28" t="n">
        <v>5.58</v>
      </c>
      <c r="Z147" s="36" t="n">
        <v>4.79</v>
      </c>
      <c r="AA147" s="36" t="n">
        <v>5.58</v>
      </c>
      <c r="AB147" s="36" t="n">
        <v>5.58</v>
      </c>
      <c r="AC147" s="36" t="n">
        <v>7.18</v>
      </c>
      <c r="AD147" s="36" t="n">
        <v>3.19</v>
      </c>
      <c r="AE147" s="36" t="n">
        <v>3.19</v>
      </c>
      <c r="AF147" s="28" t="n">
        <v>5.58</v>
      </c>
      <c r="AG147" s="36" t="n">
        <v>5.58</v>
      </c>
      <c r="AH147" s="37" t="n">
        <v>5.58</v>
      </c>
      <c r="AI147" s="37" t="n">
        <v>5.58</v>
      </c>
      <c r="AJ147" s="37" t="n">
        <v>5.58</v>
      </c>
      <c r="AK147" s="37" t="n">
        <v>5.58</v>
      </c>
      <c r="AL147" s="37" t="n">
        <v>3.19</v>
      </c>
      <c r="AM147" s="37" t="n">
        <v>5.58</v>
      </c>
      <c r="AN147" s="37" t="n">
        <v>5.58</v>
      </c>
      <c r="AO147" s="37" t="n">
        <v>5.58</v>
      </c>
      <c r="AP147" s="37" t="n">
        <v>5.58</v>
      </c>
      <c r="AQ147" s="37" t="n">
        <v>5.58</v>
      </c>
      <c r="AR147" s="37" t="n">
        <v>5.58</v>
      </c>
      <c r="AS147" s="37" t="n">
        <v>3.19</v>
      </c>
      <c r="AT147" s="37" t="n">
        <v>6.38</v>
      </c>
      <c r="AU147" s="37" t="n">
        <v>6.38</v>
      </c>
      <c r="AV147" s="37" t="n">
        <v>5.58</v>
      </c>
      <c r="AW147" s="37" t="n">
        <v>5.58</v>
      </c>
      <c r="AX147" s="37" t="n">
        <v>5.58</v>
      </c>
      <c r="AY147" s="37" t="n">
        <v>5.58</v>
      </c>
      <c r="AZ147" s="37" t="n">
        <v>3.19</v>
      </c>
      <c r="BA147" s="37" t="n">
        <v>5.58</v>
      </c>
      <c r="BB147" s="37" t="n">
        <v>1.6</v>
      </c>
      <c r="BC147" s="37" t="n">
        <v>0.8</v>
      </c>
      <c r="BD147" s="37" t="n">
        <v>0.8</v>
      </c>
      <c r="BE147" s="37" t="n">
        <v>1.6</v>
      </c>
      <c r="BF147" s="37" t="n">
        <v>1.6</v>
      </c>
      <c r="BG147" s="37" t="n">
        <v>0.8</v>
      </c>
      <c r="BH147" s="37" t="n">
        <v>1.6</v>
      </c>
      <c r="BI147" s="37" t="n">
        <v>1.6</v>
      </c>
      <c r="BJ147" s="37" t="n">
        <v>0.8</v>
      </c>
      <c r="BK147" s="37" t="n">
        <v>1.6</v>
      </c>
      <c r="BL147" s="37" t="n">
        <v>1.6</v>
      </c>
      <c r="BM147" s="37" t="n">
        <v>1.6</v>
      </c>
      <c r="BN147" s="37" t="n">
        <v>0.8</v>
      </c>
      <c r="BO147" s="37" t="n">
        <v>2.39</v>
      </c>
      <c r="BP147" s="37" t="n">
        <v>1.6</v>
      </c>
      <c r="BQ147" s="37" t="n">
        <v>1.6</v>
      </c>
      <c r="BR147" s="37" t="n">
        <v>1.6</v>
      </c>
      <c r="BS147" s="37" t="n">
        <v>1.6</v>
      </c>
      <c r="BT147" s="37" t="n">
        <v>1.6</v>
      </c>
      <c r="BU147" s="37" t="n">
        <v>0.8</v>
      </c>
      <c r="BV147" s="37" t="n">
        <v>1.6</v>
      </c>
      <c r="BW147" s="37" t="n">
        <v>1.6</v>
      </c>
      <c r="BX147" s="37" t="n">
        <v>1.6</v>
      </c>
      <c r="BY147" s="37" t="n">
        <v>1.6</v>
      </c>
      <c r="BZ147" s="37" t="n">
        <v>1.6</v>
      </c>
      <c r="CA147" s="37" t="n">
        <v>1.6</v>
      </c>
      <c r="CB147" s="37" t="n">
        <v>0.8</v>
      </c>
      <c r="CC147" s="37" t="n">
        <v>227.58</v>
      </c>
    </row>
    <row r="148" ht="15.75" customHeight="1" s="57">
      <c r="A148" s="7" t="inlineStr">
        <is>
          <t>NTB</t>
        </is>
      </c>
      <c r="B148" s="7" t="inlineStr">
        <is>
          <t>Khánh Hòa</t>
        </is>
      </c>
      <c r="C148" s="7" t="n">
        <v>20543000</v>
      </c>
      <c r="D148" s="7" t="inlineStr">
        <is>
          <t>(KHO) Ninh Hòa 2</t>
        </is>
      </c>
      <c r="E148" s="7" t="inlineStr">
        <is>
          <t>SME</t>
        </is>
      </c>
      <c r="F148" s="36" t="n">
        <v>33</v>
      </c>
      <c r="G148" s="36" t="n">
        <v>61</v>
      </c>
      <c r="H148" s="36" t="n">
        <v>50</v>
      </c>
      <c r="I148" s="36" t="n">
        <v>45</v>
      </c>
      <c r="J148" s="36" t="n">
        <v>52</v>
      </c>
      <c r="K148" s="28" t="n">
        <v>52</v>
      </c>
      <c r="L148" s="36" t="n">
        <v>53</v>
      </c>
      <c r="M148" s="36" t="n">
        <v>65</v>
      </c>
      <c r="N148" s="36" t="n">
        <v>46</v>
      </c>
      <c r="O148" s="36" t="n">
        <v>64</v>
      </c>
      <c r="P148" s="36" t="n">
        <v>66</v>
      </c>
      <c r="Q148" s="36" t="n">
        <v>33</v>
      </c>
      <c r="R148" s="28" t="n">
        <v>45</v>
      </c>
      <c r="S148" s="36" t="n">
        <v>67</v>
      </c>
      <c r="T148" s="36" t="n">
        <v>75</v>
      </c>
      <c r="U148" s="36" t="n">
        <v>85.48</v>
      </c>
      <c r="V148" s="36" t="n">
        <v>88.52</v>
      </c>
      <c r="W148" s="36" t="n">
        <v>86.18000000000001</v>
      </c>
      <c r="X148" s="36" t="n">
        <v>70.05</v>
      </c>
      <c r="Y148" s="28" t="n">
        <v>95.46000000000001</v>
      </c>
      <c r="Z148" s="36" t="n">
        <v>87.79000000000001</v>
      </c>
      <c r="AA148" s="36" t="n">
        <v>85.89</v>
      </c>
      <c r="AB148" s="36" t="n">
        <v>85.48</v>
      </c>
      <c r="AC148" s="36" t="n">
        <v>88.52</v>
      </c>
      <c r="AD148" s="36" t="n">
        <v>100.06</v>
      </c>
      <c r="AE148" s="36" t="n">
        <v>70.05</v>
      </c>
      <c r="AF148" s="28" t="n">
        <v>95.46000000000001</v>
      </c>
      <c r="AG148" s="36" t="n">
        <v>87.79000000000001</v>
      </c>
      <c r="AH148" s="37" t="n">
        <v>85.89</v>
      </c>
      <c r="AI148" s="37" t="n">
        <v>85.48</v>
      </c>
      <c r="AJ148" s="37" t="n">
        <v>88.52</v>
      </c>
      <c r="AK148" s="37" t="n">
        <v>86.18000000000001</v>
      </c>
      <c r="AL148" s="37" t="n">
        <v>70.05</v>
      </c>
      <c r="AM148" s="37" t="n">
        <v>95.46000000000001</v>
      </c>
      <c r="AN148" s="37" t="n">
        <v>87.79000000000001</v>
      </c>
      <c r="AO148" s="37" t="n">
        <v>85.89</v>
      </c>
      <c r="AP148" s="37" t="n">
        <v>85.48</v>
      </c>
      <c r="AQ148" s="37" t="n">
        <v>88.52</v>
      </c>
      <c r="AR148" s="37" t="n">
        <v>86.18000000000001</v>
      </c>
      <c r="AS148" s="37" t="n">
        <v>70.05</v>
      </c>
      <c r="AT148" s="37" t="n">
        <v>95.46000000000001</v>
      </c>
      <c r="AU148" s="37" t="n">
        <v>87.79000000000001</v>
      </c>
      <c r="AV148" s="37" t="n">
        <v>85.89</v>
      </c>
      <c r="AW148" s="37" t="n">
        <v>85.48</v>
      </c>
      <c r="AX148" s="37" t="n">
        <v>88.52</v>
      </c>
      <c r="AY148" s="37" t="n">
        <v>86.18000000000001</v>
      </c>
      <c r="AZ148" s="37" t="n">
        <v>70.05</v>
      </c>
      <c r="BA148" s="37" t="n">
        <v>90.67</v>
      </c>
      <c r="BB148" s="37" t="n">
        <v>80.69999999999999</v>
      </c>
      <c r="BC148" s="37" t="n">
        <v>49.14</v>
      </c>
      <c r="BD148" s="37" t="n">
        <v>38.31</v>
      </c>
      <c r="BE148" s="37" t="n">
        <v>82.91</v>
      </c>
      <c r="BF148" s="37" t="n">
        <v>80.7</v>
      </c>
      <c r="BG148" s="37" t="n">
        <v>72.2</v>
      </c>
      <c r="BH148" s="37" t="n">
        <v>98.34</v>
      </c>
      <c r="BI148" s="37" t="n">
        <v>90.42</v>
      </c>
      <c r="BJ148" s="37" t="n">
        <v>102.65</v>
      </c>
      <c r="BK148" s="37" t="n">
        <v>88.11</v>
      </c>
      <c r="BL148" s="37" t="n">
        <v>91.17999999999999</v>
      </c>
      <c r="BM148" s="37" t="n">
        <v>88.8</v>
      </c>
      <c r="BN148" s="37" t="n">
        <v>72.2</v>
      </c>
      <c r="BO148" s="37" t="n">
        <v>98.34</v>
      </c>
      <c r="BP148" s="37" t="n">
        <v>90.42</v>
      </c>
      <c r="BQ148" s="37" t="n">
        <v>88.52000000000001</v>
      </c>
      <c r="BR148" s="37" t="n">
        <v>88.11</v>
      </c>
      <c r="BS148" s="37" t="n">
        <v>91.17999999999999</v>
      </c>
      <c r="BT148" s="37" t="n">
        <v>88.8</v>
      </c>
      <c r="BU148" s="37" t="n">
        <v>72.2</v>
      </c>
      <c r="BV148" s="37" t="n">
        <v>98.34</v>
      </c>
      <c r="BW148" s="37" t="n">
        <v>90.42</v>
      </c>
      <c r="BX148" s="37" t="n">
        <v>88.52000000000001</v>
      </c>
      <c r="BY148" s="37" t="n">
        <v>88.11</v>
      </c>
      <c r="BZ148" s="37" t="n">
        <v>91.17999999999999</v>
      </c>
      <c r="CA148" s="37" t="n">
        <v>88.8</v>
      </c>
      <c r="CB148" s="37" t="n">
        <v>72.2</v>
      </c>
      <c r="CC148" s="37" t="n">
        <v>5910.059999999999</v>
      </c>
    </row>
    <row r="149" ht="15.75" customHeight="1" s="57">
      <c r="A149" s="7" t="inlineStr">
        <is>
          <t>NTB</t>
        </is>
      </c>
      <c r="B149" s="7" t="inlineStr">
        <is>
          <t>Khánh Hòa</t>
        </is>
      </c>
      <c r="C149" s="7" t="n">
        <v>20543000</v>
      </c>
      <c r="D149" s="7" t="inlineStr">
        <is>
          <t>(KHO) Ninh Hòa 2</t>
        </is>
      </c>
      <c r="E149" s="7" t="inlineStr">
        <is>
          <t>SME-Bulky</t>
        </is>
      </c>
      <c r="F149" s="36" t="n">
        <v>3</v>
      </c>
      <c r="G149" s="36" t="n">
        <v>21</v>
      </c>
      <c r="H149" s="36" t="n">
        <v>7</v>
      </c>
      <c r="I149" s="36" t="n">
        <v>1</v>
      </c>
      <c r="J149" s="36" t="n">
        <v>22</v>
      </c>
      <c r="K149" s="28" t="n">
        <v>4</v>
      </c>
      <c r="L149" s="36" t="n">
        <v>4</v>
      </c>
      <c r="M149" s="36" t="n">
        <v>11</v>
      </c>
      <c r="N149" s="36" t="n">
        <v>12</v>
      </c>
      <c r="O149" s="36" t="n">
        <v>8</v>
      </c>
      <c r="P149" s="36" t="n">
        <v>7</v>
      </c>
      <c r="Q149" s="36" t="n">
        <v>4</v>
      </c>
      <c r="R149" s="28" t="n">
        <v>11</v>
      </c>
      <c r="S149" s="36" t="n">
        <v>10</v>
      </c>
      <c r="T149" s="36" t="n">
        <v>15</v>
      </c>
      <c r="U149" s="36" t="n">
        <v>8.93</v>
      </c>
      <c r="V149" s="36" t="n">
        <v>9.18</v>
      </c>
      <c r="W149" s="36" t="n">
        <v>8.68</v>
      </c>
      <c r="X149" s="36" t="n">
        <v>5.95</v>
      </c>
      <c r="Y149" s="28" t="n">
        <v>9.82</v>
      </c>
      <c r="Z149" s="36" t="n">
        <v>9.369999999999999</v>
      </c>
      <c r="AA149" s="36" t="n">
        <v>9.31</v>
      </c>
      <c r="AB149" s="36" t="n">
        <v>8.93</v>
      </c>
      <c r="AC149" s="36" t="n">
        <v>9.18</v>
      </c>
      <c r="AD149" s="36" t="n">
        <v>5.95</v>
      </c>
      <c r="AE149" s="36" t="n">
        <v>5.95</v>
      </c>
      <c r="AF149" s="28" t="n">
        <v>9.82</v>
      </c>
      <c r="AG149" s="36" t="n">
        <v>9.369999999999999</v>
      </c>
      <c r="AH149" s="37" t="n">
        <v>9.31</v>
      </c>
      <c r="AI149" s="37" t="n">
        <v>8.93</v>
      </c>
      <c r="AJ149" s="37" t="n">
        <v>9.18</v>
      </c>
      <c r="AK149" s="37" t="n">
        <v>8.68</v>
      </c>
      <c r="AL149" s="37" t="n">
        <v>5.95</v>
      </c>
      <c r="AM149" s="37" t="n">
        <v>9.82</v>
      </c>
      <c r="AN149" s="37" t="n">
        <v>9.369999999999999</v>
      </c>
      <c r="AO149" s="37" t="n">
        <v>9.31</v>
      </c>
      <c r="AP149" s="37" t="n">
        <v>8.93</v>
      </c>
      <c r="AQ149" s="37" t="n">
        <v>9.18</v>
      </c>
      <c r="AR149" s="37" t="n">
        <v>8.68</v>
      </c>
      <c r="AS149" s="37" t="n">
        <v>5.95</v>
      </c>
      <c r="AT149" s="37" t="n">
        <v>9.82</v>
      </c>
      <c r="AU149" s="37" t="n">
        <v>9.369999999999999</v>
      </c>
      <c r="AV149" s="37" t="n">
        <v>9.31</v>
      </c>
      <c r="AW149" s="37" t="n">
        <v>8.93</v>
      </c>
      <c r="AX149" s="37" t="n">
        <v>9.18</v>
      </c>
      <c r="AY149" s="37" t="n">
        <v>8.68</v>
      </c>
      <c r="AZ149" s="37" t="n">
        <v>5.95</v>
      </c>
      <c r="BA149" s="37" t="n">
        <v>10.64</v>
      </c>
      <c r="BB149" s="37" t="n">
        <v>5.45</v>
      </c>
      <c r="BC149" s="37" t="n">
        <v>2.79</v>
      </c>
      <c r="BD149" s="37" t="n">
        <v>2.09</v>
      </c>
      <c r="BE149" s="37" t="n">
        <v>5.07</v>
      </c>
      <c r="BF149" s="37" t="n">
        <v>5</v>
      </c>
      <c r="BG149" s="37" t="n">
        <v>3.29</v>
      </c>
      <c r="BH149" s="37" t="n">
        <v>5.64</v>
      </c>
      <c r="BI149" s="37" t="n">
        <v>5.45</v>
      </c>
      <c r="BJ149" s="37" t="n">
        <v>4.12</v>
      </c>
      <c r="BK149" s="37" t="n">
        <v>5.13</v>
      </c>
      <c r="BL149" s="37" t="n">
        <v>5.26</v>
      </c>
      <c r="BM149" s="37" t="n">
        <v>5</v>
      </c>
      <c r="BN149" s="37" t="n">
        <v>3.29</v>
      </c>
      <c r="BO149" s="37" t="n">
        <v>5.64</v>
      </c>
      <c r="BP149" s="37" t="n">
        <v>5.45</v>
      </c>
      <c r="BQ149" s="37" t="n">
        <v>5.32</v>
      </c>
      <c r="BR149" s="37" t="n">
        <v>5.13</v>
      </c>
      <c r="BS149" s="37" t="n">
        <v>5.26</v>
      </c>
      <c r="BT149" s="37" t="n">
        <v>5</v>
      </c>
      <c r="BU149" s="37" t="n">
        <v>3.29</v>
      </c>
      <c r="BV149" s="37" t="n">
        <v>5.64</v>
      </c>
      <c r="BW149" s="37" t="n">
        <v>5.45</v>
      </c>
      <c r="BX149" s="37" t="n">
        <v>5.32</v>
      </c>
      <c r="BY149" s="37" t="n">
        <v>5.13</v>
      </c>
      <c r="BZ149" s="37" t="n">
        <v>5.26</v>
      </c>
      <c r="CA149" s="37" t="n">
        <v>5</v>
      </c>
      <c r="CB149" s="37" t="n">
        <v>3.29</v>
      </c>
      <c r="CC149" s="37" t="n">
        <v>553.37</v>
      </c>
    </row>
    <row r="150" ht="15.75" customHeight="1" s="57">
      <c r="A150" s="7" t="inlineStr">
        <is>
          <t>NTB</t>
        </is>
      </c>
      <c r="B150" s="7" t="inlineStr">
        <is>
          <t>Khánh Hòa</t>
        </is>
      </c>
      <c r="C150" s="7" t="n">
        <v>20543000</v>
      </c>
      <c r="D150" s="7" t="inlineStr">
        <is>
          <t>(KHO) Ninh Hòa 2</t>
        </is>
      </c>
      <c r="E150" s="7" t="inlineStr">
        <is>
          <t>Shopee</t>
        </is>
      </c>
      <c r="F150" s="36" t="n">
        <v>24</v>
      </c>
      <c r="G150" s="36" t="n">
        <v>20</v>
      </c>
      <c r="H150" s="36" t="n">
        <v>11</v>
      </c>
      <c r="I150" s="36" t="n">
        <v>21</v>
      </c>
      <c r="J150" s="36" t="n">
        <v>19</v>
      </c>
      <c r="K150" s="28" t="n">
        <v>30</v>
      </c>
      <c r="L150" s="36" t="n">
        <v>19</v>
      </c>
      <c r="M150" s="36" t="n">
        <v>19</v>
      </c>
      <c r="N150" s="36" t="n">
        <v>12</v>
      </c>
      <c r="O150" s="36" t="n">
        <v>11</v>
      </c>
      <c r="P150" s="36" t="n">
        <v>9</v>
      </c>
      <c r="Q150" s="36" t="n">
        <v>12</v>
      </c>
      <c r="R150" s="28" t="n">
        <v>19</v>
      </c>
      <c r="S150" s="36" t="n">
        <v>18</v>
      </c>
      <c r="T150" s="36" t="n">
        <v>18</v>
      </c>
      <c r="U150" s="36" t="n">
        <v>19.32</v>
      </c>
      <c r="V150" s="36" t="n">
        <v>19.41</v>
      </c>
      <c r="W150" s="36" t="n">
        <v>18.73</v>
      </c>
      <c r="X150" s="36" t="n">
        <v>16.13</v>
      </c>
      <c r="Y150" s="28" t="n">
        <v>26.06</v>
      </c>
      <c r="Z150" s="36" t="n">
        <v>20.59</v>
      </c>
      <c r="AA150" s="36" t="n">
        <v>25.14</v>
      </c>
      <c r="AB150" s="36" t="n">
        <v>19.77</v>
      </c>
      <c r="AC150" s="36" t="n">
        <v>15.98</v>
      </c>
      <c r="AD150" s="36" t="n">
        <v>36.79</v>
      </c>
      <c r="AE150" s="36" t="n">
        <v>17.11</v>
      </c>
      <c r="AF150" s="28" t="n">
        <v>28.81</v>
      </c>
      <c r="AG150" s="36" t="n">
        <v>21.63</v>
      </c>
      <c r="AH150" s="37" t="n">
        <v>22.96</v>
      </c>
      <c r="AI150" s="37" t="n">
        <v>19.32</v>
      </c>
      <c r="AJ150" s="37" t="n">
        <v>19.41</v>
      </c>
      <c r="AK150" s="37" t="n">
        <v>20.53</v>
      </c>
      <c r="AL150" s="37" t="n">
        <v>28.9</v>
      </c>
      <c r="AM150" s="37" t="n">
        <v>26.06</v>
      </c>
      <c r="AN150" s="37" t="n">
        <v>20.59</v>
      </c>
      <c r="AO150" s="37" t="n">
        <v>22.96</v>
      </c>
      <c r="AP150" s="37" t="n">
        <v>21.24</v>
      </c>
      <c r="AQ150" s="37" t="n">
        <v>15.6</v>
      </c>
      <c r="AR150" s="37" t="n">
        <v>18.73</v>
      </c>
      <c r="AS150" s="37" t="n">
        <v>16.13</v>
      </c>
      <c r="AT150" s="37" t="n">
        <v>26.06</v>
      </c>
      <c r="AU150" s="37" t="n">
        <v>22.69</v>
      </c>
      <c r="AV150" s="37" t="n">
        <v>23.43</v>
      </c>
      <c r="AW150" s="37" t="n">
        <v>19.32</v>
      </c>
      <c r="AX150" s="37" t="n">
        <v>19.41</v>
      </c>
      <c r="AY150" s="37" t="n">
        <v>18.73</v>
      </c>
      <c r="AZ150" s="37" t="n">
        <v>16.13</v>
      </c>
      <c r="BA150" s="37" t="n">
        <v>22.31</v>
      </c>
      <c r="BB150" s="37" t="n">
        <v>15.48</v>
      </c>
      <c r="BC150" s="37" t="n">
        <v>6.91</v>
      </c>
      <c r="BD150" s="37" t="n">
        <v>11.61</v>
      </c>
      <c r="BE150" s="37" t="n">
        <v>23.25</v>
      </c>
      <c r="BF150" s="37" t="n">
        <v>22.37</v>
      </c>
      <c r="BG150" s="37" t="n">
        <v>15.81</v>
      </c>
      <c r="BH150" s="37" t="n">
        <v>24.82</v>
      </c>
      <c r="BI150" s="37" t="n">
        <v>16.22</v>
      </c>
      <c r="BJ150" s="37" t="n">
        <v>51.91</v>
      </c>
      <c r="BK150" s="37" t="n">
        <v>19.8</v>
      </c>
      <c r="BL150" s="37" t="n">
        <v>19.5</v>
      </c>
      <c r="BM150" s="37" t="n">
        <v>17.93</v>
      </c>
      <c r="BN150" s="37" t="n">
        <v>15.51</v>
      </c>
      <c r="BO150" s="37" t="n">
        <v>24.82</v>
      </c>
      <c r="BP150" s="37" t="n">
        <v>21.69</v>
      </c>
      <c r="BQ150" s="37" t="n">
        <v>33.33</v>
      </c>
      <c r="BR150" s="37" t="n">
        <v>18.5</v>
      </c>
      <c r="BS150" s="37" t="n">
        <v>18.58</v>
      </c>
      <c r="BT150" s="37" t="n">
        <v>17.93</v>
      </c>
      <c r="BU150" s="37" t="n">
        <v>16.96</v>
      </c>
      <c r="BV150" s="37" t="n">
        <v>20.03</v>
      </c>
      <c r="BW150" s="37" t="n">
        <v>19.68</v>
      </c>
      <c r="BX150" s="37" t="n">
        <v>21.89</v>
      </c>
      <c r="BY150" s="37" t="n">
        <v>18.5</v>
      </c>
      <c r="BZ150" s="37" t="n">
        <v>20.39</v>
      </c>
      <c r="CA150" s="37" t="n">
        <v>18.2</v>
      </c>
      <c r="CB150" s="37" t="n">
        <v>15.51</v>
      </c>
      <c r="CC150" s="37" t="n">
        <v>1515.11</v>
      </c>
    </row>
    <row r="151" ht="15.75" customHeight="1" s="57">
      <c r="A151" s="7" t="inlineStr">
        <is>
          <t>NTB</t>
        </is>
      </c>
      <c r="B151" s="7" t="inlineStr">
        <is>
          <t>Khánh Hòa</t>
        </is>
      </c>
      <c r="C151" s="7" t="n">
        <v>20543000</v>
      </c>
      <c r="D151" s="7" t="inlineStr">
        <is>
          <t>(KHO) Ninh Hòa 2</t>
        </is>
      </c>
      <c r="E151" s="7" t="inlineStr">
        <is>
          <t>Shopee-Bulky</t>
        </is>
      </c>
      <c r="F151" s="36" t="n">
        <v>1.14</v>
      </c>
      <c r="G151" s="36" t="n">
        <v>0.57</v>
      </c>
      <c r="H151" s="36" t="n">
        <v>0.57</v>
      </c>
      <c r="I151" s="36" t="n">
        <v>0.57</v>
      </c>
      <c r="J151" s="36" t="n">
        <v>0</v>
      </c>
      <c r="K151" s="28" t="n">
        <v>0</v>
      </c>
      <c r="L151" s="36" t="n">
        <v>0</v>
      </c>
      <c r="M151" s="36" t="n">
        <v>0.57</v>
      </c>
      <c r="N151" s="36" t="n">
        <v>0</v>
      </c>
      <c r="O151" s="36" t="n">
        <v>1.14</v>
      </c>
      <c r="P151" s="36" t="n">
        <v>1.14</v>
      </c>
      <c r="Q151" s="36" t="n">
        <v>0.57</v>
      </c>
      <c r="R151" s="28" t="n">
        <v>0</v>
      </c>
      <c r="S151" s="36" t="n">
        <v>0</v>
      </c>
      <c r="T151" s="36" t="n">
        <v>1.71</v>
      </c>
      <c r="U151" s="36" t="n">
        <v>0.64</v>
      </c>
      <c r="V151" s="36" t="n">
        <v>0.6</v>
      </c>
      <c r="W151" s="36" t="n">
        <v>0.72</v>
      </c>
      <c r="X151" s="36" t="n">
        <v>0.38</v>
      </c>
      <c r="Y151" s="28" t="n">
        <v>0.96</v>
      </c>
      <c r="Z151" s="36" t="n">
        <v>0.74</v>
      </c>
      <c r="AA151" s="36" t="n">
        <v>1.08</v>
      </c>
      <c r="AB151" s="36" t="n">
        <v>0.74</v>
      </c>
      <c r="AC151" s="36" t="n">
        <v>0.78</v>
      </c>
      <c r="AD151" s="36" t="n">
        <v>2.89</v>
      </c>
      <c r="AE151" s="36" t="n">
        <v>1.95</v>
      </c>
      <c r="AF151" s="28" t="n">
        <v>2.27</v>
      </c>
      <c r="AG151" s="36" t="n">
        <v>1.02</v>
      </c>
      <c r="AH151" s="37" t="n">
        <v>0.74</v>
      </c>
      <c r="AI151" s="37" t="n">
        <v>0.72</v>
      </c>
      <c r="AJ151" s="37" t="n">
        <v>0.66</v>
      </c>
      <c r="AK151" s="37" t="n">
        <v>1.43</v>
      </c>
      <c r="AL151" s="37" t="n">
        <v>0.82</v>
      </c>
      <c r="AM151" s="37" t="n">
        <v>1.22</v>
      </c>
      <c r="AN151" s="37" t="n">
        <v>0.74</v>
      </c>
      <c r="AO151" s="37" t="n">
        <v>0.7</v>
      </c>
      <c r="AP151" s="37" t="n">
        <v>1.25</v>
      </c>
      <c r="AQ151" s="37" t="n">
        <v>0.9</v>
      </c>
      <c r="AR151" s="37" t="n">
        <v>0.62</v>
      </c>
      <c r="AS151" s="37" t="n">
        <v>0.32</v>
      </c>
      <c r="AT151" s="37" t="n">
        <v>0.9</v>
      </c>
      <c r="AU151" s="37" t="n">
        <v>1.51</v>
      </c>
      <c r="AV151" s="37" t="n">
        <v>1.51</v>
      </c>
      <c r="AW151" s="37" t="n">
        <v>0.7</v>
      </c>
      <c r="AX151" s="37" t="n">
        <v>0.66</v>
      </c>
      <c r="AY151" s="37" t="n">
        <v>0.6</v>
      </c>
      <c r="AZ151" s="37" t="n">
        <v>0.32</v>
      </c>
      <c r="BA151" s="37" t="n">
        <v>0.84</v>
      </c>
      <c r="BB151" s="37" t="n">
        <v>0.58</v>
      </c>
      <c r="BC151" s="37" t="n">
        <v>0.18</v>
      </c>
      <c r="BD151" s="37" t="n">
        <v>0.28</v>
      </c>
      <c r="BE151" s="37" t="n">
        <v>0.96</v>
      </c>
      <c r="BF151" s="37" t="n">
        <v>0.82</v>
      </c>
      <c r="BG151" s="37" t="n">
        <v>0.42</v>
      </c>
      <c r="BH151" s="37" t="n">
        <v>1.02</v>
      </c>
      <c r="BI151" s="37" t="n">
        <v>0.92</v>
      </c>
      <c r="BJ151" s="37" t="n">
        <v>5.82</v>
      </c>
      <c r="BK151" s="37" t="n">
        <v>1.95</v>
      </c>
      <c r="BL151" s="37" t="n">
        <v>1.02</v>
      </c>
      <c r="BM151" s="37" t="n">
        <v>0.7</v>
      </c>
      <c r="BN151" s="37" t="n">
        <v>0.42</v>
      </c>
      <c r="BO151" s="37" t="n">
        <v>1.22</v>
      </c>
      <c r="BP151" s="37" t="n">
        <v>1.83</v>
      </c>
      <c r="BQ151" s="37" t="n">
        <v>1.33</v>
      </c>
      <c r="BR151" s="37" t="n">
        <v>0.88</v>
      </c>
      <c r="BS151" s="37" t="n">
        <v>0.82</v>
      </c>
      <c r="BT151" s="37" t="n">
        <v>0.58</v>
      </c>
      <c r="BU151" s="37" t="n">
        <v>1.02</v>
      </c>
      <c r="BV151" s="37" t="n">
        <v>1.12</v>
      </c>
      <c r="BW151" s="37" t="n">
        <v>0.92</v>
      </c>
      <c r="BX151" s="37" t="n">
        <v>0.88</v>
      </c>
      <c r="BY151" s="37" t="n">
        <v>0.88</v>
      </c>
      <c r="BZ151" s="37" t="n">
        <v>1.24</v>
      </c>
      <c r="CA151" s="37" t="n">
        <v>0.82</v>
      </c>
      <c r="CB151" s="37" t="n">
        <v>0.42</v>
      </c>
      <c r="CC151" s="37" t="n">
        <v>68.95999999999998</v>
      </c>
    </row>
    <row r="152" ht="15.75" customHeight="1" s="57">
      <c r="A152" s="7" t="inlineStr">
        <is>
          <t>NTB</t>
        </is>
      </c>
      <c r="B152" s="7" t="inlineStr">
        <is>
          <t>Khánh Hòa</t>
        </is>
      </c>
      <c r="C152" s="7" t="n">
        <v>20543000</v>
      </c>
      <c r="D152" s="7" t="inlineStr">
        <is>
          <t>(KHO) Ninh Hòa 2</t>
        </is>
      </c>
      <c r="E152" s="7" t="inlineStr">
        <is>
          <t>Shopee-Bulky (10-15kg)</t>
        </is>
      </c>
      <c r="F152" s="36" t="n">
        <v>0.86</v>
      </c>
      <c r="G152" s="36" t="n">
        <v>0.43</v>
      </c>
      <c r="H152" s="36" t="n">
        <v>0.43</v>
      </c>
      <c r="I152" s="36" t="n">
        <v>0.43</v>
      </c>
      <c r="J152" s="36" t="n">
        <v>0</v>
      </c>
      <c r="K152" s="28" t="n">
        <v>0</v>
      </c>
      <c r="L152" s="36" t="n">
        <v>0</v>
      </c>
      <c r="M152" s="36" t="n">
        <v>0.43</v>
      </c>
      <c r="N152" s="36" t="n">
        <v>0</v>
      </c>
      <c r="O152" s="36" t="n">
        <v>0.86</v>
      </c>
      <c r="P152" s="36" t="n">
        <v>0.86</v>
      </c>
      <c r="Q152" s="36" t="n">
        <v>0.43</v>
      </c>
      <c r="R152" s="28" t="n">
        <v>0</v>
      </c>
      <c r="S152" s="36" t="n">
        <v>0</v>
      </c>
      <c r="T152" s="36" t="n">
        <v>1.29</v>
      </c>
      <c r="U152" s="36" t="n">
        <v>0.46</v>
      </c>
      <c r="V152" s="36" t="n">
        <v>0.48</v>
      </c>
      <c r="W152" s="36" t="n">
        <v>0.58</v>
      </c>
      <c r="X152" s="36" t="n">
        <v>0.36</v>
      </c>
      <c r="Y152" s="28" t="n">
        <v>0.62</v>
      </c>
      <c r="Z152" s="36" t="n">
        <v>0.48</v>
      </c>
      <c r="AA152" s="36" t="n">
        <v>0.68</v>
      </c>
      <c r="AB152" s="36" t="n">
        <v>0.48</v>
      </c>
      <c r="AC152" s="36" t="n">
        <v>0.5600000000000001</v>
      </c>
      <c r="AD152" s="36" t="n">
        <v>2.51</v>
      </c>
      <c r="AE152" s="36" t="n">
        <v>1.35</v>
      </c>
      <c r="AF152" s="28" t="n">
        <v>1.41</v>
      </c>
      <c r="AG152" s="36" t="n">
        <v>0.76</v>
      </c>
      <c r="AH152" s="37" t="n">
        <v>0.48</v>
      </c>
      <c r="AI152" s="37" t="n">
        <v>0.52</v>
      </c>
      <c r="AJ152" s="37" t="n">
        <v>0.5</v>
      </c>
      <c r="AK152" s="37" t="n">
        <v>1</v>
      </c>
      <c r="AL152" s="37" t="n">
        <v>0.6</v>
      </c>
      <c r="AM152" s="37" t="n">
        <v>0.8</v>
      </c>
      <c r="AN152" s="37" t="n">
        <v>0.48</v>
      </c>
      <c r="AO152" s="37" t="n">
        <v>0.48</v>
      </c>
      <c r="AP152" s="37" t="n">
        <v>0.76</v>
      </c>
      <c r="AQ152" s="37" t="n">
        <v>0.66</v>
      </c>
      <c r="AR152" s="37" t="n">
        <v>0.5</v>
      </c>
      <c r="AS152" s="37" t="n">
        <v>0.28</v>
      </c>
      <c r="AT152" s="37" t="n">
        <v>0.6</v>
      </c>
      <c r="AU152" s="37" t="n">
        <v>1.1</v>
      </c>
      <c r="AV152" s="37" t="n">
        <v>1.06</v>
      </c>
      <c r="AW152" s="37" t="n">
        <v>0.48</v>
      </c>
      <c r="AX152" s="37" t="n">
        <v>0.48</v>
      </c>
      <c r="AY152" s="37" t="n">
        <v>0.5</v>
      </c>
      <c r="AZ152" s="37" t="n">
        <v>0.28</v>
      </c>
      <c r="BA152" s="37" t="n">
        <v>0.6</v>
      </c>
      <c r="BB152" s="37" t="n">
        <v>0.42</v>
      </c>
      <c r="BC152" s="37" t="n">
        <v>0.08</v>
      </c>
      <c r="BD152" s="37" t="n">
        <v>0.22</v>
      </c>
      <c r="BE152" s="37" t="n">
        <v>0.64</v>
      </c>
      <c r="BF152" s="37" t="n">
        <v>0.54</v>
      </c>
      <c r="BG152" s="37" t="n">
        <v>0.42</v>
      </c>
      <c r="BH152" s="37" t="n">
        <v>0.74</v>
      </c>
      <c r="BI152" s="37" t="n">
        <v>0.5600000000000001</v>
      </c>
      <c r="BJ152" s="37" t="n">
        <v>3.29</v>
      </c>
      <c r="BK152" s="37" t="n">
        <v>1.14</v>
      </c>
      <c r="BL152" s="37" t="n">
        <v>0.74</v>
      </c>
      <c r="BM152" s="37" t="n">
        <v>0.48</v>
      </c>
      <c r="BN152" s="37" t="n">
        <v>0.38</v>
      </c>
      <c r="BO152" s="37" t="n">
        <v>0.84</v>
      </c>
      <c r="BP152" s="37" t="n">
        <v>1.22</v>
      </c>
      <c r="BQ152" s="37" t="n">
        <v>0.9399999999999999</v>
      </c>
      <c r="BR152" s="37" t="n">
        <v>0.54</v>
      </c>
      <c r="BS152" s="37" t="n">
        <v>0.54</v>
      </c>
      <c r="BT152" s="37" t="n">
        <v>0.44</v>
      </c>
      <c r="BU152" s="37" t="n">
        <v>0.68</v>
      </c>
      <c r="BV152" s="37" t="n">
        <v>0.78</v>
      </c>
      <c r="BW152" s="37" t="n">
        <v>0.5600000000000001</v>
      </c>
      <c r="BX152" s="37" t="n">
        <v>0.5600000000000001</v>
      </c>
      <c r="BY152" s="37" t="n">
        <v>0.54</v>
      </c>
      <c r="BZ152" s="37" t="n">
        <v>0.9399999999999999</v>
      </c>
      <c r="CA152" s="37" t="n">
        <v>0.6</v>
      </c>
      <c r="CB152" s="37" t="n">
        <v>0.38</v>
      </c>
      <c r="CC152" s="37" t="n">
        <v>48.12000000000001</v>
      </c>
    </row>
    <row r="153" ht="15.75" customHeight="1" s="57">
      <c r="A153" s="7" t="inlineStr">
        <is>
          <t>NTB</t>
        </is>
      </c>
      <c r="B153" s="7" t="inlineStr">
        <is>
          <t>Khánh Hòa</t>
        </is>
      </c>
      <c r="C153" s="7" t="n">
        <v>20543000</v>
      </c>
      <c r="D153" s="7" t="inlineStr">
        <is>
          <t>(KHO) Ninh Hòa 2</t>
        </is>
      </c>
      <c r="E153" s="7" t="inlineStr">
        <is>
          <t>TTS</t>
        </is>
      </c>
      <c r="F153" s="36" t="n">
        <v>113</v>
      </c>
      <c r="G153" s="36" t="n">
        <v>74</v>
      </c>
      <c r="H153" s="36" t="n">
        <v>100</v>
      </c>
      <c r="I153" s="36" t="n">
        <v>66</v>
      </c>
      <c r="J153" s="36" t="n">
        <v>38</v>
      </c>
      <c r="K153" s="28" t="n">
        <v>143</v>
      </c>
      <c r="L153" s="36" t="n">
        <v>119</v>
      </c>
      <c r="M153" s="36" t="n">
        <v>162</v>
      </c>
      <c r="N153" s="36" t="n">
        <v>105</v>
      </c>
      <c r="O153" s="36" t="n">
        <v>96</v>
      </c>
      <c r="P153" s="36" t="n">
        <v>87</v>
      </c>
      <c r="Q153" s="36" t="n">
        <v>102</v>
      </c>
      <c r="R153" s="28" t="n">
        <v>63</v>
      </c>
      <c r="S153" s="36" t="n">
        <v>108</v>
      </c>
      <c r="T153" s="36" t="n">
        <v>88</v>
      </c>
      <c r="U153" s="36" t="n">
        <v>96.16</v>
      </c>
      <c r="V153" s="36" t="n">
        <v>94.08</v>
      </c>
      <c r="W153" s="36" t="n">
        <v>91.98999999999999</v>
      </c>
      <c r="X153" s="36" t="n">
        <v>74.20999999999999</v>
      </c>
      <c r="Y153" s="28" t="n">
        <v>107.71</v>
      </c>
      <c r="Z153" s="36" t="n">
        <v>91.84999999999999</v>
      </c>
      <c r="AA153" s="36" t="n">
        <v>103.25</v>
      </c>
      <c r="AB153" s="36" t="n">
        <v>113.39</v>
      </c>
      <c r="AC153" s="36" t="n">
        <v>119.79</v>
      </c>
      <c r="AD153" s="36" t="n">
        <v>114.51</v>
      </c>
      <c r="AE153" s="36" t="n">
        <v>86.02</v>
      </c>
      <c r="AF153" s="28" t="n">
        <v>111.04</v>
      </c>
      <c r="AG153" s="36" t="n">
        <v>93.8</v>
      </c>
      <c r="AH153" s="37" t="n">
        <v>92.83</v>
      </c>
      <c r="AI153" s="37" t="n">
        <v>107.42</v>
      </c>
      <c r="AJ153" s="37" t="n">
        <v>114.37</v>
      </c>
      <c r="AK153" s="37" t="n">
        <v>113.12</v>
      </c>
      <c r="AL153" s="37" t="n">
        <v>80.73999999999999</v>
      </c>
      <c r="AM153" s="37" t="n">
        <v>108.96</v>
      </c>
      <c r="AN153" s="37" t="n">
        <v>94.36</v>
      </c>
      <c r="AO153" s="37" t="n">
        <v>94.22</v>
      </c>
      <c r="AP153" s="37" t="n">
        <v>91.44</v>
      </c>
      <c r="AQ153" s="37" t="n">
        <v>92.27</v>
      </c>
      <c r="AR153" s="37" t="n">
        <v>90.88</v>
      </c>
      <c r="AS153" s="37" t="n">
        <v>74.34999999999999</v>
      </c>
      <c r="AT153" s="37" t="n">
        <v>117.85</v>
      </c>
      <c r="AU153" s="37" t="n">
        <v>107.28</v>
      </c>
      <c r="AV153" s="37" t="n">
        <v>95.33</v>
      </c>
      <c r="AW153" s="37" t="n">
        <v>90.73999999999999</v>
      </c>
      <c r="AX153" s="37" t="n">
        <v>89.20999999999999</v>
      </c>
      <c r="AY153" s="37" t="n">
        <v>89.48999999999999</v>
      </c>
      <c r="AZ153" s="37" t="n">
        <v>74.34999999999999</v>
      </c>
      <c r="BA153" s="37" t="n">
        <v>106.18</v>
      </c>
      <c r="BB153" s="37" t="n">
        <v>99.64</v>
      </c>
      <c r="BC153" s="37" t="n">
        <v>52.53</v>
      </c>
      <c r="BD153" s="37" t="n">
        <v>72.95999999999999</v>
      </c>
      <c r="BE153" s="37" t="n">
        <v>167.6</v>
      </c>
      <c r="BF153" s="37" t="n">
        <v>162.88</v>
      </c>
      <c r="BG153" s="37" t="n">
        <v>80.73999999999999</v>
      </c>
      <c r="BH153" s="37" t="n">
        <v>117.71</v>
      </c>
      <c r="BI153" s="37" t="n">
        <v>99.64</v>
      </c>
      <c r="BJ153" s="37" t="n">
        <v>87.69</v>
      </c>
      <c r="BK153" s="37" t="n">
        <v>101.3</v>
      </c>
      <c r="BL153" s="37" t="n">
        <v>101.3</v>
      </c>
      <c r="BM153" s="37" t="n">
        <v>98.39</v>
      </c>
      <c r="BN153" s="37" t="n">
        <v>80.73999999999999</v>
      </c>
      <c r="BO153" s="37" t="n">
        <v>117.71</v>
      </c>
      <c r="BP153" s="37" t="n">
        <v>99.64</v>
      </c>
      <c r="BQ153" s="37" t="n">
        <v>98.53</v>
      </c>
      <c r="BR153" s="37" t="n">
        <v>101.3</v>
      </c>
      <c r="BS153" s="37" t="n">
        <v>101.3</v>
      </c>
      <c r="BT153" s="37" t="n">
        <v>98.39</v>
      </c>
      <c r="BU153" s="37" t="n">
        <v>80.73999999999999</v>
      </c>
      <c r="BV153" s="37" t="n">
        <v>117.71</v>
      </c>
      <c r="BW153" s="37" t="n">
        <v>99.64</v>
      </c>
      <c r="BX153" s="37" t="n">
        <v>98.53</v>
      </c>
      <c r="BY153" s="37" t="n">
        <v>101.3</v>
      </c>
      <c r="BZ153" s="37" t="n">
        <v>101.3</v>
      </c>
      <c r="CA153" s="37" t="n">
        <v>98.39</v>
      </c>
      <c r="CB153" s="37" t="n">
        <v>80.73999999999999</v>
      </c>
      <c r="CC153" s="37" t="n">
        <v>7405.530000000002</v>
      </c>
    </row>
    <row r="154" ht="15.75" customHeight="1" s="57">
      <c r="A154" s="7" t="inlineStr">
        <is>
          <t>NTB</t>
        </is>
      </c>
      <c r="B154" s="7" t="inlineStr">
        <is>
          <t>Khánh Hòa</t>
        </is>
      </c>
      <c r="C154" s="7" t="n">
        <v>20543000</v>
      </c>
      <c r="D154" s="7" t="inlineStr">
        <is>
          <t>(KHO) Ninh Hòa 2</t>
        </is>
      </c>
      <c r="E154" s="7" t="inlineStr">
        <is>
          <t>TTS-Bulky</t>
        </is>
      </c>
      <c r="F154" s="36" t="n">
        <v>0</v>
      </c>
      <c r="G154" s="36" t="n">
        <v>0</v>
      </c>
      <c r="H154" s="36" t="n">
        <v>0</v>
      </c>
      <c r="I154" s="36" t="n">
        <v>0</v>
      </c>
      <c r="J154" s="36" t="n">
        <v>0</v>
      </c>
      <c r="K154" s="28" t="n">
        <v>0</v>
      </c>
      <c r="L154" s="36" t="n">
        <v>0</v>
      </c>
      <c r="M154" s="36" t="n">
        <v>0</v>
      </c>
      <c r="N154" s="36" t="n">
        <v>0</v>
      </c>
      <c r="O154" s="36" t="n">
        <v>0</v>
      </c>
      <c r="P154" s="36" t="n">
        <v>0</v>
      </c>
      <c r="Q154" s="36" t="n">
        <v>1</v>
      </c>
      <c r="R154" s="28" t="n">
        <v>0</v>
      </c>
      <c r="S154" s="36" t="n">
        <v>0</v>
      </c>
      <c r="T154" s="36" t="n">
        <v>0</v>
      </c>
      <c r="U154" s="36" t="n">
        <v>0.08</v>
      </c>
      <c r="V154" s="36" t="n">
        <v>0.09</v>
      </c>
      <c r="W154" s="36" t="n">
        <v>0.04</v>
      </c>
      <c r="X154" s="36" t="n">
        <v>0.02</v>
      </c>
      <c r="Y154" s="28" t="n">
        <v>0.04</v>
      </c>
      <c r="Z154" s="36" t="n">
        <v>0.03</v>
      </c>
      <c r="AA154" s="36" t="n">
        <v>0.04</v>
      </c>
      <c r="AB154" s="36" t="n">
        <v>0.04</v>
      </c>
      <c r="AC154" s="36" t="n">
        <v>0.05</v>
      </c>
      <c r="AD154" s="36" t="n">
        <v>0.02</v>
      </c>
      <c r="AE154" s="36" t="n">
        <v>0.02</v>
      </c>
      <c r="AF154" s="28" t="n">
        <v>0.04</v>
      </c>
      <c r="AG154" s="36" t="n">
        <v>0.04</v>
      </c>
      <c r="AH154" s="37" t="n">
        <v>0.04</v>
      </c>
      <c r="AI154" s="37" t="n">
        <v>0.04</v>
      </c>
      <c r="AJ154" s="37" t="n">
        <v>0.04</v>
      </c>
      <c r="AK154" s="37" t="n">
        <v>0.04</v>
      </c>
      <c r="AL154" s="37" t="n">
        <v>0.02</v>
      </c>
      <c r="AM154" s="37" t="n">
        <v>0.04</v>
      </c>
      <c r="AN154" s="37" t="n">
        <v>0.04</v>
      </c>
      <c r="AO154" s="37" t="n">
        <v>0.04</v>
      </c>
      <c r="AP154" s="37" t="n">
        <v>0.04</v>
      </c>
      <c r="AQ154" s="37" t="n">
        <v>0.04</v>
      </c>
      <c r="AR154" s="37" t="n">
        <v>0.04</v>
      </c>
      <c r="AS154" s="37" t="n">
        <v>0.02</v>
      </c>
      <c r="AT154" s="37" t="n">
        <v>0.05</v>
      </c>
      <c r="AU154" s="37" t="n">
        <v>0.05</v>
      </c>
      <c r="AV154" s="37" t="n">
        <v>0.04</v>
      </c>
      <c r="AW154" s="37" t="n">
        <v>0.04</v>
      </c>
      <c r="AX154" s="37" t="n">
        <v>0.04</v>
      </c>
      <c r="AY154" s="37" t="n">
        <v>0.04</v>
      </c>
      <c r="AZ154" s="37" t="n">
        <v>0.02</v>
      </c>
      <c r="BA154" s="37" t="n">
        <v>0.04</v>
      </c>
      <c r="BB154" s="37" t="n">
        <v>0.01</v>
      </c>
      <c r="BC154" s="37" t="n">
        <v>0.01</v>
      </c>
      <c r="BD154" s="37" t="n">
        <v>0.01</v>
      </c>
      <c r="BE154" s="37" t="n">
        <v>0.01</v>
      </c>
      <c r="BF154" s="37" t="n">
        <v>0.01</v>
      </c>
      <c r="BG154" s="37" t="n">
        <v>0.01</v>
      </c>
      <c r="BH154" s="37" t="n">
        <v>0.01</v>
      </c>
      <c r="BI154" s="37" t="n">
        <v>0.01</v>
      </c>
      <c r="BJ154" s="37" t="n">
        <v>0.01</v>
      </c>
      <c r="BK154" s="37" t="n">
        <v>0.01</v>
      </c>
      <c r="BL154" s="37" t="n">
        <v>0.01</v>
      </c>
      <c r="BM154" s="37" t="n">
        <v>0.01</v>
      </c>
      <c r="BN154" s="37" t="n">
        <v>0.01</v>
      </c>
      <c r="BO154" s="37" t="n">
        <v>0.02</v>
      </c>
      <c r="BP154" s="37" t="n">
        <v>0.01</v>
      </c>
      <c r="BQ154" s="37" t="n">
        <v>0.01</v>
      </c>
      <c r="BR154" s="37" t="n">
        <v>0.01</v>
      </c>
      <c r="BS154" s="37" t="n">
        <v>0.01</v>
      </c>
      <c r="BT154" s="37" t="n">
        <v>0.01</v>
      </c>
      <c r="BU154" s="37" t="n">
        <v>0.01</v>
      </c>
      <c r="BV154" s="37" t="n">
        <v>0.01</v>
      </c>
      <c r="BW154" s="37" t="n">
        <v>0.01</v>
      </c>
      <c r="BX154" s="37" t="n">
        <v>0.01</v>
      </c>
      <c r="BY154" s="37" t="n">
        <v>0.01</v>
      </c>
      <c r="BZ154" s="37" t="n">
        <v>0.01</v>
      </c>
      <c r="CA154" s="37" t="n">
        <v>0.01</v>
      </c>
      <c r="CB154" s="37" t="n">
        <v>0.01</v>
      </c>
      <c r="CC154" s="37" t="n">
        <v>2.589999999999995</v>
      </c>
    </row>
    <row r="155" ht="15.75" customHeight="1" s="57">
      <c r="A155" s="7" t="inlineStr">
        <is>
          <t>NTB</t>
        </is>
      </c>
      <c r="B155" s="7" t="inlineStr">
        <is>
          <t>Khánh Hòa</t>
        </is>
      </c>
      <c r="C155" s="7" t="n">
        <v>20558000</v>
      </c>
      <c r="D155" s="7" t="inlineStr">
        <is>
          <t>(KHO) Khánh Vĩnh</t>
        </is>
      </c>
      <c r="E155" s="7" t="inlineStr">
        <is>
          <t>SME</t>
        </is>
      </c>
      <c r="F155" s="36" t="n">
        <v>9</v>
      </c>
      <c r="G155" s="36" t="n">
        <v>12</v>
      </c>
      <c r="H155" s="36" t="n">
        <v>2</v>
      </c>
      <c r="I155" s="36" t="n">
        <v>3</v>
      </c>
      <c r="J155" s="36" t="n">
        <v>2</v>
      </c>
      <c r="K155" s="28" t="n">
        <v>5</v>
      </c>
      <c r="L155" s="36" t="n">
        <v>7</v>
      </c>
      <c r="M155" s="36" t="n">
        <v>3</v>
      </c>
      <c r="N155" s="36" t="n">
        <v>11</v>
      </c>
      <c r="O155" s="36" t="n">
        <v>5</v>
      </c>
      <c r="P155" s="36" t="n">
        <v>5</v>
      </c>
      <c r="Q155" s="36" t="n">
        <v>3</v>
      </c>
      <c r="R155" s="28" t="n">
        <v>20</v>
      </c>
      <c r="S155" s="36" t="n">
        <v>5</v>
      </c>
      <c r="T155" s="36" t="n">
        <v>11</v>
      </c>
      <c r="U155" s="36" t="n">
        <v>12.28</v>
      </c>
      <c r="V155" s="36" t="n">
        <v>12.71</v>
      </c>
      <c r="W155" s="36" t="n">
        <v>12.38</v>
      </c>
      <c r="X155" s="36" t="n">
        <v>10.07</v>
      </c>
      <c r="Y155" s="28" t="n">
        <v>13.71</v>
      </c>
      <c r="Z155" s="36" t="n">
        <v>12.61</v>
      </c>
      <c r="AA155" s="36" t="n">
        <v>12.34</v>
      </c>
      <c r="AB155" s="36" t="n">
        <v>12.28</v>
      </c>
      <c r="AC155" s="36" t="n">
        <v>12.71</v>
      </c>
      <c r="AD155" s="36" t="n">
        <v>14.37</v>
      </c>
      <c r="AE155" s="36" t="n">
        <v>10.07</v>
      </c>
      <c r="AF155" s="28" t="n">
        <v>13.71</v>
      </c>
      <c r="AG155" s="36" t="n">
        <v>12.61</v>
      </c>
      <c r="AH155" s="37" t="n">
        <v>12.34</v>
      </c>
      <c r="AI155" s="37" t="n">
        <v>12.28</v>
      </c>
      <c r="AJ155" s="37" t="n">
        <v>12.71</v>
      </c>
      <c r="AK155" s="37" t="n">
        <v>12.38</v>
      </c>
      <c r="AL155" s="37" t="n">
        <v>10.07</v>
      </c>
      <c r="AM155" s="37" t="n">
        <v>13.71</v>
      </c>
      <c r="AN155" s="37" t="n">
        <v>12.61</v>
      </c>
      <c r="AO155" s="37" t="n">
        <v>12.34</v>
      </c>
      <c r="AP155" s="37" t="n">
        <v>12.28</v>
      </c>
      <c r="AQ155" s="37" t="n">
        <v>12.71</v>
      </c>
      <c r="AR155" s="37" t="n">
        <v>12.38</v>
      </c>
      <c r="AS155" s="37" t="n">
        <v>10.07</v>
      </c>
      <c r="AT155" s="37" t="n">
        <v>13.71</v>
      </c>
      <c r="AU155" s="37" t="n">
        <v>12.61</v>
      </c>
      <c r="AV155" s="37" t="n">
        <v>12.34</v>
      </c>
      <c r="AW155" s="37" t="n">
        <v>12.28</v>
      </c>
      <c r="AX155" s="37" t="n">
        <v>12.71</v>
      </c>
      <c r="AY155" s="37" t="n">
        <v>12.38</v>
      </c>
      <c r="AZ155" s="37" t="n">
        <v>10.07</v>
      </c>
      <c r="BA155" s="37" t="n">
        <v>13.03</v>
      </c>
      <c r="BB155" s="37" t="n">
        <v>11.6</v>
      </c>
      <c r="BC155" s="37" t="n">
        <v>7.08</v>
      </c>
      <c r="BD155" s="37" t="n">
        <v>5.53</v>
      </c>
      <c r="BE155" s="37" t="n">
        <v>11.92</v>
      </c>
      <c r="BF155" s="37" t="n">
        <v>11.61</v>
      </c>
      <c r="BG155" s="37" t="n">
        <v>10.39</v>
      </c>
      <c r="BH155" s="37" t="n">
        <v>14.14</v>
      </c>
      <c r="BI155" s="37" t="n">
        <v>13</v>
      </c>
      <c r="BJ155" s="37" t="n">
        <v>14.76</v>
      </c>
      <c r="BK155" s="37" t="n">
        <v>12.66</v>
      </c>
      <c r="BL155" s="37" t="n">
        <v>13.1</v>
      </c>
      <c r="BM155" s="37" t="n">
        <v>12.77</v>
      </c>
      <c r="BN155" s="37" t="n">
        <v>10.39</v>
      </c>
      <c r="BO155" s="37" t="n">
        <v>14.14</v>
      </c>
      <c r="BP155" s="37" t="n">
        <v>13</v>
      </c>
      <c r="BQ155" s="37" t="n">
        <v>12.73</v>
      </c>
      <c r="BR155" s="37" t="n">
        <v>12.66</v>
      </c>
      <c r="BS155" s="37" t="n">
        <v>13.1</v>
      </c>
      <c r="BT155" s="37" t="n">
        <v>12.77</v>
      </c>
      <c r="BU155" s="37" t="n">
        <v>10.39</v>
      </c>
      <c r="BV155" s="37" t="n">
        <v>14.14</v>
      </c>
      <c r="BW155" s="37" t="n">
        <v>13</v>
      </c>
      <c r="BX155" s="37" t="n">
        <v>12.73</v>
      </c>
      <c r="BY155" s="37" t="n">
        <v>12.66</v>
      </c>
      <c r="BZ155" s="37" t="n">
        <v>13.1</v>
      </c>
      <c r="CA155" s="37" t="n">
        <v>12.77</v>
      </c>
      <c r="CB155" s="37" t="n">
        <v>10.39</v>
      </c>
      <c r="CC155" s="37" t="n">
        <v>836.3899999999995</v>
      </c>
    </row>
    <row r="156" ht="15.75" customHeight="1" s="57">
      <c r="A156" s="7" t="inlineStr">
        <is>
          <t>NTB</t>
        </is>
      </c>
      <c r="B156" s="7" t="inlineStr">
        <is>
          <t>Khánh Hòa</t>
        </is>
      </c>
      <c r="C156" s="7" t="n">
        <v>20558000</v>
      </c>
      <c r="D156" s="7" t="inlineStr">
        <is>
          <t>(KHO) Khánh Vĩnh</t>
        </is>
      </c>
      <c r="E156" s="7" t="inlineStr">
        <is>
          <t>SME-Bulky</t>
        </is>
      </c>
      <c r="F156" s="36" t="n">
        <v>3</v>
      </c>
      <c r="G156" s="36" t="n">
        <v>1</v>
      </c>
      <c r="H156" s="36" t="n">
        <v>1</v>
      </c>
      <c r="I156" s="36" t="n">
        <v>2</v>
      </c>
      <c r="J156" s="36" t="n">
        <v>0</v>
      </c>
      <c r="K156" s="28" t="n">
        <v>1</v>
      </c>
      <c r="L156" s="36" t="n">
        <v>1</v>
      </c>
      <c r="M156" s="36" t="n">
        <v>1</v>
      </c>
      <c r="N156" s="36" t="n">
        <v>0</v>
      </c>
      <c r="O156" s="36" t="n">
        <v>3</v>
      </c>
      <c r="P156" s="36" t="n">
        <v>1</v>
      </c>
      <c r="Q156" s="36" t="n">
        <v>0</v>
      </c>
      <c r="R156" s="28" t="n">
        <v>1</v>
      </c>
      <c r="S156" s="36" t="n">
        <v>1</v>
      </c>
      <c r="T156" s="36" t="n">
        <v>2</v>
      </c>
      <c r="U156" s="36" t="n">
        <v>1.01</v>
      </c>
      <c r="V156" s="36" t="n">
        <v>1.03</v>
      </c>
      <c r="W156" s="36" t="n">
        <v>0.98</v>
      </c>
      <c r="X156" s="36" t="n">
        <v>0.67</v>
      </c>
      <c r="Y156" s="28" t="n">
        <v>1.11</v>
      </c>
      <c r="Z156" s="36" t="n">
        <v>1.06</v>
      </c>
      <c r="AA156" s="36" t="n">
        <v>1.05</v>
      </c>
      <c r="AB156" s="36" t="n">
        <v>1.01</v>
      </c>
      <c r="AC156" s="36" t="n">
        <v>1.03</v>
      </c>
      <c r="AD156" s="36" t="n">
        <v>0.67</v>
      </c>
      <c r="AE156" s="36" t="n">
        <v>0.67</v>
      </c>
      <c r="AF156" s="28" t="n">
        <v>1.11</v>
      </c>
      <c r="AG156" s="36" t="n">
        <v>1.06</v>
      </c>
      <c r="AH156" s="37" t="n">
        <v>1.05</v>
      </c>
      <c r="AI156" s="37" t="n">
        <v>1.01</v>
      </c>
      <c r="AJ156" s="37" t="n">
        <v>1.03</v>
      </c>
      <c r="AK156" s="37" t="n">
        <v>0.98</v>
      </c>
      <c r="AL156" s="37" t="n">
        <v>0.67</v>
      </c>
      <c r="AM156" s="37" t="n">
        <v>1.11</v>
      </c>
      <c r="AN156" s="37" t="n">
        <v>1.06</v>
      </c>
      <c r="AO156" s="37" t="n">
        <v>1.05</v>
      </c>
      <c r="AP156" s="37" t="n">
        <v>1.01</v>
      </c>
      <c r="AQ156" s="37" t="n">
        <v>1.03</v>
      </c>
      <c r="AR156" s="37" t="n">
        <v>0.98</v>
      </c>
      <c r="AS156" s="37" t="n">
        <v>0.67</v>
      </c>
      <c r="AT156" s="37" t="n">
        <v>1.11</v>
      </c>
      <c r="AU156" s="37" t="n">
        <v>1.06</v>
      </c>
      <c r="AV156" s="37" t="n">
        <v>1.05</v>
      </c>
      <c r="AW156" s="37" t="n">
        <v>1.01</v>
      </c>
      <c r="AX156" s="37" t="n">
        <v>1.03</v>
      </c>
      <c r="AY156" s="37" t="n">
        <v>0.98</v>
      </c>
      <c r="AZ156" s="37" t="n">
        <v>0.67</v>
      </c>
      <c r="BA156" s="37" t="n">
        <v>1.2</v>
      </c>
      <c r="BB156" s="37" t="n">
        <v>0.61</v>
      </c>
      <c r="BC156" s="37" t="n">
        <v>0.31</v>
      </c>
      <c r="BD156" s="37" t="n">
        <v>0.24</v>
      </c>
      <c r="BE156" s="37" t="n">
        <v>0.57</v>
      </c>
      <c r="BF156" s="37" t="n">
        <v>0.5600000000000001</v>
      </c>
      <c r="BG156" s="37" t="n">
        <v>0.37</v>
      </c>
      <c r="BH156" s="37" t="n">
        <v>0.64</v>
      </c>
      <c r="BI156" s="37" t="n">
        <v>0.61</v>
      </c>
      <c r="BJ156" s="37" t="n">
        <v>0.46</v>
      </c>
      <c r="BK156" s="37" t="n">
        <v>0.58</v>
      </c>
      <c r="BL156" s="37" t="n">
        <v>0.59</v>
      </c>
      <c r="BM156" s="37" t="n">
        <v>0.5600000000000001</v>
      </c>
      <c r="BN156" s="37" t="n">
        <v>0.37</v>
      </c>
      <c r="BO156" s="37" t="n">
        <v>0.64</v>
      </c>
      <c r="BP156" s="37" t="n">
        <v>0.61</v>
      </c>
      <c r="BQ156" s="37" t="n">
        <v>0.6</v>
      </c>
      <c r="BR156" s="37" t="n">
        <v>0.58</v>
      </c>
      <c r="BS156" s="37" t="n">
        <v>0.59</v>
      </c>
      <c r="BT156" s="37" t="n">
        <v>0.5600000000000001</v>
      </c>
      <c r="BU156" s="37" t="n">
        <v>0.37</v>
      </c>
      <c r="BV156" s="37" t="n">
        <v>0.64</v>
      </c>
      <c r="BW156" s="37" t="n">
        <v>0.61</v>
      </c>
      <c r="BX156" s="37" t="n">
        <v>0.6</v>
      </c>
      <c r="BY156" s="37" t="n">
        <v>0.58</v>
      </c>
      <c r="BZ156" s="37" t="n">
        <v>0.59</v>
      </c>
      <c r="CA156" s="37" t="n">
        <v>0.5600000000000001</v>
      </c>
      <c r="CB156" s="37" t="n">
        <v>0.37</v>
      </c>
      <c r="CC156" s="37" t="n">
        <v>64.59000000000002</v>
      </c>
    </row>
    <row r="157" ht="15.75" customHeight="1" s="57">
      <c r="A157" s="7" t="inlineStr">
        <is>
          <t>NTB</t>
        </is>
      </c>
      <c r="B157" s="7" t="inlineStr">
        <is>
          <t>Khánh Hòa</t>
        </is>
      </c>
      <c r="C157" s="7" t="n">
        <v>20558000</v>
      </c>
      <c r="D157" s="7" t="inlineStr">
        <is>
          <t>(KHO) Khánh Vĩnh</t>
        </is>
      </c>
      <c r="E157" s="7" t="inlineStr">
        <is>
          <t>Shopee</t>
        </is>
      </c>
      <c r="F157" s="36" t="n">
        <v>0</v>
      </c>
      <c r="G157" s="36" t="n">
        <v>1</v>
      </c>
      <c r="H157" s="36" t="n">
        <v>0</v>
      </c>
      <c r="I157" s="36" t="n">
        <v>0</v>
      </c>
      <c r="J157" s="36" t="n">
        <v>1</v>
      </c>
      <c r="K157" s="28" t="n">
        <v>0</v>
      </c>
      <c r="L157" s="36" t="n">
        <v>2</v>
      </c>
      <c r="M157" s="36" t="n">
        <v>1</v>
      </c>
      <c r="N157" s="36" t="n">
        <v>1</v>
      </c>
      <c r="O157" s="36" t="n">
        <v>1</v>
      </c>
      <c r="P157" s="36" t="n">
        <v>0</v>
      </c>
      <c r="Q157" s="36" t="n">
        <v>2</v>
      </c>
      <c r="R157" s="28" t="n">
        <v>2</v>
      </c>
      <c r="S157" s="36" t="n">
        <v>0</v>
      </c>
      <c r="T157" s="36" t="n">
        <v>1</v>
      </c>
      <c r="U157" s="36" t="n">
        <v>0.9399999999999999</v>
      </c>
      <c r="V157" s="36" t="n">
        <v>0.9399999999999999</v>
      </c>
      <c r="W157" s="36" t="n">
        <v>0.91</v>
      </c>
      <c r="X157" s="36" t="n">
        <v>0.78</v>
      </c>
      <c r="Y157" s="28" t="n">
        <v>1.27</v>
      </c>
      <c r="Z157" s="36" t="n">
        <v>1</v>
      </c>
      <c r="AA157" s="36" t="n">
        <v>1.22</v>
      </c>
      <c r="AB157" s="36" t="n">
        <v>0.96</v>
      </c>
      <c r="AC157" s="36" t="n">
        <v>0.78</v>
      </c>
      <c r="AD157" s="36" t="n">
        <v>1.79</v>
      </c>
      <c r="AE157" s="36" t="n">
        <v>0.83</v>
      </c>
      <c r="AF157" s="28" t="n">
        <v>1.4</v>
      </c>
      <c r="AG157" s="36" t="n">
        <v>1.05</v>
      </c>
      <c r="AH157" s="37" t="n">
        <v>1.11</v>
      </c>
      <c r="AI157" s="37" t="n">
        <v>0.9399999999999999</v>
      </c>
      <c r="AJ157" s="37" t="n">
        <v>0.9399999999999999</v>
      </c>
      <c r="AK157" s="37" t="n">
        <v>1</v>
      </c>
      <c r="AL157" s="37" t="n">
        <v>1.4</v>
      </c>
      <c r="AM157" s="37" t="n">
        <v>1.27</v>
      </c>
      <c r="AN157" s="37" t="n">
        <v>1</v>
      </c>
      <c r="AO157" s="37" t="n">
        <v>1.11</v>
      </c>
      <c r="AP157" s="37" t="n">
        <v>1.03</v>
      </c>
      <c r="AQ157" s="37" t="n">
        <v>0.76</v>
      </c>
      <c r="AR157" s="37" t="n">
        <v>0.91</v>
      </c>
      <c r="AS157" s="37" t="n">
        <v>0.78</v>
      </c>
      <c r="AT157" s="37" t="n">
        <v>1.27</v>
      </c>
      <c r="AU157" s="37" t="n">
        <v>1.1</v>
      </c>
      <c r="AV157" s="37" t="n">
        <v>1.14</v>
      </c>
      <c r="AW157" s="37" t="n">
        <v>0.9399999999999999</v>
      </c>
      <c r="AX157" s="37" t="n">
        <v>0.9399999999999999</v>
      </c>
      <c r="AY157" s="37" t="n">
        <v>0.91</v>
      </c>
      <c r="AZ157" s="37" t="n">
        <v>0.78</v>
      </c>
      <c r="BA157" s="37" t="n">
        <v>1.08</v>
      </c>
      <c r="BB157" s="37" t="n">
        <v>0.75</v>
      </c>
      <c r="BC157" s="37" t="n">
        <v>0.34</v>
      </c>
      <c r="BD157" s="37" t="n">
        <v>0.5600000000000001</v>
      </c>
      <c r="BE157" s="37" t="n">
        <v>1.13</v>
      </c>
      <c r="BF157" s="37" t="n">
        <v>1.09</v>
      </c>
      <c r="BG157" s="37" t="n">
        <v>0.77</v>
      </c>
      <c r="BH157" s="37" t="n">
        <v>1.2</v>
      </c>
      <c r="BI157" s="37" t="n">
        <v>0.79</v>
      </c>
      <c r="BJ157" s="37" t="n">
        <v>2.52</v>
      </c>
      <c r="BK157" s="37" t="n">
        <v>0.96</v>
      </c>
      <c r="BL157" s="37" t="n">
        <v>0.95</v>
      </c>
      <c r="BM157" s="37" t="n">
        <v>0.87</v>
      </c>
      <c r="BN157" s="37" t="n">
        <v>0.75</v>
      </c>
      <c r="BO157" s="37" t="n">
        <v>1.2</v>
      </c>
      <c r="BP157" s="37" t="n">
        <v>1.05</v>
      </c>
      <c r="BQ157" s="37" t="n">
        <v>1.62</v>
      </c>
      <c r="BR157" s="37" t="n">
        <v>0.9</v>
      </c>
      <c r="BS157" s="37" t="n">
        <v>0.9</v>
      </c>
      <c r="BT157" s="37" t="n">
        <v>0.87</v>
      </c>
      <c r="BU157" s="37" t="n">
        <v>0.82</v>
      </c>
      <c r="BV157" s="37" t="n">
        <v>0.97</v>
      </c>
      <c r="BW157" s="37" t="n">
        <v>0.96</v>
      </c>
      <c r="BX157" s="37" t="n">
        <v>1.06</v>
      </c>
      <c r="BY157" s="37" t="n">
        <v>0.9</v>
      </c>
      <c r="BZ157" s="37" t="n">
        <v>0.99</v>
      </c>
      <c r="CA157" s="37" t="n">
        <v>0.88</v>
      </c>
      <c r="CB157" s="37" t="n">
        <v>0.75</v>
      </c>
      <c r="CC157" s="37" t="n">
        <v>72.83</v>
      </c>
    </row>
    <row r="158" ht="15.75" customHeight="1" s="57">
      <c r="A158" s="7" t="inlineStr">
        <is>
          <t>NTB</t>
        </is>
      </c>
      <c r="B158" s="7" t="inlineStr">
        <is>
          <t>Khánh Hòa</t>
        </is>
      </c>
      <c r="C158" s="7" t="n">
        <v>20558000</v>
      </c>
      <c r="D158" s="7" t="inlineStr">
        <is>
          <t>(KHO) Khánh Vĩnh</t>
        </is>
      </c>
      <c r="E158" s="7" t="inlineStr">
        <is>
          <t>TTS</t>
        </is>
      </c>
      <c r="F158" s="36" t="n">
        <v>2</v>
      </c>
      <c r="G158" s="36" t="n">
        <v>1</v>
      </c>
      <c r="H158" s="36" t="n">
        <v>0</v>
      </c>
      <c r="I158" s="36" t="n">
        <v>1</v>
      </c>
      <c r="J158" s="36" t="n">
        <v>1</v>
      </c>
      <c r="K158" s="28" t="n">
        <v>0</v>
      </c>
      <c r="L158" s="36" t="n">
        <v>0</v>
      </c>
      <c r="M158" s="36" t="n">
        <v>3</v>
      </c>
      <c r="N158" s="36" t="n">
        <v>4</v>
      </c>
      <c r="O158" s="36" t="n">
        <v>1</v>
      </c>
      <c r="P158" s="36" t="n">
        <v>1</v>
      </c>
      <c r="Q158" s="36" t="n">
        <v>0</v>
      </c>
      <c r="R158" s="28" t="n">
        <v>2</v>
      </c>
      <c r="S158" s="36" t="n">
        <v>2</v>
      </c>
      <c r="T158" s="36" t="n">
        <v>2</v>
      </c>
      <c r="U158" s="36" t="n">
        <v>1.86</v>
      </c>
      <c r="V158" s="36" t="n">
        <v>1.82</v>
      </c>
      <c r="W158" s="36" t="n">
        <v>1.78</v>
      </c>
      <c r="X158" s="36" t="n">
        <v>1.43</v>
      </c>
      <c r="Y158" s="28" t="n">
        <v>2.08</v>
      </c>
      <c r="Z158" s="36" t="n">
        <v>1.78</v>
      </c>
      <c r="AA158" s="36" t="n">
        <v>2</v>
      </c>
      <c r="AB158" s="36" t="n">
        <v>2.19</v>
      </c>
      <c r="AC158" s="36" t="n">
        <v>2.32</v>
      </c>
      <c r="AD158" s="36" t="n">
        <v>2.21</v>
      </c>
      <c r="AE158" s="36" t="n">
        <v>1.66</v>
      </c>
      <c r="AF158" s="28" t="n">
        <v>2.15</v>
      </c>
      <c r="AG158" s="36" t="n">
        <v>1.81</v>
      </c>
      <c r="AH158" s="37" t="n">
        <v>1.8</v>
      </c>
      <c r="AI158" s="37" t="n">
        <v>2.08</v>
      </c>
      <c r="AJ158" s="37" t="n">
        <v>2.21</v>
      </c>
      <c r="AK158" s="37" t="n">
        <v>2.19</v>
      </c>
      <c r="AL158" s="37" t="n">
        <v>1.56</v>
      </c>
      <c r="AM158" s="37" t="n">
        <v>2.11</v>
      </c>
      <c r="AN158" s="37" t="n">
        <v>1.82</v>
      </c>
      <c r="AO158" s="37" t="n">
        <v>1.82</v>
      </c>
      <c r="AP158" s="37" t="n">
        <v>1.77</v>
      </c>
      <c r="AQ158" s="37" t="n">
        <v>1.78</v>
      </c>
      <c r="AR158" s="37" t="n">
        <v>1.76</v>
      </c>
      <c r="AS158" s="37" t="n">
        <v>1.44</v>
      </c>
      <c r="AT158" s="37" t="n">
        <v>2.28</v>
      </c>
      <c r="AU158" s="37" t="n">
        <v>2.07</v>
      </c>
      <c r="AV158" s="37" t="n">
        <v>1.84</v>
      </c>
      <c r="AW158" s="37" t="n">
        <v>1.75</v>
      </c>
      <c r="AX158" s="37" t="n">
        <v>1.73</v>
      </c>
      <c r="AY158" s="37" t="n">
        <v>1.73</v>
      </c>
      <c r="AZ158" s="37" t="n">
        <v>1.44</v>
      </c>
      <c r="BA158" s="37" t="n">
        <v>2.05</v>
      </c>
      <c r="BB158" s="37" t="n">
        <v>1.93</v>
      </c>
      <c r="BC158" s="37" t="n">
        <v>1.02</v>
      </c>
      <c r="BD158" s="37" t="n">
        <v>1.41</v>
      </c>
      <c r="BE158" s="37" t="n">
        <v>3.24</v>
      </c>
      <c r="BF158" s="37" t="n">
        <v>3.15</v>
      </c>
      <c r="BG158" s="37" t="n">
        <v>1.56</v>
      </c>
      <c r="BH158" s="37" t="n">
        <v>2.28</v>
      </c>
      <c r="BI158" s="37" t="n">
        <v>1.93</v>
      </c>
      <c r="BJ158" s="37" t="n">
        <v>1.7</v>
      </c>
      <c r="BK158" s="37" t="n">
        <v>1.96</v>
      </c>
      <c r="BL158" s="37" t="n">
        <v>1.96</v>
      </c>
      <c r="BM158" s="37" t="n">
        <v>1.9</v>
      </c>
      <c r="BN158" s="37" t="n">
        <v>1.56</v>
      </c>
      <c r="BO158" s="37" t="n">
        <v>2.28</v>
      </c>
      <c r="BP158" s="37" t="n">
        <v>1.93</v>
      </c>
      <c r="BQ158" s="37" t="n">
        <v>1.91</v>
      </c>
      <c r="BR158" s="37" t="n">
        <v>1.96</v>
      </c>
      <c r="BS158" s="37" t="n">
        <v>1.96</v>
      </c>
      <c r="BT158" s="37" t="n">
        <v>1.9</v>
      </c>
      <c r="BU158" s="37" t="n">
        <v>1.56</v>
      </c>
      <c r="BV158" s="37" t="n">
        <v>2.28</v>
      </c>
      <c r="BW158" s="37" t="n">
        <v>1.93</v>
      </c>
      <c r="BX158" s="37" t="n">
        <v>1.91</v>
      </c>
      <c r="BY158" s="37" t="n">
        <v>1.96</v>
      </c>
      <c r="BZ158" s="37" t="n">
        <v>1.96</v>
      </c>
      <c r="CA158" s="37" t="n">
        <v>1.9</v>
      </c>
      <c r="CB158" s="37" t="n">
        <v>1.56</v>
      </c>
      <c r="CC158" s="37" t="n">
        <v>134.92</v>
      </c>
    </row>
    <row r="159" ht="15.75" customHeight="1" s="57">
      <c r="A159" s="7" t="inlineStr">
        <is>
          <t>NTB</t>
        </is>
      </c>
      <c r="B159" s="7" t="inlineStr">
        <is>
          <t>Khánh Hòa</t>
        </is>
      </c>
      <c r="C159" s="7" t="n">
        <v>20588000</v>
      </c>
      <c r="D159" s="7" t="inlineStr">
        <is>
          <t>(KHO) Cam Lâm 2</t>
        </is>
      </c>
      <c r="E159" s="7" t="inlineStr">
        <is>
          <t>SME</t>
        </is>
      </c>
      <c r="F159" s="36" t="n">
        <v>30</v>
      </c>
      <c r="G159" s="36" t="n">
        <v>25</v>
      </c>
      <c r="H159" s="36" t="n">
        <v>16</v>
      </c>
      <c r="I159" s="36" t="n">
        <v>47</v>
      </c>
      <c r="J159" s="36" t="n">
        <v>21</v>
      </c>
      <c r="K159" s="28" t="n">
        <v>28</v>
      </c>
      <c r="L159" s="36" t="n">
        <v>26</v>
      </c>
      <c r="M159" s="36" t="n">
        <v>26</v>
      </c>
      <c r="N159" s="36" t="n">
        <v>26</v>
      </c>
      <c r="O159" s="36" t="n">
        <v>35</v>
      </c>
      <c r="P159" s="36" t="n">
        <v>33</v>
      </c>
      <c r="Q159" s="36" t="n">
        <v>18</v>
      </c>
      <c r="R159" s="28" t="n">
        <v>27</v>
      </c>
      <c r="S159" s="36" t="n">
        <v>29</v>
      </c>
      <c r="T159" s="36" t="n">
        <v>30</v>
      </c>
      <c r="U159" s="36" t="n">
        <v>42.18</v>
      </c>
      <c r="V159" s="36" t="n">
        <v>43.71</v>
      </c>
      <c r="W159" s="36" t="n">
        <v>42.53</v>
      </c>
      <c r="X159" s="36" t="n">
        <v>34.53</v>
      </c>
      <c r="Y159" s="28" t="n">
        <v>47.12</v>
      </c>
      <c r="Z159" s="36" t="n">
        <v>43.34</v>
      </c>
      <c r="AA159" s="36" t="n">
        <v>42.39</v>
      </c>
      <c r="AB159" s="36" t="n">
        <v>42.18</v>
      </c>
      <c r="AC159" s="36" t="n">
        <v>43.71</v>
      </c>
      <c r="AD159" s="36" t="n">
        <v>49.38</v>
      </c>
      <c r="AE159" s="36" t="n">
        <v>34.53</v>
      </c>
      <c r="AF159" s="28" t="n">
        <v>47.12</v>
      </c>
      <c r="AG159" s="36" t="n">
        <v>43.34</v>
      </c>
      <c r="AH159" s="37" t="n">
        <v>42.39</v>
      </c>
      <c r="AI159" s="37" t="n">
        <v>42.18</v>
      </c>
      <c r="AJ159" s="37" t="n">
        <v>43.71</v>
      </c>
      <c r="AK159" s="37" t="n">
        <v>42.53</v>
      </c>
      <c r="AL159" s="37" t="n">
        <v>34.53</v>
      </c>
      <c r="AM159" s="37" t="n">
        <v>47.12</v>
      </c>
      <c r="AN159" s="37" t="n">
        <v>43.34</v>
      </c>
      <c r="AO159" s="37" t="n">
        <v>42.39</v>
      </c>
      <c r="AP159" s="37" t="n">
        <v>42.18</v>
      </c>
      <c r="AQ159" s="37" t="n">
        <v>43.71</v>
      </c>
      <c r="AR159" s="37" t="n">
        <v>42.53</v>
      </c>
      <c r="AS159" s="37" t="n">
        <v>34.53</v>
      </c>
      <c r="AT159" s="37" t="n">
        <v>47.12</v>
      </c>
      <c r="AU159" s="37" t="n">
        <v>43.34</v>
      </c>
      <c r="AV159" s="37" t="n">
        <v>42.39</v>
      </c>
      <c r="AW159" s="37" t="n">
        <v>42.18</v>
      </c>
      <c r="AX159" s="37" t="n">
        <v>43.71</v>
      </c>
      <c r="AY159" s="37" t="n">
        <v>42.53</v>
      </c>
      <c r="AZ159" s="37" t="n">
        <v>34.53</v>
      </c>
      <c r="BA159" s="37" t="n">
        <v>44.75</v>
      </c>
      <c r="BB159" s="37" t="n">
        <v>39.82</v>
      </c>
      <c r="BC159" s="37" t="n">
        <v>24.18</v>
      </c>
      <c r="BD159" s="37" t="n">
        <v>18.84</v>
      </c>
      <c r="BE159" s="37" t="n">
        <v>40.89</v>
      </c>
      <c r="BF159" s="37" t="n">
        <v>39.79000000000001</v>
      </c>
      <c r="BG159" s="37" t="n">
        <v>35.57</v>
      </c>
      <c r="BH159" s="37" t="n">
        <v>48.51</v>
      </c>
      <c r="BI159" s="37" t="n">
        <v>44.61</v>
      </c>
      <c r="BJ159" s="37" t="n">
        <v>50.64</v>
      </c>
      <c r="BK159" s="37" t="n">
        <v>43.46</v>
      </c>
      <c r="BL159" s="37" t="n">
        <v>45</v>
      </c>
      <c r="BM159" s="37" t="n">
        <v>43.8</v>
      </c>
      <c r="BN159" s="37" t="n">
        <v>35.57</v>
      </c>
      <c r="BO159" s="37" t="n">
        <v>48.51</v>
      </c>
      <c r="BP159" s="37" t="n">
        <v>44.61</v>
      </c>
      <c r="BQ159" s="37" t="n">
        <v>43.66</v>
      </c>
      <c r="BR159" s="37" t="n">
        <v>43.46</v>
      </c>
      <c r="BS159" s="37" t="n">
        <v>45</v>
      </c>
      <c r="BT159" s="37" t="n">
        <v>43.8</v>
      </c>
      <c r="BU159" s="37" t="n">
        <v>35.57</v>
      </c>
      <c r="BV159" s="37" t="n">
        <v>48.51</v>
      </c>
      <c r="BW159" s="37" t="n">
        <v>44.61</v>
      </c>
      <c r="BX159" s="37" t="n">
        <v>43.66</v>
      </c>
      <c r="BY159" s="37" t="n">
        <v>43.46</v>
      </c>
      <c r="BZ159" s="37" t="n">
        <v>45</v>
      </c>
      <c r="CA159" s="37" t="n">
        <v>43.8</v>
      </c>
      <c r="CB159" s="37" t="n">
        <v>35.57</v>
      </c>
      <c r="CC159" s="37" t="n">
        <v>2934.650000000001</v>
      </c>
    </row>
    <row r="160" ht="15.75" customHeight="1" s="57">
      <c r="A160" s="7" t="inlineStr">
        <is>
          <t>NTB</t>
        </is>
      </c>
      <c r="B160" s="7" t="inlineStr">
        <is>
          <t>Khánh Hòa</t>
        </is>
      </c>
      <c r="C160" s="7" t="n">
        <v>20588000</v>
      </c>
      <c r="D160" s="7" t="inlineStr">
        <is>
          <t>(KHO) Cam Lâm 2</t>
        </is>
      </c>
      <c r="E160" s="7" t="inlineStr">
        <is>
          <t>SME-Bulky</t>
        </is>
      </c>
      <c r="F160" s="36" t="n">
        <v>4</v>
      </c>
      <c r="G160" s="36" t="n">
        <v>3</v>
      </c>
      <c r="H160" s="36" t="n">
        <v>5</v>
      </c>
      <c r="I160" s="36" t="n">
        <v>0</v>
      </c>
      <c r="J160" s="36" t="n">
        <v>3</v>
      </c>
      <c r="K160" s="28" t="n">
        <v>4</v>
      </c>
      <c r="L160" s="36" t="n">
        <v>6</v>
      </c>
      <c r="M160" s="36" t="n">
        <v>5</v>
      </c>
      <c r="N160" s="36" t="n">
        <v>5</v>
      </c>
      <c r="O160" s="36" t="n">
        <v>6</v>
      </c>
      <c r="P160" s="36" t="n">
        <v>6</v>
      </c>
      <c r="Q160" s="36" t="n">
        <v>3</v>
      </c>
      <c r="R160" s="28" t="n">
        <v>7</v>
      </c>
      <c r="S160" s="36" t="n">
        <v>13</v>
      </c>
      <c r="T160" s="36" t="n">
        <v>3</v>
      </c>
      <c r="U160" s="36" t="n">
        <v>5.28</v>
      </c>
      <c r="V160" s="36" t="n">
        <v>5.43</v>
      </c>
      <c r="W160" s="36" t="n">
        <v>5.13</v>
      </c>
      <c r="X160" s="36" t="n">
        <v>3.52</v>
      </c>
      <c r="Y160" s="28" t="n">
        <v>5.81</v>
      </c>
      <c r="Z160" s="36" t="n">
        <v>5.55</v>
      </c>
      <c r="AA160" s="36" t="n">
        <v>5.51</v>
      </c>
      <c r="AB160" s="36" t="n">
        <v>5.28</v>
      </c>
      <c r="AC160" s="36" t="n">
        <v>5.43</v>
      </c>
      <c r="AD160" s="36" t="n">
        <v>3.52</v>
      </c>
      <c r="AE160" s="36" t="n">
        <v>3.52</v>
      </c>
      <c r="AF160" s="28" t="n">
        <v>5.81</v>
      </c>
      <c r="AG160" s="36" t="n">
        <v>5.55</v>
      </c>
      <c r="AH160" s="37" t="n">
        <v>5.51</v>
      </c>
      <c r="AI160" s="37" t="n">
        <v>5.28</v>
      </c>
      <c r="AJ160" s="37" t="n">
        <v>5.43</v>
      </c>
      <c r="AK160" s="37" t="n">
        <v>5.13</v>
      </c>
      <c r="AL160" s="37" t="n">
        <v>3.52</v>
      </c>
      <c r="AM160" s="37" t="n">
        <v>5.81</v>
      </c>
      <c r="AN160" s="37" t="n">
        <v>5.55</v>
      </c>
      <c r="AO160" s="37" t="n">
        <v>5.51</v>
      </c>
      <c r="AP160" s="37" t="n">
        <v>5.28</v>
      </c>
      <c r="AQ160" s="37" t="n">
        <v>5.43</v>
      </c>
      <c r="AR160" s="37" t="n">
        <v>5.13</v>
      </c>
      <c r="AS160" s="37" t="n">
        <v>3.52</v>
      </c>
      <c r="AT160" s="37" t="n">
        <v>5.81</v>
      </c>
      <c r="AU160" s="37" t="n">
        <v>5.55</v>
      </c>
      <c r="AV160" s="37" t="n">
        <v>5.51</v>
      </c>
      <c r="AW160" s="37" t="n">
        <v>5.28</v>
      </c>
      <c r="AX160" s="37" t="n">
        <v>5.43</v>
      </c>
      <c r="AY160" s="37" t="n">
        <v>5.13</v>
      </c>
      <c r="AZ160" s="37" t="n">
        <v>3.52</v>
      </c>
      <c r="BA160" s="37" t="n">
        <v>6.29</v>
      </c>
      <c r="BB160" s="37" t="n">
        <v>3.22</v>
      </c>
      <c r="BC160" s="37" t="n">
        <v>1.65</v>
      </c>
      <c r="BD160" s="37" t="n">
        <v>1.24</v>
      </c>
      <c r="BE160" s="37" t="n">
        <v>3</v>
      </c>
      <c r="BF160" s="37" t="n">
        <v>2.96</v>
      </c>
      <c r="BG160" s="37" t="n">
        <v>1.95</v>
      </c>
      <c r="BH160" s="37" t="n">
        <v>3.33</v>
      </c>
      <c r="BI160" s="37" t="n">
        <v>3.22</v>
      </c>
      <c r="BJ160" s="37" t="n">
        <v>2.44</v>
      </c>
      <c r="BK160" s="37" t="n">
        <v>3.03</v>
      </c>
      <c r="BL160" s="37" t="n">
        <v>3.11</v>
      </c>
      <c r="BM160" s="37" t="n">
        <v>2.96</v>
      </c>
      <c r="BN160" s="37" t="n">
        <v>1.95</v>
      </c>
      <c r="BO160" s="37" t="n">
        <v>3.33</v>
      </c>
      <c r="BP160" s="37" t="n">
        <v>3.22</v>
      </c>
      <c r="BQ160" s="37" t="n">
        <v>3.15</v>
      </c>
      <c r="BR160" s="37" t="n">
        <v>3.03</v>
      </c>
      <c r="BS160" s="37" t="n">
        <v>3.11</v>
      </c>
      <c r="BT160" s="37" t="n">
        <v>2.96</v>
      </c>
      <c r="BU160" s="37" t="n">
        <v>1.95</v>
      </c>
      <c r="BV160" s="37" t="n">
        <v>3.33</v>
      </c>
      <c r="BW160" s="37" t="n">
        <v>3.22</v>
      </c>
      <c r="BX160" s="37" t="n">
        <v>3.15</v>
      </c>
      <c r="BY160" s="37" t="n">
        <v>3.03</v>
      </c>
      <c r="BZ160" s="37" t="n">
        <v>3.11</v>
      </c>
      <c r="CA160" s="37" t="n">
        <v>2.96</v>
      </c>
      <c r="CB160" s="37" t="n">
        <v>1.95</v>
      </c>
      <c r="CC160" s="37" t="n">
        <v>317.5199999999999</v>
      </c>
    </row>
    <row r="161" ht="15.75" customHeight="1" s="57">
      <c r="A161" s="7" t="inlineStr">
        <is>
          <t>NTB</t>
        </is>
      </c>
      <c r="B161" s="7" t="inlineStr">
        <is>
          <t>Khánh Hòa</t>
        </is>
      </c>
      <c r="C161" s="7" t="n">
        <v>20588000</v>
      </c>
      <c r="D161" s="7" t="inlineStr">
        <is>
          <t>(KHO) Cam Lâm 2</t>
        </is>
      </c>
      <c r="E161" s="7" t="inlineStr">
        <is>
          <t>Shopee</t>
        </is>
      </c>
      <c r="F161" s="36" t="n">
        <v>6</v>
      </c>
      <c r="G161" s="36" t="n">
        <v>10</v>
      </c>
      <c r="H161" s="36" t="n">
        <v>10</v>
      </c>
      <c r="I161" s="36" t="n">
        <v>9</v>
      </c>
      <c r="J161" s="36" t="n">
        <v>16</v>
      </c>
      <c r="K161" s="28" t="n">
        <v>17</v>
      </c>
      <c r="L161" s="36" t="n">
        <v>16</v>
      </c>
      <c r="M161" s="36" t="n">
        <v>9</v>
      </c>
      <c r="N161" s="36" t="n">
        <v>7</v>
      </c>
      <c r="O161" s="36" t="n">
        <v>10</v>
      </c>
      <c r="P161" s="36" t="n">
        <v>6</v>
      </c>
      <c r="Q161" s="36" t="n">
        <v>13</v>
      </c>
      <c r="R161" s="28" t="n">
        <v>11</v>
      </c>
      <c r="S161" s="36" t="n">
        <v>13</v>
      </c>
      <c r="T161" s="36" t="n">
        <v>9</v>
      </c>
      <c r="U161" s="36" t="n">
        <v>13.13</v>
      </c>
      <c r="V161" s="36" t="n">
        <v>13.19</v>
      </c>
      <c r="W161" s="36" t="n">
        <v>12.73</v>
      </c>
      <c r="X161" s="36" t="n">
        <v>10.96</v>
      </c>
      <c r="Y161" s="28" t="n">
        <v>17.71</v>
      </c>
      <c r="Z161" s="36" t="n">
        <v>14</v>
      </c>
      <c r="AA161" s="36" t="n">
        <v>17.09</v>
      </c>
      <c r="AB161" s="36" t="n">
        <v>13.43</v>
      </c>
      <c r="AC161" s="36" t="n">
        <v>10.86</v>
      </c>
      <c r="AD161" s="36" t="n">
        <v>25</v>
      </c>
      <c r="AE161" s="36" t="n">
        <v>11.63</v>
      </c>
      <c r="AF161" s="28" t="n">
        <v>19.58</v>
      </c>
      <c r="AG161" s="36" t="n">
        <v>14.7</v>
      </c>
      <c r="AH161" s="37" t="n">
        <v>15.6</v>
      </c>
      <c r="AI161" s="37" t="n">
        <v>13.13</v>
      </c>
      <c r="AJ161" s="37" t="n">
        <v>13.19</v>
      </c>
      <c r="AK161" s="37" t="n">
        <v>13.96</v>
      </c>
      <c r="AL161" s="37" t="n">
        <v>19.64</v>
      </c>
      <c r="AM161" s="37" t="n">
        <v>17.71</v>
      </c>
      <c r="AN161" s="37" t="n">
        <v>14</v>
      </c>
      <c r="AO161" s="37" t="n">
        <v>15.6</v>
      </c>
      <c r="AP161" s="37" t="n">
        <v>14.44</v>
      </c>
      <c r="AQ161" s="37" t="n">
        <v>10.6</v>
      </c>
      <c r="AR161" s="37" t="n">
        <v>12.73</v>
      </c>
      <c r="AS161" s="37" t="n">
        <v>10.96</v>
      </c>
      <c r="AT161" s="37" t="n">
        <v>17.71</v>
      </c>
      <c r="AU161" s="37" t="n">
        <v>15.42</v>
      </c>
      <c r="AV161" s="37" t="n">
        <v>15.92</v>
      </c>
      <c r="AW161" s="37" t="n">
        <v>13.13</v>
      </c>
      <c r="AX161" s="37" t="n">
        <v>13.19</v>
      </c>
      <c r="AY161" s="37" t="n">
        <v>12.73</v>
      </c>
      <c r="AZ161" s="37" t="n">
        <v>10.96</v>
      </c>
      <c r="BA161" s="37" t="n">
        <v>15.16</v>
      </c>
      <c r="BB161" s="37" t="n">
        <v>10.52</v>
      </c>
      <c r="BC161" s="37" t="n">
        <v>4.7</v>
      </c>
      <c r="BD161" s="37" t="n">
        <v>7.89</v>
      </c>
      <c r="BE161" s="37" t="n">
        <v>15.8</v>
      </c>
      <c r="BF161" s="37" t="n">
        <v>15.2</v>
      </c>
      <c r="BG161" s="37" t="n">
        <v>10.74</v>
      </c>
      <c r="BH161" s="37" t="n">
        <v>16.87</v>
      </c>
      <c r="BI161" s="37" t="n">
        <v>11.02</v>
      </c>
      <c r="BJ161" s="37" t="n">
        <v>35.28</v>
      </c>
      <c r="BK161" s="37" t="n">
        <v>13.45</v>
      </c>
      <c r="BL161" s="37" t="n">
        <v>13.25</v>
      </c>
      <c r="BM161" s="37" t="n">
        <v>12.19</v>
      </c>
      <c r="BN161" s="37" t="n">
        <v>10.54</v>
      </c>
      <c r="BO161" s="37" t="n">
        <v>16.87</v>
      </c>
      <c r="BP161" s="37" t="n">
        <v>14.74</v>
      </c>
      <c r="BQ161" s="37" t="n">
        <v>22.65</v>
      </c>
      <c r="BR161" s="37" t="n">
        <v>12.57</v>
      </c>
      <c r="BS161" s="37" t="n">
        <v>12.63</v>
      </c>
      <c r="BT161" s="37" t="n">
        <v>12.19</v>
      </c>
      <c r="BU161" s="37" t="n">
        <v>11.53</v>
      </c>
      <c r="BV161" s="37" t="n">
        <v>13.61</v>
      </c>
      <c r="BW161" s="37" t="n">
        <v>13.37</v>
      </c>
      <c r="BX161" s="37" t="n">
        <v>14.88</v>
      </c>
      <c r="BY161" s="37" t="n">
        <v>12.57</v>
      </c>
      <c r="BZ161" s="37" t="n">
        <v>13.86</v>
      </c>
      <c r="CA161" s="37" t="n">
        <v>12.37</v>
      </c>
      <c r="CB161" s="37" t="n">
        <v>10.54</v>
      </c>
      <c r="CC161" s="37" t="n">
        <v>1013.62</v>
      </c>
    </row>
    <row r="162" ht="15.75" customHeight="1" s="57">
      <c r="A162" s="7" t="inlineStr">
        <is>
          <t>NTB</t>
        </is>
      </c>
      <c r="B162" s="7" t="inlineStr">
        <is>
          <t>Khánh Hòa</t>
        </is>
      </c>
      <c r="C162" s="7" t="n">
        <v>20588000</v>
      </c>
      <c r="D162" s="7" t="inlineStr">
        <is>
          <t>(KHO) Cam Lâm 2</t>
        </is>
      </c>
      <c r="E162" s="7" t="inlineStr">
        <is>
          <t>Shopee-Bulky</t>
        </is>
      </c>
      <c r="F162" s="36" t="n">
        <v>0.57</v>
      </c>
      <c r="G162" s="36" t="n">
        <v>0</v>
      </c>
      <c r="H162" s="36" t="n">
        <v>0</v>
      </c>
      <c r="I162" s="36" t="n">
        <v>1.72</v>
      </c>
      <c r="J162" s="36" t="n">
        <v>0</v>
      </c>
      <c r="K162" s="28" t="n">
        <v>1.15</v>
      </c>
      <c r="L162" s="36" t="n">
        <v>1.15</v>
      </c>
      <c r="M162" s="36" t="n">
        <v>1.15</v>
      </c>
      <c r="N162" s="36" t="n">
        <v>0.57</v>
      </c>
      <c r="O162" s="36" t="n">
        <v>0.57</v>
      </c>
      <c r="P162" s="36" t="n">
        <v>0.57</v>
      </c>
      <c r="Q162" s="36" t="n">
        <v>0</v>
      </c>
      <c r="R162" s="28" t="n">
        <v>0.57</v>
      </c>
      <c r="S162" s="36" t="n">
        <v>0</v>
      </c>
      <c r="T162" s="36" t="n">
        <v>1.15</v>
      </c>
      <c r="U162" s="36" t="n">
        <v>1.02</v>
      </c>
      <c r="V162" s="36" t="n">
        <v>0.96</v>
      </c>
      <c r="W162" s="36" t="n">
        <v>1.15</v>
      </c>
      <c r="X162" s="36" t="n">
        <v>0.61</v>
      </c>
      <c r="Y162" s="28" t="n">
        <v>1.53</v>
      </c>
      <c r="Z162" s="36" t="n">
        <v>1.18</v>
      </c>
      <c r="AA162" s="36" t="n">
        <v>1.72</v>
      </c>
      <c r="AB162" s="36" t="n">
        <v>1.18</v>
      </c>
      <c r="AC162" s="36" t="n">
        <v>1.24</v>
      </c>
      <c r="AD162" s="36" t="n">
        <v>4.62</v>
      </c>
      <c r="AE162" s="36" t="n">
        <v>3.12</v>
      </c>
      <c r="AF162" s="28" t="n">
        <v>3.63</v>
      </c>
      <c r="AG162" s="36" t="n">
        <v>1.63</v>
      </c>
      <c r="AH162" s="37" t="n">
        <v>1.18</v>
      </c>
      <c r="AI162" s="37" t="n">
        <v>1.15</v>
      </c>
      <c r="AJ162" s="37" t="n">
        <v>1.05</v>
      </c>
      <c r="AK162" s="37" t="n">
        <v>2.29</v>
      </c>
      <c r="AL162" s="37" t="n">
        <v>1.31</v>
      </c>
      <c r="AM162" s="37" t="n">
        <v>1.94</v>
      </c>
      <c r="AN162" s="37" t="n">
        <v>1.18</v>
      </c>
      <c r="AO162" s="37" t="n">
        <v>1.12</v>
      </c>
      <c r="AP162" s="37" t="n">
        <v>2.01</v>
      </c>
      <c r="AQ162" s="37" t="n">
        <v>1.43</v>
      </c>
      <c r="AR162" s="37" t="n">
        <v>0.99</v>
      </c>
      <c r="AS162" s="37" t="n">
        <v>0.51</v>
      </c>
      <c r="AT162" s="37" t="n">
        <v>1.43</v>
      </c>
      <c r="AU162" s="37" t="n">
        <v>2.42</v>
      </c>
      <c r="AV162" s="37" t="n">
        <v>2.42</v>
      </c>
      <c r="AW162" s="37" t="n">
        <v>1.12</v>
      </c>
      <c r="AX162" s="37" t="n">
        <v>1.05</v>
      </c>
      <c r="AY162" s="37" t="n">
        <v>0.96</v>
      </c>
      <c r="AZ162" s="37" t="n">
        <v>0.51</v>
      </c>
      <c r="BA162" s="37" t="n">
        <v>1.34</v>
      </c>
      <c r="BB162" s="37" t="n">
        <v>0.92</v>
      </c>
      <c r="BC162" s="37" t="n">
        <v>0.29</v>
      </c>
      <c r="BD162" s="37" t="n">
        <v>0.45</v>
      </c>
      <c r="BE162" s="37" t="n">
        <v>1.53</v>
      </c>
      <c r="BF162" s="37" t="n">
        <v>1.31</v>
      </c>
      <c r="BG162" s="37" t="n">
        <v>0.67</v>
      </c>
      <c r="BH162" s="37" t="n">
        <v>1.63</v>
      </c>
      <c r="BI162" s="37" t="n">
        <v>1.47</v>
      </c>
      <c r="BJ162" s="37" t="n">
        <v>9.31</v>
      </c>
      <c r="BK162" s="37" t="n">
        <v>3.12</v>
      </c>
      <c r="BL162" s="37" t="n">
        <v>1.63</v>
      </c>
      <c r="BM162" s="37" t="n">
        <v>1.12</v>
      </c>
      <c r="BN162" s="37" t="n">
        <v>0.67</v>
      </c>
      <c r="BO162" s="37" t="n">
        <v>1.94</v>
      </c>
      <c r="BP162" s="37" t="n">
        <v>2.93</v>
      </c>
      <c r="BQ162" s="37" t="n">
        <v>2.14</v>
      </c>
      <c r="BR162" s="37" t="n">
        <v>1.4</v>
      </c>
      <c r="BS162" s="37" t="n">
        <v>1.31</v>
      </c>
      <c r="BT162" s="37" t="n">
        <v>0.92</v>
      </c>
      <c r="BU162" s="37" t="n">
        <v>1.63</v>
      </c>
      <c r="BV162" s="37" t="n">
        <v>1.78</v>
      </c>
      <c r="BW162" s="37" t="n">
        <v>1.47</v>
      </c>
      <c r="BX162" s="37" t="n">
        <v>1.4</v>
      </c>
      <c r="BY162" s="37" t="n">
        <v>1.4</v>
      </c>
      <c r="BZ162" s="37" t="n">
        <v>1.98</v>
      </c>
      <c r="CA162" s="37" t="n">
        <v>1.31</v>
      </c>
      <c r="CB162" s="37" t="n">
        <v>0.67</v>
      </c>
      <c r="CC162" s="37" t="n">
        <v>106.57</v>
      </c>
    </row>
    <row r="163" ht="15.75" customHeight="1" s="57">
      <c r="A163" s="7" t="inlineStr">
        <is>
          <t>NTB</t>
        </is>
      </c>
      <c r="B163" s="7" t="inlineStr">
        <is>
          <t>Khánh Hòa</t>
        </is>
      </c>
      <c r="C163" s="7" t="n">
        <v>20588000</v>
      </c>
      <c r="D163" s="7" t="inlineStr">
        <is>
          <t>(KHO) Cam Lâm 2</t>
        </is>
      </c>
      <c r="E163" s="7" t="inlineStr">
        <is>
          <t>Shopee-Bulky (10-15kg)</t>
        </is>
      </c>
      <c r="F163" s="36" t="n">
        <v>0.43</v>
      </c>
      <c r="G163" s="36" t="n">
        <v>0</v>
      </c>
      <c r="H163" s="36" t="n">
        <v>0</v>
      </c>
      <c r="I163" s="36" t="n">
        <v>1.28</v>
      </c>
      <c r="J163" s="36" t="n">
        <v>0</v>
      </c>
      <c r="K163" s="28" t="n">
        <v>0.85</v>
      </c>
      <c r="L163" s="36" t="n">
        <v>0.85</v>
      </c>
      <c r="M163" s="36" t="n">
        <v>0.85</v>
      </c>
      <c r="N163" s="36" t="n">
        <v>0.43</v>
      </c>
      <c r="O163" s="36" t="n">
        <v>0.43</v>
      </c>
      <c r="P163" s="36" t="n">
        <v>0.43</v>
      </c>
      <c r="Q163" s="36" t="n">
        <v>0</v>
      </c>
      <c r="R163" s="28" t="n">
        <v>0.43</v>
      </c>
      <c r="S163" s="36" t="n">
        <v>0</v>
      </c>
      <c r="T163" s="36" t="n">
        <v>0.85</v>
      </c>
      <c r="U163" s="36" t="n">
        <v>0.73</v>
      </c>
      <c r="V163" s="36" t="n">
        <v>0.76</v>
      </c>
      <c r="W163" s="36" t="n">
        <v>0.92</v>
      </c>
      <c r="X163" s="36" t="n">
        <v>0.57</v>
      </c>
      <c r="Y163" s="28" t="n">
        <v>0.99</v>
      </c>
      <c r="Z163" s="36" t="n">
        <v>0.76</v>
      </c>
      <c r="AA163" s="36" t="n">
        <v>1.08</v>
      </c>
      <c r="AB163" s="36" t="n">
        <v>0.76</v>
      </c>
      <c r="AC163" s="36" t="n">
        <v>0.89</v>
      </c>
      <c r="AD163" s="36" t="n">
        <v>4.02</v>
      </c>
      <c r="AE163" s="36" t="n">
        <v>2.17</v>
      </c>
      <c r="AF163" s="28" t="n">
        <v>2.26</v>
      </c>
      <c r="AG163" s="36" t="n">
        <v>1.21</v>
      </c>
      <c r="AH163" s="37" t="n">
        <v>0.76</v>
      </c>
      <c r="AI163" s="37" t="n">
        <v>0.83</v>
      </c>
      <c r="AJ163" s="37" t="n">
        <v>0.8</v>
      </c>
      <c r="AK163" s="37" t="n">
        <v>1.59</v>
      </c>
      <c r="AL163" s="37" t="n">
        <v>0.96</v>
      </c>
      <c r="AM163" s="37" t="n">
        <v>1.27</v>
      </c>
      <c r="AN163" s="37" t="n">
        <v>0.76</v>
      </c>
      <c r="AO163" s="37" t="n">
        <v>0.76</v>
      </c>
      <c r="AP163" s="37" t="n">
        <v>1.21</v>
      </c>
      <c r="AQ163" s="37" t="n">
        <v>1.05</v>
      </c>
      <c r="AR163" s="37" t="n">
        <v>0.8</v>
      </c>
      <c r="AS163" s="37" t="n">
        <v>0.45</v>
      </c>
      <c r="AT163" s="37" t="n">
        <v>0.96</v>
      </c>
      <c r="AU163" s="37" t="n">
        <v>1.75</v>
      </c>
      <c r="AV163" s="37" t="n">
        <v>1.69</v>
      </c>
      <c r="AW163" s="37" t="n">
        <v>0.76</v>
      </c>
      <c r="AX163" s="37" t="n">
        <v>0.76</v>
      </c>
      <c r="AY163" s="37" t="n">
        <v>0.8</v>
      </c>
      <c r="AZ163" s="37" t="n">
        <v>0.45</v>
      </c>
      <c r="BA163" s="37" t="n">
        <v>0.96</v>
      </c>
      <c r="BB163" s="37" t="n">
        <v>0.67</v>
      </c>
      <c r="BC163" s="37" t="n">
        <v>0.13</v>
      </c>
      <c r="BD163" s="37" t="n">
        <v>0.35</v>
      </c>
      <c r="BE163" s="37" t="n">
        <v>1.02</v>
      </c>
      <c r="BF163" s="37" t="n">
        <v>0.86</v>
      </c>
      <c r="BG163" s="37" t="n">
        <v>0.67</v>
      </c>
      <c r="BH163" s="37" t="n">
        <v>1.18</v>
      </c>
      <c r="BI163" s="37" t="n">
        <v>0.89</v>
      </c>
      <c r="BJ163" s="37" t="n">
        <v>5.26</v>
      </c>
      <c r="BK163" s="37" t="n">
        <v>1.82</v>
      </c>
      <c r="BL163" s="37" t="n">
        <v>1.18</v>
      </c>
      <c r="BM163" s="37" t="n">
        <v>0.76</v>
      </c>
      <c r="BN163" s="37" t="n">
        <v>0.61</v>
      </c>
      <c r="BO163" s="37" t="n">
        <v>1.34</v>
      </c>
      <c r="BP163" s="37" t="n">
        <v>1.94</v>
      </c>
      <c r="BQ163" s="37" t="n">
        <v>1.5</v>
      </c>
      <c r="BR163" s="37" t="n">
        <v>0.86</v>
      </c>
      <c r="BS163" s="37" t="n">
        <v>0.86</v>
      </c>
      <c r="BT163" s="37" t="n">
        <v>0.7</v>
      </c>
      <c r="BU163" s="37" t="n">
        <v>1.08</v>
      </c>
      <c r="BV163" s="37" t="n">
        <v>1.24</v>
      </c>
      <c r="BW163" s="37" t="n">
        <v>0.89</v>
      </c>
      <c r="BX163" s="37" t="n">
        <v>0.89</v>
      </c>
      <c r="BY163" s="37" t="n">
        <v>0.86</v>
      </c>
      <c r="BZ163" s="37" t="n">
        <v>1.5</v>
      </c>
      <c r="CA163" s="37" t="n">
        <v>0.96</v>
      </c>
      <c r="CB163" s="37" t="n">
        <v>0.61</v>
      </c>
      <c r="CC163" s="37" t="n">
        <v>73.94999999999999</v>
      </c>
    </row>
    <row r="164" ht="15.75" customHeight="1" s="57">
      <c r="A164" s="7" t="inlineStr">
        <is>
          <t>NTB</t>
        </is>
      </c>
      <c r="B164" s="7" t="inlineStr">
        <is>
          <t>Khánh Hòa</t>
        </is>
      </c>
      <c r="C164" s="7" t="n">
        <v>20588000</v>
      </c>
      <c r="D164" s="7" t="inlineStr">
        <is>
          <t>(KHO) Cam Lâm 2</t>
        </is>
      </c>
      <c r="E164" s="7" t="inlineStr">
        <is>
          <t>TTS</t>
        </is>
      </c>
      <c r="F164" s="36" t="n">
        <v>14</v>
      </c>
      <c r="G164" s="36" t="n">
        <v>17</v>
      </c>
      <c r="H164" s="36" t="n">
        <v>10</v>
      </c>
      <c r="I164" s="36" t="n">
        <v>16</v>
      </c>
      <c r="J164" s="36" t="n">
        <v>5</v>
      </c>
      <c r="K164" s="28" t="n">
        <v>3</v>
      </c>
      <c r="L164" s="36" t="n">
        <v>16</v>
      </c>
      <c r="M164" s="36" t="n">
        <v>5</v>
      </c>
      <c r="N164" s="36" t="n">
        <v>7</v>
      </c>
      <c r="O164" s="36" t="n">
        <v>2</v>
      </c>
      <c r="P164" s="36" t="n">
        <v>4</v>
      </c>
      <c r="Q164" s="36" t="n">
        <v>2</v>
      </c>
      <c r="R164" s="28" t="n">
        <v>4</v>
      </c>
      <c r="S164" s="36" t="n">
        <v>1</v>
      </c>
      <c r="T164" s="36" t="n">
        <v>6</v>
      </c>
      <c r="U164" s="36" t="n">
        <v>3.59</v>
      </c>
      <c r="V164" s="36" t="n">
        <v>3.51</v>
      </c>
      <c r="W164" s="36" t="n">
        <v>3.43</v>
      </c>
      <c r="X164" s="36" t="n">
        <v>2.77</v>
      </c>
      <c r="Y164" s="28" t="n">
        <v>4.13</v>
      </c>
      <c r="Z164" s="36" t="n">
        <v>3.43</v>
      </c>
      <c r="AA164" s="36" t="n">
        <v>3.85</v>
      </c>
      <c r="AB164" s="36" t="n">
        <v>4.23</v>
      </c>
      <c r="AC164" s="36" t="n">
        <v>4.47</v>
      </c>
      <c r="AD164" s="36" t="n">
        <v>4.27</v>
      </c>
      <c r="AE164" s="36" t="n">
        <v>3.21</v>
      </c>
      <c r="AF164" s="28" t="n">
        <v>4.25</v>
      </c>
      <c r="AG164" s="36" t="n">
        <v>3.5</v>
      </c>
      <c r="AH164" s="37" t="n">
        <v>3.46</v>
      </c>
      <c r="AI164" s="37" t="n">
        <v>4.01</v>
      </c>
      <c r="AJ164" s="37" t="n">
        <v>4.27</v>
      </c>
      <c r="AK164" s="37" t="n">
        <v>4.22</v>
      </c>
      <c r="AL164" s="37" t="n">
        <v>3.01</v>
      </c>
      <c r="AM164" s="37" t="n">
        <v>4.17</v>
      </c>
      <c r="AN164" s="37" t="n">
        <v>3.52</v>
      </c>
      <c r="AO164" s="37" t="n">
        <v>3.51</v>
      </c>
      <c r="AP164" s="37" t="n">
        <v>3.41</v>
      </c>
      <c r="AQ164" s="37" t="n">
        <v>3.44</v>
      </c>
      <c r="AR164" s="37" t="n">
        <v>3.39</v>
      </c>
      <c r="AS164" s="37" t="n">
        <v>2.77</v>
      </c>
      <c r="AT164" s="37" t="n">
        <v>4.5</v>
      </c>
      <c r="AU164" s="37" t="n">
        <v>4</v>
      </c>
      <c r="AV164" s="37" t="n">
        <v>3.56</v>
      </c>
      <c r="AW164" s="37" t="n">
        <v>3.38</v>
      </c>
      <c r="AX164" s="37" t="n">
        <v>3.33</v>
      </c>
      <c r="AY164" s="37" t="n">
        <v>3.34</v>
      </c>
      <c r="AZ164" s="37" t="n">
        <v>2.77</v>
      </c>
      <c r="BA164" s="37" t="n">
        <v>4.07</v>
      </c>
      <c r="BB164" s="37" t="n">
        <v>3.72</v>
      </c>
      <c r="BC164" s="37" t="n">
        <v>1.96</v>
      </c>
      <c r="BD164" s="37" t="n">
        <v>2.72</v>
      </c>
      <c r="BE164" s="37" t="n">
        <v>6.36</v>
      </c>
      <c r="BF164" s="37" t="n">
        <v>6.180000000000001</v>
      </c>
      <c r="BG164" s="37" t="n">
        <v>3.01</v>
      </c>
      <c r="BH164" s="37" t="n">
        <v>4.5</v>
      </c>
      <c r="BI164" s="37" t="n">
        <v>3.72</v>
      </c>
      <c r="BJ164" s="37" t="n">
        <v>3.27</v>
      </c>
      <c r="BK164" s="37" t="n">
        <v>3.78</v>
      </c>
      <c r="BL164" s="37" t="n">
        <v>3.78</v>
      </c>
      <c r="BM164" s="37" t="n">
        <v>3.67</v>
      </c>
      <c r="BN164" s="37" t="n">
        <v>3.01</v>
      </c>
      <c r="BO164" s="37" t="n">
        <v>4.5</v>
      </c>
      <c r="BP164" s="37" t="n">
        <v>3.72</v>
      </c>
      <c r="BQ164" s="37" t="n">
        <v>3.67</v>
      </c>
      <c r="BR164" s="37" t="n">
        <v>3.78</v>
      </c>
      <c r="BS164" s="37" t="n">
        <v>3.78</v>
      </c>
      <c r="BT164" s="37" t="n">
        <v>3.67</v>
      </c>
      <c r="BU164" s="37" t="n">
        <v>3.01</v>
      </c>
      <c r="BV164" s="37" t="n">
        <v>4.5</v>
      </c>
      <c r="BW164" s="37" t="n">
        <v>3.72</v>
      </c>
      <c r="BX164" s="37" t="n">
        <v>3.67</v>
      </c>
      <c r="BY164" s="37" t="n">
        <v>3.78</v>
      </c>
      <c r="BZ164" s="37" t="n">
        <v>3.78</v>
      </c>
      <c r="CA164" s="37" t="n">
        <v>3.67</v>
      </c>
      <c r="CB164" s="37" t="n">
        <v>3.01</v>
      </c>
      <c r="CC164" s="37" t="n">
        <v>334.71</v>
      </c>
    </row>
    <row r="165" ht="15.75" customHeight="1" s="57">
      <c r="A165" s="7" t="inlineStr">
        <is>
          <t>NTB</t>
        </is>
      </c>
      <c r="B165" s="7" t="inlineStr">
        <is>
          <t>Khánh Hòa</t>
        </is>
      </c>
      <c r="C165" s="7" t="n">
        <v>20588000</v>
      </c>
      <c r="D165" s="7" t="inlineStr">
        <is>
          <t>(KHO) Cam Lâm 2</t>
        </is>
      </c>
      <c r="E165" s="7" t="inlineStr">
        <is>
          <t>TTS-Bulky</t>
        </is>
      </c>
      <c r="F165" s="36" t="n">
        <v>1</v>
      </c>
      <c r="G165" s="36" t="n">
        <v>0</v>
      </c>
      <c r="H165" s="36" t="n">
        <v>0</v>
      </c>
      <c r="I165" s="36" t="n">
        <v>0</v>
      </c>
      <c r="J165" s="36" t="n">
        <v>0</v>
      </c>
      <c r="K165" s="28" t="n">
        <v>4</v>
      </c>
      <c r="L165" s="36" t="n">
        <v>1</v>
      </c>
      <c r="M165" s="36" t="n">
        <v>0</v>
      </c>
      <c r="N165" s="36" t="n">
        <v>3</v>
      </c>
      <c r="O165" s="36" t="n">
        <v>1</v>
      </c>
      <c r="P165" s="36" t="n">
        <v>0</v>
      </c>
      <c r="Q165" s="36" t="n">
        <v>0</v>
      </c>
      <c r="R165" s="28" t="n">
        <v>0</v>
      </c>
      <c r="S165" s="36" t="n">
        <v>1</v>
      </c>
      <c r="T165" s="36" t="n">
        <v>2</v>
      </c>
      <c r="U165" s="36" t="n">
        <v>1.54</v>
      </c>
      <c r="V165" s="36" t="n">
        <v>1.65</v>
      </c>
      <c r="W165" s="36" t="n">
        <v>0.77</v>
      </c>
      <c r="X165" s="36" t="n">
        <v>0.44</v>
      </c>
      <c r="Y165" s="28" t="n">
        <v>0.77</v>
      </c>
      <c r="Z165" s="36" t="n">
        <v>0.66</v>
      </c>
      <c r="AA165" s="36" t="n">
        <v>0.77</v>
      </c>
      <c r="AB165" s="36" t="n">
        <v>0.77</v>
      </c>
      <c r="AC165" s="36" t="n">
        <v>0.99</v>
      </c>
      <c r="AD165" s="36" t="n">
        <v>0.44</v>
      </c>
      <c r="AE165" s="36" t="n">
        <v>0.44</v>
      </c>
      <c r="AF165" s="28" t="n">
        <v>0.77</v>
      </c>
      <c r="AG165" s="36" t="n">
        <v>0.77</v>
      </c>
      <c r="AH165" s="37" t="n">
        <v>0.77</v>
      </c>
      <c r="AI165" s="37" t="n">
        <v>0.77</v>
      </c>
      <c r="AJ165" s="37" t="n">
        <v>0.77</v>
      </c>
      <c r="AK165" s="37" t="n">
        <v>0.77</v>
      </c>
      <c r="AL165" s="37" t="n">
        <v>0.44</v>
      </c>
      <c r="AM165" s="37" t="n">
        <v>0.77</v>
      </c>
      <c r="AN165" s="37" t="n">
        <v>0.77</v>
      </c>
      <c r="AO165" s="37" t="n">
        <v>0.77</v>
      </c>
      <c r="AP165" s="37" t="n">
        <v>0.77</v>
      </c>
      <c r="AQ165" s="37" t="n">
        <v>0.77</v>
      </c>
      <c r="AR165" s="37" t="n">
        <v>0.77</v>
      </c>
      <c r="AS165" s="37" t="n">
        <v>0.44</v>
      </c>
      <c r="AT165" s="37" t="n">
        <v>0.88</v>
      </c>
      <c r="AU165" s="37" t="n">
        <v>0.88</v>
      </c>
      <c r="AV165" s="37" t="n">
        <v>0.77</v>
      </c>
      <c r="AW165" s="37" t="n">
        <v>0.77</v>
      </c>
      <c r="AX165" s="37" t="n">
        <v>0.77</v>
      </c>
      <c r="AY165" s="37" t="n">
        <v>0.77</v>
      </c>
      <c r="AZ165" s="37" t="n">
        <v>0.44</v>
      </c>
      <c r="BA165" s="37" t="n">
        <v>0.77</v>
      </c>
      <c r="BB165" s="37" t="n">
        <v>0.22</v>
      </c>
      <c r="BC165" s="37" t="n">
        <v>0.11</v>
      </c>
      <c r="BD165" s="37" t="n">
        <v>0.11</v>
      </c>
      <c r="BE165" s="37" t="n">
        <v>0.22</v>
      </c>
      <c r="BF165" s="37" t="n">
        <v>0.22</v>
      </c>
      <c r="BG165" s="37" t="n">
        <v>0.11</v>
      </c>
      <c r="BH165" s="37" t="n">
        <v>0.22</v>
      </c>
      <c r="BI165" s="37" t="n">
        <v>0.22</v>
      </c>
      <c r="BJ165" s="37" t="n">
        <v>0.11</v>
      </c>
      <c r="BK165" s="37" t="n">
        <v>0.22</v>
      </c>
      <c r="BL165" s="37" t="n">
        <v>0.22</v>
      </c>
      <c r="BM165" s="37" t="n">
        <v>0.22</v>
      </c>
      <c r="BN165" s="37" t="n">
        <v>0.11</v>
      </c>
      <c r="BO165" s="37" t="n">
        <v>0.33</v>
      </c>
      <c r="BP165" s="37" t="n">
        <v>0.22</v>
      </c>
      <c r="BQ165" s="37" t="n">
        <v>0.22</v>
      </c>
      <c r="BR165" s="37" t="n">
        <v>0.22</v>
      </c>
      <c r="BS165" s="37" t="n">
        <v>0.22</v>
      </c>
      <c r="BT165" s="37" t="n">
        <v>0.22</v>
      </c>
      <c r="BU165" s="37" t="n">
        <v>0.11</v>
      </c>
      <c r="BV165" s="37" t="n">
        <v>0.22</v>
      </c>
      <c r="BW165" s="37" t="n">
        <v>0.22</v>
      </c>
      <c r="BX165" s="37" t="n">
        <v>0.22</v>
      </c>
      <c r="BY165" s="37" t="n">
        <v>0.22</v>
      </c>
      <c r="BZ165" s="37" t="n">
        <v>0.22</v>
      </c>
      <c r="CA165" s="37" t="n">
        <v>0.22</v>
      </c>
      <c r="CB165" s="37" t="n">
        <v>0.11</v>
      </c>
      <c r="CC165" s="37" t="n">
        <v>43.68999999999998</v>
      </c>
    </row>
    <row r="166" ht="15.75" customHeight="1" s="57">
      <c r="A166" s="7" t="inlineStr">
        <is>
          <t>NTB</t>
        </is>
      </c>
      <c r="B166" s="7" t="inlineStr">
        <is>
          <t>Khánh Hòa</t>
        </is>
      </c>
      <c r="C166" s="7" t="n">
        <v>20694000</v>
      </c>
      <c r="D166" s="7" t="inlineStr">
        <is>
          <t>(KHO) Ninh Hòa 1</t>
        </is>
      </c>
      <c r="E166" s="7" t="inlineStr">
        <is>
          <t>SME</t>
        </is>
      </c>
      <c r="F166" s="36" t="n">
        <v>6</v>
      </c>
      <c r="G166" s="36" t="n">
        <v>12</v>
      </c>
      <c r="H166" s="36" t="n">
        <v>11</v>
      </c>
      <c r="I166" s="36" t="n">
        <v>11</v>
      </c>
      <c r="J166" s="36" t="n">
        <v>9</v>
      </c>
      <c r="K166" s="28" t="n">
        <v>8</v>
      </c>
      <c r="L166" s="36" t="n">
        <v>7</v>
      </c>
      <c r="M166" s="36" t="n">
        <v>10</v>
      </c>
      <c r="N166" s="36" t="n">
        <v>9</v>
      </c>
      <c r="O166" s="36" t="n">
        <v>18</v>
      </c>
      <c r="P166" s="36" t="n">
        <v>10</v>
      </c>
      <c r="Q166" s="36" t="n">
        <v>14</v>
      </c>
      <c r="R166" s="28" t="n">
        <v>13</v>
      </c>
      <c r="S166" s="36" t="n">
        <v>3</v>
      </c>
      <c r="T166" s="36" t="n">
        <v>15</v>
      </c>
      <c r="U166" s="36" t="n">
        <v>18</v>
      </c>
      <c r="V166" s="36" t="n">
        <v>18.64</v>
      </c>
      <c r="W166" s="36" t="n">
        <v>18.14</v>
      </c>
      <c r="X166" s="36" t="n">
        <v>14.74</v>
      </c>
      <c r="Y166" s="28" t="n">
        <v>20.1</v>
      </c>
      <c r="Z166" s="36" t="n">
        <v>18.49</v>
      </c>
      <c r="AA166" s="36" t="n">
        <v>18.08</v>
      </c>
      <c r="AB166" s="36" t="n">
        <v>18</v>
      </c>
      <c r="AC166" s="36" t="n">
        <v>18.64</v>
      </c>
      <c r="AD166" s="36" t="n">
        <v>21.06</v>
      </c>
      <c r="AE166" s="36" t="n">
        <v>14.74</v>
      </c>
      <c r="AF166" s="28" t="n">
        <v>20.1</v>
      </c>
      <c r="AG166" s="36" t="n">
        <v>18.49</v>
      </c>
      <c r="AH166" s="37" t="n">
        <v>18.08</v>
      </c>
      <c r="AI166" s="37" t="n">
        <v>18</v>
      </c>
      <c r="AJ166" s="37" t="n">
        <v>18.64</v>
      </c>
      <c r="AK166" s="37" t="n">
        <v>18.14</v>
      </c>
      <c r="AL166" s="37" t="n">
        <v>14.74</v>
      </c>
      <c r="AM166" s="37" t="n">
        <v>20.1</v>
      </c>
      <c r="AN166" s="37" t="n">
        <v>18.49</v>
      </c>
      <c r="AO166" s="37" t="n">
        <v>18.08</v>
      </c>
      <c r="AP166" s="37" t="n">
        <v>18</v>
      </c>
      <c r="AQ166" s="37" t="n">
        <v>18.64</v>
      </c>
      <c r="AR166" s="37" t="n">
        <v>18.14</v>
      </c>
      <c r="AS166" s="37" t="n">
        <v>14.74</v>
      </c>
      <c r="AT166" s="37" t="n">
        <v>20.1</v>
      </c>
      <c r="AU166" s="37" t="n">
        <v>18.49</v>
      </c>
      <c r="AV166" s="37" t="n">
        <v>18.08</v>
      </c>
      <c r="AW166" s="37" t="n">
        <v>18</v>
      </c>
      <c r="AX166" s="37" t="n">
        <v>18.64</v>
      </c>
      <c r="AY166" s="37" t="n">
        <v>18.14</v>
      </c>
      <c r="AZ166" s="37" t="n">
        <v>14.74</v>
      </c>
      <c r="BA166" s="37" t="n">
        <v>19.09</v>
      </c>
      <c r="BB166" s="37" t="n">
        <v>16.99</v>
      </c>
      <c r="BC166" s="37" t="n">
        <v>10.33</v>
      </c>
      <c r="BD166" s="37" t="n">
        <v>8.039999999999999</v>
      </c>
      <c r="BE166" s="37" t="n">
        <v>17.44</v>
      </c>
      <c r="BF166" s="37" t="n">
        <v>16.98</v>
      </c>
      <c r="BG166" s="37" t="n">
        <v>15.18</v>
      </c>
      <c r="BH166" s="37" t="n">
        <v>20.69</v>
      </c>
      <c r="BI166" s="37" t="n">
        <v>19.03</v>
      </c>
      <c r="BJ166" s="37" t="n">
        <v>21.61</v>
      </c>
      <c r="BK166" s="37" t="n">
        <v>18.55</v>
      </c>
      <c r="BL166" s="37" t="n">
        <v>19.19</v>
      </c>
      <c r="BM166" s="37" t="n">
        <v>18.69</v>
      </c>
      <c r="BN166" s="37" t="n">
        <v>15.18</v>
      </c>
      <c r="BO166" s="37" t="n">
        <v>20.69</v>
      </c>
      <c r="BP166" s="37" t="n">
        <v>19.03</v>
      </c>
      <c r="BQ166" s="37" t="n">
        <v>18.63</v>
      </c>
      <c r="BR166" s="37" t="n">
        <v>18.55</v>
      </c>
      <c r="BS166" s="37" t="n">
        <v>19.19</v>
      </c>
      <c r="BT166" s="37" t="n">
        <v>18.69</v>
      </c>
      <c r="BU166" s="37" t="n">
        <v>15.18</v>
      </c>
      <c r="BV166" s="37" t="n">
        <v>20.69</v>
      </c>
      <c r="BW166" s="37" t="n">
        <v>19.03</v>
      </c>
      <c r="BX166" s="37" t="n">
        <v>18.63</v>
      </c>
      <c r="BY166" s="37" t="n">
        <v>18.55</v>
      </c>
      <c r="BZ166" s="37" t="n">
        <v>19.19</v>
      </c>
      <c r="CA166" s="37" t="n">
        <v>18.69</v>
      </c>
      <c r="CB166" s="37" t="n">
        <v>15.18</v>
      </c>
      <c r="CC166" s="37" t="n">
        <v>1230.110000000001</v>
      </c>
    </row>
    <row r="167" ht="15.75" customHeight="1" s="57">
      <c r="A167" s="7" t="inlineStr">
        <is>
          <t>NTB</t>
        </is>
      </c>
      <c r="B167" s="7" t="inlineStr">
        <is>
          <t>Khánh Hòa</t>
        </is>
      </c>
      <c r="C167" s="7" t="n">
        <v>20694000</v>
      </c>
      <c r="D167" s="7" t="inlineStr">
        <is>
          <t>(KHO) Ninh Hòa 1</t>
        </is>
      </c>
      <c r="E167" s="7" t="inlineStr">
        <is>
          <t>SME-Bulky</t>
        </is>
      </c>
      <c r="F167" s="36" t="n">
        <v>4</v>
      </c>
      <c r="G167" s="36" t="n">
        <v>0</v>
      </c>
      <c r="H167" s="36" t="n">
        <v>3</v>
      </c>
      <c r="I167" s="36" t="n">
        <v>1</v>
      </c>
      <c r="J167" s="36" t="n">
        <v>0</v>
      </c>
      <c r="K167" s="28" t="n">
        <v>1</v>
      </c>
      <c r="L167" s="36" t="n">
        <v>0</v>
      </c>
      <c r="M167" s="36" t="n">
        <v>6</v>
      </c>
      <c r="N167" s="36" t="n">
        <v>5</v>
      </c>
      <c r="O167" s="36" t="n">
        <v>2</v>
      </c>
      <c r="P167" s="36" t="n">
        <v>0</v>
      </c>
      <c r="Q167" s="36" t="n">
        <v>0</v>
      </c>
      <c r="R167" s="28" t="n">
        <v>2</v>
      </c>
      <c r="S167" s="36" t="n">
        <v>0</v>
      </c>
      <c r="T167" s="36" t="n">
        <v>2</v>
      </c>
      <c r="U167" s="36" t="n">
        <v>2.14</v>
      </c>
      <c r="V167" s="36" t="n">
        <v>2.2</v>
      </c>
      <c r="W167" s="36" t="n">
        <v>2.08</v>
      </c>
      <c r="X167" s="36" t="n">
        <v>1.43</v>
      </c>
      <c r="Y167" s="28" t="n">
        <v>2.35</v>
      </c>
      <c r="Z167" s="36" t="n">
        <v>2.24</v>
      </c>
      <c r="AA167" s="36" t="n">
        <v>2.23</v>
      </c>
      <c r="AB167" s="36" t="n">
        <v>2.14</v>
      </c>
      <c r="AC167" s="36" t="n">
        <v>2.2</v>
      </c>
      <c r="AD167" s="36" t="n">
        <v>1.43</v>
      </c>
      <c r="AE167" s="36" t="n">
        <v>1.43</v>
      </c>
      <c r="AF167" s="28" t="n">
        <v>2.35</v>
      </c>
      <c r="AG167" s="36" t="n">
        <v>2.24</v>
      </c>
      <c r="AH167" s="37" t="n">
        <v>2.23</v>
      </c>
      <c r="AI167" s="37" t="n">
        <v>2.14</v>
      </c>
      <c r="AJ167" s="37" t="n">
        <v>2.2</v>
      </c>
      <c r="AK167" s="37" t="n">
        <v>2.08</v>
      </c>
      <c r="AL167" s="37" t="n">
        <v>1.43</v>
      </c>
      <c r="AM167" s="37" t="n">
        <v>2.35</v>
      </c>
      <c r="AN167" s="37" t="n">
        <v>2.24</v>
      </c>
      <c r="AO167" s="37" t="n">
        <v>2.23</v>
      </c>
      <c r="AP167" s="37" t="n">
        <v>2.14</v>
      </c>
      <c r="AQ167" s="37" t="n">
        <v>2.2</v>
      </c>
      <c r="AR167" s="37" t="n">
        <v>2.08</v>
      </c>
      <c r="AS167" s="37" t="n">
        <v>1.43</v>
      </c>
      <c r="AT167" s="37" t="n">
        <v>2.35</v>
      </c>
      <c r="AU167" s="37" t="n">
        <v>2.24</v>
      </c>
      <c r="AV167" s="37" t="n">
        <v>2.23</v>
      </c>
      <c r="AW167" s="37" t="n">
        <v>2.14</v>
      </c>
      <c r="AX167" s="37" t="n">
        <v>2.2</v>
      </c>
      <c r="AY167" s="37" t="n">
        <v>2.08</v>
      </c>
      <c r="AZ167" s="37" t="n">
        <v>1.43</v>
      </c>
      <c r="BA167" s="37" t="n">
        <v>2.55</v>
      </c>
      <c r="BB167" s="37" t="n">
        <v>1.3</v>
      </c>
      <c r="BC167" s="37" t="n">
        <v>0.67</v>
      </c>
      <c r="BD167" s="37" t="n">
        <v>0.5</v>
      </c>
      <c r="BE167" s="37" t="n">
        <v>1.21</v>
      </c>
      <c r="BF167" s="37" t="n">
        <v>1.2</v>
      </c>
      <c r="BG167" s="37" t="n">
        <v>0.79</v>
      </c>
      <c r="BH167" s="37" t="n">
        <v>1.35</v>
      </c>
      <c r="BI167" s="37" t="n">
        <v>1.3</v>
      </c>
      <c r="BJ167" s="37" t="n">
        <v>0.99</v>
      </c>
      <c r="BK167" s="37" t="n">
        <v>1.23</v>
      </c>
      <c r="BL167" s="37" t="n">
        <v>1.26</v>
      </c>
      <c r="BM167" s="37" t="n">
        <v>1.2</v>
      </c>
      <c r="BN167" s="37" t="n">
        <v>0.79</v>
      </c>
      <c r="BO167" s="37" t="n">
        <v>1.35</v>
      </c>
      <c r="BP167" s="37" t="n">
        <v>1.3</v>
      </c>
      <c r="BQ167" s="37" t="n">
        <v>1.27</v>
      </c>
      <c r="BR167" s="37" t="n">
        <v>1.23</v>
      </c>
      <c r="BS167" s="37" t="n">
        <v>1.26</v>
      </c>
      <c r="BT167" s="37" t="n">
        <v>1.2</v>
      </c>
      <c r="BU167" s="37" t="n">
        <v>0.79</v>
      </c>
      <c r="BV167" s="37" t="n">
        <v>1.35</v>
      </c>
      <c r="BW167" s="37" t="n">
        <v>1.3</v>
      </c>
      <c r="BX167" s="37" t="n">
        <v>1.27</v>
      </c>
      <c r="BY167" s="37" t="n">
        <v>1.23</v>
      </c>
      <c r="BZ167" s="37" t="n">
        <v>1.26</v>
      </c>
      <c r="CA167" s="37" t="n">
        <v>1.2</v>
      </c>
      <c r="CB167" s="37" t="n">
        <v>0.79</v>
      </c>
      <c r="CC167" s="37" t="n">
        <v>125.02</v>
      </c>
    </row>
    <row r="168" ht="15.75" customHeight="1" s="57">
      <c r="A168" s="7" t="inlineStr">
        <is>
          <t>NTB</t>
        </is>
      </c>
      <c r="B168" s="7" t="inlineStr">
        <is>
          <t>Khánh Hòa</t>
        </is>
      </c>
      <c r="C168" s="7" t="n">
        <v>20694000</v>
      </c>
      <c r="D168" s="7" t="inlineStr">
        <is>
          <t>(KHO) Ninh Hòa 1</t>
        </is>
      </c>
      <c r="E168" s="7" t="inlineStr">
        <is>
          <t>Shopee</t>
        </is>
      </c>
      <c r="F168" s="36" t="n">
        <v>3</v>
      </c>
      <c r="G168" s="36" t="n">
        <v>11</v>
      </c>
      <c r="H168" s="36" t="n">
        <v>12</v>
      </c>
      <c r="I168" s="36" t="n">
        <v>14</v>
      </c>
      <c r="J168" s="36" t="n">
        <v>5</v>
      </c>
      <c r="K168" s="28" t="n">
        <v>17</v>
      </c>
      <c r="L168" s="36" t="n">
        <v>15</v>
      </c>
      <c r="M168" s="36" t="n">
        <v>24</v>
      </c>
      <c r="N168" s="36" t="n">
        <v>5</v>
      </c>
      <c r="O168" s="36" t="n">
        <v>14</v>
      </c>
      <c r="P168" s="36" t="n">
        <v>14</v>
      </c>
      <c r="Q168" s="36" t="n">
        <v>7</v>
      </c>
      <c r="R168" s="28" t="n">
        <v>12</v>
      </c>
      <c r="S168" s="36" t="n">
        <v>10</v>
      </c>
      <c r="T168" s="36" t="n">
        <v>17</v>
      </c>
      <c r="U168" s="36" t="n">
        <v>16.32</v>
      </c>
      <c r="V168" s="36" t="n">
        <v>16.4</v>
      </c>
      <c r="W168" s="36" t="n">
        <v>15.82</v>
      </c>
      <c r="X168" s="36" t="n">
        <v>13.63</v>
      </c>
      <c r="Y168" s="28" t="n">
        <v>22.01</v>
      </c>
      <c r="Z168" s="36" t="n">
        <v>17.4</v>
      </c>
      <c r="AA168" s="36" t="n">
        <v>21.24</v>
      </c>
      <c r="AB168" s="36" t="n">
        <v>16.7</v>
      </c>
      <c r="AC168" s="36" t="n">
        <v>13.5</v>
      </c>
      <c r="AD168" s="36" t="n">
        <v>31.07</v>
      </c>
      <c r="AE168" s="36" t="n">
        <v>14.45</v>
      </c>
      <c r="AF168" s="28" t="n">
        <v>24.33</v>
      </c>
      <c r="AG168" s="36" t="n">
        <v>18.27</v>
      </c>
      <c r="AH168" s="37" t="n">
        <v>19.39</v>
      </c>
      <c r="AI168" s="37" t="n">
        <v>16.32</v>
      </c>
      <c r="AJ168" s="37" t="n">
        <v>16.4</v>
      </c>
      <c r="AK168" s="37" t="n">
        <v>17.35</v>
      </c>
      <c r="AL168" s="37" t="n">
        <v>24.41</v>
      </c>
      <c r="AM168" s="37" t="n">
        <v>22.01</v>
      </c>
      <c r="AN168" s="37" t="n">
        <v>17.4</v>
      </c>
      <c r="AO168" s="37" t="n">
        <v>19.39</v>
      </c>
      <c r="AP168" s="37" t="n">
        <v>17.94</v>
      </c>
      <c r="AQ168" s="37" t="n">
        <v>13.18</v>
      </c>
      <c r="AR168" s="37" t="n">
        <v>15.82</v>
      </c>
      <c r="AS168" s="37" t="n">
        <v>13.63</v>
      </c>
      <c r="AT168" s="37" t="n">
        <v>22.01</v>
      </c>
      <c r="AU168" s="37" t="n">
        <v>19.17</v>
      </c>
      <c r="AV168" s="37" t="n">
        <v>19.79</v>
      </c>
      <c r="AW168" s="37" t="n">
        <v>16.32</v>
      </c>
      <c r="AX168" s="37" t="n">
        <v>16.4</v>
      </c>
      <c r="AY168" s="37" t="n">
        <v>15.82</v>
      </c>
      <c r="AZ168" s="37" t="n">
        <v>13.63</v>
      </c>
      <c r="BA168" s="37" t="n">
        <v>18.84</v>
      </c>
      <c r="BB168" s="37" t="n">
        <v>13.08</v>
      </c>
      <c r="BC168" s="37" t="n">
        <v>5.84</v>
      </c>
      <c r="BD168" s="37" t="n">
        <v>9.81</v>
      </c>
      <c r="BE168" s="37" t="n">
        <v>19.64</v>
      </c>
      <c r="BF168" s="37" t="n">
        <v>18.89</v>
      </c>
      <c r="BG168" s="37" t="n">
        <v>13.35</v>
      </c>
      <c r="BH168" s="37" t="n">
        <v>20.96</v>
      </c>
      <c r="BI168" s="37" t="n">
        <v>13.7</v>
      </c>
      <c r="BJ168" s="37" t="n">
        <v>43.85</v>
      </c>
      <c r="BK168" s="37" t="n">
        <v>16.72</v>
      </c>
      <c r="BL168" s="37" t="n">
        <v>16.47</v>
      </c>
      <c r="BM168" s="37" t="n">
        <v>15.15</v>
      </c>
      <c r="BN168" s="37" t="n">
        <v>13.1</v>
      </c>
      <c r="BO168" s="37" t="n">
        <v>20.96</v>
      </c>
      <c r="BP168" s="37" t="n">
        <v>18.32</v>
      </c>
      <c r="BQ168" s="37" t="n">
        <v>28.15</v>
      </c>
      <c r="BR168" s="37" t="n">
        <v>15.62</v>
      </c>
      <c r="BS168" s="37" t="n">
        <v>15.7</v>
      </c>
      <c r="BT168" s="37" t="n">
        <v>15.15</v>
      </c>
      <c r="BU168" s="37" t="n">
        <v>14.33</v>
      </c>
      <c r="BV168" s="37" t="n">
        <v>16.92</v>
      </c>
      <c r="BW168" s="37" t="n">
        <v>16.62</v>
      </c>
      <c r="BX168" s="37" t="n">
        <v>18.49</v>
      </c>
      <c r="BY168" s="37" t="n">
        <v>15.62</v>
      </c>
      <c r="BZ168" s="37" t="n">
        <v>17.22</v>
      </c>
      <c r="CA168" s="37" t="n">
        <v>15.37</v>
      </c>
      <c r="CB168" s="37" t="n">
        <v>13.1</v>
      </c>
      <c r="CC168" s="37" t="n">
        <v>1238.49</v>
      </c>
    </row>
    <row r="169" ht="15.75" customHeight="1" s="57">
      <c r="A169" s="7" t="inlineStr">
        <is>
          <t>NTB</t>
        </is>
      </c>
      <c r="B169" s="7" t="inlineStr">
        <is>
          <t>Khánh Hòa</t>
        </is>
      </c>
      <c r="C169" s="7" t="n">
        <v>20694000</v>
      </c>
      <c r="D169" s="7" t="inlineStr">
        <is>
          <t>(KHO) Ninh Hòa 1</t>
        </is>
      </c>
      <c r="E169" s="7" t="inlineStr">
        <is>
          <t>Shopee-Bulky</t>
        </is>
      </c>
      <c r="F169" s="36" t="n">
        <v>0</v>
      </c>
      <c r="G169" s="36" t="n">
        <v>0</v>
      </c>
      <c r="H169" s="36" t="n">
        <v>1.14</v>
      </c>
      <c r="I169" s="36" t="n">
        <v>1.14</v>
      </c>
      <c r="J169" s="36" t="n">
        <v>0</v>
      </c>
      <c r="K169" s="28" t="n">
        <v>0</v>
      </c>
      <c r="L169" s="36" t="n">
        <v>0.57</v>
      </c>
      <c r="M169" s="36" t="n">
        <v>0.57</v>
      </c>
      <c r="N169" s="36" t="n">
        <v>1.14</v>
      </c>
      <c r="O169" s="36" t="n">
        <v>0</v>
      </c>
      <c r="P169" s="36" t="n">
        <v>0</v>
      </c>
      <c r="Q169" s="36" t="n">
        <v>0</v>
      </c>
      <c r="R169" s="28" t="n">
        <v>1.72</v>
      </c>
      <c r="S169" s="36" t="n">
        <v>0</v>
      </c>
      <c r="T169" s="36" t="n">
        <v>0.57</v>
      </c>
      <c r="U169" s="36" t="n">
        <v>0.96</v>
      </c>
      <c r="V169" s="36" t="n">
        <v>0.9</v>
      </c>
      <c r="W169" s="36" t="n">
        <v>1.08</v>
      </c>
      <c r="X169" s="36" t="n">
        <v>0.57</v>
      </c>
      <c r="Y169" s="28" t="n">
        <v>1.43</v>
      </c>
      <c r="Z169" s="36" t="n">
        <v>1.11</v>
      </c>
      <c r="AA169" s="36" t="n">
        <v>1.61</v>
      </c>
      <c r="AB169" s="36" t="n">
        <v>1.11</v>
      </c>
      <c r="AC169" s="36" t="n">
        <v>1.17</v>
      </c>
      <c r="AD169" s="36" t="n">
        <v>4.33</v>
      </c>
      <c r="AE169" s="36" t="n">
        <v>2.93</v>
      </c>
      <c r="AF169" s="28" t="n">
        <v>3.41</v>
      </c>
      <c r="AG169" s="36" t="n">
        <v>1.52</v>
      </c>
      <c r="AH169" s="37" t="n">
        <v>1.11</v>
      </c>
      <c r="AI169" s="37" t="n">
        <v>1.08</v>
      </c>
      <c r="AJ169" s="37" t="n">
        <v>0.99</v>
      </c>
      <c r="AK169" s="37" t="n">
        <v>2.15</v>
      </c>
      <c r="AL169" s="37" t="n">
        <v>1.23</v>
      </c>
      <c r="AM169" s="37" t="n">
        <v>1.82</v>
      </c>
      <c r="AN169" s="37" t="n">
        <v>1.11</v>
      </c>
      <c r="AO169" s="37" t="n">
        <v>1.05</v>
      </c>
      <c r="AP169" s="37" t="n">
        <v>1.88</v>
      </c>
      <c r="AQ169" s="37" t="n">
        <v>1.34</v>
      </c>
      <c r="AR169" s="37" t="n">
        <v>0.93</v>
      </c>
      <c r="AS169" s="37" t="n">
        <v>0.48</v>
      </c>
      <c r="AT169" s="37" t="n">
        <v>1.34</v>
      </c>
      <c r="AU169" s="37" t="n">
        <v>2.27</v>
      </c>
      <c r="AV169" s="37" t="n">
        <v>2.27</v>
      </c>
      <c r="AW169" s="37" t="n">
        <v>1.05</v>
      </c>
      <c r="AX169" s="37" t="n">
        <v>0.99</v>
      </c>
      <c r="AY169" s="37" t="n">
        <v>0.9</v>
      </c>
      <c r="AZ169" s="37" t="n">
        <v>0.48</v>
      </c>
      <c r="BA169" s="37" t="n">
        <v>1.25</v>
      </c>
      <c r="BB169" s="37" t="n">
        <v>0.87</v>
      </c>
      <c r="BC169" s="37" t="n">
        <v>0.27</v>
      </c>
      <c r="BD169" s="37" t="n">
        <v>0.42</v>
      </c>
      <c r="BE169" s="37" t="n">
        <v>1.43</v>
      </c>
      <c r="BF169" s="37" t="n">
        <v>1.23</v>
      </c>
      <c r="BG169" s="37" t="n">
        <v>0.63</v>
      </c>
      <c r="BH169" s="37" t="n">
        <v>1.52</v>
      </c>
      <c r="BI169" s="37" t="n">
        <v>1.37</v>
      </c>
      <c r="BJ169" s="37" t="n">
        <v>8.73</v>
      </c>
      <c r="BK169" s="37" t="n">
        <v>2.93</v>
      </c>
      <c r="BL169" s="37" t="n">
        <v>1.52</v>
      </c>
      <c r="BM169" s="37" t="n">
        <v>1.05</v>
      </c>
      <c r="BN169" s="37" t="n">
        <v>0.63</v>
      </c>
      <c r="BO169" s="37" t="n">
        <v>1.82</v>
      </c>
      <c r="BP169" s="37" t="n">
        <v>2.75</v>
      </c>
      <c r="BQ169" s="37" t="n">
        <v>2</v>
      </c>
      <c r="BR169" s="37" t="n">
        <v>1.31</v>
      </c>
      <c r="BS169" s="37" t="n">
        <v>1.23</v>
      </c>
      <c r="BT169" s="37" t="n">
        <v>0.87</v>
      </c>
      <c r="BU169" s="37" t="n">
        <v>1.52</v>
      </c>
      <c r="BV169" s="37" t="n">
        <v>1.67</v>
      </c>
      <c r="BW169" s="37" t="n">
        <v>1.37</v>
      </c>
      <c r="BX169" s="37" t="n">
        <v>1.31</v>
      </c>
      <c r="BY169" s="37" t="n">
        <v>1.31</v>
      </c>
      <c r="BZ169" s="37" t="n">
        <v>1.85</v>
      </c>
      <c r="CA169" s="37" t="n">
        <v>1.23</v>
      </c>
      <c r="CB169" s="37" t="n">
        <v>0.63</v>
      </c>
      <c r="CC169" s="37" t="n">
        <v>98.17</v>
      </c>
    </row>
    <row r="170" ht="15.75" customHeight="1" s="57">
      <c r="A170" s="7" t="inlineStr">
        <is>
          <t>NTB</t>
        </is>
      </c>
      <c r="B170" s="7" t="inlineStr">
        <is>
          <t>Khánh Hòa</t>
        </is>
      </c>
      <c r="C170" s="7" t="n">
        <v>20694000</v>
      </c>
      <c r="D170" s="7" t="inlineStr">
        <is>
          <t>(KHO) Ninh Hòa 1</t>
        </is>
      </c>
      <c r="E170" s="7" t="inlineStr">
        <is>
          <t>Shopee-Bulky (10-15kg)</t>
        </is>
      </c>
      <c r="F170" s="36" t="n">
        <v>0</v>
      </c>
      <c r="G170" s="36" t="n">
        <v>0</v>
      </c>
      <c r="H170" s="36" t="n">
        <v>0.86</v>
      </c>
      <c r="I170" s="36" t="n">
        <v>0.86</v>
      </c>
      <c r="J170" s="36" t="n">
        <v>0</v>
      </c>
      <c r="K170" s="28" t="n">
        <v>0</v>
      </c>
      <c r="L170" s="36" t="n">
        <v>0.43</v>
      </c>
      <c r="M170" s="36" t="n">
        <v>0.43</v>
      </c>
      <c r="N170" s="36" t="n">
        <v>0.86</v>
      </c>
      <c r="O170" s="36" t="n">
        <v>0</v>
      </c>
      <c r="P170" s="36" t="n">
        <v>0</v>
      </c>
      <c r="Q170" s="36" t="n">
        <v>0</v>
      </c>
      <c r="R170" s="28" t="n">
        <v>1.28</v>
      </c>
      <c r="S170" s="36" t="n">
        <v>0</v>
      </c>
      <c r="T170" s="36" t="n">
        <v>0.43</v>
      </c>
      <c r="U170" s="36" t="n">
        <v>0.6899999999999999</v>
      </c>
      <c r="V170" s="36" t="n">
        <v>0.72</v>
      </c>
      <c r="W170" s="36" t="n">
        <v>0.87</v>
      </c>
      <c r="X170" s="36" t="n">
        <v>0.54</v>
      </c>
      <c r="Y170" s="28" t="n">
        <v>0.93</v>
      </c>
      <c r="Z170" s="36" t="n">
        <v>0.72</v>
      </c>
      <c r="AA170" s="36" t="n">
        <v>1.02</v>
      </c>
      <c r="AB170" s="36" t="n">
        <v>0.72</v>
      </c>
      <c r="AC170" s="36" t="n">
        <v>0.84</v>
      </c>
      <c r="AD170" s="36" t="n">
        <v>3.76</v>
      </c>
      <c r="AE170" s="36" t="n">
        <v>2.03</v>
      </c>
      <c r="AF170" s="28" t="n">
        <v>2.12</v>
      </c>
      <c r="AG170" s="36" t="n">
        <v>1.14</v>
      </c>
      <c r="AH170" s="37" t="n">
        <v>0.72</v>
      </c>
      <c r="AI170" s="37" t="n">
        <v>0.78</v>
      </c>
      <c r="AJ170" s="37" t="n">
        <v>0.75</v>
      </c>
      <c r="AK170" s="37" t="n">
        <v>1.49</v>
      </c>
      <c r="AL170" s="37" t="n">
        <v>0.9</v>
      </c>
      <c r="AM170" s="37" t="n">
        <v>1.2</v>
      </c>
      <c r="AN170" s="37" t="n">
        <v>0.72</v>
      </c>
      <c r="AO170" s="37" t="n">
        <v>0.72</v>
      </c>
      <c r="AP170" s="37" t="n">
        <v>1.14</v>
      </c>
      <c r="AQ170" s="37" t="n">
        <v>0.99</v>
      </c>
      <c r="AR170" s="37" t="n">
        <v>0.75</v>
      </c>
      <c r="AS170" s="37" t="n">
        <v>0.42</v>
      </c>
      <c r="AT170" s="37" t="n">
        <v>0.9</v>
      </c>
      <c r="AU170" s="37" t="n">
        <v>1.64</v>
      </c>
      <c r="AV170" s="37" t="n">
        <v>1.58</v>
      </c>
      <c r="AW170" s="37" t="n">
        <v>0.72</v>
      </c>
      <c r="AX170" s="37" t="n">
        <v>0.72</v>
      </c>
      <c r="AY170" s="37" t="n">
        <v>0.75</v>
      </c>
      <c r="AZ170" s="37" t="n">
        <v>0.42</v>
      </c>
      <c r="BA170" s="37" t="n">
        <v>0.9</v>
      </c>
      <c r="BB170" s="37" t="n">
        <v>0.63</v>
      </c>
      <c r="BC170" s="37" t="n">
        <v>0.12</v>
      </c>
      <c r="BD170" s="37" t="n">
        <v>0.33</v>
      </c>
      <c r="BE170" s="37" t="n">
        <v>0.96</v>
      </c>
      <c r="BF170" s="37" t="n">
        <v>0.8100000000000001</v>
      </c>
      <c r="BG170" s="37" t="n">
        <v>0.63</v>
      </c>
      <c r="BH170" s="37" t="n">
        <v>1.11</v>
      </c>
      <c r="BI170" s="37" t="n">
        <v>0.84</v>
      </c>
      <c r="BJ170" s="37" t="n">
        <v>4.93</v>
      </c>
      <c r="BK170" s="37" t="n">
        <v>1.7</v>
      </c>
      <c r="BL170" s="37" t="n">
        <v>1.11</v>
      </c>
      <c r="BM170" s="37" t="n">
        <v>0.72</v>
      </c>
      <c r="BN170" s="37" t="n">
        <v>0.57</v>
      </c>
      <c r="BO170" s="37" t="n">
        <v>1.25</v>
      </c>
      <c r="BP170" s="37" t="n">
        <v>1.82</v>
      </c>
      <c r="BQ170" s="37" t="n">
        <v>1.4</v>
      </c>
      <c r="BR170" s="37" t="n">
        <v>0.8100000000000001</v>
      </c>
      <c r="BS170" s="37" t="n">
        <v>0.8100000000000001</v>
      </c>
      <c r="BT170" s="37" t="n">
        <v>0.66</v>
      </c>
      <c r="BU170" s="37" t="n">
        <v>1.02</v>
      </c>
      <c r="BV170" s="37" t="n">
        <v>1.17</v>
      </c>
      <c r="BW170" s="37" t="n">
        <v>0.84</v>
      </c>
      <c r="BX170" s="37" t="n">
        <v>0.84</v>
      </c>
      <c r="BY170" s="37" t="n">
        <v>0.8100000000000001</v>
      </c>
      <c r="BZ170" s="37" t="n">
        <v>1.4</v>
      </c>
      <c r="CA170" s="37" t="n">
        <v>0.9</v>
      </c>
      <c r="CB170" s="37" t="n">
        <v>0.57</v>
      </c>
      <c r="CC170" s="37" t="n">
        <v>68.22000000000001</v>
      </c>
    </row>
    <row r="171" ht="15.75" customHeight="1" s="57">
      <c r="A171" s="7" t="inlineStr">
        <is>
          <t>NTB</t>
        </is>
      </c>
      <c r="B171" s="7" t="inlineStr">
        <is>
          <t>Khánh Hòa</t>
        </is>
      </c>
      <c r="C171" s="7" t="n">
        <v>20694000</v>
      </c>
      <c r="D171" s="7" t="inlineStr">
        <is>
          <t>(KHO) Ninh Hòa 1</t>
        </is>
      </c>
      <c r="E171" s="7" t="inlineStr">
        <is>
          <t>TTS</t>
        </is>
      </c>
      <c r="F171" s="36" t="n">
        <v>30</v>
      </c>
      <c r="G171" s="36" t="n">
        <v>37</v>
      </c>
      <c r="H171" s="36" t="n">
        <v>48</v>
      </c>
      <c r="I171" s="36" t="n">
        <v>40</v>
      </c>
      <c r="J171" s="36" t="n">
        <v>46</v>
      </c>
      <c r="K171" s="28" t="n">
        <v>64</v>
      </c>
      <c r="L171" s="36" t="n">
        <v>53</v>
      </c>
      <c r="M171" s="36" t="n">
        <v>43</v>
      </c>
      <c r="N171" s="36" t="n">
        <v>33</v>
      </c>
      <c r="O171" s="36" t="n">
        <v>77</v>
      </c>
      <c r="P171" s="36" t="n">
        <v>57</v>
      </c>
      <c r="Q171" s="36" t="n">
        <v>44</v>
      </c>
      <c r="R171" s="28" t="n">
        <v>56</v>
      </c>
      <c r="S171" s="36" t="n">
        <v>50</v>
      </c>
      <c r="T171" s="36" t="n">
        <v>37</v>
      </c>
      <c r="U171" s="36" t="n">
        <v>45.16</v>
      </c>
      <c r="V171" s="36" t="n">
        <v>44.18</v>
      </c>
      <c r="W171" s="36" t="n">
        <v>43.2</v>
      </c>
      <c r="X171" s="36" t="n">
        <v>34.85</v>
      </c>
      <c r="Y171" s="28" t="n">
        <v>50.59</v>
      </c>
      <c r="Z171" s="36" t="n">
        <v>43.14</v>
      </c>
      <c r="AA171" s="36" t="n">
        <v>48.49</v>
      </c>
      <c r="AB171" s="36" t="n">
        <v>53.25</v>
      </c>
      <c r="AC171" s="36" t="n">
        <v>56.25</v>
      </c>
      <c r="AD171" s="36" t="n">
        <v>53.77</v>
      </c>
      <c r="AE171" s="36" t="n">
        <v>40.4</v>
      </c>
      <c r="AF171" s="28" t="n">
        <v>52.15</v>
      </c>
      <c r="AG171" s="36" t="n">
        <v>44.05</v>
      </c>
      <c r="AH171" s="37" t="n">
        <v>43.59</v>
      </c>
      <c r="AI171" s="37" t="n">
        <v>50.45</v>
      </c>
      <c r="AJ171" s="37" t="n">
        <v>53.71</v>
      </c>
      <c r="AK171" s="37" t="n">
        <v>53.12</v>
      </c>
      <c r="AL171" s="37" t="n">
        <v>37.92</v>
      </c>
      <c r="AM171" s="37" t="n">
        <v>51.16999999999999</v>
      </c>
      <c r="AN171" s="37" t="n">
        <v>44.31</v>
      </c>
      <c r="AO171" s="37" t="n">
        <v>44.25</v>
      </c>
      <c r="AP171" s="37" t="n">
        <v>42.94</v>
      </c>
      <c r="AQ171" s="37" t="n">
        <v>43.33</v>
      </c>
      <c r="AR171" s="37" t="n">
        <v>42.68</v>
      </c>
      <c r="AS171" s="37" t="n">
        <v>34.91</v>
      </c>
      <c r="AT171" s="37" t="n">
        <v>55.35</v>
      </c>
      <c r="AU171" s="37" t="n">
        <v>50.38</v>
      </c>
      <c r="AV171" s="37" t="n">
        <v>44.77</v>
      </c>
      <c r="AW171" s="37" t="n">
        <v>42.61</v>
      </c>
      <c r="AX171" s="37" t="n">
        <v>41.9</v>
      </c>
      <c r="AY171" s="37" t="n">
        <v>42.03</v>
      </c>
      <c r="AZ171" s="37" t="n">
        <v>34.91</v>
      </c>
      <c r="BA171" s="37" t="n">
        <v>49.87</v>
      </c>
      <c r="BB171" s="37" t="n">
        <v>46.79</v>
      </c>
      <c r="BC171" s="37" t="n">
        <v>24.67</v>
      </c>
      <c r="BD171" s="37" t="n">
        <v>34.26</v>
      </c>
      <c r="BE171" s="37" t="n">
        <v>78.71000000000001</v>
      </c>
      <c r="BF171" s="37" t="n">
        <v>76.49000000000001</v>
      </c>
      <c r="BG171" s="37" t="n">
        <v>37.92</v>
      </c>
      <c r="BH171" s="37" t="n">
        <v>55.28</v>
      </c>
      <c r="BI171" s="37" t="n">
        <v>46.79</v>
      </c>
      <c r="BJ171" s="37" t="n">
        <v>41.18</v>
      </c>
      <c r="BK171" s="37" t="n">
        <v>47.57</v>
      </c>
      <c r="BL171" s="37" t="n">
        <v>47.57</v>
      </c>
      <c r="BM171" s="37" t="n">
        <v>46.2</v>
      </c>
      <c r="BN171" s="37" t="n">
        <v>37.92</v>
      </c>
      <c r="BO171" s="37" t="n">
        <v>55.28</v>
      </c>
      <c r="BP171" s="37" t="n">
        <v>46.79</v>
      </c>
      <c r="BQ171" s="37" t="n">
        <v>46.27</v>
      </c>
      <c r="BR171" s="37" t="n">
        <v>47.57</v>
      </c>
      <c r="BS171" s="37" t="n">
        <v>47.57</v>
      </c>
      <c r="BT171" s="37" t="n">
        <v>46.2</v>
      </c>
      <c r="BU171" s="37" t="n">
        <v>37.92</v>
      </c>
      <c r="BV171" s="37" t="n">
        <v>55.28</v>
      </c>
      <c r="BW171" s="37" t="n">
        <v>46.79</v>
      </c>
      <c r="BX171" s="37" t="n">
        <v>46.27</v>
      </c>
      <c r="BY171" s="37" t="n">
        <v>47.57</v>
      </c>
      <c r="BZ171" s="37" t="n">
        <v>47.57</v>
      </c>
      <c r="CA171" s="37" t="n">
        <v>46.2</v>
      </c>
      <c r="CB171" s="37" t="n">
        <v>37.92</v>
      </c>
      <c r="CC171" s="37" t="n">
        <v>3505.230000000001</v>
      </c>
    </row>
    <row r="172" ht="15.75" customHeight="1" s="57">
      <c r="A172" s="7" t="inlineStr">
        <is>
          <t>NTB</t>
        </is>
      </c>
      <c r="B172" s="7" t="inlineStr">
        <is>
          <t>Khánh Hòa</t>
        </is>
      </c>
      <c r="C172" s="7" t="n">
        <v>20694000</v>
      </c>
      <c r="D172" s="7" t="inlineStr">
        <is>
          <t>(KHO) Ninh Hòa 1</t>
        </is>
      </c>
      <c r="E172" s="7" t="inlineStr">
        <is>
          <t>TTS-Bulky</t>
        </is>
      </c>
      <c r="F172" s="36" t="n">
        <v>0</v>
      </c>
      <c r="G172" s="36" t="n">
        <v>0</v>
      </c>
      <c r="H172" s="36" t="n">
        <v>0</v>
      </c>
      <c r="I172" s="36" t="n">
        <v>0</v>
      </c>
      <c r="J172" s="36" t="n">
        <v>0</v>
      </c>
      <c r="K172" s="28" t="n">
        <v>0</v>
      </c>
      <c r="L172" s="36" t="n">
        <v>0</v>
      </c>
      <c r="M172" s="36" t="n">
        <v>0</v>
      </c>
      <c r="N172" s="36" t="n">
        <v>1</v>
      </c>
      <c r="O172" s="36" t="n">
        <v>0</v>
      </c>
      <c r="P172" s="36" t="n">
        <v>0</v>
      </c>
      <c r="Q172" s="36" t="n">
        <v>0</v>
      </c>
      <c r="R172" s="28" t="n">
        <v>0</v>
      </c>
      <c r="S172" s="36" t="n">
        <v>0</v>
      </c>
      <c r="T172" s="36" t="n">
        <v>0</v>
      </c>
      <c r="U172" s="36" t="n">
        <v>0.16</v>
      </c>
      <c r="V172" s="36" t="n">
        <v>0.17</v>
      </c>
      <c r="W172" s="36" t="n">
        <v>0.08</v>
      </c>
      <c r="X172" s="36" t="n">
        <v>0.05</v>
      </c>
      <c r="Y172" s="28" t="n">
        <v>0.08</v>
      </c>
      <c r="Z172" s="36" t="n">
        <v>0.07000000000000001</v>
      </c>
      <c r="AA172" s="36" t="n">
        <v>0.08</v>
      </c>
      <c r="AB172" s="36" t="n">
        <v>0.08</v>
      </c>
      <c r="AC172" s="36" t="n">
        <v>0.1</v>
      </c>
      <c r="AD172" s="36" t="n">
        <v>0.05</v>
      </c>
      <c r="AE172" s="36" t="n">
        <v>0.05</v>
      </c>
      <c r="AF172" s="28" t="n">
        <v>0.08</v>
      </c>
      <c r="AG172" s="36" t="n">
        <v>0.08</v>
      </c>
      <c r="AH172" s="37" t="n">
        <v>0.08</v>
      </c>
      <c r="AI172" s="37" t="n">
        <v>0.08</v>
      </c>
      <c r="AJ172" s="37" t="n">
        <v>0.08</v>
      </c>
      <c r="AK172" s="37" t="n">
        <v>0.08</v>
      </c>
      <c r="AL172" s="37" t="n">
        <v>0.05</v>
      </c>
      <c r="AM172" s="37" t="n">
        <v>0.08</v>
      </c>
      <c r="AN172" s="37" t="n">
        <v>0.08</v>
      </c>
      <c r="AO172" s="37" t="n">
        <v>0.08</v>
      </c>
      <c r="AP172" s="37" t="n">
        <v>0.08</v>
      </c>
      <c r="AQ172" s="37" t="n">
        <v>0.08</v>
      </c>
      <c r="AR172" s="37" t="n">
        <v>0.08</v>
      </c>
      <c r="AS172" s="37" t="n">
        <v>0.05</v>
      </c>
      <c r="AT172" s="37" t="n">
        <v>0.09</v>
      </c>
      <c r="AU172" s="37" t="n">
        <v>0.09</v>
      </c>
      <c r="AV172" s="37" t="n">
        <v>0.08</v>
      </c>
      <c r="AW172" s="37" t="n">
        <v>0.08</v>
      </c>
      <c r="AX172" s="37" t="n">
        <v>0.08</v>
      </c>
      <c r="AY172" s="37" t="n">
        <v>0.08</v>
      </c>
      <c r="AZ172" s="37" t="n">
        <v>0.05</v>
      </c>
      <c r="BA172" s="37" t="n">
        <v>0.08</v>
      </c>
      <c r="BB172" s="37" t="n">
        <v>0.02</v>
      </c>
      <c r="BC172" s="37" t="n">
        <v>0.01</v>
      </c>
      <c r="BD172" s="37" t="n">
        <v>0.01</v>
      </c>
      <c r="BE172" s="37" t="n">
        <v>0.02</v>
      </c>
      <c r="BF172" s="37" t="n">
        <v>0.02</v>
      </c>
      <c r="BG172" s="37" t="n">
        <v>0.01</v>
      </c>
      <c r="BH172" s="37" t="n">
        <v>0.02</v>
      </c>
      <c r="BI172" s="37" t="n">
        <v>0.02</v>
      </c>
      <c r="BJ172" s="37" t="n">
        <v>0.01</v>
      </c>
      <c r="BK172" s="37" t="n">
        <v>0.02</v>
      </c>
      <c r="BL172" s="37" t="n">
        <v>0.02</v>
      </c>
      <c r="BM172" s="37" t="n">
        <v>0.02</v>
      </c>
      <c r="BN172" s="37" t="n">
        <v>0.01</v>
      </c>
      <c r="BO172" s="37" t="n">
        <v>0.03</v>
      </c>
      <c r="BP172" s="37" t="n">
        <v>0.02</v>
      </c>
      <c r="BQ172" s="37" t="n">
        <v>0.02</v>
      </c>
      <c r="BR172" s="37" t="n">
        <v>0.02</v>
      </c>
      <c r="BS172" s="37" t="n">
        <v>0.02</v>
      </c>
      <c r="BT172" s="37" t="n">
        <v>0.02</v>
      </c>
      <c r="BU172" s="37" t="n">
        <v>0.01</v>
      </c>
      <c r="BV172" s="37" t="n">
        <v>0.02</v>
      </c>
      <c r="BW172" s="37" t="n">
        <v>0.02</v>
      </c>
      <c r="BX172" s="37" t="n">
        <v>0.02</v>
      </c>
      <c r="BY172" s="37" t="n">
        <v>0.02</v>
      </c>
      <c r="BZ172" s="37" t="n">
        <v>0.02</v>
      </c>
      <c r="CA172" s="37" t="n">
        <v>0.02</v>
      </c>
      <c r="CB172" s="37" t="n">
        <v>0.01</v>
      </c>
      <c r="CC172" s="37" t="n">
        <v>4.139999999999997</v>
      </c>
    </row>
    <row r="173" ht="15.75" customHeight="1" s="57">
      <c r="A173" s="7" t="inlineStr">
        <is>
          <t>NTB</t>
        </is>
      </c>
      <c r="B173" s="7" t="inlineStr">
        <is>
          <t>Khánh Hòa</t>
        </is>
      </c>
      <c r="C173" s="7" t="n">
        <v>20784000</v>
      </c>
      <c r="D173" s="7" t="inlineStr">
        <is>
          <t>(KHO) Khánh Sơn</t>
        </is>
      </c>
      <c r="E173" s="7" t="inlineStr">
        <is>
          <t>SME</t>
        </is>
      </c>
      <c r="F173" s="36" t="n">
        <v>2</v>
      </c>
      <c r="G173" s="36" t="n">
        <v>4</v>
      </c>
      <c r="H173" s="36" t="n">
        <v>4</v>
      </c>
      <c r="I173" s="36" t="n">
        <v>4</v>
      </c>
      <c r="J173" s="36" t="n">
        <v>2</v>
      </c>
      <c r="K173" s="28" t="n">
        <v>2</v>
      </c>
      <c r="L173" s="36" t="n">
        <v>2</v>
      </c>
      <c r="M173" s="36" t="n">
        <v>1</v>
      </c>
      <c r="N173" s="36" t="n">
        <v>2</v>
      </c>
      <c r="O173" s="36" t="n">
        <v>1</v>
      </c>
      <c r="P173" s="36" t="n">
        <v>6</v>
      </c>
      <c r="Q173" s="36" t="n">
        <v>3</v>
      </c>
      <c r="R173" s="28" t="n">
        <v>2</v>
      </c>
      <c r="S173" s="36" t="n">
        <v>3</v>
      </c>
      <c r="T173" s="36" t="n">
        <v>4</v>
      </c>
      <c r="U173" s="36" t="n">
        <v>3.25</v>
      </c>
      <c r="V173" s="36" t="n">
        <v>3.37</v>
      </c>
      <c r="W173" s="36" t="n">
        <v>3.28</v>
      </c>
      <c r="X173" s="36" t="n">
        <v>2.68</v>
      </c>
      <c r="Y173" s="28" t="n">
        <v>3.63</v>
      </c>
      <c r="Z173" s="36" t="n">
        <v>3.34</v>
      </c>
      <c r="AA173" s="36" t="n">
        <v>3.27</v>
      </c>
      <c r="AB173" s="36" t="n">
        <v>3.25</v>
      </c>
      <c r="AC173" s="36" t="n">
        <v>3.37</v>
      </c>
      <c r="AD173" s="36" t="n">
        <v>3.81</v>
      </c>
      <c r="AE173" s="36" t="n">
        <v>2.68</v>
      </c>
      <c r="AF173" s="28" t="n">
        <v>3.63</v>
      </c>
      <c r="AG173" s="36" t="n">
        <v>3.34</v>
      </c>
      <c r="AH173" s="37" t="n">
        <v>3.27</v>
      </c>
      <c r="AI173" s="37" t="n">
        <v>3.25</v>
      </c>
      <c r="AJ173" s="37" t="n">
        <v>3.37</v>
      </c>
      <c r="AK173" s="37" t="n">
        <v>3.28</v>
      </c>
      <c r="AL173" s="37" t="n">
        <v>2.68</v>
      </c>
      <c r="AM173" s="37" t="n">
        <v>3.63</v>
      </c>
      <c r="AN173" s="37" t="n">
        <v>3.34</v>
      </c>
      <c r="AO173" s="37" t="n">
        <v>3.27</v>
      </c>
      <c r="AP173" s="37" t="n">
        <v>3.25</v>
      </c>
      <c r="AQ173" s="37" t="n">
        <v>3.37</v>
      </c>
      <c r="AR173" s="37" t="n">
        <v>3.28</v>
      </c>
      <c r="AS173" s="37" t="n">
        <v>2.68</v>
      </c>
      <c r="AT173" s="37" t="n">
        <v>3.63</v>
      </c>
      <c r="AU173" s="37" t="n">
        <v>3.34</v>
      </c>
      <c r="AV173" s="37" t="n">
        <v>3.27</v>
      </c>
      <c r="AW173" s="37" t="n">
        <v>3.25</v>
      </c>
      <c r="AX173" s="37" t="n">
        <v>3.37</v>
      </c>
      <c r="AY173" s="37" t="n">
        <v>3.28</v>
      </c>
      <c r="AZ173" s="37" t="n">
        <v>2.68</v>
      </c>
      <c r="BA173" s="37" t="n">
        <v>3.45</v>
      </c>
      <c r="BB173" s="37" t="n">
        <v>3.07</v>
      </c>
      <c r="BC173" s="37" t="n">
        <v>1.89</v>
      </c>
      <c r="BD173" s="37" t="n">
        <v>1.47</v>
      </c>
      <c r="BE173" s="37" t="n">
        <v>3.16</v>
      </c>
      <c r="BF173" s="37" t="n">
        <v>3.08</v>
      </c>
      <c r="BG173" s="37" t="n">
        <v>2.77</v>
      </c>
      <c r="BH173" s="37" t="n">
        <v>3.74</v>
      </c>
      <c r="BI173" s="37" t="n">
        <v>3.45</v>
      </c>
      <c r="BJ173" s="37" t="n">
        <v>3.91</v>
      </c>
      <c r="BK173" s="37" t="n">
        <v>3.36</v>
      </c>
      <c r="BL173" s="37" t="n">
        <v>3.47</v>
      </c>
      <c r="BM173" s="37" t="n">
        <v>3.38</v>
      </c>
      <c r="BN173" s="37" t="n">
        <v>2.77</v>
      </c>
      <c r="BO173" s="37" t="n">
        <v>3.74</v>
      </c>
      <c r="BP173" s="37" t="n">
        <v>3.45</v>
      </c>
      <c r="BQ173" s="37" t="n">
        <v>3.37</v>
      </c>
      <c r="BR173" s="37" t="n">
        <v>3.36</v>
      </c>
      <c r="BS173" s="37" t="n">
        <v>3.47</v>
      </c>
      <c r="BT173" s="37" t="n">
        <v>3.38</v>
      </c>
      <c r="BU173" s="37" t="n">
        <v>2.77</v>
      </c>
      <c r="BV173" s="37" t="n">
        <v>3.74</v>
      </c>
      <c r="BW173" s="37" t="n">
        <v>3.45</v>
      </c>
      <c r="BX173" s="37" t="n">
        <v>3.37</v>
      </c>
      <c r="BY173" s="37" t="n">
        <v>3.36</v>
      </c>
      <c r="BZ173" s="37" t="n">
        <v>3.47</v>
      </c>
      <c r="CA173" s="37" t="n">
        <v>3.38</v>
      </c>
      <c r="CB173" s="37" t="n">
        <v>2.77</v>
      </c>
      <c r="CC173" s="37" t="n">
        <v>236.4400000000001</v>
      </c>
    </row>
    <row r="174" ht="15.75" customHeight="1" s="57">
      <c r="A174" s="7" t="inlineStr">
        <is>
          <t>NTB</t>
        </is>
      </c>
      <c r="B174" s="7" t="inlineStr">
        <is>
          <t>Khánh Hòa</t>
        </is>
      </c>
      <c r="C174" s="7" t="n">
        <v>20784000</v>
      </c>
      <c r="D174" s="7" t="inlineStr">
        <is>
          <t>(KHO) Khánh Sơn</t>
        </is>
      </c>
      <c r="E174" s="7" t="inlineStr">
        <is>
          <t>SME-Bulky</t>
        </is>
      </c>
      <c r="F174" s="36" t="n">
        <v>1</v>
      </c>
      <c r="G174" s="36" t="n">
        <v>2</v>
      </c>
      <c r="H174" s="36" t="n">
        <v>2</v>
      </c>
      <c r="I174" s="36" t="n">
        <v>1</v>
      </c>
      <c r="J174" s="36" t="n">
        <v>4</v>
      </c>
      <c r="K174" s="28" t="n">
        <v>0</v>
      </c>
      <c r="L174" s="36" t="n">
        <v>0</v>
      </c>
      <c r="M174" s="36" t="n">
        <v>0</v>
      </c>
      <c r="N174" s="36" t="n">
        <v>0</v>
      </c>
      <c r="O174" s="36" t="n">
        <v>0</v>
      </c>
      <c r="P174" s="36" t="n">
        <v>0</v>
      </c>
      <c r="Q174" s="36" t="n">
        <v>1</v>
      </c>
      <c r="R174" s="28" t="n">
        <v>0</v>
      </c>
      <c r="S174" s="36" t="n">
        <v>0</v>
      </c>
      <c r="T174" s="36" t="n">
        <v>0</v>
      </c>
      <c r="U174" s="36" t="n">
        <v>0.13</v>
      </c>
      <c r="V174" s="36" t="n">
        <v>0.13</v>
      </c>
      <c r="W174" s="36" t="n">
        <v>0.12</v>
      </c>
      <c r="X174" s="36" t="n">
        <v>0.08</v>
      </c>
      <c r="Y174" s="28" t="n">
        <v>0.14</v>
      </c>
      <c r="Z174" s="36" t="n">
        <v>0.13</v>
      </c>
      <c r="AA174" s="36" t="n">
        <v>0.13</v>
      </c>
      <c r="AB174" s="36" t="n">
        <v>0.13</v>
      </c>
      <c r="AC174" s="36" t="n">
        <v>0.13</v>
      </c>
      <c r="AD174" s="36" t="n">
        <v>0.08</v>
      </c>
      <c r="AE174" s="36" t="n">
        <v>0.08</v>
      </c>
      <c r="AF174" s="28" t="n">
        <v>0.14</v>
      </c>
      <c r="AG174" s="36" t="n">
        <v>0.13</v>
      </c>
      <c r="AH174" s="37" t="n">
        <v>0.13</v>
      </c>
      <c r="AI174" s="37" t="n">
        <v>0.13</v>
      </c>
      <c r="AJ174" s="37" t="n">
        <v>0.13</v>
      </c>
      <c r="AK174" s="37" t="n">
        <v>0.12</v>
      </c>
      <c r="AL174" s="37" t="n">
        <v>0.08</v>
      </c>
      <c r="AM174" s="37" t="n">
        <v>0.14</v>
      </c>
      <c r="AN174" s="37" t="n">
        <v>0.13</v>
      </c>
      <c r="AO174" s="37" t="n">
        <v>0.13</v>
      </c>
      <c r="AP174" s="37" t="n">
        <v>0.13</v>
      </c>
      <c r="AQ174" s="37" t="n">
        <v>0.13</v>
      </c>
      <c r="AR174" s="37" t="n">
        <v>0.12</v>
      </c>
      <c r="AS174" s="37" t="n">
        <v>0.08</v>
      </c>
      <c r="AT174" s="37" t="n">
        <v>0.14</v>
      </c>
      <c r="AU174" s="37" t="n">
        <v>0.13</v>
      </c>
      <c r="AV174" s="37" t="n">
        <v>0.13</v>
      </c>
      <c r="AW174" s="37" t="n">
        <v>0.13</v>
      </c>
      <c r="AX174" s="37" t="n">
        <v>0.13</v>
      </c>
      <c r="AY174" s="37" t="n">
        <v>0.12</v>
      </c>
      <c r="AZ174" s="37" t="n">
        <v>0.08</v>
      </c>
      <c r="BA174" s="37" t="n">
        <v>0.15</v>
      </c>
      <c r="BB174" s="37" t="n">
        <v>0.08</v>
      </c>
      <c r="BC174" s="37" t="n">
        <v>0.04</v>
      </c>
      <c r="BD174" s="37" t="n">
        <v>0.03</v>
      </c>
      <c r="BE174" s="37" t="n">
        <v>0.07000000000000001</v>
      </c>
      <c r="BF174" s="37" t="n">
        <v>0.07000000000000001</v>
      </c>
      <c r="BG174" s="37" t="n">
        <v>0.05</v>
      </c>
      <c r="BH174" s="37" t="n">
        <v>0.08</v>
      </c>
      <c r="BI174" s="37" t="n">
        <v>0.08</v>
      </c>
      <c r="BJ174" s="37" t="n">
        <v>0.06</v>
      </c>
      <c r="BK174" s="37" t="n">
        <v>0.07000000000000001</v>
      </c>
      <c r="BL174" s="37" t="n">
        <v>0.07000000000000001</v>
      </c>
      <c r="BM174" s="37" t="n">
        <v>0.07000000000000001</v>
      </c>
      <c r="BN174" s="37" t="n">
        <v>0.05</v>
      </c>
      <c r="BO174" s="37" t="n">
        <v>0.08</v>
      </c>
      <c r="BP174" s="37" t="n">
        <v>0.08</v>
      </c>
      <c r="BQ174" s="37" t="n">
        <v>0.07000000000000001</v>
      </c>
      <c r="BR174" s="37" t="n">
        <v>0.07000000000000001</v>
      </c>
      <c r="BS174" s="37" t="n">
        <v>0.07000000000000001</v>
      </c>
      <c r="BT174" s="37" t="n">
        <v>0.07000000000000001</v>
      </c>
      <c r="BU174" s="37" t="n">
        <v>0.05</v>
      </c>
      <c r="BV174" s="37" t="n">
        <v>0.08</v>
      </c>
      <c r="BW174" s="37" t="n">
        <v>0.08</v>
      </c>
      <c r="BX174" s="37" t="n">
        <v>0.07000000000000001</v>
      </c>
      <c r="BY174" s="37" t="n">
        <v>0.07000000000000001</v>
      </c>
      <c r="BZ174" s="37" t="n">
        <v>0.07000000000000001</v>
      </c>
      <c r="CA174" s="37" t="n">
        <v>0.07000000000000001</v>
      </c>
      <c r="CB174" s="37" t="n">
        <v>0.05</v>
      </c>
      <c r="CC174" s="37" t="n">
        <v>16.81000000000002</v>
      </c>
    </row>
    <row r="175" ht="15.75" customHeight="1" s="57">
      <c r="A175" s="7" t="inlineStr">
        <is>
          <t>NTB</t>
        </is>
      </c>
      <c r="B175" s="7" t="inlineStr">
        <is>
          <t>Khánh Hòa</t>
        </is>
      </c>
      <c r="C175" s="7" t="n">
        <v>20784000</v>
      </c>
      <c r="D175" s="7" t="inlineStr">
        <is>
          <t>(KHO) Khánh Sơn</t>
        </is>
      </c>
      <c r="E175" s="7" t="inlineStr">
        <is>
          <t>Shopee</t>
        </is>
      </c>
      <c r="F175" s="36" t="n">
        <v>1</v>
      </c>
      <c r="G175" s="36" t="n">
        <v>0</v>
      </c>
      <c r="H175" s="36" t="n">
        <v>1</v>
      </c>
      <c r="I175" s="36" t="n">
        <v>0</v>
      </c>
      <c r="J175" s="36" t="n">
        <v>0</v>
      </c>
      <c r="K175" s="28" t="n">
        <v>0</v>
      </c>
      <c r="L175" s="36" t="n">
        <v>1</v>
      </c>
      <c r="M175" s="36" t="n">
        <v>0</v>
      </c>
      <c r="N175" s="36" t="n">
        <v>0</v>
      </c>
      <c r="O175" s="36" t="n">
        <v>0</v>
      </c>
      <c r="P175" s="36" t="n">
        <v>1</v>
      </c>
      <c r="Q175" s="36" t="n">
        <v>0</v>
      </c>
      <c r="R175" s="28" t="n">
        <v>0</v>
      </c>
      <c r="S175" s="36" t="n">
        <v>0</v>
      </c>
      <c r="T175" s="36" t="n">
        <v>0</v>
      </c>
      <c r="U175" s="36" t="n">
        <v>0</v>
      </c>
      <c r="V175" s="36" t="n">
        <v>0</v>
      </c>
      <c r="W175" s="36" t="n">
        <v>0</v>
      </c>
      <c r="X175" s="36" t="n">
        <v>0</v>
      </c>
      <c r="Y175" s="28" t="n">
        <v>0</v>
      </c>
      <c r="Z175" s="36" t="n">
        <v>0</v>
      </c>
      <c r="AA175" s="36" t="n">
        <v>0</v>
      </c>
      <c r="AB175" s="36" t="n">
        <v>0</v>
      </c>
      <c r="AC175" s="36" t="n">
        <v>0</v>
      </c>
      <c r="AD175" s="36" t="n">
        <v>0</v>
      </c>
      <c r="AE175" s="36" t="n">
        <v>0</v>
      </c>
      <c r="AF175" s="28" t="n">
        <v>0</v>
      </c>
      <c r="AG175" s="36" t="n">
        <v>0</v>
      </c>
      <c r="AH175" s="37" t="n">
        <v>0</v>
      </c>
      <c r="AI175" s="37" t="n">
        <v>0</v>
      </c>
      <c r="AJ175" s="37" t="n">
        <v>0</v>
      </c>
      <c r="AK175" s="37" t="n">
        <v>0</v>
      </c>
      <c r="AL175" s="37" t="n">
        <v>0</v>
      </c>
      <c r="AM175" s="37" t="n">
        <v>0</v>
      </c>
      <c r="AN175" s="37" t="n">
        <v>0</v>
      </c>
      <c r="AO175" s="37" t="n">
        <v>0</v>
      </c>
      <c r="AP175" s="37" t="n">
        <v>0</v>
      </c>
      <c r="AQ175" s="37" t="n">
        <v>0</v>
      </c>
      <c r="AR175" s="37" t="n">
        <v>0</v>
      </c>
      <c r="AS175" s="37" t="n">
        <v>0</v>
      </c>
      <c r="AT175" s="37" t="n">
        <v>0</v>
      </c>
      <c r="AU175" s="37" t="n">
        <v>0</v>
      </c>
      <c r="AV175" s="37" t="n">
        <v>0</v>
      </c>
      <c r="AW175" s="37" t="n">
        <v>0</v>
      </c>
      <c r="AX175" s="37" t="n">
        <v>0</v>
      </c>
      <c r="AY175" s="37" t="n">
        <v>0</v>
      </c>
      <c r="AZ175" s="37" t="n">
        <v>0</v>
      </c>
      <c r="BA175" s="37" t="n">
        <v>0</v>
      </c>
      <c r="BB175" s="37" t="n">
        <v>0</v>
      </c>
      <c r="BC175" s="37" t="n">
        <v>0</v>
      </c>
      <c r="BD175" s="37" t="n">
        <v>0</v>
      </c>
      <c r="BE175" s="37" t="n">
        <v>0</v>
      </c>
      <c r="BF175" s="37" t="n">
        <v>0</v>
      </c>
      <c r="BG175" s="37" t="n">
        <v>0</v>
      </c>
      <c r="BH175" s="37" t="n">
        <v>0</v>
      </c>
      <c r="BI175" s="37" t="n">
        <v>0</v>
      </c>
      <c r="BJ175" s="37" t="n">
        <v>0</v>
      </c>
      <c r="BK175" s="37" t="n">
        <v>0</v>
      </c>
      <c r="BL175" s="37" t="n">
        <v>0</v>
      </c>
      <c r="BM175" s="37" t="n">
        <v>0</v>
      </c>
      <c r="BN175" s="37" t="n">
        <v>0</v>
      </c>
      <c r="BO175" s="37" t="n">
        <v>0</v>
      </c>
      <c r="BP175" s="37" t="n">
        <v>0</v>
      </c>
      <c r="BQ175" s="37" t="n">
        <v>0</v>
      </c>
      <c r="BR175" s="37" t="n">
        <v>0</v>
      </c>
      <c r="BS175" s="37" t="n">
        <v>0</v>
      </c>
      <c r="BT175" s="37" t="n">
        <v>0</v>
      </c>
      <c r="BU175" s="37" t="n">
        <v>0</v>
      </c>
      <c r="BV175" s="37" t="n">
        <v>0</v>
      </c>
      <c r="BW175" s="37" t="n">
        <v>0</v>
      </c>
      <c r="BX175" s="37" t="n">
        <v>0</v>
      </c>
      <c r="BY175" s="37" t="n">
        <v>0</v>
      </c>
      <c r="BZ175" s="37" t="n">
        <v>0</v>
      </c>
      <c r="CA175" s="37" t="n">
        <v>0</v>
      </c>
      <c r="CB175" s="37" t="n">
        <v>0</v>
      </c>
      <c r="CC175" s="37" t="n">
        <v>4</v>
      </c>
    </row>
    <row r="176" ht="15.75" customHeight="1" s="57">
      <c r="A176" s="7" t="inlineStr">
        <is>
          <t>NTB</t>
        </is>
      </c>
      <c r="B176" s="7" t="inlineStr">
        <is>
          <t>Khánh Hòa</t>
        </is>
      </c>
      <c r="C176" s="7" t="n">
        <v>20784000</v>
      </c>
      <c r="D176" s="7" t="inlineStr">
        <is>
          <t>(KHO) Khánh Sơn</t>
        </is>
      </c>
      <c r="E176" s="7" t="inlineStr">
        <is>
          <t>TTS</t>
        </is>
      </c>
      <c r="F176" s="36" t="n">
        <v>0</v>
      </c>
      <c r="G176" s="36" t="n">
        <v>0</v>
      </c>
      <c r="H176" s="36" t="n">
        <v>1</v>
      </c>
      <c r="I176" s="36" t="n">
        <v>0</v>
      </c>
      <c r="J176" s="36" t="n">
        <v>0</v>
      </c>
      <c r="K176" s="28" t="n">
        <v>0</v>
      </c>
      <c r="L176" s="36" t="n">
        <v>0</v>
      </c>
      <c r="M176" s="36" t="n">
        <v>0</v>
      </c>
      <c r="N176" s="36" t="n">
        <v>1</v>
      </c>
      <c r="O176" s="36" t="n">
        <v>0</v>
      </c>
      <c r="P176" s="36" t="n">
        <v>0</v>
      </c>
      <c r="Q176" s="36" t="n">
        <v>2</v>
      </c>
      <c r="R176" s="28" t="n">
        <v>2</v>
      </c>
      <c r="S176" s="36" t="n">
        <v>2</v>
      </c>
      <c r="T176" s="36" t="n">
        <v>0</v>
      </c>
      <c r="U176" s="36" t="n">
        <v>0.93</v>
      </c>
      <c r="V176" s="36" t="n">
        <v>0.91</v>
      </c>
      <c r="W176" s="36" t="n">
        <v>0.89</v>
      </c>
      <c r="X176" s="36" t="n">
        <v>0.72</v>
      </c>
      <c r="Y176" s="28" t="n">
        <v>1.04</v>
      </c>
      <c r="Z176" s="36" t="n">
        <v>0.89</v>
      </c>
      <c r="AA176" s="36" t="n">
        <v>1</v>
      </c>
      <c r="AB176" s="36" t="n">
        <v>1.1</v>
      </c>
      <c r="AC176" s="36" t="n">
        <v>1.16</v>
      </c>
      <c r="AD176" s="36" t="n">
        <v>1.11</v>
      </c>
      <c r="AE176" s="36" t="n">
        <v>0.83</v>
      </c>
      <c r="AF176" s="28" t="n">
        <v>1.07</v>
      </c>
      <c r="AG176" s="36" t="n">
        <v>0.91</v>
      </c>
      <c r="AH176" s="37" t="n">
        <v>0.9</v>
      </c>
      <c r="AI176" s="37" t="n">
        <v>1.04</v>
      </c>
      <c r="AJ176" s="37" t="n">
        <v>1.11</v>
      </c>
      <c r="AK176" s="37" t="n">
        <v>1.09</v>
      </c>
      <c r="AL176" s="37" t="n">
        <v>0.78</v>
      </c>
      <c r="AM176" s="37" t="n">
        <v>1.05</v>
      </c>
      <c r="AN176" s="37" t="n">
        <v>0.91</v>
      </c>
      <c r="AO176" s="37" t="n">
        <v>0.91</v>
      </c>
      <c r="AP176" s="37" t="n">
        <v>0.88</v>
      </c>
      <c r="AQ176" s="37" t="n">
        <v>0.89</v>
      </c>
      <c r="AR176" s="37" t="n">
        <v>0.88</v>
      </c>
      <c r="AS176" s="37" t="n">
        <v>0.72</v>
      </c>
      <c r="AT176" s="37" t="n">
        <v>1.14</v>
      </c>
      <c r="AU176" s="37" t="n">
        <v>1.04</v>
      </c>
      <c r="AV176" s="37" t="n">
        <v>0.92</v>
      </c>
      <c r="AW176" s="37" t="n">
        <v>0.88</v>
      </c>
      <c r="AX176" s="37" t="n">
        <v>0.86</v>
      </c>
      <c r="AY176" s="37" t="n">
        <v>0.87</v>
      </c>
      <c r="AZ176" s="37" t="n">
        <v>0.72</v>
      </c>
      <c r="BA176" s="37" t="n">
        <v>1.03</v>
      </c>
      <c r="BB176" s="37" t="n">
        <v>0.96</v>
      </c>
      <c r="BC176" s="37" t="n">
        <v>0.51</v>
      </c>
      <c r="BD176" s="37" t="n">
        <v>0.71</v>
      </c>
      <c r="BE176" s="37" t="n">
        <v>1.62</v>
      </c>
      <c r="BF176" s="37" t="n">
        <v>1.57</v>
      </c>
      <c r="BG176" s="37" t="n">
        <v>0.78</v>
      </c>
      <c r="BH176" s="37" t="n">
        <v>1.14</v>
      </c>
      <c r="BI176" s="37" t="n">
        <v>0.96</v>
      </c>
      <c r="BJ176" s="37" t="n">
        <v>0.85</v>
      </c>
      <c r="BK176" s="37" t="n">
        <v>0.98</v>
      </c>
      <c r="BL176" s="37" t="n">
        <v>0.98</v>
      </c>
      <c r="BM176" s="37" t="n">
        <v>0.95</v>
      </c>
      <c r="BN176" s="37" t="n">
        <v>0.78</v>
      </c>
      <c r="BO176" s="37" t="n">
        <v>1.14</v>
      </c>
      <c r="BP176" s="37" t="n">
        <v>0.96</v>
      </c>
      <c r="BQ176" s="37" t="n">
        <v>0.95</v>
      </c>
      <c r="BR176" s="37" t="n">
        <v>0.98</v>
      </c>
      <c r="BS176" s="37" t="n">
        <v>0.98</v>
      </c>
      <c r="BT176" s="37" t="n">
        <v>0.95</v>
      </c>
      <c r="BU176" s="37" t="n">
        <v>0.78</v>
      </c>
      <c r="BV176" s="37" t="n">
        <v>1.14</v>
      </c>
      <c r="BW176" s="37" t="n">
        <v>0.96</v>
      </c>
      <c r="BX176" s="37" t="n">
        <v>0.95</v>
      </c>
      <c r="BY176" s="37" t="n">
        <v>0.98</v>
      </c>
      <c r="BZ176" s="37" t="n">
        <v>0.98</v>
      </c>
      <c r="CA176" s="37" t="n">
        <v>0.95</v>
      </c>
      <c r="CB176" s="37" t="n">
        <v>0.78</v>
      </c>
      <c r="CC176" s="37" t="n">
        <v>65.44999999999999</v>
      </c>
    </row>
    <row r="177" ht="15.75" customHeight="1" s="57">
      <c r="A177" s="7" t="inlineStr">
        <is>
          <t>NTB</t>
        </is>
      </c>
      <c r="B177" s="7" t="inlineStr">
        <is>
          <t>Khánh Hòa</t>
        </is>
      </c>
      <c r="C177" s="7" t="n">
        <v>21046000</v>
      </c>
      <c r="D177" s="7" t="inlineStr">
        <is>
          <t>(KHO) Vạn Ninh</t>
        </is>
      </c>
      <c r="E177" s="7" t="inlineStr">
        <is>
          <t>SME</t>
        </is>
      </c>
      <c r="F177" s="36" t="n">
        <v>181</v>
      </c>
      <c r="G177" s="36" t="n">
        <v>84</v>
      </c>
      <c r="H177" s="36" t="n">
        <v>77</v>
      </c>
      <c r="I177" s="36" t="n">
        <v>112</v>
      </c>
      <c r="J177" s="36" t="n">
        <v>81</v>
      </c>
      <c r="K177" s="28" t="n">
        <v>65</v>
      </c>
      <c r="L177" s="36" t="n">
        <v>111</v>
      </c>
      <c r="M177" s="36" t="n">
        <v>142</v>
      </c>
      <c r="N177" s="36" t="n">
        <v>158</v>
      </c>
      <c r="O177" s="36" t="n">
        <v>104</v>
      </c>
      <c r="P177" s="36" t="n">
        <v>192</v>
      </c>
      <c r="Q177" s="36" t="n">
        <v>96</v>
      </c>
      <c r="R177" s="28" t="n">
        <v>170</v>
      </c>
      <c r="S177" s="36" t="n">
        <v>144</v>
      </c>
      <c r="T177" s="36" t="n">
        <v>87</v>
      </c>
      <c r="U177" s="36" t="n">
        <v>178.26</v>
      </c>
      <c r="V177" s="36" t="n">
        <v>184.26</v>
      </c>
      <c r="W177" s="36" t="n">
        <v>179.71</v>
      </c>
      <c r="X177" s="36" t="n">
        <v>146.81</v>
      </c>
      <c r="Y177" s="28" t="n">
        <v>199.02</v>
      </c>
      <c r="Z177" s="36" t="n">
        <v>182.86</v>
      </c>
      <c r="AA177" s="36" t="n">
        <v>179.06</v>
      </c>
      <c r="AB177" s="36" t="n">
        <v>178.26</v>
      </c>
      <c r="AC177" s="36" t="n">
        <v>184.26</v>
      </c>
      <c r="AD177" s="36" t="n">
        <v>208.69</v>
      </c>
      <c r="AE177" s="36" t="n">
        <v>146.81</v>
      </c>
      <c r="AF177" s="28" t="n">
        <v>199.02</v>
      </c>
      <c r="AG177" s="36" t="n">
        <v>182.86</v>
      </c>
      <c r="AH177" s="37" t="n">
        <v>179.06</v>
      </c>
      <c r="AI177" s="37" t="n">
        <v>178.26</v>
      </c>
      <c r="AJ177" s="37" t="n">
        <v>184.26</v>
      </c>
      <c r="AK177" s="37" t="n">
        <v>179.71</v>
      </c>
      <c r="AL177" s="37" t="n">
        <v>146.81</v>
      </c>
      <c r="AM177" s="37" t="n">
        <v>199.02</v>
      </c>
      <c r="AN177" s="37" t="n">
        <v>182.86</v>
      </c>
      <c r="AO177" s="37" t="n">
        <v>179.06</v>
      </c>
      <c r="AP177" s="37" t="n">
        <v>178.26</v>
      </c>
      <c r="AQ177" s="37" t="n">
        <v>184.26</v>
      </c>
      <c r="AR177" s="37" t="n">
        <v>179.71</v>
      </c>
      <c r="AS177" s="37" t="n">
        <v>146.81</v>
      </c>
      <c r="AT177" s="37" t="n">
        <v>199.02</v>
      </c>
      <c r="AU177" s="37" t="n">
        <v>182.86</v>
      </c>
      <c r="AV177" s="37" t="n">
        <v>179.06</v>
      </c>
      <c r="AW177" s="37" t="n">
        <v>178.26</v>
      </c>
      <c r="AX177" s="37" t="n">
        <v>184.26</v>
      </c>
      <c r="AY177" s="37" t="n">
        <v>179.71</v>
      </c>
      <c r="AZ177" s="37" t="n">
        <v>146.81</v>
      </c>
      <c r="BA177" s="37" t="n">
        <v>189.03</v>
      </c>
      <c r="BB177" s="37" t="n">
        <v>168.55</v>
      </c>
      <c r="BC177" s="37" t="n">
        <v>103.79</v>
      </c>
      <c r="BD177" s="37" t="n">
        <v>81.08</v>
      </c>
      <c r="BE177" s="37" t="n">
        <v>173.47</v>
      </c>
      <c r="BF177" s="37" t="n">
        <v>168.95</v>
      </c>
      <c r="BG177" s="37" t="n">
        <v>151.72</v>
      </c>
      <c r="BH177" s="37" t="n">
        <v>205.59</v>
      </c>
      <c r="BI177" s="37" t="n">
        <v>188.86</v>
      </c>
      <c r="BJ177" s="37" t="n">
        <v>214.48</v>
      </c>
      <c r="BK177" s="37" t="n">
        <v>184.26</v>
      </c>
      <c r="BL177" s="37" t="n">
        <v>190.33</v>
      </c>
      <c r="BM177" s="37" t="n">
        <v>185.71</v>
      </c>
      <c r="BN177" s="37" t="n">
        <v>151.72</v>
      </c>
      <c r="BO177" s="37" t="n">
        <v>205.59</v>
      </c>
      <c r="BP177" s="37" t="n">
        <v>188.86</v>
      </c>
      <c r="BQ177" s="37" t="n">
        <v>185.06</v>
      </c>
      <c r="BR177" s="37" t="n">
        <v>184.26</v>
      </c>
      <c r="BS177" s="37" t="n">
        <v>190.33</v>
      </c>
      <c r="BT177" s="37" t="n">
        <v>185.71</v>
      </c>
      <c r="BU177" s="37" t="n">
        <v>151.72</v>
      </c>
      <c r="BV177" s="37" t="n">
        <v>205.59</v>
      </c>
      <c r="BW177" s="37" t="n">
        <v>188.86</v>
      </c>
      <c r="BX177" s="37" t="n">
        <v>185.06</v>
      </c>
      <c r="BY177" s="37" t="n">
        <v>184.26</v>
      </c>
      <c r="BZ177" s="37" t="n">
        <v>190.33</v>
      </c>
      <c r="CA177" s="37" t="n">
        <v>185.71</v>
      </c>
      <c r="CB177" s="37" t="n">
        <v>151.72</v>
      </c>
      <c r="CC177" s="37" t="n">
        <v>12462.54</v>
      </c>
    </row>
    <row r="178" ht="15.75" customHeight="1" s="57">
      <c r="A178" s="7" t="inlineStr">
        <is>
          <t>NTB</t>
        </is>
      </c>
      <c r="B178" s="7" t="inlineStr">
        <is>
          <t>Khánh Hòa</t>
        </is>
      </c>
      <c r="C178" s="7" t="n">
        <v>21046000</v>
      </c>
      <c r="D178" s="7" t="inlineStr">
        <is>
          <t>(KHO) Vạn Ninh</t>
        </is>
      </c>
      <c r="E178" s="7" t="inlineStr">
        <is>
          <t>SME-Bulky</t>
        </is>
      </c>
      <c r="F178" s="36" t="n">
        <v>2</v>
      </c>
      <c r="G178" s="36" t="n">
        <v>0</v>
      </c>
      <c r="H178" s="36" t="n">
        <v>1</v>
      </c>
      <c r="I178" s="36" t="n">
        <v>1</v>
      </c>
      <c r="J178" s="36" t="n">
        <v>2</v>
      </c>
      <c r="K178" s="28" t="n">
        <v>0</v>
      </c>
      <c r="L178" s="36" t="n">
        <v>2</v>
      </c>
      <c r="M178" s="36" t="n">
        <v>2</v>
      </c>
      <c r="N178" s="36" t="n">
        <v>3</v>
      </c>
      <c r="O178" s="36" t="n">
        <v>1</v>
      </c>
      <c r="P178" s="36" t="n">
        <v>3</v>
      </c>
      <c r="Q178" s="36" t="n">
        <v>2</v>
      </c>
      <c r="R178" s="28" t="n">
        <v>0</v>
      </c>
      <c r="S178" s="36" t="n">
        <v>2</v>
      </c>
      <c r="T178" s="36" t="n">
        <v>2</v>
      </c>
      <c r="U178" s="36" t="n">
        <v>1.51</v>
      </c>
      <c r="V178" s="36" t="n">
        <v>1.55</v>
      </c>
      <c r="W178" s="36" t="n">
        <v>1.47</v>
      </c>
      <c r="X178" s="36" t="n">
        <v>1.01</v>
      </c>
      <c r="Y178" s="28" t="n">
        <v>1.66</v>
      </c>
      <c r="Z178" s="36" t="n">
        <v>1.58</v>
      </c>
      <c r="AA178" s="36" t="n">
        <v>1.57</v>
      </c>
      <c r="AB178" s="36" t="n">
        <v>1.51</v>
      </c>
      <c r="AC178" s="36" t="n">
        <v>1.55</v>
      </c>
      <c r="AD178" s="36" t="n">
        <v>1.01</v>
      </c>
      <c r="AE178" s="36" t="n">
        <v>1.01</v>
      </c>
      <c r="AF178" s="28" t="n">
        <v>1.66</v>
      </c>
      <c r="AG178" s="36" t="n">
        <v>1.58</v>
      </c>
      <c r="AH178" s="37" t="n">
        <v>1.57</v>
      </c>
      <c r="AI178" s="37" t="n">
        <v>1.51</v>
      </c>
      <c r="AJ178" s="37" t="n">
        <v>1.55</v>
      </c>
      <c r="AK178" s="37" t="n">
        <v>1.47</v>
      </c>
      <c r="AL178" s="37" t="n">
        <v>1.01</v>
      </c>
      <c r="AM178" s="37" t="n">
        <v>1.66</v>
      </c>
      <c r="AN178" s="37" t="n">
        <v>1.58</v>
      </c>
      <c r="AO178" s="37" t="n">
        <v>1.57</v>
      </c>
      <c r="AP178" s="37" t="n">
        <v>1.51</v>
      </c>
      <c r="AQ178" s="37" t="n">
        <v>1.55</v>
      </c>
      <c r="AR178" s="37" t="n">
        <v>1.47</v>
      </c>
      <c r="AS178" s="37" t="n">
        <v>1.01</v>
      </c>
      <c r="AT178" s="37" t="n">
        <v>1.66</v>
      </c>
      <c r="AU178" s="37" t="n">
        <v>1.58</v>
      </c>
      <c r="AV178" s="37" t="n">
        <v>1.57</v>
      </c>
      <c r="AW178" s="37" t="n">
        <v>1.51</v>
      </c>
      <c r="AX178" s="37" t="n">
        <v>1.55</v>
      </c>
      <c r="AY178" s="37" t="n">
        <v>1.47</v>
      </c>
      <c r="AZ178" s="37" t="n">
        <v>1.01</v>
      </c>
      <c r="BA178" s="37" t="n">
        <v>1.8</v>
      </c>
      <c r="BB178" s="37" t="n">
        <v>0.92</v>
      </c>
      <c r="BC178" s="37" t="n">
        <v>0.47</v>
      </c>
      <c r="BD178" s="37" t="n">
        <v>0.35</v>
      </c>
      <c r="BE178" s="37" t="n">
        <v>0.86</v>
      </c>
      <c r="BF178" s="37" t="n">
        <v>0.85</v>
      </c>
      <c r="BG178" s="37" t="n">
        <v>0.5600000000000001</v>
      </c>
      <c r="BH178" s="37" t="n">
        <v>0.95</v>
      </c>
      <c r="BI178" s="37" t="n">
        <v>0.92</v>
      </c>
      <c r="BJ178" s="37" t="n">
        <v>0.7</v>
      </c>
      <c r="BK178" s="37" t="n">
        <v>0.87</v>
      </c>
      <c r="BL178" s="37" t="n">
        <v>0.89</v>
      </c>
      <c r="BM178" s="37" t="n">
        <v>0.85</v>
      </c>
      <c r="BN178" s="37" t="n">
        <v>0.5600000000000001</v>
      </c>
      <c r="BO178" s="37" t="n">
        <v>0.95</v>
      </c>
      <c r="BP178" s="37" t="n">
        <v>0.92</v>
      </c>
      <c r="BQ178" s="37" t="n">
        <v>0.9</v>
      </c>
      <c r="BR178" s="37" t="n">
        <v>0.87</v>
      </c>
      <c r="BS178" s="37" t="n">
        <v>0.89</v>
      </c>
      <c r="BT178" s="37" t="n">
        <v>0.85</v>
      </c>
      <c r="BU178" s="37" t="n">
        <v>0.5600000000000001</v>
      </c>
      <c r="BV178" s="37" t="n">
        <v>0.95</v>
      </c>
      <c r="BW178" s="37" t="n">
        <v>0.92</v>
      </c>
      <c r="BX178" s="37" t="n">
        <v>0.9</v>
      </c>
      <c r="BY178" s="37" t="n">
        <v>0.87</v>
      </c>
      <c r="BZ178" s="37" t="n">
        <v>0.89</v>
      </c>
      <c r="CA178" s="37" t="n">
        <v>0.85</v>
      </c>
      <c r="CB178" s="37" t="n">
        <v>0.5600000000000001</v>
      </c>
      <c r="CC178" s="37" t="n">
        <v>92.90999999999998</v>
      </c>
    </row>
    <row r="179" ht="15.75" customHeight="1" s="57">
      <c r="A179" s="7" t="inlineStr">
        <is>
          <t>NTB</t>
        </is>
      </c>
      <c r="B179" s="7" t="inlineStr">
        <is>
          <t>Khánh Hòa</t>
        </is>
      </c>
      <c r="C179" s="7" t="n">
        <v>21046000</v>
      </c>
      <c r="D179" s="7" t="inlineStr">
        <is>
          <t>(KHO) Vạn Ninh</t>
        </is>
      </c>
      <c r="E179" s="7" t="inlineStr">
        <is>
          <t>Shopee</t>
        </is>
      </c>
      <c r="F179" s="36" t="n">
        <v>16</v>
      </c>
      <c r="G179" s="36" t="n">
        <v>13</v>
      </c>
      <c r="H179" s="36" t="n">
        <v>19</v>
      </c>
      <c r="I179" s="36" t="n">
        <v>20</v>
      </c>
      <c r="J179" s="36" t="n">
        <v>12</v>
      </c>
      <c r="K179" s="28" t="n">
        <v>15</v>
      </c>
      <c r="L179" s="36" t="n">
        <v>13</v>
      </c>
      <c r="M179" s="36" t="n">
        <v>15</v>
      </c>
      <c r="N179" s="36" t="n">
        <v>9</v>
      </c>
      <c r="O179" s="36" t="n">
        <v>16</v>
      </c>
      <c r="P179" s="36" t="n">
        <v>16</v>
      </c>
      <c r="Q179" s="36" t="n">
        <v>15</v>
      </c>
      <c r="R179" s="28" t="n">
        <v>16</v>
      </c>
      <c r="S179" s="36" t="n">
        <v>21</v>
      </c>
      <c r="T179" s="36" t="n">
        <v>10</v>
      </c>
      <c r="U179" s="36" t="n">
        <v>18.57</v>
      </c>
      <c r="V179" s="36" t="n">
        <v>18.66</v>
      </c>
      <c r="W179" s="36" t="n">
        <v>18.01</v>
      </c>
      <c r="X179" s="36" t="n">
        <v>15.51</v>
      </c>
      <c r="Y179" s="28" t="n">
        <v>25.05</v>
      </c>
      <c r="Z179" s="36" t="n">
        <v>19.79</v>
      </c>
      <c r="AA179" s="36" t="n">
        <v>24.17</v>
      </c>
      <c r="AB179" s="36" t="n">
        <v>19</v>
      </c>
      <c r="AC179" s="36" t="n">
        <v>15.36</v>
      </c>
      <c r="AD179" s="36" t="n">
        <v>35.36</v>
      </c>
      <c r="AE179" s="36" t="n">
        <v>16.44</v>
      </c>
      <c r="AF179" s="28" t="n">
        <v>27.69</v>
      </c>
      <c r="AG179" s="36" t="n">
        <v>20.79</v>
      </c>
      <c r="AH179" s="37" t="n">
        <v>22.07</v>
      </c>
      <c r="AI179" s="37" t="n">
        <v>18.57</v>
      </c>
      <c r="AJ179" s="37" t="n">
        <v>18.66</v>
      </c>
      <c r="AK179" s="37" t="n">
        <v>19.74</v>
      </c>
      <c r="AL179" s="37" t="n">
        <v>27.77</v>
      </c>
      <c r="AM179" s="37" t="n">
        <v>25.05</v>
      </c>
      <c r="AN179" s="37" t="n">
        <v>19.79</v>
      </c>
      <c r="AO179" s="37" t="n">
        <v>22.07</v>
      </c>
      <c r="AP179" s="37" t="n">
        <v>20.42</v>
      </c>
      <c r="AQ179" s="37" t="n">
        <v>14.99</v>
      </c>
      <c r="AR179" s="37" t="n">
        <v>18.01</v>
      </c>
      <c r="AS179" s="37" t="n">
        <v>15.51</v>
      </c>
      <c r="AT179" s="37" t="n">
        <v>25.05</v>
      </c>
      <c r="AU179" s="37" t="n">
        <v>21.81</v>
      </c>
      <c r="AV179" s="37" t="n">
        <v>22.52</v>
      </c>
      <c r="AW179" s="37" t="n">
        <v>18.57</v>
      </c>
      <c r="AX179" s="37" t="n">
        <v>18.66</v>
      </c>
      <c r="AY179" s="37" t="n">
        <v>18.01</v>
      </c>
      <c r="AZ179" s="37" t="n">
        <v>15.51</v>
      </c>
      <c r="BA179" s="37" t="n">
        <v>21.44</v>
      </c>
      <c r="BB179" s="37" t="n">
        <v>14.88</v>
      </c>
      <c r="BC179" s="37" t="n">
        <v>6.65</v>
      </c>
      <c r="BD179" s="37" t="n">
        <v>11.16</v>
      </c>
      <c r="BE179" s="37" t="n">
        <v>22.35</v>
      </c>
      <c r="BF179" s="37" t="n">
        <v>21.5</v>
      </c>
      <c r="BG179" s="37" t="n">
        <v>15.19</v>
      </c>
      <c r="BH179" s="37" t="n">
        <v>23.86</v>
      </c>
      <c r="BI179" s="37" t="n">
        <v>15.59</v>
      </c>
      <c r="BJ179" s="37" t="n">
        <v>49.9</v>
      </c>
      <c r="BK179" s="37" t="n">
        <v>19.03</v>
      </c>
      <c r="BL179" s="37" t="n">
        <v>18.74</v>
      </c>
      <c r="BM179" s="37" t="n">
        <v>17.24</v>
      </c>
      <c r="BN179" s="37" t="n">
        <v>14.91</v>
      </c>
      <c r="BO179" s="37" t="n">
        <v>23.86</v>
      </c>
      <c r="BP179" s="37" t="n">
        <v>20.85</v>
      </c>
      <c r="BQ179" s="37" t="n">
        <v>32.03</v>
      </c>
      <c r="BR179" s="37" t="n">
        <v>17.78</v>
      </c>
      <c r="BS179" s="37" t="n">
        <v>17.86</v>
      </c>
      <c r="BT179" s="37" t="n">
        <v>17.24</v>
      </c>
      <c r="BU179" s="37" t="n">
        <v>16.3</v>
      </c>
      <c r="BV179" s="37" t="n">
        <v>19.25</v>
      </c>
      <c r="BW179" s="37" t="n">
        <v>18.91</v>
      </c>
      <c r="BX179" s="37" t="n">
        <v>21.04</v>
      </c>
      <c r="BY179" s="37" t="n">
        <v>17.78</v>
      </c>
      <c r="BZ179" s="37" t="n">
        <v>19.6</v>
      </c>
      <c r="CA179" s="37" t="n">
        <v>17.49</v>
      </c>
      <c r="CB179" s="37" t="n">
        <v>14.91</v>
      </c>
      <c r="CC179" s="37" t="n">
        <v>1430.52</v>
      </c>
    </row>
    <row r="180" ht="15.75" customHeight="1" s="57">
      <c r="A180" s="7" t="inlineStr">
        <is>
          <t>NTB</t>
        </is>
      </c>
      <c r="B180" s="7" t="inlineStr">
        <is>
          <t>Khánh Hòa</t>
        </is>
      </c>
      <c r="C180" s="7" t="n">
        <v>21046000</v>
      </c>
      <c r="D180" s="7" t="inlineStr">
        <is>
          <t>(KHO) Vạn Ninh</t>
        </is>
      </c>
      <c r="E180" s="7" t="inlineStr">
        <is>
          <t>Shopee-Bulky</t>
        </is>
      </c>
      <c r="F180" s="36" t="n">
        <v>4</v>
      </c>
      <c r="G180" s="36" t="n">
        <v>1.14</v>
      </c>
      <c r="H180" s="36" t="n">
        <v>1.72</v>
      </c>
      <c r="I180" s="36" t="n">
        <v>1.14</v>
      </c>
      <c r="J180" s="36" t="n">
        <v>2.29</v>
      </c>
      <c r="K180" s="28" t="n">
        <v>0</v>
      </c>
      <c r="L180" s="36" t="n">
        <v>5.72</v>
      </c>
      <c r="M180" s="36" t="n">
        <v>0.57</v>
      </c>
      <c r="N180" s="36" t="n">
        <v>2.86</v>
      </c>
      <c r="O180" s="36" t="n">
        <v>1.14</v>
      </c>
      <c r="P180" s="36" t="n">
        <v>2.29</v>
      </c>
      <c r="Q180" s="36" t="n">
        <v>2.29</v>
      </c>
      <c r="R180" s="28" t="n">
        <v>1.14</v>
      </c>
      <c r="S180" s="36" t="n">
        <v>0.57</v>
      </c>
      <c r="T180" s="36" t="n">
        <v>2.86</v>
      </c>
      <c r="U180" s="36" t="n">
        <v>3.31</v>
      </c>
      <c r="V180" s="36" t="n">
        <v>3.11</v>
      </c>
      <c r="W180" s="36" t="n">
        <v>3.73</v>
      </c>
      <c r="X180" s="36" t="n">
        <v>1.97</v>
      </c>
      <c r="Y180" s="28" t="n">
        <v>4.97</v>
      </c>
      <c r="Z180" s="36" t="n">
        <v>3.83</v>
      </c>
      <c r="AA180" s="36" t="n">
        <v>5.59</v>
      </c>
      <c r="AB180" s="36" t="n">
        <v>3.83</v>
      </c>
      <c r="AC180" s="36" t="n">
        <v>4.04</v>
      </c>
      <c r="AD180" s="36" t="n">
        <v>15.02</v>
      </c>
      <c r="AE180" s="36" t="n">
        <v>10.15</v>
      </c>
      <c r="AF180" s="28" t="n">
        <v>11.81</v>
      </c>
      <c r="AG180" s="36" t="n">
        <v>5.28</v>
      </c>
      <c r="AH180" s="37" t="n">
        <v>3.83</v>
      </c>
      <c r="AI180" s="37" t="n">
        <v>3.73</v>
      </c>
      <c r="AJ180" s="37" t="n">
        <v>3.42</v>
      </c>
      <c r="AK180" s="37" t="n">
        <v>7.46</v>
      </c>
      <c r="AL180" s="37" t="n">
        <v>4.25</v>
      </c>
      <c r="AM180" s="37" t="n">
        <v>6.32</v>
      </c>
      <c r="AN180" s="37" t="n">
        <v>3.83</v>
      </c>
      <c r="AO180" s="37" t="n">
        <v>3.63</v>
      </c>
      <c r="AP180" s="37" t="n">
        <v>6.53</v>
      </c>
      <c r="AQ180" s="37" t="n">
        <v>4.66</v>
      </c>
      <c r="AR180" s="37" t="n">
        <v>3.21</v>
      </c>
      <c r="AS180" s="37" t="n">
        <v>1.66</v>
      </c>
      <c r="AT180" s="37" t="n">
        <v>4.66</v>
      </c>
      <c r="AU180" s="37" t="n">
        <v>7.87</v>
      </c>
      <c r="AV180" s="37" t="n">
        <v>7.87</v>
      </c>
      <c r="AW180" s="37" t="n">
        <v>3.63</v>
      </c>
      <c r="AX180" s="37" t="n">
        <v>3.42</v>
      </c>
      <c r="AY180" s="37" t="n">
        <v>3.11</v>
      </c>
      <c r="AZ180" s="37" t="n">
        <v>1.66</v>
      </c>
      <c r="BA180" s="37" t="n">
        <v>4.35</v>
      </c>
      <c r="BB180" s="37" t="n">
        <v>3</v>
      </c>
      <c r="BC180" s="37" t="n">
        <v>0.93</v>
      </c>
      <c r="BD180" s="37" t="n">
        <v>1.45</v>
      </c>
      <c r="BE180" s="37" t="n">
        <v>4.97</v>
      </c>
      <c r="BF180" s="37" t="n">
        <v>4.25</v>
      </c>
      <c r="BG180" s="37" t="n">
        <v>2.18</v>
      </c>
      <c r="BH180" s="37" t="n">
        <v>5.28</v>
      </c>
      <c r="BI180" s="37" t="n">
        <v>4.76</v>
      </c>
      <c r="BJ180" s="37" t="n">
        <v>30.25</v>
      </c>
      <c r="BK180" s="37" t="n">
        <v>10.15</v>
      </c>
      <c r="BL180" s="37" t="n">
        <v>5.28</v>
      </c>
      <c r="BM180" s="37" t="n">
        <v>3.63</v>
      </c>
      <c r="BN180" s="37" t="n">
        <v>2.18</v>
      </c>
      <c r="BO180" s="37" t="n">
        <v>6.32</v>
      </c>
      <c r="BP180" s="37" t="n">
        <v>9.529999999999999</v>
      </c>
      <c r="BQ180" s="37" t="n">
        <v>6.94</v>
      </c>
      <c r="BR180" s="37" t="n">
        <v>4.56</v>
      </c>
      <c r="BS180" s="37" t="n">
        <v>4.25</v>
      </c>
      <c r="BT180" s="37" t="n">
        <v>3</v>
      </c>
      <c r="BU180" s="37" t="n">
        <v>5.28</v>
      </c>
      <c r="BV180" s="37" t="n">
        <v>5.8</v>
      </c>
      <c r="BW180" s="37" t="n">
        <v>4.76</v>
      </c>
      <c r="BX180" s="37" t="n">
        <v>4.56</v>
      </c>
      <c r="BY180" s="37" t="n">
        <v>4.56</v>
      </c>
      <c r="BZ180" s="37" t="n">
        <v>6.42</v>
      </c>
      <c r="CA180" s="37" t="n">
        <v>4.25</v>
      </c>
      <c r="CB180" s="37" t="n">
        <v>2.18</v>
      </c>
      <c r="CC180" s="37" t="n">
        <v>346.1899999999999</v>
      </c>
    </row>
    <row r="181" ht="15.75" customHeight="1" s="57">
      <c r="A181" s="7" t="inlineStr">
        <is>
          <t>NTB</t>
        </is>
      </c>
      <c r="B181" s="7" t="inlineStr">
        <is>
          <t>Khánh Hòa</t>
        </is>
      </c>
      <c r="C181" s="7" t="n">
        <v>21046000</v>
      </c>
      <c r="D181" s="7" t="inlineStr">
        <is>
          <t>(KHO) Vạn Ninh</t>
        </is>
      </c>
      <c r="E181" s="7" t="inlineStr">
        <is>
          <t>Shopee-Bulky (10-15kg)</t>
        </is>
      </c>
      <c r="F181" s="36" t="n">
        <v>3</v>
      </c>
      <c r="G181" s="36" t="n">
        <v>0.86</v>
      </c>
      <c r="H181" s="36" t="n">
        <v>1.28</v>
      </c>
      <c r="I181" s="36" t="n">
        <v>0.86</v>
      </c>
      <c r="J181" s="36" t="n">
        <v>1.71</v>
      </c>
      <c r="K181" s="28" t="n">
        <v>0</v>
      </c>
      <c r="L181" s="36" t="n">
        <v>4.28</v>
      </c>
      <c r="M181" s="36" t="n">
        <v>0.43</v>
      </c>
      <c r="N181" s="36" t="n">
        <v>2.14</v>
      </c>
      <c r="O181" s="36" t="n">
        <v>0.86</v>
      </c>
      <c r="P181" s="36" t="n">
        <v>1.71</v>
      </c>
      <c r="Q181" s="36" t="n">
        <v>1.71</v>
      </c>
      <c r="R181" s="28" t="n">
        <v>0.86</v>
      </c>
      <c r="S181" s="36" t="n">
        <v>0.43</v>
      </c>
      <c r="T181" s="36" t="n">
        <v>2.14</v>
      </c>
      <c r="U181" s="36" t="n">
        <v>2.38</v>
      </c>
      <c r="V181" s="36" t="n">
        <v>2.49</v>
      </c>
      <c r="W181" s="36" t="n">
        <v>3</v>
      </c>
      <c r="X181" s="36" t="n">
        <v>1.86</v>
      </c>
      <c r="Y181" s="28" t="n">
        <v>3.21</v>
      </c>
      <c r="Z181" s="36" t="n">
        <v>2.49</v>
      </c>
      <c r="AA181" s="36" t="n">
        <v>3.52</v>
      </c>
      <c r="AB181" s="36" t="n">
        <v>2.49</v>
      </c>
      <c r="AC181" s="36" t="n">
        <v>2.9</v>
      </c>
      <c r="AD181" s="36" t="n">
        <v>13.05</v>
      </c>
      <c r="AE181" s="36" t="n">
        <v>7.04</v>
      </c>
      <c r="AF181" s="28" t="n">
        <v>7.35</v>
      </c>
      <c r="AG181" s="36" t="n">
        <v>3.94</v>
      </c>
      <c r="AH181" s="37" t="n">
        <v>2.49</v>
      </c>
      <c r="AI181" s="37" t="n">
        <v>2.69</v>
      </c>
      <c r="AJ181" s="37" t="n">
        <v>2.59</v>
      </c>
      <c r="AK181" s="37" t="n">
        <v>5.18</v>
      </c>
      <c r="AL181" s="37" t="n">
        <v>3.11</v>
      </c>
      <c r="AM181" s="37" t="n">
        <v>4.14</v>
      </c>
      <c r="AN181" s="37" t="n">
        <v>2.49</v>
      </c>
      <c r="AO181" s="37" t="n">
        <v>2.49</v>
      </c>
      <c r="AP181" s="37" t="n">
        <v>3.94</v>
      </c>
      <c r="AQ181" s="37" t="n">
        <v>3.42</v>
      </c>
      <c r="AR181" s="37" t="n">
        <v>2.59</v>
      </c>
      <c r="AS181" s="37" t="n">
        <v>1.45</v>
      </c>
      <c r="AT181" s="37" t="n">
        <v>3.11</v>
      </c>
      <c r="AU181" s="37" t="n">
        <v>5.7</v>
      </c>
      <c r="AV181" s="37" t="n">
        <v>5.49</v>
      </c>
      <c r="AW181" s="37" t="n">
        <v>2.49</v>
      </c>
      <c r="AX181" s="37" t="n">
        <v>2.49</v>
      </c>
      <c r="AY181" s="37" t="n">
        <v>2.59</v>
      </c>
      <c r="AZ181" s="37" t="n">
        <v>1.45</v>
      </c>
      <c r="BA181" s="37" t="n">
        <v>3.11</v>
      </c>
      <c r="BB181" s="37" t="n">
        <v>2.18</v>
      </c>
      <c r="BC181" s="37" t="n">
        <v>0.41</v>
      </c>
      <c r="BD181" s="37" t="n">
        <v>1.14</v>
      </c>
      <c r="BE181" s="37" t="n">
        <v>3.31</v>
      </c>
      <c r="BF181" s="37" t="n">
        <v>2.8</v>
      </c>
      <c r="BG181" s="37" t="n">
        <v>2.18</v>
      </c>
      <c r="BH181" s="37" t="n">
        <v>3.83</v>
      </c>
      <c r="BI181" s="37" t="n">
        <v>2.9</v>
      </c>
      <c r="BJ181" s="37" t="n">
        <v>17.09</v>
      </c>
      <c r="BK181" s="37" t="n">
        <v>5.9</v>
      </c>
      <c r="BL181" s="37" t="n">
        <v>3.83</v>
      </c>
      <c r="BM181" s="37" t="n">
        <v>2.49</v>
      </c>
      <c r="BN181" s="37" t="n">
        <v>1.97</v>
      </c>
      <c r="BO181" s="37" t="n">
        <v>4.35</v>
      </c>
      <c r="BP181" s="37" t="n">
        <v>6.32</v>
      </c>
      <c r="BQ181" s="37" t="n">
        <v>4.87</v>
      </c>
      <c r="BR181" s="37" t="n">
        <v>2.8</v>
      </c>
      <c r="BS181" s="37" t="n">
        <v>2.8</v>
      </c>
      <c r="BT181" s="37" t="n">
        <v>2.28</v>
      </c>
      <c r="BU181" s="37" t="n">
        <v>3.52</v>
      </c>
      <c r="BV181" s="37" t="n">
        <v>4.04</v>
      </c>
      <c r="BW181" s="37" t="n">
        <v>2.9</v>
      </c>
      <c r="BX181" s="37" t="n">
        <v>2.9</v>
      </c>
      <c r="BY181" s="37" t="n">
        <v>2.8</v>
      </c>
      <c r="BZ181" s="37" t="n">
        <v>4.87</v>
      </c>
      <c r="CA181" s="37" t="n">
        <v>3.11</v>
      </c>
      <c r="CB181" s="37" t="n">
        <v>1.97</v>
      </c>
      <c r="CC181" s="37" t="n">
        <v>240.5600000000001</v>
      </c>
    </row>
    <row r="182" ht="15.75" customHeight="1" s="57">
      <c r="A182" s="7" t="inlineStr">
        <is>
          <t>NTB</t>
        </is>
      </c>
      <c r="B182" s="7" t="inlineStr">
        <is>
          <t>Khánh Hòa</t>
        </is>
      </c>
      <c r="C182" s="7" t="n">
        <v>21046000</v>
      </c>
      <c r="D182" s="7" t="inlineStr">
        <is>
          <t>(KHO) Vạn Ninh</t>
        </is>
      </c>
      <c r="E182" s="7" t="inlineStr">
        <is>
          <t>TTS</t>
        </is>
      </c>
      <c r="F182" s="36" t="n">
        <v>24</v>
      </c>
      <c r="G182" s="36" t="n">
        <v>31</v>
      </c>
      <c r="H182" s="36" t="n">
        <v>25</v>
      </c>
      <c r="I182" s="36" t="n">
        <v>30</v>
      </c>
      <c r="J182" s="36" t="n">
        <v>25</v>
      </c>
      <c r="K182" s="28" t="n">
        <v>35</v>
      </c>
      <c r="L182" s="36" t="n">
        <v>31</v>
      </c>
      <c r="M182" s="36" t="n">
        <v>27</v>
      </c>
      <c r="N182" s="36" t="n">
        <v>23</v>
      </c>
      <c r="O182" s="36" t="n">
        <v>22</v>
      </c>
      <c r="P182" s="36" t="n">
        <v>13</v>
      </c>
      <c r="Q182" s="36" t="n">
        <v>13</v>
      </c>
      <c r="R182" s="28" t="n">
        <v>25</v>
      </c>
      <c r="S182" s="36" t="n">
        <v>17</v>
      </c>
      <c r="T182" s="36" t="n">
        <v>24</v>
      </c>
      <c r="U182" s="36" t="n">
        <v>20.06</v>
      </c>
      <c r="V182" s="36" t="n">
        <v>19.62</v>
      </c>
      <c r="W182" s="36" t="n">
        <v>19.19</v>
      </c>
      <c r="X182" s="36" t="n">
        <v>15.48</v>
      </c>
      <c r="Y182" s="28" t="n">
        <v>22.47</v>
      </c>
      <c r="Z182" s="36" t="n">
        <v>19.16</v>
      </c>
      <c r="AA182" s="36" t="n">
        <v>21.53</v>
      </c>
      <c r="AB182" s="36" t="n">
        <v>23.65</v>
      </c>
      <c r="AC182" s="36" t="n">
        <v>24.98</v>
      </c>
      <c r="AD182" s="36" t="n">
        <v>23.88</v>
      </c>
      <c r="AE182" s="36" t="n">
        <v>17.94</v>
      </c>
      <c r="AF182" s="28" t="n">
        <v>23.17</v>
      </c>
      <c r="AG182" s="36" t="n">
        <v>19.56</v>
      </c>
      <c r="AH182" s="37" t="n">
        <v>19.36</v>
      </c>
      <c r="AI182" s="37" t="n">
        <v>22.4</v>
      </c>
      <c r="AJ182" s="37" t="n">
        <v>23.85</v>
      </c>
      <c r="AK182" s="37" t="n">
        <v>23.59</v>
      </c>
      <c r="AL182" s="37" t="n">
        <v>16.84</v>
      </c>
      <c r="AM182" s="37" t="n">
        <v>22.73</v>
      </c>
      <c r="AN182" s="37" t="n">
        <v>19.68</v>
      </c>
      <c r="AO182" s="37" t="n">
        <v>19.65</v>
      </c>
      <c r="AP182" s="37" t="n">
        <v>19.07</v>
      </c>
      <c r="AQ182" s="37" t="n">
        <v>19.24</v>
      </c>
      <c r="AR182" s="37" t="n">
        <v>18.95</v>
      </c>
      <c r="AS182" s="37" t="n">
        <v>15.51</v>
      </c>
      <c r="AT182" s="37" t="n">
        <v>24.59</v>
      </c>
      <c r="AU182" s="37" t="n">
        <v>22.37</v>
      </c>
      <c r="AV182" s="37" t="n">
        <v>19.88</v>
      </c>
      <c r="AW182" s="37" t="n">
        <v>18.93</v>
      </c>
      <c r="AX182" s="37" t="n">
        <v>18.61</v>
      </c>
      <c r="AY182" s="37" t="n">
        <v>18.66</v>
      </c>
      <c r="AZ182" s="37" t="n">
        <v>15.51</v>
      </c>
      <c r="BA182" s="37" t="n">
        <v>22.15</v>
      </c>
      <c r="BB182" s="37" t="n">
        <v>20.78</v>
      </c>
      <c r="BC182" s="37" t="n">
        <v>10.96</v>
      </c>
      <c r="BD182" s="37" t="n">
        <v>15.22</v>
      </c>
      <c r="BE182" s="37" t="n">
        <v>34.96</v>
      </c>
      <c r="BF182" s="37" t="n">
        <v>33.98</v>
      </c>
      <c r="BG182" s="37" t="n">
        <v>16.84</v>
      </c>
      <c r="BH182" s="37" t="n">
        <v>24.56</v>
      </c>
      <c r="BI182" s="37" t="n">
        <v>20.78</v>
      </c>
      <c r="BJ182" s="37" t="n">
        <v>18.29</v>
      </c>
      <c r="BK182" s="37" t="n">
        <v>21.13</v>
      </c>
      <c r="BL182" s="37" t="n">
        <v>21.13</v>
      </c>
      <c r="BM182" s="37" t="n">
        <v>20.52</v>
      </c>
      <c r="BN182" s="37" t="n">
        <v>16.84</v>
      </c>
      <c r="BO182" s="37" t="n">
        <v>24.56</v>
      </c>
      <c r="BP182" s="37" t="n">
        <v>20.78</v>
      </c>
      <c r="BQ182" s="37" t="n">
        <v>20.55</v>
      </c>
      <c r="BR182" s="37" t="n">
        <v>21.13</v>
      </c>
      <c r="BS182" s="37" t="n">
        <v>21.13</v>
      </c>
      <c r="BT182" s="37" t="n">
        <v>20.52</v>
      </c>
      <c r="BU182" s="37" t="n">
        <v>16.84</v>
      </c>
      <c r="BV182" s="37" t="n">
        <v>24.56</v>
      </c>
      <c r="BW182" s="37" t="n">
        <v>20.78</v>
      </c>
      <c r="BX182" s="37" t="n">
        <v>20.55</v>
      </c>
      <c r="BY182" s="37" t="n">
        <v>21.13</v>
      </c>
      <c r="BZ182" s="37" t="n">
        <v>21.13</v>
      </c>
      <c r="CA182" s="37" t="n">
        <v>20.52</v>
      </c>
      <c r="CB182" s="37" t="n">
        <v>16.84</v>
      </c>
      <c r="CC182" s="37" t="n">
        <v>1604.27</v>
      </c>
    </row>
    <row r="183" ht="15.75" customHeight="1" s="57">
      <c r="A183" s="7" t="inlineStr">
        <is>
          <t>NTB</t>
        </is>
      </c>
      <c r="B183" s="7" t="inlineStr">
        <is>
          <t>Khánh Hòa</t>
        </is>
      </c>
      <c r="C183" s="7" t="n">
        <v>21046000</v>
      </c>
      <c r="D183" s="7" t="inlineStr">
        <is>
          <t>(KHO) Vạn Ninh</t>
        </is>
      </c>
      <c r="E183" s="7" t="inlineStr">
        <is>
          <t>TTS-Bulky</t>
        </is>
      </c>
      <c r="F183" s="36" t="n">
        <v>0</v>
      </c>
      <c r="G183" s="36" t="n">
        <v>0</v>
      </c>
      <c r="H183" s="36" t="n">
        <v>0</v>
      </c>
      <c r="I183" s="36" t="n">
        <v>0</v>
      </c>
      <c r="J183" s="36" t="n">
        <v>0</v>
      </c>
      <c r="K183" s="28" t="n">
        <v>0</v>
      </c>
      <c r="L183" s="36" t="n">
        <v>0</v>
      </c>
      <c r="M183" s="36" t="n">
        <v>0</v>
      </c>
      <c r="N183" s="36" t="n">
        <v>0</v>
      </c>
      <c r="O183" s="36" t="n">
        <v>0</v>
      </c>
      <c r="P183" s="36" t="n">
        <v>0</v>
      </c>
      <c r="Q183" s="36" t="n">
        <v>0</v>
      </c>
      <c r="R183" s="28" t="n">
        <v>0</v>
      </c>
      <c r="S183" s="36" t="n">
        <v>0</v>
      </c>
      <c r="T183" s="36" t="n">
        <v>1</v>
      </c>
      <c r="U183" s="36" t="n">
        <v>0.08</v>
      </c>
      <c r="V183" s="36" t="n">
        <v>0.09</v>
      </c>
      <c r="W183" s="36" t="n">
        <v>0.04</v>
      </c>
      <c r="X183" s="36" t="n">
        <v>0.02</v>
      </c>
      <c r="Y183" s="28" t="n">
        <v>0.04</v>
      </c>
      <c r="Z183" s="36" t="n">
        <v>0.03</v>
      </c>
      <c r="AA183" s="36" t="n">
        <v>0.04</v>
      </c>
      <c r="AB183" s="36" t="n">
        <v>0.04</v>
      </c>
      <c r="AC183" s="36" t="n">
        <v>0.05</v>
      </c>
      <c r="AD183" s="36" t="n">
        <v>0.02</v>
      </c>
      <c r="AE183" s="36" t="n">
        <v>0.02</v>
      </c>
      <c r="AF183" s="28" t="n">
        <v>0.04</v>
      </c>
      <c r="AG183" s="36" t="n">
        <v>0.04</v>
      </c>
      <c r="AH183" s="37" t="n">
        <v>0.04</v>
      </c>
      <c r="AI183" s="37" t="n">
        <v>0.04</v>
      </c>
      <c r="AJ183" s="37" t="n">
        <v>0.04</v>
      </c>
      <c r="AK183" s="37" t="n">
        <v>0.04</v>
      </c>
      <c r="AL183" s="37" t="n">
        <v>0.02</v>
      </c>
      <c r="AM183" s="37" t="n">
        <v>0.04</v>
      </c>
      <c r="AN183" s="37" t="n">
        <v>0.04</v>
      </c>
      <c r="AO183" s="37" t="n">
        <v>0.04</v>
      </c>
      <c r="AP183" s="37" t="n">
        <v>0.04</v>
      </c>
      <c r="AQ183" s="37" t="n">
        <v>0.04</v>
      </c>
      <c r="AR183" s="37" t="n">
        <v>0.04</v>
      </c>
      <c r="AS183" s="37" t="n">
        <v>0.02</v>
      </c>
      <c r="AT183" s="37" t="n">
        <v>0.05</v>
      </c>
      <c r="AU183" s="37" t="n">
        <v>0.05</v>
      </c>
      <c r="AV183" s="37" t="n">
        <v>0.04</v>
      </c>
      <c r="AW183" s="37" t="n">
        <v>0.04</v>
      </c>
      <c r="AX183" s="37" t="n">
        <v>0.04</v>
      </c>
      <c r="AY183" s="37" t="n">
        <v>0.04</v>
      </c>
      <c r="AZ183" s="37" t="n">
        <v>0.02</v>
      </c>
      <c r="BA183" s="37" t="n">
        <v>0.04</v>
      </c>
      <c r="BB183" s="37" t="n">
        <v>0.01</v>
      </c>
      <c r="BC183" s="37" t="n">
        <v>0.01</v>
      </c>
      <c r="BD183" s="37" t="n">
        <v>0.01</v>
      </c>
      <c r="BE183" s="37" t="n">
        <v>0.01</v>
      </c>
      <c r="BF183" s="37" t="n">
        <v>0.01</v>
      </c>
      <c r="BG183" s="37" t="n">
        <v>0.01</v>
      </c>
      <c r="BH183" s="37" t="n">
        <v>0.01</v>
      </c>
      <c r="BI183" s="37" t="n">
        <v>0.01</v>
      </c>
      <c r="BJ183" s="37" t="n">
        <v>0.01</v>
      </c>
      <c r="BK183" s="37" t="n">
        <v>0.01</v>
      </c>
      <c r="BL183" s="37" t="n">
        <v>0.01</v>
      </c>
      <c r="BM183" s="37" t="n">
        <v>0.01</v>
      </c>
      <c r="BN183" s="37" t="n">
        <v>0.01</v>
      </c>
      <c r="BO183" s="37" t="n">
        <v>0.02</v>
      </c>
      <c r="BP183" s="37" t="n">
        <v>0.01</v>
      </c>
      <c r="BQ183" s="37" t="n">
        <v>0.01</v>
      </c>
      <c r="BR183" s="37" t="n">
        <v>0.01</v>
      </c>
      <c r="BS183" s="37" t="n">
        <v>0.01</v>
      </c>
      <c r="BT183" s="37" t="n">
        <v>0.01</v>
      </c>
      <c r="BU183" s="37" t="n">
        <v>0.01</v>
      </c>
      <c r="BV183" s="37" t="n">
        <v>0.01</v>
      </c>
      <c r="BW183" s="37" t="n">
        <v>0.01</v>
      </c>
      <c r="BX183" s="37" t="n">
        <v>0.01</v>
      </c>
      <c r="BY183" s="37" t="n">
        <v>0.01</v>
      </c>
      <c r="BZ183" s="37" t="n">
        <v>0.01</v>
      </c>
      <c r="CA183" s="37" t="n">
        <v>0.01</v>
      </c>
      <c r="CB183" s="37" t="n">
        <v>0.01</v>
      </c>
      <c r="CC183" s="37" t="n">
        <v>2.589999999999995</v>
      </c>
    </row>
    <row r="184" ht="15.75" customHeight="1" s="57">
      <c r="A184" s="7" t="inlineStr">
        <is>
          <t>NTB</t>
        </is>
      </c>
      <c r="B184" s="7" t="inlineStr">
        <is>
          <t>Khánh Hòa</t>
        </is>
      </c>
      <c r="C184" s="7" t="n">
        <v>21094000</v>
      </c>
      <c r="D184" s="7" t="inlineStr">
        <is>
          <t>Kho Giao Hàng Nặng - Nha Trang - Khánh Hoà</t>
        </is>
      </c>
      <c r="E184" s="7" t="inlineStr">
        <is>
          <t>SME</t>
        </is>
      </c>
      <c r="F184" s="36" t="n">
        <v>56</v>
      </c>
      <c r="G184" s="36" t="n">
        <v>14</v>
      </c>
      <c r="H184" s="36" t="n">
        <v>38</v>
      </c>
      <c r="I184" s="36" t="n">
        <v>14</v>
      </c>
      <c r="J184" s="36" t="n">
        <v>18</v>
      </c>
      <c r="K184" s="28" t="n">
        <v>15</v>
      </c>
      <c r="L184" s="36" t="n">
        <v>11</v>
      </c>
      <c r="M184" s="36" t="n">
        <v>0</v>
      </c>
      <c r="N184" s="36" t="n">
        <v>43</v>
      </c>
      <c r="O184" s="36" t="n">
        <v>9</v>
      </c>
      <c r="P184" s="36" t="n">
        <v>6</v>
      </c>
      <c r="Q184" s="36" t="n">
        <v>7</v>
      </c>
      <c r="R184" s="28" t="n">
        <v>13</v>
      </c>
      <c r="S184" s="36" t="n">
        <v>21</v>
      </c>
      <c r="T184" s="36" t="n">
        <v>7</v>
      </c>
      <c r="U184" s="36" t="n">
        <v>50.97</v>
      </c>
      <c r="V184" s="36" t="n">
        <v>53.38</v>
      </c>
      <c r="W184" s="36" t="n">
        <v>51.38</v>
      </c>
      <c r="X184" s="36" t="n">
        <v>40.48999999999999</v>
      </c>
      <c r="Y184" s="28" t="n">
        <v>57.01000000000001</v>
      </c>
      <c r="Z184" s="36" t="n">
        <v>52.73</v>
      </c>
      <c r="AA184" s="36" t="n">
        <v>51.3</v>
      </c>
      <c r="AB184" s="36" t="n">
        <v>50.97</v>
      </c>
      <c r="AC184" s="36" t="n">
        <v>53.38</v>
      </c>
      <c r="AD184" s="36" t="n">
        <v>59.59</v>
      </c>
      <c r="AE184" s="36" t="n">
        <v>40.48999999999999</v>
      </c>
      <c r="AF184" s="28" t="n">
        <v>57.01000000000001</v>
      </c>
      <c r="AG184" s="36" t="n">
        <v>52.73</v>
      </c>
      <c r="AH184" s="37" t="n">
        <v>51.3</v>
      </c>
      <c r="AI184" s="37" t="n">
        <v>50.97</v>
      </c>
      <c r="AJ184" s="37" t="n">
        <v>53.38</v>
      </c>
      <c r="AK184" s="37" t="n">
        <v>51.38</v>
      </c>
      <c r="AL184" s="37" t="n">
        <v>40.48999999999999</v>
      </c>
      <c r="AM184" s="37" t="n">
        <v>57.01000000000001</v>
      </c>
      <c r="AN184" s="37" t="n">
        <v>52.73</v>
      </c>
      <c r="AO184" s="37" t="n">
        <v>51.3</v>
      </c>
      <c r="AP184" s="37" t="n">
        <v>50.97</v>
      </c>
      <c r="AQ184" s="37" t="n">
        <v>53.38</v>
      </c>
      <c r="AR184" s="37" t="n">
        <v>51.38</v>
      </c>
      <c r="AS184" s="37" t="n">
        <v>40.48999999999999</v>
      </c>
      <c r="AT184" s="37" t="n">
        <v>57.01000000000001</v>
      </c>
      <c r="AU184" s="37" t="n">
        <v>52.73</v>
      </c>
      <c r="AV184" s="37" t="n">
        <v>51.3</v>
      </c>
      <c r="AW184" s="37" t="n">
        <v>50.97</v>
      </c>
      <c r="AX184" s="37" t="n">
        <v>53.38</v>
      </c>
      <c r="AY184" s="37" t="n">
        <v>51.38</v>
      </c>
      <c r="AZ184" s="37" t="n">
        <v>40.48999999999999</v>
      </c>
      <c r="BA184" s="37" t="n">
        <v>54.16</v>
      </c>
      <c r="BB184" s="37" t="n">
        <v>47.65</v>
      </c>
      <c r="BC184" s="37" t="n">
        <v>26.99</v>
      </c>
      <c r="BD184" s="37" t="n">
        <v>20.72</v>
      </c>
      <c r="BE184" s="37" t="n">
        <v>48.44</v>
      </c>
      <c r="BF184" s="37" t="n">
        <v>46.95</v>
      </c>
      <c r="BG184" s="37" t="n">
        <v>41.03</v>
      </c>
      <c r="BH184" s="37" t="n">
        <v>57.74</v>
      </c>
      <c r="BI184" s="37" t="n">
        <v>53.40000000000001</v>
      </c>
      <c r="BJ184" s="37" t="n">
        <v>60.48</v>
      </c>
      <c r="BK184" s="37" t="n">
        <v>51.63</v>
      </c>
      <c r="BL184" s="37" t="n">
        <v>54.06</v>
      </c>
      <c r="BM184" s="37" t="n">
        <v>52.04</v>
      </c>
      <c r="BN184" s="37" t="n">
        <v>41.03</v>
      </c>
      <c r="BO184" s="37" t="n">
        <v>57.74</v>
      </c>
      <c r="BP184" s="37" t="n">
        <v>53.40000000000001</v>
      </c>
      <c r="BQ184" s="37" t="n">
        <v>51.97</v>
      </c>
      <c r="BR184" s="37" t="n">
        <v>51.63</v>
      </c>
      <c r="BS184" s="37" t="n">
        <v>54.06</v>
      </c>
      <c r="BT184" s="37" t="n">
        <v>52.04</v>
      </c>
      <c r="BU184" s="37" t="n">
        <v>41.03</v>
      </c>
      <c r="BV184" s="37" t="n">
        <v>57.74</v>
      </c>
      <c r="BW184" s="37" t="n">
        <v>53.40000000000001</v>
      </c>
      <c r="BX184" s="37" t="n">
        <v>51.97</v>
      </c>
      <c r="BY184" s="37" t="n">
        <v>51.63</v>
      </c>
      <c r="BZ184" s="37" t="n">
        <v>54.06</v>
      </c>
      <c r="CA184" s="37" t="n">
        <v>52.04</v>
      </c>
      <c r="CB184" s="37" t="n">
        <v>41.03</v>
      </c>
      <c r="CC184" s="37" t="n">
        <v>3285.530000000001</v>
      </c>
    </row>
    <row r="185" ht="15.75" customHeight="1" s="57">
      <c r="A185" s="7" t="inlineStr">
        <is>
          <t>NTB</t>
        </is>
      </c>
      <c r="B185" s="7" t="inlineStr">
        <is>
          <t>Khánh Hòa</t>
        </is>
      </c>
      <c r="C185" s="7" t="n">
        <v>21094000</v>
      </c>
      <c r="D185" s="7" t="inlineStr">
        <is>
          <t>Kho Giao Hàng Nặng - Nha Trang - Khánh Hoà</t>
        </is>
      </c>
      <c r="E185" s="7" t="inlineStr">
        <is>
          <t>SME-Bulky</t>
        </is>
      </c>
      <c r="F185" s="36" t="n">
        <v>0</v>
      </c>
      <c r="G185" s="36" t="n">
        <v>1</v>
      </c>
      <c r="H185" s="36" t="n">
        <v>0</v>
      </c>
      <c r="I185" s="36" t="n">
        <v>0</v>
      </c>
      <c r="J185" s="36" t="n">
        <v>0</v>
      </c>
      <c r="K185" s="28" t="n">
        <v>0</v>
      </c>
      <c r="L185" s="36" t="n">
        <v>0</v>
      </c>
      <c r="M185" s="36" t="n">
        <v>2</v>
      </c>
      <c r="N185" s="36" t="n">
        <v>0</v>
      </c>
      <c r="O185" s="36" t="n">
        <v>121</v>
      </c>
      <c r="P185" s="36" t="n">
        <v>39</v>
      </c>
      <c r="Q185" s="36" t="n">
        <v>1</v>
      </c>
      <c r="R185" s="28" t="n">
        <v>39</v>
      </c>
      <c r="S185" s="36" t="n">
        <v>0</v>
      </c>
      <c r="T185" s="36" t="n">
        <v>118</v>
      </c>
      <c r="U185" s="36" t="n">
        <v>35.34</v>
      </c>
      <c r="V185" s="36" t="n">
        <v>36.35</v>
      </c>
      <c r="W185" s="36" t="n">
        <v>34.34</v>
      </c>
      <c r="X185" s="36" t="n">
        <v>23.56</v>
      </c>
      <c r="Y185" s="28" t="n">
        <v>38.85</v>
      </c>
      <c r="Z185" s="36" t="n">
        <v>37.1</v>
      </c>
      <c r="AA185" s="36" t="n">
        <v>36.85</v>
      </c>
      <c r="AB185" s="36" t="n">
        <v>35.34</v>
      </c>
      <c r="AC185" s="36" t="n">
        <v>36.35</v>
      </c>
      <c r="AD185" s="36" t="n">
        <v>23.56</v>
      </c>
      <c r="AE185" s="36" t="n">
        <v>23.56</v>
      </c>
      <c r="AF185" s="28" t="n">
        <v>38.85</v>
      </c>
      <c r="AG185" s="36" t="n">
        <v>37.1</v>
      </c>
      <c r="AH185" s="37" t="n">
        <v>36.85</v>
      </c>
      <c r="AI185" s="37" t="n">
        <v>35.34</v>
      </c>
      <c r="AJ185" s="37" t="n">
        <v>36.35</v>
      </c>
      <c r="AK185" s="37" t="n">
        <v>34.34</v>
      </c>
      <c r="AL185" s="37" t="n">
        <v>23.56</v>
      </c>
      <c r="AM185" s="37" t="n">
        <v>38.85</v>
      </c>
      <c r="AN185" s="37" t="n">
        <v>37.1</v>
      </c>
      <c r="AO185" s="37" t="n">
        <v>36.85</v>
      </c>
      <c r="AP185" s="37" t="n">
        <v>35.34</v>
      </c>
      <c r="AQ185" s="37" t="n">
        <v>36.35</v>
      </c>
      <c r="AR185" s="37" t="n">
        <v>34.34</v>
      </c>
      <c r="AS185" s="37" t="n">
        <v>23.56</v>
      </c>
      <c r="AT185" s="37" t="n">
        <v>38.85</v>
      </c>
      <c r="AU185" s="37" t="n">
        <v>37.1</v>
      </c>
      <c r="AV185" s="37" t="n">
        <v>36.85</v>
      </c>
      <c r="AW185" s="37" t="n">
        <v>35.34</v>
      </c>
      <c r="AX185" s="37" t="n">
        <v>36.35</v>
      </c>
      <c r="AY185" s="37" t="n">
        <v>34.34</v>
      </c>
      <c r="AZ185" s="37" t="n">
        <v>23.56</v>
      </c>
      <c r="BA185" s="37" t="n">
        <v>42.11</v>
      </c>
      <c r="BB185" s="37" t="n">
        <v>21.56</v>
      </c>
      <c r="BC185" s="37" t="n">
        <v>11.03</v>
      </c>
      <c r="BD185" s="37" t="n">
        <v>8.27</v>
      </c>
      <c r="BE185" s="37" t="n">
        <v>20.05</v>
      </c>
      <c r="BF185" s="37" t="n">
        <v>19.8</v>
      </c>
      <c r="BG185" s="37" t="n">
        <v>13.03</v>
      </c>
      <c r="BH185" s="37" t="n">
        <v>22.31</v>
      </c>
      <c r="BI185" s="37" t="n">
        <v>21.56</v>
      </c>
      <c r="BJ185" s="37" t="n">
        <v>16.29</v>
      </c>
      <c r="BK185" s="37" t="n">
        <v>20.3</v>
      </c>
      <c r="BL185" s="37" t="n">
        <v>20.81</v>
      </c>
      <c r="BM185" s="37" t="n">
        <v>19.8</v>
      </c>
      <c r="BN185" s="37" t="n">
        <v>13.03</v>
      </c>
      <c r="BO185" s="37" t="n">
        <v>22.31</v>
      </c>
      <c r="BP185" s="37" t="n">
        <v>21.56</v>
      </c>
      <c r="BQ185" s="37" t="n">
        <v>21.06</v>
      </c>
      <c r="BR185" s="37" t="n">
        <v>20.3</v>
      </c>
      <c r="BS185" s="37" t="n">
        <v>20.81</v>
      </c>
      <c r="BT185" s="37" t="n">
        <v>19.8</v>
      </c>
      <c r="BU185" s="37" t="n">
        <v>13.03</v>
      </c>
      <c r="BV185" s="37" t="n">
        <v>22.31</v>
      </c>
      <c r="BW185" s="37" t="n">
        <v>21.56</v>
      </c>
      <c r="BX185" s="37" t="n">
        <v>21.06</v>
      </c>
      <c r="BY185" s="37" t="n">
        <v>20.3</v>
      </c>
      <c r="BZ185" s="37" t="n">
        <v>20.81</v>
      </c>
      <c r="CA185" s="37" t="n">
        <v>19.8</v>
      </c>
      <c r="CB185" s="37" t="n">
        <v>13.03</v>
      </c>
      <c r="CC185" s="37" t="n">
        <v>1957.059999999998</v>
      </c>
    </row>
    <row r="186" ht="15.75" customHeight="1" s="57">
      <c r="A186" s="7" t="inlineStr">
        <is>
          <t>NTB</t>
        </is>
      </c>
      <c r="B186" s="7" t="inlineStr">
        <is>
          <t>Khánh Hòa</t>
        </is>
      </c>
      <c r="C186" s="7" t="n">
        <v>21331000</v>
      </c>
      <c r="D186" s="7" t="inlineStr">
        <is>
          <t>(KHO) Cam Lâm 1</t>
        </is>
      </c>
      <c r="E186" s="7" t="inlineStr">
        <is>
          <t>SME</t>
        </is>
      </c>
      <c r="F186" s="36" t="n">
        <v>5</v>
      </c>
      <c r="G186" s="36" t="n">
        <v>6</v>
      </c>
      <c r="H186" s="36" t="n">
        <v>2</v>
      </c>
      <c r="I186" s="36" t="n">
        <v>4</v>
      </c>
      <c r="J186" s="36" t="n">
        <v>5</v>
      </c>
      <c r="K186" s="28" t="n">
        <v>3</v>
      </c>
      <c r="L186" s="36" t="n">
        <v>12</v>
      </c>
      <c r="M186" s="36" t="n">
        <v>7</v>
      </c>
      <c r="N186" s="36" t="n">
        <v>11</v>
      </c>
      <c r="O186" s="36" t="n">
        <v>4</v>
      </c>
      <c r="P186" s="36" t="n">
        <v>4</v>
      </c>
      <c r="Q186" s="36" t="n">
        <v>4</v>
      </c>
      <c r="R186" s="28" t="n">
        <v>3</v>
      </c>
      <c r="S186" s="36" t="n">
        <v>45</v>
      </c>
      <c r="T186" s="36" t="n">
        <v>11</v>
      </c>
      <c r="U186" s="36" t="n">
        <v>16.8</v>
      </c>
      <c r="V186" s="36" t="n">
        <v>17.37</v>
      </c>
      <c r="W186" s="36" t="n">
        <v>16.94</v>
      </c>
      <c r="X186" s="36" t="n">
        <v>13.84</v>
      </c>
      <c r="Y186" s="28" t="n">
        <v>18.75</v>
      </c>
      <c r="Z186" s="36" t="n">
        <v>17.24</v>
      </c>
      <c r="AA186" s="36" t="n">
        <v>16.88</v>
      </c>
      <c r="AB186" s="36" t="n">
        <v>16.8</v>
      </c>
      <c r="AC186" s="36" t="n">
        <v>17.37</v>
      </c>
      <c r="AD186" s="36" t="n">
        <v>19.67</v>
      </c>
      <c r="AE186" s="36" t="n">
        <v>13.84</v>
      </c>
      <c r="AF186" s="28" t="n">
        <v>18.75</v>
      </c>
      <c r="AG186" s="36" t="n">
        <v>17.24</v>
      </c>
      <c r="AH186" s="37" t="n">
        <v>16.88</v>
      </c>
      <c r="AI186" s="37" t="n">
        <v>16.8</v>
      </c>
      <c r="AJ186" s="37" t="n">
        <v>17.37</v>
      </c>
      <c r="AK186" s="37" t="n">
        <v>16.94</v>
      </c>
      <c r="AL186" s="37" t="n">
        <v>13.84</v>
      </c>
      <c r="AM186" s="37" t="n">
        <v>18.75</v>
      </c>
      <c r="AN186" s="37" t="n">
        <v>17.24</v>
      </c>
      <c r="AO186" s="37" t="n">
        <v>16.88</v>
      </c>
      <c r="AP186" s="37" t="n">
        <v>16.8</v>
      </c>
      <c r="AQ186" s="37" t="n">
        <v>17.37</v>
      </c>
      <c r="AR186" s="37" t="n">
        <v>16.94</v>
      </c>
      <c r="AS186" s="37" t="n">
        <v>13.84</v>
      </c>
      <c r="AT186" s="37" t="n">
        <v>18.75</v>
      </c>
      <c r="AU186" s="37" t="n">
        <v>17.24</v>
      </c>
      <c r="AV186" s="37" t="n">
        <v>16.88</v>
      </c>
      <c r="AW186" s="37" t="n">
        <v>16.8</v>
      </c>
      <c r="AX186" s="37" t="n">
        <v>17.37</v>
      </c>
      <c r="AY186" s="37" t="n">
        <v>16.94</v>
      </c>
      <c r="AZ186" s="37" t="n">
        <v>13.84</v>
      </c>
      <c r="BA186" s="37" t="n">
        <v>17.82</v>
      </c>
      <c r="BB186" s="37" t="n">
        <v>15.88</v>
      </c>
      <c r="BC186" s="37" t="n">
        <v>9.790000000000001</v>
      </c>
      <c r="BD186" s="37" t="n">
        <v>7.64</v>
      </c>
      <c r="BE186" s="37" t="n">
        <v>16.35</v>
      </c>
      <c r="BF186" s="37" t="n">
        <v>15.92</v>
      </c>
      <c r="BG186" s="37" t="n">
        <v>14.31</v>
      </c>
      <c r="BH186" s="37" t="n">
        <v>19.37</v>
      </c>
      <c r="BI186" s="37" t="n">
        <v>17.81</v>
      </c>
      <c r="BJ186" s="37" t="n">
        <v>20.22</v>
      </c>
      <c r="BK186" s="37" t="n">
        <v>17.37</v>
      </c>
      <c r="BL186" s="37" t="n">
        <v>17.94</v>
      </c>
      <c r="BM186" s="37" t="n">
        <v>17.5</v>
      </c>
      <c r="BN186" s="37" t="n">
        <v>14.31</v>
      </c>
      <c r="BO186" s="37" t="n">
        <v>19.37</v>
      </c>
      <c r="BP186" s="37" t="n">
        <v>17.81</v>
      </c>
      <c r="BQ186" s="37" t="n">
        <v>17.44</v>
      </c>
      <c r="BR186" s="37" t="n">
        <v>17.37</v>
      </c>
      <c r="BS186" s="37" t="n">
        <v>17.94</v>
      </c>
      <c r="BT186" s="37" t="n">
        <v>17.5</v>
      </c>
      <c r="BU186" s="37" t="n">
        <v>14.31</v>
      </c>
      <c r="BV186" s="37" t="n">
        <v>19.37</v>
      </c>
      <c r="BW186" s="37" t="n">
        <v>17.81</v>
      </c>
      <c r="BX186" s="37" t="n">
        <v>17.44</v>
      </c>
      <c r="BY186" s="37" t="n">
        <v>17.37</v>
      </c>
      <c r="BZ186" s="37" t="n">
        <v>17.94</v>
      </c>
      <c r="CA186" s="37" t="n">
        <v>17.5</v>
      </c>
      <c r="CB186" s="37" t="n">
        <v>14.31</v>
      </c>
      <c r="CC186" s="37" t="n">
        <v>1130.67</v>
      </c>
    </row>
    <row r="187" ht="15.75" customHeight="1" s="57">
      <c r="A187" s="7" t="inlineStr">
        <is>
          <t>NTB</t>
        </is>
      </c>
      <c r="B187" s="7" t="inlineStr">
        <is>
          <t>Khánh Hòa</t>
        </is>
      </c>
      <c r="C187" s="7" t="n">
        <v>21331000</v>
      </c>
      <c r="D187" s="7" t="inlineStr">
        <is>
          <t>(KHO) Cam Lâm 1</t>
        </is>
      </c>
      <c r="E187" s="7" t="inlineStr">
        <is>
          <t>SME-Bulky</t>
        </is>
      </c>
      <c r="F187" s="36" t="n">
        <v>0</v>
      </c>
      <c r="G187" s="36" t="n">
        <v>1</v>
      </c>
      <c r="H187" s="36" t="n">
        <v>0</v>
      </c>
      <c r="I187" s="36" t="n">
        <v>0</v>
      </c>
      <c r="J187" s="36" t="n">
        <v>0</v>
      </c>
      <c r="K187" s="28" t="n">
        <v>3</v>
      </c>
      <c r="L187" s="36" t="n">
        <v>1</v>
      </c>
      <c r="M187" s="36" t="n">
        <v>0</v>
      </c>
      <c r="N187" s="36" t="n">
        <v>0</v>
      </c>
      <c r="O187" s="36" t="n">
        <v>1</v>
      </c>
      <c r="P187" s="36" t="n">
        <v>0</v>
      </c>
      <c r="Q187" s="36" t="n">
        <v>0</v>
      </c>
      <c r="R187" s="28" t="n">
        <v>0</v>
      </c>
      <c r="S187" s="36" t="n">
        <v>0</v>
      </c>
      <c r="T187" s="36" t="n">
        <v>0</v>
      </c>
      <c r="U187" s="36" t="n">
        <v>0.13</v>
      </c>
      <c r="V187" s="36" t="n">
        <v>0.13</v>
      </c>
      <c r="W187" s="36" t="n">
        <v>0.12</v>
      </c>
      <c r="X187" s="36" t="n">
        <v>0.08</v>
      </c>
      <c r="Y187" s="28" t="n">
        <v>0.14</v>
      </c>
      <c r="Z187" s="36" t="n">
        <v>0.13</v>
      </c>
      <c r="AA187" s="36" t="n">
        <v>0.13</v>
      </c>
      <c r="AB187" s="36" t="n">
        <v>0.13</v>
      </c>
      <c r="AC187" s="36" t="n">
        <v>0.13</v>
      </c>
      <c r="AD187" s="36" t="n">
        <v>0.08</v>
      </c>
      <c r="AE187" s="36" t="n">
        <v>0.08</v>
      </c>
      <c r="AF187" s="28" t="n">
        <v>0.14</v>
      </c>
      <c r="AG187" s="36" t="n">
        <v>0.13</v>
      </c>
      <c r="AH187" s="37" t="n">
        <v>0.13</v>
      </c>
      <c r="AI187" s="37" t="n">
        <v>0.13</v>
      </c>
      <c r="AJ187" s="37" t="n">
        <v>0.13</v>
      </c>
      <c r="AK187" s="37" t="n">
        <v>0.12</v>
      </c>
      <c r="AL187" s="37" t="n">
        <v>0.08</v>
      </c>
      <c r="AM187" s="37" t="n">
        <v>0.14</v>
      </c>
      <c r="AN187" s="37" t="n">
        <v>0.13</v>
      </c>
      <c r="AO187" s="37" t="n">
        <v>0.13</v>
      </c>
      <c r="AP187" s="37" t="n">
        <v>0.13</v>
      </c>
      <c r="AQ187" s="37" t="n">
        <v>0.13</v>
      </c>
      <c r="AR187" s="37" t="n">
        <v>0.12</v>
      </c>
      <c r="AS187" s="37" t="n">
        <v>0.08</v>
      </c>
      <c r="AT187" s="37" t="n">
        <v>0.14</v>
      </c>
      <c r="AU187" s="37" t="n">
        <v>0.13</v>
      </c>
      <c r="AV187" s="37" t="n">
        <v>0.13</v>
      </c>
      <c r="AW187" s="37" t="n">
        <v>0.13</v>
      </c>
      <c r="AX187" s="37" t="n">
        <v>0.13</v>
      </c>
      <c r="AY187" s="37" t="n">
        <v>0.12</v>
      </c>
      <c r="AZ187" s="37" t="n">
        <v>0.08</v>
      </c>
      <c r="BA187" s="37" t="n">
        <v>0.15</v>
      </c>
      <c r="BB187" s="37" t="n">
        <v>0.08</v>
      </c>
      <c r="BC187" s="37" t="n">
        <v>0.04</v>
      </c>
      <c r="BD187" s="37" t="n">
        <v>0.03</v>
      </c>
      <c r="BE187" s="37" t="n">
        <v>0.07000000000000001</v>
      </c>
      <c r="BF187" s="37" t="n">
        <v>0.07000000000000001</v>
      </c>
      <c r="BG187" s="37" t="n">
        <v>0.05</v>
      </c>
      <c r="BH187" s="37" t="n">
        <v>0.08</v>
      </c>
      <c r="BI187" s="37" t="n">
        <v>0.08</v>
      </c>
      <c r="BJ187" s="37" t="n">
        <v>0.06</v>
      </c>
      <c r="BK187" s="37" t="n">
        <v>0.07000000000000001</v>
      </c>
      <c r="BL187" s="37" t="n">
        <v>0.07000000000000001</v>
      </c>
      <c r="BM187" s="37" t="n">
        <v>0.07000000000000001</v>
      </c>
      <c r="BN187" s="37" t="n">
        <v>0.05</v>
      </c>
      <c r="BO187" s="37" t="n">
        <v>0.08</v>
      </c>
      <c r="BP187" s="37" t="n">
        <v>0.08</v>
      </c>
      <c r="BQ187" s="37" t="n">
        <v>0.07000000000000001</v>
      </c>
      <c r="BR187" s="37" t="n">
        <v>0.07000000000000001</v>
      </c>
      <c r="BS187" s="37" t="n">
        <v>0.07000000000000001</v>
      </c>
      <c r="BT187" s="37" t="n">
        <v>0.07000000000000001</v>
      </c>
      <c r="BU187" s="37" t="n">
        <v>0.05</v>
      </c>
      <c r="BV187" s="37" t="n">
        <v>0.08</v>
      </c>
      <c r="BW187" s="37" t="n">
        <v>0.08</v>
      </c>
      <c r="BX187" s="37" t="n">
        <v>0.07000000000000001</v>
      </c>
      <c r="BY187" s="37" t="n">
        <v>0.07000000000000001</v>
      </c>
      <c r="BZ187" s="37" t="n">
        <v>0.07000000000000001</v>
      </c>
      <c r="CA187" s="37" t="n">
        <v>0.07000000000000001</v>
      </c>
      <c r="CB187" s="37" t="n">
        <v>0.05</v>
      </c>
      <c r="CC187" s="37" t="n">
        <v>11.81000000000001</v>
      </c>
    </row>
    <row r="188" ht="15.75" customHeight="1" s="57">
      <c r="A188" s="7" t="inlineStr">
        <is>
          <t>NTB</t>
        </is>
      </c>
      <c r="B188" s="7" t="inlineStr">
        <is>
          <t>Khánh Hòa</t>
        </is>
      </c>
      <c r="C188" s="7" t="n">
        <v>21331000</v>
      </c>
      <c r="D188" s="7" t="inlineStr">
        <is>
          <t>(KHO) Cam Lâm 1</t>
        </is>
      </c>
      <c r="E188" s="7" t="inlineStr">
        <is>
          <t>Shopee</t>
        </is>
      </c>
      <c r="F188" s="36" t="n">
        <v>8</v>
      </c>
      <c r="G188" s="36" t="n">
        <v>8</v>
      </c>
      <c r="H188" s="36" t="n">
        <v>8</v>
      </c>
      <c r="I188" s="36" t="n">
        <v>10</v>
      </c>
      <c r="J188" s="36" t="n">
        <v>10</v>
      </c>
      <c r="K188" s="28" t="n">
        <v>5</v>
      </c>
      <c r="L188" s="36" t="n">
        <v>3</v>
      </c>
      <c r="M188" s="36" t="n">
        <v>9</v>
      </c>
      <c r="N188" s="36" t="n">
        <v>8</v>
      </c>
      <c r="O188" s="36" t="n">
        <v>11</v>
      </c>
      <c r="P188" s="36" t="n">
        <v>2</v>
      </c>
      <c r="Q188" s="36" t="n">
        <v>5</v>
      </c>
      <c r="R188" s="28" t="n">
        <v>5</v>
      </c>
      <c r="S188" s="36" t="n">
        <v>11</v>
      </c>
      <c r="T188" s="36" t="n">
        <v>7</v>
      </c>
      <c r="U188" s="36" t="n">
        <v>10.32</v>
      </c>
      <c r="V188" s="36" t="n">
        <v>10.37</v>
      </c>
      <c r="W188" s="36" t="n">
        <v>10</v>
      </c>
      <c r="X188" s="36" t="n">
        <v>8.609999999999999</v>
      </c>
      <c r="Y188" s="28" t="n">
        <v>13.92</v>
      </c>
      <c r="Z188" s="36" t="n">
        <v>11</v>
      </c>
      <c r="AA188" s="36" t="n">
        <v>13.43</v>
      </c>
      <c r="AB188" s="36" t="n">
        <v>10.56</v>
      </c>
      <c r="AC188" s="36" t="n">
        <v>8.539999999999999</v>
      </c>
      <c r="AD188" s="36" t="n">
        <v>19.64</v>
      </c>
      <c r="AE188" s="36" t="n">
        <v>9.140000000000001</v>
      </c>
      <c r="AF188" s="28" t="n">
        <v>15.38</v>
      </c>
      <c r="AG188" s="36" t="n">
        <v>11.55</v>
      </c>
      <c r="AH188" s="37" t="n">
        <v>12.26</v>
      </c>
      <c r="AI188" s="37" t="n">
        <v>10.32</v>
      </c>
      <c r="AJ188" s="37" t="n">
        <v>10.37</v>
      </c>
      <c r="AK188" s="37" t="n">
        <v>10.97</v>
      </c>
      <c r="AL188" s="37" t="n">
        <v>15.43</v>
      </c>
      <c r="AM188" s="37" t="n">
        <v>13.92</v>
      </c>
      <c r="AN188" s="37" t="n">
        <v>11</v>
      </c>
      <c r="AO188" s="37" t="n">
        <v>12.26</v>
      </c>
      <c r="AP188" s="37" t="n">
        <v>11.34</v>
      </c>
      <c r="AQ188" s="37" t="n">
        <v>8.33</v>
      </c>
      <c r="AR188" s="37" t="n">
        <v>10</v>
      </c>
      <c r="AS188" s="37" t="n">
        <v>8.609999999999999</v>
      </c>
      <c r="AT188" s="37" t="n">
        <v>13.92</v>
      </c>
      <c r="AU188" s="37" t="n">
        <v>12.12</v>
      </c>
      <c r="AV188" s="37" t="n">
        <v>12.51</v>
      </c>
      <c r="AW188" s="37" t="n">
        <v>10.32</v>
      </c>
      <c r="AX188" s="37" t="n">
        <v>10.37</v>
      </c>
      <c r="AY188" s="37" t="n">
        <v>10</v>
      </c>
      <c r="AZ188" s="37" t="n">
        <v>8.609999999999999</v>
      </c>
      <c r="BA188" s="37" t="n">
        <v>11.91</v>
      </c>
      <c r="BB188" s="37" t="n">
        <v>8.27</v>
      </c>
      <c r="BC188" s="37" t="n">
        <v>3.69</v>
      </c>
      <c r="BD188" s="37" t="n">
        <v>6.2</v>
      </c>
      <c r="BE188" s="37" t="n">
        <v>12.42</v>
      </c>
      <c r="BF188" s="37" t="n">
        <v>11.94</v>
      </c>
      <c r="BG188" s="37" t="n">
        <v>8.44</v>
      </c>
      <c r="BH188" s="37" t="n">
        <v>13.25</v>
      </c>
      <c r="BI188" s="37" t="n">
        <v>8.66</v>
      </c>
      <c r="BJ188" s="37" t="n">
        <v>27.72</v>
      </c>
      <c r="BK188" s="37" t="n">
        <v>10.57</v>
      </c>
      <c r="BL188" s="37" t="n">
        <v>10.41</v>
      </c>
      <c r="BM188" s="37" t="n">
        <v>9.58</v>
      </c>
      <c r="BN188" s="37" t="n">
        <v>8.279999999999999</v>
      </c>
      <c r="BO188" s="37" t="n">
        <v>13.25</v>
      </c>
      <c r="BP188" s="37" t="n">
        <v>11.58</v>
      </c>
      <c r="BQ188" s="37" t="n">
        <v>17.8</v>
      </c>
      <c r="BR188" s="37" t="n">
        <v>9.880000000000001</v>
      </c>
      <c r="BS188" s="37" t="n">
        <v>9.92</v>
      </c>
      <c r="BT188" s="37" t="n">
        <v>9.58</v>
      </c>
      <c r="BU188" s="37" t="n">
        <v>9.06</v>
      </c>
      <c r="BV188" s="37" t="n">
        <v>10.7</v>
      </c>
      <c r="BW188" s="37" t="n">
        <v>10.51</v>
      </c>
      <c r="BX188" s="37" t="n">
        <v>11.69</v>
      </c>
      <c r="BY188" s="37" t="n">
        <v>9.880000000000001</v>
      </c>
      <c r="BZ188" s="37" t="n">
        <v>10.89</v>
      </c>
      <c r="CA188" s="37" t="n">
        <v>9.720000000000001</v>
      </c>
      <c r="CB188" s="37" t="n">
        <v>8.279999999999999</v>
      </c>
      <c r="CC188" s="37" t="n">
        <v>779.2000000000002</v>
      </c>
    </row>
    <row r="189" ht="15.75" customHeight="1" s="57">
      <c r="A189" s="7" t="inlineStr">
        <is>
          <t>NTB</t>
        </is>
      </c>
      <c r="B189" s="7" t="inlineStr">
        <is>
          <t>Khánh Hòa</t>
        </is>
      </c>
      <c r="C189" s="7" t="n">
        <v>21331000</v>
      </c>
      <c r="D189" s="7" t="inlineStr">
        <is>
          <t>(KHO) Cam Lâm 1</t>
        </is>
      </c>
      <c r="E189" s="7" t="inlineStr">
        <is>
          <t>TTS</t>
        </is>
      </c>
      <c r="F189" s="36" t="n">
        <v>4</v>
      </c>
      <c r="G189" s="36" t="n">
        <v>1</v>
      </c>
      <c r="H189" s="36" t="n">
        <v>3</v>
      </c>
      <c r="I189" s="36" t="n">
        <v>0</v>
      </c>
      <c r="J189" s="36" t="n">
        <v>0</v>
      </c>
      <c r="K189" s="28" t="n">
        <v>1</v>
      </c>
      <c r="L189" s="36" t="n">
        <v>7</v>
      </c>
      <c r="M189" s="36" t="n">
        <v>0</v>
      </c>
      <c r="N189" s="36" t="n">
        <v>1</v>
      </c>
      <c r="O189" s="36" t="n">
        <v>3</v>
      </c>
      <c r="P189" s="36" t="n">
        <v>2</v>
      </c>
      <c r="Q189" s="36" t="n">
        <v>3</v>
      </c>
      <c r="R189" s="28" t="n">
        <v>2</v>
      </c>
      <c r="S189" s="36" t="n">
        <v>3</v>
      </c>
      <c r="T189" s="36" t="n">
        <v>3</v>
      </c>
      <c r="U189" s="36" t="n">
        <v>1.99</v>
      </c>
      <c r="V189" s="36" t="n">
        <v>1.95</v>
      </c>
      <c r="W189" s="36" t="n">
        <v>1.91</v>
      </c>
      <c r="X189" s="36" t="n">
        <v>1.54</v>
      </c>
      <c r="Y189" s="28" t="n">
        <v>2.23</v>
      </c>
      <c r="Z189" s="36" t="n">
        <v>1.9</v>
      </c>
      <c r="AA189" s="36" t="n">
        <v>2.14</v>
      </c>
      <c r="AB189" s="36" t="n">
        <v>2.35</v>
      </c>
      <c r="AC189" s="36" t="n">
        <v>2.48</v>
      </c>
      <c r="AD189" s="36" t="n">
        <v>2.37</v>
      </c>
      <c r="AE189" s="36" t="n">
        <v>1.78</v>
      </c>
      <c r="AF189" s="28" t="n">
        <v>2.3</v>
      </c>
      <c r="AG189" s="36" t="n">
        <v>1.94</v>
      </c>
      <c r="AH189" s="37" t="n">
        <v>1.92</v>
      </c>
      <c r="AI189" s="37" t="n">
        <v>2.23</v>
      </c>
      <c r="AJ189" s="37" t="n">
        <v>2.37</v>
      </c>
      <c r="AK189" s="37" t="n">
        <v>2.34</v>
      </c>
      <c r="AL189" s="37" t="n">
        <v>1.67</v>
      </c>
      <c r="AM189" s="37" t="n">
        <v>2.26</v>
      </c>
      <c r="AN189" s="37" t="n">
        <v>1.95</v>
      </c>
      <c r="AO189" s="37" t="n">
        <v>1.95</v>
      </c>
      <c r="AP189" s="37" t="n">
        <v>1.89</v>
      </c>
      <c r="AQ189" s="37" t="n">
        <v>1.91</v>
      </c>
      <c r="AR189" s="37" t="n">
        <v>1.88</v>
      </c>
      <c r="AS189" s="37" t="n">
        <v>1.54</v>
      </c>
      <c r="AT189" s="37" t="n">
        <v>2.44</v>
      </c>
      <c r="AU189" s="37" t="n">
        <v>2.22</v>
      </c>
      <c r="AV189" s="37" t="n">
        <v>1.98</v>
      </c>
      <c r="AW189" s="37" t="n">
        <v>1.88</v>
      </c>
      <c r="AX189" s="37" t="n">
        <v>1.85</v>
      </c>
      <c r="AY189" s="37" t="n">
        <v>1.85</v>
      </c>
      <c r="AZ189" s="37" t="n">
        <v>1.54</v>
      </c>
      <c r="BA189" s="37" t="n">
        <v>2.2</v>
      </c>
      <c r="BB189" s="37" t="n">
        <v>2.06</v>
      </c>
      <c r="BC189" s="37" t="n">
        <v>1.09</v>
      </c>
      <c r="BD189" s="37" t="n">
        <v>1.51</v>
      </c>
      <c r="BE189" s="37" t="n">
        <v>3.47</v>
      </c>
      <c r="BF189" s="37" t="n">
        <v>3.37</v>
      </c>
      <c r="BG189" s="37" t="n">
        <v>1.67</v>
      </c>
      <c r="BH189" s="37" t="n">
        <v>2.44</v>
      </c>
      <c r="BI189" s="37" t="n">
        <v>2.06</v>
      </c>
      <c r="BJ189" s="37" t="n">
        <v>1.82</v>
      </c>
      <c r="BK189" s="37" t="n">
        <v>2.1</v>
      </c>
      <c r="BL189" s="37" t="n">
        <v>2.1</v>
      </c>
      <c r="BM189" s="37" t="n">
        <v>2.04</v>
      </c>
      <c r="BN189" s="37" t="n">
        <v>1.67</v>
      </c>
      <c r="BO189" s="37" t="n">
        <v>2.44</v>
      </c>
      <c r="BP189" s="37" t="n">
        <v>2.06</v>
      </c>
      <c r="BQ189" s="37" t="n">
        <v>2.04</v>
      </c>
      <c r="BR189" s="37" t="n">
        <v>2.1</v>
      </c>
      <c r="BS189" s="37" t="n">
        <v>2.1</v>
      </c>
      <c r="BT189" s="37" t="n">
        <v>2.04</v>
      </c>
      <c r="BU189" s="37" t="n">
        <v>1.67</v>
      </c>
      <c r="BV189" s="37" t="n">
        <v>2.44</v>
      </c>
      <c r="BW189" s="37" t="n">
        <v>2.06</v>
      </c>
      <c r="BX189" s="37" t="n">
        <v>2.04</v>
      </c>
      <c r="BY189" s="37" t="n">
        <v>2.1</v>
      </c>
      <c r="BZ189" s="37" t="n">
        <v>2.1</v>
      </c>
      <c r="CA189" s="37" t="n">
        <v>2.04</v>
      </c>
      <c r="CB189" s="37" t="n">
        <v>1.67</v>
      </c>
      <c r="CC189" s="37" t="n">
        <v>156.0499999999999</v>
      </c>
    </row>
    <row r="190" ht="15.75" customHeight="1" s="57">
      <c r="A190" s="7" t="inlineStr">
        <is>
          <t>NTB</t>
        </is>
      </c>
      <c r="B190" s="7" t="inlineStr">
        <is>
          <t>Khánh Hòa</t>
        </is>
      </c>
      <c r="C190" s="7" t="n">
        <v>21479000</v>
      </c>
      <c r="D190" s="7" t="inlineStr">
        <is>
          <t>(KHO) Bắc Cam Ranh</t>
        </is>
      </c>
      <c r="E190" s="7" t="inlineStr">
        <is>
          <t>SME</t>
        </is>
      </c>
      <c r="F190" s="36" t="n">
        <v>30</v>
      </c>
      <c r="G190" s="36" t="n">
        <v>59</v>
      </c>
      <c r="H190" s="36" t="n">
        <v>39</v>
      </c>
      <c r="I190" s="36" t="n">
        <v>46</v>
      </c>
      <c r="J190" s="36" t="n">
        <v>33</v>
      </c>
      <c r="K190" s="28" t="n">
        <v>36</v>
      </c>
      <c r="L190" s="36" t="n">
        <v>52</v>
      </c>
      <c r="M190" s="36" t="n">
        <v>45</v>
      </c>
      <c r="N190" s="36" t="n">
        <v>22</v>
      </c>
      <c r="O190" s="36" t="n">
        <v>71</v>
      </c>
      <c r="P190" s="36" t="n">
        <v>30</v>
      </c>
      <c r="Q190" s="36" t="n">
        <v>34</v>
      </c>
      <c r="R190" s="28" t="n">
        <v>44</v>
      </c>
      <c r="S190" s="36" t="n">
        <v>53</v>
      </c>
      <c r="T190" s="36" t="n">
        <v>37</v>
      </c>
      <c r="U190" s="36" t="n">
        <v>66.67</v>
      </c>
      <c r="V190" s="36" t="n">
        <v>69.05</v>
      </c>
      <c r="W190" s="36" t="n">
        <v>67.20999999999999</v>
      </c>
      <c r="X190" s="36" t="n">
        <v>54.62</v>
      </c>
      <c r="Y190" s="28" t="n">
        <v>74.45</v>
      </c>
      <c r="Z190" s="36" t="n">
        <v>68.47</v>
      </c>
      <c r="AA190" s="36" t="n">
        <v>66.98999999999999</v>
      </c>
      <c r="AB190" s="36" t="n">
        <v>66.67</v>
      </c>
      <c r="AC190" s="36" t="n">
        <v>69.05</v>
      </c>
      <c r="AD190" s="36" t="n">
        <v>78.03</v>
      </c>
      <c r="AE190" s="36" t="n">
        <v>54.62</v>
      </c>
      <c r="AF190" s="28" t="n">
        <v>74.45</v>
      </c>
      <c r="AG190" s="36" t="n">
        <v>68.47</v>
      </c>
      <c r="AH190" s="37" t="n">
        <v>66.98999999999999</v>
      </c>
      <c r="AI190" s="37" t="n">
        <v>66.67</v>
      </c>
      <c r="AJ190" s="37" t="n">
        <v>69.05</v>
      </c>
      <c r="AK190" s="37" t="n">
        <v>67.20999999999999</v>
      </c>
      <c r="AL190" s="37" t="n">
        <v>54.62</v>
      </c>
      <c r="AM190" s="37" t="n">
        <v>74.45</v>
      </c>
      <c r="AN190" s="37" t="n">
        <v>68.47</v>
      </c>
      <c r="AO190" s="37" t="n">
        <v>66.98999999999999</v>
      </c>
      <c r="AP190" s="37" t="n">
        <v>66.67</v>
      </c>
      <c r="AQ190" s="37" t="n">
        <v>69.05</v>
      </c>
      <c r="AR190" s="37" t="n">
        <v>67.20999999999999</v>
      </c>
      <c r="AS190" s="37" t="n">
        <v>54.62</v>
      </c>
      <c r="AT190" s="37" t="n">
        <v>74.45</v>
      </c>
      <c r="AU190" s="37" t="n">
        <v>68.47</v>
      </c>
      <c r="AV190" s="37" t="n">
        <v>66.98999999999999</v>
      </c>
      <c r="AW190" s="37" t="n">
        <v>66.67</v>
      </c>
      <c r="AX190" s="37" t="n">
        <v>69.05</v>
      </c>
      <c r="AY190" s="37" t="n">
        <v>67.20999999999999</v>
      </c>
      <c r="AZ190" s="37" t="n">
        <v>54.62</v>
      </c>
      <c r="BA190" s="37" t="n">
        <v>70.72</v>
      </c>
      <c r="BB190" s="37" t="n">
        <v>62.93</v>
      </c>
      <c r="BC190" s="37" t="n">
        <v>38.29</v>
      </c>
      <c r="BD190" s="37" t="n">
        <v>29.84</v>
      </c>
      <c r="BE190" s="37" t="n">
        <v>64.65000000000001</v>
      </c>
      <c r="BF190" s="37" t="n">
        <v>62.92</v>
      </c>
      <c r="BG190" s="37" t="n">
        <v>56.29</v>
      </c>
      <c r="BH190" s="37" t="n">
        <v>76.68000000000001</v>
      </c>
      <c r="BI190" s="37" t="n">
        <v>70.51000000000001</v>
      </c>
      <c r="BJ190" s="37" t="n">
        <v>80.05</v>
      </c>
      <c r="BK190" s="37" t="n">
        <v>68.7</v>
      </c>
      <c r="BL190" s="37" t="n">
        <v>71.11</v>
      </c>
      <c r="BM190" s="37" t="n">
        <v>69.23999999999999</v>
      </c>
      <c r="BN190" s="37" t="n">
        <v>56.29</v>
      </c>
      <c r="BO190" s="37" t="n">
        <v>76.68000000000001</v>
      </c>
      <c r="BP190" s="37" t="n">
        <v>70.51000000000001</v>
      </c>
      <c r="BQ190" s="37" t="n">
        <v>69.02</v>
      </c>
      <c r="BR190" s="37" t="n">
        <v>68.7</v>
      </c>
      <c r="BS190" s="37" t="n">
        <v>71.11</v>
      </c>
      <c r="BT190" s="37" t="n">
        <v>69.23999999999999</v>
      </c>
      <c r="BU190" s="37" t="n">
        <v>56.29</v>
      </c>
      <c r="BV190" s="37" t="n">
        <v>76.68000000000001</v>
      </c>
      <c r="BW190" s="37" t="n">
        <v>70.51000000000001</v>
      </c>
      <c r="BX190" s="37" t="n">
        <v>69.02</v>
      </c>
      <c r="BY190" s="37" t="n">
        <v>68.7</v>
      </c>
      <c r="BZ190" s="37" t="n">
        <v>71.11</v>
      </c>
      <c r="CA190" s="37" t="n">
        <v>69.23999999999999</v>
      </c>
      <c r="CB190" s="37" t="n">
        <v>56.29</v>
      </c>
      <c r="CC190" s="37" t="n">
        <v>4610.53</v>
      </c>
    </row>
    <row r="191" ht="15.75" customHeight="1" s="57">
      <c r="A191" s="7" t="inlineStr">
        <is>
          <t>NTB</t>
        </is>
      </c>
      <c r="B191" s="7" t="inlineStr">
        <is>
          <t>Khánh Hòa</t>
        </is>
      </c>
      <c r="C191" s="7" t="n">
        <v>21479000</v>
      </c>
      <c r="D191" s="7" t="inlineStr">
        <is>
          <t>(KHO) Bắc Cam Ranh</t>
        </is>
      </c>
      <c r="E191" s="7" t="inlineStr">
        <is>
          <t>SME-Bulky</t>
        </is>
      </c>
      <c r="F191" s="36" t="n">
        <v>10</v>
      </c>
      <c r="G191" s="36" t="n">
        <v>14</v>
      </c>
      <c r="H191" s="36" t="n">
        <v>8</v>
      </c>
      <c r="I191" s="36" t="n">
        <v>4</v>
      </c>
      <c r="J191" s="36" t="n">
        <v>4</v>
      </c>
      <c r="K191" s="28" t="n">
        <v>7</v>
      </c>
      <c r="L191" s="36" t="n">
        <v>6</v>
      </c>
      <c r="M191" s="36" t="n">
        <v>6</v>
      </c>
      <c r="N191" s="36" t="n">
        <v>11</v>
      </c>
      <c r="O191" s="36" t="n">
        <v>11</v>
      </c>
      <c r="P191" s="36" t="n">
        <v>8</v>
      </c>
      <c r="Q191" s="36" t="n">
        <v>1</v>
      </c>
      <c r="R191" s="28" t="n">
        <v>11</v>
      </c>
      <c r="S191" s="36" t="n">
        <v>14</v>
      </c>
      <c r="T191" s="36" t="n">
        <v>5</v>
      </c>
      <c r="U191" s="36" t="n">
        <v>7.42</v>
      </c>
      <c r="V191" s="36" t="n">
        <v>7.63</v>
      </c>
      <c r="W191" s="36" t="n">
        <v>7.21</v>
      </c>
      <c r="X191" s="36" t="n">
        <v>4.95</v>
      </c>
      <c r="Y191" s="28" t="n">
        <v>8.16</v>
      </c>
      <c r="Z191" s="36" t="n">
        <v>7.79</v>
      </c>
      <c r="AA191" s="36" t="n">
        <v>7.74</v>
      </c>
      <c r="AB191" s="36" t="n">
        <v>7.42</v>
      </c>
      <c r="AC191" s="36" t="n">
        <v>7.63</v>
      </c>
      <c r="AD191" s="36" t="n">
        <v>4.95</v>
      </c>
      <c r="AE191" s="36" t="n">
        <v>4.95</v>
      </c>
      <c r="AF191" s="28" t="n">
        <v>8.16</v>
      </c>
      <c r="AG191" s="36" t="n">
        <v>7.79</v>
      </c>
      <c r="AH191" s="37" t="n">
        <v>7.74</v>
      </c>
      <c r="AI191" s="37" t="n">
        <v>7.42</v>
      </c>
      <c r="AJ191" s="37" t="n">
        <v>7.63</v>
      </c>
      <c r="AK191" s="37" t="n">
        <v>7.21</v>
      </c>
      <c r="AL191" s="37" t="n">
        <v>4.95</v>
      </c>
      <c r="AM191" s="37" t="n">
        <v>8.16</v>
      </c>
      <c r="AN191" s="37" t="n">
        <v>7.79</v>
      </c>
      <c r="AO191" s="37" t="n">
        <v>7.74</v>
      </c>
      <c r="AP191" s="37" t="n">
        <v>7.42</v>
      </c>
      <c r="AQ191" s="37" t="n">
        <v>7.63</v>
      </c>
      <c r="AR191" s="37" t="n">
        <v>7.21</v>
      </c>
      <c r="AS191" s="37" t="n">
        <v>4.95</v>
      </c>
      <c r="AT191" s="37" t="n">
        <v>8.16</v>
      </c>
      <c r="AU191" s="37" t="n">
        <v>7.79</v>
      </c>
      <c r="AV191" s="37" t="n">
        <v>7.74</v>
      </c>
      <c r="AW191" s="37" t="n">
        <v>7.42</v>
      </c>
      <c r="AX191" s="37" t="n">
        <v>7.63</v>
      </c>
      <c r="AY191" s="37" t="n">
        <v>7.21</v>
      </c>
      <c r="AZ191" s="37" t="n">
        <v>4.95</v>
      </c>
      <c r="BA191" s="37" t="n">
        <v>8.84</v>
      </c>
      <c r="BB191" s="37" t="n">
        <v>4.53</v>
      </c>
      <c r="BC191" s="37" t="n">
        <v>2.32</v>
      </c>
      <c r="BD191" s="37" t="n">
        <v>1.74</v>
      </c>
      <c r="BE191" s="37" t="n">
        <v>4.21</v>
      </c>
      <c r="BF191" s="37" t="n">
        <v>4.16</v>
      </c>
      <c r="BG191" s="37" t="n">
        <v>2.74</v>
      </c>
      <c r="BH191" s="37" t="n">
        <v>4.68</v>
      </c>
      <c r="BI191" s="37" t="n">
        <v>4.53</v>
      </c>
      <c r="BJ191" s="37" t="n">
        <v>3.42</v>
      </c>
      <c r="BK191" s="37" t="n">
        <v>4.26</v>
      </c>
      <c r="BL191" s="37" t="n">
        <v>4.37</v>
      </c>
      <c r="BM191" s="37" t="n">
        <v>4.16</v>
      </c>
      <c r="BN191" s="37" t="n">
        <v>2.74</v>
      </c>
      <c r="BO191" s="37" t="n">
        <v>4.68</v>
      </c>
      <c r="BP191" s="37" t="n">
        <v>4.53</v>
      </c>
      <c r="BQ191" s="37" t="n">
        <v>4.42</v>
      </c>
      <c r="BR191" s="37" t="n">
        <v>4.26</v>
      </c>
      <c r="BS191" s="37" t="n">
        <v>4.37</v>
      </c>
      <c r="BT191" s="37" t="n">
        <v>4.16</v>
      </c>
      <c r="BU191" s="37" t="n">
        <v>2.74</v>
      </c>
      <c r="BV191" s="37" t="n">
        <v>4.68</v>
      </c>
      <c r="BW191" s="37" t="n">
        <v>4.53</v>
      </c>
      <c r="BX191" s="37" t="n">
        <v>4.42</v>
      </c>
      <c r="BY191" s="37" t="n">
        <v>4.26</v>
      </c>
      <c r="BZ191" s="37" t="n">
        <v>4.37</v>
      </c>
      <c r="CA191" s="37" t="n">
        <v>4.16</v>
      </c>
      <c r="CB191" s="37" t="n">
        <v>2.74</v>
      </c>
      <c r="CC191" s="37" t="n">
        <v>463.57</v>
      </c>
    </row>
    <row r="192" ht="15.75" customHeight="1" s="57">
      <c r="A192" s="7" t="inlineStr">
        <is>
          <t>NTB</t>
        </is>
      </c>
      <c r="B192" s="7" t="inlineStr">
        <is>
          <t>Khánh Hòa</t>
        </is>
      </c>
      <c r="C192" s="7" t="n">
        <v>21479000</v>
      </c>
      <c r="D192" s="7" t="inlineStr">
        <is>
          <t>(KHO) Bắc Cam Ranh</t>
        </is>
      </c>
      <c r="E192" s="7" t="inlineStr">
        <is>
          <t>Shopee</t>
        </is>
      </c>
      <c r="F192" s="36" t="n">
        <v>5</v>
      </c>
      <c r="G192" s="36" t="n">
        <v>7</v>
      </c>
      <c r="H192" s="36" t="n">
        <v>6</v>
      </c>
      <c r="I192" s="36" t="n">
        <v>3</v>
      </c>
      <c r="J192" s="36" t="n">
        <v>2</v>
      </c>
      <c r="K192" s="28" t="n">
        <v>3</v>
      </c>
      <c r="L192" s="36" t="n">
        <v>4</v>
      </c>
      <c r="M192" s="36" t="n">
        <v>5</v>
      </c>
      <c r="N192" s="36" t="n">
        <v>3</v>
      </c>
      <c r="O192" s="36" t="n">
        <v>6</v>
      </c>
      <c r="P192" s="36" t="n">
        <v>3</v>
      </c>
      <c r="Q192" s="36" t="n">
        <v>5</v>
      </c>
      <c r="R192" s="28" t="n">
        <v>9</v>
      </c>
      <c r="S192" s="36" t="n">
        <v>2</v>
      </c>
      <c r="T192" s="36" t="n">
        <v>2</v>
      </c>
      <c r="U192" s="36" t="n">
        <v>5.44</v>
      </c>
      <c r="V192" s="36" t="n">
        <v>5.47</v>
      </c>
      <c r="W192" s="36" t="n">
        <v>5.27</v>
      </c>
      <c r="X192" s="36" t="n">
        <v>4.54</v>
      </c>
      <c r="Y192" s="28" t="n">
        <v>7.34</v>
      </c>
      <c r="Z192" s="36" t="n">
        <v>5.8</v>
      </c>
      <c r="AA192" s="36" t="n">
        <v>7.08</v>
      </c>
      <c r="AB192" s="36" t="n">
        <v>5.57</v>
      </c>
      <c r="AC192" s="36" t="n">
        <v>4.5</v>
      </c>
      <c r="AD192" s="36" t="n">
        <v>10.36</v>
      </c>
      <c r="AE192" s="36" t="n">
        <v>4.82</v>
      </c>
      <c r="AF192" s="28" t="n">
        <v>8.109999999999999</v>
      </c>
      <c r="AG192" s="36" t="n">
        <v>6.09</v>
      </c>
      <c r="AH192" s="37" t="n">
        <v>6.46</v>
      </c>
      <c r="AI192" s="37" t="n">
        <v>5.44</v>
      </c>
      <c r="AJ192" s="37" t="n">
        <v>5.47</v>
      </c>
      <c r="AK192" s="37" t="n">
        <v>5.78</v>
      </c>
      <c r="AL192" s="37" t="n">
        <v>8.140000000000001</v>
      </c>
      <c r="AM192" s="37" t="n">
        <v>7.34</v>
      </c>
      <c r="AN192" s="37" t="n">
        <v>5.8</v>
      </c>
      <c r="AO192" s="37" t="n">
        <v>6.46</v>
      </c>
      <c r="AP192" s="37" t="n">
        <v>5.98</v>
      </c>
      <c r="AQ192" s="37" t="n">
        <v>4.39</v>
      </c>
      <c r="AR192" s="37" t="n">
        <v>5.27</v>
      </c>
      <c r="AS192" s="37" t="n">
        <v>4.54</v>
      </c>
      <c r="AT192" s="37" t="n">
        <v>7.34</v>
      </c>
      <c r="AU192" s="37" t="n">
        <v>6.39</v>
      </c>
      <c r="AV192" s="37" t="n">
        <v>6.6</v>
      </c>
      <c r="AW192" s="37" t="n">
        <v>5.44</v>
      </c>
      <c r="AX192" s="37" t="n">
        <v>5.47</v>
      </c>
      <c r="AY192" s="37" t="n">
        <v>5.27</v>
      </c>
      <c r="AZ192" s="37" t="n">
        <v>4.54</v>
      </c>
      <c r="BA192" s="37" t="n">
        <v>6.28</v>
      </c>
      <c r="BB192" s="37" t="n">
        <v>4.36</v>
      </c>
      <c r="BC192" s="37" t="n">
        <v>1.95</v>
      </c>
      <c r="BD192" s="37" t="n">
        <v>3.27</v>
      </c>
      <c r="BE192" s="37" t="n">
        <v>6.55</v>
      </c>
      <c r="BF192" s="37" t="n">
        <v>6.3</v>
      </c>
      <c r="BG192" s="37" t="n">
        <v>4.45</v>
      </c>
      <c r="BH192" s="37" t="n">
        <v>6.99</v>
      </c>
      <c r="BI192" s="37" t="n">
        <v>4.57</v>
      </c>
      <c r="BJ192" s="37" t="n">
        <v>14.62</v>
      </c>
      <c r="BK192" s="37" t="n">
        <v>5.57</v>
      </c>
      <c r="BL192" s="37" t="n">
        <v>5.49</v>
      </c>
      <c r="BM192" s="37" t="n">
        <v>5.05</v>
      </c>
      <c r="BN192" s="37" t="n">
        <v>4.37</v>
      </c>
      <c r="BO192" s="37" t="n">
        <v>6.99</v>
      </c>
      <c r="BP192" s="37" t="n">
        <v>6.11</v>
      </c>
      <c r="BQ192" s="37" t="n">
        <v>9.380000000000001</v>
      </c>
      <c r="BR192" s="37" t="n">
        <v>5.21</v>
      </c>
      <c r="BS192" s="37" t="n">
        <v>5.23</v>
      </c>
      <c r="BT192" s="37" t="n">
        <v>5.05</v>
      </c>
      <c r="BU192" s="37" t="n">
        <v>4.78</v>
      </c>
      <c r="BV192" s="37" t="n">
        <v>5.64</v>
      </c>
      <c r="BW192" s="37" t="n">
        <v>5.54</v>
      </c>
      <c r="BX192" s="37" t="n">
        <v>6.16</v>
      </c>
      <c r="BY192" s="37" t="n">
        <v>5.21</v>
      </c>
      <c r="BZ192" s="37" t="n">
        <v>5.74</v>
      </c>
      <c r="CA192" s="37" t="n">
        <v>5.12</v>
      </c>
      <c r="CB192" s="37" t="n">
        <v>4.37</v>
      </c>
      <c r="CC192" s="37" t="n">
        <v>417.86</v>
      </c>
    </row>
    <row r="193" ht="15.75" customHeight="1" s="57">
      <c r="A193" s="7" t="inlineStr">
        <is>
          <t>NTB</t>
        </is>
      </c>
      <c r="B193" s="7" t="inlineStr">
        <is>
          <t>Khánh Hòa</t>
        </is>
      </c>
      <c r="C193" s="7" t="n">
        <v>21479000</v>
      </c>
      <c r="D193" s="7" t="inlineStr">
        <is>
          <t>(KHO) Bắc Cam Ranh</t>
        </is>
      </c>
      <c r="E193" s="7" t="inlineStr">
        <is>
          <t>TTS</t>
        </is>
      </c>
      <c r="F193" s="36" t="n">
        <v>5</v>
      </c>
      <c r="G193" s="36" t="n">
        <v>7</v>
      </c>
      <c r="H193" s="36" t="n">
        <v>10</v>
      </c>
      <c r="I193" s="36" t="n">
        <v>14</v>
      </c>
      <c r="J193" s="36" t="n">
        <v>13</v>
      </c>
      <c r="K193" s="28" t="n">
        <v>10</v>
      </c>
      <c r="L193" s="36" t="n">
        <v>8</v>
      </c>
      <c r="M193" s="36" t="n">
        <v>7</v>
      </c>
      <c r="N193" s="36" t="n">
        <v>13</v>
      </c>
      <c r="O193" s="36" t="n">
        <v>9</v>
      </c>
      <c r="P193" s="36" t="n">
        <v>9</v>
      </c>
      <c r="Q193" s="36" t="n">
        <v>12</v>
      </c>
      <c r="R193" s="28" t="n">
        <v>10</v>
      </c>
      <c r="S193" s="36" t="n">
        <v>18</v>
      </c>
      <c r="T193" s="36" t="n">
        <v>13</v>
      </c>
      <c r="U193" s="36" t="n">
        <v>10.89</v>
      </c>
      <c r="V193" s="36" t="n">
        <v>10.66</v>
      </c>
      <c r="W193" s="36" t="n">
        <v>10.42</v>
      </c>
      <c r="X193" s="36" t="n">
        <v>8.4</v>
      </c>
      <c r="Y193" s="28" t="n">
        <v>12.2</v>
      </c>
      <c r="Z193" s="36" t="n">
        <v>10.4</v>
      </c>
      <c r="AA193" s="36" t="n">
        <v>11.69</v>
      </c>
      <c r="AB193" s="36" t="n">
        <v>12.84</v>
      </c>
      <c r="AC193" s="36" t="n">
        <v>13.57</v>
      </c>
      <c r="AD193" s="36" t="n">
        <v>12.97</v>
      </c>
      <c r="AE193" s="36" t="n">
        <v>9.74</v>
      </c>
      <c r="AF193" s="28" t="n">
        <v>12.58</v>
      </c>
      <c r="AG193" s="36" t="n">
        <v>10.62</v>
      </c>
      <c r="AH193" s="37" t="n">
        <v>10.51</v>
      </c>
      <c r="AI193" s="37" t="n">
        <v>12.17</v>
      </c>
      <c r="AJ193" s="37" t="n">
        <v>12.95</v>
      </c>
      <c r="AK193" s="37" t="n">
        <v>12.81</v>
      </c>
      <c r="AL193" s="37" t="n">
        <v>9.140000000000001</v>
      </c>
      <c r="AM193" s="37" t="n">
        <v>12.34</v>
      </c>
      <c r="AN193" s="37" t="n">
        <v>10.69</v>
      </c>
      <c r="AO193" s="37" t="n">
        <v>10.67</v>
      </c>
      <c r="AP193" s="37" t="n">
        <v>10.36</v>
      </c>
      <c r="AQ193" s="37" t="n">
        <v>10.45</v>
      </c>
      <c r="AR193" s="37" t="n">
        <v>10.29</v>
      </c>
      <c r="AS193" s="37" t="n">
        <v>8.42</v>
      </c>
      <c r="AT193" s="37" t="n">
        <v>13.35</v>
      </c>
      <c r="AU193" s="37" t="n">
        <v>12.15</v>
      </c>
      <c r="AV193" s="37" t="n">
        <v>10.8</v>
      </c>
      <c r="AW193" s="37" t="n">
        <v>10.28</v>
      </c>
      <c r="AX193" s="37" t="n">
        <v>10.1</v>
      </c>
      <c r="AY193" s="37" t="n">
        <v>10.14</v>
      </c>
      <c r="AZ193" s="37" t="n">
        <v>8.42</v>
      </c>
      <c r="BA193" s="37" t="n">
        <v>12.02</v>
      </c>
      <c r="BB193" s="37" t="n">
        <v>11.28</v>
      </c>
      <c r="BC193" s="37" t="n">
        <v>5.95</v>
      </c>
      <c r="BD193" s="37" t="n">
        <v>8.26</v>
      </c>
      <c r="BE193" s="37" t="n">
        <v>18.98</v>
      </c>
      <c r="BF193" s="37" t="n">
        <v>18.45</v>
      </c>
      <c r="BG193" s="37" t="n">
        <v>9.140000000000001</v>
      </c>
      <c r="BH193" s="37" t="n">
        <v>13.33</v>
      </c>
      <c r="BI193" s="37" t="n">
        <v>11.28</v>
      </c>
      <c r="BJ193" s="37" t="n">
        <v>9.93</v>
      </c>
      <c r="BK193" s="37" t="n">
        <v>11.47</v>
      </c>
      <c r="BL193" s="37" t="n">
        <v>11.47</v>
      </c>
      <c r="BM193" s="37" t="n">
        <v>11.14</v>
      </c>
      <c r="BN193" s="37" t="n">
        <v>9.140000000000001</v>
      </c>
      <c r="BO193" s="37" t="n">
        <v>13.33</v>
      </c>
      <c r="BP193" s="37" t="n">
        <v>11.28</v>
      </c>
      <c r="BQ193" s="37" t="n">
        <v>11.16</v>
      </c>
      <c r="BR193" s="37" t="n">
        <v>11.47</v>
      </c>
      <c r="BS193" s="37" t="n">
        <v>11.47</v>
      </c>
      <c r="BT193" s="37" t="n">
        <v>11.14</v>
      </c>
      <c r="BU193" s="37" t="n">
        <v>9.140000000000001</v>
      </c>
      <c r="BV193" s="37" t="n">
        <v>13.33</v>
      </c>
      <c r="BW193" s="37" t="n">
        <v>11.28</v>
      </c>
      <c r="BX193" s="37" t="n">
        <v>11.16</v>
      </c>
      <c r="BY193" s="37" t="n">
        <v>11.47</v>
      </c>
      <c r="BZ193" s="37" t="n">
        <v>11.47</v>
      </c>
      <c r="CA193" s="37" t="n">
        <v>11.14</v>
      </c>
      <c r="CB193" s="37" t="n">
        <v>9.140000000000001</v>
      </c>
      <c r="CC193" s="37" t="n">
        <v>830.8400000000001</v>
      </c>
    </row>
    <row r="194" ht="15.75" customHeight="1" s="57">
      <c r="A194" s="7" t="inlineStr">
        <is>
          <t>NTB</t>
        </is>
      </c>
      <c r="B194" s="7" t="inlineStr">
        <is>
          <t>Khánh Hòa</t>
        </is>
      </c>
      <c r="C194" s="7" t="n">
        <v>21498000</v>
      </c>
      <c r="D194" s="7" t="inlineStr">
        <is>
          <t>Kho Giao Hàng Nặng - Cam Ranh - Khánh Hoà</t>
        </is>
      </c>
      <c r="E194" s="7" t="inlineStr">
        <is>
          <t>SME</t>
        </is>
      </c>
      <c r="F194" s="36" t="n">
        <v>0</v>
      </c>
      <c r="G194" s="36" t="n">
        <v>0</v>
      </c>
      <c r="H194" s="36" t="n">
        <v>0</v>
      </c>
      <c r="I194" s="36" t="n">
        <v>0</v>
      </c>
      <c r="J194" s="36" t="n">
        <v>0</v>
      </c>
      <c r="K194" s="28" t="n">
        <v>1</v>
      </c>
      <c r="L194" s="36" t="n">
        <v>0</v>
      </c>
      <c r="M194" s="36" t="n">
        <v>1</v>
      </c>
      <c r="N194" s="36" t="n">
        <v>0</v>
      </c>
      <c r="O194" s="36" t="n">
        <v>1</v>
      </c>
      <c r="P194" s="36" t="n">
        <v>0</v>
      </c>
      <c r="Q194" s="36" t="n">
        <v>0</v>
      </c>
      <c r="R194" s="28" t="n">
        <v>0</v>
      </c>
      <c r="S194" s="36" t="n">
        <v>0</v>
      </c>
      <c r="T194" s="36" t="n">
        <v>1</v>
      </c>
      <c r="U194" s="36" t="n">
        <v>0.59</v>
      </c>
      <c r="V194" s="36" t="n">
        <v>0.61</v>
      </c>
      <c r="W194" s="36" t="n">
        <v>0.59</v>
      </c>
      <c r="X194" s="36" t="n">
        <v>0.49</v>
      </c>
      <c r="Y194" s="28" t="n">
        <v>0.66</v>
      </c>
      <c r="Z194" s="36" t="n">
        <v>0.6</v>
      </c>
      <c r="AA194" s="36" t="n">
        <v>0.59</v>
      </c>
      <c r="AB194" s="36" t="n">
        <v>0.59</v>
      </c>
      <c r="AC194" s="36" t="n">
        <v>0.61</v>
      </c>
      <c r="AD194" s="36" t="n">
        <v>0.6899999999999999</v>
      </c>
      <c r="AE194" s="36" t="n">
        <v>0.49</v>
      </c>
      <c r="AF194" s="28" t="n">
        <v>0.66</v>
      </c>
      <c r="AG194" s="36" t="n">
        <v>0.6</v>
      </c>
      <c r="AH194" s="37" t="n">
        <v>0.59</v>
      </c>
      <c r="AI194" s="37" t="n">
        <v>0.59</v>
      </c>
      <c r="AJ194" s="37" t="n">
        <v>0.61</v>
      </c>
      <c r="AK194" s="37" t="n">
        <v>0.59</v>
      </c>
      <c r="AL194" s="37" t="n">
        <v>0.49</v>
      </c>
      <c r="AM194" s="37" t="n">
        <v>0.66</v>
      </c>
      <c r="AN194" s="37" t="n">
        <v>0.6</v>
      </c>
      <c r="AO194" s="37" t="n">
        <v>0.59</v>
      </c>
      <c r="AP194" s="37" t="n">
        <v>0.59</v>
      </c>
      <c r="AQ194" s="37" t="n">
        <v>0.61</v>
      </c>
      <c r="AR194" s="37" t="n">
        <v>0.59</v>
      </c>
      <c r="AS194" s="37" t="n">
        <v>0.49</v>
      </c>
      <c r="AT194" s="37" t="n">
        <v>0.66</v>
      </c>
      <c r="AU194" s="37" t="n">
        <v>0.6</v>
      </c>
      <c r="AV194" s="37" t="n">
        <v>0.59</v>
      </c>
      <c r="AW194" s="37" t="n">
        <v>0.59</v>
      </c>
      <c r="AX194" s="37" t="n">
        <v>0.61</v>
      </c>
      <c r="AY194" s="37" t="n">
        <v>0.59</v>
      </c>
      <c r="AZ194" s="37" t="n">
        <v>0.49</v>
      </c>
      <c r="BA194" s="37" t="n">
        <v>0.62</v>
      </c>
      <c r="BB194" s="37" t="n">
        <v>0.5600000000000001</v>
      </c>
      <c r="BC194" s="37" t="n">
        <v>0.34</v>
      </c>
      <c r="BD194" s="37" t="n">
        <v>0.27</v>
      </c>
      <c r="BE194" s="37" t="n">
        <v>0.57</v>
      </c>
      <c r="BF194" s="37" t="n">
        <v>0.5600000000000001</v>
      </c>
      <c r="BG194" s="37" t="n">
        <v>0.5</v>
      </c>
      <c r="BH194" s="37" t="n">
        <v>0.68</v>
      </c>
      <c r="BI194" s="37" t="n">
        <v>0.62</v>
      </c>
      <c r="BJ194" s="37" t="n">
        <v>0.71</v>
      </c>
      <c r="BK194" s="37" t="n">
        <v>0.61</v>
      </c>
      <c r="BL194" s="37" t="n">
        <v>0.63</v>
      </c>
      <c r="BM194" s="37" t="n">
        <v>0.61</v>
      </c>
      <c r="BN194" s="37" t="n">
        <v>0.5</v>
      </c>
      <c r="BO194" s="37" t="n">
        <v>0.68</v>
      </c>
      <c r="BP194" s="37" t="n">
        <v>0.62</v>
      </c>
      <c r="BQ194" s="37" t="n">
        <v>0.61</v>
      </c>
      <c r="BR194" s="37" t="n">
        <v>0.61</v>
      </c>
      <c r="BS194" s="37" t="n">
        <v>0.63</v>
      </c>
      <c r="BT194" s="37" t="n">
        <v>0.61</v>
      </c>
      <c r="BU194" s="37" t="n">
        <v>0.5</v>
      </c>
      <c r="BV194" s="37" t="n">
        <v>0.68</v>
      </c>
      <c r="BW194" s="37" t="n">
        <v>0.62</v>
      </c>
      <c r="BX194" s="37" t="n">
        <v>0.61</v>
      </c>
      <c r="BY194" s="37" t="n">
        <v>0.61</v>
      </c>
      <c r="BZ194" s="37" t="n">
        <v>0.63</v>
      </c>
      <c r="CA194" s="37" t="n">
        <v>0.61</v>
      </c>
      <c r="CB194" s="37" t="n">
        <v>0.5</v>
      </c>
      <c r="CC194" s="37" t="n">
        <v>39.2</v>
      </c>
    </row>
    <row r="195" ht="15.75" customHeight="1" s="57">
      <c r="A195" s="7" t="inlineStr">
        <is>
          <t>NTB</t>
        </is>
      </c>
      <c r="B195" s="7" t="inlineStr">
        <is>
          <t>Khánh Hòa</t>
        </is>
      </c>
      <c r="C195" s="7" t="n">
        <v>21569000</v>
      </c>
      <c r="D195" s="7" t="inlineStr">
        <is>
          <t>(KHO) Đông Ninh Hòa</t>
        </is>
      </c>
      <c r="E195" s="7" t="inlineStr">
        <is>
          <t>SME</t>
        </is>
      </c>
      <c r="F195" s="36" t="n">
        <v>66</v>
      </c>
      <c r="G195" s="36" t="n">
        <v>42</v>
      </c>
      <c r="H195" s="36" t="n">
        <v>38</v>
      </c>
      <c r="I195" s="36" t="n">
        <v>65</v>
      </c>
      <c r="J195" s="36" t="n">
        <v>42</v>
      </c>
      <c r="K195" s="28" t="n">
        <v>53</v>
      </c>
      <c r="L195" s="36" t="n">
        <v>46</v>
      </c>
      <c r="M195" s="36" t="n">
        <v>40</v>
      </c>
      <c r="N195" s="36" t="n">
        <v>40</v>
      </c>
      <c r="O195" s="36" t="n">
        <v>55</v>
      </c>
      <c r="P195" s="36" t="n">
        <v>49</v>
      </c>
      <c r="Q195" s="36" t="n">
        <v>40</v>
      </c>
      <c r="R195" s="28" t="n">
        <v>41</v>
      </c>
      <c r="S195" s="36" t="n">
        <v>40</v>
      </c>
      <c r="T195" s="36" t="n">
        <v>83</v>
      </c>
      <c r="U195" s="36" t="n">
        <v>72.14999999999999</v>
      </c>
      <c r="V195" s="36" t="n">
        <v>74.69</v>
      </c>
      <c r="W195" s="36" t="n">
        <v>72.73</v>
      </c>
      <c r="X195" s="36" t="n">
        <v>59.18</v>
      </c>
      <c r="Y195" s="28" t="n">
        <v>80.55999999999999</v>
      </c>
      <c r="Z195" s="36" t="n">
        <v>74.08</v>
      </c>
      <c r="AA195" s="36" t="n">
        <v>72.48</v>
      </c>
      <c r="AB195" s="36" t="n">
        <v>72.14999999999999</v>
      </c>
      <c r="AC195" s="36" t="n">
        <v>74.69</v>
      </c>
      <c r="AD195" s="36" t="n">
        <v>84.44000000000001</v>
      </c>
      <c r="AE195" s="36" t="n">
        <v>59.18</v>
      </c>
      <c r="AF195" s="28" t="n">
        <v>80.55999999999999</v>
      </c>
      <c r="AG195" s="36" t="n">
        <v>74.08</v>
      </c>
      <c r="AH195" s="37" t="n">
        <v>72.48</v>
      </c>
      <c r="AI195" s="37" t="n">
        <v>72.14999999999999</v>
      </c>
      <c r="AJ195" s="37" t="n">
        <v>74.69</v>
      </c>
      <c r="AK195" s="37" t="n">
        <v>72.73</v>
      </c>
      <c r="AL195" s="37" t="n">
        <v>59.18</v>
      </c>
      <c r="AM195" s="37" t="n">
        <v>80.55999999999999</v>
      </c>
      <c r="AN195" s="37" t="n">
        <v>74.08</v>
      </c>
      <c r="AO195" s="37" t="n">
        <v>72.48</v>
      </c>
      <c r="AP195" s="37" t="n">
        <v>72.14999999999999</v>
      </c>
      <c r="AQ195" s="37" t="n">
        <v>74.69</v>
      </c>
      <c r="AR195" s="37" t="n">
        <v>72.73</v>
      </c>
      <c r="AS195" s="37" t="n">
        <v>59.18</v>
      </c>
      <c r="AT195" s="37" t="n">
        <v>80.55999999999999</v>
      </c>
      <c r="AU195" s="37" t="n">
        <v>74.08</v>
      </c>
      <c r="AV195" s="37" t="n">
        <v>72.48</v>
      </c>
      <c r="AW195" s="37" t="n">
        <v>72.14999999999999</v>
      </c>
      <c r="AX195" s="37" t="n">
        <v>74.69</v>
      </c>
      <c r="AY195" s="37" t="n">
        <v>72.73</v>
      </c>
      <c r="AZ195" s="37" t="n">
        <v>59.18</v>
      </c>
      <c r="BA195" s="37" t="n">
        <v>76.52000000000001</v>
      </c>
      <c r="BB195" s="37" t="n">
        <v>68.12</v>
      </c>
      <c r="BC195" s="37" t="n">
        <v>41.57</v>
      </c>
      <c r="BD195" s="37" t="n">
        <v>32.42</v>
      </c>
      <c r="BE195" s="37" t="n">
        <v>70.02</v>
      </c>
      <c r="BF195" s="37" t="n">
        <v>68.15000000000001</v>
      </c>
      <c r="BG195" s="37" t="n">
        <v>61.02</v>
      </c>
      <c r="BH195" s="37" t="n">
        <v>83.03</v>
      </c>
      <c r="BI195" s="37" t="n">
        <v>76.34</v>
      </c>
      <c r="BJ195" s="37" t="n">
        <v>86.67</v>
      </c>
      <c r="BK195" s="37" t="n">
        <v>74.39999999999999</v>
      </c>
      <c r="BL195" s="37" t="n">
        <v>76.97</v>
      </c>
      <c r="BM195" s="37" t="n">
        <v>74.99000000000001</v>
      </c>
      <c r="BN195" s="37" t="n">
        <v>61.02</v>
      </c>
      <c r="BO195" s="37" t="n">
        <v>83.03</v>
      </c>
      <c r="BP195" s="37" t="n">
        <v>76.34</v>
      </c>
      <c r="BQ195" s="37" t="n">
        <v>74.74000000000001</v>
      </c>
      <c r="BR195" s="37" t="n">
        <v>74.39999999999999</v>
      </c>
      <c r="BS195" s="37" t="n">
        <v>76.97</v>
      </c>
      <c r="BT195" s="37" t="n">
        <v>74.99000000000001</v>
      </c>
      <c r="BU195" s="37" t="n">
        <v>61.02</v>
      </c>
      <c r="BV195" s="37" t="n">
        <v>83.03</v>
      </c>
      <c r="BW195" s="37" t="n">
        <v>76.34</v>
      </c>
      <c r="BX195" s="37" t="n">
        <v>74.74000000000001</v>
      </c>
      <c r="BY195" s="37" t="n">
        <v>74.39999999999999</v>
      </c>
      <c r="BZ195" s="37" t="n">
        <v>76.97</v>
      </c>
      <c r="CA195" s="37" t="n">
        <v>74.99000000000001</v>
      </c>
      <c r="CB195" s="37" t="n">
        <v>61.02</v>
      </c>
      <c r="CC195" s="37" t="n">
        <v>5048.160000000001</v>
      </c>
    </row>
    <row r="196" ht="15.75" customHeight="1" s="57">
      <c r="A196" s="7" t="inlineStr">
        <is>
          <t>NTB</t>
        </is>
      </c>
      <c r="B196" s="7" t="inlineStr">
        <is>
          <t>Khánh Hòa</t>
        </is>
      </c>
      <c r="C196" s="7" t="n">
        <v>21569000</v>
      </c>
      <c r="D196" s="7" t="inlineStr">
        <is>
          <t>(KHO) Đông Ninh Hòa</t>
        </is>
      </c>
      <c r="E196" s="7" t="inlineStr">
        <is>
          <t>SME-Bulky</t>
        </is>
      </c>
      <c r="F196" s="36" t="n">
        <v>7</v>
      </c>
      <c r="G196" s="36" t="n">
        <v>1</v>
      </c>
      <c r="H196" s="36" t="n">
        <v>9</v>
      </c>
      <c r="I196" s="36" t="n">
        <v>3</v>
      </c>
      <c r="J196" s="36" t="n">
        <v>1</v>
      </c>
      <c r="K196" s="28" t="n">
        <v>8</v>
      </c>
      <c r="L196" s="36" t="n">
        <v>4</v>
      </c>
      <c r="M196" s="36" t="n">
        <v>10</v>
      </c>
      <c r="N196" s="36" t="n">
        <v>3</v>
      </c>
      <c r="O196" s="36" t="n">
        <v>2</v>
      </c>
      <c r="P196" s="36" t="n">
        <v>2</v>
      </c>
      <c r="Q196" s="36" t="n">
        <v>9</v>
      </c>
      <c r="R196" s="28" t="n">
        <v>10</v>
      </c>
      <c r="S196" s="36" t="n">
        <v>6</v>
      </c>
      <c r="T196" s="36" t="n">
        <v>10</v>
      </c>
      <c r="U196" s="36" t="n">
        <v>6.29</v>
      </c>
      <c r="V196" s="36" t="n">
        <v>6.47</v>
      </c>
      <c r="W196" s="36" t="n">
        <v>6.11</v>
      </c>
      <c r="X196" s="36" t="n">
        <v>4.19</v>
      </c>
      <c r="Y196" s="28" t="n">
        <v>6.91</v>
      </c>
      <c r="Z196" s="36" t="n">
        <v>6.6</v>
      </c>
      <c r="AA196" s="36" t="n">
        <v>6.56</v>
      </c>
      <c r="AB196" s="36" t="n">
        <v>6.29</v>
      </c>
      <c r="AC196" s="36" t="n">
        <v>6.47</v>
      </c>
      <c r="AD196" s="36" t="n">
        <v>4.19</v>
      </c>
      <c r="AE196" s="36" t="n">
        <v>4.19</v>
      </c>
      <c r="AF196" s="28" t="n">
        <v>6.91</v>
      </c>
      <c r="AG196" s="36" t="n">
        <v>6.6</v>
      </c>
      <c r="AH196" s="37" t="n">
        <v>6.56</v>
      </c>
      <c r="AI196" s="37" t="n">
        <v>6.29</v>
      </c>
      <c r="AJ196" s="37" t="n">
        <v>6.47</v>
      </c>
      <c r="AK196" s="37" t="n">
        <v>6.11</v>
      </c>
      <c r="AL196" s="37" t="n">
        <v>4.19</v>
      </c>
      <c r="AM196" s="37" t="n">
        <v>6.91</v>
      </c>
      <c r="AN196" s="37" t="n">
        <v>6.6</v>
      </c>
      <c r="AO196" s="37" t="n">
        <v>6.56</v>
      </c>
      <c r="AP196" s="37" t="n">
        <v>6.29</v>
      </c>
      <c r="AQ196" s="37" t="n">
        <v>6.47</v>
      </c>
      <c r="AR196" s="37" t="n">
        <v>6.11</v>
      </c>
      <c r="AS196" s="37" t="n">
        <v>4.19</v>
      </c>
      <c r="AT196" s="37" t="n">
        <v>6.91</v>
      </c>
      <c r="AU196" s="37" t="n">
        <v>6.6</v>
      </c>
      <c r="AV196" s="37" t="n">
        <v>6.56</v>
      </c>
      <c r="AW196" s="37" t="n">
        <v>6.29</v>
      </c>
      <c r="AX196" s="37" t="n">
        <v>6.47</v>
      </c>
      <c r="AY196" s="37" t="n">
        <v>6.11</v>
      </c>
      <c r="AZ196" s="37" t="n">
        <v>4.19</v>
      </c>
      <c r="BA196" s="37" t="n">
        <v>7.49</v>
      </c>
      <c r="BB196" s="37" t="n">
        <v>3.84</v>
      </c>
      <c r="BC196" s="37" t="n">
        <v>1.96</v>
      </c>
      <c r="BD196" s="37" t="n">
        <v>1.47</v>
      </c>
      <c r="BE196" s="37" t="n">
        <v>3.57</v>
      </c>
      <c r="BF196" s="37" t="n">
        <v>3.52</v>
      </c>
      <c r="BG196" s="37" t="n">
        <v>2.32</v>
      </c>
      <c r="BH196" s="37" t="n">
        <v>3.97</v>
      </c>
      <c r="BI196" s="37" t="n">
        <v>3.84</v>
      </c>
      <c r="BJ196" s="37" t="n">
        <v>2.9</v>
      </c>
      <c r="BK196" s="37" t="n">
        <v>3.61</v>
      </c>
      <c r="BL196" s="37" t="n">
        <v>3.7</v>
      </c>
      <c r="BM196" s="37" t="n">
        <v>3.52</v>
      </c>
      <c r="BN196" s="37" t="n">
        <v>2.32</v>
      </c>
      <c r="BO196" s="37" t="n">
        <v>3.97</v>
      </c>
      <c r="BP196" s="37" t="n">
        <v>3.84</v>
      </c>
      <c r="BQ196" s="37" t="n">
        <v>3.75</v>
      </c>
      <c r="BR196" s="37" t="n">
        <v>3.61</v>
      </c>
      <c r="BS196" s="37" t="n">
        <v>3.7</v>
      </c>
      <c r="BT196" s="37" t="n">
        <v>3.52</v>
      </c>
      <c r="BU196" s="37" t="n">
        <v>2.32</v>
      </c>
      <c r="BV196" s="37" t="n">
        <v>3.97</v>
      </c>
      <c r="BW196" s="37" t="n">
        <v>3.84</v>
      </c>
      <c r="BX196" s="37" t="n">
        <v>3.75</v>
      </c>
      <c r="BY196" s="37" t="n">
        <v>3.61</v>
      </c>
      <c r="BZ196" s="37" t="n">
        <v>3.7</v>
      </c>
      <c r="CA196" s="37" t="n">
        <v>3.52</v>
      </c>
      <c r="CB196" s="37" t="n">
        <v>2.32</v>
      </c>
      <c r="CC196" s="37" t="n">
        <v>376.1099999999999</v>
      </c>
    </row>
    <row r="197" ht="15.75" customHeight="1" s="57">
      <c r="A197" s="7" t="inlineStr">
        <is>
          <t>NTB</t>
        </is>
      </c>
      <c r="B197" s="7" t="inlineStr">
        <is>
          <t>Khánh Hòa</t>
        </is>
      </c>
      <c r="C197" s="7" t="n">
        <v>21569000</v>
      </c>
      <c r="D197" s="7" t="inlineStr">
        <is>
          <t>(KHO) Đông Ninh Hòa</t>
        </is>
      </c>
      <c r="E197" s="7" t="inlineStr">
        <is>
          <t>Shopee</t>
        </is>
      </c>
      <c r="F197" s="36" t="n">
        <v>13</v>
      </c>
      <c r="G197" s="36" t="n">
        <v>16</v>
      </c>
      <c r="H197" s="36" t="n">
        <v>18</v>
      </c>
      <c r="I197" s="36" t="n">
        <v>7</v>
      </c>
      <c r="J197" s="36" t="n">
        <v>12</v>
      </c>
      <c r="K197" s="28" t="n">
        <v>10</v>
      </c>
      <c r="L197" s="36" t="n">
        <v>17</v>
      </c>
      <c r="M197" s="36" t="n">
        <v>20</v>
      </c>
      <c r="N197" s="36" t="n">
        <v>5</v>
      </c>
      <c r="O197" s="36" t="n">
        <v>10</v>
      </c>
      <c r="P197" s="36" t="n">
        <v>6</v>
      </c>
      <c r="Q197" s="36" t="n">
        <v>12</v>
      </c>
      <c r="R197" s="28" t="n">
        <v>10</v>
      </c>
      <c r="S197" s="36" t="n">
        <v>12</v>
      </c>
      <c r="T197" s="36" t="n">
        <v>22</v>
      </c>
      <c r="U197" s="36" t="n">
        <v>15.76</v>
      </c>
      <c r="V197" s="36" t="n">
        <v>15.83</v>
      </c>
      <c r="W197" s="36" t="n">
        <v>15.28</v>
      </c>
      <c r="X197" s="36" t="n">
        <v>13.16</v>
      </c>
      <c r="Y197" s="28" t="n">
        <v>21.25</v>
      </c>
      <c r="Z197" s="36" t="n">
        <v>16.8</v>
      </c>
      <c r="AA197" s="36" t="n">
        <v>20.51</v>
      </c>
      <c r="AB197" s="36" t="n">
        <v>16.12</v>
      </c>
      <c r="AC197" s="36" t="n">
        <v>13.04</v>
      </c>
      <c r="AD197" s="36" t="n">
        <v>30</v>
      </c>
      <c r="AE197" s="36" t="n">
        <v>13.95</v>
      </c>
      <c r="AF197" s="28" t="n">
        <v>23.49</v>
      </c>
      <c r="AG197" s="36" t="n">
        <v>17.64</v>
      </c>
      <c r="AH197" s="37" t="n">
        <v>18.72</v>
      </c>
      <c r="AI197" s="37" t="n">
        <v>15.76</v>
      </c>
      <c r="AJ197" s="37" t="n">
        <v>15.83</v>
      </c>
      <c r="AK197" s="37" t="n">
        <v>16.75</v>
      </c>
      <c r="AL197" s="37" t="n">
        <v>23.57</v>
      </c>
      <c r="AM197" s="37" t="n">
        <v>21.25</v>
      </c>
      <c r="AN197" s="37" t="n">
        <v>16.8</v>
      </c>
      <c r="AO197" s="37" t="n">
        <v>18.72</v>
      </c>
      <c r="AP197" s="37" t="n">
        <v>17.33</v>
      </c>
      <c r="AQ197" s="37" t="n">
        <v>12.72</v>
      </c>
      <c r="AR197" s="37" t="n">
        <v>15.28</v>
      </c>
      <c r="AS197" s="37" t="n">
        <v>13.16</v>
      </c>
      <c r="AT197" s="37" t="n">
        <v>21.25</v>
      </c>
      <c r="AU197" s="37" t="n">
        <v>18.51</v>
      </c>
      <c r="AV197" s="37" t="n">
        <v>19.11</v>
      </c>
      <c r="AW197" s="37" t="n">
        <v>15.76</v>
      </c>
      <c r="AX197" s="37" t="n">
        <v>15.83</v>
      </c>
      <c r="AY197" s="37" t="n">
        <v>15.28</v>
      </c>
      <c r="AZ197" s="37" t="n">
        <v>13.16</v>
      </c>
      <c r="BA197" s="37" t="n">
        <v>18.19</v>
      </c>
      <c r="BB197" s="37" t="n">
        <v>12.63</v>
      </c>
      <c r="BC197" s="37" t="n">
        <v>5.64</v>
      </c>
      <c r="BD197" s="37" t="n">
        <v>9.470000000000001</v>
      </c>
      <c r="BE197" s="37" t="n">
        <v>18.96</v>
      </c>
      <c r="BF197" s="37" t="n">
        <v>18.24</v>
      </c>
      <c r="BG197" s="37" t="n">
        <v>12.89</v>
      </c>
      <c r="BH197" s="37" t="n">
        <v>20.24</v>
      </c>
      <c r="BI197" s="37" t="n">
        <v>13.23</v>
      </c>
      <c r="BJ197" s="37" t="n">
        <v>42.34</v>
      </c>
      <c r="BK197" s="37" t="n">
        <v>16.14</v>
      </c>
      <c r="BL197" s="37" t="n">
        <v>15.9</v>
      </c>
      <c r="BM197" s="37" t="n">
        <v>14.63</v>
      </c>
      <c r="BN197" s="37" t="n">
        <v>12.65</v>
      </c>
      <c r="BO197" s="37" t="n">
        <v>20.24</v>
      </c>
      <c r="BP197" s="37" t="n">
        <v>17.69</v>
      </c>
      <c r="BQ197" s="37" t="n">
        <v>27.18</v>
      </c>
      <c r="BR197" s="37" t="n">
        <v>15.08</v>
      </c>
      <c r="BS197" s="37" t="n">
        <v>15.16</v>
      </c>
      <c r="BT197" s="37" t="n">
        <v>14.63</v>
      </c>
      <c r="BU197" s="37" t="n">
        <v>13.83</v>
      </c>
      <c r="BV197" s="37" t="n">
        <v>16.34</v>
      </c>
      <c r="BW197" s="37" t="n">
        <v>16.05</v>
      </c>
      <c r="BX197" s="37" t="n">
        <v>17.86</v>
      </c>
      <c r="BY197" s="37" t="n">
        <v>15.08</v>
      </c>
      <c r="BZ197" s="37" t="n">
        <v>16.63</v>
      </c>
      <c r="CA197" s="37" t="n">
        <v>14.84</v>
      </c>
      <c r="CB197" s="37" t="n">
        <v>12.65</v>
      </c>
      <c r="CC197" s="37" t="n">
        <v>1212.03</v>
      </c>
    </row>
    <row r="198" ht="15.75" customHeight="1" s="57">
      <c r="A198" s="7" t="inlineStr">
        <is>
          <t>NTB</t>
        </is>
      </c>
      <c r="B198" s="7" t="inlineStr">
        <is>
          <t>Khánh Hòa</t>
        </is>
      </c>
      <c r="C198" s="7" t="n">
        <v>21569000</v>
      </c>
      <c r="D198" s="7" t="inlineStr">
        <is>
          <t>(KHO) Đông Ninh Hòa</t>
        </is>
      </c>
      <c r="E198" s="7" t="inlineStr">
        <is>
          <t>Shopee-Bulky</t>
        </is>
      </c>
      <c r="F198" s="36" t="n">
        <v>0.57</v>
      </c>
      <c r="G198" s="36" t="n">
        <v>0</v>
      </c>
      <c r="H198" s="36" t="n">
        <v>0.57</v>
      </c>
      <c r="I198" s="36" t="n">
        <v>0.57</v>
      </c>
      <c r="J198" s="36" t="n">
        <v>0.57</v>
      </c>
      <c r="K198" s="28" t="n">
        <v>0</v>
      </c>
      <c r="L198" s="36" t="n">
        <v>0</v>
      </c>
      <c r="M198" s="36" t="n">
        <v>0.57</v>
      </c>
      <c r="N198" s="36" t="n">
        <v>0</v>
      </c>
      <c r="O198" s="36" t="n">
        <v>0</v>
      </c>
      <c r="P198" s="36" t="n">
        <v>0</v>
      </c>
      <c r="Q198" s="36" t="n">
        <v>0</v>
      </c>
      <c r="R198" s="28" t="n">
        <v>0</v>
      </c>
      <c r="S198" s="36" t="n">
        <v>0</v>
      </c>
      <c r="T198" s="36" t="n">
        <v>0</v>
      </c>
      <c r="U198" s="36" t="n">
        <v>0.32</v>
      </c>
      <c r="V198" s="36" t="n">
        <v>0.3</v>
      </c>
      <c r="W198" s="36" t="n">
        <v>0.36</v>
      </c>
      <c r="X198" s="36" t="n">
        <v>0.19</v>
      </c>
      <c r="Y198" s="28" t="n">
        <v>0.48</v>
      </c>
      <c r="Z198" s="36" t="n">
        <v>0.37</v>
      </c>
      <c r="AA198" s="36" t="n">
        <v>0.54</v>
      </c>
      <c r="AB198" s="36" t="n">
        <v>0.37</v>
      </c>
      <c r="AC198" s="36" t="n">
        <v>0.39</v>
      </c>
      <c r="AD198" s="36" t="n">
        <v>1.44</v>
      </c>
      <c r="AE198" s="36" t="n">
        <v>0.98</v>
      </c>
      <c r="AF198" s="28" t="n">
        <v>1.14</v>
      </c>
      <c r="AG198" s="36" t="n">
        <v>0.51</v>
      </c>
      <c r="AH198" s="37" t="n">
        <v>0.37</v>
      </c>
      <c r="AI198" s="37" t="n">
        <v>0.36</v>
      </c>
      <c r="AJ198" s="37" t="n">
        <v>0.33</v>
      </c>
      <c r="AK198" s="37" t="n">
        <v>0.72</v>
      </c>
      <c r="AL198" s="37" t="n">
        <v>0.41</v>
      </c>
      <c r="AM198" s="37" t="n">
        <v>0.61</v>
      </c>
      <c r="AN198" s="37" t="n">
        <v>0.37</v>
      </c>
      <c r="AO198" s="37" t="n">
        <v>0.35</v>
      </c>
      <c r="AP198" s="37" t="n">
        <v>0.63</v>
      </c>
      <c r="AQ198" s="37" t="n">
        <v>0.45</v>
      </c>
      <c r="AR198" s="37" t="n">
        <v>0.31</v>
      </c>
      <c r="AS198" s="37" t="n">
        <v>0.16</v>
      </c>
      <c r="AT198" s="37" t="n">
        <v>0.45</v>
      </c>
      <c r="AU198" s="37" t="n">
        <v>0.76</v>
      </c>
      <c r="AV198" s="37" t="n">
        <v>0.76</v>
      </c>
      <c r="AW198" s="37" t="n">
        <v>0.35</v>
      </c>
      <c r="AX198" s="37" t="n">
        <v>0.33</v>
      </c>
      <c r="AY198" s="37" t="n">
        <v>0.3</v>
      </c>
      <c r="AZ198" s="37" t="n">
        <v>0.16</v>
      </c>
      <c r="BA198" s="37" t="n">
        <v>0.42</v>
      </c>
      <c r="BB198" s="37" t="n">
        <v>0.29</v>
      </c>
      <c r="BC198" s="37" t="n">
        <v>0.09</v>
      </c>
      <c r="BD198" s="37" t="n">
        <v>0.14</v>
      </c>
      <c r="BE198" s="37" t="n">
        <v>0.48</v>
      </c>
      <c r="BF198" s="37" t="n">
        <v>0.41</v>
      </c>
      <c r="BG198" s="37" t="n">
        <v>0.21</v>
      </c>
      <c r="BH198" s="37" t="n">
        <v>0.51</v>
      </c>
      <c r="BI198" s="37" t="n">
        <v>0.46</v>
      </c>
      <c r="BJ198" s="37" t="n">
        <v>2.91</v>
      </c>
      <c r="BK198" s="37" t="n">
        <v>0.98</v>
      </c>
      <c r="BL198" s="37" t="n">
        <v>0.51</v>
      </c>
      <c r="BM198" s="37" t="n">
        <v>0.35</v>
      </c>
      <c r="BN198" s="37" t="n">
        <v>0.21</v>
      </c>
      <c r="BO198" s="37" t="n">
        <v>0.61</v>
      </c>
      <c r="BP198" s="37" t="n">
        <v>0.92</v>
      </c>
      <c r="BQ198" s="37" t="n">
        <v>0.67</v>
      </c>
      <c r="BR198" s="37" t="n">
        <v>0.44</v>
      </c>
      <c r="BS198" s="37" t="n">
        <v>0.41</v>
      </c>
      <c r="BT198" s="37" t="n">
        <v>0.29</v>
      </c>
      <c r="BU198" s="37" t="n">
        <v>0.51</v>
      </c>
      <c r="BV198" s="37" t="n">
        <v>0.5600000000000001</v>
      </c>
      <c r="BW198" s="37" t="n">
        <v>0.46</v>
      </c>
      <c r="BX198" s="37" t="n">
        <v>0.44</v>
      </c>
      <c r="BY198" s="37" t="n">
        <v>0.44</v>
      </c>
      <c r="BZ198" s="37" t="n">
        <v>0.62</v>
      </c>
      <c r="CA198" s="37" t="n">
        <v>0.41</v>
      </c>
      <c r="CB198" s="37" t="n">
        <v>0.21</v>
      </c>
      <c r="CC198" s="37" t="n">
        <v>33.38000000000001</v>
      </c>
    </row>
    <row r="199" ht="15.75" customHeight="1" s="57">
      <c r="A199" s="7" t="inlineStr">
        <is>
          <t>NTB</t>
        </is>
      </c>
      <c r="B199" s="7" t="inlineStr">
        <is>
          <t>Khánh Hòa</t>
        </is>
      </c>
      <c r="C199" s="7" t="n">
        <v>21569000</v>
      </c>
      <c r="D199" s="7" t="inlineStr">
        <is>
          <t>(KHO) Đông Ninh Hòa</t>
        </is>
      </c>
      <c r="E199" s="7" t="inlineStr">
        <is>
          <t>Shopee-Bulky (10-15kg)</t>
        </is>
      </c>
      <c r="F199" s="36" t="n">
        <v>0.43</v>
      </c>
      <c r="G199" s="36" t="n">
        <v>0</v>
      </c>
      <c r="H199" s="36" t="n">
        <v>0.43</v>
      </c>
      <c r="I199" s="36" t="n">
        <v>0.43</v>
      </c>
      <c r="J199" s="36" t="n">
        <v>0.43</v>
      </c>
      <c r="K199" s="28" t="n">
        <v>0</v>
      </c>
      <c r="L199" s="36" t="n">
        <v>0</v>
      </c>
      <c r="M199" s="36" t="n">
        <v>0.43</v>
      </c>
      <c r="N199" s="36" t="n">
        <v>0</v>
      </c>
      <c r="O199" s="36" t="n">
        <v>0</v>
      </c>
      <c r="P199" s="36" t="n">
        <v>0</v>
      </c>
      <c r="Q199" s="36" t="n">
        <v>0</v>
      </c>
      <c r="R199" s="28" t="n">
        <v>0</v>
      </c>
      <c r="S199" s="36" t="n">
        <v>0</v>
      </c>
      <c r="T199" s="36" t="n">
        <v>0</v>
      </c>
      <c r="U199" s="36" t="n">
        <v>0.23</v>
      </c>
      <c r="V199" s="36" t="n">
        <v>0.24</v>
      </c>
      <c r="W199" s="36" t="n">
        <v>0.29</v>
      </c>
      <c r="X199" s="36" t="n">
        <v>0.18</v>
      </c>
      <c r="Y199" s="28" t="n">
        <v>0.31</v>
      </c>
      <c r="Z199" s="36" t="n">
        <v>0.24</v>
      </c>
      <c r="AA199" s="36" t="n">
        <v>0.34</v>
      </c>
      <c r="AB199" s="36" t="n">
        <v>0.24</v>
      </c>
      <c r="AC199" s="36" t="n">
        <v>0.28</v>
      </c>
      <c r="AD199" s="36" t="n">
        <v>1.25</v>
      </c>
      <c r="AE199" s="36" t="n">
        <v>0.68</v>
      </c>
      <c r="AF199" s="28" t="n">
        <v>0.71</v>
      </c>
      <c r="AG199" s="36" t="n">
        <v>0.38</v>
      </c>
      <c r="AH199" s="37" t="n">
        <v>0.24</v>
      </c>
      <c r="AI199" s="37" t="n">
        <v>0.26</v>
      </c>
      <c r="AJ199" s="37" t="n">
        <v>0.25</v>
      </c>
      <c r="AK199" s="37" t="n">
        <v>0.5</v>
      </c>
      <c r="AL199" s="37" t="n">
        <v>0.3</v>
      </c>
      <c r="AM199" s="37" t="n">
        <v>0.4</v>
      </c>
      <c r="AN199" s="37" t="n">
        <v>0.24</v>
      </c>
      <c r="AO199" s="37" t="n">
        <v>0.24</v>
      </c>
      <c r="AP199" s="37" t="n">
        <v>0.38</v>
      </c>
      <c r="AQ199" s="37" t="n">
        <v>0.33</v>
      </c>
      <c r="AR199" s="37" t="n">
        <v>0.25</v>
      </c>
      <c r="AS199" s="37" t="n">
        <v>0.14</v>
      </c>
      <c r="AT199" s="37" t="n">
        <v>0.3</v>
      </c>
      <c r="AU199" s="37" t="n">
        <v>0.55</v>
      </c>
      <c r="AV199" s="37" t="n">
        <v>0.53</v>
      </c>
      <c r="AW199" s="37" t="n">
        <v>0.24</v>
      </c>
      <c r="AX199" s="37" t="n">
        <v>0.24</v>
      </c>
      <c r="AY199" s="37" t="n">
        <v>0.25</v>
      </c>
      <c r="AZ199" s="37" t="n">
        <v>0.14</v>
      </c>
      <c r="BA199" s="37" t="n">
        <v>0.3</v>
      </c>
      <c r="BB199" s="37" t="n">
        <v>0.21</v>
      </c>
      <c r="BC199" s="37" t="n">
        <v>0.04</v>
      </c>
      <c r="BD199" s="37" t="n">
        <v>0.11</v>
      </c>
      <c r="BE199" s="37" t="n">
        <v>0.32</v>
      </c>
      <c r="BF199" s="37" t="n">
        <v>0.27</v>
      </c>
      <c r="BG199" s="37" t="n">
        <v>0.21</v>
      </c>
      <c r="BH199" s="37" t="n">
        <v>0.37</v>
      </c>
      <c r="BI199" s="37" t="n">
        <v>0.28</v>
      </c>
      <c r="BJ199" s="37" t="n">
        <v>1.64</v>
      </c>
      <c r="BK199" s="37" t="n">
        <v>0.57</v>
      </c>
      <c r="BL199" s="37" t="n">
        <v>0.37</v>
      </c>
      <c r="BM199" s="37" t="n">
        <v>0.24</v>
      </c>
      <c r="BN199" s="37" t="n">
        <v>0.19</v>
      </c>
      <c r="BO199" s="37" t="n">
        <v>0.42</v>
      </c>
      <c r="BP199" s="37" t="n">
        <v>0.61</v>
      </c>
      <c r="BQ199" s="37" t="n">
        <v>0.47</v>
      </c>
      <c r="BR199" s="37" t="n">
        <v>0.27</v>
      </c>
      <c r="BS199" s="37" t="n">
        <v>0.27</v>
      </c>
      <c r="BT199" s="37" t="n">
        <v>0.22</v>
      </c>
      <c r="BU199" s="37" t="n">
        <v>0.34</v>
      </c>
      <c r="BV199" s="37" t="n">
        <v>0.39</v>
      </c>
      <c r="BW199" s="37" t="n">
        <v>0.28</v>
      </c>
      <c r="BX199" s="37" t="n">
        <v>0.28</v>
      </c>
      <c r="BY199" s="37" t="n">
        <v>0.27</v>
      </c>
      <c r="BZ199" s="37" t="n">
        <v>0.47</v>
      </c>
      <c r="CA199" s="37" t="n">
        <v>0.3</v>
      </c>
      <c r="CB199" s="37" t="n">
        <v>0.19</v>
      </c>
      <c r="CC199" s="37" t="n">
        <v>23.20000000000001</v>
      </c>
    </row>
    <row r="200" ht="15.75" customHeight="1" s="57">
      <c r="A200" s="7" t="inlineStr">
        <is>
          <t>NTB</t>
        </is>
      </c>
      <c r="B200" s="7" t="inlineStr">
        <is>
          <t>Khánh Hòa</t>
        </is>
      </c>
      <c r="C200" s="7" t="n">
        <v>21569000</v>
      </c>
      <c r="D200" s="7" t="inlineStr">
        <is>
          <t>(KHO) Đông Ninh Hòa</t>
        </is>
      </c>
      <c r="E200" s="7" t="inlineStr">
        <is>
          <t>TTS</t>
        </is>
      </c>
      <c r="F200" s="36" t="n">
        <v>21</v>
      </c>
      <c r="G200" s="36" t="n">
        <v>21</v>
      </c>
      <c r="H200" s="36" t="n">
        <v>14</v>
      </c>
      <c r="I200" s="36" t="n">
        <v>9</v>
      </c>
      <c r="J200" s="36" t="n">
        <v>4</v>
      </c>
      <c r="K200" s="28" t="n">
        <v>15</v>
      </c>
      <c r="L200" s="36" t="n">
        <v>9</v>
      </c>
      <c r="M200" s="36" t="n">
        <v>21</v>
      </c>
      <c r="N200" s="36" t="n">
        <v>9</v>
      </c>
      <c r="O200" s="36" t="n">
        <v>14</v>
      </c>
      <c r="P200" s="36" t="n">
        <v>10</v>
      </c>
      <c r="Q200" s="36" t="n">
        <v>7</v>
      </c>
      <c r="R200" s="28" t="n">
        <v>13</v>
      </c>
      <c r="S200" s="36" t="n">
        <v>29</v>
      </c>
      <c r="T200" s="36" t="n">
        <v>7</v>
      </c>
      <c r="U200" s="36" t="n">
        <v>13.22</v>
      </c>
      <c r="V200" s="36" t="n">
        <v>12.93</v>
      </c>
      <c r="W200" s="36" t="n">
        <v>12.64</v>
      </c>
      <c r="X200" s="36" t="n">
        <v>10.2</v>
      </c>
      <c r="Y200" s="28" t="n">
        <v>14.81</v>
      </c>
      <c r="Z200" s="36" t="n">
        <v>12.62</v>
      </c>
      <c r="AA200" s="36" t="n">
        <v>14.19</v>
      </c>
      <c r="AB200" s="36" t="n">
        <v>15.58</v>
      </c>
      <c r="AC200" s="36" t="n">
        <v>16.46</v>
      </c>
      <c r="AD200" s="36" t="n">
        <v>15.73</v>
      </c>
      <c r="AE200" s="36" t="n">
        <v>11.82</v>
      </c>
      <c r="AF200" s="28" t="n">
        <v>15.26</v>
      </c>
      <c r="AG200" s="36" t="n">
        <v>12.9</v>
      </c>
      <c r="AH200" s="37" t="n">
        <v>12.76</v>
      </c>
      <c r="AI200" s="37" t="n">
        <v>14.76</v>
      </c>
      <c r="AJ200" s="37" t="n">
        <v>15.71</v>
      </c>
      <c r="AK200" s="37" t="n">
        <v>15.54</v>
      </c>
      <c r="AL200" s="37" t="n">
        <v>11.1</v>
      </c>
      <c r="AM200" s="37" t="n">
        <v>14.98</v>
      </c>
      <c r="AN200" s="37" t="n">
        <v>12.97</v>
      </c>
      <c r="AO200" s="37" t="n">
        <v>12.95</v>
      </c>
      <c r="AP200" s="37" t="n">
        <v>12.56</v>
      </c>
      <c r="AQ200" s="37" t="n">
        <v>12.69</v>
      </c>
      <c r="AR200" s="37" t="n">
        <v>12.49</v>
      </c>
      <c r="AS200" s="37" t="n">
        <v>10.22</v>
      </c>
      <c r="AT200" s="37" t="n">
        <v>16.19</v>
      </c>
      <c r="AU200" s="37" t="n">
        <v>14.74</v>
      </c>
      <c r="AV200" s="37" t="n">
        <v>13.11</v>
      </c>
      <c r="AW200" s="37" t="n">
        <v>12.47</v>
      </c>
      <c r="AX200" s="37" t="n">
        <v>12.26</v>
      </c>
      <c r="AY200" s="37" t="n">
        <v>12.3</v>
      </c>
      <c r="AZ200" s="37" t="n">
        <v>10.22</v>
      </c>
      <c r="BA200" s="37" t="n">
        <v>14.6</v>
      </c>
      <c r="BB200" s="37" t="n">
        <v>13.69</v>
      </c>
      <c r="BC200" s="37" t="n">
        <v>7.21</v>
      </c>
      <c r="BD200" s="37" t="n">
        <v>10.03</v>
      </c>
      <c r="BE200" s="37" t="n">
        <v>23.03</v>
      </c>
      <c r="BF200" s="37" t="n">
        <v>22.38</v>
      </c>
      <c r="BG200" s="37" t="n">
        <v>11.1</v>
      </c>
      <c r="BH200" s="37" t="n">
        <v>16.17</v>
      </c>
      <c r="BI200" s="37" t="n">
        <v>13.69</v>
      </c>
      <c r="BJ200" s="37" t="n">
        <v>12.04</v>
      </c>
      <c r="BK200" s="37" t="n">
        <v>13.92</v>
      </c>
      <c r="BL200" s="37" t="n">
        <v>13.92</v>
      </c>
      <c r="BM200" s="37" t="n">
        <v>13.52</v>
      </c>
      <c r="BN200" s="37" t="n">
        <v>11.1</v>
      </c>
      <c r="BO200" s="37" t="n">
        <v>16.17</v>
      </c>
      <c r="BP200" s="37" t="n">
        <v>13.69</v>
      </c>
      <c r="BQ200" s="37" t="n">
        <v>13.54</v>
      </c>
      <c r="BR200" s="37" t="n">
        <v>13.92</v>
      </c>
      <c r="BS200" s="37" t="n">
        <v>13.92</v>
      </c>
      <c r="BT200" s="37" t="n">
        <v>13.52</v>
      </c>
      <c r="BU200" s="37" t="n">
        <v>11.1</v>
      </c>
      <c r="BV200" s="37" t="n">
        <v>16.17</v>
      </c>
      <c r="BW200" s="37" t="n">
        <v>13.69</v>
      </c>
      <c r="BX200" s="37" t="n">
        <v>13.54</v>
      </c>
      <c r="BY200" s="37" t="n">
        <v>13.92</v>
      </c>
      <c r="BZ200" s="37" t="n">
        <v>13.92</v>
      </c>
      <c r="CA200" s="37" t="n">
        <v>13.52</v>
      </c>
      <c r="CB200" s="37" t="n">
        <v>11.1</v>
      </c>
      <c r="CC200" s="37" t="n">
        <v>1019.5</v>
      </c>
    </row>
    <row r="201" ht="15.75" customHeight="1" s="57">
      <c r="A201" s="7" t="inlineStr">
        <is>
          <t>NTB</t>
        </is>
      </c>
      <c r="B201" s="7" t="inlineStr">
        <is>
          <t>Khánh Hòa</t>
        </is>
      </c>
      <c r="C201" s="7" t="n">
        <v>21722000</v>
      </c>
      <c r="D201" s="7" t="inlineStr">
        <is>
          <t>(KHO) Tu Bông</t>
        </is>
      </c>
      <c r="E201" s="7" t="inlineStr">
        <is>
          <t>SME</t>
        </is>
      </c>
      <c r="F201" s="36" t="n">
        <v>44</v>
      </c>
      <c r="G201" s="36" t="n">
        <v>16</v>
      </c>
      <c r="H201" s="36" t="n">
        <v>49</v>
      </c>
      <c r="I201" s="36" t="n">
        <v>33</v>
      </c>
      <c r="J201" s="36" t="n">
        <v>25</v>
      </c>
      <c r="K201" s="28" t="n">
        <v>27</v>
      </c>
      <c r="L201" s="36" t="n">
        <v>21</v>
      </c>
      <c r="M201" s="36" t="n">
        <v>24</v>
      </c>
      <c r="N201" s="36" t="n">
        <v>53</v>
      </c>
      <c r="O201" s="36" t="n">
        <v>33</v>
      </c>
      <c r="P201" s="36" t="n">
        <v>17</v>
      </c>
      <c r="Q201" s="36" t="n">
        <v>37</v>
      </c>
      <c r="R201" s="28" t="n">
        <v>26</v>
      </c>
      <c r="S201" s="36" t="n">
        <v>23</v>
      </c>
      <c r="T201" s="36" t="n">
        <v>18</v>
      </c>
      <c r="U201" s="36" t="n">
        <v>43.69</v>
      </c>
      <c r="V201" s="36" t="n">
        <v>45.2</v>
      </c>
      <c r="W201" s="36" t="n">
        <v>44.05</v>
      </c>
      <c r="X201" s="36" t="n">
        <v>35.91999999999999</v>
      </c>
      <c r="Y201" s="28" t="n">
        <v>48.77999999999999</v>
      </c>
      <c r="Z201" s="36" t="n">
        <v>44.84</v>
      </c>
      <c r="AA201" s="36" t="n">
        <v>43.9</v>
      </c>
      <c r="AB201" s="36" t="n">
        <v>43.69</v>
      </c>
      <c r="AC201" s="36" t="n">
        <v>45.2</v>
      </c>
      <c r="AD201" s="36" t="n">
        <v>51.15000000000001</v>
      </c>
      <c r="AE201" s="36" t="n">
        <v>35.91999999999999</v>
      </c>
      <c r="AF201" s="28" t="n">
        <v>48.77999999999999</v>
      </c>
      <c r="AG201" s="36" t="n">
        <v>44.84</v>
      </c>
      <c r="AH201" s="37" t="n">
        <v>43.9</v>
      </c>
      <c r="AI201" s="37" t="n">
        <v>43.69</v>
      </c>
      <c r="AJ201" s="37" t="n">
        <v>45.2</v>
      </c>
      <c r="AK201" s="37" t="n">
        <v>44.05</v>
      </c>
      <c r="AL201" s="37" t="n">
        <v>35.91999999999999</v>
      </c>
      <c r="AM201" s="37" t="n">
        <v>48.77999999999999</v>
      </c>
      <c r="AN201" s="37" t="n">
        <v>44.84</v>
      </c>
      <c r="AO201" s="37" t="n">
        <v>43.9</v>
      </c>
      <c r="AP201" s="37" t="n">
        <v>43.69</v>
      </c>
      <c r="AQ201" s="37" t="n">
        <v>45.2</v>
      </c>
      <c r="AR201" s="37" t="n">
        <v>44.05</v>
      </c>
      <c r="AS201" s="37" t="n">
        <v>35.91999999999999</v>
      </c>
      <c r="AT201" s="37" t="n">
        <v>48.77999999999999</v>
      </c>
      <c r="AU201" s="37" t="n">
        <v>44.84</v>
      </c>
      <c r="AV201" s="37" t="n">
        <v>43.9</v>
      </c>
      <c r="AW201" s="37" t="n">
        <v>43.69</v>
      </c>
      <c r="AX201" s="37" t="n">
        <v>45.2</v>
      </c>
      <c r="AY201" s="37" t="n">
        <v>44.05</v>
      </c>
      <c r="AZ201" s="37" t="n">
        <v>35.91999999999999</v>
      </c>
      <c r="BA201" s="37" t="n">
        <v>46.34</v>
      </c>
      <c r="BB201" s="37" t="n">
        <v>41.29</v>
      </c>
      <c r="BC201" s="37" t="n">
        <v>25.32</v>
      </c>
      <c r="BD201" s="37" t="n">
        <v>19.77</v>
      </c>
      <c r="BE201" s="37" t="n">
        <v>42.47</v>
      </c>
      <c r="BF201" s="37" t="n">
        <v>41.35</v>
      </c>
      <c r="BG201" s="37" t="n">
        <v>37.09</v>
      </c>
      <c r="BH201" s="37" t="n">
        <v>50.34</v>
      </c>
      <c r="BI201" s="37" t="n">
        <v>46.27</v>
      </c>
      <c r="BJ201" s="37" t="n">
        <v>52.54</v>
      </c>
      <c r="BK201" s="37" t="n">
        <v>45.12</v>
      </c>
      <c r="BL201" s="37" t="n">
        <v>46.64</v>
      </c>
      <c r="BM201" s="37" t="n">
        <v>45.48</v>
      </c>
      <c r="BN201" s="37" t="n">
        <v>37.09</v>
      </c>
      <c r="BO201" s="37" t="n">
        <v>50.34</v>
      </c>
      <c r="BP201" s="37" t="n">
        <v>46.27</v>
      </c>
      <c r="BQ201" s="37" t="n">
        <v>45.32</v>
      </c>
      <c r="BR201" s="37" t="n">
        <v>45.12</v>
      </c>
      <c r="BS201" s="37" t="n">
        <v>46.64</v>
      </c>
      <c r="BT201" s="37" t="n">
        <v>45.48</v>
      </c>
      <c r="BU201" s="37" t="n">
        <v>37.09</v>
      </c>
      <c r="BV201" s="37" t="n">
        <v>50.34</v>
      </c>
      <c r="BW201" s="37" t="n">
        <v>46.27</v>
      </c>
      <c r="BX201" s="37" t="n">
        <v>45.32</v>
      </c>
      <c r="BY201" s="37" t="n">
        <v>45.12</v>
      </c>
      <c r="BZ201" s="37" t="n">
        <v>46.64</v>
      </c>
      <c r="CA201" s="37" t="n">
        <v>45.48</v>
      </c>
      <c r="CB201" s="37" t="n">
        <v>37.09</v>
      </c>
      <c r="CC201" s="37" t="n">
        <v>3057.110000000001</v>
      </c>
    </row>
    <row r="202" ht="15.75" customHeight="1" s="57">
      <c r="A202" s="7" t="inlineStr">
        <is>
          <t>NTB</t>
        </is>
      </c>
      <c r="B202" s="7" t="inlineStr">
        <is>
          <t>Khánh Hòa</t>
        </is>
      </c>
      <c r="C202" s="7" t="n">
        <v>21722000</v>
      </c>
      <c r="D202" s="7" t="inlineStr">
        <is>
          <t>(KHO) Tu Bông</t>
        </is>
      </c>
      <c r="E202" s="7" t="inlineStr">
        <is>
          <t>SME-Bulky</t>
        </is>
      </c>
      <c r="F202" s="36" t="n">
        <v>8</v>
      </c>
      <c r="G202" s="36" t="n">
        <v>3</v>
      </c>
      <c r="H202" s="36" t="n">
        <v>3</v>
      </c>
      <c r="I202" s="36" t="n">
        <v>1</v>
      </c>
      <c r="J202" s="36" t="n">
        <v>3</v>
      </c>
      <c r="K202" s="28" t="n">
        <v>2</v>
      </c>
      <c r="L202" s="36" t="n">
        <v>1</v>
      </c>
      <c r="M202" s="36" t="n">
        <v>1</v>
      </c>
      <c r="N202" s="36" t="n">
        <v>2</v>
      </c>
      <c r="O202" s="36" t="n">
        <v>0</v>
      </c>
      <c r="P202" s="36" t="n">
        <v>0</v>
      </c>
      <c r="Q202" s="36" t="n">
        <v>8</v>
      </c>
      <c r="R202" s="28" t="n">
        <v>0</v>
      </c>
      <c r="S202" s="36" t="n">
        <v>2</v>
      </c>
      <c r="T202" s="36" t="n">
        <v>2</v>
      </c>
      <c r="U202" s="36" t="n">
        <v>1.89</v>
      </c>
      <c r="V202" s="36" t="n">
        <v>1.94</v>
      </c>
      <c r="W202" s="36" t="n">
        <v>1.83</v>
      </c>
      <c r="X202" s="36" t="n">
        <v>1.26</v>
      </c>
      <c r="Y202" s="28" t="n">
        <v>2.07</v>
      </c>
      <c r="Z202" s="36" t="n">
        <v>1.98</v>
      </c>
      <c r="AA202" s="36" t="n">
        <v>1.97</v>
      </c>
      <c r="AB202" s="36" t="n">
        <v>1.89</v>
      </c>
      <c r="AC202" s="36" t="n">
        <v>1.94</v>
      </c>
      <c r="AD202" s="36" t="n">
        <v>1.26</v>
      </c>
      <c r="AE202" s="36" t="n">
        <v>1.26</v>
      </c>
      <c r="AF202" s="28" t="n">
        <v>2.07</v>
      </c>
      <c r="AG202" s="36" t="n">
        <v>1.98</v>
      </c>
      <c r="AH202" s="37" t="n">
        <v>1.97</v>
      </c>
      <c r="AI202" s="37" t="n">
        <v>1.89</v>
      </c>
      <c r="AJ202" s="37" t="n">
        <v>1.94</v>
      </c>
      <c r="AK202" s="37" t="n">
        <v>1.83</v>
      </c>
      <c r="AL202" s="37" t="n">
        <v>1.26</v>
      </c>
      <c r="AM202" s="37" t="n">
        <v>2.07</v>
      </c>
      <c r="AN202" s="37" t="n">
        <v>1.98</v>
      </c>
      <c r="AO202" s="37" t="n">
        <v>1.97</v>
      </c>
      <c r="AP202" s="37" t="n">
        <v>1.89</v>
      </c>
      <c r="AQ202" s="37" t="n">
        <v>1.94</v>
      </c>
      <c r="AR202" s="37" t="n">
        <v>1.83</v>
      </c>
      <c r="AS202" s="37" t="n">
        <v>1.26</v>
      </c>
      <c r="AT202" s="37" t="n">
        <v>2.07</v>
      </c>
      <c r="AU202" s="37" t="n">
        <v>1.98</v>
      </c>
      <c r="AV202" s="37" t="n">
        <v>1.97</v>
      </c>
      <c r="AW202" s="37" t="n">
        <v>1.89</v>
      </c>
      <c r="AX202" s="37" t="n">
        <v>1.94</v>
      </c>
      <c r="AY202" s="37" t="n">
        <v>1.83</v>
      </c>
      <c r="AZ202" s="37" t="n">
        <v>1.26</v>
      </c>
      <c r="BA202" s="37" t="n">
        <v>2.25</v>
      </c>
      <c r="BB202" s="37" t="n">
        <v>1.15</v>
      </c>
      <c r="BC202" s="37" t="n">
        <v>0.59</v>
      </c>
      <c r="BD202" s="37" t="n">
        <v>0.44</v>
      </c>
      <c r="BE202" s="37" t="n">
        <v>1.07</v>
      </c>
      <c r="BF202" s="37" t="n">
        <v>1.06</v>
      </c>
      <c r="BG202" s="37" t="n">
        <v>0.7</v>
      </c>
      <c r="BH202" s="37" t="n">
        <v>1.19</v>
      </c>
      <c r="BI202" s="37" t="n">
        <v>1.15</v>
      </c>
      <c r="BJ202" s="37" t="n">
        <v>0.87</v>
      </c>
      <c r="BK202" s="37" t="n">
        <v>1.08</v>
      </c>
      <c r="BL202" s="37" t="n">
        <v>1.11</v>
      </c>
      <c r="BM202" s="37" t="n">
        <v>1.06</v>
      </c>
      <c r="BN202" s="37" t="n">
        <v>0.7</v>
      </c>
      <c r="BO202" s="37" t="n">
        <v>1.19</v>
      </c>
      <c r="BP202" s="37" t="n">
        <v>1.15</v>
      </c>
      <c r="BQ202" s="37" t="n">
        <v>1.12</v>
      </c>
      <c r="BR202" s="37" t="n">
        <v>1.08</v>
      </c>
      <c r="BS202" s="37" t="n">
        <v>1.11</v>
      </c>
      <c r="BT202" s="37" t="n">
        <v>1.06</v>
      </c>
      <c r="BU202" s="37" t="n">
        <v>0.7</v>
      </c>
      <c r="BV202" s="37" t="n">
        <v>1.19</v>
      </c>
      <c r="BW202" s="37" t="n">
        <v>1.15</v>
      </c>
      <c r="BX202" s="37" t="n">
        <v>1.12</v>
      </c>
      <c r="BY202" s="37" t="n">
        <v>1.08</v>
      </c>
      <c r="BZ202" s="37" t="n">
        <v>1.11</v>
      </c>
      <c r="CA202" s="37" t="n">
        <v>1.06</v>
      </c>
      <c r="CB202" s="37" t="n">
        <v>0.7</v>
      </c>
      <c r="CC202" s="37" t="n">
        <v>123.35</v>
      </c>
    </row>
    <row r="203" ht="15.75" customHeight="1" s="57">
      <c r="A203" s="7" t="inlineStr">
        <is>
          <t>NTB</t>
        </is>
      </c>
      <c r="B203" s="7" t="inlineStr">
        <is>
          <t>Khánh Hòa</t>
        </is>
      </c>
      <c r="C203" s="7" t="n">
        <v>21722000</v>
      </c>
      <c r="D203" s="7" t="inlineStr">
        <is>
          <t>(KHO) Tu Bông</t>
        </is>
      </c>
      <c r="E203" s="7" t="inlineStr">
        <is>
          <t>Shopee</t>
        </is>
      </c>
      <c r="F203" s="36" t="n">
        <v>1</v>
      </c>
      <c r="G203" s="36" t="n">
        <v>3</v>
      </c>
      <c r="H203" s="36" t="n">
        <v>5</v>
      </c>
      <c r="I203" s="36" t="n">
        <v>4</v>
      </c>
      <c r="J203" s="36" t="n">
        <v>3</v>
      </c>
      <c r="K203" s="28" t="n">
        <v>2</v>
      </c>
      <c r="L203" s="36" t="n">
        <v>0</v>
      </c>
      <c r="M203" s="36" t="n">
        <v>1</v>
      </c>
      <c r="N203" s="36" t="n">
        <v>0</v>
      </c>
      <c r="O203" s="36" t="n">
        <v>2</v>
      </c>
      <c r="P203" s="36" t="n">
        <v>1</v>
      </c>
      <c r="Q203" s="36" t="n">
        <v>0</v>
      </c>
      <c r="R203" s="28" t="n">
        <v>2</v>
      </c>
      <c r="S203" s="36" t="n">
        <v>3</v>
      </c>
      <c r="T203" s="36" t="n">
        <v>3</v>
      </c>
      <c r="U203" s="36" t="n">
        <v>1.31</v>
      </c>
      <c r="V203" s="36" t="n">
        <v>1.32</v>
      </c>
      <c r="W203" s="36" t="n">
        <v>1.27</v>
      </c>
      <c r="X203" s="36" t="n">
        <v>1.1</v>
      </c>
      <c r="Y203" s="28" t="n">
        <v>1.77</v>
      </c>
      <c r="Z203" s="36" t="n">
        <v>1.4</v>
      </c>
      <c r="AA203" s="36" t="n">
        <v>1.71</v>
      </c>
      <c r="AB203" s="36" t="n">
        <v>1.34</v>
      </c>
      <c r="AC203" s="36" t="n">
        <v>1.09</v>
      </c>
      <c r="AD203" s="36" t="n">
        <v>2.5</v>
      </c>
      <c r="AE203" s="36" t="n">
        <v>1.16</v>
      </c>
      <c r="AF203" s="28" t="n">
        <v>1.96</v>
      </c>
      <c r="AG203" s="36" t="n">
        <v>1.47</v>
      </c>
      <c r="AH203" s="37" t="n">
        <v>1.56</v>
      </c>
      <c r="AI203" s="37" t="n">
        <v>1.31</v>
      </c>
      <c r="AJ203" s="37" t="n">
        <v>1.32</v>
      </c>
      <c r="AK203" s="37" t="n">
        <v>1.4</v>
      </c>
      <c r="AL203" s="37" t="n">
        <v>1.96</v>
      </c>
      <c r="AM203" s="37" t="n">
        <v>1.77</v>
      </c>
      <c r="AN203" s="37" t="n">
        <v>1.4</v>
      </c>
      <c r="AO203" s="37" t="n">
        <v>1.56</v>
      </c>
      <c r="AP203" s="37" t="n">
        <v>1.44</v>
      </c>
      <c r="AQ203" s="37" t="n">
        <v>1.06</v>
      </c>
      <c r="AR203" s="37" t="n">
        <v>1.27</v>
      </c>
      <c r="AS203" s="37" t="n">
        <v>1.1</v>
      </c>
      <c r="AT203" s="37" t="n">
        <v>1.77</v>
      </c>
      <c r="AU203" s="37" t="n">
        <v>1.54</v>
      </c>
      <c r="AV203" s="37" t="n">
        <v>1.59</v>
      </c>
      <c r="AW203" s="37" t="n">
        <v>1.31</v>
      </c>
      <c r="AX203" s="37" t="n">
        <v>1.32</v>
      </c>
      <c r="AY203" s="37" t="n">
        <v>1.27</v>
      </c>
      <c r="AZ203" s="37" t="n">
        <v>1.1</v>
      </c>
      <c r="BA203" s="37" t="n">
        <v>1.52</v>
      </c>
      <c r="BB203" s="37" t="n">
        <v>1.05</v>
      </c>
      <c r="BC203" s="37" t="n">
        <v>0.47</v>
      </c>
      <c r="BD203" s="37" t="n">
        <v>0.79</v>
      </c>
      <c r="BE203" s="37" t="n">
        <v>1.58</v>
      </c>
      <c r="BF203" s="37" t="n">
        <v>1.52</v>
      </c>
      <c r="BG203" s="37" t="n">
        <v>1.07</v>
      </c>
      <c r="BH203" s="37" t="n">
        <v>1.69</v>
      </c>
      <c r="BI203" s="37" t="n">
        <v>1.1</v>
      </c>
      <c r="BJ203" s="37" t="n">
        <v>3.53</v>
      </c>
      <c r="BK203" s="37" t="n">
        <v>1.35</v>
      </c>
      <c r="BL203" s="37" t="n">
        <v>1.33</v>
      </c>
      <c r="BM203" s="37" t="n">
        <v>1.22</v>
      </c>
      <c r="BN203" s="37" t="n">
        <v>1.05</v>
      </c>
      <c r="BO203" s="37" t="n">
        <v>1.69</v>
      </c>
      <c r="BP203" s="37" t="n">
        <v>1.47</v>
      </c>
      <c r="BQ203" s="37" t="n">
        <v>2.27</v>
      </c>
      <c r="BR203" s="37" t="n">
        <v>1.26</v>
      </c>
      <c r="BS203" s="37" t="n">
        <v>1.26</v>
      </c>
      <c r="BT203" s="37" t="n">
        <v>1.22</v>
      </c>
      <c r="BU203" s="37" t="n">
        <v>1.15</v>
      </c>
      <c r="BV203" s="37" t="n">
        <v>1.36</v>
      </c>
      <c r="BW203" s="37" t="n">
        <v>1.34</v>
      </c>
      <c r="BX203" s="37" t="n">
        <v>1.49</v>
      </c>
      <c r="BY203" s="37" t="n">
        <v>1.26</v>
      </c>
      <c r="BZ203" s="37" t="n">
        <v>1.39</v>
      </c>
      <c r="CA203" s="37" t="n">
        <v>1.24</v>
      </c>
      <c r="CB203" s="37" t="n">
        <v>1.05</v>
      </c>
      <c r="CC203" s="37" t="n">
        <v>115.17</v>
      </c>
    </row>
    <row r="204" ht="15.75" customHeight="1" s="57">
      <c r="A204" s="7" t="inlineStr">
        <is>
          <t>NTB</t>
        </is>
      </c>
      <c r="B204" s="7" t="inlineStr">
        <is>
          <t>Khánh Hòa</t>
        </is>
      </c>
      <c r="C204" s="7" t="n">
        <v>21722000</v>
      </c>
      <c r="D204" s="7" t="inlineStr">
        <is>
          <t>(KHO) Tu Bông</t>
        </is>
      </c>
      <c r="E204" s="7" t="inlineStr">
        <is>
          <t>TTS</t>
        </is>
      </c>
      <c r="F204" s="36" t="n">
        <v>8</v>
      </c>
      <c r="G204" s="36" t="n">
        <v>3</v>
      </c>
      <c r="H204" s="36" t="n">
        <v>9</v>
      </c>
      <c r="I204" s="36" t="n">
        <v>10</v>
      </c>
      <c r="J204" s="36" t="n">
        <v>9</v>
      </c>
      <c r="K204" s="28" t="n">
        <v>13</v>
      </c>
      <c r="L204" s="36" t="n">
        <v>13</v>
      </c>
      <c r="M204" s="36" t="n">
        <v>7</v>
      </c>
      <c r="N204" s="36" t="n">
        <v>7</v>
      </c>
      <c r="O204" s="36" t="n">
        <v>4</v>
      </c>
      <c r="P204" s="36" t="n">
        <v>6</v>
      </c>
      <c r="Q204" s="36" t="n">
        <v>5</v>
      </c>
      <c r="R204" s="28" t="n">
        <v>5</v>
      </c>
      <c r="S204" s="36" t="n">
        <v>7</v>
      </c>
      <c r="T204" s="36" t="n">
        <v>10</v>
      </c>
      <c r="U204" s="36" t="n">
        <v>5.98</v>
      </c>
      <c r="V204" s="36" t="n">
        <v>5.85</v>
      </c>
      <c r="W204" s="36" t="n">
        <v>5.72</v>
      </c>
      <c r="X204" s="36" t="n">
        <v>4.61</v>
      </c>
      <c r="Y204" s="28" t="n">
        <v>6.69</v>
      </c>
      <c r="Z204" s="36" t="n">
        <v>5.71</v>
      </c>
      <c r="AA204" s="36" t="n">
        <v>6.42</v>
      </c>
      <c r="AB204" s="36" t="n">
        <v>7.05</v>
      </c>
      <c r="AC204" s="36" t="n">
        <v>7.45</v>
      </c>
      <c r="AD204" s="36" t="n">
        <v>7.12</v>
      </c>
      <c r="AE204" s="36" t="n">
        <v>5.35</v>
      </c>
      <c r="AF204" s="28" t="n">
        <v>6.9</v>
      </c>
      <c r="AG204" s="36" t="n">
        <v>5.83</v>
      </c>
      <c r="AH204" s="37" t="n">
        <v>5.77</v>
      </c>
      <c r="AI204" s="37" t="n">
        <v>6.68</v>
      </c>
      <c r="AJ204" s="37" t="n">
        <v>7.11</v>
      </c>
      <c r="AK204" s="37" t="n">
        <v>7.03</v>
      </c>
      <c r="AL204" s="37" t="n">
        <v>5.02</v>
      </c>
      <c r="AM204" s="37" t="n">
        <v>6.77</v>
      </c>
      <c r="AN204" s="37" t="n">
        <v>5.86</v>
      </c>
      <c r="AO204" s="37" t="n">
        <v>5.86</v>
      </c>
      <c r="AP204" s="37" t="n">
        <v>5.68</v>
      </c>
      <c r="AQ204" s="37" t="n">
        <v>5.74</v>
      </c>
      <c r="AR204" s="37" t="n">
        <v>5.65</v>
      </c>
      <c r="AS204" s="37" t="n">
        <v>4.62</v>
      </c>
      <c r="AT204" s="37" t="n">
        <v>7.32</v>
      </c>
      <c r="AU204" s="37" t="n">
        <v>6.67</v>
      </c>
      <c r="AV204" s="37" t="n">
        <v>5.93</v>
      </c>
      <c r="AW204" s="37" t="n">
        <v>5.64</v>
      </c>
      <c r="AX204" s="37" t="n">
        <v>5.55</v>
      </c>
      <c r="AY204" s="37" t="n">
        <v>5.56</v>
      </c>
      <c r="AZ204" s="37" t="n">
        <v>4.62</v>
      </c>
      <c r="BA204" s="37" t="n">
        <v>6.6</v>
      </c>
      <c r="BB204" s="37" t="n">
        <v>6.19</v>
      </c>
      <c r="BC204" s="37" t="n">
        <v>3.26</v>
      </c>
      <c r="BD204" s="37" t="n">
        <v>4.53</v>
      </c>
      <c r="BE204" s="37" t="n">
        <v>10.42</v>
      </c>
      <c r="BF204" s="37" t="n">
        <v>10.12</v>
      </c>
      <c r="BG204" s="37" t="n">
        <v>5.02</v>
      </c>
      <c r="BH204" s="37" t="n">
        <v>7.32</v>
      </c>
      <c r="BI204" s="37" t="n">
        <v>6.19</v>
      </c>
      <c r="BJ204" s="37" t="n">
        <v>5.45</v>
      </c>
      <c r="BK204" s="37" t="n">
        <v>6.3</v>
      </c>
      <c r="BL204" s="37" t="n">
        <v>6.3</v>
      </c>
      <c r="BM204" s="37" t="n">
        <v>6.12</v>
      </c>
      <c r="BN204" s="37" t="n">
        <v>5.02</v>
      </c>
      <c r="BO204" s="37" t="n">
        <v>7.32</v>
      </c>
      <c r="BP204" s="37" t="n">
        <v>6.19</v>
      </c>
      <c r="BQ204" s="37" t="n">
        <v>6.12</v>
      </c>
      <c r="BR204" s="37" t="n">
        <v>6.3</v>
      </c>
      <c r="BS204" s="37" t="n">
        <v>6.3</v>
      </c>
      <c r="BT204" s="37" t="n">
        <v>6.12</v>
      </c>
      <c r="BU204" s="37" t="n">
        <v>5.02</v>
      </c>
      <c r="BV204" s="37" t="n">
        <v>7.32</v>
      </c>
      <c r="BW204" s="37" t="n">
        <v>6.19</v>
      </c>
      <c r="BX204" s="37" t="n">
        <v>6.12</v>
      </c>
      <c r="BY204" s="37" t="n">
        <v>6.3</v>
      </c>
      <c r="BZ204" s="37" t="n">
        <v>6.3</v>
      </c>
      <c r="CA204" s="37" t="n">
        <v>6.12</v>
      </c>
      <c r="CB204" s="37" t="n">
        <v>5.02</v>
      </c>
      <c r="CC204" s="37" t="n">
        <v>485.3400000000001</v>
      </c>
    </row>
    <row r="205" ht="15.75" customHeight="1" s="57">
      <c r="A205" s="7" t="inlineStr">
        <is>
          <t>NTB</t>
        </is>
      </c>
      <c r="B205" s="7" t="inlineStr">
        <is>
          <t>Khánh Hòa</t>
        </is>
      </c>
      <c r="C205" s="7" t="n">
        <v>22363000</v>
      </c>
      <c r="D205" s="7" t="inlineStr">
        <is>
          <t>(KHO) Nam Nha Trang 3</t>
        </is>
      </c>
      <c r="E205" s="7" t="inlineStr">
        <is>
          <t>SME</t>
        </is>
      </c>
      <c r="F205" s="36" t="n">
        <v>453</v>
      </c>
      <c r="G205" s="36" t="n">
        <v>556</v>
      </c>
      <c r="H205" s="36" t="n">
        <v>548</v>
      </c>
      <c r="I205" s="36" t="n">
        <v>645</v>
      </c>
      <c r="J205" s="36" t="n">
        <v>328</v>
      </c>
      <c r="K205" s="28" t="n">
        <v>718</v>
      </c>
      <c r="L205" s="36" t="n">
        <v>495</v>
      </c>
      <c r="M205" s="36" t="n">
        <v>437</v>
      </c>
      <c r="N205" s="36" t="n">
        <v>591</v>
      </c>
      <c r="O205" s="36" t="n">
        <v>423</v>
      </c>
      <c r="P205" s="36" t="n">
        <v>592</v>
      </c>
      <c r="Q205" s="36" t="n">
        <v>184</v>
      </c>
      <c r="R205" s="28" t="n">
        <v>557</v>
      </c>
      <c r="S205" s="36" t="n">
        <v>450</v>
      </c>
      <c r="T205" s="36" t="n">
        <v>476</v>
      </c>
      <c r="U205" s="36" t="n">
        <v>617.49</v>
      </c>
      <c r="V205" s="36" t="n">
        <v>638.28</v>
      </c>
      <c r="W205" s="36" t="n">
        <v>622.53</v>
      </c>
      <c r="X205" s="36" t="n">
        <v>508.52</v>
      </c>
      <c r="Y205" s="28" t="n">
        <v>689.39</v>
      </c>
      <c r="Z205" s="36" t="n">
        <v>633.45</v>
      </c>
      <c r="AA205" s="36" t="n">
        <v>620.28</v>
      </c>
      <c r="AB205" s="36" t="n">
        <v>617.49</v>
      </c>
      <c r="AC205" s="36" t="n">
        <v>638.28</v>
      </c>
      <c r="AD205" s="36" t="n">
        <v>722.91</v>
      </c>
      <c r="AE205" s="36" t="n">
        <v>508.52</v>
      </c>
      <c r="AF205" s="28" t="n">
        <v>689.39</v>
      </c>
      <c r="AG205" s="36" t="n">
        <v>633.45</v>
      </c>
      <c r="AH205" s="37" t="n">
        <v>620.28</v>
      </c>
      <c r="AI205" s="37" t="n">
        <v>617.49</v>
      </c>
      <c r="AJ205" s="37" t="n">
        <v>638.28</v>
      </c>
      <c r="AK205" s="37" t="n">
        <v>622.53</v>
      </c>
      <c r="AL205" s="37" t="n">
        <v>508.52</v>
      </c>
      <c r="AM205" s="37" t="n">
        <v>689.39</v>
      </c>
      <c r="AN205" s="37" t="n">
        <v>633.45</v>
      </c>
      <c r="AO205" s="37" t="n">
        <v>620.28</v>
      </c>
      <c r="AP205" s="37" t="n">
        <v>617.49</v>
      </c>
      <c r="AQ205" s="37" t="n">
        <v>638.28</v>
      </c>
      <c r="AR205" s="37" t="n">
        <v>622.53</v>
      </c>
      <c r="AS205" s="37" t="n">
        <v>508.52</v>
      </c>
      <c r="AT205" s="37" t="n">
        <v>689.39</v>
      </c>
      <c r="AU205" s="37" t="n">
        <v>633.45</v>
      </c>
      <c r="AV205" s="37" t="n">
        <v>620.28</v>
      </c>
      <c r="AW205" s="37" t="n">
        <v>617.49</v>
      </c>
      <c r="AX205" s="37" t="n">
        <v>638.28</v>
      </c>
      <c r="AY205" s="37" t="n">
        <v>622.53</v>
      </c>
      <c r="AZ205" s="37" t="n">
        <v>508.52</v>
      </c>
      <c r="BA205" s="37" t="n">
        <v>654.84</v>
      </c>
      <c r="BB205" s="37" t="n">
        <v>583.84</v>
      </c>
      <c r="BC205" s="37" t="n">
        <v>359.49</v>
      </c>
      <c r="BD205" s="37" t="n">
        <v>280.83</v>
      </c>
      <c r="BE205" s="37" t="n">
        <v>600.9</v>
      </c>
      <c r="BF205" s="37" t="n">
        <v>585.22</v>
      </c>
      <c r="BG205" s="37" t="n">
        <v>525.5300000000001</v>
      </c>
      <c r="BH205" s="37" t="n">
        <v>712.15</v>
      </c>
      <c r="BI205" s="37" t="n">
        <v>654.21</v>
      </c>
      <c r="BJ205" s="37" t="n">
        <v>742.9599999999999</v>
      </c>
      <c r="BK205" s="37" t="n">
        <v>638.24</v>
      </c>
      <c r="BL205" s="37" t="n">
        <v>659.29</v>
      </c>
      <c r="BM205" s="37" t="n">
        <v>643.29</v>
      </c>
      <c r="BN205" s="37" t="n">
        <v>525.5300000000001</v>
      </c>
      <c r="BO205" s="37" t="n">
        <v>712.15</v>
      </c>
      <c r="BP205" s="37" t="n">
        <v>654.21</v>
      </c>
      <c r="BQ205" s="37" t="n">
        <v>641.03</v>
      </c>
      <c r="BR205" s="37" t="n">
        <v>638.24</v>
      </c>
      <c r="BS205" s="37" t="n">
        <v>659.29</v>
      </c>
      <c r="BT205" s="37" t="n">
        <v>643.29</v>
      </c>
      <c r="BU205" s="37" t="n">
        <v>525.5300000000001</v>
      </c>
      <c r="BV205" s="37" t="n">
        <v>712.15</v>
      </c>
      <c r="BW205" s="37" t="n">
        <v>654.21</v>
      </c>
      <c r="BX205" s="37" t="n">
        <v>641.03</v>
      </c>
      <c r="BY205" s="37" t="n">
        <v>638.24</v>
      </c>
      <c r="BZ205" s="37" t="n">
        <v>659.29</v>
      </c>
      <c r="CA205" s="37" t="n">
        <v>643.29</v>
      </c>
      <c r="CB205" s="37" t="n">
        <v>525.5300000000001</v>
      </c>
      <c r="CC205" s="37" t="n">
        <v>44373.76</v>
      </c>
    </row>
    <row r="206" ht="15.75" customHeight="1" s="57">
      <c r="A206" s="7" t="inlineStr">
        <is>
          <t>NTB</t>
        </is>
      </c>
      <c r="B206" s="7" t="inlineStr">
        <is>
          <t>Khánh Hòa</t>
        </is>
      </c>
      <c r="C206" s="7" t="n">
        <v>22363000</v>
      </c>
      <c r="D206" s="7" t="inlineStr">
        <is>
          <t>(KHO) Nam Nha Trang 3</t>
        </is>
      </c>
      <c r="E206" s="7" t="inlineStr">
        <is>
          <t>SME-Bulky</t>
        </is>
      </c>
      <c r="F206" s="36" t="n">
        <v>3</v>
      </c>
      <c r="G206" s="36" t="n">
        <v>3</v>
      </c>
      <c r="H206" s="36" t="n">
        <v>5</v>
      </c>
      <c r="I206" s="36" t="n">
        <v>3</v>
      </c>
      <c r="J206" s="36" t="n">
        <v>1</v>
      </c>
      <c r="K206" s="28" t="n">
        <v>7</v>
      </c>
      <c r="L206" s="36" t="n">
        <v>2</v>
      </c>
      <c r="M206" s="36" t="n">
        <v>7</v>
      </c>
      <c r="N206" s="36" t="n">
        <v>4</v>
      </c>
      <c r="O206" s="36" t="n">
        <v>10</v>
      </c>
      <c r="P206" s="36" t="n">
        <v>11</v>
      </c>
      <c r="Q206" s="36" t="n">
        <v>3</v>
      </c>
      <c r="R206" s="28" t="n">
        <v>10</v>
      </c>
      <c r="S206" s="36" t="n">
        <v>10</v>
      </c>
      <c r="T206" s="36" t="n">
        <v>3</v>
      </c>
      <c r="U206" s="36" t="n">
        <v>5.91</v>
      </c>
      <c r="V206" s="36" t="n">
        <v>6.08</v>
      </c>
      <c r="W206" s="36" t="n">
        <v>5.74</v>
      </c>
      <c r="X206" s="36" t="n">
        <v>3.94</v>
      </c>
      <c r="Y206" s="28" t="n">
        <v>6.5</v>
      </c>
      <c r="Z206" s="36" t="n">
        <v>6.21</v>
      </c>
      <c r="AA206" s="36" t="n">
        <v>6.16</v>
      </c>
      <c r="AB206" s="36" t="n">
        <v>5.91</v>
      </c>
      <c r="AC206" s="36" t="n">
        <v>6.08</v>
      </c>
      <c r="AD206" s="36" t="n">
        <v>3.94</v>
      </c>
      <c r="AE206" s="36" t="n">
        <v>3.94</v>
      </c>
      <c r="AF206" s="28" t="n">
        <v>6.5</v>
      </c>
      <c r="AG206" s="36" t="n">
        <v>6.21</v>
      </c>
      <c r="AH206" s="37" t="n">
        <v>6.16</v>
      </c>
      <c r="AI206" s="37" t="n">
        <v>5.91</v>
      </c>
      <c r="AJ206" s="37" t="n">
        <v>6.08</v>
      </c>
      <c r="AK206" s="37" t="n">
        <v>5.74</v>
      </c>
      <c r="AL206" s="37" t="n">
        <v>3.94</v>
      </c>
      <c r="AM206" s="37" t="n">
        <v>6.5</v>
      </c>
      <c r="AN206" s="37" t="n">
        <v>6.21</v>
      </c>
      <c r="AO206" s="37" t="n">
        <v>6.16</v>
      </c>
      <c r="AP206" s="37" t="n">
        <v>5.91</v>
      </c>
      <c r="AQ206" s="37" t="n">
        <v>6.08</v>
      </c>
      <c r="AR206" s="37" t="n">
        <v>5.74</v>
      </c>
      <c r="AS206" s="37" t="n">
        <v>3.94</v>
      </c>
      <c r="AT206" s="37" t="n">
        <v>6.5</v>
      </c>
      <c r="AU206" s="37" t="n">
        <v>6.21</v>
      </c>
      <c r="AV206" s="37" t="n">
        <v>6.16</v>
      </c>
      <c r="AW206" s="37" t="n">
        <v>5.91</v>
      </c>
      <c r="AX206" s="37" t="n">
        <v>6.08</v>
      </c>
      <c r="AY206" s="37" t="n">
        <v>5.74</v>
      </c>
      <c r="AZ206" s="37" t="n">
        <v>3.94</v>
      </c>
      <c r="BA206" s="37" t="n">
        <v>7.04</v>
      </c>
      <c r="BB206" s="37" t="n">
        <v>3.61</v>
      </c>
      <c r="BC206" s="37" t="n">
        <v>1.84</v>
      </c>
      <c r="BD206" s="37" t="n">
        <v>1.38</v>
      </c>
      <c r="BE206" s="37" t="n">
        <v>3.35</v>
      </c>
      <c r="BF206" s="37" t="n">
        <v>3.31</v>
      </c>
      <c r="BG206" s="37" t="n">
        <v>2.18</v>
      </c>
      <c r="BH206" s="37" t="n">
        <v>3.73</v>
      </c>
      <c r="BI206" s="37" t="n">
        <v>3.61</v>
      </c>
      <c r="BJ206" s="37" t="n">
        <v>2.73</v>
      </c>
      <c r="BK206" s="37" t="n">
        <v>3.4</v>
      </c>
      <c r="BL206" s="37" t="n">
        <v>3.48</v>
      </c>
      <c r="BM206" s="37" t="n">
        <v>3.31</v>
      </c>
      <c r="BN206" s="37" t="n">
        <v>2.18</v>
      </c>
      <c r="BO206" s="37" t="n">
        <v>3.73</v>
      </c>
      <c r="BP206" s="37" t="n">
        <v>3.61</v>
      </c>
      <c r="BQ206" s="37" t="n">
        <v>3.52</v>
      </c>
      <c r="BR206" s="37" t="n">
        <v>3.4</v>
      </c>
      <c r="BS206" s="37" t="n">
        <v>3.48</v>
      </c>
      <c r="BT206" s="37" t="n">
        <v>3.31</v>
      </c>
      <c r="BU206" s="37" t="n">
        <v>2.18</v>
      </c>
      <c r="BV206" s="37" t="n">
        <v>3.73</v>
      </c>
      <c r="BW206" s="37" t="n">
        <v>3.61</v>
      </c>
      <c r="BX206" s="37" t="n">
        <v>3.52</v>
      </c>
      <c r="BY206" s="37" t="n">
        <v>3.4</v>
      </c>
      <c r="BZ206" s="37" t="n">
        <v>3.48</v>
      </c>
      <c r="CA206" s="37" t="n">
        <v>3.31</v>
      </c>
      <c r="CB206" s="37" t="n">
        <v>2.18</v>
      </c>
      <c r="CC206" s="37" t="n">
        <v>355.6400000000002</v>
      </c>
    </row>
    <row r="207" ht="15.75" customHeight="1" s="57">
      <c r="A207" s="7" t="inlineStr">
        <is>
          <t>NTB</t>
        </is>
      </c>
      <c r="B207" s="7" t="inlineStr">
        <is>
          <t>Khánh Hòa</t>
        </is>
      </c>
      <c r="C207" s="7" t="n">
        <v>22363000</v>
      </c>
      <c r="D207" s="7" t="inlineStr">
        <is>
          <t>(KHO) Nam Nha Trang 3</t>
        </is>
      </c>
      <c r="E207" s="7" t="inlineStr">
        <is>
          <t>Shopee</t>
        </is>
      </c>
      <c r="F207" s="36" t="n">
        <v>37</v>
      </c>
      <c r="G207" s="36" t="n">
        <v>57</v>
      </c>
      <c r="H207" s="36" t="n">
        <v>27</v>
      </c>
      <c r="I207" s="36" t="n">
        <v>30</v>
      </c>
      <c r="J207" s="36" t="n">
        <v>24</v>
      </c>
      <c r="K207" s="28" t="n">
        <v>49</v>
      </c>
      <c r="L207" s="36" t="n">
        <v>47</v>
      </c>
      <c r="M207" s="36" t="n">
        <v>35</v>
      </c>
      <c r="N207" s="36" t="n">
        <v>29</v>
      </c>
      <c r="O207" s="36" t="n">
        <v>30</v>
      </c>
      <c r="P207" s="36" t="n">
        <v>23</v>
      </c>
      <c r="Q207" s="36" t="n">
        <v>20</v>
      </c>
      <c r="R207" s="28" t="n">
        <v>33</v>
      </c>
      <c r="S207" s="36" t="n">
        <v>24</v>
      </c>
      <c r="T207" s="36" t="n">
        <v>31</v>
      </c>
      <c r="U207" s="36" t="n">
        <v>35.46</v>
      </c>
      <c r="V207" s="36" t="n">
        <v>35.62</v>
      </c>
      <c r="W207" s="36" t="n">
        <v>34.37</v>
      </c>
      <c r="X207" s="36" t="n">
        <v>29.6</v>
      </c>
      <c r="Y207" s="28" t="n">
        <v>47.82</v>
      </c>
      <c r="Z207" s="36" t="n">
        <v>37.79</v>
      </c>
      <c r="AA207" s="36" t="n">
        <v>46.14</v>
      </c>
      <c r="AB207" s="36" t="n">
        <v>36.27</v>
      </c>
      <c r="AC207" s="36" t="n">
        <v>29.33</v>
      </c>
      <c r="AD207" s="36" t="n">
        <v>67.5</v>
      </c>
      <c r="AE207" s="36" t="n">
        <v>31.39</v>
      </c>
      <c r="AF207" s="28" t="n">
        <v>52.86</v>
      </c>
      <c r="AG207" s="36" t="n">
        <v>39.69</v>
      </c>
      <c r="AH207" s="37" t="n">
        <v>42.13</v>
      </c>
      <c r="AI207" s="37" t="n">
        <v>35.46</v>
      </c>
      <c r="AJ207" s="37" t="n">
        <v>35.62</v>
      </c>
      <c r="AK207" s="37" t="n">
        <v>37.68</v>
      </c>
      <c r="AL207" s="37" t="n">
        <v>53.02</v>
      </c>
      <c r="AM207" s="37" t="n">
        <v>47.82</v>
      </c>
      <c r="AN207" s="37" t="n">
        <v>37.79</v>
      </c>
      <c r="AO207" s="37" t="n">
        <v>42.13</v>
      </c>
      <c r="AP207" s="37" t="n">
        <v>38.98</v>
      </c>
      <c r="AQ207" s="37" t="n">
        <v>28.63</v>
      </c>
      <c r="AR207" s="37" t="n">
        <v>34.37</v>
      </c>
      <c r="AS207" s="37" t="n">
        <v>29.6</v>
      </c>
      <c r="AT207" s="37" t="n">
        <v>47.82</v>
      </c>
      <c r="AU207" s="37" t="n">
        <v>41.64</v>
      </c>
      <c r="AV207" s="37" t="n">
        <v>42.99</v>
      </c>
      <c r="AW207" s="37" t="n">
        <v>35.46</v>
      </c>
      <c r="AX207" s="37" t="n">
        <v>35.62</v>
      </c>
      <c r="AY207" s="37" t="n">
        <v>34.37</v>
      </c>
      <c r="AZ207" s="37" t="n">
        <v>29.6</v>
      </c>
      <c r="BA207" s="37" t="n">
        <v>40.93</v>
      </c>
      <c r="BB207" s="37" t="n">
        <v>28.41</v>
      </c>
      <c r="BC207" s="37" t="n">
        <v>12.69</v>
      </c>
      <c r="BD207" s="37" t="n">
        <v>21.31</v>
      </c>
      <c r="BE207" s="37" t="n">
        <v>42.67</v>
      </c>
      <c r="BF207" s="37" t="n">
        <v>41.04</v>
      </c>
      <c r="BG207" s="37" t="n">
        <v>29.01</v>
      </c>
      <c r="BH207" s="37" t="n">
        <v>45.54</v>
      </c>
      <c r="BI207" s="37" t="n">
        <v>29.77</v>
      </c>
      <c r="BJ207" s="37" t="n">
        <v>95.26000000000001</v>
      </c>
      <c r="BK207" s="37" t="n">
        <v>36.33</v>
      </c>
      <c r="BL207" s="37" t="n">
        <v>35.78</v>
      </c>
      <c r="BM207" s="37" t="n">
        <v>32.91</v>
      </c>
      <c r="BN207" s="37" t="n">
        <v>28.46</v>
      </c>
      <c r="BO207" s="37" t="n">
        <v>45.54</v>
      </c>
      <c r="BP207" s="37" t="n">
        <v>39.8</v>
      </c>
      <c r="BQ207" s="37" t="n">
        <v>61.16</v>
      </c>
      <c r="BR207" s="37" t="n">
        <v>33.94</v>
      </c>
      <c r="BS207" s="37" t="n">
        <v>34.1</v>
      </c>
      <c r="BT207" s="37" t="n">
        <v>32.91</v>
      </c>
      <c r="BU207" s="37" t="n">
        <v>31.12</v>
      </c>
      <c r="BV207" s="37" t="n">
        <v>36.76</v>
      </c>
      <c r="BW207" s="37" t="n">
        <v>36.11</v>
      </c>
      <c r="BX207" s="37" t="n">
        <v>40.17</v>
      </c>
      <c r="BY207" s="37" t="n">
        <v>33.94</v>
      </c>
      <c r="BZ207" s="37" t="n">
        <v>37.41</v>
      </c>
      <c r="CA207" s="37" t="n">
        <v>33.4</v>
      </c>
      <c r="CB207" s="37" t="n">
        <v>28.46</v>
      </c>
      <c r="CC207" s="37" t="n">
        <v>2795.5</v>
      </c>
    </row>
    <row r="208" ht="15.75" customHeight="1" s="57">
      <c r="A208" s="7" t="inlineStr">
        <is>
          <t>NTB</t>
        </is>
      </c>
      <c r="B208" s="7" t="inlineStr">
        <is>
          <t>Khánh Hòa</t>
        </is>
      </c>
      <c r="C208" s="7" t="n">
        <v>22363000</v>
      </c>
      <c r="D208" s="7" t="inlineStr">
        <is>
          <t>(KHO) Nam Nha Trang 3</t>
        </is>
      </c>
      <c r="E208" s="7" t="inlineStr">
        <is>
          <t>Shopee-Bulky</t>
        </is>
      </c>
      <c r="F208" s="36" t="n">
        <v>2.86</v>
      </c>
      <c r="G208" s="36" t="n">
        <v>1.14</v>
      </c>
      <c r="H208" s="36" t="n">
        <v>0</v>
      </c>
      <c r="I208" s="36" t="n">
        <v>4</v>
      </c>
      <c r="J208" s="36" t="n">
        <v>0</v>
      </c>
      <c r="K208" s="28" t="n">
        <v>4</v>
      </c>
      <c r="L208" s="36" t="n">
        <v>1.72</v>
      </c>
      <c r="M208" s="36" t="n">
        <v>1.14</v>
      </c>
      <c r="N208" s="36" t="n">
        <v>0.57</v>
      </c>
      <c r="O208" s="36" t="n">
        <v>0</v>
      </c>
      <c r="P208" s="36" t="n">
        <v>2.29</v>
      </c>
      <c r="Q208" s="36" t="n">
        <v>2.29</v>
      </c>
      <c r="R208" s="28" t="n">
        <v>2.86</v>
      </c>
      <c r="S208" s="36" t="n">
        <v>2.29</v>
      </c>
      <c r="T208" s="36" t="n">
        <v>2.29</v>
      </c>
      <c r="U208" s="36" t="n">
        <v>2.49</v>
      </c>
      <c r="V208" s="36" t="n">
        <v>2.33</v>
      </c>
      <c r="W208" s="36" t="n">
        <v>2.8</v>
      </c>
      <c r="X208" s="36" t="n">
        <v>1.48</v>
      </c>
      <c r="Y208" s="28" t="n">
        <v>3.73</v>
      </c>
      <c r="Z208" s="36" t="n">
        <v>2.87</v>
      </c>
      <c r="AA208" s="36" t="n">
        <v>4.2</v>
      </c>
      <c r="AB208" s="36" t="n">
        <v>2.87</v>
      </c>
      <c r="AC208" s="36" t="n">
        <v>3.03</v>
      </c>
      <c r="AD208" s="36" t="n">
        <v>11.26</v>
      </c>
      <c r="AE208" s="36" t="n">
        <v>7.61</v>
      </c>
      <c r="AF208" s="28" t="n">
        <v>8.859999999999999</v>
      </c>
      <c r="AG208" s="36" t="n">
        <v>3.96</v>
      </c>
      <c r="AH208" s="37" t="n">
        <v>2.87</v>
      </c>
      <c r="AI208" s="37" t="n">
        <v>2.8</v>
      </c>
      <c r="AJ208" s="37" t="n">
        <v>2.56</v>
      </c>
      <c r="AK208" s="37" t="n">
        <v>5.59</v>
      </c>
      <c r="AL208" s="37" t="n">
        <v>3.19</v>
      </c>
      <c r="AM208" s="37" t="n">
        <v>4.74</v>
      </c>
      <c r="AN208" s="37" t="n">
        <v>2.87</v>
      </c>
      <c r="AO208" s="37" t="n">
        <v>2.72</v>
      </c>
      <c r="AP208" s="37" t="n">
        <v>4.89</v>
      </c>
      <c r="AQ208" s="37" t="n">
        <v>3.5</v>
      </c>
      <c r="AR208" s="37" t="n">
        <v>2.41</v>
      </c>
      <c r="AS208" s="37" t="n">
        <v>1.24</v>
      </c>
      <c r="AT208" s="37" t="n">
        <v>3.5</v>
      </c>
      <c r="AU208" s="37" t="n">
        <v>5.9</v>
      </c>
      <c r="AV208" s="37" t="n">
        <v>5.9</v>
      </c>
      <c r="AW208" s="37" t="n">
        <v>2.72</v>
      </c>
      <c r="AX208" s="37" t="n">
        <v>2.56</v>
      </c>
      <c r="AY208" s="37" t="n">
        <v>2.33</v>
      </c>
      <c r="AZ208" s="37" t="n">
        <v>1.24</v>
      </c>
      <c r="BA208" s="37" t="n">
        <v>3.26</v>
      </c>
      <c r="BB208" s="37" t="n">
        <v>2.25</v>
      </c>
      <c r="BC208" s="37" t="n">
        <v>0.7</v>
      </c>
      <c r="BD208" s="37" t="n">
        <v>1.09</v>
      </c>
      <c r="BE208" s="37" t="n">
        <v>3.73</v>
      </c>
      <c r="BF208" s="37" t="n">
        <v>3.19</v>
      </c>
      <c r="BG208" s="37" t="n">
        <v>1.63</v>
      </c>
      <c r="BH208" s="37" t="n">
        <v>3.96</v>
      </c>
      <c r="BI208" s="37" t="n">
        <v>3.57</v>
      </c>
      <c r="BJ208" s="37" t="n">
        <v>22.69</v>
      </c>
      <c r="BK208" s="37" t="n">
        <v>7.61</v>
      </c>
      <c r="BL208" s="37" t="n">
        <v>3.96</v>
      </c>
      <c r="BM208" s="37" t="n">
        <v>2.72</v>
      </c>
      <c r="BN208" s="37" t="n">
        <v>1.63</v>
      </c>
      <c r="BO208" s="37" t="n">
        <v>4.74</v>
      </c>
      <c r="BP208" s="37" t="n">
        <v>7.15</v>
      </c>
      <c r="BQ208" s="37" t="n">
        <v>5.21</v>
      </c>
      <c r="BR208" s="37" t="n">
        <v>3.42</v>
      </c>
      <c r="BS208" s="37" t="n">
        <v>3.19</v>
      </c>
      <c r="BT208" s="37" t="n">
        <v>2.25</v>
      </c>
      <c r="BU208" s="37" t="n">
        <v>3.96</v>
      </c>
      <c r="BV208" s="37" t="n">
        <v>4.35</v>
      </c>
      <c r="BW208" s="37" t="n">
        <v>3.57</v>
      </c>
      <c r="BX208" s="37" t="n">
        <v>3.42</v>
      </c>
      <c r="BY208" s="37" t="n">
        <v>3.42</v>
      </c>
      <c r="BZ208" s="37" t="n">
        <v>4.82</v>
      </c>
      <c r="CA208" s="37" t="n">
        <v>3.19</v>
      </c>
      <c r="CB208" s="37" t="n">
        <v>1.63</v>
      </c>
      <c r="CC208" s="37" t="n">
        <v>264.78</v>
      </c>
    </row>
    <row r="209" ht="15.75" customHeight="1" s="57">
      <c r="A209" s="7" t="inlineStr">
        <is>
          <t>NTB</t>
        </is>
      </c>
      <c r="B209" s="7" t="inlineStr">
        <is>
          <t>Khánh Hòa</t>
        </is>
      </c>
      <c r="C209" s="7" t="n">
        <v>22363000</v>
      </c>
      <c r="D209" s="7" t="inlineStr">
        <is>
          <t>(KHO) Nam Nha Trang 3</t>
        </is>
      </c>
      <c r="E209" s="7" t="inlineStr">
        <is>
          <t>Shopee-Bulky (10-15kg)</t>
        </is>
      </c>
      <c r="F209" s="36" t="n">
        <v>2.14</v>
      </c>
      <c r="G209" s="36" t="n">
        <v>0.86</v>
      </c>
      <c r="H209" s="36" t="n">
        <v>0</v>
      </c>
      <c r="I209" s="36" t="n">
        <v>3</v>
      </c>
      <c r="J209" s="36" t="n">
        <v>0</v>
      </c>
      <c r="K209" s="28" t="n">
        <v>3</v>
      </c>
      <c r="L209" s="36" t="n">
        <v>1.28</v>
      </c>
      <c r="M209" s="36" t="n">
        <v>0.86</v>
      </c>
      <c r="N209" s="36" t="n">
        <v>0.43</v>
      </c>
      <c r="O209" s="36" t="n">
        <v>0</v>
      </c>
      <c r="P209" s="36" t="n">
        <v>1.71</v>
      </c>
      <c r="Q209" s="36" t="n">
        <v>1.71</v>
      </c>
      <c r="R209" s="28" t="n">
        <v>2.14</v>
      </c>
      <c r="S209" s="36" t="n">
        <v>1.71</v>
      </c>
      <c r="T209" s="36" t="n">
        <v>1.71</v>
      </c>
      <c r="U209" s="36" t="n">
        <v>1.79</v>
      </c>
      <c r="V209" s="36" t="n">
        <v>1.86</v>
      </c>
      <c r="W209" s="36" t="n">
        <v>2.25</v>
      </c>
      <c r="X209" s="36" t="n">
        <v>1.4</v>
      </c>
      <c r="Y209" s="28" t="n">
        <v>2.41</v>
      </c>
      <c r="Z209" s="36" t="n">
        <v>1.86</v>
      </c>
      <c r="AA209" s="36" t="n">
        <v>2.64</v>
      </c>
      <c r="AB209" s="36" t="n">
        <v>1.86</v>
      </c>
      <c r="AC209" s="36" t="n">
        <v>2.18</v>
      </c>
      <c r="AD209" s="36" t="n">
        <v>9.789999999999999</v>
      </c>
      <c r="AE209" s="36" t="n">
        <v>5.28</v>
      </c>
      <c r="AF209" s="28" t="n">
        <v>5.52</v>
      </c>
      <c r="AG209" s="36" t="n">
        <v>2.95</v>
      </c>
      <c r="AH209" s="37" t="n">
        <v>1.86</v>
      </c>
      <c r="AI209" s="37" t="n">
        <v>2.02</v>
      </c>
      <c r="AJ209" s="37" t="n">
        <v>1.94</v>
      </c>
      <c r="AK209" s="37" t="n">
        <v>3.88</v>
      </c>
      <c r="AL209" s="37" t="n">
        <v>2.33</v>
      </c>
      <c r="AM209" s="37" t="n">
        <v>3.11</v>
      </c>
      <c r="AN209" s="37" t="n">
        <v>1.86</v>
      </c>
      <c r="AO209" s="37" t="n">
        <v>1.86</v>
      </c>
      <c r="AP209" s="37" t="n">
        <v>2.95</v>
      </c>
      <c r="AQ209" s="37" t="n">
        <v>2.56</v>
      </c>
      <c r="AR209" s="37" t="n">
        <v>1.94</v>
      </c>
      <c r="AS209" s="37" t="n">
        <v>1.09</v>
      </c>
      <c r="AT209" s="37" t="n">
        <v>2.33</v>
      </c>
      <c r="AU209" s="37" t="n">
        <v>4.27</v>
      </c>
      <c r="AV209" s="37" t="n">
        <v>4.12</v>
      </c>
      <c r="AW209" s="37" t="n">
        <v>1.86</v>
      </c>
      <c r="AX209" s="37" t="n">
        <v>1.86</v>
      </c>
      <c r="AY209" s="37" t="n">
        <v>1.94</v>
      </c>
      <c r="AZ209" s="37" t="n">
        <v>1.09</v>
      </c>
      <c r="BA209" s="37" t="n">
        <v>2.33</v>
      </c>
      <c r="BB209" s="37" t="n">
        <v>1.63</v>
      </c>
      <c r="BC209" s="37" t="n">
        <v>0.31</v>
      </c>
      <c r="BD209" s="37" t="n">
        <v>0.85</v>
      </c>
      <c r="BE209" s="37" t="n">
        <v>2.49</v>
      </c>
      <c r="BF209" s="37" t="n">
        <v>2.1</v>
      </c>
      <c r="BG209" s="37" t="n">
        <v>1.63</v>
      </c>
      <c r="BH209" s="37" t="n">
        <v>2.87</v>
      </c>
      <c r="BI209" s="37" t="n">
        <v>2.18</v>
      </c>
      <c r="BJ209" s="37" t="n">
        <v>12.82</v>
      </c>
      <c r="BK209" s="37" t="n">
        <v>4.43</v>
      </c>
      <c r="BL209" s="37" t="n">
        <v>2.87</v>
      </c>
      <c r="BM209" s="37" t="n">
        <v>1.86</v>
      </c>
      <c r="BN209" s="37" t="n">
        <v>1.48</v>
      </c>
      <c r="BO209" s="37" t="n">
        <v>3.26</v>
      </c>
      <c r="BP209" s="37" t="n">
        <v>4.74</v>
      </c>
      <c r="BQ209" s="37" t="n">
        <v>3.65</v>
      </c>
      <c r="BR209" s="37" t="n">
        <v>2.1</v>
      </c>
      <c r="BS209" s="37" t="n">
        <v>2.1</v>
      </c>
      <c r="BT209" s="37" t="n">
        <v>1.71</v>
      </c>
      <c r="BU209" s="37" t="n">
        <v>2.64</v>
      </c>
      <c r="BV209" s="37" t="n">
        <v>3.03</v>
      </c>
      <c r="BW209" s="37" t="n">
        <v>2.18</v>
      </c>
      <c r="BX209" s="37" t="n">
        <v>2.18</v>
      </c>
      <c r="BY209" s="37" t="n">
        <v>2.1</v>
      </c>
      <c r="BZ209" s="37" t="n">
        <v>3.65</v>
      </c>
      <c r="CA209" s="37" t="n">
        <v>2.33</v>
      </c>
      <c r="CB209" s="37" t="n">
        <v>1.48</v>
      </c>
      <c r="CC209" s="37" t="n">
        <v>184.21</v>
      </c>
    </row>
    <row r="210" ht="15.75" customHeight="1" s="57">
      <c r="A210" s="7" t="inlineStr">
        <is>
          <t>NTB</t>
        </is>
      </c>
      <c r="B210" s="7" t="inlineStr">
        <is>
          <t>Khánh Hòa</t>
        </is>
      </c>
      <c r="C210" s="7" t="n">
        <v>22363000</v>
      </c>
      <c r="D210" s="7" t="inlineStr">
        <is>
          <t>(KHO) Nam Nha Trang 3</t>
        </is>
      </c>
      <c r="E210" s="7" t="inlineStr">
        <is>
          <t>TTS</t>
        </is>
      </c>
      <c r="F210" s="36" t="n">
        <v>8</v>
      </c>
      <c r="G210" s="36" t="n">
        <v>14</v>
      </c>
      <c r="H210" s="36" t="n">
        <v>27</v>
      </c>
      <c r="I210" s="36" t="n">
        <v>8</v>
      </c>
      <c r="J210" s="36" t="n">
        <v>17</v>
      </c>
      <c r="K210" s="28" t="n">
        <v>4</v>
      </c>
      <c r="L210" s="36" t="n">
        <v>9</v>
      </c>
      <c r="M210" s="36" t="n">
        <v>25</v>
      </c>
      <c r="N210" s="36" t="n">
        <v>6</v>
      </c>
      <c r="O210" s="36" t="n">
        <v>11</v>
      </c>
      <c r="P210" s="36" t="n">
        <v>14</v>
      </c>
      <c r="Q210" s="36" t="n">
        <v>14</v>
      </c>
      <c r="R210" s="28" t="n">
        <v>8</v>
      </c>
      <c r="S210" s="36" t="n">
        <v>14</v>
      </c>
      <c r="T210" s="36" t="n">
        <v>5</v>
      </c>
      <c r="U210" s="36" t="n">
        <v>11.02</v>
      </c>
      <c r="V210" s="36" t="n">
        <v>10.79</v>
      </c>
      <c r="W210" s="36" t="n">
        <v>10.55</v>
      </c>
      <c r="X210" s="36" t="n">
        <v>8.51</v>
      </c>
      <c r="Y210" s="28" t="n">
        <v>12.35</v>
      </c>
      <c r="Z210" s="36" t="n">
        <v>10.53</v>
      </c>
      <c r="AA210" s="36" t="n">
        <v>11.84</v>
      </c>
      <c r="AB210" s="36" t="n">
        <v>13</v>
      </c>
      <c r="AC210" s="36" t="n">
        <v>13.73</v>
      </c>
      <c r="AD210" s="36" t="n">
        <v>13.13</v>
      </c>
      <c r="AE210" s="36" t="n">
        <v>9.859999999999999</v>
      </c>
      <c r="AF210" s="28" t="n">
        <v>12.73</v>
      </c>
      <c r="AG210" s="36" t="n">
        <v>10.75</v>
      </c>
      <c r="AH210" s="37" t="n">
        <v>10.64</v>
      </c>
      <c r="AI210" s="37" t="n">
        <v>12.31</v>
      </c>
      <c r="AJ210" s="37" t="n">
        <v>13.11</v>
      </c>
      <c r="AK210" s="37" t="n">
        <v>12.97</v>
      </c>
      <c r="AL210" s="37" t="n">
        <v>9.26</v>
      </c>
      <c r="AM210" s="37" t="n">
        <v>12.49</v>
      </c>
      <c r="AN210" s="37" t="n">
        <v>10.82</v>
      </c>
      <c r="AO210" s="37" t="n">
        <v>10.8</v>
      </c>
      <c r="AP210" s="37" t="n">
        <v>10.48</v>
      </c>
      <c r="AQ210" s="37" t="n">
        <v>10.58</v>
      </c>
      <c r="AR210" s="37" t="n">
        <v>10.42</v>
      </c>
      <c r="AS210" s="37" t="n">
        <v>8.52</v>
      </c>
      <c r="AT210" s="37" t="n">
        <v>13.51</v>
      </c>
      <c r="AU210" s="37" t="n">
        <v>12.3</v>
      </c>
      <c r="AV210" s="37" t="n">
        <v>10.93</v>
      </c>
      <c r="AW210" s="37" t="n">
        <v>10.4</v>
      </c>
      <c r="AX210" s="37" t="n">
        <v>10.23</v>
      </c>
      <c r="AY210" s="37" t="n">
        <v>10.26</v>
      </c>
      <c r="AZ210" s="37" t="n">
        <v>8.52</v>
      </c>
      <c r="BA210" s="37" t="n">
        <v>12.17</v>
      </c>
      <c r="BB210" s="37" t="n">
        <v>11.42</v>
      </c>
      <c r="BC210" s="37" t="n">
        <v>6.02</v>
      </c>
      <c r="BD210" s="37" t="n">
        <v>8.359999999999999</v>
      </c>
      <c r="BE210" s="37" t="n">
        <v>19.21</v>
      </c>
      <c r="BF210" s="37" t="n">
        <v>18.67</v>
      </c>
      <c r="BG210" s="37" t="n">
        <v>9.26</v>
      </c>
      <c r="BH210" s="37" t="n">
        <v>13.49</v>
      </c>
      <c r="BI210" s="37" t="n">
        <v>11.42</v>
      </c>
      <c r="BJ210" s="37" t="n">
        <v>10.05</v>
      </c>
      <c r="BK210" s="37" t="n">
        <v>11.61</v>
      </c>
      <c r="BL210" s="37" t="n">
        <v>11.61</v>
      </c>
      <c r="BM210" s="37" t="n">
        <v>11.28</v>
      </c>
      <c r="BN210" s="37" t="n">
        <v>9.26</v>
      </c>
      <c r="BO210" s="37" t="n">
        <v>13.49</v>
      </c>
      <c r="BP210" s="37" t="n">
        <v>11.42</v>
      </c>
      <c r="BQ210" s="37" t="n">
        <v>11.3</v>
      </c>
      <c r="BR210" s="37" t="n">
        <v>11.61</v>
      </c>
      <c r="BS210" s="37" t="n">
        <v>11.61</v>
      </c>
      <c r="BT210" s="37" t="n">
        <v>11.28</v>
      </c>
      <c r="BU210" s="37" t="n">
        <v>9.26</v>
      </c>
      <c r="BV210" s="37" t="n">
        <v>13.49</v>
      </c>
      <c r="BW210" s="37" t="n">
        <v>11.42</v>
      </c>
      <c r="BX210" s="37" t="n">
        <v>11.3</v>
      </c>
      <c r="BY210" s="37" t="n">
        <v>11.61</v>
      </c>
      <c r="BZ210" s="37" t="n">
        <v>11.61</v>
      </c>
      <c r="CA210" s="37" t="n">
        <v>11.28</v>
      </c>
      <c r="CB210" s="37" t="n">
        <v>9.26</v>
      </c>
      <c r="CC210" s="37" t="n">
        <v>865.1099999999997</v>
      </c>
    </row>
    <row r="211" ht="15.75" customHeight="1" s="57">
      <c r="A211" s="7" t="inlineStr">
        <is>
          <t>NTB</t>
        </is>
      </c>
      <c r="B211" s="7" t="inlineStr">
        <is>
          <t>Khánh Hòa</t>
        </is>
      </c>
      <c r="C211" s="7" t="n">
        <v>22704000</v>
      </c>
      <c r="D211" s="7" t="inlineStr">
        <is>
          <t>(KHO) Nam Nha Trang 2</t>
        </is>
      </c>
      <c r="E211" s="7" t="inlineStr">
        <is>
          <t>SME</t>
        </is>
      </c>
      <c r="F211" s="36" t="n">
        <v>61</v>
      </c>
      <c r="G211" s="36" t="n">
        <v>75</v>
      </c>
      <c r="H211" s="36" t="n">
        <v>67</v>
      </c>
      <c r="I211" s="36" t="n">
        <v>58</v>
      </c>
      <c r="J211" s="36" t="n">
        <v>30</v>
      </c>
      <c r="K211" s="28" t="n">
        <v>52</v>
      </c>
      <c r="L211" s="36" t="n">
        <v>89</v>
      </c>
      <c r="M211" s="36" t="n">
        <v>56</v>
      </c>
      <c r="N211" s="36" t="n">
        <v>99</v>
      </c>
      <c r="O211" s="36" t="n">
        <v>53</v>
      </c>
      <c r="P211" s="36" t="n">
        <v>100</v>
      </c>
      <c r="Q211" s="36" t="n">
        <v>44</v>
      </c>
      <c r="R211" s="28" t="n">
        <v>79</v>
      </c>
      <c r="S211" s="36" t="n">
        <v>44</v>
      </c>
      <c r="T211" s="36" t="n">
        <v>62</v>
      </c>
      <c r="U211" s="36" t="n">
        <v>88.15000000000001</v>
      </c>
      <c r="V211" s="36" t="n">
        <v>91.15000000000001</v>
      </c>
      <c r="W211" s="36" t="n">
        <v>88.87</v>
      </c>
      <c r="X211" s="36" t="n">
        <v>72.52</v>
      </c>
      <c r="Y211" s="28" t="n">
        <v>98.42</v>
      </c>
      <c r="Z211" s="36" t="n">
        <v>90.45999999999999</v>
      </c>
      <c r="AA211" s="36" t="n">
        <v>88.55</v>
      </c>
      <c r="AB211" s="36" t="n">
        <v>88.15000000000001</v>
      </c>
      <c r="AC211" s="36" t="n">
        <v>91.15000000000001</v>
      </c>
      <c r="AD211" s="36" t="n">
        <v>103.2</v>
      </c>
      <c r="AE211" s="36" t="n">
        <v>72.52</v>
      </c>
      <c r="AF211" s="28" t="n">
        <v>98.42</v>
      </c>
      <c r="AG211" s="36" t="n">
        <v>90.45999999999999</v>
      </c>
      <c r="AH211" s="37" t="n">
        <v>88.55</v>
      </c>
      <c r="AI211" s="37" t="n">
        <v>88.15000000000001</v>
      </c>
      <c r="AJ211" s="37" t="n">
        <v>91.15000000000001</v>
      </c>
      <c r="AK211" s="37" t="n">
        <v>88.87</v>
      </c>
      <c r="AL211" s="37" t="n">
        <v>72.52</v>
      </c>
      <c r="AM211" s="37" t="n">
        <v>98.42</v>
      </c>
      <c r="AN211" s="37" t="n">
        <v>90.45999999999999</v>
      </c>
      <c r="AO211" s="37" t="n">
        <v>88.55</v>
      </c>
      <c r="AP211" s="37" t="n">
        <v>88.15000000000001</v>
      </c>
      <c r="AQ211" s="37" t="n">
        <v>91.15000000000001</v>
      </c>
      <c r="AR211" s="37" t="n">
        <v>88.87</v>
      </c>
      <c r="AS211" s="37" t="n">
        <v>72.52</v>
      </c>
      <c r="AT211" s="37" t="n">
        <v>98.42</v>
      </c>
      <c r="AU211" s="37" t="n">
        <v>90.45999999999999</v>
      </c>
      <c r="AV211" s="37" t="n">
        <v>88.55</v>
      </c>
      <c r="AW211" s="37" t="n">
        <v>88.15000000000001</v>
      </c>
      <c r="AX211" s="37" t="n">
        <v>91.15000000000001</v>
      </c>
      <c r="AY211" s="37" t="n">
        <v>88.87</v>
      </c>
      <c r="AZ211" s="37" t="n">
        <v>72.52</v>
      </c>
      <c r="BA211" s="37" t="n">
        <v>93.48999999999999</v>
      </c>
      <c r="BB211" s="37" t="n">
        <v>83.32000000000001</v>
      </c>
      <c r="BC211" s="37" t="n">
        <v>51.18</v>
      </c>
      <c r="BD211" s="37" t="n">
        <v>39.96</v>
      </c>
      <c r="BE211" s="37" t="n">
        <v>85.72</v>
      </c>
      <c r="BF211" s="37" t="n">
        <v>83.48</v>
      </c>
      <c r="BG211" s="37" t="n">
        <v>74.89999999999999</v>
      </c>
      <c r="BH211" s="37" t="n">
        <v>101.61</v>
      </c>
      <c r="BI211" s="37" t="n">
        <v>93.37</v>
      </c>
      <c r="BJ211" s="37" t="n">
        <v>106.01</v>
      </c>
      <c r="BK211" s="37" t="n">
        <v>91.06</v>
      </c>
      <c r="BL211" s="37" t="n">
        <v>94.09999999999999</v>
      </c>
      <c r="BM211" s="37" t="n">
        <v>91.78</v>
      </c>
      <c r="BN211" s="37" t="n">
        <v>74.89999999999999</v>
      </c>
      <c r="BO211" s="37" t="n">
        <v>101.61</v>
      </c>
      <c r="BP211" s="37" t="n">
        <v>93.37</v>
      </c>
      <c r="BQ211" s="37" t="n">
        <v>91.45999999999999</v>
      </c>
      <c r="BR211" s="37" t="n">
        <v>91.06</v>
      </c>
      <c r="BS211" s="37" t="n">
        <v>94.09999999999999</v>
      </c>
      <c r="BT211" s="37" t="n">
        <v>91.78</v>
      </c>
      <c r="BU211" s="37" t="n">
        <v>74.89999999999999</v>
      </c>
      <c r="BV211" s="37" t="n">
        <v>101.61</v>
      </c>
      <c r="BW211" s="37" t="n">
        <v>93.37</v>
      </c>
      <c r="BX211" s="37" t="n">
        <v>91.45999999999999</v>
      </c>
      <c r="BY211" s="37" t="n">
        <v>91.06</v>
      </c>
      <c r="BZ211" s="37" t="n">
        <v>94.09999999999999</v>
      </c>
      <c r="CA211" s="37" t="n">
        <v>91.78</v>
      </c>
      <c r="CB211" s="37" t="n">
        <v>74.89999999999999</v>
      </c>
      <c r="CC211" s="37" t="n">
        <v>6237.94</v>
      </c>
    </row>
    <row r="212" ht="15.75" customHeight="1" s="57">
      <c r="A212" s="7" t="inlineStr">
        <is>
          <t>NTB</t>
        </is>
      </c>
      <c r="B212" s="7" t="inlineStr">
        <is>
          <t>Khánh Hòa</t>
        </is>
      </c>
      <c r="C212" s="7" t="n">
        <v>22704000</v>
      </c>
      <c r="D212" s="7" t="inlineStr">
        <is>
          <t>(KHO) Nam Nha Trang 2</t>
        </is>
      </c>
      <c r="E212" s="7" t="inlineStr">
        <is>
          <t>SME-Bulky</t>
        </is>
      </c>
      <c r="F212" s="36" t="n">
        <v>2</v>
      </c>
      <c r="G212" s="36" t="n">
        <v>3</v>
      </c>
      <c r="H212" s="36" t="n">
        <v>3</v>
      </c>
      <c r="I212" s="36" t="n">
        <v>1</v>
      </c>
      <c r="J212" s="36" t="n">
        <v>1</v>
      </c>
      <c r="K212" s="28" t="n">
        <v>1</v>
      </c>
      <c r="L212" s="36" t="n">
        <v>2</v>
      </c>
      <c r="M212" s="36" t="n">
        <v>9</v>
      </c>
      <c r="N212" s="36" t="n">
        <v>3</v>
      </c>
      <c r="O212" s="36" t="n">
        <v>3</v>
      </c>
      <c r="P212" s="36" t="n">
        <v>0</v>
      </c>
      <c r="Q212" s="36" t="n">
        <v>0</v>
      </c>
      <c r="R212" s="28" t="n">
        <v>0</v>
      </c>
      <c r="S212" s="36" t="n">
        <v>2</v>
      </c>
      <c r="T212" s="36" t="n">
        <v>4</v>
      </c>
      <c r="U212" s="36" t="n">
        <v>2.64</v>
      </c>
      <c r="V212" s="36" t="n">
        <v>2.72</v>
      </c>
      <c r="W212" s="36" t="n">
        <v>2.57</v>
      </c>
      <c r="X212" s="36" t="n">
        <v>1.76</v>
      </c>
      <c r="Y212" s="28" t="n">
        <v>2.9</v>
      </c>
      <c r="Z212" s="36" t="n">
        <v>2.77</v>
      </c>
      <c r="AA212" s="36" t="n">
        <v>2.75</v>
      </c>
      <c r="AB212" s="36" t="n">
        <v>2.64</v>
      </c>
      <c r="AC212" s="36" t="n">
        <v>2.72</v>
      </c>
      <c r="AD212" s="36" t="n">
        <v>1.76</v>
      </c>
      <c r="AE212" s="36" t="n">
        <v>1.76</v>
      </c>
      <c r="AF212" s="28" t="n">
        <v>2.9</v>
      </c>
      <c r="AG212" s="36" t="n">
        <v>2.77</v>
      </c>
      <c r="AH212" s="37" t="n">
        <v>2.75</v>
      </c>
      <c r="AI212" s="37" t="n">
        <v>2.64</v>
      </c>
      <c r="AJ212" s="37" t="n">
        <v>2.72</v>
      </c>
      <c r="AK212" s="37" t="n">
        <v>2.57</v>
      </c>
      <c r="AL212" s="37" t="n">
        <v>1.76</v>
      </c>
      <c r="AM212" s="37" t="n">
        <v>2.9</v>
      </c>
      <c r="AN212" s="37" t="n">
        <v>2.77</v>
      </c>
      <c r="AO212" s="37" t="n">
        <v>2.75</v>
      </c>
      <c r="AP212" s="37" t="n">
        <v>2.64</v>
      </c>
      <c r="AQ212" s="37" t="n">
        <v>2.72</v>
      </c>
      <c r="AR212" s="37" t="n">
        <v>2.57</v>
      </c>
      <c r="AS212" s="37" t="n">
        <v>1.76</v>
      </c>
      <c r="AT212" s="37" t="n">
        <v>2.9</v>
      </c>
      <c r="AU212" s="37" t="n">
        <v>2.77</v>
      </c>
      <c r="AV212" s="37" t="n">
        <v>2.75</v>
      </c>
      <c r="AW212" s="37" t="n">
        <v>2.64</v>
      </c>
      <c r="AX212" s="37" t="n">
        <v>2.72</v>
      </c>
      <c r="AY212" s="37" t="n">
        <v>2.57</v>
      </c>
      <c r="AZ212" s="37" t="n">
        <v>1.76</v>
      </c>
      <c r="BA212" s="37" t="n">
        <v>3.15</v>
      </c>
      <c r="BB212" s="37" t="n">
        <v>1.61</v>
      </c>
      <c r="BC212" s="37" t="n">
        <v>0.82</v>
      </c>
      <c r="BD212" s="37" t="n">
        <v>0.62</v>
      </c>
      <c r="BE212" s="37" t="n">
        <v>1.5</v>
      </c>
      <c r="BF212" s="37" t="n">
        <v>1.48</v>
      </c>
      <c r="BG212" s="37" t="n">
        <v>0.97</v>
      </c>
      <c r="BH212" s="37" t="n">
        <v>1.67</v>
      </c>
      <c r="BI212" s="37" t="n">
        <v>1.61</v>
      </c>
      <c r="BJ212" s="37" t="n">
        <v>1.22</v>
      </c>
      <c r="BK212" s="37" t="n">
        <v>1.52</v>
      </c>
      <c r="BL212" s="37" t="n">
        <v>1.55</v>
      </c>
      <c r="BM212" s="37" t="n">
        <v>1.48</v>
      </c>
      <c r="BN212" s="37" t="n">
        <v>0.97</v>
      </c>
      <c r="BO212" s="37" t="n">
        <v>1.67</v>
      </c>
      <c r="BP212" s="37" t="n">
        <v>1.61</v>
      </c>
      <c r="BQ212" s="37" t="n">
        <v>1.57</v>
      </c>
      <c r="BR212" s="37" t="n">
        <v>1.52</v>
      </c>
      <c r="BS212" s="37" t="n">
        <v>1.55</v>
      </c>
      <c r="BT212" s="37" t="n">
        <v>1.48</v>
      </c>
      <c r="BU212" s="37" t="n">
        <v>0.97</v>
      </c>
      <c r="BV212" s="37" t="n">
        <v>1.67</v>
      </c>
      <c r="BW212" s="37" t="n">
        <v>1.61</v>
      </c>
      <c r="BX212" s="37" t="n">
        <v>1.57</v>
      </c>
      <c r="BY212" s="37" t="n">
        <v>1.52</v>
      </c>
      <c r="BZ212" s="37" t="n">
        <v>1.55</v>
      </c>
      <c r="CA212" s="37" t="n">
        <v>1.48</v>
      </c>
      <c r="CB212" s="37" t="n">
        <v>0.97</v>
      </c>
      <c r="CC212" s="37" t="n">
        <v>156.23</v>
      </c>
    </row>
    <row r="213" ht="15.75" customHeight="1" s="57">
      <c r="A213" s="7" t="inlineStr">
        <is>
          <t>NTB</t>
        </is>
      </c>
      <c r="B213" s="7" t="inlineStr">
        <is>
          <t>Khánh Hòa</t>
        </is>
      </c>
      <c r="C213" s="7" t="n">
        <v>22704000</v>
      </c>
      <c r="D213" s="7" t="inlineStr">
        <is>
          <t>(KHO) Nam Nha Trang 2</t>
        </is>
      </c>
      <c r="E213" s="7" t="inlineStr">
        <is>
          <t>Shopee</t>
        </is>
      </c>
      <c r="F213" s="36" t="n">
        <v>41</v>
      </c>
      <c r="G213" s="36" t="n">
        <v>49</v>
      </c>
      <c r="H213" s="36" t="n">
        <v>30</v>
      </c>
      <c r="I213" s="36" t="n">
        <v>55</v>
      </c>
      <c r="J213" s="36" t="n">
        <v>23</v>
      </c>
      <c r="K213" s="28" t="n">
        <v>43</v>
      </c>
      <c r="L213" s="36" t="n">
        <v>48</v>
      </c>
      <c r="M213" s="36" t="n">
        <v>40</v>
      </c>
      <c r="N213" s="36" t="n">
        <v>24</v>
      </c>
      <c r="O213" s="36" t="n">
        <v>34</v>
      </c>
      <c r="P213" s="36" t="n">
        <v>33</v>
      </c>
      <c r="Q213" s="36" t="n">
        <v>36</v>
      </c>
      <c r="R213" s="28" t="n">
        <v>32</v>
      </c>
      <c r="S213" s="36" t="n">
        <v>30</v>
      </c>
      <c r="T213" s="36" t="n">
        <v>52</v>
      </c>
      <c r="U213" s="36" t="n">
        <v>43.9</v>
      </c>
      <c r="V213" s="36" t="n">
        <v>44.1</v>
      </c>
      <c r="W213" s="36" t="n">
        <v>42.56</v>
      </c>
      <c r="X213" s="36" t="n">
        <v>36.65</v>
      </c>
      <c r="Y213" s="28" t="n">
        <v>59.2</v>
      </c>
      <c r="Z213" s="36" t="n">
        <v>46.79</v>
      </c>
      <c r="AA213" s="36" t="n">
        <v>57.12</v>
      </c>
      <c r="AB213" s="36" t="n">
        <v>44.91</v>
      </c>
      <c r="AC213" s="36" t="n">
        <v>36.31</v>
      </c>
      <c r="AD213" s="36" t="n">
        <v>83.56999999999999</v>
      </c>
      <c r="AE213" s="36" t="n">
        <v>38.87</v>
      </c>
      <c r="AF213" s="28" t="n">
        <v>65.45</v>
      </c>
      <c r="AG213" s="36" t="n">
        <v>49.14</v>
      </c>
      <c r="AH213" s="37" t="n">
        <v>52.16</v>
      </c>
      <c r="AI213" s="37" t="n">
        <v>43.9</v>
      </c>
      <c r="AJ213" s="37" t="n">
        <v>44.1</v>
      </c>
      <c r="AK213" s="37" t="n">
        <v>46.65</v>
      </c>
      <c r="AL213" s="37" t="n">
        <v>65.65000000000001</v>
      </c>
      <c r="AM213" s="37" t="n">
        <v>59.2</v>
      </c>
      <c r="AN213" s="37" t="n">
        <v>46.79</v>
      </c>
      <c r="AO213" s="37" t="n">
        <v>52.16</v>
      </c>
      <c r="AP213" s="37" t="n">
        <v>48.26</v>
      </c>
      <c r="AQ213" s="37" t="n">
        <v>35.44</v>
      </c>
      <c r="AR213" s="37" t="n">
        <v>42.56</v>
      </c>
      <c r="AS213" s="37" t="n">
        <v>36.65</v>
      </c>
      <c r="AT213" s="37" t="n">
        <v>59.2</v>
      </c>
      <c r="AU213" s="37" t="n">
        <v>51.55</v>
      </c>
      <c r="AV213" s="37" t="n">
        <v>53.23</v>
      </c>
      <c r="AW213" s="37" t="n">
        <v>43.9</v>
      </c>
      <c r="AX213" s="37" t="n">
        <v>44.1</v>
      </c>
      <c r="AY213" s="37" t="n">
        <v>42.56</v>
      </c>
      <c r="AZ213" s="37" t="n">
        <v>36.65</v>
      </c>
      <c r="BA213" s="37" t="n">
        <v>50.68</v>
      </c>
      <c r="BB213" s="37" t="n">
        <v>35.17</v>
      </c>
      <c r="BC213" s="37" t="n">
        <v>15.71</v>
      </c>
      <c r="BD213" s="37" t="n">
        <v>26.38</v>
      </c>
      <c r="BE213" s="37" t="n">
        <v>52.83</v>
      </c>
      <c r="BF213" s="37" t="n">
        <v>50.81</v>
      </c>
      <c r="BG213" s="37" t="n">
        <v>35.91</v>
      </c>
      <c r="BH213" s="37" t="n">
        <v>56.39</v>
      </c>
      <c r="BI213" s="37" t="n">
        <v>36.85</v>
      </c>
      <c r="BJ213" s="37" t="n">
        <v>117.94</v>
      </c>
      <c r="BK213" s="37" t="n">
        <v>44.97</v>
      </c>
      <c r="BL213" s="37" t="n">
        <v>44.3</v>
      </c>
      <c r="BM213" s="37" t="n">
        <v>40.75</v>
      </c>
      <c r="BN213" s="37" t="n">
        <v>35.24</v>
      </c>
      <c r="BO213" s="37" t="n">
        <v>56.39</v>
      </c>
      <c r="BP213" s="37" t="n">
        <v>49.27</v>
      </c>
      <c r="BQ213" s="37" t="n">
        <v>75.72</v>
      </c>
      <c r="BR213" s="37" t="n">
        <v>42.02</v>
      </c>
      <c r="BS213" s="37" t="n">
        <v>42.22</v>
      </c>
      <c r="BT213" s="37" t="n">
        <v>40.75</v>
      </c>
      <c r="BU213" s="37" t="n">
        <v>38.53</v>
      </c>
      <c r="BV213" s="37" t="n">
        <v>45.51</v>
      </c>
      <c r="BW213" s="37" t="n">
        <v>44.71</v>
      </c>
      <c r="BX213" s="37" t="n">
        <v>49.74</v>
      </c>
      <c r="BY213" s="37" t="n">
        <v>42.02</v>
      </c>
      <c r="BZ213" s="37" t="n">
        <v>46.32</v>
      </c>
      <c r="CA213" s="37" t="n">
        <v>41.35</v>
      </c>
      <c r="CB213" s="37" t="n">
        <v>35.24</v>
      </c>
      <c r="CC213" s="37" t="n">
        <v>3417</v>
      </c>
    </row>
    <row r="214" ht="15.75" customHeight="1" s="57">
      <c r="A214" s="7" t="inlineStr">
        <is>
          <t>NTB</t>
        </is>
      </c>
      <c r="B214" s="7" t="inlineStr">
        <is>
          <t>Khánh Hòa</t>
        </is>
      </c>
      <c r="C214" s="7" t="n">
        <v>22704000</v>
      </c>
      <c r="D214" s="7" t="inlineStr">
        <is>
          <t>(KHO) Nam Nha Trang 2</t>
        </is>
      </c>
      <c r="E214" s="7" t="inlineStr">
        <is>
          <t>Shopee-Bulky</t>
        </is>
      </c>
      <c r="F214" s="36" t="n">
        <v>4.58</v>
      </c>
      <c r="G214" s="36" t="n">
        <v>0.57</v>
      </c>
      <c r="H214" s="36" t="n">
        <v>0.57</v>
      </c>
      <c r="I214" s="36" t="n">
        <v>0.57</v>
      </c>
      <c r="J214" s="36" t="n">
        <v>1.14</v>
      </c>
      <c r="K214" s="28" t="n">
        <v>8.58</v>
      </c>
      <c r="L214" s="36" t="n">
        <v>4.58</v>
      </c>
      <c r="M214" s="36" t="n">
        <v>1.72</v>
      </c>
      <c r="N214" s="36" t="n">
        <v>1.14</v>
      </c>
      <c r="O214" s="36" t="n">
        <v>0</v>
      </c>
      <c r="P214" s="36" t="n">
        <v>2.29</v>
      </c>
      <c r="Q214" s="36" t="n">
        <v>2.29</v>
      </c>
      <c r="R214" s="28" t="n">
        <v>0.57</v>
      </c>
      <c r="S214" s="36" t="n">
        <v>0.57</v>
      </c>
      <c r="T214" s="36" t="n">
        <v>1.14</v>
      </c>
      <c r="U214" s="36" t="n">
        <v>1.98</v>
      </c>
      <c r="V214" s="36" t="n">
        <v>1.85</v>
      </c>
      <c r="W214" s="36" t="n">
        <v>2.22</v>
      </c>
      <c r="X214" s="36" t="n">
        <v>1.17</v>
      </c>
      <c r="Y214" s="28" t="n">
        <v>2.96</v>
      </c>
      <c r="Z214" s="36" t="n">
        <v>2.28</v>
      </c>
      <c r="AA214" s="36" t="n">
        <v>3.33</v>
      </c>
      <c r="AB214" s="36" t="n">
        <v>2.28</v>
      </c>
      <c r="AC214" s="36" t="n">
        <v>2.41</v>
      </c>
      <c r="AD214" s="36" t="n">
        <v>8.949999999999999</v>
      </c>
      <c r="AE214" s="36" t="n">
        <v>6.05</v>
      </c>
      <c r="AF214" s="28" t="n">
        <v>7.04</v>
      </c>
      <c r="AG214" s="36" t="n">
        <v>3.15</v>
      </c>
      <c r="AH214" s="37" t="n">
        <v>2.28</v>
      </c>
      <c r="AI214" s="37" t="n">
        <v>2.22</v>
      </c>
      <c r="AJ214" s="37" t="n">
        <v>2.04</v>
      </c>
      <c r="AK214" s="37" t="n">
        <v>4.45</v>
      </c>
      <c r="AL214" s="37" t="n">
        <v>2.53</v>
      </c>
      <c r="AM214" s="37" t="n">
        <v>3.77</v>
      </c>
      <c r="AN214" s="37" t="n">
        <v>2.28</v>
      </c>
      <c r="AO214" s="37" t="n">
        <v>2.16</v>
      </c>
      <c r="AP214" s="37" t="n">
        <v>3.89</v>
      </c>
      <c r="AQ214" s="37" t="n">
        <v>2.78</v>
      </c>
      <c r="AR214" s="37" t="n">
        <v>1.91</v>
      </c>
      <c r="AS214" s="37" t="n">
        <v>0.99</v>
      </c>
      <c r="AT214" s="37" t="n">
        <v>2.78</v>
      </c>
      <c r="AU214" s="37" t="n">
        <v>4.69</v>
      </c>
      <c r="AV214" s="37" t="n">
        <v>4.69</v>
      </c>
      <c r="AW214" s="37" t="n">
        <v>2.16</v>
      </c>
      <c r="AX214" s="37" t="n">
        <v>2.04</v>
      </c>
      <c r="AY214" s="37" t="n">
        <v>1.85</v>
      </c>
      <c r="AZ214" s="37" t="n">
        <v>0.99</v>
      </c>
      <c r="BA214" s="37" t="n">
        <v>2.59</v>
      </c>
      <c r="BB214" s="37" t="n">
        <v>1.79</v>
      </c>
      <c r="BC214" s="37" t="n">
        <v>0.5600000000000001</v>
      </c>
      <c r="BD214" s="37" t="n">
        <v>0.86</v>
      </c>
      <c r="BE214" s="37" t="n">
        <v>2.96</v>
      </c>
      <c r="BF214" s="37" t="n">
        <v>2.53</v>
      </c>
      <c r="BG214" s="37" t="n">
        <v>1.3</v>
      </c>
      <c r="BH214" s="37" t="n">
        <v>3.15</v>
      </c>
      <c r="BI214" s="37" t="n">
        <v>2.84</v>
      </c>
      <c r="BJ214" s="37" t="n">
        <v>18.03</v>
      </c>
      <c r="BK214" s="37" t="n">
        <v>6.05</v>
      </c>
      <c r="BL214" s="37" t="n">
        <v>3.15</v>
      </c>
      <c r="BM214" s="37" t="n">
        <v>2.16</v>
      </c>
      <c r="BN214" s="37" t="n">
        <v>1.3</v>
      </c>
      <c r="BO214" s="37" t="n">
        <v>3.77</v>
      </c>
      <c r="BP214" s="37" t="n">
        <v>5.68</v>
      </c>
      <c r="BQ214" s="37" t="n">
        <v>4.14</v>
      </c>
      <c r="BR214" s="37" t="n">
        <v>2.72</v>
      </c>
      <c r="BS214" s="37" t="n">
        <v>2.53</v>
      </c>
      <c r="BT214" s="37" t="n">
        <v>1.79</v>
      </c>
      <c r="BU214" s="37" t="n">
        <v>3.15</v>
      </c>
      <c r="BV214" s="37" t="n">
        <v>3.46</v>
      </c>
      <c r="BW214" s="37" t="n">
        <v>2.84</v>
      </c>
      <c r="BX214" s="37" t="n">
        <v>2.72</v>
      </c>
      <c r="BY214" s="37" t="n">
        <v>2.72</v>
      </c>
      <c r="BZ214" s="37" t="n">
        <v>3.83</v>
      </c>
      <c r="CA214" s="37" t="n">
        <v>2.53</v>
      </c>
      <c r="CB214" s="37" t="n">
        <v>1.3</v>
      </c>
      <c r="CC214" s="37" t="n">
        <v>218.9300000000001</v>
      </c>
    </row>
    <row r="215" ht="15.75" customHeight="1" s="57">
      <c r="A215" s="7" t="inlineStr">
        <is>
          <t>NTB</t>
        </is>
      </c>
      <c r="B215" s="7" t="inlineStr">
        <is>
          <t>Khánh Hòa</t>
        </is>
      </c>
      <c r="C215" s="7" t="n">
        <v>22704000</v>
      </c>
      <c r="D215" s="7" t="inlineStr">
        <is>
          <t>(KHO) Nam Nha Trang 2</t>
        </is>
      </c>
      <c r="E215" s="7" t="inlineStr">
        <is>
          <t>Shopee-Bulky (10-15kg)</t>
        </is>
      </c>
      <c r="F215" s="36" t="n">
        <v>3.42</v>
      </c>
      <c r="G215" s="36" t="n">
        <v>0.43</v>
      </c>
      <c r="H215" s="36" t="n">
        <v>0.43</v>
      </c>
      <c r="I215" s="36" t="n">
        <v>0.43</v>
      </c>
      <c r="J215" s="36" t="n">
        <v>0.86</v>
      </c>
      <c r="K215" s="28" t="n">
        <v>6.42</v>
      </c>
      <c r="L215" s="36" t="n">
        <v>3.42</v>
      </c>
      <c r="M215" s="36" t="n">
        <v>1.28</v>
      </c>
      <c r="N215" s="36" t="n">
        <v>0.86</v>
      </c>
      <c r="O215" s="36" t="n">
        <v>0</v>
      </c>
      <c r="P215" s="36" t="n">
        <v>1.71</v>
      </c>
      <c r="Q215" s="36" t="n">
        <v>1.71</v>
      </c>
      <c r="R215" s="28" t="n">
        <v>0.43</v>
      </c>
      <c r="S215" s="36" t="n">
        <v>0.43</v>
      </c>
      <c r="T215" s="36" t="n">
        <v>0.86</v>
      </c>
      <c r="U215" s="36" t="n">
        <v>1.42</v>
      </c>
      <c r="V215" s="36" t="n">
        <v>1.48</v>
      </c>
      <c r="W215" s="36" t="n">
        <v>1.79</v>
      </c>
      <c r="X215" s="36" t="n">
        <v>1.11</v>
      </c>
      <c r="Y215" s="28" t="n">
        <v>1.91</v>
      </c>
      <c r="Z215" s="36" t="n">
        <v>1.48</v>
      </c>
      <c r="AA215" s="36" t="n">
        <v>2.1</v>
      </c>
      <c r="AB215" s="36" t="n">
        <v>1.48</v>
      </c>
      <c r="AC215" s="36" t="n">
        <v>1.73</v>
      </c>
      <c r="AD215" s="36" t="n">
        <v>7.78</v>
      </c>
      <c r="AE215" s="36" t="n">
        <v>4.2</v>
      </c>
      <c r="AF215" s="28" t="n">
        <v>4.38</v>
      </c>
      <c r="AG215" s="36" t="n">
        <v>2.35</v>
      </c>
      <c r="AH215" s="37" t="n">
        <v>1.48</v>
      </c>
      <c r="AI215" s="37" t="n">
        <v>1.61</v>
      </c>
      <c r="AJ215" s="37" t="n">
        <v>1.54</v>
      </c>
      <c r="AK215" s="37" t="n">
        <v>3.09</v>
      </c>
      <c r="AL215" s="37" t="n">
        <v>1.85</v>
      </c>
      <c r="AM215" s="37" t="n">
        <v>2.47</v>
      </c>
      <c r="AN215" s="37" t="n">
        <v>1.48</v>
      </c>
      <c r="AO215" s="37" t="n">
        <v>1.48</v>
      </c>
      <c r="AP215" s="37" t="n">
        <v>2.35</v>
      </c>
      <c r="AQ215" s="37" t="n">
        <v>2.04</v>
      </c>
      <c r="AR215" s="37" t="n">
        <v>1.54</v>
      </c>
      <c r="AS215" s="37" t="n">
        <v>0.86</v>
      </c>
      <c r="AT215" s="37" t="n">
        <v>1.85</v>
      </c>
      <c r="AU215" s="37" t="n">
        <v>3.4</v>
      </c>
      <c r="AV215" s="37" t="n">
        <v>3.27</v>
      </c>
      <c r="AW215" s="37" t="n">
        <v>1.48</v>
      </c>
      <c r="AX215" s="37" t="n">
        <v>1.48</v>
      </c>
      <c r="AY215" s="37" t="n">
        <v>1.54</v>
      </c>
      <c r="AZ215" s="37" t="n">
        <v>0.86</v>
      </c>
      <c r="BA215" s="37" t="n">
        <v>1.85</v>
      </c>
      <c r="BB215" s="37" t="n">
        <v>1.3</v>
      </c>
      <c r="BC215" s="37" t="n">
        <v>0.25</v>
      </c>
      <c r="BD215" s="37" t="n">
        <v>0.68</v>
      </c>
      <c r="BE215" s="37" t="n">
        <v>1.98</v>
      </c>
      <c r="BF215" s="37" t="n">
        <v>1.67</v>
      </c>
      <c r="BG215" s="37" t="n">
        <v>1.3</v>
      </c>
      <c r="BH215" s="37" t="n">
        <v>2.28</v>
      </c>
      <c r="BI215" s="37" t="n">
        <v>1.73</v>
      </c>
      <c r="BJ215" s="37" t="n">
        <v>10.19</v>
      </c>
      <c r="BK215" s="37" t="n">
        <v>3.52</v>
      </c>
      <c r="BL215" s="37" t="n">
        <v>2.28</v>
      </c>
      <c r="BM215" s="37" t="n">
        <v>1.48</v>
      </c>
      <c r="BN215" s="37" t="n">
        <v>1.17</v>
      </c>
      <c r="BO215" s="37" t="n">
        <v>2.59</v>
      </c>
      <c r="BP215" s="37" t="n">
        <v>3.77</v>
      </c>
      <c r="BQ215" s="37" t="n">
        <v>2.9</v>
      </c>
      <c r="BR215" s="37" t="n">
        <v>1.67</v>
      </c>
      <c r="BS215" s="37" t="n">
        <v>1.67</v>
      </c>
      <c r="BT215" s="37" t="n">
        <v>1.36</v>
      </c>
      <c r="BU215" s="37" t="n">
        <v>2.1</v>
      </c>
      <c r="BV215" s="37" t="n">
        <v>2.41</v>
      </c>
      <c r="BW215" s="37" t="n">
        <v>1.73</v>
      </c>
      <c r="BX215" s="37" t="n">
        <v>1.73</v>
      </c>
      <c r="BY215" s="37" t="n">
        <v>1.67</v>
      </c>
      <c r="BZ215" s="37" t="n">
        <v>2.9</v>
      </c>
      <c r="CA215" s="37" t="n">
        <v>1.85</v>
      </c>
      <c r="CB215" s="37" t="n">
        <v>1.17</v>
      </c>
      <c r="CC215" s="37" t="n">
        <v>152.77</v>
      </c>
    </row>
    <row r="216" ht="15.75" customHeight="1" s="57">
      <c r="A216" s="7" t="inlineStr">
        <is>
          <t>NTB</t>
        </is>
      </c>
      <c r="B216" s="7" t="inlineStr">
        <is>
          <t>Khánh Hòa</t>
        </is>
      </c>
      <c r="C216" s="7" t="n">
        <v>22704000</v>
      </c>
      <c r="D216" s="7" t="inlineStr">
        <is>
          <t>(KHO) Nam Nha Trang 2</t>
        </is>
      </c>
      <c r="E216" s="7" t="inlineStr">
        <is>
          <t>TTS</t>
        </is>
      </c>
      <c r="F216" s="36" t="n">
        <v>43</v>
      </c>
      <c r="G216" s="36" t="n">
        <v>19</v>
      </c>
      <c r="H216" s="36" t="n">
        <v>15</v>
      </c>
      <c r="I216" s="36" t="n">
        <v>10</v>
      </c>
      <c r="J216" s="36" t="n">
        <v>11</v>
      </c>
      <c r="K216" s="28" t="n">
        <v>14</v>
      </c>
      <c r="L216" s="36" t="n">
        <v>8</v>
      </c>
      <c r="M216" s="36" t="n">
        <v>9</v>
      </c>
      <c r="N216" s="36" t="n">
        <v>18</v>
      </c>
      <c r="O216" s="36" t="n">
        <v>16</v>
      </c>
      <c r="P216" s="36" t="n">
        <v>58</v>
      </c>
      <c r="Q216" s="36" t="n">
        <v>32</v>
      </c>
      <c r="R216" s="28" t="n">
        <v>15</v>
      </c>
      <c r="S216" s="36" t="n">
        <v>17</v>
      </c>
      <c r="T216" s="36" t="n">
        <v>18</v>
      </c>
      <c r="U216" s="36" t="n">
        <v>16.6</v>
      </c>
      <c r="V216" s="36" t="n">
        <v>16.24</v>
      </c>
      <c r="W216" s="36" t="n">
        <v>15.88</v>
      </c>
      <c r="X216" s="36" t="n">
        <v>12.81</v>
      </c>
      <c r="Y216" s="28" t="n">
        <v>18.6</v>
      </c>
      <c r="Z216" s="36" t="n">
        <v>15.86</v>
      </c>
      <c r="AA216" s="36" t="n">
        <v>17.83</v>
      </c>
      <c r="AB216" s="36" t="n">
        <v>19.58</v>
      </c>
      <c r="AC216" s="36" t="n">
        <v>20.68</v>
      </c>
      <c r="AD216" s="36" t="n">
        <v>19.77</v>
      </c>
      <c r="AE216" s="36" t="n">
        <v>14.85</v>
      </c>
      <c r="AF216" s="28" t="n">
        <v>19.18</v>
      </c>
      <c r="AG216" s="36" t="n">
        <v>16.19</v>
      </c>
      <c r="AH216" s="37" t="n">
        <v>16.03</v>
      </c>
      <c r="AI216" s="37" t="n">
        <v>18.55</v>
      </c>
      <c r="AJ216" s="37" t="n">
        <v>19.75</v>
      </c>
      <c r="AK216" s="37" t="n">
        <v>19.53</v>
      </c>
      <c r="AL216" s="37" t="n">
        <v>13.94</v>
      </c>
      <c r="AM216" s="37" t="n">
        <v>18.82</v>
      </c>
      <c r="AN216" s="37" t="n">
        <v>16.29</v>
      </c>
      <c r="AO216" s="37" t="n">
        <v>16.27</v>
      </c>
      <c r="AP216" s="37" t="n">
        <v>15.79</v>
      </c>
      <c r="AQ216" s="37" t="n">
        <v>15.93</v>
      </c>
      <c r="AR216" s="37" t="n">
        <v>15.69</v>
      </c>
      <c r="AS216" s="37" t="n">
        <v>12.84</v>
      </c>
      <c r="AT216" s="37" t="n">
        <v>20.36</v>
      </c>
      <c r="AU216" s="37" t="n">
        <v>18.52</v>
      </c>
      <c r="AV216" s="37" t="n">
        <v>16.46</v>
      </c>
      <c r="AW216" s="37" t="n">
        <v>15.67</v>
      </c>
      <c r="AX216" s="37" t="n">
        <v>15.4</v>
      </c>
      <c r="AY216" s="37" t="n">
        <v>15.45</v>
      </c>
      <c r="AZ216" s="37" t="n">
        <v>12.84</v>
      </c>
      <c r="BA216" s="37" t="n">
        <v>18.34</v>
      </c>
      <c r="BB216" s="37" t="n">
        <v>17.2</v>
      </c>
      <c r="BC216" s="37" t="n">
        <v>9.07</v>
      </c>
      <c r="BD216" s="37" t="n">
        <v>12.6</v>
      </c>
      <c r="BE216" s="37" t="n">
        <v>28.94</v>
      </c>
      <c r="BF216" s="37" t="n">
        <v>28.13</v>
      </c>
      <c r="BG216" s="37" t="n">
        <v>13.94</v>
      </c>
      <c r="BH216" s="37" t="n">
        <v>20.33</v>
      </c>
      <c r="BI216" s="37" t="n">
        <v>17.2</v>
      </c>
      <c r="BJ216" s="37" t="n">
        <v>15.14</v>
      </c>
      <c r="BK216" s="37" t="n">
        <v>17.49</v>
      </c>
      <c r="BL216" s="37" t="n">
        <v>17.49</v>
      </c>
      <c r="BM216" s="37" t="n">
        <v>16.99</v>
      </c>
      <c r="BN216" s="37" t="n">
        <v>13.94</v>
      </c>
      <c r="BO216" s="37" t="n">
        <v>20.33</v>
      </c>
      <c r="BP216" s="37" t="n">
        <v>17.2</v>
      </c>
      <c r="BQ216" s="37" t="n">
        <v>17.01</v>
      </c>
      <c r="BR216" s="37" t="n">
        <v>17.49</v>
      </c>
      <c r="BS216" s="37" t="n">
        <v>17.49</v>
      </c>
      <c r="BT216" s="37" t="n">
        <v>16.99</v>
      </c>
      <c r="BU216" s="37" t="n">
        <v>13.94</v>
      </c>
      <c r="BV216" s="37" t="n">
        <v>20.33</v>
      </c>
      <c r="BW216" s="37" t="n">
        <v>17.2</v>
      </c>
      <c r="BX216" s="37" t="n">
        <v>17.01</v>
      </c>
      <c r="BY216" s="37" t="n">
        <v>17.49</v>
      </c>
      <c r="BZ216" s="37" t="n">
        <v>17.49</v>
      </c>
      <c r="CA216" s="37" t="n">
        <v>16.99</v>
      </c>
      <c r="CB216" s="37" t="n">
        <v>13.94</v>
      </c>
      <c r="CC216" s="37" t="n">
        <v>1328.900000000001</v>
      </c>
    </row>
    <row r="217" ht="15.75" customHeight="1" s="57">
      <c r="A217" s="7" t="inlineStr">
        <is>
          <t>NTB</t>
        </is>
      </c>
      <c r="B217" s="7" t="inlineStr">
        <is>
          <t>Khánh Hòa</t>
        </is>
      </c>
      <c r="C217" s="7" t="n">
        <v>22704000</v>
      </c>
      <c r="D217" s="7" t="inlineStr">
        <is>
          <t>(KHO) Nam Nha Trang 2</t>
        </is>
      </c>
      <c r="E217" s="7" t="inlineStr">
        <is>
          <t>TTS-Bulky</t>
        </is>
      </c>
      <c r="F217" s="36" t="n">
        <v>0</v>
      </c>
      <c r="G217" s="36" t="n">
        <v>0</v>
      </c>
      <c r="H217" s="36" t="n">
        <v>0</v>
      </c>
      <c r="I217" s="36" t="n">
        <v>0</v>
      </c>
      <c r="J217" s="36" t="n">
        <v>0</v>
      </c>
      <c r="K217" s="28" t="n">
        <v>0</v>
      </c>
      <c r="L217" s="36" t="n">
        <v>0</v>
      </c>
      <c r="M217" s="36" t="n">
        <v>0</v>
      </c>
      <c r="N217" s="36" t="n">
        <v>0</v>
      </c>
      <c r="O217" s="36" t="n">
        <v>0</v>
      </c>
      <c r="P217" s="36" t="n">
        <v>0</v>
      </c>
      <c r="Q217" s="36" t="n">
        <v>0</v>
      </c>
      <c r="R217" s="28" t="n">
        <v>0</v>
      </c>
      <c r="S217" s="36" t="n">
        <v>1</v>
      </c>
      <c r="T217" s="36" t="n">
        <v>0</v>
      </c>
      <c r="U217" s="36" t="n">
        <v>0.08</v>
      </c>
      <c r="V217" s="36" t="n">
        <v>0.09</v>
      </c>
      <c r="W217" s="36" t="n">
        <v>0.04</v>
      </c>
      <c r="X217" s="36" t="n">
        <v>0.02</v>
      </c>
      <c r="Y217" s="28" t="n">
        <v>0.04</v>
      </c>
      <c r="Z217" s="36" t="n">
        <v>0.03</v>
      </c>
      <c r="AA217" s="36" t="n">
        <v>0.04</v>
      </c>
      <c r="AB217" s="36" t="n">
        <v>0.04</v>
      </c>
      <c r="AC217" s="36" t="n">
        <v>0.05</v>
      </c>
      <c r="AD217" s="36" t="n">
        <v>0.02</v>
      </c>
      <c r="AE217" s="36" t="n">
        <v>0.02</v>
      </c>
      <c r="AF217" s="28" t="n">
        <v>0.04</v>
      </c>
      <c r="AG217" s="36" t="n">
        <v>0.04</v>
      </c>
      <c r="AH217" s="37" t="n">
        <v>0.04</v>
      </c>
      <c r="AI217" s="37" t="n">
        <v>0.04</v>
      </c>
      <c r="AJ217" s="37" t="n">
        <v>0.04</v>
      </c>
      <c r="AK217" s="37" t="n">
        <v>0.04</v>
      </c>
      <c r="AL217" s="37" t="n">
        <v>0.02</v>
      </c>
      <c r="AM217" s="37" t="n">
        <v>0.04</v>
      </c>
      <c r="AN217" s="37" t="n">
        <v>0.04</v>
      </c>
      <c r="AO217" s="37" t="n">
        <v>0.04</v>
      </c>
      <c r="AP217" s="37" t="n">
        <v>0.04</v>
      </c>
      <c r="AQ217" s="37" t="n">
        <v>0.04</v>
      </c>
      <c r="AR217" s="37" t="n">
        <v>0.04</v>
      </c>
      <c r="AS217" s="37" t="n">
        <v>0.02</v>
      </c>
      <c r="AT217" s="37" t="n">
        <v>0.05</v>
      </c>
      <c r="AU217" s="37" t="n">
        <v>0.05</v>
      </c>
      <c r="AV217" s="37" t="n">
        <v>0.04</v>
      </c>
      <c r="AW217" s="37" t="n">
        <v>0.04</v>
      </c>
      <c r="AX217" s="37" t="n">
        <v>0.04</v>
      </c>
      <c r="AY217" s="37" t="n">
        <v>0.04</v>
      </c>
      <c r="AZ217" s="37" t="n">
        <v>0.02</v>
      </c>
      <c r="BA217" s="37" t="n">
        <v>0.04</v>
      </c>
      <c r="BB217" s="37" t="n">
        <v>0.01</v>
      </c>
      <c r="BC217" s="37" t="n">
        <v>0.01</v>
      </c>
      <c r="BD217" s="37" t="n">
        <v>0.01</v>
      </c>
      <c r="BE217" s="37" t="n">
        <v>0.01</v>
      </c>
      <c r="BF217" s="37" t="n">
        <v>0.01</v>
      </c>
      <c r="BG217" s="37" t="n">
        <v>0.01</v>
      </c>
      <c r="BH217" s="37" t="n">
        <v>0.01</v>
      </c>
      <c r="BI217" s="37" t="n">
        <v>0.01</v>
      </c>
      <c r="BJ217" s="37" t="n">
        <v>0.01</v>
      </c>
      <c r="BK217" s="37" t="n">
        <v>0.01</v>
      </c>
      <c r="BL217" s="37" t="n">
        <v>0.01</v>
      </c>
      <c r="BM217" s="37" t="n">
        <v>0.01</v>
      </c>
      <c r="BN217" s="37" t="n">
        <v>0.01</v>
      </c>
      <c r="BO217" s="37" t="n">
        <v>0.02</v>
      </c>
      <c r="BP217" s="37" t="n">
        <v>0.01</v>
      </c>
      <c r="BQ217" s="37" t="n">
        <v>0.01</v>
      </c>
      <c r="BR217" s="37" t="n">
        <v>0.01</v>
      </c>
      <c r="BS217" s="37" t="n">
        <v>0.01</v>
      </c>
      <c r="BT217" s="37" t="n">
        <v>0.01</v>
      </c>
      <c r="BU217" s="37" t="n">
        <v>0.01</v>
      </c>
      <c r="BV217" s="37" t="n">
        <v>0.01</v>
      </c>
      <c r="BW217" s="37" t="n">
        <v>0.01</v>
      </c>
      <c r="BX217" s="37" t="n">
        <v>0.01</v>
      </c>
      <c r="BY217" s="37" t="n">
        <v>0.01</v>
      </c>
      <c r="BZ217" s="37" t="n">
        <v>0.01</v>
      </c>
      <c r="CA217" s="37" t="n">
        <v>0.01</v>
      </c>
      <c r="CB217" s="37" t="n">
        <v>0.01</v>
      </c>
      <c r="CC217" s="37" t="n">
        <v>2.589999999999995</v>
      </c>
    </row>
    <row r="218" ht="15.75" customHeight="1" s="57">
      <c r="A218" s="7" t="inlineStr">
        <is>
          <t>NTB</t>
        </is>
      </c>
      <c r="B218" s="7" t="inlineStr">
        <is>
          <t>Khánh Hòa</t>
        </is>
      </c>
      <c r="C218" s="7" t="n">
        <v>22746000</v>
      </c>
      <c r="D218" s="7" t="inlineStr">
        <is>
          <t>(KHO) Nam Nha Trang 1</t>
        </is>
      </c>
      <c r="E218" s="7" t="inlineStr">
        <is>
          <t>SME</t>
        </is>
      </c>
      <c r="F218" s="36" t="n">
        <v>108</v>
      </c>
      <c r="G218" s="36" t="n">
        <v>86</v>
      </c>
      <c r="H218" s="36" t="n">
        <v>149</v>
      </c>
      <c r="I218" s="36" t="n">
        <v>60</v>
      </c>
      <c r="J218" s="36" t="n">
        <v>118</v>
      </c>
      <c r="K218" s="28" t="n">
        <v>117</v>
      </c>
      <c r="L218" s="36" t="n">
        <v>124</v>
      </c>
      <c r="M218" s="36" t="n">
        <v>69</v>
      </c>
      <c r="N218" s="36" t="n">
        <v>137</v>
      </c>
      <c r="O218" s="36" t="n">
        <v>106</v>
      </c>
      <c r="P218" s="36" t="n">
        <v>91</v>
      </c>
      <c r="Q218" s="36" t="n">
        <v>140</v>
      </c>
      <c r="R218" s="28" t="n">
        <v>117</v>
      </c>
      <c r="S218" s="36" t="n">
        <v>107</v>
      </c>
      <c r="T218" s="36" t="n">
        <v>92</v>
      </c>
      <c r="U218" s="36" t="n">
        <v>159.5</v>
      </c>
      <c r="V218" s="36" t="n">
        <v>165.03</v>
      </c>
      <c r="W218" s="36" t="n">
        <v>160.81</v>
      </c>
      <c r="X218" s="36" t="n">
        <v>131</v>
      </c>
      <c r="Y218" s="28" t="n">
        <v>178.1</v>
      </c>
      <c r="Z218" s="36" t="n">
        <v>163.73</v>
      </c>
      <c r="AA218" s="36" t="n">
        <v>160.25</v>
      </c>
      <c r="AB218" s="36" t="n">
        <v>159.5</v>
      </c>
      <c r="AC218" s="36" t="n">
        <v>165.03</v>
      </c>
      <c r="AD218" s="36" t="n">
        <v>186.71</v>
      </c>
      <c r="AE218" s="36" t="n">
        <v>131</v>
      </c>
      <c r="AF218" s="28" t="n">
        <v>178.1</v>
      </c>
      <c r="AG218" s="36" t="n">
        <v>163.73</v>
      </c>
      <c r="AH218" s="37" t="n">
        <v>160.25</v>
      </c>
      <c r="AI218" s="37" t="n">
        <v>159.5</v>
      </c>
      <c r="AJ218" s="37" t="n">
        <v>165.03</v>
      </c>
      <c r="AK218" s="37" t="n">
        <v>160.81</v>
      </c>
      <c r="AL218" s="37" t="n">
        <v>131</v>
      </c>
      <c r="AM218" s="37" t="n">
        <v>178.1</v>
      </c>
      <c r="AN218" s="37" t="n">
        <v>163.73</v>
      </c>
      <c r="AO218" s="37" t="n">
        <v>160.25</v>
      </c>
      <c r="AP218" s="37" t="n">
        <v>159.5</v>
      </c>
      <c r="AQ218" s="37" t="n">
        <v>165.03</v>
      </c>
      <c r="AR218" s="37" t="n">
        <v>160.81</v>
      </c>
      <c r="AS218" s="37" t="n">
        <v>131</v>
      </c>
      <c r="AT218" s="37" t="n">
        <v>178.1</v>
      </c>
      <c r="AU218" s="37" t="n">
        <v>163.73</v>
      </c>
      <c r="AV218" s="37" t="n">
        <v>160.25</v>
      </c>
      <c r="AW218" s="37" t="n">
        <v>159.5</v>
      </c>
      <c r="AX218" s="37" t="n">
        <v>165.03</v>
      </c>
      <c r="AY218" s="37" t="n">
        <v>160.81</v>
      </c>
      <c r="AZ218" s="37" t="n">
        <v>131</v>
      </c>
      <c r="BA218" s="37" t="n">
        <v>169.17</v>
      </c>
      <c r="BB218" s="37" t="n">
        <v>150.68</v>
      </c>
      <c r="BC218" s="37" t="n">
        <v>92.22</v>
      </c>
      <c r="BD218" s="37" t="n">
        <v>71.95999999999999</v>
      </c>
      <c r="BE218" s="37" t="n">
        <v>154.94</v>
      </c>
      <c r="BF218" s="37" t="n">
        <v>150.84</v>
      </c>
      <c r="BG218" s="37" t="n">
        <v>135.19</v>
      </c>
      <c r="BH218" s="37" t="n">
        <v>183.71</v>
      </c>
      <c r="BI218" s="37" t="n">
        <v>168.85</v>
      </c>
      <c r="BJ218" s="37" t="n">
        <v>191.71</v>
      </c>
      <c r="BK218" s="37" t="n">
        <v>164.62</v>
      </c>
      <c r="BL218" s="37" t="n">
        <v>170.21</v>
      </c>
      <c r="BM218" s="37" t="n">
        <v>165.92</v>
      </c>
      <c r="BN218" s="37" t="n">
        <v>135.19</v>
      </c>
      <c r="BO218" s="37" t="n">
        <v>183.71</v>
      </c>
      <c r="BP218" s="37" t="n">
        <v>168.85</v>
      </c>
      <c r="BQ218" s="37" t="n">
        <v>165.36</v>
      </c>
      <c r="BR218" s="37" t="n">
        <v>164.62</v>
      </c>
      <c r="BS218" s="37" t="n">
        <v>170.21</v>
      </c>
      <c r="BT218" s="37" t="n">
        <v>165.92</v>
      </c>
      <c r="BU218" s="37" t="n">
        <v>135.19</v>
      </c>
      <c r="BV218" s="37" t="n">
        <v>183.71</v>
      </c>
      <c r="BW218" s="37" t="n">
        <v>168.85</v>
      </c>
      <c r="BX218" s="37" t="n">
        <v>165.36</v>
      </c>
      <c r="BY218" s="37" t="n">
        <v>164.62</v>
      </c>
      <c r="BZ218" s="37" t="n">
        <v>170.21</v>
      </c>
      <c r="CA218" s="37" t="n">
        <v>165.92</v>
      </c>
      <c r="CB218" s="37" t="n">
        <v>135.19</v>
      </c>
      <c r="CC218" s="37" t="n">
        <v>11149.85</v>
      </c>
    </row>
    <row r="219" ht="15.75" customHeight="1" s="57">
      <c r="A219" s="7" t="inlineStr">
        <is>
          <t>NTB</t>
        </is>
      </c>
      <c r="B219" s="7" t="inlineStr">
        <is>
          <t>Khánh Hòa</t>
        </is>
      </c>
      <c r="C219" s="7" t="n">
        <v>22746000</v>
      </c>
      <c r="D219" s="7" t="inlineStr">
        <is>
          <t>(KHO) Nam Nha Trang 1</t>
        </is>
      </c>
      <c r="E219" s="7" t="inlineStr">
        <is>
          <t>SME-Bulky</t>
        </is>
      </c>
      <c r="F219" s="36" t="n">
        <v>5</v>
      </c>
      <c r="G219" s="36" t="n">
        <v>3</v>
      </c>
      <c r="H219" s="36" t="n">
        <v>16</v>
      </c>
      <c r="I219" s="36" t="n">
        <v>7</v>
      </c>
      <c r="J219" s="36" t="n">
        <v>10</v>
      </c>
      <c r="K219" s="28" t="n">
        <v>23</v>
      </c>
      <c r="L219" s="36" t="n">
        <v>23</v>
      </c>
      <c r="M219" s="36" t="n">
        <v>8</v>
      </c>
      <c r="N219" s="36" t="n">
        <v>15</v>
      </c>
      <c r="O219" s="36" t="n">
        <v>7</v>
      </c>
      <c r="P219" s="36" t="n">
        <v>13</v>
      </c>
      <c r="Q219" s="36" t="n">
        <v>11</v>
      </c>
      <c r="R219" s="28" t="n">
        <v>11</v>
      </c>
      <c r="S219" s="36" t="n">
        <v>12</v>
      </c>
      <c r="T219" s="36" t="n">
        <v>14</v>
      </c>
      <c r="U219" s="36" t="n">
        <v>9.81</v>
      </c>
      <c r="V219" s="36" t="n">
        <v>10.09</v>
      </c>
      <c r="W219" s="36" t="n">
        <v>9.529999999999999</v>
      </c>
      <c r="X219" s="36" t="n">
        <v>6.54</v>
      </c>
      <c r="Y219" s="28" t="n">
        <v>10.79</v>
      </c>
      <c r="Z219" s="36" t="n">
        <v>10.3</v>
      </c>
      <c r="AA219" s="36" t="n">
        <v>10.23</v>
      </c>
      <c r="AB219" s="36" t="n">
        <v>9.81</v>
      </c>
      <c r="AC219" s="36" t="n">
        <v>10.09</v>
      </c>
      <c r="AD219" s="36" t="n">
        <v>6.54</v>
      </c>
      <c r="AE219" s="36" t="n">
        <v>6.54</v>
      </c>
      <c r="AF219" s="28" t="n">
        <v>10.79</v>
      </c>
      <c r="AG219" s="36" t="n">
        <v>10.3</v>
      </c>
      <c r="AH219" s="37" t="n">
        <v>10.23</v>
      </c>
      <c r="AI219" s="37" t="n">
        <v>9.81</v>
      </c>
      <c r="AJ219" s="37" t="n">
        <v>10.09</v>
      </c>
      <c r="AK219" s="37" t="n">
        <v>9.529999999999999</v>
      </c>
      <c r="AL219" s="37" t="n">
        <v>6.54</v>
      </c>
      <c r="AM219" s="37" t="n">
        <v>10.79</v>
      </c>
      <c r="AN219" s="37" t="n">
        <v>10.3</v>
      </c>
      <c r="AO219" s="37" t="n">
        <v>10.23</v>
      </c>
      <c r="AP219" s="37" t="n">
        <v>9.81</v>
      </c>
      <c r="AQ219" s="37" t="n">
        <v>10.09</v>
      </c>
      <c r="AR219" s="37" t="n">
        <v>9.529999999999999</v>
      </c>
      <c r="AS219" s="37" t="n">
        <v>6.54</v>
      </c>
      <c r="AT219" s="37" t="n">
        <v>10.79</v>
      </c>
      <c r="AU219" s="37" t="n">
        <v>10.3</v>
      </c>
      <c r="AV219" s="37" t="n">
        <v>10.23</v>
      </c>
      <c r="AW219" s="37" t="n">
        <v>9.81</v>
      </c>
      <c r="AX219" s="37" t="n">
        <v>10.09</v>
      </c>
      <c r="AY219" s="37" t="n">
        <v>9.529999999999999</v>
      </c>
      <c r="AZ219" s="37" t="n">
        <v>6.54</v>
      </c>
      <c r="BA219" s="37" t="n">
        <v>11.69</v>
      </c>
      <c r="BB219" s="37" t="n">
        <v>5.98</v>
      </c>
      <c r="BC219" s="37" t="n">
        <v>3.06</v>
      </c>
      <c r="BD219" s="37" t="n">
        <v>2.3</v>
      </c>
      <c r="BE219" s="37" t="n">
        <v>5.57</v>
      </c>
      <c r="BF219" s="37" t="n">
        <v>5.5</v>
      </c>
      <c r="BG219" s="37" t="n">
        <v>3.62</v>
      </c>
      <c r="BH219" s="37" t="n">
        <v>6.19</v>
      </c>
      <c r="BI219" s="37" t="n">
        <v>5.98</v>
      </c>
      <c r="BJ219" s="37" t="n">
        <v>4.52</v>
      </c>
      <c r="BK219" s="37" t="n">
        <v>5.64</v>
      </c>
      <c r="BL219" s="37" t="n">
        <v>5.78</v>
      </c>
      <c r="BM219" s="37" t="n">
        <v>5.5</v>
      </c>
      <c r="BN219" s="37" t="n">
        <v>3.62</v>
      </c>
      <c r="BO219" s="37" t="n">
        <v>6.19</v>
      </c>
      <c r="BP219" s="37" t="n">
        <v>5.98</v>
      </c>
      <c r="BQ219" s="37" t="n">
        <v>5.84</v>
      </c>
      <c r="BR219" s="37" t="n">
        <v>5.64</v>
      </c>
      <c r="BS219" s="37" t="n">
        <v>5.78</v>
      </c>
      <c r="BT219" s="37" t="n">
        <v>5.5</v>
      </c>
      <c r="BU219" s="37" t="n">
        <v>3.62</v>
      </c>
      <c r="BV219" s="37" t="n">
        <v>6.19</v>
      </c>
      <c r="BW219" s="37" t="n">
        <v>5.98</v>
      </c>
      <c r="BX219" s="37" t="n">
        <v>5.84</v>
      </c>
      <c r="BY219" s="37" t="n">
        <v>5.64</v>
      </c>
      <c r="BZ219" s="37" t="n">
        <v>5.78</v>
      </c>
      <c r="CA219" s="37" t="n">
        <v>5.5</v>
      </c>
      <c r="CB219" s="37" t="n">
        <v>3.62</v>
      </c>
      <c r="CC219" s="37" t="n">
        <v>632.1900000000003</v>
      </c>
    </row>
    <row r="220" ht="15.75" customHeight="1" s="57">
      <c r="A220" s="7" t="inlineStr">
        <is>
          <t>NTB</t>
        </is>
      </c>
      <c r="B220" s="7" t="inlineStr">
        <is>
          <t>Khánh Hòa</t>
        </is>
      </c>
      <c r="C220" s="7" t="n">
        <v>22746000</v>
      </c>
      <c r="D220" s="7" t="inlineStr">
        <is>
          <t>(KHO) Nam Nha Trang 1</t>
        </is>
      </c>
      <c r="E220" s="7" t="inlineStr">
        <is>
          <t>Shopee</t>
        </is>
      </c>
      <c r="F220" s="36" t="n">
        <v>31</v>
      </c>
      <c r="G220" s="36" t="n">
        <v>74</v>
      </c>
      <c r="H220" s="36" t="n">
        <v>31</v>
      </c>
      <c r="I220" s="36" t="n">
        <v>41</v>
      </c>
      <c r="J220" s="36" t="n">
        <v>52</v>
      </c>
      <c r="K220" s="28" t="n">
        <v>67</v>
      </c>
      <c r="L220" s="36" t="n">
        <v>51</v>
      </c>
      <c r="M220" s="36" t="n">
        <v>62</v>
      </c>
      <c r="N220" s="36" t="n">
        <v>40</v>
      </c>
      <c r="O220" s="36" t="n">
        <v>40</v>
      </c>
      <c r="P220" s="36" t="n">
        <v>38</v>
      </c>
      <c r="Q220" s="36" t="n">
        <v>51</v>
      </c>
      <c r="R220" s="28" t="n">
        <v>63</v>
      </c>
      <c r="S220" s="36" t="n">
        <v>52</v>
      </c>
      <c r="T220" s="36" t="n">
        <v>58</v>
      </c>
      <c r="U220" s="36" t="n">
        <v>64.72</v>
      </c>
      <c r="V220" s="36" t="n">
        <v>65.02</v>
      </c>
      <c r="W220" s="36" t="n">
        <v>62.75</v>
      </c>
      <c r="X220" s="36" t="n">
        <v>54.04</v>
      </c>
      <c r="Y220" s="28" t="n">
        <v>87.29000000000001</v>
      </c>
      <c r="Z220" s="36" t="n">
        <v>68.98</v>
      </c>
      <c r="AA220" s="36" t="n">
        <v>84.22</v>
      </c>
      <c r="AB220" s="36" t="n">
        <v>66.20999999999999</v>
      </c>
      <c r="AC220" s="36" t="n">
        <v>53.54</v>
      </c>
      <c r="AD220" s="36" t="n">
        <v>123.21</v>
      </c>
      <c r="AE220" s="36" t="n">
        <v>57.3</v>
      </c>
      <c r="AF220" s="28" t="n">
        <v>96.48999999999999</v>
      </c>
      <c r="AG220" s="36" t="n">
        <v>72.44</v>
      </c>
      <c r="AH220" s="37" t="n">
        <v>76.90000000000001</v>
      </c>
      <c r="AI220" s="37" t="n">
        <v>64.72</v>
      </c>
      <c r="AJ220" s="37" t="n">
        <v>65.02</v>
      </c>
      <c r="AK220" s="37" t="n">
        <v>68.78</v>
      </c>
      <c r="AL220" s="37" t="n">
        <v>96.79000000000001</v>
      </c>
      <c r="AM220" s="37" t="n">
        <v>87.29000000000001</v>
      </c>
      <c r="AN220" s="37" t="n">
        <v>68.98</v>
      </c>
      <c r="AO220" s="37" t="n">
        <v>76.90000000000001</v>
      </c>
      <c r="AP220" s="37" t="n">
        <v>71.16</v>
      </c>
      <c r="AQ220" s="37" t="n">
        <v>52.25</v>
      </c>
      <c r="AR220" s="37" t="n">
        <v>62.75</v>
      </c>
      <c r="AS220" s="37" t="n">
        <v>54.04</v>
      </c>
      <c r="AT220" s="37" t="n">
        <v>87.29000000000001</v>
      </c>
      <c r="AU220" s="37" t="n">
        <v>76.01000000000001</v>
      </c>
      <c r="AV220" s="37" t="n">
        <v>78.48</v>
      </c>
      <c r="AW220" s="37" t="n">
        <v>64.72</v>
      </c>
      <c r="AX220" s="37" t="n">
        <v>65.02</v>
      </c>
      <c r="AY220" s="37" t="n">
        <v>62.75</v>
      </c>
      <c r="AZ220" s="37" t="n">
        <v>54.04</v>
      </c>
      <c r="BA220" s="37" t="n">
        <v>74.72</v>
      </c>
      <c r="BB220" s="37" t="n">
        <v>51.86</v>
      </c>
      <c r="BC220" s="37" t="n">
        <v>23.16</v>
      </c>
      <c r="BD220" s="37" t="n">
        <v>38.89</v>
      </c>
      <c r="BE220" s="37" t="n">
        <v>77.89</v>
      </c>
      <c r="BF220" s="37" t="n">
        <v>74.92</v>
      </c>
      <c r="BG220" s="37" t="n">
        <v>52.95</v>
      </c>
      <c r="BH220" s="37" t="n">
        <v>83.13</v>
      </c>
      <c r="BI220" s="37" t="n">
        <v>54.33</v>
      </c>
      <c r="BJ220" s="37" t="n">
        <v>173.89</v>
      </c>
      <c r="BK220" s="37" t="n">
        <v>66.31</v>
      </c>
      <c r="BL220" s="37" t="n">
        <v>65.31999999999999</v>
      </c>
      <c r="BM220" s="37" t="n">
        <v>60.07</v>
      </c>
      <c r="BN220" s="37" t="n">
        <v>51.96</v>
      </c>
      <c r="BO220" s="37" t="n">
        <v>83.13</v>
      </c>
      <c r="BP220" s="37" t="n">
        <v>72.64</v>
      </c>
      <c r="BQ220" s="37" t="n">
        <v>111.64</v>
      </c>
      <c r="BR220" s="37" t="n">
        <v>61.95</v>
      </c>
      <c r="BS220" s="37" t="n">
        <v>62.25</v>
      </c>
      <c r="BT220" s="37" t="n">
        <v>60.07</v>
      </c>
      <c r="BU220" s="37" t="n">
        <v>56.81</v>
      </c>
      <c r="BV220" s="37" t="n">
        <v>67.09999999999999</v>
      </c>
      <c r="BW220" s="37" t="n">
        <v>65.91</v>
      </c>
      <c r="BX220" s="37" t="n">
        <v>73.33</v>
      </c>
      <c r="BY220" s="37" t="n">
        <v>61.95</v>
      </c>
      <c r="BZ220" s="37" t="n">
        <v>68.29000000000001</v>
      </c>
      <c r="CA220" s="37" t="n">
        <v>60.96</v>
      </c>
      <c r="CB220" s="37" t="n">
        <v>51.96</v>
      </c>
      <c r="CC220" s="37" t="n">
        <v>4948.49</v>
      </c>
    </row>
    <row r="221" ht="15.75" customHeight="1" s="57">
      <c r="A221" s="7" t="inlineStr">
        <is>
          <t>NTB</t>
        </is>
      </c>
      <c r="B221" s="7" t="inlineStr">
        <is>
          <t>Khánh Hòa</t>
        </is>
      </c>
      <c r="C221" s="7" t="n">
        <v>22746000</v>
      </c>
      <c r="D221" s="7" t="inlineStr">
        <is>
          <t>(KHO) Nam Nha Trang 1</t>
        </is>
      </c>
      <c r="E221" s="7" t="inlineStr">
        <is>
          <t>Shopee-Bulky</t>
        </is>
      </c>
      <c r="F221" s="36" t="n">
        <v>0.57</v>
      </c>
      <c r="G221" s="36" t="n">
        <v>0.57</v>
      </c>
      <c r="H221" s="36" t="n">
        <v>0.57</v>
      </c>
      <c r="I221" s="36" t="n">
        <v>1.14</v>
      </c>
      <c r="J221" s="36" t="n">
        <v>0</v>
      </c>
      <c r="K221" s="28" t="n">
        <v>2.29</v>
      </c>
      <c r="L221" s="36" t="n">
        <v>1.14</v>
      </c>
      <c r="M221" s="36" t="n">
        <v>0</v>
      </c>
      <c r="N221" s="36" t="n">
        <v>0.57</v>
      </c>
      <c r="O221" s="36" t="n">
        <v>0</v>
      </c>
      <c r="P221" s="36" t="n">
        <v>0.57</v>
      </c>
      <c r="Q221" s="36" t="n">
        <v>1.14</v>
      </c>
      <c r="R221" s="28" t="n">
        <v>1.72</v>
      </c>
      <c r="S221" s="36" t="n">
        <v>0.57</v>
      </c>
      <c r="T221" s="36" t="n">
        <v>1.14</v>
      </c>
      <c r="U221" s="36" t="n">
        <v>0.96</v>
      </c>
      <c r="V221" s="36" t="n">
        <v>0.9</v>
      </c>
      <c r="W221" s="36" t="n">
        <v>1.08</v>
      </c>
      <c r="X221" s="36" t="n">
        <v>0.57</v>
      </c>
      <c r="Y221" s="28" t="n">
        <v>1.43</v>
      </c>
      <c r="Z221" s="36" t="n">
        <v>1.11</v>
      </c>
      <c r="AA221" s="36" t="n">
        <v>1.61</v>
      </c>
      <c r="AB221" s="36" t="n">
        <v>1.11</v>
      </c>
      <c r="AC221" s="36" t="n">
        <v>1.17</v>
      </c>
      <c r="AD221" s="36" t="n">
        <v>4.33</v>
      </c>
      <c r="AE221" s="36" t="n">
        <v>2.93</v>
      </c>
      <c r="AF221" s="28" t="n">
        <v>3.41</v>
      </c>
      <c r="AG221" s="36" t="n">
        <v>1.52</v>
      </c>
      <c r="AH221" s="37" t="n">
        <v>1.11</v>
      </c>
      <c r="AI221" s="37" t="n">
        <v>1.08</v>
      </c>
      <c r="AJ221" s="37" t="n">
        <v>0.99</v>
      </c>
      <c r="AK221" s="37" t="n">
        <v>2.15</v>
      </c>
      <c r="AL221" s="37" t="n">
        <v>1.23</v>
      </c>
      <c r="AM221" s="37" t="n">
        <v>1.82</v>
      </c>
      <c r="AN221" s="37" t="n">
        <v>1.11</v>
      </c>
      <c r="AO221" s="37" t="n">
        <v>1.05</v>
      </c>
      <c r="AP221" s="37" t="n">
        <v>1.88</v>
      </c>
      <c r="AQ221" s="37" t="n">
        <v>1.34</v>
      </c>
      <c r="AR221" s="37" t="n">
        <v>0.93</v>
      </c>
      <c r="AS221" s="37" t="n">
        <v>0.48</v>
      </c>
      <c r="AT221" s="37" t="n">
        <v>1.34</v>
      </c>
      <c r="AU221" s="37" t="n">
        <v>2.27</v>
      </c>
      <c r="AV221" s="37" t="n">
        <v>2.27</v>
      </c>
      <c r="AW221" s="37" t="n">
        <v>1.05</v>
      </c>
      <c r="AX221" s="37" t="n">
        <v>0.99</v>
      </c>
      <c r="AY221" s="37" t="n">
        <v>0.9</v>
      </c>
      <c r="AZ221" s="37" t="n">
        <v>0.48</v>
      </c>
      <c r="BA221" s="37" t="n">
        <v>1.25</v>
      </c>
      <c r="BB221" s="37" t="n">
        <v>0.87</v>
      </c>
      <c r="BC221" s="37" t="n">
        <v>0.27</v>
      </c>
      <c r="BD221" s="37" t="n">
        <v>0.42</v>
      </c>
      <c r="BE221" s="37" t="n">
        <v>1.43</v>
      </c>
      <c r="BF221" s="37" t="n">
        <v>1.23</v>
      </c>
      <c r="BG221" s="37" t="n">
        <v>0.63</v>
      </c>
      <c r="BH221" s="37" t="n">
        <v>1.52</v>
      </c>
      <c r="BI221" s="37" t="n">
        <v>1.37</v>
      </c>
      <c r="BJ221" s="37" t="n">
        <v>8.73</v>
      </c>
      <c r="BK221" s="37" t="n">
        <v>2.93</v>
      </c>
      <c r="BL221" s="37" t="n">
        <v>1.52</v>
      </c>
      <c r="BM221" s="37" t="n">
        <v>1.05</v>
      </c>
      <c r="BN221" s="37" t="n">
        <v>0.63</v>
      </c>
      <c r="BO221" s="37" t="n">
        <v>1.82</v>
      </c>
      <c r="BP221" s="37" t="n">
        <v>2.75</v>
      </c>
      <c r="BQ221" s="37" t="n">
        <v>2</v>
      </c>
      <c r="BR221" s="37" t="n">
        <v>1.31</v>
      </c>
      <c r="BS221" s="37" t="n">
        <v>1.23</v>
      </c>
      <c r="BT221" s="37" t="n">
        <v>0.87</v>
      </c>
      <c r="BU221" s="37" t="n">
        <v>1.52</v>
      </c>
      <c r="BV221" s="37" t="n">
        <v>1.67</v>
      </c>
      <c r="BW221" s="37" t="n">
        <v>1.37</v>
      </c>
      <c r="BX221" s="37" t="n">
        <v>1.31</v>
      </c>
      <c r="BY221" s="37" t="n">
        <v>1.31</v>
      </c>
      <c r="BZ221" s="37" t="n">
        <v>1.85</v>
      </c>
      <c r="CA221" s="37" t="n">
        <v>1.23</v>
      </c>
      <c r="CB221" s="37" t="n">
        <v>0.63</v>
      </c>
      <c r="CC221" s="37" t="n">
        <v>103.31</v>
      </c>
    </row>
    <row r="222" ht="15.75" customHeight="1" s="57">
      <c r="A222" s="7" t="inlineStr">
        <is>
          <t>NTB</t>
        </is>
      </c>
      <c r="B222" s="7" t="inlineStr">
        <is>
          <t>Khánh Hòa</t>
        </is>
      </c>
      <c r="C222" s="7" t="n">
        <v>22746000</v>
      </c>
      <c r="D222" s="7" t="inlineStr">
        <is>
          <t>(KHO) Nam Nha Trang 1</t>
        </is>
      </c>
      <c r="E222" s="7" t="inlineStr">
        <is>
          <t>Shopee-Bulky (10-15kg)</t>
        </is>
      </c>
      <c r="F222" s="36" t="n">
        <v>0.43</v>
      </c>
      <c r="G222" s="36" t="n">
        <v>0.43</v>
      </c>
      <c r="H222" s="36" t="n">
        <v>0.43</v>
      </c>
      <c r="I222" s="36" t="n">
        <v>0.86</v>
      </c>
      <c r="J222" s="36" t="n">
        <v>0</v>
      </c>
      <c r="K222" s="28" t="n">
        <v>1.71</v>
      </c>
      <c r="L222" s="36" t="n">
        <v>0.86</v>
      </c>
      <c r="M222" s="36" t="n">
        <v>0</v>
      </c>
      <c r="N222" s="36" t="n">
        <v>0.43</v>
      </c>
      <c r="O222" s="36" t="n">
        <v>0</v>
      </c>
      <c r="P222" s="36" t="n">
        <v>0.43</v>
      </c>
      <c r="Q222" s="36" t="n">
        <v>0.86</v>
      </c>
      <c r="R222" s="28" t="n">
        <v>1.28</v>
      </c>
      <c r="S222" s="36" t="n">
        <v>0.43</v>
      </c>
      <c r="T222" s="36" t="n">
        <v>0.86</v>
      </c>
      <c r="U222" s="36" t="n">
        <v>0.6899999999999999</v>
      </c>
      <c r="V222" s="36" t="n">
        <v>0.72</v>
      </c>
      <c r="W222" s="36" t="n">
        <v>0.87</v>
      </c>
      <c r="X222" s="36" t="n">
        <v>0.54</v>
      </c>
      <c r="Y222" s="28" t="n">
        <v>0.93</v>
      </c>
      <c r="Z222" s="36" t="n">
        <v>0.72</v>
      </c>
      <c r="AA222" s="36" t="n">
        <v>1.02</v>
      </c>
      <c r="AB222" s="36" t="n">
        <v>0.72</v>
      </c>
      <c r="AC222" s="36" t="n">
        <v>0.84</v>
      </c>
      <c r="AD222" s="36" t="n">
        <v>3.76</v>
      </c>
      <c r="AE222" s="36" t="n">
        <v>2.03</v>
      </c>
      <c r="AF222" s="28" t="n">
        <v>2.12</v>
      </c>
      <c r="AG222" s="36" t="n">
        <v>1.14</v>
      </c>
      <c r="AH222" s="37" t="n">
        <v>0.72</v>
      </c>
      <c r="AI222" s="37" t="n">
        <v>0.78</v>
      </c>
      <c r="AJ222" s="37" t="n">
        <v>0.75</v>
      </c>
      <c r="AK222" s="37" t="n">
        <v>1.49</v>
      </c>
      <c r="AL222" s="37" t="n">
        <v>0.9</v>
      </c>
      <c r="AM222" s="37" t="n">
        <v>1.2</v>
      </c>
      <c r="AN222" s="37" t="n">
        <v>0.72</v>
      </c>
      <c r="AO222" s="37" t="n">
        <v>0.72</v>
      </c>
      <c r="AP222" s="37" t="n">
        <v>1.14</v>
      </c>
      <c r="AQ222" s="37" t="n">
        <v>0.99</v>
      </c>
      <c r="AR222" s="37" t="n">
        <v>0.75</v>
      </c>
      <c r="AS222" s="37" t="n">
        <v>0.42</v>
      </c>
      <c r="AT222" s="37" t="n">
        <v>0.9</v>
      </c>
      <c r="AU222" s="37" t="n">
        <v>1.64</v>
      </c>
      <c r="AV222" s="37" t="n">
        <v>1.58</v>
      </c>
      <c r="AW222" s="37" t="n">
        <v>0.72</v>
      </c>
      <c r="AX222" s="37" t="n">
        <v>0.72</v>
      </c>
      <c r="AY222" s="37" t="n">
        <v>0.75</v>
      </c>
      <c r="AZ222" s="37" t="n">
        <v>0.42</v>
      </c>
      <c r="BA222" s="37" t="n">
        <v>0.9</v>
      </c>
      <c r="BB222" s="37" t="n">
        <v>0.63</v>
      </c>
      <c r="BC222" s="37" t="n">
        <v>0.12</v>
      </c>
      <c r="BD222" s="37" t="n">
        <v>0.33</v>
      </c>
      <c r="BE222" s="37" t="n">
        <v>0.96</v>
      </c>
      <c r="BF222" s="37" t="n">
        <v>0.8100000000000001</v>
      </c>
      <c r="BG222" s="37" t="n">
        <v>0.63</v>
      </c>
      <c r="BH222" s="37" t="n">
        <v>1.11</v>
      </c>
      <c r="BI222" s="37" t="n">
        <v>0.84</v>
      </c>
      <c r="BJ222" s="37" t="n">
        <v>4.93</v>
      </c>
      <c r="BK222" s="37" t="n">
        <v>1.7</v>
      </c>
      <c r="BL222" s="37" t="n">
        <v>1.11</v>
      </c>
      <c r="BM222" s="37" t="n">
        <v>0.72</v>
      </c>
      <c r="BN222" s="37" t="n">
        <v>0.57</v>
      </c>
      <c r="BO222" s="37" t="n">
        <v>1.25</v>
      </c>
      <c r="BP222" s="37" t="n">
        <v>1.82</v>
      </c>
      <c r="BQ222" s="37" t="n">
        <v>1.4</v>
      </c>
      <c r="BR222" s="37" t="n">
        <v>0.8100000000000001</v>
      </c>
      <c r="BS222" s="37" t="n">
        <v>0.8100000000000001</v>
      </c>
      <c r="BT222" s="37" t="n">
        <v>0.66</v>
      </c>
      <c r="BU222" s="37" t="n">
        <v>1.02</v>
      </c>
      <c r="BV222" s="37" t="n">
        <v>1.17</v>
      </c>
      <c r="BW222" s="37" t="n">
        <v>0.84</v>
      </c>
      <c r="BX222" s="37" t="n">
        <v>0.84</v>
      </c>
      <c r="BY222" s="37" t="n">
        <v>0.8100000000000001</v>
      </c>
      <c r="BZ222" s="37" t="n">
        <v>1.4</v>
      </c>
      <c r="CA222" s="37" t="n">
        <v>0.9</v>
      </c>
      <c r="CB222" s="37" t="n">
        <v>0.57</v>
      </c>
      <c r="CC222" s="37" t="n">
        <v>72.08000000000003</v>
      </c>
    </row>
    <row r="223" ht="15.75" customHeight="1" s="57">
      <c r="A223" s="7" t="inlineStr">
        <is>
          <t>NTB</t>
        </is>
      </c>
      <c r="B223" s="7" t="inlineStr">
        <is>
          <t>Khánh Hòa</t>
        </is>
      </c>
      <c r="C223" s="7" t="n">
        <v>22746000</v>
      </c>
      <c r="D223" s="7" t="inlineStr">
        <is>
          <t>(KHO) Nam Nha Trang 1</t>
        </is>
      </c>
      <c r="E223" s="7" t="inlineStr">
        <is>
          <t>TTS</t>
        </is>
      </c>
      <c r="F223" s="36" t="n">
        <v>104</v>
      </c>
      <c r="G223" s="36" t="n">
        <v>116</v>
      </c>
      <c r="H223" s="36" t="n">
        <v>100</v>
      </c>
      <c r="I223" s="36" t="n">
        <v>99</v>
      </c>
      <c r="J223" s="36" t="n">
        <v>60</v>
      </c>
      <c r="K223" s="28" t="n">
        <v>349</v>
      </c>
      <c r="L223" s="36" t="n">
        <v>109</v>
      </c>
      <c r="M223" s="36" t="n">
        <v>102</v>
      </c>
      <c r="N223" s="36" t="n">
        <v>254</v>
      </c>
      <c r="O223" s="36" t="n">
        <v>193</v>
      </c>
      <c r="P223" s="36" t="n">
        <v>293</v>
      </c>
      <c r="Q223" s="36" t="n">
        <v>129</v>
      </c>
      <c r="R223" s="28" t="n">
        <v>274</v>
      </c>
      <c r="S223" s="36" t="n">
        <v>235</v>
      </c>
      <c r="T223" s="36" t="n">
        <v>332</v>
      </c>
      <c r="U223" s="36" t="n">
        <v>201.76</v>
      </c>
      <c r="V223" s="36" t="n">
        <v>197.38</v>
      </c>
      <c r="W223" s="36" t="n">
        <v>193.01</v>
      </c>
      <c r="X223" s="36" t="n">
        <v>155.69</v>
      </c>
      <c r="Y223" s="28" t="n">
        <v>225.97</v>
      </c>
      <c r="Z223" s="36" t="n">
        <v>192.72</v>
      </c>
      <c r="AA223" s="36" t="n">
        <v>216.63</v>
      </c>
      <c r="AB223" s="36" t="n">
        <v>237.91</v>
      </c>
      <c r="AC223" s="36" t="n">
        <v>251.32</v>
      </c>
      <c r="AD223" s="36" t="n">
        <v>240.24</v>
      </c>
      <c r="AE223" s="36" t="n">
        <v>180.47</v>
      </c>
      <c r="AF223" s="28" t="n">
        <v>232.97</v>
      </c>
      <c r="AG223" s="36" t="n">
        <v>196.8</v>
      </c>
      <c r="AH223" s="37" t="n">
        <v>194.76</v>
      </c>
      <c r="AI223" s="37" t="n">
        <v>225.37</v>
      </c>
      <c r="AJ223" s="37" t="n">
        <v>239.95</v>
      </c>
      <c r="AK223" s="37" t="n">
        <v>237.33</v>
      </c>
      <c r="AL223" s="37" t="n">
        <v>169.39</v>
      </c>
      <c r="AM223" s="37" t="n">
        <v>228.6</v>
      </c>
      <c r="AN223" s="37" t="n">
        <v>197.97</v>
      </c>
      <c r="AO223" s="37" t="n">
        <v>197.67</v>
      </c>
      <c r="AP223" s="37" t="n">
        <v>191.84</v>
      </c>
      <c r="AQ223" s="37" t="n">
        <v>193.59</v>
      </c>
      <c r="AR223" s="37" t="n">
        <v>190.68</v>
      </c>
      <c r="AS223" s="37" t="n">
        <v>155.98</v>
      </c>
      <c r="AT223" s="37" t="n">
        <v>247.26</v>
      </c>
      <c r="AU223" s="37" t="n">
        <v>225.08</v>
      </c>
      <c r="AV223" s="37" t="n">
        <v>200.01</v>
      </c>
      <c r="AW223" s="37" t="n">
        <v>190.39</v>
      </c>
      <c r="AX223" s="37" t="n">
        <v>187.18</v>
      </c>
      <c r="AY223" s="37" t="n">
        <v>187.76</v>
      </c>
      <c r="AZ223" s="37" t="n">
        <v>155.98</v>
      </c>
      <c r="BA223" s="37" t="n">
        <v>222.77</v>
      </c>
      <c r="BB223" s="37" t="n">
        <v>209.04</v>
      </c>
      <c r="BC223" s="37" t="n">
        <v>110.21</v>
      </c>
      <c r="BD223" s="37" t="n">
        <v>153.07</v>
      </c>
      <c r="BE223" s="37" t="n">
        <v>351.63</v>
      </c>
      <c r="BF223" s="37" t="n">
        <v>341.72</v>
      </c>
      <c r="BG223" s="37" t="n">
        <v>169.39</v>
      </c>
      <c r="BH223" s="37" t="n">
        <v>246.97</v>
      </c>
      <c r="BI223" s="37" t="n">
        <v>209.04</v>
      </c>
      <c r="BJ223" s="37" t="n">
        <v>183.97</v>
      </c>
      <c r="BK223" s="37" t="n">
        <v>212.54</v>
      </c>
      <c r="BL223" s="37" t="n">
        <v>212.54</v>
      </c>
      <c r="BM223" s="37" t="n">
        <v>206.42</v>
      </c>
      <c r="BN223" s="37" t="n">
        <v>169.39</v>
      </c>
      <c r="BO223" s="37" t="n">
        <v>246.97</v>
      </c>
      <c r="BP223" s="37" t="n">
        <v>209.04</v>
      </c>
      <c r="BQ223" s="37" t="n">
        <v>206.71</v>
      </c>
      <c r="BR223" s="37" t="n">
        <v>212.54</v>
      </c>
      <c r="BS223" s="37" t="n">
        <v>212.54</v>
      </c>
      <c r="BT223" s="37" t="n">
        <v>206.42</v>
      </c>
      <c r="BU223" s="37" t="n">
        <v>169.39</v>
      </c>
      <c r="BV223" s="37" t="n">
        <v>246.97</v>
      </c>
      <c r="BW223" s="37" t="n">
        <v>209.04</v>
      </c>
      <c r="BX223" s="37" t="n">
        <v>206.71</v>
      </c>
      <c r="BY223" s="37" t="n">
        <v>212.54</v>
      </c>
      <c r="BZ223" s="37" t="n">
        <v>212.54</v>
      </c>
      <c r="CA223" s="37" t="n">
        <v>206.42</v>
      </c>
      <c r="CB223" s="37" t="n">
        <v>169.39</v>
      </c>
      <c r="CC223" s="37" t="n">
        <v>15214.58</v>
      </c>
    </row>
    <row r="224" ht="15.75" customHeight="1" s="57">
      <c r="A224" s="7" t="inlineStr">
        <is>
          <t>NTB</t>
        </is>
      </c>
      <c r="B224" s="7" t="inlineStr">
        <is>
          <t>Khánh Hòa</t>
        </is>
      </c>
      <c r="C224" s="7" t="n">
        <v>22746000</v>
      </c>
      <c r="D224" s="7" t="inlineStr">
        <is>
          <t>(KHO) Nam Nha Trang 1</t>
        </is>
      </c>
      <c r="E224" s="7" t="inlineStr">
        <is>
          <t>TTS-Bulky</t>
        </is>
      </c>
      <c r="F224" s="36" t="n">
        <v>0</v>
      </c>
      <c r="G224" s="36" t="n">
        <v>0</v>
      </c>
      <c r="H224" s="36" t="n">
        <v>0</v>
      </c>
      <c r="I224" s="36" t="n">
        <v>0</v>
      </c>
      <c r="J224" s="36" t="n">
        <v>0</v>
      </c>
      <c r="K224" s="28" t="n">
        <v>0</v>
      </c>
      <c r="L224" s="36" t="n">
        <v>0</v>
      </c>
      <c r="M224" s="36" t="n">
        <v>0</v>
      </c>
      <c r="N224" s="36" t="n">
        <v>0</v>
      </c>
      <c r="O224" s="36" t="n">
        <v>0</v>
      </c>
      <c r="P224" s="36" t="n">
        <v>0</v>
      </c>
      <c r="Q224" s="36" t="n">
        <v>0</v>
      </c>
      <c r="R224" s="28" t="n">
        <v>0</v>
      </c>
      <c r="S224" s="36" t="n">
        <v>0</v>
      </c>
      <c r="T224" s="36" t="n">
        <v>3</v>
      </c>
      <c r="U224" s="36" t="n">
        <v>0.24</v>
      </c>
      <c r="V224" s="36" t="n">
        <v>0.26</v>
      </c>
      <c r="W224" s="36" t="n">
        <v>0.12</v>
      </c>
      <c r="X224" s="36" t="n">
        <v>0.07000000000000001</v>
      </c>
      <c r="Y224" s="28" t="n">
        <v>0.12</v>
      </c>
      <c r="Z224" s="36" t="n">
        <v>0.1</v>
      </c>
      <c r="AA224" s="36" t="n">
        <v>0.12</v>
      </c>
      <c r="AB224" s="36" t="n">
        <v>0.12</v>
      </c>
      <c r="AC224" s="36" t="n">
        <v>0.16</v>
      </c>
      <c r="AD224" s="36" t="n">
        <v>0.07000000000000001</v>
      </c>
      <c r="AE224" s="36" t="n">
        <v>0.07000000000000001</v>
      </c>
      <c r="AF224" s="28" t="n">
        <v>0.12</v>
      </c>
      <c r="AG224" s="36" t="n">
        <v>0.12</v>
      </c>
      <c r="AH224" s="37" t="n">
        <v>0.12</v>
      </c>
      <c r="AI224" s="37" t="n">
        <v>0.12</v>
      </c>
      <c r="AJ224" s="37" t="n">
        <v>0.12</v>
      </c>
      <c r="AK224" s="37" t="n">
        <v>0.12</v>
      </c>
      <c r="AL224" s="37" t="n">
        <v>0.07000000000000001</v>
      </c>
      <c r="AM224" s="37" t="n">
        <v>0.12</v>
      </c>
      <c r="AN224" s="37" t="n">
        <v>0.12</v>
      </c>
      <c r="AO224" s="37" t="n">
        <v>0.12</v>
      </c>
      <c r="AP224" s="37" t="n">
        <v>0.12</v>
      </c>
      <c r="AQ224" s="37" t="n">
        <v>0.12</v>
      </c>
      <c r="AR224" s="37" t="n">
        <v>0.12</v>
      </c>
      <c r="AS224" s="37" t="n">
        <v>0.07000000000000001</v>
      </c>
      <c r="AT224" s="37" t="n">
        <v>0.14</v>
      </c>
      <c r="AU224" s="37" t="n">
        <v>0.14</v>
      </c>
      <c r="AV224" s="37" t="n">
        <v>0.12</v>
      </c>
      <c r="AW224" s="37" t="n">
        <v>0.12</v>
      </c>
      <c r="AX224" s="37" t="n">
        <v>0.12</v>
      </c>
      <c r="AY224" s="37" t="n">
        <v>0.12</v>
      </c>
      <c r="AZ224" s="37" t="n">
        <v>0.07000000000000001</v>
      </c>
      <c r="BA224" s="37" t="n">
        <v>0.12</v>
      </c>
      <c r="BB224" s="37" t="n">
        <v>0.03</v>
      </c>
      <c r="BC224" s="37" t="n">
        <v>0.02</v>
      </c>
      <c r="BD224" s="37" t="n">
        <v>0.02</v>
      </c>
      <c r="BE224" s="37" t="n">
        <v>0.03</v>
      </c>
      <c r="BF224" s="37" t="n">
        <v>0.03</v>
      </c>
      <c r="BG224" s="37" t="n">
        <v>0.02</v>
      </c>
      <c r="BH224" s="37" t="n">
        <v>0.03</v>
      </c>
      <c r="BI224" s="37" t="n">
        <v>0.03</v>
      </c>
      <c r="BJ224" s="37" t="n">
        <v>0.02</v>
      </c>
      <c r="BK224" s="37" t="n">
        <v>0.03</v>
      </c>
      <c r="BL224" s="37" t="n">
        <v>0.03</v>
      </c>
      <c r="BM224" s="37" t="n">
        <v>0.03</v>
      </c>
      <c r="BN224" s="37" t="n">
        <v>0.02</v>
      </c>
      <c r="BO224" s="37" t="n">
        <v>0.05</v>
      </c>
      <c r="BP224" s="37" t="n">
        <v>0.03</v>
      </c>
      <c r="BQ224" s="37" t="n">
        <v>0.03</v>
      </c>
      <c r="BR224" s="37" t="n">
        <v>0.03</v>
      </c>
      <c r="BS224" s="37" t="n">
        <v>0.03</v>
      </c>
      <c r="BT224" s="37" t="n">
        <v>0.03</v>
      </c>
      <c r="BU224" s="37" t="n">
        <v>0.02</v>
      </c>
      <c r="BV224" s="37" t="n">
        <v>0.03</v>
      </c>
      <c r="BW224" s="37" t="n">
        <v>0.03</v>
      </c>
      <c r="BX224" s="37" t="n">
        <v>0.03</v>
      </c>
      <c r="BY224" s="37" t="n">
        <v>0.03</v>
      </c>
      <c r="BZ224" s="37" t="n">
        <v>0.03</v>
      </c>
      <c r="CA224" s="37" t="n">
        <v>0.03</v>
      </c>
      <c r="CB224" s="37" t="n">
        <v>0.02</v>
      </c>
      <c r="CC224" s="37" t="n">
        <v>7.740000000000005</v>
      </c>
    </row>
    <row r="225" ht="15.75" customHeight="1" s="57">
      <c r="A225" s="7" t="inlineStr">
        <is>
          <t>NTB</t>
        </is>
      </c>
      <c r="B225" s="7" t="inlineStr">
        <is>
          <t>Khánh Hòa</t>
        </is>
      </c>
      <c r="C225" s="7" t="n">
        <v>22774000</v>
      </c>
      <c r="D225" s="7" t="inlineStr">
        <is>
          <t>(KHO) Diên Khánh 1</t>
        </is>
      </c>
      <c r="E225" s="7" t="inlineStr">
        <is>
          <t>SME</t>
        </is>
      </c>
      <c r="F225" s="36" t="n">
        <v>15</v>
      </c>
      <c r="G225" s="36" t="n">
        <v>16</v>
      </c>
      <c r="H225" s="36" t="n">
        <v>19</v>
      </c>
      <c r="I225" s="36" t="n">
        <v>11</v>
      </c>
      <c r="J225" s="36" t="n">
        <v>27</v>
      </c>
      <c r="K225" s="28" t="n">
        <v>10</v>
      </c>
      <c r="L225" s="36" t="n">
        <v>22</v>
      </c>
      <c r="M225" s="36" t="n">
        <v>14</v>
      </c>
      <c r="N225" s="36" t="n">
        <v>15</v>
      </c>
      <c r="O225" s="36" t="n">
        <v>26</v>
      </c>
      <c r="P225" s="36" t="n">
        <v>18</v>
      </c>
      <c r="Q225" s="36" t="n">
        <v>15</v>
      </c>
      <c r="R225" s="28" t="n">
        <v>15</v>
      </c>
      <c r="S225" s="36" t="n">
        <v>15</v>
      </c>
      <c r="T225" s="36" t="n">
        <v>12</v>
      </c>
      <c r="U225" s="36" t="n">
        <v>26</v>
      </c>
      <c r="V225" s="36" t="n">
        <v>26.97</v>
      </c>
      <c r="W225" s="36" t="n">
        <v>26.22</v>
      </c>
      <c r="X225" s="36" t="n">
        <v>21.24</v>
      </c>
      <c r="Y225" s="28" t="n">
        <v>29.05</v>
      </c>
      <c r="Z225" s="36" t="n">
        <v>26.73</v>
      </c>
      <c r="AA225" s="36" t="n">
        <v>26.14</v>
      </c>
      <c r="AB225" s="36" t="n">
        <v>26</v>
      </c>
      <c r="AC225" s="36" t="n">
        <v>26.97</v>
      </c>
      <c r="AD225" s="36" t="n">
        <v>30.44</v>
      </c>
      <c r="AE225" s="36" t="n">
        <v>21.24</v>
      </c>
      <c r="AF225" s="28" t="n">
        <v>29.05</v>
      </c>
      <c r="AG225" s="36" t="n">
        <v>26.73</v>
      </c>
      <c r="AH225" s="37" t="n">
        <v>26.14</v>
      </c>
      <c r="AI225" s="37" t="n">
        <v>26</v>
      </c>
      <c r="AJ225" s="37" t="n">
        <v>26.97</v>
      </c>
      <c r="AK225" s="37" t="n">
        <v>26.22</v>
      </c>
      <c r="AL225" s="37" t="n">
        <v>21.24</v>
      </c>
      <c r="AM225" s="37" t="n">
        <v>29.05</v>
      </c>
      <c r="AN225" s="37" t="n">
        <v>26.73</v>
      </c>
      <c r="AO225" s="37" t="n">
        <v>26.14</v>
      </c>
      <c r="AP225" s="37" t="n">
        <v>26</v>
      </c>
      <c r="AQ225" s="37" t="n">
        <v>26.97</v>
      </c>
      <c r="AR225" s="37" t="n">
        <v>26.22</v>
      </c>
      <c r="AS225" s="37" t="n">
        <v>21.24</v>
      </c>
      <c r="AT225" s="37" t="n">
        <v>29.05</v>
      </c>
      <c r="AU225" s="37" t="n">
        <v>26.73</v>
      </c>
      <c r="AV225" s="37" t="n">
        <v>26.14</v>
      </c>
      <c r="AW225" s="37" t="n">
        <v>26</v>
      </c>
      <c r="AX225" s="37" t="n">
        <v>26.97</v>
      </c>
      <c r="AY225" s="37" t="n">
        <v>26.22</v>
      </c>
      <c r="AZ225" s="37" t="n">
        <v>21.24</v>
      </c>
      <c r="BA225" s="37" t="n">
        <v>27.59</v>
      </c>
      <c r="BB225" s="37" t="n">
        <v>24.53</v>
      </c>
      <c r="BC225" s="37" t="n">
        <v>14.81</v>
      </c>
      <c r="BD225" s="37" t="n">
        <v>11.53</v>
      </c>
      <c r="BE225" s="37" t="n">
        <v>25.17</v>
      </c>
      <c r="BF225" s="37" t="n">
        <v>24.48</v>
      </c>
      <c r="BG225" s="37" t="n">
        <v>21.85</v>
      </c>
      <c r="BH225" s="37" t="n">
        <v>29.87</v>
      </c>
      <c r="BI225" s="37" t="n">
        <v>27.47</v>
      </c>
      <c r="BJ225" s="37" t="n">
        <v>31.19</v>
      </c>
      <c r="BK225" s="37" t="n">
        <v>26.75</v>
      </c>
      <c r="BL225" s="37" t="n">
        <v>27.72</v>
      </c>
      <c r="BM225" s="37" t="n">
        <v>26.97</v>
      </c>
      <c r="BN225" s="37" t="n">
        <v>21.85</v>
      </c>
      <c r="BO225" s="37" t="n">
        <v>29.87</v>
      </c>
      <c r="BP225" s="37" t="n">
        <v>27.47</v>
      </c>
      <c r="BQ225" s="37" t="n">
        <v>26.89</v>
      </c>
      <c r="BR225" s="37" t="n">
        <v>26.75</v>
      </c>
      <c r="BS225" s="37" t="n">
        <v>27.72</v>
      </c>
      <c r="BT225" s="37" t="n">
        <v>26.97</v>
      </c>
      <c r="BU225" s="37" t="n">
        <v>21.85</v>
      </c>
      <c r="BV225" s="37" t="n">
        <v>29.87</v>
      </c>
      <c r="BW225" s="37" t="n">
        <v>27.47</v>
      </c>
      <c r="BX225" s="37" t="n">
        <v>26.89</v>
      </c>
      <c r="BY225" s="37" t="n">
        <v>26.75</v>
      </c>
      <c r="BZ225" s="37" t="n">
        <v>27.72</v>
      </c>
      <c r="CA225" s="37" t="n">
        <v>26.97</v>
      </c>
      <c r="CB225" s="37" t="n">
        <v>21.85</v>
      </c>
      <c r="CC225" s="37" t="n">
        <v>1800.87</v>
      </c>
    </row>
    <row r="226" ht="15.75" customHeight="1" s="57">
      <c r="A226" s="7" t="inlineStr">
        <is>
          <t>NTB</t>
        </is>
      </c>
      <c r="B226" s="7" t="inlineStr">
        <is>
          <t>Khánh Hòa</t>
        </is>
      </c>
      <c r="C226" s="7" t="n">
        <v>22774000</v>
      </c>
      <c r="D226" s="7" t="inlineStr">
        <is>
          <t>(KHO) Diên Khánh 1</t>
        </is>
      </c>
      <c r="E226" s="7" t="inlineStr">
        <is>
          <t>SME-Bulky</t>
        </is>
      </c>
      <c r="F226" s="36" t="n">
        <v>9</v>
      </c>
      <c r="G226" s="36" t="n">
        <v>8</v>
      </c>
      <c r="H226" s="36" t="n">
        <v>2</v>
      </c>
      <c r="I226" s="36" t="n">
        <v>8</v>
      </c>
      <c r="J226" s="36" t="n">
        <v>4</v>
      </c>
      <c r="K226" s="28" t="n">
        <v>8</v>
      </c>
      <c r="L226" s="36" t="n">
        <v>11</v>
      </c>
      <c r="M226" s="36" t="n">
        <v>7</v>
      </c>
      <c r="N226" s="36" t="n">
        <v>6</v>
      </c>
      <c r="O226" s="36" t="n">
        <v>7</v>
      </c>
      <c r="P226" s="36" t="n">
        <v>8</v>
      </c>
      <c r="Q226" s="36" t="n">
        <v>0</v>
      </c>
      <c r="R226" s="28" t="n">
        <v>5</v>
      </c>
      <c r="S226" s="36" t="n">
        <v>6</v>
      </c>
      <c r="T226" s="36" t="n">
        <v>5</v>
      </c>
      <c r="U226" s="36" t="n">
        <v>4.53</v>
      </c>
      <c r="V226" s="36" t="n">
        <v>4.66</v>
      </c>
      <c r="W226" s="36" t="n">
        <v>4.4</v>
      </c>
      <c r="X226" s="36" t="n">
        <v>3.02</v>
      </c>
      <c r="Y226" s="28" t="n">
        <v>4.98</v>
      </c>
      <c r="Z226" s="36" t="n">
        <v>4.75</v>
      </c>
      <c r="AA226" s="36" t="n">
        <v>4.72</v>
      </c>
      <c r="AB226" s="36" t="n">
        <v>4.53</v>
      </c>
      <c r="AC226" s="36" t="n">
        <v>4.66</v>
      </c>
      <c r="AD226" s="36" t="n">
        <v>3.02</v>
      </c>
      <c r="AE226" s="36" t="n">
        <v>3.02</v>
      </c>
      <c r="AF226" s="28" t="n">
        <v>4.98</v>
      </c>
      <c r="AG226" s="36" t="n">
        <v>4.75</v>
      </c>
      <c r="AH226" s="37" t="n">
        <v>4.72</v>
      </c>
      <c r="AI226" s="37" t="n">
        <v>4.53</v>
      </c>
      <c r="AJ226" s="37" t="n">
        <v>4.66</v>
      </c>
      <c r="AK226" s="37" t="n">
        <v>4.4</v>
      </c>
      <c r="AL226" s="37" t="n">
        <v>3.02</v>
      </c>
      <c r="AM226" s="37" t="n">
        <v>4.98</v>
      </c>
      <c r="AN226" s="37" t="n">
        <v>4.75</v>
      </c>
      <c r="AO226" s="37" t="n">
        <v>4.72</v>
      </c>
      <c r="AP226" s="37" t="n">
        <v>4.53</v>
      </c>
      <c r="AQ226" s="37" t="n">
        <v>4.66</v>
      </c>
      <c r="AR226" s="37" t="n">
        <v>4.4</v>
      </c>
      <c r="AS226" s="37" t="n">
        <v>3.02</v>
      </c>
      <c r="AT226" s="37" t="n">
        <v>4.98</v>
      </c>
      <c r="AU226" s="37" t="n">
        <v>4.75</v>
      </c>
      <c r="AV226" s="37" t="n">
        <v>4.72</v>
      </c>
      <c r="AW226" s="37" t="n">
        <v>4.53</v>
      </c>
      <c r="AX226" s="37" t="n">
        <v>4.66</v>
      </c>
      <c r="AY226" s="37" t="n">
        <v>4.4</v>
      </c>
      <c r="AZ226" s="37" t="n">
        <v>3.02</v>
      </c>
      <c r="BA226" s="37" t="n">
        <v>5.4</v>
      </c>
      <c r="BB226" s="37" t="n">
        <v>2.76</v>
      </c>
      <c r="BC226" s="37" t="n">
        <v>1.41</v>
      </c>
      <c r="BD226" s="37" t="n">
        <v>1.06</v>
      </c>
      <c r="BE226" s="37" t="n">
        <v>2.57</v>
      </c>
      <c r="BF226" s="37" t="n">
        <v>2.54</v>
      </c>
      <c r="BG226" s="37" t="n">
        <v>1.67</v>
      </c>
      <c r="BH226" s="37" t="n">
        <v>2.86</v>
      </c>
      <c r="BI226" s="37" t="n">
        <v>2.76</v>
      </c>
      <c r="BJ226" s="37" t="n">
        <v>2.09</v>
      </c>
      <c r="BK226" s="37" t="n">
        <v>2.6</v>
      </c>
      <c r="BL226" s="37" t="n">
        <v>2.67</v>
      </c>
      <c r="BM226" s="37" t="n">
        <v>2.54</v>
      </c>
      <c r="BN226" s="37" t="n">
        <v>1.67</v>
      </c>
      <c r="BO226" s="37" t="n">
        <v>2.86</v>
      </c>
      <c r="BP226" s="37" t="n">
        <v>2.76</v>
      </c>
      <c r="BQ226" s="37" t="n">
        <v>2.7</v>
      </c>
      <c r="BR226" s="37" t="n">
        <v>2.6</v>
      </c>
      <c r="BS226" s="37" t="n">
        <v>2.67</v>
      </c>
      <c r="BT226" s="37" t="n">
        <v>2.54</v>
      </c>
      <c r="BU226" s="37" t="n">
        <v>1.67</v>
      </c>
      <c r="BV226" s="37" t="n">
        <v>2.86</v>
      </c>
      <c r="BW226" s="37" t="n">
        <v>2.76</v>
      </c>
      <c r="BX226" s="37" t="n">
        <v>2.7</v>
      </c>
      <c r="BY226" s="37" t="n">
        <v>2.6</v>
      </c>
      <c r="BZ226" s="37" t="n">
        <v>2.67</v>
      </c>
      <c r="CA226" s="37" t="n">
        <v>2.54</v>
      </c>
      <c r="CB226" s="37" t="n">
        <v>1.67</v>
      </c>
      <c r="CC226" s="37" t="n">
        <v>303.6700000000002</v>
      </c>
    </row>
    <row r="227" ht="15.75" customHeight="1" s="57">
      <c r="A227" s="7" t="inlineStr">
        <is>
          <t>NTB</t>
        </is>
      </c>
      <c r="B227" s="7" t="inlineStr">
        <is>
          <t>Khánh Hòa</t>
        </is>
      </c>
      <c r="C227" s="7" t="n">
        <v>22774000</v>
      </c>
      <c r="D227" s="7" t="inlineStr">
        <is>
          <t>(KHO) Diên Khánh 1</t>
        </is>
      </c>
      <c r="E227" s="7" t="inlineStr">
        <is>
          <t>Shopee</t>
        </is>
      </c>
      <c r="F227" s="36" t="n">
        <v>8</v>
      </c>
      <c r="G227" s="36" t="n">
        <v>22</v>
      </c>
      <c r="H227" s="36" t="n">
        <v>10</v>
      </c>
      <c r="I227" s="36" t="n">
        <v>6</v>
      </c>
      <c r="J227" s="36" t="n">
        <v>9</v>
      </c>
      <c r="K227" s="28" t="n">
        <v>24</v>
      </c>
      <c r="L227" s="36" t="n">
        <v>11</v>
      </c>
      <c r="M227" s="36" t="n">
        <v>15</v>
      </c>
      <c r="N227" s="36" t="n">
        <v>13</v>
      </c>
      <c r="O227" s="36" t="n">
        <v>7</v>
      </c>
      <c r="P227" s="36" t="n">
        <v>13</v>
      </c>
      <c r="Q227" s="36" t="n">
        <v>6</v>
      </c>
      <c r="R227" s="28" t="n">
        <v>17</v>
      </c>
      <c r="S227" s="36" t="n">
        <v>11</v>
      </c>
      <c r="T227" s="36" t="n">
        <v>25</v>
      </c>
      <c r="U227" s="36" t="n">
        <v>16.13</v>
      </c>
      <c r="V227" s="36" t="n">
        <v>16.21</v>
      </c>
      <c r="W227" s="36" t="n">
        <v>15.64</v>
      </c>
      <c r="X227" s="36" t="n">
        <v>13.47</v>
      </c>
      <c r="Y227" s="28" t="n">
        <v>21.76</v>
      </c>
      <c r="Z227" s="36" t="n">
        <v>17.2</v>
      </c>
      <c r="AA227" s="36" t="n">
        <v>20.99</v>
      </c>
      <c r="AB227" s="36" t="n">
        <v>16.5</v>
      </c>
      <c r="AC227" s="36" t="n">
        <v>13.35</v>
      </c>
      <c r="AD227" s="36" t="n">
        <v>30.71</v>
      </c>
      <c r="AE227" s="36" t="n">
        <v>14.28</v>
      </c>
      <c r="AF227" s="28" t="n">
        <v>24.05</v>
      </c>
      <c r="AG227" s="36" t="n">
        <v>18.06</v>
      </c>
      <c r="AH227" s="37" t="n">
        <v>19.17</v>
      </c>
      <c r="AI227" s="37" t="n">
        <v>16.13</v>
      </c>
      <c r="AJ227" s="37" t="n">
        <v>16.21</v>
      </c>
      <c r="AK227" s="37" t="n">
        <v>17.15</v>
      </c>
      <c r="AL227" s="37" t="n">
        <v>24.13</v>
      </c>
      <c r="AM227" s="37" t="n">
        <v>21.76</v>
      </c>
      <c r="AN227" s="37" t="n">
        <v>17.2</v>
      </c>
      <c r="AO227" s="37" t="n">
        <v>19.17</v>
      </c>
      <c r="AP227" s="37" t="n">
        <v>17.74</v>
      </c>
      <c r="AQ227" s="37" t="n">
        <v>13.03</v>
      </c>
      <c r="AR227" s="37" t="n">
        <v>15.64</v>
      </c>
      <c r="AS227" s="37" t="n">
        <v>13.47</v>
      </c>
      <c r="AT227" s="37" t="n">
        <v>21.76</v>
      </c>
      <c r="AU227" s="37" t="n">
        <v>18.95</v>
      </c>
      <c r="AV227" s="37" t="n">
        <v>19.56</v>
      </c>
      <c r="AW227" s="37" t="n">
        <v>16.13</v>
      </c>
      <c r="AX227" s="37" t="n">
        <v>16.21</v>
      </c>
      <c r="AY227" s="37" t="n">
        <v>15.64</v>
      </c>
      <c r="AZ227" s="37" t="n">
        <v>13.47</v>
      </c>
      <c r="BA227" s="37" t="n">
        <v>18.63</v>
      </c>
      <c r="BB227" s="37" t="n">
        <v>12.93</v>
      </c>
      <c r="BC227" s="37" t="n">
        <v>5.77</v>
      </c>
      <c r="BD227" s="37" t="n">
        <v>9.699999999999999</v>
      </c>
      <c r="BE227" s="37" t="n">
        <v>19.42</v>
      </c>
      <c r="BF227" s="37" t="n">
        <v>18.68</v>
      </c>
      <c r="BG227" s="37" t="n">
        <v>13.2</v>
      </c>
      <c r="BH227" s="37" t="n">
        <v>20.72</v>
      </c>
      <c r="BI227" s="37" t="n">
        <v>13.54</v>
      </c>
      <c r="BJ227" s="37" t="n">
        <v>43.35</v>
      </c>
      <c r="BK227" s="37" t="n">
        <v>16.53</v>
      </c>
      <c r="BL227" s="37" t="n">
        <v>16.28</v>
      </c>
      <c r="BM227" s="37" t="n">
        <v>14.97</v>
      </c>
      <c r="BN227" s="37" t="n">
        <v>12.95</v>
      </c>
      <c r="BO227" s="37" t="n">
        <v>20.72</v>
      </c>
      <c r="BP227" s="37" t="n">
        <v>18.11</v>
      </c>
      <c r="BQ227" s="37" t="n">
        <v>27.83</v>
      </c>
      <c r="BR227" s="37" t="n">
        <v>15.44</v>
      </c>
      <c r="BS227" s="37" t="n">
        <v>15.52</v>
      </c>
      <c r="BT227" s="37" t="n">
        <v>14.97</v>
      </c>
      <c r="BU227" s="37" t="n">
        <v>14.16</v>
      </c>
      <c r="BV227" s="37" t="n">
        <v>16.73</v>
      </c>
      <c r="BW227" s="37" t="n">
        <v>16.43</v>
      </c>
      <c r="BX227" s="37" t="n">
        <v>18.28</v>
      </c>
      <c r="BY227" s="37" t="n">
        <v>15.44</v>
      </c>
      <c r="BZ227" s="37" t="n">
        <v>17.02</v>
      </c>
      <c r="CA227" s="37" t="n">
        <v>15.2</v>
      </c>
      <c r="CB227" s="37" t="n">
        <v>12.95</v>
      </c>
      <c r="CC227" s="37" t="n">
        <v>1243.34</v>
      </c>
    </row>
    <row r="228" ht="15.75" customHeight="1" s="57">
      <c r="A228" s="7" t="inlineStr">
        <is>
          <t>NTB</t>
        </is>
      </c>
      <c r="B228" s="7" t="inlineStr">
        <is>
          <t>Khánh Hòa</t>
        </is>
      </c>
      <c r="C228" s="7" t="n">
        <v>22774000</v>
      </c>
      <c r="D228" s="7" t="inlineStr">
        <is>
          <t>(KHO) Diên Khánh 1</t>
        </is>
      </c>
      <c r="E228" s="7" t="inlineStr">
        <is>
          <t>Shopee-Bulky</t>
        </is>
      </c>
      <c r="F228" s="36" t="n">
        <v>7.43</v>
      </c>
      <c r="G228" s="36" t="n">
        <v>3.43</v>
      </c>
      <c r="H228" s="36" t="n">
        <v>3.43</v>
      </c>
      <c r="I228" s="36" t="n">
        <v>2.86</v>
      </c>
      <c r="J228" s="36" t="n">
        <v>2.86</v>
      </c>
      <c r="K228" s="28" t="n">
        <v>6.86</v>
      </c>
      <c r="L228" s="36" t="n">
        <v>2.29</v>
      </c>
      <c r="M228" s="36" t="n">
        <v>1.72</v>
      </c>
      <c r="N228" s="36" t="n">
        <v>2.86</v>
      </c>
      <c r="O228" s="36" t="n">
        <v>4</v>
      </c>
      <c r="P228" s="36" t="n">
        <v>1.72</v>
      </c>
      <c r="Q228" s="36" t="n">
        <v>0.57</v>
      </c>
      <c r="R228" s="28" t="n">
        <v>5.72</v>
      </c>
      <c r="S228" s="36" t="n">
        <v>2.86</v>
      </c>
      <c r="T228" s="36" t="n">
        <v>6.86</v>
      </c>
      <c r="U228" s="36" t="n">
        <v>5.55</v>
      </c>
      <c r="V228" s="36" t="n">
        <v>5.2</v>
      </c>
      <c r="W228" s="36" t="n">
        <v>6.24</v>
      </c>
      <c r="X228" s="36" t="n">
        <v>3.29</v>
      </c>
      <c r="Y228" s="28" t="n">
        <v>8.32</v>
      </c>
      <c r="Z228" s="36" t="n">
        <v>6.41</v>
      </c>
      <c r="AA228" s="36" t="n">
        <v>9.359999999999999</v>
      </c>
      <c r="AB228" s="36" t="n">
        <v>6.41</v>
      </c>
      <c r="AC228" s="36" t="n">
        <v>6.76</v>
      </c>
      <c r="AD228" s="36" t="n">
        <v>25.13</v>
      </c>
      <c r="AE228" s="36" t="n">
        <v>16.98</v>
      </c>
      <c r="AF228" s="28" t="n">
        <v>19.76</v>
      </c>
      <c r="AG228" s="36" t="n">
        <v>8.84</v>
      </c>
      <c r="AH228" s="37" t="n">
        <v>6.41</v>
      </c>
      <c r="AI228" s="37" t="n">
        <v>6.24</v>
      </c>
      <c r="AJ228" s="37" t="n">
        <v>5.72</v>
      </c>
      <c r="AK228" s="37" t="n">
        <v>12.48</v>
      </c>
      <c r="AL228" s="37" t="n">
        <v>7.11</v>
      </c>
      <c r="AM228" s="37" t="n">
        <v>10.57</v>
      </c>
      <c r="AN228" s="37" t="n">
        <v>6.41</v>
      </c>
      <c r="AO228" s="37" t="n">
        <v>6.07</v>
      </c>
      <c r="AP228" s="37" t="n">
        <v>10.92</v>
      </c>
      <c r="AQ228" s="37" t="n">
        <v>7.8</v>
      </c>
      <c r="AR228" s="37" t="n">
        <v>5.37</v>
      </c>
      <c r="AS228" s="37" t="n">
        <v>2.77</v>
      </c>
      <c r="AT228" s="37" t="n">
        <v>7.8</v>
      </c>
      <c r="AU228" s="37" t="n">
        <v>13.17</v>
      </c>
      <c r="AV228" s="37" t="n">
        <v>13.17</v>
      </c>
      <c r="AW228" s="37" t="n">
        <v>6.07</v>
      </c>
      <c r="AX228" s="37" t="n">
        <v>5.72</v>
      </c>
      <c r="AY228" s="37" t="n">
        <v>5.2</v>
      </c>
      <c r="AZ228" s="37" t="n">
        <v>2.77</v>
      </c>
      <c r="BA228" s="37" t="n">
        <v>7.28</v>
      </c>
      <c r="BB228" s="37" t="n">
        <v>5.03</v>
      </c>
      <c r="BC228" s="37" t="n">
        <v>1.56</v>
      </c>
      <c r="BD228" s="37" t="n">
        <v>2.43</v>
      </c>
      <c r="BE228" s="37" t="n">
        <v>8.32</v>
      </c>
      <c r="BF228" s="37" t="n">
        <v>7.11</v>
      </c>
      <c r="BG228" s="37" t="n">
        <v>3.64</v>
      </c>
      <c r="BH228" s="37" t="n">
        <v>8.84</v>
      </c>
      <c r="BI228" s="37" t="n">
        <v>7.97</v>
      </c>
      <c r="BJ228" s="37" t="n">
        <v>50.61</v>
      </c>
      <c r="BK228" s="37" t="n">
        <v>16.98</v>
      </c>
      <c r="BL228" s="37" t="n">
        <v>8.84</v>
      </c>
      <c r="BM228" s="37" t="n">
        <v>6.07</v>
      </c>
      <c r="BN228" s="37" t="n">
        <v>3.64</v>
      </c>
      <c r="BO228" s="37" t="n">
        <v>10.57</v>
      </c>
      <c r="BP228" s="37" t="n">
        <v>15.94</v>
      </c>
      <c r="BQ228" s="37" t="n">
        <v>11.61</v>
      </c>
      <c r="BR228" s="37" t="n">
        <v>7.63</v>
      </c>
      <c r="BS228" s="37" t="n">
        <v>7.11</v>
      </c>
      <c r="BT228" s="37" t="n">
        <v>5.03</v>
      </c>
      <c r="BU228" s="37" t="n">
        <v>8.84</v>
      </c>
      <c r="BV228" s="37" t="n">
        <v>9.710000000000001</v>
      </c>
      <c r="BW228" s="37" t="n">
        <v>7.97</v>
      </c>
      <c r="BX228" s="37" t="n">
        <v>7.63</v>
      </c>
      <c r="BY228" s="37" t="n">
        <v>7.63</v>
      </c>
      <c r="BZ228" s="37" t="n">
        <v>10.75</v>
      </c>
      <c r="CA228" s="37" t="n">
        <v>7.11</v>
      </c>
      <c r="CB228" s="37" t="n">
        <v>3.64</v>
      </c>
      <c r="CC228" s="37" t="n">
        <v>584.9799999999999</v>
      </c>
    </row>
    <row r="229" ht="15.75" customHeight="1" s="57">
      <c r="A229" s="7" t="inlineStr">
        <is>
          <t>NTB</t>
        </is>
      </c>
      <c r="B229" s="7" t="inlineStr">
        <is>
          <t>Khánh Hòa</t>
        </is>
      </c>
      <c r="C229" s="7" t="n">
        <v>22774000</v>
      </c>
      <c r="D229" s="7" t="inlineStr">
        <is>
          <t>(KHO) Diên Khánh 1</t>
        </is>
      </c>
      <c r="E229" s="7" t="inlineStr">
        <is>
          <t>Shopee-Bulky (10-15kg)</t>
        </is>
      </c>
      <c r="F229" s="36" t="n">
        <v>5.57</v>
      </c>
      <c r="G229" s="36" t="n">
        <v>2.57</v>
      </c>
      <c r="H229" s="36" t="n">
        <v>2.57</v>
      </c>
      <c r="I229" s="36" t="n">
        <v>2.14</v>
      </c>
      <c r="J229" s="36" t="n">
        <v>2.14</v>
      </c>
      <c r="K229" s="28" t="n">
        <v>5.14</v>
      </c>
      <c r="L229" s="36" t="n">
        <v>1.71</v>
      </c>
      <c r="M229" s="36" t="n">
        <v>1.28</v>
      </c>
      <c r="N229" s="36" t="n">
        <v>2.14</v>
      </c>
      <c r="O229" s="36" t="n">
        <v>3</v>
      </c>
      <c r="P229" s="36" t="n">
        <v>1.28</v>
      </c>
      <c r="Q229" s="36" t="n">
        <v>0.43</v>
      </c>
      <c r="R229" s="28" t="n">
        <v>4.28</v>
      </c>
      <c r="S229" s="36" t="n">
        <v>2.14</v>
      </c>
      <c r="T229" s="36" t="n">
        <v>5.14</v>
      </c>
      <c r="U229" s="36" t="n">
        <v>3.99</v>
      </c>
      <c r="V229" s="36" t="n">
        <v>4.16</v>
      </c>
      <c r="W229" s="36" t="n">
        <v>5.03</v>
      </c>
      <c r="X229" s="36" t="n">
        <v>3.12</v>
      </c>
      <c r="Y229" s="28" t="n">
        <v>5.37</v>
      </c>
      <c r="Z229" s="36" t="n">
        <v>4.16</v>
      </c>
      <c r="AA229" s="36" t="n">
        <v>5.89</v>
      </c>
      <c r="AB229" s="36" t="n">
        <v>4.16</v>
      </c>
      <c r="AC229" s="36" t="n">
        <v>4.85</v>
      </c>
      <c r="AD229" s="36" t="n">
        <v>21.84</v>
      </c>
      <c r="AE229" s="36" t="n">
        <v>11.78</v>
      </c>
      <c r="AF229" s="28" t="n">
        <v>12.3</v>
      </c>
      <c r="AG229" s="36" t="n">
        <v>6.59</v>
      </c>
      <c r="AH229" s="37" t="n">
        <v>4.16</v>
      </c>
      <c r="AI229" s="37" t="n">
        <v>4.51</v>
      </c>
      <c r="AJ229" s="37" t="n">
        <v>4.33</v>
      </c>
      <c r="AK229" s="37" t="n">
        <v>8.67</v>
      </c>
      <c r="AL229" s="37" t="n">
        <v>5.2</v>
      </c>
      <c r="AM229" s="37" t="n">
        <v>6.93</v>
      </c>
      <c r="AN229" s="37" t="n">
        <v>4.16</v>
      </c>
      <c r="AO229" s="37" t="n">
        <v>4.16</v>
      </c>
      <c r="AP229" s="37" t="n">
        <v>6.59</v>
      </c>
      <c r="AQ229" s="37" t="n">
        <v>5.72</v>
      </c>
      <c r="AR229" s="37" t="n">
        <v>4.33</v>
      </c>
      <c r="AS229" s="37" t="n">
        <v>2.43</v>
      </c>
      <c r="AT229" s="37" t="n">
        <v>5.2</v>
      </c>
      <c r="AU229" s="37" t="n">
        <v>9.529999999999999</v>
      </c>
      <c r="AV229" s="37" t="n">
        <v>9.19</v>
      </c>
      <c r="AW229" s="37" t="n">
        <v>4.16</v>
      </c>
      <c r="AX229" s="37" t="n">
        <v>4.16</v>
      </c>
      <c r="AY229" s="37" t="n">
        <v>4.33</v>
      </c>
      <c r="AZ229" s="37" t="n">
        <v>2.43</v>
      </c>
      <c r="BA229" s="37" t="n">
        <v>5.2</v>
      </c>
      <c r="BB229" s="37" t="n">
        <v>3.64</v>
      </c>
      <c r="BC229" s="37" t="n">
        <v>0.6899999999999999</v>
      </c>
      <c r="BD229" s="37" t="n">
        <v>1.91</v>
      </c>
      <c r="BE229" s="37" t="n">
        <v>5.55</v>
      </c>
      <c r="BF229" s="37" t="n">
        <v>4.68</v>
      </c>
      <c r="BG229" s="37" t="n">
        <v>3.64</v>
      </c>
      <c r="BH229" s="37" t="n">
        <v>6.41</v>
      </c>
      <c r="BI229" s="37" t="n">
        <v>4.85</v>
      </c>
      <c r="BJ229" s="37" t="n">
        <v>28.6</v>
      </c>
      <c r="BK229" s="37" t="n">
        <v>9.880000000000001</v>
      </c>
      <c r="BL229" s="37" t="n">
        <v>6.41</v>
      </c>
      <c r="BM229" s="37" t="n">
        <v>4.16</v>
      </c>
      <c r="BN229" s="37" t="n">
        <v>3.29</v>
      </c>
      <c r="BO229" s="37" t="n">
        <v>7.28</v>
      </c>
      <c r="BP229" s="37" t="n">
        <v>10.57</v>
      </c>
      <c r="BQ229" s="37" t="n">
        <v>8.15</v>
      </c>
      <c r="BR229" s="37" t="n">
        <v>4.68</v>
      </c>
      <c r="BS229" s="37" t="n">
        <v>4.68</v>
      </c>
      <c r="BT229" s="37" t="n">
        <v>3.81</v>
      </c>
      <c r="BU229" s="37" t="n">
        <v>5.89</v>
      </c>
      <c r="BV229" s="37" t="n">
        <v>6.76</v>
      </c>
      <c r="BW229" s="37" t="n">
        <v>4.85</v>
      </c>
      <c r="BX229" s="37" t="n">
        <v>4.85</v>
      </c>
      <c r="BY229" s="37" t="n">
        <v>4.68</v>
      </c>
      <c r="BZ229" s="37" t="n">
        <v>8.15</v>
      </c>
      <c r="CA229" s="37" t="n">
        <v>5.2</v>
      </c>
      <c r="CB229" s="37" t="n">
        <v>3.29</v>
      </c>
      <c r="CC229" s="37" t="n">
        <v>406.7100000000001</v>
      </c>
    </row>
    <row r="230" ht="15.75" customHeight="1" s="57">
      <c r="A230" s="7" t="inlineStr">
        <is>
          <t>NTB</t>
        </is>
      </c>
      <c r="B230" s="7" t="inlineStr">
        <is>
          <t>Khánh Hòa</t>
        </is>
      </c>
      <c r="C230" s="7" t="n">
        <v>22774000</v>
      </c>
      <c r="D230" s="7" t="inlineStr">
        <is>
          <t>(KHO) Diên Khánh 1</t>
        </is>
      </c>
      <c r="E230" s="7" t="inlineStr">
        <is>
          <t>TTS</t>
        </is>
      </c>
      <c r="F230" s="36" t="n">
        <v>65</v>
      </c>
      <c r="G230" s="36" t="n">
        <v>36</v>
      </c>
      <c r="H230" s="36" t="n">
        <v>32</v>
      </c>
      <c r="I230" s="36" t="n">
        <v>38</v>
      </c>
      <c r="J230" s="36" t="n">
        <v>43</v>
      </c>
      <c r="K230" s="28" t="n">
        <v>47</v>
      </c>
      <c r="L230" s="36" t="n">
        <v>45</v>
      </c>
      <c r="M230" s="36" t="n">
        <v>70</v>
      </c>
      <c r="N230" s="36" t="n">
        <v>80</v>
      </c>
      <c r="O230" s="36" t="n">
        <v>38</v>
      </c>
      <c r="P230" s="36" t="n">
        <v>61</v>
      </c>
      <c r="Q230" s="36" t="n">
        <v>66</v>
      </c>
      <c r="R230" s="28" t="n">
        <v>47</v>
      </c>
      <c r="S230" s="36" t="n">
        <v>43</v>
      </c>
      <c r="T230" s="36" t="n">
        <v>30</v>
      </c>
      <c r="U230" s="36" t="n">
        <v>49.68</v>
      </c>
      <c r="V230" s="36" t="n">
        <v>48.6</v>
      </c>
      <c r="W230" s="36" t="n">
        <v>47.52</v>
      </c>
      <c r="X230" s="36" t="n">
        <v>38.33</v>
      </c>
      <c r="Y230" s="28" t="n">
        <v>55.65000000000001</v>
      </c>
      <c r="Z230" s="36" t="n">
        <v>47.45</v>
      </c>
      <c r="AA230" s="36" t="n">
        <v>53.34</v>
      </c>
      <c r="AB230" s="36" t="n">
        <v>58.58</v>
      </c>
      <c r="AC230" s="36" t="n">
        <v>61.88</v>
      </c>
      <c r="AD230" s="36" t="n">
        <v>59.15</v>
      </c>
      <c r="AE230" s="36" t="n">
        <v>44.43</v>
      </c>
      <c r="AF230" s="28" t="n">
        <v>57.38</v>
      </c>
      <c r="AG230" s="36" t="n">
        <v>48.45</v>
      </c>
      <c r="AH230" s="37" t="n">
        <v>47.95</v>
      </c>
      <c r="AI230" s="37" t="n">
        <v>55.49</v>
      </c>
      <c r="AJ230" s="37" t="n">
        <v>59.08</v>
      </c>
      <c r="AK230" s="37" t="n">
        <v>58.43</v>
      </c>
      <c r="AL230" s="37" t="n">
        <v>41.71</v>
      </c>
      <c r="AM230" s="37" t="n">
        <v>56.3</v>
      </c>
      <c r="AN230" s="37" t="n">
        <v>48.74</v>
      </c>
      <c r="AO230" s="37" t="n">
        <v>48.67</v>
      </c>
      <c r="AP230" s="37" t="n">
        <v>47.23</v>
      </c>
      <c r="AQ230" s="37" t="n">
        <v>47.67</v>
      </c>
      <c r="AR230" s="37" t="n">
        <v>46.95</v>
      </c>
      <c r="AS230" s="37" t="n">
        <v>38.4</v>
      </c>
      <c r="AT230" s="37" t="n">
        <v>60.89</v>
      </c>
      <c r="AU230" s="37" t="n">
        <v>55.42</v>
      </c>
      <c r="AV230" s="37" t="n">
        <v>49.24</v>
      </c>
      <c r="AW230" s="37" t="n">
        <v>46.88</v>
      </c>
      <c r="AX230" s="37" t="n">
        <v>46.09</v>
      </c>
      <c r="AY230" s="37" t="n">
        <v>46.23</v>
      </c>
      <c r="AZ230" s="37" t="n">
        <v>38.4</v>
      </c>
      <c r="BA230" s="37" t="n">
        <v>54.86000000000001</v>
      </c>
      <c r="BB230" s="37" t="n">
        <v>51.47</v>
      </c>
      <c r="BC230" s="37" t="n">
        <v>27.13</v>
      </c>
      <c r="BD230" s="37" t="n">
        <v>37.69</v>
      </c>
      <c r="BE230" s="37" t="n">
        <v>86.58999999999999</v>
      </c>
      <c r="BF230" s="37" t="n">
        <v>84.14999999999999</v>
      </c>
      <c r="BG230" s="37" t="n">
        <v>41.71</v>
      </c>
      <c r="BH230" s="37" t="n">
        <v>60.82</v>
      </c>
      <c r="BI230" s="37" t="n">
        <v>51.47</v>
      </c>
      <c r="BJ230" s="37" t="n">
        <v>45.3</v>
      </c>
      <c r="BK230" s="37" t="n">
        <v>52.33</v>
      </c>
      <c r="BL230" s="37" t="n">
        <v>52.33</v>
      </c>
      <c r="BM230" s="37" t="n">
        <v>50.82</v>
      </c>
      <c r="BN230" s="37" t="n">
        <v>41.71</v>
      </c>
      <c r="BO230" s="37" t="n">
        <v>60.82</v>
      </c>
      <c r="BP230" s="37" t="n">
        <v>51.47</v>
      </c>
      <c r="BQ230" s="37" t="n">
        <v>50.9</v>
      </c>
      <c r="BR230" s="37" t="n">
        <v>52.33</v>
      </c>
      <c r="BS230" s="37" t="n">
        <v>52.33</v>
      </c>
      <c r="BT230" s="37" t="n">
        <v>50.82</v>
      </c>
      <c r="BU230" s="37" t="n">
        <v>41.71</v>
      </c>
      <c r="BV230" s="37" t="n">
        <v>60.82</v>
      </c>
      <c r="BW230" s="37" t="n">
        <v>51.47</v>
      </c>
      <c r="BX230" s="37" t="n">
        <v>50.9</v>
      </c>
      <c r="BY230" s="37" t="n">
        <v>52.33</v>
      </c>
      <c r="BZ230" s="37" t="n">
        <v>52.33</v>
      </c>
      <c r="CA230" s="37" t="n">
        <v>50.82</v>
      </c>
      <c r="CB230" s="37" t="n">
        <v>41.71</v>
      </c>
      <c r="CC230" s="37" t="n">
        <v>3810.350000000002</v>
      </c>
    </row>
    <row r="231" ht="15.75" customHeight="1" s="57">
      <c r="A231" s="7" t="inlineStr">
        <is>
          <t>NTB</t>
        </is>
      </c>
      <c r="B231" s="7" t="inlineStr">
        <is>
          <t>Khánh Hòa</t>
        </is>
      </c>
      <c r="C231" s="7" t="n">
        <v>22774000</v>
      </c>
      <c r="D231" s="7" t="inlineStr">
        <is>
          <t>(KHO) Diên Khánh 1</t>
        </is>
      </c>
      <c r="E231" s="7" t="inlineStr">
        <is>
          <t>TTS-Bulky</t>
        </is>
      </c>
      <c r="F231" s="36" t="n">
        <v>1</v>
      </c>
      <c r="G231" s="36" t="n">
        <v>0</v>
      </c>
      <c r="H231" s="36" t="n">
        <v>0</v>
      </c>
      <c r="I231" s="36" t="n">
        <v>0</v>
      </c>
      <c r="J231" s="36" t="n">
        <v>0</v>
      </c>
      <c r="K231" s="28" t="n">
        <v>0</v>
      </c>
      <c r="L231" s="36" t="n">
        <v>0</v>
      </c>
      <c r="M231" s="36" t="n">
        <v>0</v>
      </c>
      <c r="N231" s="36" t="n">
        <v>0</v>
      </c>
      <c r="O231" s="36" t="n">
        <v>0</v>
      </c>
      <c r="P231" s="36" t="n">
        <v>0</v>
      </c>
      <c r="Q231" s="36" t="n">
        <v>0</v>
      </c>
      <c r="R231" s="28" t="n">
        <v>0</v>
      </c>
      <c r="S231" s="36" t="n">
        <v>0</v>
      </c>
      <c r="T231" s="36" t="n">
        <v>0</v>
      </c>
      <c r="U231" s="36" t="n">
        <v>0.24</v>
      </c>
      <c r="V231" s="36" t="n">
        <v>0.26</v>
      </c>
      <c r="W231" s="36" t="n">
        <v>0.12</v>
      </c>
      <c r="X231" s="36" t="n">
        <v>0.07000000000000001</v>
      </c>
      <c r="Y231" s="28" t="n">
        <v>0.12</v>
      </c>
      <c r="Z231" s="36" t="n">
        <v>0.1</v>
      </c>
      <c r="AA231" s="36" t="n">
        <v>0.12</v>
      </c>
      <c r="AB231" s="36" t="n">
        <v>0.12</v>
      </c>
      <c r="AC231" s="36" t="n">
        <v>0.16</v>
      </c>
      <c r="AD231" s="36" t="n">
        <v>0.07000000000000001</v>
      </c>
      <c r="AE231" s="36" t="n">
        <v>0.07000000000000001</v>
      </c>
      <c r="AF231" s="28" t="n">
        <v>0.12</v>
      </c>
      <c r="AG231" s="36" t="n">
        <v>0.12</v>
      </c>
      <c r="AH231" s="37" t="n">
        <v>0.12</v>
      </c>
      <c r="AI231" s="37" t="n">
        <v>0.12</v>
      </c>
      <c r="AJ231" s="37" t="n">
        <v>0.12</v>
      </c>
      <c r="AK231" s="37" t="n">
        <v>0.12</v>
      </c>
      <c r="AL231" s="37" t="n">
        <v>0.07000000000000001</v>
      </c>
      <c r="AM231" s="37" t="n">
        <v>0.12</v>
      </c>
      <c r="AN231" s="37" t="n">
        <v>0.12</v>
      </c>
      <c r="AO231" s="37" t="n">
        <v>0.12</v>
      </c>
      <c r="AP231" s="37" t="n">
        <v>0.12</v>
      </c>
      <c r="AQ231" s="37" t="n">
        <v>0.12</v>
      </c>
      <c r="AR231" s="37" t="n">
        <v>0.12</v>
      </c>
      <c r="AS231" s="37" t="n">
        <v>0.07000000000000001</v>
      </c>
      <c r="AT231" s="37" t="n">
        <v>0.14</v>
      </c>
      <c r="AU231" s="37" t="n">
        <v>0.14</v>
      </c>
      <c r="AV231" s="37" t="n">
        <v>0.12</v>
      </c>
      <c r="AW231" s="37" t="n">
        <v>0.12</v>
      </c>
      <c r="AX231" s="37" t="n">
        <v>0.12</v>
      </c>
      <c r="AY231" s="37" t="n">
        <v>0.12</v>
      </c>
      <c r="AZ231" s="37" t="n">
        <v>0.07000000000000001</v>
      </c>
      <c r="BA231" s="37" t="n">
        <v>0.12</v>
      </c>
      <c r="BB231" s="37" t="n">
        <v>0.03</v>
      </c>
      <c r="BC231" s="37" t="n">
        <v>0.02</v>
      </c>
      <c r="BD231" s="37" t="n">
        <v>0.02</v>
      </c>
      <c r="BE231" s="37" t="n">
        <v>0.03</v>
      </c>
      <c r="BF231" s="37" t="n">
        <v>0.03</v>
      </c>
      <c r="BG231" s="37" t="n">
        <v>0.02</v>
      </c>
      <c r="BH231" s="37" t="n">
        <v>0.03</v>
      </c>
      <c r="BI231" s="37" t="n">
        <v>0.03</v>
      </c>
      <c r="BJ231" s="37" t="n">
        <v>0.02</v>
      </c>
      <c r="BK231" s="37" t="n">
        <v>0.03</v>
      </c>
      <c r="BL231" s="37" t="n">
        <v>0.03</v>
      </c>
      <c r="BM231" s="37" t="n">
        <v>0.03</v>
      </c>
      <c r="BN231" s="37" t="n">
        <v>0.02</v>
      </c>
      <c r="BO231" s="37" t="n">
        <v>0.05</v>
      </c>
      <c r="BP231" s="37" t="n">
        <v>0.03</v>
      </c>
      <c r="BQ231" s="37" t="n">
        <v>0.03</v>
      </c>
      <c r="BR231" s="37" t="n">
        <v>0.03</v>
      </c>
      <c r="BS231" s="37" t="n">
        <v>0.03</v>
      </c>
      <c r="BT231" s="37" t="n">
        <v>0.03</v>
      </c>
      <c r="BU231" s="37" t="n">
        <v>0.02</v>
      </c>
      <c r="BV231" s="37" t="n">
        <v>0.03</v>
      </c>
      <c r="BW231" s="37" t="n">
        <v>0.03</v>
      </c>
      <c r="BX231" s="37" t="n">
        <v>0.03</v>
      </c>
      <c r="BY231" s="37" t="n">
        <v>0.03</v>
      </c>
      <c r="BZ231" s="37" t="n">
        <v>0.03</v>
      </c>
      <c r="CA231" s="37" t="n">
        <v>0.03</v>
      </c>
      <c r="CB231" s="37" t="n">
        <v>0.02</v>
      </c>
      <c r="CC231" s="37" t="n">
        <v>5.740000000000003</v>
      </c>
    </row>
    <row r="232" ht="15.75" customHeight="1" s="57">
      <c r="A232" s="7" t="inlineStr">
        <is>
          <t>NTB</t>
        </is>
      </c>
      <c r="B232" s="7" t="inlineStr">
        <is>
          <t>Khánh Hòa</t>
        </is>
      </c>
      <c r="C232" s="7" t="n">
        <v>22793000</v>
      </c>
      <c r="D232" s="7" t="inlineStr">
        <is>
          <t>(KHO) Diên Thọ</t>
        </is>
      </c>
      <c r="E232" s="7" t="inlineStr">
        <is>
          <t>SME</t>
        </is>
      </c>
      <c r="F232" s="36" t="n">
        <v>20</v>
      </c>
      <c r="G232" s="36" t="n">
        <v>8</v>
      </c>
      <c r="H232" s="36" t="n">
        <v>26</v>
      </c>
      <c r="I232" s="36" t="n">
        <v>18</v>
      </c>
      <c r="J232" s="36" t="n">
        <v>5</v>
      </c>
      <c r="K232" s="28" t="n">
        <v>22</v>
      </c>
      <c r="L232" s="36" t="n">
        <v>7</v>
      </c>
      <c r="M232" s="36" t="n">
        <v>14</v>
      </c>
      <c r="N232" s="36" t="n">
        <v>8</v>
      </c>
      <c r="O232" s="36" t="n">
        <v>6</v>
      </c>
      <c r="P232" s="36" t="n">
        <v>26</v>
      </c>
      <c r="Q232" s="36" t="n">
        <v>6</v>
      </c>
      <c r="R232" s="28" t="n">
        <v>14</v>
      </c>
      <c r="S232" s="36" t="n">
        <v>32</v>
      </c>
      <c r="T232" s="36" t="n">
        <v>8</v>
      </c>
      <c r="U232" s="36" t="n">
        <v>18.4</v>
      </c>
      <c r="V232" s="36" t="n">
        <v>19.04</v>
      </c>
      <c r="W232" s="36" t="n">
        <v>18.54</v>
      </c>
      <c r="X232" s="36" t="n">
        <v>15.11</v>
      </c>
      <c r="Y232" s="28" t="n">
        <v>20.54</v>
      </c>
      <c r="Z232" s="36" t="n">
        <v>18.88</v>
      </c>
      <c r="AA232" s="36" t="n">
        <v>18.48</v>
      </c>
      <c r="AB232" s="36" t="n">
        <v>18.4</v>
      </c>
      <c r="AC232" s="36" t="n">
        <v>19.04</v>
      </c>
      <c r="AD232" s="36" t="n">
        <v>21.53</v>
      </c>
      <c r="AE232" s="36" t="n">
        <v>15.11</v>
      </c>
      <c r="AF232" s="28" t="n">
        <v>20.54</v>
      </c>
      <c r="AG232" s="36" t="n">
        <v>18.88</v>
      </c>
      <c r="AH232" s="37" t="n">
        <v>18.48</v>
      </c>
      <c r="AI232" s="37" t="n">
        <v>18.4</v>
      </c>
      <c r="AJ232" s="37" t="n">
        <v>19.04</v>
      </c>
      <c r="AK232" s="37" t="n">
        <v>18.54</v>
      </c>
      <c r="AL232" s="37" t="n">
        <v>15.11</v>
      </c>
      <c r="AM232" s="37" t="n">
        <v>20.54</v>
      </c>
      <c r="AN232" s="37" t="n">
        <v>18.88</v>
      </c>
      <c r="AO232" s="37" t="n">
        <v>18.48</v>
      </c>
      <c r="AP232" s="37" t="n">
        <v>18.4</v>
      </c>
      <c r="AQ232" s="37" t="n">
        <v>19.04</v>
      </c>
      <c r="AR232" s="37" t="n">
        <v>18.54</v>
      </c>
      <c r="AS232" s="37" t="n">
        <v>15.11</v>
      </c>
      <c r="AT232" s="37" t="n">
        <v>20.54</v>
      </c>
      <c r="AU232" s="37" t="n">
        <v>18.88</v>
      </c>
      <c r="AV232" s="37" t="n">
        <v>18.48</v>
      </c>
      <c r="AW232" s="37" t="n">
        <v>18.4</v>
      </c>
      <c r="AX232" s="37" t="n">
        <v>19.04</v>
      </c>
      <c r="AY232" s="37" t="n">
        <v>18.54</v>
      </c>
      <c r="AZ232" s="37" t="n">
        <v>15.11</v>
      </c>
      <c r="BA232" s="37" t="n">
        <v>19.51</v>
      </c>
      <c r="BB232" s="37" t="n">
        <v>17.37</v>
      </c>
      <c r="BC232" s="37" t="n">
        <v>10.62</v>
      </c>
      <c r="BD232" s="37" t="n">
        <v>8.290000000000001</v>
      </c>
      <c r="BE232" s="37" t="n">
        <v>17.86</v>
      </c>
      <c r="BF232" s="37" t="n">
        <v>17.39</v>
      </c>
      <c r="BG232" s="37" t="n">
        <v>15.59</v>
      </c>
      <c r="BH232" s="37" t="n">
        <v>21.18</v>
      </c>
      <c r="BI232" s="37" t="n">
        <v>19.47</v>
      </c>
      <c r="BJ232" s="37" t="n">
        <v>22.1</v>
      </c>
      <c r="BK232" s="37" t="n">
        <v>18.99</v>
      </c>
      <c r="BL232" s="37" t="n">
        <v>19.63</v>
      </c>
      <c r="BM232" s="37" t="n">
        <v>19.13</v>
      </c>
      <c r="BN232" s="37" t="n">
        <v>15.59</v>
      </c>
      <c r="BO232" s="37" t="n">
        <v>21.18</v>
      </c>
      <c r="BP232" s="37" t="n">
        <v>19.47</v>
      </c>
      <c r="BQ232" s="37" t="n">
        <v>19.06</v>
      </c>
      <c r="BR232" s="37" t="n">
        <v>18.99</v>
      </c>
      <c r="BS232" s="37" t="n">
        <v>19.63</v>
      </c>
      <c r="BT232" s="37" t="n">
        <v>19.13</v>
      </c>
      <c r="BU232" s="37" t="n">
        <v>15.59</v>
      </c>
      <c r="BV232" s="37" t="n">
        <v>21.18</v>
      </c>
      <c r="BW232" s="37" t="n">
        <v>19.47</v>
      </c>
      <c r="BX232" s="37" t="n">
        <v>19.06</v>
      </c>
      <c r="BY232" s="37" t="n">
        <v>18.99</v>
      </c>
      <c r="BZ232" s="37" t="n">
        <v>19.63</v>
      </c>
      <c r="CA232" s="37" t="n">
        <v>19.13</v>
      </c>
      <c r="CB232" s="37" t="n">
        <v>15.59</v>
      </c>
      <c r="CC232" s="37" t="n">
        <v>1318.86</v>
      </c>
    </row>
    <row r="233" ht="15.75" customHeight="1" s="57">
      <c r="A233" s="7" t="inlineStr">
        <is>
          <t>NTB</t>
        </is>
      </c>
      <c r="B233" s="7" t="inlineStr">
        <is>
          <t>Khánh Hòa</t>
        </is>
      </c>
      <c r="C233" s="7" t="n">
        <v>22793000</v>
      </c>
      <c r="D233" s="7" t="inlineStr">
        <is>
          <t>(KHO) Diên Thọ</t>
        </is>
      </c>
      <c r="E233" s="7" t="inlineStr">
        <is>
          <t>SME-Bulky</t>
        </is>
      </c>
      <c r="F233" s="36" t="n">
        <v>0</v>
      </c>
      <c r="G233" s="36" t="n">
        <v>1</v>
      </c>
      <c r="H233" s="36" t="n">
        <v>1</v>
      </c>
      <c r="I233" s="36" t="n">
        <v>3</v>
      </c>
      <c r="J233" s="36" t="n">
        <v>0</v>
      </c>
      <c r="K233" s="28" t="n">
        <v>0</v>
      </c>
      <c r="L233" s="36" t="n">
        <v>1</v>
      </c>
      <c r="M233" s="36" t="n">
        <v>1</v>
      </c>
      <c r="N233" s="36" t="n">
        <v>0</v>
      </c>
      <c r="O233" s="36" t="n">
        <v>2</v>
      </c>
      <c r="P233" s="36" t="n">
        <v>0</v>
      </c>
      <c r="Q233" s="36" t="n">
        <v>2</v>
      </c>
      <c r="R233" s="28" t="n">
        <v>1</v>
      </c>
      <c r="S233" s="36" t="n">
        <v>3</v>
      </c>
      <c r="T233" s="36" t="n">
        <v>1</v>
      </c>
      <c r="U233" s="36" t="n">
        <v>1.26</v>
      </c>
      <c r="V233" s="36" t="n">
        <v>1.29</v>
      </c>
      <c r="W233" s="36" t="n">
        <v>1.22</v>
      </c>
      <c r="X233" s="36" t="n">
        <v>0.84</v>
      </c>
      <c r="Y233" s="28" t="n">
        <v>1.38</v>
      </c>
      <c r="Z233" s="36" t="n">
        <v>1.32</v>
      </c>
      <c r="AA233" s="36" t="n">
        <v>1.31</v>
      </c>
      <c r="AB233" s="36" t="n">
        <v>1.26</v>
      </c>
      <c r="AC233" s="36" t="n">
        <v>1.29</v>
      </c>
      <c r="AD233" s="36" t="n">
        <v>0.84</v>
      </c>
      <c r="AE233" s="36" t="n">
        <v>0.84</v>
      </c>
      <c r="AF233" s="28" t="n">
        <v>1.38</v>
      </c>
      <c r="AG233" s="36" t="n">
        <v>1.32</v>
      </c>
      <c r="AH233" s="37" t="n">
        <v>1.31</v>
      </c>
      <c r="AI233" s="37" t="n">
        <v>1.26</v>
      </c>
      <c r="AJ233" s="37" t="n">
        <v>1.29</v>
      </c>
      <c r="AK233" s="37" t="n">
        <v>1.22</v>
      </c>
      <c r="AL233" s="37" t="n">
        <v>0.84</v>
      </c>
      <c r="AM233" s="37" t="n">
        <v>1.38</v>
      </c>
      <c r="AN233" s="37" t="n">
        <v>1.32</v>
      </c>
      <c r="AO233" s="37" t="n">
        <v>1.31</v>
      </c>
      <c r="AP233" s="37" t="n">
        <v>1.26</v>
      </c>
      <c r="AQ233" s="37" t="n">
        <v>1.29</v>
      </c>
      <c r="AR233" s="37" t="n">
        <v>1.22</v>
      </c>
      <c r="AS233" s="37" t="n">
        <v>0.84</v>
      </c>
      <c r="AT233" s="37" t="n">
        <v>1.38</v>
      </c>
      <c r="AU233" s="37" t="n">
        <v>1.32</v>
      </c>
      <c r="AV233" s="37" t="n">
        <v>1.31</v>
      </c>
      <c r="AW233" s="37" t="n">
        <v>1.26</v>
      </c>
      <c r="AX233" s="37" t="n">
        <v>1.29</v>
      </c>
      <c r="AY233" s="37" t="n">
        <v>1.22</v>
      </c>
      <c r="AZ233" s="37" t="n">
        <v>0.84</v>
      </c>
      <c r="BA233" s="37" t="n">
        <v>1.5</v>
      </c>
      <c r="BB233" s="37" t="n">
        <v>0.77</v>
      </c>
      <c r="BC233" s="37" t="n">
        <v>0.39</v>
      </c>
      <c r="BD233" s="37" t="n">
        <v>0.29</v>
      </c>
      <c r="BE233" s="37" t="n">
        <v>0.71</v>
      </c>
      <c r="BF233" s="37" t="n">
        <v>0.7</v>
      </c>
      <c r="BG233" s="37" t="n">
        <v>0.46</v>
      </c>
      <c r="BH233" s="37" t="n">
        <v>0.79</v>
      </c>
      <c r="BI233" s="37" t="n">
        <v>0.77</v>
      </c>
      <c r="BJ233" s="37" t="n">
        <v>0.58</v>
      </c>
      <c r="BK233" s="37" t="n">
        <v>0.72</v>
      </c>
      <c r="BL233" s="37" t="n">
        <v>0.74</v>
      </c>
      <c r="BM233" s="37" t="n">
        <v>0.7</v>
      </c>
      <c r="BN233" s="37" t="n">
        <v>0.46</v>
      </c>
      <c r="BO233" s="37" t="n">
        <v>0.79</v>
      </c>
      <c r="BP233" s="37" t="n">
        <v>0.77</v>
      </c>
      <c r="BQ233" s="37" t="n">
        <v>0.75</v>
      </c>
      <c r="BR233" s="37" t="n">
        <v>0.72</v>
      </c>
      <c r="BS233" s="37" t="n">
        <v>0.74</v>
      </c>
      <c r="BT233" s="37" t="n">
        <v>0.7</v>
      </c>
      <c r="BU233" s="37" t="n">
        <v>0.46</v>
      </c>
      <c r="BV233" s="37" t="n">
        <v>0.79</v>
      </c>
      <c r="BW233" s="37" t="n">
        <v>0.77</v>
      </c>
      <c r="BX233" s="37" t="n">
        <v>0.75</v>
      </c>
      <c r="BY233" s="37" t="n">
        <v>0.72</v>
      </c>
      <c r="BZ233" s="37" t="n">
        <v>0.74</v>
      </c>
      <c r="CA233" s="37" t="n">
        <v>0.7</v>
      </c>
      <c r="CB233" s="37" t="n">
        <v>0.46</v>
      </c>
      <c r="CC233" s="37" t="n">
        <v>74.15000000000001</v>
      </c>
    </row>
    <row r="234" ht="15.75" customHeight="1" s="57">
      <c r="A234" s="7" t="inlineStr">
        <is>
          <t>NTB</t>
        </is>
      </c>
      <c r="B234" s="7" t="inlineStr">
        <is>
          <t>Khánh Hòa</t>
        </is>
      </c>
      <c r="C234" s="7" t="n">
        <v>22793000</v>
      </c>
      <c r="D234" s="7" t="inlineStr">
        <is>
          <t>(KHO) Diên Thọ</t>
        </is>
      </c>
      <c r="E234" s="7" t="inlineStr">
        <is>
          <t>Shopee</t>
        </is>
      </c>
      <c r="F234" s="36" t="n">
        <v>10</v>
      </c>
      <c r="G234" s="36" t="n">
        <v>8</v>
      </c>
      <c r="H234" s="36" t="n">
        <v>4</v>
      </c>
      <c r="I234" s="36" t="n">
        <v>4</v>
      </c>
      <c r="J234" s="36" t="n">
        <v>6</v>
      </c>
      <c r="K234" s="28" t="n">
        <v>16</v>
      </c>
      <c r="L234" s="36" t="n">
        <v>5</v>
      </c>
      <c r="M234" s="36" t="n">
        <v>4</v>
      </c>
      <c r="N234" s="36" t="n">
        <v>9</v>
      </c>
      <c r="O234" s="36" t="n">
        <v>7</v>
      </c>
      <c r="P234" s="36" t="n">
        <v>8</v>
      </c>
      <c r="Q234" s="36" t="n">
        <v>4</v>
      </c>
      <c r="R234" s="28" t="n">
        <v>14</v>
      </c>
      <c r="S234" s="36" t="n">
        <v>9</v>
      </c>
      <c r="T234" s="36" t="n">
        <v>15</v>
      </c>
      <c r="U234" s="36" t="n">
        <v>11.07</v>
      </c>
      <c r="V234" s="36" t="n">
        <v>11.12</v>
      </c>
      <c r="W234" s="36" t="n">
        <v>10.73</v>
      </c>
      <c r="X234" s="36" t="n">
        <v>9.24</v>
      </c>
      <c r="Y234" s="28" t="n">
        <v>14.93</v>
      </c>
      <c r="Z234" s="36" t="n">
        <v>11.8</v>
      </c>
      <c r="AA234" s="36" t="n">
        <v>14.4</v>
      </c>
      <c r="AB234" s="36" t="n">
        <v>11.32</v>
      </c>
      <c r="AC234" s="36" t="n">
        <v>9.16</v>
      </c>
      <c r="AD234" s="36" t="n">
        <v>21.07</v>
      </c>
      <c r="AE234" s="36" t="n">
        <v>9.800000000000001</v>
      </c>
      <c r="AF234" s="28" t="n">
        <v>16.5</v>
      </c>
      <c r="AG234" s="36" t="n">
        <v>12.39</v>
      </c>
      <c r="AH234" s="37" t="n">
        <v>13.15</v>
      </c>
      <c r="AI234" s="37" t="n">
        <v>11.07</v>
      </c>
      <c r="AJ234" s="37" t="n">
        <v>11.12</v>
      </c>
      <c r="AK234" s="37" t="n">
        <v>11.76</v>
      </c>
      <c r="AL234" s="37" t="n">
        <v>16.55</v>
      </c>
      <c r="AM234" s="37" t="n">
        <v>14.93</v>
      </c>
      <c r="AN234" s="37" t="n">
        <v>11.8</v>
      </c>
      <c r="AO234" s="37" t="n">
        <v>13.15</v>
      </c>
      <c r="AP234" s="37" t="n">
        <v>12.17</v>
      </c>
      <c r="AQ234" s="37" t="n">
        <v>8.94</v>
      </c>
      <c r="AR234" s="37" t="n">
        <v>10.73</v>
      </c>
      <c r="AS234" s="37" t="n">
        <v>9.24</v>
      </c>
      <c r="AT234" s="37" t="n">
        <v>14.93</v>
      </c>
      <c r="AU234" s="37" t="n">
        <v>13</v>
      </c>
      <c r="AV234" s="37" t="n">
        <v>13.42</v>
      </c>
      <c r="AW234" s="37" t="n">
        <v>11.07</v>
      </c>
      <c r="AX234" s="37" t="n">
        <v>11.12</v>
      </c>
      <c r="AY234" s="37" t="n">
        <v>10.73</v>
      </c>
      <c r="AZ234" s="37" t="n">
        <v>9.24</v>
      </c>
      <c r="BA234" s="37" t="n">
        <v>12.78</v>
      </c>
      <c r="BB234" s="37" t="n">
        <v>8.869999999999999</v>
      </c>
      <c r="BC234" s="37" t="n">
        <v>3.96</v>
      </c>
      <c r="BD234" s="37" t="n">
        <v>6.65</v>
      </c>
      <c r="BE234" s="37" t="n">
        <v>13.32</v>
      </c>
      <c r="BF234" s="37" t="n">
        <v>12.81</v>
      </c>
      <c r="BG234" s="37" t="n">
        <v>9.050000000000001</v>
      </c>
      <c r="BH234" s="37" t="n">
        <v>14.22</v>
      </c>
      <c r="BI234" s="37" t="n">
        <v>9.289999999999999</v>
      </c>
      <c r="BJ234" s="37" t="n">
        <v>29.74</v>
      </c>
      <c r="BK234" s="37" t="n">
        <v>11.34</v>
      </c>
      <c r="BL234" s="37" t="n">
        <v>11.17</v>
      </c>
      <c r="BM234" s="37" t="n">
        <v>10.27</v>
      </c>
      <c r="BN234" s="37" t="n">
        <v>8.890000000000001</v>
      </c>
      <c r="BO234" s="37" t="n">
        <v>14.22</v>
      </c>
      <c r="BP234" s="37" t="n">
        <v>12.42</v>
      </c>
      <c r="BQ234" s="37" t="n">
        <v>19.09</v>
      </c>
      <c r="BR234" s="37" t="n">
        <v>10.59</v>
      </c>
      <c r="BS234" s="37" t="n">
        <v>10.65</v>
      </c>
      <c r="BT234" s="37" t="n">
        <v>10.27</v>
      </c>
      <c r="BU234" s="37" t="n">
        <v>9.710000000000001</v>
      </c>
      <c r="BV234" s="37" t="n">
        <v>11.48</v>
      </c>
      <c r="BW234" s="37" t="n">
        <v>11.27</v>
      </c>
      <c r="BX234" s="37" t="n">
        <v>12.54</v>
      </c>
      <c r="BY234" s="37" t="n">
        <v>10.59</v>
      </c>
      <c r="BZ234" s="37" t="n">
        <v>11.68</v>
      </c>
      <c r="CA234" s="37" t="n">
        <v>10.43</v>
      </c>
      <c r="CB234" s="37" t="n">
        <v>8.890000000000001</v>
      </c>
      <c r="CC234" s="37" t="n">
        <v>840.8399999999998</v>
      </c>
    </row>
    <row r="235" ht="15.75" customHeight="1" s="57">
      <c r="A235" s="7" t="inlineStr">
        <is>
          <t>NTB</t>
        </is>
      </c>
      <c r="B235" s="7" t="inlineStr">
        <is>
          <t>Khánh Hòa</t>
        </is>
      </c>
      <c r="C235" s="7" t="n">
        <v>22793000</v>
      </c>
      <c r="D235" s="7" t="inlineStr">
        <is>
          <t>(KHO) Diên Thọ</t>
        </is>
      </c>
      <c r="E235" s="7" t="inlineStr">
        <is>
          <t>Shopee-Bulky</t>
        </is>
      </c>
      <c r="F235" s="36" t="n">
        <v>0</v>
      </c>
      <c r="G235" s="36" t="n">
        <v>0</v>
      </c>
      <c r="H235" s="36" t="n">
        <v>0</v>
      </c>
      <c r="I235" s="36" t="n">
        <v>0</v>
      </c>
      <c r="J235" s="36" t="n">
        <v>0</v>
      </c>
      <c r="K235" s="28" t="n">
        <v>0.57</v>
      </c>
      <c r="L235" s="36" t="n">
        <v>0</v>
      </c>
      <c r="M235" s="36" t="n">
        <v>0</v>
      </c>
      <c r="N235" s="36" t="n">
        <v>0</v>
      </c>
      <c r="O235" s="36" t="n">
        <v>0.57</v>
      </c>
      <c r="P235" s="36" t="n">
        <v>0</v>
      </c>
      <c r="Q235" s="36" t="n">
        <v>0</v>
      </c>
      <c r="R235" s="28" t="n">
        <v>0.57</v>
      </c>
      <c r="S235" s="36" t="n">
        <v>0.57</v>
      </c>
      <c r="T235" s="36" t="n">
        <v>0.57</v>
      </c>
      <c r="U235" s="36" t="n">
        <v>0.38</v>
      </c>
      <c r="V235" s="36" t="n">
        <v>0.36</v>
      </c>
      <c r="W235" s="36" t="n">
        <v>0.43</v>
      </c>
      <c r="X235" s="36" t="n">
        <v>0.23</v>
      </c>
      <c r="Y235" s="28" t="n">
        <v>0.57</v>
      </c>
      <c r="Z235" s="36" t="n">
        <v>0.44</v>
      </c>
      <c r="AA235" s="36" t="n">
        <v>0.65</v>
      </c>
      <c r="AB235" s="36" t="n">
        <v>0.44</v>
      </c>
      <c r="AC235" s="36" t="n">
        <v>0.47</v>
      </c>
      <c r="AD235" s="36" t="n">
        <v>1.73</v>
      </c>
      <c r="AE235" s="36" t="n">
        <v>1.17</v>
      </c>
      <c r="AF235" s="28" t="n">
        <v>1.36</v>
      </c>
      <c r="AG235" s="36" t="n">
        <v>0.61</v>
      </c>
      <c r="AH235" s="37" t="n">
        <v>0.44</v>
      </c>
      <c r="AI235" s="37" t="n">
        <v>0.43</v>
      </c>
      <c r="AJ235" s="37" t="n">
        <v>0.39</v>
      </c>
      <c r="AK235" s="37" t="n">
        <v>0.86</v>
      </c>
      <c r="AL235" s="37" t="n">
        <v>0.49</v>
      </c>
      <c r="AM235" s="37" t="n">
        <v>0.73</v>
      </c>
      <c r="AN235" s="37" t="n">
        <v>0.44</v>
      </c>
      <c r="AO235" s="37" t="n">
        <v>0.42</v>
      </c>
      <c r="AP235" s="37" t="n">
        <v>0.75</v>
      </c>
      <c r="AQ235" s="37" t="n">
        <v>0.54</v>
      </c>
      <c r="AR235" s="37" t="n">
        <v>0.37</v>
      </c>
      <c r="AS235" s="37" t="n">
        <v>0.19</v>
      </c>
      <c r="AT235" s="37" t="n">
        <v>0.54</v>
      </c>
      <c r="AU235" s="37" t="n">
        <v>0.91</v>
      </c>
      <c r="AV235" s="37" t="n">
        <v>0.91</v>
      </c>
      <c r="AW235" s="37" t="n">
        <v>0.42</v>
      </c>
      <c r="AX235" s="37" t="n">
        <v>0.39</v>
      </c>
      <c r="AY235" s="37" t="n">
        <v>0.36</v>
      </c>
      <c r="AZ235" s="37" t="n">
        <v>0.19</v>
      </c>
      <c r="BA235" s="37" t="n">
        <v>0.5</v>
      </c>
      <c r="BB235" s="37" t="n">
        <v>0.35</v>
      </c>
      <c r="BC235" s="37" t="n">
        <v>0.11</v>
      </c>
      <c r="BD235" s="37" t="n">
        <v>0.17</v>
      </c>
      <c r="BE235" s="37" t="n">
        <v>0.57</v>
      </c>
      <c r="BF235" s="37" t="n">
        <v>0.49</v>
      </c>
      <c r="BG235" s="37" t="n">
        <v>0.25</v>
      </c>
      <c r="BH235" s="37" t="n">
        <v>0.61</v>
      </c>
      <c r="BI235" s="37" t="n">
        <v>0.55</v>
      </c>
      <c r="BJ235" s="37" t="n">
        <v>3.49</v>
      </c>
      <c r="BK235" s="37" t="n">
        <v>1.17</v>
      </c>
      <c r="BL235" s="37" t="n">
        <v>0.61</v>
      </c>
      <c r="BM235" s="37" t="n">
        <v>0.42</v>
      </c>
      <c r="BN235" s="37" t="n">
        <v>0.25</v>
      </c>
      <c r="BO235" s="37" t="n">
        <v>0.73</v>
      </c>
      <c r="BP235" s="37" t="n">
        <v>1.1</v>
      </c>
      <c r="BQ235" s="37" t="n">
        <v>0.8</v>
      </c>
      <c r="BR235" s="37" t="n">
        <v>0.53</v>
      </c>
      <c r="BS235" s="37" t="n">
        <v>0.49</v>
      </c>
      <c r="BT235" s="37" t="n">
        <v>0.35</v>
      </c>
      <c r="BU235" s="37" t="n">
        <v>0.61</v>
      </c>
      <c r="BV235" s="37" t="n">
        <v>0.67</v>
      </c>
      <c r="BW235" s="37" t="n">
        <v>0.55</v>
      </c>
      <c r="BX235" s="37" t="n">
        <v>0.53</v>
      </c>
      <c r="BY235" s="37" t="n">
        <v>0.53</v>
      </c>
      <c r="BZ235" s="37" t="n">
        <v>0.74</v>
      </c>
      <c r="CA235" s="37" t="n">
        <v>0.49</v>
      </c>
      <c r="CB235" s="37" t="n">
        <v>0.25</v>
      </c>
      <c r="CC235" s="37" t="n">
        <v>39.37000000000001</v>
      </c>
    </row>
    <row r="236" ht="15.75" customHeight="1" s="57">
      <c r="A236" s="7" t="inlineStr">
        <is>
          <t>NTB</t>
        </is>
      </c>
      <c r="B236" s="7" t="inlineStr">
        <is>
          <t>Khánh Hòa</t>
        </is>
      </c>
      <c r="C236" s="7" t="n">
        <v>22793000</v>
      </c>
      <c r="D236" s="7" t="inlineStr">
        <is>
          <t>(KHO) Diên Thọ</t>
        </is>
      </c>
      <c r="E236" s="7" t="inlineStr">
        <is>
          <t>Shopee-Bulky (10-15kg)</t>
        </is>
      </c>
      <c r="F236" s="36" t="n">
        <v>0</v>
      </c>
      <c r="G236" s="36" t="n">
        <v>0</v>
      </c>
      <c r="H236" s="36" t="n">
        <v>0</v>
      </c>
      <c r="I236" s="36" t="n">
        <v>0</v>
      </c>
      <c r="J236" s="36" t="n">
        <v>0</v>
      </c>
      <c r="K236" s="28" t="n">
        <v>0.43</v>
      </c>
      <c r="L236" s="36" t="n">
        <v>0</v>
      </c>
      <c r="M236" s="36" t="n">
        <v>0</v>
      </c>
      <c r="N236" s="36" t="n">
        <v>0</v>
      </c>
      <c r="O236" s="36" t="n">
        <v>0.43</v>
      </c>
      <c r="P236" s="36" t="n">
        <v>0</v>
      </c>
      <c r="Q236" s="36" t="n">
        <v>0</v>
      </c>
      <c r="R236" s="28" t="n">
        <v>0.43</v>
      </c>
      <c r="S236" s="36" t="n">
        <v>0.43</v>
      </c>
      <c r="T236" s="36" t="n">
        <v>0.43</v>
      </c>
      <c r="U236" s="36" t="n">
        <v>0.27</v>
      </c>
      <c r="V236" s="36" t="n">
        <v>0.29</v>
      </c>
      <c r="W236" s="36" t="n">
        <v>0.35</v>
      </c>
      <c r="X236" s="36" t="n">
        <v>0.22</v>
      </c>
      <c r="Y236" s="28" t="n">
        <v>0.37</v>
      </c>
      <c r="Z236" s="36" t="n">
        <v>0.29</v>
      </c>
      <c r="AA236" s="36" t="n">
        <v>0.41</v>
      </c>
      <c r="AB236" s="36" t="n">
        <v>0.29</v>
      </c>
      <c r="AC236" s="36" t="n">
        <v>0.33</v>
      </c>
      <c r="AD236" s="36" t="n">
        <v>1.51</v>
      </c>
      <c r="AE236" s="36" t="n">
        <v>0.8100000000000001</v>
      </c>
      <c r="AF236" s="28" t="n">
        <v>0.85</v>
      </c>
      <c r="AG236" s="36" t="n">
        <v>0.45</v>
      </c>
      <c r="AH236" s="37" t="n">
        <v>0.29</v>
      </c>
      <c r="AI236" s="37" t="n">
        <v>0.31</v>
      </c>
      <c r="AJ236" s="37" t="n">
        <v>0.3</v>
      </c>
      <c r="AK236" s="37" t="n">
        <v>0.6</v>
      </c>
      <c r="AL236" s="37" t="n">
        <v>0.36</v>
      </c>
      <c r="AM236" s="37" t="n">
        <v>0.48</v>
      </c>
      <c r="AN236" s="37" t="n">
        <v>0.29</v>
      </c>
      <c r="AO236" s="37" t="n">
        <v>0.29</v>
      </c>
      <c r="AP236" s="37" t="n">
        <v>0.45</v>
      </c>
      <c r="AQ236" s="37" t="n">
        <v>0.39</v>
      </c>
      <c r="AR236" s="37" t="n">
        <v>0.3</v>
      </c>
      <c r="AS236" s="37" t="n">
        <v>0.17</v>
      </c>
      <c r="AT236" s="37" t="n">
        <v>0.36</v>
      </c>
      <c r="AU236" s="37" t="n">
        <v>0.66</v>
      </c>
      <c r="AV236" s="37" t="n">
        <v>0.63</v>
      </c>
      <c r="AW236" s="37" t="n">
        <v>0.29</v>
      </c>
      <c r="AX236" s="37" t="n">
        <v>0.29</v>
      </c>
      <c r="AY236" s="37" t="n">
        <v>0.3</v>
      </c>
      <c r="AZ236" s="37" t="n">
        <v>0.17</v>
      </c>
      <c r="BA236" s="37" t="n">
        <v>0.36</v>
      </c>
      <c r="BB236" s="37" t="n">
        <v>0.25</v>
      </c>
      <c r="BC236" s="37" t="n">
        <v>0.05</v>
      </c>
      <c r="BD236" s="37" t="n">
        <v>0.13</v>
      </c>
      <c r="BE236" s="37" t="n">
        <v>0.38</v>
      </c>
      <c r="BF236" s="37" t="n">
        <v>0.32</v>
      </c>
      <c r="BG236" s="37" t="n">
        <v>0.25</v>
      </c>
      <c r="BH236" s="37" t="n">
        <v>0.44</v>
      </c>
      <c r="BI236" s="37" t="n">
        <v>0.33</v>
      </c>
      <c r="BJ236" s="37" t="n">
        <v>1.97</v>
      </c>
      <c r="BK236" s="37" t="n">
        <v>0.68</v>
      </c>
      <c r="BL236" s="37" t="n">
        <v>0.44</v>
      </c>
      <c r="BM236" s="37" t="n">
        <v>0.29</v>
      </c>
      <c r="BN236" s="37" t="n">
        <v>0.23</v>
      </c>
      <c r="BO236" s="37" t="n">
        <v>0.5</v>
      </c>
      <c r="BP236" s="37" t="n">
        <v>0.73</v>
      </c>
      <c r="BQ236" s="37" t="n">
        <v>0.5600000000000001</v>
      </c>
      <c r="BR236" s="37" t="n">
        <v>0.32</v>
      </c>
      <c r="BS236" s="37" t="n">
        <v>0.32</v>
      </c>
      <c r="BT236" s="37" t="n">
        <v>0.26</v>
      </c>
      <c r="BU236" s="37" t="n">
        <v>0.41</v>
      </c>
      <c r="BV236" s="37" t="n">
        <v>0.47</v>
      </c>
      <c r="BW236" s="37" t="n">
        <v>0.33</v>
      </c>
      <c r="BX236" s="37" t="n">
        <v>0.33</v>
      </c>
      <c r="BY236" s="37" t="n">
        <v>0.32</v>
      </c>
      <c r="BZ236" s="37" t="n">
        <v>0.5600000000000001</v>
      </c>
      <c r="CA236" s="37" t="n">
        <v>0.36</v>
      </c>
      <c r="CB236" s="37" t="n">
        <v>0.23</v>
      </c>
      <c r="CC236" s="37" t="n">
        <v>27.33999999999999</v>
      </c>
    </row>
    <row r="237" ht="15.75" customHeight="1" s="57">
      <c r="A237" s="7" t="inlineStr">
        <is>
          <t>NTB</t>
        </is>
      </c>
      <c r="B237" s="7" t="inlineStr">
        <is>
          <t>Khánh Hòa</t>
        </is>
      </c>
      <c r="C237" s="7" t="n">
        <v>22793000</v>
      </c>
      <c r="D237" s="7" t="inlineStr">
        <is>
          <t>(KHO) Diên Thọ</t>
        </is>
      </c>
      <c r="E237" s="7" t="inlineStr">
        <is>
          <t>TTS</t>
        </is>
      </c>
      <c r="F237" s="36" t="n">
        <v>4</v>
      </c>
      <c r="G237" s="36" t="n">
        <v>5</v>
      </c>
      <c r="H237" s="36" t="n">
        <v>2</v>
      </c>
      <c r="I237" s="36" t="n">
        <v>6</v>
      </c>
      <c r="J237" s="36" t="n">
        <v>4</v>
      </c>
      <c r="K237" s="28" t="n">
        <v>11</v>
      </c>
      <c r="L237" s="36" t="n">
        <v>6</v>
      </c>
      <c r="M237" s="36" t="n">
        <v>7</v>
      </c>
      <c r="N237" s="36" t="n">
        <v>7</v>
      </c>
      <c r="O237" s="36" t="n">
        <v>7</v>
      </c>
      <c r="P237" s="36" t="n">
        <v>3</v>
      </c>
      <c r="Q237" s="36" t="n">
        <v>5</v>
      </c>
      <c r="R237" s="28" t="n">
        <v>8</v>
      </c>
      <c r="S237" s="36" t="n">
        <v>10</v>
      </c>
      <c r="T237" s="36" t="n">
        <v>4</v>
      </c>
      <c r="U237" s="36" t="n">
        <v>6.38</v>
      </c>
      <c r="V237" s="36" t="n">
        <v>6.24</v>
      </c>
      <c r="W237" s="36" t="n">
        <v>6.1</v>
      </c>
      <c r="X237" s="36" t="n">
        <v>4.92</v>
      </c>
      <c r="Y237" s="28" t="n">
        <v>7.14</v>
      </c>
      <c r="Z237" s="36" t="n">
        <v>6.09</v>
      </c>
      <c r="AA237" s="36" t="n">
        <v>6.85</v>
      </c>
      <c r="AB237" s="36" t="n">
        <v>7.52</v>
      </c>
      <c r="AC237" s="36" t="n">
        <v>7.94</v>
      </c>
      <c r="AD237" s="36" t="n">
        <v>7.59</v>
      </c>
      <c r="AE237" s="36" t="n">
        <v>5.7</v>
      </c>
      <c r="AF237" s="28" t="n">
        <v>7.36</v>
      </c>
      <c r="AG237" s="36" t="n">
        <v>6.22</v>
      </c>
      <c r="AH237" s="37" t="n">
        <v>6.15</v>
      </c>
      <c r="AI237" s="37" t="n">
        <v>7.12</v>
      </c>
      <c r="AJ237" s="37" t="n">
        <v>7.58</v>
      </c>
      <c r="AK237" s="37" t="n">
        <v>7.5</v>
      </c>
      <c r="AL237" s="37" t="n">
        <v>5.35</v>
      </c>
      <c r="AM237" s="37" t="n">
        <v>7.22</v>
      </c>
      <c r="AN237" s="37" t="n">
        <v>6.26</v>
      </c>
      <c r="AO237" s="37" t="n">
        <v>6.25</v>
      </c>
      <c r="AP237" s="37" t="n">
        <v>6.06</v>
      </c>
      <c r="AQ237" s="37" t="n">
        <v>6.12</v>
      </c>
      <c r="AR237" s="37" t="n">
        <v>6.03</v>
      </c>
      <c r="AS237" s="37" t="n">
        <v>4.93</v>
      </c>
      <c r="AT237" s="37" t="n">
        <v>7.81</v>
      </c>
      <c r="AU237" s="37" t="n">
        <v>7.11</v>
      </c>
      <c r="AV237" s="37" t="n">
        <v>6.32</v>
      </c>
      <c r="AW237" s="37" t="n">
        <v>6.02</v>
      </c>
      <c r="AX237" s="37" t="n">
        <v>5.91</v>
      </c>
      <c r="AY237" s="37" t="n">
        <v>5.93</v>
      </c>
      <c r="AZ237" s="37" t="n">
        <v>4.93</v>
      </c>
      <c r="BA237" s="37" t="n">
        <v>7.04</v>
      </c>
      <c r="BB237" s="37" t="n">
        <v>6.61</v>
      </c>
      <c r="BC237" s="37" t="n">
        <v>3.48</v>
      </c>
      <c r="BD237" s="37" t="n">
        <v>4.84</v>
      </c>
      <c r="BE237" s="37" t="n">
        <v>11.11</v>
      </c>
      <c r="BF237" s="37" t="n">
        <v>10.8</v>
      </c>
      <c r="BG237" s="37" t="n">
        <v>5.35</v>
      </c>
      <c r="BH237" s="37" t="n">
        <v>7.8</v>
      </c>
      <c r="BI237" s="37" t="n">
        <v>6.61</v>
      </c>
      <c r="BJ237" s="37" t="n">
        <v>5.81</v>
      </c>
      <c r="BK237" s="37" t="n">
        <v>6.72</v>
      </c>
      <c r="BL237" s="37" t="n">
        <v>6.72</v>
      </c>
      <c r="BM237" s="37" t="n">
        <v>6.52</v>
      </c>
      <c r="BN237" s="37" t="n">
        <v>5.35</v>
      </c>
      <c r="BO237" s="37" t="n">
        <v>7.8</v>
      </c>
      <c r="BP237" s="37" t="n">
        <v>6.61</v>
      </c>
      <c r="BQ237" s="37" t="n">
        <v>6.53</v>
      </c>
      <c r="BR237" s="37" t="n">
        <v>6.72</v>
      </c>
      <c r="BS237" s="37" t="n">
        <v>6.72</v>
      </c>
      <c r="BT237" s="37" t="n">
        <v>6.52</v>
      </c>
      <c r="BU237" s="37" t="n">
        <v>5.35</v>
      </c>
      <c r="BV237" s="37" t="n">
        <v>7.8</v>
      </c>
      <c r="BW237" s="37" t="n">
        <v>6.61</v>
      </c>
      <c r="BX237" s="37" t="n">
        <v>6.53</v>
      </c>
      <c r="BY237" s="37" t="n">
        <v>6.72</v>
      </c>
      <c r="BZ237" s="37" t="n">
        <v>6.72</v>
      </c>
      <c r="CA237" s="37" t="n">
        <v>6.52</v>
      </c>
      <c r="CB237" s="37" t="n">
        <v>5.35</v>
      </c>
      <c r="CC237" s="37" t="n">
        <v>482.9100000000003</v>
      </c>
    </row>
    <row r="238" ht="15.75" customHeight="1" s="57">
      <c r="A238" s="7" t="inlineStr">
        <is>
          <t>NTB</t>
        </is>
      </c>
      <c r="B238" s="7" t="inlineStr">
        <is>
          <t>Khánh Hòa</t>
        </is>
      </c>
      <c r="C238" s="7" t="n">
        <v>22830000</v>
      </c>
      <c r="D238" s="7" t="inlineStr">
        <is>
          <t>(KHO) Cam Linh</t>
        </is>
      </c>
      <c r="E238" s="7" t="inlineStr">
        <is>
          <t>SME</t>
        </is>
      </c>
      <c r="F238" s="36" t="n">
        <v>21</v>
      </c>
      <c r="G238" s="36" t="n">
        <v>45</v>
      </c>
      <c r="H238" s="36" t="n">
        <v>44</v>
      </c>
      <c r="I238" s="36" t="n">
        <v>26</v>
      </c>
      <c r="J238" s="36" t="n">
        <v>19</v>
      </c>
      <c r="K238" s="28" t="n">
        <v>45</v>
      </c>
      <c r="L238" s="36" t="n">
        <v>55</v>
      </c>
      <c r="M238" s="36" t="n">
        <v>22</v>
      </c>
      <c r="N238" s="36" t="n">
        <v>57</v>
      </c>
      <c r="O238" s="36" t="n">
        <v>35</v>
      </c>
      <c r="P238" s="36" t="n">
        <v>51</v>
      </c>
      <c r="Q238" s="36" t="n">
        <v>21</v>
      </c>
      <c r="R238" s="28" t="n">
        <v>32</v>
      </c>
      <c r="S238" s="36" t="n">
        <v>36</v>
      </c>
      <c r="T238" s="36" t="n">
        <v>55</v>
      </c>
      <c r="U238" s="36" t="n">
        <v>52.77999999999999</v>
      </c>
      <c r="V238" s="36" t="n">
        <v>54.6</v>
      </c>
      <c r="W238" s="36" t="n">
        <v>53.21</v>
      </c>
      <c r="X238" s="36" t="n">
        <v>43.38</v>
      </c>
      <c r="Y238" s="28" t="n">
        <v>58.93</v>
      </c>
      <c r="Z238" s="36" t="n">
        <v>54.16</v>
      </c>
      <c r="AA238" s="36" t="n">
        <v>53.03</v>
      </c>
      <c r="AB238" s="36" t="n">
        <v>52.77999999999999</v>
      </c>
      <c r="AC238" s="36" t="n">
        <v>54.6</v>
      </c>
      <c r="AD238" s="36" t="n">
        <v>61.78</v>
      </c>
      <c r="AE238" s="36" t="n">
        <v>43.38</v>
      </c>
      <c r="AF238" s="28" t="n">
        <v>58.93</v>
      </c>
      <c r="AG238" s="36" t="n">
        <v>54.16</v>
      </c>
      <c r="AH238" s="37" t="n">
        <v>53.03</v>
      </c>
      <c r="AI238" s="37" t="n">
        <v>52.77999999999999</v>
      </c>
      <c r="AJ238" s="37" t="n">
        <v>54.6</v>
      </c>
      <c r="AK238" s="37" t="n">
        <v>53.21</v>
      </c>
      <c r="AL238" s="37" t="n">
        <v>43.38</v>
      </c>
      <c r="AM238" s="37" t="n">
        <v>58.93</v>
      </c>
      <c r="AN238" s="37" t="n">
        <v>54.16</v>
      </c>
      <c r="AO238" s="37" t="n">
        <v>53.03</v>
      </c>
      <c r="AP238" s="37" t="n">
        <v>52.77999999999999</v>
      </c>
      <c r="AQ238" s="37" t="n">
        <v>54.6</v>
      </c>
      <c r="AR238" s="37" t="n">
        <v>53.21</v>
      </c>
      <c r="AS238" s="37" t="n">
        <v>43.38</v>
      </c>
      <c r="AT238" s="37" t="n">
        <v>58.93</v>
      </c>
      <c r="AU238" s="37" t="n">
        <v>54.16</v>
      </c>
      <c r="AV238" s="37" t="n">
        <v>53.03</v>
      </c>
      <c r="AW238" s="37" t="n">
        <v>52.77999999999999</v>
      </c>
      <c r="AX238" s="37" t="n">
        <v>54.6</v>
      </c>
      <c r="AY238" s="37" t="n">
        <v>53.21</v>
      </c>
      <c r="AZ238" s="37" t="n">
        <v>43.38</v>
      </c>
      <c r="BA238" s="37" t="n">
        <v>55.97</v>
      </c>
      <c r="BB238" s="37" t="n">
        <v>49.88</v>
      </c>
      <c r="BC238" s="37" t="n">
        <v>30.58</v>
      </c>
      <c r="BD238" s="37" t="n">
        <v>23.87</v>
      </c>
      <c r="BE238" s="37" t="n">
        <v>51.3</v>
      </c>
      <c r="BF238" s="37" t="n">
        <v>49.95</v>
      </c>
      <c r="BG238" s="37" t="n">
        <v>44.79</v>
      </c>
      <c r="BH238" s="37" t="n">
        <v>60.81</v>
      </c>
      <c r="BI238" s="37" t="n">
        <v>55.88</v>
      </c>
      <c r="BJ238" s="37" t="n">
        <v>63.46</v>
      </c>
      <c r="BK238" s="37" t="n">
        <v>54.5</v>
      </c>
      <c r="BL238" s="37" t="n">
        <v>56.34</v>
      </c>
      <c r="BM238" s="37" t="n">
        <v>54.93</v>
      </c>
      <c r="BN238" s="37" t="n">
        <v>44.79</v>
      </c>
      <c r="BO238" s="37" t="n">
        <v>60.81</v>
      </c>
      <c r="BP238" s="37" t="n">
        <v>55.88</v>
      </c>
      <c r="BQ238" s="37" t="n">
        <v>54.75</v>
      </c>
      <c r="BR238" s="37" t="n">
        <v>54.5</v>
      </c>
      <c r="BS238" s="37" t="n">
        <v>56.34</v>
      </c>
      <c r="BT238" s="37" t="n">
        <v>54.93</v>
      </c>
      <c r="BU238" s="37" t="n">
        <v>44.79</v>
      </c>
      <c r="BV238" s="37" t="n">
        <v>60.81</v>
      </c>
      <c r="BW238" s="37" t="n">
        <v>55.88</v>
      </c>
      <c r="BX238" s="37" t="n">
        <v>54.75</v>
      </c>
      <c r="BY238" s="37" t="n">
        <v>54.5</v>
      </c>
      <c r="BZ238" s="37" t="n">
        <v>56.34</v>
      </c>
      <c r="CA238" s="37" t="n">
        <v>54.93</v>
      </c>
      <c r="CB238" s="37" t="n">
        <v>44.79</v>
      </c>
      <c r="CC238" s="37" t="n">
        <v>3717.95</v>
      </c>
    </row>
    <row r="239" ht="15.75" customHeight="1" s="57">
      <c r="A239" s="7" t="inlineStr">
        <is>
          <t>NTB</t>
        </is>
      </c>
      <c r="B239" s="7" t="inlineStr">
        <is>
          <t>Khánh Hòa</t>
        </is>
      </c>
      <c r="C239" s="7" t="n">
        <v>22830000</v>
      </c>
      <c r="D239" s="7" t="inlineStr">
        <is>
          <t>(KHO) Cam Linh</t>
        </is>
      </c>
      <c r="E239" s="7" t="inlineStr">
        <is>
          <t>SME-Bulky</t>
        </is>
      </c>
      <c r="F239" s="36" t="n">
        <v>2</v>
      </c>
      <c r="G239" s="36" t="n">
        <v>0</v>
      </c>
      <c r="H239" s="36" t="n">
        <v>1</v>
      </c>
      <c r="I239" s="36" t="n">
        <v>7</v>
      </c>
      <c r="J239" s="36" t="n">
        <v>1</v>
      </c>
      <c r="K239" s="28" t="n">
        <v>1</v>
      </c>
      <c r="L239" s="36" t="n">
        <v>2</v>
      </c>
      <c r="M239" s="36" t="n">
        <v>2</v>
      </c>
      <c r="N239" s="36" t="n">
        <v>13</v>
      </c>
      <c r="O239" s="36" t="n">
        <v>0</v>
      </c>
      <c r="P239" s="36" t="n">
        <v>7</v>
      </c>
      <c r="Q239" s="36" t="n">
        <v>3</v>
      </c>
      <c r="R239" s="28" t="n">
        <v>0</v>
      </c>
      <c r="S239" s="36" t="n">
        <v>1</v>
      </c>
      <c r="T239" s="36" t="n">
        <v>0</v>
      </c>
      <c r="U239" s="36" t="n">
        <v>2.39</v>
      </c>
      <c r="V239" s="36" t="n">
        <v>2.46</v>
      </c>
      <c r="W239" s="36" t="n">
        <v>2.32</v>
      </c>
      <c r="X239" s="36" t="n">
        <v>1.59</v>
      </c>
      <c r="Y239" s="28" t="n">
        <v>2.63</v>
      </c>
      <c r="Z239" s="36" t="n">
        <v>2.51</v>
      </c>
      <c r="AA239" s="36" t="n">
        <v>2.49</v>
      </c>
      <c r="AB239" s="36" t="n">
        <v>2.39</v>
      </c>
      <c r="AC239" s="36" t="n">
        <v>2.46</v>
      </c>
      <c r="AD239" s="36" t="n">
        <v>1.59</v>
      </c>
      <c r="AE239" s="36" t="n">
        <v>1.59</v>
      </c>
      <c r="AF239" s="28" t="n">
        <v>2.63</v>
      </c>
      <c r="AG239" s="36" t="n">
        <v>2.51</v>
      </c>
      <c r="AH239" s="37" t="n">
        <v>2.49</v>
      </c>
      <c r="AI239" s="37" t="n">
        <v>2.39</v>
      </c>
      <c r="AJ239" s="37" t="n">
        <v>2.46</v>
      </c>
      <c r="AK239" s="37" t="n">
        <v>2.32</v>
      </c>
      <c r="AL239" s="37" t="n">
        <v>1.59</v>
      </c>
      <c r="AM239" s="37" t="n">
        <v>2.63</v>
      </c>
      <c r="AN239" s="37" t="n">
        <v>2.51</v>
      </c>
      <c r="AO239" s="37" t="n">
        <v>2.49</v>
      </c>
      <c r="AP239" s="37" t="n">
        <v>2.39</v>
      </c>
      <c r="AQ239" s="37" t="n">
        <v>2.46</v>
      </c>
      <c r="AR239" s="37" t="n">
        <v>2.32</v>
      </c>
      <c r="AS239" s="37" t="n">
        <v>1.59</v>
      </c>
      <c r="AT239" s="37" t="n">
        <v>2.63</v>
      </c>
      <c r="AU239" s="37" t="n">
        <v>2.51</v>
      </c>
      <c r="AV239" s="37" t="n">
        <v>2.49</v>
      </c>
      <c r="AW239" s="37" t="n">
        <v>2.39</v>
      </c>
      <c r="AX239" s="37" t="n">
        <v>2.46</v>
      </c>
      <c r="AY239" s="37" t="n">
        <v>2.32</v>
      </c>
      <c r="AZ239" s="37" t="n">
        <v>1.59</v>
      </c>
      <c r="BA239" s="37" t="n">
        <v>2.85</v>
      </c>
      <c r="BB239" s="37" t="n">
        <v>1.46</v>
      </c>
      <c r="BC239" s="37" t="n">
        <v>0.75</v>
      </c>
      <c r="BD239" s="37" t="n">
        <v>0.5600000000000001</v>
      </c>
      <c r="BE239" s="37" t="n">
        <v>1.36</v>
      </c>
      <c r="BF239" s="37" t="n">
        <v>1.34</v>
      </c>
      <c r="BG239" s="37" t="n">
        <v>0.88</v>
      </c>
      <c r="BH239" s="37" t="n">
        <v>1.51</v>
      </c>
      <c r="BI239" s="37" t="n">
        <v>1.46</v>
      </c>
      <c r="BJ239" s="37" t="n">
        <v>1.1</v>
      </c>
      <c r="BK239" s="37" t="n">
        <v>1.37</v>
      </c>
      <c r="BL239" s="37" t="n">
        <v>1.41</v>
      </c>
      <c r="BM239" s="37" t="n">
        <v>1.34</v>
      </c>
      <c r="BN239" s="37" t="n">
        <v>0.88</v>
      </c>
      <c r="BO239" s="37" t="n">
        <v>1.51</v>
      </c>
      <c r="BP239" s="37" t="n">
        <v>1.46</v>
      </c>
      <c r="BQ239" s="37" t="n">
        <v>1.42</v>
      </c>
      <c r="BR239" s="37" t="n">
        <v>1.37</v>
      </c>
      <c r="BS239" s="37" t="n">
        <v>1.41</v>
      </c>
      <c r="BT239" s="37" t="n">
        <v>1.34</v>
      </c>
      <c r="BU239" s="37" t="n">
        <v>0.88</v>
      </c>
      <c r="BV239" s="37" t="n">
        <v>1.51</v>
      </c>
      <c r="BW239" s="37" t="n">
        <v>1.46</v>
      </c>
      <c r="BX239" s="37" t="n">
        <v>1.42</v>
      </c>
      <c r="BY239" s="37" t="n">
        <v>1.37</v>
      </c>
      <c r="BZ239" s="37" t="n">
        <v>1.41</v>
      </c>
      <c r="CA239" s="37" t="n">
        <v>1.34</v>
      </c>
      <c r="CB239" s="37" t="n">
        <v>0.88</v>
      </c>
      <c r="CC239" s="37" t="n">
        <v>150.6399999999999</v>
      </c>
    </row>
    <row r="240" ht="15.75" customHeight="1" s="57">
      <c r="A240" s="7" t="inlineStr">
        <is>
          <t>NTB</t>
        </is>
      </c>
      <c r="B240" s="7" t="inlineStr">
        <is>
          <t>Khánh Hòa</t>
        </is>
      </c>
      <c r="C240" s="7" t="n">
        <v>22830000</v>
      </c>
      <c r="D240" s="7" t="inlineStr">
        <is>
          <t>(KHO) Cam Linh</t>
        </is>
      </c>
      <c r="E240" s="7" t="inlineStr">
        <is>
          <t>Shopee</t>
        </is>
      </c>
      <c r="F240" s="36" t="n">
        <v>34</v>
      </c>
      <c r="G240" s="36" t="n">
        <v>61</v>
      </c>
      <c r="H240" s="36" t="n">
        <v>35</v>
      </c>
      <c r="I240" s="36" t="n">
        <v>46</v>
      </c>
      <c r="J240" s="36" t="n">
        <v>31</v>
      </c>
      <c r="K240" s="28" t="n">
        <v>40</v>
      </c>
      <c r="L240" s="36" t="n">
        <v>22</v>
      </c>
      <c r="M240" s="36" t="n">
        <v>54</v>
      </c>
      <c r="N240" s="36" t="n">
        <v>31</v>
      </c>
      <c r="O240" s="36" t="n">
        <v>28</v>
      </c>
      <c r="P240" s="36" t="n">
        <v>24</v>
      </c>
      <c r="Q240" s="36" t="n">
        <v>27</v>
      </c>
      <c r="R240" s="28" t="n">
        <v>54</v>
      </c>
      <c r="S240" s="36" t="n">
        <v>28</v>
      </c>
      <c r="T240" s="36" t="n">
        <v>42</v>
      </c>
      <c r="U240" s="36" t="n">
        <v>45.59</v>
      </c>
      <c r="V240" s="36" t="n">
        <v>45.8</v>
      </c>
      <c r="W240" s="36" t="n">
        <v>44.19</v>
      </c>
      <c r="X240" s="36" t="n">
        <v>38.06</v>
      </c>
      <c r="Y240" s="28" t="n">
        <v>61.48</v>
      </c>
      <c r="Z240" s="36" t="n">
        <v>48.59</v>
      </c>
      <c r="AA240" s="36" t="n">
        <v>59.32</v>
      </c>
      <c r="AB240" s="36" t="n">
        <v>46.63</v>
      </c>
      <c r="AC240" s="36" t="n">
        <v>37.71</v>
      </c>
      <c r="AD240" s="36" t="n">
        <v>86.79000000000001</v>
      </c>
      <c r="AE240" s="36" t="n">
        <v>40.36</v>
      </c>
      <c r="AF240" s="28" t="n">
        <v>67.95999999999999</v>
      </c>
      <c r="AG240" s="36" t="n">
        <v>51.03</v>
      </c>
      <c r="AH240" s="37" t="n">
        <v>54.16</v>
      </c>
      <c r="AI240" s="37" t="n">
        <v>45.59</v>
      </c>
      <c r="AJ240" s="37" t="n">
        <v>45.8</v>
      </c>
      <c r="AK240" s="37" t="n">
        <v>48.45</v>
      </c>
      <c r="AL240" s="37" t="n">
        <v>68.17</v>
      </c>
      <c r="AM240" s="37" t="n">
        <v>61.48</v>
      </c>
      <c r="AN240" s="37" t="n">
        <v>48.59</v>
      </c>
      <c r="AO240" s="37" t="n">
        <v>54.16</v>
      </c>
      <c r="AP240" s="37" t="n">
        <v>50.12</v>
      </c>
      <c r="AQ240" s="37" t="n">
        <v>36.81</v>
      </c>
      <c r="AR240" s="37" t="n">
        <v>44.19</v>
      </c>
      <c r="AS240" s="37" t="n">
        <v>38.06</v>
      </c>
      <c r="AT240" s="37" t="n">
        <v>61.48</v>
      </c>
      <c r="AU240" s="37" t="n">
        <v>53.54</v>
      </c>
      <c r="AV240" s="37" t="n">
        <v>55.28</v>
      </c>
      <c r="AW240" s="37" t="n">
        <v>45.59</v>
      </c>
      <c r="AX240" s="37" t="n">
        <v>45.8</v>
      </c>
      <c r="AY240" s="37" t="n">
        <v>44.19</v>
      </c>
      <c r="AZ240" s="37" t="n">
        <v>38.06</v>
      </c>
      <c r="BA240" s="37" t="n">
        <v>52.63</v>
      </c>
      <c r="BB240" s="37" t="n">
        <v>36.53</v>
      </c>
      <c r="BC240" s="37" t="n">
        <v>16.31</v>
      </c>
      <c r="BD240" s="37" t="n">
        <v>27.4</v>
      </c>
      <c r="BE240" s="37" t="n">
        <v>54.86</v>
      </c>
      <c r="BF240" s="37" t="n">
        <v>52.77</v>
      </c>
      <c r="BG240" s="37" t="n">
        <v>37.29</v>
      </c>
      <c r="BH240" s="37" t="n">
        <v>58.55</v>
      </c>
      <c r="BI240" s="37" t="n">
        <v>38.27</v>
      </c>
      <c r="BJ240" s="37" t="n">
        <v>122.48</v>
      </c>
      <c r="BK240" s="37" t="n">
        <v>46.7</v>
      </c>
      <c r="BL240" s="37" t="n">
        <v>46.01</v>
      </c>
      <c r="BM240" s="37" t="n">
        <v>42.31</v>
      </c>
      <c r="BN240" s="37" t="n">
        <v>36.6</v>
      </c>
      <c r="BO240" s="37" t="n">
        <v>58.55</v>
      </c>
      <c r="BP240" s="37" t="n">
        <v>51.17</v>
      </c>
      <c r="BQ240" s="37" t="n">
        <v>78.63</v>
      </c>
      <c r="BR240" s="37" t="n">
        <v>43.64</v>
      </c>
      <c r="BS240" s="37" t="n">
        <v>43.85</v>
      </c>
      <c r="BT240" s="37" t="n">
        <v>42.31</v>
      </c>
      <c r="BU240" s="37" t="n">
        <v>40.01</v>
      </c>
      <c r="BV240" s="37" t="n">
        <v>47.26</v>
      </c>
      <c r="BW240" s="37" t="n">
        <v>46.43</v>
      </c>
      <c r="BX240" s="37" t="n">
        <v>51.65</v>
      </c>
      <c r="BY240" s="37" t="n">
        <v>43.64</v>
      </c>
      <c r="BZ240" s="37" t="n">
        <v>48.1</v>
      </c>
      <c r="CA240" s="37" t="n">
        <v>42.94</v>
      </c>
      <c r="CB240" s="37" t="n">
        <v>36.6</v>
      </c>
      <c r="CC240" s="37" t="n">
        <v>3513.52</v>
      </c>
    </row>
    <row r="241" ht="15.75" customHeight="1" s="57">
      <c r="A241" s="7" t="inlineStr">
        <is>
          <t>NTB</t>
        </is>
      </c>
      <c r="B241" s="7" t="inlineStr">
        <is>
          <t>Khánh Hòa</t>
        </is>
      </c>
      <c r="C241" s="7" t="n">
        <v>22830000</v>
      </c>
      <c r="D241" s="7" t="inlineStr">
        <is>
          <t>(KHO) Cam Linh</t>
        </is>
      </c>
      <c r="E241" s="7" t="inlineStr">
        <is>
          <t>Shopee-Bulky</t>
        </is>
      </c>
      <c r="F241" s="36" t="n">
        <v>0.57</v>
      </c>
      <c r="G241" s="36" t="n">
        <v>1.14</v>
      </c>
      <c r="H241" s="36" t="n">
        <v>0</v>
      </c>
      <c r="I241" s="36" t="n">
        <v>0</v>
      </c>
      <c r="J241" s="36" t="n">
        <v>1.72</v>
      </c>
      <c r="K241" s="28" t="n">
        <v>0.57</v>
      </c>
      <c r="L241" s="36" t="n">
        <v>0</v>
      </c>
      <c r="M241" s="36" t="n">
        <v>1.72</v>
      </c>
      <c r="N241" s="36" t="n">
        <v>1.14</v>
      </c>
      <c r="O241" s="36" t="n">
        <v>1.14</v>
      </c>
      <c r="P241" s="36" t="n">
        <v>0</v>
      </c>
      <c r="Q241" s="36" t="n">
        <v>0.57</v>
      </c>
      <c r="R241" s="28" t="n">
        <v>1.14</v>
      </c>
      <c r="S241" s="36" t="n">
        <v>0.57</v>
      </c>
      <c r="T241" s="36" t="n">
        <v>1.72</v>
      </c>
      <c r="U241" s="36" t="n">
        <v>1.34</v>
      </c>
      <c r="V241" s="36" t="n">
        <v>1.25</v>
      </c>
      <c r="W241" s="36" t="n">
        <v>1.51</v>
      </c>
      <c r="X241" s="36" t="n">
        <v>0.79</v>
      </c>
      <c r="Y241" s="28" t="n">
        <v>2.01</v>
      </c>
      <c r="Z241" s="36" t="n">
        <v>1.55</v>
      </c>
      <c r="AA241" s="36" t="n">
        <v>2.26</v>
      </c>
      <c r="AB241" s="36" t="n">
        <v>1.55</v>
      </c>
      <c r="AC241" s="36" t="n">
        <v>1.63</v>
      </c>
      <c r="AD241" s="36" t="n">
        <v>6.07</v>
      </c>
      <c r="AE241" s="36" t="n">
        <v>4.1</v>
      </c>
      <c r="AF241" s="28" t="n">
        <v>4.77</v>
      </c>
      <c r="AG241" s="36" t="n">
        <v>2.13</v>
      </c>
      <c r="AH241" s="37" t="n">
        <v>1.55</v>
      </c>
      <c r="AI241" s="37" t="n">
        <v>1.51</v>
      </c>
      <c r="AJ241" s="37" t="n">
        <v>1.38</v>
      </c>
      <c r="AK241" s="37" t="n">
        <v>3.01</v>
      </c>
      <c r="AL241" s="37" t="n">
        <v>1.72</v>
      </c>
      <c r="AM241" s="37" t="n">
        <v>2.55</v>
      </c>
      <c r="AN241" s="37" t="n">
        <v>1.55</v>
      </c>
      <c r="AO241" s="37" t="n">
        <v>1.46</v>
      </c>
      <c r="AP241" s="37" t="n">
        <v>2.64</v>
      </c>
      <c r="AQ241" s="37" t="n">
        <v>1.88</v>
      </c>
      <c r="AR241" s="37" t="n">
        <v>1.3</v>
      </c>
      <c r="AS241" s="37" t="n">
        <v>0.67</v>
      </c>
      <c r="AT241" s="37" t="n">
        <v>1.88</v>
      </c>
      <c r="AU241" s="37" t="n">
        <v>3.18</v>
      </c>
      <c r="AV241" s="37" t="n">
        <v>3.18</v>
      </c>
      <c r="AW241" s="37" t="n">
        <v>1.46</v>
      </c>
      <c r="AX241" s="37" t="n">
        <v>1.38</v>
      </c>
      <c r="AY241" s="37" t="n">
        <v>1.25</v>
      </c>
      <c r="AZ241" s="37" t="n">
        <v>0.67</v>
      </c>
      <c r="BA241" s="37" t="n">
        <v>1.76</v>
      </c>
      <c r="BB241" s="37" t="n">
        <v>1.21</v>
      </c>
      <c r="BC241" s="37" t="n">
        <v>0.38</v>
      </c>
      <c r="BD241" s="37" t="n">
        <v>0.59</v>
      </c>
      <c r="BE241" s="37" t="n">
        <v>2.01</v>
      </c>
      <c r="BF241" s="37" t="n">
        <v>1.72</v>
      </c>
      <c r="BG241" s="37" t="n">
        <v>0.88</v>
      </c>
      <c r="BH241" s="37" t="n">
        <v>2.13</v>
      </c>
      <c r="BI241" s="37" t="n">
        <v>1.92</v>
      </c>
      <c r="BJ241" s="37" t="n">
        <v>12.22</v>
      </c>
      <c r="BK241" s="37" t="n">
        <v>4.1</v>
      </c>
      <c r="BL241" s="37" t="n">
        <v>2.13</v>
      </c>
      <c r="BM241" s="37" t="n">
        <v>1.46</v>
      </c>
      <c r="BN241" s="37" t="n">
        <v>0.88</v>
      </c>
      <c r="BO241" s="37" t="n">
        <v>2.55</v>
      </c>
      <c r="BP241" s="37" t="n">
        <v>3.85</v>
      </c>
      <c r="BQ241" s="37" t="n">
        <v>2.8</v>
      </c>
      <c r="BR241" s="37" t="n">
        <v>1.84</v>
      </c>
      <c r="BS241" s="37" t="n">
        <v>1.72</v>
      </c>
      <c r="BT241" s="37" t="n">
        <v>1.21</v>
      </c>
      <c r="BU241" s="37" t="n">
        <v>2.13</v>
      </c>
      <c r="BV241" s="37" t="n">
        <v>2.34</v>
      </c>
      <c r="BW241" s="37" t="n">
        <v>1.92</v>
      </c>
      <c r="BX241" s="37" t="n">
        <v>1.84</v>
      </c>
      <c r="BY241" s="37" t="n">
        <v>1.84</v>
      </c>
      <c r="BZ241" s="37" t="n">
        <v>2.59</v>
      </c>
      <c r="CA241" s="37" t="n">
        <v>1.72</v>
      </c>
      <c r="CB241" s="37" t="n">
        <v>0.88</v>
      </c>
      <c r="CC241" s="37" t="n">
        <v>139.7999999999999</v>
      </c>
    </row>
    <row r="242" ht="15.75" customHeight="1" s="57">
      <c r="A242" s="7" t="inlineStr">
        <is>
          <t>NTB</t>
        </is>
      </c>
      <c r="B242" s="7" t="inlineStr">
        <is>
          <t>Khánh Hòa</t>
        </is>
      </c>
      <c r="C242" s="7" t="n">
        <v>22830000</v>
      </c>
      <c r="D242" s="7" t="inlineStr">
        <is>
          <t>(KHO) Cam Linh</t>
        </is>
      </c>
      <c r="E242" s="7" t="inlineStr">
        <is>
          <t>Shopee-Bulky (10-15kg)</t>
        </is>
      </c>
      <c r="F242" s="36" t="n">
        <v>0.43</v>
      </c>
      <c r="G242" s="36" t="n">
        <v>0.86</v>
      </c>
      <c r="H242" s="36" t="n">
        <v>0</v>
      </c>
      <c r="I242" s="36" t="n">
        <v>0</v>
      </c>
      <c r="J242" s="36" t="n">
        <v>1.28</v>
      </c>
      <c r="K242" s="28" t="n">
        <v>0.43</v>
      </c>
      <c r="L242" s="36" t="n">
        <v>0</v>
      </c>
      <c r="M242" s="36" t="n">
        <v>1.28</v>
      </c>
      <c r="N242" s="36" t="n">
        <v>0.86</v>
      </c>
      <c r="O242" s="36" t="n">
        <v>0.86</v>
      </c>
      <c r="P242" s="36" t="n">
        <v>0</v>
      </c>
      <c r="Q242" s="36" t="n">
        <v>0.43</v>
      </c>
      <c r="R242" s="28" t="n">
        <v>0.86</v>
      </c>
      <c r="S242" s="36" t="n">
        <v>0.43</v>
      </c>
      <c r="T242" s="36" t="n">
        <v>1.28</v>
      </c>
      <c r="U242" s="36" t="n">
        <v>0.96</v>
      </c>
      <c r="V242" s="36" t="n">
        <v>1</v>
      </c>
      <c r="W242" s="36" t="n">
        <v>1.21</v>
      </c>
      <c r="X242" s="36" t="n">
        <v>0.75</v>
      </c>
      <c r="Y242" s="28" t="n">
        <v>1.3</v>
      </c>
      <c r="Z242" s="36" t="n">
        <v>1</v>
      </c>
      <c r="AA242" s="36" t="n">
        <v>1.42</v>
      </c>
      <c r="AB242" s="36" t="n">
        <v>1</v>
      </c>
      <c r="AC242" s="36" t="n">
        <v>1.17</v>
      </c>
      <c r="AD242" s="36" t="n">
        <v>5.27</v>
      </c>
      <c r="AE242" s="36" t="n">
        <v>2.84</v>
      </c>
      <c r="AF242" s="28" t="n">
        <v>2.97</v>
      </c>
      <c r="AG242" s="36" t="n">
        <v>1.59</v>
      </c>
      <c r="AH242" s="37" t="n">
        <v>1</v>
      </c>
      <c r="AI242" s="37" t="n">
        <v>1.09</v>
      </c>
      <c r="AJ242" s="37" t="n">
        <v>1.05</v>
      </c>
      <c r="AK242" s="37" t="n">
        <v>2.09</v>
      </c>
      <c r="AL242" s="37" t="n">
        <v>1.25</v>
      </c>
      <c r="AM242" s="37" t="n">
        <v>1.67</v>
      </c>
      <c r="AN242" s="37" t="n">
        <v>1</v>
      </c>
      <c r="AO242" s="37" t="n">
        <v>1</v>
      </c>
      <c r="AP242" s="37" t="n">
        <v>1.59</v>
      </c>
      <c r="AQ242" s="37" t="n">
        <v>1.38</v>
      </c>
      <c r="AR242" s="37" t="n">
        <v>1.05</v>
      </c>
      <c r="AS242" s="37" t="n">
        <v>0.59</v>
      </c>
      <c r="AT242" s="37" t="n">
        <v>1.25</v>
      </c>
      <c r="AU242" s="37" t="n">
        <v>2.3</v>
      </c>
      <c r="AV242" s="37" t="n">
        <v>2.22</v>
      </c>
      <c r="AW242" s="37" t="n">
        <v>1</v>
      </c>
      <c r="AX242" s="37" t="n">
        <v>1</v>
      </c>
      <c r="AY242" s="37" t="n">
        <v>1.05</v>
      </c>
      <c r="AZ242" s="37" t="n">
        <v>0.59</v>
      </c>
      <c r="BA242" s="37" t="n">
        <v>1.25</v>
      </c>
      <c r="BB242" s="37" t="n">
        <v>0.88</v>
      </c>
      <c r="BC242" s="37" t="n">
        <v>0.17</v>
      </c>
      <c r="BD242" s="37" t="n">
        <v>0.46</v>
      </c>
      <c r="BE242" s="37" t="n">
        <v>1.34</v>
      </c>
      <c r="BF242" s="37" t="n">
        <v>1.13</v>
      </c>
      <c r="BG242" s="37" t="n">
        <v>0.88</v>
      </c>
      <c r="BH242" s="37" t="n">
        <v>1.55</v>
      </c>
      <c r="BI242" s="37" t="n">
        <v>1.17</v>
      </c>
      <c r="BJ242" s="37" t="n">
        <v>6.9</v>
      </c>
      <c r="BK242" s="37" t="n">
        <v>2.38</v>
      </c>
      <c r="BL242" s="37" t="n">
        <v>1.55</v>
      </c>
      <c r="BM242" s="37" t="n">
        <v>1</v>
      </c>
      <c r="BN242" s="37" t="n">
        <v>0.79</v>
      </c>
      <c r="BO242" s="37" t="n">
        <v>1.76</v>
      </c>
      <c r="BP242" s="37" t="n">
        <v>2.55</v>
      </c>
      <c r="BQ242" s="37" t="n">
        <v>1.97</v>
      </c>
      <c r="BR242" s="37" t="n">
        <v>1.13</v>
      </c>
      <c r="BS242" s="37" t="n">
        <v>1.13</v>
      </c>
      <c r="BT242" s="37" t="n">
        <v>0.92</v>
      </c>
      <c r="BU242" s="37" t="n">
        <v>1.42</v>
      </c>
      <c r="BV242" s="37" t="n">
        <v>1.63</v>
      </c>
      <c r="BW242" s="37" t="n">
        <v>1.17</v>
      </c>
      <c r="BX242" s="37" t="n">
        <v>1.17</v>
      </c>
      <c r="BY242" s="37" t="n">
        <v>1.13</v>
      </c>
      <c r="BZ242" s="37" t="n">
        <v>1.97</v>
      </c>
      <c r="CA242" s="37" t="n">
        <v>1.25</v>
      </c>
      <c r="CB242" s="37" t="n">
        <v>0.79</v>
      </c>
      <c r="CC242" s="37" t="n">
        <v>97.09000000000002</v>
      </c>
    </row>
    <row r="243" ht="15.75" customHeight="1" s="57">
      <c r="A243" s="7" t="inlineStr">
        <is>
          <t>NTB</t>
        </is>
      </c>
      <c r="B243" s="7" t="inlineStr">
        <is>
          <t>Khánh Hòa</t>
        </is>
      </c>
      <c r="C243" s="7" t="n">
        <v>22830000</v>
      </c>
      <c r="D243" s="7" t="inlineStr">
        <is>
          <t>(KHO) Cam Linh</t>
        </is>
      </c>
      <c r="E243" s="7" t="inlineStr">
        <is>
          <t>TTS</t>
        </is>
      </c>
      <c r="F243" s="36" t="n">
        <v>93</v>
      </c>
      <c r="G243" s="36" t="n">
        <v>126</v>
      </c>
      <c r="H243" s="36" t="n">
        <v>107</v>
      </c>
      <c r="I243" s="36" t="n">
        <v>58</v>
      </c>
      <c r="J243" s="36" t="n">
        <v>97</v>
      </c>
      <c r="K243" s="28" t="n">
        <v>75</v>
      </c>
      <c r="L243" s="36" t="n">
        <v>80</v>
      </c>
      <c r="M243" s="36" t="n">
        <v>115</v>
      </c>
      <c r="N243" s="36" t="n">
        <v>71</v>
      </c>
      <c r="O243" s="36" t="n">
        <v>87</v>
      </c>
      <c r="P243" s="36" t="n">
        <v>89</v>
      </c>
      <c r="Q243" s="36" t="n">
        <v>113</v>
      </c>
      <c r="R243" s="28" t="n">
        <v>71</v>
      </c>
      <c r="S243" s="36" t="n">
        <v>61</v>
      </c>
      <c r="T243" s="36" t="n">
        <v>65</v>
      </c>
      <c r="U243" s="36" t="n">
        <v>77.43000000000001</v>
      </c>
      <c r="V243" s="36" t="n">
        <v>75.76000000000001</v>
      </c>
      <c r="W243" s="36" t="n">
        <v>74.08</v>
      </c>
      <c r="X243" s="36" t="n">
        <v>59.75</v>
      </c>
      <c r="Y243" s="28" t="n">
        <v>86.72</v>
      </c>
      <c r="Z243" s="36" t="n">
        <v>73.97</v>
      </c>
      <c r="AA243" s="36" t="n">
        <v>83.14</v>
      </c>
      <c r="AB243" s="36" t="n">
        <v>91.31</v>
      </c>
      <c r="AC243" s="36" t="n">
        <v>96.45999999999999</v>
      </c>
      <c r="AD243" s="36" t="n">
        <v>92.20999999999999</v>
      </c>
      <c r="AE243" s="36" t="n">
        <v>69.27</v>
      </c>
      <c r="AF243" s="28" t="n">
        <v>89.41</v>
      </c>
      <c r="AG243" s="36" t="n">
        <v>75.53</v>
      </c>
      <c r="AH243" s="37" t="n">
        <v>74.75</v>
      </c>
      <c r="AI243" s="37" t="n">
        <v>86.5</v>
      </c>
      <c r="AJ243" s="37" t="n">
        <v>92.09</v>
      </c>
      <c r="AK243" s="37" t="n">
        <v>91.09</v>
      </c>
      <c r="AL243" s="37" t="n">
        <v>65.01000000000001</v>
      </c>
      <c r="AM243" s="37" t="n">
        <v>87.73</v>
      </c>
      <c r="AN243" s="37" t="n">
        <v>75.98</v>
      </c>
      <c r="AO243" s="37" t="n">
        <v>75.87</v>
      </c>
      <c r="AP243" s="37" t="n">
        <v>73.63</v>
      </c>
      <c r="AQ243" s="37" t="n">
        <v>74.3</v>
      </c>
      <c r="AR243" s="37" t="n">
        <v>73.18000000000001</v>
      </c>
      <c r="AS243" s="37" t="n">
        <v>59.87</v>
      </c>
      <c r="AT243" s="37" t="n">
        <v>94.89</v>
      </c>
      <c r="AU243" s="37" t="n">
        <v>86.39</v>
      </c>
      <c r="AV243" s="37" t="n">
        <v>76.76000000000001</v>
      </c>
      <c r="AW243" s="37" t="n">
        <v>73.06999999999999</v>
      </c>
      <c r="AX243" s="37" t="n">
        <v>71.84</v>
      </c>
      <c r="AY243" s="37" t="n">
        <v>72.06</v>
      </c>
      <c r="AZ243" s="37" t="n">
        <v>59.87</v>
      </c>
      <c r="BA243" s="37" t="n">
        <v>85.48999999999999</v>
      </c>
      <c r="BB243" s="37" t="n">
        <v>80.23</v>
      </c>
      <c r="BC243" s="37" t="n">
        <v>42.3</v>
      </c>
      <c r="BD243" s="37" t="n">
        <v>58.75</v>
      </c>
      <c r="BE243" s="37" t="n">
        <v>134.95</v>
      </c>
      <c r="BF243" s="37" t="n">
        <v>131.15</v>
      </c>
      <c r="BG243" s="37" t="n">
        <v>65.01000000000001</v>
      </c>
      <c r="BH243" s="37" t="n">
        <v>94.78</v>
      </c>
      <c r="BI243" s="37" t="n">
        <v>80.23</v>
      </c>
      <c r="BJ243" s="37" t="n">
        <v>70.61</v>
      </c>
      <c r="BK243" s="37" t="n">
        <v>81.58</v>
      </c>
      <c r="BL243" s="37" t="n">
        <v>81.58</v>
      </c>
      <c r="BM243" s="37" t="n">
        <v>79.23</v>
      </c>
      <c r="BN243" s="37" t="n">
        <v>65.01000000000001</v>
      </c>
      <c r="BO243" s="37" t="n">
        <v>94.78</v>
      </c>
      <c r="BP243" s="37" t="n">
        <v>80.23</v>
      </c>
      <c r="BQ243" s="37" t="n">
        <v>79.34</v>
      </c>
      <c r="BR243" s="37" t="n">
        <v>81.58</v>
      </c>
      <c r="BS243" s="37" t="n">
        <v>81.58</v>
      </c>
      <c r="BT243" s="37" t="n">
        <v>79.23</v>
      </c>
      <c r="BU243" s="37" t="n">
        <v>65.01000000000001</v>
      </c>
      <c r="BV243" s="37" t="n">
        <v>94.78</v>
      </c>
      <c r="BW243" s="37" t="n">
        <v>80.23</v>
      </c>
      <c r="BX243" s="37" t="n">
        <v>79.34</v>
      </c>
      <c r="BY243" s="37" t="n">
        <v>81.58</v>
      </c>
      <c r="BZ243" s="37" t="n">
        <v>81.58</v>
      </c>
      <c r="CA243" s="37" t="n">
        <v>79.23</v>
      </c>
      <c r="CB243" s="37" t="n">
        <v>65.01000000000001</v>
      </c>
      <c r="CC243" s="37" t="n">
        <v>6092.319999999997</v>
      </c>
    </row>
    <row r="244" ht="15.75" customHeight="1" s="57">
      <c r="A244" s="7" t="inlineStr">
        <is>
          <t>NTB</t>
        </is>
      </c>
      <c r="B244" s="7" t="inlineStr">
        <is>
          <t>Lâm Đồng</t>
        </is>
      </c>
      <c r="C244" s="7" t="n">
        <v>1896</v>
      </c>
      <c r="D244" s="7" t="inlineStr">
        <is>
          <t>(LDO) Đạ Huoai</t>
        </is>
      </c>
      <c r="E244" s="7" t="inlineStr">
        <is>
          <t>SME</t>
        </is>
      </c>
      <c r="F244" s="36" t="n">
        <v>24</v>
      </c>
      <c r="G244" s="36" t="n">
        <v>18</v>
      </c>
      <c r="H244" s="36" t="n">
        <v>20</v>
      </c>
      <c r="I244" s="36" t="n">
        <v>29</v>
      </c>
      <c r="J244" s="36" t="n">
        <v>22</v>
      </c>
      <c r="K244" s="28" t="n">
        <v>17</v>
      </c>
      <c r="L244" s="36" t="n">
        <v>19</v>
      </c>
      <c r="M244" s="36" t="n">
        <v>16</v>
      </c>
      <c r="N244" s="36" t="n">
        <v>16</v>
      </c>
      <c r="O244" s="36" t="n">
        <v>25</v>
      </c>
      <c r="P244" s="36" t="n">
        <v>16</v>
      </c>
      <c r="Q244" s="36" t="n">
        <v>24</v>
      </c>
      <c r="R244" s="28" t="n">
        <v>27</v>
      </c>
      <c r="S244" s="36" t="n">
        <v>23</v>
      </c>
      <c r="T244" s="36" t="n">
        <v>21</v>
      </c>
      <c r="U244" s="36" t="n">
        <v>32.31</v>
      </c>
      <c r="V244" s="36" t="n">
        <v>33.37</v>
      </c>
      <c r="W244" s="36" t="n">
        <v>32.47</v>
      </c>
      <c r="X244" s="36" t="n">
        <v>26.53</v>
      </c>
      <c r="Y244" s="28" t="n">
        <v>35.97</v>
      </c>
      <c r="Z244" s="36" t="n">
        <v>33.09</v>
      </c>
      <c r="AA244" s="36" t="n">
        <v>32.26</v>
      </c>
      <c r="AB244" s="36" t="n">
        <v>32.31</v>
      </c>
      <c r="AC244" s="36" t="n">
        <v>33.37</v>
      </c>
      <c r="AD244" s="36" t="n">
        <v>35.07</v>
      </c>
      <c r="AE244" s="36" t="n">
        <v>26.53</v>
      </c>
      <c r="AF244" s="28" t="n">
        <v>35.97</v>
      </c>
      <c r="AG244" s="36" t="n">
        <v>33.09</v>
      </c>
      <c r="AH244" s="37" t="n">
        <v>32.26</v>
      </c>
      <c r="AI244" s="37" t="n">
        <v>32.31</v>
      </c>
      <c r="AJ244" s="37" t="n">
        <v>33.37</v>
      </c>
      <c r="AK244" s="37" t="n">
        <v>32.47</v>
      </c>
      <c r="AL244" s="37" t="n">
        <v>26.53</v>
      </c>
      <c r="AM244" s="37" t="n">
        <v>35.97</v>
      </c>
      <c r="AN244" s="37" t="n">
        <v>33.09</v>
      </c>
      <c r="AO244" s="37" t="n">
        <v>32.26</v>
      </c>
      <c r="AP244" s="37" t="n">
        <v>32.31</v>
      </c>
      <c r="AQ244" s="37" t="n">
        <v>33.37</v>
      </c>
      <c r="AR244" s="37" t="n">
        <v>32.47</v>
      </c>
      <c r="AS244" s="37" t="n">
        <v>26.53</v>
      </c>
      <c r="AT244" s="37" t="n">
        <v>35.97</v>
      </c>
      <c r="AU244" s="37" t="n">
        <v>33.09</v>
      </c>
      <c r="AV244" s="37" t="n">
        <v>32.26</v>
      </c>
      <c r="AW244" s="37" t="n">
        <v>32.31</v>
      </c>
      <c r="AX244" s="37" t="n">
        <v>33.37</v>
      </c>
      <c r="AY244" s="37" t="n">
        <v>32.47</v>
      </c>
      <c r="AZ244" s="37" t="n">
        <v>26.53</v>
      </c>
      <c r="BA244" s="37" t="n">
        <v>34.21</v>
      </c>
      <c r="BB244" s="37" t="n">
        <v>30.34</v>
      </c>
      <c r="BC244" s="37" t="n">
        <v>18.53</v>
      </c>
      <c r="BD244" s="37" t="n">
        <v>14.46</v>
      </c>
      <c r="BE244" s="37" t="n">
        <v>31.19</v>
      </c>
      <c r="BF244" s="37" t="n">
        <v>30.43</v>
      </c>
      <c r="BG244" s="37" t="n">
        <v>27.3</v>
      </c>
      <c r="BH244" s="37" t="n">
        <v>37.07</v>
      </c>
      <c r="BI244" s="37" t="n">
        <v>34.06</v>
      </c>
      <c r="BJ244" s="37" t="n">
        <v>36.05</v>
      </c>
      <c r="BK244" s="37" t="n">
        <v>33.21</v>
      </c>
      <c r="BL244" s="37" t="n">
        <v>34.33</v>
      </c>
      <c r="BM244" s="37" t="n">
        <v>33.39</v>
      </c>
      <c r="BN244" s="37" t="n">
        <v>27.3</v>
      </c>
      <c r="BO244" s="37" t="n">
        <v>37.07</v>
      </c>
      <c r="BP244" s="37" t="n">
        <v>34.06</v>
      </c>
      <c r="BQ244" s="37" t="n">
        <v>33.18</v>
      </c>
      <c r="BR244" s="37" t="n">
        <v>33.21</v>
      </c>
      <c r="BS244" s="37" t="n">
        <v>34.33</v>
      </c>
      <c r="BT244" s="37" t="n">
        <v>33.39</v>
      </c>
      <c r="BU244" s="37" t="n">
        <v>27.3</v>
      </c>
      <c r="BV244" s="37" t="n">
        <v>37.07</v>
      </c>
      <c r="BW244" s="37" t="n">
        <v>34.06</v>
      </c>
      <c r="BX244" s="37" t="n">
        <v>33.18</v>
      </c>
      <c r="BY244" s="37" t="n">
        <v>33.21</v>
      </c>
      <c r="BZ244" s="37" t="n">
        <v>34.33</v>
      </c>
      <c r="CA244" s="37" t="n">
        <v>33.39</v>
      </c>
      <c r="CB244" s="37" t="n">
        <v>27.3</v>
      </c>
      <c r="CC244" s="37" t="n">
        <v>2235.23</v>
      </c>
    </row>
    <row r="245" ht="15.75" customHeight="1" s="57">
      <c r="A245" s="7" t="inlineStr">
        <is>
          <t>NTB</t>
        </is>
      </c>
      <c r="B245" s="7" t="inlineStr">
        <is>
          <t>Lâm Đồng</t>
        </is>
      </c>
      <c r="C245" s="7" t="n">
        <v>1896</v>
      </c>
      <c r="D245" s="7" t="inlineStr">
        <is>
          <t>(LDO) Đạ Huoai</t>
        </is>
      </c>
      <c r="E245" s="7" t="inlineStr">
        <is>
          <t>SME-Bulky</t>
        </is>
      </c>
      <c r="F245" s="36" t="n">
        <v>4</v>
      </c>
      <c r="G245" s="36" t="n">
        <v>3</v>
      </c>
      <c r="H245" s="36" t="n">
        <v>2</v>
      </c>
      <c r="I245" s="36" t="n">
        <v>3</v>
      </c>
      <c r="J245" s="36" t="n">
        <v>0</v>
      </c>
      <c r="K245" s="28" t="n">
        <v>4</v>
      </c>
      <c r="L245" s="36" t="n">
        <v>1</v>
      </c>
      <c r="M245" s="36" t="n">
        <v>9</v>
      </c>
      <c r="N245" s="36" t="n">
        <v>5</v>
      </c>
      <c r="O245" s="36" t="n">
        <v>6</v>
      </c>
      <c r="P245" s="36" t="n">
        <v>4</v>
      </c>
      <c r="Q245" s="36" t="n">
        <v>1</v>
      </c>
      <c r="R245" s="28" t="n">
        <v>2</v>
      </c>
      <c r="S245" s="36" t="n">
        <v>7</v>
      </c>
      <c r="T245" s="36" t="n">
        <v>1</v>
      </c>
      <c r="U245" s="36" t="n">
        <v>4.24</v>
      </c>
      <c r="V245" s="36" t="n">
        <v>4.18</v>
      </c>
      <c r="W245" s="36" t="n">
        <v>4.07</v>
      </c>
      <c r="X245" s="36" t="n">
        <v>2.92</v>
      </c>
      <c r="Y245" s="28" t="n">
        <v>4.77</v>
      </c>
      <c r="Z245" s="36" t="n">
        <v>4.63</v>
      </c>
      <c r="AA245" s="36" t="n">
        <v>4.57</v>
      </c>
      <c r="AB245" s="36" t="n">
        <v>4.24</v>
      </c>
      <c r="AC245" s="36" t="n">
        <v>4.18</v>
      </c>
      <c r="AD245" s="36" t="n">
        <v>3.2</v>
      </c>
      <c r="AE245" s="36" t="n">
        <v>2.92</v>
      </c>
      <c r="AF245" s="28" t="n">
        <v>4.77</v>
      </c>
      <c r="AG245" s="36" t="n">
        <v>4.63</v>
      </c>
      <c r="AH245" s="37" t="n">
        <v>4.57</v>
      </c>
      <c r="AI245" s="37" t="n">
        <v>4.24</v>
      </c>
      <c r="AJ245" s="37" t="n">
        <v>4.18</v>
      </c>
      <c r="AK245" s="37" t="n">
        <v>4.07</v>
      </c>
      <c r="AL245" s="37" t="n">
        <v>2.92</v>
      </c>
      <c r="AM245" s="37" t="n">
        <v>4.77</v>
      </c>
      <c r="AN245" s="37" t="n">
        <v>4.63</v>
      </c>
      <c r="AO245" s="37" t="n">
        <v>4.57</v>
      </c>
      <c r="AP245" s="37" t="n">
        <v>4.24</v>
      </c>
      <c r="AQ245" s="37" t="n">
        <v>4.18</v>
      </c>
      <c r="AR245" s="37" t="n">
        <v>4.07</v>
      </c>
      <c r="AS245" s="37" t="n">
        <v>2.92</v>
      </c>
      <c r="AT245" s="37" t="n">
        <v>4.77</v>
      </c>
      <c r="AU245" s="37" t="n">
        <v>4.63</v>
      </c>
      <c r="AV245" s="37" t="n">
        <v>4.57</v>
      </c>
      <c r="AW245" s="37" t="n">
        <v>4.24</v>
      </c>
      <c r="AX245" s="37" t="n">
        <v>4.18</v>
      </c>
      <c r="AY245" s="37" t="n">
        <v>4.07</v>
      </c>
      <c r="AZ245" s="37" t="n">
        <v>2.92</v>
      </c>
      <c r="BA245" s="37" t="n">
        <v>5.22</v>
      </c>
      <c r="BB245" s="37" t="n">
        <v>2.75</v>
      </c>
      <c r="BC245" s="37" t="n">
        <v>1.4</v>
      </c>
      <c r="BD245" s="37" t="n">
        <v>1.07</v>
      </c>
      <c r="BE245" s="37" t="n">
        <v>2.47</v>
      </c>
      <c r="BF245" s="37" t="n">
        <v>2.3</v>
      </c>
      <c r="BG245" s="37" t="n">
        <v>1.6</v>
      </c>
      <c r="BH245" s="37" t="n">
        <v>2.78</v>
      </c>
      <c r="BI245" s="37" t="n">
        <v>2.75</v>
      </c>
      <c r="BJ245" s="37" t="n">
        <v>2.1</v>
      </c>
      <c r="BK245" s="37" t="n">
        <v>2.44</v>
      </c>
      <c r="BL245" s="37" t="n">
        <v>2.44</v>
      </c>
      <c r="BM245" s="37" t="n">
        <v>2.3</v>
      </c>
      <c r="BN245" s="37" t="n">
        <v>1.6</v>
      </c>
      <c r="BO245" s="37" t="n">
        <v>2.78</v>
      </c>
      <c r="BP245" s="37" t="n">
        <v>2.75</v>
      </c>
      <c r="BQ245" s="37" t="n">
        <v>2.61</v>
      </c>
      <c r="BR245" s="37" t="n">
        <v>2.44</v>
      </c>
      <c r="BS245" s="37" t="n">
        <v>2.44</v>
      </c>
      <c r="BT245" s="37" t="n">
        <v>2.3</v>
      </c>
      <c r="BU245" s="37" t="n">
        <v>1.6</v>
      </c>
      <c r="BV245" s="37" t="n">
        <v>2.78</v>
      </c>
      <c r="BW245" s="37" t="n">
        <v>2.75</v>
      </c>
      <c r="BX245" s="37" t="n">
        <v>2.61</v>
      </c>
      <c r="BY245" s="37" t="n">
        <v>2.44</v>
      </c>
      <c r="BZ245" s="37" t="n">
        <v>2.44</v>
      </c>
      <c r="CA245" s="37" t="n">
        <v>2.3</v>
      </c>
      <c r="CB245" s="37" t="n">
        <v>1.6</v>
      </c>
      <c r="CC245" s="37" t="n">
        <v>251.12</v>
      </c>
    </row>
    <row r="246" ht="15.75" customHeight="1" s="57">
      <c r="A246" s="7" t="inlineStr">
        <is>
          <t>NTB</t>
        </is>
      </c>
      <c r="B246" s="7" t="inlineStr">
        <is>
          <t>Lâm Đồng</t>
        </is>
      </c>
      <c r="C246" s="7" t="n">
        <v>1896</v>
      </c>
      <c r="D246" s="7" t="inlineStr">
        <is>
          <t>(LDO) Đạ Huoai</t>
        </is>
      </c>
      <c r="E246" s="7" t="inlineStr">
        <is>
          <t>Shopee</t>
        </is>
      </c>
      <c r="F246" s="36" t="n">
        <v>23</v>
      </c>
      <c r="G246" s="36" t="n">
        <v>17</v>
      </c>
      <c r="H246" s="36" t="n">
        <v>21</v>
      </c>
      <c r="I246" s="36" t="n">
        <v>37</v>
      </c>
      <c r="J246" s="36" t="n">
        <v>20</v>
      </c>
      <c r="K246" s="28" t="n">
        <v>26</v>
      </c>
      <c r="L246" s="36" t="n">
        <v>25</v>
      </c>
      <c r="M246" s="36" t="n">
        <v>20</v>
      </c>
      <c r="N246" s="36" t="n">
        <v>21</v>
      </c>
      <c r="O246" s="36" t="n">
        <v>17</v>
      </c>
      <c r="P246" s="36" t="n">
        <v>31</v>
      </c>
      <c r="Q246" s="36" t="n">
        <v>16</v>
      </c>
      <c r="R246" s="28" t="n">
        <v>11</v>
      </c>
      <c r="S246" s="36" t="n">
        <v>29</v>
      </c>
      <c r="T246" s="36" t="n">
        <v>17</v>
      </c>
      <c r="U246" s="36" t="n">
        <v>21.46</v>
      </c>
      <c r="V246" s="36" t="n">
        <v>21.69</v>
      </c>
      <c r="W246" s="36" t="n">
        <v>20.77</v>
      </c>
      <c r="X246" s="36" t="n">
        <v>17.96</v>
      </c>
      <c r="Y246" s="28" t="n">
        <v>29.06</v>
      </c>
      <c r="Z246" s="36" t="n">
        <v>23.04</v>
      </c>
      <c r="AA246" s="36" t="n">
        <v>28.15</v>
      </c>
      <c r="AB246" s="36" t="n">
        <v>22.04</v>
      </c>
      <c r="AC246" s="36" t="n">
        <v>17.71</v>
      </c>
      <c r="AD246" s="36" t="n">
        <v>47.07</v>
      </c>
      <c r="AE246" s="36" t="n">
        <v>19.25</v>
      </c>
      <c r="AF246" s="28" t="n">
        <v>31.91</v>
      </c>
      <c r="AG246" s="36" t="n">
        <v>24.17</v>
      </c>
      <c r="AH246" s="37" t="n">
        <v>25.5</v>
      </c>
      <c r="AI246" s="37" t="n">
        <v>21.46</v>
      </c>
      <c r="AJ246" s="37" t="n">
        <v>21.69</v>
      </c>
      <c r="AK246" s="37" t="n">
        <v>22.93</v>
      </c>
      <c r="AL246" s="37" t="n">
        <v>32.24</v>
      </c>
      <c r="AM246" s="37" t="n">
        <v>29.06</v>
      </c>
      <c r="AN246" s="37" t="n">
        <v>23.04</v>
      </c>
      <c r="AO246" s="37" t="n">
        <v>25.5</v>
      </c>
      <c r="AP246" s="37" t="n">
        <v>23.73</v>
      </c>
      <c r="AQ246" s="37" t="n">
        <v>17.32</v>
      </c>
      <c r="AR246" s="37" t="n">
        <v>20.77</v>
      </c>
      <c r="AS246" s="37" t="n">
        <v>17.96</v>
      </c>
      <c r="AT246" s="37" t="n">
        <v>29.06</v>
      </c>
      <c r="AU246" s="37" t="n">
        <v>25.33</v>
      </c>
      <c r="AV246" s="37" t="n">
        <v>26.13</v>
      </c>
      <c r="AW246" s="37" t="n">
        <v>21.46</v>
      </c>
      <c r="AX246" s="37" t="n">
        <v>21.69</v>
      </c>
      <c r="AY246" s="37" t="n">
        <v>20.77</v>
      </c>
      <c r="AZ246" s="37" t="n">
        <v>17.96</v>
      </c>
      <c r="BA246" s="37" t="n">
        <v>25</v>
      </c>
      <c r="BB246" s="37" t="n">
        <v>17.18</v>
      </c>
      <c r="BC246" s="37" t="n">
        <v>7.71</v>
      </c>
      <c r="BD246" s="37" t="n">
        <v>12.87</v>
      </c>
      <c r="BE246" s="37" t="n">
        <v>25.8</v>
      </c>
      <c r="BF246" s="37" t="n">
        <v>24.86</v>
      </c>
      <c r="BG246" s="37" t="n">
        <v>17.54</v>
      </c>
      <c r="BH246" s="37" t="n">
        <v>27.71</v>
      </c>
      <c r="BI246" s="37" t="n">
        <v>18.18</v>
      </c>
      <c r="BJ246" s="37" t="n">
        <v>66.69</v>
      </c>
      <c r="BK246" s="37" t="n">
        <v>21.99</v>
      </c>
      <c r="BL246" s="37" t="n">
        <v>21.69</v>
      </c>
      <c r="BM246" s="37" t="n">
        <v>19.81</v>
      </c>
      <c r="BN246" s="37" t="n">
        <v>17.21</v>
      </c>
      <c r="BO246" s="37" t="n">
        <v>27.71</v>
      </c>
      <c r="BP246" s="37" t="n">
        <v>24.06</v>
      </c>
      <c r="BQ246" s="37" t="n">
        <v>37.18</v>
      </c>
      <c r="BR246" s="37" t="n">
        <v>20.44</v>
      </c>
      <c r="BS246" s="37" t="n">
        <v>20.66</v>
      </c>
      <c r="BT246" s="37" t="n">
        <v>19.81</v>
      </c>
      <c r="BU246" s="37" t="n">
        <v>18.81</v>
      </c>
      <c r="BV246" s="37" t="n">
        <v>22.21</v>
      </c>
      <c r="BW246" s="37" t="n">
        <v>21.93</v>
      </c>
      <c r="BX246" s="37" t="n">
        <v>24.23</v>
      </c>
      <c r="BY246" s="37" t="n">
        <v>20.44</v>
      </c>
      <c r="BZ246" s="37" t="n">
        <v>22.62</v>
      </c>
      <c r="CA246" s="37" t="n">
        <v>20.25</v>
      </c>
      <c r="CB246" s="37" t="n">
        <v>17.21</v>
      </c>
      <c r="CC246" s="37" t="n">
        <v>1740.68</v>
      </c>
    </row>
    <row r="247" ht="15.75" customHeight="1" s="57">
      <c r="A247" s="7" t="inlineStr">
        <is>
          <t>NTB</t>
        </is>
      </c>
      <c r="B247" s="7" t="inlineStr">
        <is>
          <t>Lâm Đồng</t>
        </is>
      </c>
      <c r="C247" s="7" t="n">
        <v>1896</v>
      </c>
      <c r="D247" s="7" t="inlineStr">
        <is>
          <t>(LDO) Đạ Huoai</t>
        </is>
      </c>
      <c r="E247" s="7" t="inlineStr">
        <is>
          <t>Shopee-Bulky</t>
        </is>
      </c>
      <c r="F247" s="36" t="n">
        <v>1.3</v>
      </c>
      <c r="G247" s="36" t="n">
        <v>0</v>
      </c>
      <c r="H247" s="36" t="n">
        <v>0</v>
      </c>
      <c r="I247" s="36" t="n">
        <v>0</v>
      </c>
      <c r="J247" s="36" t="n">
        <v>0</v>
      </c>
      <c r="K247" s="28" t="n">
        <v>0</v>
      </c>
      <c r="L247" s="36" t="n">
        <v>1.3</v>
      </c>
      <c r="M247" s="36" t="n">
        <v>0</v>
      </c>
      <c r="N247" s="36" t="n">
        <v>0</v>
      </c>
      <c r="O247" s="36" t="n">
        <v>0</v>
      </c>
      <c r="P247" s="36" t="n">
        <v>1.3</v>
      </c>
      <c r="Q247" s="36" t="n">
        <v>1.3</v>
      </c>
      <c r="R247" s="28" t="n">
        <v>0</v>
      </c>
      <c r="S247" s="36" t="n">
        <v>0</v>
      </c>
      <c r="T247" s="36" t="n">
        <v>0.65</v>
      </c>
      <c r="U247" s="36" t="n">
        <v>0.33</v>
      </c>
      <c r="V247" s="36" t="n">
        <v>0.31</v>
      </c>
      <c r="W247" s="36" t="n">
        <v>0.41</v>
      </c>
      <c r="X247" s="36" t="n">
        <v>0.24</v>
      </c>
      <c r="Y247" s="28" t="n">
        <v>0.51</v>
      </c>
      <c r="Z247" s="36" t="n">
        <v>0.37</v>
      </c>
      <c r="AA247" s="36" t="n">
        <v>0.66</v>
      </c>
      <c r="AB247" s="36" t="n">
        <v>0.37</v>
      </c>
      <c r="AC247" s="36" t="n">
        <v>0.44</v>
      </c>
      <c r="AD247" s="36" t="n">
        <v>1.33</v>
      </c>
      <c r="AE247" s="36" t="n">
        <v>1.15</v>
      </c>
      <c r="AF247" s="28" t="n">
        <v>1.09</v>
      </c>
      <c r="AG247" s="36" t="n">
        <v>0.58</v>
      </c>
      <c r="AH247" s="37" t="n">
        <v>0.35</v>
      </c>
      <c r="AI247" s="37" t="n">
        <v>0.41</v>
      </c>
      <c r="AJ247" s="37" t="n">
        <v>0.34</v>
      </c>
      <c r="AK247" s="37" t="n">
        <v>0.82</v>
      </c>
      <c r="AL247" s="37" t="n">
        <v>0.45</v>
      </c>
      <c r="AM247" s="37" t="n">
        <v>0.67</v>
      </c>
      <c r="AN247" s="37" t="n">
        <v>0.37</v>
      </c>
      <c r="AO247" s="37" t="n">
        <v>0.36</v>
      </c>
      <c r="AP247" s="37" t="n">
        <v>0.73</v>
      </c>
      <c r="AQ247" s="37" t="n">
        <v>0.49</v>
      </c>
      <c r="AR247" s="37" t="n">
        <v>0.37</v>
      </c>
      <c r="AS247" s="37" t="n">
        <v>0.19</v>
      </c>
      <c r="AT247" s="37" t="n">
        <v>0.49</v>
      </c>
      <c r="AU247" s="37" t="n">
        <v>0.88</v>
      </c>
      <c r="AV247" s="37" t="n">
        <v>0.9</v>
      </c>
      <c r="AW247" s="37" t="n">
        <v>0.35</v>
      </c>
      <c r="AX247" s="37" t="n">
        <v>0.34</v>
      </c>
      <c r="AY247" s="37" t="n">
        <v>0.35</v>
      </c>
      <c r="AZ247" s="37" t="n">
        <v>0.19</v>
      </c>
      <c r="BA247" s="37" t="n">
        <v>0.46</v>
      </c>
      <c r="BB247" s="37" t="n">
        <v>0.28</v>
      </c>
      <c r="BC247" s="37" t="n">
        <v>0.06</v>
      </c>
      <c r="BD247" s="37" t="n">
        <v>0.12</v>
      </c>
      <c r="BE247" s="37" t="n">
        <v>0.53</v>
      </c>
      <c r="BF247" s="37" t="n">
        <v>0.45</v>
      </c>
      <c r="BG247" s="37" t="n">
        <v>0.28</v>
      </c>
      <c r="BH247" s="37" t="n">
        <v>0.65</v>
      </c>
      <c r="BI247" s="37" t="n">
        <v>0.48</v>
      </c>
      <c r="BJ247" s="37" t="n">
        <v>2.39</v>
      </c>
      <c r="BK247" s="37" t="n">
        <v>1.09</v>
      </c>
      <c r="BL247" s="37" t="n">
        <v>0.62</v>
      </c>
      <c r="BM247" s="37" t="n">
        <v>0.37</v>
      </c>
      <c r="BN247" s="37" t="n">
        <v>0.27</v>
      </c>
      <c r="BO247" s="37" t="n">
        <v>0.78</v>
      </c>
      <c r="BP247" s="37" t="n">
        <v>1.13</v>
      </c>
      <c r="BQ247" s="37" t="n">
        <v>0.88</v>
      </c>
      <c r="BR247" s="37" t="n">
        <v>0.45</v>
      </c>
      <c r="BS247" s="37" t="n">
        <v>0.44</v>
      </c>
      <c r="BT247" s="37" t="n">
        <v>0.35</v>
      </c>
      <c r="BU247" s="37" t="n">
        <v>0.58</v>
      </c>
      <c r="BV247" s="37" t="n">
        <v>0.7</v>
      </c>
      <c r="BW247" s="37" t="n">
        <v>0.48</v>
      </c>
      <c r="BX247" s="37" t="n">
        <v>0.47</v>
      </c>
      <c r="BY247" s="37" t="n">
        <v>0.45</v>
      </c>
      <c r="BZ247" s="37" t="n">
        <v>0.89</v>
      </c>
      <c r="CA247" s="37" t="n">
        <v>0.45</v>
      </c>
      <c r="CB247" s="37" t="n">
        <v>0.25</v>
      </c>
      <c r="CC247" s="37" t="n">
        <v>39.04000000000001</v>
      </c>
    </row>
    <row r="248" ht="15.75" customHeight="1" s="57">
      <c r="A248" s="7" t="inlineStr">
        <is>
          <t>NTB</t>
        </is>
      </c>
      <c r="B248" s="7" t="inlineStr">
        <is>
          <t>Lâm Đồng</t>
        </is>
      </c>
      <c r="C248" s="7" t="n">
        <v>1896</v>
      </c>
      <c r="D248" s="7" t="inlineStr">
        <is>
          <t>(LDO) Đạ Huoai</t>
        </is>
      </c>
      <c r="E248" s="7" t="inlineStr">
        <is>
          <t>Shopee-Bulky (10-15kg)</t>
        </is>
      </c>
      <c r="F248" s="36" t="n">
        <v>0.7</v>
      </c>
      <c r="G248" s="36" t="n">
        <v>0</v>
      </c>
      <c r="H248" s="36" t="n">
        <v>0</v>
      </c>
      <c r="I248" s="36" t="n">
        <v>0</v>
      </c>
      <c r="J248" s="36" t="n">
        <v>0</v>
      </c>
      <c r="K248" s="28" t="n">
        <v>0</v>
      </c>
      <c r="L248" s="36" t="n">
        <v>0.7</v>
      </c>
      <c r="M248" s="36" t="n">
        <v>0</v>
      </c>
      <c r="N248" s="36" t="n">
        <v>0</v>
      </c>
      <c r="O248" s="36" t="n">
        <v>0</v>
      </c>
      <c r="P248" s="36" t="n">
        <v>0.7</v>
      </c>
      <c r="Q248" s="36" t="n">
        <v>0.7</v>
      </c>
      <c r="R248" s="28" t="n">
        <v>0</v>
      </c>
      <c r="S248" s="36" t="n">
        <v>0</v>
      </c>
      <c r="T248" s="36" t="n">
        <v>0.35</v>
      </c>
      <c r="U248" s="36" t="n">
        <v>0.17</v>
      </c>
      <c r="V248" s="36" t="n">
        <v>0.16</v>
      </c>
      <c r="W248" s="36" t="n">
        <v>0.2</v>
      </c>
      <c r="X248" s="36" t="n">
        <v>0.12</v>
      </c>
      <c r="Y248" s="28" t="n">
        <v>0.3</v>
      </c>
      <c r="Z248" s="36" t="n">
        <v>0.2</v>
      </c>
      <c r="AA248" s="36" t="n">
        <v>0.36</v>
      </c>
      <c r="AB248" s="36" t="n">
        <v>0.19</v>
      </c>
      <c r="AC248" s="36" t="n">
        <v>0.2</v>
      </c>
      <c r="AD248" s="36" t="n">
        <v>0.97</v>
      </c>
      <c r="AE248" s="36" t="n">
        <v>0.66</v>
      </c>
      <c r="AF248" s="28" t="n">
        <v>0.55</v>
      </c>
      <c r="AG248" s="36" t="n">
        <v>0.42</v>
      </c>
      <c r="AH248" s="37" t="n">
        <v>0.2</v>
      </c>
      <c r="AI248" s="37" t="n">
        <v>0.2</v>
      </c>
      <c r="AJ248" s="37" t="n">
        <v>0.2</v>
      </c>
      <c r="AK248" s="37" t="n">
        <v>0.51</v>
      </c>
      <c r="AL248" s="37" t="n">
        <v>0.2</v>
      </c>
      <c r="AM248" s="37" t="n">
        <v>0.41</v>
      </c>
      <c r="AN248" s="37" t="n">
        <v>0.2</v>
      </c>
      <c r="AO248" s="37" t="n">
        <v>0.19</v>
      </c>
      <c r="AP248" s="37" t="n">
        <v>0.37</v>
      </c>
      <c r="AQ248" s="37" t="n">
        <v>0.24</v>
      </c>
      <c r="AR248" s="37" t="n">
        <v>0.19</v>
      </c>
      <c r="AS248" s="37" t="n">
        <v>0.09</v>
      </c>
      <c r="AT248" s="37" t="n">
        <v>0.29</v>
      </c>
      <c r="AU248" s="37" t="n">
        <v>0.47</v>
      </c>
      <c r="AV248" s="37" t="n">
        <v>0.52</v>
      </c>
      <c r="AW248" s="37" t="n">
        <v>0.17</v>
      </c>
      <c r="AX248" s="37" t="n">
        <v>0.16</v>
      </c>
      <c r="AY248" s="37" t="n">
        <v>0.18</v>
      </c>
      <c r="AZ248" s="37" t="n">
        <v>0.09</v>
      </c>
      <c r="BA248" s="37" t="n">
        <v>0.22</v>
      </c>
      <c r="BB248" s="37" t="n">
        <v>0.14</v>
      </c>
      <c r="BC248" s="37" t="n">
        <v>0.02</v>
      </c>
      <c r="BD248" s="37" t="n">
        <v>0.05</v>
      </c>
      <c r="BE248" s="37" t="n">
        <v>0.27</v>
      </c>
      <c r="BF248" s="37" t="n">
        <v>0.23</v>
      </c>
      <c r="BG248" s="37" t="n">
        <v>0.13</v>
      </c>
      <c r="BH248" s="37" t="n">
        <v>0.4</v>
      </c>
      <c r="BI248" s="37" t="n">
        <v>0.22</v>
      </c>
      <c r="BJ248" s="37" t="n">
        <v>1.34</v>
      </c>
      <c r="BK248" s="37" t="n">
        <v>0.48</v>
      </c>
      <c r="BL248" s="37" t="n">
        <v>0.36</v>
      </c>
      <c r="BM248" s="37" t="n">
        <v>0.17</v>
      </c>
      <c r="BN248" s="37" t="n">
        <v>0.13</v>
      </c>
      <c r="BO248" s="37" t="n">
        <v>0.37</v>
      </c>
      <c r="BP248" s="37" t="n">
        <v>0.48</v>
      </c>
      <c r="BQ248" s="37" t="n">
        <v>0.45</v>
      </c>
      <c r="BR248" s="37" t="n">
        <v>0.23</v>
      </c>
      <c r="BS248" s="37" t="n">
        <v>0.21</v>
      </c>
      <c r="BT248" s="37" t="n">
        <v>0.17</v>
      </c>
      <c r="BU248" s="37" t="n">
        <v>0.23</v>
      </c>
      <c r="BV248" s="37" t="n">
        <v>0.42</v>
      </c>
      <c r="BW248" s="37" t="n">
        <v>0.22</v>
      </c>
      <c r="BX248" s="37" t="n">
        <v>0.24</v>
      </c>
      <c r="BY248" s="37" t="n">
        <v>0.23</v>
      </c>
      <c r="BZ248" s="37" t="n">
        <v>0.42</v>
      </c>
      <c r="CA248" s="37" t="n">
        <v>0.23</v>
      </c>
      <c r="CB248" s="37" t="n">
        <v>0.13</v>
      </c>
      <c r="CC248" s="37" t="n">
        <v>20.72</v>
      </c>
    </row>
    <row r="249" ht="15.75" customHeight="1" s="57">
      <c r="A249" s="7" t="inlineStr">
        <is>
          <t>NTB</t>
        </is>
      </c>
      <c r="B249" s="7" t="inlineStr">
        <is>
          <t>Lâm Đồng</t>
        </is>
      </c>
      <c r="C249" s="7" t="n">
        <v>1896</v>
      </c>
      <c r="D249" s="7" t="inlineStr">
        <is>
          <t>(LDO) Đạ Huoai</t>
        </is>
      </c>
      <c r="E249" s="7" t="inlineStr">
        <is>
          <t>TTS</t>
        </is>
      </c>
      <c r="F249" s="36" t="n">
        <v>170</v>
      </c>
      <c r="G249" s="36" t="n">
        <v>143</v>
      </c>
      <c r="H249" s="36" t="n">
        <v>158</v>
      </c>
      <c r="I249" s="36" t="n">
        <v>139</v>
      </c>
      <c r="J249" s="36" t="n">
        <v>151</v>
      </c>
      <c r="K249" s="28" t="n">
        <v>184</v>
      </c>
      <c r="L249" s="36" t="n">
        <v>156</v>
      </c>
      <c r="M249" s="36" t="n">
        <v>137</v>
      </c>
      <c r="N249" s="36" t="n">
        <v>122</v>
      </c>
      <c r="O249" s="36" t="n">
        <v>165</v>
      </c>
      <c r="P249" s="36" t="n">
        <v>138</v>
      </c>
      <c r="Q249" s="36" t="n">
        <v>168</v>
      </c>
      <c r="R249" s="28" t="n">
        <v>152</v>
      </c>
      <c r="S249" s="36" t="n">
        <v>149</v>
      </c>
      <c r="T249" s="36" t="n">
        <v>163</v>
      </c>
      <c r="U249" s="36" t="n">
        <v>74.13</v>
      </c>
      <c r="V249" s="36" t="n">
        <v>73.3</v>
      </c>
      <c r="W249" s="36" t="n">
        <v>71.5</v>
      </c>
      <c r="X249" s="36" t="n">
        <v>57.53</v>
      </c>
      <c r="Y249" s="28" t="n">
        <v>84.04000000000001</v>
      </c>
      <c r="Z249" s="36" t="n">
        <v>71.43000000000001</v>
      </c>
      <c r="AA249" s="36" t="n">
        <v>79.45999999999999</v>
      </c>
      <c r="AB249" s="36" t="n">
        <v>88.25</v>
      </c>
      <c r="AC249" s="36" t="n">
        <v>93.73</v>
      </c>
      <c r="AD249" s="36" t="n">
        <v>129.93</v>
      </c>
      <c r="AE249" s="36" t="n">
        <v>67</v>
      </c>
      <c r="AF249" s="28" t="n">
        <v>86.3</v>
      </c>
      <c r="AG249" s="36" t="n">
        <v>73</v>
      </c>
      <c r="AH249" s="37" t="n">
        <v>71.95</v>
      </c>
      <c r="AI249" s="37" t="n">
        <v>83.22</v>
      </c>
      <c r="AJ249" s="37" t="n">
        <v>88.93000000000001</v>
      </c>
      <c r="AK249" s="37" t="n">
        <v>87.42</v>
      </c>
      <c r="AL249" s="37" t="n">
        <v>62.64</v>
      </c>
      <c r="AM249" s="37" t="n">
        <v>85.25</v>
      </c>
      <c r="AN249" s="37" t="n">
        <v>73.59999999999999</v>
      </c>
      <c r="AO249" s="37" t="n">
        <v>73</v>
      </c>
      <c r="AP249" s="37" t="n">
        <v>71.34999999999999</v>
      </c>
      <c r="AQ249" s="37" t="n">
        <v>71.88</v>
      </c>
      <c r="AR249" s="37" t="n">
        <v>70.37</v>
      </c>
      <c r="AS249" s="37" t="n">
        <v>57.68</v>
      </c>
      <c r="AT249" s="37" t="n">
        <v>92.23</v>
      </c>
      <c r="AU249" s="37" t="n">
        <v>83.52</v>
      </c>
      <c r="AV249" s="37" t="n">
        <v>73.98</v>
      </c>
      <c r="AW249" s="37" t="n">
        <v>70.45</v>
      </c>
      <c r="AX249" s="37" t="n">
        <v>70.06999999999999</v>
      </c>
      <c r="AY249" s="37" t="n">
        <v>69.55</v>
      </c>
      <c r="AZ249" s="37" t="n">
        <v>57.68</v>
      </c>
      <c r="BA249" s="37" t="n">
        <v>82.92</v>
      </c>
      <c r="BB249" s="37" t="n">
        <v>78.11</v>
      </c>
      <c r="BC249" s="37" t="n">
        <v>39.28</v>
      </c>
      <c r="BD249" s="37" t="n">
        <v>56.03</v>
      </c>
      <c r="BE249" s="37" t="n">
        <v>130.46</v>
      </c>
      <c r="BF249" s="37" t="n">
        <v>126.18</v>
      </c>
      <c r="BG249" s="37" t="n">
        <v>62.79</v>
      </c>
      <c r="BH249" s="37" t="n">
        <v>92.01000000000001</v>
      </c>
      <c r="BI249" s="37" t="n">
        <v>78.11</v>
      </c>
      <c r="BJ249" s="37" t="n">
        <v>98.31</v>
      </c>
      <c r="BK249" s="37" t="n">
        <v>79.16</v>
      </c>
      <c r="BL249" s="37" t="n">
        <v>79.39</v>
      </c>
      <c r="BM249" s="37" t="n">
        <v>76.91</v>
      </c>
      <c r="BN249" s="37" t="n">
        <v>62.79</v>
      </c>
      <c r="BO249" s="37" t="n">
        <v>92.01000000000001</v>
      </c>
      <c r="BP249" s="37" t="n">
        <v>78.11</v>
      </c>
      <c r="BQ249" s="37" t="n">
        <v>77.06</v>
      </c>
      <c r="BR249" s="37" t="n">
        <v>79.16</v>
      </c>
      <c r="BS249" s="37" t="n">
        <v>79.39</v>
      </c>
      <c r="BT249" s="37" t="n">
        <v>76.91</v>
      </c>
      <c r="BU249" s="37" t="n">
        <v>62.79</v>
      </c>
      <c r="BV249" s="37" t="n">
        <v>92.01000000000001</v>
      </c>
      <c r="BW249" s="37" t="n">
        <v>78.11</v>
      </c>
      <c r="BX249" s="37" t="n">
        <v>77.06</v>
      </c>
      <c r="BY249" s="37" t="n">
        <v>79.16</v>
      </c>
      <c r="BZ249" s="37" t="n">
        <v>79.39</v>
      </c>
      <c r="CA249" s="37" t="n">
        <v>76.91</v>
      </c>
      <c r="CB249" s="37" t="n">
        <v>62.79</v>
      </c>
      <c r="CC249" s="37" t="n">
        <v>6992.679999999999</v>
      </c>
    </row>
    <row r="250" ht="15.75" customHeight="1" s="57">
      <c r="A250" s="7" t="inlineStr">
        <is>
          <t>NTB</t>
        </is>
      </c>
      <c r="B250" s="7" t="inlineStr">
        <is>
          <t>Lâm Đồng</t>
        </is>
      </c>
      <c r="C250" s="7" t="n">
        <v>20663000</v>
      </c>
      <c r="D250" s="7" t="inlineStr">
        <is>
          <t>(LDO) Đạ Tẻh</t>
        </is>
      </c>
      <c r="E250" s="7" t="inlineStr">
        <is>
          <t>SME</t>
        </is>
      </c>
      <c r="F250" s="36" t="n">
        <v>160</v>
      </c>
      <c r="G250" s="36" t="n">
        <v>189</v>
      </c>
      <c r="H250" s="36" t="n">
        <v>200</v>
      </c>
      <c r="I250" s="36" t="n">
        <v>240</v>
      </c>
      <c r="J250" s="36" t="n">
        <v>176</v>
      </c>
      <c r="K250" s="28" t="n">
        <v>200</v>
      </c>
      <c r="L250" s="36" t="n">
        <v>187</v>
      </c>
      <c r="M250" s="36" t="n">
        <v>208</v>
      </c>
      <c r="N250" s="36" t="n">
        <v>206</v>
      </c>
      <c r="O250" s="36" t="n">
        <v>163</v>
      </c>
      <c r="P250" s="36" t="n">
        <v>165</v>
      </c>
      <c r="Q250" s="36" t="n">
        <v>174</v>
      </c>
      <c r="R250" s="28" t="n">
        <v>184</v>
      </c>
      <c r="S250" s="36" t="n">
        <v>187</v>
      </c>
      <c r="T250" s="36" t="n">
        <v>170</v>
      </c>
      <c r="U250" s="36" t="n">
        <v>251.08</v>
      </c>
      <c r="V250" s="36" t="n">
        <v>259.41</v>
      </c>
      <c r="W250" s="36" t="n">
        <v>252.5</v>
      </c>
      <c r="X250" s="36" t="n">
        <v>206.76</v>
      </c>
      <c r="Y250" s="28" t="n">
        <v>279.78</v>
      </c>
      <c r="Z250" s="36" t="n">
        <v>257.59</v>
      </c>
      <c r="AA250" s="36" t="n">
        <v>251.39</v>
      </c>
      <c r="AB250" s="36" t="n">
        <v>251.08</v>
      </c>
      <c r="AC250" s="36" t="n">
        <v>259.41</v>
      </c>
      <c r="AD250" s="36" t="n">
        <v>273.5</v>
      </c>
      <c r="AE250" s="36" t="n">
        <v>206.76</v>
      </c>
      <c r="AF250" s="28" t="n">
        <v>279.78</v>
      </c>
      <c r="AG250" s="36" t="n">
        <v>257.59</v>
      </c>
      <c r="AH250" s="37" t="n">
        <v>251.39</v>
      </c>
      <c r="AI250" s="37" t="n">
        <v>251.08</v>
      </c>
      <c r="AJ250" s="37" t="n">
        <v>259.41</v>
      </c>
      <c r="AK250" s="37" t="n">
        <v>252.5</v>
      </c>
      <c r="AL250" s="37" t="n">
        <v>206.76</v>
      </c>
      <c r="AM250" s="37" t="n">
        <v>279.78</v>
      </c>
      <c r="AN250" s="37" t="n">
        <v>257.59</v>
      </c>
      <c r="AO250" s="37" t="n">
        <v>251.39</v>
      </c>
      <c r="AP250" s="37" t="n">
        <v>251.08</v>
      </c>
      <c r="AQ250" s="37" t="n">
        <v>259.41</v>
      </c>
      <c r="AR250" s="37" t="n">
        <v>252.5</v>
      </c>
      <c r="AS250" s="37" t="n">
        <v>206.76</v>
      </c>
      <c r="AT250" s="37" t="n">
        <v>279.78</v>
      </c>
      <c r="AU250" s="37" t="n">
        <v>257.59</v>
      </c>
      <c r="AV250" s="37" t="n">
        <v>251.39</v>
      </c>
      <c r="AW250" s="37" t="n">
        <v>251.08</v>
      </c>
      <c r="AX250" s="37" t="n">
        <v>259.41</v>
      </c>
      <c r="AY250" s="37" t="n">
        <v>252.5</v>
      </c>
      <c r="AZ250" s="37" t="n">
        <v>206.76</v>
      </c>
      <c r="BA250" s="37" t="n">
        <v>266.04</v>
      </c>
      <c r="BB250" s="37" t="n">
        <v>236.64</v>
      </c>
      <c r="BC250" s="37" t="n">
        <v>145.49</v>
      </c>
      <c r="BD250" s="37" t="n">
        <v>113.74</v>
      </c>
      <c r="BE250" s="37" t="n">
        <v>243.38</v>
      </c>
      <c r="BF250" s="37" t="n">
        <v>237.1</v>
      </c>
      <c r="BG250" s="37" t="n">
        <v>213.31</v>
      </c>
      <c r="BH250" s="37" t="n">
        <v>288.9</v>
      </c>
      <c r="BI250" s="37" t="n">
        <v>265.62</v>
      </c>
      <c r="BJ250" s="37" t="n">
        <v>281.79</v>
      </c>
      <c r="BK250" s="37" t="n">
        <v>258.57</v>
      </c>
      <c r="BL250" s="37" t="n">
        <v>267.59</v>
      </c>
      <c r="BM250" s="37" t="n">
        <v>260.25</v>
      </c>
      <c r="BN250" s="37" t="n">
        <v>213.31</v>
      </c>
      <c r="BO250" s="37" t="n">
        <v>288.9</v>
      </c>
      <c r="BP250" s="37" t="n">
        <v>265.62</v>
      </c>
      <c r="BQ250" s="37" t="n">
        <v>258.98</v>
      </c>
      <c r="BR250" s="37" t="n">
        <v>258.57</v>
      </c>
      <c r="BS250" s="37" t="n">
        <v>267.59</v>
      </c>
      <c r="BT250" s="37" t="n">
        <v>260.25</v>
      </c>
      <c r="BU250" s="37" t="n">
        <v>213.31</v>
      </c>
      <c r="BV250" s="37" t="n">
        <v>288.9</v>
      </c>
      <c r="BW250" s="37" t="n">
        <v>265.62</v>
      </c>
      <c r="BX250" s="37" t="n">
        <v>258.98</v>
      </c>
      <c r="BY250" s="37" t="n">
        <v>258.57</v>
      </c>
      <c r="BZ250" s="37" t="n">
        <v>267.59</v>
      </c>
      <c r="CA250" s="37" t="n">
        <v>260.25</v>
      </c>
      <c r="CB250" s="37" t="n">
        <v>213.31</v>
      </c>
      <c r="CC250" s="37" t="n">
        <v>17751.96</v>
      </c>
    </row>
    <row r="251" ht="15.75" customHeight="1" s="57">
      <c r="A251" s="7" t="inlineStr">
        <is>
          <t>NTB</t>
        </is>
      </c>
      <c r="B251" s="7" t="inlineStr">
        <is>
          <t>Lâm Đồng</t>
        </is>
      </c>
      <c r="C251" s="7" t="n">
        <v>20663000</v>
      </c>
      <c r="D251" s="7" t="inlineStr">
        <is>
          <t>(LDO) Đạ Tẻh</t>
        </is>
      </c>
      <c r="E251" s="7" t="inlineStr">
        <is>
          <t>SME-Bulky</t>
        </is>
      </c>
      <c r="F251" s="36" t="n">
        <v>14</v>
      </c>
      <c r="G251" s="36" t="n">
        <v>14</v>
      </c>
      <c r="H251" s="36" t="n">
        <v>9</v>
      </c>
      <c r="I251" s="36" t="n">
        <v>8</v>
      </c>
      <c r="J251" s="36" t="n">
        <v>9</v>
      </c>
      <c r="K251" s="28" t="n">
        <v>17</v>
      </c>
      <c r="L251" s="36" t="n">
        <v>7</v>
      </c>
      <c r="M251" s="36" t="n">
        <v>12</v>
      </c>
      <c r="N251" s="36" t="n">
        <v>21</v>
      </c>
      <c r="O251" s="36" t="n">
        <v>6</v>
      </c>
      <c r="P251" s="36" t="n">
        <v>8</v>
      </c>
      <c r="Q251" s="36" t="n">
        <v>8</v>
      </c>
      <c r="R251" s="28" t="n">
        <v>8</v>
      </c>
      <c r="S251" s="36" t="n">
        <v>5</v>
      </c>
      <c r="T251" s="36" t="n">
        <v>8</v>
      </c>
      <c r="U251" s="36" t="n">
        <v>9.289999999999999</v>
      </c>
      <c r="V251" s="36" t="n">
        <v>9.17</v>
      </c>
      <c r="W251" s="36" t="n">
        <v>8.92</v>
      </c>
      <c r="X251" s="36" t="n">
        <v>6.4</v>
      </c>
      <c r="Y251" s="28" t="n">
        <v>10.46</v>
      </c>
      <c r="Z251" s="36" t="n">
        <v>10.15</v>
      </c>
      <c r="AA251" s="36" t="n">
        <v>10.03</v>
      </c>
      <c r="AB251" s="36" t="n">
        <v>9.289999999999999</v>
      </c>
      <c r="AC251" s="36" t="n">
        <v>9.17</v>
      </c>
      <c r="AD251" s="36" t="n">
        <v>7.02</v>
      </c>
      <c r="AE251" s="36" t="n">
        <v>6.4</v>
      </c>
      <c r="AF251" s="28" t="n">
        <v>10.46</v>
      </c>
      <c r="AG251" s="36" t="n">
        <v>10.15</v>
      </c>
      <c r="AH251" s="37" t="n">
        <v>10.03</v>
      </c>
      <c r="AI251" s="37" t="n">
        <v>9.289999999999999</v>
      </c>
      <c r="AJ251" s="37" t="n">
        <v>9.17</v>
      </c>
      <c r="AK251" s="37" t="n">
        <v>8.92</v>
      </c>
      <c r="AL251" s="37" t="n">
        <v>6.4</v>
      </c>
      <c r="AM251" s="37" t="n">
        <v>10.46</v>
      </c>
      <c r="AN251" s="37" t="n">
        <v>10.15</v>
      </c>
      <c r="AO251" s="37" t="n">
        <v>10.03</v>
      </c>
      <c r="AP251" s="37" t="n">
        <v>9.289999999999999</v>
      </c>
      <c r="AQ251" s="37" t="n">
        <v>9.17</v>
      </c>
      <c r="AR251" s="37" t="n">
        <v>8.92</v>
      </c>
      <c r="AS251" s="37" t="n">
        <v>6.4</v>
      </c>
      <c r="AT251" s="37" t="n">
        <v>10.46</v>
      </c>
      <c r="AU251" s="37" t="n">
        <v>10.15</v>
      </c>
      <c r="AV251" s="37" t="n">
        <v>10.03</v>
      </c>
      <c r="AW251" s="37" t="n">
        <v>9.289999999999999</v>
      </c>
      <c r="AX251" s="37" t="n">
        <v>9.17</v>
      </c>
      <c r="AY251" s="37" t="n">
        <v>8.92</v>
      </c>
      <c r="AZ251" s="37" t="n">
        <v>6.4</v>
      </c>
      <c r="BA251" s="37" t="n">
        <v>11.45</v>
      </c>
      <c r="BB251" s="37" t="n">
        <v>6.03</v>
      </c>
      <c r="BC251" s="37" t="n">
        <v>3.08</v>
      </c>
      <c r="BD251" s="37" t="n">
        <v>2.34</v>
      </c>
      <c r="BE251" s="37" t="n">
        <v>5.42</v>
      </c>
      <c r="BF251" s="37" t="n">
        <v>5.05</v>
      </c>
      <c r="BG251" s="37" t="n">
        <v>3.51</v>
      </c>
      <c r="BH251" s="37" t="n">
        <v>6.09</v>
      </c>
      <c r="BI251" s="37" t="n">
        <v>6.03</v>
      </c>
      <c r="BJ251" s="37" t="n">
        <v>4.62</v>
      </c>
      <c r="BK251" s="37" t="n">
        <v>5.35</v>
      </c>
      <c r="BL251" s="37" t="n">
        <v>5.35</v>
      </c>
      <c r="BM251" s="37" t="n">
        <v>5.05</v>
      </c>
      <c r="BN251" s="37" t="n">
        <v>3.51</v>
      </c>
      <c r="BO251" s="37" t="n">
        <v>6.09</v>
      </c>
      <c r="BP251" s="37" t="n">
        <v>6.03</v>
      </c>
      <c r="BQ251" s="37" t="n">
        <v>5.72</v>
      </c>
      <c r="BR251" s="37" t="n">
        <v>5.35</v>
      </c>
      <c r="BS251" s="37" t="n">
        <v>5.35</v>
      </c>
      <c r="BT251" s="37" t="n">
        <v>5.05</v>
      </c>
      <c r="BU251" s="37" t="n">
        <v>3.51</v>
      </c>
      <c r="BV251" s="37" t="n">
        <v>6.09</v>
      </c>
      <c r="BW251" s="37" t="n">
        <v>6.03</v>
      </c>
      <c r="BX251" s="37" t="n">
        <v>5.72</v>
      </c>
      <c r="BY251" s="37" t="n">
        <v>5.35</v>
      </c>
      <c r="BZ251" s="37" t="n">
        <v>5.35</v>
      </c>
      <c r="CA251" s="37" t="n">
        <v>5.05</v>
      </c>
      <c r="CB251" s="37" t="n">
        <v>3.51</v>
      </c>
      <c r="CC251" s="37" t="n">
        <v>590.6399999999999</v>
      </c>
    </row>
    <row r="252" ht="15.75" customHeight="1" s="57">
      <c r="A252" s="7" t="inlineStr">
        <is>
          <t>NTB</t>
        </is>
      </c>
      <c r="B252" s="7" t="inlineStr">
        <is>
          <t>Lâm Đồng</t>
        </is>
      </c>
      <c r="C252" s="7" t="n">
        <v>20663000</v>
      </c>
      <c r="D252" s="7" t="inlineStr">
        <is>
          <t>(LDO) Đạ Tẻh</t>
        </is>
      </c>
      <c r="E252" s="7" t="inlineStr">
        <is>
          <t>Shopee</t>
        </is>
      </c>
      <c r="F252" s="36" t="n">
        <v>20</v>
      </c>
      <c r="G252" s="36" t="n">
        <v>13</v>
      </c>
      <c r="H252" s="36" t="n">
        <v>15</v>
      </c>
      <c r="I252" s="36" t="n">
        <v>14</v>
      </c>
      <c r="J252" s="36" t="n">
        <v>16</v>
      </c>
      <c r="K252" s="28" t="n">
        <v>6</v>
      </c>
      <c r="L252" s="36" t="n">
        <v>20</v>
      </c>
      <c r="M252" s="36" t="n">
        <v>12</v>
      </c>
      <c r="N252" s="36" t="n">
        <v>16</v>
      </c>
      <c r="O252" s="36" t="n">
        <v>4</v>
      </c>
      <c r="P252" s="36" t="n">
        <v>9</v>
      </c>
      <c r="Q252" s="36" t="n">
        <v>9</v>
      </c>
      <c r="R252" s="28" t="n">
        <v>7</v>
      </c>
      <c r="S252" s="36" t="n">
        <v>5</v>
      </c>
      <c r="T252" s="36" t="n">
        <v>10</v>
      </c>
      <c r="U252" s="36" t="n">
        <v>10.24</v>
      </c>
      <c r="V252" s="36" t="n">
        <v>10.34</v>
      </c>
      <c r="W252" s="36" t="n">
        <v>9.91</v>
      </c>
      <c r="X252" s="36" t="n">
        <v>8.56</v>
      </c>
      <c r="Y252" s="28" t="n">
        <v>13.86</v>
      </c>
      <c r="Z252" s="36" t="n">
        <v>10.99</v>
      </c>
      <c r="AA252" s="36" t="n">
        <v>13.42</v>
      </c>
      <c r="AB252" s="36" t="n">
        <v>10.51</v>
      </c>
      <c r="AC252" s="36" t="n">
        <v>8.44</v>
      </c>
      <c r="AD252" s="36" t="n">
        <v>22.45</v>
      </c>
      <c r="AE252" s="36" t="n">
        <v>9.18</v>
      </c>
      <c r="AF252" s="28" t="n">
        <v>15.22</v>
      </c>
      <c r="AG252" s="36" t="n">
        <v>11.53</v>
      </c>
      <c r="AH252" s="37" t="n">
        <v>12.16</v>
      </c>
      <c r="AI252" s="37" t="n">
        <v>10.24</v>
      </c>
      <c r="AJ252" s="37" t="n">
        <v>10.34</v>
      </c>
      <c r="AK252" s="37" t="n">
        <v>10.93</v>
      </c>
      <c r="AL252" s="37" t="n">
        <v>15.37</v>
      </c>
      <c r="AM252" s="37" t="n">
        <v>13.86</v>
      </c>
      <c r="AN252" s="37" t="n">
        <v>10.99</v>
      </c>
      <c r="AO252" s="37" t="n">
        <v>12.16</v>
      </c>
      <c r="AP252" s="37" t="n">
        <v>11.32</v>
      </c>
      <c r="AQ252" s="37" t="n">
        <v>8.26</v>
      </c>
      <c r="AR252" s="37" t="n">
        <v>9.91</v>
      </c>
      <c r="AS252" s="37" t="n">
        <v>8.56</v>
      </c>
      <c r="AT252" s="37" t="n">
        <v>13.86</v>
      </c>
      <c r="AU252" s="37" t="n">
        <v>12.08</v>
      </c>
      <c r="AV252" s="37" t="n">
        <v>12.46</v>
      </c>
      <c r="AW252" s="37" t="n">
        <v>10.24</v>
      </c>
      <c r="AX252" s="37" t="n">
        <v>10.34</v>
      </c>
      <c r="AY252" s="37" t="n">
        <v>9.91</v>
      </c>
      <c r="AZ252" s="37" t="n">
        <v>8.56</v>
      </c>
      <c r="BA252" s="37" t="n">
        <v>11.92</v>
      </c>
      <c r="BB252" s="37" t="n">
        <v>8.19</v>
      </c>
      <c r="BC252" s="37" t="n">
        <v>3.68</v>
      </c>
      <c r="BD252" s="37" t="n">
        <v>6.14</v>
      </c>
      <c r="BE252" s="37" t="n">
        <v>12.31</v>
      </c>
      <c r="BF252" s="37" t="n">
        <v>11.86</v>
      </c>
      <c r="BG252" s="37" t="n">
        <v>8.369999999999999</v>
      </c>
      <c r="BH252" s="37" t="n">
        <v>13.21</v>
      </c>
      <c r="BI252" s="37" t="n">
        <v>8.67</v>
      </c>
      <c r="BJ252" s="37" t="n">
        <v>31.8</v>
      </c>
      <c r="BK252" s="37" t="n">
        <v>10.49</v>
      </c>
      <c r="BL252" s="37" t="n">
        <v>10.34</v>
      </c>
      <c r="BM252" s="37" t="n">
        <v>9.449999999999999</v>
      </c>
      <c r="BN252" s="37" t="n">
        <v>8.210000000000001</v>
      </c>
      <c r="BO252" s="37" t="n">
        <v>13.21</v>
      </c>
      <c r="BP252" s="37" t="n">
        <v>11.48</v>
      </c>
      <c r="BQ252" s="37" t="n">
        <v>17.73</v>
      </c>
      <c r="BR252" s="37" t="n">
        <v>9.75</v>
      </c>
      <c r="BS252" s="37" t="n">
        <v>9.85</v>
      </c>
      <c r="BT252" s="37" t="n">
        <v>9.449999999999999</v>
      </c>
      <c r="BU252" s="37" t="n">
        <v>8.970000000000001</v>
      </c>
      <c r="BV252" s="37" t="n">
        <v>10.59</v>
      </c>
      <c r="BW252" s="37" t="n">
        <v>10.46</v>
      </c>
      <c r="BX252" s="37" t="n">
        <v>11.55</v>
      </c>
      <c r="BY252" s="37" t="n">
        <v>9.75</v>
      </c>
      <c r="BZ252" s="37" t="n">
        <v>10.79</v>
      </c>
      <c r="CA252" s="37" t="n">
        <v>9.66</v>
      </c>
      <c r="CB252" s="37" t="n">
        <v>8.210000000000001</v>
      </c>
      <c r="CC252" s="37" t="n">
        <v>848.2900000000002</v>
      </c>
    </row>
    <row r="253" ht="15.75" customHeight="1" s="57">
      <c r="A253" s="7" t="inlineStr">
        <is>
          <t>NTB</t>
        </is>
      </c>
      <c r="B253" s="7" t="inlineStr">
        <is>
          <t>Lâm Đồng</t>
        </is>
      </c>
      <c r="C253" s="7" t="n">
        <v>20663000</v>
      </c>
      <c r="D253" s="7" t="inlineStr">
        <is>
          <t>(LDO) Đạ Tẻh</t>
        </is>
      </c>
      <c r="E253" s="7" t="inlineStr">
        <is>
          <t>Shopee-Bulky</t>
        </is>
      </c>
      <c r="F253" s="36" t="n">
        <v>3.26</v>
      </c>
      <c r="G253" s="36" t="n">
        <v>1.31</v>
      </c>
      <c r="H253" s="36" t="n">
        <v>1.96</v>
      </c>
      <c r="I253" s="36" t="n">
        <v>0</v>
      </c>
      <c r="J253" s="36" t="n">
        <v>0</v>
      </c>
      <c r="K253" s="28" t="n">
        <v>1.31</v>
      </c>
      <c r="L253" s="36" t="n">
        <v>0.65</v>
      </c>
      <c r="M253" s="36" t="n">
        <v>0.65</v>
      </c>
      <c r="N253" s="36" t="n">
        <v>0.65</v>
      </c>
      <c r="O253" s="36" t="n">
        <v>0.65</v>
      </c>
      <c r="P253" s="36" t="n">
        <v>4.57</v>
      </c>
      <c r="Q253" s="36" t="n">
        <v>0.65</v>
      </c>
      <c r="R253" s="28" t="n">
        <v>1.31</v>
      </c>
      <c r="S253" s="36" t="n">
        <v>3.26</v>
      </c>
      <c r="T253" s="36" t="n">
        <v>2.61</v>
      </c>
      <c r="U253" s="36" t="n">
        <v>1.63</v>
      </c>
      <c r="V253" s="36" t="n">
        <v>1.57</v>
      </c>
      <c r="W253" s="36" t="n">
        <v>2.06</v>
      </c>
      <c r="X253" s="36" t="n">
        <v>1.22</v>
      </c>
      <c r="Y253" s="28" t="n">
        <v>2.56</v>
      </c>
      <c r="Z253" s="36" t="n">
        <v>1.86</v>
      </c>
      <c r="AA253" s="36" t="n">
        <v>3.28</v>
      </c>
      <c r="AB253" s="36" t="n">
        <v>1.86</v>
      </c>
      <c r="AC253" s="36" t="n">
        <v>2.18</v>
      </c>
      <c r="AD253" s="36" t="n">
        <v>6.63</v>
      </c>
      <c r="AE253" s="36" t="n">
        <v>5.73</v>
      </c>
      <c r="AF253" s="28" t="n">
        <v>5.47</v>
      </c>
      <c r="AG253" s="36" t="n">
        <v>2.88</v>
      </c>
      <c r="AH253" s="37" t="n">
        <v>1.77</v>
      </c>
      <c r="AI253" s="37" t="n">
        <v>2.06</v>
      </c>
      <c r="AJ253" s="37" t="n">
        <v>1.72</v>
      </c>
      <c r="AK253" s="37" t="n">
        <v>4.1</v>
      </c>
      <c r="AL253" s="37" t="n">
        <v>2.24</v>
      </c>
      <c r="AM253" s="37" t="n">
        <v>3.37</v>
      </c>
      <c r="AN253" s="37" t="n">
        <v>1.86</v>
      </c>
      <c r="AO253" s="37" t="n">
        <v>1.8</v>
      </c>
      <c r="AP253" s="37" t="n">
        <v>3.66</v>
      </c>
      <c r="AQ253" s="37" t="n">
        <v>2.44</v>
      </c>
      <c r="AR253" s="37" t="n">
        <v>1.83</v>
      </c>
      <c r="AS253" s="37" t="n">
        <v>0.93</v>
      </c>
      <c r="AT253" s="37" t="n">
        <v>2.47</v>
      </c>
      <c r="AU253" s="37" t="n">
        <v>4.42</v>
      </c>
      <c r="AV253" s="37" t="n">
        <v>4.51</v>
      </c>
      <c r="AW253" s="37" t="n">
        <v>1.77</v>
      </c>
      <c r="AX253" s="37" t="n">
        <v>1.72</v>
      </c>
      <c r="AY253" s="37" t="n">
        <v>1.77</v>
      </c>
      <c r="AZ253" s="37" t="n">
        <v>0.93</v>
      </c>
      <c r="BA253" s="37" t="n">
        <v>2.3</v>
      </c>
      <c r="BB253" s="37" t="n">
        <v>1.42</v>
      </c>
      <c r="BC253" s="37" t="n">
        <v>0.29</v>
      </c>
      <c r="BD253" s="37" t="n">
        <v>0.58</v>
      </c>
      <c r="BE253" s="37" t="n">
        <v>2.67</v>
      </c>
      <c r="BF253" s="37" t="n">
        <v>2.24</v>
      </c>
      <c r="BG253" s="37" t="n">
        <v>1.42</v>
      </c>
      <c r="BH253" s="37" t="n">
        <v>3.26</v>
      </c>
      <c r="BI253" s="37" t="n">
        <v>2.41</v>
      </c>
      <c r="BJ253" s="37" t="n">
        <v>11.95</v>
      </c>
      <c r="BK253" s="37" t="n">
        <v>5.47</v>
      </c>
      <c r="BL253" s="37" t="n">
        <v>3.08</v>
      </c>
      <c r="BM253" s="37" t="n">
        <v>1.86</v>
      </c>
      <c r="BN253" s="37" t="n">
        <v>1.34</v>
      </c>
      <c r="BO253" s="37" t="n">
        <v>3.9</v>
      </c>
      <c r="BP253" s="37" t="n">
        <v>5.64</v>
      </c>
      <c r="BQ253" s="37" t="n">
        <v>4.42</v>
      </c>
      <c r="BR253" s="37" t="n">
        <v>2.24</v>
      </c>
      <c r="BS253" s="37" t="n">
        <v>2.18</v>
      </c>
      <c r="BT253" s="37" t="n">
        <v>1.77</v>
      </c>
      <c r="BU253" s="37" t="n">
        <v>2.91</v>
      </c>
      <c r="BV253" s="37" t="n">
        <v>3.49</v>
      </c>
      <c r="BW253" s="37" t="n">
        <v>2.41</v>
      </c>
      <c r="BX253" s="37" t="n">
        <v>2.33</v>
      </c>
      <c r="BY253" s="37" t="n">
        <v>2.24</v>
      </c>
      <c r="BZ253" s="37" t="n">
        <v>4.45</v>
      </c>
      <c r="CA253" s="37" t="n">
        <v>2.24</v>
      </c>
      <c r="CB253" s="37" t="n">
        <v>1.25</v>
      </c>
      <c r="CC253" s="37" t="n">
        <v>188.9000000000001</v>
      </c>
    </row>
    <row r="254" ht="15.75" customHeight="1" s="57">
      <c r="A254" s="7" t="inlineStr">
        <is>
          <t>NTB</t>
        </is>
      </c>
      <c r="B254" s="7" t="inlineStr">
        <is>
          <t>Lâm Đồng</t>
        </is>
      </c>
      <c r="C254" s="7" t="n">
        <v>20663000</v>
      </c>
      <c r="D254" s="7" t="inlineStr">
        <is>
          <t>(LDO) Đạ Tẻh</t>
        </is>
      </c>
      <c r="E254" s="7" t="inlineStr">
        <is>
          <t>Shopee-Bulky (10-15kg)</t>
        </is>
      </c>
      <c r="F254" s="36" t="n">
        <v>1.74</v>
      </c>
      <c r="G254" s="36" t="n">
        <v>0.6899999999999999</v>
      </c>
      <c r="H254" s="36" t="n">
        <v>1.04</v>
      </c>
      <c r="I254" s="36" t="n">
        <v>0</v>
      </c>
      <c r="J254" s="36" t="n">
        <v>0</v>
      </c>
      <c r="K254" s="28" t="n">
        <v>0.6899999999999999</v>
      </c>
      <c r="L254" s="36" t="n">
        <v>0.35</v>
      </c>
      <c r="M254" s="36" t="n">
        <v>0.35</v>
      </c>
      <c r="N254" s="36" t="n">
        <v>0.35</v>
      </c>
      <c r="O254" s="36" t="n">
        <v>0.35</v>
      </c>
      <c r="P254" s="36" t="n">
        <v>2.43</v>
      </c>
      <c r="Q254" s="36" t="n">
        <v>0.35</v>
      </c>
      <c r="R254" s="28" t="n">
        <v>0.6899999999999999</v>
      </c>
      <c r="S254" s="36" t="n">
        <v>1.74</v>
      </c>
      <c r="T254" s="36" t="n">
        <v>1.39</v>
      </c>
      <c r="U254" s="36" t="n">
        <v>0.84</v>
      </c>
      <c r="V254" s="36" t="n">
        <v>0.8100000000000001</v>
      </c>
      <c r="W254" s="36" t="n">
        <v>1.02</v>
      </c>
      <c r="X254" s="36" t="n">
        <v>0.61</v>
      </c>
      <c r="Y254" s="28" t="n">
        <v>1.48</v>
      </c>
      <c r="Z254" s="36" t="n">
        <v>0.99</v>
      </c>
      <c r="AA254" s="36" t="n">
        <v>1.8</v>
      </c>
      <c r="AB254" s="36" t="n">
        <v>0.93</v>
      </c>
      <c r="AC254" s="36" t="n">
        <v>0.99</v>
      </c>
      <c r="AD254" s="36" t="n">
        <v>4.83</v>
      </c>
      <c r="AE254" s="36" t="n">
        <v>3.28</v>
      </c>
      <c r="AF254" s="28" t="n">
        <v>2.73</v>
      </c>
      <c r="AG254" s="36" t="n">
        <v>2.12</v>
      </c>
      <c r="AH254" s="37" t="n">
        <v>0.99</v>
      </c>
      <c r="AI254" s="37" t="n">
        <v>0.99</v>
      </c>
      <c r="AJ254" s="37" t="n">
        <v>0.99</v>
      </c>
      <c r="AK254" s="37" t="n">
        <v>2.56</v>
      </c>
      <c r="AL254" s="37" t="n">
        <v>1.02</v>
      </c>
      <c r="AM254" s="37" t="n">
        <v>2.03</v>
      </c>
      <c r="AN254" s="37" t="n">
        <v>0.99</v>
      </c>
      <c r="AO254" s="37" t="n">
        <v>0.93</v>
      </c>
      <c r="AP254" s="37" t="n">
        <v>1.86</v>
      </c>
      <c r="AQ254" s="37" t="n">
        <v>1.22</v>
      </c>
      <c r="AR254" s="37" t="n">
        <v>0.93</v>
      </c>
      <c r="AS254" s="37" t="n">
        <v>0.47</v>
      </c>
      <c r="AT254" s="37" t="n">
        <v>1.45</v>
      </c>
      <c r="AU254" s="37" t="n">
        <v>2.33</v>
      </c>
      <c r="AV254" s="37" t="n">
        <v>2.59</v>
      </c>
      <c r="AW254" s="37" t="n">
        <v>0.87</v>
      </c>
      <c r="AX254" s="37" t="n">
        <v>0.8100000000000001</v>
      </c>
      <c r="AY254" s="37" t="n">
        <v>0.9</v>
      </c>
      <c r="AZ254" s="37" t="n">
        <v>0.47</v>
      </c>
      <c r="BA254" s="37" t="n">
        <v>1.1</v>
      </c>
      <c r="BB254" s="37" t="n">
        <v>0.7</v>
      </c>
      <c r="BC254" s="37" t="n">
        <v>0.12</v>
      </c>
      <c r="BD254" s="37" t="n">
        <v>0.23</v>
      </c>
      <c r="BE254" s="37" t="n">
        <v>1.37</v>
      </c>
      <c r="BF254" s="37" t="n">
        <v>1.13</v>
      </c>
      <c r="BG254" s="37" t="n">
        <v>0.64</v>
      </c>
      <c r="BH254" s="37" t="n">
        <v>1.98</v>
      </c>
      <c r="BI254" s="37" t="n">
        <v>1.08</v>
      </c>
      <c r="BJ254" s="37" t="n">
        <v>6.69</v>
      </c>
      <c r="BK254" s="37" t="n">
        <v>2.41</v>
      </c>
      <c r="BL254" s="37" t="n">
        <v>1.8</v>
      </c>
      <c r="BM254" s="37" t="n">
        <v>0.87</v>
      </c>
      <c r="BN254" s="37" t="n">
        <v>0.64</v>
      </c>
      <c r="BO254" s="37" t="n">
        <v>1.86</v>
      </c>
      <c r="BP254" s="37" t="n">
        <v>2.41</v>
      </c>
      <c r="BQ254" s="37" t="n">
        <v>2.27</v>
      </c>
      <c r="BR254" s="37" t="n">
        <v>1.13</v>
      </c>
      <c r="BS254" s="37" t="n">
        <v>1.05</v>
      </c>
      <c r="BT254" s="37" t="n">
        <v>0.87</v>
      </c>
      <c r="BU254" s="37" t="n">
        <v>1.13</v>
      </c>
      <c r="BV254" s="37" t="n">
        <v>2.12</v>
      </c>
      <c r="BW254" s="37" t="n">
        <v>1.08</v>
      </c>
      <c r="BX254" s="37" t="n">
        <v>1.22</v>
      </c>
      <c r="BY254" s="37" t="n">
        <v>1.13</v>
      </c>
      <c r="BZ254" s="37" t="n">
        <v>2.09</v>
      </c>
      <c r="CA254" s="37" t="n">
        <v>1.13</v>
      </c>
      <c r="CB254" s="37" t="n">
        <v>0.64</v>
      </c>
      <c r="CC254" s="37" t="n">
        <v>99.87999999999997</v>
      </c>
    </row>
    <row r="255" ht="15.75" customHeight="1" s="57">
      <c r="A255" s="7" t="inlineStr">
        <is>
          <t>NTB</t>
        </is>
      </c>
      <c r="B255" s="7" t="inlineStr">
        <is>
          <t>Lâm Đồng</t>
        </is>
      </c>
      <c r="C255" s="7" t="n">
        <v>20663000</v>
      </c>
      <c r="D255" s="7" t="inlineStr">
        <is>
          <t>(LDO) Đạ Tẻh</t>
        </is>
      </c>
      <c r="E255" s="7" t="inlineStr">
        <is>
          <t>TTS</t>
        </is>
      </c>
      <c r="F255" s="36" t="n">
        <v>118</v>
      </c>
      <c r="G255" s="36" t="n">
        <v>104</v>
      </c>
      <c r="H255" s="36" t="n">
        <v>94</v>
      </c>
      <c r="I255" s="36" t="n">
        <v>88</v>
      </c>
      <c r="J255" s="36" t="n">
        <v>91</v>
      </c>
      <c r="K255" s="28" t="n">
        <v>82</v>
      </c>
      <c r="L255" s="36" t="n">
        <v>70</v>
      </c>
      <c r="M255" s="36" t="n">
        <v>86</v>
      </c>
      <c r="N255" s="36" t="n">
        <v>85</v>
      </c>
      <c r="O255" s="36" t="n">
        <v>87</v>
      </c>
      <c r="P255" s="36" t="n">
        <v>86</v>
      </c>
      <c r="Q255" s="36" t="n">
        <v>75</v>
      </c>
      <c r="R255" s="28" t="n">
        <v>68</v>
      </c>
      <c r="S255" s="36" t="n">
        <v>87</v>
      </c>
      <c r="T255" s="36" t="n">
        <v>120</v>
      </c>
      <c r="U255" s="36" t="n">
        <v>42.68</v>
      </c>
      <c r="V255" s="36" t="n">
        <v>42.21</v>
      </c>
      <c r="W255" s="36" t="n">
        <v>41.17</v>
      </c>
      <c r="X255" s="36" t="n">
        <v>33.12</v>
      </c>
      <c r="Y255" s="28" t="n">
        <v>48.39</v>
      </c>
      <c r="Z255" s="36" t="n">
        <v>41.12</v>
      </c>
      <c r="AA255" s="36" t="n">
        <v>45.75</v>
      </c>
      <c r="AB255" s="36" t="n">
        <v>50.81</v>
      </c>
      <c r="AC255" s="36" t="n">
        <v>53.97</v>
      </c>
      <c r="AD255" s="36" t="n">
        <v>74.81</v>
      </c>
      <c r="AE255" s="36" t="n">
        <v>38.57</v>
      </c>
      <c r="AF255" s="28" t="n">
        <v>49.69</v>
      </c>
      <c r="AG255" s="36" t="n">
        <v>42.03</v>
      </c>
      <c r="AH255" s="37" t="n">
        <v>41.43</v>
      </c>
      <c r="AI255" s="37" t="n">
        <v>47.91</v>
      </c>
      <c r="AJ255" s="37" t="n">
        <v>51.2</v>
      </c>
      <c r="AK255" s="37" t="n">
        <v>50.34</v>
      </c>
      <c r="AL255" s="37" t="n">
        <v>36.06</v>
      </c>
      <c r="AM255" s="37" t="n">
        <v>49.08</v>
      </c>
      <c r="AN255" s="37" t="n">
        <v>42.38</v>
      </c>
      <c r="AO255" s="37" t="n">
        <v>42.03</v>
      </c>
      <c r="AP255" s="37" t="n">
        <v>41.08</v>
      </c>
      <c r="AQ255" s="37" t="n">
        <v>41.38</v>
      </c>
      <c r="AR255" s="37" t="n">
        <v>40.52</v>
      </c>
      <c r="AS255" s="37" t="n">
        <v>33.21</v>
      </c>
      <c r="AT255" s="37" t="n">
        <v>53.1</v>
      </c>
      <c r="AU255" s="37" t="n">
        <v>48.09</v>
      </c>
      <c r="AV255" s="37" t="n">
        <v>42.59</v>
      </c>
      <c r="AW255" s="37" t="n">
        <v>40.56</v>
      </c>
      <c r="AX255" s="37" t="n">
        <v>40.35</v>
      </c>
      <c r="AY255" s="37" t="n">
        <v>40.04</v>
      </c>
      <c r="AZ255" s="37" t="n">
        <v>33.21</v>
      </c>
      <c r="BA255" s="37" t="n">
        <v>47.74</v>
      </c>
      <c r="BB255" s="37" t="n">
        <v>44.97</v>
      </c>
      <c r="BC255" s="37" t="n">
        <v>22.62</v>
      </c>
      <c r="BD255" s="37" t="n">
        <v>32.26</v>
      </c>
      <c r="BE255" s="37" t="n">
        <v>75.11</v>
      </c>
      <c r="BF255" s="37" t="n">
        <v>72.65000000000001</v>
      </c>
      <c r="BG255" s="37" t="n">
        <v>36.15</v>
      </c>
      <c r="BH255" s="37" t="n">
        <v>52.97</v>
      </c>
      <c r="BI255" s="37" t="n">
        <v>44.97</v>
      </c>
      <c r="BJ255" s="37" t="n">
        <v>56.61</v>
      </c>
      <c r="BK255" s="37" t="n">
        <v>45.58</v>
      </c>
      <c r="BL255" s="37" t="n">
        <v>45.71</v>
      </c>
      <c r="BM255" s="37" t="n">
        <v>44.28</v>
      </c>
      <c r="BN255" s="37" t="n">
        <v>36.15</v>
      </c>
      <c r="BO255" s="37" t="n">
        <v>52.97</v>
      </c>
      <c r="BP255" s="37" t="n">
        <v>44.97</v>
      </c>
      <c r="BQ255" s="37" t="n">
        <v>44.37</v>
      </c>
      <c r="BR255" s="37" t="n">
        <v>45.58</v>
      </c>
      <c r="BS255" s="37" t="n">
        <v>45.71</v>
      </c>
      <c r="BT255" s="37" t="n">
        <v>44.28</v>
      </c>
      <c r="BU255" s="37" t="n">
        <v>36.15</v>
      </c>
      <c r="BV255" s="37" t="n">
        <v>52.97</v>
      </c>
      <c r="BW255" s="37" t="n">
        <v>44.97</v>
      </c>
      <c r="BX255" s="37" t="n">
        <v>44.37</v>
      </c>
      <c r="BY255" s="37" t="n">
        <v>45.58</v>
      </c>
      <c r="BZ255" s="37" t="n">
        <v>45.71</v>
      </c>
      <c r="CA255" s="37" t="n">
        <v>44.28</v>
      </c>
      <c r="CB255" s="37" t="n">
        <v>36.15</v>
      </c>
      <c r="CC255" s="37" t="n">
        <v>4045.71</v>
      </c>
    </row>
    <row r="256" ht="15.75" customHeight="1" s="57">
      <c r="A256" s="7" t="inlineStr">
        <is>
          <t>NTB</t>
        </is>
      </c>
      <c r="B256" s="7" t="inlineStr">
        <is>
          <t>Lâm Đồng</t>
        </is>
      </c>
      <c r="C256" s="7" t="n">
        <v>20663000</v>
      </c>
      <c r="D256" s="7" t="inlineStr">
        <is>
          <t>(LDO) Đạ Tẻh</t>
        </is>
      </c>
      <c r="E256" s="7" t="inlineStr">
        <is>
          <t>TTS-Bulky</t>
        </is>
      </c>
      <c r="F256" s="36" t="n">
        <v>0</v>
      </c>
      <c r="G256" s="36" t="n">
        <v>1</v>
      </c>
      <c r="H256" s="36" t="n">
        <v>0</v>
      </c>
      <c r="I256" s="36" t="n">
        <v>0</v>
      </c>
      <c r="J256" s="36" t="n">
        <v>0</v>
      </c>
      <c r="K256" s="28" t="n">
        <v>0</v>
      </c>
      <c r="L256" s="36" t="n">
        <v>0</v>
      </c>
      <c r="M256" s="36" t="n">
        <v>0</v>
      </c>
      <c r="N256" s="36" t="n">
        <v>0</v>
      </c>
      <c r="O256" s="36" t="n">
        <v>0</v>
      </c>
      <c r="P256" s="36" t="n">
        <v>0</v>
      </c>
      <c r="Q256" s="36" t="n">
        <v>0</v>
      </c>
      <c r="R256" s="28" t="n">
        <v>0</v>
      </c>
      <c r="S256" s="36" t="n">
        <v>0</v>
      </c>
      <c r="T256" s="36" t="n">
        <v>0</v>
      </c>
      <c r="U256" s="36" t="n">
        <v>0.3</v>
      </c>
      <c r="V256" s="36" t="n">
        <v>0.29</v>
      </c>
      <c r="W256" s="36" t="n">
        <v>0.15</v>
      </c>
      <c r="X256" s="36" t="n">
        <v>0.11</v>
      </c>
      <c r="Y256" s="28" t="n">
        <v>0.15</v>
      </c>
      <c r="Z256" s="36" t="n">
        <v>0.14</v>
      </c>
      <c r="AA256" s="36" t="n">
        <v>0.17</v>
      </c>
      <c r="AB256" s="36" t="n">
        <v>0.17</v>
      </c>
      <c r="AC256" s="36" t="n">
        <v>0.19</v>
      </c>
      <c r="AD256" s="36" t="n">
        <v>0.18</v>
      </c>
      <c r="AE256" s="36" t="n">
        <v>0.11</v>
      </c>
      <c r="AF256" s="28" t="n">
        <v>0.19</v>
      </c>
      <c r="AG256" s="36" t="n">
        <v>0.14</v>
      </c>
      <c r="AH256" s="37" t="n">
        <v>0.14</v>
      </c>
      <c r="AI256" s="37" t="n">
        <v>0.15</v>
      </c>
      <c r="AJ256" s="37" t="n">
        <v>0.18</v>
      </c>
      <c r="AK256" s="37" t="n">
        <v>0.15</v>
      </c>
      <c r="AL256" s="37" t="n">
        <v>0.11</v>
      </c>
      <c r="AM256" s="37" t="n">
        <v>0.19</v>
      </c>
      <c r="AN256" s="37" t="n">
        <v>0.14</v>
      </c>
      <c r="AO256" s="37" t="n">
        <v>0.14</v>
      </c>
      <c r="AP256" s="37" t="n">
        <v>0.13</v>
      </c>
      <c r="AQ256" s="37" t="n">
        <v>0.16</v>
      </c>
      <c r="AR256" s="37" t="n">
        <v>0.15</v>
      </c>
      <c r="AS256" s="37" t="n">
        <v>0.11</v>
      </c>
      <c r="AT256" s="37" t="n">
        <v>0.19</v>
      </c>
      <c r="AU256" s="37" t="n">
        <v>0.18</v>
      </c>
      <c r="AV256" s="37" t="n">
        <v>0.14</v>
      </c>
      <c r="AW256" s="37" t="n">
        <v>0.13</v>
      </c>
      <c r="AX256" s="37" t="n">
        <v>0.16</v>
      </c>
      <c r="AY256" s="37" t="n">
        <v>0.15</v>
      </c>
      <c r="AZ256" s="37" t="n">
        <v>0.11</v>
      </c>
      <c r="BA256" s="37" t="n">
        <v>0.16</v>
      </c>
      <c r="BB256" s="37" t="n">
        <v>0.04</v>
      </c>
      <c r="BC256" s="37" t="n">
        <v>0.02</v>
      </c>
      <c r="BD256" s="37" t="n">
        <v>0.03</v>
      </c>
      <c r="BE256" s="37" t="n">
        <v>0.04</v>
      </c>
      <c r="BF256" s="37" t="n">
        <v>0.04</v>
      </c>
      <c r="BG256" s="37" t="n">
        <v>0.03</v>
      </c>
      <c r="BH256" s="37" t="n">
        <v>0.05</v>
      </c>
      <c r="BI256" s="37" t="n">
        <v>0.04</v>
      </c>
      <c r="BJ256" s="37" t="n">
        <v>0.04</v>
      </c>
      <c r="BK256" s="37" t="n">
        <v>0.04</v>
      </c>
      <c r="BL256" s="37" t="n">
        <v>0.04</v>
      </c>
      <c r="BM256" s="37" t="n">
        <v>0.04</v>
      </c>
      <c r="BN256" s="37" t="n">
        <v>0.03</v>
      </c>
      <c r="BO256" s="37" t="n">
        <v>0.05</v>
      </c>
      <c r="BP256" s="37" t="n">
        <v>0.05</v>
      </c>
      <c r="BQ256" s="37" t="n">
        <v>0.04</v>
      </c>
      <c r="BR256" s="37" t="n">
        <v>0.04</v>
      </c>
      <c r="BS256" s="37" t="n">
        <v>0.04</v>
      </c>
      <c r="BT256" s="37" t="n">
        <v>0.04</v>
      </c>
      <c r="BU256" s="37" t="n">
        <v>0.03</v>
      </c>
      <c r="BV256" s="37" t="n">
        <v>0.05</v>
      </c>
      <c r="BW256" s="37" t="n">
        <v>0.04</v>
      </c>
      <c r="BX256" s="37" t="n">
        <v>0.04</v>
      </c>
      <c r="BY256" s="37" t="n">
        <v>0.04</v>
      </c>
      <c r="BZ256" s="37" t="n">
        <v>0.04</v>
      </c>
      <c r="CA256" s="37" t="n">
        <v>0.04</v>
      </c>
      <c r="CB256" s="37" t="n">
        <v>0.03</v>
      </c>
      <c r="CC256" s="37" t="n">
        <v>7.310000000000002</v>
      </c>
    </row>
    <row r="257" ht="15.75" customHeight="1" s="57">
      <c r="A257" s="7" t="inlineStr">
        <is>
          <t>NTB</t>
        </is>
      </c>
      <c r="B257" s="7" t="inlineStr">
        <is>
          <t>Lâm Đồng</t>
        </is>
      </c>
      <c r="C257" s="7" t="n">
        <v>20669000</v>
      </c>
      <c r="D257" s="7" t="inlineStr">
        <is>
          <t>(LDO) Cát Tiên</t>
        </is>
      </c>
      <c r="E257" s="7" t="inlineStr">
        <is>
          <t>SME</t>
        </is>
      </c>
      <c r="F257" s="36" t="n">
        <v>47</v>
      </c>
      <c r="G257" s="36" t="n">
        <v>30</v>
      </c>
      <c r="H257" s="36" t="n">
        <v>11</v>
      </c>
      <c r="I257" s="36" t="n">
        <v>23</v>
      </c>
      <c r="J257" s="36" t="n">
        <v>23</v>
      </c>
      <c r="K257" s="28" t="n">
        <v>89</v>
      </c>
      <c r="L257" s="36" t="n">
        <v>22</v>
      </c>
      <c r="M257" s="36" t="n">
        <v>17</v>
      </c>
      <c r="N257" s="36" t="n">
        <v>15</v>
      </c>
      <c r="O257" s="36" t="n">
        <v>25</v>
      </c>
      <c r="P257" s="36" t="n">
        <v>21</v>
      </c>
      <c r="Q257" s="36" t="n">
        <v>18</v>
      </c>
      <c r="R257" s="28" t="n">
        <v>20</v>
      </c>
      <c r="S257" s="36" t="n">
        <v>45</v>
      </c>
      <c r="T257" s="36" t="n">
        <v>33</v>
      </c>
      <c r="U257" s="36" t="n">
        <v>34.45</v>
      </c>
      <c r="V257" s="36" t="n">
        <v>35.58</v>
      </c>
      <c r="W257" s="36" t="n">
        <v>34.63</v>
      </c>
      <c r="X257" s="36" t="n">
        <v>28.33</v>
      </c>
      <c r="Y257" s="28" t="n">
        <v>38.37</v>
      </c>
      <c r="Z257" s="36" t="n">
        <v>35.33</v>
      </c>
      <c r="AA257" s="36" t="n">
        <v>34.45</v>
      </c>
      <c r="AB257" s="36" t="n">
        <v>34.45</v>
      </c>
      <c r="AC257" s="36" t="n">
        <v>35.58</v>
      </c>
      <c r="AD257" s="36" t="n">
        <v>37.11</v>
      </c>
      <c r="AE257" s="36" t="n">
        <v>28.33</v>
      </c>
      <c r="AF257" s="28" t="n">
        <v>38.37</v>
      </c>
      <c r="AG257" s="36" t="n">
        <v>35.33</v>
      </c>
      <c r="AH257" s="37" t="n">
        <v>34.45</v>
      </c>
      <c r="AI257" s="37" t="n">
        <v>34.45</v>
      </c>
      <c r="AJ257" s="37" t="n">
        <v>35.58</v>
      </c>
      <c r="AK257" s="37" t="n">
        <v>34.63</v>
      </c>
      <c r="AL257" s="37" t="n">
        <v>28.33</v>
      </c>
      <c r="AM257" s="37" t="n">
        <v>38.37</v>
      </c>
      <c r="AN257" s="37" t="n">
        <v>35.33</v>
      </c>
      <c r="AO257" s="37" t="n">
        <v>34.45</v>
      </c>
      <c r="AP257" s="37" t="n">
        <v>34.45</v>
      </c>
      <c r="AQ257" s="37" t="n">
        <v>35.58</v>
      </c>
      <c r="AR257" s="37" t="n">
        <v>34.63</v>
      </c>
      <c r="AS257" s="37" t="n">
        <v>28.33</v>
      </c>
      <c r="AT257" s="37" t="n">
        <v>38.37</v>
      </c>
      <c r="AU257" s="37" t="n">
        <v>35.33</v>
      </c>
      <c r="AV257" s="37" t="n">
        <v>34.45</v>
      </c>
      <c r="AW257" s="37" t="n">
        <v>34.45</v>
      </c>
      <c r="AX257" s="37" t="n">
        <v>35.58</v>
      </c>
      <c r="AY257" s="37" t="n">
        <v>34.63</v>
      </c>
      <c r="AZ257" s="37" t="n">
        <v>28.33</v>
      </c>
      <c r="BA257" s="37" t="n">
        <v>36.48</v>
      </c>
      <c r="BB257" s="37" t="n">
        <v>32.42</v>
      </c>
      <c r="BC257" s="37" t="n">
        <v>19.87</v>
      </c>
      <c r="BD257" s="37" t="n">
        <v>15.51</v>
      </c>
      <c r="BE257" s="37" t="n">
        <v>33.34</v>
      </c>
      <c r="BF257" s="37" t="n">
        <v>32.48999999999999</v>
      </c>
      <c r="BG257" s="37" t="n">
        <v>29.2</v>
      </c>
      <c r="BH257" s="37" t="n">
        <v>39.59</v>
      </c>
      <c r="BI257" s="37" t="n">
        <v>36.41</v>
      </c>
      <c r="BJ257" s="37" t="n">
        <v>38.18</v>
      </c>
      <c r="BK257" s="37" t="n">
        <v>35.44</v>
      </c>
      <c r="BL257" s="37" t="n">
        <v>36.68</v>
      </c>
      <c r="BM257" s="37" t="n">
        <v>35.68</v>
      </c>
      <c r="BN257" s="37" t="n">
        <v>29.2</v>
      </c>
      <c r="BO257" s="37" t="n">
        <v>39.59</v>
      </c>
      <c r="BP257" s="37" t="n">
        <v>36.41</v>
      </c>
      <c r="BQ257" s="37" t="n">
        <v>35.47</v>
      </c>
      <c r="BR257" s="37" t="n">
        <v>35.44</v>
      </c>
      <c r="BS257" s="37" t="n">
        <v>36.68</v>
      </c>
      <c r="BT257" s="37" t="n">
        <v>35.68</v>
      </c>
      <c r="BU257" s="37" t="n">
        <v>29.2</v>
      </c>
      <c r="BV257" s="37" t="n">
        <v>39.59</v>
      </c>
      <c r="BW257" s="37" t="n">
        <v>36.41</v>
      </c>
      <c r="BX257" s="37" t="n">
        <v>35.47</v>
      </c>
      <c r="BY257" s="37" t="n">
        <v>35.44</v>
      </c>
      <c r="BZ257" s="37" t="n">
        <v>36.68</v>
      </c>
      <c r="CA257" s="37" t="n">
        <v>35.68</v>
      </c>
      <c r="CB257" s="37" t="n">
        <v>29.2</v>
      </c>
      <c r="CC257" s="37" t="n">
        <v>2486.459999999999</v>
      </c>
    </row>
    <row r="258" ht="15.75" customHeight="1" s="57">
      <c r="A258" s="7" t="inlineStr">
        <is>
          <t>NTB</t>
        </is>
      </c>
      <c r="B258" s="7" t="inlineStr">
        <is>
          <t>Lâm Đồng</t>
        </is>
      </c>
      <c r="C258" s="7" t="n">
        <v>20669000</v>
      </c>
      <c r="D258" s="7" t="inlineStr">
        <is>
          <t>(LDO) Cát Tiên</t>
        </is>
      </c>
      <c r="E258" s="7" t="inlineStr">
        <is>
          <t>SME-Bulky</t>
        </is>
      </c>
      <c r="F258" s="36" t="n">
        <v>6</v>
      </c>
      <c r="G258" s="36" t="n">
        <v>3</v>
      </c>
      <c r="H258" s="36" t="n">
        <v>0</v>
      </c>
      <c r="I258" s="36" t="n">
        <v>3</v>
      </c>
      <c r="J258" s="36" t="n">
        <v>2</v>
      </c>
      <c r="K258" s="28" t="n">
        <v>1</v>
      </c>
      <c r="L258" s="36" t="n">
        <v>6</v>
      </c>
      <c r="M258" s="36" t="n">
        <v>4</v>
      </c>
      <c r="N258" s="36" t="n">
        <v>2</v>
      </c>
      <c r="O258" s="36" t="n">
        <v>2</v>
      </c>
      <c r="P258" s="36" t="n">
        <v>2</v>
      </c>
      <c r="Q258" s="36" t="n">
        <v>2</v>
      </c>
      <c r="R258" s="28" t="n">
        <v>4</v>
      </c>
      <c r="S258" s="36" t="n">
        <v>0</v>
      </c>
      <c r="T258" s="36" t="n">
        <v>3</v>
      </c>
      <c r="U258" s="36" t="n">
        <v>2.45</v>
      </c>
      <c r="V258" s="36" t="n">
        <v>2.42</v>
      </c>
      <c r="W258" s="36" t="n">
        <v>2.36</v>
      </c>
      <c r="X258" s="36" t="n">
        <v>1.67</v>
      </c>
      <c r="Y258" s="28" t="n">
        <v>2.78</v>
      </c>
      <c r="Z258" s="36" t="n">
        <v>2.7</v>
      </c>
      <c r="AA258" s="36" t="n">
        <v>2.63</v>
      </c>
      <c r="AB258" s="36" t="n">
        <v>2.45</v>
      </c>
      <c r="AC258" s="36" t="n">
        <v>2.42</v>
      </c>
      <c r="AD258" s="36" t="n">
        <v>1.97</v>
      </c>
      <c r="AE258" s="36" t="n">
        <v>1.67</v>
      </c>
      <c r="AF258" s="28" t="n">
        <v>2.78</v>
      </c>
      <c r="AG258" s="36" t="n">
        <v>2.7</v>
      </c>
      <c r="AH258" s="37" t="n">
        <v>2.63</v>
      </c>
      <c r="AI258" s="37" t="n">
        <v>2.45</v>
      </c>
      <c r="AJ258" s="37" t="n">
        <v>2.42</v>
      </c>
      <c r="AK258" s="37" t="n">
        <v>2.36</v>
      </c>
      <c r="AL258" s="37" t="n">
        <v>1.67</v>
      </c>
      <c r="AM258" s="37" t="n">
        <v>2.78</v>
      </c>
      <c r="AN258" s="37" t="n">
        <v>2.7</v>
      </c>
      <c r="AO258" s="37" t="n">
        <v>2.63</v>
      </c>
      <c r="AP258" s="37" t="n">
        <v>2.45</v>
      </c>
      <c r="AQ258" s="37" t="n">
        <v>2.42</v>
      </c>
      <c r="AR258" s="37" t="n">
        <v>2.36</v>
      </c>
      <c r="AS258" s="37" t="n">
        <v>1.67</v>
      </c>
      <c r="AT258" s="37" t="n">
        <v>2.78</v>
      </c>
      <c r="AU258" s="37" t="n">
        <v>2.7</v>
      </c>
      <c r="AV258" s="37" t="n">
        <v>2.63</v>
      </c>
      <c r="AW258" s="37" t="n">
        <v>2.45</v>
      </c>
      <c r="AX258" s="37" t="n">
        <v>2.42</v>
      </c>
      <c r="AY258" s="37" t="n">
        <v>2.36</v>
      </c>
      <c r="AZ258" s="37" t="n">
        <v>1.67</v>
      </c>
      <c r="BA258" s="37" t="n">
        <v>3.02</v>
      </c>
      <c r="BB258" s="37" t="n">
        <v>1.6</v>
      </c>
      <c r="BC258" s="37" t="n">
        <v>0.8100000000000001</v>
      </c>
      <c r="BD258" s="37" t="n">
        <v>0.61</v>
      </c>
      <c r="BE258" s="37" t="n">
        <v>1.42</v>
      </c>
      <c r="BF258" s="37" t="n">
        <v>1.33</v>
      </c>
      <c r="BG258" s="37" t="n">
        <v>0.92</v>
      </c>
      <c r="BH258" s="37" t="n">
        <v>1.61</v>
      </c>
      <c r="BI258" s="37" t="n">
        <v>1.6</v>
      </c>
      <c r="BJ258" s="37" t="n">
        <v>1.27</v>
      </c>
      <c r="BK258" s="37" t="n">
        <v>1.41</v>
      </c>
      <c r="BL258" s="37" t="n">
        <v>1.41</v>
      </c>
      <c r="BM258" s="37" t="n">
        <v>1.34</v>
      </c>
      <c r="BN258" s="37" t="n">
        <v>0.92</v>
      </c>
      <c r="BO258" s="37" t="n">
        <v>1.61</v>
      </c>
      <c r="BP258" s="37" t="n">
        <v>1.6</v>
      </c>
      <c r="BQ258" s="37" t="n">
        <v>1.5</v>
      </c>
      <c r="BR258" s="37" t="n">
        <v>1.41</v>
      </c>
      <c r="BS258" s="37" t="n">
        <v>1.41</v>
      </c>
      <c r="BT258" s="37" t="n">
        <v>1.34</v>
      </c>
      <c r="BU258" s="37" t="n">
        <v>0.92</v>
      </c>
      <c r="BV258" s="37" t="n">
        <v>1.61</v>
      </c>
      <c r="BW258" s="37" t="n">
        <v>1.6</v>
      </c>
      <c r="BX258" s="37" t="n">
        <v>1.5</v>
      </c>
      <c r="BY258" s="37" t="n">
        <v>1.41</v>
      </c>
      <c r="BZ258" s="37" t="n">
        <v>1.41</v>
      </c>
      <c r="CA258" s="37" t="n">
        <v>1.34</v>
      </c>
      <c r="CB258" s="37" t="n">
        <v>0.92</v>
      </c>
      <c r="CC258" s="37" t="n">
        <v>155.4</v>
      </c>
    </row>
    <row r="259" ht="15.75" customHeight="1" s="57">
      <c r="A259" s="7" t="inlineStr">
        <is>
          <t>NTB</t>
        </is>
      </c>
      <c r="B259" s="7" t="inlineStr">
        <is>
          <t>Lâm Đồng</t>
        </is>
      </c>
      <c r="C259" s="7" t="n">
        <v>20669000</v>
      </c>
      <c r="D259" s="7" t="inlineStr">
        <is>
          <t>(LDO) Cát Tiên</t>
        </is>
      </c>
      <c r="E259" s="7" t="inlineStr">
        <is>
          <t>Shopee</t>
        </is>
      </c>
      <c r="F259" s="36" t="n">
        <v>7</v>
      </c>
      <c r="G259" s="36" t="n">
        <v>6</v>
      </c>
      <c r="H259" s="36" t="n">
        <v>11</v>
      </c>
      <c r="I259" s="36" t="n">
        <v>2</v>
      </c>
      <c r="J259" s="36" t="n">
        <v>1</v>
      </c>
      <c r="K259" s="28" t="n">
        <v>9</v>
      </c>
      <c r="L259" s="36" t="n">
        <v>5</v>
      </c>
      <c r="M259" s="36" t="n">
        <v>4</v>
      </c>
      <c r="N259" s="36" t="n">
        <v>8</v>
      </c>
      <c r="O259" s="36" t="n">
        <v>4</v>
      </c>
      <c r="P259" s="36" t="n">
        <v>2</v>
      </c>
      <c r="Q259" s="36" t="n">
        <v>2</v>
      </c>
      <c r="R259" s="28" t="n">
        <v>10</v>
      </c>
      <c r="S259" s="36" t="n">
        <v>4</v>
      </c>
      <c r="T259" s="36" t="n">
        <v>10</v>
      </c>
      <c r="U259" s="36" t="n">
        <v>6.84</v>
      </c>
      <c r="V259" s="36" t="n">
        <v>6.91</v>
      </c>
      <c r="W259" s="36" t="n">
        <v>6.62</v>
      </c>
      <c r="X259" s="36" t="n">
        <v>5.73</v>
      </c>
      <c r="Y259" s="28" t="n">
        <v>9.26</v>
      </c>
      <c r="Z259" s="36" t="n">
        <v>7.340000000000001</v>
      </c>
      <c r="AA259" s="36" t="n">
        <v>8.98</v>
      </c>
      <c r="AB259" s="36" t="n">
        <v>7.03</v>
      </c>
      <c r="AC259" s="36" t="n">
        <v>5.649999999999999</v>
      </c>
      <c r="AD259" s="36" t="n">
        <v>14.79</v>
      </c>
      <c r="AE259" s="36" t="n">
        <v>6.14</v>
      </c>
      <c r="AF259" s="28" t="n">
        <v>10.19</v>
      </c>
      <c r="AG259" s="36" t="n">
        <v>7.720000000000001</v>
      </c>
      <c r="AH259" s="37" t="n">
        <v>8.130000000000001</v>
      </c>
      <c r="AI259" s="37" t="n">
        <v>6.84</v>
      </c>
      <c r="AJ259" s="37" t="n">
        <v>6.91</v>
      </c>
      <c r="AK259" s="37" t="n">
        <v>7.31</v>
      </c>
      <c r="AL259" s="37" t="n">
        <v>10.28</v>
      </c>
      <c r="AM259" s="37" t="n">
        <v>9.26</v>
      </c>
      <c r="AN259" s="37" t="n">
        <v>7.340000000000001</v>
      </c>
      <c r="AO259" s="37" t="n">
        <v>8.130000000000001</v>
      </c>
      <c r="AP259" s="37" t="n">
        <v>7.57</v>
      </c>
      <c r="AQ259" s="37" t="n">
        <v>5.52</v>
      </c>
      <c r="AR259" s="37" t="n">
        <v>6.62</v>
      </c>
      <c r="AS259" s="37" t="n">
        <v>5.73</v>
      </c>
      <c r="AT259" s="37" t="n">
        <v>9.26</v>
      </c>
      <c r="AU259" s="37" t="n">
        <v>8.07</v>
      </c>
      <c r="AV259" s="37" t="n">
        <v>8.33</v>
      </c>
      <c r="AW259" s="37" t="n">
        <v>6.84</v>
      </c>
      <c r="AX259" s="37" t="n">
        <v>6.91</v>
      </c>
      <c r="AY259" s="37" t="n">
        <v>6.62</v>
      </c>
      <c r="AZ259" s="37" t="n">
        <v>5.73</v>
      </c>
      <c r="BA259" s="37" t="n">
        <v>7.97</v>
      </c>
      <c r="BB259" s="37" t="n">
        <v>5.489999999999999</v>
      </c>
      <c r="BC259" s="37" t="n">
        <v>2.45</v>
      </c>
      <c r="BD259" s="37" t="n">
        <v>4.109999999999999</v>
      </c>
      <c r="BE259" s="37" t="n">
        <v>8.24</v>
      </c>
      <c r="BF259" s="37" t="n">
        <v>7.93</v>
      </c>
      <c r="BG259" s="37" t="n">
        <v>5.609999999999999</v>
      </c>
      <c r="BH259" s="37" t="n">
        <v>8.85</v>
      </c>
      <c r="BI259" s="37" t="n">
        <v>5.8</v>
      </c>
      <c r="BJ259" s="37" t="n">
        <v>20.95</v>
      </c>
      <c r="BK259" s="37" t="n">
        <v>7.029999999999999</v>
      </c>
      <c r="BL259" s="37" t="n">
        <v>6.92</v>
      </c>
      <c r="BM259" s="37" t="n">
        <v>6.32</v>
      </c>
      <c r="BN259" s="37" t="n">
        <v>5.5</v>
      </c>
      <c r="BO259" s="37" t="n">
        <v>8.85</v>
      </c>
      <c r="BP259" s="37" t="n">
        <v>7.680000000000001</v>
      </c>
      <c r="BQ259" s="37" t="n">
        <v>11.86</v>
      </c>
      <c r="BR259" s="37" t="n">
        <v>6.53</v>
      </c>
      <c r="BS259" s="37" t="n">
        <v>6.6</v>
      </c>
      <c r="BT259" s="37" t="n">
        <v>6.32</v>
      </c>
      <c r="BU259" s="37" t="n">
        <v>6.01</v>
      </c>
      <c r="BV259" s="37" t="n">
        <v>7.100000000000001</v>
      </c>
      <c r="BW259" s="37" t="n">
        <v>7</v>
      </c>
      <c r="BX259" s="37" t="n">
        <v>7.73</v>
      </c>
      <c r="BY259" s="37" t="n">
        <v>6.53</v>
      </c>
      <c r="BZ259" s="37" t="n">
        <v>7.23</v>
      </c>
      <c r="CA259" s="37" t="n">
        <v>6.47</v>
      </c>
      <c r="CB259" s="37" t="n">
        <v>5.5</v>
      </c>
      <c r="CC259" s="37" t="n">
        <v>534.1800000000002</v>
      </c>
    </row>
    <row r="260" ht="15.75" customHeight="1" s="57">
      <c r="A260" s="7" t="inlineStr">
        <is>
          <t>NTB</t>
        </is>
      </c>
      <c r="B260" s="7" t="inlineStr">
        <is>
          <t>Lâm Đồng</t>
        </is>
      </c>
      <c r="C260" s="7" t="n">
        <v>20669000</v>
      </c>
      <c r="D260" s="7" t="inlineStr">
        <is>
          <t>(LDO) Cát Tiên</t>
        </is>
      </c>
      <c r="E260" s="7" t="inlineStr">
        <is>
          <t>Shopee-Bulky</t>
        </is>
      </c>
      <c r="F260" s="36" t="n">
        <v>2.61</v>
      </c>
      <c r="G260" s="36" t="n">
        <v>0</v>
      </c>
      <c r="H260" s="36" t="n">
        <v>0.65</v>
      </c>
      <c r="I260" s="36" t="n">
        <v>1.31</v>
      </c>
      <c r="J260" s="36" t="n">
        <v>0</v>
      </c>
      <c r="K260" s="28" t="n">
        <v>0</v>
      </c>
      <c r="L260" s="36" t="n">
        <v>2.61</v>
      </c>
      <c r="M260" s="36" t="n">
        <v>0</v>
      </c>
      <c r="N260" s="36" t="n">
        <v>0.65</v>
      </c>
      <c r="O260" s="36" t="n">
        <v>0.65</v>
      </c>
      <c r="P260" s="36" t="n">
        <v>0</v>
      </c>
      <c r="Q260" s="36" t="n">
        <v>3.27</v>
      </c>
      <c r="R260" s="28" t="n">
        <v>0</v>
      </c>
      <c r="S260" s="36" t="n">
        <v>3.27</v>
      </c>
      <c r="T260" s="36" t="n">
        <v>5.88</v>
      </c>
      <c r="U260" s="36" t="n">
        <v>2.28</v>
      </c>
      <c r="V260" s="36" t="n">
        <v>2.2</v>
      </c>
      <c r="W260" s="36" t="n">
        <v>2.89</v>
      </c>
      <c r="X260" s="36" t="n">
        <v>1.71</v>
      </c>
      <c r="Y260" s="28" t="n">
        <v>3.58</v>
      </c>
      <c r="Z260" s="36" t="n">
        <v>2.6</v>
      </c>
      <c r="AA260" s="36" t="n">
        <v>4.6</v>
      </c>
      <c r="AB260" s="36" t="n">
        <v>2.6</v>
      </c>
      <c r="AC260" s="36" t="n">
        <v>3.05</v>
      </c>
      <c r="AD260" s="36" t="n">
        <v>9.279999999999999</v>
      </c>
      <c r="AE260" s="36" t="n">
        <v>8.02</v>
      </c>
      <c r="AF260" s="28" t="n">
        <v>7.65</v>
      </c>
      <c r="AG260" s="36" t="n">
        <v>4.03</v>
      </c>
      <c r="AH260" s="37" t="n">
        <v>2.48</v>
      </c>
      <c r="AI260" s="37" t="n">
        <v>2.89</v>
      </c>
      <c r="AJ260" s="37" t="n">
        <v>2.4</v>
      </c>
      <c r="AK260" s="37" t="n">
        <v>5.74</v>
      </c>
      <c r="AL260" s="37" t="n">
        <v>3.13</v>
      </c>
      <c r="AM260" s="37" t="n">
        <v>4.72</v>
      </c>
      <c r="AN260" s="37" t="n">
        <v>2.6</v>
      </c>
      <c r="AO260" s="37" t="n">
        <v>2.52</v>
      </c>
      <c r="AP260" s="37" t="n">
        <v>5.13</v>
      </c>
      <c r="AQ260" s="37" t="n">
        <v>3.42</v>
      </c>
      <c r="AR260" s="37" t="n">
        <v>2.56</v>
      </c>
      <c r="AS260" s="37" t="n">
        <v>1.3</v>
      </c>
      <c r="AT260" s="37" t="n">
        <v>3.46</v>
      </c>
      <c r="AU260" s="37" t="n">
        <v>6.19</v>
      </c>
      <c r="AV260" s="37" t="n">
        <v>6.31</v>
      </c>
      <c r="AW260" s="37" t="n">
        <v>2.48</v>
      </c>
      <c r="AX260" s="37" t="n">
        <v>2.4</v>
      </c>
      <c r="AY260" s="37" t="n">
        <v>2.48</v>
      </c>
      <c r="AZ260" s="37" t="n">
        <v>1.3</v>
      </c>
      <c r="BA260" s="37" t="n">
        <v>3.22</v>
      </c>
      <c r="BB260" s="37" t="n">
        <v>1.99</v>
      </c>
      <c r="BC260" s="37" t="n">
        <v>0.41</v>
      </c>
      <c r="BD260" s="37" t="n">
        <v>0.8100000000000001</v>
      </c>
      <c r="BE260" s="37" t="n">
        <v>3.74</v>
      </c>
      <c r="BF260" s="37" t="n">
        <v>3.13</v>
      </c>
      <c r="BG260" s="37" t="n">
        <v>1.99</v>
      </c>
      <c r="BH260" s="37" t="n">
        <v>4.56</v>
      </c>
      <c r="BI260" s="37" t="n">
        <v>3.38</v>
      </c>
      <c r="BJ260" s="37" t="n">
        <v>16.73</v>
      </c>
      <c r="BK260" s="37" t="n">
        <v>7.65</v>
      </c>
      <c r="BL260" s="37" t="n">
        <v>4.31</v>
      </c>
      <c r="BM260" s="37" t="n">
        <v>2.6</v>
      </c>
      <c r="BN260" s="37" t="n">
        <v>1.87</v>
      </c>
      <c r="BO260" s="37" t="n">
        <v>5.45</v>
      </c>
      <c r="BP260" s="37" t="n">
        <v>7.9</v>
      </c>
      <c r="BQ260" s="37" t="n">
        <v>6.19</v>
      </c>
      <c r="BR260" s="37" t="n">
        <v>3.13</v>
      </c>
      <c r="BS260" s="37" t="n">
        <v>3.05</v>
      </c>
      <c r="BT260" s="37" t="n">
        <v>2.48</v>
      </c>
      <c r="BU260" s="37" t="n">
        <v>4.07</v>
      </c>
      <c r="BV260" s="37" t="n">
        <v>4.88</v>
      </c>
      <c r="BW260" s="37" t="n">
        <v>3.38</v>
      </c>
      <c r="BX260" s="37" t="n">
        <v>3.26</v>
      </c>
      <c r="BY260" s="37" t="n">
        <v>3.13</v>
      </c>
      <c r="BZ260" s="37" t="n">
        <v>6.23</v>
      </c>
      <c r="CA260" s="37" t="n">
        <v>3.13</v>
      </c>
      <c r="CB260" s="37" t="n">
        <v>1.75</v>
      </c>
      <c r="CC260" s="37" t="n">
        <v>253.3199999999999</v>
      </c>
    </row>
    <row r="261" ht="15.75" customHeight="1" s="57">
      <c r="A261" s="7" t="inlineStr">
        <is>
          <t>NTB</t>
        </is>
      </c>
      <c r="B261" s="7" t="inlineStr">
        <is>
          <t>Lâm Đồng</t>
        </is>
      </c>
      <c r="C261" s="7" t="n">
        <v>20669000</v>
      </c>
      <c r="D261" s="7" t="inlineStr">
        <is>
          <t>(LDO) Cát Tiên</t>
        </is>
      </c>
      <c r="E261" s="7" t="inlineStr">
        <is>
          <t>Shopee-Bulky (10-15kg)</t>
        </is>
      </c>
      <c r="F261" s="36" t="n">
        <v>1.39</v>
      </c>
      <c r="G261" s="36" t="n">
        <v>0</v>
      </c>
      <c r="H261" s="36" t="n">
        <v>0.35</v>
      </c>
      <c r="I261" s="36" t="n">
        <v>0.6899999999999999</v>
      </c>
      <c r="J261" s="36" t="n">
        <v>0</v>
      </c>
      <c r="K261" s="28" t="n">
        <v>0</v>
      </c>
      <c r="L261" s="36" t="n">
        <v>1.39</v>
      </c>
      <c r="M261" s="36" t="n">
        <v>0</v>
      </c>
      <c r="N261" s="36" t="n">
        <v>0.35</v>
      </c>
      <c r="O261" s="36" t="n">
        <v>0.35</v>
      </c>
      <c r="P261" s="36" t="n">
        <v>0</v>
      </c>
      <c r="Q261" s="36" t="n">
        <v>1.73</v>
      </c>
      <c r="R261" s="28" t="n">
        <v>0</v>
      </c>
      <c r="S261" s="36" t="n">
        <v>1.73</v>
      </c>
      <c r="T261" s="36" t="n">
        <v>3.12</v>
      </c>
      <c r="U261" s="36" t="n">
        <v>1.18</v>
      </c>
      <c r="V261" s="36" t="n">
        <v>1.14</v>
      </c>
      <c r="W261" s="36" t="n">
        <v>1.42</v>
      </c>
      <c r="X261" s="36" t="n">
        <v>0.85</v>
      </c>
      <c r="Y261" s="28" t="n">
        <v>2.08</v>
      </c>
      <c r="Z261" s="36" t="n">
        <v>1.38</v>
      </c>
      <c r="AA261" s="36" t="n">
        <v>2.52</v>
      </c>
      <c r="AB261" s="36" t="n">
        <v>1.3</v>
      </c>
      <c r="AC261" s="36" t="n">
        <v>1.38</v>
      </c>
      <c r="AD261" s="36" t="n">
        <v>6.76</v>
      </c>
      <c r="AE261" s="36" t="n">
        <v>4.6</v>
      </c>
      <c r="AF261" s="28" t="n">
        <v>3.83</v>
      </c>
      <c r="AG261" s="36" t="n">
        <v>2.97</v>
      </c>
      <c r="AH261" s="37" t="n">
        <v>1.38</v>
      </c>
      <c r="AI261" s="37" t="n">
        <v>1.38</v>
      </c>
      <c r="AJ261" s="37" t="n">
        <v>1.38</v>
      </c>
      <c r="AK261" s="37" t="n">
        <v>3.58</v>
      </c>
      <c r="AL261" s="37" t="n">
        <v>1.42</v>
      </c>
      <c r="AM261" s="37" t="n">
        <v>2.85</v>
      </c>
      <c r="AN261" s="37" t="n">
        <v>1.38</v>
      </c>
      <c r="AO261" s="37" t="n">
        <v>1.3</v>
      </c>
      <c r="AP261" s="37" t="n">
        <v>2.6</v>
      </c>
      <c r="AQ261" s="37" t="n">
        <v>1.71</v>
      </c>
      <c r="AR261" s="37" t="n">
        <v>1.3</v>
      </c>
      <c r="AS261" s="37" t="n">
        <v>0.65</v>
      </c>
      <c r="AT261" s="37" t="n">
        <v>2.03</v>
      </c>
      <c r="AU261" s="37" t="n">
        <v>3.26</v>
      </c>
      <c r="AV261" s="37" t="n">
        <v>3.62</v>
      </c>
      <c r="AW261" s="37" t="n">
        <v>1.22</v>
      </c>
      <c r="AX261" s="37" t="n">
        <v>1.14</v>
      </c>
      <c r="AY261" s="37" t="n">
        <v>1.26</v>
      </c>
      <c r="AZ261" s="37" t="n">
        <v>0.65</v>
      </c>
      <c r="BA261" s="37" t="n">
        <v>1.55</v>
      </c>
      <c r="BB261" s="37" t="n">
        <v>0.98</v>
      </c>
      <c r="BC261" s="37" t="n">
        <v>0.16</v>
      </c>
      <c r="BD261" s="37" t="n">
        <v>0.33</v>
      </c>
      <c r="BE261" s="37" t="n">
        <v>1.91</v>
      </c>
      <c r="BF261" s="37" t="n">
        <v>1.59</v>
      </c>
      <c r="BG261" s="37" t="n">
        <v>0.9</v>
      </c>
      <c r="BH261" s="37" t="n">
        <v>2.77</v>
      </c>
      <c r="BI261" s="37" t="n">
        <v>1.51</v>
      </c>
      <c r="BJ261" s="37" t="n">
        <v>9.359999999999999</v>
      </c>
      <c r="BK261" s="37" t="n">
        <v>3.38</v>
      </c>
      <c r="BL261" s="37" t="n">
        <v>2.52</v>
      </c>
      <c r="BM261" s="37" t="n">
        <v>1.22</v>
      </c>
      <c r="BN261" s="37" t="n">
        <v>0.9</v>
      </c>
      <c r="BO261" s="37" t="n">
        <v>2.6</v>
      </c>
      <c r="BP261" s="37" t="n">
        <v>3.38</v>
      </c>
      <c r="BQ261" s="37" t="n">
        <v>3.17</v>
      </c>
      <c r="BR261" s="37" t="n">
        <v>1.59</v>
      </c>
      <c r="BS261" s="37" t="n">
        <v>1.47</v>
      </c>
      <c r="BT261" s="37" t="n">
        <v>1.22</v>
      </c>
      <c r="BU261" s="37" t="n">
        <v>1.59</v>
      </c>
      <c r="BV261" s="37" t="n">
        <v>2.97</v>
      </c>
      <c r="BW261" s="37" t="n">
        <v>1.51</v>
      </c>
      <c r="BX261" s="37" t="n">
        <v>1.71</v>
      </c>
      <c r="BY261" s="37" t="n">
        <v>1.59</v>
      </c>
      <c r="BZ261" s="37" t="n">
        <v>2.93</v>
      </c>
      <c r="CA261" s="37" t="n">
        <v>1.59</v>
      </c>
      <c r="CB261" s="37" t="n">
        <v>0.9</v>
      </c>
      <c r="CC261" s="37" t="n">
        <v>133.92</v>
      </c>
    </row>
    <row r="262" ht="15.75" customHeight="1" s="57">
      <c r="A262" s="7" t="inlineStr">
        <is>
          <t>NTB</t>
        </is>
      </c>
      <c r="B262" s="7" t="inlineStr">
        <is>
          <t>Lâm Đồng</t>
        </is>
      </c>
      <c r="C262" s="7" t="n">
        <v>20669000</v>
      </c>
      <c r="D262" s="7" t="inlineStr">
        <is>
          <t>(LDO) Cát Tiên</t>
        </is>
      </c>
      <c r="E262" s="7" t="inlineStr">
        <is>
          <t>TTS</t>
        </is>
      </c>
      <c r="F262" s="36" t="n">
        <v>1</v>
      </c>
      <c r="G262" s="36" t="n">
        <v>0</v>
      </c>
      <c r="H262" s="36" t="n">
        <v>3</v>
      </c>
      <c r="I262" s="36" t="n">
        <v>1</v>
      </c>
      <c r="J262" s="36" t="n">
        <v>1</v>
      </c>
      <c r="K262" s="28" t="n">
        <v>1</v>
      </c>
      <c r="L262" s="36" t="n">
        <v>6</v>
      </c>
      <c r="M262" s="36" t="n">
        <v>2</v>
      </c>
      <c r="N262" s="36" t="n">
        <v>2</v>
      </c>
      <c r="O262" s="36" t="n">
        <v>0</v>
      </c>
      <c r="P262" s="36" t="n">
        <v>1</v>
      </c>
      <c r="Q262" s="36" t="n">
        <v>3</v>
      </c>
      <c r="R262" s="28" t="n">
        <v>14</v>
      </c>
      <c r="S262" s="36" t="n">
        <v>0</v>
      </c>
      <c r="T262" s="36" t="n">
        <v>10</v>
      </c>
      <c r="U262" s="36" t="n">
        <v>2.18</v>
      </c>
      <c r="V262" s="36" t="n">
        <v>2.15</v>
      </c>
      <c r="W262" s="36" t="n">
        <v>2.1</v>
      </c>
      <c r="X262" s="36" t="n">
        <v>1.69</v>
      </c>
      <c r="Y262" s="28" t="n">
        <v>2.47</v>
      </c>
      <c r="Z262" s="36" t="n">
        <v>2.1</v>
      </c>
      <c r="AA262" s="36" t="n">
        <v>2.33</v>
      </c>
      <c r="AB262" s="36" t="n">
        <v>2.59</v>
      </c>
      <c r="AC262" s="36" t="n">
        <v>2.75</v>
      </c>
      <c r="AD262" s="36" t="n">
        <v>3.81</v>
      </c>
      <c r="AE262" s="36" t="n">
        <v>1.97</v>
      </c>
      <c r="AF262" s="28" t="n">
        <v>2.53</v>
      </c>
      <c r="AG262" s="36" t="n">
        <v>2.14</v>
      </c>
      <c r="AH262" s="37" t="n">
        <v>2.11</v>
      </c>
      <c r="AI262" s="37" t="n">
        <v>2.44</v>
      </c>
      <c r="AJ262" s="37" t="n">
        <v>2.61</v>
      </c>
      <c r="AK262" s="37" t="n">
        <v>2.57</v>
      </c>
      <c r="AL262" s="37" t="n">
        <v>1.84</v>
      </c>
      <c r="AM262" s="37" t="n">
        <v>2.5</v>
      </c>
      <c r="AN262" s="37" t="n">
        <v>2.16</v>
      </c>
      <c r="AO262" s="37" t="n">
        <v>2.14</v>
      </c>
      <c r="AP262" s="37" t="n">
        <v>2.09</v>
      </c>
      <c r="AQ262" s="37" t="n">
        <v>2.11</v>
      </c>
      <c r="AR262" s="37" t="n">
        <v>2.07</v>
      </c>
      <c r="AS262" s="37" t="n">
        <v>1.69</v>
      </c>
      <c r="AT262" s="37" t="n">
        <v>2.71</v>
      </c>
      <c r="AU262" s="37" t="n">
        <v>2.45</v>
      </c>
      <c r="AV262" s="37" t="n">
        <v>2.17</v>
      </c>
      <c r="AW262" s="37" t="n">
        <v>2.07</v>
      </c>
      <c r="AX262" s="37" t="n">
        <v>2.06</v>
      </c>
      <c r="AY262" s="37" t="n">
        <v>2.04</v>
      </c>
      <c r="AZ262" s="37" t="n">
        <v>1.69</v>
      </c>
      <c r="BA262" s="37" t="n">
        <v>2.43</v>
      </c>
      <c r="BB262" s="37" t="n">
        <v>2.29</v>
      </c>
      <c r="BC262" s="37" t="n">
        <v>1.15</v>
      </c>
      <c r="BD262" s="37" t="n">
        <v>1.64</v>
      </c>
      <c r="BE262" s="37" t="n">
        <v>3.83</v>
      </c>
      <c r="BF262" s="37" t="n">
        <v>3.7</v>
      </c>
      <c r="BG262" s="37" t="n">
        <v>1.84</v>
      </c>
      <c r="BH262" s="37" t="n">
        <v>2.7</v>
      </c>
      <c r="BI262" s="37" t="n">
        <v>2.29</v>
      </c>
      <c r="BJ262" s="37" t="n">
        <v>2.89</v>
      </c>
      <c r="BK262" s="37" t="n">
        <v>2.32</v>
      </c>
      <c r="BL262" s="37" t="n">
        <v>2.33</v>
      </c>
      <c r="BM262" s="37" t="n">
        <v>2.26</v>
      </c>
      <c r="BN262" s="37" t="n">
        <v>1.84</v>
      </c>
      <c r="BO262" s="37" t="n">
        <v>2.7</v>
      </c>
      <c r="BP262" s="37" t="n">
        <v>2.29</v>
      </c>
      <c r="BQ262" s="37" t="n">
        <v>2.26</v>
      </c>
      <c r="BR262" s="37" t="n">
        <v>2.32</v>
      </c>
      <c r="BS262" s="37" t="n">
        <v>2.33</v>
      </c>
      <c r="BT262" s="37" t="n">
        <v>2.26</v>
      </c>
      <c r="BU262" s="37" t="n">
        <v>1.84</v>
      </c>
      <c r="BV262" s="37" t="n">
        <v>2.7</v>
      </c>
      <c r="BW262" s="37" t="n">
        <v>2.29</v>
      </c>
      <c r="BX262" s="37" t="n">
        <v>2.26</v>
      </c>
      <c r="BY262" s="37" t="n">
        <v>2.32</v>
      </c>
      <c r="BZ262" s="37" t="n">
        <v>2.33</v>
      </c>
      <c r="CA262" s="37" t="n">
        <v>2.26</v>
      </c>
      <c r="CB262" s="37" t="n">
        <v>1.84</v>
      </c>
      <c r="CC262" s="37" t="n">
        <v>182.8399999999999</v>
      </c>
    </row>
    <row r="263" ht="15.75" customHeight="1" s="57">
      <c r="A263" s="7" t="inlineStr">
        <is>
          <t>NTB</t>
        </is>
      </c>
      <c r="B263" s="7" t="inlineStr">
        <is>
          <t>Lâm Đồng</t>
        </is>
      </c>
      <c r="C263" s="7" t="n">
        <v>20670000</v>
      </c>
      <c r="D263" s="7" t="inlineStr">
        <is>
          <t>(LDO) Đam Rông 3</t>
        </is>
      </c>
      <c r="E263" s="7" t="inlineStr">
        <is>
          <t>SME</t>
        </is>
      </c>
      <c r="F263" s="36" t="n">
        <v>7</v>
      </c>
      <c r="G263" s="36" t="n">
        <v>10</v>
      </c>
      <c r="H263" s="36" t="n">
        <v>19</v>
      </c>
      <c r="I263" s="36" t="n">
        <v>9</v>
      </c>
      <c r="J263" s="36" t="n">
        <v>8</v>
      </c>
      <c r="K263" s="28" t="n">
        <v>10</v>
      </c>
      <c r="L263" s="36" t="n">
        <v>11</v>
      </c>
      <c r="M263" s="36" t="n">
        <v>9</v>
      </c>
      <c r="N263" s="36" t="n">
        <v>12</v>
      </c>
      <c r="O263" s="36" t="n">
        <v>6</v>
      </c>
      <c r="P263" s="36" t="n">
        <v>9</v>
      </c>
      <c r="Q263" s="36" t="n">
        <v>19</v>
      </c>
      <c r="R263" s="28" t="n">
        <v>12</v>
      </c>
      <c r="S263" s="36" t="n">
        <v>10</v>
      </c>
      <c r="T263" s="36" t="n">
        <v>12</v>
      </c>
      <c r="U263" s="36" t="n">
        <v>31.24</v>
      </c>
      <c r="V263" s="36" t="n">
        <v>32.21</v>
      </c>
      <c r="W263" s="36" t="n">
        <v>31.3</v>
      </c>
      <c r="X263" s="36" t="n">
        <v>25.32</v>
      </c>
      <c r="Y263" s="28" t="n">
        <v>34.61</v>
      </c>
      <c r="Z263" s="36" t="n">
        <v>31.81</v>
      </c>
      <c r="AA263" s="36" t="n">
        <v>30.75</v>
      </c>
      <c r="AB263" s="36" t="n">
        <v>31.24</v>
      </c>
      <c r="AC263" s="36" t="n">
        <v>32.21</v>
      </c>
      <c r="AD263" s="36" t="n">
        <v>33.69</v>
      </c>
      <c r="AE263" s="36" t="n">
        <v>25.32</v>
      </c>
      <c r="AF263" s="28" t="n">
        <v>34.61</v>
      </c>
      <c r="AG263" s="36" t="n">
        <v>31.81</v>
      </c>
      <c r="AH263" s="37" t="n">
        <v>30.75</v>
      </c>
      <c r="AI263" s="37" t="n">
        <v>31.24</v>
      </c>
      <c r="AJ263" s="37" t="n">
        <v>32.21</v>
      </c>
      <c r="AK263" s="37" t="n">
        <v>31.3</v>
      </c>
      <c r="AL263" s="37" t="n">
        <v>25.32</v>
      </c>
      <c r="AM263" s="37" t="n">
        <v>34.61</v>
      </c>
      <c r="AN263" s="37" t="n">
        <v>31.81</v>
      </c>
      <c r="AO263" s="37" t="n">
        <v>30.75</v>
      </c>
      <c r="AP263" s="37" t="n">
        <v>31.24</v>
      </c>
      <c r="AQ263" s="37" t="n">
        <v>32.21</v>
      </c>
      <c r="AR263" s="37" t="n">
        <v>31.3</v>
      </c>
      <c r="AS263" s="37" t="n">
        <v>25.32</v>
      </c>
      <c r="AT263" s="37" t="n">
        <v>34.61</v>
      </c>
      <c r="AU263" s="37" t="n">
        <v>31.81</v>
      </c>
      <c r="AV263" s="37" t="n">
        <v>30.75</v>
      </c>
      <c r="AW263" s="37" t="n">
        <v>31.24</v>
      </c>
      <c r="AX263" s="37" t="n">
        <v>32.21</v>
      </c>
      <c r="AY263" s="37" t="n">
        <v>31.3</v>
      </c>
      <c r="AZ263" s="37" t="n">
        <v>25.32</v>
      </c>
      <c r="BA263" s="37" t="n">
        <v>32.96</v>
      </c>
      <c r="BB263" s="37" t="n">
        <v>28.86</v>
      </c>
      <c r="BC263" s="37" t="n">
        <v>17.07</v>
      </c>
      <c r="BD263" s="37" t="n">
        <v>13.16</v>
      </c>
      <c r="BE263" s="37" t="n">
        <v>29.64</v>
      </c>
      <c r="BF263" s="37" t="n">
        <v>29.08</v>
      </c>
      <c r="BG263" s="37" t="n">
        <v>25.8</v>
      </c>
      <c r="BH263" s="37" t="n">
        <v>35.36</v>
      </c>
      <c r="BI263" s="37" t="n">
        <v>32.5</v>
      </c>
      <c r="BJ263" s="37" t="n">
        <v>34.28</v>
      </c>
      <c r="BK263" s="37" t="n">
        <v>31.88</v>
      </c>
      <c r="BL263" s="37" t="n">
        <v>32.81</v>
      </c>
      <c r="BM263" s="37" t="n">
        <v>31.87</v>
      </c>
      <c r="BN263" s="37" t="n">
        <v>25.8</v>
      </c>
      <c r="BO263" s="37" t="n">
        <v>35.36</v>
      </c>
      <c r="BP263" s="37" t="n">
        <v>32.5</v>
      </c>
      <c r="BQ263" s="37" t="n">
        <v>31.41</v>
      </c>
      <c r="BR263" s="37" t="n">
        <v>31.88</v>
      </c>
      <c r="BS263" s="37" t="n">
        <v>32.81</v>
      </c>
      <c r="BT263" s="37" t="n">
        <v>31.87</v>
      </c>
      <c r="BU263" s="37" t="n">
        <v>25.8</v>
      </c>
      <c r="BV263" s="37" t="n">
        <v>35.36</v>
      </c>
      <c r="BW263" s="37" t="n">
        <v>32.5</v>
      </c>
      <c r="BX263" s="37" t="n">
        <v>31.41</v>
      </c>
      <c r="BY263" s="37" t="n">
        <v>31.88</v>
      </c>
      <c r="BZ263" s="37" t="n">
        <v>32.81</v>
      </c>
      <c r="CA263" s="37" t="n">
        <v>31.87</v>
      </c>
      <c r="CB263" s="37" t="n">
        <v>25.8</v>
      </c>
      <c r="CC263" s="37" t="n">
        <v>1998.749999999999</v>
      </c>
    </row>
    <row r="264" ht="15.75" customHeight="1" s="57">
      <c r="A264" s="7" t="inlineStr">
        <is>
          <t>NTB</t>
        </is>
      </c>
      <c r="B264" s="7" t="inlineStr">
        <is>
          <t>Lâm Đồng</t>
        </is>
      </c>
      <c r="C264" s="7" t="n">
        <v>20670000</v>
      </c>
      <c r="D264" s="7" t="inlineStr">
        <is>
          <t>(LDO) Đam Rông 3</t>
        </is>
      </c>
      <c r="E264" s="7" t="inlineStr">
        <is>
          <t>SME-Bulky</t>
        </is>
      </c>
      <c r="F264" s="36" t="n">
        <v>13</v>
      </c>
      <c r="G264" s="36" t="n">
        <v>10</v>
      </c>
      <c r="H264" s="36" t="n">
        <v>14</v>
      </c>
      <c r="I264" s="36" t="n">
        <v>21</v>
      </c>
      <c r="J264" s="36" t="n">
        <v>16</v>
      </c>
      <c r="K264" s="28" t="n">
        <v>7</v>
      </c>
      <c r="L264" s="36" t="n">
        <v>24</v>
      </c>
      <c r="M264" s="36" t="n">
        <v>11</v>
      </c>
      <c r="N264" s="36" t="n">
        <v>8</v>
      </c>
      <c r="O264" s="36" t="n">
        <v>12</v>
      </c>
      <c r="P264" s="36" t="n">
        <v>14</v>
      </c>
      <c r="Q264" s="36" t="n">
        <v>48</v>
      </c>
      <c r="R264" s="28" t="n">
        <v>12</v>
      </c>
      <c r="S264" s="36" t="n">
        <v>13</v>
      </c>
      <c r="T264" s="36" t="n">
        <v>19</v>
      </c>
      <c r="U264" s="36" t="n">
        <v>15.36</v>
      </c>
      <c r="V264" s="36" t="n">
        <v>15.17</v>
      </c>
      <c r="W264" s="36" t="n">
        <v>14.8</v>
      </c>
      <c r="X264" s="36" t="n">
        <v>10.29</v>
      </c>
      <c r="Y264" s="28" t="n">
        <v>17.55</v>
      </c>
      <c r="Z264" s="36" t="n">
        <v>16.78</v>
      </c>
      <c r="AA264" s="36" t="n">
        <v>16.59</v>
      </c>
      <c r="AB264" s="36" t="n">
        <v>15.36</v>
      </c>
      <c r="AC264" s="36" t="n">
        <v>15.17</v>
      </c>
      <c r="AD264" s="36" t="n">
        <v>13.88</v>
      </c>
      <c r="AE264" s="36" t="n">
        <v>10.29</v>
      </c>
      <c r="AF264" s="28" t="n">
        <v>17.55</v>
      </c>
      <c r="AG264" s="36" t="n">
        <v>16.78</v>
      </c>
      <c r="AH264" s="37" t="n">
        <v>16.59</v>
      </c>
      <c r="AI264" s="37" t="n">
        <v>15.36</v>
      </c>
      <c r="AJ264" s="37" t="n">
        <v>15.17</v>
      </c>
      <c r="AK264" s="37" t="n">
        <v>14.8</v>
      </c>
      <c r="AL264" s="37" t="n">
        <v>10.29</v>
      </c>
      <c r="AM264" s="37" t="n">
        <v>17.55</v>
      </c>
      <c r="AN264" s="37" t="n">
        <v>16.78</v>
      </c>
      <c r="AO264" s="37" t="n">
        <v>16.59</v>
      </c>
      <c r="AP264" s="37" t="n">
        <v>15.36</v>
      </c>
      <c r="AQ264" s="37" t="n">
        <v>15.17</v>
      </c>
      <c r="AR264" s="37" t="n">
        <v>14.8</v>
      </c>
      <c r="AS264" s="37" t="n">
        <v>10.29</v>
      </c>
      <c r="AT264" s="37" t="n">
        <v>17.55</v>
      </c>
      <c r="AU264" s="37" t="n">
        <v>16.78</v>
      </c>
      <c r="AV264" s="37" t="n">
        <v>16.59</v>
      </c>
      <c r="AW264" s="37" t="n">
        <v>15.36</v>
      </c>
      <c r="AX264" s="37" t="n">
        <v>15.17</v>
      </c>
      <c r="AY264" s="37" t="n">
        <v>14.8</v>
      </c>
      <c r="AZ264" s="37" t="n">
        <v>10.29</v>
      </c>
      <c r="BA264" s="37" t="n">
        <v>19.21</v>
      </c>
      <c r="BB264" s="37" t="n">
        <v>9.92</v>
      </c>
      <c r="BC264" s="37" t="n">
        <v>4.91</v>
      </c>
      <c r="BD264" s="37" t="n">
        <v>3.73</v>
      </c>
      <c r="BE264" s="37" t="n">
        <v>8.93</v>
      </c>
      <c r="BF264" s="37" t="n">
        <v>8.27</v>
      </c>
      <c r="BG264" s="37" t="n">
        <v>5.61</v>
      </c>
      <c r="BH264" s="37" t="n">
        <v>10.17</v>
      </c>
      <c r="BI264" s="37" t="n">
        <v>9.92</v>
      </c>
      <c r="BJ264" s="37" t="n">
        <v>8.76</v>
      </c>
      <c r="BK264" s="37" t="n">
        <v>8.84</v>
      </c>
      <c r="BL264" s="37" t="n">
        <v>8.84</v>
      </c>
      <c r="BM264" s="37" t="n">
        <v>8.369999999999999</v>
      </c>
      <c r="BN264" s="37" t="n">
        <v>5.61</v>
      </c>
      <c r="BO264" s="37" t="n">
        <v>10.17</v>
      </c>
      <c r="BP264" s="37" t="n">
        <v>9.92</v>
      </c>
      <c r="BQ264" s="37" t="n">
        <v>9.449999999999999</v>
      </c>
      <c r="BR264" s="37" t="n">
        <v>8.84</v>
      </c>
      <c r="BS264" s="37" t="n">
        <v>8.84</v>
      </c>
      <c r="BT264" s="37" t="n">
        <v>8.369999999999999</v>
      </c>
      <c r="BU264" s="37" t="n">
        <v>5.61</v>
      </c>
      <c r="BV264" s="37" t="n">
        <v>10.17</v>
      </c>
      <c r="BW264" s="37" t="n">
        <v>9.92</v>
      </c>
      <c r="BX264" s="37" t="n">
        <v>9.449999999999999</v>
      </c>
      <c r="BY264" s="37" t="n">
        <v>8.84</v>
      </c>
      <c r="BZ264" s="37" t="n">
        <v>8.84</v>
      </c>
      <c r="CA264" s="37" t="n">
        <v>8.369999999999999</v>
      </c>
      <c r="CB264" s="37" t="n">
        <v>5.61</v>
      </c>
      <c r="CC264" s="37" t="n">
        <v>966.3499999999998</v>
      </c>
    </row>
    <row r="265" ht="15.75" customHeight="1" s="57">
      <c r="A265" s="7" t="inlineStr">
        <is>
          <t>NTB</t>
        </is>
      </c>
      <c r="B265" s="7" t="inlineStr">
        <is>
          <t>Lâm Đồng</t>
        </is>
      </c>
      <c r="C265" s="7" t="n">
        <v>20670000</v>
      </c>
      <c r="D265" s="7" t="inlineStr">
        <is>
          <t>(LDO) Đam Rông 3</t>
        </is>
      </c>
      <c r="E265" s="7" t="inlineStr">
        <is>
          <t>Shopee</t>
        </is>
      </c>
      <c r="F265" s="36" t="n">
        <v>0</v>
      </c>
      <c r="G265" s="36" t="n">
        <v>3</v>
      </c>
      <c r="H265" s="36" t="n">
        <v>1</v>
      </c>
      <c r="I265" s="36" t="n">
        <v>1</v>
      </c>
      <c r="J265" s="36" t="n">
        <v>1</v>
      </c>
      <c r="K265" s="28" t="n">
        <v>1</v>
      </c>
      <c r="L265" s="36" t="n">
        <v>2</v>
      </c>
      <c r="M265" s="36" t="n">
        <v>4</v>
      </c>
      <c r="N265" s="36" t="n">
        <v>0</v>
      </c>
      <c r="O265" s="36" t="n">
        <v>2</v>
      </c>
      <c r="P265" s="36" t="n">
        <v>1</v>
      </c>
      <c r="Q265" s="36" t="n">
        <v>2</v>
      </c>
      <c r="R265" s="28" t="n">
        <v>0</v>
      </c>
      <c r="S265" s="36" t="n">
        <v>0</v>
      </c>
      <c r="T265" s="36" t="n">
        <v>2</v>
      </c>
      <c r="U265" s="36" t="n">
        <v>1.33</v>
      </c>
      <c r="V265" s="36" t="n">
        <v>1.34</v>
      </c>
      <c r="W265" s="36" t="n">
        <v>1.27</v>
      </c>
      <c r="X265" s="36" t="n">
        <v>1.11</v>
      </c>
      <c r="Y265" s="28" t="n">
        <v>1.78</v>
      </c>
      <c r="Z265" s="36" t="n">
        <v>1.42</v>
      </c>
      <c r="AA265" s="36" t="n">
        <v>1.73</v>
      </c>
      <c r="AB265" s="36" t="n">
        <v>1.36</v>
      </c>
      <c r="AC265" s="36" t="n">
        <v>1.09</v>
      </c>
      <c r="AD265" s="36" t="n">
        <v>2.79</v>
      </c>
      <c r="AE265" s="36" t="n">
        <v>1.19</v>
      </c>
      <c r="AF265" s="28" t="n">
        <v>1.96</v>
      </c>
      <c r="AG265" s="36" t="n">
        <v>1.49</v>
      </c>
      <c r="AH265" s="37" t="n">
        <v>1.57</v>
      </c>
      <c r="AI265" s="37" t="n">
        <v>1.33</v>
      </c>
      <c r="AJ265" s="37" t="n">
        <v>1.34</v>
      </c>
      <c r="AK265" s="37" t="n">
        <v>1.41</v>
      </c>
      <c r="AL265" s="37" t="n">
        <v>1.98</v>
      </c>
      <c r="AM265" s="37" t="n">
        <v>1.78</v>
      </c>
      <c r="AN265" s="37" t="n">
        <v>1.42</v>
      </c>
      <c r="AO265" s="37" t="n">
        <v>1.57</v>
      </c>
      <c r="AP265" s="37" t="n">
        <v>1.46</v>
      </c>
      <c r="AQ265" s="37" t="n">
        <v>1.07</v>
      </c>
      <c r="AR265" s="37" t="n">
        <v>1.27</v>
      </c>
      <c r="AS265" s="37" t="n">
        <v>1.11</v>
      </c>
      <c r="AT265" s="37" t="n">
        <v>1.78</v>
      </c>
      <c r="AU265" s="37" t="n">
        <v>1.56</v>
      </c>
      <c r="AV265" s="37" t="n">
        <v>1.61</v>
      </c>
      <c r="AW265" s="37" t="n">
        <v>1.33</v>
      </c>
      <c r="AX265" s="37" t="n">
        <v>1.34</v>
      </c>
      <c r="AY265" s="37" t="n">
        <v>1.27</v>
      </c>
      <c r="AZ265" s="37" t="n">
        <v>1.11</v>
      </c>
      <c r="BA265" s="37" t="n">
        <v>1.54</v>
      </c>
      <c r="BB265" s="37" t="n">
        <v>1.06</v>
      </c>
      <c r="BC265" s="37" t="n">
        <v>0.48</v>
      </c>
      <c r="BD265" s="37" t="n">
        <v>0.7899999999999999</v>
      </c>
      <c r="BE265" s="37" t="n">
        <v>1.6</v>
      </c>
      <c r="BF265" s="37" t="n">
        <v>1.54</v>
      </c>
      <c r="BG265" s="37" t="n">
        <v>1.08</v>
      </c>
      <c r="BH265" s="37" t="n">
        <v>1.71</v>
      </c>
      <c r="BI265" s="37" t="n">
        <v>1.12</v>
      </c>
      <c r="BJ265" s="37" t="n">
        <v>3.97</v>
      </c>
      <c r="BK265" s="37" t="n">
        <v>1.36</v>
      </c>
      <c r="BL265" s="37" t="n">
        <v>1.34</v>
      </c>
      <c r="BM265" s="37" t="n">
        <v>1.22</v>
      </c>
      <c r="BN265" s="37" t="n">
        <v>1.06</v>
      </c>
      <c r="BO265" s="37" t="n">
        <v>1.71</v>
      </c>
      <c r="BP265" s="37" t="n">
        <v>1.49</v>
      </c>
      <c r="BQ265" s="37" t="n">
        <v>2.29</v>
      </c>
      <c r="BR265" s="37" t="n">
        <v>1.26</v>
      </c>
      <c r="BS265" s="37" t="n">
        <v>1.27</v>
      </c>
      <c r="BT265" s="37" t="n">
        <v>1.22</v>
      </c>
      <c r="BU265" s="37" t="n">
        <v>1.16</v>
      </c>
      <c r="BV265" s="37" t="n">
        <v>1.38</v>
      </c>
      <c r="BW265" s="37" t="n">
        <v>1.36</v>
      </c>
      <c r="BX265" s="37" t="n">
        <v>1.49</v>
      </c>
      <c r="BY265" s="37" t="n">
        <v>1.26</v>
      </c>
      <c r="BZ265" s="37" t="n">
        <v>1.4</v>
      </c>
      <c r="CA265" s="37" t="n">
        <v>1.25</v>
      </c>
      <c r="CB265" s="37" t="n">
        <v>1.06</v>
      </c>
      <c r="CC265" s="37" t="n">
        <v>106.64</v>
      </c>
    </row>
    <row r="266" ht="15.75" customHeight="1" s="57">
      <c r="A266" s="7" t="inlineStr">
        <is>
          <t>NTB</t>
        </is>
      </c>
      <c r="B266" s="7" t="inlineStr">
        <is>
          <t>Lâm Đồng</t>
        </is>
      </c>
      <c r="C266" s="7" t="n">
        <v>20670000</v>
      </c>
      <c r="D266" s="7" t="inlineStr">
        <is>
          <t>(LDO) Đam Rông 3</t>
        </is>
      </c>
      <c r="E266" s="7" t="inlineStr">
        <is>
          <t>TTS</t>
        </is>
      </c>
      <c r="F266" s="36" t="n">
        <v>0</v>
      </c>
      <c r="G266" s="36" t="n">
        <v>1</v>
      </c>
      <c r="H266" s="36" t="n">
        <v>3</v>
      </c>
      <c r="I266" s="36" t="n">
        <v>3</v>
      </c>
      <c r="J266" s="36" t="n">
        <v>0</v>
      </c>
      <c r="K266" s="28" t="n">
        <v>1</v>
      </c>
      <c r="L266" s="36" t="n">
        <v>1</v>
      </c>
      <c r="M266" s="36" t="n">
        <v>2</v>
      </c>
      <c r="N266" s="36" t="n">
        <v>4</v>
      </c>
      <c r="O266" s="36" t="n">
        <v>0</v>
      </c>
      <c r="P266" s="36" t="n">
        <v>3</v>
      </c>
      <c r="Q266" s="36" t="n">
        <v>2</v>
      </c>
      <c r="R266" s="28" t="n">
        <v>1</v>
      </c>
      <c r="S266" s="36" t="n">
        <v>1</v>
      </c>
      <c r="T266" s="36" t="n">
        <v>2</v>
      </c>
      <c r="U266" s="36" t="n">
        <v>0.98</v>
      </c>
      <c r="V266" s="36" t="n">
        <v>0.96</v>
      </c>
      <c r="W266" s="36" t="n">
        <v>0.9399999999999999</v>
      </c>
      <c r="X266" s="36" t="n">
        <v>0.77</v>
      </c>
      <c r="Y266" s="28" t="n">
        <v>1.12</v>
      </c>
      <c r="Z266" s="36" t="n">
        <v>0.9399999999999999</v>
      </c>
      <c r="AA266" s="36" t="n">
        <v>1.05</v>
      </c>
      <c r="AB266" s="36" t="n">
        <v>1.16</v>
      </c>
      <c r="AC266" s="36" t="n">
        <v>1.23</v>
      </c>
      <c r="AD266" s="36" t="n">
        <v>1.67</v>
      </c>
      <c r="AE266" s="36" t="n">
        <v>0.8899999999999999</v>
      </c>
      <c r="AF266" s="28" t="n">
        <v>1.15</v>
      </c>
      <c r="AG266" s="36" t="n">
        <v>0.96</v>
      </c>
      <c r="AH266" s="37" t="n">
        <v>0.95</v>
      </c>
      <c r="AI266" s="37" t="n">
        <v>1.1</v>
      </c>
      <c r="AJ266" s="37" t="n">
        <v>1.17</v>
      </c>
      <c r="AK266" s="37" t="n">
        <v>1.14</v>
      </c>
      <c r="AL266" s="37" t="n">
        <v>0.8300000000000001</v>
      </c>
      <c r="AM266" s="37" t="n">
        <v>1.13</v>
      </c>
      <c r="AN266" s="37" t="n">
        <v>0.98</v>
      </c>
      <c r="AO266" s="37" t="n">
        <v>0.97</v>
      </c>
      <c r="AP266" s="37" t="n">
        <v>0.9399999999999999</v>
      </c>
      <c r="AQ266" s="37" t="n">
        <v>0.95</v>
      </c>
      <c r="AR266" s="37" t="n">
        <v>0.9299999999999999</v>
      </c>
      <c r="AS266" s="37" t="n">
        <v>0.77</v>
      </c>
      <c r="AT266" s="37" t="n">
        <v>1.23</v>
      </c>
      <c r="AU266" s="37" t="n">
        <v>1.1</v>
      </c>
      <c r="AV266" s="37" t="n">
        <v>0.98</v>
      </c>
      <c r="AW266" s="37" t="n">
        <v>0.9199999999999999</v>
      </c>
      <c r="AX266" s="37" t="n">
        <v>0.9299999999999999</v>
      </c>
      <c r="AY266" s="37" t="n">
        <v>0.9099999999999999</v>
      </c>
      <c r="AZ266" s="37" t="n">
        <v>0.77</v>
      </c>
      <c r="BA266" s="37" t="n">
        <v>1.1</v>
      </c>
      <c r="BB266" s="37" t="n">
        <v>1.04</v>
      </c>
      <c r="BC266" s="37" t="n">
        <v>0.52</v>
      </c>
      <c r="BD266" s="37" t="n">
        <v>0.74</v>
      </c>
      <c r="BE266" s="37" t="n">
        <v>1.73</v>
      </c>
      <c r="BF266" s="37" t="n">
        <v>1.67</v>
      </c>
      <c r="BG266" s="37" t="n">
        <v>0.8300000000000001</v>
      </c>
      <c r="BH266" s="37" t="n">
        <v>1.23</v>
      </c>
      <c r="BI266" s="37" t="n">
        <v>1.04</v>
      </c>
      <c r="BJ266" s="37" t="n">
        <v>1.27</v>
      </c>
      <c r="BK266" s="37" t="n">
        <v>1.05</v>
      </c>
      <c r="BL266" s="37" t="n">
        <v>1.06</v>
      </c>
      <c r="BM266" s="37" t="n">
        <v>1.02</v>
      </c>
      <c r="BN266" s="37" t="n">
        <v>0.8300000000000001</v>
      </c>
      <c r="BO266" s="37" t="n">
        <v>1.23</v>
      </c>
      <c r="BP266" s="37" t="n">
        <v>1.04</v>
      </c>
      <c r="BQ266" s="37" t="n">
        <v>1.02</v>
      </c>
      <c r="BR266" s="37" t="n">
        <v>1.05</v>
      </c>
      <c r="BS266" s="37" t="n">
        <v>1.06</v>
      </c>
      <c r="BT266" s="37" t="n">
        <v>1.02</v>
      </c>
      <c r="BU266" s="37" t="n">
        <v>0.8300000000000001</v>
      </c>
      <c r="BV266" s="37" t="n">
        <v>1.23</v>
      </c>
      <c r="BW266" s="37" t="n">
        <v>1.04</v>
      </c>
      <c r="BX266" s="37" t="n">
        <v>1.02</v>
      </c>
      <c r="BY266" s="37" t="n">
        <v>1.05</v>
      </c>
      <c r="BZ266" s="37" t="n">
        <v>1.06</v>
      </c>
      <c r="CA266" s="37" t="n">
        <v>1.02</v>
      </c>
      <c r="CB266" s="37" t="n">
        <v>0.8300000000000001</v>
      </c>
      <c r="CC266" s="37" t="n">
        <v>86.15000000000002</v>
      </c>
    </row>
    <row r="267" ht="15.75" customHeight="1" s="57">
      <c r="A267" s="7" t="inlineStr">
        <is>
          <t>NTB</t>
        </is>
      </c>
      <c r="B267" s="7" t="inlineStr">
        <is>
          <t>Lâm Đồng</t>
        </is>
      </c>
      <c r="C267" s="7" t="n">
        <v>20785000</v>
      </c>
      <c r="D267" s="7" t="inlineStr">
        <is>
          <t>(LDO) B'Lao</t>
        </is>
      </c>
      <c r="E267" s="7" t="inlineStr">
        <is>
          <t>SME</t>
        </is>
      </c>
      <c r="F267" s="36" t="n">
        <v>258</v>
      </c>
      <c r="G267" s="36" t="n">
        <v>363</v>
      </c>
      <c r="H267" s="36" t="n">
        <v>291</v>
      </c>
      <c r="I267" s="36" t="n">
        <v>251</v>
      </c>
      <c r="J267" s="36" t="n">
        <v>130</v>
      </c>
      <c r="K267" s="28" t="n">
        <v>384</v>
      </c>
      <c r="L267" s="36" t="n">
        <v>256</v>
      </c>
      <c r="M267" s="36" t="n">
        <v>317</v>
      </c>
      <c r="N267" s="36" t="n">
        <v>259</v>
      </c>
      <c r="O267" s="36" t="n">
        <v>284</v>
      </c>
      <c r="P267" s="36" t="n">
        <v>352</v>
      </c>
      <c r="Q267" s="36" t="n">
        <v>231</v>
      </c>
      <c r="R267" s="28" t="n">
        <v>307</v>
      </c>
      <c r="S267" s="36" t="n">
        <v>166</v>
      </c>
      <c r="T267" s="36" t="n">
        <v>127</v>
      </c>
      <c r="U267" s="36" t="n">
        <v>332.97</v>
      </c>
      <c r="V267" s="36" t="n">
        <v>343.99</v>
      </c>
      <c r="W267" s="36" t="n">
        <v>334.83</v>
      </c>
      <c r="X267" s="36" t="n">
        <v>274.07</v>
      </c>
      <c r="Y267" s="28" t="n">
        <v>370.97</v>
      </c>
      <c r="Z267" s="36" t="n">
        <v>341.51</v>
      </c>
      <c r="AA267" s="36" t="n">
        <v>333.22</v>
      </c>
      <c r="AB267" s="36" t="n">
        <v>332.97</v>
      </c>
      <c r="AC267" s="36" t="n">
        <v>343.99</v>
      </c>
      <c r="AD267" s="36" t="n">
        <v>362.49</v>
      </c>
      <c r="AE267" s="36" t="n">
        <v>274.07</v>
      </c>
      <c r="AF267" s="28" t="n">
        <v>370.97</v>
      </c>
      <c r="AG267" s="36" t="n">
        <v>341.51</v>
      </c>
      <c r="AH267" s="37" t="n">
        <v>333.22</v>
      </c>
      <c r="AI267" s="37" t="n">
        <v>332.97</v>
      </c>
      <c r="AJ267" s="37" t="n">
        <v>343.99</v>
      </c>
      <c r="AK267" s="37" t="n">
        <v>334.83</v>
      </c>
      <c r="AL267" s="37" t="n">
        <v>274.07</v>
      </c>
      <c r="AM267" s="37" t="n">
        <v>370.97</v>
      </c>
      <c r="AN267" s="37" t="n">
        <v>341.51</v>
      </c>
      <c r="AO267" s="37" t="n">
        <v>333.22</v>
      </c>
      <c r="AP267" s="37" t="n">
        <v>332.97</v>
      </c>
      <c r="AQ267" s="37" t="n">
        <v>343.99</v>
      </c>
      <c r="AR267" s="37" t="n">
        <v>334.83</v>
      </c>
      <c r="AS267" s="37" t="n">
        <v>274.07</v>
      </c>
      <c r="AT267" s="37" t="n">
        <v>370.97</v>
      </c>
      <c r="AU267" s="37" t="n">
        <v>341.51</v>
      </c>
      <c r="AV267" s="37" t="n">
        <v>333.22</v>
      </c>
      <c r="AW267" s="37" t="n">
        <v>332.97</v>
      </c>
      <c r="AX267" s="37" t="n">
        <v>343.99</v>
      </c>
      <c r="AY267" s="37" t="n">
        <v>334.83</v>
      </c>
      <c r="AZ267" s="37" t="n">
        <v>274.07</v>
      </c>
      <c r="BA267" s="37" t="n">
        <v>352.75</v>
      </c>
      <c r="BB267" s="37" t="n">
        <v>313.64</v>
      </c>
      <c r="BC267" s="37" t="n">
        <v>192.64</v>
      </c>
      <c r="BD267" s="37" t="n">
        <v>150.56</v>
      </c>
      <c r="BE267" s="37" t="n">
        <v>322.55</v>
      </c>
      <c r="BF267" s="37" t="n">
        <v>314.3</v>
      </c>
      <c r="BG267" s="37" t="n">
        <v>282.64</v>
      </c>
      <c r="BH267" s="37" t="n">
        <v>382.93</v>
      </c>
      <c r="BI267" s="37" t="n">
        <v>352.04</v>
      </c>
      <c r="BJ267" s="37" t="n">
        <v>373.34</v>
      </c>
      <c r="BK267" s="37" t="n">
        <v>342.79</v>
      </c>
      <c r="BL267" s="37" t="n">
        <v>354.7</v>
      </c>
      <c r="BM267" s="37" t="n">
        <v>344.97</v>
      </c>
      <c r="BN267" s="37" t="n">
        <v>282.64</v>
      </c>
      <c r="BO267" s="37" t="n">
        <v>382.93</v>
      </c>
      <c r="BP267" s="37" t="n">
        <v>352.04</v>
      </c>
      <c r="BQ267" s="37" t="n">
        <v>343.2</v>
      </c>
      <c r="BR267" s="37" t="n">
        <v>342.79</v>
      </c>
      <c r="BS267" s="37" t="n">
        <v>354.7</v>
      </c>
      <c r="BT267" s="37" t="n">
        <v>344.97</v>
      </c>
      <c r="BU267" s="37" t="n">
        <v>282.64</v>
      </c>
      <c r="BV267" s="37" t="n">
        <v>382.93</v>
      </c>
      <c r="BW267" s="37" t="n">
        <v>352.04</v>
      </c>
      <c r="BX267" s="37" t="n">
        <v>343.2</v>
      </c>
      <c r="BY267" s="37" t="n">
        <v>342.79</v>
      </c>
      <c r="BZ267" s="37" t="n">
        <v>354.7</v>
      </c>
      <c r="CA267" s="37" t="n">
        <v>344.97</v>
      </c>
      <c r="CB267" s="37" t="n">
        <v>282.64</v>
      </c>
      <c r="CC267" s="37" t="n">
        <v>23784.79</v>
      </c>
    </row>
    <row r="268" ht="15.75" customHeight="1" s="57">
      <c r="A268" s="7" t="inlineStr">
        <is>
          <t>NTB</t>
        </is>
      </c>
      <c r="B268" s="7" t="inlineStr">
        <is>
          <t>Lâm Đồng</t>
        </is>
      </c>
      <c r="C268" s="7" t="n">
        <v>20785000</v>
      </c>
      <c r="D268" s="7" t="inlineStr">
        <is>
          <t>(LDO) B'Lao</t>
        </is>
      </c>
      <c r="E268" s="7" t="inlineStr">
        <is>
          <t>SME-Bulky</t>
        </is>
      </c>
      <c r="F268" s="36" t="n">
        <v>49</v>
      </c>
      <c r="G268" s="36" t="n">
        <v>25</v>
      </c>
      <c r="H268" s="36" t="n">
        <v>6</v>
      </c>
      <c r="I268" s="36" t="n">
        <v>25</v>
      </c>
      <c r="J268" s="36" t="n">
        <v>11</v>
      </c>
      <c r="K268" s="28" t="n">
        <v>23</v>
      </c>
      <c r="L268" s="36" t="n">
        <v>13</v>
      </c>
      <c r="M268" s="36" t="n">
        <v>17</v>
      </c>
      <c r="N268" s="36" t="n">
        <v>14</v>
      </c>
      <c r="O268" s="36" t="n">
        <v>18</v>
      </c>
      <c r="P268" s="36" t="n">
        <v>8</v>
      </c>
      <c r="Q268" s="36" t="n">
        <v>9</v>
      </c>
      <c r="R268" s="28" t="n">
        <v>22</v>
      </c>
      <c r="S268" s="36" t="n">
        <v>27</v>
      </c>
      <c r="T268" s="36" t="n">
        <v>18</v>
      </c>
      <c r="U268" s="36" t="n">
        <v>17.08</v>
      </c>
      <c r="V268" s="36" t="n">
        <v>16.86</v>
      </c>
      <c r="W268" s="36" t="n">
        <v>16.4</v>
      </c>
      <c r="X268" s="36" t="n">
        <v>11.76</v>
      </c>
      <c r="Y268" s="28" t="n">
        <v>19.23</v>
      </c>
      <c r="Z268" s="36" t="n">
        <v>18.67</v>
      </c>
      <c r="AA268" s="36" t="n">
        <v>18.44</v>
      </c>
      <c r="AB268" s="36" t="n">
        <v>17.08</v>
      </c>
      <c r="AC268" s="36" t="n">
        <v>16.86</v>
      </c>
      <c r="AD268" s="36" t="n">
        <v>12.9</v>
      </c>
      <c r="AE268" s="36" t="n">
        <v>11.76</v>
      </c>
      <c r="AF268" s="28" t="n">
        <v>19.23</v>
      </c>
      <c r="AG268" s="36" t="n">
        <v>18.67</v>
      </c>
      <c r="AH268" s="37" t="n">
        <v>18.44</v>
      </c>
      <c r="AI268" s="37" t="n">
        <v>17.08</v>
      </c>
      <c r="AJ268" s="37" t="n">
        <v>16.86</v>
      </c>
      <c r="AK268" s="37" t="n">
        <v>16.4</v>
      </c>
      <c r="AL268" s="37" t="n">
        <v>11.76</v>
      </c>
      <c r="AM268" s="37" t="n">
        <v>19.23</v>
      </c>
      <c r="AN268" s="37" t="n">
        <v>18.67</v>
      </c>
      <c r="AO268" s="37" t="n">
        <v>18.44</v>
      </c>
      <c r="AP268" s="37" t="n">
        <v>17.08</v>
      </c>
      <c r="AQ268" s="37" t="n">
        <v>16.86</v>
      </c>
      <c r="AR268" s="37" t="n">
        <v>16.4</v>
      </c>
      <c r="AS268" s="37" t="n">
        <v>11.76</v>
      </c>
      <c r="AT268" s="37" t="n">
        <v>19.23</v>
      </c>
      <c r="AU268" s="37" t="n">
        <v>18.67</v>
      </c>
      <c r="AV268" s="37" t="n">
        <v>18.44</v>
      </c>
      <c r="AW268" s="37" t="n">
        <v>17.08</v>
      </c>
      <c r="AX268" s="37" t="n">
        <v>16.86</v>
      </c>
      <c r="AY268" s="37" t="n">
        <v>16.4</v>
      </c>
      <c r="AZ268" s="37" t="n">
        <v>11.76</v>
      </c>
      <c r="BA268" s="37" t="n">
        <v>21.04</v>
      </c>
      <c r="BB268" s="37" t="n">
        <v>11.09</v>
      </c>
      <c r="BC268" s="37" t="n">
        <v>5.66</v>
      </c>
      <c r="BD268" s="37" t="n">
        <v>4.3</v>
      </c>
      <c r="BE268" s="37" t="n">
        <v>9.949999999999999</v>
      </c>
      <c r="BF268" s="37" t="n">
        <v>9.279999999999999</v>
      </c>
      <c r="BG268" s="37" t="n">
        <v>6.45</v>
      </c>
      <c r="BH268" s="37" t="n">
        <v>11.2</v>
      </c>
      <c r="BI268" s="37" t="n">
        <v>11.09</v>
      </c>
      <c r="BJ268" s="37" t="n">
        <v>8.48</v>
      </c>
      <c r="BK268" s="37" t="n">
        <v>9.84</v>
      </c>
      <c r="BL268" s="37" t="n">
        <v>9.84</v>
      </c>
      <c r="BM268" s="37" t="n">
        <v>9.279999999999999</v>
      </c>
      <c r="BN268" s="37" t="n">
        <v>6.45</v>
      </c>
      <c r="BO268" s="37" t="n">
        <v>11.2</v>
      </c>
      <c r="BP268" s="37" t="n">
        <v>11.09</v>
      </c>
      <c r="BQ268" s="37" t="n">
        <v>10.52</v>
      </c>
      <c r="BR268" s="37" t="n">
        <v>9.84</v>
      </c>
      <c r="BS268" s="37" t="n">
        <v>9.84</v>
      </c>
      <c r="BT268" s="37" t="n">
        <v>9.279999999999999</v>
      </c>
      <c r="BU268" s="37" t="n">
        <v>6.45</v>
      </c>
      <c r="BV268" s="37" t="n">
        <v>11.2</v>
      </c>
      <c r="BW268" s="37" t="n">
        <v>11.09</v>
      </c>
      <c r="BX268" s="37" t="n">
        <v>10.52</v>
      </c>
      <c r="BY268" s="37" t="n">
        <v>9.84</v>
      </c>
      <c r="BZ268" s="37" t="n">
        <v>9.84</v>
      </c>
      <c r="CA268" s="37" t="n">
        <v>9.279999999999999</v>
      </c>
      <c r="CB268" s="37" t="n">
        <v>6.45</v>
      </c>
      <c r="CC268" s="37" t="n">
        <v>1087.75</v>
      </c>
    </row>
    <row r="269" ht="15.75" customHeight="1" s="57">
      <c r="A269" s="7" t="inlineStr">
        <is>
          <t>NTB</t>
        </is>
      </c>
      <c r="B269" s="7" t="inlineStr">
        <is>
          <t>Lâm Đồng</t>
        </is>
      </c>
      <c r="C269" s="7" t="n">
        <v>20785000</v>
      </c>
      <c r="D269" s="7" t="inlineStr">
        <is>
          <t>(LDO) B'Lao</t>
        </is>
      </c>
      <c r="E269" s="7" t="inlineStr">
        <is>
          <t>Shopee</t>
        </is>
      </c>
      <c r="F269" s="36" t="n">
        <v>211</v>
      </c>
      <c r="G269" s="36" t="n">
        <v>206</v>
      </c>
      <c r="H269" s="36" t="n">
        <v>125</v>
      </c>
      <c r="I269" s="36" t="n">
        <v>138</v>
      </c>
      <c r="J269" s="36" t="n">
        <v>266</v>
      </c>
      <c r="K269" s="28" t="n">
        <v>209</v>
      </c>
      <c r="L269" s="36" t="n">
        <v>216</v>
      </c>
      <c r="M269" s="36" t="n">
        <v>204</v>
      </c>
      <c r="N269" s="36" t="n">
        <v>157</v>
      </c>
      <c r="O269" s="36" t="n">
        <v>204</v>
      </c>
      <c r="P269" s="36" t="n">
        <v>116</v>
      </c>
      <c r="Q269" s="36" t="n">
        <v>186</v>
      </c>
      <c r="R269" s="28" t="n">
        <v>189</v>
      </c>
      <c r="S269" s="36" t="n">
        <v>134</v>
      </c>
      <c r="T269" s="36" t="n">
        <v>163</v>
      </c>
      <c r="U269" s="36" t="n">
        <v>200.77</v>
      </c>
      <c r="V269" s="36" t="n">
        <v>202.84</v>
      </c>
      <c r="W269" s="36" t="n">
        <v>194.31</v>
      </c>
      <c r="X269" s="36" t="n">
        <v>167.96</v>
      </c>
      <c r="Y269" s="28" t="n">
        <v>271.83</v>
      </c>
      <c r="Z269" s="36" t="n">
        <v>215.5</v>
      </c>
      <c r="AA269" s="36" t="n">
        <v>263.3</v>
      </c>
      <c r="AB269" s="36" t="n">
        <v>206.2</v>
      </c>
      <c r="AC269" s="36" t="n">
        <v>165.63</v>
      </c>
      <c r="AD269" s="36" t="n">
        <v>440.3</v>
      </c>
      <c r="AE269" s="36" t="n">
        <v>180.1</v>
      </c>
      <c r="AF269" s="28" t="n">
        <v>298.44</v>
      </c>
      <c r="AG269" s="36" t="n">
        <v>226.09</v>
      </c>
      <c r="AH269" s="37" t="n">
        <v>238.5</v>
      </c>
      <c r="AI269" s="37" t="n">
        <v>200.77</v>
      </c>
      <c r="AJ269" s="37" t="n">
        <v>202.84</v>
      </c>
      <c r="AK269" s="37" t="n">
        <v>214.47</v>
      </c>
      <c r="AL269" s="37" t="n">
        <v>301.55</v>
      </c>
      <c r="AM269" s="37" t="n">
        <v>271.83</v>
      </c>
      <c r="AN269" s="37" t="n">
        <v>215.5</v>
      </c>
      <c r="AO269" s="37" t="n">
        <v>238.5</v>
      </c>
      <c r="AP269" s="37" t="n">
        <v>221.96</v>
      </c>
      <c r="AQ269" s="37" t="n">
        <v>162.01</v>
      </c>
      <c r="AR269" s="37" t="n">
        <v>194.31</v>
      </c>
      <c r="AS269" s="37" t="n">
        <v>167.96</v>
      </c>
      <c r="AT269" s="37" t="n">
        <v>271.83</v>
      </c>
      <c r="AU269" s="37" t="n">
        <v>236.95</v>
      </c>
      <c r="AV269" s="37" t="n">
        <v>244.44</v>
      </c>
      <c r="AW269" s="37" t="n">
        <v>200.77</v>
      </c>
      <c r="AX269" s="37" t="n">
        <v>202.84</v>
      </c>
      <c r="AY269" s="37" t="n">
        <v>194.31</v>
      </c>
      <c r="AZ269" s="37" t="n">
        <v>167.96</v>
      </c>
      <c r="BA269" s="37" t="n">
        <v>233.85</v>
      </c>
      <c r="BB269" s="37" t="n">
        <v>160.72</v>
      </c>
      <c r="BC269" s="37" t="n">
        <v>72.09</v>
      </c>
      <c r="BD269" s="37" t="n">
        <v>120.41</v>
      </c>
      <c r="BE269" s="37" t="n">
        <v>241.34</v>
      </c>
      <c r="BF269" s="37" t="n">
        <v>232.55</v>
      </c>
      <c r="BG269" s="37" t="n">
        <v>164.08</v>
      </c>
      <c r="BH269" s="37" t="n">
        <v>259.17</v>
      </c>
      <c r="BI269" s="37" t="n">
        <v>170.02</v>
      </c>
      <c r="BJ269" s="37" t="n">
        <v>623.76</v>
      </c>
      <c r="BK269" s="37" t="n">
        <v>205.68</v>
      </c>
      <c r="BL269" s="37" t="n">
        <v>202.84</v>
      </c>
      <c r="BM269" s="37" t="n">
        <v>185.27</v>
      </c>
      <c r="BN269" s="37" t="n">
        <v>160.98</v>
      </c>
      <c r="BO269" s="37" t="n">
        <v>259.17</v>
      </c>
      <c r="BP269" s="37" t="n">
        <v>225.06</v>
      </c>
      <c r="BQ269" s="37" t="n">
        <v>347.8</v>
      </c>
      <c r="BR269" s="37" t="n">
        <v>191.21</v>
      </c>
      <c r="BS269" s="37" t="n">
        <v>193.28</v>
      </c>
      <c r="BT269" s="37" t="n">
        <v>185.27</v>
      </c>
      <c r="BU269" s="37" t="n">
        <v>175.97</v>
      </c>
      <c r="BV269" s="37" t="n">
        <v>207.75</v>
      </c>
      <c r="BW269" s="37" t="n">
        <v>205.16</v>
      </c>
      <c r="BX269" s="37" t="n">
        <v>226.61</v>
      </c>
      <c r="BY269" s="37" t="n">
        <v>191.21</v>
      </c>
      <c r="BZ269" s="37" t="n">
        <v>211.62</v>
      </c>
      <c r="CA269" s="37" t="n">
        <v>189.4</v>
      </c>
      <c r="CB269" s="37" t="n">
        <v>160.98</v>
      </c>
      <c r="CC269" s="37" t="n">
        <v>15909.82</v>
      </c>
    </row>
    <row r="270" ht="15.75" customHeight="1" s="57">
      <c r="A270" s="7" t="inlineStr">
        <is>
          <t>NTB</t>
        </is>
      </c>
      <c r="B270" s="7" t="inlineStr">
        <is>
          <t>Lâm Đồng</t>
        </is>
      </c>
      <c r="C270" s="7" t="n">
        <v>20785000</v>
      </c>
      <c r="D270" s="7" t="inlineStr">
        <is>
          <t>(LDO) B'Lao</t>
        </is>
      </c>
      <c r="E270" s="7" t="inlineStr">
        <is>
          <t>Shopee-Bulky</t>
        </is>
      </c>
      <c r="F270" s="36" t="n">
        <v>15.67</v>
      </c>
      <c r="G270" s="36" t="n">
        <v>7.84</v>
      </c>
      <c r="H270" s="36" t="n">
        <v>3.92</v>
      </c>
      <c r="I270" s="36" t="n">
        <v>3.92</v>
      </c>
      <c r="J270" s="36" t="n">
        <v>7.84</v>
      </c>
      <c r="K270" s="28" t="n">
        <v>5.88</v>
      </c>
      <c r="L270" s="36" t="n">
        <v>1.31</v>
      </c>
      <c r="M270" s="36" t="n">
        <v>3.92</v>
      </c>
      <c r="N270" s="36" t="n">
        <v>4.57</v>
      </c>
      <c r="O270" s="36" t="n">
        <v>1.96</v>
      </c>
      <c r="P270" s="36" t="n">
        <v>1.96</v>
      </c>
      <c r="Q270" s="36" t="n">
        <v>3.92</v>
      </c>
      <c r="R270" s="28" t="n">
        <v>7.84</v>
      </c>
      <c r="S270" s="36" t="n">
        <v>2.61</v>
      </c>
      <c r="T270" s="36" t="n">
        <v>3.92</v>
      </c>
      <c r="U270" s="36" t="n">
        <v>4.67</v>
      </c>
      <c r="V270" s="36" t="n">
        <v>4.5</v>
      </c>
      <c r="W270" s="36" t="n">
        <v>5.92</v>
      </c>
      <c r="X270" s="36" t="n">
        <v>3.5</v>
      </c>
      <c r="Y270" s="28" t="n">
        <v>7.33</v>
      </c>
      <c r="Z270" s="36" t="n">
        <v>5.33</v>
      </c>
      <c r="AA270" s="36" t="n">
        <v>9.42</v>
      </c>
      <c r="AB270" s="36" t="n">
        <v>5.33</v>
      </c>
      <c r="AC270" s="36" t="n">
        <v>6.25</v>
      </c>
      <c r="AD270" s="36" t="n">
        <v>19</v>
      </c>
      <c r="AE270" s="36" t="n">
        <v>16.42</v>
      </c>
      <c r="AF270" s="28" t="n">
        <v>15.67</v>
      </c>
      <c r="AG270" s="36" t="n">
        <v>8.25</v>
      </c>
      <c r="AH270" s="37" t="n">
        <v>5.08</v>
      </c>
      <c r="AI270" s="37" t="n">
        <v>5.92</v>
      </c>
      <c r="AJ270" s="37" t="n">
        <v>4.92</v>
      </c>
      <c r="AK270" s="37" t="n">
        <v>11.75</v>
      </c>
      <c r="AL270" s="37" t="n">
        <v>6.42</v>
      </c>
      <c r="AM270" s="37" t="n">
        <v>9.67</v>
      </c>
      <c r="AN270" s="37" t="n">
        <v>5.33</v>
      </c>
      <c r="AO270" s="37" t="n">
        <v>5.17</v>
      </c>
      <c r="AP270" s="37" t="n">
        <v>10.5</v>
      </c>
      <c r="AQ270" s="37" t="n">
        <v>7</v>
      </c>
      <c r="AR270" s="37" t="n">
        <v>5.25</v>
      </c>
      <c r="AS270" s="37" t="n">
        <v>2.67</v>
      </c>
      <c r="AT270" s="37" t="n">
        <v>7.08</v>
      </c>
      <c r="AU270" s="37" t="n">
        <v>12.67</v>
      </c>
      <c r="AV270" s="37" t="n">
        <v>12.92</v>
      </c>
      <c r="AW270" s="37" t="n">
        <v>5.08</v>
      </c>
      <c r="AX270" s="37" t="n">
        <v>4.92</v>
      </c>
      <c r="AY270" s="37" t="n">
        <v>5.08</v>
      </c>
      <c r="AZ270" s="37" t="n">
        <v>2.67</v>
      </c>
      <c r="BA270" s="37" t="n">
        <v>6.58</v>
      </c>
      <c r="BB270" s="37" t="n">
        <v>4.08</v>
      </c>
      <c r="BC270" s="37" t="n">
        <v>0.83</v>
      </c>
      <c r="BD270" s="37" t="n">
        <v>1.67</v>
      </c>
      <c r="BE270" s="37" t="n">
        <v>7.67</v>
      </c>
      <c r="BF270" s="37" t="n">
        <v>6.42</v>
      </c>
      <c r="BG270" s="37" t="n">
        <v>4.08</v>
      </c>
      <c r="BH270" s="37" t="n">
        <v>9.33</v>
      </c>
      <c r="BI270" s="37" t="n">
        <v>6.92</v>
      </c>
      <c r="BJ270" s="37" t="n">
        <v>34.25</v>
      </c>
      <c r="BK270" s="37" t="n">
        <v>15.67</v>
      </c>
      <c r="BL270" s="37" t="n">
        <v>8.83</v>
      </c>
      <c r="BM270" s="37" t="n">
        <v>5.33</v>
      </c>
      <c r="BN270" s="37" t="n">
        <v>3.83</v>
      </c>
      <c r="BO270" s="37" t="n">
        <v>11.17</v>
      </c>
      <c r="BP270" s="37" t="n">
        <v>16.17</v>
      </c>
      <c r="BQ270" s="37" t="n">
        <v>12.67</v>
      </c>
      <c r="BR270" s="37" t="n">
        <v>6.42</v>
      </c>
      <c r="BS270" s="37" t="n">
        <v>6.25</v>
      </c>
      <c r="BT270" s="37" t="n">
        <v>5.08</v>
      </c>
      <c r="BU270" s="37" t="n">
        <v>8.33</v>
      </c>
      <c r="BV270" s="37" t="n">
        <v>10</v>
      </c>
      <c r="BW270" s="37" t="n">
        <v>6.92</v>
      </c>
      <c r="BX270" s="37" t="n">
        <v>6.67</v>
      </c>
      <c r="BY270" s="37" t="n">
        <v>6.42</v>
      </c>
      <c r="BZ270" s="37" t="n">
        <v>12.75</v>
      </c>
      <c r="CA270" s="37" t="n">
        <v>6.42</v>
      </c>
      <c r="CB270" s="37" t="n">
        <v>3.58</v>
      </c>
      <c r="CC270" s="37" t="n">
        <v>553.1099999999999</v>
      </c>
    </row>
    <row r="271" ht="15.75" customHeight="1" s="57">
      <c r="A271" s="7" t="inlineStr">
        <is>
          <t>NTB</t>
        </is>
      </c>
      <c r="B271" s="7" t="inlineStr">
        <is>
          <t>Lâm Đồng</t>
        </is>
      </c>
      <c r="C271" s="7" t="n">
        <v>20785000</v>
      </c>
      <c r="D271" s="7" t="inlineStr">
        <is>
          <t>(LDO) B'Lao</t>
        </is>
      </c>
      <c r="E271" s="7" t="inlineStr">
        <is>
          <t>Shopee-Bulky (10-15kg)</t>
        </is>
      </c>
      <c r="F271" s="36" t="n">
        <v>8.33</v>
      </c>
      <c r="G271" s="36" t="n">
        <v>4.16</v>
      </c>
      <c r="H271" s="36" t="n">
        <v>2.08</v>
      </c>
      <c r="I271" s="36" t="n">
        <v>2.08</v>
      </c>
      <c r="J271" s="36" t="n">
        <v>4.16</v>
      </c>
      <c r="K271" s="28" t="n">
        <v>3.12</v>
      </c>
      <c r="L271" s="36" t="n">
        <v>0.6899999999999999</v>
      </c>
      <c r="M271" s="36" t="n">
        <v>2.08</v>
      </c>
      <c r="N271" s="36" t="n">
        <v>2.43</v>
      </c>
      <c r="O271" s="36" t="n">
        <v>1.04</v>
      </c>
      <c r="P271" s="36" t="n">
        <v>1.04</v>
      </c>
      <c r="Q271" s="36" t="n">
        <v>2.08</v>
      </c>
      <c r="R271" s="28" t="n">
        <v>4.16</v>
      </c>
      <c r="S271" s="36" t="n">
        <v>1.39</v>
      </c>
      <c r="T271" s="36" t="n">
        <v>2.08</v>
      </c>
      <c r="U271" s="36" t="n">
        <v>2.42</v>
      </c>
      <c r="V271" s="36" t="n">
        <v>2.33</v>
      </c>
      <c r="W271" s="36" t="n">
        <v>2.92</v>
      </c>
      <c r="X271" s="36" t="n">
        <v>1.75</v>
      </c>
      <c r="Y271" s="28" t="n">
        <v>4.25</v>
      </c>
      <c r="Z271" s="36" t="n">
        <v>2.83</v>
      </c>
      <c r="AA271" s="36" t="n">
        <v>5.17</v>
      </c>
      <c r="AB271" s="36" t="n">
        <v>2.67</v>
      </c>
      <c r="AC271" s="36" t="n">
        <v>2.83</v>
      </c>
      <c r="AD271" s="36" t="n">
        <v>13.83</v>
      </c>
      <c r="AE271" s="36" t="n">
        <v>9.42</v>
      </c>
      <c r="AF271" s="28" t="n">
        <v>7.83</v>
      </c>
      <c r="AG271" s="36" t="n">
        <v>6.08</v>
      </c>
      <c r="AH271" s="37" t="n">
        <v>2.83</v>
      </c>
      <c r="AI271" s="37" t="n">
        <v>2.83</v>
      </c>
      <c r="AJ271" s="37" t="n">
        <v>2.83</v>
      </c>
      <c r="AK271" s="37" t="n">
        <v>7.33</v>
      </c>
      <c r="AL271" s="37" t="n">
        <v>2.92</v>
      </c>
      <c r="AM271" s="37" t="n">
        <v>5.83</v>
      </c>
      <c r="AN271" s="37" t="n">
        <v>2.83</v>
      </c>
      <c r="AO271" s="37" t="n">
        <v>2.67</v>
      </c>
      <c r="AP271" s="37" t="n">
        <v>5.33</v>
      </c>
      <c r="AQ271" s="37" t="n">
        <v>3.5</v>
      </c>
      <c r="AR271" s="37" t="n">
        <v>2.67</v>
      </c>
      <c r="AS271" s="37" t="n">
        <v>1.33</v>
      </c>
      <c r="AT271" s="37" t="n">
        <v>4.17</v>
      </c>
      <c r="AU271" s="37" t="n">
        <v>6.67</v>
      </c>
      <c r="AV271" s="37" t="n">
        <v>7.42</v>
      </c>
      <c r="AW271" s="37" t="n">
        <v>2.5</v>
      </c>
      <c r="AX271" s="37" t="n">
        <v>2.33</v>
      </c>
      <c r="AY271" s="37" t="n">
        <v>2.58</v>
      </c>
      <c r="AZ271" s="37" t="n">
        <v>1.33</v>
      </c>
      <c r="BA271" s="37" t="n">
        <v>3.17</v>
      </c>
      <c r="BB271" s="37" t="n">
        <v>2</v>
      </c>
      <c r="BC271" s="37" t="n">
        <v>0.33</v>
      </c>
      <c r="BD271" s="37" t="n">
        <v>0.67</v>
      </c>
      <c r="BE271" s="37" t="n">
        <v>3.92</v>
      </c>
      <c r="BF271" s="37" t="n">
        <v>3.25</v>
      </c>
      <c r="BG271" s="37" t="n">
        <v>1.83</v>
      </c>
      <c r="BH271" s="37" t="n">
        <v>5.67</v>
      </c>
      <c r="BI271" s="37" t="n">
        <v>3.08</v>
      </c>
      <c r="BJ271" s="37" t="n">
        <v>19.17</v>
      </c>
      <c r="BK271" s="37" t="n">
        <v>6.92</v>
      </c>
      <c r="BL271" s="37" t="n">
        <v>5.17</v>
      </c>
      <c r="BM271" s="37" t="n">
        <v>2.5</v>
      </c>
      <c r="BN271" s="37" t="n">
        <v>1.83</v>
      </c>
      <c r="BO271" s="37" t="n">
        <v>5.33</v>
      </c>
      <c r="BP271" s="37" t="n">
        <v>6.92</v>
      </c>
      <c r="BQ271" s="37" t="n">
        <v>6.5</v>
      </c>
      <c r="BR271" s="37" t="n">
        <v>3.25</v>
      </c>
      <c r="BS271" s="37" t="n">
        <v>3</v>
      </c>
      <c r="BT271" s="37" t="n">
        <v>2.5</v>
      </c>
      <c r="BU271" s="37" t="n">
        <v>3.25</v>
      </c>
      <c r="BV271" s="37" t="n">
        <v>6.08</v>
      </c>
      <c r="BW271" s="37" t="n">
        <v>3.08</v>
      </c>
      <c r="BX271" s="37" t="n">
        <v>3.5</v>
      </c>
      <c r="BY271" s="37" t="n">
        <v>3.25</v>
      </c>
      <c r="BZ271" s="37" t="n">
        <v>6</v>
      </c>
      <c r="CA271" s="37" t="n">
        <v>3.25</v>
      </c>
      <c r="CB271" s="37" t="n">
        <v>1.83</v>
      </c>
      <c r="CC271" s="37" t="n">
        <v>292.3999999999999</v>
      </c>
    </row>
    <row r="272" ht="15.75" customHeight="1" s="57">
      <c r="A272" s="7" t="inlineStr">
        <is>
          <t>NTB</t>
        </is>
      </c>
      <c r="B272" s="7" t="inlineStr">
        <is>
          <t>Lâm Đồng</t>
        </is>
      </c>
      <c r="C272" s="7" t="n">
        <v>20785000</v>
      </c>
      <c r="D272" s="7" t="inlineStr">
        <is>
          <t>(LDO) B'Lao</t>
        </is>
      </c>
      <c r="E272" s="7" t="inlineStr">
        <is>
          <t>TTS</t>
        </is>
      </c>
      <c r="F272" s="36" t="n">
        <v>196</v>
      </c>
      <c r="G272" s="36" t="n">
        <v>265</v>
      </c>
      <c r="H272" s="36" t="n">
        <v>215</v>
      </c>
      <c r="I272" s="36" t="n">
        <v>231</v>
      </c>
      <c r="J272" s="36" t="n">
        <v>273</v>
      </c>
      <c r="K272" s="28" t="n">
        <v>168</v>
      </c>
      <c r="L272" s="36" t="n">
        <v>165</v>
      </c>
      <c r="M272" s="36" t="n">
        <v>270</v>
      </c>
      <c r="N272" s="36" t="n">
        <v>225</v>
      </c>
      <c r="O272" s="36" t="n">
        <v>191</v>
      </c>
      <c r="P272" s="36" t="n">
        <v>259</v>
      </c>
      <c r="Q272" s="36" t="n">
        <v>445</v>
      </c>
      <c r="R272" s="28" t="n">
        <v>465</v>
      </c>
      <c r="S272" s="36" t="n">
        <v>479</v>
      </c>
      <c r="T272" s="36" t="n">
        <v>457</v>
      </c>
      <c r="U272" s="36" t="n">
        <v>177.74</v>
      </c>
      <c r="V272" s="36" t="n">
        <v>175.76</v>
      </c>
      <c r="W272" s="36" t="n">
        <v>171.44</v>
      </c>
      <c r="X272" s="36" t="n">
        <v>137.95</v>
      </c>
      <c r="Y272" s="28" t="n">
        <v>201.52</v>
      </c>
      <c r="Z272" s="36" t="n">
        <v>171.26</v>
      </c>
      <c r="AA272" s="36" t="n">
        <v>190.53</v>
      </c>
      <c r="AB272" s="36" t="n">
        <v>211.6</v>
      </c>
      <c r="AC272" s="36" t="n">
        <v>224.75</v>
      </c>
      <c r="AD272" s="36" t="n">
        <v>311.55</v>
      </c>
      <c r="AE272" s="36" t="n">
        <v>160.64</v>
      </c>
      <c r="AF272" s="28" t="n">
        <v>206.92</v>
      </c>
      <c r="AG272" s="36" t="n">
        <v>175.04</v>
      </c>
      <c r="AH272" s="37" t="n">
        <v>172.52</v>
      </c>
      <c r="AI272" s="37" t="n">
        <v>199.53</v>
      </c>
      <c r="AJ272" s="37" t="n">
        <v>213.22</v>
      </c>
      <c r="AK272" s="37" t="n">
        <v>209.62</v>
      </c>
      <c r="AL272" s="37" t="n">
        <v>150.19</v>
      </c>
      <c r="AM272" s="37" t="n">
        <v>204.4</v>
      </c>
      <c r="AN272" s="37" t="n">
        <v>176.48</v>
      </c>
      <c r="AO272" s="37" t="n">
        <v>175.04</v>
      </c>
      <c r="AP272" s="37" t="n">
        <v>171.08</v>
      </c>
      <c r="AQ272" s="37" t="n">
        <v>172.34</v>
      </c>
      <c r="AR272" s="37" t="n">
        <v>168.74</v>
      </c>
      <c r="AS272" s="37" t="n">
        <v>138.31</v>
      </c>
      <c r="AT272" s="37" t="n">
        <v>221.14</v>
      </c>
      <c r="AU272" s="37" t="n">
        <v>200.25</v>
      </c>
      <c r="AV272" s="37" t="n">
        <v>177.38</v>
      </c>
      <c r="AW272" s="37" t="n">
        <v>168.92</v>
      </c>
      <c r="AX272" s="37" t="n">
        <v>168.02</v>
      </c>
      <c r="AY272" s="37" t="n">
        <v>166.76</v>
      </c>
      <c r="AZ272" s="37" t="n">
        <v>138.31</v>
      </c>
      <c r="BA272" s="37" t="n">
        <v>198.81</v>
      </c>
      <c r="BB272" s="37" t="n">
        <v>187.29</v>
      </c>
      <c r="BC272" s="37" t="n">
        <v>94.18000000000001</v>
      </c>
      <c r="BD272" s="37" t="n">
        <v>134.34</v>
      </c>
      <c r="BE272" s="37" t="n">
        <v>312.81</v>
      </c>
      <c r="BF272" s="37" t="n">
        <v>302.54</v>
      </c>
      <c r="BG272" s="37" t="n">
        <v>150.55</v>
      </c>
      <c r="BH272" s="37" t="n">
        <v>220.6</v>
      </c>
      <c r="BI272" s="37" t="n">
        <v>187.29</v>
      </c>
      <c r="BJ272" s="37" t="n">
        <v>235.73</v>
      </c>
      <c r="BK272" s="37" t="n">
        <v>189.81</v>
      </c>
      <c r="BL272" s="37" t="n">
        <v>190.35</v>
      </c>
      <c r="BM272" s="37" t="n">
        <v>184.41</v>
      </c>
      <c r="BN272" s="37" t="n">
        <v>150.55</v>
      </c>
      <c r="BO272" s="37" t="n">
        <v>220.6</v>
      </c>
      <c r="BP272" s="37" t="n">
        <v>187.29</v>
      </c>
      <c r="BQ272" s="37" t="n">
        <v>184.77</v>
      </c>
      <c r="BR272" s="37" t="n">
        <v>189.81</v>
      </c>
      <c r="BS272" s="37" t="n">
        <v>190.35</v>
      </c>
      <c r="BT272" s="37" t="n">
        <v>184.41</v>
      </c>
      <c r="BU272" s="37" t="n">
        <v>150.55</v>
      </c>
      <c r="BV272" s="37" t="n">
        <v>220.6</v>
      </c>
      <c r="BW272" s="37" t="n">
        <v>187.29</v>
      </c>
      <c r="BX272" s="37" t="n">
        <v>184.77</v>
      </c>
      <c r="BY272" s="37" t="n">
        <v>189.81</v>
      </c>
      <c r="BZ272" s="37" t="n">
        <v>190.35</v>
      </c>
      <c r="CA272" s="37" t="n">
        <v>184.41</v>
      </c>
      <c r="CB272" s="37" t="n">
        <v>150.55</v>
      </c>
      <c r="CC272" s="37" t="n">
        <v>15567.77</v>
      </c>
    </row>
    <row r="273" ht="15.75" customHeight="1" s="57">
      <c r="A273" s="7" t="inlineStr">
        <is>
          <t>NTB</t>
        </is>
      </c>
      <c r="B273" s="7" t="inlineStr">
        <is>
          <t>Lâm Đồng</t>
        </is>
      </c>
      <c r="C273" s="7" t="n">
        <v>20849000</v>
      </c>
      <c r="D273" s="7" t="inlineStr">
        <is>
          <t>(LDO) Ninh Gia</t>
        </is>
      </c>
      <c r="E273" s="7" t="inlineStr">
        <is>
          <t>SME</t>
        </is>
      </c>
      <c r="F273" s="36" t="n">
        <v>13</v>
      </c>
      <c r="G273" s="36" t="n">
        <v>25</v>
      </c>
      <c r="H273" s="36" t="n">
        <v>25</v>
      </c>
      <c r="I273" s="36" t="n">
        <v>6</v>
      </c>
      <c r="J273" s="36" t="n">
        <v>18</v>
      </c>
      <c r="K273" s="28" t="n">
        <v>20</v>
      </c>
      <c r="L273" s="36" t="n">
        <v>15</v>
      </c>
      <c r="M273" s="36" t="n">
        <v>26</v>
      </c>
      <c r="N273" s="36" t="n">
        <v>26</v>
      </c>
      <c r="O273" s="36" t="n">
        <v>16</v>
      </c>
      <c r="P273" s="36" t="n">
        <v>21</v>
      </c>
      <c r="Q273" s="36" t="n">
        <v>24</v>
      </c>
      <c r="R273" s="28" t="n">
        <v>14</v>
      </c>
      <c r="S273" s="36" t="n">
        <v>13</v>
      </c>
      <c r="T273" s="36" t="n">
        <v>8</v>
      </c>
      <c r="U273" s="36" t="n">
        <v>26.77</v>
      </c>
      <c r="V273" s="36" t="n">
        <v>27.65</v>
      </c>
      <c r="W273" s="36" t="n">
        <v>26.91</v>
      </c>
      <c r="X273" s="36" t="n">
        <v>21.98</v>
      </c>
      <c r="Y273" s="28" t="n">
        <v>29.8</v>
      </c>
      <c r="Z273" s="36" t="n">
        <v>27.42</v>
      </c>
      <c r="AA273" s="36" t="n">
        <v>26.73</v>
      </c>
      <c r="AB273" s="36" t="n">
        <v>26.77</v>
      </c>
      <c r="AC273" s="36" t="n">
        <v>27.65</v>
      </c>
      <c r="AD273" s="36" t="n">
        <v>29.06</v>
      </c>
      <c r="AE273" s="36" t="n">
        <v>21.98</v>
      </c>
      <c r="AF273" s="28" t="n">
        <v>29.8</v>
      </c>
      <c r="AG273" s="36" t="n">
        <v>27.42</v>
      </c>
      <c r="AH273" s="37" t="n">
        <v>26.73</v>
      </c>
      <c r="AI273" s="37" t="n">
        <v>26.77</v>
      </c>
      <c r="AJ273" s="37" t="n">
        <v>27.65</v>
      </c>
      <c r="AK273" s="37" t="n">
        <v>26.91</v>
      </c>
      <c r="AL273" s="37" t="n">
        <v>21.98</v>
      </c>
      <c r="AM273" s="37" t="n">
        <v>29.8</v>
      </c>
      <c r="AN273" s="37" t="n">
        <v>27.42</v>
      </c>
      <c r="AO273" s="37" t="n">
        <v>26.73</v>
      </c>
      <c r="AP273" s="37" t="n">
        <v>26.77</v>
      </c>
      <c r="AQ273" s="37" t="n">
        <v>27.65</v>
      </c>
      <c r="AR273" s="37" t="n">
        <v>26.91</v>
      </c>
      <c r="AS273" s="37" t="n">
        <v>21.98</v>
      </c>
      <c r="AT273" s="37" t="n">
        <v>29.8</v>
      </c>
      <c r="AU273" s="37" t="n">
        <v>27.42</v>
      </c>
      <c r="AV273" s="37" t="n">
        <v>26.73</v>
      </c>
      <c r="AW273" s="37" t="n">
        <v>26.77</v>
      </c>
      <c r="AX273" s="37" t="n">
        <v>27.65</v>
      </c>
      <c r="AY273" s="37" t="n">
        <v>26.91</v>
      </c>
      <c r="AZ273" s="37" t="n">
        <v>21.98</v>
      </c>
      <c r="BA273" s="37" t="n">
        <v>28.34</v>
      </c>
      <c r="BB273" s="37" t="n">
        <v>25.15</v>
      </c>
      <c r="BC273" s="37" t="n">
        <v>15.37</v>
      </c>
      <c r="BD273" s="37" t="n">
        <v>12</v>
      </c>
      <c r="BE273" s="37" t="n">
        <v>25.85</v>
      </c>
      <c r="BF273" s="37" t="n">
        <v>25.22</v>
      </c>
      <c r="BG273" s="37" t="n">
        <v>22.63</v>
      </c>
      <c r="BH273" s="37" t="n">
        <v>30.71</v>
      </c>
      <c r="BI273" s="37" t="n">
        <v>28.22</v>
      </c>
      <c r="BJ273" s="37" t="n">
        <v>29.88</v>
      </c>
      <c r="BK273" s="37" t="n">
        <v>27.52</v>
      </c>
      <c r="BL273" s="37" t="n">
        <v>28.46</v>
      </c>
      <c r="BM273" s="37" t="n">
        <v>27.67</v>
      </c>
      <c r="BN273" s="37" t="n">
        <v>22.63</v>
      </c>
      <c r="BO273" s="37" t="n">
        <v>30.71</v>
      </c>
      <c r="BP273" s="37" t="n">
        <v>28.22</v>
      </c>
      <c r="BQ273" s="37" t="n">
        <v>27.49</v>
      </c>
      <c r="BR273" s="37" t="n">
        <v>27.52</v>
      </c>
      <c r="BS273" s="37" t="n">
        <v>28.46</v>
      </c>
      <c r="BT273" s="37" t="n">
        <v>27.67</v>
      </c>
      <c r="BU273" s="37" t="n">
        <v>22.63</v>
      </c>
      <c r="BV273" s="37" t="n">
        <v>30.71</v>
      </c>
      <c r="BW273" s="37" t="n">
        <v>28.22</v>
      </c>
      <c r="BX273" s="37" t="n">
        <v>27.49</v>
      </c>
      <c r="BY273" s="37" t="n">
        <v>27.52</v>
      </c>
      <c r="BZ273" s="37" t="n">
        <v>28.46</v>
      </c>
      <c r="CA273" s="37" t="n">
        <v>27.67</v>
      </c>
      <c r="CB273" s="37" t="n">
        <v>22.63</v>
      </c>
      <c r="CC273" s="37" t="n">
        <v>1859.550000000001</v>
      </c>
    </row>
    <row r="274" ht="15.75" customHeight="1" s="57">
      <c r="A274" s="7" t="inlineStr">
        <is>
          <t>NTB</t>
        </is>
      </c>
      <c r="B274" s="7" t="inlineStr">
        <is>
          <t>Lâm Đồng</t>
        </is>
      </c>
      <c r="C274" s="7" t="n">
        <v>20849000</v>
      </c>
      <c r="D274" s="7" t="inlineStr">
        <is>
          <t>(LDO) Ninh Gia</t>
        </is>
      </c>
      <c r="E274" s="7" t="inlineStr">
        <is>
          <t>SME-Bulky</t>
        </is>
      </c>
      <c r="F274" s="36" t="n">
        <v>1</v>
      </c>
      <c r="G274" s="36" t="n">
        <v>2</v>
      </c>
      <c r="H274" s="36" t="n">
        <v>1</v>
      </c>
      <c r="I274" s="36" t="n">
        <v>0</v>
      </c>
      <c r="J274" s="36" t="n">
        <v>0</v>
      </c>
      <c r="K274" s="28" t="n">
        <v>0</v>
      </c>
      <c r="L274" s="36" t="n">
        <v>2</v>
      </c>
      <c r="M274" s="36" t="n">
        <v>6</v>
      </c>
      <c r="N274" s="36" t="n">
        <v>4</v>
      </c>
      <c r="O274" s="36" t="n">
        <v>3</v>
      </c>
      <c r="P274" s="36" t="n">
        <v>0</v>
      </c>
      <c r="Q274" s="36" t="n">
        <v>1</v>
      </c>
      <c r="R274" s="28" t="n">
        <v>5</v>
      </c>
      <c r="S274" s="36" t="n">
        <v>3</v>
      </c>
      <c r="T274" s="36" t="n">
        <v>2</v>
      </c>
      <c r="U274" s="36" t="n">
        <v>3.28</v>
      </c>
      <c r="V274" s="36" t="n">
        <v>3.24</v>
      </c>
      <c r="W274" s="36" t="n">
        <v>3.15</v>
      </c>
      <c r="X274" s="36" t="n">
        <v>2.26</v>
      </c>
      <c r="Y274" s="28" t="n">
        <v>3.69</v>
      </c>
      <c r="Z274" s="36" t="n">
        <v>3.58</v>
      </c>
      <c r="AA274" s="36" t="n">
        <v>3.54</v>
      </c>
      <c r="AB274" s="36" t="n">
        <v>3.28</v>
      </c>
      <c r="AC274" s="36" t="n">
        <v>3.24</v>
      </c>
      <c r="AD274" s="36" t="n">
        <v>2.48</v>
      </c>
      <c r="AE274" s="36" t="n">
        <v>2.26</v>
      </c>
      <c r="AF274" s="28" t="n">
        <v>3.69</v>
      </c>
      <c r="AG274" s="36" t="n">
        <v>3.58</v>
      </c>
      <c r="AH274" s="37" t="n">
        <v>3.54</v>
      </c>
      <c r="AI274" s="37" t="n">
        <v>3.28</v>
      </c>
      <c r="AJ274" s="37" t="n">
        <v>3.24</v>
      </c>
      <c r="AK274" s="37" t="n">
        <v>3.15</v>
      </c>
      <c r="AL274" s="37" t="n">
        <v>2.26</v>
      </c>
      <c r="AM274" s="37" t="n">
        <v>3.69</v>
      </c>
      <c r="AN274" s="37" t="n">
        <v>3.58</v>
      </c>
      <c r="AO274" s="37" t="n">
        <v>3.54</v>
      </c>
      <c r="AP274" s="37" t="n">
        <v>3.28</v>
      </c>
      <c r="AQ274" s="37" t="n">
        <v>3.24</v>
      </c>
      <c r="AR274" s="37" t="n">
        <v>3.15</v>
      </c>
      <c r="AS274" s="37" t="n">
        <v>2.26</v>
      </c>
      <c r="AT274" s="37" t="n">
        <v>3.69</v>
      </c>
      <c r="AU274" s="37" t="n">
        <v>3.58</v>
      </c>
      <c r="AV274" s="37" t="n">
        <v>3.54</v>
      </c>
      <c r="AW274" s="37" t="n">
        <v>3.28</v>
      </c>
      <c r="AX274" s="37" t="n">
        <v>3.24</v>
      </c>
      <c r="AY274" s="37" t="n">
        <v>3.15</v>
      </c>
      <c r="AZ274" s="37" t="n">
        <v>2.26</v>
      </c>
      <c r="BA274" s="37" t="n">
        <v>4.04</v>
      </c>
      <c r="BB274" s="37" t="n">
        <v>2.13</v>
      </c>
      <c r="BC274" s="37" t="n">
        <v>1.09</v>
      </c>
      <c r="BD274" s="37" t="n">
        <v>0.83</v>
      </c>
      <c r="BE274" s="37" t="n">
        <v>1.91</v>
      </c>
      <c r="BF274" s="37" t="n">
        <v>1.78</v>
      </c>
      <c r="BG274" s="37" t="n">
        <v>1.24</v>
      </c>
      <c r="BH274" s="37" t="n">
        <v>2.15</v>
      </c>
      <c r="BI274" s="37" t="n">
        <v>2.13</v>
      </c>
      <c r="BJ274" s="37" t="n">
        <v>1.63</v>
      </c>
      <c r="BK274" s="37" t="n">
        <v>1.89</v>
      </c>
      <c r="BL274" s="37" t="n">
        <v>1.89</v>
      </c>
      <c r="BM274" s="37" t="n">
        <v>1.78</v>
      </c>
      <c r="BN274" s="37" t="n">
        <v>1.24</v>
      </c>
      <c r="BO274" s="37" t="n">
        <v>2.15</v>
      </c>
      <c r="BP274" s="37" t="n">
        <v>2.13</v>
      </c>
      <c r="BQ274" s="37" t="n">
        <v>2.02</v>
      </c>
      <c r="BR274" s="37" t="n">
        <v>1.89</v>
      </c>
      <c r="BS274" s="37" t="n">
        <v>1.89</v>
      </c>
      <c r="BT274" s="37" t="n">
        <v>1.78</v>
      </c>
      <c r="BU274" s="37" t="n">
        <v>1.24</v>
      </c>
      <c r="BV274" s="37" t="n">
        <v>2.15</v>
      </c>
      <c r="BW274" s="37" t="n">
        <v>2.13</v>
      </c>
      <c r="BX274" s="37" t="n">
        <v>2.02</v>
      </c>
      <c r="BY274" s="37" t="n">
        <v>1.89</v>
      </c>
      <c r="BZ274" s="37" t="n">
        <v>1.89</v>
      </c>
      <c r="CA274" s="37" t="n">
        <v>1.78</v>
      </c>
      <c r="CB274" s="37" t="n">
        <v>1.24</v>
      </c>
      <c r="CC274" s="37" t="n">
        <v>184.15</v>
      </c>
    </row>
    <row r="275" ht="15.75" customHeight="1" s="57">
      <c r="A275" s="7" t="inlineStr">
        <is>
          <t>NTB</t>
        </is>
      </c>
      <c r="B275" s="7" t="inlineStr">
        <is>
          <t>Lâm Đồng</t>
        </is>
      </c>
      <c r="C275" s="7" t="n">
        <v>20849000</v>
      </c>
      <c r="D275" s="7" t="inlineStr">
        <is>
          <t>(LDO) Ninh Gia</t>
        </is>
      </c>
      <c r="E275" s="7" t="inlineStr">
        <is>
          <t>Shopee</t>
        </is>
      </c>
      <c r="F275" s="36" t="n">
        <v>5</v>
      </c>
      <c r="G275" s="36" t="n">
        <v>13</v>
      </c>
      <c r="H275" s="36" t="n">
        <v>3</v>
      </c>
      <c r="I275" s="36" t="n">
        <v>3</v>
      </c>
      <c r="J275" s="36" t="n">
        <v>2</v>
      </c>
      <c r="K275" s="28" t="n">
        <v>8</v>
      </c>
      <c r="L275" s="36" t="n">
        <v>4</v>
      </c>
      <c r="M275" s="36" t="n">
        <v>8</v>
      </c>
      <c r="N275" s="36" t="n">
        <v>8</v>
      </c>
      <c r="O275" s="36" t="n">
        <v>3</v>
      </c>
      <c r="P275" s="36" t="n">
        <v>2</v>
      </c>
      <c r="Q275" s="36" t="n">
        <v>6</v>
      </c>
      <c r="R275" s="28" t="n">
        <v>4</v>
      </c>
      <c r="S275" s="36" t="n">
        <v>11</v>
      </c>
      <c r="T275" s="36" t="n">
        <v>2</v>
      </c>
      <c r="U275" s="36" t="n">
        <v>6.44</v>
      </c>
      <c r="V275" s="36" t="n">
        <v>6.51</v>
      </c>
      <c r="W275" s="36" t="n">
        <v>6.23</v>
      </c>
      <c r="X275" s="36" t="n">
        <v>5.39</v>
      </c>
      <c r="Y275" s="28" t="n">
        <v>8.720000000000001</v>
      </c>
      <c r="Z275" s="36" t="n">
        <v>6.91</v>
      </c>
      <c r="AA275" s="36" t="n">
        <v>8.44</v>
      </c>
      <c r="AB275" s="36" t="n">
        <v>6.61</v>
      </c>
      <c r="AC275" s="36" t="n">
        <v>5.31</v>
      </c>
      <c r="AD275" s="36" t="n">
        <v>14.12</v>
      </c>
      <c r="AE275" s="36" t="n">
        <v>5.78</v>
      </c>
      <c r="AF275" s="28" t="n">
        <v>9.57</v>
      </c>
      <c r="AG275" s="36" t="n">
        <v>7.25</v>
      </c>
      <c r="AH275" s="37" t="n">
        <v>7.65</v>
      </c>
      <c r="AI275" s="37" t="n">
        <v>6.44</v>
      </c>
      <c r="AJ275" s="37" t="n">
        <v>6.51</v>
      </c>
      <c r="AK275" s="37" t="n">
        <v>6.88</v>
      </c>
      <c r="AL275" s="37" t="n">
        <v>9.67</v>
      </c>
      <c r="AM275" s="37" t="n">
        <v>8.720000000000001</v>
      </c>
      <c r="AN275" s="37" t="n">
        <v>6.91</v>
      </c>
      <c r="AO275" s="37" t="n">
        <v>7.65</v>
      </c>
      <c r="AP275" s="37" t="n">
        <v>7.12</v>
      </c>
      <c r="AQ275" s="37" t="n">
        <v>5.2</v>
      </c>
      <c r="AR275" s="37" t="n">
        <v>6.23</v>
      </c>
      <c r="AS275" s="37" t="n">
        <v>5.39</v>
      </c>
      <c r="AT275" s="37" t="n">
        <v>8.720000000000001</v>
      </c>
      <c r="AU275" s="37" t="n">
        <v>7.6</v>
      </c>
      <c r="AV275" s="37" t="n">
        <v>7.84</v>
      </c>
      <c r="AW275" s="37" t="n">
        <v>6.44</v>
      </c>
      <c r="AX275" s="37" t="n">
        <v>6.51</v>
      </c>
      <c r="AY275" s="37" t="n">
        <v>6.23</v>
      </c>
      <c r="AZ275" s="37" t="n">
        <v>5.39</v>
      </c>
      <c r="BA275" s="37" t="n">
        <v>7.5</v>
      </c>
      <c r="BB275" s="37" t="n">
        <v>5.15</v>
      </c>
      <c r="BC275" s="37" t="n">
        <v>2.31</v>
      </c>
      <c r="BD275" s="37" t="n">
        <v>3.86</v>
      </c>
      <c r="BE275" s="37" t="n">
        <v>7.74</v>
      </c>
      <c r="BF275" s="37" t="n">
        <v>7.46</v>
      </c>
      <c r="BG275" s="37" t="n">
        <v>5.26</v>
      </c>
      <c r="BH275" s="37" t="n">
        <v>8.31</v>
      </c>
      <c r="BI275" s="37" t="n">
        <v>5.45</v>
      </c>
      <c r="BJ275" s="37" t="n">
        <v>20.01</v>
      </c>
      <c r="BK275" s="37" t="n">
        <v>6.6</v>
      </c>
      <c r="BL275" s="37" t="n">
        <v>6.51</v>
      </c>
      <c r="BM275" s="37" t="n">
        <v>5.94</v>
      </c>
      <c r="BN275" s="37" t="n">
        <v>5.16</v>
      </c>
      <c r="BO275" s="37" t="n">
        <v>8.31</v>
      </c>
      <c r="BP275" s="37" t="n">
        <v>7.22</v>
      </c>
      <c r="BQ275" s="37" t="n">
        <v>11.15</v>
      </c>
      <c r="BR275" s="37" t="n">
        <v>6.13</v>
      </c>
      <c r="BS275" s="37" t="n">
        <v>6.2</v>
      </c>
      <c r="BT275" s="37" t="n">
        <v>5.94</v>
      </c>
      <c r="BU275" s="37" t="n">
        <v>5.64</v>
      </c>
      <c r="BV275" s="37" t="n">
        <v>6.66</v>
      </c>
      <c r="BW275" s="37" t="n">
        <v>6.58</v>
      </c>
      <c r="BX275" s="37" t="n">
        <v>7.27</v>
      </c>
      <c r="BY275" s="37" t="n">
        <v>6.13</v>
      </c>
      <c r="BZ275" s="37" t="n">
        <v>6.79</v>
      </c>
      <c r="CA275" s="37" t="n">
        <v>6.07</v>
      </c>
      <c r="CB275" s="37" t="n">
        <v>5.16</v>
      </c>
      <c r="CC275" s="37" t="n">
        <v>504.89</v>
      </c>
    </row>
    <row r="276" ht="15.75" customHeight="1" s="57">
      <c r="A276" s="7" t="inlineStr">
        <is>
          <t>NTB</t>
        </is>
      </c>
      <c r="B276" s="7" t="inlineStr">
        <is>
          <t>Lâm Đồng</t>
        </is>
      </c>
      <c r="C276" s="7" t="n">
        <v>20849000</v>
      </c>
      <c r="D276" s="7" t="inlineStr">
        <is>
          <t>(LDO) Ninh Gia</t>
        </is>
      </c>
      <c r="E276" s="7" t="inlineStr">
        <is>
          <t>Shopee-Bulky</t>
        </is>
      </c>
      <c r="F276" s="36" t="n">
        <v>1.31</v>
      </c>
      <c r="G276" s="36" t="n">
        <v>0</v>
      </c>
      <c r="H276" s="36" t="n">
        <v>0</v>
      </c>
      <c r="I276" s="36" t="n">
        <v>0</v>
      </c>
      <c r="J276" s="36" t="n">
        <v>0</v>
      </c>
      <c r="K276" s="28" t="n">
        <v>0</v>
      </c>
      <c r="L276" s="36" t="n">
        <v>0</v>
      </c>
      <c r="M276" s="36" t="n">
        <v>0</v>
      </c>
      <c r="N276" s="36" t="n">
        <v>0</v>
      </c>
      <c r="O276" s="36" t="n">
        <v>0</v>
      </c>
      <c r="P276" s="36" t="n">
        <v>0</v>
      </c>
      <c r="Q276" s="36" t="n">
        <v>0</v>
      </c>
      <c r="R276" s="28" t="n">
        <v>0.65</v>
      </c>
      <c r="S276" s="36" t="n">
        <v>0</v>
      </c>
      <c r="T276" s="36" t="n">
        <v>0</v>
      </c>
      <c r="U276" s="36" t="n">
        <v>0.11</v>
      </c>
      <c r="V276" s="36" t="n">
        <v>0.1</v>
      </c>
      <c r="W276" s="36" t="n">
        <v>0.14</v>
      </c>
      <c r="X276" s="36" t="n">
        <v>0.08</v>
      </c>
      <c r="Y276" s="28" t="n">
        <v>0.17</v>
      </c>
      <c r="Z276" s="36" t="n">
        <v>0.12</v>
      </c>
      <c r="AA276" s="36" t="n">
        <v>0.22</v>
      </c>
      <c r="AB276" s="36" t="n">
        <v>0.12</v>
      </c>
      <c r="AC276" s="36" t="n">
        <v>0.15</v>
      </c>
      <c r="AD276" s="36" t="n">
        <v>0.44</v>
      </c>
      <c r="AE276" s="36" t="n">
        <v>0.38</v>
      </c>
      <c r="AF276" s="28" t="n">
        <v>0.36</v>
      </c>
      <c r="AG276" s="36" t="n">
        <v>0.19</v>
      </c>
      <c r="AH276" s="37" t="n">
        <v>0.12</v>
      </c>
      <c r="AI276" s="37" t="n">
        <v>0.14</v>
      </c>
      <c r="AJ276" s="37" t="n">
        <v>0.11</v>
      </c>
      <c r="AK276" s="37" t="n">
        <v>0.27</v>
      </c>
      <c r="AL276" s="37" t="n">
        <v>0.15</v>
      </c>
      <c r="AM276" s="37" t="n">
        <v>0.22</v>
      </c>
      <c r="AN276" s="37" t="n">
        <v>0.12</v>
      </c>
      <c r="AO276" s="37" t="n">
        <v>0.12</v>
      </c>
      <c r="AP276" s="37" t="n">
        <v>0.24</v>
      </c>
      <c r="AQ276" s="37" t="n">
        <v>0.16</v>
      </c>
      <c r="AR276" s="37" t="n">
        <v>0.12</v>
      </c>
      <c r="AS276" s="37" t="n">
        <v>0.06</v>
      </c>
      <c r="AT276" s="37" t="n">
        <v>0.16</v>
      </c>
      <c r="AU276" s="37" t="n">
        <v>0.29</v>
      </c>
      <c r="AV276" s="37" t="n">
        <v>0.3</v>
      </c>
      <c r="AW276" s="37" t="n">
        <v>0.12</v>
      </c>
      <c r="AX276" s="37" t="n">
        <v>0.11</v>
      </c>
      <c r="AY276" s="37" t="n">
        <v>0.12</v>
      </c>
      <c r="AZ276" s="37" t="n">
        <v>0.06</v>
      </c>
      <c r="BA276" s="37" t="n">
        <v>0.15</v>
      </c>
      <c r="BB276" s="37" t="n">
        <v>0.09</v>
      </c>
      <c r="BC276" s="37" t="n">
        <v>0.02</v>
      </c>
      <c r="BD276" s="37" t="n">
        <v>0.04</v>
      </c>
      <c r="BE276" s="37" t="n">
        <v>0.18</v>
      </c>
      <c r="BF276" s="37" t="n">
        <v>0.15</v>
      </c>
      <c r="BG276" s="37" t="n">
        <v>0.09</v>
      </c>
      <c r="BH276" s="37" t="n">
        <v>0.22</v>
      </c>
      <c r="BI276" s="37" t="n">
        <v>0.16</v>
      </c>
      <c r="BJ276" s="37" t="n">
        <v>0.8</v>
      </c>
      <c r="BK276" s="37" t="n">
        <v>0.36</v>
      </c>
      <c r="BL276" s="37" t="n">
        <v>0.21</v>
      </c>
      <c r="BM276" s="37" t="n">
        <v>0.12</v>
      </c>
      <c r="BN276" s="37" t="n">
        <v>0.09</v>
      </c>
      <c r="BO276" s="37" t="n">
        <v>0.26</v>
      </c>
      <c r="BP276" s="37" t="n">
        <v>0.38</v>
      </c>
      <c r="BQ276" s="37" t="n">
        <v>0.29</v>
      </c>
      <c r="BR276" s="37" t="n">
        <v>0.15</v>
      </c>
      <c r="BS276" s="37" t="n">
        <v>0.15</v>
      </c>
      <c r="BT276" s="37" t="n">
        <v>0.12</v>
      </c>
      <c r="BU276" s="37" t="n">
        <v>0.19</v>
      </c>
      <c r="BV276" s="37" t="n">
        <v>0.23</v>
      </c>
      <c r="BW276" s="37" t="n">
        <v>0.16</v>
      </c>
      <c r="BX276" s="37" t="n">
        <v>0.16</v>
      </c>
      <c r="BY276" s="37" t="n">
        <v>0.15</v>
      </c>
      <c r="BZ276" s="37" t="n">
        <v>0.3</v>
      </c>
      <c r="CA276" s="37" t="n">
        <v>0.15</v>
      </c>
      <c r="CB276" s="37" t="n">
        <v>0.08</v>
      </c>
      <c r="CC276" s="37" t="n">
        <v>12.98</v>
      </c>
    </row>
    <row r="277" ht="15.75" customHeight="1" s="57">
      <c r="A277" s="7" t="inlineStr">
        <is>
          <t>NTB</t>
        </is>
      </c>
      <c r="B277" s="7" t="inlineStr">
        <is>
          <t>Lâm Đồng</t>
        </is>
      </c>
      <c r="C277" s="7" t="n">
        <v>20849000</v>
      </c>
      <c r="D277" s="7" t="inlineStr">
        <is>
          <t>(LDO) Ninh Gia</t>
        </is>
      </c>
      <c r="E277" s="7" t="inlineStr">
        <is>
          <t>Shopee-Bulky (10-15kg)</t>
        </is>
      </c>
      <c r="F277" s="36" t="n">
        <v>0.6899999999999999</v>
      </c>
      <c r="G277" s="36" t="n">
        <v>0</v>
      </c>
      <c r="H277" s="36" t="n">
        <v>0</v>
      </c>
      <c r="I277" s="36" t="n">
        <v>0</v>
      </c>
      <c r="J277" s="36" t="n">
        <v>0</v>
      </c>
      <c r="K277" s="28" t="n">
        <v>0</v>
      </c>
      <c r="L277" s="36" t="n">
        <v>0</v>
      </c>
      <c r="M277" s="36" t="n">
        <v>0</v>
      </c>
      <c r="N277" s="36" t="n">
        <v>0</v>
      </c>
      <c r="O277" s="36" t="n">
        <v>0</v>
      </c>
      <c r="P277" s="36" t="n">
        <v>0</v>
      </c>
      <c r="Q277" s="36" t="n">
        <v>0</v>
      </c>
      <c r="R277" s="28" t="n">
        <v>0.35</v>
      </c>
      <c r="S277" s="36" t="n">
        <v>0</v>
      </c>
      <c r="T277" s="36" t="n">
        <v>0</v>
      </c>
      <c r="U277" s="36" t="n">
        <v>0.06</v>
      </c>
      <c r="V277" s="36" t="n">
        <v>0.05</v>
      </c>
      <c r="W277" s="36" t="n">
        <v>0.07000000000000001</v>
      </c>
      <c r="X277" s="36" t="n">
        <v>0.04</v>
      </c>
      <c r="Y277" s="28" t="n">
        <v>0.1</v>
      </c>
      <c r="Z277" s="36" t="n">
        <v>0.07000000000000001</v>
      </c>
      <c r="AA277" s="36" t="n">
        <v>0.12</v>
      </c>
      <c r="AB277" s="36" t="n">
        <v>0.06</v>
      </c>
      <c r="AC277" s="36" t="n">
        <v>0.07000000000000001</v>
      </c>
      <c r="AD277" s="36" t="n">
        <v>0.32</v>
      </c>
      <c r="AE277" s="36" t="n">
        <v>0.22</v>
      </c>
      <c r="AF277" s="28" t="n">
        <v>0.18</v>
      </c>
      <c r="AG277" s="36" t="n">
        <v>0.14</v>
      </c>
      <c r="AH277" s="37" t="n">
        <v>0.07000000000000001</v>
      </c>
      <c r="AI277" s="37" t="n">
        <v>0.07000000000000001</v>
      </c>
      <c r="AJ277" s="37" t="n">
        <v>0.07000000000000001</v>
      </c>
      <c r="AK277" s="37" t="n">
        <v>0.17</v>
      </c>
      <c r="AL277" s="37" t="n">
        <v>0.07000000000000001</v>
      </c>
      <c r="AM277" s="37" t="n">
        <v>0.14</v>
      </c>
      <c r="AN277" s="37" t="n">
        <v>0.07000000000000001</v>
      </c>
      <c r="AO277" s="37" t="n">
        <v>0.06</v>
      </c>
      <c r="AP277" s="37" t="n">
        <v>0.12</v>
      </c>
      <c r="AQ277" s="37" t="n">
        <v>0.08</v>
      </c>
      <c r="AR277" s="37" t="n">
        <v>0.06</v>
      </c>
      <c r="AS277" s="37" t="n">
        <v>0.03</v>
      </c>
      <c r="AT277" s="37" t="n">
        <v>0.1</v>
      </c>
      <c r="AU277" s="37" t="n">
        <v>0.16</v>
      </c>
      <c r="AV277" s="37" t="n">
        <v>0.17</v>
      </c>
      <c r="AW277" s="37" t="n">
        <v>0.06</v>
      </c>
      <c r="AX277" s="37" t="n">
        <v>0.05</v>
      </c>
      <c r="AY277" s="37" t="n">
        <v>0.06</v>
      </c>
      <c r="AZ277" s="37" t="n">
        <v>0.03</v>
      </c>
      <c r="BA277" s="37" t="n">
        <v>0.07000000000000001</v>
      </c>
      <c r="BB277" s="37" t="n">
        <v>0.05</v>
      </c>
      <c r="BC277" s="37" t="n">
        <v>0.01</v>
      </c>
      <c r="BD277" s="37" t="n">
        <v>0.02</v>
      </c>
      <c r="BE277" s="37" t="n">
        <v>0.09</v>
      </c>
      <c r="BF277" s="37" t="n">
        <v>0.08</v>
      </c>
      <c r="BG277" s="37" t="n">
        <v>0.04</v>
      </c>
      <c r="BH277" s="37" t="n">
        <v>0.13</v>
      </c>
      <c r="BI277" s="37" t="n">
        <v>0.07000000000000001</v>
      </c>
      <c r="BJ277" s="37" t="n">
        <v>0.45</v>
      </c>
      <c r="BK277" s="37" t="n">
        <v>0.16</v>
      </c>
      <c r="BL277" s="37" t="n">
        <v>0.12</v>
      </c>
      <c r="BM277" s="37" t="n">
        <v>0.06</v>
      </c>
      <c r="BN277" s="37" t="n">
        <v>0.04</v>
      </c>
      <c r="BO277" s="37" t="n">
        <v>0.12</v>
      </c>
      <c r="BP277" s="37" t="n">
        <v>0.16</v>
      </c>
      <c r="BQ277" s="37" t="n">
        <v>0.15</v>
      </c>
      <c r="BR277" s="37" t="n">
        <v>0.08</v>
      </c>
      <c r="BS277" s="37" t="n">
        <v>0.07000000000000001</v>
      </c>
      <c r="BT277" s="37" t="n">
        <v>0.06</v>
      </c>
      <c r="BU277" s="37" t="n">
        <v>0.08</v>
      </c>
      <c r="BV277" s="37" t="n">
        <v>0.14</v>
      </c>
      <c r="BW277" s="37" t="n">
        <v>0.07000000000000001</v>
      </c>
      <c r="BX277" s="37" t="n">
        <v>0.08</v>
      </c>
      <c r="BY277" s="37" t="n">
        <v>0.08</v>
      </c>
      <c r="BZ277" s="37" t="n">
        <v>0.14</v>
      </c>
      <c r="CA277" s="37" t="n">
        <v>0.08</v>
      </c>
      <c r="CB277" s="37" t="n">
        <v>0.04</v>
      </c>
      <c r="CC277" s="37" t="n">
        <v>6.92</v>
      </c>
    </row>
    <row r="278" ht="15.75" customHeight="1" s="57">
      <c r="A278" s="7" t="inlineStr">
        <is>
          <t>NTB</t>
        </is>
      </c>
      <c r="B278" s="7" t="inlineStr">
        <is>
          <t>Lâm Đồng</t>
        </is>
      </c>
      <c r="C278" s="7" t="n">
        <v>20849000</v>
      </c>
      <c r="D278" s="7" t="inlineStr">
        <is>
          <t>(LDO) Ninh Gia</t>
        </is>
      </c>
      <c r="E278" s="7" t="inlineStr">
        <is>
          <t>TTS</t>
        </is>
      </c>
      <c r="F278" s="36" t="n">
        <v>9</v>
      </c>
      <c r="G278" s="36" t="n">
        <v>3</v>
      </c>
      <c r="H278" s="36" t="n">
        <v>3</v>
      </c>
      <c r="I278" s="36" t="n">
        <v>2</v>
      </c>
      <c r="J278" s="36" t="n">
        <v>0</v>
      </c>
      <c r="K278" s="28" t="n">
        <v>1</v>
      </c>
      <c r="L278" s="36" t="n">
        <v>3</v>
      </c>
      <c r="M278" s="36" t="n">
        <v>3</v>
      </c>
      <c r="N278" s="36" t="n">
        <v>4</v>
      </c>
      <c r="O278" s="36" t="n">
        <v>2</v>
      </c>
      <c r="P278" s="36" t="n">
        <v>1</v>
      </c>
      <c r="Q278" s="36" t="n">
        <v>2</v>
      </c>
      <c r="R278" s="28" t="n">
        <v>2</v>
      </c>
      <c r="S278" s="36" t="n">
        <v>1</v>
      </c>
      <c r="T278" s="36" t="n">
        <v>3</v>
      </c>
      <c r="U278" s="36" t="n">
        <v>1.19</v>
      </c>
      <c r="V278" s="36" t="n">
        <v>1.18</v>
      </c>
      <c r="W278" s="36" t="n">
        <v>1.15</v>
      </c>
      <c r="X278" s="36" t="n">
        <v>0.93</v>
      </c>
      <c r="Y278" s="28" t="n">
        <v>1.35</v>
      </c>
      <c r="Z278" s="36" t="n">
        <v>1.15</v>
      </c>
      <c r="AA278" s="36" t="n">
        <v>1.28</v>
      </c>
      <c r="AB278" s="36" t="n">
        <v>1.42</v>
      </c>
      <c r="AC278" s="36" t="n">
        <v>1.51</v>
      </c>
      <c r="AD278" s="36" t="n">
        <v>2.09</v>
      </c>
      <c r="AE278" s="36" t="n">
        <v>1.08</v>
      </c>
      <c r="AF278" s="28" t="n">
        <v>1.39</v>
      </c>
      <c r="AG278" s="36" t="n">
        <v>1.18</v>
      </c>
      <c r="AH278" s="37" t="n">
        <v>1.16</v>
      </c>
      <c r="AI278" s="37" t="n">
        <v>1.34</v>
      </c>
      <c r="AJ278" s="37" t="n">
        <v>1.43</v>
      </c>
      <c r="AK278" s="37" t="n">
        <v>1.41</v>
      </c>
      <c r="AL278" s="37" t="n">
        <v>1.01</v>
      </c>
      <c r="AM278" s="37" t="n">
        <v>1.37</v>
      </c>
      <c r="AN278" s="37" t="n">
        <v>1.18</v>
      </c>
      <c r="AO278" s="37" t="n">
        <v>1.18</v>
      </c>
      <c r="AP278" s="37" t="n">
        <v>1.15</v>
      </c>
      <c r="AQ278" s="37" t="n">
        <v>1.16</v>
      </c>
      <c r="AR278" s="37" t="n">
        <v>1.13</v>
      </c>
      <c r="AS278" s="37" t="n">
        <v>0.93</v>
      </c>
      <c r="AT278" s="37" t="n">
        <v>1.48</v>
      </c>
      <c r="AU278" s="37" t="n">
        <v>1.34</v>
      </c>
      <c r="AV278" s="37" t="n">
        <v>1.19</v>
      </c>
      <c r="AW278" s="37" t="n">
        <v>1.13</v>
      </c>
      <c r="AX278" s="37" t="n">
        <v>1.13</v>
      </c>
      <c r="AY278" s="37" t="n">
        <v>1.12</v>
      </c>
      <c r="AZ278" s="37" t="n">
        <v>0.93</v>
      </c>
      <c r="BA278" s="37" t="n">
        <v>1.33</v>
      </c>
      <c r="BB278" s="37" t="n">
        <v>1.26</v>
      </c>
      <c r="BC278" s="37" t="n">
        <v>0.63</v>
      </c>
      <c r="BD278" s="37" t="n">
        <v>0.9</v>
      </c>
      <c r="BE278" s="37" t="n">
        <v>2.1</v>
      </c>
      <c r="BF278" s="37" t="n">
        <v>2.03</v>
      </c>
      <c r="BG278" s="37" t="n">
        <v>1.01</v>
      </c>
      <c r="BH278" s="37" t="n">
        <v>1.48</v>
      </c>
      <c r="BI278" s="37" t="n">
        <v>1.26</v>
      </c>
      <c r="BJ278" s="37" t="n">
        <v>1.58</v>
      </c>
      <c r="BK278" s="37" t="n">
        <v>1.27</v>
      </c>
      <c r="BL278" s="37" t="n">
        <v>1.28</v>
      </c>
      <c r="BM278" s="37" t="n">
        <v>1.24</v>
      </c>
      <c r="BN278" s="37" t="n">
        <v>1.01</v>
      </c>
      <c r="BO278" s="37" t="n">
        <v>1.48</v>
      </c>
      <c r="BP278" s="37" t="n">
        <v>1.26</v>
      </c>
      <c r="BQ278" s="37" t="n">
        <v>1.24</v>
      </c>
      <c r="BR278" s="37" t="n">
        <v>1.27</v>
      </c>
      <c r="BS278" s="37" t="n">
        <v>1.28</v>
      </c>
      <c r="BT278" s="37" t="n">
        <v>1.24</v>
      </c>
      <c r="BU278" s="37" t="n">
        <v>1.01</v>
      </c>
      <c r="BV278" s="37" t="n">
        <v>1.48</v>
      </c>
      <c r="BW278" s="37" t="n">
        <v>1.26</v>
      </c>
      <c r="BX278" s="37" t="n">
        <v>1.24</v>
      </c>
      <c r="BY278" s="37" t="n">
        <v>1.27</v>
      </c>
      <c r="BZ278" s="37" t="n">
        <v>1.28</v>
      </c>
      <c r="CA278" s="37" t="n">
        <v>1.24</v>
      </c>
      <c r="CB278" s="37" t="n">
        <v>1.01</v>
      </c>
      <c r="CC278" s="37" t="n">
        <v>114.61</v>
      </c>
    </row>
    <row r="279" ht="15.75" customHeight="1" s="57">
      <c r="A279" s="7" t="inlineStr">
        <is>
          <t>NTB</t>
        </is>
      </c>
      <c r="B279" s="7" t="inlineStr">
        <is>
          <t>Lâm Đồng</t>
        </is>
      </c>
      <c r="C279" s="7" t="n">
        <v>20849000</v>
      </c>
      <c r="D279" s="7" t="inlineStr">
        <is>
          <t>(LDO) Ninh Gia</t>
        </is>
      </c>
      <c r="E279" s="7" t="inlineStr">
        <is>
          <t>TTS-Bulky</t>
        </is>
      </c>
      <c r="F279" s="36" t="n">
        <v>0</v>
      </c>
      <c r="G279" s="36" t="n">
        <v>0</v>
      </c>
      <c r="H279" s="36" t="n">
        <v>0</v>
      </c>
      <c r="I279" s="36" t="n">
        <v>0</v>
      </c>
      <c r="J279" s="36" t="n">
        <v>0</v>
      </c>
      <c r="K279" s="28" t="n">
        <v>0</v>
      </c>
      <c r="L279" s="36" t="n">
        <v>0</v>
      </c>
      <c r="M279" s="36" t="n">
        <v>0</v>
      </c>
      <c r="N279" s="36" t="n">
        <v>1</v>
      </c>
      <c r="O279" s="36" t="n">
        <v>0</v>
      </c>
      <c r="P279" s="36" t="n">
        <v>0</v>
      </c>
      <c r="Q279" s="36" t="n">
        <v>0</v>
      </c>
      <c r="R279" s="28" t="n">
        <v>0</v>
      </c>
      <c r="S279" s="36" t="n">
        <v>0</v>
      </c>
      <c r="T279" s="36" t="n">
        <v>0</v>
      </c>
      <c r="U279" s="36" t="n">
        <v>0.3</v>
      </c>
      <c r="V279" s="36" t="n">
        <v>0.29</v>
      </c>
      <c r="W279" s="36" t="n">
        <v>0.15</v>
      </c>
      <c r="X279" s="36" t="n">
        <v>0.11</v>
      </c>
      <c r="Y279" s="28" t="n">
        <v>0.15</v>
      </c>
      <c r="Z279" s="36" t="n">
        <v>0.14</v>
      </c>
      <c r="AA279" s="36" t="n">
        <v>0.17</v>
      </c>
      <c r="AB279" s="36" t="n">
        <v>0.17</v>
      </c>
      <c r="AC279" s="36" t="n">
        <v>0.19</v>
      </c>
      <c r="AD279" s="36" t="n">
        <v>0.18</v>
      </c>
      <c r="AE279" s="36" t="n">
        <v>0.11</v>
      </c>
      <c r="AF279" s="28" t="n">
        <v>0.19</v>
      </c>
      <c r="AG279" s="36" t="n">
        <v>0.14</v>
      </c>
      <c r="AH279" s="37" t="n">
        <v>0.14</v>
      </c>
      <c r="AI279" s="37" t="n">
        <v>0.15</v>
      </c>
      <c r="AJ279" s="37" t="n">
        <v>0.18</v>
      </c>
      <c r="AK279" s="37" t="n">
        <v>0.15</v>
      </c>
      <c r="AL279" s="37" t="n">
        <v>0.11</v>
      </c>
      <c r="AM279" s="37" t="n">
        <v>0.19</v>
      </c>
      <c r="AN279" s="37" t="n">
        <v>0.14</v>
      </c>
      <c r="AO279" s="37" t="n">
        <v>0.14</v>
      </c>
      <c r="AP279" s="37" t="n">
        <v>0.13</v>
      </c>
      <c r="AQ279" s="37" t="n">
        <v>0.16</v>
      </c>
      <c r="AR279" s="37" t="n">
        <v>0.15</v>
      </c>
      <c r="AS279" s="37" t="n">
        <v>0.11</v>
      </c>
      <c r="AT279" s="37" t="n">
        <v>0.19</v>
      </c>
      <c r="AU279" s="37" t="n">
        <v>0.18</v>
      </c>
      <c r="AV279" s="37" t="n">
        <v>0.14</v>
      </c>
      <c r="AW279" s="37" t="n">
        <v>0.13</v>
      </c>
      <c r="AX279" s="37" t="n">
        <v>0.16</v>
      </c>
      <c r="AY279" s="37" t="n">
        <v>0.15</v>
      </c>
      <c r="AZ279" s="37" t="n">
        <v>0.11</v>
      </c>
      <c r="BA279" s="37" t="n">
        <v>0.16</v>
      </c>
      <c r="BB279" s="37" t="n">
        <v>0.04</v>
      </c>
      <c r="BC279" s="37" t="n">
        <v>0.02</v>
      </c>
      <c r="BD279" s="37" t="n">
        <v>0.03</v>
      </c>
      <c r="BE279" s="37" t="n">
        <v>0.04</v>
      </c>
      <c r="BF279" s="37" t="n">
        <v>0.04</v>
      </c>
      <c r="BG279" s="37" t="n">
        <v>0.03</v>
      </c>
      <c r="BH279" s="37" t="n">
        <v>0.05</v>
      </c>
      <c r="BI279" s="37" t="n">
        <v>0.04</v>
      </c>
      <c r="BJ279" s="37" t="n">
        <v>0.04</v>
      </c>
      <c r="BK279" s="37" t="n">
        <v>0.04</v>
      </c>
      <c r="BL279" s="37" t="n">
        <v>0.04</v>
      </c>
      <c r="BM279" s="37" t="n">
        <v>0.04</v>
      </c>
      <c r="BN279" s="37" t="n">
        <v>0.03</v>
      </c>
      <c r="BO279" s="37" t="n">
        <v>0.05</v>
      </c>
      <c r="BP279" s="37" t="n">
        <v>0.05</v>
      </c>
      <c r="BQ279" s="37" t="n">
        <v>0.04</v>
      </c>
      <c r="BR279" s="37" t="n">
        <v>0.04</v>
      </c>
      <c r="BS279" s="37" t="n">
        <v>0.04</v>
      </c>
      <c r="BT279" s="37" t="n">
        <v>0.04</v>
      </c>
      <c r="BU279" s="37" t="n">
        <v>0.03</v>
      </c>
      <c r="BV279" s="37" t="n">
        <v>0.05</v>
      </c>
      <c r="BW279" s="37" t="n">
        <v>0.04</v>
      </c>
      <c r="BX279" s="37" t="n">
        <v>0.04</v>
      </c>
      <c r="BY279" s="37" t="n">
        <v>0.04</v>
      </c>
      <c r="BZ279" s="37" t="n">
        <v>0.04</v>
      </c>
      <c r="CA279" s="37" t="n">
        <v>0.04</v>
      </c>
      <c r="CB279" s="37" t="n">
        <v>0.03</v>
      </c>
      <c r="CC279" s="37" t="n">
        <v>7.310000000000002</v>
      </c>
    </row>
    <row r="280" ht="15.75" customHeight="1" s="57">
      <c r="A280" s="7" t="inlineStr">
        <is>
          <t>NTB</t>
        </is>
      </c>
      <c r="B280" s="7" t="inlineStr">
        <is>
          <t>Lâm Đồng</t>
        </is>
      </c>
      <c r="C280" s="7" t="n">
        <v>20942000</v>
      </c>
      <c r="D280" s="7" t="inlineStr">
        <is>
          <t>(LDO) Di Linh</t>
        </is>
      </c>
      <c r="E280" s="7" t="inlineStr">
        <is>
          <t>SME</t>
        </is>
      </c>
      <c r="F280" s="36" t="n">
        <v>61</v>
      </c>
      <c r="G280" s="36" t="n">
        <v>31</v>
      </c>
      <c r="H280" s="36" t="n">
        <v>24</v>
      </c>
      <c r="I280" s="36" t="n">
        <v>34</v>
      </c>
      <c r="J280" s="36" t="n">
        <v>42</v>
      </c>
      <c r="K280" s="28" t="n">
        <v>24</v>
      </c>
      <c r="L280" s="36" t="n">
        <v>28</v>
      </c>
      <c r="M280" s="36" t="n">
        <v>29</v>
      </c>
      <c r="N280" s="36" t="n">
        <v>29</v>
      </c>
      <c r="O280" s="36" t="n">
        <v>49</v>
      </c>
      <c r="P280" s="36" t="n">
        <v>34</v>
      </c>
      <c r="Q280" s="36" t="n">
        <v>39</v>
      </c>
      <c r="R280" s="28" t="n">
        <v>25</v>
      </c>
      <c r="S280" s="36" t="n">
        <v>30</v>
      </c>
      <c r="T280" s="36" t="n">
        <v>22</v>
      </c>
      <c r="U280" s="36" t="n">
        <v>43.98</v>
      </c>
      <c r="V280" s="36" t="n">
        <v>45.43</v>
      </c>
      <c r="W280" s="36" t="n">
        <v>44.22</v>
      </c>
      <c r="X280" s="36" t="n">
        <v>36.19</v>
      </c>
      <c r="Y280" s="28" t="n">
        <v>48.98999999999999</v>
      </c>
      <c r="Z280" s="36" t="n">
        <v>45.1</v>
      </c>
      <c r="AA280" s="36" t="n">
        <v>44</v>
      </c>
      <c r="AB280" s="36" t="n">
        <v>43.98</v>
      </c>
      <c r="AC280" s="36" t="n">
        <v>45.43</v>
      </c>
      <c r="AD280" s="36" t="n">
        <v>47.87</v>
      </c>
      <c r="AE280" s="36" t="n">
        <v>36.19</v>
      </c>
      <c r="AF280" s="28" t="n">
        <v>48.98999999999999</v>
      </c>
      <c r="AG280" s="36" t="n">
        <v>45.1</v>
      </c>
      <c r="AH280" s="37" t="n">
        <v>44</v>
      </c>
      <c r="AI280" s="37" t="n">
        <v>43.98</v>
      </c>
      <c r="AJ280" s="37" t="n">
        <v>45.43</v>
      </c>
      <c r="AK280" s="37" t="n">
        <v>44.22</v>
      </c>
      <c r="AL280" s="37" t="n">
        <v>36.19</v>
      </c>
      <c r="AM280" s="37" t="n">
        <v>48.98999999999999</v>
      </c>
      <c r="AN280" s="37" t="n">
        <v>45.1</v>
      </c>
      <c r="AO280" s="37" t="n">
        <v>44</v>
      </c>
      <c r="AP280" s="37" t="n">
        <v>43.98</v>
      </c>
      <c r="AQ280" s="37" t="n">
        <v>45.43</v>
      </c>
      <c r="AR280" s="37" t="n">
        <v>44.22</v>
      </c>
      <c r="AS280" s="37" t="n">
        <v>36.19</v>
      </c>
      <c r="AT280" s="37" t="n">
        <v>48.98999999999999</v>
      </c>
      <c r="AU280" s="37" t="n">
        <v>45.1</v>
      </c>
      <c r="AV280" s="37" t="n">
        <v>44</v>
      </c>
      <c r="AW280" s="37" t="n">
        <v>43.98</v>
      </c>
      <c r="AX280" s="37" t="n">
        <v>45.43</v>
      </c>
      <c r="AY280" s="37" t="n">
        <v>44.22</v>
      </c>
      <c r="AZ280" s="37" t="n">
        <v>36.19</v>
      </c>
      <c r="BA280" s="37" t="n">
        <v>46.58</v>
      </c>
      <c r="BB280" s="37" t="n">
        <v>41.42</v>
      </c>
      <c r="BC280" s="37" t="n">
        <v>25.44</v>
      </c>
      <c r="BD280" s="37" t="n">
        <v>19.88</v>
      </c>
      <c r="BE280" s="37" t="n">
        <v>42.59</v>
      </c>
      <c r="BF280" s="37" t="n">
        <v>41.51000000000001</v>
      </c>
      <c r="BG280" s="37" t="n">
        <v>37.32</v>
      </c>
      <c r="BH280" s="37" t="n">
        <v>50.57</v>
      </c>
      <c r="BI280" s="37" t="n">
        <v>46.48999999999999</v>
      </c>
      <c r="BJ280" s="37" t="n">
        <v>49.3</v>
      </c>
      <c r="BK280" s="37" t="n">
        <v>45.27</v>
      </c>
      <c r="BL280" s="37" t="n">
        <v>46.84</v>
      </c>
      <c r="BM280" s="37" t="n">
        <v>45.56</v>
      </c>
      <c r="BN280" s="37" t="n">
        <v>37.32</v>
      </c>
      <c r="BO280" s="37" t="n">
        <v>50.57</v>
      </c>
      <c r="BP280" s="37" t="n">
        <v>46.48999999999999</v>
      </c>
      <c r="BQ280" s="37" t="n">
        <v>45.32</v>
      </c>
      <c r="BR280" s="37" t="n">
        <v>45.27</v>
      </c>
      <c r="BS280" s="37" t="n">
        <v>46.84</v>
      </c>
      <c r="BT280" s="37" t="n">
        <v>45.56</v>
      </c>
      <c r="BU280" s="37" t="n">
        <v>37.32</v>
      </c>
      <c r="BV280" s="37" t="n">
        <v>50.57</v>
      </c>
      <c r="BW280" s="37" t="n">
        <v>46.48999999999999</v>
      </c>
      <c r="BX280" s="37" t="n">
        <v>45.32</v>
      </c>
      <c r="BY280" s="37" t="n">
        <v>45.27</v>
      </c>
      <c r="BZ280" s="37" t="n">
        <v>46.84</v>
      </c>
      <c r="CA280" s="37" t="n">
        <v>45.56</v>
      </c>
      <c r="CB280" s="37" t="n">
        <v>37.32</v>
      </c>
      <c r="CC280" s="37" t="n">
        <v>3116.940000000002</v>
      </c>
    </row>
    <row r="281" ht="15.75" customHeight="1" s="57">
      <c r="A281" s="7" t="inlineStr">
        <is>
          <t>NTB</t>
        </is>
      </c>
      <c r="B281" s="7" t="inlineStr">
        <is>
          <t>Lâm Đồng</t>
        </is>
      </c>
      <c r="C281" s="7" t="n">
        <v>20942000</v>
      </c>
      <c r="D281" s="7" t="inlineStr">
        <is>
          <t>(LDO) Di Linh</t>
        </is>
      </c>
      <c r="E281" s="7" t="inlineStr">
        <is>
          <t>SME-Bulky</t>
        </is>
      </c>
      <c r="F281" s="36" t="n">
        <v>4</v>
      </c>
      <c r="G281" s="36" t="n">
        <v>1</v>
      </c>
      <c r="H281" s="36" t="n">
        <v>2</v>
      </c>
      <c r="I281" s="36" t="n">
        <v>1</v>
      </c>
      <c r="J281" s="36" t="n">
        <v>1</v>
      </c>
      <c r="K281" s="28" t="n">
        <v>2</v>
      </c>
      <c r="L281" s="36" t="n">
        <v>2</v>
      </c>
      <c r="M281" s="36" t="n">
        <v>1</v>
      </c>
      <c r="N281" s="36" t="n">
        <v>5</v>
      </c>
      <c r="O281" s="36" t="n">
        <v>0</v>
      </c>
      <c r="P281" s="36" t="n">
        <v>6</v>
      </c>
      <c r="Q281" s="36" t="n">
        <v>4</v>
      </c>
      <c r="R281" s="28" t="n">
        <v>2</v>
      </c>
      <c r="S281" s="36" t="n">
        <v>1</v>
      </c>
      <c r="T281" s="36" t="n">
        <v>4</v>
      </c>
      <c r="U281" s="36" t="n">
        <v>2.32</v>
      </c>
      <c r="V281" s="36" t="n">
        <v>2.29</v>
      </c>
      <c r="W281" s="36" t="n">
        <v>2.23</v>
      </c>
      <c r="X281" s="36" t="n">
        <v>1.6</v>
      </c>
      <c r="Y281" s="28" t="n">
        <v>2.62</v>
      </c>
      <c r="Z281" s="36" t="n">
        <v>2.54</v>
      </c>
      <c r="AA281" s="36" t="n">
        <v>2.51</v>
      </c>
      <c r="AB281" s="36" t="n">
        <v>2.32</v>
      </c>
      <c r="AC281" s="36" t="n">
        <v>2.29</v>
      </c>
      <c r="AD281" s="36" t="n">
        <v>1.75</v>
      </c>
      <c r="AE281" s="36" t="n">
        <v>1.6</v>
      </c>
      <c r="AF281" s="28" t="n">
        <v>2.62</v>
      </c>
      <c r="AG281" s="36" t="n">
        <v>2.54</v>
      </c>
      <c r="AH281" s="37" t="n">
        <v>2.51</v>
      </c>
      <c r="AI281" s="37" t="n">
        <v>2.32</v>
      </c>
      <c r="AJ281" s="37" t="n">
        <v>2.29</v>
      </c>
      <c r="AK281" s="37" t="n">
        <v>2.23</v>
      </c>
      <c r="AL281" s="37" t="n">
        <v>1.6</v>
      </c>
      <c r="AM281" s="37" t="n">
        <v>2.62</v>
      </c>
      <c r="AN281" s="37" t="n">
        <v>2.54</v>
      </c>
      <c r="AO281" s="37" t="n">
        <v>2.51</v>
      </c>
      <c r="AP281" s="37" t="n">
        <v>2.32</v>
      </c>
      <c r="AQ281" s="37" t="n">
        <v>2.29</v>
      </c>
      <c r="AR281" s="37" t="n">
        <v>2.23</v>
      </c>
      <c r="AS281" s="37" t="n">
        <v>1.6</v>
      </c>
      <c r="AT281" s="37" t="n">
        <v>2.62</v>
      </c>
      <c r="AU281" s="37" t="n">
        <v>2.54</v>
      </c>
      <c r="AV281" s="37" t="n">
        <v>2.51</v>
      </c>
      <c r="AW281" s="37" t="n">
        <v>2.32</v>
      </c>
      <c r="AX281" s="37" t="n">
        <v>2.29</v>
      </c>
      <c r="AY281" s="37" t="n">
        <v>2.23</v>
      </c>
      <c r="AZ281" s="37" t="n">
        <v>1.6</v>
      </c>
      <c r="BA281" s="37" t="n">
        <v>2.86</v>
      </c>
      <c r="BB281" s="37" t="n">
        <v>1.51</v>
      </c>
      <c r="BC281" s="37" t="n">
        <v>0.77</v>
      </c>
      <c r="BD281" s="37" t="n">
        <v>0.58</v>
      </c>
      <c r="BE281" s="37" t="n">
        <v>1.35</v>
      </c>
      <c r="BF281" s="37" t="n">
        <v>1.26</v>
      </c>
      <c r="BG281" s="37" t="n">
        <v>0.88</v>
      </c>
      <c r="BH281" s="37" t="n">
        <v>1.52</v>
      </c>
      <c r="BI281" s="37" t="n">
        <v>1.51</v>
      </c>
      <c r="BJ281" s="37" t="n">
        <v>1.15</v>
      </c>
      <c r="BK281" s="37" t="n">
        <v>1.34</v>
      </c>
      <c r="BL281" s="37" t="n">
        <v>1.34</v>
      </c>
      <c r="BM281" s="37" t="n">
        <v>1.26</v>
      </c>
      <c r="BN281" s="37" t="n">
        <v>0.88</v>
      </c>
      <c r="BO281" s="37" t="n">
        <v>1.52</v>
      </c>
      <c r="BP281" s="37" t="n">
        <v>1.51</v>
      </c>
      <c r="BQ281" s="37" t="n">
        <v>1.43</v>
      </c>
      <c r="BR281" s="37" t="n">
        <v>1.34</v>
      </c>
      <c r="BS281" s="37" t="n">
        <v>1.34</v>
      </c>
      <c r="BT281" s="37" t="n">
        <v>1.26</v>
      </c>
      <c r="BU281" s="37" t="n">
        <v>0.88</v>
      </c>
      <c r="BV281" s="37" t="n">
        <v>1.52</v>
      </c>
      <c r="BW281" s="37" t="n">
        <v>1.51</v>
      </c>
      <c r="BX281" s="37" t="n">
        <v>1.43</v>
      </c>
      <c r="BY281" s="37" t="n">
        <v>1.34</v>
      </c>
      <c r="BZ281" s="37" t="n">
        <v>1.34</v>
      </c>
      <c r="CA281" s="37" t="n">
        <v>1.26</v>
      </c>
      <c r="CB281" s="37" t="n">
        <v>0.88</v>
      </c>
      <c r="CC281" s="37" t="n">
        <v>145.17</v>
      </c>
    </row>
    <row r="282" ht="15.75" customHeight="1" s="57">
      <c r="A282" s="7" t="inlineStr">
        <is>
          <t>NTB</t>
        </is>
      </c>
      <c r="B282" s="7" t="inlineStr">
        <is>
          <t>Lâm Đồng</t>
        </is>
      </c>
      <c r="C282" s="7" t="n">
        <v>20942000</v>
      </c>
      <c r="D282" s="7" t="inlineStr">
        <is>
          <t>(LDO) Di Linh</t>
        </is>
      </c>
      <c r="E282" s="7" t="inlineStr">
        <is>
          <t>Shopee</t>
        </is>
      </c>
      <c r="F282" s="36" t="n">
        <v>10</v>
      </c>
      <c r="G282" s="36" t="n">
        <v>12</v>
      </c>
      <c r="H282" s="36" t="n">
        <v>9</v>
      </c>
      <c r="I282" s="36" t="n">
        <v>7</v>
      </c>
      <c r="J282" s="36" t="n">
        <v>11</v>
      </c>
      <c r="K282" s="28" t="n">
        <v>10</v>
      </c>
      <c r="L282" s="36" t="n">
        <v>13</v>
      </c>
      <c r="M282" s="36" t="n">
        <v>9</v>
      </c>
      <c r="N282" s="36" t="n">
        <v>17</v>
      </c>
      <c r="O282" s="36" t="n">
        <v>10</v>
      </c>
      <c r="P282" s="36" t="n">
        <v>6</v>
      </c>
      <c r="Q282" s="36" t="n">
        <v>7</v>
      </c>
      <c r="R282" s="28" t="n">
        <v>9</v>
      </c>
      <c r="S282" s="36" t="n">
        <v>11</v>
      </c>
      <c r="T282" s="36" t="n">
        <v>16</v>
      </c>
      <c r="U282" s="36" t="n">
        <v>11.56</v>
      </c>
      <c r="V282" s="36" t="n">
        <v>11.68</v>
      </c>
      <c r="W282" s="36" t="n">
        <v>11.19</v>
      </c>
      <c r="X282" s="36" t="n">
        <v>9.67</v>
      </c>
      <c r="Y282" s="28" t="n">
        <v>15.65</v>
      </c>
      <c r="Z282" s="36" t="n">
        <v>12.41</v>
      </c>
      <c r="AA282" s="36" t="n">
        <v>15.16</v>
      </c>
      <c r="AB282" s="36" t="n">
        <v>11.87</v>
      </c>
      <c r="AC282" s="36" t="n">
        <v>9.529999999999999</v>
      </c>
      <c r="AD282" s="36" t="n">
        <v>25.35</v>
      </c>
      <c r="AE282" s="36" t="n">
        <v>10.37</v>
      </c>
      <c r="AF282" s="28" t="n">
        <v>17.18</v>
      </c>
      <c r="AG282" s="36" t="n">
        <v>13.02</v>
      </c>
      <c r="AH282" s="37" t="n">
        <v>13.73</v>
      </c>
      <c r="AI282" s="37" t="n">
        <v>11.56</v>
      </c>
      <c r="AJ282" s="37" t="n">
        <v>11.68</v>
      </c>
      <c r="AK282" s="37" t="n">
        <v>12.35</v>
      </c>
      <c r="AL282" s="37" t="n">
        <v>17.36</v>
      </c>
      <c r="AM282" s="37" t="n">
        <v>15.65</v>
      </c>
      <c r="AN282" s="37" t="n">
        <v>12.41</v>
      </c>
      <c r="AO282" s="37" t="n">
        <v>13.73</v>
      </c>
      <c r="AP282" s="37" t="n">
        <v>12.78</v>
      </c>
      <c r="AQ282" s="37" t="n">
        <v>9.33</v>
      </c>
      <c r="AR282" s="37" t="n">
        <v>11.19</v>
      </c>
      <c r="AS282" s="37" t="n">
        <v>9.67</v>
      </c>
      <c r="AT282" s="37" t="n">
        <v>15.65</v>
      </c>
      <c r="AU282" s="37" t="n">
        <v>13.64</v>
      </c>
      <c r="AV282" s="37" t="n">
        <v>14.07</v>
      </c>
      <c r="AW282" s="37" t="n">
        <v>11.56</v>
      </c>
      <c r="AX282" s="37" t="n">
        <v>11.68</v>
      </c>
      <c r="AY282" s="37" t="n">
        <v>11.19</v>
      </c>
      <c r="AZ282" s="37" t="n">
        <v>9.67</v>
      </c>
      <c r="BA282" s="37" t="n">
        <v>13.46</v>
      </c>
      <c r="BB282" s="37" t="n">
        <v>9.25</v>
      </c>
      <c r="BC282" s="37" t="n">
        <v>4.15</v>
      </c>
      <c r="BD282" s="37" t="n">
        <v>6.93</v>
      </c>
      <c r="BE282" s="37" t="n">
        <v>13.89</v>
      </c>
      <c r="BF282" s="37" t="n">
        <v>13.39</v>
      </c>
      <c r="BG282" s="37" t="n">
        <v>9.449999999999999</v>
      </c>
      <c r="BH282" s="37" t="n">
        <v>14.92</v>
      </c>
      <c r="BI282" s="37" t="n">
        <v>9.789999999999999</v>
      </c>
      <c r="BJ282" s="37" t="n">
        <v>35.91</v>
      </c>
      <c r="BK282" s="37" t="n">
        <v>11.84</v>
      </c>
      <c r="BL282" s="37" t="n">
        <v>11.68</v>
      </c>
      <c r="BM282" s="37" t="n">
        <v>10.67</v>
      </c>
      <c r="BN282" s="37" t="n">
        <v>9.27</v>
      </c>
      <c r="BO282" s="37" t="n">
        <v>14.92</v>
      </c>
      <c r="BP282" s="37" t="n">
        <v>12.96</v>
      </c>
      <c r="BQ282" s="37" t="n">
        <v>20.02</v>
      </c>
      <c r="BR282" s="37" t="n">
        <v>11.01</v>
      </c>
      <c r="BS282" s="37" t="n">
        <v>11.13</v>
      </c>
      <c r="BT282" s="37" t="n">
        <v>10.67</v>
      </c>
      <c r="BU282" s="37" t="n">
        <v>10.13</v>
      </c>
      <c r="BV282" s="37" t="n">
        <v>11.96</v>
      </c>
      <c r="BW282" s="37" t="n">
        <v>11.81</v>
      </c>
      <c r="BX282" s="37" t="n">
        <v>13.05</v>
      </c>
      <c r="BY282" s="37" t="n">
        <v>11.01</v>
      </c>
      <c r="BZ282" s="37" t="n">
        <v>12.18</v>
      </c>
      <c r="CA282" s="37" t="n">
        <v>10.9</v>
      </c>
      <c r="CB282" s="37" t="n">
        <v>9.27</v>
      </c>
      <c r="CC282" s="37" t="n">
        <v>916.1599999999995</v>
      </c>
    </row>
    <row r="283" ht="15.75" customHeight="1" s="57">
      <c r="A283" s="7" t="inlineStr">
        <is>
          <t>NTB</t>
        </is>
      </c>
      <c r="B283" s="7" t="inlineStr">
        <is>
          <t>Lâm Đồng</t>
        </is>
      </c>
      <c r="C283" s="7" t="n">
        <v>20942000</v>
      </c>
      <c r="D283" s="7" t="inlineStr">
        <is>
          <t>(LDO) Di Linh</t>
        </is>
      </c>
      <c r="E283" s="7" t="inlineStr">
        <is>
          <t>Shopee-Bulky</t>
        </is>
      </c>
      <c r="F283" s="36" t="n">
        <v>1.31</v>
      </c>
      <c r="G283" s="36" t="n">
        <v>0</v>
      </c>
      <c r="H283" s="36" t="n">
        <v>0</v>
      </c>
      <c r="I283" s="36" t="n">
        <v>0.65</v>
      </c>
      <c r="J283" s="36" t="n">
        <v>0.65</v>
      </c>
      <c r="K283" s="28" t="n">
        <v>0.65</v>
      </c>
      <c r="L283" s="36" t="n">
        <v>0</v>
      </c>
      <c r="M283" s="36" t="n">
        <v>0.65</v>
      </c>
      <c r="N283" s="36" t="n">
        <v>1.31</v>
      </c>
      <c r="O283" s="36" t="n">
        <v>0.65</v>
      </c>
      <c r="P283" s="36" t="n">
        <v>2.61</v>
      </c>
      <c r="Q283" s="36" t="n">
        <v>0</v>
      </c>
      <c r="R283" s="28" t="n">
        <v>0</v>
      </c>
      <c r="S283" s="36" t="n">
        <v>0</v>
      </c>
      <c r="T283" s="36" t="n">
        <v>1.31</v>
      </c>
      <c r="U283" s="36" t="n">
        <v>0.65</v>
      </c>
      <c r="V283" s="36" t="n">
        <v>0.63</v>
      </c>
      <c r="W283" s="36" t="n">
        <v>0.83</v>
      </c>
      <c r="X283" s="36" t="n">
        <v>0.49</v>
      </c>
      <c r="Y283" s="28" t="n">
        <v>1.02</v>
      </c>
      <c r="Z283" s="36" t="n">
        <v>0.74</v>
      </c>
      <c r="AA283" s="36" t="n">
        <v>1.31</v>
      </c>
      <c r="AB283" s="36" t="n">
        <v>0.74</v>
      </c>
      <c r="AC283" s="36" t="n">
        <v>0.87</v>
      </c>
      <c r="AD283" s="36" t="n">
        <v>2.65</v>
      </c>
      <c r="AE283" s="36" t="n">
        <v>2.29</v>
      </c>
      <c r="AF283" s="28" t="n">
        <v>2.19</v>
      </c>
      <c r="AG283" s="36" t="n">
        <v>1.15</v>
      </c>
      <c r="AH283" s="37" t="n">
        <v>0.71</v>
      </c>
      <c r="AI283" s="37" t="n">
        <v>0.83</v>
      </c>
      <c r="AJ283" s="37" t="n">
        <v>0.6899999999999999</v>
      </c>
      <c r="AK283" s="37" t="n">
        <v>1.64</v>
      </c>
      <c r="AL283" s="37" t="n">
        <v>0.9</v>
      </c>
      <c r="AM283" s="37" t="n">
        <v>1.35</v>
      </c>
      <c r="AN283" s="37" t="n">
        <v>0.74</v>
      </c>
      <c r="AO283" s="37" t="n">
        <v>0.72</v>
      </c>
      <c r="AP283" s="37" t="n">
        <v>1.47</v>
      </c>
      <c r="AQ283" s="37" t="n">
        <v>0.98</v>
      </c>
      <c r="AR283" s="37" t="n">
        <v>0.73</v>
      </c>
      <c r="AS283" s="37" t="n">
        <v>0.37</v>
      </c>
      <c r="AT283" s="37" t="n">
        <v>0.99</v>
      </c>
      <c r="AU283" s="37" t="n">
        <v>1.77</v>
      </c>
      <c r="AV283" s="37" t="n">
        <v>1.8</v>
      </c>
      <c r="AW283" s="37" t="n">
        <v>0.71</v>
      </c>
      <c r="AX283" s="37" t="n">
        <v>0.6899999999999999</v>
      </c>
      <c r="AY283" s="37" t="n">
        <v>0.71</v>
      </c>
      <c r="AZ283" s="37" t="n">
        <v>0.37</v>
      </c>
      <c r="BA283" s="37" t="n">
        <v>0.92</v>
      </c>
      <c r="BB283" s="37" t="n">
        <v>0.57</v>
      </c>
      <c r="BC283" s="37" t="n">
        <v>0.12</v>
      </c>
      <c r="BD283" s="37" t="n">
        <v>0.23</v>
      </c>
      <c r="BE283" s="37" t="n">
        <v>1.07</v>
      </c>
      <c r="BF283" s="37" t="n">
        <v>0.9</v>
      </c>
      <c r="BG283" s="37" t="n">
        <v>0.57</v>
      </c>
      <c r="BH283" s="37" t="n">
        <v>1.3</v>
      </c>
      <c r="BI283" s="37" t="n">
        <v>0.97</v>
      </c>
      <c r="BJ283" s="37" t="n">
        <v>4.78</v>
      </c>
      <c r="BK283" s="37" t="n">
        <v>2.19</v>
      </c>
      <c r="BL283" s="37" t="n">
        <v>1.23</v>
      </c>
      <c r="BM283" s="37" t="n">
        <v>0.74</v>
      </c>
      <c r="BN283" s="37" t="n">
        <v>0.53</v>
      </c>
      <c r="BO283" s="37" t="n">
        <v>1.56</v>
      </c>
      <c r="BP283" s="37" t="n">
        <v>2.26</v>
      </c>
      <c r="BQ283" s="37" t="n">
        <v>1.77</v>
      </c>
      <c r="BR283" s="37" t="n">
        <v>0.9</v>
      </c>
      <c r="BS283" s="37" t="n">
        <v>0.87</v>
      </c>
      <c r="BT283" s="37" t="n">
        <v>0.71</v>
      </c>
      <c r="BU283" s="37" t="n">
        <v>1.16</v>
      </c>
      <c r="BV283" s="37" t="n">
        <v>1.4</v>
      </c>
      <c r="BW283" s="37" t="n">
        <v>0.97</v>
      </c>
      <c r="BX283" s="37" t="n">
        <v>0.93</v>
      </c>
      <c r="BY283" s="37" t="n">
        <v>0.9</v>
      </c>
      <c r="BZ283" s="37" t="n">
        <v>1.78</v>
      </c>
      <c r="CA283" s="37" t="n">
        <v>0.9</v>
      </c>
      <c r="CB283" s="37" t="n">
        <v>0.5</v>
      </c>
      <c r="CC283" s="37" t="n">
        <v>76.25</v>
      </c>
    </row>
    <row r="284" ht="15.75" customHeight="1" s="57">
      <c r="A284" s="7" t="inlineStr">
        <is>
          <t>NTB</t>
        </is>
      </c>
      <c r="B284" s="7" t="inlineStr">
        <is>
          <t>Lâm Đồng</t>
        </is>
      </c>
      <c r="C284" s="7" t="n">
        <v>20942000</v>
      </c>
      <c r="D284" s="7" t="inlineStr">
        <is>
          <t>(LDO) Di Linh</t>
        </is>
      </c>
      <c r="E284" s="7" t="inlineStr">
        <is>
          <t>Shopee-Bulky (10-15kg)</t>
        </is>
      </c>
      <c r="F284" s="36" t="n">
        <v>0.6899999999999999</v>
      </c>
      <c r="G284" s="36" t="n">
        <v>0</v>
      </c>
      <c r="H284" s="36" t="n">
        <v>0</v>
      </c>
      <c r="I284" s="36" t="n">
        <v>0.35</v>
      </c>
      <c r="J284" s="36" t="n">
        <v>0.35</v>
      </c>
      <c r="K284" s="28" t="n">
        <v>0.35</v>
      </c>
      <c r="L284" s="36" t="n">
        <v>0</v>
      </c>
      <c r="M284" s="36" t="n">
        <v>0.35</v>
      </c>
      <c r="N284" s="36" t="n">
        <v>0.6899999999999999</v>
      </c>
      <c r="O284" s="36" t="n">
        <v>0.35</v>
      </c>
      <c r="P284" s="36" t="n">
        <v>1.39</v>
      </c>
      <c r="Q284" s="36" t="n">
        <v>0</v>
      </c>
      <c r="R284" s="28" t="n">
        <v>0</v>
      </c>
      <c r="S284" s="36" t="n">
        <v>0</v>
      </c>
      <c r="T284" s="36" t="n">
        <v>0.6899999999999999</v>
      </c>
      <c r="U284" s="36" t="n">
        <v>0.34</v>
      </c>
      <c r="V284" s="36" t="n">
        <v>0.33</v>
      </c>
      <c r="W284" s="36" t="n">
        <v>0.41</v>
      </c>
      <c r="X284" s="36" t="n">
        <v>0.24</v>
      </c>
      <c r="Y284" s="28" t="n">
        <v>0.59</v>
      </c>
      <c r="Z284" s="36" t="n">
        <v>0.4</v>
      </c>
      <c r="AA284" s="36" t="n">
        <v>0.72</v>
      </c>
      <c r="AB284" s="36" t="n">
        <v>0.37</v>
      </c>
      <c r="AC284" s="36" t="n">
        <v>0.4</v>
      </c>
      <c r="AD284" s="36" t="n">
        <v>1.93</v>
      </c>
      <c r="AE284" s="36" t="n">
        <v>1.31</v>
      </c>
      <c r="AF284" s="28" t="n">
        <v>1.09</v>
      </c>
      <c r="AG284" s="36" t="n">
        <v>0.85</v>
      </c>
      <c r="AH284" s="37" t="n">
        <v>0.4</v>
      </c>
      <c r="AI284" s="37" t="n">
        <v>0.4</v>
      </c>
      <c r="AJ284" s="37" t="n">
        <v>0.4</v>
      </c>
      <c r="AK284" s="37" t="n">
        <v>1.02</v>
      </c>
      <c r="AL284" s="37" t="n">
        <v>0.41</v>
      </c>
      <c r="AM284" s="37" t="n">
        <v>0.8100000000000001</v>
      </c>
      <c r="AN284" s="37" t="n">
        <v>0.4</v>
      </c>
      <c r="AO284" s="37" t="n">
        <v>0.37</v>
      </c>
      <c r="AP284" s="37" t="n">
        <v>0.74</v>
      </c>
      <c r="AQ284" s="37" t="n">
        <v>0.49</v>
      </c>
      <c r="AR284" s="37" t="n">
        <v>0.37</v>
      </c>
      <c r="AS284" s="37" t="n">
        <v>0.19</v>
      </c>
      <c r="AT284" s="37" t="n">
        <v>0.58</v>
      </c>
      <c r="AU284" s="37" t="n">
        <v>0.93</v>
      </c>
      <c r="AV284" s="37" t="n">
        <v>1.03</v>
      </c>
      <c r="AW284" s="37" t="n">
        <v>0.35</v>
      </c>
      <c r="AX284" s="37" t="n">
        <v>0.33</v>
      </c>
      <c r="AY284" s="37" t="n">
        <v>0.36</v>
      </c>
      <c r="AZ284" s="37" t="n">
        <v>0.19</v>
      </c>
      <c r="BA284" s="37" t="n">
        <v>0.44</v>
      </c>
      <c r="BB284" s="37" t="n">
        <v>0.28</v>
      </c>
      <c r="BC284" s="37" t="n">
        <v>0.05</v>
      </c>
      <c r="BD284" s="37" t="n">
        <v>0.09</v>
      </c>
      <c r="BE284" s="37" t="n">
        <v>0.55</v>
      </c>
      <c r="BF284" s="37" t="n">
        <v>0.45</v>
      </c>
      <c r="BG284" s="37" t="n">
        <v>0.26</v>
      </c>
      <c r="BH284" s="37" t="n">
        <v>0.79</v>
      </c>
      <c r="BI284" s="37" t="n">
        <v>0.43</v>
      </c>
      <c r="BJ284" s="37" t="n">
        <v>2.67</v>
      </c>
      <c r="BK284" s="37" t="n">
        <v>0.97</v>
      </c>
      <c r="BL284" s="37" t="n">
        <v>0.72</v>
      </c>
      <c r="BM284" s="37" t="n">
        <v>0.35</v>
      </c>
      <c r="BN284" s="37" t="n">
        <v>0.26</v>
      </c>
      <c r="BO284" s="37" t="n">
        <v>0.74</v>
      </c>
      <c r="BP284" s="37" t="n">
        <v>0.97</v>
      </c>
      <c r="BQ284" s="37" t="n">
        <v>0.91</v>
      </c>
      <c r="BR284" s="37" t="n">
        <v>0.45</v>
      </c>
      <c r="BS284" s="37" t="n">
        <v>0.42</v>
      </c>
      <c r="BT284" s="37" t="n">
        <v>0.35</v>
      </c>
      <c r="BU284" s="37" t="n">
        <v>0.45</v>
      </c>
      <c r="BV284" s="37" t="n">
        <v>0.85</v>
      </c>
      <c r="BW284" s="37" t="n">
        <v>0.43</v>
      </c>
      <c r="BX284" s="37" t="n">
        <v>0.49</v>
      </c>
      <c r="BY284" s="37" t="n">
        <v>0.45</v>
      </c>
      <c r="BZ284" s="37" t="n">
        <v>0.84</v>
      </c>
      <c r="CA284" s="37" t="n">
        <v>0.45</v>
      </c>
      <c r="CB284" s="37" t="n">
        <v>0.26</v>
      </c>
      <c r="CC284" s="37" t="n">
        <v>40.33000000000002</v>
      </c>
    </row>
    <row r="285" ht="15.75" customHeight="1" s="57">
      <c r="A285" s="7" t="inlineStr">
        <is>
          <t>NTB</t>
        </is>
      </c>
      <c r="B285" s="7" t="inlineStr">
        <is>
          <t>Lâm Đồng</t>
        </is>
      </c>
      <c r="C285" s="7" t="n">
        <v>20942000</v>
      </c>
      <c r="D285" s="7" t="inlineStr">
        <is>
          <t>(LDO) Di Linh</t>
        </is>
      </c>
      <c r="E285" s="7" t="inlineStr">
        <is>
          <t>TTS</t>
        </is>
      </c>
      <c r="F285" s="36" t="n">
        <v>1</v>
      </c>
      <c r="G285" s="36" t="n">
        <v>1</v>
      </c>
      <c r="H285" s="36" t="n">
        <v>5</v>
      </c>
      <c r="I285" s="36" t="n">
        <v>4</v>
      </c>
      <c r="J285" s="36" t="n">
        <v>2</v>
      </c>
      <c r="K285" s="28" t="n">
        <v>4</v>
      </c>
      <c r="L285" s="36" t="n">
        <v>1</v>
      </c>
      <c r="M285" s="36" t="n">
        <v>2</v>
      </c>
      <c r="N285" s="36" t="n">
        <v>0</v>
      </c>
      <c r="O285" s="36" t="n">
        <v>5</v>
      </c>
      <c r="P285" s="36" t="n">
        <v>1</v>
      </c>
      <c r="Q285" s="36" t="n">
        <v>4</v>
      </c>
      <c r="R285" s="28" t="n">
        <v>4</v>
      </c>
      <c r="S285" s="36" t="n">
        <v>3</v>
      </c>
      <c r="T285" s="36" t="n">
        <v>1</v>
      </c>
      <c r="U285" s="36" t="n">
        <v>1.33</v>
      </c>
      <c r="V285" s="36" t="n">
        <v>1.32</v>
      </c>
      <c r="W285" s="36" t="n">
        <v>1.29</v>
      </c>
      <c r="X285" s="36" t="n">
        <v>1.04</v>
      </c>
      <c r="Y285" s="28" t="n">
        <v>1.51</v>
      </c>
      <c r="Z285" s="36" t="n">
        <v>1.29</v>
      </c>
      <c r="AA285" s="36" t="n">
        <v>1.43</v>
      </c>
      <c r="AB285" s="36" t="n">
        <v>1.59</v>
      </c>
      <c r="AC285" s="36" t="n">
        <v>1.69</v>
      </c>
      <c r="AD285" s="36" t="n">
        <v>2.34</v>
      </c>
      <c r="AE285" s="36" t="n">
        <v>1.21</v>
      </c>
      <c r="AF285" s="28" t="n">
        <v>1.55</v>
      </c>
      <c r="AG285" s="36" t="n">
        <v>1.31</v>
      </c>
      <c r="AH285" s="37" t="n">
        <v>1.29</v>
      </c>
      <c r="AI285" s="37" t="n">
        <v>1.5</v>
      </c>
      <c r="AJ285" s="37" t="n">
        <v>1.6</v>
      </c>
      <c r="AK285" s="37" t="n">
        <v>1.57</v>
      </c>
      <c r="AL285" s="37" t="n">
        <v>1.13</v>
      </c>
      <c r="AM285" s="37" t="n">
        <v>1.53</v>
      </c>
      <c r="AN285" s="37" t="n">
        <v>1.32</v>
      </c>
      <c r="AO285" s="37" t="n">
        <v>1.31</v>
      </c>
      <c r="AP285" s="37" t="n">
        <v>1.28</v>
      </c>
      <c r="AQ285" s="37" t="n">
        <v>1.29</v>
      </c>
      <c r="AR285" s="37" t="n">
        <v>1.27</v>
      </c>
      <c r="AS285" s="37" t="n">
        <v>1.04</v>
      </c>
      <c r="AT285" s="37" t="n">
        <v>1.66</v>
      </c>
      <c r="AU285" s="37" t="n">
        <v>1.5</v>
      </c>
      <c r="AV285" s="37" t="n">
        <v>1.33</v>
      </c>
      <c r="AW285" s="37" t="n">
        <v>1.27</v>
      </c>
      <c r="AX285" s="37" t="n">
        <v>1.26</v>
      </c>
      <c r="AY285" s="37" t="n">
        <v>1.25</v>
      </c>
      <c r="AZ285" s="37" t="n">
        <v>1.04</v>
      </c>
      <c r="BA285" s="37" t="n">
        <v>1.49</v>
      </c>
      <c r="BB285" s="37" t="n">
        <v>1.41</v>
      </c>
      <c r="BC285" s="37" t="n">
        <v>0.71</v>
      </c>
      <c r="BD285" s="37" t="n">
        <v>1.01</v>
      </c>
      <c r="BE285" s="37" t="n">
        <v>2.35</v>
      </c>
      <c r="BF285" s="37" t="n">
        <v>2.27</v>
      </c>
      <c r="BG285" s="37" t="n">
        <v>1.13</v>
      </c>
      <c r="BH285" s="37" t="n">
        <v>1.66</v>
      </c>
      <c r="BI285" s="37" t="n">
        <v>1.41</v>
      </c>
      <c r="BJ285" s="37" t="n">
        <v>1.77</v>
      </c>
      <c r="BK285" s="37" t="n">
        <v>1.42</v>
      </c>
      <c r="BL285" s="37" t="n">
        <v>1.43</v>
      </c>
      <c r="BM285" s="37" t="n">
        <v>1.38</v>
      </c>
      <c r="BN285" s="37" t="n">
        <v>1.13</v>
      </c>
      <c r="BO285" s="37" t="n">
        <v>1.66</v>
      </c>
      <c r="BP285" s="37" t="n">
        <v>1.41</v>
      </c>
      <c r="BQ285" s="37" t="n">
        <v>1.39</v>
      </c>
      <c r="BR285" s="37" t="n">
        <v>1.42</v>
      </c>
      <c r="BS285" s="37" t="n">
        <v>1.43</v>
      </c>
      <c r="BT285" s="37" t="n">
        <v>1.38</v>
      </c>
      <c r="BU285" s="37" t="n">
        <v>1.13</v>
      </c>
      <c r="BV285" s="37" t="n">
        <v>1.66</v>
      </c>
      <c r="BW285" s="37" t="n">
        <v>1.41</v>
      </c>
      <c r="BX285" s="37" t="n">
        <v>1.39</v>
      </c>
      <c r="BY285" s="37" t="n">
        <v>1.42</v>
      </c>
      <c r="BZ285" s="37" t="n">
        <v>1.43</v>
      </c>
      <c r="CA285" s="37" t="n">
        <v>1.38</v>
      </c>
      <c r="CB285" s="37" t="n">
        <v>1.13</v>
      </c>
      <c r="CC285" s="37" t="n">
        <v>122.55</v>
      </c>
    </row>
    <row r="286" ht="15.75" customHeight="1" s="57">
      <c r="A286" s="7" t="inlineStr">
        <is>
          <t>NTB</t>
        </is>
      </c>
      <c r="B286" s="7" t="inlineStr">
        <is>
          <t>Lâm Đồng</t>
        </is>
      </c>
      <c r="C286" s="7" t="n">
        <v>20942000</v>
      </c>
      <c r="D286" s="7" t="inlineStr">
        <is>
          <t>(LDO) Di Linh</t>
        </is>
      </c>
      <c r="E286" s="7" t="inlineStr">
        <is>
          <t>TTS-Bulky</t>
        </is>
      </c>
      <c r="F286" s="36" t="n">
        <v>0</v>
      </c>
      <c r="G286" s="36" t="n">
        <v>0</v>
      </c>
      <c r="H286" s="36" t="n">
        <v>0</v>
      </c>
      <c r="I286" s="36" t="n">
        <v>1</v>
      </c>
      <c r="J286" s="36" t="n">
        <v>0</v>
      </c>
      <c r="K286" s="28" t="n">
        <v>0</v>
      </c>
      <c r="L286" s="36" t="n">
        <v>0</v>
      </c>
      <c r="M286" s="36" t="n">
        <v>0</v>
      </c>
      <c r="N286" s="36" t="n">
        <v>0</v>
      </c>
      <c r="O286" s="36" t="n">
        <v>0</v>
      </c>
      <c r="P286" s="36" t="n">
        <v>0</v>
      </c>
      <c r="Q286" s="36" t="n">
        <v>0</v>
      </c>
      <c r="R286" s="28" t="n">
        <v>0</v>
      </c>
      <c r="S286" s="36" t="n">
        <v>0</v>
      </c>
      <c r="T286" s="36" t="n">
        <v>0</v>
      </c>
      <c r="U286" s="36" t="n">
        <v>0.3</v>
      </c>
      <c r="V286" s="36" t="n">
        <v>0.29</v>
      </c>
      <c r="W286" s="36" t="n">
        <v>0.15</v>
      </c>
      <c r="X286" s="36" t="n">
        <v>0.11</v>
      </c>
      <c r="Y286" s="28" t="n">
        <v>0.15</v>
      </c>
      <c r="Z286" s="36" t="n">
        <v>0.14</v>
      </c>
      <c r="AA286" s="36" t="n">
        <v>0.17</v>
      </c>
      <c r="AB286" s="36" t="n">
        <v>0.17</v>
      </c>
      <c r="AC286" s="36" t="n">
        <v>0.19</v>
      </c>
      <c r="AD286" s="36" t="n">
        <v>0.18</v>
      </c>
      <c r="AE286" s="36" t="n">
        <v>0.11</v>
      </c>
      <c r="AF286" s="28" t="n">
        <v>0.19</v>
      </c>
      <c r="AG286" s="36" t="n">
        <v>0.14</v>
      </c>
      <c r="AH286" s="37" t="n">
        <v>0.14</v>
      </c>
      <c r="AI286" s="37" t="n">
        <v>0.15</v>
      </c>
      <c r="AJ286" s="37" t="n">
        <v>0.18</v>
      </c>
      <c r="AK286" s="37" t="n">
        <v>0.15</v>
      </c>
      <c r="AL286" s="37" t="n">
        <v>0.11</v>
      </c>
      <c r="AM286" s="37" t="n">
        <v>0.19</v>
      </c>
      <c r="AN286" s="37" t="n">
        <v>0.14</v>
      </c>
      <c r="AO286" s="37" t="n">
        <v>0.14</v>
      </c>
      <c r="AP286" s="37" t="n">
        <v>0.13</v>
      </c>
      <c r="AQ286" s="37" t="n">
        <v>0.16</v>
      </c>
      <c r="AR286" s="37" t="n">
        <v>0.15</v>
      </c>
      <c r="AS286" s="37" t="n">
        <v>0.11</v>
      </c>
      <c r="AT286" s="37" t="n">
        <v>0.19</v>
      </c>
      <c r="AU286" s="37" t="n">
        <v>0.18</v>
      </c>
      <c r="AV286" s="37" t="n">
        <v>0.14</v>
      </c>
      <c r="AW286" s="37" t="n">
        <v>0.13</v>
      </c>
      <c r="AX286" s="37" t="n">
        <v>0.16</v>
      </c>
      <c r="AY286" s="37" t="n">
        <v>0.15</v>
      </c>
      <c r="AZ286" s="37" t="n">
        <v>0.11</v>
      </c>
      <c r="BA286" s="37" t="n">
        <v>0.16</v>
      </c>
      <c r="BB286" s="37" t="n">
        <v>0.04</v>
      </c>
      <c r="BC286" s="37" t="n">
        <v>0.02</v>
      </c>
      <c r="BD286" s="37" t="n">
        <v>0.03</v>
      </c>
      <c r="BE286" s="37" t="n">
        <v>0.04</v>
      </c>
      <c r="BF286" s="37" t="n">
        <v>0.04</v>
      </c>
      <c r="BG286" s="37" t="n">
        <v>0.03</v>
      </c>
      <c r="BH286" s="37" t="n">
        <v>0.05</v>
      </c>
      <c r="BI286" s="37" t="n">
        <v>0.04</v>
      </c>
      <c r="BJ286" s="37" t="n">
        <v>0.04</v>
      </c>
      <c r="BK286" s="37" t="n">
        <v>0.04</v>
      </c>
      <c r="BL286" s="37" t="n">
        <v>0.04</v>
      </c>
      <c r="BM286" s="37" t="n">
        <v>0.04</v>
      </c>
      <c r="BN286" s="37" t="n">
        <v>0.03</v>
      </c>
      <c r="BO286" s="37" t="n">
        <v>0.05</v>
      </c>
      <c r="BP286" s="37" t="n">
        <v>0.05</v>
      </c>
      <c r="BQ286" s="37" t="n">
        <v>0.04</v>
      </c>
      <c r="BR286" s="37" t="n">
        <v>0.04</v>
      </c>
      <c r="BS286" s="37" t="n">
        <v>0.04</v>
      </c>
      <c r="BT286" s="37" t="n">
        <v>0.04</v>
      </c>
      <c r="BU286" s="37" t="n">
        <v>0.03</v>
      </c>
      <c r="BV286" s="37" t="n">
        <v>0.05</v>
      </c>
      <c r="BW286" s="37" t="n">
        <v>0.04</v>
      </c>
      <c r="BX286" s="37" t="n">
        <v>0.04</v>
      </c>
      <c r="BY286" s="37" t="n">
        <v>0.04</v>
      </c>
      <c r="BZ286" s="37" t="n">
        <v>0.04</v>
      </c>
      <c r="CA286" s="37" t="n">
        <v>0.04</v>
      </c>
      <c r="CB286" s="37" t="n">
        <v>0.03</v>
      </c>
      <c r="CC286" s="37" t="n">
        <v>7.310000000000002</v>
      </c>
    </row>
    <row r="287" ht="15.75" customHeight="1" s="57">
      <c r="A287" s="7" t="inlineStr">
        <is>
          <t>NTB</t>
        </is>
      </c>
      <c r="B287" s="7" t="inlineStr">
        <is>
          <t>Lâm Đồng</t>
        </is>
      </c>
      <c r="C287" s="7" t="n">
        <v>21126000</v>
      </c>
      <c r="D287" s="7" t="inlineStr">
        <is>
          <t>(LDO) Xuân Hương - Đà Lạt</t>
        </is>
      </c>
      <c r="E287" s="7" t="inlineStr">
        <is>
          <t>SME</t>
        </is>
      </c>
      <c r="F287" s="36" t="n">
        <v>15</v>
      </c>
      <c r="G287" s="36" t="n">
        <v>18</v>
      </c>
      <c r="H287" s="36" t="n">
        <v>17</v>
      </c>
      <c r="I287" s="36" t="n">
        <v>19</v>
      </c>
      <c r="J287" s="36" t="n">
        <v>11</v>
      </c>
      <c r="K287" s="28" t="n">
        <v>75</v>
      </c>
      <c r="L287" s="36" t="n">
        <v>31</v>
      </c>
      <c r="M287" s="36" t="n">
        <v>57</v>
      </c>
      <c r="N287" s="36" t="n">
        <v>44</v>
      </c>
      <c r="O287" s="36" t="n">
        <v>49</v>
      </c>
      <c r="P287" s="36" t="n">
        <v>15</v>
      </c>
      <c r="Q287" s="36" t="n">
        <v>29</v>
      </c>
      <c r="R287" s="28" t="n">
        <v>13</v>
      </c>
      <c r="S287" s="36" t="n">
        <v>33</v>
      </c>
      <c r="T287" s="36" t="n">
        <v>16</v>
      </c>
      <c r="U287" s="36" t="n">
        <v>47.24</v>
      </c>
      <c r="V287" s="36" t="n">
        <v>48.8</v>
      </c>
      <c r="W287" s="36" t="n">
        <v>47.5</v>
      </c>
      <c r="X287" s="36" t="n">
        <v>38.88</v>
      </c>
      <c r="Y287" s="28" t="n">
        <v>52.63</v>
      </c>
      <c r="Z287" s="36" t="n">
        <v>48.45</v>
      </c>
      <c r="AA287" s="36" t="n">
        <v>47.27999999999999</v>
      </c>
      <c r="AB287" s="36" t="n">
        <v>47.24</v>
      </c>
      <c r="AC287" s="36" t="n">
        <v>48.8</v>
      </c>
      <c r="AD287" s="36" t="n">
        <v>51.43</v>
      </c>
      <c r="AE287" s="36" t="n">
        <v>38.88</v>
      </c>
      <c r="AF287" s="28" t="n">
        <v>52.63</v>
      </c>
      <c r="AG287" s="36" t="n">
        <v>48.45</v>
      </c>
      <c r="AH287" s="37" t="n">
        <v>47.27999999999999</v>
      </c>
      <c r="AI287" s="37" t="n">
        <v>47.24</v>
      </c>
      <c r="AJ287" s="37" t="n">
        <v>48.8</v>
      </c>
      <c r="AK287" s="37" t="n">
        <v>47.5</v>
      </c>
      <c r="AL287" s="37" t="n">
        <v>38.88</v>
      </c>
      <c r="AM287" s="37" t="n">
        <v>52.63</v>
      </c>
      <c r="AN287" s="37" t="n">
        <v>48.45</v>
      </c>
      <c r="AO287" s="37" t="n">
        <v>47.27999999999999</v>
      </c>
      <c r="AP287" s="37" t="n">
        <v>47.24</v>
      </c>
      <c r="AQ287" s="37" t="n">
        <v>48.8</v>
      </c>
      <c r="AR287" s="37" t="n">
        <v>47.5</v>
      </c>
      <c r="AS287" s="37" t="n">
        <v>38.88</v>
      </c>
      <c r="AT287" s="37" t="n">
        <v>52.63</v>
      </c>
      <c r="AU287" s="37" t="n">
        <v>48.45</v>
      </c>
      <c r="AV287" s="37" t="n">
        <v>47.27999999999999</v>
      </c>
      <c r="AW287" s="37" t="n">
        <v>47.24</v>
      </c>
      <c r="AX287" s="37" t="n">
        <v>48.8</v>
      </c>
      <c r="AY287" s="37" t="n">
        <v>47.5</v>
      </c>
      <c r="AZ287" s="37" t="n">
        <v>38.88</v>
      </c>
      <c r="BA287" s="37" t="n">
        <v>50.05</v>
      </c>
      <c r="BB287" s="37" t="n">
        <v>44.51000000000001</v>
      </c>
      <c r="BC287" s="37" t="n">
        <v>27.34</v>
      </c>
      <c r="BD287" s="37" t="n">
        <v>21.37</v>
      </c>
      <c r="BE287" s="37" t="n">
        <v>45.77</v>
      </c>
      <c r="BF287" s="37" t="n">
        <v>44.6</v>
      </c>
      <c r="BG287" s="37" t="n">
        <v>40.1</v>
      </c>
      <c r="BH287" s="37" t="n">
        <v>54.33</v>
      </c>
      <c r="BI287" s="37" t="n">
        <v>49.95</v>
      </c>
      <c r="BJ287" s="37" t="n">
        <v>52.98</v>
      </c>
      <c r="BK287" s="37" t="n">
        <v>48.63</v>
      </c>
      <c r="BL287" s="37" t="n">
        <v>50.32</v>
      </c>
      <c r="BM287" s="37" t="n">
        <v>48.95</v>
      </c>
      <c r="BN287" s="37" t="n">
        <v>40.1</v>
      </c>
      <c r="BO287" s="37" t="n">
        <v>54.33</v>
      </c>
      <c r="BP287" s="37" t="n">
        <v>49.95</v>
      </c>
      <c r="BQ287" s="37" t="n">
        <v>48.7</v>
      </c>
      <c r="BR287" s="37" t="n">
        <v>48.63</v>
      </c>
      <c r="BS287" s="37" t="n">
        <v>50.32</v>
      </c>
      <c r="BT287" s="37" t="n">
        <v>48.95</v>
      </c>
      <c r="BU287" s="37" t="n">
        <v>40.1</v>
      </c>
      <c r="BV287" s="37" t="n">
        <v>54.33</v>
      </c>
      <c r="BW287" s="37" t="n">
        <v>49.95</v>
      </c>
      <c r="BX287" s="37" t="n">
        <v>48.7</v>
      </c>
      <c r="BY287" s="37" t="n">
        <v>48.63</v>
      </c>
      <c r="BZ287" s="37" t="n">
        <v>50.32</v>
      </c>
      <c r="CA287" s="37" t="n">
        <v>48.95</v>
      </c>
      <c r="CB287" s="37" t="n">
        <v>40.1</v>
      </c>
      <c r="CC287" s="37" t="n">
        <v>3252.429999999999</v>
      </c>
    </row>
    <row r="288" ht="15.75" customHeight="1" s="57">
      <c r="A288" s="7" t="inlineStr">
        <is>
          <t>NTB</t>
        </is>
      </c>
      <c r="B288" s="7" t="inlineStr">
        <is>
          <t>Lâm Đồng</t>
        </is>
      </c>
      <c r="C288" s="7" t="n">
        <v>21126000</v>
      </c>
      <c r="D288" s="7" t="inlineStr">
        <is>
          <t>(LDO) Xuân Hương - Đà Lạt</t>
        </is>
      </c>
      <c r="E288" s="7" t="inlineStr">
        <is>
          <t>SME-Bulky</t>
        </is>
      </c>
      <c r="F288" s="36" t="n">
        <v>0</v>
      </c>
      <c r="G288" s="36" t="n">
        <v>2</v>
      </c>
      <c r="H288" s="36" t="n">
        <v>6</v>
      </c>
      <c r="I288" s="36" t="n">
        <v>1</v>
      </c>
      <c r="J288" s="36" t="n">
        <v>1</v>
      </c>
      <c r="K288" s="28" t="n">
        <v>1</v>
      </c>
      <c r="L288" s="36" t="n">
        <v>1</v>
      </c>
      <c r="M288" s="36" t="n">
        <v>0</v>
      </c>
      <c r="N288" s="36" t="n">
        <v>3</v>
      </c>
      <c r="O288" s="36" t="n">
        <v>7</v>
      </c>
      <c r="P288" s="36" t="n">
        <v>2</v>
      </c>
      <c r="Q288" s="36" t="n">
        <v>3</v>
      </c>
      <c r="R288" s="28" t="n">
        <v>1</v>
      </c>
      <c r="S288" s="36" t="n">
        <v>2</v>
      </c>
      <c r="T288" s="36" t="n">
        <v>0</v>
      </c>
      <c r="U288" s="36" t="n">
        <v>2.19</v>
      </c>
      <c r="V288" s="36" t="n">
        <v>2.16</v>
      </c>
      <c r="W288" s="36" t="n">
        <v>2.1</v>
      </c>
      <c r="X288" s="36" t="n">
        <v>1.51</v>
      </c>
      <c r="Y288" s="28" t="n">
        <v>2.46</v>
      </c>
      <c r="Z288" s="36" t="n">
        <v>2.39</v>
      </c>
      <c r="AA288" s="36" t="n">
        <v>2.36</v>
      </c>
      <c r="AB288" s="36" t="n">
        <v>2.19</v>
      </c>
      <c r="AC288" s="36" t="n">
        <v>2.16</v>
      </c>
      <c r="AD288" s="36" t="n">
        <v>1.65</v>
      </c>
      <c r="AE288" s="36" t="n">
        <v>1.51</v>
      </c>
      <c r="AF288" s="28" t="n">
        <v>2.46</v>
      </c>
      <c r="AG288" s="36" t="n">
        <v>2.39</v>
      </c>
      <c r="AH288" s="37" t="n">
        <v>2.36</v>
      </c>
      <c r="AI288" s="37" t="n">
        <v>2.19</v>
      </c>
      <c r="AJ288" s="37" t="n">
        <v>2.16</v>
      </c>
      <c r="AK288" s="37" t="n">
        <v>2.1</v>
      </c>
      <c r="AL288" s="37" t="n">
        <v>1.51</v>
      </c>
      <c r="AM288" s="37" t="n">
        <v>2.46</v>
      </c>
      <c r="AN288" s="37" t="n">
        <v>2.39</v>
      </c>
      <c r="AO288" s="37" t="n">
        <v>2.36</v>
      </c>
      <c r="AP288" s="37" t="n">
        <v>2.19</v>
      </c>
      <c r="AQ288" s="37" t="n">
        <v>2.16</v>
      </c>
      <c r="AR288" s="37" t="n">
        <v>2.1</v>
      </c>
      <c r="AS288" s="37" t="n">
        <v>1.51</v>
      </c>
      <c r="AT288" s="37" t="n">
        <v>2.46</v>
      </c>
      <c r="AU288" s="37" t="n">
        <v>2.39</v>
      </c>
      <c r="AV288" s="37" t="n">
        <v>2.36</v>
      </c>
      <c r="AW288" s="37" t="n">
        <v>2.19</v>
      </c>
      <c r="AX288" s="37" t="n">
        <v>2.16</v>
      </c>
      <c r="AY288" s="37" t="n">
        <v>2.1</v>
      </c>
      <c r="AZ288" s="37" t="n">
        <v>1.51</v>
      </c>
      <c r="BA288" s="37" t="n">
        <v>2.69</v>
      </c>
      <c r="BB288" s="37" t="n">
        <v>1.42</v>
      </c>
      <c r="BC288" s="37" t="n">
        <v>0.72</v>
      </c>
      <c r="BD288" s="37" t="n">
        <v>0.55</v>
      </c>
      <c r="BE288" s="37" t="n">
        <v>1.27</v>
      </c>
      <c r="BF288" s="37" t="n">
        <v>1.19</v>
      </c>
      <c r="BG288" s="37" t="n">
        <v>0.83</v>
      </c>
      <c r="BH288" s="37" t="n">
        <v>1.43</v>
      </c>
      <c r="BI288" s="37" t="n">
        <v>1.42</v>
      </c>
      <c r="BJ288" s="37" t="n">
        <v>1.09</v>
      </c>
      <c r="BK288" s="37" t="n">
        <v>1.26</v>
      </c>
      <c r="BL288" s="37" t="n">
        <v>1.26</v>
      </c>
      <c r="BM288" s="37" t="n">
        <v>1.19</v>
      </c>
      <c r="BN288" s="37" t="n">
        <v>0.83</v>
      </c>
      <c r="BO288" s="37" t="n">
        <v>1.43</v>
      </c>
      <c r="BP288" s="37" t="n">
        <v>1.42</v>
      </c>
      <c r="BQ288" s="37" t="n">
        <v>1.35</v>
      </c>
      <c r="BR288" s="37" t="n">
        <v>1.26</v>
      </c>
      <c r="BS288" s="37" t="n">
        <v>1.26</v>
      </c>
      <c r="BT288" s="37" t="n">
        <v>1.19</v>
      </c>
      <c r="BU288" s="37" t="n">
        <v>0.83</v>
      </c>
      <c r="BV288" s="37" t="n">
        <v>1.43</v>
      </c>
      <c r="BW288" s="37" t="n">
        <v>1.42</v>
      </c>
      <c r="BX288" s="37" t="n">
        <v>1.35</v>
      </c>
      <c r="BY288" s="37" t="n">
        <v>1.26</v>
      </c>
      <c r="BZ288" s="37" t="n">
        <v>1.26</v>
      </c>
      <c r="CA288" s="37" t="n">
        <v>1.19</v>
      </c>
      <c r="CB288" s="37" t="n">
        <v>0.83</v>
      </c>
      <c r="CC288" s="37" t="n">
        <v>132.82</v>
      </c>
    </row>
    <row r="289" ht="15.75" customHeight="1" s="57">
      <c r="A289" s="7" t="inlineStr">
        <is>
          <t>NTB</t>
        </is>
      </c>
      <c r="B289" s="7" t="inlineStr">
        <is>
          <t>Lâm Đồng</t>
        </is>
      </c>
      <c r="C289" s="7" t="n">
        <v>21126000</v>
      </c>
      <c r="D289" s="7" t="inlineStr">
        <is>
          <t>(LDO) Xuân Hương - Đà Lạt</t>
        </is>
      </c>
      <c r="E289" s="7" t="inlineStr">
        <is>
          <t>Shopee</t>
        </is>
      </c>
      <c r="F289" s="36" t="n">
        <v>33</v>
      </c>
      <c r="G289" s="36" t="n">
        <v>46</v>
      </c>
      <c r="H289" s="36" t="n">
        <v>35</v>
      </c>
      <c r="I289" s="36" t="n">
        <v>33</v>
      </c>
      <c r="J289" s="36" t="n">
        <v>26</v>
      </c>
      <c r="K289" s="28" t="n">
        <v>37</v>
      </c>
      <c r="L289" s="36" t="n">
        <v>34</v>
      </c>
      <c r="M289" s="36" t="n">
        <v>53</v>
      </c>
      <c r="N289" s="36" t="n">
        <v>31</v>
      </c>
      <c r="O289" s="36" t="n">
        <v>30</v>
      </c>
      <c r="P289" s="36" t="n">
        <v>21</v>
      </c>
      <c r="Q289" s="36" t="n">
        <v>16</v>
      </c>
      <c r="R289" s="28" t="n">
        <v>30</v>
      </c>
      <c r="S289" s="36" t="n">
        <v>30</v>
      </c>
      <c r="T289" s="36" t="n">
        <v>40</v>
      </c>
      <c r="U289" s="36" t="n">
        <v>34.84</v>
      </c>
      <c r="V289" s="36" t="n">
        <v>35.2</v>
      </c>
      <c r="W289" s="36" t="n">
        <v>33.72</v>
      </c>
      <c r="X289" s="36" t="n">
        <v>29.14</v>
      </c>
      <c r="Y289" s="28" t="n">
        <v>47.17</v>
      </c>
      <c r="Z289" s="36" t="n">
        <v>37.39</v>
      </c>
      <c r="AA289" s="36" t="n">
        <v>45.69</v>
      </c>
      <c r="AB289" s="36" t="n">
        <v>35.78</v>
      </c>
      <c r="AC289" s="36" t="n">
        <v>28.74</v>
      </c>
      <c r="AD289" s="36" t="n">
        <v>76.40000000000001</v>
      </c>
      <c r="AE289" s="36" t="n">
        <v>31.25</v>
      </c>
      <c r="AF289" s="28" t="n">
        <v>51.79</v>
      </c>
      <c r="AG289" s="36" t="n">
        <v>39.23</v>
      </c>
      <c r="AH289" s="37" t="n">
        <v>41.38</v>
      </c>
      <c r="AI289" s="37" t="n">
        <v>34.84</v>
      </c>
      <c r="AJ289" s="37" t="n">
        <v>35.2</v>
      </c>
      <c r="AK289" s="37" t="n">
        <v>37.21</v>
      </c>
      <c r="AL289" s="37" t="n">
        <v>52.32</v>
      </c>
      <c r="AM289" s="37" t="n">
        <v>47.17</v>
      </c>
      <c r="AN289" s="37" t="n">
        <v>37.39</v>
      </c>
      <c r="AO289" s="37" t="n">
        <v>41.38</v>
      </c>
      <c r="AP289" s="37" t="n">
        <v>38.51</v>
      </c>
      <c r="AQ289" s="37" t="n">
        <v>28.11</v>
      </c>
      <c r="AR289" s="37" t="n">
        <v>33.72</v>
      </c>
      <c r="AS289" s="37" t="n">
        <v>29.14</v>
      </c>
      <c r="AT289" s="37" t="n">
        <v>47.17</v>
      </c>
      <c r="AU289" s="37" t="n">
        <v>41.11</v>
      </c>
      <c r="AV289" s="37" t="n">
        <v>42.42</v>
      </c>
      <c r="AW289" s="37" t="n">
        <v>34.84</v>
      </c>
      <c r="AX289" s="37" t="n">
        <v>35.2</v>
      </c>
      <c r="AY289" s="37" t="n">
        <v>33.72</v>
      </c>
      <c r="AZ289" s="37" t="n">
        <v>29.14</v>
      </c>
      <c r="BA289" s="37" t="n">
        <v>40.58</v>
      </c>
      <c r="BB289" s="37" t="n">
        <v>27.89</v>
      </c>
      <c r="BC289" s="37" t="n">
        <v>12.51</v>
      </c>
      <c r="BD289" s="37" t="n">
        <v>20.89</v>
      </c>
      <c r="BE289" s="37" t="n">
        <v>41.88</v>
      </c>
      <c r="BF289" s="37" t="n">
        <v>40.35</v>
      </c>
      <c r="BG289" s="37" t="n">
        <v>28.47</v>
      </c>
      <c r="BH289" s="37" t="n">
        <v>44.97</v>
      </c>
      <c r="BI289" s="37" t="n">
        <v>29.5</v>
      </c>
      <c r="BJ289" s="37" t="n">
        <v>108.24</v>
      </c>
      <c r="BK289" s="37" t="n">
        <v>35.69</v>
      </c>
      <c r="BL289" s="37" t="n">
        <v>35.2</v>
      </c>
      <c r="BM289" s="37" t="n">
        <v>32.15</v>
      </c>
      <c r="BN289" s="37" t="n">
        <v>27.93</v>
      </c>
      <c r="BO289" s="37" t="n">
        <v>44.97</v>
      </c>
      <c r="BP289" s="37" t="n">
        <v>39.05</v>
      </c>
      <c r="BQ289" s="37" t="n">
        <v>60.35</v>
      </c>
      <c r="BR289" s="37" t="n">
        <v>33.18</v>
      </c>
      <c r="BS289" s="37" t="n">
        <v>33.54</v>
      </c>
      <c r="BT289" s="37" t="n">
        <v>32.15</v>
      </c>
      <c r="BU289" s="37" t="n">
        <v>30.53</v>
      </c>
      <c r="BV289" s="37" t="n">
        <v>36.05</v>
      </c>
      <c r="BW289" s="37" t="n">
        <v>35.6</v>
      </c>
      <c r="BX289" s="37" t="n">
        <v>39.32</v>
      </c>
      <c r="BY289" s="37" t="n">
        <v>33.18</v>
      </c>
      <c r="BZ289" s="37" t="n">
        <v>36.72</v>
      </c>
      <c r="CA289" s="37" t="n">
        <v>32.87</v>
      </c>
      <c r="CB289" s="37" t="n">
        <v>27.93</v>
      </c>
      <c r="CC289" s="37" t="n">
        <v>2783</v>
      </c>
    </row>
    <row r="290" ht="15.75" customHeight="1" s="57">
      <c r="A290" s="7" t="inlineStr">
        <is>
          <t>NTB</t>
        </is>
      </c>
      <c r="B290" s="7" t="inlineStr">
        <is>
          <t>Lâm Đồng</t>
        </is>
      </c>
      <c r="C290" s="7" t="n">
        <v>21126000</v>
      </c>
      <c r="D290" s="7" t="inlineStr">
        <is>
          <t>(LDO) Xuân Hương - Đà Lạt</t>
        </is>
      </c>
      <c r="E290" s="7" t="inlineStr">
        <is>
          <t>Shopee-Bulky</t>
        </is>
      </c>
      <c r="F290" s="36" t="n">
        <v>3.92</v>
      </c>
      <c r="G290" s="36" t="n">
        <v>4.57</v>
      </c>
      <c r="H290" s="36" t="n">
        <v>1.31</v>
      </c>
      <c r="I290" s="36" t="n">
        <v>0</v>
      </c>
      <c r="J290" s="36" t="n">
        <v>3.92</v>
      </c>
      <c r="K290" s="28" t="n">
        <v>1.31</v>
      </c>
      <c r="L290" s="36" t="n">
        <v>2.61</v>
      </c>
      <c r="M290" s="36" t="n">
        <v>0.65</v>
      </c>
      <c r="N290" s="36" t="n">
        <v>0.65</v>
      </c>
      <c r="O290" s="36" t="n">
        <v>0</v>
      </c>
      <c r="P290" s="36" t="n">
        <v>1.31</v>
      </c>
      <c r="Q290" s="36" t="n">
        <v>0</v>
      </c>
      <c r="R290" s="28" t="n">
        <v>1.96</v>
      </c>
      <c r="S290" s="36" t="n">
        <v>1.96</v>
      </c>
      <c r="T290" s="36" t="n">
        <v>1.96</v>
      </c>
      <c r="U290" s="36" t="n">
        <v>0.54</v>
      </c>
      <c r="V290" s="36" t="n">
        <v>0.52</v>
      </c>
      <c r="W290" s="36" t="n">
        <v>0.6899999999999999</v>
      </c>
      <c r="X290" s="36" t="n">
        <v>0.41</v>
      </c>
      <c r="Y290" s="28" t="n">
        <v>0.85</v>
      </c>
      <c r="Z290" s="36" t="n">
        <v>0.62</v>
      </c>
      <c r="AA290" s="36" t="n">
        <v>1.09</v>
      </c>
      <c r="AB290" s="36" t="n">
        <v>0.62</v>
      </c>
      <c r="AC290" s="36" t="n">
        <v>0.73</v>
      </c>
      <c r="AD290" s="36" t="n">
        <v>2.21</v>
      </c>
      <c r="AE290" s="36" t="n">
        <v>1.91</v>
      </c>
      <c r="AF290" s="28" t="n">
        <v>1.82</v>
      </c>
      <c r="AG290" s="36" t="n">
        <v>0.96</v>
      </c>
      <c r="AH290" s="37" t="n">
        <v>0.59</v>
      </c>
      <c r="AI290" s="37" t="n">
        <v>0.6899999999999999</v>
      </c>
      <c r="AJ290" s="37" t="n">
        <v>0.57</v>
      </c>
      <c r="AK290" s="37" t="n">
        <v>1.37</v>
      </c>
      <c r="AL290" s="37" t="n">
        <v>0.75</v>
      </c>
      <c r="AM290" s="37" t="n">
        <v>1.12</v>
      </c>
      <c r="AN290" s="37" t="n">
        <v>0.62</v>
      </c>
      <c r="AO290" s="37" t="n">
        <v>0.6</v>
      </c>
      <c r="AP290" s="37" t="n">
        <v>1.22</v>
      </c>
      <c r="AQ290" s="37" t="n">
        <v>0.8100000000000001</v>
      </c>
      <c r="AR290" s="37" t="n">
        <v>0.61</v>
      </c>
      <c r="AS290" s="37" t="n">
        <v>0.31</v>
      </c>
      <c r="AT290" s="37" t="n">
        <v>0.82</v>
      </c>
      <c r="AU290" s="37" t="n">
        <v>1.47</v>
      </c>
      <c r="AV290" s="37" t="n">
        <v>1.5</v>
      </c>
      <c r="AW290" s="37" t="n">
        <v>0.59</v>
      </c>
      <c r="AX290" s="37" t="n">
        <v>0.57</v>
      </c>
      <c r="AY290" s="37" t="n">
        <v>0.59</v>
      </c>
      <c r="AZ290" s="37" t="n">
        <v>0.31</v>
      </c>
      <c r="BA290" s="37" t="n">
        <v>0.77</v>
      </c>
      <c r="BB290" s="37" t="n">
        <v>0.47</v>
      </c>
      <c r="BC290" s="37" t="n">
        <v>0.1</v>
      </c>
      <c r="BD290" s="37" t="n">
        <v>0.19</v>
      </c>
      <c r="BE290" s="37" t="n">
        <v>0.89</v>
      </c>
      <c r="BF290" s="37" t="n">
        <v>0.75</v>
      </c>
      <c r="BG290" s="37" t="n">
        <v>0.47</v>
      </c>
      <c r="BH290" s="37" t="n">
        <v>1.09</v>
      </c>
      <c r="BI290" s="37" t="n">
        <v>0.8</v>
      </c>
      <c r="BJ290" s="37" t="n">
        <v>3.98</v>
      </c>
      <c r="BK290" s="37" t="n">
        <v>1.82</v>
      </c>
      <c r="BL290" s="37" t="n">
        <v>1.03</v>
      </c>
      <c r="BM290" s="37" t="n">
        <v>0.62</v>
      </c>
      <c r="BN290" s="37" t="n">
        <v>0.45</v>
      </c>
      <c r="BO290" s="37" t="n">
        <v>1.3</v>
      </c>
      <c r="BP290" s="37" t="n">
        <v>1.88</v>
      </c>
      <c r="BQ290" s="37" t="n">
        <v>1.47</v>
      </c>
      <c r="BR290" s="37" t="n">
        <v>0.75</v>
      </c>
      <c r="BS290" s="37" t="n">
        <v>0.73</v>
      </c>
      <c r="BT290" s="37" t="n">
        <v>0.59</v>
      </c>
      <c r="BU290" s="37" t="n">
        <v>0.97</v>
      </c>
      <c r="BV290" s="37" t="n">
        <v>1.16</v>
      </c>
      <c r="BW290" s="37" t="n">
        <v>0.8</v>
      </c>
      <c r="BX290" s="37" t="n">
        <v>0.78</v>
      </c>
      <c r="BY290" s="37" t="n">
        <v>0.75</v>
      </c>
      <c r="BZ290" s="37" t="n">
        <v>1.48</v>
      </c>
      <c r="CA290" s="37" t="n">
        <v>0.75</v>
      </c>
      <c r="CB290" s="37" t="n">
        <v>0.42</v>
      </c>
      <c r="CC290" s="37" t="n">
        <v>81.47000000000001</v>
      </c>
    </row>
    <row r="291" ht="15.75" customHeight="1" s="57">
      <c r="A291" s="7" t="inlineStr">
        <is>
          <t>NTB</t>
        </is>
      </c>
      <c r="B291" s="7" t="inlineStr">
        <is>
          <t>Lâm Đồng</t>
        </is>
      </c>
      <c r="C291" s="7" t="n">
        <v>21126000</v>
      </c>
      <c r="D291" s="7" t="inlineStr">
        <is>
          <t>(LDO) Xuân Hương - Đà Lạt</t>
        </is>
      </c>
      <c r="E291" s="7" t="inlineStr">
        <is>
          <t>Shopee-Bulky (10-15kg)</t>
        </is>
      </c>
      <c r="F291" s="36" t="n">
        <v>2.08</v>
      </c>
      <c r="G291" s="36" t="n">
        <v>2.43</v>
      </c>
      <c r="H291" s="36" t="n">
        <v>0.6899999999999999</v>
      </c>
      <c r="I291" s="36" t="n">
        <v>0</v>
      </c>
      <c r="J291" s="36" t="n">
        <v>2.08</v>
      </c>
      <c r="K291" s="28" t="n">
        <v>0.6899999999999999</v>
      </c>
      <c r="L291" s="36" t="n">
        <v>1.39</v>
      </c>
      <c r="M291" s="36" t="n">
        <v>0.35</v>
      </c>
      <c r="N291" s="36" t="n">
        <v>0.35</v>
      </c>
      <c r="O291" s="36" t="n">
        <v>0</v>
      </c>
      <c r="P291" s="36" t="n">
        <v>0.6899999999999999</v>
      </c>
      <c r="Q291" s="36" t="n">
        <v>0</v>
      </c>
      <c r="R291" s="28" t="n">
        <v>1.04</v>
      </c>
      <c r="S291" s="36" t="n">
        <v>1.04</v>
      </c>
      <c r="T291" s="36" t="n">
        <v>1.04</v>
      </c>
      <c r="U291" s="36" t="n">
        <v>0.28</v>
      </c>
      <c r="V291" s="36" t="n">
        <v>0.27</v>
      </c>
      <c r="W291" s="36" t="n">
        <v>0.34</v>
      </c>
      <c r="X291" s="36" t="n">
        <v>0.2</v>
      </c>
      <c r="Y291" s="28" t="n">
        <v>0.49</v>
      </c>
      <c r="Z291" s="36" t="n">
        <v>0.33</v>
      </c>
      <c r="AA291" s="36" t="n">
        <v>0.6</v>
      </c>
      <c r="AB291" s="36" t="n">
        <v>0.31</v>
      </c>
      <c r="AC291" s="36" t="n">
        <v>0.33</v>
      </c>
      <c r="AD291" s="36" t="n">
        <v>1.61</v>
      </c>
      <c r="AE291" s="36" t="n">
        <v>1.09</v>
      </c>
      <c r="AF291" s="28" t="n">
        <v>0.91</v>
      </c>
      <c r="AG291" s="36" t="n">
        <v>0.71</v>
      </c>
      <c r="AH291" s="37" t="n">
        <v>0.33</v>
      </c>
      <c r="AI291" s="37" t="n">
        <v>0.33</v>
      </c>
      <c r="AJ291" s="37" t="n">
        <v>0.33</v>
      </c>
      <c r="AK291" s="37" t="n">
        <v>0.85</v>
      </c>
      <c r="AL291" s="37" t="n">
        <v>0.34</v>
      </c>
      <c r="AM291" s="37" t="n">
        <v>0.68</v>
      </c>
      <c r="AN291" s="37" t="n">
        <v>0.33</v>
      </c>
      <c r="AO291" s="37" t="n">
        <v>0.31</v>
      </c>
      <c r="AP291" s="37" t="n">
        <v>0.62</v>
      </c>
      <c r="AQ291" s="37" t="n">
        <v>0.41</v>
      </c>
      <c r="AR291" s="37" t="n">
        <v>0.31</v>
      </c>
      <c r="AS291" s="37" t="n">
        <v>0.16</v>
      </c>
      <c r="AT291" s="37" t="n">
        <v>0.48</v>
      </c>
      <c r="AU291" s="37" t="n">
        <v>0.78</v>
      </c>
      <c r="AV291" s="37" t="n">
        <v>0.86</v>
      </c>
      <c r="AW291" s="37" t="n">
        <v>0.29</v>
      </c>
      <c r="AX291" s="37" t="n">
        <v>0.27</v>
      </c>
      <c r="AY291" s="37" t="n">
        <v>0.3</v>
      </c>
      <c r="AZ291" s="37" t="n">
        <v>0.16</v>
      </c>
      <c r="BA291" s="37" t="n">
        <v>0.37</v>
      </c>
      <c r="BB291" s="37" t="n">
        <v>0.23</v>
      </c>
      <c r="BC291" s="37" t="n">
        <v>0.04</v>
      </c>
      <c r="BD291" s="37" t="n">
        <v>0.08</v>
      </c>
      <c r="BE291" s="37" t="n">
        <v>0.46</v>
      </c>
      <c r="BF291" s="37" t="n">
        <v>0.38</v>
      </c>
      <c r="BG291" s="37" t="n">
        <v>0.21</v>
      </c>
      <c r="BH291" s="37" t="n">
        <v>0.66</v>
      </c>
      <c r="BI291" s="37" t="n">
        <v>0.36</v>
      </c>
      <c r="BJ291" s="37" t="n">
        <v>2.23</v>
      </c>
      <c r="BK291" s="37" t="n">
        <v>0.8</v>
      </c>
      <c r="BL291" s="37" t="n">
        <v>0.6</v>
      </c>
      <c r="BM291" s="37" t="n">
        <v>0.29</v>
      </c>
      <c r="BN291" s="37" t="n">
        <v>0.21</v>
      </c>
      <c r="BO291" s="37" t="n">
        <v>0.62</v>
      </c>
      <c r="BP291" s="37" t="n">
        <v>0.8</v>
      </c>
      <c r="BQ291" s="37" t="n">
        <v>0.76</v>
      </c>
      <c r="BR291" s="37" t="n">
        <v>0.38</v>
      </c>
      <c r="BS291" s="37" t="n">
        <v>0.35</v>
      </c>
      <c r="BT291" s="37" t="n">
        <v>0.29</v>
      </c>
      <c r="BU291" s="37" t="n">
        <v>0.38</v>
      </c>
      <c r="BV291" s="37" t="n">
        <v>0.71</v>
      </c>
      <c r="BW291" s="37" t="n">
        <v>0.36</v>
      </c>
      <c r="BX291" s="37" t="n">
        <v>0.41</v>
      </c>
      <c r="BY291" s="37" t="n">
        <v>0.38</v>
      </c>
      <c r="BZ291" s="37" t="n">
        <v>0.7</v>
      </c>
      <c r="CA291" s="37" t="n">
        <v>0.38</v>
      </c>
      <c r="CB291" s="37" t="n">
        <v>0.21</v>
      </c>
      <c r="CC291" s="37" t="n">
        <v>43.12999999999999</v>
      </c>
    </row>
    <row r="292" ht="15.75" customHeight="1" s="57">
      <c r="A292" s="7" t="inlineStr">
        <is>
          <t>NTB</t>
        </is>
      </c>
      <c r="B292" s="7" t="inlineStr">
        <is>
          <t>Lâm Đồng</t>
        </is>
      </c>
      <c r="C292" s="7" t="n">
        <v>21126000</v>
      </c>
      <c r="D292" s="7" t="inlineStr">
        <is>
          <t>(LDO) Xuân Hương - Đà Lạt</t>
        </is>
      </c>
      <c r="E292" s="7" t="inlineStr">
        <is>
          <t>TTS</t>
        </is>
      </c>
      <c r="F292" s="36" t="n">
        <v>270</v>
      </c>
      <c r="G292" s="36" t="n">
        <v>292</v>
      </c>
      <c r="H292" s="36" t="n">
        <v>266</v>
      </c>
      <c r="I292" s="36" t="n">
        <v>261</v>
      </c>
      <c r="J292" s="36" t="n">
        <v>230</v>
      </c>
      <c r="K292" s="28" t="n">
        <v>309</v>
      </c>
      <c r="L292" s="36" t="n">
        <v>300</v>
      </c>
      <c r="M292" s="36" t="n">
        <v>306</v>
      </c>
      <c r="N292" s="36" t="n">
        <v>343</v>
      </c>
      <c r="O292" s="36" t="n">
        <v>304</v>
      </c>
      <c r="P292" s="36" t="n">
        <v>345</v>
      </c>
      <c r="Q292" s="36" t="n">
        <v>464</v>
      </c>
      <c r="R292" s="28" t="n">
        <v>457</v>
      </c>
      <c r="S292" s="36" t="n">
        <v>310</v>
      </c>
      <c r="T292" s="36" t="n">
        <v>349</v>
      </c>
      <c r="U292" s="36" t="n">
        <v>177.81</v>
      </c>
      <c r="V292" s="36" t="n">
        <v>175.83</v>
      </c>
      <c r="W292" s="36" t="n">
        <v>171.51</v>
      </c>
      <c r="X292" s="36" t="n">
        <v>138</v>
      </c>
      <c r="Y292" s="28" t="n">
        <v>201.6</v>
      </c>
      <c r="Z292" s="36" t="n">
        <v>171.33</v>
      </c>
      <c r="AA292" s="36" t="n">
        <v>190.61</v>
      </c>
      <c r="AB292" s="36" t="n">
        <v>211.68</v>
      </c>
      <c r="AC292" s="36" t="n">
        <v>224.84</v>
      </c>
      <c r="AD292" s="36" t="n">
        <v>311.68</v>
      </c>
      <c r="AE292" s="36" t="n">
        <v>160.7</v>
      </c>
      <c r="AF292" s="28" t="n">
        <v>207</v>
      </c>
      <c r="AG292" s="36" t="n">
        <v>175.11</v>
      </c>
      <c r="AH292" s="37" t="n">
        <v>172.59</v>
      </c>
      <c r="AI292" s="37" t="n">
        <v>199.61</v>
      </c>
      <c r="AJ292" s="37" t="n">
        <v>213.31</v>
      </c>
      <c r="AK292" s="37" t="n">
        <v>209.7</v>
      </c>
      <c r="AL292" s="37" t="n">
        <v>150.25</v>
      </c>
      <c r="AM292" s="37" t="n">
        <v>204.48</v>
      </c>
      <c r="AN292" s="37" t="n">
        <v>176.55</v>
      </c>
      <c r="AO292" s="37" t="n">
        <v>175.11</v>
      </c>
      <c r="AP292" s="37" t="n">
        <v>171.15</v>
      </c>
      <c r="AQ292" s="37" t="n">
        <v>172.41</v>
      </c>
      <c r="AR292" s="37" t="n">
        <v>168.81</v>
      </c>
      <c r="AS292" s="37" t="n">
        <v>138.36</v>
      </c>
      <c r="AT292" s="37" t="n">
        <v>221.23</v>
      </c>
      <c r="AU292" s="37" t="n">
        <v>200.33</v>
      </c>
      <c r="AV292" s="37" t="n">
        <v>177.45</v>
      </c>
      <c r="AW292" s="37" t="n">
        <v>168.99</v>
      </c>
      <c r="AX292" s="37" t="n">
        <v>168.09</v>
      </c>
      <c r="AY292" s="37" t="n">
        <v>166.82</v>
      </c>
      <c r="AZ292" s="37" t="n">
        <v>138.36</v>
      </c>
      <c r="BA292" s="37" t="n">
        <v>198.89</v>
      </c>
      <c r="BB292" s="37" t="n">
        <v>187.36</v>
      </c>
      <c r="BC292" s="37" t="n">
        <v>94.22</v>
      </c>
      <c r="BD292" s="37" t="n">
        <v>134.4</v>
      </c>
      <c r="BE292" s="37" t="n">
        <v>312.94</v>
      </c>
      <c r="BF292" s="37" t="n">
        <v>302.67</v>
      </c>
      <c r="BG292" s="37" t="n">
        <v>150.61</v>
      </c>
      <c r="BH292" s="37" t="n">
        <v>220.69</v>
      </c>
      <c r="BI292" s="37" t="n">
        <v>187.36</v>
      </c>
      <c r="BJ292" s="37" t="n">
        <v>235.83</v>
      </c>
      <c r="BK292" s="37" t="n">
        <v>189.88</v>
      </c>
      <c r="BL292" s="37" t="n">
        <v>190.43</v>
      </c>
      <c r="BM292" s="37" t="n">
        <v>184.48</v>
      </c>
      <c r="BN292" s="37" t="n">
        <v>150.61</v>
      </c>
      <c r="BO292" s="37" t="n">
        <v>220.69</v>
      </c>
      <c r="BP292" s="37" t="n">
        <v>187.36</v>
      </c>
      <c r="BQ292" s="37" t="n">
        <v>184.84</v>
      </c>
      <c r="BR292" s="37" t="n">
        <v>189.88</v>
      </c>
      <c r="BS292" s="37" t="n">
        <v>190.43</v>
      </c>
      <c r="BT292" s="37" t="n">
        <v>184.48</v>
      </c>
      <c r="BU292" s="37" t="n">
        <v>150.61</v>
      </c>
      <c r="BV292" s="37" t="n">
        <v>220.69</v>
      </c>
      <c r="BW292" s="37" t="n">
        <v>187.36</v>
      </c>
      <c r="BX292" s="37" t="n">
        <v>184.84</v>
      </c>
      <c r="BY292" s="37" t="n">
        <v>189.88</v>
      </c>
      <c r="BZ292" s="37" t="n">
        <v>190.43</v>
      </c>
      <c r="CA292" s="37" t="n">
        <v>184.48</v>
      </c>
      <c r="CB292" s="37" t="n">
        <v>150.61</v>
      </c>
      <c r="CC292" s="37" t="n">
        <v>16074.25</v>
      </c>
    </row>
    <row r="293" ht="15.75" customHeight="1" s="57">
      <c r="A293" s="7" t="inlineStr">
        <is>
          <t>NTB</t>
        </is>
      </c>
      <c r="B293" s="7" t="inlineStr">
        <is>
          <t>Lâm Đồng</t>
        </is>
      </c>
      <c r="C293" s="7" t="n">
        <v>21126000</v>
      </c>
      <c r="D293" s="7" t="inlineStr">
        <is>
          <t>(LDO) Xuân Hương - Đà Lạt</t>
        </is>
      </c>
      <c r="E293" s="7" t="inlineStr">
        <is>
          <t>TTS-Bulky</t>
        </is>
      </c>
      <c r="F293" s="36" t="n">
        <v>0</v>
      </c>
      <c r="G293" s="36" t="n">
        <v>0</v>
      </c>
      <c r="H293" s="36" t="n">
        <v>0</v>
      </c>
      <c r="I293" s="36" t="n">
        <v>0</v>
      </c>
      <c r="J293" s="36" t="n">
        <v>0</v>
      </c>
      <c r="K293" s="28" t="n">
        <v>0</v>
      </c>
      <c r="L293" s="36" t="n">
        <v>2</v>
      </c>
      <c r="M293" s="36" t="n">
        <v>0</v>
      </c>
      <c r="N293" s="36" t="n">
        <v>0</v>
      </c>
      <c r="O293" s="36" t="n">
        <v>0</v>
      </c>
      <c r="P293" s="36" t="n">
        <v>0</v>
      </c>
      <c r="Q293" s="36" t="n">
        <v>0</v>
      </c>
      <c r="R293" s="28" t="n">
        <v>1</v>
      </c>
      <c r="S293" s="36" t="n">
        <v>6</v>
      </c>
      <c r="T293" s="36" t="n">
        <v>0</v>
      </c>
      <c r="U293" s="36" t="n">
        <v>2.69</v>
      </c>
      <c r="V293" s="36" t="n">
        <v>2.65</v>
      </c>
      <c r="W293" s="36" t="n">
        <v>1.32</v>
      </c>
      <c r="X293" s="36" t="n">
        <v>0.97</v>
      </c>
      <c r="Y293" s="28" t="n">
        <v>1.39</v>
      </c>
      <c r="Z293" s="36" t="n">
        <v>1.25</v>
      </c>
      <c r="AA293" s="36" t="n">
        <v>1.56</v>
      </c>
      <c r="AB293" s="36" t="n">
        <v>1.55</v>
      </c>
      <c r="AC293" s="36" t="n">
        <v>1.67</v>
      </c>
      <c r="AD293" s="36" t="n">
        <v>1.62</v>
      </c>
      <c r="AE293" s="36" t="n">
        <v>1</v>
      </c>
      <c r="AF293" s="28" t="n">
        <v>1.67</v>
      </c>
      <c r="AG293" s="36" t="n">
        <v>1.27</v>
      </c>
      <c r="AH293" s="37" t="n">
        <v>1.27</v>
      </c>
      <c r="AI293" s="37" t="n">
        <v>1.31</v>
      </c>
      <c r="AJ293" s="37" t="n">
        <v>1.62</v>
      </c>
      <c r="AK293" s="37" t="n">
        <v>1.35</v>
      </c>
      <c r="AL293" s="37" t="n">
        <v>0.97</v>
      </c>
      <c r="AM293" s="37" t="n">
        <v>1.67</v>
      </c>
      <c r="AN293" s="37" t="n">
        <v>1.27</v>
      </c>
      <c r="AO293" s="37" t="n">
        <v>1.27</v>
      </c>
      <c r="AP293" s="37" t="n">
        <v>1.19</v>
      </c>
      <c r="AQ293" s="37" t="n">
        <v>1.41</v>
      </c>
      <c r="AR293" s="37" t="n">
        <v>1.32</v>
      </c>
      <c r="AS293" s="37" t="n">
        <v>0.97</v>
      </c>
      <c r="AT293" s="37" t="n">
        <v>1.71</v>
      </c>
      <c r="AU293" s="37" t="n">
        <v>1.62</v>
      </c>
      <c r="AV293" s="37" t="n">
        <v>1.27</v>
      </c>
      <c r="AW293" s="37" t="n">
        <v>1.19</v>
      </c>
      <c r="AX293" s="37" t="n">
        <v>1.41</v>
      </c>
      <c r="AY293" s="37" t="n">
        <v>1.32</v>
      </c>
      <c r="AZ293" s="37" t="n">
        <v>0.97</v>
      </c>
      <c r="BA293" s="37" t="n">
        <v>1.46</v>
      </c>
      <c r="BB293" s="37" t="n">
        <v>0.36</v>
      </c>
      <c r="BC293" s="37" t="n">
        <v>0.18</v>
      </c>
      <c r="BD293" s="37" t="n">
        <v>0.3</v>
      </c>
      <c r="BE293" s="37" t="n">
        <v>0.36</v>
      </c>
      <c r="BF293" s="37" t="n">
        <v>0.38</v>
      </c>
      <c r="BG293" s="37" t="n">
        <v>0.26</v>
      </c>
      <c r="BH293" s="37" t="n">
        <v>0.44</v>
      </c>
      <c r="BI293" s="37" t="n">
        <v>0.4</v>
      </c>
      <c r="BJ293" s="37" t="n">
        <v>0.4</v>
      </c>
      <c r="BK293" s="37" t="n">
        <v>0.38</v>
      </c>
      <c r="BL293" s="37" t="n">
        <v>0.36</v>
      </c>
      <c r="BM293" s="37" t="n">
        <v>0.38</v>
      </c>
      <c r="BN293" s="37" t="n">
        <v>0.28</v>
      </c>
      <c r="BO293" s="37" t="n">
        <v>0.47</v>
      </c>
      <c r="BP293" s="37" t="n">
        <v>0.43</v>
      </c>
      <c r="BQ293" s="37" t="n">
        <v>0.4</v>
      </c>
      <c r="BR293" s="37" t="n">
        <v>0.38</v>
      </c>
      <c r="BS293" s="37" t="n">
        <v>0.36</v>
      </c>
      <c r="BT293" s="37" t="n">
        <v>0.38</v>
      </c>
      <c r="BU293" s="37" t="n">
        <v>0.24</v>
      </c>
      <c r="BV293" s="37" t="n">
        <v>0.43</v>
      </c>
      <c r="BW293" s="37" t="n">
        <v>0.4</v>
      </c>
      <c r="BX293" s="37" t="n">
        <v>0.4</v>
      </c>
      <c r="BY293" s="37" t="n">
        <v>0.38</v>
      </c>
      <c r="BZ293" s="37" t="n">
        <v>0.36</v>
      </c>
      <c r="CA293" s="37" t="n">
        <v>0.38</v>
      </c>
      <c r="CB293" s="37" t="n">
        <v>0.24</v>
      </c>
      <c r="CC293" s="37" t="n">
        <v>65.90999999999998</v>
      </c>
    </row>
    <row r="294" ht="15.75" customHeight="1" s="57">
      <c r="A294" s="7" t="inlineStr">
        <is>
          <t>NTB</t>
        </is>
      </c>
      <c r="B294" s="7" t="inlineStr">
        <is>
          <t>Lâm Đồng</t>
        </is>
      </c>
      <c r="C294" s="7" t="n">
        <v>21130000</v>
      </c>
      <c r="D294" s="7" t="inlineStr">
        <is>
          <t>Kho Giao Hàng Nặng - TP Đà Lạt - Lâm Đồng</t>
        </is>
      </c>
      <c r="E294" s="7" t="inlineStr">
        <is>
          <t>SME</t>
        </is>
      </c>
      <c r="F294" s="36" t="n">
        <v>13</v>
      </c>
      <c r="G294" s="36" t="n">
        <v>1</v>
      </c>
      <c r="H294" s="36" t="n">
        <v>9</v>
      </c>
      <c r="I294" s="36" t="n">
        <v>0</v>
      </c>
      <c r="J294" s="36" t="n">
        <v>0</v>
      </c>
      <c r="K294" s="28" t="n">
        <v>11</v>
      </c>
      <c r="L294" s="36" t="n">
        <v>0</v>
      </c>
      <c r="M294" s="36" t="n">
        <v>0</v>
      </c>
      <c r="N294" s="36" t="n">
        <v>2</v>
      </c>
      <c r="O294" s="36" t="n">
        <v>12</v>
      </c>
      <c r="P294" s="36" t="n">
        <v>0</v>
      </c>
      <c r="Q294" s="36" t="n">
        <v>2</v>
      </c>
      <c r="R294" s="28" t="n">
        <v>1</v>
      </c>
      <c r="S294" s="36" t="n">
        <v>5</v>
      </c>
      <c r="T294" s="36" t="n">
        <v>16</v>
      </c>
      <c r="U294" s="36" t="n">
        <v>7.14</v>
      </c>
      <c r="V294" s="36" t="n">
        <v>7.38</v>
      </c>
      <c r="W294" s="36" t="n">
        <v>7.19</v>
      </c>
      <c r="X294" s="36" t="n">
        <v>5.89</v>
      </c>
      <c r="Y294" s="28" t="n">
        <v>7.96</v>
      </c>
      <c r="Z294" s="36" t="n">
        <v>7.33</v>
      </c>
      <c r="AA294" s="36" t="n">
        <v>7.16</v>
      </c>
      <c r="AB294" s="36" t="n">
        <v>7.14</v>
      </c>
      <c r="AC294" s="36" t="n">
        <v>7.38</v>
      </c>
      <c r="AD294" s="36" t="n">
        <v>7.79</v>
      </c>
      <c r="AE294" s="36" t="n">
        <v>5.89</v>
      </c>
      <c r="AF294" s="28" t="n">
        <v>7.96</v>
      </c>
      <c r="AG294" s="36" t="n">
        <v>7.33</v>
      </c>
      <c r="AH294" s="37" t="n">
        <v>7.16</v>
      </c>
      <c r="AI294" s="37" t="n">
        <v>7.14</v>
      </c>
      <c r="AJ294" s="37" t="n">
        <v>7.38</v>
      </c>
      <c r="AK294" s="37" t="n">
        <v>7.19</v>
      </c>
      <c r="AL294" s="37" t="n">
        <v>5.89</v>
      </c>
      <c r="AM294" s="37" t="n">
        <v>7.96</v>
      </c>
      <c r="AN294" s="37" t="n">
        <v>7.33</v>
      </c>
      <c r="AO294" s="37" t="n">
        <v>7.16</v>
      </c>
      <c r="AP294" s="37" t="n">
        <v>7.14</v>
      </c>
      <c r="AQ294" s="37" t="n">
        <v>7.38</v>
      </c>
      <c r="AR294" s="37" t="n">
        <v>7.19</v>
      </c>
      <c r="AS294" s="37" t="n">
        <v>5.89</v>
      </c>
      <c r="AT294" s="37" t="n">
        <v>7.96</v>
      </c>
      <c r="AU294" s="37" t="n">
        <v>7.33</v>
      </c>
      <c r="AV294" s="37" t="n">
        <v>7.16</v>
      </c>
      <c r="AW294" s="37" t="n">
        <v>7.14</v>
      </c>
      <c r="AX294" s="37" t="n">
        <v>7.38</v>
      </c>
      <c r="AY294" s="37" t="n">
        <v>7.19</v>
      </c>
      <c r="AZ294" s="37" t="n">
        <v>5.89</v>
      </c>
      <c r="BA294" s="37" t="n">
        <v>7.57</v>
      </c>
      <c r="BB294" s="37" t="n">
        <v>6.74</v>
      </c>
      <c r="BC294" s="37" t="n">
        <v>4.16</v>
      </c>
      <c r="BD294" s="37" t="n">
        <v>3.25</v>
      </c>
      <c r="BE294" s="37" t="n">
        <v>6.94</v>
      </c>
      <c r="BF294" s="37" t="n">
        <v>6.75</v>
      </c>
      <c r="BG294" s="37" t="n">
        <v>6.08</v>
      </c>
      <c r="BH294" s="37" t="n">
        <v>8.23</v>
      </c>
      <c r="BI294" s="37" t="n">
        <v>7.57</v>
      </c>
      <c r="BJ294" s="37" t="n">
        <v>8.039999999999999</v>
      </c>
      <c r="BK294" s="37" t="n">
        <v>7.36</v>
      </c>
      <c r="BL294" s="37" t="n">
        <v>7.62</v>
      </c>
      <c r="BM294" s="37" t="n">
        <v>7.41</v>
      </c>
      <c r="BN294" s="37" t="n">
        <v>6.08</v>
      </c>
      <c r="BO294" s="37" t="n">
        <v>8.23</v>
      </c>
      <c r="BP294" s="37" t="n">
        <v>7.57</v>
      </c>
      <c r="BQ294" s="37" t="n">
        <v>7.38</v>
      </c>
      <c r="BR294" s="37" t="n">
        <v>7.36</v>
      </c>
      <c r="BS294" s="37" t="n">
        <v>7.62</v>
      </c>
      <c r="BT294" s="37" t="n">
        <v>7.41</v>
      </c>
      <c r="BU294" s="37" t="n">
        <v>6.08</v>
      </c>
      <c r="BV294" s="37" t="n">
        <v>8.23</v>
      </c>
      <c r="BW294" s="37" t="n">
        <v>7.57</v>
      </c>
      <c r="BX294" s="37" t="n">
        <v>7.38</v>
      </c>
      <c r="BY294" s="37" t="n">
        <v>7.36</v>
      </c>
      <c r="BZ294" s="37" t="n">
        <v>7.62</v>
      </c>
      <c r="CA294" s="37" t="n">
        <v>7.41</v>
      </c>
      <c r="CB294" s="37" t="n">
        <v>6.08</v>
      </c>
      <c r="CC294" s="37" t="n">
        <v>497.5</v>
      </c>
    </row>
    <row r="295" ht="15.75" customHeight="1" s="57">
      <c r="A295" s="7" t="inlineStr">
        <is>
          <t>NTB</t>
        </is>
      </c>
      <c r="B295" s="7" t="inlineStr">
        <is>
          <t>Lâm Đồng</t>
        </is>
      </c>
      <c r="C295" s="7" t="n">
        <v>21131000</v>
      </c>
      <c r="D295" s="7" t="inlineStr">
        <is>
          <t>Kho Giao Hàng Nặng - TP Bảo Lộc - Lâm Đồng</t>
        </is>
      </c>
      <c r="E295" s="7" t="inlineStr">
        <is>
          <t>SME</t>
        </is>
      </c>
      <c r="F295" s="36" t="n">
        <v>5</v>
      </c>
      <c r="G295" s="36" t="n">
        <v>0</v>
      </c>
      <c r="H295" s="36" t="n">
        <v>3</v>
      </c>
      <c r="I295" s="36" t="n">
        <v>0</v>
      </c>
      <c r="J295" s="36" t="n">
        <v>0</v>
      </c>
      <c r="K295" s="28" t="n">
        <v>4</v>
      </c>
      <c r="L295" s="36" t="n">
        <v>0</v>
      </c>
      <c r="M295" s="36" t="n">
        <v>0</v>
      </c>
      <c r="N295" s="36" t="n">
        <v>3</v>
      </c>
      <c r="O295" s="36" t="n">
        <v>1</v>
      </c>
      <c r="P295" s="36" t="n">
        <v>3</v>
      </c>
      <c r="Q295" s="36" t="n">
        <v>0</v>
      </c>
      <c r="R295" s="28" t="n">
        <v>0</v>
      </c>
      <c r="S295" s="36" t="n">
        <v>0</v>
      </c>
      <c r="T295" s="36" t="n">
        <v>2</v>
      </c>
      <c r="U295" s="36" t="n">
        <v>1.25</v>
      </c>
      <c r="V295" s="36" t="n">
        <v>1.29</v>
      </c>
      <c r="W295" s="36" t="n">
        <v>1.25</v>
      </c>
      <c r="X295" s="36" t="n">
        <v>1.03</v>
      </c>
      <c r="Y295" s="28" t="n">
        <v>1.39</v>
      </c>
      <c r="Z295" s="36" t="n">
        <v>1.28</v>
      </c>
      <c r="AA295" s="36" t="n">
        <v>1.25</v>
      </c>
      <c r="AB295" s="36" t="n">
        <v>1.25</v>
      </c>
      <c r="AC295" s="36" t="n">
        <v>1.29</v>
      </c>
      <c r="AD295" s="36" t="n">
        <v>1.36</v>
      </c>
      <c r="AE295" s="36" t="n">
        <v>1.03</v>
      </c>
      <c r="AF295" s="28" t="n">
        <v>1.39</v>
      </c>
      <c r="AG295" s="36" t="n">
        <v>1.28</v>
      </c>
      <c r="AH295" s="37" t="n">
        <v>1.25</v>
      </c>
      <c r="AI295" s="37" t="n">
        <v>1.25</v>
      </c>
      <c r="AJ295" s="37" t="n">
        <v>1.29</v>
      </c>
      <c r="AK295" s="37" t="n">
        <v>1.25</v>
      </c>
      <c r="AL295" s="37" t="n">
        <v>1.03</v>
      </c>
      <c r="AM295" s="37" t="n">
        <v>1.39</v>
      </c>
      <c r="AN295" s="37" t="n">
        <v>1.28</v>
      </c>
      <c r="AO295" s="37" t="n">
        <v>1.25</v>
      </c>
      <c r="AP295" s="37" t="n">
        <v>1.25</v>
      </c>
      <c r="AQ295" s="37" t="n">
        <v>1.29</v>
      </c>
      <c r="AR295" s="37" t="n">
        <v>1.25</v>
      </c>
      <c r="AS295" s="37" t="n">
        <v>1.03</v>
      </c>
      <c r="AT295" s="37" t="n">
        <v>1.39</v>
      </c>
      <c r="AU295" s="37" t="n">
        <v>1.28</v>
      </c>
      <c r="AV295" s="37" t="n">
        <v>1.25</v>
      </c>
      <c r="AW295" s="37" t="n">
        <v>1.25</v>
      </c>
      <c r="AX295" s="37" t="n">
        <v>1.29</v>
      </c>
      <c r="AY295" s="37" t="n">
        <v>1.25</v>
      </c>
      <c r="AZ295" s="37" t="n">
        <v>1.03</v>
      </c>
      <c r="BA295" s="37" t="n">
        <v>1.33</v>
      </c>
      <c r="BB295" s="37" t="n">
        <v>1.17</v>
      </c>
      <c r="BC295" s="37" t="n">
        <v>0.72</v>
      </c>
      <c r="BD295" s="37" t="n">
        <v>0.5600000000000001</v>
      </c>
      <c r="BE295" s="37" t="n">
        <v>1.21</v>
      </c>
      <c r="BF295" s="37" t="n">
        <v>1.18</v>
      </c>
      <c r="BG295" s="37" t="n">
        <v>1.06</v>
      </c>
      <c r="BH295" s="37" t="n">
        <v>1.43</v>
      </c>
      <c r="BI295" s="37" t="n">
        <v>1.31</v>
      </c>
      <c r="BJ295" s="37" t="n">
        <v>1.4</v>
      </c>
      <c r="BK295" s="37" t="n">
        <v>1.28</v>
      </c>
      <c r="BL295" s="37" t="n">
        <v>1.32</v>
      </c>
      <c r="BM295" s="37" t="n">
        <v>1.29</v>
      </c>
      <c r="BN295" s="37" t="n">
        <v>1.06</v>
      </c>
      <c r="BO295" s="37" t="n">
        <v>1.43</v>
      </c>
      <c r="BP295" s="37" t="n">
        <v>1.31</v>
      </c>
      <c r="BQ295" s="37" t="n">
        <v>1.29</v>
      </c>
      <c r="BR295" s="37" t="n">
        <v>1.28</v>
      </c>
      <c r="BS295" s="37" t="n">
        <v>1.32</v>
      </c>
      <c r="BT295" s="37" t="n">
        <v>1.29</v>
      </c>
      <c r="BU295" s="37" t="n">
        <v>1.06</v>
      </c>
      <c r="BV295" s="37" t="n">
        <v>1.43</v>
      </c>
      <c r="BW295" s="37" t="n">
        <v>1.31</v>
      </c>
      <c r="BX295" s="37" t="n">
        <v>1.29</v>
      </c>
      <c r="BY295" s="37" t="n">
        <v>1.28</v>
      </c>
      <c r="BZ295" s="37" t="n">
        <v>1.32</v>
      </c>
      <c r="CA295" s="37" t="n">
        <v>1.29</v>
      </c>
      <c r="CB295" s="37" t="n">
        <v>1.06</v>
      </c>
      <c r="CC295" s="37" t="n">
        <v>95.17000000000007</v>
      </c>
    </row>
    <row r="296" ht="15.75" customHeight="1" s="57">
      <c r="A296" s="7" t="inlineStr">
        <is>
          <t>NTB</t>
        </is>
      </c>
      <c r="B296" s="7" t="inlineStr">
        <is>
          <t>Lâm Đồng</t>
        </is>
      </c>
      <c r="C296" s="7" t="n">
        <v>21131000</v>
      </c>
      <c r="D296" s="7" t="inlineStr">
        <is>
          <t>Kho Giao Hàng Nặng - TP Bảo Lộc - Lâm Đồng</t>
        </is>
      </c>
      <c r="E296" s="7" t="inlineStr">
        <is>
          <t>SME-Bulky</t>
        </is>
      </c>
      <c r="F296" s="36" t="n">
        <v>0</v>
      </c>
      <c r="G296" s="36" t="n">
        <v>0</v>
      </c>
      <c r="H296" s="36" t="n">
        <v>0</v>
      </c>
      <c r="I296" s="36" t="n">
        <v>0</v>
      </c>
      <c r="J296" s="36" t="n">
        <v>0</v>
      </c>
      <c r="K296" s="28" t="n">
        <v>0</v>
      </c>
      <c r="L296" s="36" t="n">
        <v>0</v>
      </c>
      <c r="M296" s="36" t="n">
        <v>1</v>
      </c>
      <c r="N296" s="36" t="n">
        <v>0</v>
      </c>
      <c r="O296" s="36" t="n">
        <v>0</v>
      </c>
      <c r="P296" s="36" t="n">
        <v>0</v>
      </c>
      <c r="Q296" s="36" t="n">
        <v>0</v>
      </c>
      <c r="R296" s="28" t="n">
        <v>0</v>
      </c>
      <c r="S296" s="36" t="n">
        <v>0</v>
      </c>
      <c r="T296" s="36" t="n">
        <v>0</v>
      </c>
      <c r="U296" s="36" t="n">
        <v>0.14</v>
      </c>
      <c r="V296" s="36" t="n">
        <v>0.13</v>
      </c>
      <c r="W296" s="36" t="n">
        <v>0.13</v>
      </c>
      <c r="X296" s="36" t="n">
        <v>0.09</v>
      </c>
      <c r="Y296" s="28" t="n">
        <v>0.15</v>
      </c>
      <c r="Z296" s="36" t="n">
        <v>0.15</v>
      </c>
      <c r="AA296" s="36" t="n">
        <v>0.15</v>
      </c>
      <c r="AB296" s="36" t="n">
        <v>0.14</v>
      </c>
      <c r="AC296" s="36" t="n">
        <v>0.13</v>
      </c>
      <c r="AD296" s="36" t="n">
        <v>0.1</v>
      </c>
      <c r="AE296" s="36" t="n">
        <v>0.09</v>
      </c>
      <c r="AF296" s="28" t="n">
        <v>0.15</v>
      </c>
      <c r="AG296" s="36" t="n">
        <v>0.15</v>
      </c>
      <c r="AH296" s="37" t="n">
        <v>0.15</v>
      </c>
      <c r="AI296" s="37" t="n">
        <v>0.14</v>
      </c>
      <c r="AJ296" s="37" t="n">
        <v>0.13</v>
      </c>
      <c r="AK296" s="37" t="n">
        <v>0.13</v>
      </c>
      <c r="AL296" s="37" t="n">
        <v>0.09</v>
      </c>
      <c r="AM296" s="37" t="n">
        <v>0.15</v>
      </c>
      <c r="AN296" s="37" t="n">
        <v>0.15</v>
      </c>
      <c r="AO296" s="37" t="n">
        <v>0.15</v>
      </c>
      <c r="AP296" s="37" t="n">
        <v>0.14</v>
      </c>
      <c r="AQ296" s="37" t="n">
        <v>0.13</v>
      </c>
      <c r="AR296" s="37" t="n">
        <v>0.13</v>
      </c>
      <c r="AS296" s="37" t="n">
        <v>0.09</v>
      </c>
      <c r="AT296" s="37" t="n">
        <v>0.15</v>
      </c>
      <c r="AU296" s="37" t="n">
        <v>0.15</v>
      </c>
      <c r="AV296" s="37" t="n">
        <v>0.15</v>
      </c>
      <c r="AW296" s="37" t="n">
        <v>0.14</v>
      </c>
      <c r="AX296" s="37" t="n">
        <v>0.13</v>
      </c>
      <c r="AY296" s="37" t="n">
        <v>0.13</v>
      </c>
      <c r="AZ296" s="37" t="n">
        <v>0.09</v>
      </c>
      <c r="BA296" s="37" t="n">
        <v>0.17</v>
      </c>
      <c r="BB296" s="37" t="n">
        <v>0.09</v>
      </c>
      <c r="BC296" s="37" t="n">
        <v>0.05</v>
      </c>
      <c r="BD296" s="37" t="n">
        <v>0.03</v>
      </c>
      <c r="BE296" s="37" t="n">
        <v>0.08</v>
      </c>
      <c r="BF296" s="37" t="n">
        <v>0.07000000000000001</v>
      </c>
      <c r="BG296" s="37" t="n">
        <v>0.05</v>
      </c>
      <c r="BH296" s="37" t="n">
        <v>0.09</v>
      </c>
      <c r="BI296" s="37" t="n">
        <v>0.09</v>
      </c>
      <c r="BJ296" s="37" t="n">
        <v>0.07000000000000001</v>
      </c>
      <c r="BK296" s="37" t="n">
        <v>0.08</v>
      </c>
      <c r="BL296" s="37" t="n">
        <v>0.08</v>
      </c>
      <c r="BM296" s="37" t="n">
        <v>0.07000000000000001</v>
      </c>
      <c r="BN296" s="37" t="n">
        <v>0.05</v>
      </c>
      <c r="BO296" s="37" t="n">
        <v>0.09</v>
      </c>
      <c r="BP296" s="37" t="n">
        <v>0.09</v>
      </c>
      <c r="BQ296" s="37" t="n">
        <v>0.08</v>
      </c>
      <c r="BR296" s="37" t="n">
        <v>0.08</v>
      </c>
      <c r="BS296" s="37" t="n">
        <v>0.08</v>
      </c>
      <c r="BT296" s="37" t="n">
        <v>0.07000000000000001</v>
      </c>
      <c r="BU296" s="37" t="n">
        <v>0.05</v>
      </c>
      <c r="BV296" s="37" t="n">
        <v>0.09</v>
      </c>
      <c r="BW296" s="37" t="n">
        <v>0.09</v>
      </c>
      <c r="BX296" s="37" t="n">
        <v>0.08</v>
      </c>
      <c r="BY296" s="37" t="n">
        <v>0.08</v>
      </c>
      <c r="BZ296" s="37" t="n">
        <v>0.08</v>
      </c>
      <c r="CA296" s="37" t="n">
        <v>0.07000000000000001</v>
      </c>
      <c r="CB296" s="37" t="n">
        <v>0.05</v>
      </c>
      <c r="CC296" s="37" t="n">
        <v>7.369999999999999</v>
      </c>
    </row>
    <row r="297" ht="15.75" customHeight="1" s="57">
      <c r="A297" s="7" t="inlineStr">
        <is>
          <t>NTB</t>
        </is>
      </c>
      <c r="B297" s="7" t="inlineStr">
        <is>
          <t>Lâm Đồng</t>
        </is>
      </c>
      <c r="C297" s="7" t="n">
        <v>21294000</v>
      </c>
      <c r="D297" s="7" t="inlineStr">
        <is>
          <t>(LDO) Đinh Văn Lâm Hà</t>
        </is>
      </c>
      <c r="E297" s="7" t="inlineStr">
        <is>
          <t>SME</t>
        </is>
      </c>
      <c r="F297" s="36" t="n">
        <v>54</v>
      </c>
      <c r="G297" s="36" t="n">
        <v>73</v>
      </c>
      <c r="H297" s="36" t="n">
        <v>41</v>
      </c>
      <c r="I297" s="36" t="n">
        <v>54</v>
      </c>
      <c r="J297" s="36" t="n">
        <v>39</v>
      </c>
      <c r="K297" s="28" t="n">
        <v>37</v>
      </c>
      <c r="L297" s="36" t="n">
        <v>54</v>
      </c>
      <c r="M297" s="36" t="n">
        <v>58</v>
      </c>
      <c r="N297" s="36" t="n">
        <v>22</v>
      </c>
      <c r="O297" s="36" t="n">
        <v>42</v>
      </c>
      <c r="P297" s="36" t="n">
        <v>65</v>
      </c>
      <c r="Q297" s="36" t="n">
        <v>31</v>
      </c>
      <c r="R297" s="28" t="n">
        <v>38</v>
      </c>
      <c r="S297" s="36" t="n">
        <v>51</v>
      </c>
      <c r="T297" s="36" t="n">
        <v>34</v>
      </c>
      <c r="U297" s="36" t="n">
        <v>56.22</v>
      </c>
      <c r="V297" s="36" t="n">
        <v>58.07</v>
      </c>
      <c r="W297" s="36" t="n">
        <v>56.52</v>
      </c>
      <c r="X297" s="36" t="n">
        <v>46.23</v>
      </c>
      <c r="Y297" s="28" t="n">
        <v>62.62</v>
      </c>
      <c r="Z297" s="36" t="n">
        <v>57.64</v>
      </c>
      <c r="AA297" s="36" t="n">
        <v>56.21</v>
      </c>
      <c r="AB297" s="36" t="n">
        <v>56.22</v>
      </c>
      <c r="AC297" s="36" t="n">
        <v>58.07</v>
      </c>
      <c r="AD297" s="36" t="n">
        <v>61.13</v>
      </c>
      <c r="AE297" s="36" t="n">
        <v>46.23</v>
      </c>
      <c r="AF297" s="28" t="n">
        <v>62.62</v>
      </c>
      <c r="AG297" s="36" t="n">
        <v>57.64</v>
      </c>
      <c r="AH297" s="37" t="n">
        <v>56.21</v>
      </c>
      <c r="AI297" s="37" t="n">
        <v>56.22</v>
      </c>
      <c r="AJ297" s="37" t="n">
        <v>58.07</v>
      </c>
      <c r="AK297" s="37" t="n">
        <v>56.52</v>
      </c>
      <c r="AL297" s="37" t="n">
        <v>46.23</v>
      </c>
      <c r="AM297" s="37" t="n">
        <v>62.62</v>
      </c>
      <c r="AN297" s="37" t="n">
        <v>57.64</v>
      </c>
      <c r="AO297" s="37" t="n">
        <v>56.21</v>
      </c>
      <c r="AP297" s="37" t="n">
        <v>56.22</v>
      </c>
      <c r="AQ297" s="37" t="n">
        <v>58.07</v>
      </c>
      <c r="AR297" s="37" t="n">
        <v>56.52</v>
      </c>
      <c r="AS297" s="37" t="n">
        <v>46.23</v>
      </c>
      <c r="AT297" s="37" t="n">
        <v>62.62</v>
      </c>
      <c r="AU297" s="37" t="n">
        <v>57.64</v>
      </c>
      <c r="AV297" s="37" t="n">
        <v>56.21</v>
      </c>
      <c r="AW297" s="37" t="n">
        <v>56.22</v>
      </c>
      <c r="AX297" s="37" t="n">
        <v>58.07</v>
      </c>
      <c r="AY297" s="37" t="n">
        <v>56.52</v>
      </c>
      <c r="AZ297" s="37" t="n">
        <v>46.23</v>
      </c>
      <c r="BA297" s="37" t="n">
        <v>59.55</v>
      </c>
      <c r="BB297" s="37" t="n">
        <v>52.89</v>
      </c>
      <c r="BC297" s="37" t="n">
        <v>32.41</v>
      </c>
      <c r="BD297" s="37" t="n">
        <v>25.3</v>
      </c>
      <c r="BE297" s="37" t="n">
        <v>54.38</v>
      </c>
      <c r="BF297" s="37" t="n">
        <v>53.02</v>
      </c>
      <c r="BG297" s="37" t="n">
        <v>47.62</v>
      </c>
      <c r="BH297" s="37" t="n">
        <v>64.59</v>
      </c>
      <c r="BI297" s="37" t="n">
        <v>59.37</v>
      </c>
      <c r="BJ297" s="37" t="n">
        <v>62.9</v>
      </c>
      <c r="BK297" s="37" t="n">
        <v>57.84999999999999</v>
      </c>
      <c r="BL297" s="37" t="n">
        <v>59.82</v>
      </c>
      <c r="BM297" s="37" t="n">
        <v>58.18</v>
      </c>
      <c r="BN297" s="37" t="n">
        <v>47.62</v>
      </c>
      <c r="BO297" s="37" t="n">
        <v>64.59</v>
      </c>
      <c r="BP297" s="37" t="n">
        <v>59.37</v>
      </c>
      <c r="BQ297" s="37" t="n">
        <v>57.85</v>
      </c>
      <c r="BR297" s="37" t="n">
        <v>57.84999999999999</v>
      </c>
      <c r="BS297" s="37" t="n">
        <v>59.82</v>
      </c>
      <c r="BT297" s="37" t="n">
        <v>58.18</v>
      </c>
      <c r="BU297" s="37" t="n">
        <v>47.62</v>
      </c>
      <c r="BV297" s="37" t="n">
        <v>64.59</v>
      </c>
      <c r="BW297" s="37" t="n">
        <v>59.37</v>
      </c>
      <c r="BX297" s="37" t="n">
        <v>57.85</v>
      </c>
      <c r="BY297" s="37" t="n">
        <v>57.84999999999999</v>
      </c>
      <c r="BZ297" s="37" t="n">
        <v>59.82</v>
      </c>
      <c r="CA297" s="37" t="n">
        <v>58.18</v>
      </c>
      <c r="CB297" s="37" t="n">
        <v>47.62</v>
      </c>
      <c r="CC297" s="37" t="n">
        <v>4034.75</v>
      </c>
    </row>
    <row r="298" ht="15.75" customHeight="1" s="57">
      <c r="A298" s="7" t="inlineStr">
        <is>
          <t>NTB</t>
        </is>
      </c>
      <c r="B298" s="7" t="inlineStr">
        <is>
          <t>Lâm Đồng</t>
        </is>
      </c>
      <c r="C298" s="7" t="n">
        <v>21294000</v>
      </c>
      <c r="D298" s="7" t="inlineStr">
        <is>
          <t>(LDO) Đinh Văn Lâm Hà</t>
        </is>
      </c>
      <c r="E298" s="7" t="inlineStr">
        <is>
          <t>SME-Bulky</t>
        </is>
      </c>
      <c r="F298" s="36" t="n">
        <v>7</v>
      </c>
      <c r="G298" s="36" t="n">
        <v>20</v>
      </c>
      <c r="H298" s="36" t="n">
        <v>5</v>
      </c>
      <c r="I298" s="36" t="n">
        <v>4</v>
      </c>
      <c r="J298" s="36" t="n">
        <v>3</v>
      </c>
      <c r="K298" s="28" t="n">
        <v>13</v>
      </c>
      <c r="L298" s="36" t="n">
        <v>7</v>
      </c>
      <c r="M298" s="36" t="n">
        <v>10</v>
      </c>
      <c r="N298" s="36" t="n">
        <v>2</v>
      </c>
      <c r="O298" s="36" t="n">
        <v>3</v>
      </c>
      <c r="P298" s="36" t="n">
        <v>7</v>
      </c>
      <c r="Q298" s="36" t="n">
        <v>7</v>
      </c>
      <c r="R298" s="28" t="n">
        <v>4</v>
      </c>
      <c r="S298" s="36" t="n">
        <v>5</v>
      </c>
      <c r="T298" s="36" t="n">
        <v>5</v>
      </c>
      <c r="U298" s="36" t="n">
        <v>4.92</v>
      </c>
      <c r="V298" s="36" t="n">
        <v>4.85</v>
      </c>
      <c r="W298" s="36" t="n">
        <v>4.72</v>
      </c>
      <c r="X298" s="36" t="n">
        <v>3.39</v>
      </c>
      <c r="Y298" s="28" t="n">
        <v>5.54</v>
      </c>
      <c r="Z298" s="36" t="n">
        <v>5.38</v>
      </c>
      <c r="AA298" s="36" t="n">
        <v>5.31</v>
      </c>
      <c r="AB298" s="36" t="n">
        <v>4.92</v>
      </c>
      <c r="AC298" s="36" t="n">
        <v>4.85</v>
      </c>
      <c r="AD298" s="36" t="n">
        <v>3.71</v>
      </c>
      <c r="AE298" s="36" t="n">
        <v>3.39</v>
      </c>
      <c r="AF298" s="28" t="n">
        <v>5.54</v>
      </c>
      <c r="AG298" s="36" t="n">
        <v>5.38</v>
      </c>
      <c r="AH298" s="37" t="n">
        <v>5.31</v>
      </c>
      <c r="AI298" s="37" t="n">
        <v>4.92</v>
      </c>
      <c r="AJ298" s="37" t="n">
        <v>4.85</v>
      </c>
      <c r="AK298" s="37" t="n">
        <v>4.72</v>
      </c>
      <c r="AL298" s="37" t="n">
        <v>3.39</v>
      </c>
      <c r="AM298" s="37" t="n">
        <v>5.54</v>
      </c>
      <c r="AN298" s="37" t="n">
        <v>5.38</v>
      </c>
      <c r="AO298" s="37" t="n">
        <v>5.31</v>
      </c>
      <c r="AP298" s="37" t="n">
        <v>4.92</v>
      </c>
      <c r="AQ298" s="37" t="n">
        <v>4.85</v>
      </c>
      <c r="AR298" s="37" t="n">
        <v>4.72</v>
      </c>
      <c r="AS298" s="37" t="n">
        <v>3.39</v>
      </c>
      <c r="AT298" s="37" t="n">
        <v>5.54</v>
      </c>
      <c r="AU298" s="37" t="n">
        <v>5.38</v>
      </c>
      <c r="AV298" s="37" t="n">
        <v>5.31</v>
      </c>
      <c r="AW298" s="37" t="n">
        <v>4.92</v>
      </c>
      <c r="AX298" s="37" t="n">
        <v>4.85</v>
      </c>
      <c r="AY298" s="37" t="n">
        <v>4.72</v>
      </c>
      <c r="AZ298" s="37" t="n">
        <v>3.39</v>
      </c>
      <c r="BA298" s="37" t="n">
        <v>6.06</v>
      </c>
      <c r="BB298" s="37" t="n">
        <v>3.19</v>
      </c>
      <c r="BC298" s="37" t="n">
        <v>1.63</v>
      </c>
      <c r="BD298" s="37" t="n">
        <v>1.24</v>
      </c>
      <c r="BE298" s="37" t="n">
        <v>2.87</v>
      </c>
      <c r="BF298" s="37" t="n">
        <v>2.67</v>
      </c>
      <c r="BG298" s="37" t="n">
        <v>1.86</v>
      </c>
      <c r="BH298" s="37" t="n">
        <v>3.23</v>
      </c>
      <c r="BI298" s="37" t="n">
        <v>3.19</v>
      </c>
      <c r="BJ298" s="37" t="n">
        <v>2.44</v>
      </c>
      <c r="BK298" s="37" t="n">
        <v>2.83</v>
      </c>
      <c r="BL298" s="37" t="n">
        <v>2.83</v>
      </c>
      <c r="BM298" s="37" t="n">
        <v>2.67</v>
      </c>
      <c r="BN298" s="37" t="n">
        <v>1.86</v>
      </c>
      <c r="BO298" s="37" t="n">
        <v>3.23</v>
      </c>
      <c r="BP298" s="37" t="n">
        <v>3.19</v>
      </c>
      <c r="BQ298" s="37" t="n">
        <v>3.03</v>
      </c>
      <c r="BR298" s="37" t="n">
        <v>2.83</v>
      </c>
      <c r="BS298" s="37" t="n">
        <v>2.83</v>
      </c>
      <c r="BT298" s="37" t="n">
        <v>2.67</v>
      </c>
      <c r="BU298" s="37" t="n">
        <v>1.86</v>
      </c>
      <c r="BV298" s="37" t="n">
        <v>3.23</v>
      </c>
      <c r="BW298" s="37" t="n">
        <v>3.19</v>
      </c>
      <c r="BX298" s="37" t="n">
        <v>3.03</v>
      </c>
      <c r="BY298" s="37" t="n">
        <v>2.83</v>
      </c>
      <c r="BZ298" s="37" t="n">
        <v>2.83</v>
      </c>
      <c r="CA298" s="37" t="n">
        <v>2.67</v>
      </c>
      <c r="CB298" s="37" t="n">
        <v>1.86</v>
      </c>
      <c r="CC298" s="37" t="n">
        <v>333.1599999999999</v>
      </c>
    </row>
    <row r="299" ht="15.75" customHeight="1" s="57">
      <c r="A299" s="7" t="inlineStr">
        <is>
          <t>NTB</t>
        </is>
      </c>
      <c r="B299" s="7" t="inlineStr">
        <is>
          <t>Lâm Đồng</t>
        </is>
      </c>
      <c r="C299" s="7" t="n">
        <v>21294000</v>
      </c>
      <c r="D299" s="7" t="inlineStr">
        <is>
          <t>(LDO) Đinh Văn Lâm Hà</t>
        </is>
      </c>
      <c r="E299" s="7" t="inlineStr">
        <is>
          <t>Shopee</t>
        </is>
      </c>
      <c r="F299" s="36" t="n">
        <v>6</v>
      </c>
      <c r="G299" s="36" t="n">
        <v>6</v>
      </c>
      <c r="H299" s="36" t="n">
        <v>9</v>
      </c>
      <c r="I299" s="36" t="n">
        <v>6</v>
      </c>
      <c r="J299" s="36" t="n">
        <v>11</v>
      </c>
      <c r="K299" s="28" t="n">
        <v>20</v>
      </c>
      <c r="L299" s="36" t="n">
        <v>15</v>
      </c>
      <c r="M299" s="36" t="n">
        <v>12</v>
      </c>
      <c r="N299" s="36" t="n">
        <v>22</v>
      </c>
      <c r="O299" s="36" t="n">
        <v>12</v>
      </c>
      <c r="P299" s="36" t="n">
        <v>6</v>
      </c>
      <c r="Q299" s="36" t="n">
        <v>21</v>
      </c>
      <c r="R299" s="28" t="n">
        <v>12</v>
      </c>
      <c r="S299" s="36" t="n">
        <v>18</v>
      </c>
      <c r="T299" s="36" t="n">
        <v>12</v>
      </c>
      <c r="U299" s="36" t="n">
        <v>16.51</v>
      </c>
      <c r="V299" s="36" t="n">
        <v>16.68</v>
      </c>
      <c r="W299" s="36" t="n">
        <v>15.98</v>
      </c>
      <c r="X299" s="36" t="n">
        <v>13.81</v>
      </c>
      <c r="Y299" s="28" t="n">
        <v>22.35</v>
      </c>
      <c r="Z299" s="36" t="n">
        <v>17.72</v>
      </c>
      <c r="AA299" s="36" t="n">
        <v>21.65</v>
      </c>
      <c r="AB299" s="36" t="n">
        <v>16.96</v>
      </c>
      <c r="AC299" s="36" t="n">
        <v>13.62</v>
      </c>
      <c r="AD299" s="36" t="n">
        <v>36.21</v>
      </c>
      <c r="AE299" s="36" t="n">
        <v>14.81</v>
      </c>
      <c r="AF299" s="28" t="n">
        <v>24.54</v>
      </c>
      <c r="AG299" s="36" t="n">
        <v>18.59</v>
      </c>
      <c r="AH299" s="37" t="n">
        <v>19.61</v>
      </c>
      <c r="AI299" s="37" t="n">
        <v>16.51</v>
      </c>
      <c r="AJ299" s="37" t="n">
        <v>16.68</v>
      </c>
      <c r="AK299" s="37" t="n">
        <v>17.64</v>
      </c>
      <c r="AL299" s="37" t="n">
        <v>24.8</v>
      </c>
      <c r="AM299" s="37" t="n">
        <v>22.35</v>
      </c>
      <c r="AN299" s="37" t="n">
        <v>17.72</v>
      </c>
      <c r="AO299" s="37" t="n">
        <v>19.61</v>
      </c>
      <c r="AP299" s="37" t="n">
        <v>18.25</v>
      </c>
      <c r="AQ299" s="37" t="n">
        <v>13.32</v>
      </c>
      <c r="AR299" s="37" t="n">
        <v>15.98</v>
      </c>
      <c r="AS299" s="37" t="n">
        <v>13.81</v>
      </c>
      <c r="AT299" s="37" t="n">
        <v>22.35</v>
      </c>
      <c r="AU299" s="37" t="n">
        <v>19.49</v>
      </c>
      <c r="AV299" s="37" t="n">
        <v>20.1</v>
      </c>
      <c r="AW299" s="37" t="n">
        <v>16.51</v>
      </c>
      <c r="AX299" s="37" t="n">
        <v>16.68</v>
      </c>
      <c r="AY299" s="37" t="n">
        <v>15.98</v>
      </c>
      <c r="AZ299" s="37" t="n">
        <v>13.81</v>
      </c>
      <c r="BA299" s="37" t="n">
        <v>19.23</v>
      </c>
      <c r="BB299" s="37" t="n">
        <v>13.22</v>
      </c>
      <c r="BC299" s="37" t="n">
        <v>5.93</v>
      </c>
      <c r="BD299" s="37" t="n">
        <v>9.9</v>
      </c>
      <c r="BE299" s="37" t="n">
        <v>19.85</v>
      </c>
      <c r="BF299" s="37" t="n">
        <v>19.12</v>
      </c>
      <c r="BG299" s="37" t="n">
        <v>13.49</v>
      </c>
      <c r="BH299" s="37" t="n">
        <v>21.31</v>
      </c>
      <c r="BI299" s="37" t="n">
        <v>13.98</v>
      </c>
      <c r="BJ299" s="37" t="n">
        <v>51.3</v>
      </c>
      <c r="BK299" s="37" t="n">
        <v>16.91</v>
      </c>
      <c r="BL299" s="37" t="n">
        <v>16.68</v>
      </c>
      <c r="BM299" s="37" t="n">
        <v>15.24</v>
      </c>
      <c r="BN299" s="37" t="n">
        <v>13.24</v>
      </c>
      <c r="BO299" s="37" t="n">
        <v>21.31</v>
      </c>
      <c r="BP299" s="37" t="n">
        <v>18.51</v>
      </c>
      <c r="BQ299" s="37" t="n">
        <v>28.6</v>
      </c>
      <c r="BR299" s="37" t="n">
        <v>15.72</v>
      </c>
      <c r="BS299" s="37" t="n">
        <v>15.89</v>
      </c>
      <c r="BT299" s="37" t="n">
        <v>15.24</v>
      </c>
      <c r="BU299" s="37" t="n">
        <v>14.47</v>
      </c>
      <c r="BV299" s="37" t="n">
        <v>17.08</v>
      </c>
      <c r="BW299" s="37" t="n">
        <v>16.87</v>
      </c>
      <c r="BX299" s="37" t="n">
        <v>18.64</v>
      </c>
      <c r="BY299" s="37" t="n">
        <v>15.72</v>
      </c>
      <c r="BZ299" s="37" t="n">
        <v>17.4</v>
      </c>
      <c r="CA299" s="37" t="n">
        <v>15.58</v>
      </c>
      <c r="CB299" s="37" t="n">
        <v>13.24</v>
      </c>
      <c r="CC299" s="37" t="n">
        <v>1272.3</v>
      </c>
    </row>
    <row r="300" ht="15.75" customHeight="1" s="57">
      <c r="A300" s="7" t="inlineStr">
        <is>
          <t>NTB</t>
        </is>
      </c>
      <c r="B300" s="7" t="inlineStr">
        <is>
          <t>Lâm Đồng</t>
        </is>
      </c>
      <c r="C300" s="7" t="n">
        <v>21294000</v>
      </c>
      <c r="D300" s="7" t="inlineStr">
        <is>
          <t>(LDO) Đinh Văn Lâm Hà</t>
        </is>
      </c>
      <c r="E300" s="7" t="inlineStr">
        <is>
          <t>Shopee-Bulky</t>
        </is>
      </c>
      <c r="F300" s="36" t="n">
        <v>0.65</v>
      </c>
      <c r="G300" s="36" t="n">
        <v>0.65</v>
      </c>
      <c r="H300" s="36" t="n">
        <v>0</v>
      </c>
      <c r="I300" s="36" t="n">
        <v>0</v>
      </c>
      <c r="J300" s="36" t="n">
        <v>1.31</v>
      </c>
      <c r="K300" s="28" t="n">
        <v>1.31</v>
      </c>
      <c r="L300" s="36" t="n">
        <v>1.31</v>
      </c>
      <c r="M300" s="36" t="n">
        <v>0</v>
      </c>
      <c r="N300" s="36" t="n">
        <v>0</v>
      </c>
      <c r="O300" s="36" t="n">
        <v>1.31</v>
      </c>
      <c r="P300" s="36" t="n">
        <v>0.65</v>
      </c>
      <c r="Q300" s="36" t="n">
        <v>1.96</v>
      </c>
      <c r="R300" s="28" t="n">
        <v>1.31</v>
      </c>
      <c r="S300" s="36" t="n">
        <v>0</v>
      </c>
      <c r="T300" s="36" t="n">
        <v>0</v>
      </c>
      <c r="U300" s="36" t="n">
        <v>0.76</v>
      </c>
      <c r="V300" s="36" t="n">
        <v>0.73</v>
      </c>
      <c r="W300" s="36" t="n">
        <v>0.96</v>
      </c>
      <c r="X300" s="36" t="n">
        <v>0.57</v>
      </c>
      <c r="Y300" s="28" t="n">
        <v>1.19</v>
      </c>
      <c r="Z300" s="36" t="n">
        <v>0.87</v>
      </c>
      <c r="AA300" s="36" t="n">
        <v>1.53</v>
      </c>
      <c r="AB300" s="36" t="n">
        <v>0.87</v>
      </c>
      <c r="AC300" s="36" t="n">
        <v>1.02</v>
      </c>
      <c r="AD300" s="36" t="n">
        <v>3.09</v>
      </c>
      <c r="AE300" s="36" t="n">
        <v>2.67</v>
      </c>
      <c r="AF300" s="28" t="n">
        <v>2.55</v>
      </c>
      <c r="AG300" s="36" t="n">
        <v>1.34</v>
      </c>
      <c r="AH300" s="37" t="n">
        <v>0.83</v>
      </c>
      <c r="AI300" s="37" t="n">
        <v>0.96</v>
      </c>
      <c r="AJ300" s="37" t="n">
        <v>0.8</v>
      </c>
      <c r="AK300" s="37" t="n">
        <v>1.91</v>
      </c>
      <c r="AL300" s="37" t="n">
        <v>1.04</v>
      </c>
      <c r="AM300" s="37" t="n">
        <v>1.57</v>
      </c>
      <c r="AN300" s="37" t="n">
        <v>0.87</v>
      </c>
      <c r="AO300" s="37" t="n">
        <v>0.84</v>
      </c>
      <c r="AP300" s="37" t="n">
        <v>1.71</v>
      </c>
      <c r="AQ300" s="37" t="n">
        <v>1.14</v>
      </c>
      <c r="AR300" s="37" t="n">
        <v>0.85</v>
      </c>
      <c r="AS300" s="37" t="n">
        <v>0.43</v>
      </c>
      <c r="AT300" s="37" t="n">
        <v>1.15</v>
      </c>
      <c r="AU300" s="37" t="n">
        <v>2.06</v>
      </c>
      <c r="AV300" s="37" t="n">
        <v>2.1</v>
      </c>
      <c r="AW300" s="37" t="n">
        <v>0.83</v>
      </c>
      <c r="AX300" s="37" t="n">
        <v>0.8</v>
      </c>
      <c r="AY300" s="37" t="n">
        <v>0.83</v>
      </c>
      <c r="AZ300" s="37" t="n">
        <v>0.43</v>
      </c>
      <c r="BA300" s="37" t="n">
        <v>1.07</v>
      </c>
      <c r="BB300" s="37" t="n">
        <v>0.66</v>
      </c>
      <c r="BC300" s="37" t="n">
        <v>0.14</v>
      </c>
      <c r="BD300" s="37" t="n">
        <v>0.27</v>
      </c>
      <c r="BE300" s="37" t="n">
        <v>1.25</v>
      </c>
      <c r="BF300" s="37" t="n">
        <v>1.04</v>
      </c>
      <c r="BG300" s="37" t="n">
        <v>0.66</v>
      </c>
      <c r="BH300" s="37" t="n">
        <v>1.52</v>
      </c>
      <c r="BI300" s="37" t="n">
        <v>1.13</v>
      </c>
      <c r="BJ300" s="37" t="n">
        <v>5.58</v>
      </c>
      <c r="BK300" s="37" t="n">
        <v>2.55</v>
      </c>
      <c r="BL300" s="37" t="n">
        <v>1.44</v>
      </c>
      <c r="BM300" s="37" t="n">
        <v>0.87</v>
      </c>
      <c r="BN300" s="37" t="n">
        <v>0.62</v>
      </c>
      <c r="BO300" s="37" t="n">
        <v>1.82</v>
      </c>
      <c r="BP300" s="37" t="n">
        <v>2.63</v>
      </c>
      <c r="BQ300" s="37" t="n">
        <v>2.06</v>
      </c>
      <c r="BR300" s="37" t="n">
        <v>1.04</v>
      </c>
      <c r="BS300" s="37" t="n">
        <v>1.02</v>
      </c>
      <c r="BT300" s="37" t="n">
        <v>0.83</v>
      </c>
      <c r="BU300" s="37" t="n">
        <v>1.36</v>
      </c>
      <c r="BV300" s="37" t="n">
        <v>1.63</v>
      </c>
      <c r="BW300" s="37" t="n">
        <v>1.13</v>
      </c>
      <c r="BX300" s="37" t="n">
        <v>1.09</v>
      </c>
      <c r="BY300" s="37" t="n">
        <v>1.04</v>
      </c>
      <c r="BZ300" s="37" t="n">
        <v>2.08</v>
      </c>
      <c r="CA300" s="37" t="n">
        <v>1.04</v>
      </c>
      <c r="CB300" s="37" t="n">
        <v>0.58</v>
      </c>
      <c r="CC300" s="37" t="n">
        <v>87.91000000000001</v>
      </c>
    </row>
    <row r="301" ht="15.75" customHeight="1" s="57">
      <c r="A301" s="7" t="inlineStr">
        <is>
          <t>NTB</t>
        </is>
      </c>
      <c r="B301" s="7" t="inlineStr">
        <is>
          <t>Lâm Đồng</t>
        </is>
      </c>
      <c r="C301" s="7" t="n">
        <v>21294000</v>
      </c>
      <c r="D301" s="7" t="inlineStr">
        <is>
          <t>(LDO) Đinh Văn Lâm Hà</t>
        </is>
      </c>
      <c r="E301" s="7" t="inlineStr">
        <is>
          <t>Shopee-Bulky (10-15kg)</t>
        </is>
      </c>
      <c r="F301" s="36" t="n">
        <v>0.35</v>
      </c>
      <c r="G301" s="36" t="n">
        <v>0.35</v>
      </c>
      <c r="H301" s="36" t="n">
        <v>0</v>
      </c>
      <c r="I301" s="36" t="n">
        <v>0</v>
      </c>
      <c r="J301" s="36" t="n">
        <v>0.6899999999999999</v>
      </c>
      <c r="K301" s="28" t="n">
        <v>0.6899999999999999</v>
      </c>
      <c r="L301" s="36" t="n">
        <v>0.6899999999999999</v>
      </c>
      <c r="M301" s="36" t="n">
        <v>0</v>
      </c>
      <c r="N301" s="36" t="n">
        <v>0</v>
      </c>
      <c r="O301" s="36" t="n">
        <v>0.6899999999999999</v>
      </c>
      <c r="P301" s="36" t="n">
        <v>0.35</v>
      </c>
      <c r="Q301" s="36" t="n">
        <v>1.04</v>
      </c>
      <c r="R301" s="28" t="n">
        <v>0.6899999999999999</v>
      </c>
      <c r="S301" s="36" t="n">
        <v>0</v>
      </c>
      <c r="T301" s="36" t="n">
        <v>0</v>
      </c>
      <c r="U301" s="36" t="n">
        <v>0.39</v>
      </c>
      <c r="V301" s="36" t="n">
        <v>0.38</v>
      </c>
      <c r="W301" s="36" t="n">
        <v>0.47</v>
      </c>
      <c r="X301" s="36" t="n">
        <v>0.28</v>
      </c>
      <c r="Y301" s="28" t="n">
        <v>0.6899999999999999</v>
      </c>
      <c r="Z301" s="36" t="n">
        <v>0.46</v>
      </c>
      <c r="AA301" s="36" t="n">
        <v>0.84</v>
      </c>
      <c r="AB301" s="36" t="n">
        <v>0.43</v>
      </c>
      <c r="AC301" s="36" t="n">
        <v>0.46</v>
      </c>
      <c r="AD301" s="36" t="n">
        <v>2.25</v>
      </c>
      <c r="AE301" s="36" t="n">
        <v>1.53</v>
      </c>
      <c r="AF301" s="28" t="n">
        <v>1.28</v>
      </c>
      <c r="AG301" s="36" t="n">
        <v>0.99</v>
      </c>
      <c r="AH301" s="37" t="n">
        <v>0.46</v>
      </c>
      <c r="AI301" s="37" t="n">
        <v>0.46</v>
      </c>
      <c r="AJ301" s="37" t="n">
        <v>0.46</v>
      </c>
      <c r="AK301" s="37" t="n">
        <v>1.19</v>
      </c>
      <c r="AL301" s="37" t="n">
        <v>0.47</v>
      </c>
      <c r="AM301" s="37" t="n">
        <v>0.95</v>
      </c>
      <c r="AN301" s="37" t="n">
        <v>0.46</v>
      </c>
      <c r="AO301" s="37" t="n">
        <v>0.43</v>
      </c>
      <c r="AP301" s="37" t="n">
        <v>0.87</v>
      </c>
      <c r="AQ301" s="37" t="n">
        <v>0.57</v>
      </c>
      <c r="AR301" s="37" t="n">
        <v>0.43</v>
      </c>
      <c r="AS301" s="37" t="n">
        <v>0.22</v>
      </c>
      <c r="AT301" s="37" t="n">
        <v>0.68</v>
      </c>
      <c r="AU301" s="37" t="n">
        <v>1.09</v>
      </c>
      <c r="AV301" s="37" t="n">
        <v>1.21</v>
      </c>
      <c r="AW301" s="37" t="n">
        <v>0.41</v>
      </c>
      <c r="AX301" s="37" t="n">
        <v>0.38</v>
      </c>
      <c r="AY301" s="37" t="n">
        <v>0.42</v>
      </c>
      <c r="AZ301" s="37" t="n">
        <v>0.22</v>
      </c>
      <c r="BA301" s="37" t="n">
        <v>0.52</v>
      </c>
      <c r="BB301" s="37" t="n">
        <v>0.33</v>
      </c>
      <c r="BC301" s="37" t="n">
        <v>0.05</v>
      </c>
      <c r="BD301" s="37" t="n">
        <v>0.11</v>
      </c>
      <c r="BE301" s="37" t="n">
        <v>0.64</v>
      </c>
      <c r="BF301" s="37" t="n">
        <v>0.53</v>
      </c>
      <c r="BG301" s="37" t="n">
        <v>0.3</v>
      </c>
      <c r="BH301" s="37" t="n">
        <v>0.92</v>
      </c>
      <c r="BI301" s="37" t="n">
        <v>0.5</v>
      </c>
      <c r="BJ301" s="37" t="n">
        <v>3.12</v>
      </c>
      <c r="BK301" s="37" t="n">
        <v>1.13</v>
      </c>
      <c r="BL301" s="37" t="n">
        <v>0.84</v>
      </c>
      <c r="BM301" s="37" t="n">
        <v>0.41</v>
      </c>
      <c r="BN301" s="37" t="n">
        <v>0.3</v>
      </c>
      <c r="BO301" s="37" t="n">
        <v>0.87</v>
      </c>
      <c r="BP301" s="37" t="n">
        <v>1.13</v>
      </c>
      <c r="BQ301" s="37" t="n">
        <v>1.06</v>
      </c>
      <c r="BR301" s="37" t="n">
        <v>0.53</v>
      </c>
      <c r="BS301" s="37" t="n">
        <v>0.49</v>
      </c>
      <c r="BT301" s="37" t="n">
        <v>0.41</v>
      </c>
      <c r="BU301" s="37" t="n">
        <v>0.53</v>
      </c>
      <c r="BV301" s="37" t="n">
        <v>0.99</v>
      </c>
      <c r="BW301" s="37" t="n">
        <v>0.5</v>
      </c>
      <c r="BX301" s="37" t="n">
        <v>0.57</v>
      </c>
      <c r="BY301" s="37" t="n">
        <v>0.53</v>
      </c>
      <c r="BZ301" s="37" t="n">
        <v>0.98</v>
      </c>
      <c r="CA301" s="37" t="n">
        <v>0.53</v>
      </c>
      <c r="CB301" s="37" t="n">
        <v>0.3</v>
      </c>
      <c r="CC301" s="37" t="n">
        <v>46.49</v>
      </c>
    </row>
    <row r="302" ht="15.75" customHeight="1" s="57">
      <c r="A302" s="7" t="inlineStr">
        <is>
          <t>NTB</t>
        </is>
      </c>
      <c r="B302" s="7" t="inlineStr">
        <is>
          <t>Lâm Đồng</t>
        </is>
      </c>
      <c r="C302" s="7" t="n">
        <v>21294000</v>
      </c>
      <c r="D302" s="7" t="inlineStr">
        <is>
          <t>(LDO) Đinh Văn Lâm Hà</t>
        </is>
      </c>
      <c r="E302" s="7" t="inlineStr">
        <is>
          <t>TTS</t>
        </is>
      </c>
      <c r="F302" s="36" t="n">
        <v>9</v>
      </c>
      <c r="G302" s="36" t="n">
        <v>7</v>
      </c>
      <c r="H302" s="36" t="n">
        <v>9</v>
      </c>
      <c r="I302" s="36" t="n">
        <v>19</v>
      </c>
      <c r="J302" s="36" t="n">
        <v>10</v>
      </c>
      <c r="K302" s="28" t="n">
        <v>4</v>
      </c>
      <c r="L302" s="36" t="n">
        <v>12</v>
      </c>
      <c r="M302" s="36" t="n">
        <v>12</v>
      </c>
      <c r="N302" s="36" t="n">
        <v>11</v>
      </c>
      <c r="O302" s="36" t="n">
        <v>10</v>
      </c>
      <c r="P302" s="36" t="n">
        <v>6</v>
      </c>
      <c r="Q302" s="36" t="n">
        <v>8</v>
      </c>
      <c r="R302" s="28" t="n">
        <v>8</v>
      </c>
      <c r="S302" s="36" t="n">
        <v>10</v>
      </c>
      <c r="T302" s="36" t="n">
        <v>7</v>
      </c>
      <c r="U302" s="36" t="n">
        <v>4.63</v>
      </c>
      <c r="V302" s="36" t="n">
        <v>4.58</v>
      </c>
      <c r="W302" s="36" t="n">
        <v>4.47</v>
      </c>
      <c r="X302" s="36" t="n">
        <v>3.6</v>
      </c>
      <c r="Y302" s="28" t="n">
        <v>5.25</v>
      </c>
      <c r="Z302" s="36" t="n">
        <v>4.46</v>
      </c>
      <c r="AA302" s="36" t="n">
        <v>4.97</v>
      </c>
      <c r="AB302" s="36" t="n">
        <v>5.52</v>
      </c>
      <c r="AC302" s="36" t="n">
        <v>5.86</v>
      </c>
      <c r="AD302" s="36" t="n">
        <v>8.119999999999999</v>
      </c>
      <c r="AE302" s="36" t="n">
        <v>4.19</v>
      </c>
      <c r="AF302" s="28" t="n">
        <v>5.39</v>
      </c>
      <c r="AG302" s="36" t="n">
        <v>4.56</v>
      </c>
      <c r="AH302" s="37" t="n">
        <v>4.5</v>
      </c>
      <c r="AI302" s="37" t="n">
        <v>5.2</v>
      </c>
      <c r="AJ302" s="37" t="n">
        <v>5.56</v>
      </c>
      <c r="AK302" s="37" t="n">
        <v>5.46</v>
      </c>
      <c r="AL302" s="37" t="n">
        <v>3.91</v>
      </c>
      <c r="AM302" s="37" t="n">
        <v>5.33</v>
      </c>
      <c r="AN302" s="37" t="n">
        <v>4.6</v>
      </c>
      <c r="AO302" s="37" t="n">
        <v>4.56</v>
      </c>
      <c r="AP302" s="37" t="n">
        <v>4.46</v>
      </c>
      <c r="AQ302" s="37" t="n">
        <v>4.49</v>
      </c>
      <c r="AR302" s="37" t="n">
        <v>4.4</v>
      </c>
      <c r="AS302" s="37" t="n">
        <v>3.61</v>
      </c>
      <c r="AT302" s="37" t="n">
        <v>5.76</v>
      </c>
      <c r="AU302" s="37" t="n">
        <v>5.22</v>
      </c>
      <c r="AV302" s="37" t="n">
        <v>4.62</v>
      </c>
      <c r="AW302" s="37" t="n">
        <v>4.4</v>
      </c>
      <c r="AX302" s="37" t="n">
        <v>4.38</v>
      </c>
      <c r="AY302" s="37" t="n">
        <v>4.35</v>
      </c>
      <c r="AZ302" s="37" t="n">
        <v>3.61</v>
      </c>
      <c r="BA302" s="37" t="n">
        <v>5.18</v>
      </c>
      <c r="BB302" s="37" t="n">
        <v>4.88</v>
      </c>
      <c r="BC302" s="37" t="n">
        <v>2.46</v>
      </c>
      <c r="BD302" s="37" t="n">
        <v>3.5</v>
      </c>
      <c r="BE302" s="37" t="n">
        <v>8.15</v>
      </c>
      <c r="BF302" s="37" t="n">
        <v>7.89</v>
      </c>
      <c r="BG302" s="37" t="n">
        <v>3.92</v>
      </c>
      <c r="BH302" s="37" t="n">
        <v>5.75</v>
      </c>
      <c r="BI302" s="37" t="n">
        <v>4.88</v>
      </c>
      <c r="BJ302" s="37" t="n">
        <v>6.14</v>
      </c>
      <c r="BK302" s="37" t="n">
        <v>4.95</v>
      </c>
      <c r="BL302" s="37" t="n">
        <v>4.96</v>
      </c>
      <c r="BM302" s="37" t="n">
        <v>4.81</v>
      </c>
      <c r="BN302" s="37" t="n">
        <v>3.92</v>
      </c>
      <c r="BO302" s="37" t="n">
        <v>5.75</v>
      </c>
      <c r="BP302" s="37" t="n">
        <v>4.88</v>
      </c>
      <c r="BQ302" s="37" t="n">
        <v>4.82</v>
      </c>
      <c r="BR302" s="37" t="n">
        <v>4.95</v>
      </c>
      <c r="BS302" s="37" t="n">
        <v>4.96</v>
      </c>
      <c r="BT302" s="37" t="n">
        <v>4.81</v>
      </c>
      <c r="BU302" s="37" t="n">
        <v>3.92</v>
      </c>
      <c r="BV302" s="37" t="n">
        <v>5.75</v>
      </c>
      <c r="BW302" s="37" t="n">
        <v>4.88</v>
      </c>
      <c r="BX302" s="37" t="n">
        <v>4.82</v>
      </c>
      <c r="BY302" s="37" t="n">
        <v>4.95</v>
      </c>
      <c r="BZ302" s="37" t="n">
        <v>4.96</v>
      </c>
      <c r="CA302" s="37" t="n">
        <v>4.81</v>
      </c>
      <c r="CB302" s="37" t="n">
        <v>3.92</v>
      </c>
      <c r="CC302" s="37" t="n">
        <v>435.59</v>
      </c>
    </row>
    <row r="303" ht="15.75" customHeight="1" s="57">
      <c r="A303" s="7" t="inlineStr">
        <is>
          <t>NTB</t>
        </is>
      </c>
      <c r="B303" s="7" t="inlineStr">
        <is>
          <t>Lâm Đồng</t>
        </is>
      </c>
      <c r="C303" s="7" t="n">
        <v>21377000</v>
      </c>
      <c r="D303" s="7" t="inlineStr">
        <is>
          <t>(LDO) Đơn Dương</t>
        </is>
      </c>
      <c r="E303" s="7" t="inlineStr">
        <is>
          <t>SME</t>
        </is>
      </c>
      <c r="F303" s="36" t="n">
        <v>40</v>
      </c>
      <c r="G303" s="36" t="n">
        <v>28</v>
      </c>
      <c r="H303" s="36" t="n">
        <v>22</v>
      </c>
      <c r="I303" s="36" t="n">
        <v>16</v>
      </c>
      <c r="J303" s="36" t="n">
        <v>24</v>
      </c>
      <c r="K303" s="28" t="n">
        <v>22</v>
      </c>
      <c r="L303" s="36" t="n">
        <v>13</v>
      </c>
      <c r="M303" s="36" t="n">
        <v>15</v>
      </c>
      <c r="N303" s="36" t="n">
        <v>17</v>
      </c>
      <c r="O303" s="36" t="n">
        <v>23</v>
      </c>
      <c r="P303" s="36" t="n">
        <v>14</v>
      </c>
      <c r="Q303" s="36" t="n">
        <v>16</v>
      </c>
      <c r="R303" s="28" t="n">
        <v>18</v>
      </c>
      <c r="S303" s="36" t="n">
        <v>13</v>
      </c>
      <c r="T303" s="36" t="n">
        <v>18</v>
      </c>
      <c r="U303" s="36" t="n">
        <v>26.53</v>
      </c>
      <c r="V303" s="36" t="n">
        <v>27.4</v>
      </c>
      <c r="W303" s="36" t="n">
        <v>26.66</v>
      </c>
      <c r="X303" s="36" t="n">
        <v>21.77</v>
      </c>
      <c r="Y303" s="28" t="n">
        <v>29.54</v>
      </c>
      <c r="Z303" s="36" t="n">
        <v>27.16</v>
      </c>
      <c r="AA303" s="36" t="n">
        <v>26.46</v>
      </c>
      <c r="AB303" s="36" t="n">
        <v>26.53</v>
      </c>
      <c r="AC303" s="36" t="n">
        <v>27.4</v>
      </c>
      <c r="AD303" s="36" t="n">
        <v>28.76</v>
      </c>
      <c r="AE303" s="36" t="n">
        <v>21.77</v>
      </c>
      <c r="AF303" s="28" t="n">
        <v>29.54</v>
      </c>
      <c r="AG303" s="36" t="n">
        <v>27.16</v>
      </c>
      <c r="AH303" s="37" t="n">
        <v>26.46</v>
      </c>
      <c r="AI303" s="37" t="n">
        <v>26.53</v>
      </c>
      <c r="AJ303" s="37" t="n">
        <v>27.4</v>
      </c>
      <c r="AK303" s="37" t="n">
        <v>26.66</v>
      </c>
      <c r="AL303" s="37" t="n">
        <v>21.77</v>
      </c>
      <c r="AM303" s="37" t="n">
        <v>29.54</v>
      </c>
      <c r="AN303" s="37" t="n">
        <v>27.16</v>
      </c>
      <c r="AO303" s="37" t="n">
        <v>26.46</v>
      </c>
      <c r="AP303" s="37" t="n">
        <v>26.53</v>
      </c>
      <c r="AQ303" s="37" t="n">
        <v>27.4</v>
      </c>
      <c r="AR303" s="37" t="n">
        <v>26.66</v>
      </c>
      <c r="AS303" s="37" t="n">
        <v>21.77</v>
      </c>
      <c r="AT303" s="37" t="n">
        <v>29.54</v>
      </c>
      <c r="AU303" s="37" t="n">
        <v>27.16</v>
      </c>
      <c r="AV303" s="37" t="n">
        <v>26.46</v>
      </c>
      <c r="AW303" s="37" t="n">
        <v>26.53</v>
      </c>
      <c r="AX303" s="37" t="n">
        <v>27.4</v>
      </c>
      <c r="AY303" s="37" t="n">
        <v>26.66</v>
      </c>
      <c r="AZ303" s="37" t="n">
        <v>21.77</v>
      </c>
      <c r="BA303" s="37" t="n">
        <v>28.09</v>
      </c>
      <c r="BB303" s="37" t="n">
        <v>24.87</v>
      </c>
      <c r="BC303" s="37" t="n">
        <v>15.15</v>
      </c>
      <c r="BD303" s="37" t="n">
        <v>11.82</v>
      </c>
      <c r="BE303" s="37" t="n">
        <v>25.57</v>
      </c>
      <c r="BF303" s="37" t="n">
        <v>24.96</v>
      </c>
      <c r="BG303" s="37" t="n">
        <v>22.38</v>
      </c>
      <c r="BH303" s="37" t="n">
        <v>30.41</v>
      </c>
      <c r="BI303" s="37" t="n">
        <v>27.93</v>
      </c>
      <c r="BJ303" s="37" t="n">
        <v>29.53</v>
      </c>
      <c r="BK303" s="37" t="n">
        <v>27.25</v>
      </c>
      <c r="BL303" s="37" t="n">
        <v>28.16</v>
      </c>
      <c r="BM303" s="37" t="n">
        <v>27.38</v>
      </c>
      <c r="BN303" s="37" t="n">
        <v>22.38</v>
      </c>
      <c r="BO303" s="37" t="n">
        <v>30.41</v>
      </c>
      <c r="BP303" s="37" t="n">
        <v>27.93</v>
      </c>
      <c r="BQ303" s="37" t="n">
        <v>27.19</v>
      </c>
      <c r="BR303" s="37" t="n">
        <v>27.25</v>
      </c>
      <c r="BS303" s="37" t="n">
        <v>28.16</v>
      </c>
      <c r="BT303" s="37" t="n">
        <v>27.38</v>
      </c>
      <c r="BU303" s="37" t="n">
        <v>22.38</v>
      </c>
      <c r="BV303" s="37" t="n">
        <v>30.41</v>
      </c>
      <c r="BW303" s="37" t="n">
        <v>27.93</v>
      </c>
      <c r="BX303" s="37" t="n">
        <v>27.19</v>
      </c>
      <c r="BY303" s="37" t="n">
        <v>27.25</v>
      </c>
      <c r="BZ303" s="37" t="n">
        <v>28.16</v>
      </c>
      <c r="CA303" s="37" t="n">
        <v>27.38</v>
      </c>
      <c r="CB303" s="37" t="n">
        <v>22.38</v>
      </c>
      <c r="CC303" s="37" t="n">
        <v>1872.820000000001</v>
      </c>
    </row>
    <row r="304" ht="15.75" customHeight="1" s="57">
      <c r="A304" s="7" t="inlineStr">
        <is>
          <t>NTB</t>
        </is>
      </c>
      <c r="B304" s="7" t="inlineStr">
        <is>
          <t>Lâm Đồng</t>
        </is>
      </c>
      <c r="C304" s="7" t="n">
        <v>21377000</v>
      </c>
      <c r="D304" s="7" t="inlineStr">
        <is>
          <t>(LDO) Đơn Dương</t>
        </is>
      </c>
      <c r="E304" s="7" t="inlineStr">
        <is>
          <t>SME-Bulky</t>
        </is>
      </c>
      <c r="F304" s="36" t="n">
        <v>10</v>
      </c>
      <c r="G304" s="36" t="n">
        <v>5</v>
      </c>
      <c r="H304" s="36" t="n">
        <v>6</v>
      </c>
      <c r="I304" s="36" t="n">
        <v>3</v>
      </c>
      <c r="J304" s="36" t="n">
        <v>6</v>
      </c>
      <c r="K304" s="28" t="n">
        <v>2</v>
      </c>
      <c r="L304" s="36" t="n">
        <v>6</v>
      </c>
      <c r="M304" s="36" t="n">
        <v>2</v>
      </c>
      <c r="N304" s="36" t="n">
        <v>9</v>
      </c>
      <c r="O304" s="36" t="n">
        <v>8</v>
      </c>
      <c r="P304" s="36" t="n">
        <v>1</v>
      </c>
      <c r="Q304" s="36" t="n">
        <v>2</v>
      </c>
      <c r="R304" s="28" t="n">
        <v>4</v>
      </c>
      <c r="S304" s="36" t="n">
        <v>1</v>
      </c>
      <c r="T304" s="36" t="n">
        <v>7</v>
      </c>
      <c r="U304" s="36" t="n">
        <v>4.51</v>
      </c>
      <c r="V304" s="36" t="n">
        <v>4.45</v>
      </c>
      <c r="W304" s="36" t="n">
        <v>4.33</v>
      </c>
      <c r="X304" s="36" t="n">
        <v>3.11</v>
      </c>
      <c r="Y304" s="28" t="n">
        <v>5.08</v>
      </c>
      <c r="Z304" s="36" t="n">
        <v>4.93</v>
      </c>
      <c r="AA304" s="36" t="n">
        <v>4.87</v>
      </c>
      <c r="AB304" s="36" t="n">
        <v>4.51</v>
      </c>
      <c r="AC304" s="36" t="n">
        <v>4.45</v>
      </c>
      <c r="AD304" s="36" t="n">
        <v>3.4</v>
      </c>
      <c r="AE304" s="36" t="n">
        <v>3.11</v>
      </c>
      <c r="AF304" s="28" t="n">
        <v>5.08</v>
      </c>
      <c r="AG304" s="36" t="n">
        <v>4.93</v>
      </c>
      <c r="AH304" s="37" t="n">
        <v>4.87</v>
      </c>
      <c r="AI304" s="37" t="n">
        <v>4.51</v>
      </c>
      <c r="AJ304" s="37" t="n">
        <v>4.45</v>
      </c>
      <c r="AK304" s="37" t="n">
        <v>4.33</v>
      </c>
      <c r="AL304" s="37" t="n">
        <v>3.11</v>
      </c>
      <c r="AM304" s="37" t="n">
        <v>5.08</v>
      </c>
      <c r="AN304" s="37" t="n">
        <v>4.93</v>
      </c>
      <c r="AO304" s="37" t="n">
        <v>4.87</v>
      </c>
      <c r="AP304" s="37" t="n">
        <v>4.51</v>
      </c>
      <c r="AQ304" s="37" t="n">
        <v>4.45</v>
      </c>
      <c r="AR304" s="37" t="n">
        <v>4.33</v>
      </c>
      <c r="AS304" s="37" t="n">
        <v>3.11</v>
      </c>
      <c r="AT304" s="37" t="n">
        <v>5.08</v>
      </c>
      <c r="AU304" s="37" t="n">
        <v>4.93</v>
      </c>
      <c r="AV304" s="37" t="n">
        <v>4.87</v>
      </c>
      <c r="AW304" s="37" t="n">
        <v>4.51</v>
      </c>
      <c r="AX304" s="37" t="n">
        <v>4.45</v>
      </c>
      <c r="AY304" s="37" t="n">
        <v>4.33</v>
      </c>
      <c r="AZ304" s="37" t="n">
        <v>3.11</v>
      </c>
      <c r="BA304" s="37" t="n">
        <v>5.55</v>
      </c>
      <c r="BB304" s="37" t="n">
        <v>2.93</v>
      </c>
      <c r="BC304" s="37" t="n">
        <v>1.49</v>
      </c>
      <c r="BD304" s="37" t="n">
        <v>1.13</v>
      </c>
      <c r="BE304" s="37" t="n">
        <v>2.63</v>
      </c>
      <c r="BF304" s="37" t="n">
        <v>2.45</v>
      </c>
      <c r="BG304" s="37" t="n">
        <v>1.7</v>
      </c>
      <c r="BH304" s="37" t="n">
        <v>2.96</v>
      </c>
      <c r="BI304" s="37" t="n">
        <v>2.93</v>
      </c>
      <c r="BJ304" s="37" t="n">
        <v>2.24</v>
      </c>
      <c r="BK304" s="37" t="n">
        <v>2.6</v>
      </c>
      <c r="BL304" s="37" t="n">
        <v>2.6</v>
      </c>
      <c r="BM304" s="37" t="n">
        <v>2.45</v>
      </c>
      <c r="BN304" s="37" t="n">
        <v>1.7</v>
      </c>
      <c r="BO304" s="37" t="n">
        <v>2.96</v>
      </c>
      <c r="BP304" s="37" t="n">
        <v>2.93</v>
      </c>
      <c r="BQ304" s="37" t="n">
        <v>2.78</v>
      </c>
      <c r="BR304" s="37" t="n">
        <v>2.6</v>
      </c>
      <c r="BS304" s="37" t="n">
        <v>2.6</v>
      </c>
      <c r="BT304" s="37" t="n">
        <v>2.45</v>
      </c>
      <c r="BU304" s="37" t="n">
        <v>1.7</v>
      </c>
      <c r="BV304" s="37" t="n">
        <v>2.96</v>
      </c>
      <c r="BW304" s="37" t="n">
        <v>2.93</v>
      </c>
      <c r="BX304" s="37" t="n">
        <v>2.78</v>
      </c>
      <c r="BY304" s="37" t="n">
        <v>2.6</v>
      </c>
      <c r="BZ304" s="37" t="n">
        <v>2.6</v>
      </c>
      <c r="CA304" s="37" t="n">
        <v>2.45</v>
      </c>
      <c r="CB304" s="37" t="n">
        <v>1.7</v>
      </c>
      <c r="CC304" s="37" t="n">
        <v>283.9900000000001</v>
      </c>
    </row>
    <row r="305" ht="15.75" customHeight="1" s="57">
      <c r="A305" s="7" t="inlineStr">
        <is>
          <t>NTB</t>
        </is>
      </c>
      <c r="B305" s="7" t="inlineStr">
        <is>
          <t>Lâm Đồng</t>
        </is>
      </c>
      <c r="C305" s="7" t="n">
        <v>21377000</v>
      </c>
      <c r="D305" s="7" t="inlineStr">
        <is>
          <t>(LDO) Đơn Dương</t>
        </is>
      </c>
      <c r="E305" s="7" t="inlineStr">
        <is>
          <t>Shopee</t>
        </is>
      </c>
      <c r="F305" s="36" t="n">
        <v>24</v>
      </c>
      <c r="G305" s="36" t="n">
        <v>32</v>
      </c>
      <c r="H305" s="36" t="n">
        <v>33</v>
      </c>
      <c r="I305" s="36" t="n">
        <v>15</v>
      </c>
      <c r="J305" s="36" t="n">
        <v>25</v>
      </c>
      <c r="K305" s="28" t="n">
        <v>25</v>
      </c>
      <c r="L305" s="36" t="n">
        <v>26</v>
      </c>
      <c r="M305" s="36" t="n">
        <v>31</v>
      </c>
      <c r="N305" s="36" t="n">
        <v>9</v>
      </c>
      <c r="O305" s="36" t="n">
        <v>19</v>
      </c>
      <c r="P305" s="36" t="n">
        <v>18</v>
      </c>
      <c r="Q305" s="36" t="n">
        <v>25</v>
      </c>
      <c r="R305" s="28" t="n">
        <v>24</v>
      </c>
      <c r="S305" s="36" t="n">
        <v>19</v>
      </c>
      <c r="T305" s="36" t="n">
        <v>26</v>
      </c>
      <c r="U305" s="36" t="n">
        <v>23.61</v>
      </c>
      <c r="V305" s="36" t="n">
        <v>23.85</v>
      </c>
      <c r="W305" s="36" t="n">
        <v>22.85</v>
      </c>
      <c r="X305" s="36" t="n">
        <v>19.75</v>
      </c>
      <c r="Y305" s="28" t="n">
        <v>31.97</v>
      </c>
      <c r="Z305" s="36" t="n">
        <v>25.34</v>
      </c>
      <c r="AA305" s="36" t="n">
        <v>30.96</v>
      </c>
      <c r="AB305" s="36" t="n">
        <v>24.25</v>
      </c>
      <c r="AC305" s="36" t="n">
        <v>19.48</v>
      </c>
      <c r="AD305" s="36" t="n">
        <v>51.78</v>
      </c>
      <c r="AE305" s="36" t="n">
        <v>21.18</v>
      </c>
      <c r="AF305" s="28" t="n">
        <v>35.1</v>
      </c>
      <c r="AG305" s="36" t="n">
        <v>26.59</v>
      </c>
      <c r="AH305" s="37" t="n">
        <v>28.05</v>
      </c>
      <c r="AI305" s="37" t="n">
        <v>23.61</v>
      </c>
      <c r="AJ305" s="37" t="n">
        <v>23.85</v>
      </c>
      <c r="AK305" s="37" t="n">
        <v>25.22</v>
      </c>
      <c r="AL305" s="37" t="n">
        <v>35.46</v>
      </c>
      <c r="AM305" s="37" t="n">
        <v>31.97</v>
      </c>
      <c r="AN305" s="37" t="n">
        <v>25.34</v>
      </c>
      <c r="AO305" s="37" t="n">
        <v>28.05</v>
      </c>
      <c r="AP305" s="37" t="n">
        <v>26.1</v>
      </c>
      <c r="AQ305" s="37" t="n">
        <v>19.05</v>
      </c>
      <c r="AR305" s="37" t="n">
        <v>22.85</v>
      </c>
      <c r="AS305" s="37" t="n">
        <v>19.75</v>
      </c>
      <c r="AT305" s="37" t="n">
        <v>31.97</v>
      </c>
      <c r="AU305" s="37" t="n">
        <v>27.86</v>
      </c>
      <c r="AV305" s="37" t="n">
        <v>28.75</v>
      </c>
      <c r="AW305" s="37" t="n">
        <v>23.61</v>
      </c>
      <c r="AX305" s="37" t="n">
        <v>23.85</v>
      </c>
      <c r="AY305" s="37" t="n">
        <v>22.85</v>
      </c>
      <c r="AZ305" s="37" t="n">
        <v>19.75</v>
      </c>
      <c r="BA305" s="37" t="n">
        <v>27.5</v>
      </c>
      <c r="BB305" s="37" t="n">
        <v>18.9</v>
      </c>
      <c r="BC305" s="37" t="n">
        <v>8.48</v>
      </c>
      <c r="BD305" s="37" t="n">
        <v>14.16</v>
      </c>
      <c r="BE305" s="37" t="n">
        <v>28.38</v>
      </c>
      <c r="BF305" s="37" t="n">
        <v>27.35</v>
      </c>
      <c r="BG305" s="37" t="n">
        <v>19.3</v>
      </c>
      <c r="BH305" s="37" t="n">
        <v>30.48</v>
      </c>
      <c r="BI305" s="37" t="n">
        <v>19.99</v>
      </c>
      <c r="BJ305" s="37" t="n">
        <v>73.34999999999999</v>
      </c>
      <c r="BK305" s="37" t="n">
        <v>24.19</v>
      </c>
      <c r="BL305" s="37" t="n">
        <v>23.85</v>
      </c>
      <c r="BM305" s="37" t="n">
        <v>21.79</v>
      </c>
      <c r="BN305" s="37" t="n">
        <v>18.93</v>
      </c>
      <c r="BO305" s="37" t="n">
        <v>30.48</v>
      </c>
      <c r="BP305" s="37" t="n">
        <v>26.47</v>
      </c>
      <c r="BQ305" s="37" t="n">
        <v>40.9</v>
      </c>
      <c r="BR305" s="37" t="n">
        <v>22.49</v>
      </c>
      <c r="BS305" s="37" t="n">
        <v>22.73</v>
      </c>
      <c r="BT305" s="37" t="n">
        <v>21.79</v>
      </c>
      <c r="BU305" s="37" t="n">
        <v>20.69</v>
      </c>
      <c r="BV305" s="37" t="n">
        <v>24.43</v>
      </c>
      <c r="BW305" s="37" t="n">
        <v>24.13</v>
      </c>
      <c r="BX305" s="37" t="n">
        <v>26.65</v>
      </c>
      <c r="BY305" s="37" t="n">
        <v>22.49</v>
      </c>
      <c r="BZ305" s="37" t="n">
        <v>24.89</v>
      </c>
      <c r="CA305" s="37" t="n">
        <v>22.27</v>
      </c>
      <c r="CB305" s="37" t="n">
        <v>18.93</v>
      </c>
      <c r="CC305" s="37" t="n">
        <v>1901.64</v>
      </c>
    </row>
    <row r="306" ht="15.75" customHeight="1" s="57">
      <c r="A306" s="7" t="inlineStr">
        <is>
          <t>NTB</t>
        </is>
      </c>
      <c r="B306" s="7" t="inlineStr">
        <is>
          <t>Lâm Đồng</t>
        </is>
      </c>
      <c r="C306" s="7" t="n">
        <v>21377000</v>
      </c>
      <c r="D306" s="7" t="inlineStr">
        <is>
          <t>(LDO) Đơn Dương</t>
        </is>
      </c>
      <c r="E306" s="7" t="inlineStr">
        <is>
          <t>Shopee-Bulky</t>
        </is>
      </c>
      <c r="F306" s="36" t="n">
        <v>1.31</v>
      </c>
      <c r="G306" s="36" t="n">
        <v>5.88</v>
      </c>
      <c r="H306" s="36" t="n">
        <v>3.92</v>
      </c>
      <c r="I306" s="36" t="n">
        <v>1.96</v>
      </c>
      <c r="J306" s="36" t="n">
        <v>0.65</v>
      </c>
      <c r="K306" s="28" t="n">
        <v>10.45</v>
      </c>
      <c r="L306" s="36" t="n">
        <v>7.84</v>
      </c>
      <c r="M306" s="36" t="n">
        <v>3.27</v>
      </c>
      <c r="N306" s="36" t="n">
        <v>1.96</v>
      </c>
      <c r="O306" s="36" t="n">
        <v>1.31</v>
      </c>
      <c r="P306" s="36" t="n">
        <v>6.53</v>
      </c>
      <c r="Q306" s="36" t="n">
        <v>6.53</v>
      </c>
      <c r="R306" s="28" t="n">
        <v>2.61</v>
      </c>
      <c r="S306" s="36" t="n">
        <v>6.53</v>
      </c>
      <c r="T306" s="36" t="n">
        <v>1.96</v>
      </c>
      <c r="U306" s="36" t="n">
        <v>3.91</v>
      </c>
      <c r="V306" s="36" t="n">
        <v>3.77</v>
      </c>
      <c r="W306" s="36" t="n">
        <v>4.95</v>
      </c>
      <c r="X306" s="36" t="n">
        <v>2.93</v>
      </c>
      <c r="Y306" s="28" t="n">
        <v>6.14</v>
      </c>
      <c r="Z306" s="36" t="n">
        <v>4.47</v>
      </c>
      <c r="AA306" s="36" t="n">
        <v>7.88</v>
      </c>
      <c r="AB306" s="36" t="n">
        <v>4.47</v>
      </c>
      <c r="AC306" s="36" t="n">
        <v>5.23</v>
      </c>
      <c r="AD306" s="36" t="n">
        <v>15.91</v>
      </c>
      <c r="AE306" s="36" t="n">
        <v>13.74</v>
      </c>
      <c r="AF306" s="28" t="n">
        <v>13.12</v>
      </c>
      <c r="AG306" s="36" t="n">
        <v>6.91</v>
      </c>
      <c r="AH306" s="37" t="n">
        <v>4.26</v>
      </c>
      <c r="AI306" s="37" t="n">
        <v>4.95</v>
      </c>
      <c r="AJ306" s="37" t="n">
        <v>4.12</v>
      </c>
      <c r="AK306" s="37" t="n">
        <v>9.84</v>
      </c>
      <c r="AL306" s="37" t="n">
        <v>5.37</v>
      </c>
      <c r="AM306" s="37" t="n">
        <v>8.09</v>
      </c>
      <c r="AN306" s="37" t="n">
        <v>4.47</v>
      </c>
      <c r="AO306" s="37" t="n">
        <v>4.33</v>
      </c>
      <c r="AP306" s="37" t="n">
        <v>8.789999999999999</v>
      </c>
      <c r="AQ306" s="37" t="n">
        <v>5.86</v>
      </c>
      <c r="AR306" s="37" t="n">
        <v>4.4</v>
      </c>
      <c r="AS306" s="37" t="n">
        <v>2.23</v>
      </c>
      <c r="AT306" s="37" t="n">
        <v>5.93</v>
      </c>
      <c r="AU306" s="37" t="n">
        <v>10.6</v>
      </c>
      <c r="AV306" s="37" t="n">
        <v>10.81</v>
      </c>
      <c r="AW306" s="37" t="n">
        <v>4.26</v>
      </c>
      <c r="AX306" s="37" t="n">
        <v>4.12</v>
      </c>
      <c r="AY306" s="37" t="n">
        <v>4.26</v>
      </c>
      <c r="AZ306" s="37" t="n">
        <v>2.23</v>
      </c>
      <c r="BA306" s="37" t="n">
        <v>5.51</v>
      </c>
      <c r="BB306" s="37" t="n">
        <v>3.42</v>
      </c>
      <c r="BC306" s="37" t="n">
        <v>0.7</v>
      </c>
      <c r="BD306" s="37" t="n">
        <v>1.4</v>
      </c>
      <c r="BE306" s="37" t="n">
        <v>6.42</v>
      </c>
      <c r="BF306" s="37" t="n">
        <v>5.37</v>
      </c>
      <c r="BG306" s="37" t="n">
        <v>3.42</v>
      </c>
      <c r="BH306" s="37" t="n">
        <v>7.81</v>
      </c>
      <c r="BI306" s="37" t="n">
        <v>5.79</v>
      </c>
      <c r="BJ306" s="37" t="n">
        <v>28.67</v>
      </c>
      <c r="BK306" s="37" t="n">
        <v>13.12</v>
      </c>
      <c r="BL306" s="37" t="n">
        <v>7.4</v>
      </c>
      <c r="BM306" s="37" t="n">
        <v>4.47</v>
      </c>
      <c r="BN306" s="37" t="n">
        <v>3.21</v>
      </c>
      <c r="BO306" s="37" t="n">
        <v>9.35</v>
      </c>
      <c r="BP306" s="37" t="n">
        <v>13.53</v>
      </c>
      <c r="BQ306" s="37" t="n">
        <v>10.6</v>
      </c>
      <c r="BR306" s="37" t="n">
        <v>5.37</v>
      </c>
      <c r="BS306" s="37" t="n">
        <v>5.23</v>
      </c>
      <c r="BT306" s="37" t="n">
        <v>4.26</v>
      </c>
      <c r="BU306" s="37" t="n">
        <v>6.98</v>
      </c>
      <c r="BV306" s="37" t="n">
        <v>8.369999999999999</v>
      </c>
      <c r="BW306" s="37" t="n">
        <v>5.79</v>
      </c>
      <c r="BX306" s="37" t="n">
        <v>5.58</v>
      </c>
      <c r="BY306" s="37" t="n">
        <v>5.37</v>
      </c>
      <c r="BZ306" s="37" t="n">
        <v>10.67</v>
      </c>
      <c r="CA306" s="37" t="n">
        <v>5.37</v>
      </c>
      <c r="CB306" s="37" t="n">
        <v>3</v>
      </c>
      <c r="CC306" s="37" t="n">
        <v>461.2400000000001</v>
      </c>
    </row>
    <row r="307" ht="15.75" customHeight="1" s="57">
      <c r="A307" s="7" t="inlineStr">
        <is>
          <t>NTB</t>
        </is>
      </c>
      <c r="B307" s="7" t="inlineStr">
        <is>
          <t>Lâm Đồng</t>
        </is>
      </c>
      <c r="C307" s="7" t="n">
        <v>21377000</v>
      </c>
      <c r="D307" s="7" t="inlineStr">
        <is>
          <t>(LDO) Đơn Dương</t>
        </is>
      </c>
      <c r="E307" s="7" t="inlineStr">
        <is>
          <t>Shopee-Bulky (10-15kg)</t>
        </is>
      </c>
      <c r="F307" s="36" t="n">
        <v>0.6899999999999999</v>
      </c>
      <c r="G307" s="36" t="n">
        <v>3.12</v>
      </c>
      <c r="H307" s="36" t="n">
        <v>2.08</v>
      </c>
      <c r="I307" s="36" t="n">
        <v>1.04</v>
      </c>
      <c r="J307" s="36" t="n">
        <v>0.35</v>
      </c>
      <c r="K307" s="28" t="n">
        <v>5.55</v>
      </c>
      <c r="L307" s="36" t="n">
        <v>4.16</v>
      </c>
      <c r="M307" s="36" t="n">
        <v>1.73</v>
      </c>
      <c r="N307" s="36" t="n">
        <v>1.04</v>
      </c>
      <c r="O307" s="36" t="n">
        <v>0.6899999999999999</v>
      </c>
      <c r="P307" s="36" t="n">
        <v>3.47</v>
      </c>
      <c r="Q307" s="36" t="n">
        <v>3.47</v>
      </c>
      <c r="R307" s="28" t="n">
        <v>1.39</v>
      </c>
      <c r="S307" s="36" t="n">
        <v>3.47</v>
      </c>
      <c r="T307" s="36" t="n">
        <v>1.04</v>
      </c>
      <c r="U307" s="36" t="n">
        <v>2.02</v>
      </c>
      <c r="V307" s="36" t="n">
        <v>1.95</v>
      </c>
      <c r="W307" s="36" t="n">
        <v>2.44</v>
      </c>
      <c r="X307" s="36" t="n">
        <v>1.47</v>
      </c>
      <c r="Y307" s="28" t="n">
        <v>3.56</v>
      </c>
      <c r="Z307" s="36" t="n">
        <v>2.37</v>
      </c>
      <c r="AA307" s="36" t="n">
        <v>4.33</v>
      </c>
      <c r="AB307" s="36" t="n">
        <v>2.23</v>
      </c>
      <c r="AC307" s="36" t="n">
        <v>2.37</v>
      </c>
      <c r="AD307" s="36" t="n">
        <v>11.58</v>
      </c>
      <c r="AE307" s="36" t="n">
        <v>7.88</v>
      </c>
      <c r="AF307" s="28" t="n">
        <v>6.56</v>
      </c>
      <c r="AG307" s="36" t="n">
        <v>5.09</v>
      </c>
      <c r="AH307" s="37" t="n">
        <v>2.37</v>
      </c>
      <c r="AI307" s="37" t="n">
        <v>2.37</v>
      </c>
      <c r="AJ307" s="37" t="n">
        <v>2.37</v>
      </c>
      <c r="AK307" s="37" t="n">
        <v>6.14</v>
      </c>
      <c r="AL307" s="37" t="n">
        <v>2.44</v>
      </c>
      <c r="AM307" s="37" t="n">
        <v>4.88</v>
      </c>
      <c r="AN307" s="37" t="n">
        <v>2.37</v>
      </c>
      <c r="AO307" s="37" t="n">
        <v>2.23</v>
      </c>
      <c r="AP307" s="37" t="n">
        <v>4.47</v>
      </c>
      <c r="AQ307" s="37" t="n">
        <v>2.93</v>
      </c>
      <c r="AR307" s="37" t="n">
        <v>2.23</v>
      </c>
      <c r="AS307" s="37" t="n">
        <v>1.12</v>
      </c>
      <c r="AT307" s="37" t="n">
        <v>3.49</v>
      </c>
      <c r="AU307" s="37" t="n">
        <v>5.58</v>
      </c>
      <c r="AV307" s="37" t="n">
        <v>6.21</v>
      </c>
      <c r="AW307" s="37" t="n">
        <v>2.09</v>
      </c>
      <c r="AX307" s="37" t="n">
        <v>1.95</v>
      </c>
      <c r="AY307" s="37" t="n">
        <v>2.16</v>
      </c>
      <c r="AZ307" s="37" t="n">
        <v>1.12</v>
      </c>
      <c r="BA307" s="37" t="n">
        <v>2.65</v>
      </c>
      <c r="BB307" s="37" t="n">
        <v>1.67</v>
      </c>
      <c r="BC307" s="37" t="n">
        <v>0.28</v>
      </c>
      <c r="BD307" s="37" t="n">
        <v>0.5600000000000001</v>
      </c>
      <c r="BE307" s="37" t="n">
        <v>3.28</v>
      </c>
      <c r="BF307" s="37" t="n">
        <v>2.72</v>
      </c>
      <c r="BG307" s="37" t="n">
        <v>1.53</v>
      </c>
      <c r="BH307" s="37" t="n">
        <v>4.74</v>
      </c>
      <c r="BI307" s="37" t="n">
        <v>2.58</v>
      </c>
      <c r="BJ307" s="37" t="n">
        <v>16.05</v>
      </c>
      <c r="BK307" s="37" t="n">
        <v>5.79</v>
      </c>
      <c r="BL307" s="37" t="n">
        <v>4.33</v>
      </c>
      <c r="BM307" s="37" t="n">
        <v>2.09</v>
      </c>
      <c r="BN307" s="37" t="n">
        <v>1.53</v>
      </c>
      <c r="BO307" s="37" t="n">
        <v>4.47</v>
      </c>
      <c r="BP307" s="37" t="n">
        <v>5.79</v>
      </c>
      <c r="BQ307" s="37" t="n">
        <v>5.44</v>
      </c>
      <c r="BR307" s="37" t="n">
        <v>2.72</v>
      </c>
      <c r="BS307" s="37" t="n">
        <v>2.51</v>
      </c>
      <c r="BT307" s="37" t="n">
        <v>2.09</v>
      </c>
      <c r="BU307" s="37" t="n">
        <v>2.72</v>
      </c>
      <c r="BV307" s="37" t="n">
        <v>5.09</v>
      </c>
      <c r="BW307" s="37" t="n">
        <v>2.58</v>
      </c>
      <c r="BX307" s="37" t="n">
        <v>2.93</v>
      </c>
      <c r="BY307" s="37" t="n">
        <v>2.72</v>
      </c>
      <c r="BZ307" s="37" t="n">
        <v>5.02</v>
      </c>
      <c r="CA307" s="37" t="n">
        <v>2.72</v>
      </c>
      <c r="CB307" s="37" t="n">
        <v>1.53</v>
      </c>
      <c r="CC307" s="37" t="n">
        <v>243.7900000000001</v>
      </c>
    </row>
    <row r="308" ht="15.75" customHeight="1" s="57">
      <c r="A308" s="7" t="inlineStr">
        <is>
          <t>NTB</t>
        </is>
      </c>
      <c r="B308" s="7" t="inlineStr">
        <is>
          <t>Lâm Đồng</t>
        </is>
      </c>
      <c r="C308" s="7" t="n">
        <v>21377000</v>
      </c>
      <c r="D308" s="7" t="inlineStr">
        <is>
          <t>(LDO) Đơn Dương</t>
        </is>
      </c>
      <c r="E308" s="7" t="inlineStr">
        <is>
          <t>TTS</t>
        </is>
      </c>
      <c r="F308" s="36" t="n">
        <v>21</v>
      </c>
      <c r="G308" s="36" t="n">
        <v>19</v>
      </c>
      <c r="H308" s="36" t="n">
        <v>21</v>
      </c>
      <c r="I308" s="36" t="n">
        <v>14</v>
      </c>
      <c r="J308" s="36" t="n">
        <v>10</v>
      </c>
      <c r="K308" s="28" t="n">
        <v>19</v>
      </c>
      <c r="L308" s="36" t="n">
        <v>21</v>
      </c>
      <c r="M308" s="36" t="n">
        <v>22</v>
      </c>
      <c r="N308" s="36" t="n">
        <v>19</v>
      </c>
      <c r="O308" s="36" t="n">
        <v>13</v>
      </c>
      <c r="P308" s="36" t="n">
        <v>18</v>
      </c>
      <c r="Q308" s="36" t="n">
        <v>21</v>
      </c>
      <c r="R308" s="28" t="n">
        <v>16</v>
      </c>
      <c r="S308" s="36" t="n">
        <v>18</v>
      </c>
      <c r="T308" s="36" t="n">
        <v>20</v>
      </c>
      <c r="U308" s="36" t="n">
        <v>9.06</v>
      </c>
      <c r="V308" s="36" t="n">
        <v>8.949999999999999</v>
      </c>
      <c r="W308" s="36" t="n">
        <v>8.73</v>
      </c>
      <c r="X308" s="36" t="n">
        <v>7.03</v>
      </c>
      <c r="Y308" s="28" t="n">
        <v>10.27</v>
      </c>
      <c r="Z308" s="36" t="n">
        <v>8.73</v>
      </c>
      <c r="AA308" s="36" t="n">
        <v>9.710000000000001</v>
      </c>
      <c r="AB308" s="36" t="n">
        <v>10.78</v>
      </c>
      <c r="AC308" s="36" t="n">
        <v>11.45</v>
      </c>
      <c r="AD308" s="36" t="n">
        <v>15.87</v>
      </c>
      <c r="AE308" s="36" t="n">
        <v>8.18</v>
      </c>
      <c r="AF308" s="28" t="n">
        <v>10.54</v>
      </c>
      <c r="AG308" s="36" t="n">
        <v>8.92</v>
      </c>
      <c r="AH308" s="37" t="n">
        <v>8.789999999999999</v>
      </c>
      <c r="AI308" s="37" t="n">
        <v>10.17</v>
      </c>
      <c r="AJ308" s="37" t="n">
        <v>10.86</v>
      </c>
      <c r="AK308" s="37" t="n">
        <v>10.68</v>
      </c>
      <c r="AL308" s="37" t="n">
        <v>7.65</v>
      </c>
      <c r="AM308" s="37" t="n">
        <v>10.41</v>
      </c>
      <c r="AN308" s="37" t="n">
        <v>8.99</v>
      </c>
      <c r="AO308" s="37" t="n">
        <v>8.92</v>
      </c>
      <c r="AP308" s="37" t="n">
        <v>8.720000000000001</v>
      </c>
      <c r="AQ308" s="37" t="n">
        <v>8.779999999999999</v>
      </c>
      <c r="AR308" s="37" t="n">
        <v>8.6</v>
      </c>
      <c r="AS308" s="37" t="n">
        <v>7.05</v>
      </c>
      <c r="AT308" s="37" t="n">
        <v>11.27</v>
      </c>
      <c r="AU308" s="37" t="n">
        <v>10.2</v>
      </c>
      <c r="AV308" s="37" t="n">
        <v>9.039999999999999</v>
      </c>
      <c r="AW308" s="37" t="n">
        <v>8.609999999999999</v>
      </c>
      <c r="AX308" s="37" t="n">
        <v>8.56</v>
      </c>
      <c r="AY308" s="37" t="n">
        <v>8.5</v>
      </c>
      <c r="AZ308" s="37" t="n">
        <v>7.05</v>
      </c>
      <c r="BA308" s="37" t="n">
        <v>10.13</v>
      </c>
      <c r="BB308" s="37" t="n">
        <v>9.539999999999999</v>
      </c>
      <c r="BC308" s="37" t="n">
        <v>4.8</v>
      </c>
      <c r="BD308" s="37" t="n">
        <v>6.84</v>
      </c>
      <c r="BE308" s="37" t="n">
        <v>15.94</v>
      </c>
      <c r="BF308" s="37" t="n">
        <v>15.41</v>
      </c>
      <c r="BG308" s="37" t="n">
        <v>7.67</v>
      </c>
      <c r="BH308" s="37" t="n">
        <v>11.24</v>
      </c>
      <c r="BI308" s="37" t="n">
        <v>9.539999999999999</v>
      </c>
      <c r="BJ308" s="37" t="n">
        <v>12.01</v>
      </c>
      <c r="BK308" s="37" t="n">
        <v>9.67</v>
      </c>
      <c r="BL308" s="37" t="n">
        <v>9.699999999999999</v>
      </c>
      <c r="BM308" s="37" t="n">
        <v>9.4</v>
      </c>
      <c r="BN308" s="37" t="n">
        <v>7.67</v>
      </c>
      <c r="BO308" s="37" t="n">
        <v>11.24</v>
      </c>
      <c r="BP308" s="37" t="n">
        <v>9.539999999999999</v>
      </c>
      <c r="BQ308" s="37" t="n">
        <v>9.41</v>
      </c>
      <c r="BR308" s="37" t="n">
        <v>9.67</v>
      </c>
      <c r="BS308" s="37" t="n">
        <v>9.699999999999999</v>
      </c>
      <c r="BT308" s="37" t="n">
        <v>9.4</v>
      </c>
      <c r="BU308" s="37" t="n">
        <v>7.67</v>
      </c>
      <c r="BV308" s="37" t="n">
        <v>11.24</v>
      </c>
      <c r="BW308" s="37" t="n">
        <v>9.539999999999999</v>
      </c>
      <c r="BX308" s="37" t="n">
        <v>9.41</v>
      </c>
      <c r="BY308" s="37" t="n">
        <v>9.67</v>
      </c>
      <c r="BZ308" s="37" t="n">
        <v>9.699999999999999</v>
      </c>
      <c r="CA308" s="37" t="n">
        <v>9.4</v>
      </c>
      <c r="CB308" s="37" t="n">
        <v>7.67</v>
      </c>
      <c r="CC308" s="37" t="n">
        <v>845.8899999999996</v>
      </c>
    </row>
    <row r="309" ht="15.75" customHeight="1" s="57">
      <c r="A309" s="7" t="inlineStr">
        <is>
          <t>NTB</t>
        </is>
      </c>
      <c r="B309" s="7" t="inlineStr">
        <is>
          <t>Lâm Đồng</t>
        </is>
      </c>
      <c r="C309" s="7" t="n">
        <v>21458000</v>
      </c>
      <c r="D309" s="7" t="inlineStr">
        <is>
          <t>(LDO) Nam Ban Lâm Hà</t>
        </is>
      </c>
      <c r="E309" s="7" t="inlineStr">
        <is>
          <t>SME</t>
        </is>
      </c>
      <c r="F309" s="36" t="n">
        <v>57</v>
      </c>
      <c r="G309" s="36" t="n">
        <v>42</v>
      </c>
      <c r="H309" s="36" t="n">
        <v>77</v>
      </c>
      <c r="I309" s="36" t="n">
        <v>43</v>
      </c>
      <c r="J309" s="36" t="n">
        <v>73</v>
      </c>
      <c r="K309" s="28" t="n">
        <v>92</v>
      </c>
      <c r="L309" s="36" t="n">
        <v>84</v>
      </c>
      <c r="M309" s="36" t="n">
        <v>93</v>
      </c>
      <c r="N309" s="36" t="n">
        <v>39</v>
      </c>
      <c r="O309" s="36" t="n">
        <v>90</v>
      </c>
      <c r="P309" s="36" t="n">
        <v>39</v>
      </c>
      <c r="Q309" s="36" t="n">
        <v>46</v>
      </c>
      <c r="R309" s="28" t="n">
        <v>85</v>
      </c>
      <c r="S309" s="36" t="n">
        <v>39</v>
      </c>
      <c r="T309" s="36" t="n">
        <v>42</v>
      </c>
      <c r="U309" s="36" t="n">
        <v>92.54000000000001</v>
      </c>
      <c r="V309" s="36" t="n">
        <v>95.59</v>
      </c>
      <c r="W309" s="36" t="n">
        <v>93.02</v>
      </c>
      <c r="X309" s="36" t="n">
        <v>75.99000000000001</v>
      </c>
      <c r="Y309" s="28" t="n">
        <v>103.05</v>
      </c>
      <c r="Z309" s="36" t="n">
        <v>94.80000000000001</v>
      </c>
      <c r="AA309" s="36" t="n">
        <v>92.40000000000001</v>
      </c>
      <c r="AB309" s="36" t="n">
        <v>92.54000000000001</v>
      </c>
      <c r="AC309" s="36" t="n">
        <v>95.59</v>
      </c>
      <c r="AD309" s="36" t="n">
        <v>100.45</v>
      </c>
      <c r="AE309" s="36" t="n">
        <v>75.99000000000001</v>
      </c>
      <c r="AF309" s="28" t="n">
        <v>103.05</v>
      </c>
      <c r="AG309" s="36" t="n">
        <v>94.80000000000001</v>
      </c>
      <c r="AH309" s="37" t="n">
        <v>92.40000000000001</v>
      </c>
      <c r="AI309" s="37" t="n">
        <v>92.54000000000001</v>
      </c>
      <c r="AJ309" s="37" t="n">
        <v>95.59</v>
      </c>
      <c r="AK309" s="37" t="n">
        <v>93.02</v>
      </c>
      <c r="AL309" s="37" t="n">
        <v>75.99000000000001</v>
      </c>
      <c r="AM309" s="37" t="n">
        <v>103.05</v>
      </c>
      <c r="AN309" s="37" t="n">
        <v>94.80000000000001</v>
      </c>
      <c r="AO309" s="37" t="n">
        <v>92.40000000000001</v>
      </c>
      <c r="AP309" s="37" t="n">
        <v>92.54000000000001</v>
      </c>
      <c r="AQ309" s="37" t="n">
        <v>95.59</v>
      </c>
      <c r="AR309" s="37" t="n">
        <v>93.02</v>
      </c>
      <c r="AS309" s="37" t="n">
        <v>75.99000000000001</v>
      </c>
      <c r="AT309" s="37" t="n">
        <v>103.05</v>
      </c>
      <c r="AU309" s="37" t="n">
        <v>94.80000000000001</v>
      </c>
      <c r="AV309" s="37" t="n">
        <v>92.40000000000001</v>
      </c>
      <c r="AW309" s="37" t="n">
        <v>92.54000000000001</v>
      </c>
      <c r="AX309" s="37" t="n">
        <v>95.59</v>
      </c>
      <c r="AY309" s="37" t="n">
        <v>93.02</v>
      </c>
      <c r="AZ309" s="37" t="n">
        <v>75.99000000000001</v>
      </c>
      <c r="BA309" s="37" t="n">
        <v>98</v>
      </c>
      <c r="BB309" s="37" t="n">
        <v>86.89</v>
      </c>
      <c r="BC309" s="37" t="n">
        <v>53.07</v>
      </c>
      <c r="BD309" s="37" t="n">
        <v>41.41</v>
      </c>
      <c r="BE309" s="37" t="n">
        <v>89.33999999999999</v>
      </c>
      <c r="BF309" s="37" t="n">
        <v>87.17</v>
      </c>
      <c r="BG309" s="37" t="n">
        <v>78.19</v>
      </c>
      <c r="BH309" s="37" t="n">
        <v>106.17</v>
      </c>
      <c r="BI309" s="37" t="n">
        <v>97.55000000000001</v>
      </c>
      <c r="BJ309" s="37" t="n">
        <v>103.24</v>
      </c>
      <c r="BK309" s="37" t="n">
        <v>95.13</v>
      </c>
      <c r="BL309" s="37" t="n">
        <v>98.34</v>
      </c>
      <c r="BM309" s="37" t="n">
        <v>95.62</v>
      </c>
      <c r="BN309" s="37" t="n">
        <v>78.19</v>
      </c>
      <c r="BO309" s="37" t="n">
        <v>106.17</v>
      </c>
      <c r="BP309" s="37" t="n">
        <v>97.55000000000001</v>
      </c>
      <c r="BQ309" s="37" t="n">
        <v>95.02000000000001</v>
      </c>
      <c r="BR309" s="37" t="n">
        <v>95.13</v>
      </c>
      <c r="BS309" s="37" t="n">
        <v>98.34</v>
      </c>
      <c r="BT309" s="37" t="n">
        <v>95.62</v>
      </c>
      <c r="BU309" s="37" t="n">
        <v>78.19</v>
      </c>
      <c r="BV309" s="37" t="n">
        <v>106.17</v>
      </c>
      <c r="BW309" s="37" t="n">
        <v>97.55000000000001</v>
      </c>
      <c r="BX309" s="37" t="n">
        <v>95.02000000000001</v>
      </c>
      <c r="BY309" s="37" t="n">
        <v>95.13</v>
      </c>
      <c r="BZ309" s="37" t="n">
        <v>98.34</v>
      </c>
      <c r="CA309" s="37" t="n">
        <v>95.62</v>
      </c>
      <c r="CB309" s="37" t="n">
        <v>78.19</v>
      </c>
      <c r="CC309" s="37" t="n">
        <v>6435.480000000001</v>
      </c>
    </row>
    <row r="310" ht="15.75" customHeight="1" s="57">
      <c r="A310" s="7" t="inlineStr">
        <is>
          <t>NTB</t>
        </is>
      </c>
      <c r="B310" s="7" t="inlineStr">
        <is>
          <t>Lâm Đồng</t>
        </is>
      </c>
      <c r="C310" s="7" t="n">
        <v>21458000</v>
      </c>
      <c r="D310" s="7" t="inlineStr">
        <is>
          <t>(LDO) Nam Ban Lâm Hà</t>
        </is>
      </c>
      <c r="E310" s="7" t="inlineStr">
        <is>
          <t>SME-Bulky</t>
        </is>
      </c>
      <c r="F310" s="36" t="n">
        <v>21</v>
      </c>
      <c r="G310" s="36" t="n">
        <v>15</v>
      </c>
      <c r="H310" s="36" t="n">
        <v>9</v>
      </c>
      <c r="I310" s="36" t="n">
        <v>14</v>
      </c>
      <c r="J310" s="36" t="n">
        <v>12</v>
      </c>
      <c r="K310" s="28" t="n">
        <v>19</v>
      </c>
      <c r="L310" s="36" t="n">
        <v>18</v>
      </c>
      <c r="M310" s="36" t="n">
        <v>23</v>
      </c>
      <c r="N310" s="36" t="n">
        <v>16</v>
      </c>
      <c r="O310" s="36" t="n">
        <v>7</v>
      </c>
      <c r="P310" s="36" t="n">
        <v>13</v>
      </c>
      <c r="Q310" s="36" t="n">
        <v>8</v>
      </c>
      <c r="R310" s="28" t="n">
        <v>15</v>
      </c>
      <c r="S310" s="36" t="n">
        <v>7</v>
      </c>
      <c r="T310" s="36" t="n">
        <v>15</v>
      </c>
      <c r="U310" s="36" t="n">
        <v>12.44</v>
      </c>
      <c r="V310" s="36" t="n">
        <v>12.27</v>
      </c>
      <c r="W310" s="36" t="n">
        <v>11.94</v>
      </c>
      <c r="X310" s="36" t="n">
        <v>8.56</v>
      </c>
      <c r="Y310" s="28" t="n">
        <v>14</v>
      </c>
      <c r="Z310" s="36" t="n">
        <v>13.59</v>
      </c>
      <c r="AA310" s="36" t="n">
        <v>13.42</v>
      </c>
      <c r="AB310" s="36" t="n">
        <v>12.44</v>
      </c>
      <c r="AC310" s="36" t="n">
        <v>12.27</v>
      </c>
      <c r="AD310" s="36" t="n">
        <v>9.390000000000001</v>
      </c>
      <c r="AE310" s="36" t="n">
        <v>8.56</v>
      </c>
      <c r="AF310" s="28" t="n">
        <v>14</v>
      </c>
      <c r="AG310" s="36" t="n">
        <v>13.59</v>
      </c>
      <c r="AH310" s="37" t="n">
        <v>13.42</v>
      </c>
      <c r="AI310" s="37" t="n">
        <v>12.44</v>
      </c>
      <c r="AJ310" s="37" t="n">
        <v>12.27</v>
      </c>
      <c r="AK310" s="37" t="n">
        <v>11.94</v>
      </c>
      <c r="AL310" s="37" t="n">
        <v>8.56</v>
      </c>
      <c r="AM310" s="37" t="n">
        <v>14</v>
      </c>
      <c r="AN310" s="37" t="n">
        <v>13.59</v>
      </c>
      <c r="AO310" s="37" t="n">
        <v>13.42</v>
      </c>
      <c r="AP310" s="37" t="n">
        <v>12.44</v>
      </c>
      <c r="AQ310" s="37" t="n">
        <v>12.27</v>
      </c>
      <c r="AR310" s="37" t="n">
        <v>11.94</v>
      </c>
      <c r="AS310" s="37" t="n">
        <v>8.56</v>
      </c>
      <c r="AT310" s="37" t="n">
        <v>14</v>
      </c>
      <c r="AU310" s="37" t="n">
        <v>13.59</v>
      </c>
      <c r="AV310" s="37" t="n">
        <v>13.42</v>
      </c>
      <c r="AW310" s="37" t="n">
        <v>12.44</v>
      </c>
      <c r="AX310" s="37" t="n">
        <v>12.27</v>
      </c>
      <c r="AY310" s="37" t="n">
        <v>11.94</v>
      </c>
      <c r="AZ310" s="37" t="n">
        <v>8.56</v>
      </c>
      <c r="BA310" s="37" t="n">
        <v>15.32</v>
      </c>
      <c r="BB310" s="37" t="n">
        <v>8.07</v>
      </c>
      <c r="BC310" s="37" t="n">
        <v>4.12</v>
      </c>
      <c r="BD310" s="37" t="n">
        <v>3.13</v>
      </c>
      <c r="BE310" s="37" t="n">
        <v>7.25</v>
      </c>
      <c r="BF310" s="37" t="n">
        <v>6.75</v>
      </c>
      <c r="BG310" s="37" t="n">
        <v>4.69</v>
      </c>
      <c r="BH310" s="37" t="n">
        <v>8.15</v>
      </c>
      <c r="BI310" s="37" t="n">
        <v>8.07</v>
      </c>
      <c r="BJ310" s="37" t="n">
        <v>6.18</v>
      </c>
      <c r="BK310" s="37" t="n">
        <v>7.16</v>
      </c>
      <c r="BL310" s="37" t="n">
        <v>7.16</v>
      </c>
      <c r="BM310" s="37" t="n">
        <v>6.75</v>
      </c>
      <c r="BN310" s="37" t="n">
        <v>4.69</v>
      </c>
      <c r="BO310" s="37" t="n">
        <v>8.15</v>
      </c>
      <c r="BP310" s="37" t="n">
        <v>8.07</v>
      </c>
      <c r="BQ310" s="37" t="n">
        <v>7.66</v>
      </c>
      <c r="BR310" s="37" t="n">
        <v>7.16</v>
      </c>
      <c r="BS310" s="37" t="n">
        <v>7.16</v>
      </c>
      <c r="BT310" s="37" t="n">
        <v>6.75</v>
      </c>
      <c r="BU310" s="37" t="n">
        <v>4.69</v>
      </c>
      <c r="BV310" s="37" t="n">
        <v>8.15</v>
      </c>
      <c r="BW310" s="37" t="n">
        <v>8.07</v>
      </c>
      <c r="BX310" s="37" t="n">
        <v>7.66</v>
      </c>
      <c r="BY310" s="37" t="n">
        <v>7.16</v>
      </c>
      <c r="BZ310" s="37" t="n">
        <v>7.16</v>
      </c>
      <c r="CA310" s="37" t="n">
        <v>6.75</v>
      </c>
      <c r="CB310" s="37" t="n">
        <v>4.69</v>
      </c>
      <c r="CC310" s="37" t="n">
        <v>796.3099999999999</v>
      </c>
    </row>
    <row r="311" ht="15.75" customHeight="1" s="57">
      <c r="A311" s="7" t="inlineStr">
        <is>
          <t>NTB</t>
        </is>
      </c>
      <c r="B311" s="7" t="inlineStr">
        <is>
          <t>Lâm Đồng</t>
        </is>
      </c>
      <c r="C311" s="7" t="n">
        <v>21458000</v>
      </c>
      <c r="D311" s="7" t="inlineStr">
        <is>
          <t>(LDO) Nam Ban Lâm Hà</t>
        </is>
      </c>
      <c r="E311" s="7" t="inlineStr">
        <is>
          <t>Shopee</t>
        </is>
      </c>
      <c r="F311" s="36" t="n">
        <v>4</v>
      </c>
      <c r="G311" s="36" t="n">
        <v>8</v>
      </c>
      <c r="H311" s="36" t="n">
        <v>5</v>
      </c>
      <c r="I311" s="36" t="n">
        <v>9</v>
      </c>
      <c r="J311" s="36" t="n">
        <v>5</v>
      </c>
      <c r="K311" s="28" t="n">
        <v>8</v>
      </c>
      <c r="L311" s="36" t="n">
        <v>3</v>
      </c>
      <c r="M311" s="36" t="n">
        <v>11</v>
      </c>
      <c r="N311" s="36" t="n">
        <v>1</v>
      </c>
      <c r="O311" s="36" t="n">
        <v>2</v>
      </c>
      <c r="P311" s="36" t="n">
        <v>3</v>
      </c>
      <c r="Q311" s="36" t="n">
        <v>2</v>
      </c>
      <c r="R311" s="28" t="n">
        <v>4</v>
      </c>
      <c r="S311" s="36" t="n">
        <v>4</v>
      </c>
      <c r="T311" s="36" t="n">
        <v>4</v>
      </c>
      <c r="U311" s="36" t="n">
        <v>3.8</v>
      </c>
      <c r="V311" s="36" t="n">
        <v>3.84</v>
      </c>
      <c r="W311" s="36" t="n">
        <v>3.68</v>
      </c>
      <c r="X311" s="36" t="n">
        <v>3.18</v>
      </c>
      <c r="Y311" s="28" t="n">
        <v>5.14</v>
      </c>
      <c r="Z311" s="36" t="n">
        <v>4.08</v>
      </c>
      <c r="AA311" s="36" t="n">
        <v>4.98</v>
      </c>
      <c r="AB311" s="36" t="n">
        <v>3.9</v>
      </c>
      <c r="AC311" s="36" t="n">
        <v>3.13</v>
      </c>
      <c r="AD311" s="36" t="n">
        <v>8.33</v>
      </c>
      <c r="AE311" s="36" t="n">
        <v>3.41</v>
      </c>
      <c r="AF311" s="28" t="n">
        <v>5.64</v>
      </c>
      <c r="AG311" s="36" t="n">
        <v>4.28</v>
      </c>
      <c r="AH311" s="37" t="n">
        <v>4.51</v>
      </c>
      <c r="AI311" s="37" t="n">
        <v>3.8</v>
      </c>
      <c r="AJ311" s="37" t="n">
        <v>3.84</v>
      </c>
      <c r="AK311" s="37" t="n">
        <v>4.06</v>
      </c>
      <c r="AL311" s="37" t="n">
        <v>5.7</v>
      </c>
      <c r="AM311" s="37" t="n">
        <v>5.14</v>
      </c>
      <c r="AN311" s="37" t="n">
        <v>4.08</v>
      </c>
      <c r="AO311" s="37" t="n">
        <v>4.51</v>
      </c>
      <c r="AP311" s="37" t="n">
        <v>4.2</v>
      </c>
      <c r="AQ311" s="37" t="n">
        <v>3.06</v>
      </c>
      <c r="AR311" s="37" t="n">
        <v>3.68</v>
      </c>
      <c r="AS311" s="37" t="n">
        <v>3.18</v>
      </c>
      <c r="AT311" s="37" t="n">
        <v>5.14</v>
      </c>
      <c r="AU311" s="37" t="n">
        <v>4.48</v>
      </c>
      <c r="AV311" s="37" t="n">
        <v>4.62</v>
      </c>
      <c r="AW311" s="37" t="n">
        <v>3.8</v>
      </c>
      <c r="AX311" s="37" t="n">
        <v>3.84</v>
      </c>
      <c r="AY311" s="37" t="n">
        <v>3.68</v>
      </c>
      <c r="AZ311" s="37" t="n">
        <v>3.18</v>
      </c>
      <c r="BA311" s="37" t="n">
        <v>4.42</v>
      </c>
      <c r="BB311" s="37" t="n">
        <v>3.04</v>
      </c>
      <c r="BC311" s="37" t="n">
        <v>1.36</v>
      </c>
      <c r="BD311" s="37" t="n">
        <v>2.28</v>
      </c>
      <c r="BE311" s="37" t="n">
        <v>4.56</v>
      </c>
      <c r="BF311" s="37" t="n">
        <v>4.4</v>
      </c>
      <c r="BG311" s="37" t="n">
        <v>3.1</v>
      </c>
      <c r="BH311" s="37" t="n">
        <v>4.9</v>
      </c>
      <c r="BI311" s="37" t="n">
        <v>3.22</v>
      </c>
      <c r="BJ311" s="37" t="n">
        <v>11.8</v>
      </c>
      <c r="BK311" s="37" t="n">
        <v>3.89</v>
      </c>
      <c r="BL311" s="37" t="n">
        <v>3.84</v>
      </c>
      <c r="BM311" s="37" t="n">
        <v>3.5</v>
      </c>
      <c r="BN311" s="37" t="n">
        <v>3.04</v>
      </c>
      <c r="BO311" s="37" t="n">
        <v>4.9</v>
      </c>
      <c r="BP311" s="37" t="n">
        <v>4.26</v>
      </c>
      <c r="BQ311" s="37" t="n">
        <v>6.58</v>
      </c>
      <c r="BR311" s="37" t="n">
        <v>3.62</v>
      </c>
      <c r="BS311" s="37" t="n">
        <v>3.66</v>
      </c>
      <c r="BT311" s="37" t="n">
        <v>3.5</v>
      </c>
      <c r="BU311" s="37" t="n">
        <v>3.33</v>
      </c>
      <c r="BV311" s="37" t="n">
        <v>3.93</v>
      </c>
      <c r="BW311" s="37" t="n">
        <v>3.88</v>
      </c>
      <c r="BX311" s="37" t="n">
        <v>4.29</v>
      </c>
      <c r="BY311" s="37" t="n">
        <v>3.62</v>
      </c>
      <c r="BZ311" s="37" t="n">
        <v>4</v>
      </c>
      <c r="CA311" s="37" t="n">
        <v>3.58</v>
      </c>
      <c r="CB311" s="37" t="n">
        <v>3.04</v>
      </c>
      <c r="CC311" s="37" t="n">
        <v>322.43</v>
      </c>
    </row>
    <row r="312" ht="15.75" customHeight="1" s="57">
      <c r="A312" s="7" t="inlineStr">
        <is>
          <t>NTB</t>
        </is>
      </c>
      <c r="B312" s="7" t="inlineStr">
        <is>
          <t>Lâm Đồng</t>
        </is>
      </c>
      <c r="C312" s="7" t="n">
        <v>21458000</v>
      </c>
      <c r="D312" s="7" t="inlineStr">
        <is>
          <t>(LDO) Nam Ban Lâm Hà</t>
        </is>
      </c>
      <c r="E312" s="7" t="inlineStr">
        <is>
          <t>Shopee-Bulky</t>
        </is>
      </c>
      <c r="F312" s="36" t="n">
        <v>7.84</v>
      </c>
      <c r="G312" s="36" t="n">
        <v>3.27</v>
      </c>
      <c r="H312" s="36" t="n">
        <v>0.65</v>
      </c>
      <c r="I312" s="36" t="n">
        <v>0.65</v>
      </c>
      <c r="J312" s="36" t="n">
        <v>1.31</v>
      </c>
      <c r="K312" s="28" t="n">
        <v>3.27</v>
      </c>
      <c r="L312" s="36" t="n">
        <v>1.31</v>
      </c>
      <c r="M312" s="36" t="n">
        <v>3.27</v>
      </c>
      <c r="N312" s="36" t="n">
        <v>0.65</v>
      </c>
      <c r="O312" s="36" t="n">
        <v>1.31</v>
      </c>
      <c r="P312" s="36" t="n">
        <v>3.27</v>
      </c>
      <c r="Q312" s="36" t="n">
        <v>2.61</v>
      </c>
      <c r="R312" s="28" t="n">
        <v>1.96</v>
      </c>
      <c r="S312" s="36" t="n">
        <v>1.31</v>
      </c>
      <c r="T312" s="36" t="n">
        <v>1.31</v>
      </c>
      <c r="U312" s="36" t="n">
        <v>2.06</v>
      </c>
      <c r="V312" s="36" t="n">
        <v>1.99</v>
      </c>
      <c r="W312" s="36" t="n">
        <v>2.61</v>
      </c>
      <c r="X312" s="36" t="n">
        <v>1.55</v>
      </c>
      <c r="Y312" s="28" t="n">
        <v>3.24</v>
      </c>
      <c r="Z312" s="36" t="n">
        <v>2.36</v>
      </c>
      <c r="AA312" s="36" t="n">
        <v>4.16</v>
      </c>
      <c r="AB312" s="36" t="n">
        <v>2.36</v>
      </c>
      <c r="AC312" s="36" t="n">
        <v>2.76</v>
      </c>
      <c r="AD312" s="36" t="n">
        <v>8.4</v>
      </c>
      <c r="AE312" s="36" t="n">
        <v>7.25</v>
      </c>
      <c r="AF312" s="28" t="n">
        <v>6.92</v>
      </c>
      <c r="AG312" s="36" t="n">
        <v>3.65</v>
      </c>
      <c r="AH312" s="37" t="n">
        <v>2.25</v>
      </c>
      <c r="AI312" s="37" t="n">
        <v>2.61</v>
      </c>
      <c r="AJ312" s="37" t="n">
        <v>2.17</v>
      </c>
      <c r="AK312" s="37" t="n">
        <v>5.19</v>
      </c>
      <c r="AL312" s="37" t="n">
        <v>2.84</v>
      </c>
      <c r="AM312" s="37" t="n">
        <v>4.27</v>
      </c>
      <c r="AN312" s="37" t="n">
        <v>2.36</v>
      </c>
      <c r="AO312" s="37" t="n">
        <v>2.28</v>
      </c>
      <c r="AP312" s="37" t="n">
        <v>4.64</v>
      </c>
      <c r="AQ312" s="37" t="n">
        <v>3.09</v>
      </c>
      <c r="AR312" s="37" t="n">
        <v>2.32</v>
      </c>
      <c r="AS312" s="37" t="n">
        <v>1.18</v>
      </c>
      <c r="AT312" s="37" t="n">
        <v>3.13</v>
      </c>
      <c r="AU312" s="37" t="n">
        <v>5.6</v>
      </c>
      <c r="AV312" s="37" t="n">
        <v>5.71</v>
      </c>
      <c r="AW312" s="37" t="n">
        <v>2.25</v>
      </c>
      <c r="AX312" s="37" t="n">
        <v>2.17</v>
      </c>
      <c r="AY312" s="37" t="n">
        <v>2.25</v>
      </c>
      <c r="AZ312" s="37" t="n">
        <v>1.18</v>
      </c>
      <c r="BA312" s="37" t="n">
        <v>2.91</v>
      </c>
      <c r="BB312" s="37" t="n">
        <v>1.8</v>
      </c>
      <c r="BC312" s="37" t="n">
        <v>0.37</v>
      </c>
      <c r="BD312" s="37" t="n">
        <v>0.74</v>
      </c>
      <c r="BE312" s="37" t="n">
        <v>3.39</v>
      </c>
      <c r="BF312" s="37" t="n">
        <v>2.84</v>
      </c>
      <c r="BG312" s="37" t="n">
        <v>1.8</v>
      </c>
      <c r="BH312" s="37" t="n">
        <v>4.12</v>
      </c>
      <c r="BI312" s="37" t="n">
        <v>3.06</v>
      </c>
      <c r="BJ312" s="37" t="n">
        <v>15.13</v>
      </c>
      <c r="BK312" s="37" t="n">
        <v>6.92</v>
      </c>
      <c r="BL312" s="37" t="n">
        <v>3.9</v>
      </c>
      <c r="BM312" s="37" t="n">
        <v>2.36</v>
      </c>
      <c r="BN312" s="37" t="n">
        <v>1.69</v>
      </c>
      <c r="BO312" s="37" t="n">
        <v>4.93</v>
      </c>
      <c r="BP312" s="37" t="n">
        <v>7.14</v>
      </c>
      <c r="BQ312" s="37" t="n">
        <v>5.6</v>
      </c>
      <c r="BR312" s="37" t="n">
        <v>2.84</v>
      </c>
      <c r="BS312" s="37" t="n">
        <v>2.76</v>
      </c>
      <c r="BT312" s="37" t="n">
        <v>2.25</v>
      </c>
      <c r="BU312" s="37" t="n">
        <v>3.68</v>
      </c>
      <c r="BV312" s="37" t="n">
        <v>4.42</v>
      </c>
      <c r="BW312" s="37" t="n">
        <v>3.06</v>
      </c>
      <c r="BX312" s="37" t="n">
        <v>2.95</v>
      </c>
      <c r="BY312" s="37" t="n">
        <v>2.84</v>
      </c>
      <c r="BZ312" s="37" t="n">
        <v>5.63</v>
      </c>
      <c r="CA312" s="37" t="n">
        <v>2.84</v>
      </c>
      <c r="CB312" s="37" t="n">
        <v>1.58</v>
      </c>
      <c r="CC312" s="37" t="n">
        <v>244.34</v>
      </c>
    </row>
    <row r="313" ht="15.75" customHeight="1" s="57">
      <c r="A313" s="7" t="inlineStr">
        <is>
          <t>NTB</t>
        </is>
      </c>
      <c r="B313" s="7" t="inlineStr">
        <is>
          <t>Lâm Đồng</t>
        </is>
      </c>
      <c r="C313" s="7" t="n">
        <v>21458000</v>
      </c>
      <c r="D313" s="7" t="inlineStr">
        <is>
          <t>(LDO) Nam Ban Lâm Hà</t>
        </is>
      </c>
      <c r="E313" s="7" t="inlineStr">
        <is>
          <t>Shopee-Bulky (10-15kg)</t>
        </is>
      </c>
      <c r="F313" s="36" t="n">
        <v>4.16</v>
      </c>
      <c r="G313" s="36" t="n">
        <v>1.73</v>
      </c>
      <c r="H313" s="36" t="n">
        <v>0.35</v>
      </c>
      <c r="I313" s="36" t="n">
        <v>0.35</v>
      </c>
      <c r="J313" s="36" t="n">
        <v>0.6899999999999999</v>
      </c>
      <c r="K313" s="28" t="n">
        <v>1.73</v>
      </c>
      <c r="L313" s="36" t="n">
        <v>0.6899999999999999</v>
      </c>
      <c r="M313" s="36" t="n">
        <v>1.73</v>
      </c>
      <c r="N313" s="36" t="n">
        <v>0.35</v>
      </c>
      <c r="O313" s="36" t="n">
        <v>0.6899999999999999</v>
      </c>
      <c r="P313" s="36" t="n">
        <v>1.73</v>
      </c>
      <c r="Q313" s="36" t="n">
        <v>1.39</v>
      </c>
      <c r="R313" s="28" t="n">
        <v>1.04</v>
      </c>
      <c r="S313" s="36" t="n">
        <v>0.6899999999999999</v>
      </c>
      <c r="T313" s="36" t="n">
        <v>0.6899999999999999</v>
      </c>
      <c r="U313" s="36" t="n">
        <v>1.07</v>
      </c>
      <c r="V313" s="36" t="n">
        <v>1.03</v>
      </c>
      <c r="W313" s="36" t="n">
        <v>1.29</v>
      </c>
      <c r="X313" s="36" t="n">
        <v>0.77</v>
      </c>
      <c r="Y313" s="28" t="n">
        <v>1.88</v>
      </c>
      <c r="Z313" s="36" t="n">
        <v>1.25</v>
      </c>
      <c r="AA313" s="36" t="n">
        <v>2.28</v>
      </c>
      <c r="AB313" s="36" t="n">
        <v>1.18</v>
      </c>
      <c r="AC313" s="36" t="n">
        <v>1.25</v>
      </c>
      <c r="AD313" s="36" t="n">
        <v>6.11</v>
      </c>
      <c r="AE313" s="36" t="n">
        <v>4.16</v>
      </c>
      <c r="AF313" s="28" t="n">
        <v>3.46</v>
      </c>
      <c r="AG313" s="36" t="n">
        <v>2.69</v>
      </c>
      <c r="AH313" s="37" t="n">
        <v>1.25</v>
      </c>
      <c r="AI313" s="37" t="n">
        <v>1.25</v>
      </c>
      <c r="AJ313" s="37" t="n">
        <v>1.25</v>
      </c>
      <c r="AK313" s="37" t="n">
        <v>3.24</v>
      </c>
      <c r="AL313" s="37" t="n">
        <v>1.29</v>
      </c>
      <c r="AM313" s="37" t="n">
        <v>2.58</v>
      </c>
      <c r="AN313" s="37" t="n">
        <v>1.25</v>
      </c>
      <c r="AO313" s="37" t="n">
        <v>1.18</v>
      </c>
      <c r="AP313" s="37" t="n">
        <v>2.36</v>
      </c>
      <c r="AQ313" s="37" t="n">
        <v>1.55</v>
      </c>
      <c r="AR313" s="37" t="n">
        <v>1.18</v>
      </c>
      <c r="AS313" s="37" t="n">
        <v>0.59</v>
      </c>
      <c r="AT313" s="37" t="n">
        <v>1.84</v>
      </c>
      <c r="AU313" s="37" t="n">
        <v>2.95</v>
      </c>
      <c r="AV313" s="37" t="n">
        <v>3.28</v>
      </c>
      <c r="AW313" s="37" t="n">
        <v>1.1</v>
      </c>
      <c r="AX313" s="37" t="n">
        <v>1.03</v>
      </c>
      <c r="AY313" s="37" t="n">
        <v>1.14</v>
      </c>
      <c r="AZ313" s="37" t="n">
        <v>0.59</v>
      </c>
      <c r="BA313" s="37" t="n">
        <v>1.4</v>
      </c>
      <c r="BB313" s="37" t="n">
        <v>0.88</v>
      </c>
      <c r="BC313" s="37" t="n">
        <v>0.15</v>
      </c>
      <c r="BD313" s="37" t="n">
        <v>0.29</v>
      </c>
      <c r="BE313" s="37" t="n">
        <v>1.73</v>
      </c>
      <c r="BF313" s="37" t="n">
        <v>1.44</v>
      </c>
      <c r="BG313" s="37" t="n">
        <v>0.8100000000000001</v>
      </c>
      <c r="BH313" s="37" t="n">
        <v>2.5</v>
      </c>
      <c r="BI313" s="37" t="n">
        <v>1.36</v>
      </c>
      <c r="BJ313" s="37" t="n">
        <v>8.470000000000001</v>
      </c>
      <c r="BK313" s="37" t="n">
        <v>3.06</v>
      </c>
      <c r="BL313" s="37" t="n">
        <v>2.28</v>
      </c>
      <c r="BM313" s="37" t="n">
        <v>1.1</v>
      </c>
      <c r="BN313" s="37" t="n">
        <v>0.8100000000000001</v>
      </c>
      <c r="BO313" s="37" t="n">
        <v>2.36</v>
      </c>
      <c r="BP313" s="37" t="n">
        <v>3.06</v>
      </c>
      <c r="BQ313" s="37" t="n">
        <v>2.87</v>
      </c>
      <c r="BR313" s="37" t="n">
        <v>1.44</v>
      </c>
      <c r="BS313" s="37" t="n">
        <v>1.33</v>
      </c>
      <c r="BT313" s="37" t="n">
        <v>1.1</v>
      </c>
      <c r="BU313" s="37" t="n">
        <v>1.44</v>
      </c>
      <c r="BV313" s="37" t="n">
        <v>2.69</v>
      </c>
      <c r="BW313" s="37" t="n">
        <v>1.36</v>
      </c>
      <c r="BX313" s="37" t="n">
        <v>1.55</v>
      </c>
      <c r="BY313" s="37" t="n">
        <v>1.44</v>
      </c>
      <c r="BZ313" s="37" t="n">
        <v>2.65</v>
      </c>
      <c r="CA313" s="37" t="n">
        <v>1.44</v>
      </c>
      <c r="CB313" s="37" t="n">
        <v>0.8100000000000001</v>
      </c>
      <c r="CC313" s="37" t="n">
        <v>129.15</v>
      </c>
    </row>
    <row r="314" ht="15.75" customHeight="1" s="57">
      <c r="A314" s="7" t="inlineStr">
        <is>
          <t>NTB</t>
        </is>
      </c>
      <c r="B314" s="7" t="inlineStr">
        <is>
          <t>Lâm Đồng</t>
        </is>
      </c>
      <c r="C314" s="7" t="n">
        <v>21458000</v>
      </c>
      <c r="D314" s="7" t="inlineStr">
        <is>
          <t>(LDO) Nam Ban Lâm Hà</t>
        </is>
      </c>
      <c r="E314" s="7" t="inlineStr">
        <is>
          <t>TTS</t>
        </is>
      </c>
      <c r="F314" s="36" t="n">
        <v>396</v>
      </c>
      <c r="G314" s="36" t="n">
        <v>184</v>
      </c>
      <c r="H314" s="36" t="n">
        <v>157</v>
      </c>
      <c r="I314" s="36" t="n">
        <v>152</v>
      </c>
      <c r="J314" s="36" t="n">
        <v>92</v>
      </c>
      <c r="K314" s="28" t="n">
        <v>179</v>
      </c>
      <c r="L314" s="36" t="n">
        <v>211</v>
      </c>
      <c r="M314" s="36" t="n">
        <v>617</v>
      </c>
      <c r="N314" s="36" t="n">
        <v>76</v>
      </c>
      <c r="O314" s="36" t="n">
        <v>154</v>
      </c>
      <c r="P314" s="36" t="n">
        <v>424</v>
      </c>
      <c r="Q314" s="36" t="n">
        <v>203</v>
      </c>
      <c r="R314" s="28" t="n">
        <v>137</v>
      </c>
      <c r="S314" s="36" t="n">
        <v>183</v>
      </c>
      <c r="T314" s="36" t="n">
        <v>141</v>
      </c>
      <c r="U314" s="36" t="n">
        <v>106.07</v>
      </c>
      <c r="V314" s="36" t="n">
        <v>104.89</v>
      </c>
      <c r="W314" s="36" t="n">
        <v>102.31</v>
      </c>
      <c r="X314" s="36" t="n">
        <v>82.31999999999999</v>
      </c>
      <c r="Y314" s="28" t="n">
        <v>120.26</v>
      </c>
      <c r="Z314" s="36" t="n">
        <v>102.2</v>
      </c>
      <c r="AA314" s="36" t="n">
        <v>113.7</v>
      </c>
      <c r="AB314" s="36" t="n">
        <v>126.27</v>
      </c>
      <c r="AC314" s="36" t="n">
        <v>134.12</v>
      </c>
      <c r="AD314" s="36" t="n">
        <v>185.92</v>
      </c>
      <c r="AE314" s="36" t="n">
        <v>95.86</v>
      </c>
      <c r="AF314" s="28" t="n">
        <v>123.48</v>
      </c>
      <c r="AG314" s="36" t="n">
        <v>104.46</v>
      </c>
      <c r="AH314" s="37" t="n">
        <v>102.95</v>
      </c>
      <c r="AI314" s="37" t="n">
        <v>119.07</v>
      </c>
      <c r="AJ314" s="37" t="n">
        <v>127.24</v>
      </c>
      <c r="AK314" s="37" t="n">
        <v>125.09</v>
      </c>
      <c r="AL314" s="37" t="n">
        <v>89.63</v>
      </c>
      <c r="AM314" s="37" t="n">
        <v>121.98</v>
      </c>
      <c r="AN314" s="37" t="n">
        <v>105.32</v>
      </c>
      <c r="AO314" s="37" t="n">
        <v>104.46</v>
      </c>
      <c r="AP314" s="37" t="n">
        <v>102.09</v>
      </c>
      <c r="AQ314" s="37" t="n">
        <v>102.85</v>
      </c>
      <c r="AR314" s="37" t="n">
        <v>100.7</v>
      </c>
      <c r="AS314" s="37" t="n">
        <v>82.54000000000001</v>
      </c>
      <c r="AT314" s="37" t="n">
        <v>131.97</v>
      </c>
      <c r="AU314" s="37" t="n">
        <v>119.5</v>
      </c>
      <c r="AV314" s="37" t="n">
        <v>105.86</v>
      </c>
      <c r="AW314" s="37" t="n">
        <v>100.8</v>
      </c>
      <c r="AX314" s="37" t="n">
        <v>100.27</v>
      </c>
      <c r="AY314" s="37" t="n">
        <v>99.52</v>
      </c>
      <c r="AZ314" s="37" t="n">
        <v>82.54000000000001</v>
      </c>
      <c r="BA314" s="37" t="n">
        <v>118.64</v>
      </c>
      <c r="BB314" s="37" t="n">
        <v>111.77</v>
      </c>
      <c r="BC314" s="37" t="n">
        <v>56.21</v>
      </c>
      <c r="BD314" s="37" t="n">
        <v>80.17</v>
      </c>
      <c r="BE314" s="37" t="n">
        <v>186.67</v>
      </c>
      <c r="BF314" s="37" t="n">
        <v>180.55</v>
      </c>
      <c r="BG314" s="37" t="n">
        <v>89.84</v>
      </c>
      <c r="BH314" s="37" t="n">
        <v>131.65</v>
      </c>
      <c r="BI314" s="37" t="n">
        <v>111.77</v>
      </c>
      <c r="BJ314" s="37" t="n">
        <v>140.68</v>
      </c>
      <c r="BK314" s="37" t="n">
        <v>113.27</v>
      </c>
      <c r="BL314" s="37" t="n">
        <v>113.59</v>
      </c>
      <c r="BM314" s="37" t="n">
        <v>110.05</v>
      </c>
      <c r="BN314" s="37" t="n">
        <v>89.84</v>
      </c>
      <c r="BO314" s="37" t="n">
        <v>131.65</v>
      </c>
      <c r="BP314" s="37" t="n">
        <v>111.77</v>
      </c>
      <c r="BQ314" s="37" t="n">
        <v>110.26</v>
      </c>
      <c r="BR314" s="37" t="n">
        <v>113.27</v>
      </c>
      <c r="BS314" s="37" t="n">
        <v>113.59</v>
      </c>
      <c r="BT314" s="37" t="n">
        <v>110.05</v>
      </c>
      <c r="BU314" s="37" t="n">
        <v>89.84</v>
      </c>
      <c r="BV314" s="37" t="n">
        <v>131.65</v>
      </c>
      <c r="BW314" s="37" t="n">
        <v>111.77</v>
      </c>
      <c r="BX314" s="37" t="n">
        <v>110.26</v>
      </c>
      <c r="BY314" s="37" t="n">
        <v>113.27</v>
      </c>
      <c r="BZ314" s="37" t="n">
        <v>113.59</v>
      </c>
      <c r="CA314" s="37" t="n">
        <v>110.05</v>
      </c>
      <c r="CB314" s="37" t="n">
        <v>89.84</v>
      </c>
      <c r="CC314" s="37" t="n">
        <v>10027.8</v>
      </c>
    </row>
    <row r="315" ht="15.75" customHeight="1" s="57">
      <c r="A315" s="7" t="inlineStr">
        <is>
          <t>NTB</t>
        </is>
      </c>
      <c r="B315" s="7" t="inlineStr">
        <is>
          <t>Lâm Đồng</t>
        </is>
      </c>
      <c r="C315" s="7" t="n">
        <v>21458000</v>
      </c>
      <c r="D315" s="7" t="inlineStr">
        <is>
          <t>(LDO) Nam Ban Lâm Hà</t>
        </is>
      </c>
      <c r="E315" s="7" t="inlineStr">
        <is>
          <t>TTS-Bulky</t>
        </is>
      </c>
      <c r="F315" s="36" t="n">
        <v>0</v>
      </c>
      <c r="G315" s="36" t="n">
        <v>0</v>
      </c>
      <c r="H315" s="36" t="n">
        <v>0</v>
      </c>
      <c r="I315" s="36" t="n">
        <v>0</v>
      </c>
      <c r="J315" s="36" t="n">
        <v>0</v>
      </c>
      <c r="K315" s="28" t="n">
        <v>0</v>
      </c>
      <c r="L315" s="36" t="n">
        <v>0</v>
      </c>
      <c r="M315" s="36" t="n">
        <v>0</v>
      </c>
      <c r="N315" s="36" t="n">
        <v>1</v>
      </c>
      <c r="O315" s="36" t="n">
        <v>0</v>
      </c>
      <c r="P315" s="36" t="n">
        <v>0</v>
      </c>
      <c r="Q315" s="36" t="n">
        <v>0</v>
      </c>
      <c r="R315" s="28" t="n">
        <v>0</v>
      </c>
      <c r="S315" s="36" t="n">
        <v>0</v>
      </c>
      <c r="T315" s="36" t="n">
        <v>0</v>
      </c>
      <c r="U315" s="36" t="n">
        <v>0.6</v>
      </c>
      <c r="V315" s="36" t="n">
        <v>0.59</v>
      </c>
      <c r="W315" s="36" t="n">
        <v>0.29</v>
      </c>
      <c r="X315" s="36" t="n">
        <v>0.22</v>
      </c>
      <c r="Y315" s="28" t="n">
        <v>0.31</v>
      </c>
      <c r="Z315" s="36" t="n">
        <v>0.28</v>
      </c>
      <c r="AA315" s="36" t="n">
        <v>0.35</v>
      </c>
      <c r="AB315" s="36" t="n">
        <v>0.34</v>
      </c>
      <c r="AC315" s="36" t="n">
        <v>0.37</v>
      </c>
      <c r="AD315" s="36" t="n">
        <v>0.36</v>
      </c>
      <c r="AE315" s="36" t="n">
        <v>0.22</v>
      </c>
      <c r="AF315" s="28" t="n">
        <v>0.37</v>
      </c>
      <c r="AG315" s="36" t="n">
        <v>0.28</v>
      </c>
      <c r="AH315" s="37" t="n">
        <v>0.28</v>
      </c>
      <c r="AI315" s="37" t="n">
        <v>0.29</v>
      </c>
      <c r="AJ315" s="37" t="n">
        <v>0.36</v>
      </c>
      <c r="AK315" s="37" t="n">
        <v>0.3</v>
      </c>
      <c r="AL315" s="37" t="n">
        <v>0.22</v>
      </c>
      <c r="AM315" s="37" t="n">
        <v>0.37</v>
      </c>
      <c r="AN315" s="37" t="n">
        <v>0.28</v>
      </c>
      <c r="AO315" s="37" t="n">
        <v>0.28</v>
      </c>
      <c r="AP315" s="37" t="n">
        <v>0.26</v>
      </c>
      <c r="AQ315" s="37" t="n">
        <v>0.31</v>
      </c>
      <c r="AR315" s="37" t="n">
        <v>0.29</v>
      </c>
      <c r="AS315" s="37" t="n">
        <v>0.22</v>
      </c>
      <c r="AT315" s="37" t="n">
        <v>0.38</v>
      </c>
      <c r="AU315" s="37" t="n">
        <v>0.36</v>
      </c>
      <c r="AV315" s="37" t="n">
        <v>0.28</v>
      </c>
      <c r="AW315" s="37" t="n">
        <v>0.26</v>
      </c>
      <c r="AX315" s="37" t="n">
        <v>0.31</v>
      </c>
      <c r="AY315" s="37" t="n">
        <v>0.29</v>
      </c>
      <c r="AZ315" s="37" t="n">
        <v>0.22</v>
      </c>
      <c r="BA315" s="37" t="n">
        <v>0.32</v>
      </c>
      <c r="BB315" s="37" t="n">
        <v>0.08</v>
      </c>
      <c r="BC315" s="37" t="n">
        <v>0.04</v>
      </c>
      <c r="BD315" s="37" t="n">
        <v>0.07000000000000001</v>
      </c>
      <c r="BE315" s="37" t="n">
        <v>0.08</v>
      </c>
      <c r="BF315" s="37" t="n">
        <v>0.08</v>
      </c>
      <c r="BG315" s="37" t="n">
        <v>0.06</v>
      </c>
      <c r="BH315" s="37" t="n">
        <v>0.1</v>
      </c>
      <c r="BI315" s="37" t="n">
        <v>0.09</v>
      </c>
      <c r="BJ315" s="37" t="n">
        <v>0.09</v>
      </c>
      <c r="BK315" s="37" t="n">
        <v>0.08</v>
      </c>
      <c r="BL315" s="37" t="n">
        <v>0.08</v>
      </c>
      <c r="BM315" s="37" t="n">
        <v>0.08</v>
      </c>
      <c r="BN315" s="37" t="n">
        <v>0.06</v>
      </c>
      <c r="BO315" s="37" t="n">
        <v>0.1</v>
      </c>
      <c r="BP315" s="37" t="n">
        <v>0.1</v>
      </c>
      <c r="BQ315" s="37" t="n">
        <v>0.09</v>
      </c>
      <c r="BR315" s="37" t="n">
        <v>0.08</v>
      </c>
      <c r="BS315" s="37" t="n">
        <v>0.08</v>
      </c>
      <c r="BT315" s="37" t="n">
        <v>0.08</v>
      </c>
      <c r="BU315" s="37" t="n">
        <v>0.05</v>
      </c>
      <c r="BV315" s="37" t="n">
        <v>0.1</v>
      </c>
      <c r="BW315" s="37" t="n">
        <v>0.09</v>
      </c>
      <c r="BX315" s="37" t="n">
        <v>0.09</v>
      </c>
      <c r="BY315" s="37" t="n">
        <v>0.08</v>
      </c>
      <c r="BZ315" s="37" t="n">
        <v>0.08</v>
      </c>
      <c r="CA315" s="37" t="n">
        <v>0.08</v>
      </c>
      <c r="CB315" s="37" t="n">
        <v>0.05</v>
      </c>
      <c r="CC315" s="37" t="n">
        <v>13.6</v>
      </c>
    </row>
    <row r="316" ht="15.75" customHeight="1" s="57">
      <c r="A316" s="7" t="inlineStr">
        <is>
          <t>NTB</t>
        </is>
      </c>
      <c r="B316" s="7" t="inlineStr">
        <is>
          <t>Lâm Đồng</t>
        </is>
      </c>
      <c r="C316" s="7" t="n">
        <v>21468000</v>
      </c>
      <c r="D316" s="7" t="inlineStr">
        <is>
          <t>(LDO) 3 Bảo Lộc</t>
        </is>
      </c>
      <c r="E316" s="7" t="inlineStr">
        <is>
          <t>SME</t>
        </is>
      </c>
      <c r="F316" s="36" t="n">
        <v>172</v>
      </c>
      <c r="G316" s="36" t="n">
        <v>313</v>
      </c>
      <c r="H316" s="36" t="n">
        <v>203</v>
      </c>
      <c r="I316" s="36" t="n">
        <v>194</v>
      </c>
      <c r="J316" s="36" t="n">
        <v>148</v>
      </c>
      <c r="K316" s="28" t="n">
        <v>182</v>
      </c>
      <c r="L316" s="36" t="n">
        <v>202</v>
      </c>
      <c r="M316" s="36" t="n">
        <v>246</v>
      </c>
      <c r="N316" s="36" t="n">
        <v>163</v>
      </c>
      <c r="O316" s="36" t="n">
        <v>181</v>
      </c>
      <c r="P316" s="36" t="n">
        <v>160</v>
      </c>
      <c r="Q316" s="36" t="n">
        <v>126</v>
      </c>
      <c r="R316" s="28" t="n">
        <v>146</v>
      </c>
      <c r="S316" s="36" t="n">
        <v>165</v>
      </c>
      <c r="T316" s="36" t="n">
        <v>198</v>
      </c>
      <c r="U316" s="36" t="n">
        <v>242.35</v>
      </c>
      <c r="V316" s="36" t="n">
        <v>250.36</v>
      </c>
      <c r="W316" s="36" t="n">
        <v>243.69</v>
      </c>
      <c r="X316" s="36" t="n">
        <v>199.44</v>
      </c>
      <c r="Y316" s="28" t="n">
        <v>269.99</v>
      </c>
      <c r="Z316" s="36" t="n">
        <v>248.54</v>
      </c>
      <c r="AA316" s="36" t="n">
        <v>242.5</v>
      </c>
      <c r="AB316" s="36" t="n">
        <v>242.35</v>
      </c>
      <c r="AC316" s="36" t="n">
        <v>250.36</v>
      </c>
      <c r="AD316" s="36" t="n">
        <v>263.79</v>
      </c>
      <c r="AE316" s="36" t="n">
        <v>199.44</v>
      </c>
      <c r="AF316" s="28" t="n">
        <v>269.99</v>
      </c>
      <c r="AG316" s="36" t="n">
        <v>248.54</v>
      </c>
      <c r="AH316" s="37" t="n">
        <v>242.5</v>
      </c>
      <c r="AI316" s="37" t="n">
        <v>242.35</v>
      </c>
      <c r="AJ316" s="37" t="n">
        <v>250.36</v>
      </c>
      <c r="AK316" s="37" t="n">
        <v>243.69</v>
      </c>
      <c r="AL316" s="37" t="n">
        <v>199.44</v>
      </c>
      <c r="AM316" s="37" t="n">
        <v>269.99</v>
      </c>
      <c r="AN316" s="37" t="n">
        <v>248.54</v>
      </c>
      <c r="AO316" s="37" t="n">
        <v>242.5</v>
      </c>
      <c r="AP316" s="37" t="n">
        <v>242.35</v>
      </c>
      <c r="AQ316" s="37" t="n">
        <v>250.36</v>
      </c>
      <c r="AR316" s="37" t="n">
        <v>243.69</v>
      </c>
      <c r="AS316" s="37" t="n">
        <v>199.44</v>
      </c>
      <c r="AT316" s="37" t="n">
        <v>269.99</v>
      </c>
      <c r="AU316" s="37" t="n">
        <v>248.54</v>
      </c>
      <c r="AV316" s="37" t="n">
        <v>242.5</v>
      </c>
      <c r="AW316" s="37" t="n">
        <v>242.35</v>
      </c>
      <c r="AX316" s="37" t="n">
        <v>250.36</v>
      </c>
      <c r="AY316" s="37" t="n">
        <v>243.69</v>
      </c>
      <c r="AZ316" s="37" t="n">
        <v>199.44</v>
      </c>
      <c r="BA316" s="37" t="n">
        <v>256.74</v>
      </c>
      <c r="BB316" s="37" t="n">
        <v>228.24</v>
      </c>
      <c r="BC316" s="37" t="n">
        <v>140.13</v>
      </c>
      <c r="BD316" s="37" t="n">
        <v>109.52</v>
      </c>
      <c r="BE316" s="37" t="n">
        <v>234.71</v>
      </c>
      <c r="BF316" s="37" t="n">
        <v>228.73</v>
      </c>
      <c r="BG316" s="37" t="n">
        <v>205.65</v>
      </c>
      <c r="BH316" s="37" t="n">
        <v>278.67</v>
      </c>
      <c r="BI316" s="37" t="n">
        <v>256.19</v>
      </c>
      <c r="BJ316" s="37" t="n">
        <v>271.65</v>
      </c>
      <c r="BK316" s="37" t="n">
        <v>249.47</v>
      </c>
      <c r="BL316" s="37" t="n">
        <v>258.12</v>
      </c>
      <c r="BM316" s="37" t="n">
        <v>251.04</v>
      </c>
      <c r="BN316" s="37" t="n">
        <v>205.65</v>
      </c>
      <c r="BO316" s="37" t="n">
        <v>278.67</v>
      </c>
      <c r="BP316" s="37" t="n">
        <v>256.19</v>
      </c>
      <c r="BQ316" s="37" t="n">
        <v>249.72</v>
      </c>
      <c r="BR316" s="37" t="n">
        <v>249.47</v>
      </c>
      <c r="BS316" s="37" t="n">
        <v>258.12</v>
      </c>
      <c r="BT316" s="37" t="n">
        <v>251.04</v>
      </c>
      <c r="BU316" s="37" t="n">
        <v>205.65</v>
      </c>
      <c r="BV316" s="37" t="n">
        <v>278.67</v>
      </c>
      <c r="BW316" s="37" t="n">
        <v>256.19</v>
      </c>
      <c r="BX316" s="37" t="n">
        <v>249.72</v>
      </c>
      <c r="BY316" s="37" t="n">
        <v>249.47</v>
      </c>
      <c r="BZ316" s="37" t="n">
        <v>258.12</v>
      </c>
      <c r="CA316" s="37" t="n">
        <v>251.04</v>
      </c>
      <c r="CB316" s="37" t="n">
        <v>205.65</v>
      </c>
      <c r="CC316" s="37" t="n">
        <v>17214.65</v>
      </c>
    </row>
    <row r="317" ht="15.75" customHeight="1" s="57">
      <c r="A317" s="7" t="inlineStr">
        <is>
          <t>NTB</t>
        </is>
      </c>
      <c r="B317" s="7" t="inlineStr">
        <is>
          <t>Lâm Đồng</t>
        </is>
      </c>
      <c r="C317" s="7" t="n">
        <v>21468000</v>
      </c>
      <c r="D317" s="7" t="inlineStr">
        <is>
          <t>(LDO) 3 Bảo Lộc</t>
        </is>
      </c>
      <c r="E317" s="7" t="inlineStr">
        <is>
          <t>SME-Bulky</t>
        </is>
      </c>
      <c r="F317" s="36" t="n">
        <v>8</v>
      </c>
      <c r="G317" s="36" t="n">
        <v>19</v>
      </c>
      <c r="H317" s="36" t="n">
        <v>14</v>
      </c>
      <c r="I317" s="36" t="n">
        <v>16</v>
      </c>
      <c r="J317" s="36" t="n">
        <v>7</v>
      </c>
      <c r="K317" s="28" t="n">
        <v>7</v>
      </c>
      <c r="L317" s="36" t="n">
        <v>13</v>
      </c>
      <c r="M317" s="36" t="n">
        <v>22</v>
      </c>
      <c r="N317" s="36" t="n">
        <v>18</v>
      </c>
      <c r="O317" s="36" t="n">
        <v>12</v>
      </c>
      <c r="P317" s="36" t="n">
        <v>27</v>
      </c>
      <c r="Q317" s="36" t="n">
        <v>4</v>
      </c>
      <c r="R317" s="28" t="n">
        <v>17</v>
      </c>
      <c r="S317" s="36" t="n">
        <v>21</v>
      </c>
      <c r="T317" s="36" t="n">
        <v>6</v>
      </c>
      <c r="U317" s="36" t="n">
        <v>13.67</v>
      </c>
      <c r="V317" s="36" t="n">
        <v>13.48</v>
      </c>
      <c r="W317" s="36" t="n">
        <v>13.12</v>
      </c>
      <c r="X317" s="36" t="n">
        <v>9.41</v>
      </c>
      <c r="Y317" s="28" t="n">
        <v>15.38</v>
      </c>
      <c r="Z317" s="36" t="n">
        <v>14.93</v>
      </c>
      <c r="AA317" s="36" t="n">
        <v>14.75</v>
      </c>
      <c r="AB317" s="36" t="n">
        <v>13.67</v>
      </c>
      <c r="AC317" s="36" t="n">
        <v>13.48</v>
      </c>
      <c r="AD317" s="36" t="n">
        <v>10.32</v>
      </c>
      <c r="AE317" s="36" t="n">
        <v>9.41</v>
      </c>
      <c r="AF317" s="28" t="n">
        <v>15.38</v>
      </c>
      <c r="AG317" s="36" t="n">
        <v>14.93</v>
      </c>
      <c r="AH317" s="37" t="n">
        <v>14.75</v>
      </c>
      <c r="AI317" s="37" t="n">
        <v>13.67</v>
      </c>
      <c r="AJ317" s="37" t="n">
        <v>13.48</v>
      </c>
      <c r="AK317" s="37" t="n">
        <v>13.12</v>
      </c>
      <c r="AL317" s="37" t="n">
        <v>9.41</v>
      </c>
      <c r="AM317" s="37" t="n">
        <v>15.38</v>
      </c>
      <c r="AN317" s="37" t="n">
        <v>14.93</v>
      </c>
      <c r="AO317" s="37" t="n">
        <v>14.75</v>
      </c>
      <c r="AP317" s="37" t="n">
        <v>13.67</v>
      </c>
      <c r="AQ317" s="37" t="n">
        <v>13.48</v>
      </c>
      <c r="AR317" s="37" t="n">
        <v>13.12</v>
      </c>
      <c r="AS317" s="37" t="n">
        <v>9.41</v>
      </c>
      <c r="AT317" s="37" t="n">
        <v>15.38</v>
      </c>
      <c r="AU317" s="37" t="n">
        <v>14.93</v>
      </c>
      <c r="AV317" s="37" t="n">
        <v>14.75</v>
      </c>
      <c r="AW317" s="37" t="n">
        <v>13.67</v>
      </c>
      <c r="AX317" s="37" t="n">
        <v>13.48</v>
      </c>
      <c r="AY317" s="37" t="n">
        <v>13.12</v>
      </c>
      <c r="AZ317" s="37" t="n">
        <v>9.41</v>
      </c>
      <c r="BA317" s="37" t="n">
        <v>16.83</v>
      </c>
      <c r="BB317" s="37" t="n">
        <v>8.869999999999999</v>
      </c>
      <c r="BC317" s="37" t="n">
        <v>4.52</v>
      </c>
      <c r="BD317" s="37" t="n">
        <v>3.44</v>
      </c>
      <c r="BE317" s="37" t="n">
        <v>7.96</v>
      </c>
      <c r="BF317" s="37" t="n">
        <v>7.42</v>
      </c>
      <c r="BG317" s="37" t="n">
        <v>5.16</v>
      </c>
      <c r="BH317" s="37" t="n">
        <v>8.960000000000001</v>
      </c>
      <c r="BI317" s="37" t="n">
        <v>8.869999999999999</v>
      </c>
      <c r="BJ317" s="37" t="n">
        <v>6.79</v>
      </c>
      <c r="BK317" s="37" t="n">
        <v>7.87</v>
      </c>
      <c r="BL317" s="37" t="n">
        <v>7.87</v>
      </c>
      <c r="BM317" s="37" t="n">
        <v>7.42</v>
      </c>
      <c r="BN317" s="37" t="n">
        <v>5.16</v>
      </c>
      <c r="BO317" s="37" t="n">
        <v>8.960000000000001</v>
      </c>
      <c r="BP317" s="37" t="n">
        <v>8.869999999999999</v>
      </c>
      <c r="BQ317" s="37" t="n">
        <v>8.42</v>
      </c>
      <c r="BR317" s="37" t="n">
        <v>7.87</v>
      </c>
      <c r="BS317" s="37" t="n">
        <v>7.87</v>
      </c>
      <c r="BT317" s="37" t="n">
        <v>7.42</v>
      </c>
      <c r="BU317" s="37" t="n">
        <v>5.16</v>
      </c>
      <c r="BV317" s="37" t="n">
        <v>8.960000000000001</v>
      </c>
      <c r="BW317" s="37" t="n">
        <v>8.869999999999999</v>
      </c>
      <c r="BX317" s="37" t="n">
        <v>8.42</v>
      </c>
      <c r="BY317" s="37" t="n">
        <v>7.87</v>
      </c>
      <c r="BZ317" s="37" t="n">
        <v>7.87</v>
      </c>
      <c r="CA317" s="37" t="n">
        <v>7.42</v>
      </c>
      <c r="CB317" s="37" t="n">
        <v>5.16</v>
      </c>
      <c r="CC317" s="37" t="n">
        <v>853.1199999999999</v>
      </c>
    </row>
    <row r="318" ht="15.75" customHeight="1" s="57">
      <c r="A318" s="7" t="inlineStr">
        <is>
          <t>NTB</t>
        </is>
      </c>
      <c r="B318" s="7" t="inlineStr">
        <is>
          <t>Lâm Đồng</t>
        </is>
      </c>
      <c r="C318" s="7" t="n">
        <v>21468000</v>
      </c>
      <c r="D318" s="7" t="inlineStr">
        <is>
          <t>(LDO) 3 Bảo Lộc</t>
        </is>
      </c>
      <c r="E318" s="7" t="inlineStr">
        <is>
          <t>Shopee</t>
        </is>
      </c>
      <c r="F318" s="36" t="n">
        <v>70</v>
      </c>
      <c r="G318" s="36" t="n">
        <v>72</v>
      </c>
      <c r="H318" s="36" t="n">
        <v>78</v>
      </c>
      <c r="I318" s="36" t="n">
        <v>59</v>
      </c>
      <c r="J318" s="36" t="n">
        <v>32</v>
      </c>
      <c r="K318" s="28" t="n">
        <v>114</v>
      </c>
      <c r="L318" s="36" t="n">
        <v>82</v>
      </c>
      <c r="M318" s="36" t="n">
        <v>87</v>
      </c>
      <c r="N318" s="36" t="n">
        <v>59</v>
      </c>
      <c r="O318" s="36" t="n">
        <v>61</v>
      </c>
      <c r="P318" s="36" t="n">
        <v>43</v>
      </c>
      <c r="Q318" s="36" t="n">
        <v>31</v>
      </c>
      <c r="R318" s="28" t="n">
        <v>91</v>
      </c>
      <c r="S318" s="36" t="n">
        <v>74</v>
      </c>
      <c r="T318" s="36" t="n">
        <v>73</v>
      </c>
      <c r="U318" s="36" t="n">
        <v>76.45</v>
      </c>
      <c r="V318" s="36" t="n">
        <v>77.23</v>
      </c>
      <c r="W318" s="36" t="n">
        <v>73.98999999999999</v>
      </c>
      <c r="X318" s="36" t="n">
        <v>63.95</v>
      </c>
      <c r="Y318" s="28" t="n">
        <v>103.5</v>
      </c>
      <c r="Z318" s="36" t="n">
        <v>82.05</v>
      </c>
      <c r="AA318" s="36" t="n">
        <v>100.25</v>
      </c>
      <c r="AB318" s="36" t="n">
        <v>78.51000000000001</v>
      </c>
      <c r="AC318" s="36" t="n">
        <v>63.06</v>
      </c>
      <c r="AD318" s="36" t="n">
        <v>167.65</v>
      </c>
      <c r="AE318" s="36" t="n">
        <v>68.56999999999999</v>
      </c>
      <c r="AF318" s="28" t="n">
        <v>113.63</v>
      </c>
      <c r="AG318" s="36" t="n">
        <v>86.09</v>
      </c>
      <c r="AH318" s="37" t="n">
        <v>90.81</v>
      </c>
      <c r="AI318" s="37" t="n">
        <v>76.45</v>
      </c>
      <c r="AJ318" s="37" t="n">
        <v>77.23</v>
      </c>
      <c r="AK318" s="37" t="n">
        <v>81.66</v>
      </c>
      <c r="AL318" s="37" t="n">
        <v>114.82</v>
      </c>
      <c r="AM318" s="37" t="n">
        <v>103.5</v>
      </c>
      <c r="AN318" s="37" t="n">
        <v>82.05</v>
      </c>
      <c r="AO318" s="37" t="n">
        <v>90.81</v>
      </c>
      <c r="AP318" s="37" t="n">
        <v>84.51000000000001</v>
      </c>
      <c r="AQ318" s="37" t="n">
        <v>61.69</v>
      </c>
      <c r="AR318" s="37" t="n">
        <v>73.98999999999999</v>
      </c>
      <c r="AS318" s="37" t="n">
        <v>63.95</v>
      </c>
      <c r="AT318" s="37" t="n">
        <v>103.5</v>
      </c>
      <c r="AU318" s="37" t="n">
        <v>90.22</v>
      </c>
      <c r="AV318" s="37" t="n">
        <v>93.06999999999999</v>
      </c>
      <c r="AW318" s="37" t="n">
        <v>76.45</v>
      </c>
      <c r="AX318" s="37" t="n">
        <v>77.23</v>
      </c>
      <c r="AY318" s="37" t="n">
        <v>73.98999999999999</v>
      </c>
      <c r="AZ318" s="37" t="n">
        <v>63.95</v>
      </c>
      <c r="BA318" s="37" t="n">
        <v>89.04000000000001</v>
      </c>
      <c r="BB318" s="37" t="n">
        <v>61.2</v>
      </c>
      <c r="BC318" s="37" t="n">
        <v>27.45</v>
      </c>
      <c r="BD318" s="37" t="n">
        <v>45.85</v>
      </c>
      <c r="BE318" s="37" t="n">
        <v>91.89</v>
      </c>
      <c r="BF318" s="37" t="n">
        <v>88.55</v>
      </c>
      <c r="BG318" s="37" t="n">
        <v>62.47</v>
      </c>
      <c r="BH318" s="37" t="n">
        <v>98.68000000000001</v>
      </c>
      <c r="BI318" s="37" t="n">
        <v>64.73999999999999</v>
      </c>
      <c r="BJ318" s="37" t="n">
        <v>237.5</v>
      </c>
      <c r="BK318" s="37" t="n">
        <v>78.31</v>
      </c>
      <c r="BL318" s="37" t="n">
        <v>77.23</v>
      </c>
      <c r="BM318" s="37" t="n">
        <v>70.54000000000001</v>
      </c>
      <c r="BN318" s="37" t="n">
        <v>61.29</v>
      </c>
      <c r="BO318" s="37" t="n">
        <v>98.68000000000001</v>
      </c>
      <c r="BP318" s="37" t="n">
        <v>85.69</v>
      </c>
      <c r="BQ318" s="37" t="n">
        <v>132.43</v>
      </c>
      <c r="BR318" s="37" t="n">
        <v>72.8</v>
      </c>
      <c r="BS318" s="37" t="n">
        <v>73.59</v>
      </c>
      <c r="BT318" s="37" t="n">
        <v>70.54000000000001</v>
      </c>
      <c r="BU318" s="37" t="n">
        <v>67</v>
      </c>
      <c r="BV318" s="37" t="n">
        <v>79.09999999999999</v>
      </c>
      <c r="BW318" s="37" t="n">
        <v>78.12</v>
      </c>
      <c r="BX318" s="37" t="n">
        <v>86.28</v>
      </c>
      <c r="BY318" s="37" t="n">
        <v>72.8</v>
      </c>
      <c r="BZ318" s="37" t="n">
        <v>80.58</v>
      </c>
      <c r="CA318" s="37" t="n">
        <v>72.12</v>
      </c>
      <c r="CB318" s="37" t="n">
        <v>61.29</v>
      </c>
      <c r="CC318" s="37" t="n">
        <v>6046.57</v>
      </c>
    </row>
    <row r="319" ht="15.75" customHeight="1" s="57">
      <c r="A319" s="7" t="inlineStr">
        <is>
          <t>NTB</t>
        </is>
      </c>
      <c r="B319" s="7" t="inlineStr">
        <is>
          <t>Lâm Đồng</t>
        </is>
      </c>
      <c r="C319" s="7" t="n">
        <v>21468000</v>
      </c>
      <c r="D319" s="7" t="inlineStr">
        <is>
          <t>(LDO) 3 Bảo Lộc</t>
        </is>
      </c>
      <c r="E319" s="7" t="inlineStr">
        <is>
          <t>Shopee-Bulky</t>
        </is>
      </c>
      <c r="F319" s="36" t="n">
        <v>2.61</v>
      </c>
      <c r="G319" s="36" t="n">
        <v>3.27</v>
      </c>
      <c r="H319" s="36" t="n">
        <v>2.61</v>
      </c>
      <c r="I319" s="36" t="n">
        <v>3.27</v>
      </c>
      <c r="J319" s="36" t="n">
        <v>1.96</v>
      </c>
      <c r="K319" s="28" t="n">
        <v>5.88</v>
      </c>
      <c r="L319" s="36" t="n">
        <v>3.27</v>
      </c>
      <c r="M319" s="36" t="n">
        <v>4.57</v>
      </c>
      <c r="N319" s="36" t="n">
        <v>3.27</v>
      </c>
      <c r="O319" s="36" t="n">
        <v>0.65</v>
      </c>
      <c r="P319" s="36" t="n">
        <v>3.27</v>
      </c>
      <c r="Q319" s="36" t="n">
        <v>0</v>
      </c>
      <c r="R319" s="28" t="n">
        <v>1.96</v>
      </c>
      <c r="S319" s="36" t="n">
        <v>3.92</v>
      </c>
      <c r="T319" s="36" t="n">
        <v>5.88</v>
      </c>
      <c r="U319" s="36" t="n">
        <v>3.36</v>
      </c>
      <c r="V319" s="36" t="n">
        <v>3.24</v>
      </c>
      <c r="W319" s="36" t="n">
        <v>4.27</v>
      </c>
      <c r="X319" s="36" t="n">
        <v>2.52</v>
      </c>
      <c r="Y319" s="28" t="n">
        <v>5.29</v>
      </c>
      <c r="Z319" s="36" t="n">
        <v>3.84</v>
      </c>
      <c r="AA319" s="36" t="n">
        <v>6.79</v>
      </c>
      <c r="AB319" s="36" t="n">
        <v>3.84</v>
      </c>
      <c r="AC319" s="36" t="n">
        <v>4.51</v>
      </c>
      <c r="AD319" s="36" t="n">
        <v>13.7</v>
      </c>
      <c r="AE319" s="36" t="n">
        <v>11.84</v>
      </c>
      <c r="AF319" s="28" t="n">
        <v>11.29</v>
      </c>
      <c r="AG319" s="36" t="n">
        <v>5.95</v>
      </c>
      <c r="AH319" s="37" t="n">
        <v>3.66</v>
      </c>
      <c r="AI319" s="37" t="n">
        <v>4.27</v>
      </c>
      <c r="AJ319" s="37" t="n">
        <v>3.54</v>
      </c>
      <c r="AK319" s="37" t="n">
        <v>8.470000000000001</v>
      </c>
      <c r="AL319" s="37" t="n">
        <v>4.63</v>
      </c>
      <c r="AM319" s="37" t="n">
        <v>6.97</v>
      </c>
      <c r="AN319" s="37" t="n">
        <v>3.84</v>
      </c>
      <c r="AO319" s="37" t="n">
        <v>3.72</v>
      </c>
      <c r="AP319" s="37" t="n">
        <v>7.57</v>
      </c>
      <c r="AQ319" s="37" t="n">
        <v>5.05</v>
      </c>
      <c r="AR319" s="37" t="n">
        <v>3.78</v>
      </c>
      <c r="AS319" s="37" t="n">
        <v>1.92</v>
      </c>
      <c r="AT319" s="37" t="n">
        <v>5.11</v>
      </c>
      <c r="AU319" s="37" t="n">
        <v>9.130000000000001</v>
      </c>
      <c r="AV319" s="37" t="n">
        <v>9.31</v>
      </c>
      <c r="AW319" s="37" t="n">
        <v>3.66</v>
      </c>
      <c r="AX319" s="37" t="n">
        <v>3.54</v>
      </c>
      <c r="AY319" s="37" t="n">
        <v>3.66</v>
      </c>
      <c r="AZ319" s="37" t="n">
        <v>1.92</v>
      </c>
      <c r="BA319" s="37" t="n">
        <v>4.75</v>
      </c>
      <c r="BB319" s="37" t="n">
        <v>2.94</v>
      </c>
      <c r="BC319" s="37" t="n">
        <v>0.6</v>
      </c>
      <c r="BD319" s="37" t="n">
        <v>1.2</v>
      </c>
      <c r="BE319" s="37" t="n">
        <v>5.53</v>
      </c>
      <c r="BF319" s="37" t="n">
        <v>4.63</v>
      </c>
      <c r="BG319" s="37" t="n">
        <v>2.94</v>
      </c>
      <c r="BH319" s="37" t="n">
        <v>6.73</v>
      </c>
      <c r="BI319" s="37" t="n">
        <v>4.99</v>
      </c>
      <c r="BJ319" s="37" t="n">
        <v>24.69</v>
      </c>
      <c r="BK319" s="37" t="n">
        <v>11.29</v>
      </c>
      <c r="BL319" s="37" t="n">
        <v>6.37</v>
      </c>
      <c r="BM319" s="37" t="n">
        <v>3.84</v>
      </c>
      <c r="BN319" s="37" t="n">
        <v>2.76</v>
      </c>
      <c r="BO319" s="37" t="n">
        <v>8.050000000000001</v>
      </c>
      <c r="BP319" s="37" t="n">
        <v>11.66</v>
      </c>
      <c r="BQ319" s="37" t="n">
        <v>9.130000000000001</v>
      </c>
      <c r="BR319" s="37" t="n">
        <v>4.63</v>
      </c>
      <c r="BS319" s="37" t="n">
        <v>4.51</v>
      </c>
      <c r="BT319" s="37" t="n">
        <v>3.66</v>
      </c>
      <c r="BU319" s="37" t="n">
        <v>6.01</v>
      </c>
      <c r="BV319" s="37" t="n">
        <v>7.21</v>
      </c>
      <c r="BW319" s="37" t="n">
        <v>4.99</v>
      </c>
      <c r="BX319" s="37" t="n">
        <v>4.81</v>
      </c>
      <c r="BY319" s="37" t="n">
        <v>4.63</v>
      </c>
      <c r="BZ319" s="37" t="n">
        <v>9.19</v>
      </c>
      <c r="CA319" s="37" t="n">
        <v>4.63</v>
      </c>
      <c r="CB319" s="37" t="n">
        <v>2.58</v>
      </c>
      <c r="CC319" s="37" t="n">
        <v>389.53</v>
      </c>
    </row>
    <row r="320" ht="15.75" customHeight="1" s="57">
      <c r="A320" s="7" t="inlineStr">
        <is>
          <t>NTB</t>
        </is>
      </c>
      <c r="B320" s="7" t="inlineStr">
        <is>
          <t>Lâm Đồng</t>
        </is>
      </c>
      <c r="C320" s="7" t="n">
        <v>21468000</v>
      </c>
      <c r="D320" s="7" t="inlineStr">
        <is>
          <t>(LDO) 3 Bảo Lộc</t>
        </is>
      </c>
      <c r="E320" s="7" t="inlineStr">
        <is>
          <t>Shopee-Bulky (10-15kg)</t>
        </is>
      </c>
      <c r="F320" s="36" t="n">
        <v>1.39</v>
      </c>
      <c r="G320" s="36" t="n">
        <v>1.73</v>
      </c>
      <c r="H320" s="36" t="n">
        <v>1.39</v>
      </c>
      <c r="I320" s="36" t="n">
        <v>1.73</v>
      </c>
      <c r="J320" s="36" t="n">
        <v>1.04</v>
      </c>
      <c r="K320" s="28" t="n">
        <v>3.12</v>
      </c>
      <c r="L320" s="36" t="n">
        <v>1.73</v>
      </c>
      <c r="M320" s="36" t="n">
        <v>2.43</v>
      </c>
      <c r="N320" s="36" t="n">
        <v>1.73</v>
      </c>
      <c r="O320" s="36" t="n">
        <v>0.35</v>
      </c>
      <c r="P320" s="36" t="n">
        <v>1.73</v>
      </c>
      <c r="Q320" s="36" t="n">
        <v>0</v>
      </c>
      <c r="R320" s="28" t="n">
        <v>1.04</v>
      </c>
      <c r="S320" s="36" t="n">
        <v>2.08</v>
      </c>
      <c r="T320" s="36" t="n">
        <v>3.12</v>
      </c>
      <c r="U320" s="36" t="n">
        <v>1.74</v>
      </c>
      <c r="V320" s="36" t="n">
        <v>1.68</v>
      </c>
      <c r="W320" s="36" t="n">
        <v>2.1</v>
      </c>
      <c r="X320" s="36" t="n">
        <v>1.26</v>
      </c>
      <c r="Y320" s="28" t="n">
        <v>3.06</v>
      </c>
      <c r="Z320" s="36" t="n">
        <v>2.04</v>
      </c>
      <c r="AA320" s="36" t="n">
        <v>3.72</v>
      </c>
      <c r="AB320" s="36" t="n">
        <v>1.92</v>
      </c>
      <c r="AC320" s="36" t="n">
        <v>2.04</v>
      </c>
      <c r="AD320" s="36" t="n">
        <v>9.970000000000001</v>
      </c>
      <c r="AE320" s="36" t="n">
        <v>6.79</v>
      </c>
      <c r="AF320" s="28" t="n">
        <v>5.65</v>
      </c>
      <c r="AG320" s="36" t="n">
        <v>4.39</v>
      </c>
      <c r="AH320" s="37" t="n">
        <v>2.04</v>
      </c>
      <c r="AI320" s="37" t="n">
        <v>2.04</v>
      </c>
      <c r="AJ320" s="37" t="n">
        <v>2.04</v>
      </c>
      <c r="AK320" s="37" t="n">
        <v>5.29</v>
      </c>
      <c r="AL320" s="37" t="n">
        <v>2.1</v>
      </c>
      <c r="AM320" s="37" t="n">
        <v>4.21</v>
      </c>
      <c r="AN320" s="37" t="n">
        <v>2.04</v>
      </c>
      <c r="AO320" s="37" t="n">
        <v>1.92</v>
      </c>
      <c r="AP320" s="37" t="n">
        <v>3.84</v>
      </c>
      <c r="AQ320" s="37" t="n">
        <v>2.52</v>
      </c>
      <c r="AR320" s="37" t="n">
        <v>1.92</v>
      </c>
      <c r="AS320" s="37" t="n">
        <v>0.96</v>
      </c>
      <c r="AT320" s="37" t="n">
        <v>3</v>
      </c>
      <c r="AU320" s="37" t="n">
        <v>4.81</v>
      </c>
      <c r="AV320" s="37" t="n">
        <v>5.35</v>
      </c>
      <c r="AW320" s="37" t="n">
        <v>1.8</v>
      </c>
      <c r="AX320" s="37" t="n">
        <v>1.68</v>
      </c>
      <c r="AY320" s="37" t="n">
        <v>1.86</v>
      </c>
      <c r="AZ320" s="37" t="n">
        <v>0.96</v>
      </c>
      <c r="BA320" s="37" t="n">
        <v>2.28</v>
      </c>
      <c r="BB320" s="37" t="n">
        <v>1.44</v>
      </c>
      <c r="BC320" s="37" t="n">
        <v>0.24</v>
      </c>
      <c r="BD320" s="37" t="n">
        <v>0.48</v>
      </c>
      <c r="BE320" s="37" t="n">
        <v>2.82</v>
      </c>
      <c r="BF320" s="37" t="n">
        <v>2.34</v>
      </c>
      <c r="BG320" s="37" t="n">
        <v>1.32</v>
      </c>
      <c r="BH320" s="37" t="n">
        <v>4.09</v>
      </c>
      <c r="BI320" s="37" t="n">
        <v>2.22</v>
      </c>
      <c r="BJ320" s="37" t="n">
        <v>13.82</v>
      </c>
      <c r="BK320" s="37" t="n">
        <v>4.99</v>
      </c>
      <c r="BL320" s="37" t="n">
        <v>3.72</v>
      </c>
      <c r="BM320" s="37" t="n">
        <v>1.8</v>
      </c>
      <c r="BN320" s="37" t="n">
        <v>1.32</v>
      </c>
      <c r="BO320" s="37" t="n">
        <v>3.84</v>
      </c>
      <c r="BP320" s="37" t="n">
        <v>4.99</v>
      </c>
      <c r="BQ320" s="37" t="n">
        <v>4.69</v>
      </c>
      <c r="BR320" s="37" t="n">
        <v>2.34</v>
      </c>
      <c r="BS320" s="37" t="n">
        <v>2.16</v>
      </c>
      <c r="BT320" s="37" t="n">
        <v>1.8</v>
      </c>
      <c r="BU320" s="37" t="n">
        <v>2.34</v>
      </c>
      <c r="BV320" s="37" t="n">
        <v>4.39</v>
      </c>
      <c r="BW320" s="37" t="n">
        <v>2.22</v>
      </c>
      <c r="BX320" s="37" t="n">
        <v>2.52</v>
      </c>
      <c r="BY320" s="37" t="n">
        <v>2.34</v>
      </c>
      <c r="BZ320" s="37" t="n">
        <v>4.33</v>
      </c>
      <c r="CA320" s="37" t="n">
        <v>2.34</v>
      </c>
      <c r="CB320" s="37" t="n">
        <v>1.32</v>
      </c>
      <c r="CC320" s="37" t="n">
        <v>205.8500000000001</v>
      </c>
    </row>
    <row r="321" ht="15.75" customHeight="1" s="57">
      <c r="A321" s="7" t="inlineStr">
        <is>
          <t>NTB</t>
        </is>
      </c>
      <c r="B321" s="7" t="inlineStr">
        <is>
          <t>Lâm Đồng</t>
        </is>
      </c>
      <c r="C321" s="7" t="n">
        <v>21468000</v>
      </c>
      <c r="D321" s="7" t="inlineStr">
        <is>
          <t>(LDO) 3 Bảo Lộc</t>
        </is>
      </c>
      <c r="E321" s="7" t="inlineStr">
        <is>
          <t>TTS</t>
        </is>
      </c>
      <c r="F321" s="36" t="n">
        <v>180</v>
      </c>
      <c r="G321" s="36" t="n">
        <v>182</v>
      </c>
      <c r="H321" s="36" t="n">
        <v>155</v>
      </c>
      <c r="I321" s="36" t="n">
        <v>302</v>
      </c>
      <c r="J321" s="36" t="n">
        <v>204</v>
      </c>
      <c r="K321" s="28" t="n">
        <v>125</v>
      </c>
      <c r="L321" s="36" t="n">
        <v>122</v>
      </c>
      <c r="M321" s="36" t="n">
        <v>304</v>
      </c>
      <c r="N321" s="36" t="n">
        <v>267</v>
      </c>
      <c r="O321" s="36" t="n">
        <v>242</v>
      </c>
      <c r="P321" s="36" t="n">
        <v>498</v>
      </c>
      <c r="Q321" s="36" t="n">
        <v>447</v>
      </c>
      <c r="R321" s="28" t="n">
        <v>258</v>
      </c>
      <c r="S321" s="36" t="n">
        <v>126</v>
      </c>
      <c r="T321" s="36" t="n">
        <v>186</v>
      </c>
      <c r="U321" s="36" t="n">
        <v>128.46</v>
      </c>
      <c r="V321" s="36" t="n">
        <v>127.03</v>
      </c>
      <c r="W321" s="36" t="n">
        <v>123.91</v>
      </c>
      <c r="X321" s="36" t="n">
        <v>99.7</v>
      </c>
      <c r="Y321" s="28" t="n">
        <v>145.65</v>
      </c>
      <c r="Z321" s="36" t="n">
        <v>123.78</v>
      </c>
      <c r="AA321" s="36" t="n">
        <v>137.71</v>
      </c>
      <c r="AB321" s="36" t="n">
        <v>152.93</v>
      </c>
      <c r="AC321" s="36" t="n">
        <v>162.44</v>
      </c>
      <c r="AD321" s="36" t="n">
        <v>225.17</v>
      </c>
      <c r="AE321" s="36" t="n">
        <v>116.1</v>
      </c>
      <c r="AF321" s="28" t="n">
        <v>149.55</v>
      </c>
      <c r="AG321" s="36" t="n">
        <v>126.51</v>
      </c>
      <c r="AH321" s="37" t="n">
        <v>124.69</v>
      </c>
      <c r="AI321" s="37" t="n">
        <v>144.21</v>
      </c>
      <c r="AJ321" s="37" t="n">
        <v>154.11</v>
      </c>
      <c r="AK321" s="37" t="n">
        <v>151.5</v>
      </c>
      <c r="AL321" s="37" t="n">
        <v>108.55</v>
      </c>
      <c r="AM321" s="37" t="n">
        <v>147.73</v>
      </c>
      <c r="AN321" s="37" t="n">
        <v>127.55</v>
      </c>
      <c r="AO321" s="37" t="n">
        <v>126.51</v>
      </c>
      <c r="AP321" s="37" t="n">
        <v>123.65</v>
      </c>
      <c r="AQ321" s="37" t="n">
        <v>124.56</v>
      </c>
      <c r="AR321" s="37" t="n">
        <v>121.96</v>
      </c>
      <c r="AS321" s="37" t="n">
        <v>99.95999999999999</v>
      </c>
      <c r="AT321" s="37" t="n">
        <v>159.83</v>
      </c>
      <c r="AU321" s="37" t="n">
        <v>144.73</v>
      </c>
      <c r="AV321" s="37" t="n">
        <v>128.2</v>
      </c>
      <c r="AW321" s="37" t="n">
        <v>122.09</v>
      </c>
      <c r="AX321" s="37" t="n">
        <v>121.44</v>
      </c>
      <c r="AY321" s="37" t="n">
        <v>120.52</v>
      </c>
      <c r="AZ321" s="37" t="n">
        <v>99.95999999999999</v>
      </c>
      <c r="BA321" s="37" t="n">
        <v>143.69</v>
      </c>
      <c r="BB321" s="37" t="n">
        <v>135.36</v>
      </c>
      <c r="BC321" s="37" t="n">
        <v>68.06999999999999</v>
      </c>
      <c r="BD321" s="37" t="n">
        <v>97.09999999999999</v>
      </c>
      <c r="BE321" s="37" t="n">
        <v>226.08</v>
      </c>
      <c r="BF321" s="37" t="n">
        <v>218.66</v>
      </c>
      <c r="BG321" s="37" t="n">
        <v>108.81</v>
      </c>
      <c r="BH321" s="37" t="n">
        <v>159.44</v>
      </c>
      <c r="BI321" s="37" t="n">
        <v>135.36</v>
      </c>
      <c r="BJ321" s="37" t="n">
        <v>170.37</v>
      </c>
      <c r="BK321" s="37" t="n">
        <v>137.18</v>
      </c>
      <c r="BL321" s="37" t="n">
        <v>137.58</v>
      </c>
      <c r="BM321" s="37" t="n">
        <v>133.28</v>
      </c>
      <c r="BN321" s="37" t="n">
        <v>108.81</v>
      </c>
      <c r="BO321" s="37" t="n">
        <v>159.44</v>
      </c>
      <c r="BP321" s="37" t="n">
        <v>135.36</v>
      </c>
      <c r="BQ321" s="37" t="n">
        <v>133.54</v>
      </c>
      <c r="BR321" s="37" t="n">
        <v>137.18</v>
      </c>
      <c r="BS321" s="37" t="n">
        <v>137.58</v>
      </c>
      <c r="BT321" s="37" t="n">
        <v>133.28</v>
      </c>
      <c r="BU321" s="37" t="n">
        <v>108.81</v>
      </c>
      <c r="BV321" s="37" t="n">
        <v>159.44</v>
      </c>
      <c r="BW321" s="37" t="n">
        <v>135.36</v>
      </c>
      <c r="BX321" s="37" t="n">
        <v>133.54</v>
      </c>
      <c r="BY321" s="37" t="n">
        <v>137.18</v>
      </c>
      <c r="BZ321" s="37" t="n">
        <v>137.58</v>
      </c>
      <c r="CA321" s="37" t="n">
        <v>133.28</v>
      </c>
      <c r="CB321" s="37" t="n">
        <v>108.81</v>
      </c>
      <c r="CC321" s="37" t="n">
        <v>11738.86000000001</v>
      </c>
    </row>
    <row r="322" ht="15.75" customHeight="1" s="57">
      <c r="A322" s="7" t="inlineStr">
        <is>
          <t>NTB</t>
        </is>
      </c>
      <c r="B322" s="7" t="inlineStr">
        <is>
          <t>Lâm Đồng</t>
        </is>
      </c>
      <c r="C322" s="7" t="n">
        <v>21468000</v>
      </c>
      <c r="D322" s="7" t="inlineStr">
        <is>
          <t>(LDO) 3 Bảo Lộc</t>
        </is>
      </c>
      <c r="E322" s="7" t="inlineStr">
        <is>
          <t>TTS-Bulky</t>
        </is>
      </c>
      <c r="F322" s="36" t="n">
        <v>0</v>
      </c>
      <c r="G322" s="36" t="n">
        <v>2</v>
      </c>
      <c r="H322" s="36" t="n">
        <v>0</v>
      </c>
      <c r="I322" s="36" t="n">
        <v>1</v>
      </c>
      <c r="J322" s="36" t="n">
        <v>0</v>
      </c>
      <c r="K322" s="28" t="n">
        <v>0</v>
      </c>
      <c r="L322" s="36" t="n">
        <v>0</v>
      </c>
      <c r="M322" s="36" t="n">
        <v>0</v>
      </c>
      <c r="N322" s="36" t="n">
        <v>0</v>
      </c>
      <c r="O322" s="36" t="n">
        <v>0</v>
      </c>
      <c r="P322" s="36" t="n">
        <v>0</v>
      </c>
      <c r="Q322" s="36" t="n">
        <v>0</v>
      </c>
      <c r="R322" s="28" t="n">
        <v>0</v>
      </c>
      <c r="S322" s="36" t="n">
        <v>0</v>
      </c>
      <c r="T322" s="36" t="n">
        <v>0</v>
      </c>
      <c r="U322" s="36" t="n">
        <v>0.9</v>
      </c>
      <c r="V322" s="36" t="n">
        <v>0.88</v>
      </c>
      <c r="W322" s="36" t="n">
        <v>0.44</v>
      </c>
      <c r="X322" s="36" t="n">
        <v>0.32</v>
      </c>
      <c r="Y322" s="28" t="n">
        <v>0.46</v>
      </c>
      <c r="Z322" s="36" t="n">
        <v>0.42</v>
      </c>
      <c r="AA322" s="36" t="n">
        <v>0.52</v>
      </c>
      <c r="AB322" s="36" t="n">
        <v>0.52</v>
      </c>
      <c r="AC322" s="36" t="n">
        <v>0.5600000000000001</v>
      </c>
      <c r="AD322" s="36" t="n">
        <v>0.54</v>
      </c>
      <c r="AE322" s="36" t="n">
        <v>0.33</v>
      </c>
      <c r="AF322" s="28" t="n">
        <v>0.5600000000000001</v>
      </c>
      <c r="AG322" s="36" t="n">
        <v>0.42</v>
      </c>
      <c r="AH322" s="37" t="n">
        <v>0.42</v>
      </c>
      <c r="AI322" s="37" t="n">
        <v>0.44</v>
      </c>
      <c r="AJ322" s="37" t="n">
        <v>0.54</v>
      </c>
      <c r="AK322" s="37" t="n">
        <v>0.45</v>
      </c>
      <c r="AL322" s="37" t="n">
        <v>0.32</v>
      </c>
      <c r="AM322" s="37" t="n">
        <v>0.5600000000000001</v>
      </c>
      <c r="AN322" s="37" t="n">
        <v>0.42</v>
      </c>
      <c r="AO322" s="37" t="n">
        <v>0.42</v>
      </c>
      <c r="AP322" s="37" t="n">
        <v>0.4</v>
      </c>
      <c r="AQ322" s="37" t="n">
        <v>0.47</v>
      </c>
      <c r="AR322" s="37" t="n">
        <v>0.44</v>
      </c>
      <c r="AS322" s="37" t="n">
        <v>0.32</v>
      </c>
      <c r="AT322" s="37" t="n">
        <v>0.57</v>
      </c>
      <c r="AU322" s="37" t="n">
        <v>0.54</v>
      </c>
      <c r="AV322" s="37" t="n">
        <v>0.42</v>
      </c>
      <c r="AW322" s="37" t="n">
        <v>0.4</v>
      </c>
      <c r="AX322" s="37" t="n">
        <v>0.47</v>
      </c>
      <c r="AY322" s="37" t="n">
        <v>0.44</v>
      </c>
      <c r="AZ322" s="37" t="n">
        <v>0.32</v>
      </c>
      <c r="BA322" s="37" t="n">
        <v>0.49</v>
      </c>
      <c r="BB322" s="37" t="n">
        <v>0.12</v>
      </c>
      <c r="BC322" s="37" t="n">
        <v>0.06</v>
      </c>
      <c r="BD322" s="37" t="n">
        <v>0.1</v>
      </c>
      <c r="BE322" s="37" t="n">
        <v>0.12</v>
      </c>
      <c r="BF322" s="37" t="n">
        <v>0.13</v>
      </c>
      <c r="BG322" s="37" t="n">
        <v>0.09</v>
      </c>
      <c r="BH322" s="37" t="n">
        <v>0.15</v>
      </c>
      <c r="BI322" s="37" t="n">
        <v>0.13</v>
      </c>
      <c r="BJ322" s="37" t="n">
        <v>0.13</v>
      </c>
      <c r="BK322" s="37" t="n">
        <v>0.13</v>
      </c>
      <c r="BL322" s="37" t="n">
        <v>0.12</v>
      </c>
      <c r="BM322" s="37" t="n">
        <v>0.13</v>
      </c>
      <c r="BN322" s="37" t="n">
        <v>0.09</v>
      </c>
      <c r="BO322" s="37" t="n">
        <v>0.16</v>
      </c>
      <c r="BP322" s="37" t="n">
        <v>0.14</v>
      </c>
      <c r="BQ322" s="37" t="n">
        <v>0.13</v>
      </c>
      <c r="BR322" s="37" t="n">
        <v>0.13</v>
      </c>
      <c r="BS322" s="37" t="n">
        <v>0.12</v>
      </c>
      <c r="BT322" s="37" t="n">
        <v>0.13</v>
      </c>
      <c r="BU322" s="37" t="n">
        <v>0.08</v>
      </c>
      <c r="BV322" s="37" t="n">
        <v>0.14</v>
      </c>
      <c r="BW322" s="37" t="n">
        <v>0.13</v>
      </c>
      <c r="BX322" s="37" t="n">
        <v>0.13</v>
      </c>
      <c r="BY322" s="37" t="n">
        <v>0.13</v>
      </c>
      <c r="BZ322" s="37" t="n">
        <v>0.12</v>
      </c>
      <c r="CA322" s="37" t="n">
        <v>0.13</v>
      </c>
      <c r="CB322" s="37" t="n">
        <v>0.08</v>
      </c>
      <c r="CC322" s="37" t="n">
        <v>21.96999999999999</v>
      </c>
    </row>
    <row r="323" ht="15.75" customHeight="1" s="57">
      <c r="A323" s="7" t="inlineStr">
        <is>
          <t>NTB</t>
        </is>
      </c>
      <c r="B323" s="7" t="inlineStr">
        <is>
          <t>Lâm Đồng</t>
        </is>
      </c>
      <c r="C323" s="7" t="n">
        <v>21516000</v>
      </c>
      <c r="D323" s="7" t="inlineStr">
        <is>
          <t>(LDO) Đức Trọng 2</t>
        </is>
      </c>
      <c r="E323" s="7" t="inlineStr">
        <is>
          <t>SME</t>
        </is>
      </c>
      <c r="F323" s="36" t="n">
        <v>60</v>
      </c>
      <c r="G323" s="36" t="n">
        <v>153</v>
      </c>
      <c r="H323" s="36" t="n">
        <v>121</v>
      </c>
      <c r="I323" s="36" t="n">
        <v>223</v>
      </c>
      <c r="J323" s="36" t="n">
        <v>96</v>
      </c>
      <c r="K323" s="28" t="n">
        <v>126</v>
      </c>
      <c r="L323" s="36" t="n">
        <v>113</v>
      </c>
      <c r="M323" s="36" t="n">
        <v>67</v>
      </c>
      <c r="N323" s="36" t="n">
        <v>75</v>
      </c>
      <c r="O323" s="36" t="n">
        <v>94</v>
      </c>
      <c r="P323" s="36" t="n">
        <v>67</v>
      </c>
      <c r="Q323" s="36" t="n">
        <v>62</v>
      </c>
      <c r="R323" s="28" t="n">
        <v>161</v>
      </c>
      <c r="S323" s="36" t="n">
        <v>277</v>
      </c>
      <c r="T323" s="36" t="n">
        <v>133</v>
      </c>
      <c r="U323" s="36" t="n">
        <v>171.08</v>
      </c>
      <c r="V323" s="36" t="n">
        <v>176.74</v>
      </c>
      <c r="W323" s="36" t="n">
        <v>172.03</v>
      </c>
      <c r="X323" s="36" t="n">
        <v>140.82</v>
      </c>
      <c r="Y323" s="28" t="n">
        <v>190.6</v>
      </c>
      <c r="Z323" s="36" t="n">
        <v>175.47</v>
      </c>
      <c r="AA323" s="36" t="n">
        <v>171.21</v>
      </c>
      <c r="AB323" s="36" t="n">
        <v>171.08</v>
      </c>
      <c r="AC323" s="36" t="n">
        <v>176.74</v>
      </c>
      <c r="AD323" s="36" t="n">
        <v>186.25</v>
      </c>
      <c r="AE323" s="36" t="n">
        <v>140.82</v>
      </c>
      <c r="AF323" s="28" t="n">
        <v>190.6</v>
      </c>
      <c r="AG323" s="36" t="n">
        <v>175.47</v>
      </c>
      <c r="AH323" s="37" t="n">
        <v>171.21</v>
      </c>
      <c r="AI323" s="37" t="n">
        <v>171.08</v>
      </c>
      <c r="AJ323" s="37" t="n">
        <v>176.74</v>
      </c>
      <c r="AK323" s="37" t="n">
        <v>172.03</v>
      </c>
      <c r="AL323" s="37" t="n">
        <v>140.82</v>
      </c>
      <c r="AM323" s="37" t="n">
        <v>190.6</v>
      </c>
      <c r="AN323" s="37" t="n">
        <v>175.47</v>
      </c>
      <c r="AO323" s="37" t="n">
        <v>171.21</v>
      </c>
      <c r="AP323" s="37" t="n">
        <v>171.08</v>
      </c>
      <c r="AQ323" s="37" t="n">
        <v>176.74</v>
      </c>
      <c r="AR323" s="37" t="n">
        <v>172.03</v>
      </c>
      <c r="AS323" s="37" t="n">
        <v>140.82</v>
      </c>
      <c r="AT323" s="37" t="n">
        <v>190.6</v>
      </c>
      <c r="AU323" s="37" t="n">
        <v>175.47</v>
      </c>
      <c r="AV323" s="37" t="n">
        <v>171.21</v>
      </c>
      <c r="AW323" s="37" t="n">
        <v>171.08</v>
      </c>
      <c r="AX323" s="37" t="n">
        <v>176.74</v>
      </c>
      <c r="AY323" s="37" t="n">
        <v>172.03</v>
      </c>
      <c r="AZ323" s="37" t="n">
        <v>140.82</v>
      </c>
      <c r="BA323" s="37" t="n">
        <v>181.25</v>
      </c>
      <c r="BB323" s="37" t="n">
        <v>161.15</v>
      </c>
      <c r="BC323" s="37" t="n">
        <v>98.98999999999999</v>
      </c>
      <c r="BD323" s="37" t="n">
        <v>77.36</v>
      </c>
      <c r="BE323" s="37" t="n">
        <v>165.73</v>
      </c>
      <c r="BF323" s="37" t="n">
        <v>161.49</v>
      </c>
      <c r="BG323" s="37" t="n">
        <v>145.22</v>
      </c>
      <c r="BH323" s="37" t="n">
        <v>196.76</v>
      </c>
      <c r="BI323" s="37" t="n">
        <v>180.89</v>
      </c>
      <c r="BJ323" s="37" t="n">
        <v>191.83</v>
      </c>
      <c r="BK323" s="37" t="n">
        <v>176.13</v>
      </c>
      <c r="BL323" s="37" t="n">
        <v>182.24</v>
      </c>
      <c r="BM323" s="37" t="n">
        <v>177.24</v>
      </c>
      <c r="BN323" s="37" t="n">
        <v>145.22</v>
      </c>
      <c r="BO323" s="37" t="n">
        <v>196.76</v>
      </c>
      <c r="BP323" s="37" t="n">
        <v>180.89</v>
      </c>
      <c r="BQ323" s="37" t="n">
        <v>176.34</v>
      </c>
      <c r="BR323" s="37" t="n">
        <v>176.13</v>
      </c>
      <c r="BS323" s="37" t="n">
        <v>182.24</v>
      </c>
      <c r="BT323" s="37" t="n">
        <v>177.24</v>
      </c>
      <c r="BU323" s="37" t="n">
        <v>145.22</v>
      </c>
      <c r="BV323" s="37" t="n">
        <v>196.76</v>
      </c>
      <c r="BW323" s="37" t="n">
        <v>180.89</v>
      </c>
      <c r="BX323" s="37" t="n">
        <v>176.34</v>
      </c>
      <c r="BY323" s="37" t="n">
        <v>176.13</v>
      </c>
      <c r="BZ323" s="37" t="n">
        <v>182.24</v>
      </c>
      <c r="CA323" s="37" t="n">
        <v>177.24</v>
      </c>
      <c r="CB323" s="37" t="n">
        <v>145.22</v>
      </c>
      <c r="CC323" s="37" t="n">
        <v>12005.82999999999</v>
      </c>
    </row>
    <row r="324" ht="15.75" customHeight="1" s="57">
      <c r="A324" s="7" t="inlineStr">
        <is>
          <t>NTB</t>
        </is>
      </c>
      <c r="B324" s="7" t="inlineStr">
        <is>
          <t>Lâm Đồng</t>
        </is>
      </c>
      <c r="C324" s="7" t="n">
        <v>21516000</v>
      </c>
      <c r="D324" s="7" t="inlineStr">
        <is>
          <t>(LDO) Đức Trọng 2</t>
        </is>
      </c>
      <c r="E324" s="7" t="inlineStr">
        <is>
          <t>SME-Bulky</t>
        </is>
      </c>
      <c r="F324" s="36" t="n">
        <v>13</v>
      </c>
      <c r="G324" s="36" t="n">
        <v>19</v>
      </c>
      <c r="H324" s="36" t="n">
        <v>26</v>
      </c>
      <c r="I324" s="36" t="n">
        <v>14</v>
      </c>
      <c r="J324" s="36" t="n">
        <v>18</v>
      </c>
      <c r="K324" s="28" t="n">
        <v>9</v>
      </c>
      <c r="L324" s="36" t="n">
        <v>3</v>
      </c>
      <c r="M324" s="36" t="n">
        <v>7</v>
      </c>
      <c r="N324" s="36" t="n">
        <v>9</v>
      </c>
      <c r="O324" s="36" t="n">
        <v>5</v>
      </c>
      <c r="P324" s="36" t="n">
        <v>3</v>
      </c>
      <c r="Q324" s="36" t="n">
        <v>7</v>
      </c>
      <c r="R324" s="28" t="n">
        <v>8</v>
      </c>
      <c r="S324" s="36" t="n">
        <v>16</v>
      </c>
      <c r="T324" s="36" t="n">
        <v>12</v>
      </c>
      <c r="U324" s="36" t="n">
        <v>8.75</v>
      </c>
      <c r="V324" s="36" t="n">
        <v>8.630000000000001</v>
      </c>
      <c r="W324" s="36" t="n">
        <v>8.4</v>
      </c>
      <c r="X324" s="36" t="n">
        <v>6.02</v>
      </c>
      <c r="Y324" s="28" t="n">
        <v>9.85</v>
      </c>
      <c r="Z324" s="36" t="n">
        <v>9.56</v>
      </c>
      <c r="AA324" s="36" t="n">
        <v>9.44</v>
      </c>
      <c r="AB324" s="36" t="n">
        <v>8.75</v>
      </c>
      <c r="AC324" s="36" t="n">
        <v>8.630000000000001</v>
      </c>
      <c r="AD324" s="36" t="n">
        <v>6.6</v>
      </c>
      <c r="AE324" s="36" t="n">
        <v>6.02</v>
      </c>
      <c r="AF324" s="28" t="n">
        <v>9.85</v>
      </c>
      <c r="AG324" s="36" t="n">
        <v>9.56</v>
      </c>
      <c r="AH324" s="37" t="n">
        <v>9.44</v>
      </c>
      <c r="AI324" s="37" t="n">
        <v>8.75</v>
      </c>
      <c r="AJ324" s="37" t="n">
        <v>8.630000000000001</v>
      </c>
      <c r="AK324" s="37" t="n">
        <v>8.4</v>
      </c>
      <c r="AL324" s="37" t="n">
        <v>6.02</v>
      </c>
      <c r="AM324" s="37" t="n">
        <v>9.85</v>
      </c>
      <c r="AN324" s="37" t="n">
        <v>9.56</v>
      </c>
      <c r="AO324" s="37" t="n">
        <v>9.44</v>
      </c>
      <c r="AP324" s="37" t="n">
        <v>8.75</v>
      </c>
      <c r="AQ324" s="37" t="n">
        <v>8.630000000000001</v>
      </c>
      <c r="AR324" s="37" t="n">
        <v>8.4</v>
      </c>
      <c r="AS324" s="37" t="n">
        <v>6.02</v>
      </c>
      <c r="AT324" s="37" t="n">
        <v>9.85</v>
      </c>
      <c r="AU324" s="37" t="n">
        <v>9.56</v>
      </c>
      <c r="AV324" s="37" t="n">
        <v>9.44</v>
      </c>
      <c r="AW324" s="37" t="n">
        <v>8.75</v>
      </c>
      <c r="AX324" s="37" t="n">
        <v>8.630000000000001</v>
      </c>
      <c r="AY324" s="37" t="n">
        <v>8.4</v>
      </c>
      <c r="AZ324" s="37" t="n">
        <v>6.02</v>
      </c>
      <c r="BA324" s="37" t="n">
        <v>10.77</v>
      </c>
      <c r="BB324" s="37" t="n">
        <v>5.68</v>
      </c>
      <c r="BC324" s="37" t="n">
        <v>2.9</v>
      </c>
      <c r="BD324" s="37" t="n">
        <v>2.2</v>
      </c>
      <c r="BE324" s="37" t="n">
        <v>5.1</v>
      </c>
      <c r="BF324" s="37" t="n">
        <v>4.75</v>
      </c>
      <c r="BG324" s="37" t="n">
        <v>3.3</v>
      </c>
      <c r="BH324" s="37" t="n">
        <v>5.73</v>
      </c>
      <c r="BI324" s="37" t="n">
        <v>5.68</v>
      </c>
      <c r="BJ324" s="37" t="n">
        <v>4.34</v>
      </c>
      <c r="BK324" s="37" t="n">
        <v>5.04</v>
      </c>
      <c r="BL324" s="37" t="n">
        <v>5.04</v>
      </c>
      <c r="BM324" s="37" t="n">
        <v>4.75</v>
      </c>
      <c r="BN324" s="37" t="n">
        <v>3.3</v>
      </c>
      <c r="BO324" s="37" t="n">
        <v>5.73</v>
      </c>
      <c r="BP324" s="37" t="n">
        <v>5.68</v>
      </c>
      <c r="BQ324" s="37" t="n">
        <v>5.39</v>
      </c>
      <c r="BR324" s="37" t="n">
        <v>5.04</v>
      </c>
      <c r="BS324" s="37" t="n">
        <v>5.04</v>
      </c>
      <c r="BT324" s="37" t="n">
        <v>4.75</v>
      </c>
      <c r="BU324" s="37" t="n">
        <v>3.3</v>
      </c>
      <c r="BV324" s="37" t="n">
        <v>5.73</v>
      </c>
      <c r="BW324" s="37" t="n">
        <v>5.68</v>
      </c>
      <c r="BX324" s="37" t="n">
        <v>5.39</v>
      </c>
      <c r="BY324" s="37" t="n">
        <v>5.04</v>
      </c>
      <c r="BZ324" s="37" t="n">
        <v>5.04</v>
      </c>
      <c r="CA324" s="37" t="n">
        <v>4.75</v>
      </c>
      <c r="CB324" s="37" t="n">
        <v>3.3</v>
      </c>
      <c r="CC324" s="37" t="n">
        <v>580.0399999999996</v>
      </c>
    </row>
    <row r="325" ht="15.75" customHeight="1" s="57">
      <c r="A325" s="7" t="inlineStr">
        <is>
          <t>NTB</t>
        </is>
      </c>
      <c r="B325" s="7" t="inlineStr">
        <is>
          <t>Lâm Đồng</t>
        </is>
      </c>
      <c r="C325" s="7" t="n">
        <v>21516000</v>
      </c>
      <c r="D325" s="7" t="inlineStr">
        <is>
          <t>(LDO) Đức Trọng 2</t>
        </is>
      </c>
      <c r="E325" s="7" t="inlineStr">
        <is>
          <t>Shopee</t>
        </is>
      </c>
      <c r="F325" s="36" t="n">
        <v>28</v>
      </c>
      <c r="G325" s="36" t="n">
        <v>33</v>
      </c>
      <c r="H325" s="36" t="n">
        <v>27</v>
      </c>
      <c r="I325" s="36" t="n">
        <v>30</v>
      </c>
      <c r="J325" s="36" t="n">
        <v>18</v>
      </c>
      <c r="K325" s="28" t="n">
        <v>39</v>
      </c>
      <c r="L325" s="36" t="n">
        <v>31</v>
      </c>
      <c r="M325" s="36" t="n">
        <v>23</v>
      </c>
      <c r="N325" s="36" t="n">
        <v>22</v>
      </c>
      <c r="O325" s="36" t="n">
        <v>20</v>
      </c>
      <c r="P325" s="36" t="n">
        <v>19</v>
      </c>
      <c r="Q325" s="36" t="n">
        <v>19</v>
      </c>
      <c r="R325" s="28" t="n">
        <v>31</v>
      </c>
      <c r="S325" s="36" t="n">
        <v>25</v>
      </c>
      <c r="T325" s="36" t="n">
        <v>23</v>
      </c>
      <c r="U325" s="36" t="n">
        <v>25.26</v>
      </c>
      <c r="V325" s="36" t="n">
        <v>25.52</v>
      </c>
      <c r="W325" s="36" t="n">
        <v>24.45</v>
      </c>
      <c r="X325" s="36" t="n">
        <v>21.13</v>
      </c>
      <c r="Y325" s="28" t="n">
        <v>34.2</v>
      </c>
      <c r="Z325" s="36" t="n">
        <v>27.11</v>
      </c>
      <c r="AA325" s="36" t="n">
        <v>33.13</v>
      </c>
      <c r="AB325" s="36" t="n">
        <v>25.94</v>
      </c>
      <c r="AC325" s="36" t="n">
        <v>20.84</v>
      </c>
      <c r="AD325" s="36" t="n">
        <v>55.4</v>
      </c>
      <c r="AE325" s="36" t="n">
        <v>22.66</v>
      </c>
      <c r="AF325" s="28" t="n">
        <v>37.55</v>
      </c>
      <c r="AG325" s="36" t="n">
        <v>28.45</v>
      </c>
      <c r="AH325" s="37" t="n">
        <v>30.01</v>
      </c>
      <c r="AI325" s="37" t="n">
        <v>25.26</v>
      </c>
      <c r="AJ325" s="37" t="n">
        <v>25.52</v>
      </c>
      <c r="AK325" s="37" t="n">
        <v>26.98</v>
      </c>
      <c r="AL325" s="37" t="n">
        <v>37.94</v>
      </c>
      <c r="AM325" s="37" t="n">
        <v>34.2</v>
      </c>
      <c r="AN325" s="37" t="n">
        <v>27.11</v>
      </c>
      <c r="AO325" s="37" t="n">
        <v>30.01</v>
      </c>
      <c r="AP325" s="37" t="n">
        <v>27.93</v>
      </c>
      <c r="AQ325" s="37" t="n">
        <v>20.38</v>
      </c>
      <c r="AR325" s="37" t="n">
        <v>24.45</v>
      </c>
      <c r="AS325" s="37" t="n">
        <v>21.13</v>
      </c>
      <c r="AT325" s="37" t="n">
        <v>34.2</v>
      </c>
      <c r="AU325" s="37" t="n">
        <v>29.81</v>
      </c>
      <c r="AV325" s="37" t="n">
        <v>30.76</v>
      </c>
      <c r="AW325" s="37" t="n">
        <v>25.26</v>
      </c>
      <c r="AX325" s="37" t="n">
        <v>25.52</v>
      </c>
      <c r="AY325" s="37" t="n">
        <v>24.45</v>
      </c>
      <c r="AZ325" s="37" t="n">
        <v>21.13</v>
      </c>
      <c r="BA325" s="37" t="n">
        <v>29.42</v>
      </c>
      <c r="BB325" s="37" t="n">
        <v>20.22</v>
      </c>
      <c r="BC325" s="37" t="n">
        <v>9.07</v>
      </c>
      <c r="BD325" s="37" t="n">
        <v>15.15</v>
      </c>
      <c r="BE325" s="37" t="n">
        <v>30.37</v>
      </c>
      <c r="BF325" s="37" t="n">
        <v>29.26</v>
      </c>
      <c r="BG325" s="37" t="n">
        <v>20.64</v>
      </c>
      <c r="BH325" s="37" t="n">
        <v>32.61</v>
      </c>
      <c r="BI325" s="37" t="n">
        <v>21.39</v>
      </c>
      <c r="BJ325" s="37" t="n">
        <v>78.48</v>
      </c>
      <c r="BK325" s="37" t="n">
        <v>25.88</v>
      </c>
      <c r="BL325" s="37" t="n">
        <v>25.52</v>
      </c>
      <c r="BM325" s="37" t="n">
        <v>23.31</v>
      </c>
      <c r="BN325" s="37" t="n">
        <v>20.25</v>
      </c>
      <c r="BO325" s="37" t="n">
        <v>32.61</v>
      </c>
      <c r="BP325" s="37" t="n">
        <v>28.32</v>
      </c>
      <c r="BQ325" s="37" t="n">
        <v>43.76</v>
      </c>
      <c r="BR325" s="37" t="n">
        <v>24.06</v>
      </c>
      <c r="BS325" s="37" t="n">
        <v>24.32</v>
      </c>
      <c r="BT325" s="37" t="n">
        <v>23.31</v>
      </c>
      <c r="BU325" s="37" t="n">
        <v>22.14</v>
      </c>
      <c r="BV325" s="37" t="n">
        <v>26.14</v>
      </c>
      <c r="BW325" s="37" t="n">
        <v>25.81</v>
      </c>
      <c r="BX325" s="37" t="n">
        <v>28.51</v>
      </c>
      <c r="BY325" s="37" t="n">
        <v>24.06</v>
      </c>
      <c r="BZ325" s="37" t="n">
        <v>26.63</v>
      </c>
      <c r="CA325" s="37" t="n">
        <v>23.83</v>
      </c>
      <c r="CB325" s="37" t="n">
        <v>20.25</v>
      </c>
      <c r="CC325" s="37" t="n">
        <v>2047.01</v>
      </c>
    </row>
    <row r="326" ht="15.75" customHeight="1" s="57">
      <c r="A326" s="7" t="inlineStr">
        <is>
          <t>NTB</t>
        </is>
      </c>
      <c r="B326" s="7" t="inlineStr">
        <is>
          <t>Lâm Đồng</t>
        </is>
      </c>
      <c r="C326" s="7" t="n">
        <v>21516000</v>
      </c>
      <c r="D326" s="7" t="inlineStr">
        <is>
          <t>(LDO) Đức Trọng 2</t>
        </is>
      </c>
      <c r="E326" s="7" t="inlineStr">
        <is>
          <t>Shopee-Bulky</t>
        </is>
      </c>
      <c r="F326" s="36" t="n">
        <v>7.18</v>
      </c>
      <c r="G326" s="36" t="n">
        <v>14.37</v>
      </c>
      <c r="H326" s="36" t="n">
        <v>6.53</v>
      </c>
      <c r="I326" s="36" t="n">
        <v>6.53</v>
      </c>
      <c r="J326" s="36" t="n">
        <v>3.27</v>
      </c>
      <c r="K326" s="28" t="n">
        <v>13.72</v>
      </c>
      <c r="L326" s="36" t="n">
        <v>10.45</v>
      </c>
      <c r="M326" s="36" t="n">
        <v>3.92</v>
      </c>
      <c r="N326" s="36" t="n">
        <v>7.18</v>
      </c>
      <c r="O326" s="36" t="n">
        <v>8.49</v>
      </c>
      <c r="P326" s="36" t="n">
        <v>12.41</v>
      </c>
      <c r="Q326" s="36" t="n">
        <v>2.61</v>
      </c>
      <c r="R326" s="28" t="n">
        <v>13.06</v>
      </c>
      <c r="S326" s="36" t="n">
        <v>10.45</v>
      </c>
      <c r="T326" s="36" t="n">
        <v>9.800000000000001</v>
      </c>
      <c r="U326" s="36" t="n">
        <v>7.92</v>
      </c>
      <c r="V326" s="36" t="n">
        <v>7.64</v>
      </c>
      <c r="W326" s="36" t="n">
        <v>10.04</v>
      </c>
      <c r="X326" s="36" t="n">
        <v>5.94</v>
      </c>
      <c r="Y326" s="28" t="n">
        <v>12.45</v>
      </c>
      <c r="Z326" s="36" t="n">
        <v>9.050000000000001</v>
      </c>
      <c r="AA326" s="36" t="n">
        <v>15.99</v>
      </c>
      <c r="AB326" s="36" t="n">
        <v>9.050000000000001</v>
      </c>
      <c r="AC326" s="36" t="n">
        <v>10.61</v>
      </c>
      <c r="AD326" s="36" t="n">
        <v>32.26</v>
      </c>
      <c r="AE326" s="36" t="n">
        <v>27.87</v>
      </c>
      <c r="AF326" s="28" t="n">
        <v>26.6</v>
      </c>
      <c r="AG326" s="36" t="n">
        <v>14.01</v>
      </c>
      <c r="AH326" s="37" t="n">
        <v>8.630000000000001</v>
      </c>
      <c r="AI326" s="37" t="n">
        <v>10.04</v>
      </c>
      <c r="AJ326" s="37" t="n">
        <v>8.35</v>
      </c>
      <c r="AK326" s="37" t="n">
        <v>19.95</v>
      </c>
      <c r="AL326" s="37" t="n">
        <v>10.89</v>
      </c>
      <c r="AM326" s="37" t="n">
        <v>16.41</v>
      </c>
      <c r="AN326" s="37" t="n">
        <v>9.050000000000001</v>
      </c>
      <c r="AO326" s="37" t="n">
        <v>8.77</v>
      </c>
      <c r="AP326" s="37" t="n">
        <v>17.83</v>
      </c>
      <c r="AQ326" s="37" t="n">
        <v>11.88</v>
      </c>
      <c r="AR326" s="37" t="n">
        <v>8.91</v>
      </c>
      <c r="AS326" s="37" t="n">
        <v>4.53</v>
      </c>
      <c r="AT326" s="37" t="n">
        <v>12.03</v>
      </c>
      <c r="AU326" s="37" t="n">
        <v>21.5</v>
      </c>
      <c r="AV326" s="37" t="n">
        <v>21.93</v>
      </c>
      <c r="AW326" s="37" t="n">
        <v>8.630000000000001</v>
      </c>
      <c r="AX326" s="37" t="n">
        <v>8.35</v>
      </c>
      <c r="AY326" s="37" t="n">
        <v>8.630000000000001</v>
      </c>
      <c r="AZ326" s="37" t="n">
        <v>4.53</v>
      </c>
      <c r="BA326" s="37" t="n">
        <v>11.18</v>
      </c>
      <c r="BB326" s="37" t="n">
        <v>6.93</v>
      </c>
      <c r="BC326" s="37" t="n">
        <v>1.41</v>
      </c>
      <c r="BD326" s="37" t="n">
        <v>2.83</v>
      </c>
      <c r="BE326" s="37" t="n">
        <v>13.02</v>
      </c>
      <c r="BF326" s="37" t="n">
        <v>10.89</v>
      </c>
      <c r="BG326" s="37" t="n">
        <v>6.93</v>
      </c>
      <c r="BH326" s="37" t="n">
        <v>15.84</v>
      </c>
      <c r="BI326" s="37" t="n">
        <v>11.74</v>
      </c>
      <c r="BJ326" s="37" t="n">
        <v>58.15</v>
      </c>
      <c r="BK326" s="37" t="n">
        <v>26.6</v>
      </c>
      <c r="BL326" s="37" t="n">
        <v>15</v>
      </c>
      <c r="BM326" s="37" t="n">
        <v>9.050000000000001</v>
      </c>
      <c r="BN326" s="37" t="n">
        <v>6.51</v>
      </c>
      <c r="BO326" s="37" t="n">
        <v>18.96</v>
      </c>
      <c r="BP326" s="37" t="n">
        <v>27.45</v>
      </c>
      <c r="BQ326" s="37" t="n">
        <v>21.5</v>
      </c>
      <c r="BR326" s="37" t="n">
        <v>10.89</v>
      </c>
      <c r="BS326" s="37" t="n">
        <v>10.61</v>
      </c>
      <c r="BT326" s="37" t="n">
        <v>8.630000000000001</v>
      </c>
      <c r="BU326" s="37" t="n">
        <v>14.15</v>
      </c>
      <c r="BV326" s="37" t="n">
        <v>16.98</v>
      </c>
      <c r="BW326" s="37" t="n">
        <v>11.74</v>
      </c>
      <c r="BX326" s="37" t="n">
        <v>11.32</v>
      </c>
      <c r="BY326" s="37" t="n">
        <v>10.89</v>
      </c>
      <c r="BZ326" s="37" t="n">
        <v>21.65</v>
      </c>
      <c r="CA326" s="37" t="n">
        <v>10.89</v>
      </c>
      <c r="CB326" s="37" t="n">
        <v>6.08</v>
      </c>
      <c r="CC326" s="37" t="n">
        <v>938.0599999999999</v>
      </c>
    </row>
    <row r="327" ht="15.75" customHeight="1" s="57">
      <c r="A327" s="7" t="inlineStr">
        <is>
          <t>NTB</t>
        </is>
      </c>
      <c r="B327" s="7" t="inlineStr">
        <is>
          <t>Lâm Đồng</t>
        </is>
      </c>
      <c r="C327" s="7" t="n">
        <v>21516000</v>
      </c>
      <c r="D327" s="7" t="inlineStr">
        <is>
          <t>(LDO) Đức Trọng 2</t>
        </is>
      </c>
      <c r="E327" s="7" t="inlineStr">
        <is>
          <t>Shopee-Bulky (10-15kg)</t>
        </is>
      </c>
      <c r="F327" s="36" t="n">
        <v>3.82</v>
      </c>
      <c r="G327" s="36" t="n">
        <v>7.63</v>
      </c>
      <c r="H327" s="36" t="n">
        <v>3.47</v>
      </c>
      <c r="I327" s="36" t="n">
        <v>3.47</v>
      </c>
      <c r="J327" s="36" t="n">
        <v>1.73</v>
      </c>
      <c r="K327" s="28" t="n">
        <v>7.28</v>
      </c>
      <c r="L327" s="36" t="n">
        <v>5.55</v>
      </c>
      <c r="M327" s="36" t="n">
        <v>2.08</v>
      </c>
      <c r="N327" s="36" t="n">
        <v>3.82</v>
      </c>
      <c r="O327" s="36" t="n">
        <v>4.51</v>
      </c>
      <c r="P327" s="36" t="n">
        <v>6.59</v>
      </c>
      <c r="Q327" s="36" t="n">
        <v>1.39</v>
      </c>
      <c r="R327" s="28" t="n">
        <v>6.94</v>
      </c>
      <c r="S327" s="36" t="n">
        <v>5.55</v>
      </c>
      <c r="T327" s="36" t="n">
        <v>5.2</v>
      </c>
      <c r="U327" s="36" t="n">
        <v>4.1</v>
      </c>
      <c r="V327" s="36" t="n">
        <v>3.96</v>
      </c>
      <c r="W327" s="36" t="n">
        <v>4.95</v>
      </c>
      <c r="X327" s="36" t="n">
        <v>2.97</v>
      </c>
      <c r="Y327" s="28" t="n">
        <v>7.22</v>
      </c>
      <c r="Z327" s="36" t="n">
        <v>4.81</v>
      </c>
      <c r="AA327" s="36" t="n">
        <v>8.77</v>
      </c>
      <c r="AB327" s="36" t="n">
        <v>4.53</v>
      </c>
      <c r="AC327" s="36" t="n">
        <v>4.81</v>
      </c>
      <c r="AD327" s="36" t="n">
        <v>23.48</v>
      </c>
      <c r="AE327" s="36" t="n">
        <v>15.99</v>
      </c>
      <c r="AF327" s="28" t="n">
        <v>13.3</v>
      </c>
      <c r="AG327" s="36" t="n">
        <v>10.33</v>
      </c>
      <c r="AH327" s="37" t="n">
        <v>4.81</v>
      </c>
      <c r="AI327" s="37" t="n">
        <v>4.81</v>
      </c>
      <c r="AJ327" s="37" t="n">
        <v>4.81</v>
      </c>
      <c r="AK327" s="37" t="n">
        <v>12.45</v>
      </c>
      <c r="AL327" s="37" t="n">
        <v>4.95</v>
      </c>
      <c r="AM327" s="37" t="n">
        <v>9.9</v>
      </c>
      <c r="AN327" s="37" t="n">
        <v>4.81</v>
      </c>
      <c r="AO327" s="37" t="n">
        <v>4.53</v>
      </c>
      <c r="AP327" s="37" t="n">
        <v>9.050000000000001</v>
      </c>
      <c r="AQ327" s="37" t="n">
        <v>5.94</v>
      </c>
      <c r="AR327" s="37" t="n">
        <v>4.53</v>
      </c>
      <c r="AS327" s="37" t="n">
        <v>2.26</v>
      </c>
      <c r="AT327" s="37" t="n">
        <v>7.07</v>
      </c>
      <c r="AU327" s="37" t="n">
        <v>11.32</v>
      </c>
      <c r="AV327" s="37" t="n">
        <v>12.59</v>
      </c>
      <c r="AW327" s="37" t="n">
        <v>4.24</v>
      </c>
      <c r="AX327" s="37" t="n">
        <v>3.96</v>
      </c>
      <c r="AY327" s="37" t="n">
        <v>4.39</v>
      </c>
      <c r="AZ327" s="37" t="n">
        <v>2.26</v>
      </c>
      <c r="BA327" s="37" t="n">
        <v>5.38</v>
      </c>
      <c r="BB327" s="37" t="n">
        <v>3.4</v>
      </c>
      <c r="BC327" s="37" t="n">
        <v>0.57</v>
      </c>
      <c r="BD327" s="37" t="n">
        <v>1.13</v>
      </c>
      <c r="BE327" s="37" t="n">
        <v>6.65</v>
      </c>
      <c r="BF327" s="37" t="n">
        <v>5.52</v>
      </c>
      <c r="BG327" s="37" t="n">
        <v>3.11</v>
      </c>
      <c r="BH327" s="37" t="n">
        <v>9.619999999999999</v>
      </c>
      <c r="BI327" s="37" t="n">
        <v>5.23</v>
      </c>
      <c r="BJ327" s="37" t="n">
        <v>32.54</v>
      </c>
      <c r="BK327" s="37" t="n">
        <v>11.74</v>
      </c>
      <c r="BL327" s="37" t="n">
        <v>8.77</v>
      </c>
      <c r="BM327" s="37" t="n">
        <v>4.24</v>
      </c>
      <c r="BN327" s="37" t="n">
        <v>3.11</v>
      </c>
      <c r="BO327" s="37" t="n">
        <v>9.050000000000001</v>
      </c>
      <c r="BP327" s="37" t="n">
        <v>11.74</v>
      </c>
      <c r="BQ327" s="37" t="n">
        <v>11.03</v>
      </c>
      <c r="BR327" s="37" t="n">
        <v>5.52</v>
      </c>
      <c r="BS327" s="37" t="n">
        <v>5.09</v>
      </c>
      <c r="BT327" s="37" t="n">
        <v>4.24</v>
      </c>
      <c r="BU327" s="37" t="n">
        <v>5.52</v>
      </c>
      <c r="BV327" s="37" t="n">
        <v>10.33</v>
      </c>
      <c r="BW327" s="37" t="n">
        <v>5.23</v>
      </c>
      <c r="BX327" s="37" t="n">
        <v>5.94</v>
      </c>
      <c r="BY327" s="37" t="n">
        <v>5.52</v>
      </c>
      <c r="BZ327" s="37" t="n">
        <v>10.19</v>
      </c>
      <c r="CA327" s="37" t="n">
        <v>5.52</v>
      </c>
      <c r="CB327" s="37" t="n">
        <v>3.11</v>
      </c>
      <c r="CC327" s="37" t="n">
        <v>495.9699999999999</v>
      </c>
    </row>
    <row r="328" ht="15.75" customHeight="1" s="57">
      <c r="A328" s="7" t="inlineStr">
        <is>
          <t>NTB</t>
        </is>
      </c>
      <c r="B328" s="7" t="inlineStr">
        <is>
          <t>Lâm Đồng</t>
        </is>
      </c>
      <c r="C328" s="7" t="n">
        <v>21516000</v>
      </c>
      <c r="D328" s="7" t="inlineStr">
        <is>
          <t>(LDO) Đức Trọng 2</t>
        </is>
      </c>
      <c r="E328" s="7" t="inlineStr">
        <is>
          <t>TTS</t>
        </is>
      </c>
      <c r="F328" s="36" t="n">
        <v>4</v>
      </c>
      <c r="G328" s="36" t="n">
        <v>9</v>
      </c>
      <c r="H328" s="36" t="n">
        <v>14</v>
      </c>
      <c r="I328" s="36" t="n">
        <v>11</v>
      </c>
      <c r="J328" s="36" t="n">
        <v>2</v>
      </c>
      <c r="K328" s="28" t="n">
        <v>15</v>
      </c>
      <c r="L328" s="36" t="n">
        <v>10</v>
      </c>
      <c r="M328" s="36" t="n">
        <v>12</v>
      </c>
      <c r="N328" s="36" t="n">
        <v>8</v>
      </c>
      <c r="O328" s="36" t="n">
        <v>9</v>
      </c>
      <c r="P328" s="36" t="n">
        <v>9</v>
      </c>
      <c r="Q328" s="36" t="n">
        <v>13</v>
      </c>
      <c r="R328" s="28" t="n">
        <v>21</v>
      </c>
      <c r="S328" s="36" t="n">
        <v>15</v>
      </c>
      <c r="T328" s="36" t="n">
        <v>21</v>
      </c>
      <c r="U328" s="36" t="n">
        <v>6.95</v>
      </c>
      <c r="V328" s="36" t="n">
        <v>6.87</v>
      </c>
      <c r="W328" s="36" t="n">
        <v>6.7</v>
      </c>
      <c r="X328" s="36" t="n">
        <v>5.39</v>
      </c>
      <c r="Y328" s="28" t="n">
        <v>7.88</v>
      </c>
      <c r="Z328" s="36" t="n">
        <v>6.7</v>
      </c>
      <c r="AA328" s="36" t="n">
        <v>7.45</v>
      </c>
      <c r="AB328" s="36" t="n">
        <v>8.27</v>
      </c>
      <c r="AC328" s="36" t="n">
        <v>8.789999999999999</v>
      </c>
      <c r="AD328" s="36" t="n">
        <v>12.19</v>
      </c>
      <c r="AE328" s="36" t="n">
        <v>6.28</v>
      </c>
      <c r="AF328" s="28" t="n">
        <v>8.09</v>
      </c>
      <c r="AG328" s="36" t="n">
        <v>6.84</v>
      </c>
      <c r="AH328" s="37" t="n">
        <v>6.75</v>
      </c>
      <c r="AI328" s="37" t="n">
        <v>7.8</v>
      </c>
      <c r="AJ328" s="37" t="n">
        <v>8.34</v>
      </c>
      <c r="AK328" s="37" t="n">
        <v>8.199999999999999</v>
      </c>
      <c r="AL328" s="37" t="n">
        <v>5.87</v>
      </c>
      <c r="AM328" s="37" t="n">
        <v>7.99</v>
      </c>
      <c r="AN328" s="37" t="n">
        <v>6.9</v>
      </c>
      <c r="AO328" s="37" t="n">
        <v>6.84</v>
      </c>
      <c r="AP328" s="37" t="n">
        <v>6.69</v>
      </c>
      <c r="AQ328" s="37" t="n">
        <v>6.74</v>
      </c>
      <c r="AR328" s="37" t="n">
        <v>6.6</v>
      </c>
      <c r="AS328" s="37" t="n">
        <v>5.41</v>
      </c>
      <c r="AT328" s="37" t="n">
        <v>8.65</v>
      </c>
      <c r="AU328" s="37" t="n">
        <v>7.83</v>
      </c>
      <c r="AV328" s="37" t="n">
        <v>6.94</v>
      </c>
      <c r="AW328" s="37" t="n">
        <v>6.6</v>
      </c>
      <c r="AX328" s="37" t="n">
        <v>6.57</v>
      </c>
      <c r="AY328" s="37" t="n">
        <v>6.52</v>
      </c>
      <c r="AZ328" s="37" t="n">
        <v>5.41</v>
      </c>
      <c r="BA328" s="37" t="n">
        <v>7.77</v>
      </c>
      <c r="BB328" s="37" t="n">
        <v>7.32</v>
      </c>
      <c r="BC328" s="37" t="n">
        <v>3.68</v>
      </c>
      <c r="BD328" s="37" t="n">
        <v>5.25</v>
      </c>
      <c r="BE328" s="37" t="n">
        <v>12.24</v>
      </c>
      <c r="BF328" s="37" t="n">
        <v>11.84</v>
      </c>
      <c r="BG328" s="37" t="n">
        <v>5.89</v>
      </c>
      <c r="BH328" s="37" t="n">
        <v>8.630000000000001</v>
      </c>
      <c r="BI328" s="37" t="n">
        <v>7.32</v>
      </c>
      <c r="BJ328" s="37" t="n">
        <v>9.23</v>
      </c>
      <c r="BK328" s="37" t="n">
        <v>7.42</v>
      </c>
      <c r="BL328" s="37" t="n">
        <v>7.44</v>
      </c>
      <c r="BM328" s="37" t="n">
        <v>7.21</v>
      </c>
      <c r="BN328" s="37" t="n">
        <v>5.89</v>
      </c>
      <c r="BO328" s="37" t="n">
        <v>8.630000000000001</v>
      </c>
      <c r="BP328" s="37" t="n">
        <v>7.32</v>
      </c>
      <c r="BQ328" s="37" t="n">
        <v>7.22</v>
      </c>
      <c r="BR328" s="37" t="n">
        <v>7.42</v>
      </c>
      <c r="BS328" s="37" t="n">
        <v>7.44</v>
      </c>
      <c r="BT328" s="37" t="n">
        <v>7.21</v>
      </c>
      <c r="BU328" s="37" t="n">
        <v>5.89</v>
      </c>
      <c r="BV328" s="37" t="n">
        <v>8.630000000000001</v>
      </c>
      <c r="BW328" s="37" t="n">
        <v>7.32</v>
      </c>
      <c r="BX328" s="37" t="n">
        <v>7.22</v>
      </c>
      <c r="BY328" s="37" t="n">
        <v>7.42</v>
      </c>
      <c r="BZ328" s="37" t="n">
        <v>7.44</v>
      </c>
      <c r="CA328" s="37" t="n">
        <v>7.21</v>
      </c>
      <c r="CB328" s="37" t="n">
        <v>5.89</v>
      </c>
      <c r="CC328" s="37" t="n">
        <v>613.4400000000001</v>
      </c>
    </row>
    <row r="329" ht="15.75" customHeight="1" s="57">
      <c r="A329" s="7" t="inlineStr">
        <is>
          <t>NTB</t>
        </is>
      </c>
      <c r="B329" s="7" t="inlineStr">
        <is>
          <t>Lâm Đồng</t>
        </is>
      </c>
      <c r="C329" s="7" t="n">
        <v>21516000</v>
      </c>
      <c r="D329" s="7" t="inlineStr">
        <is>
          <t>(LDO) Đức Trọng 2</t>
        </is>
      </c>
      <c r="E329" s="7" t="inlineStr">
        <is>
          <t>TTS-Bulky</t>
        </is>
      </c>
      <c r="F329" s="36" t="n">
        <v>2</v>
      </c>
      <c r="G329" s="36" t="n">
        <v>0</v>
      </c>
      <c r="H329" s="36" t="n">
        <v>0</v>
      </c>
      <c r="I329" s="36" t="n">
        <v>0</v>
      </c>
      <c r="J329" s="36" t="n">
        <v>0</v>
      </c>
      <c r="K329" s="28" t="n">
        <v>0</v>
      </c>
      <c r="L329" s="36" t="n">
        <v>0</v>
      </c>
      <c r="M329" s="36" t="n">
        <v>0</v>
      </c>
      <c r="N329" s="36" t="n">
        <v>0</v>
      </c>
      <c r="O329" s="36" t="n">
        <v>0</v>
      </c>
      <c r="P329" s="36" t="n">
        <v>0</v>
      </c>
      <c r="Q329" s="36" t="n">
        <v>0</v>
      </c>
      <c r="R329" s="28" t="n">
        <v>9</v>
      </c>
      <c r="S329" s="36" t="n">
        <v>0</v>
      </c>
      <c r="T329" s="36" t="n">
        <v>0</v>
      </c>
      <c r="U329" s="36" t="n">
        <v>2.69</v>
      </c>
      <c r="V329" s="36" t="n">
        <v>2.65</v>
      </c>
      <c r="W329" s="36" t="n">
        <v>1.32</v>
      </c>
      <c r="X329" s="36" t="n">
        <v>0.97</v>
      </c>
      <c r="Y329" s="28" t="n">
        <v>1.39</v>
      </c>
      <c r="Z329" s="36" t="n">
        <v>1.25</v>
      </c>
      <c r="AA329" s="36" t="n">
        <v>1.56</v>
      </c>
      <c r="AB329" s="36" t="n">
        <v>1.55</v>
      </c>
      <c r="AC329" s="36" t="n">
        <v>1.67</v>
      </c>
      <c r="AD329" s="36" t="n">
        <v>1.62</v>
      </c>
      <c r="AE329" s="36" t="n">
        <v>1</v>
      </c>
      <c r="AF329" s="28" t="n">
        <v>1.67</v>
      </c>
      <c r="AG329" s="36" t="n">
        <v>1.27</v>
      </c>
      <c r="AH329" s="37" t="n">
        <v>1.27</v>
      </c>
      <c r="AI329" s="37" t="n">
        <v>1.31</v>
      </c>
      <c r="AJ329" s="37" t="n">
        <v>1.62</v>
      </c>
      <c r="AK329" s="37" t="n">
        <v>1.35</v>
      </c>
      <c r="AL329" s="37" t="n">
        <v>0.97</v>
      </c>
      <c r="AM329" s="37" t="n">
        <v>1.67</v>
      </c>
      <c r="AN329" s="37" t="n">
        <v>1.27</v>
      </c>
      <c r="AO329" s="37" t="n">
        <v>1.27</v>
      </c>
      <c r="AP329" s="37" t="n">
        <v>1.19</v>
      </c>
      <c r="AQ329" s="37" t="n">
        <v>1.41</v>
      </c>
      <c r="AR329" s="37" t="n">
        <v>1.32</v>
      </c>
      <c r="AS329" s="37" t="n">
        <v>0.97</v>
      </c>
      <c r="AT329" s="37" t="n">
        <v>1.71</v>
      </c>
      <c r="AU329" s="37" t="n">
        <v>1.62</v>
      </c>
      <c r="AV329" s="37" t="n">
        <v>1.27</v>
      </c>
      <c r="AW329" s="37" t="n">
        <v>1.19</v>
      </c>
      <c r="AX329" s="37" t="n">
        <v>1.41</v>
      </c>
      <c r="AY329" s="37" t="n">
        <v>1.32</v>
      </c>
      <c r="AZ329" s="37" t="n">
        <v>0.97</v>
      </c>
      <c r="BA329" s="37" t="n">
        <v>1.46</v>
      </c>
      <c r="BB329" s="37" t="n">
        <v>0.36</v>
      </c>
      <c r="BC329" s="37" t="n">
        <v>0.18</v>
      </c>
      <c r="BD329" s="37" t="n">
        <v>0.3</v>
      </c>
      <c r="BE329" s="37" t="n">
        <v>0.36</v>
      </c>
      <c r="BF329" s="37" t="n">
        <v>0.38</v>
      </c>
      <c r="BG329" s="37" t="n">
        <v>0.26</v>
      </c>
      <c r="BH329" s="37" t="n">
        <v>0.44</v>
      </c>
      <c r="BI329" s="37" t="n">
        <v>0.4</v>
      </c>
      <c r="BJ329" s="37" t="n">
        <v>0.4</v>
      </c>
      <c r="BK329" s="37" t="n">
        <v>0.38</v>
      </c>
      <c r="BL329" s="37" t="n">
        <v>0.36</v>
      </c>
      <c r="BM329" s="37" t="n">
        <v>0.38</v>
      </c>
      <c r="BN329" s="37" t="n">
        <v>0.28</v>
      </c>
      <c r="BO329" s="37" t="n">
        <v>0.47</v>
      </c>
      <c r="BP329" s="37" t="n">
        <v>0.43</v>
      </c>
      <c r="BQ329" s="37" t="n">
        <v>0.4</v>
      </c>
      <c r="BR329" s="37" t="n">
        <v>0.38</v>
      </c>
      <c r="BS329" s="37" t="n">
        <v>0.36</v>
      </c>
      <c r="BT329" s="37" t="n">
        <v>0.38</v>
      </c>
      <c r="BU329" s="37" t="n">
        <v>0.24</v>
      </c>
      <c r="BV329" s="37" t="n">
        <v>0.43</v>
      </c>
      <c r="BW329" s="37" t="n">
        <v>0.4</v>
      </c>
      <c r="BX329" s="37" t="n">
        <v>0.4</v>
      </c>
      <c r="BY329" s="37" t="n">
        <v>0.38</v>
      </c>
      <c r="BZ329" s="37" t="n">
        <v>0.36</v>
      </c>
      <c r="CA329" s="37" t="n">
        <v>0.38</v>
      </c>
      <c r="CB329" s="37" t="n">
        <v>0.24</v>
      </c>
      <c r="CC329" s="37" t="n">
        <v>67.90999999999998</v>
      </c>
    </row>
    <row r="330" ht="15.75" customHeight="1" s="57">
      <c r="A330" s="7" t="inlineStr">
        <is>
          <t>NTB</t>
        </is>
      </c>
      <c r="B330" s="7" t="inlineStr">
        <is>
          <t>Lâm Đồng</t>
        </is>
      </c>
      <c r="C330" s="7" t="n">
        <v>21537000</v>
      </c>
      <c r="D330" s="7" t="inlineStr">
        <is>
          <t>(LDO) Lâm Viên - Đà Lạt 2</t>
        </is>
      </c>
      <c r="E330" s="7" t="inlineStr">
        <is>
          <t>SME</t>
        </is>
      </c>
      <c r="F330" s="36" t="n">
        <v>52</v>
      </c>
      <c r="G330" s="36" t="n">
        <v>43</v>
      </c>
      <c r="H330" s="36" t="n">
        <v>52</v>
      </c>
      <c r="I330" s="36" t="n">
        <v>59</v>
      </c>
      <c r="J330" s="36" t="n">
        <v>59</v>
      </c>
      <c r="K330" s="28" t="n">
        <v>15</v>
      </c>
      <c r="L330" s="36" t="n">
        <v>36</v>
      </c>
      <c r="M330" s="36" t="n">
        <v>59</v>
      </c>
      <c r="N330" s="36" t="n">
        <v>46</v>
      </c>
      <c r="O330" s="36" t="n">
        <v>58</v>
      </c>
      <c r="P330" s="36" t="n">
        <v>19</v>
      </c>
      <c r="Q330" s="36" t="n">
        <v>56</v>
      </c>
      <c r="R330" s="28" t="n">
        <v>32</v>
      </c>
      <c r="S330" s="36" t="n">
        <v>59</v>
      </c>
      <c r="T330" s="36" t="n">
        <v>12</v>
      </c>
      <c r="U330" s="36" t="n">
        <v>61.86</v>
      </c>
      <c r="V330" s="36" t="n">
        <v>63.91</v>
      </c>
      <c r="W330" s="36" t="n">
        <v>62.21</v>
      </c>
      <c r="X330" s="36" t="n">
        <v>50.96</v>
      </c>
      <c r="Y330" s="28" t="n">
        <v>68.92999999999999</v>
      </c>
      <c r="Z330" s="36" t="n">
        <v>63.47</v>
      </c>
      <c r="AA330" s="36" t="n">
        <v>61.95</v>
      </c>
      <c r="AB330" s="36" t="n">
        <v>61.86</v>
      </c>
      <c r="AC330" s="36" t="n">
        <v>63.91</v>
      </c>
      <c r="AD330" s="36" t="n">
        <v>67.41</v>
      </c>
      <c r="AE330" s="36" t="n">
        <v>50.96</v>
      </c>
      <c r="AF330" s="28" t="n">
        <v>68.92999999999999</v>
      </c>
      <c r="AG330" s="36" t="n">
        <v>63.47</v>
      </c>
      <c r="AH330" s="37" t="n">
        <v>61.95</v>
      </c>
      <c r="AI330" s="37" t="n">
        <v>61.86</v>
      </c>
      <c r="AJ330" s="37" t="n">
        <v>63.91</v>
      </c>
      <c r="AK330" s="37" t="n">
        <v>62.21</v>
      </c>
      <c r="AL330" s="37" t="n">
        <v>50.96</v>
      </c>
      <c r="AM330" s="37" t="n">
        <v>68.92999999999999</v>
      </c>
      <c r="AN330" s="37" t="n">
        <v>63.47</v>
      </c>
      <c r="AO330" s="37" t="n">
        <v>61.95</v>
      </c>
      <c r="AP330" s="37" t="n">
        <v>61.86</v>
      </c>
      <c r="AQ330" s="37" t="n">
        <v>63.91</v>
      </c>
      <c r="AR330" s="37" t="n">
        <v>62.21</v>
      </c>
      <c r="AS330" s="37" t="n">
        <v>50.96</v>
      </c>
      <c r="AT330" s="37" t="n">
        <v>68.92999999999999</v>
      </c>
      <c r="AU330" s="37" t="n">
        <v>63.47</v>
      </c>
      <c r="AV330" s="37" t="n">
        <v>61.95</v>
      </c>
      <c r="AW330" s="37" t="n">
        <v>61.86</v>
      </c>
      <c r="AX330" s="37" t="n">
        <v>63.91</v>
      </c>
      <c r="AY330" s="37" t="n">
        <v>62.21</v>
      </c>
      <c r="AZ330" s="37" t="n">
        <v>50.96</v>
      </c>
      <c r="BA330" s="37" t="n">
        <v>65.55</v>
      </c>
      <c r="BB330" s="37" t="n">
        <v>58.33</v>
      </c>
      <c r="BC330" s="37" t="n">
        <v>35.9</v>
      </c>
      <c r="BD330" s="37" t="n">
        <v>28.07</v>
      </c>
      <c r="BE330" s="37" t="n">
        <v>59.99</v>
      </c>
      <c r="BF330" s="37" t="n">
        <v>58.43</v>
      </c>
      <c r="BG330" s="37" t="n">
        <v>52.6</v>
      </c>
      <c r="BH330" s="37" t="n">
        <v>71.2</v>
      </c>
      <c r="BI330" s="37" t="n">
        <v>65.47</v>
      </c>
      <c r="BJ330" s="37" t="n">
        <v>69.47999999999999</v>
      </c>
      <c r="BK330" s="37" t="n">
        <v>63.72</v>
      </c>
      <c r="BL330" s="37" t="n">
        <v>65.95</v>
      </c>
      <c r="BM330" s="37" t="n">
        <v>64.14</v>
      </c>
      <c r="BN330" s="37" t="n">
        <v>52.6</v>
      </c>
      <c r="BO330" s="37" t="n">
        <v>71.2</v>
      </c>
      <c r="BP330" s="37" t="n">
        <v>65.47</v>
      </c>
      <c r="BQ330" s="37" t="n">
        <v>63.84</v>
      </c>
      <c r="BR330" s="37" t="n">
        <v>63.72</v>
      </c>
      <c r="BS330" s="37" t="n">
        <v>65.95</v>
      </c>
      <c r="BT330" s="37" t="n">
        <v>64.14</v>
      </c>
      <c r="BU330" s="37" t="n">
        <v>52.6</v>
      </c>
      <c r="BV330" s="37" t="n">
        <v>71.2</v>
      </c>
      <c r="BW330" s="37" t="n">
        <v>65.47</v>
      </c>
      <c r="BX330" s="37" t="n">
        <v>63.84</v>
      </c>
      <c r="BY330" s="37" t="n">
        <v>63.72</v>
      </c>
      <c r="BZ330" s="37" t="n">
        <v>65.95</v>
      </c>
      <c r="CA330" s="37" t="n">
        <v>64.14</v>
      </c>
      <c r="CB330" s="37" t="n">
        <v>52.6</v>
      </c>
      <c r="CC330" s="37" t="n">
        <v>4339.569999999998</v>
      </c>
    </row>
    <row r="331" ht="15.75" customHeight="1" s="57">
      <c r="A331" s="7" t="inlineStr">
        <is>
          <t>NTB</t>
        </is>
      </c>
      <c r="B331" s="7" t="inlineStr">
        <is>
          <t>Lâm Đồng</t>
        </is>
      </c>
      <c r="C331" s="7" t="n">
        <v>21537000</v>
      </c>
      <c r="D331" s="7" t="inlineStr">
        <is>
          <t>(LDO) Lâm Viên - Đà Lạt 2</t>
        </is>
      </c>
      <c r="E331" s="7" t="inlineStr">
        <is>
          <t>SME-Bulky</t>
        </is>
      </c>
      <c r="F331" s="36" t="n">
        <v>1</v>
      </c>
      <c r="G331" s="36" t="n">
        <v>4</v>
      </c>
      <c r="H331" s="36" t="n">
        <v>6</v>
      </c>
      <c r="I331" s="36" t="n">
        <v>4</v>
      </c>
      <c r="J331" s="36" t="n">
        <v>2</v>
      </c>
      <c r="K331" s="28" t="n">
        <v>8</v>
      </c>
      <c r="L331" s="36" t="n">
        <v>5</v>
      </c>
      <c r="M331" s="36" t="n">
        <v>3</v>
      </c>
      <c r="N331" s="36" t="n">
        <v>2</v>
      </c>
      <c r="O331" s="36" t="n">
        <v>2</v>
      </c>
      <c r="P331" s="36" t="n">
        <v>4</v>
      </c>
      <c r="Q331" s="36" t="n">
        <v>0</v>
      </c>
      <c r="R331" s="28" t="n">
        <v>2</v>
      </c>
      <c r="S331" s="36" t="n">
        <v>1</v>
      </c>
      <c r="T331" s="36" t="n">
        <v>1</v>
      </c>
      <c r="U331" s="36" t="n">
        <v>1.5</v>
      </c>
      <c r="V331" s="36" t="n">
        <v>1.48</v>
      </c>
      <c r="W331" s="36" t="n">
        <v>1.44</v>
      </c>
      <c r="X331" s="36" t="n">
        <v>1.04</v>
      </c>
      <c r="Y331" s="28" t="n">
        <v>1.69</v>
      </c>
      <c r="Z331" s="36" t="n">
        <v>1.64</v>
      </c>
      <c r="AA331" s="36" t="n">
        <v>1.62</v>
      </c>
      <c r="AB331" s="36" t="n">
        <v>1.5</v>
      </c>
      <c r="AC331" s="36" t="n">
        <v>1.48</v>
      </c>
      <c r="AD331" s="36" t="n">
        <v>1.13</v>
      </c>
      <c r="AE331" s="36" t="n">
        <v>1.04</v>
      </c>
      <c r="AF331" s="28" t="n">
        <v>1.69</v>
      </c>
      <c r="AG331" s="36" t="n">
        <v>1.64</v>
      </c>
      <c r="AH331" s="37" t="n">
        <v>1.62</v>
      </c>
      <c r="AI331" s="37" t="n">
        <v>1.5</v>
      </c>
      <c r="AJ331" s="37" t="n">
        <v>1.48</v>
      </c>
      <c r="AK331" s="37" t="n">
        <v>1.44</v>
      </c>
      <c r="AL331" s="37" t="n">
        <v>1.04</v>
      </c>
      <c r="AM331" s="37" t="n">
        <v>1.69</v>
      </c>
      <c r="AN331" s="37" t="n">
        <v>1.64</v>
      </c>
      <c r="AO331" s="37" t="n">
        <v>1.62</v>
      </c>
      <c r="AP331" s="37" t="n">
        <v>1.5</v>
      </c>
      <c r="AQ331" s="37" t="n">
        <v>1.48</v>
      </c>
      <c r="AR331" s="37" t="n">
        <v>1.44</v>
      </c>
      <c r="AS331" s="37" t="n">
        <v>1.04</v>
      </c>
      <c r="AT331" s="37" t="n">
        <v>1.69</v>
      </c>
      <c r="AU331" s="37" t="n">
        <v>1.64</v>
      </c>
      <c r="AV331" s="37" t="n">
        <v>1.62</v>
      </c>
      <c r="AW331" s="37" t="n">
        <v>1.5</v>
      </c>
      <c r="AX331" s="37" t="n">
        <v>1.48</v>
      </c>
      <c r="AY331" s="37" t="n">
        <v>1.44</v>
      </c>
      <c r="AZ331" s="37" t="n">
        <v>1.04</v>
      </c>
      <c r="BA331" s="37" t="n">
        <v>1.85</v>
      </c>
      <c r="BB331" s="37" t="n">
        <v>0.98</v>
      </c>
      <c r="BC331" s="37" t="n">
        <v>0.5</v>
      </c>
      <c r="BD331" s="37" t="n">
        <v>0.38</v>
      </c>
      <c r="BE331" s="37" t="n">
        <v>0.88</v>
      </c>
      <c r="BF331" s="37" t="n">
        <v>0.82</v>
      </c>
      <c r="BG331" s="37" t="n">
        <v>0.57</v>
      </c>
      <c r="BH331" s="37" t="n">
        <v>0.99</v>
      </c>
      <c r="BI331" s="37" t="n">
        <v>0.98</v>
      </c>
      <c r="BJ331" s="37" t="n">
        <v>0.75</v>
      </c>
      <c r="BK331" s="37" t="n">
        <v>0.87</v>
      </c>
      <c r="BL331" s="37" t="n">
        <v>0.87</v>
      </c>
      <c r="BM331" s="37" t="n">
        <v>0.82</v>
      </c>
      <c r="BN331" s="37" t="n">
        <v>0.57</v>
      </c>
      <c r="BO331" s="37" t="n">
        <v>0.99</v>
      </c>
      <c r="BP331" s="37" t="n">
        <v>0.98</v>
      </c>
      <c r="BQ331" s="37" t="n">
        <v>0.93</v>
      </c>
      <c r="BR331" s="37" t="n">
        <v>0.87</v>
      </c>
      <c r="BS331" s="37" t="n">
        <v>0.87</v>
      </c>
      <c r="BT331" s="37" t="n">
        <v>0.82</v>
      </c>
      <c r="BU331" s="37" t="n">
        <v>0.57</v>
      </c>
      <c r="BV331" s="37" t="n">
        <v>0.99</v>
      </c>
      <c r="BW331" s="37" t="n">
        <v>0.98</v>
      </c>
      <c r="BX331" s="37" t="n">
        <v>0.93</v>
      </c>
      <c r="BY331" s="37" t="n">
        <v>0.87</v>
      </c>
      <c r="BZ331" s="37" t="n">
        <v>0.87</v>
      </c>
      <c r="CA331" s="37" t="n">
        <v>0.82</v>
      </c>
      <c r="CB331" s="37" t="n">
        <v>0.57</v>
      </c>
      <c r="CC331" s="37" t="n">
        <v>115.68</v>
      </c>
    </row>
    <row r="332" ht="15.75" customHeight="1" s="57">
      <c r="A332" s="7" t="inlineStr">
        <is>
          <t>NTB</t>
        </is>
      </c>
      <c r="B332" s="7" t="inlineStr">
        <is>
          <t>Lâm Đồng</t>
        </is>
      </c>
      <c r="C332" s="7" t="n">
        <v>21537000</v>
      </c>
      <c r="D332" s="7" t="inlineStr">
        <is>
          <t>(LDO) Lâm Viên - Đà Lạt 2</t>
        </is>
      </c>
      <c r="E332" s="7" t="inlineStr">
        <is>
          <t>Shopee</t>
        </is>
      </c>
      <c r="F332" s="36" t="n">
        <v>16</v>
      </c>
      <c r="G332" s="36" t="n">
        <v>16</v>
      </c>
      <c r="H332" s="36" t="n">
        <v>12</v>
      </c>
      <c r="I332" s="36" t="n">
        <v>15</v>
      </c>
      <c r="J332" s="36" t="n">
        <v>19</v>
      </c>
      <c r="K332" s="28" t="n">
        <v>22</v>
      </c>
      <c r="L332" s="36" t="n">
        <v>21</v>
      </c>
      <c r="M332" s="36" t="n">
        <v>27</v>
      </c>
      <c r="N332" s="36" t="n">
        <v>5</v>
      </c>
      <c r="O332" s="36" t="n">
        <v>11</v>
      </c>
      <c r="P332" s="36" t="n">
        <v>15</v>
      </c>
      <c r="Q332" s="36" t="n">
        <v>3</v>
      </c>
      <c r="R332" s="28" t="n">
        <v>17</v>
      </c>
      <c r="S332" s="36" t="n">
        <v>15</v>
      </c>
      <c r="T332" s="36" t="n">
        <v>17</v>
      </c>
      <c r="U332" s="36" t="n">
        <v>14.03</v>
      </c>
      <c r="V332" s="36" t="n">
        <v>14.18</v>
      </c>
      <c r="W332" s="36" t="n">
        <v>13.58</v>
      </c>
      <c r="X332" s="36" t="n">
        <v>11.74</v>
      </c>
      <c r="Y332" s="28" t="n">
        <v>19</v>
      </c>
      <c r="Z332" s="36" t="n">
        <v>15.06</v>
      </c>
      <c r="AA332" s="36" t="n">
        <v>18.41</v>
      </c>
      <c r="AB332" s="36" t="n">
        <v>14.41</v>
      </c>
      <c r="AC332" s="36" t="n">
        <v>11.58</v>
      </c>
      <c r="AD332" s="36" t="n">
        <v>30.78</v>
      </c>
      <c r="AE332" s="36" t="n">
        <v>12.59</v>
      </c>
      <c r="AF332" s="28" t="n">
        <v>20.86</v>
      </c>
      <c r="AG332" s="36" t="n">
        <v>15.8</v>
      </c>
      <c r="AH332" s="37" t="n">
        <v>16.67</v>
      </c>
      <c r="AI332" s="37" t="n">
        <v>14.03</v>
      </c>
      <c r="AJ332" s="37" t="n">
        <v>14.18</v>
      </c>
      <c r="AK332" s="37" t="n">
        <v>14.99</v>
      </c>
      <c r="AL332" s="37" t="n">
        <v>21.08</v>
      </c>
      <c r="AM332" s="37" t="n">
        <v>19</v>
      </c>
      <c r="AN332" s="37" t="n">
        <v>15.06</v>
      </c>
      <c r="AO332" s="37" t="n">
        <v>16.67</v>
      </c>
      <c r="AP332" s="37" t="n">
        <v>15.52</v>
      </c>
      <c r="AQ332" s="37" t="n">
        <v>11.32</v>
      </c>
      <c r="AR332" s="37" t="n">
        <v>13.58</v>
      </c>
      <c r="AS332" s="37" t="n">
        <v>11.74</v>
      </c>
      <c r="AT332" s="37" t="n">
        <v>19</v>
      </c>
      <c r="AU332" s="37" t="n">
        <v>16.56</v>
      </c>
      <c r="AV332" s="37" t="n">
        <v>17.09</v>
      </c>
      <c r="AW332" s="37" t="n">
        <v>14.03</v>
      </c>
      <c r="AX332" s="37" t="n">
        <v>14.18</v>
      </c>
      <c r="AY332" s="37" t="n">
        <v>13.58</v>
      </c>
      <c r="AZ332" s="37" t="n">
        <v>11.74</v>
      </c>
      <c r="BA332" s="37" t="n">
        <v>16.35</v>
      </c>
      <c r="BB332" s="37" t="n">
        <v>11.23</v>
      </c>
      <c r="BC332" s="37" t="n">
        <v>5.04</v>
      </c>
      <c r="BD332" s="37" t="n">
        <v>8.42</v>
      </c>
      <c r="BE332" s="37" t="n">
        <v>16.87</v>
      </c>
      <c r="BF332" s="37" t="n">
        <v>16.26</v>
      </c>
      <c r="BG332" s="37" t="n">
        <v>11.47</v>
      </c>
      <c r="BH332" s="37" t="n">
        <v>18.12</v>
      </c>
      <c r="BI332" s="37" t="n">
        <v>11.88</v>
      </c>
      <c r="BJ332" s="37" t="n">
        <v>43.6</v>
      </c>
      <c r="BK332" s="37" t="n">
        <v>14.38</v>
      </c>
      <c r="BL332" s="37" t="n">
        <v>14.18</v>
      </c>
      <c r="BM332" s="37" t="n">
        <v>12.95</v>
      </c>
      <c r="BN332" s="37" t="n">
        <v>11.25</v>
      </c>
      <c r="BO332" s="37" t="n">
        <v>18.12</v>
      </c>
      <c r="BP332" s="37" t="n">
        <v>15.73</v>
      </c>
      <c r="BQ332" s="37" t="n">
        <v>24.31</v>
      </c>
      <c r="BR332" s="37" t="n">
        <v>13.37</v>
      </c>
      <c r="BS332" s="37" t="n">
        <v>13.51</v>
      </c>
      <c r="BT332" s="37" t="n">
        <v>12.95</v>
      </c>
      <c r="BU332" s="37" t="n">
        <v>12.3</v>
      </c>
      <c r="BV332" s="37" t="n">
        <v>14.52</v>
      </c>
      <c r="BW332" s="37" t="n">
        <v>14.34</v>
      </c>
      <c r="BX332" s="37" t="n">
        <v>15.84</v>
      </c>
      <c r="BY332" s="37" t="n">
        <v>13.37</v>
      </c>
      <c r="BZ332" s="37" t="n">
        <v>14.79</v>
      </c>
      <c r="CA332" s="37" t="n">
        <v>13.24</v>
      </c>
      <c r="CB332" s="37" t="n">
        <v>11.25</v>
      </c>
      <c r="CC332" s="37" t="n">
        <v>1152.68</v>
      </c>
    </row>
    <row r="333" ht="15.75" customHeight="1" s="57">
      <c r="A333" s="7" t="inlineStr">
        <is>
          <t>NTB</t>
        </is>
      </c>
      <c r="B333" s="7" t="inlineStr">
        <is>
          <t>Lâm Đồng</t>
        </is>
      </c>
      <c r="C333" s="7" t="n">
        <v>21537000</v>
      </c>
      <c r="D333" s="7" t="inlineStr">
        <is>
          <t>(LDO) Lâm Viên - Đà Lạt 2</t>
        </is>
      </c>
      <c r="E333" s="7" t="inlineStr">
        <is>
          <t>Shopee-Bulky</t>
        </is>
      </c>
      <c r="F333" s="36" t="n">
        <v>0</v>
      </c>
      <c r="G333" s="36" t="n">
        <v>0</v>
      </c>
      <c r="H333" s="36" t="n">
        <v>0</v>
      </c>
      <c r="I333" s="36" t="n">
        <v>0</v>
      </c>
      <c r="J333" s="36" t="n">
        <v>0</v>
      </c>
      <c r="K333" s="28" t="n">
        <v>0.65</v>
      </c>
      <c r="L333" s="36" t="n">
        <v>0</v>
      </c>
      <c r="M333" s="36" t="n">
        <v>0</v>
      </c>
      <c r="N333" s="36" t="n">
        <v>0</v>
      </c>
      <c r="O333" s="36" t="n">
        <v>0</v>
      </c>
      <c r="P333" s="36" t="n">
        <v>0</v>
      </c>
      <c r="Q333" s="36" t="n">
        <v>0</v>
      </c>
      <c r="R333" s="28" t="n">
        <v>0</v>
      </c>
      <c r="S333" s="36" t="n">
        <v>0</v>
      </c>
      <c r="T333" s="36" t="n">
        <v>0.65</v>
      </c>
      <c r="U333" s="36" t="n">
        <v>0.11</v>
      </c>
      <c r="V333" s="36" t="n">
        <v>0.1</v>
      </c>
      <c r="W333" s="36" t="n">
        <v>0.14</v>
      </c>
      <c r="X333" s="36" t="n">
        <v>0.08</v>
      </c>
      <c r="Y333" s="28" t="n">
        <v>0.17</v>
      </c>
      <c r="Z333" s="36" t="n">
        <v>0.12</v>
      </c>
      <c r="AA333" s="36" t="n">
        <v>0.22</v>
      </c>
      <c r="AB333" s="36" t="n">
        <v>0.12</v>
      </c>
      <c r="AC333" s="36" t="n">
        <v>0.15</v>
      </c>
      <c r="AD333" s="36" t="n">
        <v>0.44</v>
      </c>
      <c r="AE333" s="36" t="n">
        <v>0.38</v>
      </c>
      <c r="AF333" s="28" t="n">
        <v>0.36</v>
      </c>
      <c r="AG333" s="36" t="n">
        <v>0.19</v>
      </c>
      <c r="AH333" s="37" t="n">
        <v>0.12</v>
      </c>
      <c r="AI333" s="37" t="n">
        <v>0.14</v>
      </c>
      <c r="AJ333" s="37" t="n">
        <v>0.11</v>
      </c>
      <c r="AK333" s="37" t="n">
        <v>0.27</v>
      </c>
      <c r="AL333" s="37" t="n">
        <v>0.15</v>
      </c>
      <c r="AM333" s="37" t="n">
        <v>0.22</v>
      </c>
      <c r="AN333" s="37" t="n">
        <v>0.12</v>
      </c>
      <c r="AO333" s="37" t="n">
        <v>0.12</v>
      </c>
      <c r="AP333" s="37" t="n">
        <v>0.24</v>
      </c>
      <c r="AQ333" s="37" t="n">
        <v>0.16</v>
      </c>
      <c r="AR333" s="37" t="n">
        <v>0.12</v>
      </c>
      <c r="AS333" s="37" t="n">
        <v>0.06</v>
      </c>
      <c r="AT333" s="37" t="n">
        <v>0.16</v>
      </c>
      <c r="AU333" s="37" t="n">
        <v>0.29</v>
      </c>
      <c r="AV333" s="37" t="n">
        <v>0.3</v>
      </c>
      <c r="AW333" s="37" t="n">
        <v>0.12</v>
      </c>
      <c r="AX333" s="37" t="n">
        <v>0.11</v>
      </c>
      <c r="AY333" s="37" t="n">
        <v>0.12</v>
      </c>
      <c r="AZ333" s="37" t="n">
        <v>0.06</v>
      </c>
      <c r="BA333" s="37" t="n">
        <v>0.15</v>
      </c>
      <c r="BB333" s="37" t="n">
        <v>0.09</v>
      </c>
      <c r="BC333" s="37" t="n">
        <v>0.02</v>
      </c>
      <c r="BD333" s="37" t="n">
        <v>0.04</v>
      </c>
      <c r="BE333" s="37" t="n">
        <v>0.18</v>
      </c>
      <c r="BF333" s="37" t="n">
        <v>0.15</v>
      </c>
      <c r="BG333" s="37" t="n">
        <v>0.09</v>
      </c>
      <c r="BH333" s="37" t="n">
        <v>0.22</v>
      </c>
      <c r="BI333" s="37" t="n">
        <v>0.16</v>
      </c>
      <c r="BJ333" s="37" t="n">
        <v>0.8</v>
      </c>
      <c r="BK333" s="37" t="n">
        <v>0.36</v>
      </c>
      <c r="BL333" s="37" t="n">
        <v>0.21</v>
      </c>
      <c r="BM333" s="37" t="n">
        <v>0.12</v>
      </c>
      <c r="BN333" s="37" t="n">
        <v>0.09</v>
      </c>
      <c r="BO333" s="37" t="n">
        <v>0.26</v>
      </c>
      <c r="BP333" s="37" t="n">
        <v>0.38</v>
      </c>
      <c r="BQ333" s="37" t="n">
        <v>0.29</v>
      </c>
      <c r="BR333" s="37" t="n">
        <v>0.15</v>
      </c>
      <c r="BS333" s="37" t="n">
        <v>0.15</v>
      </c>
      <c r="BT333" s="37" t="n">
        <v>0.12</v>
      </c>
      <c r="BU333" s="37" t="n">
        <v>0.19</v>
      </c>
      <c r="BV333" s="37" t="n">
        <v>0.23</v>
      </c>
      <c r="BW333" s="37" t="n">
        <v>0.16</v>
      </c>
      <c r="BX333" s="37" t="n">
        <v>0.16</v>
      </c>
      <c r="BY333" s="37" t="n">
        <v>0.15</v>
      </c>
      <c r="BZ333" s="37" t="n">
        <v>0.3</v>
      </c>
      <c r="CA333" s="37" t="n">
        <v>0.15</v>
      </c>
      <c r="CB333" s="37" t="n">
        <v>0.08</v>
      </c>
      <c r="CC333" s="37" t="n">
        <v>12.32</v>
      </c>
    </row>
    <row r="334" ht="15.75" customHeight="1" s="57">
      <c r="A334" s="7" t="inlineStr">
        <is>
          <t>NTB</t>
        </is>
      </c>
      <c r="B334" s="7" t="inlineStr">
        <is>
          <t>Lâm Đồng</t>
        </is>
      </c>
      <c r="C334" s="7" t="n">
        <v>21537000</v>
      </c>
      <c r="D334" s="7" t="inlineStr">
        <is>
          <t>(LDO) Lâm Viên - Đà Lạt 2</t>
        </is>
      </c>
      <c r="E334" s="7" t="inlineStr">
        <is>
          <t>Shopee-Bulky (10-15kg)</t>
        </is>
      </c>
      <c r="F334" s="36" t="n">
        <v>0</v>
      </c>
      <c r="G334" s="36" t="n">
        <v>0</v>
      </c>
      <c r="H334" s="36" t="n">
        <v>0</v>
      </c>
      <c r="I334" s="36" t="n">
        <v>0</v>
      </c>
      <c r="J334" s="36" t="n">
        <v>0</v>
      </c>
      <c r="K334" s="28" t="n">
        <v>0.35</v>
      </c>
      <c r="L334" s="36" t="n">
        <v>0</v>
      </c>
      <c r="M334" s="36" t="n">
        <v>0</v>
      </c>
      <c r="N334" s="36" t="n">
        <v>0</v>
      </c>
      <c r="O334" s="36" t="n">
        <v>0</v>
      </c>
      <c r="P334" s="36" t="n">
        <v>0</v>
      </c>
      <c r="Q334" s="36" t="n">
        <v>0</v>
      </c>
      <c r="R334" s="28" t="n">
        <v>0</v>
      </c>
      <c r="S334" s="36" t="n">
        <v>0</v>
      </c>
      <c r="T334" s="36" t="n">
        <v>0.35</v>
      </c>
      <c r="U334" s="36" t="n">
        <v>0.06</v>
      </c>
      <c r="V334" s="36" t="n">
        <v>0.05</v>
      </c>
      <c r="W334" s="36" t="n">
        <v>0.07000000000000001</v>
      </c>
      <c r="X334" s="36" t="n">
        <v>0.04</v>
      </c>
      <c r="Y334" s="28" t="n">
        <v>0.1</v>
      </c>
      <c r="Z334" s="36" t="n">
        <v>0.07000000000000001</v>
      </c>
      <c r="AA334" s="36" t="n">
        <v>0.12</v>
      </c>
      <c r="AB334" s="36" t="n">
        <v>0.06</v>
      </c>
      <c r="AC334" s="36" t="n">
        <v>0.07000000000000001</v>
      </c>
      <c r="AD334" s="36" t="n">
        <v>0.32</v>
      </c>
      <c r="AE334" s="36" t="n">
        <v>0.22</v>
      </c>
      <c r="AF334" s="28" t="n">
        <v>0.18</v>
      </c>
      <c r="AG334" s="36" t="n">
        <v>0.14</v>
      </c>
      <c r="AH334" s="37" t="n">
        <v>0.07000000000000001</v>
      </c>
      <c r="AI334" s="37" t="n">
        <v>0.07000000000000001</v>
      </c>
      <c r="AJ334" s="37" t="n">
        <v>0.07000000000000001</v>
      </c>
      <c r="AK334" s="37" t="n">
        <v>0.17</v>
      </c>
      <c r="AL334" s="37" t="n">
        <v>0.07000000000000001</v>
      </c>
      <c r="AM334" s="37" t="n">
        <v>0.14</v>
      </c>
      <c r="AN334" s="37" t="n">
        <v>0.07000000000000001</v>
      </c>
      <c r="AO334" s="37" t="n">
        <v>0.06</v>
      </c>
      <c r="AP334" s="37" t="n">
        <v>0.12</v>
      </c>
      <c r="AQ334" s="37" t="n">
        <v>0.08</v>
      </c>
      <c r="AR334" s="37" t="n">
        <v>0.06</v>
      </c>
      <c r="AS334" s="37" t="n">
        <v>0.03</v>
      </c>
      <c r="AT334" s="37" t="n">
        <v>0.1</v>
      </c>
      <c r="AU334" s="37" t="n">
        <v>0.16</v>
      </c>
      <c r="AV334" s="37" t="n">
        <v>0.17</v>
      </c>
      <c r="AW334" s="37" t="n">
        <v>0.06</v>
      </c>
      <c r="AX334" s="37" t="n">
        <v>0.05</v>
      </c>
      <c r="AY334" s="37" t="n">
        <v>0.06</v>
      </c>
      <c r="AZ334" s="37" t="n">
        <v>0.03</v>
      </c>
      <c r="BA334" s="37" t="n">
        <v>0.07000000000000001</v>
      </c>
      <c r="BB334" s="37" t="n">
        <v>0.05</v>
      </c>
      <c r="BC334" s="37" t="n">
        <v>0.01</v>
      </c>
      <c r="BD334" s="37" t="n">
        <v>0.02</v>
      </c>
      <c r="BE334" s="37" t="n">
        <v>0.09</v>
      </c>
      <c r="BF334" s="37" t="n">
        <v>0.08</v>
      </c>
      <c r="BG334" s="37" t="n">
        <v>0.04</v>
      </c>
      <c r="BH334" s="37" t="n">
        <v>0.13</v>
      </c>
      <c r="BI334" s="37" t="n">
        <v>0.07000000000000001</v>
      </c>
      <c r="BJ334" s="37" t="n">
        <v>0.45</v>
      </c>
      <c r="BK334" s="37" t="n">
        <v>0.16</v>
      </c>
      <c r="BL334" s="37" t="n">
        <v>0.12</v>
      </c>
      <c r="BM334" s="37" t="n">
        <v>0.06</v>
      </c>
      <c r="BN334" s="37" t="n">
        <v>0.04</v>
      </c>
      <c r="BO334" s="37" t="n">
        <v>0.12</v>
      </c>
      <c r="BP334" s="37" t="n">
        <v>0.16</v>
      </c>
      <c r="BQ334" s="37" t="n">
        <v>0.15</v>
      </c>
      <c r="BR334" s="37" t="n">
        <v>0.08</v>
      </c>
      <c r="BS334" s="37" t="n">
        <v>0.07000000000000001</v>
      </c>
      <c r="BT334" s="37" t="n">
        <v>0.06</v>
      </c>
      <c r="BU334" s="37" t="n">
        <v>0.08</v>
      </c>
      <c r="BV334" s="37" t="n">
        <v>0.14</v>
      </c>
      <c r="BW334" s="37" t="n">
        <v>0.07000000000000001</v>
      </c>
      <c r="BX334" s="37" t="n">
        <v>0.08</v>
      </c>
      <c r="BY334" s="37" t="n">
        <v>0.08</v>
      </c>
      <c r="BZ334" s="37" t="n">
        <v>0.14</v>
      </c>
      <c r="CA334" s="37" t="n">
        <v>0.08</v>
      </c>
      <c r="CB334" s="37" t="n">
        <v>0.04</v>
      </c>
      <c r="CC334" s="37" t="n">
        <v>6.58</v>
      </c>
    </row>
    <row r="335" ht="15.75" customHeight="1" s="57">
      <c r="A335" s="7" t="inlineStr">
        <is>
          <t>NTB</t>
        </is>
      </c>
      <c r="B335" s="7" t="inlineStr">
        <is>
          <t>Lâm Đồng</t>
        </is>
      </c>
      <c r="C335" s="7" t="n">
        <v>21537000</v>
      </c>
      <c r="D335" s="7" t="inlineStr">
        <is>
          <t>(LDO) Lâm Viên - Đà Lạt 2</t>
        </is>
      </c>
      <c r="E335" s="7" t="inlineStr">
        <is>
          <t>TTS</t>
        </is>
      </c>
      <c r="F335" s="36" t="n">
        <v>14</v>
      </c>
      <c r="G335" s="36" t="n">
        <v>18</v>
      </c>
      <c r="H335" s="36" t="n">
        <v>8</v>
      </c>
      <c r="I335" s="36" t="n">
        <v>12</v>
      </c>
      <c r="J335" s="36" t="n">
        <v>15</v>
      </c>
      <c r="K335" s="28" t="n">
        <v>21</v>
      </c>
      <c r="L335" s="36" t="n">
        <v>23</v>
      </c>
      <c r="M335" s="36" t="n">
        <v>7</v>
      </c>
      <c r="N335" s="36" t="n">
        <v>15</v>
      </c>
      <c r="O335" s="36" t="n">
        <v>16</v>
      </c>
      <c r="P335" s="36" t="n">
        <v>13</v>
      </c>
      <c r="Q335" s="36" t="n">
        <v>19</v>
      </c>
      <c r="R335" s="28" t="n">
        <v>22</v>
      </c>
      <c r="S335" s="36" t="n">
        <v>15</v>
      </c>
      <c r="T335" s="36" t="n">
        <v>16</v>
      </c>
      <c r="U335" s="36" t="n">
        <v>7.72</v>
      </c>
      <c r="V335" s="36" t="n">
        <v>7.64</v>
      </c>
      <c r="W335" s="36" t="n">
        <v>7.45</v>
      </c>
      <c r="X335" s="36" t="n">
        <v>5.99</v>
      </c>
      <c r="Y335" s="28" t="n">
        <v>8.75</v>
      </c>
      <c r="Z335" s="36" t="n">
        <v>7.44</v>
      </c>
      <c r="AA335" s="36" t="n">
        <v>8.279999999999999</v>
      </c>
      <c r="AB335" s="36" t="n">
        <v>9.19</v>
      </c>
      <c r="AC335" s="36" t="n">
        <v>9.76</v>
      </c>
      <c r="AD335" s="36" t="n">
        <v>13.53</v>
      </c>
      <c r="AE335" s="36" t="n">
        <v>6.98</v>
      </c>
      <c r="AF335" s="28" t="n">
        <v>8.99</v>
      </c>
      <c r="AG335" s="36" t="n">
        <v>7.6</v>
      </c>
      <c r="AH335" s="37" t="n">
        <v>7.5</v>
      </c>
      <c r="AI335" s="37" t="n">
        <v>8.67</v>
      </c>
      <c r="AJ335" s="37" t="n">
        <v>9.26</v>
      </c>
      <c r="AK335" s="37" t="n">
        <v>9.109999999999999</v>
      </c>
      <c r="AL335" s="37" t="n">
        <v>6.52</v>
      </c>
      <c r="AM335" s="37" t="n">
        <v>8.880000000000001</v>
      </c>
      <c r="AN335" s="37" t="n">
        <v>7.67</v>
      </c>
      <c r="AO335" s="37" t="n">
        <v>7.6</v>
      </c>
      <c r="AP335" s="37" t="n">
        <v>7.43</v>
      </c>
      <c r="AQ335" s="37" t="n">
        <v>7.49</v>
      </c>
      <c r="AR335" s="37" t="n">
        <v>7.33</v>
      </c>
      <c r="AS335" s="37" t="n">
        <v>6.01</v>
      </c>
      <c r="AT335" s="37" t="n">
        <v>9.609999999999999</v>
      </c>
      <c r="AU335" s="37" t="n">
        <v>8.699999999999999</v>
      </c>
      <c r="AV335" s="37" t="n">
        <v>7.71</v>
      </c>
      <c r="AW335" s="37" t="n">
        <v>7.34</v>
      </c>
      <c r="AX335" s="37" t="n">
        <v>7.3</v>
      </c>
      <c r="AY335" s="37" t="n">
        <v>7.24</v>
      </c>
      <c r="AZ335" s="37" t="n">
        <v>6.01</v>
      </c>
      <c r="BA335" s="37" t="n">
        <v>8.640000000000001</v>
      </c>
      <c r="BB335" s="37" t="n">
        <v>8.140000000000001</v>
      </c>
      <c r="BC335" s="37" t="n">
        <v>4.09</v>
      </c>
      <c r="BD335" s="37" t="n">
        <v>5.84</v>
      </c>
      <c r="BE335" s="37" t="n">
        <v>13.59</v>
      </c>
      <c r="BF335" s="37" t="n">
        <v>13.14</v>
      </c>
      <c r="BG335" s="37" t="n">
        <v>6.54</v>
      </c>
      <c r="BH335" s="37" t="n">
        <v>9.58</v>
      </c>
      <c r="BI335" s="37" t="n">
        <v>8.140000000000001</v>
      </c>
      <c r="BJ335" s="37" t="n">
        <v>10.24</v>
      </c>
      <c r="BK335" s="37" t="n">
        <v>8.25</v>
      </c>
      <c r="BL335" s="37" t="n">
        <v>8.27</v>
      </c>
      <c r="BM335" s="37" t="n">
        <v>8.01</v>
      </c>
      <c r="BN335" s="37" t="n">
        <v>6.54</v>
      </c>
      <c r="BO335" s="37" t="n">
        <v>9.58</v>
      </c>
      <c r="BP335" s="37" t="n">
        <v>8.140000000000001</v>
      </c>
      <c r="BQ335" s="37" t="n">
        <v>8.029999999999999</v>
      </c>
      <c r="BR335" s="37" t="n">
        <v>8.25</v>
      </c>
      <c r="BS335" s="37" t="n">
        <v>8.27</v>
      </c>
      <c r="BT335" s="37" t="n">
        <v>8.01</v>
      </c>
      <c r="BU335" s="37" t="n">
        <v>6.54</v>
      </c>
      <c r="BV335" s="37" t="n">
        <v>9.58</v>
      </c>
      <c r="BW335" s="37" t="n">
        <v>8.140000000000001</v>
      </c>
      <c r="BX335" s="37" t="n">
        <v>8.029999999999999</v>
      </c>
      <c r="BY335" s="37" t="n">
        <v>8.25</v>
      </c>
      <c r="BZ335" s="37" t="n">
        <v>8.27</v>
      </c>
      <c r="CA335" s="37" t="n">
        <v>8.01</v>
      </c>
      <c r="CB335" s="37" t="n">
        <v>6.54</v>
      </c>
      <c r="CC335" s="37" t="n">
        <v>723.3499999999998</v>
      </c>
    </row>
    <row r="336" ht="15.75" customHeight="1" s="57">
      <c r="A336" s="7" t="inlineStr">
        <is>
          <t>NTB</t>
        </is>
      </c>
      <c r="B336" s="7" t="inlineStr">
        <is>
          <t>Lâm Đồng</t>
        </is>
      </c>
      <c r="C336" s="7" t="n">
        <v>21537000</v>
      </c>
      <c r="D336" s="7" t="inlineStr">
        <is>
          <t>(LDO) Lâm Viên - Đà Lạt 2</t>
        </is>
      </c>
      <c r="E336" s="7" t="inlineStr">
        <is>
          <t>TTS-Bulky</t>
        </is>
      </c>
      <c r="F336" s="36" t="n">
        <v>0</v>
      </c>
      <c r="G336" s="36" t="n">
        <v>0</v>
      </c>
      <c r="H336" s="36" t="n">
        <v>0</v>
      </c>
      <c r="I336" s="36" t="n">
        <v>0</v>
      </c>
      <c r="J336" s="36" t="n">
        <v>0</v>
      </c>
      <c r="K336" s="28" t="n">
        <v>0</v>
      </c>
      <c r="L336" s="36" t="n">
        <v>0</v>
      </c>
      <c r="M336" s="36" t="n">
        <v>0</v>
      </c>
      <c r="N336" s="36" t="n">
        <v>0</v>
      </c>
      <c r="O336" s="36" t="n">
        <v>0</v>
      </c>
      <c r="P336" s="36" t="n">
        <v>1</v>
      </c>
      <c r="Q336" s="36" t="n">
        <v>0</v>
      </c>
      <c r="R336" s="28" t="n">
        <v>0</v>
      </c>
      <c r="S336" s="36" t="n">
        <v>0</v>
      </c>
      <c r="T336" s="36" t="n">
        <v>0</v>
      </c>
      <c r="U336" s="36" t="n">
        <v>0</v>
      </c>
      <c r="V336" s="36" t="n">
        <v>0</v>
      </c>
      <c r="W336" s="36" t="n">
        <v>0</v>
      </c>
      <c r="X336" s="36" t="n">
        <v>0</v>
      </c>
      <c r="Y336" s="28" t="n">
        <v>0</v>
      </c>
      <c r="Z336" s="36" t="n">
        <v>0</v>
      </c>
      <c r="AA336" s="36" t="n">
        <v>0</v>
      </c>
      <c r="AB336" s="36" t="n">
        <v>0</v>
      </c>
      <c r="AC336" s="36" t="n">
        <v>0</v>
      </c>
      <c r="AD336" s="36" t="n">
        <v>0</v>
      </c>
      <c r="AE336" s="36" t="n">
        <v>0</v>
      </c>
      <c r="AF336" s="28" t="n">
        <v>0</v>
      </c>
      <c r="AG336" s="36" t="n">
        <v>0</v>
      </c>
      <c r="AH336" s="37" t="n">
        <v>0</v>
      </c>
      <c r="AI336" s="37" t="n">
        <v>0</v>
      </c>
      <c r="AJ336" s="37" t="n">
        <v>0</v>
      </c>
      <c r="AK336" s="37" t="n">
        <v>0</v>
      </c>
      <c r="AL336" s="37" t="n">
        <v>0</v>
      </c>
      <c r="AM336" s="37" t="n">
        <v>0</v>
      </c>
      <c r="AN336" s="37" t="n">
        <v>0</v>
      </c>
      <c r="AO336" s="37" t="n">
        <v>0</v>
      </c>
      <c r="AP336" s="37" t="n">
        <v>0</v>
      </c>
      <c r="AQ336" s="37" t="n">
        <v>0</v>
      </c>
      <c r="AR336" s="37" t="n">
        <v>0</v>
      </c>
      <c r="AS336" s="37" t="n">
        <v>0</v>
      </c>
      <c r="AT336" s="37" t="n">
        <v>0</v>
      </c>
      <c r="AU336" s="37" t="n">
        <v>0</v>
      </c>
      <c r="AV336" s="37" t="n">
        <v>0</v>
      </c>
      <c r="AW336" s="37" t="n">
        <v>0</v>
      </c>
      <c r="AX336" s="37" t="n">
        <v>0</v>
      </c>
      <c r="AY336" s="37" t="n">
        <v>0</v>
      </c>
      <c r="AZ336" s="37" t="n">
        <v>0</v>
      </c>
      <c r="BA336" s="37" t="n">
        <v>0</v>
      </c>
      <c r="BB336" s="37" t="n">
        <v>0</v>
      </c>
      <c r="BC336" s="37" t="n">
        <v>0</v>
      </c>
      <c r="BD336" s="37" t="n">
        <v>0</v>
      </c>
      <c r="BE336" s="37" t="n">
        <v>0</v>
      </c>
      <c r="BF336" s="37" t="n">
        <v>0</v>
      </c>
      <c r="BG336" s="37" t="n">
        <v>0</v>
      </c>
      <c r="BH336" s="37" t="n">
        <v>0</v>
      </c>
      <c r="BI336" s="37" t="n">
        <v>0</v>
      </c>
      <c r="BJ336" s="37" t="n">
        <v>0</v>
      </c>
      <c r="BK336" s="37" t="n">
        <v>0</v>
      </c>
      <c r="BL336" s="37" t="n">
        <v>0</v>
      </c>
      <c r="BM336" s="37" t="n">
        <v>0</v>
      </c>
      <c r="BN336" s="37" t="n">
        <v>0</v>
      </c>
      <c r="BO336" s="37" t="n">
        <v>0</v>
      </c>
      <c r="BP336" s="37" t="n">
        <v>0</v>
      </c>
      <c r="BQ336" s="37" t="n">
        <v>0</v>
      </c>
      <c r="BR336" s="37" t="n">
        <v>0</v>
      </c>
      <c r="BS336" s="37" t="n">
        <v>0</v>
      </c>
      <c r="BT336" s="37" t="n">
        <v>0</v>
      </c>
      <c r="BU336" s="37" t="n">
        <v>0</v>
      </c>
      <c r="BV336" s="37" t="n">
        <v>0</v>
      </c>
      <c r="BW336" s="37" t="n">
        <v>0</v>
      </c>
      <c r="BX336" s="37" t="n">
        <v>0</v>
      </c>
      <c r="BY336" s="37" t="n">
        <v>0</v>
      </c>
      <c r="BZ336" s="37" t="n">
        <v>0</v>
      </c>
      <c r="CA336" s="37" t="n">
        <v>0</v>
      </c>
      <c r="CB336" s="37" t="n">
        <v>0</v>
      </c>
      <c r="CC336" s="37" t="n">
        <v>1</v>
      </c>
    </row>
    <row r="337" ht="15.75" customHeight="1" s="57">
      <c r="A337" s="7" t="inlineStr">
        <is>
          <t>NTB</t>
        </is>
      </c>
      <c r="B337" s="7" t="inlineStr">
        <is>
          <t>Lâm Đồng</t>
        </is>
      </c>
      <c r="C337" s="7" t="n">
        <v>21605000</v>
      </c>
      <c r="D337" s="7" t="inlineStr">
        <is>
          <t>Kho Giao Hàng Nặng - Đức Trọng - Lâm Đồng</t>
        </is>
      </c>
      <c r="E337" s="7" t="inlineStr">
        <is>
          <t>SME</t>
        </is>
      </c>
      <c r="F337" s="36" t="n">
        <v>3</v>
      </c>
      <c r="G337" s="36" t="n">
        <v>1</v>
      </c>
      <c r="H337" s="36" t="n">
        <v>3</v>
      </c>
      <c r="I337" s="36" t="n">
        <v>0</v>
      </c>
      <c r="J337" s="36" t="n">
        <v>0</v>
      </c>
      <c r="K337" s="28" t="n">
        <v>2</v>
      </c>
      <c r="L337" s="36" t="n">
        <v>0</v>
      </c>
      <c r="M337" s="36" t="n">
        <v>0</v>
      </c>
      <c r="N337" s="36" t="n">
        <v>1</v>
      </c>
      <c r="O337" s="36" t="n">
        <v>0</v>
      </c>
      <c r="P337" s="36" t="n">
        <v>3</v>
      </c>
      <c r="Q337" s="36" t="n">
        <v>1</v>
      </c>
      <c r="R337" s="28" t="n">
        <v>0</v>
      </c>
      <c r="S337" s="36" t="n">
        <v>0</v>
      </c>
      <c r="T337" s="36" t="n">
        <v>4</v>
      </c>
      <c r="U337" s="36" t="n">
        <v>1.13</v>
      </c>
      <c r="V337" s="36" t="n">
        <v>1.17</v>
      </c>
      <c r="W337" s="36" t="n">
        <v>1.13</v>
      </c>
      <c r="X337" s="36" t="n">
        <v>0.93</v>
      </c>
      <c r="Y337" s="28" t="n">
        <v>1.26</v>
      </c>
      <c r="Z337" s="36" t="n">
        <v>1.16</v>
      </c>
      <c r="AA337" s="36" t="n">
        <v>1.13</v>
      </c>
      <c r="AB337" s="36" t="n">
        <v>1.13</v>
      </c>
      <c r="AC337" s="36" t="n">
        <v>1.17</v>
      </c>
      <c r="AD337" s="36" t="n">
        <v>1.23</v>
      </c>
      <c r="AE337" s="36" t="n">
        <v>0.93</v>
      </c>
      <c r="AF337" s="28" t="n">
        <v>1.26</v>
      </c>
      <c r="AG337" s="36" t="n">
        <v>1.16</v>
      </c>
      <c r="AH337" s="37" t="n">
        <v>1.13</v>
      </c>
      <c r="AI337" s="37" t="n">
        <v>1.13</v>
      </c>
      <c r="AJ337" s="37" t="n">
        <v>1.17</v>
      </c>
      <c r="AK337" s="37" t="n">
        <v>1.13</v>
      </c>
      <c r="AL337" s="37" t="n">
        <v>0.93</v>
      </c>
      <c r="AM337" s="37" t="n">
        <v>1.26</v>
      </c>
      <c r="AN337" s="37" t="n">
        <v>1.16</v>
      </c>
      <c r="AO337" s="37" t="n">
        <v>1.13</v>
      </c>
      <c r="AP337" s="37" t="n">
        <v>1.13</v>
      </c>
      <c r="AQ337" s="37" t="n">
        <v>1.17</v>
      </c>
      <c r="AR337" s="37" t="n">
        <v>1.13</v>
      </c>
      <c r="AS337" s="37" t="n">
        <v>0.93</v>
      </c>
      <c r="AT337" s="37" t="n">
        <v>1.26</v>
      </c>
      <c r="AU337" s="37" t="n">
        <v>1.16</v>
      </c>
      <c r="AV337" s="37" t="n">
        <v>1.13</v>
      </c>
      <c r="AW337" s="37" t="n">
        <v>1.13</v>
      </c>
      <c r="AX337" s="37" t="n">
        <v>1.17</v>
      </c>
      <c r="AY337" s="37" t="n">
        <v>1.13</v>
      </c>
      <c r="AZ337" s="37" t="n">
        <v>0.93</v>
      </c>
      <c r="BA337" s="37" t="n">
        <v>1.2</v>
      </c>
      <c r="BB337" s="37" t="n">
        <v>1.06</v>
      </c>
      <c r="BC337" s="37" t="n">
        <v>0.66</v>
      </c>
      <c r="BD337" s="37" t="n">
        <v>0.51</v>
      </c>
      <c r="BE337" s="37" t="n">
        <v>1.1</v>
      </c>
      <c r="BF337" s="37" t="n">
        <v>1.07</v>
      </c>
      <c r="BG337" s="37" t="n">
        <v>0.96</v>
      </c>
      <c r="BH337" s="37" t="n">
        <v>1.3</v>
      </c>
      <c r="BI337" s="37" t="n">
        <v>1.19</v>
      </c>
      <c r="BJ337" s="37" t="n">
        <v>1.27</v>
      </c>
      <c r="BK337" s="37" t="n">
        <v>1.16</v>
      </c>
      <c r="BL337" s="37" t="n">
        <v>1.2</v>
      </c>
      <c r="BM337" s="37" t="n">
        <v>1.17</v>
      </c>
      <c r="BN337" s="37" t="n">
        <v>0.96</v>
      </c>
      <c r="BO337" s="37" t="n">
        <v>1.3</v>
      </c>
      <c r="BP337" s="37" t="n">
        <v>1.19</v>
      </c>
      <c r="BQ337" s="37" t="n">
        <v>1.17</v>
      </c>
      <c r="BR337" s="37" t="n">
        <v>1.16</v>
      </c>
      <c r="BS337" s="37" t="n">
        <v>1.2</v>
      </c>
      <c r="BT337" s="37" t="n">
        <v>1.17</v>
      </c>
      <c r="BU337" s="37" t="n">
        <v>0.96</v>
      </c>
      <c r="BV337" s="37" t="n">
        <v>1.3</v>
      </c>
      <c r="BW337" s="37" t="n">
        <v>1.19</v>
      </c>
      <c r="BX337" s="37" t="n">
        <v>1.17</v>
      </c>
      <c r="BY337" s="37" t="n">
        <v>1.16</v>
      </c>
      <c r="BZ337" s="37" t="n">
        <v>1.2</v>
      </c>
      <c r="CA337" s="37" t="n">
        <v>1.17</v>
      </c>
      <c r="CB337" s="37" t="n">
        <v>0.96</v>
      </c>
      <c r="CC337" s="37" t="n">
        <v>85.20999999999998</v>
      </c>
    </row>
    <row r="338" ht="15.75" customHeight="1" s="57">
      <c r="A338" s="7" t="inlineStr">
        <is>
          <t>NTB</t>
        </is>
      </c>
      <c r="B338" s="7" t="inlineStr">
        <is>
          <t>Lâm Đồng</t>
        </is>
      </c>
      <c r="C338" s="7" t="n">
        <v>21605000</v>
      </c>
      <c r="D338" s="7" t="inlineStr">
        <is>
          <t>Kho Giao Hàng Nặng - Đức Trọng - Lâm Đồng</t>
        </is>
      </c>
      <c r="E338" s="7" t="inlineStr">
        <is>
          <t>SME-Bulky</t>
        </is>
      </c>
      <c r="F338" s="36" t="n">
        <v>0</v>
      </c>
      <c r="G338" s="36" t="n">
        <v>0</v>
      </c>
      <c r="H338" s="36" t="n">
        <v>0</v>
      </c>
      <c r="I338" s="36" t="n">
        <v>0</v>
      </c>
      <c r="J338" s="36" t="n">
        <v>0</v>
      </c>
      <c r="K338" s="28" t="n">
        <v>0</v>
      </c>
      <c r="L338" s="36" t="n">
        <v>0</v>
      </c>
      <c r="M338" s="36" t="n">
        <v>0</v>
      </c>
      <c r="N338" s="36" t="n">
        <v>0</v>
      </c>
      <c r="O338" s="36" t="n">
        <v>0</v>
      </c>
      <c r="P338" s="36" t="n">
        <v>1</v>
      </c>
      <c r="Q338" s="36" t="n">
        <v>0</v>
      </c>
      <c r="R338" s="28" t="n">
        <v>0</v>
      </c>
      <c r="S338" s="36" t="n">
        <v>0</v>
      </c>
      <c r="T338" s="36" t="n">
        <v>0</v>
      </c>
      <c r="U338" s="36" t="n">
        <v>0</v>
      </c>
      <c r="V338" s="36" t="n">
        <v>0</v>
      </c>
      <c r="W338" s="36" t="n">
        <v>0</v>
      </c>
      <c r="X338" s="36" t="n">
        <v>0</v>
      </c>
      <c r="Y338" s="28" t="n">
        <v>0</v>
      </c>
      <c r="Z338" s="36" t="n">
        <v>0</v>
      </c>
      <c r="AA338" s="36" t="n">
        <v>0</v>
      </c>
      <c r="AB338" s="36" t="n">
        <v>0</v>
      </c>
      <c r="AC338" s="36" t="n">
        <v>0</v>
      </c>
      <c r="AD338" s="36" t="n">
        <v>0</v>
      </c>
      <c r="AE338" s="36" t="n">
        <v>0</v>
      </c>
      <c r="AF338" s="28" t="n">
        <v>0</v>
      </c>
      <c r="AG338" s="36" t="n">
        <v>0</v>
      </c>
      <c r="AH338" s="37" t="n">
        <v>0</v>
      </c>
      <c r="AI338" s="37" t="n">
        <v>0</v>
      </c>
      <c r="AJ338" s="37" t="n">
        <v>0</v>
      </c>
      <c r="AK338" s="37" t="n">
        <v>0</v>
      </c>
      <c r="AL338" s="37" t="n">
        <v>0</v>
      </c>
      <c r="AM338" s="37" t="n">
        <v>0</v>
      </c>
      <c r="AN338" s="37" t="n">
        <v>0</v>
      </c>
      <c r="AO338" s="37" t="n">
        <v>0</v>
      </c>
      <c r="AP338" s="37" t="n">
        <v>0</v>
      </c>
      <c r="AQ338" s="37" t="n">
        <v>0</v>
      </c>
      <c r="AR338" s="37" t="n">
        <v>0</v>
      </c>
      <c r="AS338" s="37" t="n">
        <v>0</v>
      </c>
      <c r="AT338" s="37" t="n">
        <v>0</v>
      </c>
      <c r="AU338" s="37" t="n">
        <v>0</v>
      </c>
      <c r="AV338" s="37" t="n">
        <v>0</v>
      </c>
      <c r="AW338" s="37" t="n">
        <v>0</v>
      </c>
      <c r="AX338" s="37" t="n">
        <v>0</v>
      </c>
      <c r="AY338" s="37" t="n">
        <v>0</v>
      </c>
      <c r="AZ338" s="37" t="n">
        <v>0</v>
      </c>
      <c r="BA338" s="37" t="n">
        <v>0</v>
      </c>
      <c r="BB338" s="37" t="n">
        <v>0</v>
      </c>
      <c r="BC338" s="37" t="n">
        <v>0</v>
      </c>
      <c r="BD338" s="37" t="n">
        <v>0</v>
      </c>
      <c r="BE338" s="37" t="n">
        <v>0</v>
      </c>
      <c r="BF338" s="37" t="n">
        <v>0</v>
      </c>
      <c r="BG338" s="37" t="n">
        <v>0</v>
      </c>
      <c r="BH338" s="37" t="n">
        <v>0</v>
      </c>
      <c r="BI338" s="37" t="n">
        <v>0</v>
      </c>
      <c r="BJ338" s="37" t="n">
        <v>0</v>
      </c>
      <c r="BK338" s="37" t="n">
        <v>0</v>
      </c>
      <c r="BL338" s="37" t="n">
        <v>0</v>
      </c>
      <c r="BM338" s="37" t="n">
        <v>0</v>
      </c>
      <c r="BN338" s="37" t="n">
        <v>0</v>
      </c>
      <c r="BO338" s="37" t="n">
        <v>0</v>
      </c>
      <c r="BP338" s="37" t="n">
        <v>0</v>
      </c>
      <c r="BQ338" s="37" t="n">
        <v>0</v>
      </c>
      <c r="BR338" s="37" t="n">
        <v>0</v>
      </c>
      <c r="BS338" s="37" t="n">
        <v>0</v>
      </c>
      <c r="BT338" s="37" t="n">
        <v>0</v>
      </c>
      <c r="BU338" s="37" t="n">
        <v>0</v>
      </c>
      <c r="BV338" s="37" t="n">
        <v>0</v>
      </c>
      <c r="BW338" s="37" t="n">
        <v>0</v>
      </c>
      <c r="BX338" s="37" t="n">
        <v>0</v>
      </c>
      <c r="BY338" s="37" t="n">
        <v>0</v>
      </c>
      <c r="BZ338" s="37" t="n">
        <v>0</v>
      </c>
      <c r="CA338" s="37" t="n">
        <v>0</v>
      </c>
      <c r="CB338" s="37" t="n">
        <v>0</v>
      </c>
      <c r="CC338" s="37" t="n">
        <v>1</v>
      </c>
    </row>
    <row r="339" ht="15.75" customHeight="1" s="57">
      <c r="A339" s="7" t="inlineStr">
        <is>
          <t>NTB</t>
        </is>
      </c>
      <c r="B339" s="7" t="inlineStr">
        <is>
          <t>Lâm Đồng</t>
        </is>
      </c>
      <c r="C339" s="7" t="n">
        <v>21687000</v>
      </c>
      <c r="D339" s="7" t="inlineStr">
        <is>
          <t>(LDO) Lang Biang - Đà Lạt 2</t>
        </is>
      </c>
      <c r="E339" s="7" t="inlineStr">
        <is>
          <t>SME</t>
        </is>
      </c>
      <c r="F339" s="36" t="n">
        <v>138</v>
      </c>
      <c r="G339" s="36" t="n">
        <v>133</v>
      </c>
      <c r="H339" s="36" t="n">
        <v>83</v>
      </c>
      <c r="I339" s="36" t="n">
        <v>102</v>
      </c>
      <c r="J339" s="36" t="n">
        <v>126</v>
      </c>
      <c r="K339" s="28" t="n">
        <v>111</v>
      </c>
      <c r="L339" s="36" t="n">
        <v>129</v>
      </c>
      <c r="M339" s="36" t="n">
        <v>124</v>
      </c>
      <c r="N339" s="36" t="n">
        <v>98</v>
      </c>
      <c r="O339" s="36" t="n">
        <v>155</v>
      </c>
      <c r="P339" s="36" t="n">
        <v>133</v>
      </c>
      <c r="Q339" s="36" t="n">
        <v>78</v>
      </c>
      <c r="R339" s="28" t="n">
        <v>122</v>
      </c>
      <c r="S339" s="36" t="n">
        <v>137</v>
      </c>
      <c r="T339" s="36" t="n">
        <v>140</v>
      </c>
      <c r="U339" s="36" t="n">
        <v>165.13</v>
      </c>
      <c r="V339" s="36" t="n">
        <v>170.61</v>
      </c>
      <c r="W339" s="36" t="n">
        <v>166.07</v>
      </c>
      <c r="X339" s="36" t="n">
        <v>136.01</v>
      </c>
      <c r="Y339" s="28" t="n">
        <v>184.01</v>
      </c>
      <c r="Z339" s="36" t="n">
        <v>169.42</v>
      </c>
      <c r="AA339" s="36" t="n">
        <v>165.36</v>
      </c>
      <c r="AB339" s="36" t="n">
        <v>165.13</v>
      </c>
      <c r="AC339" s="36" t="n">
        <v>170.61</v>
      </c>
      <c r="AD339" s="36" t="n">
        <v>179.91</v>
      </c>
      <c r="AE339" s="36" t="n">
        <v>136.01</v>
      </c>
      <c r="AF339" s="28" t="n">
        <v>184.01</v>
      </c>
      <c r="AG339" s="36" t="n">
        <v>169.42</v>
      </c>
      <c r="AH339" s="37" t="n">
        <v>165.36</v>
      </c>
      <c r="AI339" s="37" t="n">
        <v>165.13</v>
      </c>
      <c r="AJ339" s="37" t="n">
        <v>170.61</v>
      </c>
      <c r="AK339" s="37" t="n">
        <v>166.07</v>
      </c>
      <c r="AL339" s="37" t="n">
        <v>136.01</v>
      </c>
      <c r="AM339" s="37" t="n">
        <v>184.01</v>
      </c>
      <c r="AN339" s="37" t="n">
        <v>169.42</v>
      </c>
      <c r="AO339" s="37" t="n">
        <v>165.36</v>
      </c>
      <c r="AP339" s="37" t="n">
        <v>165.13</v>
      </c>
      <c r="AQ339" s="37" t="n">
        <v>170.61</v>
      </c>
      <c r="AR339" s="37" t="n">
        <v>166.07</v>
      </c>
      <c r="AS339" s="37" t="n">
        <v>136.01</v>
      </c>
      <c r="AT339" s="37" t="n">
        <v>184.01</v>
      </c>
      <c r="AU339" s="37" t="n">
        <v>169.42</v>
      </c>
      <c r="AV339" s="37" t="n">
        <v>165.36</v>
      </c>
      <c r="AW339" s="37" t="n">
        <v>165.13</v>
      </c>
      <c r="AX339" s="37" t="n">
        <v>170.61</v>
      </c>
      <c r="AY339" s="37" t="n">
        <v>166.07</v>
      </c>
      <c r="AZ339" s="37" t="n">
        <v>136.01</v>
      </c>
      <c r="BA339" s="37" t="n">
        <v>174.96</v>
      </c>
      <c r="BB339" s="37" t="n">
        <v>155.67</v>
      </c>
      <c r="BC339" s="37" t="n">
        <v>95.75</v>
      </c>
      <c r="BD339" s="37" t="n">
        <v>74.86</v>
      </c>
      <c r="BE339" s="37" t="n">
        <v>160.1</v>
      </c>
      <c r="BF339" s="37" t="n">
        <v>155.96</v>
      </c>
      <c r="BG339" s="37" t="n">
        <v>140.33</v>
      </c>
      <c r="BH339" s="37" t="n">
        <v>190.03</v>
      </c>
      <c r="BI339" s="37" t="n">
        <v>174.72</v>
      </c>
      <c r="BJ339" s="37" t="n">
        <v>185.39</v>
      </c>
      <c r="BK339" s="37" t="n">
        <v>170.07</v>
      </c>
      <c r="BL339" s="37" t="n">
        <v>176.01</v>
      </c>
      <c r="BM339" s="37" t="n">
        <v>171.19</v>
      </c>
      <c r="BN339" s="37" t="n">
        <v>140.33</v>
      </c>
      <c r="BO339" s="37" t="n">
        <v>190.03</v>
      </c>
      <c r="BP339" s="37" t="n">
        <v>174.72</v>
      </c>
      <c r="BQ339" s="37" t="n">
        <v>170.37</v>
      </c>
      <c r="BR339" s="37" t="n">
        <v>170.07</v>
      </c>
      <c r="BS339" s="37" t="n">
        <v>176.01</v>
      </c>
      <c r="BT339" s="37" t="n">
        <v>171.19</v>
      </c>
      <c r="BU339" s="37" t="n">
        <v>140.33</v>
      </c>
      <c r="BV339" s="37" t="n">
        <v>190.03</v>
      </c>
      <c r="BW339" s="37" t="n">
        <v>174.72</v>
      </c>
      <c r="BX339" s="37" t="n">
        <v>170.37</v>
      </c>
      <c r="BY339" s="37" t="n">
        <v>170.07</v>
      </c>
      <c r="BZ339" s="37" t="n">
        <v>176.01</v>
      </c>
      <c r="CA339" s="37" t="n">
        <v>171.19</v>
      </c>
      <c r="CB339" s="37" t="n">
        <v>140.33</v>
      </c>
      <c r="CC339" s="37" t="n">
        <v>11637.91</v>
      </c>
    </row>
    <row r="340" ht="15.75" customHeight="1" s="57">
      <c r="A340" s="7" t="inlineStr">
        <is>
          <t>NTB</t>
        </is>
      </c>
      <c r="B340" s="7" t="inlineStr">
        <is>
          <t>Lâm Đồng</t>
        </is>
      </c>
      <c r="C340" s="7" t="n">
        <v>21687000</v>
      </c>
      <c r="D340" s="7" t="inlineStr">
        <is>
          <t>(LDO) Lang Biang - Đà Lạt 2</t>
        </is>
      </c>
      <c r="E340" s="7" t="inlineStr">
        <is>
          <t>SME-Bulky</t>
        </is>
      </c>
      <c r="F340" s="36" t="n">
        <v>3</v>
      </c>
      <c r="G340" s="36" t="n">
        <v>5</v>
      </c>
      <c r="H340" s="36" t="n">
        <v>4</v>
      </c>
      <c r="I340" s="36" t="n">
        <v>1</v>
      </c>
      <c r="J340" s="36" t="n">
        <v>3</v>
      </c>
      <c r="K340" s="28" t="n">
        <v>3</v>
      </c>
      <c r="L340" s="36" t="n">
        <v>5</v>
      </c>
      <c r="M340" s="36" t="n">
        <v>3</v>
      </c>
      <c r="N340" s="36" t="n">
        <v>4</v>
      </c>
      <c r="O340" s="36" t="n">
        <v>5</v>
      </c>
      <c r="P340" s="36" t="n">
        <v>2</v>
      </c>
      <c r="Q340" s="36" t="n">
        <v>3</v>
      </c>
      <c r="R340" s="28" t="n">
        <v>6</v>
      </c>
      <c r="S340" s="36" t="n">
        <v>12</v>
      </c>
      <c r="T340" s="36" t="n">
        <v>5</v>
      </c>
      <c r="U340" s="36" t="n">
        <v>5.19</v>
      </c>
      <c r="V340" s="36" t="n">
        <v>5.12</v>
      </c>
      <c r="W340" s="36" t="n">
        <v>4.99</v>
      </c>
      <c r="X340" s="36" t="n">
        <v>3.58</v>
      </c>
      <c r="Y340" s="28" t="n">
        <v>5.85</v>
      </c>
      <c r="Z340" s="36" t="n">
        <v>5.67</v>
      </c>
      <c r="AA340" s="36" t="n">
        <v>5.61</v>
      </c>
      <c r="AB340" s="36" t="n">
        <v>5.19</v>
      </c>
      <c r="AC340" s="36" t="n">
        <v>5.12</v>
      </c>
      <c r="AD340" s="36" t="n">
        <v>3.92</v>
      </c>
      <c r="AE340" s="36" t="n">
        <v>3.58</v>
      </c>
      <c r="AF340" s="28" t="n">
        <v>5.85</v>
      </c>
      <c r="AG340" s="36" t="n">
        <v>5.67</v>
      </c>
      <c r="AH340" s="37" t="n">
        <v>5.61</v>
      </c>
      <c r="AI340" s="37" t="n">
        <v>5.19</v>
      </c>
      <c r="AJ340" s="37" t="n">
        <v>5.12</v>
      </c>
      <c r="AK340" s="37" t="n">
        <v>4.99</v>
      </c>
      <c r="AL340" s="37" t="n">
        <v>3.58</v>
      </c>
      <c r="AM340" s="37" t="n">
        <v>5.85</v>
      </c>
      <c r="AN340" s="37" t="n">
        <v>5.67</v>
      </c>
      <c r="AO340" s="37" t="n">
        <v>5.61</v>
      </c>
      <c r="AP340" s="37" t="n">
        <v>5.19</v>
      </c>
      <c r="AQ340" s="37" t="n">
        <v>5.12</v>
      </c>
      <c r="AR340" s="37" t="n">
        <v>4.99</v>
      </c>
      <c r="AS340" s="37" t="n">
        <v>3.58</v>
      </c>
      <c r="AT340" s="37" t="n">
        <v>5.85</v>
      </c>
      <c r="AU340" s="37" t="n">
        <v>5.67</v>
      </c>
      <c r="AV340" s="37" t="n">
        <v>5.61</v>
      </c>
      <c r="AW340" s="37" t="n">
        <v>5.19</v>
      </c>
      <c r="AX340" s="37" t="n">
        <v>5.12</v>
      </c>
      <c r="AY340" s="37" t="n">
        <v>4.99</v>
      </c>
      <c r="AZ340" s="37" t="n">
        <v>3.58</v>
      </c>
      <c r="BA340" s="37" t="n">
        <v>6.4</v>
      </c>
      <c r="BB340" s="37" t="n">
        <v>3.37</v>
      </c>
      <c r="BC340" s="37" t="n">
        <v>1.72</v>
      </c>
      <c r="BD340" s="37" t="n">
        <v>1.31</v>
      </c>
      <c r="BE340" s="37" t="n">
        <v>3.03</v>
      </c>
      <c r="BF340" s="37" t="n">
        <v>2.82</v>
      </c>
      <c r="BG340" s="37" t="n">
        <v>1.96</v>
      </c>
      <c r="BH340" s="37" t="n">
        <v>3.4</v>
      </c>
      <c r="BI340" s="37" t="n">
        <v>3.37</v>
      </c>
      <c r="BJ340" s="37" t="n">
        <v>2.58</v>
      </c>
      <c r="BK340" s="37" t="n">
        <v>2.99</v>
      </c>
      <c r="BL340" s="37" t="n">
        <v>2.99</v>
      </c>
      <c r="BM340" s="37" t="n">
        <v>2.82</v>
      </c>
      <c r="BN340" s="37" t="n">
        <v>1.96</v>
      </c>
      <c r="BO340" s="37" t="n">
        <v>3.4</v>
      </c>
      <c r="BP340" s="37" t="n">
        <v>3.37</v>
      </c>
      <c r="BQ340" s="37" t="n">
        <v>3.2</v>
      </c>
      <c r="BR340" s="37" t="n">
        <v>2.99</v>
      </c>
      <c r="BS340" s="37" t="n">
        <v>2.99</v>
      </c>
      <c r="BT340" s="37" t="n">
        <v>2.82</v>
      </c>
      <c r="BU340" s="37" t="n">
        <v>1.96</v>
      </c>
      <c r="BV340" s="37" t="n">
        <v>3.4</v>
      </c>
      <c r="BW340" s="37" t="n">
        <v>3.37</v>
      </c>
      <c r="BX340" s="37" t="n">
        <v>3.2</v>
      </c>
      <c r="BY340" s="37" t="n">
        <v>2.99</v>
      </c>
      <c r="BZ340" s="37" t="n">
        <v>2.99</v>
      </c>
      <c r="CA340" s="37" t="n">
        <v>2.82</v>
      </c>
      <c r="CB340" s="37" t="n">
        <v>1.96</v>
      </c>
      <c r="CC340" s="37" t="n">
        <v>308.03</v>
      </c>
    </row>
    <row r="341" ht="15.75" customHeight="1" s="57">
      <c r="A341" s="7" t="inlineStr">
        <is>
          <t>NTB</t>
        </is>
      </c>
      <c r="B341" s="7" t="inlineStr">
        <is>
          <t>Lâm Đồng</t>
        </is>
      </c>
      <c r="C341" s="7" t="n">
        <v>21687000</v>
      </c>
      <c r="D341" s="7" t="inlineStr">
        <is>
          <t>(LDO) Lang Biang - Đà Lạt 2</t>
        </is>
      </c>
      <c r="E341" s="7" t="inlineStr">
        <is>
          <t>Shopee</t>
        </is>
      </c>
      <c r="F341" s="36" t="n">
        <v>109</v>
      </c>
      <c r="G341" s="36" t="n">
        <v>132</v>
      </c>
      <c r="H341" s="36" t="n">
        <v>121</v>
      </c>
      <c r="I341" s="36" t="n">
        <v>99</v>
      </c>
      <c r="J341" s="36" t="n">
        <v>110</v>
      </c>
      <c r="K341" s="28" t="n">
        <v>142</v>
      </c>
      <c r="L341" s="36" t="n">
        <v>107</v>
      </c>
      <c r="M341" s="36" t="n">
        <v>158</v>
      </c>
      <c r="N341" s="36" t="n">
        <v>82</v>
      </c>
      <c r="O341" s="36" t="n">
        <v>110</v>
      </c>
      <c r="P341" s="36" t="n">
        <v>116</v>
      </c>
      <c r="Q341" s="36" t="n">
        <v>92</v>
      </c>
      <c r="R341" s="28" t="n">
        <v>115</v>
      </c>
      <c r="S341" s="36" t="n">
        <v>101</v>
      </c>
      <c r="T341" s="36" t="n">
        <v>137</v>
      </c>
      <c r="U341" s="36" t="n">
        <v>127.13</v>
      </c>
      <c r="V341" s="36" t="n">
        <v>128.44</v>
      </c>
      <c r="W341" s="36" t="n">
        <v>123.04</v>
      </c>
      <c r="X341" s="36" t="n">
        <v>106.35</v>
      </c>
      <c r="Y341" s="28" t="n">
        <v>172.13</v>
      </c>
      <c r="Z341" s="36" t="n">
        <v>136.46</v>
      </c>
      <c r="AA341" s="36" t="n">
        <v>166.73</v>
      </c>
      <c r="AB341" s="36" t="n">
        <v>130.57</v>
      </c>
      <c r="AC341" s="36" t="n">
        <v>104.88</v>
      </c>
      <c r="AD341" s="36" t="n">
        <v>278.81</v>
      </c>
      <c r="AE341" s="36" t="n">
        <v>114.04</v>
      </c>
      <c r="AF341" s="28" t="n">
        <v>188.98</v>
      </c>
      <c r="AG341" s="36" t="n">
        <v>143.17</v>
      </c>
      <c r="AH341" s="37" t="n">
        <v>151.02</v>
      </c>
      <c r="AI341" s="37" t="n">
        <v>127.13</v>
      </c>
      <c r="AJ341" s="37" t="n">
        <v>128.44</v>
      </c>
      <c r="AK341" s="37" t="n">
        <v>135.81</v>
      </c>
      <c r="AL341" s="37" t="n">
        <v>190.95</v>
      </c>
      <c r="AM341" s="37" t="n">
        <v>172.13</v>
      </c>
      <c r="AN341" s="37" t="n">
        <v>136.46</v>
      </c>
      <c r="AO341" s="37" t="n">
        <v>151.02</v>
      </c>
      <c r="AP341" s="37" t="n">
        <v>140.55</v>
      </c>
      <c r="AQ341" s="37" t="n">
        <v>102.59</v>
      </c>
      <c r="AR341" s="37" t="n">
        <v>123.04</v>
      </c>
      <c r="AS341" s="37" t="n">
        <v>106.35</v>
      </c>
      <c r="AT341" s="37" t="n">
        <v>172.13</v>
      </c>
      <c r="AU341" s="37" t="n">
        <v>150.04</v>
      </c>
      <c r="AV341" s="37" t="n">
        <v>154.79</v>
      </c>
      <c r="AW341" s="37" t="n">
        <v>127.13</v>
      </c>
      <c r="AX341" s="37" t="n">
        <v>128.44</v>
      </c>
      <c r="AY341" s="37" t="n">
        <v>123.04</v>
      </c>
      <c r="AZ341" s="37" t="n">
        <v>106.35</v>
      </c>
      <c r="BA341" s="37" t="n">
        <v>148.08</v>
      </c>
      <c r="BB341" s="37" t="n">
        <v>101.77</v>
      </c>
      <c r="BC341" s="37" t="n">
        <v>45.65</v>
      </c>
      <c r="BD341" s="37" t="n">
        <v>76.25</v>
      </c>
      <c r="BE341" s="37" t="n">
        <v>152.82</v>
      </c>
      <c r="BF341" s="37" t="n">
        <v>147.26</v>
      </c>
      <c r="BG341" s="37" t="n">
        <v>103.9</v>
      </c>
      <c r="BH341" s="37" t="n">
        <v>164.11</v>
      </c>
      <c r="BI341" s="37" t="n">
        <v>107.66</v>
      </c>
      <c r="BJ341" s="37" t="n">
        <v>394.98</v>
      </c>
      <c r="BK341" s="37" t="n">
        <v>130.24</v>
      </c>
      <c r="BL341" s="37" t="n">
        <v>128.44</v>
      </c>
      <c r="BM341" s="37" t="n">
        <v>117.32</v>
      </c>
      <c r="BN341" s="37" t="n">
        <v>101.94</v>
      </c>
      <c r="BO341" s="37" t="n">
        <v>164.11</v>
      </c>
      <c r="BP341" s="37" t="n">
        <v>142.51</v>
      </c>
      <c r="BQ341" s="37" t="n">
        <v>220.23</v>
      </c>
      <c r="BR341" s="37" t="n">
        <v>121.08</v>
      </c>
      <c r="BS341" s="37" t="n">
        <v>122.39</v>
      </c>
      <c r="BT341" s="37" t="n">
        <v>117.32</v>
      </c>
      <c r="BU341" s="37" t="n">
        <v>111.43</v>
      </c>
      <c r="BV341" s="37" t="n">
        <v>131.55</v>
      </c>
      <c r="BW341" s="37" t="n">
        <v>129.92</v>
      </c>
      <c r="BX341" s="37" t="n">
        <v>143.5</v>
      </c>
      <c r="BY341" s="37" t="n">
        <v>121.08</v>
      </c>
      <c r="BZ341" s="37" t="n">
        <v>134.01</v>
      </c>
      <c r="CA341" s="37" t="n">
        <v>119.93</v>
      </c>
      <c r="CB341" s="37" t="n">
        <v>101.94</v>
      </c>
      <c r="CC341" s="37" t="n">
        <v>10080.56</v>
      </c>
    </row>
    <row r="342" ht="15.75" customHeight="1" s="57">
      <c r="A342" s="7" t="inlineStr">
        <is>
          <t>NTB</t>
        </is>
      </c>
      <c r="B342" s="7" t="inlineStr">
        <is>
          <t>Lâm Đồng</t>
        </is>
      </c>
      <c r="C342" s="7" t="n">
        <v>21687000</v>
      </c>
      <c r="D342" s="7" t="inlineStr">
        <is>
          <t>(LDO) Lang Biang - Đà Lạt 2</t>
        </is>
      </c>
      <c r="E342" s="7" t="inlineStr">
        <is>
          <t>Shopee-Bulky</t>
        </is>
      </c>
      <c r="F342" s="36" t="n">
        <v>3.27</v>
      </c>
      <c r="G342" s="36" t="n">
        <v>6.53</v>
      </c>
      <c r="H342" s="36" t="n">
        <v>1.96</v>
      </c>
      <c r="I342" s="36" t="n">
        <v>0.65</v>
      </c>
      <c r="J342" s="36" t="n">
        <v>1.96</v>
      </c>
      <c r="K342" s="28" t="n">
        <v>7.84</v>
      </c>
      <c r="L342" s="36" t="n">
        <v>1.96</v>
      </c>
      <c r="M342" s="36" t="n">
        <v>1.96</v>
      </c>
      <c r="N342" s="36" t="n">
        <v>1.31</v>
      </c>
      <c r="O342" s="36" t="n">
        <v>3.27</v>
      </c>
      <c r="P342" s="36" t="n">
        <v>3.92</v>
      </c>
      <c r="Q342" s="36" t="n">
        <v>3.92</v>
      </c>
      <c r="R342" s="28" t="n">
        <v>1.31</v>
      </c>
      <c r="S342" s="36" t="n">
        <v>3.92</v>
      </c>
      <c r="T342" s="36" t="n">
        <v>1.96</v>
      </c>
      <c r="U342" s="36" t="n">
        <v>2.82</v>
      </c>
      <c r="V342" s="36" t="n">
        <v>2.72</v>
      </c>
      <c r="W342" s="36" t="n">
        <v>3.58</v>
      </c>
      <c r="X342" s="36" t="n">
        <v>2.12</v>
      </c>
      <c r="Y342" s="28" t="n">
        <v>4.43</v>
      </c>
      <c r="Z342" s="36" t="n">
        <v>3.22</v>
      </c>
      <c r="AA342" s="36" t="n">
        <v>5.69</v>
      </c>
      <c r="AB342" s="36" t="n">
        <v>3.22</v>
      </c>
      <c r="AC342" s="36" t="n">
        <v>3.78</v>
      </c>
      <c r="AD342" s="36" t="n">
        <v>11.49</v>
      </c>
      <c r="AE342" s="36" t="n">
        <v>9.93</v>
      </c>
      <c r="AF342" s="28" t="n">
        <v>9.470000000000001</v>
      </c>
      <c r="AG342" s="36" t="n">
        <v>4.99</v>
      </c>
      <c r="AH342" s="37" t="n">
        <v>3.07</v>
      </c>
      <c r="AI342" s="37" t="n">
        <v>3.58</v>
      </c>
      <c r="AJ342" s="37" t="n">
        <v>2.97</v>
      </c>
      <c r="AK342" s="37" t="n">
        <v>7.1</v>
      </c>
      <c r="AL342" s="37" t="n">
        <v>3.88</v>
      </c>
      <c r="AM342" s="37" t="n">
        <v>5.84</v>
      </c>
      <c r="AN342" s="37" t="n">
        <v>3.22</v>
      </c>
      <c r="AO342" s="37" t="n">
        <v>3.12</v>
      </c>
      <c r="AP342" s="37" t="n">
        <v>6.35</v>
      </c>
      <c r="AQ342" s="37" t="n">
        <v>4.23</v>
      </c>
      <c r="AR342" s="37" t="n">
        <v>3.17</v>
      </c>
      <c r="AS342" s="37" t="n">
        <v>1.61</v>
      </c>
      <c r="AT342" s="37" t="n">
        <v>4.28</v>
      </c>
      <c r="AU342" s="37" t="n">
        <v>7.66</v>
      </c>
      <c r="AV342" s="37" t="n">
        <v>7.81</v>
      </c>
      <c r="AW342" s="37" t="n">
        <v>3.07</v>
      </c>
      <c r="AX342" s="37" t="n">
        <v>2.97</v>
      </c>
      <c r="AY342" s="37" t="n">
        <v>3.07</v>
      </c>
      <c r="AZ342" s="37" t="n">
        <v>1.61</v>
      </c>
      <c r="BA342" s="37" t="n">
        <v>3.98</v>
      </c>
      <c r="BB342" s="37" t="n">
        <v>2.47</v>
      </c>
      <c r="BC342" s="37" t="n">
        <v>0.5</v>
      </c>
      <c r="BD342" s="37" t="n">
        <v>1.01</v>
      </c>
      <c r="BE342" s="37" t="n">
        <v>4.64</v>
      </c>
      <c r="BF342" s="37" t="n">
        <v>3.88</v>
      </c>
      <c r="BG342" s="37" t="n">
        <v>2.47</v>
      </c>
      <c r="BH342" s="37" t="n">
        <v>5.64</v>
      </c>
      <c r="BI342" s="37" t="n">
        <v>4.18</v>
      </c>
      <c r="BJ342" s="37" t="n">
        <v>20.71</v>
      </c>
      <c r="BK342" s="37" t="n">
        <v>9.470000000000001</v>
      </c>
      <c r="BL342" s="37" t="n">
        <v>5.34</v>
      </c>
      <c r="BM342" s="37" t="n">
        <v>3.22</v>
      </c>
      <c r="BN342" s="37" t="n">
        <v>2.32</v>
      </c>
      <c r="BO342" s="37" t="n">
        <v>6.75</v>
      </c>
      <c r="BP342" s="37" t="n">
        <v>9.779999999999999</v>
      </c>
      <c r="BQ342" s="37" t="n">
        <v>7.66</v>
      </c>
      <c r="BR342" s="37" t="n">
        <v>3.88</v>
      </c>
      <c r="BS342" s="37" t="n">
        <v>3.78</v>
      </c>
      <c r="BT342" s="37" t="n">
        <v>3.07</v>
      </c>
      <c r="BU342" s="37" t="n">
        <v>5.04</v>
      </c>
      <c r="BV342" s="37" t="n">
        <v>6.05</v>
      </c>
      <c r="BW342" s="37" t="n">
        <v>4.18</v>
      </c>
      <c r="BX342" s="37" t="n">
        <v>4.03</v>
      </c>
      <c r="BY342" s="37" t="n">
        <v>3.88</v>
      </c>
      <c r="BZ342" s="37" t="n">
        <v>7.71</v>
      </c>
      <c r="CA342" s="37" t="n">
        <v>3.88</v>
      </c>
      <c r="CB342" s="37" t="n">
        <v>2.17</v>
      </c>
      <c r="CC342" s="37" t="n">
        <v>333.4999999999999</v>
      </c>
    </row>
    <row r="343" ht="15.75" customHeight="1" s="57">
      <c r="A343" s="7" t="inlineStr">
        <is>
          <t>NTB</t>
        </is>
      </c>
      <c r="B343" s="7" t="inlineStr">
        <is>
          <t>Lâm Đồng</t>
        </is>
      </c>
      <c r="C343" s="7" t="n">
        <v>21687000</v>
      </c>
      <c r="D343" s="7" t="inlineStr">
        <is>
          <t>(LDO) Lang Biang - Đà Lạt 2</t>
        </is>
      </c>
      <c r="E343" s="7" t="inlineStr">
        <is>
          <t>Shopee-Bulky (10-15kg)</t>
        </is>
      </c>
      <c r="F343" s="36" t="n">
        <v>1.73</v>
      </c>
      <c r="G343" s="36" t="n">
        <v>3.47</v>
      </c>
      <c r="H343" s="36" t="n">
        <v>1.04</v>
      </c>
      <c r="I343" s="36" t="n">
        <v>0.35</v>
      </c>
      <c r="J343" s="36" t="n">
        <v>1.04</v>
      </c>
      <c r="K343" s="28" t="n">
        <v>4.16</v>
      </c>
      <c r="L343" s="36" t="n">
        <v>1.04</v>
      </c>
      <c r="M343" s="36" t="n">
        <v>1.04</v>
      </c>
      <c r="N343" s="36" t="n">
        <v>0.6899999999999999</v>
      </c>
      <c r="O343" s="36" t="n">
        <v>1.73</v>
      </c>
      <c r="P343" s="36" t="n">
        <v>2.08</v>
      </c>
      <c r="Q343" s="36" t="n">
        <v>2.08</v>
      </c>
      <c r="R343" s="28" t="n">
        <v>0.6899999999999999</v>
      </c>
      <c r="S343" s="36" t="n">
        <v>2.08</v>
      </c>
      <c r="T343" s="36" t="n">
        <v>1.04</v>
      </c>
      <c r="U343" s="36" t="n">
        <v>1.46</v>
      </c>
      <c r="V343" s="36" t="n">
        <v>1.41</v>
      </c>
      <c r="W343" s="36" t="n">
        <v>1.76</v>
      </c>
      <c r="X343" s="36" t="n">
        <v>1.06</v>
      </c>
      <c r="Y343" s="28" t="n">
        <v>2.57</v>
      </c>
      <c r="Z343" s="36" t="n">
        <v>1.71</v>
      </c>
      <c r="AA343" s="36" t="n">
        <v>3.12</v>
      </c>
      <c r="AB343" s="36" t="n">
        <v>1.61</v>
      </c>
      <c r="AC343" s="36" t="n">
        <v>1.71</v>
      </c>
      <c r="AD343" s="36" t="n">
        <v>8.359999999999999</v>
      </c>
      <c r="AE343" s="36" t="n">
        <v>5.69</v>
      </c>
      <c r="AF343" s="28" t="n">
        <v>4.74</v>
      </c>
      <c r="AG343" s="36" t="n">
        <v>3.68</v>
      </c>
      <c r="AH343" s="37" t="n">
        <v>1.71</v>
      </c>
      <c r="AI343" s="37" t="n">
        <v>1.71</v>
      </c>
      <c r="AJ343" s="37" t="n">
        <v>1.71</v>
      </c>
      <c r="AK343" s="37" t="n">
        <v>4.43</v>
      </c>
      <c r="AL343" s="37" t="n">
        <v>1.76</v>
      </c>
      <c r="AM343" s="37" t="n">
        <v>3.53</v>
      </c>
      <c r="AN343" s="37" t="n">
        <v>1.71</v>
      </c>
      <c r="AO343" s="37" t="n">
        <v>1.61</v>
      </c>
      <c r="AP343" s="37" t="n">
        <v>3.22</v>
      </c>
      <c r="AQ343" s="37" t="n">
        <v>2.12</v>
      </c>
      <c r="AR343" s="37" t="n">
        <v>1.61</v>
      </c>
      <c r="AS343" s="37" t="n">
        <v>0.8100000000000001</v>
      </c>
      <c r="AT343" s="37" t="n">
        <v>2.52</v>
      </c>
      <c r="AU343" s="37" t="n">
        <v>4.03</v>
      </c>
      <c r="AV343" s="37" t="n">
        <v>4.48</v>
      </c>
      <c r="AW343" s="37" t="n">
        <v>1.51</v>
      </c>
      <c r="AX343" s="37" t="n">
        <v>1.41</v>
      </c>
      <c r="AY343" s="37" t="n">
        <v>1.56</v>
      </c>
      <c r="AZ343" s="37" t="n">
        <v>0.8100000000000001</v>
      </c>
      <c r="BA343" s="37" t="n">
        <v>1.91</v>
      </c>
      <c r="BB343" s="37" t="n">
        <v>1.21</v>
      </c>
      <c r="BC343" s="37" t="n">
        <v>0.2</v>
      </c>
      <c r="BD343" s="37" t="n">
        <v>0.4</v>
      </c>
      <c r="BE343" s="37" t="n">
        <v>2.37</v>
      </c>
      <c r="BF343" s="37" t="n">
        <v>1.97</v>
      </c>
      <c r="BG343" s="37" t="n">
        <v>1.11</v>
      </c>
      <c r="BH343" s="37" t="n">
        <v>3.43</v>
      </c>
      <c r="BI343" s="37" t="n">
        <v>1.86</v>
      </c>
      <c r="BJ343" s="37" t="n">
        <v>11.59</v>
      </c>
      <c r="BK343" s="37" t="n">
        <v>4.18</v>
      </c>
      <c r="BL343" s="37" t="n">
        <v>3.12</v>
      </c>
      <c r="BM343" s="37" t="n">
        <v>1.51</v>
      </c>
      <c r="BN343" s="37" t="n">
        <v>1.11</v>
      </c>
      <c r="BO343" s="37" t="n">
        <v>3.22</v>
      </c>
      <c r="BP343" s="37" t="n">
        <v>4.18</v>
      </c>
      <c r="BQ343" s="37" t="n">
        <v>3.93</v>
      </c>
      <c r="BR343" s="37" t="n">
        <v>1.97</v>
      </c>
      <c r="BS343" s="37" t="n">
        <v>1.81</v>
      </c>
      <c r="BT343" s="37" t="n">
        <v>1.51</v>
      </c>
      <c r="BU343" s="37" t="n">
        <v>1.97</v>
      </c>
      <c r="BV343" s="37" t="n">
        <v>3.68</v>
      </c>
      <c r="BW343" s="37" t="n">
        <v>1.86</v>
      </c>
      <c r="BX343" s="37" t="n">
        <v>2.12</v>
      </c>
      <c r="BY343" s="37" t="n">
        <v>1.97</v>
      </c>
      <c r="BZ343" s="37" t="n">
        <v>3.63</v>
      </c>
      <c r="CA343" s="37" t="n">
        <v>1.97</v>
      </c>
      <c r="CB343" s="37" t="n">
        <v>1.11</v>
      </c>
      <c r="CC343" s="37" t="n">
        <v>176.29</v>
      </c>
    </row>
    <row r="344" ht="15.75" customHeight="1" s="57">
      <c r="A344" s="7" t="inlineStr">
        <is>
          <t>NTB</t>
        </is>
      </c>
      <c r="B344" s="7" t="inlineStr">
        <is>
          <t>Lâm Đồng</t>
        </is>
      </c>
      <c r="C344" s="7" t="n">
        <v>21687000</v>
      </c>
      <c r="D344" s="7" t="inlineStr">
        <is>
          <t>(LDO) Lang Biang - Đà Lạt 2</t>
        </is>
      </c>
      <c r="E344" s="7" t="inlineStr">
        <is>
          <t>TTS</t>
        </is>
      </c>
      <c r="F344" s="36" t="n">
        <v>295</v>
      </c>
      <c r="G344" s="36" t="n">
        <v>369</v>
      </c>
      <c r="H344" s="36" t="n">
        <v>316</v>
      </c>
      <c r="I344" s="36" t="n">
        <v>278</v>
      </c>
      <c r="J344" s="36" t="n">
        <v>394</v>
      </c>
      <c r="K344" s="28" t="n">
        <v>284</v>
      </c>
      <c r="L344" s="36" t="n">
        <v>280</v>
      </c>
      <c r="M344" s="36" t="n">
        <v>302</v>
      </c>
      <c r="N344" s="36" t="n">
        <v>523</v>
      </c>
      <c r="O344" s="36" t="n">
        <v>312</v>
      </c>
      <c r="P344" s="36" t="n">
        <v>330</v>
      </c>
      <c r="Q344" s="36" t="n">
        <v>556</v>
      </c>
      <c r="R344" s="28" t="n">
        <v>318</v>
      </c>
      <c r="S344" s="36" t="n">
        <v>316</v>
      </c>
      <c r="T344" s="36" t="n">
        <v>362</v>
      </c>
      <c r="U344" s="36" t="n">
        <v>188.77</v>
      </c>
      <c r="V344" s="36" t="n">
        <v>186.66</v>
      </c>
      <c r="W344" s="36" t="n">
        <v>182.07</v>
      </c>
      <c r="X344" s="36" t="n">
        <v>146.5</v>
      </c>
      <c r="Y344" s="28" t="n">
        <v>214.01</v>
      </c>
      <c r="Z344" s="36" t="n">
        <v>181.88</v>
      </c>
      <c r="AA344" s="36" t="n">
        <v>202.34</v>
      </c>
      <c r="AB344" s="36" t="n">
        <v>224.72</v>
      </c>
      <c r="AC344" s="36" t="n">
        <v>238.68</v>
      </c>
      <c r="AD344" s="36" t="n">
        <v>330.87</v>
      </c>
      <c r="AE344" s="36" t="n">
        <v>170.6</v>
      </c>
      <c r="AF344" s="28" t="n">
        <v>219.75</v>
      </c>
      <c r="AG344" s="36" t="n">
        <v>185.9</v>
      </c>
      <c r="AH344" s="37" t="n">
        <v>183.22</v>
      </c>
      <c r="AI344" s="37" t="n">
        <v>211.91</v>
      </c>
      <c r="AJ344" s="37" t="n">
        <v>226.44</v>
      </c>
      <c r="AK344" s="37" t="n">
        <v>222.62</v>
      </c>
      <c r="AL344" s="37" t="n">
        <v>159.5</v>
      </c>
      <c r="AM344" s="37" t="n">
        <v>217.07</v>
      </c>
      <c r="AN344" s="37" t="n">
        <v>187.43</v>
      </c>
      <c r="AO344" s="37" t="n">
        <v>185.9</v>
      </c>
      <c r="AP344" s="37" t="n">
        <v>181.69</v>
      </c>
      <c r="AQ344" s="37" t="n">
        <v>183.03</v>
      </c>
      <c r="AR344" s="37" t="n">
        <v>179.2</v>
      </c>
      <c r="AS344" s="37" t="n">
        <v>146.88</v>
      </c>
      <c r="AT344" s="37" t="n">
        <v>234.86</v>
      </c>
      <c r="AU344" s="37" t="n">
        <v>212.67</v>
      </c>
      <c r="AV344" s="37" t="n">
        <v>188.38</v>
      </c>
      <c r="AW344" s="37" t="n">
        <v>179.39</v>
      </c>
      <c r="AX344" s="37" t="n">
        <v>178.44</v>
      </c>
      <c r="AY344" s="37" t="n">
        <v>177.1</v>
      </c>
      <c r="AZ344" s="37" t="n">
        <v>146.88</v>
      </c>
      <c r="BA344" s="37" t="n">
        <v>211.14</v>
      </c>
      <c r="BB344" s="37" t="n">
        <v>198.9</v>
      </c>
      <c r="BC344" s="37" t="n">
        <v>100.02</v>
      </c>
      <c r="BD344" s="37" t="n">
        <v>142.67</v>
      </c>
      <c r="BE344" s="37" t="n">
        <v>332.2</v>
      </c>
      <c r="BF344" s="37" t="n">
        <v>321.3</v>
      </c>
      <c r="BG344" s="37" t="n">
        <v>159.89</v>
      </c>
      <c r="BH344" s="37" t="n">
        <v>234.28</v>
      </c>
      <c r="BI344" s="37" t="n">
        <v>198.9</v>
      </c>
      <c r="BJ344" s="37" t="n">
        <v>250.35</v>
      </c>
      <c r="BK344" s="37" t="n">
        <v>201.58</v>
      </c>
      <c r="BL344" s="37" t="n">
        <v>202.15</v>
      </c>
      <c r="BM344" s="37" t="n">
        <v>195.84</v>
      </c>
      <c r="BN344" s="37" t="n">
        <v>159.89</v>
      </c>
      <c r="BO344" s="37" t="n">
        <v>234.28</v>
      </c>
      <c r="BP344" s="37" t="n">
        <v>198.9</v>
      </c>
      <c r="BQ344" s="37" t="n">
        <v>196.22</v>
      </c>
      <c r="BR344" s="37" t="n">
        <v>201.58</v>
      </c>
      <c r="BS344" s="37" t="n">
        <v>202.15</v>
      </c>
      <c r="BT344" s="37" t="n">
        <v>195.84</v>
      </c>
      <c r="BU344" s="37" t="n">
        <v>159.89</v>
      </c>
      <c r="BV344" s="37" t="n">
        <v>234.28</v>
      </c>
      <c r="BW344" s="37" t="n">
        <v>198.9</v>
      </c>
      <c r="BX344" s="37" t="n">
        <v>196.22</v>
      </c>
      <c r="BY344" s="37" t="n">
        <v>201.58</v>
      </c>
      <c r="BZ344" s="37" t="n">
        <v>202.15</v>
      </c>
      <c r="CA344" s="37" t="n">
        <v>195.84</v>
      </c>
      <c r="CB344" s="37" t="n">
        <v>159.89</v>
      </c>
      <c r="CC344" s="37" t="n">
        <v>17197.19</v>
      </c>
    </row>
    <row r="345" ht="15.75" customHeight="1" s="57">
      <c r="A345" s="7" t="inlineStr">
        <is>
          <t>NTB</t>
        </is>
      </c>
      <c r="B345" s="7" t="inlineStr">
        <is>
          <t>Lâm Đồng</t>
        </is>
      </c>
      <c r="C345" s="7" t="n">
        <v>21687000</v>
      </c>
      <c r="D345" s="7" t="inlineStr">
        <is>
          <t>(LDO) Lang Biang - Đà Lạt 2</t>
        </is>
      </c>
      <c r="E345" s="7" t="inlineStr">
        <is>
          <t>TTS-Bulky</t>
        </is>
      </c>
      <c r="F345" s="36" t="n">
        <v>0</v>
      </c>
      <c r="G345" s="36" t="n">
        <v>0</v>
      </c>
      <c r="H345" s="36" t="n">
        <v>0</v>
      </c>
      <c r="I345" s="36" t="n">
        <v>0</v>
      </c>
      <c r="J345" s="36" t="n">
        <v>0</v>
      </c>
      <c r="K345" s="28" t="n">
        <v>0</v>
      </c>
      <c r="L345" s="36" t="n">
        <v>1</v>
      </c>
      <c r="M345" s="36" t="n">
        <v>0</v>
      </c>
      <c r="N345" s="36" t="n">
        <v>0</v>
      </c>
      <c r="O345" s="36" t="n">
        <v>0</v>
      </c>
      <c r="P345" s="36" t="n">
        <v>0</v>
      </c>
      <c r="Q345" s="36" t="n">
        <v>0</v>
      </c>
      <c r="R345" s="28" t="n">
        <v>0</v>
      </c>
      <c r="S345" s="36" t="n">
        <v>0</v>
      </c>
      <c r="T345" s="36" t="n">
        <v>0</v>
      </c>
      <c r="U345" s="36" t="n">
        <v>0.3</v>
      </c>
      <c r="V345" s="36" t="n">
        <v>0.29</v>
      </c>
      <c r="W345" s="36" t="n">
        <v>0.15</v>
      </c>
      <c r="X345" s="36" t="n">
        <v>0.11</v>
      </c>
      <c r="Y345" s="28" t="n">
        <v>0.15</v>
      </c>
      <c r="Z345" s="36" t="n">
        <v>0.14</v>
      </c>
      <c r="AA345" s="36" t="n">
        <v>0.17</v>
      </c>
      <c r="AB345" s="36" t="n">
        <v>0.17</v>
      </c>
      <c r="AC345" s="36" t="n">
        <v>0.19</v>
      </c>
      <c r="AD345" s="36" t="n">
        <v>0.18</v>
      </c>
      <c r="AE345" s="36" t="n">
        <v>0.11</v>
      </c>
      <c r="AF345" s="28" t="n">
        <v>0.19</v>
      </c>
      <c r="AG345" s="36" t="n">
        <v>0.14</v>
      </c>
      <c r="AH345" s="37" t="n">
        <v>0.14</v>
      </c>
      <c r="AI345" s="37" t="n">
        <v>0.15</v>
      </c>
      <c r="AJ345" s="37" t="n">
        <v>0.18</v>
      </c>
      <c r="AK345" s="37" t="n">
        <v>0.15</v>
      </c>
      <c r="AL345" s="37" t="n">
        <v>0.11</v>
      </c>
      <c r="AM345" s="37" t="n">
        <v>0.19</v>
      </c>
      <c r="AN345" s="37" t="n">
        <v>0.14</v>
      </c>
      <c r="AO345" s="37" t="n">
        <v>0.14</v>
      </c>
      <c r="AP345" s="37" t="n">
        <v>0.13</v>
      </c>
      <c r="AQ345" s="37" t="n">
        <v>0.16</v>
      </c>
      <c r="AR345" s="37" t="n">
        <v>0.15</v>
      </c>
      <c r="AS345" s="37" t="n">
        <v>0.11</v>
      </c>
      <c r="AT345" s="37" t="n">
        <v>0.19</v>
      </c>
      <c r="AU345" s="37" t="n">
        <v>0.18</v>
      </c>
      <c r="AV345" s="37" t="n">
        <v>0.14</v>
      </c>
      <c r="AW345" s="37" t="n">
        <v>0.13</v>
      </c>
      <c r="AX345" s="37" t="n">
        <v>0.16</v>
      </c>
      <c r="AY345" s="37" t="n">
        <v>0.15</v>
      </c>
      <c r="AZ345" s="37" t="n">
        <v>0.11</v>
      </c>
      <c r="BA345" s="37" t="n">
        <v>0.16</v>
      </c>
      <c r="BB345" s="37" t="n">
        <v>0.04</v>
      </c>
      <c r="BC345" s="37" t="n">
        <v>0.02</v>
      </c>
      <c r="BD345" s="37" t="n">
        <v>0.03</v>
      </c>
      <c r="BE345" s="37" t="n">
        <v>0.04</v>
      </c>
      <c r="BF345" s="37" t="n">
        <v>0.04</v>
      </c>
      <c r="BG345" s="37" t="n">
        <v>0.03</v>
      </c>
      <c r="BH345" s="37" t="n">
        <v>0.05</v>
      </c>
      <c r="BI345" s="37" t="n">
        <v>0.04</v>
      </c>
      <c r="BJ345" s="37" t="n">
        <v>0.04</v>
      </c>
      <c r="BK345" s="37" t="n">
        <v>0.04</v>
      </c>
      <c r="BL345" s="37" t="n">
        <v>0.04</v>
      </c>
      <c r="BM345" s="37" t="n">
        <v>0.04</v>
      </c>
      <c r="BN345" s="37" t="n">
        <v>0.03</v>
      </c>
      <c r="BO345" s="37" t="n">
        <v>0.05</v>
      </c>
      <c r="BP345" s="37" t="n">
        <v>0.05</v>
      </c>
      <c r="BQ345" s="37" t="n">
        <v>0.04</v>
      </c>
      <c r="BR345" s="37" t="n">
        <v>0.04</v>
      </c>
      <c r="BS345" s="37" t="n">
        <v>0.04</v>
      </c>
      <c r="BT345" s="37" t="n">
        <v>0.04</v>
      </c>
      <c r="BU345" s="37" t="n">
        <v>0.03</v>
      </c>
      <c r="BV345" s="37" t="n">
        <v>0.05</v>
      </c>
      <c r="BW345" s="37" t="n">
        <v>0.04</v>
      </c>
      <c r="BX345" s="37" t="n">
        <v>0.04</v>
      </c>
      <c r="BY345" s="37" t="n">
        <v>0.04</v>
      </c>
      <c r="BZ345" s="37" t="n">
        <v>0.04</v>
      </c>
      <c r="CA345" s="37" t="n">
        <v>0.04</v>
      </c>
      <c r="CB345" s="37" t="n">
        <v>0.03</v>
      </c>
      <c r="CC345" s="37" t="n">
        <v>7.310000000000002</v>
      </c>
    </row>
    <row r="346" ht="15.75" customHeight="1" s="57">
      <c r="A346" s="7" t="inlineStr">
        <is>
          <t>NTB</t>
        </is>
      </c>
      <c r="B346" s="7" t="inlineStr">
        <is>
          <t>Lâm Đồng</t>
        </is>
      </c>
      <c r="C346" s="7" t="n">
        <v>21688000</v>
      </c>
      <c r="D346" s="7" t="inlineStr">
        <is>
          <t>(LDO) 1 Bảo Lộc</t>
        </is>
      </c>
      <c r="E346" s="7" t="inlineStr">
        <is>
          <t>SME</t>
        </is>
      </c>
      <c r="F346" s="36" t="n">
        <v>41</v>
      </c>
      <c r="G346" s="36" t="n">
        <v>88</v>
      </c>
      <c r="H346" s="36" t="n">
        <v>54</v>
      </c>
      <c r="I346" s="36" t="n">
        <v>50</v>
      </c>
      <c r="J346" s="36" t="n">
        <v>27</v>
      </c>
      <c r="K346" s="28" t="n">
        <v>51</v>
      </c>
      <c r="L346" s="36" t="n">
        <v>42</v>
      </c>
      <c r="M346" s="36" t="n">
        <v>72</v>
      </c>
      <c r="N346" s="36" t="n">
        <v>42</v>
      </c>
      <c r="O346" s="36" t="n">
        <v>68</v>
      </c>
      <c r="P346" s="36" t="n">
        <v>29</v>
      </c>
      <c r="Q346" s="36" t="n">
        <v>31</v>
      </c>
      <c r="R346" s="28" t="n">
        <v>38</v>
      </c>
      <c r="S346" s="36" t="n">
        <v>69</v>
      </c>
      <c r="T346" s="36" t="n">
        <v>39</v>
      </c>
      <c r="U346" s="36" t="n">
        <v>71.09999999999999</v>
      </c>
      <c r="V346" s="36" t="n">
        <v>73.45999999999999</v>
      </c>
      <c r="W346" s="36" t="n">
        <v>71.5</v>
      </c>
      <c r="X346" s="36" t="n">
        <v>58.52</v>
      </c>
      <c r="Y346" s="28" t="n">
        <v>79.22</v>
      </c>
      <c r="Z346" s="36" t="n">
        <v>72.92</v>
      </c>
      <c r="AA346" s="36" t="n">
        <v>71.15000000000001</v>
      </c>
      <c r="AB346" s="36" t="n">
        <v>71.09999999999999</v>
      </c>
      <c r="AC346" s="36" t="n">
        <v>73.45999999999999</v>
      </c>
      <c r="AD346" s="36" t="n">
        <v>77.39</v>
      </c>
      <c r="AE346" s="36" t="n">
        <v>58.52</v>
      </c>
      <c r="AF346" s="28" t="n">
        <v>79.22</v>
      </c>
      <c r="AG346" s="36" t="n">
        <v>72.92</v>
      </c>
      <c r="AH346" s="37" t="n">
        <v>71.15000000000001</v>
      </c>
      <c r="AI346" s="37" t="n">
        <v>71.09999999999999</v>
      </c>
      <c r="AJ346" s="37" t="n">
        <v>73.45999999999999</v>
      </c>
      <c r="AK346" s="37" t="n">
        <v>71.5</v>
      </c>
      <c r="AL346" s="37" t="n">
        <v>58.52</v>
      </c>
      <c r="AM346" s="37" t="n">
        <v>79.22</v>
      </c>
      <c r="AN346" s="37" t="n">
        <v>72.92</v>
      </c>
      <c r="AO346" s="37" t="n">
        <v>71.15000000000001</v>
      </c>
      <c r="AP346" s="37" t="n">
        <v>71.09999999999999</v>
      </c>
      <c r="AQ346" s="37" t="n">
        <v>73.45999999999999</v>
      </c>
      <c r="AR346" s="37" t="n">
        <v>71.5</v>
      </c>
      <c r="AS346" s="37" t="n">
        <v>58.52</v>
      </c>
      <c r="AT346" s="37" t="n">
        <v>79.22</v>
      </c>
      <c r="AU346" s="37" t="n">
        <v>72.92</v>
      </c>
      <c r="AV346" s="37" t="n">
        <v>71.15000000000001</v>
      </c>
      <c r="AW346" s="37" t="n">
        <v>71.09999999999999</v>
      </c>
      <c r="AX346" s="37" t="n">
        <v>73.45999999999999</v>
      </c>
      <c r="AY346" s="37" t="n">
        <v>71.5</v>
      </c>
      <c r="AZ346" s="37" t="n">
        <v>58.52</v>
      </c>
      <c r="BA346" s="37" t="n">
        <v>75.33</v>
      </c>
      <c r="BB346" s="37" t="n">
        <v>66.96000000000001</v>
      </c>
      <c r="BC346" s="37" t="n">
        <v>41.12</v>
      </c>
      <c r="BD346" s="37" t="n">
        <v>32.13</v>
      </c>
      <c r="BE346" s="37" t="n">
        <v>68.86</v>
      </c>
      <c r="BF346" s="37" t="n">
        <v>67.11</v>
      </c>
      <c r="BG346" s="37" t="n">
        <v>60.34</v>
      </c>
      <c r="BH346" s="37" t="n">
        <v>81.75999999999999</v>
      </c>
      <c r="BI346" s="37" t="n">
        <v>75.17</v>
      </c>
      <c r="BJ346" s="37" t="n">
        <v>79.69</v>
      </c>
      <c r="BK346" s="37" t="n">
        <v>73.2</v>
      </c>
      <c r="BL346" s="37" t="n">
        <v>75.73</v>
      </c>
      <c r="BM346" s="37" t="n">
        <v>73.65000000000001</v>
      </c>
      <c r="BN346" s="37" t="n">
        <v>60.34</v>
      </c>
      <c r="BO346" s="37" t="n">
        <v>81.75999999999999</v>
      </c>
      <c r="BP346" s="37" t="n">
        <v>75.17</v>
      </c>
      <c r="BQ346" s="37" t="n">
        <v>73.27</v>
      </c>
      <c r="BR346" s="37" t="n">
        <v>73.2</v>
      </c>
      <c r="BS346" s="37" t="n">
        <v>75.73</v>
      </c>
      <c r="BT346" s="37" t="n">
        <v>73.65000000000001</v>
      </c>
      <c r="BU346" s="37" t="n">
        <v>60.34</v>
      </c>
      <c r="BV346" s="37" t="n">
        <v>81.75999999999999</v>
      </c>
      <c r="BW346" s="37" t="n">
        <v>75.17</v>
      </c>
      <c r="BX346" s="37" t="n">
        <v>73.27</v>
      </c>
      <c r="BY346" s="37" t="n">
        <v>73.2</v>
      </c>
      <c r="BZ346" s="37" t="n">
        <v>75.73</v>
      </c>
      <c r="CA346" s="37" t="n">
        <v>73.65000000000001</v>
      </c>
      <c r="CB346" s="37" t="n">
        <v>60.34</v>
      </c>
      <c r="CC346" s="37" t="n">
        <v>4970.58</v>
      </c>
    </row>
    <row r="347" ht="15.75" customHeight="1" s="57">
      <c r="A347" s="7" t="inlineStr">
        <is>
          <t>NTB</t>
        </is>
      </c>
      <c r="B347" s="7" t="inlineStr">
        <is>
          <t>Lâm Đồng</t>
        </is>
      </c>
      <c r="C347" s="7" t="n">
        <v>21688000</v>
      </c>
      <c r="D347" s="7" t="inlineStr">
        <is>
          <t>(LDO) 1 Bảo Lộc</t>
        </is>
      </c>
      <c r="E347" s="7" t="inlineStr">
        <is>
          <t>SME-Bulky</t>
        </is>
      </c>
      <c r="F347" s="36" t="n">
        <v>11</v>
      </c>
      <c r="G347" s="36" t="n">
        <v>1</v>
      </c>
      <c r="H347" s="36" t="n">
        <v>4</v>
      </c>
      <c r="I347" s="36" t="n">
        <v>3</v>
      </c>
      <c r="J347" s="36" t="n">
        <v>3</v>
      </c>
      <c r="K347" s="28" t="n">
        <v>7</v>
      </c>
      <c r="L347" s="36" t="n">
        <v>5</v>
      </c>
      <c r="M347" s="36" t="n">
        <v>6</v>
      </c>
      <c r="N347" s="36" t="n">
        <v>4</v>
      </c>
      <c r="O347" s="36" t="n">
        <v>5</v>
      </c>
      <c r="P347" s="36" t="n">
        <v>7</v>
      </c>
      <c r="Q347" s="36" t="n">
        <v>2</v>
      </c>
      <c r="R347" s="28" t="n">
        <v>3</v>
      </c>
      <c r="S347" s="36" t="n">
        <v>3</v>
      </c>
      <c r="T347" s="36" t="n">
        <v>7</v>
      </c>
      <c r="U347" s="36" t="n">
        <v>4.1</v>
      </c>
      <c r="V347" s="36" t="n">
        <v>4.05</v>
      </c>
      <c r="W347" s="36" t="n">
        <v>3.94</v>
      </c>
      <c r="X347" s="36" t="n">
        <v>2.82</v>
      </c>
      <c r="Y347" s="28" t="n">
        <v>4.62</v>
      </c>
      <c r="Z347" s="36" t="n">
        <v>4.48</v>
      </c>
      <c r="AA347" s="36" t="n">
        <v>4.43</v>
      </c>
      <c r="AB347" s="36" t="n">
        <v>4.1</v>
      </c>
      <c r="AC347" s="36" t="n">
        <v>4.05</v>
      </c>
      <c r="AD347" s="36" t="n">
        <v>3.1</v>
      </c>
      <c r="AE347" s="36" t="n">
        <v>2.82</v>
      </c>
      <c r="AF347" s="28" t="n">
        <v>4.62</v>
      </c>
      <c r="AG347" s="36" t="n">
        <v>4.48</v>
      </c>
      <c r="AH347" s="37" t="n">
        <v>4.43</v>
      </c>
      <c r="AI347" s="37" t="n">
        <v>4.1</v>
      </c>
      <c r="AJ347" s="37" t="n">
        <v>4.05</v>
      </c>
      <c r="AK347" s="37" t="n">
        <v>3.94</v>
      </c>
      <c r="AL347" s="37" t="n">
        <v>2.82</v>
      </c>
      <c r="AM347" s="37" t="n">
        <v>4.62</v>
      </c>
      <c r="AN347" s="37" t="n">
        <v>4.48</v>
      </c>
      <c r="AO347" s="37" t="n">
        <v>4.43</v>
      </c>
      <c r="AP347" s="37" t="n">
        <v>4.1</v>
      </c>
      <c r="AQ347" s="37" t="n">
        <v>4.05</v>
      </c>
      <c r="AR347" s="37" t="n">
        <v>3.94</v>
      </c>
      <c r="AS347" s="37" t="n">
        <v>2.82</v>
      </c>
      <c r="AT347" s="37" t="n">
        <v>4.62</v>
      </c>
      <c r="AU347" s="37" t="n">
        <v>4.48</v>
      </c>
      <c r="AV347" s="37" t="n">
        <v>4.43</v>
      </c>
      <c r="AW347" s="37" t="n">
        <v>4.1</v>
      </c>
      <c r="AX347" s="37" t="n">
        <v>4.05</v>
      </c>
      <c r="AY347" s="37" t="n">
        <v>3.94</v>
      </c>
      <c r="AZ347" s="37" t="n">
        <v>2.82</v>
      </c>
      <c r="BA347" s="37" t="n">
        <v>5.05</v>
      </c>
      <c r="BB347" s="37" t="n">
        <v>2.66</v>
      </c>
      <c r="BC347" s="37" t="n">
        <v>1.36</v>
      </c>
      <c r="BD347" s="37" t="n">
        <v>1.03</v>
      </c>
      <c r="BE347" s="37" t="n">
        <v>2.39</v>
      </c>
      <c r="BF347" s="37" t="n">
        <v>2.23</v>
      </c>
      <c r="BG347" s="37" t="n">
        <v>1.55</v>
      </c>
      <c r="BH347" s="37" t="n">
        <v>2.69</v>
      </c>
      <c r="BI347" s="37" t="n">
        <v>2.66</v>
      </c>
      <c r="BJ347" s="37" t="n">
        <v>2.04</v>
      </c>
      <c r="BK347" s="37" t="n">
        <v>2.36</v>
      </c>
      <c r="BL347" s="37" t="n">
        <v>2.36</v>
      </c>
      <c r="BM347" s="37" t="n">
        <v>2.23</v>
      </c>
      <c r="BN347" s="37" t="n">
        <v>1.55</v>
      </c>
      <c r="BO347" s="37" t="n">
        <v>2.69</v>
      </c>
      <c r="BP347" s="37" t="n">
        <v>2.66</v>
      </c>
      <c r="BQ347" s="37" t="n">
        <v>2.52</v>
      </c>
      <c r="BR347" s="37" t="n">
        <v>2.36</v>
      </c>
      <c r="BS347" s="37" t="n">
        <v>2.36</v>
      </c>
      <c r="BT347" s="37" t="n">
        <v>2.23</v>
      </c>
      <c r="BU347" s="37" t="n">
        <v>1.55</v>
      </c>
      <c r="BV347" s="37" t="n">
        <v>2.69</v>
      </c>
      <c r="BW347" s="37" t="n">
        <v>2.66</v>
      </c>
      <c r="BX347" s="37" t="n">
        <v>2.52</v>
      </c>
      <c r="BY347" s="37" t="n">
        <v>2.36</v>
      </c>
      <c r="BZ347" s="37" t="n">
        <v>2.36</v>
      </c>
      <c r="CA347" s="37" t="n">
        <v>2.23</v>
      </c>
      <c r="CB347" s="37" t="n">
        <v>1.55</v>
      </c>
      <c r="CC347" s="37" t="n">
        <v>263.7300000000001</v>
      </c>
    </row>
    <row r="348" ht="15.75" customHeight="1" s="57">
      <c r="A348" s="7" t="inlineStr">
        <is>
          <t>NTB</t>
        </is>
      </c>
      <c r="B348" s="7" t="inlineStr">
        <is>
          <t>Lâm Đồng</t>
        </is>
      </c>
      <c r="C348" s="7" t="n">
        <v>21688000</v>
      </c>
      <c r="D348" s="7" t="inlineStr">
        <is>
          <t>(LDO) 1 Bảo Lộc</t>
        </is>
      </c>
      <c r="E348" s="7" t="inlineStr">
        <is>
          <t>Shopee</t>
        </is>
      </c>
      <c r="F348" s="36" t="n">
        <v>42</v>
      </c>
      <c r="G348" s="36" t="n">
        <v>44</v>
      </c>
      <c r="H348" s="36" t="n">
        <v>23</v>
      </c>
      <c r="I348" s="36" t="n">
        <v>41</v>
      </c>
      <c r="J348" s="36" t="n">
        <v>32</v>
      </c>
      <c r="K348" s="28" t="n">
        <v>49</v>
      </c>
      <c r="L348" s="36" t="n">
        <v>30</v>
      </c>
      <c r="M348" s="36" t="n">
        <v>34</v>
      </c>
      <c r="N348" s="36" t="n">
        <v>28</v>
      </c>
      <c r="O348" s="36" t="n">
        <v>33</v>
      </c>
      <c r="P348" s="36" t="n">
        <v>30</v>
      </c>
      <c r="Q348" s="36" t="n">
        <v>40</v>
      </c>
      <c r="R348" s="28" t="n">
        <v>39</v>
      </c>
      <c r="S348" s="36" t="n">
        <v>36</v>
      </c>
      <c r="T348" s="36" t="n">
        <v>43</v>
      </c>
      <c r="U348" s="36" t="n">
        <v>40.29</v>
      </c>
      <c r="V348" s="36" t="n">
        <v>40.7</v>
      </c>
      <c r="W348" s="36" t="n">
        <v>38.99</v>
      </c>
      <c r="X348" s="36" t="n">
        <v>33.7</v>
      </c>
      <c r="Y348" s="28" t="n">
        <v>54.54</v>
      </c>
      <c r="Z348" s="36" t="n">
        <v>43.24</v>
      </c>
      <c r="AA348" s="36" t="n">
        <v>52.83</v>
      </c>
      <c r="AB348" s="36" t="n">
        <v>41.38</v>
      </c>
      <c r="AC348" s="36" t="n">
        <v>33.24</v>
      </c>
      <c r="AD348" s="36" t="n">
        <v>88.34999999999999</v>
      </c>
      <c r="AE348" s="36" t="n">
        <v>36.14</v>
      </c>
      <c r="AF348" s="28" t="n">
        <v>59.89</v>
      </c>
      <c r="AG348" s="36" t="n">
        <v>45.37</v>
      </c>
      <c r="AH348" s="37" t="n">
        <v>47.86</v>
      </c>
      <c r="AI348" s="37" t="n">
        <v>40.29</v>
      </c>
      <c r="AJ348" s="37" t="n">
        <v>40.7</v>
      </c>
      <c r="AK348" s="37" t="n">
        <v>43.03</v>
      </c>
      <c r="AL348" s="37" t="n">
        <v>60.51</v>
      </c>
      <c r="AM348" s="37" t="n">
        <v>54.54</v>
      </c>
      <c r="AN348" s="37" t="n">
        <v>43.24</v>
      </c>
      <c r="AO348" s="37" t="n">
        <v>47.86</v>
      </c>
      <c r="AP348" s="37" t="n">
        <v>44.54</v>
      </c>
      <c r="AQ348" s="37" t="n">
        <v>32.51</v>
      </c>
      <c r="AR348" s="37" t="n">
        <v>38.99</v>
      </c>
      <c r="AS348" s="37" t="n">
        <v>33.7</v>
      </c>
      <c r="AT348" s="37" t="n">
        <v>54.54</v>
      </c>
      <c r="AU348" s="37" t="n">
        <v>47.55</v>
      </c>
      <c r="AV348" s="37" t="n">
        <v>49.05</v>
      </c>
      <c r="AW348" s="37" t="n">
        <v>40.29</v>
      </c>
      <c r="AX348" s="37" t="n">
        <v>40.7</v>
      </c>
      <c r="AY348" s="37" t="n">
        <v>38.99</v>
      </c>
      <c r="AZ348" s="37" t="n">
        <v>33.7</v>
      </c>
      <c r="BA348" s="37" t="n">
        <v>46.92</v>
      </c>
      <c r="BB348" s="37" t="n">
        <v>32.25</v>
      </c>
      <c r="BC348" s="37" t="n">
        <v>14.47</v>
      </c>
      <c r="BD348" s="37" t="n">
        <v>24.16</v>
      </c>
      <c r="BE348" s="37" t="n">
        <v>48.43</v>
      </c>
      <c r="BF348" s="37" t="n">
        <v>46.66</v>
      </c>
      <c r="BG348" s="37" t="n">
        <v>32.92</v>
      </c>
      <c r="BH348" s="37" t="n">
        <v>52</v>
      </c>
      <c r="BI348" s="37" t="n">
        <v>34.12</v>
      </c>
      <c r="BJ348" s="37" t="n">
        <v>125.16</v>
      </c>
      <c r="BK348" s="37" t="n">
        <v>41.27</v>
      </c>
      <c r="BL348" s="37" t="n">
        <v>40.7</v>
      </c>
      <c r="BM348" s="37" t="n">
        <v>37.18</v>
      </c>
      <c r="BN348" s="37" t="n">
        <v>32.3</v>
      </c>
      <c r="BO348" s="37" t="n">
        <v>52</v>
      </c>
      <c r="BP348" s="37" t="n">
        <v>45.16</v>
      </c>
      <c r="BQ348" s="37" t="n">
        <v>69.79000000000001</v>
      </c>
      <c r="BR348" s="37" t="n">
        <v>38.37</v>
      </c>
      <c r="BS348" s="37" t="n">
        <v>38.78</v>
      </c>
      <c r="BT348" s="37" t="n">
        <v>37.18</v>
      </c>
      <c r="BU348" s="37" t="n">
        <v>35.31</v>
      </c>
      <c r="BV348" s="37" t="n">
        <v>41.69</v>
      </c>
      <c r="BW348" s="37" t="n">
        <v>41.17</v>
      </c>
      <c r="BX348" s="37" t="n">
        <v>45.47</v>
      </c>
      <c r="BY348" s="37" t="n">
        <v>38.37</v>
      </c>
      <c r="BZ348" s="37" t="n">
        <v>42.46</v>
      </c>
      <c r="CA348" s="37" t="n">
        <v>38.01</v>
      </c>
      <c r="CB348" s="37" t="n">
        <v>32.3</v>
      </c>
      <c r="CC348" s="37" t="n">
        <v>3189.849999999999</v>
      </c>
    </row>
    <row r="349" ht="15.75" customHeight="1" s="57">
      <c r="A349" s="7" t="inlineStr">
        <is>
          <t>NTB</t>
        </is>
      </c>
      <c r="B349" s="7" t="inlineStr">
        <is>
          <t>Lâm Đồng</t>
        </is>
      </c>
      <c r="C349" s="7" t="n">
        <v>21688000</v>
      </c>
      <c r="D349" s="7" t="inlineStr">
        <is>
          <t>(LDO) 1 Bảo Lộc</t>
        </is>
      </c>
      <c r="E349" s="7" t="inlineStr">
        <is>
          <t>Shopee-Bulky</t>
        </is>
      </c>
      <c r="F349" s="36" t="n">
        <v>23.51</v>
      </c>
      <c r="G349" s="36" t="n">
        <v>9.140000000000001</v>
      </c>
      <c r="H349" s="36" t="n">
        <v>12.41</v>
      </c>
      <c r="I349" s="36" t="n">
        <v>12.41</v>
      </c>
      <c r="J349" s="36" t="n">
        <v>6.53</v>
      </c>
      <c r="K349" s="28" t="n">
        <v>20.9</v>
      </c>
      <c r="L349" s="36" t="n">
        <v>7.84</v>
      </c>
      <c r="M349" s="36" t="n">
        <v>10.45</v>
      </c>
      <c r="N349" s="36" t="n">
        <v>7.18</v>
      </c>
      <c r="O349" s="36" t="n">
        <v>12.41</v>
      </c>
      <c r="P349" s="36" t="n">
        <v>15.68</v>
      </c>
      <c r="Q349" s="36" t="n">
        <v>28.09</v>
      </c>
      <c r="R349" s="28" t="n">
        <v>16.33</v>
      </c>
      <c r="S349" s="36" t="n">
        <v>9.140000000000001</v>
      </c>
      <c r="T349" s="36" t="n">
        <v>7.84</v>
      </c>
      <c r="U349" s="36" t="n">
        <v>15.19</v>
      </c>
      <c r="V349" s="36" t="n">
        <v>14.65</v>
      </c>
      <c r="W349" s="36" t="n">
        <v>19.26</v>
      </c>
      <c r="X349" s="36" t="n">
        <v>11.4</v>
      </c>
      <c r="Y349" s="28" t="n">
        <v>23.88</v>
      </c>
      <c r="Z349" s="36" t="n">
        <v>17.36</v>
      </c>
      <c r="AA349" s="36" t="n">
        <v>30.66</v>
      </c>
      <c r="AB349" s="36" t="n">
        <v>17.36</v>
      </c>
      <c r="AC349" s="36" t="n">
        <v>20.35</v>
      </c>
      <c r="AD349" s="36" t="n">
        <v>61.86</v>
      </c>
      <c r="AE349" s="36" t="n">
        <v>53.45</v>
      </c>
      <c r="AF349" s="28" t="n">
        <v>51.01</v>
      </c>
      <c r="AG349" s="36" t="n">
        <v>26.86</v>
      </c>
      <c r="AH349" s="37" t="n">
        <v>16.55</v>
      </c>
      <c r="AI349" s="37" t="n">
        <v>19.26</v>
      </c>
      <c r="AJ349" s="37" t="n">
        <v>16.01</v>
      </c>
      <c r="AK349" s="37" t="n">
        <v>38.26</v>
      </c>
      <c r="AL349" s="37" t="n">
        <v>20.89</v>
      </c>
      <c r="AM349" s="37" t="n">
        <v>31.47</v>
      </c>
      <c r="AN349" s="37" t="n">
        <v>17.36</v>
      </c>
      <c r="AO349" s="37" t="n">
        <v>16.82</v>
      </c>
      <c r="AP349" s="37" t="n">
        <v>34.19</v>
      </c>
      <c r="AQ349" s="37" t="n">
        <v>22.79</v>
      </c>
      <c r="AR349" s="37" t="n">
        <v>17.09</v>
      </c>
      <c r="AS349" s="37" t="n">
        <v>8.68</v>
      </c>
      <c r="AT349" s="37" t="n">
        <v>23.06</v>
      </c>
      <c r="AU349" s="37" t="n">
        <v>41.24</v>
      </c>
      <c r="AV349" s="37" t="n">
        <v>42.05</v>
      </c>
      <c r="AW349" s="37" t="n">
        <v>16.55</v>
      </c>
      <c r="AX349" s="37" t="n">
        <v>16.01</v>
      </c>
      <c r="AY349" s="37" t="n">
        <v>16.55</v>
      </c>
      <c r="AZ349" s="37" t="n">
        <v>8.68</v>
      </c>
      <c r="BA349" s="37" t="n">
        <v>21.43</v>
      </c>
      <c r="BB349" s="37" t="n">
        <v>13.29</v>
      </c>
      <c r="BC349" s="37" t="n">
        <v>2.71</v>
      </c>
      <c r="BD349" s="37" t="n">
        <v>5.43</v>
      </c>
      <c r="BE349" s="37" t="n">
        <v>24.96</v>
      </c>
      <c r="BF349" s="37" t="n">
        <v>20.89</v>
      </c>
      <c r="BG349" s="37" t="n">
        <v>13.29</v>
      </c>
      <c r="BH349" s="37" t="n">
        <v>30.39</v>
      </c>
      <c r="BI349" s="37" t="n">
        <v>22.52</v>
      </c>
      <c r="BJ349" s="37" t="n">
        <v>111.51</v>
      </c>
      <c r="BK349" s="37" t="n">
        <v>51.01</v>
      </c>
      <c r="BL349" s="37" t="n">
        <v>28.76</v>
      </c>
      <c r="BM349" s="37" t="n">
        <v>17.36</v>
      </c>
      <c r="BN349" s="37" t="n">
        <v>12.48</v>
      </c>
      <c r="BO349" s="37" t="n">
        <v>36.36</v>
      </c>
      <c r="BP349" s="37" t="n">
        <v>52.64</v>
      </c>
      <c r="BQ349" s="37" t="n">
        <v>41.24</v>
      </c>
      <c r="BR349" s="37" t="n">
        <v>20.89</v>
      </c>
      <c r="BS349" s="37" t="n">
        <v>20.35</v>
      </c>
      <c r="BT349" s="37" t="n">
        <v>16.55</v>
      </c>
      <c r="BU349" s="37" t="n">
        <v>27.13</v>
      </c>
      <c r="BV349" s="37" t="n">
        <v>32.56</v>
      </c>
      <c r="BW349" s="37" t="n">
        <v>22.52</v>
      </c>
      <c r="BX349" s="37" t="n">
        <v>21.71</v>
      </c>
      <c r="BY349" s="37" t="n">
        <v>20.89</v>
      </c>
      <c r="BZ349" s="37" t="n">
        <v>41.51</v>
      </c>
      <c r="CA349" s="37" t="n">
        <v>20.89</v>
      </c>
      <c r="CB349" s="37" t="n">
        <v>11.67</v>
      </c>
      <c r="CC349" s="37" t="n">
        <v>1749.6</v>
      </c>
    </row>
    <row r="350" ht="15.75" customHeight="1" s="57">
      <c r="A350" s="7" t="inlineStr">
        <is>
          <t>NTB</t>
        </is>
      </c>
      <c r="B350" s="7" t="inlineStr">
        <is>
          <t>Lâm Đồng</t>
        </is>
      </c>
      <c r="C350" s="7" t="n">
        <v>21688000</v>
      </c>
      <c r="D350" s="7" t="inlineStr">
        <is>
          <t>(LDO) 1 Bảo Lộc</t>
        </is>
      </c>
      <c r="E350" s="7" t="inlineStr">
        <is>
          <t>Shopee-Bulky (10-15kg)</t>
        </is>
      </c>
      <c r="F350" s="36" t="n">
        <v>12.49</v>
      </c>
      <c r="G350" s="36" t="n">
        <v>4.86</v>
      </c>
      <c r="H350" s="36" t="n">
        <v>6.59</v>
      </c>
      <c r="I350" s="36" t="n">
        <v>6.59</v>
      </c>
      <c r="J350" s="36" t="n">
        <v>3.47</v>
      </c>
      <c r="K350" s="28" t="n">
        <v>11.1</v>
      </c>
      <c r="L350" s="36" t="n">
        <v>4.16</v>
      </c>
      <c r="M350" s="36" t="n">
        <v>5.55</v>
      </c>
      <c r="N350" s="36" t="n">
        <v>3.82</v>
      </c>
      <c r="O350" s="36" t="n">
        <v>6.59</v>
      </c>
      <c r="P350" s="36" t="n">
        <v>8.32</v>
      </c>
      <c r="Q350" s="36" t="n">
        <v>14.91</v>
      </c>
      <c r="R350" s="28" t="n">
        <v>8.67</v>
      </c>
      <c r="S350" s="36" t="n">
        <v>4.86</v>
      </c>
      <c r="T350" s="36" t="n">
        <v>4.16</v>
      </c>
      <c r="U350" s="36" t="n">
        <v>7.87</v>
      </c>
      <c r="V350" s="36" t="n">
        <v>7.6</v>
      </c>
      <c r="W350" s="36" t="n">
        <v>9.5</v>
      </c>
      <c r="X350" s="36" t="n">
        <v>5.7</v>
      </c>
      <c r="Y350" s="28" t="n">
        <v>13.84</v>
      </c>
      <c r="Z350" s="36" t="n">
        <v>9.220000000000001</v>
      </c>
      <c r="AA350" s="36" t="n">
        <v>16.82</v>
      </c>
      <c r="AB350" s="36" t="n">
        <v>8.68</v>
      </c>
      <c r="AC350" s="36" t="n">
        <v>9.220000000000001</v>
      </c>
      <c r="AD350" s="36" t="n">
        <v>45.04</v>
      </c>
      <c r="AE350" s="36" t="n">
        <v>30.66</v>
      </c>
      <c r="AF350" s="28" t="n">
        <v>25.5</v>
      </c>
      <c r="AG350" s="36" t="n">
        <v>19.81</v>
      </c>
      <c r="AH350" s="37" t="n">
        <v>9.220000000000001</v>
      </c>
      <c r="AI350" s="37" t="n">
        <v>9.220000000000001</v>
      </c>
      <c r="AJ350" s="37" t="n">
        <v>9.220000000000001</v>
      </c>
      <c r="AK350" s="37" t="n">
        <v>23.88</v>
      </c>
      <c r="AL350" s="37" t="n">
        <v>9.5</v>
      </c>
      <c r="AM350" s="37" t="n">
        <v>18.99</v>
      </c>
      <c r="AN350" s="37" t="n">
        <v>9.220000000000001</v>
      </c>
      <c r="AO350" s="37" t="n">
        <v>8.68</v>
      </c>
      <c r="AP350" s="37" t="n">
        <v>17.36</v>
      </c>
      <c r="AQ350" s="37" t="n">
        <v>11.4</v>
      </c>
      <c r="AR350" s="37" t="n">
        <v>8.68</v>
      </c>
      <c r="AS350" s="37" t="n">
        <v>4.34</v>
      </c>
      <c r="AT350" s="37" t="n">
        <v>13.57</v>
      </c>
      <c r="AU350" s="37" t="n">
        <v>21.71</v>
      </c>
      <c r="AV350" s="37" t="n">
        <v>24.15</v>
      </c>
      <c r="AW350" s="37" t="n">
        <v>8.140000000000001</v>
      </c>
      <c r="AX350" s="37" t="n">
        <v>7.6</v>
      </c>
      <c r="AY350" s="37" t="n">
        <v>8.41</v>
      </c>
      <c r="AZ350" s="37" t="n">
        <v>4.34</v>
      </c>
      <c r="BA350" s="37" t="n">
        <v>10.31</v>
      </c>
      <c r="BB350" s="37" t="n">
        <v>6.51</v>
      </c>
      <c r="BC350" s="37" t="n">
        <v>1.09</v>
      </c>
      <c r="BD350" s="37" t="n">
        <v>2.17</v>
      </c>
      <c r="BE350" s="37" t="n">
        <v>12.75</v>
      </c>
      <c r="BF350" s="37" t="n">
        <v>10.58</v>
      </c>
      <c r="BG350" s="37" t="n">
        <v>5.97</v>
      </c>
      <c r="BH350" s="37" t="n">
        <v>18.45</v>
      </c>
      <c r="BI350" s="37" t="n">
        <v>10.04</v>
      </c>
      <c r="BJ350" s="37" t="n">
        <v>62.4</v>
      </c>
      <c r="BK350" s="37" t="n">
        <v>22.52</v>
      </c>
      <c r="BL350" s="37" t="n">
        <v>16.82</v>
      </c>
      <c r="BM350" s="37" t="n">
        <v>8.140000000000001</v>
      </c>
      <c r="BN350" s="37" t="n">
        <v>5.97</v>
      </c>
      <c r="BO350" s="37" t="n">
        <v>17.36</v>
      </c>
      <c r="BP350" s="37" t="n">
        <v>22.52</v>
      </c>
      <c r="BQ350" s="37" t="n">
        <v>21.16</v>
      </c>
      <c r="BR350" s="37" t="n">
        <v>10.58</v>
      </c>
      <c r="BS350" s="37" t="n">
        <v>9.77</v>
      </c>
      <c r="BT350" s="37" t="n">
        <v>8.140000000000001</v>
      </c>
      <c r="BU350" s="37" t="n">
        <v>10.58</v>
      </c>
      <c r="BV350" s="37" t="n">
        <v>19.81</v>
      </c>
      <c r="BW350" s="37" t="n">
        <v>10.04</v>
      </c>
      <c r="BX350" s="37" t="n">
        <v>11.4</v>
      </c>
      <c r="BY350" s="37" t="n">
        <v>10.58</v>
      </c>
      <c r="BZ350" s="37" t="n">
        <v>19.53</v>
      </c>
      <c r="CA350" s="37" t="n">
        <v>10.58</v>
      </c>
      <c r="CB350" s="37" t="n">
        <v>5.97</v>
      </c>
      <c r="CC350" s="37" t="n">
        <v>924.97</v>
      </c>
    </row>
    <row r="351" ht="15.75" customHeight="1" s="57">
      <c r="A351" s="7" t="inlineStr">
        <is>
          <t>NTB</t>
        </is>
      </c>
      <c r="B351" s="7" t="inlineStr">
        <is>
          <t>Lâm Đồng</t>
        </is>
      </c>
      <c r="C351" s="7" t="n">
        <v>21688000</v>
      </c>
      <c r="D351" s="7" t="inlineStr">
        <is>
          <t>(LDO) 1 Bảo Lộc</t>
        </is>
      </c>
      <c r="E351" s="7" t="inlineStr">
        <is>
          <t>TTS</t>
        </is>
      </c>
      <c r="F351" s="36" t="n">
        <v>49</v>
      </c>
      <c r="G351" s="36" t="n">
        <v>45</v>
      </c>
      <c r="H351" s="36" t="n">
        <v>51</v>
      </c>
      <c r="I351" s="36" t="n">
        <v>63</v>
      </c>
      <c r="J351" s="36" t="n">
        <v>38</v>
      </c>
      <c r="K351" s="28" t="n">
        <v>66</v>
      </c>
      <c r="L351" s="36" t="n">
        <v>54</v>
      </c>
      <c r="M351" s="36" t="n">
        <v>45</v>
      </c>
      <c r="N351" s="36" t="n">
        <v>55</v>
      </c>
      <c r="O351" s="36" t="n">
        <v>49</v>
      </c>
      <c r="P351" s="36" t="n">
        <v>71</v>
      </c>
      <c r="Q351" s="36" t="n">
        <v>78</v>
      </c>
      <c r="R351" s="28" t="n">
        <v>44</v>
      </c>
      <c r="S351" s="36" t="n">
        <v>64</v>
      </c>
      <c r="T351" s="36" t="n">
        <v>49</v>
      </c>
      <c r="U351" s="36" t="n">
        <v>26.96</v>
      </c>
      <c r="V351" s="36" t="n">
        <v>26.66</v>
      </c>
      <c r="W351" s="36" t="n">
        <v>26</v>
      </c>
      <c r="X351" s="36" t="n">
        <v>20.92</v>
      </c>
      <c r="Y351" s="28" t="n">
        <v>30.56</v>
      </c>
      <c r="Z351" s="36" t="n">
        <v>25.97</v>
      </c>
      <c r="AA351" s="36" t="n">
        <v>28.9</v>
      </c>
      <c r="AB351" s="36" t="n">
        <v>32.09</v>
      </c>
      <c r="AC351" s="36" t="n">
        <v>34.08</v>
      </c>
      <c r="AD351" s="36" t="n">
        <v>48.21</v>
      </c>
      <c r="AE351" s="36" t="n">
        <v>24.36</v>
      </c>
      <c r="AF351" s="28" t="n">
        <v>31.38</v>
      </c>
      <c r="AG351" s="36" t="n">
        <v>26.55</v>
      </c>
      <c r="AH351" s="37" t="n">
        <v>26.16</v>
      </c>
      <c r="AI351" s="37" t="n">
        <v>30.26</v>
      </c>
      <c r="AJ351" s="37" t="n">
        <v>32.34</v>
      </c>
      <c r="AK351" s="37" t="n">
        <v>31.79</v>
      </c>
      <c r="AL351" s="37" t="n">
        <v>22.78</v>
      </c>
      <c r="AM351" s="37" t="n">
        <v>31</v>
      </c>
      <c r="AN351" s="37" t="n">
        <v>26.77</v>
      </c>
      <c r="AO351" s="37" t="n">
        <v>26.55</v>
      </c>
      <c r="AP351" s="37" t="n">
        <v>25.95</v>
      </c>
      <c r="AQ351" s="37" t="n">
        <v>26.14</v>
      </c>
      <c r="AR351" s="37" t="n">
        <v>25.59</v>
      </c>
      <c r="AS351" s="37" t="n">
        <v>20.98</v>
      </c>
      <c r="AT351" s="37" t="n">
        <v>33.54</v>
      </c>
      <c r="AU351" s="37" t="n">
        <v>30.37</v>
      </c>
      <c r="AV351" s="37" t="n">
        <v>26.9</v>
      </c>
      <c r="AW351" s="37" t="n">
        <v>25.62</v>
      </c>
      <c r="AX351" s="37" t="n">
        <v>25.48</v>
      </c>
      <c r="AY351" s="37" t="n">
        <v>25.29</v>
      </c>
      <c r="AZ351" s="37" t="n">
        <v>20.98</v>
      </c>
      <c r="BA351" s="37" t="n">
        <v>30.15</v>
      </c>
      <c r="BB351" s="37" t="n">
        <v>28.4</v>
      </c>
      <c r="BC351" s="37" t="n">
        <v>14.28</v>
      </c>
      <c r="BD351" s="37" t="n">
        <v>20.37</v>
      </c>
      <c r="BE351" s="37" t="n">
        <v>48.4</v>
      </c>
      <c r="BF351" s="37" t="n">
        <v>46.84</v>
      </c>
      <c r="BG351" s="37" t="n">
        <v>22.83</v>
      </c>
      <c r="BH351" s="37" t="n">
        <v>33.46</v>
      </c>
      <c r="BI351" s="37" t="n">
        <v>28.4</v>
      </c>
      <c r="BJ351" s="37" t="n">
        <v>36.71</v>
      </c>
      <c r="BK351" s="37" t="n">
        <v>28.79</v>
      </c>
      <c r="BL351" s="37" t="n">
        <v>28.87</v>
      </c>
      <c r="BM351" s="37" t="n">
        <v>27.97</v>
      </c>
      <c r="BN351" s="37" t="n">
        <v>22.83</v>
      </c>
      <c r="BO351" s="37" t="n">
        <v>33.46</v>
      </c>
      <c r="BP351" s="37" t="n">
        <v>28.4</v>
      </c>
      <c r="BQ351" s="37" t="n">
        <v>28.02</v>
      </c>
      <c r="BR351" s="37" t="n">
        <v>28.79</v>
      </c>
      <c r="BS351" s="37" t="n">
        <v>28.87</v>
      </c>
      <c r="BT351" s="37" t="n">
        <v>27.97</v>
      </c>
      <c r="BU351" s="37" t="n">
        <v>22.83</v>
      </c>
      <c r="BV351" s="37" t="n">
        <v>33.46</v>
      </c>
      <c r="BW351" s="37" t="n">
        <v>28.4</v>
      </c>
      <c r="BX351" s="37" t="n">
        <v>28.02</v>
      </c>
      <c r="BY351" s="37" t="n">
        <v>28.79</v>
      </c>
      <c r="BZ351" s="37" t="n">
        <v>28.87</v>
      </c>
      <c r="CA351" s="37" t="n">
        <v>27.97</v>
      </c>
      <c r="CB351" s="37" t="n">
        <v>22.83</v>
      </c>
      <c r="CC351" s="37" t="n">
        <v>2533.109999999999</v>
      </c>
    </row>
    <row r="352" ht="15.75" customHeight="1" s="57">
      <c r="A352" s="7" t="inlineStr">
        <is>
          <t>NTB</t>
        </is>
      </c>
      <c r="B352" s="7" t="inlineStr">
        <is>
          <t>Lâm Đồng</t>
        </is>
      </c>
      <c r="C352" s="7" t="n">
        <v>21688000</v>
      </c>
      <c r="D352" s="7" t="inlineStr">
        <is>
          <t>(LDO) 1 Bảo Lộc</t>
        </is>
      </c>
      <c r="E352" s="7" t="inlineStr">
        <is>
          <t>TTS-Bulky</t>
        </is>
      </c>
      <c r="F352" s="36" t="n">
        <v>46</v>
      </c>
      <c r="G352" s="36" t="n">
        <v>45</v>
      </c>
      <c r="H352" s="36" t="n">
        <v>38</v>
      </c>
      <c r="I352" s="36" t="n">
        <v>61</v>
      </c>
      <c r="J352" s="36" t="n">
        <v>29</v>
      </c>
      <c r="K352" s="28" t="n">
        <v>63</v>
      </c>
      <c r="L352" s="36" t="n">
        <v>18</v>
      </c>
      <c r="M352" s="36" t="n">
        <v>39</v>
      </c>
      <c r="N352" s="36" t="n">
        <v>50</v>
      </c>
      <c r="O352" s="36" t="n">
        <v>51</v>
      </c>
      <c r="P352" s="36" t="n">
        <v>61</v>
      </c>
      <c r="Q352" s="36" t="n">
        <v>59</v>
      </c>
      <c r="R352" s="28" t="n">
        <v>43</v>
      </c>
      <c r="S352" s="36" t="n">
        <v>59</v>
      </c>
      <c r="T352" s="36" t="n">
        <v>54</v>
      </c>
      <c r="U352" s="36" t="n">
        <v>191.92</v>
      </c>
      <c r="V352" s="36" t="n">
        <v>189.04</v>
      </c>
      <c r="W352" s="36" t="n">
        <v>94.04000000000001</v>
      </c>
      <c r="X352" s="36" t="n">
        <v>69.09</v>
      </c>
      <c r="Y352" s="28" t="n">
        <v>98.84</v>
      </c>
      <c r="Z352" s="36" t="n">
        <v>89.23999999999999</v>
      </c>
      <c r="AA352" s="36" t="n">
        <v>111.31</v>
      </c>
      <c r="AB352" s="36" t="n">
        <v>110.35</v>
      </c>
      <c r="AC352" s="36" t="n">
        <v>118.99</v>
      </c>
      <c r="AD352" s="36" t="n">
        <v>115.15</v>
      </c>
      <c r="AE352" s="36" t="n">
        <v>71.01000000000001</v>
      </c>
      <c r="AF352" s="28" t="n">
        <v>118.99</v>
      </c>
      <c r="AG352" s="36" t="n">
        <v>90.2</v>
      </c>
      <c r="AH352" s="37" t="n">
        <v>90.2</v>
      </c>
      <c r="AI352" s="37" t="n">
        <v>93.08</v>
      </c>
      <c r="AJ352" s="37" t="n">
        <v>115.15</v>
      </c>
      <c r="AK352" s="37" t="n">
        <v>95.95999999999999</v>
      </c>
      <c r="AL352" s="37" t="n">
        <v>69.09</v>
      </c>
      <c r="AM352" s="37" t="n">
        <v>118.99</v>
      </c>
      <c r="AN352" s="37" t="n">
        <v>90.2</v>
      </c>
      <c r="AO352" s="37" t="n">
        <v>90.2</v>
      </c>
      <c r="AP352" s="37" t="n">
        <v>84.44</v>
      </c>
      <c r="AQ352" s="37" t="n">
        <v>100.76</v>
      </c>
      <c r="AR352" s="37" t="n">
        <v>94.04000000000001</v>
      </c>
      <c r="AS352" s="37" t="n">
        <v>69.09</v>
      </c>
      <c r="AT352" s="37" t="n">
        <v>121.87</v>
      </c>
      <c r="AU352" s="37" t="n">
        <v>115.15</v>
      </c>
      <c r="AV352" s="37" t="n">
        <v>90.2</v>
      </c>
      <c r="AW352" s="37" t="n">
        <v>84.44</v>
      </c>
      <c r="AX352" s="37" t="n">
        <v>100.76</v>
      </c>
      <c r="AY352" s="37" t="n">
        <v>94.04000000000001</v>
      </c>
      <c r="AZ352" s="37" t="n">
        <v>69.09</v>
      </c>
      <c r="BA352" s="37" t="n">
        <v>103.63</v>
      </c>
      <c r="BB352" s="37" t="n">
        <v>25.91</v>
      </c>
      <c r="BC352" s="37" t="n">
        <v>12.47</v>
      </c>
      <c r="BD352" s="37" t="n">
        <v>21.11</v>
      </c>
      <c r="BE352" s="37" t="n">
        <v>25.91</v>
      </c>
      <c r="BF352" s="37" t="n">
        <v>26.87</v>
      </c>
      <c r="BG352" s="37" t="n">
        <v>18.23</v>
      </c>
      <c r="BH352" s="37" t="n">
        <v>31.67</v>
      </c>
      <c r="BI352" s="37" t="n">
        <v>28.79</v>
      </c>
      <c r="BJ352" s="37" t="n">
        <v>28.79</v>
      </c>
      <c r="BK352" s="37" t="n">
        <v>26.87</v>
      </c>
      <c r="BL352" s="37" t="n">
        <v>25.91</v>
      </c>
      <c r="BM352" s="37" t="n">
        <v>26.87</v>
      </c>
      <c r="BN352" s="37" t="n">
        <v>20.15</v>
      </c>
      <c r="BO352" s="37" t="n">
        <v>33.59</v>
      </c>
      <c r="BP352" s="37" t="n">
        <v>30.71</v>
      </c>
      <c r="BQ352" s="37" t="n">
        <v>28.79</v>
      </c>
      <c r="BR352" s="37" t="n">
        <v>26.87</v>
      </c>
      <c r="BS352" s="37" t="n">
        <v>25.91</v>
      </c>
      <c r="BT352" s="37" t="n">
        <v>26.87</v>
      </c>
      <c r="BU352" s="37" t="n">
        <v>17.27</v>
      </c>
      <c r="BV352" s="37" t="n">
        <v>30.71</v>
      </c>
      <c r="BW352" s="37" t="n">
        <v>28.79</v>
      </c>
      <c r="BX352" s="37" t="n">
        <v>28.79</v>
      </c>
      <c r="BY352" s="37" t="n">
        <v>26.87</v>
      </c>
      <c r="BZ352" s="37" t="n">
        <v>25.91</v>
      </c>
      <c r="CA352" s="37" t="n">
        <v>26.87</v>
      </c>
      <c r="CB352" s="37" t="n">
        <v>17.27</v>
      </c>
      <c r="CC352" s="37" t="n">
        <v>4769.319999999999</v>
      </c>
    </row>
    <row r="353" ht="15.75" customHeight="1" s="57">
      <c r="A353" s="7" t="inlineStr">
        <is>
          <t>NTB</t>
        </is>
      </c>
      <c r="B353" s="7" t="inlineStr">
        <is>
          <t>Lâm Đồng</t>
        </is>
      </c>
      <c r="C353" s="7" t="n">
        <v>22051000</v>
      </c>
      <c r="D353" s="7" t="inlineStr">
        <is>
          <t>(LDO) Lang Biang - Đà Lạt 1</t>
        </is>
      </c>
      <c r="E353" s="7" t="inlineStr">
        <is>
          <t>SME</t>
        </is>
      </c>
      <c r="F353" s="36" t="n">
        <v>27</v>
      </c>
      <c r="G353" s="36" t="n">
        <v>68</v>
      </c>
      <c r="H353" s="36" t="n">
        <v>39</v>
      </c>
      <c r="I353" s="36" t="n">
        <v>41</v>
      </c>
      <c r="J353" s="36" t="n">
        <v>52</v>
      </c>
      <c r="K353" s="28" t="n">
        <v>18</v>
      </c>
      <c r="L353" s="36" t="n">
        <v>58</v>
      </c>
      <c r="M353" s="36" t="n">
        <v>51</v>
      </c>
      <c r="N353" s="36" t="n">
        <v>8</v>
      </c>
      <c r="O353" s="36" t="n">
        <v>68</v>
      </c>
      <c r="P353" s="36" t="n">
        <v>40</v>
      </c>
      <c r="Q353" s="36" t="n">
        <v>93</v>
      </c>
      <c r="R353" s="28" t="n">
        <v>25</v>
      </c>
      <c r="S353" s="36" t="n">
        <v>31</v>
      </c>
      <c r="T353" s="36" t="n">
        <v>108</v>
      </c>
      <c r="U353" s="36" t="n">
        <v>74</v>
      </c>
      <c r="V353" s="36" t="n">
        <v>76.45</v>
      </c>
      <c r="W353" s="36" t="n">
        <v>74.43000000000001</v>
      </c>
      <c r="X353" s="36" t="n">
        <v>60.95</v>
      </c>
      <c r="Y353" s="28" t="n">
        <v>82.45999999999999</v>
      </c>
      <c r="Z353" s="36" t="n">
        <v>75.92999999999999</v>
      </c>
      <c r="AA353" s="36" t="n">
        <v>74.11</v>
      </c>
      <c r="AB353" s="36" t="n">
        <v>74</v>
      </c>
      <c r="AC353" s="36" t="n">
        <v>76.45</v>
      </c>
      <c r="AD353" s="36" t="n">
        <v>80.64</v>
      </c>
      <c r="AE353" s="36" t="n">
        <v>60.95</v>
      </c>
      <c r="AF353" s="28" t="n">
        <v>82.45999999999999</v>
      </c>
      <c r="AG353" s="36" t="n">
        <v>75.92999999999999</v>
      </c>
      <c r="AH353" s="37" t="n">
        <v>74.11</v>
      </c>
      <c r="AI353" s="37" t="n">
        <v>74</v>
      </c>
      <c r="AJ353" s="37" t="n">
        <v>76.45</v>
      </c>
      <c r="AK353" s="37" t="n">
        <v>74.43000000000001</v>
      </c>
      <c r="AL353" s="37" t="n">
        <v>60.95</v>
      </c>
      <c r="AM353" s="37" t="n">
        <v>82.45999999999999</v>
      </c>
      <c r="AN353" s="37" t="n">
        <v>75.92999999999999</v>
      </c>
      <c r="AO353" s="37" t="n">
        <v>74.11</v>
      </c>
      <c r="AP353" s="37" t="n">
        <v>74</v>
      </c>
      <c r="AQ353" s="37" t="n">
        <v>76.45</v>
      </c>
      <c r="AR353" s="37" t="n">
        <v>74.43000000000001</v>
      </c>
      <c r="AS353" s="37" t="n">
        <v>60.95</v>
      </c>
      <c r="AT353" s="37" t="n">
        <v>82.45999999999999</v>
      </c>
      <c r="AU353" s="37" t="n">
        <v>75.92999999999999</v>
      </c>
      <c r="AV353" s="37" t="n">
        <v>74.11</v>
      </c>
      <c r="AW353" s="37" t="n">
        <v>74</v>
      </c>
      <c r="AX353" s="37" t="n">
        <v>76.45</v>
      </c>
      <c r="AY353" s="37" t="n">
        <v>74.43000000000001</v>
      </c>
      <c r="AZ353" s="37" t="n">
        <v>60.95</v>
      </c>
      <c r="BA353" s="37" t="n">
        <v>78.41000000000001</v>
      </c>
      <c r="BB353" s="37" t="n">
        <v>69.77</v>
      </c>
      <c r="BC353" s="37" t="n">
        <v>42.92</v>
      </c>
      <c r="BD353" s="37" t="n">
        <v>33.56</v>
      </c>
      <c r="BE353" s="37" t="n">
        <v>71.76000000000001</v>
      </c>
      <c r="BF353" s="37" t="n">
        <v>69.89999999999999</v>
      </c>
      <c r="BG353" s="37" t="n">
        <v>62.9</v>
      </c>
      <c r="BH353" s="37" t="n">
        <v>85.17</v>
      </c>
      <c r="BI353" s="37" t="n">
        <v>78.31</v>
      </c>
      <c r="BJ353" s="37" t="n">
        <v>83.09999999999999</v>
      </c>
      <c r="BK353" s="37" t="n">
        <v>76.22</v>
      </c>
      <c r="BL353" s="37" t="n">
        <v>78.89</v>
      </c>
      <c r="BM353" s="37" t="n">
        <v>76.73</v>
      </c>
      <c r="BN353" s="37" t="n">
        <v>62.9</v>
      </c>
      <c r="BO353" s="37" t="n">
        <v>85.17</v>
      </c>
      <c r="BP353" s="37" t="n">
        <v>78.31</v>
      </c>
      <c r="BQ353" s="37" t="n">
        <v>76.35000000000001</v>
      </c>
      <c r="BR353" s="37" t="n">
        <v>76.22</v>
      </c>
      <c r="BS353" s="37" t="n">
        <v>78.89</v>
      </c>
      <c r="BT353" s="37" t="n">
        <v>76.73</v>
      </c>
      <c r="BU353" s="37" t="n">
        <v>62.9</v>
      </c>
      <c r="BV353" s="37" t="n">
        <v>85.17</v>
      </c>
      <c r="BW353" s="37" t="n">
        <v>78.31</v>
      </c>
      <c r="BX353" s="37" t="n">
        <v>76.35000000000001</v>
      </c>
      <c r="BY353" s="37" t="n">
        <v>76.22</v>
      </c>
      <c r="BZ353" s="37" t="n">
        <v>78.89</v>
      </c>
      <c r="CA353" s="37" t="n">
        <v>76.73</v>
      </c>
      <c r="CB353" s="37" t="n">
        <v>62.9</v>
      </c>
      <c r="CC353" s="37" t="n">
        <v>5132.04</v>
      </c>
    </row>
    <row r="354" ht="15.75" customHeight="1" s="57">
      <c r="A354" s="7" t="inlineStr">
        <is>
          <t>NTB</t>
        </is>
      </c>
      <c r="B354" s="7" t="inlineStr">
        <is>
          <t>Lâm Đồng</t>
        </is>
      </c>
      <c r="C354" s="7" t="n">
        <v>22051000</v>
      </c>
      <c r="D354" s="7" t="inlineStr">
        <is>
          <t>(LDO) Lang Biang - Đà Lạt 1</t>
        </is>
      </c>
      <c r="E354" s="7" t="inlineStr">
        <is>
          <t>SME-Bulky</t>
        </is>
      </c>
      <c r="F354" s="36" t="n">
        <v>2</v>
      </c>
      <c r="G354" s="36" t="n">
        <v>4</v>
      </c>
      <c r="H354" s="36" t="n">
        <v>0</v>
      </c>
      <c r="I354" s="36" t="n">
        <v>0</v>
      </c>
      <c r="J354" s="36" t="n">
        <v>1</v>
      </c>
      <c r="K354" s="28" t="n">
        <v>1</v>
      </c>
      <c r="L354" s="36" t="n">
        <v>1</v>
      </c>
      <c r="M354" s="36" t="n">
        <v>2</v>
      </c>
      <c r="N354" s="36" t="n">
        <v>0</v>
      </c>
      <c r="O354" s="36" t="n">
        <v>4</v>
      </c>
      <c r="P354" s="36" t="n">
        <v>2</v>
      </c>
      <c r="Q354" s="36" t="n">
        <v>4</v>
      </c>
      <c r="R354" s="28" t="n">
        <v>4</v>
      </c>
      <c r="S354" s="36" t="n">
        <v>0</v>
      </c>
      <c r="T354" s="36" t="n">
        <v>1</v>
      </c>
      <c r="U354" s="36" t="n">
        <v>2.05</v>
      </c>
      <c r="V354" s="36" t="n">
        <v>2.02</v>
      </c>
      <c r="W354" s="36" t="n">
        <v>1.97</v>
      </c>
      <c r="X354" s="36" t="n">
        <v>1.41</v>
      </c>
      <c r="Y354" s="28" t="n">
        <v>2.31</v>
      </c>
      <c r="Z354" s="36" t="n">
        <v>2.24</v>
      </c>
      <c r="AA354" s="36" t="n">
        <v>2.21</v>
      </c>
      <c r="AB354" s="36" t="n">
        <v>2.05</v>
      </c>
      <c r="AC354" s="36" t="n">
        <v>2.02</v>
      </c>
      <c r="AD354" s="36" t="n">
        <v>1.55</v>
      </c>
      <c r="AE354" s="36" t="n">
        <v>1.41</v>
      </c>
      <c r="AF354" s="28" t="n">
        <v>2.31</v>
      </c>
      <c r="AG354" s="36" t="n">
        <v>2.24</v>
      </c>
      <c r="AH354" s="37" t="n">
        <v>2.21</v>
      </c>
      <c r="AI354" s="37" t="n">
        <v>2.05</v>
      </c>
      <c r="AJ354" s="37" t="n">
        <v>2.02</v>
      </c>
      <c r="AK354" s="37" t="n">
        <v>1.97</v>
      </c>
      <c r="AL354" s="37" t="n">
        <v>1.41</v>
      </c>
      <c r="AM354" s="37" t="n">
        <v>2.31</v>
      </c>
      <c r="AN354" s="37" t="n">
        <v>2.24</v>
      </c>
      <c r="AO354" s="37" t="n">
        <v>2.21</v>
      </c>
      <c r="AP354" s="37" t="n">
        <v>2.05</v>
      </c>
      <c r="AQ354" s="37" t="n">
        <v>2.02</v>
      </c>
      <c r="AR354" s="37" t="n">
        <v>1.97</v>
      </c>
      <c r="AS354" s="37" t="n">
        <v>1.41</v>
      </c>
      <c r="AT354" s="37" t="n">
        <v>2.31</v>
      </c>
      <c r="AU354" s="37" t="n">
        <v>2.24</v>
      </c>
      <c r="AV354" s="37" t="n">
        <v>2.21</v>
      </c>
      <c r="AW354" s="37" t="n">
        <v>2.05</v>
      </c>
      <c r="AX354" s="37" t="n">
        <v>2.02</v>
      </c>
      <c r="AY354" s="37" t="n">
        <v>1.97</v>
      </c>
      <c r="AZ354" s="37" t="n">
        <v>1.41</v>
      </c>
      <c r="BA354" s="37" t="n">
        <v>2.52</v>
      </c>
      <c r="BB354" s="37" t="n">
        <v>1.33</v>
      </c>
      <c r="BC354" s="37" t="n">
        <v>0.68</v>
      </c>
      <c r="BD354" s="37" t="n">
        <v>0.52</v>
      </c>
      <c r="BE354" s="37" t="n">
        <v>1.19</v>
      </c>
      <c r="BF354" s="37" t="n">
        <v>1.11</v>
      </c>
      <c r="BG354" s="37" t="n">
        <v>0.77</v>
      </c>
      <c r="BH354" s="37" t="n">
        <v>1.34</v>
      </c>
      <c r="BI354" s="37" t="n">
        <v>1.33</v>
      </c>
      <c r="BJ354" s="37" t="n">
        <v>1.02</v>
      </c>
      <c r="BK354" s="37" t="n">
        <v>1.18</v>
      </c>
      <c r="BL354" s="37" t="n">
        <v>1.18</v>
      </c>
      <c r="BM354" s="37" t="n">
        <v>1.11</v>
      </c>
      <c r="BN354" s="37" t="n">
        <v>0.77</v>
      </c>
      <c r="BO354" s="37" t="n">
        <v>1.34</v>
      </c>
      <c r="BP354" s="37" t="n">
        <v>1.33</v>
      </c>
      <c r="BQ354" s="37" t="n">
        <v>1.26</v>
      </c>
      <c r="BR354" s="37" t="n">
        <v>1.18</v>
      </c>
      <c r="BS354" s="37" t="n">
        <v>1.18</v>
      </c>
      <c r="BT354" s="37" t="n">
        <v>1.11</v>
      </c>
      <c r="BU354" s="37" t="n">
        <v>0.77</v>
      </c>
      <c r="BV354" s="37" t="n">
        <v>1.34</v>
      </c>
      <c r="BW354" s="37" t="n">
        <v>1.33</v>
      </c>
      <c r="BX354" s="37" t="n">
        <v>1.26</v>
      </c>
      <c r="BY354" s="37" t="n">
        <v>1.18</v>
      </c>
      <c r="BZ354" s="37" t="n">
        <v>1.18</v>
      </c>
      <c r="CA354" s="37" t="n">
        <v>1.11</v>
      </c>
      <c r="CB354" s="37" t="n">
        <v>0.77</v>
      </c>
      <c r="CC354" s="37" t="n">
        <v>122.26</v>
      </c>
    </row>
    <row r="355" ht="15.75" customHeight="1" s="57">
      <c r="A355" s="7" t="inlineStr">
        <is>
          <t>NTB</t>
        </is>
      </c>
      <c r="B355" s="7" t="inlineStr">
        <is>
          <t>Lâm Đồng</t>
        </is>
      </c>
      <c r="C355" s="7" t="n">
        <v>22051000</v>
      </c>
      <c r="D355" s="7" t="inlineStr">
        <is>
          <t>(LDO) Lang Biang - Đà Lạt 1</t>
        </is>
      </c>
      <c r="E355" s="7" t="inlineStr">
        <is>
          <t>Shopee</t>
        </is>
      </c>
      <c r="F355" s="36" t="n">
        <v>53</v>
      </c>
      <c r="G355" s="36" t="n">
        <v>23</v>
      </c>
      <c r="H355" s="36" t="n">
        <v>18</v>
      </c>
      <c r="I355" s="36" t="n">
        <v>30</v>
      </c>
      <c r="J355" s="36" t="n">
        <v>30</v>
      </c>
      <c r="K355" s="28" t="n">
        <v>33</v>
      </c>
      <c r="L355" s="36" t="n">
        <v>32</v>
      </c>
      <c r="M355" s="36" t="n">
        <v>21</v>
      </c>
      <c r="N355" s="36" t="n">
        <v>25</v>
      </c>
      <c r="O355" s="36" t="n">
        <v>25</v>
      </c>
      <c r="P355" s="36" t="n">
        <v>30</v>
      </c>
      <c r="Q355" s="36" t="n">
        <v>36</v>
      </c>
      <c r="R355" s="28" t="n">
        <v>20</v>
      </c>
      <c r="S355" s="36" t="n">
        <v>28</v>
      </c>
      <c r="T355" s="36" t="n">
        <v>14</v>
      </c>
      <c r="U355" s="36" t="n">
        <v>25.59</v>
      </c>
      <c r="V355" s="36" t="n">
        <v>25.86</v>
      </c>
      <c r="W355" s="36" t="n">
        <v>24.77</v>
      </c>
      <c r="X355" s="36" t="n">
        <v>21.41</v>
      </c>
      <c r="Y355" s="28" t="n">
        <v>34.65</v>
      </c>
      <c r="Z355" s="36" t="n">
        <v>27.47</v>
      </c>
      <c r="AA355" s="36" t="n">
        <v>33.56</v>
      </c>
      <c r="AB355" s="36" t="n">
        <v>26.28</v>
      </c>
      <c r="AC355" s="36" t="n">
        <v>21.11</v>
      </c>
      <c r="AD355" s="36" t="n">
        <v>56.12</v>
      </c>
      <c r="AE355" s="36" t="n">
        <v>22.96</v>
      </c>
      <c r="AF355" s="28" t="n">
        <v>38.04</v>
      </c>
      <c r="AG355" s="36" t="n">
        <v>28.82</v>
      </c>
      <c r="AH355" s="37" t="n">
        <v>30.4</v>
      </c>
      <c r="AI355" s="37" t="n">
        <v>25.59</v>
      </c>
      <c r="AJ355" s="37" t="n">
        <v>25.86</v>
      </c>
      <c r="AK355" s="37" t="n">
        <v>27.34</v>
      </c>
      <c r="AL355" s="37" t="n">
        <v>38.44</v>
      </c>
      <c r="AM355" s="37" t="n">
        <v>34.65</v>
      </c>
      <c r="AN355" s="37" t="n">
        <v>27.47</v>
      </c>
      <c r="AO355" s="37" t="n">
        <v>30.4</v>
      </c>
      <c r="AP355" s="37" t="n">
        <v>28.29</v>
      </c>
      <c r="AQ355" s="37" t="n">
        <v>20.65</v>
      </c>
      <c r="AR355" s="37" t="n">
        <v>24.77</v>
      </c>
      <c r="AS355" s="37" t="n">
        <v>21.41</v>
      </c>
      <c r="AT355" s="37" t="n">
        <v>34.65</v>
      </c>
      <c r="AU355" s="37" t="n">
        <v>30.2</v>
      </c>
      <c r="AV355" s="37" t="n">
        <v>31.16</v>
      </c>
      <c r="AW355" s="37" t="n">
        <v>25.59</v>
      </c>
      <c r="AX355" s="37" t="n">
        <v>25.86</v>
      </c>
      <c r="AY355" s="37" t="n">
        <v>24.77</v>
      </c>
      <c r="AZ355" s="37" t="n">
        <v>21.41</v>
      </c>
      <c r="BA355" s="37" t="n">
        <v>29.81</v>
      </c>
      <c r="BB355" s="37" t="n">
        <v>20.49</v>
      </c>
      <c r="BC355" s="37" t="n">
        <v>9.19</v>
      </c>
      <c r="BD355" s="37" t="n">
        <v>15.35</v>
      </c>
      <c r="BE355" s="37" t="n">
        <v>30.76</v>
      </c>
      <c r="BF355" s="37" t="n">
        <v>29.64</v>
      </c>
      <c r="BG355" s="37" t="n">
        <v>20.91</v>
      </c>
      <c r="BH355" s="37" t="n">
        <v>33.04</v>
      </c>
      <c r="BI355" s="37" t="n">
        <v>21.67</v>
      </c>
      <c r="BJ355" s="37" t="n">
        <v>79.51000000000001</v>
      </c>
      <c r="BK355" s="37" t="n">
        <v>26.22</v>
      </c>
      <c r="BL355" s="37" t="n">
        <v>25.86</v>
      </c>
      <c r="BM355" s="37" t="n">
        <v>23.62</v>
      </c>
      <c r="BN355" s="37" t="n">
        <v>20.52</v>
      </c>
      <c r="BO355" s="37" t="n">
        <v>33.04</v>
      </c>
      <c r="BP355" s="37" t="n">
        <v>28.69</v>
      </c>
      <c r="BQ355" s="37" t="n">
        <v>44.33</v>
      </c>
      <c r="BR355" s="37" t="n">
        <v>24.37</v>
      </c>
      <c r="BS355" s="37" t="n">
        <v>24.64</v>
      </c>
      <c r="BT355" s="37" t="n">
        <v>23.62</v>
      </c>
      <c r="BU355" s="37" t="n">
        <v>22.43</v>
      </c>
      <c r="BV355" s="37" t="n">
        <v>26.48</v>
      </c>
      <c r="BW355" s="37" t="n">
        <v>26.15</v>
      </c>
      <c r="BX355" s="37" t="n">
        <v>28.89</v>
      </c>
      <c r="BY355" s="37" t="n">
        <v>24.37</v>
      </c>
      <c r="BZ355" s="37" t="n">
        <v>26.98</v>
      </c>
      <c r="CA355" s="37" t="n">
        <v>24.14</v>
      </c>
      <c r="CB355" s="37" t="n">
        <v>20.52</v>
      </c>
      <c r="CC355" s="37" t="n">
        <v>2098.79</v>
      </c>
    </row>
    <row r="356" ht="15.75" customHeight="1" s="57">
      <c r="A356" s="7" t="inlineStr">
        <is>
          <t>NTB</t>
        </is>
      </c>
      <c r="B356" s="7" t="inlineStr">
        <is>
          <t>Lâm Đồng</t>
        </is>
      </c>
      <c r="C356" s="7" t="n">
        <v>22051000</v>
      </c>
      <c r="D356" s="7" t="inlineStr">
        <is>
          <t>(LDO) Lang Biang - Đà Lạt 1</t>
        </is>
      </c>
      <c r="E356" s="7" t="inlineStr">
        <is>
          <t>Shopee-Bulky</t>
        </is>
      </c>
      <c r="F356" s="36" t="n">
        <v>0.65</v>
      </c>
      <c r="G356" s="36" t="n">
        <v>0.65</v>
      </c>
      <c r="H356" s="36" t="n">
        <v>1.31</v>
      </c>
      <c r="I356" s="36" t="n">
        <v>1.96</v>
      </c>
      <c r="J356" s="36" t="n">
        <v>0</v>
      </c>
      <c r="K356" s="28" t="n">
        <v>0.65</v>
      </c>
      <c r="L356" s="36" t="n">
        <v>0</v>
      </c>
      <c r="M356" s="36" t="n">
        <v>0</v>
      </c>
      <c r="N356" s="36" t="n">
        <v>0</v>
      </c>
      <c r="O356" s="36" t="n">
        <v>0</v>
      </c>
      <c r="P356" s="36" t="n">
        <v>1.31</v>
      </c>
      <c r="Q356" s="36" t="n">
        <v>0</v>
      </c>
      <c r="R356" s="28" t="n">
        <v>1.31</v>
      </c>
      <c r="S356" s="36" t="n">
        <v>0.65</v>
      </c>
      <c r="T356" s="36" t="n">
        <v>1.31</v>
      </c>
      <c r="U356" s="36" t="n">
        <v>0.43</v>
      </c>
      <c r="V356" s="36" t="n">
        <v>0.42</v>
      </c>
      <c r="W356" s="36" t="n">
        <v>0.55</v>
      </c>
      <c r="X356" s="36" t="n">
        <v>0.33</v>
      </c>
      <c r="Y356" s="28" t="n">
        <v>0.68</v>
      </c>
      <c r="Z356" s="36" t="n">
        <v>0.5</v>
      </c>
      <c r="AA356" s="36" t="n">
        <v>0.88</v>
      </c>
      <c r="AB356" s="36" t="n">
        <v>0.5</v>
      </c>
      <c r="AC356" s="36" t="n">
        <v>0.58</v>
      </c>
      <c r="AD356" s="36" t="n">
        <v>1.77</v>
      </c>
      <c r="AE356" s="36" t="n">
        <v>1.53</v>
      </c>
      <c r="AF356" s="28" t="n">
        <v>1.46</v>
      </c>
      <c r="AG356" s="36" t="n">
        <v>0.77</v>
      </c>
      <c r="AH356" s="37" t="n">
        <v>0.47</v>
      </c>
      <c r="AI356" s="37" t="n">
        <v>0.55</v>
      </c>
      <c r="AJ356" s="37" t="n">
        <v>0.46</v>
      </c>
      <c r="AK356" s="37" t="n">
        <v>1.09</v>
      </c>
      <c r="AL356" s="37" t="n">
        <v>0.6</v>
      </c>
      <c r="AM356" s="37" t="n">
        <v>0.9</v>
      </c>
      <c r="AN356" s="37" t="n">
        <v>0.5</v>
      </c>
      <c r="AO356" s="37" t="n">
        <v>0.48</v>
      </c>
      <c r="AP356" s="37" t="n">
        <v>0.98</v>
      </c>
      <c r="AQ356" s="37" t="n">
        <v>0.65</v>
      </c>
      <c r="AR356" s="37" t="n">
        <v>0.49</v>
      </c>
      <c r="AS356" s="37" t="n">
        <v>0.25</v>
      </c>
      <c r="AT356" s="37" t="n">
        <v>0.66</v>
      </c>
      <c r="AU356" s="37" t="n">
        <v>1.18</v>
      </c>
      <c r="AV356" s="37" t="n">
        <v>1.2</v>
      </c>
      <c r="AW356" s="37" t="n">
        <v>0.47</v>
      </c>
      <c r="AX356" s="37" t="n">
        <v>0.46</v>
      </c>
      <c r="AY356" s="37" t="n">
        <v>0.47</v>
      </c>
      <c r="AZ356" s="37" t="n">
        <v>0.25</v>
      </c>
      <c r="BA356" s="37" t="n">
        <v>0.61</v>
      </c>
      <c r="BB356" s="37" t="n">
        <v>0.38</v>
      </c>
      <c r="BC356" s="37" t="n">
        <v>0.08</v>
      </c>
      <c r="BD356" s="37" t="n">
        <v>0.16</v>
      </c>
      <c r="BE356" s="37" t="n">
        <v>0.71</v>
      </c>
      <c r="BF356" s="37" t="n">
        <v>0.6</v>
      </c>
      <c r="BG356" s="37" t="n">
        <v>0.38</v>
      </c>
      <c r="BH356" s="37" t="n">
        <v>0.87</v>
      </c>
      <c r="BI356" s="37" t="n">
        <v>0.64</v>
      </c>
      <c r="BJ356" s="37" t="n">
        <v>3.19</v>
      </c>
      <c r="BK356" s="37" t="n">
        <v>1.46</v>
      </c>
      <c r="BL356" s="37" t="n">
        <v>0.82</v>
      </c>
      <c r="BM356" s="37" t="n">
        <v>0.5</v>
      </c>
      <c r="BN356" s="37" t="n">
        <v>0.36</v>
      </c>
      <c r="BO356" s="37" t="n">
        <v>1.04</v>
      </c>
      <c r="BP356" s="37" t="n">
        <v>1.5</v>
      </c>
      <c r="BQ356" s="37" t="n">
        <v>1.18</v>
      </c>
      <c r="BR356" s="37" t="n">
        <v>0.6</v>
      </c>
      <c r="BS356" s="37" t="n">
        <v>0.58</v>
      </c>
      <c r="BT356" s="37" t="n">
        <v>0.47</v>
      </c>
      <c r="BU356" s="37" t="n">
        <v>0.78</v>
      </c>
      <c r="BV356" s="37" t="n">
        <v>0.93</v>
      </c>
      <c r="BW356" s="37" t="n">
        <v>0.64</v>
      </c>
      <c r="BX356" s="37" t="n">
        <v>0.62</v>
      </c>
      <c r="BY356" s="37" t="n">
        <v>0.6</v>
      </c>
      <c r="BZ356" s="37" t="n">
        <v>1.19</v>
      </c>
      <c r="CA356" s="37" t="n">
        <v>0.6</v>
      </c>
      <c r="CB356" s="37" t="n">
        <v>0.33</v>
      </c>
      <c r="CC356" s="37" t="n">
        <v>54.13</v>
      </c>
    </row>
    <row r="357" ht="15.75" customHeight="1" s="57">
      <c r="A357" s="7" t="inlineStr">
        <is>
          <t>NTB</t>
        </is>
      </c>
      <c r="B357" s="7" t="inlineStr">
        <is>
          <t>Lâm Đồng</t>
        </is>
      </c>
      <c r="C357" s="7" t="n">
        <v>22051000</v>
      </c>
      <c r="D357" s="7" t="inlineStr">
        <is>
          <t>(LDO) Lang Biang - Đà Lạt 1</t>
        </is>
      </c>
      <c r="E357" s="7" t="inlineStr">
        <is>
          <t>Shopee-Bulky (10-15kg)</t>
        </is>
      </c>
      <c r="F357" s="36" t="n">
        <v>0.35</v>
      </c>
      <c r="G357" s="36" t="n">
        <v>0.35</v>
      </c>
      <c r="H357" s="36" t="n">
        <v>0.6899999999999999</v>
      </c>
      <c r="I357" s="36" t="n">
        <v>1.04</v>
      </c>
      <c r="J357" s="36" t="n">
        <v>0</v>
      </c>
      <c r="K357" s="28" t="n">
        <v>0.35</v>
      </c>
      <c r="L357" s="36" t="n">
        <v>0</v>
      </c>
      <c r="M357" s="36" t="n">
        <v>0</v>
      </c>
      <c r="N357" s="36" t="n">
        <v>0</v>
      </c>
      <c r="O357" s="36" t="n">
        <v>0</v>
      </c>
      <c r="P357" s="36" t="n">
        <v>0.6899999999999999</v>
      </c>
      <c r="Q357" s="36" t="n">
        <v>0</v>
      </c>
      <c r="R357" s="28" t="n">
        <v>0.6899999999999999</v>
      </c>
      <c r="S357" s="36" t="n">
        <v>0.35</v>
      </c>
      <c r="T357" s="36" t="n">
        <v>0.6899999999999999</v>
      </c>
      <c r="U357" s="36" t="n">
        <v>0.22</v>
      </c>
      <c r="V357" s="36" t="n">
        <v>0.22</v>
      </c>
      <c r="W357" s="36" t="n">
        <v>0.27</v>
      </c>
      <c r="X357" s="36" t="n">
        <v>0.16</v>
      </c>
      <c r="Y357" s="28" t="n">
        <v>0.4</v>
      </c>
      <c r="Z357" s="36" t="n">
        <v>0.26</v>
      </c>
      <c r="AA357" s="36" t="n">
        <v>0.48</v>
      </c>
      <c r="AB357" s="36" t="n">
        <v>0.25</v>
      </c>
      <c r="AC357" s="36" t="n">
        <v>0.26</v>
      </c>
      <c r="AD357" s="36" t="n">
        <v>1.29</v>
      </c>
      <c r="AE357" s="36" t="n">
        <v>0.88</v>
      </c>
      <c r="AF357" s="28" t="n">
        <v>0.73</v>
      </c>
      <c r="AG357" s="36" t="n">
        <v>0.57</v>
      </c>
      <c r="AH357" s="37" t="n">
        <v>0.26</v>
      </c>
      <c r="AI357" s="37" t="n">
        <v>0.26</v>
      </c>
      <c r="AJ357" s="37" t="n">
        <v>0.26</v>
      </c>
      <c r="AK357" s="37" t="n">
        <v>0.68</v>
      </c>
      <c r="AL357" s="37" t="n">
        <v>0.27</v>
      </c>
      <c r="AM357" s="37" t="n">
        <v>0.54</v>
      </c>
      <c r="AN357" s="37" t="n">
        <v>0.26</v>
      </c>
      <c r="AO357" s="37" t="n">
        <v>0.25</v>
      </c>
      <c r="AP357" s="37" t="n">
        <v>0.5</v>
      </c>
      <c r="AQ357" s="37" t="n">
        <v>0.33</v>
      </c>
      <c r="AR357" s="37" t="n">
        <v>0.25</v>
      </c>
      <c r="AS357" s="37" t="n">
        <v>0.12</v>
      </c>
      <c r="AT357" s="37" t="n">
        <v>0.39</v>
      </c>
      <c r="AU357" s="37" t="n">
        <v>0.62</v>
      </c>
      <c r="AV357" s="37" t="n">
        <v>0.6899999999999999</v>
      </c>
      <c r="AW357" s="37" t="n">
        <v>0.23</v>
      </c>
      <c r="AX357" s="37" t="n">
        <v>0.22</v>
      </c>
      <c r="AY357" s="37" t="n">
        <v>0.24</v>
      </c>
      <c r="AZ357" s="37" t="n">
        <v>0.12</v>
      </c>
      <c r="BA357" s="37" t="n">
        <v>0.29</v>
      </c>
      <c r="BB357" s="37" t="n">
        <v>0.19</v>
      </c>
      <c r="BC357" s="37" t="n">
        <v>0.03</v>
      </c>
      <c r="BD357" s="37" t="n">
        <v>0.06</v>
      </c>
      <c r="BE357" s="37" t="n">
        <v>0.36</v>
      </c>
      <c r="BF357" s="37" t="n">
        <v>0.3</v>
      </c>
      <c r="BG357" s="37" t="n">
        <v>0.17</v>
      </c>
      <c r="BH357" s="37" t="n">
        <v>0.53</v>
      </c>
      <c r="BI357" s="37" t="n">
        <v>0.29</v>
      </c>
      <c r="BJ357" s="37" t="n">
        <v>1.78</v>
      </c>
      <c r="BK357" s="37" t="n">
        <v>0.64</v>
      </c>
      <c r="BL357" s="37" t="n">
        <v>0.48</v>
      </c>
      <c r="BM357" s="37" t="n">
        <v>0.23</v>
      </c>
      <c r="BN357" s="37" t="n">
        <v>0.17</v>
      </c>
      <c r="BO357" s="37" t="n">
        <v>0.5</v>
      </c>
      <c r="BP357" s="37" t="n">
        <v>0.64</v>
      </c>
      <c r="BQ357" s="37" t="n">
        <v>0.6</v>
      </c>
      <c r="BR357" s="37" t="n">
        <v>0.3</v>
      </c>
      <c r="BS357" s="37" t="n">
        <v>0.28</v>
      </c>
      <c r="BT357" s="37" t="n">
        <v>0.23</v>
      </c>
      <c r="BU357" s="37" t="n">
        <v>0.3</v>
      </c>
      <c r="BV357" s="37" t="n">
        <v>0.57</v>
      </c>
      <c r="BW357" s="37" t="n">
        <v>0.29</v>
      </c>
      <c r="BX357" s="37" t="n">
        <v>0.33</v>
      </c>
      <c r="BY357" s="37" t="n">
        <v>0.3</v>
      </c>
      <c r="BZ357" s="37" t="n">
        <v>0.5600000000000001</v>
      </c>
      <c r="CA357" s="37" t="n">
        <v>0.3</v>
      </c>
      <c r="CB357" s="37" t="n">
        <v>0.17</v>
      </c>
      <c r="CC357" s="37" t="n">
        <v>28.57000000000001</v>
      </c>
    </row>
    <row r="358" ht="15.75" customHeight="1" s="57">
      <c r="A358" s="7" t="inlineStr">
        <is>
          <t>NTB</t>
        </is>
      </c>
      <c r="B358" s="7" t="inlineStr">
        <is>
          <t>Lâm Đồng</t>
        </is>
      </c>
      <c r="C358" s="7" t="n">
        <v>22051000</v>
      </c>
      <c r="D358" s="7" t="inlineStr">
        <is>
          <t>(LDO) Lang Biang - Đà Lạt 1</t>
        </is>
      </c>
      <c r="E358" s="7" t="inlineStr">
        <is>
          <t>TTS</t>
        </is>
      </c>
      <c r="F358" s="36" t="n">
        <v>9</v>
      </c>
      <c r="G358" s="36" t="n">
        <v>9</v>
      </c>
      <c r="H358" s="36" t="n">
        <v>3</v>
      </c>
      <c r="I358" s="36" t="n">
        <v>3</v>
      </c>
      <c r="J358" s="36" t="n">
        <v>5</v>
      </c>
      <c r="K358" s="28" t="n">
        <v>2</v>
      </c>
      <c r="L358" s="36" t="n">
        <v>7</v>
      </c>
      <c r="M358" s="36" t="n">
        <v>8</v>
      </c>
      <c r="N358" s="36" t="n">
        <v>3</v>
      </c>
      <c r="O358" s="36" t="n">
        <v>9</v>
      </c>
      <c r="P358" s="36" t="n">
        <v>16</v>
      </c>
      <c r="Q358" s="36" t="n">
        <v>7</v>
      </c>
      <c r="R358" s="28" t="n">
        <v>3</v>
      </c>
      <c r="S358" s="36" t="n">
        <v>4</v>
      </c>
      <c r="T358" s="36" t="n">
        <v>9</v>
      </c>
      <c r="U358" s="36" t="n">
        <v>3.02</v>
      </c>
      <c r="V358" s="36" t="n">
        <v>2.98</v>
      </c>
      <c r="W358" s="36" t="n">
        <v>2.91</v>
      </c>
      <c r="X358" s="36" t="n">
        <v>2.34</v>
      </c>
      <c r="Y358" s="28" t="n">
        <v>3.42</v>
      </c>
      <c r="Z358" s="36" t="n">
        <v>2.91</v>
      </c>
      <c r="AA358" s="36" t="n">
        <v>3.24</v>
      </c>
      <c r="AB358" s="36" t="n">
        <v>3.59</v>
      </c>
      <c r="AC358" s="36" t="n">
        <v>3.82</v>
      </c>
      <c r="AD358" s="36" t="n">
        <v>5.29</v>
      </c>
      <c r="AE358" s="36" t="n">
        <v>2.73</v>
      </c>
      <c r="AF358" s="28" t="n">
        <v>3.51</v>
      </c>
      <c r="AG358" s="36" t="n">
        <v>2.97</v>
      </c>
      <c r="AH358" s="37" t="n">
        <v>2.93</v>
      </c>
      <c r="AI358" s="37" t="n">
        <v>3.39</v>
      </c>
      <c r="AJ358" s="37" t="n">
        <v>3.62</v>
      </c>
      <c r="AK358" s="37" t="n">
        <v>3.56</v>
      </c>
      <c r="AL358" s="37" t="n">
        <v>2.55</v>
      </c>
      <c r="AM358" s="37" t="n">
        <v>3.47</v>
      </c>
      <c r="AN358" s="37" t="n">
        <v>3</v>
      </c>
      <c r="AO358" s="37" t="n">
        <v>2.97</v>
      </c>
      <c r="AP358" s="37" t="n">
        <v>2.91</v>
      </c>
      <c r="AQ358" s="37" t="n">
        <v>2.93</v>
      </c>
      <c r="AR358" s="37" t="n">
        <v>2.87</v>
      </c>
      <c r="AS358" s="37" t="n">
        <v>2.35</v>
      </c>
      <c r="AT358" s="37" t="n">
        <v>3.76</v>
      </c>
      <c r="AU358" s="37" t="n">
        <v>3.4</v>
      </c>
      <c r="AV358" s="37" t="n">
        <v>3.01</v>
      </c>
      <c r="AW358" s="37" t="n">
        <v>2.87</v>
      </c>
      <c r="AX358" s="37" t="n">
        <v>2.85</v>
      </c>
      <c r="AY358" s="37" t="n">
        <v>2.83</v>
      </c>
      <c r="AZ358" s="37" t="n">
        <v>2.35</v>
      </c>
      <c r="BA358" s="37" t="n">
        <v>3.38</v>
      </c>
      <c r="BB358" s="37" t="n">
        <v>3.18</v>
      </c>
      <c r="BC358" s="37" t="n">
        <v>1.6</v>
      </c>
      <c r="BD358" s="37" t="n">
        <v>2.28</v>
      </c>
      <c r="BE358" s="37" t="n">
        <v>5.31</v>
      </c>
      <c r="BF358" s="37" t="n">
        <v>5.14</v>
      </c>
      <c r="BG358" s="37" t="n">
        <v>2.56</v>
      </c>
      <c r="BH358" s="37" t="n">
        <v>3.75</v>
      </c>
      <c r="BI358" s="37" t="n">
        <v>3.18</v>
      </c>
      <c r="BJ358" s="37" t="n">
        <v>4</v>
      </c>
      <c r="BK358" s="37" t="n">
        <v>3.22</v>
      </c>
      <c r="BL358" s="37" t="n">
        <v>3.23</v>
      </c>
      <c r="BM358" s="37" t="n">
        <v>3.13</v>
      </c>
      <c r="BN358" s="37" t="n">
        <v>2.56</v>
      </c>
      <c r="BO358" s="37" t="n">
        <v>3.75</v>
      </c>
      <c r="BP358" s="37" t="n">
        <v>3.18</v>
      </c>
      <c r="BQ358" s="37" t="n">
        <v>3.14</v>
      </c>
      <c r="BR358" s="37" t="n">
        <v>3.22</v>
      </c>
      <c r="BS358" s="37" t="n">
        <v>3.23</v>
      </c>
      <c r="BT358" s="37" t="n">
        <v>3.13</v>
      </c>
      <c r="BU358" s="37" t="n">
        <v>2.56</v>
      </c>
      <c r="BV358" s="37" t="n">
        <v>3.75</v>
      </c>
      <c r="BW358" s="37" t="n">
        <v>3.18</v>
      </c>
      <c r="BX358" s="37" t="n">
        <v>3.14</v>
      </c>
      <c r="BY358" s="37" t="n">
        <v>3.22</v>
      </c>
      <c r="BZ358" s="37" t="n">
        <v>3.23</v>
      </c>
      <c r="CA358" s="37" t="n">
        <v>3.13</v>
      </c>
      <c r="CB358" s="37" t="n">
        <v>2.56</v>
      </c>
      <c r="CC358" s="37" t="n">
        <v>288.29</v>
      </c>
    </row>
    <row r="359" ht="15.75" customHeight="1" s="57">
      <c r="A359" s="7" t="inlineStr">
        <is>
          <t>NTB</t>
        </is>
      </c>
      <c r="B359" s="7" t="inlineStr">
        <is>
          <t>Lâm Đồng</t>
        </is>
      </c>
      <c r="C359" s="7" t="n">
        <v>22116000</v>
      </c>
      <c r="D359" s="7" t="inlineStr">
        <is>
          <t>(LDO) Xuân Trường - Đà Lạt</t>
        </is>
      </c>
      <c r="E359" s="7" t="inlineStr">
        <is>
          <t>SME</t>
        </is>
      </c>
      <c r="F359" s="36" t="n">
        <v>75</v>
      </c>
      <c r="G359" s="36" t="n">
        <v>27</v>
      </c>
      <c r="H359" s="36" t="n">
        <v>13</v>
      </c>
      <c r="I359" s="36" t="n">
        <v>165</v>
      </c>
      <c r="J359" s="36" t="n">
        <v>21</v>
      </c>
      <c r="K359" s="28" t="n">
        <v>30</v>
      </c>
      <c r="L359" s="36" t="n">
        <v>28</v>
      </c>
      <c r="M359" s="36" t="n">
        <v>9</v>
      </c>
      <c r="N359" s="36" t="n">
        <v>154</v>
      </c>
      <c r="O359" s="36" t="n">
        <v>23</v>
      </c>
      <c r="P359" s="36" t="n">
        <v>15</v>
      </c>
      <c r="Q359" s="36" t="n">
        <v>82</v>
      </c>
      <c r="R359" s="28" t="n">
        <v>33</v>
      </c>
      <c r="S359" s="36" t="n">
        <v>19</v>
      </c>
      <c r="T359" s="36" t="n">
        <v>14</v>
      </c>
      <c r="U359" s="36" t="n">
        <v>66.88</v>
      </c>
      <c r="V359" s="36" t="n">
        <v>69.09999999999999</v>
      </c>
      <c r="W359" s="36" t="n">
        <v>67.25</v>
      </c>
      <c r="X359" s="36" t="n">
        <v>55.02</v>
      </c>
      <c r="Y359" s="28" t="n">
        <v>74.50999999999999</v>
      </c>
      <c r="Z359" s="36" t="n">
        <v>68.58</v>
      </c>
      <c r="AA359" s="36" t="n">
        <v>66.91</v>
      </c>
      <c r="AB359" s="36" t="n">
        <v>66.88</v>
      </c>
      <c r="AC359" s="36" t="n">
        <v>69.09999999999999</v>
      </c>
      <c r="AD359" s="36" t="n">
        <v>72.77</v>
      </c>
      <c r="AE359" s="36" t="n">
        <v>55.02</v>
      </c>
      <c r="AF359" s="28" t="n">
        <v>74.50999999999999</v>
      </c>
      <c r="AG359" s="36" t="n">
        <v>68.58</v>
      </c>
      <c r="AH359" s="37" t="n">
        <v>66.91</v>
      </c>
      <c r="AI359" s="37" t="n">
        <v>66.88</v>
      </c>
      <c r="AJ359" s="37" t="n">
        <v>69.09999999999999</v>
      </c>
      <c r="AK359" s="37" t="n">
        <v>67.25</v>
      </c>
      <c r="AL359" s="37" t="n">
        <v>55.02</v>
      </c>
      <c r="AM359" s="37" t="n">
        <v>74.50999999999999</v>
      </c>
      <c r="AN359" s="37" t="n">
        <v>68.58</v>
      </c>
      <c r="AO359" s="37" t="n">
        <v>66.91</v>
      </c>
      <c r="AP359" s="37" t="n">
        <v>66.88</v>
      </c>
      <c r="AQ359" s="37" t="n">
        <v>69.09999999999999</v>
      </c>
      <c r="AR359" s="37" t="n">
        <v>67.25</v>
      </c>
      <c r="AS359" s="37" t="n">
        <v>55.02</v>
      </c>
      <c r="AT359" s="37" t="n">
        <v>74.50999999999999</v>
      </c>
      <c r="AU359" s="37" t="n">
        <v>68.58</v>
      </c>
      <c r="AV359" s="37" t="n">
        <v>66.91</v>
      </c>
      <c r="AW359" s="37" t="n">
        <v>66.88</v>
      </c>
      <c r="AX359" s="37" t="n">
        <v>69.09999999999999</v>
      </c>
      <c r="AY359" s="37" t="n">
        <v>67.25</v>
      </c>
      <c r="AZ359" s="37" t="n">
        <v>55.02</v>
      </c>
      <c r="BA359" s="37" t="n">
        <v>70.86</v>
      </c>
      <c r="BB359" s="37" t="n">
        <v>62.96</v>
      </c>
      <c r="BC359" s="37" t="n">
        <v>38.62</v>
      </c>
      <c r="BD359" s="37" t="n">
        <v>30.18</v>
      </c>
      <c r="BE359" s="37" t="n">
        <v>64.73999999999999</v>
      </c>
      <c r="BF359" s="37" t="n">
        <v>63.1</v>
      </c>
      <c r="BG359" s="37" t="n">
        <v>56.72</v>
      </c>
      <c r="BH359" s="37" t="n">
        <v>76.88</v>
      </c>
      <c r="BI359" s="37" t="n">
        <v>70.67</v>
      </c>
      <c r="BJ359" s="37" t="n">
        <v>74.92</v>
      </c>
      <c r="BK359" s="37" t="n">
        <v>68.83</v>
      </c>
      <c r="BL359" s="37" t="n">
        <v>71.22</v>
      </c>
      <c r="BM359" s="37" t="n">
        <v>69.25</v>
      </c>
      <c r="BN359" s="37" t="n">
        <v>56.72</v>
      </c>
      <c r="BO359" s="37" t="n">
        <v>76.88</v>
      </c>
      <c r="BP359" s="37" t="n">
        <v>70.67</v>
      </c>
      <c r="BQ359" s="37" t="n">
        <v>68.88</v>
      </c>
      <c r="BR359" s="37" t="n">
        <v>68.83</v>
      </c>
      <c r="BS359" s="37" t="n">
        <v>71.22</v>
      </c>
      <c r="BT359" s="37" t="n">
        <v>69.25</v>
      </c>
      <c r="BU359" s="37" t="n">
        <v>56.72</v>
      </c>
      <c r="BV359" s="37" t="n">
        <v>76.88</v>
      </c>
      <c r="BW359" s="37" t="n">
        <v>70.67</v>
      </c>
      <c r="BX359" s="37" t="n">
        <v>68.88</v>
      </c>
      <c r="BY359" s="37" t="n">
        <v>68.83</v>
      </c>
      <c r="BZ359" s="37" t="n">
        <v>71.22</v>
      </c>
      <c r="CA359" s="37" t="n">
        <v>69.25</v>
      </c>
      <c r="CB359" s="37" t="n">
        <v>56.72</v>
      </c>
      <c r="CC359" s="37" t="n">
        <v>4685.339999999999</v>
      </c>
    </row>
    <row r="360" ht="15.75" customHeight="1" s="57">
      <c r="A360" s="7" t="inlineStr">
        <is>
          <t>NTB</t>
        </is>
      </c>
      <c r="B360" s="7" t="inlineStr">
        <is>
          <t>Lâm Đồng</t>
        </is>
      </c>
      <c r="C360" s="7" t="n">
        <v>22116000</v>
      </c>
      <c r="D360" s="7" t="inlineStr">
        <is>
          <t>(LDO) Xuân Trường - Đà Lạt</t>
        </is>
      </c>
      <c r="E360" s="7" t="inlineStr">
        <is>
          <t>SME-Bulky</t>
        </is>
      </c>
      <c r="F360" s="36" t="n">
        <v>3</v>
      </c>
      <c r="G360" s="36" t="n">
        <v>2</v>
      </c>
      <c r="H360" s="36" t="n">
        <v>2</v>
      </c>
      <c r="I360" s="36" t="n">
        <v>5</v>
      </c>
      <c r="J360" s="36" t="n">
        <v>1</v>
      </c>
      <c r="K360" s="28" t="n">
        <v>7</v>
      </c>
      <c r="L360" s="36" t="n">
        <v>8</v>
      </c>
      <c r="M360" s="36" t="n">
        <v>1</v>
      </c>
      <c r="N360" s="36" t="n">
        <v>6</v>
      </c>
      <c r="O360" s="36" t="n">
        <v>6</v>
      </c>
      <c r="P360" s="36" t="n">
        <v>2</v>
      </c>
      <c r="Q360" s="36" t="n">
        <v>5</v>
      </c>
      <c r="R360" s="28" t="n">
        <v>10</v>
      </c>
      <c r="S360" s="36" t="n">
        <v>2</v>
      </c>
      <c r="T360" s="36" t="n">
        <v>4</v>
      </c>
      <c r="U360" s="36" t="n">
        <v>4.65</v>
      </c>
      <c r="V360" s="36" t="n">
        <v>4.58</v>
      </c>
      <c r="W360" s="36" t="n">
        <v>4.46</v>
      </c>
      <c r="X360" s="36" t="n">
        <v>3.2</v>
      </c>
      <c r="Y360" s="28" t="n">
        <v>5.23</v>
      </c>
      <c r="Z360" s="36" t="n">
        <v>5.08</v>
      </c>
      <c r="AA360" s="36" t="n">
        <v>5.02</v>
      </c>
      <c r="AB360" s="36" t="n">
        <v>4.65</v>
      </c>
      <c r="AC360" s="36" t="n">
        <v>4.58</v>
      </c>
      <c r="AD360" s="36" t="n">
        <v>3.51</v>
      </c>
      <c r="AE360" s="36" t="n">
        <v>3.2</v>
      </c>
      <c r="AF360" s="28" t="n">
        <v>5.23</v>
      </c>
      <c r="AG360" s="36" t="n">
        <v>5.08</v>
      </c>
      <c r="AH360" s="37" t="n">
        <v>5.02</v>
      </c>
      <c r="AI360" s="37" t="n">
        <v>4.65</v>
      </c>
      <c r="AJ360" s="37" t="n">
        <v>4.58</v>
      </c>
      <c r="AK360" s="37" t="n">
        <v>4.46</v>
      </c>
      <c r="AL360" s="37" t="n">
        <v>3.2</v>
      </c>
      <c r="AM360" s="37" t="n">
        <v>5.23</v>
      </c>
      <c r="AN360" s="37" t="n">
        <v>5.08</v>
      </c>
      <c r="AO360" s="37" t="n">
        <v>5.02</v>
      </c>
      <c r="AP360" s="37" t="n">
        <v>4.65</v>
      </c>
      <c r="AQ360" s="37" t="n">
        <v>4.58</v>
      </c>
      <c r="AR360" s="37" t="n">
        <v>4.46</v>
      </c>
      <c r="AS360" s="37" t="n">
        <v>3.2</v>
      </c>
      <c r="AT360" s="37" t="n">
        <v>5.23</v>
      </c>
      <c r="AU360" s="37" t="n">
        <v>5.08</v>
      </c>
      <c r="AV360" s="37" t="n">
        <v>5.02</v>
      </c>
      <c r="AW360" s="37" t="n">
        <v>4.65</v>
      </c>
      <c r="AX360" s="37" t="n">
        <v>4.58</v>
      </c>
      <c r="AY360" s="37" t="n">
        <v>4.46</v>
      </c>
      <c r="AZ360" s="37" t="n">
        <v>3.2</v>
      </c>
      <c r="BA360" s="37" t="n">
        <v>5.72</v>
      </c>
      <c r="BB360" s="37" t="n">
        <v>3.02</v>
      </c>
      <c r="BC360" s="37" t="n">
        <v>1.54</v>
      </c>
      <c r="BD360" s="37" t="n">
        <v>1.17</v>
      </c>
      <c r="BE360" s="37" t="n">
        <v>2.71</v>
      </c>
      <c r="BF360" s="37" t="n">
        <v>2.52</v>
      </c>
      <c r="BG360" s="37" t="n">
        <v>1.75</v>
      </c>
      <c r="BH360" s="37" t="n">
        <v>3.05</v>
      </c>
      <c r="BI360" s="37" t="n">
        <v>3.02</v>
      </c>
      <c r="BJ360" s="37" t="n">
        <v>2.31</v>
      </c>
      <c r="BK360" s="37" t="n">
        <v>2.68</v>
      </c>
      <c r="BL360" s="37" t="n">
        <v>2.68</v>
      </c>
      <c r="BM360" s="37" t="n">
        <v>2.52</v>
      </c>
      <c r="BN360" s="37" t="n">
        <v>1.75</v>
      </c>
      <c r="BO360" s="37" t="n">
        <v>3.05</v>
      </c>
      <c r="BP360" s="37" t="n">
        <v>3.02</v>
      </c>
      <c r="BQ360" s="37" t="n">
        <v>2.86</v>
      </c>
      <c r="BR360" s="37" t="n">
        <v>2.68</v>
      </c>
      <c r="BS360" s="37" t="n">
        <v>2.68</v>
      </c>
      <c r="BT360" s="37" t="n">
        <v>2.52</v>
      </c>
      <c r="BU360" s="37" t="n">
        <v>1.75</v>
      </c>
      <c r="BV360" s="37" t="n">
        <v>3.05</v>
      </c>
      <c r="BW360" s="37" t="n">
        <v>3.02</v>
      </c>
      <c r="BX360" s="37" t="n">
        <v>2.86</v>
      </c>
      <c r="BY360" s="37" t="n">
        <v>2.68</v>
      </c>
      <c r="BZ360" s="37" t="n">
        <v>2.68</v>
      </c>
      <c r="CA360" s="37" t="n">
        <v>2.52</v>
      </c>
      <c r="CB360" s="37" t="n">
        <v>1.75</v>
      </c>
      <c r="CC360" s="37" t="n">
        <v>282.3800000000002</v>
      </c>
    </row>
    <row r="361" ht="15.75" customHeight="1" s="57">
      <c r="A361" s="7" t="inlineStr">
        <is>
          <t>NTB</t>
        </is>
      </c>
      <c r="B361" s="7" t="inlineStr">
        <is>
          <t>Lâm Đồng</t>
        </is>
      </c>
      <c r="C361" s="7" t="n">
        <v>22116000</v>
      </c>
      <c r="D361" s="7" t="inlineStr">
        <is>
          <t>(LDO) Xuân Trường - Đà Lạt</t>
        </is>
      </c>
      <c r="E361" s="7" t="inlineStr">
        <is>
          <t>Shopee</t>
        </is>
      </c>
      <c r="F361" s="36" t="n">
        <v>44</v>
      </c>
      <c r="G361" s="36" t="n">
        <v>55</v>
      </c>
      <c r="H361" s="36" t="n">
        <v>25</v>
      </c>
      <c r="I361" s="36" t="n">
        <v>41</v>
      </c>
      <c r="J361" s="36" t="n">
        <v>43</v>
      </c>
      <c r="K361" s="28" t="n">
        <v>40</v>
      </c>
      <c r="L361" s="36" t="n">
        <v>54</v>
      </c>
      <c r="M361" s="36" t="n">
        <v>72</v>
      </c>
      <c r="N361" s="36" t="n">
        <v>33</v>
      </c>
      <c r="O361" s="36" t="n">
        <v>42</v>
      </c>
      <c r="P361" s="36" t="n">
        <v>66</v>
      </c>
      <c r="Q361" s="36" t="n">
        <v>39</v>
      </c>
      <c r="R361" s="28" t="n">
        <v>53</v>
      </c>
      <c r="S361" s="36" t="n">
        <v>39</v>
      </c>
      <c r="T361" s="36" t="n">
        <v>57</v>
      </c>
      <c r="U361" s="36" t="n">
        <v>53.99</v>
      </c>
      <c r="V361" s="36" t="n">
        <v>54.55</v>
      </c>
      <c r="W361" s="36" t="n">
        <v>52.25</v>
      </c>
      <c r="X361" s="36" t="n">
        <v>45.17</v>
      </c>
      <c r="Y361" s="28" t="n">
        <v>73.09999999999999</v>
      </c>
      <c r="Z361" s="36" t="n">
        <v>57.95</v>
      </c>
      <c r="AA361" s="36" t="n">
        <v>70.81</v>
      </c>
      <c r="AB361" s="36" t="n">
        <v>55.45</v>
      </c>
      <c r="AC361" s="36" t="n">
        <v>44.54</v>
      </c>
      <c r="AD361" s="36" t="n">
        <v>118.4</v>
      </c>
      <c r="AE361" s="36" t="n">
        <v>48.43</v>
      </c>
      <c r="AF361" s="28" t="n">
        <v>80.26000000000001</v>
      </c>
      <c r="AG361" s="36" t="n">
        <v>60.8</v>
      </c>
      <c r="AH361" s="37" t="n">
        <v>64.14</v>
      </c>
      <c r="AI361" s="37" t="n">
        <v>53.99</v>
      </c>
      <c r="AJ361" s="37" t="n">
        <v>54.55</v>
      </c>
      <c r="AK361" s="37" t="n">
        <v>57.67</v>
      </c>
      <c r="AL361" s="37" t="n">
        <v>81.09</v>
      </c>
      <c r="AM361" s="37" t="n">
        <v>73.09999999999999</v>
      </c>
      <c r="AN361" s="37" t="n">
        <v>57.95</v>
      </c>
      <c r="AO361" s="37" t="n">
        <v>64.14</v>
      </c>
      <c r="AP361" s="37" t="n">
        <v>59.69</v>
      </c>
      <c r="AQ361" s="37" t="n">
        <v>43.57</v>
      </c>
      <c r="AR361" s="37" t="n">
        <v>52.25</v>
      </c>
      <c r="AS361" s="37" t="n">
        <v>45.17</v>
      </c>
      <c r="AT361" s="37" t="n">
        <v>73.09999999999999</v>
      </c>
      <c r="AU361" s="37" t="n">
        <v>63.72</v>
      </c>
      <c r="AV361" s="37" t="n">
        <v>65.73</v>
      </c>
      <c r="AW361" s="37" t="n">
        <v>53.99</v>
      </c>
      <c r="AX361" s="37" t="n">
        <v>54.55</v>
      </c>
      <c r="AY361" s="37" t="n">
        <v>52.25</v>
      </c>
      <c r="AZ361" s="37" t="n">
        <v>45.17</v>
      </c>
      <c r="BA361" s="37" t="n">
        <v>62.88</v>
      </c>
      <c r="BB361" s="37" t="n">
        <v>43.22</v>
      </c>
      <c r="BC361" s="37" t="n">
        <v>19.39</v>
      </c>
      <c r="BD361" s="37" t="n">
        <v>32.38</v>
      </c>
      <c r="BE361" s="37" t="n">
        <v>64.90000000000001</v>
      </c>
      <c r="BF361" s="37" t="n">
        <v>62.54</v>
      </c>
      <c r="BG361" s="37" t="n">
        <v>44.12</v>
      </c>
      <c r="BH361" s="37" t="n">
        <v>69.69</v>
      </c>
      <c r="BI361" s="37" t="n">
        <v>45.72</v>
      </c>
      <c r="BJ361" s="37" t="n">
        <v>167.74</v>
      </c>
      <c r="BK361" s="37" t="n">
        <v>55.31</v>
      </c>
      <c r="BL361" s="37" t="n">
        <v>54.55</v>
      </c>
      <c r="BM361" s="37" t="n">
        <v>49.82</v>
      </c>
      <c r="BN361" s="37" t="n">
        <v>43.29</v>
      </c>
      <c r="BO361" s="37" t="n">
        <v>69.69</v>
      </c>
      <c r="BP361" s="37" t="n">
        <v>60.52</v>
      </c>
      <c r="BQ361" s="37" t="n">
        <v>93.53</v>
      </c>
      <c r="BR361" s="37" t="n">
        <v>51.42</v>
      </c>
      <c r="BS361" s="37" t="n">
        <v>51.98</v>
      </c>
      <c r="BT361" s="37" t="n">
        <v>49.82</v>
      </c>
      <c r="BU361" s="37" t="n">
        <v>47.32</v>
      </c>
      <c r="BV361" s="37" t="n">
        <v>55.87</v>
      </c>
      <c r="BW361" s="37" t="n">
        <v>55.17</v>
      </c>
      <c r="BX361" s="37" t="n">
        <v>60.94</v>
      </c>
      <c r="BY361" s="37" t="n">
        <v>51.42</v>
      </c>
      <c r="BZ361" s="37" t="n">
        <v>56.91</v>
      </c>
      <c r="CA361" s="37" t="n">
        <v>50.93</v>
      </c>
      <c r="CB361" s="37" t="n">
        <v>43.29</v>
      </c>
      <c r="CC361" s="37" t="n">
        <v>4248.88</v>
      </c>
    </row>
    <row r="362" ht="15.75" customHeight="1" s="57">
      <c r="A362" s="7" t="inlineStr">
        <is>
          <t>NTB</t>
        </is>
      </c>
      <c r="B362" s="7" t="inlineStr">
        <is>
          <t>Lâm Đồng</t>
        </is>
      </c>
      <c r="C362" s="7" t="n">
        <v>22116000</v>
      </c>
      <c r="D362" s="7" t="inlineStr">
        <is>
          <t>(LDO) Xuân Trường - Đà Lạt</t>
        </is>
      </c>
      <c r="E362" s="7" t="inlineStr">
        <is>
          <t>Shopee-Bulky</t>
        </is>
      </c>
      <c r="F362" s="36" t="n">
        <v>11.11</v>
      </c>
      <c r="G362" s="36" t="n">
        <v>0</v>
      </c>
      <c r="H362" s="36" t="n">
        <v>2.61</v>
      </c>
      <c r="I362" s="36" t="n">
        <v>1.96</v>
      </c>
      <c r="J362" s="36" t="n">
        <v>4.57</v>
      </c>
      <c r="K362" s="28" t="n">
        <v>9.800000000000001</v>
      </c>
      <c r="L362" s="36" t="n">
        <v>1.31</v>
      </c>
      <c r="M362" s="36" t="n">
        <v>3.27</v>
      </c>
      <c r="N362" s="36" t="n">
        <v>3.92</v>
      </c>
      <c r="O362" s="36" t="n">
        <v>1.96</v>
      </c>
      <c r="P362" s="36" t="n">
        <v>8.49</v>
      </c>
      <c r="Q362" s="36" t="n">
        <v>7.19</v>
      </c>
      <c r="R362" s="28" t="n">
        <v>2.61</v>
      </c>
      <c r="S362" s="36" t="n">
        <v>3.27</v>
      </c>
      <c r="T362" s="36" t="n">
        <v>1.96</v>
      </c>
      <c r="U362" s="36" t="n">
        <v>4.02</v>
      </c>
      <c r="V362" s="36" t="n">
        <v>3.87</v>
      </c>
      <c r="W362" s="36" t="n">
        <v>5.09</v>
      </c>
      <c r="X362" s="36" t="n">
        <v>3.01</v>
      </c>
      <c r="Y362" s="28" t="n">
        <v>6.31</v>
      </c>
      <c r="Z362" s="36" t="n">
        <v>4.59</v>
      </c>
      <c r="AA362" s="36" t="n">
        <v>8.1</v>
      </c>
      <c r="AB362" s="36" t="n">
        <v>4.59</v>
      </c>
      <c r="AC362" s="36" t="n">
        <v>5.38</v>
      </c>
      <c r="AD362" s="36" t="n">
        <v>16.35</v>
      </c>
      <c r="AE362" s="36" t="n">
        <v>14.13</v>
      </c>
      <c r="AF362" s="28" t="n">
        <v>13.48</v>
      </c>
      <c r="AG362" s="36" t="n">
        <v>7.1</v>
      </c>
      <c r="AH362" s="37" t="n">
        <v>4.37</v>
      </c>
      <c r="AI362" s="37" t="n">
        <v>5.09</v>
      </c>
      <c r="AJ362" s="37" t="n">
        <v>4.23</v>
      </c>
      <c r="AK362" s="37" t="n">
        <v>10.11</v>
      </c>
      <c r="AL362" s="37" t="n">
        <v>5.52</v>
      </c>
      <c r="AM362" s="37" t="n">
        <v>8.32</v>
      </c>
      <c r="AN362" s="37" t="n">
        <v>4.59</v>
      </c>
      <c r="AO362" s="37" t="n">
        <v>4.45</v>
      </c>
      <c r="AP362" s="37" t="n">
        <v>9.029999999999999</v>
      </c>
      <c r="AQ362" s="37" t="n">
        <v>6.02</v>
      </c>
      <c r="AR362" s="37" t="n">
        <v>4.52</v>
      </c>
      <c r="AS362" s="37" t="n">
        <v>2.29</v>
      </c>
      <c r="AT362" s="37" t="n">
        <v>6.09</v>
      </c>
      <c r="AU362" s="37" t="n">
        <v>10.9</v>
      </c>
      <c r="AV362" s="37" t="n">
        <v>11.11</v>
      </c>
      <c r="AW362" s="37" t="n">
        <v>4.37</v>
      </c>
      <c r="AX362" s="37" t="n">
        <v>4.23</v>
      </c>
      <c r="AY362" s="37" t="n">
        <v>4.37</v>
      </c>
      <c r="AZ362" s="37" t="n">
        <v>2.29</v>
      </c>
      <c r="BA362" s="37" t="n">
        <v>5.66</v>
      </c>
      <c r="BB362" s="37" t="n">
        <v>3.51</v>
      </c>
      <c r="BC362" s="37" t="n">
        <v>0.72</v>
      </c>
      <c r="BD362" s="37" t="n">
        <v>1.43</v>
      </c>
      <c r="BE362" s="37" t="n">
        <v>6.6</v>
      </c>
      <c r="BF362" s="37" t="n">
        <v>5.52</v>
      </c>
      <c r="BG362" s="37" t="n">
        <v>3.51</v>
      </c>
      <c r="BH362" s="37" t="n">
        <v>8.029999999999999</v>
      </c>
      <c r="BI362" s="37" t="n">
        <v>5.95</v>
      </c>
      <c r="BJ362" s="37" t="n">
        <v>29.47</v>
      </c>
      <c r="BK362" s="37" t="n">
        <v>13.48</v>
      </c>
      <c r="BL362" s="37" t="n">
        <v>7.6</v>
      </c>
      <c r="BM362" s="37" t="n">
        <v>4.59</v>
      </c>
      <c r="BN362" s="37" t="n">
        <v>3.3</v>
      </c>
      <c r="BO362" s="37" t="n">
        <v>9.609999999999999</v>
      </c>
      <c r="BP362" s="37" t="n">
        <v>13.91</v>
      </c>
      <c r="BQ362" s="37" t="n">
        <v>10.9</v>
      </c>
      <c r="BR362" s="37" t="n">
        <v>5.52</v>
      </c>
      <c r="BS362" s="37" t="n">
        <v>5.38</v>
      </c>
      <c r="BT362" s="37" t="n">
        <v>4.37</v>
      </c>
      <c r="BU362" s="37" t="n">
        <v>7.17</v>
      </c>
      <c r="BV362" s="37" t="n">
        <v>8.6</v>
      </c>
      <c r="BW362" s="37" t="n">
        <v>5.95</v>
      </c>
      <c r="BX362" s="37" t="n">
        <v>5.74</v>
      </c>
      <c r="BY362" s="37" t="n">
        <v>5.52</v>
      </c>
      <c r="BZ362" s="37" t="n">
        <v>10.97</v>
      </c>
      <c r="CA362" s="37" t="n">
        <v>5.52</v>
      </c>
      <c r="CB362" s="37" t="n">
        <v>3.08</v>
      </c>
      <c r="CC362" s="37" t="n">
        <v>473.5600000000001</v>
      </c>
    </row>
    <row r="363" ht="15.75" customHeight="1" s="57">
      <c r="A363" s="7" t="inlineStr">
        <is>
          <t>NTB</t>
        </is>
      </c>
      <c r="B363" s="7" t="inlineStr">
        <is>
          <t>Lâm Đồng</t>
        </is>
      </c>
      <c r="C363" s="7" t="n">
        <v>22116000</v>
      </c>
      <c r="D363" s="7" t="inlineStr">
        <is>
          <t>(LDO) Xuân Trường - Đà Lạt</t>
        </is>
      </c>
      <c r="E363" s="7" t="inlineStr">
        <is>
          <t>Shopee-Bulky (10-15kg)</t>
        </is>
      </c>
      <c r="F363" s="36" t="n">
        <v>5.89</v>
      </c>
      <c r="G363" s="36" t="n">
        <v>0</v>
      </c>
      <c r="H363" s="36" t="n">
        <v>1.39</v>
      </c>
      <c r="I363" s="36" t="n">
        <v>1.04</v>
      </c>
      <c r="J363" s="36" t="n">
        <v>2.43</v>
      </c>
      <c r="K363" s="28" t="n">
        <v>5.2</v>
      </c>
      <c r="L363" s="36" t="n">
        <v>0.6899999999999999</v>
      </c>
      <c r="M363" s="36" t="n">
        <v>1.73</v>
      </c>
      <c r="N363" s="36" t="n">
        <v>2.08</v>
      </c>
      <c r="O363" s="36" t="n">
        <v>1.04</v>
      </c>
      <c r="P363" s="36" t="n">
        <v>4.51</v>
      </c>
      <c r="Q363" s="36" t="n">
        <v>3.81</v>
      </c>
      <c r="R363" s="28" t="n">
        <v>1.39</v>
      </c>
      <c r="S363" s="36" t="n">
        <v>1.73</v>
      </c>
      <c r="T363" s="36" t="n">
        <v>1.04</v>
      </c>
      <c r="U363" s="36" t="n">
        <v>2.08</v>
      </c>
      <c r="V363" s="36" t="n">
        <v>2.01</v>
      </c>
      <c r="W363" s="36" t="n">
        <v>2.51</v>
      </c>
      <c r="X363" s="36" t="n">
        <v>1.51</v>
      </c>
      <c r="Y363" s="28" t="n">
        <v>3.66</v>
      </c>
      <c r="Z363" s="36" t="n">
        <v>2.44</v>
      </c>
      <c r="AA363" s="36" t="n">
        <v>4.45</v>
      </c>
      <c r="AB363" s="36" t="n">
        <v>2.29</v>
      </c>
      <c r="AC363" s="36" t="n">
        <v>2.44</v>
      </c>
      <c r="AD363" s="36" t="n">
        <v>11.9</v>
      </c>
      <c r="AE363" s="36" t="n">
        <v>8.1</v>
      </c>
      <c r="AF363" s="28" t="n">
        <v>6.74</v>
      </c>
      <c r="AG363" s="36" t="n">
        <v>5.23</v>
      </c>
      <c r="AH363" s="37" t="n">
        <v>2.44</v>
      </c>
      <c r="AI363" s="37" t="n">
        <v>2.44</v>
      </c>
      <c r="AJ363" s="37" t="n">
        <v>2.44</v>
      </c>
      <c r="AK363" s="37" t="n">
        <v>6.31</v>
      </c>
      <c r="AL363" s="37" t="n">
        <v>2.51</v>
      </c>
      <c r="AM363" s="37" t="n">
        <v>5.02</v>
      </c>
      <c r="AN363" s="37" t="n">
        <v>2.44</v>
      </c>
      <c r="AO363" s="37" t="n">
        <v>2.29</v>
      </c>
      <c r="AP363" s="37" t="n">
        <v>4.59</v>
      </c>
      <c r="AQ363" s="37" t="n">
        <v>3.01</v>
      </c>
      <c r="AR363" s="37" t="n">
        <v>2.29</v>
      </c>
      <c r="AS363" s="37" t="n">
        <v>1.15</v>
      </c>
      <c r="AT363" s="37" t="n">
        <v>3.59</v>
      </c>
      <c r="AU363" s="37" t="n">
        <v>5.74</v>
      </c>
      <c r="AV363" s="37" t="n">
        <v>6.38</v>
      </c>
      <c r="AW363" s="37" t="n">
        <v>2.15</v>
      </c>
      <c r="AX363" s="37" t="n">
        <v>2.01</v>
      </c>
      <c r="AY363" s="37" t="n">
        <v>2.22</v>
      </c>
      <c r="AZ363" s="37" t="n">
        <v>1.15</v>
      </c>
      <c r="BA363" s="37" t="n">
        <v>2.72</v>
      </c>
      <c r="BB363" s="37" t="n">
        <v>1.72</v>
      </c>
      <c r="BC363" s="37" t="n">
        <v>0.29</v>
      </c>
      <c r="BD363" s="37" t="n">
        <v>0.57</v>
      </c>
      <c r="BE363" s="37" t="n">
        <v>3.37</v>
      </c>
      <c r="BF363" s="37" t="n">
        <v>2.8</v>
      </c>
      <c r="BG363" s="37" t="n">
        <v>1.58</v>
      </c>
      <c r="BH363" s="37" t="n">
        <v>4.88</v>
      </c>
      <c r="BI363" s="37" t="n">
        <v>2.65</v>
      </c>
      <c r="BJ363" s="37" t="n">
        <v>16.49</v>
      </c>
      <c r="BK363" s="37" t="n">
        <v>5.95</v>
      </c>
      <c r="BL363" s="37" t="n">
        <v>4.45</v>
      </c>
      <c r="BM363" s="37" t="n">
        <v>2.15</v>
      </c>
      <c r="BN363" s="37" t="n">
        <v>1.58</v>
      </c>
      <c r="BO363" s="37" t="n">
        <v>4.59</v>
      </c>
      <c r="BP363" s="37" t="n">
        <v>5.95</v>
      </c>
      <c r="BQ363" s="37" t="n">
        <v>5.59</v>
      </c>
      <c r="BR363" s="37" t="n">
        <v>2.8</v>
      </c>
      <c r="BS363" s="37" t="n">
        <v>2.58</v>
      </c>
      <c r="BT363" s="37" t="n">
        <v>2.15</v>
      </c>
      <c r="BU363" s="37" t="n">
        <v>2.8</v>
      </c>
      <c r="BV363" s="37" t="n">
        <v>5.23</v>
      </c>
      <c r="BW363" s="37" t="n">
        <v>2.65</v>
      </c>
      <c r="BX363" s="37" t="n">
        <v>3.01</v>
      </c>
      <c r="BY363" s="37" t="n">
        <v>2.8</v>
      </c>
      <c r="BZ363" s="37" t="n">
        <v>5.16</v>
      </c>
      <c r="CA363" s="37" t="n">
        <v>2.8</v>
      </c>
      <c r="CB363" s="37" t="n">
        <v>1.58</v>
      </c>
      <c r="CC363" s="37" t="n">
        <v>250.3900000000001</v>
      </c>
    </row>
    <row r="364" ht="15.75" customHeight="1" s="57">
      <c r="A364" s="7" t="inlineStr">
        <is>
          <t>NTB</t>
        </is>
      </c>
      <c r="B364" s="7" t="inlineStr">
        <is>
          <t>Lâm Đồng</t>
        </is>
      </c>
      <c r="C364" s="7" t="n">
        <v>22116000</v>
      </c>
      <c r="D364" s="7" t="inlineStr">
        <is>
          <t>(LDO) Xuân Trường - Đà Lạt</t>
        </is>
      </c>
      <c r="E364" s="7" t="inlineStr">
        <is>
          <t>TTS</t>
        </is>
      </c>
      <c r="F364" s="36" t="n">
        <v>27</v>
      </c>
      <c r="G364" s="36" t="n">
        <v>32</v>
      </c>
      <c r="H364" s="36" t="n">
        <v>18</v>
      </c>
      <c r="I364" s="36" t="n">
        <v>27</v>
      </c>
      <c r="J364" s="36" t="n">
        <v>25</v>
      </c>
      <c r="K364" s="28" t="n">
        <v>29</v>
      </c>
      <c r="L364" s="36" t="n">
        <v>23</v>
      </c>
      <c r="M364" s="36" t="n">
        <v>22</v>
      </c>
      <c r="N364" s="36" t="n">
        <v>21</v>
      </c>
      <c r="O364" s="36" t="n">
        <v>28</v>
      </c>
      <c r="P364" s="36" t="n">
        <v>27</v>
      </c>
      <c r="Q364" s="36" t="n">
        <v>27</v>
      </c>
      <c r="R364" s="28" t="n">
        <v>20</v>
      </c>
      <c r="S364" s="36" t="n">
        <v>20</v>
      </c>
      <c r="T364" s="36" t="n">
        <v>22</v>
      </c>
      <c r="U364" s="36" t="n">
        <v>11.23</v>
      </c>
      <c r="V364" s="36" t="n">
        <v>11.11</v>
      </c>
      <c r="W364" s="36" t="n">
        <v>10.83</v>
      </c>
      <c r="X364" s="36" t="n">
        <v>8.720000000000001</v>
      </c>
      <c r="Y364" s="28" t="n">
        <v>12.73</v>
      </c>
      <c r="Z364" s="36" t="n">
        <v>10.82</v>
      </c>
      <c r="AA364" s="36" t="n">
        <v>12.04</v>
      </c>
      <c r="AB364" s="36" t="n">
        <v>13.37</v>
      </c>
      <c r="AC364" s="36" t="n">
        <v>14.2</v>
      </c>
      <c r="AD364" s="36" t="n">
        <v>19.69</v>
      </c>
      <c r="AE364" s="36" t="n">
        <v>10.15</v>
      </c>
      <c r="AF364" s="28" t="n">
        <v>13.08</v>
      </c>
      <c r="AG364" s="36" t="n">
        <v>11.06</v>
      </c>
      <c r="AH364" s="37" t="n">
        <v>10.9</v>
      </c>
      <c r="AI364" s="37" t="n">
        <v>12.61</v>
      </c>
      <c r="AJ364" s="37" t="n">
        <v>13.47</v>
      </c>
      <c r="AK364" s="37" t="n">
        <v>13.25</v>
      </c>
      <c r="AL364" s="37" t="n">
        <v>9.49</v>
      </c>
      <c r="AM364" s="37" t="n">
        <v>12.92</v>
      </c>
      <c r="AN364" s="37" t="n">
        <v>11.15</v>
      </c>
      <c r="AO364" s="37" t="n">
        <v>11.06</v>
      </c>
      <c r="AP364" s="37" t="n">
        <v>10.81</v>
      </c>
      <c r="AQ364" s="37" t="n">
        <v>10.89</v>
      </c>
      <c r="AR364" s="37" t="n">
        <v>10.66</v>
      </c>
      <c r="AS364" s="37" t="n">
        <v>8.74</v>
      </c>
      <c r="AT364" s="37" t="n">
        <v>13.97</v>
      </c>
      <c r="AU364" s="37" t="n">
        <v>12.65</v>
      </c>
      <c r="AV364" s="37" t="n">
        <v>11.21</v>
      </c>
      <c r="AW364" s="37" t="n">
        <v>10.67</v>
      </c>
      <c r="AX364" s="37" t="n">
        <v>10.62</v>
      </c>
      <c r="AY364" s="37" t="n">
        <v>10.54</v>
      </c>
      <c r="AZ364" s="37" t="n">
        <v>8.74</v>
      </c>
      <c r="BA364" s="37" t="n">
        <v>12.56</v>
      </c>
      <c r="BB364" s="37" t="n">
        <v>11.83</v>
      </c>
      <c r="BC364" s="37" t="n">
        <v>5.95</v>
      </c>
      <c r="BD364" s="37" t="n">
        <v>8.49</v>
      </c>
      <c r="BE364" s="37" t="n">
        <v>19.77</v>
      </c>
      <c r="BF364" s="37" t="n">
        <v>19.12</v>
      </c>
      <c r="BG364" s="37" t="n">
        <v>9.51</v>
      </c>
      <c r="BH364" s="37" t="n">
        <v>13.94</v>
      </c>
      <c r="BI364" s="37" t="n">
        <v>11.83</v>
      </c>
      <c r="BJ364" s="37" t="n">
        <v>14.9</v>
      </c>
      <c r="BK364" s="37" t="n">
        <v>11.99</v>
      </c>
      <c r="BL364" s="37" t="n">
        <v>12.03</v>
      </c>
      <c r="BM364" s="37" t="n">
        <v>11.65</v>
      </c>
      <c r="BN364" s="37" t="n">
        <v>9.51</v>
      </c>
      <c r="BO364" s="37" t="n">
        <v>13.94</v>
      </c>
      <c r="BP364" s="37" t="n">
        <v>11.83</v>
      </c>
      <c r="BQ364" s="37" t="n">
        <v>11.68</v>
      </c>
      <c r="BR364" s="37" t="n">
        <v>11.99</v>
      </c>
      <c r="BS364" s="37" t="n">
        <v>12.03</v>
      </c>
      <c r="BT364" s="37" t="n">
        <v>11.65</v>
      </c>
      <c r="BU364" s="37" t="n">
        <v>9.51</v>
      </c>
      <c r="BV364" s="37" t="n">
        <v>13.94</v>
      </c>
      <c r="BW364" s="37" t="n">
        <v>11.83</v>
      </c>
      <c r="BX364" s="37" t="n">
        <v>11.68</v>
      </c>
      <c r="BY364" s="37" t="n">
        <v>11.99</v>
      </c>
      <c r="BZ364" s="37" t="n">
        <v>12.03</v>
      </c>
      <c r="CA364" s="37" t="n">
        <v>11.65</v>
      </c>
      <c r="CB364" s="37" t="n">
        <v>9.51</v>
      </c>
      <c r="CC364" s="37" t="n">
        <v>1079.72</v>
      </c>
    </row>
    <row r="365" ht="15.75" customHeight="1" s="57">
      <c r="A365" s="7" t="inlineStr">
        <is>
          <t>NTB</t>
        </is>
      </c>
      <c r="B365" s="7" t="inlineStr">
        <is>
          <t>Lâm Đồng</t>
        </is>
      </c>
      <c r="C365" s="7" t="n">
        <v>22222000</v>
      </c>
      <c r="D365" s="7" t="inlineStr">
        <is>
          <t>(LDO) Bảo Lâm 1</t>
        </is>
      </c>
      <c r="E365" s="7" t="inlineStr">
        <is>
          <t>SME</t>
        </is>
      </c>
      <c r="F365" s="36" t="n">
        <v>7</v>
      </c>
      <c r="G365" s="36" t="n">
        <v>11</v>
      </c>
      <c r="H365" s="36" t="n">
        <v>16</v>
      </c>
      <c r="I365" s="36" t="n">
        <v>12</v>
      </c>
      <c r="J365" s="36" t="n">
        <v>13</v>
      </c>
      <c r="K365" s="28" t="n">
        <v>10</v>
      </c>
      <c r="L365" s="36" t="n">
        <v>7</v>
      </c>
      <c r="M365" s="36" t="n">
        <v>5</v>
      </c>
      <c r="N365" s="36" t="n">
        <v>12</v>
      </c>
      <c r="O365" s="36" t="n">
        <v>5</v>
      </c>
      <c r="P365" s="36" t="n">
        <v>7</v>
      </c>
      <c r="Q365" s="36" t="n">
        <v>13</v>
      </c>
      <c r="R365" s="28" t="n">
        <v>19</v>
      </c>
      <c r="S365" s="36" t="n">
        <v>10</v>
      </c>
      <c r="T365" s="36" t="n">
        <v>11</v>
      </c>
      <c r="U365" s="36" t="n">
        <v>15.42</v>
      </c>
      <c r="V365" s="36" t="n">
        <v>15.93</v>
      </c>
      <c r="W365" s="36" t="n">
        <v>15.5</v>
      </c>
      <c r="X365" s="36" t="n">
        <v>12.68</v>
      </c>
      <c r="Y365" s="28" t="n">
        <v>17.18</v>
      </c>
      <c r="Z365" s="36" t="n">
        <v>15.8</v>
      </c>
      <c r="AA365" s="36" t="n">
        <v>15.41</v>
      </c>
      <c r="AB365" s="36" t="n">
        <v>15.42</v>
      </c>
      <c r="AC365" s="36" t="n">
        <v>15.93</v>
      </c>
      <c r="AD365" s="36" t="n">
        <v>16.76</v>
      </c>
      <c r="AE365" s="36" t="n">
        <v>12.68</v>
      </c>
      <c r="AF365" s="28" t="n">
        <v>17.18</v>
      </c>
      <c r="AG365" s="36" t="n">
        <v>15.8</v>
      </c>
      <c r="AH365" s="37" t="n">
        <v>15.41</v>
      </c>
      <c r="AI365" s="37" t="n">
        <v>15.42</v>
      </c>
      <c r="AJ365" s="37" t="n">
        <v>15.93</v>
      </c>
      <c r="AK365" s="37" t="n">
        <v>15.5</v>
      </c>
      <c r="AL365" s="37" t="n">
        <v>12.68</v>
      </c>
      <c r="AM365" s="37" t="n">
        <v>17.18</v>
      </c>
      <c r="AN365" s="37" t="n">
        <v>15.8</v>
      </c>
      <c r="AO365" s="37" t="n">
        <v>15.41</v>
      </c>
      <c r="AP365" s="37" t="n">
        <v>15.42</v>
      </c>
      <c r="AQ365" s="37" t="n">
        <v>15.93</v>
      </c>
      <c r="AR365" s="37" t="n">
        <v>15.5</v>
      </c>
      <c r="AS365" s="37" t="n">
        <v>12.68</v>
      </c>
      <c r="AT365" s="37" t="n">
        <v>17.18</v>
      </c>
      <c r="AU365" s="37" t="n">
        <v>15.8</v>
      </c>
      <c r="AV365" s="37" t="n">
        <v>15.41</v>
      </c>
      <c r="AW365" s="37" t="n">
        <v>15.42</v>
      </c>
      <c r="AX365" s="37" t="n">
        <v>15.93</v>
      </c>
      <c r="AY365" s="37" t="n">
        <v>15.5</v>
      </c>
      <c r="AZ365" s="37" t="n">
        <v>12.68</v>
      </c>
      <c r="BA365" s="37" t="n">
        <v>16.33</v>
      </c>
      <c r="BB365" s="37" t="n">
        <v>14.5</v>
      </c>
      <c r="BC365" s="37" t="n">
        <v>8.879999999999999</v>
      </c>
      <c r="BD365" s="37" t="n">
        <v>6.94</v>
      </c>
      <c r="BE365" s="37" t="n">
        <v>14.91</v>
      </c>
      <c r="BF365" s="37" t="n">
        <v>14.54</v>
      </c>
      <c r="BG365" s="37" t="n">
        <v>13.06</v>
      </c>
      <c r="BH365" s="37" t="n">
        <v>17.71</v>
      </c>
      <c r="BI365" s="37" t="n">
        <v>16.28</v>
      </c>
      <c r="BJ365" s="37" t="n">
        <v>17.24</v>
      </c>
      <c r="BK365" s="37" t="n">
        <v>15.86</v>
      </c>
      <c r="BL365" s="37" t="n">
        <v>16.4</v>
      </c>
      <c r="BM365" s="37" t="n">
        <v>15.95</v>
      </c>
      <c r="BN365" s="37" t="n">
        <v>13.06</v>
      </c>
      <c r="BO365" s="37" t="n">
        <v>17.71</v>
      </c>
      <c r="BP365" s="37" t="n">
        <v>16.28</v>
      </c>
      <c r="BQ365" s="37" t="n">
        <v>15.86</v>
      </c>
      <c r="BR365" s="37" t="n">
        <v>15.86</v>
      </c>
      <c r="BS365" s="37" t="n">
        <v>16.4</v>
      </c>
      <c r="BT365" s="37" t="n">
        <v>15.95</v>
      </c>
      <c r="BU365" s="37" t="n">
        <v>13.06</v>
      </c>
      <c r="BV365" s="37" t="n">
        <v>17.71</v>
      </c>
      <c r="BW365" s="37" t="n">
        <v>16.28</v>
      </c>
      <c r="BX365" s="37" t="n">
        <v>15.86</v>
      </c>
      <c r="BY365" s="37" t="n">
        <v>15.86</v>
      </c>
      <c r="BZ365" s="37" t="n">
        <v>16.4</v>
      </c>
      <c r="CA365" s="37" t="n">
        <v>15.95</v>
      </c>
      <c r="CB365" s="37" t="n">
        <v>13.06</v>
      </c>
      <c r="CC365" s="37" t="n">
        <v>1074.37</v>
      </c>
    </row>
    <row r="366" ht="15.75" customHeight="1" s="57">
      <c r="A366" s="7" t="inlineStr">
        <is>
          <t>NTB</t>
        </is>
      </c>
      <c r="B366" s="7" t="inlineStr">
        <is>
          <t>Lâm Đồng</t>
        </is>
      </c>
      <c r="C366" s="7" t="n">
        <v>22222000</v>
      </c>
      <c r="D366" s="7" t="inlineStr">
        <is>
          <t>(LDO) Bảo Lâm 1</t>
        </is>
      </c>
      <c r="E366" s="7" t="inlineStr">
        <is>
          <t>SME-Bulky</t>
        </is>
      </c>
      <c r="F366" s="36" t="n">
        <v>2</v>
      </c>
      <c r="G366" s="36" t="n">
        <v>2</v>
      </c>
      <c r="H366" s="36" t="n">
        <v>0</v>
      </c>
      <c r="I366" s="36" t="n">
        <v>0</v>
      </c>
      <c r="J366" s="36" t="n">
        <v>0</v>
      </c>
      <c r="K366" s="28" t="n">
        <v>1</v>
      </c>
      <c r="L366" s="36" t="n">
        <v>0</v>
      </c>
      <c r="M366" s="36" t="n">
        <v>2</v>
      </c>
      <c r="N366" s="36" t="n">
        <v>4</v>
      </c>
      <c r="O366" s="36" t="n">
        <v>2</v>
      </c>
      <c r="P366" s="36" t="n">
        <v>1</v>
      </c>
      <c r="Q366" s="36" t="n">
        <v>0</v>
      </c>
      <c r="R366" s="28" t="n">
        <v>1</v>
      </c>
      <c r="S366" s="36" t="n">
        <v>2</v>
      </c>
      <c r="T366" s="36" t="n">
        <v>0</v>
      </c>
      <c r="U366" s="36" t="n">
        <v>1.5</v>
      </c>
      <c r="V366" s="36" t="n">
        <v>1.48</v>
      </c>
      <c r="W366" s="36" t="n">
        <v>1.44</v>
      </c>
      <c r="X366" s="36" t="n">
        <v>1.04</v>
      </c>
      <c r="Y366" s="28" t="n">
        <v>1.69</v>
      </c>
      <c r="Z366" s="36" t="n">
        <v>1.64</v>
      </c>
      <c r="AA366" s="36" t="n">
        <v>1.62</v>
      </c>
      <c r="AB366" s="36" t="n">
        <v>1.5</v>
      </c>
      <c r="AC366" s="36" t="n">
        <v>1.48</v>
      </c>
      <c r="AD366" s="36" t="n">
        <v>1.13</v>
      </c>
      <c r="AE366" s="36" t="n">
        <v>1.04</v>
      </c>
      <c r="AF366" s="28" t="n">
        <v>1.69</v>
      </c>
      <c r="AG366" s="36" t="n">
        <v>1.64</v>
      </c>
      <c r="AH366" s="37" t="n">
        <v>1.62</v>
      </c>
      <c r="AI366" s="37" t="n">
        <v>1.5</v>
      </c>
      <c r="AJ366" s="37" t="n">
        <v>1.48</v>
      </c>
      <c r="AK366" s="37" t="n">
        <v>1.44</v>
      </c>
      <c r="AL366" s="37" t="n">
        <v>1.04</v>
      </c>
      <c r="AM366" s="37" t="n">
        <v>1.69</v>
      </c>
      <c r="AN366" s="37" t="n">
        <v>1.64</v>
      </c>
      <c r="AO366" s="37" t="n">
        <v>1.62</v>
      </c>
      <c r="AP366" s="37" t="n">
        <v>1.5</v>
      </c>
      <c r="AQ366" s="37" t="n">
        <v>1.48</v>
      </c>
      <c r="AR366" s="37" t="n">
        <v>1.44</v>
      </c>
      <c r="AS366" s="37" t="n">
        <v>1.04</v>
      </c>
      <c r="AT366" s="37" t="n">
        <v>1.69</v>
      </c>
      <c r="AU366" s="37" t="n">
        <v>1.64</v>
      </c>
      <c r="AV366" s="37" t="n">
        <v>1.62</v>
      </c>
      <c r="AW366" s="37" t="n">
        <v>1.5</v>
      </c>
      <c r="AX366" s="37" t="n">
        <v>1.48</v>
      </c>
      <c r="AY366" s="37" t="n">
        <v>1.44</v>
      </c>
      <c r="AZ366" s="37" t="n">
        <v>1.04</v>
      </c>
      <c r="BA366" s="37" t="n">
        <v>1.85</v>
      </c>
      <c r="BB366" s="37" t="n">
        <v>0.98</v>
      </c>
      <c r="BC366" s="37" t="n">
        <v>0.5</v>
      </c>
      <c r="BD366" s="37" t="n">
        <v>0.38</v>
      </c>
      <c r="BE366" s="37" t="n">
        <v>0.88</v>
      </c>
      <c r="BF366" s="37" t="n">
        <v>0.82</v>
      </c>
      <c r="BG366" s="37" t="n">
        <v>0.57</v>
      </c>
      <c r="BH366" s="37" t="n">
        <v>0.99</v>
      </c>
      <c r="BI366" s="37" t="n">
        <v>0.98</v>
      </c>
      <c r="BJ366" s="37" t="n">
        <v>0.75</v>
      </c>
      <c r="BK366" s="37" t="n">
        <v>0.87</v>
      </c>
      <c r="BL366" s="37" t="n">
        <v>0.87</v>
      </c>
      <c r="BM366" s="37" t="n">
        <v>0.82</v>
      </c>
      <c r="BN366" s="37" t="n">
        <v>0.57</v>
      </c>
      <c r="BO366" s="37" t="n">
        <v>0.99</v>
      </c>
      <c r="BP366" s="37" t="n">
        <v>0.98</v>
      </c>
      <c r="BQ366" s="37" t="n">
        <v>0.93</v>
      </c>
      <c r="BR366" s="37" t="n">
        <v>0.87</v>
      </c>
      <c r="BS366" s="37" t="n">
        <v>0.87</v>
      </c>
      <c r="BT366" s="37" t="n">
        <v>0.82</v>
      </c>
      <c r="BU366" s="37" t="n">
        <v>0.57</v>
      </c>
      <c r="BV366" s="37" t="n">
        <v>0.99</v>
      </c>
      <c r="BW366" s="37" t="n">
        <v>0.98</v>
      </c>
      <c r="BX366" s="37" t="n">
        <v>0.93</v>
      </c>
      <c r="BY366" s="37" t="n">
        <v>0.87</v>
      </c>
      <c r="BZ366" s="37" t="n">
        <v>0.87</v>
      </c>
      <c r="CA366" s="37" t="n">
        <v>0.82</v>
      </c>
      <c r="CB366" s="37" t="n">
        <v>0.57</v>
      </c>
      <c r="CC366" s="37" t="n">
        <v>87.67999999999995</v>
      </c>
    </row>
    <row r="367" ht="15.75" customHeight="1" s="57">
      <c r="A367" s="7" t="inlineStr">
        <is>
          <t>NTB</t>
        </is>
      </c>
      <c r="B367" s="7" t="inlineStr">
        <is>
          <t>Lâm Đồng</t>
        </is>
      </c>
      <c r="C367" s="7" t="n">
        <v>22222000</v>
      </c>
      <c r="D367" s="7" t="inlineStr">
        <is>
          <t>(LDO) Bảo Lâm 1</t>
        </is>
      </c>
      <c r="E367" s="7" t="inlineStr">
        <is>
          <t>Shopee</t>
        </is>
      </c>
      <c r="F367" s="36" t="n">
        <v>9</v>
      </c>
      <c r="G367" s="36" t="n">
        <v>7</v>
      </c>
      <c r="H367" s="36" t="n">
        <v>9</v>
      </c>
      <c r="I367" s="36" t="n">
        <v>9</v>
      </c>
      <c r="J367" s="36" t="n">
        <v>3</v>
      </c>
      <c r="K367" s="28" t="n">
        <v>8</v>
      </c>
      <c r="L367" s="36" t="n">
        <v>10</v>
      </c>
      <c r="M367" s="36" t="n">
        <v>10</v>
      </c>
      <c r="N367" s="36" t="n">
        <v>4</v>
      </c>
      <c r="O367" s="36" t="n">
        <v>6</v>
      </c>
      <c r="P367" s="36" t="n">
        <v>5</v>
      </c>
      <c r="Q367" s="36" t="n">
        <v>0</v>
      </c>
      <c r="R367" s="28" t="n">
        <v>6</v>
      </c>
      <c r="S367" s="36" t="n">
        <v>7</v>
      </c>
      <c r="T367" s="36" t="n">
        <v>6</v>
      </c>
      <c r="U367" s="36" t="n">
        <v>6.27</v>
      </c>
      <c r="V367" s="36" t="n">
        <v>6.34</v>
      </c>
      <c r="W367" s="36" t="n">
        <v>6.07</v>
      </c>
      <c r="X367" s="36" t="n">
        <v>5.25</v>
      </c>
      <c r="Y367" s="28" t="n">
        <v>8.49</v>
      </c>
      <c r="Z367" s="36" t="n">
        <v>6.73</v>
      </c>
      <c r="AA367" s="36" t="n">
        <v>8.23</v>
      </c>
      <c r="AB367" s="36" t="n">
        <v>6.44</v>
      </c>
      <c r="AC367" s="36" t="n">
        <v>5.18</v>
      </c>
      <c r="AD367" s="36" t="n">
        <v>13.76</v>
      </c>
      <c r="AE367" s="36" t="n">
        <v>5.63</v>
      </c>
      <c r="AF367" s="28" t="n">
        <v>9.33</v>
      </c>
      <c r="AG367" s="36" t="n">
        <v>7.07</v>
      </c>
      <c r="AH367" s="37" t="n">
        <v>7.45</v>
      </c>
      <c r="AI367" s="37" t="n">
        <v>6.27</v>
      </c>
      <c r="AJ367" s="37" t="n">
        <v>6.34</v>
      </c>
      <c r="AK367" s="37" t="n">
        <v>6.7</v>
      </c>
      <c r="AL367" s="37" t="n">
        <v>9.42</v>
      </c>
      <c r="AM367" s="37" t="n">
        <v>8.49</v>
      </c>
      <c r="AN367" s="37" t="n">
        <v>6.73</v>
      </c>
      <c r="AO367" s="37" t="n">
        <v>7.45</v>
      </c>
      <c r="AP367" s="37" t="n">
        <v>6.94</v>
      </c>
      <c r="AQ367" s="37" t="n">
        <v>5.06</v>
      </c>
      <c r="AR367" s="37" t="n">
        <v>6.07</v>
      </c>
      <c r="AS367" s="37" t="n">
        <v>5.25</v>
      </c>
      <c r="AT367" s="37" t="n">
        <v>8.49</v>
      </c>
      <c r="AU367" s="37" t="n">
        <v>7.4</v>
      </c>
      <c r="AV367" s="37" t="n">
        <v>7.64</v>
      </c>
      <c r="AW367" s="37" t="n">
        <v>6.27</v>
      </c>
      <c r="AX367" s="37" t="n">
        <v>6.34</v>
      </c>
      <c r="AY367" s="37" t="n">
        <v>6.07</v>
      </c>
      <c r="AZ367" s="37" t="n">
        <v>5.25</v>
      </c>
      <c r="BA367" s="37" t="n">
        <v>7.31</v>
      </c>
      <c r="BB367" s="37" t="n">
        <v>5.02</v>
      </c>
      <c r="BC367" s="37" t="n">
        <v>2.25</v>
      </c>
      <c r="BD367" s="37" t="n">
        <v>3.76</v>
      </c>
      <c r="BE367" s="37" t="n">
        <v>7.54</v>
      </c>
      <c r="BF367" s="37" t="n">
        <v>7.27</v>
      </c>
      <c r="BG367" s="37" t="n">
        <v>5.13</v>
      </c>
      <c r="BH367" s="37" t="n">
        <v>8.1</v>
      </c>
      <c r="BI367" s="37" t="n">
        <v>5.31</v>
      </c>
      <c r="BJ367" s="37" t="n">
        <v>19.49</v>
      </c>
      <c r="BK367" s="37" t="n">
        <v>6.43</v>
      </c>
      <c r="BL367" s="37" t="n">
        <v>6.34</v>
      </c>
      <c r="BM367" s="37" t="n">
        <v>5.79</v>
      </c>
      <c r="BN367" s="37" t="n">
        <v>5.03</v>
      </c>
      <c r="BO367" s="37" t="n">
        <v>8.1</v>
      </c>
      <c r="BP367" s="37" t="n">
        <v>7.03</v>
      </c>
      <c r="BQ367" s="37" t="n">
        <v>10.87</v>
      </c>
      <c r="BR367" s="37" t="n">
        <v>5.98</v>
      </c>
      <c r="BS367" s="37" t="n">
        <v>6.04</v>
      </c>
      <c r="BT367" s="37" t="n">
        <v>5.79</v>
      </c>
      <c r="BU367" s="37" t="n">
        <v>5.5</v>
      </c>
      <c r="BV367" s="37" t="n">
        <v>6.49</v>
      </c>
      <c r="BW367" s="37" t="n">
        <v>6.41</v>
      </c>
      <c r="BX367" s="37" t="n">
        <v>7.08</v>
      </c>
      <c r="BY367" s="37" t="n">
        <v>5.98</v>
      </c>
      <c r="BZ367" s="37" t="n">
        <v>6.61</v>
      </c>
      <c r="CA367" s="37" t="n">
        <v>5.92</v>
      </c>
      <c r="CB367" s="37" t="n">
        <v>5.03</v>
      </c>
      <c r="CC367" s="37" t="n">
        <v>511.02</v>
      </c>
    </row>
    <row r="368" ht="15.75" customHeight="1" s="57">
      <c r="A368" s="7" t="inlineStr">
        <is>
          <t>NTB</t>
        </is>
      </c>
      <c r="B368" s="7" t="inlineStr">
        <is>
          <t>Lâm Đồng</t>
        </is>
      </c>
      <c r="C368" s="7" t="n">
        <v>22222000</v>
      </c>
      <c r="D368" s="7" t="inlineStr">
        <is>
          <t>(LDO) Bảo Lâm 1</t>
        </is>
      </c>
      <c r="E368" s="7" t="inlineStr">
        <is>
          <t>Shopee-Bulky</t>
        </is>
      </c>
      <c r="F368" s="36" t="n">
        <v>0</v>
      </c>
      <c r="G368" s="36" t="n">
        <v>1.31</v>
      </c>
      <c r="H368" s="36" t="n">
        <v>0</v>
      </c>
      <c r="I368" s="36" t="n">
        <v>0</v>
      </c>
      <c r="J368" s="36" t="n">
        <v>0</v>
      </c>
      <c r="K368" s="28" t="n">
        <v>0.65</v>
      </c>
      <c r="L368" s="36" t="n">
        <v>0</v>
      </c>
      <c r="M368" s="36" t="n">
        <v>0</v>
      </c>
      <c r="N368" s="36" t="n">
        <v>0</v>
      </c>
      <c r="O368" s="36" t="n">
        <v>0.65</v>
      </c>
      <c r="P368" s="36" t="n">
        <v>0</v>
      </c>
      <c r="Q368" s="36" t="n">
        <v>0</v>
      </c>
      <c r="R368" s="28" t="n">
        <v>3.26</v>
      </c>
      <c r="S368" s="36" t="n">
        <v>1.31</v>
      </c>
      <c r="T368" s="36" t="n">
        <v>0.65</v>
      </c>
      <c r="U368" s="36" t="n">
        <v>0.98</v>
      </c>
      <c r="V368" s="36" t="n">
        <v>0.9399999999999999</v>
      </c>
      <c r="W368" s="36" t="n">
        <v>1.24</v>
      </c>
      <c r="X368" s="36" t="n">
        <v>0.73</v>
      </c>
      <c r="Y368" s="28" t="n">
        <v>1.53</v>
      </c>
      <c r="Z368" s="36" t="n">
        <v>1.12</v>
      </c>
      <c r="AA368" s="36" t="n">
        <v>1.97</v>
      </c>
      <c r="AB368" s="36" t="n">
        <v>1.12</v>
      </c>
      <c r="AC368" s="36" t="n">
        <v>1.31</v>
      </c>
      <c r="AD368" s="36" t="n">
        <v>3.98</v>
      </c>
      <c r="AE368" s="36" t="n">
        <v>3.44</v>
      </c>
      <c r="AF368" s="28" t="n">
        <v>3.28</v>
      </c>
      <c r="AG368" s="36" t="n">
        <v>1.73</v>
      </c>
      <c r="AH368" s="37" t="n">
        <v>1.06</v>
      </c>
      <c r="AI368" s="37" t="n">
        <v>1.24</v>
      </c>
      <c r="AJ368" s="37" t="n">
        <v>1.03</v>
      </c>
      <c r="AK368" s="37" t="n">
        <v>2.46</v>
      </c>
      <c r="AL368" s="37" t="n">
        <v>1.34</v>
      </c>
      <c r="AM368" s="37" t="n">
        <v>2.02</v>
      </c>
      <c r="AN368" s="37" t="n">
        <v>1.12</v>
      </c>
      <c r="AO368" s="37" t="n">
        <v>1.08</v>
      </c>
      <c r="AP368" s="37" t="n">
        <v>2.2</v>
      </c>
      <c r="AQ368" s="37" t="n">
        <v>1.47</v>
      </c>
      <c r="AR368" s="37" t="n">
        <v>1.1</v>
      </c>
      <c r="AS368" s="37" t="n">
        <v>0.5600000000000001</v>
      </c>
      <c r="AT368" s="37" t="n">
        <v>1.48</v>
      </c>
      <c r="AU368" s="37" t="n">
        <v>2.65</v>
      </c>
      <c r="AV368" s="37" t="n">
        <v>2.7</v>
      </c>
      <c r="AW368" s="37" t="n">
        <v>1.06</v>
      </c>
      <c r="AX368" s="37" t="n">
        <v>1.03</v>
      </c>
      <c r="AY368" s="37" t="n">
        <v>1.06</v>
      </c>
      <c r="AZ368" s="37" t="n">
        <v>0.5600000000000001</v>
      </c>
      <c r="BA368" s="37" t="n">
        <v>1.38</v>
      </c>
      <c r="BB368" s="37" t="n">
        <v>0.85</v>
      </c>
      <c r="BC368" s="37" t="n">
        <v>0.17</v>
      </c>
      <c r="BD368" s="37" t="n">
        <v>0.35</v>
      </c>
      <c r="BE368" s="37" t="n">
        <v>1.6</v>
      </c>
      <c r="BF368" s="37" t="n">
        <v>1.34</v>
      </c>
      <c r="BG368" s="37" t="n">
        <v>0.85</v>
      </c>
      <c r="BH368" s="37" t="n">
        <v>1.95</v>
      </c>
      <c r="BI368" s="37" t="n">
        <v>1.45</v>
      </c>
      <c r="BJ368" s="37" t="n">
        <v>7.17</v>
      </c>
      <c r="BK368" s="37" t="n">
        <v>3.28</v>
      </c>
      <c r="BL368" s="37" t="n">
        <v>1.85</v>
      </c>
      <c r="BM368" s="37" t="n">
        <v>1.12</v>
      </c>
      <c r="BN368" s="37" t="n">
        <v>0.8</v>
      </c>
      <c r="BO368" s="37" t="n">
        <v>2.34</v>
      </c>
      <c r="BP368" s="37" t="n">
        <v>3.38</v>
      </c>
      <c r="BQ368" s="37" t="n">
        <v>2.65</v>
      </c>
      <c r="BR368" s="37" t="n">
        <v>1.34</v>
      </c>
      <c r="BS368" s="37" t="n">
        <v>1.31</v>
      </c>
      <c r="BT368" s="37" t="n">
        <v>1.06</v>
      </c>
      <c r="BU368" s="37" t="n">
        <v>1.74</v>
      </c>
      <c r="BV368" s="37" t="n">
        <v>2.09</v>
      </c>
      <c r="BW368" s="37" t="n">
        <v>1.45</v>
      </c>
      <c r="BX368" s="37" t="n">
        <v>1.4</v>
      </c>
      <c r="BY368" s="37" t="n">
        <v>1.34</v>
      </c>
      <c r="BZ368" s="37" t="n">
        <v>2.67</v>
      </c>
      <c r="CA368" s="37" t="n">
        <v>1.34</v>
      </c>
      <c r="CB368" s="37" t="n">
        <v>0.75</v>
      </c>
      <c r="CC368" s="37" t="n">
        <v>107.4400000000001</v>
      </c>
    </row>
    <row r="369" ht="15.75" customHeight="1" s="57">
      <c r="A369" s="7" t="inlineStr">
        <is>
          <t>NTB</t>
        </is>
      </c>
      <c r="B369" s="7" t="inlineStr">
        <is>
          <t>Lâm Đồng</t>
        </is>
      </c>
      <c r="C369" s="7" t="n">
        <v>22222000</v>
      </c>
      <c r="D369" s="7" t="inlineStr">
        <is>
          <t>(LDO) Bảo Lâm 1</t>
        </is>
      </c>
      <c r="E369" s="7" t="inlineStr">
        <is>
          <t>Shopee-Bulky (10-15kg)</t>
        </is>
      </c>
      <c r="F369" s="36" t="n">
        <v>0</v>
      </c>
      <c r="G369" s="36" t="n">
        <v>0.6899999999999999</v>
      </c>
      <c r="H369" s="36" t="n">
        <v>0</v>
      </c>
      <c r="I369" s="36" t="n">
        <v>0</v>
      </c>
      <c r="J369" s="36" t="n">
        <v>0</v>
      </c>
      <c r="K369" s="28" t="n">
        <v>0.35</v>
      </c>
      <c r="L369" s="36" t="n">
        <v>0</v>
      </c>
      <c r="M369" s="36" t="n">
        <v>0</v>
      </c>
      <c r="N369" s="36" t="n">
        <v>0</v>
      </c>
      <c r="O369" s="36" t="n">
        <v>0.35</v>
      </c>
      <c r="P369" s="36" t="n">
        <v>0</v>
      </c>
      <c r="Q369" s="36" t="n">
        <v>0</v>
      </c>
      <c r="R369" s="28" t="n">
        <v>1.74</v>
      </c>
      <c r="S369" s="36" t="n">
        <v>0.6899999999999999</v>
      </c>
      <c r="T369" s="36" t="n">
        <v>0.35</v>
      </c>
      <c r="U369" s="36" t="n">
        <v>0.51</v>
      </c>
      <c r="V369" s="36" t="n">
        <v>0.49</v>
      </c>
      <c r="W369" s="36" t="n">
        <v>0.61</v>
      </c>
      <c r="X369" s="36" t="n">
        <v>0.37</v>
      </c>
      <c r="Y369" s="28" t="n">
        <v>0.89</v>
      </c>
      <c r="Z369" s="36" t="n">
        <v>0.59</v>
      </c>
      <c r="AA369" s="36" t="n">
        <v>1.08</v>
      </c>
      <c r="AB369" s="36" t="n">
        <v>0.5600000000000001</v>
      </c>
      <c r="AC369" s="36" t="n">
        <v>0.59</v>
      </c>
      <c r="AD369" s="36" t="n">
        <v>2.9</v>
      </c>
      <c r="AE369" s="36" t="n">
        <v>1.97</v>
      </c>
      <c r="AF369" s="28" t="n">
        <v>1.64</v>
      </c>
      <c r="AG369" s="36" t="n">
        <v>1.27</v>
      </c>
      <c r="AH369" s="37" t="n">
        <v>0.59</v>
      </c>
      <c r="AI369" s="37" t="n">
        <v>0.59</v>
      </c>
      <c r="AJ369" s="37" t="n">
        <v>0.59</v>
      </c>
      <c r="AK369" s="37" t="n">
        <v>1.53</v>
      </c>
      <c r="AL369" s="37" t="n">
        <v>0.61</v>
      </c>
      <c r="AM369" s="37" t="n">
        <v>1.22</v>
      </c>
      <c r="AN369" s="37" t="n">
        <v>0.59</v>
      </c>
      <c r="AO369" s="37" t="n">
        <v>0.5600000000000001</v>
      </c>
      <c r="AP369" s="37" t="n">
        <v>1.12</v>
      </c>
      <c r="AQ369" s="37" t="n">
        <v>0.73</v>
      </c>
      <c r="AR369" s="37" t="n">
        <v>0.5600000000000001</v>
      </c>
      <c r="AS369" s="37" t="n">
        <v>0.28</v>
      </c>
      <c r="AT369" s="37" t="n">
        <v>0.87</v>
      </c>
      <c r="AU369" s="37" t="n">
        <v>1.4</v>
      </c>
      <c r="AV369" s="37" t="n">
        <v>1.55</v>
      </c>
      <c r="AW369" s="37" t="n">
        <v>0.52</v>
      </c>
      <c r="AX369" s="37" t="n">
        <v>0.49</v>
      </c>
      <c r="AY369" s="37" t="n">
        <v>0.54</v>
      </c>
      <c r="AZ369" s="37" t="n">
        <v>0.28</v>
      </c>
      <c r="BA369" s="37" t="n">
        <v>0.66</v>
      </c>
      <c r="BB369" s="37" t="n">
        <v>0.42</v>
      </c>
      <c r="BC369" s="37" t="n">
        <v>0.07000000000000001</v>
      </c>
      <c r="BD369" s="37" t="n">
        <v>0.14</v>
      </c>
      <c r="BE369" s="37" t="n">
        <v>0.82</v>
      </c>
      <c r="BF369" s="37" t="n">
        <v>0.68</v>
      </c>
      <c r="BG369" s="37" t="n">
        <v>0.38</v>
      </c>
      <c r="BH369" s="37" t="n">
        <v>1.19</v>
      </c>
      <c r="BI369" s="37" t="n">
        <v>0.65</v>
      </c>
      <c r="BJ369" s="37" t="n">
        <v>4.01</v>
      </c>
      <c r="BK369" s="37" t="n">
        <v>1.45</v>
      </c>
      <c r="BL369" s="37" t="n">
        <v>1.08</v>
      </c>
      <c r="BM369" s="37" t="n">
        <v>0.52</v>
      </c>
      <c r="BN369" s="37" t="n">
        <v>0.38</v>
      </c>
      <c r="BO369" s="37" t="n">
        <v>1.12</v>
      </c>
      <c r="BP369" s="37" t="n">
        <v>1.45</v>
      </c>
      <c r="BQ369" s="37" t="n">
        <v>1.36</v>
      </c>
      <c r="BR369" s="37" t="n">
        <v>0.68</v>
      </c>
      <c r="BS369" s="37" t="n">
        <v>0.63</v>
      </c>
      <c r="BT369" s="37" t="n">
        <v>0.52</v>
      </c>
      <c r="BU369" s="37" t="n">
        <v>0.68</v>
      </c>
      <c r="BV369" s="37" t="n">
        <v>1.27</v>
      </c>
      <c r="BW369" s="37" t="n">
        <v>0.65</v>
      </c>
      <c r="BX369" s="37" t="n">
        <v>0.73</v>
      </c>
      <c r="BY369" s="37" t="n">
        <v>0.68</v>
      </c>
      <c r="BZ369" s="37" t="n">
        <v>1.26</v>
      </c>
      <c r="CA369" s="37" t="n">
        <v>0.68</v>
      </c>
      <c r="CB369" s="37" t="n">
        <v>0.38</v>
      </c>
      <c r="CC369" s="37" t="n">
        <v>56.8</v>
      </c>
    </row>
    <row r="370" ht="15.75" customHeight="1" s="57">
      <c r="A370" s="7" t="inlineStr">
        <is>
          <t>NTB</t>
        </is>
      </c>
      <c r="B370" s="7" t="inlineStr">
        <is>
          <t>Lâm Đồng</t>
        </is>
      </c>
      <c r="C370" s="7" t="n">
        <v>22222000</v>
      </c>
      <c r="D370" s="7" t="inlineStr">
        <is>
          <t>(LDO) Bảo Lâm 1</t>
        </is>
      </c>
      <c r="E370" s="7" t="inlineStr">
        <is>
          <t>TTS</t>
        </is>
      </c>
      <c r="F370" s="36" t="n">
        <v>1</v>
      </c>
      <c r="G370" s="36" t="n">
        <v>0</v>
      </c>
      <c r="H370" s="36" t="n">
        <v>3</v>
      </c>
      <c r="I370" s="36" t="n">
        <v>7</v>
      </c>
      <c r="J370" s="36" t="n">
        <v>0</v>
      </c>
      <c r="K370" s="28" t="n">
        <v>1</v>
      </c>
      <c r="L370" s="36" t="n">
        <v>0</v>
      </c>
      <c r="M370" s="36" t="n">
        <v>0</v>
      </c>
      <c r="N370" s="36" t="n">
        <v>2</v>
      </c>
      <c r="O370" s="36" t="n">
        <v>1</v>
      </c>
      <c r="P370" s="36" t="n">
        <v>2</v>
      </c>
      <c r="Q370" s="36" t="n">
        <v>3</v>
      </c>
      <c r="R370" s="28" t="n">
        <v>0</v>
      </c>
      <c r="S370" s="36" t="n">
        <v>1</v>
      </c>
      <c r="T370" s="36" t="n">
        <v>2</v>
      </c>
      <c r="U370" s="36" t="n">
        <v>0.63</v>
      </c>
      <c r="V370" s="36" t="n">
        <v>0.62</v>
      </c>
      <c r="W370" s="36" t="n">
        <v>0.61</v>
      </c>
      <c r="X370" s="36" t="n">
        <v>0.49</v>
      </c>
      <c r="Y370" s="28" t="n">
        <v>0.72</v>
      </c>
      <c r="Z370" s="36" t="n">
        <v>0.61</v>
      </c>
      <c r="AA370" s="36" t="n">
        <v>0.68</v>
      </c>
      <c r="AB370" s="36" t="n">
        <v>0.75</v>
      </c>
      <c r="AC370" s="36" t="n">
        <v>0.8</v>
      </c>
      <c r="AD370" s="36" t="n">
        <v>1.11</v>
      </c>
      <c r="AE370" s="36" t="n">
        <v>0.57</v>
      </c>
      <c r="AF370" s="28" t="n">
        <v>0.74</v>
      </c>
      <c r="AG370" s="36" t="n">
        <v>0.62</v>
      </c>
      <c r="AH370" s="37" t="n">
        <v>0.61</v>
      </c>
      <c r="AI370" s="37" t="n">
        <v>0.71</v>
      </c>
      <c r="AJ370" s="37" t="n">
        <v>0.76</v>
      </c>
      <c r="AK370" s="37" t="n">
        <v>0.75</v>
      </c>
      <c r="AL370" s="37" t="n">
        <v>0.53</v>
      </c>
      <c r="AM370" s="37" t="n">
        <v>0.73</v>
      </c>
      <c r="AN370" s="37" t="n">
        <v>0.63</v>
      </c>
      <c r="AO370" s="37" t="n">
        <v>0.62</v>
      </c>
      <c r="AP370" s="37" t="n">
        <v>0.61</v>
      </c>
      <c r="AQ370" s="37" t="n">
        <v>0.61</v>
      </c>
      <c r="AR370" s="37" t="n">
        <v>0.6</v>
      </c>
      <c r="AS370" s="37" t="n">
        <v>0.49</v>
      </c>
      <c r="AT370" s="37" t="n">
        <v>0.79</v>
      </c>
      <c r="AU370" s="37" t="n">
        <v>0.71</v>
      </c>
      <c r="AV370" s="37" t="n">
        <v>0.63</v>
      </c>
      <c r="AW370" s="37" t="n">
        <v>0.6</v>
      </c>
      <c r="AX370" s="37" t="n">
        <v>0.6</v>
      </c>
      <c r="AY370" s="37" t="n">
        <v>0.59</v>
      </c>
      <c r="AZ370" s="37" t="n">
        <v>0.49</v>
      </c>
      <c r="BA370" s="37" t="n">
        <v>0.71</v>
      </c>
      <c r="BB370" s="37" t="n">
        <v>0.67</v>
      </c>
      <c r="BC370" s="37" t="n">
        <v>0.33</v>
      </c>
      <c r="BD370" s="37" t="n">
        <v>0.48</v>
      </c>
      <c r="BE370" s="37" t="n">
        <v>1.11</v>
      </c>
      <c r="BF370" s="37" t="n">
        <v>1.08</v>
      </c>
      <c r="BG370" s="37" t="n">
        <v>0.54</v>
      </c>
      <c r="BH370" s="37" t="n">
        <v>0.78</v>
      </c>
      <c r="BI370" s="37" t="n">
        <v>0.67</v>
      </c>
      <c r="BJ370" s="37" t="n">
        <v>0.84</v>
      </c>
      <c r="BK370" s="37" t="n">
        <v>0.67</v>
      </c>
      <c r="BL370" s="37" t="n">
        <v>0.68</v>
      </c>
      <c r="BM370" s="37" t="n">
        <v>0.66</v>
      </c>
      <c r="BN370" s="37" t="n">
        <v>0.54</v>
      </c>
      <c r="BO370" s="37" t="n">
        <v>0.78</v>
      </c>
      <c r="BP370" s="37" t="n">
        <v>0.67</v>
      </c>
      <c r="BQ370" s="37" t="n">
        <v>0.66</v>
      </c>
      <c r="BR370" s="37" t="n">
        <v>0.67</v>
      </c>
      <c r="BS370" s="37" t="n">
        <v>0.68</v>
      </c>
      <c r="BT370" s="37" t="n">
        <v>0.66</v>
      </c>
      <c r="BU370" s="37" t="n">
        <v>0.54</v>
      </c>
      <c r="BV370" s="37" t="n">
        <v>0.78</v>
      </c>
      <c r="BW370" s="37" t="n">
        <v>0.67</v>
      </c>
      <c r="BX370" s="37" t="n">
        <v>0.66</v>
      </c>
      <c r="BY370" s="37" t="n">
        <v>0.67</v>
      </c>
      <c r="BZ370" s="37" t="n">
        <v>0.68</v>
      </c>
      <c r="CA370" s="37" t="n">
        <v>0.66</v>
      </c>
      <c r="CB370" s="37" t="n">
        <v>0.54</v>
      </c>
      <c r="CC370" s="37" t="n">
        <v>63.09</v>
      </c>
    </row>
    <row r="371" ht="15.75" customHeight="1" s="57">
      <c r="A371" s="7" t="inlineStr">
        <is>
          <t>NTB</t>
        </is>
      </c>
      <c r="B371" s="7" t="inlineStr">
        <is>
          <t>Lâm Đồng</t>
        </is>
      </c>
      <c r="C371" s="7" t="n">
        <v>22255000</v>
      </c>
      <c r="D371" s="7" t="inlineStr">
        <is>
          <t>(LDO) Hiệp Thạnh</t>
        </is>
      </c>
      <c r="E371" s="7" t="inlineStr">
        <is>
          <t>SME</t>
        </is>
      </c>
      <c r="F371" s="36" t="n">
        <v>30</v>
      </c>
      <c r="G371" s="36" t="n">
        <v>23</v>
      </c>
      <c r="H371" s="36" t="n">
        <v>7</v>
      </c>
      <c r="I371" s="36" t="n">
        <v>8</v>
      </c>
      <c r="J371" s="36" t="n">
        <v>13</v>
      </c>
      <c r="K371" s="28" t="n">
        <v>30</v>
      </c>
      <c r="L371" s="36" t="n">
        <v>15</v>
      </c>
      <c r="M371" s="36" t="n">
        <v>18</v>
      </c>
      <c r="N371" s="36" t="n">
        <v>28</v>
      </c>
      <c r="O371" s="36" t="n">
        <v>15</v>
      </c>
      <c r="P371" s="36" t="n">
        <v>9</v>
      </c>
      <c r="Q371" s="36" t="n">
        <v>15</v>
      </c>
      <c r="R371" s="28" t="n">
        <v>6</v>
      </c>
      <c r="S371" s="36" t="n">
        <v>22</v>
      </c>
      <c r="T371" s="36" t="n">
        <v>10</v>
      </c>
      <c r="U371" s="36" t="n">
        <v>22.27</v>
      </c>
      <c r="V371" s="36" t="n">
        <v>23.02</v>
      </c>
      <c r="W371" s="36" t="n">
        <v>22.4</v>
      </c>
      <c r="X371" s="36" t="n">
        <v>18.34</v>
      </c>
      <c r="Y371" s="28" t="n">
        <v>24.82</v>
      </c>
      <c r="Z371" s="36" t="n">
        <v>22.85</v>
      </c>
      <c r="AA371" s="36" t="n">
        <v>22.3</v>
      </c>
      <c r="AB371" s="36" t="n">
        <v>22.27</v>
      </c>
      <c r="AC371" s="36" t="n">
        <v>23.02</v>
      </c>
      <c r="AD371" s="36" t="n">
        <v>24.26</v>
      </c>
      <c r="AE371" s="36" t="n">
        <v>18.34</v>
      </c>
      <c r="AF371" s="28" t="n">
        <v>24.82</v>
      </c>
      <c r="AG371" s="36" t="n">
        <v>22.85</v>
      </c>
      <c r="AH371" s="37" t="n">
        <v>22.3</v>
      </c>
      <c r="AI371" s="37" t="n">
        <v>22.27</v>
      </c>
      <c r="AJ371" s="37" t="n">
        <v>23.02</v>
      </c>
      <c r="AK371" s="37" t="n">
        <v>22.4</v>
      </c>
      <c r="AL371" s="37" t="n">
        <v>18.34</v>
      </c>
      <c r="AM371" s="37" t="n">
        <v>24.82</v>
      </c>
      <c r="AN371" s="37" t="n">
        <v>22.85</v>
      </c>
      <c r="AO371" s="37" t="n">
        <v>22.3</v>
      </c>
      <c r="AP371" s="37" t="n">
        <v>22.27</v>
      </c>
      <c r="AQ371" s="37" t="n">
        <v>23.02</v>
      </c>
      <c r="AR371" s="37" t="n">
        <v>22.4</v>
      </c>
      <c r="AS371" s="37" t="n">
        <v>18.34</v>
      </c>
      <c r="AT371" s="37" t="n">
        <v>24.82</v>
      </c>
      <c r="AU371" s="37" t="n">
        <v>22.85</v>
      </c>
      <c r="AV371" s="37" t="n">
        <v>22.3</v>
      </c>
      <c r="AW371" s="37" t="n">
        <v>22.27</v>
      </c>
      <c r="AX371" s="37" t="n">
        <v>23.02</v>
      </c>
      <c r="AY371" s="37" t="n">
        <v>22.4</v>
      </c>
      <c r="AZ371" s="37" t="n">
        <v>18.34</v>
      </c>
      <c r="BA371" s="37" t="n">
        <v>23.6</v>
      </c>
      <c r="BB371" s="37" t="n">
        <v>20.99</v>
      </c>
      <c r="BC371" s="37" t="n">
        <v>12.9</v>
      </c>
      <c r="BD371" s="37" t="n">
        <v>10.08</v>
      </c>
      <c r="BE371" s="37" t="n">
        <v>21.59</v>
      </c>
      <c r="BF371" s="37" t="n">
        <v>21.03</v>
      </c>
      <c r="BG371" s="37" t="n">
        <v>18.92</v>
      </c>
      <c r="BH371" s="37" t="n">
        <v>25.63</v>
      </c>
      <c r="BI371" s="37" t="n">
        <v>23.56</v>
      </c>
      <c r="BJ371" s="37" t="n">
        <v>24.99</v>
      </c>
      <c r="BK371" s="37" t="n">
        <v>22.94</v>
      </c>
      <c r="BL371" s="37" t="n">
        <v>23.74</v>
      </c>
      <c r="BM371" s="37" t="n">
        <v>23.08</v>
      </c>
      <c r="BN371" s="37" t="n">
        <v>18.92</v>
      </c>
      <c r="BO371" s="37" t="n">
        <v>25.63</v>
      </c>
      <c r="BP371" s="37" t="n">
        <v>23.56</v>
      </c>
      <c r="BQ371" s="37" t="n">
        <v>22.97</v>
      </c>
      <c r="BR371" s="37" t="n">
        <v>22.94</v>
      </c>
      <c r="BS371" s="37" t="n">
        <v>23.74</v>
      </c>
      <c r="BT371" s="37" t="n">
        <v>23.08</v>
      </c>
      <c r="BU371" s="37" t="n">
        <v>18.92</v>
      </c>
      <c r="BV371" s="37" t="n">
        <v>25.63</v>
      </c>
      <c r="BW371" s="37" t="n">
        <v>23.56</v>
      </c>
      <c r="BX371" s="37" t="n">
        <v>22.97</v>
      </c>
      <c r="BY371" s="37" t="n">
        <v>22.94</v>
      </c>
      <c r="BZ371" s="37" t="n">
        <v>23.74</v>
      </c>
      <c r="CA371" s="37" t="n">
        <v>23.08</v>
      </c>
      <c r="CB371" s="37" t="n">
        <v>18.92</v>
      </c>
      <c r="CC371" s="37" t="n">
        <v>1574.54</v>
      </c>
    </row>
    <row r="372" ht="15.75" customHeight="1" s="57">
      <c r="A372" s="7" t="inlineStr">
        <is>
          <t>NTB</t>
        </is>
      </c>
      <c r="B372" s="7" t="inlineStr">
        <is>
          <t>Lâm Đồng</t>
        </is>
      </c>
      <c r="C372" s="7" t="n">
        <v>22255000</v>
      </c>
      <c r="D372" s="7" t="inlineStr">
        <is>
          <t>(LDO) Hiệp Thạnh</t>
        </is>
      </c>
      <c r="E372" s="7" t="inlineStr">
        <is>
          <t>SME-Bulky</t>
        </is>
      </c>
      <c r="F372" s="36" t="n">
        <v>0</v>
      </c>
      <c r="G372" s="36" t="n">
        <v>2</v>
      </c>
      <c r="H372" s="36" t="n">
        <v>2</v>
      </c>
      <c r="I372" s="36" t="n">
        <v>2</v>
      </c>
      <c r="J372" s="36" t="n">
        <v>2</v>
      </c>
      <c r="K372" s="28" t="n">
        <v>1</v>
      </c>
      <c r="L372" s="36" t="n">
        <v>2</v>
      </c>
      <c r="M372" s="36" t="n">
        <v>2</v>
      </c>
      <c r="N372" s="36" t="n">
        <v>1</v>
      </c>
      <c r="O372" s="36" t="n">
        <v>1</v>
      </c>
      <c r="P372" s="36" t="n">
        <v>0</v>
      </c>
      <c r="Q372" s="36" t="n">
        <v>0</v>
      </c>
      <c r="R372" s="28" t="n">
        <v>0</v>
      </c>
      <c r="S372" s="36" t="n">
        <v>2</v>
      </c>
      <c r="T372" s="36" t="n">
        <v>1</v>
      </c>
      <c r="U372" s="36" t="n">
        <v>0.96</v>
      </c>
      <c r="V372" s="36" t="n">
        <v>0.9399999999999999</v>
      </c>
      <c r="W372" s="36" t="n">
        <v>0.92</v>
      </c>
      <c r="X372" s="36" t="n">
        <v>0.66</v>
      </c>
      <c r="Y372" s="28" t="n">
        <v>1.08</v>
      </c>
      <c r="Z372" s="36" t="n">
        <v>1.05</v>
      </c>
      <c r="AA372" s="36" t="n">
        <v>1.03</v>
      </c>
      <c r="AB372" s="36" t="n">
        <v>0.96</v>
      </c>
      <c r="AC372" s="36" t="n">
        <v>0.9399999999999999</v>
      </c>
      <c r="AD372" s="36" t="n">
        <v>0.72</v>
      </c>
      <c r="AE372" s="36" t="n">
        <v>0.66</v>
      </c>
      <c r="AF372" s="28" t="n">
        <v>1.08</v>
      </c>
      <c r="AG372" s="36" t="n">
        <v>1.05</v>
      </c>
      <c r="AH372" s="37" t="n">
        <v>1.03</v>
      </c>
      <c r="AI372" s="37" t="n">
        <v>0.96</v>
      </c>
      <c r="AJ372" s="37" t="n">
        <v>0.9399999999999999</v>
      </c>
      <c r="AK372" s="37" t="n">
        <v>0.92</v>
      </c>
      <c r="AL372" s="37" t="n">
        <v>0.66</v>
      </c>
      <c r="AM372" s="37" t="n">
        <v>1.08</v>
      </c>
      <c r="AN372" s="37" t="n">
        <v>1.05</v>
      </c>
      <c r="AO372" s="37" t="n">
        <v>1.03</v>
      </c>
      <c r="AP372" s="37" t="n">
        <v>0.96</v>
      </c>
      <c r="AQ372" s="37" t="n">
        <v>0.9399999999999999</v>
      </c>
      <c r="AR372" s="37" t="n">
        <v>0.92</v>
      </c>
      <c r="AS372" s="37" t="n">
        <v>0.66</v>
      </c>
      <c r="AT372" s="37" t="n">
        <v>1.08</v>
      </c>
      <c r="AU372" s="37" t="n">
        <v>1.05</v>
      </c>
      <c r="AV372" s="37" t="n">
        <v>1.03</v>
      </c>
      <c r="AW372" s="37" t="n">
        <v>0.96</v>
      </c>
      <c r="AX372" s="37" t="n">
        <v>0.9399999999999999</v>
      </c>
      <c r="AY372" s="37" t="n">
        <v>0.92</v>
      </c>
      <c r="AZ372" s="37" t="n">
        <v>0.66</v>
      </c>
      <c r="BA372" s="37" t="n">
        <v>1.18</v>
      </c>
      <c r="BB372" s="37" t="n">
        <v>0.62</v>
      </c>
      <c r="BC372" s="37" t="n">
        <v>0.32</v>
      </c>
      <c r="BD372" s="37" t="n">
        <v>0.24</v>
      </c>
      <c r="BE372" s="37" t="n">
        <v>0.5600000000000001</v>
      </c>
      <c r="BF372" s="37" t="n">
        <v>0.52</v>
      </c>
      <c r="BG372" s="37" t="n">
        <v>0.36</v>
      </c>
      <c r="BH372" s="37" t="n">
        <v>0.63</v>
      </c>
      <c r="BI372" s="37" t="n">
        <v>0.62</v>
      </c>
      <c r="BJ372" s="37" t="n">
        <v>0.48</v>
      </c>
      <c r="BK372" s="37" t="n">
        <v>0.55</v>
      </c>
      <c r="BL372" s="37" t="n">
        <v>0.55</v>
      </c>
      <c r="BM372" s="37" t="n">
        <v>0.52</v>
      </c>
      <c r="BN372" s="37" t="n">
        <v>0.36</v>
      </c>
      <c r="BO372" s="37" t="n">
        <v>0.63</v>
      </c>
      <c r="BP372" s="37" t="n">
        <v>0.62</v>
      </c>
      <c r="BQ372" s="37" t="n">
        <v>0.59</v>
      </c>
      <c r="BR372" s="37" t="n">
        <v>0.55</v>
      </c>
      <c r="BS372" s="37" t="n">
        <v>0.55</v>
      </c>
      <c r="BT372" s="37" t="n">
        <v>0.52</v>
      </c>
      <c r="BU372" s="37" t="n">
        <v>0.36</v>
      </c>
      <c r="BV372" s="37" t="n">
        <v>0.63</v>
      </c>
      <c r="BW372" s="37" t="n">
        <v>0.62</v>
      </c>
      <c r="BX372" s="37" t="n">
        <v>0.59</v>
      </c>
      <c r="BY372" s="37" t="n">
        <v>0.55</v>
      </c>
      <c r="BZ372" s="37" t="n">
        <v>0.55</v>
      </c>
      <c r="CA372" s="37" t="n">
        <v>0.52</v>
      </c>
      <c r="CB372" s="37" t="n">
        <v>0.36</v>
      </c>
      <c r="CC372" s="37" t="n">
        <v>62.98999999999999</v>
      </c>
    </row>
    <row r="373" ht="15.75" customHeight="1" s="57">
      <c r="A373" s="7" t="inlineStr">
        <is>
          <t>NTB</t>
        </is>
      </c>
      <c r="B373" s="7" t="inlineStr">
        <is>
          <t>Lâm Đồng</t>
        </is>
      </c>
      <c r="C373" s="7" t="n">
        <v>22255000</v>
      </c>
      <c r="D373" s="7" t="inlineStr">
        <is>
          <t>(LDO) Hiệp Thạnh</t>
        </is>
      </c>
      <c r="E373" s="7" t="inlineStr">
        <is>
          <t>Shopee</t>
        </is>
      </c>
      <c r="F373" s="36" t="n">
        <v>23</v>
      </c>
      <c r="G373" s="36" t="n">
        <v>16</v>
      </c>
      <c r="H373" s="36" t="n">
        <v>19</v>
      </c>
      <c r="I373" s="36" t="n">
        <v>7</v>
      </c>
      <c r="J373" s="36" t="n">
        <v>15</v>
      </c>
      <c r="K373" s="28" t="n">
        <v>15</v>
      </c>
      <c r="L373" s="36" t="n">
        <v>22</v>
      </c>
      <c r="M373" s="36" t="n">
        <v>14</v>
      </c>
      <c r="N373" s="36" t="n">
        <v>14</v>
      </c>
      <c r="O373" s="36" t="n">
        <v>8</v>
      </c>
      <c r="P373" s="36" t="n">
        <v>15</v>
      </c>
      <c r="Q373" s="36" t="n">
        <v>14</v>
      </c>
      <c r="R373" s="28" t="n">
        <v>12</v>
      </c>
      <c r="S373" s="36" t="n">
        <v>9</v>
      </c>
      <c r="T373" s="36" t="n">
        <v>12</v>
      </c>
      <c r="U373" s="36" t="n">
        <v>13.04</v>
      </c>
      <c r="V373" s="36" t="n">
        <v>13.18</v>
      </c>
      <c r="W373" s="36" t="n">
        <v>12.62</v>
      </c>
      <c r="X373" s="36" t="n">
        <v>10.91</v>
      </c>
      <c r="Y373" s="28" t="n">
        <v>17.66</v>
      </c>
      <c r="Z373" s="36" t="n">
        <v>14</v>
      </c>
      <c r="AA373" s="36" t="n">
        <v>17.11</v>
      </c>
      <c r="AB373" s="36" t="n">
        <v>13.4</v>
      </c>
      <c r="AC373" s="36" t="n">
        <v>10.76</v>
      </c>
      <c r="AD373" s="36" t="n">
        <v>28.61</v>
      </c>
      <c r="AE373" s="36" t="n">
        <v>11.7</v>
      </c>
      <c r="AF373" s="28" t="n">
        <v>19.39</v>
      </c>
      <c r="AG373" s="36" t="n">
        <v>14.69</v>
      </c>
      <c r="AH373" s="37" t="n">
        <v>15.49</v>
      </c>
      <c r="AI373" s="37" t="n">
        <v>13.04</v>
      </c>
      <c r="AJ373" s="37" t="n">
        <v>13.18</v>
      </c>
      <c r="AK373" s="37" t="n">
        <v>13.93</v>
      </c>
      <c r="AL373" s="37" t="n">
        <v>19.59</v>
      </c>
      <c r="AM373" s="37" t="n">
        <v>17.66</v>
      </c>
      <c r="AN373" s="37" t="n">
        <v>14</v>
      </c>
      <c r="AO373" s="37" t="n">
        <v>15.49</v>
      </c>
      <c r="AP373" s="37" t="n">
        <v>14.42</v>
      </c>
      <c r="AQ373" s="37" t="n">
        <v>10.53</v>
      </c>
      <c r="AR373" s="37" t="n">
        <v>12.62</v>
      </c>
      <c r="AS373" s="37" t="n">
        <v>10.91</v>
      </c>
      <c r="AT373" s="37" t="n">
        <v>17.66</v>
      </c>
      <c r="AU373" s="37" t="n">
        <v>15.39</v>
      </c>
      <c r="AV373" s="37" t="n">
        <v>15.88</v>
      </c>
      <c r="AW373" s="37" t="n">
        <v>13.04</v>
      </c>
      <c r="AX373" s="37" t="n">
        <v>13.18</v>
      </c>
      <c r="AY373" s="37" t="n">
        <v>12.62</v>
      </c>
      <c r="AZ373" s="37" t="n">
        <v>10.91</v>
      </c>
      <c r="BA373" s="37" t="n">
        <v>15.19</v>
      </c>
      <c r="BB373" s="37" t="n">
        <v>10.44</v>
      </c>
      <c r="BC373" s="37" t="n">
        <v>4.68</v>
      </c>
      <c r="BD373" s="37" t="n">
        <v>7.82</v>
      </c>
      <c r="BE373" s="37" t="n">
        <v>15.68</v>
      </c>
      <c r="BF373" s="37" t="n">
        <v>15.11</v>
      </c>
      <c r="BG373" s="37" t="n">
        <v>10.66</v>
      </c>
      <c r="BH373" s="37" t="n">
        <v>16.84</v>
      </c>
      <c r="BI373" s="37" t="n">
        <v>11.05</v>
      </c>
      <c r="BJ373" s="37" t="n">
        <v>40.52</v>
      </c>
      <c r="BK373" s="37" t="n">
        <v>13.36</v>
      </c>
      <c r="BL373" s="37" t="n">
        <v>13.18</v>
      </c>
      <c r="BM373" s="37" t="n">
        <v>12.04</v>
      </c>
      <c r="BN373" s="37" t="n">
        <v>10.46</v>
      </c>
      <c r="BO373" s="37" t="n">
        <v>16.84</v>
      </c>
      <c r="BP373" s="37" t="n">
        <v>14.62</v>
      </c>
      <c r="BQ373" s="37" t="n">
        <v>22.6</v>
      </c>
      <c r="BR373" s="37" t="n">
        <v>12.42</v>
      </c>
      <c r="BS373" s="37" t="n">
        <v>12.56</v>
      </c>
      <c r="BT373" s="37" t="n">
        <v>12.04</v>
      </c>
      <c r="BU373" s="37" t="n">
        <v>11.43</v>
      </c>
      <c r="BV373" s="37" t="n">
        <v>13.5</v>
      </c>
      <c r="BW373" s="37" t="n">
        <v>13.33</v>
      </c>
      <c r="BX373" s="37" t="n">
        <v>14.72</v>
      </c>
      <c r="BY373" s="37" t="n">
        <v>12.42</v>
      </c>
      <c r="BZ373" s="37" t="n">
        <v>13.75</v>
      </c>
      <c r="CA373" s="37" t="n">
        <v>12.3</v>
      </c>
      <c r="CB373" s="37" t="n">
        <v>10.46</v>
      </c>
      <c r="CC373" s="37" t="n">
        <v>1071.63</v>
      </c>
    </row>
    <row r="374" ht="15.75" customHeight="1" s="57">
      <c r="A374" s="7" t="inlineStr">
        <is>
          <t>NTB</t>
        </is>
      </c>
      <c r="B374" s="7" t="inlineStr">
        <is>
          <t>Lâm Đồng</t>
        </is>
      </c>
      <c r="C374" s="7" t="n">
        <v>22255000</v>
      </c>
      <c r="D374" s="7" t="inlineStr">
        <is>
          <t>(LDO) Hiệp Thạnh</t>
        </is>
      </c>
      <c r="E374" s="7" t="inlineStr">
        <is>
          <t>Shopee-Bulky</t>
        </is>
      </c>
      <c r="F374" s="36" t="n">
        <v>0.65</v>
      </c>
      <c r="G374" s="36" t="n">
        <v>0</v>
      </c>
      <c r="H374" s="36" t="n">
        <v>0</v>
      </c>
      <c r="I374" s="36" t="n">
        <v>0</v>
      </c>
      <c r="J374" s="36" t="n">
        <v>0</v>
      </c>
      <c r="K374" s="28" t="n">
        <v>0</v>
      </c>
      <c r="L374" s="36" t="n">
        <v>1.3</v>
      </c>
      <c r="M374" s="36" t="n">
        <v>0</v>
      </c>
      <c r="N374" s="36" t="n">
        <v>0.65</v>
      </c>
      <c r="O374" s="36" t="n">
        <v>0.65</v>
      </c>
      <c r="P374" s="36" t="n">
        <v>0.65</v>
      </c>
      <c r="Q374" s="36" t="n">
        <v>0</v>
      </c>
      <c r="R374" s="28" t="n">
        <v>0</v>
      </c>
      <c r="S374" s="36" t="n">
        <v>0</v>
      </c>
      <c r="T374" s="36" t="n">
        <v>0.65</v>
      </c>
      <c r="U374" s="36" t="n">
        <v>0.33</v>
      </c>
      <c r="V374" s="36" t="n">
        <v>0.31</v>
      </c>
      <c r="W374" s="36" t="n">
        <v>0.41</v>
      </c>
      <c r="X374" s="36" t="n">
        <v>0.24</v>
      </c>
      <c r="Y374" s="28" t="n">
        <v>0.51</v>
      </c>
      <c r="Z374" s="36" t="n">
        <v>0.37</v>
      </c>
      <c r="AA374" s="36" t="n">
        <v>0.66</v>
      </c>
      <c r="AB374" s="36" t="n">
        <v>0.37</v>
      </c>
      <c r="AC374" s="36" t="n">
        <v>0.44</v>
      </c>
      <c r="AD374" s="36" t="n">
        <v>1.33</v>
      </c>
      <c r="AE374" s="36" t="n">
        <v>1.15</v>
      </c>
      <c r="AF374" s="28" t="n">
        <v>1.09</v>
      </c>
      <c r="AG374" s="36" t="n">
        <v>0.58</v>
      </c>
      <c r="AH374" s="37" t="n">
        <v>0.35</v>
      </c>
      <c r="AI374" s="37" t="n">
        <v>0.41</v>
      </c>
      <c r="AJ374" s="37" t="n">
        <v>0.34</v>
      </c>
      <c r="AK374" s="37" t="n">
        <v>0.82</v>
      </c>
      <c r="AL374" s="37" t="n">
        <v>0.45</v>
      </c>
      <c r="AM374" s="37" t="n">
        <v>0.67</v>
      </c>
      <c r="AN374" s="37" t="n">
        <v>0.37</v>
      </c>
      <c r="AO374" s="37" t="n">
        <v>0.36</v>
      </c>
      <c r="AP374" s="37" t="n">
        <v>0.73</v>
      </c>
      <c r="AQ374" s="37" t="n">
        <v>0.49</v>
      </c>
      <c r="AR374" s="37" t="n">
        <v>0.37</v>
      </c>
      <c r="AS374" s="37" t="n">
        <v>0.19</v>
      </c>
      <c r="AT374" s="37" t="n">
        <v>0.49</v>
      </c>
      <c r="AU374" s="37" t="n">
        <v>0.88</v>
      </c>
      <c r="AV374" s="37" t="n">
        <v>0.9</v>
      </c>
      <c r="AW374" s="37" t="n">
        <v>0.35</v>
      </c>
      <c r="AX374" s="37" t="n">
        <v>0.34</v>
      </c>
      <c r="AY374" s="37" t="n">
        <v>0.35</v>
      </c>
      <c r="AZ374" s="37" t="n">
        <v>0.19</v>
      </c>
      <c r="BA374" s="37" t="n">
        <v>0.46</v>
      </c>
      <c r="BB374" s="37" t="n">
        <v>0.28</v>
      </c>
      <c r="BC374" s="37" t="n">
        <v>0.06</v>
      </c>
      <c r="BD374" s="37" t="n">
        <v>0.12</v>
      </c>
      <c r="BE374" s="37" t="n">
        <v>0.53</v>
      </c>
      <c r="BF374" s="37" t="n">
        <v>0.45</v>
      </c>
      <c r="BG374" s="37" t="n">
        <v>0.28</v>
      </c>
      <c r="BH374" s="37" t="n">
        <v>0.65</v>
      </c>
      <c r="BI374" s="37" t="n">
        <v>0.48</v>
      </c>
      <c r="BJ374" s="37" t="n">
        <v>2.39</v>
      </c>
      <c r="BK374" s="37" t="n">
        <v>1.09</v>
      </c>
      <c r="BL374" s="37" t="n">
        <v>0.62</v>
      </c>
      <c r="BM374" s="37" t="n">
        <v>0.37</v>
      </c>
      <c r="BN374" s="37" t="n">
        <v>0.27</v>
      </c>
      <c r="BO374" s="37" t="n">
        <v>0.78</v>
      </c>
      <c r="BP374" s="37" t="n">
        <v>1.13</v>
      </c>
      <c r="BQ374" s="37" t="n">
        <v>0.88</v>
      </c>
      <c r="BR374" s="37" t="n">
        <v>0.45</v>
      </c>
      <c r="BS374" s="37" t="n">
        <v>0.44</v>
      </c>
      <c r="BT374" s="37" t="n">
        <v>0.35</v>
      </c>
      <c r="BU374" s="37" t="n">
        <v>0.58</v>
      </c>
      <c r="BV374" s="37" t="n">
        <v>0.7</v>
      </c>
      <c r="BW374" s="37" t="n">
        <v>0.48</v>
      </c>
      <c r="BX374" s="37" t="n">
        <v>0.47</v>
      </c>
      <c r="BY374" s="37" t="n">
        <v>0.45</v>
      </c>
      <c r="BZ374" s="37" t="n">
        <v>0.89</v>
      </c>
      <c r="CA374" s="37" t="n">
        <v>0.45</v>
      </c>
      <c r="CB374" s="37" t="n">
        <v>0.25</v>
      </c>
      <c r="CC374" s="37" t="n">
        <v>37.74000000000001</v>
      </c>
    </row>
    <row r="375" ht="15.75" customHeight="1" s="57">
      <c r="A375" s="7" t="inlineStr">
        <is>
          <t>NTB</t>
        </is>
      </c>
      <c r="B375" s="7" t="inlineStr">
        <is>
          <t>Lâm Đồng</t>
        </is>
      </c>
      <c r="C375" s="7" t="n">
        <v>22255000</v>
      </c>
      <c r="D375" s="7" t="inlineStr">
        <is>
          <t>(LDO) Hiệp Thạnh</t>
        </is>
      </c>
      <c r="E375" s="7" t="inlineStr">
        <is>
          <t>Shopee-Bulky (10-15kg)</t>
        </is>
      </c>
      <c r="F375" s="36" t="n">
        <v>0.35</v>
      </c>
      <c r="G375" s="36" t="n">
        <v>0</v>
      </c>
      <c r="H375" s="36" t="n">
        <v>0</v>
      </c>
      <c r="I375" s="36" t="n">
        <v>0</v>
      </c>
      <c r="J375" s="36" t="n">
        <v>0</v>
      </c>
      <c r="K375" s="28" t="n">
        <v>0</v>
      </c>
      <c r="L375" s="36" t="n">
        <v>0.7</v>
      </c>
      <c r="M375" s="36" t="n">
        <v>0</v>
      </c>
      <c r="N375" s="36" t="n">
        <v>0.35</v>
      </c>
      <c r="O375" s="36" t="n">
        <v>0.35</v>
      </c>
      <c r="P375" s="36" t="n">
        <v>0.35</v>
      </c>
      <c r="Q375" s="36" t="n">
        <v>0</v>
      </c>
      <c r="R375" s="28" t="n">
        <v>0</v>
      </c>
      <c r="S375" s="36" t="n">
        <v>0</v>
      </c>
      <c r="T375" s="36" t="n">
        <v>0.35</v>
      </c>
      <c r="U375" s="36" t="n">
        <v>0.17</v>
      </c>
      <c r="V375" s="36" t="n">
        <v>0.16</v>
      </c>
      <c r="W375" s="36" t="n">
        <v>0.2</v>
      </c>
      <c r="X375" s="36" t="n">
        <v>0.12</v>
      </c>
      <c r="Y375" s="28" t="n">
        <v>0.3</v>
      </c>
      <c r="Z375" s="36" t="n">
        <v>0.2</v>
      </c>
      <c r="AA375" s="36" t="n">
        <v>0.36</v>
      </c>
      <c r="AB375" s="36" t="n">
        <v>0.19</v>
      </c>
      <c r="AC375" s="36" t="n">
        <v>0.2</v>
      </c>
      <c r="AD375" s="36" t="n">
        <v>0.97</v>
      </c>
      <c r="AE375" s="36" t="n">
        <v>0.66</v>
      </c>
      <c r="AF375" s="28" t="n">
        <v>0.55</v>
      </c>
      <c r="AG375" s="36" t="n">
        <v>0.42</v>
      </c>
      <c r="AH375" s="37" t="n">
        <v>0.2</v>
      </c>
      <c r="AI375" s="37" t="n">
        <v>0.2</v>
      </c>
      <c r="AJ375" s="37" t="n">
        <v>0.2</v>
      </c>
      <c r="AK375" s="37" t="n">
        <v>0.51</v>
      </c>
      <c r="AL375" s="37" t="n">
        <v>0.2</v>
      </c>
      <c r="AM375" s="37" t="n">
        <v>0.41</v>
      </c>
      <c r="AN375" s="37" t="n">
        <v>0.2</v>
      </c>
      <c r="AO375" s="37" t="n">
        <v>0.19</v>
      </c>
      <c r="AP375" s="37" t="n">
        <v>0.37</v>
      </c>
      <c r="AQ375" s="37" t="n">
        <v>0.24</v>
      </c>
      <c r="AR375" s="37" t="n">
        <v>0.19</v>
      </c>
      <c r="AS375" s="37" t="n">
        <v>0.09</v>
      </c>
      <c r="AT375" s="37" t="n">
        <v>0.29</v>
      </c>
      <c r="AU375" s="37" t="n">
        <v>0.47</v>
      </c>
      <c r="AV375" s="37" t="n">
        <v>0.52</v>
      </c>
      <c r="AW375" s="37" t="n">
        <v>0.17</v>
      </c>
      <c r="AX375" s="37" t="n">
        <v>0.16</v>
      </c>
      <c r="AY375" s="37" t="n">
        <v>0.18</v>
      </c>
      <c r="AZ375" s="37" t="n">
        <v>0.09</v>
      </c>
      <c r="BA375" s="37" t="n">
        <v>0.22</v>
      </c>
      <c r="BB375" s="37" t="n">
        <v>0.14</v>
      </c>
      <c r="BC375" s="37" t="n">
        <v>0.02</v>
      </c>
      <c r="BD375" s="37" t="n">
        <v>0.05</v>
      </c>
      <c r="BE375" s="37" t="n">
        <v>0.27</v>
      </c>
      <c r="BF375" s="37" t="n">
        <v>0.23</v>
      </c>
      <c r="BG375" s="37" t="n">
        <v>0.13</v>
      </c>
      <c r="BH375" s="37" t="n">
        <v>0.4</v>
      </c>
      <c r="BI375" s="37" t="n">
        <v>0.22</v>
      </c>
      <c r="BJ375" s="37" t="n">
        <v>1.34</v>
      </c>
      <c r="BK375" s="37" t="n">
        <v>0.48</v>
      </c>
      <c r="BL375" s="37" t="n">
        <v>0.36</v>
      </c>
      <c r="BM375" s="37" t="n">
        <v>0.17</v>
      </c>
      <c r="BN375" s="37" t="n">
        <v>0.13</v>
      </c>
      <c r="BO375" s="37" t="n">
        <v>0.37</v>
      </c>
      <c r="BP375" s="37" t="n">
        <v>0.48</v>
      </c>
      <c r="BQ375" s="37" t="n">
        <v>0.45</v>
      </c>
      <c r="BR375" s="37" t="n">
        <v>0.23</v>
      </c>
      <c r="BS375" s="37" t="n">
        <v>0.21</v>
      </c>
      <c r="BT375" s="37" t="n">
        <v>0.17</v>
      </c>
      <c r="BU375" s="37" t="n">
        <v>0.23</v>
      </c>
      <c r="BV375" s="37" t="n">
        <v>0.42</v>
      </c>
      <c r="BW375" s="37" t="n">
        <v>0.22</v>
      </c>
      <c r="BX375" s="37" t="n">
        <v>0.24</v>
      </c>
      <c r="BY375" s="37" t="n">
        <v>0.23</v>
      </c>
      <c r="BZ375" s="37" t="n">
        <v>0.42</v>
      </c>
      <c r="CA375" s="37" t="n">
        <v>0.23</v>
      </c>
      <c r="CB375" s="37" t="n">
        <v>0.13</v>
      </c>
      <c r="CC375" s="37" t="n">
        <v>20.02</v>
      </c>
    </row>
    <row r="376" ht="15.75" customHeight="1" s="57">
      <c r="A376" s="7" t="inlineStr">
        <is>
          <t>NTB</t>
        </is>
      </c>
      <c r="B376" s="7" t="inlineStr">
        <is>
          <t>Lâm Đồng</t>
        </is>
      </c>
      <c r="C376" s="7" t="n">
        <v>22255000</v>
      </c>
      <c r="D376" s="7" t="inlineStr">
        <is>
          <t>(LDO) Hiệp Thạnh</t>
        </is>
      </c>
      <c r="E376" s="7" t="inlineStr">
        <is>
          <t>TTS</t>
        </is>
      </c>
      <c r="F376" s="36" t="n">
        <v>23</v>
      </c>
      <c r="G376" s="36" t="n">
        <v>36</v>
      </c>
      <c r="H376" s="36" t="n">
        <v>20</v>
      </c>
      <c r="I376" s="36" t="n">
        <v>27</v>
      </c>
      <c r="J376" s="36" t="n">
        <v>26</v>
      </c>
      <c r="K376" s="28" t="n">
        <v>7</v>
      </c>
      <c r="L376" s="36" t="n">
        <v>17</v>
      </c>
      <c r="M376" s="36" t="n">
        <v>20</v>
      </c>
      <c r="N376" s="36" t="n">
        <v>17</v>
      </c>
      <c r="O376" s="36" t="n">
        <v>23</v>
      </c>
      <c r="P376" s="36" t="n">
        <v>14</v>
      </c>
      <c r="Q376" s="36" t="n">
        <v>19</v>
      </c>
      <c r="R376" s="28" t="n">
        <v>13</v>
      </c>
      <c r="S376" s="36" t="n">
        <v>17</v>
      </c>
      <c r="T376" s="36" t="n">
        <v>7</v>
      </c>
      <c r="U376" s="36" t="n">
        <v>8.140000000000001</v>
      </c>
      <c r="V376" s="36" t="n">
        <v>8.050000000000001</v>
      </c>
      <c r="W376" s="36" t="n">
        <v>7.85</v>
      </c>
      <c r="X376" s="36" t="n">
        <v>6.32</v>
      </c>
      <c r="Y376" s="28" t="n">
        <v>9.23</v>
      </c>
      <c r="Z376" s="36" t="n">
        <v>7.85</v>
      </c>
      <c r="AA376" s="36" t="n">
        <v>8.73</v>
      </c>
      <c r="AB376" s="36" t="n">
        <v>9.69</v>
      </c>
      <c r="AC376" s="36" t="n">
        <v>10.3</v>
      </c>
      <c r="AD376" s="36" t="n">
        <v>14.27</v>
      </c>
      <c r="AE376" s="36" t="n">
        <v>7.36</v>
      </c>
      <c r="AF376" s="28" t="n">
        <v>9.48</v>
      </c>
      <c r="AG376" s="36" t="n">
        <v>8.02</v>
      </c>
      <c r="AH376" s="37" t="n">
        <v>7.9</v>
      </c>
      <c r="AI376" s="37" t="n">
        <v>9.140000000000001</v>
      </c>
      <c r="AJ376" s="37" t="n">
        <v>9.77</v>
      </c>
      <c r="AK376" s="37" t="n">
        <v>9.6</v>
      </c>
      <c r="AL376" s="37" t="n">
        <v>6.88</v>
      </c>
      <c r="AM376" s="37" t="n">
        <v>9.359999999999999</v>
      </c>
      <c r="AN376" s="37" t="n">
        <v>8.09</v>
      </c>
      <c r="AO376" s="37" t="n">
        <v>8.02</v>
      </c>
      <c r="AP376" s="37" t="n">
        <v>7.84</v>
      </c>
      <c r="AQ376" s="37" t="n">
        <v>7.9</v>
      </c>
      <c r="AR376" s="37" t="n">
        <v>7.73</v>
      </c>
      <c r="AS376" s="37" t="n">
        <v>6.34</v>
      </c>
      <c r="AT376" s="37" t="n">
        <v>10.13</v>
      </c>
      <c r="AU376" s="37" t="n">
        <v>9.17</v>
      </c>
      <c r="AV376" s="37" t="n">
        <v>8.130000000000001</v>
      </c>
      <c r="AW376" s="37" t="n">
        <v>7.74</v>
      </c>
      <c r="AX376" s="37" t="n">
        <v>7.7</v>
      </c>
      <c r="AY376" s="37" t="n">
        <v>7.64</v>
      </c>
      <c r="AZ376" s="37" t="n">
        <v>6.34</v>
      </c>
      <c r="BA376" s="37" t="n">
        <v>9.109999999999999</v>
      </c>
      <c r="BB376" s="37" t="n">
        <v>8.58</v>
      </c>
      <c r="BC376" s="37" t="n">
        <v>4.31</v>
      </c>
      <c r="BD376" s="37" t="n">
        <v>6.15</v>
      </c>
      <c r="BE376" s="37" t="n">
        <v>14.33</v>
      </c>
      <c r="BF376" s="37" t="n">
        <v>13.86</v>
      </c>
      <c r="BG376" s="37" t="n">
        <v>6.9</v>
      </c>
      <c r="BH376" s="37" t="n">
        <v>10.11</v>
      </c>
      <c r="BI376" s="37" t="n">
        <v>8.58</v>
      </c>
      <c r="BJ376" s="37" t="n">
        <v>10.8</v>
      </c>
      <c r="BK376" s="37" t="n">
        <v>8.699999999999999</v>
      </c>
      <c r="BL376" s="37" t="n">
        <v>8.720000000000001</v>
      </c>
      <c r="BM376" s="37" t="n">
        <v>8.449999999999999</v>
      </c>
      <c r="BN376" s="37" t="n">
        <v>6.9</v>
      </c>
      <c r="BO376" s="37" t="n">
        <v>10.11</v>
      </c>
      <c r="BP376" s="37" t="n">
        <v>8.58</v>
      </c>
      <c r="BQ376" s="37" t="n">
        <v>8.460000000000001</v>
      </c>
      <c r="BR376" s="37" t="n">
        <v>8.699999999999999</v>
      </c>
      <c r="BS376" s="37" t="n">
        <v>8.720000000000001</v>
      </c>
      <c r="BT376" s="37" t="n">
        <v>8.449999999999999</v>
      </c>
      <c r="BU376" s="37" t="n">
        <v>6.9</v>
      </c>
      <c r="BV376" s="37" t="n">
        <v>10.11</v>
      </c>
      <c r="BW376" s="37" t="n">
        <v>8.58</v>
      </c>
      <c r="BX376" s="37" t="n">
        <v>8.460000000000001</v>
      </c>
      <c r="BY376" s="37" t="n">
        <v>8.699999999999999</v>
      </c>
      <c r="BZ376" s="37" t="n">
        <v>8.720000000000001</v>
      </c>
      <c r="CA376" s="37" t="n">
        <v>8.449999999999999</v>
      </c>
      <c r="CB376" s="37" t="n">
        <v>6.9</v>
      </c>
      <c r="CC376" s="37" t="n">
        <v>802.0500000000005</v>
      </c>
    </row>
    <row r="377" ht="15.75" customHeight="1" s="57">
      <c r="A377" s="7" t="inlineStr">
        <is>
          <t>NTB</t>
        </is>
      </c>
      <c r="B377" s="7" t="inlineStr">
        <is>
          <t>Lâm Đồng</t>
        </is>
      </c>
      <c r="C377" s="7" t="n">
        <v>22312000</v>
      </c>
      <c r="D377" s="7" t="inlineStr">
        <is>
          <t>(LDO) Lâm Viên - Đà Lạt 1</t>
        </is>
      </c>
      <c r="E377" s="7" t="inlineStr">
        <is>
          <t>SME</t>
        </is>
      </c>
      <c r="F377" s="36" t="n">
        <v>237</v>
      </c>
      <c r="G377" s="36" t="n">
        <v>238</v>
      </c>
      <c r="H377" s="36" t="n">
        <v>194</v>
      </c>
      <c r="I377" s="36" t="n">
        <v>225</v>
      </c>
      <c r="J377" s="36" t="n">
        <v>130</v>
      </c>
      <c r="K377" s="28" t="n">
        <v>254</v>
      </c>
      <c r="L377" s="36" t="n">
        <v>184</v>
      </c>
      <c r="M377" s="36" t="n">
        <v>233</v>
      </c>
      <c r="N377" s="36" t="n">
        <v>215</v>
      </c>
      <c r="O377" s="36" t="n">
        <v>224</v>
      </c>
      <c r="P377" s="36" t="n">
        <v>240</v>
      </c>
      <c r="Q377" s="36" t="n">
        <v>230</v>
      </c>
      <c r="R377" s="28" t="n">
        <v>132</v>
      </c>
      <c r="S377" s="36" t="n">
        <v>211</v>
      </c>
      <c r="T377" s="36" t="n">
        <v>202</v>
      </c>
      <c r="U377" s="36" t="n">
        <v>281.2</v>
      </c>
      <c r="V377" s="36" t="n">
        <v>290.51</v>
      </c>
      <c r="W377" s="36" t="n">
        <v>282.78</v>
      </c>
      <c r="X377" s="36" t="n">
        <v>231.55</v>
      </c>
      <c r="Y377" s="28" t="n">
        <v>313.32</v>
      </c>
      <c r="Z377" s="36" t="n">
        <v>288.48</v>
      </c>
      <c r="AA377" s="36" t="n">
        <v>281.53</v>
      </c>
      <c r="AB377" s="36" t="n">
        <v>281.2</v>
      </c>
      <c r="AC377" s="36" t="n">
        <v>290.51</v>
      </c>
      <c r="AD377" s="36" t="n">
        <v>306.29</v>
      </c>
      <c r="AE377" s="36" t="n">
        <v>231.55</v>
      </c>
      <c r="AF377" s="28" t="n">
        <v>313.32</v>
      </c>
      <c r="AG377" s="36" t="n">
        <v>288.48</v>
      </c>
      <c r="AH377" s="37" t="n">
        <v>281.53</v>
      </c>
      <c r="AI377" s="37" t="n">
        <v>281.2</v>
      </c>
      <c r="AJ377" s="37" t="n">
        <v>290.51</v>
      </c>
      <c r="AK377" s="37" t="n">
        <v>282.78</v>
      </c>
      <c r="AL377" s="37" t="n">
        <v>231.55</v>
      </c>
      <c r="AM377" s="37" t="n">
        <v>313.32</v>
      </c>
      <c r="AN377" s="37" t="n">
        <v>288.48</v>
      </c>
      <c r="AO377" s="37" t="n">
        <v>281.53</v>
      </c>
      <c r="AP377" s="37" t="n">
        <v>281.2</v>
      </c>
      <c r="AQ377" s="37" t="n">
        <v>290.51</v>
      </c>
      <c r="AR377" s="37" t="n">
        <v>282.78</v>
      </c>
      <c r="AS377" s="37" t="n">
        <v>231.55</v>
      </c>
      <c r="AT377" s="37" t="n">
        <v>313.32</v>
      </c>
      <c r="AU377" s="37" t="n">
        <v>288.48</v>
      </c>
      <c r="AV377" s="37" t="n">
        <v>281.53</v>
      </c>
      <c r="AW377" s="37" t="n">
        <v>281.2</v>
      </c>
      <c r="AX377" s="37" t="n">
        <v>290.51</v>
      </c>
      <c r="AY377" s="37" t="n">
        <v>282.78</v>
      </c>
      <c r="AZ377" s="37" t="n">
        <v>231.55</v>
      </c>
      <c r="BA377" s="37" t="n">
        <v>297.93</v>
      </c>
      <c r="BB377" s="37" t="n">
        <v>265.02</v>
      </c>
      <c r="BC377" s="37" t="n">
        <v>162.95</v>
      </c>
      <c r="BD377" s="37" t="n">
        <v>127.38</v>
      </c>
      <c r="BE377" s="37" t="n">
        <v>272.56</v>
      </c>
      <c r="BF377" s="37" t="n">
        <v>265.53</v>
      </c>
      <c r="BG377" s="37" t="n">
        <v>238.88</v>
      </c>
      <c r="BH377" s="37" t="n">
        <v>323.53</v>
      </c>
      <c r="BI377" s="37" t="n">
        <v>297.47</v>
      </c>
      <c r="BJ377" s="37" t="n">
        <v>315.58</v>
      </c>
      <c r="BK377" s="37" t="n">
        <v>289.58</v>
      </c>
      <c r="BL377" s="37" t="n">
        <v>299.68</v>
      </c>
      <c r="BM377" s="37" t="n">
        <v>291.46</v>
      </c>
      <c r="BN377" s="37" t="n">
        <v>238.88</v>
      </c>
      <c r="BO377" s="37" t="n">
        <v>323.53</v>
      </c>
      <c r="BP377" s="37" t="n">
        <v>297.47</v>
      </c>
      <c r="BQ377" s="37" t="n">
        <v>290.03</v>
      </c>
      <c r="BR377" s="37" t="n">
        <v>289.58</v>
      </c>
      <c r="BS377" s="37" t="n">
        <v>299.68</v>
      </c>
      <c r="BT377" s="37" t="n">
        <v>291.46</v>
      </c>
      <c r="BU377" s="37" t="n">
        <v>238.88</v>
      </c>
      <c r="BV377" s="37" t="n">
        <v>323.53</v>
      </c>
      <c r="BW377" s="37" t="n">
        <v>297.47</v>
      </c>
      <c r="BX377" s="37" t="n">
        <v>290.03</v>
      </c>
      <c r="BY377" s="37" t="n">
        <v>289.58</v>
      </c>
      <c r="BZ377" s="37" t="n">
        <v>299.68</v>
      </c>
      <c r="CA377" s="37" t="n">
        <v>291.46</v>
      </c>
      <c r="CB377" s="37" t="n">
        <v>238.88</v>
      </c>
      <c r="CC377" s="37" t="n">
        <v>19883.72</v>
      </c>
    </row>
    <row r="378" ht="15.75" customHeight="1" s="57">
      <c r="A378" s="7" t="inlineStr">
        <is>
          <t>NTB</t>
        </is>
      </c>
      <c r="B378" s="7" t="inlineStr">
        <is>
          <t>Lâm Đồng</t>
        </is>
      </c>
      <c r="C378" s="7" t="n">
        <v>22312000</v>
      </c>
      <c r="D378" s="7" t="inlineStr">
        <is>
          <t>(LDO) Lâm Viên - Đà Lạt 1</t>
        </is>
      </c>
      <c r="E378" s="7" t="inlineStr">
        <is>
          <t>SME-Bulky</t>
        </is>
      </c>
      <c r="F378" s="36" t="n">
        <v>27</v>
      </c>
      <c r="G378" s="36" t="n">
        <v>18</v>
      </c>
      <c r="H378" s="36" t="n">
        <v>35</v>
      </c>
      <c r="I378" s="36" t="n">
        <v>12</v>
      </c>
      <c r="J378" s="36" t="n">
        <v>25</v>
      </c>
      <c r="K378" s="28" t="n">
        <v>22</v>
      </c>
      <c r="L378" s="36" t="n">
        <v>14</v>
      </c>
      <c r="M378" s="36" t="n">
        <v>11</v>
      </c>
      <c r="N378" s="36" t="n">
        <v>13</v>
      </c>
      <c r="O378" s="36" t="n">
        <v>24</v>
      </c>
      <c r="P378" s="36" t="n">
        <v>12</v>
      </c>
      <c r="Q378" s="36" t="n">
        <v>2</v>
      </c>
      <c r="R378" s="28" t="n">
        <v>20</v>
      </c>
      <c r="S378" s="36" t="n">
        <v>5</v>
      </c>
      <c r="T378" s="36" t="n">
        <v>1</v>
      </c>
      <c r="U378" s="36" t="n">
        <v>10.39</v>
      </c>
      <c r="V378" s="36" t="n">
        <v>10.25</v>
      </c>
      <c r="W378" s="36" t="n">
        <v>9.970000000000001</v>
      </c>
      <c r="X378" s="36" t="n">
        <v>7.15</v>
      </c>
      <c r="Y378" s="28" t="n">
        <v>11.69</v>
      </c>
      <c r="Z378" s="36" t="n">
        <v>11.35</v>
      </c>
      <c r="AA378" s="36" t="n">
        <v>11.21</v>
      </c>
      <c r="AB378" s="36" t="n">
        <v>10.39</v>
      </c>
      <c r="AC378" s="36" t="n">
        <v>10.25</v>
      </c>
      <c r="AD378" s="36" t="n">
        <v>7.84</v>
      </c>
      <c r="AE378" s="36" t="n">
        <v>7.15</v>
      </c>
      <c r="AF378" s="28" t="n">
        <v>11.69</v>
      </c>
      <c r="AG378" s="36" t="n">
        <v>11.35</v>
      </c>
      <c r="AH378" s="37" t="n">
        <v>11.21</v>
      </c>
      <c r="AI378" s="37" t="n">
        <v>10.39</v>
      </c>
      <c r="AJ378" s="37" t="n">
        <v>10.25</v>
      </c>
      <c r="AK378" s="37" t="n">
        <v>9.970000000000001</v>
      </c>
      <c r="AL378" s="37" t="n">
        <v>7.15</v>
      </c>
      <c r="AM378" s="37" t="n">
        <v>11.69</v>
      </c>
      <c r="AN378" s="37" t="n">
        <v>11.35</v>
      </c>
      <c r="AO378" s="37" t="n">
        <v>11.21</v>
      </c>
      <c r="AP378" s="37" t="n">
        <v>10.39</v>
      </c>
      <c r="AQ378" s="37" t="n">
        <v>10.25</v>
      </c>
      <c r="AR378" s="37" t="n">
        <v>9.970000000000001</v>
      </c>
      <c r="AS378" s="37" t="n">
        <v>7.15</v>
      </c>
      <c r="AT378" s="37" t="n">
        <v>11.69</v>
      </c>
      <c r="AU378" s="37" t="n">
        <v>11.35</v>
      </c>
      <c r="AV378" s="37" t="n">
        <v>11.21</v>
      </c>
      <c r="AW378" s="37" t="n">
        <v>10.39</v>
      </c>
      <c r="AX378" s="37" t="n">
        <v>10.25</v>
      </c>
      <c r="AY378" s="37" t="n">
        <v>9.970000000000001</v>
      </c>
      <c r="AZ378" s="37" t="n">
        <v>7.15</v>
      </c>
      <c r="BA378" s="37" t="n">
        <v>12.79</v>
      </c>
      <c r="BB378" s="37" t="n">
        <v>6.74</v>
      </c>
      <c r="BC378" s="37" t="n">
        <v>3.44</v>
      </c>
      <c r="BD378" s="37" t="n">
        <v>2.61</v>
      </c>
      <c r="BE378" s="37" t="n">
        <v>6.05</v>
      </c>
      <c r="BF378" s="37" t="n">
        <v>5.64</v>
      </c>
      <c r="BG378" s="37" t="n">
        <v>3.92</v>
      </c>
      <c r="BH378" s="37" t="n">
        <v>6.81</v>
      </c>
      <c r="BI378" s="37" t="n">
        <v>6.74</v>
      </c>
      <c r="BJ378" s="37" t="n">
        <v>5.16</v>
      </c>
      <c r="BK378" s="37" t="n">
        <v>5.98</v>
      </c>
      <c r="BL378" s="37" t="n">
        <v>5.98</v>
      </c>
      <c r="BM378" s="37" t="n">
        <v>5.64</v>
      </c>
      <c r="BN378" s="37" t="n">
        <v>3.92</v>
      </c>
      <c r="BO378" s="37" t="n">
        <v>6.81</v>
      </c>
      <c r="BP378" s="37" t="n">
        <v>6.74</v>
      </c>
      <c r="BQ378" s="37" t="n">
        <v>6.4</v>
      </c>
      <c r="BR378" s="37" t="n">
        <v>5.98</v>
      </c>
      <c r="BS378" s="37" t="n">
        <v>5.98</v>
      </c>
      <c r="BT378" s="37" t="n">
        <v>5.64</v>
      </c>
      <c r="BU378" s="37" t="n">
        <v>3.92</v>
      </c>
      <c r="BV378" s="37" t="n">
        <v>6.81</v>
      </c>
      <c r="BW378" s="37" t="n">
        <v>6.74</v>
      </c>
      <c r="BX378" s="37" t="n">
        <v>6.4</v>
      </c>
      <c r="BY378" s="37" t="n">
        <v>5.98</v>
      </c>
      <c r="BZ378" s="37" t="n">
        <v>5.98</v>
      </c>
      <c r="CA378" s="37" t="n">
        <v>5.64</v>
      </c>
      <c r="CB378" s="37" t="n">
        <v>3.92</v>
      </c>
      <c r="CC378" s="37" t="n">
        <v>729.0299999999996</v>
      </c>
    </row>
    <row r="379" ht="15.75" customHeight="1" s="57">
      <c r="A379" s="7" t="inlineStr">
        <is>
          <t>NTB</t>
        </is>
      </c>
      <c r="B379" s="7" t="inlineStr">
        <is>
          <t>Lâm Đồng</t>
        </is>
      </c>
      <c r="C379" s="7" t="n">
        <v>22312000</v>
      </c>
      <c r="D379" s="7" t="inlineStr">
        <is>
          <t>(LDO) Lâm Viên - Đà Lạt 1</t>
        </is>
      </c>
      <c r="E379" s="7" t="inlineStr">
        <is>
          <t>Shopee</t>
        </is>
      </c>
      <c r="F379" s="36" t="n">
        <v>20</v>
      </c>
      <c r="G379" s="36" t="n">
        <v>25</v>
      </c>
      <c r="H379" s="36" t="n">
        <v>30</v>
      </c>
      <c r="I379" s="36" t="n">
        <v>19</v>
      </c>
      <c r="J379" s="36" t="n">
        <v>19</v>
      </c>
      <c r="K379" s="28" t="n">
        <v>22</v>
      </c>
      <c r="L379" s="36" t="n">
        <v>14</v>
      </c>
      <c r="M379" s="36" t="n">
        <v>21</v>
      </c>
      <c r="N379" s="36" t="n">
        <v>23</v>
      </c>
      <c r="O379" s="36" t="n">
        <v>12</v>
      </c>
      <c r="P379" s="36" t="n">
        <v>18</v>
      </c>
      <c r="Q379" s="36" t="n">
        <v>17</v>
      </c>
      <c r="R379" s="28" t="n">
        <v>11</v>
      </c>
      <c r="S379" s="36" t="n">
        <v>19</v>
      </c>
      <c r="T379" s="36" t="n">
        <v>19</v>
      </c>
      <c r="U379" s="36" t="n">
        <v>18.16</v>
      </c>
      <c r="V379" s="36" t="n">
        <v>18.35</v>
      </c>
      <c r="W379" s="36" t="n">
        <v>17.58</v>
      </c>
      <c r="X379" s="36" t="n">
        <v>15.19</v>
      </c>
      <c r="Y379" s="28" t="n">
        <v>24.59</v>
      </c>
      <c r="Z379" s="36" t="n">
        <v>19.49</v>
      </c>
      <c r="AA379" s="36" t="n">
        <v>23.82</v>
      </c>
      <c r="AB379" s="36" t="n">
        <v>18.65</v>
      </c>
      <c r="AC379" s="36" t="n">
        <v>14.98</v>
      </c>
      <c r="AD379" s="36" t="n">
        <v>39.83</v>
      </c>
      <c r="AE379" s="36" t="n">
        <v>16.29</v>
      </c>
      <c r="AF379" s="28" t="n">
        <v>27</v>
      </c>
      <c r="AG379" s="36" t="n">
        <v>20.45</v>
      </c>
      <c r="AH379" s="37" t="n">
        <v>21.57</v>
      </c>
      <c r="AI379" s="37" t="n">
        <v>18.16</v>
      </c>
      <c r="AJ379" s="37" t="n">
        <v>18.35</v>
      </c>
      <c r="AK379" s="37" t="n">
        <v>19.4</v>
      </c>
      <c r="AL379" s="37" t="n">
        <v>27.28</v>
      </c>
      <c r="AM379" s="37" t="n">
        <v>24.59</v>
      </c>
      <c r="AN379" s="37" t="n">
        <v>19.49</v>
      </c>
      <c r="AO379" s="37" t="n">
        <v>21.57</v>
      </c>
      <c r="AP379" s="37" t="n">
        <v>20.08</v>
      </c>
      <c r="AQ379" s="37" t="n">
        <v>14.66</v>
      </c>
      <c r="AR379" s="37" t="n">
        <v>17.58</v>
      </c>
      <c r="AS379" s="37" t="n">
        <v>15.19</v>
      </c>
      <c r="AT379" s="37" t="n">
        <v>24.59</v>
      </c>
      <c r="AU379" s="37" t="n">
        <v>21.43</v>
      </c>
      <c r="AV379" s="37" t="n">
        <v>22.11</v>
      </c>
      <c r="AW379" s="37" t="n">
        <v>18.16</v>
      </c>
      <c r="AX379" s="37" t="n">
        <v>18.35</v>
      </c>
      <c r="AY379" s="37" t="n">
        <v>17.58</v>
      </c>
      <c r="AZ379" s="37" t="n">
        <v>15.19</v>
      </c>
      <c r="BA379" s="37" t="n">
        <v>21.15</v>
      </c>
      <c r="BB379" s="37" t="n">
        <v>14.54</v>
      </c>
      <c r="BC379" s="37" t="n">
        <v>6.52</v>
      </c>
      <c r="BD379" s="37" t="n">
        <v>10.89</v>
      </c>
      <c r="BE379" s="37" t="n">
        <v>21.83</v>
      </c>
      <c r="BF379" s="37" t="n">
        <v>21.04</v>
      </c>
      <c r="BG379" s="37" t="n">
        <v>14.84</v>
      </c>
      <c r="BH379" s="37" t="n">
        <v>23.44</v>
      </c>
      <c r="BI379" s="37" t="n">
        <v>15.38</v>
      </c>
      <c r="BJ379" s="37" t="n">
        <v>56.43</v>
      </c>
      <c r="BK379" s="37" t="n">
        <v>18.61</v>
      </c>
      <c r="BL379" s="37" t="n">
        <v>18.35</v>
      </c>
      <c r="BM379" s="37" t="n">
        <v>16.76</v>
      </c>
      <c r="BN379" s="37" t="n">
        <v>14.56</v>
      </c>
      <c r="BO379" s="37" t="n">
        <v>23.44</v>
      </c>
      <c r="BP379" s="37" t="n">
        <v>20.36</v>
      </c>
      <c r="BQ379" s="37" t="n">
        <v>31.46</v>
      </c>
      <c r="BR379" s="37" t="n">
        <v>17.3</v>
      </c>
      <c r="BS379" s="37" t="n">
        <v>17.48</v>
      </c>
      <c r="BT379" s="37" t="n">
        <v>16.76</v>
      </c>
      <c r="BU379" s="37" t="n">
        <v>15.92</v>
      </c>
      <c r="BV379" s="37" t="n">
        <v>18.79</v>
      </c>
      <c r="BW379" s="37" t="n">
        <v>18.56</v>
      </c>
      <c r="BX379" s="37" t="n">
        <v>20.5</v>
      </c>
      <c r="BY379" s="37" t="n">
        <v>17.3</v>
      </c>
      <c r="BZ379" s="37" t="n">
        <v>19.14</v>
      </c>
      <c r="CA379" s="37" t="n">
        <v>17.13</v>
      </c>
      <c r="CB379" s="37" t="n">
        <v>14.56</v>
      </c>
      <c r="CC379" s="37" t="n">
        <v>1481.75</v>
      </c>
    </row>
    <row r="380" ht="15.75" customHeight="1" s="57">
      <c r="A380" s="7" t="inlineStr">
        <is>
          <t>NTB</t>
        </is>
      </c>
      <c r="B380" s="7" t="inlineStr">
        <is>
          <t>Lâm Đồng</t>
        </is>
      </c>
      <c r="C380" s="7" t="n">
        <v>22312000</v>
      </c>
      <c r="D380" s="7" t="inlineStr">
        <is>
          <t>(LDO) Lâm Viên - Đà Lạt 1</t>
        </is>
      </c>
      <c r="E380" s="7" t="inlineStr">
        <is>
          <t>Shopee-Bulky</t>
        </is>
      </c>
      <c r="F380" s="36" t="n">
        <v>2.61</v>
      </c>
      <c r="G380" s="36" t="n">
        <v>1.31</v>
      </c>
      <c r="H380" s="36" t="n">
        <v>0.65</v>
      </c>
      <c r="I380" s="36" t="n">
        <v>1.31</v>
      </c>
      <c r="J380" s="36" t="n">
        <v>3.92</v>
      </c>
      <c r="K380" s="28" t="n">
        <v>3.27</v>
      </c>
      <c r="L380" s="36" t="n">
        <v>1.96</v>
      </c>
      <c r="M380" s="36" t="n">
        <v>0.65</v>
      </c>
      <c r="N380" s="36" t="n">
        <v>2.61</v>
      </c>
      <c r="O380" s="36" t="n">
        <v>1.31</v>
      </c>
      <c r="P380" s="36" t="n">
        <v>3.27</v>
      </c>
      <c r="Q380" s="36" t="n">
        <v>1.31</v>
      </c>
      <c r="R380" s="28" t="n">
        <v>2.61</v>
      </c>
      <c r="S380" s="36" t="n">
        <v>1.96</v>
      </c>
      <c r="T380" s="36" t="n">
        <v>1.96</v>
      </c>
      <c r="U380" s="36" t="n">
        <v>1.95</v>
      </c>
      <c r="V380" s="36" t="n">
        <v>1.88</v>
      </c>
      <c r="W380" s="36" t="n">
        <v>2.48</v>
      </c>
      <c r="X380" s="36" t="n">
        <v>1.47</v>
      </c>
      <c r="Y380" s="28" t="n">
        <v>3.07</v>
      </c>
      <c r="Z380" s="36" t="n">
        <v>2.23</v>
      </c>
      <c r="AA380" s="36" t="n">
        <v>3.94</v>
      </c>
      <c r="AB380" s="36" t="n">
        <v>2.23</v>
      </c>
      <c r="AC380" s="36" t="n">
        <v>2.62</v>
      </c>
      <c r="AD380" s="36" t="n">
        <v>7.95</v>
      </c>
      <c r="AE380" s="36" t="n">
        <v>6.87</v>
      </c>
      <c r="AF380" s="28" t="n">
        <v>6.56</v>
      </c>
      <c r="AG380" s="36" t="n">
        <v>3.45</v>
      </c>
      <c r="AH380" s="37" t="n">
        <v>2.13</v>
      </c>
      <c r="AI380" s="37" t="n">
        <v>2.48</v>
      </c>
      <c r="AJ380" s="37" t="n">
        <v>2.06</v>
      </c>
      <c r="AK380" s="37" t="n">
        <v>4.92</v>
      </c>
      <c r="AL380" s="37" t="n">
        <v>2.69</v>
      </c>
      <c r="AM380" s="37" t="n">
        <v>4.05</v>
      </c>
      <c r="AN380" s="37" t="n">
        <v>2.23</v>
      </c>
      <c r="AO380" s="37" t="n">
        <v>2.16</v>
      </c>
      <c r="AP380" s="37" t="n">
        <v>4.4</v>
      </c>
      <c r="AQ380" s="37" t="n">
        <v>2.93</v>
      </c>
      <c r="AR380" s="37" t="n">
        <v>2.2</v>
      </c>
      <c r="AS380" s="37" t="n">
        <v>1.12</v>
      </c>
      <c r="AT380" s="37" t="n">
        <v>2.97</v>
      </c>
      <c r="AU380" s="37" t="n">
        <v>5.3</v>
      </c>
      <c r="AV380" s="37" t="n">
        <v>5.41</v>
      </c>
      <c r="AW380" s="37" t="n">
        <v>2.13</v>
      </c>
      <c r="AX380" s="37" t="n">
        <v>2.06</v>
      </c>
      <c r="AY380" s="37" t="n">
        <v>2.13</v>
      </c>
      <c r="AZ380" s="37" t="n">
        <v>1.12</v>
      </c>
      <c r="BA380" s="37" t="n">
        <v>2.76</v>
      </c>
      <c r="BB380" s="37" t="n">
        <v>1.71</v>
      </c>
      <c r="BC380" s="37" t="n">
        <v>0.35</v>
      </c>
      <c r="BD380" s="37" t="n">
        <v>0.7</v>
      </c>
      <c r="BE380" s="37" t="n">
        <v>3.21</v>
      </c>
      <c r="BF380" s="37" t="n">
        <v>2.69</v>
      </c>
      <c r="BG380" s="37" t="n">
        <v>1.71</v>
      </c>
      <c r="BH380" s="37" t="n">
        <v>3.91</v>
      </c>
      <c r="BI380" s="37" t="n">
        <v>2.9</v>
      </c>
      <c r="BJ380" s="37" t="n">
        <v>14.34</v>
      </c>
      <c r="BK380" s="37" t="n">
        <v>6.56</v>
      </c>
      <c r="BL380" s="37" t="n">
        <v>3.7</v>
      </c>
      <c r="BM380" s="37" t="n">
        <v>2.23</v>
      </c>
      <c r="BN380" s="37" t="n">
        <v>1.6</v>
      </c>
      <c r="BO380" s="37" t="n">
        <v>4.67</v>
      </c>
      <c r="BP380" s="37" t="n">
        <v>6.77</v>
      </c>
      <c r="BQ380" s="37" t="n">
        <v>5.3</v>
      </c>
      <c r="BR380" s="37" t="n">
        <v>2.69</v>
      </c>
      <c r="BS380" s="37" t="n">
        <v>2.62</v>
      </c>
      <c r="BT380" s="37" t="n">
        <v>2.13</v>
      </c>
      <c r="BU380" s="37" t="n">
        <v>3.49</v>
      </c>
      <c r="BV380" s="37" t="n">
        <v>4.19</v>
      </c>
      <c r="BW380" s="37" t="n">
        <v>2.9</v>
      </c>
      <c r="BX380" s="37" t="n">
        <v>2.79</v>
      </c>
      <c r="BY380" s="37" t="n">
        <v>2.69</v>
      </c>
      <c r="BZ380" s="37" t="n">
        <v>5.34</v>
      </c>
      <c r="CA380" s="37" t="n">
        <v>2.69</v>
      </c>
      <c r="CB380" s="37" t="n">
        <v>1.5</v>
      </c>
      <c r="CC380" s="37" t="n">
        <v>230.04</v>
      </c>
    </row>
    <row r="381" ht="15.75" customHeight="1" s="57">
      <c r="A381" s="7" t="inlineStr">
        <is>
          <t>NTB</t>
        </is>
      </c>
      <c r="B381" s="7" t="inlineStr">
        <is>
          <t>Lâm Đồng</t>
        </is>
      </c>
      <c r="C381" s="7" t="n">
        <v>22312000</v>
      </c>
      <c r="D381" s="7" t="inlineStr">
        <is>
          <t>(LDO) Lâm Viên - Đà Lạt 1</t>
        </is>
      </c>
      <c r="E381" s="7" t="inlineStr">
        <is>
          <t>Shopee-Bulky (10-15kg)</t>
        </is>
      </c>
      <c r="F381" s="36" t="n">
        <v>1.39</v>
      </c>
      <c r="G381" s="36" t="n">
        <v>0.6899999999999999</v>
      </c>
      <c r="H381" s="36" t="n">
        <v>0.35</v>
      </c>
      <c r="I381" s="36" t="n">
        <v>0.6899999999999999</v>
      </c>
      <c r="J381" s="36" t="n">
        <v>2.08</v>
      </c>
      <c r="K381" s="28" t="n">
        <v>1.73</v>
      </c>
      <c r="L381" s="36" t="n">
        <v>1.04</v>
      </c>
      <c r="M381" s="36" t="n">
        <v>0.35</v>
      </c>
      <c r="N381" s="36" t="n">
        <v>1.39</v>
      </c>
      <c r="O381" s="36" t="n">
        <v>0.6899999999999999</v>
      </c>
      <c r="P381" s="36" t="n">
        <v>1.73</v>
      </c>
      <c r="Q381" s="36" t="n">
        <v>0.6899999999999999</v>
      </c>
      <c r="R381" s="28" t="n">
        <v>1.39</v>
      </c>
      <c r="S381" s="36" t="n">
        <v>1.04</v>
      </c>
      <c r="T381" s="36" t="n">
        <v>1.04</v>
      </c>
      <c r="U381" s="36" t="n">
        <v>1.01</v>
      </c>
      <c r="V381" s="36" t="n">
        <v>0.98</v>
      </c>
      <c r="W381" s="36" t="n">
        <v>1.22</v>
      </c>
      <c r="X381" s="36" t="n">
        <v>0.73</v>
      </c>
      <c r="Y381" s="28" t="n">
        <v>1.78</v>
      </c>
      <c r="Z381" s="36" t="n">
        <v>1.19</v>
      </c>
      <c r="AA381" s="36" t="n">
        <v>2.16</v>
      </c>
      <c r="AB381" s="36" t="n">
        <v>1.12</v>
      </c>
      <c r="AC381" s="36" t="n">
        <v>1.19</v>
      </c>
      <c r="AD381" s="36" t="n">
        <v>5.79</v>
      </c>
      <c r="AE381" s="36" t="n">
        <v>3.94</v>
      </c>
      <c r="AF381" s="28" t="n">
        <v>3.28</v>
      </c>
      <c r="AG381" s="36" t="n">
        <v>2.55</v>
      </c>
      <c r="AH381" s="37" t="n">
        <v>1.19</v>
      </c>
      <c r="AI381" s="37" t="n">
        <v>1.19</v>
      </c>
      <c r="AJ381" s="37" t="n">
        <v>1.19</v>
      </c>
      <c r="AK381" s="37" t="n">
        <v>3.07</v>
      </c>
      <c r="AL381" s="37" t="n">
        <v>1.22</v>
      </c>
      <c r="AM381" s="37" t="n">
        <v>2.44</v>
      </c>
      <c r="AN381" s="37" t="n">
        <v>1.19</v>
      </c>
      <c r="AO381" s="37" t="n">
        <v>1.12</v>
      </c>
      <c r="AP381" s="37" t="n">
        <v>2.23</v>
      </c>
      <c r="AQ381" s="37" t="n">
        <v>1.47</v>
      </c>
      <c r="AR381" s="37" t="n">
        <v>1.12</v>
      </c>
      <c r="AS381" s="37" t="n">
        <v>0.5600000000000001</v>
      </c>
      <c r="AT381" s="37" t="n">
        <v>1.74</v>
      </c>
      <c r="AU381" s="37" t="n">
        <v>2.79</v>
      </c>
      <c r="AV381" s="37" t="n">
        <v>3.1</v>
      </c>
      <c r="AW381" s="37" t="n">
        <v>1.05</v>
      </c>
      <c r="AX381" s="37" t="n">
        <v>0.98</v>
      </c>
      <c r="AY381" s="37" t="n">
        <v>1.08</v>
      </c>
      <c r="AZ381" s="37" t="n">
        <v>0.5600000000000001</v>
      </c>
      <c r="BA381" s="37" t="n">
        <v>1.33</v>
      </c>
      <c r="BB381" s="37" t="n">
        <v>0.84</v>
      </c>
      <c r="BC381" s="37" t="n">
        <v>0.14</v>
      </c>
      <c r="BD381" s="37" t="n">
        <v>0.28</v>
      </c>
      <c r="BE381" s="37" t="n">
        <v>1.64</v>
      </c>
      <c r="BF381" s="37" t="n">
        <v>1.36</v>
      </c>
      <c r="BG381" s="37" t="n">
        <v>0.77</v>
      </c>
      <c r="BH381" s="37" t="n">
        <v>2.37</v>
      </c>
      <c r="BI381" s="37" t="n">
        <v>1.29</v>
      </c>
      <c r="BJ381" s="37" t="n">
        <v>8.02</v>
      </c>
      <c r="BK381" s="37" t="n">
        <v>2.9</v>
      </c>
      <c r="BL381" s="37" t="n">
        <v>2.16</v>
      </c>
      <c r="BM381" s="37" t="n">
        <v>1.05</v>
      </c>
      <c r="BN381" s="37" t="n">
        <v>0.77</v>
      </c>
      <c r="BO381" s="37" t="n">
        <v>2.23</v>
      </c>
      <c r="BP381" s="37" t="n">
        <v>2.9</v>
      </c>
      <c r="BQ381" s="37" t="n">
        <v>2.72</v>
      </c>
      <c r="BR381" s="37" t="n">
        <v>1.36</v>
      </c>
      <c r="BS381" s="37" t="n">
        <v>1.26</v>
      </c>
      <c r="BT381" s="37" t="n">
        <v>1.05</v>
      </c>
      <c r="BU381" s="37" t="n">
        <v>1.36</v>
      </c>
      <c r="BV381" s="37" t="n">
        <v>2.55</v>
      </c>
      <c r="BW381" s="37" t="n">
        <v>1.29</v>
      </c>
      <c r="BX381" s="37" t="n">
        <v>1.47</v>
      </c>
      <c r="BY381" s="37" t="n">
        <v>1.36</v>
      </c>
      <c r="BZ381" s="37" t="n">
        <v>2.51</v>
      </c>
      <c r="CA381" s="37" t="n">
        <v>1.36</v>
      </c>
      <c r="CB381" s="37" t="n">
        <v>0.77</v>
      </c>
      <c r="CC381" s="37" t="n">
        <v>121.63</v>
      </c>
    </row>
    <row r="382" ht="15.75" customHeight="1" s="57">
      <c r="A382" s="7" t="inlineStr">
        <is>
          <t>NTB</t>
        </is>
      </c>
      <c r="B382" s="7" t="inlineStr">
        <is>
          <t>Lâm Đồng</t>
        </is>
      </c>
      <c r="C382" s="7" t="n">
        <v>22312000</v>
      </c>
      <c r="D382" s="7" t="inlineStr">
        <is>
          <t>(LDO) Lâm Viên - Đà Lạt 1</t>
        </is>
      </c>
      <c r="E382" s="7" t="inlineStr">
        <is>
          <t>TTS</t>
        </is>
      </c>
      <c r="F382" s="36" t="n">
        <v>6</v>
      </c>
      <c r="G382" s="36" t="n">
        <v>12</v>
      </c>
      <c r="H382" s="36" t="n">
        <v>6</v>
      </c>
      <c r="I382" s="36" t="n">
        <v>8</v>
      </c>
      <c r="J382" s="36" t="n">
        <v>8</v>
      </c>
      <c r="K382" s="28" t="n">
        <v>10</v>
      </c>
      <c r="L382" s="36" t="n">
        <v>8</v>
      </c>
      <c r="M382" s="36" t="n">
        <v>4</v>
      </c>
      <c r="N382" s="36" t="n">
        <v>5</v>
      </c>
      <c r="O382" s="36" t="n">
        <v>10</v>
      </c>
      <c r="P382" s="36" t="n">
        <v>6</v>
      </c>
      <c r="Q382" s="36" t="n">
        <v>6</v>
      </c>
      <c r="R382" s="28" t="n">
        <v>10</v>
      </c>
      <c r="S382" s="36" t="n">
        <v>5</v>
      </c>
      <c r="T382" s="36" t="n">
        <v>3</v>
      </c>
      <c r="U382" s="36" t="n">
        <v>3.02</v>
      </c>
      <c r="V382" s="36" t="n">
        <v>2.98</v>
      </c>
      <c r="W382" s="36" t="n">
        <v>2.91</v>
      </c>
      <c r="X382" s="36" t="n">
        <v>2.34</v>
      </c>
      <c r="Y382" s="28" t="n">
        <v>3.42</v>
      </c>
      <c r="Z382" s="36" t="n">
        <v>2.91</v>
      </c>
      <c r="AA382" s="36" t="n">
        <v>3.24</v>
      </c>
      <c r="AB382" s="36" t="n">
        <v>3.59</v>
      </c>
      <c r="AC382" s="36" t="n">
        <v>3.82</v>
      </c>
      <c r="AD382" s="36" t="n">
        <v>5.29</v>
      </c>
      <c r="AE382" s="36" t="n">
        <v>2.73</v>
      </c>
      <c r="AF382" s="28" t="n">
        <v>3.51</v>
      </c>
      <c r="AG382" s="36" t="n">
        <v>2.97</v>
      </c>
      <c r="AH382" s="37" t="n">
        <v>2.93</v>
      </c>
      <c r="AI382" s="37" t="n">
        <v>3.39</v>
      </c>
      <c r="AJ382" s="37" t="n">
        <v>3.62</v>
      </c>
      <c r="AK382" s="37" t="n">
        <v>3.56</v>
      </c>
      <c r="AL382" s="37" t="n">
        <v>2.55</v>
      </c>
      <c r="AM382" s="37" t="n">
        <v>3.47</v>
      </c>
      <c r="AN382" s="37" t="n">
        <v>3</v>
      </c>
      <c r="AO382" s="37" t="n">
        <v>2.97</v>
      </c>
      <c r="AP382" s="37" t="n">
        <v>2.91</v>
      </c>
      <c r="AQ382" s="37" t="n">
        <v>2.93</v>
      </c>
      <c r="AR382" s="37" t="n">
        <v>2.87</v>
      </c>
      <c r="AS382" s="37" t="n">
        <v>2.35</v>
      </c>
      <c r="AT382" s="37" t="n">
        <v>3.76</v>
      </c>
      <c r="AU382" s="37" t="n">
        <v>3.4</v>
      </c>
      <c r="AV382" s="37" t="n">
        <v>3.01</v>
      </c>
      <c r="AW382" s="37" t="n">
        <v>2.87</v>
      </c>
      <c r="AX382" s="37" t="n">
        <v>2.85</v>
      </c>
      <c r="AY382" s="37" t="n">
        <v>2.83</v>
      </c>
      <c r="AZ382" s="37" t="n">
        <v>2.35</v>
      </c>
      <c r="BA382" s="37" t="n">
        <v>3.38</v>
      </c>
      <c r="BB382" s="37" t="n">
        <v>3.18</v>
      </c>
      <c r="BC382" s="37" t="n">
        <v>1.6</v>
      </c>
      <c r="BD382" s="37" t="n">
        <v>2.28</v>
      </c>
      <c r="BE382" s="37" t="n">
        <v>5.31</v>
      </c>
      <c r="BF382" s="37" t="n">
        <v>5.14</v>
      </c>
      <c r="BG382" s="37" t="n">
        <v>2.56</v>
      </c>
      <c r="BH382" s="37" t="n">
        <v>3.75</v>
      </c>
      <c r="BI382" s="37" t="n">
        <v>3.18</v>
      </c>
      <c r="BJ382" s="37" t="n">
        <v>4</v>
      </c>
      <c r="BK382" s="37" t="n">
        <v>3.22</v>
      </c>
      <c r="BL382" s="37" t="n">
        <v>3.23</v>
      </c>
      <c r="BM382" s="37" t="n">
        <v>3.13</v>
      </c>
      <c r="BN382" s="37" t="n">
        <v>2.56</v>
      </c>
      <c r="BO382" s="37" t="n">
        <v>3.75</v>
      </c>
      <c r="BP382" s="37" t="n">
        <v>3.18</v>
      </c>
      <c r="BQ382" s="37" t="n">
        <v>3.14</v>
      </c>
      <c r="BR382" s="37" t="n">
        <v>3.22</v>
      </c>
      <c r="BS382" s="37" t="n">
        <v>3.23</v>
      </c>
      <c r="BT382" s="37" t="n">
        <v>3.13</v>
      </c>
      <c r="BU382" s="37" t="n">
        <v>2.56</v>
      </c>
      <c r="BV382" s="37" t="n">
        <v>3.75</v>
      </c>
      <c r="BW382" s="37" t="n">
        <v>3.18</v>
      </c>
      <c r="BX382" s="37" t="n">
        <v>3.14</v>
      </c>
      <c r="BY382" s="37" t="n">
        <v>3.22</v>
      </c>
      <c r="BZ382" s="37" t="n">
        <v>3.23</v>
      </c>
      <c r="CA382" s="37" t="n">
        <v>3.13</v>
      </c>
      <c r="CB382" s="37" t="n">
        <v>2.56</v>
      </c>
      <c r="CC382" s="37" t="n">
        <v>298.29</v>
      </c>
    </row>
    <row r="383" ht="15.75" customHeight="1" s="57">
      <c r="A383" s="7" t="inlineStr">
        <is>
          <t>NTB</t>
        </is>
      </c>
      <c r="B383" s="7" t="inlineStr">
        <is>
          <t>Lâm Đồng</t>
        </is>
      </c>
      <c r="C383" s="7" t="n">
        <v>22389000</v>
      </c>
      <c r="D383" s="7" t="inlineStr">
        <is>
          <t>(LDO) Đức Trọng 1</t>
        </is>
      </c>
      <c r="E383" s="7" t="inlineStr">
        <is>
          <t>SME</t>
        </is>
      </c>
      <c r="F383" s="36" t="n">
        <v>26</v>
      </c>
      <c r="G383" s="36" t="n">
        <v>43</v>
      </c>
      <c r="H383" s="36" t="n">
        <v>30</v>
      </c>
      <c r="I383" s="36" t="n">
        <v>27</v>
      </c>
      <c r="J383" s="36" t="n">
        <v>20</v>
      </c>
      <c r="K383" s="28" t="n">
        <v>24</v>
      </c>
      <c r="L383" s="36" t="n">
        <v>28</v>
      </c>
      <c r="M383" s="36" t="n">
        <v>14</v>
      </c>
      <c r="N383" s="36" t="n">
        <v>17</v>
      </c>
      <c r="O383" s="36" t="n">
        <v>15</v>
      </c>
      <c r="P383" s="36" t="n">
        <v>24</v>
      </c>
      <c r="Q383" s="36" t="n">
        <v>19</v>
      </c>
      <c r="R383" s="28" t="n">
        <v>28</v>
      </c>
      <c r="S383" s="36" t="n">
        <v>13</v>
      </c>
      <c r="T383" s="36" t="n">
        <v>20</v>
      </c>
      <c r="U383" s="36" t="n">
        <v>25.62</v>
      </c>
      <c r="V383" s="36" t="n">
        <v>26.46</v>
      </c>
      <c r="W383" s="36" t="n">
        <v>25.76</v>
      </c>
      <c r="X383" s="36" t="n">
        <v>21.06</v>
      </c>
      <c r="Y383" s="28" t="n">
        <v>28.53</v>
      </c>
      <c r="Z383" s="36" t="n">
        <v>26.26</v>
      </c>
      <c r="AA383" s="36" t="n">
        <v>25.61</v>
      </c>
      <c r="AB383" s="36" t="n">
        <v>25.62</v>
      </c>
      <c r="AC383" s="36" t="n">
        <v>26.46</v>
      </c>
      <c r="AD383" s="36" t="n">
        <v>27.85</v>
      </c>
      <c r="AE383" s="36" t="n">
        <v>21.06</v>
      </c>
      <c r="AF383" s="28" t="n">
        <v>28.53</v>
      </c>
      <c r="AG383" s="36" t="n">
        <v>26.26</v>
      </c>
      <c r="AH383" s="37" t="n">
        <v>25.61</v>
      </c>
      <c r="AI383" s="37" t="n">
        <v>25.62</v>
      </c>
      <c r="AJ383" s="37" t="n">
        <v>26.46</v>
      </c>
      <c r="AK383" s="37" t="n">
        <v>25.76</v>
      </c>
      <c r="AL383" s="37" t="n">
        <v>21.06</v>
      </c>
      <c r="AM383" s="37" t="n">
        <v>28.53</v>
      </c>
      <c r="AN383" s="37" t="n">
        <v>26.26</v>
      </c>
      <c r="AO383" s="37" t="n">
        <v>25.61</v>
      </c>
      <c r="AP383" s="37" t="n">
        <v>25.62</v>
      </c>
      <c r="AQ383" s="37" t="n">
        <v>26.46</v>
      </c>
      <c r="AR383" s="37" t="n">
        <v>25.76</v>
      </c>
      <c r="AS383" s="37" t="n">
        <v>21.06</v>
      </c>
      <c r="AT383" s="37" t="n">
        <v>28.53</v>
      </c>
      <c r="AU383" s="37" t="n">
        <v>26.26</v>
      </c>
      <c r="AV383" s="37" t="n">
        <v>25.61</v>
      </c>
      <c r="AW383" s="37" t="n">
        <v>25.62</v>
      </c>
      <c r="AX383" s="37" t="n">
        <v>26.46</v>
      </c>
      <c r="AY383" s="37" t="n">
        <v>25.76</v>
      </c>
      <c r="AZ383" s="37" t="n">
        <v>21.06</v>
      </c>
      <c r="BA383" s="37" t="n">
        <v>27.13</v>
      </c>
      <c r="BB383" s="37" t="n">
        <v>24.1</v>
      </c>
      <c r="BC383" s="37" t="n">
        <v>14.76</v>
      </c>
      <c r="BD383" s="37" t="n">
        <v>11.53</v>
      </c>
      <c r="BE383" s="37" t="n">
        <v>24.78</v>
      </c>
      <c r="BF383" s="37" t="n">
        <v>24.16</v>
      </c>
      <c r="BG383" s="37" t="n">
        <v>21.7</v>
      </c>
      <c r="BH383" s="37" t="n">
        <v>29.43</v>
      </c>
      <c r="BI383" s="37" t="n">
        <v>27.04</v>
      </c>
      <c r="BJ383" s="37" t="n">
        <v>28.66</v>
      </c>
      <c r="BK383" s="37" t="n">
        <v>26.35</v>
      </c>
      <c r="BL383" s="37" t="n">
        <v>27.25</v>
      </c>
      <c r="BM383" s="37" t="n">
        <v>26.51</v>
      </c>
      <c r="BN383" s="37" t="n">
        <v>21.7</v>
      </c>
      <c r="BO383" s="37" t="n">
        <v>29.43</v>
      </c>
      <c r="BP383" s="37" t="n">
        <v>27.04</v>
      </c>
      <c r="BQ383" s="37" t="n">
        <v>26.36</v>
      </c>
      <c r="BR383" s="37" t="n">
        <v>26.35</v>
      </c>
      <c r="BS383" s="37" t="n">
        <v>27.25</v>
      </c>
      <c r="BT383" s="37" t="n">
        <v>26.51</v>
      </c>
      <c r="BU383" s="37" t="n">
        <v>21.7</v>
      </c>
      <c r="BV383" s="37" t="n">
        <v>29.43</v>
      </c>
      <c r="BW383" s="37" t="n">
        <v>27.04</v>
      </c>
      <c r="BX383" s="37" t="n">
        <v>26.36</v>
      </c>
      <c r="BY383" s="37" t="n">
        <v>26.35</v>
      </c>
      <c r="BZ383" s="37" t="n">
        <v>27.25</v>
      </c>
      <c r="CA383" s="37" t="n">
        <v>26.51</v>
      </c>
      <c r="CB383" s="37" t="n">
        <v>21.7</v>
      </c>
      <c r="CC383" s="37" t="n">
        <v>1870.569999999999</v>
      </c>
    </row>
    <row r="384" ht="15.75" customHeight="1" s="57">
      <c r="A384" s="7" t="inlineStr">
        <is>
          <t>NTB</t>
        </is>
      </c>
      <c r="B384" s="7" t="inlineStr">
        <is>
          <t>Lâm Đồng</t>
        </is>
      </c>
      <c r="C384" s="7" t="n">
        <v>22389000</v>
      </c>
      <c r="D384" s="7" t="inlineStr">
        <is>
          <t>(LDO) Đức Trọng 1</t>
        </is>
      </c>
      <c r="E384" s="7" t="inlineStr">
        <is>
          <t>SME-Bulky</t>
        </is>
      </c>
      <c r="F384" s="36" t="n">
        <v>1</v>
      </c>
      <c r="G384" s="36" t="n">
        <v>5</v>
      </c>
      <c r="H384" s="36" t="n">
        <v>4</v>
      </c>
      <c r="I384" s="36" t="n">
        <v>13</v>
      </c>
      <c r="J384" s="36" t="n">
        <v>3</v>
      </c>
      <c r="K384" s="28" t="n">
        <v>0</v>
      </c>
      <c r="L384" s="36" t="n">
        <v>2</v>
      </c>
      <c r="M384" s="36" t="n">
        <v>3</v>
      </c>
      <c r="N384" s="36" t="n">
        <v>0</v>
      </c>
      <c r="O384" s="36" t="n">
        <v>2</v>
      </c>
      <c r="P384" s="36" t="n">
        <v>12</v>
      </c>
      <c r="Q384" s="36" t="n">
        <v>6</v>
      </c>
      <c r="R384" s="28" t="n">
        <v>3</v>
      </c>
      <c r="S384" s="36" t="n">
        <v>1</v>
      </c>
      <c r="T384" s="36" t="n">
        <v>1</v>
      </c>
      <c r="U384" s="36" t="n">
        <v>2.19</v>
      </c>
      <c r="V384" s="36" t="n">
        <v>2.16</v>
      </c>
      <c r="W384" s="36" t="n">
        <v>2.1</v>
      </c>
      <c r="X384" s="36" t="n">
        <v>1.51</v>
      </c>
      <c r="Y384" s="28" t="n">
        <v>2.46</v>
      </c>
      <c r="Z384" s="36" t="n">
        <v>2.39</v>
      </c>
      <c r="AA384" s="36" t="n">
        <v>2.36</v>
      </c>
      <c r="AB384" s="36" t="n">
        <v>2.19</v>
      </c>
      <c r="AC384" s="36" t="n">
        <v>2.16</v>
      </c>
      <c r="AD384" s="36" t="n">
        <v>1.65</v>
      </c>
      <c r="AE384" s="36" t="n">
        <v>1.51</v>
      </c>
      <c r="AF384" s="28" t="n">
        <v>2.46</v>
      </c>
      <c r="AG384" s="36" t="n">
        <v>2.39</v>
      </c>
      <c r="AH384" s="37" t="n">
        <v>2.36</v>
      </c>
      <c r="AI384" s="37" t="n">
        <v>2.19</v>
      </c>
      <c r="AJ384" s="37" t="n">
        <v>2.16</v>
      </c>
      <c r="AK384" s="37" t="n">
        <v>2.1</v>
      </c>
      <c r="AL384" s="37" t="n">
        <v>1.51</v>
      </c>
      <c r="AM384" s="37" t="n">
        <v>2.46</v>
      </c>
      <c r="AN384" s="37" t="n">
        <v>2.39</v>
      </c>
      <c r="AO384" s="37" t="n">
        <v>2.36</v>
      </c>
      <c r="AP384" s="37" t="n">
        <v>2.19</v>
      </c>
      <c r="AQ384" s="37" t="n">
        <v>2.16</v>
      </c>
      <c r="AR384" s="37" t="n">
        <v>2.1</v>
      </c>
      <c r="AS384" s="37" t="n">
        <v>1.51</v>
      </c>
      <c r="AT384" s="37" t="n">
        <v>2.46</v>
      </c>
      <c r="AU384" s="37" t="n">
        <v>2.39</v>
      </c>
      <c r="AV384" s="37" t="n">
        <v>2.36</v>
      </c>
      <c r="AW384" s="37" t="n">
        <v>2.19</v>
      </c>
      <c r="AX384" s="37" t="n">
        <v>2.16</v>
      </c>
      <c r="AY384" s="37" t="n">
        <v>2.1</v>
      </c>
      <c r="AZ384" s="37" t="n">
        <v>1.51</v>
      </c>
      <c r="BA384" s="37" t="n">
        <v>2.69</v>
      </c>
      <c r="BB384" s="37" t="n">
        <v>1.42</v>
      </c>
      <c r="BC384" s="37" t="n">
        <v>0.72</v>
      </c>
      <c r="BD384" s="37" t="n">
        <v>0.55</v>
      </c>
      <c r="BE384" s="37" t="n">
        <v>1.27</v>
      </c>
      <c r="BF384" s="37" t="n">
        <v>1.19</v>
      </c>
      <c r="BG384" s="37" t="n">
        <v>0.83</v>
      </c>
      <c r="BH384" s="37" t="n">
        <v>1.43</v>
      </c>
      <c r="BI384" s="37" t="n">
        <v>1.42</v>
      </c>
      <c r="BJ384" s="37" t="n">
        <v>1.09</v>
      </c>
      <c r="BK384" s="37" t="n">
        <v>1.26</v>
      </c>
      <c r="BL384" s="37" t="n">
        <v>1.26</v>
      </c>
      <c r="BM384" s="37" t="n">
        <v>1.19</v>
      </c>
      <c r="BN384" s="37" t="n">
        <v>0.83</v>
      </c>
      <c r="BO384" s="37" t="n">
        <v>1.43</v>
      </c>
      <c r="BP384" s="37" t="n">
        <v>1.42</v>
      </c>
      <c r="BQ384" s="37" t="n">
        <v>1.35</v>
      </c>
      <c r="BR384" s="37" t="n">
        <v>1.26</v>
      </c>
      <c r="BS384" s="37" t="n">
        <v>1.26</v>
      </c>
      <c r="BT384" s="37" t="n">
        <v>1.19</v>
      </c>
      <c r="BU384" s="37" t="n">
        <v>0.83</v>
      </c>
      <c r="BV384" s="37" t="n">
        <v>1.43</v>
      </c>
      <c r="BW384" s="37" t="n">
        <v>1.42</v>
      </c>
      <c r="BX384" s="37" t="n">
        <v>1.35</v>
      </c>
      <c r="BY384" s="37" t="n">
        <v>1.26</v>
      </c>
      <c r="BZ384" s="37" t="n">
        <v>1.26</v>
      </c>
      <c r="CA384" s="37" t="n">
        <v>1.19</v>
      </c>
      <c r="CB384" s="37" t="n">
        <v>0.83</v>
      </c>
      <c r="CC384" s="37" t="n">
        <v>158.8199999999999</v>
      </c>
    </row>
    <row r="385" ht="15.75" customHeight="1" s="57">
      <c r="A385" s="7" t="inlineStr">
        <is>
          <t>NTB</t>
        </is>
      </c>
      <c r="B385" s="7" t="inlineStr">
        <is>
          <t>Lâm Đồng</t>
        </is>
      </c>
      <c r="C385" s="7" t="n">
        <v>22389000</v>
      </c>
      <c r="D385" s="7" t="inlineStr">
        <is>
          <t>(LDO) Đức Trọng 1</t>
        </is>
      </c>
      <c r="E385" s="7" t="inlineStr">
        <is>
          <t>Shopee</t>
        </is>
      </c>
      <c r="F385" s="36" t="n">
        <v>14</v>
      </c>
      <c r="G385" s="36" t="n">
        <v>4</v>
      </c>
      <c r="H385" s="36" t="n">
        <v>6</v>
      </c>
      <c r="I385" s="36" t="n">
        <v>6</v>
      </c>
      <c r="J385" s="36" t="n">
        <v>6</v>
      </c>
      <c r="K385" s="28" t="n">
        <v>12</v>
      </c>
      <c r="L385" s="36" t="n">
        <v>10</v>
      </c>
      <c r="M385" s="36" t="n">
        <v>15</v>
      </c>
      <c r="N385" s="36" t="n">
        <v>7</v>
      </c>
      <c r="O385" s="36" t="n">
        <v>4</v>
      </c>
      <c r="P385" s="36" t="n">
        <v>2</v>
      </c>
      <c r="Q385" s="36" t="n">
        <v>12</v>
      </c>
      <c r="R385" s="28" t="n">
        <v>8</v>
      </c>
      <c r="S385" s="36" t="n">
        <v>8</v>
      </c>
      <c r="T385" s="36" t="n">
        <v>9</v>
      </c>
      <c r="U385" s="36" t="n">
        <v>9.74</v>
      </c>
      <c r="V385" s="36" t="n">
        <v>9.84</v>
      </c>
      <c r="W385" s="36" t="n">
        <v>9.43</v>
      </c>
      <c r="X385" s="36" t="n">
        <v>8.15</v>
      </c>
      <c r="Y385" s="28" t="n">
        <v>13.19</v>
      </c>
      <c r="Z385" s="36" t="n">
        <v>10.46</v>
      </c>
      <c r="AA385" s="36" t="n">
        <v>12.78</v>
      </c>
      <c r="AB385" s="36" t="n">
        <v>10</v>
      </c>
      <c r="AC385" s="36" t="n">
        <v>8.039999999999999</v>
      </c>
      <c r="AD385" s="36" t="n">
        <v>21.36</v>
      </c>
      <c r="AE385" s="36" t="n">
        <v>8.74</v>
      </c>
      <c r="AF385" s="28" t="n">
        <v>14.48</v>
      </c>
      <c r="AG385" s="36" t="n">
        <v>10.97</v>
      </c>
      <c r="AH385" s="37" t="n">
        <v>11.57</v>
      </c>
      <c r="AI385" s="37" t="n">
        <v>9.74</v>
      </c>
      <c r="AJ385" s="37" t="n">
        <v>9.84</v>
      </c>
      <c r="AK385" s="37" t="n">
        <v>10.41</v>
      </c>
      <c r="AL385" s="37" t="n">
        <v>14.63</v>
      </c>
      <c r="AM385" s="37" t="n">
        <v>13.19</v>
      </c>
      <c r="AN385" s="37" t="n">
        <v>10.46</v>
      </c>
      <c r="AO385" s="37" t="n">
        <v>11.57</v>
      </c>
      <c r="AP385" s="37" t="n">
        <v>10.77</v>
      </c>
      <c r="AQ385" s="37" t="n">
        <v>7.86</v>
      </c>
      <c r="AR385" s="37" t="n">
        <v>9.43</v>
      </c>
      <c r="AS385" s="37" t="n">
        <v>8.15</v>
      </c>
      <c r="AT385" s="37" t="n">
        <v>13.19</v>
      </c>
      <c r="AU385" s="37" t="n">
        <v>11.5</v>
      </c>
      <c r="AV385" s="37" t="n">
        <v>11.86</v>
      </c>
      <c r="AW385" s="37" t="n">
        <v>9.74</v>
      </c>
      <c r="AX385" s="37" t="n">
        <v>9.84</v>
      </c>
      <c r="AY385" s="37" t="n">
        <v>9.43</v>
      </c>
      <c r="AZ385" s="37" t="n">
        <v>8.15</v>
      </c>
      <c r="BA385" s="37" t="n">
        <v>11.35</v>
      </c>
      <c r="BB385" s="37" t="n">
        <v>7.8</v>
      </c>
      <c r="BC385" s="37" t="n">
        <v>3.5</v>
      </c>
      <c r="BD385" s="37" t="n">
        <v>5.84</v>
      </c>
      <c r="BE385" s="37" t="n">
        <v>11.71</v>
      </c>
      <c r="BF385" s="37" t="n">
        <v>11.28</v>
      </c>
      <c r="BG385" s="37" t="n">
        <v>7.96</v>
      </c>
      <c r="BH385" s="37" t="n">
        <v>12.57</v>
      </c>
      <c r="BI385" s="37" t="n">
        <v>8.25</v>
      </c>
      <c r="BJ385" s="37" t="n">
        <v>30.26</v>
      </c>
      <c r="BK385" s="37" t="n">
        <v>9.98</v>
      </c>
      <c r="BL385" s="37" t="n">
        <v>9.84</v>
      </c>
      <c r="BM385" s="37" t="n">
        <v>8.99</v>
      </c>
      <c r="BN385" s="37" t="n">
        <v>7.81</v>
      </c>
      <c r="BO385" s="37" t="n">
        <v>12.57</v>
      </c>
      <c r="BP385" s="37" t="n">
        <v>10.92</v>
      </c>
      <c r="BQ385" s="37" t="n">
        <v>16.88</v>
      </c>
      <c r="BR385" s="37" t="n">
        <v>9.279999999999999</v>
      </c>
      <c r="BS385" s="37" t="n">
        <v>9.380000000000001</v>
      </c>
      <c r="BT385" s="37" t="n">
        <v>8.99</v>
      </c>
      <c r="BU385" s="37" t="n">
        <v>8.539999999999999</v>
      </c>
      <c r="BV385" s="37" t="n">
        <v>10.08</v>
      </c>
      <c r="BW385" s="37" t="n">
        <v>9.949999999999999</v>
      </c>
      <c r="BX385" s="37" t="n">
        <v>11</v>
      </c>
      <c r="BY385" s="37" t="n">
        <v>9.279999999999999</v>
      </c>
      <c r="BZ385" s="37" t="n">
        <v>10.27</v>
      </c>
      <c r="CA385" s="37" t="n">
        <v>9.19</v>
      </c>
      <c r="CB385" s="37" t="n">
        <v>7.81</v>
      </c>
      <c r="CC385" s="37" t="n">
        <v>762.7900000000001</v>
      </c>
    </row>
    <row r="386" ht="15.75" customHeight="1" s="57">
      <c r="A386" s="7" t="inlineStr">
        <is>
          <t>NTB</t>
        </is>
      </c>
      <c r="B386" s="7" t="inlineStr">
        <is>
          <t>Lâm Đồng</t>
        </is>
      </c>
      <c r="C386" s="7" t="n">
        <v>22389000</v>
      </c>
      <c r="D386" s="7" t="inlineStr">
        <is>
          <t>(LDO) Đức Trọng 1</t>
        </is>
      </c>
      <c r="E386" s="7" t="inlineStr">
        <is>
          <t>Shopee-Bulky</t>
        </is>
      </c>
      <c r="F386" s="36" t="n">
        <v>0.65</v>
      </c>
      <c r="G386" s="36" t="n">
        <v>0.65</v>
      </c>
      <c r="H386" s="36" t="n">
        <v>0.65</v>
      </c>
      <c r="I386" s="36" t="n">
        <v>1.31</v>
      </c>
      <c r="J386" s="36" t="n">
        <v>0.65</v>
      </c>
      <c r="K386" s="28" t="n">
        <v>1.31</v>
      </c>
      <c r="L386" s="36" t="n">
        <v>0</v>
      </c>
      <c r="M386" s="36" t="n">
        <v>0</v>
      </c>
      <c r="N386" s="36" t="n">
        <v>0</v>
      </c>
      <c r="O386" s="36" t="n">
        <v>1.96</v>
      </c>
      <c r="P386" s="36" t="n">
        <v>0.65</v>
      </c>
      <c r="Q386" s="36" t="n">
        <v>0</v>
      </c>
      <c r="R386" s="28" t="n">
        <v>0.65</v>
      </c>
      <c r="S386" s="36" t="n">
        <v>1.31</v>
      </c>
      <c r="T386" s="36" t="n">
        <v>0.65</v>
      </c>
      <c r="U386" s="36" t="n">
        <v>0.76</v>
      </c>
      <c r="V386" s="36" t="n">
        <v>0.73</v>
      </c>
      <c r="W386" s="36" t="n">
        <v>0.96</v>
      </c>
      <c r="X386" s="36" t="n">
        <v>0.57</v>
      </c>
      <c r="Y386" s="28" t="n">
        <v>1.19</v>
      </c>
      <c r="Z386" s="36" t="n">
        <v>0.87</v>
      </c>
      <c r="AA386" s="36" t="n">
        <v>1.53</v>
      </c>
      <c r="AB386" s="36" t="n">
        <v>0.87</v>
      </c>
      <c r="AC386" s="36" t="n">
        <v>1.02</v>
      </c>
      <c r="AD386" s="36" t="n">
        <v>3.09</v>
      </c>
      <c r="AE386" s="36" t="n">
        <v>2.67</v>
      </c>
      <c r="AF386" s="28" t="n">
        <v>2.55</v>
      </c>
      <c r="AG386" s="36" t="n">
        <v>1.34</v>
      </c>
      <c r="AH386" s="37" t="n">
        <v>0.83</v>
      </c>
      <c r="AI386" s="37" t="n">
        <v>0.96</v>
      </c>
      <c r="AJ386" s="37" t="n">
        <v>0.8</v>
      </c>
      <c r="AK386" s="37" t="n">
        <v>1.91</v>
      </c>
      <c r="AL386" s="37" t="n">
        <v>1.04</v>
      </c>
      <c r="AM386" s="37" t="n">
        <v>1.57</v>
      </c>
      <c r="AN386" s="37" t="n">
        <v>0.87</v>
      </c>
      <c r="AO386" s="37" t="n">
        <v>0.84</v>
      </c>
      <c r="AP386" s="37" t="n">
        <v>1.71</v>
      </c>
      <c r="AQ386" s="37" t="n">
        <v>1.14</v>
      </c>
      <c r="AR386" s="37" t="n">
        <v>0.85</v>
      </c>
      <c r="AS386" s="37" t="n">
        <v>0.43</v>
      </c>
      <c r="AT386" s="37" t="n">
        <v>1.15</v>
      </c>
      <c r="AU386" s="37" t="n">
        <v>2.06</v>
      </c>
      <c r="AV386" s="37" t="n">
        <v>2.1</v>
      </c>
      <c r="AW386" s="37" t="n">
        <v>0.83</v>
      </c>
      <c r="AX386" s="37" t="n">
        <v>0.8</v>
      </c>
      <c r="AY386" s="37" t="n">
        <v>0.83</v>
      </c>
      <c r="AZ386" s="37" t="n">
        <v>0.43</v>
      </c>
      <c r="BA386" s="37" t="n">
        <v>1.07</v>
      </c>
      <c r="BB386" s="37" t="n">
        <v>0.66</v>
      </c>
      <c r="BC386" s="37" t="n">
        <v>0.14</v>
      </c>
      <c r="BD386" s="37" t="n">
        <v>0.27</v>
      </c>
      <c r="BE386" s="37" t="n">
        <v>1.25</v>
      </c>
      <c r="BF386" s="37" t="n">
        <v>1.04</v>
      </c>
      <c r="BG386" s="37" t="n">
        <v>0.66</v>
      </c>
      <c r="BH386" s="37" t="n">
        <v>1.52</v>
      </c>
      <c r="BI386" s="37" t="n">
        <v>1.13</v>
      </c>
      <c r="BJ386" s="37" t="n">
        <v>5.58</v>
      </c>
      <c r="BK386" s="37" t="n">
        <v>2.55</v>
      </c>
      <c r="BL386" s="37" t="n">
        <v>1.44</v>
      </c>
      <c r="BM386" s="37" t="n">
        <v>0.87</v>
      </c>
      <c r="BN386" s="37" t="n">
        <v>0.62</v>
      </c>
      <c r="BO386" s="37" t="n">
        <v>1.82</v>
      </c>
      <c r="BP386" s="37" t="n">
        <v>2.63</v>
      </c>
      <c r="BQ386" s="37" t="n">
        <v>2.06</v>
      </c>
      <c r="BR386" s="37" t="n">
        <v>1.04</v>
      </c>
      <c r="BS386" s="37" t="n">
        <v>1.02</v>
      </c>
      <c r="BT386" s="37" t="n">
        <v>0.83</v>
      </c>
      <c r="BU386" s="37" t="n">
        <v>1.36</v>
      </c>
      <c r="BV386" s="37" t="n">
        <v>1.63</v>
      </c>
      <c r="BW386" s="37" t="n">
        <v>1.13</v>
      </c>
      <c r="BX386" s="37" t="n">
        <v>1.09</v>
      </c>
      <c r="BY386" s="37" t="n">
        <v>1.04</v>
      </c>
      <c r="BZ386" s="37" t="n">
        <v>2.08</v>
      </c>
      <c r="CA386" s="37" t="n">
        <v>1.04</v>
      </c>
      <c r="CB386" s="37" t="n">
        <v>0.58</v>
      </c>
      <c r="CC386" s="37" t="n">
        <v>87.89</v>
      </c>
    </row>
    <row r="387" ht="15.75" customHeight="1" s="57">
      <c r="A387" s="7" t="inlineStr">
        <is>
          <t>NTB</t>
        </is>
      </c>
      <c r="B387" s="7" t="inlineStr">
        <is>
          <t>Lâm Đồng</t>
        </is>
      </c>
      <c r="C387" s="7" t="n">
        <v>22389000</v>
      </c>
      <c r="D387" s="7" t="inlineStr">
        <is>
          <t>(LDO) Đức Trọng 1</t>
        </is>
      </c>
      <c r="E387" s="7" t="inlineStr">
        <is>
          <t>Shopee-Bulky (10-15kg)</t>
        </is>
      </c>
      <c r="F387" s="36" t="n">
        <v>0.35</v>
      </c>
      <c r="G387" s="36" t="n">
        <v>0.35</v>
      </c>
      <c r="H387" s="36" t="n">
        <v>0.35</v>
      </c>
      <c r="I387" s="36" t="n">
        <v>0.6899999999999999</v>
      </c>
      <c r="J387" s="36" t="n">
        <v>0.35</v>
      </c>
      <c r="K387" s="28" t="n">
        <v>0.6899999999999999</v>
      </c>
      <c r="L387" s="36" t="n">
        <v>0</v>
      </c>
      <c r="M387" s="36" t="n">
        <v>0</v>
      </c>
      <c r="N387" s="36" t="n">
        <v>0</v>
      </c>
      <c r="O387" s="36" t="n">
        <v>1.04</v>
      </c>
      <c r="P387" s="36" t="n">
        <v>0.35</v>
      </c>
      <c r="Q387" s="36" t="n">
        <v>0</v>
      </c>
      <c r="R387" s="28" t="n">
        <v>0.35</v>
      </c>
      <c r="S387" s="36" t="n">
        <v>0.6899999999999999</v>
      </c>
      <c r="T387" s="36" t="n">
        <v>0.35</v>
      </c>
      <c r="U387" s="36" t="n">
        <v>0.39</v>
      </c>
      <c r="V387" s="36" t="n">
        <v>0.38</v>
      </c>
      <c r="W387" s="36" t="n">
        <v>0.47</v>
      </c>
      <c r="X387" s="36" t="n">
        <v>0.28</v>
      </c>
      <c r="Y387" s="28" t="n">
        <v>0.6899999999999999</v>
      </c>
      <c r="Z387" s="36" t="n">
        <v>0.46</v>
      </c>
      <c r="AA387" s="36" t="n">
        <v>0.84</v>
      </c>
      <c r="AB387" s="36" t="n">
        <v>0.43</v>
      </c>
      <c r="AC387" s="36" t="n">
        <v>0.46</v>
      </c>
      <c r="AD387" s="36" t="n">
        <v>2.25</v>
      </c>
      <c r="AE387" s="36" t="n">
        <v>1.53</v>
      </c>
      <c r="AF387" s="28" t="n">
        <v>1.28</v>
      </c>
      <c r="AG387" s="36" t="n">
        <v>0.99</v>
      </c>
      <c r="AH387" s="37" t="n">
        <v>0.46</v>
      </c>
      <c r="AI387" s="37" t="n">
        <v>0.46</v>
      </c>
      <c r="AJ387" s="37" t="n">
        <v>0.46</v>
      </c>
      <c r="AK387" s="37" t="n">
        <v>1.19</v>
      </c>
      <c r="AL387" s="37" t="n">
        <v>0.47</v>
      </c>
      <c r="AM387" s="37" t="n">
        <v>0.95</v>
      </c>
      <c r="AN387" s="37" t="n">
        <v>0.46</v>
      </c>
      <c r="AO387" s="37" t="n">
        <v>0.43</v>
      </c>
      <c r="AP387" s="37" t="n">
        <v>0.87</v>
      </c>
      <c r="AQ387" s="37" t="n">
        <v>0.57</v>
      </c>
      <c r="AR387" s="37" t="n">
        <v>0.43</v>
      </c>
      <c r="AS387" s="37" t="n">
        <v>0.22</v>
      </c>
      <c r="AT387" s="37" t="n">
        <v>0.68</v>
      </c>
      <c r="AU387" s="37" t="n">
        <v>1.09</v>
      </c>
      <c r="AV387" s="37" t="n">
        <v>1.21</v>
      </c>
      <c r="AW387" s="37" t="n">
        <v>0.41</v>
      </c>
      <c r="AX387" s="37" t="n">
        <v>0.38</v>
      </c>
      <c r="AY387" s="37" t="n">
        <v>0.42</v>
      </c>
      <c r="AZ387" s="37" t="n">
        <v>0.22</v>
      </c>
      <c r="BA387" s="37" t="n">
        <v>0.52</v>
      </c>
      <c r="BB387" s="37" t="n">
        <v>0.33</v>
      </c>
      <c r="BC387" s="37" t="n">
        <v>0.05</v>
      </c>
      <c r="BD387" s="37" t="n">
        <v>0.11</v>
      </c>
      <c r="BE387" s="37" t="n">
        <v>0.64</v>
      </c>
      <c r="BF387" s="37" t="n">
        <v>0.53</v>
      </c>
      <c r="BG387" s="37" t="n">
        <v>0.3</v>
      </c>
      <c r="BH387" s="37" t="n">
        <v>0.92</v>
      </c>
      <c r="BI387" s="37" t="n">
        <v>0.5</v>
      </c>
      <c r="BJ387" s="37" t="n">
        <v>3.12</v>
      </c>
      <c r="BK387" s="37" t="n">
        <v>1.13</v>
      </c>
      <c r="BL387" s="37" t="n">
        <v>0.84</v>
      </c>
      <c r="BM387" s="37" t="n">
        <v>0.41</v>
      </c>
      <c r="BN387" s="37" t="n">
        <v>0.3</v>
      </c>
      <c r="BO387" s="37" t="n">
        <v>0.87</v>
      </c>
      <c r="BP387" s="37" t="n">
        <v>1.13</v>
      </c>
      <c r="BQ387" s="37" t="n">
        <v>1.06</v>
      </c>
      <c r="BR387" s="37" t="n">
        <v>0.53</v>
      </c>
      <c r="BS387" s="37" t="n">
        <v>0.49</v>
      </c>
      <c r="BT387" s="37" t="n">
        <v>0.41</v>
      </c>
      <c r="BU387" s="37" t="n">
        <v>0.53</v>
      </c>
      <c r="BV387" s="37" t="n">
        <v>0.99</v>
      </c>
      <c r="BW387" s="37" t="n">
        <v>0.5</v>
      </c>
      <c r="BX387" s="37" t="n">
        <v>0.57</v>
      </c>
      <c r="BY387" s="37" t="n">
        <v>0.53</v>
      </c>
      <c r="BZ387" s="37" t="n">
        <v>0.98</v>
      </c>
      <c r="CA387" s="37" t="n">
        <v>0.53</v>
      </c>
      <c r="CB387" s="37" t="n">
        <v>0.3</v>
      </c>
      <c r="CC387" s="37" t="n">
        <v>46.51000000000001</v>
      </c>
    </row>
    <row r="388" ht="15.75" customHeight="1" s="57">
      <c r="A388" s="7" t="inlineStr">
        <is>
          <t>NTB</t>
        </is>
      </c>
      <c r="B388" s="7" t="inlineStr">
        <is>
          <t>Lâm Đồng</t>
        </is>
      </c>
      <c r="C388" s="7" t="n">
        <v>22389000</v>
      </c>
      <c r="D388" s="7" t="inlineStr">
        <is>
          <t>(LDO) Đức Trọng 1</t>
        </is>
      </c>
      <c r="E388" s="7" t="inlineStr">
        <is>
          <t>TTS</t>
        </is>
      </c>
      <c r="F388" s="36" t="n">
        <v>4</v>
      </c>
      <c r="G388" s="36" t="n">
        <v>3</v>
      </c>
      <c r="H388" s="36" t="n">
        <v>2</v>
      </c>
      <c r="I388" s="36" t="n">
        <v>9</v>
      </c>
      <c r="J388" s="36" t="n">
        <v>2</v>
      </c>
      <c r="K388" s="28" t="n">
        <v>5</v>
      </c>
      <c r="L388" s="36" t="n">
        <v>2</v>
      </c>
      <c r="M388" s="36" t="n">
        <v>6</v>
      </c>
      <c r="N388" s="36" t="n">
        <v>5</v>
      </c>
      <c r="O388" s="36" t="n">
        <v>2</v>
      </c>
      <c r="P388" s="36" t="n">
        <v>6</v>
      </c>
      <c r="Q388" s="36" t="n">
        <v>3</v>
      </c>
      <c r="R388" s="28" t="n">
        <v>4</v>
      </c>
      <c r="S388" s="36" t="n">
        <v>4</v>
      </c>
      <c r="T388" s="36" t="n">
        <v>4</v>
      </c>
      <c r="U388" s="36" t="n">
        <v>1.97</v>
      </c>
      <c r="V388" s="36" t="n">
        <v>1.94</v>
      </c>
      <c r="W388" s="36" t="n">
        <v>1.9</v>
      </c>
      <c r="X388" s="36" t="n">
        <v>1.53</v>
      </c>
      <c r="Y388" s="28" t="n">
        <v>2.23</v>
      </c>
      <c r="Z388" s="36" t="n">
        <v>1.89</v>
      </c>
      <c r="AA388" s="36" t="n">
        <v>2.11</v>
      </c>
      <c r="AB388" s="36" t="n">
        <v>2.34</v>
      </c>
      <c r="AC388" s="36" t="n">
        <v>2.49</v>
      </c>
      <c r="AD388" s="36" t="n">
        <v>3.45</v>
      </c>
      <c r="AE388" s="36" t="n">
        <v>1.78</v>
      </c>
      <c r="AF388" s="28" t="n">
        <v>2.29</v>
      </c>
      <c r="AG388" s="36" t="n">
        <v>1.94</v>
      </c>
      <c r="AH388" s="37" t="n">
        <v>1.91</v>
      </c>
      <c r="AI388" s="37" t="n">
        <v>2.21</v>
      </c>
      <c r="AJ388" s="37" t="n">
        <v>2.36</v>
      </c>
      <c r="AK388" s="37" t="n">
        <v>2.32</v>
      </c>
      <c r="AL388" s="37" t="n">
        <v>1.66</v>
      </c>
      <c r="AM388" s="37" t="n">
        <v>2.26</v>
      </c>
      <c r="AN388" s="37" t="n">
        <v>1.95</v>
      </c>
      <c r="AO388" s="37" t="n">
        <v>1.94</v>
      </c>
      <c r="AP388" s="37" t="n">
        <v>1.89</v>
      </c>
      <c r="AQ388" s="37" t="n">
        <v>1.91</v>
      </c>
      <c r="AR388" s="37" t="n">
        <v>1.87</v>
      </c>
      <c r="AS388" s="37" t="n">
        <v>1.53</v>
      </c>
      <c r="AT388" s="37" t="n">
        <v>2.45</v>
      </c>
      <c r="AU388" s="37" t="n">
        <v>2.21</v>
      </c>
      <c r="AV388" s="37" t="n">
        <v>1.96</v>
      </c>
      <c r="AW388" s="37" t="n">
        <v>1.87</v>
      </c>
      <c r="AX388" s="37" t="n">
        <v>1.86</v>
      </c>
      <c r="AY388" s="37" t="n">
        <v>1.84</v>
      </c>
      <c r="AZ388" s="37" t="n">
        <v>1.53</v>
      </c>
      <c r="BA388" s="37" t="n">
        <v>2.2</v>
      </c>
      <c r="BB388" s="37" t="n">
        <v>2.07</v>
      </c>
      <c r="BC388" s="37" t="n">
        <v>1.04</v>
      </c>
      <c r="BD388" s="37" t="n">
        <v>1.49</v>
      </c>
      <c r="BE388" s="37" t="n">
        <v>3.46</v>
      </c>
      <c r="BF388" s="37" t="n">
        <v>3.35</v>
      </c>
      <c r="BG388" s="37" t="n">
        <v>1.66</v>
      </c>
      <c r="BH388" s="37" t="n">
        <v>2.44</v>
      </c>
      <c r="BI388" s="37" t="n">
        <v>2.07</v>
      </c>
      <c r="BJ388" s="37" t="n">
        <v>2.61</v>
      </c>
      <c r="BK388" s="37" t="n">
        <v>2.1</v>
      </c>
      <c r="BL388" s="37" t="n">
        <v>2.1</v>
      </c>
      <c r="BM388" s="37" t="n">
        <v>2.04</v>
      </c>
      <c r="BN388" s="37" t="n">
        <v>1.66</v>
      </c>
      <c r="BO388" s="37" t="n">
        <v>2.44</v>
      </c>
      <c r="BP388" s="37" t="n">
        <v>2.07</v>
      </c>
      <c r="BQ388" s="37" t="n">
        <v>2.04</v>
      </c>
      <c r="BR388" s="37" t="n">
        <v>2.1</v>
      </c>
      <c r="BS388" s="37" t="n">
        <v>2.1</v>
      </c>
      <c r="BT388" s="37" t="n">
        <v>2.04</v>
      </c>
      <c r="BU388" s="37" t="n">
        <v>1.66</v>
      </c>
      <c r="BV388" s="37" t="n">
        <v>2.44</v>
      </c>
      <c r="BW388" s="37" t="n">
        <v>2.07</v>
      </c>
      <c r="BX388" s="37" t="n">
        <v>2.04</v>
      </c>
      <c r="BY388" s="37" t="n">
        <v>2.1</v>
      </c>
      <c r="BZ388" s="37" t="n">
        <v>2.1</v>
      </c>
      <c r="CA388" s="37" t="n">
        <v>2.04</v>
      </c>
      <c r="CB388" s="37" t="n">
        <v>1.66</v>
      </c>
      <c r="CC388" s="37" t="n">
        <v>185.5799999999999</v>
      </c>
    </row>
    <row r="389" ht="15.75" customHeight="1" s="57">
      <c r="A389" s="7" t="inlineStr">
        <is>
          <t>NTB</t>
        </is>
      </c>
      <c r="B389" s="7" t="inlineStr">
        <is>
          <t>Lâm Đồng</t>
        </is>
      </c>
      <c r="C389" s="7" t="n">
        <v>22425000</v>
      </c>
      <c r="D389" s="7" t="inlineStr">
        <is>
          <t>(LDO) Tân Hà Lâm Hà</t>
        </is>
      </c>
      <c r="E389" s="7" t="inlineStr">
        <is>
          <t>SME</t>
        </is>
      </c>
      <c r="F389" s="36" t="n">
        <v>65</v>
      </c>
      <c r="G389" s="36" t="n">
        <v>39</v>
      </c>
      <c r="H389" s="36" t="n">
        <v>39</v>
      </c>
      <c r="I389" s="36" t="n">
        <v>122</v>
      </c>
      <c r="J389" s="36" t="n">
        <v>35</v>
      </c>
      <c r="K389" s="28" t="n">
        <v>28</v>
      </c>
      <c r="L389" s="36" t="n">
        <v>29</v>
      </c>
      <c r="M389" s="36" t="n">
        <v>36</v>
      </c>
      <c r="N389" s="36" t="n">
        <v>51</v>
      </c>
      <c r="O389" s="36" t="n">
        <v>66</v>
      </c>
      <c r="P389" s="36" t="n">
        <v>39</v>
      </c>
      <c r="Q389" s="36" t="n">
        <v>26</v>
      </c>
      <c r="R389" s="28" t="n">
        <v>109</v>
      </c>
      <c r="S389" s="36" t="n">
        <v>33</v>
      </c>
      <c r="T389" s="36" t="n">
        <v>36</v>
      </c>
      <c r="U389" s="36" t="n">
        <v>74.58</v>
      </c>
      <c r="V389" s="36" t="n">
        <v>77.03999999999999</v>
      </c>
      <c r="W389" s="36" t="n">
        <v>74.97</v>
      </c>
      <c r="X389" s="36" t="n">
        <v>61.28</v>
      </c>
      <c r="Y389" s="28" t="n">
        <v>83.06</v>
      </c>
      <c r="Z389" s="36" t="n">
        <v>76.42</v>
      </c>
      <c r="AA389" s="36" t="n">
        <v>74.50999999999999</v>
      </c>
      <c r="AB389" s="36" t="n">
        <v>74.58</v>
      </c>
      <c r="AC389" s="36" t="n">
        <v>77.03999999999999</v>
      </c>
      <c r="AD389" s="36" t="n">
        <v>81.00999999999999</v>
      </c>
      <c r="AE389" s="36" t="n">
        <v>61.28</v>
      </c>
      <c r="AF389" s="28" t="n">
        <v>83.06</v>
      </c>
      <c r="AG389" s="36" t="n">
        <v>76.42</v>
      </c>
      <c r="AH389" s="37" t="n">
        <v>74.50999999999999</v>
      </c>
      <c r="AI389" s="37" t="n">
        <v>74.58</v>
      </c>
      <c r="AJ389" s="37" t="n">
        <v>77.03999999999999</v>
      </c>
      <c r="AK389" s="37" t="n">
        <v>74.97</v>
      </c>
      <c r="AL389" s="37" t="n">
        <v>61.28</v>
      </c>
      <c r="AM389" s="37" t="n">
        <v>83.06</v>
      </c>
      <c r="AN389" s="37" t="n">
        <v>76.42</v>
      </c>
      <c r="AO389" s="37" t="n">
        <v>74.50999999999999</v>
      </c>
      <c r="AP389" s="37" t="n">
        <v>74.58</v>
      </c>
      <c r="AQ389" s="37" t="n">
        <v>77.03999999999999</v>
      </c>
      <c r="AR389" s="37" t="n">
        <v>74.97</v>
      </c>
      <c r="AS389" s="37" t="n">
        <v>61.28</v>
      </c>
      <c r="AT389" s="37" t="n">
        <v>83.06</v>
      </c>
      <c r="AU389" s="37" t="n">
        <v>76.42</v>
      </c>
      <c r="AV389" s="37" t="n">
        <v>74.50999999999999</v>
      </c>
      <c r="AW389" s="37" t="n">
        <v>74.58</v>
      </c>
      <c r="AX389" s="37" t="n">
        <v>77.03999999999999</v>
      </c>
      <c r="AY389" s="37" t="n">
        <v>74.97</v>
      </c>
      <c r="AZ389" s="37" t="n">
        <v>61.28</v>
      </c>
      <c r="BA389" s="37" t="n">
        <v>78.98999999999999</v>
      </c>
      <c r="BB389" s="37" t="n">
        <v>70.08</v>
      </c>
      <c r="BC389" s="37" t="n">
        <v>42.87</v>
      </c>
      <c r="BD389" s="37" t="n">
        <v>33.46</v>
      </c>
      <c r="BE389" s="37" t="n">
        <v>72.06</v>
      </c>
      <c r="BF389" s="37" t="n">
        <v>70.28999999999999</v>
      </c>
      <c r="BG389" s="37" t="n">
        <v>63.09</v>
      </c>
      <c r="BH389" s="37" t="n">
        <v>85.61</v>
      </c>
      <c r="BI389" s="37" t="n">
        <v>78.66999999999999</v>
      </c>
      <c r="BJ389" s="37" t="n">
        <v>83.3</v>
      </c>
      <c r="BK389" s="37" t="n">
        <v>76.69</v>
      </c>
      <c r="BL389" s="37" t="n">
        <v>79.3</v>
      </c>
      <c r="BM389" s="37" t="n">
        <v>77.11</v>
      </c>
      <c r="BN389" s="37" t="n">
        <v>63.09</v>
      </c>
      <c r="BO389" s="37" t="n">
        <v>85.61</v>
      </c>
      <c r="BP389" s="37" t="n">
        <v>78.66999999999999</v>
      </c>
      <c r="BQ389" s="37" t="n">
        <v>76.64</v>
      </c>
      <c r="BR389" s="37" t="n">
        <v>76.69</v>
      </c>
      <c r="BS389" s="37" t="n">
        <v>79.3</v>
      </c>
      <c r="BT389" s="37" t="n">
        <v>77.11</v>
      </c>
      <c r="BU389" s="37" t="n">
        <v>63.09</v>
      </c>
      <c r="BV389" s="37" t="n">
        <v>85.61</v>
      </c>
      <c r="BW389" s="37" t="n">
        <v>78.66999999999999</v>
      </c>
      <c r="BX389" s="37" t="n">
        <v>76.64</v>
      </c>
      <c r="BY389" s="37" t="n">
        <v>76.69</v>
      </c>
      <c r="BZ389" s="37" t="n">
        <v>79.3</v>
      </c>
      <c r="CA389" s="37" t="n">
        <v>77.11</v>
      </c>
      <c r="CB389" s="37" t="n">
        <v>63.09</v>
      </c>
      <c r="CC389" s="37" t="n">
        <v>5183.179999999999</v>
      </c>
    </row>
    <row r="390" ht="15.75" customHeight="1" s="57">
      <c r="A390" s="7" t="inlineStr">
        <is>
          <t>NTB</t>
        </is>
      </c>
      <c r="B390" s="7" t="inlineStr">
        <is>
          <t>Lâm Đồng</t>
        </is>
      </c>
      <c r="C390" s="7" t="n">
        <v>22425000</v>
      </c>
      <c r="D390" s="7" t="inlineStr">
        <is>
          <t>(LDO) Tân Hà Lâm Hà</t>
        </is>
      </c>
      <c r="E390" s="7" t="inlineStr">
        <is>
          <t>SME-Bulky</t>
        </is>
      </c>
      <c r="F390" s="36" t="n">
        <v>12</v>
      </c>
      <c r="G390" s="36" t="n">
        <v>6</v>
      </c>
      <c r="H390" s="36" t="n">
        <v>16</v>
      </c>
      <c r="I390" s="36" t="n">
        <v>7</v>
      </c>
      <c r="J390" s="36" t="n">
        <v>8</v>
      </c>
      <c r="K390" s="28" t="n">
        <v>9</v>
      </c>
      <c r="L390" s="36" t="n">
        <v>4</v>
      </c>
      <c r="M390" s="36" t="n">
        <v>7</v>
      </c>
      <c r="N390" s="36" t="n">
        <v>11</v>
      </c>
      <c r="O390" s="36" t="n">
        <v>10</v>
      </c>
      <c r="P390" s="36" t="n">
        <v>13</v>
      </c>
      <c r="Q390" s="36" t="n">
        <v>8</v>
      </c>
      <c r="R390" s="28" t="n">
        <v>10</v>
      </c>
      <c r="S390" s="36" t="n">
        <v>8</v>
      </c>
      <c r="T390" s="36" t="n">
        <v>8</v>
      </c>
      <c r="U390" s="36" t="n">
        <v>8.470000000000001</v>
      </c>
      <c r="V390" s="36" t="n">
        <v>8.359999999999999</v>
      </c>
      <c r="W390" s="36" t="n">
        <v>8.140000000000001</v>
      </c>
      <c r="X390" s="36" t="n">
        <v>5.84</v>
      </c>
      <c r="Y390" s="28" t="n">
        <v>9.539999999999999</v>
      </c>
      <c r="Z390" s="36" t="n">
        <v>9.26</v>
      </c>
      <c r="AA390" s="36" t="n">
        <v>9.15</v>
      </c>
      <c r="AB390" s="36" t="n">
        <v>8.470000000000001</v>
      </c>
      <c r="AC390" s="36" t="n">
        <v>8.359999999999999</v>
      </c>
      <c r="AD390" s="36" t="n">
        <v>6.4</v>
      </c>
      <c r="AE390" s="36" t="n">
        <v>5.84</v>
      </c>
      <c r="AF390" s="28" t="n">
        <v>9.539999999999999</v>
      </c>
      <c r="AG390" s="36" t="n">
        <v>9.26</v>
      </c>
      <c r="AH390" s="37" t="n">
        <v>9.15</v>
      </c>
      <c r="AI390" s="37" t="n">
        <v>8.470000000000001</v>
      </c>
      <c r="AJ390" s="37" t="n">
        <v>8.359999999999999</v>
      </c>
      <c r="AK390" s="37" t="n">
        <v>8.140000000000001</v>
      </c>
      <c r="AL390" s="37" t="n">
        <v>5.84</v>
      </c>
      <c r="AM390" s="37" t="n">
        <v>9.539999999999999</v>
      </c>
      <c r="AN390" s="37" t="n">
        <v>9.26</v>
      </c>
      <c r="AO390" s="37" t="n">
        <v>9.15</v>
      </c>
      <c r="AP390" s="37" t="n">
        <v>8.470000000000001</v>
      </c>
      <c r="AQ390" s="37" t="n">
        <v>8.359999999999999</v>
      </c>
      <c r="AR390" s="37" t="n">
        <v>8.140000000000001</v>
      </c>
      <c r="AS390" s="37" t="n">
        <v>5.84</v>
      </c>
      <c r="AT390" s="37" t="n">
        <v>9.539999999999999</v>
      </c>
      <c r="AU390" s="37" t="n">
        <v>9.26</v>
      </c>
      <c r="AV390" s="37" t="n">
        <v>9.15</v>
      </c>
      <c r="AW390" s="37" t="n">
        <v>8.470000000000001</v>
      </c>
      <c r="AX390" s="37" t="n">
        <v>8.359999999999999</v>
      </c>
      <c r="AY390" s="37" t="n">
        <v>8.140000000000001</v>
      </c>
      <c r="AZ390" s="37" t="n">
        <v>5.84</v>
      </c>
      <c r="BA390" s="37" t="n">
        <v>10.44</v>
      </c>
      <c r="BB390" s="37" t="n">
        <v>5.5</v>
      </c>
      <c r="BC390" s="37" t="n">
        <v>2.81</v>
      </c>
      <c r="BD390" s="37" t="n">
        <v>2.13</v>
      </c>
      <c r="BE390" s="37" t="n">
        <v>4.94</v>
      </c>
      <c r="BF390" s="37" t="n">
        <v>4.6</v>
      </c>
      <c r="BG390" s="37" t="n">
        <v>3.2</v>
      </c>
      <c r="BH390" s="37" t="n">
        <v>5.55</v>
      </c>
      <c r="BI390" s="37" t="n">
        <v>5.5</v>
      </c>
      <c r="BJ390" s="37" t="n">
        <v>4.21</v>
      </c>
      <c r="BK390" s="37" t="n">
        <v>4.88</v>
      </c>
      <c r="BL390" s="37" t="n">
        <v>4.88</v>
      </c>
      <c r="BM390" s="37" t="n">
        <v>4.6</v>
      </c>
      <c r="BN390" s="37" t="n">
        <v>3.2</v>
      </c>
      <c r="BO390" s="37" t="n">
        <v>5.55</v>
      </c>
      <c r="BP390" s="37" t="n">
        <v>5.5</v>
      </c>
      <c r="BQ390" s="37" t="n">
        <v>5.22</v>
      </c>
      <c r="BR390" s="37" t="n">
        <v>4.88</v>
      </c>
      <c r="BS390" s="37" t="n">
        <v>4.88</v>
      </c>
      <c r="BT390" s="37" t="n">
        <v>4.6</v>
      </c>
      <c r="BU390" s="37" t="n">
        <v>3.2</v>
      </c>
      <c r="BV390" s="37" t="n">
        <v>5.55</v>
      </c>
      <c r="BW390" s="37" t="n">
        <v>5.5</v>
      </c>
      <c r="BX390" s="37" t="n">
        <v>5.22</v>
      </c>
      <c r="BY390" s="37" t="n">
        <v>4.88</v>
      </c>
      <c r="BZ390" s="37" t="n">
        <v>4.88</v>
      </c>
      <c r="CA390" s="37" t="n">
        <v>4.6</v>
      </c>
      <c r="CB390" s="37" t="n">
        <v>3.2</v>
      </c>
      <c r="CC390" s="37" t="n">
        <v>535.2100000000002</v>
      </c>
    </row>
    <row r="391" ht="15.75" customHeight="1" s="57">
      <c r="A391" s="7" t="inlineStr">
        <is>
          <t>NTB</t>
        </is>
      </c>
      <c r="B391" s="7" t="inlineStr">
        <is>
          <t>Lâm Đồng</t>
        </is>
      </c>
      <c r="C391" s="7" t="n">
        <v>22425000</v>
      </c>
      <c r="D391" s="7" t="inlineStr">
        <is>
          <t>(LDO) Tân Hà Lâm Hà</t>
        </is>
      </c>
      <c r="E391" s="7" t="inlineStr">
        <is>
          <t>Shopee</t>
        </is>
      </c>
      <c r="F391" s="36" t="n">
        <v>6</v>
      </c>
      <c r="G391" s="36" t="n">
        <v>0</v>
      </c>
      <c r="H391" s="36" t="n">
        <v>3</v>
      </c>
      <c r="I391" s="36" t="n">
        <v>1</v>
      </c>
      <c r="J391" s="36" t="n">
        <v>4</v>
      </c>
      <c r="K391" s="28" t="n">
        <v>2</v>
      </c>
      <c r="L391" s="36" t="n">
        <v>3</v>
      </c>
      <c r="M391" s="36" t="n">
        <v>0</v>
      </c>
      <c r="N391" s="36" t="n">
        <v>3</v>
      </c>
      <c r="O391" s="36" t="n">
        <v>5</v>
      </c>
      <c r="P391" s="36" t="n">
        <v>3</v>
      </c>
      <c r="Q391" s="36" t="n">
        <v>5</v>
      </c>
      <c r="R391" s="28" t="n">
        <v>0</v>
      </c>
      <c r="S391" s="36" t="n">
        <v>3</v>
      </c>
      <c r="T391" s="36" t="n">
        <v>7</v>
      </c>
      <c r="U391" s="36" t="n">
        <v>3.14</v>
      </c>
      <c r="V391" s="36" t="n">
        <v>3.17</v>
      </c>
      <c r="W391" s="36" t="n">
        <v>3.04</v>
      </c>
      <c r="X391" s="36" t="n">
        <v>2.62</v>
      </c>
      <c r="Y391" s="28" t="n">
        <v>4.25</v>
      </c>
      <c r="Z391" s="36" t="n">
        <v>3.37</v>
      </c>
      <c r="AA391" s="36" t="n">
        <v>4.11</v>
      </c>
      <c r="AB391" s="36" t="n">
        <v>3.22</v>
      </c>
      <c r="AC391" s="36" t="n">
        <v>2.59</v>
      </c>
      <c r="AD391" s="36" t="n">
        <v>6.88</v>
      </c>
      <c r="AE391" s="36" t="n">
        <v>2.81</v>
      </c>
      <c r="AF391" s="28" t="n">
        <v>4.66</v>
      </c>
      <c r="AG391" s="36" t="n">
        <v>3.53</v>
      </c>
      <c r="AH391" s="37" t="n">
        <v>3.73</v>
      </c>
      <c r="AI391" s="37" t="n">
        <v>3.14</v>
      </c>
      <c r="AJ391" s="37" t="n">
        <v>3.17</v>
      </c>
      <c r="AK391" s="37" t="n">
        <v>3.35</v>
      </c>
      <c r="AL391" s="37" t="n">
        <v>4.71</v>
      </c>
      <c r="AM391" s="37" t="n">
        <v>4.25</v>
      </c>
      <c r="AN391" s="37" t="n">
        <v>3.37</v>
      </c>
      <c r="AO391" s="37" t="n">
        <v>3.73</v>
      </c>
      <c r="AP391" s="37" t="n">
        <v>3.47</v>
      </c>
      <c r="AQ391" s="37" t="n">
        <v>2.53</v>
      </c>
      <c r="AR391" s="37" t="n">
        <v>3.04</v>
      </c>
      <c r="AS391" s="37" t="n">
        <v>2.62</v>
      </c>
      <c r="AT391" s="37" t="n">
        <v>4.25</v>
      </c>
      <c r="AU391" s="37" t="n">
        <v>3.7</v>
      </c>
      <c r="AV391" s="37" t="n">
        <v>3.82</v>
      </c>
      <c r="AW391" s="37" t="n">
        <v>3.14</v>
      </c>
      <c r="AX391" s="37" t="n">
        <v>3.17</v>
      </c>
      <c r="AY391" s="37" t="n">
        <v>3.04</v>
      </c>
      <c r="AZ391" s="37" t="n">
        <v>2.62</v>
      </c>
      <c r="BA391" s="37" t="n">
        <v>3.65</v>
      </c>
      <c r="BB391" s="37" t="n">
        <v>2.51</v>
      </c>
      <c r="BC391" s="37" t="n">
        <v>1.13</v>
      </c>
      <c r="BD391" s="37" t="n">
        <v>1.88</v>
      </c>
      <c r="BE391" s="37" t="n">
        <v>3.77</v>
      </c>
      <c r="BF391" s="37" t="n">
        <v>3.63</v>
      </c>
      <c r="BG391" s="37" t="n">
        <v>2.56</v>
      </c>
      <c r="BH391" s="37" t="n">
        <v>4.05</v>
      </c>
      <c r="BI391" s="37" t="n">
        <v>2.66</v>
      </c>
      <c r="BJ391" s="37" t="n">
        <v>9.75</v>
      </c>
      <c r="BK391" s="37" t="n">
        <v>3.21</v>
      </c>
      <c r="BL391" s="37" t="n">
        <v>3.17</v>
      </c>
      <c r="BM391" s="37" t="n">
        <v>2.89</v>
      </c>
      <c r="BN391" s="37" t="n">
        <v>2.52</v>
      </c>
      <c r="BO391" s="37" t="n">
        <v>4.05</v>
      </c>
      <c r="BP391" s="37" t="n">
        <v>3.52</v>
      </c>
      <c r="BQ391" s="37" t="n">
        <v>5.43</v>
      </c>
      <c r="BR391" s="37" t="n">
        <v>2.99</v>
      </c>
      <c r="BS391" s="37" t="n">
        <v>3.02</v>
      </c>
      <c r="BT391" s="37" t="n">
        <v>2.89</v>
      </c>
      <c r="BU391" s="37" t="n">
        <v>2.75</v>
      </c>
      <c r="BV391" s="37" t="n">
        <v>3.25</v>
      </c>
      <c r="BW391" s="37" t="n">
        <v>3.21</v>
      </c>
      <c r="BX391" s="37" t="n">
        <v>3.54</v>
      </c>
      <c r="BY391" s="37" t="n">
        <v>2.99</v>
      </c>
      <c r="BZ391" s="37" t="n">
        <v>3.31</v>
      </c>
      <c r="CA391" s="37" t="n">
        <v>2.96</v>
      </c>
      <c r="CB391" s="37" t="n">
        <v>2.52</v>
      </c>
      <c r="CC391" s="37" t="n">
        <v>251.05</v>
      </c>
    </row>
    <row r="392" ht="15.75" customHeight="1" s="57">
      <c r="A392" s="7" t="inlineStr">
        <is>
          <t>NTB</t>
        </is>
      </c>
      <c r="B392" s="7" t="inlineStr">
        <is>
          <t>Lâm Đồng</t>
        </is>
      </c>
      <c r="C392" s="7" t="n">
        <v>22425000</v>
      </c>
      <c r="D392" s="7" t="inlineStr">
        <is>
          <t>(LDO) Tân Hà Lâm Hà</t>
        </is>
      </c>
      <c r="E392" s="7" t="inlineStr">
        <is>
          <t>TTS</t>
        </is>
      </c>
      <c r="F392" s="36" t="n">
        <v>3</v>
      </c>
      <c r="G392" s="36" t="n">
        <v>1</v>
      </c>
      <c r="H392" s="36" t="n">
        <v>2</v>
      </c>
      <c r="I392" s="36" t="n">
        <v>8</v>
      </c>
      <c r="J392" s="36" t="n">
        <v>0</v>
      </c>
      <c r="K392" s="28" t="n">
        <v>4</v>
      </c>
      <c r="L392" s="36" t="n">
        <v>2</v>
      </c>
      <c r="M392" s="36" t="n">
        <v>3</v>
      </c>
      <c r="N392" s="36" t="n">
        <v>2</v>
      </c>
      <c r="O392" s="36" t="n">
        <v>0</v>
      </c>
      <c r="P392" s="36" t="n">
        <v>3</v>
      </c>
      <c r="Q392" s="36" t="n">
        <v>1</v>
      </c>
      <c r="R392" s="28" t="n">
        <v>9</v>
      </c>
      <c r="S392" s="36" t="n">
        <v>1</v>
      </c>
      <c r="T392" s="36" t="n">
        <v>4</v>
      </c>
      <c r="U392" s="36" t="n">
        <v>1.4</v>
      </c>
      <c r="V392" s="36" t="n">
        <v>1.39</v>
      </c>
      <c r="W392" s="36" t="n">
        <v>1.35</v>
      </c>
      <c r="X392" s="36" t="n">
        <v>1.09</v>
      </c>
      <c r="Y392" s="28" t="n">
        <v>1.59</v>
      </c>
      <c r="Z392" s="36" t="n">
        <v>1.35</v>
      </c>
      <c r="AA392" s="36" t="n">
        <v>1.5</v>
      </c>
      <c r="AB392" s="36" t="n">
        <v>1.67</v>
      </c>
      <c r="AC392" s="36" t="n">
        <v>1.78</v>
      </c>
      <c r="AD392" s="36" t="n">
        <v>2.46</v>
      </c>
      <c r="AE392" s="36" t="n">
        <v>1.27</v>
      </c>
      <c r="AF392" s="28" t="n">
        <v>1.63</v>
      </c>
      <c r="AG392" s="36" t="n">
        <v>1.38</v>
      </c>
      <c r="AH392" s="37" t="n">
        <v>1.36</v>
      </c>
      <c r="AI392" s="37" t="n">
        <v>1.58</v>
      </c>
      <c r="AJ392" s="37" t="n">
        <v>1.68</v>
      </c>
      <c r="AK392" s="37" t="n">
        <v>1.66</v>
      </c>
      <c r="AL392" s="37" t="n">
        <v>1.19</v>
      </c>
      <c r="AM392" s="37" t="n">
        <v>1.61</v>
      </c>
      <c r="AN392" s="37" t="n">
        <v>1.39</v>
      </c>
      <c r="AO392" s="37" t="n">
        <v>1.38</v>
      </c>
      <c r="AP392" s="37" t="n">
        <v>1.35</v>
      </c>
      <c r="AQ392" s="37" t="n">
        <v>1.36</v>
      </c>
      <c r="AR392" s="37" t="n">
        <v>1.33</v>
      </c>
      <c r="AS392" s="37" t="n">
        <v>1.09</v>
      </c>
      <c r="AT392" s="37" t="n">
        <v>1.75</v>
      </c>
      <c r="AU392" s="37" t="n">
        <v>1.58</v>
      </c>
      <c r="AV392" s="37" t="n">
        <v>1.4</v>
      </c>
      <c r="AW392" s="37" t="n">
        <v>1.33</v>
      </c>
      <c r="AX392" s="37" t="n">
        <v>1.33</v>
      </c>
      <c r="AY392" s="37" t="n">
        <v>1.32</v>
      </c>
      <c r="AZ392" s="37" t="n">
        <v>1.09</v>
      </c>
      <c r="BA392" s="37" t="n">
        <v>1.57</v>
      </c>
      <c r="BB392" s="37" t="n">
        <v>1.48</v>
      </c>
      <c r="BC392" s="37" t="n">
        <v>0.74</v>
      </c>
      <c r="BD392" s="37" t="n">
        <v>1.06</v>
      </c>
      <c r="BE392" s="37" t="n">
        <v>2.47</v>
      </c>
      <c r="BF392" s="37" t="n">
        <v>2.39</v>
      </c>
      <c r="BG392" s="37" t="n">
        <v>1.19</v>
      </c>
      <c r="BH392" s="37" t="n">
        <v>1.74</v>
      </c>
      <c r="BI392" s="37" t="n">
        <v>1.48</v>
      </c>
      <c r="BJ392" s="37" t="n">
        <v>1.86</v>
      </c>
      <c r="BK392" s="37" t="n">
        <v>1.5</v>
      </c>
      <c r="BL392" s="37" t="n">
        <v>1.5</v>
      </c>
      <c r="BM392" s="37" t="n">
        <v>1.46</v>
      </c>
      <c r="BN392" s="37" t="n">
        <v>1.19</v>
      </c>
      <c r="BO392" s="37" t="n">
        <v>1.74</v>
      </c>
      <c r="BP392" s="37" t="n">
        <v>1.48</v>
      </c>
      <c r="BQ392" s="37" t="n">
        <v>1.46</v>
      </c>
      <c r="BR392" s="37" t="n">
        <v>1.5</v>
      </c>
      <c r="BS392" s="37" t="n">
        <v>1.5</v>
      </c>
      <c r="BT392" s="37" t="n">
        <v>1.46</v>
      </c>
      <c r="BU392" s="37" t="n">
        <v>1.19</v>
      </c>
      <c r="BV392" s="37" t="n">
        <v>1.74</v>
      </c>
      <c r="BW392" s="37" t="n">
        <v>1.48</v>
      </c>
      <c r="BX392" s="37" t="n">
        <v>1.46</v>
      </c>
      <c r="BY392" s="37" t="n">
        <v>1.5</v>
      </c>
      <c r="BZ392" s="37" t="n">
        <v>1.5</v>
      </c>
      <c r="CA392" s="37" t="n">
        <v>1.46</v>
      </c>
      <c r="CB392" s="37" t="n">
        <v>1.19</v>
      </c>
      <c r="CC392" s="37" t="n">
        <v>131.93</v>
      </c>
    </row>
    <row r="393" ht="15.75" customHeight="1" s="57">
      <c r="A393" s="7" t="inlineStr">
        <is>
          <t>NTB</t>
        </is>
      </c>
      <c r="B393" s="7" t="inlineStr">
        <is>
          <t>Lâm Đồng</t>
        </is>
      </c>
      <c r="C393" s="7" t="n">
        <v>22759000</v>
      </c>
      <c r="D393" s="7" t="inlineStr">
        <is>
          <t>(LDO) Hòa Ninh</t>
        </is>
      </c>
      <c r="E393" s="7" t="inlineStr">
        <is>
          <t>SME</t>
        </is>
      </c>
      <c r="F393" s="36" t="n">
        <v>68</v>
      </c>
      <c r="G393" s="36" t="n">
        <v>62</v>
      </c>
      <c r="H393" s="36" t="n">
        <v>55</v>
      </c>
      <c r="I393" s="36" t="n">
        <v>75</v>
      </c>
      <c r="J393" s="36" t="n">
        <v>37</v>
      </c>
      <c r="K393" s="28" t="n">
        <v>60</v>
      </c>
      <c r="L393" s="36" t="n">
        <v>53</v>
      </c>
      <c r="M393" s="36" t="n">
        <v>60</v>
      </c>
      <c r="N393" s="36" t="n">
        <v>69</v>
      </c>
      <c r="O393" s="36" t="n">
        <v>50</v>
      </c>
      <c r="P393" s="36" t="n">
        <v>45</v>
      </c>
      <c r="Q393" s="36" t="n">
        <v>63</v>
      </c>
      <c r="R393" s="28" t="n">
        <v>21</v>
      </c>
      <c r="S393" s="36" t="n">
        <v>107</v>
      </c>
      <c r="T393" s="36" t="n">
        <v>77</v>
      </c>
      <c r="U393" s="36" t="n">
        <v>92.34</v>
      </c>
      <c r="V393" s="36" t="n">
        <v>95.38</v>
      </c>
      <c r="W393" s="36" t="n">
        <v>92.83</v>
      </c>
      <c r="X393" s="36" t="n">
        <v>75.90000000000001</v>
      </c>
      <c r="Y393" s="28" t="n">
        <v>102.85</v>
      </c>
      <c r="Z393" s="36" t="n">
        <v>94.64</v>
      </c>
      <c r="AA393" s="36" t="n">
        <v>92.29000000000001</v>
      </c>
      <c r="AB393" s="36" t="n">
        <v>92.34</v>
      </c>
      <c r="AC393" s="36" t="n">
        <v>95.38</v>
      </c>
      <c r="AD393" s="36" t="n">
        <v>100.35</v>
      </c>
      <c r="AE393" s="36" t="n">
        <v>75.90000000000001</v>
      </c>
      <c r="AF393" s="28" t="n">
        <v>102.85</v>
      </c>
      <c r="AG393" s="36" t="n">
        <v>94.64</v>
      </c>
      <c r="AH393" s="37" t="n">
        <v>92.29000000000001</v>
      </c>
      <c r="AI393" s="37" t="n">
        <v>92.34</v>
      </c>
      <c r="AJ393" s="37" t="n">
        <v>95.38</v>
      </c>
      <c r="AK393" s="37" t="n">
        <v>92.83</v>
      </c>
      <c r="AL393" s="37" t="n">
        <v>75.90000000000001</v>
      </c>
      <c r="AM393" s="37" t="n">
        <v>102.85</v>
      </c>
      <c r="AN393" s="37" t="n">
        <v>94.64</v>
      </c>
      <c r="AO393" s="37" t="n">
        <v>92.29000000000001</v>
      </c>
      <c r="AP393" s="37" t="n">
        <v>92.34</v>
      </c>
      <c r="AQ393" s="37" t="n">
        <v>95.38</v>
      </c>
      <c r="AR393" s="37" t="n">
        <v>92.83</v>
      </c>
      <c r="AS393" s="37" t="n">
        <v>75.90000000000001</v>
      </c>
      <c r="AT393" s="37" t="n">
        <v>102.85</v>
      </c>
      <c r="AU393" s="37" t="n">
        <v>94.64</v>
      </c>
      <c r="AV393" s="37" t="n">
        <v>92.29000000000001</v>
      </c>
      <c r="AW393" s="37" t="n">
        <v>92.34</v>
      </c>
      <c r="AX393" s="37" t="n">
        <v>95.38</v>
      </c>
      <c r="AY393" s="37" t="n">
        <v>92.83</v>
      </c>
      <c r="AZ393" s="37" t="n">
        <v>75.90000000000001</v>
      </c>
      <c r="BA393" s="37" t="n">
        <v>97.8</v>
      </c>
      <c r="BB393" s="37" t="n">
        <v>86.80999999999999</v>
      </c>
      <c r="BC393" s="37" t="n">
        <v>53.14</v>
      </c>
      <c r="BD393" s="37" t="n">
        <v>41.49</v>
      </c>
      <c r="BE393" s="37" t="n">
        <v>89.27000000000001</v>
      </c>
      <c r="BF393" s="37" t="n">
        <v>87.05000000000001</v>
      </c>
      <c r="BG393" s="37" t="n">
        <v>78.16000000000001</v>
      </c>
      <c r="BH393" s="37" t="n">
        <v>106.04</v>
      </c>
      <c r="BI393" s="37" t="n">
        <v>97.44999999999999</v>
      </c>
      <c r="BJ393" s="37" t="n">
        <v>103.21</v>
      </c>
      <c r="BK393" s="37" t="n">
        <v>94.98</v>
      </c>
      <c r="BL393" s="37" t="n">
        <v>98.20999999999999</v>
      </c>
      <c r="BM393" s="37" t="n">
        <v>95.50999999999999</v>
      </c>
      <c r="BN393" s="37" t="n">
        <v>78.16000000000001</v>
      </c>
      <c r="BO393" s="37" t="n">
        <v>106.04</v>
      </c>
      <c r="BP393" s="37" t="n">
        <v>97.44999999999999</v>
      </c>
      <c r="BQ393" s="37" t="n">
        <v>94.95</v>
      </c>
      <c r="BR393" s="37" t="n">
        <v>94.98</v>
      </c>
      <c r="BS393" s="37" t="n">
        <v>98.20999999999999</v>
      </c>
      <c r="BT393" s="37" t="n">
        <v>95.50999999999999</v>
      </c>
      <c r="BU393" s="37" t="n">
        <v>78.16000000000001</v>
      </c>
      <c r="BV393" s="37" t="n">
        <v>106.04</v>
      </c>
      <c r="BW393" s="37" t="n">
        <v>97.44999999999999</v>
      </c>
      <c r="BX393" s="37" t="n">
        <v>94.95</v>
      </c>
      <c r="BY393" s="37" t="n">
        <v>94.98</v>
      </c>
      <c r="BZ393" s="37" t="n">
        <v>98.20999999999999</v>
      </c>
      <c r="CA393" s="37" t="n">
        <v>95.50999999999999</v>
      </c>
      <c r="CB393" s="37" t="n">
        <v>78.16000000000001</v>
      </c>
      <c r="CC393" s="37" t="n">
        <v>6388.769999999999</v>
      </c>
    </row>
    <row r="394" ht="15.75" customHeight="1" s="57">
      <c r="A394" s="7" t="inlineStr">
        <is>
          <t>NTB</t>
        </is>
      </c>
      <c r="B394" s="7" t="inlineStr">
        <is>
          <t>Lâm Đồng</t>
        </is>
      </c>
      <c r="C394" s="7" t="n">
        <v>22759000</v>
      </c>
      <c r="D394" s="7" t="inlineStr">
        <is>
          <t>(LDO) Hòa Ninh</t>
        </is>
      </c>
      <c r="E394" s="7" t="inlineStr">
        <is>
          <t>SME-Bulky</t>
        </is>
      </c>
      <c r="F394" s="36" t="n">
        <v>9</v>
      </c>
      <c r="G394" s="36" t="n">
        <v>5</v>
      </c>
      <c r="H394" s="36" t="n">
        <v>7</v>
      </c>
      <c r="I394" s="36" t="n">
        <v>5</v>
      </c>
      <c r="J394" s="36" t="n">
        <v>3</v>
      </c>
      <c r="K394" s="28" t="n">
        <v>12</v>
      </c>
      <c r="L394" s="36" t="n">
        <v>7</v>
      </c>
      <c r="M394" s="36" t="n">
        <v>10</v>
      </c>
      <c r="N394" s="36" t="n">
        <v>10</v>
      </c>
      <c r="O394" s="36" t="n">
        <v>11</v>
      </c>
      <c r="P394" s="36" t="n">
        <v>11</v>
      </c>
      <c r="Q394" s="36" t="n">
        <v>11</v>
      </c>
      <c r="R394" s="28" t="n">
        <v>12</v>
      </c>
      <c r="S394" s="36" t="n">
        <v>3</v>
      </c>
      <c r="T394" s="36" t="n">
        <v>12</v>
      </c>
      <c r="U394" s="36" t="n">
        <v>9.43</v>
      </c>
      <c r="V394" s="36" t="n">
        <v>9.300000000000001</v>
      </c>
      <c r="W394" s="36" t="n">
        <v>9.050000000000001</v>
      </c>
      <c r="X394" s="36" t="n">
        <v>6.49</v>
      </c>
      <c r="Y394" s="28" t="n">
        <v>10.62</v>
      </c>
      <c r="Z394" s="36" t="n">
        <v>10.3</v>
      </c>
      <c r="AA394" s="36" t="n">
        <v>10.18</v>
      </c>
      <c r="AB394" s="36" t="n">
        <v>9.43</v>
      </c>
      <c r="AC394" s="36" t="n">
        <v>9.300000000000001</v>
      </c>
      <c r="AD394" s="36" t="n">
        <v>7.12</v>
      </c>
      <c r="AE394" s="36" t="n">
        <v>6.49</v>
      </c>
      <c r="AF394" s="28" t="n">
        <v>10.62</v>
      </c>
      <c r="AG394" s="36" t="n">
        <v>10.3</v>
      </c>
      <c r="AH394" s="37" t="n">
        <v>10.18</v>
      </c>
      <c r="AI394" s="37" t="n">
        <v>9.43</v>
      </c>
      <c r="AJ394" s="37" t="n">
        <v>9.300000000000001</v>
      </c>
      <c r="AK394" s="37" t="n">
        <v>9.050000000000001</v>
      </c>
      <c r="AL394" s="37" t="n">
        <v>6.49</v>
      </c>
      <c r="AM394" s="37" t="n">
        <v>10.62</v>
      </c>
      <c r="AN394" s="37" t="n">
        <v>10.3</v>
      </c>
      <c r="AO394" s="37" t="n">
        <v>10.18</v>
      </c>
      <c r="AP394" s="37" t="n">
        <v>9.43</v>
      </c>
      <c r="AQ394" s="37" t="n">
        <v>9.300000000000001</v>
      </c>
      <c r="AR394" s="37" t="n">
        <v>9.050000000000001</v>
      </c>
      <c r="AS394" s="37" t="n">
        <v>6.49</v>
      </c>
      <c r="AT394" s="37" t="n">
        <v>10.62</v>
      </c>
      <c r="AU394" s="37" t="n">
        <v>10.3</v>
      </c>
      <c r="AV394" s="37" t="n">
        <v>10.18</v>
      </c>
      <c r="AW394" s="37" t="n">
        <v>9.43</v>
      </c>
      <c r="AX394" s="37" t="n">
        <v>9.300000000000001</v>
      </c>
      <c r="AY394" s="37" t="n">
        <v>9.050000000000001</v>
      </c>
      <c r="AZ394" s="37" t="n">
        <v>6.49</v>
      </c>
      <c r="BA394" s="37" t="n">
        <v>11.61</v>
      </c>
      <c r="BB394" s="37" t="n">
        <v>6.12</v>
      </c>
      <c r="BC394" s="37" t="n">
        <v>3.12</v>
      </c>
      <c r="BD394" s="37" t="n">
        <v>2.37</v>
      </c>
      <c r="BE394" s="37" t="n">
        <v>5.5</v>
      </c>
      <c r="BF394" s="37" t="n">
        <v>5.12</v>
      </c>
      <c r="BG394" s="37" t="n">
        <v>3.56</v>
      </c>
      <c r="BH394" s="37" t="n">
        <v>6.18</v>
      </c>
      <c r="BI394" s="37" t="n">
        <v>6.12</v>
      </c>
      <c r="BJ394" s="37" t="n">
        <v>4.68</v>
      </c>
      <c r="BK394" s="37" t="n">
        <v>5.43</v>
      </c>
      <c r="BL394" s="37" t="n">
        <v>5.43</v>
      </c>
      <c r="BM394" s="37" t="n">
        <v>5.12</v>
      </c>
      <c r="BN394" s="37" t="n">
        <v>3.56</v>
      </c>
      <c r="BO394" s="37" t="n">
        <v>6.18</v>
      </c>
      <c r="BP394" s="37" t="n">
        <v>6.12</v>
      </c>
      <c r="BQ394" s="37" t="n">
        <v>5.81</v>
      </c>
      <c r="BR394" s="37" t="n">
        <v>5.43</v>
      </c>
      <c r="BS394" s="37" t="n">
        <v>5.43</v>
      </c>
      <c r="BT394" s="37" t="n">
        <v>5.12</v>
      </c>
      <c r="BU394" s="37" t="n">
        <v>3.56</v>
      </c>
      <c r="BV394" s="37" t="n">
        <v>6.18</v>
      </c>
      <c r="BW394" s="37" t="n">
        <v>6.12</v>
      </c>
      <c r="BX394" s="37" t="n">
        <v>5.81</v>
      </c>
      <c r="BY394" s="37" t="n">
        <v>5.43</v>
      </c>
      <c r="BZ394" s="37" t="n">
        <v>5.43</v>
      </c>
      <c r="CA394" s="37" t="n">
        <v>5.12</v>
      </c>
      <c r="CB394" s="37" t="n">
        <v>3.56</v>
      </c>
      <c r="CC394" s="37" t="n">
        <v>571.04</v>
      </c>
    </row>
    <row r="395" ht="15.75" customHeight="1" s="57">
      <c r="A395" s="7" t="inlineStr">
        <is>
          <t>NTB</t>
        </is>
      </c>
      <c r="B395" s="7" t="inlineStr">
        <is>
          <t>Lâm Đồng</t>
        </is>
      </c>
      <c r="C395" s="7" t="n">
        <v>22759000</v>
      </c>
      <c r="D395" s="7" t="inlineStr">
        <is>
          <t>(LDO) Hòa Ninh</t>
        </is>
      </c>
      <c r="E395" s="7" t="inlineStr">
        <is>
          <t>Shopee</t>
        </is>
      </c>
      <c r="F395" s="36" t="n">
        <v>14</v>
      </c>
      <c r="G395" s="36" t="n">
        <v>20</v>
      </c>
      <c r="H395" s="36" t="n">
        <v>18</v>
      </c>
      <c r="I395" s="36" t="n">
        <v>12</v>
      </c>
      <c r="J395" s="36" t="n">
        <v>21</v>
      </c>
      <c r="K395" s="28" t="n">
        <v>13</v>
      </c>
      <c r="L395" s="36" t="n">
        <v>20</v>
      </c>
      <c r="M395" s="36" t="n">
        <v>13</v>
      </c>
      <c r="N395" s="36" t="n">
        <v>19</v>
      </c>
      <c r="O395" s="36" t="n">
        <v>10</v>
      </c>
      <c r="P395" s="36" t="n">
        <v>18</v>
      </c>
      <c r="Q395" s="36" t="n">
        <v>18</v>
      </c>
      <c r="R395" s="28" t="n">
        <v>23</v>
      </c>
      <c r="S395" s="36" t="n">
        <v>18</v>
      </c>
      <c r="T395" s="36" t="n">
        <v>23</v>
      </c>
      <c r="U395" s="36" t="n">
        <v>19.48</v>
      </c>
      <c r="V395" s="36" t="n">
        <v>19.68</v>
      </c>
      <c r="W395" s="36" t="n">
        <v>18.86</v>
      </c>
      <c r="X395" s="36" t="n">
        <v>16.3</v>
      </c>
      <c r="Y395" s="28" t="n">
        <v>26.38</v>
      </c>
      <c r="Z395" s="36" t="n">
        <v>20.91</v>
      </c>
      <c r="AA395" s="36" t="n">
        <v>25.55</v>
      </c>
      <c r="AB395" s="36" t="n">
        <v>20.01</v>
      </c>
      <c r="AC395" s="36" t="n">
        <v>16.07</v>
      </c>
      <c r="AD395" s="36" t="n">
        <v>42.73</v>
      </c>
      <c r="AE395" s="36" t="n">
        <v>17.48</v>
      </c>
      <c r="AF395" s="28" t="n">
        <v>28.96</v>
      </c>
      <c r="AG395" s="36" t="n">
        <v>21.94</v>
      </c>
      <c r="AH395" s="37" t="n">
        <v>23.14</v>
      </c>
      <c r="AI395" s="37" t="n">
        <v>19.48</v>
      </c>
      <c r="AJ395" s="37" t="n">
        <v>19.68</v>
      </c>
      <c r="AK395" s="37" t="n">
        <v>20.81</v>
      </c>
      <c r="AL395" s="37" t="n">
        <v>29.26</v>
      </c>
      <c r="AM395" s="37" t="n">
        <v>26.38</v>
      </c>
      <c r="AN395" s="37" t="n">
        <v>20.91</v>
      </c>
      <c r="AO395" s="37" t="n">
        <v>23.14</v>
      </c>
      <c r="AP395" s="37" t="n">
        <v>21.54</v>
      </c>
      <c r="AQ395" s="37" t="n">
        <v>15.72</v>
      </c>
      <c r="AR395" s="37" t="n">
        <v>18.86</v>
      </c>
      <c r="AS395" s="37" t="n">
        <v>16.3</v>
      </c>
      <c r="AT395" s="37" t="n">
        <v>26.38</v>
      </c>
      <c r="AU395" s="37" t="n">
        <v>22.99</v>
      </c>
      <c r="AV395" s="37" t="n">
        <v>23.72</v>
      </c>
      <c r="AW395" s="37" t="n">
        <v>19.48</v>
      </c>
      <c r="AX395" s="37" t="n">
        <v>19.68</v>
      </c>
      <c r="AY395" s="37" t="n">
        <v>18.86</v>
      </c>
      <c r="AZ395" s="37" t="n">
        <v>16.3</v>
      </c>
      <c r="BA395" s="37" t="n">
        <v>22.69</v>
      </c>
      <c r="BB395" s="37" t="n">
        <v>15.6</v>
      </c>
      <c r="BC395" s="37" t="n">
        <v>7</v>
      </c>
      <c r="BD395" s="37" t="n">
        <v>11.68</v>
      </c>
      <c r="BE395" s="37" t="n">
        <v>23.42</v>
      </c>
      <c r="BF395" s="37" t="n">
        <v>22.57</v>
      </c>
      <c r="BG395" s="37" t="n">
        <v>15.92</v>
      </c>
      <c r="BH395" s="37" t="n">
        <v>25.15</v>
      </c>
      <c r="BI395" s="37" t="n">
        <v>16.5</v>
      </c>
      <c r="BJ395" s="37" t="n">
        <v>60.53</v>
      </c>
      <c r="BK395" s="37" t="n">
        <v>19.96</v>
      </c>
      <c r="BL395" s="37" t="n">
        <v>19.68</v>
      </c>
      <c r="BM395" s="37" t="n">
        <v>17.98</v>
      </c>
      <c r="BN395" s="37" t="n">
        <v>15.62</v>
      </c>
      <c r="BO395" s="37" t="n">
        <v>25.15</v>
      </c>
      <c r="BP395" s="37" t="n">
        <v>21.84</v>
      </c>
      <c r="BQ395" s="37" t="n">
        <v>33.75</v>
      </c>
      <c r="BR395" s="37" t="n">
        <v>18.56</v>
      </c>
      <c r="BS395" s="37" t="n">
        <v>18.76</v>
      </c>
      <c r="BT395" s="37" t="n">
        <v>17.98</v>
      </c>
      <c r="BU395" s="37" t="n">
        <v>17.08</v>
      </c>
      <c r="BV395" s="37" t="n">
        <v>20.16</v>
      </c>
      <c r="BW395" s="37" t="n">
        <v>19.91</v>
      </c>
      <c r="BX395" s="37" t="n">
        <v>21.99</v>
      </c>
      <c r="BY395" s="37" t="n">
        <v>18.56</v>
      </c>
      <c r="BZ395" s="37" t="n">
        <v>20.54</v>
      </c>
      <c r="CA395" s="37" t="n">
        <v>18.38</v>
      </c>
      <c r="CB395" s="37" t="n">
        <v>15.62</v>
      </c>
      <c r="CC395" s="37" t="n">
        <v>1539.56</v>
      </c>
    </row>
    <row r="396" ht="15.75" customHeight="1" s="57">
      <c r="A396" s="7" t="inlineStr">
        <is>
          <t>NTB</t>
        </is>
      </c>
      <c r="B396" s="7" t="inlineStr">
        <is>
          <t>Lâm Đồng</t>
        </is>
      </c>
      <c r="C396" s="7" t="n">
        <v>22759000</v>
      </c>
      <c r="D396" s="7" t="inlineStr">
        <is>
          <t>(LDO) Hòa Ninh</t>
        </is>
      </c>
      <c r="E396" s="7" t="inlineStr">
        <is>
          <t>Shopee-Bulky</t>
        </is>
      </c>
      <c r="F396" s="36" t="n">
        <v>0</v>
      </c>
      <c r="G396" s="36" t="n">
        <v>0</v>
      </c>
      <c r="H396" s="36" t="n">
        <v>0.65</v>
      </c>
      <c r="I396" s="36" t="n">
        <v>0</v>
      </c>
      <c r="J396" s="36" t="n">
        <v>0</v>
      </c>
      <c r="K396" s="28" t="n">
        <v>0.65</v>
      </c>
      <c r="L396" s="36" t="n">
        <v>0.65</v>
      </c>
      <c r="M396" s="36" t="n">
        <v>1.31</v>
      </c>
      <c r="N396" s="36" t="n">
        <v>0</v>
      </c>
      <c r="O396" s="36" t="n">
        <v>0.65</v>
      </c>
      <c r="P396" s="36" t="n">
        <v>0</v>
      </c>
      <c r="Q396" s="36" t="n">
        <v>0</v>
      </c>
      <c r="R396" s="28" t="n">
        <v>1.31</v>
      </c>
      <c r="S396" s="36" t="n">
        <v>1.31</v>
      </c>
      <c r="T396" s="36" t="n">
        <v>0.65</v>
      </c>
      <c r="U396" s="36" t="n">
        <v>0.87</v>
      </c>
      <c r="V396" s="36" t="n">
        <v>0.84</v>
      </c>
      <c r="W396" s="36" t="n">
        <v>1.1</v>
      </c>
      <c r="X396" s="36" t="n">
        <v>0.65</v>
      </c>
      <c r="Y396" s="28" t="n">
        <v>1.36</v>
      </c>
      <c r="Z396" s="36" t="n">
        <v>0.99</v>
      </c>
      <c r="AA396" s="36" t="n">
        <v>1.75</v>
      </c>
      <c r="AB396" s="36" t="n">
        <v>0.99</v>
      </c>
      <c r="AC396" s="36" t="n">
        <v>1.16</v>
      </c>
      <c r="AD396" s="36" t="n">
        <v>3.53</v>
      </c>
      <c r="AE396" s="36" t="n">
        <v>3.05</v>
      </c>
      <c r="AF396" s="28" t="n">
        <v>2.91</v>
      </c>
      <c r="AG396" s="36" t="n">
        <v>1.53</v>
      </c>
      <c r="AH396" s="37" t="n">
        <v>0.95</v>
      </c>
      <c r="AI396" s="37" t="n">
        <v>1.1</v>
      </c>
      <c r="AJ396" s="37" t="n">
        <v>0.91</v>
      </c>
      <c r="AK396" s="37" t="n">
        <v>2.19</v>
      </c>
      <c r="AL396" s="37" t="n">
        <v>1.19</v>
      </c>
      <c r="AM396" s="37" t="n">
        <v>1.8</v>
      </c>
      <c r="AN396" s="37" t="n">
        <v>0.99</v>
      </c>
      <c r="AO396" s="37" t="n">
        <v>0.96</v>
      </c>
      <c r="AP396" s="37" t="n">
        <v>1.95</v>
      </c>
      <c r="AQ396" s="37" t="n">
        <v>1.3</v>
      </c>
      <c r="AR396" s="37" t="n">
        <v>0.98</v>
      </c>
      <c r="AS396" s="37" t="n">
        <v>0.5</v>
      </c>
      <c r="AT396" s="37" t="n">
        <v>1.32</v>
      </c>
      <c r="AU396" s="37" t="n">
        <v>2.36</v>
      </c>
      <c r="AV396" s="37" t="n">
        <v>2.4</v>
      </c>
      <c r="AW396" s="37" t="n">
        <v>0.95</v>
      </c>
      <c r="AX396" s="37" t="n">
        <v>0.91</v>
      </c>
      <c r="AY396" s="37" t="n">
        <v>0.95</v>
      </c>
      <c r="AZ396" s="37" t="n">
        <v>0.5</v>
      </c>
      <c r="BA396" s="37" t="n">
        <v>1.22</v>
      </c>
      <c r="BB396" s="37" t="n">
        <v>0.76</v>
      </c>
      <c r="BC396" s="37" t="n">
        <v>0.16</v>
      </c>
      <c r="BD396" s="37" t="n">
        <v>0.31</v>
      </c>
      <c r="BE396" s="37" t="n">
        <v>1.43</v>
      </c>
      <c r="BF396" s="37" t="n">
        <v>1.19</v>
      </c>
      <c r="BG396" s="37" t="n">
        <v>0.76</v>
      </c>
      <c r="BH396" s="37" t="n">
        <v>1.74</v>
      </c>
      <c r="BI396" s="37" t="n">
        <v>1.29</v>
      </c>
      <c r="BJ396" s="37" t="n">
        <v>6.37</v>
      </c>
      <c r="BK396" s="37" t="n">
        <v>2.91</v>
      </c>
      <c r="BL396" s="37" t="n">
        <v>1.64</v>
      </c>
      <c r="BM396" s="37" t="n">
        <v>0.99</v>
      </c>
      <c r="BN396" s="37" t="n">
        <v>0.71</v>
      </c>
      <c r="BO396" s="37" t="n">
        <v>2.08</v>
      </c>
      <c r="BP396" s="37" t="n">
        <v>3.01</v>
      </c>
      <c r="BQ396" s="37" t="n">
        <v>2.36</v>
      </c>
      <c r="BR396" s="37" t="n">
        <v>1.19</v>
      </c>
      <c r="BS396" s="37" t="n">
        <v>1.16</v>
      </c>
      <c r="BT396" s="37" t="n">
        <v>0.95</v>
      </c>
      <c r="BU396" s="37" t="n">
        <v>1.55</v>
      </c>
      <c r="BV396" s="37" t="n">
        <v>1.86</v>
      </c>
      <c r="BW396" s="37" t="n">
        <v>1.29</v>
      </c>
      <c r="BX396" s="37" t="n">
        <v>1.24</v>
      </c>
      <c r="BY396" s="37" t="n">
        <v>1.19</v>
      </c>
      <c r="BZ396" s="37" t="n">
        <v>2.37</v>
      </c>
      <c r="CA396" s="37" t="n">
        <v>1.19</v>
      </c>
      <c r="CB396" s="37" t="n">
        <v>0.67</v>
      </c>
      <c r="CC396" s="37" t="n">
        <v>95.70999999999998</v>
      </c>
    </row>
    <row r="397" ht="15.75" customHeight="1" s="57">
      <c r="A397" s="7" t="inlineStr">
        <is>
          <t>NTB</t>
        </is>
      </c>
      <c r="B397" s="7" t="inlineStr">
        <is>
          <t>Lâm Đồng</t>
        </is>
      </c>
      <c r="C397" s="7" t="n">
        <v>22759000</v>
      </c>
      <c r="D397" s="7" t="inlineStr">
        <is>
          <t>(LDO) Hòa Ninh</t>
        </is>
      </c>
      <c r="E397" s="7" t="inlineStr">
        <is>
          <t>Shopee-Bulky (10-15kg)</t>
        </is>
      </c>
      <c r="F397" s="36" t="n">
        <v>0</v>
      </c>
      <c r="G397" s="36" t="n">
        <v>0</v>
      </c>
      <c r="H397" s="36" t="n">
        <v>0.35</v>
      </c>
      <c r="I397" s="36" t="n">
        <v>0</v>
      </c>
      <c r="J397" s="36" t="n">
        <v>0</v>
      </c>
      <c r="K397" s="28" t="n">
        <v>0.35</v>
      </c>
      <c r="L397" s="36" t="n">
        <v>0.35</v>
      </c>
      <c r="M397" s="36" t="n">
        <v>0.6899999999999999</v>
      </c>
      <c r="N397" s="36" t="n">
        <v>0</v>
      </c>
      <c r="O397" s="36" t="n">
        <v>0.35</v>
      </c>
      <c r="P397" s="36" t="n">
        <v>0</v>
      </c>
      <c r="Q397" s="36" t="n">
        <v>0</v>
      </c>
      <c r="R397" s="28" t="n">
        <v>0.6899999999999999</v>
      </c>
      <c r="S397" s="36" t="n">
        <v>0.6899999999999999</v>
      </c>
      <c r="T397" s="36" t="n">
        <v>0.35</v>
      </c>
      <c r="U397" s="36" t="n">
        <v>0.45</v>
      </c>
      <c r="V397" s="36" t="n">
        <v>0.43</v>
      </c>
      <c r="W397" s="36" t="n">
        <v>0.54</v>
      </c>
      <c r="X397" s="36" t="n">
        <v>0.33</v>
      </c>
      <c r="Y397" s="28" t="n">
        <v>0.79</v>
      </c>
      <c r="Z397" s="36" t="n">
        <v>0.53</v>
      </c>
      <c r="AA397" s="36" t="n">
        <v>0.96</v>
      </c>
      <c r="AB397" s="36" t="n">
        <v>0.5</v>
      </c>
      <c r="AC397" s="36" t="n">
        <v>0.53</v>
      </c>
      <c r="AD397" s="36" t="n">
        <v>2.57</v>
      </c>
      <c r="AE397" s="36" t="n">
        <v>1.75</v>
      </c>
      <c r="AF397" s="28" t="n">
        <v>1.46</v>
      </c>
      <c r="AG397" s="36" t="n">
        <v>1.13</v>
      </c>
      <c r="AH397" s="37" t="n">
        <v>0.53</v>
      </c>
      <c r="AI397" s="37" t="n">
        <v>0.53</v>
      </c>
      <c r="AJ397" s="37" t="n">
        <v>0.53</v>
      </c>
      <c r="AK397" s="37" t="n">
        <v>1.36</v>
      </c>
      <c r="AL397" s="37" t="n">
        <v>0.54</v>
      </c>
      <c r="AM397" s="37" t="n">
        <v>1.09</v>
      </c>
      <c r="AN397" s="37" t="n">
        <v>0.53</v>
      </c>
      <c r="AO397" s="37" t="n">
        <v>0.5</v>
      </c>
      <c r="AP397" s="37" t="n">
        <v>0.99</v>
      </c>
      <c r="AQ397" s="37" t="n">
        <v>0.65</v>
      </c>
      <c r="AR397" s="37" t="n">
        <v>0.5</v>
      </c>
      <c r="AS397" s="37" t="n">
        <v>0.25</v>
      </c>
      <c r="AT397" s="37" t="n">
        <v>0.78</v>
      </c>
      <c r="AU397" s="37" t="n">
        <v>1.24</v>
      </c>
      <c r="AV397" s="37" t="n">
        <v>1.38</v>
      </c>
      <c r="AW397" s="37" t="n">
        <v>0.47</v>
      </c>
      <c r="AX397" s="37" t="n">
        <v>0.43</v>
      </c>
      <c r="AY397" s="37" t="n">
        <v>0.48</v>
      </c>
      <c r="AZ397" s="37" t="n">
        <v>0.25</v>
      </c>
      <c r="BA397" s="37" t="n">
        <v>0.59</v>
      </c>
      <c r="BB397" s="37" t="n">
        <v>0.37</v>
      </c>
      <c r="BC397" s="37" t="n">
        <v>0.06</v>
      </c>
      <c r="BD397" s="37" t="n">
        <v>0.12</v>
      </c>
      <c r="BE397" s="37" t="n">
        <v>0.73</v>
      </c>
      <c r="BF397" s="37" t="n">
        <v>0.6</v>
      </c>
      <c r="BG397" s="37" t="n">
        <v>0.34</v>
      </c>
      <c r="BH397" s="37" t="n">
        <v>1.05</v>
      </c>
      <c r="BI397" s="37" t="n">
        <v>0.57</v>
      </c>
      <c r="BJ397" s="37" t="n">
        <v>3.57</v>
      </c>
      <c r="BK397" s="37" t="n">
        <v>1.29</v>
      </c>
      <c r="BL397" s="37" t="n">
        <v>0.96</v>
      </c>
      <c r="BM397" s="37" t="n">
        <v>0.47</v>
      </c>
      <c r="BN397" s="37" t="n">
        <v>0.34</v>
      </c>
      <c r="BO397" s="37" t="n">
        <v>0.99</v>
      </c>
      <c r="BP397" s="37" t="n">
        <v>1.29</v>
      </c>
      <c r="BQ397" s="37" t="n">
        <v>1.21</v>
      </c>
      <c r="BR397" s="37" t="n">
        <v>0.6</v>
      </c>
      <c r="BS397" s="37" t="n">
        <v>0.5600000000000001</v>
      </c>
      <c r="BT397" s="37" t="n">
        <v>0.47</v>
      </c>
      <c r="BU397" s="37" t="n">
        <v>0.6</v>
      </c>
      <c r="BV397" s="37" t="n">
        <v>1.13</v>
      </c>
      <c r="BW397" s="37" t="n">
        <v>0.57</v>
      </c>
      <c r="BX397" s="37" t="n">
        <v>0.65</v>
      </c>
      <c r="BY397" s="37" t="n">
        <v>0.6</v>
      </c>
      <c r="BZ397" s="37" t="n">
        <v>1.12</v>
      </c>
      <c r="CA397" s="37" t="n">
        <v>0.6</v>
      </c>
      <c r="CB397" s="37" t="n">
        <v>0.34</v>
      </c>
      <c r="CC397" s="37" t="n">
        <v>50.61000000000001</v>
      </c>
    </row>
    <row r="398" ht="15.75" customHeight="1" s="57">
      <c r="A398" s="7" t="inlineStr">
        <is>
          <t>NTB</t>
        </is>
      </c>
      <c r="B398" s="7" t="inlineStr">
        <is>
          <t>Lâm Đồng</t>
        </is>
      </c>
      <c r="C398" s="7" t="n">
        <v>22759000</v>
      </c>
      <c r="D398" s="7" t="inlineStr">
        <is>
          <t>(LDO) Hòa Ninh</t>
        </is>
      </c>
      <c r="E398" s="7" t="inlineStr">
        <is>
          <t>TTS</t>
        </is>
      </c>
      <c r="F398" s="36" t="n">
        <v>3</v>
      </c>
      <c r="G398" s="36" t="n">
        <v>6</v>
      </c>
      <c r="H398" s="36" t="n">
        <v>8</v>
      </c>
      <c r="I398" s="36" t="n">
        <v>4</v>
      </c>
      <c r="J398" s="36" t="n">
        <v>2</v>
      </c>
      <c r="K398" s="28" t="n">
        <v>1</v>
      </c>
      <c r="L398" s="36" t="n">
        <v>2</v>
      </c>
      <c r="M398" s="36" t="n">
        <v>1</v>
      </c>
      <c r="N398" s="36" t="n">
        <v>3</v>
      </c>
      <c r="O398" s="36" t="n">
        <v>0</v>
      </c>
      <c r="P398" s="36" t="n">
        <v>4</v>
      </c>
      <c r="Q398" s="36" t="n">
        <v>2</v>
      </c>
      <c r="R398" s="28" t="n">
        <v>1</v>
      </c>
      <c r="S398" s="36" t="n">
        <v>4</v>
      </c>
      <c r="T398" s="36" t="n">
        <v>2</v>
      </c>
      <c r="U398" s="36" t="n">
        <v>0.91</v>
      </c>
      <c r="V398" s="36" t="n">
        <v>0.9</v>
      </c>
      <c r="W398" s="36" t="n">
        <v>0.88</v>
      </c>
      <c r="X398" s="36" t="n">
        <v>0.71</v>
      </c>
      <c r="Y398" s="28" t="n">
        <v>1.03</v>
      </c>
      <c r="Z398" s="36" t="n">
        <v>0.88</v>
      </c>
      <c r="AA398" s="36" t="n">
        <v>0.98</v>
      </c>
      <c r="AB398" s="36" t="n">
        <v>1.09</v>
      </c>
      <c r="AC398" s="36" t="n">
        <v>1.15</v>
      </c>
      <c r="AD398" s="36" t="n">
        <v>1.6</v>
      </c>
      <c r="AE398" s="36" t="n">
        <v>0.82</v>
      </c>
      <c r="AF398" s="28" t="n">
        <v>1.06</v>
      </c>
      <c r="AG398" s="36" t="n">
        <v>0.9</v>
      </c>
      <c r="AH398" s="37" t="n">
        <v>0.89</v>
      </c>
      <c r="AI398" s="37" t="n">
        <v>1.02</v>
      </c>
      <c r="AJ398" s="37" t="n">
        <v>1.09</v>
      </c>
      <c r="AK398" s="37" t="n">
        <v>1.08</v>
      </c>
      <c r="AL398" s="37" t="n">
        <v>0.77</v>
      </c>
      <c r="AM398" s="37" t="n">
        <v>1.05</v>
      </c>
      <c r="AN398" s="37" t="n">
        <v>0.91</v>
      </c>
      <c r="AO398" s="37" t="n">
        <v>0.9</v>
      </c>
      <c r="AP398" s="37" t="n">
        <v>0.88</v>
      </c>
      <c r="AQ398" s="37" t="n">
        <v>0.88</v>
      </c>
      <c r="AR398" s="37" t="n">
        <v>0.87</v>
      </c>
      <c r="AS398" s="37" t="n">
        <v>0.71</v>
      </c>
      <c r="AT398" s="37" t="n">
        <v>1.14</v>
      </c>
      <c r="AU398" s="37" t="n">
        <v>1.03</v>
      </c>
      <c r="AV398" s="37" t="n">
        <v>0.91</v>
      </c>
      <c r="AW398" s="37" t="n">
        <v>0.87</v>
      </c>
      <c r="AX398" s="37" t="n">
        <v>0.86</v>
      </c>
      <c r="AY398" s="37" t="n">
        <v>0.86</v>
      </c>
      <c r="AZ398" s="37" t="n">
        <v>0.71</v>
      </c>
      <c r="BA398" s="37" t="n">
        <v>1.02</v>
      </c>
      <c r="BB398" s="37" t="n">
        <v>0.96</v>
      </c>
      <c r="BC398" s="37" t="n">
        <v>0.48</v>
      </c>
      <c r="BD398" s="37" t="n">
        <v>0.6899999999999999</v>
      </c>
      <c r="BE398" s="37" t="n">
        <v>1.61</v>
      </c>
      <c r="BF398" s="37" t="n">
        <v>1.55</v>
      </c>
      <c r="BG398" s="37" t="n">
        <v>0.77</v>
      </c>
      <c r="BH398" s="37" t="n">
        <v>1.13</v>
      </c>
      <c r="BI398" s="37" t="n">
        <v>0.96</v>
      </c>
      <c r="BJ398" s="37" t="n">
        <v>1.21</v>
      </c>
      <c r="BK398" s="37" t="n">
        <v>0.97</v>
      </c>
      <c r="BL398" s="37" t="n">
        <v>0.98</v>
      </c>
      <c r="BM398" s="37" t="n">
        <v>0.95</v>
      </c>
      <c r="BN398" s="37" t="n">
        <v>0.77</v>
      </c>
      <c r="BO398" s="37" t="n">
        <v>1.13</v>
      </c>
      <c r="BP398" s="37" t="n">
        <v>0.96</v>
      </c>
      <c r="BQ398" s="37" t="n">
        <v>0.95</v>
      </c>
      <c r="BR398" s="37" t="n">
        <v>0.97</v>
      </c>
      <c r="BS398" s="37" t="n">
        <v>0.98</v>
      </c>
      <c r="BT398" s="37" t="n">
        <v>0.95</v>
      </c>
      <c r="BU398" s="37" t="n">
        <v>0.77</v>
      </c>
      <c r="BV398" s="37" t="n">
        <v>1.13</v>
      </c>
      <c r="BW398" s="37" t="n">
        <v>0.96</v>
      </c>
      <c r="BX398" s="37" t="n">
        <v>0.95</v>
      </c>
      <c r="BY398" s="37" t="n">
        <v>0.97</v>
      </c>
      <c r="BZ398" s="37" t="n">
        <v>0.98</v>
      </c>
      <c r="CA398" s="37" t="n">
        <v>0.95</v>
      </c>
      <c r="CB398" s="37" t="n">
        <v>0.77</v>
      </c>
      <c r="CC398" s="37" t="n">
        <v>100.8099999999999</v>
      </c>
    </row>
    <row r="399" ht="15.75" customHeight="1" s="57">
      <c r="A399" s="7" t="inlineStr">
        <is>
          <t>NTB</t>
        </is>
      </c>
      <c r="B399" s="7" t="inlineStr">
        <is>
          <t>Lâm Đồng</t>
        </is>
      </c>
      <c r="C399" s="7" t="n">
        <v>23015000</v>
      </c>
      <c r="D399" s="7" t="inlineStr">
        <is>
          <t>(LDO) Bảo Lâm 3</t>
        </is>
      </c>
      <c r="E399" s="7" t="inlineStr">
        <is>
          <t>SME</t>
        </is>
      </c>
      <c r="F399" s="36" t="n">
        <v>8</v>
      </c>
      <c r="G399" s="36" t="n">
        <v>2</v>
      </c>
      <c r="H399" s="36" t="n">
        <v>4</v>
      </c>
      <c r="I399" s="36" t="n">
        <v>7</v>
      </c>
      <c r="J399" s="36" t="n">
        <v>2</v>
      </c>
      <c r="K399" s="28" t="n">
        <v>7</v>
      </c>
      <c r="L399" s="36" t="n">
        <v>18</v>
      </c>
      <c r="M399" s="36" t="n">
        <v>10</v>
      </c>
      <c r="N399" s="36" t="n">
        <v>4</v>
      </c>
      <c r="O399" s="36" t="n">
        <v>10</v>
      </c>
      <c r="P399" s="36" t="n">
        <v>12</v>
      </c>
      <c r="Q399" s="36" t="n">
        <v>32</v>
      </c>
      <c r="R399" s="28" t="n">
        <v>5</v>
      </c>
      <c r="S399" s="36" t="n">
        <v>16</v>
      </c>
      <c r="T399" s="36" t="n">
        <v>18</v>
      </c>
      <c r="U399" s="36" t="n">
        <v>19.18</v>
      </c>
      <c r="V399" s="36" t="n">
        <v>19.81</v>
      </c>
      <c r="W399" s="36" t="n">
        <v>19.28</v>
      </c>
      <c r="X399" s="36" t="n">
        <v>15.78</v>
      </c>
      <c r="Y399" s="28" t="n">
        <v>21.37</v>
      </c>
      <c r="Z399" s="36" t="n">
        <v>19.66</v>
      </c>
      <c r="AA399" s="36" t="n">
        <v>19.18</v>
      </c>
      <c r="AB399" s="36" t="n">
        <v>19.18</v>
      </c>
      <c r="AC399" s="36" t="n">
        <v>19.81</v>
      </c>
      <c r="AD399" s="36" t="n">
        <v>20.86</v>
      </c>
      <c r="AE399" s="36" t="n">
        <v>15.78</v>
      </c>
      <c r="AF399" s="28" t="n">
        <v>21.37</v>
      </c>
      <c r="AG399" s="36" t="n">
        <v>19.66</v>
      </c>
      <c r="AH399" s="37" t="n">
        <v>19.18</v>
      </c>
      <c r="AI399" s="37" t="n">
        <v>19.18</v>
      </c>
      <c r="AJ399" s="37" t="n">
        <v>19.81</v>
      </c>
      <c r="AK399" s="37" t="n">
        <v>19.28</v>
      </c>
      <c r="AL399" s="37" t="n">
        <v>15.78</v>
      </c>
      <c r="AM399" s="37" t="n">
        <v>21.37</v>
      </c>
      <c r="AN399" s="37" t="n">
        <v>19.66</v>
      </c>
      <c r="AO399" s="37" t="n">
        <v>19.18</v>
      </c>
      <c r="AP399" s="37" t="n">
        <v>19.18</v>
      </c>
      <c r="AQ399" s="37" t="n">
        <v>19.81</v>
      </c>
      <c r="AR399" s="37" t="n">
        <v>19.28</v>
      </c>
      <c r="AS399" s="37" t="n">
        <v>15.78</v>
      </c>
      <c r="AT399" s="37" t="n">
        <v>21.37</v>
      </c>
      <c r="AU399" s="37" t="n">
        <v>19.66</v>
      </c>
      <c r="AV399" s="37" t="n">
        <v>19.18</v>
      </c>
      <c r="AW399" s="37" t="n">
        <v>19.18</v>
      </c>
      <c r="AX399" s="37" t="n">
        <v>19.81</v>
      </c>
      <c r="AY399" s="37" t="n">
        <v>19.28</v>
      </c>
      <c r="AZ399" s="37" t="n">
        <v>15.78</v>
      </c>
      <c r="BA399" s="37" t="n">
        <v>20.32</v>
      </c>
      <c r="BB399" s="37" t="n">
        <v>18.05</v>
      </c>
      <c r="BC399" s="37" t="n">
        <v>11.07</v>
      </c>
      <c r="BD399" s="37" t="n">
        <v>8.65</v>
      </c>
      <c r="BE399" s="37" t="n">
        <v>18.56</v>
      </c>
      <c r="BF399" s="37" t="n">
        <v>18.09</v>
      </c>
      <c r="BG399" s="37" t="n">
        <v>16.26</v>
      </c>
      <c r="BH399" s="37" t="n">
        <v>22.04</v>
      </c>
      <c r="BI399" s="37" t="n">
        <v>20.26</v>
      </c>
      <c r="BJ399" s="37" t="n">
        <v>21.47</v>
      </c>
      <c r="BK399" s="37" t="n">
        <v>19.74</v>
      </c>
      <c r="BL399" s="37" t="n">
        <v>20.42</v>
      </c>
      <c r="BM399" s="37" t="n">
        <v>19.85</v>
      </c>
      <c r="BN399" s="37" t="n">
        <v>16.26</v>
      </c>
      <c r="BO399" s="37" t="n">
        <v>22.04</v>
      </c>
      <c r="BP399" s="37" t="n">
        <v>20.26</v>
      </c>
      <c r="BQ399" s="37" t="n">
        <v>19.74</v>
      </c>
      <c r="BR399" s="37" t="n">
        <v>19.74</v>
      </c>
      <c r="BS399" s="37" t="n">
        <v>20.42</v>
      </c>
      <c r="BT399" s="37" t="n">
        <v>19.85</v>
      </c>
      <c r="BU399" s="37" t="n">
        <v>16.26</v>
      </c>
      <c r="BV399" s="37" t="n">
        <v>22.04</v>
      </c>
      <c r="BW399" s="37" t="n">
        <v>20.26</v>
      </c>
      <c r="BX399" s="37" t="n">
        <v>19.74</v>
      </c>
      <c r="BY399" s="37" t="n">
        <v>19.74</v>
      </c>
      <c r="BZ399" s="37" t="n">
        <v>20.42</v>
      </c>
      <c r="CA399" s="37" t="n">
        <v>19.85</v>
      </c>
      <c r="CB399" s="37" t="n">
        <v>16.26</v>
      </c>
      <c r="CC399" s="37" t="n">
        <v>1295.329999999999</v>
      </c>
    </row>
    <row r="400" ht="15.75" customHeight="1" s="57">
      <c r="A400" s="7" t="inlineStr">
        <is>
          <t>NTB</t>
        </is>
      </c>
      <c r="B400" s="7" t="inlineStr">
        <is>
          <t>Lâm Đồng</t>
        </is>
      </c>
      <c r="C400" s="7" t="n">
        <v>23015000</v>
      </c>
      <c r="D400" s="7" t="inlineStr">
        <is>
          <t>(LDO) Bảo Lâm 3</t>
        </is>
      </c>
      <c r="E400" s="7" t="inlineStr">
        <is>
          <t>SME-Bulky</t>
        </is>
      </c>
      <c r="F400" s="36" t="n">
        <v>2</v>
      </c>
      <c r="G400" s="36" t="n">
        <v>0</v>
      </c>
      <c r="H400" s="36" t="n">
        <v>2</v>
      </c>
      <c r="I400" s="36" t="n">
        <v>2</v>
      </c>
      <c r="J400" s="36" t="n">
        <v>0</v>
      </c>
      <c r="K400" s="28" t="n">
        <v>1</v>
      </c>
      <c r="L400" s="36" t="n">
        <v>4</v>
      </c>
      <c r="M400" s="36" t="n">
        <v>1</v>
      </c>
      <c r="N400" s="36" t="n">
        <v>2</v>
      </c>
      <c r="O400" s="36" t="n">
        <v>3</v>
      </c>
      <c r="P400" s="36" t="n">
        <v>0</v>
      </c>
      <c r="Q400" s="36" t="n">
        <v>0</v>
      </c>
      <c r="R400" s="28" t="n">
        <v>2</v>
      </c>
      <c r="S400" s="36" t="n">
        <v>1</v>
      </c>
      <c r="T400" s="36" t="n">
        <v>2</v>
      </c>
      <c r="U400" s="36" t="n">
        <v>1.5</v>
      </c>
      <c r="V400" s="36" t="n">
        <v>1.48</v>
      </c>
      <c r="W400" s="36" t="n">
        <v>1.44</v>
      </c>
      <c r="X400" s="36" t="n">
        <v>1.04</v>
      </c>
      <c r="Y400" s="28" t="n">
        <v>1.69</v>
      </c>
      <c r="Z400" s="36" t="n">
        <v>1.64</v>
      </c>
      <c r="AA400" s="36" t="n">
        <v>1.62</v>
      </c>
      <c r="AB400" s="36" t="n">
        <v>1.5</v>
      </c>
      <c r="AC400" s="36" t="n">
        <v>1.48</v>
      </c>
      <c r="AD400" s="36" t="n">
        <v>1.13</v>
      </c>
      <c r="AE400" s="36" t="n">
        <v>1.04</v>
      </c>
      <c r="AF400" s="28" t="n">
        <v>1.69</v>
      </c>
      <c r="AG400" s="36" t="n">
        <v>1.64</v>
      </c>
      <c r="AH400" s="37" t="n">
        <v>1.62</v>
      </c>
      <c r="AI400" s="37" t="n">
        <v>1.5</v>
      </c>
      <c r="AJ400" s="37" t="n">
        <v>1.48</v>
      </c>
      <c r="AK400" s="37" t="n">
        <v>1.44</v>
      </c>
      <c r="AL400" s="37" t="n">
        <v>1.04</v>
      </c>
      <c r="AM400" s="37" t="n">
        <v>1.69</v>
      </c>
      <c r="AN400" s="37" t="n">
        <v>1.64</v>
      </c>
      <c r="AO400" s="37" t="n">
        <v>1.62</v>
      </c>
      <c r="AP400" s="37" t="n">
        <v>1.5</v>
      </c>
      <c r="AQ400" s="37" t="n">
        <v>1.48</v>
      </c>
      <c r="AR400" s="37" t="n">
        <v>1.44</v>
      </c>
      <c r="AS400" s="37" t="n">
        <v>1.04</v>
      </c>
      <c r="AT400" s="37" t="n">
        <v>1.69</v>
      </c>
      <c r="AU400" s="37" t="n">
        <v>1.64</v>
      </c>
      <c r="AV400" s="37" t="n">
        <v>1.62</v>
      </c>
      <c r="AW400" s="37" t="n">
        <v>1.5</v>
      </c>
      <c r="AX400" s="37" t="n">
        <v>1.48</v>
      </c>
      <c r="AY400" s="37" t="n">
        <v>1.44</v>
      </c>
      <c r="AZ400" s="37" t="n">
        <v>1.04</v>
      </c>
      <c r="BA400" s="37" t="n">
        <v>1.85</v>
      </c>
      <c r="BB400" s="37" t="n">
        <v>0.98</v>
      </c>
      <c r="BC400" s="37" t="n">
        <v>0.5</v>
      </c>
      <c r="BD400" s="37" t="n">
        <v>0.38</v>
      </c>
      <c r="BE400" s="37" t="n">
        <v>0.88</v>
      </c>
      <c r="BF400" s="37" t="n">
        <v>0.82</v>
      </c>
      <c r="BG400" s="37" t="n">
        <v>0.57</v>
      </c>
      <c r="BH400" s="37" t="n">
        <v>0.99</v>
      </c>
      <c r="BI400" s="37" t="n">
        <v>0.98</v>
      </c>
      <c r="BJ400" s="37" t="n">
        <v>0.75</v>
      </c>
      <c r="BK400" s="37" t="n">
        <v>0.87</v>
      </c>
      <c r="BL400" s="37" t="n">
        <v>0.87</v>
      </c>
      <c r="BM400" s="37" t="n">
        <v>0.82</v>
      </c>
      <c r="BN400" s="37" t="n">
        <v>0.57</v>
      </c>
      <c r="BO400" s="37" t="n">
        <v>0.99</v>
      </c>
      <c r="BP400" s="37" t="n">
        <v>0.98</v>
      </c>
      <c r="BQ400" s="37" t="n">
        <v>0.93</v>
      </c>
      <c r="BR400" s="37" t="n">
        <v>0.87</v>
      </c>
      <c r="BS400" s="37" t="n">
        <v>0.87</v>
      </c>
      <c r="BT400" s="37" t="n">
        <v>0.82</v>
      </c>
      <c r="BU400" s="37" t="n">
        <v>0.57</v>
      </c>
      <c r="BV400" s="37" t="n">
        <v>0.99</v>
      </c>
      <c r="BW400" s="37" t="n">
        <v>0.98</v>
      </c>
      <c r="BX400" s="37" t="n">
        <v>0.93</v>
      </c>
      <c r="BY400" s="37" t="n">
        <v>0.87</v>
      </c>
      <c r="BZ400" s="37" t="n">
        <v>0.87</v>
      </c>
      <c r="CA400" s="37" t="n">
        <v>0.82</v>
      </c>
      <c r="CB400" s="37" t="n">
        <v>0.57</v>
      </c>
      <c r="CC400" s="37" t="n">
        <v>92.67999999999996</v>
      </c>
    </row>
    <row r="401" ht="15.75" customHeight="1" s="57">
      <c r="A401" s="7" t="inlineStr">
        <is>
          <t>NTB</t>
        </is>
      </c>
      <c r="B401" s="7" t="inlineStr">
        <is>
          <t>Lâm Đồng</t>
        </is>
      </c>
      <c r="C401" s="7" t="n">
        <v>23015000</v>
      </c>
      <c r="D401" s="7" t="inlineStr">
        <is>
          <t>(LDO) Bảo Lâm 3</t>
        </is>
      </c>
      <c r="E401" s="7" t="inlineStr">
        <is>
          <t>Shopee</t>
        </is>
      </c>
      <c r="F401" s="36" t="n">
        <v>4</v>
      </c>
      <c r="G401" s="36" t="n">
        <v>4</v>
      </c>
      <c r="H401" s="36" t="n">
        <v>6</v>
      </c>
      <c r="I401" s="36" t="n">
        <v>3</v>
      </c>
      <c r="J401" s="36" t="n">
        <v>2</v>
      </c>
      <c r="K401" s="28" t="n">
        <v>4</v>
      </c>
      <c r="L401" s="36" t="n">
        <v>10</v>
      </c>
      <c r="M401" s="36" t="n">
        <v>11</v>
      </c>
      <c r="N401" s="36" t="n">
        <v>9</v>
      </c>
      <c r="O401" s="36" t="n">
        <v>4</v>
      </c>
      <c r="P401" s="36" t="n">
        <v>4</v>
      </c>
      <c r="Q401" s="36" t="n">
        <v>3</v>
      </c>
      <c r="R401" s="28" t="n">
        <v>12</v>
      </c>
      <c r="S401" s="36" t="n">
        <v>5</v>
      </c>
      <c r="T401" s="36" t="n">
        <v>7</v>
      </c>
      <c r="U401" s="36" t="n">
        <v>7.76</v>
      </c>
      <c r="V401" s="36" t="n">
        <v>7.84</v>
      </c>
      <c r="W401" s="36" t="n">
        <v>7.51</v>
      </c>
      <c r="X401" s="36" t="n">
        <v>6.49</v>
      </c>
      <c r="Y401" s="28" t="n">
        <v>10.51</v>
      </c>
      <c r="Z401" s="36" t="n">
        <v>8.33</v>
      </c>
      <c r="AA401" s="36" t="n">
        <v>10.18</v>
      </c>
      <c r="AB401" s="36" t="n">
        <v>7.97</v>
      </c>
      <c r="AC401" s="36" t="n">
        <v>6.4</v>
      </c>
      <c r="AD401" s="36" t="n">
        <v>17.02</v>
      </c>
      <c r="AE401" s="36" t="n">
        <v>6.96</v>
      </c>
      <c r="AF401" s="28" t="n">
        <v>11.54</v>
      </c>
      <c r="AG401" s="36" t="n">
        <v>8.74</v>
      </c>
      <c r="AH401" s="37" t="n">
        <v>9.220000000000001</v>
      </c>
      <c r="AI401" s="37" t="n">
        <v>7.76</v>
      </c>
      <c r="AJ401" s="37" t="n">
        <v>7.84</v>
      </c>
      <c r="AK401" s="37" t="n">
        <v>8.289999999999999</v>
      </c>
      <c r="AL401" s="37" t="n">
        <v>11.66</v>
      </c>
      <c r="AM401" s="37" t="n">
        <v>10.51</v>
      </c>
      <c r="AN401" s="37" t="n">
        <v>8.33</v>
      </c>
      <c r="AO401" s="37" t="n">
        <v>9.220000000000001</v>
      </c>
      <c r="AP401" s="37" t="n">
        <v>8.58</v>
      </c>
      <c r="AQ401" s="37" t="n">
        <v>6.26</v>
      </c>
      <c r="AR401" s="37" t="n">
        <v>7.51</v>
      </c>
      <c r="AS401" s="37" t="n">
        <v>6.49</v>
      </c>
      <c r="AT401" s="37" t="n">
        <v>10.51</v>
      </c>
      <c r="AU401" s="37" t="n">
        <v>9.16</v>
      </c>
      <c r="AV401" s="37" t="n">
        <v>9.449999999999999</v>
      </c>
      <c r="AW401" s="37" t="n">
        <v>7.76</v>
      </c>
      <c r="AX401" s="37" t="n">
        <v>7.84</v>
      </c>
      <c r="AY401" s="37" t="n">
        <v>7.51</v>
      </c>
      <c r="AZ401" s="37" t="n">
        <v>6.49</v>
      </c>
      <c r="BA401" s="37" t="n">
        <v>9.039999999999999</v>
      </c>
      <c r="BB401" s="37" t="n">
        <v>6.21</v>
      </c>
      <c r="BC401" s="37" t="n">
        <v>2.79</v>
      </c>
      <c r="BD401" s="37" t="n">
        <v>4.65</v>
      </c>
      <c r="BE401" s="37" t="n">
        <v>9.33</v>
      </c>
      <c r="BF401" s="37" t="n">
        <v>8.99</v>
      </c>
      <c r="BG401" s="37" t="n">
        <v>6.34</v>
      </c>
      <c r="BH401" s="37" t="n">
        <v>10.02</v>
      </c>
      <c r="BI401" s="37" t="n">
        <v>6.57</v>
      </c>
      <c r="BJ401" s="37" t="n">
        <v>24.11</v>
      </c>
      <c r="BK401" s="37" t="n">
        <v>7.95</v>
      </c>
      <c r="BL401" s="37" t="n">
        <v>7.84</v>
      </c>
      <c r="BM401" s="37" t="n">
        <v>7.16</v>
      </c>
      <c r="BN401" s="37" t="n">
        <v>6.22</v>
      </c>
      <c r="BO401" s="37" t="n">
        <v>10.02</v>
      </c>
      <c r="BP401" s="37" t="n">
        <v>8.699999999999999</v>
      </c>
      <c r="BQ401" s="37" t="n">
        <v>13.44</v>
      </c>
      <c r="BR401" s="37" t="n">
        <v>7.39</v>
      </c>
      <c r="BS401" s="37" t="n">
        <v>7.47</v>
      </c>
      <c r="BT401" s="37" t="n">
        <v>7.16</v>
      </c>
      <c r="BU401" s="37" t="n">
        <v>6.8</v>
      </c>
      <c r="BV401" s="37" t="n">
        <v>8.029999999999999</v>
      </c>
      <c r="BW401" s="37" t="n">
        <v>7.93</v>
      </c>
      <c r="BX401" s="37" t="n">
        <v>8.76</v>
      </c>
      <c r="BY401" s="37" t="n">
        <v>7.39</v>
      </c>
      <c r="BZ401" s="37" t="n">
        <v>8.18</v>
      </c>
      <c r="CA401" s="37" t="n">
        <v>7.32</v>
      </c>
      <c r="CB401" s="37" t="n">
        <v>6.22</v>
      </c>
      <c r="CC401" s="37" t="n">
        <v>597.6699999999998</v>
      </c>
    </row>
    <row r="402" ht="15.75" customHeight="1" s="57">
      <c r="A402" s="7" t="inlineStr">
        <is>
          <t>NTB</t>
        </is>
      </c>
      <c r="B402" s="7" t="inlineStr">
        <is>
          <t>Lâm Đồng</t>
        </is>
      </c>
      <c r="C402" s="7" t="n">
        <v>23015000</v>
      </c>
      <c r="D402" s="7" t="inlineStr">
        <is>
          <t>(LDO) Bảo Lâm 3</t>
        </is>
      </c>
      <c r="E402" s="7" t="inlineStr">
        <is>
          <t>Shopee-Bulky</t>
        </is>
      </c>
      <c r="F402" s="36" t="n">
        <v>0.65</v>
      </c>
      <c r="G402" s="36" t="n">
        <v>0</v>
      </c>
      <c r="H402" s="36" t="n">
        <v>0</v>
      </c>
      <c r="I402" s="36" t="n">
        <v>0</v>
      </c>
      <c r="J402" s="36" t="n">
        <v>0.65</v>
      </c>
      <c r="K402" s="28" t="n">
        <v>0</v>
      </c>
      <c r="L402" s="36" t="n">
        <v>0</v>
      </c>
      <c r="M402" s="36" t="n">
        <v>0</v>
      </c>
      <c r="N402" s="36" t="n">
        <v>1.3</v>
      </c>
      <c r="O402" s="36" t="n">
        <v>0</v>
      </c>
      <c r="P402" s="36" t="n">
        <v>0.65</v>
      </c>
      <c r="Q402" s="36" t="n">
        <v>0.65</v>
      </c>
      <c r="R402" s="28" t="n">
        <v>0</v>
      </c>
      <c r="S402" s="36" t="n">
        <v>0</v>
      </c>
      <c r="T402" s="36" t="n">
        <v>0</v>
      </c>
      <c r="U402" s="36" t="n">
        <v>0.33</v>
      </c>
      <c r="V402" s="36" t="n">
        <v>0.31</v>
      </c>
      <c r="W402" s="36" t="n">
        <v>0.41</v>
      </c>
      <c r="X402" s="36" t="n">
        <v>0.24</v>
      </c>
      <c r="Y402" s="28" t="n">
        <v>0.51</v>
      </c>
      <c r="Z402" s="36" t="n">
        <v>0.37</v>
      </c>
      <c r="AA402" s="36" t="n">
        <v>0.66</v>
      </c>
      <c r="AB402" s="36" t="n">
        <v>0.37</v>
      </c>
      <c r="AC402" s="36" t="n">
        <v>0.44</v>
      </c>
      <c r="AD402" s="36" t="n">
        <v>1.33</v>
      </c>
      <c r="AE402" s="36" t="n">
        <v>1.15</v>
      </c>
      <c r="AF402" s="28" t="n">
        <v>1.09</v>
      </c>
      <c r="AG402" s="36" t="n">
        <v>0.58</v>
      </c>
      <c r="AH402" s="37" t="n">
        <v>0.35</v>
      </c>
      <c r="AI402" s="37" t="n">
        <v>0.41</v>
      </c>
      <c r="AJ402" s="37" t="n">
        <v>0.34</v>
      </c>
      <c r="AK402" s="37" t="n">
        <v>0.82</v>
      </c>
      <c r="AL402" s="37" t="n">
        <v>0.45</v>
      </c>
      <c r="AM402" s="37" t="n">
        <v>0.67</v>
      </c>
      <c r="AN402" s="37" t="n">
        <v>0.37</v>
      </c>
      <c r="AO402" s="37" t="n">
        <v>0.36</v>
      </c>
      <c r="AP402" s="37" t="n">
        <v>0.73</v>
      </c>
      <c r="AQ402" s="37" t="n">
        <v>0.49</v>
      </c>
      <c r="AR402" s="37" t="n">
        <v>0.37</v>
      </c>
      <c r="AS402" s="37" t="n">
        <v>0.19</v>
      </c>
      <c r="AT402" s="37" t="n">
        <v>0.49</v>
      </c>
      <c r="AU402" s="37" t="n">
        <v>0.88</v>
      </c>
      <c r="AV402" s="37" t="n">
        <v>0.9</v>
      </c>
      <c r="AW402" s="37" t="n">
        <v>0.35</v>
      </c>
      <c r="AX402" s="37" t="n">
        <v>0.34</v>
      </c>
      <c r="AY402" s="37" t="n">
        <v>0.35</v>
      </c>
      <c r="AZ402" s="37" t="n">
        <v>0.19</v>
      </c>
      <c r="BA402" s="37" t="n">
        <v>0.46</v>
      </c>
      <c r="BB402" s="37" t="n">
        <v>0.28</v>
      </c>
      <c r="BC402" s="37" t="n">
        <v>0.06</v>
      </c>
      <c r="BD402" s="37" t="n">
        <v>0.12</v>
      </c>
      <c r="BE402" s="37" t="n">
        <v>0.53</v>
      </c>
      <c r="BF402" s="37" t="n">
        <v>0.45</v>
      </c>
      <c r="BG402" s="37" t="n">
        <v>0.28</v>
      </c>
      <c r="BH402" s="37" t="n">
        <v>0.65</v>
      </c>
      <c r="BI402" s="37" t="n">
        <v>0.48</v>
      </c>
      <c r="BJ402" s="37" t="n">
        <v>2.39</v>
      </c>
      <c r="BK402" s="37" t="n">
        <v>1.09</v>
      </c>
      <c r="BL402" s="37" t="n">
        <v>0.62</v>
      </c>
      <c r="BM402" s="37" t="n">
        <v>0.37</v>
      </c>
      <c r="BN402" s="37" t="n">
        <v>0.27</v>
      </c>
      <c r="BO402" s="37" t="n">
        <v>0.78</v>
      </c>
      <c r="BP402" s="37" t="n">
        <v>1.13</v>
      </c>
      <c r="BQ402" s="37" t="n">
        <v>0.88</v>
      </c>
      <c r="BR402" s="37" t="n">
        <v>0.45</v>
      </c>
      <c r="BS402" s="37" t="n">
        <v>0.44</v>
      </c>
      <c r="BT402" s="37" t="n">
        <v>0.35</v>
      </c>
      <c r="BU402" s="37" t="n">
        <v>0.58</v>
      </c>
      <c r="BV402" s="37" t="n">
        <v>0.7</v>
      </c>
      <c r="BW402" s="37" t="n">
        <v>0.48</v>
      </c>
      <c r="BX402" s="37" t="n">
        <v>0.47</v>
      </c>
      <c r="BY402" s="37" t="n">
        <v>0.45</v>
      </c>
      <c r="BZ402" s="37" t="n">
        <v>0.89</v>
      </c>
      <c r="CA402" s="37" t="n">
        <v>0.45</v>
      </c>
      <c r="CB402" s="37" t="n">
        <v>0.25</v>
      </c>
      <c r="CC402" s="37" t="n">
        <v>37.09</v>
      </c>
    </row>
    <row r="403" ht="15.75" customHeight="1" s="57">
      <c r="A403" s="7" t="inlineStr">
        <is>
          <t>NTB</t>
        </is>
      </c>
      <c r="B403" s="7" t="inlineStr">
        <is>
          <t>Lâm Đồng</t>
        </is>
      </c>
      <c r="C403" s="7" t="n">
        <v>23015000</v>
      </c>
      <c r="D403" s="7" t="inlineStr">
        <is>
          <t>(LDO) Bảo Lâm 3</t>
        </is>
      </c>
      <c r="E403" s="7" t="inlineStr">
        <is>
          <t>Shopee-Bulky (10-15kg)</t>
        </is>
      </c>
      <c r="F403" s="36" t="n">
        <v>0.35</v>
      </c>
      <c r="G403" s="36" t="n">
        <v>0</v>
      </c>
      <c r="H403" s="36" t="n">
        <v>0</v>
      </c>
      <c r="I403" s="36" t="n">
        <v>0</v>
      </c>
      <c r="J403" s="36" t="n">
        <v>0.35</v>
      </c>
      <c r="K403" s="28" t="n">
        <v>0</v>
      </c>
      <c r="L403" s="36" t="n">
        <v>0</v>
      </c>
      <c r="M403" s="36" t="n">
        <v>0</v>
      </c>
      <c r="N403" s="36" t="n">
        <v>0.7</v>
      </c>
      <c r="O403" s="36" t="n">
        <v>0</v>
      </c>
      <c r="P403" s="36" t="n">
        <v>0.35</v>
      </c>
      <c r="Q403" s="36" t="n">
        <v>0.35</v>
      </c>
      <c r="R403" s="28" t="n">
        <v>0</v>
      </c>
      <c r="S403" s="36" t="n">
        <v>0</v>
      </c>
      <c r="T403" s="36" t="n">
        <v>0</v>
      </c>
      <c r="U403" s="36" t="n">
        <v>0.17</v>
      </c>
      <c r="V403" s="36" t="n">
        <v>0.16</v>
      </c>
      <c r="W403" s="36" t="n">
        <v>0.2</v>
      </c>
      <c r="X403" s="36" t="n">
        <v>0.12</v>
      </c>
      <c r="Y403" s="28" t="n">
        <v>0.3</v>
      </c>
      <c r="Z403" s="36" t="n">
        <v>0.2</v>
      </c>
      <c r="AA403" s="36" t="n">
        <v>0.36</v>
      </c>
      <c r="AB403" s="36" t="n">
        <v>0.19</v>
      </c>
      <c r="AC403" s="36" t="n">
        <v>0.2</v>
      </c>
      <c r="AD403" s="36" t="n">
        <v>0.97</v>
      </c>
      <c r="AE403" s="36" t="n">
        <v>0.66</v>
      </c>
      <c r="AF403" s="28" t="n">
        <v>0.55</v>
      </c>
      <c r="AG403" s="36" t="n">
        <v>0.42</v>
      </c>
      <c r="AH403" s="37" t="n">
        <v>0.2</v>
      </c>
      <c r="AI403" s="37" t="n">
        <v>0.2</v>
      </c>
      <c r="AJ403" s="37" t="n">
        <v>0.2</v>
      </c>
      <c r="AK403" s="37" t="n">
        <v>0.51</v>
      </c>
      <c r="AL403" s="37" t="n">
        <v>0.2</v>
      </c>
      <c r="AM403" s="37" t="n">
        <v>0.41</v>
      </c>
      <c r="AN403" s="37" t="n">
        <v>0.2</v>
      </c>
      <c r="AO403" s="37" t="n">
        <v>0.19</v>
      </c>
      <c r="AP403" s="37" t="n">
        <v>0.37</v>
      </c>
      <c r="AQ403" s="37" t="n">
        <v>0.24</v>
      </c>
      <c r="AR403" s="37" t="n">
        <v>0.19</v>
      </c>
      <c r="AS403" s="37" t="n">
        <v>0.09</v>
      </c>
      <c r="AT403" s="37" t="n">
        <v>0.29</v>
      </c>
      <c r="AU403" s="37" t="n">
        <v>0.47</v>
      </c>
      <c r="AV403" s="37" t="n">
        <v>0.52</v>
      </c>
      <c r="AW403" s="37" t="n">
        <v>0.17</v>
      </c>
      <c r="AX403" s="37" t="n">
        <v>0.16</v>
      </c>
      <c r="AY403" s="37" t="n">
        <v>0.18</v>
      </c>
      <c r="AZ403" s="37" t="n">
        <v>0.09</v>
      </c>
      <c r="BA403" s="37" t="n">
        <v>0.22</v>
      </c>
      <c r="BB403" s="37" t="n">
        <v>0.14</v>
      </c>
      <c r="BC403" s="37" t="n">
        <v>0.02</v>
      </c>
      <c r="BD403" s="37" t="n">
        <v>0.05</v>
      </c>
      <c r="BE403" s="37" t="n">
        <v>0.27</v>
      </c>
      <c r="BF403" s="37" t="n">
        <v>0.23</v>
      </c>
      <c r="BG403" s="37" t="n">
        <v>0.13</v>
      </c>
      <c r="BH403" s="37" t="n">
        <v>0.4</v>
      </c>
      <c r="BI403" s="37" t="n">
        <v>0.22</v>
      </c>
      <c r="BJ403" s="37" t="n">
        <v>1.34</v>
      </c>
      <c r="BK403" s="37" t="n">
        <v>0.48</v>
      </c>
      <c r="BL403" s="37" t="n">
        <v>0.36</v>
      </c>
      <c r="BM403" s="37" t="n">
        <v>0.17</v>
      </c>
      <c r="BN403" s="37" t="n">
        <v>0.13</v>
      </c>
      <c r="BO403" s="37" t="n">
        <v>0.37</v>
      </c>
      <c r="BP403" s="37" t="n">
        <v>0.48</v>
      </c>
      <c r="BQ403" s="37" t="n">
        <v>0.45</v>
      </c>
      <c r="BR403" s="37" t="n">
        <v>0.23</v>
      </c>
      <c r="BS403" s="37" t="n">
        <v>0.21</v>
      </c>
      <c r="BT403" s="37" t="n">
        <v>0.17</v>
      </c>
      <c r="BU403" s="37" t="n">
        <v>0.23</v>
      </c>
      <c r="BV403" s="37" t="n">
        <v>0.42</v>
      </c>
      <c r="BW403" s="37" t="n">
        <v>0.22</v>
      </c>
      <c r="BX403" s="37" t="n">
        <v>0.24</v>
      </c>
      <c r="BY403" s="37" t="n">
        <v>0.23</v>
      </c>
      <c r="BZ403" s="37" t="n">
        <v>0.42</v>
      </c>
      <c r="CA403" s="37" t="n">
        <v>0.23</v>
      </c>
      <c r="CB403" s="37" t="n">
        <v>0.13</v>
      </c>
      <c r="CC403" s="37" t="n">
        <v>19.67000000000001</v>
      </c>
    </row>
    <row r="404" ht="15.75" customHeight="1" s="57">
      <c r="A404" s="7" t="inlineStr">
        <is>
          <t>NTB</t>
        </is>
      </c>
      <c r="B404" s="7" t="inlineStr">
        <is>
          <t>Lâm Đồng</t>
        </is>
      </c>
      <c r="C404" s="7" t="n">
        <v>23015000</v>
      </c>
      <c r="D404" s="7" t="inlineStr">
        <is>
          <t>(LDO) Bảo Lâm 3</t>
        </is>
      </c>
      <c r="E404" s="7" t="inlineStr">
        <is>
          <t>TTS</t>
        </is>
      </c>
      <c r="F404" s="36" t="n">
        <v>1</v>
      </c>
      <c r="G404" s="36" t="n">
        <v>1</v>
      </c>
      <c r="H404" s="36" t="n">
        <v>2</v>
      </c>
      <c r="I404" s="36" t="n">
        <v>1</v>
      </c>
      <c r="J404" s="36" t="n">
        <v>2</v>
      </c>
      <c r="K404" s="28" t="n">
        <v>1</v>
      </c>
      <c r="L404" s="36" t="n">
        <v>0</v>
      </c>
      <c r="M404" s="36" t="n">
        <v>0</v>
      </c>
      <c r="N404" s="36" t="n">
        <v>0</v>
      </c>
      <c r="O404" s="36" t="n">
        <v>0</v>
      </c>
      <c r="P404" s="36" t="n">
        <v>1</v>
      </c>
      <c r="Q404" s="36" t="n">
        <v>1</v>
      </c>
      <c r="R404" s="28" t="n">
        <v>1</v>
      </c>
      <c r="S404" s="36" t="n">
        <v>1</v>
      </c>
      <c r="T404" s="36" t="n">
        <v>0</v>
      </c>
      <c r="U404" s="36" t="n">
        <v>0.21</v>
      </c>
      <c r="V404" s="36" t="n">
        <v>0.21</v>
      </c>
      <c r="W404" s="36" t="n">
        <v>0.2</v>
      </c>
      <c r="X404" s="36" t="n">
        <v>0.16</v>
      </c>
      <c r="Y404" s="28" t="n">
        <v>0.24</v>
      </c>
      <c r="Z404" s="36" t="n">
        <v>0.2</v>
      </c>
      <c r="AA404" s="36" t="n">
        <v>0.23</v>
      </c>
      <c r="AB404" s="36" t="n">
        <v>0.25</v>
      </c>
      <c r="AC404" s="36" t="n">
        <v>0.27</v>
      </c>
      <c r="AD404" s="36" t="n">
        <v>0.37</v>
      </c>
      <c r="AE404" s="36" t="n">
        <v>0.19</v>
      </c>
      <c r="AF404" s="28" t="n">
        <v>0.25</v>
      </c>
      <c r="AG404" s="36" t="n">
        <v>0.21</v>
      </c>
      <c r="AH404" s="37" t="n">
        <v>0.2</v>
      </c>
      <c r="AI404" s="37" t="n">
        <v>0.24</v>
      </c>
      <c r="AJ404" s="37" t="n">
        <v>0.25</v>
      </c>
      <c r="AK404" s="37" t="n">
        <v>0.25</v>
      </c>
      <c r="AL404" s="37" t="n">
        <v>0.18</v>
      </c>
      <c r="AM404" s="37" t="n">
        <v>0.24</v>
      </c>
      <c r="AN404" s="37" t="n">
        <v>0.21</v>
      </c>
      <c r="AO404" s="37" t="n">
        <v>0.21</v>
      </c>
      <c r="AP404" s="37" t="n">
        <v>0.2</v>
      </c>
      <c r="AQ404" s="37" t="n">
        <v>0.2</v>
      </c>
      <c r="AR404" s="37" t="n">
        <v>0.2</v>
      </c>
      <c r="AS404" s="37" t="n">
        <v>0.16</v>
      </c>
      <c r="AT404" s="37" t="n">
        <v>0.26</v>
      </c>
      <c r="AU404" s="37" t="n">
        <v>0.24</v>
      </c>
      <c r="AV404" s="37" t="n">
        <v>0.21</v>
      </c>
      <c r="AW404" s="37" t="n">
        <v>0.2</v>
      </c>
      <c r="AX404" s="37" t="n">
        <v>0.2</v>
      </c>
      <c r="AY404" s="37" t="n">
        <v>0.2</v>
      </c>
      <c r="AZ404" s="37" t="n">
        <v>0.16</v>
      </c>
      <c r="BA404" s="37" t="n">
        <v>0.24</v>
      </c>
      <c r="BB404" s="37" t="n">
        <v>0.22</v>
      </c>
      <c r="BC404" s="37" t="n">
        <v>0.11</v>
      </c>
      <c r="BD404" s="37" t="n">
        <v>0.16</v>
      </c>
      <c r="BE404" s="37" t="n">
        <v>0.37</v>
      </c>
      <c r="BF404" s="37" t="n">
        <v>0.36</v>
      </c>
      <c r="BG404" s="37" t="n">
        <v>0.18</v>
      </c>
      <c r="BH404" s="37" t="n">
        <v>0.26</v>
      </c>
      <c r="BI404" s="37" t="n">
        <v>0.22</v>
      </c>
      <c r="BJ404" s="37" t="n">
        <v>0.28</v>
      </c>
      <c r="BK404" s="37" t="n">
        <v>0.22</v>
      </c>
      <c r="BL404" s="37" t="n">
        <v>0.23</v>
      </c>
      <c r="BM404" s="37" t="n">
        <v>0.22</v>
      </c>
      <c r="BN404" s="37" t="n">
        <v>0.18</v>
      </c>
      <c r="BO404" s="37" t="n">
        <v>0.26</v>
      </c>
      <c r="BP404" s="37" t="n">
        <v>0.22</v>
      </c>
      <c r="BQ404" s="37" t="n">
        <v>0.22</v>
      </c>
      <c r="BR404" s="37" t="n">
        <v>0.22</v>
      </c>
      <c r="BS404" s="37" t="n">
        <v>0.23</v>
      </c>
      <c r="BT404" s="37" t="n">
        <v>0.22</v>
      </c>
      <c r="BU404" s="37" t="n">
        <v>0.18</v>
      </c>
      <c r="BV404" s="37" t="n">
        <v>0.26</v>
      </c>
      <c r="BW404" s="37" t="n">
        <v>0.22</v>
      </c>
      <c r="BX404" s="37" t="n">
        <v>0.22</v>
      </c>
      <c r="BY404" s="37" t="n">
        <v>0.22</v>
      </c>
      <c r="BZ404" s="37" t="n">
        <v>0.23</v>
      </c>
      <c r="CA404" s="37" t="n">
        <v>0.22</v>
      </c>
      <c r="CB404" s="37" t="n">
        <v>0.18</v>
      </c>
      <c r="CC404" s="37" t="n">
        <v>25.34999999999999</v>
      </c>
    </row>
    <row r="405" ht="15.75" customHeight="1" s="57">
      <c r="A405" s="7" t="inlineStr">
        <is>
          <t>NTB</t>
        </is>
      </c>
      <c r="B405" s="7" t="inlineStr">
        <is>
          <t>Ninh Thuận</t>
        </is>
      </c>
      <c r="C405" s="7" t="n">
        <v>20150000</v>
      </c>
      <c r="D405" s="7" t="inlineStr">
        <is>
          <t>(NTH) Bảo An</t>
        </is>
      </c>
      <c r="E405" s="7" t="inlineStr">
        <is>
          <t>SME</t>
        </is>
      </c>
      <c r="F405" s="36" t="n">
        <v>75</v>
      </c>
      <c r="G405" s="36" t="n">
        <v>74</v>
      </c>
      <c r="H405" s="36" t="n">
        <v>230</v>
      </c>
      <c r="I405" s="36" t="n">
        <v>115</v>
      </c>
      <c r="J405" s="36" t="n">
        <v>48</v>
      </c>
      <c r="K405" s="28" t="n">
        <v>127</v>
      </c>
      <c r="L405" s="36" t="n">
        <v>111</v>
      </c>
      <c r="M405" s="36" t="n">
        <v>79</v>
      </c>
      <c r="N405" s="36" t="n">
        <v>53</v>
      </c>
      <c r="O405" s="36" t="n">
        <v>118</v>
      </c>
      <c r="P405" s="36" t="n">
        <v>111</v>
      </c>
      <c r="Q405" s="36" t="n">
        <v>47</v>
      </c>
      <c r="R405" s="28" t="n">
        <v>72</v>
      </c>
      <c r="S405" s="36" t="n">
        <v>80</v>
      </c>
      <c r="T405" s="36" t="n">
        <v>144</v>
      </c>
      <c r="U405" s="36" t="n">
        <v>101.19</v>
      </c>
      <c r="V405" s="36" t="n">
        <v>104.76</v>
      </c>
      <c r="W405" s="36" t="n">
        <v>102.02</v>
      </c>
      <c r="X405" s="36" t="n">
        <v>83.75999999999999</v>
      </c>
      <c r="Y405" s="28" t="n">
        <v>113.31</v>
      </c>
      <c r="Z405" s="36" t="n">
        <v>103.45</v>
      </c>
      <c r="AA405" s="36" t="n">
        <v>101.45</v>
      </c>
      <c r="AB405" s="36" t="n">
        <v>101.19</v>
      </c>
      <c r="AC405" s="36" t="n">
        <v>104.76</v>
      </c>
      <c r="AD405" s="36" t="n">
        <v>125.34</v>
      </c>
      <c r="AE405" s="36" t="n">
        <v>83.75999999999999</v>
      </c>
      <c r="AF405" s="28" t="n">
        <v>113.31</v>
      </c>
      <c r="AG405" s="36" t="n">
        <v>103.45</v>
      </c>
      <c r="AH405" s="37" t="n">
        <v>101.45</v>
      </c>
      <c r="AI405" s="37" t="n">
        <v>101.19</v>
      </c>
      <c r="AJ405" s="37" t="n">
        <v>104.76</v>
      </c>
      <c r="AK405" s="37" t="n">
        <v>102.02</v>
      </c>
      <c r="AL405" s="37" t="n">
        <v>83.75999999999999</v>
      </c>
      <c r="AM405" s="37" t="n">
        <v>113.31</v>
      </c>
      <c r="AN405" s="37" t="n">
        <v>103.45</v>
      </c>
      <c r="AO405" s="37" t="n">
        <v>101.45</v>
      </c>
      <c r="AP405" s="37" t="n">
        <v>101.19</v>
      </c>
      <c r="AQ405" s="37" t="n">
        <v>104.76</v>
      </c>
      <c r="AR405" s="37" t="n">
        <v>102.02</v>
      </c>
      <c r="AS405" s="37" t="n">
        <v>83.75999999999999</v>
      </c>
      <c r="AT405" s="37" t="n">
        <v>113.31</v>
      </c>
      <c r="AU405" s="37" t="n">
        <v>103.45</v>
      </c>
      <c r="AV405" s="37" t="n">
        <v>101.45</v>
      </c>
      <c r="AW405" s="37" t="n">
        <v>101.19</v>
      </c>
      <c r="AX405" s="37" t="n">
        <v>104.76</v>
      </c>
      <c r="AY405" s="37" t="n">
        <v>102.02</v>
      </c>
      <c r="AZ405" s="37" t="n">
        <v>83.75999999999999</v>
      </c>
      <c r="BA405" s="37" t="n">
        <v>107.26</v>
      </c>
      <c r="BB405" s="37" t="n">
        <v>95.02000000000001</v>
      </c>
      <c r="BC405" s="37" t="n">
        <v>57.59</v>
      </c>
      <c r="BD405" s="37" t="n">
        <v>45.01000000000001</v>
      </c>
      <c r="BE405" s="37" t="n">
        <v>97.64</v>
      </c>
      <c r="BF405" s="37" t="n">
        <v>95.25</v>
      </c>
      <c r="BG405" s="37" t="n">
        <v>85.89999999999999</v>
      </c>
      <c r="BH405" s="37" t="n">
        <v>116.77</v>
      </c>
      <c r="BI405" s="37" t="n">
        <v>106.19</v>
      </c>
      <c r="BJ405" s="37" t="n">
        <v>128.56</v>
      </c>
      <c r="BK405" s="37" t="n">
        <v>103.93</v>
      </c>
      <c r="BL405" s="37" t="n">
        <v>107.62</v>
      </c>
      <c r="BM405" s="37" t="n">
        <v>104.76</v>
      </c>
      <c r="BN405" s="37" t="n">
        <v>85.89999999999999</v>
      </c>
      <c r="BO405" s="37" t="n">
        <v>116.77</v>
      </c>
      <c r="BP405" s="37" t="n">
        <v>106.19</v>
      </c>
      <c r="BQ405" s="37" t="n">
        <v>104.07</v>
      </c>
      <c r="BR405" s="37" t="n">
        <v>103.93</v>
      </c>
      <c r="BS405" s="37" t="n">
        <v>107.62</v>
      </c>
      <c r="BT405" s="37" t="n">
        <v>104.76</v>
      </c>
      <c r="BU405" s="37" t="n">
        <v>85.89999999999999</v>
      </c>
      <c r="BV405" s="37" t="n">
        <v>116.77</v>
      </c>
      <c r="BW405" s="37" t="n">
        <v>106.19</v>
      </c>
      <c r="BX405" s="37" t="n">
        <v>104.07</v>
      </c>
      <c r="BY405" s="37" t="n">
        <v>103.93</v>
      </c>
      <c r="BZ405" s="37" t="n">
        <v>107.62</v>
      </c>
      <c r="CA405" s="37" t="n">
        <v>104.76</v>
      </c>
      <c r="CB405" s="37" t="n">
        <v>85.89999999999999</v>
      </c>
      <c r="CC405" s="37" t="n">
        <v>7534.690000000001</v>
      </c>
    </row>
    <row r="406" ht="15.75" customHeight="1" s="57">
      <c r="A406" s="7" t="inlineStr">
        <is>
          <t>NTB</t>
        </is>
      </c>
      <c r="B406" s="7" t="inlineStr">
        <is>
          <t>Ninh Thuận</t>
        </is>
      </c>
      <c r="C406" s="7" t="n">
        <v>20150000</v>
      </c>
      <c r="D406" s="7" t="inlineStr">
        <is>
          <t>(NTH) Bảo An</t>
        </is>
      </c>
      <c r="E406" s="7" t="inlineStr">
        <is>
          <t>SME-Bulky</t>
        </is>
      </c>
      <c r="F406" s="36" t="n">
        <v>6</v>
      </c>
      <c r="G406" s="36" t="n">
        <v>2</v>
      </c>
      <c r="H406" s="36" t="n">
        <v>1</v>
      </c>
      <c r="I406" s="36" t="n">
        <v>3</v>
      </c>
      <c r="J406" s="36" t="n">
        <v>5</v>
      </c>
      <c r="K406" s="28" t="n">
        <v>3</v>
      </c>
      <c r="L406" s="36" t="n">
        <v>7</v>
      </c>
      <c r="M406" s="36" t="n">
        <v>9</v>
      </c>
      <c r="N406" s="36" t="n">
        <v>4</v>
      </c>
      <c r="O406" s="36" t="n">
        <v>2</v>
      </c>
      <c r="P406" s="36" t="n">
        <v>5</v>
      </c>
      <c r="Q406" s="36" t="n">
        <v>3</v>
      </c>
      <c r="R406" s="28" t="n">
        <v>1</v>
      </c>
      <c r="S406" s="36" t="n">
        <v>6</v>
      </c>
      <c r="T406" s="36" t="n">
        <v>5</v>
      </c>
      <c r="U406" s="36" t="n">
        <v>2.3</v>
      </c>
      <c r="V406" s="36" t="n">
        <v>2.3</v>
      </c>
      <c r="W406" s="36" t="n">
        <v>2.3</v>
      </c>
      <c r="X406" s="36" t="n">
        <v>1.78</v>
      </c>
      <c r="Y406" s="28" t="n">
        <v>4.18</v>
      </c>
      <c r="Z406" s="36" t="n">
        <v>3.97</v>
      </c>
      <c r="AA406" s="36" t="n">
        <v>2.3</v>
      </c>
      <c r="AB406" s="36" t="n">
        <v>2.3</v>
      </c>
      <c r="AC406" s="36" t="n">
        <v>2.3</v>
      </c>
      <c r="AD406" s="36" t="n">
        <v>3.97</v>
      </c>
      <c r="AE406" s="36" t="n">
        <v>1.78</v>
      </c>
      <c r="AF406" s="28" t="n">
        <v>4.18</v>
      </c>
      <c r="AG406" s="36" t="n">
        <v>3.97</v>
      </c>
      <c r="AH406" s="37" t="n">
        <v>2.3</v>
      </c>
      <c r="AI406" s="37" t="n">
        <v>2.3</v>
      </c>
      <c r="AJ406" s="37" t="n">
        <v>2.3</v>
      </c>
      <c r="AK406" s="37" t="n">
        <v>2.3</v>
      </c>
      <c r="AL406" s="37" t="n">
        <v>1.78</v>
      </c>
      <c r="AM406" s="37" t="n">
        <v>4.18</v>
      </c>
      <c r="AN406" s="37" t="n">
        <v>3.97</v>
      </c>
      <c r="AO406" s="37" t="n">
        <v>2.3</v>
      </c>
      <c r="AP406" s="37" t="n">
        <v>2.3</v>
      </c>
      <c r="AQ406" s="37" t="n">
        <v>2.3</v>
      </c>
      <c r="AR406" s="37" t="n">
        <v>2.3</v>
      </c>
      <c r="AS406" s="37" t="n">
        <v>1.78</v>
      </c>
      <c r="AT406" s="37" t="n">
        <v>4.18</v>
      </c>
      <c r="AU406" s="37" t="n">
        <v>3.97</v>
      </c>
      <c r="AV406" s="37" t="n">
        <v>2.3</v>
      </c>
      <c r="AW406" s="37" t="n">
        <v>2.3</v>
      </c>
      <c r="AX406" s="37" t="n">
        <v>2.3</v>
      </c>
      <c r="AY406" s="37" t="n">
        <v>2.3</v>
      </c>
      <c r="AZ406" s="37" t="n">
        <v>1.78</v>
      </c>
      <c r="BA406" s="37" t="n">
        <v>4.18</v>
      </c>
      <c r="BB406" s="37" t="n">
        <v>2.09</v>
      </c>
      <c r="BC406" s="37" t="n">
        <v>0.63</v>
      </c>
      <c r="BD406" s="37" t="n">
        <v>0.31</v>
      </c>
      <c r="BE406" s="37" t="n">
        <v>1.25</v>
      </c>
      <c r="BF406" s="37" t="n">
        <v>1.25</v>
      </c>
      <c r="BG406" s="37" t="n">
        <v>0.9399999999999999</v>
      </c>
      <c r="BH406" s="37" t="n">
        <v>2.19</v>
      </c>
      <c r="BI406" s="37" t="n">
        <v>2.09</v>
      </c>
      <c r="BJ406" s="37" t="n">
        <v>2.3</v>
      </c>
      <c r="BK406" s="37" t="n">
        <v>1.25</v>
      </c>
      <c r="BL406" s="37" t="n">
        <v>1.25</v>
      </c>
      <c r="BM406" s="37" t="n">
        <v>1.25</v>
      </c>
      <c r="BN406" s="37" t="n">
        <v>0.9399999999999999</v>
      </c>
      <c r="BO406" s="37" t="n">
        <v>2.19</v>
      </c>
      <c r="BP406" s="37" t="n">
        <v>2.09</v>
      </c>
      <c r="BQ406" s="37" t="n">
        <v>1.25</v>
      </c>
      <c r="BR406" s="37" t="n">
        <v>1.25</v>
      </c>
      <c r="BS406" s="37" t="n">
        <v>1.25</v>
      </c>
      <c r="BT406" s="37" t="n">
        <v>1.25</v>
      </c>
      <c r="BU406" s="37" t="n">
        <v>0.9399999999999999</v>
      </c>
      <c r="BV406" s="37" t="n">
        <v>2.19</v>
      </c>
      <c r="BW406" s="37" t="n">
        <v>2.09</v>
      </c>
      <c r="BX406" s="37" t="n">
        <v>1.25</v>
      </c>
      <c r="BY406" s="37" t="n">
        <v>1.25</v>
      </c>
      <c r="BZ406" s="37" t="n">
        <v>1.25</v>
      </c>
      <c r="CA406" s="37" t="n">
        <v>1.25</v>
      </c>
      <c r="CB406" s="37" t="n">
        <v>0.9399999999999999</v>
      </c>
      <c r="CC406" s="37" t="n">
        <v>191.23</v>
      </c>
    </row>
    <row r="407" ht="15.75" customHeight="1" s="57">
      <c r="A407" s="7" t="inlineStr">
        <is>
          <t>NTB</t>
        </is>
      </c>
      <c r="B407" s="7" t="inlineStr">
        <is>
          <t>Ninh Thuận</t>
        </is>
      </c>
      <c r="C407" s="7" t="n">
        <v>20150000</v>
      </c>
      <c r="D407" s="7" t="inlineStr">
        <is>
          <t>(NTH) Bảo An</t>
        </is>
      </c>
      <c r="E407" s="7" t="inlineStr">
        <is>
          <t>Shopee</t>
        </is>
      </c>
      <c r="F407" s="36" t="n">
        <v>16</v>
      </c>
      <c r="G407" s="36" t="n">
        <v>18</v>
      </c>
      <c r="H407" s="36" t="n">
        <v>19</v>
      </c>
      <c r="I407" s="36" t="n">
        <v>13</v>
      </c>
      <c r="J407" s="36" t="n">
        <v>12</v>
      </c>
      <c r="K407" s="28" t="n">
        <v>15</v>
      </c>
      <c r="L407" s="36" t="n">
        <v>17</v>
      </c>
      <c r="M407" s="36" t="n">
        <v>17</v>
      </c>
      <c r="N407" s="36" t="n">
        <v>7</v>
      </c>
      <c r="O407" s="36" t="n">
        <v>18</v>
      </c>
      <c r="P407" s="36" t="n">
        <v>15</v>
      </c>
      <c r="Q407" s="36" t="n">
        <v>10</v>
      </c>
      <c r="R407" s="28" t="n">
        <v>17</v>
      </c>
      <c r="S407" s="36" t="n">
        <v>22</v>
      </c>
      <c r="T407" s="36" t="n">
        <v>19</v>
      </c>
      <c r="U407" s="36" t="n">
        <v>20.94</v>
      </c>
      <c r="V407" s="36" t="n">
        <v>20.94</v>
      </c>
      <c r="W407" s="36" t="n">
        <v>20.16</v>
      </c>
      <c r="X407" s="36" t="n">
        <v>17.89</v>
      </c>
      <c r="Y407" s="28" t="n">
        <v>27.92</v>
      </c>
      <c r="Z407" s="36" t="n">
        <v>22.77</v>
      </c>
      <c r="AA407" s="36" t="n">
        <v>27.23</v>
      </c>
      <c r="AB407" s="36" t="n">
        <v>21.47</v>
      </c>
      <c r="AC407" s="36" t="n">
        <v>17.8</v>
      </c>
      <c r="AD407" s="36" t="n">
        <v>27.49</v>
      </c>
      <c r="AE407" s="36" t="n">
        <v>18.85</v>
      </c>
      <c r="AF407" s="28" t="n">
        <v>31.24</v>
      </c>
      <c r="AG407" s="36" t="n">
        <v>23.56</v>
      </c>
      <c r="AH407" s="37" t="n">
        <v>25.13</v>
      </c>
      <c r="AI407" s="37" t="n">
        <v>20.94</v>
      </c>
      <c r="AJ407" s="37" t="n">
        <v>20.94</v>
      </c>
      <c r="AK407" s="37" t="n">
        <v>22.51</v>
      </c>
      <c r="AL407" s="37" t="n">
        <v>31.5</v>
      </c>
      <c r="AM407" s="37" t="n">
        <v>27.92</v>
      </c>
      <c r="AN407" s="37" t="n">
        <v>22.77</v>
      </c>
      <c r="AO407" s="37" t="n">
        <v>25.13</v>
      </c>
      <c r="AP407" s="37" t="n">
        <v>23.47</v>
      </c>
      <c r="AQ407" s="37" t="n">
        <v>17.36</v>
      </c>
      <c r="AR407" s="37" t="n">
        <v>20.16</v>
      </c>
      <c r="AS407" s="37" t="n">
        <v>17.89</v>
      </c>
      <c r="AT407" s="37" t="n">
        <v>27.92</v>
      </c>
      <c r="AU407" s="37" t="n">
        <v>24.87</v>
      </c>
      <c r="AV407" s="37" t="n">
        <v>25.57</v>
      </c>
      <c r="AW407" s="37" t="n">
        <v>20.94</v>
      </c>
      <c r="AX407" s="37" t="n">
        <v>20.94</v>
      </c>
      <c r="AY407" s="37" t="n">
        <v>20.16</v>
      </c>
      <c r="AZ407" s="37" t="n">
        <v>17.89</v>
      </c>
      <c r="BA407" s="37" t="n">
        <v>24.61</v>
      </c>
      <c r="BB407" s="37" t="n">
        <v>17.71</v>
      </c>
      <c r="BC407" s="37" t="n">
        <v>7.77</v>
      </c>
      <c r="BD407" s="37" t="n">
        <v>12.74</v>
      </c>
      <c r="BE407" s="37" t="n">
        <v>26.09</v>
      </c>
      <c r="BF407" s="37" t="n">
        <v>25.13</v>
      </c>
      <c r="BG407" s="37" t="n">
        <v>17.89</v>
      </c>
      <c r="BH407" s="37" t="n">
        <v>27.4</v>
      </c>
      <c r="BI407" s="37" t="n">
        <v>18.32</v>
      </c>
      <c r="BJ407" s="37" t="n">
        <v>39.44</v>
      </c>
      <c r="BK407" s="37" t="n">
        <v>22.43</v>
      </c>
      <c r="BL407" s="37" t="n">
        <v>21.82</v>
      </c>
      <c r="BM407" s="37" t="n">
        <v>19.9</v>
      </c>
      <c r="BN407" s="37" t="n">
        <v>17.71</v>
      </c>
      <c r="BO407" s="37" t="n">
        <v>27.4</v>
      </c>
      <c r="BP407" s="37" t="n">
        <v>24.43</v>
      </c>
      <c r="BQ407" s="37" t="n">
        <v>37.09</v>
      </c>
      <c r="BR407" s="37" t="n">
        <v>20.68</v>
      </c>
      <c r="BS407" s="37" t="n">
        <v>20.68</v>
      </c>
      <c r="BT407" s="37" t="n">
        <v>19.9</v>
      </c>
      <c r="BU407" s="37" t="n">
        <v>19.02</v>
      </c>
      <c r="BV407" s="37" t="n">
        <v>22.69</v>
      </c>
      <c r="BW407" s="37" t="n">
        <v>22.34</v>
      </c>
      <c r="BX407" s="37" t="n">
        <v>24.69</v>
      </c>
      <c r="BY407" s="37" t="n">
        <v>20.68</v>
      </c>
      <c r="BZ407" s="37" t="n">
        <v>23.04</v>
      </c>
      <c r="CA407" s="37" t="n">
        <v>20.24</v>
      </c>
      <c r="CB407" s="37" t="n">
        <v>17.71</v>
      </c>
      <c r="CC407" s="37" t="n">
        <v>1586.820000000001</v>
      </c>
    </row>
    <row r="408" ht="15.75" customHeight="1" s="57">
      <c r="A408" s="7" t="inlineStr">
        <is>
          <t>NTB</t>
        </is>
      </c>
      <c r="B408" s="7" t="inlineStr">
        <is>
          <t>Ninh Thuận</t>
        </is>
      </c>
      <c r="C408" s="7" t="n">
        <v>20150000</v>
      </c>
      <c r="D408" s="7" t="inlineStr">
        <is>
          <t>(NTH) Bảo An</t>
        </is>
      </c>
      <c r="E408" s="7" t="inlineStr">
        <is>
          <t>Shopee-Bulky</t>
        </is>
      </c>
      <c r="F408" s="36" t="n">
        <v>2.92</v>
      </c>
      <c r="G408" s="36" t="n">
        <v>2.05</v>
      </c>
      <c r="H408" s="36" t="n">
        <v>1.75</v>
      </c>
      <c r="I408" s="36" t="n">
        <v>3.51</v>
      </c>
      <c r="J408" s="36" t="n">
        <v>1.17</v>
      </c>
      <c r="K408" s="28" t="n">
        <v>2.05</v>
      </c>
      <c r="L408" s="36" t="n">
        <v>0.29</v>
      </c>
      <c r="M408" s="36" t="n">
        <v>0.88</v>
      </c>
      <c r="N408" s="36" t="n">
        <v>2.05</v>
      </c>
      <c r="O408" s="36" t="n">
        <v>3.22</v>
      </c>
      <c r="P408" s="36" t="n">
        <v>3.8</v>
      </c>
      <c r="Q408" s="36" t="n">
        <v>0.88</v>
      </c>
      <c r="R408" s="28" t="n">
        <v>3.8</v>
      </c>
      <c r="S408" s="36" t="n">
        <v>2.34</v>
      </c>
      <c r="T408" s="36" t="n">
        <v>3.51</v>
      </c>
      <c r="U408" s="36" t="n">
        <v>2.21</v>
      </c>
      <c r="V408" s="36" t="n">
        <v>2.21</v>
      </c>
      <c r="W408" s="36" t="n">
        <v>3.32</v>
      </c>
      <c r="X408" s="36" t="n">
        <v>1.66</v>
      </c>
      <c r="Y408" s="28" t="n">
        <v>3.88</v>
      </c>
      <c r="Z408" s="36" t="n">
        <v>2.77</v>
      </c>
      <c r="AA408" s="36" t="n">
        <v>3.59</v>
      </c>
      <c r="AB408" s="36" t="n">
        <v>2.77</v>
      </c>
      <c r="AC408" s="36" t="n">
        <v>3.32</v>
      </c>
      <c r="AD408" s="36" t="n">
        <v>13.01</v>
      </c>
      <c r="AE408" s="36" t="n">
        <v>6.92</v>
      </c>
      <c r="AF408" s="28" t="n">
        <v>6.36</v>
      </c>
      <c r="AG408" s="36" t="n">
        <v>3.88</v>
      </c>
      <c r="AH408" s="37" t="n">
        <v>2.77</v>
      </c>
      <c r="AI408" s="37" t="n">
        <v>2.77</v>
      </c>
      <c r="AJ408" s="37" t="n">
        <v>3.32</v>
      </c>
      <c r="AK408" s="37" t="n">
        <v>4.15</v>
      </c>
      <c r="AL408" s="37" t="n">
        <v>3.32</v>
      </c>
      <c r="AM408" s="37" t="n">
        <v>4.15</v>
      </c>
      <c r="AN408" s="37" t="n">
        <v>2.77</v>
      </c>
      <c r="AO408" s="37" t="n">
        <v>3.04</v>
      </c>
      <c r="AP408" s="37" t="n">
        <v>3.88</v>
      </c>
      <c r="AQ408" s="37" t="n">
        <v>3.32</v>
      </c>
      <c r="AR408" s="37" t="n">
        <v>3.32</v>
      </c>
      <c r="AS408" s="37" t="n">
        <v>1.11</v>
      </c>
      <c r="AT408" s="37" t="n">
        <v>2.77</v>
      </c>
      <c r="AU408" s="37" t="n">
        <v>4.98</v>
      </c>
      <c r="AV408" s="37" t="n">
        <v>5.26</v>
      </c>
      <c r="AW408" s="37" t="n">
        <v>2.21</v>
      </c>
      <c r="AX408" s="37" t="n">
        <v>2.21</v>
      </c>
      <c r="AY408" s="37" t="n">
        <v>3.32</v>
      </c>
      <c r="AZ408" s="37" t="n">
        <v>1.11</v>
      </c>
      <c r="BA408" s="37" t="n">
        <v>3.04</v>
      </c>
      <c r="BB408" s="37" t="n">
        <v>3.32</v>
      </c>
      <c r="BC408" s="37" t="n">
        <v>0</v>
      </c>
      <c r="BD408" s="37" t="n">
        <v>0.83</v>
      </c>
      <c r="BE408" s="37" t="n">
        <v>3.88</v>
      </c>
      <c r="BF408" s="37" t="n">
        <v>3.32</v>
      </c>
      <c r="BG408" s="37" t="n">
        <v>1.66</v>
      </c>
      <c r="BH408" s="37" t="n">
        <v>3.88</v>
      </c>
      <c r="BI408" s="37" t="n">
        <v>3.88</v>
      </c>
      <c r="BJ408" s="37" t="n">
        <v>26.57</v>
      </c>
      <c r="BK408" s="37" t="n">
        <v>6.09</v>
      </c>
      <c r="BL408" s="37" t="n">
        <v>3.88</v>
      </c>
      <c r="BM408" s="37" t="n">
        <v>3.32</v>
      </c>
      <c r="BN408" s="37" t="n">
        <v>1.66</v>
      </c>
      <c r="BO408" s="37" t="n">
        <v>3.88</v>
      </c>
      <c r="BP408" s="37" t="n">
        <v>6.09</v>
      </c>
      <c r="BQ408" s="37" t="n">
        <v>3.88</v>
      </c>
      <c r="BR408" s="37" t="n">
        <v>3.32</v>
      </c>
      <c r="BS408" s="37" t="n">
        <v>3.32</v>
      </c>
      <c r="BT408" s="37" t="n">
        <v>2.21</v>
      </c>
      <c r="BU408" s="37" t="n">
        <v>3.88</v>
      </c>
      <c r="BV408" s="37" t="n">
        <v>3.88</v>
      </c>
      <c r="BW408" s="37" t="n">
        <v>3.88</v>
      </c>
      <c r="BX408" s="37" t="n">
        <v>3.88</v>
      </c>
      <c r="BY408" s="37" t="n">
        <v>3.32</v>
      </c>
      <c r="BZ408" s="37" t="n">
        <v>4.7</v>
      </c>
      <c r="CA408" s="37" t="n">
        <v>3.32</v>
      </c>
      <c r="CB408" s="37" t="n">
        <v>1.11</v>
      </c>
      <c r="CC408" s="37" t="n">
        <v>265.8999999999999</v>
      </c>
    </row>
    <row r="409" ht="15.75" customHeight="1" s="57">
      <c r="A409" s="7" t="inlineStr">
        <is>
          <t>NTB</t>
        </is>
      </c>
      <c r="B409" s="7" t="inlineStr">
        <is>
          <t>Ninh Thuận</t>
        </is>
      </c>
      <c r="C409" s="7" t="n">
        <v>20150000</v>
      </c>
      <c r="D409" s="7" t="inlineStr">
        <is>
          <t>(NTH) Bảo An</t>
        </is>
      </c>
      <c r="E409" s="7" t="inlineStr">
        <is>
          <t>Shopee-Bulky (10-15kg)</t>
        </is>
      </c>
      <c r="F409" s="36" t="n">
        <v>7.08</v>
      </c>
      <c r="G409" s="36" t="n">
        <v>4.95</v>
      </c>
      <c r="H409" s="36" t="n">
        <v>4.25</v>
      </c>
      <c r="I409" s="36" t="n">
        <v>8.49</v>
      </c>
      <c r="J409" s="36" t="n">
        <v>2.83</v>
      </c>
      <c r="K409" s="28" t="n">
        <v>4.95</v>
      </c>
      <c r="L409" s="36" t="n">
        <v>0.71</v>
      </c>
      <c r="M409" s="36" t="n">
        <v>2.12</v>
      </c>
      <c r="N409" s="36" t="n">
        <v>4.95</v>
      </c>
      <c r="O409" s="36" t="n">
        <v>7.78</v>
      </c>
      <c r="P409" s="36" t="n">
        <v>9.199999999999999</v>
      </c>
      <c r="Q409" s="36" t="n">
        <v>2.12</v>
      </c>
      <c r="R409" s="28" t="n">
        <v>9.199999999999999</v>
      </c>
      <c r="S409" s="36" t="n">
        <v>5.66</v>
      </c>
      <c r="T409" s="36" t="n">
        <v>8.49</v>
      </c>
      <c r="U409" s="36" t="n">
        <v>4.98</v>
      </c>
      <c r="V409" s="36" t="n">
        <v>4.15</v>
      </c>
      <c r="W409" s="36" t="n">
        <v>4.43</v>
      </c>
      <c r="X409" s="36" t="n">
        <v>3.04</v>
      </c>
      <c r="Y409" s="28" t="n">
        <v>8.58</v>
      </c>
      <c r="Z409" s="36" t="n">
        <v>5.81</v>
      </c>
      <c r="AA409" s="36" t="n">
        <v>10.24</v>
      </c>
      <c r="AB409" s="36" t="n">
        <v>5.26</v>
      </c>
      <c r="AC409" s="36" t="n">
        <v>5.26</v>
      </c>
      <c r="AD409" s="36" t="n">
        <v>22.42</v>
      </c>
      <c r="AE409" s="36" t="n">
        <v>14.94</v>
      </c>
      <c r="AF409" s="28" t="n">
        <v>16.88</v>
      </c>
      <c r="AG409" s="36" t="n">
        <v>9.129999999999999</v>
      </c>
      <c r="AH409" s="37" t="n">
        <v>5.54</v>
      </c>
      <c r="AI409" s="37" t="n">
        <v>5.54</v>
      </c>
      <c r="AJ409" s="37" t="n">
        <v>4.15</v>
      </c>
      <c r="AK409" s="37" t="n">
        <v>11.63</v>
      </c>
      <c r="AL409" s="37" t="n">
        <v>5.54</v>
      </c>
      <c r="AM409" s="37" t="n">
        <v>9.690000000000001</v>
      </c>
      <c r="AN409" s="37" t="n">
        <v>5.81</v>
      </c>
      <c r="AO409" s="37" t="n">
        <v>5.26</v>
      </c>
      <c r="AP409" s="37" t="n">
        <v>10.79</v>
      </c>
      <c r="AQ409" s="37" t="n">
        <v>6.64</v>
      </c>
      <c r="AR409" s="37" t="n">
        <v>3.88</v>
      </c>
      <c r="AS409" s="37" t="n">
        <v>2.77</v>
      </c>
      <c r="AT409" s="37" t="n">
        <v>6.92</v>
      </c>
      <c r="AU409" s="37" t="n">
        <v>16.6</v>
      </c>
      <c r="AV409" s="37" t="n">
        <v>11.63</v>
      </c>
      <c r="AW409" s="37" t="n">
        <v>5.54</v>
      </c>
      <c r="AX409" s="37" t="n">
        <v>4.15</v>
      </c>
      <c r="AY409" s="37" t="n">
        <v>3.88</v>
      </c>
      <c r="AZ409" s="37" t="n">
        <v>2.77</v>
      </c>
      <c r="BA409" s="37" t="n">
        <v>5.81</v>
      </c>
      <c r="BB409" s="37" t="n">
        <v>3.88</v>
      </c>
      <c r="BC409" s="37" t="n">
        <v>0.5499999999999999</v>
      </c>
      <c r="BD409" s="37" t="n">
        <v>1.11</v>
      </c>
      <c r="BE409" s="37" t="n">
        <v>7.75</v>
      </c>
      <c r="BF409" s="37" t="n">
        <v>5.54</v>
      </c>
      <c r="BG409" s="37" t="n">
        <v>3.88</v>
      </c>
      <c r="BH409" s="37" t="n">
        <v>9.129999999999999</v>
      </c>
      <c r="BI409" s="37" t="n">
        <v>7.2</v>
      </c>
      <c r="BJ409" s="37" t="n">
        <v>42.34</v>
      </c>
      <c r="BK409" s="37" t="n">
        <v>18.54</v>
      </c>
      <c r="BL409" s="37" t="n">
        <v>8.31</v>
      </c>
      <c r="BM409" s="37" t="n">
        <v>4.7</v>
      </c>
      <c r="BN409" s="37" t="n">
        <v>3.88</v>
      </c>
      <c r="BO409" s="37" t="n">
        <v>9.690000000000001</v>
      </c>
      <c r="BP409" s="37" t="n">
        <v>18.82</v>
      </c>
      <c r="BQ409" s="37" t="n">
        <v>12.45</v>
      </c>
      <c r="BR409" s="37" t="n">
        <v>6.92</v>
      </c>
      <c r="BS409" s="37" t="n">
        <v>5.54</v>
      </c>
      <c r="BT409" s="37" t="n">
        <v>3.88</v>
      </c>
      <c r="BU409" s="37" t="n">
        <v>7.75</v>
      </c>
      <c r="BV409" s="37" t="n">
        <v>9.129999999999999</v>
      </c>
      <c r="BW409" s="37" t="n">
        <v>7.2</v>
      </c>
      <c r="BX409" s="37" t="n">
        <v>6.92</v>
      </c>
      <c r="BY409" s="37" t="n">
        <v>6.92</v>
      </c>
      <c r="BZ409" s="37" t="n">
        <v>13.28</v>
      </c>
      <c r="CA409" s="37" t="n">
        <v>5.54</v>
      </c>
      <c r="CB409" s="37" t="n">
        <v>3.88</v>
      </c>
      <c r="CC409" s="37" t="n">
        <v>567.1699999999998</v>
      </c>
    </row>
    <row r="410" ht="15.75" customHeight="1" s="57">
      <c r="A410" s="7" t="inlineStr">
        <is>
          <t>NTB</t>
        </is>
      </c>
      <c r="B410" s="7" t="inlineStr">
        <is>
          <t>Ninh Thuận</t>
        </is>
      </c>
      <c r="C410" s="7" t="n">
        <v>20150000</v>
      </c>
      <c r="D410" s="7" t="inlineStr">
        <is>
          <t>(NTH) Bảo An</t>
        </is>
      </c>
      <c r="E410" s="7" t="inlineStr">
        <is>
          <t>TTS</t>
        </is>
      </c>
      <c r="F410" s="36" t="n">
        <v>74</v>
      </c>
      <c r="G410" s="36" t="n">
        <v>80</v>
      </c>
      <c r="H410" s="36" t="n">
        <v>64</v>
      </c>
      <c r="I410" s="36" t="n">
        <v>51</v>
      </c>
      <c r="J410" s="36" t="n">
        <v>139</v>
      </c>
      <c r="K410" s="28" t="n">
        <v>79</v>
      </c>
      <c r="L410" s="36" t="n">
        <v>86</v>
      </c>
      <c r="M410" s="36" t="n">
        <v>113</v>
      </c>
      <c r="N410" s="36" t="n">
        <v>74</v>
      </c>
      <c r="O410" s="36" t="n">
        <v>41</v>
      </c>
      <c r="P410" s="36" t="n">
        <v>63</v>
      </c>
      <c r="Q410" s="36" t="n">
        <v>115</v>
      </c>
      <c r="R410" s="28" t="n">
        <v>45</v>
      </c>
      <c r="S410" s="36" t="n">
        <v>86</v>
      </c>
      <c r="T410" s="36" t="n">
        <v>111</v>
      </c>
      <c r="U410" s="36" t="n">
        <v>40.44</v>
      </c>
      <c r="V410" s="36" t="n">
        <v>39.6</v>
      </c>
      <c r="W410" s="36" t="n">
        <v>38.35</v>
      </c>
      <c r="X410" s="36" t="n">
        <v>30.81</v>
      </c>
      <c r="Y410" s="28" t="n">
        <v>44.84</v>
      </c>
      <c r="Z410" s="36" t="n">
        <v>38.14</v>
      </c>
      <c r="AA410" s="36" t="n">
        <v>41.28</v>
      </c>
      <c r="AB410" s="36" t="n">
        <v>44</v>
      </c>
      <c r="AC410" s="36" t="n">
        <v>45.88</v>
      </c>
      <c r="AD410" s="36" t="n">
        <v>40.8</v>
      </c>
      <c r="AE410" s="36" t="n">
        <v>33.74</v>
      </c>
      <c r="AF410" s="28" t="n">
        <v>45.88</v>
      </c>
      <c r="AG410" s="36" t="n">
        <v>38.77</v>
      </c>
      <c r="AH410" s="37" t="n">
        <v>38.56</v>
      </c>
      <c r="AI410" s="37" t="n">
        <v>42.95</v>
      </c>
      <c r="AJ410" s="37" t="n">
        <v>44</v>
      </c>
      <c r="AK410" s="37" t="n">
        <v>43.16</v>
      </c>
      <c r="AL410" s="37" t="n">
        <v>32.69</v>
      </c>
      <c r="AM410" s="37" t="n">
        <v>44.84</v>
      </c>
      <c r="AN410" s="37" t="n">
        <v>38.98</v>
      </c>
      <c r="AO410" s="37" t="n">
        <v>38.98</v>
      </c>
      <c r="AP410" s="37" t="n">
        <v>38.14</v>
      </c>
      <c r="AQ410" s="37" t="n">
        <v>38.98</v>
      </c>
      <c r="AR410" s="37" t="n">
        <v>38.35</v>
      </c>
      <c r="AS410" s="37" t="n">
        <v>30.81</v>
      </c>
      <c r="AT410" s="37" t="n">
        <v>48.40000000000001</v>
      </c>
      <c r="AU410" s="37" t="n">
        <v>42.12</v>
      </c>
      <c r="AV410" s="37" t="n">
        <v>39.18</v>
      </c>
      <c r="AW410" s="37" t="n">
        <v>36.67</v>
      </c>
      <c r="AX410" s="37" t="n">
        <v>36.67</v>
      </c>
      <c r="AY410" s="37" t="n">
        <v>37.72000000000001</v>
      </c>
      <c r="AZ410" s="37" t="n">
        <v>30.81</v>
      </c>
      <c r="BA410" s="37" t="n">
        <v>44.63</v>
      </c>
      <c r="BB410" s="37" t="n">
        <v>40.86</v>
      </c>
      <c r="BC410" s="37" t="n">
        <v>20.31</v>
      </c>
      <c r="BD410" s="37" t="n">
        <v>29.73</v>
      </c>
      <c r="BE410" s="37" t="n">
        <v>67.24000000000001</v>
      </c>
      <c r="BF410" s="37" t="n">
        <v>65.15000000000001</v>
      </c>
      <c r="BG410" s="37" t="n">
        <v>32.69</v>
      </c>
      <c r="BH410" s="37" t="n">
        <v>48.40000000000001</v>
      </c>
      <c r="BI410" s="37" t="n">
        <v>40.86</v>
      </c>
      <c r="BJ410" s="37" t="n">
        <v>31.76</v>
      </c>
      <c r="BK410" s="37" t="n">
        <v>42.12</v>
      </c>
      <c r="BL410" s="37" t="n">
        <v>42.12</v>
      </c>
      <c r="BM410" s="37" t="n">
        <v>40.65000000000001</v>
      </c>
      <c r="BN410" s="37" t="n">
        <v>32.69</v>
      </c>
      <c r="BO410" s="37" t="n">
        <v>48.40000000000001</v>
      </c>
      <c r="BP410" s="37" t="n">
        <v>40.86</v>
      </c>
      <c r="BQ410" s="37" t="n">
        <v>40.65000000000001</v>
      </c>
      <c r="BR410" s="37" t="n">
        <v>42.12</v>
      </c>
      <c r="BS410" s="37" t="n">
        <v>42.12</v>
      </c>
      <c r="BT410" s="37" t="n">
        <v>40.65000000000001</v>
      </c>
      <c r="BU410" s="37" t="n">
        <v>32.69</v>
      </c>
      <c r="BV410" s="37" t="n">
        <v>48.40000000000001</v>
      </c>
      <c r="BW410" s="37" t="n">
        <v>40.86</v>
      </c>
      <c r="BX410" s="37" t="n">
        <v>40.65000000000001</v>
      </c>
      <c r="BY410" s="37" t="n">
        <v>42.12</v>
      </c>
      <c r="BZ410" s="37" t="n">
        <v>42.12</v>
      </c>
      <c r="CA410" s="37" t="n">
        <v>40.65000000000001</v>
      </c>
      <c r="CB410" s="37" t="n">
        <v>32.69</v>
      </c>
      <c r="CC410" s="37" t="n">
        <v>3639.73</v>
      </c>
    </row>
    <row r="411" ht="15.75" customHeight="1" s="57">
      <c r="A411" s="7" t="inlineStr">
        <is>
          <t>NTB</t>
        </is>
      </c>
      <c r="B411" s="7" t="inlineStr">
        <is>
          <t>Ninh Thuận</t>
        </is>
      </c>
      <c r="C411" s="7" t="n">
        <v>20150000</v>
      </c>
      <c r="D411" s="7" t="inlineStr">
        <is>
          <t>(NTH) Bảo An</t>
        </is>
      </c>
      <c r="E411" s="7" t="inlineStr">
        <is>
          <t>TTS-Bulky</t>
        </is>
      </c>
      <c r="F411" s="36" t="n">
        <v>1</v>
      </c>
      <c r="G411" s="36" t="n">
        <v>0</v>
      </c>
      <c r="H411" s="36" t="n">
        <v>0</v>
      </c>
      <c r="I411" s="36" t="n">
        <v>0</v>
      </c>
      <c r="J411" s="36" t="n">
        <v>0</v>
      </c>
      <c r="K411" s="28" t="n">
        <v>0</v>
      </c>
      <c r="L411" s="36" t="n">
        <v>0</v>
      </c>
      <c r="M411" s="36" t="n">
        <v>1</v>
      </c>
      <c r="N411" s="36" t="n">
        <v>0</v>
      </c>
      <c r="O411" s="36" t="n">
        <v>0</v>
      </c>
      <c r="P411" s="36" t="n">
        <v>0</v>
      </c>
      <c r="Q411" s="36" t="n">
        <v>2</v>
      </c>
      <c r="R411" s="28" t="n">
        <v>0</v>
      </c>
      <c r="S411" s="36" t="n">
        <v>1</v>
      </c>
      <c r="T411" s="36" t="n">
        <v>0</v>
      </c>
      <c r="U411" s="36" t="n">
        <v>0</v>
      </c>
      <c r="V411" s="36" t="n">
        <v>0</v>
      </c>
      <c r="W411" s="36" t="n">
        <v>0</v>
      </c>
      <c r="X411" s="36" t="n">
        <v>0</v>
      </c>
      <c r="Y411" s="28" t="n">
        <v>0</v>
      </c>
      <c r="Z411" s="36" t="n">
        <v>0</v>
      </c>
      <c r="AA411" s="36" t="n">
        <v>0</v>
      </c>
      <c r="AB411" s="36" t="n">
        <v>0</v>
      </c>
      <c r="AC411" s="36" t="n">
        <v>0</v>
      </c>
      <c r="AD411" s="36" t="n">
        <v>1.82</v>
      </c>
      <c r="AE411" s="36" t="n">
        <v>0</v>
      </c>
      <c r="AF411" s="28" t="n">
        <v>0</v>
      </c>
      <c r="AG411" s="36" t="n">
        <v>0</v>
      </c>
      <c r="AH411" s="37" t="n">
        <v>0</v>
      </c>
      <c r="AI411" s="37" t="n">
        <v>0</v>
      </c>
      <c r="AJ411" s="37" t="n">
        <v>0</v>
      </c>
      <c r="AK411" s="37" t="n">
        <v>0</v>
      </c>
      <c r="AL411" s="37" t="n">
        <v>0</v>
      </c>
      <c r="AM411" s="37" t="n">
        <v>0</v>
      </c>
      <c r="AN411" s="37" t="n">
        <v>0</v>
      </c>
      <c r="AO411" s="37" t="n">
        <v>0</v>
      </c>
      <c r="AP411" s="37" t="n">
        <v>0</v>
      </c>
      <c r="AQ411" s="37" t="n">
        <v>0</v>
      </c>
      <c r="AR411" s="37" t="n">
        <v>0</v>
      </c>
      <c r="AS411" s="37" t="n">
        <v>0</v>
      </c>
      <c r="AT411" s="37" t="n">
        <v>0</v>
      </c>
      <c r="AU411" s="37" t="n">
        <v>0</v>
      </c>
      <c r="AV411" s="37" t="n">
        <v>0</v>
      </c>
      <c r="AW411" s="37" t="n">
        <v>0</v>
      </c>
      <c r="AX411" s="37" t="n">
        <v>0</v>
      </c>
      <c r="AY411" s="37" t="n">
        <v>0</v>
      </c>
      <c r="AZ411" s="37" t="n">
        <v>0</v>
      </c>
      <c r="BA411" s="37" t="n">
        <v>0</v>
      </c>
      <c r="BB411" s="37" t="n">
        <v>0</v>
      </c>
      <c r="BC411" s="37" t="n">
        <v>0</v>
      </c>
      <c r="BD411" s="37" t="n">
        <v>0</v>
      </c>
      <c r="BE411" s="37" t="n">
        <v>0</v>
      </c>
      <c r="BF411" s="37" t="n">
        <v>0</v>
      </c>
      <c r="BG411" s="37" t="n">
        <v>0</v>
      </c>
      <c r="BH411" s="37" t="n">
        <v>0</v>
      </c>
      <c r="BI411" s="37" t="n">
        <v>0</v>
      </c>
      <c r="BJ411" s="37" t="n">
        <v>0.45</v>
      </c>
      <c r="BK411" s="37" t="n">
        <v>0</v>
      </c>
      <c r="BL411" s="37" t="n">
        <v>0</v>
      </c>
      <c r="BM411" s="37" t="n">
        <v>0</v>
      </c>
      <c r="BN411" s="37" t="n">
        <v>0</v>
      </c>
      <c r="BO411" s="37" t="n">
        <v>0</v>
      </c>
      <c r="BP411" s="37" t="n">
        <v>0</v>
      </c>
      <c r="BQ411" s="37" t="n">
        <v>0</v>
      </c>
      <c r="BR411" s="37" t="n">
        <v>0</v>
      </c>
      <c r="BS411" s="37" t="n">
        <v>0</v>
      </c>
      <c r="BT411" s="37" t="n">
        <v>0</v>
      </c>
      <c r="BU411" s="37" t="n">
        <v>0</v>
      </c>
      <c r="BV411" s="37" t="n">
        <v>0</v>
      </c>
      <c r="BW411" s="37" t="n">
        <v>0</v>
      </c>
      <c r="BX411" s="37" t="n">
        <v>0</v>
      </c>
      <c r="BY411" s="37" t="n">
        <v>0</v>
      </c>
      <c r="BZ411" s="37" t="n">
        <v>0</v>
      </c>
      <c r="CA411" s="37" t="n">
        <v>0</v>
      </c>
      <c r="CB411" s="37" t="n">
        <v>0</v>
      </c>
      <c r="CC411" s="37" t="n">
        <v>7.27</v>
      </c>
    </row>
    <row r="412" ht="15.75" customHeight="1" s="57">
      <c r="A412" s="7" t="inlineStr">
        <is>
          <t>NTB</t>
        </is>
      </c>
      <c r="B412" s="7" t="inlineStr">
        <is>
          <t>Ninh Thuận</t>
        </is>
      </c>
      <c r="C412" s="7" t="n">
        <v>20316000</v>
      </c>
      <c r="D412" s="7" t="inlineStr">
        <is>
          <t>(NTH) Ninh Sơn</t>
        </is>
      </c>
      <c r="E412" s="7" t="inlineStr">
        <is>
          <t>SME</t>
        </is>
      </c>
      <c r="F412" s="36" t="n">
        <v>45</v>
      </c>
      <c r="G412" s="36" t="n">
        <v>49</v>
      </c>
      <c r="H412" s="36" t="n">
        <v>17</v>
      </c>
      <c r="I412" s="36" t="n">
        <v>44</v>
      </c>
      <c r="J412" s="36" t="n">
        <v>23</v>
      </c>
      <c r="K412" s="28" t="n">
        <v>46</v>
      </c>
      <c r="L412" s="36" t="n">
        <v>28</v>
      </c>
      <c r="M412" s="36" t="n">
        <v>40</v>
      </c>
      <c r="N412" s="36" t="n">
        <v>48</v>
      </c>
      <c r="O412" s="36" t="n">
        <v>35</v>
      </c>
      <c r="P412" s="36" t="n">
        <v>33</v>
      </c>
      <c r="Q412" s="36" t="n">
        <v>26</v>
      </c>
      <c r="R412" s="28" t="n">
        <v>40</v>
      </c>
      <c r="S412" s="36" t="n">
        <v>49</v>
      </c>
      <c r="T412" s="36" t="n">
        <v>40</v>
      </c>
      <c r="U412" s="36" t="n">
        <v>47.52</v>
      </c>
      <c r="V412" s="36" t="n">
        <v>49.2</v>
      </c>
      <c r="W412" s="36" t="n">
        <v>47.91</v>
      </c>
      <c r="X412" s="36" t="n">
        <v>39.32</v>
      </c>
      <c r="Y412" s="28" t="n">
        <v>53.20999999999999</v>
      </c>
      <c r="Z412" s="36" t="n">
        <v>48.58000000000001</v>
      </c>
      <c r="AA412" s="36" t="n">
        <v>47.64</v>
      </c>
      <c r="AB412" s="36" t="n">
        <v>47.52</v>
      </c>
      <c r="AC412" s="36" t="n">
        <v>49.2</v>
      </c>
      <c r="AD412" s="36" t="n">
        <v>58.85</v>
      </c>
      <c r="AE412" s="36" t="n">
        <v>39.32</v>
      </c>
      <c r="AF412" s="28" t="n">
        <v>53.20999999999999</v>
      </c>
      <c r="AG412" s="36" t="n">
        <v>48.58000000000001</v>
      </c>
      <c r="AH412" s="37" t="n">
        <v>47.64</v>
      </c>
      <c r="AI412" s="37" t="n">
        <v>47.52</v>
      </c>
      <c r="AJ412" s="37" t="n">
        <v>49.2</v>
      </c>
      <c r="AK412" s="37" t="n">
        <v>47.91</v>
      </c>
      <c r="AL412" s="37" t="n">
        <v>39.32</v>
      </c>
      <c r="AM412" s="37" t="n">
        <v>53.20999999999999</v>
      </c>
      <c r="AN412" s="37" t="n">
        <v>48.58000000000001</v>
      </c>
      <c r="AO412" s="37" t="n">
        <v>47.64</v>
      </c>
      <c r="AP412" s="37" t="n">
        <v>47.52</v>
      </c>
      <c r="AQ412" s="37" t="n">
        <v>49.2</v>
      </c>
      <c r="AR412" s="37" t="n">
        <v>47.91</v>
      </c>
      <c r="AS412" s="37" t="n">
        <v>39.32</v>
      </c>
      <c r="AT412" s="37" t="n">
        <v>53.20999999999999</v>
      </c>
      <c r="AU412" s="37" t="n">
        <v>48.58000000000001</v>
      </c>
      <c r="AV412" s="37" t="n">
        <v>47.64</v>
      </c>
      <c r="AW412" s="37" t="n">
        <v>47.52</v>
      </c>
      <c r="AX412" s="37" t="n">
        <v>49.2</v>
      </c>
      <c r="AY412" s="37" t="n">
        <v>47.91</v>
      </c>
      <c r="AZ412" s="37" t="n">
        <v>39.32</v>
      </c>
      <c r="BA412" s="37" t="n">
        <v>50.37</v>
      </c>
      <c r="BB412" s="37" t="n">
        <v>44.62</v>
      </c>
      <c r="BC412" s="37" t="n">
        <v>27.02</v>
      </c>
      <c r="BD412" s="37" t="n">
        <v>21.11</v>
      </c>
      <c r="BE412" s="37" t="n">
        <v>45.85</v>
      </c>
      <c r="BF412" s="37" t="n">
        <v>44.73</v>
      </c>
      <c r="BG412" s="37" t="n">
        <v>40.33000000000001</v>
      </c>
      <c r="BH412" s="37" t="n">
        <v>54.83</v>
      </c>
      <c r="BI412" s="37" t="n">
        <v>49.87</v>
      </c>
      <c r="BJ412" s="37" t="n">
        <v>60.36</v>
      </c>
      <c r="BK412" s="37" t="n">
        <v>48.81</v>
      </c>
      <c r="BL412" s="37" t="n">
        <v>50.54</v>
      </c>
      <c r="BM412" s="37" t="n">
        <v>49.2</v>
      </c>
      <c r="BN412" s="37" t="n">
        <v>40.33000000000001</v>
      </c>
      <c r="BO412" s="37" t="n">
        <v>54.83</v>
      </c>
      <c r="BP412" s="37" t="n">
        <v>49.87</v>
      </c>
      <c r="BQ412" s="37" t="n">
        <v>48.87</v>
      </c>
      <c r="BR412" s="37" t="n">
        <v>48.81</v>
      </c>
      <c r="BS412" s="37" t="n">
        <v>50.54</v>
      </c>
      <c r="BT412" s="37" t="n">
        <v>49.2</v>
      </c>
      <c r="BU412" s="37" t="n">
        <v>40.33000000000001</v>
      </c>
      <c r="BV412" s="37" t="n">
        <v>54.83</v>
      </c>
      <c r="BW412" s="37" t="n">
        <v>49.87</v>
      </c>
      <c r="BX412" s="37" t="n">
        <v>48.87</v>
      </c>
      <c r="BY412" s="37" t="n">
        <v>48.81</v>
      </c>
      <c r="BZ412" s="37" t="n">
        <v>50.54</v>
      </c>
      <c r="CA412" s="37" t="n">
        <v>49.2</v>
      </c>
      <c r="CB412" s="37" t="n">
        <v>40.33000000000001</v>
      </c>
      <c r="CC412" s="37" t="n">
        <v>3404.279999999998</v>
      </c>
    </row>
    <row r="413" ht="15.75" customHeight="1" s="57">
      <c r="A413" s="7" t="inlineStr">
        <is>
          <t>NTB</t>
        </is>
      </c>
      <c r="B413" s="7" t="inlineStr">
        <is>
          <t>Ninh Thuận</t>
        </is>
      </c>
      <c r="C413" s="7" t="n">
        <v>20316000</v>
      </c>
      <c r="D413" s="7" t="inlineStr">
        <is>
          <t>(NTH) Ninh Sơn</t>
        </is>
      </c>
      <c r="E413" s="7" t="inlineStr">
        <is>
          <t>SME-Bulky</t>
        </is>
      </c>
      <c r="F413" s="36" t="n">
        <v>4</v>
      </c>
      <c r="G413" s="36" t="n">
        <v>0</v>
      </c>
      <c r="H413" s="36" t="n">
        <v>2</v>
      </c>
      <c r="I413" s="36" t="n">
        <v>8</v>
      </c>
      <c r="J413" s="36" t="n">
        <v>2</v>
      </c>
      <c r="K413" s="28" t="n">
        <v>1</v>
      </c>
      <c r="L413" s="36" t="n">
        <v>2</v>
      </c>
      <c r="M413" s="36" t="n">
        <v>0</v>
      </c>
      <c r="N413" s="36" t="n">
        <v>3</v>
      </c>
      <c r="O413" s="36" t="n">
        <v>2</v>
      </c>
      <c r="P413" s="36" t="n">
        <v>0</v>
      </c>
      <c r="Q413" s="36" t="n">
        <v>2</v>
      </c>
      <c r="R413" s="28" t="n">
        <v>0</v>
      </c>
      <c r="S413" s="36" t="n">
        <v>2</v>
      </c>
      <c r="T413" s="36" t="n">
        <v>3</v>
      </c>
      <c r="U413" s="36" t="n">
        <v>1.15</v>
      </c>
      <c r="V413" s="36" t="n">
        <v>1.15</v>
      </c>
      <c r="W413" s="36" t="n">
        <v>1.15</v>
      </c>
      <c r="X413" s="36" t="n">
        <v>0.89</v>
      </c>
      <c r="Y413" s="28" t="n">
        <v>2.09</v>
      </c>
      <c r="Z413" s="36" t="n">
        <v>1.99</v>
      </c>
      <c r="AA413" s="36" t="n">
        <v>1.15</v>
      </c>
      <c r="AB413" s="36" t="n">
        <v>1.15</v>
      </c>
      <c r="AC413" s="36" t="n">
        <v>1.15</v>
      </c>
      <c r="AD413" s="36" t="n">
        <v>1.99</v>
      </c>
      <c r="AE413" s="36" t="n">
        <v>0.89</v>
      </c>
      <c r="AF413" s="28" t="n">
        <v>2.09</v>
      </c>
      <c r="AG413" s="36" t="n">
        <v>1.99</v>
      </c>
      <c r="AH413" s="37" t="n">
        <v>1.15</v>
      </c>
      <c r="AI413" s="37" t="n">
        <v>1.15</v>
      </c>
      <c r="AJ413" s="37" t="n">
        <v>1.15</v>
      </c>
      <c r="AK413" s="37" t="n">
        <v>1.15</v>
      </c>
      <c r="AL413" s="37" t="n">
        <v>0.89</v>
      </c>
      <c r="AM413" s="37" t="n">
        <v>2.09</v>
      </c>
      <c r="AN413" s="37" t="n">
        <v>1.99</v>
      </c>
      <c r="AO413" s="37" t="n">
        <v>1.15</v>
      </c>
      <c r="AP413" s="37" t="n">
        <v>1.15</v>
      </c>
      <c r="AQ413" s="37" t="n">
        <v>1.15</v>
      </c>
      <c r="AR413" s="37" t="n">
        <v>1.15</v>
      </c>
      <c r="AS413" s="37" t="n">
        <v>0.89</v>
      </c>
      <c r="AT413" s="37" t="n">
        <v>2.09</v>
      </c>
      <c r="AU413" s="37" t="n">
        <v>1.99</v>
      </c>
      <c r="AV413" s="37" t="n">
        <v>1.15</v>
      </c>
      <c r="AW413" s="37" t="n">
        <v>1.15</v>
      </c>
      <c r="AX413" s="37" t="n">
        <v>1.15</v>
      </c>
      <c r="AY413" s="37" t="n">
        <v>1.15</v>
      </c>
      <c r="AZ413" s="37" t="n">
        <v>0.89</v>
      </c>
      <c r="BA413" s="37" t="n">
        <v>2.09</v>
      </c>
      <c r="BB413" s="37" t="n">
        <v>1.05</v>
      </c>
      <c r="BC413" s="37" t="n">
        <v>0.31</v>
      </c>
      <c r="BD413" s="37" t="n">
        <v>0.16</v>
      </c>
      <c r="BE413" s="37" t="n">
        <v>0.63</v>
      </c>
      <c r="BF413" s="37" t="n">
        <v>0.63</v>
      </c>
      <c r="BG413" s="37" t="n">
        <v>0.47</v>
      </c>
      <c r="BH413" s="37" t="n">
        <v>1.1</v>
      </c>
      <c r="BI413" s="37" t="n">
        <v>1.05</v>
      </c>
      <c r="BJ413" s="37" t="n">
        <v>1.15</v>
      </c>
      <c r="BK413" s="37" t="n">
        <v>0.63</v>
      </c>
      <c r="BL413" s="37" t="n">
        <v>0.63</v>
      </c>
      <c r="BM413" s="37" t="n">
        <v>0.63</v>
      </c>
      <c r="BN413" s="37" t="n">
        <v>0.47</v>
      </c>
      <c r="BO413" s="37" t="n">
        <v>1.1</v>
      </c>
      <c r="BP413" s="37" t="n">
        <v>1.05</v>
      </c>
      <c r="BQ413" s="37" t="n">
        <v>0.63</v>
      </c>
      <c r="BR413" s="37" t="n">
        <v>0.63</v>
      </c>
      <c r="BS413" s="37" t="n">
        <v>0.63</v>
      </c>
      <c r="BT413" s="37" t="n">
        <v>0.63</v>
      </c>
      <c r="BU413" s="37" t="n">
        <v>0.47</v>
      </c>
      <c r="BV413" s="37" t="n">
        <v>1.1</v>
      </c>
      <c r="BW413" s="37" t="n">
        <v>1.05</v>
      </c>
      <c r="BX413" s="37" t="n">
        <v>0.63</v>
      </c>
      <c r="BY413" s="37" t="n">
        <v>0.63</v>
      </c>
      <c r="BZ413" s="37" t="n">
        <v>0.63</v>
      </c>
      <c r="CA413" s="37" t="n">
        <v>0.63</v>
      </c>
      <c r="CB413" s="37" t="n">
        <v>0.47</v>
      </c>
      <c r="CC413" s="37" t="n">
        <v>95.73999999999991</v>
      </c>
    </row>
    <row r="414" ht="15.75" customHeight="1" s="57">
      <c r="A414" s="7" t="inlineStr">
        <is>
          <t>NTB</t>
        </is>
      </c>
      <c r="B414" s="7" t="inlineStr">
        <is>
          <t>Ninh Thuận</t>
        </is>
      </c>
      <c r="C414" s="7" t="n">
        <v>20316000</v>
      </c>
      <c r="D414" s="7" t="inlineStr">
        <is>
          <t>(NTH) Ninh Sơn</t>
        </is>
      </c>
      <c r="E414" s="7" t="inlineStr">
        <is>
          <t>Shopee</t>
        </is>
      </c>
      <c r="F414" s="36" t="n">
        <v>30</v>
      </c>
      <c r="G414" s="36" t="n">
        <v>28</v>
      </c>
      <c r="H414" s="36" t="n">
        <v>32</v>
      </c>
      <c r="I414" s="36" t="n">
        <v>9</v>
      </c>
      <c r="J414" s="36" t="n">
        <v>3</v>
      </c>
      <c r="K414" s="28" t="n">
        <v>39</v>
      </c>
      <c r="L414" s="36" t="n">
        <v>16</v>
      </c>
      <c r="M414" s="36" t="n">
        <v>9</v>
      </c>
      <c r="N414" s="36" t="n">
        <v>19</v>
      </c>
      <c r="O414" s="36" t="n">
        <v>9</v>
      </c>
      <c r="P414" s="36" t="n">
        <v>9</v>
      </c>
      <c r="Q414" s="36" t="n">
        <v>6</v>
      </c>
      <c r="R414" s="28" t="n">
        <v>12</v>
      </c>
      <c r="S414" s="36" t="n">
        <v>14</v>
      </c>
      <c r="T414" s="36" t="n">
        <v>15</v>
      </c>
      <c r="U414" s="36" t="n">
        <v>16.54</v>
      </c>
      <c r="V414" s="36" t="n">
        <v>16.54</v>
      </c>
      <c r="W414" s="36" t="n">
        <v>15.92</v>
      </c>
      <c r="X414" s="36" t="n">
        <v>14.13</v>
      </c>
      <c r="Y414" s="28" t="n">
        <v>22.06</v>
      </c>
      <c r="Z414" s="36" t="n">
        <v>17.99</v>
      </c>
      <c r="AA414" s="36" t="n">
        <v>21.51</v>
      </c>
      <c r="AB414" s="36" t="n">
        <v>16.96</v>
      </c>
      <c r="AC414" s="36" t="n">
        <v>14.06</v>
      </c>
      <c r="AD414" s="36" t="n">
        <v>21.71</v>
      </c>
      <c r="AE414" s="36" t="n">
        <v>14.89</v>
      </c>
      <c r="AF414" s="28" t="n">
        <v>24.68</v>
      </c>
      <c r="AG414" s="36" t="n">
        <v>18.61</v>
      </c>
      <c r="AH414" s="37" t="n">
        <v>19.85</v>
      </c>
      <c r="AI414" s="37" t="n">
        <v>16.54</v>
      </c>
      <c r="AJ414" s="37" t="n">
        <v>16.54</v>
      </c>
      <c r="AK414" s="37" t="n">
        <v>17.79</v>
      </c>
      <c r="AL414" s="37" t="n">
        <v>24.89</v>
      </c>
      <c r="AM414" s="37" t="n">
        <v>22.06</v>
      </c>
      <c r="AN414" s="37" t="n">
        <v>17.99</v>
      </c>
      <c r="AO414" s="37" t="n">
        <v>19.85</v>
      </c>
      <c r="AP414" s="37" t="n">
        <v>18.54</v>
      </c>
      <c r="AQ414" s="37" t="n">
        <v>13.72</v>
      </c>
      <c r="AR414" s="37" t="n">
        <v>15.92</v>
      </c>
      <c r="AS414" s="37" t="n">
        <v>14.13</v>
      </c>
      <c r="AT414" s="37" t="n">
        <v>22.06</v>
      </c>
      <c r="AU414" s="37" t="n">
        <v>19.65</v>
      </c>
      <c r="AV414" s="37" t="n">
        <v>20.2</v>
      </c>
      <c r="AW414" s="37" t="n">
        <v>16.54</v>
      </c>
      <c r="AX414" s="37" t="n">
        <v>16.54</v>
      </c>
      <c r="AY414" s="37" t="n">
        <v>15.92</v>
      </c>
      <c r="AZ414" s="37" t="n">
        <v>14.13</v>
      </c>
      <c r="BA414" s="37" t="n">
        <v>19.44</v>
      </c>
      <c r="BB414" s="37" t="n">
        <v>13.99</v>
      </c>
      <c r="BC414" s="37" t="n">
        <v>6.14</v>
      </c>
      <c r="BD414" s="37" t="n">
        <v>10.06</v>
      </c>
      <c r="BE414" s="37" t="n">
        <v>20.61</v>
      </c>
      <c r="BF414" s="37" t="n">
        <v>19.85</v>
      </c>
      <c r="BG414" s="37" t="n">
        <v>14.13</v>
      </c>
      <c r="BH414" s="37" t="n">
        <v>21.65</v>
      </c>
      <c r="BI414" s="37" t="n">
        <v>14.48</v>
      </c>
      <c r="BJ414" s="37" t="n">
        <v>31.16</v>
      </c>
      <c r="BK414" s="37" t="n">
        <v>17.72</v>
      </c>
      <c r="BL414" s="37" t="n">
        <v>17.23</v>
      </c>
      <c r="BM414" s="37" t="n">
        <v>15.72</v>
      </c>
      <c r="BN414" s="37" t="n">
        <v>13.99</v>
      </c>
      <c r="BO414" s="37" t="n">
        <v>21.65</v>
      </c>
      <c r="BP414" s="37" t="n">
        <v>19.3</v>
      </c>
      <c r="BQ414" s="37" t="n">
        <v>29.3</v>
      </c>
      <c r="BR414" s="37" t="n">
        <v>16.34</v>
      </c>
      <c r="BS414" s="37" t="n">
        <v>16.34</v>
      </c>
      <c r="BT414" s="37" t="n">
        <v>15.72</v>
      </c>
      <c r="BU414" s="37" t="n">
        <v>15.03</v>
      </c>
      <c r="BV414" s="37" t="n">
        <v>17.92</v>
      </c>
      <c r="BW414" s="37" t="n">
        <v>17.65</v>
      </c>
      <c r="BX414" s="37" t="n">
        <v>19.51</v>
      </c>
      <c r="BY414" s="37" t="n">
        <v>16.34</v>
      </c>
      <c r="BZ414" s="37" t="n">
        <v>18.2</v>
      </c>
      <c r="CA414" s="37" t="n">
        <v>15.99</v>
      </c>
      <c r="CB414" s="37" t="n">
        <v>13.99</v>
      </c>
      <c r="CC414" s="37" t="n">
        <v>1317.91</v>
      </c>
    </row>
    <row r="415" ht="15.75" customHeight="1" s="57">
      <c r="A415" s="7" t="inlineStr">
        <is>
          <t>NTB</t>
        </is>
      </c>
      <c r="B415" s="7" t="inlineStr">
        <is>
          <t>Ninh Thuận</t>
        </is>
      </c>
      <c r="C415" s="7" t="n">
        <v>20316000</v>
      </c>
      <c r="D415" s="7" t="inlineStr">
        <is>
          <t>(NTH) Ninh Sơn</t>
        </is>
      </c>
      <c r="E415" s="7" t="inlineStr">
        <is>
          <t>Shopee-Bulky</t>
        </is>
      </c>
      <c r="F415" s="36" t="n">
        <v>1.76</v>
      </c>
      <c r="G415" s="36" t="n">
        <v>1.76</v>
      </c>
      <c r="H415" s="36" t="n">
        <v>0.29</v>
      </c>
      <c r="I415" s="36" t="n">
        <v>0.29</v>
      </c>
      <c r="J415" s="36" t="n">
        <v>0.59</v>
      </c>
      <c r="K415" s="28" t="n">
        <v>1.46</v>
      </c>
      <c r="L415" s="36" t="n">
        <v>2.05</v>
      </c>
      <c r="M415" s="36" t="n">
        <v>0.29</v>
      </c>
      <c r="N415" s="36" t="n">
        <v>0.59</v>
      </c>
      <c r="O415" s="36" t="n">
        <v>1.76</v>
      </c>
      <c r="P415" s="36" t="n">
        <v>2.34</v>
      </c>
      <c r="Q415" s="36" t="n">
        <v>0.29</v>
      </c>
      <c r="R415" s="28" t="n">
        <v>2.34</v>
      </c>
      <c r="S415" s="36" t="n">
        <v>0.59</v>
      </c>
      <c r="T415" s="36" t="n">
        <v>1.46</v>
      </c>
      <c r="U415" s="36" t="n">
        <v>0.98</v>
      </c>
      <c r="V415" s="36" t="n">
        <v>0.98</v>
      </c>
      <c r="W415" s="36" t="n">
        <v>1.47</v>
      </c>
      <c r="X415" s="36" t="n">
        <v>0.73</v>
      </c>
      <c r="Y415" s="28" t="n">
        <v>1.71</v>
      </c>
      <c r="Z415" s="36" t="n">
        <v>1.22</v>
      </c>
      <c r="AA415" s="36" t="n">
        <v>1.59</v>
      </c>
      <c r="AB415" s="36" t="n">
        <v>1.22</v>
      </c>
      <c r="AC415" s="36" t="n">
        <v>1.47</v>
      </c>
      <c r="AD415" s="36" t="n">
        <v>5.74</v>
      </c>
      <c r="AE415" s="36" t="n">
        <v>3.05</v>
      </c>
      <c r="AF415" s="28" t="n">
        <v>2.81</v>
      </c>
      <c r="AG415" s="36" t="n">
        <v>1.71</v>
      </c>
      <c r="AH415" s="37" t="n">
        <v>1.22</v>
      </c>
      <c r="AI415" s="37" t="n">
        <v>1.22</v>
      </c>
      <c r="AJ415" s="37" t="n">
        <v>1.47</v>
      </c>
      <c r="AK415" s="37" t="n">
        <v>1.83</v>
      </c>
      <c r="AL415" s="37" t="n">
        <v>1.47</v>
      </c>
      <c r="AM415" s="37" t="n">
        <v>1.83</v>
      </c>
      <c r="AN415" s="37" t="n">
        <v>1.22</v>
      </c>
      <c r="AO415" s="37" t="n">
        <v>1.34</v>
      </c>
      <c r="AP415" s="37" t="n">
        <v>1.71</v>
      </c>
      <c r="AQ415" s="37" t="n">
        <v>1.47</v>
      </c>
      <c r="AR415" s="37" t="n">
        <v>1.47</v>
      </c>
      <c r="AS415" s="37" t="n">
        <v>0.49</v>
      </c>
      <c r="AT415" s="37" t="n">
        <v>1.22</v>
      </c>
      <c r="AU415" s="37" t="n">
        <v>2.2</v>
      </c>
      <c r="AV415" s="37" t="n">
        <v>2.32</v>
      </c>
      <c r="AW415" s="37" t="n">
        <v>0.98</v>
      </c>
      <c r="AX415" s="37" t="n">
        <v>0.98</v>
      </c>
      <c r="AY415" s="37" t="n">
        <v>1.47</v>
      </c>
      <c r="AZ415" s="37" t="n">
        <v>0.49</v>
      </c>
      <c r="BA415" s="37" t="n">
        <v>1.34</v>
      </c>
      <c r="BB415" s="37" t="n">
        <v>1.47</v>
      </c>
      <c r="BC415" s="37" t="n">
        <v>0</v>
      </c>
      <c r="BD415" s="37" t="n">
        <v>0.36</v>
      </c>
      <c r="BE415" s="37" t="n">
        <v>1.71</v>
      </c>
      <c r="BF415" s="37" t="n">
        <v>1.47</v>
      </c>
      <c r="BG415" s="37" t="n">
        <v>0.73</v>
      </c>
      <c r="BH415" s="37" t="n">
        <v>1.71</v>
      </c>
      <c r="BI415" s="37" t="n">
        <v>1.71</v>
      </c>
      <c r="BJ415" s="37" t="n">
        <v>11.72</v>
      </c>
      <c r="BK415" s="37" t="n">
        <v>2.69</v>
      </c>
      <c r="BL415" s="37" t="n">
        <v>1.71</v>
      </c>
      <c r="BM415" s="37" t="n">
        <v>1.47</v>
      </c>
      <c r="BN415" s="37" t="n">
        <v>0.73</v>
      </c>
      <c r="BO415" s="37" t="n">
        <v>1.71</v>
      </c>
      <c r="BP415" s="37" t="n">
        <v>2.69</v>
      </c>
      <c r="BQ415" s="37" t="n">
        <v>1.71</v>
      </c>
      <c r="BR415" s="37" t="n">
        <v>1.47</v>
      </c>
      <c r="BS415" s="37" t="n">
        <v>1.47</v>
      </c>
      <c r="BT415" s="37" t="n">
        <v>0.98</v>
      </c>
      <c r="BU415" s="37" t="n">
        <v>1.71</v>
      </c>
      <c r="BV415" s="37" t="n">
        <v>1.71</v>
      </c>
      <c r="BW415" s="37" t="n">
        <v>1.71</v>
      </c>
      <c r="BX415" s="37" t="n">
        <v>1.71</v>
      </c>
      <c r="BY415" s="37" t="n">
        <v>1.47</v>
      </c>
      <c r="BZ415" s="37" t="n">
        <v>2.08</v>
      </c>
      <c r="CA415" s="37" t="n">
        <v>1.47</v>
      </c>
      <c r="CB415" s="37" t="n">
        <v>0.49</v>
      </c>
      <c r="CC415" s="37" t="n">
        <v>120.1399999999999</v>
      </c>
    </row>
    <row r="416" ht="15.75" customHeight="1" s="57">
      <c r="A416" s="7" t="inlineStr">
        <is>
          <t>NTB</t>
        </is>
      </c>
      <c r="B416" s="7" t="inlineStr">
        <is>
          <t>Ninh Thuận</t>
        </is>
      </c>
      <c r="C416" s="7" t="n">
        <v>20316000</v>
      </c>
      <c r="D416" s="7" t="inlineStr">
        <is>
          <t>(NTH) Ninh Sơn</t>
        </is>
      </c>
      <c r="E416" s="7" t="inlineStr">
        <is>
          <t>Shopee-Bulky (10-15kg)</t>
        </is>
      </c>
      <c r="F416" s="36" t="n">
        <v>4.24</v>
      </c>
      <c r="G416" s="36" t="n">
        <v>4.24</v>
      </c>
      <c r="H416" s="36" t="n">
        <v>0.71</v>
      </c>
      <c r="I416" s="36" t="n">
        <v>0.71</v>
      </c>
      <c r="J416" s="36" t="n">
        <v>1.41</v>
      </c>
      <c r="K416" s="28" t="n">
        <v>3.54</v>
      </c>
      <c r="L416" s="36" t="n">
        <v>4.95</v>
      </c>
      <c r="M416" s="36" t="n">
        <v>0.71</v>
      </c>
      <c r="N416" s="36" t="n">
        <v>1.41</v>
      </c>
      <c r="O416" s="36" t="n">
        <v>4.24</v>
      </c>
      <c r="P416" s="36" t="n">
        <v>5.66</v>
      </c>
      <c r="Q416" s="36" t="n">
        <v>0.71</v>
      </c>
      <c r="R416" s="28" t="n">
        <v>5.66</v>
      </c>
      <c r="S416" s="36" t="n">
        <v>1.41</v>
      </c>
      <c r="T416" s="36" t="n">
        <v>3.54</v>
      </c>
      <c r="U416" s="36" t="n">
        <v>2.2</v>
      </c>
      <c r="V416" s="36" t="n">
        <v>1.83</v>
      </c>
      <c r="W416" s="36" t="n">
        <v>1.95</v>
      </c>
      <c r="X416" s="36" t="n">
        <v>1.34</v>
      </c>
      <c r="Y416" s="28" t="n">
        <v>3.78</v>
      </c>
      <c r="Z416" s="36" t="n">
        <v>2.56</v>
      </c>
      <c r="AA416" s="36" t="n">
        <v>4.52</v>
      </c>
      <c r="AB416" s="36" t="n">
        <v>2.32</v>
      </c>
      <c r="AC416" s="36" t="n">
        <v>2.32</v>
      </c>
      <c r="AD416" s="36" t="n">
        <v>9.890000000000001</v>
      </c>
      <c r="AE416" s="36" t="n">
        <v>6.59</v>
      </c>
      <c r="AF416" s="28" t="n">
        <v>7.449999999999999</v>
      </c>
      <c r="AG416" s="36" t="n">
        <v>4.03</v>
      </c>
      <c r="AH416" s="37" t="n">
        <v>2.44</v>
      </c>
      <c r="AI416" s="37" t="n">
        <v>2.44</v>
      </c>
      <c r="AJ416" s="37" t="n">
        <v>1.83</v>
      </c>
      <c r="AK416" s="37" t="n">
        <v>5.13</v>
      </c>
      <c r="AL416" s="37" t="n">
        <v>2.44</v>
      </c>
      <c r="AM416" s="37" t="n">
        <v>4.27</v>
      </c>
      <c r="AN416" s="37" t="n">
        <v>2.56</v>
      </c>
      <c r="AO416" s="37" t="n">
        <v>2.32</v>
      </c>
      <c r="AP416" s="37" t="n">
        <v>4.76</v>
      </c>
      <c r="AQ416" s="37" t="n">
        <v>2.93</v>
      </c>
      <c r="AR416" s="37" t="n">
        <v>1.71</v>
      </c>
      <c r="AS416" s="37" t="n">
        <v>1.22</v>
      </c>
      <c r="AT416" s="37" t="n">
        <v>3.05</v>
      </c>
      <c r="AU416" s="37" t="n">
        <v>7.33</v>
      </c>
      <c r="AV416" s="37" t="n">
        <v>5.13</v>
      </c>
      <c r="AW416" s="37" t="n">
        <v>2.44</v>
      </c>
      <c r="AX416" s="37" t="n">
        <v>1.83</v>
      </c>
      <c r="AY416" s="37" t="n">
        <v>1.71</v>
      </c>
      <c r="AZ416" s="37" t="n">
        <v>1.22</v>
      </c>
      <c r="BA416" s="37" t="n">
        <v>2.56</v>
      </c>
      <c r="BB416" s="37" t="n">
        <v>1.71</v>
      </c>
      <c r="BC416" s="37" t="n">
        <v>0.25</v>
      </c>
      <c r="BD416" s="37" t="n">
        <v>0.49</v>
      </c>
      <c r="BE416" s="37" t="n">
        <v>3.42</v>
      </c>
      <c r="BF416" s="37" t="n">
        <v>2.44</v>
      </c>
      <c r="BG416" s="37" t="n">
        <v>1.71</v>
      </c>
      <c r="BH416" s="37" t="n">
        <v>4.03</v>
      </c>
      <c r="BI416" s="37" t="n">
        <v>3.17</v>
      </c>
      <c r="BJ416" s="37" t="n">
        <v>18.68</v>
      </c>
      <c r="BK416" s="37" t="n">
        <v>8.18</v>
      </c>
      <c r="BL416" s="37" t="n">
        <v>3.66</v>
      </c>
      <c r="BM416" s="37" t="n">
        <v>2.08</v>
      </c>
      <c r="BN416" s="37" t="n">
        <v>1.71</v>
      </c>
      <c r="BO416" s="37" t="n">
        <v>4.27</v>
      </c>
      <c r="BP416" s="37" t="n">
        <v>8.299999999999999</v>
      </c>
      <c r="BQ416" s="37" t="n">
        <v>5.5</v>
      </c>
      <c r="BR416" s="37" t="n">
        <v>3.05</v>
      </c>
      <c r="BS416" s="37" t="n">
        <v>2.44</v>
      </c>
      <c r="BT416" s="37" t="n">
        <v>1.71</v>
      </c>
      <c r="BU416" s="37" t="n">
        <v>3.42</v>
      </c>
      <c r="BV416" s="37" t="n">
        <v>4.03</v>
      </c>
      <c r="BW416" s="37" t="n">
        <v>3.17</v>
      </c>
      <c r="BX416" s="37" t="n">
        <v>3.05</v>
      </c>
      <c r="BY416" s="37" t="n">
        <v>3.05</v>
      </c>
      <c r="BZ416" s="37" t="n">
        <v>5.86</v>
      </c>
      <c r="CA416" s="37" t="n">
        <v>2.44</v>
      </c>
      <c r="CB416" s="37" t="n">
        <v>1.71</v>
      </c>
      <c r="CC416" s="37" t="n">
        <v>256.7700000000001</v>
      </c>
    </row>
    <row r="417" ht="15.75" customHeight="1" s="57">
      <c r="A417" s="7" t="inlineStr">
        <is>
          <t>NTB</t>
        </is>
      </c>
      <c r="B417" s="7" t="inlineStr">
        <is>
          <t>Ninh Thuận</t>
        </is>
      </c>
      <c r="C417" s="7" t="n">
        <v>20316000</v>
      </c>
      <c r="D417" s="7" t="inlineStr">
        <is>
          <t>(NTH) Ninh Sơn</t>
        </is>
      </c>
      <c r="E417" s="7" t="inlineStr">
        <is>
          <t>TTS</t>
        </is>
      </c>
      <c r="F417" s="36" t="n">
        <v>73</v>
      </c>
      <c r="G417" s="36" t="n">
        <v>150</v>
      </c>
      <c r="H417" s="36" t="n">
        <v>113</v>
      </c>
      <c r="I417" s="36" t="n">
        <v>141</v>
      </c>
      <c r="J417" s="36" t="n">
        <v>123</v>
      </c>
      <c r="K417" s="28" t="n">
        <v>217</v>
      </c>
      <c r="L417" s="36" t="n">
        <v>153</v>
      </c>
      <c r="M417" s="36" t="n">
        <v>148</v>
      </c>
      <c r="N417" s="36" t="n">
        <v>166</v>
      </c>
      <c r="O417" s="36" t="n">
        <v>214</v>
      </c>
      <c r="P417" s="36" t="n">
        <v>178</v>
      </c>
      <c r="Q417" s="36" t="n">
        <v>147</v>
      </c>
      <c r="R417" s="28" t="n">
        <v>262</v>
      </c>
      <c r="S417" s="36" t="n">
        <v>173</v>
      </c>
      <c r="T417" s="36" t="n">
        <v>73</v>
      </c>
      <c r="U417" s="36" t="n">
        <v>80.96000000000001</v>
      </c>
      <c r="V417" s="36" t="n">
        <v>79.27000000000001</v>
      </c>
      <c r="W417" s="36" t="n">
        <v>76.73</v>
      </c>
      <c r="X417" s="36" t="n">
        <v>61.48</v>
      </c>
      <c r="Y417" s="28" t="n">
        <v>89.85000000000001</v>
      </c>
      <c r="Z417" s="36" t="n">
        <v>76.3</v>
      </c>
      <c r="AA417" s="36" t="n">
        <v>82.65000000000001</v>
      </c>
      <c r="AB417" s="36" t="n">
        <v>88.16</v>
      </c>
      <c r="AC417" s="36" t="n">
        <v>91.97</v>
      </c>
      <c r="AD417" s="36" t="n">
        <v>78.36</v>
      </c>
      <c r="AE417" s="36" t="n">
        <v>67.41</v>
      </c>
      <c r="AF417" s="28" t="n">
        <v>91.97</v>
      </c>
      <c r="AG417" s="36" t="n">
        <v>77.57000000000001</v>
      </c>
      <c r="AH417" s="37" t="n">
        <v>77.15000000000001</v>
      </c>
      <c r="AI417" s="37" t="n">
        <v>86.04000000000001</v>
      </c>
      <c r="AJ417" s="37" t="n">
        <v>88.16</v>
      </c>
      <c r="AK417" s="37" t="n">
        <v>86.47</v>
      </c>
      <c r="AL417" s="37" t="n">
        <v>65.29000000000001</v>
      </c>
      <c r="AM417" s="37" t="n">
        <v>89.85000000000001</v>
      </c>
      <c r="AN417" s="37" t="n">
        <v>78</v>
      </c>
      <c r="AO417" s="37" t="n">
        <v>78</v>
      </c>
      <c r="AP417" s="37" t="n">
        <v>76.3</v>
      </c>
      <c r="AQ417" s="37" t="n">
        <v>78</v>
      </c>
      <c r="AR417" s="37" t="n">
        <v>76.73</v>
      </c>
      <c r="AS417" s="37" t="n">
        <v>61.48</v>
      </c>
      <c r="AT417" s="37" t="n">
        <v>97.05</v>
      </c>
      <c r="AU417" s="37" t="n">
        <v>84.35000000000001</v>
      </c>
      <c r="AV417" s="37" t="n">
        <v>78.42</v>
      </c>
      <c r="AW417" s="37" t="n">
        <v>73.34</v>
      </c>
      <c r="AX417" s="37" t="n">
        <v>73.34</v>
      </c>
      <c r="AY417" s="37" t="n">
        <v>75.46000000000001</v>
      </c>
      <c r="AZ417" s="37" t="n">
        <v>61.48</v>
      </c>
      <c r="BA417" s="37" t="n">
        <v>89.43000000000001</v>
      </c>
      <c r="BB417" s="37" t="n">
        <v>81.81</v>
      </c>
      <c r="BC417" s="37" t="n">
        <v>41.07</v>
      </c>
      <c r="BD417" s="37" t="n">
        <v>60.12</v>
      </c>
      <c r="BE417" s="37" t="n">
        <v>135.16</v>
      </c>
      <c r="BF417" s="37" t="n">
        <v>130.92</v>
      </c>
      <c r="BG417" s="37" t="n">
        <v>65.29000000000001</v>
      </c>
      <c r="BH417" s="37" t="n">
        <v>97.05</v>
      </c>
      <c r="BI417" s="37" t="n">
        <v>81.81</v>
      </c>
      <c r="BJ417" s="37" t="n">
        <v>60.91</v>
      </c>
      <c r="BK417" s="37" t="n">
        <v>84.35000000000001</v>
      </c>
      <c r="BL417" s="37" t="n">
        <v>84.35000000000001</v>
      </c>
      <c r="BM417" s="37" t="n">
        <v>81.38000000000001</v>
      </c>
      <c r="BN417" s="37" t="n">
        <v>65.29000000000001</v>
      </c>
      <c r="BO417" s="37" t="n">
        <v>97.05</v>
      </c>
      <c r="BP417" s="37" t="n">
        <v>81.81</v>
      </c>
      <c r="BQ417" s="37" t="n">
        <v>81.38000000000001</v>
      </c>
      <c r="BR417" s="37" t="n">
        <v>84.35000000000001</v>
      </c>
      <c r="BS417" s="37" t="n">
        <v>84.35000000000001</v>
      </c>
      <c r="BT417" s="37" t="n">
        <v>81.38000000000001</v>
      </c>
      <c r="BU417" s="37" t="n">
        <v>65.29000000000001</v>
      </c>
      <c r="BV417" s="37" t="n">
        <v>97.05</v>
      </c>
      <c r="BW417" s="37" t="n">
        <v>81.81</v>
      </c>
      <c r="BX417" s="37" t="n">
        <v>81.38000000000001</v>
      </c>
      <c r="BY417" s="37" t="n">
        <v>84.35000000000001</v>
      </c>
      <c r="BZ417" s="37" t="n">
        <v>84.35000000000001</v>
      </c>
      <c r="CA417" s="37" t="n">
        <v>81.38000000000001</v>
      </c>
      <c r="CB417" s="37" t="n">
        <v>65.29000000000001</v>
      </c>
      <c r="CC417" s="37" t="n">
        <v>7168.750000000004</v>
      </c>
    </row>
    <row r="418" ht="15.75" customHeight="1" s="57">
      <c r="A418" s="7" t="inlineStr">
        <is>
          <t>NTB</t>
        </is>
      </c>
      <c r="B418" s="7" t="inlineStr">
        <is>
          <t>Ninh Thuận</t>
        </is>
      </c>
      <c r="C418" s="7" t="n">
        <v>20316000</v>
      </c>
      <c r="D418" s="7" t="inlineStr">
        <is>
          <t>(NTH) Ninh Sơn</t>
        </is>
      </c>
      <c r="E418" s="7" t="inlineStr">
        <is>
          <t>TTS-Bulky</t>
        </is>
      </c>
      <c r="F418" s="36" t="n">
        <v>0</v>
      </c>
      <c r="G418" s="36" t="n">
        <v>0</v>
      </c>
      <c r="H418" s="36" t="n">
        <v>0</v>
      </c>
      <c r="I418" s="36" t="n">
        <v>0</v>
      </c>
      <c r="J418" s="36" t="n">
        <v>0</v>
      </c>
      <c r="K418" s="28" t="n">
        <v>0</v>
      </c>
      <c r="L418" s="36" t="n">
        <v>0</v>
      </c>
      <c r="M418" s="36" t="n">
        <v>0</v>
      </c>
      <c r="N418" s="36" t="n">
        <v>0</v>
      </c>
      <c r="O418" s="36" t="n">
        <v>0</v>
      </c>
      <c r="P418" s="36" t="n">
        <v>0</v>
      </c>
      <c r="Q418" s="36" t="n">
        <v>0</v>
      </c>
      <c r="R418" s="28" t="n">
        <v>0</v>
      </c>
      <c r="S418" s="36" t="n">
        <v>0</v>
      </c>
      <c r="T418" s="36" t="n">
        <v>0</v>
      </c>
      <c r="U418" s="36" t="n">
        <v>0</v>
      </c>
      <c r="V418" s="36" t="n">
        <v>0</v>
      </c>
      <c r="W418" s="36" t="n">
        <v>0</v>
      </c>
      <c r="X418" s="36" t="n">
        <v>0</v>
      </c>
      <c r="Y418" s="28" t="n">
        <v>0</v>
      </c>
      <c r="Z418" s="36" t="n">
        <v>0</v>
      </c>
      <c r="AA418" s="36" t="n">
        <v>0</v>
      </c>
      <c r="AB418" s="36" t="n">
        <v>0</v>
      </c>
      <c r="AC418" s="36" t="n">
        <v>0</v>
      </c>
      <c r="AD418" s="36" t="n">
        <v>0.36</v>
      </c>
      <c r="AE418" s="36" t="n">
        <v>0</v>
      </c>
      <c r="AF418" s="28" t="n">
        <v>0</v>
      </c>
      <c r="AG418" s="36" t="n">
        <v>0</v>
      </c>
      <c r="AH418" s="37" t="n">
        <v>0</v>
      </c>
      <c r="AI418" s="37" t="n">
        <v>0</v>
      </c>
      <c r="AJ418" s="37" t="n">
        <v>0</v>
      </c>
      <c r="AK418" s="37" t="n">
        <v>0</v>
      </c>
      <c r="AL418" s="37" t="n">
        <v>0</v>
      </c>
      <c r="AM418" s="37" t="n">
        <v>0</v>
      </c>
      <c r="AN418" s="37" t="n">
        <v>0</v>
      </c>
      <c r="AO418" s="37" t="n">
        <v>0</v>
      </c>
      <c r="AP418" s="37" t="n">
        <v>0</v>
      </c>
      <c r="AQ418" s="37" t="n">
        <v>0</v>
      </c>
      <c r="AR418" s="37" t="n">
        <v>0</v>
      </c>
      <c r="AS418" s="37" t="n">
        <v>0</v>
      </c>
      <c r="AT418" s="37" t="n">
        <v>0</v>
      </c>
      <c r="AU418" s="37" t="n">
        <v>0</v>
      </c>
      <c r="AV418" s="37" t="n">
        <v>0</v>
      </c>
      <c r="AW418" s="37" t="n">
        <v>0</v>
      </c>
      <c r="AX418" s="37" t="n">
        <v>0</v>
      </c>
      <c r="AY418" s="37" t="n">
        <v>0</v>
      </c>
      <c r="AZ418" s="37" t="n">
        <v>0</v>
      </c>
      <c r="BA418" s="37" t="n">
        <v>0</v>
      </c>
      <c r="BB418" s="37" t="n">
        <v>0</v>
      </c>
      <c r="BC418" s="37" t="n">
        <v>0</v>
      </c>
      <c r="BD418" s="37" t="n">
        <v>0</v>
      </c>
      <c r="BE418" s="37" t="n">
        <v>0</v>
      </c>
      <c r="BF418" s="37" t="n">
        <v>0</v>
      </c>
      <c r="BG418" s="37" t="n">
        <v>0</v>
      </c>
      <c r="BH418" s="37" t="n">
        <v>0</v>
      </c>
      <c r="BI418" s="37" t="n">
        <v>0</v>
      </c>
      <c r="BJ418" s="37" t="n">
        <v>0.09</v>
      </c>
      <c r="BK418" s="37" t="n">
        <v>0</v>
      </c>
      <c r="BL418" s="37" t="n">
        <v>0</v>
      </c>
      <c r="BM418" s="37" t="n">
        <v>0</v>
      </c>
      <c r="BN418" s="37" t="n">
        <v>0</v>
      </c>
      <c r="BO418" s="37" t="n">
        <v>0</v>
      </c>
      <c r="BP418" s="37" t="n">
        <v>0</v>
      </c>
      <c r="BQ418" s="37" t="n">
        <v>0</v>
      </c>
      <c r="BR418" s="37" t="n">
        <v>0</v>
      </c>
      <c r="BS418" s="37" t="n">
        <v>0</v>
      </c>
      <c r="BT418" s="37" t="n">
        <v>0</v>
      </c>
      <c r="BU418" s="37" t="n">
        <v>0</v>
      </c>
      <c r="BV418" s="37" t="n">
        <v>0</v>
      </c>
      <c r="BW418" s="37" t="n">
        <v>0</v>
      </c>
      <c r="BX418" s="37" t="n">
        <v>0</v>
      </c>
      <c r="BY418" s="37" t="n">
        <v>0</v>
      </c>
      <c r="BZ418" s="37" t="n">
        <v>0</v>
      </c>
      <c r="CA418" s="37" t="n">
        <v>0</v>
      </c>
      <c r="CB418" s="37" t="n">
        <v>0</v>
      </c>
      <c r="CC418" s="37" t="n">
        <v>0.45</v>
      </c>
    </row>
    <row r="419" ht="15.75" customHeight="1" s="57">
      <c r="A419" s="7" t="inlineStr">
        <is>
          <t>NTB</t>
        </is>
      </c>
      <c r="B419" s="7" t="inlineStr">
        <is>
          <t>Ninh Thuận</t>
        </is>
      </c>
      <c r="C419" s="7" t="n">
        <v>20499000</v>
      </c>
      <c r="D419" s="7" t="inlineStr">
        <is>
          <t>(NTH) Phước Dinh</t>
        </is>
      </c>
      <c r="E419" s="7" t="inlineStr">
        <is>
          <t>SME</t>
        </is>
      </c>
      <c r="F419" s="36" t="n">
        <v>93</v>
      </c>
      <c r="G419" s="36" t="n">
        <v>445</v>
      </c>
      <c r="H419" s="36" t="n">
        <v>137</v>
      </c>
      <c r="I419" s="36" t="n">
        <v>429</v>
      </c>
      <c r="J419" s="36" t="n">
        <v>184</v>
      </c>
      <c r="K419" s="28" t="n">
        <v>127</v>
      </c>
      <c r="L419" s="36" t="n">
        <v>333</v>
      </c>
      <c r="M419" s="36" t="n">
        <v>151</v>
      </c>
      <c r="N419" s="36" t="n">
        <v>396</v>
      </c>
      <c r="O419" s="36" t="n">
        <v>198</v>
      </c>
      <c r="P419" s="36" t="n">
        <v>157</v>
      </c>
      <c r="Q419" s="36" t="n">
        <v>164</v>
      </c>
      <c r="R419" s="28" t="n">
        <v>154</v>
      </c>
      <c r="S419" s="36" t="n">
        <v>499</v>
      </c>
      <c r="T419" s="36" t="n">
        <v>279</v>
      </c>
      <c r="U419" s="36" t="n">
        <v>310.98</v>
      </c>
      <c r="V419" s="36" t="n">
        <v>322.08</v>
      </c>
      <c r="W419" s="36" t="n">
        <v>313.57</v>
      </c>
      <c r="X419" s="36" t="n">
        <v>257.62</v>
      </c>
      <c r="Y419" s="28" t="n">
        <v>348.39</v>
      </c>
      <c r="Z419" s="36" t="n">
        <v>318.01</v>
      </c>
      <c r="AA419" s="36" t="n">
        <v>312.07</v>
      </c>
      <c r="AB419" s="36" t="n">
        <v>310.98</v>
      </c>
      <c r="AC419" s="36" t="n">
        <v>322.08</v>
      </c>
      <c r="AD419" s="36" t="n">
        <v>385.59</v>
      </c>
      <c r="AE419" s="36" t="n">
        <v>257.62</v>
      </c>
      <c r="AF419" s="28" t="n">
        <v>348.39</v>
      </c>
      <c r="AG419" s="36" t="n">
        <v>318.01</v>
      </c>
      <c r="AH419" s="37" t="n">
        <v>312.07</v>
      </c>
      <c r="AI419" s="37" t="n">
        <v>310.98</v>
      </c>
      <c r="AJ419" s="37" t="n">
        <v>322.08</v>
      </c>
      <c r="AK419" s="37" t="n">
        <v>313.57</v>
      </c>
      <c r="AL419" s="37" t="n">
        <v>257.62</v>
      </c>
      <c r="AM419" s="37" t="n">
        <v>348.39</v>
      </c>
      <c r="AN419" s="37" t="n">
        <v>318.01</v>
      </c>
      <c r="AO419" s="37" t="n">
        <v>312.07</v>
      </c>
      <c r="AP419" s="37" t="n">
        <v>310.98</v>
      </c>
      <c r="AQ419" s="37" t="n">
        <v>322.08</v>
      </c>
      <c r="AR419" s="37" t="n">
        <v>313.57</v>
      </c>
      <c r="AS419" s="37" t="n">
        <v>257.62</v>
      </c>
      <c r="AT419" s="37" t="n">
        <v>348.39</v>
      </c>
      <c r="AU419" s="37" t="n">
        <v>318.01</v>
      </c>
      <c r="AV419" s="37" t="n">
        <v>312.07</v>
      </c>
      <c r="AW419" s="37" t="n">
        <v>310.98</v>
      </c>
      <c r="AX419" s="37" t="n">
        <v>322.08</v>
      </c>
      <c r="AY419" s="37" t="n">
        <v>313.57</v>
      </c>
      <c r="AZ419" s="37" t="n">
        <v>257.62</v>
      </c>
      <c r="BA419" s="37" t="n">
        <v>329.85</v>
      </c>
      <c r="BB419" s="37" t="n">
        <v>292.09</v>
      </c>
      <c r="BC419" s="37" t="n">
        <v>177.9</v>
      </c>
      <c r="BD419" s="37" t="n">
        <v>139.36</v>
      </c>
      <c r="BE419" s="37" t="n">
        <v>300.23</v>
      </c>
      <c r="BF419" s="37" t="n">
        <v>292.83</v>
      </c>
      <c r="BG419" s="37" t="n">
        <v>264.29</v>
      </c>
      <c r="BH419" s="37" t="n">
        <v>359.12</v>
      </c>
      <c r="BI419" s="37" t="n">
        <v>326.52</v>
      </c>
      <c r="BJ419" s="37" t="n">
        <v>395.58</v>
      </c>
      <c r="BK419" s="37" t="n">
        <v>319.49</v>
      </c>
      <c r="BL419" s="37" t="n">
        <v>330.96</v>
      </c>
      <c r="BM419" s="37" t="n">
        <v>322.08</v>
      </c>
      <c r="BN419" s="37" t="n">
        <v>264.29</v>
      </c>
      <c r="BO419" s="37" t="n">
        <v>359.12</v>
      </c>
      <c r="BP419" s="37" t="n">
        <v>326.52</v>
      </c>
      <c r="BQ419" s="37" t="n">
        <v>320.21</v>
      </c>
      <c r="BR419" s="37" t="n">
        <v>319.49</v>
      </c>
      <c r="BS419" s="37" t="n">
        <v>330.96</v>
      </c>
      <c r="BT419" s="37" t="n">
        <v>322.08</v>
      </c>
      <c r="BU419" s="37" t="n">
        <v>264.29</v>
      </c>
      <c r="BV419" s="37" t="n">
        <v>359.12</v>
      </c>
      <c r="BW419" s="37" t="n">
        <v>326.52</v>
      </c>
      <c r="BX419" s="37" t="n">
        <v>320.21</v>
      </c>
      <c r="BY419" s="37" t="n">
        <v>319.49</v>
      </c>
      <c r="BZ419" s="37" t="n">
        <v>330.96</v>
      </c>
      <c r="CA419" s="37" t="n">
        <v>322.08</v>
      </c>
      <c r="CB419" s="37" t="n">
        <v>264.29</v>
      </c>
      <c r="CC419" s="37" t="n">
        <v>22353.08000000001</v>
      </c>
    </row>
    <row r="420" ht="15.75" customHeight="1" s="57">
      <c r="A420" s="7" t="inlineStr">
        <is>
          <t>NTB</t>
        </is>
      </c>
      <c r="B420" s="7" t="inlineStr">
        <is>
          <t>Ninh Thuận</t>
        </is>
      </c>
      <c r="C420" s="7" t="n">
        <v>20499000</v>
      </c>
      <c r="D420" s="7" t="inlineStr">
        <is>
          <t>(NTH) Phước Dinh</t>
        </is>
      </c>
      <c r="E420" s="7" t="inlineStr">
        <is>
          <t>SME-Bulky</t>
        </is>
      </c>
      <c r="F420" s="36" t="n">
        <v>6</v>
      </c>
      <c r="G420" s="36" t="n">
        <v>7</v>
      </c>
      <c r="H420" s="36" t="n">
        <v>8</v>
      </c>
      <c r="I420" s="36" t="n">
        <v>10</v>
      </c>
      <c r="J420" s="36" t="n">
        <v>3</v>
      </c>
      <c r="K420" s="28" t="n">
        <v>5</v>
      </c>
      <c r="L420" s="36" t="n">
        <v>5</v>
      </c>
      <c r="M420" s="36" t="n">
        <v>11</v>
      </c>
      <c r="N420" s="36" t="n">
        <v>7</v>
      </c>
      <c r="O420" s="36" t="n">
        <v>10</v>
      </c>
      <c r="P420" s="36" t="n">
        <v>9</v>
      </c>
      <c r="Q420" s="36" t="n">
        <v>6</v>
      </c>
      <c r="R420" s="28" t="n">
        <v>10</v>
      </c>
      <c r="S420" s="36" t="n">
        <v>5</v>
      </c>
      <c r="T420" s="36" t="n">
        <v>4</v>
      </c>
      <c r="U420" s="36" t="n">
        <v>4.36</v>
      </c>
      <c r="V420" s="36" t="n">
        <v>4.36</v>
      </c>
      <c r="W420" s="36" t="n">
        <v>4.36</v>
      </c>
      <c r="X420" s="36" t="n">
        <v>3.37</v>
      </c>
      <c r="Y420" s="28" t="n">
        <v>7.93</v>
      </c>
      <c r="Z420" s="36" t="n">
        <v>7.53</v>
      </c>
      <c r="AA420" s="36" t="n">
        <v>4.36</v>
      </c>
      <c r="AB420" s="36" t="n">
        <v>4.36</v>
      </c>
      <c r="AC420" s="36" t="n">
        <v>4.36</v>
      </c>
      <c r="AD420" s="36" t="n">
        <v>7.53</v>
      </c>
      <c r="AE420" s="36" t="n">
        <v>3.37</v>
      </c>
      <c r="AF420" s="28" t="n">
        <v>7.93</v>
      </c>
      <c r="AG420" s="36" t="n">
        <v>7.53</v>
      </c>
      <c r="AH420" s="37" t="n">
        <v>4.36</v>
      </c>
      <c r="AI420" s="37" t="n">
        <v>4.36</v>
      </c>
      <c r="AJ420" s="37" t="n">
        <v>4.36</v>
      </c>
      <c r="AK420" s="37" t="n">
        <v>4.36</v>
      </c>
      <c r="AL420" s="37" t="n">
        <v>3.37</v>
      </c>
      <c r="AM420" s="37" t="n">
        <v>7.93</v>
      </c>
      <c r="AN420" s="37" t="n">
        <v>7.53</v>
      </c>
      <c r="AO420" s="37" t="n">
        <v>4.36</v>
      </c>
      <c r="AP420" s="37" t="n">
        <v>4.36</v>
      </c>
      <c r="AQ420" s="37" t="n">
        <v>4.36</v>
      </c>
      <c r="AR420" s="37" t="n">
        <v>4.36</v>
      </c>
      <c r="AS420" s="37" t="n">
        <v>3.37</v>
      </c>
      <c r="AT420" s="37" t="n">
        <v>7.93</v>
      </c>
      <c r="AU420" s="37" t="n">
        <v>7.53</v>
      </c>
      <c r="AV420" s="37" t="n">
        <v>4.36</v>
      </c>
      <c r="AW420" s="37" t="n">
        <v>4.36</v>
      </c>
      <c r="AX420" s="37" t="n">
        <v>4.36</v>
      </c>
      <c r="AY420" s="37" t="n">
        <v>4.36</v>
      </c>
      <c r="AZ420" s="37" t="n">
        <v>3.37</v>
      </c>
      <c r="BA420" s="37" t="n">
        <v>7.93</v>
      </c>
      <c r="BB420" s="37" t="n">
        <v>3.96</v>
      </c>
      <c r="BC420" s="37" t="n">
        <v>1.19</v>
      </c>
      <c r="BD420" s="37" t="n">
        <v>0.59</v>
      </c>
      <c r="BE420" s="37" t="n">
        <v>2.38</v>
      </c>
      <c r="BF420" s="37" t="n">
        <v>2.38</v>
      </c>
      <c r="BG420" s="37" t="n">
        <v>1.78</v>
      </c>
      <c r="BH420" s="37" t="n">
        <v>4.16</v>
      </c>
      <c r="BI420" s="37" t="n">
        <v>3.96</v>
      </c>
      <c r="BJ420" s="37" t="n">
        <v>4.36</v>
      </c>
      <c r="BK420" s="37" t="n">
        <v>2.38</v>
      </c>
      <c r="BL420" s="37" t="n">
        <v>2.38</v>
      </c>
      <c r="BM420" s="37" t="n">
        <v>2.38</v>
      </c>
      <c r="BN420" s="37" t="n">
        <v>1.78</v>
      </c>
      <c r="BO420" s="37" t="n">
        <v>4.16</v>
      </c>
      <c r="BP420" s="37" t="n">
        <v>3.96</v>
      </c>
      <c r="BQ420" s="37" t="n">
        <v>2.38</v>
      </c>
      <c r="BR420" s="37" t="n">
        <v>2.38</v>
      </c>
      <c r="BS420" s="37" t="n">
        <v>2.38</v>
      </c>
      <c r="BT420" s="37" t="n">
        <v>2.38</v>
      </c>
      <c r="BU420" s="37" t="n">
        <v>1.78</v>
      </c>
      <c r="BV420" s="37" t="n">
        <v>4.16</v>
      </c>
      <c r="BW420" s="37" t="n">
        <v>3.96</v>
      </c>
      <c r="BX420" s="37" t="n">
        <v>2.38</v>
      </c>
      <c r="BY420" s="37" t="n">
        <v>2.38</v>
      </c>
      <c r="BZ420" s="37" t="n">
        <v>2.38</v>
      </c>
      <c r="CA420" s="37" t="n">
        <v>2.38</v>
      </c>
      <c r="CB420" s="37" t="n">
        <v>1.78</v>
      </c>
      <c r="CC420" s="37" t="n">
        <v>351.15</v>
      </c>
    </row>
    <row r="421" ht="15.75" customHeight="1" s="57">
      <c r="A421" s="7" t="inlineStr">
        <is>
          <t>NTB</t>
        </is>
      </c>
      <c r="B421" s="7" t="inlineStr">
        <is>
          <t>Ninh Thuận</t>
        </is>
      </c>
      <c r="C421" s="7" t="n">
        <v>20499000</v>
      </c>
      <c r="D421" s="7" t="inlineStr">
        <is>
          <t>(NTH) Phước Dinh</t>
        </is>
      </c>
      <c r="E421" s="7" t="inlineStr">
        <is>
          <t>Shopee</t>
        </is>
      </c>
      <c r="F421" s="36" t="n">
        <v>51</v>
      </c>
      <c r="G421" s="36" t="n">
        <v>76</v>
      </c>
      <c r="H421" s="36" t="n">
        <v>53</v>
      </c>
      <c r="I421" s="36" t="n">
        <v>75</v>
      </c>
      <c r="J421" s="36" t="n">
        <v>55</v>
      </c>
      <c r="K421" s="28" t="n">
        <v>139</v>
      </c>
      <c r="L421" s="36" t="n">
        <v>123</v>
      </c>
      <c r="M421" s="36" t="n">
        <v>68</v>
      </c>
      <c r="N421" s="36" t="n">
        <v>87</v>
      </c>
      <c r="O421" s="36" t="n">
        <v>32</v>
      </c>
      <c r="P421" s="36" t="n">
        <v>65</v>
      </c>
      <c r="Q421" s="36" t="n">
        <v>31</v>
      </c>
      <c r="R421" s="28" t="n">
        <v>66</v>
      </c>
      <c r="S421" s="36" t="n">
        <v>61</v>
      </c>
      <c r="T421" s="36" t="n">
        <v>90</v>
      </c>
      <c r="U421" s="36" t="n">
        <v>90.47</v>
      </c>
      <c r="V421" s="36" t="n">
        <v>90.47</v>
      </c>
      <c r="W421" s="36" t="n">
        <v>87.08</v>
      </c>
      <c r="X421" s="36" t="n">
        <v>77.28</v>
      </c>
      <c r="Y421" s="28" t="n">
        <v>120.63</v>
      </c>
      <c r="Z421" s="36" t="n">
        <v>98.39</v>
      </c>
      <c r="AA421" s="36" t="n">
        <v>117.61</v>
      </c>
      <c r="AB421" s="36" t="n">
        <v>92.73</v>
      </c>
      <c r="AC421" s="36" t="n">
        <v>76.90000000000001</v>
      </c>
      <c r="AD421" s="36" t="n">
        <v>118.74</v>
      </c>
      <c r="AE421" s="36" t="n">
        <v>81.42</v>
      </c>
      <c r="AF421" s="28" t="n">
        <v>134.95</v>
      </c>
      <c r="AG421" s="36" t="n">
        <v>101.78</v>
      </c>
      <c r="AH421" s="37" t="n">
        <v>108.57</v>
      </c>
      <c r="AI421" s="37" t="n">
        <v>90.47</v>
      </c>
      <c r="AJ421" s="37" t="n">
        <v>90.47</v>
      </c>
      <c r="AK421" s="37" t="n">
        <v>97.26000000000001</v>
      </c>
      <c r="AL421" s="37" t="n">
        <v>136.08</v>
      </c>
      <c r="AM421" s="37" t="n">
        <v>120.63</v>
      </c>
      <c r="AN421" s="37" t="n">
        <v>98.39</v>
      </c>
      <c r="AO421" s="37" t="n">
        <v>108.57</v>
      </c>
      <c r="AP421" s="37" t="n">
        <v>101.4</v>
      </c>
      <c r="AQ421" s="37" t="n">
        <v>75.02</v>
      </c>
      <c r="AR421" s="37" t="n">
        <v>87.08</v>
      </c>
      <c r="AS421" s="37" t="n">
        <v>77.28</v>
      </c>
      <c r="AT421" s="37" t="n">
        <v>120.63</v>
      </c>
      <c r="AU421" s="37" t="n">
        <v>107.43</v>
      </c>
      <c r="AV421" s="37" t="n">
        <v>110.45</v>
      </c>
      <c r="AW421" s="37" t="n">
        <v>90.47</v>
      </c>
      <c r="AX421" s="37" t="n">
        <v>90.47</v>
      </c>
      <c r="AY421" s="37" t="n">
        <v>87.08</v>
      </c>
      <c r="AZ421" s="37" t="n">
        <v>77.28</v>
      </c>
      <c r="BA421" s="37" t="n">
        <v>106.3</v>
      </c>
      <c r="BB421" s="37" t="n">
        <v>76.52</v>
      </c>
      <c r="BC421" s="37" t="n">
        <v>33.55</v>
      </c>
      <c r="BD421" s="37" t="n">
        <v>55.04</v>
      </c>
      <c r="BE421" s="37" t="n">
        <v>112.71</v>
      </c>
      <c r="BF421" s="37" t="n">
        <v>108.57</v>
      </c>
      <c r="BG421" s="37" t="n">
        <v>77.28</v>
      </c>
      <c r="BH421" s="37" t="n">
        <v>118.37</v>
      </c>
      <c r="BI421" s="37" t="n">
        <v>79.16</v>
      </c>
      <c r="BJ421" s="37" t="n">
        <v>170.39</v>
      </c>
      <c r="BK421" s="37" t="n">
        <v>96.88</v>
      </c>
      <c r="BL421" s="37" t="n">
        <v>94.23999999999999</v>
      </c>
      <c r="BM421" s="37" t="n">
        <v>85.95</v>
      </c>
      <c r="BN421" s="37" t="n">
        <v>76.52</v>
      </c>
      <c r="BO421" s="37" t="n">
        <v>118.37</v>
      </c>
      <c r="BP421" s="37" t="n">
        <v>105.55</v>
      </c>
      <c r="BQ421" s="37" t="n">
        <v>160.21</v>
      </c>
      <c r="BR421" s="37" t="n">
        <v>89.34</v>
      </c>
      <c r="BS421" s="37" t="n">
        <v>89.34</v>
      </c>
      <c r="BT421" s="37" t="n">
        <v>85.95</v>
      </c>
      <c r="BU421" s="37" t="n">
        <v>82.18000000000001</v>
      </c>
      <c r="BV421" s="37" t="n">
        <v>98.01000000000001</v>
      </c>
      <c r="BW421" s="37" t="n">
        <v>96.5</v>
      </c>
      <c r="BX421" s="37" t="n">
        <v>106.68</v>
      </c>
      <c r="BY421" s="37" t="n">
        <v>89.34</v>
      </c>
      <c r="BZ421" s="37" t="n">
        <v>99.52</v>
      </c>
      <c r="CA421" s="37" t="n">
        <v>87.45999999999999</v>
      </c>
      <c r="CB421" s="37" t="n">
        <v>76.52</v>
      </c>
      <c r="CC421" s="37" t="n">
        <v>6911.930000000002</v>
      </c>
    </row>
    <row r="422" ht="15.75" customHeight="1" s="57">
      <c r="A422" s="7" t="inlineStr">
        <is>
          <t>NTB</t>
        </is>
      </c>
      <c r="B422" s="7" t="inlineStr">
        <is>
          <t>Ninh Thuận</t>
        </is>
      </c>
      <c r="C422" s="7" t="n">
        <v>20499000</v>
      </c>
      <c r="D422" s="7" t="inlineStr">
        <is>
          <t>(NTH) Phước Dinh</t>
        </is>
      </c>
      <c r="E422" s="7" t="inlineStr">
        <is>
          <t>Shopee-Bulky</t>
        </is>
      </c>
      <c r="F422" s="36" t="n">
        <v>1.46</v>
      </c>
      <c r="G422" s="36" t="n">
        <v>2.34</v>
      </c>
      <c r="H422" s="36" t="n">
        <v>1.76</v>
      </c>
      <c r="I422" s="36" t="n">
        <v>2.05</v>
      </c>
      <c r="J422" s="36" t="n">
        <v>2.34</v>
      </c>
      <c r="K422" s="28" t="n">
        <v>2.93</v>
      </c>
      <c r="L422" s="36" t="n">
        <v>1.17</v>
      </c>
      <c r="M422" s="36" t="n">
        <v>2.05</v>
      </c>
      <c r="N422" s="36" t="n">
        <v>1.46</v>
      </c>
      <c r="O422" s="36" t="n">
        <v>0.88</v>
      </c>
      <c r="P422" s="36" t="n">
        <v>2.63</v>
      </c>
      <c r="Q422" s="36" t="n">
        <v>2.05</v>
      </c>
      <c r="R422" s="28" t="n">
        <v>0.88</v>
      </c>
      <c r="S422" s="36" t="n">
        <v>2.93</v>
      </c>
      <c r="T422" s="36" t="n">
        <v>2.34</v>
      </c>
      <c r="U422" s="36" t="n">
        <v>1.76</v>
      </c>
      <c r="V422" s="36" t="n">
        <v>1.76</v>
      </c>
      <c r="W422" s="36" t="n">
        <v>2.63</v>
      </c>
      <c r="X422" s="36" t="n">
        <v>1.32</v>
      </c>
      <c r="Y422" s="28" t="n">
        <v>3.07</v>
      </c>
      <c r="Z422" s="36" t="n">
        <v>2.19</v>
      </c>
      <c r="AA422" s="36" t="n">
        <v>2.86</v>
      </c>
      <c r="AB422" s="36" t="n">
        <v>2.19</v>
      </c>
      <c r="AC422" s="36" t="n">
        <v>2.63</v>
      </c>
      <c r="AD422" s="36" t="n">
        <v>10.33</v>
      </c>
      <c r="AE422" s="36" t="n">
        <v>5.49</v>
      </c>
      <c r="AF422" s="28" t="n">
        <v>5.05</v>
      </c>
      <c r="AG422" s="36" t="n">
        <v>3.07</v>
      </c>
      <c r="AH422" s="37" t="n">
        <v>2.19</v>
      </c>
      <c r="AI422" s="37" t="n">
        <v>2.19</v>
      </c>
      <c r="AJ422" s="37" t="n">
        <v>2.63</v>
      </c>
      <c r="AK422" s="37" t="n">
        <v>3.3</v>
      </c>
      <c r="AL422" s="37" t="n">
        <v>2.63</v>
      </c>
      <c r="AM422" s="37" t="n">
        <v>3.3</v>
      </c>
      <c r="AN422" s="37" t="n">
        <v>2.19</v>
      </c>
      <c r="AO422" s="37" t="n">
        <v>2.42</v>
      </c>
      <c r="AP422" s="37" t="n">
        <v>3.07</v>
      </c>
      <c r="AQ422" s="37" t="n">
        <v>2.63</v>
      </c>
      <c r="AR422" s="37" t="n">
        <v>2.63</v>
      </c>
      <c r="AS422" s="37" t="n">
        <v>0.8799999999999999</v>
      </c>
      <c r="AT422" s="37" t="n">
        <v>2.19</v>
      </c>
      <c r="AU422" s="37" t="n">
        <v>3.96</v>
      </c>
      <c r="AV422" s="37" t="n">
        <v>4.17</v>
      </c>
      <c r="AW422" s="37" t="n">
        <v>1.76</v>
      </c>
      <c r="AX422" s="37" t="n">
        <v>1.76</v>
      </c>
      <c r="AY422" s="37" t="n">
        <v>2.63</v>
      </c>
      <c r="AZ422" s="37" t="n">
        <v>0.8799999999999999</v>
      </c>
      <c r="BA422" s="37" t="n">
        <v>2.42</v>
      </c>
      <c r="BB422" s="37" t="n">
        <v>2.63</v>
      </c>
      <c r="BC422" s="37" t="n">
        <v>0</v>
      </c>
      <c r="BD422" s="37" t="n">
        <v>0.66</v>
      </c>
      <c r="BE422" s="37" t="n">
        <v>3.07</v>
      </c>
      <c r="BF422" s="37" t="n">
        <v>2.63</v>
      </c>
      <c r="BG422" s="37" t="n">
        <v>1.32</v>
      </c>
      <c r="BH422" s="37" t="n">
        <v>3.07</v>
      </c>
      <c r="BI422" s="37" t="n">
        <v>3.07</v>
      </c>
      <c r="BJ422" s="37" t="n">
        <v>21.09</v>
      </c>
      <c r="BK422" s="37" t="n">
        <v>4.84</v>
      </c>
      <c r="BL422" s="37" t="n">
        <v>3.07</v>
      </c>
      <c r="BM422" s="37" t="n">
        <v>2.63</v>
      </c>
      <c r="BN422" s="37" t="n">
        <v>1.32</v>
      </c>
      <c r="BO422" s="37" t="n">
        <v>3.07</v>
      </c>
      <c r="BP422" s="37" t="n">
        <v>4.84</v>
      </c>
      <c r="BQ422" s="37" t="n">
        <v>3.07</v>
      </c>
      <c r="BR422" s="37" t="n">
        <v>2.63</v>
      </c>
      <c r="BS422" s="37" t="n">
        <v>2.63</v>
      </c>
      <c r="BT422" s="37" t="n">
        <v>1.76</v>
      </c>
      <c r="BU422" s="37" t="n">
        <v>3.07</v>
      </c>
      <c r="BV422" s="37" t="n">
        <v>3.07</v>
      </c>
      <c r="BW422" s="37" t="n">
        <v>3.07</v>
      </c>
      <c r="BX422" s="37" t="n">
        <v>3.07</v>
      </c>
      <c r="BY422" s="37" t="n">
        <v>2.63</v>
      </c>
      <c r="BZ422" s="37" t="n">
        <v>3.74</v>
      </c>
      <c r="CA422" s="37" t="n">
        <v>2.63</v>
      </c>
      <c r="CB422" s="37" t="n">
        <v>0.8799999999999999</v>
      </c>
      <c r="CC422" s="37" t="n">
        <v>213.0099999999998</v>
      </c>
    </row>
    <row r="423" ht="15.75" customHeight="1" s="57">
      <c r="A423" s="7" t="inlineStr">
        <is>
          <t>NTB</t>
        </is>
      </c>
      <c r="B423" s="7" t="inlineStr">
        <is>
          <t>Ninh Thuận</t>
        </is>
      </c>
      <c r="C423" s="7" t="n">
        <v>20499000</v>
      </c>
      <c r="D423" s="7" t="inlineStr">
        <is>
          <t>(NTH) Phước Dinh</t>
        </is>
      </c>
      <c r="E423" s="7" t="inlineStr">
        <is>
          <t>Shopee-Bulky (10-15kg)</t>
        </is>
      </c>
      <c r="F423" s="36" t="n">
        <v>3.54</v>
      </c>
      <c r="G423" s="36" t="n">
        <v>5.66</v>
      </c>
      <c r="H423" s="36" t="n">
        <v>4.24</v>
      </c>
      <c r="I423" s="36" t="n">
        <v>4.95</v>
      </c>
      <c r="J423" s="36" t="n">
        <v>5.66</v>
      </c>
      <c r="K423" s="28" t="n">
        <v>7.07</v>
      </c>
      <c r="L423" s="36" t="n">
        <v>2.83</v>
      </c>
      <c r="M423" s="36" t="n">
        <v>4.95</v>
      </c>
      <c r="N423" s="36" t="n">
        <v>3.54</v>
      </c>
      <c r="O423" s="36" t="n">
        <v>2.12</v>
      </c>
      <c r="P423" s="36" t="n">
        <v>6.37</v>
      </c>
      <c r="Q423" s="36" t="n">
        <v>4.95</v>
      </c>
      <c r="R423" s="28" t="n">
        <v>2.12</v>
      </c>
      <c r="S423" s="36" t="n">
        <v>7.07</v>
      </c>
      <c r="T423" s="36" t="n">
        <v>5.66</v>
      </c>
      <c r="U423" s="36" t="n">
        <v>3.96</v>
      </c>
      <c r="V423" s="36" t="n">
        <v>3.3</v>
      </c>
      <c r="W423" s="36" t="n">
        <v>3.52</v>
      </c>
      <c r="X423" s="36" t="n">
        <v>2.42</v>
      </c>
      <c r="Y423" s="28" t="n">
        <v>6.82</v>
      </c>
      <c r="Z423" s="36" t="n">
        <v>4.61</v>
      </c>
      <c r="AA423" s="36" t="n">
        <v>8.130000000000001</v>
      </c>
      <c r="AB423" s="36" t="n">
        <v>4.17</v>
      </c>
      <c r="AC423" s="36" t="n">
        <v>4.17</v>
      </c>
      <c r="AD423" s="36" t="n">
        <v>17.8</v>
      </c>
      <c r="AE423" s="36" t="n">
        <v>11.87</v>
      </c>
      <c r="AF423" s="28" t="n">
        <v>13.41</v>
      </c>
      <c r="AG423" s="36" t="n">
        <v>7.26</v>
      </c>
      <c r="AH423" s="37" t="n">
        <v>4.4</v>
      </c>
      <c r="AI423" s="37" t="n">
        <v>4.4</v>
      </c>
      <c r="AJ423" s="37" t="n">
        <v>3.3</v>
      </c>
      <c r="AK423" s="37" t="n">
        <v>9.23</v>
      </c>
      <c r="AL423" s="37" t="n">
        <v>4.4</v>
      </c>
      <c r="AM423" s="37" t="n">
        <v>7.69</v>
      </c>
      <c r="AN423" s="37" t="n">
        <v>4.61</v>
      </c>
      <c r="AO423" s="37" t="n">
        <v>4.17</v>
      </c>
      <c r="AP423" s="37" t="n">
        <v>8.57</v>
      </c>
      <c r="AQ423" s="37" t="n">
        <v>5.28</v>
      </c>
      <c r="AR423" s="37" t="n">
        <v>3.07</v>
      </c>
      <c r="AS423" s="37" t="n">
        <v>2.19</v>
      </c>
      <c r="AT423" s="37" t="n">
        <v>5.49</v>
      </c>
      <c r="AU423" s="37" t="n">
        <v>13.19</v>
      </c>
      <c r="AV423" s="37" t="n">
        <v>9.23</v>
      </c>
      <c r="AW423" s="37" t="n">
        <v>4.4</v>
      </c>
      <c r="AX423" s="37" t="n">
        <v>3.3</v>
      </c>
      <c r="AY423" s="37" t="n">
        <v>3.07</v>
      </c>
      <c r="AZ423" s="37" t="n">
        <v>2.19</v>
      </c>
      <c r="BA423" s="37" t="n">
        <v>4.61</v>
      </c>
      <c r="BB423" s="37" t="n">
        <v>3.07</v>
      </c>
      <c r="BC423" s="37" t="n">
        <v>0.4399999999999999</v>
      </c>
      <c r="BD423" s="37" t="n">
        <v>0.8799999999999999</v>
      </c>
      <c r="BE423" s="37" t="n">
        <v>6.15</v>
      </c>
      <c r="BF423" s="37" t="n">
        <v>4.4</v>
      </c>
      <c r="BG423" s="37" t="n">
        <v>3.07</v>
      </c>
      <c r="BH423" s="37" t="n">
        <v>7.26</v>
      </c>
      <c r="BI423" s="37" t="n">
        <v>5.71</v>
      </c>
      <c r="BJ423" s="37" t="n">
        <v>33.63</v>
      </c>
      <c r="BK423" s="37" t="n">
        <v>14.73</v>
      </c>
      <c r="BL423" s="37" t="n">
        <v>6.590000000000001</v>
      </c>
      <c r="BM423" s="37" t="n">
        <v>3.74</v>
      </c>
      <c r="BN423" s="37" t="n">
        <v>3.07</v>
      </c>
      <c r="BO423" s="37" t="n">
        <v>7.69</v>
      </c>
      <c r="BP423" s="37" t="n">
        <v>14.94</v>
      </c>
      <c r="BQ423" s="37" t="n">
        <v>9.890000000000001</v>
      </c>
      <c r="BR423" s="37" t="n">
        <v>5.49</v>
      </c>
      <c r="BS423" s="37" t="n">
        <v>4.4</v>
      </c>
      <c r="BT423" s="37" t="n">
        <v>3.07</v>
      </c>
      <c r="BU423" s="37" t="n">
        <v>6.15</v>
      </c>
      <c r="BV423" s="37" t="n">
        <v>7.26</v>
      </c>
      <c r="BW423" s="37" t="n">
        <v>5.71</v>
      </c>
      <c r="BX423" s="37" t="n">
        <v>5.49</v>
      </c>
      <c r="BY423" s="37" t="n">
        <v>5.49</v>
      </c>
      <c r="BZ423" s="37" t="n">
        <v>10.55</v>
      </c>
      <c r="CA423" s="37" t="n">
        <v>4.4</v>
      </c>
      <c r="CB423" s="37" t="n">
        <v>3.07</v>
      </c>
      <c r="CC423" s="37" t="n">
        <v>455.2999999999998</v>
      </c>
    </row>
    <row r="424" ht="15.75" customHeight="1" s="57">
      <c r="A424" s="7" t="inlineStr">
        <is>
          <t>NTB</t>
        </is>
      </c>
      <c r="B424" s="7" t="inlineStr">
        <is>
          <t>Ninh Thuận</t>
        </is>
      </c>
      <c r="C424" s="7" t="n">
        <v>20499000</v>
      </c>
      <c r="D424" s="7" t="inlineStr">
        <is>
          <t>(NTH) Phước Dinh</t>
        </is>
      </c>
      <c r="E424" s="7" t="inlineStr">
        <is>
          <t>TTS</t>
        </is>
      </c>
      <c r="F424" s="36" t="n">
        <v>47</v>
      </c>
      <c r="G424" s="36" t="n">
        <v>60</v>
      </c>
      <c r="H424" s="36" t="n">
        <v>62</v>
      </c>
      <c r="I424" s="36" t="n">
        <v>81</v>
      </c>
      <c r="J424" s="36" t="n">
        <v>42</v>
      </c>
      <c r="K424" s="28" t="n">
        <v>76</v>
      </c>
      <c r="L424" s="36" t="n">
        <v>55</v>
      </c>
      <c r="M424" s="36" t="n">
        <v>64</v>
      </c>
      <c r="N424" s="36" t="n">
        <v>51</v>
      </c>
      <c r="O424" s="36" t="n">
        <v>70</v>
      </c>
      <c r="P424" s="36" t="n">
        <v>68</v>
      </c>
      <c r="Q424" s="36" t="n">
        <v>53</v>
      </c>
      <c r="R424" s="28" t="n">
        <v>75</v>
      </c>
      <c r="S424" s="36" t="n">
        <v>70</v>
      </c>
      <c r="T424" s="36" t="n">
        <v>59</v>
      </c>
      <c r="U424" s="36" t="n">
        <v>30.31</v>
      </c>
      <c r="V424" s="36" t="n">
        <v>29.67</v>
      </c>
      <c r="W424" s="36" t="n">
        <v>28.72</v>
      </c>
      <c r="X424" s="36" t="n">
        <v>23.03</v>
      </c>
      <c r="Y424" s="28" t="n">
        <v>33.63</v>
      </c>
      <c r="Z424" s="36" t="n">
        <v>28.57</v>
      </c>
      <c r="AA424" s="36" t="n">
        <v>30.94</v>
      </c>
      <c r="AB424" s="36" t="n">
        <v>32.99</v>
      </c>
      <c r="AC424" s="36" t="n">
        <v>34.42</v>
      </c>
      <c r="AD424" s="36" t="n">
        <v>29.56</v>
      </c>
      <c r="AE424" s="36" t="n">
        <v>25.24</v>
      </c>
      <c r="AF424" s="28" t="n">
        <v>34.42</v>
      </c>
      <c r="AG424" s="36" t="n">
        <v>29.04</v>
      </c>
      <c r="AH424" s="37" t="n">
        <v>28.88</v>
      </c>
      <c r="AI424" s="37" t="n">
        <v>32.2</v>
      </c>
      <c r="AJ424" s="37" t="n">
        <v>32.99</v>
      </c>
      <c r="AK424" s="37" t="n">
        <v>32.36000000000001</v>
      </c>
      <c r="AL424" s="37" t="n">
        <v>24.45</v>
      </c>
      <c r="AM424" s="37" t="n">
        <v>33.63</v>
      </c>
      <c r="AN424" s="37" t="n">
        <v>29.2</v>
      </c>
      <c r="AO424" s="37" t="n">
        <v>29.2</v>
      </c>
      <c r="AP424" s="37" t="n">
        <v>28.57</v>
      </c>
      <c r="AQ424" s="37" t="n">
        <v>29.2</v>
      </c>
      <c r="AR424" s="37" t="n">
        <v>28.72</v>
      </c>
      <c r="AS424" s="37" t="n">
        <v>23.03</v>
      </c>
      <c r="AT424" s="37" t="n">
        <v>36.32</v>
      </c>
      <c r="AU424" s="37" t="n">
        <v>31.57</v>
      </c>
      <c r="AV424" s="37" t="n">
        <v>29.36</v>
      </c>
      <c r="AW424" s="37" t="n">
        <v>27.46</v>
      </c>
      <c r="AX424" s="37" t="n">
        <v>27.46</v>
      </c>
      <c r="AY424" s="37" t="n">
        <v>28.25</v>
      </c>
      <c r="AZ424" s="37" t="n">
        <v>23.03</v>
      </c>
      <c r="BA424" s="37" t="n">
        <v>33.47000000000001</v>
      </c>
      <c r="BB424" s="37" t="n">
        <v>30.62</v>
      </c>
      <c r="BC424" s="37" t="n">
        <v>15.35</v>
      </c>
      <c r="BD424" s="37" t="n">
        <v>22.46</v>
      </c>
      <c r="BE424" s="37" t="n">
        <v>50.55</v>
      </c>
      <c r="BF424" s="37" t="n">
        <v>48.97000000000001</v>
      </c>
      <c r="BG424" s="37" t="n">
        <v>24.45</v>
      </c>
      <c r="BH424" s="37" t="n">
        <v>36.32</v>
      </c>
      <c r="BI424" s="37" t="n">
        <v>30.62</v>
      </c>
      <c r="BJ424" s="37" t="n">
        <v>22.98</v>
      </c>
      <c r="BK424" s="37" t="n">
        <v>31.57</v>
      </c>
      <c r="BL424" s="37" t="n">
        <v>31.57</v>
      </c>
      <c r="BM424" s="37" t="n">
        <v>30.46</v>
      </c>
      <c r="BN424" s="37" t="n">
        <v>24.45</v>
      </c>
      <c r="BO424" s="37" t="n">
        <v>36.32</v>
      </c>
      <c r="BP424" s="37" t="n">
        <v>30.62</v>
      </c>
      <c r="BQ424" s="37" t="n">
        <v>30.46</v>
      </c>
      <c r="BR424" s="37" t="n">
        <v>31.57</v>
      </c>
      <c r="BS424" s="37" t="n">
        <v>31.57</v>
      </c>
      <c r="BT424" s="37" t="n">
        <v>30.46</v>
      </c>
      <c r="BU424" s="37" t="n">
        <v>24.45</v>
      </c>
      <c r="BV424" s="37" t="n">
        <v>36.32</v>
      </c>
      <c r="BW424" s="37" t="n">
        <v>30.62</v>
      </c>
      <c r="BX424" s="37" t="n">
        <v>30.46</v>
      </c>
      <c r="BY424" s="37" t="n">
        <v>31.57</v>
      </c>
      <c r="BZ424" s="37" t="n">
        <v>31.57</v>
      </c>
      <c r="CA424" s="37" t="n">
        <v>30.46</v>
      </c>
      <c r="CB424" s="37" t="n">
        <v>24.45</v>
      </c>
      <c r="CC424" s="37" t="n">
        <v>2744.160000000001</v>
      </c>
    </row>
    <row r="425" ht="15.75" customHeight="1" s="57">
      <c r="A425" s="7" t="inlineStr">
        <is>
          <t>NTB</t>
        </is>
      </c>
      <c r="B425" s="7" t="inlineStr">
        <is>
          <t>Ninh Thuận</t>
        </is>
      </c>
      <c r="C425" s="7" t="n">
        <v>20499000</v>
      </c>
      <c r="D425" s="7" t="inlineStr">
        <is>
          <t>(NTH) Phước Dinh</t>
        </is>
      </c>
      <c r="E425" s="7" t="inlineStr">
        <is>
          <t>TTS-Bulky</t>
        </is>
      </c>
      <c r="F425" s="36" t="n">
        <v>0</v>
      </c>
      <c r="G425" s="36" t="n">
        <v>0</v>
      </c>
      <c r="H425" s="36" t="n">
        <v>0</v>
      </c>
      <c r="I425" s="36" t="n">
        <v>0</v>
      </c>
      <c r="J425" s="36" t="n">
        <v>0</v>
      </c>
      <c r="K425" s="28" t="n">
        <v>0</v>
      </c>
      <c r="L425" s="36" t="n">
        <v>0</v>
      </c>
      <c r="M425" s="36" t="n">
        <v>0</v>
      </c>
      <c r="N425" s="36" t="n">
        <v>0</v>
      </c>
      <c r="O425" s="36" t="n">
        <v>0</v>
      </c>
      <c r="P425" s="36" t="n">
        <v>0</v>
      </c>
      <c r="Q425" s="36" t="n">
        <v>0</v>
      </c>
      <c r="R425" s="28" t="n">
        <v>0</v>
      </c>
      <c r="S425" s="36" t="n">
        <v>0</v>
      </c>
      <c r="T425" s="36" t="n">
        <v>0</v>
      </c>
      <c r="U425" s="36" t="n">
        <v>0</v>
      </c>
      <c r="V425" s="36" t="n">
        <v>0</v>
      </c>
      <c r="W425" s="36" t="n">
        <v>0</v>
      </c>
      <c r="X425" s="36" t="n">
        <v>0</v>
      </c>
      <c r="Y425" s="28" t="n">
        <v>0</v>
      </c>
      <c r="Z425" s="36" t="n">
        <v>0</v>
      </c>
      <c r="AA425" s="36" t="n">
        <v>0</v>
      </c>
      <c r="AB425" s="36" t="n">
        <v>0</v>
      </c>
      <c r="AC425" s="36" t="n">
        <v>0</v>
      </c>
      <c r="AD425" s="36" t="n">
        <v>0.36</v>
      </c>
      <c r="AE425" s="36" t="n">
        <v>0</v>
      </c>
      <c r="AF425" s="28" t="n">
        <v>0</v>
      </c>
      <c r="AG425" s="36" t="n">
        <v>0</v>
      </c>
      <c r="AH425" s="37" t="n">
        <v>0</v>
      </c>
      <c r="AI425" s="37" t="n">
        <v>0</v>
      </c>
      <c r="AJ425" s="37" t="n">
        <v>0</v>
      </c>
      <c r="AK425" s="37" t="n">
        <v>0</v>
      </c>
      <c r="AL425" s="37" t="n">
        <v>0</v>
      </c>
      <c r="AM425" s="37" t="n">
        <v>0</v>
      </c>
      <c r="AN425" s="37" t="n">
        <v>0</v>
      </c>
      <c r="AO425" s="37" t="n">
        <v>0</v>
      </c>
      <c r="AP425" s="37" t="n">
        <v>0</v>
      </c>
      <c r="AQ425" s="37" t="n">
        <v>0</v>
      </c>
      <c r="AR425" s="37" t="n">
        <v>0</v>
      </c>
      <c r="AS425" s="37" t="n">
        <v>0</v>
      </c>
      <c r="AT425" s="37" t="n">
        <v>0</v>
      </c>
      <c r="AU425" s="37" t="n">
        <v>0</v>
      </c>
      <c r="AV425" s="37" t="n">
        <v>0</v>
      </c>
      <c r="AW425" s="37" t="n">
        <v>0</v>
      </c>
      <c r="AX425" s="37" t="n">
        <v>0</v>
      </c>
      <c r="AY425" s="37" t="n">
        <v>0</v>
      </c>
      <c r="AZ425" s="37" t="n">
        <v>0</v>
      </c>
      <c r="BA425" s="37" t="n">
        <v>0</v>
      </c>
      <c r="BB425" s="37" t="n">
        <v>0</v>
      </c>
      <c r="BC425" s="37" t="n">
        <v>0</v>
      </c>
      <c r="BD425" s="37" t="n">
        <v>0</v>
      </c>
      <c r="BE425" s="37" t="n">
        <v>0</v>
      </c>
      <c r="BF425" s="37" t="n">
        <v>0</v>
      </c>
      <c r="BG425" s="37" t="n">
        <v>0</v>
      </c>
      <c r="BH425" s="37" t="n">
        <v>0</v>
      </c>
      <c r="BI425" s="37" t="n">
        <v>0</v>
      </c>
      <c r="BJ425" s="37" t="n">
        <v>0.09</v>
      </c>
      <c r="BK425" s="37" t="n">
        <v>0</v>
      </c>
      <c r="BL425" s="37" t="n">
        <v>0</v>
      </c>
      <c r="BM425" s="37" t="n">
        <v>0</v>
      </c>
      <c r="BN425" s="37" t="n">
        <v>0</v>
      </c>
      <c r="BO425" s="37" t="n">
        <v>0</v>
      </c>
      <c r="BP425" s="37" t="n">
        <v>0</v>
      </c>
      <c r="BQ425" s="37" t="n">
        <v>0</v>
      </c>
      <c r="BR425" s="37" t="n">
        <v>0</v>
      </c>
      <c r="BS425" s="37" t="n">
        <v>0</v>
      </c>
      <c r="BT425" s="37" t="n">
        <v>0</v>
      </c>
      <c r="BU425" s="37" t="n">
        <v>0</v>
      </c>
      <c r="BV425" s="37" t="n">
        <v>0</v>
      </c>
      <c r="BW425" s="37" t="n">
        <v>0</v>
      </c>
      <c r="BX425" s="37" t="n">
        <v>0</v>
      </c>
      <c r="BY425" s="37" t="n">
        <v>0</v>
      </c>
      <c r="BZ425" s="37" t="n">
        <v>0</v>
      </c>
      <c r="CA425" s="37" t="n">
        <v>0</v>
      </c>
      <c r="CB425" s="37" t="n">
        <v>0</v>
      </c>
      <c r="CC425" s="37" t="n">
        <v>0.45</v>
      </c>
    </row>
    <row r="426" ht="15.75" customHeight="1" s="57">
      <c r="A426" s="7" t="inlineStr">
        <is>
          <t>NTB</t>
        </is>
      </c>
      <c r="B426" s="7" t="inlineStr">
        <is>
          <t>Ninh Thuận</t>
        </is>
      </c>
      <c r="C426" s="7" t="n">
        <v>20648000</v>
      </c>
      <c r="D426" s="7" t="inlineStr">
        <is>
          <t>(NTH) Ninh Chử</t>
        </is>
      </c>
      <c r="E426" s="7" t="inlineStr">
        <is>
          <t>SME</t>
        </is>
      </c>
      <c r="F426" s="36" t="n">
        <v>20</v>
      </c>
      <c r="G426" s="36" t="n">
        <v>21</v>
      </c>
      <c r="H426" s="36" t="n">
        <v>34</v>
      </c>
      <c r="I426" s="36" t="n">
        <v>81</v>
      </c>
      <c r="J426" s="36" t="n">
        <v>30</v>
      </c>
      <c r="K426" s="28" t="n">
        <v>40</v>
      </c>
      <c r="L426" s="36" t="n">
        <v>27</v>
      </c>
      <c r="M426" s="36" t="n">
        <v>72</v>
      </c>
      <c r="N426" s="36" t="n">
        <v>28</v>
      </c>
      <c r="O426" s="36" t="n">
        <v>44</v>
      </c>
      <c r="P426" s="36" t="n">
        <v>31</v>
      </c>
      <c r="Q426" s="36" t="n">
        <v>19</v>
      </c>
      <c r="R426" s="28" t="n">
        <v>30</v>
      </c>
      <c r="S426" s="36" t="n">
        <v>49</v>
      </c>
      <c r="T426" s="36" t="n">
        <v>80</v>
      </c>
      <c r="U426" s="36" t="n">
        <v>59.34</v>
      </c>
      <c r="V426" s="36" t="n">
        <v>61.28</v>
      </c>
      <c r="W426" s="36" t="n">
        <v>59.79</v>
      </c>
      <c r="X426" s="36" t="n">
        <v>48.82</v>
      </c>
      <c r="Y426" s="28" t="n">
        <v>66.28</v>
      </c>
      <c r="Z426" s="36" t="n">
        <v>60.57</v>
      </c>
      <c r="AA426" s="36" t="n">
        <v>59.14</v>
      </c>
      <c r="AB426" s="36" t="n">
        <v>59.34</v>
      </c>
      <c r="AC426" s="36" t="n">
        <v>61.28</v>
      </c>
      <c r="AD426" s="36" t="n">
        <v>72.98</v>
      </c>
      <c r="AE426" s="36" t="n">
        <v>48.82</v>
      </c>
      <c r="AF426" s="28" t="n">
        <v>66.28</v>
      </c>
      <c r="AG426" s="36" t="n">
        <v>60.57</v>
      </c>
      <c r="AH426" s="37" t="n">
        <v>59.14</v>
      </c>
      <c r="AI426" s="37" t="n">
        <v>59.34</v>
      </c>
      <c r="AJ426" s="37" t="n">
        <v>61.28</v>
      </c>
      <c r="AK426" s="37" t="n">
        <v>59.79</v>
      </c>
      <c r="AL426" s="37" t="n">
        <v>48.82</v>
      </c>
      <c r="AM426" s="37" t="n">
        <v>66.28</v>
      </c>
      <c r="AN426" s="37" t="n">
        <v>60.57</v>
      </c>
      <c r="AO426" s="37" t="n">
        <v>59.14</v>
      </c>
      <c r="AP426" s="37" t="n">
        <v>59.34</v>
      </c>
      <c r="AQ426" s="37" t="n">
        <v>61.28</v>
      </c>
      <c r="AR426" s="37" t="n">
        <v>59.79</v>
      </c>
      <c r="AS426" s="37" t="n">
        <v>48.82</v>
      </c>
      <c r="AT426" s="37" t="n">
        <v>66.28</v>
      </c>
      <c r="AU426" s="37" t="n">
        <v>60.57</v>
      </c>
      <c r="AV426" s="37" t="n">
        <v>59.14</v>
      </c>
      <c r="AW426" s="37" t="n">
        <v>59.34</v>
      </c>
      <c r="AX426" s="37" t="n">
        <v>61.28</v>
      </c>
      <c r="AY426" s="37" t="n">
        <v>59.79</v>
      </c>
      <c r="AZ426" s="37" t="n">
        <v>48.82</v>
      </c>
      <c r="BA426" s="37" t="n">
        <v>62.64</v>
      </c>
      <c r="BB426" s="37" t="n">
        <v>55.64</v>
      </c>
      <c r="BC426" s="37" t="n">
        <v>32.5</v>
      </c>
      <c r="BD426" s="37" t="n">
        <v>24.97</v>
      </c>
      <c r="BE426" s="37" t="n">
        <v>57.06</v>
      </c>
      <c r="BF426" s="37" t="n">
        <v>55.77</v>
      </c>
      <c r="BG426" s="37" t="n">
        <v>49.99</v>
      </c>
      <c r="BH426" s="37" t="n">
        <v>68.16</v>
      </c>
      <c r="BI426" s="37" t="n">
        <v>62.05</v>
      </c>
      <c r="BJ426" s="37" t="n">
        <v>74.73</v>
      </c>
      <c r="BK426" s="37" t="n">
        <v>60.83000000000001</v>
      </c>
      <c r="BL426" s="37" t="n">
        <v>62.83000000000001</v>
      </c>
      <c r="BM426" s="37" t="n">
        <v>61.28</v>
      </c>
      <c r="BN426" s="37" t="n">
        <v>49.99</v>
      </c>
      <c r="BO426" s="37" t="n">
        <v>68.16</v>
      </c>
      <c r="BP426" s="37" t="n">
        <v>62.05</v>
      </c>
      <c r="BQ426" s="37" t="n">
        <v>60.56</v>
      </c>
      <c r="BR426" s="37" t="n">
        <v>60.83000000000001</v>
      </c>
      <c r="BS426" s="37" t="n">
        <v>62.83000000000001</v>
      </c>
      <c r="BT426" s="37" t="n">
        <v>61.28</v>
      </c>
      <c r="BU426" s="37" t="n">
        <v>49.99</v>
      </c>
      <c r="BV426" s="37" t="n">
        <v>68.16</v>
      </c>
      <c r="BW426" s="37" t="n">
        <v>62.05</v>
      </c>
      <c r="BX426" s="37" t="n">
        <v>60.56</v>
      </c>
      <c r="BY426" s="37" t="n">
        <v>60.83000000000001</v>
      </c>
      <c r="BZ426" s="37" t="n">
        <v>62.83000000000001</v>
      </c>
      <c r="CA426" s="37" t="n">
        <v>61.28</v>
      </c>
      <c r="CB426" s="37" t="n">
        <v>49.99</v>
      </c>
      <c r="CC426" s="37" t="n">
        <v>4139.139999999999</v>
      </c>
    </row>
    <row r="427" ht="15.75" customHeight="1" s="57">
      <c r="A427" s="7" t="inlineStr">
        <is>
          <t>NTB</t>
        </is>
      </c>
      <c r="B427" s="7" t="inlineStr">
        <is>
          <t>Ninh Thuận</t>
        </is>
      </c>
      <c r="C427" s="7" t="n">
        <v>20648000</v>
      </c>
      <c r="D427" s="7" t="inlineStr">
        <is>
          <t>(NTH) Ninh Chử</t>
        </is>
      </c>
      <c r="E427" s="7" t="inlineStr">
        <is>
          <t>SME-Bulky</t>
        </is>
      </c>
      <c r="F427" s="36" t="n">
        <v>14</v>
      </c>
      <c r="G427" s="36" t="n">
        <v>5</v>
      </c>
      <c r="H427" s="36" t="n">
        <v>10</v>
      </c>
      <c r="I427" s="36" t="n">
        <v>11</v>
      </c>
      <c r="J427" s="36" t="n">
        <v>9</v>
      </c>
      <c r="K427" s="28" t="n">
        <v>9</v>
      </c>
      <c r="L427" s="36" t="n">
        <v>7</v>
      </c>
      <c r="M427" s="36" t="n">
        <v>11</v>
      </c>
      <c r="N427" s="36" t="n">
        <v>9</v>
      </c>
      <c r="O427" s="36" t="n">
        <v>7</v>
      </c>
      <c r="P427" s="36" t="n">
        <v>1</v>
      </c>
      <c r="Q427" s="36" t="n">
        <v>11</v>
      </c>
      <c r="R427" s="28" t="n">
        <v>13</v>
      </c>
      <c r="S427" s="36" t="n">
        <v>3</v>
      </c>
      <c r="T427" s="36" t="n">
        <v>12</v>
      </c>
      <c r="U427" s="36" t="n">
        <v>5.11</v>
      </c>
      <c r="V427" s="36" t="n">
        <v>5.11</v>
      </c>
      <c r="W427" s="36" t="n">
        <v>5.11</v>
      </c>
      <c r="X427" s="36" t="n">
        <v>3.95</v>
      </c>
      <c r="Y427" s="28" t="n">
        <v>9.300000000000001</v>
      </c>
      <c r="Z427" s="36" t="n">
        <v>8.83</v>
      </c>
      <c r="AA427" s="36" t="n">
        <v>5.11</v>
      </c>
      <c r="AB427" s="36" t="n">
        <v>5.11</v>
      </c>
      <c r="AC427" s="36" t="n">
        <v>5.11</v>
      </c>
      <c r="AD427" s="36" t="n">
        <v>8.83</v>
      </c>
      <c r="AE427" s="36" t="n">
        <v>3.95</v>
      </c>
      <c r="AF427" s="28" t="n">
        <v>9.300000000000001</v>
      </c>
      <c r="AG427" s="36" t="n">
        <v>8.83</v>
      </c>
      <c r="AH427" s="37" t="n">
        <v>5.11</v>
      </c>
      <c r="AI427" s="37" t="n">
        <v>5.11</v>
      </c>
      <c r="AJ427" s="37" t="n">
        <v>5.11</v>
      </c>
      <c r="AK427" s="37" t="n">
        <v>5.11</v>
      </c>
      <c r="AL427" s="37" t="n">
        <v>3.95</v>
      </c>
      <c r="AM427" s="37" t="n">
        <v>9.300000000000001</v>
      </c>
      <c r="AN427" s="37" t="n">
        <v>8.83</v>
      </c>
      <c r="AO427" s="37" t="n">
        <v>5.11</v>
      </c>
      <c r="AP427" s="37" t="n">
        <v>5.11</v>
      </c>
      <c r="AQ427" s="37" t="n">
        <v>5.11</v>
      </c>
      <c r="AR427" s="37" t="n">
        <v>5.11</v>
      </c>
      <c r="AS427" s="37" t="n">
        <v>3.95</v>
      </c>
      <c r="AT427" s="37" t="n">
        <v>9.300000000000001</v>
      </c>
      <c r="AU427" s="37" t="n">
        <v>8.83</v>
      </c>
      <c r="AV427" s="37" t="n">
        <v>5.11</v>
      </c>
      <c r="AW427" s="37" t="n">
        <v>5.11</v>
      </c>
      <c r="AX427" s="37" t="n">
        <v>5.11</v>
      </c>
      <c r="AY427" s="37" t="n">
        <v>5.11</v>
      </c>
      <c r="AZ427" s="37" t="n">
        <v>3.95</v>
      </c>
      <c r="BA427" s="37" t="n">
        <v>9.300000000000001</v>
      </c>
      <c r="BB427" s="37" t="n">
        <v>4.65</v>
      </c>
      <c r="BC427" s="37" t="n">
        <v>1.39</v>
      </c>
      <c r="BD427" s="37" t="n">
        <v>0.7</v>
      </c>
      <c r="BE427" s="37" t="n">
        <v>2.79</v>
      </c>
      <c r="BF427" s="37" t="n">
        <v>2.79</v>
      </c>
      <c r="BG427" s="37" t="n">
        <v>2.09</v>
      </c>
      <c r="BH427" s="37" t="n">
        <v>4.88</v>
      </c>
      <c r="BI427" s="37" t="n">
        <v>4.65</v>
      </c>
      <c r="BJ427" s="37" t="n">
        <v>5.11</v>
      </c>
      <c r="BK427" s="37" t="n">
        <v>2.79</v>
      </c>
      <c r="BL427" s="37" t="n">
        <v>2.79</v>
      </c>
      <c r="BM427" s="37" t="n">
        <v>2.79</v>
      </c>
      <c r="BN427" s="37" t="n">
        <v>2.09</v>
      </c>
      <c r="BO427" s="37" t="n">
        <v>4.88</v>
      </c>
      <c r="BP427" s="37" t="n">
        <v>4.65</v>
      </c>
      <c r="BQ427" s="37" t="n">
        <v>2.79</v>
      </c>
      <c r="BR427" s="37" t="n">
        <v>2.79</v>
      </c>
      <c r="BS427" s="37" t="n">
        <v>2.79</v>
      </c>
      <c r="BT427" s="37" t="n">
        <v>2.79</v>
      </c>
      <c r="BU427" s="37" t="n">
        <v>2.09</v>
      </c>
      <c r="BV427" s="37" t="n">
        <v>4.88</v>
      </c>
      <c r="BW427" s="37" t="n">
        <v>4.65</v>
      </c>
      <c r="BX427" s="37" t="n">
        <v>2.79</v>
      </c>
      <c r="BY427" s="37" t="n">
        <v>2.79</v>
      </c>
      <c r="BZ427" s="37" t="n">
        <v>2.79</v>
      </c>
      <c r="CA427" s="37" t="n">
        <v>2.79</v>
      </c>
      <c r="CB427" s="37" t="n">
        <v>2.09</v>
      </c>
      <c r="CC427" s="37" t="n">
        <v>419.4500000000003</v>
      </c>
    </row>
    <row r="428" ht="15.75" customHeight="1" s="57">
      <c r="A428" s="7" t="inlineStr">
        <is>
          <t>NTB</t>
        </is>
      </c>
      <c r="B428" s="7" t="inlineStr">
        <is>
          <t>Ninh Thuận</t>
        </is>
      </c>
      <c r="C428" s="7" t="n">
        <v>20648000</v>
      </c>
      <c r="D428" s="7" t="inlineStr">
        <is>
          <t>(NTH) Ninh Chử</t>
        </is>
      </c>
      <c r="E428" s="7" t="inlineStr">
        <is>
          <t>Shopee</t>
        </is>
      </c>
      <c r="F428" s="36" t="n">
        <v>6</v>
      </c>
      <c r="G428" s="36" t="n">
        <v>6</v>
      </c>
      <c r="H428" s="36" t="n">
        <v>5</v>
      </c>
      <c r="I428" s="36" t="n">
        <v>8</v>
      </c>
      <c r="J428" s="36" t="n">
        <v>11</v>
      </c>
      <c r="K428" s="28" t="n">
        <v>16</v>
      </c>
      <c r="L428" s="36" t="n">
        <v>10</v>
      </c>
      <c r="M428" s="36" t="n">
        <v>11</v>
      </c>
      <c r="N428" s="36" t="n">
        <v>10</v>
      </c>
      <c r="O428" s="36" t="n">
        <v>12</v>
      </c>
      <c r="P428" s="36" t="n">
        <v>13</v>
      </c>
      <c r="Q428" s="36" t="n">
        <v>11</v>
      </c>
      <c r="R428" s="28" t="n">
        <v>10</v>
      </c>
      <c r="S428" s="36" t="n">
        <v>16</v>
      </c>
      <c r="T428" s="36" t="n">
        <v>11</v>
      </c>
      <c r="U428" s="36" t="n">
        <v>16.13</v>
      </c>
      <c r="V428" s="36" t="n">
        <v>16.13</v>
      </c>
      <c r="W428" s="36" t="n">
        <v>15.52</v>
      </c>
      <c r="X428" s="36" t="n">
        <v>13.77</v>
      </c>
      <c r="Y428" s="28" t="n">
        <v>21.5</v>
      </c>
      <c r="Z428" s="36" t="n">
        <v>17.54</v>
      </c>
      <c r="AA428" s="36" t="n">
        <v>20.96</v>
      </c>
      <c r="AB428" s="36" t="n">
        <v>16.53</v>
      </c>
      <c r="AC428" s="36" t="n">
        <v>13.71</v>
      </c>
      <c r="AD428" s="36" t="n">
        <v>21.16</v>
      </c>
      <c r="AE428" s="36" t="n">
        <v>14.51</v>
      </c>
      <c r="AF428" s="28" t="n">
        <v>24.05</v>
      </c>
      <c r="AG428" s="36" t="n">
        <v>18.14</v>
      </c>
      <c r="AH428" s="37" t="n">
        <v>19.35</v>
      </c>
      <c r="AI428" s="37" t="n">
        <v>16.13</v>
      </c>
      <c r="AJ428" s="37" t="n">
        <v>16.13</v>
      </c>
      <c r="AK428" s="37" t="n">
        <v>17.34</v>
      </c>
      <c r="AL428" s="37" t="n">
        <v>24.26</v>
      </c>
      <c r="AM428" s="37" t="n">
        <v>21.5</v>
      </c>
      <c r="AN428" s="37" t="n">
        <v>17.54</v>
      </c>
      <c r="AO428" s="37" t="n">
        <v>19.35</v>
      </c>
      <c r="AP428" s="37" t="n">
        <v>18.07</v>
      </c>
      <c r="AQ428" s="37" t="n">
        <v>13.37</v>
      </c>
      <c r="AR428" s="37" t="n">
        <v>15.52</v>
      </c>
      <c r="AS428" s="37" t="n">
        <v>13.77</v>
      </c>
      <c r="AT428" s="37" t="n">
        <v>21.5</v>
      </c>
      <c r="AU428" s="37" t="n">
        <v>19.15</v>
      </c>
      <c r="AV428" s="37" t="n">
        <v>19.69</v>
      </c>
      <c r="AW428" s="37" t="n">
        <v>16.13</v>
      </c>
      <c r="AX428" s="37" t="n">
        <v>16.13</v>
      </c>
      <c r="AY428" s="37" t="n">
        <v>15.52</v>
      </c>
      <c r="AZ428" s="37" t="n">
        <v>13.77</v>
      </c>
      <c r="BA428" s="37" t="n">
        <v>18.95</v>
      </c>
      <c r="BB428" s="37" t="n">
        <v>13.64</v>
      </c>
      <c r="BC428" s="37" t="n">
        <v>5.98</v>
      </c>
      <c r="BD428" s="37" t="n">
        <v>9.81</v>
      </c>
      <c r="BE428" s="37" t="n">
        <v>20.09</v>
      </c>
      <c r="BF428" s="37" t="n">
        <v>19.35</v>
      </c>
      <c r="BG428" s="37" t="n">
        <v>13.77</v>
      </c>
      <c r="BH428" s="37" t="n">
        <v>21.1</v>
      </c>
      <c r="BI428" s="37" t="n">
        <v>14.11</v>
      </c>
      <c r="BJ428" s="37" t="n">
        <v>30.37</v>
      </c>
      <c r="BK428" s="37" t="n">
        <v>17.27</v>
      </c>
      <c r="BL428" s="37" t="n">
        <v>16.8</v>
      </c>
      <c r="BM428" s="37" t="n">
        <v>15.32</v>
      </c>
      <c r="BN428" s="37" t="n">
        <v>13.64</v>
      </c>
      <c r="BO428" s="37" t="n">
        <v>21.1</v>
      </c>
      <c r="BP428" s="37" t="n">
        <v>18.81</v>
      </c>
      <c r="BQ428" s="37" t="n">
        <v>28.56</v>
      </c>
      <c r="BR428" s="37" t="n">
        <v>15.92</v>
      </c>
      <c r="BS428" s="37" t="n">
        <v>15.92</v>
      </c>
      <c r="BT428" s="37" t="n">
        <v>15.32</v>
      </c>
      <c r="BU428" s="37" t="n">
        <v>14.65</v>
      </c>
      <c r="BV428" s="37" t="n">
        <v>17.47</v>
      </c>
      <c r="BW428" s="37" t="n">
        <v>17.2</v>
      </c>
      <c r="BX428" s="37" t="n">
        <v>19.01</v>
      </c>
      <c r="BY428" s="37" t="n">
        <v>15.92</v>
      </c>
      <c r="BZ428" s="37" t="n">
        <v>17.74</v>
      </c>
      <c r="CA428" s="37" t="n">
        <v>15.59</v>
      </c>
      <c r="CB428" s="37" t="n">
        <v>13.64</v>
      </c>
      <c r="CC428" s="37" t="n">
        <v>1196.92</v>
      </c>
    </row>
    <row r="429" ht="15.75" customHeight="1" s="57">
      <c r="A429" s="7" t="inlineStr">
        <is>
          <t>NTB</t>
        </is>
      </c>
      <c r="B429" s="7" t="inlineStr">
        <is>
          <t>Ninh Thuận</t>
        </is>
      </c>
      <c r="C429" s="7" t="n">
        <v>20648000</v>
      </c>
      <c r="D429" s="7" t="inlineStr">
        <is>
          <t>(NTH) Ninh Chử</t>
        </is>
      </c>
      <c r="E429" s="7" t="inlineStr">
        <is>
          <t>Shopee-Bulky</t>
        </is>
      </c>
      <c r="F429" s="36" t="n">
        <v>2.05</v>
      </c>
      <c r="G429" s="36" t="n">
        <v>1.17</v>
      </c>
      <c r="H429" s="36" t="n">
        <v>1.46</v>
      </c>
      <c r="I429" s="36" t="n">
        <v>0</v>
      </c>
      <c r="J429" s="36" t="n">
        <v>1.46</v>
      </c>
      <c r="K429" s="28" t="n">
        <v>1.17</v>
      </c>
      <c r="L429" s="36" t="n">
        <v>0.29</v>
      </c>
      <c r="M429" s="36" t="n">
        <v>0</v>
      </c>
      <c r="N429" s="36" t="n">
        <v>1.17</v>
      </c>
      <c r="O429" s="36" t="n">
        <v>0.88</v>
      </c>
      <c r="P429" s="36" t="n">
        <v>2.93</v>
      </c>
      <c r="Q429" s="36" t="n">
        <v>1.17</v>
      </c>
      <c r="R429" s="28" t="n">
        <v>2.34</v>
      </c>
      <c r="S429" s="36" t="n">
        <v>1.17</v>
      </c>
      <c r="T429" s="36" t="n">
        <v>1.17</v>
      </c>
      <c r="U429" s="36" t="n">
        <v>1.05</v>
      </c>
      <c r="V429" s="36" t="n">
        <v>1.05</v>
      </c>
      <c r="W429" s="36" t="n">
        <v>1.58</v>
      </c>
      <c r="X429" s="36" t="n">
        <v>0.79</v>
      </c>
      <c r="Y429" s="28" t="n">
        <v>1.84</v>
      </c>
      <c r="Z429" s="36" t="n">
        <v>1.32</v>
      </c>
      <c r="AA429" s="36" t="n">
        <v>1.71</v>
      </c>
      <c r="AB429" s="36" t="n">
        <v>1.32</v>
      </c>
      <c r="AC429" s="36" t="n">
        <v>1.58</v>
      </c>
      <c r="AD429" s="36" t="n">
        <v>6.18</v>
      </c>
      <c r="AE429" s="36" t="n">
        <v>3.28</v>
      </c>
      <c r="AF429" s="28" t="n">
        <v>3.02</v>
      </c>
      <c r="AG429" s="36" t="n">
        <v>1.84</v>
      </c>
      <c r="AH429" s="37" t="n">
        <v>1.32</v>
      </c>
      <c r="AI429" s="37" t="n">
        <v>1.32</v>
      </c>
      <c r="AJ429" s="37" t="n">
        <v>1.58</v>
      </c>
      <c r="AK429" s="37" t="n">
        <v>1.97</v>
      </c>
      <c r="AL429" s="37" t="n">
        <v>1.58</v>
      </c>
      <c r="AM429" s="37" t="n">
        <v>1.97</v>
      </c>
      <c r="AN429" s="37" t="n">
        <v>1.32</v>
      </c>
      <c r="AO429" s="37" t="n">
        <v>1.45</v>
      </c>
      <c r="AP429" s="37" t="n">
        <v>1.84</v>
      </c>
      <c r="AQ429" s="37" t="n">
        <v>1.58</v>
      </c>
      <c r="AR429" s="37" t="n">
        <v>1.58</v>
      </c>
      <c r="AS429" s="37" t="n">
        <v>0.53</v>
      </c>
      <c r="AT429" s="37" t="n">
        <v>1.32</v>
      </c>
      <c r="AU429" s="37" t="n">
        <v>2.37</v>
      </c>
      <c r="AV429" s="37" t="n">
        <v>2.5</v>
      </c>
      <c r="AW429" s="37" t="n">
        <v>1.05</v>
      </c>
      <c r="AX429" s="37" t="n">
        <v>1.05</v>
      </c>
      <c r="AY429" s="37" t="n">
        <v>1.58</v>
      </c>
      <c r="AZ429" s="37" t="n">
        <v>0.53</v>
      </c>
      <c r="BA429" s="37" t="n">
        <v>1.45</v>
      </c>
      <c r="BB429" s="37" t="n">
        <v>1.58</v>
      </c>
      <c r="BC429" s="37" t="n">
        <v>0</v>
      </c>
      <c r="BD429" s="37" t="n">
        <v>0.39</v>
      </c>
      <c r="BE429" s="37" t="n">
        <v>1.84</v>
      </c>
      <c r="BF429" s="37" t="n">
        <v>1.58</v>
      </c>
      <c r="BG429" s="37" t="n">
        <v>0.79</v>
      </c>
      <c r="BH429" s="37" t="n">
        <v>1.84</v>
      </c>
      <c r="BI429" s="37" t="n">
        <v>1.84</v>
      </c>
      <c r="BJ429" s="37" t="n">
        <v>12.62</v>
      </c>
      <c r="BK429" s="37" t="n">
        <v>2.89</v>
      </c>
      <c r="BL429" s="37" t="n">
        <v>1.84</v>
      </c>
      <c r="BM429" s="37" t="n">
        <v>1.58</v>
      </c>
      <c r="BN429" s="37" t="n">
        <v>0.79</v>
      </c>
      <c r="BO429" s="37" t="n">
        <v>1.84</v>
      </c>
      <c r="BP429" s="37" t="n">
        <v>2.89</v>
      </c>
      <c r="BQ429" s="37" t="n">
        <v>1.84</v>
      </c>
      <c r="BR429" s="37" t="n">
        <v>1.58</v>
      </c>
      <c r="BS429" s="37" t="n">
        <v>1.58</v>
      </c>
      <c r="BT429" s="37" t="n">
        <v>1.05</v>
      </c>
      <c r="BU429" s="37" t="n">
        <v>1.84</v>
      </c>
      <c r="BV429" s="37" t="n">
        <v>1.84</v>
      </c>
      <c r="BW429" s="37" t="n">
        <v>1.84</v>
      </c>
      <c r="BX429" s="37" t="n">
        <v>1.84</v>
      </c>
      <c r="BY429" s="37" t="n">
        <v>1.58</v>
      </c>
      <c r="BZ429" s="37" t="n">
        <v>2.24</v>
      </c>
      <c r="CA429" s="37" t="n">
        <v>1.58</v>
      </c>
      <c r="CB429" s="37" t="n">
        <v>0.53</v>
      </c>
      <c r="CC429" s="37" t="n">
        <v>128.5300000000001</v>
      </c>
    </row>
    <row r="430" ht="15.75" customHeight="1" s="57">
      <c r="A430" s="7" t="inlineStr">
        <is>
          <t>NTB</t>
        </is>
      </c>
      <c r="B430" s="7" t="inlineStr">
        <is>
          <t>Ninh Thuận</t>
        </is>
      </c>
      <c r="C430" s="7" t="n">
        <v>20648000</v>
      </c>
      <c r="D430" s="7" t="inlineStr">
        <is>
          <t>(NTH) Ninh Chử</t>
        </is>
      </c>
      <c r="E430" s="7" t="inlineStr">
        <is>
          <t>Shopee-Bulky (10-15kg)</t>
        </is>
      </c>
      <c r="F430" s="36" t="n">
        <v>4.95</v>
      </c>
      <c r="G430" s="36" t="n">
        <v>2.83</v>
      </c>
      <c r="H430" s="36" t="n">
        <v>3.54</v>
      </c>
      <c r="I430" s="36" t="n">
        <v>0</v>
      </c>
      <c r="J430" s="36" t="n">
        <v>3.54</v>
      </c>
      <c r="K430" s="28" t="n">
        <v>2.83</v>
      </c>
      <c r="L430" s="36" t="n">
        <v>0.71</v>
      </c>
      <c r="M430" s="36" t="n">
        <v>0</v>
      </c>
      <c r="N430" s="36" t="n">
        <v>2.83</v>
      </c>
      <c r="O430" s="36" t="n">
        <v>2.12</v>
      </c>
      <c r="P430" s="36" t="n">
        <v>7.07</v>
      </c>
      <c r="Q430" s="36" t="n">
        <v>2.83</v>
      </c>
      <c r="R430" s="28" t="n">
        <v>5.66</v>
      </c>
      <c r="S430" s="36" t="n">
        <v>2.83</v>
      </c>
      <c r="T430" s="36" t="n">
        <v>2.83</v>
      </c>
      <c r="U430" s="36" t="n">
        <v>2.37</v>
      </c>
      <c r="V430" s="36" t="n">
        <v>1.97</v>
      </c>
      <c r="W430" s="36" t="n">
        <v>2.11</v>
      </c>
      <c r="X430" s="36" t="n">
        <v>1.45</v>
      </c>
      <c r="Y430" s="28" t="n">
        <v>4.07</v>
      </c>
      <c r="Z430" s="36" t="n">
        <v>2.76</v>
      </c>
      <c r="AA430" s="36" t="n">
        <v>4.859999999999999</v>
      </c>
      <c r="AB430" s="36" t="n">
        <v>2.5</v>
      </c>
      <c r="AC430" s="36" t="n">
        <v>2.5</v>
      </c>
      <c r="AD430" s="36" t="n">
        <v>10.64</v>
      </c>
      <c r="AE430" s="36" t="n">
        <v>7.100000000000001</v>
      </c>
      <c r="AF430" s="28" t="n">
        <v>8.02</v>
      </c>
      <c r="AG430" s="36" t="n">
        <v>4.33</v>
      </c>
      <c r="AH430" s="37" t="n">
        <v>2.63</v>
      </c>
      <c r="AI430" s="37" t="n">
        <v>2.63</v>
      </c>
      <c r="AJ430" s="37" t="n">
        <v>1.97</v>
      </c>
      <c r="AK430" s="37" t="n">
        <v>5.52</v>
      </c>
      <c r="AL430" s="37" t="n">
        <v>2.63</v>
      </c>
      <c r="AM430" s="37" t="n">
        <v>4.6</v>
      </c>
      <c r="AN430" s="37" t="n">
        <v>2.76</v>
      </c>
      <c r="AO430" s="37" t="n">
        <v>2.5</v>
      </c>
      <c r="AP430" s="37" t="n">
        <v>5.119999999999999</v>
      </c>
      <c r="AQ430" s="37" t="n">
        <v>3.15</v>
      </c>
      <c r="AR430" s="37" t="n">
        <v>1.84</v>
      </c>
      <c r="AS430" s="37" t="n">
        <v>1.32</v>
      </c>
      <c r="AT430" s="37" t="n">
        <v>3.28</v>
      </c>
      <c r="AU430" s="37" t="n">
        <v>7.890000000000001</v>
      </c>
      <c r="AV430" s="37" t="n">
        <v>5.52</v>
      </c>
      <c r="AW430" s="37" t="n">
        <v>2.63</v>
      </c>
      <c r="AX430" s="37" t="n">
        <v>1.97</v>
      </c>
      <c r="AY430" s="37" t="n">
        <v>1.84</v>
      </c>
      <c r="AZ430" s="37" t="n">
        <v>1.32</v>
      </c>
      <c r="BA430" s="37" t="n">
        <v>2.76</v>
      </c>
      <c r="BB430" s="37" t="n">
        <v>1.84</v>
      </c>
      <c r="BC430" s="37" t="n">
        <v>0.26</v>
      </c>
      <c r="BD430" s="37" t="n">
        <v>0.53</v>
      </c>
      <c r="BE430" s="37" t="n">
        <v>3.68</v>
      </c>
      <c r="BF430" s="37" t="n">
        <v>2.63</v>
      </c>
      <c r="BG430" s="37" t="n">
        <v>1.84</v>
      </c>
      <c r="BH430" s="37" t="n">
        <v>4.33</v>
      </c>
      <c r="BI430" s="37" t="n">
        <v>3.41</v>
      </c>
      <c r="BJ430" s="37" t="n">
        <v>20.1</v>
      </c>
      <c r="BK430" s="37" t="n">
        <v>8.800000000000001</v>
      </c>
      <c r="BL430" s="37" t="n">
        <v>3.94</v>
      </c>
      <c r="BM430" s="37" t="n">
        <v>2.24</v>
      </c>
      <c r="BN430" s="37" t="n">
        <v>1.84</v>
      </c>
      <c r="BO430" s="37" t="n">
        <v>4.6</v>
      </c>
      <c r="BP430" s="37" t="n">
        <v>8.93</v>
      </c>
      <c r="BQ430" s="37" t="n">
        <v>5.909999999999999</v>
      </c>
      <c r="BR430" s="37" t="n">
        <v>3.28</v>
      </c>
      <c r="BS430" s="37" t="n">
        <v>2.63</v>
      </c>
      <c r="BT430" s="37" t="n">
        <v>1.84</v>
      </c>
      <c r="BU430" s="37" t="n">
        <v>3.68</v>
      </c>
      <c r="BV430" s="37" t="n">
        <v>4.33</v>
      </c>
      <c r="BW430" s="37" t="n">
        <v>3.41</v>
      </c>
      <c r="BX430" s="37" t="n">
        <v>3.28</v>
      </c>
      <c r="BY430" s="37" t="n">
        <v>3.28</v>
      </c>
      <c r="BZ430" s="37" t="n">
        <v>6.31</v>
      </c>
      <c r="CA430" s="37" t="n">
        <v>2.63</v>
      </c>
      <c r="CB430" s="37" t="n">
        <v>1.84</v>
      </c>
      <c r="CC430" s="37" t="n">
        <v>274.5199999999999</v>
      </c>
    </row>
    <row r="431" ht="15.75" customHeight="1" s="57">
      <c r="A431" s="7" t="inlineStr">
        <is>
          <t>NTB</t>
        </is>
      </c>
      <c r="B431" s="7" t="inlineStr">
        <is>
          <t>Ninh Thuận</t>
        </is>
      </c>
      <c r="C431" s="7" t="n">
        <v>20648000</v>
      </c>
      <c r="D431" s="7" t="inlineStr">
        <is>
          <t>(NTH) Ninh Chử</t>
        </is>
      </c>
      <c r="E431" s="7" t="inlineStr">
        <is>
          <t>TTS</t>
        </is>
      </c>
      <c r="F431" s="36" t="n">
        <v>9</v>
      </c>
      <c r="G431" s="36" t="n">
        <v>9</v>
      </c>
      <c r="H431" s="36" t="n">
        <v>7</v>
      </c>
      <c r="I431" s="36" t="n">
        <v>12</v>
      </c>
      <c r="J431" s="36" t="n">
        <v>10</v>
      </c>
      <c r="K431" s="28" t="n">
        <v>11</v>
      </c>
      <c r="L431" s="36" t="n">
        <v>1</v>
      </c>
      <c r="M431" s="36" t="n">
        <v>11</v>
      </c>
      <c r="N431" s="36" t="n">
        <v>6</v>
      </c>
      <c r="O431" s="36" t="n">
        <v>11</v>
      </c>
      <c r="P431" s="36" t="n">
        <v>12</v>
      </c>
      <c r="Q431" s="36" t="n">
        <v>5</v>
      </c>
      <c r="R431" s="28" t="n">
        <v>10</v>
      </c>
      <c r="S431" s="36" t="n">
        <v>5</v>
      </c>
      <c r="T431" s="36" t="n">
        <v>3</v>
      </c>
      <c r="U431" s="36" t="n">
        <v>3.67</v>
      </c>
      <c r="V431" s="36" t="n">
        <v>3.59</v>
      </c>
      <c r="W431" s="36" t="n">
        <v>3.48</v>
      </c>
      <c r="X431" s="36" t="n">
        <v>2.83</v>
      </c>
      <c r="Y431" s="28" t="n">
        <v>4.05</v>
      </c>
      <c r="Z431" s="36" t="n">
        <v>3.47</v>
      </c>
      <c r="AA431" s="36" t="n">
        <v>3.74</v>
      </c>
      <c r="AB431" s="36" t="n">
        <v>3.98</v>
      </c>
      <c r="AC431" s="36" t="n">
        <v>4.14</v>
      </c>
      <c r="AD431" s="36" t="n">
        <v>4.27</v>
      </c>
      <c r="AE431" s="36" t="n">
        <v>3.08</v>
      </c>
      <c r="AF431" s="28" t="n">
        <v>4.14</v>
      </c>
      <c r="AG431" s="36" t="n">
        <v>3.52</v>
      </c>
      <c r="AH431" s="37" t="n">
        <v>3.5</v>
      </c>
      <c r="AI431" s="37" t="n">
        <v>3.89</v>
      </c>
      <c r="AJ431" s="37" t="n">
        <v>3.98</v>
      </c>
      <c r="AK431" s="37" t="n">
        <v>3.9</v>
      </c>
      <c r="AL431" s="37" t="n">
        <v>2.99</v>
      </c>
      <c r="AM431" s="37" t="n">
        <v>4.05</v>
      </c>
      <c r="AN431" s="37" t="n">
        <v>3.54</v>
      </c>
      <c r="AO431" s="37" t="n">
        <v>3.54</v>
      </c>
      <c r="AP431" s="37" t="n">
        <v>3.47</v>
      </c>
      <c r="AQ431" s="37" t="n">
        <v>3.54</v>
      </c>
      <c r="AR431" s="37" t="n">
        <v>3.48</v>
      </c>
      <c r="AS431" s="37" t="n">
        <v>2.83</v>
      </c>
      <c r="AT431" s="37" t="n">
        <v>4.359999999999999</v>
      </c>
      <c r="AU431" s="37" t="n">
        <v>3.81</v>
      </c>
      <c r="AV431" s="37" t="n">
        <v>3.56</v>
      </c>
      <c r="AW431" s="37" t="n">
        <v>3.34</v>
      </c>
      <c r="AX431" s="37" t="n">
        <v>3.34</v>
      </c>
      <c r="AY431" s="37" t="n">
        <v>3.43</v>
      </c>
      <c r="AZ431" s="37" t="n">
        <v>2.83</v>
      </c>
      <c r="BA431" s="37" t="n">
        <v>4.03</v>
      </c>
      <c r="BB431" s="37" t="n">
        <v>3.7</v>
      </c>
      <c r="BC431" s="37" t="n">
        <v>1.77</v>
      </c>
      <c r="BD431" s="37" t="n">
        <v>2.59</v>
      </c>
      <c r="BE431" s="37" t="n">
        <v>6</v>
      </c>
      <c r="BF431" s="37" t="n">
        <v>5.819999999999999</v>
      </c>
      <c r="BG431" s="37" t="n">
        <v>2.99</v>
      </c>
      <c r="BH431" s="37" t="n">
        <v>4.359999999999999</v>
      </c>
      <c r="BI431" s="37" t="n">
        <v>3.7</v>
      </c>
      <c r="BJ431" s="37" t="n">
        <v>3.34</v>
      </c>
      <c r="BK431" s="37" t="n">
        <v>3.81</v>
      </c>
      <c r="BL431" s="37" t="n">
        <v>3.81</v>
      </c>
      <c r="BM431" s="37" t="n">
        <v>3.68</v>
      </c>
      <c r="BN431" s="37" t="n">
        <v>2.99</v>
      </c>
      <c r="BO431" s="37" t="n">
        <v>4.359999999999999</v>
      </c>
      <c r="BP431" s="37" t="n">
        <v>3.7</v>
      </c>
      <c r="BQ431" s="37" t="n">
        <v>3.68</v>
      </c>
      <c r="BR431" s="37" t="n">
        <v>3.81</v>
      </c>
      <c r="BS431" s="37" t="n">
        <v>3.81</v>
      </c>
      <c r="BT431" s="37" t="n">
        <v>3.68</v>
      </c>
      <c r="BU431" s="37" t="n">
        <v>2.99</v>
      </c>
      <c r="BV431" s="37" t="n">
        <v>4.359999999999999</v>
      </c>
      <c r="BW431" s="37" t="n">
        <v>3.7</v>
      </c>
      <c r="BX431" s="37" t="n">
        <v>3.68</v>
      </c>
      <c r="BY431" s="37" t="n">
        <v>3.81</v>
      </c>
      <c r="BZ431" s="37" t="n">
        <v>3.81</v>
      </c>
      <c r="CA431" s="37" t="n">
        <v>3.68</v>
      </c>
      <c r="CB431" s="37" t="n">
        <v>2.99</v>
      </c>
      <c r="CC431" s="37" t="n">
        <v>341.9900000000001</v>
      </c>
    </row>
    <row r="432" ht="15.75" customHeight="1" s="57">
      <c r="A432" s="7" t="inlineStr">
        <is>
          <t>NTB</t>
        </is>
      </c>
      <c r="B432" s="7" t="inlineStr">
        <is>
          <t>Ninh Thuận</t>
        </is>
      </c>
      <c r="C432" s="7" t="n">
        <v>20648000</v>
      </c>
      <c r="D432" s="7" t="inlineStr">
        <is>
          <t>(NTH) Ninh Chử</t>
        </is>
      </c>
      <c r="E432" s="7" t="inlineStr">
        <is>
          <t>TTS-Bulky</t>
        </is>
      </c>
      <c r="F432" s="36" t="n">
        <v>0</v>
      </c>
      <c r="G432" s="36" t="n">
        <v>0</v>
      </c>
      <c r="H432" s="36" t="n">
        <v>0</v>
      </c>
      <c r="I432" s="36" t="n">
        <v>0</v>
      </c>
      <c r="J432" s="36" t="n">
        <v>0</v>
      </c>
      <c r="K432" s="28" t="n">
        <v>0</v>
      </c>
      <c r="L432" s="36" t="n">
        <v>0</v>
      </c>
      <c r="M432" s="36" t="n">
        <v>0</v>
      </c>
      <c r="N432" s="36" t="n">
        <v>0</v>
      </c>
      <c r="O432" s="36" t="n">
        <v>1</v>
      </c>
      <c r="P432" s="36" t="n">
        <v>0</v>
      </c>
      <c r="Q432" s="36" t="n">
        <v>0</v>
      </c>
      <c r="R432" s="28" t="n">
        <v>0</v>
      </c>
      <c r="S432" s="36" t="n">
        <v>0</v>
      </c>
      <c r="T432" s="36" t="n">
        <v>0</v>
      </c>
      <c r="U432" s="36" t="n">
        <v>0</v>
      </c>
      <c r="V432" s="36" t="n">
        <v>0</v>
      </c>
      <c r="W432" s="36" t="n">
        <v>0</v>
      </c>
      <c r="X432" s="36" t="n">
        <v>0</v>
      </c>
      <c r="Y432" s="28" t="n">
        <v>0</v>
      </c>
      <c r="Z432" s="36" t="n">
        <v>0</v>
      </c>
      <c r="AA432" s="36" t="n">
        <v>0</v>
      </c>
      <c r="AB432" s="36" t="n">
        <v>0</v>
      </c>
      <c r="AC432" s="36" t="n">
        <v>0</v>
      </c>
      <c r="AD432" s="36" t="n">
        <v>0.73</v>
      </c>
      <c r="AE432" s="36" t="n">
        <v>0</v>
      </c>
      <c r="AF432" s="28" t="n">
        <v>0</v>
      </c>
      <c r="AG432" s="36" t="n">
        <v>0</v>
      </c>
      <c r="AH432" s="37" t="n">
        <v>0</v>
      </c>
      <c r="AI432" s="37" t="n">
        <v>0</v>
      </c>
      <c r="AJ432" s="37" t="n">
        <v>0</v>
      </c>
      <c r="AK432" s="37" t="n">
        <v>0</v>
      </c>
      <c r="AL432" s="37" t="n">
        <v>0</v>
      </c>
      <c r="AM432" s="37" t="n">
        <v>0</v>
      </c>
      <c r="AN432" s="37" t="n">
        <v>0</v>
      </c>
      <c r="AO432" s="37" t="n">
        <v>0</v>
      </c>
      <c r="AP432" s="37" t="n">
        <v>0</v>
      </c>
      <c r="AQ432" s="37" t="n">
        <v>0</v>
      </c>
      <c r="AR432" s="37" t="n">
        <v>0</v>
      </c>
      <c r="AS432" s="37" t="n">
        <v>0</v>
      </c>
      <c r="AT432" s="37" t="n">
        <v>0</v>
      </c>
      <c r="AU432" s="37" t="n">
        <v>0</v>
      </c>
      <c r="AV432" s="37" t="n">
        <v>0</v>
      </c>
      <c r="AW432" s="37" t="n">
        <v>0</v>
      </c>
      <c r="AX432" s="37" t="n">
        <v>0</v>
      </c>
      <c r="AY432" s="37" t="n">
        <v>0</v>
      </c>
      <c r="AZ432" s="37" t="n">
        <v>0</v>
      </c>
      <c r="BA432" s="37" t="n">
        <v>0</v>
      </c>
      <c r="BB432" s="37" t="n">
        <v>0</v>
      </c>
      <c r="BC432" s="37" t="n">
        <v>0</v>
      </c>
      <c r="BD432" s="37" t="n">
        <v>0</v>
      </c>
      <c r="BE432" s="37" t="n">
        <v>0</v>
      </c>
      <c r="BF432" s="37" t="n">
        <v>0</v>
      </c>
      <c r="BG432" s="37" t="n">
        <v>0</v>
      </c>
      <c r="BH432" s="37" t="n">
        <v>0</v>
      </c>
      <c r="BI432" s="37" t="n">
        <v>0</v>
      </c>
      <c r="BJ432" s="37" t="n">
        <v>0.18</v>
      </c>
      <c r="BK432" s="37" t="n">
        <v>0</v>
      </c>
      <c r="BL432" s="37" t="n">
        <v>0</v>
      </c>
      <c r="BM432" s="37" t="n">
        <v>0</v>
      </c>
      <c r="BN432" s="37" t="n">
        <v>0</v>
      </c>
      <c r="BO432" s="37" t="n">
        <v>0</v>
      </c>
      <c r="BP432" s="37" t="n">
        <v>0</v>
      </c>
      <c r="BQ432" s="37" t="n">
        <v>0</v>
      </c>
      <c r="BR432" s="37" t="n">
        <v>0</v>
      </c>
      <c r="BS432" s="37" t="n">
        <v>0</v>
      </c>
      <c r="BT432" s="37" t="n">
        <v>0</v>
      </c>
      <c r="BU432" s="37" t="n">
        <v>0</v>
      </c>
      <c r="BV432" s="37" t="n">
        <v>0</v>
      </c>
      <c r="BW432" s="37" t="n">
        <v>0</v>
      </c>
      <c r="BX432" s="37" t="n">
        <v>0</v>
      </c>
      <c r="BY432" s="37" t="n">
        <v>0</v>
      </c>
      <c r="BZ432" s="37" t="n">
        <v>0</v>
      </c>
      <c r="CA432" s="37" t="n">
        <v>0</v>
      </c>
      <c r="CB432" s="37" t="n">
        <v>0</v>
      </c>
      <c r="CC432" s="37" t="n">
        <v>1.91</v>
      </c>
    </row>
    <row r="433" ht="15.75" customHeight="1" s="57">
      <c r="A433" s="7" t="inlineStr">
        <is>
          <t>NTB</t>
        </is>
      </c>
      <c r="B433" s="7" t="inlineStr">
        <is>
          <t>Ninh Thuận</t>
        </is>
      </c>
      <c r="C433" s="7" t="n">
        <v>21163000</v>
      </c>
      <c r="D433" s="7" t="inlineStr">
        <is>
          <t>Kho Giao Hàng Nặng - Phan Rang - Ninh Thuận</t>
        </is>
      </c>
      <c r="E433" s="7" t="inlineStr">
        <is>
          <t>SME</t>
        </is>
      </c>
      <c r="F433" s="36" t="n">
        <v>6</v>
      </c>
      <c r="G433" s="36" t="n">
        <v>2</v>
      </c>
      <c r="H433" s="36" t="n">
        <v>5</v>
      </c>
      <c r="I433" s="36" t="n">
        <v>2</v>
      </c>
      <c r="J433" s="36" t="n">
        <v>13</v>
      </c>
      <c r="K433" s="28" t="n">
        <v>4</v>
      </c>
      <c r="L433" s="36" t="n">
        <v>0</v>
      </c>
      <c r="M433" s="36" t="n">
        <v>6</v>
      </c>
      <c r="N433" s="36" t="n">
        <v>2</v>
      </c>
      <c r="O433" s="36" t="n">
        <v>0</v>
      </c>
      <c r="P433" s="36" t="n">
        <v>5</v>
      </c>
      <c r="Q433" s="36" t="n">
        <v>1</v>
      </c>
      <c r="R433" s="28" t="n">
        <v>5</v>
      </c>
      <c r="S433" s="36" t="n">
        <v>1</v>
      </c>
      <c r="T433" s="36" t="n">
        <v>7</v>
      </c>
      <c r="U433" s="36" t="n">
        <v>3.66</v>
      </c>
      <c r="V433" s="36" t="n">
        <v>3.79</v>
      </c>
      <c r="W433" s="36" t="n">
        <v>3.69</v>
      </c>
      <c r="X433" s="36" t="n">
        <v>3.03</v>
      </c>
      <c r="Y433" s="28" t="n">
        <v>4.1</v>
      </c>
      <c r="Z433" s="36" t="n">
        <v>3.74</v>
      </c>
      <c r="AA433" s="36" t="n">
        <v>3.67</v>
      </c>
      <c r="AB433" s="36" t="n">
        <v>3.66</v>
      </c>
      <c r="AC433" s="36" t="n">
        <v>3.79</v>
      </c>
      <c r="AD433" s="36" t="n">
        <v>4.54</v>
      </c>
      <c r="AE433" s="36" t="n">
        <v>3.03</v>
      </c>
      <c r="AF433" s="28" t="n">
        <v>4.1</v>
      </c>
      <c r="AG433" s="36" t="n">
        <v>3.74</v>
      </c>
      <c r="AH433" s="37" t="n">
        <v>3.67</v>
      </c>
      <c r="AI433" s="37" t="n">
        <v>3.66</v>
      </c>
      <c r="AJ433" s="37" t="n">
        <v>3.79</v>
      </c>
      <c r="AK433" s="37" t="n">
        <v>3.69</v>
      </c>
      <c r="AL433" s="37" t="n">
        <v>3.03</v>
      </c>
      <c r="AM433" s="37" t="n">
        <v>4.1</v>
      </c>
      <c r="AN433" s="37" t="n">
        <v>3.74</v>
      </c>
      <c r="AO433" s="37" t="n">
        <v>3.67</v>
      </c>
      <c r="AP433" s="37" t="n">
        <v>3.66</v>
      </c>
      <c r="AQ433" s="37" t="n">
        <v>3.79</v>
      </c>
      <c r="AR433" s="37" t="n">
        <v>3.69</v>
      </c>
      <c r="AS433" s="37" t="n">
        <v>3.03</v>
      </c>
      <c r="AT433" s="37" t="n">
        <v>4.1</v>
      </c>
      <c r="AU433" s="37" t="n">
        <v>3.74</v>
      </c>
      <c r="AV433" s="37" t="n">
        <v>3.67</v>
      </c>
      <c r="AW433" s="37" t="n">
        <v>3.66</v>
      </c>
      <c r="AX433" s="37" t="n">
        <v>3.79</v>
      </c>
      <c r="AY433" s="37" t="n">
        <v>3.69</v>
      </c>
      <c r="AZ433" s="37" t="n">
        <v>3.03</v>
      </c>
      <c r="BA433" s="37" t="n">
        <v>3.88</v>
      </c>
      <c r="BB433" s="37" t="n">
        <v>3.44</v>
      </c>
      <c r="BC433" s="37" t="n">
        <v>2.11</v>
      </c>
      <c r="BD433" s="37" t="n">
        <v>1.66</v>
      </c>
      <c r="BE433" s="37" t="n">
        <v>3.53</v>
      </c>
      <c r="BF433" s="37" t="n">
        <v>3.44</v>
      </c>
      <c r="BG433" s="37" t="n">
        <v>3.11</v>
      </c>
      <c r="BH433" s="37" t="n">
        <v>4.23</v>
      </c>
      <c r="BI433" s="37" t="n">
        <v>3.84</v>
      </c>
      <c r="BJ433" s="37" t="n">
        <v>4.66</v>
      </c>
      <c r="BK433" s="37" t="n">
        <v>3.76</v>
      </c>
      <c r="BL433" s="37" t="n">
        <v>3.9</v>
      </c>
      <c r="BM433" s="37" t="n">
        <v>3.79</v>
      </c>
      <c r="BN433" s="37" t="n">
        <v>3.11</v>
      </c>
      <c r="BO433" s="37" t="n">
        <v>4.23</v>
      </c>
      <c r="BP433" s="37" t="n">
        <v>3.84</v>
      </c>
      <c r="BQ433" s="37" t="n">
        <v>3.77</v>
      </c>
      <c r="BR433" s="37" t="n">
        <v>3.76</v>
      </c>
      <c r="BS433" s="37" t="n">
        <v>3.9</v>
      </c>
      <c r="BT433" s="37" t="n">
        <v>3.79</v>
      </c>
      <c r="BU433" s="37" t="n">
        <v>3.11</v>
      </c>
      <c r="BV433" s="37" t="n">
        <v>4.23</v>
      </c>
      <c r="BW433" s="37" t="n">
        <v>3.84</v>
      </c>
      <c r="BX433" s="37" t="n">
        <v>3.77</v>
      </c>
      <c r="BY433" s="37" t="n">
        <v>3.76</v>
      </c>
      <c r="BZ433" s="37" t="n">
        <v>3.9</v>
      </c>
      <c r="CA433" s="37" t="n">
        <v>3.79</v>
      </c>
      <c r="CB433" s="37" t="n">
        <v>3.11</v>
      </c>
      <c r="CC433" s="37" t="n">
        <v>277.9999999999999</v>
      </c>
    </row>
    <row r="434" ht="15.75" customHeight="1" s="57">
      <c r="A434" s="7" t="inlineStr">
        <is>
          <t>NTB</t>
        </is>
      </c>
      <c r="B434" s="7" t="inlineStr">
        <is>
          <t>Ninh Thuận</t>
        </is>
      </c>
      <c r="C434" s="7" t="n">
        <v>22357000</v>
      </c>
      <c r="D434" s="7" t="inlineStr">
        <is>
          <t>(NTH) Thuận Nam</t>
        </is>
      </c>
      <c r="E434" s="7" t="inlineStr">
        <is>
          <t>SME</t>
        </is>
      </c>
      <c r="F434" s="36" t="n">
        <v>3</v>
      </c>
      <c r="G434" s="36" t="n">
        <v>7</v>
      </c>
      <c r="H434" s="36" t="n">
        <v>2</v>
      </c>
      <c r="I434" s="36" t="n">
        <v>7</v>
      </c>
      <c r="J434" s="36" t="n">
        <v>3</v>
      </c>
      <c r="K434" s="28" t="n">
        <v>11</v>
      </c>
      <c r="L434" s="36" t="n">
        <v>4</v>
      </c>
      <c r="M434" s="36" t="n">
        <v>6</v>
      </c>
      <c r="N434" s="36" t="n">
        <v>10</v>
      </c>
      <c r="O434" s="36" t="n">
        <v>6</v>
      </c>
      <c r="P434" s="36" t="n">
        <v>4</v>
      </c>
      <c r="Q434" s="36" t="n">
        <v>5</v>
      </c>
      <c r="R434" s="28" t="n">
        <v>12</v>
      </c>
      <c r="S434" s="36" t="n">
        <v>5</v>
      </c>
      <c r="T434" s="36" t="n">
        <v>1</v>
      </c>
      <c r="U434" s="36" t="n">
        <v>8.34</v>
      </c>
      <c r="V434" s="36" t="n">
        <v>8.609999999999999</v>
      </c>
      <c r="W434" s="36" t="n">
        <v>8.4</v>
      </c>
      <c r="X434" s="36" t="n">
        <v>6.86</v>
      </c>
      <c r="Y434" s="28" t="n">
        <v>9.300000000000001</v>
      </c>
      <c r="Z434" s="36" t="n">
        <v>8.51</v>
      </c>
      <c r="AA434" s="36" t="n">
        <v>8.309999999999999</v>
      </c>
      <c r="AB434" s="36" t="n">
        <v>8.34</v>
      </c>
      <c r="AC434" s="36" t="n">
        <v>8.609999999999999</v>
      </c>
      <c r="AD434" s="36" t="n">
        <v>10.25</v>
      </c>
      <c r="AE434" s="36" t="n">
        <v>6.86</v>
      </c>
      <c r="AF434" s="28" t="n">
        <v>9.300000000000001</v>
      </c>
      <c r="AG434" s="36" t="n">
        <v>8.51</v>
      </c>
      <c r="AH434" s="37" t="n">
        <v>8.309999999999999</v>
      </c>
      <c r="AI434" s="37" t="n">
        <v>8.34</v>
      </c>
      <c r="AJ434" s="37" t="n">
        <v>8.609999999999999</v>
      </c>
      <c r="AK434" s="37" t="n">
        <v>8.4</v>
      </c>
      <c r="AL434" s="37" t="n">
        <v>6.86</v>
      </c>
      <c r="AM434" s="37" t="n">
        <v>9.300000000000001</v>
      </c>
      <c r="AN434" s="37" t="n">
        <v>8.51</v>
      </c>
      <c r="AO434" s="37" t="n">
        <v>8.309999999999999</v>
      </c>
      <c r="AP434" s="37" t="n">
        <v>8.34</v>
      </c>
      <c r="AQ434" s="37" t="n">
        <v>8.609999999999999</v>
      </c>
      <c r="AR434" s="37" t="n">
        <v>8.4</v>
      </c>
      <c r="AS434" s="37" t="n">
        <v>6.86</v>
      </c>
      <c r="AT434" s="37" t="n">
        <v>9.300000000000001</v>
      </c>
      <c r="AU434" s="37" t="n">
        <v>8.51</v>
      </c>
      <c r="AV434" s="37" t="n">
        <v>8.309999999999999</v>
      </c>
      <c r="AW434" s="37" t="n">
        <v>8.34</v>
      </c>
      <c r="AX434" s="37" t="n">
        <v>8.609999999999999</v>
      </c>
      <c r="AY434" s="37" t="n">
        <v>8.4</v>
      </c>
      <c r="AZ434" s="37" t="n">
        <v>6.86</v>
      </c>
      <c r="BA434" s="37" t="n">
        <v>8.800000000000001</v>
      </c>
      <c r="BB434" s="37" t="n">
        <v>7.82</v>
      </c>
      <c r="BC434" s="37" t="n">
        <v>4.55</v>
      </c>
      <c r="BD434" s="37" t="n">
        <v>3.49</v>
      </c>
      <c r="BE434" s="37" t="n">
        <v>8.02</v>
      </c>
      <c r="BF434" s="37" t="n">
        <v>7.84</v>
      </c>
      <c r="BG434" s="37" t="n">
        <v>7.02</v>
      </c>
      <c r="BH434" s="37" t="n">
        <v>9.57</v>
      </c>
      <c r="BI434" s="37" t="n">
        <v>8.720000000000001</v>
      </c>
      <c r="BJ434" s="37" t="n">
        <v>10.49</v>
      </c>
      <c r="BK434" s="37" t="n">
        <v>8.550000000000001</v>
      </c>
      <c r="BL434" s="37" t="n">
        <v>8.83</v>
      </c>
      <c r="BM434" s="37" t="n">
        <v>8.609999999999999</v>
      </c>
      <c r="BN434" s="37" t="n">
        <v>7.02</v>
      </c>
      <c r="BO434" s="37" t="n">
        <v>9.57</v>
      </c>
      <c r="BP434" s="37" t="n">
        <v>8.720000000000001</v>
      </c>
      <c r="BQ434" s="37" t="n">
        <v>8.51</v>
      </c>
      <c r="BR434" s="37" t="n">
        <v>8.550000000000001</v>
      </c>
      <c r="BS434" s="37" t="n">
        <v>8.83</v>
      </c>
      <c r="BT434" s="37" t="n">
        <v>8.609999999999999</v>
      </c>
      <c r="BU434" s="37" t="n">
        <v>7.02</v>
      </c>
      <c r="BV434" s="37" t="n">
        <v>9.57</v>
      </c>
      <c r="BW434" s="37" t="n">
        <v>8.720000000000001</v>
      </c>
      <c r="BX434" s="37" t="n">
        <v>8.51</v>
      </c>
      <c r="BY434" s="37" t="n">
        <v>8.550000000000001</v>
      </c>
      <c r="BZ434" s="37" t="n">
        <v>8.83</v>
      </c>
      <c r="CA434" s="37" t="n">
        <v>8.609999999999999</v>
      </c>
      <c r="CB434" s="37" t="n">
        <v>7.02</v>
      </c>
      <c r="CC434" s="37" t="n">
        <v>582.33</v>
      </c>
    </row>
    <row r="435" ht="15.75" customHeight="1" s="57">
      <c r="A435" s="7" t="inlineStr">
        <is>
          <t>NTB</t>
        </is>
      </c>
      <c r="B435" s="7" t="inlineStr">
        <is>
          <t>Ninh Thuận</t>
        </is>
      </c>
      <c r="C435" s="7" t="n">
        <v>22357000</v>
      </c>
      <c r="D435" s="7" t="inlineStr">
        <is>
          <t>(NTH) Thuận Nam</t>
        </is>
      </c>
      <c r="E435" s="7" t="inlineStr">
        <is>
          <t>SME-Bulky</t>
        </is>
      </c>
      <c r="F435" s="36" t="n">
        <v>0</v>
      </c>
      <c r="G435" s="36" t="n">
        <v>0</v>
      </c>
      <c r="H435" s="36" t="n">
        <v>3</v>
      </c>
      <c r="I435" s="36" t="n">
        <v>0</v>
      </c>
      <c r="J435" s="36" t="n">
        <v>0</v>
      </c>
      <c r="K435" s="28" t="n">
        <v>0</v>
      </c>
      <c r="L435" s="36" t="n">
        <v>6</v>
      </c>
      <c r="M435" s="36" t="n">
        <v>1</v>
      </c>
      <c r="N435" s="36" t="n">
        <v>2</v>
      </c>
      <c r="O435" s="36" t="n">
        <v>2</v>
      </c>
      <c r="P435" s="36" t="n">
        <v>0</v>
      </c>
      <c r="Q435" s="36" t="n">
        <v>0</v>
      </c>
      <c r="R435" s="28" t="n">
        <v>1</v>
      </c>
      <c r="S435" s="36" t="n">
        <v>1</v>
      </c>
      <c r="T435" s="36" t="n">
        <v>0</v>
      </c>
      <c r="U435" s="36" t="n">
        <v>0.75</v>
      </c>
      <c r="V435" s="36" t="n">
        <v>0.75</v>
      </c>
      <c r="W435" s="36" t="n">
        <v>0.75</v>
      </c>
      <c r="X435" s="36" t="n">
        <v>0.58</v>
      </c>
      <c r="Y435" s="28" t="n">
        <v>1.37</v>
      </c>
      <c r="Z435" s="36" t="n">
        <v>1.3</v>
      </c>
      <c r="AA435" s="36" t="n">
        <v>0.75</v>
      </c>
      <c r="AB435" s="36" t="n">
        <v>0.75</v>
      </c>
      <c r="AC435" s="36" t="n">
        <v>0.75</v>
      </c>
      <c r="AD435" s="36" t="n">
        <v>1.3</v>
      </c>
      <c r="AE435" s="36" t="n">
        <v>0.58</v>
      </c>
      <c r="AF435" s="28" t="n">
        <v>1.37</v>
      </c>
      <c r="AG435" s="36" t="n">
        <v>1.3</v>
      </c>
      <c r="AH435" s="37" t="n">
        <v>0.75</v>
      </c>
      <c r="AI435" s="37" t="n">
        <v>0.75</v>
      </c>
      <c r="AJ435" s="37" t="n">
        <v>0.75</v>
      </c>
      <c r="AK435" s="37" t="n">
        <v>0.75</v>
      </c>
      <c r="AL435" s="37" t="n">
        <v>0.58</v>
      </c>
      <c r="AM435" s="37" t="n">
        <v>1.37</v>
      </c>
      <c r="AN435" s="37" t="n">
        <v>1.3</v>
      </c>
      <c r="AO435" s="37" t="n">
        <v>0.75</v>
      </c>
      <c r="AP435" s="37" t="n">
        <v>0.75</v>
      </c>
      <c r="AQ435" s="37" t="n">
        <v>0.75</v>
      </c>
      <c r="AR435" s="37" t="n">
        <v>0.75</v>
      </c>
      <c r="AS435" s="37" t="n">
        <v>0.58</v>
      </c>
      <c r="AT435" s="37" t="n">
        <v>1.37</v>
      </c>
      <c r="AU435" s="37" t="n">
        <v>1.3</v>
      </c>
      <c r="AV435" s="37" t="n">
        <v>0.75</v>
      </c>
      <c r="AW435" s="37" t="n">
        <v>0.75</v>
      </c>
      <c r="AX435" s="37" t="n">
        <v>0.75</v>
      </c>
      <c r="AY435" s="37" t="n">
        <v>0.75</v>
      </c>
      <c r="AZ435" s="37" t="n">
        <v>0.58</v>
      </c>
      <c r="BA435" s="37" t="n">
        <v>1.37</v>
      </c>
      <c r="BB435" s="37" t="n">
        <v>0.68</v>
      </c>
      <c r="BC435" s="37" t="n">
        <v>0.21</v>
      </c>
      <c r="BD435" s="37" t="n">
        <v>0.1</v>
      </c>
      <c r="BE435" s="37" t="n">
        <v>0.41</v>
      </c>
      <c r="BF435" s="37" t="n">
        <v>0.41</v>
      </c>
      <c r="BG435" s="37" t="n">
        <v>0.31</v>
      </c>
      <c r="BH435" s="37" t="n">
        <v>0.72</v>
      </c>
      <c r="BI435" s="37" t="n">
        <v>0.68</v>
      </c>
      <c r="BJ435" s="37" t="n">
        <v>0.75</v>
      </c>
      <c r="BK435" s="37" t="n">
        <v>0.41</v>
      </c>
      <c r="BL435" s="37" t="n">
        <v>0.41</v>
      </c>
      <c r="BM435" s="37" t="n">
        <v>0.41</v>
      </c>
      <c r="BN435" s="37" t="n">
        <v>0.31</v>
      </c>
      <c r="BO435" s="37" t="n">
        <v>0.72</v>
      </c>
      <c r="BP435" s="37" t="n">
        <v>0.68</v>
      </c>
      <c r="BQ435" s="37" t="n">
        <v>0.41</v>
      </c>
      <c r="BR435" s="37" t="n">
        <v>0.41</v>
      </c>
      <c r="BS435" s="37" t="n">
        <v>0.41</v>
      </c>
      <c r="BT435" s="37" t="n">
        <v>0.41</v>
      </c>
      <c r="BU435" s="37" t="n">
        <v>0.31</v>
      </c>
      <c r="BV435" s="37" t="n">
        <v>0.72</v>
      </c>
      <c r="BW435" s="37" t="n">
        <v>0.68</v>
      </c>
      <c r="BX435" s="37" t="n">
        <v>0.41</v>
      </c>
      <c r="BY435" s="37" t="n">
        <v>0.41</v>
      </c>
      <c r="BZ435" s="37" t="n">
        <v>0.41</v>
      </c>
      <c r="CA435" s="37" t="n">
        <v>0.41</v>
      </c>
      <c r="CB435" s="37" t="n">
        <v>0.31</v>
      </c>
      <c r="CC435" s="37" t="n">
        <v>58.25999999999995</v>
      </c>
    </row>
    <row r="436" ht="15.75" customHeight="1" s="57">
      <c r="A436" s="7" t="inlineStr">
        <is>
          <t>NTB</t>
        </is>
      </c>
      <c r="B436" s="7" t="inlineStr">
        <is>
          <t>Ninh Thuận</t>
        </is>
      </c>
      <c r="C436" s="7" t="n">
        <v>22357000</v>
      </c>
      <c r="D436" s="7" t="inlineStr">
        <is>
          <t>(NTH) Thuận Nam</t>
        </is>
      </c>
      <c r="E436" s="7" t="inlineStr">
        <is>
          <t>Shopee</t>
        </is>
      </c>
      <c r="F436" s="36" t="n">
        <v>16</v>
      </c>
      <c r="G436" s="36" t="n">
        <v>8</v>
      </c>
      <c r="H436" s="36" t="n">
        <v>5</v>
      </c>
      <c r="I436" s="36" t="n">
        <v>2</v>
      </c>
      <c r="J436" s="36" t="n">
        <v>10</v>
      </c>
      <c r="K436" s="28" t="n">
        <v>11</v>
      </c>
      <c r="L436" s="36" t="n">
        <v>15</v>
      </c>
      <c r="M436" s="36" t="n">
        <v>8</v>
      </c>
      <c r="N436" s="36" t="n">
        <v>2</v>
      </c>
      <c r="O436" s="36" t="n">
        <v>13</v>
      </c>
      <c r="P436" s="36" t="n">
        <v>7</v>
      </c>
      <c r="Q436" s="36" t="n">
        <v>6</v>
      </c>
      <c r="R436" s="28" t="n">
        <v>23</v>
      </c>
      <c r="S436" s="36" t="n">
        <v>17</v>
      </c>
      <c r="T436" s="36" t="n">
        <v>7</v>
      </c>
      <c r="U436" s="36" t="n">
        <v>15.5</v>
      </c>
      <c r="V436" s="36" t="n">
        <v>15.5</v>
      </c>
      <c r="W436" s="36" t="n">
        <v>14.92</v>
      </c>
      <c r="X436" s="36" t="n">
        <v>13.24</v>
      </c>
      <c r="Y436" s="28" t="n">
        <v>20.66</v>
      </c>
      <c r="Z436" s="36" t="n">
        <v>16.85</v>
      </c>
      <c r="AA436" s="36" t="n">
        <v>20.15</v>
      </c>
      <c r="AB436" s="36" t="n">
        <v>15.88</v>
      </c>
      <c r="AC436" s="36" t="n">
        <v>13.17</v>
      </c>
      <c r="AD436" s="36" t="n">
        <v>20.34</v>
      </c>
      <c r="AE436" s="36" t="n">
        <v>13.95</v>
      </c>
      <c r="AF436" s="28" t="n">
        <v>23.12</v>
      </c>
      <c r="AG436" s="36" t="n">
        <v>17.43</v>
      </c>
      <c r="AH436" s="37" t="n">
        <v>18.6</v>
      </c>
      <c r="AI436" s="37" t="n">
        <v>15.5</v>
      </c>
      <c r="AJ436" s="37" t="n">
        <v>15.5</v>
      </c>
      <c r="AK436" s="37" t="n">
        <v>16.66</v>
      </c>
      <c r="AL436" s="37" t="n">
        <v>23.31</v>
      </c>
      <c r="AM436" s="37" t="n">
        <v>20.66</v>
      </c>
      <c r="AN436" s="37" t="n">
        <v>16.85</v>
      </c>
      <c r="AO436" s="37" t="n">
        <v>18.6</v>
      </c>
      <c r="AP436" s="37" t="n">
        <v>17.37</v>
      </c>
      <c r="AQ436" s="37" t="n">
        <v>12.85</v>
      </c>
      <c r="AR436" s="37" t="n">
        <v>14.92</v>
      </c>
      <c r="AS436" s="37" t="n">
        <v>13.24</v>
      </c>
      <c r="AT436" s="37" t="n">
        <v>20.66</v>
      </c>
      <c r="AU436" s="37" t="n">
        <v>18.4</v>
      </c>
      <c r="AV436" s="37" t="n">
        <v>18.92</v>
      </c>
      <c r="AW436" s="37" t="n">
        <v>15.5</v>
      </c>
      <c r="AX436" s="37" t="n">
        <v>15.5</v>
      </c>
      <c r="AY436" s="37" t="n">
        <v>14.92</v>
      </c>
      <c r="AZ436" s="37" t="n">
        <v>13.24</v>
      </c>
      <c r="BA436" s="37" t="n">
        <v>18.21</v>
      </c>
      <c r="BB436" s="37" t="n">
        <v>13.11</v>
      </c>
      <c r="BC436" s="37" t="n">
        <v>5.75</v>
      </c>
      <c r="BD436" s="37" t="n">
        <v>9.43</v>
      </c>
      <c r="BE436" s="37" t="n">
        <v>19.31</v>
      </c>
      <c r="BF436" s="37" t="n">
        <v>18.6</v>
      </c>
      <c r="BG436" s="37" t="n">
        <v>13.24</v>
      </c>
      <c r="BH436" s="37" t="n">
        <v>20.28</v>
      </c>
      <c r="BI436" s="37" t="n">
        <v>13.56</v>
      </c>
      <c r="BJ436" s="37" t="n">
        <v>29.19</v>
      </c>
      <c r="BK436" s="37" t="n">
        <v>16.6</v>
      </c>
      <c r="BL436" s="37" t="n">
        <v>16.14</v>
      </c>
      <c r="BM436" s="37" t="n">
        <v>14.72</v>
      </c>
      <c r="BN436" s="37" t="n">
        <v>13.11</v>
      </c>
      <c r="BO436" s="37" t="n">
        <v>20.28</v>
      </c>
      <c r="BP436" s="37" t="n">
        <v>18.08</v>
      </c>
      <c r="BQ436" s="37" t="n">
        <v>27.44</v>
      </c>
      <c r="BR436" s="37" t="n">
        <v>15.3</v>
      </c>
      <c r="BS436" s="37" t="n">
        <v>15.3</v>
      </c>
      <c r="BT436" s="37" t="n">
        <v>14.72</v>
      </c>
      <c r="BU436" s="37" t="n">
        <v>14.08</v>
      </c>
      <c r="BV436" s="37" t="n">
        <v>16.79</v>
      </c>
      <c r="BW436" s="37" t="n">
        <v>16.53</v>
      </c>
      <c r="BX436" s="37" t="n">
        <v>18.27</v>
      </c>
      <c r="BY436" s="37" t="n">
        <v>15.3</v>
      </c>
      <c r="BZ436" s="37" t="n">
        <v>17.05</v>
      </c>
      <c r="CA436" s="37" t="n">
        <v>14.98</v>
      </c>
      <c r="CB436" s="37" t="n">
        <v>13.11</v>
      </c>
      <c r="CC436" s="37" t="n">
        <v>1150.39</v>
      </c>
    </row>
    <row r="437" ht="15.75" customHeight="1" s="57">
      <c r="A437" s="7" t="inlineStr">
        <is>
          <t>NTB</t>
        </is>
      </c>
      <c r="B437" s="7" t="inlineStr">
        <is>
          <t>Ninh Thuận</t>
        </is>
      </c>
      <c r="C437" s="7" t="n">
        <v>22357000</v>
      </c>
      <c r="D437" s="7" t="inlineStr">
        <is>
          <t>(NTH) Thuận Nam</t>
        </is>
      </c>
      <c r="E437" s="7" t="inlineStr">
        <is>
          <t>Shopee-Bulky</t>
        </is>
      </c>
      <c r="F437" s="36" t="n">
        <v>0</v>
      </c>
      <c r="G437" s="36" t="n">
        <v>0</v>
      </c>
      <c r="H437" s="36" t="n">
        <v>0</v>
      </c>
      <c r="I437" s="36" t="n">
        <v>0</v>
      </c>
      <c r="J437" s="36" t="n">
        <v>0</v>
      </c>
      <c r="K437" s="28" t="n">
        <v>0.29</v>
      </c>
      <c r="L437" s="36" t="n">
        <v>0</v>
      </c>
      <c r="M437" s="36" t="n">
        <v>0</v>
      </c>
      <c r="N437" s="36" t="n">
        <v>0</v>
      </c>
      <c r="O437" s="36" t="n">
        <v>0</v>
      </c>
      <c r="P437" s="36" t="n">
        <v>0</v>
      </c>
      <c r="Q437" s="36" t="n">
        <v>0</v>
      </c>
      <c r="R437" s="28" t="n">
        <v>0</v>
      </c>
      <c r="S437" s="36" t="n">
        <v>0.29</v>
      </c>
      <c r="T437" s="36" t="n">
        <v>0</v>
      </c>
      <c r="U437" s="36" t="n">
        <v>0.08</v>
      </c>
      <c r="V437" s="36" t="n">
        <v>0.08</v>
      </c>
      <c r="W437" s="36" t="n">
        <v>0.11</v>
      </c>
      <c r="X437" s="36" t="n">
        <v>0.05</v>
      </c>
      <c r="Y437" s="28" t="n">
        <v>0.13</v>
      </c>
      <c r="Z437" s="36" t="n">
        <v>0.09000000000000001</v>
      </c>
      <c r="AA437" s="36" t="n">
        <v>0.12</v>
      </c>
      <c r="AB437" s="36" t="n">
        <v>0.09000000000000001</v>
      </c>
      <c r="AC437" s="36" t="n">
        <v>0.11</v>
      </c>
      <c r="AD437" s="36" t="n">
        <v>0.44</v>
      </c>
      <c r="AE437" s="36" t="n">
        <v>0.23</v>
      </c>
      <c r="AF437" s="28" t="n">
        <v>0.21</v>
      </c>
      <c r="AG437" s="36" t="n">
        <v>0.13</v>
      </c>
      <c r="AH437" s="37" t="n">
        <v>0.09000000000000001</v>
      </c>
      <c r="AI437" s="37" t="n">
        <v>0.09000000000000001</v>
      </c>
      <c r="AJ437" s="37" t="n">
        <v>0.11</v>
      </c>
      <c r="AK437" s="37" t="n">
        <v>0.13</v>
      </c>
      <c r="AL437" s="37" t="n">
        <v>0.11</v>
      </c>
      <c r="AM437" s="37" t="n">
        <v>0.13</v>
      </c>
      <c r="AN437" s="37" t="n">
        <v>0.09000000000000001</v>
      </c>
      <c r="AO437" s="37" t="n">
        <v>0.11</v>
      </c>
      <c r="AP437" s="37" t="n">
        <v>0.13</v>
      </c>
      <c r="AQ437" s="37" t="n">
        <v>0.11</v>
      </c>
      <c r="AR437" s="37" t="n">
        <v>0.11</v>
      </c>
      <c r="AS437" s="37" t="n">
        <v>0.04</v>
      </c>
      <c r="AT437" s="37" t="n">
        <v>0.09000000000000001</v>
      </c>
      <c r="AU437" s="37" t="n">
        <v>0.17</v>
      </c>
      <c r="AV437" s="37" t="n">
        <v>0.17</v>
      </c>
      <c r="AW437" s="37" t="n">
        <v>0.08</v>
      </c>
      <c r="AX437" s="37" t="n">
        <v>0.08</v>
      </c>
      <c r="AY437" s="37" t="n">
        <v>0.11</v>
      </c>
      <c r="AZ437" s="37" t="n">
        <v>0.04</v>
      </c>
      <c r="BA437" s="37" t="n">
        <v>0.11</v>
      </c>
      <c r="BB437" s="37" t="n">
        <v>0.11</v>
      </c>
      <c r="BC437" s="37" t="n">
        <v>0</v>
      </c>
      <c r="BD437" s="37" t="n">
        <v>0.03</v>
      </c>
      <c r="BE437" s="37" t="n">
        <v>0.13</v>
      </c>
      <c r="BF437" s="37" t="n">
        <v>0.11</v>
      </c>
      <c r="BG437" s="37" t="n">
        <v>0.05</v>
      </c>
      <c r="BH437" s="37" t="n">
        <v>0.13</v>
      </c>
      <c r="BI437" s="37" t="n">
        <v>0.13</v>
      </c>
      <c r="BJ437" s="37" t="n">
        <v>0.89</v>
      </c>
      <c r="BK437" s="37" t="n">
        <v>0.2</v>
      </c>
      <c r="BL437" s="37" t="n">
        <v>0.13</v>
      </c>
      <c r="BM437" s="37" t="n">
        <v>0.11</v>
      </c>
      <c r="BN437" s="37" t="n">
        <v>0.05</v>
      </c>
      <c r="BO437" s="37" t="n">
        <v>0.13</v>
      </c>
      <c r="BP437" s="37" t="n">
        <v>0.2</v>
      </c>
      <c r="BQ437" s="37" t="n">
        <v>0.13</v>
      </c>
      <c r="BR437" s="37" t="n">
        <v>0.11</v>
      </c>
      <c r="BS437" s="37" t="n">
        <v>0.11</v>
      </c>
      <c r="BT437" s="37" t="n">
        <v>0.08</v>
      </c>
      <c r="BU437" s="37" t="n">
        <v>0.13</v>
      </c>
      <c r="BV437" s="37" t="n">
        <v>0.13</v>
      </c>
      <c r="BW437" s="37" t="n">
        <v>0.13</v>
      </c>
      <c r="BX437" s="37" t="n">
        <v>0.13</v>
      </c>
      <c r="BY437" s="37" t="n">
        <v>0.11</v>
      </c>
      <c r="BZ437" s="37" t="n">
        <v>0.16</v>
      </c>
      <c r="CA437" s="37" t="n">
        <v>0.11</v>
      </c>
      <c r="CB437" s="37" t="n">
        <v>0.04</v>
      </c>
      <c r="CC437" s="37" t="n">
        <v>8.319999999999999</v>
      </c>
    </row>
    <row r="438" ht="15.75" customHeight="1" s="57">
      <c r="A438" s="7" t="inlineStr">
        <is>
          <t>NTB</t>
        </is>
      </c>
      <c r="B438" s="7" t="inlineStr">
        <is>
          <t>Ninh Thuận</t>
        </is>
      </c>
      <c r="C438" s="7" t="n">
        <v>22357000</v>
      </c>
      <c r="D438" s="7" t="inlineStr">
        <is>
          <t>(NTH) Thuận Nam</t>
        </is>
      </c>
      <c r="E438" s="7" t="inlineStr">
        <is>
          <t>Shopee-Bulky (10-15kg)</t>
        </is>
      </c>
      <c r="F438" s="36" t="n">
        <v>0</v>
      </c>
      <c r="G438" s="36" t="n">
        <v>0</v>
      </c>
      <c r="H438" s="36" t="n">
        <v>0</v>
      </c>
      <c r="I438" s="36" t="n">
        <v>0</v>
      </c>
      <c r="J438" s="36" t="n">
        <v>0</v>
      </c>
      <c r="K438" s="28" t="n">
        <v>0.71</v>
      </c>
      <c r="L438" s="36" t="n">
        <v>0</v>
      </c>
      <c r="M438" s="36" t="n">
        <v>0</v>
      </c>
      <c r="N438" s="36" t="n">
        <v>0</v>
      </c>
      <c r="O438" s="36" t="n">
        <v>0</v>
      </c>
      <c r="P438" s="36" t="n">
        <v>0</v>
      </c>
      <c r="Q438" s="36" t="n">
        <v>0</v>
      </c>
      <c r="R438" s="28" t="n">
        <v>0</v>
      </c>
      <c r="S438" s="36" t="n">
        <v>0.71</v>
      </c>
      <c r="T438" s="36" t="n">
        <v>0</v>
      </c>
      <c r="U438" s="36" t="n">
        <v>0.17</v>
      </c>
      <c r="V438" s="36" t="n">
        <v>0.13</v>
      </c>
      <c r="W438" s="36" t="n">
        <v>0.15</v>
      </c>
      <c r="X438" s="36" t="n">
        <v>0.11</v>
      </c>
      <c r="Y438" s="28" t="n">
        <v>0.29</v>
      </c>
      <c r="Z438" s="36" t="n">
        <v>0.2</v>
      </c>
      <c r="AA438" s="36" t="n">
        <v>0.35</v>
      </c>
      <c r="AB438" s="36" t="n">
        <v>0.17</v>
      </c>
      <c r="AC438" s="36" t="n">
        <v>0.17</v>
      </c>
      <c r="AD438" s="36" t="n">
        <v>0.76</v>
      </c>
      <c r="AE438" s="36" t="n">
        <v>0.51</v>
      </c>
      <c r="AF438" s="28" t="n">
        <v>0.5700000000000001</v>
      </c>
      <c r="AG438" s="36" t="n">
        <v>0.31</v>
      </c>
      <c r="AH438" s="37" t="n">
        <v>0.19</v>
      </c>
      <c r="AI438" s="37" t="n">
        <v>0.19</v>
      </c>
      <c r="AJ438" s="37" t="n">
        <v>0.13</v>
      </c>
      <c r="AK438" s="37" t="n">
        <v>0.39</v>
      </c>
      <c r="AL438" s="37" t="n">
        <v>0.19</v>
      </c>
      <c r="AM438" s="37" t="n">
        <v>0.32</v>
      </c>
      <c r="AN438" s="37" t="n">
        <v>0.2</v>
      </c>
      <c r="AO438" s="37" t="n">
        <v>0.17</v>
      </c>
      <c r="AP438" s="37" t="n">
        <v>0.36</v>
      </c>
      <c r="AQ438" s="37" t="n">
        <v>0.23</v>
      </c>
      <c r="AR438" s="37" t="n">
        <v>0.13</v>
      </c>
      <c r="AS438" s="37" t="n">
        <v>0.09000000000000001</v>
      </c>
      <c r="AT438" s="37" t="n">
        <v>0.23</v>
      </c>
      <c r="AU438" s="37" t="n">
        <v>0.5600000000000001</v>
      </c>
      <c r="AV438" s="37" t="n">
        <v>0.39</v>
      </c>
      <c r="AW438" s="37" t="n">
        <v>0.19</v>
      </c>
      <c r="AX438" s="37" t="n">
        <v>0.13</v>
      </c>
      <c r="AY438" s="37" t="n">
        <v>0.13</v>
      </c>
      <c r="AZ438" s="37" t="n">
        <v>0.09000000000000001</v>
      </c>
      <c r="BA438" s="37" t="n">
        <v>0.2</v>
      </c>
      <c r="BB438" s="37" t="n">
        <v>0.13</v>
      </c>
      <c r="BC438" s="37" t="n">
        <v>0.01</v>
      </c>
      <c r="BD438" s="37" t="n">
        <v>0.04</v>
      </c>
      <c r="BE438" s="37" t="n">
        <v>0.27</v>
      </c>
      <c r="BF438" s="37" t="n">
        <v>0.19</v>
      </c>
      <c r="BG438" s="37" t="n">
        <v>0.13</v>
      </c>
      <c r="BH438" s="37" t="n">
        <v>0.31</v>
      </c>
      <c r="BI438" s="37" t="n">
        <v>0.24</v>
      </c>
      <c r="BJ438" s="37" t="n">
        <v>1.43</v>
      </c>
      <c r="BK438" s="37" t="n">
        <v>0.63</v>
      </c>
      <c r="BL438" s="37" t="n">
        <v>0.28</v>
      </c>
      <c r="BM438" s="37" t="n">
        <v>0.16</v>
      </c>
      <c r="BN438" s="37" t="n">
        <v>0.13</v>
      </c>
      <c r="BO438" s="37" t="n">
        <v>0.32</v>
      </c>
      <c r="BP438" s="37" t="n">
        <v>0.63</v>
      </c>
      <c r="BQ438" s="37" t="n">
        <v>0.41</v>
      </c>
      <c r="BR438" s="37" t="n">
        <v>0.23</v>
      </c>
      <c r="BS438" s="37" t="n">
        <v>0.19</v>
      </c>
      <c r="BT438" s="37" t="n">
        <v>0.13</v>
      </c>
      <c r="BU438" s="37" t="n">
        <v>0.27</v>
      </c>
      <c r="BV438" s="37" t="n">
        <v>0.31</v>
      </c>
      <c r="BW438" s="37" t="n">
        <v>0.24</v>
      </c>
      <c r="BX438" s="37" t="n">
        <v>0.23</v>
      </c>
      <c r="BY438" s="37" t="n">
        <v>0.23</v>
      </c>
      <c r="BZ438" s="37" t="n">
        <v>0.44</v>
      </c>
      <c r="CA438" s="37" t="n">
        <v>0.19</v>
      </c>
      <c r="CB438" s="37" t="n">
        <v>0.13</v>
      </c>
      <c r="CC438" s="37" t="n">
        <v>17.72000000000001</v>
      </c>
    </row>
    <row r="439" ht="15.75" customHeight="1" s="57">
      <c r="A439" s="7" t="inlineStr">
        <is>
          <t>NTB</t>
        </is>
      </c>
      <c r="B439" s="7" t="inlineStr">
        <is>
          <t>Ninh Thuận</t>
        </is>
      </c>
      <c r="C439" s="7" t="n">
        <v>22357000</v>
      </c>
      <c r="D439" s="7" t="inlineStr">
        <is>
          <t>(NTH) Thuận Nam</t>
        </is>
      </c>
      <c r="E439" s="7" t="inlineStr">
        <is>
          <t>TTS</t>
        </is>
      </c>
      <c r="F439" s="36" t="n">
        <v>64</v>
      </c>
      <c r="G439" s="36" t="n">
        <v>60</v>
      </c>
      <c r="H439" s="36" t="n">
        <v>24</v>
      </c>
      <c r="I439" s="36" t="n">
        <v>82</v>
      </c>
      <c r="J439" s="36" t="n">
        <v>32</v>
      </c>
      <c r="K439" s="28" t="n">
        <v>70</v>
      </c>
      <c r="L439" s="36" t="n">
        <v>67</v>
      </c>
      <c r="M439" s="36" t="n">
        <v>15</v>
      </c>
      <c r="N439" s="36" t="n">
        <v>2</v>
      </c>
      <c r="O439" s="36" t="n">
        <v>3</v>
      </c>
      <c r="P439" s="36" t="n">
        <v>1</v>
      </c>
      <c r="Q439" s="36" t="n">
        <v>2</v>
      </c>
      <c r="R439" s="28" t="n">
        <v>4</v>
      </c>
      <c r="S439" s="36" t="n">
        <v>5</v>
      </c>
      <c r="T439" s="36" t="n">
        <v>7</v>
      </c>
      <c r="U439" s="36" t="n">
        <v>2.6</v>
      </c>
      <c r="V439" s="36" t="n">
        <v>2.54</v>
      </c>
      <c r="W439" s="36" t="n">
        <v>2.46</v>
      </c>
      <c r="X439" s="36" t="n">
        <v>1.97</v>
      </c>
      <c r="Y439" s="28" t="n">
        <v>2.88</v>
      </c>
      <c r="Z439" s="36" t="n">
        <v>2.45</v>
      </c>
      <c r="AA439" s="36" t="n">
        <v>2.65</v>
      </c>
      <c r="AB439" s="36" t="n">
        <v>2.83</v>
      </c>
      <c r="AC439" s="36" t="n">
        <v>2.95</v>
      </c>
      <c r="AD439" s="36" t="n">
        <v>2.5</v>
      </c>
      <c r="AE439" s="36" t="n">
        <v>2.16</v>
      </c>
      <c r="AF439" s="28" t="n">
        <v>2.95</v>
      </c>
      <c r="AG439" s="36" t="n">
        <v>2.49</v>
      </c>
      <c r="AH439" s="37" t="n">
        <v>2.48</v>
      </c>
      <c r="AI439" s="37" t="n">
        <v>2.76</v>
      </c>
      <c r="AJ439" s="37" t="n">
        <v>2.83</v>
      </c>
      <c r="AK439" s="37" t="n">
        <v>2.77</v>
      </c>
      <c r="AL439" s="37" t="n">
        <v>2.09</v>
      </c>
      <c r="AM439" s="37" t="n">
        <v>2.88</v>
      </c>
      <c r="AN439" s="37" t="n">
        <v>2.5</v>
      </c>
      <c r="AO439" s="37" t="n">
        <v>2.5</v>
      </c>
      <c r="AP439" s="37" t="n">
        <v>2.45</v>
      </c>
      <c r="AQ439" s="37" t="n">
        <v>2.5</v>
      </c>
      <c r="AR439" s="37" t="n">
        <v>2.46</v>
      </c>
      <c r="AS439" s="37" t="n">
        <v>1.97</v>
      </c>
      <c r="AT439" s="37" t="n">
        <v>3.11</v>
      </c>
      <c r="AU439" s="37" t="n">
        <v>2.71</v>
      </c>
      <c r="AV439" s="37" t="n">
        <v>2.52</v>
      </c>
      <c r="AW439" s="37" t="n">
        <v>2.35</v>
      </c>
      <c r="AX439" s="37" t="n">
        <v>2.35</v>
      </c>
      <c r="AY439" s="37" t="n">
        <v>2.42</v>
      </c>
      <c r="AZ439" s="37" t="n">
        <v>1.97</v>
      </c>
      <c r="BA439" s="37" t="n">
        <v>2.87</v>
      </c>
      <c r="BB439" s="37" t="n">
        <v>2.62</v>
      </c>
      <c r="BC439" s="37" t="n">
        <v>1.32</v>
      </c>
      <c r="BD439" s="37" t="n">
        <v>1.93</v>
      </c>
      <c r="BE439" s="37" t="n">
        <v>4.34</v>
      </c>
      <c r="BF439" s="37" t="n">
        <v>4.2</v>
      </c>
      <c r="BG439" s="37" t="n">
        <v>2.09</v>
      </c>
      <c r="BH439" s="37" t="n">
        <v>3.11</v>
      </c>
      <c r="BI439" s="37" t="n">
        <v>2.62</v>
      </c>
      <c r="BJ439" s="37" t="n">
        <v>1.94</v>
      </c>
      <c r="BK439" s="37" t="n">
        <v>2.71</v>
      </c>
      <c r="BL439" s="37" t="n">
        <v>2.71</v>
      </c>
      <c r="BM439" s="37" t="n">
        <v>2.61</v>
      </c>
      <c r="BN439" s="37" t="n">
        <v>2.09</v>
      </c>
      <c r="BO439" s="37" t="n">
        <v>3.11</v>
      </c>
      <c r="BP439" s="37" t="n">
        <v>2.62</v>
      </c>
      <c r="BQ439" s="37" t="n">
        <v>2.61</v>
      </c>
      <c r="BR439" s="37" t="n">
        <v>2.71</v>
      </c>
      <c r="BS439" s="37" t="n">
        <v>2.71</v>
      </c>
      <c r="BT439" s="37" t="n">
        <v>2.61</v>
      </c>
      <c r="BU439" s="37" t="n">
        <v>2.09</v>
      </c>
      <c r="BV439" s="37" t="n">
        <v>3.11</v>
      </c>
      <c r="BW439" s="37" t="n">
        <v>2.62</v>
      </c>
      <c r="BX439" s="37" t="n">
        <v>2.61</v>
      </c>
      <c r="BY439" s="37" t="n">
        <v>2.71</v>
      </c>
      <c r="BZ439" s="37" t="n">
        <v>2.71</v>
      </c>
      <c r="CA439" s="37" t="n">
        <v>2.61</v>
      </c>
      <c r="CB439" s="37" t="n">
        <v>2.09</v>
      </c>
      <c r="CC439" s="37" t="n">
        <v>593.1300000000006</v>
      </c>
    </row>
    <row r="440" ht="15.75" customHeight="1" s="57">
      <c r="A440" s="7" t="inlineStr">
        <is>
          <t>NTB</t>
        </is>
      </c>
      <c r="B440" s="7" t="inlineStr">
        <is>
          <t>Ninh Thuận</t>
        </is>
      </c>
      <c r="C440" s="7" t="n">
        <v>22861000</v>
      </c>
      <c r="D440" s="7" t="inlineStr">
        <is>
          <t>(NTH) Phan Rang</t>
        </is>
      </c>
      <c r="E440" s="7" t="inlineStr">
        <is>
          <t>SME</t>
        </is>
      </c>
      <c r="F440" s="36" t="n">
        <v>177</v>
      </c>
      <c r="G440" s="36" t="n">
        <v>392</v>
      </c>
      <c r="H440" s="36" t="n">
        <v>329</v>
      </c>
      <c r="I440" s="36" t="n">
        <v>403</v>
      </c>
      <c r="J440" s="36" t="n">
        <v>105</v>
      </c>
      <c r="K440" s="28" t="n">
        <v>434</v>
      </c>
      <c r="L440" s="36" t="n">
        <v>271</v>
      </c>
      <c r="M440" s="36" t="n">
        <v>302</v>
      </c>
      <c r="N440" s="36" t="n">
        <v>190</v>
      </c>
      <c r="O440" s="36" t="n">
        <v>403</v>
      </c>
      <c r="P440" s="36" t="n">
        <v>265</v>
      </c>
      <c r="Q440" s="36" t="n">
        <v>139</v>
      </c>
      <c r="R440" s="28" t="n">
        <v>372</v>
      </c>
      <c r="S440" s="36" t="n">
        <v>222</v>
      </c>
      <c r="T440" s="36" t="n">
        <v>246</v>
      </c>
      <c r="U440" s="36" t="n">
        <v>320.98</v>
      </c>
      <c r="V440" s="36" t="n">
        <v>332.28</v>
      </c>
      <c r="W440" s="36" t="n">
        <v>323.61</v>
      </c>
      <c r="X440" s="36" t="n">
        <v>265.59</v>
      </c>
      <c r="Y440" s="28" t="n">
        <v>359.41</v>
      </c>
      <c r="Z440" s="36" t="n">
        <v>328.13</v>
      </c>
      <c r="AA440" s="36" t="n">
        <v>321.72</v>
      </c>
      <c r="AB440" s="36" t="n">
        <v>320.98</v>
      </c>
      <c r="AC440" s="36" t="n">
        <v>332.28</v>
      </c>
      <c r="AD440" s="36" t="n">
        <v>397.44</v>
      </c>
      <c r="AE440" s="36" t="n">
        <v>265.59</v>
      </c>
      <c r="AF440" s="28" t="n">
        <v>359.41</v>
      </c>
      <c r="AG440" s="36" t="n">
        <v>328.13</v>
      </c>
      <c r="AH440" s="37" t="n">
        <v>321.72</v>
      </c>
      <c r="AI440" s="37" t="n">
        <v>320.98</v>
      </c>
      <c r="AJ440" s="37" t="n">
        <v>332.28</v>
      </c>
      <c r="AK440" s="37" t="n">
        <v>323.61</v>
      </c>
      <c r="AL440" s="37" t="n">
        <v>265.59</v>
      </c>
      <c r="AM440" s="37" t="n">
        <v>359.41</v>
      </c>
      <c r="AN440" s="37" t="n">
        <v>328.13</v>
      </c>
      <c r="AO440" s="37" t="n">
        <v>321.72</v>
      </c>
      <c r="AP440" s="37" t="n">
        <v>320.98</v>
      </c>
      <c r="AQ440" s="37" t="n">
        <v>332.28</v>
      </c>
      <c r="AR440" s="37" t="n">
        <v>323.61</v>
      </c>
      <c r="AS440" s="37" t="n">
        <v>265.59</v>
      </c>
      <c r="AT440" s="37" t="n">
        <v>359.41</v>
      </c>
      <c r="AU440" s="37" t="n">
        <v>328.13</v>
      </c>
      <c r="AV440" s="37" t="n">
        <v>321.72</v>
      </c>
      <c r="AW440" s="37" t="n">
        <v>320.98</v>
      </c>
      <c r="AX440" s="37" t="n">
        <v>332.28</v>
      </c>
      <c r="AY440" s="37" t="n">
        <v>323.61</v>
      </c>
      <c r="AZ440" s="37" t="n">
        <v>265.59</v>
      </c>
      <c r="BA440" s="37" t="n">
        <v>340.19</v>
      </c>
      <c r="BB440" s="37" t="n">
        <v>301.38</v>
      </c>
      <c r="BC440" s="37" t="n">
        <v>182.33</v>
      </c>
      <c r="BD440" s="37" t="n">
        <v>142.4</v>
      </c>
      <c r="BE440" s="37" t="n">
        <v>309.67</v>
      </c>
      <c r="BF440" s="37" t="n">
        <v>302.14</v>
      </c>
      <c r="BG440" s="37" t="n">
        <v>272.38</v>
      </c>
      <c r="BH440" s="37" t="n">
        <v>370.33</v>
      </c>
      <c r="BI440" s="37" t="n">
        <v>336.8</v>
      </c>
      <c r="BJ440" s="37" t="n">
        <v>407.61</v>
      </c>
      <c r="BK440" s="37" t="n">
        <v>329.64</v>
      </c>
      <c r="BL440" s="37" t="n">
        <v>341.32</v>
      </c>
      <c r="BM440" s="37" t="n">
        <v>332.28</v>
      </c>
      <c r="BN440" s="37" t="n">
        <v>272.38</v>
      </c>
      <c r="BO440" s="37" t="n">
        <v>370.33</v>
      </c>
      <c r="BP440" s="37" t="n">
        <v>336.8</v>
      </c>
      <c r="BQ440" s="37" t="n">
        <v>330.01</v>
      </c>
      <c r="BR440" s="37" t="n">
        <v>329.64</v>
      </c>
      <c r="BS440" s="37" t="n">
        <v>341.32</v>
      </c>
      <c r="BT440" s="37" t="n">
        <v>332.28</v>
      </c>
      <c r="BU440" s="37" t="n">
        <v>272.38</v>
      </c>
      <c r="BV440" s="37" t="n">
        <v>370.33</v>
      </c>
      <c r="BW440" s="37" t="n">
        <v>336.8</v>
      </c>
      <c r="BX440" s="37" t="n">
        <v>330.01</v>
      </c>
      <c r="BY440" s="37" t="n">
        <v>329.64</v>
      </c>
      <c r="BZ440" s="37" t="n">
        <v>341.32</v>
      </c>
      <c r="CA440" s="37" t="n">
        <v>332.28</v>
      </c>
      <c r="CB440" s="37" t="n">
        <v>272.38</v>
      </c>
      <c r="CC440" s="37" t="n">
        <v>23439.53999999999</v>
      </c>
    </row>
    <row r="441" ht="15.75" customHeight="1" s="57">
      <c r="A441" s="7" t="inlineStr">
        <is>
          <t>NTB</t>
        </is>
      </c>
      <c r="B441" s="7" t="inlineStr">
        <is>
          <t>Ninh Thuận</t>
        </is>
      </c>
      <c r="C441" s="7" t="n">
        <v>22861000</v>
      </c>
      <c r="D441" s="7" t="inlineStr">
        <is>
          <t>(NTH) Phan Rang</t>
        </is>
      </c>
      <c r="E441" s="7" t="inlineStr">
        <is>
          <t>SME-Bulky</t>
        </is>
      </c>
      <c r="F441" s="36" t="n">
        <v>18</v>
      </c>
      <c r="G441" s="36" t="n">
        <v>15</v>
      </c>
      <c r="H441" s="36" t="n">
        <v>7</v>
      </c>
      <c r="I441" s="36" t="n">
        <v>29</v>
      </c>
      <c r="J441" s="36" t="n">
        <v>4</v>
      </c>
      <c r="K441" s="28" t="n">
        <v>35</v>
      </c>
      <c r="L441" s="36" t="n">
        <v>26</v>
      </c>
      <c r="M441" s="36" t="n">
        <v>26</v>
      </c>
      <c r="N441" s="36" t="n">
        <v>9</v>
      </c>
      <c r="O441" s="36" t="n">
        <v>10</v>
      </c>
      <c r="P441" s="36" t="n">
        <v>26</v>
      </c>
      <c r="Q441" s="36" t="n">
        <v>8</v>
      </c>
      <c r="R441" s="28" t="n">
        <v>15</v>
      </c>
      <c r="S441" s="36" t="n">
        <v>16</v>
      </c>
      <c r="T441" s="36" t="n">
        <v>12</v>
      </c>
      <c r="U441" s="36" t="n">
        <v>8.32</v>
      </c>
      <c r="V441" s="36" t="n">
        <v>8.32</v>
      </c>
      <c r="W441" s="36" t="n">
        <v>8.32</v>
      </c>
      <c r="X441" s="36" t="n">
        <v>6.43</v>
      </c>
      <c r="Y441" s="28" t="n">
        <v>15.14</v>
      </c>
      <c r="Z441" s="36" t="n">
        <v>14.38</v>
      </c>
      <c r="AA441" s="36" t="n">
        <v>8.32</v>
      </c>
      <c r="AB441" s="36" t="n">
        <v>8.32</v>
      </c>
      <c r="AC441" s="36" t="n">
        <v>8.32</v>
      </c>
      <c r="AD441" s="36" t="n">
        <v>14.38</v>
      </c>
      <c r="AE441" s="36" t="n">
        <v>6.43</v>
      </c>
      <c r="AF441" s="28" t="n">
        <v>15.14</v>
      </c>
      <c r="AG441" s="36" t="n">
        <v>14.38</v>
      </c>
      <c r="AH441" s="37" t="n">
        <v>8.32</v>
      </c>
      <c r="AI441" s="37" t="n">
        <v>8.32</v>
      </c>
      <c r="AJ441" s="37" t="n">
        <v>8.32</v>
      </c>
      <c r="AK441" s="37" t="n">
        <v>8.32</v>
      </c>
      <c r="AL441" s="37" t="n">
        <v>6.43</v>
      </c>
      <c r="AM441" s="37" t="n">
        <v>15.14</v>
      </c>
      <c r="AN441" s="37" t="n">
        <v>14.38</v>
      </c>
      <c r="AO441" s="37" t="n">
        <v>8.32</v>
      </c>
      <c r="AP441" s="37" t="n">
        <v>8.32</v>
      </c>
      <c r="AQ441" s="37" t="n">
        <v>8.32</v>
      </c>
      <c r="AR441" s="37" t="n">
        <v>8.32</v>
      </c>
      <c r="AS441" s="37" t="n">
        <v>6.43</v>
      </c>
      <c r="AT441" s="37" t="n">
        <v>15.14</v>
      </c>
      <c r="AU441" s="37" t="n">
        <v>14.38</v>
      </c>
      <c r="AV441" s="37" t="n">
        <v>8.32</v>
      </c>
      <c r="AW441" s="37" t="n">
        <v>8.32</v>
      </c>
      <c r="AX441" s="37" t="n">
        <v>8.32</v>
      </c>
      <c r="AY441" s="37" t="n">
        <v>8.32</v>
      </c>
      <c r="AZ441" s="37" t="n">
        <v>6.43</v>
      </c>
      <c r="BA441" s="37" t="n">
        <v>15.14</v>
      </c>
      <c r="BB441" s="37" t="n">
        <v>7.57</v>
      </c>
      <c r="BC441" s="37" t="n">
        <v>2.27</v>
      </c>
      <c r="BD441" s="37" t="n">
        <v>1.14</v>
      </c>
      <c r="BE441" s="37" t="n">
        <v>4.54</v>
      </c>
      <c r="BF441" s="37" t="n">
        <v>4.54</v>
      </c>
      <c r="BG441" s="37" t="n">
        <v>3.41</v>
      </c>
      <c r="BH441" s="37" t="n">
        <v>7.95</v>
      </c>
      <c r="BI441" s="37" t="n">
        <v>7.57</v>
      </c>
      <c r="BJ441" s="37" t="n">
        <v>8.32</v>
      </c>
      <c r="BK441" s="37" t="n">
        <v>4.54</v>
      </c>
      <c r="BL441" s="37" t="n">
        <v>4.54</v>
      </c>
      <c r="BM441" s="37" t="n">
        <v>4.54</v>
      </c>
      <c r="BN441" s="37" t="n">
        <v>3.41</v>
      </c>
      <c r="BO441" s="37" t="n">
        <v>7.95</v>
      </c>
      <c r="BP441" s="37" t="n">
        <v>7.57</v>
      </c>
      <c r="BQ441" s="37" t="n">
        <v>4.54</v>
      </c>
      <c r="BR441" s="37" t="n">
        <v>4.54</v>
      </c>
      <c r="BS441" s="37" t="n">
        <v>4.54</v>
      </c>
      <c r="BT441" s="37" t="n">
        <v>4.54</v>
      </c>
      <c r="BU441" s="37" t="n">
        <v>3.41</v>
      </c>
      <c r="BV441" s="37" t="n">
        <v>7.95</v>
      </c>
      <c r="BW441" s="37" t="n">
        <v>7.57</v>
      </c>
      <c r="BX441" s="37" t="n">
        <v>4.54</v>
      </c>
      <c r="BY441" s="37" t="n">
        <v>4.54</v>
      </c>
      <c r="BZ441" s="37" t="n">
        <v>4.54</v>
      </c>
      <c r="CA441" s="37" t="n">
        <v>4.54</v>
      </c>
      <c r="CB441" s="37" t="n">
        <v>3.41</v>
      </c>
      <c r="CC441" s="37" t="n">
        <v>724.0299999999997</v>
      </c>
    </row>
    <row r="442" ht="15.75" customHeight="1" s="57">
      <c r="A442" s="7" t="inlineStr">
        <is>
          <t>NTB</t>
        </is>
      </c>
      <c r="B442" s="7" t="inlineStr">
        <is>
          <t>Ninh Thuận</t>
        </is>
      </c>
      <c r="C442" s="7" t="n">
        <v>22861000</v>
      </c>
      <c r="D442" s="7" t="inlineStr">
        <is>
          <t>(NTH) Phan Rang</t>
        </is>
      </c>
      <c r="E442" s="7" t="inlineStr">
        <is>
          <t>Shopee</t>
        </is>
      </c>
      <c r="F442" s="36" t="n">
        <v>30</v>
      </c>
      <c r="G442" s="36" t="n">
        <v>91</v>
      </c>
      <c r="H442" s="36" t="n">
        <v>57</v>
      </c>
      <c r="I442" s="36" t="n">
        <v>78</v>
      </c>
      <c r="J442" s="36" t="n">
        <v>101</v>
      </c>
      <c r="K442" s="28" t="n">
        <v>45</v>
      </c>
      <c r="L442" s="36" t="n">
        <v>129</v>
      </c>
      <c r="M442" s="36" t="n">
        <v>48</v>
      </c>
      <c r="N442" s="36" t="n">
        <v>66</v>
      </c>
      <c r="O442" s="36" t="n">
        <v>74</v>
      </c>
      <c r="P442" s="36" t="n">
        <v>35</v>
      </c>
      <c r="Q442" s="36" t="n">
        <v>60</v>
      </c>
      <c r="R442" s="28" t="n">
        <v>28</v>
      </c>
      <c r="S442" s="36" t="n">
        <v>101</v>
      </c>
      <c r="T442" s="36" t="n">
        <v>23</v>
      </c>
      <c r="U442" s="36" t="n">
        <v>80.42</v>
      </c>
      <c r="V442" s="36" t="n">
        <v>80.42</v>
      </c>
      <c r="W442" s="36" t="n">
        <v>77.40000000000001</v>
      </c>
      <c r="X442" s="36" t="n">
        <v>68.69</v>
      </c>
      <c r="Y442" s="28" t="n">
        <v>107.23</v>
      </c>
      <c r="Z442" s="36" t="n">
        <v>87.45999999999999</v>
      </c>
      <c r="AA442" s="36" t="n">
        <v>104.54</v>
      </c>
      <c r="AB442" s="36" t="n">
        <v>82.43000000000001</v>
      </c>
      <c r="AC442" s="36" t="n">
        <v>68.36</v>
      </c>
      <c r="AD442" s="36" t="n">
        <v>105.55</v>
      </c>
      <c r="AE442" s="36" t="n">
        <v>72.38</v>
      </c>
      <c r="AF442" s="28" t="n">
        <v>119.96</v>
      </c>
      <c r="AG442" s="36" t="n">
        <v>90.47</v>
      </c>
      <c r="AH442" s="37" t="n">
        <v>96.5</v>
      </c>
      <c r="AI442" s="37" t="n">
        <v>80.42</v>
      </c>
      <c r="AJ442" s="37" t="n">
        <v>80.42</v>
      </c>
      <c r="AK442" s="37" t="n">
        <v>86.45</v>
      </c>
      <c r="AL442" s="37" t="n">
        <v>120.96</v>
      </c>
      <c r="AM442" s="37" t="n">
        <v>107.23</v>
      </c>
      <c r="AN442" s="37" t="n">
        <v>87.45999999999999</v>
      </c>
      <c r="AO442" s="37" t="n">
        <v>96.5</v>
      </c>
      <c r="AP442" s="37" t="n">
        <v>90.14</v>
      </c>
      <c r="AQ442" s="37" t="n">
        <v>66.68000000000001</v>
      </c>
      <c r="AR442" s="37" t="n">
        <v>77.40000000000001</v>
      </c>
      <c r="AS442" s="37" t="n">
        <v>68.69</v>
      </c>
      <c r="AT442" s="37" t="n">
        <v>107.23</v>
      </c>
      <c r="AU442" s="37" t="n">
        <v>95.5</v>
      </c>
      <c r="AV442" s="37" t="n">
        <v>98.18000000000001</v>
      </c>
      <c r="AW442" s="37" t="n">
        <v>80.42</v>
      </c>
      <c r="AX442" s="37" t="n">
        <v>80.42</v>
      </c>
      <c r="AY442" s="37" t="n">
        <v>77.40000000000001</v>
      </c>
      <c r="AZ442" s="37" t="n">
        <v>68.69</v>
      </c>
      <c r="BA442" s="37" t="n">
        <v>94.48999999999999</v>
      </c>
      <c r="BB442" s="37" t="n">
        <v>68.02</v>
      </c>
      <c r="BC442" s="37" t="n">
        <v>29.82</v>
      </c>
      <c r="BD442" s="37" t="n">
        <v>48.92</v>
      </c>
      <c r="BE442" s="37" t="n">
        <v>100.19</v>
      </c>
      <c r="BF442" s="37" t="n">
        <v>96.5</v>
      </c>
      <c r="BG442" s="37" t="n">
        <v>68.69</v>
      </c>
      <c r="BH442" s="37" t="n">
        <v>105.21</v>
      </c>
      <c r="BI442" s="37" t="n">
        <v>70.37</v>
      </c>
      <c r="BJ442" s="37" t="n">
        <v>151.46</v>
      </c>
      <c r="BK442" s="37" t="n">
        <v>86.12</v>
      </c>
      <c r="BL442" s="37" t="n">
        <v>83.77</v>
      </c>
      <c r="BM442" s="37" t="n">
        <v>76.40000000000001</v>
      </c>
      <c r="BN442" s="37" t="n">
        <v>68.02</v>
      </c>
      <c r="BO442" s="37" t="n">
        <v>105.21</v>
      </c>
      <c r="BP442" s="37" t="n">
        <v>93.81999999999999</v>
      </c>
      <c r="BQ442" s="37" t="n">
        <v>142.41</v>
      </c>
      <c r="BR442" s="37" t="n">
        <v>79.41</v>
      </c>
      <c r="BS442" s="37" t="n">
        <v>79.41</v>
      </c>
      <c r="BT442" s="37" t="n">
        <v>76.40000000000001</v>
      </c>
      <c r="BU442" s="37" t="n">
        <v>73.05</v>
      </c>
      <c r="BV442" s="37" t="n">
        <v>87.12</v>
      </c>
      <c r="BW442" s="37" t="n">
        <v>85.78</v>
      </c>
      <c r="BX442" s="37" t="n">
        <v>94.83</v>
      </c>
      <c r="BY442" s="37" t="n">
        <v>79.41</v>
      </c>
      <c r="BZ442" s="37" t="n">
        <v>88.45999999999999</v>
      </c>
      <c r="CA442" s="37" t="n">
        <v>77.73999999999999</v>
      </c>
      <c r="CB442" s="37" t="n">
        <v>68.02</v>
      </c>
      <c r="CC442" s="37" t="n">
        <v>6157.049999999998</v>
      </c>
    </row>
    <row r="443" ht="15.75" customHeight="1" s="57">
      <c r="A443" s="7" t="inlineStr">
        <is>
          <t>NTB</t>
        </is>
      </c>
      <c r="B443" s="7" t="inlineStr">
        <is>
          <t>Ninh Thuận</t>
        </is>
      </c>
      <c r="C443" s="7" t="n">
        <v>22861000</v>
      </c>
      <c r="D443" s="7" t="inlineStr">
        <is>
          <t>(NTH) Phan Rang</t>
        </is>
      </c>
      <c r="E443" s="7" t="inlineStr">
        <is>
          <t>Shopee-Bulky</t>
        </is>
      </c>
      <c r="F443" s="36" t="n">
        <v>3.8</v>
      </c>
      <c r="G443" s="36" t="n">
        <v>2.63</v>
      </c>
      <c r="H443" s="36" t="n">
        <v>2.63</v>
      </c>
      <c r="I443" s="36" t="n">
        <v>1.75</v>
      </c>
      <c r="J443" s="36" t="n">
        <v>0.29</v>
      </c>
      <c r="K443" s="28" t="n">
        <v>2.05</v>
      </c>
      <c r="L443" s="36" t="n">
        <v>3.51</v>
      </c>
      <c r="M443" s="36" t="n">
        <v>1.75</v>
      </c>
      <c r="N443" s="36" t="n">
        <v>3.22</v>
      </c>
      <c r="O443" s="36" t="n">
        <v>2.34</v>
      </c>
      <c r="P443" s="36" t="n">
        <v>2.05</v>
      </c>
      <c r="Q443" s="36" t="n">
        <v>2.92</v>
      </c>
      <c r="R443" s="28" t="n">
        <v>2.63</v>
      </c>
      <c r="S443" s="36" t="n">
        <v>1.17</v>
      </c>
      <c r="T443" s="36" t="n">
        <v>2.34</v>
      </c>
      <c r="U443" s="36" t="n">
        <v>1.92</v>
      </c>
      <c r="V443" s="36" t="n">
        <v>1.92</v>
      </c>
      <c r="W443" s="36" t="n">
        <v>2.89</v>
      </c>
      <c r="X443" s="36" t="n">
        <v>1.44</v>
      </c>
      <c r="Y443" s="28" t="n">
        <v>3.37</v>
      </c>
      <c r="Z443" s="36" t="n">
        <v>2.41</v>
      </c>
      <c r="AA443" s="36" t="n">
        <v>3.13</v>
      </c>
      <c r="AB443" s="36" t="n">
        <v>2.41</v>
      </c>
      <c r="AC443" s="36" t="n">
        <v>2.89</v>
      </c>
      <c r="AD443" s="36" t="n">
        <v>11.32</v>
      </c>
      <c r="AE443" s="36" t="n">
        <v>6.02</v>
      </c>
      <c r="AF443" s="28" t="n">
        <v>5.54</v>
      </c>
      <c r="AG443" s="36" t="n">
        <v>3.37</v>
      </c>
      <c r="AH443" s="37" t="n">
        <v>2.41</v>
      </c>
      <c r="AI443" s="37" t="n">
        <v>2.41</v>
      </c>
      <c r="AJ443" s="37" t="n">
        <v>2.89</v>
      </c>
      <c r="AK443" s="37" t="n">
        <v>3.61</v>
      </c>
      <c r="AL443" s="37" t="n">
        <v>2.89</v>
      </c>
      <c r="AM443" s="37" t="n">
        <v>3.61</v>
      </c>
      <c r="AN443" s="37" t="n">
        <v>2.41</v>
      </c>
      <c r="AO443" s="37" t="n">
        <v>2.64</v>
      </c>
      <c r="AP443" s="37" t="n">
        <v>3.37</v>
      </c>
      <c r="AQ443" s="37" t="n">
        <v>2.89</v>
      </c>
      <c r="AR443" s="37" t="n">
        <v>2.89</v>
      </c>
      <c r="AS443" s="37" t="n">
        <v>0.97</v>
      </c>
      <c r="AT443" s="37" t="n">
        <v>2.41</v>
      </c>
      <c r="AU443" s="37" t="n">
        <v>4.33</v>
      </c>
      <c r="AV443" s="37" t="n">
        <v>4.58</v>
      </c>
      <c r="AW443" s="37" t="n">
        <v>1.92</v>
      </c>
      <c r="AX443" s="37" t="n">
        <v>1.92</v>
      </c>
      <c r="AY443" s="37" t="n">
        <v>2.89</v>
      </c>
      <c r="AZ443" s="37" t="n">
        <v>0.97</v>
      </c>
      <c r="BA443" s="37" t="n">
        <v>2.64</v>
      </c>
      <c r="BB443" s="37" t="n">
        <v>2.89</v>
      </c>
      <c r="BC443" s="37" t="n">
        <v>0</v>
      </c>
      <c r="BD443" s="37" t="n">
        <v>0.72</v>
      </c>
      <c r="BE443" s="37" t="n">
        <v>3.37</v>
      </c>
      <c r="BF443" s="37" t="n">
        <v>2.89</v>
      </c>
      <c r="BG443" s="37" t="n">
        <v>1.44</v>
      </c>
      <c r="BH443" s="37" t="n">
        <v>3.37</v>
      </c>
      <c r="BI443" s="37" t="n">
        <v>3.37</v>
      </c>
      <c r="BJ443" s="37" t="n">
        <v>23.11</v>
      </c>
      <c r="BK443" s="37" t="n">
        <v>5.3</v>
      </c>
      <c r="BL443" s="37" t="n">
        <v>3.37</v>
      </c>
      <c r="BM443" s="37" t="n">
        <v>2.89</v>
      </c>
      <c r="BN443" s="37" t="n">
        <v>1.44</v>
      </c>
      <c r="BO443" s="37" t="n">
        <v>3.37</v>
      </c>
      <c r="BP443" s="37" t="n">
        <v>5.3</v>
      </c>
      <c r="BQ443" s="37" t="n">
        <v>3.37</v>
      </c>
      <c r="BR443" s="37" t="n">
        <v>2.89</v>
      </c>
      <c r="BS443" s="37" t="n">
        <v>2.89</v>
      </c>
      <c r="BT443" s="37" t="n">
        <v>1.92</v>
      </c>
      <c r="BU443" s="37" t="n">
        <v>3.37</v>
      </c>
      <c r="BV443" s="37" t="n">
        <v>3.37</v>
      </c>
      <c r="BW443" s="37" t="n">
        <v>3.37</v>
      </c>
      <c r="BX443" s="37" t="n">
        <v>3.37</v>
      </c>
      <c r="BY443" s="37" t="n">
        <v>2.89</v>
      </c>
      <c r="BZ443" s="37" t="n">
        <v>4.09</v>
      </c>
      <c r="CA443" s="37" t="n">
        <v>2.89</v>
      </c>
      <c r="CB443" s="37" t="n">
        <v>0.97</v>
      </c>
      <c r="CC443" s="37" t="n">
        <v>236.5799999999999</v>
      </c>
    </row>
    <row r="444" ht="15.75" customHeight="1" s="57">
      <c r="A444" s="7" t="inlineStr">
        <is>
          <t>NTB</t>
        </is>
      </c>
      <c r="B444" s="7" t="inlineStr">
        <is>
          <t>Ninh Thuận</t>
        </is>
      </c>
      <c r="C444" s="7" t="n">
        <v>22861000</v>
      </c>
      <c r="D444" s="7" t="inlineStr">
        <is>
          <t>(NTH) Phan Rang</t>
        </is>
      </c>
      <c r="E444" s="7" t="inlineStr">
        <is>
          <t>Shopee-Bulky (10-15kg)</t>
        </is>
      </c>
      <c r="F444" s="36" t="n">
        <v>9.199999999999999</v>
      </c>
      <c r="G444" s="36" t="n">
        <v>6.37</v>
      </c>
      <c r="H444" s="36" t="n">
        <v>6.37</v>
      </c>
      <c r="I444" s="36" t="n">
        <v>4.25</v>
      </c>
      <c r="J444" s="36" t="n">
        <v>0.71</v>
      </c>
      <c r="K444" s="28" t="n">
        <v>4.95</v>
      </c>
      <c r="L444" s="36" t="n">
        <v>8.49</v>
      </c>
      <c r="M444" s="36" t="n">
        <v>4.25</v>
      </c>
      <c r="N444" s="36" t="n">
        <v>7.78</v>
      </c>
      <c r="O444" s="36" t="n">
        <v>5.66</v>
      </c>
      <c r="P444" s="36" t="n">
        <v>4.95</v>
      </c>
      <c r="Q444" s="36" t="n">
        <v>7.08</v>
      </c>
      <c r="R444" s="28" t="n">
        <v>6.37</v>
      </c>
      <c r="S444" s="36" t="n">
        <v>2.83</v>
      </c>
      <c r="T444" s="36" t="n">
        <v>5.66</v>
      </c>
      <c r="U444" s="36" t="n">
        <v>4.33</v>
      </c>
      <c r="V444" s="36" t="n">
        <v>3.61</v>
      </c>
      <c r="W444" s="36" t="n">
        <v>3.85</v>
      </c>
      <c r="X444" s="36" t="n">
        <v>2.64</v>
      </c>
      <c r="Y444" s="28" t="n">
        <v>7.46</v>
      </c>
      <c r="Z444" s="36" t="n">
        <v>5.050000000000001</v>
      </c>
      <c r="AA444" s="36" t="n">
        <v>8.91</v>
      </c>
      <c r="AB444" s="36" t="n">
        <v>4.58</v>
      </c>
      <c r="AC444" s="36" t="n">
        <v>4.58</v>
      </c>
      <c r="AD444" s="36" t="n">
        <v>19.5</v>
      </c>
      <c r="AE444" s="36" t="n">
        <v>12.99</v>
      </c>
      <c r="AF444" s="28" t="n">
        <v>14.68</v>
      </c>
      <c r="AG444" s="36" t="n">
        <v>7.94</v>
      </c>
      <c r="AH444" s="37" t="n">
        <v>4.81</v>
      </c>
      <c r="AI444" s="37" t="n">
        <v>4.81</v>
      </c>
      <c r="AJ444" s="37" t="n">
        <v>3.61</v>
      </c>
      <c r="AK444" s="37" t="n">
        <v>10.11</v>
      </c>
      <c r="AL444" s="37" t="n">
        <v>4.81</v>
      </c>
      <c r="AM444" s="37" t="n">
        <v>8.43</v>
      </c>
      <c r="AN444" s="37" t="n">
        <v>5.050000000000001</v>
      </c>
      <c r="AO444" s="37" t="n">
        <v>4.58</v>
      </c>
      <c r="AP444" s="37" t="n">
        <v>9.379999999999999</v>
      </c>
      <c r="AQ444" s="37" t="n">
        <v>5.77</v>
      </c>
      <c r="AR444" s="37" t="n">
        <v>3.37</v>
      </c>
      <c r="AS444" s="37" t="n">
        <v>2.41</v>
      </c>
      <c r="AT444" s="37" t="n">
        <v>6.02</v>
      </c>
      <c r="AU444" s="37" t="n">
        <v>14.44</v>
      </c>
      <c r="AV444" s="37" t="n">
        <v>10.11</v>
      </c>
      <c r="AW444" s="37" t="n">
        <v>4.81</v>
      </c>
      <c r="AX444" s="37" t="n">
        <v>3.61</v>
      </c>
      <c r="AY444" s="37" t="n">
        <v>3.37</v>
      </c>
      <c r="AZ444" s="37" t="n">
        <v>2.41</v>
      </c>
      <c r="BA444" s="37" t="n">
        <v>5.050000000000001</v>
      </c>
      <c r="BB444" s="37" t="n">
        <v>3.37</v>
      </c>
      <c r="BC444" s="37" t="n">
        <v>0.48</v>
      </c>
      <c r="BD444" s="37" t="n">
        <v>0.97</v>
      </c>
      <c r="BE444" s="37" t="n">
        <v>6.74</v>
      </c>
      <c r="BF444" s="37" t="n">
        <v>4.81</v>
      </c>
      <c r="BG444" s="37" t="n">
        <v>3.37</v>
      </c>
      <c r="BH444" s="37" t="n">
        <v>7.94</v>
      </c>
      <c r="BI444" s="37" t="n">
        <v>6.26</v>
      </c>
      <c r="BJ444" s="37" t="n">
        <v>36.81999999999999</v>
      </c>
      <c r="BK444" s="37" t="n">
        <v>16.12</v>
      </c>
      <c r="BL444" s="37" t="n">
        <v>7.22</v>
      </c>
      <c r="BM444" s="37" t="n">
        <v>4.09</v>
      </c>
      <c r="BN444" s="37" t="n">
        <v>3.37</v>
      </c>
      <c r="BO444" s="37" t="n">
        <v>8.43</v>
      </c>
      <c r="BP444" s="37" t="n">
        <v>16.37</v>
      </c>
      <c r="BQ444" s="37" t="n">
        <v>10.83</v>
      </c>
      <c r="BR444" s="37" t="n">
        <v>6.02</v>
      </c>
      <c r="BS444" s="37" t="n">
        <v>4.81</v>
      </c>
      <c r="BT444" s="37" t="n">
        <v>3.37</v>
      </c>
      <c r="BU444" s="37" t="n">
        <v>6.74</v>
      </c>
      <c r="BV444" s="37" t="n">
        <v>7.94</v>
      </c>
      <c r="BW444" s="37" t="n">
        <v>6.26</v>
      </c>
      <c r="BX444" s="37" t="n">
        <v>6.02</v>
      </c>
      <c r="BY444" s="37" t="n">
        <v>6.02</v>
      </c>
      <c r="BZ444" s="37" t="n">
        <v>11.55</v>
      </c>
      <c r="CA444" s="37" t="n">
        <v>4.81</v>
      </c>
      <c r="CB444" s="37" t="n">
        <v>3.37</v>
      </c>
      <c r="CC444" s="37" t="n">
        <v>506.1000000000001</v>
      </c>
    </row>
    <row r="445" ht="15.75" customHeight="1" s="57">
      <c r="A445" s="7" t="inlineStr">
        <is>
          <t>NTB</t>
        </is>
      </c>
      <c r="B445" s="7" t="inlineStr">
        <is>
          <t>Ninh Thuận</t>
        </is>
      </c>
      <c r="C445" s="7" t="n">
        <v>22861000</v>
      </c>
      <c r="D445" s="7" t="inlineStr">
        <is>
          <t>(NTH) Phan Rang</t>
        </is>
      </c>
      <c r="E445" s="7" t="inlineStr">
        <is>
          <t>TTS</t>
        </is>
      </c>
      <c r="F445" s="36" t="n">
        <v>149</v>
      </c>
      <c r="G445" s="36" t="n">
        <v>87</v>
      </c>
      <c r="H445" s="36" t="n">
        <v>75</v>
      </c>
      <c r="I445" s="36" t="n">
        <v>121</v>
      </c>
      <c r="J445" s="36" t="n">
        <v>29</v>
      </c>
      <c r="K445" s="28" t="n">
        <v>120</v>
      </c>
      <c r="L445" s="36" t="n">
        <v>96</v>
      </c>
      <c r="M445" s="36" t="n">
        <v>79</v>
      </c>
      <c r="N445" s="36" t="n">
        <v>102</v>
      </c>
      <c r="O445" s="36" t="n">
        <v>69</v>
      </c>
      <c r="P445" s="36" t="n">
        <v>78</v>
      </c>
      <c r="Q445" s="36" t="n">
        <v>20</v>
      </c>
      <c r="R445" s="28" t="n">
        <v>108</v>
      </c>
      <c r="S445" s="36" t="n">
        <v>69</v>
      </c>
      <c r="T445" s="36" t="n">
        <v>47</v>
      </c>
      <c r="U445" s="36" t="n">
        <v>33.95</v>
      </c>
      <c r="V445" s="36" t="n">
        <v>33.24</v>
      </c>
      <c r="W445" s="36" t="n">
        <v>32.18</v>
      </c>
      <c r="X445" s="36" t="n">
        <v>25.82</v>
      </c>
      <c r="Y445" s="28" t="n">
        <v>37.66</v>
      </c>
      <c r="Z445" s="36" t="n">
        <v>32.01</v>
      </c>
      <c r="AA445" s="36" t="n">
        <v>34.66</v>
      </c>
      <c r="AB445" s="36" t="n">
        <v>36.96</v>
      </c>
      <c r="AC445" s="36" t="n">
        <v>38.55</v>
      </c>
      <c r="AD445" s="36" t="n">
        <v>33.44</v>
      </c>
      <c r="AE445" s="36" t="n">
        <v>28.29</v>
      </c>
      <c r="AF445" s="28" t="n">
        <v>38.55</v>
      </c>
      <c r="AG445" s="36" t="n">
        <v>32.54</v>
      </c>
      <c r="AH445" s="37" t="n">
        <v>32.36</v>
      </c>
      <c r="AI445" s="37" t="n">
        <v>36.07</v>
      </c>
      <c r="AJ445" s="37" t="n">
        <v>36.96</v>
      </c>
      <c r="AK445" s="37" t="n">
        <v>36.25</v>
      </c>
      <c r="AL445" s="37" t="n">
        <v>27.41</v>
      </c>
      <c r="AM445" s="37" t="n">
        <v>37.66</v>
      </c>
      <c r="AN445" s="37" t="n">
        <v>32.71</v>
      </c>
      <c r="AO445" s="37" t="n">
        <v>32.71</v>
      </c>
      <c r="AP445" s="37" t="n">
        <v>32.01</v>
      </c>
      <c r="AQ445" s="37" t="n">
        <v>32.71</v>
      </c>
      <c r="AR445" s="37" t="n">
        <v>32.18</v>
      </c>
      <c r="AS445" s="37" t="n">
        <v>25.82</v>
      </c>
      <c r="AT445" s="37" t="n">
        <v>40.67</v>
      </c>
      <c r="AU445" s="37" t="n">
        <v>35.36</v>
      </c>
      <c r="AV445" s="37" t="n">
        <v>32.89</v>
      </c>
      <c r="AW445" s="37" t="n">
        <v>30.77</v>
      </c>
      <c r="AX445" s="37" t="n">
        <v>30.77</v>
      </c>
      <c r="AY445" s="37" t="n">
        <v>31.65</v>
      </c>
      <c r="AZ445" s="37" t="n">
        <v>25.82</v>
      </c>
      <c r="BA445" s="37" t="n">
        <v>37.49</v>
      </c>
      <c r="BB445" s="37" t="n">
        <v>34.3</v>
      </c>
      <c r="BC445" s="37" t="n">
        <v>17.15</v>
      </c>
      <c r="BD445" s="37" t="n">
        <v>25.11</v>
      </c>
      <c r="BE445" s="37" t="n">
        <v>56.58</v>
      </c>
      <c r="BF445" s="37" t="n">
        <v>54.81</v>
      </c>
      <c r="BG445" s="37" t="n">
        <v>27.41</v>
      </c>
      <c r="BH445" s="37" t="n">
        <v>40.67</v>
      </c>
      <c r="BI445" s="37" t="n">
        <v>34.3</v>
      </c>
      <c r="BJ445" s="37" t="n">
        <v>26.01</v>
      </c>
      <c r="BK445" s="37" t="n">
        <v>35.36</v>
      </c>
      <c r="BL445" s="37" t="n">
        <v>35.36</v>
      </c>
      <c r="BM445" s="37" t="n">
        <v>34.13</v>
      </c>
      <c r="BN445" s="37" t="n">
        <v>27.41</v>
      </c>
      <c r="BO445" s="37" t="n">
        <v>40.67</v>
      </c>
      <c r="BP445" s="37" t="n">
        <v>34.3</v>
      </c>
      <c r="BQ445" s="37" t="n">
        <v>34.13</v>
      </c>
      <c r="BR445" s="37" t="n">
        <v>35.36</v>
      </c>
      <c r="BS445" s="37" t="n">
        <v>35.36</v>
      </c>
      <c r="BT445" s="37" t="n">
        <v>34.13</v>
      </c>
      <c r="BU445" s="37" t="n">
        <v>27.41</v>
      </c>
      <c r="BV445" s="37" t="n">
        <v>40.67</v>
      </c>
      <c r="BW445" s="37" t="n">
        <v>34.3</v>
      </c>
      <c r="BX445" s="37" t="n">
        <v>34.13</v>
      </c>
      <c r="BY445" s="37" t="n">
        <v>35.36</v>
      </c>
      <c r="BZ445" s="37" t="n">
        <v>35.36</v>
      </c>
      <c r="CA445" s="37" t="n">
        <v>34.13</v>
      </c>
      <c r="CB445" s="37" t="n">
        <v>27.41</v>
      </c>
      <c r="CC445" s="37" t="n">
        <v>3278.440000000002</v>
      </c>
    </row>
    <row r="446" ht="15.75" customHeight="1" s="57">
      <c r="A446" s="7" t="inlineStr">
        <is>
          <t>NTB</t>
        </is>
      </c>
      <c r="B446" s="7" t="inlineStr">
        <is>
          <t>Ninh Thuận</t>
        </is>
      </c>
      <c r="C446" s="7" t="n">
        <v>22861000</v>
      </c>
      <c r="D446" s="7" t="inlineStr">
        <is>
          <t>(NTH) Phan Rang</t>
        </is>
      </c>
      <c r="E446" s="7" t="inlineStr">
        <is>
          <t>TTS-Bulky</t>
        </is>
      </c>
      <c r="F446" s="36" t="n">
        <v>0</v>
      </c>
      <c r="G446" s="36" t="n">
        <v>1</v>
      </c>
      <c r="H446" s="36" t="n">
        <v>0</v>
      </c>
      <c r="I446" s="36" t="n">
        <v>0</v>
      </c>
      <c r="J446" s="36" t="n">
        <v>0</v>
      </c>
      <c r="K446" s="28" t="n">
        <v>0</v>
      </c>
      <c r="L446" s="36" t="n">
        <v>0</v>
      </c>
      <c r="M446" s="36" t="n">
        <v>0</v>
      </c>
      <c r="N446" s="36" t="n">
        <v>0</v>
      </c>
      <c r="O446" s="36" t="n">
        <v>0</v>
      </c>
      <c r="P446" s="36" t="n">
        <v>3</v>
      </c>
      <c r="Q446" s="36" t="n">
        <v>0</v>
      </c>
      <c r="R446" s="28" t="n">
        <v>0</v>
      </c>
      <c r="S446" s="36" t="n">
        <v>0</v>
      </c>
      <c r="T446" s="36" t="n">
        <v>0</v>
      </c>
      <c r="U446" s="36" t="n">
        <v>0</v>
      </c>
      <c r="V446" s="36" t="n">
        <v>0</v>
      </c>
      <c r="W446" s="36" t="n">
        <v>0</v>
      </c>
      <c r="X446" s="36" t="n">
        <v>0</v>
      </c>
      <c r="Y446" s="28" t="n">
        <v>0</v>
      </c>
      <c r="Z446" s="36" t="n">
        <v>0</v>
      </c>
      <c r="AA446" s="36" t="n">
        <v>0</v>
      </c>
      <c r="AB446" s="36" t="n">
        <v>0</v>
      </c>
      <c r="AC446" s="36" t="n">
        <v>0</v>
      </c>
      <c r="AD446" s="36" t="n">
        <v>0.73</v>
      </c>
      <c r="AE446" s="36" t="n">
        <v>0</v>
      </c>
      <c r="AF446" s="28" t="n">
        <v>0</v>
      </c>
      <c r="AG446" s="36" t="n">
        <v>0</v>
      </c>
      <c r="AH446" s="37" t="n">
        <v>0</v>
      </c>
      <c r="AI446" s="37" t="n">
        <v>0</v>
      </c>
      <c r="AJ446" s="37" t="n">
        <v>0</v>
      </c>
      <c r="AK446" s="37" t="n">
        <v>0</v>
      </c>
      <c r="AL446" s="37" t="n">
        <v>0</v>
      </c>
      <c r="AM446" s="37" t="n">
        <v>0</v>
      </c>
      <c r="AN446" s="37" t="n">
        <v>0</v>
      </c>
      <c r="AO446" s="37" t="n">
        <v>0</v>
      </c>
      <c r="AP446" s="37" t="n">
        <v>0</v>
      </c>
      <c r="AQ446" s="37" t="n">
        <v>0</v>
      </c>
      <c r="AR446" s="37" t="n">
        <v>0</v>
      </c>
      <c r="AS446" s="37" t="n">
        <v>0</v>
      </c>
      <c r="AT446" s="37" t="n">
        <v>0</v>
      </c>
      <c r="AU446" s="37" t="n">
        <v>0</v>
      </c>
      <c r="AV446" s="37" t="n">
        <v>0</v>
      </c>
      <c r="AW446" s="37" t="n">
        <v>0</v>
      </c>
      <c r="AX446" s="37" t="n">
        <v>0</v>
      </c>
      <c r="AY446" s="37" t="n">
        <v>0</v>
      </c>
      <c r="AZ446" s="37" t="n">
        <v>0</v>
      </c>
      <c r="BA446" s="37" t="n">
        <v>0</v>
      </c>
      <c r="BB446" s="37" t="n">
        <v>0</v>
      </c>
      <c r="BC446" s="37" t="n">
        <v>0</v>
      </c>
      <c r="BD446" s="37" t="n">
        <v>0</v>
      </c>
      <c r="BE446" s="37" t="n">
        <v>0</v>
      </c>
      <c r="BF446" s="37" t="n">
        <v>0</v>
      </c>
      <c r="BG446" s="37" t="n">
        <v>0</v>
      </c>
      <c r="BH446" s="37" t="n">
        <v>0</v>
      </c>
      <c r="BI446" s="37" t="n">
        <v>0</v>
      </c>
      <c r="BJ446" s="37" t="n">
        <v>0.18</v>
      </c>
      <c r="BK446" s="37" t="n">
        <v>0</v>
      </c>
      <c r="BL446" s="37" t="n">
        <v>0</v>
      </c>
      <c r="BM446" s="37" t="n">
        <v>0</v>
      </c>
      <c r="BN446" s="37" t="n">
        <v>0</v>
      </c>
      <c r="BO446" s="37" t="n">
        <v>0</v>
      </c>
      <c r="BP446" s="37" t="n">
        <v>0</v>
      </c>
      <c r="BQ446" s="37" t="n">
        <v>0</v>
      </c>
      <c r="BR446" s="37" t="n">
        <v>0</v>
      </c>
      <c r="BS446" s="37" t="n">
        <v>0</v>
      </c>
      <c r="BT446" s="37" t="n">
        <v>0</v>
      </c>
      <c r="BU446" s="37" t="n">
        <v>0</v>
      </c>
      <c r="BV446" s="37" t="n">
        <v>0</v>
      </c>
      <c r="BW446" s="37" t="n">
        <v>0</v>
      </c>
      <c r="BX446" s="37" t="n">
        <v>0</v>
      </c>
      <c r="BY446" s="37" t="n">
        <v>0</v>
      </c>
      <c r="BZ446" s="37" t="n">
        <v>0</v>
      </c>
      <c r="CA446" s="37" t="n">
        <v>0</v>
      </c>
      <c r="CB446" s="37" t="n">
        <v>0</v>
      </c>
      <c r="CC446" s="37" t="n">
        <v>4.91</v>
      </c>
    </row>
    <row r="447" ht="15.75" customHeight="1" s="57">
      <c r="A447" s="7" t="inlineStr">
        <is>
          <t>NTB</t>
        </is>
      </c>
      <c r="B447" s="7" t="inlineStr">
        <is>
          <t>Đắk Nông</t>
        </is>
      </c>
      <c r="C447" s="7" t="n">
        <v>2309</v>
      </c>
      <c r="D447" s="7" t="inlineStr">
        <is>
          <t>(DNO) Đức Lập</t>
        </is>
      </c>
      <c r="E447" s="7" t="inlineStr">
        <is>
          <t>SME</t>
        </is>
      </c>
      <c r="F447" s="36" t="n">
        <v>93</v>
      </c>
      <c r="G447" s="36" t="n">
        <v>84</v>
      </c>
      <c r="H447" s="36" t="n">
        <v>86</v>
      </c>
      <c r="I447" s="36" t="n">
        <v>50</v>
      </c>
      <c r="J447" s="36" t="n">
        <v>36</v>
      </c>
      <c r="K447" s="28" t="n">
        <v>38</v>
      </c>
      <c r="L447" s="36" t="n">
        <v>43</v>
      </c>
      <c r="M447" s="36" t="n">
        <v>121</v>
      </c>
      <c r="N447" s="36" t="n">
        <v>29</v>
      </c>
      <c r="O447" s="36" t="n">
        <v>82</v>
      </c>
      <c r="P447" s="36" t="n">
        <v>63</v>
      </c>
      <c r="Q447" s="36" t="n">
        <v>26</v>
      </c>
      <c r="R447" s="28" t="n">
        <v>90</v>
      </c>
      <c r="S447" s="36" t="n">
        <v>41</v>
      </c>
      <c r="T447" s="36" t="n">
        <v>164</v>
      </c>
      <c r="U447" s="36" t="n">
        <v>257.92</v>
      </c>
      <c r="V447" s="36" t="n">
        <v>267.06</v>
      </c>
      <c r="W447" s="36" t="n">
        <v>259.89</v>
      </c>
      <c r="X447" s="36" t="n">
        <v>212.59</v>
      </c>
      <c r="Y447" s="28" t="n">
        <v>287.97</v>
      </c>
      <c r="Z447" s="36" t="n">
        <v>265.47</v>
      </c>
      <c r="AA447" s="36" t="n">
        <v>258.58</v>
      </c>
      <c r="AB447" s="36" t="n">
        <v>257.92</v>
      </c>
      <c r="AC447" s="36" t="n">
        <v>267.06</v>
      </c>
      <c r="AD447" s="36" t="n">
        <v>272.09</v>
      </c>
      <c r="AE447" s="36" t="n">
        <v>212.59</v>
      </c>
      <c r="AF447" s="28" t="n">
        <v>287.97</v>
      </c>
      <c r="AG447" s="36" t="n">
        <v>265.47</v>
      </c>
      <c r="AH447" s="37" t="n">
        <v>258.58</v>
      </c>
      <c r="AI447" s="37" t="n">
        <v>257.92</v>
      </c>
      <c r="AJ447" s="37" t="n">
        <v>267.06</v>
      </c>
      <c r="AK447" s="37" t="n">
        <v>259.89</v>
      </c>
      <c r="AL447" s="37" t="n">
        <v>212.59</v>
      </c>
      <c r="AM447" s="37" t="n">
        <v>287.97</v>
      </c>
      <c r="AN447" s="37" t="n">
        <v>265.47</v>
      </c>
      <c r="AO447" s="37" t="n">
        <v>258.58</v>
      </c>
      <c r="AP447" s="37" t="n">
        <v>257.92</v>
      </c>
      <c r="AQ447" s="37" t="n">
        <v>267.06</v>
      </c>
      <c r="AR447" s="37" t="n">
        <v>259.89</v>
      </c>
      <c r="AS447" s="37" t="n">
        <v>212.59</v>
      </c>
      <c r="AT447" s="37" t="n">
        <v>287.97</v>
      </c>
      <c r="AU447" s="37" t="n">
        <v>265.47</v>
      </c>
      <c r="AV447" s="37" t="n">
        <v>258.58</v>
      </c>
      <c r="AW447" s="37" t="n">
        <v>257.92</v>
      </c>
      <c r="AX447" s="37" t="n">
        <v>267.06</v>
      </c>
      <c r="AY447" s="37" t="n">
        <v>259.89</v>
      </c>
      <c r="AZ447" s="37" t="n">
        <v>212.59</v>
      </c>
      <c r="BA447" s="37" t="n">
        <v>273.1799999999999</v>
      </c>
      <c r="BB447" s="37" t="n">
        <v>243.64</v>
      </c>
      <c r="BC447" s="37" t="n">
        <v>150.21</v>
      </c>
      <c r="BD447" s="37" t="n">
        <v>117.88</v>
      </c>
      <c r="BE447" s="37" t="n">
        <v>251.03</v>
      </c>
      <c r="BF447" s="37" t="n">
        <v>244.35</v>
      </c>
      <c r="BG447" s="37" t="n">
        <v>219.99</v>
      </c>
      <c r="BH447" s="37" t="n">
        <v>297.4299999999999</v>
      </c>
      <c r="BI447" s="37" t="n">
        <v>273.9</v>
      </c>
      <c r="BJ447" s="37" t="n">
        <v>279.96</v>
      </c>
      <c r="BK447" s="37" t="n">
        <v>266.11</v>
      </c>
      <c r="BL447" s="37" t="n">
        <v>275.81</v>
      </c>
      <c r="BM447" s="37" t="n">
        <v>268.15</v>
      </c>
      <c r="BN447" s="37" t="n">
        <v>219.99</v>
      </c>
      <c r="BO447" s="37" t="n">
        <v>297.4299999999999</v>
      </c>
      <c r="BP447" s="37" t="n">
        <v>273.9</v>
      </c>
      <c r="BQ447" s="37" t="n">
        <v>266.77</v>
      </c>
      <c r="BR447" s="37" t="n">
        <v>266.11</v>
      </c>
      <c r="BS447" s="37" t="n">
        <v>275.81</v>
      </c>
      <c r="BT447" s="37" t="n">
        <v>268.15</v>
      </c>
      <c r="BU447" s="37" t="n">
        <v>219.99</v>
      </c>
      <c r="BV447" s="37" t="n">
        <v>297.4299999999999</v>
      </c>
      <c r="BW447" s="37" t="n">
        <v>273.9</v>
      </c>
      <c r="BX447" s="37" t="n">
        <v>266.77</v>
      </c>
      <c r="BY447" s="37" t="n">
        <v>266.11</v>
      </c>
      <c r="BZ447" s="37" t="n">
        <v>275.81</v>
      </c>
      <c r="CA447" s="37" t="n">
        <v>268.15</v>
      </c>
      <c r="CB447" s="37" t="n">
        <v>219.99</v>
      </c>
      <c r="CC447" s="37" t="n">
        <v>16411.53</v>
      </c>
    </row>
    <row r="448" ht="15.75" customHeight="1" s="57">
      <c r="A448" s="7" t="inlineStr">
        <is>
          <t>NTB</t>
        </is>
      </c>
      <c r="B448" s="7" t="inlineStr">
        <is>
          <t>Đắk Nông</t>
        </is>
      </c>
      <c r="C448" s="7" t="n">
        <v>2309</v>
      </c>
      <c r="D448" s="7" t="inlineStr">
        <is>
          <t>(DNO) Đức Lập</t>
        </is>
      </c>
      <c r="E448" s="7" t="inlineStr">
        <is>
          <t>SME-Bulky</t>
        </is>
      </c>
      <c r="F448" s="36" t="n">
        <v>1</v>
      </c>
      <c r="G448" s="36" t="n">
        <v>1</v>
      </c>
      <c r="H448" s="36" t="n">
        <v>5</v>
      </c>
      <c r="I448" s="36" t="n">
        <v>1</v>
      </c>
      <c r="J448" s="36" t="n">
        <v>0</v>
      </c>
      <c r="K448" s="28" t="n">
        <v>5</v>
      </c>
      <c r="L448" s="36" t="n">
        <v>0</v>
      </c>
      <c r="M448" s="36" t="n">
        <v>1</v>
      </c>
      <c r="N448" s="36" t="n">
        <v>0</v>
      </c>
      <c r="O448" s="36" t="n">
        <v>1</v>
      </c>
      <c r="P448" s="36" t="n">
        <v>3</v>
      </c>
      <c r="Q448" s="36" t="n">
        <v>2</v>
      </c>
      <c r="R448" s="28" t="n">
        <v>1</v>
      </c>
      <c r="S448" s="36" t="n">
        <v>0</v>
      </c>
      <c r="T448" s="36" t="n">
        <v>0</v>
      </c>
      <c r="U448" s="36" t="n">
        <v>0.44</v>
      </c>
      <c r="V448" s="36" t="n">
        <v>0.44</v>
      </c>
      <c r="W448" s="36" t="n">
        <v>0.44</v>
      </c>
      <c r="X448" s="36" t="n">
        <v>0.19</v>
      </c>
      <c r="Y448" s="28" t="n">
        <v>0.59</v>
      </c>
      <c r="Z448" s="36" t="n">
        <v>0.48</v>
      </c>
      <c r="AA448" s="36" t="n">
        <v>0.48</v>
      </c>
      <c r="AB448" s="36" t="n">
        <v>0.44</v>
      </c>
      <c r="AC448" s="36" t="n">
        <v>0.44</v>
      </c>
      <c r="AD448" s="36" t="n">
        <v>1.2</v>
      </c>
      <c r="AE448" s="36" t="n">
        <v>0.19</v>
      </c>
      <c r="AF448" s="28" t="n">
        <v>0.59</v>
      </c>
      <c r="AG448" s="36" t="n">
        <v>0.48</v>
      </c>
      <c r="AH448" s="37" t="n">
        <v>0.48</v>
      </c>
      <c r="AI448" s="37" t="n">
        <v>0.44</v>
      </c>
      <c r="AJ448" s="37" t="n">
        <v>0.44</v>
      </c>
      <c r="AK448" s="37" t="n">
        <v>0.44</v>
      </c>
      <c r="AL448" s="37" t="n">
        <v>0.19</v>
      </c>
      <c r="AM448" s="37" t="n">
        <v>0.59</v>
      </c>
      <c r="AN448" s="37" t="n">
        <v>0.48</v>
      </c>
      <c r="AO448" s="37" t="n">
        <v>0.48</v>
      </c>
      <c r="AP448" s="37" t="n">
        <v>0.44</v>
      </c>
      <c r="AQ448" s="37" t="n">
        <v>0.44</v>
      </c>
      <c r="AR448" s="37" t="n">
        <v>0.44</v>
      </c>
      <c r="AS448" s="37" t="n">
        <v>0.19</v>
      </c>
      <c r="AT448" s="37" t="n">
        <v>0.59</v>
      </c>
      <c r="AU448" s="37" t="n">
        <v>0.48</v>
      </c>
      <c r="AV448" s="37" t="n">
        <v>0.48</v>
      </c>
      <c r="AW448" s="37" t="n">
        <v>0.44</v>
      </c>
      <c r="AX448" s="37" t="n">
        <v>0.44</v>
      </c>
      <c r="AY448" s="37" t="n">
        <v>0.44</v>
      </c>
      <c r="AZ448" s="37" t="n">
        <v>0.19</v>
      </c>
      <c r="BA448" s="37" t="n">
        <v>0.65</v>
      </c>
      <c r="BB448" s="37" t="n">
        <v>0.27</v>
      </c>
      <c r="BC448" s="37" t="n">
        <v>0.08</v>
      </c>
      <c r="BD448" s="37" t="n">
        <v>0.06</v>
      </c>
      <c r="BE448" s="37" t="n">
        <v>0.25</v>
      </c>
      <c r="BF448" s="37" t="n">
        <v>0.21</v>
      </c>
      <c r="BG448" s="37" t="n">
        <v>0.1</v>
      </c>
      <c r="BH448" s="37" t="n">
        <v>0.32</v>
      </c>
      <c r="BI448" s="37" t="n">
        <v>0.27</v>
      </c>
      <c r="BJ448" s="37" t="n">
        <v>0.65</v>
      </c>
      <c r="BK448" s="37" t="n">
        <v>0.25</v>
      </c>
      <c r="BL448" s="37" t="n">
        <v>0.25</v>
      </c>
      <c r="BM448" s="37" t="n">
        <v>0.25</v>
      </c>
      <c r="BN448" s="37" t="n">
        <v>0.1</v>
      </c>
      <c r="BO448" s="37" t="n">
        <v>0.32</v>
      </c>
      <c r="BP448" s="37" t="n">
        <v>0.27</v>
      </c>
      <c r="BQ448" s="37" t="n">
        <v>0.27</v>
      </c>
      <c r="BR448" s="37" t="n">
        <v>0.25</v>
      </c>
      <c r="BS448" s="37" t="n">
        <v>0.25</v>
      </c>
      <c r="BT448" s="37" t="n">
        <v>0.25</v>
      </c>
      <c r="BU448" s="37" t="n">
        <v>0.1</v>
      </c>
      <c r="BV448" s="37" t="n">
        <v>0.32</v>
      </c>
      <c r="BW448" s="37" t="n">
        <v>0.27</v>
      </c>
      <c r="BX448" s="37" t="n">
        <v>0.27</v>
      </c>
      <c r="BY448" s="37" t="n">
        <v>0.25</v>
      </c>
      <c r="BZ448" s="37" t="n">
        <v>0.25</v>
      </c>
      <c r="CA448" s="37" t="n">
        <v>0.25</v>
      </c>
      <c r="CB448" s="37" t="n">
        <v>0.1</v>
      </c>
      <c r="CC448" s="37" t="n">
        <v>42.64000000000003</v>
      </c>
    </row>
    <row r="449" ht="15.75" customHeight="1" s="57">
      <c r="A449" s="7" t="inlineStr">
        <is>
          <t>NTB</t>
        </is>
      </c>
      <c r="B449" s="7" t="inlineStr">
        <is>
          <t>Đắk Nông</t>
        </is>
      </c>
      <c r="C449" s="7" t="n">
        <v>2309</v>
      </c>
      <c r="D449" s="7" t="inlineStr">
        <is>
          <t>(DNO) Đức Lập</t>
        </is>
      </c>
      <c r="E449" s="7" t="inlineStr">
        <is>
          <t>Shopee</t>
        </is>
      </c>
      <c r="F449" s="36" t="n">
        <v>50</v>
      </c>
      <c r="G449" s="36" t="n">
        <v>37</v>
      </c>
      <c r="H449" s="36" t="n">
        <v>15</v>
      </c>
      <c r="I449" s="36" t="n">
        <v>18</v>
      </c>
      <c r="J449" s="36" t="n">
        <v>6</v>
      </c>
      <c r="K449" s="28" t="n">
        <v>56</v>
      </c>
      <c r="L449" s="36" t="n">
        <v>27</v>
      </c>
      <c r="M449" s="36" t="n">
        <v>23</v>
      </c>
      <c r="N449" s="36" t="n">
        <v>22</v>
      </c>
      <c r="O449" s="36" t="n">
        <v>27</v>
      </c>
      <c r="P449" s="36" t="n">
        <v>29</v>
      </c>
      <c r="Q449" s="36" t="n">
        <v>16</v>
      </c>
      <c r="R449" s="28" t="n">
        <v>54</v>
      </c>
      <c r="S449" s="36" t="n">
        <v>46</v>
      </c>
      <c r="T449" s="36" t="n">
        <v>45</v>
      </c>
      <c r="U449" s="36" t="n">
        <v>37.54</v>
      </c>
      <c r="V449" s="36" t="n">
        <v>37.54</v>
      </c>
      <c r="W449" s="36" t="n">
        <v>34.93</v>
      </c>
      <c r="X449" s="36" t="n">
        <v>30.76</v>
      </c>
      <c r="Y449" s="28" t="n">
        <v>49.79</v>
      </c>
      <c r="Z449" s="36" t="n">
        <v>40.93</v>
      </c>
      <c r="AA449" s="36" t="n">
        <v>48.22</v>
      </c>
      <c r="AB449" s="36" t="n">
        <v>38.06</v>
      </c>
      <c r="AC449" s="36" t="n">
        <v>30.76</v>
      </c>
      <c r="AD449" s="36" t="n">
        <v>59.43</v>
      </c>
      <c r="AE449" s="36" t="n">
        <v>32.84</v>
      </c>
      <c r="AF449" s="28" t="n">
        <v>54.22</v>
      </c>
      <c r="AG449" s="36" t="n">
        <v>43.27</v>
      </c>
      <c r="AH449" s="37" t="n">
        <v>44.84</v>
      </c>
      <c r="AI449" s="37" t="n">
        <v>37.54</v>
      </c>
      <c r="AJ449" s="37" t="n">
        <v>37.54</v>
      </c>
      <c r="AK449" s="37" t="n">
        <v>40.66</v>
      </c>
      <c r="AL449" s="37" t="n">
        <v>54.22</v>
      </c>
      <c r="AM449" s="37" t="n">
        <v>49.79</v>
      </c>
      <c r="AN449" s="37" t="n">
        <v>40.93</v>
      </c>
      <c r="AO449" s="37" t="n">
        <v>44.84</v>
      </c>
      <c r="AP449" s="37" t="n">
        <v>41.71</v>
      </c>
      <c r="AQ449" s="37" t="n">
        <v>30.76</v>
      </c>
      <c r="AR449" s="37" t="n">
        <v>34.93</v>
      </c>
      <c r="AS449" s="37" t="n">
        <v>30.76</v>
      </c>
      <c r="AT449" s="37" t="n">
        <v>49.79</v>
      </c>
      <c r="AU449" s="37" t="n">
        <v>44.31</v>
      </c>
      <c r="AV449" s="37" t="n">
        <v>45.1</v>
      </c>
      <c r="AW449" s="37" t="n">
        <v>37.54</v>
      </c>
      <c r="AX449" s="37" t="n">
        <v>37.54</v>
      </c>
      <c r="AY449" s="37" t="n">
        <v>34.93</v>
      </c>
      <c r="AZ449" s="37" t="n">
        <v>30.76</v>
      </c>
      <c r="BA449" s="37" t="n">
        <v>43.79</v>
      </c>
      <c r="BB449" s="37" t="n">
        <v>30.24</v>
      </c>
      <c r="BC449" s="37" t="n">
        <v>14.34</v>
      </c>
      <c r="BD449" s="37" t="n">
        <v>22.16</v>
      </c>
      <c r="BE449" s="37" t="n">
        <v>46.66</v>
      </c>
      <c r="BF449" s="37" t="n">
        <v>44.31</v>
      </c>
      <c r="BG449" s="37" t="n">
        <v>31.28</v>
      </c>
      <c r="BH449" s="37" t="n">
        <v>49.01</v>
      </c>
      <c r="BI449" s="37" t="n">
        <v>32.06</v>
      </c>
      <c r="BJ449" s="37" t="n">
        <v>86.02</v>
      </c>
      <c r="BK449" s="37" t="n">
        <v>40.4</v>
      </c>
      <c r="BL449" s="37" t="n">
        <v>39.36</v>
      </c>
      <c r="BM449" s="37" t="n">
        <v>34.41</v>
      </c>
      <c r="BN449" s="37" t="n">
        <v>30.24</v>
      </c>
      <c r="BO449" s="37" t="n">
        <v>49.01</v>
      </c>
      <c r="BP449" s="37" t="n">
        <v>43.53</v>
      </c>
      <c r="BQ449" s="37" t="n">
        <v>66.47</v>
      </c>
      <c r="BR449" s="37" t="n">
        <v>37.01</v>
      </c>
      <c r="BS449" s="37" t="n">
        <v>37.01</v>
      </c>
      <c r="BT449" s="37" t="n">
        <v>34.41</v>
      </c>
      <c r="BU449" s="37" t="n">
        <v>33.1</v>
      </c>
      <c r="BV449" s="37" t="n">
        <v>40.66</v>
      </c>
      <c r="BW449" s="37" t="n">
        <v>40.4</v>
      </c>
      <c r="BX449" s="37" t="n">
        <v>44.05</v>
      </c>
      <c r="BY449" s="37" t="n">
        <v>37.01</v>
      </c>
      <c r="BZ449" s="37" t="n">
        <v>41.19</v>
      </c>
      <c r="CA449" s="37" t="n">
        <v>36.49</v>
      </c>
      <c r="CB449" s="37" t="n">
        <v>30.24</v>
      </c>
      <c r="CC449" s="37" t="n">
        <v>2892.64</v>
      </c>
    </row>
    <row r="450" ht="15.75" customHeight="1" s="57">
      <c r="A450" s="7" t="inlineStr">
        <is>
          <t>NTB</t>
        </is>
      </c>
      <c r="B450" s="7" t="inlineStr">
        <is>
          <t>Đắk Nông</t>
        </is>
      </c>
      <c r="C450" s="7" t="n">
        <v>2309</v>
      </c>
      <c r="D450" s="7" t="inlineStr">
        <is>
          <t>(DNO) Đức Lập</t>
        </is>
      </c>
      <c r="E450" s="7" t="inlineStr">
        <is>
          <t>Shopee-Bulky</t>
        </is>
      </c>
      <c r="F450" s="36" t="n">
        <v>5.78</v>
      </c>
      <c r="G450" s="36" t="n">
        <v>6.43</v>
      </c>
      <c r="H450" s="36" t="n">
        <v>1.29</v>
      </c>
      <c r="I450" s="36" t="n">
        <v>0.64</v>
      </c>
      <c r="J450" s="36" t="n">
        <v>0</v>
      </c>
      <c r="K450" s="28" t="n">
        <v>4.5</v>
      </c>
      <c r="L450" s="36" t="n">
        <v>1.93</v>
      </c>
      <c r="M450" s="36" t="n">
        <v>1.29</v>
      </c>
      <c r="N450" s="36" t="n">
        <v>1.93</v>
      </c>
      <c r="O450" s="36" t="n">
        <v>2.57</v>
      </c>
      <c r="P450" s="36" t="n">
        <v>7.71</v>
      </c>
      <c r="Q450" s="36" t="n">
        <v>0</v>
      </c>
      <c r="R450" s="28" t="n">
        <v>7.07</v>
      </c>
      <c r="S450" s="36" t="n">
        <v>5.14</v>
      </c>
      <c r="T450" s="36" t="n">
        <v>1.93</v>
      </c>
      <c r="U450" s="36" t="n">
        <v>4.21</v>
      </c>
      <c r="V450" s="36" t="n">
        <v>3.15</v>
      </c>
      <c r="W450" s="36" t="n">
        <v>4.73</v>
      </c>
      <c r="X450" s="36" t="n">
        <v>2.11</v>
      </c>
      <c r="Y450" s="28" t="n">
        <v>4.21</v>
      </c>
      <c r="Z450" s="36" t="n">
        <v>4.21</v>
      </c>
      <c r="AA450" s="36" t="n">
        <v>4.73</v>
      </c>
      <c r="AB450" s="36" t="n">
        <v>4.21</v>
      </c>
      <c r="AC450" s="36" t="n">
        <v>4.73</v>
      </c>
      <c r="AD450" s="36" t="n">
        <v>9.459999999999999</v>
      </c>
      <c r="AE450" s="36" t="n">
        <v>10.52</v>
      </c>
      <c r="AF450" s="28" t="n">
        <v>8.41</v>
      </c>
      <c r="AG450" s="36" t="n">
        <v>6.31</v>
      </c>
      <c r="AH450" s="37" t="n">
        <v>4.21</v>
      </c>
      <c r="AI450" s="37" t="n">
        <v>4.21</v>
      </c>
      <c r="AJ450" s="37" t="n">
        <v>3.15</v>
      </c>
      <c r="AK450" s="37" t="n">
        <v>6.31</v>
      </c>
      <c r="AL450" s="37" t="n">
        <v>6.31</v>
      </c>
      <c r="AM450" s="37" t="n">
        <v>6.31</v>
      </c>
      <c r="AN450" s="37" t="n">
        <v>4.21</v>
      </c>
      <c r="AO450" s="37" t="n">
        <v>4.21</v>
      </c>
      <c r="AP450" s="37" t="n">
        <v>5.26</v>
      </c>
      <c r="AQ450" s="37" t="n">
        <v>6.31</v>
      </c>
      <c r="AR450" s="37" t="n">
        <v>4.73</v>
      </c>
      <c r="AS450" s="37" t="n">
        <v>2.11</v>
      </c>
      <c r="AT450" s="37" t="n">
        <v>4.21</v>
      </c>
      <c r="AU450" s="37" t="n">
        <v>5.79</v>
      </c>
      <c r="AV450" s="37" t="n">
        <v>8.41</v>
      </c>
      <c r="AW450" s="37" t="n">
        <v>4.21</v>
      </c>
      <c r="AX450" s="37" t="n">
        <v>3.15</v>
      </c>
      <c r="AY450" s="37" t="n">
        <v>4.73</v>
      </c>
      <c r="AZ450" s="37" t="n">
        <v>2.11</v>
      </c>
      <c r="BA450" s="37" t="n">
        <v>4.21</v>
      </c>
      <c r="BB450" s="37" t="n">
        <v>3.15</v>
      </c>
      <c r="BC450" s="37" t="n">
        <v>0</v>
      </c>
      <c r="BD450" s="37" t="n">
        <v>1.05</v>
      </c>
      <c r="BE450" s="37" t="n">
        <v>4.21</v>
      </c>
      <c r="BF450" s="37" t="n">
        <v>4.73</v>
      </c>
      <c r="BG450" s="37" t="n">
        <v>3.15</v>
      </c>
      <c r="BH450" s="37" t="n">
        <v>4.21</v>
      </c>
      <c r="BI450" s="37" t="n">
        <v>4.21</v>
      </c>
      <c r="BJ450" s="37" t="n">
        <v>28.91</v>
      </c>
      <c r="BK450" s="37" t="n">
        <v>7.36</v>
      </c>
      <c r="BL450" s="37" t="n">
        <v>4.21</v>
      </c>
      <c r="BM450" s="37" t="n">
        <v>3.15</v>
      </c>
      <c r="BN450" s="37" t="n">
        <v>3.15</v>
      </c>
      <c r="BO450" s="37" t="n">
        <v>6.31</v>
      </c>
      <c r="BP450" s="37" t="n">
        <v>5.79</v>
      </c>
      <c r="BQ450" s="37" t="n">
        <v>5.79</v>
      </c>
      <c r="BR450" s="37" t="n">
        <v>6.31</v>
      </c>
      <c r="BS450" s="37" t="n">
        <v>4.73</v>
      </c>
      <c r="BT450" s="37" t="n">
        <v>4.73</v>
      </c>
      <c r="BU450" s="37" t="n">
        <v>6.31</v>
      </c>
      <c r="BV450" s="37" t="n">
        <v>6.31</v>
      </c>
      <c r="BW450" s="37" t="n">
        <v>4.21</v>
      </c>
      <c r="BX450" s="37" t="n">
        <v>6.31</v>
      </c>
      <c r="BY450" s="37" t="n">
        <v>6.31</v>
      </c>
      <c r="BZ450" s="37" t="n">
        <v>7.36</v>
      </c>
      <c r="CA450" s="37" t="n">
        <v>6.31</v>
      </c>
      <c r="CB450" s="37" t="n">
        <v>3.15</v>
      </c>
      <c r="CC450" s="37" t="n">
        <v>364.77</v>
      </c>
    </row>
    <row r="451" ht="15.75" customHeight="1" s="57">
      <c r="A451" s="7" t="inlineStr">
        <is>
          <t>NTB</t>
        </is>
      </c>
      <c r="B451" s="7" t="inlineStr">
        <is>
          <t>Đắk Nông</t>
        </is>
      </c>
      <c r="C451" s="7" t="n">
        <v>2309</v>
      </c>
      <c r="D451" s="7" t="inlineStr">
        <is>
          <t>(DNO) Đức Lập</t>
        </is>
      </c>
      <c r="E451" s="7" t="inlineStr">
        <is>
          <t>Shopee-Bulky (10-15kg)</t>
        </is>
      </c>
      <c r="F451" s="36" t="n">
        <v>3.22</v>
      </c>
      <c r="G451" s="36" t="n">
        <v>3.57</v>
      </c>
      <c r="H451" s="36" t="n">
        <v>0.71</v>
      </c>
      <c r="I451" s="36" t="n">
        <v>0.36</v>
      </c>
      <c r="J451" s="36" t="n">
        <v>0</v>
      </c>
      <c r="K451" s="28" t="n">
        <v>2.5</v>
      </c>
      <c r="L451" s="36" t="n">
        <v>1.07</v>
      </c>
      <c r="M451" s="36" t="n">
        <v>0.71</v>
      </c>
      <c r="N451" s="36" t="n">
        <v>1.07</v>
      </c>
      <c r="O451" s="36" t="n">
        <v>1.43</v>
      </c>
      <c r="P451" s="36" t="n">
        <v>4.29</v>
      </c>
      <c r="Q451" s="36" t="n">
        <v>0</v>
      </c>
      <c r="R451" s="28" t="n">
        <v>3.93</v>
      </c>
      <c r="S451" s="36" t="n">
        <v>2.86</v>
      </c>
      <c r="T451" s="36" t="n">
        <v>1.07</v>
      </c>
      <c r="U451" s="36" t="n">
        <v>2.11</v>
      </c>
      <c r="V451" s="36" t="n">
        <v>2.11</v>
      </c>
      <c r="W451" s="36" t="n">
        <v>1.58</v>
      </c>
      <c r="X451" s="36" t="n">
        <v>1.05</v>
      </c>
      <c r="Y451" s="28" t="n">
        <v>2.11</v>
      </c>
      <c r="Z451" s="36" t="n">
        <v>2.11</v>
      </c>
      <c r="AA451" s="36" t="n">
        <v>2.62</v>
      </c>
      <c r="AB451" s="36" t="n">
        <v>2.11</v>
      </c>
      <c r="AC451" s="36" t="n">
        <v>3.15</v>
      </c>
      <c r="AD451" s="36" t="n">
        <v>3.68</v>
      </c>
      <c r="AE451" s="36" t="n">
        <v>5.26</v>
      </c>
      <c r="AF451" s="28" t="n">
        <v>4.73</v>
      </c>
      <c r="AG451" s="36" t="n">
        <v>2.11</v>
      </c>
      <c r="AH451" s="37" t="n">
        <v>2.11</v>
      </c>
      <c r="AI451" s="37" t="n">
        <v>2.11</v>
      </c>
      <c r="AJ451" s="37" t="n">
        <v>2.11</v>
      </c>
      <c r="AK451" s="37" t="n">
        <v>3.15</v>
      </c>
      <c r="AL451" s="37" t="n">
        <v>2.11</v>
      </c>
      <c r="AM451" s="37" t="n">
        <v>3.15</v>
      </c>
      <c r="AN451" s="37" t="n">
        <v>2.11</v>
      </c>
      <c r="AO451" s="37" t="n">
        <v>2.11</v>
      </c>
      <c r="AP451" s="37" t="n">
        <v>3.15</v>
      </c>
      <c r="AQ451" s="37" t="n">
        <v>3.15</v>
      </c>
      <c r="AR451" s="37" t="n">
        <v>1.58</v>
      </c>
      <c r="AS451" s="37" t="n">
        <v>1.05</v>
      </c>
      <c r="AT451" s="37" t="n">
        <v>2.11</v>
      </c>
      <c r="AU451" s="37" t="n">
        <v>3.68</v>
      </c>
      <c r="AV451" s="37" t="n">
        <v>4.21</v>
      </c>
      <c r="AW451" s="37" t="n">
        <v>2.11</v>
      </c>
      <c r="AX451" s="37" t="n">
        <v>2.11</v>
      </c>
      <c r="AY451" s="37" t="n">
        <v>1.58</v>
      </c>
      <c r="AZ451" s="37" t="n">
        <v>1.05</v>
      </c>
      <c r="BA451" s="37" t="n">
        <v>2.11</v>
      </c>
      <c r="BB451" s="37" t="n">
        <v>1.05</v>
      </c>
      <c r="BC451" s="37" t="n">
        <v>0</v>
      </c>
      <c r="BD451" s="37" t="n">
        <v>0</v>
      </c>
      <c r="BE451" s="37" t="n">
        <v>3.15</v>
      </c>
      <c r="BF451" s="37" t="n">
        <v>3.15</v>
      </c>
      <c r="BG451" s="37" t="n">
        <v>1.05</v>
      </c>
      <c r="BH451" s="37" t="n">
        <v>2.62</v>
      </c>
      <c r="BI451" s="37" t="n">
        <v>3.15</v>
      </c>
      <c r="BJ451" s="37" t="n">
        <v>11.56</v>
      </c>
      <c r="BK451" s="37" t="n">
        <v>4.21</v>
      </c>
      <c r="BL451" s="37" t="n">
        <v>2.62</v>
      </c>
      <c r="BM451" s="37" t="n">
        <v>1.05</v>
      </c>
      <c r="BN451" s="37" t="n">
        <v>1.58</v>
      </c>
      <c r="BO451" s="37" t="n">
        <v>3.15</v>
      </c>
      <c r="BP451" s="37" t="n">
        <v>4.21</v>
      </c>
      <c r="BQ451" s="37" t="n">
        <v>3.15</v>
      </c>
      <c r="BR451" s="37" t="n">
        <v>3.15</v>
      </c>
      <c r="BS451" s="37" t="n">
        <v>3.15</v>
      </c>
      <c r="BT451" s="37" t="n">
        <v>1.05</v>
      </c>
      <c r="BU451" s="37" t="n">
        <v>2.11</v>
      </c>
      <c r="BV451" s="37" t="n">
        <v>3.15</v>
      </c>
      <c r="BW451" s="37" t="n">
        <v>3.15</v>
      </c>
      <c r="BX451" s="37" t="n">
        <v>2.62</v>
      </c>
      <c r="BY451" s="37" t="n">
        <v>3.15</v>
      </c>
      <c r="BZ451" s="37" t="n">
        <v>4.21</v>
      </c>
      <c r="CA451" s="37" t="n">
        <v>2.11</v>
      </c>
      <c r="CB451" s="37" t="n">
        <v>1.05</v>
      </c>
      <c r="CC451" s="37" t="n">
        <v>182.9700000000001</v>
      </c>
    </row>
    <row r="452" ht="15.75" customHeight="1" s="57">
      <c r="A452" s="7" t="inlineStr">
        <is>
          <t>NTB</t>
        </is>
      </c>
      <c r="B452" s="7" t="inlineStr">
        <is>
          <t>Đắk Nông</t>
        </is>
      </c>
      <c r="C452" s="7" t="n">
        <v>2309</v>
      </c>
      <c r="D452" s="7" t="inlineStr">
        <is>
          <t>(DNO) Đức Lập</t>
        </is>
      </c>
      <c r="E452" s="7" t="inlineStr">
        <is>
          <t>TTS</t>
        </is>
      </c>
      <c r="F452" s="36" t="n">
        <v>37</v>
      </c>
      <c r="G452" s="36" t="n">
        <v>16</v>
      </c>
      <c r="H452" s="36" t="n">
        <v>38</v>
      </c>
      <c r="I452" s="36" t="n">
        <v>22</v>
      </c>
      <c r="J452" s="36" t="n">
        <v>10</v>
      </c>
      <c r="K452" s="28" t="n">
        <v>24</v>
      </c>
      <c r="L452" s="36" t="n">
        <v>19</v>
      </c>
      <c r="M452" s="36" t="n">
        <v>40</v>
      </c>
      <c r="N452" s="36" t="n">
        <v>24</v>
      </c>
      <c r="O452" s="36" t="n">
        <v>31</v>
      </c>
      <c r="P452" s="36" t="n">
        <v>16</v>
      </c>
      <c r="Q452" s="36" t="n">
        <v>10</v>
      </c>
      <c r="R452" s="28" t="n">
        <v>12</v>
      </c>
      <c r="S452" s="36" t="n">
        <v>18</v>
      </c>
      <c r="T452" s="36" t="n">
        <v>19</v>
      </c>
      <c r="U452" s="36" t="n">
        <v>32.63</v>
      </c>
      <c r="V452" s="36" t="n">
        <v>31.32</v>
      </c>
      <c r="W452" s="36" t="n">
        <v>30.45</v>
      </c>
      <c r="X452" s="36" t="n">
        <v>25.52</v>
      </c>
      <c r="Y452" s="28" t="n">
        <v>37.77</v>
      </c>
      <c r="Z452" s="36" t="n">
        <v>31.03</v>
      </c>
      <c r="AA452" s="36" t="n">
        <v>34.22</v>
      </c>
      <c r="AB452" s="36" t="n">
        <v>36.98</v>
      </c>
      <c r="AC452" s="36" t="n">
        <v>39.01</v>
      </c>
      <c r="AD452" s="36" t="n">
        <v>50.47</v>
      </c>
      <c r="AE452" s="36" t="n">
        <v>28.57</v>
      </c>
      <c r="AF452" s="28" t="n">
        <v>38.93</v>
      </c>
      <c r="AG452" s="36" t="n">
        <v>31.32</v>
      </c>
      <c r="AH452" s="37" t="n">
        <v>30.6</v>
      </c>
      <c r="AI452" s="37" t="n">
        <v>35.82</v>
      </c>
      <c r="AJ452" s="37" t="n">
        <v>37.12</v>
      </c>
      <c r="AK452" s="37" t="n">
        <v>35.96</v>
      </c>
      <c r="AL452" s="37" t="n">
        <v>27.41</v>
      </c>
      <c r="AM452" s="37" t="n">
        <v>37.91999999999999</v>
      </c>
      <c r="AN452" s="37" t="n">
        <v>32.34</v>
      </c>
      <c r="AO452" s="37" t="n">
        <v>32.05</v>
      </c>
      <c r="AP452" s="37" t="n">
        <v>30.74</v>
      </c>
      <c r="AQ452" s="37" t="n">
        <v>31.03</v>
      </c>
      <c r="AR452" s="37" t="n">
        <v>30.16</v>
      </c>
      <c r="AS452" s="37" t="n">
        <v>25.52</v>
      </c>
      <c r="AT452" s="37" t="n">
        <v>42.27</v>
      </c>
      <c r="AU452" s="37" t="n">
        <v>35.82</v>
      </c>
      <c r="AV452" s="37" t="n">
        <v>32.63</v>
      </c>
      <c r="AW452" s="37" t="n">
        <v>30.02</v>
      </c>
      <c r="AX452" s="37" t="n">
        <v>30.16</v>
      </c>
      <c r="AY452" s="37" t="n">
        <v>30.02</v>
      </c>
      <c r="AZ452" s="37" t="n">
        <v>25.67</v>
      </c>
      <c r="BA452" s="37" t="n">
        <v>37.63</v>
      </c>
      <c r="BB452" s="37" t="n">
        <v>34.66</v>
      </c>
      <c r="BC452" s="37" t="n">
        <v>17.4</v>
      </c>
      <c r="BD452" s="37" t="n">
        <v>24.65</v>
      </c>
      <c r="BE452" s="37" t="n">
        <v>58.88</v>
      </c>
      <c r="BF452" s="37" t="n">
        <v>57.43</v>
      </c>
      <c r="BG452" s="37" t="n">
        <v>27.41</v>
      </c>
      <c r="BH452" s="37" t="n">
        <v>42.27</v>
      </c>
      <c r="BI452" s="37" t="n">
        <v>34.66</v>
      </c>
      <c r="BJ452" s="37" t="n">
        <v>40.32</v>
      </c>
      <c r="BK452" s="37" t="n">
        <v>34.8</v>
      </c>
      <c r="BL452" s="37" t="n">
        <v>34.95</v>
      </c>
      <c r="BM452" s="37" t="n">
        <v>33.79</v>
      </c>
      <c r="BN452" s="37" t="n">
        <v>27.41</v>
      </c>
      <c r="BO452" s="37" t="n">
        <v>42.27</v>
      </c>
      <c r="BP452" s="37" t="n">
        <v>34.66</v>
      </c>
      <c r="BQ452" s="37" t="n">
        <v>33.93</v>
      </c>
      <c r="BR452" s="37" t="n">
        <v>34.8</v>
      </c>
      <c r="BS452" s="37" t="n">
        <v>34.95</v>
      </c>
      <c r="BT452" s="37" t="n">
        <v>33.79</v>
      </c>
      <c r="BU452" s="37" t="n">
        <v>27.41</v>
      </c>
      <c r="BV452" s="37" t="n">
        <v>42.27</v>
      </c>
      <c r="BW452" s="37" t="n">
        <v>34.66</v>
      </c>
      <c r="BX452" s="37" t="n">
        <v>33.93</v>
      </c>
      <c r="BY452" s="37" t="n">
        <v>34.8</v>
      </c>
      <c r="BZ452" s="37" t="n">
        <v>34.95</v>
      </c>
      <c r="CA452" s="37" t="n">
        <v>33.79</v>
      </c>
      <c r="CB452" s="37" t="n">
        <v>27.41</v>
      </c>
      <c r="CC452" s="37" t="n">
        <v>2387.36</v>
      </c>
    </row>
    <row r="453" ht="15.75" customHeight="1" s="57">
      <c r="A453" s="7" t="inlineStr">
        <is>
          <t>NTB</t>
        </is>
      </c>
      <c r="B453" s="7" t="inlineStr">
        <is>
          <t>Đắk Nông</t>
        </is>
      </c>
      <c r="C453" s="7" t="n">
        <v>2309</v>
      </c>
      <c r="D453" s="7" t="inlineStr">
        <is>
          <t>(DNO) Đức Lập</t>
        </is>
      </c>
      <c r="E453" s="7" t="inlineStr">
        <is>
          <t>TTS-Bulky</t>
        </is>
      </c>
      <c r="F453" s="36" t="n">
        <v>1</v>
      </c>
      <c r="G453" s="36" t="n">
        <v>0</v>
      </c>
      <c r="H453" s="36" t="n">
        <v>0</v>
      </c>
      <c r="I453" s="36" t="n">
        <v>0</v>
      </c>
      <c r="J453" s="36" t="n">
        <v>0</v>
      </c>
      <c r="K453" s="28" t="n">
        <v>1</v>
      </c>
      <c r="L453" s="36" t="n">
        <v>0</v>
      </c>
      <c r="M453" s="36" t="n">
        <v>2</v>
      </c>
      <c r="N453" s="36" t="n">
        <v>0</v>
      </c>
      <c r="O453" s="36" t="n">
        <v>0</v>
      </c>
      <c r="P453" s="36" t="n">
        <v>2</v>
      </c>
      <c r="Q453" s="36" t="n">
        <v>1</v>
      </c>
      <c r="R453" s="28" t="n">
        <v>0</v>
      </c>
      <c r="S453" s="36" t="n">
        <v>0</v>
      </c>
      <c r="T453" s="36" t="n">
        <v>0</v>
      </c>
      <c r="U453" s="36" t="n">
        <v>0</v>
      </c>
      <c r="V453" s="36" t="n">
        <v>0</v>
      </c>
      <c r="W453" s="36" t="n">
        <v>0</v>
      </c>
      <c r="X453" s="36" t="n">
        <v>0</v>
      </c>
      <c r="Y453" s="28" t="n">
        <v>0</v>
      </c>
      <c r="Z453" s="36" t="n">
        <v>0</v>
      </c>
      <c r="AA453" s="36" t="n">
        <v>0</v>
      </c>
      <c r="AB453" s="36" t="n">
        <v>0</v>
      </c>
      <c r="AC453" s="36" t="n">
        <v>0</v>
      </c>
      <c r="AD453" s="36" t="n">
        <v>0</v>
      </c>
      <c r="AE453" s="36" t="n">
        <v>0</v>
      </c>
      <c r="AF453" s="28" t="n">
        <v>0</v>
      </c>
      <c r="AG453" s="36" t="n">
        <v>0</v>
      </c>
      <c r="AH453" s="37" t="n">
        <v>0</v>
      </c>
      <c r="AI453" s="37" t="n">
        <v>0</v>
      </c>
      <c r="AJ453" s="37" t="n">
        <v>0</v>
      </c>
      <c r="AK453" s="37" t="n">
        <v>0</v>
      </c>
      <c r="AL453" s="37" t="n">
        <v>0</v>
      </c>
      <c r="AM453" s="37" t="n">
        <v>0</v>
      </c>
      <c r="AN453" s="37" t="n">
        <v>0</v>
      </c>
      <c r="AO453" s="37" t="n">
        <v>0</v>
      </c>
      <c r="AP453" s="37" t="n">
        <v>0</v>
      </c>
      <c r="AQ453" s="37" t="n">
        <v>0</v>
      </c>
      <c r="AR453" s="37" t="n">
        <v>0</v>
      </c>
      <c r="AS453" s="37" t="n">
        <v>0</v>
      </c>
      <c r="AT453" s="37" t="n">
        <v>0</v>
      </c>
      <c r="AU453" s="37" t="n">
        <v>0</v>
      </c>
      <c r="AV453" s="37" t="n">
        <v>0</v>
      </c>
      <c r="AW453" s="37" t="n">
        <v>0</v>
      </c>
      <c r="AX453" s="37" t="n">
        <v>0</v>
      </c>
      <c r="AY453" s="37" t="n">
        <v>0</v>
      </c>
      <c r="AZ453" s="37" t="n">
        <v>0</v>
      </c>
      <c r="BA453" s="37" t="n">
        <v>0</v>
      </c>
      <c r="BB453" s="37" t="n">
        <v>0</v>
      </c>
      <c r="BC453" s="37" t="n">
        <v>0</v>
      </c>
      <c r="BD453" s="37" t="n">
        <v>0</v>
      </c>
      <c r="BE453" s="37" t="n">
        <v>0</v>
      </c>
      <c r="BF453" s="37" t="n">
        <v>0</v>
      </c>
      <c r="BG453" s="37" t="n">
        <v>0</v>
      </c>
      <c r="BH453" s="37" t="n">
        <v>0</v>
      </c>
      <c r="BI453" s="37" t="n">
        <v>0</v>
      </c>
      <c r="BJ453" s="37" t="n">
        <v>0</v>
      </c>
      <c r="BK453" s="37" t="n">
        <v>0</v>
      </c>
      <c r="BL453" s="37" t="n">
        <v>0</v>
      </c>
      <c r="BM453" s="37" t="n">
        <v>0</v>
      </c>
      <c r="BN453" s="37" t="n">
        <v>0</v>
      </c>
      <c r="BO453" s="37" t="n">
        <v>0</v>
      </c>
      <c r="BP453" s="37" t="n">
        <v>0</v>
      </c>
      <c r="BQ453" s="37" t="n">
        <v>0</v>
      </c>
      <c r="BR453" s="37" t="n">
        <v>0</v>
      </c>
      <c r="BS453" s="37" t="n">
        <v>0</v>
      </c>
      <c r="BT453" s="37" t="n">
        <v>0</v>
      </c>
      <c r="BU453" s="37" t="n">
        <v>0</v>
      </c>
      <c r="BV453" s="37" t="n">
        <v>0</v>
      </c>
      <c r="BW453" s="37" t="n">
        <v>0</v>
      </c>
      <c r="BX453" s="37" t="n">
        <v>0</v>
      </c>
      <c r="BY453" s="37" t="n">
        <v>0</v>
      </c>
      <c r="BZ453" s="37" t="n">
        <v>0</v>
      </c>
      <c r="CA453" s="37" t="n">
        <v>0</v>
      </c>
      <c r="CB453" s="37" t="n">
        <v>0</v>
      </c>
      <c r="CC453" s="37" t="n">
        <v>7</v>
      </c>
    </row>
    <row r="454" ht="15.75" customHeight="1" s="57">
      <c r="A454" s="7" t="inlineStr">
        <is>
          <t>NTB</t>
        </is>
      </c>
      <c r="B454" s="7" t="inlineStr">
        <is>
          <t>Đắk Nông</t>
        </is>
      </c>
      <c r="C454" s="7" t="n">
        <v>20269000</v>
      </c>
      <c r="D454" s="7" t="inlineStr">
        <is>
          <t>(DNO) Kiến Đức</t>
        </is>
      </c>
      <c r="E454" s="7" t="inlineStr">
        <is>
          <t>SME</t>
        </is>
      </c>
      <c r="F454" s="36" t="n">
        <v>42</v>
      </c>
      <c r="G454" s="36" t="n">
        <v>70</v>
      </c>
      <c r="H454" s="36" t="n">
        <v>29</v>
      </c>
      <c r="I454" s="36" t="n">
        <v>93</v>
      </c>
      <c r="J454" s="36" t="n">
        <v>22</v>
      </c>
      <c r="K454" s="28" t="n">
        <v>67</v>
      </c>
      <c r="L454" s="36" t="n">
        <v>46</v>
      </c>
      <c r="M454" s="36" t="n">
        <v>50</v>
      </c>
      <c r="N454" s="36" t="n">
        <v>157</v>
      </c>
      <c r="O454" s="36" t="n">
        <v>58</v>
      </c>
      <c r="P454" s="36" t="n">
        <v>23</v>
      </c>
      <c r="Q454" s="36" t="n">
        <v>50</v>
      </c>
      <c r="R454" s="28" t="n">
        <v>55</v>
      </c>
      <c r="S454" s="36" t="n">
        <v>55</v>
      </c>
      <c r="T454" s="36" t="n">
        <v>39</v>
      </c>
      <c r="U454" s="36" t="n">
        <v>218.42</v>
      </c>
      <c r="V454" s="36" t="n">
        <v>226.1</v>
      </c>
      <c r="W454" s="36" t="n">
        <v>219.96</v>
      </c>
      <c r="X454" s="36" t="n">
        <v>179.83</v>
      </c>
      <c r="Y454" s="28" t="n">
        <v>243.64</v>
      </c>
      <c r="Z454" s="36" t="n">
        <v>224.76</v>
      </c>
      <c r="AA454" s="36" t="n">
        <v>218.64</v>
      </c>
      <c r="AB454" s="36" t="n">
        <v>218.42</v>
      </c>
      <c r="AC454" s="36" t="n">
        <v>226.1</v>
      </c>
      <c r="AD454" s="36" t="n">
        <v>231.31</v>
      </c>
      <c r="AE454" s="36" t="n">
        <v>179.83</v>
      </c>
      <c r="AF454" s="28" t="n">
        <v>243.64</v>
      </c>
      <c r="AG454" s="36" t="n">
        <v>224.76</v>
      </c>
      <c r="AH454" s="37" t="n">
        <v>218.64</v>
      </c>
      <c r="AI454" s="37" t="n">
        <v>218.42</v>
      </c>
      <c r="AJ454" s="37" t="n">
        <v>226.1</v>
      </c>
      <c r="AK454" s="37" t="n">
        <v>219.96</v>
      </c>
      <c r="AL454" s="37" t="n">
        <v>179.83</v>
      </c>
      <c r="AM454" s="37" t="n">
        <v>243.64</v>
      </c>
      <c r="AN454" s="37" t="n">
        <v>224.76</v>
      </c>
      <c r="AO454" s="37" t="n">
        <v>218.64</v>
      </c>
      <c r="AP454" s="37" t="n">
        <v>218.42</v>
      </c>
      <c r="AQ454" s="37" t="n">
        <v>226.1</v>
      </c>
      <c r="AR454" s="37" t="n">
        <v>219.96</v>
      </c>
      <c r="AS454" s="37" t="n">
        <v>179.83</v>
      </c>
      <c r="AT454" s="37" t="n">
        <v>243.64</v>
      </c>
      <c r="AU454" s="37" t="n">
        <v>224.76</v>
      </c>
      <c r="AV454" s="37" t="n">
        <v>218.64</v>
      </c>
      <c r="AW454" s="37" t="n">
        <v>218.42</v>
      </c>
      <c r="AX454" s="37" t="n">
        <v>226.1</v>
      </c>
      <c r="AY454" s="37" t="n">
        <v>219.96</v>
      </c>
      <c r="AZ454" s="37" t="n">
        <v>179.83</v>
      </c>
      <c r="BA454" s="37" t="n">
        <v>231.23</v>
      </c>
      <c r="BB454" s="37" t="n">
        <v>206.1</v>
      </c>
      <c r="BC454" s="37" t="n">
        <v>126.71</v>
      </c>
      <c r="BD454" s="37" t="n">
        <v>99.23999999999999</v>
      </c>
      <c r="BE454" s="37" t="n">
        <v>212.31</v>
      </c>
      <c r="BF454" s="37" t="n">
        <v>206.7</v>
      </c>
      <c r="BG454" s="37" t="n">
        <v>186.03</v>
      </c>
      <c r="BH454" s="37" t="n">
        <v>251.58</v>
      </c>
      <c r="BI454" s="37" t="n">
        <v>231.83</v>
      </c>
      <c r="BJ454" s="37" t="n">
        <v>237.92</v>
      </c>
      <c r="BK454" s="37" t="n">
        <v>225.29</v>
      </c>
      <c r="BL454" s="37" t="n">
        <v>233.43</v>
      </c>
      <c r="BM454" s="37" t="n">
        <v>226.9</v>
      </c>
      <c r="BN454" s="37" t="n">
        <v>186.03</v>
      </c>
      <c r="BO454" s="37" t="n">
        <v>251.58</v>
      </c>
      <c r="BP454" s="37" t="n">
        <v>231.83</v>
      </c>
      <c r="BQ454" s="37" t="n">
        <v>225.52</v>
      </c>
      <c r="BR454" s="37" t="n">
        <v>225.29</v>
      </c>
      <c r="BS454" s="37" t="n">
        <v>233.43</v>
      </c>
      <c r="BT454" s="37" t="n">
        <v>226.9</v>
      </c>
      <c r="BU454" s="37" t="n">
        <v>186.03</v>
      </c>
      <c r="BV454" s="37" t="n">
        <v>251.58</v>
      </c>
      <c r="BW454" s="37" t="n">
        <v>231.83</v>
      </c>
      <c r="BX454" s="37" t="n">
        <v>225.52</v>
      </c>
      <c r="BY454" s="37" t="n">
        <v>225.29</v>
      </c>
      <c r="BZ454" s="37" t="n">
        <v>233.43</v>
      </c>
      <c r="CA454" s="37" t="n">
        <v>226.9</v>
      </c>
      <c r="CB454" s="37" t="n">
        <v>186.03</v>
      </c>
      <c r="CC454" s="37" t="n">
        <v>13859.52000000001</v>
      </c>
    </row>
    <row r="455" ht="15.75" customHeight="1" s="57">
      <c r="A455" s="7" t="inlineStr">
        <is>
          <t>NTB</t>
        </is>
      </c>
      <c r="B455" s="7" t="inlineStr">
        <is>
          <t>Đắk Nông</t>
        </is>
      </c>
      <c r="C455" s="7" t="n">
        <v>20269000</v>
      </c>
      <c r="D455" s="7" t="inlineStr">
        <is>
          <t>(DNO) Kiến Đức</t>
        </is>
      </c>
      <c r="E455" s="7" t="inlineStr">
        <is>
          <t>SME-Bulky</t>
        </is>
      </c>
      <c r="F455" s="36" t="n">
        <v>0</v>
      </c>
      <c r="G455" s="36" t="n">
        <v>9</v>
      </c>
      <c r="H455" s="36" t="n">
        <v>7</v>
      </c>
      <c r="I455" s="36" t="n">
        <v>3</v>
      </c>
      <c r="J455" s="36" t="n">
        <v>9</v>
      </c>
      <c r="K455" s="28" t="n">
        <v>5</v>
      </c>
      <c r="L455" s="36" t="n">
        <v>2</v>
      </c>
      <c r="M455" s="36" t="n">
        <v>6</v>
      </c>
      <c r="N455" s="36" t="n">
        <v>7</v>
      </c>
      <c r="O455" s="36" t="n">
        <v>8</v>
      </c>
      <c r="P455" s="36" t="n">
        <v>2</v>
      </c>
      <c r="Q455" s="36" t="n">
        <v>10</v>
      </c>
      <c r="R455" s="28" t="n">
        <v>6</v>
      </c>
      <c r="S455" s="36" t="n">
        <v>3</v>
      </c>
      <c r="T455" s="36" t="n">
        <v>2</v>
      </c>
      <c r="U455" s="36" t="n">
        <v>2.94</v>
      </c>
      <c r="V455" s="36" t="n">
        <v>2.94</v>
      </c>
      <c r="W455" s="36" t="n">
        <v>2.94</v>
      </c>
      <c r="X455" s="36" t="n">
        <v>1.28</v>
      </c>
      <c r="Y455" s="28" t="n">
        <v>3.96</v>
      </c>
      <c r="Z455" s="36" t="n">
        <v>3.19</v>
      </c>
      <c r="AA455" s="36" t="n">
        <v>3.19</v>
      </c>
      <c r="AB455" s="36" t="n">
        <v>2.94</v>
      </c>
      <c r="AC455" s="36" t="n">
        <v>2.94</v>
      </c>
      <c r="AD455" s="36" t="n">
        <v>8.050000000000001</v>
      </c>
      <c r="AE455" s="36" t="n">
        <v>1.28</v>
      </c>
      <c r="AF455" s="28" t="n">
        <v>3.96</v>
      </c>
      <c r="AG455" s="36" t="n">
        <v>3.19</v>
      </c>
      <c r="AH455" s="37" t="n">
        <v>3.19</v>
      </c>
      <c r="AI455" s="37" t="n">
        <v>2.94</v>
      </c>
      <c r="AJ455" s="37" t="n">
        <v>2.94</v>
      </c>
      <c r="AK455" s="37" t="n">
        <v>2.94</v>
      </c>
      <c r="AL455" s="37" t="n">
        <v>1.28</v>
      </c>
      <c r="AM455" s="37" t="n">
        <v>3.96</v>
      </c>
      <c r="AN455" s="37" t="n">
        <v>3.19</v>
      </c>
      <c r="AO455" s="37" t="n">
        <v>3.19</v>
      </c>
      <c r="AP455" s="37" t="n">
        <v>2.94</v>
      </c>
      <c r="AQ455" s="37" t="n">
        <v>2.94</v>
      </c>
      <c r="AR455" s="37" t="n">
        <v>2.94</v>
      </c>
      <c r="AS455" s="37" t="n">
        <v>1.28</v>
      </c>
      <c r="AT455" s="37" t="n">
        <v>3.96</v>
      </c>
      <c r="AU455" s="37" t="n">
        <v>3.19</v>
      </c>
      <c r="AV455" s="37" t="n">
        <v>3.19</v>
      </c>
      <c r="AW455" s="37" t="n">
        <v>2.94</v>
      </c>
      <c r="AX455" s="37" t="n">
        <v>2.94</v>
      </c>
      <c r="AY455" s="37" t="n">
        <v>2.94</v>
      </c>
      <c r="AZ455" s="37" t="n">
        <v>1.28</v>
      </c>
      <c r="BA455" s="37" t="n">
        <v>4.34</v>
      </c>
      <c r="BB455" s="37" t="n">
        <v>1.79</v>
      </c>
      <c r="BC455" s="37" t="n">
        <v>0.51</v>
      </c>
      <c r="BD455" s="37" t="n">
        <v>0.38</v>
      </c>
      <c r="BE455" s="37" t="n">
        <v>1.66</v>
      </c>
      <c r="BF455" s="37" t="n">
        <v>1.41</v>
      </c>
      <c r="BG455" s="37" t="n">
        <v>0.64</v>
      </c>
      <c r="BH455" s="37" t="n">
        <v>2.17</v>
      </c>
      <c r="BI455" s="37" t="n">
        <v>1.79</v>
      </c>
      <c r="BJ455" s="37" t="n">
        <v>4.34</v>
      </c>
      <c r="BK455" s="37" t="n">
        <v>1.66</v>
      </c>
      <c r="BL455" s="37" t="n">
        <v>1.66</v>
      </c>
      <c r="BM455" s="37" t="n">
        <v>1.66</v>
      </c>
      <c r="BN455" s="37" t="n">
        <v>0.64</v>
      </c>
      <c r="BO455" s="37" t="n">
        <v>2.17</v>
      </c>
      <c r="BP455" s="37" t="n">
        <v>1.79</v>
      </c>
      <c r="BQ455" s="37" t="n">
        <v>1.79</v>
      </c>
      <c r="BR455" s="37" t="n">
        <v>1.66</v>
      </c>
      <c r="BS455" s="37" t="n">
        <v>1.66</v>
      </c>
      <c r="BT455" s="37" t="n">
        <v>1.66</v>
      </c>
      <c r="BU455" s="37" t="n">
        <v>0.64</v>
      </c>
      <c r="BV455" s="37" t="n">
        <v>2.17</v>
      </c>
      <c r="BW455" s="37" t="n">
        <v>1.79</v>
      </c>
      <c r="BX455" s="37" t="n">
        <v>1.79</v>
      </c>
      <c r="BY455" s="37" t="n">
        <v>1.66</v>
      </c>
      <c r="BZ455" s="37" t="n">
        <v>1.66</v>
      </c>
      <c r="CA455" s="37" t="n">
        <v>1.66</v>
      </c>
      <c r="CB455" s="37" t="n">
        <v>0.64</v>
      </c>
      <c r="CC455" s="37" t="n">
        <v>223.3599999999998</v>
      </c>
    </row>
    <row r="456" ht="15.75" customHeight="1" s="57">
      <c r="A456" s="7" t="inlineStr">
        <is>
          <t>NTB</t>
        </is>
      </c>
      <c r="B456" s="7" t="inlineStr">
        <is>
          <t>Đắk Nông</t>
        </is>
      </c>
      <c r="C456" s="7" t="n">
        <v>20269000</v>
      </c>
      <c r="D456" s="7" t="inlineStr">
        <is>
          <t>(DNO) Kiến Đức</t>
        </is>
      </c>
      <c r="E456" s="7" t="inlineStr">
        <is>
          <t>Shopee</t>
        </is>
      </c>
      <c r="F456" s="36" t="n">
        <v>19</v>
      </c>
      <c r="G456" s="36" t="n">
        <v>12</v>
      </c>
      <c r="H456" s="36" t="n">
        <v>18</v>
      </c>
      <c r="I456" s="36" t="n">
        <v>20</v>
      </c>
      <c r="J456" s="36" t="n">
        <v>18</v>
      </c>
      <c r="K456" s="28" t="n">
        <v>28</v>
      </c>
      <c r="L456" s="36" t="n">
        <v>31</v>
      </c>
      <c r="M456" s="36" t="n">
        <v>9</v>
      </c>
      <c r="N456" s="36" t="n">
        <v>15</v>
      </c>
      <c r="O456" s="36" t="n">
        <v>15</v>
      </c>
      <c r="P456" s="36" t="n">
        <v>22</v>
      </c>
      <c r="Q456" s="36" t="n">
        <v>12</v>
      </c>
      <c r="R456" s="28" t="n">
        <v>20</v>
      </c>
      <c r="S456" s="36" t="n">
        <v>17</v>
      </c>
      <c r="T456" s="36" t="n">
        <v>21</v>
      </c>
      <c r="U456" s="36" t="n">
        <v>16.78</v>
      </c>
      <c r="V456" s="36" t="n">
        <v>16.78</v>
      </c>
      <c r="W456" s="36" t="n">
        <v>15.61</v>
      </c>
      <c r="X456" s="36" t="n">
        <v>13.75</v>
      </c>
      <c r="Y456" s="28" t="n">
        <v>22.25</v>
      </c>
      <c r="Z456" s="36" t="n">
        <v>18.29</v>
      </c>
      <c r="AA456" s="36" t="n">
        <v>21.55</v>
      </c>
      <c r="AB456" s="36" t="n">
        <v>17.01</v>
      </c>
      <c r="AC456" s="36" t="n">
        <v>13.75</v>
      </c>
      <c r="AD456" s="36" t="n">
        <v>26.56</v>
      </c>
      <c r="AE456" s="36" t="n">
        <v>14.68</v>
      </c>
      <c r="AF456" s="28" t="n">
        <v>24.23</v>
      </c>
      <c r="AG456" s="36" t="n">
        <v>19.34</v>
      </c>
      <c r="AH456" s="37" t="n">
        <v>20.04</v>
      </c>
      <c r="AI456" s="37" t="n">
        <v>16.78</v>
      </c>
      <c r="AJ456" s="37" t="n">
        <v>16.78</v>
      </c>
      <c r="AK456" s="37" t="n">
        <v>18.17</v>
      </c>
      <c r="AL456" s="37" t="n">
        <v>24.23</v>
      </c>
      <c r="AM456" s="37" t="n">
        <v>22.25</v>
      </c>
      <c r="AN456" s="37" t="n">
        <v>18.29</v>
      </c>
      <c r="AO456" s="37" t="n">
        <v>20.04</v>
      </c>
      <c r="AP456" s="37" t="n">
        <v>18.64</v>
      </c>
      <c r="AQ456" s="37" t="n">
        <v>13.75</v>
      </c>
      <c r="AR456" s="37" t="n">
        <v>15.61</v>
      </c>
      <c r="AS456" s="37" t="n">
        <v>13.75</v>
      </c>
      <c r="AT456" s="37" t="n">
        <v>22.25</v>
      </c>
      <c r="AU456" s="37" t="n">
        <v>19.8</v>
      </c>
      <c r="AV456" s="37" t="n">
        <v>20.15</v>
      </c>
      <c r="AW456" s="37" t="n">
        <v>16.78</v>
      </c>
      <c r="AX456" s="37" t="n">
        <v>16.78</v>
      </c>
      <c r="AY456" s="37" t="n">
        <v>15.61</v>
      </c>
      <c r="AZ456" s="37" t="n">
        <v>13.75</v>
      </c>
      <c r="BA456" s="37" t="n">
        <v>19.57</v>
      </c>
      <c r="BB456" s="37" t="n">
        <v>13.51</v>
      </c>
      <c r="BC456" s="37" t="n">
        <v>6.41</v>
      </c>
      <c r="BD456" s="37" t="n">
        <v>9.9</v>
      </c>
      <c r="BE456" s="37" t="n">
        <v>20.85</v>
      </c>
      <c r="BF456" s="37" t="n">
        <v>19.8</v>
      </c>
      <c r="BG456" s="37" t="n">
        <v>13.98</v>
      </c>
      <c r="BH456" s="37" t="n">
        <v>21.9</v>
      </c>
      <c r="BI456" s="37" t="n">
        <v>14.33</v>
      </c>
      <c r="BJ456" s="37" t="n">
        <v>38.44</v>
      </c>
      <c r="BK456" s="37" t="n">
        <v>18.06</v>
      </c>
      <c r="BL456" s="37" t="n">
        <v>17.59</v>
      </c>
      <c r="BM456" s="37" t="n">
        <v>15.38</v>
      </c>
      <c r="BN456" s="37" t="n">
        <v>13.51</v>
      </c>
      <c r="BO456" s="37" t="n">
        <v>21.9</v>
      </c>
      <c r="BP456" s="37" t="n">
        <v>19.45</v>
      </c>
      <c r="BQ456" s="37" t="n">
        <v>29.71</v>
      </c>
      <c r="BR456" s="37" t="n">
        <v>16.54</v>
      </c>
      <c r="BS456" s="37" t="n">
        <v>16.54</v>
      </c>
      <c r="BT456" s="37" t="n">
        <v>15.38</v>
      </c>
      <c r="BU456" s="37" t="n">
        <v>14.79</v>
      </c>
      <c r="BV456" s="37" t="n">
        <v>18.17</v>
      </c>
      <c r="BW456" s="37" t="n">
        <v>18.06</v>
      </c>
      <c r="BX456" s="37" t="n">
        <v>19.69</v>
      </c>
      <c r="BY456" s="37" t="n">
        <v>16.54</v>
      </c>
      <c r="BZ456" s="37" t="n">
        <v>18.41</v>
      </c>
      <c r="CA456" s="37" t="n">
        <v>16.31</v>
      </c>
      <c r="CB456" s="37" t="n">
        <v>13.51</v>
      </c>
      <c r="CC456" s="37" t="n">
        <v>1359.26</v>
      </c>
    </row>
    <row r="457" ht="15.75" customHeight="1" s="57">
      <c r="A457" s="7" t="inlineStr">
        <is>
          <t>NTB</t>
        </is>
      </c>
      <c r="B457" s="7" t="inlineStr">
        <is>
          <t>Đắk Nông</t>
        </is>
      </c>
      <c r="C457" s="7" t="n">
        <v>20269000</v>
      </c>
      <c r="D457" s="7" t="inlineStr">
        <is>
          <t>(DNO) Kiến Đức</t>
        </is>
      </c>
      <c r="E457" s="7" t="inlineStr">
        <is>
          <t>Shopee-Bulky</t>
        </is>
      </c>
      <c r="F457" s="36" t="n">
        <v>1.29</v>
      </c>
      <c r="G457" s="36" t="n">
        <v>0</v>
      </c>
      <c r="H457" s="36" t="n">
        <v>0</v>
      </c>
      <c r="I457" s="36" t="n">
        <v>0.64</v>
      </c>
      <c r="J457" s="36" t="n">
        <v>0.64</v>
      </c>
      <c r="K457" s="28" t="n">
        <v>0</v>
      </c>
      <c r="L457" s="36" t="n">
        <v>0</v>
      </c>
      <c r="M457" s="36" t="n">
        <v>0</v>
      </c>
      <c r="N457" s="36" t="n">
        <v>0.64</v>
      </c>
      <c r="O457" s="36" t="n">
        <v>0</v>
      </c>
      <c r="P457" s="36" t="n">
        <v>0</v>
      </c>
      <c r="Q457" s="36" t="n">
        <v>0</v>
      </c>
      <c r="R457" s="28" t="n">
        <v>1.93</v>
      </c>
      <c r="S457" s="36" t="n">
        <v>1.93</v>
      </c>
      <c r="T457" s="36" t="n">
        <v>0</v>
      </c>
      <c r="U457" s="36" t="n">
        <v>0.9199999999999999</v>
      </c>
      <c r="V457" s="36" t="n">
        <v>0.6900000000000001</v>
      </c>
      <c r="W457" s="36" t="n">
        <v>1.03</v>
      </c>
      <c r="X457" s="36" t="n">
        <v>0.45</v>
      </c>
      <c r="Y457" s="28" t="n">
        <v>0.9199999999999999</v>
      </c>
      <c r="Z457" s="36" t="n">
        <v>0.9199999999999999</v>
      </c>
      <c r="AA457" s="36" t="n">
        <v>1.03</v>
      </c>
      <c r="AB457" s="36" t="n">
        <v>0.9199999999999999</v>
      </c>
      <c r="AC457" s="36" t="n">
        <v>1.03</v>
      </c>
      <c r="AD457" s="36" t="n">
        <v>2.07</v>
      </c>
      <c r="AE457" s="36" t="n">
        <v>2.29</v>
      </c>
      <c r="AF457" s="28" t="n">
        <v>1.83</v>
      </c>
      <c r="AG457" s="36" t="n">
        <v>1.37</v>
      </c>
      <c r="AH457" s="37" t="n">
        <v>0.9199999999999999</v>
      </c>
      <c r="AI457" s="37" t="n">
        <v>0.9199999999999999</v>
      </c>
      <c r="AJ457" s="37" t="n">
        <v>0.6900000000000001</v>
      </c>
      <c r="AK457" s="37" t="n">
        <v>1.37</v>
      </c>
      <c r="AL457" s="37" t="n">
        <v>1.37</v>
      </c>
      <c r="AM457" s="37" t="n">
        <v>1.37</v>
      </c>
      <c r="AN457" s="37" t="n">
        <v>0.9199999999999999</v>
      </c>
      <c r="AO457" s="37" t="n">
        <v>0.9199999999999999</v>
      </c>
      <c r="AP457" s="37" t="n">
        <v>1.15</v>
      </c>
      <c r="AQ457" s="37" t="n">
        <v>1.37</v>
      </c>
      <c r="AR457" s="37" t="n">
        <v>1.03</v>
      </c>
      <c r="AS457" s="37" t="n">
        <v>0.45</v>
      </c>
      <c r="AT457" s="37" t="n">
        <v>0.9199999999999999</v>
      </c>
      <c r="AU457" s="37" t="n">
        <v>1.26</v>
      </c>
      <c r="AV457" s="37" t="n">
        <v>1.83</v>
      </c>
      <c r="AW457" s="37" t="n">
        <v>0.9199999999999999</v>
      </c>
      <c r="AX457" s="37" t="n">
        <v>0.6900000000000001</v>
      </c>
      <c r="AY457" s="37" t="n">
        <v>1.03</v>
      </c>
      <c r="AZ457" s="37" t="n">
        <v>0.45</v>
      </c>
      <c r="BA457" s="37" t="n">
        <v>0.9199999999999999</v>
      </c>
      <c r="BB457" s="37" t="n">
        <v>0.6900000000000001</v>
      </c>
      <c r="BC457" s="37" t="n">
        <v>0</v>
      </c>
      <c r="BD457" s="37" t="n">
        <v>0.23</v>
      </c>
      <c r="BE457" s="37" t="n">
        <v>0.9199999999999999</v>
      </c>
      <c r="BF457" s="37" t="n">
        <v>1.03</v>
      </c>
      <c r="BG457" s="37" t="n">
        <v>0.6900000000000001</v>
      </c>
      <c r="BH457" s="37" t="n">
        <v>0.9199999999999999</v>
      </c>
      <c r="BI457" s="37" t="n">
        <v>0.9199999999999999</v>
      </c>
      <c r="BJ457" s="37" t="n">
        <v>6.3</v>
      </c>
      <c r="BK457" s="37" t="n">
        <v>1.6</v>
      </c>
      <c r="BL457" s="37" t="n">
        <v>0.9199999999999999</v>
      </c>
      <c r="BM457" s="37" t="n">
        <v>0.6900000000000001</v>
      </c>
      <c r="BN457" s="37" t="n">
        <v>0.6900000000000001</v>
      </c>
      <c r="BO457" s="37" t="n">
        <v>1.37</v>
      </c>
      <c r="BP457" s="37" t="n">
        <v>1.26</v>
      </c>
      <c r="BQ457" s="37" t="n">
        <v>1.26</v>
      </c>
      <c r="BR457" s="37" t="n">
        <v>1.37</v>
      </c>
      <c r="BS457" s="37" t="n">
        <v>1.03</v>
      </c>
      <c r="BT457" s="37" t="n">
        <v>1.03</v>
      </c>
      <c r="BU457" s="37" t="n">
        <v>1.37</v>
      </c>
      <c r="BV457" s="37" t="n">
        <v>1.37</v>
      </c>
      <c r="BW457" s="37" t="n">
        <v>0.9199999999999999</v>
      </c>
      <c r="BX457" s="37" t="n">
        <v>1.37</v>
      </c>
      <c r="BY457" s="37" t="n">
        <v>1.37</v>
      </c>
      <c r="BZ457" s="37" t="n">
        <v>1.6</v>
      </c>
      <c r="CA457" s="37" t="n">
        <v>1.37</v>
      </c>
      <c r="CB457" s="37" t="n">
        <v>0.6900000000000001</v>
      </c>
      <c r="CC457" s="37" t="n">
        <v>76.02000000000001</v>
      </c>
    </row>
    <row r="458" ht="15.75" customHeight="1" s="57">
      <c r="A458" s="7" t="inlineStr">
        <is>
          <t>NTB</t>
        </is>
      </c>
      <c r="B458" s="7" t="inlineStr">
        <is>
          <t>Đắk Nông</t>
        </is>
      </c>
      <c r="C458" s="7" t="n">
        <v>20269000</v>
      </c>
      <c r="D458" s="7" t="inlineStr">
        <is>
          <t>(DNO) Kiến Đức</t>
        </is>
      </c>
      <c r="E458" s="7" t="inlineStr">
        <is>
          <t>Shopee-Bulky (10-15kg)</t>
        </is>
      </c>
      <c r="F458" s="36" t="n">
        <v>0.71</v>
      </c>
      <c r="G458" s="36" t="n">
        <v>0</v>
      </c>
      <c r="H458" s="36" t="n">
        <v>0</v>
      </c>
      <c r="I458" s="36" t="n">
        <v>0.36</v>
      </c>
      <c r="J458" s="36" t="n">
        <v>0.36</v>
      </c>
      <c r="K458" s="28" t="n">
        <v>0</v>
      </c>
      <c r="L458" s="36" t="n">
        <v>0</v>
      </c>
      <c r="M458" s="36" t="n">
        <v>0</v>
      </c>
      <c r="N458" s="36" t="n">
        <v>0.36</v>
      </c>
      <c r="O458" s="36" t="n">
        <v>0</v>
      </c>
      <c r="P458" s="36" t="n">
        <v>0</v>
      </c>
      <c r="Q458" s="36" t="n">
        <v>0</v>
      </c>
      <c r="R458" s="28" t="n">
        <v>1.07</v>
      </c>
      <c r="S458" s="36" t="n">
        <v>1.07</v>
      </c>
      <c r="T458" s="36" t="n">
        <v>0</v>
      </c>
      <c r="U458" s="36" t="n">
        <v>0.45</v>
      </c>
      <c r="V458" s="36" t="n">
        <v>0.45</v>
      </c>
      <c r="W458" s="36" t="n">
        <v>0.34</v>
      </c>
      <c r="X458" s="36" t="n">
        <v>0.23</v>
      </c>
      <c r="Y458" s="28" t="n">
        <v>0.45</v>
      </c>
      <c r="Z458" s="36" t="n">
        <v>0.45</v>
      </c>
      <c r="AA458" s="36" t="n">
        <v>0.5700000000000001</v>
      </c>
      <c r="AB458" s="36" t="n">
        <v>0.45</v>
      </c>
      <c r="AC458" s="36" t="n">
        <v>0.6900000000000001</v>
      </c>
      <c r="AD458" s="36" t="n">
        <v>0.8100000000000001</v>
      </c>
      <c r="AE458" s="36" t="n">
        <v>1.15</v>
      </c>
      <c r="AF458" s="28" t="n">
        <v>1.03</v>
      </c>
      <c r="AG458" s="36" t="n">
        <v>0.45</v>
      </c>
      <c r="AH458" s="37" t="n">
        <v>0.45</v>
      </c>
      <c r="AI458" s="37" t="n">
        <v>0.45</v>
      </c>
      <c r="AJ458" s="37" t="n">
        <v>0.45</v>
      </c>
      <c r="AK458" s="37" t="n">
        <v>0.6900000000000001</v>
      </c>
      <c r="AL458" s="37" t="n">
        <v>0.45</v>
      </c>
      <c r="AM458" s="37" t="n">
        <v>0.6900000000000001</v>
      </c>
      <c r="AN458" s="37" t="n">
        <v>0.45</v>
      </c>
      <c r="AO458" s="37" t="n">
        <v>0.45</v>
      </c>
      <c r="AP458" s="37" t="n">
        <v>0.6900000000000001</v>
      </c>
      <c r="AQ458" s="37" t="n">
        <v>0.6900000000000001</v>
      </c>
      <c r="AR458" s="37" t="n">
        <v>0.34</v>
      </c>
      <c r="AS458" s="37" t="n">
        <v>0.23</v>
      </c>
      <c r="AT458" s="37" t="n">
        <v>0.45</v>
      </c>
      <c r="AU458" s="37" t="n">
        <v>0.8100000000000001</v>
      </c>
      <c r="AV458" s="37" t="n">
        <v>0.9199999999999999</v>
      </c>
      <c r="AW458" s="37" t="n">
        <v>0.45</v>
      </c>
      <c r="AX458" s="37" t="n">
        <v>0.45</v>
      </c>
      <c r="AY458" s="37" t="n">
        <v>0.34</v>
      </c>
      <c r="AZ458" s="37" t="n">
        <v>0.23</v>
      </c>
      <c r="BA458" s="37" t="n">
        <v>0.45</v>
      </c>
      <c r="BB458" s="37" t="n">
        <v>0.23</v>
      </c>
      <c r="BC458" s="37" t="n">
        <v>0</v>
      </c>
      <c r="BD458" s="37" t="n">
        <v>0</v>
      </c>
      <c r="BE458" s="37" t="n">
        <v>0.6900000000000001</v>
      </c>
      <c r="BF458" s="37" t="n">
        <v>0.6900000000000001</v>
      </c>
      <c r="BG458" s="37" t="n">
        <v>0.23</v>
      </c>
      <c r="BH458" s="37" t="n">
        <v>0.5700000000000001</v>
      </c>
      <c r="BI458" s="37" t="n">
        <v>0.6900000000000001</v>
      </c>
      <c r="BJ458" s="37" t="n">
        <v>2.52</v>
      </c>
      <c r="BK458" s="37" t="n">
        <v>0.9199999999999999</v>
      </c>
      <c r="BL458" s="37" t="n">
        <v>0.5700000000000001</v>
      </c>
      <c r="BM458" s="37" t="n">
        <v>0.23</v>
      </c>
      <c r="BN458" s="37" t="n">
        <v>0.34</v>
      </c>
      <c r="BO458" s="37" t="n">
        <v>0.6900000000000001</v>
      </c>
      <c r="BP458" s="37" t="n">
        <v>0.9199999999999999</v>
      </c>
      <c r="BQ458" s="37" t="n">
        <v>0.6900000000000001</v>
      </c>
      <c r="BR458" s="37" t="n">
        <v>0.6900000000000001</v>
      </c>
      <c r="BS458" s="37" t="n">
        <v>0.6900000000000001</v>
      </c>
      <c r="BT458" s="37" t="n">
        <v>0.23</v>
      </c>
      <c r="BU458" s="37" t="n">
        <v>0.45</v>
      </c>
      <c r="BV458" s="37" t="n">
        <v>0.6900000000000001</v>
      </c>
      <c r="BW458" s="37" t="n">
        <v>0.6900000000000001</v>
      </c>
      <c r="BX458" s="37" t="n">
        <v>0.5700000000000001</v>
      </c>
      <c r="BY458" s="37" t="n">
        <v>0.6900000000000001</v>
      </c>
      <c r="BZ458" s="37" t="n">
        <v>0.9199999999999999</v>
      </c>
      <c r="CA458" s="37" t="n">
        <v>0.45</v>
      </c>
      <c r="CB458" s="37" t="n">
        <v>0.23</v>
      </c>
      <c r="CC458" s="37" t="n">
        <v>37.85999999999999</v>
      </c>
    </row>
    <row r="459" ht="15.75" customHeight="1" s="57">
      <c r="A459" s="7" t="inlineStr">
        <is>
          <t>NTB</t>
        </is>
      </c>
      <c r="B459" s="7" t="inlineStr">
        <is>
          <t>Đắk Nông</t>
        </is>
      </c>
      <c r="C459" s="7" t="n">
        <v>20269000</v>
      </c>
      <c r="D459" s="7" t="inlineStr">
        <is>
          <t>(DNO) Kiến Đức</t>
        </is>
      </c>
      <c r="E459" s="7" t="inlineStr">
        <is>
          <t>TTS</t>
        </is>
      </c>
      <c r="F459" s="36" t="n">
        <v>4</v>
      </c>
      <c r="G459" s="36" t="n">
        <v>1</v>
      </c>
      <c r="H459" s="36" t="n">
        <v>2</v>
      </c>
      <c r="I459" s="36" t="n">
        <v>6</v>
      </c>
      <c r="J459" s="36" t="n">
        <v>4</v>
      </c>
      <c r="K459" s="28" t="n">
        <v>1</v>
      </c>
      <c r="L459" s="36" t="n">
        <v>2</v>
      </c>
      <c r="M459" s="36" t="n">
        <v>5</v>
      </c>
      <c r="N459" s="36" t="n">
        <v>2</v>
      </c>
      <c r="O459" s="36" t="n">
        <v>2</v>
      </c>
      <c r="P459" s="36" t="n">
        <v>2</v>
      </c>
      <c r="Q459" s="36" t="n">
        <v>11</v>
      </c>
      <c r="R459" s="28" t="n">
        <v>4</v>
      </c>
      <c r="S459" s="36" t="n">
        <v>7</v>
      </c>
      <c r="T459" s="36" t="n">
        <v>4</v>
      </c>
      <c r="U459" s="36" t="n">
        <v>7.42</v>
      </c>
      <c r="V459" s="36" t="n">
        <v>7.12</v>
      </c>
      <c r="W459" s="36" t="n">
        <v>6.92</v>
      </c>
      <c r="X459" s="36" t="n">
        <v>5.8</v>
      </c>
      <c r="Y459" s="28" t="n">
        <v>8.369999999999999</v>
      </c>
      <c r="Z459" s="36" t="n">
        <v>7.05</v>
      </c>
      <c r="AA459" s="36" t="n">
        <v>7.78</v>
      </c>
      <c r="AB459" s="36" t="n">
        <v>8.4</v>
      </c>
      <c r="AC459" s="36" t="n">
        <v>8.869999999999999</v>
      </c>
      <c r="AD459" s="36" t="n">
        <v>11.04</v>
      </c>
      <c r="AE459" s="36" t="n">
        <v>6.49</v>
      </c>
      <c r="AF459" s="28" t="n">
        <v>8.630000000000001</v>
      </c>
      <c r="AG459" s="36" t="n">
        <v>7.12</v>
      </c>
      <c r="AH459" s="37" t="n">
        <v>6.95</v>
      </c>
      <c r="AI459" s="37" t="n">
        <v>8.140000000000001</v>
      </c>
      <c r="AJ459" s="37" t="n">
        <v>8.44</v>
      </c>
      <c r="AK459" s="37" t="n">
        <v>8.17</v>
      </c>
      <c r="AL459" s="37" t="n">
        <v>6.23</v>
      </c>
      <c r="AM459" s="37" t="n">
        <v>8.4</v>
      </c>
      <c r="AN459" s="37" t="n">
        <v>7.35</v>
      </c>
      <c r="AO459" s="37" t="n">
        <v>7.28</v>
      </c>
      <c r="AP459" s="37" t="n">
        <v>6.99</v>
      </c>
      <c r="AQ459" s="37" t="n">
        <v>7.05</v>
      </c>
      <c r="AR459" s="37" t="n">
        <v>6.85</v>
      </c>
      <c r="AS459" s="37" t="n">
        <v>5.8</v>
      </c>
      <c r="AT459" s="37" t="n">
        <v>9.390000000000001</v>
      </c>
      <c r="AU459" s="37" t="n">
        <v>8.140000000000001</v>
      </c>
      <c r="AV459" s="37" t="n">
        <v>7.42</v>
      </c>
      <c r="AW459" s="37" t="n">
        <v>6.82</v>
      </c>
      <c r="AX459" s="37" t="n">
        <v>6.85</v>
      </c>
      <c r="AY459" s="37" t="n">
        <v>6.82</v>
      </c>
      <c r="AZ459" s="37" t="n">
        <v>5.83</v>
      </c>
      <c r="BA459" s="37" t="n">
        <v>8.34</v>
      </c>
      <c r="BB459" s="37" t="n">
        <v>7.88</v>
      </c>
      <c r="BC459" s="37" t="n">
        <v>3.95</v>
      </c>
      <c r="BD459" s="37" t="n">
        <v>5.6</v>
      </c>
      <c r="BE459" s="37" t="n">
        <v>12.95</v>
      </c>
      <c r="BF459" s="37" t="n">
        <v>12.62</v>
      </c>
      <c r="BG459" s="37" t="n">
        <v>6.23</v>
      </c>
      <c r="BH459" s="37" t="n">
        <v>9.390000000000001</v>
      </c>
      <c r="BI459" s="37" t="n">
        <v>7.88</v>
      </c>
      <c r="BJ459" s="37" t="n">
        <v>8.73</v>
      </c>
      <c r="BK459" s="37" t="n">
        <v>7.91</v>
      </c>
      <c r="BL459" s="37" t="n">
        <v>7.94</v>
      </c>
      <c r="BM459" s="37" t="n">
        <v>7.68</v>
      </c>
      <c r="BN459" s="37" t="n">
        <v>6.23</v>
      </c>
      <c r="BO459" s="37" t="n">
        <v>9.390000000000001</v>
      </c>
      <c r="BP459" s="37" t="n">
        <v>7.88</v>
      </c>
      <c r="BQ459" s="37" t="n">
        <v>7.71</v>
      </c>
      <c r="BR459" s="37" t="n">
        <v>7.91</v>
      </c>
      <c r="BS459" s="37" t="n">
        <v>7.94</v>
      </c>
      <c r="BT459" s="37" t="n">
        <v>7.68</v>
      </c>
      <c r="BU459" s="37" t="n">
        <v>6.23</v>
      </c>
      <c r="BV459" s="37" t="n">
        <v>9.390000000000001</v>
      </c>
      <c r="BW459" s="37" t="n">
        <v>7.88</v>
      </c>
      <c r="BX459" s="37" t="n">
        <v>7.71</v>
      </c>
      <c r="BY459" s="37" t="n">
        <v>7.91</v>
      </c>
      <c r="BZ459" s="37" t="n">
        <v>7.94</v>
      </c>
      <c r="CA459" s="37" t="n">
        <v>7.68</v>
      </c>
      <c r="CB459" s="37" t="n">
        <v>6.23</v>
      </c>
      <c r="CC459" s="37" t="n">
        <v>519.74</v>
      </c>
    </row>
    <row r="460" ht="15.75" customHeight="1" s="57">
      <c r="A460" s="7" t="inlineStr">
        <is>
          <t>NTB</t>
        </is>
      </c>
      <c r="B460" s="7" t="inlineStr">
        <is>
          <t>Đắk Nông</t>
        </is>
      </c>
      <c r="C460" s="7" t="n">
        <v>20269003</v>
      </c>
      <c r="D460" s="7" t="inlineStr">
        <is>
          <t>(DNO) Nhân Cơ</t>
        </is>
      </c>
      <c r="E460" s="7" t="inlineStr">
        <is>
          <t>SME</t>
        </is>
      </c>
      <c r="F460" s="36" t="n">
        <v>93</v>
      </c>
      <c r="G460" s="36" t="n">
        <v>56</v>
      </c>
      <c r="H460" s="36" t="n">
        <v>79</v>
      </c>
      <c r="I460" s="36" t="n">
        <v>94</v>
      </c>
      <c r="J460" s="36" t="n">
        <v>54</v>
      </c>
      <c r="K460" s="28" t="n">
        <v>140</v>
      </c>
      <c r="L460" s="36" t="n">
        <v>102</v>
      </c>
      <c r="M460" s="36" t="n">
        <v>59</v>
      </c>
      <c r="N460" s="36" t="n">
        <v>83</v>
      </c>
      <c r="O460" s="36" t="n">
        <v>59</v>
      </c>
      <c r="P460" s="36" t="n">
        <v>54</v>
      </c>
      <c r="Q460" s="36" t="n">
        <v>88</v>
      </c>
      <c r="R460" s="28" t="n">
        <v>67</v>
      </c>
      <c r="S460" s="36" t="n">
        <v>256</v>
      </c>
      <c r="T460" s="36" t="n">
        <v>85</v>
      </c>
      <c r="U460" s="36" t="n">
        <v>326.1799999999999</v>
      </c>
      <c r="V460" s="36" t="n">
        <v>337.71</v>
      </c>
      <c r="W460" s="36" t="n">
        <v>328.61</v>
      </c>
      <c r="X460" s="36" t="n">
        <v>268.75</v>
      </c>
      <c r="Y460" s="28" t="n">
        <v>364.0599999999999</v>
      </c>
      <c r="Z460" s="36" t="n">
        <v>335.7</v>
      </c>
      <c r="AA460" s="36" t="n">
        <v>326.83</v>
      </c>
      <c r="AB460" s="36" t="n">
        <v>326.1799999999999</v>
      </c>
      <c r="AC460" s="36" t="n">
        <v>337.71</v>
      </c>
      <c r="AD460" s="36" t="n">
        <v>344.59</v>
      </c>
      <c r="AE460" s="36" t="n">
        <v>268.75</v>
      </c>
      <c r="AF460" s="28" t="n">
        <v>364.0599999999999</v>
      </c>
      <c r="AG460" s="36" t="n">
        <v>335.7</v>
      </c>
      <c r="AH460" s="37" t="n">
        <v>326.83</v>
      </c>
      <c r="AI460" s="37" t="n">
        <v>326.1799999999999</v>
      </c>
      <c r="AJ460" s="37" t="n">
        <v>337.71</v>
      </c>
      <c r="AK460" s="37" t="n">
        <v>328.61</v>
      </c>
      <c r="AL460" s="37" t="n">
        <v>268.75</v>
      </c>
      <c r="AM460" s="37" t="n">
        <v>364.0599999999999</v>
      </c>
      <c r="AN460" s="37" t="n">
        <v>335.7</v>
      </c>
      <c r="AO460" s="37" t="n">
        <v>326.83</v>
      </c>
      <c r="AP460" s="37" t="n">
        <v>326.1799999999999</v>
      </c>
      <c r="AQ460" s="37" t="n">
        <v>337.71</v>
      </c>
      <c r="AR460" s="37" t="n">
        <v>328.61</v>
      </c>
      <c r="AS460" s="37" t="n">
        <v>268.75</v>
      </c>
      <c r="AT460" s="37" t="n">
        <v>364.0599999999999</v>
      </c>
      <c r="AU460" s="37" t="n">
        <v>335.7</v>
      </c>
      <c r="AV460" s="37" t="n">
        <v>326.83</v>
      </c>
      <c r="AW460" s="37" t="n">
        <v>326.1799999999999</v>
      </c>
      <c r="AX460" s="37" t="n">
        <v>337.71</v>
      </c>
      <c r="AY460" s="37" t="n">
        <v>328.61</v>
      </c>
      <c r="AZ460" s="37" t="n">
        <v>268.75</v>
      </c>
      <c r="BA460" s="37" t="n">
        <v>345.42</v>
      </c>
      <c r="BB460" s="37" t="n">
        <v>308</v>
      </c>
      <c r="BC460" s="37" t="n">
        <v>189.69</v>
      </c>
      <c r="BD460" s="37" t="n">
        <v>148.76</v>
      </c>
      <c r="BE460" s="37" t="n">
        <v>317.3099999999999</v>
      </c>
      <c r="BF460" s="37" t="n">
        <v>308.9</v>
      </c>
      <c r="BG460" s="37" t="n">
        <v>278.07</v>
      </c>
      <c r="BH460" s="37" t="n">
        <v>375.98</v>
      </c>
      <c r="BI460" s="37" t="n">
        <v>346.32</v>
      </c>
      <c r="BJ460" s="37" t="n">
        <v>354.51</v>
      </c>
      <c r="BK460" s="37" t="n">
        <v>336.5</v>
      </c>
      <c r="BL460" s="37" t="n">
        <v>348.73</v>
      </c>
      <c r="BM460" s="37" t="n">
        <v>339.03</v>
      </c>
      <c r="BN460" s="37" t="n">
        <v>278.07</v>
      </c>
      <c r="BO460" s="37" t="n">
        <v>375.98</v>
      </c>
      <c r="BP460" s="37" t="n">
        <v>346.32</v>
      </c>
      <c r="BQ460" s="37" t="n">
        <v>337.15</v>
      </c>
      <c r="BR460" s="37" t="n">
        <v>336.5</v>
      </c>
      <c r="BS460" s="37" t="n">
        <v>348.73</v>
      </c>
      <c r="BT460" s="37" t="n">
        <v>339.03</v>
      </c>
      <c r="BU460" s="37" t="n">
        <v>278.07</v>
      </c>
      <c r="BV460" s="37" t="n">
        <v>375.98</v>
      </c>
      <c r="BW460" s="37" t="n">
        <v>346.32</v>
      </c>
      <c r="BX460" s="37" t="n">
        <v>337.15</v>
      </c>
      <c r="BY460" s="37" t="n">
        <v>336.5</v>
      </c>
      <c r="BZ460" s="37" t="n">
        <v>348.73</v>
      </c>
      <c r="CA460" s="37" t="n">
        <v>339.03</v>
      </c>
      <c r="CB460" s="37" t="n">
        <v>278.07</v>
      </c>
      <c r="CC460" s="37" t="n">
        <v>20796.44</v>
      </c>
    </row>
    <row r="461" ht="15.75" customHeight="1" s="57">
      <c r="A461" s="7" t="inlineStr">
        <is>
          <t>NTB</t>
        </is>
      </c>
      <c r="B461" s="7" t="inlineStr">
        <is>
          <t>Đắk Nông</t>
        </is>
      </c>
      <c r="C461" s="7" t="n">
        <v>20269003</v>
      </c>
      <c r="D461" s="7" t="inlineStr">
        <is>
          <t>(DNO) Nhân Cơ</t>
        </is>
      </c>
      <c r="E461" s="7" t="inlineStr">
        <is>
          <t>SME-Bulky</t>
        </is>
      </c>
      <c r="F461" s="36" t="n">
        <v>2</v>
      </c>
      <c r="G461" s="36" t="n">
        <v>7</v>
      </c>
      <c r="H461" s="36" t="n">
        <v>3</v>
      </c>
      <c r="I461" s="36" t="n">
        <v>1</v>
      </c>
      <c r="J461" s="36" t="n">
        <v>3</v>
      </c>
      <c r="K461" s="28" t="n">
        <v>2</v>
      </c>
      <c r="L461" s="36" t="n">
        <v>3</v>
      </c>
      <c r="M461" s="36" t="n">
        <v>1</v>
      </c>
      <c r="N461" s="36" t="n">
        <v>6</v>
      </c>
      <c r="O461" s="36" t="n">
        <v>3</v>
      </c>
      <c r="P461" s="36" t="n">
        <v>4</v>
      </c>
      <c r="Q461" s="36" t="n">
        <v>3</v>
      </c>
      <c r="R461" s="28" t="n">
        <v>6</v>
      </c>
      <c r="S461" s="36" t="n">
        <v>9</v>
      </c>
      <c r="T461" s="36" t="n">
        <v>4</v>
      </c>
      <c r="U461" s="36" t="n">
        <v>1.96</v>
      </c>
      <c r="V461" s="36" t="n">
        <v>1.96</v>
      </c>
      <c r="W461" s="36" t="n">
        <v>1.96</v>
      </c>
      <c r="X461" s="36" t="n">
        <v>0.85</v>
      </c>
      <c r="Y461" s="28" t="n">
        <v>2.64</v>
      </c>
      <c r="Z461" s="36" t="n">
        <v>2.13</v>
      </c>
      <c r="AA461" s="36" t="n">
        <v>2.13</v>
      </c>
      <c r="AB461" s="36" t="n">
        <v>1.96</v>
      </c>
      <c r="AC461" s="36" t="n">
        <v>1.96</v>
      </c>
      <c r="AD461" s="36" t="n">
        <v>5.37</v>
      </c>
      <c r="AE461" s="36" t="n">
        <v>0.85</v>
      </c>
      <c r="AF461" s="28" t="n">
        <v>2.64</v>
      </c>
      <c r="AG461" s="36" t="n">
        <v>2.13</v>
      </c>
      <c r="AH461" s="37" t="n">
        <v>2.13</v>
      </c>
      <c r="AI461" s="37" t="n">
        <v>1.96</v>
      </c>
      <c r="AJ461" s="37" t="n">
        <v>1.96</v>
      </c>
      <c r="AK461" s="37" t="n">
        <v>1.96</v>
      </c>
      <c r="AL461" s="37" t="n">
        <v>0.85</v>
      </c>
      <c r="AM461" s="37" t="n">
        <v>2.64</v>
      </c>
      <c r="AN461" s="37" t="n">
        <v>2.13</v>
      </c>
      <c r="AO461" s="37" t="n">
        <v>2.13</v>
      </c>
      <c r="AP461" s="37" t="n">
        <v>1.96</v>
      </c>
      <c r="AQ461" s="37" t="n">
        <v>1.96</v>
      </c>
      <c r="AR461" s="37" t="n">
        <v>1.96</v>
      </c>
      <c r="AS461" s="37" t="n">
        <v>0.85</v>
      </c>
      <c r="AT461" s="37" t="n">
        <v>2.64</v>
      </c>
      <c r="AU461" s="37" t="n">
        <v>2.13</v>
      </c>
      <c r="AV461" s="37" t="n">
        <v>2.13</v>
      </c>
      <c r="AW461" s="37" t="n">
        <v>1.96</v>
      </c>
      <c r="AX461" s="37" t="n">
        <v>1.96</v>
      </c>
      <c r="AY461" s="37" t="n">
        <v>1.96</v>
      </c>
      <c r="AZ461" s="37" t="n">
        <v>0.85</v>
      </c>
      <c r="BA461" s="37" t="n">
        <v>2.9</v>
      </c>
      <c r="BB461" s="37" t="n">
        <v>1.19</v>
      </c>
      <c r="BC461" s="37" t="n">
        <v>0.34</v>
      </c>
      <c r="BD461" s="37" t="n">
        <v>0.26</v>
      </c>
      <c r="BE461" s="37" t="n">
        <v>1.11</v>
      </c>
      <c r="BF461" s="37" t="n">
        <v>0.9399999999999999</v>
      </c>
      <c r="BG461" s="37" t="n">
        <v>0.43</v>
      </c>
      <c r="BH461" s="37" t="n">
        <v>1.45</v>
      </c>
      <c r="BI461" s="37" t="n">
        <v>1.19</v>
      </c>
      <c r="BJ461" s="37" t="n">
        <v>2.9</v>
      </c>
      <c r="BK461" s="37" t="n">
        <v>1.11</v>
      </c>
      <c r="BL461" s="37" t="n">
        <v>1.11</v>
      </c>
      <c r="BM461" s="37" t="n">
        <v>1.11</v>
      </c>
      <c r="BN461" s="37" t="n">
        <v>0.43</v>
      </c>
      <c r="BO461" s="37" t="n">
        <v>1.45</v>
      </c>
      <c r="BP461" s="37" t="n">
        <v>1.19</v>
      </c>
      <c r="BQ461" s="37" t="n">
        <v>1.19</v>
      </c>
      <c r="BR461" s="37" t="n">
        <v>1.11</v>
      </c>
      <c r="BS461" s="37" t="n">
        <v>1.11</v>
      </c>
      <c r="BT461" s="37" t="n">
        <v>1.11</v>
      </c>
      <c r="BU461" s="37" t="n">
        <v>0.43</v>
      </c>
      <c r="BV461" s="37" t="n">
        <v>1.45</v>
      </c>
      <c r="BW461" s="37" t="n">
        <v>1.19</v>
      </c>
      <c r="BX461" s="37" t="n">
        <v>1.19</v>
      </c>
      <c r="BY461" s="37" t="n">
        <v>1.11</v>
      </c>
      <c r="BZ461" s="37" t="n">
        <v>1.11</v>
      </c>
      <c r="CA461" s="37" t="n">
        <v>1.11</v>
      </c>
      <c r="CB461" s="37" t="n">
        <v>0.43</v>
      </c>
      <c r="CC461" s="37" t="n">
        <v>153.31</v>
      </c>
    </row>
    <row r="462" ht="15.75" customHeight="1" s="57">
      <c r="A462" s="7" t="inlineStr">
        <is>
          <t>NTB</t>
        </is>
      </c>
      <c r="B462" s="7" t="inlineStr">
        <is>
          <t>Đắk Nông</t>
        </is>
      </c>
      <c r="C462" s="7" t="n">
        <v>20269003</v>
      </c>
      <c r="D462" s="7" t="inlineStr">
        <is>
          <t>(DNO) Nhân Cơ</t>
        </is>
      </c>
      <c r="E462" s="7" t="inlineStr">
        <is>
          <t>Shopee</t>
        </is>
      </c>
      <c r="F462" s="36" t="n">
        <v>4</v>
      </c>
      <c r="G462" s="36" t="n">
        <v>6</v>
      </c>
      <c r="H462" s="36" t="n">
        <v>0</v>
      </c>
      <c r="I462" s="36" t="n">
        <v>3</v>
      </c>
      <c r="J462" s="36" t="n">
        <v>1</v>
      </c>
      <c r="K462" s="28" t="n">
        <v>3</v>
      </c>
      <c r="L462" s="36" t="n">
        <v>1</v>
      </c>
      <c r="M462" s="36" t="n">
        <v>4</v>
      </c>
      <c r="N462" s="36" t="n">
        <v>1</v>
      </c>
      <c r="O462" s="36" t="n">
        <v>1</v>
      </c>
      <c r="P462" s="36" t="n">
        <v>2</v>
      </c>
      <c r="Q462" s="36" t="n">
        <v>1</v>
      </c>
      <c r="R462" s="28" t="n">
        <v>2</v>
      </c>
      <c r="S462" s="36" t="n">
        <v>4</v>
      </c>
      <c r="T462" s="36" t="n">
        <v>3</v>
      </c>
      <c r="U462" s="36" t="n">
        <v>1.83</v>
      </c>
      <c r="V462" s="36" t="n">
        <v>1.83</v>
      </c>
      <c r="W462" s="36" t="n">
        <v>1.7</v>
      </c>
      <c r="X462" s="36" t="n">
        <v>1.5</v>
      </c>
      <c r="Y462" s="28" t="n">
        <v>2.42</v>
      </c>
      <c r="Z462" s="36" t="n">
        <v>1.99</v>
      </c>
      <c r="AA462" s="36" t="n">
        <v>2.35</v>
      </c>
      <c r="AB462" s="36" t="n">
        <v>1.85</v>
      </c>
      <c r="AC462" s="36" t="n">
        <v>1.5</v>
      </c>
      <c r="AD462" s="36" t="n">
        <v>2.89</v>
      </c>
      <c r="AE462" s="36" t="n">
        <v>1.6</v>
      </c>
      <c r="AF462" s="28" t="n">
        <v>2.64</v>
      </c>
      <c r="AG462" s="36" t="n">
        <v>2.11</v>
      </c>
      <c r="AH462" s="37" t="n">
        <v>2.18</v>
      </c>
      <c r="AI462" s="37" t="n">
        <v>1.83</v>
      </c>
      <c r="AJ462" s="37" t="n">
        <v>1.83</v>
      </c>
      <c r="AK462" s="37" t="n">
        <v>1.98</v>
      </c>
      <c r="AL462" s="37" t="n">
        <v>2.64</v>
      </c>
      <c r="AM462" s="37" t="n">
        <v>2.42</v>
      </c>
      <c r="AN462" s="37" t="n">
        <v>1.99</v>
      </c>
      <c r="AO462" s="37" t="n">
        <v>2.18</v>
      </c>
      <c r="AP462" s="37" t="n">
        <v>2.03</v>
      </c>
      <c r="AQ462" s="37" t="n">
        <v>1.5</v>
      </c>
      <c r="AR462" s="37" t="n">
        <v>1.7</v>
      </c>
      <c r="AS462" s="37" t="n">
        <v>1.5</v>
      </c>
      <c r="AT462" s="37" t="n">
        <v>2.42</v>
      </c>
      <c r="AU462" s="37" t="n">
        <v>2.16</v>
      </c>
      <c r="AV462" s="37" t="n">
        <v>2.19</v>
      </c>
      <c r="AW462" s="37" t="n">
        <v>1.83</v>
      </c>
      <c r="AX462" s="37" t="n">
        <v>1.83</v>
      </c>
      <c r="AY462" s="37" t="n">
        <v>1.7</v>
      </c>
      <c r="AZ462" s="37" t="n">
        <v>1.5</v>
      </c>
      <c r="BA462" s="37" t="n">
        <v>2.13</v>
      </c>
      <c r="BB462" s="37" t="n">
        <v>1.47</v>
      </c>
      <c r="BC462" s="37" t="n">
        <v>0.7</v>
      </c>
      <c r="BD462" s="37" t="n">
        <v>1.08</v>
      </c>
      <c r="BE462" s="37" t="n">
        <v>2.27</v>
      </c>
      <c r="BF462" s="37" t="n">
        <v>2.16</v>
      </c>
      <c r="BG462" s="37" t="n">
        <v>1.52</v>
      </c>
      <c r="BH462" s="37" t="n">
        <v>2.39</v>
      </c>
      <c r="BI462" s="37" t="n">
        <v>1.56</v>
      </c>
      <c r="BJ462" s="37" t="n">
        <v>4.19</v>
      </c>
      <c r="BK462" s="37" t="n">
        <v>1.97</v>
      </c>
      <c r="BL462" s="37" t="n">
        <v>1.92</v>
      </c>
      <c r="BM462" s="37" t="n">
        <v>1.67</v>
      </c>
      <c r="BN462" s="37" t="n">
        <v>1.47</v>
      </c>
      <c r="BO462" s="37" t="n">
        <v>2.39</v>
      </c>
      <c r="BP462" s="37" t="n">
        <v>2.12</v>
      </c>
      <c r="BQ462" s="37" t="n">
        <v>3.24</v>
      </c>
      <c r="BR462" s="37" t="n">
        <v>1.8</v>
      </c>
      <c r="BS462" s="37" t="n">
        <v>1.8</v>
      </c>
      <c r="BT462" s="37" t="n">
        <v>1.67</v>
      </c>
      <c r="BU462" s="37" t="n">
        <v>1.61</v>
      </c>
      <c r="BV462" s="37" t="n">
        <v>1.98</v>
      </c>
      <c r="BW462" s="37" t="n">
        <v>1.97</v>
      </c>
      <c r="BX462" s="37" t="n">
        <v>2.14</v>
      </c>
      <c r="BY462" s="37" t="n">
        <v>1.8</v>
      </c>
      <c r="BZ462" s="37" t="n">
        <v>2</v>
      </c>
      <c r="CA462" s="37" t="n">
        <v>1.78</v>
      </c>
      <c r="CB462" s="37" t="n">
        <v>1.47</v>
      </c>
      <c r="CC462" s="37" t="n">
        <v>153.89</v>
      </c>
    </row>
    <row r="463" ht="15.75" customHeight="1" s="57">
      <c r="A463" s="7" t="inlineStr">
        <is>
          <t>NTB</t>
        </is>
      </c>
      <c r="B463" s="7" t="inlineStr">
        <is>
          <t>Đắk Nông</t>
        </is>
      </c>
      <c r="C463" s="7" t="n">
        <v>20269003</v>
      </c>
      <c r="D463" s="7" t="inlineStr">
        <is>
          <t>(DNO) Nhân Cơ</t>
        </is>
      </c>
      <c r="E463" s="7" t="inlineStr">
        <is>
          <t>Shopee-Bulky</t>
        </is>
      </c>
      <c r="F463" s="36" t="n">
        <v>0.64</v>
      </c>
      <c r="G463" s="36" t="n">
        <v>0</v>
      </c>
      <c r="H463" s="36" t="n">
        <v>0</v>
      </c>
      <c r="I463" s="36" t="n">
        <v>0</v>
      </c>
      <c r="J463" s="36" t="n">
        <v>0</v>
      </c>
      <c r="K463" s="28" t="n">
        <v>0</v>
      </c>
      <c r="L463" s="36" t="n">
        <v>0</v>
      </c>
      <c r="M463" s="36" t="n">
        <v>0</v>
      </c>
      <c r="N463" s="36" t="n">
        <v>0</v>
      </c>
      <c r="O463" s="36" t="n">
        <v>0</v>
      </c>
      <c r="P463" s="36" t="n">
        <v>0</v>
      </c>
      <c r="Q463" s="36" t="n">
        <v>0</v>
      </c>
      <c r="R463" s="28" t="n">
        <v>0</v>
      </c>
      <c r="S463" s="36" t="n">
        <v>0</v>
      </c>
      <c r="T463" s="36" t="n">
        <v>0</v>
      </c>
      <c r="U463" s="36" t="n">
        <v>0.18</v>
      </c>
      <c r="V463" s="36" t="n">
        <v>0.14</v>
      </c>
      <c r="W463" s="36" t="n">
        <v>0.22</v>
      </c>
      <c r="X463" s="36" t="n">
        <v>0.1</v>
      </c>
      <c r="Y463" s="28" t="n">
        <v>0.18</v>
      </c>
      <c r="Z463" s="36" t="n">
        <v>0.18</v>
      </c>
      <c r="AA463" s="36" t="n">
        <v>0.22</v>
      </c>
      <c r="AB463" s="36" t="n">
        <v>0.18</v>
      </c>
      <c r="AC463" s="36" t="n">
        <v>0.22</v>
      </c>
      <c r="AD463" s="36" t="n">
        <v>0.42</v>
      </c>
      <c r="AE463" s="36" t="n">
        <v>0.48</v>
      </c>
      <c r="AF463" s="28" t="n">
        <v>0.38</v>
      </c>
      <c r="AG463" s="36" t="n">
        <v>0.28</v>
      </c>
      <c r="AH463" s="37" t="n">
        <v>0.18</v>
      </c>
      <c r="AI463" s="37" t="n">
        <v>0.18</v>
      </c>
      <c r="AJ463" s="37" t="n">
        <v>0.14</v>
      </c>
      <c r="AK463" s="37" t="n">
        <v>0.28</v>
      </c>
      <c r="AL463" s="37" t="n">
        <v>0.28</v>
      </c>
      <c r="AM463" s="37" t="n">
        <v>0.28</v>
      </c>
      <c r="AN463" s="37" t="n">
        <v>0.18</v>
      </c>
      <c r="AO463" s="37" t="n">
        <v>0.18</v>
      </c>
      <c r="AP463" s="37" t="n">
        <v>0.24</v>
      </c>
      <c r="AQ463" s="37" t="n">
        <v>0.28</v>
      </c>
      <c r="AR463" s="37" t="n">
        <v>0.22</v>
      </c>
      <c r="AS463" s="37" t="n">
        <v>0.1</v>
      </c>
      <c r="AT463" s="37" t="n">
        <v>0.18</v>
      </c>
      <c r="AU463" s="37" t="n">
        <v>0.26</v>
      </c>
      <c r="AV463" s="37" t="n">
        <v>0.38</v>
      </c>
      <c r="AW463" s="37" t="n">
        <v>0.18</v>
      </c>
      <c r="AX463" s="37" t="n">
        <v>0.14</v>
      </c>
      <c r="AY463" s="37" t="n">
        <v>0.22</v>
      </c>
      <c r="AZ463" s="37" t="n">
        <v>0.1</v>
      </c>
      <c r="BA463" s="37" t="n">
        <v>0.18</v>
      </c>
      <c r="BB463" s="37" t="n">
        <v>0.14</v>
      </c>
      <c r="BC463" s="37" t="n">
        <v>0</v>
      </c>
      <c r="BD463" s="37" t="n">
        <v>0.04</v>
      </c>
      <c r="BE463" s="37" t="n">
        <v>0.18</v>
      </c>
      <c r="BF463" s="37" t="n">
        <v>0.22</v>
      </c>
      <c r="BG463" s="37" t="n">
        <v>0.14</v>
      </c>
      <c r="BH463" s="37" t="n">
        <v>0.18</v>
      </c>
      <c r="BI463" s="37" t="n">
        <v>0.18</v>
      </c>
      <c r="BJ463" s="37" t="n">
        <v>1.3</v>
      </c>
      <c r="BK463" s="37" t="n">
        <v>0.34</v>
      </c>
      <c r="BL463" s="37" t="n">
        <v>0.18</v>
      </c>
      <c r="BM463" s="37" t="n">
        <v>0.14</v>
      </c>
      <c r="BN463" s="37" t="n">
        <v>0.14</v>
      </c>
      <c r="BO463" s="37" t="n">
        <v>0.28</v>
      </c>
      <c r="BP463" s="37" t="n">
        <v>0.26</v>
      </c>
      <c r="BQ463" s="37" t="n">
        <v>0.26</v>
      </c>
      <c r="BR463" s="37" t="n">
        <v>0.28</v>
      </c>
      <c r="BS463" s="37" t="n">
        <v>0.22</v>
      </c>
      <c r="BT463" s="37" t="n">
        <v>0.22</v>
      </c>
      <c r="BU463" s="37" t="n">
        <v>0.28</v>
      </c>
      <c r="BV463" s="37" t="n">
        <v>0.28</v>
      </c>
      <c r="BW463" s="37" t="n">
        <v>0.18</v>
      </c>
      <c r="BX463" s="37" t="n">
        <v>0.28</v>
      </c>
      <c r="BY463" s="37" t="n">
        <v>0.28</v>
      </c>
      <c r="BZ463" s="37" t="n">
        <v>0.34</v>
      </c>
      <c r="CA463" s="37" t="n">
        <v>0.28</v>
      </c>
      <c r="CB463" s="37" t="n">
        <v>0.14</v>
      </c>
      <c r="CC463" s="37" t="n">
        <v>14.75999999999999</v>
      </c>
    </row>
    <row r="464" ht="15.75" customHeight="1" s="57">
      <c r="A464" s="7" t="inlineStr">
        <is>
          <t>NTB</t>
        </is>
      </c>
      <c r="B464" s="7" t="inlineStr">
        <is>
          <t>Đắk Nông</t>
        </is>
      </c>
      <c r="C464" s="7" t="n">
        <v>20269003</v>
      </c>
      <c r="D464" s="7" t="inlineStr">
        <is>
          <t>(DNO) Nhân Cơ</t>
        </is>
      </c>
      <c r="E464" s="7" t="inlineStr">
        <is>
          <t>Shopee-Bulky (10-15kg)</t>
        </is>
      </c>
      <c r="F464" s="36" t="n">
        <v>0.36</v>
      </c>
      <c r="G464" s="36" t="n">
        <v>0</v>
      </c>
      <c r="H464" s="36" t="n">
        <v>0</v>
      </c>
      <c r="I464" s="36" t="n">
        <v>0</v>
      </c>
      <c r="J464" s="36" t="n">
        <v>0</v>
      </c>
      <c r="K464" s="28" t="n">
        <v>0</v>
      </c>
      <c r="L464" s="36" t="n">
        <v>0</v>
      </c>
      <c r="M464" s="36" t="n">
        <v>0</v>
      </c>
      <c r="N464" s="36" t="n">
        <v>0</v>
      </c>
      <c r="O464" s="36" t="n">
        <v>0</v>
      </c>
      <c r="P464" s="36" t="n">
        <v>0</v>
      </c>
      <c r="Q464" s="36" t="n">
        <v>0</v>
      </c>
      <c r="R464" s="28" t="n">
        <v>0</v>
      </c>
      <c r="S464" s="36" t="n">
        <v>0</v>
      </c>
      <c r="T464" s="36" t="n">
        <v>0</v>
      </c>
      <c r="U464" s="36" t="n">
        <v>0.1</v>
      </c>
      <c r="V464" s="36" t="n">
        <v>0.1</v>
      </c>
      <c r="W464" s="36" t="n">
        <v>0.08</v>
      </c>
      <c r="X464" s="36" t="n">
        <v>0.04</v>
      </c>
      <c r="Y464" s="28" t="n">
        <v>0.1</v>
      </c>
      <c r="Z464" s="36" t="n">
        <v>0.1</v>
      </c>
      <c r="AA464" s="36" t="n">
        <v>0.12</v>
      </c>
      <c r="AB464" s="36" t="n">
        <v>0.1</v>
      </c>
      <c r="AC464" s="36" t="n">
        <v>0.14</v>
      </c>
      <c r="AD464" s="36" t="n">
        <v>0.16</v>
      </c>
      <c r="AE464" s="36" t="n">
        <v>0.24</v>
      </c>
      <c r="AF464" s="28" t="n">
        <v>0.22</v>
      </c>
      <c r="AG464" s="36" t="n">
        <v>0.1</v>
      </c>
      <c r="AH464" s="37" t="n">
        <v>0.1</v>
      </c>
      <c r="AI464" s="37" t="n">
        <v>0.1</v>
      </c>
      <c r="AJ464" s="37" t="n">
        <v>0.1</v>
      </c>
      <c r="AK464" s="37" t="n">
        <v>0.14</v>
      </c>
      <c r="AL464" s="37" t="n">
        <v>0.1</v>
      </c>
      <c r="AM464" s="37" t="n">
        <v>0.14</v>
      </c>
      <c r="AN464" s="37" t="n">
        <v>0.1</v>
      </c>
      <c r="AO464" s="37" t="n">
        <v>0.1</v>
      </c>
      <c r="AP464" s="37" t="n">
        <v>0.14</v>
      </c>
      <c r="AQ464" s="37" t="n">
        <v>0.14</v>
      </c>
      <c r="AR464" s="37" t="n">
        <v>0.08</v>
      </c>
      <c r="AS464" s="37" t="n">
        <v>0.04</v>
      </c>
      <c r="AT464" s="37" t="n">
        <v>0.1</v>
      </c>
      <c r="AU464" s="37" t="n">
        <v>0.16</v>
      </c>
      <c r="AV464" s="37" t="n">
        <v>0.18</v>
      </c>
      <c r="AW464" s="37" t="n">
        <v>0.1</v>
      </c>
      <c r="AX464" s="37" t="n">
        <v>0.1</v>
      </c>
      <c r="AY464" s="37" t="n">
        <v>0.08</v>
      </c>
      <c r="AZ464" s="37" t="n">
        <v>0.04</v>
      </c>
      <c r="BA464" s="37" t="n">
        <v>0.1</v>
      </c>
      <c r="BB464" s="37" t="n">
        <v>0.04</v>
      </c>
      <c r="BC464" s="37" t="n">
        <v>0</v>
      </c>
      <c r="BD464" s="37" t="n">
        <v>0</v>
      </c>
      <c r="BE464" s="37" t="n">
        <v>0.14</v>
      </c>
      <c r="BF464" s="37" t="n">
        <v>0.14</v>
      </c>
      <c r="BG464" s="37" t="n">
        <v>0.04</v>
      </c>
      <c r="BH464" s="37" t="n">
        <v>0.12</v>
      </c>
      <c r="BI464" s="37" t="n">
        <v>0.14</v>
      </c>
      <c r="BJ464" s="37" t="n">
        <v>0.52</v>
      </c>
      <c r="BK464" s="37" t="n">
        <v>0.18</v>
      </c>
      <c r="BL464" s="37" t="n">
        <v>0.12</v>
      </c>
      <c r="BM464" s="37" t="n">
        <v>0.04</v>
      </c>
      <c r="BN464" s="37" t="n">
        <v>0.08</v>
      </c>
      <c r="BO464" s="37" t="n">
        <v>0.14</v>
      </c>
      <c r="BP464" s="37" t="n">
        <v>0.18</v>
      </c>
      <c r="BQ464" s="37" t="n">
        <v>0.14</v>
      </c>
      <c r="BR464" s="37" t="n">
        <v>0.14</v>
      </c>
      <c r="BS464" s="37" t="n">
        <v>0.14</v>
      </c>
      <c r="BT464" s="37" t="n">
        <v>0.04</v>
      </c>
      <c r="BU464" s="37" t="n">
        <v>0.1</v>
      </c>
      <c r="BV464" s="37" t="n">
        <v>0.14</v>
      </c>
      <c r="BW464" s="37" t="n">
        <v>0.14</v>
      </c>
      <c r="BX464" s="37" t="n">
        <v>0.12</v>
      </c>
      <c r="BY464" s="37" t="n">
        <v>0.14</v>
      </c>
      <c r="BZ464" s="37" t="n">
        <v>0.18</v>
      </c>
      <c r="CA464" s="37" t="n">
        <v>0.1</v>
      </c>
      <c r="CB464" s="37" t="n">
        <v>0.04</v>
      </c>
      <c r="CC464" s="37" t="n">
        <v>7.399999999999997</v>
      </c>
    </row>
    <row r="465" ht="15.75" customHeight="1" s="57">
      <c r="A465" s="7" t="inlineStr">
        <is>
          <t>NTB</t>
        </is>
      </c>
      <c r="B465" s="7" t="inlineStr">
        <is>
          <t>Đắk Nông</t>
        </is>
      </c>
      <c r="C465" s="7" t="n">
        <v>20269003</v>
      </c>
      <c r="D465" s="7" t="inlineStr">
        <is>
          <t>(DNO) Nhân Cơ</t>
        </is>
      </c>
      <c r="E465" s="7" t="inlineStr">
        <is>
          <t>TTS</t>
        </is>
      </c>
      <c r="F465" s="36" t="n">
        <v>19</v>
      </c>
      <c r="G465" s="36" t="n">
        <v>15</v>
      </c>
      <c r="H465" s="36" t="n">
        <v>6</v>
      </c>
      <c r="I465" s="36" t="n">
        <v>17</v>
      </c>
      <c r="J465" s="36" t="n">
        <v>19</v>
      </c>
      <c r="K465" s="28" t="n">
        <v>20</v>
      </c>
      <c r="L465" s="36" t="n">
        <v>10</v>
      </c>
      <c r="M465" s="36" t="n">
        <v>17</v>
      </c>
      <c r="N465" s="36" t="n">
        <v>24</v>
      </c>
      <c r="O465" s="36" t="n">
        <v>17</v>
      </c>
      <c r="P465" s="36" t="n">
        <v>23</v>
      </c>
      <c r="Q465" s="36" t="n">
        <v>29</v>
      </c>
      <c r="R465" s="28" t="n">
        <v>5</v>
      </c>
      <c r="S465" s="36" t="n">
        <v>19</v>
      </c>
      <c r="T465" s="36" t="n">
        <v>19</v>
      </c>
      <c r="U465" s="36" t="n">
        <v>27.54</v>
      </c>
      <c r="V465" s="36" t="n">
        <v>26.44</v>
      </c>
      <c r="W465" s="36" t="n">
        <v>25.71</v>
      </c>
      <c r="X465" s="36" t="n">
        <v>21.54</v>
      </c>
      <c r="Y465" s="28" t="n">
        <v>31.09</v>
      </c>
      <c r="Z465" s="36" t="n">
        <v>26.2</v>
      </c>
      <c r="AA465" s="36" t="n">
        <v>28.89</v>
      </c>
      <c r="AB465" s="36" t="n">
        <v>31.21</v>
      </c>
      <c r="AC465" s="36" t="n">
        <v>32.93</v>
      </c>
      <c r="AD465" s="36" t="n">
        <v>41.01</v>
      </c>
      <c r="AE465" s="36" t="n">
        <v>24.11</v>
      </c>
      <c r="AF465" s="28" t="n">
        <v>32.07</v>
      </c>
      <c r="AG465" s="36" t="n">
        <v>26.44</v>
      </c>
      <c r="AH465" s="37" t="n">
        <v>25.83</v>
      </c>
      <c r="AI465" s="37" t="n">
        <v>30.24</v>
      </c>
      <c r="AJ465" s="37" t="n">
        <v>31.34</v>
      </c>
      <c r="AK465" s="37" t="n">
        <v>30.36</v>
      </c>
      <c r="AL465" s="37" t="n">
        <v>23.14</v>
      </c>
      <c r="AM465" s="37" t="n">
        <v>31.21</v>
      </c>
      <c r="AN465" s="37" t="n">
        <v>27.3</v>
      </c>
      <c r="AO465" s="37" t="n">
        <v>27.05</v>
      </c>
      <c r="AP465" s="37" t="n">
        <v>25.95</v>
      </c>
      <c r="AQ465" s="37" t="n">
        <v>26.2</v>
      </c>
      <c r="AR465" s="37" t="n">
        <v>25.46</v>
      </c>
      <c r="AS465" s="37" t="n">
        <v>21.54</v>
      </c>
      <c r="AT465" s="37" t="n">
        <v>34.89</v>
      </c>
      <c r="AU465" s="37" t="n">
        <v>30.24</v>
      </c>
      <c r="AV465" s="37" t="n">
        <v>27.54</v>
      </c>
      <c r="AW465" s="37" t="n">
        <v>25.34</v>
      </c>
      <c r="AX465" s="37" t="n">
        <v>25.46</v>
      </c>
      <c r="AY465" s="37" t="n">
        <v>25.34</v>
      </c>
      <c r="AZ465" s="37" t="n">
        <v>21.67</v>
      </c>
      <c r="BA465" s="37" t="n">
        <v>30.97</v>
      </c>
      <c r="BB465" s="37" t="n">
        <v>29.26</v>
      </c>
      <c r="BC465" s="37" t="n">
        <v>14.69</v>
      </c>
      <c r="BD465" s="37" t="n">
        <v>20.81</v>
      </c>
      <c r="BE465" s="37" t="n">
        <v>48.11</v>
      </c>
      <c r="BF465" s="37" t="n">
        <v>46.88</v>
      </c>
      <c r="BG465" s="37" t="n">
        <v>23.14</v>
      </c>
      <c r="BH465" s="37" t="n">
        <v>34.89</v>
      </c>
      <c r="BI465" s="37" t="n">
        <v>29.26</v>
      </c>
      <c r="BJ465" s="37" t="n">
        <v>32.44</v>
      </c>
      <c r="BK465" s="37" t="n">
        <v>29.38</v>
      </c>
      <c r="BL465" s="37" t="n">
        <v>29.5</v>
      </c>
      <c r="BM465" s="37" t="n">
        <v>28.52</v>
      </c>
      <c r="BN465" s="37" t="n">
        <v>23.14</v>
      </c>
      <c r="BO465" s="37" t="n">
        <v>34.89</v>
      </c>
      <c r="BP465" s="37" t="n">
        <v>29.26</v>
      </c>
      <c r="BQ465" s="37" t="n">
        <v>28.64</v>
      </c>
      <c r="BR465" s="37" t="n">
        <v>29.38</v>
      </c>
      <c r="BS465" s="37" t="n">
        <v>29.5</v>
      </c>
      <c r="BT465" s="37" t="n">
        <v>28.52</v>
      </c>
      <c r="BU465" s="37" t="n">
        <v>23.14</v>
      </c>
      <c r="BV465" s="37" t="n">
        <v>34.89</v>
      </c>
      <c r="BW465" s="37" t="n">
        <v>29.26</v>
      </c>
      <c r="BX465" s="37" t="n">
        <v>28.64</v>
      </c>
      <c r="BY465" s="37" t="n">
        <v>29.38</v>
      </c>
      <c r="BZ465" s="37" t="n">
        <v>29.5</v>
      </c>
      <c r="CA465" s="37" t="n">
        <v>28.52</v>
      </c>
      <c r="CB465" s="37" t="n">
        <v>23.14</v>
      </c>
      <c r="CC465" s="37" t="n">
        <v>1977.930000000001</v>
      </c>
    </row>
    <row r="466" ht="15.75" customHeight="1" s="57">
      <c r="A466" s="7" t="inlineStr">
        <is>
          <t>NTB</t>
        </is>
      </c>
      <c r="B466" s="7" t="inlineStr">
        <is>
          <t>Đắk Nông</t>
        </is>
      </c>
      <c r="C466" s="7" t="n">
        <v>20590000</v>
      </c>
      <c r="D466" s="7" t="inlineStr">
        <is>
          <t>(DNO) Tuy Đức</t>
        </is>
      </c>
      <c r="E466" s="7" t="inlineStr">
        <is>
          <t>SME</t>
        </is>
      </c>
      <c r="F466" s="36" t="n">
        <v>5</v>
      </c>
      <c r="G466" s="36" t="n">
        <v>3</v>
      </c>
      <c r="H466" s="36" t="n">
        <v>4</v>
      </c>
      <c r="I466" s="36" t="n">
        <v>3</v>
      </c>
      <c r="J466" s="36" t="n">
        <v>6</v>
      </c>
      <c r="K466" s="28" t="n">
        <v>8</v>
      </c>
      <c r="L466" s="36" t="n">
        <v>4</v>
      </c>
      <c r="M466" s="36" t="n">
        <v>1</v>
      </c>
      <c r="N466" s="36" t="n">
        <v>3</v>
      </c>
      <c r="O466" s="36" t="n">
        <v>4</v>
      </c>
      <c r="P466" s="36" t="n">
        <v>4</v>
      </c>
      <c r="Q466" s="36" t="n">
        <v>2</v>
      </c>
      <c r="R466" s="28" t="n">
        <v>5</v>
      </c>
      <c r="S466" s="36" t="n">
        <v>4</v>
      </c>
      <c r="T466" s="36" t="n">
        <v>7</v>
      </c>
      <c r="U466" s="36" t="n">
        <v>12.8</v>
      </c>
      <c r="V466" s="36" t="n">
        <v>13.23</v>
      </c>
      <c r="W466" s="36" t="n">
        <v>12.85</v>
      </c>
      <c r="X466" s="36" t="n">
        <v>10.48</v>
      </c>
      <c r="Y466" s="28" t="n">
        <v>14.21</v>
      </c>
      <c r="Z466" s="36" t="n">
        <v>13.16</v>
      </c>
      <c r="AA466" s="36" t="n">
        <v>12.71</v>
      </c>
      <c r="AB466" s="36" t="n">
        <v>12.8</v>
      </c>
      <c r="AC466" s="36" t="n">
        <v>13.23</v>
      </c>
      <c r="AD466" s="36" t="n">
        <v>13.8</v>
      </c>
      <c r="AE466" s="36" t="n">
        <v>10.48</v>
      </c>
      <c r="AF466" s="28" t="n">
        <v>14.21</v>
      </c>
      <c r="AG466" s="36" t="n">
        <v>13.16</v>
      </c>
      <c r="AH466" s="37" t="n">
        <v>12.71</v>
      </c>
      <c r="AI466" s="37" t="n">
        <v>12.8</v>
      </c>
      <c r="AJ466" s="37" t="n">
        <v>13.23</v>
      </c>
      <c r="AK466" s="37" t="n">
        <v>12.85</v>
      </c>
      <c r="AL466" s="37" t="n">
        <v>10.48</v>
      </c>
      <c r="AM466" s="37" t="n">
        <v>14.21</v>
      </c>
      <c r="AN466" s="37" t="n">
        <v>13.16</v>
      </c>
      <c r="AO466" s="37" t="n">
        <v>12.71</v>
      </c>
      <c r="AP466" s="37" t="n">
        <v>12.8</v>
      </c>
      <c r="AQ466" s="37" t="n">
        <v>13.23</v>
      </c>
      <c r="AR466" s="37" t="n">
        <v>12.85</v>
      </c>
      <c r="AS466" s="37" t="n">
        <v>10.48</v>
      </c>
      <c r="AT466" s="37" t="n">
        <v>14.21</v>
      </c>
      <c r="AU466" s="37" t="n">
        <v>13.16</v>
      </c>
      <c r="AV466" s="37" t="n">
        <v>12.71</v>
      </c>
      <c r="AW466" s="37" t="n">
        <v>12.8</v>
      </c>
      <c r="AX466" s="37" t="n">
        <v>13.23</v>
      </c>
      <c r="AY466" s="37" t="n">
        <v>12.85</v>
      </c>
      <c r="AZ466" s="37" t="n">
        <v>10.48</v>
      </c>
      <c r="BA466" s="37" t="n">
        <v>13.52</v>
      </c>
      <c r="BB466" s="37" t="n">
        <v>12.01</v>
      </c>
      <c r="BC466" s="37" t="n">
        <v>7.29</v>
      </c>
      <c r="BD466" s="37" t="n">
        <v>5.65</v>
      </c>
      <c r="BE466" s="37" t="n">
        <v>12.36</v>
      </c>
      <c r="BF466" s="37" t="n">
        <v>12.04</v>
      </c>
      <c r="BG466" s="37" t="n">
        <v>10.83</v>
      </c>
      <c r="BH466" s="37" t="n">
        <v>14.66</v>
      </c>
      <c r="BI466" s="37" t="n">
        <v>13.55</v>
      </c>
      <c r="BJ466" s="37" t="n">
        <v>14.17</v>
      </c>
      <c r="BK466" s="37" t="n">
        <v>13.19</v>
      </c>
      <c r="BL466" s="37" t="n">
        <v>13.64</v>
      </c>
      <c r="BM466" s="37" t="n">
        <v>13.24</v>
      </c>
      <c r="BN466" s="37" t="n">
        <v>10.83</v>
      </c>
      <c r="BO466" s="37" t="n">
        <v>14.66</v>
      </c>
      <c r="BP466" s="37" t="n">
        <v>13.55</v>
      </c>
      <c r="BQ466" s="37" t="n">
        <v>13.1</v>
      </c>
      <c r="BR466" s="37" t="n">
        <v>13.19</v>
      </c>
      <c r="BS466" s="37" t="n">
        <v>13.64</v>
      </c>
      <c r="BT466" s="37" t="n">
        <v>13.24</v>
      </c>
      <c r="BU466" s="37" t="n">
        <v>10.83</v>
      </c>
      <c r="BV466" s="37" t="n">
        <v>14.66</v>
      </c>
      <c r="BW466" s="37" t="n">
        <v>13.55</v>
      </c>
      <c r="BX466" s="37" t="n">
        <v>13.1</v>
      </c>
      <c r="BY466" s="37" t="n">
        <v>13.19</v>
      </c>
      <c r="BZ466" s="37" t="n">
        <v>13.64</v>
      </c>
      <c r="CA466" s="37" t="n">
        <v>13.24</v>
      </c>
      <c r="CB466" s="37" t="n">
        <v>10.83</v>
      </c>
      <c r="CC466" s="37" t="n">
        <v>822.4700000000001</v>
      </c>
    </row>
    <row r="467" ht="15.75" customHeight="1" s="57">
      <c r="A467" s="7" t="inlineStr">
        <is>
          <t>NTB</t>
        </is>
      </c>
      <c r="B467" s="7" t="inlineStr">
        <is>
          <t>Đắk Nông</t>
        </is>
      </c>
      <c r="C467" s="7" t="n">
        <v>20590000</v>
      </c>
      <c r="D467" s="7" t="inlineStr">
        <is>
          <t>(DNO) Tuy Đức</t>
        </is>
      </c>
      <c r="E467" s="7" t="inlineStr">
        <is>
          <t>SME-Bulky</t>
        </is>
      </c>
      <c r="F467" s="36" t="n">
        <v>7</v>
      </c>
      <c r="G467" s="36" t="n">
        <v>2</v>
      </c>
      <c r="H467" s="36" t="n">
        <v>2</v>
      </c>
      <c r="I467" s="36" t="n">
        <v>2</v>
      </c>
      <c r="J467" s="36" t="n">
        <v>1</v>
      </c>
      <c r="K467" s="28" t="n">
        <v>0</v>
      </c>
      <c r="L467" s="36" t="n">
        <v>0</v>
      </c>
      <c r="M467" s="36" t="n">
        <v>0</v>
      </c>
      <c r="N467" s="36" t="n">
        <v>1</v>
      </c>
      <c r="O467" s="36" t="n">
        <v>4</v>
      </c>
      <c r="P467" s="36" t="n">
        <v>0</v>
      </c>
      <c r="Q467" s="36" t="n">
        <v>3</v>
      </c>
      <c r="R467" s="28" t="n">
        <v>1</v>
      </c>
      <c r="S467" s="36" t="n">
        <v>1</v>
      </c>
      <c r="T467" s="36" t="n">
        <v>5</v>
      </c>
      <c r="U467" s="36" t="n">
        <v>0.88</v>
      </c>
      <c r="V467" s="36" t="n">
        <v>0.88</v>
      </c>
      <c r="W467" s="36" t="n">
        <v>0.88</v>
      </c>
      <c r="X467" s="36" t="n">
        <v>0.38</v>
      </c>
      <c r="Y467" s="28" t="n">
        <v>1.18</v>
      </c>
      <c r="Z467" s="36" t="n">
        <v>0.95</v>
      </c>
      <c r="AA467" s="36" t="n">
        <v>0.95</v>
      </c>
      <c r="AB467" s="36" t="n">
        <v>0.88</v>
      </c>
      <c r="AC467" s="36" t="n">
        <v>0.88</v>
      </c>
      <c r="AD467" s="36" t="n">
        <v>2.41</v>
      </c>
      <c r="AE467" s="36" t="n">
        <v>0.38</v>
      </c>
      <c r="AF467" s="28" t="n">
        <v>1.18</v>
      </c>
      <c r="AG467" s="36" t="n">
        <v>0.95</v>
      </c>
      <c r="AH467" s="37" t="n">
        <v>0.95</v>
      </c>
      <c r="AI467" s="37" t="n">
        <v>0.88</v>
      </c>
      <c r="AJ467" s="37" t="n">
        <v>0.88</v>
      </c>
      <c r="AK467" s="37" t="n">
        <v>0.88</v>
      </c>
      <c r="AL467" s="37" t="n">
        <v>0.38</v>
      </c>
      <c r="AM467" s="37" t="n">
        <v>1.18</v>
      </c>
      <c r="AN467" s="37" t="n">
        <v>0.95</v>
      </c>
      <c r="AO467" s="37" t="n">
        <v>0.95</v>
      </c>
      <c r="AP467" s="37" t="n">
        <v>0.88</v>
      </c>
      <c r="AQ467" s="37" t="n">
        <v>0.88</v>
      </c>
      <c r="AR467" s="37" t="n">
        <v>0.88</v>
      </c>
      <c r="AS467" s="37" t="n">
        <v>0.38</v>
      </c>
      <c r="AT467" s="37" t="n">
        <v>1.18</v>
      </c>
      <c r="AU467" s="37" t="n">
        <v>0.95</v>
      </c>
      <c r="AV467" s="37" t="n">
        <v>0.95</v>
      </c>
      <c r="AW467" s="37" t="n">
        <v>0.88</v>
      </c>
      <c r="AX467" s="37" t="n">
        <v>0.88</v>
      </c>
      <c r="AY467" s="37" t="n">
        <v>0.88</v>
      </c>
      <c r="AZ467" s="37" t="n">
        <v>0.38</v>
      </c>
      <c r="BA467" s="37" t="n">
        <v>1.3</v>
      </c>
      <c r="BB467" s="37" t="n">
        <v>0.53</v>
      </c>
      <c r="BC467" s="37" t="n">
        <v>0.15</v>
      </c>
      <c r="BD467" s="37" t="n">
        <v>0.11</v>
      </c>
      <c r="BE467" s="37" t="n">
        <v>0.5</v>
      </c>
      <c r="BF467" s="37" t="n">
        <v>0.42</v>
      </c>
      <c r="BG467" s="37" t="n">
        <v>0.19</v>
      </c>
      <c r="BH467" s="37" t="n">
        <v>0.65</v>
      </c>
      <c r="BI467" s="37" t="n">
        <v>0.53</v>
      </c>
      <c r="BJ467" s="37" t="n">
        <v>1.3</v>
      </c>
      <c r="BK467" s="37" t="n">
        <v>0.5</v>
      </c>
      <c r="BL467" s="37" t="n">
        <v>0.5</v>
      </c>
      <c r="BM467" s="37" t="n">
        <v>0.5</v>
      </c>
      <c r="BN467" s="37" t="n">
        <v>0.19</v>
      </c>
      <c r="BO467" s="37" t="n">
        <v>0.65</v>
      </c>
      <c r="BP467" s="37" t="n">
        <v>0.53</v>
      </c>
      <c r="BQ467" s="37" t="n">
        <v>0.53</v>
      </c>
      <c r="BR467" s="37" t="n">
        <v>0.5</v>
      </c>
      <c r="BS467" s="37" t="n">
        <v>0.5</v>
      </c>
      <c r="BT467" s="37" t="n">
        <v>0.5</v>
      </c>
      <c r="BU467" s="37" t="n">
        <v>0.19</v>
      </c>
      <c r="BV467" s="37" t="n">
        <v>0.65</v>
      </c>
      <c r="BW467" s="37" t="n">
        <v>0.53</v>
      </c>
      <c r="BX467" s="37" t="n">
        <v>0.53</v>
      </c>
      <c r="BY467" s="37" t="n">
        <v>0.5</v>
      </c>
      <c r="BZ467" s="37" t="n">
        <v>0.5</v>
      </c>
      <c r="CA467" s="37" t="n">
        <v>0.5</v>
      </c>
      <c r="CB467" s="37" t="n">
        <v>0.19</v>
      </c>
      <c r="CC467" s="37" t="n">
        <v>72.12000000000006</v>
      </c>
    </row>
    <row r="468" ht="15.75" customHeight="1" s="57">
      <c r="A468" s="7" t="inlineStr">
        <is>
          <t>NTB</t>
        </is>
      </c>
      <c r="B468" s="7" t="inlineStr">
        <is>
          <t>Đắk Nông</t>
        </is>
      </c>
      <c r="C468" s="7" t="n">
        <v>20590000</v>
      </c>
      <c r="D468" s="7" t="inlineStr">
        <is>
          <t>(DNO) Tuy Đức</t>
        </is>
      </c>
      <c r="E468" s="7" t="inlineStr">
        <is>
          <t>Shopee</t>
        </is>
      </c>
      <c r="F468" s="36" t="n">
        <v>1</v>
      </c>
      <c r="G468" s="36" t="n">
        <v>0</v>
      </c>
      <c r="H468" s="36" t="n">
        <v>1</v>
      </c>
      <c r="I468" s="36" t="n">
        <v>3</v>
      </c>
      <c r="J468" s="36" t="n">
        <v>0</v>
      </c>
      <c r="K468" s="28" t="n">
        <v>1</v>
      </c>
      <c r="L468" s="36" t="n">
        <v>0</v>
      </c>
      <c r="M468" s="36" t="n">
        <v>0</v>
      </c>
      <c r="N468" s="36" t="n">
        <v>0</v>
      </c>
      <c r="O468" s="36" t="n">
        <v>0</v>
      </c>
      <c r="P468" s="36" t="n">
        <v>0</v>
      </c>
      <c r="Q468" s="36" t="n">
        <v>0</v>
      </c>
      <c r="R468" s="28" t="n">
        <v>0</v>
      </c>
      <c r="S468" s="36" t="n">
        <v>0</v>
      </c>
      <c r="T468" s="36" t="n">
        <v>0</v>
      </c>
      <c r="U468" s="36" t="n">
        <v>0</v>
      </c>
      <c r="V468" s="36" t="n">
        <v>0</v>
      </c>
      <c r="W468" s="36" t="n">
        <v>0</v>
      </c>
      <c r="X468" s="36" t="n">
        <v>0</v>
      </c>
      <c r="Y468" s="28" t="n">
        <v>0</v>
      </c>
      <c r="Z468" s="36" t="n">
        <v>0</v>
      </c>
      <c r="AA468" s="36" t="n">
        <v>0</v>
      </c>
      <c r="AB468" s="36" t="n">
        <v>0</v>
      </c>
      <c r="AC468" s="36" t="n">
        <v>0</v>
      </c>
      <c r="AD468" s="36" t="n">
        <v>0</v>
      </c>
      <c r="AE468" s="36" t="n">
        <v>0</v>
      </c>
      <c r="AF468" s="28" t="n">
        <v>0</v>
      </c>
      <c r="AG468" s="36" t="n">
        <v>0</v>
      </c>
      <c r="AH468" s="37" t="n">
        <v>0</v>
      </c>
      <c r="AI468" s="37" t="n">
        <v>0</v>
      </c>
      <c r="AJ468" s="37" t="n">
        <v>0</v>
      </c>
      <c r="AK468" s="37" t="n">
        <v>0</v>
      </c>
      <c r="AL468" s="37" t="n">
        <v>0</v>
      </c>
      <c r="AM468" s="37" t="n">
        <v>0</v>
      </c>
      <c r="AN468" s="37" t="n">
        <v>0</v>
      </c>
      <c r="AO468" s="37" t="n">
        <v>0</v>
      </c>
      <c r="AP468" s="37" t="n">
        <v>0</v>
      </c>
      <c r="AQ468" s="37" t="n">
        <v>0</v>
      </c>
      <c r="AR468" s="37" t="n">
        <v>0</v>
      </c>
      <c r="AS468" s="37" t="n">
        <v>0</v>
      </c>
      <c r="AT468" s="37" t="n">
        <v>0</v>
      </c>
      <c r="AU468" s="37" t="n">
        <v>0</v>
      </c>
      <c r="AV468" s="37" t="n">
        <v>0</v>
      </c>
      <c r="AW468" s="37" t="n">
        <v>0</v>
      </c>
      <c r="AX468" s="37" t="n">
        <v>0</v>
      </c>
      <c r="AY468" s="37" t="n">
        <v>0</v>
      </c>
      <c r="AZ468" s="37" t="n">
        <v>0</v>
      </c>
      <c r="BA468" s="37" t="n">
        <v>0</v>
      </c>
      <c r="BB468" s="37" t="n">
        <v>0</v>
      </c>
      <c r="BC468" s="37" t="n">
        <v>0</v>
      </c>
      <c r="BD468" s="37" t="n">
        <v>0</v>
      </c>
      <c r="BE468" s="37" t="n">
        <v>0</v>
      </c>
      <c r="BF468" s="37" t="n">
        <v>0</v>
      </c>
      <c r="BG468" s="37" t="n">
        <v>0</v>
      </c>
      <c r="BH468" s="37" t="n">
        <v>0</v>
      </c>
      <c r="BI468" s="37" t="n">
        <v>0</v>
      </c>
      <c r="BJ468" s="37" t="n">
        <v>0</v>
      </c>
      <c r="BK468" s="37" t="n">
        <v>0</v>
      </c>
      <c r="BL468" s="37" t="n">
        <v>0</v>
      </c>
      <c r="BM468" s="37" t="n">
        <v>0</v>
      </c>
      <c r="BN468" s="37" t="n">
        <v>0</v>
      </c>
      <c r="BO468" s="37" t="n">
        <v>0</v>
      </c>
      <c r="BP468" s="37" t="n">
        <v>0</v>
      </c>
      <c r="BQ468" s="37" t="n">
        <v>0</v>
      </c>
      <c r="BR468" s="37" t="n">
        <v>0</v>
      </c>
      <c r="BS468" s="37" t="n">
        <v>0</v>
      </c>
      <c r="BT468" s="37" t="n">
        <v>0</v>
      </c>
      <c r="BU468" s="37" t="n">
        <v>0</v>
      </c>
      <c r="BV468" s="37" t="n">
        <v>0</v>
      </c>
      <c r="BW468" s="37" t="n">
        <v>0</v>
      </c>
      <c r="BX468" s="37" t="n">
        <v>0</v>
      </c>
      <c r="BY468" s="37" t="n">
        <v>0</v>
      </c>
      <c r="BZ468" s="37" t="n">
        <v>0</v>
      </c>
      <c r="CA468" s="37" t="n">
        <v>0</v>
      </c>
      <c r="CB468" s="37" t="n">
        <v>0</v>
      </c>
      <c r="CC468" s="37" t="n">
        <v>6</v>
      </c>
    </row>
    <row r="469" ht="15.75" customHeight="1" s="57">
      <c r="A469" s="7" t="inlineStr">
        <is>
          <t>NTB</t>
        </is>
      </c>
      <c r="B469" s="7" t="inlineStr">
        <is>
          <t>Đắk Nông</t>
        </is>
      </c>
      <c r="C469" s="7" t="n">
        <v>20590000</v>
      </c>
      <c r="D469" s="7" t="inlineStr">
        <is>
          <t>(DNO) Tuy Đức</t>
        </is>
      </c>
      <c r="E469" s="7" t="inlineStr">
        <is>
          <t>TTS</t>
        </is>
      </c>
      <c r="F469" s="36" t="n">
        <v>0</v>
      </c>
      <c r="G469" s="36" t="n">
        <v>1</v>
      </c>
      <c r="H469" s="36" t="n">
        <v>5</v>
      </c>
      <c r="I469" s="36" t="n">
        <v>6</v>
      </c>
      <c r="J469" s="36" t="n">
        <v>2</v>
      </c>
      <c r="K469" s="28" t="n">
        <v>7</v>
      </c>
      <c r="L469" s="36" t="n">
        <v>7</v>
      </c>
      <c r="M469" s="36" t="n">
        <v>1</v>
      </c>
      <c r="N469" s="36" t="n">
        <v>9</v>
      </c>
      <c r="O469" s="36" t="n">
        <v>4</v>
      </c>
      <c r="P469" s="36" t="n">
        <v>2</v>
      </c>
      <c r="Q469" s="36" t="n">
        <v>5</v>
      </c>
      <c r="R469" s="28" t="n">
        <v>6</v>
      </c>
      <c r="S469" s="36" t="n">
        <v>3</v>
      </c>
      <c r="T469" s="36" t="n">
        <v>1</v>
      </c>
      <c r="U469" s="36" t="n">
        <v>6.14</v>
      </c>
      <c r="V469" s="36" t="n">
        <v>5.9</v>
      </c>
      <c r="W469" s="36" t="n">
        <v>5.73</v>
      </c>
      <c r="X469" s="36" t="n">
        <v>4.81</v>
      </c>
      <c r="Y469" s="28" t="n">
        <v>6.94</v>
      </c>
      <c r="Z469" s="36" t="n">
        <v>5.84</v>
      </c>
      <c r="AA469" s="36" t="n">
        <v>6.44</v>
      </c>
      <c r="AB469" s="36" t="n">
        <v>6.96</v>
      </c>
      <c r="AC469" s="36" t="n">
        <v>7.35</v>
      </c>
      <c r="AD469" s="36" t="n">
        <v>9.15</v>
      </c>
      <c r="AE469" s="36" t="n">
        <v>5.38</v>
      </c>
      <c r="AF469" s="28" t="n">
        <v>7.15</v>
      </c>
      <c r="AG469" s="36" t="n">
        <v>5.9</v>
      </c>
      <c r="AH469" s="37" t="n">
        <v>5.76</v>
      </c>
      <c r="AI469" s="37" t="n">
        <v>6.74</v>
      </c>
      <c r="AJ469" s="37" t="n">
        <v>6.99</v>
      </c>
      <c r="AK469" s="37" t="n">
        <v>6.77</v>
      </c>
      <c r="AL469" s="37" t="n">
        <v>5.16</v>
      </c>
      <c r="AM469" s="37" t="n">
        <v>6.96</v>
      </c>
      <c r="AN469" s="37" t="n">
        <v>6.09</v>
      </c>
      <c r="AO469" s="37" t="n">
        <v>6.03</v>
      </c>
      <c r="AP469" s="37" t="n">
        <v>5.79</v>
      </c>
      <c r="AQ469" s="37" t="n">
        <v>5.84</v>
      </c>
      <c r="AR469" s="37" t="n">
        <v>5.68</v>
      </c>
      <c r="AS469" s="37" t="n">
        <v>4.81</v>
      </c>
      <c r="AT469" s="37" t="n">
        <v>7.78</v>
      </c>
      <c r="AU469" s="37" t="n">
        <v>6.74</v>
      </c>
      <c r="AV469" s="37" t="n">
        <v>6.14</v>
      </c>
      <c r="AW469" s="37" t="n">
        <v>5.65</v>
      </c>
      <c r="AX469" s="37" t="n">
        <v>5.68</v>
      </c>
      <c r="AY469" s="37" t="n">
        <v>5.65</v>
      </c>
      <c r="AZ469" s="37" t="n">
        <v>4.83</v>
      </c>
      <c r="BA469" s="37" t="n">
        <v>6.91</v>
      </c>
      <c r="BB469" s="37" t="n">
        <v>6.53</v>
      </c>
      <c r="BC469" s="37" t="n">
        <v>3.28</v>
      </c>
      <c r="BD469" s="37" t="n">
        <v>4.64</v>
      </c>
      <c r="BE469" s="37" t="n">
        <v>10.73</v>
      </c>
      <c r="BF469" s="37" t="n">
        <v>10.46</v>
      </c>
      <c r="BG469" s="37" t="n">
        <v>5.16</v>
      </c>
      <c r="BH469" s="37" t="n">
        <v>7.78</v>
      </c>
      <c r="BI469" s="37" t="n">
        <v>6.53</v>
      </c>
      <c r="BJ469" s="37" t="n">
        <v>7.24</v>
      </c>
      <c r="BK469" s="37" t="n">
        <v>6.55</v>
      </c>
      <c r="BL469" s="37" t="n">
        <v>6.58</v>
      </c>
      <c r="BM469" s="37" t="n">
        <v>6.36</v>
      </c>
      <c r="BN469" s="37" t="n">
        <v>5.16</v>
      </c>
      <c r="BO469" s="37" t="n">
        <v>7.78</v>
      </c>
      <c r="BP469" s="37" t="n">
        <v>6.53</v>
      </c>
      <c r="BQ469" s="37" t="n">
        <v>6.39</v>
      </c>
      <c r="BR469" s="37" t="n">
        <v>6.55</v>
      </c>
      <c r="BS469" s="37" t="n">
        <v>6.58</v>
      </c>
      <c r="BT469" s="37" t="n">
        <v>6.36</v>
      </c>
      <c r="BU469" s="37" t="n">
        <v>5.16</v>
      </c>
      <c r="BV469" s="37" t="n">
        <v>7.78</v>
      </c>
      <c r="BW469" s="37" t="n">
        <v>6.53</v>
      </c>
      <c r="BX469" s="37" t="n">
        <v>6.39</v>
      </c>
      <c r="BY469" s="37" t="n">
        <v>6.55</v>
      </c>
      <c r="BZ469" s="37" t="n">
        <v>6.58</v>
      </c>
      <c r="CA469" s="37" t="n">
        <v>6.36</v>
      </c>
      <c r="CB469" s="37" t="n">
        <v>5.16</v>
      </c>
      <c r="CC469" s="37" t="n">
        <v>442.39</v>
      </c>
    </row>
    <row r="470" ht="15.75" customHeight="1" s="57">
      <c r="A470" s="7" t="inlineStr">
        <is>
          <t>NTB</t>
        </is>
      </c>
      <c r="B470" s="7" t="inlineStr">
        <is>
          <t>Đắk Nông</t>
        </is>
      </c>
      <c r="C470" s="7" t="n">
        <v>20591000</v>
      </c>
      <c r="D470" s="7" t="inlineStr">
        <is>
          <t>(DNO) Krông Nô</t>
        </is>
      </c>
      <c r="E470" s="7" t="inlineStr">
        <is>
          <t>SME</t>
        </is>
      </c>
      <c r="F470" s="36" t="n">
        <v>123</v>
      </c>
      <c r="G470" s="36" t="n">
        <v>96</v>
      </c>
      <c r="H470" s="36" t="n">
        <v>99</v>
      </c>
      <c r="I470" s="36" t="n">
        <v>66</v>
      </c>
      <c r="J470" s="36" t="n">
        <v>78</v>
      </c>
      <c r="K470" s="28" t="n">
        <v>53</v>
      </c>
      <c r="L470" s="36" t="n">
        <v>47</v>
      </c>
      <c r="M470" s="36" t="n">
        <v>54</v>
      </c>
      <c r="N470" s="36" t="n">
        <v>83</v>
      </c>
      <c r="O470" s="36" t="n">
        <v>55</v>
      </c>
      <c r="P470" s="36" t="n">
        <v>65</v>
      </c>
      <c r="Q470" s="36" t="n">
        <v>61</v>
      </c>
      <c r="R470" s="28" t="n">
        <v>90</v>
      </c>
      <c r="S470" s="36" t="n">
        <v>98</v>
      </c>
      <c r="T470" s="36" t="n">
        <v>92</v>
      </c>
      <c r="U470" s="36" t="n">
        <v>248.97</v>
      </c>
      <c r="V470" s="36" t="n">
        <v>257.79</v>
      </c>
      <c r="W470" s="36" t="n">
        <v>250.85</v>
      </c>
      <c r="X470" s="36" t="n">
        <v>205.18</v>
      </c>
      <c r="Y470" s="28" t="n">
        <v>277.94</v>
      </c>
      <c r="Z470" s="36" t="n">
        <v>256.25</v>
      </c>
      <c r="AA470" s="36" t="n">
        <v>249.54</v>
      </c>
      <c r="AB470" s="36" t="n">
        <v>248.97</v>
      </c>
      <c r="AC470" s="36" t="n">
        <v>257.79</v>
      </c>
      <c r="AD470" s="36" t="n">
        <v>262.82</v>
      </c>
      <c r="AE470" s="36" t="n">
        <v>205.18</v>
      </c>
      <c r="AF470" s="28" t="n">
        <v>277.94</v>
      </c>
      <c r="AG470" s="36" t="n">
        <v>256.25</v>
      </c>
      <c r="AH470" s="37" t="n">
        <v>249.54</v>
      </c>
      <c r="AI470" s="37" t="n">
        <v>248.97</v>
      </c>
      <c r="AJ470" s="37" t="n">
        <v>257.79</v>
      </c>
      <c r="AK470" s="37" t="n">
        <v>250.85</v>
      </c>
      <c r="AL470" s="37" t="n">
        <v>205.18</v>
      </c>
      <c r="AM470" s="37" t="n">
        <v>277.94</v>
      </c>
      <c r="AN470" s="37" t="n">
        <v>256.25</v>
      </c>
      <c r="AO470" s="37" t="n">
        <v>249.54</v>
      </c>
      <c r="AP470" s="37" t="n">
        <v>248.97</v>
      </c>
      <c r="AQ470" s="37" t="n">
        <v>257.79</v>
      </c>
      <c r="AR470" s="37" t="n">
        <v>250.85</v>
      </c>
      <c r="AS470" s="37" t="n">
        <v>205.18</v>
      </c>
      <c r="AT470" s="37" t="n">
        <v>277.94</v>
      </c>
      <c r="AU470" s="37" t="n">
        <v>256.25</v>
      </c>
      <c r="AV470" s="37" t="n">
        <v>249.54</v>
      </c>
      <c r="AW470" s="37" t="n">
        <v>248.97</v>
      </c>
      <c r="AX470" s="37" t="n">
        <v>257.79</v>
      </c>
      <c r="AY470" s="37" t="n">
        <v>250.85</v>
      </c>
      <c r="AZ470" s="37" t="n">
        <v>205.18</v>
      </c>
      <c r="BA470" s="37" t="n">
        <v>263.69</v>
      </c>
      <c r="BB470" s="37" t="n">
        <v>235.14</v>
      </c>
      <c r="BC470" s="37" t="n">
        <v>144.91</v>
      </c>
      <c r="BD470" s="37" t="n">
        <v>113.68</v>
      </c>
      <c r="BE470" s="37" t="n">
        <v>242.26</v>
      </c>
      <c r="BF470" s="37" t="n">
        <v>235.83</v>
      </c>
      <c r="BG470" s="37" t="n">
        <v>212.31</v>
      </c>
      <c r="BH470" s="37" t="n">
        <v>287.06</v>
      </c>
      <c r="BI470" s="37" t="n">
        <v>264.37</v>
      </c>
      <c r="BJ470" s="37" t="n">
        <v>270.41</v>
      </c>
      <c r="BK470" s="37" t="n">
        <v>256.87</v>
      </c>
      <c r="BL470" s="37" t="n">
        <v>266.21</v>
      </c>
      <c r="BM470" s="37" t="n">
        <v>258.82</v>
      </c>
      <c r="BN470" s="37" t="n">
        <v>212.31</v>
      </c>
      <c r="BO470" s="37" t="n">
        <v>287.06</v>
      </c>
      <c r="BP470" s="37" t="n">
        <v>264.37</v>
      </c>
      <c r="BQ470" s="37" t="n">
        <v>257.44</v>
      </c>
      <c r="BR470" s="37" t="n">
        <v>256.87</v>
      </c>
      <c r="BS470" s="37" t="n">
        <v>266.21</v>
      </c>
      <c r="BT470" s="37" t="n">
        <v>258.82</v>
      </c>
      <c r="BU470" s="37" t="n">
        <v>212.31</v>
      </c>
      <c r="BV470" s="37" t="n">
        <v>287.06</v>
      </c>
      <c r="BW470" s="37" t="n">
        <v>264.37</v>
      </c>
      <c r="BX470" s="37" t="n">
        <v>257.44</v>
      </c>
      <c r="BY470" s="37" t="n">
        <v>256.87</v>
      </c>
      <c r="BZ470" s="37" t="n">
        <v>266.21</v>
      </c>
      <c r="CA470" s="37" t="n">
        <v>258.82</v>
      </c>
      <c r="CB470" s="37" t="n">
        <v>212.31</v>
      </c>
      <c r="CC470" s="37" t="n">
        <v>15990.87</v>
      </c>
    </row>
    <row r="471" ht="15.75" customHeight="1" s="57">
      <c r="A471" s="7" t="inlineStr">
        <is>
          <t>NTB</t>
        </is>
      </c>
      <c r="B471" s="7" t="inlineStr">
        <is>
          <t>Đắk Nông</t>
        </is>
      </c>
      <c r="C471" s="7" t="n">
        <v>20591000</v>
      </c>
      <c r="D471" s="7" t="inlineStr">
        <is>
          <t>(DNO) Krông Nô</t>
        </is>
      </c>
      <c r="E471" s="7" t="inlineStr">
        <is>
          <t>SME-Bulky</t>
        </is>
      </c>
      <c r="F471" s="36" t="n">
        <v>0</v>
      </c>
      <c r="G471" s="36" t="n">
        <v>1</v>
      </c>
      <c r="H471" s="36" t="n">
        <v>3</v>
      </c>
      <c r="I471" s="36" t="n">
        <v>3</v>
      </c>
      <c r="J471" s="36" t="n">
        <v>1</v>
      </c>
      <c r="K471" s="28" t="n">
        <v>2</v>
      </c>
      <c r="L471" s="36" t="n">
        <v>0</v>
      </c>
      <c r="M471" s="36" t="n">
        <v>1</v>
      </c>
      <c r="N471" s="36" t="n">
        <v>3</v>
      </c>
      <c r="O471" s="36" t="n">
        <v>3</v>
      </c>
      <c r="P471" s="36" t="n">
        <v>3</v>
      </c>
      <c r="Q471" s="36" t="n">
        <v>3</v>
      </c>
      <c r="R471" s="28" t="n">
        <v>0</v>
      </c>
      <c r="S471" s="36" t="n">
        <v>1</v>
      </c>
      <c r="T471" s="36" t="n">
        <v>3</v>
      </c>
      <c r="U471" s="36" t="n">
        <v>0.91</v>
      </c>
      <c r="V471" s="36" t="n">
        <v>0.91</v>
      </c>
      <c r="W471" s="36" t="n">
        <v>0.91</v>
      </c>
      <c r="X471" s="36" t="n">
        <v>0.4</v>
      </c>
      <c r="Y471" s="28" t="n">
        <v>1.23</v>
      </c>
      <c r="Z471" s="36" t="n">
        <v>0.99</v>
      </c>
      <c r="AA471" s="36" t="n">
        <v>0.99</v>
      </c>
      <c r="AB471" s="36" t="n">
        <v>0.91</v>
      </c>
      <c r="AC471" s="36" t="n">
        <v>0.91</v>
      </c>
      <c r="AD471" s="36" t="n">
        <v>2.5</v>
      </c>
      <c r="AE471" s="36" t="n">
        <v>0.4</v>
      </c>
      <c r="AF471" s="28" t="n">
        <v>1.23</v>
      </c>
      <c r="AG471" s="36" t="n">
        <v>0.99</v>
      </c>
      <c r="AH471" s="37" t="n">
        <v>0.99</v>
      </c>
      <c r="AI471" s="37" t="n">
        <v>0.91</v>
      </c>
      <c r="AJ471" s="37" t="n">
        <v>0.91</v>
      </c>
      <c r="AK471" s="37" t="n">
        <v>0.91</v>
      </c>
      <c r="AL471" s="37" t="n">
        <v>0.4</v>
      </c>
      <c r="AM471" s="37" t="n">
        <v>1.23</v>
      </c>
      <c r="AN471" s="37" t="n">
        <v>0.99</v>
      </c>
      <c r="AO471" s="37" t="n">
        <v>0.99</v>
      </c>
      <c r="AP471" s="37" t="n">
        <v>0.91</v>
      </c>
      <c r="AQ471" s="37" t="n">
        <v>0.91</v>
      </c>
      <c r="AR471" s="37" t="n">
        <v>0.91</v>
      </c>
      <c r="AS471" s="37" t="n">
        <v>0.4</v>
      </c>
      <c r="AT471" s="37" t="n">
        <v>1.23</v>
      </c>
      <c r="AU471" s="37" t="n">
        <v>0.99</v>
      </c>
      <c r="AV471" s="37" t="n">
        <v>0.99</v>
      </c>
      <c r="AW471" s="37" t="n">
        <v>0.91</v>
      </c>
      <c r="AX471" s="37" t="n">
        <v>0.91</v>
      </c>
      <c r="AY471" s="37" t="n">
        <v>0.91</v>
      </c>
      <c r="AZ471" s="37" t="n">
        <v>0.4</v>
      </c>
      <c r="BA471" s="37" t="n">
        <v>1.35</v>
      </c>
      <c r="BB471" s="37" t="n">
        <v>0.5600000000000001</v>
      </c>
      <c r="BC471" s="37" t="n">
        <v>0.16</v>
      </c>
      <c r="BD471" s="37" t="n">
        <v>0.12</v>
      </c>
      <c r="BE471" s="37" t="n">
        <v>0.52</v>
      </c>
      <c r="BF471" s="37" t="n">
        <v>0.44</v>
      </c>
      <c r="BG471" s="37" t="n">
        <v>0.2</v>
      </c>
      <c r="BH471" s="37" t="n">
        <v>0.67</v>
      </c>
      <c r="BI471" s="37" t="n">
        <v>0.5600000000000001</v>
      </c>
      <c r="BJ471" s="37" t="n">
        <v>1.35</v>
      </c>
      <c r="BK471" s="37" t="n">
        <v>0.52</v>
      </c>
      <c r="BL471" s="37" t="n">
        <v>0.52</v>
      </c>
      <c r="BM471" s="37" t="n">
        <v>0.52</v>
      </c>
      <c r="BN471" s="37" t="n">
        <v>0.2</v>
      </c>
      <c r="BO471" s="37" t="n">
        <v>0.67</v>
      </c>
      <c r="BP471" s="37" t="n">
        <v>0.5600000000000001</v>
      </c>
      <c r="BQ471" s="37" t="n">
        <v>0.5600000000000001</v>
      </c>
      <c r="BR471" s="37" t="n">
        <v>0.52</v>
      </c>
      <c r="BS471" s="37" t="n">
        <v>0.52</v>
      </c>
      <c r="BT471" s="37" t="n">
        <v>0.52</v>
      </c>
      <c r="BU471" s="37" t="n">
        <v>0.2</v>
      </c>
      <c r="BV471" s="37" t="n">
        <v>0.67</v>
      </c>
      <c r="BW471" s="37" t="n">
        <v>0.5600000000000001</v>
      </c>
      <c r="BX471" s="37" t="n">
        <v>0.5600000000000001</v>
      </c>
      <c r="BY471" s="37" t="n">
        <v>0.52</v>
      </c>
      <c r="BZ471" s="37" t="n">
        <v>0.52</v>
      </c>
      <c r="CA471" s="37" t="n">
        <v>0.52</v>
      </c>
      <c r="CB471" s="37" t="n">
        <v>0.2</v>
      </c>
      <c r="CC471" s="37" t="n">
        <v>71.86999999999996</v>
      </c>
    </row>
    <row r="472" ht="15.75" customHeight="1" s="57">
      <c r="A472" s="7" t="inlineStr">
        <is>
          <t>NTB</t>
        </is>
      </c>
      <c r="B472" s="7" t="inlineStr">
        <is>
          <t>Đắk Nông</t>
        </is>
      </c>
      <c r="C472" s="7" t="n">
        <v>20591000</v>
      </c>
      <c r="D472" s="7" t="inlineStr">
        <is>
          <t>(DNO) Krông Nô</t>
        </is>
      </c>
      <c r="E472" s="7" t="inlineStr">
        <is>
          <t>Shopee</t>
        </is>
      </c>
      <c r="F472" s="36" t="n">
        <v>4</v>
      </c>
      <c r="G472" s="36" t="n">
        <v>8</v>
      </c>
      <c r="H472" s="36" t="n">
        <v>5</v>
      </c>
      <c r="I472" s="36" t="n">
        <v>9</v>
      </c>
      <c r="J472" s="36" t="n">
        <v>4</v>
      </c>
      <c r="K472" s="28" t="n">
        <v>3</v>
      </c>
      <c r="L472" s="36" t="n">
        <v>2</v>
      </c>
      <c r="M472" s="36" t="n">
        <v>2</v>
      </c>
      <c r="N472" s="36" t="n">
        <v>5</v>
      </c>
      <c r="O472" s="36" t="n">
        <v>7</v>
      </c>
      <c r="P472" s="36" t="n">
        <v>1</v>
      </c>
      <c r="Q472" s="36" t="n">
        <v>1</v>
      </c>
      <c r="R472" s="28" t="n">
        <v>3</v>
      </c>
      <c r="S472" s="36" t="n">
        <v>5</v>
      </c>
      <c r="T472" s="36" t="n">
        <v>3</v>
      </c>
      <c r="U472" s="36" t="n">
        <v>3.99</v>
      </c>
      <c r="V472" s="36" t="n">
        <v>3.99</v>
      </c>
      <c r="W472" s="36" t="n">
        <v>3.71</v>
      </c>
      <c r="X472" s="36" t="n">
        <v>3.27</v>
      </c>
      <c r="Y472" s="28" t="n">
        <v>5.29</v>
      </c>
      <c r="Z472" s="36" t="n">
        <v>4.35</v>
      </c>
      <c r="AA472" s="36" t="n">
        <v>5.12</v>
      </c>
      <c r="AB472" s="36" t="n">
        <v>4.04</v>
      </c>
      <c r="AC472" s="36" t="n">
        <v>3.27</v>
      </c>
      <c r="AD472" s="36" t="n">
        <v>6.31</v>
      </c>
      <c r="AE472" s="36" t="n">
        <v>3.49</v>
      </c>
      <c r="AF472" s="28" t="n">
        <v>5.76</v>
      </c>
      <c r="AG472" s="36" t="n">
        <v>4.6</v>
      </c>
      <c r="AH472" s="37" t="n">
        <v>4.76</v>
      </c>
      <c r="AI472" s="37" t="n">
        <v>3.99</v>
      </c>
      <c r="AJ472" s="37" t="n">
        <v>3.99</v>
      </c>
      <c r="AK472" s="37" t="n">
        <v>4.32</v>
      </c>
      <c r="AL472" s="37" t="n">
        <v>5.76</v>
      </c>
      <c r="AM472" s="37" t="n">
        <v>5.29</v>
      </c>
      <c r="AN472" s="37" t="n">
        <v>4.35</v>
      </c>
      <c r="AO472" s="37" t="n">
        <v>4.76</v>
      </c>
      <c r="AP472" s="37" t="n">
        <v>4.43</v>
      </c>
      <c r="AQ472" s="37" t="n">
        <v>3.27</v>
      </c>
      <c r="AR472" s="37" t="n">
        <v>3.71</v>
      </c>
      <c r="AS472" s="37" t="n">
        <v>3.27</v>
      </c>
      <c r="AT472" s="37" t="n">
        <v>5.29</v>
      </c>
      <c r="AU472" s="37" t="n">
        <v>4.71</v>
      </c>
      <c r="AV472" s="37" t="n">
        <v>4.79</v>
      </c>
      <c r="AW472" s="37" t="n">
        <v>3.99</v>
      </c>
      <c r="AX472" s="37" t="n">
        <v>3.99</v>
      </c>
      <c r="AY472" s="37" t="n">
        <v>3.71</v>
      </c>
      <c r="AZ472" s="37" t="n">
        <v>3.27</v>
      </c>
      <c r="BA472" s="37" t="n">
        <v>4.65</v>
      </c>
      <c r="BB472" s="37" t="n">
        <v>3.21</v>
      </c>
      <c r="BC472" s="37" t="n">
        <v>1.52</v>
      </c>
      <c r="BD472" s="37" t="n">
        <v>2.35</v>
      </c>
      <c r="BE472" s="37" t="n">
        <v>4.96</v>
      </c>
      <c r="BF472" s="37" t="n">
        <v>4.71</v>
      </c>
      <c r="BG472" s="37" t="n">
        <v>3.32</v>
      </c>
      <c r="BH472" s="37" t="n">
        <v>5.2</v>
      </c>
      <c r="BI472" s="37" t="n">
        <v>3.4</v>
      </c>
      <c r="BJ472" s="37" t="n">
        <v>9.130000000000001</v>
      </c>
      <c r="BK472" s="37" t="n">
        <v>4.29</v>
      </c>
      <c r="BL472" s="37" t="n">
        <v>4.18</v>
      </c>
      <c r="BM472" s="37" t="n">
        <v>3.65</v>
      </c>
      <c r="BN472" s="37" t="n">
        <v>3.21</v>
      </c>
      <c r="BO472" s="37" t="n">
        <v>5.2</v>
      </c>
      <c r="BP472" s="37" t="n">
        <v>4.62</v>
      </c>
      <c r="BQ472" s="37" t="n">
        <v>7.06</v>
      </c>
      <c r="BR472" s="37" t="n">
        <v>3.93</v>
      </c>
      <c r="BS472" s="37" t="n">
        <v>3.93</v>
      </c>
      <c r="BT472" s="37" t="n">
        <v>3.65</v>
      </c>
      <c r="BU472" s="37" t="n">
        <v>3.52</v>
      </c>
      <c r="BV472" s="37" t="n">
        <v>4.32</v>
      </c>
      <c r="BW472" s="37" t="n">
        <v>4.29</v>
      </c>
      <c r="BX472" s="37" t="n">
        <v>4.68</v>
      </c>
      <c r="BY472" s="37" t="n">
        <v>3.93</v>
      </c>
      <c r="BZ472" s="37" t="n">
        <v>4.37</v>
      </c>
      <c r="CA472" s="37" t="n">
        <v>3.88</v>
      </c>
      <c r="CB472" s="37" t="n">
        <v>3.21</v>
      </c>
      <c r="CC472" s="37" t="n">
        <v>319.21</v>
      </c>
    </row>
    <row r="473" ht="15.75" customHeight="1" s="57">
      <c r="A473" s="7" t="inlineStr">
        <is>
          <t>NTB</t>
        </is>
      </c>
      <c r="B473" s="7" t="inlineStr">
        <is>
          <t>Đắk Nông</t>
        </is>
      </c>
      <c r="C473" s="7" t="n">
        <v>20591000</v>
      </c>
      <c r="D473" s="7" t="inlineStr">
        <is>
          <t>(DNO) Krông Nô</t>
        </is>
      </c>
      <c r="E473" s="7" t="inlineStr">
        <is>
          <t>Shopee-Bulky</t>
        </is>
      </c>
      <c r="F473" s="36" t="n">
        <v>0.64</v>
      </c>
      <c r="G473" s="36" t="n">
        <v>0</v>
      </c>
      <c r="H473" s="36" t="n">
        <v>0.64</v>
      </c>
      <c r="I473" s="36" t="n">
        <v>0</v>
      </c>
      <c r="J473" s="36" t="n">
        <v>0</v>
      </c>
      <c r="K473" s="28" t="n">
        <v>0</v>
      </c>
      <c r="L473" s="36" t="n">
        <v>0</v>
      </c>
      <c r="M473" s="36" t="n">
        <v>0.64</v>
      </c>
      <c r="N473" s="36" t="n">
        <v>0</v>
      </c>
      <c r="O473" s="36" t="n">
        <v>0.64</v>
      </c>
      <c r="P473" s="36" t="n">
        <v>0</v>
      </c>
      <c r="Q473" s="36" t="n">
        <v>0.64</v>
      </c>
      <c r="R473" s="28" t="n">
        <v>0</v>
      </c>
      <c r="S473" s="36" t="n">
        <v>0</v>
      </c>
      <c r="T473" s="36" t="n">
        <v>1.28</v>
      </c>
      <c r="U473" s="36" t="n">
        <v>0.32</v>
      </c>
      <c r="V473" s="36" t="n">
        <v>0.24</v>
      </c>
      <c r="W473" s="36" t="n">
        <v>0.36</v>
      </c>
      <c r="X473" s="36" t="n">
        <v>0.16</v>
      </c>
      <c r="Y473" s="28" t="n">
        <v>0.32</v>
      </c>
      <c r="Z473" s="36" t="n">
        <v>0.32</v>
      </c>
      <c r="AA473" s="36" t="n">
        <v>0.36</v>
      </c>
      <c r="AB473" s="36" t="n">
        <v>0.32</v>
      </c>
      <c r="AC473" s="36" t="n">
        <v>0.36</v>
      </c>
      <c r="AD473" s="36" t="n">
        <v>0.71</v>
      </c>
      <c r="AE473" s="36" t="n">
        <v>0.79</v>
      </c>
      <c r="AF473" s="28" t="n">
        <v>0.63</v>
      </c>
      <c r="AG473" s="36" t="n">
        <v>0.47</v>
      </c>
      <c r="AH473" s="37" t="n">
        <v>0.32</v>
      </c>
      <c r="AI473" s="37" t="n">
        <v>0.32</v>
      </c>
      <c r="AJ473" s="37" t="n">
        <v>0.24</v>
      </c>
      <c r="AK473" s="37" t="n">
        <v>0.47</v>
      </c>
      <c r="AL473" s="37" t="n">
        <v>0.47</v>
      </c>
      <c r="AM473" s="37" t="n">
        <v>0.47</v>
      </c>
      <c r="AN473" s="37" t="n">
        <v>0.32</v>
      </c>
      <c r="AO473" s="37" t="n">
        <v>0.32</v>
      </c>
      <c r="AP473" s="37" t="n">
        <v>0.4</v>
      </c>
      <c r="AQ473" s="37" t="n">
        <v>0.47</v>
      </c>
      <c r="AR473" s="37" t="n">
        <v>0.36</v>
      </c>
      <c r="AS473" s="37" t="n">
        <v>0.16</v>
      </c>
      <c r="AT473" s="37" t="n">
        <v>0.32</v>
      </c>
      <c r="AU473" s="37" t="n">
        <v>0.43</v>
      </c>
      <c r="AV473" s="37" t="n">
        <v>0.63</v>
      </c>
      <c r="AW473" s="37" t="n">
        <v>0.32</v>
      </c>
      <c r="AX473" s="37" t="n">
        <v>0.24</v>
      </c>
      <c r="AY473" s="37" t="n">
        <v>0.36</v>
      </c>
      <c r="AZ473" s="37" t="n">
        <v>0.16</v>
      </c>
      <c r="BA473" s="37" t="n">
        <v>0.32</v>
      </c>
      <c r="BB473" s="37" t="n">
        <v>0.24</v>
      </c>
      <c r="BC473" s="37" t="n">
        <v>0</v>
      </c>
      <c r="BD473" s="37" t="n">
        <v>0.08</v>
      </c>
      <c r="BE473" s="37" t="n">
        <v>0.32</v>
      </c>
      <c r="BF473" s="37" t="n">
        <v>0.36</v>
      </c>
      <c r="BG473" s="37" t="n">
        <v>0.24</v>
      </c>
      <c r="BH473" s="37" t="n">
        <v>0.32</v>
      </c>
      <c r="BI473" s="37" t="n">
        <v>0.32</v>
      </c>
      <c r="BJ473" s="37" t="n">
        <v>2.17</v>
      </c>
      <c r="BK473" s="37" t="n">
        <v>0.55</v>
      </c>
      <c r="BL473" s="37" t="n">
        <v>0.32</v>
      </c>
      <c r="BM473" s="37" t="n">
        <v>0.24</v>
      </c>
      <c r="BN473" s="37" t="n">
        <v>0.24</v>
      </c>
      <c r="BO473" s="37" t="n">
        <v>0.47</v>
      </c>
      <c r="BP473" s="37" t="n">
        <v>0.43</v>
      </c>
      <c r="BQ473" s="37" t="n">
        <v>0.43</v>
      </c>
      <c r="BR473" s="37" t="n">
        <v>0.47</v>
      </c>
      <c r="BS473" s="37" t="n">
        <v>0.36</v>
      </c>
      <c r="BT473" s="37" t="n">
        <v>0.36</v>
      </c>
      <c r="BU473" s="37" t="n">
        <v>0.47</v>
      </c>
      <c r="BV473" s="37" t="n">
        <v>0.47</v>
      </c>
      <c r="BW473" s="37" t="n">
        <v>0.32</v>
      </c>
      <c r="BX473" s="37" t="n">
        <v>0.47</v>
      </c>
      <c r="BY473" s="37" t="n">
        <v>0.47</v>
      </c>
      <c r="BZ473" s="37" t="n">
        <v>0.55</v>
      </c>
      <c r="CA473" s="37" t="n">
        <v>0.47</v>
      </c>
      <c r="CB473" s="37" t="n">
        <v>0.24</v>
      </c>
      <c r="CC473" s="37" t="n">
        <v>28.31999999999999</v>
      </c>
    </row>
    <row r="474" ht="15.75" customHeight="1" s="57">
      <c r="A474" s="7" t="inlineStr">
        <is>
          <t>NTB</t>
        </is>
      </c>
      <c r="B474" s="7" t="inlineStr">
        <is>
          <t>Đắk Nông</t>
        </is>
      </c>
      <c r="C474" s="7" t="n">
        <v>20591000</v>
      </c>
      <c r="D474" s="7" t="inlineStr">
        <is>
          <t>(DNO) Krông Nô</t>
        </is>
      </c>
      <c r="E474" s="7" t="inlineStr">
        <is>
          <t>Shopee-Bulky (10-15kg)</t>
        </is>
      </c>
      <c r="F474" s="36" t="n">
        <v>0.36</v>
      </c>
      <c r="G474" s="36" t="n">
        <v>0</v>
      </c>
      <c r="H474" s="36" t="n">
        <v>0.36</v>
      </c>
      <c r="I474" s="36" t="n">
        <v>0</v>
      </c>
      <c r="J474" s="36" t="n">
        <v>0</v>
      </c>
      <c r="K474" s="28" t="n">
        <v>0</v>
      </c>
      <c r="L474" s="36" t="n">
        <v>0</v>
      </c>
      <c r="M474" s="36" t="n">
        <v>0.36</v>
      </c>
      <c r="N474" s="36" t="n">
        <v>0</v>
      </c>
      <c r="O474" s="36" t="n">
        <v>0.36</v>
      </c>
      <c r="P474" s="36" t="n">
        <v>0</v>
      </c>
      <c r="Q474" s="36" t="n">
        <v>0.36</v>
      </c>
      <c r="R474" s="28" t="n">
        <v>0</v>
      </c>
      <c r="S474" s="36" t="n">
        <v>0</v>
      </c>
      <c r="T474" s="36" t="n">
        <v>0.72</v>
      </c>
      <c r="U474" s="36" t="n">
        <v>0.16</v>
      </c>
      <c r="V474" s="36" t="n">
        <v>0.16</v>
      </c>
      <c r="W474" s="36" t="n">
        <v>0.12</v>
      </c>
      <c r="X474" s="36" t="n">
        <v>0.08</v>
      </c>
      <c r="Y474" s="28" t="n">
        <v>0.16</v>
      </c>
      <c r="Z474" s="36" t="n">
        <v>0.16</v>
      </c>
      <c r="AA474" s="36" t="n">
        <v>0.2</v>
      </c>
      <c r="AB474" s="36" t="n">
        <v>0.16</v>
      </c>
      <c r="AC474" s="36" t="n">
        <v>0.24</v>
      </c>
      <c r="AD474" s="36" t="n">
        <v>0.28</v>
      </c>
      <c r="AE474" s="36" t="n">
        <v>0.4</v>
      </c>
      <c r="AF474" s="28" t="n">
        <v>0.36</v>
      </c>
      <c r="AG474" s="36" t="n">
        <v>0.16</v>
      </c>
      <c r="AH474" s="37" t="n">
        <v>0.16</v>
      </c>
      <c r="AI474" s="37" t="n">
        <v>0.16</v>
      </c>
      <c r="AJ474" s="37" t="n">
        <v>0.16</v>
      </c>
      <c r="AK474" s="37" t="n">
        <v>0.24</v>
      </c>
      <c r="AL474" s="37" t="n">
        <v>0.16</v>
      </c>
      <c r="AM474" s="37" t="n">
        <v>0.24</v>
      </c>
      <c r="AN474" s="37" t="n">
        <v>0.16</v>
      </c>
      <c r="AO474" s="37" t="n">
        <v>0.16</v>
      </c>
      <c r="AP474" s="37" t="n">
        <v>0.24</v>
      </c>
      <c r="AQ474" s="37" t="n">
        <v>0.24</v>
      </c>
      <c r="AR474" s="37" t="n">
        <v>0.12</v>
      </c>
      <c r="AS474" s="37" t="n">
        <v>0.08</v>
      </c>
      <c r="AT474" s="37" t="n">
        <v>0.16</v>
      </c>
      <c r="AU474" s="37" t="n">
        <v>0.28</v>
      </c>
      <c r="AV474" s="37" t="n">
        <v>0.32</v>
      </c>
      <c r="AW474" s="37" t="n">
        <v>0.16</v>
      </c>
      <c r="AX474" s="37" t="n">
        <v>0.16</v>
      </c>
      <c r="AY474" s="37" t="n">
        <v>0.12</v>
      </c>
      <c r="AZ474" s="37" t="n">
        <v>0.08</v>
      </c>
      <c r="BA474" s="37" t="n">
        <v>0.16</v>
      </c>
      <c r="BB474" s="37" t="n">
        <v>0.08</v>
      </c>
      <c r="BC474" s="37" t="n">
        <v>0</v>
      </c>
      <c r="BD474" s="37" t="n">
        <v>0</v>
      </c>
      <c r="BE474" s="37" t="n">
        <v>0.24</v>
      </c>
      <c r="BF474" s="37" t="n">
        <v>0.24</v>
      </c>
      <c r="BG474" s="37" t="n">
        <v>0.08</v>
      </c>
      <c r="BH474" s="37" t="n">
        <v>0.2</v>
      </c>
      <c r="BI474" s="37" t="n">
        <v>0.24</v>
      </c>
      <c r="BJ474" s="37" t="n">
        <v>0.87</v>
      </c>
      <c r="BK474" s="37" t="n">
        <v>0.32</v>
      </c>
      <c r="BL474" s="37" t="n">
        <v>0.2</v>
      </c>
      <c r="BM474" s="37" t="n">
        <v>0.08</v>
      </c>
      <c r="BN474" s="37" t="n">
        <v>0.12</v>
      </c>
      <c r="BO474" s="37" t="n">
        <v>0.24</v>
      </c>
      <c r="BP474" s="37" t="n">
        <v>0.32</v>
      </c>
      <c r="BQ474" s="37" t="n">
        <v>0.24</v>
      </c>
      <c r="BR474" s="37" t="n">
        <v>0.24</v>
      </c>
      <c r="BS474" s="37" t="n">
        <v>0.24</v>
      </c>
      <c r="BT474" s="37" t="n">
        <v>0.08</v>
      </c>
      <c r="BU474" s="37" t="n">
        <v>0.16</v>
      </c>
      <c r="BV474" s="37" t="n">
        <v>0.24</v>
      </c>
      <c r="BW474" s="37" t="n">
        <v>0.24</v>
      </c>
      <c r="BX474" s="37" t="n">
        <v>0.2</v>
      </c>
      <c r="BY474" s="37" t="n">
        <v>0.24</v>
      </c>
      <c r="BZ474" s="37" t="n">
        <v>0.32</v>
      </c>
      <c r="CA474" s="37" t="n">
        <v>0.16</v>
      </c>
      <c r="CB474" s="37" t="n">
        <v>0.08</v>
      </c>
      <c r="CC474" s="37" t="n">
        <v>14.39</v>
      </c>
    </row>
    <row r="475" ht="15.75" customHeight="1" s="57">
      <c r="A475" s="7" t="inlineStr">
        <is>
          <t>NTB</t>
        </is>
      </c>
      <c r="B475" s="7" t="inlineStr">
        <is>
          <t>Đắk Nông</t>
        </is>
      </c>
      <c r="C475" s="7" t="n">
        <v>20591000</v>
      </c>
      <c r="D475" s="7" t="inlineStr">
        <is>
          <t>(DNO) Krông Nô</t>
        </is>
      </c>
      <c r="E475" s="7" t="inlineStr">
        <is>
          <t>TTS</t>
        </is>
      </c>
      <c r="F475" s="36" t="n">
        <v>10</v>
      </c>
      <c r="G475" s="36" t="n">
        <v>9</v>
      </c>
      <c r="H475" s="36" t="n">
        <v>7</v>
      </c>
      <c r="I475" s="36" t="n">
        <v>6</v>
      </c>
      <c r="J475" s="36" t="n">
        <v>9</v>
      </c>
      <c r="K475" s="28" t="n">
        <v>6</v>
      </c>
      <c r="L475" s="36" t="n">
        <v>3</v>
      </c>
      <c r="M475" s="36" t="n">
        <v>4</v>
      </c>
      <c r="N475" s="36" t="n">
        <v>1</v>
      </c>
      <c r="O475" s="36" t="n">
        <v>4</v>
      </c>
      <c r="P475" s="36" t="n">
        <v>5</v>
      </c>
      <c r="Q475" s="36" t="n">
        <v>6</v>
      </c>
      <c r="R475" s="28" t="n">
        <v>4</v>
      </c>
      <c r="S475" s="36" t="n">
        <v>5</v>
      </c>
      <c r="T475" s="36" t="n">
        <v>5</v>
      </c>
      <c r="U475" s="36" t="n">
        <v>6.14</v>
      </c>
      <c r="V475" s="36" t="n">
        <v>5.9</v>
      </c>
      <c r="W475" s="36" t="n">
        <v>5.73</v>
      </c>
      <c r="X475" s="36" t="n">
        <v>4.81</v>
      </c>
      <c r="Y475" s="28" t="n">
        <v>6.970000000000001</v>
      </c>
      <c r="Z475" s="36" t="n">
        <v>5.84</v>
      </c>
      <c r="AA475" s="36" t="n">
        <v>6.44</v>
      </c>
      <c r="AB475" s="36" t="n">
        <v>6.96</v>
      </c>
      <c r="AC475" s="36" t="n">
        <v>7.35</v>
      </c>
      <c r="AD475" s="36" t="n">
        <v>9.210000000000001</v>
      </c>
      <c r="AE475" s="36" t="n">
        <v>5.38</v>
      </c>
      <c r="AF475" s="28" t="n">
        <v>7.180000000000001</v>
      </c>
      <c r="AG475" s="36" t="n">
        <v>5.9</v>
      </c>
      <c r="AH475" s="37" t="n">
        <v>5.76</v>
      </c>
      <c r="AI475" s="37" t="n">
        <v>6.74</v>
      </c>
      <c r="AJ475" s="37" t="n">
        <v>6.99</v>
      </c>
      <c r="AK475" s="37" t="n">
        <v>6.77</v>
      </c>
      <c r="AL475" s="37" t="n">
        <v>5.16</v>
      </c>
      <c r="AM475" s="37" t="n">
        <v>6.99</v>
      </c>
      <c r="AN475" s="37" t="n">
        <v>6.09</v>
      </c>
      <c r="AO475" s="37" t="n">
        <v>6.03</v>
      </c>
      <c r="AP475" s="37" t="n">
        <v>5.79</v>
      </c>
      <c r="AQ475" s="37" t="n">
        <v>5.84</v>
      </c>
      <c r="AR475" s="37" t="n">
        <v>5.68</v>
      </c>
      <c r="AS475" s="37" t="n">
        <v>4.81</v>
      </c>
      <c r="AT475" s="37" t="n">
        <v>7.81</v>
      </c>
      <c r="AU475" s="37" t="n">
        <v>6.74</v>
      </c>
      <c r="AV475" s="37" t="n">
        <v>6.14</v>
      </c>
      <c r="AW475" s="37" t="n">
        <v>5.65</v>
      </c>
      <c r="AX475" s="37" t="n">
        <v>5.68</v>
      </c>
      <c r="AY475" s="37" t="n">
        <v>5.65</v>
      </c>
      <c r="AZ475" s="37" t="n">
        <v>4.83</v>
      </c>
      <c r="BA475" s="37" t="n">
        <v>6.94</v>
      </c>
      <c r="BB475" s="37" t="n">
        <v>6.53</v>
      </c>
      <c r="BC475" s="37" t="n">
        <v>3.28</v>
      </c>
      <c r="BD475" s="37" t="n">
        <v>4.64</v>
      </c>
      <c r="BE475" s="37" t="n">
        <v>10.79</v>
      </c>
      <c r="BF475" s="37" t="n">
        <v>10.52</v>
      </c>
      <c r="BG475" s="37" t="n">
        <v>5.16</v>
      </c>
      <c r="BH475" s="37" t="n">
        <v>7.81</v>
      </c>
      <c r="BI475" s="37" t="n">
        <v>6.53</v>
      </c>
      <c r="BJ475" s="37" t="n">
        <v>7.3</v>
      </c>
      <c r="BK475" s="37" t="n">
        <v>6.55</v>
      </c>
      <c r="BL475" s="37" t="n">
        <v>6.58</v>
      </c>
      <c r="BM475" s="37" t="n">
        <v>6.36</v>
      </c>
      <c r="BN475" s="37" t="n">
        <v>5.16</v>
      </c>
      <c r="BO475" s="37" t="n">
        <v>7.81</v>
      </c>
      <c r="BP475" s="37" t="n">
        <v>6.53</v>
      </c>
      <c r="BQ475" s="37" t="n">
        <v>6.39</v>
      </c>
      <c r="BR475" s="37" t="n">
        <v>6.55</v>
      </c>
      <c r="BS475" s="37" t="n">
        <v>6.58</v>
      </c>
      <c r="BT475" s="37" t="n">
        <v>6.36</v>
      </c>
      <c r="BU475" s="37" t="n">
        <v>5.16</v>
      </c>
      <c r="BV475" s="37" t="n">
        <v>7.81</v>
      </c>
      <c r="BW475" s="37" t="n">
        <v>6.53</v>
      </c>
      <c r="BX475" s="37" t="n">
        <v>6.39</v>
      </c>
      <c r="BY475" s="37" t="n">
        <v>6.55</v>
      </c>
      <c r="BZ475" s="37" t="n">
        <v>6.58</v>
      </c>
      <c r="CA475" s="37" t="n">
        <v>6.36</v>
      </c>
      <c r="CB475" s="37" t="n">
        <v>5.16</v>
      </c>
      <c r="CC475" s="37" t="n">
        <v>467.87</v>
      </c>
    </row>
    <row r="476" ht="15.75" customHeight="1" s="57">
      <c r="A476" s="7" t="inlineStr">
        <is>
          <t>NTB</t>
        </is>
      </c>
      <c r="B476" s="7" t="inlineStr">
        <is>
          <t>Đắk Nông</t>
        </is>
      </c>
      <c r="C476" s="7" t="n">
        <v>20591000</v>
      </c>
      <c r="D476" s="7" t="inlineStr">
        <is>
          <t>(DNO) Krông Nô</t>
        </is>
      </c>
      <c r="E476" s="7" t="inlineStr">
        <is>
          <t>TTS-Bulky</t>
        </is>
      </c>
      <c r="F476" s="36" t="n">
        <v>1</v>
      </c>
      <c r="G476" s="36" t="n">
        <v>1</v>
      </c>
      <c r="H476" s="36" t="n">
        <v>0</v>
      </c>
      <c r="I476" s="36" t="n">
        <v>0</v>
      </c>
      <c r="J476" s="36" t="n">
        <v>0</v>
      </c>
      <c r="K476" s="28" t="n">
        <v>0</v>
      </c>
      <c r="L476" s="36" t="n">
        <v>0</v>
      </c>
      <c r="M476" s="36" t="n">
        <v>0</v>
      </c>
      <c r="N476" s="36" t="n">
        <v>0</v>
      </c>
      <c r="O476" s="36" t="n">
        <v>0</v>
      </c>
      <c r="P476" s="36" t="n">
        <v>0</v>
      </c>
      <c r="Q476" s="36" t="n">
        <v>0</v>
      </c>
      <c r="R476" s="28" t="n">
        <v>0</v>
      </c>
      <c r="S476" s="36" t="n">
        <v>0</v>
      </c>
      <c r="T476" s="36" t="n">
        <v>0</v>
      </c>
      <c r="U476" s="36" t="n">
        <v>0</v>
      </c>
      <c r="V476" s="36" t="n">
        <v>0</v>
      </c>
      <c r="W476" s="36" t="n">
        <v>0</v>
      </c>
      <c r="X476" s="36" t="n">
        <v>0</v>
      </c>
      <c r="Y476" s="28" t="n">
        <v>0</v>
      </c>
      <c r="Z476" s="36" t="n">
        <v>0</v>
      </c>
      <c r="AA476" s="36" t="n">
        <v>0</v>
      </c>
      <c r="AB476" s="36" t="n">
        <v>0</v>
      </c>
      <c r="AC476" s="36" t="n">
        <v>0</v>
      </c>
      <c r="AD476" s="36" t="n">
        <v>0</v>
      </c>
      <c r="AE476" s="36" t="n">
        <v>0</v>
      </c>
      <c r="AF476" s="28" t="n">
        <v>0</v>
      </c>
      <c r="AG476" s="36" t="n">
        <v>0</v>
      </c>
      <c r="AH476" s="37" t="n">
        <v>0</v>
      </c>
      <c r="AI476" s="37" t="n">
        <v>0</v>
      </c>
      <c r="AJ476" s="37" t="n">
        <v>0</v>
      </c>
      <c r="AK476" s="37" t="n">
        <v>0</v>
      </c>
      <c r="AL476" s="37" t="n">
        <v>0</v>
      </c>
      <c r="AM476" s="37" t="n">
        <v>0</v>
      </c>
      <c r="AN476" s="37" t="n">
        <v>0</v>
      </c>
      <c r="AO476" s="37" t="n">
        <v>0</v>
      </c>
      <c r="AP476" s="37" t="n">
        <v>0</v>
      </c>
      <c r="AQ476" s="37" t="n">
        <v>0</v>
      </c>
      <c r="AR476" s="37" t="n">
        <v>0</v>
      </c>
      <c r="AS476" s="37" t="n">
        <v>0</v>
      </c>
      <c r="AT476" s="37" t="n">
        <v>0</v>
      </c>
      <c r="AU476" s="37" t="n">
        <v>0</v>
      </c>
      <c r="AV476" s="37" t="n">
        <v>0</v>
      </c>
      <c r="AW476" s="37" t="n">
        <v>0</v>
      </c>
      <c r="AX476" s="37" t="n">
        <v>0</v>
      </c>
      <c r="AY476" s="37" t="n">
        <v>0</v>
      </c>
      <c r="AZ476" s="37" t="n">
        <v>0</v>
      </c>
      <c r="BA476" s="37" t="n">
        <v>0</v>
      </c>
      <c r="BB476" s="37" t="n">
        <v>0</v>
      </c>
      <c r="BC476" s="37" t="n">
        <v>0</v>
      </c>
      <c r="BD476" s="37" t="n">
        <v>0</v>
      </c>
      <c r="BE476" s="37" t="n">
        <v>0</v>
      </c>
      <c r="BF476" s="37" t="n">
        <v>0</v>
      </c>
      <c r="BG476" s="37" t="n">
        <v>0</v>
      </c>
      <c r="BH476" s="37" t="n">
        <v>0</v>
      </c>
      <c r="BI476" s="37" t="n">
        <v>0</v>
      </c>
      <c r="BJ476" s="37" t="n">
        <v>0</v>
      </c>
      <c r="BK476" s="37" t="n">
        <v>0</v>
      </c>
      <c r="BL476" s="37" t="n">
        <v>0</v>
      </c>
      <c r="BM476" s="37" t="n">
        <v>0</v>
      </c>
      <c r="BN476" s="37" t="n">
        <v>0</v>
      </c>
      <c r="BO476" s="37" t="n">
        <v>0</v>
      </c>
      <c r="BP476" s="37" t="n">
        <v>0</v>
      </c>
      <c r="BQ476" s="37" t="n">
        <v>0</v>
      </c>
      <c r="BR476" s="37" t="n">
        <v>0</v>
      </c>
      <c r="BS476" s="37" t="n">
        <v>0</v>
      </c>
      <c r="BT476" s="37" t="n">
        <v>0</v>
      </c>
      <c r="BU476" s="37" t="n">
        <v>0</v>
      </c>
      <c r="BV476" s="37" t="n">
        <v>0</v>
      </c>
      <c r="BW476" s="37" t="n">
        <v>0</v>
      </c>
      <c r="BX476" s="37" t="n">
        <v>0</v>
      </c>
      <c r="BY476" s="37" t="n">
        <v>0</v>
      </c>
      <c r="BZ476" s="37" t="n">
        <v>0</v>
      </c>
      <c r="CA476" s="37" t="n">
        <v>0</v>
      </c>
      <c r="CB476" s="37" t="n">
        <v>0</v>
      </c>
      <c r="CC476" s="37" t="n">
        <v>2</v>
      </c>
    </row>
    <row r="477" ht="15.75" customHeight="1" s="57">
      <c r="A477" s="7" t="inlineStr">
        <is>
          <t>NTB</t>
        </is>
      </c>
      <c r="B477" s="7" t="inlineStr">
        <is>
          <t>Đắk Nông</t>
        </is>
      </c>
      <c r="C477" s="7" t="n">
        <v>20673000</v>
      </c>
      <c r="D477" s="7" t="inlineStr">
        <is>
          <t>(DNO) Cư Jút</t>
        </is>
      </c>
      <c r="E477" s="7" t="inlineStr">
        <is>
          <t>SME</t>
        </is>
      </c>
      <c r="F477" s="36" t="n">
        <v>36</v>
      </c>
      <c r="G477" s="36" t="n">
        <v>35</v>
      </c>
      <c r="H477" s="36" t="n">
        <v>60</v>
      </c>
      <c r="I477" s="36" t="n">
        <v>34</v>
      </c>
      <c r="J477" s="36" t="n">
        <v>35</v>
      </c>
      <c r="K477" s="28" t="n">
        <v>59</v>
      </c>
      <c r="L477" s="36" t="n">
        <v>49</v>
      </c>
      <c r="M477" s="36" t="n">
        <v>29</v>
      </c>
      <c r="N477" s="36" t="n">
        <v>42</v>
      </c>
      <c r="O477" s="36" t="n">
        <v>40</v>
      </c>
      <c r="P477" s="36" t="n">
        <v>45</v>
      </c>
      <c r="Q477" s="36" t="n">
        <v>60</v>
      </c>
      <c r="R477" s="28" t="n">
        <v>40</v>
      </c>
      <c r="S477" s="36" t="n">
        <v>73</v>
      </c>
      <c r="T477" s="36" t="n">
        <v>59</v>
      </c>
      <c r="U477" s="36" t="n">
        <v>164.36</v>
      </c>
      <c r="V477" s="36" t="n">
        <v>170.03</v>
      </c>
      <c r="W477" s="36" t="n">
        <v>165.34</v>
      </c>
      <c r="X477" s="36" t="n">
        <v>135.03</v>
      </c>
      <c r="Y477" s="28" t="n">
        <v>183</v>
      </c>
      <c r="Z477" s="36" t="n">
        <v>169.05</v>
      </c>
      <c r="AA477" s="36" t="n">
        <v>164.04</v>
      </c>
      <c r="AB477" s="36" t="n">
        <v>164.36</v>
      </c>
      <c r="AC477" s="36" t="n">
        <v>170.03</v>
      </c>
      <c r="AD477" s="36" t="n">
        <v>175.34</v>
      </c>
      <c r="AE477" s="36" t="n">
        <v>135.03</v>
      </c>
      <c r="AF477" s="28" t="n">
        <v>183</v>
      </c>
      <c r="AG477" s="36" t="n">
        <v>169.05</v>
      </c>
      <c r="AH477" s="37" t="n">
        <v>164.04</v>
      </c>
      <c r="AI477" s="37" t="n">
        <v>164.36</v>
      </c>
      <c r="AJ477" s="37" t="n">
        <v>170.03</v>
      </c>
      <c r="AK477" s="37" t="n">
        <v>165.34</v>
      </c>
      <c r="AL477" s="37" t="n">
        <v>135.03</v>
      </c>
      <c r="AM477" s="37" t="n">
        <v>183</v>
      </c>
      <c r="AN477" s="37" t="n">
        <v>169.05</v>
      </c>
      <c r="AO477" s="37" t="n">
        <v>164.04</v>
      </c>
      <c r="AP477" s="37" t="n">
        <v>164.36</v>
      </c>
      <c r="AQ477" s="37" t="n">
        <v>170.03</v>
      </c>
      <c r="AR477" s="37" t="n">
        <v>165.34</v>
      </c>
      <c r="AS477" s="37" t="n">
        <v>135.03</v>
      </c>
      <c r="AT477" s="37" t="n">
        <v>183</v>
      </c>
      <c r="AU477" s="37" t="n">
        <v>169.05</v>
      </c>
      <c r="AV477" s="37" t="n">
        <v>164.04</v>
      </c>
      <c r="AW477" s="37" t="n">
        <v>164.36</v>
      </c>
      <c r="AX477" s="37" t="n">
        <v>170.03</v>
      </c>
      <c r="AY477" s="37" t="n">
        <v>165.34</v>
      </c>
      <c r="AZ477" s="37" t="n">
        <v>135.03</v>
      </c>
      <c r="BA477" s="37" t="n">
        <v>173.83</v>
      </c>
      <c r="BB477" s="37" t="n">
        <v>154.77</v>
      </c>
      <c r="BC477" s="37" t="n">
        <v>94.63</v>
      </c>
      <c r="BD477" s="37" t="n">
        <v>73.84999999999999</v>
      </c>
      <c r="BE477" s="37" t="n">
        <v>159.35</v>
      </c>
      <c r="BF477" s="37" t="n">
        <v>155.21</v>
      </c>
      <c r="BG477" s="37" t="n">
        <v>139.61</v>
      </c>
      <c r="BH477" s="37" t="n">
        <v>188.87</v>
      </c>
      <c r="BI477" s="37" t="n">
        <v>174.28</v>
      </c>
      <c r="BJ477" s="37" t="n">
        <v>180.22</v>
      </c>
      <c r="BK477" s="37" t="n">
        <v>169.44</v>
      </c>
      <c r="BL477" s="37" t="n">
        <v>175.46</v>
      </c>
      <c r="BM477" s="37" t="n">
        <v>170.47</v>
      </c>
      <c r="BN477" s="37" t="n">
        <v>139.61</v>
      </c>
      <c r="BO477" s="37" t="n">
        <v>188.87</v>
      </c>
      <c r="BP477" s="37" t="n">
        <v>174.28</v>
      </c>
      <c r="BQ477" s="37" t="n">
        <v>169.12</v>
      </c>
      <c r="BR477" s="37" t="n">
        <v>169.44</v>
      </c>
      <c r="BS477" s="37" t="n">
        <v>175.46</v>
      </c>
      <c r="BT477" s="37" t="n">
        <v>170.47</v>
      </c>
      <c r="BU477" s="37" t="n">
        <v>139.61</v>
      </c>
      <c r="BV477" s="37" t="n">
        <v>188.87</v>
      </c>
      <c r="BW477" s="37" t="n">
        <v>174.28</v>
      </c>
      <c r="BX477" s="37" t="n">
        <v>169.12</v>
      </c>
      <c r="BY477" s="37" t="n">
        <v>169.44</v>
      </c>
      <c r="BZ477" s="37" t="n">
        <v>175.46</v>
      </c>
      <c r="CA477" s="37" t="n">
        <v>170.47</v>
      </c>
      <c r="CB477" s="37" t="n">
        <v>139.61</v>
      </c>
      <c r="CC477" s="37" t="n">
        <v>10468.26</v>
      </c>
    </row>
    <row r="478" ht="15.75" customHeight="1" s="57">
      <c r="A478" s="7" t="inlineStr">
        <is>
          <t>NTB</t>
        </is>
      </c>
      <c r="B478" s="7" t="inlineStr">
        <is>
          <t>Đắk Nông</t>
        </is>
      </c>
      <c r="C478" s="7" t="n">
        <v>20673000</v>
      </c>
      <c r="D478" s="7" t="inlineStr">
        <is>
          <t>(DNO) Cư Jút</t>
        </is>
      </c>
      <c r="E478" s="7" t="inlineStr">
        <is>
          <t>SME-Bulky</t>
        </is>
      </c>
      <c r="F478" s="36" t="n">
        <v>15</v>
      </c>
      <c r="G478" s="36" t="n">
        <v>7</v>
      </c>
      <c r="H478" s="36" t="n">
        <v>20</v>
      </c>
      <c r="I478" s="36" t="n">
        <v>10</v>
      </c>
      <c r="J478" s="36" t="n">
        <v>6</v>
      </c>
      <c r="K478" s="28" t="n">
        <v>16</v>
      </c>
      <c r="L478" s="36" t="n">
        <v>11</v>
      </c>
      <c r="M478" s="36" t="n">
        <v>9</v>
      </c>
      <c r="N478" s="36" t="n">
        <v>16</v>
      </c>
      <c r="O478" s="36" t="n">
        <v>12</v>
      </c>
      <c r="P478" s="36" t="n">
        <v>11</v>
      </c>
      <c r="Q478" s="36" t="n">
        <v>17</v>
      </c>
      <c r="R478" s="28" t="n">
        <v>14</v>
      </c>
      <c r="S478" s="36" t="n">
        <v>11</v>
      </c>
      <c r="T478" s="36" t="n">
        <v>10</v>
      </c>
      <c r="U478" s="36" t="n">
        <v>5.88</v>
      </c>
      <c r="V478" s="36" t="n">
        <v>5.88</v>
      </c>
      <c r="W478" s="36" t="n">
        <v>5.88</v>
      </c>
      <c r="X478" s="36" t="n">
        <v>2.56</v>
      </c>
      <c r="Y478" s="28" t="n">
        <v>7.92</v>
      </c>
      <c r="Z478" s="36" t="n">
        <v>6.39</v>
      </c>
      <c r="AA478" s="36" t="n">
        <v>6.39</v>
      </c>
      <c r="AB478" s="36" t="n">
        <v>5.88</v>
      </c>
      <c r="AC478" s="36" t="n">
        <v>5.88</v>
      </c>
      <c r="AD478" s="36" t="n">
        <v>16.1</v>
      </c>
      <c r="AE478" s="36" t="n">
        <v>2.56</v>
      </c>
      <c r="AF478" s="28" t="n">
        <v>7.92</v>
      </c>
      <c r="AG478" s="36" t="n">
        <v>6.39</v>
      </c>
      <c r="AH478" s="37" t="n">
        <v>6.39</v>
      </c>
      <c r="AI478" s="37" t="n">
        <v>5.88</v>
      </c>
      <c r="AJ478" s="37" t="n">
        <v>5.88</v>
      </c>
      <c r="AK478" s="37" t="n">
        <v>5.88</v>
      </c>
      <c r="AL478" s="37" t="n">
        <v>2.56</v>
      </c>
      <c r="AM478" s="37" t="n">
        <v>7.92</v>
      </c>
      <c r="AN478" s="37" t="n">
        <v>6.39</v>
      </c>
      <c r="AO478" s="37" t="n">
        <v>6.39</v>
      </c>
      <c r="AP478" s="37" t="n">
        <v>5.88</v>
      </c>
      <c r="AQ478" s="37" t="n">
        <v>5.88</v>
      </c>
      <c r="AR478" s="37" t="n">
        <v>5.88</v>
      </c>
      <c r="AS478" s="37" t="n">
        <v>2.56</v>
      </c>
      <c r="AT478" s="37" t="n">
        <v>7.92</v>
      </c>
      <c r="AU478" s="37" t="n">
        <v>6.39</v>
      </c>
      <c r="AV478" s="37" t="n">
        <v>6.39</v>
      </c>
      <c r="AW478" s="37" t="n">
        <v>5.88</v>
      </c>
      <c r="AX478" s="37" t="n">
        <v>5.88</v>
      </c>
      <c r="AY478" s="37" t="n">
        <v>5.88</v>
      </c>
      <c r="AZ478" s="37" t="n">
        <v>2.56</v>
      </c>
      <c r="BA478" s="37" t="n">
        <v>8.69</v>
      </c>
      <c r="BB478" s="37" t="n">
        <v>3.58</v>
      </c>
      <c r="BC478" s="37" t="n">
        <v>1.02</v>
      </c>
      <c r="BD478" s="37" t="n">
        <v>0.77</v>
      </c>
      <c r="BE478" s="37" t="n">
        <v>3.32</v>
      </c>
      <c r="BF478" s="37" t="n">
        <v>2.81</v>
      </c>
      <c r="BG478" s="37" t="n">
        <v>1.28</v>
      </c>
      <c r="BH478" s="37" t="n">
        <v>4.34</v>
      </c>
      <c r="BI478" s="37" t="n">
        <v>3.58</v>
      </c>
      <c r="BJ478" s="37" t="n">
        <v>8.69</v>
      </c>
      <c r="BK478" s="37" t="n">
        <v>3.32</v>
      </c>
      <c r="BL478" s="37" t="n">
        <v>3.32</v>
      </c>
      <c r="BM478" s="37" t="n">
        <v>3.32</v>
      </c>
      <c r="BN478" s="37" t="n">
        <v>1.28</v>
      </c>
      <c r="BO478" s="37" t="n">
        <v>4.34</v>
      </c>
      <c r="BP478" s="37" t="n">
        <v>3.58</v>
      </c>
      <c r="BQ478" s="37" t="n">
        <v>3.58</v>
      </c>
      <c r="BR478" s="37" t="n">
        <v>3.32</v>
      </c>
      <c r="BS478" s="37" t="n">
        <v>3.32</v>
      </c>
      <c r="BT478" s="37" t="n">
        <v>3.32</v>
      </c>
      <c r="BU478" s="37" t="n">
        <v>1.28</v>
      </c>
      <c r="BV478" s="37" t="n">
        <v>4.34</v>
      </c>
      <c r="BW478" s="37" t="n">
        <v>3.58</v>
      </c>
      <c r="BX478" s="37" t="n">
        <v>3.58</v>
      </c>
      <c r="BY478" s="37" t="n">
        <v>3.32</v>
      </c>
      <c r="BZ478" s="37" t="n">
        <v>3.32</v>
      </c>
      <c r="CA478" s="37" t="n">
        <v>3.32</v>
      </c>
      <c r="CB478" s="37" t="n">
        <v>1.28</v>
      </c>
      <c r="CC478" s="37" t="n">
        <v>473.8199999999995</v>
      </c>
    </row>
    <row r="479" ht="15.75" customHeight="1" s="57">
      <c r="A479" s="7" t="inlineStr">
        <is>
          <t>NTB</t>
        </is>
      </c>
      <c r="B479" s="7" t="inlineStr">
        <is>
          <t>Đắk Nông</t>
        </is>
      </c>
      <c r="C479" s="7" t="n">
        <v>20673000</v>
      </c>
      <c r="D479" s="7" t="inlineStr">
        <is>
          <t>(DNO) Cư Jút</t>
        </is>
      </c>
      <c r="E479" s="7" t="inlineStr">
        <is>
          <t>Shopee</t>
        </is>
      </c>
      <c r="F479" s="36" t="n">
        <v>6</v>
      </c>
      <c r="G479" s="36" t="n">
        <v>9</v>
      </c>
      <c r="H479" s="36" t="n">
        <v>3</v>
      </c>
      <c r="I479" s="36" t="n">
        <v>6</v>
      </c>
      <c r="J479" s="36" t="n">
        <v>7</v>
      </c>
      <c r="K479" s="28" t="n">
        <v>9</v>
      </c>
      <c r="L479" s="36" t="n">
        <v>7</v>
      </c>
      <c r="M479" s="36" t="n">
        <v>9</v>
      </c>
      <c r="N479" s="36" t="n">
        <v>4</v>
      </c>
      <c r="O479" s="36" t="n">
        <v>6</v>
      </c>
      <c r="P479" s="36" t="n">
        <v>6</v>
      </c>
      <c r="Q479" s="36" t="n">
        <v>12</v>
      </c>
      <c r="R479" s="28" t="n">
        <v>3</v>
      </c>
      <c r="S479" s="36" t="n">
        <v>5</v>
      </c>
      <c r="T479" s="36" t="n">
        <v>14</v>
      </c>
      <c r="U479" s="36" t="n">
        <v>7.81</v>
      </c>
      <c r="V479" s="36" t="n">
        <v>7.81</v>
      </c>
      <c r="W479" s="36" t="n">
        <v>7.26</v>
      </c>
      <c r="X479" s="36" t="n">
        <v>6.4</v>
      </c>
      <c r="Y479" s="28" t="n">
        <v>10.35</v>
      </c>
      <c r="Z479" s="36" t="n">
        <v>8.51</v>
      </c>
      <c r="AA479" s="36" t="n">
        <v>10.03</v>
      </c>
      <c r="AB479" s="36" t="n">
        <v>7.91</v>
      </c>
      <c r="AC479" s="36" t="n">
        <v>6.4</v>
      </c>
      <c r="AD479" s="36" t="n">
        <v>12.36</v>
      </c>
      <c r="AE479" s="36" t="n">
        <v>6.83</v>
      </c>
      <c r="AF479" s="28" t="n">
        <v>11.28</v>
      </c>
      <c r="AG479" s="36" t="n">
        <v>9</v>
      </c>
      <c r="AH479" s="37" t="n">
        <v>9.32</v>
      </c>
      <c r="AI479" s="37" t="n">
        <v>7.81</v>
      </c>
      <c r="AJ479" s="37" t="n">
        <v>7.81</v>
      </c>
      <c r="AK479" s="37" t="n">
        <v>8.460000000000001</v>
      </c>
      <c r="AL479" s="37" t="n">
        <v>11.28</v>
      </c>
      <c r="AM479" s="37" t="n">
        <v>10.35</v>
      </c>
      <c r="AN479" s="37" t="n">
        <v>8.51</v>
      </c>
      <c r="AO479" s="37" t="n">
        <v>9.32</v>
      </c>
      <c r="AP479" s="37" t="n">
        <v>8.67</v>
      </c>
      <c r="AQ479" s="37" t="n">
        <v>6.4</v>
      </c>
      <c r="AR479" s="37" t="n">
        <v>7.26</v>
      </c>
      <c r="AS479" s="37" t="n">
        <v>6.4</v>
      </c>
      <c r="AT479" s="37" t="n">
        <v>10.35</v>
      </c>
      <c r="AU479" s="37" t="n">
        <v>9.220000000000001</v>
      </c>
      <c r="AV479" s="37" t="n">
        <v>9.380000000000001</v>
      </c>
      <c r="AW479" s="37" t="n">
        <v>7.81</v>
      </c>
      <c r="AX479" s="37" t="n">
        <v>7.81</v>
      </c>
      <c r="AY479" s="37" t="n">
        <v>7.26</v>
      </c>
      <c r="AZ479" s="37" t="n">
        <v>6.4</v>
      </c>
      <c r="BA479" s="37" t="n">
        <v>9.109999999999999</v>
      </c>
      <c r="BB479" s="37" t="n">
        <v>6.29</v>
      </c>
      <c r="BC479" s="37" t="n">
        <v>2.98</v>
      </c>
      <c r="BD479" s="37" t="n">
        <v>4.61</v>
      </c>
      <c r="BE479" s="37" t="n">
        <v>9.699999999999999</v>
      </c>
      <c r="BF479" s="37" t="n">
        <v>9.220000000000001</v>
      </c>
      <c r="BG479" s="37" t="n">
        <v>6.51</v>
      </c>
      <c r="BH479" s="37" t="n">
        <v>10.19</v>
      </c>
      <c r="BI479" s="37" t="n">
        <v>6.67</v>
      </c>
      <c r="BJ479" s="37" t="n">
        <v>17.89</v>
      </c>
      <c r="BK479" s="37" t="n">
        <v>8.4</v>
      </c>
      <c r="BL479" s="37" t="n">
        <v>8.19</v>
      </c>
      <c r="BM479" s="37" t="n">
        <v>7.16</v>
      </c>
      <c r="BN479" s="37" t="n">
        <v>6.29</v>
      </c>
      <c r="BO479" s="37" t="n">
        <v>10.19</v>
      </c>
      <c r="BP479" s="37" t="n">
        <v>9.050000000000001</v>
      </c>
      <c r="BQ479" s="37" t="n">
        <v>13.82</v>
      </c>
      <c r="BR479" s="37" t="n">
        <v>7.7</v>
      </c>
      <c r="BS479" s="37" t="n">
        <v>7.7</v>
      </c>
      <c r="BT479" s="37" t="n">
        <v>7.16</v>
      </c>
      <c r="BU479" s="37" t="n">
        <v>6.88</v>
      </c>
      <c r="BV479" s="37" t="n">
        <v>8.460000000000001</v>
      </c>
      <c r="BW479" s="37" t="n">
        <v>8.4</v>
      </c>
      <c r="BX479" s="37" t="n">
        <v>9.16</v>
      </c>
      <c r="BY479" s="37" t="n">
        <v>7.7</v>
      </c>
      <c r="BZ479" s="37" t="n">
        <v>8.57</v>
      </c>
      <c r="CA479" s="37" t="n">
        <v>7.59</v>
      </c>
      <c r="CB479" s="37" t="n">
        <v>6.29</v>
      </c>
      <c r="CC479" s="37" t="n">
        <v>609.6500000000002</v>
      </c>
    </row>
    <row r="480" ht="15.75" customHeight="1" s="57">
      <c r="A480" s="7" t="inlineStr">
        <is>
          <t>NTB</t>
        </is>
      </c>
      <c r="B480" s="7" t="inlineStr">
        <is>
          <t>Đắk Nông</t>
        </is>
      </c>
      <c r="C480" s="7" t="n">
        <v>20673000</v>
      </c>
      <c r="D480" s="7" t="inlineStr">
        <is>
          <t>(DNO) Cư Jút</t>
        </is>
      </c>
      <c r="E480" s="7" t="inlineStr">
        <is>
          <t>Shopee-Bulky</t>
        </is>
      </c>
      <c r="F480" s="36" t="n">
        <v>0</v>
      </c>
      <c r="G480" s="36" t="n">
        <v>0</v>
      </c>
      <c r="H480" s="36" t="n">
        <v>0</v>
      </c>
      <c r="I480" s="36" t="n">
        <v>0</v>
      </c>
      <c r="J480" s="36" t="n">
        <v>0</v>
      </c>
      <c r="K480" s="28" t="n">
        <v>2.57</v>
      </c>
      <c r="L480" s="36" t="n">
        <v>0</v>
      </c>
      <c r="M480" s="36" t="n">
        <v>0</v>
      </c>
      <c r="N480" s="36" t="n">
        <v>0.64</v>
      </c>
      <c r="O480" s="36" t="n">
        <v>0</v>
      </c>
      <c r="P480" s="36" t="n">
        <v>0</v>
      </c>
      <c r="Q480" s="36" t="n">
        <v>0</v>
      </c>
      <c r="R480" s="28" t="n">
        <v>0</v>
      </c>
      <c r="S480" s="36" t="n">
        <v>0.64</v>
      </c>
      <c r="T480" s="36" t="n">
        <v>0</v>
      </c>
      <c r="U480" s="36" t="n">
        <v>0.54</v>
      </c>
      <c r="V480" s="36" t="n">
        <v>0.4</v>
      </c>
      <c r="W480" s="36" t="n">
        <v>0.61</v>
      </c>
      <c r="X480" s="36" t="n">
        <v>0.27</v>
      </c>
      <c r="Y480" s="28" t="n">
        <v>0.54</v>
      </c>
      <c r="Z480" s="36" t="n">
        <v>0.54</v>
      </c>
      <c r="AA480" s="36" t="n">
        <v>0.61</v>
      </c>
      <c r="AB480" s="36" t="n">
        <v>0.54</v>
      </c>
      <c r="AC480" s="36" t="n">
        <v>0.61</v>
      </c>
      <c r="AD480" s="36" t="n">
        <v>1.21</v>
      </c>
      <c r="AE480" s="36" t="n">
        <v>1.34</v>
      </c>
      <c r="AF480" s="28" t="n">
        <v>1.07</v>
      </c>
      <c r="AG480" s="36" t="n">
        <v>0.8100000000000001</v>
      </c>
      <c r="AH480" s="37" t="n">
        <v>0.54</v>
      </c>
      <c r="AI480" s="37" t="n">
        <v>0.54</v>
      </c>
      <c r="AJ480" s="37" t="n">
        <v>0.4</v>
      </c>
      <c r="AK480" s="37" t="n">
        <v>0.8100000000000001</v>
      </c>
      <c r="AL480" s="37" t="n">
        <v>0.8100000000000001</v>
      </c>
      <c r="AM480" s="37" t="n">
        <v>0.8100000000000001</v>
      </c>
      <c r="AN480" s="37" t="n">
        <v>0.54</v>
      </c>
      <c r="AO480" s="37" t="n">
        <v>0.54</v>
      </c>
      <c r="AP480" s="37" t="n">
        <v>0.67</v>
      </c>
      <c r="AQ480" s="37" t="n">
        <v>0.8100000000000001</v>
      </c>
      <c r="AR480" s="37" t="n">
        <v>0.61</v>
      </c>
      <c r="AS480" s="37" t="n">
        <v>0.27</v>
      </c>
      <c r="AT480" s="37" t="n">
        <v>0.54</v>
      </c>
      <c r="AU480" s="37" t="n">
        <v>0.74</v>
      </c>
      <c r="AV480" s="37" t="n">
        <v>1.07</v>
      </c>
      <c r="AW480" s="37" t="n">
        <v>0.54</v>
      </c>
      <c r="AX480" s="37" t="n">
        <v>0.4</v>
      </c>
      <c r="AY480" s="37" t="n">
        <v>0.61</v>
      </c>
      <c r="AZ480" s="37" t="n">
        <v>0.27</v>
      </c>
      <c r="BA480" s="37" t="n">
        <v>0.54</v>
      </c>
      <c r="BB480" s="37" t="n">
        <v>0.4</v>
      </c>
      <c r="BC480" s="37" t="n">
        <v>0</v>
      </c>
      <c r="BD480" s="37" t="n">
        <v>0.14</v>
      </c>
      <c r="BE480" s="37" t="n">
        <v>0.54</v>
      </c>
      <c r="BF480" s="37" t="n">
        <v>0.61</v>
      </c>
      <c r="BG480" s="37" t="n">
        <v>0.4</v>
      </c>
      <c r="BH480" s="37" t="n">
        <v>0.54</v>
      </c>
      <c r="BI480" s="37" t="n">
        <v>0.54</v>
      </c>
      <c r="BJ480" s="37" t="n">
        <v>3.7</v>
      </c>
      <c r="BK480" s="37" t="n">
        <v>0.95</v>
      </c>
      <c r="BL480" s="37" t="n">
        <v>0.54</v>
      </c>
      <c r="BM480" s="37" t="n">
        <v>0.4</v>
      </c>
      <c r="BN480" s="37" t="n">
        <v>0.4</v>
      </c>
      <c r="BO480" s="37" t="n">
        <v>0.8100000000000001</v>
      </c>
      <c r="BP480" s="37" t="n">
        <v>0.74</v>
      </c>
      <c r="BQ480" s="37" t="n">
        <v>0.74</v>
      </c>
      <c r="BR480" s="37" t="n">
        <v>0.8100000000000001</v>
      </c>
      <c r="BS480" s="37" t="n">
        <v>0.61</v>
      </c>
      <c r="BT480" s="37" t="n">
        <v>0.61</v>
      </c>
      <c r="BU480" s="37" t="n">
        <v>0.8100000000000001</v>
      </c>
      <c r="BV480" s="37" t="n">
        <v>0.8100000000000001</v>
      </c>
      <c r="BW480" s="37" t="n">
        <v>0.54</v>
      </c>
      <c r="BX480" s="37" t="n">
        <v>0.8100000000000001</v>
      </c>
      <c r="BY480" s="37" t="n">
        <v>0.8100000000000001</v>
      </c>
      <c r="BZ480" s="37" t="n">
        <v>0.95</v>
      </c>
      <c r="CA480" s="37" t="n">
        <v>0.8100000000000001</v>
      </c>
      <c r="CB480" s="37" t="n">
        <v>0.4</v>
      </c>
      <c r="CC480" s="37" t="n">
        <v>44.42</v>
      </c>
    </row>
    <row r="481" ht="15.75" customHeight="1" s="57">
      <c r="A481" s="7" t="inlineStr">
        <is>
          <t>NTB</t>
        </is>
      </c>
      <c r="B481" s="7" t="inlineStr">
        <is>
          <t>Đắk Nông</t>
        </is>
      </c>
      <c r="C481" s="7" t="n">
        <v>20673000</v>
      </c>
      <c r="D481" s="7" t="inlineStr">
        <is>
          <t>(DNO) Cư Jút</t>
        </is>
      </c>
      <c r="E481" s="7" t="inlineStr">
        <is>
          <t>Shopee-Bulky (10-15kg)</t>
        </is>
      </c>
      <c r="F481" s="36" t="n">
        <v>0</v>
      </c>
      <c r="G481" s="36" t="n">
        <v>0</v>
      </c>
      <c r="H481" s="36" t="n">
        <v>0</v>
      </c>
      <c r="I481" s="36" t="n">
        <v>0</v>
      </c>
      <c r="J481" s="36" t="n">
        <v>0</v>
      </c>
      <c r="K481" s="28" t="n">
        <v>1.43</v>
      </c>
      <c r="L481" s="36" t="n">
        <v>0</v>
      </c>
      <c r="M481" s="36" t="n">
        <v>0</v>
      </c>
      <c r="N481" s="36" t="n">
        <v>0.36</v>
      </c>
      <c r="O481" s="36" t="n">
        <v>0</v>
      </c>
      <c r="P481" s="36" t="n">
        <v>0</v>
      </c>
      <c r="Q481" s="36" t="n">
        <v>0</v>
      </c>
      <c r="R481" s="28" t="n">
        <v>0</v>
      </c>
      <c r="S481" s="36" t="n">
        <v>0.36</v>
      </c>
      <c r="T481" s="36" t="n">
        <v>0</v>
      </c>
      <c r="U481" s="36" t="n">
        <v>0.27</v>
      </c>
      <c r="V481" s="36" t="n">
        <v>0.27</v>
      </c>
      <c r="W481" s="36" t="n">
        <v>0.2</v>
      </c>
      <c r="X481" s="36" t="n">
        <v>0.14</v>
      </c>
      <c r="Y481" s="28" t="n">
        <v>0.27</v>
      </c>
      <c r="Z481" s="36" t="n">
        <v>0.27</v>
      </c>
      <c r="AA481" s="36" t="n">
        <v>0.34</v>
      </c>
      <c r="AB481" s="36" t="n">
        <v>0.27</v>
      </c>
      <c r="AC481" s="36" t="n">
        <v>0.4</v>
      </c>
      <c r="AD481" s="36" t="n">
        <v>0.47</v>
      </c>
      <c r="AE481" s="36" t="n">
        <v>0.67</v>
      </c>
      <c r="AF481" s="28" t="n">
        <v>0.61</v>
      </c>
      <c r="AG481" s="36" t="n">
        <v>0.27</v>
      </c>
      <c r="AH481" s="37" t="n">
        <v>0.27</v>
      </c>
      <c r="AI481" s="37" t="n">
        <v>0.27</v>
      </c>
      <c r="AJ481" s="37" t="n">
        <v>0.27</v>
      </c>
      <c r="AK481" s="37" t="n">
        <v>0.4</v>
      </c>
      <c r="AL481" s="37" t="n">
        <v>0.27</v>
      </c>
      <c r="AM481" s="37" t="n">
        <v>0.4</v>
      </c>
      <c r="AN481" s="37" t="n">
        <v>0.27</v>
      </c>
      <c r="AO481" s="37" t="n">
        <v>0.27</v>
      </c>
      <c r="AP481" s="37" t="n">
        <v>0.4</v>
      </c>
      <c r="AQ481" s="37" t="n">
        <v>0.4</v>
      </c>
      <c r="AR481" s="37" t="n">
        <v>0.2</v>
      </c>
      <c r="AS481" s="37" t="n">
        <v>0.14</v>
      </c>
      <c r="AT481" s="37" t="n">
        <v>0.27</v>
      </c>
      <c r="AU481" s="37" t="n">
        <v>0.47</v>
      </c>
      <c r="AV481" s="37" t="n">
        <v>0.54</v>
      </c>
      <c r="AW481" s="37" t="n">
        <v>0.27</v>
      </c>
      <c r="AX481" s="37" t="n">
        <v>0.27</v>
      </c>
      <c r="AY481" s="37" t="n">
        <v>0.2</v>
      </c>
      <c r="AZ481" s="37" t="n">
        <v>0.14</v>
      </c>
      <c r="BA481" s="37" t="n">
        <v>0.27</v>
      </c>
      <c r="BB481" s="37" t="n">
        <v>0.14</v>
      </c>
      <c r="BC481" s="37" t="n">
        <v>0</v>
      </c>
      <c r="BD481" s="37" t="n">
        <v>0</v>
      </c>
      <c r="BE481" s="37" t="n">
        <v>0.4</v>
      </c>
      <c r="BF481" s="37" t="n">
        <v>0.4</v>
      </c>
      <c r="BG481" s="37" t="n">
        <v>0.14</v>
      </c>
      <c r="BH481" s="37" t="n">
        <v>0.34</v>
      </c>
      <c r="BI481" s="37" t="n">
        <v>0.4</v>
      </c>
      <c r="BJ481" s="37" t="n">
        <v>1.48</v>
      </c>
      <c r="BK481" s="37" t="n">
        <v>0.54</v>
      </c>
      <c r="BL481" s="37" t="n">
        <v>0.34</v>
      </c>
      <c r="BM481" s="37" t="n">
        <v>0.14</v>
      </c>
      <c r="BN481" s="37" t="n">
        <v>0.2</v>
      </c>
      <c r="BO481" s="37" t="n">
        <v>0.4</v>
      </c>
      <c r="BP481" s="37" t="n">
        <v>0.54</v>
      </c>
      <c r="BQ481" s="37" t="n">
        <v>0.4</v>
      </c>
      <c r="BR481" s="37" t="n">
        <v>0.4</v>
      </c>
      <c r="BS481" s="37" t="n">
        <v>0.4</v>
      </c>
      <c r="BT481" s="37" t="n">
        <v>0.14</v>
      </c>
      <c r="BU481" s="37" t="n">
        <v>0.27</v>
      </c>
      <c r="BV481" s="37" t="n">
        <v>0.4</v>
      </c>
      <c r="BW481" s="37" t="n">
        <v>0.4</v>
      </c>
      <c r="BX481" s="37" t="n">
        <v>0.34</v>
      </c>
      <c r="BY481" s="37" t="n">
        <v>0.4</v>
      </c>
      <c r="BZ481" s="37" t="n">
        <v>0.54</v>
      </c>
      <c r="CA481" s="37" t="n">
        <v>0.27</v>
      </c>
      <c r="CB481" s="37" t="n">
        <v>0.14</v>
      </c>
      <c r="CC481" s="37" t="n">
        <v>22.14999999999999</v>
      </c>
    </row>
    <row r="482" ht="15.75" customHeight="1" s="57">
      <c r="A482" s="7" t="inlineStr">
        <is>
          <t>NTB</t>
        </is>
      </c>
      <c r="B482" s="7" t="inlineStr">
        <is>
          <t>Đắk Nông</t>
        </is>
      </c>
      <c r="C482" s="7" t="n">
        <v>20673000</v>
      </c>
      <c r="D482" s="7" t="inlineStr">
        <is>
          <t>(DNO) Cư Jút</t>
        </is>
      </c>
      <c r="E482" s="7" t="inlineStr">
        <is>
          <t>TTS</t>
        </is>
      </c>
      <c r="F482" s="36" t="n">
        <v>14</v>
      </c>
      <c r="G482" s="36" t="n">
        <v>10</v>
      </c>
      <c r="H482" s="36" t="n">
        <v>9</v>
      </c>
      <c r="I482" s="36" t="n">
        <v>13</v>
      </c>
      <c r="J482" s="36" t="n">
        <v>8</v>
      </c>
      <c r="K482" s="28" t="n">
        <v>4</v>
      </c>
      <c r="L482" s="36" t="n">
        <v>4</v>
      </c>
      <c r="M482" s="36" t="n">
        <v>16</v>
      </c>
      <c r="N482" s="36" t="n">
        <v>7</v>
      </c>
      <c r="O482" s="36" t="n">
        <v>9</v>
      </c>
      <c r="P482" s="36" t="n">
        <v>4</v>
      </c>
      <c r="Q482" s="36" t="n">
        <v>4</v>
      </c>
      <c r="R482" s="28" t="n">
        <v>7</v>
      </c>
      <c r="S482" s="36" t="n">
        <v>4</v>
      </c>
      <c r="T482" s="36" t="n">
        <v>7</v>
      </c>
      <c r="U482" s="36" t="n">
        <v>11.44</v>
      </c>
      <c r="V482" s="36" t="n">
        <v>10.98</v>
      </c>
      <c r="W482" s="36" t="n">
        <v>10.68</v>
      </c>
      <c r="X482" s="36" t="n">
        <v>8.949999999999999</v>
      </c>
      <c r="Y482" s="28" t="n">
        <v>12.92</v>
      </c>
      <c r="Z482" s="36" t="n">
        <v>10.88</v>
      </c>
      <c r="AA482" s="36" t="n">
        <v>12</v>
      </c>
      <c r="AB482" s="36" t="n">
        <v>12.97</v>
      </c>
      <c r="AC482" s="36" t="n">
        <v>13.68</v>
      </c>
      <c r="AD482" s="36" t="n">
        <v>17.03</v>
      </c>
      <c r="AE482" s="36" t="n">
        <v>10.02</v>
      </c>
      <c r="AF482" s="28" t="n">
        <v>13.32</v>
      </c>
      <c r="AG482" s="36" t="n">
        <v>10.98</v>
      </c>
      <c r="AH482" s="37" t="n">
        <v>10.73</v>
      </c>
      <c r="AI482" s="37" t="n">
        <v>12.56</v>
      </c>
      <c r="AJ482" s="37" t="n">
        <v>13.02</v>
      </c>
      <c r="AK482" s="37" t="n">
        <v>12.61</v>
      </c>
      <c r="AL482" s="37" t="n">
        <v>9.609999999999999</v>
      </c>
      <c r="AM482" s="37" t="n">
        <v>12.97</v>
      </c>
      <c r="AN482" s="37" t="n">
        <v>11.34</v>
      </c>
      <c r="AO482" s="37" t="n">
        <v>11.24</v>
      </c>
      <c r="AP482" s="37" t="n">
        <v>10.78</v>
      </c>
      <c r="AQ482" s="37" t="n">
        <v>10.88</v>
      </c>
      <c r="AR482" s="37" t="n">
        <v>10.58</v>
      </c>
      <c r="AS482" s="37" t="n">
        <v>8.949999999999999</v>
      </c>
      <c r="AT482" s="37" t="n">
        <v>14.49</v>
      </c>
      <c r="AU482" s="37" t="n">
        <v>12.56</v>
      </c>
      <c r="AV482" s="37" t="n">
        <v>11.44</v>
      </c>
      <c r="AW482" s="37" t="n">
        <v>10.53</v>
      </c>
      <c r="AX482" s="37" t="n">
        <v>10.58</v>
      </c>
      <c r="AY482" s="37" t="n">
        <v>10.53</v>
      </c>
      <c r="AZ482" s="37" t="n">
        <v>9</v>
      </c>
      <c r="BA482" s="37" t="n">
        <v>12.86</v>
      </c>
      <c r="BB482" s="37" t="n">
        <v>12.15</v>
      </c>
      <c r="BC482" s="37" t="n">
        <v>6.1</v>
      </c>
      <c r="BD482" s="37" t="n">
        <v>8.640000000000001</v>
      </c>
      <c r="BE482" s="37" t="n">
        <v>19.98</v>
      </c>
      <c r="BF482" s="37" t="n">
        <v>19.47</v>
      </c>
      <c r="BG482" s="37" t="n">
        <v>9.609999999999999</v>
      </c>
      <c r="BH482" s="37" t="n">
        <v>14.49</v>
      </c>
      <c r="BI482" s="37" t="n">
        <v>12.15</v>
      </c>
      <c r="BJ482" s="37" t="n">
        <v>13.47</v>
      </c>
      <c r="BK482" s="37" t="n">
        <v>12.2</v>
      </c>
      <c r="BL482" s="37" t="n">
        <v>12.25</v>
      </c>
      <c r="BM482" s="37" t="n">
        <v>11.85</v>
      </c>
      <c r="BN482" s="37" t="n">
        <v>9.609999999999999</v>
      </c>
      <c r="BO482" s="37" t="n">
        <v>14.49</v>
      </c>
      <c r="BP482" s="37" t="n">
        <v>12.15</v>
      </c>
      <c r="BQ482" s="37" t="n">
        <v>11.9</v>
      </c>
      <c r="BR482" s="37" t="n">
        <v>12.2</v>
      </c>
      <c r="BS482" s="37" t="n">
        <v>12.25</v>
      </c>
      <c r="BT482" s="37" t="n">
        <v>11.85</v>
      </c>
      <c r="BU482" s="37" t="n">
        <v>9.609999999999999</v>
      </c>
      <c r="BV482" s="37" t="n">
        <v>14.49</v>
      </c>
      <c r="BW482" s="37" t="n">
        <v>12.15</v>
      </c>
      <c r="BX482" s="37" t="n">
        <v>11.9</v>
      </c>
      <c r="BY482" s="37" t="n">
        <v>12.2</v>
      </c>
      <c r="BZ482" s="37" t="n">
        <v>12.25</v>
      </c>
      <c r="CA482" s="37" t="n">
        <v>11.85</v>
      </c>
      <c r="CB482" s="37" t="n">
        <v>9.609999999999999</v>
      </c>
      <c r="CC482" s="37" t="n">
        <v>833.9800000000002</v>
      </c>
    </row>
    <row r="483" ht="15.75" customHeight="1" s="57">
      <c r="A483" s="7" t="inlineStr">
        <is>
          <t>NTB</t>
        </is>
      </c>
      <c r="B483" s="7" t="inlineStr">
        <is>
          <t>Đắk Nông</t>
        </is>
      </c>
      <c r="C483" s="7" t="n">
        <v>21150000</v>
      </c>
      <c r="D483" s="7" t="inlineStr">
        <is>
          <t>(DNO) Quảng Sơn</t>
        </is>
      </c>
      <c r="E483" s="7" t="inlineStr">
        <is>
          <t>SME</t>
        </is>
      </c>
      <c r="F483" s="36" t="n">
        <v>53</v>
      </c>
      <c r="G483" s="36" t="n">
        <v>43</v>
      </c>
      <c r="H483" s="36" t="n">
        <v>35</v>
      </c>
      <c r="I483" s="36" t="n">
        <v>45</v>
      </c>
      <c r="J483" s="36" t="n">
        <v>25</v>
      </c>
      <c r="K483" s="28" t="n">
        <v>46</v>
      </c>
      <c r="L483" s="36" t="n">
        <v>32</v>
      </c>
      <c r="M483" s="36" t="n">
        <v>65</v>
      </c>
      <c r="N483" s="36" t="n">
        <v>36</v>
      </c>
      <c r="O483" s="36" t="n">
        <v>38</v>
      </c>
      <c r="P483" s="36" t="n">
        <v>41</v>
      </c>
      <c r="Q483" s="36" t="n">
        <v>22</v>
      </c>
      <c r="R483" s="28" t="n">
        <v>42</v>
      </c>
      <c r="S483" s="36" t="n">
        <v>45</v>
      </c>
      <c r="T483" s="36" t="n">
        <v>57</v>
      </c>
      <c r="U483" s="36" t="n">
        <v>143.36</v>
      </c>
      <c r="V483" s="36" t="n">
        <v>148.41</v>
      </c>
      <c r="W483" s="36" t="n">
        <v>144.38</v>
      </c>
      <c r="X483" s="36" t="n">
        <v>118.06</v>
      </c>
      <c r="Y483" s="28" t="n">
        <v>159.94</v>
      </c>
      <c r="Z483" s="36" t="n">
        <v>147.53</v>
      </c>
      <c r="AA483" s="36" t="n">
        <v>143.54</v>
      </c>
      <c r="AB483" s="36" t="n">
        <v>143.36</v>
      </c>
      <c r="AC483" s="36" t="n">
        <v>148.41</v>
      </c>
      <c r="AD483" s="36" t="n">
        <v>151.72</v>
      </c>
      <c r="AE483" s="36" t="n">
        <v>118.06</v>
      </c>
      <c r="AF483" s="28" t="n">
        <v>159.94</v>
      </c>
      <c r="AG483" s="36" t="n">
        <v>147.53</v>
      </c>
      <c r="AH483" s="37" t="n">
        <v>143.54</v>
      </c>
      <c r="AI483" s="37" t="n">
        <v>143.36</v>
      </c>
      <c r="AJ483" s="37" t="n">
        <v>148.41</v>
      </c>
      <c r="AK483" s="37" t="n">
        <v>144.38</v>
      </c>
      <c r="AL483" s="37" t="n">
        <v>118.06</v>
      </c>
      <c r="AM483" s="37" t="n">
        <v>159.94</v>
      </c>
      <c r="AN483" s="37" t="n">
        <v>147.53</v>
      </c>
      <c r="AO483" s="37" t="n">
        <v>143.54</v>
      </c>
      <c r="AP483" s="37" t="n">
        <v>143.36</v>
      </c>
      <c r="AQ483" s="37" t="n">
        <v>148.41</v>
      </c>
      <c r="AR483" s="37" t="n">
        <v>144.38</v>
      </c>
      <c r="AS483" s="37" t="n">
        <v>118.06</v>
      </c>
      <c r="AT483" s="37" t="n">
        <v>159.94</v>
      </c>
      <c r="AU483" s="37" t="n">
        <v>147.53</v>
      </c>
      <c r="AV483" s="37" t="n">
        <v>143.54</v>
      </c>
      <c r="AW483" s="37" t="n">
        <v>143.36</v>
      </c>
      <c r="AX483" s="37" t="n">
        <v>148.41</v>
      </c>
      <c r="AY483" s="37" t="n">
        <v>144.38</v>
      </c>
      <c r="AZ483" s="37" t="n">
        <v>118.06</v>
      </c>
      <c r="BA483" s="37" t="n">
        <v>151.78</v>
      </c>
      <c r="BB483" s="37" t="n">
        <v>135.3</v>
      </c>
      <c r="BC483" s="37" t="n">
        <v>83.21000000000001</v>
      </c>
      <c r="BD483" s="37" t="n">
        <v>65.2</v>
      </c>
      <c r="BE483" s="37" t="n">
        <v>139.37</v>
      </c>
      <c r="BF483" s="37" t="n">
        <v>135.69</v>
      </c>
      <c r="BG483" s="37" t="n">
        <v>122.13</v>
      </c>
      <c r="BH483" s="37" t="n">
        <v>165.16</v>
      </c>
      <c r="BI483" s="37" t="n">
        <v>152.18</v>
      </c>
      <c r="BJ483" s="37" t="n">
        <v>156.06</v>
      </c>
      <c r="BK483" s="37" t="n">
        <v>147.88</v>
      </c>
      <c r="BL483" s="37" t="n">
        <v>153.23</v>
      </c>
      <c r="BM483" s="37" t="n">
        <v>148.94</v>
      </c>
      <c r="BN483" s="37" t="n">
        <v>122.13</v>
      </c>
      <c r="BO483" s="37" t="n">
        <v>165.16</v>
      </c>
      <c r="BP483" s="37" t="n">
        <v>152.18</v>
      </c>
      <c r="BQ483" s="37" t="n">
        <v>148.06</v>
      </c>
      <c r="BR483" s="37" t="n">
        <v>147.88</v>
      </c>
      <c r="BS483" s="37" t="n">
        <v>153.23</v>
      </c>
      <c r="BT483" s="37" t="n">
        <v>148.94</v>
      </c>
      <c r="BU483" s="37" t="n">
        <v>122.13</v>
      </c>
      <c r="BV483" s="37" t="n">
        <v>165.16</v>
      </c>
      <c r="BW483" s="37" t="n">
        <v>152.18</v>
      </c>
      <c r="BX483" s="37" t="n">
        <v>148.06</v>
      </c>
      <c r="BY483" s="37" t="n">
        <v>147.88</v>
      </c>
      <c r="BZ483" s="37" t="n">
        <v>153.23</v>
      </c>
      <c r="CA483" s="37" t="n">
        <v>148.94</v>
      </c>
      <c r="CB483" s="37" t="n">
        <v>122.13</v>
      </c>
      <c r="CC483" s="37" t="n">
        <v>9160.849999999999</v>
      </c>
    </row>
    <row r="484" ht="15.75" customHeight="1" s="57">
      <c r="A484" s="7" t="inlineStr">
        <is>
          <t>NTB</t>
        </is>
      </c>
      <c r="B484" s="7" t="inlineStr">
        <is>
          <t>Đắk Nông</t>
        </is>
      </c>
      <c r="C484" s="7" t="n">
        <v>21150000</v>
      </c>
      <c r="D484" s="7" t="inlineStr">
        <is>
          <t>(DNO) Quảng Sơn</t>
        </is>
      </c>
      <c r="E484" s="7" t="inlineStr">
        <is>
          <t>SME-Bulky</t>
        </is>
      </c>
      <c r="F484" s="36" t="n">
        <v>1</v>
      </c>
      <c r="G484" s="36" t="n">
        <v>6</v>
      </c>
      <c r="H484" s="36" t="n">
        <v>5</v>
      </c>
      <c r="I484" s="36" t="n">
        <v>7</v>
      </c>
      <c r="J484" s="36" t="n">
        <v>2</v>
      </c>
      <c r="K484" s="28" t="n">
        <v>6</v>
      </c>
      <c r="L484" s="36" t="n">
        <v>2</v>
      </c>
      <c r="M484" s="36" t="n">
        <v>3</v>
      </c>
      <c r="N484" s="36" t="n">
        <v>3</v>
      </c>
      <c r="O484" s="36" t="n">
        <v>3</v>
      </c>
      <c r="P484" s="36" t="n">
        <v>2</v>
      </c>
      <c r="Q484" s="36" t="n">
        <v>1</v>
      </c>
      <c r="R484" s="28" t="n">
        <v>4</v>
      </c>
      <c r="S484" s="36" t="n">
        <v>3</v>
      </c>
      <c r="T484" s="36" t="n">
        <v>3</v>
      </c>
      <c r="U484" s="36" t="n">
        <v>1.65</v>
      </c>
      <c r="V484" s="36" t="n">
        <v>1.65</v>
      </c>
      <c r="W484" s="36" t="n">
        <v>1.65</v>
      </c>
      <c r="X484" s="36" t="n">
        <v>0.72</v>
      </c>
      <c r="Y484" s="28" t="n">
        <v>2.23</v>
      </c>
      <c r="Z484" s="36" t="n">
        <v>1.8</v>
      </c>
      <c r="AA484" s="36" t="n">
        <v>1.8</v>
      </c>
      <c r="AB484" s="36" t="n">
        <v>1.65</v>
      </c>
      <c r="AC484" s="36" t="n">
        <v>1.65</v>
      </c>
      <c r="AD484" s="36" t="n">
        <v>4.53</v>
      </c>
      <c r="AE484" s="36" t="n">
        <v>0.72</v>
      </c>
      <c r="AF484" s="28" t="n">
        <v>2.23</v>
      </c>
      <c r="AG484" s="36" t="n">
        <v>1.8</v>
      </c>
      <c r="AH484" s="37" t="n">
        <v>1.8</v>
      </c>
      <c r="AI484" s="37" t="n">
        <v>1.65</v>
      </c>
      <c r="AJ484" s="37" t="n">
        <v>1.65</v>
      </c>
      <c r="AK484" s="37" t="n">
        <v>1.65</v>
      </c>
      <c r="AL484" s="37" t="n">
        <v>0.72</v>
      </c>
      <c r="AM484" s="37" t="n">
        <v>2.23</v>
      </c>
      <c r="AN484" s="37" t="n">
        <v>1.8</v>
      </c>
      <c r="AO484" s="37" t="n">
        <v>1.8</v>
      </c>
      <c r="AP484" s="37" t="n">
        <v>1.65</v>
      </c>
      <c r="AQ484" s="37" t="n">
        <v>1.65</v>
      </c>
      <c r="AR484" s="37" t="n">
        <v>1.65</v>
      </c>
      <c r="AS484" s="37" t="n">
        <v>0.72</v>
      </c>
      <c r="AT484" s="37" t="n">
        <v>2.23</v>
      </c>
      <c r="AU484" s="37" t="n">
        <v>1.8</v>
      </c>
      <c r="AV484" s="37" t="n">
        <v>1.8</v>
      </c>
      <c r="AW484" s="37" t="n">
        <v>1.65</v>
      </c>
      <c r="AX484" s="37" t="n">
        <v>1.65</v>
      </c>
      <c r="AY484" s="37" t="n">
        <v>1.65</v>
      </c>
      <c r="AZ484" s="37" t="n">
        <v>0.72</v>
      </c>
      <c r="BA484" s="37" t="n">
        <v>2.45</v>
      </c>
      <c r="BB484" s="37" t="n">
        <v>1.01</v>
      </c>
      <c r="BC484" s="37" t="n">
        <v>0.29</v>
      </c>
      <c r="BD484" s="37" t="n">
        <v>0.22</v>
      </c>
      <c r="BE484" s="37" t="n">
        <v>0.9399999999999999</v>
      </c>
      <c r="BF484" s="37" t="n">
        <v>0.79</v>
      </c>
      <c r="BG484" s="37" t="n">
        <v>0.36</v>
      </c>
      <c r="BH484" s="37" t="n">
        <v>1.22</v>
      </c>
      <c r="BI484" s="37" t="n">
        <v>1.01</v>
      </c>
      <c r="BJ484" s="37" t="n">
        <v>2.45</v>
      </c>
      <c r="BK484" s="37" t="n">
        <v>0.9399999999999999</v>
      </c>
      <c r="BL484" s="37" t="n">
        <v>0.9399999999999999</v>
      </c>
      <c r="BM484" s="37" t="n">
        <v>0.9399999999999999</v>
      </c>
      <c r="BN484" s="37" t="n">
        <v>0.36</v>
      </c>
      <c r="BO484" s="37" t="n">
        <v>1.22</v>
      </c>
      <c r="BP484" s="37" t="n">
        <v>1.01</v>
      </c>
      <c r="BQ484" s="37" t="n">
        <v>1.01</v>
      </c>
      <c r="BR484" s="37" t="n">
        <v>0.9399999999999999</v>
      </c>
      <c r="BS484" s="37" t="n">
        <v>0.9399999999999999</v>
      </c>
      <c r="BT484" s="37" t="n">
        <v>0.9399999999999999</v>
      </c>
      <c r="BU484" s="37" t="n">
        <v>0.36</v>
      </c>
      <c r="BV484" s="37" t="n">
        <v>1.22</v>
      </c>
      <c r="BW484" s="37" t="n">
        <v>1.01</v>
      </c>
      <c r="BX484" s="37" t="n">
        <v>1.01</v>
      </c>
      <c r="BY484" s="37" t="n">
        <v>0.9399999999999999</v>
      </c>
      <c r="BZ484" s="37" t="n">
        <v>0.9399999999999999</v>
      </c>
      <c r="CA484" s="37" t="n">
        <v>0.9399999999999999</v>
      </c>
      <c r="CB484" s="37" t="n">
        <v>0.36</v>
      </c>
      <c r="CC484" s="37" t="n">
        <v>132.3100000000001</v>
      </c>
    </row>
    <row r="485" ht="15.75" customHeight="1" s="57">
      <c r="A485" s="7" t="inlineStr">
        <is>
          <t>NTB</t>
        </is>
      </c>
      <c r="B485" s="7" t="inlineStr">
        <is>
          <t>Đắk Nông</t>
        </is>
      </c>
      <c r="C485" s="7" t="n">
        <v>21150000</v>
      </c>
      <c r="D485" s="7" t="inlineStr">
        <is>
          <t>(DNO) Quảng Sơn</t>
        </is>
      </c>
      <c r="E485" s="7" t="inlineStr">
        <is>
          <t>Shopee</t>
        </is>
      </c>
      <c r="F485" s="36" t="n">
        <v>0</v>
      </c>
      <c r="G485" s="36" t="n">
        <v>6</v>
      </c>
      <c r="H485" s="36" t="n">
        <v>2</v>
      </c>
      <c r="I485" s="36" t="n">
        <v>2</v>
      </c>
      <c r="J485" s="36" t="n">
        <v>0</v>
      </c>
      <c r="K485" s="28" t="n">
        <v>8</v>
      </c>
      <c r="L485" s="36" t="n">
        <v>3</v>
      </c>
      <c r="M485" s="36" t="n">
        <v>1</v>
      </c>
      <c r="N485" s="36" t="n">
        <v>2</v>
      </c>
      <c r="O485" s="36" t="n">
        <v>2</v>
      </c>
      <c r="P485" s="36" t="n">
        <v>0</v>
      </c>
      <c r="Q485" s="36" t="n">
        <v>3</v>
      </c>
      <c r="R485" s="28" t="n">
        <v>1</v>
      </c>
      <c r="S485" s="36" t="n">
        <v>4</v>
      </c>
      <c r="T485" s="36" t="n">
        <v>4</v>
      </c>
      <c r="U485" s="36" t="n">
        <v>2.49</v>
      </c>
      <c r="V485" s="36" t="n">
        <v>2.49</v>
      </c>
      <c r="W485" s="36" t="n">
        <v>2.32</v>
      </c>
      <c r="X485" s="36" t="n">
        <v>2.04</v>
      </c>
      <c r="Y485" s="28" t="n">
        <v>3.3</v>
      </c>
      <c r="Z485" s="36" t="n">
        <v>2.72</v>
      </c>
      <c r="AA485" s="36" t="n">
        <v>3.2</v>
      </c>
      <c r="AB485" s="36" t="n">
        <v>2.53</v>
      </c>
      <c r="AC485" s="36" t="n">
        <v>2.04</v>
      </c>
      <c r="AD485" s="36" t="n">
        <v>3.94</v>
      </c>
      <c r="AE485" s="36" t="n">
        <v>2.18</v>
      </c>
      <c r="AF485" s="28" t="n">
        <v>3.6</v>
      </c>
      <c r="AG485" s="36" t="n">
        <v>2.87</v>
      </c>
      <c r="AH485" s="37" t="n">
        <v>2.98</v>
      </c>
      <c r="AI485" s="37" t="n">
        <v>2.49</v>
      </c>
      <c r="AJ485" s="37" t="n">
        <v>2.49</v>
      </c>
      <c r="AK485" s="37" t="n">
        <v>2.7</v>
      </c>
      <c r="AL485" s="37" t="n">
        <v>3.6</v>
      </c>
      <c r="AM485" s="37" t="n">
        <v>3.3</v>
      </c>
      <c r="AN485" s="37" t="n">
        <v>2.72</v>
      </c>
      <c r="AO485" s="37" t="n">
        <v>2.98</v>
      </c>
      <c r="AP485" s="37" t="n">
        <v>2.77</v>
      </c>
      <c r="AQ485" s="37" t="n">
        <v>2.04</v>
      </c>
      <c r="AR485" s="37" t="n">
        <v>2.32</v>
      </c>
      <c r="AS485" s="37" t="n">
        <v>2.04</v>
      </c>
      <c r="AT485" s="37" t="n">
        <v>3.3</v>
      </c>
      <c r="AU485" s="37" t="n">
        <v>2.94</v>
      </c>
      <c r="AV485" s="37" t="n">
        <v>2.99</v>
      </c>
      <c r="AW485" s="37" t="n">
        <v>2.49</v>
      </c>
      <c r="AX485" s="37" t="n">
        <v>2.49</v>
      </c>
      <c r="AY485" s="37" t="n">
        <v>2.32</v>
      </c>
      <c r="AZ485" s="37" t="n">
        <v>2.04</v>
      </c>
      <c r="BA485" s="37" t="n">
        <v>2.91</v>
      </c>
      <c r="BB485" s="37" t="n">
        <v>2.01</v>
      </c>
      <c r="BC485" s="37" t="n">
        <v>0.95</v>
      </c>
      <c r="BD485" s="37" t="n">
        <v>1.47</v>
      </c>
      <c r="BE485" s="37" t="n">
        <v>3.1</v>
      </c>
      <c r="BF485" s="37" t="n">
        <v>2.94</v>
      </c>
      <c r="BG485" s="37" t="n">
        <v>2.08</v>
      </c>
      <c r="BH485" s="37" t="n">
        <v>3.25</v>
      </c>
      <c r="BI485" s="37" t="n">
        <v>2.13</v>
      </c>
      <c r="BJ485" s="37" t="n">
        <v>5.71</v>
      </c>
      <c r="BK485" s="37" t="n">
        <v>2.68</v>
      </c>
      <c r="BL485" s="37" t="n">
        <v>2.61</v>
      </c>
      <c r="BM485" s="37" t="n">
        <v>2.28</v>
      </c>
      <c r="BN485" s="37" t="n">
        <v>2.01</v>
      </c>
      <c r="BO485" s="37" t="n">
        <v>3.25</v>
      </c>
      <c r="BP485" s="37" t="n">
        <v>2.89</v>
      </c>
      <c r="BQ485" s="37" t="n">
        <v>4.41</v>
      </c>
      <c r="BR485" s="37" t="n">
        <v>2.46</v>
      </c>
      <c r="BS485" s="37" t="n">
        <v>2.46</v>
      </c>
      <c r="BT485" s="37" t="n">
        <v>2.28</v>
      </c>
      <c r="BU485" s="37" t="n">
        <v>2.2</v>
      </c>
      <c r="BV485" s="37" t="n">
        <v>2.7</v>
      </c>
      <c r="BW485" s="37" t="n">
        <v>2.68</v>
      </c>
      <c r="BX485" s="37" t="n">
        <v>2.92</v>
      </c>
      <c r="BY485" s="37" t="n">
        <v>2.46</v>
      </c>
      <c r="BZ485" s="37" t="n">
        <v>2.73</v>
      </c>
      <c r="CA485" s="37" t="n">
        <v>2.42</v>
      </c>
      <c r="CB485" s="37" t="n">
        <v>2.01</v>
      </c>
      <c r="CC485" s="37" t="n">
        <v>198.7199999999999</v>
      </c>
    </row>
    <row r="486" ht="15.75" customHeight="1" s="57">
      <c r="A486" s="7" t="inlineStr">
        <is>
          <t>NTB</t>
        </is>
      </c>
      <c r="B486" s="7" t="inlineStr">
        <is>
          <t>Đắk Nông</t>
        </is>
      </c>
      <c r="C486" s="7" t="n">
        <v>21150000</v>
      </c>
      <c r="D486" s="7" t="inlineStr">
        <is>
          <t>(DNO) Quảng Sơn</t>
        </is>
      </c>
      <c r="E486" s="7" t="inlineStr">
        <is>
          <t>TTS</t>
        </is>
      </c>
      <c r="F486" s="36" t="n">
        <v>0</v>
      </c>
      <c r="G486" s="36" t="n">
        <v>2</v>
      </c>
      <c r="H486" s="36" t="n">
        <v>0</v>
      </c>
      <c r="I486" s="36" t="n">
        <v>1</v>
      </c>
      <c r="J486" s="36" t="n">
        <v>2</v>
      </c>
      <c r="K486" s="28" t="n">
        <v>4</v>
      </c>
      <c r="L486" s="36" t="n">
        <v>2</v>
      </c>
      <c r="M486" s="36" t="n">
        <v>0</v>
      </c>
      <c r="N486" s="36" t="n">
        <v>4</v>
      </c>
      <c r="O486" s="36" t="n">
        <v>0</v>
      </c>
      <c r="P486" s="36" t="n">
        <v>7</v>
      </c>
      <c r="Q486" s="36" t="n">
        <v>2</v>
      </c>
      <c r="R486" s="28" t="n">
        <v>2</v>
      </c>
      <c r="S486" s="36" t="n">
        <v>7</v>
      </c>
      <c r="T486" s="36" t="n">
        <v>1</v>
      </c>
      <c r="U486" s="36" t="n">
        <v>3.39</v>
      </c>
      <c r="V486" s="36" t="n">
        <v>3.25</v>
      </c>
      <c r="W486" s="36" t="n">
        <v>3.16</v>
      </c>
      <c r="X486" s="36" t="n">
        <v>2.65</v>
      </c>
      <c r="Y486" s="28" t="n">
        <v>3.83</v>
      </c>
      <c r="Z486" s="36" t="n">
        <v>3.22</v>
      </c>
      <c r="AA486" s="36" t="n">
        <v>3.56</v>
      </c>
      <c r="AB486" s="36" t="n">
        <v>3.84</v>
      </c>
      <c r="AC486" s="36" t="n">
        <v>4.05</v>
      </c>
      <c r="AD486" s="36" t="n">
        <v>5.05</v>
      </c>
      <c r="AE486" s="36" t="n">
        <v>2.97</v>
      </c>
      <c r="AF486" s="28" t="n">
        <v>3.95</v>
      </c>
      <c r="AG486" s="36" t="n">
        <v>3.25</v>
      </c>
      <c r="AH486" s="37" t="n">
        <v>3.18</v>
      </c>
      <c r="AI486" s="37" t="n">
        <v>3.72</v>
      </c>
      <c r="AJ486" s="37" t="n">
        <v>3.86</v>
      </c>
      <c r="AK486" s="37" t="n">
        <v>3.74</v>
      </c>
      <c r="AL486" s="37" t="n">
        <v>2.85</v>
      </c>
      <c r="AM486" s="37" t="n">
        <v>3.84</v>
      </c>
      <c r="AN486" s="37" t="n">
        <v>3.36</v>
      </c>
      <c r="AO486" s="37" t="n">
        <v>3.33</v>
      </c>
      <c r="AP486" s="37" t="n">
        <v>3.19</v>
      </c>
      <c r="AQ486" s="37" t="n">
        <v>3.22</v>
      </c>
      <c r="AR486" s="37" t="n">
        <v>3.13</v>
      </c>
      <c r="AS486" s="37" t="n">
        <v>2.65</v>
      </c>
      <c r="AT486" s="37" t="n">
        <v>4.29</v>
      </c>
      <c r="AU486" s="37" t="n">
        <v>3.72</v>
      </c>
      <c r="AV486" s="37" t="n">
        <v>3.39</v>
      </c>
      <c r="AW486" s="37" t="n">
        <v>3.12</v>
      </c>
      <c r="AX486" s="37" t="n">
        <v>3.13</v>
      </c>
      <c r="AY486" s="37" t="n">
        <v>3.12</v>
      </c>
      <c r="AZ486" s="37" t="n">
        <v>2.67</v>
      </c>
      <c r="BA486" s="37" t="n">
        <v>3.81</v>
      </c>
      <c r="BB486" s="37" t="n">
        <v>3.6</v>
      </c>
      <c r="BC486" s="37" t="n">
        <v>1.81</v>
      </c>
      <c r="BD486" s="37" t="n">
        <v>2.56</v>
      </c>
      <c r="BE486" s="37" t="n">
        <v>5.92</v>
      </c>
      <c r="BF486" s="37" t="n">
        <v>5.77</v>
      </c>
      <c r="BG486" s="37" t="n">
        <v>2.85</v>
      </c>
      <c r="BH486" s="37" t="n">
        <v>4.29</v>
      </c>
      <c r="BI486" s="37" t="n">
        <v>3.6</v>
      </c>
      <c r="BJ486" s="37" t="n">
        <v>3.99</v>
      </c>
      <c r="BK486" s="37" t="n">
        <v>3.62</v>
      </c>
      <c r="BL486" s="37" t="n">
        <v>3.63</v>
      </c>
      <c r="BM486" s="37" t="n">
        <v>3.51</v>
      </c>
      <c r="BN486" s="37" t="n">
        <v>2.85</v>
      </c>
      <c r="BO486" s="37" t="n">
        <v>4.29</v>
      </c>
      <c r="BP486" s="37" t="n">
        <v>3.6</v>
      </c>
      <c r="BQ486" s="37" t="n">
        <v>3.53</v>
      </c>
      <c r="BR486" s="37" t="n">
        <v>3.62</v>
      </c>
      <c r="BS486" s="37" t="n">
        <v>3.63</v>
      </c>
      <c r="BT486" s="37" t="n">
        <v>3.51</v>
      </c>
      <c r="BU486" s="37" t="n">
        <v>2.85</v>
      </c>
      <c r="BV486" s="37" t="n">
        <v>4.29</v>
      </c>
      <c r="BW486" s="37" t="n">
        <v>3.6</v>
      </c>
      <c r="BX486" s="37" t="n">
        <v>3.53</v>
      </c>
      <c r="BY486" s="37" t="n">
        <v>3.62</v>
      </c>
      <c r="BZ486" s="37" t="n">
        <v>3.63</v>
      </c>
      <c r="CA486" s="37" t="n">
        <v>3.51</v>
      </c>
      <c r="CB486" s="37" t="n">
        <v>2.85</v>
      </c>
      <c r="CC486" s="37" t="n">
        <v>245.5499999999999</v>
      </c>
    </row>
    <row r="487" ht="15.75" customHeight="1" s="57">
      <c r="A487" s="7" t="inlineStr">
        <is>
          <t>NTB</t>
        </is>
      </c>
      <c r="B487" s="7" t="inlineStr">
        <is>
          <t>Đắk Nông</t>
        </is>
      </c>
      <c r="C487" s="7" t="n">
        <v>21364000</v>
      </c>
      <c r="D487" s="7" t="inlineStr">
        <is>
          <t>(DNO) Quảng Khê</t>
        </is>
      </c>
      <c r="E487" s="7" t="inlineStr">
        <is>
          <t>SME</t>
        </is>
      </c>
      <c r="F487" s="36" t="n">
        <v>7</v>
      </c>
      <c r="G487" s="36" t="n">
        <v>5</v>
      </c>
      <c r="H487" s="36" t="n">
        <v>20</v>
      </c>
      <c r="I487" s="36" t="n">
        <v>11</v>
      </c>
      <c r="J487" s="36" t="n">
        <v>20</v>
      </c>
      <c r="K487" s="28" t="n">
        <v>6</v>
      </c>
      <c r="L487" s="36" t="n">
        <v>20</v>
      </c>
      <c r="M487" s="36" t="n">
        <v>12</v>
      </c>
      <c r="N487" s="36" t="n">
        <v>15</v>
      </c>
      <c r="O487" s="36" t="n">
        <v>26</v>
      </c>
      <c r="P487" s="36" t="n">
        <v>6</v>
      </c>
      <c r="Q487" s="36" t="n">
        <v>1</v>
      </c>
      <c r="R487" s="28" t="n">
        <v>11</v>
      </c>
      <c r="S487" s="36" t="n">
        <v>15</v>
      </c>
      <c r="T487" s="36" t="n">
        <v>21</v>
      </c>
      <c r="U487" s="36" t="n">
        <v>47.38</v>
      </c>
      <c r="V487" s="36" t="n">
        <v>49.05</v>
      </c>
      <c r="W487" s="36" t="n">
        <v>47.73</v>
      </c>
      <c r="X487" s="36" t="n">
        <v>39.03</v>
      </c>
      <c r="Y487" s="28" t="n">
        <v>52.87</v>
      </c>
      <c r="Z487" s="36" t="n">
        <v>48.76000000000001</v>
      </c>
      <c r="AA487" s="36" t="n">
        <v>47.46</v>
      </c>
      <c r="AB487" s="36" t="n">
        <v>47.38</v>
      </c>
      <c r="AC487" s="36" t="n">
        <v>49.05</v>
      </c>
      <c r="AD487" s="36" t="n">
        <v>50.12</v>
      </c>
      <c r="AE487" s="36" t="n">
        <v>39.03</v>
      </c>
      <c r="AF487" s="28" t="n">
        <v>52.87</v>
      </c>
      <c r="AG487" s="36" t="n">
        <v>48.76000000000001</v>
      </c>
      <c r="AH487" s="37" t="n">
        <v>47.46</v>
      </c>
      <c r="AI487" s="37" t="n">
        <v>47.38</v>
      </c>
      <c r="AJ487" s="37" t="n">
        <v>49.05</v>
      </c>
      <c r="AK487" s="37" t="n">
        <v>47.73</v>
      </c>
      <c r="AL487" s="37" t="n">
        <v>39.03</v>
      </c>
      <c r="AM487" s="37" t="n">
        <v>52.87</v>
      </c>
      <c r="AN487" s="37" t="n">
        <v>48.76000000000001</v>
      </c>
      <c r="AO487" s="37" t="n">
        <v>47.46</v>
      </c>
      <c r="AP487" s="37" t="n">
        <v>47.38</v>
      </c>
      <c r="AQ487" s="37" t="n">
        <v>49.05</v>
      </c>
      <c r="AR487" s="37" t="n">
        <v>47.73</v>
      </c>
      <c r="AS487" s="37" t="n">
        <v>39.03</v>
      </c>
      <c r="AT487" s="37" t="n">
        <v>52.87</v>
      </c>
      <c r="AU487" s="37" t="n">
        <v>48.76000000000001</v>
      </c>
      <c r="AV487" s="37" t="n">
        <v>47.46</v>
      </c>
      <c r="AW487" s="37" t="n">
        <v>47.38</v>
      </c>
      <c r="AX487" s="37" t="n">
        <v>49.05</v>
      </c>
      <c r="AY487" s="37" t="n">
        <v>47.73</v>
      </c>
      <c r="AZ487" s="37" t="n">
        <v>39.03</v>
      </c>
      <c r="BA487" s="37" t="n">
        <v>50.17</v>
      </c>
      <c r="BB487" s="37" t="n">
        <v>44.74</v>
      </c>
      <c r="BC487" s="37" t="n">
        <v>27.52</v>
      </c>
      <c r="BD487" s="37" t="n">
        <v>21.58</v>
      </c>
      <c r="BE487" s="37" t="n">
        <v>46.09</v>
      </c>
      <c r="BF487" s="37" t="n">
        <v>44.87</v>
      </c>
      <c r="BG487" s="37" t="n">
        <v>40.38</v>
      </c>
      <c r="BH487" s="37" t="n">
        <v>54.6</v>
      </c>
      <c r="BI487" s="37" t="n">
        <v>50.3</v>
      </c>
      <c r="BJ487" s="37" t="n">
        <v>51.56</v>
      </c>
      <c r="BK487" s="37" t="n">
        <v>48.88</v>
      </c>
      <c r="BL487" s="37" t="n">
        <v>50.65000000000001</v>
      </c>
      <c r="BM487" s="37" t="n">
        <v>49.24</v>
      </c>
      <c r="BN487" s="37" t="n">
        <v>40.38</v>
      </c>
      <c r="BO487" s="37" t="n">
        <v>54.6</v>
      </c>
      <c r="BP487" s="37" t="n">
        <v>50.3</v>
      </c>
      <c r="BQ487" s="37" t="n">
        <v>48.96</v>
      </c>
      <c r="BR487" s="37" t="n">
        <v>48.88</v>
      </c>
      <c r="BS487" s="37" t="n">
        <v>50.65000000000001</v>
      </c>
      <c r="BT487" s="37" t="n">
        <v>49.24</v>
      </c>
      <c r="BU487" s="37" t="n">
        <v>40.38</v>
      </c>
      <c r="BV487" s="37" t="n">
        <v>54.6</v>
      </c>
      <c r="BW487" s="37" t="n">
        <v>50.3</v>
      </c>
      <c r="BX487" s="37" t="n">
        <v>48.96</v>
      </c>
      <c r="BY487" s="37" t="n">
        <v>48.88</v>
      </c>
      <c r="BZ487" s="37" t="n">
        <v>50.65000000000001</v>
      </c>
      <c r="CA487" s="37" t="n">
        <v>49.24</v>
      </c>
      <c r="CB487" s="37" t="n">
        <v>40.38</v>
      </c>
      <c r="CC487" s="37" t="n">
        <v>3017.68</v>
      </c>
    </row>
    <row r="488" ht="15.75" customHeight="1" s="57">
      <c r="A488" s="7" t="inlineStr">
        <is>
          <t>NTB</t>
        </is>
      </c>
      <c r="B488" s="7" t="inlineStr">
        <is>
          <t>Đắk Nông</t>
        </is>
      </c>
      <c r="C488" s="7" t="n">
        <v>21364000</v>
      </c>
      <c r="D488" s="7" t="inlineStr">
        <is>
          <t>(DNO) Quảng Khê</t>
        </is>
      </c>
      <c r="E488" s="7" t="inlineStr">
        <is>
          <t>SME-Bulky</t>
        </is>
      </c>
      <c r="F488" s="36" t="n">
        <v>1</v>
      </c>
      <c r="G488" s="36" t="n">
        <v>0</v>
      </c>
      <c r="H488" s="36" t="n">
        <v>1</v>
      </c>
      <c r="I488" s="36" t="n">
        <v>0</v>
      </c>
      <c r="J488" s="36" t="n">
        <v>2</v>
      </c>
      <c r="K488" s="28" t="n">
        <v>1</v>
      </c>
      <c r="L488" s="36" t="n">
        <v>0</v>
      </c>
      <c r="M488" s="36" t="n">
        <v>2</v>
      </c>
      <c r="N488" s="36" t="n">
        <v>2</v>
      </c>
      <c r="O488" s="36" t="n">
        <v>2</v>
      </c>
      <c r="P488" s="36" t="n">
        <v>1</v>
      </c>
      <c r="Q488" s="36" t="n">
        <v>0</v>
      </c>
      <c r="R488" s="28" t="n">
        <v>1</v>
      </c>
      <c r="S488" s="36" t="n">
        <v>0</v>
      </c>
      <c r="T488" s="36" t="n">
        <v>3</v>
      </c>
      <c r="U488" s="36" t="n">
        <v>0.44</v>
      </c>
      <c r="V488" s="36" t="n">
        <v>0.44</v>
      </c>
      <c r="W488" s="36" t="n">
        <v>0.44</v>
      </c>
      <c r="X488" s="36" t="n">
        <v>0.19</v>
      </c>
      <c r="Y488" s="28" t="n">
        <v>0.59</v>
      </c>
      <c r="Z488" s="36" t="n">
        <v>0.48</v>
      </c>
      <c r="AA488" s="36" t="n">
        <v>0.48</v>
      </c>
      <c r="AB488" s="36" t="n">
        <v>0.44</v>
      </c>
      <c r="AC488" s="36" t="n">
        <v>0.44</v>
      </c>
      <c r="AD488" s="36" t="n">
        <v>1.2</v>
      </c>
      <c r="AE488" s="36" t="n">
        <v>0.19</v>
      </c>
      <c r="AF488" s="28" t="n">
        <v>0.59</v>
      </c>
      <c r="AG488" s="36" t="n">
        <v>0.48</v>
      </c>
      <c r="AH488" s="37" t="n">
        <v>0.48</v>
      </c>
      <c r="AI488" s="37" t="n">
        <v>0.44</v>
      </c>
      <c r="AJ488" s="37" t="n">
        <v>0.44</v>
      </c>
      <c r="AK488" s="37" t="n">
        <v>0.44</v>
      </c>
      <c r="AL488" s="37" t="n">
        <v>0.19</v>
      </c>
      <c r="AM488" s="37" t="n">
        <v>0.59</v>
      </c>
      <c r="AN488" s="37" t="n">
        <v>0.48</v>
      </c>
      <c r="AO488" s="37" t="n">
        <v>0.48</v>
      </c>
      <c r="AP488" s="37" t="n">
        <v>0.44</v>
      </c>
      <c r="AQ488" s="37" t="n">
        <v>0.44</v>
      </c>
      <c r="AR488" s="37" t="n">
        <v>0.44</v>
      </c>
      <c r="AS488" s="37" t="n">
        <v>0.19</v>
      </c>
      <c r="AT488" s="37" t="n">
        <v>0.59</v>
      </c>
      <c r="AU488" s="37" t="n">
        <v>0.48</v>
      </c>
      <c r="AV488" s="37" t="n">
        <v>0.48</v>
      </c>
      <c r="AW488" s="37" t="n">
        <v>0.44</v>
      </c>
      <c r="AX488" s="37" t="n">
        <v>0.44</v>
      </c>
      <c r="AY488" s="37" t="n">
        <v>0.44</v>
      </c>
      <c r="AZ488" s="37" t="n">
        <v>0.19</v>
      </c>
      <c r="BA488" s="37" t="n">
        <v>0.65</v>
      </c>
      <c r="BB488" s="37" t="n">
        <v>0.27</v>
      </c>
      <c r="BC488" s="37" t="n">
        <v>0.08</v>
      </c>
      <c r="BD488" s="37" t="n">
        <v>0.06</v>
      </c>
      <c r="BE488" s="37" t="n">
        <v>0.25</v>
      </c>
      <c r="BF488" s="37" t="n">
        <v>0.21</v>
      </c>
      <c r="BG488" s="37" t="n">
        <v>0.1</v>
      </c>
      <c r="BH488" s="37" t="n">
        <v>0.32</v>
      </c>
      <c r="BI488" s="37" t="n">
        <v>0.27</v>
      </c>
      <c r="BJ488" s="37" t="n">
        <v>0.65</v>
      </c>
      <c r="BK488" s="37" t="n">
        <v>0.25</v>
      </c>
      <c r="BL488" s="37" t="n">
        <v>0.25</v>
      </c>
      <c r="BM488" s="37" t="n">
        <v>0.25</v>
      </c>
      <c r="BN488" s="37" t="n">
        <v>0.1</v>
      </c>
      <c r="BO488" s="37" t="n">
        <v>0.32</v>
      </c>
      <c r="BP488" s="37" t="n">
        <v>0.27</v>
      </c>
      <c r="BQ488" s="37" t="n">
        <v>0.27</v>
      </c>
      <c r="BR488" s="37" t="n">
        <v>0.25</v>
      </c>
      <c r="BS488" s="37" t="n">
        <v>0.25</v>
      </c>
      <c r="BT488" s="37" t="n">
        <v>0.25</v>
      </c>
      <c r="BU488" s="37" t="n">
        <v>0.1</v>
      </c>
      <c r="BV488" s="37" t="n">
        <v>0.32</v>
      </c>
      <c r="BW488" s="37" t="n">
        <v>0.27</v>
      </c>
      <c r="BX488" s="37" t="n">
        <v>0.27</v>
      </c>
      <c r="BY488" s="37" t="n">
        <v>0.25</v>
      </c>
      <c r="BZ488" s="37" t="n">
        <v>0.25</v>
      </c>
      <c r="CA488" s="37" t="n">
        <v>0.25</v>
      </c>
      <c r="CB488" s="37" t="n">
        <v>0.1</v>
      </c>
      <c r="CC488" s="37" t="n">
        <v>37.64000000000004</v>
      </c>
    </row>
    <row r="489" ht="15.75" customHeight="1" s="57">
      <c r="A489" s="7" t="inlineStr">
        <is>
          <t>NTB</t>
        </is>
      </c>
      <c r="B489" s="7" t="inlineStr">
        <is>
          <t>Đắk Nông</t>
        </is>
      </c>
      <c r="C489" s="7" t="n">
        <v>21364000</v>
      </c>
      <c r="D489" s="7" t="inlineStr">
        <is>
          <t>(DNO) Quảng Khê</t>
        </is>
      </c>
      <c r="E489" s="7" t="inlineStr">
        <is>
          <t>Shopee</t>
        </is>
      </c>
      <c r="F489" s="36" t="n">
        <v>1</v>
      </c>
      <c r="G489" s="36" t="n">
        <v>1</v>
      </c>
      <c r="H489" s="36" t="n">
        <v>0</v>
      </c>
      <c r="I489" s="36" t="n">
        <v>1</v>
      </c>
      <c r="J489" s="36" t="n">
        <v>1</v>
      </c>
      <c r="K489" s="28" t="n">
        <v>0</v>
      </c>
      <c r="L489" s="36" t="n">
        <v>1</v>
      </c>
      <c r="M489" s="36" t="n">
        <v>0</v>
      </c>
      <c r="N489" s="36" t="n">
        <v>0</v>
      </c>
      <c r="O489" s="36" t="n">
        <v>0</v>
      </c>
      <c r="P489" s="36" t="n">
        <v>0</v>
      </c>
      <c r="Q489" s="36" t="n">
        <v>0</v>
      </c>
      <c r="R489" s="28" t="n">
        <v>0</v>
      </c>
      <c r="S489" s="36" t="n">
        <v>0</v>
      </c>
      <c r="T489" s="36" t="n">
        <v>0</v>
      </c>
      <c r="U489" s="36" t="n">
        <v>0</v>
      </c>
      <c r="V489" s="36" t="n">
        <v>0</v>
      </c>
      <c r="W489" s="36" t="n">
        <v>0</v>
      </c>
      <c r="X489" s="36" t="n">
        <v>0</v>
      </c>
      <c r="Y489" s="28" t="n">
        <v>0</v>
      </c>
      <c r="Z489" s="36" t="n">
        <v>0</v>
      </c>
      <c r="AA489" s="36" t="n">
        <v>0</v>
      </c>
      <c r="AB489" s="36" t="n">
        <v>0</v>
      </c>
      <c r="AC489" s="36" t="n">
        <v>0</v>
      </c>
      <c r="AD489" s="36" t="n">
        <v>0</v>
      </c>
      <c r="AE489" s="36" t="n">
        <v>0</v>
      </c>
      <c r="AF489" s="28" t="n">
        <v>0</v>
      </c>
      <c r="AG489" s="36" t="n">
        <v>0</v>
      </c>
      <c r="AH489" s="37" t="n">
        <v>0</v>
      </c>
      <c r="AI489" s="37" t="n">
        <v>0</v>
      </c>
      <c r="AJ489" s="37" t="n">
        <v>0</v>
      </c>
      <c r="AK489" s="37" t="n">
        <v>0</v>
      </c>
      <c r="AL489" s="37" t="n">
        <v>0</v>
      </c>
      <c r="AM489" s="37" t="n">
        <v>0</v>
      </c>
      <c r="AN489" s="37" t="n">
        <v>0</v>
      </c>
      <c r="AO489" s="37" t="n">
        <v>0</v>
      </c>
      <c r="AP489" s="37" t="n">
        <v>0</v>
      </c>
      <c r="AQ489" s="37" t="n">
        <v>0</v>
      </c>
      <c r="AR489" s="37" t="n">
        <v>0</v>
      </c>
      <c r="AS489" s="37" t="n">
        <v>0</v>
      </c>
      <c r="AT489" s="37" t="n">
        <v>0</v>
      </c>
      <c r="AU489" s="37" t="n">
        <v>0</v>
      </c>
      <c r="AV489" s="37" t="n">
        <v>0</v>
      </c>
      <c r="AW489" s="37" t="n">
        <v>0</v>
      </c>
      <c r="AX489" s="37" t="n">
        <v>0</v>
      </c>
      <c r="AY489" s="37" t="n">
        <v>0</v>
      </c>
      <c r="AZ489" s="37" t="n">
        <v>0</v>
      </c>
      <c r="BA489" s="37" t="n">
        <v>0</v>
      </c>
      <c r="BB489" s="37" t="n">
        <v>0</v>
      </c>
      <c r="BC489" s="37" t="n">
        <v>0</v>
      </c>
      <c r="BD489" s="37" t="n">
        <v>0</v>
      </c>
      <c r="BE489" s="37" t="n">
        <v>0</v>
      </c>
      <c r="BF489" s="37" t="n">
        <v>0</v>
      </c>
      <c r="BG489" s="37" t="n">
        <v>0</v>
      </c>
      <c r="BH489" s="37" t="n">
        <v>0</v>
      </c>
      <c r="BI489" s="37" t="n">
        <v>0</v>
      </c>
      <c r="BJ489" s="37" t="n">
        <v>0</v>
      </c>
      <c r="BK489" s="37" t="n">
        <v>0</v>
      </c>
      <c r="BL489" s="37" t="n">
        <v>0</v>
      </c>
      <c r="BM489" s="37" t="n">
        <v>0</v>
      </c>
      <c r="BN489" s="37" t="n">
        <v>0</v>
      </c>
      <c r="BO489" s="37" t="n">
        <v>0</v>
      </c>
      <c r="BP489" s="37" t="n">
        <v>0</v>
      </c>
      <c r="BQ489" s="37" t="n">
        <v>0</v>
      </c>
      <c r="BR489" s="37" t="n">
        <v>0</v>
      </c>
      <c r="BS489" s="37" t="n">
        <v>0</v>
      </c>
      <c r="BT489" s="37" t="n">
        <v>0</v>
      </c>
      <c r="BU489" s="37" t="n">
        <v>0</v>
      </c>
      <c r="BV489" s="37" t="n">
        <v>0</v>
      </c>
      <c r="BW489" s="37" t="n">
        <v>0</v>
      </c>
      <c r="BX489" s="37" t="n">
        <v>0</v>
      </c>
      <c r="BY489" s="37" t="n">
        <v>0</v>
      </c>
      <c r="BZ489" s="37" t="n">
        <v>0</v>
      </c>
      <c r="CA489" s="37" t="n">
        <v>0</v>
      </c>
      <c r="CB489" s="37" t="n">
        <v>0</v>
      </c>
      <c r="CC489" s="37" t="n">
        <v>5</v>
      </c>
    </row>
    <row r="490" ht="15.75" customHeight="1" s="57">
      <c r="A490" s="7" t="inlineStr">
        <is>
          <t>NTB</t>
        </is>
      </c>
      <c r="B490" s="7" t="inlineStr">
        <is>
          <t>Đắk Nông</t>
        </is>
      </c>
      <c r="C490" s="7" t="n">
        <v>21364000</v>
      </c>
      <c r="D490" s="7" t="inlineStr">
        <is>
          <t>(DNO) Quảng Khê</t>
        </is>
      </c>
      <c r="E490" s="7" t="inlineStr">
        <is>
          <t>TTS</t>
        </is>
      </c>
      <c r="F490" s="36" t="n">
        <v>0</v>
      </c>
      <c r="G490" s="36" t="n">
        <v>1</v>
      </c>
      <c r="H490" s="36" t="n">
        <v>1</v>
      </c>
      <c r="I490" s="36" t="n">
        <v>1</v>
      </c>
      <c r="J490" s="36" t="n">
        <v>2</v>
      </c>
      <c r="K490" s="28" t="n">
        <v>2</v>
      </c>
      <c r="L490" s="36" t="n">
        <v>3</v>
      </c>
      <c r="M490" s="36" t="n">
        <v>1</v>
      </c>
      <c r="N490" s="36" t="n">
        <v>1</v>
      </c>
      <c r="O490" s="36" t="n">
        <v>4</v>
      </c>
      <c r="P490" s="36" t="n">
        <v>0</v>
      </c>
      <c r="Q490" s="36" t="n">
        <v>0</v>
      </c>
      <c r="R490" s="28" t="n">
        <v>1</v>
      </c>
      <c r="S490" s="36" t="n">
        <v>0</v>
      </c>
      <c r="T490" s="36" t="n">
        <v>5</v>
      </c>
      <c r="U490" s="36" t="n">
        <v>2.54</v>
      </c>
      <c r="V490" s="36" t="n">
        <v>2.44</v>
      </c>
      <c r="W490" s="36" t="n">
        <v>2.37</v>
      </c>
      <c r="X490" s="36" t="n">
        <v>1.99</v>
      </c>
      <c r="Y490" s="28" t="n">
        <v>2.87</v>
      </c>
      <c r="Z490" s="36" t="n">
        <v>2.42</v>
      </c>
      <c r="AA490" s="36" t="n">
        <v>2.67</v>
      </c>
      <c r="AB490" s="36" t="n">
        <v>2.88</v>
      </c>
      <c r="AC490" s="36" t="n">
        <v>3.04</v>
      </c>
      <c r="AD490" s="36" t="n">
        <v>3.79</v>
      </c>
      <c r="AE490" s="36" t="n">
        <v>2.23</v>
      </c>
      <c r="AF490" s="28" t="n">
        <v>2.96</v>
      </c>
      <c r="AG490" s="36" t="n">
        <v>2.44</v>
      </c>
      <c r="AH490" s="37" t="n">
        <v>2.38</v>
      </c>
      <c r="AI490" s="37" t="n">
        <v>2.79</v>
      </c>
      <c r="AJ490" s="37" t="n">
        <v>2.89</v>
      </c>
      <c r="AK490" s="37" t="n">
        <v>2.8</v>
      </c>
      <c r="AL490" s="37" t="n">
        <v>2.14</v>
      </c>
      <c r="AM490" s="37" t="n">
        <v>2.88</v>
      </c>
      <c r="AN490" s="37" t="n">
        <v>2.52</v>
      </c>
      <c r="AO490" s="37" t="n">
        <v>2.5</v>
      </c>
      <c r="AP490" s="37" t="n">
        <v>2.4</v>
      </c>
      <c r="AQ490" s="37" t="n">
        <v>2.42</v>
      </c>
      <c r="AR490" s="37" t="n">
        <v>2.35</v>
      </c>
      <c r="AS490" s="37" t="n">
        <v>1.99</v>
      </c>
      <c r="AT490" s="37" t="n">
        <v>3.22</v>
      </c>
      <c r="AU490" s="37" t="n">
        <v>2.79</v>
      </c>
      <c r="AV490" s="37" t="n">
        <v>2.54</v>
      </c>
      <c r="AW490" s="37" t="n">
        <v>2.34</v>
      </c>
      <c r="AX490" s="37" t="n">
        <v>2.35</v>
      </c>
      <c r="AY490" s="37" t="n">
        <v>2.34</v>
      </c>
      <c r="AZ490" s="37" t="n">
        <v>2</v>
      </c>
      <c r="BA490" s="37" t="n">
        <v>2.86</v>
      </c>
      <c r="BB490" s="37" t="n">
        <v>2.7</v>
      </c>
      <c r="BC490" s="37" t="n">
        <v>1.36</v>
      </c>
      <c r="BD490" s="37" t="n">
        <v>1.92</v>
      </c>
      <c r="BE490" s="37" t="n">
        <v>4.44</v>
      </c>
      <c r="BF490" s="37" t="n">
        <v>4.33</v>
      </c>
      <c r="BG490" s="37" t="n">
        <v>2.14</v>
      </c>
      <c r="BH490" s="37" t="n">
        <v>3.22</v>
      </c>
      <c r="BI490" s="37" t="n">
        <v>2.7</v>
      </c>
      <c r="BJ490" s="37" t="n">
        <v>2.99</v>
      </c>
      <c r="BK490" s="37" t="n">
        <v>2.71</v>
      </c>
      <c r="BL490" s="37" t="n">
        <v>2.72</v>
      </c>
      <c r="BM490" s="37" t="n">
        <v>2.63</v>
      </c>
      <c r="BN490" s="37" t="n">
        <v>2.14</v>
      </c>
      <c r="BO490" s="37" t="n">
        <v>3.22</v>
      </c>
      <c r="BP490" s="37" t="n">
        <v>2.7</v>
      </c>
      <c r="BQ490" s="37" t="n">
        <v>2.64</v>
      </c>
      <c r="BR490" s="37" t="n">
        <v>2.71</v>
      </c>
      <c r="BS490" s="37" t="n">
        <v>2.72</v>
      </c>
      <c r="BT490" s="37" t="n">
        <v>2.63</v>
      </c>
      <c r="BU490" s="37" t="n">
        <v>2.14</v>
      </c>
      <c r="BV490" s="37" t="n">
        <v>3.22</v>
      </c>
      <c r="BW490" s="37" t="n">
        <v>2.7</v>
      </c>
      <c r="BX490" s="37" t="n">
        <v>2.64</v>
      </c>
      <c r="BY490" s="37" t="n">
        <v>2.71</v>
      </c>
      <c r="BZ490" s="37" t="n">
        <v>2.72</v>
      </c>
      <c r="CA490" s="37" t="n">
        <v>2.63</v>
      </c>
      <c r="CB490" s="37" t="n">
        <v>2.14</v>
      </c>
      <c r="CC490" s="37" t="n">
        <v>180.6599999999999</v>
      </c>
    </row>
    <row r="491" ht="15.75" customHeight="1" s="57">
      <c r="A491" s="7" t="inlineStr">
        <is>
          <t>NTB</t>
        </is>
      </c>
      <c r="B491" s="7" t="inlineStr">
        <is>
          <t>Đắk Nông</t>
        </is>
      </c>
      <c r="C491" s="7" t="n">
        <v>21477000</v>
      </c>
      <c r="D491" s="7" t="inlineStr">
        <is>
          <t>(DNO) Đức An</t>
        </is>
      </c>
      <c r="E491" s="7" t="inlineStr">
        <is>
          <t>SME</t>
        </is>
      </c>
      <c r="F491" s="36" t="n">
        <v>34</v>
      </c>
      <c r="G491" s="36" t="n">
        <v>34</v>
      </c>
      <c r="H491" s="36" t="n">
        <v>31</v>
      </c>
      <c r="I491" s="36" t="n">
        <v>33</v>
      </c>
      <c r="J491" s="36" t="n">
        <v>21</v>
      </c>
      <c r="K491" s="28" t="n">
        <v>27</v>
      </c>
      <c r="L491" s="36" t="n">
        <v>33</v>
      </c>
      <c r="M491" s="36" t="n">
        <v>24</v>
      </c>
      <c r="N491" s="36" t="n">
        <v>20</v>
      </c>
      <c r="O491" s="36" t="n">
        <v>42</v>
      </c>
      <c r="P491" s="36" t="n">
        <v>32</v>
      </c>
      <c r="Q491" s="36" t="n">
        <v>24</v>
      </c>
      <c r="R491" s="28" t="n">
        <v>25</v>
      </c>
      <c r="S491" s="36" t="n">
        <v>21</v>
      </c>
      <c r="T491" s="36" t="n">
        <v>23</v>
      </c>
      <c r="U491" s="36" t="n">
        <v>84.56999999999999</v>
      </c>
      <c r="V491" s="36" t="n">
        <v>87.52</v>
      </c>
      <c r="W491" s="36" t="n">
        <v>85.14</v>
      </c>
      <c r="X491" s="36" t="n">
        <v>69.59</v>
      </c>
      <c r="Y491" s="28" t="n">
        <v>94.28999999999999</v>
      </c>
      <c r="Z491" s="36" t="n">
        <v>87.00999999999999</v>
      </c>
      <c r="AA491" s="36" t="n">
        <v>84.59999999999999</v>
      </c>
      <c r="AB491" s="36" t="n">
        <v>84.56999999999999</v>
      </c>
      <c r="AC491" s="36" t="n">
        <v>87.52</v>
      </c>
      <c r="AD491" s="36" t="n">
        <v>89.68000000000001</v>
      </c>
      <c r="AE491" s="36" t="n">
        <v>69.59</v>
      </c>
      <c r="AF491" s="28" t="n">
        <v>94.28999999999999</v>
      </c>
      <c r="AG491" s="36" t="n">
        <v>87.00999999999999</v>
      </c>
      <c r="AH491" s="37" t="n">
        <v>84.59999999999999</v>
      </c>
      <c r="AI491" s="37" t="n">
        <v>84.56999999999999</v>
      </c>
      <c r="AJ491" s="37" t="n">
        <v>87.52</v>
      </c>
      <c r="AK491" s="37" t="n">
        <v>85.14</v>
      </c>
      <c r="AL491" s="37" t="n">
        <v>69.59</v>
      </c>
      <c r="AM491" s="37" t="n">
        <v>94.28999999999999</v>
      </c>
      <c r="AN491" s="37" t="n">
        <v>87.00999999999999</v>
      </c>
      <c r="AO491" s="37" t="n">
        <v>84.59999999999999</v>
      </c>
      <c r="AP491" s="37" t="n">
        <v>84.56999999999999</v>
      </c>
      <c r="AQ491" s="37" t="n">
        <v>87.52</v>
      </c>
      <c r="AR491" s="37" t="n">
        <v>85.14</v>
      </c>
      <c r="AS491" s="37" t="n">
        <v>69.59</v>
      </c>
      <c r="AT491" s="37" t="n">
        <v>94.28999999999999</v>
      </c>
      <c r="AU491" s="37" t="n">
        <v>87.00999999999999</v>
      </c>
      <c r="AV491" s="37" t="n">
        <v>84.59999999999999</v>
      </c>
      <c r="AW491" s="37" t="n">
        <v>84.56999999999999</v>
      </c>
      <c r="AX491" s="37" t="n">
        <v>87.52</v>
      </c>
      <c r="AY491" s="37" t="n">
        <v>85.14</v>
      </c>
      <c r="AZ491" s="37" t="n">
        <v>69.59</v>
      </c>
      <c r="BA491" s="37" t="n">
        <v>89.50999999999999</v>
      </c>
      <c r="BB491" s="37" t="n">
        <v>79.75999999999999</v>
      </c>
      <c r="BC491" s="37" t="n">
        <v>48.98</v>
      </c>
      <c r="BD491" s="37" t="n">
        <v>38.34</v>
      </c>
      <c r="BE491" s="37" t="n">
        <v>82.14999999999999</v>
      </c>
      <c r="BF491" s="37" t="n">
        <v>79.98999999999999</v>
      </c>
      <c r="BG491" s="37" t="n">
        <v>71.98999999999999</v>
      </c>
      <c r="BH491" s="37" t="n">
        <v>97.34999999999999</v>
      </c>
      <c r="BI491" s="37" t="n">
        <v>89.73999999999999</v>
      </c>
      <c r="BJ491" s="37" t="n">
        <v>92.23</v>
      </c>
      <c r="BK491" s="37" t="n">
        <v>87.22</v>
      </c>
      <c r="BL491" s="37" t="n">
        <v>90.36</v>
      </c>
      <c r="BM491" s="37" t="n">
        <v>87.82000000000001</v>
      </c>
      <c r="BN491" s="37" t="n">
        <v>71.98999999999999</v>
      </c>
      <c r="BO491" s="37" t="n">
        <v>97.34999999999999</v>
      </c>
      <c r="BP491" s="37" t="n">
        <v>89.73999999999999</v>
      </c>
      <c r="BQ491" s="37" t="n">
        <v>87.25</v>
      </c>
      <c r="BR491" s="37" t="n">
        <v>87.22</v>
      </c>
      <c r="BS491" s="37" t="n">
        <v>90.36</v>
      </c>
      <c r="BT491" s="37" t="n">
        <v>87.82000000000001</v>
      </c>
      <c r="BU491" s="37" t="n">
        <v>71.98999999999999</v>
      </c>
      <c r="BV491" s="37" t="n">
        <v>97.34999999999999</v>
      </c>
      <c r="BW491" s="37" t="n">
        <v>89.73999999999999</v>
      </c>
      <c r="BX491" s="37" t="n">
        <v>87.25</v>
      </c>
      <c r="BY491" s="37" t="n">
        <v>87.22</v>
      </c>
      <c r="BZ491" s="37" t="n">
        <v>90.36</v>
      </c>
      <c r="CA491" s="37" t="n">
        <v>87.82000000000001</v>
      </c>
      <c r="CB491" s="37" t="n">
        <v>71.98999999999999</v>
      </c>
      <c r="CC491" s="37" t="n">
        <v>5457.129999999998</v>
      </c>
    </row>
    <row r="492" ht="15.75" customHeight="1" s="57">
      <c r="A492" s="7" t="inlineStr">
        <is>
          <t>NTB</t>
        </is>
      </c>
      <c r="B492" s="7" t="inlineStr">
        <is>
          <t>Đắk Nông</t>
        </is>
      </c>
      <c r="C492" s="7" t="n">
        <v>21477000</v>
      </c>
      <c r="D492" s="7" t="inlineStr">
        <is>
          <t>(DNO) Đức An</t>
        </is>
      </c>
      <c r="E492" s="7" t="inlineStr">
        <is>
          <t>SME-Bulky</t>
        </is>
      </c>
      <c r="F492" s="36" t="n">
        <v>2</v>
      </c>
      <c r="G492" s="36" t="n">
        <v>2</v>
      </c>
      <c r="H492" s="36" t="n">
        <v>9</v>
      </c>
      <c r="I492" s="36" t="n">
        <v>5</v>
      </c>
      <c r="J492" s="36" t="n">
        <v>1</v>
      </c>
      <c r="K492" s="28" t="n">
        <v>3</v>
      </c>
      <c r="L492" s="36" t="n">
        <v>2</v>
      </c>
      <c r="M492" s="36" t="n">
        <v>5</v>
      </c>
      <c r="N492" s="36" t="n">
        <v>3</v>
      </c>
      <c r="O492" s="36" t="n">
        <v>4</v>
      </c>
      <c r="P492" s="36" t="n">
        <v>0</v>
      </c>
      <c r="Q492" s="36" t="n">
        <v>2</v>
      </c>
      <c r="R492" s="28" t="n">
        <v>1</v>
      </c>
      <c r="S492" s="36" t="n">
        <v>2</v>
      </c>
      <c r="T492" s="36" t="n">
        <v>4</v>
      </c>
      <c r="U492" s="36" t="n">
        <v>1.52</v>
      </c>
      <c r="V492" s="36" t="n">
        <v>1.52</v>
      </c>
      <c r="W492" s="36" t="n">
        <v>1.52</v>
      </c>
      <c r="X492" s="36" t="n">
        <v>0.66</v>
      </c>
      <c r="Y492" s="28" t="n">
        <v>2.05</v>
      </c>
      <c r="Z492" s="36" t="n">
        <v>1.65</v>
      </c>
      <c r="AA492" s="36" t="n">
        <v>1.65</v>
      </c>
      <c r="AB492" s="36" t="n">
        <v>1.52</v>
      </c>
      <c r="AC492" s="36" t="n">
        <v>1.52</v>
      </c>
      <c r="AD492" s="36" t="n">
        <v>4.16</v>
      </c>
      <c r="AE492" s="36" t="n">
        <v>0.66</v>
      </c>
      <c r="AF492" s="28" t="n">
        <v>2.05</v>
      </c>
      <c r="AG492" s="36" t="n">
        <v>1.65</v>
      </c>
      <c r="AH492" s="37" t="n">
        <v>1.65</v>
      </c>
      <c r="AI492" s="37" t="n">
        <v>1.52</v>
      </c>
      <c r="AJ492" s="37" t="n">
        <v>1.52</v>
      </c>
      <c r="AK492" s="37" t="n">
        <v>1.52</v>
      </c>
      <c r="AL492" s="37" t="n">
        <v>0.66</v>
      </c>
      <c r="AM492" s="37" t="n">
        <v>2.05</v>
      </c>
      <c r="AN492" s="37" t="n">
        <v>1.65</v>
      </c>
      <c r="AO492" s="37" t="n">
        <v>1.65</v>
      </c>
      <c r="AP492" s="37" t="n">
        <v>1.52</v>
      </c>
      <c r="AQ492" s="37" t="n">
        <v>1.52</v>
      </c>
      <c r="AR492" s="37" t="n">
        <v>1.52</v>
      </c>
      <c r="AS492" s="37" t="n">
        <v>0.66</v>
      </c>
      <c r="AT492" s="37" t="n">
        <v>2.05</v>
      </c>
      <c r="AU492" s="37" t="n">
        <v>1.65</v>
      </c>
      <c r="AV492" s="37" t="n">
        <v>1.65</v>
      </c>
      <c r="AW492" s="37" t="n">
        <v>1.52</v>
      </c>
      <c r="AX492" s="37" t="n">
        <v>1.52</v>
      </c>
      <c r="AY492" s="37" t="n">
        <v>1.52</v>
      </c>
      <c r="AZ492" s="37" t="n">
        <v>0.66</v>
      </c>
      <c r="BA492" s="37" t="n">
        <v>2.25</v>
      </c>
      <c r="BB492" s="37" t="n">
        <v>0.93</v>
      </c>
      <c r="BC492" s="37" t="n">
        <v>0.26</v>
      </c>
      <c r="BD492" s="37" t="n">
        <v>0.2</v>
      </c>
      <c r="BE492" s="37" t="n">
        <v>0.86</v>
      </c>
      <c r="BF492" s="37" t="n">
        <v>0.73</v>
      </c>
      <c r="BG492" s="37" t="n">
        <v>0.33</v>
      </c>
      <c r="BH492" s="37" t="n">
        <v>1.12</v>
      </c>
      <c r="BI492" s="37" t="n">
        <v>0.93</v>
      </c>
      <c r="BJ492" s="37" t="n">
        <v>2.25</v>
      </c>
      <c r="BK492" s="37" t="n">
        <v>0.86</v>
      </c>
      <c r="BL492" s="37" t="n">
        <v>0.86</v>
      </c>
      <c r="BM492" s="37" t="n">
        <v>0.86</v>
      </c>
      <c r="BN492" s="37" t="n">
        <v>0.33</v>
      </c>
      <c r="BO492" s="37" t="n">
        <v>1.12</v>
      </c>
      <c r="BP492" s="37" t="n">
        <v>0.93</v>
      </c>
      <c r="BQ492" s="37" t="n">
        <v>0.93</v>
      </c>
      <c r="BR492" s="37" t="n">
        <v>0.86</v>
      </c>
      <c r="BS492" s="37" t="n">
        <v>0.86</v>
      </c>
      <c r="BT492" s="37" t="n">
        <v>0.86</v>
      </c>
      <c r="BU492" s="37" t="n">
        <v>0.33</v>
      </c>
      <c r="BV492" s="37" t="n">
        <v>1.12</v>
      </c>
      <c r="BW492" s="37" t="n">
        <v>0.93</v>
      </c>
      <c r="BX492" s="37" t="n">
        <v>0.93</v>
      </c>
      <c r="BY492" s="37" t="n">
        <v>0.86</v>
      </c>
      <c r="BZ492" s="37" t="n">
        <v>0.86</v>
      </c>
      <c r="CA492" s="37" t="n">
        <v>0.86</v>
      </c>
      <c r="CB492" s="37" t="n">
        <v>0.33</v>
      </c>
      <c r="CC492" s="37" t="n">
        <v>119.69</v>
      </c>
    </row>
    <row r="493" ht="15.75" customHeight="1" s="57">
      <c r="A493" s="7" t="inlineStr">
        <is>
          <t>NTB</t>
        </is>
      </c>
      <c r="B493" s="7" t="inlineStr">
        <is>
          <t>Đắk Nông</t>
        </is>
      </c>
      <c r="C493" s="7" t="n">
        <v>21477000</v>
      </c>
      <c r="D493" s="7" t="inlineStr">
        <is>
          <t>(DNO) Đức An</t>
        </is>
      </c>
      <c r="E493" s="7" t="inlineStr">
        <is>
          <t>Shopee</t>
        </is>
      </c>
      <c r="F493" s="36" t="n">
        <v>6</v>
      </c>
      <c r="G493" s="36" t="n">
        <v>3</v>
      </c>
      <c r="H493" s="36" t="n">
        <v>7</v>
      </c>
      <c r="I493" s="36" t="n">
        <v>4</v>
      </c>
      <c r="J493" s="36" t="n">
        <v>9</v>
      </c>
      <c r="K493" s="28" t="n">
        <v>3</v>
      </c>
      <c r="L493" s="36" t="n">
        <v>11</v>
      </c>
      <c r="M493" s="36" t="n">
        <v>8</v>
      </c>
      <c r="N493" s="36" t="n">
        <v>3</v>
      </c>
      <c r="O493" s="36" t="n">
        <v>2</v>
      </c>
      <c r="P493" s="36" t="n">
        <v>4</v>
      </c>
      <c r="Q493" s="36" t="n">
        <v>6</v>
      </c>
      <c r="R493" s="28" t="n">
        <v>10</v>
      </c>
      <c r="S493" s="36" t="n">
        <v>6</v>
      </c>
      <c r="T493" s="36" t="n">
        <v>7</v>
      </c>
      <c r="U493" s="36" t="n">
        <v>6.31</v>
      </c>
      <c r="V493" s="36" t="n">
        <v>6.31</v>
      </c>
      <c r="W493" s="36" t="n">
        <v>5.87</v>
      </c>
      <c r="X493" s="36" t="n">
        <v>5.17</v>
      </c>
      <c r="Y493" s="28" t="n">
        <v>8.369999999999999</v>
      </c>
      <c r="Z493" s="36" t="n">
        <v>6.88</v>
      </c>
      <c r="AA493" s="36" t="n">
        <v>8.109999999999999</v>
      </c>
      <c r="AB493" s="36" t="n">
        <v>6.4</v>
      </c>
      <c r="AC493" s="36" t="n">
        <v>5.17</v>
      </c>
      <c r="AD493" s="36" t="n">
        <v>9.99</v>
      </c>
      <c r="AE493" s="36" t="n">
        <v>5.52</v>
      </c>
      <c r="AF493" s="28" t="n">
        <v>9.119999999999999</v>
      </c>
      <c r="AG493" s="36" t="n">
        <v>7.28</v>
      </c>
      <c r="AH493" s="37" t="n">
        <v>7.54</v>
      </c>
      <c r="AI493" s="37" t="n">
        <v>6.31</v>
      </c>
      <c r="AJ493" s="37" t="n">
        <v>6.31</v>
      </c>
      <c r="AK493" s="37" t="n">
        <v>6.84</v>
      </c>
      <c r="AL493" s="37" t="n">
        <v>9.119999999999999</v>
      </c>
      <c r="AM493" s="37" t="n">
        <v>8.369999999999999</v>
      </c>
      <c r="AN493" s="37" t="n">
        <v>6.88</v>
      </c>
      <c r="AO493" s="37" t="n">
        <v>7.54</v>
      </c>
      <c r="AP493" s="37" t="n">
        <v>7.01</v>
      </c>
      <c r="AQ493" s="37" t="n">
        <v>5.17</v>
      </c>
      <c r="AR493" s="37" t="n">
        <v>5.87</v>
      </c>
      <c r="AS493" s="37" t="n">
        <v>5.17</v>
      </c>
      <c r="AT493" s="37" t="n">
        <v>8.369999999999999</v>
      </c>
      <c r="AU493" s="37" t="n">
        <v>7.45</v>
      </c>
      <c r="AV493" s="37" t="n">
        <v>7.58</v>
      </c>
      <c r="AW493" s="37" t="n">
        <v>6.31</v>
      </c>
      <c r="AX493" s="37" t="n">
        <v>6.31</v>
      </c>
      <c r="AY493" s="37" t="n">
        <v>5.87</v>
      </c>
      <c r="AZ493" s="37" t="n">
        <v>5.17</v>
      </c>
      <c r="BA493" s="37" t="n">
        <v>7.36</v>
      </c>
      <c r="BB493" s="37" t="n">
        <v>5.08</v>
      </c>
      <c r="BC493" s="37" t="n">
        <v>2.41</v>
      </c>
      <c r="BD493" s="37" t="n">
        <v>3.73</v>
      </c>
      <c r="BE493" s="37" t="n">
        <v>7.85</v>
      </c>
      <c r="BF493" s="37" t="n">
        <v>7.45</v>
      </c>
      <c r="BG493" s="37" t="n">
        <v>5.26</v>
      </c>
      <c r="BH493" s="37" t="n">
        <v>8.24</v>
      </c>
      <c r="BI493" s="37" t="n">
        <v>5.39</v>
      </c>
      <c r="BJ493" s="37" t="n">
        <v>14.46</v>
      </c>
      <c r="BK493" s="37" t="n">
        <v>6.79</v>
      </c>
      <c r="BL493" s="37" t="n">
        <v>6.62</v>
      </c>
      <c r="BM493" s="37" t="n">
        <v>5.79</v>
      </c>
      <c r="BN493" s="37" t="n">
        <v>5.08</v>
      </c>
      <c r="BO493" s="37" t="n">
        <v>8.24</v>
      </c>
      <c r="BP493" s="37" t="n">
        <v>7.32</v>
      </c>
      <c r="BQ493" s="37" t="n">
        <v>11.18</v>
      </c>
      <c r="BR493" s="37" t="n">
        <v>6.22</v>
      </c>
      <c r="BS493" s="37" t="n">
        <v>6.22</v>
      </c>
      <c r="BT493" s="37" t="n">
        <v>5.79</v>
      </c>
      <c r="BU493" s="37" t="n">
        <v>5.57</v>
      </c>
      <c r="BV493" s="37" t="n">
        <v>6.84</v>
      </c>
      <c r="BW493" s="37" t="n">
        <v>6.79</v>
      </c>
      <c r="BX493" s="37" t="n">
        <v>7.41</v>
      </c>
      <c r="BY493" s="37" t="n">
        <v>6.22</v>
      </c>
      <c r="BZ493" s="37" t="n">
        <v>6.93</v>
      </c>
      <c r="CA493" s="37" t="n">
        <v>6.14</v>
      </c>
      <c r="CB493" s="37" t="n">
        <v>5.08</v>
      </c>
      <c r="CC493" s="37" t="n">
        <v>496.1500000000001</v>
      </c>
    </row>
    <row r="494" ht="15.75" customHeight="1" s="57">
      <c r="A494" s="7" t="inlineStr">
        <is>
          <t>NTB</t>
        </is>
      </c>
      <c r="B494" s="7" t="inlineStr">
        <is>
          <t>Đắk Nông</t>
        </is>
      </c>
      <c r="C494" s="7" t="n">
        <v>21477000</v>
      </c>
      <c r="D494" s="7" t="inlineStr">
        <is>
          <t>(DNO) Đức An</t>
        </is>
      </c>
      <c r="E494" s="7" t="inlineStr">
        <is>
          <t>Shopee-Bulky</t>
        </is>
      </c>
      <c r="F494" s="36" t="n">
        <v>0</v>
      </c>
      <c r="G494" s="36" t="n">
        <v>0</v>
      </c>
      <c r="H494" s="36" t="n">
        <v>0</v>
      </c>
      <c r="I494" s="36" t="n">
        <v>0</v>
      </c>
      <c r="J494" s="36" t="n">
        <v>0</v>
      </c>
      <c r="K494" s="28" t="n">
        <v>0</v>
      </c>
      <c r="L494" s="36" t="n">
        <v>0.64</v>
      </c>
      <c r="M494" s="36" t="n">
        <v>0</v>
      </c>
      <c r="N494" s="36" t="n">
        <v>0.64</v>
      </c>
      <c r="O494" s="36" t="n">
        <v>0</v>
      </c>
      <c r="P494" s="36" t="n">
        <v>0</v>
      </c>
      <c r="Q494" s="36" t="n">
        <v>0</v>
      </c>
      <c r="R494" s="28" t="n">
        <v>0.64</v>
      </c>
      <c r="S494" s="36" t="n">
        <v>0</v>
      </c>
      <c r="T494" s="36" t="n">
        <v>1.28</v>
      </c>
      <c r="U494" s="36" t="n">
        <v>0.3100000000000001</v>
      </c>
      <c r="V494" s="36" t="n">
        <v>0.23</v>
      </c>
      <c r="W494" s="36" t="n">
        <v>0.36</v>
      </c>
      <c r="X494" s="36" t="n">
        <v>0.16</v>
      </c>
      <c r="Y494" s="28" t="n">
        <v>0.3100000000000001</v>
      </c>
      <c r="Z494" s="36" t="n">
        <v>0.3100000000000001</v>
      </c>
      <c r="AA494" s="36" t="n">
        <v>0.36</v>
      </c>
      <c r="AB494" s="36" t="n">
        <v>0.3100000000000001</v>
      </c>
      <c r="AC494" s="36" t="n">
        <v>0.36</v>
      </c>
      <c r="AD494" s="36" t="n">
        <v>0.71</v>
      </c>
      <c r="AE494" s="36" t="n">
        <v>0.7899999999999999</v>
      </c>
      <c r="AF494" s="28" t="n">
        <v>0.6299999999999999</v>
      </c>
      <c r="AG494" s="36" t="n">
        <v>0.48</v>
      </c>
      <c r="AH494" s="37" t="n">
        <v>0.3100000000000001</v>
      </c>
      <c r="AI494" s="37" t="n">
        <v>0.3100000000000001</v>
      </c>
      <c r="AJ494" s="37" t="n">
        <v>0.23</v>
      </c>
      <c r="AK494" s="37" t="n">
        <v>0.48</v>
      </c>
      <c r="AL494" s="37" t="n">
        <v>0.48</v>
      </c>
      <c r="AM494" s="37" t="n">
        <v>0.48</v>
      </c>
      <c r="AN494" s="37" t="n">
        <v>0.3100000000000001</v>
      </c>
      <c r="AO494" s="37" t="n">
        <v>0.3100000000000001</v>
      </c>
      <c r="AP494" s="37" t="n">
        <v>0.4</v>
      </c>
      <c r="AQ494" s="37" t="n">
        <v>0.48</v>
      </c>
      <c r="AR494" s="37" t="n">
        <v>0.36</v>
      </c>
      <c r="AS494" s="37" t="n">
        <v>0.16</v>
      </c>
      <c r="AT494" s="37" t="n">
        <v>0.3100000000000001</v>
      </c>
      <c r="AU494" s="37" t="n">
        <v>0.43</v>
      </c>
      <c r="AV494" s="37" t="n">
        <v>0.6299999999999999</v>
      </c>
      <c r="AW494" s="37" t="n">
        <v>0.3100000000000001</v>
      </c>
      <c r="AX494" s="37" t="n">
        <v>0.23</v>
      </c>
      <c r="AY494" s="37" t="n">
        <v>0.36</v>
      </c>
      <c r="AZ494" s="37" t="n">
        <v>0.16</v>
      </c>
      <c r="BA494" s="37" t="n">
        <v>0.3100000000000001</v>
      </c>
      <c r="BB494" s="37" t="n">
        <v>0.23</v>
      </c>
      <c r="BC494" s="37" t="n">
        <v>0</v>
      </c>
      <c r="BD494" s="37" t="n">
        <v>0.08</v>
      </c>
      <c r="BE494" s="37" t="n">
        <v>0.3100000000000001</v>
      </c>
      <c r="BF494" s="37" t="n">
        <v>0.36</v>
      </c>
      <c r="BG494" s="37" t="n">
        <v>0.23</v>
      </c>
      <c r="BH494" s="37" t="n">
        <v>0.3100000000000001</v>
      </c>
      <c r="BI494" s="37" t="n">
        <v>0.3100000000000001</v>
      </c>
      <c r="BJ494" s="37" t="n">
        <v>2.18</v>
      </c>
      <c r="BK494" s="37" t="n">
        <v>0.5600000000000001</v>
      </c>
      <c r="BL494" s="37" t="n">
        <v>0.3100000000000001</v>
      </c>
      <c r="BM494" s="37" t="n">
        <v>0.23</v>
      </c>
      <c r="BN494" s="37" t="n">
        <v>0.23</v>
      </c>
      <c r="BO494" s="37" t="n">
        <v>0.48</v>
      </c>
      <c r="BP494" s="37" t="n">
        <v>0.43</v>
      </c>
      <c r="BQ494" s="37" t="n">
        <v>0.43</v>
      </c>
      <c r="BR494" s="37" t="n">
        <v>0.48</v>
      </c>
      <c r="BS494" s="37" t="n">
        <v>0.36</v>
      </c>
      <c r="BT494" s="37" t="n">
        <v>0.36</v>
      </c>
      <c r="BU494" s="37" t="n">
        <v>0.48</v>
      </c>
      <c r="BV494" s="37" t="n">
        <v>0.48</v>
      </c>
      <c r="BW494" s="37" t="n">
        <v>0.3100000000000001</v>
      </c>
      <c r="BX494" s="37" t="n">
        <v>0.48</v>
      </c>
      <c r="BY494" s="37" t="n">
        <v>0.48</v>
      </c>
      <c r="BZ494" s="37" t="n">
        <v>0.5600000000000001</v>
      </c>
      <c r="CA494" s="37" t="n">
        <v>0.48</v>
      </c>
      <c r="CB494" s="37" t="n">
        <v>0.23</v>
      </c>
      <c r="CC494" s="37" t="n">
        <v>26.95</v>
      </c>
    </row>
    <row r="495" ht="15.75" customHeight="1" s="57">
      <c r="A495" s="7" t="inlineStr">
        <is>
          <t>NTB</t>
        </is>
      </c>
      <c r="B495" s="7" t="inlineStr">
        <is>
          <t>Đắk Nông</t>
        </is>
      </c>
      <c r="C495" s="7" t="n">
        <v>21477000</v>
      </c>
      <c r="D495" s="7" t="inlineStr">
        <is>
          <t>(DNO) Đức An</t>
        </is>
      </c>
      <c r="E495" s="7" t="inlineStr">
        <is>
          <t>Shopee-Bulky (10-15kg)</t>
        </is>
      </c>
      <c r="F495" s="36" t="n">
        <v>0</v>
      </c>
      <c r="G495" s="36" t="n">
        <v>0</v>
      </c>
      <c r="H495" s="36" t="n">
        <v>0</v>
      </c>
      <c r="I495" s="36" t="n">
        <v>0</v>
      </c>
      <c r="J495" s="36" t="n">
        <v>0</v>
      </c>
      <c r="K495" s="28" t="n">
        <v>0</v>
      </c>
      <c r="L495" s="36" t="n">
        <v>0.36</v>
      </c>
      <c r="M495" s="36" t="n">
        <v>0</v>
      </c>
      <c r="N495" s="36" t="n">
        <v>0.36</v>
      </c>
      <c r="O495" s="36" t="n">
        <v>0</v>
      </c>
      <c r="P495" s="36" t="n">
        <v>0</v>
      </c>
      <c r="Q495" s="36" t="n">
        <v>0</v>
      </c>
      <c r="R495" s="28" t="n">
        <v>0.36</v>
      </c>
      <c r="S495" s="36" t="n">
        <v>0</v>
      </c>
      <c r="T495" s="36" t="n">
        <v>0.72</v>
      </c>
      <c r="U495" s="36" t="n">
        <v>0.16</v>
      </c>
      <c r="V495" s="36" t="n">
        <v>0.16</v>
      </c>
      <c r="W495" s="36" t="n">
        <v>0.12</v>
      </c>
      <c r="X495" s="36" t="n">
        <v>0.08</v>
      </c>
      <c r="Y495" s="28" t="n">
        <v>0.16</v>
      </c>
      <c r="Z495" s="36" t="n">
        <v>0.16</v>
      </c>
      <c r="AA495" s="36" t="n">
        <v>0.2</v>
      </c>
      <c r="AB495" s="36" t="n">
        <v>0.16</v>
      </c>
      <c r="AC495" s="36" t="n">
        <v>0.23</v>
      </c>
      <c r="AD495" s="36" t="n">
        <v>0.28</v>
      </c>
      <c r="AE495" s="36" t="n">
        <v>0.4</v>
      </c>
      <c r="AF495" s="28" t="n">
        <v>0.36</v>
      </c>
      <c r="AG495" s="36" t="n">
        <v>0.16</v>
      </c>
      <c r="AH495" s="37" t="n">
        <v>0.16</v>
      </c>
      <c r="AI495" s="37" t="n">
        <v>0.16</v>
      </c>
      <c r="AJ495" s="37" t="n">
        <v>0.16</v>
      </c>
      <c r="AK495" s="37" t="n">
        <v>0.23</v>
      </c>
      <c r="AL495" s="37" t="n">
        <v>0.16</v>
      </c>
      <c r="AM495" s="37" t="n">
        <v>0.23</v>
      </c>
      <c r="AN495" s="37" t="n">
        <v>0.16</v>
      </c>
      <c r="AO495" s="37" t="n">
        <v>0.16</v>
      </c>
      <c r="AP495" s="37" t="n">
        <v>0.23</v>
      </c>
      <c r="AQ495" s="37" t="n">
        <v>0.23</v>
      </c>
      <c r="AR495" s="37" t="n">
        <v>0.12</v>
      </c>
      <c r="AS495" s="37" t="n">
        <v>0.08</v>
      </c>
      <c r="AT495" s="37" t="n">
        <v>0.16</v>
      </c>
      <c r="AU495" s="37" t="n">
        <v>0.28</v>
      </c>
      <c r="AV495" s="37" t="n">
        <v>0.3100000000000001</v>
      </c>
      <c r="AW495" s="37" t="n">
        <v>0.16</v>
      </c>
      <c r="AX495" s="37" t="n">
        <v>0.16</v>
      </c>
      <c r="AY495" s="37" t="n">
        <v>0.12</v>
      </c>
      <c r="AZ495" s="37" t="n">
        <v>0.08</v>
      </c>
      <c r="BA495" s="37" t="n">
        <v>0.16</v>
      </c>
      <c r="BB495" s="37" t="n">
        <v>0.08</v>
      </c>
      <c r="BC495" s="37" t="n">
        <v>0</v>
      </c>
      <c r="BD495" s="37" t="n">
        <v>0</v>
      </c>
      <c r="BE495" s="37" t="n">
        <v>0.23</v>
      </c>
      <c r="BF495" s="37" t="n">
        <v>0.23</v>
      </c>
      <c r="BG495" s="37" t="n">
        <v>0.08</v>
      </c>
      <c r="BH495" s="37" t="n">
        <v>0.2</v>
      </c>
      <c r="BI495" s="37" t="n">
        <v>0.23</v>
      </c>
      <c r="BJ495" s="37" t="n">
        <v>0.87</v>
      </c>
      <c r="BK495" s="37" t="n">
        <v>0.3100000000000001</v>
      </c>
      <c r="BL495" s="37" t="n">
        <v>0.2</v>
      </c>
      <c r="BM495" s="37" t="n">
        <v>0.08</v>
      </c>
      <c r="BN495" s="37" t="n">
        <v>0.12</v>
      </c>
      <c r="BO495" s="37" t="n">
        <v>0.23</v>
      </c>
      <c r="BP495" s="37" t="n">
        <v>0.3100000000000001</v>
      </c>
      <c r="BQ495" s="37" t="n">
        <v>0.23</v>
      </c>
      <c r="BR495" s="37" t="n">
        <v>0.23</v>
      </c>
      <c r="BS495" s="37" t="n">
        <v>0.23</v>
      </c>
      <c r="BT495" s="37" t="n">
        <v>0.08</v>
      </c>
      <c r="BU495" s="37" t="n">
        <v>0.16</v>
      </c>
      <c r="BV495" s="37" t="n">
        <v>0.23</v>
      </c>
      <c r="BW495" s="37" t="n">
        <v>0.23</v>
      </c>
      <c r="BX495" s="37" t="n">
        <v>0.2</v>
      </c>
      <c r="BY495" s="37" t="n">
        <v>0.23</v>
      </c>
      <c r="BZ495" s="37" t="n">
        <v>0.3100000000000001</v>
      </c>
      <c r="CA495" s="37" t="n">
        <v>0.16</v>
      </c>
      <c r="CB495" s="37" t="n">
        <v>0.08</v>
      </c>
      <c r="CC495" s="37" t="n">
        <v>13.48000000000001</v>
      </c>
    </row>
    <row r="496" ht="15.75" customHeight="1" s="57">
      <c r="A496" s="7" t="inlineStr">
        <is>
          <t>NTB</t>
        </is>
      </c>
      <c r="B496" s="7" t="inlineStr">
        <is>
          <t>Đắk Nông</t>
        </is>
      </c>
      <c r="C496" s="7" t="n">
        <v>21477000</v>
      </c>
      <c r="D496" s="7" t="inlineStr">
        <is>
          <t>(DNO) Đức An</t>
        </is>
      </c>
      <c r="E496" s="7" t="inlineStr">
        <is>
          <t>TTS</t>
        </is>
      </c>
      <c r="F496" s="36" t="n">
        <v>3</v>
      </c>
      <c r="G496" s="36" t="n">
        <v>2</v>
      </c>
      <c r="H496" s="36" t="n">
        <v>2</v>
      </c>
      <c r="I496" s="36" t="n">
        <v>2</v>
      </c>
      <c r="J496" s="36" t="n">
        <v>3</v>
      </c>
      <c r="K496" s="28" t="n">
        <v>3</v>
      </c>
      <c r="L496" s="36" t="n">
        <v>5</v>
      </c>
      <c r="M496" s="36" t="n">
        <v>3</v>
      </c>
      <c r="N496" s="36" t="n">
        <v>5</v>
      </c>
      <c r="O496" s="36" t="n">
        <v>3</v>
      </c>
      <c r="P496" s="36" t="n">
        <v>4</v>
      </c>
      <c r="Q496" s="36" t="n">
        <v>34</v>
      </c>
      <c r="R496" s="28" t="n">
        <v>4</v>
      </c>
      <c r="S496" s="36" t="n">
        <v>4</v>
      </c>
      <c r="T496" s="36" t="n">
        <v>6</v>
      </c>
      <c r="U496" s="36" t="n">
        <v>12.5</v>
      </c>
      <c r="V496" s="36" t="n">
        <v>12</v>
      </c>
      <c r="W496" s="36" t="n">
        <v>11.67</v>
      </c>
      <c r="X496" s="36" t="n">
        <v>9.779999999999999</v>
      </c>
      <c r="Y496" s="28" t="n">
        <v>14.11</v>
      </c>
      <c r="Z496" s="36" t="n">
        <v>11.89</v>
      </c>
      <c r="AA496" s="36" t="n">
        <v>13.11</v>
      </c>
      <c r="AB496" s="36" t="n">
        <v>14.17</v>
      </c>
      <c r="AC496" s="36" t="n">
        <v>14.94</v>
      </c>
      <c r="AD496" s="36" t="n">
        <v>18.61</v>
      </c>
      <c r="AE496" s="36" t="n">
        <v>10.94</v>
      </c>
      <c r="AF496" s="28" t="n">
        <v>14.56</v>
      </c>
      <c r="AG496" s="36" t="n">
        <v>12</v>
      </c>
      <c r="AH496" s="37" t="n">
        <v>11.72</v>
      </c>
      <c r="AI496" s="37" t="n">
        <v>13.72</v>
      </c>
      <c r="AJ496" s="37" t="n">
        <v>14.22</v>
      </c>
      <c r="AK496" s="37" t="n">
        <v>13.78</v>
      </c>
      <c r="AL496" s="37" t="n">
        <v>10.5</v>
      </c>
      <c r="AM496" s="37" t="n">
        <v>14.17</v>
      </c>
      <c r="AN496" s="37" t="n">
        <v>12.39</v>
      </c>
      <c r="AO496" s="37" t="n">
        <v>12.28</v>
      </c>
      <c r="AP496" s="37" t="n">
        <v>11.78</v>
      </c>
      <c r="AQ496" s="37" t="n">
        <v>11.89</v>
      </c>
      <c r="AR496" s="37" t="n">
        <v>11.56</v>
      </c>
      <c r="AS496" s="37" t="n">
        <v>9.779999999999999</v>
      </c>
      <c r="AT496" s="37" t="n">
        <v>15.83</v>
      </c>
      <c r="AU496" s="37" t="n">
        <v>13.72</v>
      </c>
      <c r="AV496" s="37" t="n">
        <v>12.5</v>
      </c>
      <c r="AW496" s="37" t="n">
        <v>11.5</v>
      </c>
      <c r="AX496" s="37" t="n">
        <v>11.56</v>
      </c>
      <c r="AY496" s="37" t="n">
        <v>11.5</v>
      </c>
      <c r="AZ496" s="37" t="n">
        <v>9.83</v>
      </c>
      <c r="BA496" s="37" t="n">
        <v>14.06</v>
      </c>
      <c r="BB496" s="37" t="n">
        <v>13.28</v>
      </c>
      <c r="BC496" s="37" t="n">
        <v>6.67</v>
      </c>
      <c r="BD496" s="37" t="n">
        <v>9.44</v>
      </c>
      <c r="BE496" s="37" t="n">
        <v>21.83</v>
      </c>
      <c r="BF496" s="37" t="n">
        <v>21.28</v>
      </c>
      <c r="BG496" s="37" t="n">
        <v>10.5</v>
      </c>
      <c r="BH496" s="37" t="n">
        <v>15.83</v>
      </c>
      <c r="BI496" s="37" t="n">
        <v>13.28</v>
      </c>
      <c r="BJ496" s="37" t="n">
        <v>14.72</v>
      </c>
      <c r="BK496" s="37" t="n">
        <v>13.33</v>
      </c>
      <c r="BL496" s="37" t="n">
        <v>13.39</v>
      </c>
      <c r="BM496" s="37" t="n">
        <v>12.94</v>
      </c>
      <c r="BN496" s="37" t="n">
        <v>10.5</v>
      </c>
      <c r="BO496" s="37" t="n">
        <v>15.83</v>
      </c>
      <c r="BP496" s="37" t="n">
        <v>13.28</v>
      </c>
      <c r="BQ496" s="37" t="n">
        <v>13</v>
      </c>
      <c r="BR496" s="37" t="n">
        <v>13.33</v>
      </c>
      <c r="BS496" s="37" t="n">
        <v>13.39</v>
      </c>
      <c r="BT496" s="37" t="n">
        <v>12.94</v>
      </c>
      <c r="BU496" s="37" t="n">
        <v>10.5</v>
      </c>
      <c r="BV496" s="37" t="n">
        <v>15.83</v>
      </c>
      <c r="BW496" s="37" t="n">
        <v>13.28</v>
      </c>
      <c r="BX496" s="37" t="n">
        <v>13</v>
      </c>
      <c r="BY496" s="37" t="n">
        <v>13.33</v>
      </c>
      <c r="BZ496" s="37" t="n">
        <v>13.39</v>
      </c>
      <c r="CA496" s="37" t="n">
        <v>12.94</v>
      </c>
      <c r="CB496" s="37" t="n">
        <v>10.5</v>
      </c>
      <c r="CC496" s="37" t="n">
        <v>863.1000000000003</v>
      </c>
    </row>
    <row r="497" ht="15.75" customHeight="1" s="57">
      <c r="A497" s="7" t="inlineStr">
        <is>
          <t>NTB</t>
        </is>
      </c>
      <c r="B497" s="7" t="inlineStr">
        <is>
          <t>Đắk Nông</t>
        </is>
      </c>
      <c r="C497" s="7" t="n">
        <v>21525000</v>
      </c>
      <c r="D497" s="7" t="inlineStr">
        <is>
          <t>Kho Giao Hàng Nặng - Gia Nghĩa - Đắk Nông</t>
        </is>
      </c>
      <c r="E497" s="7" t="inlineStr">
        <is>
          <t>SME</t>
        </is>
      </c>
      <c r="F497" s="36" t="n">
        <v>0</v>
      </c>
      <c r="G497" s="36" t="n">
        <v>0</v>
      </c>
      <c r="H497" s="36" t="n">
        <v>1</v>
      </c>
      <c r="I497" s="36" t="n">
        <v>0</v>
      </c>
      <c r="J497" s="36" t="n">
        <v>0</v>
      </c>
      <c r="K497" s="28" t="n">
        <v>0</v>
      </c>
      <c r="L497" s="36" t="n">
        <v>0</v>
      </c>
      <c r="M497" s="36" t="n">
        <v>1</v>
      </c>
      <c r="N497" s="36" t="n">
        <v>0</v>
      </c>
      <c r="O497" s="36" t="n">
        <v>0</v>
      </c>
      <c r="P497" s="36" t="n">
        <v>0</v>
      </c>
      <c r="Q497" s="36" t="n">
        <v>0</v>
      </c>
      <c r="R497" s="28" t="n">
        <v>0</v>
      </c>
      <c r="S497" s="36" t="n">
        <v>0</v>
      </c>
      <c r="T497" s="36" t="n">
        <v>0</v>
      </c>
      <c r="U497" s="36" t="n">
        <v>0.47</v>
      </c>
      <c r="V497" s="36" t="n">
        <v>0.48</v>
      </c>
      <c r="W497" s="36" t="n">
        <v>0.47</v>
      </c>
      <c r="X497" s="36" t="n">
        <v>0.38</v>
      </c>
      <c r="Y497" s="28" t="n">
        <v>0.52</v>
      </c>
      <c r="Z497" s="36" t="n">
        <v>0.48</v>
      </c>
      <c r="AA497" s="36" t="n">
        <v>0.47</v>
      </c>
      <c r="AB497" s="36" t="n">
        <v>0.47</v>
      </c>
      <c r="AC497" s="36" t="n">
        <v>0.48</v>
      </c>
      <c r="AD497" s="36" t="n">
        <v>0.49</v>
      </c>
      <c r="AE497" s="36" t="n">
        <v>0.38</v>
      </c>
      <c r="AF497" s="28" t="n">
        <v>0.52</v>
      </c>
      <c r="AG497" s="36" t="n">
        <v>0.48</v>
      </c>
      <c r="AH497" s="37" t="n">
        <v>0.47</v>
      </c>
      <c r="AI497" s="37" t="n">
        <v>0.47</v>
      </c>
      <c r="AJ497" s="37" t="n">
        <v>0.48</v>
      </c>
      <c r="AK497" s="37" t="n">
        <v>0.47</v>
      </c>
      <c r="AL497" s="37" t="n">
        <v>0.38</v>
      </c>
      <c r="AM497" s="37" t="n">
        <v>0.52</v>
      </c>
      <c r="AN497" s="37" t="n">
        <v>0.48</v>
      </c>
      <c r="AO497" s="37" t="n">
        <v>0.47</v>
      </c>
      <c r="AP497" s="37" t="n">
        <v>0.47</v>
      </c>
      <c r="AQ497" s="37" t="n">
        <v>0.48</v>
      </c>
      <c r="AR497" s="37" t="n">
        <v>0.47</v>
      </c>
      <c r="AS497" s="37" t="n">
        <v>0.38</v>
      </c>
      <c r="AT497" s="37" t="n">
        <v>0.52</v>
      </c>
      <c r="AU497" s="37" t="n">
        <v>0.48</v>
      </c>
      <c r="AV497" s="37" t="n">
        <v>0.47</v>
      </c>
      <c r="AW497" s="37" t="n">
        <v>0.47</v>
      </c>
      <c r="AX497" s="37" t="n">
        <v>0.48</v>
      </c>
      <c r="AY497" s="37" t="n">
        <v>0.47</v>
      </c>
      <c r="AZ497" s="37" t="n">
        <v>0.38</v>
      </c>
      <c r="BA497" s="37" t="n">
        <v>0.49</v>
      </c>
      <c r="BB497" s="37" t="n">
        <v>0.44</v>
      </c>
      <c r="BC497" s="37" t="n">
        <v>0.27</v>
      </c>
      <c r="BD497" s="37" t="n">
        <v>0.21</v>
      </c>
      <c r="BE497" s="37" t="n">
        <v>0.45</v>
      </c>
      <c r="BF497" s="37" t="n">
        <v>0.44</v>
      </c>
      <c r="BG497" s="37" t="n">
        <v>0.4</v>
      </c>
      <c r="BH497" s="37" t="n">
        <v>0.54</v>
      </c>
      <c r="BI497" s="37" t="n">
        <v>0.49</v>
      </c>
      <c r="BJ497" s="37" t="n">
        <v>0.51</v>
      </c>
      <c r="BK497" s="37" t="n">
        <v>0.48</v>
      </c>
      <c r="BL497" s="37" t="n">
        <v>0.5</v>
      </c>
      <c r="BM497" s="37" t="n">
        <v>0.48</v>
      </c>
      <c r="BN497" s="37" t="n">
        <v>0.4</v>
      </c>
      <c r="BO497" s="37" t="n">
        <v>0.54</v>
      </c>
      <c r="BP497" s="37" t="n">
        <v>0.49</v>
      </c>
      <c r="BQ497" s="37" t="n">
        <v>0.48</v>
      </c>
      <c r="BR497" s="37" t="n">
        <v>0.48</v>
      </c>
      <c r="BS497" s="37" t="n">
        <v>0.5</v>
      </c>
      <c r="BT497" s="37" t="n">
        <v>0.48</v>
      </c>
      <c r="BU497" s="37" t="n">
        <v>0.4</v>
      </c>
      <c r="BV497" s="37" t="n">
        <v>0.54</v>
      </c>
      <c r="BW497" s="37" t="n">
        <v>0.49</v>
      </c>
      <c r="BX497" s="37" t="n">
        <v>0.48</v>
      </c>
      <c r="BY497" s="37" t="n">
        <v>0.48</v>
      </c>
      <c r="BZ497" s="37" t="n">
        <v>0.5</v>
      </c>
      <c r="CA497" s="37" t="n">
        <v>0.48</v>
      </c>
      <c r="CB497" s="37" t="n">
        <v>0.4</v>
      </c>
      <c r="CC497" s="37" t="n">
        <v>29.74</v>
      </c>
    </row>
    <row r="498" ht="15.75" customHeight="1" s="57">
      <c r="A498" s="7" t="inlineStr">
        <is>
          <t>NTB</t>
        </is>
      </c>
      <c r="B498" s="7" t="inlineStr">
        <is>
          <t>Đắk Nông</t>
        </is>
      </c>
      <c r="C498" s="7" t="n">
        <v>22048000</v>
      </c>
      <c r="D498" s="7" t="inlineStr">
        <is>
          <t>(DNO) Đông Gia Nghĩa</t>
        </is>
      </c>
      <c r="E498" s="7" t="inlineStr">
        <is>
          <t>SME</t>
        </is>
      </c>
      <c r="F498" s="36" t="n">
        <v>26</v>
      </c>
      <c r="G498" s="36" t="n">
        <v>22</v>
      </c>
      <c r="H498" s="36" t="n">
        <v>60</v>
      </c>
      <c r="I498" s="36" t="n">
        <v>25</v>
      </c>
      <c r="J498" s="36" t="n">
        <v>51</v>
      </c>
      <c r="K498" s="28" t="n">
        <v>23</v>
      </c>
      <c r="L498" s="36" t="n">
        <v>66</v>
      </c>
      <c r="M498" s="36" t="n">
        <v>28</v>
      </c>
      <c r="N498" s="36" t="n">
        <v>41</v>
      </c>
      <c r="O498" s="36" t="n">
        <v>31</v>
      </c>
      <c r="P498" s="36" t="n">
        <v>28</v>
      </c>
      <c r="Q498" s="36" t="n">
        <v>25</v>
      </c>
      <c r="R498" s="28" t="n">
        <v>34</v>
      </c>
      <c r="S498" s="36" t="n">
        <v>25</v>
      </c>
      <c r="T498" s="36" t="n">
        <v>22</v>
      </c>
      <c r="U498" s="36" t="n">
        <v>96.53</v>
      </c>
      <c r="V498" s="36" t="n">
        <v>99.94</v>
      </c>
      <c r="W498" s="36" t="n">
        <v>97.23999999999999</v>
      </c>
      <c r="X498" s="36" t="n">
        <v>79.52</v>
      </c>
      <c r="Y498" s="28" t="n">
        <v>107.73</v>
      </c>
      <c r="Z498" s="36" t="n">
        <v>99.34999999999999</v>
      </c>
      <c r="AA498" s="36" t="n">
        <v>96.7</v>
      </c>
      <c r="AB498" s="36" t="n">
        <v>96.53</v>
      </c>
      <c r="AC498" s="36" t="n">
        <v>99.94</v>
      </c>
      <c r="AD498" s="36" t="n">
        <v>102.03</v>
      </c>
      <c r="AE498" s="36" t="n">
        <v>79.52</v>
      </c>
      <c r="AF498" s="28" t="n">
        <v>107.73</v>
      </c>
      <c r="AG498" s="36" t="n">
        <v>99.34999999999999</v>
      </c>
      <c r="AH498" s="37" t="n">
        <v>96.7</v>
      </c>
      <c r="AI498" s="37" t="n">
        <v>96.53</v>
      </c>
      <c r="AJ498" s="37" t="n">
        <v>99.94</v>
      </c>
      <c r="AK498" s="37" t="n">
        <v>97.23999999999999</v>
      </c>
      <c r="AL498" s="37" t="n">
        <v>79.52</v>
      </c>
      <c r="AM498" s="37" t="n">
        <v>107.73</v>
      </c>
      <c r="AN498" s="37" t="n">
        <v>99.34999999999999</v>
      </c>
      <c r="AO498" s="37" t="n">
        <v>96.7</v>
      </c>
      <c r="AP498" s="37" t="n">
        <v>96.53</v>
      </c>
      <c r="AQ498" s="37" t="n">
        <v>99.94</v>
      </c>
      <c r="AR498" s="37" t="n">
        <v>97.23999999999999</v>
      </c>
      <c r="AS498" s="37" t="n">
        <v>79.52</v>
      </c>
      <c r="AT498" s="37" t="n">
        <v>107.73</v>
      </c>
      <c r="AU498" s="37" t="n">
        <v>99.34999999999999</v>
      </c>
      <c r="AV498" s="37" t="n">
        <v>96.7</v>
      </c>
      <c r="AW498" s="37" t="n">
        <v>96.53</v>
      </c>
      <c r="AX498" s="37" t="n">
        <v>99.94</v>
      </c>
      <c r="AY498" s="37" t="n">
        <v>97.23999999999999</v>
      </c>
      <c r="AZ498" s="37" t="n">
        <v>79.52</v>
      </c>
      <c r="BA498" s="37" t="n">
        <v>102.22</v>
      </c>
      <c r="BB498" s="37" t="n">
        <v>91.13000000000001</v>
      </c>
      <c r="BC498" s="37" t="n">
        <v>56.09999999999999</v>
      </c>
      <c r="BD498" s="37" t="n">
        <v>43.99</v>
      </c>
      <c r="BE498" s="37" t="n">
        <v>93.88000000000001</v>
      </c>
      <c r="BF498" s="37" t="n">
        <v>91.40000000000001</v>
      </c>
      <c r="BG498" s="37" t="n">
        <v>82.28</v>
      </c>
      <c r="BH498" s="37" t="n">
        <v>111.25</v>
      </c>
      <c r="BI498" s="37" t="n">
        <v>102.48</v>
      </c>
      <c r="BJ498" s="37" t="n">
        <v>104.97</v>
      </c>
      <c r="BK498" s="37" t="n">
        <v>99.58</v>
      </c>
      <c r="BL498" s="37" t="n">
        <v>103.2</v>
      </c>
      <c r="BM498" s="37" t="n">
        <v>100.32</v>
      </c>
      <c r="BN498" s="37" t="n">
        <v>82.28</v>
      </c>
      <c r="BO498" s="37" t="n">
        <v>111.25</v>
      </c>
      <c r="BP498" s="37" t="n">
        <v>102.48</v>
      </c>
      <c r="BQ498" s="37" t="n">
        <v>99.75</v>
      </c>
      <c r="BR498" s="37" t="n">
        <v>99.58</v>
      </c>
      <c r="BS498" s="37" t="n">
        <v>103.2</v>
      </c>
      <c r="BT498" s="37" t="n">
        <v>100.32</v>
      </c>
      <c r="BU498" s="37" t="n">
        <v>82.28</v>
      </c>
      <c r="BV498" s="37" t="n">
        <v>111.25</v>
      </c>
      <c r="BW498" s="37" t="n">
        <v>102.48</v>
      </c>
      <c r="BX498" s="37" t="n">
        <v>99.75</v>
      </c>
      <c r="BY498" s="37" t="n">
        <v>99.58</v>
      </c>
      <c r="BZ498" s="37" t="n">
        <v>103.2</v>
      </c>
      <c r="CA498" s="37" t="n">
        <v>100.32</v>
      </c>
      <c r="CB498" s="37" t="n">
        <v>82.28</v>
      </c>
      <c r="CC498" s="37" t="n">
        <v>6255.859999999995</v>
      </c>
    </row>
    <row r="499" ht="15.75" customHeight="1" s="57">
      <c r="A499" s="7" t="inlineStr">
        <is>
          <t>NTB</t>
        </is>
      </c>
      <c r="B499" s="7" t="inlineStr">
        <is>
          <t>Đắk Nông</t>
        </is>
      </c>
      <c r="C499" s="7" t="n">
        <v>22048000</v>
      </c>
      <c r="D499" s="7" t="inlineStr">
        <is>
          <t>(DNO) Đông Gia Nghĩa</t>
        </is>
      </c>
      <c r="E499" s="7" t="inlineStr">
        <is>
          <t>SME-Bulky</t>
        </is>
      </c>
      <c r="F499" s="36" t="n">
        <v>3</v>
      </c>
      <c r="G499" s="36" t="n">
        <v>1</v>
      </c>
      <c r="H499" s="36" t="n">
        <v>2</v>
      </c>
      <c r="I499" s="36" t="n">
        <v>2</v>
      </c>
      <c r="J499" s="36" t="n">
        <v>6</v>
      </c>
      <c r="K499" s="28" t="n">
        <v>4</v>
      </c>
      <c r="L499" s="36" t="n">
        <v>2</v>
      </c>
      <c r="M499" s="36" t="n">
        <v>1</v>
      </c>
      <c r="N499" s="36" t="n">
        <v>0</v>
      </c>
      <c r="O499" s="36" t="n">
        <v>1</v>
      </c>
      <c r="P499" s="36" t="n">
        <v>0</v>
      </c>
      <c r="Q499" s="36" t="n">
        <v>0</v>
      </c>
      <c r="R499" s="28" t="n">
        <v>2</v>
      </c>
      <c r="S499" s="36" t="n">
        <v>1</v>
      </c>
      <c r="T499" s="36" t="n">
        <v>2</v>
      </c>
      <c r="U499" s="36" t="n">
        <v>0.74</v>
      </c>
      <c r="V499" s="36" t="n">
        <v>0.74</v>
      </c>
      <c r="W499" s="36" t="n">
        <v>0.74</v>
      </c>
      <c r="X499" s="36" t="n">
        <v>0.32</v>
      </c>
      <c r="Y499" s="28" t="n">
        <v>1</v>
      </c>
      <c r="Z499" s="36" t="n">
        <v>0.8100000000000001</v>
      </c>
      <c r="AA499" s="36" t="n">
        <v>0.8100000000000001</v>
      </c>
      <c r="AB499" s="36" t="n">
        <v>0.74</v>
      </c>
      <c r="AC499" s="36" t="n">
        <v>0.74</v>
      </c>
      <c r="AD499" s="36" t="n">
        <v>2.04</v>
      </c>
      <c r="AE499" s="36" t="n">
        <v>0.32</v>
      </c>
      <c r="AF499" s="28" t="n">
        <v>1</v>
      </c>
      <c r="AG499" s="36" t="n">
        <v>0.8100000000000001</v>
      </c>
      <c r="AH499" s="37" t="n">
        <v>0.8100000000000001</v>
      </c>
      <c r="AI499" s="37" t="n">
        <v>0.74</v>
      </c>
      <c r="AJ499" s="37" t="n">
        <v>0.74</v>
      </c>
      <c r="AK499" s="37" t="n">
        <v>0.74</v>
      </c>
      <c r="AL499" s="37" t="n">
        <v>0.32</v>
      </c>
      <c r="AM499" s="37" t="n">
        <v>1</v>
      </c>
      <c r="AN499" s="37" t="n">
        <v>0.8100000000000001</v>
      </c>
      <c r="AO499" s="37" t="n">
        <v>0.8100000000000001</v>
      </c>
      <c r="AP499" s="37" t="n">
        <v>0.74</v>
      </c>
      <c r="AQ499" s="37" t="n">
        <v>0.74</v>
      </c>
      <c r="AR499" s="37" t="n">
        <v>0.74</v>
      </c>
      <c r="AS499" s="37" t="n">
        <v>0.32</v>
      </c>
      <c r="AT499" s="37" t="n">
        <v>1</v>
      </c>
      <c r="AU499" s="37" t="n">
        <v>0.8100000000000001</v>
      </c>
      <c r="AV499" s="37" t="n">
        <v>0.8100000000000001</v>
      </c>
      <c r="AW499" s="37" t="n">
        <v>0.74</v>
      </c>
      <c r="AX499" s="37" t="n">
        <v>0.74</v>
      </c>
      <c r="AY499" s="37" t="n">
        <v>0.74</v>
      </c>
      <c r="AZ499" s="37" t="n">
        <v>0.32</v>
      </c>
      <c r="BA499" s="37" t="n">
        <v>1.1</v>
      </c>
      <c r="BB499" s="37" t="n">
        <v>0.45</v>
      </c>
      <c r="BC499" s="37" t="n">
        <v>0.13</v>
      </c>
      <c r="BD499" s="37" t="n">
        <v>0.1</v>
      </c>
      <c r="BE499" s="37" t="n">
        <v>0.42</v>
      </c>
      <c r="BF499" s="37" t="n">
        <v>0.36</v>
      </c>
      <c r="BG499" s="37" t="n">
        <v>0.16</v>
      </c>
      <c r="BH499" s="37" t="n">
        <v>0.55</v>
      </c>
      <c r="BI499" s="37" t="n">
        <v>0.45</v>
      </c>
      <c r="BJ499" s="37" t="n">
        <v>1.1</v>
      </c>
      <c r="BK499" s="37" t="n">
        <v>0.42</v>
      </c>
      <c r="BL499" s="37" t="n">
        <v>0.42</v>
      </c>
      <c r="BM499" s="37" t="n">
        <v>0.42</v>
      </c>
      <c r="BN499" s="37" t="n">
        <v>0.16</v>
      </c>
      <c r="BO499" s="37" t="n">
        <v>0.55</v>
      </c>
      <c r="BP499" s="37" t="n">
        <v>0.45</v>
      </c>
      <c r="BQ499" s="37" t="n">
        <v>0.45</v>
      </c>
      <c r="BR499" s="37" t="n">
        <v>0.42</v>
      </c>
      <c r="BS499" s="37" t="n">
        <v>0.42</v>
      </c>
      <c r="BT499" s="37" t="n">
        <v>0.42</v>
      </c>
      <c r="BU499" s="37" t="n">
        <v>0.16</v>
      </c>
      <c r="BV499" s="37" t="n">
        <v>0.55</v>
      </c>
      <c r="BW499" s="37" t="n">
        <v>0.45</v>
      </c>
      <c r="BX499" s="37" t="n">
        <v>0.45</v>
      </c>
      <c r="BY499" s="37" t="n">
        <v>0.42</v>
      </c>
      <c r="BZ499" s="37" t="n">
        <v>0.42</v>
      </c>
      <c r="CA499" s="37" t="n">
        <v>0.42</v>
      </c>
      <c r="CB499" s="37" t="n">
        <v>0.16</v>
      </c>
      <c r="CC499" s="37" t="n">
        <v>63.46000000000005</v>
      </c>
    </row>
    <row r="500" ht="15.75" customHeight="1" s="57">
      <c r="A500" s="7" t="inlineStr">
        <is>
          <t>NTB</t>
        </is>
      </c>
      <c r="B500" s="7" t="inlineStr">
        <is>
          <t>Đắk Nông</t>
        </is>
      </c>
      <c r="C500" s="7" t="n">
        <v>22048000</v>
      </c>
      <c r="D500" s="7" t="inlineStr">
        <is>
          <t>(DNO) Đông Gia Nghĩa</t>
        </is>
      </c>
      <c r="E500" s="7" t="inlineStr">
        <is>
          <t>Shopee</t>
        </is>
      </c>
      <c r="F500" s="36" t="n">
        <v>46</v>
      </c>
      <c r="G500" s="36" t="n">
        <v>47</v>
      </c>
      <c r="H500" s="36" t="n">
        <v>41</v>
      </c>
      <c r="I500" s="36" t="n">
        <v>76</v>
      </c>
      <c r="J500" s="36" t="n">
        <v>36</v>
      </c>
      <c r="K500" s="28" t="n">
        <v>32</v>
      </c>
      <c r="L500" s="36" t="n">
        <v>51</v>
      </c>
      <c r="M500" s="36" t="n">
        <v>66</v>
      </c>
      <c r="N500" s="36" t="n">
        <v>45</v>
      </c>
      <c r="O500" s="36" t="n">
        <v>39</v>
      </c>
      <c r="P500" s="36" t="n">
        <v>35</v>
      </c>
      <c r="Q500" s="36" t="n">
        <v>20</v>
      </c>
      <c r="R500" s="28" t="n">
        <v>50</v>
      </c>
      <c r="S500" s="36" t="n">
        <v>48</v>
      </c>
      <c r="T500" s="36" t="n">
        <v>50</v>
      </c>
      <c r="U500" s="36" t="n">
        <v>52.48</v>
      </c>
      <c r="V500" s="36" t="n">
        <v>52.48</v>
      </c>
      <c r="W500" s="36" t="n">
        <v>48.84</v>
      </c>
      <c r="X500" s="36" t="n">
        <v>43.01</v>
      </c>
      <c r="Y500" s="28" t="n">
        <v>69.61</v>
      </c>
      <c r="Z500" s="36" t="n">
        <v>57.22</v>
      </c>
      <c r="AA500" s="36" t="n">
        <v>67.43000000000001</v>
      </c>
      <c r="AB500" s="36" t="n">
        <v>53.21</v>
      </c>
      <c r="AC500" s="36" t="n">
        <v>43.01</v>
      </c>
      <c r="AD500" s="36" t="n">
        <v>83.09999999999999</v>
      </c>
      <c r="AE500" s="36" t="n">
        <v>45.92</v>
      </c>
      <c r="AF500" s="28" t="n">
        <v>75.81</v>
      </c>
      <c r="AG500" s="36" t="n">
        <v>60.5</v>
      </c>
      <c r="AH500" s="37" t="n">
        <v>62.69</v>
      </c>
      <c r="AI500" s="37" t="n">
        <v>52.48</v>
      </c>
      <c r="AJ500" s="37" t="n">
        <v>52.48</v>
      </c>
      <c r="AK500" s="37" t="n">
        <v>56.86</v>
      </c>
      <c r="AL500" s="37" t="n">
        <v>75.81</v>
      </c>
      <c r="AM500" s="37" t="n">
        <v>69.61</v>
      </c>
      <c r="AN500" s="37" t="n">
        <v>57.22</v>
      </c>
      <c r="AO500" s="37" t="n">
        <v>62.69</v>
      </c>
      <c r="AP500" s="37" t="n">
        <v>58.32</v>
      </c>
      <c r="AQ500" s="37" t="n">
        <v>43.01</v>
      </c>
      <c r="AR500" s="37" t="n">
        <v>48.84</v>
      </c>
      <c r="AS500" s="37" t="n">
        <v>43.01</v>
      </c>
      <c r="AT500" s="37" t="n">
        <v>69.61</v>
      </c>
      <c r="AU500" s="37" t="n">
        <v>61.96</v>
      </c>
      <c r="AV500" s="37" t="n">
        <v>63.05</v>
      </c>
      <c r="AW500" s="37" t="n">
        <v>52.48</v>
      </c>
      <c r="AX500" s="37" t="n">
        <v>52.48</v>
      </c>
      <c r="AY500" s="37" t="n">
        <v>48.84</v>
      </c>
      <c r="AZ500" s="37" t="n">
        <v>43.01</v>
      </c>
      <c r="BA500" s="37" t="n">
        <v>61.23</v>
      </c>
      <c r="BB500" s="37" t="n">
        <v>42.28</v>
      </c>
      <c r="BC500" s="37" t="n">
        <v>20.05</v>
      </c>
      <c r="BD500" s="37" t="n">
        <v>30.98</v>
      </c>
      <c r="BE500" s="37" t="n">
        <v>65.23999999999999</v>
      </c>
      <c r="BF500" s="37" t="n">
        <v>61.96</v>
      </c>
      <c r="BG500" s="37" t="n">
        <v>43.74</v>
      </c>
      <c r="BH500" s="37" t="n">
        <v>68.52</v>
      </c>
      <c r="BI500" s="37" t="n">
        <v>44.83</v>
      </c>
      <c r="BJ500" s="37" t="n">
        <v>120.28</v>
      </c>
      <c r="BK500" s="37" t="n">
        <v>56.49</v>
      </c>
      <c r="BL500" s="37" t="n">
        <v>55.04</v>
      </c>
      <c r="BM500" s="37" t="n">
        <v>48.11</v>
      </c>
      <c r="BN500" s="37" t="n">
        <v>42.28</v>
      </c>
      <c r="BO500" s="37" t="n">
        <v>68.52</v>
      </c>
      <c r="BP500" s="37" t="n">
        <v>60.87</v>
      </c>
      <c r="BQ500" s="37" t="n">
        <v>92.94</v>
      </c>
      <c r="BR500" s="37" t="n">
        <v>51.76</v>
      </c>
      <c r="BS500" s="37" t="n">
        <v>51.76</v>
      </c>
      <c r="BT500" s="37" t="n">
        <v>48.11</v>
      </c>
      <c r="BU500" s="37" t="n">
        <v>46.29</v>
      </c>
      <c r="BV500" s="37" t="n">
        <v>56.86</v>
      </c>
      <c r="BW500" s="37" t="n">
        <v>56.49</v>
      </c>
      <c r="BX500" s="37" t="n">
        <v>61.6</v>
      </c>
      <c r="BY500" s="37" t="n">
        <v>51.76</v>
      </c>
      <c r="BZ500" s="37" t="n">
        <v>57.59</v>
      </c>
      <c r="CA500" s="37" t="n">
        <v>51.03</v>
      </c>
      <c r="CB500" s="37" t="n">
        <v>42.28</v>
      </c>
      <c r="CC500" s="37" t="n">
        <v>4067.960000000002</v>
      </c>
    </row>
    <row r="501" ht="15.75" customHeight="1" s="57">
      <c r="A501" s="7" t="inlineStr">
        <is>
          <t>NTB</t>
        </is>
      </c>
      <c r="B501" s="7" t="inlineStr">
        <is>
          <t>Đắk Nông</t>
        </is>
      </c>
      <c r="C501" s="7" t="n">
        <v>22048000</v>
      </c>
      <c r="D501" s="7" t="inlineStr">
        <is>
          <t>(DNO) Đông Gia Nghĩa</t>
        </is>
      </c>
      <c r="E501" s="7" t="inlineStr">
        <is>
          <t>Shopee-Bulky</t>
        </is>
      </c>
      <c r="F501" s="36" t="n">
        <v>0</v>
      </c>
      <c r="G501" s="36" t="n">
        <v>0</v>
      </c>
      <c r="H501" s="36" t="n">
        <v>0</v>
      </c>
      <c r="I501" s="36" t="n">
        <v>0</v>
      </c>
      <c r="J501" s="36" t="n">
        <v>0</v>
      </c>
      <c r="K501" s="28" t="n">
        <v>1.28</v>
      </c>
      <c r="L501" s="36" t="n">
        <v>0</v>
      </c>
      <c r="M501" s="36" t="n">
        <v>0</v>
      </c>
      <c r="N501" s="36" t="n">
        <v>0</v>
      </c>
      <c r="O501" s="36" t="n">
        <v>0</v>
      </c>
      <c r="P501" s="36" t="n">
        <v>0</v>
      </c>
      <c r="Q501" s="36" t="n">
        <v>0</v>
      </c>
      <c r="R501" s="28" t="n">
        <v>1.28</v>
      </c>
      <c r="S501" s="36" t="n">
        <v>0</v>
      </c>
      <c r="T501" s="36" t="n">
        <v>0.64</v>
      </c>
      <c r="U501" s="36" t="n">
        <v>0.22</v>
      </c>
      <c r="V501" s="36" t="n">
        <v>0.16</v>
      </c>
      <c r="W501" s="36" t="n">
        <v>0.25</v>
      </c>
      <c r="X501" s="36" t="n">
        <v>0.11</v>
      </c>
      <c r="Y501" s="28" t="n">
        <v>0.22</v>
      </c>
      <c r="Z501" s="36" t="n">
        <v>0.22</v>
      </c>
      <c r="AA501" s="36" t="n">
        <v>0.25</v>
      </c>
      <c r="AB501" s="36" t="n">
        <v>0.22</v>
      </c>
      <c r="AC501" s="36" t="n">
        <v>0.25</v>
      </c>
      <c r="AD501" s="36" t="n">
        <v>0.5</v>
      </c>
      <c r="AE501" s="36" t="n">
        <v>0.5499999999999999</v>
      </c>
      <c r="AF501" s="28" t="n">
        <v>0.44</v>
      </c>
      <c r="AG501" s="36" t="n">
        <v>0.33</v>
      </c>
      <c r="AH501" s="37" t="n">
        <v>0.22</v>
      </c>
      <c r="AI501" s="37" t="n">
        <v>0.22</v>
      </c>
      <c r="AJ501" s="37" t="n">
        <v>0.16</v>
      </c>
      <c r="AK501" s="37" t="n">
        <v>0.33</v>
      </c>
      <c r="AL501" s="37" t="n">
        <v>0.33</v>
      </c>
      <c r="AM501" s="37" t="n">
        <v>0.33</v>
      </c>
      <c r="AN501" s="37" t="n">
        <v>0.22</v>
      </c>
      <c r="AO501" s="37" t="n">
        <v>0.22</v>
      </c>
      <c r="AP501" s="37" t="n">
        <v>0.28</v>
      </c>
      <c r="AQ501" s="37" t="n">
        <v>0.33</v>
      </c>
      <c r="AR501" s="37" t="n">
        <v>0.25</v>
      </c>
      <c r="AS501" s="37" t="n">
        <v>0.11</v>
      </c>
      <c r="AT501" s="37" t="n">
        <v>0.22</v>
      </c>
      <c r="AU501" s="37" t="n">
        <v>0.3</v>
      </c>
      <c r="AV501" s="37" t="n">
        <v>0.44</v>
      </c>
      <c r="AW501" s="37" t="n">
        <v>0.22</v>
      </c>
      <c r="AX501" s="37" t="n">
        <v>0.16</v>
      </c>
      <c r="AY501" s="37" t="n">
        <v>0.25</v>
      </c>
      <c r="AZ501" s="37" t="n">
        <v>0.11</v>
      </c>
      <c r="BA501" s="37" t="n">
        <v>0.22</v>
      </c>
      <c r="BB501" s="37" t="n">
        <v>0.16</v>
      </c>
      <c r="BC501" s="37" t="n">
        <v>0</v>
      </c>
      <c r="BD501" s="37" t="n">
        <v>0.06</v>
      </c>
      <c r="BE501" s="37" t="n">
        <v>0.22</v>
      </c>
      <c r="BF501" s="37" t="n">
        <v>0.25</v>
      </c>
      <c r="BG501" s="37" t="n">
        <v>0.16</v>
      </c>
      <c r="BH501" s="37" t="n">
        <v>0.22</v>
      </c>
      <c r="BI501" s="37" t="n">
        <v>0.22</v>
      </c>
      <c r="BJ501" s="37" t="n">
        <v>1.52</v>
      </c>
      <c r="BK501" s="37" t="n">
        <v>0.39</v>
      </c>
      <c r="BL501" s="37" t="n">
        <v>0.22</v>
      </c>
      <c r="BM501" s="37" t="n">
        <v>0.16</v>
      </c>
      <c r="BN501" s="37" t="n">
        <v>0.16</v>
      </c>
      <c r="BO501" s="37" t="n">
        <v>0.33</v>
      </c>
      <c r="BP501" s="37" t="n">
        <v>0.3</v>
      </c>
      <c r="BQ501" s="37" t="n">
        <v>0.3</v>
      </c>
      <c r="BR501" s="37" t="n">
        <v>0.33</v>
      </c>
      <c r="BS501" s="37" t="n">
        <v>0.25</v>
      </c>
      <c r="BT501" s="37" t="n">
        <v>0.25</v>
      </c>
      <c r="BU501" s="37" t="n">
        <v>0.33</v>
      </c>
      <c r="BV501" s="37" t="n">
        <v>0.33</v>
      </c>
      <c r="BW501" s="37" t="n">
        <v>0.22</v>
      </c>
      <c r="BX501" s="37" t="n">
        <v>0.33</v>
      </c>
      <c r="BY501" s="37" t="n">
        <v>0.33</v>
      </c>
      <c r="BZ501" s="37" t="n">
        <v>0.39</v>
      </c>
      <c r="CA501" s="37" t="n">
        <v>0.33</v>
      </c>
      <c r="CB501" s="37" t="n">
        <v>0.16</v>
      </c>
      <c r="CC501" s="37" t="n">
        <v>19.75999999999999</v>
      </c>
    </row>
    <row r="502" ht="15.75" customHeight="1" s="57">
      <c r="A502" s="7" t="inlineStr">
        <is>
          <t>NTB</t>
        </is>
      </c>
      <c r="B502" s="7" t="inlineStr">
        <is>
          <t>Đắk Nông</t>
        </is>
      </c>
      <c r="C502" s="7" t="n">
        <v>22048000</v>
      </c>
      <c r="D502" s="7" t="inlineStr">
        <is>
          <t>(DNO) Đông Gia Nghĩa</t>
        </is>
      </c>
      <c r="E502" s="7" t="inlineStr">
        <is>
          <t>Shopee-Bulky (10-15kg)</t>
        </is>
      </c>
      <c r="F502" s="36" t="n">
        <v>0</v>
      </c>
      <c r="G502" s="36" t="n">
        <v>0</v>
      </c>
      <c r="H502" s="36" t="n">
        <v>0</v>
      </c>
      <c r="I502" s="36" t="n">
        <v>0</v>
      </c>
      <c r="J502" s="36" t="n">
        <v>0</v>
      </c>
      <c r="K502" s="28" t="n">
        <v>0.72</v>
      </c>
      <c r="L502" s="36" t="n">
        <v>0</v>
      </c>
      <c r="M502" s="36" t="n">
        <v>0</v>
      </c>
      <c r="N502" s="36" t="n">
        <v>0</v>
      </c>
      <c r="O502" s="36" t="n">
        <v>0</v>
      </c>
      <c r="P502" s="36" t="n">
        <v>0</v>
      </c>
      <c r="Q502" s="36" t="n">
        <v>0</v>
      </c>
      <c r="R502" s="28" t="n">
        <v>0.72</v>
      </c>
      <c r="S502" s="36" t="n">
        <v>0</v>
      </c>
      <c r="T502" s="36" t="n">
        <v>0.36</v>
      </c>
      <c r="U502" s="36" t="n">
        <v>0.11</v>
      </c>
      <c r="V502" s="36" t="n">
        <v>0.11</v>
      </c>
      <c r="W502" s="36" t="n">
        <v>0.08</v>
      </c>
      <c r="X502" s="36" t="n">
        <v>0.06</v>
      </c>
      <c r="Y502" s="28" t="n">
        <v>0.11</v>
      </c>
      <c r="Z502" s="36" t="n">
        <v>0.11</v>
      </c>
      <c r="AA502" s="36" t="n">
        <v>0.14</v>
      </c>
      <c r="AB502" s="36" t="n">
        <v>0.11</v>
      </c>
      <c r="AC502" s="36" t="n">
        <v>0.16</v>
      </c>
      <c r="AD502" s="36" t="n">
        <v>0.2</v>
      </c>
      <c r="AE502" s="36" t="n">
        <v>0.28</v>
      </c>
      <c r="AF502" s="28" t="n">
        <v>0.25</v>
      </c>
      <c r="AG502" s="36" t="n">
        <v>0.11</v>
      </c>
      <c r="AH502" s="37" t="n">
        <v>0.11</v>
      </c>
      <c r="AI502" s="37" t="n">
        <v>0.11</v>
      </c>
      <c r="AJ502" s="37" t="n">
        <v>0.11</v>
      </c>
      <c r="AK502" s="37" t="n">
        <v>0.16</v>
      </c>
      <c r="AL502" s="37" t="n">
        <v>0.11</v>
      </c>
      <c r="AM502" s="37" t="n">
        <v>0.16</v>
      </c>
      <c r="AN502" s="37" t="n">
        <v>0.11</v>
      </c>
      <c r="AO502" s="37" t="n">
        <v>0.11</v>
      </c>
      <c r="AP502" s="37" t="n">
        <v>0.16</v>
      </c>
      <c r="AQ502" s="37" t="n">
        <v>0.16</v>
      </c>
      <c r="AR502" s="37" t="n">
        <v>0.08</v>
      </c>
      <c r="AS502" s="37" t="n">
        <v>0.06</v>
      </c>
      <c r="AT502" s="37" t="n">
        <v>0.11</v>
      </c>
      <c r="AU502" s="37" t="n">
        <v>0.2</v>
      </c>
      <c r="AV502" s="37" t="n">
        <v>0.22</v>
      </c>
      <c r="AW502" s="37" t="n">
        <v>0.11</v>
      </c>
      <c r="AX502" s="37" t="n">
        <v>0.11</v>
      </c>
      <c r="AY502" s="37" t="n">
        <v>0.08</v>
      </c>
      <c r="AZ502" s="37" t="n">
        <v>0.06</v>
      </c>
      <c r="BA502" s="37" t="n">
        <v>0.11</v>
      </c>
      <c r="BB502" s="37" t="n">
        <v>0.06</v>
      </c>
      <c r="BC502" s="37" t="n">
        <v>0</v>
      </c>
      <c r="BD502" s="37" t="n">
        <v>0</v>
      </c>
      <c r="BE502" s="37" t="n">
        <v>0.16</v>
      </c>
      <c r="BF502" s="37" t="n">
        <v>0.16</v>
      </c>
      <c r="BG502" s="37" t="n">
        <v>0.06</v>
      </c>
      <c r="BH502" s="37" t="n">
        <v>0.14</v>
      </c>
      <c r="BI502" s="37" t="n">
        <v>0.16</v>
      </c>
      <c r="BJ502" s="37" t="n">
        <v>0.61</v>
      </c>
      <c r="BK502" s="37" t="n">
        <v>0.22</v>
      </c>
      <c r="BL502" s="37" t="n">
        <v>0.14</v>
      </c>
      <c r="BM502" s="37" t="n">
        <v>0.06</v>
      </c>
      <c r="BN502" s="37" t="n">
        <v>0.08</v>
      </c>
      <c r="BO502" s="37" t="n">
        <v>0.16</v>
      </c>
      <c r="BP502" s="37" t="n">
        <v>0.22</v>
      </c>
      <c r="BQ502" s="37" t="n">
        <v>0.16</v>
      </c>
      <c r="BR502" s="37" t="n">
        <v>0.16</v>
      </c>
      <c r="BS502" s="37" t="n">
        <v>0.16</v>
      </c>
      <c r="BT502" s="37" t="n">
        <v>0.06</v>
      </c>
      <c r="BU502" s="37" t="n">
        <v>0.11</v>
      </c>
      <c r="BV502" s="37" t="n">
        <v>0.16</v>
      </c>
      <c r="BW502" s="37" t="n">
        <v>0.16</v>
      </c>
      <c r="BX502" s="37" t="n">
        <v>0.14</v>
      </c>
      <c r="BY502" s="37" t="n">
        <v>0.16</v>
      </c>
      <c r="BZ502" s="37" t="n">
        <v>0.22</v>
      </c>
      <c r="CA502" s="37" t="n">
        <v>0.11</v>
      </c>
      <c r="CB502" s="37" t="n">
        <v>0.06</v>
      </c>
      <c r="CC502" s="37" t="n">
        <v>9.960000000000003</v>
      </c>
    </row>
    <row r="503" ht="15.75" customHeight="1" s="57">
      <c r="A503" s="7" t="inlineStr">
        <is>
          <t>NTB</t>
        </is>
      </c>
      <c r="B503" s="7" t="inlineStr">
        <is>
          <t>Đắk Nông</t>
        </is>
      </c>
      <c r="C503" s="7" t="n">
        <v>22048000</v>
      </c>
      <c r="D503" s="7" t="inlineStr">
        <is>
          <t>(DNO) Đông Gia Nghĩa</t>
        </is>
      </c>
      <c r="E503" s="7" t="inlineStr">
        <is>
          <t>TTS</t>
        </is>
      </c>
      <c r="F503" s="36" t="n">
        <v>95</v>
      </c>
      <c r="G503" s="36" t="n">
        <v>74</v>
      </c>
      <c r="H503" s="36" t="n">
        <v>90</v>
      </c>
      <c r="I503" s="36" t="n">
        <v>68</v>
      </c>
      <c r="J503" s="36" t="n">
        <v>4</v>
      </c>
      <c r="K503" s="28" t="n">
        <v>109</v>
      </c>
      <c r="L503" s="36" t="n">
        <v>60</v>
      </c>
      <c r="M503" s="36" t="n">
        <v>75</v>
      </c>
      <c r="N503" s="36" t="n">
        <v>57</v>
      </c>
      <c r="O503" s="36" t="n">
        <v>48</v>
      </c>
      <c r="P503" s="36" t="n">
        <v>51</v>
      </c>
      <c r="Q503" s="36" t="n">
        <v>5</v>
      </c>
      <c r="R503" s="28" t="n">
        <v>86</v>
      </c>
      <c r="S503" s="36" t="n">
        <v>52</v>
      </c>
      <c r="T503" s="36" t="n">
        <v>38</v>
      </c>
      <c r="U503" s="36" t="n">
        <v>76.48</v>
      </c>
      <c r="V503" s="36" t="n">
        <v>73.42</v>
      </c>
      <c r="W503" s="36" t="n">
        <v>71.38</v>
      </c>
      <c r="X503" s="36" t="n">
        <v>59.83</v>
      </c>
      <c r="Y503" s="28" t="n">
        <v>86.34</v>
      </c>
      <c r="Z503" s="36" t="n">
        <v>72.73999999999999</v>
      </c>
      <c r="AA503" s="36" t="n">
        <v>80.22</v>
      </c>
      <c r="AB503" s="36" t="n">
        <v>86.68000000000001</v>
      </c>
      <c r="AC503" s="36" t="n">
        <v>91.44</v>
      </c>
      <c r="AD503" s="36" t="n">
        <v>113.87</v>
      </c>
      <c r="AE503" s="36" t="n">
        <v>66.97</v>
      </c>
      <c r="AF503" s="28" t="n">
        <v>89.06</v>
      </c>
      <c r="AG503" s="36" t="n">
        <v>73.42</v>
      </c>
      <c r="AH503" s="37" t="n">
        <v>71.72</v>
      </c>
      <c r="AI503" s="37" t="n">
        <v>83.95999999999999</v>
      </c>
      <c r="AJ503" s="37" t="n">
        <v>87.02</v>
      </c>
      <c r="AK503" s="37" t="n">
        <v>84.3</v>
      </c>
      <c r="AL503" s="37" t="n">
        <v>64.25</v>
      </c>
      <c r="AM503" s="37" t="n">
        <v>86.68000000000001</v>
      </c>
      <c r="AN503" s="37" t="n">
        <v>75.8</v>
      </c>
      <c r="AO503" s="37" t="n">
        <v>75.12</v>
      </c>
      <c r="AP503" s="37" t="n">
        <v>72.06</v>
      </c>
      <c r="AQ503" s="37" t="n">
        <v>72.73999999999999</v>
      </c>
      <c r="AR503" s="37" t="n">
        <v>70.7</v>
      </c>
      <c r="AS503" s="37" t="n">
        <v>59.83</v>
      </c>
      <c r="AT503" s="37" t="n">
        <v>96.88</v>
      </c>
      <c r="AU503" s="37" t="n">
        <v>83.95999999999999</v>
      </c>
      <c r="AV503" s="37" t="n">
        <v>76.48</v>
      </c>
      <c r="AW503" s="37" t="n">
        <v>70.36</v>
      </c>
      <c r="AX503" s="37" t="n">
        <v>70.7</v>
      </c>
      <c r="AY503" s="37" t="n">
        <v>70.36</v>
      </c>
      <c r="AZ503" s="37" t="n">
        <v>60.17</v>
      </c>
      <c r="BA503" s="37" t="n">
        <v>86</v>
      </c>
      <c r="BB503" s="37" t="n">
        <v>81.23999999999999</v>
      </c>
      <c r="BC503" s="37" t="n">
        <v>40.79</v>
      </c>
      <c r="BD503" s="37" t="n">
        <v>57.79</v>
      </c>
      <c r="BE503" s="37" t="n">
        <v>133.59</v>
      </c>
      <c r="BF503" s="37" t="n">
        <v>130.19</v>
      </c>
      <c r="BG503" s="37" t="n">
        <v>64.25</v>
      </c>
      <c r="BH503" s="37" t="n">
        <v>96.88</v>
      </c>
      <c r="BI503" s="37" t="n">
        <v>81.23999999999999</v>
      </c>
      <c r="BJ503" s="37" t="n">
        <v>90.08</v>
      </c>
      <c r="BK503" s="37" t="n">
        <v>81.58</v>
      </c>
      <c r="BL503" s="37" t="n">
        <v>81.92</v>
      </c>
      <c r="BM503" s="37" t="n">
        <v>79.2</v>
      </c>
      <c r="BN503" s="37" t="n">
        <v>64.25</v>
      </c>
      <c r="BO503" s="37" t="n">
        <v>96.88</v>
      </c>
      <c r="BP503" s="37" t="n">
        <v>81.23999999999999</v>
      </c>
      <c r="BQ503" s="37" t="n">
        <v>79.54000000000001</v>
      </c>
      <c r="BR503" s="37" t="n">
        <v>81.58</v>
      </c>
      <c r="BS503" s="37" t="n">
        <v>81.92</v>
      </c>
      <c r="BT503" s="37" t="n">
        <v>79.2</v>
      </c>
      <c r="BU503" s="37" t="n">
        <v>64.25</v>
      </c>
      <c r="BV503" s="37" t="n">
        <v>96.88</v>
      </c>
      <c r="BW503" s="37" t="n">
        <v>81.23999999999999</v>
      </c>
      <c r="BX503" s="37" t="n">
        <v>79.54000000000001</v>
      </c>
      <c r="BY503" s="37" t="n">
        <v>81.58</v>
      </c>
      <c r="BZ503" s="37" t="n">
        <v>81.92</v>
      </c>
      <c r="CA503" s="37" t="n">
        <v>79.2</v>
      </c>
      <c r="CB503" s="37" t="n">
        <v>64.25</v>
      </c>
      <c r="CC503" s="37" t="n">
        <v>5685.159999999999</v>
      </c>
    </row>
    <row r="504" ht="15.75" customHeight="1" s="57">
      <c r="A504" s="7" t="inlineStr">
        <is>
          <t>NTB</t>
        </is>
      </c>
      <c r="B504" s="7" t="inlineStr">
        <is>
          <t>Đắk Nông</t>
        </is>
      </c>
      <c r="C504" s="7" t="n">
        <v>22048001</v>
      </c>
      <c r="D504" s="7" t="inlineStr">
        <is>
          <t>(DNO) ĐL Nam Gia Nghĩa 2</t>
        </is>
      </c>
      <c r="E504" s="7" t="inlineStr">
        <is>
          <t>SME</t>
        </is>
      </c>
      <c r="F504" s="36" t="n">
        <v>1</v>
      </c>
      <c r="G504" s="36" t="n">
        <v>0</v>
      </c>
      <c r="H504" s="36" t="n">
        <v>2</v>
      </c>
      <c r="I504" s="36" t="n">
        <v>2</v>
      </c>
      <c r="J504" s="36" t="n">
        <v>0</v>
      </c>
      <c r="K504" s="28" t="n">
        <v>0</v>
      </c>
      <c r="L504" s="36" t="n">
        <v>0</v>
      </c>
      <c r="M504" s="36" t="n">
        <v>0</v>
      </c>
      <c r="N504" s="36" t="n">
        <v>0</v>
      </c>
      <c r="O504" s="36" t="n">
        <v>0</v>
      </c>
      <c r="P504" s="36" t="n">
        <v>0</v>
      </c>
      <c r="Q504" s="36" t="n">
        <v>0</v>
      </c>
      <c r="R504" s="28" t="n">
        <v>1</v>
      </c>
      <c r="S504" s="36" t="n">
        <v>0</v>
      </c>
      <c r="T504" s="36" t="n">
        <v>0</v>
      </c>
      <c r="U504" s="36" t="n">
        <v>0.5</v>
      </c>
      <c r="V504" s="36" t="n">
        <v>0.51</v>
      </c>
      <c r="W504" s="36" t="n">
        <v>0.49</v>
      </c>
      <c r="X504" s="36" t="n">
        <v>0.4</v>
      </c>
      <c r="Y504" s="28" t="n">
        <v>0.55</v>
      </c>
      <c r="Z504" s="36" t="n">
        <v>0.51</v>
      </c>
      <c r="AA504" s="36" t="n">
        <v>0.49</v>
      </c>
      <c r="AB504" s="36" t="n">
        <v>0.5</v>
      </c>
      <c r="AC504" s="36" t="n">
        <v>0.51</v>
      </c>
      <c r="AD504" s="36" t="n">
        <v>0.53</v>
      </c>
      <c r="AE504" s="36" t="n">
        <v>0.4</v>
      </c>
      <c r="AF504" s="28" t="n">
        <v>0.55</v>
      </c>
      <c r="AG504" s="36" t="n">
        <v>0.51</v>
      </c>
      <c r="AH504" s="37" t="n">
        <v>0.49</v>
      </c>
      <c r="AI504" s="37" t="n">
        <v>0.5</v>
      </c>
      <c r="AJ504" s="37" t="n">
        <v>0.51</v>
      </c>
      <c r="AK504" s="37" t="n">
        <v>0.49</v>
      </c>
      <c r="AL504" s="37" t="n">
        <v>0.4</v>
      </c>
      <c r="AM504" s="37" t="n">
        <v>0.55</v>
      </c>
      <c r="AN504" s="37" t="n">
        <v>0.51</v>
      </c>
      <c r="AO504" s="37" t="n">
        <v>0.49</v>
      </c>
      <c r="AP504" s="37" t="n">
        <v>0.5</v>
      </c>
      <c r="AQ504" s="37" t="n">
        <v>0.51</v>
      </c>
      <c r="AR504" s="37" t="n">
        <v>0.49</v>
      </c>
      <c r="AS504" s="37" t="n">
        <v>0.4</v>
      </c>
      <c r="AT504" s="37" t="n">
        <v>0.55</v>
      </c>
      <c r="AU504" s="37" t="n">
        <v>0.51</v>
      </c>
      <c r="AV504" s="37" t="n">
        <v>0.49</v>
      </c>
      <c r="AW504" s="37" t="n">
        <v>0.5</v>
      </c>
      <c r="AX504" s="37" t="n">
        <v>0.51</v>
      </c>
      <c r="AY504" s="37" t="n">
        <v>0.49</v>
      </c>
      <c r="AZ504" s="37" t="n">
        <v>0.4</v>
      </c>
      <c r="BA504" s="37" t="n">
        <v>0.52</v>
      </c>
      <c r="BB504" s="37" t="n">
        <v>0.46</v>
      </c>
      <c r="BC504" s="37" t="n">
        <v>0.28</v>
      </c>
      <c r="BD504" s="37" t="n">
        <v>0.21</v>
      </c>
      <c r="BE504" s="37" t="n">
        <v>0.47</v>
      </c>
      <c r="BF504" s="37" t="n">
        <v>0.46</v>
      </c>
      <c r="BG504" s="37" t="n">
        <v>0.42</v>
      </c>
      <c r="BH504" s="37" t="n">
        <v>0.5700000000000001</v>
      </c>
      <c r="BI504" s="37" t="n">
        <v>0.52</v>
      </c>
      <c r="BJ504" s="37" t="n">
        <v>0.55</v>
      </c>
      <c r="BK504" s="37" t="n">
        <v>0.51</v>
      </c>
      <c r="BL504" s="37" t="n">
        <v>0.53</v>
      </c>
      <c r="BM504" s="37" t="n">
        <v>0.5</v>
      </c>
      <c r="BN504" s="37" t="n">
        <v>0.42</v>
      </c>
      <c r="BO504" s="37" t="n">
        <v>0.5700000000000001</v>
      </c>
      <c r="BP504" s="37" t="n">
        <v>0.52</v>
      </c>
      <c r="BQ504" s="37" t="n">
        <v>0.5</v>
      </c>
      <c r="BR504" s="37" t="n">
        <v>0.51</v>
      </c>
      <c r="BS504" s="37" t="n">
        <v>0.53</v>
      </c>
      <c r="BT504" s="37" t="n">
        <v>0.5</v>
      </c>
      <c r="BU504" s="37" t="n">
        <v>0.42</v>
      </c>
      <c r="BV504" s="37" t="n">
        <v>0.5700000000000001</v>
      </c>
      <c r="BW504" s="37" t="n">
        <v>0.52</v>
      </c>
      <c r="BX504" s="37" t="n">
        <v>0.5</v>
      </c>
      <c r="BY504" s="37" t="n">
        <v>0.51</v>
      </c>
      <c r="BZ504" s="37" t="n">
        <v>0.53</v>
      </c>
      <c r="CA504" s="37" t="n">
        <v>0.5</v>
      </c>
      <c r="CB504" s="37" t="n">
        <v>0.42</v>
      </c>
      <c r="CC504" s="37" t="n">
        <v>35.26000000000001</v>
      </c>
    </row>
    <row r="505" ht="15.75" customHeight="1" s="57">
      <c r="A505" s="7" t="inlineStr">
        <is>
          <t>NTB</t>
        </is>
      </c>
      <c r="B505" s="7" t="inlineStr">
        <is>
          <t>Đắk Nông</t>
        </is>
      </c>
      <c r="C505" s="7" t="n">
        <v>22048001</v>
      </c>
      <c r="D505" s="7" t="inlineStr">
        <is>
          <t>(DNO) ĐL Nam Gia Nghĩa 2</t>
        </is>
      </c>
      <c r="E505" s="7" t="inlineStr">
        <is>
          <t>SME-Bulky</t>
        </is>
      </c>
      <c r="F505" s="36" t="n">
        <v>0</v>
      </c>
      <c r="G505" s="36" t="n">
        <v>0</v>
      </c>
      <c r="H505" s="36" t="n">
        <v>0</v>
      </c>
      <c r="I505" s="36" t="n">
        <v>0</v>
      </c>
      <c r="J505" s="36" t="n">
        <v>0</v>
      </c>
      <c r="K505" s="28" t="n">
        <v>0</v>
      </c>
      <c r="L505" s="36" t="n">
        <v>0</v>
      </c>
      <c r="M505" s="36" t="n">
        <v>0</v>
      </c>
      <c r="N505" s="36" t="n">
        <v>0</v>
      </c>
      <c r="O505" s="36" t="n">
        <v>0</v>
      </c>
      <c r="P505" s="36" t="n">
        <v>0</v>
      </c>
      <c r="Q505" s="36" t="n">
        <v>0</v>
      </c>
      <c r="R505" s="28" t="n">
        <v>0</v>
      </c>
      <c r="S505" s="36" t="n">
        <v>0</v>
      </c>
      <c r="T505" s="36" t="n">
        <v>0</v>
      </c>
      <c r="U505" s="36" t="n">
        <v>0.03</v>
      </c>
      <c r="V505" s="36" t="n">
        <v>0.03</v>
      </c>
      <c r="W505" s="36" t="n">
        <v>0.03</v>
      </c>
      <c r="X505" s="36" t="n">
        <v>0.01</v>
      </c>
      <c r="Y505" s="28" t="n">
        <v>0.05</v>
      </c>
      <c r="Z505" s="36" t="n">
        <v>0.04</v>
      </c>
      <c r="AA505" s="36" t="n">
        <v>0.04</v>
      </c>
      <c r="AB505" s="36" t="n">
        <v>0.03</v>
      </c>
      <c r="AC505" s="36" t="n">
        <v>0.03</v>
      </c>
      <c r="AD505" s="36" t="n">
        <v>0.09</v>
      </c>
      <c r="AE505" s="36" t="n">
        <v>0.01</v>
      </c>
      <c r="AF505" s="28" t="n">
        <v>0.05</v>
      </c>
      <c r="AG505" s="36" t="n">
        <v>0.04</v>
      </c>
      <c r="AH505" s="37" t="n">
        <v>0.04</v>
      </c>
      <c r="AI505" s="37" t="n">
        <v>0.03</v>
      </c>
      <c r="AJ505" s="37" t="n">
        <v>0.03</v>
      </c>
      <c r="AK505" s="37" t="n">
        <v>0.03</v>
      </c>
      <c r="AL505" s="37" t="n">
        <v>0.01</v>
      </c>
      <c r="AM505" s="37" t="n">
        <v>0.05</v>
      </c>
      <c r="AN505" s="37" t="n">
        <v>0.04</v>
      </c>
      <c r="AO505" s="37" t="n">
        <v>0.04</v>
      </c>
      <c r="AP505" s="37" t="n">
        <v>0.03</v>
      </c>
      <c r="AQ505" s="37" t="n">
        <v>0.03</v>
      </c>
      <c r="AR505" s="37" t="n">
        <v>0.03</v>
      </c>
      <c r="AS505" s="37" t="n">
        <v>0.01</v>
      </c>
      <c r="AT505" s="37" t="n">
        <v>0.05</v>
      </c>
      <c r="AU505" s="37" t="n">
        <v>0.04</v>
      </c>
      <c r="AV505" s="37" t="n">
        <v>0.04</v>
      </c>
      <c r="AW505" s="37" t="n">
        <v>0.03</v>
      </c>
      <c r="AX505" s="37" t="n">
        <v>0.03</v>
      </c>
      <c r="AY505" s="37" t="n">
        <v>0.03</v>
      </c>
      <c r="AZ505" s="37" t="n">
        <v>0.01</v>
      </c>
      <c r="BA505" s="37" t="n">
        <v>0.05</v>
      </c>
      <c r="BB505" s="37" t="n">
        <v>0.02</v>
      </c>
      <c r="BC505" s="37" t="n">
        <v>0.01</v>
      </c>
      <c r="BD505" s="37" t="n">
        <v>0</v>
      </c>
      <c r="BE505" s="37" t="n">
        <v>0.02</v>
      </c>
      <c r="BF505" s="37" t="n">
        <v>0.02</v>
      </c>
      <c r="BG505" s="37" t="n">
        <v>0.01</v>
      </c>
      <c r="BH505" s="37" t="n">
        <v>0.02</v>
      </c>
      <c r="BI505" s="37" t="n">
        <v>0.02</v>
      </c>
      <c r="BJ505" s="37" t="n">
        <v>0.05</v>
      </c>
      <c r="BK505" s="37" t="n">
        <v>0.02</v>
      </c>
      <c r="BL505" s="37" t="n">
        <v>0.02</v>
      </c>
      <c r="BM505" s="37" t="n">
        <v>0.02</v>
      </c>
      <c r="BN505" s="37" t="n">
        <v>0.01</v>
      </c>
      <c r="BO505" s="37" t="n">
        <v>0.02</v>
      </c>
      <c r="BP505" s="37" t="n">
        <v>0.02</v>
      </c>
      <c r="BQ505" s="37" t="n">
        <v>0.02</v>
      </c>
      <c r="BR505" s="37" t="n">
        <v>0.02</v>
      </c>
      <c r="BS505" s="37" t="n">
        <v>0.02</v>
      </c>
      <c r="BT505" s="37" t="n">
        <v>0.02</v>
      </c>
      <c r="BU505" s="37" t="n">
        <v>0.01</v>
      </c>
      <c r="BV505" s="37" t="n">
        <v>0.02</v>
      </c>
      <c r="BW505" s="37" t="n">
        <v>0.02</v>
      </c>
      <c r="BX505" s="37" t="n">
        <v>0.02</v>
      </c>
      <c r="BY505" s="37" t="n">
        <v>0.02</v>
      </c>
      <c r="BZ505" s="37" t="n">
        <v>0.02</v>
      </c>
      <c r="CA505" s="37" t="n">
        <v>0.02</v>
      </c>
      <c r="CB505" s="37" t="n">
        <v>0.01</v>
      </c>
      <c r="CC505" s="37" t="n">
        <v>1.630000000000001</v>
      </c>
    </row>
    <row r="506" ht="15.75" customHeight="1" s="57">
      <c r="A506" s="7" t="inlineStr">
        <is>
          <t>NTB</t>
        </is>
      </c>
      <c r="B506" s="7" t="inlineStr">
        <is>
          <t>Đắk Nông</t>
        </is>
      </c>
      <c r="C506" s="7" t="n">
        <v>22048001</v>
      </c>
      <c r="D506" s="7" t="inlineStr">
        <is>
          <t>(DNO) ĐL Nam Gia Nghĩa 2</t>
        </is>
      </c>
      <c r="E506" s="7" t="inlineStr">
        <is>
          <t>Shopee</t>
        </is>
      </c>
      <c r="F506" s="36" t="n">
        <v>8</v>
      </c>
      <c r="G506" s="36" t="n">
        <v>5</v>
      </c>
      <c r="H506" s="36" t="n">
        <v>3</v>
      </c>
      <c r="I506" s="36" t="n">
        <v>2</v>
      </c>
      <c r="J506" s="36" t="n">
        <v>6</v>
      </c>
      <c r="K506" s="28" t="n">
        <v>10</v>
      </c>
      <c r="L506" s="36" t="n">
        <v>4</v>
      </c>
      <c r="M506" s="36" t="n">
        <v>1</v>
      </c>
      <c r="N506" s="36" t="n">
        <v>4</v>
      </c>
      <c r="O506" s="36" t="n">
        <v>1</v>
      </c>
      <c r="P506" s="36" t="n">
        <v>0</v>
      </c>
      <c r="Q506" s="36" t="n">
        <v>3</v>
      </c>
      <c r="R506" s="28" t="n">
        <v>1</v>
      </c>
      <c r="S506" s="36" t="n">
        <v>0</v>
      </c>
      <c r="T506" s="36" t="n">
        <v>1</v>
      </c>
      <c r="U506" s="36" t="n">
        <v>1.83</v>
      </c>
      <c r="V506" s="36" t="n">
        <v>1.83</v>
      </c>
      <c r="W506" s="36" t="n">
        <v>1.7</v>
      </c>
      <c r="X506" s="36" t="n">
        <v>1.5</v>
      </c>
      <c r="Y506" s="28" t="n">
        <v>2.42</v>
      </c>
      <c r="Z506" s="36" t="n">
        <v>1.99</v>
      </c>
      <c r="AA506" s="36" t="n">
        <v>2.35</v>
      </c>
      <c r="AB506" s="36" t="n">
        <v>1.85</v>
      </c>
      <c r="AC506" s="36" t="n">
        <v>1.5</v>
      </c>
      <c r="AD506" s="36" t="n">
        <v>2.89</v>
      </c>
      <c r="AE506" s="36" t="n">
        <v>1.6</v>
      </c>
      <c r="AF506" s="28" t="n">
        <v>2.64</v>
      </c>
      <c r="AG506" s="36" t="n">
        <v>2.11</v>
      </c>
      <c r="AH506" s="37" t="n">
        <v>2.18</v>
      </c>
      <c r="AI506" s="37" t="n">
        <v>1.83</v>
      </c>
      <c r="AJ506" s="37" t="n">
        <v>1.83</v>
      </c>
      <c r="AK506" s="37" t="n">
        <v>1.98</v>
      </c>
      <c r="AL506" s="37" t="n">
        <v>2.64</v>
      </c>
      <c r="AM506" s="37" t="n">
        <v>2.42</v>
      </c>
      <c r="AN506" s="37" t="n">
        <v>1.99</v>
      </c>
      <c r="AO506" s="37" t="n">
        <v>2.18</v>
      </c>
      <c r="AP506" s="37" t="n">
        <v>2.03</v>
      </c>
      <c r="AQ506" s="37" t="n">
        <v>1.5</v>
      </c>
      <c r="AR506" s="37" t="n">
        <v>1.7</v>
      </c>
      <c r="AS506" s="37" t="n">
        <v>1.5</v>
      </c>
      <c r="AT506" s="37" t="n">
        <v>2.42</v>
      </c>
      <c r="AU506" s="37" t="n">
        <v>2.16</v>
      </c>
      <c r="AV506" s="37" t="n">
        <v>2.19</v>
      </c>
      <c r="AW506" s="37" t="n">
        <v>1.83</v>
      </c>
      <c r="AX506" s="37" t="n">
        <v>1.83</v>
      </c>
      <c r="AY506" s="37" t="n">
        <v>1.7</v>
      </c>
      <c r="AZ506" s="37" t="n">
        <v>1.5</v>
      </c>
      <c r="BA506" s="37" t="n">
        <v>2.13</v>
      </c>
      <c r="BB506" s="37" t="n">
        <v>1.47</v>
      </c>
      <c r="BC506" s="37" t="n">
        <v>0.7</v>
      </c>
      <c r="BD506" s="37" t="n">
        <v>1.08</v>
      </c>
      <c r="BE506" s="37" t="n">
        <v>2.27</v>
      </c>
      <c r="BF506" s="37" t="n">
        <v>2.16</v>
      </c>
      <c r="BG506" s="37" t="n">
        <v>1.52</v>
      </c>
      <c r="BH506" s="37" t="n">
        <v>2.39</v>
      </c>
      <c r="BI506" s="37" t="n">
        <v>1.56</v>
      </c>
      <c r="BJ506" s="37" t="n">
        <v>4.19</v>
      </c>
      <c r="BK506" s="37" t="n">
        <v>1.97</v>
      </c>
      <c r="BL506" s="37" t="n">
        <v>1.92</v>
      </c>
      <c r="BM506" s="37" t="n">
        <v>1.67</v>
      </c>
      <c r="BN506" s="37" t="n">
        <v>1.47</v>
      </c>
      <c r="BO506" s="37" t="n">
        <v>2.39</v>
      </c>
      <c r="BP506" s="37" t="n">
        <v>2.12</v>
      </c>
      <c r="BQ506" s="37" t="n">
        <v>3.24</v>
      </c>
      <c r="BR506" s="37" t="n">
        <v>1.8</v>
      </c>
      <c r="BS506" s="37" t="n">
        <v>1.8</v>
      </c>
      <c r="BT506" s="37" t="n">
        <v>1.67</v>
      </c>
      <c r="BU506" s="37" t="n">
        <v>1.61</v>
      </c>
      <c r="BV506" s="37" t="n">
        <v>1.98</v>
      </c>
      <c r="BW506" s="37" t="n">
        <v>1.97</v>
      </c>
      <c r="BX506" s="37" t="n">
        <v>2.14</v>
      </c>
      <c r="BY506" s="37" t="n">
        <v>1.8</v>
      </c>
      <c r="BZ506" s="37" t="n">
        <v>2</v>
      </c>
      <c r="CA506" s="37" t="n">
        <v>1.78</v>
      </c>
      <c r="CB506" s="37" t="n">
        <v>1.47</v>
      </c>
      <c r="CC506" s="37" t="n">
        <v>166.89</v>
      </c>
    </row>
    <row r="507" ht="15.75" customHeight="1" s="57">
      <c r="A507" s="7" t="inlineStr">
        <is>
          <t>NTB</t>
        </is>
      </c>
      <c r="B507" s="7" t="inlineStr">
        <is>
          <t>Đắk Nông</t>
        </is>
      </c>
      <c r="C507" s="7" t="n">
        <v>22048001</v>
      </c>
      <c r="D507" s="7" t="inlineStr">
        <is>
          <t>(DNO) ĐL Nam Gia Nghĩa 2</t>
        </is>
      </c>
      <c r="E507" s="7" t="inlineStr">
        <is>
          <t>TTS</t>
        </is>
      </c>
      <c r="F507" s="36" t="n">
        <v>0</v>
      </c>
      <c r="G507" s="36" t="n">
        <v>0</v>
      </c>
      <c r="H507" s="36" t="n">
        <v>0</v>
      </c>
      <c r="I507" s="36" t="n">
        <v>4</v>
      </c>
      <c r="J507" s="36" t="n">
        <v>0</v>
      </c>
      <c r="K507" s="28" t="n">
        <v>0</v>
      </c>
      <c r="L507" s="36" t="n">
        <v>1</v>
      </c>
      <c r="M507" s="36" t="n">
        <v>1</v>
      </c>
      <c r="N507" s="36" t="n">
        <v>1</v>
      </c>
      <c r="O507" s="36" t="n">
        <v>0</v>
      </c>
      <c r="P507" s="36" t="n">
        <v>0</v>
      </c>
      <c r="Q507" s="36" t="n">
        <v>1</v>
      </c>
      <c r="R507" s="28" t="n">
        <v>0</v>
      </c>
      <c r="S507" s="36" t="n">
        <v>0</v>
      </c>
      <c r="T507" s="36" t="n">
        <v>2</v>
      </c>
      <c r="U507" s="36" t="n">
        <v>1.06</v>
      </c>
      <c r="V507" s="36" t="n">
        <v>1.02</v>
      </c>
      <c r="W507" s="36" t="n">
        <v>0.99</v>
      </c>
      <c r="X507" s="36" t="n">
        <v>0.83</v>
      </c>
      <c r="Y507" s="28" t="n">
        <v>1.2</v>
      </c>
      <c r="Z507" s="36" t="n">
        <v>1.01</v>
      </c>
      <c r="AA507" s="36" t="n">
        <v>1.11</v>
      </c>
      <c r="AB507" s="36" t="n">
        <v>1.2</v>
      </c>
      <c r="AC507" s="36" t="n">
        <v>1.27</v>
      </c>
      <c r="AD507" s="36" t="n">
        <v>1.58</v>
      </c>
      <c r="AE507" s="36" t="n">
        <v>0.93</v>
      </c>
      <c r="AF507" s="28" t="n">
        <v>1.23</v>
      </c>
      <c r="AG507" s="36" t="n">
        <v>1.02</v>
      </c>
      <c r="AH507" s="37" t="n">
        <v>0.99</v>
      </c>
      <c r="AI507" s="37" t="n">
        <v>1.16</v>
      </c>
      <c r="AJ507" s="37" t="n">
        <v>1.21</v>
      </c>
      <c r="AK507" s="37" t="n">
        <v>1.17</v>
      </c>
      <c r="AL507" s="37" t="n">
        <v>0.89</v>
      </c>
      <c r="AM507" s="37" t="n">
        <v>1.2</v>
      </c>
      <c r="AN507" s="37" t="n">
        <v>1.05</v>
      </c>
      <c r="AO507" s="37" t="n">
        <v>1.04</v>
      </c>
      <c r="AP507" s="37" t="n">
        <v>1</v>
      </c>
      <c r="AQ507" s="37" t="n">
        <v>1.01</v>
      </c>
      <c r="AR507" s="37" t="n">
        <v>0.98</v>
      </c>
      <c r="AS507" s="37" t="n">
        <v>0.83</v>
      </c>
      <c r="AT507" s="37" t="n">
        <v>1.34</v>
      </c>
      <c r="AU507" s="37" t="n">
        <v>1.16</v>
      </c>
      <c r="AV507" s="37" t="n">
        <v>1.06</v>
      </c>
      <c r="AW507" s="37" t="n">
        <v>0.97</v>
      </c>
      <c r="AX507" s="37" t="n">
        <v>0.98</v>
      </c>
      <c r="AY507" s="37" t="n">
        <v>0.97</v>
      </c>
      <c r="AZ507" s="37" t="n">
        <v>0.83</v>
      </c>
      <c r="BA507" s="37" t="n">
        <v>1.19</v>
      </c>
      <c r="BB507" s="37" t="n">
        <v>1.13</v>
      </c>
      <c r="BC507" s="37" t="n">
        <v>0.5600000000000001</v>
      </c>
      <c r="BD507" s="37" t="n">
        <v>0.8</v>
      </c>
      <c r="BE507" s="37" t="n">
        <v>1.85</v>
      </c>
      <c r="BF507" s="37" t="n">
        <v>1.8</v>
      </c>
      <c r="BG507" s="37" t="n">
        <v>0.89</v>
      </c>
      <c r="BH507" s="37" t="n">
        <v>1.34</v>
      </c>
      <c r="BI507" s="37" t="n">
        <v>1.13</v>
      </c>
      <c r="BJ507" s="37" t="n">
        <v>1.25</v>
      </c>
      <c r="BK507" s="37" t="n">
        <v>1.13</v>
      </c>
      <c r="BL507" s="37" t="n">
        <v>1.13</v>
      </c>
      <c r="BM507" s="37" t="n">
        <v>1.1</v>
      </c>
      <c r="BN507" s="37" t="n">
        <v>0.89</v>
      </c>
      <c r="BO507" s="37" t="n">
        <v>1.34</v>
      </c>
      <c r="BP507" s="37" t="n">
        <v>1.13</v>
      </c>
      <c r="BQ507" s="37" t="n">
        <v>1.1</v>
      </c>
      <c r="BR507" s="37" t="n">
        <v>1.13</v>
      </c>
      <c r="BS507" s="37" t="n">
        <v>1.13</v>
      </c>
      <c r="BT507" s="37" t="n">
        <v>1.1</v>
      </c>
      <c r="BU507" s="37" t="n">
        <v>0.89</v>
      </c>
      <c r="BV507" s="37" t="n">
        <v>1.34</v>
      </c>
      <c r="BW507" s="37" t="n">
        <v>1.13</v>
      </c>
      <c r="BX507" s="37" t="n">
        <v>1.1</v>
      </c>
      <c r="BY507" s="37" t="n">
        <v>1.13</v>
      </c>
      <c r="BZ507" s="37" t="n">
        <v>1.13</v>
      </c>
      <c r="CA507" s="37" t="n">
        <v>1.1</v>
      </c>
      <c r="CB507" s="37" t="n">
        <v>0.89</v>
      </c>
      <c r="CC507" s="37" t="n">
        <v>76.11999999999996</v>
      </c>
    </row>
    <row r="508" ht="15.75" customHeight="1" s="57">
      <c r="A508" s="7" t="inlineStr">
        <is>
          <t>NTB</t>
        </is>
      </c>
      <c r="B508" s="7" t="inlineStr">
        <is>
          <t>Đắk Nông</t>
        </is>
      </c>
      <c r="C508" s="7" t="n">
        <v>22086000</v>
      </c>
      <c r="D508" s="7" t="inlineStr">
        <is>
          <t>(DNO) Trường Xuân</t>
        </is>
      </c>
      <c r="E508" s="7" t="inlineStr">
        <is>
          <t>SME</t>
        </is>
      </c>
      <c r="F508" s="36" t="n">
        <v>27</v>
      </c>
      <c r="G508" s="36" t="n">
        <v>40</v>
      </c>
      <c r="H508" s="36" t="n">
        <v>26</v>
      </c>
      <c r="I508" s="36" t="n">
        <v>56</v>
      </c>
      <c r="J508" s="36" t="n">
        <v>17</v>
      </c>
      <c r="K508" s="28" t="n">
        <v>25</v>
      </c>
      <c r="L508" s="36" t="n">
        <v>33</v>
      </c>
      <c r="M508" s="36" t="n">
        <v>52</v>
      </c>
      <c r="N508" s="36" t="n">
        <v>19</v>
      </c>
      <c r="O508" s="36" t="n">
        <v>43</v>
      </c>
      <c r="P508" s="36" t="n">
        <v>47</v>
      </c>
      <c r="Q508" s="36" t="n">
        <v>38</v>
      </c>
      <c r="R508" s="28" t="n">
        <v>49</v>
      </c>
      <c r="S508" s="36" t="n">
        <v>43</v>
      </c>
      <c r="T508" s="36" t="n">
        <v>52</v>
      </c>
      <c r="U508" s="36" t="n">
        <v>138.61</v>
      </c>
      <c r="V508" s="36" t="n">
        <v>143.51</v>
      </c>
      <c r="W508" s="36" t="n">
        <v>139.64</v>
      </c>
      <c r="X508" s="36" t="n">
        <v>114.19</v>
      </c>
      <c r="Y508" s="28" t="n">
        <v>154.7</v>
      </c>
      <c r="Z508" s="36" t="n">
        <v>142.65</v>
      </c>
      <c r="AA508" s="36" t="n">
        <v>138.88</v>
      </c>
      <c r="AB508" s="36" t="n">
        <v>138.61</v>
      </c>
      <c r="AC508" s="36" t="n">
        <v>143.51</v>
      </c>
      <c r="AD508" s="36" t="n">
        <v>146.47</v>
      </c>
      <c r="AE508" s="36" t="n">
        <v>114.19</v>
      </c>
      <c r="AF508" s="28" t="n">
        <v>154.7</v>
      </c>
      <c r="AG508" s="36" t="n">
        <v>142.65</v>
      </c>
      <c r="AH508" s="37" t="n">
        <v>138.88</v>
      </c>
      <c r="AI508" s="37" t="n">
        <v>138.61</v>
      </c>
      <c r="AJ508" s="37" t="n">
        <v>143.51</v>
      </c>
      <c r="AK508" s="37" t="n">
        <v>139.64</v>
      </c>
      <c r="AL508" s="37" t="n">
        <v>114.19</v>
      </c>
      <c r="AM508" s="37" t="n">
        <v>154.7</v>
      </c>
      <c r="AN508" s="37" t="n">
        <v>142.65</v>
      </c>
      <c r="AO508" s="37" t="n">
        <v>138.88</v>
      </c>
      <c r="AP508" s="37" t="n">
        <v>138.61</v>
      </c>
      <c r="AQ508" s="37" t="n">
        <v>143.51</v>
      </c>
      <c r="AR508" s="37" t="n">
        <v>139.64</v>
      </c>
      <c r="AS508" s="37" t="n">
        <v>114.19</v>
      </c>
      <c r="AT508" s="37" t="n">
        <v>154.7</v>
      </c>
      <c r="AU508" s="37" t="n">
        <v>142.65</v>
      </c>
      <c r="AV508" s="37" t="n">
        <v>138.88</v>
      </c>
      <c r="AW508" s="37" t="n">
        <v>138.61</v>
      </c>
      <c r="AX508" s="37" t="n">
        <v>143.51</v>
      </c>
      <c r="AY508" s="37" t="n">
        <v>139.64</v>
      </c>
      <c r="AZ508" s="37" t="n">
        <v>114.19</v>
      </c>
      <c r="BA508" s="37" t="n">
        <v>146.78</v>
      </c>
      <c r="BB508" s="37" t="n">
        <v>130.88</v>
      </c>
      <c r="BC508" s="37" t="n">
        <v>80.59</v>
      </c>
      <c r="BD508" s="37" t="n">
        <v>63.18</v>
      </c>
      <c r="BE508" s="37" t="n">
        <v>134.83</v>
      </c>
      <c r="BF508" s="37" t="n">
        <v>131.26</v>
      </c>
      <c r="BG508" s="37" t="n">
        <v>118.15</v>
      </c>
      <c r="BH508" s="37" t="n">
        <v>159.76</v>
      </c>
      <c r="BI508" s="37" t="n">
        <v>147.17</v>
      </c>
      <c r="BJ508" s="37" t="n">
        <v>150.68</v>
      </c>
      <c r="BK508" s="37" t="n">
        <v>143</v>
      </c>
      <c r="BL508" s="37" t="n">
        <v>148.19</v>
      </c>
      <c r="BM508" s="37" t="n">
        <v>144.06</v>
      </c>
      <c r="BN508" s="37" t="n">
        <v>118.15</v>
      </c>
      <c r="BO508" s="37" t="n">
        <v>159.76</v>
      </c>
      <c r="BP508" s="37" t="n">
        <v>147.17</v>
      </c>
      <c r="BQ508" s="37" t="n">
        <v>143.26</v>
      </c>
      <c r="BR508" s="37" t="n">
        <v>143</v>
      </c>
      <c r="BS508" s="37" t="n">
        <v>148.19</v>
      </c>
      <c r="BT508" s="37" t="n">
        <v>144.06</v>
      </c>
      <c r="BU508" s="37" t="n">
        <v>118.15</v>
      </c>
      <c r="BV508" s="37" t="n">
        <v>159.76</v>
      </c>
      <c r="BW508" s="37" t="n">
        <v>147.17</v>
      </c>
      <c r="BX508" s="37" t="n">
        <v>143.26</v>
      </c>
      <c r="BY508" s="37" t="n">
        <v>143</v>
      </c>
      <c r="BZ508" s="37" t="n">
        <v>148.19</v>
      </c>
      <c r="CA508" s="37" t="n">
        <v>144.06</v>
      </c>
      <c r="CB508" s="37" t="n">
        <v>118.15</v>
      </c>
      <c r="CC508" s="37" t="n">
        <v>8822.360000000001</v>
      </c>
    </row>
    <row r="509" ht="15.75" customHeight="1" s="57">
      <c r="A509" s="7" t="inlineStr">
        <is>
          <t>NTB</t>
        </is>
      </c>
      <c r="B509" s="7" t="inlineStr">
        <is>
          <t>Đắk Nông</t>
        </is>
      </c>
      <c r="C509" s="7" t="n">
        <v>22086000</v>
      </c>
      <c r="D509" s="7" t="inlineStr">
        <is>
          <t>(DNO) Trường Xuân</t>
        </is>
      </c>
      <c r="E509" s="7" t="inlineStr">
        <is>
          <t>SME-Bulky</t>
        </is>
      </c>
      <c r="F509" s="36" t="n">
        <v>2</v>
      </c>
      <c r="G509" s="36" t="n">
        <v>3</v>
      </c>
      <c r="H509" s="36" t="n">
        <v>1</v>
      </c>
      <c r="I509" s="36" t="n">
        <v>2</v>
      </c>
      <c r="J509" s="36" t="n">
        <v>1</v>
      </c>
      <c r="K509" s="28" t="n">
        <v>0</v>
      </c>
      <c r="L509" s="36" t="n">
        <v>0</v>
      </c>
      <c r="M509" s="36" t="n">
        <v>4</v>
      </c>
      <c r="N509" s="36" t="n">
        <v>2</v>
      </c>
      <c r="O509" s="36" t="n">
        <v>3</v>
      </c>
      <c r="P509" s="36" t="n">
        <v>1</v>
      </c>
      <c r="Q509" s="36" t="n">
        <v>0</v>
      </c>
      <c r="R509" s="28" t="n">
        <v>2</v>
      </c>
      <c r="S509" s="36" t="n">
        <v>2</v>
      </c>
      <c r="T509" s="36" t="n">
        <v>1</v>
      </c>
      <c r="U509" s="36" t="n">
        <v>0.95</v>
      </c>
      <c r="V509" s="36" t="n">
        <v>0.95</v>
      </c>
      <c r="W509" s="36" t="n">
        <v>0.95</v>
      </c>
      <c r="X509" s="36" t="n">
        <v>0.41</v>
      </c>
      <c r="Y509" s="28" t="n">
        <v>1.27</v>
      </c>
      <c r="Z509" s="36" t="n">
        <v>1.03</v>
      </c>
      <c r="AA509" s="36" t="n">
        <v>1.03</v>
      </c>
      <c r="AB509" s="36" t="n">
        <v>0.95</v>
      </c>
      <c r="AC509" s="36" t="n">
        <v>0.95</v>
      </c>
      <c r="AD509" s="36" t="n">
        <v>2.59</v>
      </c>
      <c r="AE509" s="36" t="n">
        <v>0.41</v>
      </c>
      <c r="AF509" s="28" t="n">
        <v>1.27</v>
      </c>
      <c r="AG509" s="36" t="n">
        <v>1.03</v>
      </c>
      <c r="AH509" s="37" t="n">
        <v>1.03</v>
      </c>
      <c r="AI509" s="37" t="n">
        <v>0.95</v>
      </c>
      <c r="AJ509" s="37" t="n">
        <v>0.95</v>
      </c>
      <c r="AK509" s="37" t="n">
        <v>0.95</v>
      </c>
      <c r="AL509" s="37" t="n">
        <v>0.41</v>
      </c>
      <c r="AM509" s="37" t="n">
        <v>1.27</v>
      </c>
      <c r="AN509" s="37" t="n">
        <v>1.03</v>
      </c>
      <c r="AO509" s="37" t="n">
        <v>1.03</v>
      </c>
      <c r="AP509" s="37" t="n">
        <v>0.95</v>
      </c>
      <c r="AQ509" s="37" t="n">
        <v>0.95</v>
      </c>
      <c r="AR509" s="37" t="n">
        <v>0.95</v>
      </c>
      <c r="AS509" s="37" t="n">
        <v>0.41</v>
      </c>
      <c r="AT509" s="37" t="n">
        <v>1.27</v>
      </c>
      <c r="AU509" s="37" t="n">
        <v>1.03</v>
      </c>
      <c r="AV509" s="37" t="n">
        <v>1.03</v>
      </c>
      <c r="AW509" s="37" t="n">
        <v>0.95</v>
      </c>
      <c r="AX509" s="37" t="n">
        <v>0.95</v>
      </c>
      <c r="AY509" s="37" t="n">
        <v>0.95</v>
      </c>
      <c r="AZ509" s="37" t="n">
        <v>0.41</v>
      </c>
      <c r="BA509" s="37" t="n">
        <v>1.4</v>
      </c>
      <c r="BB509" s="37" t="n">
        <v>0.58</v>
      </c>
      <c r="BC509" s="37" t="n">
        <v>0.16</v>
      </c>
      <c r="BD509" s="37" t="n">
        <v>0.12</v>
      </c>
      <c r="BE509" s="37" t="n">
        <v>0.53</v>
      </c>
      <c r="BF509" s="37" t="n">
        <v>0.45</v>
      </c>
      <c r="BG509" s="37" t="n">
        <v>0.21</v>
      </c>
      <c r="BH509" s="37" t="n">
        <v>0.7</v>
      </c>
      <c r="BI509" s="37" t="n">
        <v>0.58</v>
      </c>
      <c r="BJ509" s="37" t="n">
        <v>1.4</v>
      </c>
      <c r="BK509" s="37" t="n">
        <v>0.53</v>
      </c>
      <c r="BL509" s="37" t="n">
        <v>0.53</v>
      </c>
      <c r="BM509" s="37" t="n">
        <v>0.53</v>
      </c>
      <c r="BN509" s="37" t="n">
        <v>0.21</v>
      </c>
      <c r="BO509" s="37" t="n">
        <v>0.7</v>
      </c>
      <c r="BP509" s="37" t="n">
        <v>0.58</v>
      </c>
      <c r="BQ509" s="37" t="n">
        <v>0.58</v>
      </c>
      <c r="BR509" s="37" t="n">
        <v>0.53</v>
      </c>
      <c r="BS509" s="37" t="n">
        <v>0.53</v>
      </c>
      <c r="BT509" s="37" t="n">
        <v>0.53</v>
      </c>
      <c r="BU509" s="37" t="n">
        <v>0.21</v>
      </c>
      <c r="BV509" s="37" t="n">
        <v>0.7</v>
      </c>
      <c r="BW509" s="37" t="n">
        <v>0.58</v>
      </c>
      <c r="BX509" s="37" t="n">
        <v>0.58</v>
      </c>
      <c r="BY509" s="37" t="n">
        <v>0.53</v>
      </c>
      <c r="BZ509" s="37" t="n">
        <v>0.53</v>
      </c>
      <c r="CA509" s="37" t="n">
        <v>0.53</v>
      </c>
      <c r="CB509" s="37" t="n">
        <v>0.21</v>
      </c>
      <c r="CC509" s="37" t="n">
        <v>70.51000000000002</v>
      </c>
    </row>
    <row r="510" ht="15.75" customHeight="1" s="57">
      <c r="A510" s="7" t="inlineStr">
        <is>
          <t>NTB</t>
        </is>
      </c>
      <c r="B510" s="7" t="inlineStr">
        <is>
          <t>Đắk Nông</t>
        </is>
      </c>
      <c r="C510" s="7" t="n">
        <v>22086000</v>
      </c>
      <c r="D510" s="7" t="inlineStr">
        <is>
          <t>(DNO) Trường Xuân</t>
        </is>
      </c>
      <c r="E510" s="7" t="inlineStr">
        <is>
          <t>Shopee</t>
        </is>
      </c>
      <c r="F510" s="36" t="n">
        <v>1</v>
      </c>
      <c r="G510" s="36" t="n">
        <v>0</v>
      </c>
      <c r="H510" s="36" t="n">
        <v>1</v>
      </c>
      <c r="I510" s="36" t="n">
        <v>1</v>
      </c>
      <c r="J510" s="36" t="n">
        <v>2</v>
      </c>
      <c r="K510" s="28" t="n">
        <v>0</v>
      </c>
      <c r="L510" s="36" t="n">
        <v>0</v>
      </c>
      <c r="M510" s="36" t="n">
        <v>0</v>
      </c>
      <c r="N510" s="36" t="n">
        <v>1</v>
      </c>
      <c r="O510" s="36" t="n">
        <v>1</v>
      </c>
      <c r="P510" s="36" t="n">
        <v>2</v>
      </c>
      <c r="Q510" s="36" t="n">
        <v>1</v>
      </c>
      <c r="R510" s="28" t="n">
        <v>1</v>
      </c>
      <c r="S510" s="36" t="n">
        <v>5</v>
      </c>
      <c r="T510" s="36" t="n">
        <v>1</v>
      </c>
      <c r="U510" s="36" t="n">
        <v>1.16</v>
      </c>
      <c r="V510" s="36" t="n">
        <v>1.16</v>
      </c>
      <c r="W510" s="36" t="n">
        <v>1.08</v>
      </c>
      <c r="X510" s="36" t="n">
        <v>0.95</v>
      </c>
      <c r="Y510" s="28" t="n">
        <v>1.54</v>
      </c>
      <c r="Z510" s="36" t="n">
        <v>1.27</v>
      </c>
      <c r="AA510" s="36" t="n">
        <v>1.49</v>
      </c>
      <c r="AB510" s="36" t="n">
        <v>1.18</v>
      </c>
      <c r="AC510" s="36" t="n">
        <v>0.95</v>
      </c>
      <c r="AD510" s="36" t="n">
        <v>1.84</v>
      </c>
      <c r="AE510" s="36" t="n">
        <v>1.02</v>
      </c>
      <c r="AF510" s="28" t="n">
        <v>1.68</v>
      </c>
      <c r="AG510" s="36" t="n">
        <v>1.34</v>
      </c>
      <c r="AH510" s="37" t="n">
        <v>1.39</v>
      </c>
      <c r="AI510" s="37" t="n">
        <v>1.16</v>
      </c>
      <c r="AJ510" s="37" t="n">
        <v>1.16</v>
      </c>
      <c r="AK510" s="37" t="n">
        <v>1.26</v>
      </c>
      <c r="AL510" s="37" t="n">
        <v>1.68</v>
      </c>
      <c r="AM510" s="37" t="n">
        <v>1.54</v>
      </c>
      <c r="AN510" s="37" t="n">
        <v>1.27</v>
      </c>
      <c r="AO510" s="37" t="n">
        <v>1.39</v>
      </c>
      <c r="AP510" s="37" t="n">
        <v>1.29</v>
      </c>
      <c r="AQ510" s="37" t="n">
        <v>0.95</v>
      </c>
      <c r="AR510" s="37" t="n">
        <v>1.08</v>
      </c>
      <c r="AS510" s="37" t="n">
        <v>0.95</v>
      </c>
      <c r="AT510" s="37" t="n">
        <v>1.54</v>
      </c>
      <c r="AU510" s="37" t="n">
        <v>1.37</v>
      </c>
      <c r="AV510" s="37" t="n">
        <v>1.4</v>
      </c>
      <c r="AW510" s="37" t="n">
        <v>1.16</v>
      </c>
      <c r="AX510" s="37" t="n">
        <v>1.16</v>
      </c>
      <c r="AY510" s="37" t="n">
        <v>1.08</v>
      </c>
      <c r="AZ510" s="37" t="n">
        <v>0.95</v>
      </c>
      <c r="BA510" s="37" t="n">
        <v>1.36</v>
      </c>
      <c r="BB510" s="37" t="n">
        <v>0.9399999999999999</v>
      </c>
      <c r="BC510" s="37" t="n">
        <v>0.44</v>
      </c>
      <c r="BD510" s="37" t="n">
        <v>0.6899999999999999</v>
      </c>
      <c r="BE510" s="37" t="n">
        <v>1.45</v>
      </c>
      <c r="BF510" s="37" t="n">
        <v>1.37</v>
      </c>
      <c r="BG510" s="37" t="n">
        <v>0.97</v>
      </c>
      <c r="BH510" s="37" t="n">
        <v>1.52</v>
      </c>
      <c r="BI510" s="37" t="n">
        <v>0.99</v>
      </c>
      <c r="BJ510" s="37" t="n">
        <v>2.66</v>
      </c>
      <c r="BK510" s="37" t="n">
        <v>1.25</v>
      </c>
      <c r="BL510" s="37" t="n">
        <v>1.22</v>
      </c>
      <c r="BM510" s="37" t="n">
        <v>1.07</v>
      </c>
      <c r="BN510" s="37" t="n">
        <v>0.9399999999999999</v>
      </c>
      <c r="BO510" s="37" t="n">
        <v>1.52</v>
      </c>
      <c r="BP510" s="37" t="n">
        <v>1.35</v>
      </c>
      <c r="BQ510" s="37" t="n">
        <v>2.06</v>
      </c>
      <c r="BR510" s="37" t="n">
        <v>1.15</v>
      </c>
      <c r="BS510" s="37" t="n">
        <v>1.15</v>
      </c>
      <c r="BT510" s="37" t="n">
        <v>1.07</v>
      </c>
      <c r="BU510" s="37" t="n">
        <v>1.03</v>
      </c>
      <c r="BV510" s="37" t="n">
        <v>1.26</v>
      </c>
      <c r="BW510" s="37" t="n">
        <v>1.25</v>
      </c>
      <c r="BX510" s="37" t="n">
        <v>1.36</v>
      </c>
      <c r="BY510" s="37" t="n">
        <v>1.15</v>
      </c>
      <c r="BZ510" s="37" t="n">
        <v>1.28</v>
      </c>
      <c r="CA510" s="37" t="n">
        <v>1.13</v>
      </c>
      <c r="CB510" s="37" t="n">
        <v>0.9399999999999999</v>
      </c>
      <c r="CC510" s="37" t="n">
        <v>92.00999999999996</v>
      </c>
    </row>
    <row r="511" ht="15.75" customHeight="1" s="57">
      <c r="A511" s="7" t="inlineStr">
        <is>
          <t>NTB</t>
        </is>
      </c>
      <c r="B511" s="7" t="inlineStr">
        <is>
          <t>Đắk Nông</t>
        </is>
      </c>
      <c r="C511" s="7" t="n">
        <v>22086000</v>
      </c>
      <c r="D511" s="7" t="inlineStr">
        <is>
          <t>(DNO) Trường Xuân</t>
        </is>
      </c>
      <c r="E511" s="7" t="inlineStr">
        <is>
          <t>TTS</t>
        </is>
      </c>
      <c r="F511" s="36" t="n">
        <v>0</v>
      </c>
      <c r="G511" s="36" t="n">
        <v>0</v>
      </c>
      <c r="H511" s="36" t="n">
        <v>1</v>
      </c>
      <c r="I511" s="36" t="n">
        <v>0</v>
      </c>
      <c r="J511" s="36" t="n">
        <v>0</v>
      </c>
      <c r="K511" s="28" t="n">
        <v>0</v>
      </c>
      <c r="L511" s="36" t="n">
        <v>2</v>
      </c>
      <c r="M511" s="36" t="n">
        <v>4</v>
      </c>
      <c r="N511" s="36" t="n">
        <v>3</v>
      </c>
      <c r="O511" s="36" t="n">
        <v>3</v>
      </c>
      <c r="P511" s="36" t="n">
        <v>1</v>
      </c>
      <c r="Q511" s="36" t="n">
        <v>2</v>
      </c>
      <c r="R511" s="28" t="n">
        <v>1</v>
      </c>
      <c r="S511" s="36" t="n">
        <v>0</v>
      </c>
      <c r="T511" s="36" t="n">
        <v>0</v>
      </c>
      <c r="U511" s="36" t="n">
        <v>2.75</v>
      </c>
      <c r="V511" s="36" t="n">
        <v>2.64</v>
      </c>
      <c r="W511" s="36" t="n">
        <v>2.57</v>
      </c>
      <c r="X511" s="36" t="n">
        <v>2.15</v>
      </c>
      <c r="Y511" s="28" t="n">
        <v>3.11</v>
      </c>
      <c r="Z511" s="36" t="n">
        <v>2.62</v>
      </c>
      <c r="AA511" s="36" t="n">
        <v>2.89</v>
      </c>
      <c r="AB511" s="36" t="n">
        <v>3.12</v>
      </c>
      <c r="AC511" s="36" t="n">
        <v>3.29</v>
      </c>
      <c r="AD511" s="36" t="n">
        <v>4.1</v>
      </c>
      <c r="AE511" s="36" t="n">
        <v>2.41</v>
      </c>
      <c r="AF511" s="28" t="n">
        <v>3.21</v>
      </c>
      <c r="AG511" s="36" t="n">
        <v>2.64</v>
      </c>
      <c r="AH511" s="37" t="n">
        <v>2.58</v>
      </c>
      <c r="AI511" s="37" t="n">
        <v>3.02</v>
      </c>
      <c r="AJ511" s="37" t="n">
        <v>3.13</v>
      </c>
      <c r="AK511" s="37" t="n">
        <v>3.04</v>
      </c>
      <c r="AL511" s="37" t="n">
        <v>2.31</v>
      </c>
      <c r="AM511" s="37" t="n">
        <v>3.12</v>
      </c>
      <c r="AN511" s="37" t="n">
        <v>2.73</v>
      </c>
      <c r="AO511" s="37" t="n">
        <v>2.71</v>
      </c>
      <c r="AP511" s="37" t="n">
        <v>2.6</v>
      </c>
      <c r="AQ511" s="37" t="n">
        <v>2.62</v>
      </c>
      <c r="AR511" s="37" t="n">
        <v>2.55</v>
      </c>
      <c r="AS511" s="37" t="n">
        <v>2.15</v>
      </c>
      <c r="AT511" s="37" t="n">
        <v>3.49</v>
      </c>
      <c r="AU511" s="37" t="n">
        <v>3.02</v>
      </c>
      <c r="AV511" s="37" t="n">
        <v>2.75</v>
      </c>
      <c r="AW511" s="37" t="n">
        <v>2.53</v>
      </c>
      <c r="AX511" s="37" t="n">
        <v>2.55</v>
      </c>
      <c r="AY511" s="37" t="n">
        <v>2.53</v>
      </c>
      <c r="AZ511" s="37" t="n">
        <v>2.17</v>
      </c>
      <c r="BA511" s="37" t="n">
        <v>3.1</v>
      </c>
      <c r="BB511" s="37" t="n">
        <v>2.93</v>
      </c>
      <c r="BC511" s="37" t="n">
        <v>1.47</v>
      </c>
      <c r="BD511" s="37" t="n">
        <v>2.08</v>
      </c>
      <c r="BE511" s="37" t="n">
        <v>4.81</v>
      </c>
      <c r="BF511" s="37" t="n">
        <v>4.69</v>
      </c>
      <c r="BG511" s="37" t="n">
        <v>2.31</v>
      </c>
      <c r="BH511" s="37" t="n">
        <v>3.49</v>
      </c>
      <c r="BI511" s="37" t="n">
        <v>2.93</v>
      </c>
      <c r="BJ511" s="37" t="n">
        <v>3.24</v>
      </c>
      <c r="BK511" s="37" t="n">
        <v>2.94</v>
      </c>
      <c r="BL511" s="37" t="n">
        <v>2.95</v>
      </c>
      <c r="BM511" s="37" t="n">
        <v>2.85</v>
      </c>
      <c r="BN511" s="37" t="n">
        <v>2.31</v>
      </c>
      <c r="BO511" s="37" t="n">
        <v>3.49</v>
      </c>
      <c r="BP511" s="37" t="n">
        <v>2.93</v>
      </c>
      <c r="BQ511" s="37" t="n">
        <v>2.86</v>
      </c>
      <c r="BR511" s="37" t="n">
        <v>2.94</v>
      </c>
      <c r="BS511" s="37" t="n">
        <v>2.95</v>
      </c>
      <c r="BT511" s="37" t="n">
        <v>2.85</v>
      </c>
      <c r="BU511" s="37" t="n">
        <v>2.31</v>
      </c>
      <c r="BV511" s="37" t="n">
        <v>3.49</v>
      </c>
      <c r="BW511" s="37" t="n">
        <v>2.93</v>
      </c>
      <c r="BX511" s="37" t="n">
        <v>2.86</v>
      </c>
      <c r="BY511" s="37" t="n">
        <v>2.94</v>
      </c>
      <c r="BZ511" s="37" t="n">
        <v>2.95</v>
      </c>
      <c r="CA511" s="37" t="n">
        <v>2.85</v>
      </c>
      <c r="CB511" s="37" t="n">
        <v>2.31</v>
      </c>
      <c r="CC511" s="37" t="n">
        <v>188.86</v>
      </c>
    </row>
    <row r="512" ht="15.75" customHeight="1" s="57">
      <c r="A512" s="7" t="inlineStr">
        <is>
          <t>NTB</t>
        </is>
      </c>
      <c r="B512" s="7" t="inlineStr">
        <is>
          <t>Đắk Nông</t>
        </is>
      </c>
      <c r="C512" s="7" t="n">
        <v>22242000</v>
      </c>
      <c r="D512" s="7" t="inlineStr">
        <is>
          <t>(DNO) Bắc Gia Nghĩa</t>
        </is>
      </c>
      <c r="E512" s="7" t="inlineStr">
        <is>
          <t>SME</t>
        </is>
      </c>
      <c r="F512" s="36" t="n">
        <v>447</v>
      </c>
      <c r="G512" s="36" t="n">
        <v>414</v>
      </c>
      <c r="H512" s="36" t="n">
        <v>258</v>
      </c>
      <c r="I512" s="36" t="n">
        <v>376</v>
      </c>
      <c r="J512" s="36" t="n">
        <v>186</v>
      </c>
      <c r="K512" s="28" t="n">
        <v>662</v>
      </c>
      <c r="L512" s="36" t="n">
        <v>879</v>
      </c>
      <c r="M512" s="36" t="n">
        <v>372</v>
      </c>
      <c r="N512" s="36" t="n">
        <v>342</v>
      </c>
      <c r="O512" s="36" t="n">
        <v>472</v>
      </c>
      <c r="P512" s="36" t="n">
        <v>420</v>
      </c>
      <c r="Q512" s="36" t="n">
        <v>773</v>
      </c>
      <c r="R512" s="28" t="n">
        <v>361</v>
      </c>
      <c r="S512" s="36" t="n">
        <v>478</v>
      </c>
      <c r="T512" s="36" t="n">
        <v>408</v>
      </c>
      <c r="U512" s="36" t="n">
        <v>1494.98</v>
      </c>
      <c r="V512" s="36" t="n">
        <v>1547.98</v>
      </c>
      <c r="W512" s="36" t="n">
        <v>1506.4</v>
      </c>
      <c r="X512" s="36" t="n">
        <v>1232.26</v>
      </c>
      <c r="Y512" s="28" t="n">
        <v>1669.2</v>
      </c>
      <c r="Z512" s="36" t="n">
        <v>1538.76</v>
      </c>
      <c r="AA512" s="36" t="n">
        <v>1498.84</v>
      </c>
      <c r="AB512" s="36" t="n">
        <v>1494.98</v>
      </c>
      <c r="AC512" s="36" t="n">
        <v>1547.98</v>
      </c>
      <c r="AD512" s="36" t="n">
        <v>1576.92</v>
      </c>
      <c r="AE512" s="36" t="n">
        <v>1232.26</v>
      </c>
      <c r="AF512" s="28" t="n">
        <v>1669.2</v>
      </c>
      <c r="AG512" s="36" t="n">
        <v>1538.76</v>
      </c>
      <c r="AH512" s="37" t="n">
        <v>1498.84</v>
      </c>
      <c r="AI512" s="37" t="n">
        <v>1494.98</v>
      </c>
      <c r="AJ512" s="37" t="n">
        <v>1547.98</v>
      </c>
      <c r="AK512" s="37" t="n">
        <v>1506.4</v>
      </c>
      <c r="AL512" s="37" t="n">
        <v>1232.26</v>
      </c>
      <c r="AM512" s="37" t="n">
        <v>1669.2</v>
      </c>
      <c r="AN512" s="37" t="n">
        <v>1538.76</v>
      </c>
      <c r="AO512" s="37" t="n">
        <v>1498.84</v>
      </c>
      <c r="AP512" s="37" t="n">
        <v>1494.98</v>
      </c>
      <c r="AQ512" s="37" t="n">
        <v>1547.98</v>
      </c>
      <c r="AR512" s="37" t="n">
        <v>1506.4</v>
      </c>
      <c r="AS512" s="37" t="n">
        <v>1232.26</v>
      </c>
      <c r="AT512" s="37" t="n">
        <v>1669.2</v>
      </c>
      <c r="AU512" s="37" t="n">
        <v>1538.76</v>
      </c>
      <c r="AV512" s="37" t="n">
        <v>1498.84</v>
      </c>
      <c r="AW512" s="37" t="n">
        <v>1494.98</v>
      </c>
      <c r="AX512" s="37" t="n">
        <v>1547.98</v>
      </c>
      <c r="AY512" s="37" t="n">
        <v>1506.4</v>
      </c>
      <c r="AZ512" s="37" t="n">
        <v>1232.26</v>
      </c>
      <c r="BA512" s="37" t="n">
        <v>1583.47</v>
      </c>
      <c r="BB512" s="37" t="n">
        <v>1412.2</v>
      </c>
      <c r="BC512" s="37" t="n">
        <v>870.7299999999999</v>
      </c>
      <c r="BD512" s="37" t="n">
        <v>683.3299999999999</v>
      </c>
      <c r="BE512" s="37" t="n">
        <v>1455.06</v>
      </c>
      <c r="BF512" s="37" t="n">
        <v>1416.34</v>
      </c>
      <c r="BG512" s="37" t="n">
        <v>1275.12</v>
      </c>
      <c r="BH512" s="37" t="n">
        <v>1724.04</v>
      </c>
      <c r="BI512" s="37" t="n">
        <v>1587.62</v>
      </c>
      <c r="BJ512" s="37" t="n">
        <v>1622.55</v>
      </c>
      <c r="BK512" s="37" t="n">
        <v>1542.45</v>
      </c>
      <c r="BL512" s="37" t="n">
        <v>1598.68</v>
      </c>
      <c r="BM512" s="37" t="n">
        <v>1554.33</v>
      </c>
      <c r="BN512" s="37" t="n">
        <v>1275.12</v>
      </c>
      <c r="BO512" s="37" t="n">
        <v>1724.04</v>
      </c>
      <c r="BP512" s="37" t="n">
        <v>1587.62</v>
      </c>
      <c r="BQ512" s="37" t="n">
        <v>1546.32</v>
      </c>
      <c r="BR512" s="37" t="n">
        <v>1542.45</v>
      </c>
      <c r="BS512" s="37" t="n">
        <v>1598.68</v>
      </c>
      <c r="BT512" s="37" t="n">
        <v>1554.33</v>
      </c>
      <c r="BU512" s="37" t="n">
        <v>1275.12</v>
      </c>
      <c r="BV512" s="37" t="n">
        <v>1724.04</v>
      </c>
      <c r="BW512" s="37" t="n">
        <v>1587.62</v>
      </c>
      <c r="BX512" s="37" t="n">
        <v>1546.32</v>
      </c>
      <c r="BY512" s="37" t="n">
        <v>1542.45</v>
      </c>
      <c r="BZ512" s="37" t="n">
        <v>1598.68</v>
      </c>
      <c r="CA512" s="37" t="n">
        <v>1554.33</v>
      </c>
      <c r="CB512" s="37" t="n">
        <v>1275.12</v>
      </c>
      <c r="CC512" s="37" t="n">
        <v>95911.97999999997</v>
      </c>
    </row>
    <row r="513" ht="15.75" customHeight="1" s="57">
      <c r="A513" s="7" t="inlineStr">
        <is>
          <t>NTB</t>
        </is>
      </c>
      <c r="B513" s="7" t="inlineStr">
        <is>
          <t>Đắk Nông</t>
        </is>
      </c>
      <c r="C513" s="7" t="n">
        <v>22242000</v>
      </c>
      <c r="D513" s="7" t="inlineStr">
        <is>
          <t>(DNO) Bắc Gia Nghĩa</t>
        </is>
      </c>
      <c r="E513" s="7" t="inlineStr">
        <is>
          <t>SME-Bulky</t>
        </is>
      </c>
      <c r="F513" s="36" t="n">
        <v>1</v>
      </c>
      <c r="G513" s="36" t="n">
        <v>6</v>
      </c>
      <c r="H513" s="36" t="n">
        <v>5</v>
      </c>
      <c r="I513" s="36" t="n">
        <v>2</v>
      </c>
      <c r="J513" s="36" t="n">
        <v>1</v>
      </c>
      <c r="K513" s="28" t="n">
        <v>4</v>
      </c>
      <c r="L513" s="36" t="n">
        <v>3</v>
      </c>
      <c r="M513" s="36" t="n">
        <v>7</v>
      </c>
      <c r="N513" s="36" t="n">
        <v>3</v>
      </c>
      <c r="O513" s="36" t="n">
        <v>2</v>
      </c>
      <c r="P513" s="36" t="n">
        <v>0</v>
      </c>
      <c r="Q513" s="36" t="n">
        <v>3</v>
      </c>
      <c r="R513" s="28" t="n">
        <v>8</v>
      </c>
      <c r="S513" s="36" t="n">
        <v>3</v>
      </c>
      <c r="T513" s="36" t="n">
        <v>6</v>
      </c>
      <c r="U513" s="36" t="n">
        <v>2.13</v>
      </c>
      <c r="V513" s="36" t="n">
        <v>2.13</v>
      </c>
      <c r="W513" s="36" t="n">
        <v>2.13</v>
      </c>
      <c r="X513" s="36" t="n">
        <v>0.93</v>
      </c>
      <c r="Y513" s="28" t="n">
        <v>2.87</v>
      </c>
      <c r="Z513" s="36" t="n">
        <v>2.31</v>
      </c>
      <c r="AA513" s="36" t="n">
        <v>2.31</v>
      </c>
      <c r="AB513" s="36" t="n">
        <v>2.13</v>
      </c>
      <c r="AC513" s="36" t="n">
        <v>2.13</v>
      </c>
      <c r="AD513" s="36" t="n">
        <v>5.83</v>
      </c>
      <c r="AE513" s="36" t="n">
        <v>0.93</v>
      </c>
      <c r="AF513" s="28" t="n">
        <v>2.87</v>
      </c>
      <c r="AG513" s="36" t="n">
        <v>2.31</v>
      </c>
      <c r="AH513" s="37" t="n">
        <v>2.31</v>
      </c>
      <c r="AI513" s="37" t="n">
        <v>2.13</v>
      </c>
      <c r="AJ513" s="37" t="n">
        <v>2.13</v>
      </c>
      <c r="AK513" s="37" t="n">
        <v>2.13</v>
      </c>
      <c r="AL513" s="37" t="n">
        <v>0.93</v>
      </c>
      <c r="AM513" s="37" t="n">
        <v>2.87</v>
      </c>
      <c r="AN513" s="37" t="n">
        <v>2.31</v>
      </c>
      <c r="AO513" s="37" t="n">
        <v>2.31</v>
      </c>
      <c r="AP513" s="37" t="n">
        <v>2.13</v>
      </c>
      <c r="AQ513" s="37" t="n">
        <v>2.13</v>
      </c>
      <c r="AR513" s="37" t="n">
        <v>2.13</v>
      </c>
      <c r="AS513" s="37" t="n">
        <v>0.93</v>
      </c>
      <c r="AT513" s="37" t="n">
        <v>2.87</v>
      </c>
      <c r="AU513" s="37" t="n">
        <v>2.31</v>
      </c>
      <c r="AV513" s="37" t="n">
        <v>2.31</v>
      </c>
      <c r="AW513" s="37" t="n">
        <v>2.13</v>
      </c>
      <c r="AX513" s="37" t="n">
        <v>2.13</v>
      </c>
      <c r="AY513" s="37" t="n">
        <v>2.13</v>
      </c>
      <c r="AZ513" s="37" t="n">
        <v>0.93</v>
      </c>
      <c r="BA513" s="37" t="n">
        <v>3.15</v>
      </c>
      <c r="BB513" s="37" t="n">
        <v>1.3</v>
      </c>
      <c r="BC513" s="37" t="n">
        <v>0.37</v>
      </c>
      <c r="BD513" s="37" t="n">
        <v>0.28</v>
      </c>
      <c r="BE513" s="37" t="n">
        <v>1.2</v>
      </c>
      <c r="BF513" s="37" t="n">
        <v>1.02</v>
      </c>
      <c r="BG513" s="37" t="n">
        <v>0.46</v>
      </c>
      <c r="BH513" s="37" t="n">
        <v>1.57</v>
      </c>
      <c r="BI513" s="37" t="n">
        <v>1.3</v>
      </c>
      <c r="BJ513" s="37" t="n">
        <v>3.15</v>
      </c>
      <c r="BK513" s="37" t="n">
        <v>1.2</v>
      </c>
      <c r="BL513" s="37" t="n">
        <v>1.2</v>
      </c>
      <c r="BM513" s="37" t="n">
        <v>1.2</v>
      </c>
      <c r="BN513" s="37" t="n">
        <v>0.46</v>
      </c>
      <c r="BO513" s="37" t="n">
        <v>1.57</v>
      </c>
      <c r="BP513" s="37" t="n">
        <v>1.3</v>
      </c>
      <c r="BQ513" s="37" t="n">
        <v>1.3</v>
      </c>
      <c r="BR513" s="37" t="n">
        <v>1.2</v>
      </c>
      <c r="BS513" s="37" t="n">
        <v>1.2</v>
      </c>
      <c r="BT513" s="37" t="n">
        <v>1.2</v>
      </c>
      <c r="BU513" s="37" t="n">
        <v>0.46</v>
      </c>
      <c r="BV513" s="37" t="n">
        <v>1.57</v>
      </c>
      <c r="BW513" s="37" t="n">
        <v>1.3</v>
      </c>
      <c r="BX513" s="37" t="n">
        <v>1.3</v>
      </c>
      <c r="BY513" s="37" t="n">
        <v>1.2</v>
      </c>
      <c r="BZ513" s="37" t="n">
        <v>1.2</v>
      </c>
      <c r="CA513" s="37" t="n">
        <v>1.2</v>
      </c>
      <c r="CB513" s="37" t="n">
        <v>0.46</v>
      </c>
      <c r="CC513" s="37" t="n">
        <v>158.58</v>
      </c>
    </row>
    <row r="514" ht="15.75" customHeight="1" s="57">
      <c r="A514" s="7" t="inlineStr">
        <is>
          <t>NTB</t>
        </is>
      </c>
      <c r="B514" s="7" t="inlineStr">
        <is>
          <t>Đắk Nông</t>
        </is>
      </c>
      <c r="C514" s="7" t="n">
        <v>22242000</v>
      </c>
      <c r="D514" s="7" t="inlineStr">
        <is>
          <t>(DNO) Bắc Gia Nghĩa</t>
        </is>
      </c>
      <c r="E514" s="7" t="inlineStr">
        <is>
          <t>Shopee</t>
        </is>
      </c>
      <c r="F514" s="36" t="n">
        <v>15</v>
      </c>
      <c r="G514" s="36" t="n">
        <v>15</v>
      </c>
      <c r="H514" s="36" t="n">
        <v>10</v>
      </c>
      <c r="I514" s="36" t="n">
        <v>12</v>
      </c>
      <c r="J514" s="36" t="n">
        <v>12</v>
      </c>
      <c r="K514" s="28" t="n">
        <v>13</v>
      </c>
      <c r="L514" s="36" t="n">
        <v>11</v>
      </c>
      <c r="M514" s="36" t="n">
        <v>7</v>
      </c>
      <c r="N514" s="36" t="n">
        <v>11</v>
      </c>
      <c r="O514" s="36" t="n">
        <v>12</v>
      </c>
      <c r="P514" s="36" t="n">
        <v>6</v>
      </c>
      <c r="Q514" s="36" t="n">
        <v>8</v>
      </c>
      <c r="R514" s="28" t="n">
        <v>11</v>
      </c>
      <c r="S514" s="36" t="n">
        <v>11</v>
      </c>
      <c r="T514" s="36" t="n">
        <v>12</v>
      </c>
      <c r="U514" s="36" t="n">
        <v>10.8</v>
      </c>
      <c r="V514" s="36" t="n">
        <v>10.8</v>
      </c>
      <c r="W514" s="36" t="n">
        <v>10.05</v>
      </c>
      <c r="X514" s="36" t="n">
        <v>8.85</v>
      </c>
      <c r="Y514" s="28" t="n">
        <v>14.32</v>
      </c>
      <c r="Z514" s="36" t="n">
        <v>11.77</v>
      </c>
      <c r="AA514" s="36" t="n">
        <v>13.87</v>
      </c>
      <c r="AB514" s="36" t="n">
        <v>10.95</v>
      </c>
      <c r="AC514" s="36" t="n">
        <v>8.85</v>
      </c>
      <c r="AD514" s="36" t="n">
        <v>17.09</v>
      </c>
      <c r="AE514" s="36" t="n">
        <v>9.449999999999999</v>
      </c>
      <c r="AF514" s="28" t="n">
        <v>15.59</v>
      </c>
      <c r="AG514" s="36" t="n">
        <v>12.45</v>
      </c>
      <c r="AH514" s="37" t="n">
        <v>12.9</v>
      </c>
      <c r="AI514" s="37" t="n">
        <v>10.8</v>
      </c>
      <c r="AJ514" s="37" t="n">
        <v>10.8</v>
      </c>
      <c r="AK514" s="37" t="n">
        <v>11.7</v>
      </c>
      <c r="AL514" s="37" t="n">
        <v>15.59</v>
      </c>
      <c r="AM514" s="37" t="n">
        <v>14.32</v>
      </c>
      <c r="AN514" s="37" t="n">
        <v>11.77</v>
      </c>
      <c r="AO514" s="37" t="n">
        <v>12.9</v>
      </c>
      <c r="AP514" s="37" t="n">
        <v>12</v>
      </c>
      <c r="AQ514" s="37" t="n">
        <v>8.85</v>
      </c>
      <c r="AR514" s="37" t="n">
        <v>10.05</v>
      </c>
      <c r="AS514" s="37" t="n">
        <v>8.85</v>
      </c>
      <c r="AT514" s="37" t="n">
        <v>14.32</v>
      </c>
      <c r="AU514" s="37" t="n">
        <v>12.75</v>
      </c>
      <c r="AV514" s="37" t="n">
        <v>12.97</v>
      </c>
      <c r="AW514" s="37" t="n">
        <v>10.8</v>
      </c>
      <c r="AX514" s="37" t="n">
        <v>10.8</v>
      </c>
      <c r="AY514" s="37" t="n">
        <v>10.05</v>
      </c>
      <c r="AZ514" s="37" t="n">
        <v>8.85</v>
      </c>
      <c r="BA514" s="37" t="n">
        <v>12.6</v>
      </c>
      <c r="BB514" s="37" t="n">
        <v>8.699999999999999</v>
      </c>
      <c r="BC514" s="37" t="n">
        <v>4.12</v>
      </c>
      <c r="BD514" s="37" t="n">
        <v>6.37</v>
      </c>
      <c r="BE514" s="37" t="n">
        <v>13.42</v>
      </c>
      <c r="BF514" s="37" t="n">
        <v>12.75</v>
      </c>
      <c r="BG514" s="37" t="n">
        <v>9</v>
      </c>
      <c r="BH514" s="37" t="n">
        <v>14.09</v>
      </c>
      <c r="BI514" s="37" t="n">
        <v>9.220000000000001</v>
      </c>
      <c r="BJ514" s="37" t="n">
        <v>24.74</v>
      </c>
      <c r="BK514" s="37" t="n">
        <v>11.62</v>
      </c>
      <c r="BL514" s="37" t="n">
        <v>11.32</v>
      </c>
      <c r="BM514" s="37" t="n">
        <v>9.9</v>
      </c>
      <c r="BN514" s="37" t="n">
        <v>8.699999999999999</v>
      </c>
      <c r="BO514" s="37" t="n">
        <v>14.09</v>
      </c>
      <c r="BP514" s="37" t="n">
        <v>12.52</v>
      </c>
      <c r="BQ514" s="37" t="n">
        <v>19.12</v>
      </c>
      <c r="BR514" s="37" t="n">
        <v>10.65</v>
      </c>
      <c r="BS514" s="37" t="n">
        <v>10.65</v>
      </c>
      <c r="BT514" s="37" t="n">
        <v>9.9</v>
      </c>
      <c r="BU514" s="37" t="n">
        <v>9.52</v>
      </c>
      <c r="BV514" s="37" t="n">
        <v>11.7</v>
      </c>
      <c r="BW514" s="37" t="n">
        <v>11.62</v>
      </c>
      <c r="BX514" s="37" t="n">
        <v>12.67</v>
      </c>
      <c r="BY514" s="37" t="n">
        <v>10.65</v>
      </c>
      <c r="BZ514" s="37" t="n">
        <v>11.85</v>
      </c>
      <c r="CA514" s="37" t="n">
        <v>10.5</v>
      </c>
      <c r="CB514" s="37" t="n">
        <v>8.699999999999999</v>
      </c>
      <c r="CC514" s="37" t="n">
        <v>862.6</v>
      </c>
    </row>
    <row r="515" ht="15.75" customHeight="1" s="57">
      <c r="A515" s="7" t="inlineStr">
        <is>
          <t>NTB</t>
        </is>
      </c>
      <c r="B515" s="7" t="inlineStr">
        <is>
          <t>Đắk Nông</t>
        </is>
      </c>
      <c r="C515" s="7" t="n">
        <v>22242000</v>
      </c>
      <c r="D515" s="7" t="inlineStr">
        <is>
          <t>(DNO) Bắc Gia Nghĩa</t>
        </is>
      </c>
      <c r="E515" s="7" t="inlineStr">
        <is>
          <t>Shopee-Bulky</t>
        </is>
      </c>
      <c r="F515" s="36" t="n">
        <v>6.44</v>
      </c>
      <c r="G515" s="36" t="n">
        <v>0.64</v>
      </c>
      <c r="H515" s="36" t="n">
        <v>0.64</v>
      </c>
      <c r="I515" s="36" t="n">
        <v>0.64</v>
      </c>
      <c r="J515" s="36" t="n">
        <v>0.64</v>
      </c>
      <c r="K515" s="28" t="n">
        <v>1.29</v>
      </c>
      <c r="L515" s="36" t="n">
        <v>0.64</v>
      </c>
      <c r="M515" s="36" t="n">
        <v>1.29</v>
      </c>
      <c r="N515" s="36" t="n">
        <v>0</v>
      </c>
      <c r="O515" s="36" t="n">
        <v>0</v>
      </c>
      <c r="P515" s="36" t="n">
        <v>0.64</v>
      </c>
      <c r="Q515" s="36" t="n">
        <v>0.64</v>
      </c>
      <c r="R515" s="28" t="n">
        <v>0</v>
      </c>
      <c r="S515" s="36" t="n">
        <v>0.64</v>
      </c>
      <c r="T515" s="36" t="n">
        <v>1.29</v>
      </c>
      <c r="U515" s="36" t="n">
        <v>1.29</v>
      </c>
      <c r="V515" s="36" t="n">
        <v>0.97</v>
      </c>
      <c r="W515" s="36" t="n">
        <v>1.45</v>
      </c>
      <c r="X515" s="36" t="n">
        <v>0.65</v>
      </c>
      <c r="Y515" s="28" t="n">
        <v>1.29</v>
      </c>
      <c r="Z515" s="36" t="n">
        <v>1.29</v>
      </c>
      <c r="AA515" s="36" t="n">
        <v>1.45</v>
      </c>
      <c r="AB515" s="36" t="n">
        <v>1.29</v>
      </c>
      <c r="AC515" s="36" t="n">
        <v>1.45</v>
      </c>
      <c r="AD515" s="36" t="n">
        <v>2.92</v>
      </c>
      <c r="AE515" s="36" t="n">
        <v>3.24</v>
      </c>
      <c r="AF515" s="28" t="n">
        <v>2.6</v>
      </c>
      <c r="AG515" s="36" t="n">
        <v>1.95</v>
      </c>
      <c r="AH515" s="37" t="n">
        <v>1.29</v>
      </c>
      <c r="AI515" s="37" t="n">
        <v>1.29</v>
      </c>
      <c r="AJ515" s="37" t="n">
        <v>0.97</v>
      </c>
      <c r="AK515" s="37" t="n">
        <v>1.95</v>
      </c>
      <c r="AL515" s="37" t="n">
        <v>1.95</v>
      </c>
      <c r="AM515" s="37" t="n">
        <v>1.95</v>
      </c>
      <c r="AN515" s="37" t="n">
        <v>1.29</v>
      </c>
      <c r="AO515" s="37" t="n">
        <v>1.29</v>
      </c>
      <c r="AP515" s="37" t="n">
        <v>1.62</v>
      </c>
      <c r="AQ515" s="37" t="n">
        <v>1.95</v>
      </c>
      <c r="AR515" s="37" t="n">
        <v>1.45</v>
      </c>
      <c r="AS515" s="37" t="n">
        <v>0.65</v>
      </c>
      <c r="AT515" s="37" t="n">
        <v>1.29</v>
      </c>
      <c r="AU515" s="37" t="n">
        <v>1.78</v>
      </c>
      <c r="AV515" s="37" t="n">
        <v>2.6</v>
      </c>
      <c r="AW515" s="37" t="n">
        <v>1.29</v>
      </c>
      <c r="AX515" s="37" t="n">
        <v>0.97</v>
      </c>
      <c r="AY515" s="37" t="n">
        <v>1.45</v>
      </c>
      <c r="AZ515" s="37" t="n">
        <v>0.65</v>
      </c>
      <c r="BA515" s="37" t="n">
        <v>1.29</v>
      </c>
      <c r="BB515" s="37" t="n">
        <v>0.97</v>
      </c>
      <c r="BC515" s="37" t="n">
        <v>0</v>
      </c>
      <c r="BD515" s="37" t="n">
        <v>0.32</v>
      </c>
      <c r="BE515" s="37" t="n">
        <v>1.29</v>
      </c>
      <c r="BF515" s="37" t="n">
        <v>1.45</v>
      </c>
      <c r="BG515" s="37" t="n">
        <v>0.97</v>
      </c>
      <c r="BH515" s="37" t="n">
        <v>1.29</v>
      </c>
      <c r="BI515" s="37" t="n">
        <v>1.29</v>
      </c>
      <c r="BJ515" s="37" t="n">
        <v>8.91</v>
      </c>
      <c r="BK515" s="37" t="n">
        <v>2.27</v>
      </c>
      <c r="BL515" s="37" t="n">
        <v>1.29</v>
      </c>
      <c r="BM515" s="37" t="n">
        <v>0.97</v>
      </c>
      <c r="BN515" s="37" t="n">
        <v>0.97</v>
      </c>
      <c r="BO515" s="37" t="n">
        <v>1.95</v>
      </c>
      <c r="BP515" s="37" t="n">
        <v>1.78</v>
      </c>
      <c r="BQ515" s="37" t="n">
        <v>1.78</v>
      </c>
      <c r="BR515" s="37" t="n">
        <v>1.95</v>
      </c>
      <c r="BS515" s="37" t="n">
        <v>1.45</v>
      </c>
      <c r="BT515" s="37" t="n">
        <v>1.45</v>
      </c>
      <c r="BU515" s="37" t="n">
        <v>1.95</v>
      </c>
      <c r="BV515" s="37" t="n">
        <v>1.95</v>
      </c>
      <c r="BW515" s="37" t="n">
        <v>1.29</v>
      </c>
      <c r="BX515" s="37" t="n">
        <v>1.95</v>
      </c>
      <c r="BY515" s="37" t="n">
        <v>1.95</v>
      </c>
      <c r="BZ515" s="37" t="n">
        <v>2.27</v>
      </c>
      <c r="CA515" s="37" t="n">
        <v>1.95</v>
      </c>
      <c r="CB515" s="37" t="n">
        <v>0.97</v>
      </c>
      <c r="CC515" s="37" t="n">
        <v>112.87</v>
      </c>
    </row>
    <row r="516" ht="15.75" customHeight="1" s="57">
      <c r="A516" s="7" t="inlineStr">
        <is>
          <t>NTB</t>
        </is>
      </c>
      <c r="B516" s="7" t="inlineStr">
        <is>
          <t>Đắk Nông</t>
        </is>
      </c>
      <c r="C516" s="7" t="n">
        <v>22242000</v>
      </c>
      <c r="D516" s="7" t="inlineStr">
        <is>
          <t>(DNO) Bắc Gia Nghĩa</t>
        </is>
      </c>
      <c r="E516" s="7" t="inlineStr">
        <is>
          <t>Shopee-Bulky (10-15kg)</t>
        </is>
      </c>
      <c r="F516" s="36" t="n">
        <v>3.56</v>
      </c>
      <c r="G516" s="36" t="n">
        <v>0.36</v>
      </c>
      <c r="H516" s="36" t="n">
        <v>0.36</v>
      </c>
      <c r="I516" s="36" t="n">
        <v>0.36</v>
      </c>
      <c r="J516" s="36" t="n">
        <v>0.36</v>
      </c>
      <c r="K516" s="28" t="n">
        <v>0.71</v>
      </c>
      <c r="L516" s="36" t="n">
        <v>0.36</v>
      </c>
      <c r="M516" s="36" t="n">
        <v>0.71</v>
      </c>
      <c r="N516" s="36" t="n">
        <v>0</v>
      </c>
      <c r="O516" s="36" t="n">
        <v>0</v>
      </c>
      <c r="P516" s="36" t="n">
        <v>0.36</v>
      </c>
      <c r="Q516" s="36" t="n">
        <v>0.36</v>
      </c>
      <c r="R516" s="28" t="n">
        <v>0</v>
      </c>
      <c r="S516" s="36" t="n">
        <v>0.36</v>
      </c>
      <c r="T516" s="36" t="n">
        <v>0.71</v>
      </c>
      <c r="U516" s="36" t="n">
        <v>0.65</v>
      </c>
      <c r="V516" s="36" t="n">
        <v>0.65</v>
      </c>
      <c r="W516" s="36" t="n">
        <v>0.48</v>
      </c>
      <c r="X516" s="36" t="n">
        <v>0.32</v>
      </c>
      <c r="Y516" s="28" t="n">
        <v>0.65</v>
      </c>
      <c r="Z516" s="36" t="n">
        <v>0.65</v>
      </c>
      <c r="AA516" s="36" t="n">
        <v>0.8100000000000001</v>
      </c>
      <c r="AB516" s="36" t="n">
        <v>0.65</v>
      </c>
      <c r="AC516" s="36" t="n">
        <v>0.97</v>
      </c>
      <c r="AD516" s="36" t="n">
        <v>1.13</v>
      </c>
      <c r="AE516" s="36" t="n">
        <v>1.62</v>
      </c>
      <c r="AF516" s="28" t="n">
        <v>1.45</v>
      </c>
      <c r="AG516" s="36" t="n">
        <v>0.65</v>
      </c>
      <c r="AH516" s="37" t="n">
        <v>0.65</v>
      </c>
      <c r="AI516" s="37" t="n">
        <v>0.65</v>
      </c>
      <c r="AJ516" s="37" t="n">
        <v>0.65</v>
      </c>
      <c r="AK516" s="37" t="n">
        <v>0.97</v>
      </c>
      <c r="AL516" s="37" t="n">
        <v>0.65</v>
      </c>
      <c r="AM516" s="37" t="n">
        <v>0.97</v>
      </c>
      <c r="AN516" s="37" t="n">
        <v>0.65</v>
      </c>
      <c r="AO516" s="37" t="n">
        <v>0.65</v>
      </c>
      <c r="AP516" s="37" t="n">
        <v>0.97</v>
      </c>
      <c r="AQ516" s="37" t="n">
        <v>0.97</v>
      </c>
      <c r="AR516" s="37" t="n">
        <v>0.48</v>
      </c>
      <c r="AS516" s="37" t="n">
        <v>0.32</v>
      </c>
      <c r="AT516" s="37" t="n">
        <v>0.65</v>
      </c>
      <c r="AU516" s="37" t="n">
        <v>1.13</v>
      </c>
      <c r="AV516" s="37" t="n">
        <v>1.29</v>
      </c>
      <c r="AW516" s="37" t="n">
        <v>0.65</v>
      </c>
      <c r="AX516" s="37" t="n">
        <v>0.65</v>
      </c>
      <c r="AY516" s="37" t="n">
        <v>0.48</v>
      </c>
      <c r="AZ516" s="37" t="n">
        <v>0.32</v>
      </c>
      <c r="BA516" s="37" t="n">
        <v>0.65</v>
      </c>
      <c r="BB516" s="37" t="n">
        <v>0.32</v>
      </c>
      <c r="BC516" s="37" t="n">
        <v>0</v>
      </c>
      <c r="BD516" s="37" t="n">
        <v>0</v>
      </c>
      <c r="BE516" s="37" t="n">
        <v>0.97</v>
      </c>
      <c r="BF516" s="37" t="n">
        <v>0.97</v>
      </c>
      <c r="BG516" s="37" t="n">
        <v>0.32</v>
      </c>
      <c r="BH516" s="37" t="n">
        <v>0.8100000000000001</v>
      </c>
      <c r="BI516" s="37" t="n">
        <v>0.97</v>
      </c>
      <c r="BJ516" s="37" t="n">
        <v>3.57</v>
      </c>
      <c r="BK516" s="37" t="n">
        <v>1.29</v>
      </c>
      <c r="BL516" s="37" t="n">
        <v>0.8100000000000001</v>
      </c>
      <c r="BM516" s="37" t="n">
        <v>0.32</v>
      </c>
      <c r="BN516" s="37" t="n">
        <v>0.48</v>
      </c>
      <c r="BO516" s="37" t="n">
        <v>0.97</v>
      </c>
      <c r="BP516" s="37" t="n">
        <v>1.29</v>
      </c>
      <c r="BQ516" s="37" t="n">
        <v>0.97</v>
      </c>
      <c r="BR516" s="37" t="n">
        <v>0.97</v>
      </c>
      <c r="BS516" s="37" t="n">
        <v>0.97</v>
      </c>
      <c r="BT516" s="37" t="n">
        <v>0.32</v>
      </c>
      <c r="BU516" s="37" t="n">
        <v>0.65</v>
      </c>
      <c r="BV516" s="37" t="n">
        <v>0.97</v>
      </c>
      <c r="BW516" s="37" t="n">
        <v>0.97</v>
      </c>
      <c r="BX516" s="37" t="n">
        <v>0.8100000000000001</v>
      </c>
      <c r="BY516" s="37" t="n">
        <v>0.97</v>
      </c>
      <c r="BZ516" s="37" t="n">
        <v>1.29</v>
      </c>
      <c r="CA516" s="37" t="n">
        <v>0.65</v>
      </c>
      <c r="CB516" s="37" t="n">
        <v>0.32</v>
      </c>
      <c r="CC516" s="37" t="n">
        <v>56.59999999999997</v>
      </c>
    </row>
    <row r="517" ht="15.75" customHeight="1" s="57">
      <c r="A517" s="7" t="inlineStr">
        <is>
          <t>NTB</t>
        </is>
      </c>
      <c r="B517" s="7" t="inlineStr">
        <is>
          <t>Đắk Nông</t>
        </is>
      </c>
      <c r="C517" s="7" t="n">
        <v>22242000</v>
      </c>
      <c r="D517" s="7" t="inlineStr">
        <is>
          <t>(DNO) Bắc Gia Nghĩa</t>
        </is>
      </c>
      <c r="E517" s="7" t="inlineStr">
        <is>
          <t>TTS</t>
        </is>
      </c>
      <c r="F517" s="36" t="n">
        <v>17</v>
      </c>
      <c r="G517" s="36" t="n">
        <v>19</v>
      </c>
      <c r="H517" s="36" t="n">
        <v>18</v>
      </c>
      <c r="I517" s="36" t="n">
        <v>21</v>
      </c>
      <c r="J517" s="36" t="n">
        <v>19</v>
      </c>
      <c r="K517" s="28" t="n">
        <v>27</v>
      </c>
      <c r="L517" s="36" t="n">
        <v>14</v>
      </c>
      <c r="M517" s="36" t="n">
        <v>17</v>
      </c>
      <c r="N517" s="36" t="n">
        <v>11</v>
      </c>
      <c r="O517" s="36" t="n">
        <v>22</v>
      </c>
      <c r="P517" s="36" t="n">
        <v>14</v>
      </c>
      <c r="Q517" s="36" t="n">
        <v>22</v>
      </c>
      <c r="R517" s="28" t="n">
        <v>19</v>
      </c>
      <c r="S517" s="36" t="n">
        <v>18</v>
      </c>
      <c r="T517" s="36" t="n">
        <v>35</v>
      </c>
      <c r="U517" s="36" t="n">
        <v>30.51</v>
      </c>
      <c r="V517" s="36" t="n">
        <v>29.29</v>
      </c>
      <c r="W517" s="36" t="n">
        <v>28.47</v>
      </c>
      <c r="X517" s="36" t="n">
        <v>23.86</v>
      </c>
      <c r="Y517" s="28" t="n">
        <v>34.47</v>
      </c>
      <c r="Z517" s="36" t="n">
        <v>29.02</v>
      </c>
      <c r="AA517" s="36" t="n">
        <v>32</v>
      </c>
      <c r="AB517" s="36" t="n">
        <v>34.58</v>
      </c>
      <c r="AC517" s="36" t="n">
        <v>36.47</v>
      </c>
      <c r="AD517" s="36" t="n">
        <v>45.48</v>
      </c>
      <c r="AE517" s="36" t="n">
        <v>26.71</v>
      </c>
      <c r="AF517" s="28" t="n">
        <v>35.56</v>
      </c>
      <c r="AG517" s="36" t="n">
        <v>29.29</v>
      </c>
      <c r="AH517" s="37" t="n">
        <v>28.61</v>
      </c>
      <c r="AI517" s="37" t="n">
        <v>33.49</v>
      </c>
      <c r="AJ517" s="37" t="n">
        <v>34.71</v>
      </c>
      <c r="AK517" s="37" t="n">
        <v>33.63</v>
      </c>
      <c r="AL517" s="37" t="n">
        <v>25.63</v>
      </c>
      <c r="AM517" s="37" t="n">
        <v>34.61</v>
      </c>
      <c r="AN517" s="37" t="n">
        <v>30.24</v>
      </c>
      <c r="AO517" s="37" t="n">
        <v>29.97</v>
      </c>
      <c r="AP517" s="37" t="n">
        <v>28.75</v>
      </c>
      <c r="AQ517" s="37" t="n">
        <v>29.02</v>
      </c>
      <c r="AR517" s="37" t="n">
        <v>28.2</v>
      </c>
      <c r="AS517" s="37" t="n">
        <v>23.86</v>
      </c>
      <c r="AT517" s="37" t="n">
        <v>38.67</v>
      </c>
      <c r="AU517" s="37" t="n">
        <v>33.49</v>
      </c>
      <c r="AV517" s="37" t="n">
        <v>30.51</v>
      </c>
      <c r="AW517" s="37" t="n">
        <v>28.07</v>
      </c>
      <c r="AX517" s="37" t="n">
        <v>28.2</v>
      </c>
      <c r="AY517" s="37" t="n">
        <v>28.07</v>
      </c>
      <c r="AZ517" s="37" t="n">
        <v>24</v>
      </c>
      <c r="BA517" s="37" t="n">
        <v>34.34</v>
      </c>
      <c r="BB517" s="37" t="n">
        <v>32.41</v>
      </c>
      <c r="BC517" s="37" t="n">
        <v>16.27</v>
      </c>
      <c r="BD517" s="37" t="n">
        <v>23.05</v>
      </c>
      <c r="BE517" s="37" t="n">
        <v>53.35</v>
      </c>
      <c r="BF517" s="37" t="n">
        <v>51.99</v>
      </c>
      <c r="BG517" s="37" t="n">
        <v>25.63</v>
      </c>
      <c r="BH517" s="37" t="n">
        <v>38.67</v>
      </c>
      <c r="BI517" s="37" t="n">
        <v>32.41</v>
      </c>
      <c r="BJ517" s="37" t="n">
        <v>35.99</v>
      </c>
      <c r="BK517" s="37" t="n">
        <v>32.54</v>
      </c>
      <c r="BL517" s="37" t="n">
        <v>32.68</v>
      </c>
      <c r="BM517" s="37" t="n">
        <v>31.59</v>
      </c>
      <c r="BN517" s="37" t="n">
        <v>25.63</v>
      </c>
      <c r="BO517" s="37" t="n">
        <v>38.67</v>
      </c>
      <c r="BP517" s="37" t="n">
        <v>32.41</v>
      </c>
      <c r="BQ517" s="37" t="n">
        <v>31.73</v>
      </c>
      <c r="BR517" s="37" t="n">
        <v>32.54</v>
      </c>
      <c r="BS517" s="37" t="n">
        <v>32.68</v>
      </c>
      <c r="BT517" s="37" t="n">
        <v>31.59</v>
      </c>
      <c r="BU517" s="37" t="n">
        <v>25.63</v>
      </c>
      <c r="BV517" s="37" t="n">
        <v>38.67</v>
      </c>
      <c r="BW517" s="37" t="n">
        <v>32.41</v>
      </c>
      <c r="BX517" s="37" t="n">
        <v>31.73</v>
      </c>
      <c r="BY517" s="37" t="n">
        <v>32.54</v>
      </c>
      <c r="BZ517" s="37" t="n">
        <v>32.68</v>
      </c>
      <c r="CA517" s="37" t="n">
        <v>31.59</v>
      </c>
      <c r="CB517" s="37" t="n">
        <v>25.63</v>
      </c>
      <c r="CC517" s="37" t="n">
        <v>2197.490000000001</v>
      </c>
    </row>
    <row r="518" ht="15.75" customHeight="1" s="57">
      <c r="A518" s="7" t="inlineStr">
        <is>
          <t>NTB</t>
        </is>
      </c>
      <c r="B518" s="7" t="inlineStr">
        <is>
          <t>Đắk Nông</t>
        </is>
      </c>
      <c r="C518" s="7" t="n">
        <v>22242000</v>
      </c>
      <c r="D518" s="7" t="inlineStr">
        <is>
          <t>(DNO) Bắc Gia Nghĩa</t>
        </is>
      </c>
      <c r="E518" s="7" t="inlineStr">
        <is>
          <t>TTS-Bulky</t>
        </is>
      </c>
      <c r="F518" s="36" t="n">
        <v>0</v>
      </c>
      <c r="G518" s="36" t="n">
        <v>1</v>
      </c>
      <c r="H518" s="36" t="n">
        <v>0</v>
      </c>
      <c r="I518" s="36" t="n">
        <v>0</v>
      </c>
      <c r="J518" s="36" t="n">
        <v>0</v>
      </c>
      <c r="K518" s="28" t="n">
        <v>0</v>
      </c>
      <c r="L518" s="36" t="n">
        <v>0</v>
      </c>
      <c r="M518" s="36" t="n">
        <v>0</v>
      </c>
      <c r="N518" s="36" t="n">
        <v>0</v>
      </c>
      <c r="O518" s="36" t="n">
        <v>0</v>
      </c>
      <c r="P518" s="36" t="n">
        <v>0</v>
      </c>
      <c r="Q518" s="36" t="n">
        <v>0</v>
      </c>
      <c r="R518" s="28" t="n">
        <v>0</v>
      </c>
      <c r="S518" s="36" t="n">
        <v>0</v>
      </c>
      <c r="T518" s="36" t="n">
        <v>0</v>
      </c>
      <c r="U518" s="36" t="n">
        <v>0</v>
      </c>
      <c r="V518" s="36" t="n">
        <v>0</v>
      </c>
      <c r="W518" s="36" t="n">
        <v>0</v>
      </c>
      <c r="X518" s="36" t="n">
        <v>0</v>
      </c>
      <c r="Y518" s="28" t="n">
        <v>0</v>
      </c>
      <c r="Z518" s="36" t="n">
        <v>0</v>
      </c>
      <c r="AA518" s="36" t="n">
        <v>0</v>
      </c>
      <c r="AB518" s="36" t="n">
        <v>0</v>
      </c>
      <c r="AC518" s="36" t="n">
        <v>0</v>
      </c>
      <c r="AD518" s="36" t="n">
        <v>0</v>
      </c>
      <c r="AE518" s="36" t="n">
        <v>0</v>
      </c>
      <c r="AF518" s="28" t="n">
        <v>0</v>
      </c>
      <c r="AG518" s="36" t="n">
        <v>0</v>
      </c>
      <c r="AH518" s="37" t="n">
        <v>0</v>
      </c>
      <c r="AI518" s="37" t="n">
        <v>0</v>
      </c>
      <c r="AJ518" s="37" t="n">
        <v>0</v>
      </c>
      <c r="AK518" s="37" t="n">
        <v>0</v>
      </c>
      <c r="AL518" s="37" t="n">
        <v>0</v>
      </c>
      <c r="AM518" s="37" t="n">
        <v>0</v>
      </c>
      <c r="AN518" s="37" t="n">
        <v>0</v>
      </c>
      <c r="AO518" s="37" t="n">
        <v>0</v>
      </c>
      <c r="AP518" s="37" t="n">
        <v>0</v>
      </c>
      <c r="AQ518" s="37" t="n">
        <v>0</v>
      </c>
      <c r="AR518" s="37" t="n">
        <v>0</v>
      </c>
      <c r="AS518" s="37" t="n">
        <v>0</v>
      </c>
      <c r="AT518" s="37" t="n">
        <v>0</v>
      </c>
      <c r="AU518" s="37" t="n">
        <v>0</v>
      </c>
      <c r="AV518" s="37" t="n">
        <v>0</v>
      </c>
      <c r="AW518" s="37" t="n">
        <v>0</v>
      </c>
      <c r="AX518" s="37" t="n">
        <v>0</v>
      </c>
      <c r="AY518" s="37" t="n">
        <v>0</v>
      </c>
      <c r="AZ518" s="37" t="n">
        <v>0</v>
      </c>
      <c r="BA518" s="37" t="n">
        <v>0</v>
      </c>
      <c r="BB518" s="37" t="n">
        <v>0</v>
      </c>
      <c r="BC518" s="37" t="n">
        <v>0</v>
      </c>
      <c r="BD518" s="37" t="n">
        <v>0</v>
      </c>
      <c r="BE518" s="37" t="n">
        <v>0</v>
      </c>
      <c r="BF518" s="37" t="n">
        <v>0</v>
      </c>
      <c r="BG518" s="37" t="n">
        <v>0</v>
      </c>
      <c r="BH518" s="37" t="n">
        <v>0</v>
      </c>
      <c r="BI518" s="37" t="n">
        <v>0</v>
      </c>
      <c r="BJ518" s="37" t="n">
        <v>0</v>
      </c>
      <c r="BK518" s="37" t="n">
        <v>0</v>
      </c>
      <c r="BL518" s="37" t="n">
        <v>0</v>
      </c>
      <c r="BM518" s="37" t="n">
        <v>0</v>
      </c>
      <c r="BN518" s="37" t="n">
        <v>0</v>
      </c>
      <c r="BO518" s="37" t="n">
        <v>0</v>
      </c>
      <c r="BP518" s="37" t="n">
        <v>0</v>
      </c>
      <c r="BQ518" s="37" t="n">
        <v>0</v>
      </c>
      <c r="BR518" s="37" t="n">
        <v>0</v>
      </c>
      <c r="BS518" s="37" t="n">
        <v>0</v>
      </c>
      <c r="BT518" s="37" t="n">
        <v>0</v>
      </c>
      <c r="BU518" s="37" t="n">
        <v>0</v>
      </c>
      <c r="BV518" s="37" t="n">
        <v>0</v>
      </c>
      <c r="BW518" s="37" t="n">
        <v>0</v>
      </c>
      <c r="BX518" s="37" t="n">
        <v>0</v>
      </c>
      <c r="BY518" s="37" t="n">
        <v>0</v>
      </c>
      <c r="BZ518" s="37" t="n">
        <v>0</v>
      </c>
      <c r="CA518" s="37" t="n">
        <v>0</v>
      </c>
      <c r="CB518" s="37" t="n">
        <v>0</v>
      </c>
      <c r="CC518" s="37" t="n">
        <v>1</v>
      </c>
    </row>
    <row r="519" ht="15.75" customHeight="1" s="57">
      <c r="A519" s="7" t="inlineStr">
        <is>
          <t>NTB</t>
        </is>
      </c>
      <c r="B519" s="7" t="inlineStr">
        <is>
          <t>Đắk Nông</t>
        </is>
      </c>
      <c r="C519" s="7" t="n">
        <v>22394000</v>
      </c>
      <c r="D519" s="7" t="inlineStr">
        <is>
          <t>(DNO) Quảng Tín</t>
        </is>
      </c>
      <c r="E519" s="7" t="inlineStr">
        <is>
          <t>SME</t>
        </is>
      </c>
      <c r="F519" s="36" t="n">
        <v>4</v>
      </c>
      <c r="G519" s="36" t="n">
        <v>9</v>
      </c>
      <c r="H519" s="36" t="n">
        <v>3</v>
      </c>
      <c r="I519" s="36" t="n">
        <v>6</v>
      </c>
      <c r="J519" s="36" t="n">
        <v>6</v>
      </c>
      <c r="K519" s="28" t="n">
        <v>4</v>
      </c>
      <c r="L519" s="36" t="n">
        <v>2</v>
      </c>
      <c r="M519" s="36" t="n">
        <v>3</v>
      </c>
      <c r="N519" s="36" t="n">
        <v>12</v>
      </c>
      <c r="O519" s="36" t="n">
        <v>4</v>
      </c>
      <c r="P519" s="36" t="n">
        <v>3</v>
      </c>
      <c r="Q519" s="36" t="n">
        <v>3</v>
      </c>
      <c r="R519" s="28" t="n">
        <v>5</v>
      </c>
      <c r="S519" s="36" t="n">
        <v>5</v>
      </c>
      <c r="T519" s="36" t="n">
        <v>3</v>
      </c>
      <c r="U519" s="36" t="n">
        <v>17.36</v>
      </c>
      <c r="V519" s="36" t="n">
        <v>17.94</v>
      </c>
      <c r="W519" s="36" t="n">
        <v>17.43</v>
      </c>
      <c r="X519" s="36" t="n">
        <v>14.2</v>
      </c>
      <c r="Y519" s="28" t="n">
        <v>19.26</v>
      </c>
      <c r="Z519" s="36" t="n">
        <v>17.84</v>
      </c>
      <c r="AA519" s="36" t="n">
        <v>17.23</v>
      </c>
      <c r="AB519" s="36" t="n">
        <v>17.36</v>
      </c>
      <c r="AC519" s="36" t="n">
        <v>17.94</v>
      </c>
      <c r="AD519" s="36" t="n">
        <v>18.78</v>
      </c>
      <c r="AE519" s="36" t="n">
        <v>14.2</v>
      </c>
      <c r="AF519" s="28" t="n">
        <v>19.26</v>
      </c>
      <c r="AG519" s="36" t="n">
        <v>17.84</v>
      </c>
      <c r="AH519" s="37" t="n">
        <v>17.23</v>
      </c>
      <c r="AI519" s="37" t="n">
        <v>17.36</v>
      </c>
      <c r="AJ519" s="37" t="n">
        <v>17.94</v>
      </c>
      <c r="AK519" s="37" t="n">
        <v>17.43</v>
      </c>
      <c r="AL519" s="37" t="n">
        <v>14.2</v>
      </c>
      <c r="AM519" s="37" t="n">
        <v>19.26</v>
      </c>
      <c r="AN519" s="37" t="n">
        <v>17.84</v>
      </c>
      <c r="AO519" s="37" t="n">
        <v>17.23</v>
      </c>
      <c r="AP519" s="37" t="n">
        <v>17.36</v>
      </c>
      <c r="AQ519" s="37" t="n">
        <v>17.94</v>
      </c>
      <c r="AR519" s="37" t="n">
        <v>17.43</v>
      </c>
      <c r="AS519" s="37" t="n">
        <v>14.2</v>
      </c>
      <c r="AT519" s="37" t="n">
        <v>19.26</v>
      </c>
      <c r="AU519" s="37" t="n">
        <v>17.84</v>
      </c>
      <c r="AV519" s="37" t="n">
        <v>17.23</v>
      </c>
      <c r="AW519" s="37" t="n">
        <v>17.36</v>
      </c>
      <c r="AX519" s="37" t="n">
        <v>17.94</v>
      </c>
      <c r="AY519" s="37" t="n">
        <v>17.43</v>
      </c>
      <c r="AZ519" s="37" t="n">
        <v>14.2</v>
      </c>
      <c r="BA519" s="37" t="n">
        <v>18.33</v>
      </c>
      <c r="BB519" s="37" t="n">
        <v>16.28</v>
      </c>
      <c r="BC519" s="37" t="n">
        <v>9.85</v>
      </c>
      <c r="BD519" s="37" t="n">
        <v>7.64</v>
      </c>
      <c r="BE519" s="37" t="n">
        <v>16.75</v>
      </c>
      <c r="BF519" s="37" t="n">
        <v>16.33</v>
      </c>
      <c r="BG519" s="37" t="n">
        <v>14.67</v>
      </c>
      <c r="BH519" s="37" t="n">
        <v>19.86</v>
      </c>
      <c r="BI519" s="37" t="n">
        <v>18.37</v>
      </c>
      <c r="BJ519" s="37" t="n">
        <v>19.28</v>
      </c>
      <c r="BK519" s="37" t="n">
        <v>17.88</v>
      </c>
      <c r="BL519" s="37" t="n">
        <v>18.49</v>
      </c>
      <c r="BM519" s="37" t="n">
        <v>17.95</v>
      </c>
      <c r="BN519" s="37" t="n">
        <v>14.67</v>
      </c>
      <c r="BO519" s="37" t="n">
        <v>19.86</v>
      </c>
      <c r="BP519" s="37" t="n">
        <v>18.37</v>
      </c>
      <c r="BQ519" s="37" t="n">
        <v>17.75</v>
      </c>
      <c r="BR519" s="37" t="n">
        <v>17.88</v>
      </c>
      <c r="BS519" s="37" t="n">
        <v>18.49</v>
      </c>
      <c r="BT519" s="37" t="n">
        <v>17.95</v>
      </c>
      <c r="BU519" s="37" t="n">
        <v>14.67</v>
      </c>
      <c r="BV519" s="37" t="n">
        <v>19.86</v>
      </c>
      <c r="BW519" s="37" t="n">
        <v>18.37</v>
      </c>
      <c r="BX519" s="37" t="n">
        <v>17.75</v>
      </c>
      <c r="BY519" s="37" t="n">
        <v>17.88</v>
      </c>
      <c r="BZ519" s="37" t="n">
        <v>18.49</v>
      </c>
      <c r="CA519" s="37" t="n">
        <v>17.95</v>
      </c>
      <c r="CB519" s="37" t="n">
        <v>14.67</v>
      </c>
      <c r="CC519" s="37" t="n">
        <v>1101.61</v>
      </c>
    </row>
    <row r="520" ht="15.75" customHeight="1" s="57">
      <c r="A520" s="7" t="inlineStr">
        <is>
          <t>NTB</t>
        </is>
      </c>
      <c r="B520" s="7" t="inlineStr">
        <is>
          <t>Đắk Nông</t>
        </is>
      </c>
      <c r="C520" s="7" t="n">
        <v>22394000</v>
      </c>
      <c r="D520" s="7" t="inlineStr">
        <is>
          <t>(DNO) Quảng Tín</t>
        </is>
      </c>
      <c r="E520" s="7" t="inlineStr">
        <is>
          <t>SME-Bulky</t>
        </is>
      </c>
      <c r="F520" s="36" t="n">
        <v>2</v>
      </c>
      <c r="G520" s="36" t="n">
        <v>1</v>
      </c>
      <c r="H520" s="36" t="n">
        <v>6</v>
      </c>
      <c r="I520" s="36" t="n">
        <v>2</v>
      </c>
      <c r="J520" s="36" t="n">
        <v>4</v>
      </c>
      <c r="K520" s="28" t="n">
        <v>9</v>
      </c>
      <c r="L520" s="36" t="n">
        <v>0</v>
      </c>
      <c r="M520" s="36" t="n">
        <v>1</v>
      </c>
      <c r="N520" s="36" t="n">
        <v>6</v>
      </c>
      <c r="O520" s="36" t="n">
        <v>1</v>
      </c>
      <c r="P520" s="36" t="n">
        <v>1</v>
      </c>
      <c r="Q520" s="36" t="n">
        <v>2</v>
      </c>
      <c r="R520" s="28" t="n">
        <v>4</v>
      </c>
      <c r="S520" s="36" t="n">
        <v>4</v>
      </c>
      <c r="T520" s="36" t="n">
        <v>1</v>
      </c>
      <c r="U520" s="36" t="n">
        <v>1.35</v>
      </c>
      <c r="V520" s="36" t="n">
        <v>1.35</v>
      </c>
      <c r="W520" s="36" t="n">
        <v>1.35</v>
      </c>
      <c r="X520" s="36" t="n">
        <v>0.59</v>
      </c>
      <c r="Y520" s="28" t="n">
        <v>1.82</v>
      </c>
      <c r="Z520" s="36" t="n">
        <v>1.47</v>
      </c>
      <c r="AA520" s="36" t="n">
        <v>1.47</v>
      </c>
      <c r="AB520" s="36" t="n">
        <v>1.35</v>
      </c>
      <c r="AC520" s="36" t="n">
        <v>1.35</v>
      </c>
      <c r="AD520" s="36" t="n">
        <v>3.7</v>
      </c>
      <c r="AE520" s="36" t="n">
        <v>0.59</v>
      </c>
      <c r="AF520" s="28" t="n">
        <v>1.82</v>
      </c>
      <c r="AG520" s="36" t="n">
        <v>1.47</v>
      </c>
      <c r="AH520" s="37" t="n">
        <v>1.47</v>
      </c>
      <c r="AI520" s="37" t="n">
        <v>1.35</v>
      </c>
      <c r="AJ520" s="37" t="n">
        <v>1.35</v>
      </c>
      <c r="AK520" s="37" t="n">
        <v>1.35</v>
      </c>
      <c r="AL520" s="37" t="n">
        <v>0.59</v>
      </c>
      <c r="AM520" s="37" t="n">
        <v>1.82</v>
      </c>
      <c r="AN520" s="37" t="n">
        <v>1.47</v>
      </c>
      <c r="AO520" s="37" t="n">
        <v>1.47</v>
      </c>
      <c r="AP520" s="37" t="n">
        <v>1.35</v>
      </c>
      <c r="AQ520" s="37" t="n">
        <v>1.35</v>
      </c>
      <c r="AR520" s="37" t="n">
        <v>1.35</v>
      </c>
      <c r="AS520" s="37" t="n">
        <v>0.59</v>
      </c>
      <c r="AT520" s="37" t="n">
        <v>1.82</v>
      </c>
      <c r="AU520" s="37" t="n">
        <v>1.47</v>
      </c>
      <c r="AV520" s="37" t="n">
        <v>1.47</v>
      </c>
      <c r="AW520" s="37" t="n">
        <v>1.35</v>
      </c>
      <c r="AX520" s="37" t="n">
        <v>1.35</v>
      </c>
      <c r="AY520" s="37" t="n">
        <v>1.35</v>
      </c>
      <c r="AZ520" s="37" t="n">
        <v>0.59</v>
      </c>
      <c r="BA520" s="37" t="n">
        <v>2</v>
      </c>
      <c r="BB520" s="37" t="n">
        <v>0.82</v>
      </c>
      <c r="BC520" s="37" t="n">
        <v>0.23</v>
      </c>
      <c r="BD520" s="37" t="n">
        <v>0.18</v>
      </c>
      <c r="BE520" s="37" t="n">
        <v>0.76</v>
      </c>
      <c r="BF520" s="37" t="n">
        <v>0.65</v>
      </c>
      <c r="BG520" s="37" t="n">
        <v>0.29</v>
      </c>
      <c r="BH520" s="37" t="n">
        <v>1</v>
      </c>
      <c r="BI520" s="37" t="n">
        <v>0.82</v>
      </c>
      <c r="BJ520" s="37" t="n">
        <v>2</v>
      </c>
      <c r="BK520" s="37" t="n">
        <v>0.76</v>
      </c>
      <c r="BL520" s="37" t="n">
        <v>0.76</v>
      </c>
      <c r="BM520" s="37" t="n">
        <v>0.76</v>
      </c>
      <c r="BN520" s="37" t="n">
        <v>0.29</v>
      </c>
      <c r="BO520" s="37" t="n">
        <v>1</v>
      </c>
      <c r="BP520" s="37" t="n">
        <v>0.82</v>
      </c>
      <c r="BQ520" s="37" t="n">
        <v>0.82</v>
      </c>
      <c r="BR520" s="37" t="n">
        <v>0.76</v>
      </c>
      <c r="BS520" s="37" t="n">
        <v>0.76</v>
      </c>
      <c r="BT520" s="37" t="n">
        <v>0.76</v>
      </c>
      <c r="BU520" s="37" t="n">
        <v>0.29</v>
      </c>
      <c r="BV520" s="37" t="n">
        <v>1</v>
      </c>
      <c r="BW520" s="37" t="n">
        <v>0.82</v>
      </c>
      <c r="BX520" s="37" t="n">
        <v>0.82</v>
      </c>
      <c r="BY520" s="37" t="n">
        <v>0.76</v>
      </c>
      <c r="BZ520" s="37" t="n">
        <v>0.76</v>
      </c>
      <c r="CA520" s="37" t="n">
        <v>0.76</v>
      </c>
      <c r="CB520" s="37" t="n">
        <v>0.29</v>
      </c>
      <c r="CC520" s="37" t="n">
        <v>110.33</v>
      </c>
    </row>
    <row r="521" ht="15.75" customHeight="1" s="57">
      <c r="A521" s="7" t="inlineStr">
        <is>
          <t>NTB</t>
        </is>
      </c>
      <c r="B521" s="7" t="inlineStr">
        <is>
          <t>Đắk Nông</t>
        </is>
      </c>
      <c r="C521" s="7" t="n">
        <v>22394000</v>
      </c>
      <c r="D521" s="7" t="inlineStr">
        <is>
          <t>(DNO) Quảng Tín</t>
        </is>
      </c>
      <c r="E521" s="7" t="inlineStr">
        <is>
          <t>Shopee</t>
        </is>
      </c>
      <c r="F521" s="36" t="n">
        <v>0</v>
      </c>
      <c r="G521" s="36" t="n">
        <v>1</v>
      </c>
      <c r="H521" s="36" t="n">
        <v>0</v>
      </c>
      <c r="I521" s="36" t="n">
        <v>0</v>
      </c>
      <c r="J521" s="36" t="n">
        <v>1</v>
      </c>
      <c r="K521" s="28" t="n">
        <v>0</v>
      </c>
      <c r="L521" s="36" t="n">
        <v>1</v>
      </c>
      <c r="M521" s="36" t="n">
        <v>2</v>
      </c>
      <c r="N521" s="36" t="n">
        <v>1</v>
      </c>
      <c r="O521" s="36" t="n">
        <v>0</v>
      </c>
      <c r="P521" s="36" t="n">
        <v>1</v>
      </c>
      <c r="Q521" s="36" t="n">
        <v>1</v>
      </c>
      <c r="R521" s="28" t="n">
        <v>1</v>
      </c>
      <c r="S521" s="36" t="n">
        <v>1</v>
      </c>
      <c r="T521" s="36" t="n">
        <v>0</v>
      </c>
      <c r="U521" s="36" t="n">
        <v>0.83</v>
      </c>
      <c r="V521" s="36" t="n">
        <v>0.83</v>
      </c>
      <c r="W521" s="36" t="n">
        <v>0.77</v>
      </c>
      <c r="X521" s="36" t="n">
        <v>0.68</v>
      </c>
      <c r="Y521" s="28" t="n">
        <v>1.1</v>
      </c>
      <c r="Z521" s="36" t="n">
        <v>0.91</v>
      </c>
      <c r="AA521" s="36" t="n">
        <v>1.07</v>
      </c>
      <c r="AB521" s="36" t="n">
        <v>0.84</v>
      </c>
      <c r="AC521" s="36" t="n">
        <v>0.68</v>
      </c>
      <c r="AD521" s="36" t="n">
        <v>1.31</v>
      </c>
      <c r="AE521" s="36" t="n">
        <v>0.73</v>
      </c>
      <c r="AF521" s="28" t="n">
        <v>1.2</v>
      </c>
      <c r="AG521" s="36" t="n">
        <v>0.96</v>
      </c>
      <c r="AH521" s="37" t="n">
        <v>0.99</v>
      </c>
      <c r="AI521" s="37" t="n">
        <v>0.83</v>
      </c>
      <c r="AJ521" s="37" t="n">
        <v>0.83</v>
      </c>
      <c r="AK521" s="37" t="n">
        <v>0.9</v>
      </c>
      <c r="AL521" s="37" t="n">
        <v>1.2</v>
      </c>
      <c r="AM521" s="37" t="n">
        <v>1.1</v>
      </c>
      <c r="AN521" s="37" t="n">
        <v>0.91</v>
      </c>
      <c r="AO521" s="37" t="n">
        <v>0.99</v>
      </c>
      <c r="AP521" s="37" t="n">
        <v>0.92</v>
      </c>
      <c r="AQ521" s="37" t="n">
        <v>0.68</v>
      </c>
      <c r="AR521" s="37" t="n">
        <v>0.77</v>
      </c>
      <c r="AS521" s="37" t="n">
        <v>0.68</v>
      </c>
      <c r="AT521" s="37" t="n">
        <v>1.1</v>
      </c>
      <c r="AU521" s="37" t="n">
        <v>0.98</v>
      </c>
      <c r="AV521" s="37" t="n">
        <v>1</v>
      </c>
      <c r="AW521" s="37" t="n">
        <v>0.83</v>
      </c>
      <c r="AX521" s="37" t="n">
        <v>0.83</v>
      </c>
      <c r="AY521" s="37" t="n">
        <v>0.77</v>
      </c>
      <c r="AZ521" s="37" t="n">
        <v>0.68</v>
      </c>
      <c r="BA521" s="37" t="n">
        <v>0.97</v>
      </c>
      <c r="BB521" s="37" t="n">
        <v>0.67</v>
      </c>
      <c r="BC521" s="37" t="n">
        <v>0.32</v>
      </c>
      <c r="BD521" s="37" t="n">
        <v>0.49</v>
      </c>
      <c r="BE521" s="37" t="n">
        <v>1.03</v>
      </c>
      <c r="BF521" s="37" t="n">
        <v>0.98</v>
      </c>
      <c r="BG521" s="37" t="n">
        <v>0.6899999999999999</v>
      </c>
      <c r="BH521" s="37" t="n">
        <v>1.08</v>
      </c>
      <c r="BI521" s="37" t="n">
        <v>0.71</v>
      </c>
      <c r="BJ521" s="37" t="n">
        <v>1.9</v>
      </c>
      <c r="BK521" s="37" t="n">
        <v>0.89</v>
      </c>
      <c r="BL521" s="37" t="n">
        <v>0.87</v>
      </c>
      <c r="BM521" s="37" t="n">
        <v>0.76</v>
      </c>
      <c r="BN521" s="37" t="n">
        <v>0.67</v>
      </c>
      <c r="BO521" s="37" t="n">
        <v>1.08</v>
      </c>
      <c r="BP521" s="37" t="n">
        <v>0.96</v>
      </c>
      <c r="BQ521" s="37" t="n">
        <v>1.47</v>
      </c>
      <c r="BR521" s="37" t="n">
        <v>0.82</v>
      </c>
      <c r="BS521" s="37" t="n">
        <v>0.82</v>
      </c>
      <c r="BT521" s="37" t="n">
        <v>0.76</v>
      </c>
      <c r="BU521" s="37" t="n">
        <v>0.73</v>
      </c>
      <c r="BV521" s="37" t="n">
        <v>0.9</v>
      </c>
      <c r="BW521" s="37" t="n">
        <v>0.89</v>
      </c>
      <c r="BX521" s="37" t="n">
        <v>0.97</v>
      </c>
      <c r="BY521" s="37" t="n">
        <v>0.82</v>
      </c>
      <c r="BZ521" s="37" t="n">
        <v>0.91</v>
      </c>
      <c r="CA521" s="37" t="n">
        <v>0.8100000000000001</v>
      </c>
      <c r="CB521" s="37" t="n">
        <v>0.67</v>
      </c>
      <c r="CC521" s="37" t="n">
        <v>63.53999999999998</v>
      </c>
    </row>
    <row r="522" ht="15.75" customHeight="1" s="57">
      <c r="A522" s="7" t="inlineStr">
        <is>
          <t>NTB</t>
        </is>
      </c>
      <c r="B522" s="7" t="inlineStr">
        <is>
          <t>Đắk Nông</t>
        </is>
      </c>
      <c r="C522" s="7" t="n">
        <v>22394000</v>
      </c>
      <c r="D522" s="7" t="inlineStr">
        <is>
          <t>(DNO) Quảng Tín</t>
        </is>
      </c>
      <c r="E522" s="7" t="inlineStr">
        <is>
          <t>TTS</t>
        </is>
      </c>
      <c r="F522" s="36" t="n">
        <v>5</v>
      </c>
      <c r="G522" s="36" t="n">
        <v>2</v>
      </c>
      <c r="H522" s="36" t="n">
        <v>5</v>
      </c>
      <c r="I522" s="36" t="n">
        <v>0</v>
      </c>
      <c r="J522" s="36" t="n">
        <v>3</v>
      </c>
      <c r="K522" s="28" t="n">
        <v>0</v>
      </c>
      <c r="L522" s="36" t="n">
        <v>1</v>
      </c>
      <c r="M522" s="36" t="n">
        <v>6</v>
      </c>
      <c r="N522" s="36" t="n">
        <v>2</v>
      </c>
      <c r="O522" s="36" t="n">
        <v>2</v>
      </c>
      <c r="P522" s="36" t="n">
        <v>4</v>
      </c>
      <c r="Q522" s="36" t="n">
        <v>0</v>
      </c>
      <c r="R522" s="28" t="n">
        <v>4</v>
      </c>
      <c r="S522" s="36" t="n">
        <v>3</v>
      </c>
      <c r="T522" s="36" t="n">
        <v>3</v>
      </c>
      <c r="U522" s="36" t="n">
        <v>4.24</v>
      </c>
      <c r="V522" s="36" t="n">
        <v>4.07</v>
      </c>
      <c r="W522" s="36" t="n">
        <v>3.95</v>
      </c>
      <c r="X522" s="36" t="n">
        <v>3.31</v>
      </c>
      <c r="Y522" s="28" t="n">
        <v>4.78</v>
      </c>
      <c r="Z522" s="36" t="n">
        <v>4.03</v>
      </c>
      <c r="AA522" s="36" t="n">
        <v>4.44</v>
      </c>
      <c r="AB522" s="36" t="n">
        <v>4.8</v>
      </c>
      <c r="AC522" s="36" t="n">
        <v>5.07</v>
      </c>
      <c r="AD522" s="36" t="n">
        <v>6.31</v>
      </c>
      <c r="AE522" s="36" t="n">
        <v>3.71</v>
      </c>
      <c r="AF522" s="28" t="n">
        <v>4.93</v>
      </c>
      <c r="AG522" s="36" t="n">
        <v>4.07</v>
      </c>
      <c r="AH522" s="37" t="n">
        <v>3.97</v>
      </c>
      <c r="AI522" s="37" t="n">
        <v>4.65</v>
      </c>
      <c r="AJ522" s="37" t="n">
        <v>4.82</v>
      </c>
      <c r="AK522" s="37" t="n">
        <v>4.67</v>
      </c>
      <c r="AL522" s="37" t="n">
        <v>3.56</v>
      </c>
      <c r="AM522" s="37" t="n">
        <v>4.8</v>
      </c>
      <c r="AN522" s="37" t="n">
        <v>4.2</v>
      </c>
      <c r="AO522" s="37" t="n">
        <v>4.16</v>
      </c>
      <c r="AP522" s="37" t="n">
        <v>3.99</v>
      </c>
      <c r="AQ522" s="37" t="n">
        <v>4.03</v>
      </c>
      <c r="AR522" s="37" t="n">
        <v>3.92</v>
      </c>
      <c r="AS522" s="37" t="n">
        <v>3.31</v>
      </c>
      <c r="AT522" s="37" t="n">
        <v>5.37</v>
      </c>
      <c r="AU522" s="37" t="n">
        <v>4.65</v>
      </c>
      <c r="AV522" s="37" t="n">
        <v>4.24</v>
      </c>
      <c r="AW522" s="37" t="n">
        <v>3.9</v>
      </c>
      <c r="AX522" s="37" t="n">
        <v>3.92</v>
      </c>
      <c r="AY522" s="37" t="n">
        <v>3.9</v>
      </c>
      <c r="AZ522" s="37" t="n">
        <v>3.33</v>
      </c>
      <c r="BA522" s="37" t="n">
        <v>4.76</v>
      </c>
      <c r="BB522" s="37" t="n">
        <v>4.5</v>
      </c>
      <c r="BC522" s="37" t="n">
        <v>2.26</v>
      </c>
      <c r="BD522" s="37" t="n">
        <v>3.2</v>
      </c>
      <c r="BE522" s="37" t="n">
        <v>7.4</v>
      </c>
      <c r="BF522" s="37" t="n">
        <v>7.21</v>
      </c>
      <c r="BG522" s="37" t="n">
        <v>3.56</v>
      </c>
      <c r="BH522" s="37" t="n">
        <v>5.37</v>
      </c>
      <c r="BI522" s="37" t="n">
        <v>4.5</v>
      </c>
      <c r="BJ522" s="37" t="n">
        <v>4.99</v>
      </c>
      <c r="BK522" s="37" t="n">
        <v>4.52</v>
      </c>
      <c r="BL522" s="37" t="n">
        <v>4.54</v>
      </c>
      <c r="BM522" s="37" t="n">
        <v>4.39</v>
      </c>
      <c r="BN522" s="37" t="n">
        <v>3.56</v>
      </c>
      <c r="BO522" s="37" t="n">
        <v>5.37</v>
      </c>
      <c r="BP522" s="37" t="n">
        <v>4.5</v>
      </c>
      <c r="BQ522" s="37" t="n">
        <v>4.41</v>
      </c>
      <c r="BR522" s="37" t="n">
        <v>4.52</v>
      </c>
      <c r="BS522" s="37" t="n">
        <v>4.54</v>
      </c>
      <c r="BT522" s="37" t="n">
        <v>4.39</v>
      </c>
      <c r="BU522" s="37" t="n">
        <v>3.56</v>
      </c>
      <c r="BV522" s="37" t="n">
        <v>5.37</v>
      </c>
      <c r="BW522" s="37" t="n">
        <v>4.5</v>
      </c>
      <c r="BX522" s="37" t="n">
        <v>4.41</v>
      </c>
      <c r="BY522" s="37" t="n">
        <v>4.52</v>
      </c>
      <c r="BZ522" s="37" t="n">
        <v>4.54</v>
      </c>
      <c r="CA522" s="37" t="n">
        <v>4.39</v>
      </c>
      <c r="CB522" s="37" t="n">
        <v>3.56</v>
      </c>
      <c r="CC522" s="37" t="n">
        <v>304.44</v>
      </c>
    </row>
    <row r="523" ht="15.75" customHeight="1" s="57">
      <c r="A523" s="29" t="inlineStr">
        <is>
          <t>TỔNG</t>
        </is>
      </c>
      <c r="B523" s="29" t="n"/>
      <c r="C523" s="29" t="n"/>
      <c r="D523" s="29" t="n"/>
      <c r="E523" s="29" t="n"/>
      <c r="F523" s="54" t="n">
        <v>12789</v>
      </c>
      <c r="G523" s="54" t="n">
        <v>13434</v>
      </c>
      <c r="H523" s="54" t="n">
        <v>12312</v>
      </c>
      <c r="I523" s="54" t="n">
        <v>13036</v>
      </c>
      <c r="J523" s="54" t="n">
        <v>10461</v>
      </c>
      <c r="K523" s="54" t="n">
        <v>14290</v>
      </c>
      <c r="L523" s="54" t="n">
        <v>13160</v>
      </c>
      <c r="M523" s="54" t="n">
        <v>13443</v>
      </c>
      <c r="N523" s="54" t="n">
        <v>12226</v>
      </c>
      <c r="O523" s="54" t="n">
        <v>12419</v>
      </c>
      <c r="P523" s="54" t="n">
        <v>13055</v>
      </c>
      <c r="Q523" s="54" t="n">
        <v>11626</v>
      </c>
      <c r="R523" s="54" t="n">
        <v>13151</v>
      </c>
      <c r="S523" s="54" t="n">
        <v>13102</v>
      </c>
      <c r="T523" s="54" t="n">
        <v>12907</v>
      </c>
      <c r="U523" s="54" t="n">
        <v>16762.97</v>
      </c>
      <c r="V523" s="54" t="n">
        <v>17066.94</v>
      </c>
      <c r="W523" s="54" t="n">
        <v>16508.79</v>
      </c>
      <c r="X523" s="54" t="n">
        <v>13435.25</v>
      </c>
      <c r="Y523" s="54" t="n">
        <v>19233.43</v>
      </c>
      <c r="Z523" s="54" t="n">
        <v>17005.16</v>
      </c>
      <c r="AA523" s="54" t="n">
        <v>17789</v>
      </c>
      <c r="AB523" s="54" t="n">
        <v>17343.9</v>
      </c>
      <c r="AC523" s="54" t="n">
        <v>17541</v>
      </c>
      <c r="AD523" s="54" t="n">
        <v>21270.26</v>
      </c>
      <c r="AE523" s="54" t="n">
        <v>14631.19</v>
      </c>
      <c r="AF523" s="54" t="n">
        <v>20100.63</v>
      </c>
      <c r="AG523" s="54" t="n">
        <v>17362.24</v>
      </c>
      <c r="AH523" s="55" t="n">
        <v>16991.97</v>
      </c>
      <c r="AI523" s="55" t="n">
        <v>17062.99</v>
      </c>
      <c r="AJ523" s="55" t="n">
        <v>17682.97</v>
      </c>
      <c r="AK523" s="55" t="n">
        <v>17771.79</v>
      </c>
      <c r="AL523" s="55" t="n">
        <v>15258.59</v>
      </c>
      <c r="AM523" s="55" t="n">
        <v>19421.47</v>
      </c>
      <c r="AN523" s="55" t="n">
        <v>17103.15</v>
      </c>
      <c r="AO523" s="55" t="n">
        <v>17041.97</v>
      </c>
      <c r="AP523" s="55" t="n">
        <v>16945.09</v>
      </c>
      <c r="AQ523" s="55" t="n">
        <v>16558.81</v>
      </c>
      <c r="AR523" s="55" t="n">
        <v>16440.88</v>
      </c>
      <c r="AS523" s="55" t="n">
        <v>13411.28</v>
      </c>
      <c r="AT523" s="55" t="n">
        <v>19625.47</v>
      </c>
      <c r="AU523" s="55" t="n">
        <v>18165.18</v>
      </c>
      <c r="AV523" s="55" t="n">
        <v>17521.92</v>
      </c>
      <c r="AW523" s="55" t="n">
        <v>16432</v>
      </c>
      <c r="AX523" s="55" t="n">
        <v>16788.05</v>
      </c>
      <c r="AY523" s="55" t="n">
        <v>16389.79</v>
      </c>
      <c r="AZ523" s="55" t="n">
        <v>13417.29</v>
      </c>
      <c r="BA523" s="55" t="n">
        <v>18187.17</v>
      </c>
      <c r="BB523" s="55" t="n">
        <v>15510.41</v>
      </c>
      <c r="BC523" s="55" t="n">
        <v>8695.17</v>
      </c>
      <c r="BD523" s="55" t="n">
        <v>8739.689999999999</v>
      </c>
      <c r="BE523" s="55" t="n">
        <v>19248.55</v>
      </c>
      <c r="BF523" s="55" t="n">
        <v>18646.58</v>
      </c>
      <c r="BG523" s="55" t="n">
        <v>13724.16</v>
      </c>
      <c r="BH523" s="55" t="n">
        <v>19601.32</v>
      </c>
      <c r="BI523" s="55" t="n">
        <v>16897.85</v>
      </c>
      <c r="BJ523" s="55" t="n">
        <v>22752.78</v>
      </c>
      <c r="BK523" s="55" t="n">
        <v>17429.92</v>
      </c>
      <c r="BL523" s="55" t="n">
        <v>17461.91</v>
      </c>
      <c r="BM523" s="55" t="n">
        <v>16691.8</v>
      </c>
      <c r="BN523" s="55" t="n">
        <v>13685.12</v>
      </c>
      <c r="BO523" s="55" t="n">
        <v>19669.25</v>
      </c>
      <c r="BP523" s="55" t="n">
        <v>17915.12</v>
      </c>
      <c r="BQ523" s="55" t="n">
        <v>18756.2</v>
      </c>
      <c r="BR523" s="55" t="n">
        <v>16869.86</v>
      </c>
      <c r="BS523" s="55" t="n">
        <v>17246.94</v>
      </c>
      <c r="BT523" s="55" t="n">
        <v>16670.85</v>
      </c>
      <c r="BU523" s="55" t="n">
        <v>14041.25</v>
      </c>
      <c r="BV523" s="55" t="n">
        <v>19087.2</v>
      </c>
      <c r="BW523" s="55" t="n">
        <v>17299.99</v>
      </c>
      <c r="BX523" s="55" t="n">
        <v>17213.94</v>
      </c>
      <c r="BY523" s="55" t="n">
        <v>16869.86</v>
      </c>
      <c r="BZ523" s="55" t="n">
        <v>17736.06</v>
      </c>
      <c r="CA523" s="55" t="n">
        <v>16795.95</v>
      </c>
      <c r="CB523" s="55" t="n">
        <v>13677.17</v>
      </c>
      <c r="CC523" s="55" t="n">
        <v>1204614.49</v>
      </c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CC645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8" defaultColWidth="12.63" defaultRowHeight="15" customHeight="1" outlineLevelCol="0"/>
  <cols>
    <col width="5.25" customWidth="1" style="57" min="1" max="1"/>
    <col width="9.25" customWidth="1" style="57" min="2" max="2"/>
    <col width="8.25" customWidth="1" style="57" min="3" max="3"/>
    <col width="34.5" customWidth="1" style="57" min="4" max="4"/>
    <col width="18" customWidth="1" style="57" min="5" max="5"/>
    <col width="6" customWidth="1" style="57" min="6" max="61"/>
    <col width="6.88" customWidth="1" style="57" min="62" max="62"/>
    <col width="6" customWidth="1" style="57" min="63" max="80"/>
    <col width="8.25" customWidth="1" style="57" min="81" max="81"/>
  </cols>
  <sheetData>
    <row r="1" ht="15.75" customHeight="1" s="57">
      <c r="A1" s="4" t="inlineStr">
        <is>
          <t>Vùng</t>
        </is>
      </c>
      <c r="B1" s="4" t="inlineStr">
        <is>
          <t>Tỉnh/Quận</t>
        </is>
      </c>
      <c r="C1" s="4" t="inlineStr">
        <is>
          <t>ID</t>
        </is>
      </c>
      <c r="D1" s="4" t="inlineStr">
        <is>
          <t>BC</t>
        </is>
      </c>
      <c r="E1" s="4" t="inlineStr">
        <is>
          <t>Sàn</t>
        </is>
      </c>
      <c r="F1" s="4" t="inlineStr">
        <is>
          <t>T4 15/07</t>
        </is>
      </c>
      <c r="G1" s="4" t="inlineStr">
        <is>
          <t>T5 16/07</t>
        </is>
      </c>
      <c r="H1" s="4" t="inlineStr">
        <is>
          <t>T6 17/07</t>
        </is>
      </c>
      <c r="I1" s="4" t="inlineStr">
        <is>
          <t>T7 18/07</t>
        </is>
      </c>
      <c r="J1" s="4" t="inlineStr">
        <is>
          <t>CN 19/07</t>
        </is>
      </c>
      <c r="K1" s="4" t="inlineStr">
        <is>
          <t>T2 20/07</t>
        </is>
      </c>
      <c r="L1" s="4" t="inlineStr">
        <is>
          <t>T3 21/07</t>
        </is>
      </c>
      <c r="M1" s="4" t="inlineStr">
        <is>
          <t>T4 22/07</t>
        </is>
      </c>
      <c r="N1" s="4" t="inlineStr">
        <is>
          <t>T5 23/07</t>
        </is>
      </c>
      <c r="O1" s="4" t="inlineStr">
        <is>
          <t>T6 24/07</t>
        </is>
      </c>
      <c r="P1" s="4" t="inlineStr">
        <is>
          <t>T7 25/07</t>
        </is>
      </c>
      <c r="Q1" s="4" t="inlineStr">
        <is>
          <t>CN 26/07</t>
        </is>
      </c>
      <c r="R1" s="4" t="inlineStr">
        <is>
          <t>T2 27/07</t>
        </is>
      </c>
      <c r="S1" s="4" t="inlineStr">
        <is>
          <t>T3 28/07</t>
        </is>
      </c>
      <c r="T1" s="4" t="inlineStr">
        <is>
          <t>T4 29/07</t>
        </is>
      </c>
      <c r="U1" s="4" t="inlineStr">
        <is>
          <t>T5 30/07</t>
        </is>
      </c>
      <c r="V1" s="4" t="inlineStr">
        <is>
          <t>T6 31/07</t>
        </is>
      </c>
      <c r="W1" s="4" t="inlineStr">
        <is>
          <t>T7 01/08</t>
        </is>
      </c>
      <c r="X1" s="4" t="inlineStr">
        <is>
          <t>CN 02/08</t>
        </is>
      </c>
      <c r="Y1" s="4" t="inlineStr">
        <is>
          <t>T2 03/08</t>
        </is>
      </c>
      <c r="Z1" s="4" t="inlineStr">
        <is>
          <t>T3 04/08</t>
        </is>
      </c>
      <c r="AA1" s="4" t="inlineStr">
        <is>
          <t>T4 05/08</t>
        </is>
      </c>
      <c r="AB1" s="4" t="inlineStr">
        <is>
          <t>T5 06/08</t>
        </is>
      </c>
      <c r="AC1" s="4" t="inlineStr">
        <is>
          <t>T6 07/08</t>
        </is>
      </c>
      <c r="AD1" s="4" t="inlineStr">
        <is>
          <t>T7 08/08</t>
        </is>
      </c>
      <c r="AE1" s="4" t="inlineStr">
        <is>
          <t>CN 09/08</t>
        </is>
      </c>
      <c r="AF1" s="4" t="inlineStr">
        <is>
          <t>T2 10/08</t>
        </is>
      </c>
      <c r="AG1" s="4" t="inlineStr">
        <is>
          <t>T3 11/08</t>
        </is>
      </c>
      <c r="AH1" s="31" t="inlineStr">
        <is>
          <t>T4 12/08</t>
        </is>
      </c>
      <c r="AI1" s="31" t="inlineStr">
        <is>
          <t>T5 13/08</t>
        </is>
      </c>
      <c r="AJ1" s="31" t="inlineStr">
        <is>
          <t>T6 14/08</t>
        </is>
      </c>
      <c r="AK1" s="31" t="inlineStr">
        <is>
          <t>T7 15/08</t>
        </is>
      </c>
      <c r="AL1" s="31" t="inlineStr">
        <is>
          <t>CN 16/08</t>
        </is>
      </c>
      <c r="AM1" s="31" t="inlineStr">
        <is>
          <t>T2 17/08</t>
        </is>
      </c>
      <c r="AN1" s="31" t="inlineStr">
        <is>
          <t>T3 18/08</t>
        </is>
      </c>
      <c r="AO1" s="31" t="inlineStr">
        <is>
          <t>T4 19/08</t>
        </is>
      </c>
      <c r="AP1" s="31" t="inlineStr">
        <is>
          <t>T5 20/08</t>
        </is>
      </c>
      <c r="AQ1" s="31" t="inlineStr">
        <is>
          <t>T6 21/08</t>
        </is>
      </c>
      <c r="AR1" s="31" t="inlineStr">
        <is>
          <t>T7 22/08</t>
        </is>
      </c>
      <c r="AS1" s="31" t="inlineStr">
        <is>
          <t>CN 23/08</t>
        </is>
      </c>
      <c r="AT1" s="31" t="inlineStr">
        <is>
          <t>T2 24/08</t>
        </is>
      </c>
      <c r="AU1" s="31" t="inlineStr">
        <is>
          <t>T3 25/08</t>
        </is>
      </c>
      <c r="AV1" s="31" t="inlineStr">
        <is>
          <t>T4 26/08</t>
        </is>
      </c>
      <c r="AW1" s="31" t="inlineStr">
        <is>
          <t>T5 27/08</t>
        </is>
      </c>
      <c r="AX1" s="31" t="inlineStr">
        <is>
          <t>T6 28/08</t>
        </is>
      </c>
      <c r="AY1" s="31" t="inlineStr">
        <is>
          <t>T7 29/08</t>
        </is>
      </c>
      <c r="AZ1" s="31" t="inlineStr">
        <is>
          <t>CN 30/08</t>
        </is>
      </c>
      <c r="BA1" s="31" t="inlineStr">
        <is>
          <t>T2 31/08</t>
        </is>
      </c>
      <c r="BB1" s="31" t="inlineStr">
        <is>
          <t>T3 01/09</t>
        </is>
      </c>
      <c r="BC1" s="31" t="inlineStr">
        <is>
          <t>T4 02/09</t>
        </is>
      </c>
      <c r="BD1" s="31" t="inlineStr">
        <is>
          <t>T5 03/09</t>
        </is>
      </c>
      <c r="BE1" s="31" t="inlineStr">
        <is>
          <t>T6 04/09</t>
        </is>
      </c>
      <c r="BF1" s="31" t="inlineStr">
        <is>
          <t>T7 05/09</t>
        </is>
      </c>
      <c r="BG1" s="31" t="inlineStr">
        <is>
          <t>CN 06/09</t>
        </is>
      </c>
      <c r="BH1" s="31" t="inlineStr">
        <is>
          <t>T2 07/09</t>
        </is>
      </c>
      <c r="BI1" s="31" t="inlineStr">
        <is>
          <t>T3 08/09</t>
        </is>
      </c>
      <c r="BJ1" s="31" t="inlineStr">
        <is>
          <t>T4 09/09</t>
        </is>
      </c>
      <c r="BK1" s="31" t="inlineStr">
        <is>
          <t>T5 10/09</t>
        </is>
      </c>
      <c r="BL1" s="31" t="inlineStr">
        <is>
          <t>T6 11/09</t>
        </is>
      </c>
      <c r="BM1" s="31" t="inlineStr">
        <is>
          <t>T7 12/09</t>
        </is>
      </c>
      <c r="BN1" s="31" t="inlineStr">
        <is>
          <t>CN 13/09</t>
        </is>
      </c>
      <c r="BO1" s="31" t="inlineStr">
        <is>
          <t>T2 14/09</t>
        </is>
      </c>
      <c r="BP1" s="31" t="inlineStr">
        <is>
          <t>T3 15/09</t>
        </is>
      </c>
      <c r="BQ1" s="31" t="inlineStr">
        <is>
          <t>T4 16/09</t>
        </is>
      </c>
      <c r="BR1" s="31" t="inlineStr">
        <is>
          <t>T5 17/09</t>
        </is>
      </c>
      <c r="BS1" s="31" t="inlineStr">
        <is>
          <t>T6 18/09</t>
        </is>
      </c>
      <c r="BT1" s="31" t="inlineStr">
        <is>
          <t>T7 19/09</t>
        </is>
      </c>
      <c r="BU1" s="31" t="inlineStr">
        <is>
          <t>CN 20/09</t>
        </is>
      </c>
      <c r="BV1" s="31" t="inlineStr">
        <is>
          <t>T2 21/09</t>
        </is>
      </c>
      <c r="BW1" s="31" t="inlineStr">
        <is>
          <t>T3 22/09</t>
        </is>
      </c>
      <c r="BX1" s="31" t="inlineStr">
        <is>
          <t>T4 23/09</t>
        </is>
      </c>
      <c r="BY1" s="31" t="inlineStr">
        <is>
          <t>T5 24/09</t>
        </is>
      </c>
      <c r="BZ1" s="31" t="inlineStr">
        <is>
          <t>T6 25/09</t>
        </is>
      </c>
      <c r="CA1" s="31" t="inlineStr">
        <is>
          <t>T7 26/09</t>
        </is>
      </c>
      <c r="CB1" s="31" t="inlineStr">
        <is>
          <t>CN 27/09</t>
        </is>
      </c>
      <c r="CC1" s="31" t="inlineStr">
        <is>
          <t>Tổng 60d</t>
        </is>
      </c>
    </row>
    <row r="2" ht="15.75" customHeight="1" s="57">
      <c r="A2" s="32" t="n"/>
      <c r="B2" s="32" t="n"/>
      <c r="C2" s="32" t="n"/>
      <c r="D2" s="32" t="n"/>
      <c r="E2" s="32" t="inlineStr">
        <is>
          <t>Source</t>
        </is>
      </c>
      <c r="F2" s="34" t="inlineStr">
        <is>
          <t>✅ACT</t>
        </is>
      </c>
      <c r="G2" s="34" t="inlineStr">
        <is>
          <t>✅ACT</t>
        </is>
      </c>
      <c r="H2" s="34" t="inlineStr">
        <is>
          <t>✅ACT</t>
        </is>
      </c>
      <c r="I2" s="34" t="inlineStr">
        <is>
          <t>✅ACT</t>
        </is>
      </c>
      <c r="J2" s="34" t="inlineStr">
        <is>
          <t>✅ACT</t>
        </is>
      </c>
      <c r="K2" s="34" t="inlineStr">
        <is>
          <t>✅ACT</t>
        </is>
      </c>
      <c r="L2" s="34" t="inlineStr">
        <is>
          <t>✅ACT</t>
        </is>
      </c>
      <c r="M2" s="34" t="inlineStr">
        <is>
          <t>✅ACT</t>
        </is>
      </c>
      <c r="N2" s="34" t="inlineStr">
        <is>
          <t>✅ACT</t>
        </is>
      </c>
      <c r="O2" s="34" t="inlineStr">
        <is>
          <t>✅ACT</t>
        </is>
      </c>
      <c r="P2" s="34" t="inlineStr">
        <is>
          <t>✅ACT</t>
        </is>
      </c>
      <c r="Q2" s="34" t="inlineStr">
        <is>
          <t>✅ACT</t>
        </is>
      </c>
      <c r="R2" s="34" t="inlineStr">
        <is>
          <t>✅ACT</t>
        </is>
      </c>
      <c r="S2" s="34" t="inlineStr">
        <is>
          <t>✅ACT</t>
        </is>
      </c>
      <c r="T2" s="34" t="inlineStr">
        <is>
          <t>✅ACT</t>
        </is>
      </c>
      <c r="U2" s="34" t="inlineStr">
        <is>
          <t>📊FC</t>
        </is>
      </c>
      <c r="V2" s="34" t="inlineStr">
        <is>
          <t>📊FC</t>
        </is>
      </c>
      <c r="W2" s="34" t="inlineStr">
        <is>
          <t>📊FC</t>
        </is>
      </c>
      <c r="X2" s="34" t="inlineStr">
        <is>
          <t>📊FC</t>
        </is>
      </c>
      <c r="Y2" s="34" t="inlineStr">
        <is>
          <t>📊FC</t>
        </is>
      </c>
      <c r="Z2" s="34" t="inlineStr">
        <is>
          <t>📊FC</t>
        </is>
      </c>
      <c r="AA2" s="34" t="inlineStr">
        <is>
          <t>📊FC</t>
        </is>
      </c>
      <c r="AB2" s="34" t="inlineStr">
        <is>
          <t>📊FC</t>
        </is>
      </c>
      <c r="AC2" s="34" t="inlineStr">
        <is>
          <t>📊FC</t>
        </is>
      </c>
      <c r="AD2" s="34" t="inlineStr">
        <is>
          <t>📊FC</t>
        </is>
      </c>
      <c r="AE2" s="34" t="inlineStr">
        <is>
          <t>📊FC</t>
        </is>
      </c>
      <c r="AF2" s="34" t="inlineStr">
        <is>
          <t>📊FC</t>
        </is>
      </c>
      <c r="AG2" s="34" t="inlineStr">
        <is>
          <t>📊FC</t>
        </is>
      </c>
      <c r="AH2" s="35" t="inlineStr">
        <is>
          <t>📊FC</t>
        </is>
      </c>
      <c r="AI2" s="35" t="inlineStr">
        <is>
          <t>📊FC</t>
        </is>
      </c>
      <c r="AJ2" s="35" t="inlineStr">
        <is>
          <t>📊FC</t>
        </is>
      </c>
      <c r="AK2" s="35" t="inlineStr">
        <is>
          <t>📊FC</t>
        </is>
      </c>
      <c r="AL2" s="35" t="inlineStr">
        <is>
          <t>📊FC</t>
        </is>
      </c>
      <c r="AM2" s="35" t="inlineStr">
        <is>
          <t>📊FC</t>
        </is>
      </c>
      <c r="AN2" s="35" t="inlineStr">
        <is>
          <t>📊FC</t>
        </is>
      </c>
      <c r="AO2" s="35" t="inlineStr">
        <is>
          <t>📊FC</t>
        </is>
      </c>
      <c r="AP2" s="35" t="inlineStr">
        <is>
          <t>📊FC</t>
        </is>
      </c>
      <c r="AQ2" s="35" t="inlineStr">
        <is>
          <t>📊FC</t>
        </is>
      </c>
      <c r="AR2" s="35" t="inlineStr">
        <is>
          <t>📊FC</t>
        </is>
      </c>
      <c r="AS2" s="35" t="inlineStr">
        <is>
          <t>📊FC</t>
        </is>
      </c>
      <c r="AT2" s="35" t="inlineStr">
        <is>
          <t>📊FC</t>
        </is>
      </c>
      <c r="AU2" s="35" t="inlineStr">
        <is>
          <t>📊FC</t>
        </is>
      </c>
      <c r="AV2" s="35" t="inlineStr">
        <is>
          <t>📊FC</t>
        </is>
      </c>
      <c r="AW2" s="35" t="inlineStr">
        <is>
          <t>📊FC</t>
        </is>
      </c>
      <c r="AX2" s="35" t="inlineStr">
        <is>
          <t>📊FC</t>
        </is>
      </c>
      <c r="AY2" s="35" t="inlineStr">
        <is>
          <t>📊FC</t>
        </is>
      </c>
      <c r="AZ2" s="35" t="inlineStr">
        <is>
          <t>📊FC</t>
        </is>
      </c>
      <c r="BA2" s="35" t="inlineStr">
        <is>
          <t>📊FC</t>
        </is>
      </c>
      <c r="BB2" s="35" t="inlineStr">
        <is>
          <t>📊FC</t>
        </is>
      </c>
      <c r="BC2" s="35" t="inlineStr">
        <is>
          <t>📊FC</t>
        </is>
      </c>
      <c r="BD2" s="35" t="inlineStr">
        <is>
          <t>📊FC</t>
        </is>
      </c>
      <c r="BE2" s="35" t="inlineStr">
        <is>
          <t>📊FC</t>
        </is>
      </c>
      <c r="BF2" s="35" t="inlineStr">
        <is>
          <t>📊FC</t>
        </is>
      </c>
      <c r="BG2" s="35" t="inlineStr">
        <is>
          <t>📊FC</t>
        </is>
      </c>
      <c r="BH2" s="35" t="inlineStr">
        <is>
          <t>📊FC</t>
        </is>
      </c>
      <c r="BI2" s="35" t="inlineStr">
        <is>
          <t>📊FC</t>
        </is>
      </c>
      <c r="BJ2" s="35" t="inlineStr">
        <is>
          <t>📊FC</t>
        </is>
      </c>
      <c r="BK2" s="35" t="inlineStr">
        <is>
          <t>📊FC</t>
        </is>
      </c>
      <c r="BL2" s="35" t="inlineStr">
        <is>
          <t>📊FC</t>
        </is>
      </c>
      <c r="BM2" s="35" t="inlineStr">
        <is>
          <t>📊FC</t>
        </is>
      </c>
      <c r="BN2" s="35" t="inlineStr">
        <is>
          <t>📊FC</t>
        </is>
      </c>
      <c r="BO2" s="35" t="inlineStr">
        <is>
          <t>📊FC</t>
        </is>
      </c>
      <c r="BP2" s="35" t="inlineStr">
        <is>
          <t>📊FC</t>
        </is>
      </c>
      <c r="BQ2" s="35" t="inlineStr">
        <is>
          <t>📊FC</t>
        </is>
      </c>
      <c r="BR2" s="35" t="inlineStr">
        <is>
          <t>📊FC</t>
        </is>
      </c>
      <c r="BS2" s="35" t="inlineStr">
        <is>
          <t>📊FC</t>
        </is>
      </c>
      <c r="BT2" s="35" t="inlineStr">
        <is>
          <t>📊FC</t>
        </is>
      </c>
      <c r="BU2" s="35" t="inlineStr">
        <is>
          <t>📊FC</t>
        </is>
      </c>
      <c r="BV2" s="35" t="inlineStr">
        <is>
          <t>📊FC</t>
        </is>
      </c>
      <c r="BW2" s="35" t="inlineStr">
        <is>
          <t>📊FC</t>
        </is>
      </c>
      <c r="BX2" s="35" t="inlineStr">
        <is>
          <t>📊FC</t>
        </is>
      </c>
      <c r="BY2" s="35" t="inlineStr">
        <is>
          <t>📊FC</t>
        </is>
      </c>
      <c r="BZ2" s="35" t="inlineStr">
        <is>
          <t>📊FC</t>
        </is>
      </c>
      <c r="CA2" s="35" t="inlineStr">
        <is>
          <t>📊FC</t>
        </is>
      </c>
      <c r="CB2" s="35" t="inlineStr">
        <is>
          <t>📊FC</t>
        </is>
      </c>
      <c r="CC2" s="35" t="n"/>
    </row>
    <row r="3" ht="15.75" customHeight="1" s="57">
      <c r="A3" s="7" t="inlineStr">
        <is>
          <t>NTB</t>
        </is>
      </c>
      <c r="B3" s="7" t="inlineStr">
        <is>
          <t>Bình Thuận</t>
        </is>
      </c>
      <c r="C3" s="7" t="n">
        <v>2357</v>
      </c>
      <c r="D3" s="7" t="inlineStr">
        <is>
          <t>(BTH) Đồng Kho</t>
        </is>
      </c>
      <c r="E3" s="7" t="inlineStr">
        <is>
          <t>SME</t>
        </is>
      </c>
      <c r="F3" s="36" t="n">
        <v>300</v>
      </c>
      <c r="G3" s="36" t="n">
        <v>368</v>
      </c>
      <c r="H3" s="36" t="n">
        <v>369</v>
      </c>
      <c r="I3" s="36" t="n">
        <v>332</v>
      </c>
      <c r="J3" s="36" t="n">
        <v>360</v>
      </c>
      <c r="K3" s="28" t="n">
        <v>312</v>
      </c>
      <c r="L3" s="36" t="n">
        <v>284</v>
      </c>
      <c r="M3" s="36" t="n">
        <v>266</v>
      </c>
      <c r="N3" s="36" t="n">
        <v>272</v>
      </c>
      <c r="O3" s="36" t="n">
        <v>331</v>
      </c>
      <c r="P3" s="36" t="n">
        <v>297</v>
      </c>
      <c r="Q3" s="36" t="n">
        <v>235</v>
      </c>
      <c r="R3" s="28" t="n">
        <v>263</v>
      </c>
      <c r="S3" s="36" t="n">
        <v>256</v>
      </c>
      <c r="T3" s="36" t="n">
        <v>284</v>
      </c>
      <c r="U3" s="36" t="n">
        <v>333.06</v>
      </c>
      <c r="V3" s="36" t="n">
        <v>344.79</v>
      </c>
      <c r="W3" s="36" t="n">
        <v>335.27</v>
      </c>
      <c r="X3" s="36" t="n">
        <v>274.39</v>
      </c>
      <c r="Y3" s="28" t="n">
        <v>371.77</v>
      </c>
      <c r="Z3" s="36" t="n">
        <v>342.18</v>
      </c>
      <c r="AA3" s="36" t="n">
        <v>334.1</v>
      </c>
      <c r="AB3" s="36" t="n">
        <v>333.06</v>
      </c>
      <c r="AC3" s="36" t="n">
        <v>344.79</v>
      </c>
      <c r="AD3" s="36" t="n">
        <v>351.86</v>
      </c>
      <c r="AE3" s="36" t="n">
        <v>274.39</v>
      </c>
      <c r="AF3" s="28" t="n">
        <v>371.77</v>
      </c>
      <c r="AG3" s="36" t="n">
        <v>342.18</v>
      </c>
      <c r="AH3" s="37" t="n">
        <v>334.1</v>
      </c>
      <c r="AI3" s="37" t="n">
        <v>333.06</v>
      </c>
      <c r="AJ3" s="37" t="n">
        <v>344.79</v>
      </c>
      <c r="AK3" s="37" t="n">
        <v>335.27</v>
      </c>
      <c r="AL3" s="37" t="n">
        <v>274.39</v>
      </c>
      <c r="AM3" s="37" t="n">
        <v>371.77</v>
      </c>
      <c r="AN3" s="37" t="n">
        <v>342.18</v>
      </c>
      <c r="AO3" s="37" t="n">
        <v>334.1</v>
      </c>
      <c r="AP3" s="37" t="n">
        <v>333.06</v>
      </c>
      <c r="AQ3" s="37" t="n">
        <v>344.79</v>
      </c>
      <c r="AR3" s="37" t="n">
        <v>335.27</v>
      </c>
      <c r="AS3" s="37" t="n">
        <v>274.39</v>
      </c>
      <c r="AT3" s="37" t="n">
        <v>371.77</v>
      </c>
      <c r="AU3" s="37" t="n">
        <v>342.18</v>
      </c>
      <c r="AV3" s="37" t="n">
        <v>334.1</v>
      </c>
      <c r="AW3" s="37" t="n">
        <v>333.06</v>
      </c>
      <c r="AX3" s="37" t="n">
        <v>344.79</v>
      </c>
      <c r="AY3" s="37" t="n">
        <v>335.27</v>
      </c>
      <c r="AZ3" s="37" t="n">
        <v>274.39</v>
      </c>
      <c r="BA3" s="37" t="n">
        <v>334.51</v>
      </c>
      <c r="BB3" s="37" t="n">
        <v>299.29</v>
      </c>
      <c r="BC3" s="37" t="n">
        <v>189.59</v>
      </c>
      <c r="BD3" s="37" t="n">
        <v>188.92</v>
      </c>
      <c r="BE3" s="37" t="n">
        <v>319.14</v>
      </c>
      <c r="BF3" s="37" t="n">
        <v>310.61</v>
      </c>
      <c r="BG3" s="37" t="n">
        <v>282.92</v>
      </c>
      <c r="BH3" s="37" t="n">
        <v>383.4</v>
      </c>
      <c r="BI3" s="37" t="n">
        <v>352.85</v>
      </c>
      <c r="BJ3" s="37" t="n">
        <v>361.06</v>
      </c>
      <c r="BK3" s="37" t="n">
        <v>343.18</v>
      </c>
      <c r="BL3" s="37" t="n">
        <v>355.59</v>
      </c>
      <c r="BM3" s="37" t="n">
        <v>345.37</v>
      </c>
      <c r="BN3" s="37" t="n">
        <v>282.92</v>
      </c>
      <c r="BO3" s="37" t="n">
        <v>383.4</v>
      </c>
      <c r="BP3" s="37" t="n">
        <v>352.85</v>
      </c>
      <c r="BQ3" s="37" t="n">
        <v>344.27</v>
      </c>
      <c r="BR3" s="37" t="n">
        <v>343.18</v>
      </c>
      <c r="BS3" s="37" t="n">
        <v>355.59</v>
      </c>
      <c r="BT3" s="37" t="n">
        <v>345.37</v>
      </c>
      <c r="BU3" s="37" t="n">
        <v>282.92</v>
      </c>
      <c r="BV3" s="37" t="n">
        <v>383.4</v>
      </c>
      <c r="BW3" s="37" t="n">
        <v>352.85</v>
      </c>
      <c r="BX3" s="37" t="n">
        <v>344.27</v>
      </c>
      <c r="BY3" s="37" t="n">
        <v>343.18</v>
      </c>
      <c r="BZ3" s="37" t="n">
        <v>355.59</v>
      </c>
      <c r="CA3" s="37" t="n">
        <v>345.37</v>
      </c>
      <c r="CB3" s="37" t="n">
        <v>282.92</v>
      </c>
      <c r="CC3" s="37" t="n">
        <v>24339.85</v>
      </c>
    </row>
    <row r="4" ht="15.75" customHeight="1" s="57">
      <c r="A4" s="7" t="inlineStr">
        <is>
          <t>NTB</t>
        </is>
      </c>
      <c r="B4" s="7" t="inlineStr">
        <is>
          <t>Bình Thuận</t>
        </is>
      </c>
      <c r="C4" s="7" t="n">
        <v>2357</v>
      </c>
      <c r="D4" s="7" t="inlineStr">
        <is>
          <t>(BTH) Đồng Kho</t>
        </is>
      </c>
      <c r="E4" s="7" t="inlineStr">
        <is>
          <t>SME-Bulky</t>
        </is>
      </c>
      <c r="F4" s="36" t="n">
        <v>13</v>
      </c>
      <c r="G4" s="36" t="n">
        <v>17</v>
      </c>
      <c r="H4" s="36" t="n">
        <v>22</v>
      </c>
      <c r="I4" s="36" t="n">
        <v>11</v>
      </c>
      <c r="J4" s="36" t="n">
        <v>18</v>
      </c>
      <c r="K4" s="28" t="n">
        <v>16</v>
      </c>
      <c r="L4" s="36" t="n">
        <v>20</v>
      </c>
      <c r="M4" s="36" t="n">
        <v>10</v>
      </c>
      <c r="N4" s="36" t="n">
        <v>16</v>
      </c>
      <c r="O4" s="36" t="n">
        <v>14</v>
      </c>
      <c r="P4" s="36" t="n">
        <v>11</v>
      </c>
      <c r="Q4" s="36" t="n">
        <v>28</v>
      </c>
      <c r="R4" s="28" t="n">
        <v>16</v>
      </c>
      <c r="S4" s="36" t="n">
        <v>26</v>
      </c>
      <c r="T4" s="36" t="n">
        <v>12</v>
      </c>
      <c r="U4" s="36" t="n">
        <v>18.35</v>
      </c>
      <c r="V4" s="36" t="n">
        <v>18.41</v>
      </c>
      <c r="W4" s="36" t="n">
        <v>17.08</v>
      </c>
      <c r="X4" s="36" t="n">
        <v>12</v>
      </c>
      <c r="Y4" s="28" t="n">
        <v>20.51</v>
      </c>
      <c r="Z4" s="36" t="n">
        <v>19.94</v>
      </c>
      <c r="AA4" s="36" t="n">
        <v>19.43</v>
      </c>
      <c r="AB4" s="36" t="n">
        <v>18.35</v>
      </c>
      <c r="AC4" s="36" t="n">
        <v>18.41</v>
      </c>
      <c r="AD4" s="36" t="n">
        <v>19.47</v>
      </c>
      <c r="AE4" s="36" t="n">
        <v>12</v>
      </c>
      <c r="AF4" s="28" t="n">
        <v>20.51</v>
      </c>
      <c r="AG4" s="36" t="n">
        <v>19.94</v>
      </c>
      <c r="AH4" s="37" t="n">
        <v>19.43</v>
      </c>
      <c r="AI4" s="37" t="n">
        <v>18.35</v>
      </c>
      <c r="AJ4" s="37" t="n">
        <v>18.41</v>
      </c>
      <c r="AK4" s="37" t="n">
        <v>17.08</v>
      </c>
      <c r="AL4" s="37" t="n">
        <v>12</v>
      </c>
      <c r="AM4" s="37" t="n">
        <v>20.51</v>
      </c>
      <c r="AN4" s="37" t="n">
        <v>19.94</v>
      </c>
      <c r="AO4" s="37" t="n">
        <v>19.43</v>
      </c>
      <c r="AP4" s="37" t="n">
        <v>18.35</v>
      </c>
      <c r="AQ4" s="37" t="n">
        <v>18.41</v>
      </c>
      <c r="AR4" s="37" t="n">
        <v>17.08</v>
      </c>
      <c r="AS4" s="37" t="n">
        <v>12</v>
      </c>
      <c r="AT4" s="37" t="n">
        <v>20.51</v>
      </c>
      <c r="AU4" s="37" t="n">
        <v>19.94</v>
      </c>
      <c r="AV4" s="37" t="n">
        <v>19.43</v>
      </c>
      <c r="AW4" s="37" t="n">
        <v>18.35</v>
      </c>
      <c r="AX4" s="37" t="n">
        <v>18.41</v>
      </c>
      <c r="AY4" s="37" t="n">
        <v>17.08</v>
      </c>
      <c r="AZ4" s="37" t="n">
        <v>12</v>
      </c>
      <c r="BA4" s="37" t="n">
        <v>20.58</v>
      </c>
      <c r="BB4" s="37" t="n">
        <v>10.79</v>
      </c>
      <c r="BC4" s="37" t="n">
        <v>5.77</v>
      </c>
      <c r="BD4" s="37" t="n">
        <v>5.21</v>
      </c>
      <c r="BE4" s="37" t="n">
        <v>9.4</v>
      </c>
      <c r="BF4" s="37" t="n">
        <v>9.02</v>
      </c>
      <c r="BG4" s="37" t="n">
        <v>7.04</v>
      </c>
      <c r="BH4" s="37" t="n">
        <v>11.94</v>
      </c>
      <c r="BI4" s="37" t="n">
        <v>11.94</v>
      </c>
      <c r="BJ4" s="37" t="n">
        <v>12.31</v>
      </c>
      <c r="BK4" s="37" t="n">
        <v>10.86</v>
      </c>
      <c r="BL4" s="37" t="n">
        <v>10.98</v>
      </c>
      <c r="BM4" s="37" t="n">
        <v>10.16</v>
      </c>
      <c r="BN4" s="37" t="n">
        <v>7.04</v>
      </c>
      <c r="BO4" s="37" t="n">
        <v>11.94</v>
      </c>
      <c r="BP4" s="37" t="n">
        <v>11.94</v>
      </c>
      <c r="BQ4" s="37" t="n">
        <v>11.24</v>
      </c>
      <c r="BR4" s="37" t="n">
        <v>10.86</v>
      </c>
      <c r="BS4" s="37" t="n">
        <v>10.98</v>
      </c>
      <c r="BT4" s="37" t="n">
        <v>10.16</v>
      </c>
      <c r="BU4" s="37" t="n">
        <v>7.04</v>
      </c>
      <c r="BV4" s="37" t="n">
        <v>11.94</v>
      </c>
      <c r="BW4" s="37" t="n">
        <v>11.94</v>
      </c>
      <c r="BX4" s="37" t="n">
        <v>11.24</v>
      </c>
      <c r="BY4" s="37" t="n">
        <v>10.86</v>
      </c>
      <c r="BZ4" s="37" t="n">
        <v>10.98</v>
      </c>
      <c r="CA4" s="37" t="n">
        <v>10.16</v>
      </c>
      <c r="CB4" s="37" t="n">
        <v>7.04</v>
      </c>
      <c r="CC4" s="37" t="n">
        <v>1112.47</v>
      </c>
    </row>
    <row r="5" ht="15.75" customHeight="1" s="57">
      <c r="A5" s="7" t="inlineStr">
        <is>
          <t>NTB</t>
        </is>
      </c>
      <c r="B5" s="7" t="inlineStr">
        <is>
          <t>Bình Thuận</t>
        </is>
      </c>
      <c r="C5" s="7" t="n">
        <v>2357</v>
      </c>
      <c r="D5" s="7" t="inlineStr">
        <is>
          <t>(BTH) Đồng Kho</t>
        </is>
      </c>
      <c r="E5" s="7" t="inlineStr">
        <is>
          <t>Shopee</t>
        </is>
      </c>
      <c r="F5" s="36" t="n">
        <v>216</v>
      </c>
      <c r="G5" s="36" t="n">
        <v>242</v>
      </c>
      <c r="H5" s="36" t="n">
        <v>297</v>
      </c>
      <c r="I5" s="36" t="n">
        <v>245</v>
      </c>
      <c r="J5" s="36" t="n">
        <v>203</v>
      </c>
      <c r="K5" s="28" t="n">
        <v>178</v>
      </c>
      <c r="L5" s="36" t="n">
        <v>234</v>
      </c>
      <c r="M5" s="36" t="n">
        <v>236</v>
      </c>
      <c r="N5" s="36" t="n">
        <v>279</v>
      </c>
      <c r="O5" s="36" t="n">
        <v>248</v>
      </c>
      <c r="P5" s="36" t="n">
        <v>226</v>
      </c>
      <c r="Q5" s="36" t="n">
        <v>183</v>
      </c>
      <c r="R5" s="28" t="n">
        <v>158</v>
      </c>
      <c r="S5" s="36" t="n">
        <v>195</v>
      </c>
      <c r="T5" s="36" t="n">
        <v>176</v>
      </c>
      <c r="U5" s="36" t="n">
        <v>220.7</v>
      </c>
      <c r="V5" s="36" t="n">
        <v>221.62</v>
      </c>
      <c r="W5" s="36" t="n">
        <v>218.34</v>
      </c>
      <c r="X5" s="36" t="n">
        <v>177.63</v>
      </c>
      <c r="Y5" s="28" t="n">
        <v>297.39</v>
      </c>
      <c r="Z5" s="36" t="n">
        <v>235.32</v>
      </c>
      <c r="AA5" s="36" t="n">
        <v>323.53</v>
      </c>
      <c r="AB5" s="36" t="n">
        <v>225.25</v>
      </c>
      <c r="AC5" s="36" t="n">
        <v>181.95</v>
      </c>
      <c r="AD5" s="36" t="n">
        <v>494.48</v>
      </c>
      <c r="AE5" s="36" t="n">
        <v>190.12</v>
      </c>
      <c r="AF5" s="28" t="n">
        <v>338.91</v>
      </c>
      <c r="AG5" s="36" t="n">
        <v>247.13</v>
      </c>
      <c r="AH5" s="37" t="n">
        <v>261.12</v>
      </c>
      <c r="AI5" s="37" t="n">
        <v>220.7</v>
      </c>
      <c r="AJ5" s="37" t="n">
        <v>221.62</v>
      </c>
      <c r="AK5" s="37" t="n">
        <v>294.63</v>
      </c>
      <c r="AL5" s="37" t="n">
        <v>318.81</v>
      </c>
      <c r="AM5" s="37" t="n">
        <v>297.39</v>
      </c>
      <c r="AN5" s="37" t="n">
        <v>235.32</v>
      </c>
      <c r="AO5" s="37" t="n">
        <v>261.12</v>
      </c>
      <c r="AP5" s="37" t="n">
        <v>275.57</v>
      </c>
      <c r="AQ5" s="37" t="n">
        <v>177.8</v>
      </c>
      <c r="AR5" s="37" t="n">
        <v>218.34</v>
      </c>
      <c r="AS5" s="37" t="n">
        <v>177.63</v>
      </c>
      <c r="AT5" s="37" t="n">
        <v>297.39</v>
      </c>
      <c r="AU5" s="37" t="n">
        <v>240.16</v>
      </c>
      <c r="AV5" s="37" t="n">
        <v>266.07</v>
      </c>
      <c r="AW5" s="37" t="n">
        <v>220.7</v>
      </c>
      <c r="AX5" s="37" t="n">
        <v>221.62</v>
      </c>
      <c r="AY5" s="37" t="n">
        <v>218.34</v>
      </c>
      <c r="AZ5" s="37" t="n">
        <v>177.63</v>
      </c>
      <c r="BA5" s="37" t="n">
        <v>229.22</v>
      </c>
      <c r="BB5" s="37" t="n">
        <v>199.74</v>
      </c>
      <c r="BC5" s="37" t="n">
        <v>101.86</v>
      </c>
      <c r="BD5" s="37" t="n">
        <v>180.57</v>
      </c>
      <c r="BE5" s="37" t="n">
        <v>211.2</v>
      </c>
      <c r="BF5" s="37" t="n">
        <v>208.03</v>
      </c>
      <c r="BG5" s="37" t="n">
        <v>172.5</v>
      </c>
      <c r="BH5" s="37" t="n">
        <v>283.06</v>
      </c>
      <c r="BI5" s="37" t="n">
        <v>183.68</v>
      </c>
      <c r="BJ5" s="37" t="n">
        <v>701.88</v>
      </c>
      <c r="BK5" s="37" t="n">
        <v>225.02</v>
      </c>
      <c r="BL5" s="37" t="n">
        <v>221.62</v>
      </c>
      <c r="BM5" s="37" t="n">
        <v>208.03</v>
      </c>
      <c r="BN5" s="37" t="n">
        <v>169.17</v>
      </c>
      <c r="BO5" s="37" t="n">
        <v>283.06</v>
      </c>
      <c r="BP5" s="37" t="n">
        <v>302.57</v>
      </c>
      <c r="BQ5" s="37" t="n">
        <v>446.35</v>
      </c>
      <c r="BR5" s="37" t="n">
        <v>210.28</v>
      </c>
      <c r="BS5" s="37" t="n">
        <v>211.2</v>
      </c>
      <c r="BT5" s="37" t="n">
        <v>208.03</v>
      </c>
      <c r="BU5" s="37" t="n">
        <v>211.43</v>
      </c>
      <c r="BV5" s="37" t="n">
        <v>226.92</v>
      </c>
      <c r="BW5" s="37" t="n">
        <v>224.21</v>
      </c>
      <c r="BX5" s="37" t="n">
        <v>248.85</v>
      </c>
      <c r="BY5" s="37" t="n">
        <v>210.28</v>
      </c>
      <c r="BZ5" s="37" t="n">
        <v>215.4</v>
      </c>
      <c r="CA5" s="37" t="n">
        <v>212.23</v>
      </c>
      <c r="CB5" s="37" t="n">
        <v>169.17</v>
      </c>
      <c r="CC5" s="37" t="n">
        <v>17965.89</v>
      </c>
    </row>
    <row r="6" ht="15.75" customHeight="1" s="57">
      <c r="A6" s="7" t="inlineStr">
        <is>
          <t>NTB</t>
        </is>
      </c>
      <c r="B6" s="7" t="inlineStr">
        <is>
          <t>Bình Thuận</t>
        </is>
      </c>
      <c r="C6" s="7" t="n">
        <v>2357</v>
      </c>
      <c r="D6" s="7" t="inlineStr">
        <is>
          <t>(BTH) Đồng Kho</t>
        </is>
      </c>
      <c r="E6" s="7" t="inlineStr">
        <is>
          <t>Shopee-Bulky</t>
        </is>
      </c>
      <c r="F6" s="36" t="n">
        <v>30.66</v>
      </c>
      <c r="G6" s="36" t="n">
        <v>41.99</v>
      </c>
      <c r="H6" s="36" t="n">
        <v>40.65</v>
      </c>
      <c r="I6" s="36" t="n">
        <v>37.99</v>
      </c>
      <c r="J6" s="36" t="n">
        <v>31.99</v>
      </c>
      <c r="K6" s="28" t="n">
        <v>18.66</v>
      </c>
      <c r="L6" s="36" t="n">
        <v>27.32</v>
      </c>
      <c r="M6" s="36" t="n">
        <v>35.99</v>
      </c>
      <c r="N6" s="36" t="n">
        <v>35.99</v>
      </c>
      <c r="O6" s="36" t="n">
        <v>30.66</v>
      </c>
      <c r="P6" s="36" t="n">
        <v>21.99</v>
      </c>
      <c r="Q6" s="36" t="n">
        <v>25.99</v>
      </c>
      <c r="R6" s="28" t="n">
        <v>34.66</v>
      </c>
      <c r="S6" s="36" t="n">
        <v>31.32</v>
      </c>
      <c r="T6" s="36" t="n">
        <v>42.65</v>
      </c>
      <c r="U6" s="36" t="n">
        <v>30.52</v>
      </c>
      <c r="V6" s="36" t="n">
        <v>29.49</v>
      </c>
      <c r="W6" s="36" t="n">
        <v>41.14</v>
      </c>
      <c r="X6" s="36" t="n">
        <v>23.48</v>
      </c>
      <c r="Y6" s="28" t="n">
        <v>45.01</v>
      </c>
      <c r="Z6" s="36" t="n">
        <v>35.49</v>
      </c>
      <c r="AA6" s="36" t="n">
        <v>34.39</v>
      </c>
      <c r="AB6" s="36" t="n">
        <v>35.08</v>
      </c>
      <c r="AC6" s="36" t="n">
        <v>36.24</v>
      </c>
      <c r="AD6" s="36" t="n">
        <v>113.44</v>
      </c>
      <c r="AE6" s="36" t="n">
        <v>59.2</v>
      </c>
      <c r="AF6" s="28" t="n">
        <v>88.11</v>
      </c>
      <c r="AG6" s="36" t="n">
        <v>50.55</v>
      </c>
      <c r="AH6" s="37" t="n">
        <v>35.2</v>
      </c>
      <c r="AI6" s="37" t="n">
        <v>34.62</v>
      </c>
      <c r="AJ6" s="37" t="n">
        <v>33.06</v>
      </c>
      <c r="AK6" s="37" t="n">
        <v>75.13</v>
      </c>
      <c r="AL6" s="37" t="n">
        <v>38.43</v>
      </c>
      <c r="AM6" s="37" t="n">
        <v>55.68</v>
      </c>
      <c r="AN6" s="37" t="n">
        <v>34.85</v>
      </c>
      <c r="AO6" s="37" t="n">
        <v>33.7</v>
      </c>
      <c r="AP6" s="37" t="n">
        <v>45.99</v>
      </c>
      <c r="AQ6" s="37" t="n">
        <v>46.16</v>
      </c>
      <c r="AR6" s="37" t="n">
        <v>37.39</v>
      </c>
      <c r="AS6" s="37" t="n">
        <v>20.72</v>
      </c>
      <c r="AT6" s="37" t="n">
        <v>41.37</v>
      </c>
      <c r="AU6" s="37" t="n">
        <v>67.22</v>
      </c>
      <c r="AV6" s="37" t="n">
        <v>71.15000000000001</v>
      </c>
      <c r="AW6" s="37" t="n">
        <v>34.1</v>
      </c>
      <c r="AX6" s="37" t="n">
        <v>31.85</v>
      </c>
      <c r="AY6" s="37" t="n">
        <v>35.95</v>
      </c>
      <c r="AZ6" s="37" t="n">
        <v>19.85</v>
      </c>
      <c r="BA6" s="37" t="n">
        <v>37.97</v>
      </c>
      <c r="BB6" s="37" t="n">
        <v>35.2</v>
      </c>
      <c r="BC6" s="37" t="n">
        <v>11.66</v>
      </c>
      <c r="BD6" s="37" t="n">
        <v>29.83</v>
      </c>
      <c r="BE6" s="37" t="n">
        <v>36.7</v>
      </c>
      <c r="BF6" s="37" t="n">
        <v>32.2</v>
      </c>
      <c r="BG6" s="37" t="n">
        <v>26.77</v>
      </c>
      <c r="BH6" s="37" t="n">
        <v>48.41</v>
      </c>
      <c r="BI6" s="37" t="n">
        <v>41.31</v>
      </c>
      <c r="BJ6" s="37" t="n">
        <v>178.65</v>
      </c>
      <c r="BK6" s="37" t="n">
        <v>87.13</v>
      </c>
      <c r="BL6" s="37" t="n">
        <v>45.64</v>
      </c>
      <c r="BM6" s="37" t="n">
        <v>33.76</v>
      </c>
      <c r="BN6" s="37" t="n">
        <v>25.91</v>
      </c>
      <c r="BO6" s="37" t="n">
        <v>55.39</v>
      </c>
      <c r="BP6" s="37" t="n">
        <v>81.70999999999999</v>
      </c>
      <c r="BQ6" s="37" t="n">
        <v>58.51</v>
      </c>
      <c r="BR6" s="37" t="n">
        <v>38.95</v>
      </c>
      <c r="BS6" s="37" t="n">
        <v>36.7</v>
      </c>
      <c r="BT6" s="37" t="n">
        <v>32.2</v>
      </c>
      <c r="BU6" s="37" t="n">
        <v>37.45</v>
      </c>
      <c r="BV6" s="37" t="n">
        <v>50.95</v>
      </c>
      <c r="BW6" s="37" t="n">
        <v>41.31</v>
      </c>
      <c r="BX6" s="37" t="n">
        <v>39.58</v>
      </c>
      <c r="BY6" s="37" t="n">
        <v>38.95</v>
      </c>
      <c r="BZ6" s="37" t="n">
        <v>66.01000000000001</v>
      </c>
      <c r="CA6" s="37" t="n">
        <v>38.6</v>
      </c>
      <c r="CB6" s="37" t="n">
        <v>25.68</v>
      </c>
      <c r="CC6" s="37" t="n">
        <v>3216.199999999998</v>
      </c>
    </row>
    <row r="7" ht="15.75" customHeight="1" s="57">
      <c r="A7" s="7" t="inlineStr">
        <is>
          <t>NTB</t>
        </is>
      </c>
      <c r="B7" s="7" t="inlineStr">
        <is>
          <t>Bình Thuận</t>
        </is>
      </c>
      <c r="C7" s="7" t="n">
        <v>2357</v>
      </c>
      <c r="D7" s="7" t="inlineStr">
        <is>
          <t>(BTH) Đồng Kho</t>
        </is>
      </c>
      <c r="E7" s="7" t="inlineStr">
        <is>
          <t>Shopee-Bulky (10-15kg)</t>
        </is>
      </c>
      <c r="F7" s="36" t="n">
        <v>15.34</v>
      </c>
      <c r="G7" s="36" t="n">
        <v>21.01</v>
      </c>
      <c r="H7" s="36" t="n">
        <v>20.35</v>
      </c>
      <c r="I7" s="36" t="n">
        <v>19.01</v>
      </c>
      <c r="J7" s="36" t="n">
        <v>16.01</v>
      </c>
      <c r="K7" s="28" t="n">
        <v>9.34</v>
      </c>
      <c r="L7" s="36" t="n">
        <v>13.68</v>
      </c>
      <c r="M7" s="36" t="n">
        <v>18.01</v>
      </c>
      <c r="N7" s="36" t="n">
        <v>18.01</v>
      </c>
      <c r="O7" s="36" t="n">
        <v>15.34</v>
      </c>
      <c r="P7" s="36" t="n">
        <v>11.01</v>
      </c>
      <c r="Q7" s="36" t="n">
        <v>13.01</v>
      </c>
      <c r="R7" s="28" t="n">
        <v>17.34</v>
      </c>
      <c r="S7" s="36" t="n">
        <v>15.68</v>
      </c>
      <c r="T7" s="36" t="n">
        <v>21.35</v>
      </c>
      <c r="U7" s="36" t="n">
        <v>15.75</v>
      </c>
      <c r="V7" s="36" t="n">
        <v>15.29</v>
      </c>
      <c r="W7" s="36" t="n">
        <v>20.6</v>
      </c>
      <c r="X7" s="36" t="n">
        <v>11.19</v>
      </c>
      <c r="Y7" s="28" t="n">
        <v>22.27</v>
      </c>
      <c r="Z7" s="36" t="n">
        <v>17.54</v>
      </c>
      <c r="AA7" s="36" t="n">
        <v>17.08</v>
      </c>
      <c r="AB7" s="36" t="n">
        <v>17.37</v>
      </c>
      <c r="AC7" s="36" t="n">
        <v>18</v>
      </c>
      <c r="AD7" s="36" t="n">
        <v>73.45999999999999</v>
      </c>
      <c r="AE7" s="36" t="n">
        <v>29.43</v>
      </c>
      <c r="AF7" s="28" t="n">
        <v>41.37</v>
      </c>
      <c r="AG7" s="36" t="n">
        <v>25.1</v>
      </c>
      <c r="AH7" s="37" t="n">
        <v>17.31</v>
      </c>
      <c r="AI7" s="37" t="n">
        <v>16.73</v>
      </c>
      <c r="AJ7" s="37" t="n">
        <v>16.39</v>
      </c>
      <c r="AK7" s="37" t="n">
        <v>38.31</v>
      </c>
      <c r="AL7" s="37" t="n">
        <v>18.7</v>
      </c>
      <c r="AM7" s="37" t="n">
        <v>27.18</v>
      </c>
      <c r="AN7" s="37" t="n">
        <v>17.31</v>
      </c>
      <c r="AO7" s="37" t="n">
        <v>16.5</v>
      </c>
      <c r="AP7" s="37" t="n">
        <v>22.33</v>
      </c>
      <c r="AQ7" s="37" t="n">
        <v>22.39</v>
      </c>
      <c r="AR7" s="37" t="n">
        <v>18.58</v>
      </c>
      <c r="AS7" s="37" t="n">
        <v>9.92</v>
      </c>
      <c r="AT7" s="37" t="n">
        <v>20.14</v>
      </c>
      <c r="AU7" s="37" t="n">
        <v>34.45</v>
      </c>
      <c r="AV7" s="37" t="n">
        <v>34.45</v>
      </c>
      <c r="AW7" s="37" t="n">
        <v>16.56</v>
      </c>
      <c r="AX7" s="37" t="n">
        <v>15.58</v>
      </c>
      <c r="AY7" s="37" t="n">
        <v>17.77</v>
      </c>
      <c r="AZ7" s="37" t="n">
        <v>9.52</v>
      </c>
      <c r="BA7" s="37" t="n">
        <v>18.46</v>
      </c>
      <c r="BB7" s="37" t="n">
        <v>17.66</v>
      </c>
      <c r="BC7" s="37" t="n">
        <v>6.12</v>
      </c>
      <c r="BD7" s="37" t="n">
        <v>15.06</v>
      </c>
      <c r="BE7" s="37" t="n">
        <v>18.23</v>
      </c>
      <c r="BF7" s="37" t="n">
        <v>16.33</v>
      </c>
      <c r="BG7" s="37" t="n">
        <v>13.04</v>
      </c>
      <c r="BH7" s="37" t="n">
        <v>23.95</v>
      </c>
      <c r="BI7" s="37" t="n">
        <v>20.6</v>
      </c>
      <c r="BJ7" s="37" t="n">
        <v>101.73</v>
      </c>
      <c r="BK7" s="37" t="n">
        <v>43.39</v>
      </c>
      <c r="BL7" s="37" t="n">
        <v>22.16</v>
      </c>
      <c r="BM7" s="37" t="n">
        <v>16.96</v>
      </c>
      <c r="BN7" s="37" t="n">
        <v>13.04</v>
      </c>
      <c r="BO7" s="37" t="n">
        <v>28.5</v>
      </c>
      <c r="BP7" s="37" t="n">
        <v>40.91</v>
      </c>
      <c r="BQ7" s="37" t="n">
        <v>30.01</v>
      </c>
      <c r="BR7" s="37" t="n">
        <v>19.33</v>
      </c>
      <c r="BS7" s="37" t="n">
        <v>18.23</v>
      </c>
      <c r="BT7" s="37" t="n">
        <v>16.33</v>
      </c>
      <c r="BU7" s="37" t="n">
        <v>18.46</v>
      </c>
      <c r="BV7" s="37" t="n">
        <v>26.02</v>
      </c>
      <c r="BW7" s="37" t="n">
        <v>20.6</v>
      </c>
      <c r="BX7" s="37" t="n">
        <v>19.68</v>
      </c>
      <c r="BY7" s="37" t="n">
        <v>19.33</v>
      </c>
      <c r="BZ7" s="37" t="n">
        <v>33.18</v>
      </c>
      <c r="CA7" s="37" t="n">
        <v>19.27</v>
      </c>
      <c r="CB7" s="37" t="n">
        <v>12.35</v>
      </c>
      <c r="CC7" s="37" t="n">
        <v>1627.99</v>
      </c>
    </row>
    <row r="8" ht="15.75" customHeight="1" s="57">
      <c r="A8" s="7" t="inlineStr">
        <is>
          <t>NTB</t>
        </is>
      </c>
      <c r="B8" s="7" t="inlineStr">
        <is>
          <t>Bình Thuận</t>
        </is>
      </c>
      <c r="C8" s="7" t="n">
        <v>2357</v>
      </c>
      <c r="D8" s="7" t="inlineStr">
        <is>
          <t>(BTH) Đồng Kho</t>
        </is>
      </c>
      <c r="E8" s="7" t="inlineStr">
        <is>
          <t>TTS</t>
        </is>
      </c>
      <c r="F8" s="36" t="n">
        <v>224</v>
      </c>
      <c r="G8" s="36" t="n">
        <v>250</v>
      </c>
      <c r="H8" s="36" t="n">
        <v>211</v>
      </c>
      <c r="I8" s="36" t="n">
        <v>227</v>
      </c>
      <c r="J8" s="36" t="n">
        <v>226</v>
      </c>
      <c r="K8" s="28" t="n">
        <v>191</v>
      </c>
      <c r="L8" s="36" t="n">
        <v>219</v>
      </c>
      <c r="M8" s="36" t="n">
        <v>213</v>
      </c>
      <c r="N8" s="36" t="n">
        <v>216</v>
      </c>
      <c r="O8" s="36" t="n">
        <v>225</v>
      </c>
      <c r="P8" s="36" t="n">
        <v>205</v>
      </c>
      <c r="Q8" s="36" t="n">
        <v>184</v>
      </c>
      <c r="R8" s="28" t="n">
        <v>215</v>
      </c>
      <c r="S8" s="36" t="n">
        <v>200</v>
      </c>
      <c r="T8" s="36" t="n">
        <v>228</v>
      </c>
      <c r="U8" s="36" t="n">
        <v>167.5</v>
      </c>
      <c r="V8" s="36" t="n">
        <v>164.22</v>
      </c>
      <c r="W8" s="36" t="n">
        <v>160.37</v>
      </c>
      <c r="X8" s="36" t="n">
        <v>129.15</v>
      </c>
      <c r="Y8" s="28" t="n">
        <v>188.4</v>
      </c>
      <c r="Z8" s="36" t="n">
        <v>160.16</v>
      </c>
      <c r="AA8" s="36" t="n">
        <v>177.31</v>
      </c>
      <c r="AB8" s="36" t="n">
        <v>197.79</v>
      </c>
      <c r="AC8" s="36" t="n">
        <v>208.02</v>
      </c>
      <c r="AD8" s="36" t="n">
        <v>214.38</v>
      </c>
      <c r="AE8" s="36" t="n">
        <v>150.04</v>
      </c>
      <c r="AF8" s="28" t="n">
        <v>194.64</v>
      </c>
      <c r="AG8" s="36" t="n">
        <v>163.1</v>
      </c>
      <c r="AH8" s="37" t="n">
        <v>161.56</v>
      </c>
      <c r="AI8" s="37" t="n">
        <v>185.03</v>
      </c>
      <c r="AJ8" s="37" t="n">
        <v>199.12</v>
      </c>
      <c r="AK8" s="37" t="n">
        <v>195.61</v>
      </c>
      <c r="AL8" s="37" t="n">
        <v>138.96</v>
      </c>
      <c r="AM8" s="37" t="n">
        <v>191.63</v>
      </c>
      <c r="AN8" s="37" t="n">
        <v>165.22</v>
      </c>
      <c r="AO8" s="37" t="n">
        <v>164.2</v>
      </c>
      <c r="AP8" s="37" t="n">
        <v>159.38</v>
      </c>
      <c r="AQ8" s="37" t="n">
        <v>161.21</v>
      </c>
      <c r="AR8" s="37" t="n">
        <v>158.05</v>
      </c>
      <c r="AS8" s="37" t="n">
        <v>129.43</v>
      </c>
      <c r="AT8" s="37" t="n">
        <v>207.16</v>
      </c>
      <c r="AU8" s="37" t="n">
        <v>187.41</v>
      </c>
      <c r="AV8" s="37" t="n">
        <v>166.38</v>
      </c>
      <c r="AW8" s="37" t="n">
        <v>157.63</v>
      </c>
      <c r="AX8" s="37" t="n">
        <v>156.58</v>
      </c>
      <c r="AY8" s="37" t="n">
        <v>156.09</v>
      </c>
      <c r="AZ8" s="37" t="n">
        <v>129.57</v>
      </c>
      <c r="BA8" s="37" t="n">
        <v>186.86</v>
      </c>
      <c r="BB8" s="37" t="n">
        <v>174.3</v>
      </c>
      <c r="BC8" s="37" t="n">
        <v>103.83</v>
      </c>
      <c r="BD8" s="37" t="n">
        <v>150.41</v>
      </c>
      <c r="BE8" s="37" t="n">
        <v>177.66</v>
      </c>
      <c r="BF8" s="37" t="n">
        <v>172.2</v>
      </c>
      <c r="BG8" s="37" t="n">
        <v>139.24</v>
      </c>
      <c r="BH8" s="37" t="n">
        <v>207.02</v>
      </c>
      <c r="BI8" s="37" t="n">
        <v>174.3</v>
      </c>
      <c r="BJ8" s="37" t="n">
        <v>162.92</v>
      </c>
      <c r="BK8" s="37" t="n">
        <v>177.31</v>
      </c>
      <c r="BL8" s="37" t="n">
        <v>177.66</v>
      </c>
      <c r="BM8" s="37" t="n">
        <v>172.2</v>
      </c>
      <c r="BN8" s="37" t="n">
        <v>139.24</v>
      </c>
      <c r="BO8" s="37" t="n">
        <v>207.02</v>
      </c>
      <c r="BP8" s="37" t="n">
        <v>174.3</v>
      </c>
      <c r="BQ8" s="37" t="n">
        <v>172.41</v>
      </c>
      <c r="BR8" s="37" t="n">
        <v>177.31</v>
      </c>
      <c r="BS8" s="37" t="n">
        <v>177.66</v>
      </c>
      <c r="BT8" s="37" t="n">
        <v>172.2</v>
      </c>
      <c r="BU8" s="37" t="n">
        <v>139.24</v>
      </c>
      <c r="BV8" s="37" t="n">
        <v>207.02</v>
      </c>
      <c r="BW8" s="37" t="n">
        <v>174.3</v>
      </c>
      <c r="BX8" s="37" t="n">
        <v>172.41</v>
      </c>
      <c r="BY8" s="37" t="n">
        <v>177.31</v>
      </c>
      <c r="BZ8" s="37" t="n">
        <v>177.66</v>
      </c>
      <c r="CA8" s="37" t="n">
        <v>172.2</v>
      </c>
      <c r="CB8" s="37" t="n">
        <v>139.24</v>
      </c>
      <c r="CC8" s="37" t="n">
        <v>13434.73</v>
      </c>
    </row>
    <row r="9" ht="15.75" customHeight="1" s="57">
      <c r="A9" s="7" t="inlineStr">
        <is>
          <t>NTB</t>
        </is>
      </c>
      <c r="B9" s="7" t="inlineStr">
        <is>
          <t>Bình Thuận</t>
        </is>
      </c>
      <c r="C9" s="7" t="n">
        <v>2357</v>
      </c>
      <c r="D9" s="7" t="inlineStr">
        <is>
          <t>(BTH) Đồng Kho</t>
        </is>
      </c>
      <c r="E9" s="7" t="inlineStr">
        <is>
          <t>TTS-Bulky</t>
        </is>
      </c>
      <c r="F9" s="36" t="n">
        <v>5</v>
      </c>
      <c r="G9" s="36" t="n">
        <v>1</v>
      </c>
      <c r="H9" s="36" t="n">
        <v>6</v>
      </c>
      <c r="I9" s="36" t="n">
        <v>8</v>
      </c>
      <c r="J9" s="36" t="n">
        <v>3</v>
      </c>
      <c r="K9" s="28" t="n">
        <v>3</v>
      </c>
      <c r="L9" s="36" t="n">
        <v>6</v>
      </c>
      <c r="M9" s="36" t="n">
        <v>0</v>
      </c>
      <c r="N9" s="36" t="n">
        <v>1</v>
      </c>
      <c r="O9" s="36" t="n">
        <v>0</v>
      </c>
      <c r="P9" s="36" t="n">
        <v>4</v>
      </c>
      <c r="Q9" s="36" t="n">
        <v>0</v>
      </c>
      <c r="R9" s="28" t="n">
        <v>3</v>
      </c>
      <c r="S9" s="36" t="n">
        <v>3</v>
      </c>
      <c r="T9" s="36" t="n">
        <v>1</v>
      </c>
      <c r="U9" s="36" t="n">
        <v>11.21</v>
      </c>
      <c r="V9" s="36" t="n">
        <v>11.67</v>
      </c>
      <c r="W9" s="36" t="n">
        <v>5.74</v>
      </c>
      <c r="X9" s="36" t="n">
        <v>3.28</v>
      </c>
      <c r="Y9" s="28" t="n">
        <v>7.93</v>
      </c>
      <c r="Z9" s="36" t="n">
        <v>6.02</v>
      </c>
      <c r="AA9" s="36" t="n">
        <v>5.65</v>
      </c>
      <c r="AB9" s="36" t="n">
        <v>6.02</v>
      </c>
      <c r="AC9" s="36" t="n">
        <v>6.75</v>
      </c>
      <c r="AD9" s="36" t="n">
        <v>7.29</v>
      </c>
      <c r="AE9" s="36" t="n">
        <v>3.74</v>
      </c>
      <c r="AF9" s="28" t="n">
        <v>7.38</v>
      </c>
      <c r="AG9" s="36" t="n">
        <v>5.56</v>
      </c>
      <c r="AH9" s="37" t="n">
        <v>5.38</v>
      </c>
      <c r="AI9" s="37" t="n">
        <v>6.29</v>
      </c>
      <c r="AJ9" s="37" t="n">
        <v>6.38</v>
      </c>
      <c r="AK9" s="37" t="n">
        <v>6.2</v>
      </c>
      <c r="AL9" s="37" t="n">
        <v>3.28</v>
      </c>
      <c r="AM9" s="37" t="n">
        <v>7.38</v>
      </c>
      <c r="AN9" s="37" t="n">
        <v>5.47</v>
      </c>
      <c r="AO9" s="37" t="n">
        <v>5.56</v>
      </c>
      <c r="AP9" s="37" t="n">
        <v>5.56</v>
      </c>
      <c r="AQ9" s="37" t="n">
        <v>5.83</v>
      </c>
      <c r="AR9" s="37" t="n">
        <v>5.65</v>
      </c>
      <c r="AS9" s="37" t="n">
        <v>3.28</v>
      </c>
      <c r="AT9" s="37" t="n">
        <v>7.93</v>
      </c>
      <c r="AU9" s="37" t="n">
        <v>6.2</v>
      </c>
      <c r="AV9" s="37" t="n">
        <v>5.38</v>
      </c>
      <c r="AW9" s="37" t="n">
        <v>5.47</v>
      </c>
      <c r="AX9" s="37" t="n">
        <v>5.74</v>
      </c>
      <c r="AY9" s="37" t="n">
        <v>5.65</v>
      </c>
      <c r="AZ9" s="37" t="n">
        <v>3.28</v>
      </c>
      <c r="BA9" s="37" t="n">
        <v>6.56</v>
      </c>
      <c r="BB9" s="37" t="n">
        <v>1.55</v>
      </c>
      <c r="BC9" s="37" t="n">
        <v>0.73</v>
      </c>
      <c r="BD9" s="37" t="n">
        <v>1.28</v>
      </c>
      <c r="BE9" s="37" t="n">
        <v>1.55</v>
      </c>
      <c r="BF9" s="37" t="n">
        <v>1.55</v>
      </c>
      <c r="BG9" s="37" t="n">
        <v>0.91</v>
      </c>
      <c r="BH9" s="37" t="n">
        <v>2.37</v>
      </c>
      <c r="BI9" s="37" t="n">
        <v>1.55</v>
      </c>
      <c r="BJ9" s="37" t="n">
        <v>1.73</v>
      </c>
      <c r="BK9" s="37" t="n">
        <v>1.55</v>
      </c>
      <c r="BL9" s="37" t="n">
        <v>1.55</v>
      </c>
      <c r="BM9" s="37" t="n">
        <v>1.55</v>
      </c>
      <c r="BN9" s="37" t="n">
        <v>1</v>
      </c>
      <c r="BO9" s="37" t="n">
        <v>2.46</v>
      </c>
      <c r="BP9" s="37" t="n">
        <v>2.01</v>
      </c>
      <c r="BQ9" s="37" t="n">
        <v>1.55</v>
      </c>
      <c r="BR9" s="37" t="n">
        <v>1.55</v>
      </c>
      <c r="BS9" s="37" t="n">
        <v>1.55</v>
      </c>
      <c r="BT9" s="37" t="n">
        <v>1.55</v>
      </c>
      <c r="BU9" s="37" t="n">
        <v>0.82</v>
      </c>
      <c r="BV9" s="37" t="n">
        <v>2.01</v>
      </c>
      <c r="BW9" s="37" t="n">
        <v>1.55</v>
      </c>
      <c r="BX9" s="37" t="n">
        <v>1.55</v>
      </c>
      <c r="BY9" s="37" t="n">
        <v>1.55</v>
      </c>
      <c r="BZ9" s="37" t="n">
        <v>1.55</v>
      </c>
      <c r="CA9" s="37" t="n">
        <v>1.55</v>
      </c>
      <c r="CB9" s="37" t="n">
        <v>0.82</v>
      </c>
      <c r="CC9" s="37" t="n">
        <v>285.6500000000001</v>
      </c>
    </row>
    <row r="10" ht="15.75" customHeight="1" s="57">
      <c r="A10" s="7" t="inlineStr">
        <is>
          <t>NTB</t>
        </is>
      </c>
      <c r="B10" s="7" t="inlineStr">
        <is>
          <t>Bình Thuận</t>
        </is>
      </c>
      <c r="C10" s="7" t="n">
        <v>20144000</v>
      </c>
      <c r="D10" s="7" t="inlineStr">
        <is>
          <t>(BTH) Mũi Né</t>
        </is>
      </c>
      <c r="E10" s="7" t="inlineStr">
        <is>
          <t>SME</t>
        </is>
      </c>
      <c r="F10" s="36" t="n">
        <v>220</v>
      </c>
      <c r="G10" s="36" t="n">
        <v>191</v>
      </c>
      <c r="H10" s="36" t="n">
        <v>221</v>
      </c>
      <c r="I10" s="36" t="n">
        <v>215</v>
      </c>
      <c r="J10" s="36" t="n">
        <v>233</v>
      </c>
      <c r="K10" s="28" t="n">
        <v>159</v>
      </c>
      <c r="L10" s="36" t="n">
        <v>154</v>
      </c>
      <c r="M10" s="36" t="n">
        <v>166</v>
      </c>
      <c r="N10" s="36" t="n">
        <v>186</v>
      </c>
      <c r="O10" s="36" t="n">
        <v>185</v>
      </c>
      <c r="P10" s="36" t="n">
        <v>163</v>
      </c>
      <c r="Q10" s="36" t="n">
        <v>174</v>
      </c>
      <c r="R10" s="28" t="n">
        <v>149</v>
      </c>
      <c r="S10" s="36" t="n">
        <v>145</v>
      </c>
      <c r="T10" s="36" t="n">
        <v>177</v>
      </c>
      <c r="U10" s="36" t="n">
        <v>199.11</v>
      </c>
      <c r="V10" s="36" t="n">
        <v>206.07</v>
      </c>
      <c r="W10" s="36" t="n">
        <v>200.4</v>
      </c>
      <c r="X10" s="36" t="n">
        <v>163.97</v>
      </c>
      <c r="Y10" s="28" t="n">
        <v>222.14</v>
      </c>
      <c r="Z10" s="36" t="n">
        <v>204.5</v>
      </c>
      <c r="AA10" s="36" t="n">
        <v>199.69</v>
      </c>
      <c r="AB10" s="36" t="n">
        <v>199.11</v>
      </c>
      <c r="AC10" s="36" t="n">
        <v>206.07</v>
      </c>
      <c r="AD10" s="36" t="n">
        <v>209.7</v>
      </c>
      <c r="AE10" s="36" t="n">
        <v>163.97</v>
      </c>
      <c r="AF10" s="28" t="n">
        <v>222.14</v>
      </c>
      <c r="AG10" s="36" t="n">
        <v>204.5</v>
      </c>
      <c r="AH10" s="37" t="n">
        <v>199.69</v>
      </c>
      <c r="AI10" s="37" t="n">
        <v>199.11</v>
      </c>
      <c r="AJ10" s="37" t="n">
        <v>206.07</v>
      </c>
      <c r="AK10" s="37" t="n">
        <v>200.4</v>
      </c>
      <c r="AL10" s="37" t="n">
        <v>163.97</v>
      </c>
      <c r="AM10" s="37" t="n">
        <v>222.14</v>
      </c>
      <c r="AN10" s="37" t="n">
        <v>204.5</v>
      </c>
      <c r="AO10" s="37" t="n">
        <v>199.69</v>
      </c>
      <c r="AP10" s="37" t="n">
        <v>199.11</v>
      </c>
      <c r="AQ10" s="37" t="n">
        <v>206.07</v>
      </c>
      <c r="AR10" s="37" t="n">
        <v>200.4</v>
      </c>
      <c r="AS10" s="37" t="n">
        <v>163.97</v>
      </c>
      <c r="AT10" s="37" t="n">
        <v>222.14</v>
      </c>
      <c r="AU10" s="37" t="n">
        <v>204.5</v>
      </c>
      <c r="AV10" s="37" t="n">
        <v>199.69</v>
      </c>
      <c r="AW10" s="37" t="n">
        <v>199.11</v>
      </c>
      <c r="AX10" s="37" t="n">
        <v>206.07</v>
      </c>
      <c r="AY10" s="37" t="n">
        <v>200.4</v>
      </c>
      <c r="AZ10" s="37" t="n">
        <v>163.97</v>
      </c>
      <c r="BA10" s="37" t="n">
        <v>199.96</v>
      </c>
      <c r="BB10" s="37" t="n">
        <v>178.95</v>
      </c>
      <c r="BC10" s="37" t="n">
        <v>113.38</v>
      </c>
      <c r="BD10" s="37" t="n">
        <v>113</v>
      </c>
      <c r="BE10" s="37" t="n">
        <v>190.85</v>
      </c>
      <c r="BF10" s="37" t="n">
        <v>185.71</v>
      </c>
      <c r="BG10" s="37" t="n">
        <v>169.09</v>
      </c>
      <c r="BH10" s="37" t="n">
        <v>229.16</v>
      </c>
      <c r="BI10" s="37" t="n">
        <v>210.92</v>
      </c>
      <c r="BJ10" s="37" t="n">
        <v>215.2</v>
      </c>
      <c r="BK10" s="37" t="n">
        <v>205.2</v>
      </c>
      <c r="BL10" s="37" t="n">
        <v>212.58</v>
      </c>
      <c r="BM10" s="37" t="n">
        <v>206.48</v>
      </c>
      <c r="BN10" s="37" t="n">
        <v>169.09</v>
      </c>
      <c r="BO10" s="37" t="n">
        <v>229.16</v>
      </c>
      <c r="BP10" s="37" t="n">
        <v>210.92</v>
      </c>
      <c r="BQ10" s="37" t="n">
        <v>205.81</v>
      </c>
      <c r="BR10" s="37" t="n">
        <v>205.2</v>
      </c>
      <c r="BS10" s="37" t="n">
        <v>212.58</v>
      </c>
      <c r="BT10" s="37" t="n">
        <v>206.48</v>
      </c>
      <c r="BU10" s="37" t="n">
        <v>169.09</v>
      </c>
      <c r="BV10" s="37" t="n">
        <v>229.16</v>
      </c>
      <c r="BW10" s="37" t="n">
        <v>210.92</v>
      </c>
      <c r="BX10" s="37" t="n">
        <v>205.81</v>
      </c>
      <c r="BY10" s="37" t="n">
        <v>205.2</v>
      </c>
      <c r="BZ10" s="37" t="n">
        <v>212.58</v>
      </c>
      <c r="CA10" s="37" t="n">
        <v>206.48</v>
      </c>
      <c r="CB10" s="37" t="n">
        <v>169.09</v>
      </c>
      <c r="CC10" s="37" t="n">
        <v>14578.42</v>
      </c>
    </row>
    <row r="11" ht="15.75" customHeight="1" s="57">
      <c r="A11" s="7" t="inlineStr">
        <is>
          <t>NTB</t>
        </is>
      </c>
      <c r="B11" s="7" t="inlineStr">
        <is>
          <t>Bình Thuận</t>
        </is>
      </c>
      <c r="C11" s="7" t="n">
        <v>20144000</v>
      </c>
      <c r="D11" s="7" t="inlineStr">
        <is>
          <t>(BTH) Mũi Né</t>
        </is>
      </c>
      <c r="E11" s="7" t="inlineStr">
        <is>
          <t>SME-Bulky</t>
        </is>
      </c>
      <c r="F11" s="36" t="n">
        <v>4</v>
      </c>
      <c r="G11" s="36" t="n">
        <v>14</v>
      </c>
      <c r="H11" s="36" t="n">
        <v>9</v>
      </c>
      <c r="I11" s="36" t="n">
        <v>6</v>
      </c>
      <c r="J11" s="36" t="n">
        <v>10</v>
      </c>
      <c r="K11" s="28" t="n">
        <v>6</v>
      </c>
      <c r="L11" s="36" t="n">
        <v>8</v>
      </c>
      <c r="M11" s="36" t="n">
        <v>6</v>
      </c>
      <c r="N11" s="36" t="n">
        <v>7</v>
      </c>
      <c r="O11" s="36" t="n">
        <v>2</v>
      </c>
      <c r="P11" s="36" t="n">
        <v>8</v>
      </c>
      <c r="Q11" s="36" t="n">
        <v>2</v>
      </c>
      <c r="R11" s="28" t="n">
        <v>2</v>
      </c>
      <c r="S11" s="36" t="n">
        <v>10</v>
      </c>
      <c r="T11" s="36" t="n">
        <v>12</v>
      </c>
      <c r="U11" s="36" t="n">
        <v>6.42</v>
      </c>
      <c r="V11" s="36" t="n">
        <v>6.44</v>
      </c>
      <c r="W11" s="36" t="n">
        <v>5.97</v>
      </c>
      <c r="X11" s="36" t="n">
        <v>4.2</v>
      </c>
      <c r="Y11" s="28" t="n">
        <v>7.17</v>
      </c>
      <c r="Z11" s="36" t="n">
        <v>6.97</v>
      </c>
      <c r="AA11" s="36" t="n">
        <v>6.8</v>
      </c>
      <c r="AB11" s="36" t="n">
        <v>6.42</v>
      </c>
      <c r="AC11" s="36" t="n">
        <v>6.44</v>
      </c>
      <c r="AD11" s="36" t="n">
        <v>6.82</v>
      </c>
      <c r="AE11" s="36" t="n">
        <v>4.2</v>
      </c>
      <c r="AF11" s="28" t="n">
        <v>7.17</v>
      </c>
      <c r="AG11" s="36" t="n">
        <v>6.97</v>
      </c>
      <c r="AH11" s="37" t="n">
        <v>6.8</v>
      </c>
      <c r="AI11" s="37" t="n">
        <v>6.42</v>
      </c>
      <c r="AJ11" s="37" t="n">
        <v>6.44</v>
      </c>
      <c r="AK11" s="37" t="n">
        <v>5.97</v>
      </c>
      <c r="AL11" s="37" t="n">
        <v>4.2</v>
      </c>
      <c r="AM11" s="37" t="n">
        <v>7.17</v>
      </c>
      <c r="AN11" s="37" t="n">
        <v>6.97</v>
      </c>
      <c r="AO11" s="37" t="n">
        <v>6.8</v>
      </c>
      <c r="AP11" s="37" t="n">
        <v>6.42</v>
      </c>
      <c r="AQ11" s="37" t="n">
        <v>6.44</v>
      </c>
      <c r="AR11" s="37" t="n">
        <v>5.97</v>
      </c>
      <c r="AS11" s="37" t="n">
        <v>4.2</v>
      </c>
      <c r="AT11" s="37" t="n">
        <v>7.17</v>
      </c>
      <c r="AU11" s="37" t="n">
        <v>6.97</v>
      </c>
      <c r="AV11" s="37" t="n">
        <v>6.8</v>
      </c>
      <c r="AW11" s="37" t="n">
        <v>6.42</v>
      </c>
      <c r="AX11" s="37" t="n">
        <v>6.44</v>
      </c>
      <c r="AY11" s="37" t="n">
        <v>5.97</v>
      </c>
      <c r="AZ11" s="37" t="n">
        <v>4.2</v>
      </c>
      <c r="BA11" s="37" t="n">
        <v>7.2</v>
      </c>
      <c r="BB11" s="37" t="n">
        <v>3.78</v>
      </c>
      <c r="BC11" s="37" t="n">
        <v>2.02</v>
      </c>
      <c r="BD11" s="37" t="n">
        <v>1.82</v>
      </c>
      <c r="BE11" s="37" t="n">
        <v>3.29</v>
      </c>
      <c r="BF11" s="37" t="n">
        <v>3.15</v>
      </c>
      <c r="BG11" s="37" t="n">
        <v>2.47</v>
      </c>
      <c r="BH11" s="37" t="n">
        <v>4.18</v>
      </c>
      <c r="BI11" s="37" t="n">
        <v>4.18</v>
      </c>
      <c r="BJ11" s="37" t="n">
        <v>4.31</v>
      </c>
      <c r="BK11" s="37" t="n">
        <v>3.8</v>
      </c>
      <c r="BL11" s="37" t="n">
        <v>3.84</v>
      </c>
      <c r="BM11" s="37" t="n">
        <v>3.55</v>
      </c>
      <c r="BN11" s="37" t="n">
        <v>2.47</v>
      </c>
      <c r="BO11" s="37" t="n">
        <v>4.18</v>
      </c>
      <c r="BP11" s="37" t="n">
        <v>4.18</v>
      </c>
      <c r="BQ11" s="37" t="n">
        <v>3.93</v>
      </c>
      <c r="BR11" s="37" t="n">
        <v>3.8</v>
      </c>
      <c r="BS11" s="37" t="n">
        <v>3.84</v>
      </c>
      <c r="BT11" s="37" t="n">
        <v>3.55</v>
      </c>
      <c r="BU11" s="37" t="n">
        <v>2.47</v>
      </c>
      <c r="BV11" s="37" t="n">
        <v>4.18</v>
      </c>
      <c r="BW11" s="37" t="n">
        <v>4.18</v>
      </c>
      <c r="BX11" s="37" t="n">
        <v>3.93</v>
      </c>
      <c r="BY11" s="37" t="n">
        <v>3.8</v>
      </c>
      <c r="BZ11" s="37" t="n">
        <v>3.84</v>
      </c>
      <c r="CA11" s="37" t="n">
        <v>3.55</v>
      </c>
      <c r="CB11" s="37" t="n">
        <v>2.47</v>
      </c>
      <c r="CC11" s="37" t="n">
        <v>407.7200000000001</v>
      </c>
    </row>
    <row r="12" ht="15.75" customHeight="1" s="57">
      <c r="A12" s="7" t="inlineStr">
        <is>
          <t>NTB</t>
        </is>
      </c>
      <c r="B12" s="7" t="inlineStr">
        <is>
          <t>Bình Thuận</t>
        </is>
      </c>
      <c r="C12" s="7" t="n">
        <v>20144000</v>
      </c>
      <c r="D12" s="7" t="inlineStr">
        <is>
          <t>(BTH) Mũi Né</t>
        </is>
      </c>
      <c r="E12" s="7" t="inlineStr">
        <is>
          <t>Shopee</t>
        </is>
      </c>
      <c r="F12" s="36" t="n">
        <v>267</v>
      </c>
      <c r="G12" s="36" t="n">
        <v>230</v>
      </c>
      <c r="H12" s="36" t="n">
        <v>285</v>
      </c>
      <c r="I12" s="36" t="n">
        <v>266</v>
      </c>
      <c r="J12" s="36" t="n">
        <v>215</v>
      </c>
      <c r="K12" s="28" t="n">
        <v>156</v>
      </c>
      <c r="L12" s="36" t="n">
        <v>224</v>
      </c>
      <c r="M12" s="36" t="n">
        <v>259</v>
      </c>
      <c r="N12" s="36" t="n">
        <v>278</v>
      </c>
      <c r="O12" s="36" t="n">
        <v>229</v>
      </c>
      <c r="P12" s="36" t="n">
        <v>204</v>
      </c>
      <c r="Q12" s="36" t="n">
        <v>203</v>
      </c>
      <c r="R12" s="28" t="n">
        <v>139</v>
      </c>
      <c r="S12" s="36" t="n">
        <v>208</v>
      </c>
      <c r="T12" s="36" t="n">
        <v>220</v>
      </c>
      <c r="U12" s="36" t="n">
        <v>223.27</v>
      </c>
      <c r="V12" s="36" t="n">
        <v>224.2</v>
      </c>
      <c r="W12" s="36" t="n">
        <v>220.88</v>
      </c>
      <c r="X12" s="36" t="n">
        <v>179.7</v>
      </c>
      <c r="Y12" s="28" t="n">
        <v>300.86</v>
      </c>
      <c r="Z12" s="36" t="n">
        <v>238.07</v>
      </c>
      <c r="AA12" s="36" t="n">
        <v>327.31</v>
      </c>
      <c r="AB12" s="36" t="n">
        <v>227.87</v>
      </c>
      <c r="AC12" s="36" t="n">
        <v>184.07</v>
      </c>
      <c r="AD12" s="36" t="n">
        <v>500.25</v>
      </c>
      <c r="AE12" s="36" t="n">
        <v>192.34</v>
      </c>
      <c r="AF12" s="28" t="n">
        <v>342.86</v>
      </c>
      <c r="AG12" s="36" t="n">
        <v>250.01</v>
      </c>
      <c r="AH12" s="37" t="n">
        <v>264.16</v>
      </c>
      <c r="AI12" s="37" t="n">
        <v>223.27</v>
      </c>
      <c r="AJ12" s="37" t="n">
        <v>224.2</v>
      </c>
      <c r="AK12" s="37" t="n">
        <v>298.06</v>
      </c>
      <c r="AL12" s="37" t="n">
        <v>322.53</v>
      </c>
      <c r="AM12" s="37" t="n">
        <v>300.86</v>
      </c>
      <c r="AN12" s="37" t="n">
        <v>238.07</v>
      </c>
      <c r="AO12" s="37" t="n">
        <v>264.16</v>
      </c>
      <c r="AP12" s="37" t="n">
        <v>278.78</v>
      </c>
      <c r="AQ12" s="37" t="n">
        <v>179.88</v>
      </c>
      <c r="AR12" s="37" t="n">
        <v>220.88</v>
      </c>
      <c r="AS12" s="37" t="n">
        <v>179.7</v>
      </c>
      <c r="AT12" s="37" t="n">
        <v>300.86</v>
      </c>
      <c r="AU12" s="37" t="n">
        <v>242.96</v>
      </c>
      <c r="AV12" s="37" t="n">
        <v>269.17</v>
      </c>
      <c r="AW12" s="37" t="n">
        <v>223.27</v>
      </c>
      <c r="AX12" s="37" t="n">
        <v>224.2</v>
      </c>
      <c r="AY12" s="37" t="n">
        <v>220.88</v>
      </c>
      <c r="AZ12" s="37" t="n">
        <v>179.7</v>
      </c>
      <c r="BA12" s="37" t="n">
        <v>231.89</v>
      </c>
      <c r="BB12" s="37" t="n">
        <v>202.07</v>
      </c>
      <c r="BC12" s="37" t="n">
        <v>103.04</v>
      </c>
      <c r="BD12" s="37" t="n">
        <v>182.67</v>
      </c>
      <c r="BE12" s="37" t="n">
        <v>213.66</v>
      </c>
      <c r="BF12" s="37" t="n">
        <v>210.46</v>
      </c>
      <c r="BG12" s="37" t="n">
        <v>174.52</v>
      </c>
      <c r="BH12" s="37" t="n">
        <v>286.36</v>
      </c>
      <c r="BI12" s="37" t="n">
        <v>185.82</v>
      </c>
      <c r="BJ12" s="37" t="n">
        <v>710.0599999999999</v>
      </c>
      <c r="BK12" s="37" t="n">
        <v>227.64</v>
      </c>
      <c r="BL12" s="37" t="n">
        <v>224.2</v>
      </c>
      <c r="BM12" s="37" t="n">
        <v>210.46</v>
      </c>
      <c r="BN12" s="37" t="n">
        <v>171.14</v>
      </c>
      <c r="BO12" s="37" t="n">
        <v>286.36</v>
      </c>
      <c r="BP12" s="37" t="n">
        <v>306.1</v>
      </c>
      <c r="BQ12" s="37" t="n">
        <v>451.55</v>
      </c>
      <c r="BR12" s="37" t="n">
        <v>212.73</v>
      </c>
      <c r="BS12" s="37" t="n">
        <v>213.66</v>
      </c>
      <c r="BT12" s="37" t="n">
        <v>210.46</v>
      </c>
      <c r="BU12" s="37" t="n">
        <v>213.89</v>
      </c>
      <c r="BV12" s="37" t="n">
        <v>229.56</v>
      </c>
      <c r="BW12" s="37" t="n">
        <v>226.82</v>
      </c>
      <c r="BX12" s="37" t="n">
        <v>251.76</v>
      </c>
      <c r="BY12" s="37" t="n">
        <v>212.73</v>
      </c>
      <c r="BZ12" s="37" t="n">
        <v>217.91</v>
      </c>
      <c r="CA12" s="37" t="n">
        <v>214.71</v>
      </c>
      <c r="CB12" s="37" t="n">
        <v>171.14</v>
      </c>
      <c r="CC12" s="37" t="n">
        <v>18203.64999999999</v>
      </c>
    </row>
    <row r="13" ht="15.75" customHeight="1" s="57">
      <c r="A13" s="7" t="inlineStr">
        <is>
          <t>NTB</t>
        </is>
      </c>
      <c r="B13" s="7" t="inlineStr">
        <is>
          <t>Bình Thuận</t>
        </is>
      </c>
      <c r="C13" s="7" t="n">
        <v>20144000</v>
      </c>
      <c r="D13" s="7" t="inlineStr">
        <is>
          <t>(BTH) Mũi Né</t>
        </is>
      </c>
      <c r="E13" s="7" t="inlineStr">
        <is>
          <t>Shopee-Bulky</t>
        </is>
      </c>
      <c r="F13" s="36" t="n">
        <v>19.99</v>
      </c>
      <c r="G13" s="36" t="n">
        <v>30.66</v>
      </c>
      <c r="H13" s="36" t="n">
        <v>23.33</v>
      </c>
      <c r="I13" s="36" t="n">
        <v>23.99</v>
      </c>
      <c r="J13" s="36" t="n">
        <v>12</v>
      </c>
      <c r="K13" s="28" t="n">
        <v>8.66</v>
      </c>
      <c r="L13" s="36" t="n">
        <v>22.66</v>
      </c>
      <c r="M13" s="36" t="n">
        <v>27.32</v>
      </c>
      <c r="N13" s="36" t="n">
        <v>14</v>
      </c>
      <c r="O13" s="36" t="n">
        <v>17.99</v>
      </c>
      <c r="P13" s="36" t="n">
        <v>16.66</v>
      </c>
      <c r="Q13" s="36" t="n">
        <v>21.33</v>
      </c>
      <c r="R13" s="28" t="n">
        <v>27.99</v>
      </c>
      <c r="S13" s="36" t="n">
        <v>24.66</v>
      </c>
      <c r="T13" s="36" t="n">
        <v>24.66</v>
      </c>
      <c r="U13" s="36" t="n">
        <v>20.26</v>
      </c>
      <c r="V13" s="36" t="n">
        <v>19.57</v>
      </c>
      <c r="W13" s="36" t="n">
        <v>27.3</v>
      </c>
      <c r="X13" s="36" t="n">
        <v>15.59</v>
      </c>
      <c r="Y13" s="28" t="n">
        <v>29.87</v>
      </c>
      <c r="Z13" s="36" t="n">
        <v>23.55</v>
      </c>
      <c r="AA13" s="36" t="n">
        <v>22.82</v>
      </c>
      <c r="AB13" s="36" t="n">
        <v>23.28</v>
      </c>
      <c r="AC13" s="36" t="n">
        <v>24.05</v>
      </c>
      <c r="AD13" s="36" t="n">
        <v>75.28</v>
      </c>
      <c r="AE13" s="36" t="n">
        <v>39.29</v>
      </c>
      <c r="AF13" s="28" t="n">
        <v>58.47</v>
      </c>
      <c r="AG13" s="36" t="n">
        <v>33.55</v>
      </c>
      <c r="AH13" s="37" t="n">
        <v>23.36</v>
      </c>
      <c r="AI13" s="37" t="n">
        <v>22.98</v>
      </c>
      <c r="AJ13" s="37" t="n">
        <v>21.94</v>
      </c>
      <c r="AK13" s="37" t="n">
        <v>49.86</v>
      </c>
      <c r="AL13" s="37" t="n">
        <v>25.5</v>
      </c>
      <c r="AM13" s="37" t="n">
        <v>36.95</v>
      </c>
      <c r="AN13" s="37" t="n">
        <v>23.13</v>
      </c>
      <c r="AO13" s="37" t="n">
        <v>22.36</v>
      </c>
      <c r="AP13" s="37" t="n">
        <v>30.52</v>
      </c>
      <c r="AQ13" s="37" t="n">
        <v>30.63</v>
      </c>
      <c r="AR13" s="37" t="n">
        <v>24.81</v>
      </c>
      <c r="AS13" s="37" t="n">
        <v>13.75</v>
      </c>
      <c r="AT13" s="37" t="n">
        <v>27.46</v>
      </c>
      <c r="AU13" s="37" t="n">
        <v>44.61</v>
      </c>
      <c r="AV13" s="37" t="n">
        <v>47.22</v>
      </c>
      <c r="AW13" s="37" t="n">
        <v>22.63</v>
      </c>
      <c r="AX13" s="37" t="n">
        <v>21.14</v>
      </c>
      <c r="AY13" s="37" t="n">
        <v>23.86</v>
      </c>
      <c r="AZ13" s="37" t="n">
        <v>13.17</v>
      </c>
      <c r="BA13" s="37" t="n">
        <v>25.2</v>
      </c>
      <c r="BB13" s="37" t="n">
        <v>23.36</v>
      </c>
      <c r="BC13" s="37" t="n">
        <v>7.74</v>
      </c>
      <c r="BD13" s="37" t="n">
        <v>19.8</v>
      </c>
      <c r="BE13" s="37" t="n">
        <v>24.35</v>
      </c>
      <c r="BF13" s="37" t="n">
        <v>21.37</v>
      </c>
      <c r="BG13" s="37" t="n">
        <v>17.77</v>
      </c>
      <c r="BH13" s="37" t="n">
        <v>32.13</v>
      </c>
      <c r="BI13" s="37" t="n">
        <v>27.42</v>
      </c>
      <c r="BJ13" s="37" t="n">
        <v>118.56</v>
      </c>
      <c r="BK13" s="37" t="n">
        <v>57.82</v>
      </c>
      <c r="BL13" s="37" t="n">
        <v>30.29</v>
      </c>
      <c r="BM13" s="37" t="n">
        <v>22.4</v>
      </c>
      <c r="BN13" s="37" t="n">
        <v>17.19</v>
      </c>
      <c r="BO13" s="37" t="n">
        <v>36.76</v>
      </c>
      <c r="BP13" s="37" t="n">
        <v>54.22</v>
      </c>
      <c r="BQ13" s="37" t="n">
        <v>38.83</v>
      </c>
      <c r="BR13" s="37" t="n">
        <v>25.85</v>
      </c>
      <c r="BS13" s="37" t="n">
        <v>24.35</v>
      </c>
      <c r="BT13" s="37" t="n">
        <v>21.37</v>
      </c>
      <c r="BU13" s="37" t="n">
        <v>24.85</v>
      </c>
      <c r="BV13" s="37" t="n">
        <v>33.81</v>
      </c>
      <c r="BW13" s="37" t="n">
        <v>27.42</v>
      </c>
      <c r="BX13" s="37" t="n">
        <v>26.27</v>
      </c>
      <c r="BY13" s="37" t="n">
        <v>25.85</v>
      </c>
      <c r="BZ13" s="37" t="n">
        <v>43.81</v>
      </c>
      <c r="CA13" s="37" t="n">
        <v>25.62</v>
      </c>
      <c r="CB13" s="37" t="n">
        <v>17.04</v>
      </c>
      <c r="CC13" s="37" t="n">
        <v>2126.109999999999</v>
      </c>
    </row>
    <row r="14" ht="15.75" customHeight="1" s="57">
      <c r="A14" s="7" t="inlineStr">
        <is>
          <t>NTB</t>
        </is>
      </c>
      <c r="B14" s="7" t="inlineStr">
        <is>
          <t>Bình Thuận</t>
        </is>
      </c>
      <c r="C14" s="7" t="n">
        <v>20144000</v>
      </c>
      <c r="D14" s="7" t="inlineStr">
        <is>
          <t>(BTH) Mũi Né</t>
        </is>
      </c>
      <c r="E14" s="7" t="inlineStr">
        <is>
          <t>Shopee-Bulky (10-15kg)</t>
        </is>
      </c>
      <c r="F14" s="36" t="n">
        <v>10.01</v>
      </c>
      <c r="G14" s="36" t="n">
        <v>15.34</v>
      </c>
      <c r="H14" s="36" t="n">
        <v>11.67</v>
      </c>
      <c r="I14" s="36" t="n">
        <v>12.01</v>
      </c>
      <c r="J14" s="36" t="n">
        <v>6</v>
      </c>
      <c r="K14" s="28" t="n">
        <v>4.34</v>
      </c>
      <c r="L14" s="36" t="n">
        <v>11.34</v>
      </c>
      <c r="M14" s="36" t="n">
        <v>13.68</v>
      </c>
      <c r="N14" s="36" t="n">
        <v>7</v>
      </c>
      <c r="O14" s="36" t="n">
        <v>9.01</v>
      </c>
      <c r="P14" s="36" t="n">
        <v>8.34</v>
      </c>
      <c r="Q14" s="36" t="n">
        <v>10.67</v>
      </c>
      <c r="R14" s="28" t="n">
        <v>14.01</v>
      </c>
      <c r="S14" s="36" t="n">
        <v>12.34</v>
      </c>
      <c r="T14" s="36" t="n">
        <v>12.34</v>
      </c>
      <c r="U14" s="36" t="n">
        <v>10.45</v>
      </c>
      <c r="V14" s="36" t="n">
        <v>10.15</v>
      </c>
      <c r="W14" s="36" t="n">
        <v>13.67</v>
      </c>
      <c r="X14" s="36" t="n">
        <v>7.43</v>
      </c>
      <c r="Y14" s="28" t="n">
        <v>14.78</v>
      </c>
      <c r="Z14" s="36" t="n">
        <v>11.64</v>
      </c>
      <c r="AA14" s="36" t="n">
        <v>11.33</v>
      </c>
      <c r="AB14" s="36" t="n">
        <v>11.53</v>
      </c>
      <c r="AC14" s="36" t="n">
        <v>11.95</v>
      </c>
      <c r="AD14" s="36" t="n">
        <v>48.75</v>
      </c>
      <c r="AE14" s="36" t="n">
        <v>19.53</v>
      </c>
      <c r="AF14" s="28" t="n">
        <v>27.46</v>
      </c>
      <c r="AG14" s="36" t="n">
        <v>16.66</v>
      </c>
      <c r="AH14" s="37" t="n">
        <v>11.49</v>
      </c>
      <c r="AI14" s="37" t="n">
        <v>11.11</v>
      </c>
      <c r="AJ14" s="37" t="n">
        <v>10.88</v>
      </c>
      <c r="AK14" s="37" t="n">
        <v>25.43</v>
      </c>
      <c r="AL14" s="37" t="n">
        <v>12.41</v>
      </c>
      <c r="AM14" s="37" t="n">
        <v>18.04</v>
      </c>
      <c r="AN14" s="37" t="n">
        <v>11.49</v>
      </c>
      <c r="AO14" s="37" t="n">
        <v>10.95</v>
      </c>
      <c r="AP14" s="37" t="n">
        <v>14.82</v>
      </c>
      <c r="AQ14" s="37" t="n">
        <v>14.86</v>
      </c>
      <c r="AR14" s="37" t="n">
        <v>12.33</v>
      </c>
      <c r="AS14" s="37" t="n">
        <v>6.59</v>
      </c>
      <c r="AT14" s="37" t="n">
        <v>13.36</v>
      </c>
      <c r="AU14" s="37" t="n">
        <v>22.86</v>
      </c>
      <c r="AV14" s="37" t="n">
        <v>22.86</v>
      </c>
      <c r="AW14" s="37" t="n">
        <v>10.99</v>
      </c>
      <c r="AX14" s="37" t="n">
        <v>10.34</v>
      </c>
      <c r="AY14" s="37" t="n">
        <v>11.79</v>
      </c>
      <c r="AZ14" s="37" t="n">
        <v>6.32</v>
      </c>
      <c r="BA14" s="37" t="n">
        <v>12.25</v>
      </c>
      <c r="BB14" s="37" t="n">
        <v>11.72</v>
      </c>
      <c r="BC14" s="37" t="n">
        <v>4.06</v>
      </c>
      <c r="BD14" s="37" t="n">
        <v>9.99</v>
      </c>
      <c r="BE14" s="37" t="n">
        <v>12.1</v>
      </c>
      <c r="BF14" s="37" t="n">
        <v>10.84</v>
      </c>
      <c r="BG14" s="37" t="n">
        <v>8.65</v>
      </c>
      <c r="BH14" s="37" t="n">
        <v>15.89</v>
      </c>
      <c r="BI14" s="37" t="n">
        <v>13.67</v>
      </c>
      <c r="BJ14" s="37" t="n">
        <v>67.51000000000001</v>
      </c>
      <c r="BK14" s="37" t="n">
        <v>28.8</v>
      </c>
      <c r="BL14" s="37" t="n">
        <v>14.7</v>
      </c>
      <c r="BM14" s="37" t="n">
        <v>11.26</v>
      </c>
      <c r="BN14" s="37" t="n">
        <v>8.65</v>
      </c>
      <c r="BO14" s="37" t="n">
        <v>18.92</v>
      </c>
      <c r="BP14" s="37" t="n">
        <v>27.15</v>
      </c>
      <c r="BQ14" s="37" t="n">
        <v>19.91</v>
      </c>
      <c r="BR14" s="37" t="n">
        <v>12.83</v>
      </c>
      <c r="BS14" s="37" t="n">
        <v>12.1</v>
      </c>
      <c r="BT14" s="37" t="n">
        <v>10.84</v>
      </c>
      <c r="BU14" s="37" t="n">
        <v>12.25</v>
      </c>
      <c r="BV14" s="37" t="n">
        <v>17.27</v>
      </c>
      <c r="BW14" s="37" t="n">
        <v>13.67</v>
      </c>
      <c r="BX14" s="37" t="n">
        <v>13.06</v>
      </c>
      <c r="BY14" s="37" t="n">
        <v>12.83</v>
      </c>
      <c r="BZ14" s="37" t="n">
        <v>22.02</v>
      </c>
      <c r="CA14" s="37" t="n">
        <v>12.79</v>
      </c>
      <c r="CB14" s="37" t="n">
        <v>8.19</v>
      </c>
      <c r="CC14" s="37" t="n">
        <v>1076.27</v>
      </c>
    </row>
    <row r="15" ht="15.75" customHeight="1" s="57">
      <c r="A15" s="7" t="inlineStr">
        <is>
          <t>NTB</t>
        </is>
      </c>
      <c r="B15" s="7" t="inlineStr">
        <is>
          <t>Bình Thuận</t>
        </is>
      </c>
      <c r="C15" s="7" t="n">
        <v>20144000</v>
      </c>
      <c r="D15" s="7" t="inlineStr">
        <is>
          <t>(BTH) Mũi Né</t>
        </is>
      </c>
      <c r="E15" s="7" t="inlineStr">
        <is>
          <t>TTS</t>
        </is>
      </c>
      <c r="F15" s="36" t="n">
        <v>178</v>
      </c>
      <c r="G15" s="36" t="n">
        <v>139</v>
      </c>
      <c r="H15" s="36" t="n">
        <v>150</v>
      </c>
      <c r="I15" s="36" t="n">
        <v>159</v>
      </c>
      <c r="J15" s="36" t="n">
        <v>144</v>
      </c>
      <c r="K15" s="28" t="n">
        <v>124</v>
      </c>
      <c r="L15" s="36" t="n">
        <v>132</v>
      </c>
      <c r="M15" s="36" t="n">
        <v>126</v>
      </c>
      <c r="N15" s="36" t="n">
        <v>164</v>
      </c>
      <c r="O15" s="36" t="n">
        <v>142</v>
      </c>
      <c r="P15" s="36" t="n">
        <v>134</v>
      </c>
      <c r="Q15" s="36" t="n">
        <v>129</v>
      </c>
      <c r="R15" s="28" t="n">
        <v>122</v>
      </c>
      <c r="S15" s="36" t="n">
        <v>134</v>
      </c>
      <c r="T15" s="36" t="n">
        <v>132</v>
      </c>
      <c r="U15" s="36" t="n">
        <v>108.41</v>
      </c>
      <c r="V15" s="36" t="n">
        <v>106.35</v>
      </c>
      <c r="W15" s="36" t="n">
        <v>103.85</v>
      </c>
      <c r="X15" s="36" t="n">
        <v>83.59</v>
      </c>
      <c r="Y15" s="28" t="n">
        <v>121.87</v>
      </c>
      <c r="Z15" s="36" t="n">
        <v>103.71</v>
      </c>
      <c r="AA15" s="36" t="n">
        <v>114.79</v>
      </c>
      <c r="AB15" s="36" t="n">
        <v>128.09</v>
      </c>
      <c r="AC15" s="36" t="n">
        <v>134.74</v>
      </c>
      <c r="AD15" s="36" t="n">
        <v>138.59</v>
      </c>
      <c r="AE15" s="36" t="n">
        <v>97.17</v>
      </c>
      <c r="AF15" s="28" t="n">
        <v>125.92</v>
      </c>
      <c r="AG15" s="36" t="n">
        <v>105.63</v>
      </c>
      <c r="AH15" s="37" t="n">
        <v>104.62</v>
      </c>
      <c r="AI15" s="37" t="n">
        <v>119.8</v>
      </c>
      <c r="AJ15" s="37" t="n">
        <v>128.95</v>
      </c>
      <c r="AK15" s="37" t="n">
        <v>126.68</v>
      </c>
      <c r="AL15" s="37" t="n">
        <v>89.97</v>
      </c>
      <c r="AM15" s="37" t="n">
        <v>123.96</v>
      </c>
      <c r="AN15" s="37" t="n">
        <v>106.97</v>
      </c>
      <c r="AO15" s="37" t="n">
        <v>106.27</v>
      </c>
      <c r="AP15" s="37" t="n">
        <v>103.21</v>
      </c>
      <c r="AQ15" s="37" t="n">
        <v>104.4</v>
      </c>
      <c r="AR15" s="37" t="n">
        <v>102.35</v>
      </c>
      <c r="AS15" s="37" t="n">
        <v>83.78</v>
      </c>
      <c r="AT15" s="37" t="n">
        <v>134</v>
      </c>
      <c r="AU15" s="37" t="n">
        <v>121.35</v>
      </c>
      <c r="AV15" s="37" t="n">
        <v>107.68</v>
      </c>
      <c r="AW15" s="37" t="n">
        <v>102.07</v>
      </c>
      <c r="AX15" s="37" t="n">
        <v>101.39</v>
      </c>
      <c r="AY15" s="37" t="n">
        <v>101.07</v>
      </c>
      <c r="AZ15" s="37" t="n">
        <v>83.87</v>
      </c>
      <c r="BA15" s="37" t="n">
        <v>120.86</v>
      </c>
      <c r="BB15" s="37" t="n">
        <v>112.83</v>
      </c>
      <c r="BC15" s="37" t="n">
        <v>67.27</v>
      </c>
      <c r="BD15" s="37" t="n">
        <v>97.38</v>
      </c>
      <c r="BE15" s="37" t="n">
        <v>115.01</v>
      </c>
      <c r="BF15" s="37" t="n">
        <v>111.46</v>
      </c>
      <c r="BG15" s="37" t="n">
        <v>90.15000000000001</v>
      </c>
      <c r="BH15" s="37" t="n">
        <v>133.91</v>
      </c>
      <c r="BI15" s="37" t="n">
        <v>112.83</v>
      </c>
      <c r="BJ15" s="37" t="n">
        <v>105.25</v>
      </c>
      <c r="BK15" s="37" t="n">
        <v>114.79</v>
      </c>
      <c r="BL15" s="37" t="n">
        <v>115.01</v>
      </c>
      <c r="BM15" s="37" t="n">
        <v>111.46</v>
      </c>
      <c r="BN15" s="37" t="n">
        <v>90.15000000000001</v>
      </c>
      <c r="BO15" s="37" t="n">
        <v>133.91</v>
      </c>
      <c r="BP15" s="37" t="n">
        <v>112.83</v>
      </c>
      <c r="BQ15" s="37" t="n">
        <v>111.6</v>
      </c>
      <c r="BR15" s="37" t="n">
        <v>114.79</v>
      </c>
      <c r="BS15" s="37" t="n">
        <v>115.01</v>
      </c>
      <c r="BT15" s="37" t="n">
        <v>111.46</v>
      </c>
      <c r="BU15" s="37" t="n">
        <v>90.15000000000001</v>
      </c>
      <c r="BV15" s="37" t="n">
        <v>133.91</v>
      </c>
      <c r="BW15" s="37" t="n">
        <v>112.83</v>
      </c>
      <c r="BX15" s="37" t="n">
        <v>111.6</v>
      </c>
      <c r="BY15" s="37" t="n">
        <v>114.79</v>
      </c>
      <c r="BZ15" s="37" t="n">
        <v>115.01</v>
      </c>
      <c r="CA15" s="37" t="n">
        <v>111.46</v>
      </c>
      <c r="CB15" s="37" t="n">
        <v>90.15000000000001</v>
      </c>
      <c r="CC15" s="37" t="n">
        <v>8711.959999999999</v>
      </c>
    </row>
    <row r="16" ht="15.75" customHeight="1" s="57">
      <c r="A16" s="7" t="inlineStr">
        <is>
          <t>NTB</t>
        </is>
      </c>
      <c r="B16" s="7" t="inlineStr">
        <is>
          <t>Bình Thuận</t>
        </is>
      </c>
      <c r="C16" s="7" t="n">
        <v>20144000</v>
      </c>
      <c r="D16" s="7" t="inlineStr">
        <is>
          <t>(BTH) Mũi Né</t>
        </is>
      </c>
      <c r="E16" s="7" t="inlineStr">
        <is>
          <t>TTS-Bulky</t>
        </is>
      </c>
      <c r="F16" s="36" t="n">
        <v>1</v>
      </c>
      <c r="G16" s="36" t="n">
        <v>2</v>
      </c>
      <c r="H16" s="36" t="n">
        <v>0</v>
      </c>
      <c r="I16" s="36" t="n">
        <v>0</v>
      </c>
      <c r="J16" s="36" t="n">
        <v>1</v>
      </c>
      <c r="K16" s="28" t="n">
        <v>3</v>
      </c>
      <c r="L16" s="36" t="n">
        <v>2</v>
      </c>
      <c r="M16" s="36" t="n">
        <v>0</v>
      </c>
      <c r="N16" s="36" t="n">
        <v>0</v>
      </c>
      <c r="O16" s="36" t="n">
        <v>0</v>
      </c>
      <c r="P16" s="36" t="n">
        <v>0</v>
      </c>
      <c r="Q16" s="36" t="n">
        <v>0</v>
      </c>
      <c r="R16" s="28" t="n">
        <v>2</v>
      </c>
      <c r="S16" s="36" t="n">
        <v>0</v>
      </c>
      <c r="T16" s="36" t="n">
        <v>0</v>
      </c>
      <c r="U16" s="36" t="n">
        <v>3.42</v>
      </c>
      <c r="V16" s="36" t="n">
        <v>3.56</v>
      </c>
      <c r="W16" s="36" t="n">
        <v>1.75</v>
      </c>
      <c r="X16" s="36" t="n">
        <v>1</v>
      </c>
      <c r="Y16" s="28" t="n">
        <v>2.42</v>
      </c>
      <c r="Z16" s="36" t="n">
        <v>1.84</v>
      </c>
      <c r="AA16" s="36" t="n">
        <v>1.73</v>
      </c>
      <c r="AB16" s="36" t="n">
        <v>1.84</v>
      </c>
      <c r="AC16" s="36" t="n">
        <v>2.06</v>
      </c>
      <c r="AD16" s="36" t="n">
        <v>2.23</v>
      </c>
      <c r="AE16" s="36" t="n">
        <v>1.14</v>
      </c>
      <c r="AF16" s="28" t="n">
        <v>2.25</v>
      </c>
      <c r="AG16" s="36" t="n">
        <v>1.7</v>
      </c>
      <c r="AH16" s="37" t="n">
        <v>1.64</v>
      </c>
      <c r="AI16" s="37" t="n">
        <v>1.92</v>
      </c>
      <c r="AJ16" s="37" t="n">
        <v>1.95</v>
      </c>
      <c r="AK16" s="37" t="n">
        <v>1.89</v>
      </c>
      <c r="AL16" s="37" t="n">
        <v>1</v>
      </c>
      <c r="AM16" s="37" t="n">
        <v>2.25</v>
      </c>
      <c r="AN16" s="37" t="n">
        <v>1.67</v>
      </c>
      <c r="AO16" s="37" t="n">
        <v>1.7</v>
      </c>
      <c r="AP16" s="37" t="n">
        <v>1.7</v>
      </c>
      <c r="AQ16" s="37" t="n">
        <v>1.78</v>
      </c>
      <c r="AR16" s="37" t="n">
        <v>1.73</v>
      </c>
      <c r="AS16" s="37" t="n">
        <v>1</v>
      </c>
      <c r="AT16" s="37" t="n">
        <v>2.42</v>
      </c>
      <c r="AU16" s="37" t="n">
        <v>1.89</v>
      </c>
      <c r="AV16" s="37" t="n">
        <v>1.64</v>
      </c>
      <c r="AW16" s="37" t="n">
        <v>1.67</v>
      </c>
      <c r="AX16" s="37" t="n">
        <v>1.75</v>
      </c>
      <c r="AY16" s="37" t="n">
        <v>1.73</v>
      </c>
      <c r="AZ16" s="37" t="n">
        <v>1</v>
      </c>
      <c r="BA16" s="37" t="n">
        <v>2</v>
      </c>
      <c r="BB16" s="37" t="n">
        <v>0.47</v>
      </c>
      <c r="BC16" s="37" t="n">
        <v>0.22</v>
      </c>
      <c r="BD16" s="37" t="n">
        <v>0.39</v>
      </c>
      <c r="BE16" s="37" t="n">
        <v>0.47</v>
      </c>
      <c r="BF16" s="37" t="n">
        <v>0.47</v>
      </c>
      <c r="BG16" s="37" t="n">
        <v>0.28</v>
      </c>
      <c r="BH16" s="37" t="n">
        <v>0.72</v>
      </c>
      <c r="BI16" s="37" t="n">
        <v>0.47</v>
      </c>
      <c r="BJ16" s="37" t="n">
        <v>0.53</v>
      </c>
      <c r="BK16" s="37" t="n">
        <v>0.47</v>
      </c>
      <c r="BL16" s="37" t="n">
        <v>0.47</v>
      </c>
      <c r="BM16" s="37" t="n">
        <v>0.47</v>
      </c>
      <c r="BN16" s="37" t="n">
        <v>0.31</v>
      </c>
      <c r="BO16" s="37" t="n">
        <v>0.75</v>
      </c>
      <c r="BP16" s="37" t="n">
        <v>0.61</v>
      </c>
      <c r="BQ16" s="37" t="n">
        <v>0.47</v>
      </c>
      <c r="BR16" s="37" t="n">
        <v>0.47</v>
      </c>
      <c r="BS16" s="37" t="n">
        <v>0.47</v>
      </c>
      <c r="BT16" s="37" t="n">
        <v>0.47</v>
      </c>
      <c r="BU16" s="37" t="n">
        <v>0.25</v>
      </c>
      <c r="BV16" s="37" t="n">
        <v>0.61</v>
      </c>
      <c r="BW16" s="37" t="n">
        <v>0.47</v>
      </c>
      <c r="BX16" s="37" t="n">
        <v>0.47</v>
      </c>
      <c r="BY16" s="37" t="n">
        <v>0.47</v>
      </c>
      <c r="BZ16" s="37" t="n">
        <v>0.47</v>
      </c>
      <c r="CA16" s="37" t="n">
        <v>0.47</v>
      </c>
      <c r="CB16" s="37" t="n">
        <v>0.25</v>
      </c>
      <c r="CC16" s="37" t="n">
        <v>84.70999999999999</v>
      </c>
    </row>
    <row r="17" ht="15.75" customHeight="1" s="57">
      <c r="A17" s="7" t="inlineStr">
        <is>
          <t>NTB</t>
        </is>
      </c>
      <c r="B17" s="7" t="inlineStr">
        <is>
          <t>Bình Thuận</t>
        </is>
      </c>
      <c r="C17" s="7" t="n">
        <v>20633000</v>
      </c>
      <c r="D17" s="7" t="inlineStr">
        <is>
          <t>(BTH) Bắc Bình</t>
        </is>
      </c>
      <c r="E17" s="7" t="inlineStr">
        <is>
          <t>SME</t>
        </is>
      </c>
      <c r="F17" s="36" t="n">
        <v>205</v>
      </c>
      <c r="G17" s="36" t="n">
        <v>166</v>
      </c>
      <c r="H17" s="36" t="n">
        <v>219</v>
      </c>
      <c r="I17" s="36" t="n">
        <v>205</v>
      </c>
      <c r="J17" s="36" t="n">
        <v>216</v>
      </c>
      <c r="K17" s="28" t="n">
        <v>160</v>
      </c>
      <c r="L17" s="36" t="n">
        <v>183</v>
      </c>
      <c r="M17" s="36" t="n">
        <v>164</v>
      </c>
      <c r="N17" s="36" t="n">
        <v>196</v>
      </c>
      <c r="O17" s="36" t="n">
        <v>201</v>
      </c>
      <c r="P17" s="36" t="n">
        <v>206</v>
      </c>
      <c r="Q17" s="36" t="n">
        <v>175</v>
      </c>
      <c r="R17" s="28" t="n">
        <v>173</v>
      </c>
      <c r="S17" s="36" t="n">
        <v>193</v>
      </c>
      <c r="T17" s="36" t="n">
        <v>166</v>
      </c>
      <c r="U17" s="36" t="n">
        <v>223.5</v>
      </c>
      <c r="V17" s="36" t="n">
        <v>231.34</v>
      </c>
      <c r="W17" s="36" t="n">
        <v>224.96</v>
      </c>
      <c r="X17" s="36" t="n">
        <v>184.09</v>
      </c>
      <c r="Y17" s="28" t="n">
        <v>249.42</v>
      </c>
      <c r="Z17" s="36" t="n">
        <v>229.58</v>
      </c>
      <c r="AA17" s="36" t="n">
        <v>224.17</v>
      </c>
      <c r="AB17" s="36" t="n">
        <v>223.5</v>
      </c>
      <c r="AC17" s="36" t="n">
        <v>231.34</v>
      </c>
      <c r="AD17" s="36" t="n">
        <v>235.8</v>
      </c>
      <c r="AE17" s="36" t="n">
        <v>184.09</v>
      </c>
      <c r="AF17" s="28" t="n">
        <v>249.42</v>
      </c>
      <c r="AG17" s="36" t="n">
        <v>229.58</v>
      </c>
      <c r="AH17" s="37" t="n">
        <v>224.17</v>
      </c>
      <c r="AI17" s="37" t="n">
        <v>223.5</v>
      </c>
      <c r="AJ17" s="37" t="n">
        <v>231.34</v>
      </c>
      <c r="AK17" s="37" t="n">
        <v>224.96</v>
      </c>
      <c r="AL17" s="37" t="n">
        <v>184.09</v>
      </c>
      <c r="AM17" s="37" t="n">
        <v>249.42</v>
      </c>
      <c r="AN17" s="37" t="n">
        <v>229.58</v>
      </c>
      <c r="AO17" s="37" t="n">
        <v>224.17</v>
      </c>
      <c r="AP17" s="37" t="n">
        <v>223.5</v>
      </c>
      <c r="AQ17" s="37" t="n">
        <v>231.34</v>
      </c>
      <c r="AR17" s="37" t="n">
        <v>224.96</v>
      </c>
      <c r="AS17" s="37" t="n">
        <v>184.09</v>
      </c>
      <c r="AT17" s="37" t="n">
        <v>249.42</v>
      </c>
      <c r="AU17" s="37" t="n">
        <v>229.58</v>
      </c>
      <c r="AV17" s="37" t="n">
        <v>224.17</v>
      </c>
      <c r="AW17" s="37" t="n">
        <v>223.5</v>
      </c>
      <c r="AX17" s="37" t="n">
        <v>231.34</v>
      </c>
      <c r="AY17" s="37" t="n">
        <v>224.96</v>
      </c>
      <c r="AZ17" s="37" t="n">
        <v>184.09</v>
      </c>
      <c r="BA17" s="37" t="n">
        <v>224.45</v>
      </c>
      <c r="BB17" s="37" t="n">
        <v>200.85</v>
      </c>
      <c r="BC17" s="37" t="n">
        <v>127.24</v>
      </c>
      <c r="BD17" s="37" t="n">
        <v>126.8</v>
      </c>
      <c r="BE17" s="37" t="n">
        <v>214.18</v>
      </c>
      <c r="BF17" s="37" t="n">
        <v>208.44</v>
      </c>
      <c r="BG17" s="37" t="n">
        <v>189.83</v>
      </c>
      <c r="BH17" s="37" t="n">
        <v>257.24</v>
      </c>
      <c r="BI17" s="37" t="n">
        <v>236.76</v>
      </c>
      <c r="BJ17" s="37" t="n">
        <v>241.97</v>
      </c>
      <c r="BK17" s="37" t="n">
        <v>230.3</v>
      </c>
      <c r="BL17" s="37" t="n">
        <v>238.61</v>
      </c>
      <c r="BM17" s="37" t="n">
        <v>231.75</v>
      </c>
      <c r="BN17" s="37" t="n">
        <v>189.83</v>
      </c>
      <c r="BO17" s="37" t="n">
        <v>257.24</v>
      </c>
      <c r="BP17" s="37" t="n">
        <v>236.76</v>
      </c>
      <c r="BQ17" s="37" t="n">
        <v>231.01</v>
      </c>
      <c r="BR17" s="37" t="n">
        <v>230.3</v>
      </c>
      <c r="BS17" s="37" t="n">
        <v>238.61</v>
      </c>
      <c r="BT17" s="37" t="n">
        <v>231.75</v>
      </c>
      <c r="BU17" s="37" t="n">
        <v>189.83</v>
      </c>
      <c r="BV17" s="37" t="n">
        <v>257.24</v>
      </c>
      <c r="BW17" s="37" t="n">
        <v>236.76</v>
      </c>
      <c r="BX17" s="37" t="n">
        <v>231.01</v>
      </c>
      <c r="BY17" s="37" t="n">
        <v>230.3</v>
      </c>
      <c r="BZ17" s="37" t="n">
        <v>238.61</v>
      </c>
      <c r="CA17" s="37" t="n">
        <v>231.75</v>
      </c>
      <c r="CB17" s="37" t="n">
        <v>189.83</v>
      </c>
      <c r="CC17" s="37" t="n">
        <v>16120.22</v>
      </c>
    </row>
    <row r="18" ht="15.75" customHeight="1" s="57">
      <c r="A18" s="7" t="inlineStr">
        <is>
          <t>NTB</t>
        </is>
      </c>
      <c r="B18" s="7" t="inlineStr">
        <is>
          <t>Bình Thuận</t>
        </is>
      </c>
      <c r="C18" s="7" t="n">
        <v>20633000</v>
      </c>
      <c r="D18" s="7" t="inlineStr">
        <is>
          <t>(BTH) Bắc Bình</t>
        </is>
      </c>
      <c r="E18" s="7" t="inlineStr">
        <is>
          <t>SME-Bulky</t>
        </is>
      </c>
      <c r="F18" s="36" t="n">
        <v>9</v>
      </c>
      <c r="G18" s="36" t="n">
        <v>8</v>
      </c>
      <c r="H18" s="36" t="n">
        <v>13</v>
      </c>
      <c r="I18" s="36" t="n">
        <v>11</v>
      </c>
      <c r="J18" s="36" t="n">
        <v>13</v>
      </c>
      <c r="K18" s="28" t="n">
        <v>10</v>
      </c>
      <c r="L18" s="36" t="n">
        <v>6</v>
      </c>
      <c r="M18" s="36" t="n">
        <v>16</v>
      </c>
      <c r="N18" s="36" t="n">
        <v>9</v>
      </c>
      <c r="O18" s="36" t="n">
        <v>14</v>
      </c>
      <c r="P18" s="36" t="n">
        <v>14</v>
      </c>
      <c r="Q18" s="36" t="n">
        <v>8</v>
      </c>
      <c r="R18" s="28" t="n">
        <v>3</v>
      </c>
      <c r="S18" s="36" t="n">
        <v>7</v>
      </c>
      <c r="T18" s="36" t="n">
        <v>13</v>
      </c>
      <c r="U18" s="36" t="n">
        <v>10.15</v>
      </c>
      <c r="V18" s="36" t="n">
        <v>10.19</v>
      </c>
      <c r="W18" s="36" t="n">
        <v>9.449999999999999</v>
      </c>
      <c r="X18" s="36" t="n">
        <v>6.64</v>
      </c>
      <c r="Y18" s="28" t="n">
        <v>11.35</v>
      </c>
      <c r="Z18" s="36" t="n">
        <v>11.03</v>
      </c>
      <c r="AA18" s="36" t="n">
        <v>10.75</v>
      </c>
      <c r="AB18" s="36" t="n">
        <v>10.15</v>
      </c>
      <c r="AC18" s="36" t="n">
        <v>10.19</v>
      </c>
      <c r="AD18" s="36" t="n">
        <v>10.78</v>
      </c>
      <c r="AE18" s="36" t="n">
        <v>6.64</v>
      </c>
      <c r="AF18" s="28" t="n">
        <v>11.35</v>
      </c>
      <c r="AG18" s="36" t="n">
        <v>11.03</v>
      </c>
      <c r="AH18" s="37" t="n">
        <v>10.75</v>
      </c>
      <c r="AI18" s="37" t="n">
        <v>10.15</v>
      </c>
      <c r="AJ18" s="37" t="n">
        <v>10.19</v>
      </c>
      <c r="AK18" s="37" t="n">
        <v>9.449999999999999</v>
      </c>
      <c r="AL18" s="37" t="n">
        <v>6.64</v>
      </c>
      <c r="AM18" s="37" t="n">
        <v>11.35</v>
      </c>
      <c r="AN18" s="37" t="n">
        <v>11.03</v>
      </c>
      <c r="AO18" s="37" t="n">
        <v>10.75</v>
      </c>
      <c r="AP18" s="37" t="n">
        <v>10.15</v>
      </c>
      <c r="AQ18" s="37" t="n">
        <v>10.19</v>
      </c>
      <c r="AR18" s="37" t="n">
        <v>9.449999999999999</v>
      </c>
      <c r="AS18" s="37" t="n">
        <v>6.64</v>
      </c>
      <c r="AT18" s="37" t="n">
        <v>11.35</v>
      </c>
      <c r="AU18" s="37" t="n">
        <v>11.03</v>
      </c>
      <c r="AV18" s="37" t="n">
        <v>10.75</v>
      </c>
      <c r="AW18" s="37" t="n">
        <v>10.15</v>
      </c>
      <c r="AX18" s="37" t="n">
        <v>10.19</v>
      </c>
      <c r="AY18" s="37" t="n">
        <v>9.449999999999999</v>
      </c>
      <c r="AZ18" s="37" t="n">
        <v>6.64</v>
      </c>
      <c r="BA18" s="37" t="n">
        <v>11.38</v>
      </c>
      <c r="BB18" s="37" t="n">
        <v>5.97</v>
      </c>
      <c r="BC18" s="37" t="n">
        <v>3.2</v>
      </c>
      <c r="BD18" s="37" t="n">
        <v>2.88</v>
      </c>
      <c r="BE18" s="37" t="n">
        <v>5.2</v>
      </c>
      <c r="BF18" s="37" t="n">
        <v>4.99</v>
      </c>
      <c r="BG18" s="37" t="n">
        <v>3.9</v>
      </c>
      <c r="BH18" s="37" t="n">
        <v>6.6</v>
      </c>
      <c r="BI18" s="37" t="n">
        <v>6.6</v>
      </c>
      <c r="BJ18" s="37" t="n">
        <v>6.81</v>
      </c>
      <c r="BK18" s="37" t="n">
        <v>6.01</v>
      </c>
      <c r="BL18" s="37" t="n">
        <v>6.08</v>
      </c>
      <c r="BM18" s="37" t="n">
        <v>5.62</v>
      </c>
      <c r="BN18" s="37" t="n">
        <v>3.9</v>
      </c>
      <c r="BO18" s="37" t="n">
        <v>6.6</v>
      </c>
      <c r="BP18" s="37" t="n">
        <v>6.6</v>
      </c>
      <c r="BQ18" s="37" t="n">
        <v>6.22</v>
      </c>
      <c r="BR18" s="37" t="n">
        <v>6.01</v>
      </c>
      <c r="BS18" s="37" t="n">
        <v>6.08</v>
      </c>
      <c r="BT18" s="37" t="n">
        <v>5.62</v>
      </c>
      <c r="BU18" s="37" t="n">
        <v>3.9</v>
      </c>
      <c r="BV18" s="37" t="n">
        <v>6.6</v>
      </c>
      <c r="BW18" s="37" t="n">
        <v>6.6</v>
      </c>
      <c r="BX18" s="37" t="n">
        <v>6.22</v>
      </c>
      <c r="BY18" s="37" t="n">
        <v>6.01</v>
      </c>
      <c r="BZ18" s="37" t="n">
        <v>6.08</v>
      </c>
      <c r="CA18" s="37" t="n">
        <v>5.62</v>
      </c>
      <c r="CB18" s="37" t="n">
        <v>3.9</v>
      </c>
      <c r="CC18" s="37" t="n">
        <v>631.1999999999999</v>
      </c>
    </row>
    <row r="19" ht="15.75" customHeight="1" s="57">
      <c r="A19" s="7" t="inlineStr">
        <is>
          <t>NTB</t>
        </is>
      </c>
      <c r="B19" s="7" t="inlineStr">
        <is>
          <t>Bình Thuận</t>
        </is>
      </c>
      <c r="C19" s="7" t="n">
        <v>20633000</v>
      </c>
      <c r="D19" s="7" t="inlineStr">
        <is>
          <t>(BTH) Bắc Bình</t>
        </is>
      </c>
      <c r="E19" s="7" t="inlineStr">
        <is>
          <t>Shopee</t>
        </is>
      </c>
      <c r="F19" s="36" t="n">
        <v>157</v>
      </c>
      <c r="G19" s="36" t="n">
        <v>119</v>
      </c>
      <c r="H19" s="36" t="n">
        <v>208</v>
      </c>
      <c r="I19" s="36" t="n">
        <v>156</v>
      </c>
      <c r="J19" s="36" t="n">
        <v>142</v>
      </c>
      <c r="K19" s="28" t="n">
        <v>104</v>
      </c>
      <c r="L19" s="36" t="n">
        <v>172</v>
      </c>
      <c r="M19" s="36" t="n">
        <v>149</v>
      </c>
      <c r="N19" s="36" t="n">
        <v>184</v>
      </c>
      <c r="O19" s="36" t="n">
        <v>202</v>
      </c>
      <c r="P19" s="36" t="n">
        <v>146</v>
      </c>
      <c r="Q19" s="36" t="n">
        <v>150</v>
      </c>
      <c r="R19" s="28" t="n">
        <v>106</v>
      </c>
      <c r="S19" s="36" t="n">
        <v>129</v>
      </c>
      <c r="T19" s="36" t="n">
        <v>150</v>
      </c>
      <c r="U19" s="36" t="n">
        <v>161.06</v>
      </c>
      <c r="V19" s="36" t="n">
        <v>161.73</v>
      </c>
      <c r="W19" s="36" t="n">
        <v>159.34</v>
      </c>
      <c r="X19" s="36" t="n">
        <v>129.63</v>
      </c>
      <c r="Y19" s="28" t="n">
        <v>217.03</v>
      </c>
      <c r="Z19" s="36" t="n">
        <v>171.73</v>
      </c>
      <c r="AA19" s="36" t="n">
        <v>236.1</v>
      </c>
      <c r="AB19" s="36" t="n">
        <v>164.38</v>
      </c>
      <c r="AC19" s="36" t="n">
        <v>132.78</v>
      </c>
      <c r="AD19" s="36" t="n">
        <v>360.86</v>
      </c>
      <c r="AE19" s="36" t="n">
        <v>138.75</v>
      </c>
      <c r="AF19" s="28" t="n">
        <v>247.32</v>
      </c>
      <c r="AG19" s="36" t="n">
        <v>180.34</v>
      </c>
      <c r="AH19" s="37" t="n">
        <v>190.56</v>
      </c>
      <c r="AI19" s="37" t="n">
        <v>161.06</v>
      </c>
      <c r="AJ19" s="37" t="n">
        <v>161.73</v>
      </c>
      <c r="AK19" s="37" t="n">
        <v>215.01</v>
      </c>
      <c r="AL19" s="37" t="n">
        <v>232.66</v>
      </c>
      <c r="AM19" s="37" t="n">
        <v>217.03</v>
      </c>
      <c r="AN19" s="37" t="n">
        <v>171.73</v>
      </c>
      <c r="AO19" s="37" t="n">
        <v>190.56</v>
      </c>
      <c r="AP19" s="37" t="n">
        <v>201.1</v>
      </c>
      <c r="AQ19" s="37" t="n">
        <v>129.75</v>
      </c>
      <c r="AR19" s="37" t="n">
        <v>159.34</v>
      </c>
      <c r="AS19" s="37" t="n">
        <v>129.63</v>
      </c>
      <c r="AT19" s="37" t="n">
        <v>217.03</v>
      </c>
      <c r="AU19" s="37" t="n">
        <v>175.26</v>
      </c>
      <c r="AV19" s="37" t="n">
        <v>194.17</v>
      </c>
      <c r="AW19" s="37" t="n">
        <v>161.06</v>
      </c>
      <c r="AX19" s="37" t="n">
        <v>161.73</v>
      </c>
      <c r="AY19" s="37" t="n">
        <v>159.34</v>
      </c>
      <c r="AZ19" s="37" t="n">
        <v>129.63</v>
      </c>
      <c r="BA19" s="37" t="n">
        <v>167.28</v>
      </c>
      <c r="BB19" s="37" t="n">
        <v>145.76</v>
      </c>
      <c r="BC19" s="37" t="n">
        <v>74.33</v>
      </c>
      <c r="BD19" s="37" t="n">
        <v>131.77</v>
      </c>
      <c r="BE19" s="37" t="n">
        <v>154.12</v>
      </c>
      <c r="BF19" s="37" t="n">
        <v>151.81</v>
      </c>
      <c r="BG19" s="37" t="n">
        <v>125.89</v>
      </c>
      <c r="BH19" s="37" t="n">
        <v>206.56</v>
      </c>
      <c r="BI19" s="37" t="n">
        <v>134.04</v>
      </c>
      <c r="BJ19" s="37" t="n">
        <v>512.21</v>
      </c>
      <c r="BK19" s="37" t="n">
        <v>164.21</v>
      </c>
      <c r="BL19" s="37" t="n">
        <v>161.73</v>
      </c>
      <c r="BM19" s="37" t="n">
        <v>151.81</v>
      </c>
      <c r="BN19" s="37" t="n">
        <v>123.45</v>
      </c>
      <c r="BO19" s="37" t="n">
        <v>206.56</v>
      </c>
      <c r="BP19" s="37" t="n">
        <v>220.81</v>
      </c>
      <c r="BQ19" s="37" t="n">
        <v>325.73</v>
      </c>
      <c r="BR19" s="37" t="n">
        <v>153.45</v>
      </c>
      <c r="BS19" s="37" t="n">
        <v>154.12</v>
      </c>
      <c r="BT19" s="37" t="n">
        <v>151.81</v>
      </c>
      <c r="BU19" s="37" t="n">
        <v>154.29</v>
      </c>
      <c r="BV19" s="37" t="n">
        <v>165.6</v>
      </c>
      <c r="BW19" s="37" t="n">
        <v>163.62</v>
      </c>
      <c r="BX19" s="37" t="n">
        <v>181.61</v>
      </c>
      <c r="BY19" s="37" t="n">
        <v>153.45</v>
      </c>
      <c r="BZ19" s="37" t="n">
        <v>157.19</v>
      </c>
      <c r="CA19" s="37" t="n">
        <v>154.88</v>
      </c>
      <c r="CB19" s="37" t="n">
        <v>123.45</v>
      </c>
      <c r="CC19" s="37" t="n">
        <v>12964.97</v>
      </c>
    </row>
    <row r="20" ht="15.75" customHeight="1" s="57">
      <c r="A20" s="7" t="inlineStr">
        <is>
          <t>NTB</t>
        </is>
      </c>
      <c r="B20" s="7" t="inlineStr">
        <is>
          <t>Bình Thuận</t>
        </is>
      </c>
      <c r="C20" s="7" t="n">
        <v>20633000</v>
      </c>
      <c r="D20" s="7" t="inlineStr">
        <is>
          <t>(BTH) Bắc Bình</t>
        </is>
      </c>
      <c r="E20" s="7" t="inlineStr">
        <is>
          <t>Shopee-Bulky</t>
        </is>
      </c>
      <c r="F20" s="36" t="n">
        <v>17.33</v>
      </c>
      <c r="G20" s="36" t="n">
        <v>12.66</v>
      </c>
      <c r="H20" s="36" t="n">
        <v>27.99</v>
      </c>
      <c r="I20" s="36" t="n">
        <v>20.66</v>
      </c>
      <c r="J20" s="36" t="n">
        <v>9.33</v>
      </c>
      <c r="K20" s="28" t="n">
        <v>8</v>
      </c>
      <c r="L20" s="36" t="n">
        <v>11.33</v>
      </c>
      <c r="M20" s="36" t="n">
        <v>17.99</v>
      </c>
      <c r="N20" s="36" t="n">
        <v>17.33</v>
      </c>
      <c r="O20" s="36" t="n">
        <v>7.33</v>
      </c>
      <c r="P20" s="36" t="n">
        <v>10</v>
      </c>
      <c r="Q20" s="36" t="n">
        <v>13.33</v>
      </c>
      <c r="R20" s="28" t="n">
        <v>22.66</v>
      </c>
      <c r="S20" s="36" t="n">
        <v>13.33</v>
      </c>
      <c r="T20" s="36" t="n">
        <v>7.33</v>
      </c>
      <c r="U20" s="36" t="n">
        <v>12.49</v>
      </c>
      <c r="V20" s="36" t="n">
        <v>12.06</v>
      </c>
      <c r="W20" s="36" t="n">
        <v>16.83</v>
      </c>
      <c r="X20" s="36" t="n">
        <v>9.609999999999999</v>
      </c>
      <c r="Y20" s="28" t="n">
        <v>18.41</v>
      </c>
      <c r="Z20" s="36" t="n">
        <v>14.52</v>
      </c>
      <c r="AA20" s="36" t="n">
        <v>14.07</v>
      </c>
      <c r="AB20" s="36" t="n">
        <v>14.35</v>
      </c>
      <c r="AC20" s="36" t="n">
        <v>14.82</v>
      </c>
      <c r="AD20" s="36" t="n">
        <v>46.41</v>
      </c>
      <c r="AE20" s="36" t="n">
        <v>24.22</v>
      </c>
      <c r="AF20" s="28" t="n">
        <v>36.05</v>
      </c>
      <c r="AG20" s="36" t="n">
        <v>20.68</v>
      </c>
      <c r="AH20" s="37" t="n">
        <v>14.4</v>
      </c>
      <c r="AI20" s="37" t="n">
        <v>14.16</v>
      </c>
      <c r="AJ20" s="37" t="n">
        <v>13.53</v>
      </c>
      <c r="AK20" s="37" t="n">
        <v>30.73</v>
      </c>
      <c r="AL20" s="37" t="n">
        <v>15.72</v>
      </c>
      <c r="AM20" s="37" t="n">
        <v>22.78</v>
      </c>
      <c r="AN20" s="37" t="n">
        <v>14.26</v>
      </c>
      <c r="AO20" s="37" t="n">
        <v>13.79</v>
      </c>
      <c r="AP20" s="37" t="n">
        <v>18.81</v>
      </c>
      <c r="AQ20" s="37" t="n">
        <v>18.88</v>
      </c>
      <c r="AR20" s="37" t="n">
        <v>15.3</v>
      </c>
      <c r="AS20" s="37" t="n">
        <v>8.470000000000001</v>
      </c>
      <c r="AT20" s="37" t="n">
        <v>16.93</v>
      </c>
      <c r="AU20" s="37" t="n">
        <v>27.5</v>
      </c>
      <c r="AV20" s="37" t="n">
        <v>29.11</v>
      </c>
      <c r="AW20" s="37" t="n">
        <v>13.95</v>
      </c>
      <c r="AX20" s="37" t="n">
        <v>13.03</v>
      </c>
      <c r="AY20" s="37" t="n">
        <v>14.71</v>
      </c>
      <c r="AZ20" s="37" t="n">
        <v>8.119999999999999</v>
      </c>
      <c r="BA20" s="37" t="n">
        <v>15.53</v>
      </c>
      <c r="BB20" s="37" t="n">
        <v>14.4</v>
      </c>
      <c r="BC20" s="37" t="n">
        <v>4.77</v>
      </c>
      <c r="BD20" s="37" t="n">
        <v>12.2</v>
      </c>
      <c r="BE20" s="37" t="n">
        <v>15.01</v>
      </c>
      <c r="BF20" s="37" t="n">
        <v>13.17</v>
      </c>
      <c r="BG20" s="37" t="n">
        <v>10.95</v>
      </c>
      <c r="BH20" s="37" t="n">
        <v>19.81</v>
      </c>
      <c r="BI20" s="37" t="n">
        <v>16.9</v>
      </c>
      <c r="BJ20" s="37" t="n">
        <v>73.08</v>
      </c>
      <c r="BK20" s="37" t="n">
        <v>35.64</v>
      </c>
      <c r="BL20" s="37" t="n">
        <v>18.67</v>
      </c>
      <c r="BM20" s="37" t="n">
        <v>13.81</v>
      </c>
      <c r="BN20" s="37" t="n">
        <v>10.6</v>
      </c>
      <c r="BO20" s="37" t="n">
        <v>22.66</v>
      </c>
      <c r="BP20" s="37" t="n">
        <v>33.43</v>
      </c>
      <c r="BQ20" s="37" t="n">
        <v>23.94</v>
      </c>
      <c r="BR20" s="37" t="n">
        <v>15.93</v>
      </c>
      <c r="BS20" s="37" t="n">
        <v>15.01</v>
      </c>
      <c r="BT20" s="37" t="n">
        <v>13.17</v>
      </c>
      <c r="BU20" s="37" t="n">
        <v>15.32</v>
      </c>
      <c r="BV20" s="37" t="n">
        <v>20.84</v>
      </c>
      <c r="BW20" s="37" t="n">
        <v>16.9</v>
      </c>
      <c r="BX20" s="37" t="n">
        <v>16.19</v>
      </c>
      <c r="BY20" s="37" t="n">
        <v>15.93</v>
      </c>
      <c r="BZ20" s="37" t="n">
        <v>27</v>
      </c>
      <c r="CA20" s="37" t="n">
        <v>15.79</v>
      </c>
      <c r="CB20" s="37" t="n">
        <v>10.5</v>
      </c>
      <c r="CC20" s="37" t="n">
        <v>1332.45</v>
      </c>
    </row>
    <row r="21" ht="15.75" customHeight="1" s="57">
      <c r="A21" s="7" t="inlineStr">
        <is>
          <t>NTB</t>
        </is>
      </c>
      <c r="B21" s="7" t="inlineStr">
        <is>
          <t>Bình Thuận</t>
        </is>
      </c>
      <c r="C21" s="7" t="n">
        <v>20633000</v>
      </c>
      <c r="D21" s="7" t="inlineStr">
        <is>
          <t>(BTH) Bắc Bình</t>
        </is>
      </c>
      <c r="E21" s="7" t="inlineStr">
        <is>
          <t>Shopee-Bulky (10-15kg)</t>
        </is>
      </c>
      <c r="F21" s="36" t="n">
        <v>8.67</v>
      </c>
      <c r="G21" s="36" t="n">
        <v>6.34</v>
      </c>
      <c r="H21" s="36" t="n">
        <v>14.01</v>
      </c>
      <c r="I21" s="36" t="n">
        <v>10.34</v>
      </c>
      <c r="J21" s="36" t="n">
        <v>4.67</v>
      </c>
      <c r="K21" s="28" t="n">
        <v>4</v>
      </c>
      <c r="L21" s="36" t="n">
        <v>5.67</v>
      </c>
      <c r="M21" s="36" t="n">
        <v>9.01</v>
      </c>
      <c r="N21" s="36" t="n">
        <v>8.67</v>
      </c>
      <c r="O21" s="36" t="n">
        <v>3.67</v>
      </c>
      <c r="P21" s="36" t="n">
        <v>5</v>
      </c>
      <c r="Q21" s="36" t="n">
        <v>6.67</v>
      </c>
      <c r="R21" s="28" t="n">
        <v>11.34</v>
      </c>
      <c r="S21" s="36" t="n">
        <v>6.67</v>
      </c>
      <c r="T21" s="36" t="n">
        <v>3.67</v>
      </c>
      <c r="U21" s="36" t="n">
        <v>6.44</v>
      </c>
      <c r="V21" s="36" t="n">
        <v>6.26</v>
      </c>
      <c r="W21" s="36" t="n">
        <v>8.43</v>
      </c>
      <c r="X21" s="36" t="n">
        <v>4.58</v>
      </c>
      <c r="Y21" s="28" t="n">
        <v>9.109999999999999</v>
      </c>
      <c r="Z21" s="36" t="n">
        <v>7.18</v>
      </c>
      <c r="AA21" s="36" t="n">
        <v>6.99</v>
      </c>
      <c r="AB21" s="36" t="n">
        <v>7.11</v>
      </c>
      <c r="AC21" s="36" t="n">
        <v>7.36</v>
      </c>
      <c r="AD21" s="36" t="n">
        <v>30.05</v>
      </c>
      <c r="AE21" s="36" t="n">
        <v>12.04</v>
      </c>
      <c r="AF21" s="28" t="n">
        <v>16.93</v>
      </c>
      <c r="AG21" s="36" t="n">
        <v>10.27</v>
      </c>
      <c r="AH21" s="37" t="n">
        <v>7.08</v>
      </c>
      <c r="AI21" s="37" t="n">
        <v>6.85</v>
      </c>
      <c r="AJ21" s="37" t="n">
        <v>6.7</v>
      </c>
      <c r="AK21" s="37" t="n">
        <v>15.67</v>
      </c>
      <c r="AL21" s="37" t="n">
        <v>7.65</v>
      </c>
      <c r="AM21" s="37" t="n">
        <v>11.12</v>
      </c>
      <c r="AN21" s="37" t="n">
        <v>7.08</v>
      </c>
      <c r="AO21" s="37" t="n">
        <v>6.75</v>
      </c>
      <c r="AP21" s="37" t="n">
        <v>9.140000000000001</v>
      </c>
      <c r="AQ21" s="37" t="n">
        <v>9.16</v>
      </c>
      <c r="AR21" s="37" t="n">
        <v>7.6</v>
      </c>
      <c r="AS21" s="37" t="n">
        <v>4.06</v>
      </c>
      <c r="AT21" s="37" t="n">
        <v>8.24</v>
      </c>
      <c r="AU21" s="37" t="n">
        <v>14.09</v>
      </c>
      <c r="AV21" s="37" t="n">
        <v>14.09</v>
      </c>
      <c r="AW21" s="37" t="n">
        <v>6.77</v>
      </c>
      <c r="AX21" s="37" t="n">
        <v>6.37</v>
      </c>
      <c r="AY21" s="37" t="n">
        <v>7.27</v>
      </c>
      <c r="AZ21" s="37" t="n">
        <v>3.89</v>
      </c>
      <c r="BA21" s="37" t="n">
        <v>7.55</v>
      </c>
      <c r="BB21" s="37" t="n">
        <v>7.22</v>
      </c>
      <c r="BC21" s="37" t="n">
        <v>2.5</v>
      </c>
      <c r="BD21" s="37" t="n">
        <v>6.16</v>
      </c>
      <c r="BE21" s="37" t="n">
        <v>7.46</v>
      </c>
      <c r="BF21" s="37" t="n">
        <v>6.68</v>
      </c>
      <c r="BG21" s="37" t="n">
        <v>5.33</v>
      </c>
      <c r="BH21" s="37" t="n">
        <v>9.800000000000001</v>
      </c>
      <c r="BI21" s="37" t="n">
        <v>8.43</v>
      </c>
      <c r="BJ21" s="37" t="n">
        <v>41.62</v>
      </c>
      <c r="BK21" s="37" t="n">
        <v>17.75</v>
      </c>
      <c r="BL21" s="37" t="n">
        <v>9.06</v>
      </c>
      <c r="BM21" s="37" t="n">
        <v>6.94</v>
      </c>
      <c r="BN21" s="37" t="n">
        <v>5.33</v>
      </c>
      <c r="BO21" s="37" t="n">
        <v>11.66</v>
      </c>
      <c r="BP21" s="37" t="n">
        <v>16.74</v>
      </c>
      <c r="BQ21" s="37" t="n">
        <v>12.27</v>
      </c>
      <c r="BR21" s="37" t="n">
        <v>7.91</v>
      </c>
      <c r="BS21" s="37" t="n">
        <v>7.46</v>
      </c>
      <c r="BT21" s="37" t="n">
        <v>6.68</v>
      </c>
      <c r="BU21" s="37" t="n">
        <v>7.55</v>
      </c>
      <c r="BV21" s="37" t="n">
        <v>10.65</v>
      </c>
      <c r="BW21" s="37" t="n">
        <v>8.43</v>
      </c>
      <c r="BX21" s="37" t="n">
        <v>8.050000000000001</v>
      </c>
      <c r="BY21" s="37" t="n">
        <v>7.91</v>
      </c>
      <c r="BZ21" s="37" t="n">
        <v>13.57</v>
      </c>
      <c r="CA21" s="37" t="n">
        <v>7.88</v>
      </c>
      <c r="CB21" s="37" t="n">
        <v>5.05</v>
      </c>
      <c r="CC21" s="37" t="n">
        <v>674.3699999999998</v>
      </c>
    </row>
    <row r="22" ht="15.75" customHeight="1" s="57">
      <c r="A22" s="7" t="inlineStr">
        <is>
          <t>NTB</t>
        </is>
      </c>
      <c r="B22" s="7" t="inlineStr">
        <is>
          <t>Bình Thuận</t>
        </is>
      </c>
      <c r="C22" s="7" t="n">
        <v>20633000</v>
      </c>
      <c r="D22" s="7" t="inlineStr">
        <is>
          <t>(BTH) Bắc Bình</t>
        </is>
      </c>
      <c r="E22" s="7" t="inlineStr">
        <is>
          <t>TTS</t>
        </is>
      </c>
      <c r="F22" s="36" t="n">
        <v>141</v>
      </c>
      <c r="G22" s="36" t="n">
        <v>175</v>
      </c>
      <c r="H22" s="36" t="n">
        <v>178</v>
      </c>
      <c r="I22" s="36" t="n">
        <v>147</v>
      </c>
      <c r="J22" s="36" t="n">
        <v>140</v>
      </c>
      <c r="K22" s="28" t="n">
        <v>114</v>
      </c>
      <c r="L22" s="36" t="n">
        <v>140</v>
      </c>
      <c r="M22" s="36" t="n">
        <v>140</v>
      </c>
      <c r="N22" s="36" t="n">
        <v>178</v>
      </c>
      <c r="O22" s="36" t="n">
        <v>157</v>
      </c>
      <c r="P22" s="36" t="n">
        <v>154</v>
      </c>
      <c r="Q22" s="36" t="n">
        <v>162</v>
      </c>
      <c r="R22" s="28" t="n">
        <v>144</v>
      </c>
      <c r="S22" s="36" t="n">
        <v>154</v>
      </c>
      <c r="T22" s="36" t="n">
        <v>133</v>
      </c>
      <c r="U22" s="36" t="n">
        <v>122.52</v>
      </c>
      <c r="V22" s="36" t="n">
        <v>120.21</v>
      </c>
      <c r="W22" s="36" t="n">
        <v>117.37</v>
      </c>
      <c r="X22" s="36" t="n">
        <v>94.48</v>
      </c>
      <c r="Y22" s="28" t="n">
        <v>137.72</v>
      </c>
      <c r="Z22" s="36" t="n">
        <v>117.22</v>
      </c>
      <c r="AA22" s="36" t="n">
        <v>129.73</v>
      </c>
      <c r="AB22" s="36" t="n">
        <v>144.77</v>
      </c>
      <c r="AC22" s="36" t="n">
        <v>152.29</v>
      </c>
      <c r="AD22" s="36" t="n">
        <v>156.61</v>
      </c>
      <c r="AE22" s="36" t="n">
        <v>109.82</v>
      </c>
      <c r="AF22" s="28" t="n">
        <v>142.31</v>
      </c>
      <c r="AG22" s="36" t="n">
        <v>119.38</v>
      </c>
      <c r="AH22" s="37" t="n">
        <v>118.25</v>
      </c>
      <c r="AI22" s="37" t="n">
        <v>135.4</v>
      </c>
      <c r="AJ22" s="37" t="n">
        <v>145.75</v>
      </c>
      <c r="AK22" s="37" t="n">
        <v>143.17</v>
      </c>
      <c r="AL22" s="37" t="n">
        <v>101.69</v>
      </c>
      <c r="AM22" s="37" t="n">
        <v>140.09</v>
      </c>
      <c r="AN22" s="37" t="n">
        <v>120.9</v>
      </c>
      <c r="AO22" s="37" t="n">
        <v>120.1</v>
      </c>
      <c r="AP22" s="37" t="n">
        <v>116.65</v>
      </c>
      <c r="AQ22" s="37" t="n">
        <v>117.99</v>
      </c>
      <c r="AR22" s="37" t="n">
        <v>115.67</v>
      </c>
      <c r="AS22" s="37" t="n">
        <v>94.68000000000001</v>
      </c>
      <c r="AT22" s="37" t="n">
        <v>151.43</v>
      </c>
      <c r="AU22" s="37" t="n">
        <v>137.15</v>
      </c>
      <c r="AV22" s="37" t="n">
        <v>121.7</v>
      </c>
      <c r="AW22" s="37" t="n">
        <v>115.36</v>
      </c>
      <c r="AX22" s="37" t="n">
        <v>114.59</v>
      </c>
      <c r="AY22" s="37" t="n">
        <v>114.23</v>
      </c>
      <c r="AZ22" s="37" t="n">
        <v>94.79000000000001</v>
      </c>
      <c r="BA22" s="37" t="n">
        <v>136.59</v>
      </c>
      <c r="BB22" s="37" t="n">
        <v>127.52</v>
      </c>
      <c r="BC22" s="37" t="n">
        <v>76.03</v>
      </c>
      <c r="BD22" s="37" t="n">
        <v>110.06</v>
      </c>
      <c r="BE22" s="37" t="n">
        <v>129.99</v>
      </c>
      <c r="BF22" s="37" t="n">
        <v>125.97</v>
      </c>
      <c r="BG22" s="37" t="n">
        <v>101.89</v>
      </c>
      <c r="BH22" s="37" t="n">
        <v>151.33</v>
      </c>
      <c r="BI22" s="37" t="n">
        <v>127.52</v>
      </c>
      <c r="BJ22" s="37" t="n">
        <v>118.93</v>
      </c>
      <c r="BK22" s="37" t="n">
        <v>129.73</v>
      </c>
      <c r="BL22" s="37" t="n">
        <v>129.99</v>
      </c>
      <c r="BM22" s="37" t="n">
        <v>125.97</v>
      </c>
      <c r="BN22" s="37" t="n">
        <v>101.89</v>
      </c>
      <c r="BO22" s="37" t="n">
        <v>151.33</v>
      </c>
      <c r="BP22" s="37" t="n">
        <v>127.52</v>
      </c>
      <c r="BQ22" s="37" t="n">
        <v>126.13</v>
      </c>
      <c r="BR22" s="37" t="n">
        <v>129.73</v>
      </c>
      <c r="BS22" s="37" t="n">
        <v>129.99</v>
      </c>
      <c r="BT22" s="37" t="n">
        <v>125.97</v>
      </c>
      <c r="BU22" s="37" t="n">
        <v>101.89</v>
      </c>
      <c r="BV22" s="37" t="n">
        <v>151.33</v>
      </c>
      <c r="BW22" s="37" t="n">
        <v>127.52</v>
      </c>
      <c r="BX22" s="37" t="n">
        <v>126.13</v>
      </c>
      <c r="BY22" s="37" t="n">
        <v>129.73</v>
      </c>
      <c r="BZ22" s="37" t="n">
        <v>129.99</v>
      </c>
      <c r="CA22" s="37" t="n">
        <v>125.97</v>
      </c>
      <c r="CB22" s="37" t="n">
        <v>101.89</v>
      </c>
      <c r="CC22" s="37" t="n">
        <v>9719.549999999996</v>
      </c>
    </row>
    <row r="23" ht="15.75" customHeight="1" s="57">
      <c r="A23" s="7" t="inlineStr">
        <is>
          <t>NTB</t>
        </is>
      </c>
      <c r="B23" s="7" t="inlineStr">
        <is>
          <t>Bình Thuận</t>
        </is>
      </c>
      <c r="C23" s="7" t="n">
        <v>20633000</v>
      </c>
      <c r="D23" s="7" t="inlineStr">
        <is>
          <t>(BTH) Bắc Bình</t>
        </is>
      </c>
      <c r="E23" s="7" t="inlineStr">
        <is>
          <t>TTS-Bulky</t>
        </is>
      </c>
      <c r="F23" s="36" t="n">
        <v>1</v>
      </c>
      <c r="G23" s="36" t="n">
        <v>0</v>
      </c>
      <c r="H23" s="36" t="n">
        <v>1</v>
      </c>
      <c r="I23" s="36" t="n">
        <v>2</v>
      </c>
      <c r="J23" s="36" t="n">
        <v>3</v>
      </c>
      <c r="K23" s="28" t="n">
        <v>1</v>
      </c>
      <c r="L23" s="36" t="n">
        <v>0</v>
      </c>
      <c r="M23" s="36" t="n">
        <v>2</v>
      </c>
      <c r="N23" s="36" t="n">
        <v>0</v>
      </c>
      <c r="O23" s="36" t="n">
        <v>2</v>
      </c>
      <c r="P23" s="36" t="n">
        <v>1</v>
      </c>
      <c r="Q23" s="36" t="n">
        <v>1</v>
      </c>
      <c r="R23" s="28" t="n">
        <v>0</v>
      </c>
      <c r="S23" s="36" t="n">
        <v>1</v>
      </c>
      <c r="T23" s="36" t="n">
        <v>2</v>
      </c>
      <c r="U23" s="36" t="n">
        <v>3.42</v>
      </c>
      <c r="V23" s="36" t="n">
        <v>3.56</v>
      </c>
      <c r="W23" s="36" t="n">
        <v>1.75</v>
      </c>
      <c r="X23" s="36" t="n">
        <v>1</v>
      </c>
      <c r="Y23" s="28" t="n">
        <v>2.42</v>
      </c>
      <c r="Z23" s="36" t="n">
        <v>1.84</v>
      </c>
      <c r="AA23" s="36" t="n">
        <v>1.73</v>
      </c>
      <c r="AB23" s="36" t="n">
        <v>1.84</v>
      </c>
      <c r="AC23" s="36" t="n">
        <v>2.06</v>
      </c>
      <c r="AD23" s="36" t="n">
        <v>2.23</v>
      </c>
      <c r="AE23" s="36" t="n">
        <v>1.14</v>
      </c>
      <c r="AF23" s="28" t="n">
        <v>2.25</v>
      </c>
      <c r="AG23" s="36" t="n">
        <v>1.7</v>
      </c>
      <c r="AH23" s="37" t="n">
        <v>1.64</v>
      </c>
      <c r="AI23" s="37" t="n">
        <v>1.92</v>
      </c>
      <c r="AJ23" s="37" t="n">
        <v>1.95</v>
      </c>
      <c r="AK23" s="37" t="n">
        <v>1.89</v>
      </c>
      <c r="AL23" s="37" t="n">
        <v>1</v>
      </c>
      <c r="AM23" s="37" t="n">
        <v>2.25</v>
      </c>
      <c r="AN23" s="37" t="n">
        <v>1.67</v>
      </c>
      <c r="AO23" s="37" t="n">
        <v>1.7</v>
      </c>
      <c r="AP23" s="37" t="n">
        <v>1.7</v>
      </c>
      <c r="AQ23" s="37" t="n">
        <v>1.78</v>
      </c>
      <c r="AR23" s="37" t="n">
        <v>1.73</v>
      </c>
      <c r="AS23" s="37" t="n">
        <v>1</v>
      </c>
      <c r="AT23" s="37" t="n">
        <v>2.42</v>
      </c>
      <c r="AU23" s="37" t="n">
        <v>1.89</v>
      </c>
      <c r="AV23" s="37" t="n">
        <v>1.64</v>
      </c>
      <c r="AW23" s="37" t="n">
        <v>1.67</v>
      </c>
      <c r="AX23" s="37" t="n">
        <v>1.75</v>
      </c>
      <c r="AY23" s="37" t="n">
        <v>1.73</v>
      </c>
      <c r="AZ23" s="37" t="n">
        <v>1</v>
      </c>
      <c r="BA23" s="37" t="n">
        <v>2</v>
      </c>
      <c r="BB23" s="37" t="n">
        <v>0.47</v>
      </c>
      <c r="BC23" s="37" t="n">
        <v>0.22</v>
      </c>
      <c r="BD23" s="37" t="n">
        <v>0.39</v>
      </c>
      <c r="BE23" s="37" t="n">
        <v>0.47</v>
      </c>
      <c r="BF23" s="37" t="n">
        <v>0.47</v>
      </c>
      <c r="BG23" s="37" t="n">
        <v>0.28</v>
      </c>
      <c r="BH23" s="37" t="n">
        <v>0.72</v>
      </c>
      <c r="BI23" s="37" t="n">
        <v>0.47</v>
      </c>
      <c r="BJ23" s="37" t="n">
        <v>0.53</v>
      </c>
      <c r="BK23" s="37" t="n">
        <v>0.47</v>
      </c>
      <c r="BL23" s="37" t="n">
        <v>0.47</v>
      </c>
      <c r="BM23" s="37" t="n">
        <v>0.47</v>
      </c>
      <c r="BN23" s="37" t="n">
        <v>0.31</v>
      </c>
      <c r="BO23" s="37" t="n">
        <v>0.75</v>
      </c>
      <c r="BP23" s="37" t="n">
        <v>0.61</v>
      </c>
      <c r="BQ23" s="37" t="n">
        <v>0.47</v>
      </c>
      <c r="BR23" s="37" t="n">
        <v>0.47</v>
      </c>
      <c r="BS23" s="37" t="n">
        <v>0.47</v>
      </c>
      <c r="BT23" s="37" t="n">
        <v>0.47</v>
      </c>
      <c r="BU23" s="37" t="n">
        <v>0.25</v>
      </c>
      <c r="BV23" s="37" t="n">
        <v>0.61</v>
      </c>
      <c r="BW23" s="37" t="n">
        <v>0.47</v>
      </c>
      <c r="BX23" s="37" t="n">
        <v>0.47</v>
      </c>
      <c r="BY23" s="37" t="n">
        <v>0.47</v>
      </c>
      <c r="BZ23" s="37" t="n">
        <v>0.47</v>
      </c>
      <c r="CA23" s="37" t="n">
        <v>0.47</v>
      </c>
      <c r="CB23" s="37" t="n">
        <v>0.25</v>
      </c>
      <c r="CC23" s="37" t="n">
        <v>90.71000000000001</v>
      </c>
    </row>
    <row r="24" ht="15.75" customHeight="1" s="57">
      <c r="A24" s="7" t="inlineStr">
        <is>
          <t>NTB</t>
        </is>
      </c>
      <c r="B24" s="7" t="inlineStr">
        <is>
          <t>Bình Thuận</t>
        </is>
      </c>
      <c r="C24" s="7" t="n">
        <v>20687000</v>
      </c>
      <c r="D24" s="7" t="inlineStr">
        <is>
          <t>(BTH) Hàm Tân</t>
        </is>
      </c>
      <c r="E24" s="7" t="inlineStr">
        <is>
          <t>SME</t>
        </is>
      </c>
      <c r="F24" s="36" t="n">
        <v>254</v>
      </c>
      <c r="G24" s="36" t="n">
        <v>271</v>
      </c>
      <c r="H24" s="36" t="n">
        <v>267</v>
      </c>
      <c r="I24" s="36" t="n">
        <v>272</v>
      </c>
      <c r="J24" s="36" t="n">
        <v>283</v>
      </c>
      <c r="K24" s="28" t="n">
        <v>234</v>
      </c>
      <c r="L24" s="36" t="n">
        <v>169</v>
      </c>
      <c r="M24" s="36" t="n">
        <v>199</v>
      </c>
      <c r="N24" s="36" t="n">
        <v>204</v>
      </c>
      <c r="O24" s="36" t="n">
        <v>189</v>
      </c>
      <c r="P24" s="36" t="n">
        <v>206</v>
      </c>
      <c r="Q24" s="36" t="n">
        <v>208</v>
      </c>
      <c r="R24" s="28" t="n">
        <v>249</v>
      </c>
      <c r="S24" s="36" t="n">
        <v>213</v>
      </c>
      <c r="T24" s="36" t="n">
        <v>196</v>
      </c>
      <c r="U24" s="36" t="n">
        <v>245.11</v>
      </c>
      <c r="V24" s="36" t="n">
        <v>253.64</v>
      </c>
      <c r="W24" s="36" t="n">
        <v>246.69</v>
      </c>
      <c r="X24" s="36" t="n">
        <v>201.82</v>
      </c>
      <c r="Y24" s="28" t="n">
        <v>273.42</v>
      </c>
      <c r="Z24" s="36" t="n">
        <v>251.71</v>
      </c>
      <c r="AA24" s="36" t="n">
        <v>245.81</v>
      </c>
      <c r="AB24" s="36" t="n">
        <v>245.11</v>
      </c>
      <c r="AC24" s="36" t="n">
        <v>253.64</v>
      </c>
      <c r="AD24" s="36" t="n">
        <v>257.73</v>
      </c>
      <c r="AE24" s="36" t="n">
        <v>201.82</v>
      </c>
      <c r="AF24" s="28" t="n">
        <v>273.42</v>
      </c>
      <c r="AG24" s="36" t="n">
        <v>251.71</v>
      </c>
      <c r="AH24" s="37" t="n">
        <v>245.81</v>
      </c>
      <c r="AI24" s="37" t="n">
        <v>245.11</v>
      </c>
      <c r="AJ24" s="37" t="n">
        <v>253.64</v>
      </c>
      <c r="AK24" s="37" t="n">
        <v>246.69</v>
      </c>
      <c r="AL24" s="37" t="n">
        <v>201.82</v>
      </c>
      <c r="AM24" s="37" t="n">
        <v>273.42</v>
      </c>
      <c r="AN24" s="37" t="n">
        <v>251.71</v>
      </c>
      <c r="AO24" s="37" t="n">
        <v>245.81</v>
      </c>
      <c r="AP24" s="37" t="n">
        <v>245.11</v>
      </c>
      <c r="AQ24" s="37" t="n">
        <v>253.64</v>
      </c>
      <c r="AR24" s="37" t="n">
        <v>246.69</v>
      </c>
      <c r="AS24" s="37" t="n">
        <v>201.82</v>
      </c>
      <c r="AT24" s="37" t="n">
        <v>273.42</v>
      </c>
      <c r="AU24" s="37" t="n">
        <v>251.71</v>
      </c>
      <c r="AV24" s="37" t="n">
        <v>245.81</v>
      </c>
      <c r="AW24" s="37" t="n">
        <v>245.11</v>
      </c>
      <c r="AX24" s="37" t="n">
        <v>253.64</v>
      </c>
      <c r="AY24" s="37" t="n">
        <v>246.69</v>
      </c>
      <c r="AZ24" s="37" t="n">
        <v>201.82</v>
      </c>
      <c r="BA24" s="37" t="n">
        <v>246.15</v>
      </c>
      <c r="BB24" s="37" t="n">
        <v>220.34</v>
      </c>
      <c r="BC24" s="37" t="n">
        <v>139.61</v>
      </c>
      <c r="BD24" s="37" t="n">
        <v>139.15</v>
      </c>
      <c r="BE24" s="37" t="n">
        <v>234.97</v>
      </c>
      <c r="BF24" s="37" t="n">
        <v>228.64</v>
      </c>
      <c r="BG24" s="37" t="n">
        <v>208.14</v>
      </c>
      <c r="BH24" s="37" t="n">
        <v>282.09</v>
      </c>
      <c r="BI24" s="37" t="n">
        <v>259.64</v>
      </c>
      <c r="BJ24" s="37" t="n">
        <v>264.5</v>
      </c>
      <c r="BK24" s="37" t="n">
        <v>252.64</v>
      </c>
      <c r="BL24" s="37" t="n">
        <v>261.69</v>
      </c>
      <c r="BM24" s="37" t="n">
        <v>254.2</v>
      </c>
      <c r="BN24" s="37" t="n">
        <v>208.14</v>
      </c>
      <c r="BO24" s="37" t="n">
        <v>282.09</v>
      </c>
      <c r="BP24" s="37" t="n">
        <v>259.64</v>
      </c>
      <c r="BQ24" s="37" t="n">
        <v>253.37</v>
      </c>
      <c r="BR24" s="37" t="n">
        <v>252.64</v>
      </c>
      <c r="BS24" s="37" t="n">
        <v>261.69</v>
      </c>
      <c r="BT24" s="37" t="n">
        <v>254.2</v>
      </c>
      <c r="BU24" s="37" t="n">
        <v>208.14</v>
      </c>
      <c r="BV24" s="37" t="n">
        <v>282.09</v>
      </c>
      <c r="BW24" s="37" t="n">
        <v>259.64</v>
      </c>
      <c r="BX24" s="37" t="n">
        <v>253.37</v>
      </c>
      <c r="BY24" s="37" t="n">
        <v>252.64</v>
      </c>
      <c r="BZ24" s="37" t="n">
        <v>261.69</v>
      </c>
      <c r="CA24" s="37" t="n">
        <v>254.2</v>
      </c>
      <c r="CB24" s="37" t="n">
        <v>208.14</v>
      </c>
      <c r="CC24" s="37" t="n">
        <v>17988.53999999999</v>
      </c>
    </row>
    <row r="25" ht="15.75" customHeight="1" s="57">
      <c r="A25" s="7" t="inlineStr">
        <is>
          <t>NTB</t>
        </is>
      </c>
      <c r="B25" s="7" t="inlineStr">
        <is>
          <t>Bình Thuận</t>
        </is>
      </c>
      <c r="C25" s="7" t="n">
        <v>20687000</v>
      </c>
      <c r="D25" s="7" t="inlineStr">
        <is>
          <t>(BTH) Hàm Tân</t>
        </is>
      </c>
      <c r="E25" s="7" t="inlineStr">
        <is>
          <t>SME-Bulky</t>
        </is>
      </c>
      <c r="F25" s="36" t="n">
        <v>6</v>
      </c>
      <c r="G25" s="36" t="n">
        <v>6</v>
      </c>
      <c r="H25" s="36" t="n">
        <v>11</v>
      </c>
      <c r="I25" s="36" t="n">
        <v>8</v>
      </c>
      <c r="J25" s="36" t="n">
        <v>11</v>
      </c>
      <c r="K25" s="28" t="n">
        <v>8</v>
      </c>
      <c r="L25" s="36" t="n">
        <v>4</v>
      </c>
      <c r="M25" s="36" t="n">
        <v>8</v>
      </c>
      <c r="N25" s="36" t="n">
        <v>6</v>
      </c>
      <c r="O25" s="36" t="n">
        <v>4</v>
      </c>
      <c r="P25" s="36" t="n">
        <v>5</v>
      </c>
      <c r="Q25" s="36" t="n">
        <v>5</v>
      </c>
      <c r="R25" s="28" t="n">
        <v>3</v>
      </c>
      <c r="S25" s="36" t="n">
        <v>2</v>
      </c>
      <c r="T25" s="36" t="n">
        <v>8</v>
      </c>
      <c r="U25" s="36" t="n">
        <v>4.93</v>
      </c>
      <c r="V25" s="36" t="n">
        <v>4.94</v>
      </c>
      <c r="W25" s="36" t="n">
        <v>4.59</v>
      </c>
      <c r="X25" s="36" t="n">
        <v>3.22</v>
      </c>
      <c r="Y25" s="28" t="n">
        <v>5.51</v>
      </c>
      <c r="Z25" s="36" t="n">
        <v>5.35</v>
      </c>
      <c r="AA25" s="36" t="n">
        <v>5.22</v>
      </c>
      <c r="AB25" s="36" t="n">
        <v>4.93</v>
      </c>
      <c r="AC25" s="36" t="n">
        <v>4.94</v>
      </c>
      <c r="AD25" s="36" t="n">
        <v>5.23</v>
      </c>
      <c r="AE25" s="36" t="n">
        <v>3.22</v>
      </c>
      <c r="AF25" s="28" t="n">
        <v>5.51</v>
      </c>
      <c r="AG25" s="36" t="n">
        <v>5.35</v>
      </c>
      <c r="AH25" s="37" t="n">
        <v>5.22</v>
      </c>
      <c r="AI25" s="37" t="n">
        <v>4.93</v>
      </c>
      <c r="AJ25" s="37" t="n">
        <v>4.94</v>
      </c>
      <c r="AK25" s="37" t="n">
        <v>4.59</v>
      </c>
      <c r="AL25" s="37" t="n">
        <v>3.22</v>
      </c>
      <c r="AM25" s="37" t="n">
        <v>5.51</v>
      </c>
      <c r="AN25" s="37" t="n">
        <v>5.35</v>
      </c>
      <c r="AO25" s="37" t="n">
        <v>5.22</v>
      </c>
      <c r="AP25" s="37" t="n">
        <v>4.93</v>
      </c>
      <c r="AQ25" s="37" t="n">
        <v>4.94</v>
      </c>
      <c r="AR25" s="37" t="n">
        <v>4.59</v>
      </c>
      <c r="AS25" s="37" t="n">
        <v>3.22</v>
      </c>
      <c r="AT25" s="37" t="n">
        <v>5.51</v>
      </c>
      <c r="AU25" s="37" t="n">
        <v>5.35</v>
      </c>
      <c r="AV25" s="37" t="n">
        <v>5.22</v>
      </c>
      <c r="AW25" s="37" t="n">
        <v>4.93</v>
      </c>
      <c r="AX25" s="37" t="n">
        <v>4.94</v>
      </c>
      <c r="AY25" s="37" t="n">
        <v>4.59</v>
      </c>
      <c r="AZ25" s="37" t="n">
        <v>3.22</v>
      </c>
      <c r="BA25" s="37" t="n">
        <v>5.52</v>
      </c>
      <c r="BB25" s="37" t="n">
        <v>2.9</v>
      </c>
      <c r="BC25" s="37" t="n">
        <v>1.55</v>
      </c>
      <c r="BD25" s="37" t="n">
        <v>1.4</v>
      </c>
      <c r="BE25" s="37" t="n">
        <v>2.52</v>
      </c>
      <c r="BF25" s="37" t="n">
        <v>2.42</v>
      </c>
      <c r="BG25" s="37" t="n">
        <v>1.89</v>
      </c>
      <c r="BH25" s="37" t="n">
        <v>3.2</v>
      </c>
      <c r="BI25" s="37" t="n">
        <v>3.2</v>
      </c>
      <c r="BJ25" s="37" t="n">
        <v>3.31</v>
      </c>
      <c r="BK25" s="37" t="n">
        <v>2.91</v>
      </c>
      <c r="BL25" s="37" t="n">
        <v>2.95</v>
      </c>
      <c r="BM25" s="37" t="n">
        <v>2.73</v>
      </c>
      <c r="BN25" s="37" t="n">
        <v>1.89</v>
      </c>
      <c r="BO25" s="37" t="n">
        <v>3.2</v>
      </c>
      <c r="BP25" s="37" t="n">
        <v>3.2</v>
      </c>
      <c r="BQ25" s="37" t="n">
        <v>3.02</v>
      </c>
      <c r="BR25" s="37" t="n">
        <v>2.91</v>
      </c>
      <c r="BS25" s="37" t="n">
        <v>2.95</v>
      </c>
      <c r="BT25" s="37" t="n">
        <v>2.73</v>
      </c>
      <c r="BU25" s="37" t="n">
        <v>1.89</v>
      </c>
      <c r="BV25" s="37" t="n">
        <v>3.2</v>
      </c>
      <c r="BW25" s="37" t="n">
        <v>3.2</v>
      </c>
      <c r="BX25" s="37" t="n">
        <v>3.02</v>
      </c>
      <c r="BY25" s="37" t="n">
        <v>2.91</v>
      </c>
      <c r="BZ25" s="37" t="n">
        <v>2.95</v>
      </c>
      <c r="CA25" s="37" t="n">
        <v>2.73</v>
      </c>
      <c r="CB25" s="37" t="n">
        <v>1.89</v>
      </c>
      <c r="CC25" s="37" t="n">
        <v>326.5499999999999</v>
      </c>
    </row>
    <row r="26" ht="15.75" customHeight="1" s="57">
      <c r="A26" s="7" t="inlineStr">
        <is>
          <t>NTB</t>
        </is>
      </c>
      <c r="B26" s="7" t="inlineStr">
        <is>
          <t>Bình Thuận</t>
        </is>
      </c>
      <c r="C26" s="7" t="n">
        <v>20687000</v>
      </c>
      <c r="D26" s="7" t="inlineStr">
        <is>
          <t>(BTH) Hàm Tân</t>
        </is>
      </c>
      <c r="E26" s="7" t="inlineStr">
        <is>
          <t>Shopee</t>
        </is>
      </c>
      <c r="F26" s="36" t="n">
        <v>234</v>
      </c>
      <c r="G26" s="36" t="n">
        <v>183</v>
      </c>
      <c r="H26" s="36" t="n">
        <v>275</v>
      </c>
      <c r="I26" s="36" t="n">
        <v>226</v>
      </c>
      <c r="J26" s="36" t="n">
        <v>208</v>
      </c>
      <c r="K26" s="28" t="n">
        <v>146</v>
      </c>
      <c r="L26" s="36" t="n">
        <v>154</v>
      </c>
      <c r="M26" s="36" t="n">
        <v>190</v>
      </c>
      <c r="N26" s="36" t="n">
        <v>191</v>
      </c>
      <c r="O26" s="36" t="n">
        <v>164</v>
      </c>
      <c r="P26" s="36" t="n">
        <v>166</v>
      </c>
      <c r="Q26" s="36" t="n">
        <v>152</v>
      </c>
      <c r="R26" s="28" t="n">
        <v>167</v>
      </c>
      <c r="S26" s="36" t="n">
        <v>139</v>
      </c>
      <c r="T26" s="36" t="n">
        <v>144</v>
      </c>
      <c r="U26" s="36" t="n">
        <v>169.66</v>
      </c>
      <c r="V26" s="36" t="n">
        <v>170.37</v>
      </c>
      <c r="W26" s="36" t="n">
        <v>167.85</v>
      </c>
      <c r="X26" s="36" t="n">
        <v>136.55</v>
      </c>
      <c r="Y26" s="28" t="n">
        <v>228.62</v>
      </c>
      <c r="Z26" s="36" t="n">
        <v>180.9</v>
      </c>
      <c r="AA26" s="36" t="n">
        <v>248.72</v>
      </c>
      <c r="AB26" s="36" t="n">
        <v>173.16</v>
      </c>
      <c r="AC26" s="36" t="n">
        <v>139.87</v>
      </c>
      <c r="AD26" s="36" t="n">
        <v>380.05</v>
      </c>
      <c r="AE26" s="36" t="n">
        <v>146.16</v>
      </c>
      <c r="AF26" s="28" t="n">
        <v>260.54</v>
      </c>
      <c r="AG26" s="36" t="n">
        <v>189.98</v>
      </c>
      <c r="AH26" s="37" t="n">
        <v>200.74</v>
      </c>
      <c r="AI26" s="37" t="n">
        <v>169.66</v>
      </c>
      <c r="AJ26" s="37" t="n">
        <v>170.37</v>
      </c>
      <c r="AK26" s="37" t="n">
        <v>226.5</v>
      </c>
      <c r="AL26" s="37" t="n">
        <v>245.09</v>
      </c>
      <c r="AM26" s="37" t="n">
        <v>228.62</v>
      </c>
      <c r="AN26" s="37" t="n">
        <v>180.9</v>
      </c>
      <c r="AO26" s="37" t="n">
        <v>200.74</v>
      </c>
      <c r="AP26" s="37" t="n">
        <v>211.84</v>
      </c>
      <c r="AQ26" s="37" t="n">
        <v>136.68</v>
      </c>
      <c r="AR26" s="37" t="n">
        <v>167.85</v>
      </c>
      <c r="AS26" s="37" t="n">
        <v>136.55</v>
      </c>
      <c r="AT26" s="37" t="n">
        <v>228.62</v>
      </c>
      <c r="AU26" s="37" t="n">
        <v>184.62</v>
      </c>
      <c r="AV26" s="37" t="n">
        <v>204.55</v>
      </c>
      <c r="AW26" s="37" t="n">
        <v>169.66</v>
      </c>
      <c r="AX26" s="37" t="n">
        <v>170.37</v>
      </c>
      <c r="AY26" s="37" t="n">
        <v>167.85</v>
      </c>
      <c r="AZ26" s="37" t="n">
        <v>136.55</v>
      </c>
      <c r="BA26" s="37" t="n">
        <v>176.21</v>
      </c>
      <c r="BB26" s="37" t="n">
        <v>153.55</v>
      </c>
      <c r="BC26" s="37" t="n">
        <v>78.3</v>
      </c>
      <c r="BD26" s="37" t="n">
        <v>138.81</v>
      </c>
      <c r="BE26" s="37" t="n">
        <v>162.36</v>
      </c>
      <c r="BF26" s="37" t="n">
        <v>159.92</v>
      </c>
      <c r="BG26" s="37" t="n">
        <v>132.61</v>
      </c>
      <c r="BH26" s="37" t="n">
        <v>217.61</v>
      </c>
      <c r="BI26" s="37" t="n">
        <v>141.2</v>
      </c>
      <c r="BJ26" s="37" t="n">
        <v>539.46</v>
      </c>
      <c r="BK26" s="37" t="n">
        <v>172.98</v>
      </c>
      <c r="BL26" s="37" t="n">
        <v>170.37</v>
      </c>
      <c r="BM26" s="37" t="n">
        <v>159.92</v>
      </c>
      <c r="BN26" s="37" t="n">
        <v>130.05</v>
      </c>
      <c r="BO26" s="37" t="n">
        <v>217.61</v>
      </c>
      <c r="BP26" s="37" t="n">
        <v>232.6</v>
      </c>
      <c r="BQ26" s="37" t="n">
        <v>343.13</v>
      </c>
      <c r="BR26" s="37" t="n">
        <v>161.65</v>
      </c>
      <c r="BS26" s="37" t="n">
        <v>162.36</v>
      </c>
      <c r="BT26" s="37" t="n">
        <v>159.92</v>
      </c>
      <c r="BU26" s="37" t="n">
        <v>162.54</v>
      </c>
      <c r="BV26" s="37" t="n">
        <v>174.44</v>
      </c>
      <c r="BW26" s="37" t="n">
        <v>172.36</v>
      </c>
      <c r="BX26" s="37" t="n">
        <v>191.31</v>
      </c>
      <c r="BY26" s="37" t="n">
        <v>161.65</v>
      </c>
      <c r="BZ26" s="37" t="n">
        <v>165.59</v>
      </c>
      <c r="CA26" s="37" t="n">
        <v>163.16</v>
      </c>
      <c r="CB26" s="37" t="n">
        <v>130.05</v>
      </c>
      <c r="CC26" s="37" t="n">
        <v>14000.91</v>
      </c>
    </row>
    <row r="27" ht="15.75" customHeight="1" s="57">
      <c r="A27" s="7" t="inlineStr">
        <is>
          <t>NTB</t>
        </is>
      </c>
      <c r="B27" s="7" t="inlineStr">
        <is>
          <t>Bình Thuận</t>
        </is>
      </c>
      <c r="C27" s="7" t="n">
        <v>20687000</v>
      </c>
      <c r="D27" s="7" t="inlineStr">
        <is>
          <t>(BTH) Hàm Tân</t>
        </is>
      </c>
      <c r="E27" s="7" t="inlineStr">
        <is>
          <t>Shopee-Bulky</t>
        </is>
      </c>
      <c r="F27" s="36" t="n">
        <v>14</v>
      </c>
      <c r="G27" s="36" t="n">
        <v>12</v>
      </c>
      <c r="H27" s="36" t="n">
        <v>23.33</v>
      </c>
      <c r="I27" s="36" t="n">
        <v>19.99</v>
      </c>
      <c r="J27" s="36" t="n">
        <v>17.33</v>
      </c>
      <c r="K27" s="28" t="n">
        <v>10</v>
      </c>
      <c r="L27" s="36" t="n">
        <v>6.66</v>
      </c>
      <c r="M27" s="36" t="n">
        <v>16.66</v>
      </c>
      <c r="N27" s="36" t="n">
        <v>20.66</v>
      </c>
      <c r="O27" s="36" t="n">
        <v>16</v>
      </c>
      <c r="P27" s="36" t="n">
        <v>15.33</v>
      </c>
      <c r="Q27" s="36" t="n">
        <v>23.33</v>
      </c>
      <c r="R27" s="28" t="n">
        <v>21.99</v>
      </c>
      <c r="S27" s="36" t="n">
        <v>15.33</v>
      </c>
      <c r="T27" s="36" t="n">
        <v>19.99</v>
      </c>
      <c r="U27" s="36" t="n">
        <v>17.94</v>
      </c>
      <c r="V27" s="36" t="n">
        <v>17.33</v>
      </c>
      <c r="W27" s="36" t="n">
        <v>24.19</v>
      </c>
      <c r="X27" s="36" t="n">
        <v>13.81</v>
      </c>
      <c r="Y27" s="28" t="n">
        <v>26.46</v>
      </c>
      <c r="Z27" s="36" t="n">
        <v>20.86</v>
      </c>
      <c r="AA27" s="36" t="n">
        <v>20.22</v>
      </c>
      <c r="AB27" s="36" t="n">
        <v>20.62</v>
      </c>
      <c r="AC27" s="36" t="n">
        <v>21.3</v>
      </c>
      <c r="AD27" s="36" t="n">
        <v>66.69</v>
      </c>
      <c r="AE27" s="36" t="n">
        <v>34.8</v>
      </c>
      <c r="AF27" s="28" t="n">
        <v>51.8</v>
      </c>
      <c r="AG27" s="36" t="n">
        <v>29.72</v>
      </c>
      <c r="AH27" s="37" t="n">
        <v>20.69</v>
      </c>
      <c r="AI27" s="37" t="n">
        <v>20.35</v>
      </c>
      <c r="AJ27" s="37" t="n">
        <v>19.44</v>
      </c>
      <c r="AK27" s="37" t="n">
        <v>44.17</v>
      </c>
      <c r="AL27" s="37" t="n">
        <v>22.59</v>
      </c>
      <c r="AM27" s="37" t="n">
        <v>32.73</v>
      </c>
      <c r="AN27" s="37" t="n">
        <v>20.49</v>
      </c>
      <c r="AO27" s="37" t="n">
        <v>19.81</v>
      </c>
      <c r="AP27" s="37" t="n">
        <v>27.04</v>
      </c>
      <c r="AQ27" s="37" t="n">
        <v>27.14</v>
      </c>
      <c r="AR27" s="37" t="n">
        <v>21.98</v>
      </c>
      <c r="AS27" s="37" t="n">
        <v>12.18</v>
      </c>
      <c r="AT27" s="37" t="n">
        <v>24.32</v>
      </c>
      <c r="AU27" s="37" t="n">
        <v>39.52</v>
      </c>
      <c r="AV27" s="37" t="n">
        <v>41.83</v>
      </c>
      <c r="AW27" s="37" t="n">
        <v>20.05</v>
      </c>
      <c r="AX27" s="37" t="n">
        <v>18.72</v>
      </c>
      <c r="AY27" s="37" t="n">
        <v>21.13</v>
      </c>
      <c r="AZ27" s="37" t="n">
        <v>11.67</v>
      </c>
      <c r="BA27" s="37" t="n">
        <v>22.32</v>
      </c>
      <c r="BB27" s="37" t="n">
        <v>20.69</v>
      </c>
      <c r="BC27" s="37" t="n">
        <v>6.85</v>
      </c>
      <c r="BD27" s="37" t="n">
        <v>17.54</v>
      </c>
      <c r="BE27" s="37" t="n">
        <v>21.57</v>
      </c>
      <c r="BF27" s="37" t="n">
        <v>18.93</v>
      </c>
      <c r="BG27" s="37" t="n">
        <v>15.74</v>
      </c>
      <c r="BH27" s="37" t="n">
        <v>28.46</v>
      </c>
      <c r="BI27" s="37" t="n">
        <v>24.29</v>
      </c>
      <c r="BJ27" s="37" t="n">
        <v>105.02</v>
      </c>
      <c r="BK27" s="37" t="n">
        <v>51.22</v>
      </c>
      <c r="BL27" s="37" t="n">
        <v>26.83</v>
      </c>
      <c r="BM27" s="37" t="n">
        <v>19.84</v>
      </c>
      <c r="BN27" s="37" t="n">
        <v>15.23</v>
      </c>
      <c r="BO27" s="37" t="n">
        <v>32.57</v>
      </c>
      <c r="BP27" s="37" t="n">
        <v>48.03</v>
      </c>
      <c r="BQ27" s="37" t="n">
        <v>34.4</v>
      </c>
      <c r="BR27" s="37" t="n">
        <v>22.9</v>
      </c>
      <c r="BS27" s="37" t="n">
        <v>21.57</v>
      </c>
      <c r="BT27" s="37" t="n">
        <v>18.93</v>
      </c>
      <c r="BU27" s="37" t="n">
        <v>22.02</v>
      </c>
      <c r="BV27" s="37" t="n">
        <v>29.95</v>
      </c>
      <c r="BW27" s="37" t="n">
        <v>24.29</v>
      </c>
      <c r="BX27" s="37" t="n">
        <v>23.27</v>
      </c>
      <c r="BY27" s="37" t="n">
        <v>22.9</v>
      </c>
      <c r="BZ27" s="37" t="n">
        <v>38.81</v>
      </c>
      <c r="CA27" s="37" t="n">
        <v>22.69</v>
      </c>
      <c r="CB27" s="37" t="n">
        <v>15.1</v>
      </c>
      <c r="CC27" s="37" t="n">
        <v>1856.15</v>
      </c>
    </row>
    <row r="28" ht="15.75" customHeight="1" s="57">
      <c r="A28" s="7" t="inlineStr">
        <is>
          <t>NTB</t>
        </is>
      </c>
      <c r="B28" s="7" t="inlineStr">
        <is>
          <t>Bình Thuận</t>
        </is>
      </c>
      <c r="C28" s="7" t="n">
        <v>20687000</v>
      </c>
      <c r="D28" s="7" t="inlineStr">
        <is>
          <t>(BTH) Hàm Tân</t>
        </is>
      </c>
      <c r="E28" s="7" t="inlineStr">
        <is>
          <t>Shopee-Bulky (10-15kg)</t>
        </is>
      </c>
      <c r="F28" s="36" t="n">
        <v>7</v>
      </c>
      <c r="G28" s="36" t="n">
        <v>6</v>
      </c>
      <c r="H28" s="36" t="n">
        <v>11.67</v>
      </c>
      <c r="I28" s="36" t="n">
        <v>10.01</v>
      </c>
      <c r="J28" s="36" t="n">
        <v>8.67</v>
      </c>
      <c r="K28" s="28" t="n">
        <v>5</v>
      </c>
      <c r="L28" s="36" t="n">
        <v>3.34</v>
      </c>
      <c r="M28" s="36" t="n">
        <v>8.34</v>
      </c>
      <c r="N28" s="36" t="n">
        <v>10.34</v>
      </c>
      <c r="O28" s="36" t="n">
        <v>8</v>
      </c>
      <c r="P28" s="36" t="n">
        <v>7.67</v>
      </c>
      <c r="Q28" s="36" t="n">
        <v>11.67</v>
      </c>
      <c r="R28" s="28" t="n">
        <v>11.01</v>
      </c>
      <c r="S28" s="36" t="n">
        <v>7.67</v>
      </c>
      <c r="T28" s="36" t="n">
        <v>10.01</v>
      </c>
      <c r="U28" s="36" t="n">
        <v>9.26</v>
      </c>
      <c r="V28" s="36" t="n">
        <v>8.99</v>
      </c>
      <c r="W28" s="36" t="n">
        <v>12.11</v>
      </c>
      <c r="X28" s="36" t="n">
        <v>6.58</v>
      </c>
      <c r="Y28" s="28" t="n">
        <v>13.09</v>
      </c>
      <c r="Z28" s="36" t="n">
        <v>10.31</v>
      </c>
      <c r="AA28" s="36" t="n">
        <v>10.04</v>
      </c>
      <c r="AB28" s="36" t="n">
        <v>10.21</v>
      </c>
      <c r="AC28" s="36" t="n">
        <v>10.58</v>
      </c>
      <c r="AD28" s="36" t="n">
        <v>43.18</v>
      </c>
      <c r="AE28" s="36" t="n">
        <v>17.3</v>
      </c>
      <c r="AF28" s="28" t="n">
        <v>24.32</v>
      </c>
      <c r="AG28" s="36" t="n">
        <v>14.76</v>
      </c>
      <c r="AH28" s="37" t="n">
        <v>10.18</v>
      </c>
      <c r="AI28" s="37" t="n">
        <v>9.84</v>
      </c>
      <c r="AJ28" s="37" t="n">
        <v>9.630000000000001</v>
      </c>
      <c r="AK28" s="37" t="n">
        <v>22.52</v>
      </c>
      <c r="AL28" s="37" t="n">
        <v>10.99</v>
      </c>
      <c r="AM28" s="37" t="n">
        <v>15.98</v>
      </c>
      <c r="AN28" s="37" t="n">
        <v>10.18</v>
      </c>
      <c r="AO28" s="37" t="n">
        <v>9.699999999999999</v>
      </c>
      <c r="AP28" s="37" t="n">
        <v>13.13</v>
      </c>
      <c r="AQ28" s="37" t="n">
        <v>13.16</v>
      </c>
      <c r="AR28" s="37" t="n">
        <v>10.92</v>
      </c>
      <c r="AS28" s="37" t="n">
        <v>5.83</v>
      </c>
      <c r="AT28" s="37" t="n">
        <v>11.84</v>
      </c>
      <c r="AU28" s="37" t="n">
        <v>20.25</v>
      </c>
      <c r="AV28" s="37" t="n">
        <v>20.25</v>
      </c>
      <c r="AW28" s="37" t="n">
        <v>9.74</v>
      </c>
      <c r="AX28" s="37" t="n">
        <v>9.16</v>
      </c>
      <c r="AY28" s="37" t="n">
        <v>10.45</v>
      </c>
      <c r="AZ28" s="37" t="n">
        <v>5.6</v>
      </c>
      <c r="BA28" s="37" t="n">
        <v>10.86</v>
      </c>
      <c r="BB28" s="37" t="n">
        <v>10.38</v>
      </c>
      <c r="BC28" s="37" t="n">
        <v>3.6</v>
      </c>
      <c r="BD28" s="37" t="n">
        <v>8.85</v>
      </c>
      <c r="BE28" s="37" t="n">
        <v>10.72</v>
      </c>
      <c r="BF28" s="37" t="n">
        <v>9.6</v>
      </c>
      <c r="BG28" s="37" t="n">
        <v>7.67</v>
      </c>
      <c r="BH28" s="37" t="n">
        <v>14.08</v>
      </c>
      <c r="BI28" s="37" t="n">
        <v>12.11</v>
      </c>
      <c r="BJ28" s="37" t="n">
        <v>59.8</v>
      </c>
      <c r="BK28" s="37" t="n">
        <v>25.51</v>
      </c>
      <c r="BL28" s="37" t="n">
        <v>13.03</v>
      </c>
      <c r="BM28" s="37" t="n">
        <v>9.970000000000001</v>
      </c>
      <c r="BN28" s="37" t="n">
        <v>7.67</v>
      </c>
      <c r="BO28" s="37" t="n">
        <v>16.76</v>
      </c>
      <c r="BP28" s="37" t="n">
        <v>24.05</v>
      </c>
      <c r="BQ28" s="37" t="n">
        <v>17.64</v>
      </c>
      <c r="BR28" s="37" t="n">
        <v>11.36</v>
      </c>
      <c r="BS28" s="37" t="n">
        <v>10.72</v>
      </c>
      <c r="BT28" s="37" t="n">
        <v>9.6</v>
      </c>
      <c r="BU28" s="37" t="n">
        <v>10.86</v>
      </c>
      <c r="BV28" s="37" t="n">
        <v>15.3</v>
      </c>
      <c r="BW28" s="37" t="n">
        <v>12.11</v>
      </c>
      <c r="BX28" s="37" t="n">
        <v>11.57</v>
      </c>
      <c r="BY28" s="37" t="n">
        <v>11.36</v>
      </c>
      <c r="BZ28" s="37" t="n">
        <v>19.51</v>
      </c>
      <c r="CA28" s="37" t="n">
        <v>11.33</v>
      </c>
      <c r="CB28" s="37" t="n">
        <v>7.26</v>
      </c>
      <c r="CC28" s="37" t="n">
        <v>939.7600000000001</v>
      </c>
    </row>
    <row r="29" ht="15.75" customHeight="1" s="57">
      <c r="A29" s="7" t="inlineStr">
        <is>
          <t>NTB</t>
        </is>
      </c>
      <c r="B29" s="7" t="inlineStr">
        <is>
          <t>Bình Thuận</t>
        </is>
      </c>
      <c r="C29" s="7" t="n">
        <v>20687000</v>
      </c>
      <c r="D29" s="7" t="inlineStr">
        <is>
          <t>(BTH) Hàm Tân</t>
        </is>
      </c>
      <c r="E29" s="7" t="inlineStr">
        <is>
          <t>TTS</t>
        </is>
      </c>
      <c r="F29" s="36" t="n">
        <v>178</v>
      </c>
      <c r="G29" s="36" t="n">
        <v>174</v>
      </c>
      <c r="H29" s="36" t="n">
        <v>163</v>
      </c>
      <c r="I29" s="36" t="n">
        <v>191</v>
      </c>
      <c r="J29" s="36" t="n">
        <v>197</v>
      </c>
      <c r="K29" s="28" t="n">
        <v>130</v>
      </c>
      <c r="L29" s="36" t="n">
        <v>133</v>
      </c>
      <c r="M29" s="36" t="n">
        <v>125</v>
      </c>
      <c r="N29" s="36" t="n">
        <v>141</v>
      </c>
      <c r="O29" s="36" t="n">
        <v>132</v>
      </c>
      <c r="P29" s="36" t="n">
        <v>147</v>
      </c>
      <c r="Q29" s="36" t="n">
        <v>138</v>
      </c>
      <c r="R29" s="28" t="n">
        <v>174</v>
      </c>
      <c r="S29" s="36" t="n">
        <v>143</v>
      </c>
      <c r="T29" s="36" t="n">
        <v>156</v>
      </c>
      <c r="U29" s="36" t="n">
        <v>116.85</v>
      </c>
      <c r="V29" s="36" t="n">
        <v>114.62</v>
      </c>
      <c r="W29" s="36" t="n">
        <v>111.93</v>
      </c>
      <c r="X29" s="36" t="n">
        <v>90.11</v>
      </c>
      <c r="Y29" s="28" t="n">
        <v>131.38</v>
      </c>
      <c r="Z29" s="36" t="n">
        <v>111.78</v>
      </c>
      <c r="AA29" s="36" t="n">
        <v>123.72</v>
      </c>
      <c r="AB29" s="36" t="n">
        <v>138.05</v>
      </c>
      <c r="AC29" s="36" t="n">
        <v>145.22</v>
      </c>
      <c r="AD29" s="36" t="n">
        <v>149.41</v>
      </c>
      <c r="AE29" s="36" t="n">
        <v>104.73</v>
      </c>
      <c r="AF29" s="28" t="n">
        <v>135.74</v>
      </c>
      <c r="AG29" s="36" t="n">
        <v>113.84</v>
      </c>
      <c r="AH29" s="37" t="n">
        <v>112.76</v>
      </c>
      <c r="AI29" s="37" t="n">
        <v>129.13</v>
      </c>
      <c r="AJ29" s="37" t="n">
        <v>138.98</v>
      </c>
      <c r="AK29" s="37" t="n">
        <v>136.53</v>
      </c>
      <c r="AL29" s="37" t="n">
        <v>96.98</v>
      </c>
      <c r="AM29" s="37" t="n">
        <v>133.63</v>
      </c>
      <c r="AN29" s="37" t="n">
        <v>115.3</v>
      </c>
      <c r="AO29" s="37" t="n">
        <v>114.55</v>
      </c>
      <c r="AP29" s="37" t="n">
        <v>111.24</v>
      </c>
      <c r="AQ29" s="37" t="n">
        <v>112.52</v>
      </c>
      <c r="AR29" s="37" t="n">
        <v>110.31</v>
      </c>
      <c r="AS29" s="37" t="n">
        <v>90.31</v>
      </c>
      <c r="AT29" s="37" t="n">
        <v>144.45</v>
      </c>
      <c r="AU29" s="37" t="n">
        <v>130.79</v>
      </c>
      <c r="AV29" s="37" t="n">
        <v>116.07</v>
      </c>
      <c r="AW29" s="37" t="n">
        <v>110.02</v>
      </c>
      <c r="AX29" s="37" t="n">
        <v>109.28</v>
      </c>
      <c r="AY29" s="37" t="n">
        <v>108.94</v>
      </c>
      <c r="AZ29" s="37" t="n">
        <v>90.39999999999999</v>
      </c>
      <c r="BA29" s="37" t="n">
        <v>130.3</v>
      </c>
      <c r="BB29" s="37" t="n">
        <v>121.62</v>
      </c>
      <c r="BC29" s="37" t="n">
        <v>72.49999999999999</v>
      </c>
      <c r="BD29" s="37" t="n">
        <v>104.96</v>
      </c>
      <c r="BE29" s="37" t="n">
        <v>123.97</v>
      </c>
      <c r="BF29" s="37" t="n">
        <v>120.15</v>
      </c>
      <c r="BG29" s="37" t="n">
        <v>97.18000000000001</v>
      </c>
      <c r="BH29" s="37" t="n">
        <v>144.35</v>
      </c>
      <c r="BI29" s="37" t="n">
        <v>121.62</v>
      </c>
      <c r="BJ29" s="37" t="n">
        <v>113.48</v>
      </c>
      <c r="BK29" s="37" t="n">
        <v>123.72</v>
      </c>
      <c r="BL29" s="37" t="n">
        <v>123.97</v>
      </c>
      <c r="BM29" s="37" t="n">
        <v>120.15</v>
      </c>
      <c r="BN29" s="37" t="n">
        <v>97.18000000000001</v>
      </c>
      <c r="BO29" s="37" t="n">
        <v>144.35</v>
      </c>
      <c r="BP29" s="37" t="n">
        <v>121.62</v>
      </c>
      <c r="BQ29" s="37" t="n">
        <v>120.29</v>
      </c>
      <c r="BR29" s="37" t="n">
        <v>123.72</v>
      </c>
      <c r="BS29" s="37" t="n">
        <v>123.97</v>
      </c>
      <c r="BT29" s="37" t="n">
        <v>120.15</v>
      </c>
      <c r="BU29" s="37" t="n">
        <v>97.18000000000001</v>
      </c>
      <c r="BV29" s="37" t="n">
        <v>144.35</v>
      </c>
      <c r="BW29" s="37" t="n">
        <v>121.62</v>
      </c>
      <c r="BX29" s="37" t="n">
        <v>120.29</v>
      </c>
      <c r="BY29" s="37" t="n">
        <v>123.72</v>
      </c>
      <c r="BZ29" s="37" t="n">
        <v>123.97</v>
      </c>
      <c r="CA29" s="37" t="n">
        <v>120.15</v>
      </c>
      <c r="CB29" s="37" t="n">
        <v>97.18000000000001</v>
      </c>
      <c r="CC29" s="37" t="n">
        <v>9439.280000000001</v>
      </c>
    </row>
    <row r="30" ht="15.75" customHeight="1" s="57">
      <c r="A30" s="7" t="inlineStr">
        <is>
          <t>NTB</t>
        </is>
      </c>
      <c r="B30" s="7" t="inlineStr">
        <is>
          <t>Bình Thuận</t>
        </is>
      </c>
      <c r="C30" s="7" t="n">
        <v>20687000</v>
      </c>
      <c r="D30" s="7" t="inlineStr">
        <is>
          <t>(BTH) Hàm Tân</t>
        </is>
      </c>
      <c r="E30" s="7" t="inlineStr">
        <is>
          <t>TTS-Bulky</t>
        </is>
      </c>
      <c r="F30" s="36" t="n">
        <v>1</v>
      </c>
      <c r="G30" s="36" t="n">
        <v>0</v>
      </c>
      <c r="H30" s="36" t="n">
        <v>2</v>
      </c>
      <c r="I30" s="36" t="n">
        <v>6</v>
      </c>
      <c r="J30" s="36" t="n">
        <v>2</v>
      </c>
      <c r="K30" s="28" t="n">
        <v>5</v>
      </c>
      <c r="L30" s="36" t="n">
        <v>1</v>
      </c>
      <c r="M30" s="36" t="n">
        <v>0</v>
      </c>
      <c r="N30" s="36" t="n">
        <v>0</v>
      </c>
      <c r="O30" s="36" t="n">
        <v>0</v>
      </c>
      <c r="P30" s="36" t="n">
        <v>0</v>
      </c>
      <c r="Q30" s="36" t="n">
        <v>1</v>
      </c>
      <c r="R30" s="28" t="n">
        <v>0</v>
      </c>
      <c r="S30" s="36" t="n">
        <v>0</v>
      </c>
      <c r="T30" s="36" t="n">
        <v>0</v>
      </c>
      <c r="U30" s="36" t="n">
        <v>4.37</v>
      </c>
      <c r="V30" s="36" t="n">
        <v>4.55</v>
      </c>
      <c r="W30" s="36" t="n">
        <v>2.24</v>
      </c>
      <c r="X30" s="36" t="n">
        <v>1.28</v>
      </c>
      <c r="Y30" s="28" t="n">
        <v>3.09</v>
      </c>
      <c r="Z30" s="36" t="n">
        <v>2.34</v>
      </c>
      <c r="AA30" s="36" t="n">
        <v>2.2</v>
      </c>
      <c r="AB30" s="36" t="n">
        <v>2.34</v>
      </c>
      <c r="AC30" s="36" t="n">
        <v>2.63</v>
      </c>
      <c r="AD30" s="36" t="n">
        <v>2.84</v>
      </c>
      <c r="AE30" s="36" t="n">
        <v>1.46</v>
      </c>
      <c r="AF30" s="28" t="n">
        <v>2.88</v>
      </c>
      <c r="AG30" s="36" t="n">
        <v>2.17</v>
      </c>
      <c r="AH30" s="37" t="n">
        <v>2.1</v>
      </c>
      <c r="AI30" s="37" t="n">
        <v>2.45</v>
      </c>
      <c r="AJ30" s="37" t="n">
        <v>2.49</v>
      </c>
      <c r="AK30" s="37" t="n">
        <v>2.41</v>
      </c>
      <c r="AL30" s="37" t="n">
        <v>1.28</v>
      </c>
      <c r="AM30" s="37" t="n">
        <v>2.88</v>
      </c>
      <c r="AN30" s="37" t="n">
        <v>2.13</v>
      </c>
      <c r="AO30" s="37" t="n">
        <v>2.17</v>
      </c>
      <c r="AP30" s="37" t="n">
        <v>2.17</v>
      </c>
      <c r="AQ30" s="37" t="n">
        <v>2.27</v>
      </c>
      <c r="AR30" s="37" t="n">
        <v>2.2</v>
      </c>
      <c r="AS30" s="37" t="n">
        <v>1.28</v>
      </c>
      <c r="AT30" s="37" t="n">
        <v>3.09</v>
      </c>
      <c r="AU30" s="37" t="n">
        <v>2.41</v>
      </c>
      <c r="AV30" s="37" t="n">
        <v>2.1</v>
      </c>
      <c r="AW30" s="37" t="n">
        <v>2.13</v>
      </c>
      <c r="AX30" s="37" t="n">
        <v>2.24</v>
      </c>
      <c r="AY30" s="37" t="n">
        <v>2.2</v>
      </c>
      <c r="AZ30" s="37" t="n">
        <v>1.28</v>
      </c>
      <c r="BA30" s="37" t="n">
        <v>2.56</v>
      </c>
      <c r="BB30" s="37" t="n">
        <v>0.6</v>
      </c>
      <c r="BC30" s="37" t="n">
        <v>0.28</v>
      </c>
      <c r="BD30" s="37" t="n">
        <v>0.5</v>
      </c>
      <c r="BE30" s="37" t="n">
        <v>0.6</v>
      </c>
      <c r="BF30" s="37" t="n">
        <v>0.6</v>
      </c>
      <c r="BG30" s="37" t="n">
        <v>0.36</v>
      </c>
      <c r="BH30" s="37" t="n">
        <v>0.92</v>
      </c>
      <c r="BI30" s="37" t="n">
        <v>0.6</v>
      </c>
      <c r="BJ30" s="37" t="n">
        <v>0.67</v>
      </c>
      <c r="BK30" s="37" t="n">
        <v>0.6</v>
      </c>
      <c r="BL30" s="37" t="n">
        <v>0.6</v>
      </c>
      <c r="BM30" s="37" t="n">
        <v>0.6</v>
      </c>
      <c r="BN30" s="37" t="n">
        <v>0.39</v>
      </c>
      <c r="BO30" s="37" t="n">
        <v>0.96</v>
      </c>
      <c r="BP30" s="37" t="n">
        <v>0.78</v>
      </c>
      <c r="BQ30" s="37" t="n">
        <v>0.6</v>
      </c>
      <c r="BR30" s="37" t="n">
        <v>0.6</v>
      </c>
      <c r="BS30" s="37" t="n">
        <v>0.6</v>
      </c>
      <c r="BT30" s="37" t="n">
        <v>0.6</v>
      </c>
      <c r="BU30" s="37" t="n">
        <v>0.32</v>
      </c>
      <c r="BV30" s="37" t="n">
        <v>0.78</v>
      </c>
      <c r="BW30" s="37" t="n">
        <v>0.6</v>
      </c>
      <c r="BX30" s="37" t="n">
        <v>0.6</v>
      </c>
      <c r="BY30" s="37" t="n">
        <v>0.6</v>
      </c>
      <c r="BZ30" s="37" t="n">
        <v>0.6</v>
      </c>
      <c r="CA30" s="37" t="n">
        <v>0.6</v>
      </c>
      <c r="CB30" s="37" t="n">
        <v>0.32</v>
      </c>
      <c r="CC30" s="37" t="n">
        <v>112.1099999999999</v>
      </c>
    </row>
    <row r="31" ht="15.75" customHeight="1" s="57">
      <c r="A31" s="7" t="inlineStr">
        <is>
          <t>NTB</t>
        </is>
      </c>
      <c r="B31" s="7" t="inlineStr">
        <is>
          <t>Bình Thuận</t>
        </is>
      </c>
      <c r="C31" s="7" t="n">
        <v>21065000</v>
      </c>
      <c r="D31" s="7" t="inlineStr">
        <is>
          <t>(BTH) Hàm Thuận Nam</t>
        </is>
      </c>
      <c r="E31" s="7" t="inlineStr">
        <is>
          <t>SME</t>
        </is>
      </c>
      <c r="F31" s="36" t="n">
        <v>162</v>
      </c>
      <c r="G31" s="36" t="n">
        <v>153</v>
      </c>
      <c r="H31" s="36" t="n">
        <v>158</v>
      </c>
      <c r="I31" s="36" t="n">
        <v>154</v>
      </c>
      <c r="J31" s="36" t="n">
        <v>161</v>
      </c>
      <c r="K31" s="28" t="n">
        <v>155</v>
      </c>
      <c r="L31" s="36" t="n">
        <v>107</v>
      </c>
      <c r="M31" s="36" t="n">
        <v>136</v>
      </c>
      <c r="N31" s="36" t="n">
        <v>142</v>
      </c>
      <c r="O31" s="36" t="n">
        <v>111</v>
      </c>
      <c r="P31" s="36" t="n">
        <v>111</v>
      </c>
      <c r="Q31" s="36" t="n">
        <v>125</v>
      </c>
      <c r="R31" s="28" t="n">
        <v>130</v>
      </c>
      <c r="S31" s="36" t="n">
        <v>137</v>
      </c>
      <c r="T31" s="36" t="n">
        <v>108</v>
      </c>
      <c r="U31" s="36" t="n">
        <v>148.62</v>
      </c>
      <c r="V31" s="36" t="n">
        <v>153.86</v>
      </c>
      <c r="W31" s="36" t="n">
        <v>149.6</v>
      </c>
      <c r="X31" s="36" t="n">
        <v>122.44</v>
      </c>
      <c r="Y31" s="28" t="n">
        <v>165.9</v>
      </c>
      <c r="Z31" s="36" t="n">
        <v>152.7</v>
      </c>
      <c r="AA31" s="36" t="n">
        <v>149.08</v>
      </c>
      <c r="AB31" s="36" t="n">
        <v>148.62</v>
      </c>
      <c r="AC31" s="36" t="n">
        <v>153.86</v>
      </c>
      <c r="AD31" s="36" t="n">
        <v>157.05</v>
      </c>
      <c r="AE31" s="36" t="n">
        <v>122.44</v>
      </c>
      <c r="AF31" s="28" t="n">
        <v>165.9</v>
      </c>
      <c r="AG31" s="36" t="n">
        <v>152.7</v>
      </c>
      <c r="AH31" s="37" t="n">
        <v>149.08</v>
      </c>
      <c r="AI31" s="37" t="n">
        <v>148.62</v>
      </c>
      <c r="AJ31" s="37" t="n">
        <v>153.86</v>
      </c>
      <c r="AK31" s="37" t="n">
        <v>149.6</v>
      </c>
      <c r="AL31" s="37" t="n">
        <v>122.44</v>
      </c>
      <c r="AM31" s="37" t="n">
        <v>165.9</v>
      </c>
      <c r="AN31" s="37" t="n">
        <v>152.7</v>
      </c>
      <c r="AO31" s="37" t="n">
        <v>149.08</v>
      </c>
      <c r="AP31" s="37" t="n">
        <v>148.62</v>
      </c>
      <c r="AQ31" s="37" t="n">
        <v>153.86</v>
      </c>
      <c r="AR31" s="37" t="n">
        <v>149.6</v>
      </c>
      <c r="AS31" s="37" t="n">
        <v>122.44</v>
      </c>
      <c r="AT31" s="37" t="n">
        <v>165.9</v>
      </c>
      <c r="AU31" s="37" t="n">
        <v>152.7</v>
      </c>
      <c r="AV31" s="37" t="n">
        <v>149.08</v>
      </c>
      <c r="AW31" s="37" t="n">
        <v>148.62</v>
      </c>
      <c r="AX31" s="37" t="n">
        <v>153.86</v>
      </c>
      <c r="AY31" s="37" t="n">
        <v>149.6</v>
      </c>
      <c r="AZ31" s="37" t="n">
        <v>122.44</v>
      </c>
      <c r="BA31" s="37" t="n">
        <v>149.27</v>
      </c>
      <c r="BB31" s="37" t="n">
        <v>133.55</v>
      </c>
      <c r="BC31" s="37" t="n">
        <v>84.59999999999999</v>
      </c>
      <c r="BD31" s="37" t="n">
        <v>84.28999999999999</v>
      </c>
      <c r="BE31" s="37" t="n">
        <v>142.41</v>
      </c>
      <c r="BF31" s="37" t="n">
        <v>138.61</v>
      </c>
      <c r="BG31" s="37" t="n">
        <v>126.25</v>
      </c>
      <c r="BH31" s="37" t="n">
        <v>171.09</v>
      </c>
      <c r="BI31" s="37" t="n">
        <v>157.44</v>
      </c>
      <c r="BJ31" s="37" t="n">
        <v>161.16</v>
      </c>
      <c r="BK31" s="37" t="n">
        <v>153.13</v>
      </c>
      <c r="BL31" s="37" t="n">
        <v>158.68</v>
      </c>
      <c r="BM31" s="37" t="n">
        <v>154.11</v>
      </c>
      <c r="BN31" s="37" t="n">
        <v>126.25</v>
      </c>
      <c r="BO31" s="37" t="n">
        <v>171.09</v>
      </c>
      <c r="BP31" s="37" t="n">
        <v>157.44</v>
      </c>
      <c r="BQ31" s="37" t="n">
        <v>153.62</v>
      </c>
      <c r="BR31" s="37" t="n">
        <v>153.13</v>
      </c>
      <c r="BS31" s="37" t="n">
        <v>158.68</v>
      </c>
      <c r="BT31" s="37" t="n">
        <v>154.11</v>
      </c>
      <c r="BU31" s="37" t="n">
        <v>126.25</v>
      </c>
      <c r="BV31" s="37" t="n">
        <v>171.09</v>
      </c>
      <c r="BW31" s="37" t="n">
        <v>157.44</v>
      </c>
      <c r="BX31" s="37" t="n">
        <v>153.62</v>
      </c>
      <c r="BY31" s="37" t="n">
        <v>153.13</v>
      </c>
      <c r="BZ31" s="37" t="n">
        <v>158.68</v>
      </c>
      <c r="CA31" s="37" t="n">
        <v>154.11</v>
      </c>
      <c r="CB31" s="37" t="n">
        <v>126.25</v>
      </c>
      <c r="CC31" s="37" t="n">
        <v>10890.25</v>
      </c>
    </row>
    <row r="32" ht="15.75" customHeight="1" s="57">
      <c r="A32" s="7" t="inlineStr">
        <is>
          <t>NTB</t>
        </is>
      </c>
      <c r="B32" s="7" t="inlineStr">
        <is>
          <t>Bình Thuận</t>
        </is>
      </c>
      <c r="C32" s="7" t="n">
        <v>21065000</v>
      </c>
      <c r="D32" s="7" t="inlineStr">
        <is>
          <t>(BTH) Hàm Thuận Nam</t>
        </is>
      </c>
      <c r="E32" s="7" t="inlineStr">
        <is>
          <t>SME-Bulky</t>
        </is>
      </c>
      <c r="F32" s="36" t="n">
        <v>9</v>
      </c>
      <c r="G32" s="36" t="n">
        <v>3</v>
      </c>
      <c r="H32" s="36" t="n">
        <v>14</v>
      </c>
      <c r="I32" s="36" t="n">
        <v>8</v>
      </c>
      <c r="J32" s="36" t="n">
        <v>9</v>
      </c>
      <c r="K32" s="28" t="n">
        <v>10</v>
      </c>
      <c r="L32" s="36" t="n">
        <v>7</v>
      </c>
      <c r="M32" s="36" t="n">
        <v>6</v>
      </c>
      <c r="N32" s="36" t="n">
        <v>6</v>
      </c>
      <c r="O32" s="36" t="n">
        <v>7</v>
      </c>
      <c r="P32" s="36" t="n">
        <v>4</v>
      </c>
      <c r="Q32" s="36" t="n">
        <v>4</v>
      </c>
      <c r="R32" s="28" t="n">
        <v>13</v>
      </c>
      <c r="S32" s="36" t="n">
        <v>10</v>
      </c>
      <c r="T32" s="36" t="n">
        <v>12</v>
      </c>
      <c r="U32" s="36" t="n">
        <v>8.359999999999999</v>
      </c>
      <c r="V32" s="36" t="n">
        <v>8.390000000000001</v>
      </c>
      <c r="W32" s="36" t="n">
        <v>7.78</v>
      </c>
      <c r="X32" s="36" t="n">
        <v>5.47</v>
      </c>
      <c r="Y32" s="28" t="n">
        <v>9.34</v>
      </c>
      <c r="Z32" s="36" t="n">
        <v>9.08</v>
      </c>
      <c r="AA32" s="36" t="n">
        <v>8.85</v>
      </c>
      <c r="AB32" s="36" t="n">
        <v>8.359999999999999</v>
      </c>
      <c r="AC32" s="36" t="n">
        <v>8.390000000000001</v>
      </c>
      <c r="AD32" s="36" t="n">
        <v>8.880000000000001</v>
      </c>
      <c r="AE32" s="36" t="n">
        <v>5.47</v>
      </c>
      <c r="AF32" s="28" t="n">
        <v>9.34</v>
      </c>
      <c r="AG32" s="36" t="n">
        <v>9.08</v>
      </c>
      <c r="AH32" s="37" t="n">
        <v>8.85</v>
      </c>
      <c r="AI32" s="37" t="n">
        <v>8.359999999999999</v>
      </c>
      <c r="AJ32" s="37" t="n">
        <v>8.390000000000001</v>
      </c>
      <c r="AK32" s="37" t="n">
        <v>7.78</v>
      </c>
      <c r="AL32" s="37" t="n">
        <v>5.47</v>
      </c>
      <c r="AM32" s="37" t="n">
        <v>9.34</v>
      </c>
      <c r="AN32" s="37" t="n">
        <v>9.08</v>
      </c>
      <c r="AO32" s="37" t="n">
        <v>8.85</v>
      </c>
      <c r="AP32" s="37" t="n">
        <v>8.359999999999999</v>
      </c>
      <c r="AQ32" s="37" t="n">
        <v>8.390000000000001</v>
      </c>
      <c r="AR32" s="37" t="n">
        <v>7.78</v>
      </c>
      <c r="AS32" s="37" t="n">
        <v>5.47</v>
      </c>
      <c r="AT32" s="37" t="n">
        <v>9.34</v>
      </c>
      <c r="AU32" s="37" t="n">
        <v>9.08</v>
      </c>
      <c r="AV32" s="37" t="n">
        <v>8.85</v>
      </c>
      <c r="AW32" s="37" t="n">
        <v>8.359999999999999</v>
      </c>
      <c r="AX32" s="37" t="n">
        <v>8.390000000000001</v>
      </c>
      <c r="AY32" s="37" t="n">
        <v>7.78</v>
      </c>
      <c r="AZ32" s="37" t="n">
        <v>5.47</v>
      </c>
      <c r="BA32" s="37" t="n">
        <v>9.369999999999999</v>
      </c>
      <c r="BB32" s="37" t="n">
        <v>4.92</v>
      </c>
      <c r="BC32" s="37" t="n">
        <v>2.63</v>
      </c>
      <c r="BD32" s="37" t="n">
        <v>2.37</v>
      </c>
      <c r="BE32" s="37" t="n">
        <v>4.28</v>
      </c>
      <c r="BF32" s="37" t="n">
        <v>4.11</v>
      </c>
      <c r="BG32" s="37" t="n">
        <v>3.21</v>
      </c>
      <c r="BH32" s="37" t="n">
        <v>5.44</v>
      </c>
      <c r="BI32" s="37" t="n">
        <v>5.44</v>
      </c>
      <c r="BJ32" s="37" t="n">
        <v>5.61</v>
      </c>
      <c r="BK32" s="37" t="n">
        <v>4.95</v>
      </c>
      <c r="BL32" s="37" t="n">
        <v>5</v>
      </c>
      <c r="BM32" s="37" t="n">
        <v>4.63</v>
      </c>
      <c r="BN32" s="37" t="n">
        <v>3.21</v>
      </c>
      <c r="BO32" s="37" t="n">
        <v>5.44</v>
      </c>
      <c r="BP32" s="37" t="n">
        <v>5.44</v>
      </c>
      <c r="BQ32" s="37" t="n">
        <v>5.12</v>
      </c>
      <c r="BR32" s="37" t="n">
        <v>4.95</v>
      </c>
      <c r="BS32" s="37" t="n">
        <v>5</v>
      </c>
      <c r="BT32" s="37" t="n">
        <v>4.63</v>
      </c>
      <c r="BU32" s="37" t="n">
        <v>3.21</v>
      </c>
      <c r="BV32" s="37" t="n">
        <v>5.44</v>
      </c>
      <c r="BW32" s="37" t="n">
        <v>5.44</v>
      </c>
      <c r="BX32" s="37" t="n">
        <v>5.12</v>
      </c>
      <c r="BY32" s="37" t="n">
        <v>4.95</v>
      </c>
      <c r="BZ32" s="37" t="n">
        <v>5</v>
      </c>
      <c r="CA32" s="37" t="n">
        <v>4.63</v>
      </c>
      <c r="CB32" s="37" t="n">
        <v>3.21</v>
      </c>
      <c r="CC32" s="37" t="n">
        <v>514.9299999999998</v>
      </c>
    </row>
    <row r="33" ht="15.75" customHeight="1" s="57">
      <c r="A33" s="7" t="inlineStr">
        <is>
          <t>NTB</t>
        </is>
      </c>
      <c r="B33" s="7" t="inlineStr">
        <is>
          <t>Bình Thuận</t>
        </is>
      </c>
      <c r="C33" s="7" t="n">
        <v>21065000</v>
      </c>
      <c r="D33" s="7" t="inlineStr">
        <is>
          <t>(BTH) Hàm Thuận Nam</t>
        </is>
      </c>
      <c r="E33" s="7" t="inlineStr">
        <is>
          <t>Shopee</t>
        </is>
      </c>
      <c r="F33" s="36" t="n">
        <v>109</v>
      </c>
      <c r="G33" s="36" t="n">
        <v>108</v>
      </c>
      <c r="H33" s="36" t="n">
        <v>121</v>
      </c>
      <c r="I33" s="36" t="n">
        <v>102</v>
      </c>
      <c r="J33" s="36" t="n">
        <v>114</v>
      </c>
      <c r="K33" s="28" t="n">
        <v>93</v>
      </c>
      <c r="L33" s="36" t="n">
        <v>94</v>
      </c>
      <c r="M33" s="36" t="n">
        <v>119</v>
      </c>
      <c r="N33" s="36" t="n">
        <v>153</v>
      </c>
      <c r="O33" s="36" t="n">
        <v>94</v>
      </c>
      <c r="P33" s="36" t="n">
        <v>83</v>
      </c>
      <c r="Q33" s="36" t="n">
        <v>102</v>
      </c>
      <c r="R33" s="28" t="n">
        <v>88</v>
      </c>
      <c r="S33" s="36" t="n">
        <v>95</v>
      </c>
      <c r="T33" s="36" t="n">
        <v>85</v>
      </c>
      <c r="U33" s="36" t="n">
        <v>105.51</v>
      </c>
      <c r="V33" s="36" t="n">
        <v>105.95</v>
      </c>
      <c r="W33" s="36" t="n">
        <v>104.38</v>
      </c>
      <c r="X33" s="36" t="n">
        <v>84.92</v>
      </c>
      <c r="Y33" s="28" t="n">
        <v>142.17</v>
      </c>
      <c r="Z33" s="36" t="n">
        <v>112.5</v>
      </c>
      <c r="AA33" s="36" t="n">
        <v>154.67</v>
      </c>
      <c r="AB33" s="36" t="n">
        <v>107.68</v>
      </c>
      <c r="AC33" s="36" t="n">
        <v>86.98</v>
      </c>
      <c r="AD33" s="36" t="n">
        <v>236.39</v>
      </c>
      <c r="AE33" s="36" t="n">
        <v>90.89</v>
      </c>
      <c r="AF33" s="28" t="n">
        <v>162.01</v>
      </c>
      <c r="AG33" s="36" t="n">
        <v>118.14</v>
      </c>
      <c r="AH33" s="37" t="n">
        <v>124.83</v>
      </c>
      <c r="AI33" s="37" t="n">
        <v>105.51</v>
      </c>
      <c r="AJ33" s="37" t="n">
        <v>105.95</v>
      </c>
      <c r="AK33" s="37" t="n">
        <v>140.85</v>
      </c>
      <c r="AL33" s="37" t="n">
        <v>152.41</v>
      </c>
      <c r="AM33" s="37" t="n">
        <v>142.17</v>
      </c>
      <c r="AN33" s="37" t="n">
        <v>112.5</v>
      </c>
      <c r="AO33" s="37" t="n">
        <v>124.83</v>
      </c>
      <c r="AP33" s="37" t="n">
        <v>131.74</v>
      </c>
      <c r="AQ33" s="37" t="n">
        <v>85</v>
      </c>
      <c r="AR33" s="37" t="n">
        <v>104.38</v>
      </c>
      <c r="AS33" s="37" t="n">
        <v>84.92</v>
      </c>
      <c r="AT33" s="37" t="n">
        <v>142.17</v>
      </c>
      <c r="AU33" s="37" t="n">
        <v>114.81</v>
      </c>
      <c r="AV33" s="37" t="n">
        <v>127.2</v>
      </c>
      <c r="AW33" s="37" t="n">
        <v>105.51</v>
      </c>
      <c r="AX33" s="37" t="n">
        <v>105.95</v>
      </c>
      <c r="AY33" s="37" t="n">
        <v>104.38</v>
      </c>
      <c r="AZ33" s="37" t="n">
        <v>84.92</v>
      </c>
      <c r="BA33" s="37" t="n">
        <v>109.58</v>
      </c>
      <c r="BB33" s="37" t="n">
        <v>95.48999999999999</v>
      </c>
      <c r="BC33" s="37" t="n">
        <v>48.69</v>
      </c>
      <c r="BD33" s="37" t="n">
        <v>86.31999999999999</v>
      </c>
      <c r="BE33" s="37" t="n">
        <v>100.96</v>
      </c>
      <c r="BF33" s="37" t="n">
        <v>99.45</v>
      </c>
      <c r="BG33" s="37" t="n">
        <v>82.47</v>
      </c>
      <c r="BH33" s="37" t="n">
        <v>135.32</v>
      </c>
      <c r="BI33" s="37" t="n">
        <v>87.81</v>
      </c>
      <c r="BJ33" s="37" t="n">
        <v>335.54</v>
      </c>
      <c r="BK33" s="37" t="n">
        <v>107.57</v>
      </c>
      <c r="BL33" s="37" t="n">
        <v>105.95</v>
      </c>
      <c r="BM33" s="37" t="n">
        <v>99.45</v>
      </c>
      <c r="BN33" s="37" t="n">
        <v>80.87</v>
      </c>
      <c r="BO33" s="37" t="n">
        <v>135.32</v>
      </c>
      <c r="BP33" s="37" t="n">
        <v>144.65</v>
      </c>
      <c r="BQ33" s="37" t="n">
        <v>213.38</v>
      </c>
      <c r="BR33" s="37" t="n">
        <v>100.52</v>
      </c>
      <c r="BS33" s="37" t="n">
        <v>100.96</v>
      </c>
      <c r="BT33" s="37" t="n">
        <v>99.45</v>
      </c>
      <c r="BU33" s="37" t="n">
        <v>101.07</v>
      </c>
      <c r="BV33" s="37" t="n">
        <v>108.48</v>
      </c>
      <c r="BW33" s="37" t="n">
        <v>107.18</v>
      </c>
      <c r="BX33" s="37" t="n">
        <v>118.97</v>
      </c>
      <c r="BY33" s="37" t="n">
        <v>100.52</v>
      </c>
      <c r="BZ33" s="37" t="n">
        <v>102.97</v>
      </c>
      <c r="CA33" s="37" t="n">
        <v>101.46</v>
      </c>
      <c r="CB33" s="37" t="n">
        <v>80.87</v>
      </c>
      <c r="CC33" s="37" t="n">
        <v>8563.489999999998</v>
      </c>
    </row>
    <row r="34" ht="15.75" customHeight="1" s="57">
      <c r="A34" s="7" t="inlineStr">
        <is>
          <t>NTB</t>
        </is>
      </c>
      <c r="B34" s="7" t="inlineStr">
        <is>
          <t>Bình Thuận</t>
        </is>
      </c>
      <c r="C34" s="7" t="n">
        <v>21065000</v>
      </c>
      <c r="D34" s="7" t="inlineStr">
        <is>
          <t>(BTH) Hàm Thuận Nam</t>
        </is>
      </c>
      <c r="E34" s="7" t="inlineStr">
        <is>
          <t>Shopee-Bulky</t>
        </is>
      </c>
      <c r="F34" s="36" t="n">
        <v>17.99</v>
      </c>
      <c r="G34" s="36" t="n">
        <v>11.33</v>
      </c>
      <c r="H34" s="36" t="n">
        <v>16</v>
      </c>
      <c r="I34" s="36" t="n">
        <v>16</v>
      </c>
      <c r="J34" s="36" t="n">
        <v>13.33</v>
      </c>
      <c r="K34" s="28" t="n">
        <v>10</v>
      </c>
      <c r="L34" s="36" t="n">
        <v>16</v>
      </c>
      <c r="M34" s="36" t="n">
        <v>19.33</v>
      </c>
      <c r="N34" s="36" t="n">
        <v>12.66</v>
      </c>
      <c r="O34" s="36" t="n">
        <v>14.66</v>
      </c>
      <c r="P34" s="36" t="n">
        <v>6.66</v>
      </c>
      <c r="Q34" s="36" t="n">
        <v>9.33</v>
      </c>
      <c r="R34" s="28" t="n">
        <v>15.33</v>
      </c>
      <c r="S34" s="36" t="n">
        <v>14</v>
      </c>
      <c r="T34" s="36" t="n">
        <v>16.66</v>
      </c>
      <c r="U34" s="36" t="n">
        <v>12.39</v>
      </c>
      <c r="V34" s="36" t="n">
        <v>11.97</v>
      </c>
      <c r="W34" s="36" t="n">
        <v>16.71</v>
      </c>
      <c r="X34" s="36" t="n">
        <v>9.539999999999999</v>
      </c>
      <c r="Y34" s="28" t="n">
        <v>18.28</v>
      </c>
      <c r="Z34" s="36" t="n">
        <v>14.41</v>
      </c>
      <c r="AA34" s="36" t="n">
        <v>13.96</v>
      </c>
      <c r="AB34" s="36" t="n">
        <v>14.25</v>
      </c>
      <c r="AC34" s="36" t="n">
        <v>14.71</v>
      </c>
      <c r="AD34" s="36" t="n">
        <v>46.06</v>
      </c>
      <c r="AE34" s="36" t="n">
        <v>24.04</v>
      </c>
      <c r="AF34" s="28" t="n">
        <v>35.78</v>
      </c>
      <c r="AG34" s="36" t="n">
        <v>20.53</v>
      </c>
      <c r="AH34" s="37" t="n">
        <v>14.29</v>
      </c>
      <c r="AI34" s="37" t="n">
        <v>14.06</v>
      </c>
      <c r="AJ34" s="37" t="n">
        <v>13.43</v>
      </c>
      <c r="AK34" s="37" t="n">
        <v>30.51</v>
      </c>
      <c r="AL34" s="37" t="n">
        <v>15.6</v>
      </c>
      <c r="AM34" s="37" t="n">
        <v>22.61</v>
      </c>
      <c r="AN34" s="37" t="n">
        <v>14.15</v>
      </c>
      <c r="AO34" s="37" t="n">
        <v>13.68</v>
      </c>
      <c r="AP34" s="37" t="n">
        <v>18.67</v>
      </c>
      <c r="AQ34" s="37" t="n">
        <v>18.74</v>
      </c>
      <c r="AR34" s="37" t="n">
        <v>15.18</v>
      </c>
      <c r="AS34" s="37" t="n">
        <v>8.41</v>
      </c>
      <c r="AT34" s="37" t="n">
        <v>16.8</v>
      </c>
      <c r="AU34" s="37" t="n">
        <v>27.3</v>
      </c>
      <c r="AV34" s="37" t="n">
        <v>28.89</v>
      </c>
      <c r="AW34" s="37" t="n">
        <v>13.85</v>
      </c>
      <c r="AX34" s="37" t="n">
        <v>12.93</v>
      </c>
      <c r="AY34" s="37" t="n">
        <v>14.6</v>
      </c>
      <c r="AZ34" s="37" t="n">
        <v>8.06</v>
      </c>
      <c r="BA34" s="37" t="n">
        <v>15.42</v>
      </c>
      <c r="BB34" s="37" t="n">
        <v>14.29</v>
      </c>
      <c r="BC34" s="37" t="n">
        <v>4.73</v>
      </c>
      <c r="BD34" s="37" t="n">
        <v>12.11</v>
      </c>
      <c r="BE34" s="37" t="n">
        <v>14.9</v>
      </c>
      <c r="BF34" s="37" t="n">
        <v>13.07</v>
      </c>
      <c r="BG34" s="37" t="n">
        <v>10.87</v>
      </c>
      <c r="BH34" s="37" t="n">
        <v>19.66</v>
      </c>
      <c r="BI34" s="37" t="n">
        <v>16.78</v>
      </c>
      <c r="BJ34" s="37" t="n">
        <v>72.54000000000001</v>
      </c>
      <c r="BK34" s="37" t="n">
        <v>35.38</v>
      </c>
      <c r="BL34" s="37" t="n">
        <v>18.53</v>
      </c>
      <c r="BM34" s="37" t="n">
        <v>13.71</v>
      </c>
      <c r="BN34" s="37" t="n">
        <v>10.52</v>
      </c>
      <c r="BO34" s="37" t="n">
        <v>22.49</v>
      </c>
      <c r="BP34" s="37" t="n">
        <v>33.18</v>
      </c>
      <c r="BQ34" s="37" t="n">
        <v>23.76</v>
      </c>
      <c r="BR34" s="37" t="n">
        <v>15.82</v>
      </c>
      <c r="BS34" s="37" t="n">
        <v>14.9</v>
      </c>
      <c r="BT34" s="37" t="n">
        <v>13.07</v>
      </c>
      <c r="BU34" s="37" t="n">
        <v>15.21</v>
      </c>
      <c r="BV34" s="37" t="n">
        <v>20.69</v>
      </c>
      <c r="BW34" s="37" t="n">
        <v>16.78</v>
      </c>
      <c r="BX34" s="37" t="n">
        <v>16.07</v>
      </c>
      <c r="BY34" s="37" t="n">
        <v>15.82</v>
      </c>
      <c r="BZ34" s="37" t="n">
        <v>26.8</v>
      </c>
      <c r="CA34" s="37" t="n">
        <v>15.68</v>
      </c>
      <c r="CB34" s="37" t="n">
        <v>10.43</v>
      </c>
      <c r="CC34" s="37" t="n">
        <v>1316.88</v>
      </c>
    </row>
    <row r="35" ht="15.75" customHeight="1" s="57">
      <c r="A35" s="7" t="inlineStr">
        <is>
          <t>NTB</t>
        </is>
      </c>
      <c r="B35" s="7" t="inlineStr">
        <is>
          <t>Bình Thuận</t>
        </is>
      </c>
      <c r="C35" s="7" t="n">
        <v>21065000</v>
      </c>
      <c r="D35" s="7" t="inlineStr">
        <is>
          <t>(BTH) Hàm Thuận Nam</t>
        </is>
      </c>
      <c r="E35" s="7" t="inlineStr">
        <is>
          <t>Shopee-Bulky (10-15kg)</t>
        </is>
      </c>
      <c r="F35" s="36" t="n">
        <v>9.01</v>
      </c>
      <c r="G35" s="36" t="n">
        <v>5.67</v>
      </c>
      <c r="H35" s="36" t="n">
        <v>8</v>
      </c>
      <c r="I35" s="36" t="n">
        <v>8</v>
      </c>
      <c r="J35" s="36" t="n">
        <v>6.67</v>
      </c>
      <c r="K35" s="28" t="n">
        <v>5</v>
      </c>
      <c r="L35" s="36" t="n">
        <v>8</v>
      </c>
      <c r="M35" s="36" t="n">
        <v>9.67</v>
      </c>
      <c r="N35" s="36" t="n">
        <v>6.34</v>
      </c>
      <c r="O35" s="36" t="n">
        <v>7.34</v>
      </c>
      <c r="P35" s="36" t="n">
        <v>3.34</v>
      </c>
      <c r="Q35" s="36" t="n">
        <v>4.67</v>
      </c>
      <c r="R35" s="28" t="n">
        <v>7.67</v>
      </c>
      <c r="S35" s="36" t="n">
        <v>7</v>
      </c>
      <c r="T35" s="36" t="n">
        <v>8.34</v>
      </c>
      <c r="U35" s="36" t="n">
        <v>6.4</v>
      </c>
      <c r="V35" s="36" t="n">
        <v>6.21</v>
      </c>
      <c r="W35" s="36" t="n">
        <v>8.359999999999999</v>
      </c>
      <c r="X35" s="36" t="n">
        <v>4.55</v>
      </c>
      <c r="Y35" s="28" t="n">
        <v>9.039999999999999</v>
      </c>
      <c r="Z35" s="36" t="n">
        <v>7.12</v>
      </c>
      <c r="AA35" s="36" t="n">
        <v>6.94</v>
      </c>
      <c r="AB35" s="36" t="n">
        <v>7.05</v>
      </c>
      <c r="AC35" s="36" t="n">
        <v>7.31</v>
      </c>
      <c r="AD35" s="36" t="n">
        <v>29.83</v>
      </c>
      <c r="AE35" s="36" t="n">
        <v>11.95</v>
      </c>
      <c r="AF35" s="28" t="n">
        <v>16.8</v>
      </c>
      <c r="AG35" s="36" t="n">
        <v>10.19</v>
      </c>
      <c r="AH35" s="37" t="n">
        <v>7.03</v>
      </c>
      <c r="AI35" s="37" t="n">
        <v>6.79</v>
      </c>
      <c r="AJ35" s="37" t="n">
        <v>6.65</v>
      </c>
      <c r="AK35" s="37" t="n">
        <v>15.56</v>
      </c>
      <c r="AL35" s="37" t="n">
        <v>7.59</v>
      </c>
      <c r="AM35" s="37" t="n">
        <v>11.04</v>
      </c>
      <c r="AN35" s="37" t="n">
        <v>7.03</v>
      </c>
      <c r="AO35" s="37" t="n">
        <v>6.7</v>
      </c>
      <c r="AP35" s="37" t="n">
        <v>9.07</v>
      </c>
      <c r="AQ35" s="37" t="n">
        <v>9.09</v>
      </c>
      <c r="AR35" s="37" t="n">
        <v>7.54</v>
      </c>
      <c r="AS35" s="37" t="n">
        <v>4.03</v>
      </c>
      <c r="AT35" s="37" t="n">
        <v>8.18</v>
      </c>
      <c r="AU35" s="37" t="n">
        <v>13.99</v>
      </c>
      <c r="AV35" s="37" t="n">
        <v>13.99</v>
      </c>
      <c r="AW35" s="37" t="n">
        <v>6.72</v>
      </c>
      <c r="AX35" s="37" t="n">
        <v>6.33</v>
      </c>
      <c r="AY35" s="37" t="n">
        <v>7.22</v>
      </c>
      <c r="AZ35" s="37" t="n">
        <v>3.87</v>
      </c>
      <c r="BA35" s="37" t="n">
        <v>7.5</v>
      </c>
      <c r="BB35" s="37" t="n">
        <v>7.17</v>
      </c>
      <c r="BC35" s="37" t="n">
        <v>2.48</v>
      </c>
      <c r="BD35" s="37" t="n">
        <v>6.12</v>
      </c>
      <c r="BE35" s="37" t="n">
        <v>7.4</v>
      </c>
      <c r="BF35" s="37" t="n">
        <v>6.63</v>
      </c>
      <c r="BG35" s="37" t="n">
        <v>5.3</v>
      </c>
      <c r="BH35" s="37" t="n">
        <v>9.720000000000001</v>
      </c>
      <c r="BI35" s="37" t="n">
        <v>8.359999999999999</v>
      </c>
      <c r="BJ35" s="37" t="n">
        <v>41.31</v>
      </c>
      <c r="BK35" s="37" t="n">
        <v>17.62</v>
      </c>
      <c r="BL35" s="37" t="n">
        <v>9</v>
      </c>
      <c r="BM35" s="37" t="n">
        <v>6.89</v>
      </c>
      <c r="BN35" s="37" t="n">
        <v>5.3</v>
      </c>
      <c r="BO35" s="37" t="n">
        <v>11.57</v>
      </c>
      <c r="BP35" s="37" t="n">
        <v>16.61</v>
      </c>
      <c r="BQ35" s="37" t="n">
        <v>12.18</v>
      </c>
      <c r="BR35" s="37" t="n">
        <v>7.85</v>
      </c>
      <c r="BS35" s="37" t="n">
        <v>7.4</v>
      </c>
      <c r="BT35" s="37" t="n">
        <v>6.63</v>
      </c>
      <c r="BU35" s="37" t="n">
        <v>7.5</v>
      </c>
      <c r="BV35" s="37" t="n">
        <v>10.57</v>
      </c>
      <c r="BW35" s="37" t="n">
        <v>8.359999999999999</v>
      </c>
      <c r="BX35" s="37" t="n">
        <v>7.99</v>
      </c>
      <c r="BY35" s="37" t="n">
        <v>7.85</v>
      </c>
      <c r="BZ35" s="37" t="n">
        <v>13.47</v>
      </c>
      <c r="CA35" s="37" t="n">
        <v>7.83</v>
      </c>
      <c r="CB35" s="37" t="n">
        <v>5.01</v>
      </c>
      <c r="CC35" s="37" t="n">
        <v>666.5100000000001</v>
      </c>
    </row>
    <row r="36" ht="15.75" customHeight="1" s="57">
      <c r="A36" s="7" t="inlineStr">
        <is>
          <t>NTB</t>
        </is>
      </c>
      <c r="B36" s="7" t="inlineStr">
        <is>
          <t>Bình Thuận</t>
        </is>
      </c>
      <c r="C36" s="7" t="n">
        <v>21065000</v>
      </c>
      <c r="D36" s="7" t="inlineStr">
        <is>
          <t>(BTH) Hàm Thuận Nam</t>
        </is>
      </c>
      <c r="E36" s="7" t="inlineStr">
        <is>
          <t>TTS</t>
        </is>
      </c>
      <c r="F36" s="36" t="n">
        <v>102</v>
      </c>
      <c r="G36" s="36" t="n">
        <v>101</v>
      </c>
      <c r="H36" s="36" t="n">
        <v>101</v>
      </c>
      <c r="I36" s="36" t="n">
        <v>90</v>
      </c>
      <c r="J36" s="36" t="n">
        <v>110</v>
      </c>
      <c r="K36" s="28" t="n">
        <v>72</v>
      </c>
      <c r="L36" s="36" t="n">
        <v>79</v>
      </c>
      <c r="M36" s="36" t="n">
        <v>106</v>
      </c>
      <c r="N36" s="36" t="n">
        <v>107</v>
      </c>
      <c r="O36" s="36" t="n">
        <v>97</v>
      </c>
      <c r="P36" s="36" t="n">
        <v>71</v>
      </c>
      <c r="Q36" s="36" t="n">
        <v>108</v>
      </c>
      <c r="R36" s="28" t="n">
        <v>82</v>
      </c>
      <c r="S36" s="36" t="n">
        <v>91</v>
      </c>
      <c r="T36" s="36" t="n">
        <v>90</v>
      </c>
      <c r="U36" s="36" t="n">
        <v>73.34999999999999</v>
      </c>
      <c r="V36" s="36" t="n">
        <v>71.92999999999999</v>
      </c>
      <c r="W36" s="36" t="n">
        <v>70.23999999999999</v>
      </c>
      <c r="X36" s="36" t="n">
        <v>56.56</v>
      </c>
      <c r="Y36" s="28" t="n">
        <v>82.49000000000001</v>
      </c>
      <c r="Z36" s="36" t="n">
        <v>70.14999999999999</v>
      </c>
      <c r="AA36" s="36" t="n">
        <v>77.64999999999999</v>
      </c>
      <c r="AB36" s="36" t="n">
        <v>86.63</v>
      </c>
      <c r="AC36" s="36" t="n">
        <v>91.11999999999999</v>
      </c>
      <c r="AD36" s="36" t="n">
        <v>93.84</v>
      </c>
      <c r="AE36" s="36" t="n">
        <v>65.72</v>
      </c>
      <c r="AF36" s="28" t="n">
        <v>85.22000000000001</v>
      </c>
      <c r="AG36" s="36" t="n">
        <v>71.44</v>
      </c>
      <c r="AH36" s="37" t="n">
        <v>70.75999999999999</v>
      </c>
      <c r="AI36" s="37" t="n">
        <v>81.03</v>
      </c>
      <c r="AJ36" s="37" t="n">
        <v>87.20999999999999</v>
      </c>
      <c r="AK36" s="37" t="n">
        <v>85.67999999999999</v>
      </c>
      <c r="AL36" s="37" t="n">
        <v>60.86</v>
      </c>
      <c r="AM36" s="37" t="n">
        <v>83.90000000000001</v>
      </c>
      <c r="AN36" s="37" t="n">
        <v>72.36</v>
      </c>
      <c r="AO36" s="37" t="n">
        <v>71.89999999999999</v>
      </c>
      <c r="AP36" s="37" t="n">
        <v>69.80999999999999</v>
      </c>
      <c r="AQ36" s="37" t="n">
        <v>70.61</v>
      </c>
      <c r="AR36" s="37" t="n">
        <v>69.22999999999999</v>
      </c>
      <c r="AS36" s="37" t="n">
        <v>56.68</v>
      </c>
      <c r="AT36" s="37" t="n">
        <v>90.69</v>
      </c>
      <c r="AU36" s="37" t="n">
        <v>82.08</v>
      </c>
      <c r="AV36" s="37" t="n">
        <v>72.84999999999999</v>
      </c>
      <c r="AW36" s="37" t="n">
        <v>69.03999999999999</v>
      </c>
      <c r="AX36" s="37" t="n">
        <v>68.58</v>
      </c>
      <c r="AY36" s="37" t="n">
        <v>68.36999999999999</v>
      </c>
      <c r="AZ36" s="37" t="n">
        <v>56.74</v>
      </c>
      <c r="BA36" s="37" t="n">
        <v>81.81</v>
      </c>
      <c r="BB36" s="37" t="n">
        <v>76.33</v>
      </c>
      <c r="BC36" s="37" t="n">
        <v>45.48</v>
      </c>
      <c r="BD36" s="37" t="n">
        <v>65.88</v>
      </c>
      <c r="BE36" s="37" t="n">
        <v>77.8</v>
      </c>
      <c r="BF36" s="37" t="n">
        <v>75.41</v>
      </c>
      <c r="BG36" s="37" t="n">
        <v>60.99</v>
      </c>
      <c r="BH36" s="37" t="n">
        <v>90.63</v>
      </c>
      <c r="BI36" s="37" t="n">
        <v>76.33</v>
      </c>
      <c r="BJ36" s="37" t="n">
        <v>71.28999999999999</v>
      </c>
      <c r="BK36" s="37" t="n">
        <v>77.64999999999999</v>
      </c>
      <c r="BL36" s="37" t="n">
        <v>77.8</v>
      </c>
      <c r="BM36" s="37" t="n">
        <v>75.41</v>
      </c>
      <c r="BN36" s="37" t="n">
        <v>60.99</v>
      </c>
      <c r="BO36" s="37" t="n">
        <v>90.63</v>
      </c>
      <c r="BP36" s="37" t="n">
        <v>76.33</v>
      </c>
      <c r="BQ36" s="37" t="n">
        <v>75.5</v>
      </c>
      <c r="BR36" s="37" t="n">
        <v>77.64999999999999</v>
      </c>
      <c r="BS36" s="37" t="n">
        <v>77.8</v>
      </c>
      <c r="BT36" s="37" t="n">
        <v>75.41</v>
      </c>
      <c r="BU36" s="37" t="n">
        <v>60.99</v>
      </c>
      <c r="BV36" s="37" t="n">
        <v>90.63</v>
      </c>
      <c r="BW36" s="37" t="n">
        <v>76.33</v>
      </c>
      <c r="BX36" s="37" t="n">
        <v>75.5</v>
      </c>
      <c r="BY36" s="37" t="n">
        <v>77.64999999999999</v>
      </c>
      <c r="BZ36" s="37" t="n">
        <v>77.8</v>
      </c>
      <c r="CA36" s="37" t="n">
        <v>75.41</v>
      </c>
      <c r="CB36" s="37" t="n">
        <v>60.99</v>
      </c>
      <c r="CC36" s="37" t="n">
        <v>5874.139999999998</v>
      </c>
    </row>
    <row r="37" ht="15.75" customHeight="1" s="57">
      <c r="A37" s="7" t="inlineStr">
        <is>
          <t>NTB</t>
        </is>
      </c>
      <c r="B37" s="7" t="inlineStr">
        <is>
          <t>Bình Thuận</t>
        </is>
      </c>
      <c r="C37" s="7" t="n">
        <v>21065000</v>
      </c>
      <c r="D37" s="7" t="inlineStr">
        <is>
          <t>(BTH) Hàm Thuận Nam</t>
        </is>
      </c>
      <c r="E37" s="7" t="inlineStr">
        <is>
          <t>TTS-Bulky</t>
        </is>
      </c>
      <c r="F37" s="36" t="n">
        <v>1</v>
      </c>
      <c r="G37" s="36" t="n">
        <v>2</v>
      </c>
      <c r="H37" s="36" t="n">
        <v>2</v>
      </c>
      <c r="I37" s="36" t="n">
        <v>2</v>
      </c>
      <c r="J37" s="36" t="n">
        <v>1</v>
      </c>
      <c r="K37" s="28" t="n">
        <v>1</v>
      </c>
      <c r="L37" s="36" t="n">
        <v>0</v>
      </c>
      <c r="M37" s="36" t="n">
        <v>1</v>
      </c>
      <c r="N37" s="36" t="n">
        <v>0</v>
      </c>
      <c r="O37" s="36" t="n">
        <v>0</v>
      </c>
      <c r="P37" s="36" t="n">
        <v>1</v>
      </c>
      <c r="Q37" s="36" t="n">
        <v>0</v>
      </c>
      <c r="R37" s="28" t="n">
        <v>1</v>
      </c>
      <c r="S37" s="36" t="n">
        <v>0</v>
      </c>
      <c r="T37" s="36" t="n">
        <v>0</v>
      </c>
      <c r="U37" s="36" t="n">
        <v>3.9</v>
      </c>
      <c r="V37" s="36" t="n">
        <v>4.05</v>
      </c>
      <c r="W37" s="36" t="n">
        <v>2</v>
      </c>
      <c r="X37" s="36" t="n">
        <v>1.14</v>
      </c>
      <c r="Y37" s="28" t="n">
        <v>2.76</v>
      </c>
      <c r="Z37" s="36" t="n">
        <v>2.09</v>
      </c>
      <c r="AA37" s="36" t="n">
        <v>1.96</v>
      </c>
      <c r="AB37" s="36" t="n">
        <v>2.09</v>
      </c>
      <c r="AC37" s="36" t="n">
        <v>2.34</v>
      </c>
      <c r="AD37" s="36" t="n">
        <v>2.53</v>
      </c>
      <c r="AE37" s="36" t="n">
        <v>1.3</v>
      </c>
      <c r="AF37" s="28" t="n">
        <v>2.57</v>
      </c>
      <c r="AG37" s="36" t="n">
        <v>1.93</v>
      </c>
      <c r="AH37" s="37" t="n">
        <v>1.87</v>
      </c>
      <c r="AI37" s="37" t="n">
        <v>2.19</v>
      </c>
      <c r="AJ37" s="37" t="n">
        <v>2.22</v>
      </c>
      <c r="AK37" s="37" t="n">
        <v>2.15</v>
      </c>
      <c r="AL37" s="37" t="n">
        <v>1.14</v>
      </c>
      <c r="AM37" s="37" t="n">
        <v>2.57</v>
      </c>
      <c r="AN37" s="37" t="n">
        <v>1.9</v>
      </c>
      <c r="AO37" s="37" t="n">
        <v>1.93</v>
      </c>
      <c r="AP37" s="37" t="n">
        <v>1.93</v>
      </c>
      <c r="AQ37" s="37" t="n">
        <v>2.03</v>
      </c>
      <c r="AR37" s="37" t="n">
        <v>1.96</v>
      </c>
      <c r="AS37" s="37" t="n">
        <v>1.14</v>
      </c>
      <c r="AT37" s="37" t="n">
        <v>2.76</v>
      </c>
      <c r="AU37" s="37" t="n">
        <v>2.15</v>
      </c>
      <c r="AV37" s="37" t="n">
        <v>1.87</v>
      </c>
      <c r="AW37" s="37" t="n">
        <v>1.9</v>
      </c>
      <c r="AX37" s="37" t="n">
        <v>2</v>
      </c>
      <c r="AY37" s="37" t="n">
        <v>1.96</v>
      </c>
      <c r="AZ37" s="37" t="n">
        <v>1.14</v>
      </c>
      <c r="BA37" s="37" t="n">
        <v>2.28</v>
      </c>
      <c r="BB37" s="37" t="n">
        <v>0.54</v>
      </c>
      <c r="BC37" s="37" t="n">
        <v>0.25</v>
      </c>
      <c r="BD37" s="37" t="n">
        <v>0.44</v>
      </c>
      <c r="BE37" s="37" t="n">
        <v>0.54</v>
      </c>
      <c r="BF37" s="37" t="n">
        <v>0.54</v>
      </c>
      <c r="BG37" s="37" t="n">
        <v>0.32</v>
      </c>
      <c r="BH37" s="37" t="n">
        <v>0.82</v>
      </c>
      <c r="BI37" s="37" t="n">
        <v>0.54</v>
      </c>
      <c r="BJ37" s="37" t="n">
        <v>0.6</v>
      </c>
      <c r="BK37" s="37" t="n">
        <v>0.54</v>
      </c>
      <c r="BL37" s="37" t="n">
        <v>0.54</v>
      </c>
      <c r="BM37" s="37" t="n">
        <v>0.54</v>
      </c>
      <c r="BN37" s="37" t="n">
        <v>0.35</v>
      </c>
      <c r="BO37" s="37" t="n">
        <v>0.86</v>
      </c>
      <c r="BP37" s="37" t="n">
        <v>0.7</v>
      </c>
      <c r="BQ37" s="37" t="n">
        <v>0.54</v>
      </c>
      <c r="BR37" s="37" t="n">
        <v>0.54</v>
      </c>
      <c r="BS37" s="37" t="n">
        <v>0.54</v>
      </c>
      <c r="BT37" s="37" t="n">
        <v>0.54</v>
      </c>
      <c r="BU37" s="37" t="n">
        <v>0.29</v>
      </c>
      <c r="BV37" s="37" t="n">
        <v>0.7</v>
      </c>
      <c r="BW37" s="37" t="n">
        <v>0.54</v>
      </c>
      <c r="BX37" s="37" t="n">
        <v>0.54</v>
      </c>
      <c r="BY37" s="37" t="n">
        <v>0.54</v>
      </c>
      <c r="BZ37" s="37" t="n">
        <v>0.54</v>
      </c>
      <c r="CA37" s="37" t="n">
        <v>0.54</v>
      </c>
      <c r="CB37" s="37" t="n">
        <v>0.29</v>
      </c>
      <c r="CC37" s="37" t="n">
        <v>96.01000000000009</v>
      </c>
    </row>
    <row r="38" ht="15.75" customHeight="1" s="57">
      <c r="A38" s="7" t="inlineStr">
        <is>
          <t>NTB</t>
        </is>
      </c>
      <c r="B38" s="7" t="inlineStr">
        <is>
          <t>Bình Thuận</t>
        </is>
      </c>
      <c r="C38" s="7" t="n">
        <v>21067000</v>
      </c>
      <c r="D38" s="7" t="inlineStr">
        <is>
          <t>(BTH) Tân Hải</t>
        </is>
      </c>
      <c r="E38" s="7" t="inlineStr">
        <is>
          <t>SME</t>
        </is>
      </c>
      <c r="F38" s="36" t="n">
        <v>196</v>
      </c>
      <c r="G38" s="36" t="n">
        <v>169</v>
      </c>
      <c r="H38" s="36" t="n">
        <v>236</v>
      </c>
      <c r="I38" s="36" t="n">
        <v>217</v>
      </c>
      <c r="J38" s="36" t="n">
        <v>200</v>
      </c>
      <c r="K38" s="28" t="n">
        <v>167</v>
      </c>
      <c r="L38" s="36" t="n">
        <v>194</v>
      </c>
      <c r="M38" s="36" t="n">
        <v>187</v>
      </c>
      <c r="N38" s="36" t="n">
        <v>166</v>
      </c>
      <c r="O38" s="36" t="n">
        <v>185</v>
      </c>
      <c r="P38" s="36" t="n">
        <v>179</v>
      </c>
      <c r="Q38" s="36" t="n">
        <v>198</v>
      </c>
      <c r="R38" s="28" t="n">
        <v>154</v>
      </c>
      <c r="S38" s="36" t="n">
        <v>219</v>
      </c>
      <c r="T38" s="36" t="n">
        <v>165</v>
      </c>
      <c r="U38" s="36" t="n">
        <v>215.34</v>
      </c>
      <c r="V38" s="36" t="n">
        <v>222.88</v>
      </c>
      <c r="W38" s="36" t="n">
        <v>216.75</v>
      </c>
      <c r="X38" s="36" t="n">
        <v>177.36</v>
      </c>
      <c r="Y38" s="28" t="n">
        <v>240.3</v>
      </c>
      <c r="Z38" s="36" t="n">
        <v>221.19</v>
      </c>
      <c r="AA38" s="36" t="n">
        <v>215.99</v>
      </c>
      <c r="AB38" s="36" t="n">
        <v>215.34</v>
      </c>
      <c r="AC38" s="36" t="n">
        <v>222.88</v>
      </c>
      <c r="AD38" s="36" t="n">
        <v>227.08</v>
      </c>
      <c r="AE38" s="36" t="n">
        <v>177.36</v>
      </c>
      <c r="AF38" s="28" t="n">
        <v>240.3</v>
      </c>
      <c r="AG38" s="36" t="n">
        <v>221.19</v>
      </c>
      <c r="AH38" s="37" t="n">
        <v>215.99</v>
      </c>
      <c r="AI38" s="37" t="n">
        <v>215.34</v>
      </c>
      <c r="AJ38" s="37" t="n">
        <v>222.88</v>
      </c>
      <c r="AK38" s="37" t="n">
        <v>216.75</v>
      </c>
      <c r="AL38" s="37" t="n">
        <v>177.36</v>
      </c>
      <c r="AM38" s="37" t="n">
        <v>240.3</v>
      </c>
      <c r="AN38" s="37" t="n">
        <v>221.19</v>
      </c>
      <c r="AO38" s="37" t="n">
        <v>215.99</v>
      </c>
      <c r="AP38" s="37" t="n">
        <v>215.34</v>
      </c>
      <c r="AQ38" s="37" t="n">
        <v>222.88</v>
      </c>
      <c r="AR38" s="37" t="n">
        <v>216.75</v>
      </c>
      <c r="AS38" s="37" t="n">
        <v>177.36</v>
      </c>
      <c r="AT38" s="37" t="n">
        <v>240.3</v>
      </c>
      <c r="AU38" s="37" t="n">
        <v>221.19</v>
      </c>
      <c r="AV38" s="37" t="n">
        <v>215.99</v>
      </c>
      <c r="AW38" s="37" t="n">
        <v>215.34</v>
      </c>
      <c r="AX38" s="37" t="n">
        <v>222.88</v>
      </c>
      <c r="AY38" s="37" t="n">
        <v>216.75</v>
      </c>
      <c r="AZ38" s="37" t="n">
        <v>177.36</v>
      </c>
      <c r="BA38" s="37" t="n">
        <v>216.27</v>
      </c>
      <c r="BB38" s="37" t="n">
        <v>193.52</v>
      </c>
      <c r="BC38" s="37" t="n">
        <v>122.61</v>
      </c>
      <c r="BD38" s="37" t="n">
        <v>122.19</v>
      </c>
      <c r="BE38" s="37" t="n">
        <v>206.37</v>
      </c>
      <c r="BF38" s="37" t="n">
        <v>200.85</v>
      </c>
      <c r="BG38" s="37" t="n">
        <v>182.89</v>
      </c>
      <c r="BH38" s="37" t="n">
        <v>247.86</v>
      </c>
      <c r="BI38" s="37" t="n">
        <v>228.12</v>
      </c>
      <c r="BJ38" s="37" t="n">
        <v>233.03</v>
      </c>
      <c r="BK38" s="37" t="n">
        <v>221.91</v>
      </c>
      <c r="BL38" s="37" t="n">
        <v>229.91</v>
      </c>
      <c r="BM38" s="37" t="n">
        <v>223.3</v>
      </c>
      <c r="BN38" s="37" t="n">
        <v>182.89</v>
      </c>
      <c r="BO38" s="37" t="n">
        <v>247.86</v>
      </c>
      <c r="BP38" s="37" t="n">
        <v>228.12</v>
      </c>
      <c r="BQ38" s="37" t="n">
        <v>222.58</v>
      </c>
      <c r="BR38" s="37" t="n">
        <v>221.91</v>
      </c>
      <c r="BS38" s="37" t="n">
        <v>229.91</v>
      </c>
      <c r="BT38" s="37" t="n">
        <v>223.3</v>
      </c>
      <c r="BU38" s="37" t="n">
        <v>182.89</v>
      </c>
      <c r="BV38" s="37" t="n">
        <v>247.86</v>
      </c>
      <c r="BW38" s="37" t="n">
        <v>228.12</v>
      </c>
      <c r="BX38" s="37" t="n">
        <v>222.58</v>
      </c>
      <c r="BY38" s="37" t="n">
        <v>221.91</v>
      </c>
      <c r="BZ38" s="37" t="n">
        <v>229.91</v>
      </c>
      <c r="CA38" s="37" t="n">
        <v>223.3</v>
      </c>
      <c r="CB38" s="37" t="n">
        <v>182.89</v>
      </c>
      <c r="CC38" s="37" t="n">
        <v>15638.76</v>
      </c>
    </row>
    <row r="39" ht="15.75" customHeight="1" s="57">
      <c r="A39" s="7" t="inlineStr">
        <is>
          <t>NTB</t>
        </is>
      </c>
      <c r="B39" s="7" t="inlineStr">
        <is>
          <t>Bình Thuận</t>
        </is>
      </c>
      <c r="C39" s="7" t="n">
        <v>21067000</v>
      </c>
      <c r="D39" s="7" t="inlineStr">
        <is>
          <t>(BTH) Tân Hải</t>
        </is>
      </c>
      <c r="E39" s="7" t="inlineStr">
        <is>
          <t>SME-Bulky</t>
        </is>
      </c>
      <c r="F39" s="36" t="n">
        <v>8</v>
      </c>
      <c r="G39" s="36" t="n">
        <v>7</v>
      </c>
      <c r="H39" s="36" t="n">
        <v>6</v>
      </c>
      <c r="I39" s="36" t="n">
        <v>11</v>
      </c>
      <c r="J39" s="36" t="n">
        <v>7</v>
      </c>
      <c r="K39" s="28" t="n">
        <v>9</v>
      </c>
      <c r="L39" s="36" t="n">
        <v>1</v>
      </c>
      <c r="M39" s="36" t="n">
        <v>5</v>
      </c>
      <c r="N39" s="36" t="n">
        <v>8</v>
      </c>
      <c r="O39" s="36" t="n">
        <v>6</v>
      </c>
      <c r="P39" s="36" t="n">
        <v>14</v>
      </c>
      <c r="Q39" s="36" t="n">
        <v>2</v>
      </c>
      <c r="R39" s="28" t="n">
        <v>7</v>
      </c>
      <c r="S39" s="36" t="n">
        <v>11</v>
      </c>
      <c r="T39" s="36" t="n">
        <v>12</v>
      </c>
      <c r="U39" s="36" t="n">
        <v>8.960000000000001</v>
      </c>
      <c r="V39" s="36" t="n">
        <v>8.99</v>
      </c>
      <c r="W39" s="36" t="n">
        <v>8.34</v>
      </c>
      <c r="X39" s="36" t="n">
        <v>5.86</v>
      </c>
      <c r="Y39" s="28" t="n">
        <v>10.01</v>
      </c>
      <c r="Z39" s="36" t="n">
        <v>9.73</v>
      </c>
      <c r="AA39" s="36" t="n">
        <v>9.48</v>
      </c>
      <c r="AB39" s="36" t="n">
        <v>8.960000000000001</v>
      </c>
      <c r="AC39" s="36" t="n">
        <v>8.99</v>
      </c>
      <c r="AD39" s="36" t="n">
        <v>9.51</v>
      </c>
      <c r="AE39" s="36" t="n">
        <v>5.86</v>
      </c>
      <c r="AF39" s="28" t="n">
        <v>10.01</v>
      </c>
      <c r="AG39" s="36" t="n">
        <v>9.73</v>
      </c>
      <c r="AH39" s="37" t="n">
        <v>9.48</v>
      </c>
      <c r="AI39" s="37" t="n">
        <v>8.960000000000001</v>
      </c>
      <c r="AJ39" s="37" t="n">
        <v>8.99</v>
      </c>
      <c r="AK39" s="37" t="n">
        <v>8.34</v>
      </c>
      <c r="AL39" s="37" t="n">
        <v>5.86</v>
      </c>
      <c r="AM39" s="37" t="n">
        <v>10.01</v>
      </c>
      <c r="AN39" s="37" t="n">
        <v>9.73</v>
      </c>
      <c r="AO39" s="37" t="n">
        <v>9.48</v>
      </c>
      <c r="AP39" s="37" t="n">
        <v>8.960000000000001</v>
      </c>
      <c r="AQ39" s="37" t="n">
        <v>8.99</v>
      </c>
      <c r="AR39" s="37" t="n">
        <v>8.34</v>
      </c>
      <c r="AS39" s="37" t="n">
        <v>5.86</v>
      </c>
      <c r="AT39" s="37" t="n">
        <v>10.01</v>
      </c>
      <c r="AU39" s="37" t="n">
        <v>9.73</v>
      </c>
      <c r="AV39" s="37" t="n">
        <v>9.48</v>
      </c>
      <c r="AW39" s="37" t="n">
        <v>8.960000000000001</v>
      </c>
      <c r="AX39" s="37" t="n">
        <v>8.99</v>
      </c>
      <c r="AY39" s="37" t="n">
        <v>8.34</v>
      </c>
      <c r="AZ39" s="37" t="n">
        <v>5.86</v>
      </c>
      <c r="BA39" s="37" t="n">
        <v>10.04</v>
      </c>
      <c r="BB39" s="37" t="n">
        <v>5.27</v>
      </c>
      <c r="BC39" s="37" t="n">
        <v>2.82</v>
      </c>
      <c r="BD39" s="37" t="n">
        <v>2.54</v>
      </c>
      <c r="BE39" s="37" t="n">
        <v>4.59</v>
      </c>
      <c r="BF39" s="37" t="n">
        <v>4.4</v>
      </c>
      <c r="BG39" s="37" t="n">
        <v>3.44</v>
      </c>
      <c r="BH39" s="37" t="n">
        <v>5.83</v>
      </c>
      <c r="BI39" s="37" t="n">
        <v>5.83</v>
      </c>
      <c r="BJ39" s="37" t="n">
        <v>6.01</v>
      </c>
      <c r="BK39" s="37" t="n">
        <v>5.3</v>
      </c>
      <c r="BL39" s="37" t="n">
        <v>5.36</v>
      </c>
      <c r="BM39" s="37" t="n">
        <v>4.96</v>
      </c>
      <c r="BN39" s="37" t="n">
        <v>3.44</v>
      </c>
      <c r="BO39" s="37" t="n">
        <v>5.83</v>
      </c>
      <c r="BP39" s="37" t="n">
        <v>5.83</v>
      </c>
      <c r="BQ39" s="37" t="n">
        <v>5.49</v>
      </c>
      <c r="BR39" s="37" t="n">
        <v>5.3</v>
      </c>
      <c r="BS39" s="37" t="n">
        <v>5.36</v>
      </c>
      <c r="BT39" s="37" t="n">
        <v>4.96</v>
      </c>
      <c r="BU39" s="37" t="n">
        <v>3.44</v>
      </c>
      <c r="BV39" s="37" t="n">
        <v>5.83</v>
      </c>
      <c r="BW39" s="37" t="n">
        <v>5.83</v>
      </c>
      <c r="BX39" s="37" t="n">
        <v>5.49</v>
      </c>
      <c r="BY39" s="37" t="n">
        <v>5.3</v>
      </c>
      <c r="BZ39" s="37" t="n">
        <v>5.36</v>
      </c>
      <c r="CA39" s="37" t="n">
        <v>4.96</v>
      </c>
      <c r="CB39" s="37" t="n">
        <v>3.44</v>
      </c>
      <c r="CC39" s="37" t="n">
        <v>535.05</v>
      </c>
    </row>
    <row r="40" ht="15.75" customHeight="1" s="57">
      <c r="A40" s="7" t="inlineStr">
        <is>
          <t>NTB</t>
        </is>
      </c>
      <c r="B40" s="7" t="inlineStr">
        <is>
          <t>Bình Thuận</t>
        </is>
      </c>
      <c r="C40" s="7" t="n">
        <v>21067000</v>
      </c>
      <c r="D40" s="7" t="inlineStr">
        <is>
          <t>(BTH) Tân Hải</t>
        </is>
      </c>
      <c r="E40" s="7" t="inlineStr">
        <is>
          <t>Shopee</t>
        </is>
      </c>
      <c r="F40" s="36" t="n">
        <v>144</v>
      </c>
      <c r="G40" s="36" t="n">
        <v>143</v>
      </c>
      <c r="H40" s="36" t="n">
        <v>230</v>
      </c>
      <c r="I40" s="36" t="n">
        <v>175</v>
      </c>
      <c r="J40" s="36" t="n">
        <v>144</v>
      </c>
      <c r="K40" s="28" t="n">
        <v>127</v>
      </c>
      <c r="L40" s="36" t="n">
        <v>155</v>
      </c>
      <c r="M40" s="36" t="n">
        <v>162</v>
      </c>
      <c r="N40" s="36" t="n">
        <v>186</v>
      </c>
      <c r="O40" s="36" t="n">
        <v>168</v>
      </c>
      <c r="P40" s="36" t="n">
        <v>142</v>
      </c>
      <c r="Q40" s="36" t="n">
        <v>136</v>
      </c>
      <c r="R40" s="28" t="n">
        <v>94</v>
      </c>
      <c r="S40" s="36" t="n">
        <v>158</v>
      </c>
      <c r="T40" s="36" t="n">
        <v>114</v>
      </c>
      <c r="U40" s="36" t="n">
        <v>150.31</v>
      </c>
      <c r="V40" s="36" t="n">
        <v>150.94</v>
      </c>
      <c r="W40" s="36" t="n">
        <v>148.7</v>
      </c>
      <c r="X40" s="36" t="n">
        <v>120.98</v>
      </c>
      <c r="Y40" s="28" t="n">
        <v>202.55</v>
      </c>
      <c r="Z40" s="36" t="n">
        <v>160.27</v>
      </c>
      <c r="AA40" s="36" t="n">
        <v>220.35</v>
      </c>
      <c r="AB40" s="36" t="n">
        <v>153.41</v>
      </c>
      <c r="AC40" s="36" t="n">
        <v>123.92</v>
      </c>
      <c r="AD40" s="36" t="n">
        <v>336.78</v>
      </c>
      <c r="AE40" s="36" t="n">
        <v>129.49</v>
      </c>
      <c r="AF40" s="28" t="n">
        <v>230.82</v>
      </c>
      <c r="AG40" s="36" t="n">
        <v>168.31</v>
      </c>
      <c r="AH40" s="37" t="n">
        <v>177.84</v>
      </c>
      <c r="AI40" s="37" t="n">
        <v>150.31</v>
      </c>
      <c r="AJ40" s="37" t="n">
        <v>150.94</v>
      </c>
      <c r="AK40" s="37" t="n">
        <v>200.66</v>
      </c>
      <c r="AL40" s="37" t="n">
        <v>217.13</v>
      </c>
      <c r="AM40" s="37" t="n">
        <v>202.55</v>
      </c>
      <c r="AN40" s="37" t="n">
        <v>160.27</v>
      </c>
      <c r="AO40" s="37" t="n">
        <v>177.84</v>
      </c>
      <c r="AP40" s="37" t="n">
        <v>187.68</v>
      </c>
      <c r="AQ40" s="37" t="n">
        <v>121.1</v>
      </c>
      <c r="AR40" s="37" t="n">
        <v>148.7</v>
      </c>
      <c r="AS40" s="37" t="n">
        <v>120.98</v>
      </c>
      <c r="AT40" s="37" t="n">
        <v>202.55</v>
      </c>
      <c r="AU40" s="37" t="n">
        <v>163.57</v>
      </c>
      <c r="AV40" s="37" t="n">
        <v>181.21</v>
      </c>
      <c r="AW40" s="37" t="n">
        <v>150.31</v>
      </c>
      <c r="AX40" s="37" t="n">
        <v>150.94</v>
      </c>
      <c r="AY40" s="37" t="n">
        <v>148.7</v>
      </c>
      <c r="AZ40" s="37" t="n">
        <v>120.98</v>
      </c>
      <c r="BA40" s="37" t="n">
        <v>156.11</v>
      </c>
      <c r="BB40" s="37" t="n">
        <v>136.04</v>
      </c>
      <c r="BC40" s="37" t="n">
        <v>69.37</v>
      </c>
      <c r="BD40" s="37" t="n">
        <v>122.98</v>
      </c>
      <c r="BE40" s="37" t="n">
        <v>143.84</v>
      </c>
      <c r="BF40" s="37" t="n">
        <v>141.68</v>
      </c>
      <c r="BG40" s="37" t="n">
        <v>117.49</v>
      </c>
      <c r="BH40" s="37" t="n">
        <v>192.78</v>
      </c>
      <c r="BI40" s="37" t="n">
        <v>125.1</v>
      </c>
      <c r="BJ40" s="37" t="n">
        <v>478.03</v>
      </c>
      <c r="BK40" s="37" t="n">
        <v>153.25</v>
      </c>
      <c r="BL40" s="37" t="n">
        <v>150.94</v>
      </c>
      <c r="BM40" s="37" t="n">
        <v>141.68</v>
      </c>
      <c r="BN40" s="37" t="n">
        <v>115.21</v>
      </c>
      <c r="BO40" s="37" t="n">
        <v>192.78</v>
      </c>
      <c r="BP40" s="37" t="n">
        <v>206.07</v>
      </c>
      <c r="BQ40" s="37" t="n">
        <v>303.99</v>
      </c>
      <c r="BR40" s="37" t="n">
        <v>143.21</v>
      </c>
      <c r="BS40" s="37" t="n">
        <v>143.84</v>
      </c>
      <c r="BT40" s="37" t="n">
        <v>141.68</v>
      </c>
      <c r="BU40" s="37" t="n">
        <v>144</v>
      </c>
      <c r="BV40" s="37" t="n">
        <v>154.55</v>
      </c>
      <c r="BW40" s="37" t="n">
        <v>152.7</v>
      </c>
      <c r="BX40" s="37" t="n">
        <v>169.49</v>
      </c>
      <c r="BY40" s="37" t="n">
        <v>143.21</v>
      </c>
      <c r="BZ40" s="37" t="n">
        <v>146.7</v>
      </c>
      <c r="CA40" s="37" t="n">
        <v>144.55</v>
      </c>
      <c r="CB40" s="37" t="n">
        <v>115.21</v>
      </c>
      <c r="CC40" s="37" t="n">
        <v>12255.57</v>
      </c>
    </row>
    <row r="41" ht="15.75" customHeight="1" s="57">
      <c r="A41" s="7" t="inlineStr">
        <is>
          <t>NTB</t>
        </is>
      </c>
      <c r="B41" s="7" t="inlineStr">
        <is>
          <t>Bình Thuận</t>
        </is>
      </c>
      <c r="C41" s="7" t="n">
        <v>21067000</v>
      </c>
      <c r="D41" s="7" t="inlineStr">
        <is>
          <t>(BTH) Tân Hải</t>
        </is>
      </c>
      <c r="E41" s="7" t="inlineStr">
        <is>
          <t>Shopee-Bulky</t>
        </is>
      </c>
      <c r="F41" s="36" t="n">
        <v>10</v>
      </c>
      <c r="G41" s="36" t="n">
        <v>9.33</v>
      </c>
      <c r="H41" s="36" t="n">
        <v>17.33</v>
      </c>
      <c r="I41" s="36" t="n">
        <v>11.33</v>
      </c>
      <c r="J41" s="36" t="n">
        <v>8</v>
      </c>
      <c r="K41" s="28" t="n">
        <v>4</v>
      </c>
      <c r="L41" s="36" t="n">
        <v>10.66</v>
      </c>
      <c r="M41" s="36" t="n">
        <v>13.33</v>
      </c>
      <c r="N41" s="36" t="n">
        <v>18.66</v>
      </c>
      <c r="O41" s="36" t="n">
        <v>12.66</v>
      </c>
      <c r="P41" s="36" t="n">
        <v>14</v>
      </c>
      <c r="Q41" s="36" t="n">
        <v>17.33</v>
      </c>
      <c r="R41" s="28" t="n">
        <v>10.66</v>
      </c>
      <c r="S41" s="36" t="n">
        <v>12.66</v>
      </c>
      <c r="T41" s="36" t="n">
        <v>12.66</v>
      </c>
      <c r="U41" s="36" t="n">
        <v>13.5</v>
      </c>
      <c r="V41" s="36" t="n">
        <v>13.05</v>
      </c>
      <c r="W41" s="36" t="n">
        <v>18.2</v>
      </c>
      <c r="X41" s="36" t="n">
        <v>10.39</v>
      </c>
      <c r="Y41" s="28" t="n">
        <v>19.91</v>
      </c>
      <c r="Z41" s="36" t="n">
        <v>15.7</v>
      </c>
      <c r="AA41" s="36" t="n">
        <v>15.22</v>
      </c>
      <c r="AB41" s="36" t="n">
        <v>15.52</v>
      </c>
      <c r="AC41" s="36" t="n">
        <v>16.03</v>
      </c>
      <c r="AD41" s="36" t="n">
        <v>50.19</v>
      </c>
      <c r="AE41" s="36" t="n">
        <v>26.19</v>
      </c>
      <c r="AF41" s="28" t="n">
        <v>38.98</v>
      </c>
      <c r="AG41" s="36" t="n">
        <v>22.36</v>
      </c>
      <c r="AH41" s="37" t="n">
        <v>15.57</v>
      </c>
      <c r="AI41" s="37" t="n">
        <v>15.32</v>
      </c>
      <c r="AJ41" s="37" t="n">
        <v>14.63</v>
      </c>
      <c r="AK41" s="37" t="n">
        <v>33.24</v>
      </c>
      <c r="AL41" s="37" t="n">
        <v>17</v>
      </c>
      <c r="AM41" s="37" t="n">
        <v>24.64</v>
      </c>
      <c r="AN41" s="37" t="n">
        <v>15.42</v>
      </c>
      <c r="AO41" s="37" t="n">
        <v>14.91</v>
      </c>
      <c r="AP41" s="37" t="n">
        <v>20.35</v>
      </c>
      <c r="AQ41" s="37" t="n">
        <v>20.42</v>
      </c>
      <c r="AR41" s="37" t="n">
        <v>16.54</v>
      </c>
      <c r="AS41" s="37" t="n">
        <v>9.16</v>
      </c>
      <c r="AT41" s="37" t="n">
        <v>18.3</v>
      </c>
      <c r="AU41" s="37" t="n">
        <v>29.74</v>
      </c>
      <c r="AV41" s="37" t="n">
        <v>31.48</v>
      </c>
      <c r="AW41" s="37" t="n">
        <v>15.09</v>
      </c>
      <c r="AX41" s="37" t="n">
        <v>14.09</v>
      </c>
      <c r="AY41" s="37" t="n">
        <v>15.9</v>
      </c>
      <c r="AZ41" s="37" t="n">
        <v>8.779999999999999</v>
      </c>
      <c r="BA41" s="37" t="n">
        <v>16.8</v>
      </c>
      <c r="BB41" s="37" t="n">
        <v>15.57</v>
      </c>
      <c r="BC41" s="37" t="n">
        <v>5.16</v>
      </c>
      <c r="BD41" s="37" t="n">
        <v>13.2</v>
      </c>
      <c r="BE41" s="37" t="n">
        <v>16.24</v>
      </c>
      <c r="BF41" s="37" t="n">
        <v>14.25</v>
      </c>
      <c r="BG41" s="37" t="n">
        <v>11.85</v>
      </c>
      <c r="BH41" s="37" t="n">
        <v>21.42</v>
      </c>
      <c r="BI41" s="37" t="n">
        <v>18.28</v>
      </c>
      <c r="BJ41" s="37" t="n">
        <v>79.04000000000001</v>
      </c>
      <c r="BK41" s="37" t="n">
        <v>38.55</v>
      </c>
      <c r="BL41" s="37" t="n">
        <v>20.19</v>
      </c>
      <c r="BM41" s="37" t="n">
        <v>14.93</v>
      </c>
      <c r="BN41" s="37" t="n">
        <v>11.46</v>
      </c>
      <c r="BO41" s="37" t="n">
        <v>24.51</v>
      </c>
      <c r="BP41" s="37" t="n">
        <v>36.15</v>
      </c>
      <c r="BQ41" s="37" t="n">
        <v>25.89</v>
      </c>
      <c r="BR41" s="37" t="n">
        <v>17.23</v>
      </c>
      <c r="BS41" s="37" t="n">
        <v>16.24</v>
      </c>
      <c r="BT41" s="37" t="n">
        <v>14.25</v>
      </c>
      <c r="BU41" s="37" t="n">
        <v>16.57</v>
      </c>
      <c r="BV41" s="37" t="n">
        <v>22.54</v>
      </c>
      <c r="BW41" s="37" t="n">
        <v>18.28</v>
      </c>
      <c r="BX41" s="37" t="n">
        <v>17.51</v>
      </c>
      <c r="BY41" s="37" t="n">
        <v>17.23</v>
      </c>
      <c r="BZ41" s="37" t="n">
        <v>29.21</v>
      </c>
      <c r="CA41" s="37" t="n">
        <v>17.08</v>
      </c>
      <c r="CB41" s="37" t="n">
        <v>11.36</v>
      </c>
      <c r="CC41" s="37" t="n">
        <v>1389.42</v>
      </c>
    </row>
    <row r="42" ht="15.75" customHeight="1" s="57">
      <c r="A42" s="7" t="inlineStr">
        <is>
          <t>NTB</t>
        </is>
      </c>
      <c r="B42" s="7" t="inlineStr">
        <is>
          <t>Bình Thuận</t>
        </is>
      </c>
      <c r="C42" s="7" t="n">
        <v>21067000</v>
      </c>
      <c r="D42" s="7" t="inlineStr">
        <is>
          <t>(BTH) Tân Hải</t>
        </is>
      </c>
      <c r="E42" s="7" t="inlineStr">
        <is>
          <t>Shopee-Bulky (10-15kg)</t>
        </is>
      </c>
      <c r="F42" s="36" t="n">
        <v>5</v>
      </c>
      <c r="G42" s="36" t="n">
        <v>4.67</v>
      </c>
      <c r="H42" s="36" t="n">
        <v>8.67</v>
      </c>
      <c r="I42" s="36" t="n">
        <v>5.67</v>
      </c>
      <c r="J42" s="36" t="n">
        <v>4</v>
      </c>
      <c r="K42" s="28" t="n">
        <v>2</v>
      </c>
      <c r="L42" s="36" t="n">
        <v>5.34</v>
      </c>
      <c r="M42" s="36" t="n">
        <v>6.67</v>
      </c>
      <c r="N42" s="36" t="n">
        <v>9.34</v>
      </c>
      <c r="O42" s="36" t="n">
        <v>6.34</v>
      </c>
      <c r="P42" s="36" t="n">
        <v>7</v>
      </c>
      <c r="Q42" s="36" t="n">
        <v>8.67</v>
      </c>
      <c r="R42" s="28" t="n">
        <v>5.34</v>
      </c>
      <c r="S42" s="36" t="n">
        <v>6.34</v>
      </c>
      <c r="T42" s="36" t="n">
        <v>6.34</v>
      </c>
      <c r="U42" s="36" t="n">
        <v>6.97</v>
      </c>
      <c r="V42" s="36" t="n">
        <v>6.77</v>
      </c>
      <c r="W42" s="36" t="n">
        <v>9.109999999999999</v>
      </c>
      <c r="X42" s="36" t="n">
        <v>4.95</v>
      </c>
      <c r="Y42" s="28" t="n">
        <v>9.85</v>
      </c>
      <c r="Z42" s="36" t="n">
        <v>7.76</v>
      </c>
      <c r="AA42" s="36" t="n">
        <v>7.56</v>
      </c>
      <c r="AB42" s="36" t="n">
        <v>7.68</v>
      </c>
      <c r="AC42" s="36" t="n">
        <v>7.97</v>
      </c>
      <c r="AD42" s="36" t="n">
        <v>32.5</v>
      </c>
      <c r="AE42" s="36" t="n">
        <v>13.02</v>
      </c>
      <c r="AF42" s="28" t="n">
        <v>18.3</v>
      </c>
      <c r="AG42" s="36" t="n">
        <v>11.11</v>
      </c>
      <c r="AH42" s="37" t="n">
        <v>7.66</v>
      </c>
      <c r="AI42" s="37" t="n">
        <v>7.4</v>
      </c>
      <c r="AJ42" s="37" t="n">
        <v>7.25</v>
      </c>
      <c r="AK42" s="37" t="n">
        <v>16.95</v>
      </c>
      <c r="AL42" s="37" t="n">
        <v>8.27</v>
      </c>
      <c r="AM42" s="37" t="n">
        <v>12.02</v>
      </c>
      <c r="AN42" s="37" t="n">
        <v>7.66</v>
      </c>
      <c r="AO42" s="37" t="n">
        <v>7.3</v>
      </c>
      <c r="AP42" s="37" t="n">
        <v>9.880000000000001</v>
      </c>
      <c r="AQ42" s="37" t="n">
        <v>9.91</v>
      </c>
      <c r="AR42" s="37" t="n">
        <v>8.220000000000001</v>
      </c>
      <c r="AS42" s="37" t="n">
        <v>4.39</v>
      </c>
      <c r="AT42" s="37" t="n">
        <v>8.91</v>
      </c>
      <c r="AU42" s="37" t="n">
        <v>15.24</v>
      </c>
      <c r="AV42" s="37" t="n">
        <v>15.24</v>
      </c>
      <c r="AW42" s="37" t="n">
        <v>7.33</v>
      </c>
      <c r="AX42" s="37" t="n">
        <v>6.89</v>
      </c>
      <c r="AY42" s="37" t="n">
        <v>7.86</v>
      </c>
      <c r="AZ42" s="37" t="n">
        <v>4.21</v>
      </c>
      <c r="BA42" s="37" t="n">
        <v>8.17</v>
      </c>
      <c r="BB42" s="37" t="n">
        <v>7.81</v>
      </c>
      <c r="BC42" s="37" t="n">
        <v>2.71</v>
      </c>
      <c r="BD42" s="37" t="n">
        <v>6.66</v>
      </c>
      <c r="BE42" s="37" t="n">
        <v>8.07</v>
      </c>
      <c r="BF42" s="37" t="n">
        <v>7.22</v>
      </c>
      <c r="BG42" s="37" t="n">
        <v>5.77</v>
      </c>
      <c r="BH42" s="37" t="n">
        <v>10.59</v>
      </c>
      <c r="BI42" s="37" t="n">
        <v>9.109999999999999</v>
      </c>
      <c r="BJ42" s="37" t="n">
        <v>45.01</v>
      </c>
      <c r="BK42" s="37" t="n">
        <v>19.2</v>
      </c>
      <c r="BL42" s="37" t="n">
        <v>9.800000000000001</v>
      </c>
      <c r="BM42" s="37" t="n">
        <v>7.51</v>
      </c>
      <c r="BN42" s="37" t="n">
        <v>5.77</v>
      </c>
      <c r="BO42" s="37" t="n">
        <v>12.61</v>
      </c>
      <c r="BP42" s="37" t="n">
        <v>18.1</v>
      </c>
      <c r="BQ42" s="37" t="n">
        <v>13.28</v>
      </c>
      <c r="BR42" s="37" t="n">
        <v>8.550000000000001</v>
      </c>
      <c r="BS42" s="37" t="n">
        <v>8.07</v>
      </c>
      <c r="BT42" s="37" t="n">
        <v>7.22</v>
      </c>
      <c r="BU42" s="37" t="n">
        <v>8.17</v>
      </c>
      <c r="BV42" s="37" t="n">
        <v>11.51</v>
      </c>
      <c r="BW42" s="37" t="n">
        <v>9.109999999999999</v>
      </c>
      <c r="BX42" s="37" t="n">
        <v>8.710000000000001</v>
      </c>
      <c r="BY42" s="37" t="n">
        <v>8.550000000000001</v>
      </c>
      <c r="BZ42" s="37" t="n">
        <v>14.68</v>
      </c>
      <c r="CA42" s="37" t="n">
        <v>8.529999999999999</v>
      </c>
      <c r="CB42" s="37" t="n">
        <v>5.46</v>
      </c>
      <c r="CC42" s="37" t="n">
        <v>703.48</v>
      </c>
    </row>
    <row r="43" ht="15.75" customHeight="1" s="57">
      <c r="A43" s="7" t="inlineStr">
        <is>
          <t>NTB</t>
        </is>
      </c>
      <c r="B43" s="7" t="inlineStr">
        <is>
          <t>Bình Thuận</t>
        </is>
      </c>
      <c r="C43" s="7" t="n">
        <v>21067000</v>
      </c>
      <c r="D43" s="7" t="inlineStr">
        <is>
          <t>(BTH) Tân Hải</t>
        </is>
      </c>
      <c r="E43" s="7" t="inlineStr">
        <is>
          <t>TTS</t>
        </is>
      </c>
      <c r="F43" s="36" t="n">
        <v>133</v>
      </c>
      <c r="G43" s="36" t="n">
        <v>125</v>
      </c>
      <c r="H43" s="36" t="n">
        <v>174</v>
      </c>
      <c r="I43" s="36" t="n">
        <v>136</v>
      </c>
      <c r="J43" s="36" t="n">
        <v>148</v>
      </c>
      <c r="K43" s="28" t="n">
        <v>111</v>
      </c>
      <c r="L43" s="36" t="n">
        <v>130</v>
      </c>
      <c r="M43" s="36" t="n">
        <v>161</v>
      </c>
      <c r="N43" s="36" t="n">
        <v>143</v>
      </c>
      <c r="O43" s="36" t="n">
        <v>147</v>
      </c>
      <c r="P43" s="36" t="n">
        <v>128</v>
      </c>
      <c r="Q43" s="36" t="n">
        <v>137</v>
      </c>
      <c r="R43" s="28" t="n">
        <v>96</v>
      </c>
      <c r="S43" s="36" t="n">
        <v>152</v>
      </c>
      <c r="T43" s="36" t="n">
        <v>105</v>
      </c>
      <c r="U43" s="36" t="n">
        <v>103.07</v>
      </c>
      <c r="V43" s="36" t="n">
        <v>101.08</v>
      </c>
      <c r="W43" s="36" t="n">
        <v>98.69999999999999</v>
      </c>
      <c r="X43" s="36" t="n">
        <v>79.47</v>
      </c>
      <c r="Y43" s="28" t="n">
        <v>115.9</v>
      </c>
      <c r="Z43" s="36" t="n">
        <v>98.56999999999999</v>
      </c>
      <c r="AA43" s="36" t="n">
        <v>109.12</v>
      </c>
      <c r="AB43" s="36" t="n">
        <v>121.74</v>
      </c>
      <c r="AC43" s="36" t="n">
        <v>128.05</v>
      </c>
      <c r="AD43" s="36" t="n">
        <v>131.84</v>
      </c>
      <c r="AE43" s="36" t="n">
        <v>92.35000000000001</v>
      </c>
      <c r="AF43" s="28" t="n">
        <v>119.75</v>
      </c>
      <c r="AG43" s="36" t="n">
        <v>100.38</v>
      </c>
      <c r="AH43" s="37" t="n">
        <v>99.42999999999999</v>
      </c>
      <c r="AI43" s="37" t="n">
        <v>113.87</v>
      </c>
      <c r="AJ43" s="37" t="n">
        <v>122.56</v>
      </c>
      <c r="AK43" s="37" t="n">
        <v>120.4</v>
      </c>
      <c r="AL43" s="37" t="n">
        <v>85.52</v>
      </c>
      <c r="AM43" s="37" t="n">
        <v>117.89</v>
      </c>
      <c r="AN43" s="37" t="n">
        <v>101.69</v>
      </c>
      <c r="AO43" s="37" t="n">
        <v>101.04</v>
      </c>
      <c r="AP43" s="37" t="n">
        <v>98.08999999999999</v>
      </c>
      <c r="AQ43" s="37" t="n">
        <v>99.22</v>
      </c>
      <c r="AR43" s="37" t="n">
        <v>97.27</v>
      </c>
      <c r="AS43" s="37" t="n">
        <v>79.64</v>
      </c>
      <c r="AT43" s="37" t="n">
        <v>127.43</v>
      </c>
      <c r="AU43" s="37" t="n">
        <v>115.34</v>
      </c>
      <c r="AV43" s="37" t="n">
        <v>102.38</v>
      </c>
      <c r="AW43" s="37" t="n">
        <v>97.00999999999999</v>
      </c>
      <c r="AX43" s="37" t="n">
        <v>96.36</v>
      </c>
      <c r="AY43" s="37" t="n">
        <v>96.05999999999999</v>
      </c>
      <c r="AZ43" s="37" t="n">
        <v>79.73</v>
      </c>
      <c r="BA43" s="37" t="n">
        <v>114.95</v>
      </c>
      <c r="BB43" s="37" t="n">
        <v>107.26</v>
      </c>
      <c r="BC43" s="37" t="n">
        <v>63.91</v>
      </c>
      <c r="BD43" s="37" t="n">
        <v>92.55999999999999</v>
      </c>
      <c r="BE43" s="37" t="n">
        <v>109.33</v>
      </c>
      <c r="BF43" s="37" t="n">
        <v>105.96</v>
      </c>
      <c r="BG43" s="37" t="n">
        <v>85.69</v>
      </c>
      <c r="BH43" s="37" t="n">
        <v>127.35</v>
      </c>
      <c r="BI43" s="37" t="n">
        <v>107.26</v>
      </c>
      <c r="BJ43" s="37" t="n">
        <v>100.16</v>
      </c>
      <c r="BK43" s="37" t="n">
        <v>109.12</v>
      </c>
      <c r="BL43" s="37" t="n">
        <v>109.33</v>
      </c>
      <c r="BM43" s="37" t="n">
        <v>105.96</v>
      </c>
      <c r="BN43" s="37" t="n">
        <v>85.69</v>
      </c>
      <c r="BO43" s="37" t="n">
        <v>127.35</v>
      </c>
      <c r="BP43" s="37" t="n">
        <v>107.26</v>
      </c>
      <c r="BQ43" s="37" t="n">
        <v>106.09</v>
      </c>
      <c r="BR43" s="37" t="n">
        <v>109.12</v>
      </c>
      <c r="BS43" s="37" t="n">
        <v>109.33</v>
      </c>
      <c r="BT43" s="37" t="n">
        <v>105.96</v>
      </c>
      <c r="BU43" s="37" t="n">
        <v>85.69</v>
      </c>
      <c r="BV43" s="37" t="n">
        <v>127.35</v>
      </c>
      <c r="BW43" s="37" t="n">
        <v>107.26</v>
      </c>
      <c r="BX43" s="37" t="n">
        <v>106.09</v>
      </c>
      <c r="BY43" s="37" t="n">
        <v>109.12</v>
      </c>
      <c r="BZ43" s="37" t="n">
        <v>109.33</v>
      </c>
      <c r="CA43" s="37" t="n">
        <v>105.96</v>
      </c>
      <c r="CB43" s="37" t="n">
        <v>85.69</v>
      </c>
      <c r="CC43" s="37" t="n">
        <v>8303.080000000002</v>
      </c>
    </row>
    <row r="44" ht="15.75" customHeight="1" s="57">
      <c r="A44" s="7" t="inlineStr">
        <is>
          <t>NTB</t>
        </is>
      </c>
      <c r="B44" s="7" t="inlineStr">
        <is>
          <t>Bình Thuận</t>
        </is>
      </c>
      <c r="C44" s="7" t="n">
        <v>21067000</v>
      </c>
      <c r="D44" s="7" t="inlineStr">
        <is>
          <t>(BTH) Tân Hải</t>
        </is>
      </c>
      <c r="E44" s="7" t="inlineStr">
        <is>
          <t>TTS-Bulky</t>
        </is>
      </c>
      <c r="F44" s="36" t="n">
        <v>2</v>
      </c>
      <c r="G44" s="36" t="n">
        <v>1</v>
      </c>
      <c r="H44" s="36" t="n">
        <v>7</v>
      </c>
      <c r="I44" s="36" t="n">
        <v>4</v>
      </c>
      <c r="J44" s="36" t="n">
        <v>1</v>
      </c>
      <c r="K44" s="28" t="n">
        <v>1</v>
      </c>
      <c r="L44" s="36" t="n">
        <v>2</v>
      </c>
      <c r="M44" s="36" t="n">
        <v>0</v>
      </c>
      <c r="N44" s="36" t="n">
        <v>0</v>
      </c>
      <c r="O44" s="36" t="n">
        <v>1</v>
      </c>
      <c r="P44" s="36" t="n">
        <v>0</v>
      </c>
      <c r="Q44" s="36" t="n">
        <v>1</v>
      </c>
      <c r="R44" s="28" t="n">
        <v>0</v>
      </c>
      <c r="S44" s="36" t="n">
        <v>0</v>
      </c>
      <c r="T44" s="36" t="n">
        <v>3</v>
      </c>
      <c r="U44" s="36" t="n">
        <v>5.19</v>
      </c>
      <c r="V44" s="36" t="n">
        <v>5.4</v>
      </c>
      <c r="W44" s="36" t="n">
        <v>2.66</v>
      </c>
      <c r="X44" s="36" t="n">
        <v>1.52</v>
      </c>
      <c r="Y44" s="28" t="n">
        <v>3.67</v>
      </c>
      <c r="Z44" s="36" t="n">
        <v>2.79</v>
      </c>
      <c r="AA44" s="36" t="n">
        <v>2.62</v>
      </c>
      <c r="AB44" s="36" t="n">
        <v>2.79</v>
      </c>
      <c r="AC44" s="36" t="n">
        <v>3.12</v>
      </c>
      <c r="AD44" s="36" t="n">
        <v>3.38</v>
      </c>
      <c r="AE44" s="36" t="n">
        <v>1.73</v>
      </c>
      <c r="AF44" s="28" t="n">
        <v>3.42</v>
      </c>
      <c r="AG44" s="36" t="n">
        <v>2.58</v>
      </c>
      <c r="AH44" s="37" t="n">
        <v>2.49</v>
      </c>
      <c r="AI44" s="37" t="n">
        <v>2.91</v>
      </c>
      <c r="AJ44" s="37" t="n">
        <v>2.96</v>
      </c>
      <c r="AK44" s="37" t="n">
        <v>2.87</v>
      </c>
      <c r="AL44" s="37" t="n">
        <v>1.52</v>
      </c>
      <c r="AM44" s="37" t="n">
        <v>3.42</v>
      </c>
      <c r="AN44" s="37" t="n">
        <v>2.53</v>
      </c>
      <c r="AO44" s="37" t="n">
        <v>2.58</v>
      </c>
      <c r="AP44" s="37" t="n">
        <v>2.58</v>
      </c>
      <c r="AQ44" s="37" t="n">
        <v>2.7</v>
      </c>
      <c r="AR44" s="37" t="n">
        <v>2.62</v>
      </c>
      <c r="AS44" s="37" t="n">
        <v>1.52</v>
      </c>
      <c r="AT44" s="37" t="n">
        <v>3.67</v>
      </c>
      <c r="AU44" s="37" t="n">
        <v>2.87</v>
      </c>
      <c r="AV44" s="37" t="n">
        <v>2.49</v>
      </c>
      <c r="AW44" s="37" t="n">
        <v>2.53</v>
      </c>
      <c r="AX44" s="37" t="n">
        <v>2.66</v>
      </c>
      <c r="AY44" s="37" t="n">
        <v>2.62</v>
      </c>
      <c r="AZ44" s="37" t="n">
        <v>1.52</v>
      </c>
      <c r="BA44" s="37" t="n">
        <v>3.04</v>
      </c>
      <c r="BB44" s="37" t="n">
        <v>0.72</v>
      </c>
      <c r="BC44" s="37" t="n">
        <v>0.34</v>
      </c>
      <c r="BD44" s="37" t="n">
        <v>0.59</v>
      </c>
      <c r="BE44" s="37" t="n">
        <v>0.72</v>
      </c>
      <c r="BF44" s="37" t="n">
        <v>0.72</v>
      </c>
      <c r="BG44" s="37" t="n">
        <v>0.42</v>
      </c>
      <c r="BH44" s="37" t="n">
        <v>1.1</v>
      </c>
      <c r="BI44" s="37" t="n">
        <v>0.72</v>
      </c>
      <c r="BJ44" s="37" t="n">
        <v>0.8</v>
      </c>
      <c r="BK44" s="37" t="n">
        <v>0.72</v>
      </c>
      <c r="BL44" s="37" t="n">
        <v>0.72</v>
      </c>
      <c r="BM44" s="37" t="n">
        <v>0.72</v>
      </c>
      <c r="BN44" s="37" t="n">
        <v>0.46</v>
      </c>
      <c r="BO44" s="37" t="n">
        <v>1.14</v>
      </c>
      <c r="BP44" s="37" t="n">
        <v>0.93</v>
      </c>
      <c r="BQ44" s="37" t="n">
        <v>0.72</v>
      </c>
      <c r="BR44" s="37" t="n">
        <v>0.72</v>
      </c>
      <c r="BS44" s="37" t="n">
        <v>0.72</v>
      </c>
      <c r="BT44" s="37" t="n">
        <v>0.72</v>
      </c>
      <c r="BU44" s="37" t="n">
        <v>0.38</v>
      </c>
      <c r="BV44" s="37" t="n">
        <v>0.93</v>
      </c>
      <c r="BW44" s="37" t="n">
        <v>0.72</v>
      </c>
      <c r="BX44" s="37" t="n">
        <v>0.72</v>
      </c>
      <c r="BY44" s="37" t="n">
        <v>0.72</v>
      </c>
      <c r="BZ44" s="37" t="n">
        <v>0.72</v>
      </c>
      <c r="CA44" s="37" t="n">
        <v>0.72</v>
      </c>
      <c r="CB44" s="37" t="n">
        <v>0.38</v>
      </c>
      <c r="CC44" s="37" t="n">
        <v>134.96</v>
      </c>
    </row>
    <row r="45" ht="15.75" customHeight="1" s="57">
      <c r="A45" s="7" t="inlineStr">
        <is>
          <t>NTB</t>
        </is>
      </c>
      <c r="B45" s="7" t="inlineStr">
        <is>
          <t>Bình Thuận</t>
        </is>
      </c>
      <c r="C45" s="7" t="n">
        <v>21285000</v>
      </c>
      <c r="D45" s="7" t="inlineStr">
        <is>
          <t>Kho Giao Hàng Nặng - Phan Thiết - Bình Thuận</t>
        </is>
      </c>
      <c r="E45" s="7" t="inlineStr">
        <is>
          <t>SME</t>
        </is>
      </c>
      <c r="F45" s="36" t="n">
        <v>27</v>
      </c>
      <c r="G45" s="36" t="n">
        <v>1</v>
      </c>
      <c r="H45" s="36" t="n">
        <v>9</v>
      </c>
      <c r="I45" s="36" t="n">
        <v>1</v>
      </c>
      <c r="J45" s="36" t="n">
        <v>11</v>
      </c>
      <c r="K45" s="28" t="n">
        <v>5</v>
      </c>
      <c r="L45" s="36" t="n">
        <v>4</v>
      </c>
      <c r="M45" s="36" t="n">
        <v>4</v>
      </c>
      <c r="N45" s="36" t="n">
        <v>6</v>
      </c>
      <c r="O45" s="36" t="n">
        <v>1</v>
      </c>
      <c r="P45" s="36" t="n">
        <v>0</v>
      </c>
      <c r="Q45" s="36" t="n">
        <v>1</v>
      </c>
      <c r="R45" s="28" t="n">
        <v>1</v>
      </c>
      <c r="S45" s="36" t="n">
        <v>3</v>
      </c>
      <c r="T45" s="36" t="n">
        <v>16</v>
      </c>
      <c r="U45" s="36" t="n">
        <v>21.49</v>
      </c>
      <c r="V45" s="36" t="n">
        <v>22.51</v>
      </c>
      <c r="W45" s="36" t="n">
        <v>21.76</v>
      </c>
      <c r="X45" s="36" t="n">
        <v>18.01</v>
      </c>
      <c r="Y45" s="28" t="n">
        <v>24.46</v>
      </c>
      <c r="Z45" s="36" t="n">
        <v>22.41</v>
      </c>
      <c r="AA45" s="36" t="n">
        <v>21.75</v>
      </c>
      <c r="AB45" s="36" t="n">
        <v>21.49</v>
      </c>
      <c r="AC45" s="36" t="n">
        <v>22.51</v>
      </c>
      <c r="AD45" s="36" t="n">
        <v>25.8</v>
      </c>
      <c r="AE45" s="36" t="n">
        <v>18.01</v>
      </c>
      <c r="AF45" s="28" t="n">
        <v>24.46</v>
      </c>
      <c r="AG45" s="36" t="n">
        <v>22.41</v>
      </c>
      <c r="AH45" s="37" t="n">
        <v>21.75</v>
      </c>
      <c r="AI45" s="37" t="n">
        <v>21.49</v>
      </c>
      <c r="AJ45" s="37" t="n">
        <v>22.51</v>
      </c>
      <c r="AK45" s="37" t="n">
        <v>21.76</v>
      </c>
      <c r="AL45" s="37" t="n">
        <v>18.01</v>
      </c>
      <c r="AM45" s="37" t="n">
        <v>24.46</v>
      </c>
      <c r="AN45" s="37" t="n">
        <v>22.41</v>
      </c>
      <c r="AO45" s="37" t="n">
        <v>21.75</v>
      </c>
      <c r="AP45" s="37" t="n">
        <v>21.49</v>
      </c>
      <c r="AQ45" s="37" t="n">
        <v>22.51</v>
      </c>
      <c r="AR45" s="37" t="n">
        <v>21.76</v>
      </c>
      <c r="AS45" s="37" t="n">
        <v>18.01</v>
      </c>
      <c r="AT45" s="37" t="n">
        <v>24.46</v>
      </c>
      <c r="AU45" s="37" t="n">
        <v>22.41</v>
      </c>
      <c r="AV45" s="37" t="n">
        <v>21.75</v>
      </c>
      <c r="AW45" s="37" t="n">
        <v>21.49</v>
      </c>
      <c r="AX45" s="37" t="n">
        <v>22.51</v>
      </c>
      <c r="AY45" s="37" t="n">
        <v>21.76</v>
      </c>
      <c r="AZ45" s="37" t="n">
        <v>18.01</v>
      </c>
      <c r="BA45" s="37" t="n">
        <v>21.67</v>
      </c>
      <c r="BB45" s="37" t="n">
        <v>19.15</v>
      </c>
      <c r="BC45" s="37" t="n">
        <v>12.05</v>
      </c>
      <c r="BD45" s="37" t="n">
        <v>11.88</v>
      </c>
      <c r="BE45" s="37" t="n">
        <v>20.36</v>
      </c>
      <c r="BF45" s="37" t="n">
        <v>19.93</v>
      </c>
      <c r="BG45" s="37" t="n">
        <v>18.44</v>
      </c>
      <c r="BH45" s="37" t="n">
        <v>24.94</v>
      </c>
      <c r="BI45" s="37" t="n">
        <v>22.87</v>
      </c>
      <c r="BJ45" s="37" t="n">
        <v>26.4</v>
      </c>
      <c r="BK45" s="37" t="n">
        <v>21.95</v>
      </c>
      <c r="BL45" s="37" t="n">
        <v>22.99</v>
      </c>
      <c r="BM45" s="37" t="n">
        <v>22.22</v>
      </c>
      <c r="BN45" s="37" t="n">
        <v>18.44</v>
      </c>
      <c r="BO45" s="37" t="n">
        <v>24.94</v>
      </c>
      <c r="BP45" s="37" t="n">
        <v>22.87</v>
      </c>
      <c r="BQ45" s="37" t="n">
        <v>22.2</v>
      </c>
      <c r="BR45" s="37" t="n">
        <v>21.95</v>
      </c>
      <c r="BS45" s="37" t="n">
        <v>22.99</v>
      </c>
      <c r="BT45" s="37" t="n">
        <v>22.22</v>
      </c>
      <c r="BU45" s="37" t="n">
        <v>18.44</v>
      </c>
      <c r="BV45" s="37" t="n">
        <v>24.94</v>
      </c>
      <c r="BW45" s="37" t="n">
        <v>22.87</v>
      </c>
      <c r="BX45" s="37" t="n">
        <v>22.2</v>
      </c>
      <c r="BY45" s="37" t="n">
        <v>21.95</v>
      </c>
      <c r="BZ45" s="37" t="n">
        <v>22.99</v>
      </c>
      <c r="CA45" s="37" t="n">
        <v>22.22</v>
      </c>
      <c r="CB45" s="37" t="n">
        <v>18.44</v>
      </c>
      <c r="CC45" s="37" t="n">
        <v>1381.88</v>
      </c>
    </row>
    <row r="46" ht="15.75" customHeight="1" s="57">
      <c r="A46" s="7" t="inlineStr">
        <is>
          <t>NTB</t>
        </is>
      </c>
      <c r="B46" s="7" t="inlineStr">
        <is>
          <t>Bình Thuận</t>
        </is>
      </c>
      <c r="C46" s="7" t="n">
        <v>21285000</v>
      </c>
      <c r="D46" s="7" t="inlineStr">
        <is>
          <t>Kho Giao Hàng Nặng - Phan Thiết - Bình Thuận</t>
        </is>
      </c>
      <c r="E46" s="7" t="inlineStr">
        <is>
          <t>SME-Bulky</t>
        </is>
      </c>
      <c r="F46" s="36" t="n">
        <v>33</v>
      </c>
      <c r="G46" s="36" t="n">
        <v>23</v>
      </c>
      <c r="H46" s="36" t="n">
        <v>31</v>
      </c>
      <c r="I46" s="36" t="n">
        <v>39</v>
      </c>
      <c r="J46" s="36" t="n">
        <v>15</v>
      </c>
      <c r="K46" s="28" t="n">
        <v>25</v>
      </c>
      <c r="L46" s="36" t="n">
        <v>18</v>
      </c>
      <c r="M46" s="36" t="n">
        <v>13</v>
      </c>
      <c r="N46" s="36" t="n">
        <v>23</v>
      </c>
      <c r="O46" s="36" t="n">
        <v>17</v>
      </c>
      <c r="P46" s="36" t="n">
        <v>25</v>
      </c>
      <c r="Q46" s="36" t="n">
        <v>20</v>
      </c>
      <c r="R46" s="28" t="n">
        <v>33</v>
      </c>
      <c r="S46" s="36" t="n">
        <v>12</v>
      </c>
      <c r="T46" s="36" t="n">
        <v>22</v>
      </c>
      <c r="U46" s="36" t="n">
        <v>22.69</v>
      </c>
      <c r="V46" s="36" t="n">
        <v>22.77</v>
      </c>
      <c r="W46" s="36" t="n">
        <v>21.12</v>
      </c>
      <c r="X46" s="36" t="n">
        <v>14.84</v>
      </c>
      <c r="Y46" s="28" t="n">
        <v>25.36</v>
      </c>
      <c r="Z46" s="36" t="n">
        <v>24.65</v>
      </c>
      <c r="AA46" s="36" t="n">
        <v>24.02</v>
      </c>
      <c r="AB46" s="36" t="n">
        <v>22.69</v>
      </c>
      <c r="AC46" s="36" t="n">
        <v>22.77</v>
      </c>
      <c r="AD46" s="36" t="n">
        <v>24.1</v>
      </c>
      <c r="AE46" s="36" t="n">
        <v>14.84</v>
      </c>
      <c r="AF46" s="28" t="n">
        <v>25.36</v>
      </c>
      <c r="AG46" s="36" t="n">
        <v>24.65</v>
      </c>
      <c r="AH46" s="37" t="n">
        <v>24.02</v>
      </c>
      <c r="AI46" s="37" t="n">
        <v>22.69</v>
      </c>
      <c r="AJ46" s="37" t="n">
        <v>22.77</v>
      </c>
      <c r="AK46" s="37" t="n">
        <v>21.12</v>
      </c>
      <c r="AL46" s="37" t="n">
        <v>14.84</v>
      </c>
      <c r="AM46" s="37" t="n">
        <v>25.36</v>
      </c>
      <c r="AN46" s="37" t="n">
        <v>24.65</v>
      </c>
      <c r="AO46" s="37" t="n">
        <v>24.02</v>
      </c>
      <c r="AP46" s="37" t="n">
        <v>22.69</v>
      </c>
      <c r="AQ46" s="37" t="n">
        <v>22.77</v>
      </c>
      <c r="AR46" s="37" t="n">
        <v>21.12</v>
      </c>
      <c r="AS46" s="37" t="n">
        <v>14.84</v>
      </c>
      <c r="AT46" s="37" t="n">
        <v>25.36</v>
      </c>
      <c r="AU46" s="37" t="n">
        <v>24.65</v>
      </c>
      <c r="AV46" s="37" t="n">
        <v>24.02</v>
      </c>
      <c r="AW46" s="37" t="n">
        <v>22.69</v>
      </c>
      <c r="AX46" s="37" t="n">
        <v>22.77</v>
      </c>
      <c r="AY46" s="37" t="n">
        <v>21.12</v>
      </c>
      <c r="AZ46" s="37" t="n">
        <v>14.84</v>
      </c>
      <c r="BA46" s="37" t="n">
        <v>25.44</v>
      </c>
      <c r="BB46" s="37" t="n">
        <v>13.35</v>
      </c>
      <c r="BC46" s="37" t="n">
        <v>7.14</v>
      </c>
      <c r="BD46" s="37" t="n">
        <v>6.44</v>
      </c>
      <c r="BE46" s="37" t="n">
        <v>11.62</v>
      </c>
      <c r="BF46" s="37" t="n">
        <v>11.15</v>
      </c>
      <c r="BG46" s="37" t="n">
        <v>8.710000000000001</v>
      </c>
      <c r="BH46" s="37" t="n">
        <v>14.76</v>
      </c>
      <c r="BI46" s="37" t="n">
        <v>14.76</v>
      </c>
      <c r="BJ46" s="37" t="n">
        <v>15.23</v>
      </c>
      <c r="BK46" s="37" t="n">
        <v>13.43</v>
      </c>
      <c r="BL46" s="37" t="n">
        <v>13.58</v>
      </c>
      <c r="BM46" s="37" t="n">
        <v>12.56</v>
      </c>
      <c r="BN46" s="37" t="n">
        <v>8.710000000000001</v>
      </c>
      <c r="BO46" s="37" t="n">
        <v>14.76</v>
      </c>
      <c r="BP46" s="37" t="n">
        <v>14.76</v>
      </c>
      <c r="BQ46" s="37" t="n">
        <v>13.9</v>
      </c>
      <c r="BR46" s="37" t="n">
        <v>13.43</v>
      </c>
      <c r="BS46" s="37" t="n">
        <v>13.58</v>
      </c>
      <c r="BT46" s="37" t="n">
        <v>12.56</v>
      </c>
      <c r="BU46" s="37" t="n">
        <v>8.710000000000001</v>
      </c>
      <c r="BV46" s="37" t="n">
        <v>14.76</v>
      </c>
      <c r="BW46" s="37" t="n">
        <v>14.76</v>
      </c>
      <c r="BX46" s="37" t="n">
        <v>13.9</v>
      </c>
      <c r="BY46" s="37" t="n">
        <v>13.43</v>
      </c>
      <c r="BZ46" s="37" t="n">
        <v>13.58</v>
      </c>
      <c r="CA46" s="37" t="n">
        <v>12.56</v>
      </c>
      <c r="CB46" s="37" t="n">
        <v>8.710000000000001</v>
      </c>
      <c r="CC46" s="37" t="n">
        <v>1415.48</v>
      </c>
    </row>
    <row r="47" ht="15.75" customHeight="1" s="57">
      <c r="A47" s="7" t="inlineStr">
        <is>
          <t>NTB</t>
        </is>
      </c>
      <c r="B47" s="7" t="inlineStr">
        <is>
          <t>Bình Thuận</t>
        </is>
      </c>
      <c r="C47" s="7" t="n">
        <v>21285000</v>
      </c>
      <c r="D47" s="7" t="inlineStr">
        <is>
          <t>Kho Giao Hàng Nặng - Phan Thiết - Bình Thuận</t>
        </is>
      </c>
      <c r="E47" s="7" t="inlineStr">
        <is>
          <t>Shopee</t>
        </is>
      </c>
      <c r="F47" s="36" t="n">
        <v>0</v>
      </c>
      <c r="G47" s="36" t="n">
        <v>0</v>
      </c>
      <c r="H47" s="36" t="n">
        <v>0</v>
      </c>
      <c r="I47" s="36" t="n">
        <v>0</v>
      </c>
      <c r="J47" s="36" t="n">
        <v>1</v>
      </c>
      <c r="K47" s="28" t="n">
        <v>1</v>
      </c>
      <c r="L47" s="36" t="n">
        <v>0</v>
      </c>
      <c r="M47" s="36" t="n">
        <v>1</v>
      </c>
      <c r="N47" s="36" t="n">
        <v>0</v>
      </c>
      <c r="O47" s="36" t="n">
        <v>0</v>
      </c>
      <c r="P47" s="36" t="n">
        <v>0</v>
      </c>
      <c r="Q47" s="36" t="n">
        <v>0</v>
      </c>
      <c r="R47" s="28" t="n">
        <v>0</v>
      </c>
      <c r="S47" s="36" t="n">
        <v>1</v>
      </c>
      <c r="T47" s="36" t="n">
        <v>0</v>
      </c>
      <c r="U47" s="36" t="n">
        <v>0</v>
      </c>
      <c r="V47" s="36" t="n">
        <v>0</v>
      </c>
      <c r="W47" s="36" t="n">
        <v>0</v>
      </c>
      <c r="X47" s="36" t="n">
        <v>0</v>
      </c>
      <c r="Y47" s="28" t="n">
        <v>0</v>
      </c>
      <c r="Z47" s="36" t="n">
        <v>0</v>
      </c>
      <c r="AA47" s="36" t="n">
        <v>0</v>
      </c>
      <c r="AB47" s="36" t="n">
        <v>0</v>
      </c>
      <c r="AC47" s="36" t="n">
        <v>0</v>
      </c>
      <c r="AD47" s="36" t="n">
        <v>0</v>
      </c>
      <c r="AE47" s="36" t="n">
        <v>0</v>
      </c>
      <c r="AF47" s="28" t="n">
        <v>0</v>
      </c>
      <c r="AG47" s="36" t="n">
        <v>0</v>
      </c>
      <c r="AH47" s="37" t="n">
        <v>0</v>
      </c>
      <c r="AI47" s="37" t="n">
        <v>0</v>
      </c>
      <c r="AJ47" s="37" t="n">
        <v>0</v>
      </c>
      <c r="AK47" s="37" t="n">
        <v>0</v>
      </c>
      <c r="AL47" s="37" t="n">
        <v>0</v>
      </c>
      <c r="AM47" s="37" t="n">
        <v>0</v>
      </c>
      <c r="AN47" s="37" t="n">
        <v>0</v>
      </c>
      <c r="AO47" s="37" t="n">
        <v>0</v>
      </c>
      <c r="AP47" s="37" t="n">
        <v>0</v>
      </c>
      <c r="AQ47" s="37" t="n">
        <v>0</v>
      </c>
      <c r="AR47" s="37" t="n">
        <v>0</v>
      </c>
      <c r="AS47" s="37" t="n">
        <v>0</v>
      </c>
      <c r="AT47" s="37" t="n">
        <v>0</v>
      </c>
      <c r="AU47" s="37" t="n">
        <v>0</v>
      </c>
      <c r="AV47" s="37" t="n">
        <v>0</v>
      </c>
      <c r="AW47" s="37" t="n">
        <v>0</v>
      </c>
      <c r="AX47" s="37" t="n">
        <v>0</v>
      </c>
      <c r="AY47" s="37" t="n">
        <v>0</v>
      </c>
      <c r="AZ47" s="37" t="n">
        <v>0</v>
      </c>
      <c r="BA47" s="37" t="n">
        <v>0</v>
      </c>
      <c r="BB47" s="37" t="n">
        <v>0</v>
      </c>
      <c r="BC47" s="37" t="n">
        <v>0</v>
      </c>
      <c r="BD47" s="37" t="n">
        <v>0</v>
      </c>
      <c r="BE47" s="37" t="n">
        <v>0</v>
      </c>
      <c r="BF47" s="37" t="n">
        <v>0</v>
      </c>
      <c r="BG47" s="37" t="n">
        <v>0</v>
      </c>
      <c r="BH47" s="37" t="n">
        <v>0</v>
      </c>
      <c r="BI47" s="37" t="n">
        <v>0</v>
      </c>
      <c r="BJ47" s="37" t="n">
        <v>0</v>
      </c>
      <c r="BK47" s="37" t="n">
        <v>0</v>
      </c>
      <c r="BL47" s="37" t="n">
        <v>0</v>
      </c>
      <c r="BM47" s="37" t="n">
        <v>0</v>
      </c>
      <c r="BN47" s="37" t="n">
        <v>0</v>
      </c>
      <c r="BO47" s="37" t="n">
        <v>0</v>
      </c>
      <c r="BP47" s="37" t="n">
        <v>0</v>
      </c>
      <c r="BQ47" s="37" t="n">
        <v>0</v>
      </c>
      <c r="BR47" s="37" t="n">
        <v>0</v>
      </c>
      <c r="BS47" s="37" t="n">
        <v>0</v>
      </c>
      <c r="BT47" s="37" t="n">
        <v>0</v>
      </c>
      <c r="BU47" s="37" t="n">
        <v>0</v>
      </c>
      <c r="BV47" s="37" t="n">
        <v>0</v>
      </c>
      <c r="BW47" s="37" t="n">
        <v>0</v>
      </c>
      <c r="BX47" s="37" t="n">
        <v>0</v>
      </c>
      <c r="BY47" s="37" t="n">
        <v>0</v>
      </c>
      <c r="BZ47" s="37" t="n">
        <v>0</v>
      </c>
      <c r="CA47" s="37" t="n">
        <v>0</v>
      </c>
      <c r="CB47" s="37" t="n">
        <v>0</v>
      </c>
      <c r="CC47" s="37" t="n">
        <v>4</v>
      </c>
    </row>
    <row r="48" ht="15.75" customHeight="1" s="57">
      <c r="A48" s="7" t="inlineStr">
        <is>
          <t>NTB</t>
        </is>
      </c>
      <c r="B48" s="7" t="inlineStr">
        <is>
          <t>Bình Thuận</t>
        </is>
      </c>
      <c r="C48" s="7" t="n">
        <v>21285000</v>
      </c>
      <c r="D48" s="7" t="inlineStr">
        <is>
          <t>Kho Giao Hàng Nặng - Phan Thiết - Bình Thuận</t>
        </is>
      </c>
      <c r="E48" s="7" t="inlineStr">
        <is>
          <t>Shopee-Bulky</t>
        </is>
      </c>
      <c r="F48" s="36" t="n">
        <v>49.32</v>
      </c>
      <c r="G48" s="36" t="n">
        <v>61.31</v>
      </c>
      <c r="H48" s="36" t="n">
        <v>54.65</v>
      </c>
      <c r="I48" s="36" t="n">
        <v>86.64</v>
      </c>
      <c r="J48" s="36" t="n">
        <v>47.32</v>
      </c>
      <c r="K48" s="28" t="n">
        <v>42.65</v>
      </c>
      <c r="L48" s="36" t="n">
        <v>46.65</v>
      </c>
      <c r="M48" s="36" t="n">
        <v>69.98</v>
      </c>
      <c r="N48" s="36" t="n">
        <v>53.98</v>
      </c>
      <c r="O48" s="36" t="n">
        <v>47.32</v>
      </c>
      <c r="P48" s="36" t="n">
        <v>44.65</v>
      </c>
      <c r="Q48" s="36" t="n">
        <v>25.33</v>
      </c>
      <c r="R48" s="28" t="n">
        <v>49.99</v>
      </c>
      <c r="S48" s="36" t="n">
        <v>67.98</v>
      </c>
      <c r="T48" s="36" t="n">
        <v>55.98</v>
      </c>
      <c r="U48" s="36" t="n">
        <v>47.64</v>
      </c>
      <c r="V48" s="36" t="n">
        <v>46.02</v>
      </c>
      <c r="W48" s="36" t="n">
        <v>64.20999999999999</v>
      </c>
      <c r="X48" s="36" t="n">
        <v>36.65</v>
      </c>
      <c r="Y48" s="28" t="n">
        <v>70.23999999999999</v>
      </c>
      <c r="Z48" s="36" t="n">
        <v>55.38</v>
      </c>
      <c r="AA48" s="36" t="n">
        <v>53.67</v>
      </c>
      <c r="AB48" s="36" t="n">
        <v>54.75</v>
      </c>
      <c r="AC48" s="36" t="n">
        <v>56.55</v>
      </c>
      <c r="AD48" s="36" t="n">
        <v>177.04</v>
      </c>
      <c r="AE48" s="36" t="n">
        <v>92.39</v>
      </c>
      <c r="AF48" s="28" t="n">
        <v>137.51</v>
      </c>
      <c r="AG48" s="36" t="n">
        <v>78.88</v>
      </c>
      <c r="AH48" s="37" t="n">
        <v>54.93</v>
      </c>
      <c r="AI48" s="37" t="n">
        <v>54.03</v>
      </c>
      <c r="AJ48" s="37" t="n">
        <v>51.6</v>
      </c>
      <c r="AK48" s="37" t="n">
        <v>117.25</v>
      </c>
      <c r="AL48" s="37" t="n">
        <v>59.97</v>
      </c>
      <c r="AM48" s="37" t="n">
        <v>86.90000000000001</v>
      </c>
      <c r="AN48" s="37" t="n">
        <v>54.39</v>
      </c>
      <c r="AO48" s="37" t="n">
        <v>52.59</v>
      </c>
      <c r="AP48" s="37" t="n">
        <v>71.77</v>
      </c>
      <c r="AQ48" s="37" t="n">
        <v>72.04000000000001</v>
      </c>
      <c r="AR48" s="37" t="n">
        <v>58.35</v>
      </c>
      <c r="AS48" s="37" t="n">
        <v>32.33</v>
      </c>
      <c r="AT48" s="37" t="n">
        <v>64.56999999999999</v>
      </c>
      <c r="AU48" s="37" t="n">
        <v>104.91</v>
      </c>
      <c r="AV48" s="37" t="n">
        <v>111.03</v>
      </c>
      <c r="AW48" s="37" t="n">
        <v>53.22</v>
      </c>
      <c r="AX48" s="37" t="n">
        <v>49.71</v>
      </c>
      <c r="AY48" s="37" t="n">
        <v>56.1</v>
      </c>
      <c r="AZ48" s="37" t="n">
        <v>30.98</v>
      </c>
      <c r="BA48" s="37" t="n">
        <v>59.25</v>
      </c>
      <c r="BB48" s="37" t="n">
        <v>54.93</v>
      </c>
      <c r="BC48" s="37" t="n">
        <v>18.19</v>
      </c>
      <c r="BD48" s="37" t="n">
        <v>46.56</v>
      </c>
      <c r="BE48" s="37" t="n">
        <v>57.27</v>
      </c>
      <c r="BF48" s="37" t="n">
        <v>50.25</v>
      </c>
      <c r="BG48" s="37" t="n">
        <v>41.78</v>
      </c>
      <c r="BH48" s="37" t="n">
        <v>75.55</v>
      </c>
      <c r="BI48" s="37" t="n">
        <v>64.48</v>
      </c>
      <c r="BJ48" s="37" t="n">
        <v>278.8</v>
      </c>
      <c r="BK48" s="37" t="n">
        <v>135.98</v>
      </c>
      <c r="BL48" s="37" t="n">
        <v>71.23</v>
      </c>
      <c r="BM48" s="37" t="n">
        <v>52.68</v>
      </c>
      <c r="BN48" s="37" t="n">
        <v>40.43</v>
      </c>
      <c r="BO48" s="37" t="n">
        <v>86.45</v>
      </c>
      <c r="BP48" s="37" t="n">
        <v>127.51</v>
      </c>
      <c r="BQ48" s="37" t="n">
        <v>91.31</v>
      </c>
      <c r="BR48" s="37" t="n">
        <v>60.78</v>
      </c>
      <c r="BS48" s="37" t="n">
        <v>57.27</v>
      </c>
      <c r="BT48" s="37" t="n">
        <v>50.25</v>
      </c>
      <c r="BU48" s="37" t="n">
        <v>58.44</v>
      </c>
      <c r="BV48" s="37" t="n">
        <v>79.51000000000001</v>
      </c>
      <c r="BW48" s="37" t="n">
        <v>64.48</v>
      </c>
      <c r="BX48" s="37" t="n">
        <v>61.77</v>
      </c>
      <c r="BY48" s="37" t="n">
        <v>60.78</v>
      </c>
      <c r="BZ48" s="37" t="n">
        <v>103.02</v>
      </c>
      <c r="CA48" s="37" t="n">
        <v>60.24</v>
      </c>
      <c r="CB48" s="37" t="n">
        <v>40.07</v>
      </c>
      <c r="CC48" s="37" t="n">
        <v>5060.610000000001</v>
      </c>
    </row>
    <row r="49" ht="15.75" customHeight="1" s="57">
      <c r="A49" s="7" t="inlineStr">
        <is>
          <t>NTB</t>
        </is>
      </c>
      <c r="B49" s="7" t="inlineStr">
        <is>
          <t>Bình Thuận</t>
        </is>
      </c>
      <c r="C49" s="7" t="n">
        <v>21285000</v>
      </c>
      <c r="D49" s="7" t="inlineStr">
        <is>
          <t>Kho Giao Hàng Nặng - Phan Thiết - Bình Thuận</t>
        </is>
      </c>
      <c r="E49" s="7" t="inlineStr">
        <is>
          <t>Shopee-Bulky (10-15kg)</t>
        </is>
      </c>
      <c r="F49" s="36" t="n">
        <v>24.68</v>
      </c>
      <c r="G49" s="36" t="n">
        <v>30.69</v>
      </c>
      <c r="H49" s="36" t="n">
        <v>27.35</v>
      </c>
      <c r="I49" s="36" t="n">
        <v>43.36</v>
      </c>
      <c r="J49" s="36" t="n">
        <v>23.68</v>
      </c>
      <c r="K49" s="28" t="n">
        <v>21.35</v>
      </c>
      <c r="L49" s="36" t="n">
        <v>23.35</v>
      </c>
      <c r="M49" s="36" t="n">
        <v>35.02</v>
      </c>
      <c r="N49" s="36" t="n">
        <v>27.02</v>
      </c>
      <c r="O49" s="36" t="n">
        <v>23.68</v>
      </c>
      <c r="P49" s="36" t="n">
        <v>22.35</v>
      </c>
      <c r="Q49" s="36" t="n">
        <v>12.67</v>
      </c>
      <c r="R49" s="28" t="n">
        <v>25.01</v>
      </c>
      <c r="S49" s="36" t="n">
        <v>34.02</v>
      </c>
      <c r="T49" s="36" t="n">
        <v>28.02</v>
      </c>
      <c r="U49" s="36" t="n">
        <v>24.58</v>
      </c>
      <c r="V49" s="36" t="n">
        <v>23.86</v>
      </c>
      <c r="W49" s="36" t="n">
        <v>32.15</v>
      </c>
      <c r="X49" s="36" t="n">
        <v>17.47</v>
      </c>
      <c r="Y49" s="28" t="n">
        <v>34.76</v>
      </c>
      <c r="Z49" s="36" t="n">
        <v>27.38</v>
      </c>
      <c r="AA49" s="36" t="n">
        <v>26.66</v>
      </c>
      <c r="AB49" s="36" t="n">
        <v>27.11</v>
      </c>
      <c r="AC49" s="36" t="n">
        <v>28.1</v>
      </c>
      <c r="AD49" s="36" t="n">
        <v>114.63</v>
      </c>
      <c r="AE49" s="36" t="n">
        <v>45.93</v>
      </c>
      <c r="AF49" s="28" t="n">
        <v>64.56999999999999</v>
      </c>
      <c r="AG49" s="36" t="n">
        <v>39.17</v>
      </c>
      <c r="AH49" s="37" t="n">
        <v>27.02</v>
      </c>
      <c r="AI49" s="37" t="n">
        <v>26.11</v>
      </c>
      <c r="AJ49" s="37" t="n">
        <v>25.57</v>
      </c>
      <c r="AK49" s="37" t="n">
        <v>59.79</v>
      </c>
      <c r="AL49" s="37" t="n">
        <v>29.18</v>
      </c>
      <c r="AM49" s="37" t="n">
        <v>42.41</v>
      </c>
      <c r="AN49" s="37" t="n">
        <v>27.02</v>
      </c>
      <c r="AO49" s="37" t="n">
        <v>25.75</v>
      </c>
      <c r="AP49" s="37" t="n">
        <v>34.85</v>
      </c>
      <c r="AQ49" s="37" t="n">
        <v>34.94</v>
      </c>
      <c r="AR49" s="37" t="n">
        <v>29</v>
      </c>
      <c r="AS49" s="37" t="n">
        <v>15.49</v>
      </c>
      <c r="AT49" s="37" t="n">
        <v>31.43</v>
      </c>
      <c r="AU49" s="37" t="n">
        <v>53.76</v>
      </c>
      <c r="AV49" s="37" t="n">
        <v>53.76</v>
      </c>
      <c r="AW49" s="37" t="n">
        <v>25.84</v>
      </c>
      <c r="AX49" s="37" t="n">
        <v>24.31</v>
      </c>
      <c r="AY49" s="37" t="n">
        <v>27.74</v>
      </c>
      <c r="AZ49" s="37" t="n">
        <v>14.86</v>
      </c>
      <c r="BA49" s="37" t="n">
        <v>28.82</v>
      </c>
      <c r="BB49" s="37" t="n">
        <v>27.56</v>
      </c>
      <c r="BC49" s="37" t="n">
        <v>9.550000000000001</v>
      </c>
      <c r="BD49" s="37" t="n">
        <v>23.5</v>
      </c>
      <c r="BE49" s="37" t="n">
        <v>28.46</v>
      </c>
      <c r="BF49" s="37" t="n">
        <v>25.48</v>
      </c>
      <c r="BG49" s="37" t="n">
        <v>20.35</v>
      </c>
      <c r="BH49" s="37" t="n">
        <v>37.37</v>
      </c>
      <c r="BI49" s="37" t="n">
        <v>32.15</v>
      </c>
      <c r="BJ49" s="37" t="n">
        <v>158.76</v>
      </c>
      <c r="BK49" s="37" t="n">
        <v>67.72</v>
      </c>
      <c r="BL49" s="37" t="n">
        <v>34.58</v>
      </c>
      <c r="BM49" s="37" t="n">
        <v>26.47</v>
      </c>
      <c r="BN49" s="37" t="n">
        <v>20.35</v>
      </c>
      <c r="BO49" s="37" t="n">
        <v>44.49</v>
      </c>
      <c r="BP49" s="37" t="n">
        <v>63.85</v>
      </c>
      <c r="BQ49" s="37" t="n">
        <v>46.83</v>
      </c>
      <c r="BR49" s="37" t="n">
        <v>30.17</v>
      </c>
      <c r="BS49" s="37" t="n">
        <v>28.46</v>
      </c>
      <c r="BT49" s="37" t="n">
        <v>25.48</v>
      </c>
      <c r="BU49" s="37" t="n">
        <v>28.82</v>
      </c>
      <c r="BV49" s="37" t="n">
        <v>40.61</v>
      </c>
      <c r="BW49" s="37" t="n">
        <v>32.15</v>
      </c>
      <c r="BX49" s="37" t="n">
        <v>30.71</v>
      </c>
      <c r="BY49" s="37" t="n">
        <v>30.17</v>
      </c>
      <c r="BZ49" s="37" t="n">
        <v>51.78</v>
      </c>
      <c r="CA49" s="37" t="n">
        <v>30.08</v>
      </c>
      <c r="CB49" s="37" t="n">
        <v>19.27</v>
      </c>
      <c r="CC49" s="37" t="n">
        <v>2561.44</v>
      </c>
    </row>
    <row r="50" ht="15.75" customHeight="1" s="57">
      <c r="A50" s="7" t="inlineStr">
        <is>
          <t>NTB</t>
        </is>
      </c>
      <c r="B50" s="7" t="inlineStr">
        <is>
          <t>Bình Thuận</t>
        </is>
      </c>
      <c r="C50" s="7" t="n">
        <v>21285000</v>
      </c>
      <c r="D50" s="7" t="inlineStr">
        <is>
          <t>Kho Giao Hàng Nặng - Phan Thiết - Bình Thuận</t>
        </is>
      </c>
      <c r="E50" s="7" t="inlineStr">
        <is>
          <t>TTS</t>
        </is>
      </c>
      <c r="F50" s="36" t="n">
        <v>0</v>
      </c>
      <c r="G50" s="36" t="n">
        <v>0</v>
      </c>
      <c r="H50" s="36" t="n">
        <v>0</v>
      </c>
      <c r="I50" s="36" t="n">
        <v>0</v>
      </c>
      <c r="J50" s="36" t="n">
        <v>0</v>
      </c>
      <c r="K50" s="28" t="n">
        <v>0</v>
      </c>
      <c r="L50" s="36" t="n">
        <v>0</v>
      </c>
      <c r="M50" s="36" t="n">
        <v>0</v>
      </c>
      <c r="N50" s="36" t="n">
        <v>0</v>
      </c>
      <c r="O50" s="36" t="n">
        <v>0</v>
      </c>
      <c r="P50" s="36" t="n">
        <v>0</v>
      </c>
      <c r="Q50" s="36" t="n">
        <v>1</v>
      </c>
      <c r="R50" s="28" t="n">
        <v>0</v>
      </c>
      <c r="S50" s="36" t="n">
        <v>1</v>
      </c>
      <c r="T50" s="36" t="n">
        <v>1</v>
      </c>
      <c r="U50" s="36" t="n">
        <v>0.98</v>
      </c>
      <c r="V50" s="36" t="n">
        <v>0.8700000000000001</v>
      </c>
      <c r="W50" s="36" t="n">
        <v>0.8600000000000001</v>
      </c>
      <c r="X50" s="36" t="n">
        <v>0.75</v>
      </c>
      <c r="Y50" s="28" t="n">
        <v>1.21</v>
      </c>
      <c r="Z50" s="36" t="n">
        <v>0.8600000000000001</v>
      </c>
      <c r="AA50" s="36" t="n">
        <v>1</v>
      </c>
      <c r="AB50" s="36" t="n">
        <v>1.04</v>
      </c>
      <c r="AC50" s="36" t="n">
        <v>1.06</v>
      </c>
      <c r="AD50" s="36" t="n">
        <v>1.51</v>
      </c>
      <c r="AE50" s="36" t="n">
        <v>0.79</v>
      </c>
      <c r="AF50" s="28" t="n">
        <v>1.22</v>
      </c>
      <c r="AG50" s="36" t="n">
        <v>0.8700000000000001</v>
      </c>
      <c r="AH50" s="37" t="n">
        <v>0.8700000000000001</v>
      </c>
      <c r="AI50" s="37" t="n">
        <v>1.01</v>
      </c>
      <c r="AJ50" s="37" t="n">
        <v>1.04</v>
      </c>
      <c r="AK50" s="37" t="n">
        <v>1.04</v>
      </c>
      <c r="AL50" s="37" t="n">
        <v>0.77</v>
      </c>
      <c r="AM50" s="37" t="n">
        <v>1.22</v>
      </c>
      <c r="AN50" s="37" t="n">
        <v>0.9199999999999999</v>
      </c>
      <c r="AO50" s="37" t="n">
        <v>0.97</v>
      </c>
      <c r="AP50" s="37" t="n">
        <v>0.8600000000000001</v>
      </c>
      <c r="AQ50" s="37" t="n">
        <v>0.8700000000000001</v>
      </c>
      <c r="AR50" s="37" t="n">
        <v>0.8600000000000001</v>
      </c>
      <c r="AS50" s="37" t="n">
        <v>0.75</v>
      </c>
      <c r="AT50" s="37" t="n">
        <v>1.35</v>
      </c>
      <c r="AU50" s="37" t="n">
        <v>1.02</v>
      </c>
      <c r="AV50" s="37" t="n">
        <v>0.98</v>
      </c>
      <c r="AW50" s="37" t="n">
        <v>0.8600000000000001</v>
      </c>
      <c r="AX50" s="37" t="n">
        <v>0.8600000000000001</v>
      </c>
      <c r="AY50" s="37" t="n">
        <v>0.8600000000000001</v>
      </c>
      <c r="AZ50" s="37" t="n">
        <v>0.75</v>
      </c>
      <c r="BA50" s="37" t="n">
        <v>1.21</v>
      </c>
      <c r="BB50" s="37" t="n">
        <v>0.99</v>
      </c>
      <c r="BC50" s="37" t="n">
        <v>0.5</v>
      </c>
      <c r="BD50" s="37" t="n">
        <v>0.8400000000000001</v>
      </c>
      <c r="BE50" s="37" t="n">
        <v>1</v>
      </c>
      <c r="BF50" s="37" t="n">
        <v>0.99</v>
      </c>
      <c r="BG50" s="37" t="n">
        <v>0.77</v>
      </c>
      <c r="BH50" s="37" t="n">
        <v>1.35</v>
      </c>
      <c r="BI50" s="37" t="n">
        <v>0.99</v>
      </c>
      <c r="BJ50" s="37" t="n">
        <v>1.26</v>
      </c>
      <c r="BK50" s="37" t="n">
        <v>1</v>
      </c>
      <c r="BL50" s="37" t="n">
        <v>1</v>
      </c>
      <c r="BM50" s="37" t="n">
        <v>0.99</v>
      </c>
      <c r="BN50" s="37" t="n">
        <v>0.77</v>
      </c>
      <c r="BO50" s="37" t="n">
        <v>1.35</v>
      </c>
      <c r="BP50" s="37" t="n">
        <v>0.99</v>
      </c>
      <c r="BQ50" s="37" t="n">
        <v>0.99</v>
      </c>
      <c r="BR50" s="37" t="n">
        <v>1</v>
      </c>
      <c r="BS50" s="37" t="n">
        <v>1</v>
      </c>
      <c r="BT50" s="37" t="n">
        <v>0.99</v>
      </c>
      <c r="BU50" s="37" t="n">
        <v>0.77</v>
      </c>
      <c r="BV50" s="37" t="n">
        <v>1.35</v>
      </c>
      <c r="BW50" s="37" t="n">
        <v>0.99</v>
      </c>
      <c r="BX50" s="37" t="n">
        <v>0.99</v>
      </c>
      <c r="BY50" s="37" t="n">
        <v>1</v>
      </c>
      <c r="BZ50" s="37" t="n">
        <v>1</v>
      </c>
      <c r="CA50" s="37" t="n">
        <v>0.99</v>
      </c>
      <c r="CB50" s="37" t="n">
        <v>0.77</v>
      </c>
      <c r="CC50" s="37" t="n">
        <v>61.72000000000004</v>
      </c>
    </row>
    <row r="51" ht="15.75" customHeight="1" s="57">
      <c r="A51" s="7" t="inlineStr">
        <is>
          <t>NTB</t>
        </is>
      </c>
      <c r="B51" s="7" t="inlineStr">
        <is>
          <t>Bình Thuận</t>
        </is>
      </c>
      <c r="C51" s="7" t="n">
        <v>21285000</v>
      </c>
      <c r="D51" s="7" t="inlineStr">
        <is>
          <t>Kho Giao Hàng Nặng - Phan Thiết - Bình Thuận</t>
        </is>
      </c>
      <c r="E51" s="7" t="inlineStr">
        <is>
          <t>TTS-Bulky</t>
        </is>
      </c>
      <c r="F51" s="36" t="n">
        <v>0</v>
      </c>
      <c r="G51" s="36" t="n">
        <v>1</v>
      </c>
      <c r="H51" s="36" t="n">
        <v>2</v>
      </c>
      <c r="I51" s="36" t="n">
        <v>1</v>
      </c>
      <c r="J51" s="36" t="n">
        <v>1</v>
      </c>
      <c r="K51" s="28" t="n">
        <v>3</v>
      </c>
      <c r="L51" s="36" t="n">
        <v>2</v>
      </c>
      <c r="M51" s="36" t="n">
        <v>1</v>
      </c>
      <c r="N51" s="36" t="n">
        <v>1</v>
      </c>
      <c r="O51" s="36" t="n">
        <v>1</v>
      </c>
      <c r="P51" s="36" t="n">
        <v>2</v>
      </c>
      <c r="Q51" s="36" t="n">
        <v>2</v>
      </c>
      <c r="R51" s="28" t="n">
        <v>3</v>
      </c>
      <c r="S51" s="36" t="n">
        <v>4</v>
      </c>
      <c r="T51" s="36" t="n">
        <v>0</v>
      </c>
      <c r="U51" s="36" t="n">
        <v>6.02</v>
      </c>
      <c r="V51" s="36" t="n">
        <v>6.26</v>
      </c>
      <c r="W51" s="36" t="n">
        <v>3.08</v>
      </c>
      <c r="X51" s="36" t="n">
        <v>1.76</v>
      </c>
      <c r="Y51" s="28" t="n">
        <v>4.26</v>
      </c>
      <c r="Z51" s="36" t="n">
        <v>3.23</v>
      </c>
      <c r="AA51" s="36" t="n">
        <v>3.03</v>
      </c>
      <c r="AB51" s="36" t="n">
        <v>3.23</v>
      </c>
      <c r="AC51" s="36" t="n">
        <v>3.62</v>
      </c>
      <c r="AD51" s="36" t="n">
        <v>3.92</v>
      </c>
      <c r="AE51" s="36" t="n">
        <v>2.01</v>
      </c>
      <c r="AF51" s="28" t="n">
        <v>3.96</v>
      </c>
      <c r="AG51" s="36" t="n">
        <v>2.99</v>
      </c>
      <c r="AH51" s="37" t="n">
        <v>2.89</v>
      </c>
      <c r="AI51" s="37" t="n">
        <v>3.38</v>
      </c>
      <c r="AJ51" s="37" t="n">
        <v>3.43</v>
      </c>
      <c r="AK51" s="37" t="n">
        <v>3.33</v>
      </c>
      <c r="AL51" s="37" t="n">
        <v>1.76</v>
      </c>
      <c r="AM51" s="37" t="n">
        <v>3.96</v>
      </c>
      <c r="AN51" s="37" t="n">
        <v>2.94</v>
      </c>
      <c r="AO51" s="37" t="n">
        <v>2.99</v>
      </c>
      <c r="AP51" s="37" t="n">
        <v>2.99</v>
      </c>
      <c r="AQ51" s="37" t="n">
        <v>3.13</v>
      </c>
      <c r="AR51" s="37" t="n">
        <v>3.03</v>
      </c>
      <c r="AS51" s="37" t="n">
        <v>1.76</v>
      </c>
      <c r="AT51" s="37" t="n">
        <v>4.26</v>
      </c>
      <c r="AU51" s="37" t="n">
        <v>3.33</v>
      </c>
      <c r="AV51" s="37" t="n">
        <v>2.89</v>
      </c>
      <c r="AW51" s="37" t="n">
        <v>2.94</v>
      </c>
      <c r="AX51" s="37" t="n">
        <v>3.08</v>
      </c>
      <c r="AY51" s="37" t="n">
        <v>3.03</v>
      </c>
      <c r="AZ51" s="37" t="n">
        <v>1.76</v>
      </c>
      <c r="BA51" s="37" t="n">
        <v>3.52</v>
      </c>
      <c r="BB51" s="37" t="n">
        <v>0.83</v>
      </c>
      <c r="BC51" s="37" t="n">
        <v>0.39</v>
      </c>
      <c r="BD51" s="37" t="n">
        <v>0.6899999999999999</v>
      </c>
      <c r="BE51" s="37" t="n">
        <v>0.83</v>
      </c>
      <c r="BF51" s="37" t="n">
        <v>0.83</v>
      </c>
      <c r="BG51" s="37" t="n">
        <v>0.49</v>
      </c>
      <c r="BH51" s="37" t="n">
        <v>1.27</v>
      </c>
      <c r="BI51" s="37" t="n">
        <v>0.83</v>
      </c>
      <c r="BJ51" s="37" t="n">
        <v>0.93</v>
      </c>
      <c r="BK51" s="37" t="n">
        <v>0.83</v>
      </c>
      <c r="BL51" s="37" t="n">
        <v>0.83</v>
      </c>
      <c r="BM51" s="37" t="n">
        <v>0.83</v>
      </c>
      <c r="BN51" s="37" t="n">
        <v>0.54</v>
      </c>
      <c r="BO51" s="37" t="n">
        <v>1.32</v>
      </c>
      <c r="BP51" s="37" t="n">
        <v>1.08</v>
      </c>
      <c r="BQ51" s="37" t="n">
        <v>0.83</v>
      </c>
      <c r="BR51" s="37" t="n">
        <v>0.83</v>
      </c>
      <c r="BS51" s="37" t="n">
        <v>0.83</v>
      </c>
      <c r="BT51" s="37" t="n">
        <v>0.83</v>
      </c>
      <c r="BU51" s="37" t="n">
        <v>0.44</v>
      </c>
      <c r="BV51" s="37" t="n">
        <v>1.08</v>
      </c>
      <c r="BW51" s="37" t="n">
        <v>0.83</v>
      </c>
      <c r="BX51" s="37" t="n">
        <v>0.83</v>
      </c>
      <c r="BY51" s="37" t="n">
        <v>0.83</v>
      </c>
      <c r="BZ51" s="37" t="n">
        <v>0.83</v>
      </c>
      <c r="CA51" s="37" t="n">
        <v>0.83</v>
      </c>
      <c r="CB51" s="37" t="n">
        <v>0.44</v>
      </c>
      <c r="CC51" s="37" t="n">
        <v>153.7200000000002</v>
      </c>
    </row>
    <row r="52" ht="15.75" customHeight="1" s="57">
      <c r="A52" s="7" t="inlineStr">
        <is>
          <t>NTB</t>
        </is>
      </c>
      <c r="B52" s="7" t="inlineStr">
        <is>
          <t>Bình Thuận</t>
        </is>
      </c>
      <c r="C52" s="7" t="n">
        <v>21290000</v>
      </c>
      <c r="D52" s="7" t="inlineStr">
        <is>
          <t>(BTH) Tuyên Quang</t>
        </is>
      </c>
      <c r="E52" s="7" t="inlineStr">
        <is>
          <t>SME</t>
        </is>
      </c>
      <c r="F52" s="36" t="n">
        <v>321</v>
      </c>
      <c r="G52" s="36" t="n">
        <v>297</v>
      </c>
      <c r="H52" s="36" t="n">
        <v>368</v>
      </c>
      <c r="I52" s="36" t="n">
        <v>345</v>
      </c>
      <c r="J52" s="36" t="n">
        <v>342</v>
      </c>
      <c r="K52" s="28" t="n">
        <v>327</v>
      </c>
      <c r="L52" s="36" t="n">
        <v>259</v>
      </c>
      <c r="M52" s="36" t="n">
        <v>246</v>
      </c>
      <c r="N52" s="36" t="n">
        <v>299</v>
      </c>
      <c r="O52" s="36" t="n">
        <v>300</v>
      </c>
      <c r="P52" s="36" t="n">
        <v>285</v>
      </c>
      <c r="Q52" s="36" t="n">
        <v>281</v>
      </c>
      <c r="R52" s="28" t="n">
        <v>263</v>
      </c>
      <c r="S52" s="36" t="n">
        <v>247</v>
      </c>
      <c r="T52" s="36" t="n">
        <v>324</v>
      </c>
      <c r="U52" s="36" t="n">
        <v>338.56</v>
      </c>
      <c r="V52" s="36" t="n">
        <v>350.4</v>
      </c>
      <c r="W52" s="36" t="n">
        <v>340.75</v>
      </c>
      <c r="X52" s="36" t="n">
        <v>278.81</v>
      </c>
      <c r="Y52" s="28" t="n">
        <v>377.76</v>
      </c>
      <c r="Z52" s="36" t="n">
        <v>347.72</v>
      </c>
      <c r="AA52" s="36" t="n">
        <v>339.55</v>
      </c>
      <c r="AB52" s="36" t="n">
        <v>338.56</v>
      </c>
      <c r="AC52" s="36" t="n">
        <v>350.4</v>
      </c>
      <c r="AD52" s="36" t="n">
        <v>356.77</v>
      </c>
      <c r="AE52" s="36" t="n">
        <v>278.81</v>
      </c>
      <c r="AF52" s="28" t="n">
        <v>377.76</v>
      </c>
      <c r="AG52" s="36" t="n">
        <v>347.72</v>
      </c>
      <c r="AH52" s="37" t="n">
        <v>339.55</v>
      </c>
      <c r="AI52" s="37" t="n">
        <v>338.56</v>
      </c>
      <c r="AJ52" s="37" t="n">
        <v>350.4</v>
      </c>
      <c r="AK52" s="37" t="n">
        <v>340.75</v>
      </c>
      <c r="AL52" s="37" t="n">
        <v>278.81</v>
      </c>
      <c r="AM52" s="37" t="n">
        <v>377.76</v>
      </c>
      <c r="AN52" s="37" t="n">
        <v>347.72</v>
      </c>
      <c r="AO52" s="37" t="n">
        <v>339.55</v>
      </c>
      <c r="AP52" s="37" t="n">
        <v>338.56</v>
      </c>
      <c r="AQ52" s="37" t="n">
        <v>350.4</v>
      </c>
      <c r="AR52" s="37" t="n">
        <v>340.75</v>
      </c>
      <c r="AS52" s="37" t="n">
        <v>278.81</v>
      </c>
      <c r="AT52" s="37" t="n">
        <v>377.76</v>
      </c>
      <c r="AU52" s="37" t="n">
        <v>347.72</v>
      </c>
      <c r="AV52" s="37" t="n">
        <v>339.55</v>
      </c>
      <c r="AW52" s="37" t="n">
        <v>338.56</v>
      </c>
      <c r="AX52" s="37" t="n">
        <v>350.4</v>
      </c>
      <c r="AY52" s="37" t="n">
        <v>340.75</v>
      </c>
      <c r="AZ52" s="37" t="n">
        <v>278.81</v>
      </c>
      <c r="BA52" s="37" t="n">
        <v>339.9999999999999</v>
      </c>
      <c r="BB52" s="37" t="n">
        <v>304.28</v>
      </c>
      <c r="BC52" s="37" t="n">
        <v>192.77</v>
      </c>
      <c r="BD52" s="37" t="n">
        <v>192.12</v>
      </c>
      <c r="BE52" s="37" t="n">
        <v>324.48</v>
      </c>
      <c r="BF52" s="37" t="n">
        <v>315.77</v>
      </c>
      <c r="BG52" s="37" t="n">
        <v>287.52</v>
      </c>
      <c r="BH52" s="37" t="n">
        <v>389.66</v>
      </c>
      <c r="BI52" s="37" t="n">
        <v>358.64</v>
      </c>
      <c r="BJ52" s="37" t="n">
        <v>366.13</v>
      </c>
      <c r="BK52" s="37" t="n">
        <v>348.89</v>
      </c>
      <c r="BL52" s="37" t="n">
        <v>361.45</v>
      </c>
      <c r="BM52" s="37" t="n">
        <v>351.09</v>
      </c>
      <c r="BN52" s="37" t="n">
        <v>287.52</v>
      </c>
      <c r="BO52" s="37" t="n">
        <v>389.66</v>
      </c>
      <c r="BP52" s="37" t="n">
        <v>358.64</v>
      </c>
      <c r="BQ52" s="37" t="n">
        <v>349.95</v>
      </c>
      <c r="BR52" s="37" t="n">
        <v>348.89</v>
      </c>
      <c r="BS52" s="37" t="n">
        <v>361.45</v>
      </c>
      <c r="BT52" s="37" t="n">
        <v>351.09</v>
      </c>
      <c r="BU52" s="37" t="n">
        <v>287.52</v>
      </c>
      <c r="BV52" s="37" t="n">
        <v>389.66</v>
      </c>
      <c r="BW52" s="37" t="n">
        <v>358.64</v>
      </c>
      <c r="BX52" s="37" t="n">
        <v>349.95</v>
      </c>
      <c r="BY52" s="37" t="n">
        <v>348.89</v>
      </c>
      <c r="BZ52" s="37" t="n">
        <v>361.45</v>
      </c>
      <c r="CA52" s="37" t="n">
        <v>351.09</v>
      </c>
      <c r="CB52" s="37" t="n">
        <v>287.52</v>
      </c>
      <c r="CC52" s="37" t="n">
        <v>24637.46</v>
      </c>
    </row>
    <row r="53" ht="15.75" customHeight="1" s="57">
      <c r="A53" s="7" t="inlineStr">
        <is>
          <t>NTB</t>
        </is>
      </c>
      <c r="B53" s="7" t="inlineStr">
        <is>
          <t>Bình Thuận</t>
        </is>
      </c>
      <c r="C53" s="7" t="n">
        <v>21290000</v>
      </c>
      <c r="D53" s="7" t="inlineStr">
        <is>
          <t>(BTH) Tuyên Quang</t>
        </is>
      </c>
      <c r="E53" s="7" t="inlineStr">
        <is>
          <t>SME-Bulky</t>
        </is>
      </c>
      <c r="F53" s="36" t="n">
        <v>18</v>
      </c>
      <c r="G53" s="36" t="n">
        <v>19</v>
      </c>
      <c r="H53" s="36" t="n">
        <v>11</v>
      </c>
      <c r="I53" s="36" t="n">
        <v>18</v>
      </c>
      <c r="J53" s="36" t="n">
        <v>12</v>
      </c>
      <c r="K53" s="28" t="n">
        <v>26</v>
      </c>
      <c r="L53" s="36" t="n">
        <v>14</v>
      </c>
      <c r="M53" s="36" t="n">
        <v>23</v>
      </c>
      <c r="N53" s="36" t="n">
        <v>20</v>
      </c>
      <c r="O53" s="36" t="n">
        <v>5</v>
      </c>
      <c r="P53" s="36" t="n">
        <v>11</v>
      </c>
      <c r="Q53" s="36" t="n">
        <v>8</v>
      </c>
      <c r="R53" s="28" t="n">
        <v>10</v>
      </c>
      <c r="S53" s="36" t="n">
        <v>5</v>
      </c>
      <c r="T53" s="36" t="n">
        <v>23</v>
      </c>
      <c r="U53" s="36" t="n">
        <v>12.25</v>
      </c>
      <c r="V53" s="36" t="n">
        <v>12.29</v>
      </c>
      <c r="W53" s="36" t="n">
        <v>11.39</v>
      </c>
      <c r="X53" s="36" t="n">
        <v>8.01</v>
      </c>
      <c r="Y53" s="28" t="n">
        <v>13.69</v>
      </c>
      <c r="Z53" s="36" t="n">
        <v>13.31</v>
      </c>
      <c r="AA53" s="36" t="n">
        <v>12.97</v>
      </c>
      <c r="AB53" s="36" t="n">
        <v>12.25</v>
      </c>
      <c r="AC53" s="36" t="n">
        <v>12.29</v>
      </c>
      <c r="AD53" s="36" t="n">
        <v>13</v>
      </c>
      <c r="AE53" s="36" t="n">
        <v>8.01</v>
      </c>
      <c r="AF53" s="28" t="n">
        <v>13.69</v>
      </c>
      <c r="AG53" s="36" t="n">
        <v>13.31</v>
      </c>
      <c r="AH53" s="37" t="n">
        <v>12.97</v>
      </c>
      <c r="AI53" s="37" t="n">
        <v>12.25</v>
      </c>
      <c r="AJ53" s="37" t="n">
        <v>12.29</v>
      </c>
      <c r="AK53" s="37" t="n">
        <v>11.39</v>
      </c>
      <c r="AL53" s="37" t="n">
        <v>8.01</v>
      </c>
      <c r="AM53" s="37" t="n">
        <v>13.69</v>
      </c>
      <c r="AN53" s="37" t="n">
        <v>13.31</v>
      </c>
      <c r="AO53" s="37" t="n">
        <v>12.97</v>
      </c>
      <c r="AP53" s="37" t="n">
        <v>12.25</v>
      </c>
      <c r="AQ53" s="37" t="n">
        <v>12.29</v>
      </c>
      <c r="AR53" s="37" t="n">
        <v>11.39</v>
      </c>
      <c r="AS53" s="37" t="n">
        <v>8.01</v>
      </c>
      <c r="AT53" s="37" t="n">
        <v>13.69</v>
      </c>
      <c r="AU53" s="37" t="n">
        <v>13.31</v>
      </c>
      <c r="AV53" s="37" t="n">
        <v>12.97</v>
      </c>
      <c r="AW53" s="37" t="n">
        <v>12.25</v>
      </c>
      <c r="AX53" s="37" t="n">
        <v>12.29</v>
      </c>
      <c r="AY53" s="37" t="n">
        <v>11.39</v>
      </c>
      <c r="AZ53" s="37" t="n">
        <v>8.01</v>
      </c>
      <c r="BA53" s="37" t="n">
        <v>13.74</v>
      </c>
      <c r="BB53" s="37" t="n">
        <v>7.2</v>
      </c>
      <c r="BC53" s="37" t="n">
        <v>3.86</v>
      </c>
      <c r="BD53" s="37" t="n">
        <v>3.47</v>
      </c>
      <c r="BE53" s="37" t="n">
        <v>6.27</v>
      </c>
      <c r="BF53" s="37" t="n">
        <v>6.010000000000001</v>
      </c>
      <c r="BG53" s="37" t="n">
        <v>4.699999999999999</v>
      </c>
      <c r="BH53" s="37" t="n">
        <v>7.97</v>
      </c>
      <c r="BI53" s="37" t="n">
        <v>7.97</v>
      </c>
      <c r="BJ53" s="37" t="n">
        <v>8.229999999999999</v>
      </c>
      <c r="BK53" s="37" t="n">
        <v>7.24</v>
      </c>
      <c r="BL53" s="37" t="n">
        <v>7.33</v>
      </c>
      <c r="BM53" s="37" t="n">
        <v>6.78</v>
      </c>
      <c r="BN53" s="37" t="n">
        <v>4.699999999999999</v>
      </c>
      <c r="BO53" s="37" t="n">
        <v>7.97</v>
      </c>
      <c r="BP53" s="37" t="n">
        <v>7.97</v>
      </c>
      <c r="BQ53" s="37" t="n">
        <v>7.51</v>
      </c>
      <c r="BR53" s="37" t="n">
        <v>7.24</v>
      </c>
      <c r="BS53" s="37" t="n">
        <v>7.33</v>
      </c>
      <c r="BT53" s="37" t="n">
        <v>6.78</v>
      </c>
      <c r="BU53" s="37" t="n">
        <v>4.699999999999999</v>
      </c>
      <c r="BV53" s="37" t="n">
        <v>7.97</v>
      </c>
      <c r="BW53" s="37" t="n">
        <v>7.97</v>
      </c>
      <c r="BX53" s="37" t="n">
        <v>7.51</v>
      </c>
      <c r="BY53" s="37" t="n">
        <v>7.24</v>
      </c>
      <c r="BZ53" s="37" t="n">
        <v>7.33</v>
      </c>
      <c r="CA53" s="37" t="n">
        <v>6.78</v>
      </c>
      <c r="CB53" s="37" t="n">
        <v>4.699999999999999</v>
      </c>
      <c r="CC53" s="37" t="n">
        <v>798.6600000000005</v>
      </c>
    </row>
    <row r="54" ht="15.75" customHeight="1" s="57">
      <c r="A54" s="7" t="inlineStr">
        <is>
          <t>NTB</t>
        </is>
      </c>
      <c r="B54" s="7" t="inlineStr">
        <is>
          <t>Bình Thuận</t>
        </is>
      </c>
      <c r="C54" s="7" t="n">
        <v>21290000</v>
      </c>
      <c r="D54" s="7" t="inlineStr">
        <is>
          <t>(BTH) Tuyên Quang</t>
        </is>
      </c>
      <c r="E54" s="7" t="inlineStr">
        <is>
          <t>Shopee</t>
        </is>
      </c>
      <c r="F54" s="36" t="n">
        <v>321</v>
      </c>
      <c r="G54" s="36" t="n">
        <v>240</v>
      </c>
      <c r="H54" s="36" t="n">
        <v>383</v>
      </c>
      <c r="I54" s="36" t="n">
        <v>367</v>
      </c>
      <c r="J54" s="36" t="n">
        <v>264</v>
      </c>
      <c r="K54" s="28" t="n">
        <v>226</v>
      </c>
      <c r="L54" s="36" t="n">
        <v>203</v>
      </c>
      <c r="M54" s="36" t="n">
        <v>285</v>
      </c>
      <c r="N54" s="36" t="n">
        <v>441</v>
      </c>
      <c r="O54" s="36" t="n">
        <v>317</v>
      </c>
      <c r="P54" s="36" t="n">
        <v>240</v>
      </c>
      <c r="Q54" s="36" t="n">
        <v>212</v>
      </c>
      <c r="R54" s="28" t="n">
        <v>178</v>
      </c>
      <c r="S54" s="36" t="n">
        <v>241</v>
      </c>
      <c r="T54" s="36" t="n">
        <v>268</v>
      </c>
      <c r="U54" s="36" t="n">
        <v>286.09</v>
      </c>
      <c r="V54" s="36" t="n">
        <v>287.28</v>
      </c>
      <c r="W54" s="36" t="n">
        <v>283.03</v>
      </c>
      <c r="X54" s="36" t="n">
        <v>230.26</v>
      </c>
      <c r="Y54" s="28" t="n">
        <v>385.51</v>
      </c>
      <c r="Z54" s="36" t="n">
        <v>305.05</v>
      </c>
      <c r="AA54" s="36" t="n">
        <v>419.39</v>
      </c>
      <c r="AB54" s="36" t="n">
        <v>291.99</v>
      </c>
      <c r="AC54" s="36" t="n">
        <v>235.86</v>
      </c>
      <c r="AD54" s="36" t="n">
        <v>641</v>
      </c>
      <c r="AE54" s="36" t="n">
        <v>246.46</v>
      </c>
      <c r="AF54" s="28" t="n">
        <v>439.32</v>
      </c>
      <c r="AG54" s="36" t="n">
        <v>320.35</v>
      </c>
      <c r="AH54" s="37" t="n">
        <v>338.49</v>
      </c>
      <c r="AI54" s="37" t="n">
        <v>286.09</v>
      </c>
      <c r="AJ54" s="37" t="n">
        <v>287.28</v>
      </c>
      <c r="AK54" s="37" t="n">
        <v>381.93</v>
      </c>
      <c r="AL54" s="37" t="n">
        <v>413.27</v>
      </c>
      <c r="AM54" s="37" t="n">
        <v>385.51</v>
      </c>
      <c r="AN54" s="37" t="n">
        <v>305.05</v>
      </c>
      <c r="AO54" s="37" t="n">
        <v>338.49</v>
      </c>
      <c r="AP54" s="37" t="n">
        <v>357.22</v>
      </c>
      <c r="AQ54" s="37" t="n">
        <v>230.48</v>
      </c>
      <c r="AR54" s="37" t="n">
        <v>283.03</v>
      </c>
      <c r="AS54" s="37" t="n">
        <v>230.26</v>
      </c>
      <c r="AT54" s="37" t="n">
        <v>385.51</v>
      </c>
      <c r="AU54" s="37" t="n">
        <v>311.32</v>
      </c>
      <c r="AV54" s="37" t="n">
        <v>344.91</v>
      </c>
      <c r="AW54" s="37" t="n">
        <v>286.09</v>
      </c>
      <c r="AX54" s="37" t="n">
        <v>287.28</v>
      </c>
      <c r="AY54" s="37" t="n">
        <v>283.03</v>
      </c>
      <c r="AZ54" s="37" t="n">
        <v>230.26</v>
      </c>
      <c r="BA54" s="37" t="n">
        <v>297.14</v>
      </c>
      <c r="BB54" s="37" t="n">
        <v>258.92</v>
      </c>
      <c r="BC54" s="37" t="n">
        <v>132.04</v>
      </c>
      <c r="BD54" s="37" t="n">
        <v>234.07</v>
      </c>
      <c r="BE54" s="37" t="n">
        <v>273.77</v>
      </c>
      <c r="BF54" s="37" t="n">
        <v>269.67</v>
      </c>
      <c r="BG54" s="37" t="n">
        <v>223.62</v>
      </c>
      <c r="BH54" s="37" t="n">
        <v>366.92</v>
      </c>
      <c r="BI54" s="37" t="n">
        <v>238.1</v>
      </c>
      <c r="BJ54" s="37" t="n">
        <v>909.85</v>
      </c>
      <c r="BK54" s="37" t="n">
        <v>291.69</v>
      </c>
      <c r="BL54" s="37" t="n">
        <v>287.28</v>
      </c>
      <c r="BM54" s="37" t="n">
        <v>269.67</v>
      </c>
      <c r="BN54" s="37" t="n">
        <v>219.29</v>
      </c>
      <c r="BO54" s="37" t="n">
        <v>366.92</v>
      </c>
      <c r="BP54" s="37" t="n">
        <v>392.23</v>
      </c>
      <c r="BQ54" s="37" t="n">
        <v>578.6</v>
      </c>
      <c r="BR54" s="37" t="n">
        <v>272.58</v>
      </c>
      <c r="BS54" s="37" t="n">
        <v>273.77</v>
      </c>
      <c r="BT54" s="37" t="n">
        <v>269.67</v>
      </c>
      <c r="BU54" s="37" t="n">
        <v>274.07</v>
      </c>
      <c r="BV54" s="37" t="n">
        <v>294.15</v>
      </c>
      <c r="BW54" s="37" t="n">
        <v>290.64</v>
      </c>
      <c r="BX54" s="37" t="n">
        <v>322.59</v>
      </c>
      <c r="BY54" s="37" t="n">
        <v>272.58</v>
      </c>
      <c r="BZ54" s="37" t="n">
        <v>279.22</v>
      </c>
      <c r="CA54" s="37" t="n">
        <v>275.12</v>
      </c>
      <c r="CB54" s="37" t="n">
        <v>219.29</v>
      </c>
      <c r="CC54" s="37" t="n">
        <v>23176.55</v>
      </c>
    </row>
    <row r="55" ht="15.75" customHeight="1" s="57">
      <c r="A55" s="7" t="inlineStr">
        <is>
          <t>NTB</t>
        </is>
      </c>
      <c r="B55" s="7" t="inlineStr">
        <is>
          <t>Bình Thuận</t>
        </is>
      </c>
      <c r="C55" s="7" t="n">
        <v>21290000</v>
      </c>
      <c r="D55" s="7" t="inlineStr">
        <is>
          <t>(BTH) Tuyên Quang</t>
        </is>
      </c>
      <c r="E55" s="7" t="inlineStr">
        <is>
          <t>Shopee-Bulky</t>
        </is>
      </c>
      <c r="F55" s="36" t="n">
        <v>34.66</v>
      </c>
      <c r="G55" s="36" t="n">
        <v>24.66</v>
      </c>
      <c r="H55" s="36" t="n">
        <v>49.99</v>
      </c>
      <c r="I55" s="36" t="n">
        <v>34.66</v>
      </c>
      <c r="J55" s="36" t="n">
        <v>23.33</v>
      </c>
      <c r="K55" s="28" t="n">
        <v>19.99</v>
      </c>
      <c r="L55" s="36" t="n">
        <v>28.66</v>
      </c>
      <c r="M55" s="36" t="n">
        <v>30.66</v>
      </c>
      <c r="N55" s="36" t="n">
        <v>39.99</v>
      </c>
      <c r="O55" s="36" t="n">
        <v>26.66</v>
      </c>
      <c r="P55" s="36" t="n">
        <v>24.66</v>
      </c>
      <c r="Q55" s="36" t="n">
        <v>23.99</v>
      </c>
      <c r="R55" s="28" t="n">
        <v>41.99</v>
      </c>
      <c r="S55" s="36" t="n">
        <v>25.99</v>
      </c>
      <c r="T55" s="36" t="n">
        <v>37.32</v>
      </c>
      <c r="U55" s="36" t="n">
        <v>29.69</v>
      </c>
      <c r="V55" s="36" t="n">
        <v>28.68</v>
      </c>
      <c r="W55" s="36" t="n">
        <v>40.02</v>
      </c>
      <c r="X55" s="36" t="n">
        <v>22.84</v>
      </c>
      <c r="Y55" s="28" t="n">
        <v>43.78</v>
      </c>
      <c r="Z55" s="36" t="n">
        <v>34.52</v>
      </c>
      <c r="AA55" s="36" t="n">
        <v>33.45</v>
      </c>
      <c r="AB55" s="36" t="n">
        <v>34.13</v>
      </c>
      <c r="AC55" s="36" t="n">
        <v>35.25</v>
      </c>
      <c r="AD55" s="36" t="n">
        <v>110.35</v>
      </c>
      <c r="AE55" s="36" t="n">
        <v>57.59</v>
      </c>
      <c r="AF55" s="28" t="n">
        <v>85.70999999999999</v>
      </c>
      <c r="AG55" s="36" t="n">
        <v>49.17</v>
      </c>
      <c r="AH55" s="37" t="n">
        <v>34.24</v>
      </c>
      <c r="AI55" s="37" t="n">
        <v>33.68</v>
      </c>
      <c r="AJ55" s="37" t="n">
        <v>32.16</v>
      </c>
      <c r="AK55" s="37" t="n">
        <v>73.08</v>
      </c>
      <c r="AL55" s="37" t="n">
        <v>37.38</v>
      </c>
      <c r="AM55" s="37" t="n">
        <v>54.16</v>
      </c>
      <c r="AN55" s="37" t="n">
        <v>33.9</v>
      </c>
      <c r="AO55" s="37" t="n">
        <v>32.78</v>
      </c>
      <c r="AP55" s="37" t="n">
        <v>44.73</v>
      </c>
      <c r="AQ55" s="37" t="n">
        <v>44.9</v>
      </c>
      <c r="AR55" s="37" t="n">
        <v>36.37</v>
      </c>
      <c r="AS55" s="37" t="n">
        <v>20.15</v>
      </c>
      <c r="AT55" s="37" t="n">
        <v>40.24</v>
      </c>
      <c r="AU55" s="37" t="n">
        <v>65.39</v>
      </c>
      <c r="AV55" s="37" t="n">
        <v>69.20999999999999</v>
      </c>
      <c r="AW55" s="37" t="n">
        <v>33.17</v>
      </c>
      <c r="AX55" s="37" t="n">
        <v>30.98</v>
      </c>
      <c r="AY55" s="37" t="n">
        <v>34.97</v>
      </c>
      <c r="AZ55" s="37" t="n">
        <v>19.31</v>
      </c>
      <c r="BA55" s="37" t="n">
        <v>36.93</v>
      </c>
      <c r="BB55" s="37" t="n">
        <v>34.24</v>
      </c>
      <c r="BC55" s="37" t="n">
        <v>11.34</v>
      </c>
      <c r="BD55" s="37" t="n">
        <v>29.02</v>
      </c>
      <c r="BE55" s="37" t="n">
        <v>35.7</v>
      </c>
      <c r="BF55" s="37" t="n">
        <v>31.32</v>
      </c>
      <c r="BG55" s="37" t="n">
        <v>26.04</v>
      </c>
      <c r="BH55" s="37" t="n">
        <v>47.09</v>
      </c>
      <c r="BI55" s="37" t="n">
        <v>40.19</v>
      </c>
      <c r="BJ55" s="37" t="n">
        <v>173.77</v>
      </c>
      <c r="BK55" s="37" t="n">
        <v>84.75</v>
      </c>
      <c r="BL55" s="37" t="n">
        <v>44.4</v>
      </c>
      <c r="BM55" s="37" t="n">
        <v>32.84</v>
      </c>
      <c r="BN55" s="37" t="n">
        <v>25.2</v>
      </c>
      <c r="BO55" s="37" t="n">
        <v>53.88</v>
      </c>
      <c r="BP55" s="37" t="n">
        <v>79.48</v>
      </c>
      <c r="BQ55" s="37" t="n">
        <v>56.91</v>
      </c>
      <c r="BR55" s="37" t="n">
        <v>37.89</v>
      </c>
      <c r="BS55" s="37" t="n">
        <v>35.7</v>
      </c>
      <c r="BT55" s="37" t="n">
        <v>31.32</v>
      </c>
      <c r="BU55" s="37" t="n">
        <v>36.43</v>
      </c>
      <c r="BV55" s="37" t="n">
        <v>49.56</v>
      </c>
      <c r="BW55" s="37" t="n">
        <v>40.19</v>
      </c>
      <c r="BX55" s="37" t="n">
        <v>38.5</v>
      </c>
      <c r="BY55" s="37" t="n">
        <v>37.89</v>
      </c>
      <c r="BZ55" s="37" t="n">
        <v>64.20999999999999</v>
      </c>
      <c r="CA55" s="37" t="n">
        <v>37.55</v>
      </c>
      <c r="CB55" s="37" t="n">
        <v>24.98</v>
      </c>
      <c r="CC55" s="37" t="n">
        <v>3120.510000000001</v>
      </c>
    </row>
    <row r="56" ht="15.75" customHeight="1" s="57">
      <c r="A56" s="7" t="inlineStr">
        <is>
          <t>NTB</t>
        </is>
      </c>
      <c r="B56" s="7" t="inlineStr">
        <is>
          <t>Bình Thuận</t>
        </is>
      </c>
      <c r="C56" s="7" t="n">
        <v>21290000</v>
      </c>
      <c r="D56" s="7" t="inlineStr">
        <is>
          <t>(BTH) Tuyên Quang</t>
        </is>
      </c>
      <c r="E56" s="7" t="inlineStr">
        <is>
          <t>Shopee-Bulky (10-15kg)</t>
        </is>
      </c>
      <c r="F56" s="36" t="n">
        <v>17.34</v>
      </c>
      <c r="G56" s="36" t="n">
        <v>12.34</v>
      </c>
      <c r="H56" s="36" t="n">
        <v>25.01</v>
      </c>
      <c r="I56" s="36" t="n">
        <v>17.34</v>
      </c>
      <c r="J56" s="36" t="n">
        <v>11.67</v>
      </c>
      <c r="K56" s="28" t="n">
        <v>10.01</v>
      </c>
      <c r="L56" s="36" t="n">
        <v>14.34</v>
      </c>
      <c r="M56" s="36" t="n">
        <v>15.34</v>
      </c>
      <c r="N56" s="36" t="n">
        <v>20.01</v>
      </c>
      <c r="O56" s="36" t="n">
        <v>13.34</v>
      </c>
      <c r="P56" s="36" t="n">
        <v>12.34</v>
      </c>
      <c r="Q56" s="36" t="n">
        <v>12.01</v>
      </c>
      <c r="R56" s="28" t="n">
        <v>21.01</v>
      </c>
      <c r="S56" s="36" t="n">
        <v>13.01</v>
      </c>
      <c r="T56" s="36" t="n">
        <v>18.68</v>
      </c>
      <c r="U56" s="36" t="n">
        <v>15.32</v>
      </c>
      <c r="V56" s="36" t="n">
        <v>14.87</v>
      </c>
      <c r="W56" s="36" t="n">
        <v>20.04</v>
      </c>
      <c r="X56" s="36" t="n">
        <v>10.89</v>
      </c>
      <c r="Y56" s="28" t="n">
        <v>21.67</v>
      </c>
      <c r="Z56" s="36" t="n">
        <v>17.06</v>
      </c>
      <c r="AA56" s="36" t="n">
        <v>16.61</v>
      </c>
      <c r="AB56" s="36" t="n">
        <v>16.89</v>
      </c>
      <c r="AC56" s="36" t="n">
        <v>17.51</v>
      </c>
      <c r="AD56" s="36" t="n">
        <v>71.45</v>
      </c>
      <c r="AE56" s="36" t="n">
        <v>28.63</v>
      </c>
      <c r="AF56" s="28" t="n">
        <v>40.24</v>
      </c>
      <c r="AG56" s="36" t="n">
        <v>24.42</v>
      </c>
      <c r="AH56" s="37" t="n">
        <v>16.84</v>
      </c>
      <c r="AI56" s="37" t="n">
        <v>16.28</v>
      </c>
      <c r="AJ56" s="37" t="n">
        <v>15.94</v>
      </c>
      <c r="AK56" s="37" t="n">
        <v>37.27</v>
      </c>
      <c r="AL56" s="37" t="n">
        <v>18.19</v>
      </c>
      <c r="AM56" s="37" t="n">
        <v>26.44</v>
      </c>
      <c r="AN56" s="37" t="n">
        <v>16.84</v>
      </c>
      <c r="AO56" s="37" t="n">
        <v>16.05</v>
      </c>
      <c r="AP56" s="37" t="n">
        <v>21.72</v>
      </c>
      <c r="AQ56" s="37" t="n">
        <v>21.78</v>
      </c>
      <c r="AR56" s="37" t="n">
        <v>18.07</v>
      </c>
      <c r="AS56" s="37" t="n">
        <v>9.65</v>
      </c>
      <c r="AT56" s="37" t="n">
        <v>19.59</v>
      </c>
      <c r="AU56" s="37" t="n">
        <v>33.51</v>
      </c>
      <c r="AV56" s="37" t="n">
        <v>33.51</v>
      </c>
      <c r="AW56" s="37" t="n">
        <v>16.11</v>
      </c>
      <c r="AX56" s="37" t="n">
        <v>15.15</v>
      </c>
      <c r="AY56" s="37" t="n">
        <v>17.29</v>
      </c>
      <c r="AZ56" s="37" t="n">
        <v>9.26</v>
      </c>
      <c r="BA56" s="37" t="n">
        <v>17.96</v>
      </c>
      <c r="BB56" s="37" t="n">
        <v>17.18</v>
      </c>
      <c r="BC56" s="37" t="n">
        <v>5.95</v>
      </c>
      <c r="BD56" s="37" t="n">
        <v>14.65</v>
      </c>
      <c r="BE56" s="37" t="n">
        <v>17.74</v>
      </c>
      <c r="BF56" s="37" t="n">
        <v>15.88</v>
      </c>
      <c r="BG56" s="37" t="n">
        <v>12.69</v>
      </c>
      <c r="BH56" s="37" t="n">
        <v>23.29</v>
      </c>
      <c r="BI56" s="37" t="n">
        <v>20.04</v>
      </c>
      <c r="BJ56" s="37" t="n">
        <v>98.95</v>
      </c>
      <c r="BK56" s="37" t="n">
        <v>42.21</v>
      </c>
      <c r="BL56" s="37" t="n">
        <v>21.55</v>
      </c>
      <c r="BM56" s="37" t="n">
        <v>16.5</v>
      </c>
      <c r="BN56" s="37" t="n">
        <v>12.69</v>
      </c>
      <c r="BO56" s="37" t="n">
        <v>27.73</v>
      </c>
      <c r="BP56" s="37" t="n">
        <v>39.8</v>
      </c>
      <c r="BQ56" s="37" t="n">
        <v>29.19</v>
      </c>
      <c r="BR56" s="37" t="n">
        <v>18.8</v>
      </c>
      <c r="BS56" s="37" t="n">
        <v>17.74</v>
      </c>
      <c r="BT56" s="37" t="n">
        <v>15.88</v>
      </c>
      <c r="BU56" s="37" t="n">
        <v>17.96</v>
      </c>
      <c r="BV56" s="37" t="n">
        <v>25.31</v>
      </c>
      <c r="BW56" s="37" t="n">
        <v>20.04</v>
      </c>
      <c r="BX56" s="37" t="n">
        <v>19.14</v>
      </c>
      <c r="BY56" s="37" t="n">
        <v>18.8</v>
      </c>
      <c r="BZ56" s="37" t="n">
        <v>32.27</v>
      </c>
      <c r="CA56" s="37" t="n">
        <v>18.75</v>
      </c>
      <c r="CB56" s="37" t="n">
        <v>12.01</v>
      </c>
      <c r="CC56" s="37" t="n">
        <v>1579.58</v>
      </c>
    </row>
    <row r="57" ht="15.75" customHeight="1" s="57">
      <c r="A57" s="7" t="inlineStr">
        <is>
          <t>NTB</t>
        </is>
      </c>
      <c r="B57" s="7" t="inlineStr">
        <is>
          <t>Bình Thuận</t>
        </is>
      </c>
      <c r="C57" s="7" t="n">
        <v>21290000</v>
      </c>
      <c r="D57" s="7" t="inlineStr">
        <is>
          <t>(BTH) Tuyên Quang</t>
        </is>
      </c>
      <c r="E57" s="7" t="inlineStr">
        <is>
          <t>TTS</t>
        </is>
      </c>
      <c r="F57" s="36" t="n">
        <v>253</v>
      </c>
      <c r="G57" s="36" t="n">
        <v>241</v>
      </c>
      <c r="H57" s="36" t="n">
        <v>254</v>
      </c>
      <c r="I57" s="36" t="n">
        <v>262</v>
      </c>
      <c r="J57" s="36" t="n">
        <v>224</v>
      </c>
      <c r="K57" s="28" t="n">
        <v>239</v>
      </c>
      <c r="L57" s="36" t="n">
        <v>189</v>
      </c>
      <c r="M57" s="36" t="n">
        <v>185</v>
      </c>
      <c r="N57" s="36" t="n">
        <v>280</v>
      </c>
      <c r="O57" s="36" t="n">
        <v>254</v>
      </c>
      <c r="P57" s="36" t="n">
        <v>283</v>
      </c>
      <c r="Q57" s="36" t="n">
        <v>174</v>
      </c>
      <c r="R57" s="28" t="n">
        <v>244</v>
      </c>
      <c r="S57" s="36" t="n">
        <v>187</v>
      </c>
      <c r="T57" s="36" t="n">
        <v>282</v>
      </c>
      <c r="U57" s="36" t="n">
        <v>193.18</v>
      </c>
      <c r="V57" s="36" t="n">
        <v>189.49</v>
      </c>
      <c r="W57" s="36" t="n">
        <v>185.03</v>
      </c>
      <c r="X57" s="36" t="n">
        <v>148.95</v>
      </c>
      <c r="Y57" s="28" t="n">
        <v>217.18</v>
      </c>
      <c r="Z57" s="36" t="n">
        <v>184.79</v>
      </c>
      <c r="AA57" s="36" t="n">
        <v>204.53</v>
      </c>
      <c r="AB57" s="36" t="n">
        <v>228.22</v>
      </c>
      <c r="AC57" s="36" t="n">
        <v>240.06</v>
      </c>
      <c r="AD57" s="36" t="n">
        <v>247.01</v>
      </c>
      <c r="AE57" s="36" t="n">
        <v>173.12</v>
      </c>
      <c r="AF57" s="28" t="n">
        <v>224.4</v>
      </c>
      <c r="AG57" s="36" t="n">
        <v>188.19</v>
      </c>
      <c r="AH57" s="37" t="n">
        <v>186.41</v>
      </c>
      <c r="AI57" s="37" t="n">
        <v>213.46</v>
      </c>
      <c r="AJ57" s="37" t="n">
        <v>229.76</v>
      </c>
      <c r="AK57" s="37" t="n">
        <v>225.7</v>
      </c>
      <c r="AL57" s="37" t="n">
        <v>160.3</v>
      </c>
      <c r="AM57" s="37" t="n">
        <v>220.91</v>
      </c>
      <c r="AN57" s="37" t="n">
        <v>190.6</v>
      </c>
      <c r="AO57" s="37" t="n">
        <v>189.37</v>
      </c>
      <c r="AP57" s="37" t="n">
        <v>183.89</v>
      </c>
      <c r="AQ57" s="37" t="n">
        <v>186</v>
      </c>
      <c r="AR57" s="37" t="n">
        <v>182.35</v>
      </c>
      <c r="AS57" s="37" t="n">
        <v>149.27</v>
      </c>
      <c r="AT57" s="37" t="n">
        <v>238.8</v>
      </c>
      <c r="AU57" s="37" t="n">
        <v>216.21</v>
      </c>
      <c r="AV57" s="37" t="n">
        <v>191.88</v>
      </c>
      <c r="AW57" s="37" t="n">
        <v>181.87</v>
      </c>
      <c r="AX57" s="37" t="n">
        <v>180.65</v>
      </c>
      <c r="AY57" s="37" t="n">
        <v>180.08</v>
      </c>
      <c r="AZ57" s="37" t="n">
        <v>149.43</v>
      </c>
      <c r="BA57" s="37" t="n">
        <v>215.4</v>
      </c>
      <c r="BB57" s="37" t="n">
        <v>201.05</v>
      </c>
      <c r="BC57" s="37" t="n">
        <v>119.83</v>
      </c>
      <c r="BD57" s="37" t="n">
        <v>173.51</v>
      </c>
      <c r="BE57" s="37" t="n">
        <v>204.94</v>
      </c>
      <c r="BF57" s="37" t="n">
        <v>198.61</v>
      </c>
      <c r="BG57" s="37" t="n">
        <v>160.63</v>
      </c>
      <c r="BH57" s="37" t="n">
        <v>238.63</v>
      </c>
      <c r="BI57" s="37" t="n">
        <v>201.05</v>
      </c>
      <c r="BJ57" s="37" t="n">
        <v>187.62</v>
      </c>
      <c r="BK57" s="37" t="n">
        <v>204.53</v>
      </c>
      <c r="BL57" s="37" t="n">
        <v>204.94</v>
      </c>
      <c r="BM57" s="37" t="n">
        <v>198.61</v>
      </c>
      <c r="BN57" s="37" t="n">
        <v>160.63</v>
      </c>
      <c r="BO57" s="37" t="n">
        <v>238.63</v>
      </c>
      <c r="BP57" s="37" t="n">
        <v>201.05</v>
      </c>
      <c r="BQ57" s="37" t="n">
        <v>198.86</v>
      </c>
      <c r="BR57" s="37" t="n">
        <v>204.53</v>
      </c>
      <c r="BS57" s="37" t="n">
        <v>204.94</v>
      </c>
      <c r="BT57" s="37" t="n">
        <v>198.61</v>
      </c>
      <c r="BU57" s="37" t="n">
        <v>160.63</v>
      </c>
      <c r="BV57" s="37" t="n">
        <v>238.63</v>
      </c>
      <c r="BW57" s="37" t="n">
        <v>201.05</v>
      </c>
      <c r="BX57" s="37" t="n">
        <v>198.86</v>
      </c>
      <c r="BY57" s="37" t="n">
        <v>204.53</v>
      </c>
      <c r="BZ57" s="37" t="n">
        <v>204.94</v>
      </c>
      <c r="CA57" s="37" t="n">
        <v>198.61</v>
      </c>
      <c r="CB57" s="37" t="n">
        <v>160.63</v>
      </c>
      <c r="CC57" s="37" t="n">
        <v>15316.57</v>
      </c>
    </row>
    <row r="58" ht="15.75" customHeight="1" s="57">
      <c r="A58" s="7" t="inlineStr">
        <is>
          <t>NTB</t>
        </is>
      </c>
      <c r="B58" s="7" t="inlineStr">
        <is>
          <t>Bình Thuận</t>
        </is>
      </c>
      <c r="C58" s="7" t="n">
        <v>21290000</v>
      </c>
      <c r="D58" s="7" t="inlineStr">
        <is>
          <t>(BTH) Tuyên Quang</t>
        </is>
      </c>
      <c r="E58" s="7" t="inlineStr">
        <is>
          <t>TTS-Bulky</t>
        </is>
      </c>
      <c r="F58" s="36" t="n">
        <v>5</v>
      </c>
      <c r="G58" s="36" t="n">
        <v>3</v>
      </c>
      <c r="H58" s="36" t="n">
        <v>4</v>
      </c>
      <c r="I58" s="36" t="n">
        <v>5</v>
      </c>
      <c r="J58" s="36" t="n">
        <v>2</v>
      </c>
      <c r="K58" s="28" t="n">
        <v>4</v>
      </c>
      <c r="L58" s="36" t="n">
        <v>0</v>
      </c>
      <c r="M58" s="36" t="n">
        <v>3</v>
      </c>
      <c r="N58" s="36" t="n">
        <v>3</v>
      </c>
      <c r="O58" s="36" t="n">
        <v>1</v>
      </c>
      <c r="P58" s="36" t="n">
        <v>1</v>
      </c>
      <c r="Q58" s="36" t="n">
        <v>3</v>
      </c>
      <c r="R58" s="28" t="n">
        <v>2</v>
      </c>
      <c r="S58" s="36" t="n">
        <v>0</v>
      </c>
      <c r="T58" s="36" t="n">
        <v>1</v>
      </c>
      <c r="U58" s="36" t="n">
        <v>7.44</v>
      </c>
      <c r="V58" s="36" t="n">
        <v>7.74</v>
      </c>
      <c r="W58" s="36" t="n">
        <v>3.81</v>
      </c>
      <c r="X58" s="36" t="n">
        <v>2.18</v>
      </c>
      <c r="Y58" s="28" t="n">
        <v>5.26</v>
      </c>
      <c r="Z58" s="36" t="n">
        <v>3.99</v>
      </c>
      <c r="AA58" s="36" t="n">
        <v>3.75</v>
      </c>
      <c r="AB58" s="36" t="n">
        <v>3.99</v>
      </c>
      <c r="AC58" s="36" t="n">
        <v>4.47</v>
      </c>
      <c r="AD58" s="36" t="n">
        <v>4.84</v>
      </c>
      <c r="AE58" s="36" t="n">
        <v>2.48</v>
      </c>
      <c r="AF58" s="28" t="n">
        <v>4.9</v>
      </c>
      <c r="AG58" s="36" t="n">
        <v>3.69</v>
      </c>
      <c r="AH58" s="37" t="n">
        <v>3.57</v>
      </c>
      <c r="AI58" s="37" t="n">
        <v>4.17</v>
      </c>
      <c r="AJ58" s="37" t="n">
        <v>4.23</v>
      </c>
      <c r="AK58" s="37" t="n">
        <v>4.11</v>
      </c>
      <c r="AL58" s="37" t="n">
        <v>2.18</v>
      </c>
      <c r="AM58" s="37" t="n">
        <v>4.9</v>
      </c>
      <c r="AN58" s="37" t="n">
        <v>3.63</v>
      </c>
      <c r="AO58" s="37" t="n">
        <v>3.69</v>
      </c>
      <c r="AP58" s="37" t="n">
        <v>3.69</v>
      </c>
      <c r="AQ58" s="37" t="n">
        <v>3.87</v>
      </c>
      <c r="AR58" s="37" t="n">
        <v>3.75</v>
      </c>
      <c r="AS58" s="37" t="n">
        <v>2.18</v>
      </c>
      <c r="AT58" s="37" t="n">
        <v>5.26</v>
      </c>
      <c r="AU58" s="37" t="n">
        <v>4.11</v>
      </c>
      <c r="AV58" s="37" t="n">
        <v>3.57</v>
      </c>
      <c r="AW58" s="37" t="n">
        <v>3.63</v>
      </c>
      <c r="AX58" s="37" t="n">
        <v>3.81</v>
      </c>
      <c r="AY58" s="37" t="n">
        <v>3.75</v>
      </c>
      <c r="AZ58" s="37" t="n">
        <v>2.18</v>
      </c>
      <c r="BA58" s="37" t="n">
        <v>4.35</v>
      </c>
      <c r="BB58" s="37" t="n">
        <v>1.03</v>
      </c>
      <c r="BC58" s="37" t="n">
        <v>0.48</v>
      </c>
      <c r="BD58" s="37" t="n">
        <v>0.85</v>
      </c>
      <c r="BE58" s="37" t="n">
        <v>1.03</v>
      </c>
      <c r="BF58" s="37" t="n">
        <v>1.03</v>
      </c>
      <c r="BG58" s="37" t="n">
        <v>0.6</v>
      </c>
      <c r="BH58" s="37" t="n">
        <v>1.57</v>
      </c>
      <c r="BI58" s="37" t="n">
        <v>1.03</v>
      </c>
      <c r="BJ58" s="37" t="n">
        <v>1.15</v>
      </c>
      <c r="BK58" s="37" t="n">
        <v>1.03</v>
      </c>
      <c r="BL58" s="37" t="n">
        <v>1.03</v>
      </c>
      <c r="BM58" s="37" t="n">
        <v>1.03</v>
      </c>
      <c r="BN58" s="37" t="n">
        <v>0.67</v>
      </c>
      <c r="BO58" s="37" t="n">
        <v>1.63</v>
      </c>
      <c r="BP58" s="37" t="n">
        <v>1.33</v>
      </c>
      <c r="BQ58" s="37" t="n">
        <v>1.03</v>
      </c>
      <c r="BR58" s="37" t="n">
        <v>1.03</v>
      </c>
      <c r="BS58" s="37" t="n">
        <v>1.03</v>
      </c>
      <c r="BT58" s="37" t="n">
        <v>1.03</v>
      </c>
      <c r="BU58" s="37" t="n">
        <v>0.54</v>
      </c>
      <c r="BV58" s="37" t="n">
        <v>1.33</v>
      </c>
      <c r="BW58" s="37" t="n">
        <v>1.03</v>
      </c>
      <c r="BX58" s="37" t="n">
        <v>1.03</v>
      </c>
      <c r="BY58" s="37" t="n">
        <v>1.03</v>
      </c>
      <c r="BZ58" s="37" t="n">
        <v>1.03</v>
      </c>
      <c r="CA58" s="37" t="n">
        <v>1.03</v>
      </c>
      <c r="CB58" s="37" t="n">
        <v>0.54</v>
      </c>
      <c r="CC58" s="37" t="n">
        <v>197.34</v>
      </c>
    </row>
    <row r="59" ht="15.75" customHeight="1" s="57">
      <c r="A59" s="7" t="inlineStr">
        <is>
          <t>NTB</t>
        </is>
      </c>
      <c r="B59" s="7" t="inlineStr">
        <is>
          <t>Bình Thuận</t>
        </is>
      </c>
      <c r="C59" s="7" t="n">
        <v>21298000</v>
      </c>
      <c r="D59" s="7" t="inlineStr">
        <is>
          <t>(BTH) Liên Hương</t>
        </is>
      </c>
      <c r="E59" s="7" t="inlineStr">
        <is>
          <t>SME</t>
        </is>
      </c>
      <c r="F59" s="36" t="n">
        <v>280</v>
      </c>
      <c r="G59" s="36" t="n">
        <v>285</v>
      </c>
      <c r="H59" s="36" t="n">
        <v>241</v>
      </c>
      <c r="I59" s="36" t="n">
        <v>278</v>
      </c>
      <c r="J59" s="36" t="n">
        <v>249</v>
      </c>
      <c r="K59" s="28" t="n">
        <v>298</v>
      </c>
      <c r="L59" s="36" t="n">
        <v>199</v>
      </c>
      <c r="M59" s="36" t="n">
        <v>219</v>
      </c>
      <c r="N59" s="36" t="n">
        <v>275</v>
      </c>
      <c r="O59" s="36" t="n">
        <v>239</v>
      </c>
      <c r="P59" s="36" t="n">
        <v>276</v>
      </c>
      <c r="Q59" s="36" t="n">
        <v>181</v>
      </c>
      <c r="R59" s="28" t="n">
        <v>220</v>
      </c>
      <c r="S59" s="36" t="n">
        <v>172</v>
      </c>
      <c r="T59" s="36" t="n">
        <v>237</v>
      </c>
      <c r="U59" s="36" t="n">
        <v>276.05</v>
      </c>
      <c r="V59" s="36" t="n">
        <v>285.78</v>
      </c>
      <c r="W59" s="36" t="n">
        <v>277.87</v>
      </c>
      <c r="X59" s="36" t="n">
        <v>227.43</v>
      </c>
      <c r="Y59" s="28" t="n">
        <v>308.15</v>
      </c>
      <c r="Z59" s="36" t="n">
        <v>283.62</v>
      </c>
      <c r="AA59" s="36" t="n">
        <v>276.9</v>
      </c>
      <c r="AB59" s="36" t="n">
        <v>276.05</v>
      </c>
      <c r="AC59" s="36" t="n">
        <v>285.78</v>
      </c>
      <c r="AD59" s="36" t="n">
        <v>291.83</v>
      </c>
      <c r="AE59" s="36" t="n">
        <v>227.43</v>
      </c>
      <c r="AF59" s="28" t="n">
        <v>308.15</v>
      </c>
      <c r="AG59" s="36" t="n">
        <v>283.62</v>
      </c>
      <c r="AH59" s="37" t="n">
        <v>276.9</v>
      </c>
      <c r="AI59" s="37" t="n">
        <v>276.05</v>
      </c>
      <c r="AJ59" s="37" t="n">
        <v>285.78</v>
      </c>
      <c r="AK59" s="37" t="n">
        <v>277.87</v>
      </c>
      <c r="AL59" s="37" t="n">
        <v>227.43</v>
      </c>
      <c r="AM59" s="37" t="n">
        <v>308.15</v>
      </c>
      <c r="AN59" s="37" t="n">
        <v>283.62</v>
      </c>
      <c r="AO59" s="37" t="n">
        <v>276.9</v>
      </c>
      <c r="AP59" s="37" t="n">
        <v>276.05</v>
      </c>
      <c r="AQ59" s="37" t="n">
        <v>285.78</v>
      </c>
      <c r="AR59" s="37" t="n">
        <v>277.87</v>
      </c>
      <c r="AS59" s="37" t="n">
        <v>227.43</v>
      </c>
      <c r="AT59" s="37" t="n">
        <v>308.15</v>
      </c>
      <c r="AU59" s="37" t="n">
        <v>283.62</v>
      </c>
      <c r="AV59" s="37" t="n">
        <v>276.9</v>
      </c>
      <c r="AW59" s="37" t="n">
        <v>276.05</v>
      </c>
      <c r="AX59" s="37" t="n">
        <v>285.78</v>
      </c>
      <c r="AY59" s="37" t="n">
        <v>277.87</v>
      </c>
      <c r="AZ59" s="37" t="n">
        <v>227.43</v>
      </c>
      <c r="BA59" s="37" t="n">
        <v>277.24</v>
      </c>
      <c r="BB59" s="37" t="n">
        <v>248.04</v>
      </c>
      <c r="BC59" s="37" t="n">
        <v>157.12</v>
      </c>
      <c r="BD59" s="37" t="n">
        <v>156.56</v>
      </c>
      <c r="BE59" s="37" t="n">
        <v>264.49</v>
      </c>
      <c r="BF59" s="37" t="n">
        <v>257.43</v>
      </c>
      <c r="BG59" s="37" t="n">
        <v>234.49</v>
      </c>
      <c r="BH59" s="37" t="n">
        <v>317.77</v>
      </c>
      <c r="BI59" s="37" t="n">
        <v>292.44</v>
      </c>
      <c r="BJ59" s="37" t="n">
        <v>299.45</v>
      </c>
      <c r="BK59" s="37" t="n">
        <v>284.42</v>
      </c>
      <c r="BL59" s="37" t="n">
        <v>294.72</v>
      </c>
      <c r="BM59" s="37" t="n">
        <v>286.23</v>
      </c>
      <c r="BN59" s="37" t="n">
        <v>234.49</v>
      </c>
      <c r="BO59" s="37" t="n">
        <v>317.77</v>
      </c>
      <c r="BP59" s="37" t="n">
        <v>292.44</v>
      </c>
      <c r="BQ59" s="37" t="n">
        <v>285.3200000000001</v>
      </c>
      <c r="BR59" s="37" t="n">
        <v>284.42</v>
      </c>
      <c r="BS59" s="37" t="n">
        <v>294.72</v>
      </c>
      <c r="BT59" s="37" t="n">
        <v>286.23</v>
      </c>
      <c r="BU59" s="37" t="n">
        <v>234.49</v>
      </c>
      <c r="BV59" s="37" t="n">
        <v>317.77</v>
      </c>
      <c r="BW59" s="37" t="n">
        <v>292.44</v>
      </c>
      <c r="BX59" s="37" t="n">
        <v>285.3200000000001</v>
      </c>
      <c r="BY59" s="37" t="n">
        <v>284.42</v>
      </c>
      <c r="BZ59" s="37" t="n">
        <v>294.72</v>
      </c>
      <c r="CA59" s="37" t="n">
        <v>286.23</v>
      </c>
      <c r="CB59" s="37" t="n">
        <v>234.49</v>
      </c>
      <c r="CC59" s="37" t="n">
        <v>20068.96</v>
      </c>
    </row>
    <row r="60" ht="15.75" customHeight="1" s="57">
      <c r="A60" s="7" t="inlineStr">
        <is>
          <t>NTB</t>
        </is>
      </c>
      <c r="B60" s="7" t="inlineStr">
        <is>
          <t>Bình Thuận</t>
        </is>
      </c>
      <c r="C60" s="7" t="n">
        <v>21298000</v>
      </c>
      <c r="D60" s="7" t="inlineStr">
        <is>
          <t>(BTH) Liên Hương</t>
        </is>
      </c>
      <c r="E60" s="7" t="inlineStr">
        <is>
          <t>SME-Bulky</t>
        </is>
      </c>
      <c r="F60" s="36" t="n">
        <v>16</v>
      </c>
      <c r="G60" s="36" t="n">
        <v>18</v>
      </c>
      <c r="H60" s="36" t="n">
        <v>17</v>
      </c>
      <c r="I60" s="36" t="n">
        <v>21</v>
      </c>
      <c r="J60" s="36" t="n">
        <v>7</v>
      </c>
      <c r="K60" s="28" t="n">
        <v>22</v>
      </c>
      <c r="L60" s="36" t="n">
        <v>14</v>
      </c>
      <c r="M60" s="36" t="n">
        <v>8</v>
      </c>
      <c r="N60" s="36" t="n">
        <v>24</v>
      </c>
      <c r="O60" s="36" t="n">
        <v>7</v>
      </c>
      <c r="P60" s="36" t="n">
        <v>27</v>
      </c>
      <c r="Q60" s="36" t="n">
        <v>8</v>
      </c>
      <c r="R60" s="28" t="n">
        <v>16</v>
      </c>
      <c r="S60" s="36" t="n">
        <v>18</v>
      </c>
      <c r="T60" s="36" t="n">
        <v>11</v>
      </c>
      <c r="U60" s="36" t="n">
        <v>16.57</v>
      </c>
      <c r="V60" s="36" t="n">
        <v>16.63</v>
      </c>
      <c r="W60" s="36" t="n">
        <v>15.42</v>
      </c>
      <c r="X60" s="36" t="n">
        <v>10.84</v>
      </c>
      <c r="Y60" s="28" t="n">
        <v>18.52</v>
      </c>
      <c r="Z60" s="36" t="n">
        <v>18</v>
      </c>
      <c r="AA60" s="36" t="n">
        <v>17.54</v>
      </c>
      <c r="AB60" s="36" t="n">
        <v>16.57</v>
      </c>
      <c r="AC60" s="36" t="n">
        <v>16.63</v>
      </c>
      <c r="AD60" s="36" t="n">
        <v>17.6</v>
      </c>
      <c r="AE60" s="36" t="n">
        <v>10.84</v>
      </c>
      <c r="AF60" s="28" t="n">
        <v>18.52</v>
      </c>
      <c r="AG60" s="36" t="n">
        <v>18</v>
      </c>
      <c r="AH60" s="37" t="n">
        <v>17.54</v>
      </c>
      <c r="AI60" s="37" t="n">
        <v>16.57</v>
      </c>
      <c r="AJ60" s="37" t="n">
        <v>16.63</v>
      </c>
      <c r="AK60" s="37" t="n">
        <v>15.42</v>
      </c>
      <c r="AL60" s="37" t="n">
        <v>10.84</v>
      </c>
      <c r="AM60" s="37" t="n">
        <v>18.52</v>
      </c>
      <c r="AN60" s="37" t="n">
        <v>18</v>
      </c>
      <c r="AO60" s="37" t="n">
        <v>17.54</v>
      </c>
      <c r="AP60" s="37" t="n">
        <v>16.57</v>
      </c>
      <c r="AQ60" s="37" t="n">
        <v>16.63</v>
      </c>
      <c r="AR60" s="37" t="n">
        <v>15.42</v>
      </c>
      <c r="AS60" s="37" t="n">
        <v>10.84</v>
      </c>
      <c r="AT60" s="37" t="n">
        <v>18.52</v>
      </c>
      <c r="AU60" s="37" t="n">
        <v>18</v>
      </c>
      <c r="AV60" s="37" t="n">
        <v>17.54</v>
      </c>
      <c r="AW60" s="37" t="n">
        <v>16.57</v>
      </c>
      <c r="AX60" s="37" t="n">
        <v>16.63</v>
      </c>
      <c r="AY60" s="37" t="n">
        <v>15.42</v>
      </c>
      <c r="AZ60" s="37" t="n">
        <v>10.84</v>
      </c>
      <c r="BA60" s="37" t="n">
        <v>18.58</v>
      </c>
      <c r="BB60" s="37" t="n">
        <v>9.75</v>
      </c>
      <c r="BC60" s="37" t="n">
        <v>5.22</v>
      </c>
      <c r="BD60" s="37" t="n">
        <v>4.7</v>
      </c>
      <c r="BE60" s="37" t="n">
        <v>8.49</v>
      </c>
      <c r="BF60" s="37" t="n">
        <v>8.140000000000001</v>
      </c>
      <c r="BG60" s="37" t="n">
        <v>6.36</v>
      </c>
      <c r="BH60" s="37" t="n">
        <v>10.78</v>
      </c>
      <c r="BI60" s="37" t="n">
        <v>10.78</v>
      </c>
      <c r="BJ60" s="37" t="n">
        <v>11.12</v>
      </c>
      <c r="BK60" s="37" t="n">
        <v>9.800000000000001</v>
      </c>
      <c r="BL60" s="37" t="n">
        <v>9.92</v>
      </c>
      <c r="BM60" s="37" t="n">
        <v>9.17</v>
      </c>
      <c r="BN60" s="37" t="n">
        <v>6.36</v>
      </c>
      <c r="BO60" s="37" t="n">
        <v>10.78</v>
      </c>
      <c r="BP60" s="37" t="n">
        <v>10.78</v>
      </c>
      <c r="BQ60" s="37" t="n">
        <v>10.15</v>
      </c>
      <c r="BR60" s="37" t="n">
        <v>9.800000000000001</v>
      </c>
      <c r="BS60" s="37" t="n">
        <v>9.92</v>
      </c>
      <c r="BT60" s="37" t="n">
        <v>9.17</v>
      </c>
      <c r="BU60" s="37" t="n">
        <v>6.36</v>
      </c>
      <c r="BV60" s="37" t="n">
        <v>10.78</v>
      </c>
      <c r="BW60" s="37" t="n">
        <v>10.78</v>
      </c>
      <c r="BX60" s="37" t="n">
        <v>10.15</v>
      </c>
      <c r="BY60" s="37" t="n">
        <v>9.800000000000001</v>
      </c>
      <c r="BZ60" s="37" t="n">
        <v>9.92</v>
      </c>
      <c r="CA60" s="37" t="n">
        <v>9.17</v>
      </c>
      <c r="CB60" s="37" t="n">
        <v>6.36</v>
      </c>
      <c r="CC60" s="37" t="n">
        <v>1012.809999999999</v>
      </c>
    </row>
    <row r="61" ht="15.75" customHeight="1" s="57">
      <c r="A61" s="7" t="inlineStr">
        <is>
          <t>NTB</t>
        </is>
      </c>
      <c r="B61" s="7" t="inlineStr">
        <is>
          <t>Bình Thuận</t>
        </is>
      </c>
      <c r="C61" s="7" t="n">
        <v>21298000</v>
      </c>
      <c r="D61" s="7" t="inlineStr">
        <is>
          <t>(BTH) Liên Hương</t>
        </is>
      </c>
      <c r="E61" s="7" t="inlineStr">
        <is>
          <t>Shopee</t>
        </is>
      </c>
      <c r="F61" s="36" t="n">
        <v>368</v>
      </c>
      <c r="G61" s="36" t="n">
        <v>265</v>
      </c>
      <c r="H61" s="36" t="n">
        <v>276</v>
      </c>
      <c r="I61" s="36" t="n">
        <v>330</v>
      </c>
      <c r="J61" s="36" t="n">
        <v>220</v>
      </c>
      <c r="K61" s="28" t="n">
        <v>161</v>
      </c>
      <c r="L61" s="36" t="n">
        <v>200</v>
      </c>
      <c r="M61" s="36" t="n">
        <v>253</v>
      </c>
      <c r="N61" s="36" t="n">
        <v>315</v>
      </c>
      <c r="O61" s="36" t="n">
        <v>267</v>
      </c>
      <c r="P61" s="36" t="n">
        <v>264</v>
      </c>
      <c r="Q61" s="36" t="n">
        <v>205</v>
      </c>
      <c r="R61" s="28" t="n">
        <v>219</v>
      </c>
      <c r="S61" s="36" t="n">
        <v>243</v>
      </c>
      <c r="T61" s="36" t="n">
        <v>228</v>
      </c>
      <c r="U61" s="36" t="n">
        <v>261.87</v>
      </c>
      <c r="V61" s="36" t="n">
        <v>262.96</v>
      </c>
      <c r="W61" s="36" t="n">
        <v>259.07</v>
      </c>
      <c r="X61" s="36" t="n">
        <v>210.77</v>
      </c>
      <c r="Y61" s="28" t="n">
        <v>352.87</v>
      </c>
      <c r="Z61" s="36" t="n">
        <v>279.22</v>
      </c>
      <c r="AA61" s="36" t="n">
        <v>383.89</v>
      </c>
      <c r="AB61" s="36" t="n">
        <v>267.27</v>
      </c>
      <c r="AC61" s="36" t="n">
        <v>215.89</v>
      </c>
      <c r="AD61" s="36" t="n">
        <v>586.73</v>
      </c>
      <c r="AE61" s="36" t="n">
        <v>225.59</v>
      </c>
      <c r="AF61" s="28" t="n">
        <v>402.13</v>
      </c>
      <c r="AG61" s="36" t="n">
        <v>293.23</v>
      </c>
      <c r="AH61" s="37" t="n">
        <v>309.83</v>
      </c>
      <c r="AI61" s="37" t="n">
        <v>261.87</v>
      </c>
      <c r="AJ61" s="37" t="n">
        <v>262.96</v>
      </c>
      <c r="AK61" s="37" t="n">
        <v>349.59</v>
      </c>
      <c r="AL61" s="37" t="n">
        <v>378.29</v>
      </c>
      <c r="AM61" s="37" t="n">
        <v>352.87</v>
      </c>
      <c r="AN61" s="37" t="n">
        <v>279.22</v>
      </c>
      <c r="AO61" s="37" t="n">
        <v>309.83</v>
      </c>
      <c r="AP61" s="37" t="n">
        <v>326.98</v>
      </c>
      <c r="AQ61" s="37" t="n">
        <v>210.97</v>
      </c>
      <c r="AR61" s="37" t="n">
        <v>259.07</v>
      </c>
      <c r="AS61" s="37" t="n">
        <v>210.77</v>
      </c>
      <c r="AT61" s="37" t="n">
        <v>352.87</v>
      </c>
      <c r="AU61" s="37" t="n">
        <v>284.96</v>
      </c>
      <c r="AV61" s="37" t="n">
        <v>315.71</v>
      </c>
      <c r="AW61" s="37" t="n">
        <v>261.87</v>
      </c>
      <c r="AX61" s="37" t="n">
        <v>262.96</v>
      </c>
      <c r="AY61" s="37" t="n">
        <v>259.07</v>
      </c>
      <c r="AZ61" s="37" t="n">
        <v>210.77</v>
      </c>
      <c r="BA61" s="37" t="n">
        <v>271.98</v>
      </c>
      <c r="BB61" s="37" t="n">
        <v>237</v>
      </c>
      <c r="BC61" s="37" t="n">
        <v>120.86</v>
      </c>
      <c r="BD61" s="37" t="n">
        <v>214.25</v>
      </c>
      <c r="BE61" s="37" t="n">
        <v>250.6</v>
      </c>
      <c r="BF61" s="37" t="n">
        <v>246.84</v>
      </c>
      <c r="BG61" s="37" t="n">
        <v>204.69</v>
      </c>
      <c r="BH61" s="37" t="n">
        <v>335.86</v>
      </c>
      <c r="BI61" s="37" t="n">
        <v>217.94</v>
      </c>
      <c r="BJ61" s="37" t="n">
        <v>832.8200000000001</v>
      </c>
      <c r="BK61" s="37" t="n">
        <v>266.99</v>
      </c>
      <c r="BL61" s="37" t="n">
        <v>262.96</v>
      </c>
      <c r="BM61" s="37" t="n">
        <v>246.84</v>
      </c>
      <c r="BN61" s="37" t="n">
        <v>200.72</v>
      </c>
      <c r="BO61" s="37" t="n">
        <v>335.86</v>
      </c>
      <c r="BP61" s="37" t="n">
        <v>359.02</v>
      </c>
      <c r="BQ61" s="37" t="n">
        <v>529.62</v>
      </c>
      <c r="BR61" s="37" t="n">
        <v>249.5</v>
      </c>
      <c r="BS61" s="37" t="n">
        <v>250.6</v>
      </c>
      <c r="BT61" s="37" t="n">
        <v>246.84</v>
      </c>
      <c r="BU61" s="37" t="n">
        <v>250.87</v>
      </c>
      <c r="BV61" s="37" t="n">
        <v>269.25</v>
      </c>
      <c r="BW61" s="37" t="n">
        <v>266.04</v>
      </c>
      <c r="BX61" s="37" t="n">
        <v>295.28</v>
      </c>
      <c r="BY61" s="37" t="n">
        <v>249.5</v>
      </c>
      <c r="BZ61" s="37" t="n">
        <v>255.59</v>
      </c>
      <c r="CA61" s="37" t="n">
        <v>251.83</v>
      </c>
      <c r="CB61" s="37" t="n">
        <v>200.72</v>
      </c>
      <c r="CC61" s="37" t="n">
        <v>21196.82</v>
      </c>
    </row>
    <row r="62" ht="15.75" customHeight="1" s="57">
      <c r="A62" s="7" t="inlineStr">
        <is>
          <t>NTB</t>
        </is>
      </c>
      <c r="B62" s="7" t="inlineStr">
        <is>
          <t>Bình Thuận</t>
        </is>
      </c>
      <c r="C62" s="7" t="n">
        <v>21298000</v>
      </c>
      <c r="D62" s="7" t="inlineStr">
        <is>
          <t>(BTH) Liên Hương</t>
        </is>
      </c>
      <c r="E62" s="7" t="inlineStr">
        <is>
          <t>Shopee-Bulky</t>
        </is>
      </c>
      <c r="F62" s="36" t="n">
        <v>18</v>
      </c>
      <c r="G62" s="36" t="n">
        <v>28.66</v>
      </c>
      <c r="H62" s="36" t="n">
        <v>25.99</v>
      </c>
      <c r="I62" s="36" t="n">
        <v>29.33</v>
      </c>
      <c r="J62" s="36" t="n">
        <v>24.66</v>
      </c>
      <c r="K62" s="28" t="n">
        <v>18</v>
      </c>
      <c r="L62" s="36" t="n">
        <v>17.33</v>
      </c>
      <c r="M62" s="36" t="n">
        <v>26.66</v>
      </c>
      <c r="N62" s="36" t="n">
        <v>24.66</v>
      </c>
      <c r="O62" s="36" t="n">
        <v>18</v>
      </c>
      <c r="P62" s="36" t="n">
        <v>13.33</v>
      </c>
      <c r="Q62" s="36" t="n">
        <v>20.66</v>
      </c>
      <c r="R62" s="28" t="n">
        <v>27.99</v>
      </c>
      <c r="S62" s="36" t="n">
        <v>12.66</v>
      </c>
      <c r="T62" s="36" t="n">
        <v>16</v>
      </c>
      <c r="U62" s="36" t="n">
        <v>18.31</v>
      </c>
      <c r="V62" s="36" t="n">
        <v>17.69</v>
      </c>
      <c r="W62" s="36" t="n">
        <v>24.69</v>
      </c>
      <c r="X62" s="36" t="n">
        <v>14.09</v>
      </c>
      <c r="Y62" s="28" t="n">
        <v>27</v>
      </c>
      <c r="Z62" s="36" t="n">
        <v>21.29</v>
      </c>
      <c r="AA62" s="36" t="n">
        <v>20.63</v>
      </c>
      <c r="AB62" s="36" t="n">
        <v>21.05</v>
      </c>
      <c r="AC62" s="36" t="n">
        <v>21.74</v>
      </c>
      <c r="AD62" s="36" t="n">
        <v>68.06999999999999</v>
      </c>
      <c r="AE62" s="36" t="n">
        <v>35.52</v>
      </c>
      <c r="AF62" s="28" t="n">
        <v>52.87</v>
      </c>
      <c r="AG62" s="36" t="n">
        <v>30.33</v>
      </c>
      <c r="AH62" s="37" t="n">
        <v>21.12</v>
      </c>
      <c r="AI62" s="37" t="n">
        <v>20.77</v>
      </c>
      <c r="AJ62" s="37" t="n">
        <v>19.84</v>
      </c>
      <c r="AK62" s="37" t="n">
        <v>45.08</v>
      </c>
      <c r="AL62" s="37" t="n">
        <v>23.06</v>
      </c>
      <c r="AM62" s="37" t="n">
        <v>33.41</v>
      </c>
      <c r="AN62" s="37" t="n">
        <v>20.91</v>
      </c>
      <c r="AO62" s="37" t="n">
        <v>20.22</v>
      </c>
      <c r="AP62" s="37" t="n">
        <v>27.59</v>
      </c>
      <c r="AQ62" s="37" t="n">
        <v>27.7</v>
      </c>
      <c r="AR62" s="37" t="n">
        <v>22.43</v>
      </c>
      <c r="AS62" s="37" t="n">
        <v>12.43</v>
      </c>
      <c r="AT62" s="37" t="n">
        <v>24.82</v>
      </c>
      <c r="AU62" s="37" t="n">
        <v>40.33</v>
      </c>
      <c r="AV62" s="37" t="n">
        <v>42.69</v>
      </c>
      <c r="AW62" s="37" t="n">
        <v>20.46</v>
      </c>
      <c r="AX62" s="37" t="n">
        <v>19.11</v>
      </c>
      <c r="AY62" s="37" t="n">
        <v>21.57</v>
      </c>
      <c r="AZ62" s="37" t="n">
        <v>11.91</v>
      </c>
      <c r="BA62" s="37" t="n">
        <v>22.78</v>
      </c>
      <c r="BB62" s="37" t="n">
        <v>21.12</v>
      </c>
      <c r="BC62" s="37" t="n">
        <v>6.99</v>
      </c>
      <c r="BD62" s="37" t="n">
        <v>17.9</v>
      </c>
      <c r="BE62" s="37" t="n">
        <v>22.02</v>
      </c>
      <c r="BF62" s="37" t="n">
        <v>19.32</v>
      </c>
      <c r="BG62" s="37" t="n">
        <v>16.06</v>
      </c>
      <c r="BH62" s="37" t="n">
        <v>29.05</v>
      </c>
      <c r="BI62" s="37" t="n">
        <v>24.79</v>
      </c>
      <c r="BJ62" s="37" t="n">
        <v>107.19</v>
      </c>
      <c r="BK62" s="37" t="n">
        <v>52.28</v>
      </c>
      <c r="BL62" s="37" t="n">
        <v>27.39</v>
      </c>
      <c r="BM62" s="37" t="n">
        <v>20.25</v>
      </c>
      <c r="BN62" s="37" t="n">
        <v>15.55</v>
      </c>
      <c r="BO62" s="37" t="n">
        <v>33.24</v>
      </c>
      <c r="BP62" s="37" t="n">
        <v>49.02</v>
      </c>
      <c r="BQ62" s="37" t="n">
        <v>35.11</v>
      </c>
      <c r="BR62" s="37" t="n">
        <v>23.37</v>
      </c>
      <c r="BS62" s="37" t="n">
        <v>22.02</v>
      </c>
      <c r="BT62" s="37" t="n">
        <v>19.32</v>
      </c>
      <c r="BU62" s="37" t="n">
        <v>22.47</v>
      </c>
      <c r="BV62" s="37" t="n">
        <v>30.57</v>
      </c>
      <c r="BW62" s="37" t="n">
        <v>24.79</v>
      </c>
      <c r="BX62" s="37" t="n">
        <v>23.75</v>
      </c>
      <c r="BY62" s="37" t="n">
        <v>23.37</v>
      </c>
      <c r="BZ62" s="37" t="n">
        <v>39.61</v>
      </c>
      <c r="CA62" s="37" t="n">
        <v>23.16</v>
      </c>
      <c r="CB62" s="37" t="n">
        <v>15.41</v>
      </c>
      <c r="CC62" s="37" t="n">
        <v>1958.559999999999</v>
      </c>
    </row>
    <row r="63" ht="15.75" customHeight="1" s="57">
      <c r="A63" s="7" t="inlineStr">
        <is>
          <t>NTB</t>
        </is>
      </c>
      <c r="B63" s="7" t="inlineStr">
        <is>
          <t>Bình Thuận</t>
        </is>
      </c>
      <c r="C63" s="7" t="n">
        <v>21298000</v>
      </c>
      <c r="D63" s="7" t="inlineStr">
        <is>
          <t>(BTH) Liên Hương</t>
        </is>
      </c>
      <c r="E63" s="7" t="inlineStr">
        <is>
          <t>Shopee-Bulky (10-15kg)</t>
        </is>
      </c>
      <c r="F63" s="36" t="n">
        <v>9</v>
      </c>
      <c r="G63" s="36" t="n">
        <v>14.34</v>
      </c>
      <c r="H63" s="36" t="n">
        <v>13.01</v>
      </c>
      <c r="I63" s="36" t="n">
        <v>14.67</v>
      </c>
      <c r="J63" s="36" t="n">
        <v>12.34</v>
      </c>
      <c r="K63" s="28" t="n">
        <v>9</v>
      </c>
      <c r="L63" s="36" t="n">
        <v>8.67</v>
      </c>
      <c r="M63" s="36" t="n">
        <v>13.34</v>
      </c>
      <c r="N63" s="36" t="n">
        <v>12.34</v>
      </c>
      <c r="O63" s="36" t="n">
        <v>9</v>
      </c>
      <c r="P63" s="36" t="n">
        <v>6.67</v>
      </c>
      <c r="Q63" s="36" t="n">
        <v>10.34</v>
      </c>
      <c r="R63" s="28" t="n">
        <v>14.01</v>
      </c>
      <c r="S63" s="36" t="n">
        <v>6.34</v>
      </c>
      <c r="T63" s="36" t="n">
        <v>8</v>
      </c>
      <c r="U63" s="36" t="n">
        <v>9.449999999999999</v>
      </c>
      <c r="V63" s="36" t="n">
        <v>9.17</v>
      </c>
      <c r="W63" s="36" t="n">
        <v>12.36</v>
      </c>
      <c r="X63" s="36" t="n">
        <v>6.72</v>
      </c>
      <c r="Y63" s="28" t="n">
        <v>13.36</v>
      </c>
      <c r="Z63" s="36" t="n">
        <v>10.52</v>
      </c>
      <c r="AA63" s="36" t="n">
        <v>10.25</v>
      </c>
      <c r="AB63" s="36" t="n">
        <v>10.42</v>
      </c>
      <c r="AC63" s="36" t="n">
        <v>10.8</v>
      </c>
      <c r="AD63" s="36" t="n">
        <v>44.07</v>
      </c>
      <c r="AE63" s="36" t="n">
        <v>17.66</v>
      </c>
      <c r="AF63" s="28" t="n">
        <v>24.82</v>
      </c>
      <c r="AG63" s="36" t="n">
        <v>15.06</v>
      </c>
      <c r="AH63" s="37" t="n">
        <v>10.39</v>
      </c>
      <c r="AI63" s="37" t="n">
        <v>10.04</v>
      </c>
      <c r="AJ63" s="37" t="n">
        <v>9.83</v>
      </c>
      <c r="AK63" s="37" t="n">
        <v>22.99</v>
      </c>
      <c r="AL63" s="37" t="n">
        <v>11.22</v>
      </c>
      <c r="AM63" s="37" t="n">
        <v>16.31</v>
      </c>
      <c r="AN63" s="37" t="n">
        <v>10.39</v>
      </c>
      <c r="AO63" s="37" t="n">
        <v>9.9</v>
      </c>
      <c r="AP63" s="37" t="n">
        <v>13.4</v>
      </c>
      <c r="AQ63" s="37" t="n">
        <v>13.43</v>
      </c>
      <c r="AR63" s="37" t="n">
        <v>11.15</v>
      </c>
      <c r="AS63" s="37" t="n">
        <v>5.95</v>
      </c>
      <c r="AT63" s="37" t="n">
        <v>12.08</v>
      </c>
      <c r="AU63" s="37" t="n">
        <v>20.67</v>
      </c>
      <c r="AV63" s="37" t="n">
        <v>20.67</v>
      </c>
      <c r="AW63" s="37" t="n">
        <v>9.94</v>
      </c>
      <c r="AX63" s="37" t="n">
        <v>9.35</v>
      </c>
      <c r="AY63" s="37" t="n">
        <v>10.66</v>
      </c>
      <c r="AZ63" s="37" t="n">
        <v>5.71</v>
      </c>
      <c r="BA63" s="37" t="n">
        <v>11.08</v>
      </c>
      <c r="BB63" s="37" t="n">
        <v>10.59</v>
      </c>
      <c r="BC63" s="37" t="n">
        <v>3.67</v>
      </c>
      <c r="BD63" s="37" t="n">
        <v>9.039999999999999</v>
      </c>
      <c r="BE63" s="37" t="n">
        <v>10.94</v>
      </c>
      <c r="BF63" s="37" t="n">
        <v>9.800000000000001</v>
      </c>
      <c r="BG63" s="37" t="n">
        <v>7.82</v>
      </c>
      <c r="BH63" s="37" t="n">
        <v>14.37</v>
      </c>
      <c r="BI63" s="37" t="n">
        <v>12.36</v>
      </c>
      <c r="BJ63" s="37" t="n">
        <v>61.04</v>
      </c>
      <c r="BK63" s="37" t="n">
        <v>26.04</v>
      </c>
      <c r="BL63" s="37" t="n">
        <v>13.29</v>
      </c>
      <c r="BM63" s="37" t="n">
        <v>10.18</v>
      </c>
      <c r="BN63" s="37" t="n">
        <v>7.82</v>
      </c>
      <c r="BO63" s="37" t="n">
        <v>17.1</v>
      </c>
      <c r="BP63" s="37" t="n">
        <v>24.55</v>
      </c>
      <c r="BQ63" s="37" t="n">
        <v>18</v>
      </c>
      <c r="BR63" s="37" t="n">
        <v>11.6</v>
      </c>
      <c r="BS63" s="37" t="n">
        <v>10.94</v>
      </c>
      <c r="BT63" s="37" t="n">
        <v>9.800000000000001</v>
      </c>
      <c r="BU63" s="37" t="n">
        <v>11.08</v>
      </c>
      <c r="BV63" s="37" t="n">
        <v>15.61</v>
      </c>
      <c r="BW63" s="37" t="n">
        <v>12.36</v>
      </c>
      <c r="BX63" s="37" t="n">
        <v>11.81</v>
      </c>
      <c r="BY63" s="37" t="n">
        <v>11.6</v>
      </c>
      <c r="BZ63" s="37" t="n">
        <v>19.91</v>
      </c>
      <c r="CA63" s="37" t="n">
        <v>11.56</v>
      </c>
      <c r="CB63" s="37" t="n">
        <v>7.41</v>
      </c>
      <c r="CC63" s="37" t="n">
        <v>991.1799999999998</v>
      </c>
    </row>
    <row r="64" ht="15.75" customHeight="1" s="57">
      <c r="A64" s="7" t="inlineStr">
        <is>
          <t>NTB</t>
        </is>
      </c>
      <c r="B64" s="7" t="inlineStr">
        <is>
          <t>Bình Thuận</t>
        </is>
      </c>
      <c r="C64" s="7" t="n">
        <v>21298000</v>
      </c>
      <c r="D64" s="7" t="inlineStr">
        <is>
          <t>(BTH) Liên Hương</t>
        </is>
      </c>
      <c r="E64" s="7" t="inlineStr">
        <is>
          <t>TTS</t>
        </is>
      </c>
      <c r="F64" s="36" t="n">
        <v>233</v>
      </c>
      <c r="G64" s="36" t="n">
        <v>226</v>
      </c>
      <c r="H64" s="36" t="n">
        <v>219</v>
      </c>
      <c r="I64" s="36" t="n">
        <v>234</v>
      </c>
      <c r="J64" s="36" t="n">
        <v>186</v>
      </c>
      <c r="K64" s="28" t="n">
        <v>185</v>
      </c>
      <c r="L64" s="36" t="n">
        <v>172</v>
      </c>
      <c r="M64" s="36" t="n">
        <v>186</v>
      </c>
      <c r="N64" s="36" t="n">
        <v>235</v>
      </c>
      <c r="O64" s="36" t="n">
        <v>188</v>
      </c>
      <c r="P64" s="36" t="n">
        <v>211</v>
      </c>
      <c r="Q64" s="36" t="n">
        <v>178</v>
      </c>
      <c r="R64" s="28" t="n">
        <v>192</v>
      </c>
      <c r="S64" s="36" t="n">
        <v>180</v>
      </c>
      <c r="T64" s="36" t="n">
        <v>208</v>
      </c>
      <c r="U64" s="36" t="n">
        <v>157.73</v>
      </c>
      <c r="V64" s="36" t="n">
        <v>154.74</v>
      </c>
      <c r="W64" s="36" t="n">
        <v>151.09</v>
      </c>
      <c r="X64" s="36" t="n">
        <v>121.62</v>
      </c>
      <c r="Y64" s="28" t="n">
        <v>177.33</v>
      </c>
      <c r="Z64" s="36" t="n">
        <v>150.89</v>
      </c>
      <c r="AA64" s="36" t="n">
        <v>167.01</v>
      </c>
      <c r="AB64" s="36" t="n">
        <v>186.36</v>
      </c>
      <c r="AC64" s="36" t="n">
        <v>196.03</v>
      </c>
      <c r="AD64" s="36" t="n">
        <v>201.66</v>
      </c>
      <c r="AE64" s="36" t="n">
        <v>141.37</v>
      </c>
      <c r="AF64" s="28" t="n">
        <v>183.22</v>
      </c>
      <c r="AG64" s="36" t="n">
        <v>153.68</v>
      </c>
      <c r="AH64" s="37" t="n">
        <v>152.22</v>
      </c>
      <c r="AI64" s="37" t="n">
        <v>174.3</v>
      </c>
      <c r="AJ64" s="37" t="n">
        <v>187.61</v>
      </c>
      <c r="AK64" s="37" t="n">
        <v>184.3</v>
      </c>
      <c r="AL64" s="37" t="n">
        <v>130.9</v>
      </c>
      <c r="AM64" s="37" t="n">
        <v>180.37</v>
      </c>
      <c r="AN64" s="37" t="n">
        <v>155.64</v>
      </c>
      <c r="AO64" s="37" t="n">
        <v>154.62</v>
      </c>
      <c r="AP64" s="37" t="n">
        <v>150.17</v>
      </c>
      <c r="AQ64" s="37" t="n">
        <v>151.89</v>
      </c>
      <c r="AR64" s="37" t="n">
        <v>148.91</v>
      </c>
      <c r="AS64" s="37" t="n">
        <v>121.89</v>
      </c>
      <c r="AT64" s="37" t="n">
        <v>194.97</v>
      </c>
      <c r="AU64" s="37" t="n">
        <v>176.55</v>
      </c>
      <c r="AV64" s="37" t="n">
        <v>156.67</v>
      </c>
      <c r="AW64" s="37" t="n">
        <v>148.51</v>
      </c>
      <c r="AX64" s="37" t="n">
        <v>147.51</v>
      </c>
      <c r="AY64" s="37" t="n">
        <v>147.05</v>
      </c>
      <c r="AZ64" s="37" t="n">
        <v>122.02</v>
      </c>
      <c r="BA64" s="37" t="n">
        <v>175.87</v>
      </c>
      <c r="BB64" s="37" t="n">
        <v>164.16</v>
      </c>
      <c r="BC64" s="37" t="n">
        <v>97.86</v>
      </c>
      <c r="BD64" s="37" t="n">
        <v>141.68</v>
      </c>
      <c r="BE64" s="37" t="n">
        <v>167.34</v>
      </c>
      <c r="BF64" s="37" t="n">
        <v>162.17</v>
      </c>
      <c r="BG64" s="37" t="n">
        <v>131.17</v>
      </c>
      <c r="BH64" s="37" t="n">
        <v>194.84</v>
      </c>
      <c r="BI64" s="37" t="n">
        <v>164.16</v>
      </c>
      <c r="BJ64" s="37" t="n">
        <v>153.17</v>
      </c>
      <c r="BK64" s="37" t="n">
        <v>167.01</v>
      </c>
      <c r="BL64" s="37" t="n">
        <v>167.34</v>
      </c>
      <c r="BM64" s="37" t="n">
        <v>162.17</v>
      </c>
      <c r="BN64" s="37" t="n">
        <v>131.17</v>
      </c>
      <c r="BO64" s="37" t="n">
        <v>194.84</v>
      </c>
      <c r="BP64" s="37" t="n">
        <v>164.16</v>
      </c>
      <c r="BQ64" s="37" t="n">
        <v>162.37</v>
      </c>
      <c r="BR64" s="37" t="n">
        <v>167.01</v>
      </c>
      <c r="BS64" s="37" t="n">
        <v>167.34</v>
      </c>
      <c r="BT64" s="37" t="n">
        <v>162.17</v>
      </c>
      <c r="BU64" s="37" t="n">
        <v>131.17</v>
      </c>
      <c r="BV64" s="37" t="n">
        <v>194.84</v>
      </c>
      <c r="BW64" s="37" t="n">
        <v>164.16</v>
      </c>
      <c r="BX64" s="37" t="n">
        <v>162.37</v>
      </c>
      <c r="BY64" s="37" t="n">
        <v>167.01</v>
      </c>
      <c r="BZ64" s="37" t="n">
        <v>167.34</v>
      </c>
      <c r="CA64" s="37" t="n">
        <v>162.17</v>
      </c>
      <c r="CB64" s="37" t="n">
        <v>131.17</v>
      </c>
      <c r="CC64" s="37" t="n">
        <v>12640.06000000001</v>
      </c>
    </row>
    <row r="65" ht="15.75" customHeight="1" s="57">
      <c r="A65" s="7" t="inlineStr">
        <is>
          <t>NTB</t>
        </is>
      </c>
      <c r="B65" s="7" t="inlineStr">
        <is>
          <t>Bình Thuận</t>
        </is>
      </c>
      <c r="C65" s="7" t="n">
        <v>21298000</v>
      </c>
      <c r="D65" s="7" t="inlineStr">
        <is>
          <t>(BTH) Liên Hương</t>
        </is>
      </c>
      <c r="E65" s="7" t="inlineStr">
        <is>
          <t>TTS-Bulky</t>
        </is>
      </c>
      <c r="F65" s="36" t="n">
        <v>3</v>
      </c>
      <c r="G65" s="36" t="n">
        <v>1</v>
      </c>
      <c r="H65" s="36" t="n">
        <v>0</v>
      </c>
      <c r="I65" s="36" t="n">
        <v>2</v>
      </c>
      <c r="J65" s="36" t="n">
        <v>5</v>
      </c>
      <c r="K65" s="28" t="n">
        <v>1</v>
      </c>
      <c r="L65" s="36" t="n">
        <v>1</v>
      </c>
      <c r="M65" s="36" t="n">
        <v>1</v>
      </c>
      <c r="N65" s="36" t="n">
        <v>2</v>
      </c>
      <c r="O65" s="36" t="n">
        <v>1</v>
      </c>
      <c r="P65" s="36" t="n">
        <v>1</v>
      </c>
      <c r="Q65" s="36" t="n">
        <v>0</v>
      </c>
      <c r="R65" s="28" t="n">
        <v>1</v>
      </c>
      <c r="S65" s="36" t="n">
        <v>1</v>
      </c>
      <c r="T65" s="36" t="n">
        <v>4</v>
      </c>
      <c r="U65" s="36" t="n">
        <v>5.43</v>
      </c>
      <c r="V65" s="36" t="n">
        <v>5.65</v>
      </c>
      <c r="W65" s="36" t="n">
        <v>2.78</v>
      </c>
      <c r="X65" s="36" t="n">
        <v>1.59</v>
      </c>
      <c r="Y65" s="28" t="n">
        <v>3.84</v>
      </c>
      <c r="Z65" s="36" t="n">
        <v>2.91</v>
      </c>
      <c r="AA65" s="36" t="n">
        <v>2.74</v>
      </c>
      <c r="AB65" s="36" t="n">
        <v>2.91</v>
      </c>
      <c r="AC65" s="36" t="n">
        <v>3.27</v>
      </c>
      <c r="AD65" s="36" t="n">
        <v>3.53</v>
      </c>
      <c r="AE65" s="36" t="n">
        <v>1.81</v>
      </c>
      <c r="AF65" s="28" t="n">
        <v>3.58</v>
      </c>
      <c r="AG65" s="36" t="n">
        <v>2.69</v>
      </c>
      <c r="AH65" s="37" t="n">
        <v>2.6</v>
      </c>
      <c r="AI65" s="37" t="n">
        <v>3.05</v>
      </c>
      <c r="AJ65" s="37" t="n">
        <v>3.09</v>
      </c>
      <c r="AK65" s="37" t="n">
        <v>3</v>
      </c>
      <c r="AL65" s="37" t="n">
        <v>1.59</v>
      </c>
      <c r="AM65" s="37" t="n">
        <v>3.58</v>
      </c>
      <c r="AN65" s="37" t="n">
        <v>2.65</v>
      </c>
      <c r="AO65" s="37" t="n">
        <v>2.69</v>
      </c>
      <c r="AP65" s="37" t="n">
        <v>2.69</v>
      </c>
      <c r="AQ65" s="37" t="n">
        <v>2.83</v>
      </c>
      <c r="AR65" s="37" t="n">
        <v>2.74</v>
      </c>
      <c r="AS65" s="37" t="n">
        <v>1.59</v>
      </c>
      <c r="AT65" s="37" t="n">
        <v>3.84</v>
      </c>
      <c r="AU65" s="37" t="n">
        <v>3</v>
      </c>
      <c r="AV65" s="37" t="n">
        <v>2.6</v>
      </c>
      <c r="AW65" s="37" t="n">
        <v>2.65</v>
      </c>
      <c r="AX65" s="37" t="n">
        <v>2.78</v>
      </c>
      <c r="AY65" s="37" t="n">
        <v>2.74</v>
      </c>
      <c r="AZ65" s="37" t="n">
        <v>1.59</v>
      </c>
      <c r="BA65" s="37" t="n">
        <v>3.18</v>
      </c>
      <c r="BB65" s="37" t="n">
        <v>0.75</v>
      </c>
      <c r="BC65" s="37" t="n">
        <v>0.35</v>
      </c>
      <c r="BD65" s="37" t="n">
        <v>0.62</v>
      </c>
      <c r="BE65" s="37" t="n">
        <v>0.75</v>
      </c>
      <c r="BF65" s="37" t="n">
        <v>0.75</v>
      </c>
      <c r="BG65" s="37" t="n">
        <v>0.44</v>
      </c>
      <c r="BH65" s="37" t="n">
        <v>1.15</v>
      </c>
      <c r="BI65" s="37" t="n">
        <v>0.75</v>
      </c>
      <c r="BJ65" s="37" t="n">
        <v>0.84</v>
      </c>
      <c r="BK65" s="37" t="n">
        <v>0.75</v>
      </c>
      <c r="BL65" s="37" t="n">
        <v>0.75</v>
      </c>
      <c r="BM65" s="37" t="n">
        <v>0.75</v>
      </c>
      <c r="BN65" s="37" t="n">
        <v>0.49</v>
      </c>
      <c r="BO65" s="37" t="n">
        <v>1.19</v>
      </c>
      <c r="BP65" s="37" t="n">
        <v>0.97</v>
      </c>
      <c r="BQ65" s="37" t="n">
        <v>0.75</v>
      </c>
      <c r="BR65" s="37" t="n">
        <v>0.75</v>
      </c>
      <c r="BS65" s="37" t="n">
        <v>0.75</v>
      </c>
      <c r="BT65" s="37" t="n">
        <v>0.75</v>
      </c>
      <c r="BU65" s="37" t="n">
        <v>0.4</v>
      </c>
      <c r="BV65" s="37" t="n">
        <v>0.97</v>
      </c>
      <c r="BW65" s="37" t="n">
        <v>0.75</v>
      </c>
      <c r="BX65" s="37" t="n">
        <v>0.75</v>
      </c>
      <c r="BY65" s="37" t="n">
        <v>0.75</v>
      </c>
      <c r="BZ65" s="37" t="n">
        <v>0.75</v>
      </c>
      <c r="CA65" s="37" t="n">
        <v>0.75</v>
      </c>
      <c r="CB65" s="37" t="n">
        <v>0.4</v>
      </c>
      <c r="CC65" s="37" t="n">
        <v>141.03</v>
      </c>
    </row>
    <row r="66" ht="15.75" customHeight="1" s="57">
      <c r="A66" s="7" t="inlineStr">
        <is>
          <t>NTB</t>
        </is>
      </c>
      <c r="B66" s="7" t="inlineStr">
        <is>
          <t>Bình Thuận</t>
        </is>
      </c>
      <c r="C66" s="7" t="n">
        <v>21320000</v>
      </c>
      <c r="D66" s="7" t="inlineStr">
        <is>
          <t>(BTH) Phú Thủy</t>
        </is>
      </c>
      <c r="E66" s="7" t="inlineStr">
        <is>
          <t>SME</t>
        </is>
      </c>
      <c r="F66" s="36" t="n">
        <v>434</v>
      </c>
      <c r="G66" s="36" t="n">
        <v>416</v>
      </c>
      <c r="H66" s="36" t="n">
        <v>418</v>
      </c>
      <c r="I66" s="36" t="n">
        <v>436</v>
      </c>
      <c r="J66" s="36" t="n">
        <v>413</v>
      </c>
      <c r="K66" s="28" t="n">
        <v>452</v>
      </c>
      <c r="L66" s="36" t="n">
        <v>312</v>
      </c>
      <c r="M66" s="36" t="n">
        <v>331</v>
      </c>
      <c r="N66" s="36" t="n">
        <v>424</v>
      </c>
      <c r="O66" s="36" t="n">
        <v>398</v>
      </c>
      <c r="P66" s="36" t="n">
        <v>336</v>
      </c>
      <c r="Q66" s="36" t="n">
        <v>317</v>
      </c>
      <c r="R66" s="28" t="n">
        <v>379</v>
      </c>
      <c r="S66" s="36" t="n">
        <v>381</v>
      </c>
      <c r="T66" s="36" t="n">
        <v>382</v>
      </c>
      <c r="U66" s="36" t="n">
        <v>443.64</v>
      </c>
      <c r="V66" s="36" t="n">
        <v>459.16</v>
      </c>
      <c r="W66" s="36" t="n">
        <v>446.51</v>
      </c>
      <c r="X66" s="36" t="n">
        <v>365.37</v>
      </c>
      <c r="Y66" s="28" t="n">
        <v>495.02</v>
      </c>
      <c r="Z66" s="36" t="n">
        <v>455.66</v>
      </c>
      <c r="AA66" s="36" t="n">
        <v>444.93</v>
      </c>
      <c r="AB66" s="36" t="n">
        <v>443.64</v>
      </c>
      <c r="AC66" s="36" t="n">
        <v>459.16</v>
      </c>
      <c r="AD66" s="36" t="n">
        <v>467.56</v>
      </c>
      <c r="AE66" s="36" t="n">
        <v>365.37</v>
      </c>
      <c r="AF66" s="28" t="n">
        <v>495.02</v>
      </c>
      <c r="AG66" s="36" t="n">
        <v>455.66</v>
      </c>
      <c r="AH66" s="37" t="n">
        <v>444.93</v>
      </c>
      <c r="AI66" s="37" t="n">
        <v>443.64</v>
      </c>
      <c r="AJ66" s="37" t="n">
        <v>459.16</v>
      </c>
      <c r="AK66" s="37" t="n">
        <v>446.51</v>
      </c>
      <c r="AL66" s="37" t="n">
        <v>365.37</v>
      </c>
      <c r="AM66" s="37" t="n">
        <v>495.02</v>
      </c>
      <c r="AN66" s="37" t="n">
        <v>455.66</v>
      </c>
      <c r="AO66" s="37" t="n">
        <v>444.93</v>
      </c>
      <c r="AP66" s="37" t="n">
        <v>443.64</v>
      </c>
      <c r="AQ66" s="37" t="n">
        <v>459.16</v>
      </c>
      <c r="AR66" s="37" t="n">
        <v>446.51</v>
      </c>
      <c r="AS66" s="37" t="n">
        <v>365.37</v>
      </c>
      <c r="AT66" s="37" t="n">
        <v>495.02</v>
      </c>
      <c r="AU66" s="37" t="n">
        <v>455.66</v>
      </c>
      <c r="AV66" s="37" t="n">
        <v>444.93</v>
      </c>
      <c r="AW66" s="37" t="n">
        <v>443.64</v>
      </c>
      <c r="AX66" s="37" t="n">
        <v>459.16</v>
      </c>
      <c r="AY66" s="37" t="n">
        <v>446.51</v>
      </c>
      <c r="AZ66" s="37" t="n">
        <v>365.37</v>
      </c>
      <c r="BA66" s="37" t="n">
        <v>445.52</v>
      </c>
      <c r="BB66" s="37" t="n">
        <v>398.7</v>
      </c>
      <c r="BC66" s="37" t="n">
        <v>252.6</v>
      </c>
      <c r="BD66" s="37" t="n">
        <v>251.74</v>
      </c>
      <c r="BE66" s="37" t="n">
        <v>425.17</v>
      </c>
      <c r="BF66" s="37" t="n">
        <v>413.77</v>
      </c>
      <c r="BG66" s="37" t="n">
        <v>376.77</v>
      </c>
      <c r="BH66" s="37" t="n">
        <v>510.61</v>
      </c>
      <c r="BI66" s="37" t="n">
        <v>469.94</v>
      </c>
      <c r="BJ66" s="37" t="n">
        <v>479.82</v>
      </c>
      <c r="BK66" s="37" t="n">
        <v>457.18</v>
      </c>
      <c r="BL66" s="37" t="n">
        <v>473.63</v>
      </c>
      <c r="BM66" s="37" t="n">
        <v>460.05</v>
      </c>
      <c r="BN66" s="37" t="n">
        <v>376.77</v>
      </c>
      <c r="BO66" s="37" t="n">
        <v>510.61</v>
      </c>
      <c r="BP66" s="37" t="n">
        <v>469.94</v>
      </c>
      <c r="BQ66" s="37" t="n">
        <v>458.56</v>
      </c>
      <c r="BR66" s="37" t="n">
        <v>457.18</v>
      </c>
      <c r="BS66" s="37" t="n">
        <v>473.63</v>
      </c>
      <c r="BT66" s="37" t="n">
        <v>460.05</v>
      </c>
      <c r="BU66" s="37" t="n">
        <v>376.77</v>
      </c>
      <c r="BV66" s="37" t="n">
        <v>510.61</v>
      </c>
      <c r="BW66" s="37" t="n">
        <v>469.94</v>
      </c>
      <c r="BX66" s="37" t="n">
        <v>458.56</v>
      </c>
      <c r="BY66" s="37" t="n">
        <v>457.18</v>
      </c>
      <c r="BZ66" s="37" t="n">
        <v>473.63</v>
      </c>
      <c r="CA66" s="37" t="n">
        <v>460.05</v>
      </c>
      <c r="CB66" s="37" t="n">
        <v>376.77</v>
      </c>
      <c r="CC66" s="37" t="n">
        <v>32211.64</v>
      </c>
    </row>
    <row r="67" ht="15.75" customHeight="1" s="57">
      <c r="A67" s="7" t="inlineStr">
        <is>
          <t>NTB</t>
        </is>
      </c>
      <c r="B67" s="7" t="inlineStr">
        <is>
          <t>Bình Thuận</t>
        </is>
      </c>
      <c r="C67" s="7" t="n">
        <v>21320000</v>
      </c>
      <c r="D67" s="7" t="inlineStr">
        <is>
          <t>(BTH) Phú Thủy</t>
        </is>
      </c>
      <c r="E67" s="7" t="inlineStr">
        <is>
          <t>SME-Bulky</t>
        </is>
      </c>
      <c r="F67" s="36" t="n">
        <v>13</v>
      </c>
      <c r="G67" s="36" t="n">
        <v>14</v>
      </c>
      <c r="H67" s="36" t="n">
        <v>13</v>
      </c>
      <c r="I67" s="36" t="n">
        <v>17</v>
      </c>
      <c r="J67" s="36" t="n">
        <v>14</v>
      </c>
      <c r="K67" s="28" t="n">
        <v>30</v>
      </c>
      <c r="L67" s="36" t="n">
        <v>12</v>
      </c>
      <c r="M67" s="36" t="n">
        <v>13</v>
      </c>
      <c r="N67" s="36" t="n">
        <v>19</v>
      </c>
      <c r="O67" s="36" t="n">
        <v>14</v>
      </c>
      <c r="P67" s="36" t="n">
        <v>18</v>
      </c>
      <c r="Q67" s="36" t="n">
        <v>7</v>
      </c>
      <c r="R67" s="28" t="n">
        <v>24</v>
      </c>
      <c r="S67" s="36" t="n">
        <v>11</v>
      </c>
      <c r="T67" s="36" t="n">
        <v>18</v>
      </c>
      <c r="U67" s="36" t="n">
        <v>16.57</v>
      </c>
      <c r="V67" s="36" t="n">
        <v>16.63</v>
      </c>
      <c r="W67" s="36" t="n">
        <v>15.42</v>
      </c>
      <c r="X67" s="36" t="n">
        <v>10.84</v>
      </c>
      <c r="Y67" s="28" t="n">
        <v>18.52</v>
      </c>
      <c r="Z67" s="36" t="n">
        <v>18</v>
      </c>
      <c r="AA67" s="36" t="n">
        <v>17.54</v>
      </c>
      <c r="AB67" s="36" t="n">
        <v>16.57</v>
      </c>
      <c r="AC67" s="36" t="n">
        <v>16.63</v>
      </c>
      <c r="AD67" s="36" t="n">
        <v>17.6</v>
      </c>
      <c r="AE67" s="36" t="n">
        <v>10.84</v>
      </c>
      <c r="AF67" s="28" t="n">
        <v>18.52</v>
      </c>
      <c r="AG67" s="36" t="n">
        <v>18</v>
      </c>
      <c r="AH67" s="37" t="n">
        <v>17.54</v>
      </c>
      <c r="AI67" s="37" t="n">
        <v>16.57</v>
      </c>
      <c r="AJ67" s="37" t="n">
        <v>16.63</v>
      </c>
      <c r="AK67" s="37" t="n">
        <v>15.42</v>
      </c>
      <c r="AL67" s="37" t="n">
        <v>10.84</v>
      </c>
      <c r="AM67" s="37" t="n">
        <v>18.52</v>
      </c>
      <c r="AN67" s="37" t="n">
        <v>18</v>
      </c>
      <c r="AO67" s="37" t="n">
        <v>17.54</v>
      </c>
      <c r="AP67" s="37" t="n">
        <v>16.57</v>
      </c>
      <c r="AQ67" s="37" t="n">
        <v>16.63</v>
      </c>
      <c r="AR67" s="37" t="n">
        <v>15.42</v>
      </c>
      <c r="AS67" s="37" t="n">
        <v>10.84</v>
      </c>
      <c r="AT67" s="37" t="n">
        <v>18.52</v>
      </c>
      <c r="AU67" s="37" t="n">
        <v>18</v>
      </c>
      <c r="AV67" s="37" t="n">
        <v>17.54</v>
      </c>
      <c r="AW67" s="37" t="n">
        <v>16.57</v>
      </c>
      <c r="AX67" s="37" t="n">
        <v>16.63</v>
      </c>
      <c r="AY67" s="37" t="n">
        <v>15.42</v>
      </c>
      <c r="AZ67" s="37" t="n">
        <v>10.84</v>
      </c>
      <c r="BA67" s="37" t="n">
        <v>18.58</v>
      </c>
      <c r="BB67" s="37" t="n">
        <v>9.75</v>
      </c>
      <c r="BC67" s="37" t="n">
        <v>5.22</v>
      </c>
      <c r="BD67" s="37" t="n">
        <v>4.7</v>
      </c>
      <c r="BE67" s="37" t="n">
        <v>8.49</v>
      </c>
      <c r="BF67" s="37" t="n">
        <v>8.140000000000001</v>
      </c>
      <c r="BG67" s="37" t="n">
        <v>6.36</v>
      </c>
      <c r="BH67" s="37" t="n">
        <v>10.78</v>
      </c>
      <c r="BI67" s="37" t="n">
        <v>10.78</v>
      </c>
      <c r="BJ67" s="37" t="n">
        <v>11.12</v>
      </c>
      <c r="BK67" s="37" t="n">
        <v>9.800000000000001</v>
      </c>
      <c r="BL67" s="37" t="n">
        <v>9.92</v>
      </c>
      <c r="BM67" s="37" t="n">
        <v>9.17</v>
      </c>
      <c r="BN67" s="37" t="n">
        <v>6.36</v>
      </c>
      <c r="BO67" s="37" t="n">
        <v>10.78</v>
      </c>
      <c r="BP67" s="37" t="n">
        <v>10.78</v>
      </c>
      <c r="BQ67" s="37" t="n">
        <v>10.15</v>
      </c>
      <c r="BR67" s="37" t="n">
        <v>9.800000000000001</v>
      </c>
      <c r="BS67" s="37" t="n">
        <v>9.92</v>
      </c>
      <c r="BT67" s="37" t="n">
        <v>9.17</v>
      </c>
      <c r="BU67" s="37" t="n">
        <v>6.36</v>
      </c>
      <c r="BV67" s="37" t="n">
        <v>10.78</v>
      </c>
      <c r="BW67" s="37" t="n">
        <v>10.78</v>
      </c>
      <c r="BX67" s="37" t="n">
        <v>10.15</v>
      </c>
      <c r="BY67" s="37" t="n">
        <v>9.800000000000001</v>
      </c>
      <c r="BZ67" s="37" t="n">
        <v>9.92</v>
      </c>
      <c r="CA67" s="37" t="n">
        <v>9.17</v>
      </c>
      <c r="CB67" s="37" t="n">
        <v>6.36</v>
      </c>
      <c r="CC67" s="37" t="n">
        <v>1015.809999999999</v>
      </c>
    </row>
    <row r="68" ht="15.75" customHeight="1" s="57">
      <c r="A68" s="7" t="inlineStr">
        <is>
          <t>NTB</t>
        </is>
      </c>
      <c r="B68" s="7" t="inlineStr">
        <is>
          <t>Bình Thuận</t>
        </is>
      </c>
      <c r="C68" s="7" t="n">
        <v>21320000</v>
      </c>
      <c r="D68" s="7" t="inlineStr">
        <is>
          <t>(BTH) Phú Thủy</t>
        </is>
      </c>
      <c r="E68" s="7" t="inlineStr">
        <is>
          <t>Shopee</t>
        </is>
      </c>
      <c r="F68" s="36" t="n">
        <v>445</v>
      </c>
      <c r="G68" s="36" t="n">
        <v>398</v>
      </c>
      <c r="H68" s="36" t="n">
        <v>501</v>
      </c>
      <c r="I68" s="36" t="n">
        <v>524</v>
      </c>
      <c r="J68" s="36" t="n">
        <v>357</v>
      </c>
      <c r="K68" s="28" t="n">
        <v>334</v>
      </c>
      <c r="L68" s="36" t="n">
        <v>438</v>
      </c>
      <c r="M68" s="36" t="n">
        <v>492</v>
      </c>
      <c r="N68" s="36" t="n">
        <v>534</v>
      </c>
      <c r="O68" s="36" t="n">
        <v>430</v>
      </c>
      <c r="P68" s="36" t="n">
        <v>327</v>
      </c>
      <c r="Q68" s="36" t="n">
        <v>291</v>
      </c>
      <c r="R68" s="28" t="n">
        <v>311</v>
      </c>
      <c r="S68" s="36" t="n">
        <v>393</v>
      </c>
      <c r="T68" s="36" t="n">
        <v>425</v>
      </c>
      <c r="U68" s="36" t="n">
        <v>406.43</v>
      </c>
      <c r="V68" s="36" t="n">
        <v>408.13</v>
      </c>
      <c r="W68" s="36" t="n">
        <v>402.08</v>
      </c>
      <c r="X68" s="36" t="n">
        <v>327.12</v>
      </c>
      <c r="Y68" s="28" t="n">
        <v>547.67</v>
      </c>
      <c r="Z68" s="36" t="n">
        <v>433.36</v>
      </c>
      <c r="AA68" s="36" t="n">
        <v>595.8099999999999</v>
      </c>
      <c r="AB68" s="36" t="n">
        <v>414.81</v>
      </c>
      <c r="AC68" s="36" t="n">
        <v>335.07</v>
      </c>
      <c r="AD68" s="36" t="n">
        <v>910.62</v>
      </c>
      <c r="AE68" s="36" t="n">
        <v>350.13</v>
      </c>
      <c r="AF68" s="28" t="n">
        <v>624.12</v>
      </c>
      <c r="AG68" s="36" t="n">
        <v>455.1</v>
      </c>
      <c r="AH68" s="37" t="n">
        <v>480.87</v>
      </c>
      <c r="AI68" s="37" t="n">
        <v>406.43</v>
      </c>
      <c r="AJ68" s="37" t="n">
        <v>408.13</v>
      </c>
      <c r="AK68" s="37" t="n">
        <v>542.58</v>
      </c>
      <c r="AL68" s="37" t="n">
        <v>587.11</v>
      </c>
      <c r="AM68" s="37" t="n">
        <v>547.67</v>
      </c>
      <c r="AN68" s="37" t="n">
        <v>433.36</v>
      </c>
      <c r="AO68" s="37" t="n">
        <v>480.87</v>
      </c>
      <c r="AP68" s="37" t="n">
        <v>507.48</v>
      </c>
      <c r="AQ68" s="37" t="n">
        <v>327.43</v>
      </c>
      <c r="AR68" s="37" t="n">
        <v>402.08</v>
      </c>
      <c r="AS68" s="37" t="n">
        <v>327.12</v>
      </c>
      <c r="AT68" s="37" t="n">
        <v>547.67</v>
      </c>
      <c r="AU68" s="37" t="n">
        <v>442.27</v>
      </c>
      <c r="AV68" s="37" t="n">
        <v>489.98</v>
      </c>
      <c r="AW68" s="37" t="n">
        <v>406.43</v>
      </c>
      <c r="AX68" s="37" t="n">
        <v>408.13</v>
      </c>
      <c r="AY68" s="37" t="n">
        <v>402.08</v>
      </c>
      <c r="AZ68" s="37" t="n">
        <v>327.12</v>
      </c>
      <c r="BA68" s="37" t="n">
        <v>422.12</v>
      </c>
      <c r="BB68" s="37" t="n">
        <v>367.83</v>
      </c>
      <c r="BC68" s="37" t="n">
        <v>187.57</v>
      </c>
      <c r="BD68" s="37" t="n">
        <v>332.52</v>
      </c>
      <c r="BE68" s="37" t="n">
        <v>388.93</v>
      </c>
      <c r="BF68" s="37" t="n">
        <v>383.1</v>
      </c>
      <c r="BG68" s="37" t="n">
        <v>317.68</v>
      </c>
      <c r="BH68" s="37" t="n">
        <v>521.26</v>
      </c>
      <c r="BI68" s="37" t="n">
        <v>338.25</v>
      </c>
      <c r="BJ68" s="37" t="n">
        <v>1292.56</v>
      </c>
      <c r="BK68" s="37" t="n">
        <v>414.38</v>
      </c>
      <c r="BL68" s="37" t="n">
        <v>408.13</v>
      </c>
      <c r="BM68" s="37" t="n">
        <v>383.1</v>
      </c>
      <c r="BN68" s="37" t="n">
        <v>311.53</v>
      </c>
      <c r="BO68" s="37" t="n">
        <v>521.26</v>
      </c>
      <c r="BP68" s="37" t="n">
        <v>557.21</v>
      </c>
      <c r="BQ68" s="37" t="n">
        <v>821.98</v>
      </c>
      <c r="BR68" s="37" t="n">
        <v>387.24</v>
      </c>
      <c r="BS68" s="37" t="n">
        <v>388.93</v>
      </c>
      <c r="BT68" s="37" t="n">
        <v>383.1</v>
      </c>
      <c r="BU68" s="37" t="n">
        <v>389.36</v>
      </c>
      <c r="BV68" s="37" t="n">
        <v>417.88</v>
      </c>
      <c r="BW68" s="37" t="n">
        <v>412.9</v>
      </c>
      <c r="BX68" s="37" t="n">
        <v>458.28</v>
      </c>
      <c r="BY68" s="37" t="n">
        <v>387.24</v>
      </c>
      <c r="BZ68" s="37" t="n">
        <v>396.67</v>
      </c>
      <c r="CA68" s="37" t="n">
        <v>390.84</v>
      </c>
      <c r="CB68" s="37" t="n">
        <v>311.53</v>
      </c>
      <c r="CC68" s="37" t="n">
        <v>33178.64</v>
      </c>
    </row>
    <row r="69" ht="15.75" customHeight="1" s="57">
      <c r="A69" s="7" t="inlineStr">
        <is>
          <t>NTB</t>
        </is>
      </c>
      <c r="B69" s="7" t="inlineStr">
        <is>
          <t>Bình Thuận</t>
        </is>
      </c>
      <c r="C69" s="7" t="n">
        <v>21320000</v>
      </c>
      <c r="D69" s="7" t="inlineStr">
        <is>
          <t>(BTH) Phú Thủy</t>
        </is>
      </c>
      <c r="E69" s="7" t="inlineStr">
        <is>
          <t>Shopee-Bulky</t>
        </is>
      </c>
      <c r="F69" s="36" t="n">
        <v>53.32</v>
      </c>
      <c r="G69" s="36" t="n">
        <v>60.65</v>
      </c>
      <c r="H69" s="36" t="n">
        <v>69.31</v>
      </c>
      <c r="I69" s="36" t="n">
        <v>40.65</v>
      </c>
      <c r="J69" s="36" t="n">
        <v>35.32</v>
      </c>
      <c r="K69" s="28" t="n">
        <v>27.33</v>
      </c>
      <c r="L69" s="36" t="n">
        <v>29.32</v>
      </c>
      <c r="M69" s="36" t="n">
        <v>55.98</v>
      </c>
      <c r="N69" s="36" t="n">
        <v>44.65</v>
      </c>
      <c r="O69" s="36" t="n">
        <v>45.99</v>
      </c>
      <c r="P69" s="36" t="n">
        <v>37.99</v>
      </c>
      <c r="Q69" s="36" t="n">
        <v>50.65</v>
      </c>
      <c r="R69" s="28" t="n">
        <v>58.65</v>
      </c>
      <c r="S69" s="36" t="n">
        <v>47.32</v>
      </c>
      <c r="T69" s="36" t="n">
        <v>52.65</v>
      </c>
      <c r="U69" s="36" t="n">
        <v>46.34</v>
      </c>
      <c r="V69" s="36" t="n">
        <v>44.76</v>
      </c>
      <c r="W69" s="36" t="n">
        <v>62.46</v>
      </c>
      <c r="X69" s="36" t="n">
        <v>35.65</v>
      </c>
      <c r="Y69" s="28" t="n">
        <v>68.33</v>
      </c>
      <c r="Z69" s="36" t="n">
        <v>53.88</v>
      </c>
      <c r="AA69" s="36" t="n">
        <v>52.21</v>
      </c>
      <c r="AB69" s="36" t="n">
        <v>53.26</v>
      </c>
      <c r="AC69" s="36" t="n">
        <v>55.01</v>
      </c>
      <c r="AD69" s="36" t="n">
        <v>172.23</v>
      </c>
      <c r="AE69" s="36" t="n">
        <v>89.88</v>
      </c>
      <c r="AF69" s="28" t="n">
        <v>133.77</v>
      </c>
      <c r="AG69" s="36" t="n">
        <v>76.73999999999999</v>
      </c>
      <c r="AH69" s="37" t="n">
        <v>53.44</v>
      </c>
      <c r="AI69" s="37" t="n">
        <v>52.56</v>
      </c>
      <c r="AJ69" s="37" t="n">
        <v>50.2</v>
      </c>
      <c r="AK69" s="37" t="n">
        <v>114.06</v>
      </c>
      <c r="AL69" s="37" t="n">
        <v>58.34</v>
      </c>
      <c r="AM69" s="37" t="n">
        <v>84.54000000000001</v>
      </c>
      <c r="AN69" s="37" t="n">
        <v>52.91</v>
      </c>
      <c r="AO69" s="37" t="n">
        <v>51.16</v>
      </c>
      <c r="AP69" s="37" t="n">
        <v>69.81999999999999</v>
      </c>
      <c r="AQ69" s="37" t="n">
        <v>70.08</v>
      </c>
      <c r="AR69" s="37" t="n">
        <v>56.77</v>
      </c>
      <c r="AS69" s="37" t="n">
        <v>31.45</v>
      </c>
      <c r="AT69" s="37" t="n">
        <v>62.81</v>
      </c>
      <c r="AU69" s="37" t="n">
        <v>102.06</v>
      </c>
      <c r="AV69" s="37" t="n">
        <v>108.01</v>
      </c>
      <c r="AW69" s="37" t="n">
        <v>51.77</v>
      </c>
      <c r="AX69" s="37" t="n">
        <v>48.36</v>
      </c>
      <c r="AY69" s="37" t="n">
        <v>54.58</v>
      </c>
      <c r="AZ69" s="37" t="n">
        <v>30.14</v>
      </c>
      <c r="BA69" s="37" t="n">
        <v>57.64</v>
      </c>
      <c r="BB69" s="37" t="n">
        <v>53.44</v>
      </c>
      <c r="BC69" s="37" t="n">
        <v>17.7</v>
      </c>
      <c r="BD69" s="37" t="n">
        <v>45.29</v>
      </c>
      <c r="BE69" s="37" t="n">
        <v>55.72</v>
      </c>
      <c r="BF69" s="37" t="n">
        <v>48.88</v>
      </c>
      <c r="BG69" s="37" t="n">
        <v>40.65</v>
      </c>
      <c r="BH69" s="37" t="n">
        <v>73.5</v>
      </c>
      <c r="BI69" s="37" t="n">
        <v>62.72</v>
      </c>
      <c r="BJ69" s="37" t="n">
        <v>271.22</v>
      </c>
      <c r="BK69" s="37" t="n">
        <v>132.28</v>
      </c>
      <c r="BL69" s="37" t="n">
        <v>69.29000000000001</v>
      </c>
      <c r="BM69" s="37" t="n">
        <v>51.25</v>
      </c>
      <c r="BN69" s="37" t="n">
        <v>39.33</v>
      </c>
      <c r="BO69" s="37" t="n">
        <v>84.09999999999999</v>
      </c>
      <c r="BP69" s="37" t="n">
        <v>124.05</v>
      </c>
      <c r="BQ69" s="37" t="n">
        <v>88.83</v>
      </c>
      <c r="BR69" s="37" t="n">
        <v>59.13</v>
      </c>
      <c r="BS69" s="37" t="n">
        <v>55.72</v>
      </c>
      <c r="BT69" s="37" t="n">
        <v>48.88</v>
      </c>
      <c r="BU69" s="37" t="n">
        <v>56.85</v>
      </c>
      <c r="BV69" s="37" t="n">
        <v>77.34999999999999</v>
      </c>
      <c r="BW69" s="37" t="n">
        <v>62.72</v>
      </c>
      <c r="BX69" s="37" t="n">
        <v>60.1</v>
      </c>
      <c r="BY69" s="37" t="n">
        <v>59.13</v>
      </c>
      <c r="BZ69" s="37" t="n">
        <v>100.22</v>
      </c>
      <c r="CA69" s="37" t="n">
        <v>58.61</v>
      </c>
      <c r="CB69" s="37" t="n">
        <v>38.98</v>
      </c>
      <c r="CC69" s="37" t="n">
        <v>4850.940000000001</v>
      </c>
    </row>
    <row r="70" ht="15.75" customHeight="1" s="57">
      <c r="A70" s="7" t="inlineStr">
        <is>
          <t>NTB</t>
        </is>
      </c>
      <c r="B70" s="7" t="inlineStr">
        <is>
          <t>Bình Thuận</t>
        </is>
      </c>
      <c r="C70" s="7" t="n">
        <v>21320000</v>
      </c>
      <c r="D70" s="7" t="inlineStr">
        <is>
          <t>(BTH) Phú Thủy</t>
        </is>
      </c>
      <c r="E70" s="7" t="inlineStr">
        <is>
          <t>Shopee-Bulky (10-15kg)</t>
        </is>
      </c>
      <c r="F70" s="36" t="n">
        <v>26.68</v>
      </c>
      <c r="G70" s="36" t="n">
        <v>30.35</v>
      </c>
      <c r="H70" s="36" t="n">
        <v>34.69</v>
      </c>
      <c r="I70" s="36" t="n">
        <v>20.35</v>
      </c>
      <c r="J70" s="36" t="n">
        <v>17.68</v>
      </c>
      <c r="K70" s="28" t="n">
        <v>13.67</v>
      </c>
      <c r="L70" s="36" t="n">
        <v>14.68</v>
      </c>
      <c r="M70" s="36" t="n">
        <v>28.02</v>
      </c>
      <c r="N70" s="36" t="n">
        <v>22.35</v>
      </c>
      <c r="O70" s="36" t="n">
        <v>23.01</v>
      </c>
      <c r="P70" s="36" t="n">
        <v>19.01</v>
      </c>
      <c r="Q70" s="36" t="n">
        <v>25.35</v>
      </c>
      <c r="R70" s="28" t="n">
        <v>29.35</v>
      </c>
      <c r="S70" s="36" t="n">
        <v>23.68</v>
      </c>
      <c r="T70" s="36" t="n">
        <v>26.35</v>
      </c>
      <c r="U70" s="36" t="n">
        <v>23.92</v>
      </c>
      <c r="V70" s="36" t="n">
        <v>23.21</v>
      </c>
      <c r="W70" s="36" t="n">
        <v>31.27</v>
      </c>
      <c r="X70" s="36" t="n">
        <v>16.99</v>
      </c>
      <c r="Y70" s="28" t="n">
        <v>33.81</v>
      </c>
      <c r="Z70" s="36" t="n">
        <v>26.63</v>
      </c>
      <c r="AA70" s="36" t="n">
        <v>25.93</v>
      </c>
      <c r="AB70" s="36" t="n">
        <v>26.37</v>
      </c>
      <c r="AC70" s="36" t="n">
        <v>27.33</v>
      </c>
      <c r="AD70" s="36" t="n">
        <v>111.52</v>
      </c>
      <c r="AE70" s="36" t="n">
        <v>44.68</v>
      </c>
      <c r="AF70" s="28" t="n">
        <v>62.81</v>
      </c>
      <c r="AG70" s="36" t="n">
        <v>38.11</v>
      </c>
      <c r="AH70" s="37" t="n">
        <v>26.28</v>
      </c>
      <c r="AI70" s="37" t="n">
        <v>25.4</v>
      </c>
      <c r="AJ70" s="37" t="n">
        <v>24.88</v>
      </c>
      <c r="AK70" s="37" t="n">
        <v>58.17</v>
      </c>
      <c r="AL70" s="37" t="n">
        <v>28.38</v>
      </c>
      <c r="AM70" s="37" t="n">
        <v>41.26</v>
      </c>
      <c r="AN70" s="37" t="n">
        <v>26.28</v>
      </c>
      <c r="AO70" s="37" t="n">
        <v>25.05</v>
      </c>
      <c r="AP70" s="37" t="n">
        <v>33.9</v>
      </c>
      <c r="AQ70" s="37" t="n">
        <v>33.99</v>
      </c>
      <c r="AR70" s="37" t="n">
        <v>28.21</v>
      </c>
      <c r="AS70" s="37" t="n">
        <v>15.07</v>
      </c>
      <c r="AT70" s="37" t="n">
        <v>30.57</v>
      </c>
      <c r="AU70" s="37" t="n">
        <v>52.3</v>
      </c>
      <c r="AV70" s="37" t="n">
        <v>52.3</v>
      </c>
      <c r="AW70" s="37" t="n">
        <v>25.14</v>
      </c>
      <c r="AX70" s="37" t="n">
        <v>23.65</v>
      </c>
      <c r="AY70" s="37" t="n">
        <v>26.98</v>
      </c>
      <c r="AZ70" s="37" t="n">
        <v>14.45</v>
      </c>
      <c r="BA70" s="37" t="n">
        <v>28.03</v>
      </c>
      <c r="BB70" s="37" t="n">
        <v>26.81</v>
      </c>
      <c r="BC70" s="37" t="n">
        <v>9.289999999999999</v>
      </c>
      <c r="BD70" s="37" t="n">
        <v>22.86</v>
      </c>
      <c r="BE70" s="37" t="n">
        <v>27.68</v>
      </c>
      <c r="BF70" s="37" t="n">
        <v>24.79</v>
      </c>
      <c r="BG70" s="37" t="n">
        <v>19.8</v>
      </c>
      <c r="BH70" s="37" t="n">
        <v>36.36</v>
      </c>
      <c r="BI70" s="37" t="n">
        <v>31.27</v>
      </c>
      <c r="BJ70" s="37" t="n">
        <v>154.44</v>
      </c>
      <c r="BK70" s="37" t="n">
        <v>65.88</v>
      </c>
      <c r="BL70" s="37" t="n">
        <v>33.64</v>
      </c>
      <c r="BM70" s="37" t="n">
        <v>25.76</v>
      </c>
      <c r="BN70" s="37" t="n">
        <v>19.8</v>
      </c>
      <c r="BO70" s="37" t="n">
        <v>43.28</v>
      </c>
      <c r="BP70" s="37" t="n">
        <v>62.11</v>
      </c>
      <c r="BQ70" s="37" t="n">
        <v>45.55</v>
      </c>
      <c r="BR70" s="37" t="n">
        <v>29.35</v>
      </c>
      <c r="BS70" s="37" t="n">
        <v>27.68</v>
      </c>
      <c r="BT70" s="37" t="n">
        <v>24.79</v>
      </c>
      <c r="BU70" s="37" t="n">
        <v>28.03</v>
      </c>
      <c r="BV70" s="37" t="n">
        <v>39.51</v>
      </c>
      <c r="BW70" s="37" t="n">
        <v>31.27</v>
      </c>
      <c r="BX70" s="37" t="n">
        <v>29.87</v>
      </c>
      <c r="BY70" s="37" t="n">
        <v>29.35</v>
      </c>
      <c r="BZ70" s="37" t="n">
        <v>50.37</v>
      </c>
      <c r="CA70" s="37" t="n">
        <v>29.26</v>
      </c>
      <c r="CB70" s="37" t="n">
        <v>18.75</v>
      </c>
      <c r="CC70" s="37" t="n">
        <v>2455.64</v>
      </c>
    </row>
    <row r="71" ht="15.75" customHeight="1" s="57">
      <c r="A71" s="7" t="inlineStr">
        <is>
          <t>NTB</t>
        </is>
      </c>
      <c r="B71" s="7" t="inlineStr">
        <is>
          <t>Bình Thuận</t>
        </is>
      </c>
      <c r="C71" s="7" t="n">
        <v>21320000</v>
      </c>
      <c r="D71" s="7" t="inlineStr">
        <is>
          <t>(BTH) Phú Thủy</t>
        </is>
      </c>
      <c r="E71" s="7" t="inlineStr">
        <is>
          <t>TTS</t>
        </is>
      </c>
      <c r="F71" s="36" t="n">
        <v>241</v>
      </c>
      <c r="G71" s="36" t="n">
        <v>195</v>
      </c>
      <c r="H71" s="36" t="n">
        <v>223</v>
      </c>
      <c r="I71" s="36" t="n">
        <v>250</v>
      </c>
      <c r="J71" s="36" t="n">
        <v>213</v>
      </c>
      <c r="K71" s="28" t="n">
        <v>215</v>
      </c>
      <c r="L71" s="36" t="n">
        <v>151</v>
      </c>
      <c r="M71" s="36" t="n">
        <v>216</v>
      </c>
      <c r="N71" s="36" t="n">
        <v>254</v>
      </c>
      <c r="O71" s="36" t="n">
        <v>213</v>
      </c>
      <c r="P71" s="36" t="n">
        <v>206</v>
      </c>
      <c r="Q71" s="36" t="n">
        <v>160</v>
      </c>
      <c r="R71" s="28" t="n">
        <v>178</v>
      </c>
      <c r="S71" s="36" t="n">
        <v>227</v>
      </c>
      <c r="T71" s="36" t="n">
        <v>240</v>
      </c>
      <c r="U71" s="36" t="n">
        <v>167.39</v>
      </c>
      <c r="V71" s="36" t="n">
        <v>164.22</v>
      </c>
      <c r="W71" s="36" t="n">
        <v>160.35</v>
      </c>
      <c r="X71" s="36" t="n">
        <v>129.07</v>
      </c>
      <c r="Y71" s="28" t="n">
        <v>188.17</v>
      </c>
      <c r="Z71" s="36" t="n">
        <v>160.14</v>
      </c>
      <c r="AA71" s="36" t="n">
        <v>177.24</v>
      </c>
      <c r="AB71" s="36" t="n">
        <v>197.78</v>
      </c>
      <c r="AC71" s="36" t="n">
        <v>208.05</v>
      </c>
      <c r="AD71" s="36" t="n">
        <v>213.98</v>
      </c>
      <c r="AE71" s="36" t="n">
        <v>150.04</v>
      </c>
      <c r="AF71" s="28" t="n">
        <v>194.44</v>
      </c>
      <c r="AG71" s="36" t="n">
        <v>163.09</v>
      </c>
      <c r="AH71" s="37" t="n">
        <v>161.54</v>
      </c>
      <c r="AI71" s="37" t="n">
        <v>184.98</v>
      </c>
      <c r="AJ71" s="37" t="n">
        <v>199.12</v>
      </c>
      <c r="AK71" s="37" t="n">
        <v>195.6</v>
      </c>
      <c r="AL71" s="37" t="n">
        <v>138.92</v>
      </c>
      <c r="AM71" s="37" t="n">
        <v>191.41</v>
      </c>
      <c r="AN71" s="37" t="n">
        <v>165.17</v>
      </c>
      <c r="AO71" s="37" t="n">
        <v>164.09</v>
      </c>
      <c r="AP71" s="37" t="n">
        <v>159.36</v>
      </c>
      <c r="AQ71" s="37" t="n">
        <v>161.19</v>
      </c>
      <c r="AR71" s="37" t="n">
        <v>158.03</v>
      </c>
      <c r="AS71" s="37" t="n">
        <v>129.35</v>
      </c>
      <c r="AT71" s="37" t="n">
        <v>206.9</v>
      </c>
      <c r="AU71" s="37" t="n">
        <v>187.37</v>
      </c>
      <c r="AV71" s="37" t="n">
        <v>166.27</v>
      </c>
      <c r="AW71" s="37" t="n">
        <v>157.6</v>
      </c>
      <c r="AX71" s="37" t="n">
        <v>156.55</v>
      </c>
      <c r="AY71" s="37" t="n">
        <v>156.06</v>
      </c>
      <c r="AZ71" s="37" t="n">
        <v>129.49</v>
      </c>
      <c r="BA71" s="37" t="n">
        <v>186.63</v>
      </c>
      <c r="BB71" s="37" t="n">
        <v>174.22</v>
      </c>
      <c r="BC71" s="37" t="n">
        <v>103.87</v>
      </c>
      <c r="BD71" s="37" t="n">
        <v>150.36</v>
      </c>
      <c r="BE71" s="37" t="n">
        <v>177.59</v>
      </c>
      <c r="BF71" s="37" t="n">
        <v>172.11</v>
      </c>
      <c r="BG71" s="37" t="n">
        <v>139.2</v>
      </c>
      <c r="BH71" s="37" t="n">
        <v>206.76</v>
      </c>
      <c r="BI71" s="37" t="n">
        <v>174.22</v>
      </c>
      <c r="BJ71" s="37" t="n">
        <v>162.51</v>
      </c>
      <c r="BK71" s="37" t="n">
        <v>177.24</v>
      </c>
      <c r="BL71" s="37" t="n">
        <v>177.59</v>
      </c>
      <c r="BM71" s="37" t="n">
        <v>172.11</v>
      </c>
      <c r="BN71" s="37" t="n">
        <v>139.2</v>
      </c>
      <c r="BO71" s="37" t="n">
        <v>206.76</v>
      </c>
      <c r="BP71" s="37" t="n">
        <v>174.22</v>
      </c>
      <c r="BQ71" s="37" t="n">
        <v>172.32</v>
      </c>
      <c r="BR71" s="37" t="n">
        <v>177.24</v>
      </c>
      <c r="BS71" s="37" t="n">
        <v>177.59</v>
      </c>
      <c r="BT71" s="37" t="n">
        <v>172.11</v>
      </c>
      <c r="BU71" s="37" t="n">
        <v>139.2</v>
      </c>
      <c r="BV71" s="37" t="n">
        <v>206.76</v>
      </c>
      <c r="BW71" s="37" t="n">
        <v>174.22</v>
      </c>
      <c r="BX71" s="37" t="n">
        <v>172.32</v>
      </c>
      <c r="BY71" s="37" t="n">
        <v>177.24</v>
      </c>
      <c r="BZ71" s="37" t="n">
        <v>177.59</v>
      </c>
      <c r="CA71" s="37" t="n">
        <v>172.11</v>
      </c>
      <c r="CB71" s="37" t="n">
        <v>139.2</v>
      </c>
      <c r="CC71" s="37" t="n">
        <v>13377.45</v>
      </c>
    </row>
    <row r="72" ht="15.75" customHeight="1" s="57">
      <c r="A72" s="7" t="inlineStr">
        <is>
          <t>NTB</t>
        </is>
      </c>
      <c r="B72" s="7" t="inlineStr">
        <is>
          <t>Bình Thuận</t>
        </is>
      </c>
      <c r="C72" s="7" t="n">
        <v>21320000</v>
      </c>
      <c r="D72" s="7" t="inlineStr">
        <is>
          <t>(BTH) Phú Thủy</t>
        </is>
      </c>
      <c r="E72" s="7" t="inlineStr">
        <is>
          <t>TTS-Bulky</t>
        </is>
      </c>
      <c r="F72" s="36" t="n">
        <v>2</v>
      </c>
      <c r="G72" s="36" t="n">
        <v>3</v>
      </c>
      <c r="H72" s="36" t="n">
        <v>1</v>
      </c>
      <c r="I72" s="36" t="n">
        <v>3</v>
      </c>
      <c r="J72" s="36" t="n">
        <v>2</v>
      </c>
      <c r="K72" s="28" t="n">
        <v>1</v>
      </c>
      <c r="L72" s="36" t="n">
        <v>1</v>
      </c>
      <c r="M72" s="36" t="n">
        <v>0</v>
      </c>
      <c r="N72" s="36" t="n">
        <v>1</v>
      </c>
      <c r="O72" s="36" t="n">
        <v>2</v>
      </c>
      <c r="P72" s="36" t="n">
        <v>0</v>
      </c>
      <c r="Q72" s="36" t="n">
        <v>1</v>
      </c>
      <c r="R72" s="28" t="n">
        <v>1</v>
      </c>
      <c r="S72" s="36" t="n">
        <v>1</v>
      </c>
      <c r="T72" s="36" t="n">
        <v>2</v>
      </c>
      <c r="U72" s="36" t="n">
        <v>4.96</v>
      </c>
      <c r="V72" s="36" t="n">
        <v>5.16</v>
      </c>
      <c r="W72" s="36" t="n">
        <v>2.54</v>
      </c>
      <c r="X72" s="36" t="n">
        <v>1.45</v>
      </c>
      <c r="Y72" s="28" t="n">
        <v>3.51</v>
      </c>
      <c r="Z72" s="36" t="n">
        <v>2.66</v>
      </c>
      <c r="AA72" s="36" t="n">
        <v>2.5</v>
      </c>
      <c r="AB72" s="36" t="n">
        <v>2.66</v>
      </c>
      <c r="AC72" s="36" t="n">
        <v>2.98</v>
      </c>
      <c r="AD72" s="36" t="n">
        <v>3.22</v>
      </c>
      <c r="AE72" s="36" t="n">
        <v>1.65</v>
      </c>
      <c r="AF72" s="28" t="n">
        <v>3.26</v>
      </c>
      <c r="AG72" s="36" t="n">
        <v>2.46</v>
      </c>
      <c r="AH72" s="37" t="n">
        <v>2.38</v>
      </c>
      <c r="AI72" s="37" t="n">
        <v>2.78</v>
      </c>
      <c r="AJ72" s="37" t="n">
        <v>2.82</v>
      </c>
      <c r="AK72" s="37" t="n">
        <v>2.74</v>
      </c>
      <c r="AL72" s="37" t="n">
        <v>1.45</v>
      </c>
      <c r="AM72" s="37" t="n">
        <v>3.26</v>
      </c>
      <c r="AN72" s="37" t="n">
        <v>2.42</v>
      </c>
      <c r="AO72" s="37" t="n">
        <v>2.46</v>
      </c>
      <c r="AP72" s="37" t="n">
        <v>2.46</v>
      </c>
      <c r="AQ72" s="37" t="n">
        <v>2.58</v>
      </c>
      <c r="AR72" s="37" t="n">
        <v>2.5</v>
      </c>
      <c r="AS72" s="37" t="n">
        <v>1.45</v>
      </c>
      <c r="AT72" s="37" t="n">
        <v>3.51</v>
      </c>
      <c r="AU72" s="37" t="n">
        <v>2.74</v>
      </c>
      <c r="AV72" s="37" t="n">
        <v>2.38</v>
      </c>
      <c r="AW72" s="37" t="n">
        <v>2.42</v>
      </c>
      <c r="AX72" s="37" t="n">
        <v>2.54</v>
      </c>
      <c r="AY72" s="37" t="n">
        <v>2.5</v>
      </c>
      <c r="AZ72" s="37" t="n">
        <v>1.45</v>
      </c>
      <c r="BA72" s="37" t="n">
        <v>2.9</v>
      </c>
      <c r="BB72" s="37" t="n">
        <v>0.6899999999999999</v>
      </c>
      <c r="BC72" s="37" t="n">
        <v>0.32</v>
      </c>
      <c r="BD72" s="37" t="n">
        <v>0.5600000000000001</v>
      </c>
      <c r="BE72" s="37" t="n">
        <v>0.6899999999999999</v>
      </c>
      <c r="BF72" s="37" t="n">
        <v>0.6899999999999999</v>
      </c>
      <c r="BG72" s="37" t="n">
        <v>0.4</v>
      </c>
      <c r="BH72" s="37" t="n">
        <v>1.05</v>
      </c>
      <c r="BI72" s="37" t="n">
        <v>0.6899999999999999</v>
      </c>
      <c r="BJ72" s="37" t="n">
        <v>0.77</v>
      </c>
      <c r="BK72" s="37" t="n">
        <v>0.6899999999999999</v>
      </c>
      <c r="BL72" s="37" t="n">
        <v>0.6899999999999999</v>
      </c>
      <c r="BM72" s="37" t="n">
        <v>0.6899999999999999</v>
      </c>
      <c r="BN72" s="37" t="n">
        <v>0.44</v>
      </c>
      <c r="BO72" s="37" t="n">
        <v>1.09</v>
      </c>
      <c r="BP72" s="37" t="n">
        <v>0.89</v>
      </c>
      <c r="BQ72" s="37" t="n">
        <v>0.6899999999999999</v>
      </c>
      <c r="BR72" s="37" t="n">
        <v>0.6899999999999999</v>
      </c>
      <c r="BS72" s="37" t="n">
        <v>0.6899999999999999</v>
      </c>
      <c r="BT72" s="37" t="n">
        <v>0.6899999999999999</v>
      </c>
      <c r="BU72" s="37" t="n">
        <v>0.36</v>
      </c>
      <c r="BV72" s="37" t="n">
        <v>0.89</v>
      </c>
      <c r="BW72" s="37" t="n">
        <v>0.6899999999999999</v>
      </c>
      <c r="BX72" s="37" t="n">
        <v>0.6899999999999999</v>
      </c>
      <c r="BY72" s="37" t="n">
        <v>0.6899999999999999</v>
      </c>
      <c r="BZ72" s="37" t="n">
        <v>0.6899999999999999</v>
      </c>
      <c r="CA72" s="37" t="n">
        <v>0.6899999999999999</v>
      </c>
      <c r="CB72" s="37" t="n">
        <v>0.36</v>
      </c>
      <c r="CC72" s="37" t="n">
        <v>127.9199999999999</v>
      </c>
    </row>
    <row r="73" ht="15.75" customHeight="1" s="57">
      <c r="A73" s="7" t="inlineStr">
        <is>
          <t>NTB</t>
        </is>
      </c>
      <c r="B73" s="7" t="inlineStr">
        <is>
          <t>Bình Thuận</t>
        </is>
      </c>
      <c r="C73" s="7" t="n">
        <v>21396000</v>
      </c>
      <c r="D73" s="7" t="inlineStr">
        <is>
          <t>(BTH) Hàm Thắng</t>
        </is>
      </c>
      <c r="E73" s="7" t="inlineStr">
        <is>
          <t>SME</t>
        </is>
      </c>
      <c r="F73" s="36" t="n">
        <v>424</v>
      </c>
      <c r="G73" s="36" t="n">
        <v>368</v>
      </c>
      <c r="H73" s="36" t="n">
        <v>414</v>
      </c>
      <c r="I73" s="36" t="n">
        <v>364</v>
      </c>
      <c r="J73" s="36" t="n">
        <v>473</v>
      </c>
      <c r="K73" s="28" t="n">
        <v>337</v>
      </c>
      <c r="L73" s="36" t="n">
        <v>323</v>
      </c>
      <c r="M73" s="36" t="n">
        <v>295</v>
      </c>
      <c r="N73" s="36" t="n">
        <v>367</v>
      </c>
      <c r="O73" s="36" t="n">
        <v>348</v>
      </c>
      <c r="P73" s="36" t="n">
        <v>284</v>
      </c>
      <c r="Q73" s="36" t="n">
        <v>339</v>
      </c>
      <c r="R73" s="28" t="n">
        <v>321</v>
      </c>
      <c r="S73" s="36" t="n">
        <v>366</v>
      </c>
      <c r="T73" s="36" t="n">
        <v>311</v>
      </c>
      <c r="U73" s="36" t="n">
        <v>401.44</v>
      </c>
      <c r="V73" s="36" t="n">
        <v>415.5700000000001</v>
      </c>
      <c r="W73" s="36" t="n">
        <v>404.08</v>
      </c>
      <c r="X73" s="36" t="n">
        <v>330.71</v>
      </c>
      <c r="Y73" s="28" t="n">
        <v>448.09</v>
      </c>
      <c r="Z73" s="36" t="n">
        <v>412.42</v>
      </c>
      <c r="AA73" s="36" t="n">
        <v>402.67</v>
      </c>
      <c r="AB73" s="36" t="n">
        <v>401.44</v>
      </c>
      <c r="AC73" s="36" t="n">
        <v>415.5700000000001</v>
      </c>
      <c r="AD73" s="36" t="n">
        <v>424.1</v>
      </c>
      <c r="AE73" s="36" t="n">
        <v>330.71</v>
      </c>
      <c r="AF73" s="28" t="n">
        <v>448.09</v>
      </c>
      <c r="AG73" s="36" t="n">
        <v>412.42</v>
      </c>
      <c r="AH73" s="37" t="n">
        <v>402.67</v>
      </c>
      <c r="AI73" s="37" t="n">
        <v>401.44</v>
      </c>
      <c r="AJ73" s="37" t="n">
        <v>415.5700000000001</v>
      </c>
      <c r="AK73" s="37" t="n">
        <v>404.08</v>
      </c>
      <c r="AL73" s="37" t="n">
        <v>330.71</v>
      </c>
      <c r="AM73" s="37" t="n">
        <v>448.09</v>
      </c>
      <c r="AN73" s="37" t="n">
        <v>412.42</v>
      </c>
      <c r="AO73" s="37" t="n">
        <v>402.67</v>
      </c>
      <c r="AP73" s="37" t="n">
        <v>401.44</v>
      </c>
      <c r="AQ73" s="37" t="n">
        <v>415.5700000000001</v>
      </c>
      <c r="AR73" s="37" t="n">
        <v>404.08</v>
      </c>
      <c r="AS73" s="37" t="n">
        <v>330.71</v>
      </c>
      <c r="AT73" s="37" t="n">
        <v>448.09</v>
      </c>
      <c r="AU73" s="37" t="n">
        <v>412.42</v>
      </c>
      <c r="AV73" s="37" t="n">
        <v>402.67</v>
      </c>
      <c r="AW73" s="37" t="n">
        <v>401.44</v>
      </c>
      <c r="AX73" s="37" t="n">
        <v>415.5700000000001</v>
      </c>
      <c r="AY73" s="37" t="n">
        <v>404.08</v>
      </c>
      <c r="AZ73" s="37" t="n">
        <v>330.71</v>
      </c>
      <c r="BA73" s="37" t="n">
        <v>403.17</v>
      </c>
      <c r="BB73" s="37" t="n">
        <v>360.72</v>
      </c>
      <c r="BC73" s="37" t="n">
        <v>228.5</v>
      </c>
      <c r="BD73" s="37" t="n">
        <v>227.69</v>
      </c>
      <c r="BE73" s="37" t="n">
        <v>384.65</v>
      </c>
      <c r="BF73" s="37" t="n">
        <v>374.37</v>
      </c>
      <c r="BG73" s="37" t="n">
        <v>340.98</v>
      </c>
      <c r="BH73" s="37" t="n">
        <v>462.1</v>
      </c>
      <c r="BI73" s="37" t="n">
        <v>425.27</v>
      </c>
      <c r="BJ73" s="37" t="n">
        <v>435.2</v>
      </c>
      <c r="BK73" s="37" t="n">
        <v>413.62</v>
      </c>
      <c r="BL73" s="37" t="n">
        <v>428.58</v>
      </c>
      <c r="BM73" s="37" t="n">
        <v>416.26</v>
      </c>
      <c r="BN73" s="37" t="n">
        <v>340.98</v>
      </c>
      <c r="BO73" s="37" t="n">
        <v>462.1</v>
      </c>
      <c r="BP73" s="37" t="n">
        <v>425.27</v>
      </c>
      <c r="BQ73" s="37" t="n">
        <v>414.9299999999999</v>
      </c>
      <c r="BR73" s="37" t="n">
        <v>413.62</v>
      </c>
      <c r="BS73" s="37" t="n">
        <v>428.58</v>
      </c>
      <c r="BT73" s="37" t="n">
        <v>416.26</v>
      </c>
      <c r="BU73" s="37" t="n">
        <v>340.98</v>
      </c>
      <c r="BV73" s="37" t="n">
        <v>462.1</v>
      </c>
      <c r="BW73" s="37" t="n">
        <v>425.27</v>
      </c>
      <c r="BX73" s="37" t="n">
        <v>414.9299999999999</v>
      </c>
      <c r="BY73" s="37" t="n">
        <v>413.62</v>
      </c>
      <c r="BZ73" s="37" t="n">
        <v>428.58</v>
      </c>
      <c r="CA73" s="37" t="n">
        <v>416.26</v>
      </c>
      <c r="CB73" s="37" t="n">
        <v>340.98</v>
      </c>
      <c r="CC73" s="37" t="n">
        <v>29211.30999999999</v>
      </c>
    </row>
    <row r="74" ht="15.75" customHeight="1" s="57">
      <c r="A74" s="7" t="inlineStr">
        <is>
          <t>NTB</t>
        </is>
      </c>
      <c r="B74" s="7" t="inlineStr">
        <is>
          <t>Bình Thuận</t>
        </is>
      </c>
      <c r="C74" s="7" t="n">
        <v>21396000</v>
      </c>
      <c r="D74" s="7" t="inlineStr">
        <is>
          <t>(BTH) Hàm Thắng</t>
        </is>
      </c>
      <c r="E74" s="7" t="inlineStr">
        <is>
          <t>SME-Bulky</t>
        </is>
      </c>
      <c r="F74" s="36" t="n">
        <v>15</v>
      </c>
      <c r="G74" s="36" t="n">
        <v>16</v>
      </c>
      <c r="H74" s="36" t="n">
        <v>18</v>
      </c>
      <c r="I74" s="36" t="n">
        <v>22</v>
      </c>
      <c r="J74" s="36" t="n">
        <v>20</v>
      </c>
      <c r="K74" s="28" t="n">
        <v>28</v>
      </c>
      <c r="L74" s="36" t="n">
        <v>16</v>
      </c>
      <c r="M74" s="36" t="n">
        <v>13</v>
      </c>
      <c r="N74" s="36" t="n">
        <v>31</v>
      </c>
      <c r="O74" s="36" t="n">
        <v>22</v>
      </c>
      <c r="P74" s="36" t="n">
        <v>20</v>
      </c>
      <c r="Q74" s="36" t="n">
        <v>24</v>
      </c>
      <c r="R74" s="28" t="n">
        <v>20</v>
      </c>
      <c r="S74" s="36" t="n">
        <v>14</v>
      </c>
      <c r="T74" s="36" t="n">
        <v>17</v>
      </c>
      <c r="U74" s="36" t="n">
        <v>22.09</v>
      </c>
      <c r="V74" s="36" t="n">
        <v>22.17</v>
      </c>
      <c r="W74" s="36" t="n">
        <v>20.56</v>
      </c>
      <c r="X74" s="36" t="n">
        <v>14.45</v>
      </c>
      <c r="Y74" s="28" t="n">
        <v>24.69</v>
      </c>
      <c r="Z74" s="36" t="n">
        <v>24</v>
      </c>
      <c r="AA74" s="36" t="n">
        <v>23.39</v>
      </c>
      <c r="AB74" s="36" t="n">
        <v>22.09</v>
      </c>
      <c r="AC74" s="36" t="n">
        <v>22.17</v>
      </c>
      <c r="AD74" s="36" t="n">
        <v>23.47</v>
      </c>
      <c r="AE74" s="36" t="n">
        <v>14.45</v>
      </c>
      <c r="AF74" s="28" t="n">
        <v>24.69</v>
      </c>
      <c r="AG74" s="36" t="n">
        <v>24</v>
      </c>
      <c r="AH74" s="37" t="n">
        <v>23.39</v>
      </c>
      <c r="AI74" s="37" t="n">
        <v>22.09</v>
      </c>
      <c r="AJ74" s="37" t="n">
        <v>22.17</v>
      </c>
      <c r="AK74" s="37" t="n">
        <v>20.56</v>
      </c>
      <c r="AL74" s="37" t="n">
        <v>14.45</v>
      </c>
      <c r="AM74" s="37" t="n">
        <v>24.69</v>
      </c>
      <c r="AN74" s="37" t="n">
        <v>24</v>
      </c>
      <c r="AO74" s="37" t="n">
        <v>23.39</v>
      </c>
      <c r="AP74" s="37" t="n">
        <v>22.09</v>
      </c>
      <c r="AQ74" s="37" t="n">
        <v>22.17</v>
      </c>
      <c r="AR74" s="37" t="n">
        <v>20.56</v>
      </c>
      <c r="AS74" s="37" t="n">
        <v>14.45</v>
      </c>
      <c r="AT74" s="37" t="n">
        <v>24.69</v>
      </c>
      <c r="AU74" s="37" t="n">
        <v>24</v>
      </c>
      <c r="AV74" s="37" t="n">
        <v>23.39</v>
      </c>
      <c r="AW74" s="37" t="n">
        <v>22.09</v>
      </c>
      <c r="AX74" s="37" t="n">
        <v>22.17</v>
      </c>
      <c r="AY74" s="37" t="n">
        <v>20.56</v>
      </c>
      <c r="AZ74" s="37" t="n">
        <v>14.45</v>
      </c>
      <c r="BA74" s="37" t="n">
        <v>24.77</v>
      </c>
      <c r="BB74" s="37" t="n">
        <v>13</v>
      </c>
      <c r="BC74" s="37" t="n">
        <v>6.96</v>
      </c>
      <c r="BD74" s="37" t="n">
        <v>6.27</v>
      </c>
      <c r="BE74" s="37" t="n">
        <v>11.31</v>
      </c>
      <c r="BF74" s="37" t="n">
        <v>10.86</v>
      </c>
      <c r="BG74" s="37" t="n">
        <v>8.49</v>
      </c>
      <c r="BH74" s="37" t="n">
        <v>14.37</v>
      </c>
      <c r="BI74" s="37" t="n">
        <v>14.37</v>
      </c>
      <c r="BJ74" s="37" t="n">
        <v>14.83</v>
      </c>
      <c r="BK74" s="37" t="n">
        <v>13.07</v>
      </c>
      <c r="BL74" s="37" t="n">
        <v>13.23</v>
      </c>
      <c r="BM74" s="37" t="n">
        <v>12.23</v>
      </c>
      <c r="BN74" s="37" t="n">
        <v>8.49</v>
      </c>
      <c r="BO74" s="37" t="n">
        <v>14.37</v>
      </c>
      <c r="BP74" s="37" t="n">
        <v>14.37</v>
      </c>
      <c r="BQ74" s="37" t="n">
        <v>13.53</v>
      </c>
      <c r="BR74" s="37" t="n">
        <v>13.07</v>
      </c>
      <c r="BS74" s="37" t="n">
        <v>13.23</v>
      </c>
      <c r="BT74" s="37" t="n">
        <v>12.23</v>
      </c>
      <c r="BU74" s="37" t="n">
        <v>8.49</v>
      </c>
      <c r="BV74" s="37" t="n">
        <v>14.37</v>
      </c>
      <c r="BW74" s="37" t="n">
        <v>14.37</v>
      </c>
      <c r="BX74" s="37" t="n">
        <v>13.53</v>
      </c>
      <c r="BY74" s="37" t="n">
        <v>13.07</v>
      </c>
      <c r="BZ74" s="37" t="n">
        <v>13.23</v>
      </c>
      <c r="CA74" s="37" t="n">
        <v>12.23</v>
      </c>
      <c r="CB74" s="37" t="n">
        <v>8.49</v>
      </c>
      <c r="CC74" s="37" t="n">
        <v>1334.409999999999</v>
      </c>
    </row>
    <row r="75" ht="15.75" customHeight="1" s="57">
      <c r="A75" s="7" t="inlineStr">
        <is>
          <t>NTB</t>
        </is>
      </c>
      <c r="B75" s="7" t="inlineStr">
        <is>
          <t>Bình Thuận</t>
        </is>
      </c>
      <c r="C75" s="7" t="n">
        <v>21396000</v>
      </c>
      <c r="D75" s="7" t="inlineStr">
        <is>
          <t>(BTH) Hàm Thắng</t>
        </is>
      </c>
      <c r="E75" s="7" t="inlineStr">
        <is>
          <t>Shopee</t>
        </is>
      </c>
      <c r="F75" s="36" t="n">
        <v>407</v>
      </c>
      <c r="G75" s="36" t="n">
        <v>336</v>
      </c>
      <c r="H75" s="36" t="n">
        <v>512</v>
      </c>
      <c r="I75" s="36" t="n">
        <v>332</v>
      </c>
      <c r="J75" s="36" t="n">
        <v>292</v>
      </c>
      <c r="K75" s="28" t="n">
        <v>206</v>
      </c>
      <c r="L75" s="36" t="n">
        <v>330</v>
      </c>
      <c r="M75" s="36" t="n">
        <v>367</v>
      </c>
      <c r="N75" s="36" t="n">
        <v>408</v>
      </c>
      <c r="O75" s="36" t="n">
        <v>311</v>
      </c>
      <c r="P75" s="36" t="n">
        <v>278</v>
      </c>
      <c r="Q75" s="36" t="n">
        <v>307</v>
      </c>
      <c r="R75" s="28" t="n">
        <v>246</v>
      </c>
      <c r="S75" s="36" t="n">
        <v>338</v>
      </c>
      <c r="T75" s="36" t="n">
        <v>328</v>
      </c>
      <c r="U75" s="36" t="n">
        <v>334.07</v>
      </c>
      <c r="V75" s="36" t="n">
        <v>335.47</v>
      </c>
      <c r="W75" s="36" t="n">
        <v>330.5</v>
      </c>
      <c r="X75" s="36" t="n">
        <v>268.88</v>
      </c>
      <c r="Y75" s="28" t="n">
        <v>450.17</v>
      </c>
      <c r="Z75" s="36" t="n">
        <v>356.21</v>
      </c>
      <c r="AA75" s="36" t="n">
        <v>489.74</v>
      </c>
      <c r="AB75" s="36" t="n">
        <v>340.96</v>
      </c>
      <c r="AC75" s="36" t="n">
        <v>275.42</v>
      </c>
      <c r="AD75" s="36" t="n">
        <v>748.51</v>
      </c>
      <c r="AE75" s="36" t="n">
        <v>287.79</v>
      </c>
      <c r="AF75" s="28" t="n">
        <v>513.01</v>
      </c>
      <c r="AG75" s="36" t="n">
        <v>374.08</v>
      </c>
      <c r="AH75" s="37" t="n">
        <v>395.26</v>
      </c>
      <c r="AI75" s="37" t="n">
        <v>334.07</v>
      </c>
      <c r="AJ75" s="37" t="n">
        <v>335.47</v>
      </c>
      <c r="AK75" s="37" t="n">
        <v>445.98</v>
      </c>
      <c r="AL75" s="37" t="n">
        <v>482.59</v>
      </c>
      <c r="AM75" s="37" t="n">
        <v>450.17</v>
      </c>
      <c r="AN75" s="37" t="n">
        <v>356.21</v>
      </c>
      <c r="AO75" s="37" t="n">
        <v>395.26</v>
      </c>
      <c r="AP75" s="37" t="n">
        <v>417.14</v>
      </c>
      <c r="AQ75" s="37" t="n">
        <v>269.14</v>
      </c>
      <c r="AR75" s="37" t="n">
        <v>330.5</v>
      </c>
      <c r="AS75" s="37" t="n">
        <v>268.88</v>
      </c>
      <c r="AT75" s="37" t="n">
        <v>450.17</v>
      </c>
      <c r="AU75" s="37" t="n">
        <v>363.53</v>
      </c>
      <c r="AV75" s="37" t="n">
        <v>402.75</v>
      </c>
      <c r="AW75" s="37" t="n">
        <v>334.07</v>
      </c>
      <c r="AX75" s="37" t="n">
        <v>335.47</v>
      </c>
      <c r="AY75" s="37" t="n">
        <v>330.5</v>
      </c>
      <c r="AZ75" s="37" t="n">
        <v>268.88</v>
      </c>
      <c r="BA75" s="37" t="n">
        <v>346.97</v>
      </c>
      <c r="BB75" s="37" t="n">
        <v>302.35</v>
      </c>
      <c r="BC75" s="37" t="n">
        <v>154.18</v>
      </c>
      <c r="BD75" s="37" t="n">
        <v>273.33</v>
      </c>
      <c r="BE75" s="37" t="n">
        <v>319.69</v>
      </c>
      <c r="BF75" s="37" t="n">
        <v>314.9</v>
      </c>
      <c r="BG75" s="37" t="n">
        <v>261.12</v>
      </c>
      <c r="BH75" s="37" t="n">
        <v>428.47</v>
      </c>
      <c r="BI75" s="37" t="n">
        <v>278.03</v>
      </c>
      <c r="BJ75" s="37" t="n">
        <v>1062.45</v>
      </c>
      <c r="BK75" s="37" t="n">
        <v>340.61</v>
      </c>
      <c r="BL75" s="37" t="n">
        <v>335.47</v>
      </c>
      <c r="BM75" s="37" t="n">
        <v>314.9</v>
      </c>
      <c r="BN75" s="37" t="n">
        <v>256.07</v>
      </c>
      <c r="BO75" s="37" t="n">
        <v>428.47</v>
      </c>
      <c r="BP75" s="37" t="n">
        <v>458.01</v>
      </c>
      <c r="BQ75" s="37" t="n">
        <v>675.64</v>
      </c>
      <c r="BR75" s="37" t="n">
        <v>318.3</v>
      </c>
      <c r="BS75" s="37" t="n">
        <v>319.69</v>
      </c>
      <c r="BT75" s="37" t="n">
        <v>314.9</v>
      </c>
      <c r="BU75" s="37" t="n">
        <v>320.04</v>
      </c>
      <c r="BV75" s="37" t="n">
        <v>343.49</v>
      </c>
      <c r="BW75" s="37" t="n">
        <v>339.39</v>
      </c>
      <c r="BX75" s="37" t="n">
        <v>376.69</v>
      </c>
      <c r="BY75" s="37" t="n">
        <v>318.3</v>
      </c>
      <c r="BZ75" s="37" t="n">
        <v>326.06</v>
      </c>
      <c r="CA75" s="37" t="n">
        <v>321.26</v>
      </c>
      <c r="CB75" s="37" t="n">
        <v>256.07</v>
      </c>
      <c r="CC75" s="37" t="n">
        <v>27173.7</v>
      </c>
    </row>
    <row r="76" ht="15.75" customHeight="1" s="57">
      <c r="A76" s="7" t="inlineStr">
        <is>
          <t>NTB</t>
        </is>
      </c>
      <c r="B76" s="7" t="inlineStr">
        <is>
          <t>Bình Thuận</t>
        </is>
      </c>
      <c r="C76" s="7" t="n">
        <v>21396000</v>
      </c>
      <c r="D76" s="7" t="inlineStr">
        <is>
          <t>(BTH) Hàm Thắng</t>
        </is>
      </c>
      <c r="E76" s="7" t="inlineStr">
        <is>
          <t>Shopee-Bulky</t>
        </is>
      </c>
      <c r="F76" s="36" t="n">
        <v>33.32</v>
      </c>
      <c r="G76" s="36" t="n">
        <v>35.99</v>
      </c>
      <c r="H76" s="36" t="n">
        <v>36.66</v>
      </c>
      <c r="I76" s="36" t="n">
        <v>45.99</v>
      </c>
      <c r="J76" s="36" t="n">
        <v>27.33</v>
      </c>
      <c r="K76" s="28" t="n">
        <v>12.66</v>
      </c>
      <c r="L76" s="36" t="n">
        <v>21.99</v>
      </c>
      <c r="M76" s="36" t="n">
        <v>39.99</v>
      </c>
      <c r="N76" s="36" t="n">
        <v>24.66</v>
      </c>
      <c r="O76" s="36" t="n">
        <v>21.99</v>
      </c>
      <c r="P76" s="36" t="n">
        <v>17.33</v>
      </c>
      <c r="Q76" s="36" t="n">
        <v>25.33</v>
      </c>
      <c r="R76" s="28" t="n">
        <v>39.32</v>
      </c>
      <c r="S76" s="36" t="n">
        <v>24.66</v>
      </c>
      <c r="T76" s="36" t="n">
        <v>41.32</v>
      </c>
      <c r="U76" s="36" t="n">
        <v>26.82</v>
      </c>
      <c r="V76" s="36" t="n">
        <v>25.91</v>
      </c>
      <c r="W76" s="36" t="n">
        <v>36.15</v>
      </c>
      <c r="X76" s="36" t="n">
        <v>20.64</v>
      </c>
      <c r="Y76" s="28" t="n">
        <v>39.55</v>
      </c>
      <c r="Z76" s="36" t="n">
        <v>31.19</v>
      </c>
      <c r="AA76" s="36" t="n">
        <v>30.22</v>
      </c>
      <c r="AB76" s="36" t="n">
        <v>30.83</v>
      </c>
      <c r="AC76" s="36" t="n">
        <v>31.84</v>
      </c>
      <c r="AD76" s="36" t="n">
        <v>99.69</v>
      </c>
      <c r="AE76" s="36" t="n">
        <v>52.03</v>
      </c>
      <c r="AF76" s="28" t="n">
        <v>77.43000000000001</v>
      </c>
      <c r="AG76" s="36" t="n">
        <v>44.42</v>
      </c>
      <c r="AH76" s="37" t="n">
        <v>30.93</v>
      </c>
      <c r="AI76" s="37" t="n">
        <v>30.42</v>
      </c>
      <c r="AJ76" s="37" t="n">
        <v>29.06</v>
      </c>
      <c r="AK76" s="37" t="n">
        <v>66.02</v>
      </c>
      <c r="AL76" s="37" t="n">
        <v>33.77</v>
      </c>
      <c r="AM76" s="37" t="n">
        <v>48.93</v>
      </c>
      <c r="AN76" s="37" t="n">
        <v>30.63</v>
      </c>
      <c r="AO76" s="37" t="n">
        <v>29.61</v>
      </c>
      <c r="AP76" s="37" t="n">
        <v>40.41</v>
      </c>
      <c r="AQ76" s="37" t="n">
        <v>40.57</v>
      </c>
      <c r="AR76" s="37" t="n">
        <v>32.86</v>
      </c>
      <c r="AS76" s="37" t="n">
        <v>18.2</v>
      </c>
      <c r="AT76" s="37" t="n">
        <v>36.36</v>
      </c>
      <c r="AU76" s="37" t="n">
        <v>59.08</v>
      </c>
      <c r="AV76" s="37" t="n">
        <v>62.52</v>
      </c>
      <c r="AW76" s="37" t="n">
        <v>29.97</v>
      </c>
      <c r="AX76" s="37" t="n">
        <v>27.99</v>
      </c>
      <c r="AY76" s="37" t="n">
        <v>31.59</v>
      </c>
      <c r="AZ76" s="37" t="n">
        <v>17.44</v>
      </c>
      <c r="BA76" s="37" t="n">
        <v>33.37</v>
      </c>
      <c r="BB76" s="37" t="n">
        <v>30.93</v>
      </c>
      <c r="BC76" s="37" t="n">
        <v>10.24</v>
      </c>
      <c r="BD76" s="37" t="n">
        <v>26.22</v>
      </c>
      <c r="BE76" s="37" t="n">
        <v>32.25</v>
      </c>
      <c r="BF76" s="37" t="n">
        <v>28.3</v>
      </c>
      <c r="BG76" s="37" t="n">
        <v>23.53</v>
      </c>
      <c r="BH76" s="37" t="n">
        <v>42.54</v>
      </c>
      <c r="BI76" s="37" t="n">
        <v>36.31</v>
      </c>
      <c r="BJ76" s="37" t="n">
        <v>156.99</v>
      </c>
      <c r="BK76" s="37" t="n">
        <v>76.56999999999999</v>
      </c>
      <c r="BL76" s="37" t="n">
        <v>40.11</v>
      </c>
      <c r="BM76" s="37" t="n">
        <v>29.66</v>
      </c>
      <c r="BN76" s="37" t="n">
        <v>22.77</v>
      </c>
      <c r="BO76" s="37" t="n">
        <v>48.68</v>
      </c>
      <c r="BP76" s="37" t="n">
        <v>71.8</v>
      </c>
      <c r="BQ76" s="37" t="n">
        <v>51.42</v>
      </c>
      <c r="BR76" s="37" t="n">
        <v>34.23</v>
      </c>
      <c r="BS76" s="37" t="n">
        <v>32.25</v>
      </c>
      <c r="BT76" s="37" t="n">
        <v>28.3</v>
      </c>
      <c r="BU76" s="37" t="n">
        <v>32.91</v>
      </c>
      <c r="BV76" s="37" t="n">
        <v>44.78</v>
      </c>
      <c r="BW76" s="37" t="n">
        <v>36.31</v>
      </c>
      <c r="BX76" s="37" t="n">
        <v>34.79</v>
      </c>
      <c r="BY76" s="37" t="n">
        <v>34.23</v>
      </c>
      <c r="BZ76" s="37" t="n">
        <v>58.01</v>
      </c>
      <c r="CA76" s="37" t="n">
        <v>33.92</v>
      </c>
      <c r="CB76" s="37" t="n">
        <v>22.57</v>
      </c>
      <c r="CC76" s="37" t="n">
        <v>2845.610000000001</v>
      </c>
    </row>
    <row r="77" ht="15.75" customHeight="1" s="57">
      <c r="A77" s="7" t="inlineStr">
        <is>
          <t>NTB</t>
        </is>
      </c>
      <c r="B77" s="7" t="inlineStr">
        <is>
          <t>Bình Thuận</t>
        </is>
      </c>
      <c r="C77" s="7" t="n">
        <v>21396000</v>
      </c>
      <c r="D77" s="7" t="inlineStr">
        <is>
          <t>(BTH) Hàm Thắng</t>
        </is>
      </c>
      <c r="E77" s="7" t="inlineStr">
        <is>
          <t>Shopee-Bulky (10-15kg)</t>
        </is>
      </c>
      <c r="F77" s="36" t="n">
        <v>16.68</v>
      </c>
      <c r="G77" s="36" t="n">
        <v>18.01</v>
      </c>
      <c r="H77" s="36" t="n">
        <v>18.34</v>
      </c>
      <c r="I77" s="36" t="n">
        <v>23.01</v>
      </c>
      <c r="J77" s="36" t="n">
        <v>13.67</v>
      </c>
      <c r="K77" s="28" t="n">
        <v>6.34</v>
      </c>
      <c r="L77" s="36" t="n">
        <v>11.01</v>
      </c>
      <c r="M77" s="36" t="n">
        <v>20.01</v>
      </c>
      <c r="N77" s="36" t="n">
        <v>12.34</v>
      </c>
      <c r="O77" s="36" t="n">
        <v>11.01</v>
      </c>
      <c r="P77" s="36" t="n">
        <v>8.67</v>
      </c>
      <c r="Q77" s="36" t="n">
        <v>12.67</v>
      </c>
      <c r="R77" s="28" t="n">
        <v>19.68</v>
      </c>
      <c r="S77" s="36" t="n">
        <v>12.34</v>
      </c>
      <c r="T77" s="36" t="n">
        <v>20.68</v>
      </c>
      <c r="U77" s="36" t="n">
        <v>13.84</v>
      </c>
      <c r="V77" s="36" t="n">
        <v>13.44</v>
      </c>
      <c r="W77" s="36" t="n">
        <v>18.1</v>
      </c>
      <c r="X77" s="36" t="n">
        <v>9.84</v>
      </c>
      <c r="Y77" s="28" t="n">
        <v>19.57</v>
      </c>
      <c r="Z77" s="36" t="n">
        <v>15.42</v>
      </c>
      <c r="AA77" s="36" t="n">
        <v>15.01</v>
      </c>
      <c r="AB77" s="36" t="n">
        <v>15.26</v>
      </c>
      <c r="AC77" s="36" t="n">
        <v>15.82</v>
      </c>
      <c r="AD77" s="36" t="n">
        <v>64.55</v>
      </c>
      <c r="AE77" s="36" t="n">
        <v>25.86</v>
      </c>
      <c r="AF77" s="28" t="n">
        <v>36.36</v>
      </c>
      <c r="AG77" s="36" t="n">
        <v>22.06</v>
      </c>
      <c r="AH77" s="37" t="n">
        <v>15.21</v>
      </c>
      <c r="AI77" s="37" t="n">
        <v>14.71</v>
      </c>
      <c r="AJ77" s="37" t="n">
        <v>14.4</v>
      </c>
      <c r="AK77" s="37" t="n">
        <v>33.67</v>
      </c>
      <c r="AL77" s="37" t="n">
        <v>16.43</v>
      </c>
      <c r="AM77" s="37" t="n">
        <v>23.88</v>
      </c>
      <c r="AN77" s="37" t="n">
        <v>15.21</v>
      </c>
      <c r="AO77" s="37" t="n">
        <v>14.5</v>
      </c>
      <c r="AP77" s="37" t="n">
        <v>19.62</v>
      </c>
      <c r="AQ77" s="37" t="n">
        <v>19.67</v>
      </c>
      <c r="AR77" s="37" t="n">
        <v>16.33</v>
      </c>
      <c r="AS77" s="37" t="n">
        <v>8.720000000000001</v>
      </c>
      <c r="AT77" s="37" t="n">
        <v>17.7</v>
      </c>
      <c r="AU77" s="37" t="n">
        <v>30.27</v>
      </c>
      <c r="AV77" s="37" t="n">
        <v>30.27</v>
      </c>
      <c r="AW77" s="37" t="n">
        <v>14.55</v>
      </c>
      <c r="AX77" s="37" t="n">
        <v>13.69</v>
      </c>
      <c r="AY77" s="37" t="n">
        <v>15.62</v>
      </c>
      <c r="AZ77" s="37" t="n">
        <v>8.369999999999999</v>
      </c>
      <c r="BA77" s="37" t="n">
        <v>16.23</v>
      </c>
      <c r="BB77" s="37" t="n">
        <v>15.52</v>
      </c>
      <c r="BC77" s="37" t="n">
        <v>5.38</v>
      </c>
      <c r="BD77" s="37" t="n">
        <v>13.23</v>
      </c>
      <c r="BE77" s="37" t="n">
        <v>16.02</v>
      </c>
      <c r="BF77" s="37" t="n">
        <v>14.35</v>
      </c>
      <c r="BG77" s="37" t="n">
        <v>11.46</v>
      </c>
      <c r="BH77" s="37" t="n">
        <v>21.04</v>
      </c>
      <c r="BI77" s="37" t="n">
        <v>18.1</v>
      </c>
      <c r="BJ77" s="37" t="n">
        <v>89.40000000000001</v>
      </c>
      <c r="BK77" s="37" t="n">
        <v>38.13</v>
      </c>
      <c r="BL77" s="37" t="n">
        <v>19.47</v>
      </c>
      <c r="BM77" s="37" t="n">
        <v>14.91</v>
      </c>
      <c r="BN77" s="37" t="n">
        <v>11.46</v>
      </c>
      <c r="BO77" s="37" t="n">
        <v>25.05</v>
      </c>
      <c r="BP77" s="37" t="n">
        <v>35.95</v>
      </c>
      <c r="BQ77" s="37" t="n">
        <v>26.37</v>
      </c>
      <c r="BR77" s="37" t="n">
        <v>16.99</v>
      </c>
      <c r="BS77" s="37" t="n">
        <v>16.02</v>
      </c>
      <c r="BT77" s="37" t="n">
        <v>14.35</v>
      </c>
      <c r="BU77" s="37" t="n">
        <v>16.23</v>
      </c>
      <c r="BV77" s="37" t="n">
        <v>22.87</v>
      </c>
      <c r="BW77" s="37" t="n">
        <v>18.1</v>
      </c>
      <c r="BX77" s="37" t="n">
        <v>17.29</v>
      </c>
      <c r="BY77" s="37" t="n">
        <v>16.99</v>
      </c>
      <c r="BZ77" s="37" t="n">
        <v>29.16</v>
      </c>
      <c r="CA77" s="37" t="n">
        <v>16.94</v>
      </c>
      <c r="CB77" s="37" t="n">
        <v>10.85</v>
      </c>
      <c r="CC77" s="37" t="n">
        <v>1440.27</v>
      </c>
    </row>
    <row r="78" ht="15.75" customHeight="1" s="57">
      <c r="A78" s="7" t="inlineStr">
        <is>
          <t>NTB</t>
        </is>
      </c>
      <c r="B78" s="7" t="inlineStr">
        <is>
          <t>Bình Thuận</t>
        </is>
      </c>
      <c r="C78" s="7" t="n">
        <v>21396000</v>
      </c>
      <c r="D78" s="7" t="inlineStr">
        <is>
          <t>(BTH) Hàm Thắng</t>
        </is>
      </c>
      <c r="E78" s="7" t="inlineStr">
        <is>
          <t>TTS</t>
        </is>
      </c>
      <c r="F78" s="36" t="n">
        <v>260</v>
      </c>
      <c r="G78" s="36" t="n">
        <v>200</v>
      </c>
      <c r="H78" s="36" t="n">
        <v>284</v>
      </c>
      <c r="I78" s="36" t="n">
        <v>200</v>
      </c>
      <c r="J78" s="36" t="n">
        <v>219</v>
      </c>
      <c r="K78" s="28" t="n">
        <v>181</v>
      </c>
      <c r="L78" s="36" t="n">
        <v>177</v>
      </c>
      <c r="M78" s="36" t="n">
        <v>188</v>
      </c>
      <c r="N78" s="36" t="n">
        <v>240</v>
      </c>
      <c r="O78" s="36" t="n">
        <v>200</v>
      </c>
      <c r="P78" s="36" t="n">
        <v>176</v>
      </c>
      <c r="Q78" s="36" t="n">
        <v>164</v>
      </c>
      <c r="R78" s="28" t="n">
        <v>179</v>
      </c>
      <c r="S78" s="36" t="n">
        <v>222</v>
      </c>
      <c r="T78" s="36" t="n">
        <v>199</v>
      </c>
      <c r="U78" s="36" t="n">
        <v>156.37</v>
      </c>
      <c r="V78" s="36" t="n">
        <v>153.4</v>
      </c>
      <c r="W78" s="36" t="n">
        <v>149.78</v>
      </c>
      <c r="X78" s="36" t="n">
        <v>120.57</v>
      </c>
      <c r="Y78" s="28" t="n">
        <v>175.78</v>
      </c>
      <c r="Z78" s="36" t="n">
        <v>149.59</v>
      </c>
      <c r="AA78" s="36" t="n">
        <v>165.56</v>
      </c>
      <c r="AB78" s="36" t="n">
        <v>184.74</v>
      </c>
      <c r="AC78" s="36" t="n">
        <v>194.33</v>
      </c>
      <c r="AD78" s="36" t="n">
        <v>199.91</v>
      </c>
      <c r="AE78" s="36" t="n">
        <v>140.14</v>
      </c>
      <c r="AF78" s="28" t="n">
        <v>181.63</v>
      </c>
      <c r="AG78" s="36" t="n">
        <v>152.35</v>
      </c>
      <c r="AH78" s="37" t="n">
        <v>150.9</v>
      </c>
      <c r="AI78" s="37" t="n">
        <v>172.79</v>
      </c>
      <c r="AJ78" s="37" t="n">
        <v>185.99</v>
      </c>
      <c r="AK78" s="37" t="n">
        <v>182.71</v>
      </c>
      <c r="AL78" s="37" t="n">
        <v>129.77</v>
      </c>
      <c r="AM78" s="37" t="n">
        <v>178.81</v>
      </c>
      <c r="AN78" s="37" t="n">
        <v>154.29</v>
      </c>
      <c r="AO78" s="37" t="n">
        <v>153.28</v>
      </c>
      <c r="AP78" s="37" t="n">
        <v>148.86</v>
      </c>
      <c r="AQ78" s="37" t="n">
        <v>150.57</v>
      </c>
      <c r="AR78" s="37" t="n">
        <v>147.62</v>
      </c>
      <c r="AS78" s="37" t="n">
        <v>120.83</v>
      </c>
      <c r="AT78" s="37" t="n">
        <v>193.28</v>
      </c>
      <c r="AU78" s="37" t="n">
        <v>175.02</v>
      </c>
      <c r="AV78" s="37" t="n">
        <v>155.32</v>
      </c>
      <c r="AW78" s="37" t="n">
        <v>147.22</v>
      </c>
      <c r="AX78" s="37" t="n">
        <v>146.24</v>
      </c>
      <c r="AY78" s="37" t="n">
        <v>145.78</v>
      </c>
      <c r="AZ78" s="37" t="n">
        <v>120.96</v>
      </c>
      <c r="BA78" s="37" t="n">
        <v>174.34</v>
      </c>
      <c r="BB78" s="37" t="n">
        <v>162.74</v>
      </c>
      <c r="BC78" s="37" t="n">
        <v>97.02000000000001</v>
      </c>
      <c r="BD78" s="37" t="n">
        <v>140.46</v>
      </c>
      <c r="BE78" s="37" t="n">
        <v>165.89</v>
      </c>
      <c r="BF78" s="37" t="n">
        <v>160.77</v>
      </c>
      <c r="BG78" s="37" t="n">
        <v>130.03</v>
      </c>
      <c r="BH78" s="37" t="n">
        <v>193.15</v>
      </c>
      <c r="BI78" s="37" t="n">
        <v>162.74</v>
      </c>
      <c r="BJ78" s="37" t="n">
        <v>151.83</v>
      </c>
      <c r="BK78" s="37" t="n">
        <v>165.56</v>
      </c>
      <c r="BL78" s="37" t="n">
        <v>165.89</v>
      </c>
      <c r="BM78" s="37" t="n">
        <v>160.77</v>
      </c>
      <c r="BN78" s="37" t="n">
        <v>130.03</v>
      </c>
      <c r="BO78" s="37" t="n">
        <v>193.15</v>
      </c>
      <c r="BP78" s="37" t="n">
        <v>162.74</v>
      </c>
      <c r="BQ78" s="37" t="n">
        <v>160.97</v>
      </c>
      <c r="BR78" s="37" t="n">
        <v>165.56</v>
      </c>
      <c r="BS78" s="37" t="n">
        <v>165.89</v>
      </c>
      <c r="BT78" s="37" t="n">
        <v>160.77</v>
      </c>
      <c r="BU78" s="37" t="n">
        <v>130.03</v>
      </c>
      <c r="BV78" s="37" t="n">
        <v>193.15</v>
      </c>
      <c r="BW78" s="37" t="n">
        <v>162.74</v>
      </c>
      <c r="BX78" s="37" t="n">
        <v>160.97</v>
      </c>
      <c r="BY78" s="37" t="n">
        <v>165.56</v>
      </c>
      <c r="BZ78" s="37" t="n">
        <v>165.89</v>
      </c>
      <c r="CA78" s="37" t="n">
        <v>160.77</v>
      </c>
      <c r="CB78" s="37" t="n">
        <v>130.03</v>
      </c>
      <c r="CC78" s="37" t="n">
        <v>12612.83</v>
      </c>
    </row>
    <row r="79" ht="15.75" customHeight="1" s="57">
      <c r="A79" s="7" t="inlineStr">
        <is>
          <t>NTB</t>
        </is>
      </c>
      <c r="B79" s="7" t="inlineStr">
        <is>
          <t>Bình Thuận</t>
        </is>
      </c>
      <c r="C79" s="7" t="n">
        <v>21396000</v>
      </c>
      <c r="D79" s="7" t="inlineStr">
        <is>
          <t>(BTH) Hàm Thắng</t>
        </is>
      </c>
      <c r="E79" s="7" t="inlineStr">
        <is>
          <t>TTS-Bulky</t>
        </is>
      </c>
      <c r="F79" s="36" t="n">
        <v>5</v>
      </c>
      <c r="G79" s="36" t="n">
        <v>3</v>
      </c>
      <c r="H79" s="36" t="n">
        <v>3</v>
      </c>
      <c r="I79" s="36" t="n">
        <v>2</v>
      </c>
      <c r="J79" s="36" t="n">
        <v>2</v>
      </c>
      <c r="K79" s="28" t="n">
        <v>2</v>
      </c>
      <c r="L79" s="36" t="n">
        <v>2</v>
      </c>
      <c r="M79" s="36" t="n">
        <v>1</v>
      </c>
      <c r="N79" s="36" t="n">
        <v>1</v>
      </c>
      <c r="O79" s="36" t="n">
        <v>0</v>
      </c>
      <c r="P79" s="36" t="n">
        <v>0</v>
      </c>
      <c r="Q79" s="36" t="n">
        <v>1</v>
      </c>
      <c r="R79" s="28" t="n">
        <v>1</v>
      </c>
      <c r="S79" s="36" t="n">
        <v>1</v>
      </c>
      <c r="T79" s="36" t="n">
        <v>3</v>
      </c>
      <c r="U79" s="36" t="n">
        <v>5.31</v>
      </c>
      <c r="V79" s="36" t="n">
        <v>5.53</v>
      </c>
      <c r="W79" s="36" t="n">
        <v>2.72</v>
      </c>
      <c r="X79" s="36" t="n">
        <v>1.55</v>
      </c>
      <c r="Y79" s="28" t="n">
        <v>3.76</v>
      </c>
      <c r="Z79" s="36" t="n">
        <v>2.85</v>
      </c>
      <c r="AA79" s="36" t="n">
        <v>2.68</v>
      </c>
      <c r="AB79" s="36" t="n">
        <v>2.85</v>
      </c>
      <c r="AC79" s="36" t="n">
        <v>3.2</v>
      </c>
      <c r="AD79" s="36" t="n">
        <v>3.45</v>
      </c>
      <c r="AE79" s="36" t="n">
        <v>1.77</v>
      </c>
      <c r="AF79" s="28" t="n">
        <v>3.5</v>
      </c>
      <c r="AG79" s="36" t="n">
        <v>2.63</v>
      </c>
      <c r="AH79" s="37" t="n">
        <v>2.55</v>
      </c>
      <c r="AI79" s="37" t="n">
        <v>2.98</v>
      </c>
      <c r="AJ79" s="37" t="n">
        <v>3.02</v>
      </c>
      <c r="AK79" s="37" t="n">
        <v>2.94</v>
      </c>
      <c r="AL79" s="37" t="n">
        <v>1.55</v>
      </c>
      <c r="AM79" s="37" t="n">
        <v>3.5</v>
      </c>
      <c r="AN79" s="37" t="n">
        <v>2.59</v>
      </c>
      <c r="AO79" s="37" t="n">
        <v>2.63</v>
      </c>
      <c r="AP79" s="37" t="n">
        <v>2.63</v>
      </c>
      <c r="AQ79" s="37" t="n">
        <v>2.76</v>
      </c>
      <c r="AR79" s="37" t="n">
        <v>2.68</v>
      </c>
      <c r="AS79" s="37" t="n">
        <v>1.55</v>
      </c>
      <c r="AT79" s="37" t="n">
        <v>3.76</v>
      </c>
      <c r="AU79" s="37" t="n">
        <v>2.94</v>
      </c>
      <c r="AV79" s="37" t="n">
        <v>2.55</v>
      </c>
      <c r="AW79" s="37" t="n">
        <v>2.59</v>
      </c>
      <c r="AX79" s="37" t="n">
        <v>2.72</v>
      </c>
      <c r="AY79" s="37" t="n">
        <v>2.68</v>
      </c>
      <c r="AZ79" s="37" t="n">
        <v>1.55</v>
      </c>
      <c r="BA79" s="37" t="n">
        <v>3.11</v>
      </c>
      <c r="BB79" s="37" t="n">
        <v>0.73</v>
      </c>
      <c r="BC79" s="37" t="n">
        <v>0.35</v>
      </c>
      <c r="BD79" s="37" t="n">
        <v>0.6</v>
      </c>
      <c r="BE79" s="37" t="n">
        <v>0.73</v>
      </c>
      <c r="BF79" s="37" t="n">
        <v>0.73</v>
      </c>
      <c r="BG79" s="37" t="n">
        <v>0.43</v>
      </c>
      <c r="BH79" s="37" t="n">
        <v>1.12</v>
      </c>
      <c r="BI79" s="37" t="n">
        <v>0.73</v>
      </c>
      <c r="BJ79" s="37" t="n">
        <v>0.82</v>
      </c>
      <c r="BK79" s="37" t="n">
        <v>0.73</v>
      </c>
      <c r="BL79" s="37" t="n">
        <v>0.73</v>
      </c>
      <c r="BM79" s="37" t="n">
        <v>0.73</v>
      </c>
      <c r="BN79" s="37" t="n">
        <v>0.48</v>
      </c>
      <c r="BO79" s="37" t="n">
        <v>1.17</v>
      </c>
      <c r="BP79" s="37" t="n">
        <v>0.95</v>
      </c>
      <c r="BQ79" s="37" t="n">
        <v>0.73</v>
      </c>
      <c r="BR79" s="37" t="n">
        <v>0.73</v>
      </c>
      <c r="BS79" s="37" t="n">
        <v>0.73</v>
      </c>
      <c r="BT79" s="37" t="n">
        <v>0.73</v>
      </c>
      <c r="BU79" s="37" t="n">
        <v>0.39</v>
      </c>
      <c r="BV79" s="37" t="n">
        <v>0.95</v>
      </c>
      <c r="BW79" s="37" t="n">
        <v>0.73</v>
      </c>
      <c r="BX79" s="37" t="n">
        <v>0.73</v>
      </c>
      <c r="BY79" s="37" t="n">
        <v>0.73</v>
      </c>
      <c r="BZ79" s="37" t="n">
        <v>0.73</v>
      </c>
      <c r="CA79" s="37" t="n">
        <v>0.73</v>
      </c>
      <c r="CB79" s="37" t="n">
        <v>0.39</v>
      </c>
      <c r="CC79" s="37" t="n">
        <v>141.4099999999998</v>
      </c>
    </row>
    <row r="80" ht="15.75" customHeight="1" s="57">
      <c r="A80" s="7" t="inlineStr">
        <is>
          <t>NTB</t>
        </is>
      </c>
      <c r="B80" s="7" t="inlineStr">
        <is>
          <t>Bình Thuận</t>
        </is>
      </c>
      <c r="C80" s="7" t="n">
        <v>21403000</v>
      </c>
      <c r="D80" s="7" t="inlineStr">
        <is>
          <t>(BTH) Hàm Liêm</t>
        </is>
      </c>
      <c r="E80" s="7" t="inlineStr">
        <is>
          <t>SME</t>
        </is>
      </c>
      <c r="F80" s="36" t="n">
        <v>276</v>
      </c>
      <c r="G80" s="36" t="n">
        <v>272</v>
      </c>
      <c r="H80" s="36" t="n">
        <v>258</v>
      </c>
      <c r="I80" s="36" t="n">
        <v>271</v>
      </c>
      <c r="J80" s="36" t="n">
        <v>271</v>
      </c>
      <c r="K80" s="28" t="n">
        <v>234</v>
      </c>
      <c r="L80" s="36" t="n">
        <v>222</v>
      </c>
      <c r="M80" s="36" t="n">
        <v>248</v>
      </c>
      <c r="N80" s="36" t="n">
        <v>224</v>
      </c>
      <c r="O80" s="36" t="n">
        <v>219</v>
      </c>
      <c r="P80" s="36" t="n">
        <v>243</v>
      </c>
      <c r="Q80" s="36" t="n">
        <v>121</v>
      </c>
      <c r="R80" s="28" t="n">
        <v>282</v>
      </c>
      <c r="S80" s="36" t="n">
        <v>216</v>
      </c>
      <c r="T80" s="36" t="n">
        <v>193</v>
      </c>
      <c r="U80" s="36" t="n">
        <v>256.22</v>
      </c>
      <c r="V80" s="36" t="n">
        <v>265.22</v>
      </c>
      <c r="W80" s="36" t="n">
        <v>257.89</v>
      </c>
      <c r="X80" s="36" t="n">
        <v>211.05</v>
      </c>
      <c r="Y80" s="28" t="n">
        <v>285.95</v>
      </c>
      <c r="Z80" s="36" t="n">
        <v>263.2</v>
      </c>
      <c r="AA80" s="36" t="n">
        <v>256.99</v>
      </c>
      <c r="AB80" s="36" t="n">
        <v>256.22</v>
      </c>
      <c r="AC80" s="36" t="n">
        <v>265.22</v>
      </c>
      <c r="AD80" s="36" t="n">
        <v>270.45</v>
      </c>
      <c r="AE80" s="36" t="n">
        <v>211.05</v>
      </c>
      <c r="AF80" s="28" t="n">
        <v>285.95</v>
      </c>
      <c r="AG80" s="36" t="n">
        <v>263.2</v>
      </c>
      <c r="AH80" s="37" t="n">
        <v>256.99</v>
      </c>
      <c r="AI80" s="37" t="n">
        <v>256.22</v>
      </c>
      <c r="AJ80" s="37" t="n">
        <v>265.22</v>
      </c>
      <c r="AK80" s="37" t="n">
        <v>257.89</v>
      </c>
      <c r="AL80" s="37" t="n">
        <v>211.05</v>
      </c>
      <c r="AM80" s="37" t="n">
        <v>285.95</v>
      </c>
      <c r="AN80" s="37" t="n">
        <v>263.2</v>
      </c>
      <c r="AO80" s="37" t="n">
        <v>256.99</v>
      </c>
      <c r="AP80" s="37" t="n">
        <v>256.22</v>
      </c>
      <c r="AQ80" s="37" t="n">
        <v>265.22</v>
      </c>
      <c r="AR80" s="37" t="n">
        <v>257.89</v>
      </c>
      <c r="AS80" s="37" t="n">
        <v>211.05</v>
      </c>
      <c r="AT80" s="37" t="n">
        <v>285.95</v>
      </c>
      <c r="AU80" s="37" t="n">
        <v>263.2</v>
      </c>
      <c r="AV80" s="37" t="n">
        <v>256.99</v>
      </c>
      <c r="AW80" s="37" t="n">
        <v>256.22</v>
      </c>
      <c r="AX80" s="37" t="n">
        <v>265.22</v>
      </c>
      <c r="AY80" s="37" t="n">
        <v>257.89</v>
      </c>
      <c r="AZ80" s="37" t="n">
        <v>211.05</v>
      </c>
      <c r="BA80" s="37" t="n">
        <v>257.32</v>
      </c>
      <c r="BB80" s="37" t="n">
        <v>230.24</v>
      </c>
      <c r="BC80" s="37" t="n">
        <v>145.86</v>
      </c>
      <c r="BD80" s="37" t="n">
        <v>145.35</v>
      </c>
      <c r="BE80" s="37" t="n">
        <v>245.52</v>
      </c>
      <c r="BF80" s="37" t="n">
        <v>238.95</v>
      </c>
      <c r="BG80" s="37" t="n">
        <v>217.62</v>
      </c>
      <c r="BH80" s="37" t="n">
        <v>294.92</v>
      </c>
      <c r="BI80" s="37" t="n">
        <v>271.43</v>
      </c>
      <c r="BJ80" s="37" t="n">
        <v>277.54</v>
      </c>
      <c r="BK80" s="37" t="n">
        <v>264.01</v>
      </c>
      <c r="BL80" s="37" t="n">
        <v>273.54</v>
      </c>
      <c r="BM80" s="37" t="n">
        <v>265.68</v>
      </c>
      <c r="BN80" s="37" t="n">
        <v>217.62</v>
      </c>
      <c r="BO80" s="37" t="n">
        <v>294.92</v>
      </c>
      <c r="BP80" s="37" t="n">
        <v>271.43</v>
      </c>
      <c r="BQ80" s="37" t="n">
        <v>264.83</v>
      </c>
      <c r="BR80" s="37" t="n">
        <v>264.01</v>
      </c>
      <c r="BS80" s="37" t="n">
        <v>273.54</v>
      </c>
      <c r="BT80" s="37" t="n">
        <v>265.68</v>
      </c>
      <c r="BU80" s="37" t="n">
        <v>217.62</v>
      </c>
      <c r="BV80" s="37" t="n">
        <v>294.92</v>
      </c>
      <c r="BW80" s="37" t="n">
        <v>271.43</v>
      </c>
      <c r="BX80" s="37" t="n">
        <v>264.83</v>
      </c>
      <c r="BY80" s="37" t="n">
        <v>264.01</v>
      </c>
      <c r="BZ80" s="37" t="n">
        <v>273.54</v>
      </c>
      <c r="CA80" s="37" t="n">
        <v>265.68</v>
      </c>
      <c r="CB80" s="37" t="n">
        <v>217.62</v>
      </c>
      <c r="CC80" s="37" t="n">
        <v>18788.68</v>
      </c>
    </row>
    <row r="81" ht="15.75" customHeight="1" s="57">
      <c r="A81" s="7" t="inlineStr">
        <is>
          <t>NTB</t>
        </is>
      </c>
      <c r="B81" s="7" t="inlineStr">
        <is>
          <t>Bình Thuận</t>
        </is>
      </c>
      <c r="C81" s="7" t="n">
        <v>21403000</v>
      </c>
      <c r="D81" s="7" t="inlineStr">
        <is>
          <t>(BTH) Hàm Liêm</t>
        </is>
      </c>
      <c r="E81" s="7" t="inlineStr">
        <is>
          <t>SME-Bulky</t>
        </is>
      </c>
      <c r="F81" s="36" t="n">
        <v>18</v>
      </c>
      <c r="G81" s="36" t="n">
        <v>13</v>
      </c>
      <c r="H81" s="36" t="n">
        <v>5</v>
      </c>
      <c r="I81" s="36" t="n">
        <v>10</v>
      </c>
      <c r="J81" s="36" t="n">
        <v>11</v>
      </c>
      <c r="K81" s="28" t="n">
        <v>9</v>
      </c>
      <c r="L81" s="36" t="n">
        <v>9</v>
      </c>
      <c r="M81" s="36" t="n">
        <v>10</v>
      </c>
      <c r="N81" s="36" t="n">
        <v>9</v>
      </c>
      <c r="O81" s="36" t="n">
        <v>11</v>
      </c>
      <c r="P81" s="36" t="n">
        <v>10</v>
      </c>
      <c r="Q81" s="36" t="n">
        <v>13</v>
      </c>
      <c r="R81" s="28" t="n">
        <v>14</v>
      </c>
      <c r="S81" s="36" t="n">
        <v>21</v>
      </c>
      <c r="T81" s="36" t="n">
        <v>6</v>
      </c>
      <c r="U81" s="36" t="n">
        <v>12.54</v>
      </c>
      <c r="V81" s="36" t="n">
        <v>12.58</v>
      </c>
      <c r="W81" s="36" t="n">
        <v>11.67</v>
      </c>
      <c r="X81" s="36" t="n">
        <v>8.199999999999999</v>
      </c>
      <c r="Y81" s="28" t="n">
        <v>14.01</v>
      </c>
      <c r="Z81" s="36" t="n">
        <v>13.62</v>
      </c>
      <c r="AA81" s="36" t="n">
        <v>13.28</v>
      </c>
      <c r="AB81" s="36" t="n">
        <v>12.54</v>
      </c>
      <c r="AC81" s="36" t="n">
        <v>12.58</v>
      </c>
      <c r="AD81" s="36" t="n">
        <v>13.32</v>
      </c>
      <c r="AE81" s="36" t="n">
        <v>8.199999999999999</v>
      </c>
      <c r="AF81" s="28" t="n">
        <v>14.01</v>
      </c>
      <c r="AG81" s="36" t="n">
        <v>13.62</v>
      </c>
      <c r="AH81" s="37" t="n">
        <v>13.28</v>
      </c>
      <c r="AI81" s="37" t="n">
        <v>12.54</v>
      </c>
      <c r="AJ81" s="37" t="n">
        <v>12.58</v>
      </c>
      <c r="AK81" s="37" t="n">
        <v>11.67</v>
      </c>
      <c r="AL81" s="37" t="n">
        <v>8.199999999999999</v>
      </c>
      <c r="AM81" s="37" t="n">
        <v>14.01</v>
      </c>
      <c r="AN81" s="37" t="n">
        <v>13.62</v>
      </c>
      <c r="AO81" s="37" t="n">
        <v>13.28</v>
      </c>
      <c r="AP81" s="37" t="n">
        <v>12.54</v>
      </c>
      <c r="AQ81" s="37" t="n">
        <v>12.58</v>
      </c>
      <c r="AR81" s="37" t="n">
        <v>11.67</v>
      </c>
      <c r="AS81" s="37" t="n">
        <v>8.199999999999999</v>
      </c>
      <c r="AT81" s="37" t="n">
        <v>14.01</v>
      </c>
      <c r="AU81" s="37" t="n">
        <v>13.62</v>
      </c>
      <c r="AV81" s="37" t="n">
        <v>13.28</v>
      </c>
      <c r="AW81" s="37" t="n">
        <v>12.54</v>
      </c>
      <c r="AX81" s="37" t="n">
        <v>12.58</v>
      </c>
      <c r="AY81" s="37" t="n">
        <v>11.67</v>
      </c>
      <c r="AZ81" s="37" t="n">
        <v>8.199999999999999</v>
      </c>
      <c r="BA81" s="37" t="n">
        <v>14.06</v>
      </c>
      <c r="BB81" s="37" t="n">
        <v>7.38</v>
      </c>
      <c r="BC81" s="37" t="n">
        <v>3.95</v>
      </c>
      <c r="BD81" s="37" t="n">
        <v>3.56</v>
      </c>
      <c r="BE81" s="37" t="n">
        <v>6.42</v>
      </c>
      <c r="BF81" s="37" t="n">
        <v>6.16</v>
      </c>
      <c r="BG81" s="37" t="n">
        <v>4.82</v>
      </c>
      <c r="BH81" s="37" t="n">
        <v>8.16</v>
      </c>
      <c r="BI81" s="37" t="n">
        <v>8.16</v>
      </c>
      <c r="BJ81" s="37" t="n">
        <v>8.42</v>
      </c>
      <c r="BK81" s="37" t="n">
        <v>7.42</v>
      </c>
      <c r="BL81" s="37" t="n">
        <v>7.51</v>
      </c>
      <c r="BM81" s="37" t="n">
        <v>6.94</v>
      </c>
      <c r="BN81" s="37" t="n">
        <v>4.82</v>
      </c>
      <c r="BO81" s="37" t="n">
        <v>8.16</v>
      </c>
      <c r="BP81" s="37" t="n">
        <v>8.16</v>
      </c>
      <c r="BQ81" s="37" t="n">
        <v>7.68</v>
      </c>
      <c r="BR81" s="37" t="n">
        <v>7.42</v>
      </c>
      <c r="BS81" s="37" t="n">
        <v>7.51</v>
      </c>
      <c r="BT81" s="37" t="n">
        <v>6.94</v>
      </c>
      <c r="BU81" s="37" t="n">
        <v>4.82</v>
      </c>
      <c r="BV81" s="37" t="n">
        <v>8.16</v>
      </c>
      <c r="BW81" s="37" t="n">
        <v>8.16</v>
      </c>
      <c r="BX81" s="37" t="n">
        <v>7.68</v>
      </c>
      <c r="BY81" s="37" t="n">
        <v>7.42</v>
      </c>
      <c r="BZ81" s="37" t="n">
        <v>7.51</v>
      </c>
      <c r="CA81" s="37" t="n">
        <v>6.94</v>
      </c>
      <c r="CB81" s="37" t="n">
        <v>4.82</v>
      </c>
      <c r="CC81" s="37" t="n">
        <v>758.3999999999996</v>
      </c>
    </row>
    <row r="82" ht="15.75" customHeight="1" s="57">
      <c r="A82" s="7" t="inlineStr">
        <is>
          <t>NTB</t>
        </is>
      </c>
      <c r="B82" s="7" t="inlineStr">
        <is>
          <t>Bình Thuận</t>
        </is>
      </c>
      <c r="C82" s="7" t="n">
        <v>21403000</v>
      </c>
      <c r="D82" s="7" t="inlineStr">
        <is>
          <t>(BTH) Hàm Liêm</t>
        </is>
      </c>
      <c r="E82" s="7" t="inlineStr">
        <is>
          <t>Shopee</t>
        </is>
      </c>
      <c r="F82" s="36" t="n">
        <v>289</v>
      </c>
      <c r="G82" s="36" t="n">
        <v>262</v>
      </c>
      <c r="H82" s="36" t="n">
        <v>320</v>
      </c>
      <c r="I82" s="36" t="n">
        <v>293</v>
      </c>
      <c r="J82" s="36" t="n">
        <v>186</v>
      </c>
      <c r="K82" s="28" t="n">
        <v>169</v>
      </c>
      <c r="L82" s="36" t="n">
        <v>181</v>
      </c>
      <c r="M82" s="36" t="n">
        <v>246</v>
      </c>
      <c r="N82" s="36" t="n">
        <v>306</v>
      </c>
      <c r="O82" s="36" t="n">
        <v>216</v>
      </c>
      <c r="P82" s="36" t="n">
        <v>225</v>
      </c>
      <c r="Q82" s="36" t="n">
        <v>101</v>
      </c>
      <c r="R82" s="28" t="n">
        <v>161</v>
      </c>
      <c r="S82" s="36" t="n">
        <v>204</v>
      </c>
      <c r="T82" s="36" t="n">
        <v>184</v>
      </c>
      <c r="U82" s="36" t="n">
        <v>209.8</v>
      </c>
      <c r="V82" s="36" t="n">
        <v>210.68</v>
      </c>
      <c r="W82" s="36" t="n">
        <v>207.56</v>
      </c>
      <c r="X82" s="36" t="n">
        <v>168.86</v>
      </c>
      <c r="Y82" s="28" t="n">
        <v>282.71</v>
      </c>
      <c r="Z82" s="36" t="n">
        <v>223.7</v>
      </c>
      <c r="AA82" s="36" t="n">
        <v>307.56</v>
      </c>
      <c r="AB82" s="36" t="n">
        <v>214.12</v>
      </c>
      <c r="AC82" s="36" t="n">
        <v>172.96</v>
      </c>
      <c r="AD82" s="36" t="n">
        <v>470.06</v>
      </c>
      <c r="AE82" s="36" t="n">
        <v>180.74</v>
      </c>
      <c r="AF82" s="28" t="n">
        <v>322.17</v>
      </c>
      <c r="AG82" s="36" t="n">
        <v>234.92</v>
      </c>
      <c r="AH82" s="37" t="n">
        <v>248.22</v>
      </c>
      <c r="AI82" s="37" t="n">
        <v>209.8</v>
      </c>
      <c r="AJ82" s="37" t="n">
        <v>210.68</v>
      </c>
      <c r="AK82" s="37" t="n">
        <v>280.08</v>
      </c>
      <c r="AL82" s="37" t="n">
        <v>303.07</v>
      </c>
      <c r="AM82" s="37" t="n">
        <v>282.71</v>
      </c>
      <c r="AN82" s="37" t="n">
        <v>223.7</v>
      </c>
      <c r="AO82" s="37" t="n">
        <v>248.22</v>
      </c>
      <c r="AP82" s="37" t="n">
        <v>261.96</v>
      </c>
      <c r="AQ82" s="37" t="n">
        <v>169.02</v>
      </c>
      <c r="AR82" s="37" t="n">
        <v>207.56</v>
      </c>
      <c r="AS82" s="37" t="n">
        <v>168.86</v>
      </c>
      <c r="AT82" s="37" t="n">
        <v>282.71</v>
      </c>
      <c r="AU82" s="37" t="n">
        <v>228.3</v>
      </c>
      <c r="AV82" s="37" t="n">
        <v>252.93</v>
      </c>
      <c r="AW82" s="37" t="n">
        <v>209.8</v>
      </c>
      <c r="AX82" s="37" t="n">
        <v>210.68</v>
      </c>
      <c r="AY82" s="37" t="n">
        <v>207.56</v>
      </c>
      <c r="AZ82" s="37" t="n">
        <v>168.86</v>
      </c>
      <c r="BA82" s="37" t="n">
        <v>217.9</v>
      </c>
      <c r="BB82" s="37" t="n">
        <v>189.88</v>
      </c>
      <c r="BC82" s="37" t="n">
        <v>96.83</v>
      </c>
      <c r="BD82" s="37" t="n">
        <v>171.65</v>
      </c>
      <c r="BE82" s="37" t="n">
        <v>200.77</v>
      </c>
      <c r="BF82" s="37" t="n">
        <v>197.76</v>
      </c>
      <c r="BG82" s="37" t="n">
        <v>163.99</v>
      </c>
      <c r="BH82" s="37" t="n">
        <v>269.08</v>
      </c>
      <c r="BI82" s="37" t="n">
        <v>174.6</v>
      </c>
      <c r="BJ82" s="37" t="n">
        <v>667.22</v>
      </c>
      <c r="BK82" s="37" t="n">
        <v>213.9</v>
      </c>
      <c r="BL82" s="37" t="n">
        <v>210.68</v>
      </c>
      <c r="BM82" s="37" t="n">
        <v>197.76</v>
      </c>
      <c r="BN82" s="37" t="n">
        <v>160.81</v>
      </c>
      <c r="BO82" s="37" t="n">
        <v>269.08</v>
      </c>
      <c r="BP82" s="37" t="n">
        <v>287.63</v>
      </c>
      <c r="BQ82" s="37" t="n">
        <v>424.31</v>
      </c>
      <c r="BR82" s="37" t="n">
        <v>199.89</v>
      </c>
      <c r="BS82" s="37" t="n">
        <v>200.77</v>
      </c>
      <c r="BT82" s="37" t="n">
        <v>197.76</v>
      </c>
      <c r="BU82" s="37" t="n">
        <v>200.99</v>
      </c>
      <c r="BV82" s="37" t="n">
        <v>215.71</v>
      </c>
      <c r="BW82" s="37" t="n">
        <v>213.14</v>
      </c>
      <c r="BX82" s="37" t="n">
        <v>236.56</v>
      </c>
      <c r="BY82" s="37" t="n">
        <v>199.89</v>
      </c>
      <c r="BZ82" s="37" t="n">
        <v>204.76</v>
      </c>
      <c r="CA82" s="37" t="n">
        <v>201.75</v>
      </c>
      <c r="CB82" s="37" t="n">
        <v>160.81</v>
      </c>
      <c r="CC82" s="37" t="n">
        <v>17269.43999999999</v>
      </c>
    </row>
    <row r="83" ht="15.75" customHeight="1" s="57">
      <c r="A83" s="7" t="inlineStr">
        <is>
          <t>NTB</t>
        </is>
      </c>
      <c r="B83" s="7" t="inlineStr">
        <is>
          <t>Bình Thuận</t>
        </is>
      </c>
      <c r="C83" s="7" t="n">
        <v>21403000</v>
      </c>
      <c r="D83" s="7" t="inlineStr">
        <is>
          <t>(BTH) Hàm Liêm</t>
        </is>
      </c>
      <c r="E83" s="7" t="inlineStr">
        <is>
          <t>Shopee-Bulky</t>
        </is>
      </c>
      <c r="F83" s="36" t="n">
        <v>32.66</v>
      </c>
      <c r="G83" s="36" t="n">
        <v>23.99</v>
      </c>
      <c r="H83" s="36" t="n">
        <v>37.32</v>
      </c>
      <c r="I83" s="36" t="n">
        <v>26.66</v>
      </c>
      <c r="J83" s="36" t="n">
        <v>25.32</v>
      </c>
      <c r="K83" s="28" t="n">
        <v>19.33</v>
      </c>
      <c r="L83" s="36" t="n">
        <v>15.33</v>
      </c>
      <c r="M83" s="36" t="n">
        <v>29.32</v>
      </c>
      <c r="N83" s="36" t="n">
        <v>27.99</v>
      </c>
      <c r="O83" s="36" t="n">
        <v>25.99</v>
      </c>
      <c r="P83" s="36" t="n">
        <v>22.66</v>
      </c>
      <c r="Q83" s="36" t="n">
        <v>14</v>
      </c>
      <c r="R83" s="28" t="n">
        <v>41.32</v>
      </c>
      <c r="S83" s="36" t="n">
        <v>23.33</v>
      </c>
      <c r="T83" s="36" t="n">
        <v>29.32</v>
      </c>
      <c r="U83" s="36" t="n">
        <v>25.34</v>
      </c>
      <c r="V83" s="36" t="n">
        <v>24.48</v>
      </c>
      <c r="W83" s="36" t="n">
        <v>34.16</v>
      </c>
      <c r="X83" s="36" t="n">
        <v>19.5</v>
      </c>
      <c r="Y83" s="28" t="n">
        <v>37.37</v>
      </c>
      <c r="Z83" s="36" t="n">
        <v>29.46</v>
      </c>
      <c r="AA83" s="36" t="n">
        <v>28.55</v>
      </c>
      <c r="AB83" s="36" t="n">
        <v>29.13</v>
      </c>
      <c r="AC83" s="36" t="n">
        <v>30.09</v>
      </c>
      <c r="AD83" s="36" t="n">
        <v>94.19</v>
      </c>
      <c r="AE83" s="36" t="n">
        <v>49.16</v>
      </c>
      <c r="AF83" s="28" t="n">
        <v>73.16</v>
      </c>
      <c r="AG83" s="36" t="n">
        <v>41.97</v>
      </c>
      <c r="AH83" s="37" t="n">
        <v>29.23</v>
      </c>
      <c r="AI83" s="37" t="n">
        <v>28.75</v>
      </c>
      <c r="AJ83" s="37" t="n">
        <v>27.45</v>
      </c>
      <c r="AK83" s="37" t="n">
        <v>62.38</v>
      </c>
      <c r="AL83" s="37" t="n">
        <v>31.91</v>
      </c>
      <c r="AM83" s="37" t="n">
        <v>46.23</v>
      </c>
      <c r="AN83" s="37" t="n">
        <v>28.94</v>
      </c>
      <c r="AO83" s="37" t="n">
        <v>27.98</v>
      </c>
      <c r="AP83" s="37" t="n">
        <v>38.18</v>
      </c>
      <c r="AQ83" s="37" t="n">
        <v>38.33</v>
      </c>
      <c r="AR83" s="37" t="n">
        <v>31.05</v>
      </c>
      <c r="AS83" s="37" t="n">
        <v>17.2</v>
      </c>
      <c r="AT83" s="37" t="n">
        <v>34.35</v>
      </c>
      <c r="AU83" s="37" t="n">
        <v>55.82</v>
      </c>
      <c r="AV83" s="37" t="n">
        <v>59.07</v>
      </c>
      <c r="AW83" s="37" t="n">
        <v>28.32</v>
      </c>
      <c r="AX83" s="37" t="n">
        <v>26.45</v>
      </c>
      <c r="AY83" s="37" t="n">
        <v>29.85</v>
      </c>
      <c r="AZ83" s="37" t="n">
        <v>16.48</v>
      </c>
      <c r="BA83" s="37" t="n">
        <v>31.53</v>
      </c>
      <c r="BB83" s="37" t="n">
        <v>29.23</v>
      </c>
      <c r="BC83" s="37" t="n">
        <v>9.68</v>
      </c>
      <c r="BD83" s="37" t="n">
        <v>24.77</v>
      </c>
      <c r="BE83" s="37" t="n">
        <v>30.47</v>
      </c>
      <c r="BF83" s="37" t="n">
        <v>26.73</v>
      </c>
      <c r="BG83" s="37" t="n">
        <v>22.23</v>
      </c>
      <c r="BH83" s="37" t="n">
        <v>40.2</v>
      </c>
      <c r="BI83" s="37" t="n">
        <v>34.3</v>
      </c>
      <c r="BJ83" s="37" t="n">
        <v>148.33</v>
      </c>
      <c r="BK83" s="37" t="n">
        <v>72.34</v>
      </c>
      <c r="BL83" s="37" t="n">
        <v>37.9</v>
      </c>
      <c r="BM83" s="37" t="n">
        <v>28.03</v>
      </c>
      <c r="BN83" s="37" t="n">
        <v>21.51</v>
      </c>
      <c r="BO83" s="37" t="n">
        <v>45.99</v>
      </c>
      <c r="BP83" s="37" t="n">
        <v>67.84</v>
      </c>
      <c r="BQ83" s="37" t="n">
        <v>48.58</v>
      </c>
      <c r="BR83" s="37" t="n">
        <v>32.34</v>
      </c>
      <c r="BS83" s="37" t="n">
        <v>30.47</v>
      </c>
      <c r="BT83" s="37" t="n">
        <v>26.73</v>
      </c>
      <c r="BU83" s="37" t="n">
        <v>31.09</v>
      </c>
      <c r="BV83" s="37" t="n">
        <v>42.3</v>
      </c>
      <c r="BW83" s="37" t="n">
        <v>34.3</v>
      </c>
      <c r="BX83" s="37" t="n">
        <v>32.87</v>
      </c>
      <c r="BY83" s="37" t="n">
        <v>32.34</v>
      </c>
      <c r="BZ83" s="37" t="n">
        <v>54.81</v>
      </c>
      <c r="CA83" s="37" t="n">
        <v>32.05</v>
      </c>
      <c r="CB83" s="37" t="n">
        <v>21.32</v>
      </c>
      <c r="CC83" s="37" t="n">
        <v>2659.350000000001</v>
      </c>
    </row>
    <row r="84" ht="15.75" customHeight="1" s="57">
      <c r="A84" s="7" t="inlineStr">
        <is>
          <t>NTB</t>
        </is>
      </c>
      <c r="B84" s="7" t="inlineStr">
        <is>
          <t>Bình Thuận</t>
        </is>
      </c>
      <c r="C84" s="7" t="n">
        <v>21403000</v>
      </c>
      <c r="D84" s="7" t="inlineStr">
        <is>
          <t>(BTH) Hàm Liêm</t>
        </is>
      </c>
      <c r="E84" s="7" t="inlineStr">
        <is>
          <t>Shopee-Bulky (10-15kg)</t>
        </is>
      </c>
      <c r="F84" s="36" t="n">
        <v>16.34</v>
      </c>
      <c r="G84" s="36" t="n">
        <v>12.01</v>
      </c>
      <c r="H84" s="36" t="n">
        <v>18.68</v>
      </c>
      <c r="I84" s="36" t="n">
        <v>13.34</v>
      </c>
      <c r="J84" s="36" t="n">
        <v>12.68</v>
      </c>
      <c r="K84" s="28" t="n">
        <v>9.67</v>
      </c>
      <c r="L84" s="36" t="n">
        <v>7.67</v>
      </c>
      <c r="M84" s="36" t="n">
        <v>14.68</v>
      </c>
      <c r="N84" s="36" t="n">
        <v>14.01</v>
      </c>
      <c r="O84" s="36" t="n">
        <v>13.01</v>
      </c>
      <c r="P84" s="36" t="n">
        <v>11.34</v>
      </c>
      <c r="Q84" s="36" t="n">
        <v>7</v>
      </c>
      <c r="R84" s="28" t="n">
        <v>20.68</v>
      </c>
      <c r="S84" s="36" t="n">
        <v>11.67</v>
      </c>
      <c r="T84" s="36" t="n">
        <v>14.68</v>
      </c>
      <c r="U84" s="36" t="n">
        <v>13.08</v>
      </c>
      <c r="V84" s="36" t="n">
        <v>12.7</v>
      </c>
      <c r="W84" s="36" t="n">
        <v>17.1</v>
      </c>
      <c r="X84" s="36" t="n">
        <v>9.289999999999999</v>
      </c>
      <c r="Y84" s="28" t="n">
        <v>18.49</v>
      </c>
      <c r="Z84" s="36" t="n">
        <v>14.56</v>
      </c>
      <c r="AA84" s="36" t="n">
        <v>14.18</v>
      </c>
      <c r="AB84" s="36" t="n">
        <v>14.42</v>
      </c>
      <c r="AC84" s="36" t="n">
        <v>14.95</v>
      </c>
      <c r="AD84" s="36" t="n">
        <v>60.99</v>
      </c>
      <c r="AE84" s="36" t="n">
        <v>24.43</v>
      </c>
      <c r="AF84" s="28" t="n">
        <v>34.35</v>
      </c>
      <c r="AG84" s="36" t="n">
        <v>20.84</v>
      </c>
      <c r="AH84" s="37" t="n">
        <v>14.37</v>
      </c>
      <c r="AI84" s="37" t="n">
        <v>13.89</v>
      </c>
      <c r="AJ84" s="37" t="n">
        <v>13.61</v>
      </c>
      <c r="AK84" s="37" t="n">
        <v>31.81</v>
      </c>
      <c r="AL84" s="37" t="n">
        <v>15.52</v>
      </c>
      <c r="AM84" s="37" t="n">
        <v>22.57</v>
      </c>
      <c r="AN84" s="37" t="n">
        <v>14.37</v>
      </c>
      <c r="AO84" s="37" t="n">
        <v>13.7</v>
      </c>
      <c r="AP84" s="37" t="n">
        <v>18.54</v>
      </c>
      <c r="AQ84" s="37" t="n">
        <v>18.59</v>
      </c>
      <c r="AR84" s="37" t="n">
        <v>15.43</v>
      </c>
      <c r="AS84" s="37" t="n">
        <v>8.24</v>
      </c>
      <c r="AT84" s="37" t="n">
        <v>16.72</v>
      </c>
      <c r="AU84" s="37" t="n">
        <v>28.6</v>
      </c>
      <c r="AV84" s="37" t="n">
        <v>28.6</v>
      </c>
      <c r="AW84" s="37" t="n">
        <v>13.75</v>
      </c>
      <c r="AX84" s="37" t="n">
        <v>12.94</v>
      </c>
      <c r="AY84" s="37" t="n">
        <v>14.76</v>
      </c>
      <c r="AZ84" s="37" t="n">
        <v>7.91</v>
      </c>
      <c r="BA84" s="37" t="n">
        <v>15.33</v>
      </c>
      <c r="BB84" s="37" t="n">
        <v>14.66</v>
      </c>
      <c r="BC84" s="37" t="n">
        <v>5.08</v>
      </c>
      <c r="BD84" s="37" t="n">
        <v>12.5</v>
      </c>
      <c r="BE84" s="37" t="n">
        <v>15.14</v>
      </c>
      <c r="BF84" s="37" t="n">
        <v>13.56</v>
      </c>
      <c r="BG84" s="37" t="n">
        <v>10.83</v>
      </c>
      <c r="BH84" s="37" t="n">
        <v>19.88</v>
      </c>
      <c r="BI84" s="37" t="n">
        <v>17.1</v>
      </c>
      <c r="BJ84" s="37" t="n">
        <v>84.47</v>
      </c>
      <c r="BK84" s="37" t="n">
        <v>36.03</v>
      </c>
      <c r="BL84" s="37" t="n">
        <v>18.4</v>
      </c>
      <c r="BM84" s="37" t="n">
        <v>14.09</v>
      </c>
      <c r="BN84" s="37" t="n">
        <v>10.83</v>
      </c>
      <c r="BO84" s="37" t="n">
        <v>23.67</v>
      </c>
      <c r="BP84" s="37" t="n">
        <v>33.97</v>
      </c>
      <c r="BQ84" s="37" t="n">
        <v>24.91</v>
      </c>
      <c r="BR84" s="37" t="n">
        <v>16.05</v>
      </c>
      <c r="BS84" s="37" t="n">
        <v>15.14</v>
      </c>
      <c r="BT84" s="37" t="n">
        <v>13.56</v>
      </c>
      <c r="BU84" s="37" t="n">
        <v>15.33</v>
      </c>
      <c r="BV84" s="37" t="n">
        <v>21.61</v>
      </c>
      <c r="BW84" s="37" t="n">
        <v>17.1</v>
      </c>
      <c r="BX84" s="37" t="n">
        <v>16.34</v>
      </c>
      <c r="BY84" s="37" t="n">
        <v>16.05</v>
      </c>
      <c r="BZ84" s="37" t="n">
        <v>27.55</v>
      </c>
      <c r="CA84" s="37" t="n">
        <v>16</v>
      </c>
      <c r="CB84" s="37" t="n">
        <v>10.25</v>
      </c>
      <c r="CC84" s="37" t="n">
        <v>1346.19</v>
      </c>
    </row>
    <row r="85" ht="15.75" customHeight="1" s="57">
      <c r="A85" s="7" t="inlineStr">
        <is>
          <t>NTB</t>
        </is>
      </c>
      <c r="B85" s="7" t="inlineStr">
        <is>
          <t>Bình Thuận</t>
        </is>
      </c>
      <c r="C85" s="7" t="n">
        <v>21403000</v>
      </c>
      <c r="D85" s="7" t="inlineStr">
        <is>
          <t>(BTH) Hàm Liêm</t>
        </is>
      </c>
      <c r="E85" s="7" t="inlineStr">
        <is>
          <t>TTS</t>
        </is>
      </c>
      <c r="F85" s="36" t="n">
        <v>235</v>
      </c>
      <c r="G85" s="36" t="n">
        <v>196</v>
      </c>
      <c r="H85" s="36" t="n">
        <v>197</v>
      </c>
      <c r="I85" s="36" t="n">
        <v>197</v>
      </c>
      <c r="J85" s="36" t="n">
        <v>141</v>
      </c>
      <c r="K85" s="28" t="n">
        <v>186</v>
      </c>
      <c r="L85" s="36" t="n">
        <v>149</v>
      </c>
      <c r="M85" s="36" t="n">
        <v>195</v>
      </c>
      <c r="N85" s="36" t="n">
        <v>186</v>
      </c>
      <c r="O85" s="36" t="n">
        <v>194</v>
      </c>
      <c r="P85" s="36" t="n">
        <v>213</v>
      </c>
      <c r="Q85" s="36" t="n">
        <v>84</v>
      </c>
      <c r="R85" s="28" t="n">
        <v>212</v>
      </c>
      <c r="S85" s="36" t="n">
        <v>197</v>
      </c>
      <c r="T85" s="36" t="n">
        <v>177</v>
      </c>
      <c r="U85" s="36" t="n">
        <v>143.34</v>
      </c>
      <c r="V85" s="36" t="n">
        <v>140.57</v>
      </c>
      <c r="W85" s="36" t="n">
        <v>137.27</v>
      </c>
      <c r="X85" s="36" t="n">
        <v>110.52</v>
      </c>
      <c r="Y85" s="28" t="n">
        <v>161.17</v>
      </c>
      <c r="Z85" s="36" t="n">
        <v>137.09</v>
      </c>
      <c r="AA85" s="36" t="n">
        <v>151.75</v>
      </c>
      <c r="AB85" s="36" t="n">
        <v>169.31</v>
      </c>
      <c r="AC85" s="36" t="n">
        <v>178.09</v>
      </c>
      <c r="AD85" s="36" t="n">
        <v>183.34</v>
      </c>
      <c r="AE85" s="36" t="n">
        <v>128.44</v>
      </c>
      <c r="AF85" s="28" t="n">
        <v>166.52</v>
      </c>
      <c r="AG85" s="36" t="n">
        <v>139.61</v>
      </c>
      <c r="AH85" s="37" t="n">
        <v>138.29</v>
      </c>
      <c r="AI85" s="37" t="n">
        <v>158.37</v>
      </c>
      <c r="AJ85" s="37" t="n">
        <v>170.45</v>
      </c>
      <c r="AK85" s="37" t="n">
        <v>167.44</v>
      </c>
      <c r="AL85" s="37" t="n">
        <v>118.94</v>
      </c>
      <c r="AM85" s="37" t="n">
        <v>163.94</v>
      </c>
      <c r="AN85" s="37" t="n">
        <v>141.41</v>
      </c>
      <c r="AO85" s="37" t="n">
        <v>140.51</v>
      </c>
      <c r="AP85" s="37" t="n">
        <v>136.42</v>
      </c>
      <c r="AQ85" s="37" t="n">
        <v>137.99</v>
      </c>
      <c r="AR85" s="37" t="n">
        <v>135.28</v>
      </c>
      <c r="AS85" s="37" t="n">
        <v>110.76</v>
      </c>
      <c r="AT85" s="37" t="n">
        <v>177.22</v>
      </c>
      <c r="AU85" s="37" t="n">
        <v>160.41</v>
      </c>
      <c r="AV85" s="37" t="n">
        <v>142.38</v>
      </c>
      <c r="AW85" s="37" t="n">
        <v>134.92</v>
      </c>
      <c r="AX85" s="37" t="n">
        <v>134.02</v>
      </c>
      <c r="AY85" s="37" t="n">
        <v>133.6</v>
      </c>
      <c r="AZ85" s="37" t="n">
        <v>110.88</v>
      </c>
      <c r="BA85" s="37" t="n">
        <v>159.85</v>
      </c>
      <c r="BB85" s="37" t="n">
        <v>149.17</v>
      </c>
      <c r="BC85" s="37" t="n">
        <v>88.89</v>
      </c>
      <c r="BD85" s="37" t="n">
        <v>128.73</v>
      </c>
      <c r="BE85" s="37" t="n">
        <v>152.05</v>
      </c>
      <c r="BF85" s="37" t="n">
        <v>147.37</v>
      </c>
      <c r="BG85" s="37" t="n">
        <v>119.18</v>
      </c>
      <c r="BH85" s="37" t="n">
        <v>177.1</v>
      </c>
      <c r="BI85" s="37" t="n">
        <v>149.17</v>
      </c>
      <c r="BJ85" s="37" t="n">
        <v>139.29</v>
      </c>
      <c r="BK85" s="37" t="n">
        <v>151.75</v>
      </c>
      <c r="BL85" s="37" t="n">
        <v>152.05</v>
      </c>
      <c r="BM85" s="37" t="n">
        <v>147.37</v>
      </c>
      <c r="BN85" s="37" t="n">
        <v>119.18</v>
      </c>
      <c r="BO85" s="37" t="n">
        <v>177.1</v>
      </c>
      <c r="BP85" s="37" t="n">
        <v>149.17</v>
      </c>
      <c r="BQ85" s="37" t="n">
        <v>147.55</v>
      </c>
      <c r="BR85" s="37" t="n">
        <v>151.75</v>
      </c>
      <c r="BS85" s="37" t="n">
        <v>152.05</v>
      </c>
      <c r="BT85" s="37" t="n">
        <v>147.37</v>
      </c>
      <c r="BU85" s="37" t="n">
        <v>119.18</v>
      </c>
      <c r="BV85" s="37" t="n">
        <v>177.1</v>
      </c>
      <c r="BW85" s="37" t="n">
        <v>149.17</v>
      </c>
      <c r="BX85" s="37" t="n">
        <v>147.55</v>
      </c>
      <c r="BY85" s="37" t="n">
        <v>151.75</v>
      </c>
      <c r="BZ85" s="37" t="n">
        <v>152.05</v>
      </c>
      <c r="CA85" s="37" t="n">
        <v>147.37</v>
      </c>
      <c r="CB85" s="37" t="n">
        <v>119.18</v>
      </c>
      <c r="CC85" s="37" t="n">
        <v>11488.74</v>
      </c>
    </row>
    <row r="86" ht="15.75" customHeight="1" s="57">
      <c r="A86" s="7" t="inlineStr">
        <is>
          <t>NTB</t>
        </is>
      </c>
      <c r="B86" s="7" t="inlineStr">
        <is>
          <t>Bình Thuận</t>
        </is>
      </c>
      <c r="C86" s="7" t="n">
        <v>21403000</v>
      </c>
      <c r="D86" s="7" t="inlineStr">
        <is>
          <t>(BTH) Hàm Liêm</t>
        </is>
      </c>
      <c r="E86" s="7" t="inlineStr">
        <is>
          <t>TTS-Bulky</t>
        </is>
      </c>
      <c r="F86" s="36" t="n">
        <v>0</v>
      </c>
      <c r="G86" s="36" t="n">
        <v>1</v>
      </c>
      <c r="H86" s="36" t="n">
        <v>5</v>
      </c>
      <c r="I86" s="36" t="n">
        <v>1</v>
      </c>
      <c r="J86" s="36" t="n">
        <v>3</v>
      </c>
      <c r="K86" s="28" t="n">
        <v>2</v>
      </c>
      <c r="L86" s="36" t="n">
        <v>1</v>
      </c>
      <c r="M86" s="36" t="n">
        <v>2</v>
      </c>
      <c r="N86" s="36" t="n">
        <v>1</v>
      </c>
      <c r="O86" s="36" t="n">
        <v>1</v>
      </c>
      <c r="P86" s="36" t="n">
        <v>0</v>
      </c>
      <c r="Q86" s="36" t="n">
        <v>1</v>
      </c>
      <c r="R86" s="28" t="n">
        <v>2</v>
      </c>
      <c r="S86" s="36" t="n">
        <v>2</v>
      </c>
      <c r="T86" s="36" t="n">
        <v>0</v>
      </c>
      <c r="U86" s="36" t="n">
        <v>6.96</v>
      </c>
      <c r="V86" s="36" t="n">
        <v>7.25</v>
      </c>
      <c r="W86" s="36" t="n">
        <v>3.57</v>
      </c>
      <c r="X86" s="36" t="n">
        <v>2.04</v>
      </c>
      <c r="Y86" s="28" t="n">
        <v>4.93</v>
      </c>
      <c r="Z86" s="36" t="n">
        <v>3.74</v>
      </c>
      <c r="AA86" s="36" t="n">
        <v>3.51</v>
      </c>
      <c r="AB86" s="36" t="n">
        <v>3.74</v>
      </c>
      <c r="AC86" s="36" t="n">
        <v>4.19</v>
      </c>
      <c r="AD86" s="36" t="n">
        <v>4.53</v>
      </c>
      <c r="AE86" s="36" t="n">
        <v>2.32</v>
      </c>
      <c r="AF86" s="28" t="n">
        <v>4.59</v>
      </c>
      <c r="AG86" s="36" t="n">
        <v>3.45</v>
      </c>
      <c r="AH86" s="37" t="n">
        <v>3.34</v>
      </c>
      <c r="AI86" s="37" t="n">
        <v>3.91</v>
      </c>
      <c r="AJ86" s="37" t="n">
        <v>3.96</v>
      </c>
      <c r="AK86" s="37" t="n">
        <v>3.85</v>
      </c>
      <c r="AL86" s="37" t="n">
        <v>2.04</v>
      </c>
      <c r="AM86" s="37" t="n">
        <v>4.59</v>
      </c>
      <c r="AN86" s="37" t="n">
        <v>3.4</v>
      </c>
      <c r="AO86" s="37" t="n">
        <v>3.45</v>
      </c>
      <c r="AP86" s="37" t="n">
        <v>3.45</v>
      </c>
      <c r="AQ86" s="37" t="n">
        <v>3.62</v>
      </c>
      <c r="AR86" s="37" t="n">
        <v>3.51</v>
      </c>
      <c r="AS86" s="37" t="n">
        <v>2.04</v>
      </c>
      <c r="AT86" s="37" t="n">
        <v>4.93</v>
      </c>
      <c r="AU86" s="37" t="n">
        <v>3.85</v>
      </c>
      <c r="AV86" s="37" t="n">
        <v>3.34</v>
      </c>
      <c r="AW86" s="37" t="n">
        <v>3.4</v>
      </c>
      <c r="AX86" s="37" t="n">
        <v>3.57</v>
      </c>
      <c r="AY86" s="37" t="n">
        <v>3.51</v>
      </c>
      <c r="AZ86" s="37" t="n">
        <v>2.04</v>
      </c>
      <c r="BA86" s="37" t="n">
        <v>4.08</v>
      </c>
      <c r="BB86" s="37" t="n">
        <v>0.96</v>
      </c>
      <c r="BC86" s="37" t="n">
        <v>0.45</v>
      </c>
      <c r="BD86" s="37" t="n">
        <v>0.79</v>
      </c>
      <c r="BE86" s="37" t="n">
        <v>0.96</v>
      </c>
      <c r="BF86" s="37" t="n">
        <v>0.96</v>
      </c>
      <c r="BG86" s="37" t="n">
        <v>0.57</v>
      </c>
      <c r="BH86" s="37" t="n">
        <v>1.47</v>
      </c>
      <c r="BI86" s="37" t="n">
        <v>0.96</v>
      </c>
      <c r="BJ86" s="37" t="n">
        <v>1.08</v>
      </c>
      <c r="BK86" s="37" t="n">
        <v>0.96</v>
      </c>
      <c r="BL86" s="37" t="n">
        <v>0.96</v>
      </c>
      <c r="BM86" s="37" t="n">
        <v>0.96</v>
      </c>
      <c r="BN86" s="37" t="n">
        <v>0.62</v>
      </c>
      <c r="BO86" s="37" t="n">
        <v>1.53</v>
      </c>
      <c r="BP86" s="37" t="n">
        <v>1.25</v>
      </c>
      <c r="BQ86" s="37" t="n">
        <v>0.96</v>
      </c>
      <c r="BR86" s="37" t="n">
        <v>0.96</v>
      </c>
      <c r="BS86" s="37" t="n">
        <v>0.96</v>
      </c>
      <c r="BT86" s="37" t="n">
        <v>0.96</v>
      </c>
      <c r="BU86" s="37" t="n">
        <v>0.51</v>
      </c>
      <c r="BV86" s="37" t="n">
        <v>1.25</v>
      </c>
      <c r="BW86" s="37" t="n">
        <v>0.96</v>
      </c>
      <c r="BX86" s="37" t="n">
        <v>0.96</v>
      </c>
      <c r="BY86" s="37" t="n">
        <v>0.96</v>
      </c>
      <c r="BZ86" s="37" t="n">
        <v>0.96</v>
      </c>
      <c r="CA86" s="37" t="n">
        <v>0.96</v>
      </c>
      <c r="CB86" s="37" t="n">
        <v>0.51</v>
      </c>
      <c r="CC86" s="37" t="n">
        <v>172.0900000000001</v>
      </c>
    </row>
    <row r="87" ht="15.75" customHeight="1" s="57">
      <c r="A87" s="7" t="inlineStr">
        <is>
          <t>NTB</t>
        </is>
      </c>
      <c r="B87" s="7" t="inlineStr">
        <is>
          <t>Bình Thuận</t>
        </is>
      </c>
      <c r="C87" s="7" t="n">
        <v>21456000</v>
      </c>
      <c r="D87" s="7" t="inlineStr">
        <is>
          <t>(BTH) Đức Linh</t>
        </is>
      </c>
      <c r="E87" s="7" t="inlineStr">
        <is>
          <t>SME</t>
        </is>
      </c>
      <c r="F87" s="36" t="n">
        <v>436</v>
      </c>
      <c r="G87" s="36" t="n">
        <v>462</v>
      </c>
      <c r="H87" s="36" t="n">
        <v>437</v>
      </c>
      <c r="I87" s="36" t="n">
        <v>431</v>
      </c>
      <c r="J87" s="36" t="n">
        <v>410</v>
      </c>
      <c r="K87" s="28" t="n">
        <v>432</v>
      </c>
      <c r="L87" s="36" t="n">
        <v>361</v>
      </c>
      <c r="M87" s="36" t="n">
        <v>390</v>
      </c>
      <c r="N87" s="36" t="n">
        <v>352</v>
      </c>
      <c r="O87" s="36" t="n">
        <v>391</v>
      </c>
      <c r="P87" s="36" t="n">
        <v>313</v>
      </c>
      <c r="Q87" s="36" t="n">
        <v>364</v>
      </c>
      <c r="R87" s="28" t="n">
        <v>360</v>
      </c>
      <c r="S87" s="36" t="n">
        <v>404</v>
      </c>
      <c r="T87" s="36" t="n">
        <v>384</v>
      </c>
      <c r="U87" s="36" t="n">
        <v>448.52</v>
      </c>
      <c r="V87" s="36" t="n">
        <v>464.43</v>
      </c>
      <c r="W87" s="36" t="n">
        <v>451.53</v>
      </c>
      <c r="X87" s="36" t="n">
        <v>369.63</v>
      </c>
      <c r="Y87" s="28" t="n">
        <v>500.85</v>
      </c>
      <c r="Z87" s="36" t="n">
        <v>460.95</v>
      </c>
      <c r="AA87" s="36" t="n">
        <v>449.98</v>
      </c>
      <c r="AB87" s="36" t="n">
        <v>448.52</v>
      </c>
      <c r="AC87" s="36" t="n">
        <v>464.43</v>
      </c>
      <c r="AD87" s="36" t="n">
        <v>475.15</v>
      </c>
      <c r="AE87" s="36" t="n">
        <v>369.63</v>
      </c>
      <c r="AF87" s="28" t="n">
        <v>500.85</v>
      </c>
      <c r="AG87" s="36" t="n">
        <v>460.95</v>
      </c>
      <c r="AH87" s="37" t="n">
        <v>449.98</v>
      </c>
      <c r="AI87" s="37" t="n">
        <v>448.52</v>
      </c>
      <c r="AJ87" s="37" t="n">
        <v>464.43</v>
      </c>
      <c r="AK87" s="37" t="n">
        <v>451.53</v>
      </c>
      <c r="AL87" s="37" t="n">
        <v>369.63</v>
      </c>
      <c r="AM87" s="37" t="n">
        <v>500.85</v>
      </c>
      <c r="AN87" s="37" t="n">
        <v>460.95</v>
      </c>
      <c r="AO87" s="37" t="n">
        <v>449.98</v>
      </c>
      <c r="AP87" s="37" t="n">
        <v>448.52</v>
      </c>
      <c r="AQ87" s="37" t="n">
        <v>464.43</v>
      </c>
      <c r="AR87" s="37" t="n">
        <v>451.53</v>
      </c>
      <c r="AS87" s="37" t="n">
        <v>369.63</v>
      </c>
      <c r="AT87" s="37" t="n">
        <v>500.85</v>
      </c>
      <c r="AU87" s="37" t="n">
        <v>460.95</v>
      </c>
      <c r="AV87" s="37" t="n">
        <v>449.98</v>
      </c>
      <c r="AW87" s="37" t="n">
        <v>448.52</v>
      </c>
      <c r="AX87" s="37" t="n">
        <v>464.43</v>
      </c>
      <c r="AY87" s="37" t="n">
        <v>451.53</v>
      </c>
      <c r="AZ87" s="37" t="n">
        <v>369.63</v>
      </c>
      <c r="BA87" s="37" t="n">
        <v>450.5</v>
      </c>
      <c r="BB87" s="37" t="n">
        <v>402.97</v>
      </c>
      <c r="BC87" s="37" t="n">
        <v>255.23</v>
      </c>
      <c r="BD87" s="37" t="n">
        <v>254.27</v>
      </c>
      <c r="BE87" s="37" t="n">
        <v>429.68</v>
      </c>
      <c r="BF87" s="37" t="n">
        <v>418.25</v>
      </c>
      <c r="BG87" s="37" t="n">
        <v>381.0700000000001</v>
      </c>
      <c r="BH87" s="37" t="n">
        <v>516.39</v>
      </c>
      <c r="BI87" s="37" t="n">
        <v>475.2</v>
      </c>
      <c r="BJ87" s="37" t="n">
        <v>487.54</v>
      </c>
      <c r="BK87" s="37" t="n">
        <v>462.07</v>
      </c>
      <c r="BL87" s="37" t="n">
        <v>478.8800000000001</v>
      </c>
      <c r="BM87" s="37" t="n">
        <v>465.0700000000001</v>
      </c>
      <c r="BN87" s="37" t="n">
        <v>381.0700000000001</v>
      </c>
      <c r="BO87" s="37" t="n">
        <v>516.39</v>
      </c>
      <c r="BP87" s="37" t="n">
        <v>475.2</v>
      </c>
      <c r="BQ87" s="37" t="n">
        <v>463.61</v>
      </c>
      <c r="BR87" s="37" t="n">
        <v>462.07</v>
      </c>
      <c r="BS87" s="37" t="n">
        <v>478.8800000000001</v>
      </c>
      <c r="BT87" s="37" t="n">
        <v>465.0700000000001</v>
      </c>
      <c r="BU87" s="37" t="n">
        <v>381.0700000000001</v>
      </c>
      <c r="BV87" s="37" t="n">
        <v>516.39</v>
      </c>
      <c r="BW87" s="37" t="n">
        <v>475.2</v>
      </c>
      <c r="BX87" s="37" t="n">
        <v>463.61</v>
      </c>
      <c r="BY87" s="37" t="n">
        <v>462.07</v>
      </c>
      <c r="BZ87" s="37" t="n">
        <v>478.8800000000001</v>
      </c>
      <c r="CA87" s="37" t="n">
        <v>465.0700000000001</v>
      </c>
      <c r="CB87" s="37" t="n">
        <v>381.0700000000001</v>
      </c>
      <c r="CC87" s="37" t="n">
        <v>32611.06000000001</v>
      </c>
    </row>
    <row r="88" ht="15.75" customHeight="1" s="57">
      <c r="A88" s="7" t="inlineStr">
        <is>
          <t>NTB</t>
        </is>
      </c>
      <c r="B88" s="7" t="inlineStr">
        <is>
          <t>Bình Thuận</t>
        </is>
      </c>
      <c r="C88" s="7" t="n">
        <v>21456000</v>
      </c>
      <c r="D88" s="7" t="inlineStr">
        <is>
          <t>(BTH) Đức Linh</t>
        </is>
      </c>
      <c r="E88" s="7" t="inlineStr">
        <is>
          <t>SME-Bulky</t>
        </is>
      </c>
      <c r="F88" s="36" t="n">
        <v>27</v>
      </c>
      <c r="G88" s="36" t="n">
        <v>32</v>
      </c>
      <c r="H88" s="36" t="n">
        <v>30</v>
      </c>
      <c r="I88" s="36" t="n">
        <v>27</v>
      </c>
      <c r="J88" s="36" t="n">
        <v>40</v>
      </c>
      <c r="K88" s="28" t="n">
        <v>32</v>
      </c>
      <c r="L88" s="36" t="n">
        <v>36</v>
      </c>
      <c r="M88" s="36" t="n">
        <v>18</v>
      </c>
      <c r="N88" s="36" t="n">
        <v>29</v>
      </c>
      <c r="O88" s="36" t="n">
        <v>44</v>
      </c>
      <c r="P88" s="36" t="n">
        <v>32</v>
      </c>
      <c r="Q88" s="36" t="n">
        <v>24</v>
      </c>
      <c r="R88" s="28" t="n">
        <v>34</v>
      </c>
      <c r="S88" s="36" t="n">
        <v>28</v>
      </c>
      <c r="T88" s="36" t="n">
        <v>36</v>
      </c>
      <c r="U88" s="36" t="n">
        <v>33.88</v>
      </c>
      <c r="V88" s="36" t="n">
        <v>33.99</v>
      </c>
      <c r="W88" s="36" t="n">
        <v>31.53</v>
      </c>
      <c r="X88" s="36" t="n">
        <v>22.15</v>
      </c>
      <c r="Y88" s="28" t="n">
        <v>37.87</v>
      </c>
      <c r="Z88" s="36" t="n">
        <v>36.8</v>
      </c>
      <c r="AA88" s="36" t="n">
        <v>35.87</v>
      </c>
      <c r="AB88" s="36" t="n">
        <v>33.88</v>
      </c>
      <c r="AC88" s="36" t="n">
        <v>33.99</v>
      </c>
      <c r="AD88" s="36" t="n">
        <v>35.96</v>
      </c>
      <c r="AE88" s="36" t="n">
        <v>22.15</v>
      </c>
      <c r="AF88" s="28" t="n">
        <v>37.87</v>
      </c>
      <c r="AG88" s="36" t="n">
        <v>36.8</v>
      </c>
      <c r="AH88" s="37" t="n">
        <v>35.87</v>
      </c>
      <c r="AI88" s="37" t="n">
        <v>33.88</v>
      </c>
      <c r="AJ88" s="37" t="n">
        <v>33.99</v>
      </c>
      <c r="AK88" s="37" t="n">
        <v>31.53</v>
      </c>
      <c r="AL88" s="37" t="n">
        <v>22.15</v>
      </c>
      <c r="AM88" s="37" t="n">
        <v>37.87</v>
      </c>
      <c r="AN88" s="37" t="n">
        <v>36.8</v>
      </c>
      <c r="AO88" s="37" t="n">
        <v>35.87</v>
      </c>
      <c r="AP88" s="37" t="n">
        <v>33.88</v>
      </c>
      <c r="AQ88" s="37" t="n">
        <v>33.99</v>
      </c>
      <c r="AR88" s="37" t="n">
        <v>31.53</v>
      </c>
      <c r="AS88" s="37" t="n">
        <v>22.15</v>
      </c>
      <c r="AT88" s="37" t="n">
        <v>37.87</v>
      </c>
      <c r="AU88" s="37" t="n">
        <v>36.8</v>
      </c>
      <c r="AV88" s="37" t="n">
        <v>35.87</v>
      </c>
      <c r="AW88" s="37" t="n">
        <v>33.88</v>
      </c>
      <c r="AX88" s="37" t="n">
        <v>33.99</v>
      </c>
      <c r="AY88" s="37" t="n">
        <v>31.53</v>
      </c>
      <c r="AZ88" s="37" t="n">
        <v>22.15</v>
      </c>
      <c r="BA88" s="37" t="n">
        <v>37.98</v>
      </c>
      <c r="BB88" s="37" t="n">
        <v>19.93</v>
      </c>
      <c r="BC88" s="37" t="n">
        <v>10.66</v>
      </c>
      <c r="BD88" s="37" t="n">
        <v>9.609999999999999</v>
      </c>
      <c r="BE88" s="37" t="n">
        <v>17.35</v>
      </c>
      <c r="BF88" s="37" t="n">
        <v>16.65</v>
      </c>
      <c r="BG88" s="37" t="n">
        <v>13.01</v>
      </c>
      <c r="BH88" s="37" t="n">
        <v>22.04</v>
      </c>
      <c r="BI88" s="37" t="n">
        <v>22.04</v>
      </c>
      <c r="BJ88" s="37" t="n">
        <v>22.73</v>
      </c>
      <c r="BK88" s="37" t="n">
        <v>20.04</v>
      </c>
      <c r="BL88" s="37" t="n">
        <v>20.28</v>
      </c>
      <c r="BM88" s="37" t="n">
        <v>18.76</v>
      </c>
      <c r="BN88" s="37" t="n">
        <v>13.01</v>
      </c>
      <c r="BO88" s="37" t="n">
        <v>22.04</v>
      </c>
      <c r="BP88" s="37" t="n">
        <v>22.04</v>
      </c>
      <c r="BQ88" s="37" t="n">
        <v>20.75</v>
      </c>
      <c r="BR88" s="37" t="n">
        <v>20.04</v>
      </c>
      <c r="BS88" s="37" t="n">
        <v>20.28</v>
      </c>
      <c r="BT88" s="37" t="n">
        <v>18.76</v>
      </c>
      <c r="BU88" s="37" t="n">
        <v>13.01</v>
      </c>
      <c r="BV88" s="37" t="n">
        <v>22.04</v>
      </c>
      <c r="BW88" s="37" t="n">
        <v>22.04</v>
      </c>
      <c r="BX88" s="37" t="n">
        <v>20.75</v>
      </c>
      <c r="BY88" s="37" t="n">
        <v>20.04</v>
      </c>
      <c r="BZ88" s="37" t="n">
        <v>20.28</v>
      </c>
      <c r="CA88" s="37" t="n">
        <v>18.76</v>
      </c>
      <c r="CB88" s="37" t="n">
        <v>13.01</v>
      </c>
      <c r="CC88" s="37" t="n">
        <v>2061.27</v>
      </c>
    </row>
    <row r="89" ht="15.75" customHeight="1" s="57">
      <c r="A89" s="7" t="inlineStr">
        <is>
          <t>NTB</t>
        </is>
      </c>
      <c r="B89" s="7" t="inlineStr">
        <is>
          <t>Bình Thuận</t>
        </is>
      </c>
      <c r="C89" s="7" t="n">
        <v>21456000</v>
      </c>
      <c r="D89" s="7" t="inlineStr">
        <is>
          <t>(BTH) Đức Linh</t>
        </is>
      </c>
      <c r="E89" s="7" t="inlineStr">
        <is>
          <t>Shopee</t>
        </is>
      </c>
      <c r="F89" s="36" t="n">
        <v>343</v>
      </c>
      <c r="G89" s="36" t="n">
        <v>297</v>
      </c>
      <c r="H89" s="36" t="n">
        <v>407</v>
      </c>
      <c r="I89" s="36" t="n">
        <v>358</v>
      </c>
      <c r="J89" s="36" t="n">
        <v>339</v>
      </c>
      <c r="K89" s="28" t="n">
        <v>232</v>
      </c>
      <c r="L89" s="36" t="n">
        <v>331</v>
      </c>
      <c r="M89" s="36" t="n">
        <v>345</v>
      </c>
      <c r="N89" s="36" t="n">
        <v>346</v>
      </c>
      <c r="O89" s="36" t="n">
        <v>346</v>
      </c>
      <c r="P89" s="36" t="n">
        <v>275</v>
      </c>
      <c r="Q89" s="36" t="n">
        <v>269</v>
      </c>
      <c r="R89" s="28" t="n">
        <v>233</v>
      </c>
      <c r="S89" s="36" t="n">
        <v>305</v>
      </c>
      <c r="T89" s="36" t="n">
        <v>289</v>
      </c>
      <c r="U89" s="36" t="n">
        <v>310.16</v>
      </c>
      <c r="V89" s="36" t="n">
        <v>311.45</v>
      </c>
      <c r="W89" s="36" t="n">
        <v>306.84</v>
      </c>
      <c r="X89" s="36" t="n">
        <v>249.63</v>
      </c>
      <c r="Y89" s="28" t="n">
        <v>417.94</v>
      </c>
      <c r="Z89" s="36" t="n">
        <v>330.71</v>
      </c>
      <c r="AA89" s="36" t="n">
        <v>454.68</v>
      </c>
      <c r="AB89" s="36" t="n">
        <v>316.55</v>
      </c>
      <c r="AC89" s="36" t="n">
        <v>255.7</v>
      </c>
      <c r="AD89" s="36" t="n">
        <v>694.92</v>
      </c>
      <c r="AE89" s="36" t="n">
        <v>267.19</v>
      </c>
      <c r="AF89" s="28" t="n">
        <v>476.28</v>
      </c>
      <c r="AG89" s="36" t="n">
        <v>347.3</v>
      </c>
      <c r="AH89" s="37" t="n">
        <v>366.96</v>
      </c>
      <c r="AI89" s="37" t="n">
        <v>310.16</v>
      </c>
      <c r="AJ89" s="37" t="n">
        <v>311.45</v>
      </c>
      <c r="AK89" s="37" t="n">
        <v>414.06</v>
      </c>
      <c r="AL89" s="37" t="n">
        <v>448.04</v>
      </c>
      <c r="AM89" s="37" t="n">
        <v>417.94</v>
      </c>
      <c r="AN89" s="37" t="n">
        <v>330.71</v>
      </c>
      <c r="AO89" s="37" t="n">
        <v>366.96</v>
      </c>
      <c r="AP89" s="37" t="n">
        <v>387.27</v>
      </c>
      <c r="AQ89" s="37" t="n">
        <v>249.87</v>
      </c>
      <c r="AR89" s="37" t="n">
        <v>306.84</v>
      </c>
      <c r="AS89" s="37" t="n">
        <v>249.63</v>
      </c>
      <c r="AT89" s="37" t="n">
        <v>417.94</v>
      </c>
      <c r="AU89" s="37" t="n">
        <v>337.51</v>
      </c>
      <c r="AV89" s="37" t="n">
        <v>373.92</v>
      </c>
      <c r="AW89" s="37" t="n">
        <v>310.16</v>
      </c>
      <c r="AX89" s="37" t="n">
        <v>311.45</v>
      </c>
      <c r="AY89" s="37" t="n">
        <v>306.84</v>
      </c>
      <c r="AZ89" s="37" t="n">
        <v>249.63</v>
      </c>
      <c r="BA89" s="37" t="n">
        <v>322.13</v>
      </c>
      <c r="BB89" s="37" t="n">
        <v>280.7</v>
      </c>
      <c r="BC89" s="37" t="n">
        <v>143.14</v>
      </c>
      <c r="BD89" s="37" t="n">
        <v>253.76</v>
      </c>
      <c r="BE89" s="37" t="n">
        <v>296.81</v>
      </c>
      <c r="BF89" s="37" t="n">
        <v>292.36</v>
      </c>
      <c r="BG89" s="37" t="n">
        <v>242.43</v>
      </c>
      <c r="BH89" s="37" t="n">
        <v>397.79</v>
      </c>
      <c r="BI89" s="37" t="n">
        <v>258.13</v>
      </c>
      <c r="BJ89" s="37" t="n">
        <v>986.39</v>
      </c>
      <c r="BK89" s="37" t="n">
        <v>316.23</v>
      </c>
      <c r="BL89" s="37" t="n">
        <v>311.45</v>
      </c>
      <c r="BM89" s="37" t="n">
        <v>292.36</v>
      </c>
      <c r="BN89" s="37" t="n">
        <v>237.74</v>
      </c>
      <c r="BO89" s="37" t="n">
        <v>397.79</v>
      </c>
      <c r="BP89" s="37" t="n">
        <v>425.22</v>
      </c>
      <c r="BQ89" s="37" t="n">
        <v>627.27</v>
      </c>
      <c r="BR89" s="37" t="n">
        <v>295.51</v>
      </c>
      <c r="BS89" s="37" t="n">
        <v>296.81</v>
      </c>
      <c r="BT89" s="37" t="n">
        <v>292.36</v>
      </c>
      <c r="BU89" s="37" t="n">
        <v>297.13</v>
      </c>
      <c r="BV89" s="37" t="n">
        <v>318.9</v>
      </c>
      <c r="BW89" s="37" t="n">
        <v>315.09</v>
      </c>
      <c r="BX89" s="37" t="n">
        <v>349.73</v>
      </c>
      <c r="BY89" s="37" t="n">
        <v>295.51</v>
      </c>
      <c r="BZ89" s="37" t="n">
        <v>302.71</v>
      </c>
      <c r="CA89" s="37" t="n">
        <v>298.26</v>
      </c>
      <c r="CB89" s="37" t="n">
        <v>237.74</v>
      </c>
      <c r="CC89" s="37" t="n">
        <v>25303.14000000001</v>
      </c>
    </row>
    <row r="90" ht="15.75" customHeight="1" s="57">
      <c r="A90" s="7" t="inlineStr">
        <is>
          <t>NTB</t>
        </is>
      </c>
      <c r="B90" s="7" t="inlineStr">
        <is>
          <t>Bình Thuận</t>
        </is>
      </c>
      <c r="C90" s="7" t="n">
        <v>21456000</v>
      </c>
      <c r="D90" s="7" t="inlineStr">
        <is>
          <t>(BTH) Đức Linh</t>
        </is>
      </c>
      <c r="E90" s="7" t="inlineStr">
        <is>
          <t>Shopee-Bulky</t>
        </is>
      </c>
      <c r="F90" s="36" t="n">
        <v>46.65</v>
      </c>
      <c r="G90" s="36" t="n">
        <v>59.98</v>
      </c>
      <c r="H90" s="36" t="n">
        <v>57.98</v>
      </c>
      <c r="I90" s="36" t="n">
        <v>45.98</v>
      </c>
      <c r="J90" s="36" t="n">
        <v>41.99</v>
      </c>
      <c r="K90" s="28" t="n">
        <v>34.66</v>
      </c>
      <c r="L90" s="36" t="n">
        <v>31.99</v>
      </c>
      <c r="M90" s="36" t="n">
        <v>43.99</v>
      </c>
      <c r="N90" s="36" t="n">
        <v>43.99</v>
      </c>
      <c r="O90" s="36" t="n">
        <v>55.32</v>
      </c>
      <c r="P90" s="36" t="n">
        <v>37.99</v>
      </c>
      <c r="Q90" s="36" t="n">
        <v>48.65</v>
      </c>
      <c r="R90" s="28" t="n">
        <v>54.65</v>
      </c>
      <c r="S90" s="36" t="n">
        <v>49.98</v>
      </c>
      <c r="T90" s="36" t="n">
        <v>45.32</v>
      </c>
      <c r="U90" s="36" t="n">
        <v>46.16</v>
      </c>
      <c r="V90" s="36" t="n">
        <v>44.59</v>
      </c>
      <c r="W90" s="36" t="n">
        <v>62.21</v>
      </c>
      <c r="X90" s="36" t="n">
        <v>35.51</v>
      </c>
      <c r="Y90" s="28" t="n">
        <v>68.06</v>
      </c>
      <c r="Z90" s="36" t="n">
        <v>53.66</v>
      </c>
      <c r="AA90" s="36" t="n">
        <v>52</v>
      </c>
      <c r="AB90" s="36" t="n">
        <v>53.05</v>
      </c>
      <c r="AC90" s="36" t="n">
        <v>54.79</v>
      </c>
      <c r="AD90" s="36" t="n">
        <v>171.54</v>
      </c>
      <c r="AE90" s="36" t="n">
        <v>89.52</v>
      </c>
      <c r="AF90" s="28" t="n">
        <v>133.24</v>
      </c>
      <c r="AG90" s="36" t="n">
        <v>76.43000000000001</v>
      </c>
      <c r="AH90" s="37" t="n">
        <v>53.22</v>
      </c>
      <c r="AI90" s="37" t="n">
        <v>52.35</v>
      </c>
      <c r="AJ90" s="37" t="n">
        <v>50</v>
      </c>
      <c r="AK90" s="37" t="n">
        <v>113.6</v>
      </c>
      <c r="AL90" s="37" t="n">
        <v>58.11</v>
      </c>
      <c r="AM90" s="37" t="n">
        <v>84.2</v>
      </c>
      <c r="AN90" s="37" t="n">
        <v>52.7</v>
      </c>
      <c r="AO90" s="37" t="n">
        <v>50.96</v>
      </c>
      <c r="AP90" s="37" t="n">
        <v>69.54000000000001</v>
      </c>
      <c r="AQ90" s="37" t="n">
        <v>69.8</v>
      </c>
      <c r="AR90" s="37" t="n">
        <v>56.54</v>
      </c>
      <c r="AS90" s="37" t="n">
        <v>31.32</v>
      </c>
      <c r="AT90" s="37" t="n">
        <v>62.56</v>
      </c>
      <c r="AU90" s="37" t="n">
        <v>101.65</v>
      </c>
      <c r="AV90" s="37" t="n">
        <v>107.58</v>
      </c>
      <c r="AW90" s="37" t="n">
        <v>51.57</v>
      </c>
      <c r="AX90" s="37" t="n">
        <v>48.16</v>
      </c>
      <c r="AY90" s="37" t="n">
        <v>54.36</v>
      </c>
      <c r="AZ90" s="37" t="n">
        <v>30.02</v>
      </c>
      <c r="BA90" s="37" t="n">
        <v>57.41</v>
      </c>
      <c r="BB90" s="37" t="n">
        <v>53.22</v>
      </c>
      <c r="BC90" s="37" t="n">
        <v>17.63</v>
      </c>
      <c r="BD90" s="37" t="n">
        <v>45.11</v>
      </c>
      <c r="BE90" s="37" t="n">
        <v>55.49</v>
      </c>
      <c r="BF90" s="37" t="n">
        <v>48.69</v>
      </c>
      <c r="BG90" s="37" t="n">
        <v>40.49</v>
      </c>
      <c r="BH90" s="37" t="n">
        <v>73.20999999999999</v>
      </c>
      <c r="BI90" s="37" t="n">
        <v>62.47</v>
      </c>
      <c r="BJ90" s="37" t="n">
        <v>270.14</v>
      </c>
      <c r="BK90" s="37" t="n">
        <v>131.75</v>
      </c>
      <c r="BL90" s="37" t="n">
        <v>69.02</v>
      </c>
      <c r="BM90" s="37" t="n">
        <v>51.04</v>
      </c>
      <c r="BN90" s="37" t="n">
        <v>39.18</v>
      </c>
      <c r="BO90" s="37" t="n">
        <v>83.76000000000001</v>
      </c>
      <c r="BP90" s="37" t="n">
        <v>123.55</v>
      </c>
      <c r="BQ90" s="37" t="n">
        <v>88.47</v>
      </c>
      <c r="BR90" s="37" t="n">
        <v>58.9</v>
      </c>
      <c r="BS90" s="37" t="n">
        <v>55.49</v>
      </c>
      <c r="BT90" s="37" t="n">
        <v>48.69</v>
      </c>
      <c r="BU90" s="37" t="n">
        <v>56.63</v>
      </c>
      <c r="BV90" s="37" t="n">
        <v>77.04000000000001</v>
      </c>
      <c r="BW90" s="37" t="n">
        <v>62.47</v>
      </c>
      <c r="BX90" s="37" t="n">
        <v>59.86</v>
      </c>
      <c r="BY90" s="37" t="n">
        <v>58.9</v>
      </c>
      <c r="BZ90" s="37" t="n">
        <v>99.81999999999999</v>
      </c>
      <c r="CA90" s="37" t="n">
        <v>58.37</v>
      </c>
      <c r="CB90" s="37" t="n">
        <v>38.83</v>
      </c>
      <c r="CC90" s="37" t="n">
        <v>4823.749999999997</v>
      </c>
    </row>
    <row r="91" ht="15.75" customHeight="1" s="57">
      <c r="A91" s="7" t="inlineStr">
        <is>
          <t>NTB</t>
        </is>
      </c>
      <c r="B91" s="7" t="inlineStr">
        <is>
          <t>Bình Thuận</t>
        </is>
      </c>
      <c r="C91" s="7" t="n">
        <v>21456000</v>
      </c>
      <c r="D91" s="7" t="inlineStr">
        <is>
          <t>(BTH) Đức Linh</t>
        </is>
      </c>
      <c r="E91" s="7" t="inlineStr">
        <is>
          <t>Shopee-Bulky (10-15kg)</t>
        </is>
      </c>
      <c r="F91" s="36" t="n">
        <v>23.35</v>
      </c>
      <c r="G91" s="36" t="n">
        <v>30.02</v>
      </c>
      <c r="H91" s="36" t="n">
        <v>29.02</v>
      </c>
      <c r="I91" s="36" t="n">
        <v>23.02</v>
      </c>
      <c r="J91" s="36" t="n">
        <v>21.01</v>
      </c>
      <c r="K91" s="28" t="n">
        <v>17.34</v>
      </c>
      <c r="L91" s="36" t="n">
        <v>16.01</v>
      </c>
      <c r="M91" s="36" t="n">
        <v>22.01</v>
      </c>
      <c r="N91" s="36" t="n">
        <v>22.01</v>
      </c>
      <c r="O91" s="36" t="n">
        <v>27.68</v>
      </c>
      <c r="P91" s="36" t="n">
        <v>19.01</v>
      </c>
      <c r="Q91" s="36" t="n">
        <v>24.35</v>
      </c>
      <c r="R91" s="28" t="n">
        <v>27.35</v>
      </c>
      <c r="S91" s="36" t="n">
        <v>25.02</v>
      </c>
      <c r="T91" s="36" t="n">
        <v>22.68</v>
      </c>
      <c r="U91" s="36" t="n">
        <v>23.82</v>
      </c>
      <c r="V91" s="36" t="n">
        <v>23.12</v>
      </c>
      <c r="W91" s="36" t="n">
        <v>31.15</v>
      </c>
      <c r="X91" s="36" t="n">
        <v>16.93</v>
      </c>
      <c r="Y91" s="28" t="n">
        <v>33.68</v>
      </c>
      <c r="Z91" s="36" t="n">
        <v>26.52</v>
      </c>
      <c r="AA91" s="36" t="n">
        <v>25.83</v>
      </c>
      <c r="AB91" s="36" t="n">
        <v>26.26</v>
      </c>
      <c r="AC91" s="36" t="n">
        <v>27.22</v>
      </c>
      <c r="AD91" s="36" t="n">
        <v>111.07</v>
      </c>
      <c r="AE91" s="36" t="n">
        <v>44.5</v>
      </c>
      <c r="AF91" s="28" t="n">
        <v>62.56</v>
      </c>
      <c r="AG91" s="36" t="n">
        <v>37.96</v>
      </c>
      <c r="AH91" s="37" t="n">
        <v>26.18</v>
      </c>
      <c r="AI91" s="37" t="n">
        <v>25.3</v>
      </c>
      <c r="AJ91" s="37" t="n">
        <v>24.78</v>
      </c>
      <c r="AK91" s="37" t="n">
        <v>57.94</v>
      </c>
      <c r="AL91" s="37" t="n">
        <v>28.27</v>
      </c>
      <c r="AM91" s="37" t="n">
        <v>41.1</v>
      </c>
      <c r="AN91" s="37" t="n">
        <v>26.18</v>
      </c>
      <c r="AO91" s="37" t="n">
        <v>24.95</v>
      </c>
      <c r="AP91" s="37" t="n">
        <v>33.77</v>
      </c>
      <c r="AQ91" s="37" t="n">
        <v>33.85</v>
      </c>
      <c r="AR91" s="37" t="n">
        <v>28.1</v>
      </c>
      <c r="AS91" s="37" t="n">
        <v>15.01</v>
      </c>
      <c r="AT91" s="37" t="n">
        <v>30.45</v>
      </c>
      <c r="AU91" s="37" t="n">
        <v>52.09</v>
      </c>
      <c r="AV91" s="37" t="n">
        <v>52.09</v>
      </c>
      <c r="AW91" s="37" t="n">
        <v>25.04</v>
      </c>
      <c r="AX91" s="37" t="n">
        <v>23.56</v>
      </c>
      <c r="AY91" s="37" t="n">
        <v>26.87</v>
      </c>
      <c r="AZ91" s="37" t="n">
        <v>14.4</v>
      </c>
      <c r="BA91" s="37" t="n">
        <v>27.92</v>
      </c>
      <c r="BB91" s="37" t="n">
        <v>26.7</v>
      </c>
      <c r="BC91" s="37" t="n">
        <v>9.25</v>
      </c>
      <c r="BD91" s="37" t="n">
        <v>22.77</v>
      </c>
      <c r="BE91" s="37" t="n">
        <v>27.57</v>
      </c>
      <c r="BF91" s="37" t="n">
        <v>24.69</v>
      </c>
      <c r="BG91" s="37" t="n">
        <v>19.72</v>
      </c>
      <c r="BH91" s="37" t="n">
        <v>36.21</v>
      </c>
      <c r="BI91" s="37" t="n">
        <v>31.15</v>
      </c>
      <c r="BJ91" s="37" t="n">
        <v>153.83</v>
      </c>
      <c r="BK91" s="37" t="n">
        <v>65.61</v>
      </c>
      <c r="BL91" s="37" t="n">
        <v>33.51</v>
      </c>
      <c r="BM91" s="37" t="n">
        <v>25.65</v>
      </c>
      <c r="BN91" s="37" t="n">
        <v>19.72</v>
      </c>
      <c r="BO91" s="37" t="n">
        <v>43.1</v>
      </c>
      <c r="BP91" s="37" t="n">
        <v>61.86</v>
      </c>
      <c r="BQ91" s="37" t="n">
        <v>45.37</v>
      </c>
      <c r="BR91" s="37" t="n">
        <v>29.23</v>
      </c>
      <c r="BS91" s="37" t="n">
        <v>27.57</v>
      </c>
      <c r="BT91" s="37" t="n">
        <v>24.69</v>
      </c>
      <c r="BU91" s="37" t="n">
        <v>27.92</v>
      </c>
      <c r="BV91" s="37" t="n">
        <v>39.35</v>
      </c>
      <c r="BW91" s="37" t="n">
        <v>31.15</v>
      </c>
      <c r="BX91" s="37" t="n">
        <v>29.75</v>
      </c>
      <c r="BY91" s="37" t="n">
        <v>29.23</v>
      </c>
      <c r="BZ91" s="37" t="n">
        <v>50.17</v>
      </c>
      <c r="CA91" s="37" t="n">
        <v>29.14</v>
      </c>
      <c r="CB91" s="37" t="n">
        <v>18.67</v>
      </c>
      <c r="CC91" s="37" t="n">
        <v>2441.93</v>
      </c>
    </row>
    <row r="92" ht="15.75" customHeight="1" s="57">
      <c r="A92" s="7" t="inlineStr">
        <is>
          <t>NTB</t>
        </is>
      </c>
      <c r="B92" s="7" t="inlineStr">
        <is>
          <t>Bình Thuận</t>
        </is>
      </c>
      <c r="C92" s="7" t="n">
        <v>21456000</v>
      </c>
      <c r="D92" s="7" t="inlineStr">
        <is>
          <t>(BTH) Đức Linh</t>
        </is>
      </c>
      <c r="E92" s="7" t="inlineStr">
        <is>
          <t>TTS</t>
        </is>
      </c>
      <c r="F92" s="36" t="n">
        <v>310</v>
      </c>
      <c r="G92" s="36" t="n">
        <v>292</v>
      </c>
      <c r="H92" s="36" t="n">
        <v>254</v>
      </c>
      <c r="I92" s="36" t="n">
        <v>268</v>
      </c>
      <c r="J92" s="36" t="n">
        <v>311</v>
      </c>
      <c r="K92" s="28" t="n">
        <v>291</v>
      </c>
      <c r="L92" s="36" t="n">
        <v>262</v>
      </c>
      <c r="M92" s="36" t="n">
        <v>300</v>
      </c>
      <c r="N92" s="36" t="n">
        <v>254</v>
      </c>
      <c r="O92" s="36" t="n">
        <v>283</v>
      </c>
      <c r="P92" s="36" t="n">
        <v>275</v>
      </c>
      <c r="Q92" s="36" t="n">
        <v>255</v>
      </c>
      <c r="R92" s="28" t="n">
        <v>227</v>
      </c>
      <c r="S92" s="36" t="n">
        <v>359</v>
      </c>
      <c r="T92" s="36" t="n">
        <v>299</v>
      </c>
      <c r="U92" s="36" t="n">
        <v>221.59</v>
      </c>
      <c r="V92" s="36" t="n">
        <v>217.31</v>
      </c>
      <c r="W92" s="36" t="n">
        <v>212.2</v>
      </c>
      <c r="X92" s="36" t="n">
        <v>170.86</v>
      </c>
      <c r="Y92" s="28" t="n">
        <v>249.18</v>
      </c>
      <c r="Z92" s="36" t="n">
        <v>211.92</v>
      </c>
      <c r="AA92" s="36" t="n">
        <v>234.6</v>
      </c>
      <c r="AB92" s="36" t="n">
        <v>261.73</v>
      </c>
      <c r="AC92" s="36" t="n">
        <v>275.29</v>
      </c>
      <c r="AD92" s="36" t="n">
        <v>283.46</v>
      </c>
      <c r="AE92" s="36" t="n">
        <v>198.55</v>
      </c>
      <c r="AF92" s="28" t="n">
        <v>257.45</v>
      </c>
      <c r="AG92" s="36" t="n">
        <v>215.82</v>
      </c>
      <c r="AH92" s="37" t="n">
        <v>213.78</v>
      </c>
      <c r="AI92" s="37" t="n">
        <v>244.82</v>
      </c>
      <c r="AJ92" s="37" t="n">
        <v>263.49</v>
      </c>
      <c r="AK92" s="37" t="n">
        <v>258.85</v>
      </c>
      <c r="AL92" s="37" t="n">
        <v>183.86</v>
      </c>
      <c r="AM92" s="37" t="n">
        <v>253.46</v>
      </c>
      <c r="AN92" s="37" t="n">
        <v>218.62</v>
      </c>
      <c r="AO92" s="37" t="n">
        <v>217.22</v>
      </c>
      <c r="AP92" s="37" t="n">
        <v>210.9</v>
      </c>
      <c r="AQ92" s="37" t="n">
        <v>213.32</v>
      </c>
      <c r="AR92" s="37" t="n">
        <v>209.13</v>
      </c>
      <c r="AS92" s="37" t="n">
        <v>171.23</v>
      </c>
      <c r="AT92" s="37" t="n">
        <v>273.98</v>
      </c>
      <c r="AU92" s="37" t="n">
        <v>247.98</v>
      </c>
      <c r="AV92" s="37" t="n">
        <v>220.1</v>
      </c>
      <c r="AW92" s="37" t="n">
        <v>208.58</v>
      </c>
      <c r="AX92" s="37" t="n">
        <v>207.18</v>
      </c>
      <c r="AY92" s="37" t="n">
        <v>206.53</v>
      </c>
      <c r="AZ92" s="37" t="n">
        <v>171.41</v>
      </c>
      <c r="BA92" s="37" t="n">
        <v>247.14</v>
      </c>
      <c r="BB92" s="37" t="n">
        <v>230.6</v>
      </c>
      <c r="BC92" s="37" t="n">
        <v>137.41</v>
      </c>
      <c r="BD92" s="37" t="n">
        <v>199.01</v>
      </c>
      <c r="BE92" s="37" t="n">
        <v>235.06</v>
      </c>
      <c r="BF92" s="37" t="n">
        <v>227.81</v>
      </c>
      <c r="BG92" s="37" t="n">
        <v>184.24</v>
      </c>
      <c r="BH92" s="37" t="n">
        <v>273.8</v>
      </c>
      <c r="BI92" s="37" t="n">
        <v>230.6</v>
      </c>
      <c r="BJ92" s="37" t="n">
        <v>215.36</v>
      </c>
      <c r="BK92" s="37" t="n">
        <v>234.6</v>
      </c>
      <c r="BL92" s="37" t="n">
        <v>235.06</v>
      </c>
      <c r="BM92" s="37" t="n">
        <v>227.81</v>
      </c>
      <c r="BN92" s="37" t="n">
        <v>184.24</v>
      </c>
      <c r="BO92" s="37" t="n">
        <v>273.8</v>
      </c>
      <c r="BP92" s="37" t="n">
        <v>230.6</v>
      </c>
      <c r="BQ92" s="37" t="n">
        <v>228.09</v>
      </c>
      <c r="BR92" s="37" t="n">
        <v>234.6</v>
      </c>
      <c r="BS92" s="37" t="n">
        <v>235.06</v>
      </c>
      <c r="BT92" s="37" t="n">
        <v>227.81</v>
      </c>
      <c r="BU92" s="37" t="n">
        <v>184.24</v>
      </c>
      <c r="BV92" s="37" t="n">
        <v>273.8</v>
      </c>
      <c r="BW92" s="37" t="n">
        <v>230.6</v>
      </c>
      <c r="BX92" s="37" t="n">
        <v>228.09</v>
      </c>
      <c r="BY92" s="37" t="n">
        <v>234.6</v>
      </c>
      <c r="BZ92" s="37" t="n">
        <v>235.06</v>
      </c>
      <c r="CA92" s="37" t="n">
        <v>227.81</v>
      </c>
      <c r="CB92" s="37" t="n">
        <v>184.24</v>
      </c>
      <c r="CC92" s="37" t="n">
        <v>17735.54</v>
      </c>
    </row>
    <row r="93" ht="15.75" customHeight="1" s="57">
      <c r="A93" s="7" t="inlineStr">
        <is>
          <t>NTB</t>
        </is>
      </c>
      <c r="B93" s="7" t="inlineStr">
        <is>
          <t>Bình Thuận</t>
        </is>
      </c>
      <c r="C93" s="7" t="n">
        <v>21456000</v>
      </c>
      <c r="D93" s="7" t="inlineStr">
        <is>
          <t>(BTH) Đức Linh</t>
        </is>
      </c>
      <c r="E93" s="7" t="inlineStr">
        <is>
          <t>TTS-Bulky</t>
        </is>
      </c>
      <c r="F93" s="36" t="n">
        <v>5</v>
      </c>
      <c r="G93" s="36" t="n">
        <v>2</v>
      </c>
      <c r="H93" s="36" t="n">
        <v>2</v>
      </c>
      <c r="I93" s="36" t="n">
        <v>5</v>
      </c>
      <c r="J93" s="36" t="n">
        <v>4</v>
      </c>
      <c r="K93" s="28" t="n">
        <v>3</v>
      </c>
      <c r="L93" s="36" t="n">
        <v>1</v>
      </c>
      <c r="M93" s="36" t="n">
        <v>0</v>
      </c>
      <c r="N93" s="36" t="n">
        <v>5</v>
      </c>
      <c r="O93" s="36" t="n">
        <v>1</v>
      </c>
      <c r="P93" s="36" t="n">
        <v>1</v>
      </c>
      <c r="Q93" s="36" t="n">
        <v>1</v>
      </c>
      <c r="R93" s="28" t="n">
        <v>4</v>
      </c>
      <c r="S93" s="36" t="n">
        <v>2</v>
      </c>
      <c r="T93" s="36" t="n">
        <v>3</v>
      </c>
      <c r="U93" s="36" t="n">
        <v>11.33</v>
      </c>
      <c r="V93" s="36" t="n">
        <v>11.79</v>
      </c>
      <c r="W93" s="36" t="n">
        <v>5.8</v>
      </c>
      <c r="X93" s="36" t="n">
        <v>3.32</v>
      </c>
      <c r="Y93" s="28" t="n">
        <v>8.02</v>
      </c>
      <c r="Z93" s="36" t="n">
        <v>6.08</v>
      </c>
      <c r="AA93" s="36" t="n">
        <v>5.71</v>
      </c>
      <c r="AB93" s="36" t="n">
        <v>6.08</v>
      </c>
      <c r="AC93" s="36" t="n">
        <v>6.82</v>
      </c>
      <c r="AD93" s="36" t="n">
        <v>7.37</v>
      </c>
      <c r="AE93" s="36" t="n">
        <v>3.78</v>
      </c>
      <c r="AF93" s="28" t="n">
        <v>7.46</v>
      </c>
      <c r="AG93" s="36" t="n">
        <v>5.62</v>
      </c>
      <c r="AH93" s="37" t="n">
        <v>5.44</v>
      </c>
      <c r="AI93" s="37" t="n">
        <v>6.36</v>
      </c>
      <c r="AJ93" s="37" t="n">
        <v>6.45</v>
      </c>
      <c r="AK93" s="37" t="n">
        <v>6.26</v>
      </c>
      <c r="AL93" s="37" t="n">
        <v>3.32</v>
      </c>
      <c r="AM93" s="37" t="n">
        <v>7.46</v>
      </c>
      <c r="AN93" s="37" t="n">
        <v>5.53</v>
      </c>
      <c r="AO93" s="37" t="n">
        <v>5.62</v>
      </c>
      <c r="AP93" s="37" t="n">
        <v>5.62</v>
      </c>
      <c r="AQ93" s="37" t="n">
        <v>5.9</v>
      </c>
      <c r="AR93" s="37" t="n">
        <v>5.71</v>
      </c>
      <c r="AS93" s="37" t="n">
        <v>3.32</v>
      </c>
      <c r="AT93" s="37" t="n">
        <v>8.02</v>
      </c>
      <c r="AU93" s="37" t="n">
        <v>6.26</v>
      </c>
      <c r="AV93" s="37" t="n">
        <v>5.44</v>
      </c>
      <c r="AW93" s="37" t="n">
        <v>5.53</v>
      </c>
      <c r="AX93" s="37" t="n">
        <v>5.8</v>
      </c>
      <c r="AY93" s="37" t="n">
        <v>5.71</v>
      </c>
      <c r="AZ93" s="37" t="n">
        <v>3.32</v>
      </c>
      <c r="BA93" s="37" t="n">
        <v>6.63</v>
      </c>
      <c r="BB93" s="37" t="n">
        <v>1.57</v>
      </c>
      <c r="BC93" s="37" t="n">
        <v>0.74</v>
      </c>
      <c r="BD93" s="37" t="n">
        <v>1.29</v>
      </c>
      <c r="BE93" s="37" t="n">
        <v>1.57</v>
      </c>
      <c r="BF93" s="37" t="n">
        <v>1.57</v>
      </c>
      <c r="BG93" s="37" t="n">
        <v>0.92</v>
      </c>
      <c r="BH93" s="37" t="n">
        <v>2.4</v>
      </c>
      <c r="BI93" s="37" t="n">
        <v>1.57</v>
      </c>
      <c r="BJ93" s="37" t="n">
        <v>1.75</v>
      </c>
      <c r="BK93" s="37" t="n">
        <v>1.57</v>
      </c>
      <c r="BL93" s="37" t="n">
        <v>1.57</v>
      </c>
      <c r="BM93" s="37" t="n">
        <v>1.57</v>
      </c>
      <c r="BN93" s="37" t="n">
        <v>1.01</v>
      </c>
      <c r="BO93" s="37" t="n">
        <v>2.49</v>
      </c>
      <c r="BP93" s="37" t="n">
        <v>2.03</v>
      </c>
      <c r="BQ93" s="37" t="n">
        <v>1.57</v>
      </c>
      <c r="BR93" s="37" t="n">
        <v>1.57</v>
      </c>
      <c r="BS93" s="37" t="n">
        <v>1.57</v>
      </c>
      <c r="BT93" s="37" t="n">
        <v>1.57</v>
      </c>
      <c r="BU93" s="37" t="n">
        <v>0.83</v>
      </c>
      <c r="BV93" s="37" t="n">
        <v>2.03</v>
      </c>
      <c r="BW93" s="37" t="n">
        <v>1.57</v>
      </c>
      <c r="BX93" s="37" t="n">
        <v>1.57</v>
      </c>
      <c r="BY93" s="37" t="n">
        <v>1.57</v>
      </c>
      <c r="BZ93" s="37" t="n">
        <v>1.57</v>
      </c>
      <c r="CA93" s="37" t="n">
        <v>1.57</v>
      </c>
      <c r="CB93" s="37" t="n">
        <v>0.83</v>
      </c>
      <c r="CC93" s="37" t="n">
        <v>283.3199999999998</v>
      </c>
    </row>
    <row r="94" ht="15.75" customHeight="1" s="57">
      <c r="A94" s="7" t="inlineStr">
        <is>
          <t>NTB</t>
        </is>
      </c>
      <c r="B94" s="7" t="inlineStr">
        <is>
          <t>Bình Thuận</t>
        </is>
      </c>
      <c r="C94" s="7" t="n">
        <v>21594000</v>
      </c>
      <c r="D94" s="7" t="inlineStr">
        <is>
          <t>(BTH) Phước Hội</t>
        </is>
      </c>
      <c r="E94" s="7" t="inlineStr">
        <is>
          <t>SME</t>
        </is>
      </c>
      <c r="F94" s="36" t="n">
        <v>424</v>
      </c>
      <c r="G94" s="36" t="n">
        <v>427</v>
      </c>
      <c r="H94" s="36" t="n">
        <v>447</v>
      </c>
      <c r="I94" s="36" t="n">
        <v>473</v>
      </c>
      <c r="J94" s="36" t="n">
        <v>460</v>
      </c>
      <c r="K94" s="28" t="n">
        <v>332</v>
      </c>
      <c r="L94" s="36" t="n">
        <v>368</v>
      </c>
      <c r="M94" s="36" t="n">
        <v>333</v>
      </c>
      <c r="N94" s="36" t="n">
        <v>347</v>
      </c>
      <c r="O94" s="36" t="n">
        <v>390</v>
      </c>
      <c r="P94" s="36" t="n">
        <v>380</v>
      </c>
      <c r="Q94" s="36" t="n">
        <v>328</v>
      </c>
      <c r="R94" s="28" t="n">
        <v>352</v>
      </c>
      <c r="S94" s="36" t="n">
        <v>431</v>
      </c>
      <c r="T94" s="36" t="n">
        <v>371</v>
      </c>
      <c r="U94" s="36" t="n">
        <v>440.45</v>
      </c>
      <c r="V94" s="36" t="n">
        <v>455.86</v>
      </c>
      <c r="W94" s="36" t="n">
        <v>443.31</v>
      </c>
      <c r="X94" s="36" t="n">
        <v>362.74</v>
      </c>
      <c r="Y94" s="28" t="n">
        <v>491.47</v>
      </c>
      <c r="Z94" s="36" t="n">
        <v>452.39</v>
      </c>
      <c r="AA94" s="36" t="n">
        <v>441.74</v>
      </c>
      <c r="AB94" s="36" t="n">
        <v>440.45</v>
      </c>
      <c r="AC94" s="36" t="n">
        <v>455.86</v>
      </c>
      <c r="AD94" s="36" t="n">
        <v>464.18</v>
      </c>
      <c r="AE94" s="36" t="n">
        <v>362.74</v>
      </c>
      <c r="AF94" s="28" t="n">
        <v>491.47</v>
      </c>
      <c r="AG94" s="36" t="n">
        <v>452.39</v>
      </c>
      <c r="AH94" s="37" t="n">
        <v>441.74</v>
      </c>
      <c r="AI94" s="37" t="n">
        <v>440.45</v>
      </c>
      <c r="AJ94" s="37" t="n">
        <v>455.86</v>
      </c>
      <c r="AK94" s="37" t="n">
        <v>443.31</v>
      </c>
      <c r="AL94" s="37" t="n">
        <v>362.74</v>
      </c>
      <c r="AM94" s="37" t="n">
        <v>491.47</v>
      </c>
      <c r="AN94" s="37" t="n">
        <v>452.39</v>
      </c>
      <c r="AO94" s="37" t="n">
        <v>441.74</v>
      </c>
      <c r="AP94" s="37" t="n">
        <v>440.45</v>
      </c>
      <c r="AQ94" s="37" t="n">
        <v>455.86</v>
      </c>
      <c r="AR94" s="37" t="n">
        <v>443.31</v>
      </c>
      <c r="AS94" s="37" t="n">
        <v>362.74</v>
      </c>
      <c r="AT94" s="37" t="n">
        <v>491.47</v>
      </c>
      <c r="AU94" s="37" t="n">
        <v>452.39</v>
      </c>
      <c r="AV94" s="37" t="n">
        <v>441.74</v>
      </c>
      <c r="AW94" s="37" t="n">
        <v>440.45</v>
      </c>
      <c r="AX94" s="37" t="n">
        <v>455.86</v>
      </c>
      <c r="AY94" s="37" t="n">
        <v>443.31</v>
      </c>
      <c r="AZ94" s="37" t="n">
        <v>362.74</v>
      </c>
      <c r="BA94" s="37" t="n">
        <v>442.34</v>
      </c>
      <c r="BB94" s="37" t="n">
        <v>395.85</v>
      </c>
      <c r="BC94" s="37" t="n">
        <v>250.79</v>
      </c>
      <c r="BD94" s="37" t="n">
        <v>249.94</v>
      </c>
      <c r="BE94" s="37" t="n">
        <v>422.13</v>
      </c>
      <c r="BF94" s="37" t="n">
        <v>410.8</v>
      </c>
      <c r="BG94" s="37" t="n">
        <v>374.07</v>
      </c>
      <c r="BH94" s="37" t="n">
        <v>506.95</v>
      </c>
      <c r="BI94" s="37" t="n">
        <v>466.58</v>
      </c>
      <c r="BJ94" s="37" t="n">
        <v>476.36</v>
      </c>
      <c r="BK94" s="37" t="n">
        <v>453.9</v>
      </c>
      <c r="BL94" s="37" t="n">
        <v>470.24</v>
      </c>
      <c r="BM94" s="37" t="n">
        <v>456.75</v>
      </c>
      <c r="BN94" s="37" t="n">
        <v>374.07</v>
      </c>
      <c r="BO94" s="37" t="n">
        <v>506.95</v>
      </c>
      <c r="BP94" s="37" t="n">
        <v>466.58</v>
      </c>
      <c r="BQ94" s="37" t="n">
        <v>455.27</v>
      </c>
      <c r="BR94" s="37" t="n">
        <v>453.9</v>
      </c>
      <c r="BS94" s="37" t="n">
        <v>470.24</v>
      </c>
      <c r="BT94" s="37" t="n">
        <v>456.75</v>
      </c>
      <c r="BU94" s="37" t="n">
        <v>374.07</v>
      </c>
      <c r="BV94" s="37" t="n">
        <v>506.95</v>
      </c>
      <c r="BW94" s="37" t="n">
        <v>466.58</v>
      </c>
      <c r="BX94" s="37" t="n">
        <v>455.27</v>
      </c>
      <c r="BY94" s="37" t="n">
        <v>453.9</v>
      </c>
      <c r="BZ94" s="37" t="n">
        <v>470.24</v>
      </c>
      <c r="CA94" s="37" t="n">
        <v>456.75</v>
      </c>
      <c r="CB94" s="37" t="n">
        <v>374.07</v>
      </c>
      <c r="CC94" s="37" t="n">
        <v>32056.36000000002</v>
      </c>
    </row>
    <row r="95" ht="15.75" customHeight="1" s="57">
      <c r="A95" s="7" t="inlineStr">
        <is>
          <t>NTB</t>
        </is>
      </c>
      <c r="B95" s="7" t="inlineStr">
        <is>
          <t>Bình Thuận</t>
        </is>
      </c>
      <c r="C95" s="7" t="n">
        <v>21594000</v>
      </c>
      <c r="D95" s="7" t="inlineStr">
        <is>
          <t>(BTH) Phước Hội</t>
        </is>
      </c>
      <c r="E95" s="7" t="inlineStr">
        <is>
          <t>SME-Bulky</t>
        </is>
      </c>
      <c r="F95" s="36" t="n">
        <v>19</v>
      </c>
      <c r="G95" s="36" t="n">
        <v>14</v>
      </c>
      <c r="H95" s="36" t="n">
        <v>17</v>
      </c>
      <c r="I95" s="36" t="n">
        <v>15</v>
      </c>
      <c r="J95" s="36" t="n">
        <v>9</v>
      </c>
      <c r="K95" s="28" t="n">
        <v>26</v>
      </c>
      <c r="L95" s="36" t="n">
        <v>11</v>
      </c>
      <c r="M95" s="36" t="n">
        <v>11</v>
      </c>
      <c r="N95" s="36" t="n">
        <v>16</v>
      </c>
      <c r="O95" s="36" t="n">
        <v>20</v>
      </c>
      <c r="P95" s="36" t="n">
        <v>10</v>
      </c>
      <c r="Q95" s="36" t="n">
        <v>22</v>
      </c>
      <c r="R95" s="28" t="n">
        <v>13</v>
      </c>
      <c r="S95" s="36" t="n">
        <v>7</v>
      </c>
      <c r="T95" s="36" t="n">
        <v>21</v>
      </c>
      <c r="U95" s="36" t="n">
        <v>16.27</v>
      </c>
      <c r="V95" s="36" t="n">
        <v>16.33</v>
      </c>
      <c r="W95" s="36" t="n">
        <v>15.15</v>
      </c>
      <c r="X95" s="36" t="n">
        <v>10.64</v>
      </c>
      <c r="Y95" s="28" t="n">
        <v>18.19</v>
      </c>
      <c r="Z95" s="36" t="n">
        <v>17.68</v>
      </c>
      <c r="AA95" s="36" t="n">
        <v>17.23</v>
      </c>
      <c r="AB95" s="36" t="n">
        <v>16.27</v>
      </c>
      <c r="AC95" s="36" t="n">
        <v>16.33</v>
      </c>
      <c r="AD95" s="36" t="n">
        <v>17.28</v>
      </c>
      <c r="AE95" s="36" t="n">
        <v>10.64</v>
      </c>
      <c r="AF95" s="28" t="n">
        <v>18.19</v>
      </c>
      <c r="AG95" s="36" t="n">
        <v>17.68</v>
      </c>
      <c r="AH95" s="37" t="n">
        <v>17.23</v>
      </c>
      <c r="AI95" s="37" t="n">
        <v>16.27</v>
      </c>
      <c r="AJ95" s="37" t="n">
        <v>16.33</v>
      </c>
      <c r="AK95" s="37" t="n">
        <v>15.15</v>
      </c>
      <c r="AL95" s="37" t="n">
        <v>10.64</v>
      </c>
      <c r="AM95" s="37" t="n">
        <v>18.19</v>
      </c>
      <c r="AN95" s="37" t="n">
        <v>17.68</v>
      </c>
      <c r="AO95" s="37" t="n">
        <v>17.23</v>
      </c>
      <c r="AP95" s="37" t="n">
        <v>16.27</v>
      </c>
      <c r="AQ95" s="37" t="n">
        <v>16.33</v>
      </c>
      <c r="AR95" s="37" t="n">
        <v>15.15</v>
      </c>
      <c r="AS95" s="37" t="n">
        <v>10.64</v>
      </c>
      <c r="AT95" s="37" t="n">
        <v>18.19</v>
      </c>
      <c r="AU95" s="37" t="n">
        <v>17.68</v>
      </c>
      <c r="AV95" s="37" t="n">
        <v>17.23</v>
      </c>
      <c r="AW95" s="37" t="n">
        <v>16.27</v>
      </c>
      <c r="AX95" s="37" t="n">
        <v>16.33</v>
      </c>
      <c r="AY95" s="37" t="n">
        <v>15.15</v>
      </c>
      <c r="AZ95" s="37" t="n">
        <v>10.64</v>
      </c>
      <c r="BA95" s="37" t="n">
        <v>18.24</v>
      </c>
      <c r="BB95" s="37" t="n">
        <v>9.57</v>
      </c>
      <c r="BC95" s="37" t="n">
        <v>5.12</v>
      </c>
      <c r="BD95" s="37" t="n">
        <v>4.62</v>
      </c>
      <c r="BE95" s="37" t="n">
        <v>8.33</v>
      </c>
      <c r="BF95" s="37" t="n">
        <v>7.99</v>
      </c>
      <c r="BG95" s="37" t="n">
        <v>6.25</v>
      </c>
      <c r="BH95" s="37" t="n">
        <v>10.58</v>
      </c>
      <c r="BI95" s="37" t="n">
        <v>10.58</v>
      </c>
      <c r="BJ95" s="37" t="n">
        <v>10.92</v>
      </c>
      <c r="BK95" s="37" t="n">
        <v>9.630000000000001</v>
      </c>
      <c r="BL95" s="37" t="n">
        <v>9.74</v>
      </c>
      <c r="BM95" s="37" t="n">
        <v>9.01</v>
      </c>
      <c r="BN95" s="37" t="n">
        <v>6.25</v>
      </c>
      <c r="BO95" s="37" t="n">
        <v>10.58</v>
      </c>
      <c r="BP95" s="37" t="n">
        <v>10.58</v>
      </c>
      <c r="BQ95" s="37" t="n">
        <v>9.970000000000001</v>
      </c>
      <c r="BR95" s="37" t="n">
        <v>9.630000000000001</v>
      </c>
      <c r="BS95" s="37" t="n">
        <v>9.74</v>
      </c>
      <c r="BT95" s="37" t="n">
        <v>9.01</v>
      </c>
      <c r="BU95" s="37" t="n">
        <v>6.25</v>
      </c>
      <c r="BV95" s="37" t="n">
        <v>10.58</v>
      </c>
      <c r="BW95" s="37" t="n">
        <v>10.58</v>
      </c>
      <c r="BX95" s="37" t="n">
        <v>9.970000000000001</v>
      </c>
      <c r="BY95" s="37" t="n">
        <v>9.630000000000001</v>
      </c>
      <c r="BZ95" s="37" t="n">
        <v>9.74</v>
      </c>
      <c r="CA95" s="37" t="n">
        <v>9.01</v>
      </c>
      <c r="CB95" s="37" t="n">
        <v>6.25</v>
      </c>
      <c r="CC95" s="37" t="n">
        <v>995.8300000000004</v>
      </c>
    </row>
    <row r="96" ht="15.75" customHeight="1" s="57">
      <c r="A96" s="7" t="inlineStr">
        <is>
          <t>NTB</t>
        </is>
      </c>
      <c r="B96" s="7" t="inlineStr">
        <is>
          <t>Bình Thuận</t>
        </is>
      </c>
      <c r="C96" s="7" t="n">
        <v>21594000</v>
      </c>
      <c r="D96" s="7" t="inlineStr">
        <is>
          <t>(BTH) Phước Hội</t>
        </is>
      </c>
      <c r="E96" s="7" t="inlineStr">
        <is>
          <t>Shopee</t>
        </is>
      </c>
      <c r="F96" s="36" t="n">
        <v>315</v>
      </c>
      <c r="G96" s="36" t="n">
        <v>339</v>
      </c>
      <c r="H96" s="36" t="n">
        <v>415</v>
      </c>
      <c r="I96" s="36" t="n">
        <v>379</v>
      </c>
      <c r="J96" s="36" t="n">
        <v>322</v>
      </c>
      <c r="K96" s="28" t="n">
        <v>219</v>
      </c>
      <c r="L96" s="36" t="n">
        <v>326</v>
      </c>
      <c r="M96" s="36" t="n">
        <v>352</v>
      </c>
      <c r="N96" s="36" t="n">
        <v>397</v>
      </c>
      <c r="O96" s="36" t="n">
        <v>339</v>
      </c>
      <c r="P96" s="36" t="n">
        <v>308</v>
      </c>
      <c r="Q96" s="36" t="n">
        <v>291</v>
      </c>
      <c r="R96" s="28" t="n">
        <v>214</v>
      </c>
      <c r="S96" s="36" t="n">
        <v>322</v>
      </c>
      <c r="T96" s="36" t="n">
        <v>300</v>
      </c>
      <c r="U96" s="36" t="n">
        <v>327.72</v>
      </c>
      <c r="V96" s="36" t="n">
        <v>329.08</v>
      </c>
      <c r="W96" s="36" t="n">
        <v>324.21</v>
      </c>
      <c r="X96" s="36" t="n">
        <v>263.76</v>
      </c>
      <c r="Y96" s="28" t="n">
        <v>441.6</v>
      </c>
      <c r="Z96" s="36" t="n">
        <v>349.43</v>
      </c>
      <c r="AA96" s="36" t="n">
        <v>480.42</v>
      </c>
      <c r="AB96" s="36" t="n">
        <v>334.47</v>
      </c>
      <c r="AC96" s="36" t="n">
        <v>270.18</v>
      </c>
      <c r="AD96" s="36" t="n">
        <v>734.26</v>
      </c>
      <c r="AE96" s="36" t="n">
        <v>282.32</v>
      </c>
      <c r="AF96" s="28" t="n">
        <v>503.25</v>
      </c>
      <c r="AG96" s="36" t="n">
        <v>366.96</v>
      </c>
      <c r="AH96" s="37" t="n">
        <v>387.74</v>
      </c>
      <c r="AI96" s="37" t="n">
        <v>327.72</v>
      </c>
      <c r="AJ96" s="37" t="n">
        <v>329.08</v>
      </c>
      <c r="AK96" s="37" t="n">
        <v>437.5</v>
      </c>
      <c r="AL96" s="37" t="n">
        <v>473.41</v>
      </c>
      <c r="AM96" s="37" t="n">
        <v>441.6</v>
      </c>
      <c r="AN96" s="37" t="n">
        <v>349.43</v>
      </c>
      <c r="AO96" s="37" t="n">
        <v>387.74</v>
      </c>
      <c r="AP96" s="37" t="n">
        <v>409.2</v>
      </c>
      <c r="AQ96" s="37" t="n">
        <v>264.02</v>
      </c>
      <c r="AR96" s="37" t="n">
        <v>324.21</v>
      </c>
      <c r="AS96" s="37" t="n">
        <v>263.76</v>
      </c>
      <c r="AT96" s="37" t="n">
        <v>441.6</v>
      </c>
      <c r="AU96" s="37" t="n">
        <v>356.62</v>
      </c>
      <c r="AV96" s="37" t="n">
        <v>395.09</v>
      </c>
      <c r="AW96" s="37" t="n">
        <v>327.72</v>
      </c>
      <c r="AX96" s="37" t="n">
        <v>329.08</v>
      </c>
      <c r="AY96" s="37" t="n">
        <v>324.21</v>
      </c>
      <c r="AZ96" s="37" t="n">
        <v>263.76</v>
      </c>
      <c r="BA96" s="37" t="n">
        <v>340.37</v>
      </c>
      <c r="BB96" s="37" t="n">
        <v>296.6</v>
      </c>
      <c r="BC96" s="37" t="n">
        <v>151.25</v>
      </c>
      <c r="BD96" s="37" t="n">
        <v>268.12</v>
      </c>
      <c r="BE96" s="37" t="n">
        <v>313.61</v>
      </c>
      <c r="BF96" s="37" t="n">
        <v>308.91</v>
      </c>
      <c r="BG96" s="37" t="n">
        <v>256.15</v>
      </c>
      <c r="BH96" s="37" t="n">
        <v>420.31</v>
      </c>
      <c r="BI96" s="37" t="n">
        <v>272.74</v>
      </c>
      <c r="BJ96" s="37" t="n">
        <v>1042.23</v>
      </c>
      <c r="BK96" s="37" t="n">
        <v>334.13</v>
      </c>
      <c r="BL96" s="37" t="n">
        <v>329.08</v>
      </c>
      <c r="BM96" s="37" t="n">
        <v>308.91</v>
      </c>
      <c r="BN96" s="37" t="n">
        <v>251.2</v>
      </c>
      <c r="BO96" s="37" t="n">
        <v>420.31</v>
      </c>
      <c r="BP96" s="37" t="n">
        <v>449.3</v>
      </c>
      <c r="BQ96" s="37" t="n">
        <v>662.79</v>
      </c>
      <c r="BR96" s="37" t="n">
        <v>312.24</v>
      </c>
      <c r="BS96" s="37" t="n">
        <v>313.61</v>
      </c>
      <c r="BT96" s="37" t="n">
        <v>308.91</v>
      </c>
      <c r="BU96" s="37" t="n">
        <v>313.95</v>
      </c>
      <c r="BV96" s="37" t="n">
        <v>336.95</v>
      </c>
      <c r="BW96" s="37" t="n">
        <v>332.93</v>
      </c>
      <c r="BX96" s="37" t="n">
        <v>369.53</v>
      </c>
      <c r="BY96" s="37" t="n">
        <v>312.24</v>
      </c>
      <c r="BZ96" s="37" t="n">
        <v>319.85</v>
      </c>
      <c r="CA96" s="37" t="n">
        <v>315.15</v>
      </c>
      <c r="CB96" s="37" t="n">
        <v>251.2</v>
      </c>
      <c r="CC96" s="37" t="n">
        <v>26591.72000000001</v>
      </c>
    </row>
    <row r="97" ht="15.75" customHeight="1" s="57">
      <c r="A97" s="7" t="inlineStr">
        <is>
          <t>NTB</t>
        </is>
      </c>
      <c r="B97" s="7" t="inlineStr">
        <is>
          <t>Bình Thuận</t>
        </is>
      </c>
      <c r="C97" s="7" t="n">
        <v>21594000</v>
      </c>
      <c r="D97" s="7" t="inlineStr">
        <is>
          <t>(BTH) Phước Hội</t>
        </is>
      </c>
      <c r="E97" s="7" t="inlineStr">
        <is>
          <t>Shopee-Bulky</t>
        </is>
      </c>
      <c r="F97" s="36" t="n">
        <v>23.99</v>
      </c>
      <c r="G97" s="36" t="n">
        <v>36.66</v>
      </c>
      <c r="H97" s="36" t="n">
        <v>36.66</v>
      </c>
      <c r="I97" s="36" t="n">
        <v>34.66</v>
      </c>
      <c r="J97" s="36" t="n">
        <v>8</v>
      </c>
      <c r="K97" s="28" t="n">
        <v>18.66</v>
      </c>
      <c r="L97" s="36" t="n">
        <v>19.33</v>
      </c>
      <c r="M97" s="36" t="n">
        <v>21.33</v>
      </c>
      <c r="N97" s="36" t="n">
        <v>30.66</v>
      </c>
      <c r="O97" s="36" t="n">
        <v>22.66</v>
      </c>
      <c r="P97" s="36" t="n">
        <v>17.33</v>
      </c>
      <c r="Q97" s="36" t="n">
        <v>16.66</v>
      </c>
      <c r="R97" s="28" t="n">
        <v>27.99</v>
      </c>
      <c r="S97" s="36" t="n">
        <v>22.66</v>
      </c>
      <c r="T97" s="36" t="n">
        <v>29.99</v>
      </c>
      <c r="U97" s="36" t="n">
        <v>22.94</v>
      </c>
      <c r="V97" s="36" t="n">
        <v>22.16</v>
      </c>
      <c r="W97" s="36" t="n">
        <v>30.92</v>
      </c>
      <c r="X97" s="36" t="n">
        <v>17.65</v>
      </c>
      <c r="Y97" s="28" t="n">
        <v>33.82</v>
      </c>
      <c r="Z97" s="36" t="n">
        <v>26.67</v>
      </c>
      <c r="AA97" s="36" t="n">
        <v>25.85</v>
      </c>
      <c r="AB97" s="36" t="n">
        <v>26.37</v>
      </c>
      <c r="AC97" s="36" t="n">
        <v>27.23</v>
      </c>
      <c r="AD97" s="36" t="n">
        <v>85.25</v>
      </c>
      <c r="AE97" s="36" t="n">
        <v>44.49</v>
      </c>
      <c r="AF97" s="28" t="n">
        <v>66.22</v>
      </c>
      <c r="AG97" s="36" t="n">
        <v>37.99</v>
      </c>
      <c r="AH97" s="37" t="n">
        <v>26.45</v>
      </c>
      <c r="AI97" s="37" t="n">
        <v>26.02</v>
      </c>
      <c r="AJ97" s="37" t="n">
        <v>24.85</v>
      </c>
      <c r="AK97" s="37" t="n">
        <v>56.46</v>
      </c>
      <c r="AL97" s="37" t="n">
        <v>28.88</v>
      </c>
      <c r="AM97" s="37" t="n">
        <v>41.85</v>
      </c>
      <c r="AN97" s="37" t="n">
        <v>26.19</v>
      </c>
      <c r="AO97" s="37" t="n">
        <v>25.32</v>
      </c>
      <c r="AP97" s="37" t="n">
        <v>34.56</v>
      </c>
      <c r="AQ97" s="37" t="n">
        <v>34.69</v>
      </c>
      <c r="AR97" s="37" t="n">
        <v>28.1</v>
      </c>
      <c r="AS97" s="37" t="n">
        <v>15.57</v>
      </c>
      <c r="AT97" s="37" t="n">
        <v>31.09</v>
      </c>
      <c r="AU97" s="37" t="n">
        <v>50.52</v>
      </c>
      <c r="AV97" s="37" t="n">
        <v>53.47</v>
      </c>
      <c r="AW97" s="37" t="n">
        <v>25.63</v>
      </c>
      <c r="AX97" s="37" t="n">
        <v>23.94</v>
      </c>
      <c r="AY97" s="37" t="n">
        <v>27.02</v>
      </c>
      <c r="AZ97" s="37" t="n">
        <v>14.92</v>
      </c>
      <c r="BA97" s="37" t="n">
        <v>28.53</v>
      </c>
      <c r="BB97" s="37" t="n">
        <v>26.45</v>
      </c>
      <c r="BC97" s="37" t="n">
        <v>8.76</v>
      </c>
      <c r="BD97" s="37" t="n">
        <v>22.42</v>
      </c>
      <c r="BE97" s="37" t="n">
        <v>27.58</v>
      </c>
      <c r="BF97" s="37" t="n">
        <v>24.2</v>
      </c>
      <c r="BG97" s="37" t="n">
        <v>20.12</v>
      </c>
      <c r="BH97" s="37" t="n">
        <v>36.38</v>
      </c>
      <c r="BI97" s="37" t="n">
        <v>31.05</v>
      </c>
      <c r="BJ97" s="37" t="n">
        <v>134.26</v>
      </c>
      <c r="BK97" s="37" t="n">
        <v>65.48</v>
      </c>
      <c r="BL97" s="37" t="n">
        <v>34.3</v>
      </c>
      <c r="BM97" s="37" t="n">
        <v>25.37</v>
      </c>
      <c r="BN97" s="37" t="n">
        <v>19.47</v>
      </c>
      <c r="BO97" s="37" t="n">
        <v>41.63</v>
      </c>
      <c r="BP97" s="37" t="n">
        <v>61.4</v>
      </c>
      <c r="BQ97" s="37" t="n">
        <v>43.97</v>
      </c>
      <c r="BR97" s="37" t="n">
        <v>29.27</v>
      </c>
      <c r="BS97" s="37" t="n">
        <v>27.58</v>
      </c>
      <c r="BT97" s="37" t="n">
        <v>24.2</v>
      </c>
      <c r="BU97" s="37" t="n">
        <v>28.14</v>
      </c>
      <c r="BV97" s="37" t="n">
        <v>38.29</v>
      </c>
      <c r="BW97" s="37" t="n">
        <v>31.05</v>
      </c>
      <c r="BX97" s="37" t="n">
        <v>29.75</v>
      </c>
      <c r="BY97" s="37" t="n">
        <v>29.27</v>
      </c>
      <c r="BZ97" s="37" t="n">
        <v>49.61</v>
      </c>
      <c r="CA97" s="37" t="n">
        <v>29.01</v>
      </c>
      <c r="CB97" s="37" t="n">
        <v>19.3</v>
      </c>
      <c r="CC97" s="37" t="n">
        <v>2417.170000000001</v>
      </c>
    </row>
    <row r="98" ht="15.75" customHeight="1" s="57">
      <c r="A98" s="7" t="inlineStr">
        <is>
          <t>NTB</t>
        </is>
      </c>
      <c r="B98" s="7" t="inlineStr">
        <is>
          <t>Bình Thuận</t>
        </is>
      </c>
      <c r="C98" s="7" t="n">
        <v>21594000</v>
      </c>
      <c r="D98" s="7" t="inlineStr">
        <is>
          <t>(BTH) Phước Hội</t>
        </is>
      </c>
      <c r="E98" s="7" t="inlineStr">
        <is>
          <t>Shopee-Bulky (10-15kg)</t>
        </is>
      </c>
      <c r="F98" s="36" t="n">
        <v>12.01</v>
      </c>
      <c r="G98" s="36" t="n">
        <v>18.34</v>
      </c>
      <c r="H98" s="36" t="n">
        <v>18.34</v>
      </c>
      <c r="I98" s="36" t="n">
        <v>17.34</v>
      </c>
      <c r="J98" s="36" t="n">
        <v>4</v>
      </c>
      <c r="K98" s="28" t="n">
        <v>9.34</v>
      </c>
      <c r="L98" s="36" t="n">
        <v>9.67</v>
      </c>
      <c r="M98" s="36" t="n">
        <v>10.67</v>
      </c>
      <c r="N98" s="36" t="n">
        <v>15.34</v>
      </c>
      <c r="O98" s="36" t="n">
        <v>11.34</v>
      </c>
      <c r="P98" s="36" t="n">
        <v>8.67</v>
      </c>
      <c r="Q98" s="36" t="n">
        <v>8.34</v>
      </c>
      <c r="R98" s="28" t="n">
        <v>14.01</v>
      </c>
      <c r="S98" s="36" t="n">
        <v>11.34</v>
      </c>
      <c r="T98" s="36" t="n">
        <v>15.01</v>
      </c>
      <c r="U98" s="36" t="n">
        <v>11.84</v>
      </c>
      <c r="V98" s="36" t="n">
        <v>11.49</v>
      </c>
      <c r="W98" s="36" t="n">
        <v>15.48</v>
      </c>
      <c r="X98" s="36" t="n">
        <v>8.41</v>
      </c>
      <c r="Y98" s="28" t="n">
        <v>16.74</v>
      </c>
      <c r="Z98" s="36" t="n">
        <v>13.18</v>
      </c>
      <c r="AA98" s="36" t="n">
        <v>12.84</v>
      </c>
      <c r="AB98" s="36" t="n">
        <v>13.05</v>
      </c>
      <c r="AC98" s="36" t="n">
        <v>13.53</v>
      </c>
      <c r="AD98" s="36" t="n">
        <v>55.2</v>
      </c>
      <c r="AE98" s="36" t="n">
        <v>22.12</v>
      </c>
      <c r="AF98" s="28" t="n">
        <v>31.09</v>
      </c>
      <c r="AG98" s="36" t="n">
        <v>18.86</v>
      </c>
      <c r="AH98" s="37" t="n">
        <v>13.01</v>
      </c>
      <c r="AI98" s="37" t="n">
        <v>12.58</v>
      </c>
      <c r="AJ98" s="37" t="n">
        <v>12.32</v>
      </c>
      <c r="AK98" s="37" t="n">
        <v>28.79</v>
      </c>
      <c r="AL98" s="37" t="n">
        <v>14.05</v>
      </c>
      <c r="AM98" s="37" t="n">
        <v>20.42</v>
      </c>
      <c r="AN98" s="37" t="n">
        <v>13.01</v>
      </c>
      <c r="AO98" s="37" t="n">
        <v>12.4</v>
      </c>
      <c r="AP98" s="37" t="n">
        <v>16.78</v>
      </c>
      <c r="AQ98" s="37" t="n">
        <v>16.83</v>
      </c>
      <c r="AR98" s="37" t="n">
        <v>13.96</v>
      </c>
      <c r="AS98" s="37" t="n">
        <v>7.46</v>
      </c>
      <c r="AT98" s="37" t="n">
        <v>15.13</v>
      </c>
      <c r="AU98" s="37" t="n">
        <v>25.89</v>
      </c>
      <c r="AV98" s="37" t="n">
        <v>25.89</v>
      </c>
      <c r="AW98" s="37" t="n">
        <v>12.45</v>
      </c>
      <c r="AX98" s="37" t="n">
        <v>11.71</v>
      </c>
      <c r="AY98" s="37" t="n">
        <v>13.36</v>
      </c>
      <c r="AZ98" s="37" t="n">
        <v>7.16</v>
      </c>
      <c r="BA98" s="37" t="n">
        <v>13.88</v>
      </c>
      <c r="BB98" s="37" t="n">
        <v>13.27</v>
      </c>
      <c r="BC98" s="37" t="n">
        <v>4.6</v>
      </c>
      <c r="BD98" s="37" t="n">
        <v>11.32</v>
      </c>
      <c r="BE98" s="37" t="n">
        <v>13.7</v>
      </c>
      <c r="BF98" s="37" t="n">
        <v>12.27</v>
      </c>
      <c r="BG98" s="37" t="n">
        <v>9.800000000000001</v>
      </c>
      <c r="BH98" s="37" t="n">
        <v>18</v>
      </c>
      <c r="BI98" s="37" t="n">
        <v>15.48</v>
      </c>
      <c r="BJ98" s="37" t="n">
        <v>76.45</v>
      </c>
      <c r="BK98" s="37" t="n">
        <v>32.61</v>
      </c>
      <c r="BL98" s="37" t="n">
        <v>16.65</v>
      </c>
      <c r="BM98" s="37" t="n">
        <v>12.75</v>
      </c>
      <c r="BN98" s="37" t="n">
        <v>9.800000000000001</v>
      </c>
      <c r="BO98" s="37" t="n">
        <v>21.42</v>
      </c>
      <c r="BP98" s="37" t="n">
        <v>30.75</v>
      </c>
      <c r="BQ98" s="37" t="n">
        <v>22.55</v>
      </c>
      <c r="BR98" s="37" t="n">
        <v>14.53</v>
      </c>
      <c r="BS98" s="37" t="n">
        <v>13.7</v>
      </c>
      <c r="BT98" s="37" t="n">
        <v>12.27</v>
      </c>
      <c r="BU98" s="37" t="n">
        <v>13.88</v>
      </c>
      <c r="BV98" s="37" t="n">
        <v>19.56</v>
      </c>
      <c r="BW98" s="37" t="n">
        <v>15.48</v>
      </c>
      <c r="BX98" s="37" t="n">
        <v>14.79</v>
      </c>
      <c r="BY98" s="37" t="n">
        <v>14.53</v>
      </c>
      <c r="BZ98" s="37" t="n">
        <v>24.93</v>
      </c>
      <c r="CA98" s="37" t="n">
        <v>14.48</v>
      </c>
      <c r="CB98" s="37" t="n">
        <v>9.279999999999999</v>
      </c>
      <c r="CC98" s="37" t="n">
        <v>1223.52</v>
      </c>
    </row>
    <row r="99" ht="15.75" customHeight="1" s="57">
      <c r="A99" s="7" t="inlineStr">
        <is>
          <t>NTB</t>
        </is>
      </c>
      <c r="B99" s="7" t="inlineStr">
        <is>
          <t>Bình Thuận</t>
        </is>
      </c>
      <c r="C99" s="7" t="n">
        <v>21594000</v>
      </c>
      <c r="D99" s="7" t="inlineStr">
        <is>
          <t>(BTH) Phước Hội</t>
        </is>
      </c>
      <c r="E99" s="7" t="inlineStr">
        <is>
          <t>TTS</t>
        </is>
      </c>
      <c r="F99" s="36" t="n">
        <v>268</v>
      </c>
      <c r="G99" s="36" t="n">
        <v>262</v>
      </c>
      <c r="H99" s="36" t="n">
        <v>233</v>
      </c>
      <c r="I99" s="36" t="n">
        <v>248</v>
      </c>
      <c r="J99" s="36" t="n">
        <v>240</v>
      </c>
      <c r="K99" s="28" t="n">
        <v>204</v>
      </c>
      <c r="L99" s="36" t="n">
        <v>230</v>
      </c>
      <c r="M99" s="36" t="n">
        <v>210</v>
      </c>
      <c r="N99" s="36" t="n">
        <v>266</v>
      </c>
      <c r="O99" s="36" t="n">
        <v>220</v>
      </c>
      <c r="P99" s="36" t="n">
        <v>217</v>
      </c>
      <c r="Q99" s="36" t="n">
        <v>244</v>
      </c>
      <c r="R99" s="28" t="n">
        <v>233</v>
      </c>
      <c r="S99" s="36" t="n">
        <v>281</v>
      </c>
      <c r="T99" s="36" t="n">
        <v>235</v>
      </c>
      <c r="U99" s="36" t="n">
        <v>192.38</v>
      </c>
      <c r="V99" s="36" t="n">
        <v>188.68</v>
      </c>
      <c r="W99" s="36" t="n">
        <v>184.24</v>
      </c>
      <c r="X99" s="36" t="n">
        <v>148.33</v>
      </c>
      <c r="Y99" s="28" t="n">
        <v>216.3</v>
      </c>
      <c r="Z99" s="36" t="n">
        <v>184</v>
      </c>
      <c r="AA99" s="36" t="n">
        <v>203.68</v>
      </c>
      <c r="AB99" s="36" t="n">
        <v>227.25</v>
      </c>
      <c r="AC99" s="36" t="n">
        <v>239.04</v>
      </c>
      <c r="AD99" s="36" t="n">
        <v>246.02</v>
      </c>
      <c r="AE99" s="36" t="n">
        <v>172.39</v>
      </c>
      <c r="AF99" s="28" t="n">
        <v>223.48</v>
      </c>
      <c r="AG99" s="36" t="n">
        <v>187.39</v>
      </c>
      <c r="AH99" s="37" t="n">
        <v>185.62</v>
      </c>
      <c r="AI99" s="37" t="n">
        <v>212.56</v>
      </c>
      <c r="AJ99" s="37" t="n">
        <v>228.78</v>
      </c>
      <c r="AK99" s="37" t="n">
        <v>224.75</v>
      </c>
      <c r="AL99" s="37" t="n">
        <v>159.63</v>
      </c>
      <c r="AM99" s="37" t="n">
        <v>220.01</v>
      </c>
      <c r="AN99" s="37" t="n">
        <v>189.8</v>
      </c>
      <c r="AO99" s="37" t="n">
        <v>188.58</v>
      </c>
      <c r="AP99" s="37" t="n">
        <v>183.11</v>
      </c>
      <c r="AQ99" s="37" t="n">
        <v>185.21</v>
      </c>
      <c r="AR99" s="37" t="n">
        <v>181.58</v>
      </c>
      <c r="AS99" s="37" t="n">
        <v>148.65</v>
      </c>
      <c r="AT99" s="37" t="n">
        <v>237.82</v>
      </c>
      <c r="AU99" s="37" t="n">
        <v>215.3</v>
      </c>
      <c r="AV99" s="37" t="n">
        <v>191.08</v>
      </c>
      <c r="AW99" s="37" t="n">
        <v>181.09</v>
      </c>
      <c r="AX99" s="37" t="n">
        <v>179.88</v>
      </c>
      <c r="AY99" s="37" t="n">
        <v>179.32</v>
      </c>
      <c r="AZ99" s="37" t="n">
        <v>148.81</v>
      </c>
      <c r="BA99" s="37" t="n">
        <v>214.52</v>
      </c>
      <c r="BB99" s="37" t="n">
        <v>200.21</v>
      </c>
      <c r="BC99" s="37" t="n">
        <v>119.32</v>
      </c>
      <c r="BD99" s="37" t="n">
        <v>172.78</v>
      </c>
      <c r="BE99" s="37" t="n">
        <v>204.08</v>
      </c>
      <c r="BF99" s="37" t="n">
        <v>197.78</v>
      </c>
      <c r="BG99" s="37" t="n">
        <v>159.95</v>
      </c>
      <c r="BH99" s="37" t="n">
        <v>237.66</v>
      </c>
      <c r="BI99" s="37" t="n">
        <v>200.21</v>
      </c>
      <c r="BJ99" s="37" t="n">
        <v>186.88</v>
      </c>
      <c r="BK99" s="37" t="n">
        <v>203.68</v>
      </c>
      <c r="BL99" s="37" t="n">
        <v>204.08</v>
      </c>
      <c r="BM99" s="37" t="n">
        <v>197.78</v>
      </c>
      <c r="BN99" s="37" t="n">
        <v>159.95</v>
      </c>
      <c r="BO99" s="37" t="n">
        <v>237.66</v>
      </c>
      <c r="BP99" s="37" t="n">
        <v>200.21</v>
      </c>
      <c r="BQ99" s="37" t="n">
        <v>198.03</v>
      </c>
      <c r="BR99" s="37" t="n">
        <v>203.68</v>
      </c>
      <c r="BS99" s="37" t="n">
        <v>204.08</v>
      </c>
      <c r="BT99" s="37" t="n">
        <v>197.78</v>
      </c>
      <c r="BU99" s="37" t="n">
        <v>159.95</v>
      </c>
      <c r="BV99" s="37" t="n">
        <v>237.66</v>
      </c>
      <c r="BW99" s="37" t="n">
        <v>200.21</v>
      </c>
      <c r="BX99" s="37" t="n">
        <v>198.03</v>
      </c>
      <c r="BY99" s="37" t="n">
        <v>203.68</v>
      </c>
      <c r="BZ99" s="37" t="n">
        <v>204.08</v>
      </c>
      <c r="CA99" s="37" t="n">
        <v>197.78</v>
      </c>
      <c r="CB99" s="37" t="n">
        <v>159.95</v>
      </c>
      <c r="CC99" s="37" t="n">
        <v>15307.42</v>
      </c>
    </row>
    <row r="100" ht="15.75" customHeight="1" s="57">
      <c r="A100" s="7" t="inlineStr">
        <is>
          <t>NTB</t>
        </is>
      </c>
      <c r="B100" s="7" t="inlineStr">
        <is>
          <t>Bình Thuận</t>
        </is>
      </c>
      <c r="C100" s="7" t="n">
        <v>21594000</v>
      </c>
      <c r="D100" s="7" t="inlineStr">
        <is>
          <t>(BTH) Phước Hội</t>
        </is>
      </c>
      <c r="E100" s="7" t="inlineStr">
        <is>
          <t>TTS-Bulky</t>
        </is>
      </c>
      <c r="F100" s="36" t="n">
        <v>4</v>
      </c>
      <c r="G100" s="36" t="n">
        <v>5</v>
      </c>
      <c r="H100" s="36" t="n">
        <v>5</v>
      </c>
      <c r="I100" s="36" t="n">
        <v>2</v>
      </c>
      <c r="J100" s="36" t="n">
        <v>2</v>
      </c>
      <c r="K100" s="28" t="n">
        <v>4</v>
      </c>
      <c r="L100" s="36" t="n">
        <v>2</v>
      </c>
      <c r="M100" s="36" t="n">
        <v>0</v>
      </c>
      <c r="N100" s="36" t="n">
        <v>1</v>
      </c>
      <c r="O100" s="36" t="n">
        <v>0</v>
      </c>
      <c r="P100" s="36" t="n">
        <v>0</v>
      </c>
      <c r="Q100" s="36" t="n">
        <v>2</v>
      </c>
      <c r="R100" s="28" t="n">
        <v>1</v>
      </c>
      <c r="S100" s="36" t="n">
        <v>3</v>
      </c>
      <c r="T100" s="36" t="n">
        <v>2</v>
      </c>
      <c r="U100" s="36" t="n">
        <v>8.380000000000001</v>
      </c>
      <c r="V100" s="36" t="n">
        <v>8.720000000000001</v>
      </c>
      <c r="W100" s="36" t="n">
        <v>4.29</v>
      </c>
      <c r="X100" s="36" t="n">
        <v>2.45</v>
      </c>
      <c r="Y100" s="28" t="n">
        <v>5.93</v>
      </c>
      <c r="Z100" s="36" t="n">
        <v>4.5</v>
      </c>
      <c r="AA100" s="36" t="n">
        <v>4.22</v>
      </c>
      <c r="AB100" s="36" t="n">
        <v>4.5</v>
      </c>
      <c r="AC100" s="36" t="n">
        <v>5.04</v>
      </c>
      <c r="AD100" s="36" t="n">
        <v>5.45</v>
      </c>
      <c r="AE100" s="36" t="n">
        <v>2.79</v>
      </c>
      <c r="AF100" s="28" t="n">
        <v>5.52</v>
      </c>
      <c r="AG100" s="36" t="n">
        <v>4.16</v>
      </c>
      <c r="AH100" s="37" t="n">
        <v>4.02</v>
      </c>
      <c r="AI100" s="37" t="n">
        <v>4.7</v>
      </c>
      <c r="AJ100" s="37" t="n">
        <v>4.77</v>
      </c>
      <c r="AK100" s="37" t="n">
        <v>4.63</v>
      </c>
      <c r="AL100" s="37" t="n">
        <v>2.45</v>
      </c>
      <c r="AM100" s="37" t="n">
        <v>5.52</v>
      </c>
      <c r="AN100" s="37" t="n">
        <v>4.09</v>
      </c>
      <c r="AO100" s="37" t="n">
        <v>4.16</v>
      </c>
      <c r="AP100" s="37" t="n">
        <v>4.16</v>
      </c>
      <c r="AQ100" s="37" t="n">
        <v>4.36</v>
      </c>
      <c r="AR100" s="37" t="n">
        <v>4.22</v>
      </c>
      <c r="AS100" s="37" t="n">
        <v>2.45</v>
      </c>
      <c r="AT100" s="37" t="n">
        <v>5.93</v>
      </c>
      <c r="AU100" s="37" t="n">
        <v>4.63</v>
      </c>
      <c r="AV100" s="37" t="n">
        <v>4.02</v>
      </c>
      <c r="AW100" s="37" t="n">
        <v>4.09</v>
      </c>
      <c r="AX100" s="37" t="n">
        <v>4.29</v>
      </c>
      <c r="AY100" s="37" t="n">
        <v>4.22</v>
      </c>
      <c r="AZ100" s="37" t="n">
        <v>2.45</v>
      </c>
      <c r="BA100" s="37" t="n">
        <v>4.91</v>
      </c>
      <c r="BB100" s="37" t="n">
        <v>1.16</v>
      </c>
      <c r="BC100" s="37" t="n">
        <v>0.55</v>
      </c>
      <c r="BD100" s="37" t="n">
        <v>0.95</v>
      </c>
      <c r="BE100" s="37" t="n">
        <v>1.16</v>
      </c>
      <c r="BF100" s="37" t="n">
        <v>1.16</v>
      </c>
      <c r="BG100" s="37" t="n">
        <v>0.68</v>
      </c>
      <c r="BH100" s="37" t="n">
        <v>1.77</v>
      </c>
      <c r="BI100" s="37" t="n">
        <v>1.16</v>
      </c>
      <c r="BJ100" s="37" t="n">
        <v>1.29</v>
      </c>
      <c r="BK100" s="37" t="n">
        <v>1.16</v>
      </c>
      <c r="BL100" s="37" t="n">
        <v>1.16</v>
      </c>
      <c r="BM100" s="37" t="n">
        <v>1.16</v>
      </c>
      <c r="BN100" s="37" t="n">
        <v>0.75</v>
      </c>
      <c r="BO100" s="37" t="n">
        <v>1.84</v>
      </c>
      <c r="BP100" s="37" t="n">
        <v>1.5</v>
      </c>
      <c r="BQ100" s="37" t="n">
        <v>1.16</v>
      </c>
      <c r="BR100" s="37" t="n">
        <v>1.16</v>
      </c>
      <c r="BS100" s="37" t="n">
        <v>1.16</v>
      </c>
      <c r="BT100" s="37" t="n">
        <v>1.16</v>
      </c>
      <c r="BU100" s="37" t="n">
        <v>0.61</v>
      </c>
      <c r="BV100" s="37" t="n">
        <v>1.5</v>
      </c>
      <c r="BW100" s="37" t="n">
        <v>1.16</v>
      </c>
      <c r="BX100" s="37" t="n">
        <v>1.16</v>
      </c>
      <c r="BY100" s="37" t="n">
        <v>1.16</v>
      </c>
      <c r="BZ100" s="37" t="n">
        <v>1.16</v>
      </c>
      <c r="CA100" s="37" t="n">
        <v>1.16</v>
      </c>
      <c r="CB100" s="37" t="n">
        <v>0.61</v>
      </c>
      <c r="CC100" s="37" t="n">
        <v>213.63</v>
      </c>
    </row>
    <row r="101" ht="15.75" customHeight="1" s="57">
      <c r="A101" s="7" t="inlineStr">
        <is>
          <t>NTB</t>
        </is>
      </c>
      <c r="B101" s="7" t="inlineStr">
        <is>
          <t>Bình Thuận</t>
        </is>
      </c>
      <c r="C101" s="7" t="n">
        <v>22028000</v>
      </c>
      <c r="D101" s="7" t="inlineStr">
        <is>
          <t>Kho Giao Hàng Nặng - La Gi - Bình Thuận</t>
        </is>
      </c>
      <c r="E101" s="7" t="inlineStr">
        <is>
          <t>SME</t>
        </is>
      </c>
      <c r="F101" s="36" t="n">
        <v>0</v>
      </c>
      <c r="G101" s="36" t="n">
        <v>0</v>
      </c>
      <c r="H101" s="36" t="n">
        <v>0</v>
      </c>
      <c r="I101" s="36" t="n">
        <v>0</v>
      </c>
      <c r="J101" s="36" t="n">
        <v>2</v>
      </c>
      <c r="K101" s="28" t="n">
        <v>0</v>
      </c>
      <c r="L101" s="36" t="n">
        <v>0</v>
      </c>
      <c r="M101" s="36" t="n">
        <v>0</v>
      </c>
      <c r="N101" s="36" t="n">
        <v>1</v>
      </c>
      <c r="O101" s="36" t="n">
        <v>0</v>
      </c>
      <c r="P101" s="36" t="n">
        <v>0</v>
      </c>
      <c r="Q101" s="36" t="n">
        <v>0</v>
      </c>
      <c r="R101" s="28" t="n">
        <v>0</v>
      </c>
      <c r="S101" s="36" t="n">
        <v>0</v>
      </c>
      <c r="T101" s="36" t="n">
        <v>0</v>
      </c>
      <c r="U101" s="36" t="n">
        <v>10.38</v>
      </c>
      <c r="V101" s="36" t="n">
        <v>10.91</v>
      </c>
      <c r="W101" s="36" t="n">
        <v>10.53</v>
      </c>
      <c r="X101" s="36" t="n">
        <v>8.74</v>
      </c>
      <c r="Y101" s="28" t="n">
        <v>11.87</v>
      </c>
      <c r="Z101" s="36" t="n">
        <v>10.86</v>
      </c>
      <c r="AA101" s="36" t="n">
        <v>10.53</v>
      </c>
      <c r="AB101" s="36" t="n">
        <v>10.38</v>
      </c>
      <c r="AC101" s="36" t="n">
        <v>10.91</v>
      </c>
      <c r="AD101" s="36" t="n">
        <v>12.86</v>
      </c>
      <c r="AE101" s="36" t="n">
        <v>8.74</v>
      </c>
      <c r="AF101" s="28" t="n">
        <v>11.87</v>
      </c>
      <c r="AG101" s="36" t="n">
        <v>10.86</v>
      </c>
      <c r="AH101" s="37" t="n">
        <v>10.53</v>
      </c>
      <c r="AI101" s="37" t="n">
        <v>10.38</v>
      </c>
      <c r="AJ101" s="37" t="n">
        <v>10.91</v>
      </c>
      <c r="AK101" s="37" t="n">
        <v>10.53</v>
      </c>
      <c r="AL101" s="37" t="n">
        <v>8.74</v>
      </c>
      <c r="AM101" s="37" t="n">
        <v>11.87</v>
      </c>
      <c r="AN101" s="37" t="n">
        <v>10.86</v>
      </c>
      <c r="AO101" s="37" t="n">
        <v>10.53</v>
      </c>
      <c r="AP101" s="37" t="n">
        <v>10.38</v>
      </c>
      <c r="AQ101" s="37" t="n">
        <v>10.91</v>
      </c>
      <c r="AR101" s="37" t="n">
        <v>10.53</v>
      </c>
      <c r="AS101" s="37" t="n">
        <v>8.74</v>
      </c>
      <c r="AT101" s="37" t="n">
        <v>11.87</v>
      </c>
      <c r="AU101" s="37" t="n">
        <v>10.86</v>
      </c>
      <c r="AV101" s="37" t="n">
        <v>10.53</v>
      </c>
      <c r="AW101" s="37" t="n">
        <v>10.38</v>
      </c>
      <c r="AX101" s="37" t="n">
        <v>10.91</v>
      </c>
      <c r="AY101" s="37" t="n">
        <v>10.53</v>
      </c>
      <c r="AZ101" s="37" t="n">
        <v>8.74</v>
      </c>
      <c r="BA101" s="37" t="n">
        <v>10.48</v>
      </c>
      <c r="BB101" s="37" t="n">
        <v>9.23</v>
      </c>
      <c r="BC101" s="37" t="n">
        <v>5.79</v>
      </c>
      <c r="BD101" s="37" t="n">
        <v>5.7</v>
      </c>
      <c r="BE101" s="37" t="n">
        <v>9.81</v>
      </c>
      <c r="BF101" s="37" t="n">
        <v>9.610000000000001</v>
      </c>
      <c r="BG101" s="37" t="n">
        <v>8.93</v>
      </c>
      <c r="BH101" s="37" t="n">
        <v>12.07</v>
      </c>
      <c r="BI101" s="37" t="n">
        <v>11.05</v>
      </c>
      <c r="BJ101" s="37" t="n">
        <v>13.15</v>
      </c>
      <c r="BK101" s="37" t="n">
        <v>10.58</v>
      </c>
      <c r="BL101" s="37" t="n">
        <v>11.11</v>
      </c>
      <c r="BM101" s="37" t="n">
        <v>10.72</v>
      </c>
      <c r="BN101" s="37" t="n">
        <v>8.93</v>
      </c>
      <c r="BO101" s="37" t="n">
        <v>12.07</v>
      </c>
      <c r="BP101" s="37" t="n">
        <v>11.05</v>
      </c>
      <c r="BQ101" s="37" t="n">
        <v>10.72</v>
      </c>
      <c r="BR101" s="37" t="n">
        <v>10.58</v>
      </c>
      <c r="BS101" s="37" t="n">
        <v>11.11</v>
      </c>
      <c r="BT101" s="37" t="n">
        <v>10.72</v>
      </c>
      <c r="BU101" s="37" t="n">
        <v>8.93</v>
      </c>
      <c r="BV101" s="37" t="n">
        <v>12.07</v>
      </c>
      <c r="BW101" s="37" t="n">
        <v>11.05</v>
      </c>
      <c r="BX101" s="37" t="n">
        <v>10.72</v>
      </c>
      <c r="BY101" s="37" t="n">
        <v>10.58</v>
      </c>
      <c r="BZ101" s="37" t="n">
        <v>11.11</v>
      </c>
      <c r="CA101" s="37" t="n">
        <v>10.72</v>
      </c>
      <c r="CB101" s="37" t="n">
        <v>8.93</v>
      </c>
      <c r="CC101" s="37" t="n">
        <v>628.6900000000002</v>
      </c>
    </row>
    <row r="102" ht="15.75" customHeight="1" s="57">
      <c r="A102" s="7" t="inlineStr">
        <is>
          <t>NTB</t>
        </is>
      </c>
      <c r="B102" s="7" t="inlineStr">
        <is>
          <t>Bình Thuận</t>
        </is>
      </c>
      <c r="C102" s="7" t="n">
        <v>22028000</v>
      </c>
      <c r="D102" s="7" t="inlineStr">
        <is>
          <t>Kho Giao Hàng Nặng - La Gi - Bình Thuận</t>
        </is>
      </c>
      <c r="E102" s="7" t="inlineStr">
        <is>
          <t>SME-Bulky</t>
        </is>
      </c>
      <c r="F102" s="36" t="n">
        <v>22</v>
      </c>
      <c r="G102" s="36" t="n">
        <v>10</v>
      </c>
      <c r="H102" s="36" t="n">
        <v>15</v>
      </c>
      <c r="I102" s="36" t="n">
        <v>25</v>
      </c>
      <c r="J102" s="36" t="n">
        <v>22</v>
      </c>
      <c r="K102" s="28" t="n">
        <v>16</v>
      </c>
      <c r="L102" s="36" t="n">
        <v>13</v>
      </c>
      <c r="M102" s="36" t="n">
        <v>7</v>
      </c>
      <c r="N102" s="36" t="n">
        <v>25</v>
      </c>
      <c r="O102" s="36" t="n">
        <v>7</v>
      </c>
      <c r="P102" s="36" t="n">
        <v>13</v>
      </c>
      <c r="Q102" s="36" t="n">
        <v>11</v>
      </c>
      <c r="R102" s="28" t="n">
        <v>16</v>
      </c>
      <c r="S102" s="36" t="n">
        <v>11</v>
      </c>
      <c r="T102" s="36" t="n">
        <v>9</v>
      </c>
      <c r="U102" s="36" t="n">
        <v>13.73</v>
      </c>
      <c r="V102" s="36" t="n">
        <v>13.78</v>
      </c>
      <c r="W102" s="36" t="n">
        <v>12.78</v>
      </c>
      <c r="X102" s="36" t="n">
        <v>8.98</v>
      </c>
      <c r="Y102" s="28" t="n">
        <v>15.35</v>
      </c>
      <c r="Z102" s="36" t="n">
        <v>14.92</v>
      </c>
      <c r="AA102" s="36" t="n">
        <v>14.54</v>
      </c>
      <c r="AB102" s="36" t="n">
        <v>13.73</v>
      </c>
      <c r="AC102" s="36" t="n">
        <v>13.78</v>
      </c>
      <c r="AD102" s="36" t="n">
        <v>14.59</v>
      </c>
      <c r="AE102" s="36" t="n">
        <v>8.98</v>
      </c>
      <c r="AF102" s="28" t="n">
        <v>15.35</v>
      </c>
      <c r="AG102" s="36" t="n">
        <v>14.92</v>
      </c>
      <c r="AH102" s="37" t="n">
        <v>14.54</v>
      </c>
      <c r="AI102" s="37" t="n">
        <v>13.73</v>
      </c>
      <c r="AJ102" s="37" t="n">
        <v>13.78</v>
      </c>
      <c r="AK102" s="37" t="n">
        <v>12.78</v>
      </c>
      <c r="AL102" s="37" t="n">
        <v>8.98</v>
      </c>
      <c r="AM102" s="37" t="n">
        <v>15.35</v>
      </c>
      <c r="AN102" s="37" t="n">
        <v>14.92</v>
      </c>
      <c r="AO102" s="37" t="n">
        <v>14.54</v>
      </c>
      <c r="AP102" s="37" t="n">
        <v>13.73</v>
      </c>
      <c r="AQ102" s="37" t="n">
        <v>13.78</v>
      </c>
      <c r="AR102" s="37" t="n">
        <v>12.78</v>
      </c>
      <c r="AS102" s="37" t="n">
        <v>8.98</v>
      </c>
      <c r="AT102" s="37" t="n">
        <v>15.35</v>
      </c>
      <c r="AU102" s="37" t="n">
        <v>14.92</v>
      </c>
      <c r="AV102" s="37" t="n">
        <v>14.54</v>
      </c>
      <c r="AW102" s="37" t="n">
        <v>13.73</v>
      </c>
      <c r="AX102" s="37" t="n">
        <v>13.78</v>
      </c>
      <c r="AY102" s="37" t="n">
        <v>12.78</v>
      </c>
      <c r="AZ102" s="37" t="n">
        <v>8.98</v>
      </c>
      <c r="BA102" s="37" t="n">
        <v>15.4</v>
      </c>
      <c r="BB102" s="37" t="n">
        <v>8.08</v>
      </c>
      <c r="BC102" s="37" t="n">
        <v>4.32</v>
      </c>
      <c r="BD102" s="37" t="n">
        <v>3.9</v>
      </c>
      <c r="BE102" s="37" t="n">
        <v>7.03</v>
      </c>
      <c r="BF102" s="37" t="n">
        <v>6.75</v>
      </c>
      <c r="BG102" s="37" t="n">
        <v>5.27</v>
      </c>
      <c r="BH102" s="37" t="n">
        <v>8.93</v>
      </c>
      <c r="BI102" s="37" t="n">
        <v>8.93</v>
      </c>
      <c r="BJ102" s="37" t="n">
        <v>9.220000000000001</v>
      </c>
      <c r="BK102" s="37" t="n">
        <v>8.130000000000001</v>
      </c>
      <c r="BL102" s="37" t="n">
        <v>8.220000000000001</v>
      </c>
      <c r="BM102" s="37" t="n">
        <v>7.6</v>
      </c>
      <c r="BN102" s="37" t="n">
        <v>5.27</v>
      </c>
      <c r="BO102" s="37" t="n">
        <v>8.93</v>
      </c>
      <c r="BP102" s="37" t="n">
        <v>8.93</v>
      </c>
      <c r="BQ102" s="37" t="n">
        <v>8.41</v>
      </c>
      <c r="BR102" s="37" t="n">
        <v>8.130000000000001</v>
      </c>
      <c r="BS102" s="37" t="n">
        <v>8.220000000000001</v>
      </c>
      <c r="BT102" s="37" t="n">
        <v>7.6</v>
      </c>
      <c r="BU102" s="37" t="n">
        <v>5.27</v>
      </c>
      <c r="BV102" s="37" t="n">
        <v>8.93</v>
      </c>
      <c r="BW102" s="37" t="n">
        <v>8.93</v>
      </c>
      <c r="BX102" s="37" t="n">
        <v>8.41</v>
      </c>
      <c r="BY102" s="37" t="n">
        <v>8.130000000000001</v>
      </c>
      <c r="BZ102" s="37" t="n">
        <v>8.220000000000001</v>
      </c>
      <c r="CA102" s="37" t="n">
        <v>7.6</v>
      </c>
      <c r="CB102" s="37" t="n">
        <v>5.27</v>
      </c>
      <c r="CC102" s="37" t="n">
        <v>867.4299999999997</v>
      </c>
    </row>
    <row r="103" ht="15.75" customHeight="1" s="57">
      <c r="A103" s="7" t="inlineStr">
        <is>
          <t>NTB</t>
        </is>
      </c>
      <c r="B103" s="7" t="inlineStr">
        <is>
          <t>Bình Thuận</t>
        </is>
      </c>
      <c r="C103" s="7" t="n">
        <v>22028000</v>
      </c>
      <c r="D103" s="7" t="inlineStr">
        <is>
          <t>Kho Giao Hàng Nặng - La Gi - Bình Thuận</t>
        </is>
      </c>
      <c r="E103" s="7" t="inlineStr">
        <is>
          <t>Shopee-Bulky</t>
        </is>
      </c>
      <c r="F103" s="36" t="n">
        <v>36.66</v>
      </c>
      <c r="G103" s="36" t="n">
        <v>45.99</v>
      </c>
      <c r="H103" s="36" t="n">
        <v>49.98</v>
      </c>
      <c r="I103" s="36" t="n">
        <v>39.32</v>
      </c>
      <c r="J103" s="36" t="n">
        <v>32.66</v>
      </c>
      <c r="K103" s="28" t="n">
        <v>12</v>
      </c>
      <c r="L103" s="36" t="n">
        <v>38.65</v>
      </c>
      <c r="M103" s="36" t="n">
        <v>41.99</v>
      </c>
      <c r="N103" s="36" t="n">
        <v>49.32</v>
      </c>
      <c r="O103" s="36" t="n">
        <v>29.32</v>
      </c>
      <c r="P103" s="36" t="n">
        <v>34.66</v>
      </c>
      <c r="Q103" s="36" t="n">
        <v>45.99</v>
      </c>
      <c r="R103" s="28" t="n">
        <v>40.65</v>
      </c>
      <c r="S103" s="36" t="n">
        <v>49.32</v>
      </c>
      <c r="T103" s="36" t="n">
        <v>49.98</v>
      </c>
      <c r="U103" s="36" t="n">
        <v>40.98</v>
      </c>
      <c r="V103" s="36" t="n">
        <v>39.58</v>
      </c>
      <c r="W103" s="36" t="n">
        <v>55.23</v>
      </c>
      <c r="X103" s="36" t="n">
        <v>31.53</v>
      </c>
      <c r="Y103" s="28" t="n">
        <v>60.42</v>
      </c>
      <c r="Z103" s="36" t="n">
        <v>47.64</v>
      </c>
      <c r="AA103" s="36" t="n">
        <v>46.17</v>
      </c>
      <c r="AB103" s="36" t="n">
        <v>47.1</v>
      </c>
      <c r="AC103" s="36" t="n">
        <v>48.65</v>
      </c>
      <c r="AD103" s="36" t="n">
        <v>152.29</v>
      </c>
      <c r="AE103" s="36" t="n">
        <v>79.48</v>
      </c>
      <c r="AF103" s="28" t="n">
        <v>118.28</v>
      </c>
      <c r="AG103" s="36" t="n">
        <v>67.86</v>
      </c>
      <c r="AH103" s="37" t="n">
        <v>47.25</v>
      </c>
      <c r="AI103" s="37" t="n">
        <v>46.48</v>
      </c>
      <c r="AJ103" s="37" t="n">
        <v>44.39</v>
      </c>
      <c r="AK103" s="37" t="n">
        <v>100.85</v>
      </c>
      <c r="AL103" s="37" t="n">
        <v>51.59</v>
      </c>
      <c r="AM103" s="37" t="n">
        <v>74.75</v>
      </c>
      <c r="AN103" s="37" t="n">
        <v>46.79</v>
      </c>
      <c r="AO103" s="37" t="n">
        <v>45.24</v>
      </c>
      <c r="AP103" s="37" t="n">
        <v>61.74</v>
      </c>
      <c r="AQ103" s="37" t="n">
        <v>61.97</v>
      </c>
      <c r="AR103" s="37" t="n">
        <v>50.19</v>
      </c>
      <c r="AS103" s="37" t="n">
        <v>27.81</v>
      </c>
      <c r="AT103" s="37" t="n">
        <v>55.54</v>
      </c>
      <c r="AU103" s="37" t="n">
        <v>90.23999999999999</v>
      </c>
      <c r="AV103" s="37" t="n">
        <v>95.51000000000001</v>
      </c>
      <c r="AW103" s="37" t="n">
        <v>45.78</v>
      </c>
      <c r="AX103" s="37" t="n">
        <v>42.76</v>
      </c>
      <c r="AY103" s="37" t="n">
        <v>48.26</v>
      </c>
      <c r="AZ103" s="37" t="n">
        <v>26.65</v>
      </c>
      <c r="BA103" s="37" t="n">
        <v>50.97</v>
      </c>
      <c r="BB103" s="37" t="n">
        <v>47.25</v>
      </c>
      <c r="BC103" s="37" t="n">
        <v>15.65</v>
      </c>
      <c r="BD103" s="37" t="n">
        <v>40.05</v>
      </c>
      <c r="BE103" s="37" t="n">
        <v>49.27</v>
      </c>
      <c r="BF103" s="37" t="n">
        <v>43.22</v>
      </c>
      <c r="BG103" s="37" t="n">
        <v>35.94</v>
      </c>
      <c r="BH103" s="37" t="n">
        <v>64.98999999999999</v>
      </c>
      <c r="BI103" s="37" t="n">
        <v>55.46</v>
      </c>
      <c r="BJ103" s="37" t="n">
        <v>239.82</v>
      </c>
      <c r="BK103" s="37" t="n">
        <v>116.97</v>
      </c>
      <c r="BL103" s="37" t="n">
        <v>61.27</v>
      </c>
      <c r="BM103" s="37" t="n">
        <v>45.31</v>
      </c>
      <c r="BN103" s="37" t="n">
        <v>34.78</v>
      </c>
      <c r="BO103" s="37" t="n">
        <v>74.36</v>
      </c>
      <c r="BP103" s="37" t="n">
        <v>109.68</v>
      </c>
      <c r="BQ103" s="37" t="n">
        <v>78.55</v>
      </c>
      <c r="BR103" s="37" t="n">
        <v>52.29</v>
      </c>
      <c r="BS103" s="37" t="n">
        <v>49.27</v>
      </c>
      <c r="BT103" s="37" t="n">
        <v>43.22</v>
      </c>
      <c r="BU103" s="37" t="n">
        <v>50.27</v>
      </c>
      <c r="BV103" s="37" t="n">
        <v>68.40000000000001</v>
      </c>
      <c r="BW103" s="37" t="n">
        <v>55.46</v>
      </c>
      <c r="BX103" s="37" t="n">
        <v>53.14</v>
      </c>
      <c r="BY103" s="37" t="n">
        <v>52.29</v>
      </c>
      <c r="BZ103" s="37" t="n">
        <v>88.62</v>
      </c>
      <c r="CA103" s="37" t="n">
        <v>51.82</v>
      </c>
      <c r="CB103" s="37" t="n">
        <v>34.47</v>
      </c>
      <c r="CC103" s="37" t="n">
        <v>4258.28</v>
      </c>
    </row>
    <row r="104" ht="15.75" customHeight="1" s="57">
      <c r="A104" s="7" t="inlineStr">
        <is>
          <t>NTB</t>
        </is>
      </c>
      <c r="B104" s="7" t="inlineStr">
        <is>
          <t>Bình Thuận</t>
        </is>
      </c>
      <c r="C104" s="7" t="n">
        <v>22028000</v>
      </c>
      <c r="D104" s="7" t="inlineStr">
        <is>
          <t>Kho Giao Hàng Nặng - La Gi - Bình Thuận</t>
        </is>
      </c>
      <c r="E104" s="7" t="inlineStr">
        <is>
          <t>Shopee-Bulky (10-15kg)</t>
        </is>
      </c>
      <c r="F104" s="36" t="n">
        <v>18.34</v>
      </c>
      <c r="G104" s="36" t="n">
        <v>23.01</v>
      </c>
      <c r="H104" s="36" t="n">
        <v>25.02</v>
      </c>
      <c r="I104" s="36" t="n">
        <v>19.68</v>
      </c>
      <c r="J104" s="36" t="n">
        <v>16.34</v>
      </c>
      <c r="K104" s="28" t="n">
        <v>6</v>
      </c>
      <c r="L104" s="36" t="n">
        <v>19.35</v>
      </c>
      <c r="M104" s="36" t="n">
        <v>21.01</v>
      </c>
      <c r="N104" s="36" t="n">
        <v>24.68</v>
      </c>
      <c r="O104" s="36" t="n">
        <v>14.68</v>
      </c>
      <c r="P104" s="36" t="n">
        <v>17.34</v>
      </c>
      <c r="Q104" s="36" t="n">
        <v>23.01</v>
      </c>
      <c r="R104" s="28" t="n">
        <v>20.35</v>
      </c>
      <c r="S104" s="36" t="n">
        <v>24.68</v>
      </c>
      <c r="T104" s="36" t="n">
        <v>25.02</v>
      </c>
      <c r="U104" s="36" t="n">
        <v>21.15</v>
      </c>
      <c r="V104" s="36" t="n">
        <v>20.53</v>
      </c>
      <c r="W104" s="36" t="n">
        <v>27.65</v>
      </c>
      <c r="X104" s="36" t="n">
        <v>15.03</v>
      </c>
      <c r="Y104" s="28" t="n">
        <v>29.9</v>
      </c>
      <c r="Z104" s="36" t="n">
        <v>23.55</v>
      </c>
      <c r="AA104" s="36" t="n">
        <v>22.93</v>
      </c>
      <c r="AB104" s="36" t="n">
        <v>23.32</v>
      </c>
      <c r="AC104" s="36" t="n">
        <v>24.17</v>
      </c>
      <c r="AD104" s="36" t="n">
        <v>98.61</v>
      </c>
      <c r="AE104" s="36" t="n">
        <v>39.51</v>
      </c>
      <c r="AF104" s="28" t="n">
        <v>55.54</v>
      </c>
      <c r="AG104" s="36" t="n">
        <v>33.7</v>
      </c>
      <c r="AH104" s="37" t="n">
        <v>23.24</v>
      </c>
      <c r="AI104" s="37" t="n">
        <v>22.46</v>
      </c>
      <c r="AJ104" s="37" t="n">
        <v>22</v>
      </c>
      <c r="AK104" s="37" t="n">
        <v>51.43</v>
      </c>
      <c r="AL104" s="37" t="n">
        <v>25.1</v>
      </c>
      <c r="AM104" s="37" t="n">
        <v>36.48</v>
      </c>
      <c r="AN104" s="37" t="n">
        <v>23.24</v>
      </c>
      <c r="AO104" s="37" t="n">
        <v>22.15</v>
      </c>
      <c r="AP104" s="37" t="n">
        <v>29.98</v>
      </c>
      <c r="AQ104" s="37" t="n">
        <v>30.05</v>
      </c>
      <c r="AR104" s="37" t="n">
        <v>24.94</v>
      </c>
      <c r="AS104" s="37" t="n">
        <v>13.32</v>
      </c>
      <c r="AT104" s="37" t="n">
        <v>27.03</v>
      </c>
      <c r="AU104" s="37" t="n">
        <v>46.24</v>
      </c>
      <c r="AV104" s="37" t="n">
        <v>46.24</v>
      </c>
      <c r="AW104" s="37" t="n">
        <v>22.23</v>
      </c>
      <c r="AX104" s="37" t="n">
        <v>20.91</v>
      </c>
      <c r="AY104" s="37" t="n">
        <v>23.86</v>
      </c>
      <c r="AZ104" s="37" t="n">
        <v>12.78</v>
      </c>
      <c r="BA104" s="37" t="n">
        <v>24.79</v>
      </c>
      <c r="BB104" s="37" t="n">
        <v>23.7</v>
      </c>
      <c r="BC104" s="37" t="n">
        <v>8.210000000000001</v>
      </c>
      <c r="BD104" s="37" t="n">
        <v>20.22</v>
      </c>
      <c r="BE104" s="37" t="n">
        <v>24.48</v>
      </c>
      <c r="BF104" s="37" t="n">
        <v>21.92</v>
      </c>
      <c r="BG104" s="37" t="n">
        <v>17.51</v>
      </c>
      <c r="BH104" s="37" t="n">
        <v>32.15</v>
      </c>
      <c r="BI104" s="37" t="n">
        <v>27.65</v>
      </c>
      <c r="BJ104" s="37" t="n">
        <v>136.56</v>
      </c>
      <c r="BK104" s="37" t="n">
        <v>58.25</v>
      </c>
      <c r="BL104" s="37" t="n">
        <v>29.75</v>
      </c>
      <c r="BM104" s="37" t="n">
        <v>22.77</v>
      </c>
      <c r="BN104" s="37" t="n">
        <v>17.51</v>
      </c>
      <c r="BO104" s="37" t="n">
        <v>38.27</v>
      </c>
      <c r="BP104" s="37" t="n">
        <v>54.92</v>
      </c>
      <c r="BQ104" s="37" t="n">
        <v>40.28</v>
      </c>
      <c r="BR104" s="37" t="n">
        <v>25.95</v>
      </c>
      <c r="BS104" s="37" t="n">
        <v>24.48</v>
      </c>
      <c r="BT104" s="37" t="n">
        <v>21.92</v>
      </c>
      <c r="BU104" s="37" t="n">
        <v>24.79</v>
      </c>
      <c r="BV104" s="37" t="n">
        <v>34.93</v>
      </c>
      <c r="BW104" s="37" t="n">
        <v>27.65</v>
      </c>
      <c r="BX104" s="37" t="n">
        <v>26.41</v>
      </c>
      <c r="BY104" s="37" t="n">
        <v>25.95</v>
      </c>
      <c r="BZ104" s="37" t="n">
        <v>44.54</v>
      </c>
      <c r="CA104" s="37" t="n">
        <v>25.87</v>
      </c>
      <c r="CB104" s="37" t="n">
        <v>16.58</v>
      </c>
      <c r="CC104" s="37" t="n">
        <v>2155.79</v>
      </c>
    </row>
    <row r="105" ht="15.75" customHeight="1" s="57">
      <c r="A105" s="7" t="inlineStr">
        <is>
          <t>NTB</t>
        </is>
      </c>
      <c r="B105" s="7" t="inlineStr">
        <is>
          <t>Bình Thuận</t>
        </is>
      </c>
      <c r="C105" s="7" t="n">
        <v>22028000</v>
      </c>
      <c r="D105" s="7" t="inlineStr">
        <is>
          <t>Kho Giao Hàng Nặng - La Gi - Bình Thuận</t>
        </is>
      </c>
      <c r="E105" s="7" t="inlineStr">
        <is>
          <t>TTS</t>
        </is>
      </c>
      <c r="F105" s="36" t="n">
        <v>0</v>
      </c>
      <c r="G105" s="36" t="n">
        <v>0</v>
      </c>
      <c r="H105" s="36" t="n">
        <v>0</v>
      </c>
      <c r="I105" s="36" t="n">
        <v>0</v>
      </c>
      <c r="J105" s="36" t="n">
        <v>0</v>
      </c>
      <c r="K105" s="28" t="n">
        <v>0</v>
      </c>
      <c r="L105" s="36" t="n">
        <v>0</v>
      </c>
      <c r="M105" s="36" t="n">
        <v>0</v>
      </c>
      <c r="N105" s="36" t="n">
        <v>0</v>
      </c>
      <c r="O105" s="36" t="n">
        <v>1</v>
      </c>
      <c r="P105" s="36" t="n">
        <v>0</v>
      </c>
      <c r="Q105" s="36" t="n">
        <v>1</v>
      </c>
      <c r="R105" s="28" t="n">
        <v>0</v>
      </c>
      <c r="S105" s="36" t="n">
        <v>3</v>
      </c>
      <c r="T105" s="36" t="n">
        <v>1</v>
      </c>
      <c r="U105" s="36" t="n">
        <v>1.42</v>
      </c>
      <c r="V105" s="36" t="n">
        <v>1.28</v>
      </c>
      <c r="W105" s="36" t="n">
        <v>1.27</v>
      </c>
      <c r="X105" s="36" t="n">
        <v>1.09</v>
      </c>
      <c r="Y105" s="28" t="n">
        <v>1.72</v>
      </c>
      <c r="Z105" s="36" t="n">
        <v>1.27</v>
      </c>
      <c r="AA105" s="36" t="n">
        <v>1.46</v>
      </c>
      <c r="AB105" s="36" t="n">
        <v>1.54</v>
      </c>
      <c r="AC105" s="36" t="n">
        <v>1.58</v>
      </c>
      <c r="AD105" s="36" t="n">
        <v>2.12</v>
      </c>
      <c r="AE105" s="36" t="n">
        <v>1.18</v>
      </c>
      <c r="AF105" s="28" t="n">
        <v>1.75</v>
      </c>
      <c r="AG105" s="36" t="n">
        <v>1.28</v>
      </c>
      <c r="AH105" s="37" t="n">
        <v>1.27</v>
      </c>
      <c r="AI105" s="37" t="n">
        <v>1.49</v>
      </c>
      <c r="AJ105" s="37" t="n">
        <v>1.55</v>
      </c>
      <c r="AK105" s="37" t="n">
        <v>1.53</v>
      </c>
      <c r="AL105" s="37" t="n">
        <v>1.13</v>
      </c>
      <c r="AM105" s="37" t="n">
        <v>1.73</v>
      </c>
      <c r="AN105" s="37" t="n">
        <v>1.35</v>
      </c>
      <c r="AO105" s="37" t="n">
        <v>1.4</v>
      </c>
      <c r="AP105" s="37" t="n">
        <v>1.27</v>
      </c>
      <c r="AQ105" s="37" t="n">
        <v>1.27</v>
      </c>
      <c r="AR105" s="37" t="n">
        <v>1.26</v>
      </c>
      <c r="AS105" s="37" t="n">
        <v>1.09</v>
      </c>
      <c r="AT105" s="37" t="n">
        <v>1.92</v>
      </c>
      <c r="AU105" s="37" t="n">
        <v>1.5</v>
      </c>
      <c r="AV105" s="37" t="n">
        <v>1.41</v>
      </c>
      <c r="AW105" s="37" t="n">
        <v>1.26</v>
      </c>
      <c r="AX105" s="37" t="n">
        <v>1.25</v>
      </c>
      <c r="AY105" s="37" t="n">
        <v>1.25</v>
      </c>
      <c r="AZ105" s="37" t="n">
        <v>1.09</v>
      </c>
      <c r="BA105" s="37" t="n">
        <v>1.71</v>
      </c>
      <c r="BB105" s="37" t="n">
        <v>1.45</v>
      </c>
      <c r="BC105" s="37" t="n">
        <v>0.76</v>
      </c>
      <c r="BD105" s="37" t="n">
        <v>1.23</v>
      </c>
      <c r="BE105" s="37" t="n">
        <v>1.46</v>
      </c>
      <c r="BF105" s="37" t="n">
        <v>1.44</v>
      </c>
      <c r="BG105" s="37" t="n">
        <v>1.13</v>
      </c>
      <c r="BH105" s="37" t="n">
        <v>1.92</v>
      </c>
      <c r="BI105" s="37" t="n">
        <v>1.45</v>
      </c>
      <c r="BJ105" s="37" t="n">
        <v>1.74</v>
      </c>
      <c r="BK105" s="37" t="n">
        <v>1.46</v>
      </c>
      <c r="BL105" s="37" t="n">
        <v>1.46</v>
      </c>
      <c r="BM105" s="37" t="n">
        <v>1.44</v>
      </c>
      <c r="BN105" s="37" t="n">
        <v>1.13</v>
      </c>
      <c r="BO105" s="37" t="n">
        <v>1.92</v>
      </c>
      <c r="BP105" s="37" t="n">
        <v>1.45</v>
      </c>
      <c r="BQ105" s="37" t="n">
        <v>1.44</v>
      </c>
      <c r="BR105" s="37" t="n">
        <v>1.46</v>
      </c>
      <c r="BS105" s="37" t="n">
        <v>1.46</v>
      </c>
      <c r="BT105" s="37" t="n">
        <v>1.44</v>
      </c>
      <c r="BU105" s="37" t="n">
        <v>1.13</v>
      </c>
      <c r="BV105" s="37" t="n">
        <v>1.92</v>
      </c>
      <c r="BW105" s="37" t="n">
        <v>1.45</v>
      </c>
      <c r="BX105" s="37" t="n">
        <v>1.44</v>
      </c>
      <c r="BY105" s="37" t="n">
        <v>1.46</v>
      </c>
      <c r="BZ105" s="37" t="n">
        <v>1.46</v>
      </c>
      <c r="CA105" s="37" t="n">
        <v>1.44</v>
      </c>
      <c r="CB105" s="37" t="n">
        <v>1.13</v>
      </c>
      <c r="CC105" s="37" t="n">
        <v>91.35999999999996</v>
      </c>
    </row>
    <row r="106" ht="15.75" customHeight="1" s="57">
      <c r="A106" s="7" t="inlineStr">
        <is>
          <t>NTB</t>
        </is>
      </c>
      <c r="B106" s="7" t="inlineStr">
        <is>
          <t>Bình Thuận</t>
        </is>
      </c>
      <c r="C106" s="7" t="n">
        <v>22028000</v>
      </c>
      <c r="D106" s="7" t="inlineStr">
        <is>
          <t>Kho Giao Hàng Nặng - La Gi - Bình Thuận</t>
        </is>
      </c>
      <c r="E106" s="7" t="inlineStr">
        <is>
          <t>TTS-Bulky</t>
        </is>
      </c>
      <c r="F106" s="36" t="n">
        <v>0</v>
      </c>
      <c r="G106" s="36" t="n">
        <v>2</v>
      </c>
      <c r="H106" s="36" t="n">
        <v>1</v>
      </c>
      <c r="I106" s="36" t="n">
        <v>2</v>
      </c>
      <c r="J106" s="36" t="n">
        <v>3</v>
      </c>
      <c r="K106" s="28" t="n">
        <v>0</v>
      </c>
      <c r="L106" s="36" t="n">
        <v>2</v>
      </c>
      <c r="M106" s="36" t="n">
        <v>5</v>
      </c>
      <c r="N106" s="36" t="n">
        <v>0</v>
      </c>
      <c r="O106" s="36" t="n">
        <v>3</v>
      </c>
      <c r="P106" s="36" t="n">
        <v>3</v>
      </c>
      <c r="Q106" s="36" t="n">
        <v>2</v>
      </c>
      <c r="R106" s="28" t="n">
        <v>0</v>
      </c>
      <c r="S106" s="36" t="n">
        <v>2</v>
      </c>
      <c r="T106" s="36" t="n">
        <v>0</v>
      </c>
      <c r="U106" s="36" t="n">
        <v>6.96</v>
      </c>
      <c r="V106" s="36" t="n">
        <v>7.25</v>
      </c>
      <c r="W106" s="36" t="n">
        <v>3.57</v>
      </c>
      <c r="X106" s="36" t="n">
        <v>2.04</v>
      </c>
      <c r="Y106" s="28" t="n">
        <v>4.93</v>
      </c>
      <c r="Z106" s="36" t="n">
        <v>3.74</v>
      </c>
      <c r="AA106" s="36" t="n">
        <v>3.51</v>
      </c>
      <c r="AB106" s="36" t="n">
        <v>3.74</v>
      </c>
      <c r="AC106" s="36" t="n">
        <v>4.19</v>
      </c>
      <c r="AD106" s="36" t="n">
        <v>4.53</v>
      </c>
      <c r="AE106" s="36" t="n">
        <v>2.32</v>
      </c>
      <c r="AF106" s="28" t="n">
        <v>4.59</v>
      </c>
      <c r="AG106" s="36" t="n">
        <v>3.45</v>
      </c>
      <c r="AH106" s="37" t="n">
        <v>3.34</v>
      </c>
      <c r="AI106" s="37" t="n">
        <v>3.91</v>
      </c>
      <c r="AJ106" s="37" t="n">
        <v>3.96</v>
      </c>
      <c r="AK106" s="37" t="n">
        <v>3.85</v>
      </c>
      <c r="AL106" s="37" t="n">
        <v>2.04</v>
      </c>
      <c r="AM106" s="37" t="n">
        <v>4.59</v>
      </c>
      <c r="AN106" s="37" t="n">
        <v>3.4</v>
      </c>
      <c r="AO106" s="37" t="n">
        <v>3.45</v>
      </c>
      <c r="AP106" s="37" t="n">
        <v>3.45</v>
      </c>
      <c r="AQ106" s="37" t="n">
        <v>3.62</v>
      </c>
      <c r="AR106" s="37" t="n">
        <v>3.51</v>
      </c>
      <c r="AS106" s="37" t="n">
        <v>2.04</v>
      </c>
      <c r="AT106" s="37" t="n">
        <v>4.93</v>
      </c>
      <c r="AU106" s="37" t="n">
        <v>3.85</v>
      </c>
      <c r="AV106" s="37" t="n">
        <v>3.34</v>
      </c>
      <c r="AW106" s="37" t="n">
        <v>3.4</v>
      </c>
      <c r="AX106" s="37" t="n">
        <v>3.57</v>
      </c>
      <c r="AY106" s="37" t="n">
        <v>3.51</v>
      </c>
      <c r="AZ106" s="37" t="n">
        <v>2.04</v>
      </c>
      <c r="BA106" s="37" t="n">
        <v>4.08</v>
      </c>
      <c r="BB106" s="37" t="n">
        <v>0.96</v>
      </c>
      <c r="BC106" s="37" t="n">
        <v>0.45</v>
      </c>
      <c r="BD106" s="37" t="n">
        <v>0.79</v>
      </c>
      <c r="BE106" s="37" t="n">
        <v>0.96</v>
      </c>
      <c r="BF106" s="37" t="n">
        <v>0.96</v>
      </c>
      <c r="BG106" s="37" t="n">
        <v>0.57</v>
      </c>
      <c r="BH106" s="37" t="n">
        <v>1.47</v>
      </c>
      <c r="BI106" s="37" t="n">
        <v>0.96</v>
      </c>
      <c r="BJ106" s="37" t="n">
        <v>1.08</v>
      </c>
      <c r="BK106" s="37" t="n">
        <v>0.96</v>
      </c>
      <c r="BL106" s="37" t="n">
        <v>0.96</v>
      </c>
      <c r="BM106" s="37" t="n">
        <v>0.96</v>
      </c>
      <c r="BN106" s="37" t="n">
        <v>0.62</v>
      </c>
      <c r="BO106" s="37" t="n">
        <v>1.53</v>
      </c>
      <c r="BP106" s="37" t="n">
        <v>1.25</v>
      </c>
      <c r="BQ106" s="37" t="n">
        <v>0.96</v>
      </c>
      <c r="BR106" s="37" t="n">
        <v>0.96</v>
      </c>
      <c r="BS106" s="37" t="n">
        <v>0.96</v>
      </c>
      <c r="BT106" s="37" t="n">
        <v>0.96</v>
      </c>
      <c r="BU106" s="37" t="n">
        <v>0.51</v>
      </c>
      <c r="BV106" s="37" t="n">
        <v>1.25</v>
      </c>
      <c r="BW106" s="37" t="n">
        <v>0.96</v>
      </c>
      <c r="BX106" s="37" t="n">
        <v>0.96</v>
      </c>
      <c r="BY106" s="37" t="n">
        <v>0.96</v>
      </c>
      <c r="BZ106" s="37" t="n">
        <v>0.96</v>
      </c>
      <c r="CA106" s="37" t="n">
        <v>0.96</v>
      </c>
      <c r="CB106" s="37" t="n">
        <v>0.51</v>
      </c>
      <c r="CC106" s="37" t="n">
        <v>175.0900000000001</v>
      </c>
    </row>
    <row r="107" ht="15.75" customHeight="1" s="57">
      <c r="A107" s="7" t="inlineStr">
        <is>
          <t>NTB</t>
        </is>
      </c>
      <c r="B107" s="7" t="inlineStr">
        <is>
          <t>Bình Thuận</t>
        </is>
      </c>
      <c r="C107" s="7" t="n">
        <v>22057000</v>
      </c>
      <c r="D107" s="7" t="inlineStr">
        <is>
          <t>Kho Giao Hàng Nặng - Tuy Phong - Bình Thuận</t>
        </is>
      </c>
      <c r="E107" s="7" t="inlineStr">
        <is>
          <t>SME</t>
        </is>
      </c>
      <c r="F107" s="36" t="n">
        <v>0</v>
      </c>
      <c r="G107" s="36" t="n">
        <v>0</v>
      </c>
      <c r="H107" s="36" t="n">
        <v>1</v>
      </c>
      <c r="I107" s="36" t="n">
        <v>0</v>
      </c>
      <c r="J107" s="36" t="n">
        <v>2</v>
      </c>
      <c r="K107" s="28" t="n">
        <v>1</v>
      </c>
      <c r="L107" s="36" t="n">
        <v>0</v>
      </c>
      <c r="M107" s="36" t="n">
        <v>1</v>
      </c>
      <c r="N107" s="36" t="n">
        <v>4</v>
      </c>
      <c r="O107" s="36" t="n">
        <v>1</v>
      </c>
      <c r="P107" s="36" t="n">
        <v>0</v>
      </c>
      <c r="Q107" s="36" t="n">
        <v>1</v>
      </c>
      <c r="R107" s="28" t="n">
        <v>0</v>
      </c>
      <c r="S107" s="36" t="n">
        <v>2</v>
      </c>
      <c r="T107" s="36" t="n">
        <v>2</v>
      </c>
      <c r="U107" s="36" t="n">
        <v>11.64</v>
      </c>
      <c r="V107" s="36" t="n">
        <v>12.22</v>
      </c>
      <c r="W107" s="36" t="n">
        <v>11.79</v>
      </c>
      <c r="X107" s="36" t="n">
        <v>9.77</v>
      </c>
      <c r="Y107" s="28" t="n">
        <v>13.28</v>
      </c>
      <c r="Z107" s="36" t="n">
        <v>12.15</v>
      </c>
      <c r="AA107" s="36" t="n">
        <v>11.78</v>
      </c>
      <c r="AB107" s="36" t="n">
        <v>11.64</v>
      </c>
      <c r="AC107" s="36" t="n">
        <v>12.22</v>
      </c>
      <c r="AD107" s="36" t="n">
        <v>14.14</v>
      </c>
      <c r="AE107" s="36" t="n">
        <v>9.77</v>
      </c>
      <c r="AF107" s="28" t="n">
        <v>13.28</v>
      </c>
      <c r="AG107" s="36" t="n">
        <v>12.15</v>
      </c>
      <c r="AH107" s="37" t="n">
        <v>11.78</v>
      </c>
      <c r="AI107" s="37" t="n">
        <v>11.64</v>
      </c>
      <c r="AJ107" s="37" t="n">
        <v>12.22</v>
      </c>
      <c r="AK107" s="37" t="n">
        <v>11.79</v>
      </c>
      <c r="AL107" s="37" t="n">
        <v>9.77</v>
      </c>
      <c r="AM107" s="37" t="n">
        <v>13.28</v>
      </c>
      <c r="AN107" s="37" t="n">
        <v>12.15</v>
      </c>
      <c r="AO107" s="37" t="n">
        <v>11.78</v>
      </c>
      <c r="AP107" s="37" t="n">
        <v>11.64</v>
      </c>
      <c r="AQ107" s="37" t="n">
        <v>12.22</v>
      </c>
      <c r="AR107" s="37" t="n">
        <v>11.79</v>
      </c>
      <c r="AS107" s="37" t="n">
        <v>9.77</v>
      </c>
      <c r="AT107" s="37" t="n">
        <v>13.28</v>
      </c>
      <c r="AU107" s="37" t="n">
        <v>12.15</v>
      </c>
      <c r="AV107" s="37" t="n">
        <v>11.78</v>
      </c>
      <c r="AW107" s="37" t="n">
        <v>11.64</v>
      </c>
      <c r="AX107" s="37" t="n">
        <v>12.22</v>
      </c>
      <c r="AY107" s="37" t="n">
        <v>11.79</v>
      </c>
      <c r="AZ107" s="37" t="n">
        <v>9.77</v>
      </c>
      <c r="BA107" s="37" t="n">
        <v>11.74</v>
      </c>
      <c r="BB107" s="37" t="n">
        <v>10.36</v>
      </c>
      <c r="BC107" s="37" t="n">
        <v>6.52</v>
      </c>
      <c r="BD107" s="37" t="n">
        <v>6.43</v>
      </c>
      <c r="BE107" s="37" t="n">
        <v>11.02</v>
      </c>
      <c r="BF107" s="37" t="n">
        <v>10.79</v>
      </c>
      <c r="BG107" s="37" t="n">
        <v>10</v>
      </c>
      <c r="BH107" s="37" t="n">
        <v>13.52</v>
      </c>
      <c r="BI107" s="37" t="n">
        <v>12.4</v>
      </c>
      <c r="BJ107" s="37" t="n">
        <v>14.46</v>
      </c>
      <c r="BK107" s="37" t="n">
        <v>11.88</v>
      </c>
      <c r="BL107" s="37" t="n">
        <v>12.45</v>
      </c>
      <c r="BM107" s="37" t="n">
        <v>12.03</v>
      </c>
      <c r="BN107" s="37" t="n">
        <v>10</v>
      </c>
      <c r="BO107" s="37" t="n">
        <v>13.52</v>
      </c>
      <c r="BP107" s="37" t="n">
        <v>12.4</v>
      </c>
      <c r="BQ107" s="37" t="n">
        <v>12.02</v>
      </c>
      <c r="BR107" s="37" t="n">
        <v>11.88</v>
      </c>
      <c r="BS107" s="37" t="n">
        <v>12.45</v>
      </c>
      <c r="BT107" s="37" t="n">
        <v>12.03</v>
      </c>
      <c r="BU107" s="37" t="n">
        <v>10</v>
      </c>
      <c r="BV107" s="37" t="n">
        <v>13.52</v>
      </c>
      <c r="BW107" s="37" t="n">
        <v>12.4</v>
      </c>
      <c r="BX107" s="37" t="n">
        <v>12.02</v>
      </c>
      <c r="BY107" s="37" t="n">
        <v>11.88</v>
      </c>
      <c r="BZ107" s="37" t="n">
        <v>12.45</v>
      </c>
      <c r="CA107" s="37" t="n">
        <v>12.03</v>
      </c>
      <c r="CB107" s="37" t="n">
        <v>10</v>
      </c>
      <c r="CC107" s="37" t="n">
        <v>715.4899999999999</v>
      </c>
    </row>
    <row r="108" ht="15.75" customHeight="1" s="57">
      <c r="A108" s="7" t="inlineStr">
        <is>
          <t>NTB</t>
        </is>
      </c>
      <c r="B108" s="7" t="inlineStr">
        <is>
          <t>Bình Thuận</t>
        </is>
      </c>
      <c r="C108" s="7" t="n">
        <v>22057000</v>
      </c>
      <c r="D108" s="7" t="inlineStr">
        <is>
          <t>Kho Giao Hàng Nặng - Tuy Phong - Bình Thuận</t>
        </is>
      </c>
      <c r="E108" s="7" t="inlineStr">
        <is>
          <t>SME-Bulky</t>
        </is>
      </c>
      <c r="F108" s="36" t="n">
        <v>3</v>
      </c>
      <c r="G108" s="36" t="n">
        <v>8</v>
      </c>
      <c r="H108" s="36" t="n">
        <v>13</v>
      </c>
      <c r="I108" s="36" t="n">
        <v>12</v>
      </c>
      <c r="J108" s="36" t="n">
        <v>8</v>
      </c>
      <c r="K108" s="28" t="n">
        <v>14</v>
      </c>
      <c r="L108" s="36" t="n">
        <v>15</v>
      </c>
      <c r="M108" s="36" t="n">
        <v>8</v>
      </c>
      <c r="N108" s="36" t="n">
        <v>14</v>
      </c>
      <c r="O108" s="36" t="n">
        <v>19</v>
      </c>
      <c r="P108" s="36" t="n">
        <v>9</v>
      </c>
      <c r="Q108" s="36" t="n">
        <v>11</v>
      </c>
      <c r="R108" s="28" t="n">
        <v>12</v>
      </c>
      <c r="S108" s="36" t="n">
        <v>14</v>
      </c>
      <c r="T108" s="36" t="n">
        <v>11</v>
      </c>
      <c r="U108" s="36" t="n">
        <v>13.43</v>
      </c>
      <c r="V108" s="36" t="n">
        <v>13.48</v>
      </c>
      <c r="W108" s="36" t="n">
        <v>12.51</v>
      </c>
      <c r="X108" s="36" t="n">
        <v>8.789999999999999</v>
      </c>
      <c r="Y108" s="28" t="n">
        <v>15.02</v>
      </c>
      <c r="Z108" s="36" t="n">
        <v>14.6</v>
      </c>
      <c r="AA108" s="36" t="n">
        <v>14.23</v>
      </c>
      <c r="AB108" s="36" t="n">
        <v>13.43</v>
      </c>
      <c r="AC108" s="36" t="n">
        <v>13.48</v>
      </c>
      <c r="AD108" s="36" t="n">
        <v>14.27</v>
      </c>
      <c r="AE108" s="36" t="n">
        <v>8.789999999999999</v>
      </c>
      <c r="AF108" s="28" t="n">
        <v>15.02</v>
      </c>
      <c r="AG108" s="36" t="n">
        <v>14.6</v>
      </c>
      <c r="AH108" s="37" t="n">
        <v>14.23</v>
      </c>
      <c r="AI108" s="37" t="n">
        <v>13.43</v>
      </c>
      <c r="AJ108" s="37" t="n">
        <v>13.48</v>
      </c>
      <c r="AK108" s="37" t="n">
        <v>12.51</v>
      </c>
      <c r="AL108" s="37" t="n">
        <v>8.789999999999999</v>
      </c>
      <c r="AM108" s="37" t="n">
        <v>15.02</v>
      </c>
      <c r="AN108" s="37" t="n">
        <v>14.6</v>
      </c>
      <c r="AO108" s="37" t="n">
        <v>14.23</v>
      </c>
      <c r="AP108" s="37" t="n">
        <v>13.43</v>
      </c>
      <c r="AQ108" s="37" t="n">
        <v>13.48</v>
      </c>
      <c r="AR108" s="37" t="n">
        <v>12.51</v>
      </c>
      <c r="AS108" s="37" t="n">
        <v>8.789999999999999</v>
      </c>
      <c r="AT108" s="37" t="n">
        <v>15.02</v>
      </c>
      <c r="AU108" s="37" t="n">
        <v>14.6</v>
      </c>
      <c r="AV108" s="37" t="n">
        <v>14.23</v>
      </c>
      <c r="AW108" s="37" t="n">
        <v>13.43</v>
      </c>
      <c r="AX108" s="37" t="n">
        <v>13.48</v>
      </c>
      <c r="AY108" s="37" t="n">
        <v>12.51</v>
      </c>
      <c r="AZ108" s="37" t="n">
        <v>8.789999999999999</v>
      </c>
      <c r="BA108" s="37" t="n">
        <v>15.06</v>
      </c>
      <c r="BB108" s="37" t="n">
        <v>7.9</v>
      </c>
      <c r="BC108" s="37" t="n">
        <v>4.23</v>
      </c>
      <c r="BD108" s="37" t="n">
        <v>3.81</v>
      </c>
      <c r="BE108" s="37" t="n">
        <v>6.88</v>
      </c>
      <c r="BF108" s="37" t="n">
        <v>6.6</v>
      </c>
      <c r="BG108" s="37" t="n">
        <v>5.16</v>
      </c>
      <c r="BH108" s="37" t="n">
        <v>8.74</v>
      </c>
      <c r="BI108" s="37" t="n">
        <v>8.74</v>
      </c>
      <c r="BJ108" s="37" t="n">
        <v>9.02</v>
      </c>
      <c r="BK108" s="37" t="n">
        <v>7.95</v>
      </c>
      <c r="BL108" s="37" t="n">
        <v>8.039999999999999</v>
      </c>
      <c r="BM108" s="37" t="n">
        <v>7.44</v>
      </c>
      <c r="BN108" s="37" t="n">
        <v>5.16</v>
      </c>
      <c r="BO108" s="37" t="n">
        <v>8.74</v>
      </c>
      <c r="BP108" s="37" t="n">
        <v>8.74</v>
      </c>
      <c r="BQ108" s="37" t="n">
        <v>8.23</v>
      </c>
      <c r="BR108" s="37" t="n">
        <v>7.95</v>
      </c>
      <c r="BS108" s="37" t="n">
        <v>8.039999999999999</v>
      </c>
      <c r="BT108" s="37" t="n">
        <v>7.44</v>
      </c>
      <c r="BU108" s="37" t="n">
        <v>5.16</v>
      </c>
      <c r="BV108" s="37" t="n">
        <v>8.74</v>
      </c>
      <c r="BW108" s="37" t="n">
        <v>8.74</v>
      </c>
      <c r="BX108" s="37" t="n">
        <v>8.23</v>
      </c>
      <c r="BY108" s="37" t="n">
        <v>7.95</v>
      </c>
      <c r="BZ108" s="37" t="n">
        <v>8.039999999999999</v>
      </c>
      <c r="CA108" s="37" t="n">
        <v>7.44</v>
      </c>
      <c r="CB108" s="37" t="n">
        <v>5.16</v>
      </c>
      <c r="CC108" s="37" t="n">
        <v>802.5400000000002</v>
      </c>
    </row>
    <row r="109" ht="15.75" customHeight="1" s="57">
      <c r="A109" s="7" t="inlineStr">
        <is>
          <t>NTB</t>
        </is>
      </c>
      <c r="B109" s="7" t="inlineStr">
        <is>
          <t>Bình Thuận</t>
        </is>
      </c>
      <c r="C109" s="7" t="n">
        <v>22057000</v>
      </c>
      <c r="D109" s="7" t="inlineStr">
        <is>
          <t>Kho Giao Hàng Nặng - Tuy Phong - Bình Thuận</t>
        </is>
      </c>
      <c r="E109" s="7" t="inlineStr">
        <is>
          <t>Shopee-Bulky</t>
        </is>
      </c>
      <c r="F109" s="36" t="n">
        <v>15.99</v>
      </c>
      <c r="G109" s="36" t="n">
        <v>35.32</v>
      </c>
      <c r="H109" s="36" t="n">
        <v>61.31</v>
      </c>
      <c r="I109" s="36" t="n">
        <v>39.32</v>
      </c>
      <c r="J109" s="36" t="n">
        <v>31.32</v>
      </c>
      <c r="K109" s="28" t="n">
        <v>29.32</v>
      </c>
      <c r="L109" s="36" t="n">
        <v>24.66</v>
      </c>
      <c r="M109" s="36" t="n">
        <v>35.99</v>
      </c>
      <c r="N109" s="36" t="n">
        <v>39.99</v>
      </c>
      <c r="O109" s="36" t="n">
        <v>35.32</v>
      </c>
      <c r="P109" s="36" t="n">
        <v>19.99</v>
      </c>
      <c r="Q109" s="36" t="n">
        <v>41.32</v>
      </c>
      <c r="R109" s="28" t="n">
        <v>22.66</v>
      </c>
      <c r="S109" s="36" t="n">
        <v>48.65</v>
      </c>
      <c r="T109" s="36" t="n">
        <v>23.33</v>
      </c>
      <c r="U109" s="36" t="n">
        <v>31.82</v>
      </c>
      <c r="V109" s="36" t="n">
        <v>30.74</v>
      </c>
      <c r="W109" s="36" t="n">
        <v>42.89</v>
      </c>
      <c r="X109" s="36" t="n">
        <v>24.48</v>
      </c>
      <c r="Y109" s="28" t="n">
        <v>46.92</v>
      </c>
      <c r="Z109" s="36" t="n">
        <v>36.99</v>
      </c>
      <c r="AA109" s="36" t="n">
        <v>35.85</v>
      </c>
      <c r="AB109" s="36" t="n">
        <v>36.57</v>
      </c>
      <c r="AC109" s="36" t="n">
        <v>37.77</v>
      </c>
      <c r="AD109" s="36" t="n">
        <v>118.26</v>
      </c>
      <c r="AE109" s="36" t="n">
        <v>61.71</v>
      </c>
      <c r="AF109" s="28" t="n">
        <v>91.84999999999999</v>
      </c>
      <c r="AG109" s="36" t="n">
        <v>52.69</v>
      </c>
      <c r="AH109" s="37" t="n">
        <v>36.69</v>
      </c>
      <c r="AI109" s="37" t="n">
        <v>36.09</v>
      </c>
      <c r="AJ109" s="37" t="n">
        <v>34.47</v>
      </c>
      <c r="AK109" s="37" t="n">
        <v>78.31999999999999</v>
      </c>
      <c r="AL109" s="37" t="n">
        <v>40.06</v>
      </c>
      <c r="AM109" s="37" t="n">
        <v>58.05</v>
      </c>
      <c r="AN109" s="37" t="n">
        <v>36.33</v>
      </c>
      <c r="AO109" s="37" t="n">
        <v>35.13</v>
      </c>
      <c r="AP109" s="37" t="n">
        <v>47.94</v>
      </c>
      <c r="AQ109" s="37" t="n">
        <v>48.12</v>
      </c>
      <c r="AR109" s="37" t="n">
        <v>38.98</v>
      </c>
      <c r="AS109" s="37" t="n">
        <v>21.59</v>
      </c>
      <c r="AT109" s="37" t="n">
        <v>43.13</v>
      </c>
      <c r="AU109" s="37" t="n">
        <v>70.08</v>
      </c>
      <c r="AV109" s="37" t="n">
        <v>74.17</v>
      </c>
      <c r="AW109" s="37" t="n">
        <v>35.55</v>
      </c>
      <c r="AX109" s="37" t="n">
        <v>33.2</v>
      </c>
      <c r="AY109" s="37" t="n">
        <v>37.47</v>
      </c>
      <c r="AZ109" s="37" t="n">
        <v>20.69</v>
      </c>
      <c r="BA109" s="37" t="n">
        <v>39.58</v>
      </c>
      <c r="BB109" s="37" t="n">
        <v>36.69</v>
      </c>
      <c r="BC109" s="37" t="n">
        <v>12.15</v>
      </c>
      <c r="BD109" s="37" t="n">
        <v>31.1</v>
      </c>
      <c r="BE109" s="37" t="n">
        <v>38.26</v>
      </c>
      <c r="BF109" s="37" t="n">
        <v>33.56</v>
      </c>
      <c r="BG109" s="37" t="n">
        <v>27.91</v>
      </c>
      <c r="BH109" s="37" t="n">
        <v>50.47</v>
      </c>
      <c r="BI109" s="37" t="n">
        <v>43.07</v>
      </c>
      <c r="BJ109" s="37" t="n">
        <v>186.23</v>
      </c>
      <c r="BK109" s="37" t="n">
        <v>90.83</v>
      </c>
      <c r="BL109" s="37" t="n">
        <v>47.58</v>
      </c>
      <c r="BM109" s="37" t="n">
        <v>35.19</v>
      </c>
      <c r="BN109" s="37" t="n">
        <v>27.01</v>
      </c>
      <c r="BO109" s="37" t="n">
        <v>57.74</v>
      </c>
      <c r="BP109" s="37" t="n">
        <v>85.17</v>
      </c>
      <c r="BQ109" s="37" t="n">
        <v>60.99</v>
      </c>
      <c r="BR109" s="37" t="n">
        <v>40.6</v>
      </c>
      <c r="BS109" s="37" t="n">
        <v>38.26</v>
      </c>
      <c r="BT109" s="37" t="n">
        <v>33.56</v>
      </c>
      <c r="BU109" s="37" t="n">
        <v>39.04</v>
      </c>
      <c r="BV109" s="37" t="n">
        <v>53.11</v>
      </c>
      <c r="BW109" s="37" t="n">
        <v>43.07</v>
      </c>
      <c r="BX109" s="37" t="n">
        <v>41.26</v>
      </c>
      <c r="BY109" s="37" t="n">
        <v>40.6</v>
      </c>
      <c r="BZ109" s="37" t="n">
        <v>68.81</v>
      </c>
      <c r="CA109" s="37" t="n">
        <v>40.24</v>
      </c>
      <c r="CB109" s="37" t="n">
        <v>26.77</v>
      </c>
      <c r="CC109" s="37" t="n">
        <v>3347.94</v>
      </c>
    </row>
    <row r="110" ht="15.75" customHeight="1" s="57">
      <c r="A110" s="7" t="inlineStr">
        <is>
          <t>NTB</t>
        </is>
      </c>
      <c r="B110" s="7" t="inlineStr">
        <is>
          <t>Bình Thuận</t>
        </is>
      </c>
      <c r="C110" s="7" t="n">
        <v>22057000</v>
      </c>
      <c r="D110" s="7" t="inlineStr">
        <is>
          <t>Kho Giao Hàng Nặng - Tuy Phong - Bình Thuận</t>
        </is>
      </c>
      <c r="E110" s="7" t="inlineStr">
        <is>
          <t>Shopee-Bulky (10-15kg)</t>
        </is>
      </c>
      <c r="F110" s="36" t="n">
        <v>8.01</v>
      </c>
      <c r="G110" s="36" t="n">
        <v>17.68</v>
      </c>
      <c r="H110" s="36" t="n">
        <v>30.69</v>
      </c>
      <c r="I110" s="36" t="n">
        <v>19.68</v>
      </c>
      <c r="J110" s="36" t="n">
        <v>15.68</v>
      </c>
      <c r="K110" s="28" t="n">
        <v>14.68</v>
      </c>
      <c r="L110" s="36" t="n">
        <v>12.34</v>
      </c>
      <c r="M110" s="36" t="n">
        <v>18.01</v>
      </c>
      <c r="N110" s="36" t="n">
        <v>20.01</v>
      </c>
      <c r="O110" s="36" t="n">
        <v>17.68</v>
      </c>
      <c r="P110" s="36" t="n">
        <v>10.01</v>
      </c>
      <c r="Q110" s="36" t="n">
        <v>20.68</v>
      </c>
      <c r="R110" s="28" t="n">
        <v>11.34</v>
      </c>
      <c r="S110" s="36" t="n">
        <v>24.35</v>
      </c>
      <c r="T110" s="36" t="n">
        <v>11.67</v>
      </c>
      <c r="U110" s="36" t="n">
        <v>16.42</v>
      </c>
      <c r="V110" s="36" t="n">
        <v>15.94</v>
      </c>
      <c r="W110" s="36" t="n">
        <v>21.47</v>
      </c>
      <c r="X110" s="36" t="n">
        <v>11.67</v>
      </c>
      <c r="Y110" s="28" t="n">
        <v>23.22</v>
      </c>
      <c r="Z110" s="36" t="n">
        <v>18.29</v>
      </c>
      <c r="AA110" s="36" t="n">
        <v>17.8</v>
      </c>
      <c r="AB110" s="36" t="n">
        <v>18.11</v>
      </c>
      <c r="AC110" s="36" t="n">
        <v>18.77</v>
      </c>
      <c r="AD110" s="36" t="n">
        <v>76.56999999999999</v>
      </c>
      <c r="AE110" s="36" t="n">
        <v>30.68</v>
      </c>
      <c r="AF110" s="28" t="n">
        <v>43.13</v>
      </c>
      <c r="AG110" s="36" t="n">
        <v>26.17</v>
      </c>
      <c r="AH110" s="37" t="n">
        <v>18.05</v>
      </c>
      <c r="AI110" s="37" t="n">
        <v>17.44</v>
      </c>
      <c r="AJ110" s="37" t="n">
        <v>17.08</v>
      </c>
      <c r="AK110" s="37" t="n">
        <v>39.94</v>
      </c>
      <c r="AL110" s="37" t="n">
        <v>19.49</v>
      </c>
      <c r="AM110" s="37" t="n">
        <v>28.33</v>
      </c>
      <c r="AN110" s="37" t="n">
        <v>18.05</v>
      </c>
      <c r="AO110" s="37" t="n">
        <v>17.2</v>
      </c>
      <c r="AP110" s="37" t="n">
        <v>23.28</v>
      </c>
      <c r="AQ110" s="37" t="n">
        <v>23.34</v>
      </c>
      <c r="AR110" s="37" t="n">
        <v>19.37</v>
      </c>
      <c r="AS110" s="37" t="n">
        <v>10.35</v>
      </c>
      <c r="AT110" s="37" t="n">
        <v>20.99</v>
      </c>
      <c r="AU110" s="37" t="n">
        <v>35.91</v>
      </c>
      <c r="AV110" s="37" t="n">
        <v>35.91</v>
      </c>
      <c r="AW110" s="37" t="n">
        <v>17.26</v>
      </c>
      <c r="AX110" s="37" t="n">
        <v>16.24</v>
      </c>
      <c r="AY110" s="37" t="n">
        <v>18.53</v>
      </c>
      <c r="AZ110" s="37" t="n">
        <v>9.92</v>
      </c>
      <c r="BA110" s="37" t="n">
        <v>19.25</v>
      </c>
      <c r="BB110" s="37" t="n">
        <v>18.41</v>
      </c>
      <c r="BC110" s="37" t="n">
        <v>6.38</v>
      </c>
      <c r="BD110" s="37" t="n">
        <v>15.7</v>
      </c>
      <c r="BE110" s="37" t="n">
        <v>19.01</v>
      </c>
      <c r="BF110" s="37" t="n">
        <v>17.02</v>
      </c>
      <c r="BG110" s="37" t="n">
        <v>13.59</v>
      </c>
      <c r="BH110" s="37" t="n">
        <v>24.96</v>
      </c>
      <c r="BI110" s="37" t="n">
        <v>21.47</v>
      </c>
      <c r="BJ110" s="37" t="n">
        <v>106.05</v>
      </c>
      <c r="BK110" s="37" t="n">
        <v>45.23</v>
      </c>
      <c r="BL110" s="37" t="n">
        <v>23.1</v>
      </c>
      <c r="BM110" s="37" t="n">
        <v>17.68</v>
      </c>
      <c r="BN110" s="37" t="n">
        <v>13.59</v>
      </c>
      <c r="BO110" s="37" t="n">
        <v>29.71</v>
      </c>
      <c r="BP110" s="37" t="n">
        <v>42.65</v>
      </c>
      <c r="BQ110" s="37" t="n">
        <v>31.28</v>
      </c>
      <c r="BR110" s="37" t="n">
        <v>20.15</v>
      </c>
      <c r="BS110" s="37" t="n">
        <v>19.01</v>
      </c>
      <c r="BT110" s="37" t="n">
        <v>17.02</v>
      </c>
      <c r="BU110" s="37" t="n">
        <v>19.25</v>
      </c>
      <c r="BV110" s="37" t="n">
        <v>27.13</v>
      </c>
      <c r="BW110" s="37" t="n">
        <v>21.47</v>
      </c>
      <c r="BX110" s="37" t="n">
        <v>20.51</v>
      </c>
      <c r="BY110" s="37" t="n">
        <v>20.15</v>
      </c>
      <c r="BZ110" s="37" t="n">
        <v>34.59</v>
      </c>
      <c r="CA110" s="37" t="n">
        <v>20.09</v>
      </c>
      <c r="CB110" s="37" t="n">
        <v>12.87</v>
      </c>
      <c r="CC110" s="37" t="n">
        <v>1694.75</v>
      </c>
    </row>
    <row r="111" ht="15.75" customHeight="1" s="57">
      <c r="A111" s="7" t="inlineStr">
        <is>
          <t>NTB</t>
        </is>
      </c>
      <c r="B111" s="7" t="inlineStr">
        <is>
          <t>Bình Thuận</t>
        </is>
      </c>
      <c r="C111" s="7" t="n">
        <v>22057000</v>
      </c>
      <c r="D111" s="7" t="inlineStr">
        <is>
          <t>Kho Giao Hàng Nặng - Tuy Phong - Bình Thuận</t>
        </is>
      </c>
      <c r="E111" s="7" t="inlineStr">
        <is>
          <t>TTS</t>
        </is>
      </c>
      <c r="F111" s="36" t="n">
        <v>0</v>
      </c>
      <c r="G111" s="36" t="n">
        <v>0</v>
      </c>
      <c r="H111" s="36" t="n">
        <v>0</v>
      </c>
      <c r="I111" s="36" t="n">
        <v>0</v>
      </c>
      <c r="J111" s="36" t="n">
        <v>0</v>
      </c>
      <c r="K111" s="28" t="n">
        <v>0</v>
      </c>
      <c r="L111" s="36" t="n">
        <v>0</v>
      </c>
      <c r="M111" s="36" t="n">
        <v>0</v>
      </c>
      <c r="N111" s="36" t="n">
        <v>0</v>
      </c>
      <c r="O111" s="36" t="n">
        <v>0</v>
      </c>
      <c r="P111" s="36" t="n">
        <v>0</v>
      </c>
      <c r="Q111" s="36" t="n">
        <v>0</v>
      </c>
      <c r="R111" s="28" t="n">
        <v>1</v>
      </c>
      <c r="S111" s="36" t="n">
        <v>2</v>
      </c>
      <c r="T111" s="36" t="n">
        <v>1</v>
      </c>
      <c r="U111" s="36" t="n">
        <v>1.12</v>
      </c>
      <c r="V111" s="36" t="n">
        <v>1.01</v>
      </c>
      <c r="W111" s="36" t="n">
        <v>1</v>
      </c>
      <c r="X111" s="36" t="n">
        <v>0.87</v>
      </c>
      <c r="Y111" s="28" t="n">
        <v>1.39</v>
      </c>
      <c r="Z111" s="36" t="n">
        <v>1</v>
      </c>
      <c r="AA111" s="36" t="n">
        <v>1.15</v>
      </c>
      <c r="AB111" s="36" t="n">
        <v>1.2</v>
      </c>
      <c r="AC111" s="36" t="n">
        <v>1.23</v>
      </c>
      <c r="AD111" s="36" t="n">
        <v>1.72</v>
      </c>
      <c r="AE111" s="36" t="n">
        <v>0.92</v>
      </c>
      <c r="AF111" s="28" t="n">
        <v>1.4</v>
      </c>
      <c r="AG111" s="36" t="n">
        <v>1.01</v>
      </c>
      <c r="AH111" s="37" t="n">
        <v>1.01</v>
      </c>
      <c r="AI111" s="37" t="n">
        <v>1.17</v>
      </c>
      <c r="AJ111" s="37" t="n">
        <v>1.21</v>
      </c>
      <c r="AK111" s="37" t="n">
        <v>1.2</v>
      </c>
      <c r="AL111" s="37" t="n">
        <v>0.89</v>
      </c>
      <c r="AM111" s="37" t="n">
        <v>1.4</v>
      </c>
      <c r="AN111" s="37" t="n">
        <v>1.07</v>
      </c>
      <c r="AO111" s="37" t="n">
        <v>1.11</v>
      </c>
      <c r="AP111" s="37" t="n">
        <v>1</v>
      </c>
      <c r="AQ111" s="37" t="n">
        <v>1.01</v>
      </c>
      <c r="AR111" s="37" t="n">
        <v>1</v>
      </c>
      <c r="AS111" s="37" t="n">
        <v>0.87</v>
      </c>
      <c r="AT111" s="37" t="n">
        <v>1.54</v>
      </c>
      <c r="AU111" s="37" t="n">
        <v>1.18</v>
      </c>
      <c r="AV111" s="37" t="n">
        <v>1.12</v>
      </c>
      <c r="AW111" s="37" t="n">
        <v>1</v>
      </c>
      <c r="AX111" s="37" t="n">
        <v>0.99</v>
      </c>
      <c r="AY111" s="37" t="n">
        <v>0.99</v>
      </c>
      <c r="AZ111" s="37" t="n">
        <v>0.87</v>
      </c>
      <c r="BA111" s="37" t="n">
        <v>1.38</v>
      </c>
      <c r="BB111" s="37" t="n">
        <v>1.14</v>
      </c>
      <c r="BC111" s="37" t="n">
        <v>0.5900000000000001</v>
      </c>
      <c r="BD111" s="37" t="n">
        <v>0.98</v>
      </c>
      <c r="BE111" s="37" t="n">
        <v>1.15</v>
      </c>
      <c r="BF111" s="37" t="n">
        <v>1.13</v>
      </c>
      <c r="BG111" s="37" t="n">
        <v>0.9</v>
      </c>
      <c r="BH111" s="37" t="n">
        <v>1.54</v>
      </c>
      <c r="BI111" s="37" t="n">
        <v>1.14</v>
      </c>
      <c r="BJ111" s="37" t="n">
        <v>1.42</v>
      </c>
      <c r="BK111" s="37" t="n">
        <v>1.15</v>
      </c>
      <c r="BL111" s="37" t="n">
        <v>1.15</v>
      </c>
      <c r="BM111" s="37" t="n">
        <v>1.13</v>
      </c>
      <c r="BN111" s="37" t="n">
        <v>0.9</v>
      </c>
      <c r="BO111" s="37" t="n">
        <v>1.54</v>
      </c>
      <c r="BP111" s="37" t="n">
        <v>1.14</v>
      </c>
      <c r="BQ111" s="37" t="n">
        <v>1.13</v>
      </c>
      <c r="BR111" s="37" t="n">
        <v>1.15</v>
      </c>
      <c r="BS111" s="37" t="n">
        <v>1.15</v>
      </c>
      <c r="BT111" s="37" t="n">
        <v>1.13</v>
      </c>
      <c r="BU111" s="37" t="n">
        <v>0.9</v>
      </c>
      <c r="BV111" s="37" t="n">
        <v>1.54</v>
      </c>
      <c r="BW111" s="37" t="n">
        <v>1.14</v>
      </c>
      <c r="BX111" s="37" t="n">
        <v>1.13</v>
      </c>
      <c r="BY111" s="37" t="n">
        <v>1.15</v>
      </c>
      <c r="BZ111" s="37" t="n">
        <v>1.15</v>
      </c>
      <c r="CA111" s="37" t="n">
        <v>1.13</v>
      </c>
      <c r="CB111" s="37" t="n">
        <v>0.9</v>
      </c>
      <c r="CC111" s="37" t="n">
        <v>71.63000000000002</v>
      </c>
    </row>
    <row r="112" ht="15.75" customHeight="1" s="57">
      <c r="A112" s="7" t="inlineStr">
        <is>
          <t>NTB</t>
        </is>
      </c>
      <c r="B112" s="7" t="inlineStr">
        <is>
          <t>Bình Thuận</t>
        </is>
      </c>
      <c r="C112" s="7" t="n">
        <v>22057000</v>
      </c>
      <c r="D112" s="7" t="inlineStr">
        <is>
          <t>Kho Giao Hàng Nặng - Tuy Phong - Bình Thuận</t>
        </is>
      </c>
      <c r="E112" s="7" t="inlineStr">
        <is>
          <t>TTS-Bulky</t>
        </is>
      </c>
      <c r="F112" s="36" t="n">
        <v>2</v>
      </c>
      <c r="G112" s="36" t="n">
        <v>2</v>
      </c>
      <c r="H112" s="36" t="n">
        <v>4</v>
      </c>
      <c r="I112" s="36" t="n">
        <v>1</v>
      </c>
      <c r="J112" s="36" t="n">
        <v>4</v>
      </c>
      <c r="K112" s="28" t="n">
        <v>2</v>
      </c>
      <c r="L112" s="36" t="n">
        <v>1</v>
      </c>
      <c r="M112" s="36" t="n">
        <v>2</v>
      </c>
      <c r="N112" s="36" t="n">
        <v>0</v>
      </c>
      <c r="O112" s="36" t="n">
        <v>0</v>
      </c>
      <c r="P112" s="36" t="n">
        <v>0</v>
      </c>
      <c r="Q112" s="36" t="n">
        <v>2</v>
      </c>
      <c r="R112" s="28" t="n">
        <v>0</v>
      </c>
      <c r="S112" s="36" t="n">
        <v>3</v>
      </c>
      <c r="T112" s="36" t="n">
        <v>3</v>
      </c>
      <c r="U112" s="36" t="n">
        <v>6.37</v>
      </c>
      <c r="V112" s="36" t="n">
        <v>6.63</v>
      </c>
      <c r="W112" s="36" t="n">
        <v>3.26</v>
      </c>
      <c r="X112" s="36" t="n">
        <v>1.87</v>
      </c>
      <c r="Y112" s="28" t="n">
        <v>4.51</v>
      </c>
      <c r="Z112" s="36" t="n">
        <v>3.42</v>
      </c>
      <c r="AA112" s="36" t="n">
        <v>3.21</v>
      </c>
      <c r="AB112" s="36" t="n">
        <v>3.42</v>
      </c>
      <c r="AC112" s="36" t="n">
        <v>3.83</v>
      </c>
      <c r="AD112" s="36" t="n">
        <v>4.15</v>
      </c>
      <c r="AE112" s="36" t="n">
        <v>2.12</v>
      </c>
      <c r="AF112" s="28" t="n">
        <v>4.2</v>
      </c>
      <c r="AG112" s="36" t="n">
        <v>3.16</v>
      </c>
      <c r="AH112" s="37" t="n">
        <v>3.06</v>
      </c>
      <c r="AI112" s="37" t="n">
        <v>3.58</v>
      </c>
      <c r="AJ112" s="37" t="n">
        <v>3.63</v>
      </c>
      <c r="AK112" s="37" t="n">
        <v>3.52</v>
      </c>
      <c r="AL112" s="37" t="n">
        <v>1.87</v>
      </c>
      <c r="AM112" s="37" t="n">
        <v>4.2</v>
      </c>
      <c r="AN112" s="37" t="n">
        <v>3.11</v>
      </c>
      <c r="AO112" s="37" t="n">
        <v>3.16</v>
      </c>
      <c r="AP112" s="37" t="n">
        <v>3.16</v>
      </c>
      <c r="AQ112" s="37" t="n">
        <v>3.32</v>
      </c>
      <c r="AR112" s="37" t="n">
        <v>3.21</v>
      </c>
      <c r="AS112" s="37" t="n">
        <v>1.87</v>
      </c>
      <c r="AT112" s="37" t="n">
        <v>4.51</v>
      </c>
      <c r="AU112" s="37" t="n">
        <v>3.52</v>
      </c>
      <c r="AV112" s="37" t="n">
        <v>3.06</v>
      </c>
      <c r="AW112" s="37" t="n">
        <v>3.11</v>
      </c>
      <c r="AX112" s="37" t="n">
        <v>3.26</v>
      </c>
      <c r="AY112" s="37" t="n">
        <v>3.21</v>
      </c>
      <c r="AZ112" s="37" t="n">
        <v>1.87</v>
      </c>
      <c r="BA112" s="37" t="n">
        <v>3.73</v>
      </c>
      <c r="BB112" s="37" t="n">
        <v>0.88</v>
      </c>
      <c r="BC112" s="37" t="n">
        <v>0.41</v>
      </c>
      <c r="BD112" s="37" t="n">
        <v>0.73</v>
      </c>
      <c r="BE112" s="37" t="n">
        <v>0.88</v>
      </c>
      <c r="BF112" s="37" t="n">
        <v>0.88</v>
      </c>
      <c r="BG112" s="37" t="n">
        <v>0.52</v>
      </c>
      <c r="BH112" s="37" t="n">
        <v>1.35</v>
      </c>
      <c r="BI112" s="37" t="n">
        <v>0.88</v>
      </c>
      <c r="BJ112" s="37" t="n">
        <v>0.98</v>
      </c>
      <c r="BK112" s="37" t="n">
        <v>0.88</v>
      </c>
      <c r="BL112" s="37" t="n">
        <v>0.88</v>
      </c>
      <c r="BM112" s="37" t="n">
        <v>0.88</v>
      </c>
      <c r="BN112" s="37" t="n">
        <v>0.57</v>
      </c>
      <c r="BO112" s="37" t="n">
        <v>1.4</v>
      </c>
      <c r="BP112" s="37" t="n">
        <v>1.14</v>
      </c>
      <c r="BQ112" s="37" t="n">
        <v>0.88</v>
      </c>
      <c r="BR112" s="37" t="n">
        <v>0.88</v>
      </c>
      <c r="BS112" s="37" t="n">
        <v>0.88</v>
      </c>
      <c r="BT112" s="37" t="n">
        <v>0.88</v>
      </c>
      <c r="BU112" s="37" t="n">
        <v>0.47</v>
      </c>
      <c r="BV112" s="37" t="n">
        <v>1.14</v>
      </c>
      <c r="BW112" s="37" t="n">
        <v>0.88</v>
      </c>
      <c r="BX112" s="37" t="n">
        <v>0.88</v>
      </c>
      <c r="BY112" s="37" t="n">
        <v>0.88</v>
      </c>
      <c r="BZ112" s="37" t="n">
        <v>0.88</v>
      </c>
      <c r="CA112" s="37" t="n">
        <v>0.88</v>
      </c>
      <c r="CB112" s="37" t="n">
        <v>0.47</v>
      </c>
      <c r="CC112" s="37" t="n">
        <v>163.3699999999999</v>
      </c>
    </row>
    <row r="113" ht="15.75" customHeight="1" s="57">
      <c r="A113" s="7" t="inlineStr">
        <is>
          <t>NTB</t>
        </is>
      </c>
      <c r="B113" s="7" t="inlineStr">
        <is>
          <t>Bình Thuận</t>
        </is>
      </c>
      <c r="C113" s="7" t="n">
        <v>22452000</v>
      </c>
      <c r="D113" s="7" t="inlineStr">
        <is>
          <t>(BTH) Phú Quý</t>
        </is>
      </c>
      <c r="E113" s="7" t="inlineStr">
        <is>
          <t>SME</t>
        </is>
      </c>
      <c r="F113" s="36" t="n">
        <v>118</v>
      </c>
      <c r="G113" s="36" t="n">
        <v>124</v>
      </c>
      <c r="H113" s="36" t="n">
        <v>119</v>
      </c>
      <c r="I113" s="36" t="n">
        <v>148</v>
      </c>
      <c r="J113" s="36" t="n">
        <v>133</v>
      </c>
      <c r="K113" s="28" t="n">
        <v>97</v>
      </c>
      <c r="L113" s="36" t="n">
        <v>87</v>
      </c>
      <c r="M113" s="36" t="n">
        <v>141</v>
      </c>
      <c r="N113" s="36" t="n">
        <v>122</v>
      </c>
      <c r="O113" s="36" t="n">
        <v>88</v>
      </c>
      <c r="P113" s="36" t="n">
        <v>148</v>
      </c>
      <c r="Q113" s="36" t="n">
        <v>70</v>
      </c>
      <c r="R113" s="28" t="n">
        <v>138</v>
      </c>
      <c r="S113" s="36" t="n">
        <v>96</v>
      </c>
      <c r="T113" s="36" t="n">
        <v>112</v>
      </c>
      <c r="U113" s="36" t="n">
        <v>133.67</v>
      </c>
      <c r="V113" s="36" t="n">
        <v>138.39</v>
      </c>
      <c r="W113" s="36" t="n">
        <v>134.55</v>
      </c>
      <c r="X113" s="36" t="n">
        <v>110.13</v>
      </c>
      <c r="Y113" s="28" t="n">
        <v>149.23</v>
      </c>
      <c r="Z113" s="36" t="n">
        <v>137.34</v>
      </c>
      <c r="AA113" s="36" t="n">
        <v>134.08</v>
      </c>
      <c r="AB113" s="36" t="n">
        <v>133.67</v>
      </c>
      <c r="AC113" s="36" t="n">
        <v>138.39</v>
      </c>
      <c r="AD113" s="36" t="n">
        <v>141.35</v>
      </c>
      <c r="AE113" s="36" t="n">
        <v>110.13</v>
      </c>
      <c r="AF113" s="28" t="n">
        <v>149.23</v>
      </c>
      <c r="AG113" s="36" t="n">
        <v>137.34</v>
      </c>
      <c r="AH113" s="37" t="n">
        <v>134.08</v>
      </c>
      <c r="AI113" s="37" t="n">
        <v>133.67</v>
      </c>
      <c r="AJ113" s="37" t="n">
        <v>138.39</v>
      </c>
      <c r="AK113" s="37" t="n">
        <v>134.55</v>
      </c>
      <c r="AL113" s="37" t="n">
        <v>110.13</v>
      </c>
      <c r="AM113" s="37" t="n">
        <v>149.23</v>
      </c>
      <c r="AN113" s="37" t="n">
        <v>137.34</v>
      </c>
      <c r="AO113" s="37" t="n">
        <v>134.08</v>
      </c>
      <c r="AP113" s="37" t="n">
        <v>133.67</v>
      </c>
      <c r="AQ113" s="37" t="n">
        <v>138.39</v>
      </c>
      <c r="AR113" s="37" t="n">
        <v>134.55</v>
      </c>
      <c r="AS113" s="37" t="n">
        <v>110.13</v>
      </c>
      <c r="AT113" s="37" t="n">
        <v>149.23</v>
      </c>
      <c r="AU113" s="37" t="n">
        <v>137.34</v>
      </c>
      <c r="AV113" s="37" t="n">
        <v>134.08</v>
      </c>
      <c r="AW113" s="37" t="n">
        <v>133.67</v>
      </c>
      <c r="AX113" s="37" t="n">
        <v>138.39</v>
      </c>
      <c r="AY113" s="37" t="n">
        <v>134.55</v>
      </c>
      <c r="AZ113" s="37" t="n">
        <v>110.13</v>
      </c>
      <c r="BA113" s="37" t="n">
        <v>134.25</v>
      </c>
      <c r="BB113" s="37" t="n">
        <v>120.11</v>
      </c>
      <c r="BC113" s="37" t="n">
        <v>76.08</v>
      </c>
      <c r="BD113" s="37" t="n">
        <v>75.8</v>
      </c>
      <c r="BE113" s="37" t="n">
        <v>128.08</v>
      </c>
      <c r="BF113" s="37" t="n">
        <v>124.65</v>
      </c>
      <c r="BG113" s="37" t="n">
        <v>113.55</v>
      </c>
      <c r="BH113" s="37" t="n">
        <v>153.88</v>
      </c>
      <c r="BI113" s="37" t="n">
        <v>141.62</v>
      </c>
      <c r="BJ113" s="37" t="n">
        <v>145.04</v>
      </c>
      <c r="BK113" s="37" t="n">
        <v>137.72</v>
      </c>
      <c r="BL113" s="37" t="n">
        <v>142.71</v>
      </c>
      <c r="BM113" s="37" t="n">
        <v>138.61</v>
      </c>
      <c r="BN113" s="37" t="n">
        <v>113.55</v>
      </c>
      <c r="BO113" s="37" t="n">
        <v>153.88</v>
      </c>
      <c r="BP113" s="37" t="n">
        <v>141.62</v>
      </c>
      <c r="BQ113" s="37" t="n">
        <v>138.17</v>
      </c>
      <c r="BR113" s="37" t="n">
        <v>137.72</v>
      </c>
      <c r="BS113" s="37" t="n">
        <v>142.71</v>
      </c>
      <c r="BT113" s="37" t="n">
        <v>138.61</v>
      </c>
      <c r="BU113" s="37" t="n">
        <v>113.55</v>
      </c>
      <c r="BV113" s="37" t="n">
        <v>153.88</v>
      </c>
      <c r="BW113" s="37" t="n">
        <v>141.62</v>
      </c>
      <c r="BX113" s="37" t="n">
        <v>138.17</v>
      </c>
      <c r="BY113" s="37" t="n">
        <v>137.72</v>
      </c>
      <c r="BZ113" s="37" t="n">
        <v>142.71</v>
      </c>
      <c r="CA113" s="37" t="n">
        <v>138.61</v>
      </c>
      <c r="CB113" s="37" t="n">
        <v>113.55</v>
      </c>
      <c r="CC113" s="37" t="n">
        <v>9692.269999999997</v>
      </c>
    </row>
    <row r="114" ht="15.75" customHeight="1" s="57">
      <c r="A114" s="7" t="inlineStr">
        <is>
          <t>NTB</t>
        </is>
      </c>
      <c r="B114" s="7" t="inlineStr">
        <is>
          <t>Bình Thuận</t>
        </is>
      </c>
      <c r="C114" s="7" t="n">
        <v>22452000</v>
      </c>
      <c r="D114" s="7" t="inlineStr">
        <is>
          <t>(BTH) Phú Quý</t>
        </is>
      </c>
      <c r="E114" s="7" t="inlineStr">
        <is>
          <t>SME-Bulky</t>
        </is>
      </c>
      <c r="F114" s="36" t="n">
        <v>5</v>
      </c>
      <c r="G114" s="36" t="n">
        <v>9</v>
      </c>
      <c r="H114" s="36" t="n">
        <v>10</v>
      </c>
      <c r="I114" s="36" t="n">
        <v>10</v>
      </c>
      <c r="J114" s="36" t="n">
        <v>7</v>
      </c>
      <c r="K114" s="28" t="n">
        <v>2</v>
      </c>
      <c r="L114" s="36" t="n">
        <v>5</v>
      </c>
      <c r="M114" s="36" t="n">
        <v>6</v>
      </c>
      <c r="N114" s="36" t="n">
        <v>7</v>
      </c>
      <c r="O114" s="36" t="n">
        <v>5</v>
      </c>
      <c r="P114" s="36" t="n">
        <v>6</v>
      </c>
      <c r="Q114" s="36" t="n">
        <v>12</v>
      </c>
      <c r="R114" s="28" t="n">
        <v>7</v>
      </c>
      <c r="S114" s="36" t="n">
        <v>2</v>
      </c>
      <c r="T114" s="36" t="n">
        <v>16</v>
      </c>
      <c r="U114" s="36" t="n">
        <v>8.210000000000001</v>
      </c>
      <c r="V114" s="36" t="n">
        <v>8.24</v>
      </c>
      <c r="W114" s="36" t="n">
        <v>7.64</v>
      </c>
      <c r="X114" s="36" t="n">
        <v>5.37</v>
      </c>
      <c r="Y114" s="28" t="n">
        <v>9.18</v>
      </c>
      <c r="Z114" s="36" t="n">
        <v>8.92</v>
      </c>
      <c r="AA114" s="36" t="n">
        <v>8.69</v>
      </c>
      <c r="AB114" s="36" t="n">
        <v>8.210000000000001</v>
      </c>
      <c r="AC114" s="36" t="n">
        <v>8.24</v>
      </c>
      <c r="AD114" s="36" t="n">
        <v>8.720000000000001</v>
      </c>
      <c r="AE114" s="36" t="n">
        <v>5.37</v>
      </c>
      <c r="AF114" s="28" t="n">
        <v>9.18</v>
      </c>
      <c r="AG114" s="36" t="n">
        <v>8.92</v>
      </c>
      <c r="AH114" s="37" t="n">
        <v>8.69</v>
      </c>
      <c r="AI114" s="37" t="n">
        <v>8.210000000000001</v>
      </c>
      <c r="AJ114" s="37" t="n">
        <v>8.24</v>
      </c>
      <c r="AK114" s="37" t="n">
        <v>7.64</v>
      </c>
      <c r="AL114" s="37" t="n">
        <v>5.37</v>
      </c>
      <c r="AM114" s="37" t="n">
        <v>9.18</v>
      </c>
      <c r="AN114" s="37" t="n">
        <v>8.92</v>
      </c>
      <c r="AO114" s="37" t="n">
        <v>8.69</v>
      </c>
      <c r="AP114" s="37" t="n">
        <v>8.210000000000001</v>
      </c>
      <c r="AQ114" s="37" t="n">
        <v>8.24</v>
      </c>
      <c r="AR114" s="37" t="n">
        <v>7.64</v>
      </c>
      <c r="AS114" s="37" t="n">
        <v>5.37</v>
      </c>
      <c r="AT114" s="37" t="n">
        <v>9.18</v>
      </c>
      <c r="AU114" s="37" t="n">
        <v>8.92</v>
      </c>
      <c r="AV114" s="37" t="n">
        <v>8.69</v>
      </c>
      <c r="AW114" s="37" t="n">
        <v>8.210000000000001</v>
      </c>
      <c r="AX114" s="37" t="n">
        <v>8.24</v>
      </c>
      <c r="AY114" s="37" t="n">
        <v>7.64</v>
      </c>
      <c r="AZ114" s="37" t="n">
        <v>5.37</v>
      </c>
      <c r="BA114" s="37" t="n">
        <v>9.199999999999999</v>
      </c>
      <c r="BB114" s="37" t="n">
        <v>4.83</v>
      </c>
      <c r="BC114" s="37" t="n">
        <v>2.59</v>
      </c>
      <c r="BD114" s="37" t="n">
        <v>2.33</v>
      </c>
      <c r="BE114" s="37" t="n">
        <v>4.2</v>
      </c>
      <c r="BF114" s="37" t="n">
        <v>4.03</v>
      </c>
      <c r="BG114" s="37" t="n">
        <v>3.15</v>
      </c>
      <c r="BH114" s="37" t="n">
        <v>5.34</v>
      </c>
      <c r="BI114" s="37" t="n">
        <v>5.34</v>
      </c>
      <c r="BJ114" s="37" t="n">
        <v>5.51</v>
      </c>
      <c r="BK114" s="37" t="n">
        <v>4.86</v>
      </c>
      <c r="BL114" s="37" t="n">
        <v>4.91</v>
      </c>
      <c r="BM114" s="37" t="n">
        <v>4.55</v>
      </c>
      <c r="BN114" s="37" t="n">
        <v>3.15</v>
      </c>
      <c r="BO114" s="37" t="n">
        <v>5.34</v>
      </c>
      <c r="BP114" s="37" t="n">
        <v>5.34</v>
      </c>
      <c r="BQ114" s="37" t="n">
        <v>5.03</v>
      </c>
      <c r="BR114" s="37" t="n">
        <v>4.86</v>
      </c>
      <c r="BS114" s="37" t="n">
        <v>4.91</v>
      </c>
      <c r="BT114" s="37" t="n">
        <v>4.55</v>
      </c>
      <c r="BU114" s="37" t="n">
        <v>3.15</v>
      </c>
      <c r="BV114" s="37" t="n">
        <v>5.34</v>
      </c>
      <c r="BW114" s="37" t="n">
        <v>5.34</v>
      </c>
      <c r="BX114" s="37" t="n">
        <v>5.03</v>
      </c>
      <c r="BY114" s="37" t="n">
        <v>4.86</v>
      </c>
      <c r="BZ114" s="37" t="n">
        <v>4.91</v>
      </c>
      <c r="CA114" s="37" t="n">
        <v>4.55</v>
      </c>
      <c r="CB114" s="37" t="n">
        <v>3.15</v>
      </c>
      <c r="CC114" s="37" t="n">
        <v>494.8899999999998</v>
      </c>
    </row>
    <row r="115" ht="15.75" customHeight="1" s="57">
      <c r="A115" s="7" t="inlineStr">
        <is>
          <t>NTB</t>
        </is>
      </c>
      <c r="B115" s="7" t="inlineStr">
        <is>
          <t>Bình Thuận</t>
        </is>
      </c>
      <c r="C115" s="7" t="n">
        <v>22452000</v>
      </c>
      <c r="D115" s="7" t="inlineStr">
        <is>
          <t>(BTH) Phú Quý</t>
        </is>
      </c>
      <c r="E115" s="7" t="inlineStr">
        <is>
          <t>Shopee</t>
        </is>
      </c>
      <c r="F115" s="36" t="n">
        <v>202</v>
      </c>
      <c r="G115" s="36" t="n">
        <v>180</v>
      </c>
      <c r="H115" s="36" t="n">
        <v>201</v>
      </c>
      <c r="I115" s="36" t="n">
        <v>189</v>
      </c>
      <c r="J115" s="36" t="n">
        <v>161</v>
      </c>
      <c r="K115" s="28" t="n">
        <v>106</v>
      </c>
      <c r="L115" s="36" t="n">
        <v>126</v>
      </c>
      <c r="M115" s="36" t="n">
        <v>173</v>
      </c>
      <c r="N115" s="36" t="n">
        <v>197</v>
      </c>
      <c r="O115" s="36" t="n">
        <v>159</v>
      </c>
      <c r="P115" s="36" t="n">
        <v>203</v>
      </c>
      <c r="Q115" s="36" t="n">
        <v>96</v>
      </c>
      <c r="R115" s="28" t="n">
        <v>130</v>
      </c>
      <c r="S115" s="36" t="n">
        <v>89</v>
      </c>
      <c r="T115" s="36" t="n">
        <v>149</v>
      </c>
      <c r="U115" s="36" t="n">
        <v>152.73</v>
      </c>
      <c r="V115" s="36" t="n">
        <v>153.37</v>
      </c>
      <c r="W115" s="36" t="n">
        <v>151.1</v>
      </c>
      <c r="X115" s="36" t="n">
        <v>122.93</v>
      </c>
      <c r="Y115" s="28" t="n">
        <v>205.81</v>
      </c>
      <c r="Z115" s="36" t="n">
        <v>162.85</v>
      </c>
      <c r="AA115" s="36" t="n">
        <v>223.9</v>
      </c>
      <c r="AB115" s="36" t="n">
        <v>155.88</v>
      </c>
      <c r="AC115" s="36" t="n">
        <v>125.92</v>
      </c>
      <c r="AD115" s="36" t="n">
        <v>342.2</v>
      </c>
      <c r="AE115" s="36" t="n">
        <v>131.57</v>
      </c>
      <c r="AF115" s="28" t="n">
        <v>234.54</v>
      </c>
      <c r="AG115" s="36" t="n">
        <v>171.02</v>
      </c>
      <c r="AH115" s="37" t="n">
        <v>180.71</v>
      </c>
      <c r="AI115" s="37" t="n">
        <v>152.73</v>
      </c>
      <c r="AJ115" s="37" t="n">
        <v>153.37</v>
      </c>
      <c r="AK115" s="37" t="n">
        <v>203.9</v>
      </c>
      <c r="AL115" s="37" t="n">
        <v>220.63</v>
      </c>
      <c r="AM115" s="37" t="n">
        <v>205.81</v>
      </c>
      <c r="AN115" s="37" t="n">
        <v>162.85</v>
      </c>
      <c r="AO115" s="37" t="n">
        <v>180.71</v>
      </c>
      <c r="AP115" s="37" t="n">
        <v>190.71</v>
      </c>
      <c r="AQ115" s="37" t="n">
        <v>123.05</v>
      </c>
      <c r="AR115" s="37" t="n">
        <v>151.1</v>
      </c>
      <c r="AS115" s="37" t="n">
        <v>122.93</v>
      </c>
      <c r="AT115" s="37" t="n">
        <v>205.81</v>
      </c>
      <c r="AU115" s="37" t="n">
        <v>166.2</v>
      </c>
      <c r="AV115" s="37" t="n">
        <v>184.13</v>
      </c>
      <c r="AW115" s="37" t="n">
        <v>152.73</v>
      </c>
      <c r="AX115" s="37" t="n">
        <v>153.37</v>
      </c>
      <c r="AY115" s="37" t="n">
        <v>151.1</v>
      </c>
      <c r="AZ115" s="37" t="n">
        <v>122.93</v>
      </c>
      <c r="BA115" s="37" t="n">
        <v>158.63</v>
      </c>
      <c r="BB115" s="37" t="n">
        <v>138.23</v>
      </c>
      <c r="BC115" s="37" t="n">
        <v>70.48999999999999</v>
      </c>
      <c r="BD115" s="37" t="n">
        <v>124.96</v>
      </c>
      <c r="BE115" s="37" t="n">
        <v>146.16</v>
      </c>
      <c r="BF115" s="37" t="n">
        <v>143.97</v>
      </c>
      <c r="BG115" s="37" t="n">
        <v>119.38</v>
      </c>
      <c r="BH115" s="37" t="n">
        <v>195.89</v>
      </c>
      <c r="BI115" s="37" t="n">
        <v>127.11</v>
      </c>
      <c r="BJ115" s="37" t="n">
        <v>485.73</v>
      </c>
      <c r="BK115" s="37" t="n">
        <v>155.72</v>
      </c>
      <c r="BL115" s="37" t="n">
        <v>153.37</v>
      </c>
      <c r="BM115" s="37" t="n">
        <v>143.97</v>
      </c>
      <c r="BN115" s="37" t="n">
        <v>117.07</v>
      </c>
      <c r="BO115" s="37" t="n">
        <v>195.89</v>
      </c>
      <c r="BP115" s="37" t="n">
        <v>209.39</v>
      </c>
      <c r="BQ115" s="37" t="n">
        <v>308.89</v>
      </c>
      <c r="BR115" s="37" t="n">
        <v>145.52</v>
      </c>
      <c r="BS115" s="37" t="n">
        <v>146.16</v>
      </c>
      <c r="BT115" s="37" t="n">
        <v>143.97</v>
      </c>
      <c r="BU115" s="37" t="n">
        <v>146.32</v>
      </c>
      <c r="BV115" s="37" t="n">
        <v>157.04</v>
      </c>
      <c r="BW115" s="37" t="n">
        <v>155.16</v>
      </c>
      <c r="BX115" s="37" t="n">
        <v>172.22</v>
      </c>
      <c r="BY115" s="37" t="n">
        <v>145.52</v>
      </c>
      <c r="BZ115" s="37" t="n">
        <v>149.07</v>
      </c>
      <c r="CA115" s="37" t="n">
        <v>146.88</v>
      </c>
      <c r="CB115" s="37" t="n">
        <v>117.07</v>
      </c>
      <c r="CC115" s="37" t="n">
        <v>12499.36999999999</v>
      </c>
    </row>
    <row r="116" ht="15.75" customHeight="1" s="57">
      <c r="A116" s="7" t="inlineStr">
        <is>
          <t>NTB</t>
        </is>
      </c>
      <c r="B116" s="7" t="inlineStr">
        <is>
          <t>Bình Thuận</t>
        </is>
      </c>
      <c r="C116" s="7" t="n">
        <v>22452000</v>
      </c>
      <c r="D116" s="7" t="inlineStr">
        <is>
          <t>(BTH) Phú Quý</t>
        </is>
      </c>
      <c r="E116" s="7" t="inlineStr">
        <is>
          <t>Shopee-Bulky</t>
        </is>
      </c>
      <c r="F116" s="36" t="n">
        <v>28.66</v>
      </c>
      <c r="G116" s="36" t="n">
        <v>32.66</v>
      </c>
      <c r="H116" s="36" t="n">
        <v>42.65</v>
      </c>
      <c r="I116" s="36" t="n">
        <v>40.66</v>
      </c>
      <c r="J116" s="36" t="n">
        <v>23.99</v>
      </c>
      <c r="K116" s="28" t="n">
        <v>25.99</v>
      </c>
      <c r="L116" s="36" t="n">
        <v>31.99</v>
      </c>
      <c r="M116" s="36" t="n">
        <v>37.99</v>
      </c>
      <c r="N116" s="36" t="n">
        <v>28.66</v>
      </c>
      <c r="O116" s="36" t="n">
        <v>36.66</v>
      </c>
      <c r="P116" s="36" t="n">
        <v>27.33</v>
      </c>
      <c r="Q116" s="36" t="n">
        <v>35.99</v>
      </c>
      <c r="R116" s="28" t="n">
        <v>33.99</v>
      </c>
      <c r="S116" s="36" t="n">
        <v>28.66</v>
      </c>
      <c r="T116" s="36" t="n">
        <v>39.32</v>
      </c>
      <c r="U116" s="36" t="n">
        <v>31.54</v>
      </c>
      <c r="V116" s="36" t="n">
        <v>30.47</v>
      </c>
      <c r="W116" s="36" t="n">
        <v>42.51</v>
      </c>
      <c r="X116" s="36" t="n">
        <v>24.27</v>
      </c>
      <c r="Y116" s="28" t="n">
        <v>46.51</v>
      </c>
      <c r="Z116" s="36" t="n">
        <v>36.67</v>
      </c>
      <c r="AA116" s="36" t="n">
        <v>35.54</v>
      </c>
      <c r="AB116" s="36" t="n">
        <v>36.25</v>
      </c>
      <c r="AC116" s="36" t="n">
        <v>37.45</v>
      </c>
      <c r="AD116" s="36" t="n">
        <v>117.22</v>
      </c>
      <c r="AE116" s="36" t="n">
        <v>61.18</v>
      </c>
      <c r="AF116" s="28" t="n">
        <v>91.05</v>
      </c>
      <c r="AG116" s="36" t="n">
        <v>52.23</v>
      </c>
      <c r="AH116" s="37" t="n">
        <v>36.37</v>
      </c>
      <c r="AI116" s="37" t="n">
        <v>35.78</v>
      </c>
      <c r="AJ116" s="37" t="n">
        <v>34.17</v>
      </c>
      <c r="AK116" s="37" t="n">
        <v>77.63</v>
      </c>
      <c r="AL116" s="37" t="n">
        <v>39.71</v>
      </c>
      <c r="AM116" s="37" t="n">
        <v>57.54</v>
      </c>
      <c r="AN116" s="37" t="n">
        <v>36.01</v>
      </c>
      <c r="AO116" s="37" t="n">
        <v>34.82</v>
      </c>
      <c r="AP116" s="37" t="n">
        <v>47.52</v>
      </c>
      <c r="AQ116" s="37" t="n">
        <v>47.7</v>
      </c>
      <c r="AR116" s="37" t="n">
        <v>38.64</v>
      </c>
      <c r="AS116" s="37" t="n">
        <v>21.41</v>
      </c>
      <c r="AT116" s="37" t="n">
        <v>42.75</v>
      </c>
      <c r="AU116" s="37" t="n">
        <v>69.45999999999999</v>
      </c>
      <c r="AV116" s="37" t="n">
        <v>73.52</v>
      </c>
      <c r="AW116" s="37" t="n">
        <v>35.24</v>
      </c>
      <c r="AX116" s="37" t="n">
        <v>32.91</v>
      </c>
      <c r="AY116" s="37" t="n">
        <v>37.15</v>
      </c>
      <c r="AZ116" s="37" t="n">
        <v>20.51</v>
      </c>
      <c r="BA116" s="37" t="n">
        <v>39.23</v>
      </c>
      <c r="BB116" s="37" t="n">
        <v>36.37</v>
      </c>
      <c r="BC116" s="37" t="n">
        <v>12.04</v>
      </c>
      <c r="BD116" s="37" t="n">
        <v>30.83</v>
      </c>
      <c r="BE116" s="37" t="n">
        <v>37.92</v>
      </c>
      <c r="BF116" s="37" t="n">
        <v>33.27</v>
      </c>
      <c r="BG116" s="37" t="n">
        <v>27.67</v>
      </c>
      <c r="BH116" s="37" t="n">
        <v>50.03</v>
      </c>
      <c r="BI116" s="37" t="n">
        <v>42.69</v>
      </c>
      <c r="BJ116" s="37" t="n">
        <v>184.6</v>
      </c>
      <c r="BK116" s="37" t="n">
        <v>90.03</v>
      </c>
      <c r="BL116" s="37" t="n">
        <v>47.16</v>
      </c>
      <c r="BM116" s="37" t="n">
        <v>34.88</v>
      </c>
      <c r="BN116" s="37" t="n">
        <v>26.77</v>
      </c>
      <c r="BO116" s="37" t="n">
        <v>57.24</v>
      </c>
      <c r="BP116" s="37" t="n">
        <v>84.43000000000001</v>
      </c>
      <c r="BQ116" s="37" t="n">
        <v>60.46</v>
      </c>
      <c r="BR116" s="37" t="n">
        <v>40.25</v>
      </c>
      <c r="BS116" s="37" t="n">
        <v>37.92</v>
      </c>
      <c r="BT116" s="37" t="n">
        <v>33.27</v>
      </c>
      <c r="BU116" s="37" t="n">
        <v>38.7</v>
      </c>
      <c r="BV116" s="37" t="n">
        <v>52.65</v>
      </c>
      <c r="BW116" s="37" t="n">
        <v>42.69</v>
      </c>
      <c r="BX116" s="37" t="n">
        <v>40.9</v>
      </c>
      <c r="BY116" s="37" t="n">
        <v>40.25</v>
      </c>
      <c r="BZ116" s="37" t="n">
        <v>68.20999999999999</v>
      </c>
      <c r="CA116" s="37" t="n">
        <v>39.89</v>
      </c>
      <c r="CB116" s="37" t="n">
        <v>26.53</v>
      </c>
      <c r="CC116" s="37" t="n">
        <v>3313.81</v>
      </c>
    </row>
    <row r="117" ht="15.75" customHeight="1" s="57">
      <c r="A117" s="7" t="inlineStr">
        <is>
          <t>NTB</t>
        </is>
      </c>
      <c r="B117" s="7" t="inlineStr">
        <is>
          <t>Bình Thuận</t>
        </is>
      </c>
      <c r="C117" s="7" t="n">
        <v>22452000</v>
      </c>
      <c r="D117" s="7" t="inlineStr">
        <is>
          <t>(BTH) Phú Quý</t>
        </is>
      </c>
      <c r="E117" s="7" t="inlineStr">
        <is>
          <t>Shopee-Bulky (10-15kg)</t>
        </is>
      </c>
      <c r="F117" s="36" t="n">
        <v>14.34</v>
      </c>
      <c r="G117" s="36" t="n">
        <v>16.34</v>
      </c>
      <c r="H117" s="36" t="n">
        <v>21.35</v>
      </c>
      <c r="I117" s="36" t="n">
        <v>20.34</v>
      </c>
      <c r="J117" s="36" t="n">
        <v>12.01</v>
      </c>
      <c r="K117" s="28" t="n">
        <v>13.01</v>
      </c>
      <c r="L117" s="36" t="n">
        <v>16.01</v>
      </c>
      <c r="M117" s="36" t="n">
        <v>19.01</v>
      </c>
      <c r="N117" s="36" t="n">
        <v>14.34</v>
      </c>
      <c r="O117" s="36" t="n">
        <v>18.34</v>
      </c>
      <c r="P117" s="36" t="n">
        <v>13.67</v>
      </c>
      <c r="Q117" s="36" t="n">
        <v>18.01</v>
      </c>
      <c r="R117" s="28" t="n">
        <v>17.01</v>
      </c>
      <c r="S117" s="36" t="n">
        <v>14.34</v>
      </c>
      <c r="T117" s="36" t="n">
        <v>19.68</v>
      </c>
      <c r="U117" s="36" t="n">
        <v>16.28</v>
      </c>
      <c r="V117" s="36" t="n">
        <v>15.8</v>
      </c>
      <c r="W117" s="36" t="n">
        <v>21.29</v>
      </c>
      <c r="X117" s="36" t="n">
        <v>11.57</v>
      </c>
      <c r="Y117" s="28" t="n">
        <v>23.02</v>
      </c>
      <c r="Z117" s="36" t="n">
        <v>18.13</v>
      </c>
      <c r="AA117" s="36" t="n">
        <v>17.65</v>
      </c>
      <c r="AB117" s="36" t="n">
        <v>17.95</v>
      </c>
      <c r="AC117" s="36" t="n">
        <v>18.6</v>
      </c>
      <c r="AD117" s="36" t="n">
        <v>75.90000000000001</v>
      </c>
      <c r="AE117" s="36" t="n">
        <v>30.41</v>
      </c>
      <c r="AF117" s="28" t="n">
        <v>42.75</v>
      </c>
      <c r="AG117" s="36" t="n">
        <v>25.94</v>
      </c>
      <c r="AH117" s="37" t="n">
        <v>17.89</v>
      </c>
      <c r="AI117" s="37" t="n">
        <v>17.29</v>
      </c>
      <c r="AJ117" s="37" t="n">
        <v>16.93</v>
      </c>
      <c r="AK117" s="37" t="n">
        <v>39.59</v>
      </c>
      <c r="AL117" s="37" t="n">
        <v>19.32</v>
      </c>
      <c r="AM117" s="37" t="n">
        <v>28.08</v>
      </c>
      <c r="AN117" s="37" t="n">
        <v>17.89</v>
      </c>
      <c r="AO117" s="37" t="n">
        <v>17.05</v>
      </c>
      <c r="AP117" s="37" t="n">
        <v>23.08</v>
      </c>
      <c r="AQ117" s="37" t="n">
        <v>23.13</v>
      </c>
      <c r="AR117" s="37" t="n">
        <v>19.2</v>
      </c>
      <c r="AS117" s="37" t="n">
        <v>10.26</v>
      </c>
      <c r="AT117" s="37" t="n">
        <v>20.81</v>
      </c>
      <c r="AU117" s="37" t="n">
        <v>35.6</v>
      </c>
      <c r="AV117" s="37" t="n">
        <v>35.6</v>
      </c>
      <c r="AW117" s="37" t="n">
        <v>17.11</v>
      </c>
      <c r="AX117" s="37" t="n">
        <v>16.1</v>
      </c>
      <c r="AY117" s="37" t="n">
        <v>18.36</v>
      </c>
      <c r="AZ117" s="37" t="n">
        <v>9.84</v>
      </c>
      <c r="BA117" s="37" t="n">
        <v>19.08</v>
      </c>
      <c r="BB117" s="37" t="n">
        <v>18.25</v>
      </c>
      <c r="BC117" s="37" t="n">
        <v>6.32</v>
      </c>
      <c r="BD117" s="37" t="n">
        <v>15.56</v>
      </c>
      <c r="BE117" s="37" t="n">
        <v>18.84</v>
      </c>
      <c r="BF117" s="37" t="n">
        <v>16.87</v>
      </c>
      <c r="BG117" s="37" t="n">
        <v>13.48</v>
      </c>
      <c r="BH117" s="37" t="n">
        <v>24.74</v>
      </c>
      <c r="BI117" s="37" t="n">
        <v>21.29</v>
      </c>
      <c r="BJ117" s="37" t="n">
        <v>105.12</v>
      </c>
      <c r="BK117" s="37" t="n">
        <v>44.84</v>
      </c>
      <c r="BL117" s="37" t="n">
        <v>22.9</v>
      </c>
      <c r="BM117" s="37" t="n">
        <v>17.53</v>
      </c>
      <c r="BN117" s="37" t="n">
        <v>13.48</v>
      </c>
      <c r="BO117" s="37" t="n">
        <v>29.46</v>
      </c>
      <c r="BP117" s="37" t="n">
        <v>42.27</v>
      </c>
      <c r="BQ117" s="37" t="n">
        <v>31.01</v>
      </c>
      <c r="BR117" s="37" t="n">
        <v>19.97</v>
      </c>
      <c r="BS117" s="37" t="n">
        <v>18.84</v>
      </c>
      <c r="BT117" s="37" t="n">
        <v>16.87</v>
      </c>
      <c r="BU117" s="37" t="n">
        <v>19.08</v>
      </c>
      <c r="BV117" s="37" t="n">
        <v>26.89</v>
      </c>
      <c r="BW117" s="37" t="n">
        <v>21.29</v>
      </c>
      <c r="BX117" s="37" t="n">
        <v>20.33</v>
      </c>
      <c r="BY117" s="37" t="n">
        <v>19.97</v>
      </c>
      <c r="BZ117" s="37" t="n">
        <v>34.28</v>
      </c>
      <c r="CA117" s="37" t="n">
        <v>19.92</v>
      </c>
      <c r="CB117" s="37" t="n">
        <v>12.76</v>
      </c>
      <c r="CC117" s="37" t="n">
        <v>1677.46</v>
      </c>
    </row>
    <row r="118" ht="15.75" customHeight="1" s="57">
      <c r="A118" s="7" t="inlineStr">
        <is>
          <t>NTB</t>
        </is>
      </c>
      <c r="B118" s="7" t="inlineStr">
        <is>
          <t>Bình Thuận</t>
        </is>
      </c>
      <c r="C118" s="7" t="n">
        <v>22452000</v>
      </c>
      <c r="D118" s="7" t="inlineStr">
        <is>
          <t>(BTH) Phú Quý</t>
        </is>
      </c>
      <c r="E118" s="7" t="inlineStr">
        <is>
          <t>TTS</t>
        </is>
      </c>
      <c r="F118" s="36" t="n">
        <v>80</v>
      </c>
      <c r="G118" s="36" t="n">
        <v>88</v>
      </c>
      <c r="H118" s="36" t="n">
        <v>52</v>
      </c>
      <c r="I118" s="36" t="n">
        <v>84</v>
      </c>
      <c r="J118" s="36" t="n">
        <v>81</v>
      </c>
      <c r="K118" s="28" t="n">
        <v>77</v>
      </c>
      <c r="L118" s="36" t="n">
        <v>80</v>
      </c>
      <c r="M118" s="36" t="n">
        <v>84</v>
      </c>
      <c r="N118" s="36" t="n">
        <v>101</v>
      </c>
      <c r="O118" s="36" t="n">
        <v>61</v>
      </c>
      <c r="P118" s="36" t="n">
        <v>111</v>
      </c>
      <c r="Q118" s="36" t="n">
        <v>61</v>
      </c>
      <c r="R118" s="28" t="n">
        <v>90</v>
      </c>
      <c r="S118" s="36" t="n">
        <v>59</v>
      </c>
      <c r="T118" s="36" t="n">
        <v>90</v>
      </c>
      <c r="U118" s="36" t="n">
        <v>65.2</v>
      </c>
      <c r="V118" s="36" t="n">
        <v>63.92</v>
      </c>
      <c r="W118" s="36" t="n">
        <v>62.42</v>
      </c>
      <c r="X118" s="36" t="n">
        <v>50.27</v>
      </c>
      <c r="Y118" s="28" t="n">
        <v>73.36</v>
      </c>
      <c r="Z118" s="36" t="n">
        <v>62.34</v>
      </c>
      <c r="AA118" s="36" t="n">
        <v>69.02000000000001</v>
      </c>
      <c r="AB118" s="36" t="n">
        <v>76.99000000000001</v>
      </c>
      <c r="AC118" s="36" t="n">
        <v>80.97</v>
      </c>
      <c r="AD118" s="36" t="n">
        <v>83.48</v>
      </c>
      <c r="AE118" s="36" t="n">
        <v>58.4</v>
      </c>
      <c r="AF118" s="28" t="n">
        <v>75.78</v>
      </c>
      <c r="AG118" s="36" t="n">
        <v>63.49</v>
      </c>
      <c r="AH118" s="37" t="n">
        <v>62.89</v>
      </c>
      <c r="AI118" s="37" t="n">
        <v>72.02000000000001</v>
      </c>
      <c r="AJ118" s="37" t="n">
        <v>77.5</v>
      </c>
      <c r="AK118" s="37" t="n">
        <v>76.14</v>
      </c>
      <c r="AL118" s="37" t="n">
        <v>54.09</v>
      </c>
      <c r="AM118" s="37" t="n">
        <v>74.61</v>
      </c>
      <c r="AN118" s="37" t="n">
        <v>64.32000000000001</v>
      </c>
      <c r="AO118" s="37" t="n">
        <v>63.91999999999999</v>
      </c>
      <c r="AP118" s="37" t="n">
        <v>62.04</v>
      </c>
      <c r="AQ118" s="37" t="n">
        <v>62.75</v>
      </c>
      <c r="AR118" s="37" t="n">
        <v>61.52</v>
      </c>
      <c r="AS118" s="37" t="n">
        <v>50.38</v>
      </c>
      <c r="AT118" s="37" t="n">
        <v>80.66</v>
      </c>
      <c r="AU118" s="37" t="n">
        <v>72.95</v>
      </c>
      <c r="AV118" s="37" t="n">
        <v>64.77000000000001</v>
      </c>
      <c r="AW118" s="37" t="n">
        <v>61.36</v>
      </c>
      <c r="AX118" s="37" t="n">
        <v>60.95</v>
      </c>
      <c r="AY118" s="37" t="n">
        <v>60.76</v>
      </c>
      <c r="AZ118" s="37" t="n">
        <v>50.44</v>
      </c>
      <c r="BA118" s="37" t="n">
        <v>72.76000000000001</v>
      </c>
      <c r="BB118" s="37" t="n">
        <v>67.85000000000001</v>
      </c>
      <c r="BC118" s="37" t="n">
        <v>40.41</v>
      </c>
      <c r="BD118" s="37" t="n">
        <v>58.55</v>
      </c>
      <c r="BE118" s="37" t="n">
        <v>69.16000000000001</v>
      </c>
      <c r="BF118" s="37" t="n">
        <v>67.03</v>
      </c>
      <c r="BG118" s="37" t="n">
        <v>54.2</v>
      </c>
      <c r="BH118" s="37" t="n">
        <v>80.61</v>
      </c>
      <c r="BI118" s="37" t="n">
        <v>67.85000000000001</v>
      </c>
      <c r="BJ118" s="37" t="n">
        <v>63.45</v>
      </c>
      <c r="BK118" s="37" t="n">
        <v>69.02000000000001</v>
      </c>
      <c r="BL118" s="37" t="n">
        <v>69.16000000000001</v>
      </c>
      <c r="BM118" s="37" t="n">
        <v>67.03</v>
      </c>
      <c r="BN118" s="37" t="n">
        <v>54.2</v>
      </c>
      <c r="BO118" s="37" t="n">
        <v>80.61</v>
      </c>
      <c r="BP118" s="37" t="n">
        <v>67.85000000000001</v>
      </c>
      <c r="BQ118" s="37" t="n">
        <v>67.11</v>
      </c>
      <c r="BR118" s="37" t="n">
        <v>69.02000000000001</v>
      </c>
      <c r="BS118" s="37" t="n">
        <v>69.16000000000001</v>
      </c>
      <c r="BT118" s="37" t="n">
        <v>67.03</v>
      </c>
      <c r="BU118" s="37" t="n">
        <v>54.2</v>
      </c>
      <c r="BV118" s="37" t="n">
        <v>80.61</v>
      </c>
      <c r="BW118" s="37" t="n">
        <v>67.85000000000001</v>
      </c>
      <c r="BX118" s="37" t="n">
        <v>67.11</v>
      </c>
      <c r="BY118" s="37" t="n">
        <v>69.02000000000001</v>
      </c>
      <c r="BZ118" s="37" t="n">
        <v>69.16000000000001</v>
      </c>
      <c r="CA118" s="37" t="n">
        <v>67.03</v>
      </c>
      <c r="CB118" s="37" t="n">
        <v>54.2</v>
      </c>
      <c r="CC118" s="37" t="n">
        <v>5169.949999999999</v>
      </c>
    </row>
    <row r="119" ht="15.75" customHeight="1" s="57">
      <c r="A119" s="7" t="inlineStr">
        <is>
          <t>NTB</t>
        </is>
      </c>
      <c r="B119" s="7" t="inlineStr">
        <is>
          <t>Bình Thuận</t>
        </is>
      </c>
      <c r="C119" s="7" t="n">
        <v>22452000</v>
      </c>
      <c r="D119" s="7" t="inlineStr">
        <is>
          <t>(BTH) Phú Quý</t>
        </is>
      </c>
      <c r="E119" s="7" t="inlineStr">
        <is>
          <t>TTS-Bulky</t>
        </is>
      </c>
      <c r="F119" s="36" t="n">
        <v>0</v>
      </c>
      <c r="G119" s="36" t="n">
        <v>1</v>
      </c>
      <c r="H119" s="36" t="n">
        <v>3</v>
      </c>
      <c r="I119" s="36" t="n">
        <v>2</v>
      </c>
      <c r="J119" s="36" t="n">
        <v>3</v>
      </c>
      <c r="K119" s="28" t="n">
        <v>1</v>
      </c>
      <c r="L119" s="36" t="n">
        <v>0</v>
      </c>
      <c r="M119" s="36" t="n">
        <v>5</v>
      </c>
      <c r="N119" s="36" t="n">
        <v>1</v>
      </c>
      <c r="O119" s="36" t="n">
        <v>1</v>
      </c>
      <c r="P119" s="36" t="n">
        <v>0</v>
      </c>
      <c r="Q119" s="36" t="n">
        <v>1</v>
      </c>
      <c r="R119" s="28" t="n">
        <v>0</v>
      </c>
      <c r="S119" s="36" t="n">
        <v>1</v>
      </c>
      <c r="T119" s="36" t="n">
        <v>2</v>
      </c>
      <c r="U119" s="36" t="n">
        <v>4.84</v>
      </c>
      <c r="V119" s="36" t="n">
        <v>5.04</v>
      </c>
      <c r="W119" s="36" t="n">
        <v>2.48</v>
      </c>
      <c r="X119" s="36" t="n">
        <v>1.42</v>
      </c>
      <c r="Y119" s="28" t="n">
        <v>3.42</v>
      </c>
      <c r="Z119" s="36" t="n">
        <v>2.6</v>
      </c>
      <c r="AA119" s="36" t="n">
        <v>2.44</v>
      </c>
      <c r="AB119" s="36" t="n">
        <v>2.6</v>
      </c>
      <c r="AC119" s="36" t="n">
        <v>2.91</v>
      </c>
      <c r="AD119" s="36" t="n">
        <v>3.15</v>
      </c>
      <c r="AE119" s="36" t="n">
        <v>1.61</v>
      </c>
      <c r="AF119" s="28" t="n">
        <v>3.19</v>
      </c>
      <c r="AG119" s="36" t="n">
        <v>2.4</v>
      </c>
      <c r="AH119" s="37" t="n">
        <v>2.32</v>
      </c>
      <c r="AI119" s="37" t="n">
        <v>2.71</v>
      </c>
      <c r="AJ119" s="37" t="n">
        <v>2.75</v>
      </c>
      <c r="AK119" s="37" t="n">
        <v>2.68</v>
      </c>
      <c r="AL119" s="37" t="n">
        <v>1.42</v>
      </c>
      <c r="AM119" s="37" t="n">
        <v>3.19</v>
      </c>
      <c r="AN119" s="37" t="n">
        <v>2.36</v>
      </c>
      <c r="AO119" s="37" t="n">
        <v>2.4</v>
      </c>
      <c r="AP119" s="37" t="n">
        <v>2.4</v>
      </c>
      <c r="AQ119" s="37" t="n">
        <v>2.52</v>
      </c>
      <c r="AR119" s="37" t="n">
        <v>2.44</v>
      </c>
      <c r="AS119" s="37" t="n">
        <v>1.42</v>
      </c>
      <c r="AT119" s="37" t="n">
        <v>3.42</v>
      </c>
      <c r="AU119" s="37" t="n">
        <v>2.68</v>
      </c>
      <c r="AV119" s="37" t="n">
        <v>2.32</v>
      </c>
      <c r="AW119" s="37" t="n">
        <v>2.36</v>
      </c>
      <c r="AX119" s="37" t="n">
        <v>2.48</v>
      </c>
      <c r="AY119" s="37" t="n">
        <v>2.44</v>
      </c>
      <c r="AZ119" s="37" t="n">
        <v>1.42</v>
      </c>
      <c r="BA119" s="37" t="n">
        <v>2.83</v>
      </c>
      <c r="BB119" s="37" t="n">
        <v>0.67</v>
      </c>
      <c r="BC119" s="37" t="n">
        <v>0.31</v>
      </c>
      <c r="BD119" s="37" t="n">
        <v>0.55</v>
      </c>
      <c r="BE119" s="37" t="n">
        <v>0.67</v>
      </c>
      <c r="BF119" s="37" t="n">
        <v>0.67</v>
      </c>
      <c r="BG119" s="37" t="n">
        <v>0.39</v>
      </c>
      <c r="BH119" s="37" t="n">
        <v>1.02</v>
      </c>
      <c r="BI119" s="37" t="n">
        <v>0.67</v>
      </c>
      <c r="BJ119" s="37" t="n">
        <v>0.75</v>
      </c>
      <c r="BK119" s="37" t="n">
        <v>0.67</v>
      </c>
      <c r="BL119" s="37" t="n">
        <v>0.67</v>
      </c>
      <c r="BM119" s="37" t="n">
        <v>0.67</v>
      </c>
      <c r="BN119" s="37" t="n">
        <v>0.43</v>
      </c>
      <c r="BO119" s="37" t="n">
        <v>1.06</v>
      </c>
      <c r="BP119" s="37" t="n">
        <v>0.87</v>
      </c>
      <c r="BQ119" s="37" t="n">
        <v>0.67</v>
      </c>
      <c r="BR119" s="37" t="n">
        <v>0.67</v>
      </c>
      <c r="BS119" s="37" t="n">
        <v>0.67</v>
      </c>
      <c r="BT119" s="37" t="n">
        <v>0.67</v>
      </c>
      <c r="BU119" s="37" t="n">
        <v>0.35</v>
      </c>
      <c r="BV119" s="37" t="n">
        <v>0.87</v>
      </c>
      <c r="BW119" s="37" t="n">
        <v>0.67</v>
      </c>
      <c r="BX119" s="37" t="n">
        <v>0.67</v>
      </c>
      <c r="BY119" s="37" t="n">
        <v>0.67</v>
      </c>
      <c r="BZ119" s="37" t="n">
        <v>0.67</v>
      </c>
      <c r="CA119" s="37" t="n">
        <v>0.67</v>
      </c>
      <c r="CB119" s="37" t="n">
        <v>0.35</v>
      </c>
      <c r="CC119" s="37" t="n">
        <v>125.33</v>
      </c>
    </row>
    <row r="120" ht="15.75" customHeight="1" s="57">
      <c r="A120" s="7" t="inlineStr">
        <is>
          <t>NTB</t>
        </is>
      </c>
      <c r="B120" s="7" t="inlineStr">
        <is>
          <t>Bình Thuận</t>
        </is>
      </c>
      <c r="C120" s="7" t="n">
        <v>22483000</v>
      </c>
      <c r="D120" s="7" t="inlineStr">
        <is>
          <t>(BTH) Hàm Thuận</t>
        </is>
      </c>
      <c r="E120" s="7" t="inlineStr">
        <is>
          <t>SME</t>
        </is>
      </c>
      <c r="F120" s="36" t="n">
        <v>299</v>
      </c>
      <c r="G120" s="36" t="n">
        <v>372</v>
      </c>
      <c r="H120" s="36" t="n">
        <v>290</v>
      </c>
      <c r="I120" s="36" t="n">
        <v>331</v>
      </c>
      <c r="J120" s="36" t="n">
        <v>305</v>
      </c>
      <c r="K120" s="28" t="n">
        <v>308</v>
      </c>
      <c r="L120" s="36" t="n">
        <v>243</v>
      </c>
      <c r="M120" s="36" t="n">
        <v>291</v>
      </c>
      <c r="N120" s="36" t="n">
        <v>299</v>
      </c>
      <c r="O120" s="36" t="n">
        <v>275</v>
      </c>
      <c r="P120" s="36" t="n">
        <v>309</v>
      </c>
      <c r="Q120" s="36" t="n">
        <v>198</v>
      </c>
      <c r="R120" s="28" t="n">
        <v>260</v>
      </c>
      <c r="S120" s="36" t="n">
        <v>299</v>
      </c>
      <c r="T120" s="36" t="n">
        <v>287</v>
      </c>
      <c r="U120" s="36" t="n">
        <v>334.27</v>
      </c>
      <c r="V120" s="36" t="n">
        <v>346.09</v>
      </c>
      <c r="W120" s="36" t="n">
        <v>336.49</v>
      </c>
      <c r="X120" s="36" t="n">
        <v>275.43</v>
      </c>
      <c r="Y120" s="28" t="n">
        <v>373.2</v>
      </c>
      <c r="Z120" s="36" t="n">
        <v>343.47</v>
      </c>
      <c r="AA120" s="36" t="n">
        <v>335.32</v>
      </c>
      <c r="AB120" s="36" t="n">
        <v>334.27</v>
      </c>
      <c r="AC120" s="36" t="n">
        <v>346.09</v>
      </c>
      <c r="AD120" s="36" t="n">
        <v>353.72</v>
      </c>
      <c r="AE120" s="36" t="n">
        <v>275.43</v>
      </c>
      <c r="AF120" s="28" t="n">
        <v>373.2</v>
      </c>
      <c r="AG120" s="36" t="n">
        <v>343.47</v>
      </c>
      <c r="AH120" s="37" t="n">
        <v>335.32</v>
      </c>
      <c r="AI120" s="37" t="n">
        <v>334.27</v>
      </c>
      <c r="AJ120" s="37" t="n">
        <v>346.09</v>
      </c>
      <c r="AK120" s="37" t="n">
        <v>336.49</v>
      </c>
      <c r="AL120" s="37" t="n">
        <v>275.43</v>
      </c>
      <c r="AM120" s="37" t="n">
        <v>373.2</v>
      </c>
      <c r="AN120" s="37" t="n">
        <v>343.47</v>
      </c>
      <c r="AO120" s="37" t="n">
        <v>335.32</v>
      </c>
      <c r="AP120" s="37" t="n">
        <v>334.27</v>
      </c>
      <c r="AQ120" s="37" t="n">
        <v>346.09</v>
      </c>
      <c r="AR120" s="37" t="n">
        <v>336.49</v>
      </c>
      <c r="AS120" s="37" t="n">
        <v>275.43</v>
      </c>
      <c r="AT120" s="37" t="n">
        <v>373.2</v>
      </c>
      <c r="AU120" s="37" t="n">
        <v>343.47</v>
      </c>
      <c r="AV120" s="37" t="n">
        <v>335.32</v>
      </c>
      <c r="AW120" s="37" t="n">
        <v>334.27</v>
      </c>
      <c r="AX120" s="37" t="n">
        <v>346.09</v>
      </c>
      <c r="AY120" s="37" t="n">
        <v>336.49</v>
      </c>
      <c r="AZ120" s="37" t="n">
        <v>275.43</v>
      </c>
      <c r="BA120" s="37" t="n">
        <v>335.72</v>
      </c>
      <c r="BB120" s="37" t="n">
        <v>300.34</v>
      </c>
      <c r="BC120" s="37" t="n">
        <v>190.24</v>
      </c>
      <c r="BD120" s="37" t="n">
        <v>189.54</v>
      </c>
      <c r="BE120" s="37" t="n">
        <v>320.26</v>
      </c>
      <c r="BF120" s="37" t="n">
        <v>311.72</v>
      </c>
      <c r="BG120" s="37" t="n">
        <v>283.97</v>
      </c>
      <c r="BH120" s="37" t="n">
        <v>384.82</v>
      </c>
      <c r="BI120" s="37" t="n">
        <v>354.13</v>
      </c>
      <c r="BJ120" s="37" t="n">
        <v>362.95</v>
      </c>
      <c r="BK120" s="37" t="n">
        <v>344.3800000000001</v>
      </c>
      <c r="BL120" s="37" t="n">
        <v>356.88</v>
      </c>
      <c r="BM120" s="37" t="n">
        <v>346.6</v>
      </c>
      <c r="BN120" s="37" t="n">
        <v>283.97</v>
      </c>
      <c r="BO120" s="37" t="n">
        <v>384.82</v>
      </c>
      <c r="BP120" s="37" t="n">
        <v>354.13</v>
      </c>
      <c r="BQ120" s="37" t="n">
        <v>345.5</v>
      </c>
      <c r="BR120" s="37" t="n">
        <v>344.3800000000001</v>
      </c>
      <c r="BS120" s="37" t="n">
        <v>356.88</v>
      </c>
      <c r="BT120" s="37" t="n">
        <v>346.6</v>
      </c>
      <c r="BU120" s="37" t="n">
        <v>283.97</v>
      </c>
      <c r="BV120" s="37" t="n">
        <v>384.82</v>
      </c>
      <c r="BW120" s="37" t="n">
        <v>354.13</v>
      </c>
      <c r="BX120" s="37" t="n">
        <v>345.5</v>
      </c>
      <c r="BY120" s="37" t="n">
        <v>344.3800000000001</v>
      </c>
      <c r="BZ120" s="37" t="n">
        <v>356.88</v>
      </c>
      <c r="CA120" s="37" t="n">
        <v>346.6</v>
      </c>
      <c r="CB120" s="37" t="n">
        <v>283.97</v>
      </c>
      <c r="CC120" s="37" t="n">
        <v>24250.67000000001</v>
      </c>
    </row>
    <row r="121" ht="15.75" customHeight="1" s="57">
      <c r="A121" s="7" t="inlineStr">
        <is>
          <t>NTB</t>
        </is>
      </c>
      <c r="B121" s="7" t="inlineStr">
        <is>
          <t>Bình Thuận</t>
        </is>
      </c>
      <c r="C121" s="7" t="n">
        <v>22483000</v>
      </c>
      <c r="D121" s="7" t="inlineStr">
        <is>
          <t>(BTH) Hàm Thuận</t>
        </is>
      </c>
      <c r="E121" s="7" t="inlineStr">
        <is>
          <t>SME-Bulky</t>
        </is>
      </c>
      <c r="F121" s="36" t="n">
        <v>17</v>
      </c>
      <c r="G121" s="36" t="n">
        <v>27</v>
      </c>
      <c r="H121" s="36" t="n">
        <v>14</v>
      </c>
      <c r="I121" s="36" t="n">
        <v>21</v>
      </c>
      <c r="J121" s="36" t="n">
        <v>42</v>
      </c>
      <c r="K121" s="28" t="n">
        <v>23</v>
      </c>
      <c r="L121" s="36" t="n">
        <v>16</v>
      </c>
      <c r="M121" s="36" t="n">
        <v>19</v>
      </c>
      <c r="N121" s="36" t="n">
        <v>10</v>
      </c>
      <c r="O121" s="36" t="n">
        <v>44</v>
      </c>
      <c r="P121" s="36" t="n">
        <v>17</v>
      </c>
      <c r="Q121" s="36" t="n">
        <v>21</v>
      </c>
      <c r="R121" s="28" t="n">
        <v>34</v>
      </c>
      <c r="S121" s="36" t="n">
        <v>10</v>
      </c>
      <c r="T121" s="36" t="n">
        <v>14</v>
      </c>
      <c r="U121" s="36" t="n">
        <v>22.39</v>
      </c>
      <c r="V121" s="36" t="n">
        <v>22.47</v>
      </c>
      <c r="W121" s="36" t="n">
        <v>20.84</v>
      </c>
      <c r="X121" s="36" t="n">
        <v>14.64</v>
      </c>
      <c r="Y121" s="28" t="n">
        <v>25.03</v>
      </c>
      <c r="Z121" s="36" t="n">
        <v>24.33</v>
      </c>
      <c r="AA121" s="36" t="n">
        <v>23.71</v>
      </c>
      <c r="AB121" s="36" t="n">
        <v>22.39</v>
      </c>
      <c r="AC121" s="36" t="n">
        <v>22.47</v>
      </c>
      <c r="AD121" s="36" t="n">
        <v>23.79</v>
      </c>
      <c r="AE121" s="36" t="n">
        <v>14.64</v>
      </c>
      <c r="AF121" s="28" t="n">
        <v>25.03</v>
      </c>
      <c r="AG121" s="36" t="n">
        <v>24.33</v>
      </c>
      <c r="AH121" s="37" t="n">
        <v>23.71</v>
      </c>
      <c r="AI121" s="37" t="n">
        <v>22.39</v>
      </c>
      <c r="AJ121" s="37" t="n">
        <v>22.47</v>
      </c>
      <c r="AK121" s="37" t="n">
        <v>20.84</v>
      </c>
      <c r="AL121" s="37" t="n">
        <v>14.64</v>
      </c>
      <c r="AM121" s="37" t="n">
        <v>25.03</v>
      </c>
      <c r="AN121" s="37" t="n">
        <v>24.33</v>
      </c>
      <c r="AO121" s="37" t="n">
        <v>23.71</v>
      </c>
      <c r="AP121" s="37" t="n">
        <v>22.39</v>
      </c>
      <c r="AQ121" s="37" t="n">
        <v>22.47</v>
      </c>
      <c r="AR121" s="37" t="n">
        <v>20.84</v>
      </c>
      <c r="AS121" s="37" t="n">
        <v>14.64</v>
      </c>
      <c r="AT121" s="37" t="n">
        <v>25.03</v>
      </c>
      <c r="AU121" s="37" t="n">
        <v>24.33</v>
      </c>
      <c r="AV121" s="37" t="n">
        <v>23.71</v>
      </c>
      <c r="AW121" s="37" t="n">
        <v>22.39</v>
      </c>
      <c r="AX121" s="37" t="n">
        <v>22.47</v>
      </c>
      <c r="AY121" s="37" t="n">
        <v>20.84</v>
      </c>
      <c r="AZ121" s="37" t="n">
        <v>14.64</v>
      </c>
      <c r="BA121" s="37" t="n">
        <v>25.1</v>
      </c>
      <c r="BB121" s="37" t="n">
        <v>13.17</v>
      </c>
      <c r="BC121" s="37" t="n">
        <v>7.05</v>
      </c>
      <c r="BD121" s="37" t="n">
        <v>6.35</v>
      </c>
      <c r="BE121" s="37" t="n">
        <v>11.47</v>
      </c>
      <c r="BF121" s="37" t="n">
        <v>11</v>
      </c>
      <c r="BG121" s="37" t="n">
        <v>8.6</v>
      </c>
      <c r="BH121" s="37" t="n">
        <v>14.57</v>
      </c>
      <c r="BI121" s="37" t="n">
        <v>14.57</v>
      </c>
      <c r="BJ121" s="37" t="n">
        <v>15.03</v>
      </c>
      <c r="BK121" s="37" t="n">
        <v>13.25</v>
      </c>
      <c r="BL121" s="37" t="n">
        <v>13.4</v>
      </c>
      <c r="BM121" s="37" t="n">
        <v>12.4</v>
      </c>
      <c r="BN121" s="37" t="n">
        <v>8.6</v>
      </c>
      <c r="BO121" s="37" t="n">
        <v>14.57</v>
      </c>
      <c r="BP121" s="37" t="n">
        <v>14.57</v>
      </c>
      <c r="BQ121" s="37" t="n">
        <v>13.71</v>
      </c>
      <c r="BR121" s="37" t="n">
        <v>13.25</v>
      </c>
      <c r="BS121" s="37" t="n">
        <v>13.4</v>
      </c>
      <c r="BT121" s="37" t="n">
        <v>12.4</v>
      </c>
      <c r="BU121" s="37" t="n">
        <v>8.6</v>
      </c>
      <c r="BV121" s="37" t="n">
        <v>14.57</v>
      </c>
      <c r="BW121" s="37" t="n">
        <v>14.57</v>
      </c>
      <c r="BX121" s="37" t="n">
        <v>13.71</v>
      </c>
      <c r="BY121" s="37" t="n">
        <v>13.25</v>
      </c>
      <c r="BZ121" s="37" t="n">
        <v>13.4</v>
      </c>
      <c r="CA121" s="37" t="n">
        <v>12.4</v>
      </c>
      <c r="CB121" s="37" t="n">
        <v>8.6</v>
      </c>
      <c r="CC121" s="37" t="n">
        <v>1381.49</v>
      </c>
    </row>
    <row r="122" ht="15.75" customHeight="1" s="57">
      <c r="A122" s="7" t="inlineStr">
        <is>
          <t>NTB</t>
        </is>
      </c>
      <c r="B122" s="7" t="inlineStr">
        <is>
          <t>Bình Thuận</t>
        </is>
      </c>
      <c r="C122" s="7" t="n">
        <v>22483000</v>
      </c>
      <c r="D122" s="7" t="inlineStr">
        <is>
          <t>(BTH) Hàm Thuận</t>
        </is>
      </c>
      <c r="E122" s="7" t="inlineStr">
        <is>
          <t>Shopee</t>
        </is>
      </c>
      <c r="F122" s="36" t="n">
        <v>260</v>
      </c>
      <c r="G122" s="36" t="n">
        <v>261</v>
      </c>
      <c r="H122" s="36" t="n">
        <v>276</v>
      </c>
      <c r="I122" s="36" t="n">
        <v>291</v>
      </c>
      <c r="J122" s="36" t="n">
        <v>259</v>
      </c>
      <c r="K122" s="28" t="n">
        <v>169</v>
      </c>
      <c r="L122" s="36" t="n">
        <v>196</v>
      </c>
      <c r="M122" s="36" t="n">
        <v>245</v>
      </c>
      <c r="N122" s="36" t="n">
        <v>266</v>
      </c>
      <c r="O122" s="36" t="n">
        <v>244</v>
      </c>
      <c r="P122" s="36" t="n">
        <v>261</v>
      </c>
      <c r="Q122" s="36" t="n">
        <v>139</v>
      </c>
      <c r="R122" s="28" t="n">
        <v>195</v>
      </c>
      <c r="S122" s="36" t="n">
        <v>227</v>
      </c>
      <c r="T122" s="36" t="n">
        <v>195</v>
      </c>
      <c r="U122" s="36" t="n">
        <v>230.23</v>
      </c>
      <c r="V122" s="36" t="n">
        <v>231.2</v>
      </c>
      <c r="W122" s="36" t="n">
        <v>227.77</v>
      </c>
      <c r="X122" s="36" t="n">
        <v>185.3</v>
      </c>
      <c r="Y122" s="28" t="n">
        <v>310.24</v>
      </c>
      <c r="Z122" s="36" t="n">
        <v>245.49</v>
      </c>
      <c r="AA122" s="36" t="n">
        <v>337.51</v>
      </c>
      <c r="AB122" s="36" t="n">
        <v>234.98</v>
      </c>
      <c r="AC122" s="36" t="n">
        <v>189.81</v>
      </c>
      <c r="AD122" s="36" t="n">
        <v>515.85</v>
      </c>
      <c r="AE122" s="36" t="n">
        <v>198.34</v>
      </c>
      <c r="AF122" s="28" t="n">
        <v>353.55</v>
      </c>
      <c r="AG122" s="36" t="n">
        <v>257.8</v>
      </c>
      <c r="AH122" s="37" t="n">
        <v>272.4</v>
      </c>
      <c r="AI122" s="37" t="n">
        <v>230.23</v>
      </c>
      <c r="AJ122" s="37" t="n">
        <v>231.2</v>
      </c>
      <c r="AK122" s="37" t="n">
        <v>307.36</v>
      </c>
      <c r="AL122" s="37" t="n">
        <v>332.59</v>
      </c>
      <c r="AM122" s="37" t="n">
        <v>310.24</v>
      </c>
      <c r="AN122" s="37" t="n">
        <v>245.49</v>
      </c>
      <c r="AO122" s="37" t="n">
        <v>272.4</v>
      </c>
      <c r="AP122" s="37" t="n">
        <v>287.48</v>
      </c>
      <c r="AQ122" s="37" t="n">
        <v>185.48</v>
      </c>
      <c r="AR122" s="37" t="n">
        <v>227.77</v>
      </c>
      <c r="AS122" s="37" t="n">
        <v>185.3</v>
      </c>
      <c r="AT122" s="37" t="n">
        <v>310.24</v>
      </c>
      <c r="AU122" s="37" t="n">
        <v>250.54</v>
      </c>
      <c r="AV122" s="37" t="n">
        <v>277.57</v>
      </c>
      <c r="AW122" s="37" t="n">
        <v>230.23</v>
      </c>
      <c r="AX122" s="37" t="n">
        <v>231.2</v>
      </c>
      <c r="AY122" s="37" t="n">
        <v>227.77</v>
      </c>
      <c r="AZ122" s="37" t="n">
        <v>185.3</v>
      </c>
      <c r="BA122" s="37" t="n">
        <v>239.12</v>
      </c>
      <c r="BB122" s="37" t="n">
        <v>208.37</v>
      </c>
      <c r="BC122" s="37" t="n">
        <v>106.26</v>
      </c>
      <c r="BD122" s="37" t="n">
        <v>188.37</v>
      </c>
      <c r="BE122" s="37" t="n">
        <v>220.32</v>
      </c>
      <c r="BF122" s="37" t="n">
        <v>217.02</v>
      </c>
      <c r="BG122" s="37" t="n">
        <v>179.96</v>
      </c>
      <c r="BH122" s="37" t="n">
        <v>295.29</v>
      </c>
      <c r="BI122" s="37" t="n">
        <v>191.61</v>
      </c>
      <c r="BJ122" s="37" t="n">
        <v>732.21</v>
      </c>
      <c r="BK122" s="37" t="n">
        <v>234.74</v>
      </c>
      <c r="BL122" s="37" t="n">
        <v>231.2</v>
      </c>
      <c r="BM122" s="37" t="n">
        <v>217.02</v>
      </c>
      <c r="BN122" s="37" t="n">
        <v>176.47</v>
      </c>
      <c r="BO122" s="37" t="n">
        <v>295.29</v>
      </c>
      <c r="BP122" s="37" t="n">
        <v>315.65</v>
      </c>
      <c r="BQ122" s="37" t="n">
        <v>465.63</v>
      </c>
      <c r="BR122" s="37" t="n">
        <v>219.36</v>
      </c>
      <c r="BS122" s="37" t="n">
        <v>220.32</v>
      </c>
      <c r="BT122" s="37" t="n">
        <v>217.02</v>
      </c>
      <c r="BU122" s="37" t="n">
        <v>220.56</v>
      </c>
      <c r="BV122" s="37" t="n">
        <v>236.72</v>
      </c>
      <c r="BW122" s="37" t="n">
        <v>233.9</v>
      </c>
      <c r="BX122" s="37" t="n">
        <v>259.61</v>
      </c>
      <c r="BY122" s="37" t="n">
        <v>219.36</v>
      </c>
      <c r="BZ122" s="37" t="n">
        <v>224.71</v>
      </c>
      <c r="CA122" s="37" t="n">
        <v>221.4</v>
      </c>
      <c r="CB122" s="37" t="n">
        <v>176.47</v>
      </c>
      <c r="CC122" s="37" t="n">
        <v>18766.82000000001</v>
      </c>
    </row>
    <row r="123" ht="15.75" customHeight="1" s="57">
      <c r="A123" s="7" t="inlineStr">
        <is>
          <t>NTB</t>
        </is>
      </c>
      <c r="B123" s="7" t="inlineStr">
        <is>
          <t>Bình Thuận</t>
        </is>
      </c>
      <c r="C123" s="7" t="n">
        <v>22483000</v>
      </c>
      <c r="D123" s="7" t="inlineStr">
        <is>
          <t>(BTH) Hàm Thuận</t>
        </is>
      </c>
      <c r="E123" s="7" t="inlineStr">
        <is>
          <t>Shopee-Bulky</t>
        </is>
      </c>
      <c r="F123" s="36" t="n">
        <v>35.99</v>
      </c>
      <c r="G123" s="36" t="n">
        <v>25.99</v>
      </c>
      <c r="H123" s="36" t="n">
        <v>33.99</v>
      </c>
      <c r="I123" s="36" t="n">
        <v>28.66</v>
      </c>
      <c r="J123" s="36" t="n">
        <v>25.33</v>
      </c>
      <c r="K123" s="28" t="n">
        <v>17.99</v>
      </c>
      <c r="L123" s="36" t="n">
        <v>22.66</v>
      </c>
      <c r="M123" s="36" t="n">
        <v>22.66</v>
      </c>
      <c r="N123" s="36" t="n">
        <v>28.66</v>
      </c>
      <c r="O123" s="36" t="n">
        <v>30.66</v>
      </c>
      <c r="P123" s="36" t="n">
        <v>23.99</v>
      </c>
      <c r="Q123" s="36" t="n">
        <v>29.99</v>
      </c>
      <c r="R123" s="28" t="n">
        <v>35.32</v>
      </c>
      <c r="S123" s="36" t="n">
        <v>23.99</v>
      </c>
      <c r="T123" s="36" t="n">
        <v>26.66</v>
      </c>
      <c r="U123" s="36" t="n">
        <v>27.47</v>
      </c>
      <c r="V123" s="36" t="n">
        <v>26.54</v>
      </c>
      <c r="W123" s="36" t="n">
        <v>37.03</v>
      </c>
      <c r="X123" s="36" t="n">
        <v>21.14</v>
      </c>
      <c r="Y123" s="28" t="n">
        <v>40.51</v>
      </c>
      <c r="Z123" s="36" t="n">
        <v>31.94</v>
      </c>
      <c r="AA123" s="36" t="n">
        <v>30.95</v>
      </c>
      <c r="AB123" s="36" t="n">
        <v>31.57</v>
      </c>
      <c r="AC123" s="36" t="n">
        <v>32.61</v>
      </c>
      <c r="AD123" s="36" t="n">
        <v>102.1</v>
      </c>
      <c r="AE123" s="36" t="n">
        <v>53.28</v>
      </c>
      <c r="AF123" s="28" t="n">
        <v>79.3</v>
      </c>
      <c r="AG123" s="36" t="n">
        <v>45.49</v>
      </c>
      <c r="AH123" s="37" t="n">
        <v>31.68</v>
      </c>
      <c r="AI123" s="37" t="n">
        <v>31.16</v>
      </c>
      <c r="AJ123" s="37" t="n">
        <v>29.76</v>
      </c>
      <c r="AK123" s="37" t="n">
        <v>67.62</v>
      </c>
      <c r="AL123" s="37" t="n">
        <v>34.59</v>
      </c>
      <c r="AM123" s="37" t="n">
        <v>50.11</v>
      </c>
      <c r="AN123" s="37" t="n">
        <v>31.37</v>
      </c>
      <c r="AO123" s="37" t="n">
        <v>30.33</v>
      </c>
      <c r="AP123" s="37" t="n">
        <v>41.39</v>
      </c>
      <c r="AQ123" s="37" t="n">
        <v>41.55</v>
      </c>
      <c r="AR123" s="37" t="n">
        <v>33.65</v>
      </c>
      <c r="AS123" s="37" t="n">
        <v>18.64</v>
      </c>
      <c r="AT123" s="37" t="n">
        <v>37.24</v>
      </c>
      <c r="AU123" s="37" t="n">
        <v>60.5</v>
      </c>
      <c r="AV123" s="37" t="n">
        <v>64.03</v>
      </c>
      <c r="AW123" s="37" t="n">
        <v>30.69</v>
      </c>
      <c r="AX123" s="37" t="n">
        <v>28.67</v>
      </c>
      <c r="AY123" s="37" t="n">
        <v>32.35</v>
      </c>
      <c r="AZ123" s="37" t="n">
        <v>17.86</v>
      </c>
      <c r="BA123" s="37" t="n">
        <v>34.17</v>
      </c>
      <c r="BB123" s="37" t="n">
        <v>31.68</v>
      </c>
      <c r="BC123" s="37" t="n">
        <v>10.49</v>
      </c>
      <c r="BD123" s="37" t="n">
        <v>26.85</v>
      </c>
      <c r="BE123" s="37" t="n">
        <v>33.03</v>
      </c>
      <c r="BF123" s="37" t="n">
        <v>28.98</v>
      </c>
      <c r="BG123" s="37" t="n">
        <v>24.1</v>
      </c>
      <c r="BH123" s="37" t="n">
        <v>43.57</v>
      </c>
      <c r="BI123" s="37" t="n">
        <v>37.18</v>
      </c>
      <c r="BJ123" s="37" t="n">
        <v>160.78</v>
      </c>
      <c r="BK123" s="37" t="n">
        <v>78.42</v>
      </c>
      <c r="BL123" s="37" t="n">
        <v>41.08</v>
      </c>
      <c r="BM123" s="37" t="n">
        <v>30.38</v>
      </c>
      <c r="BN123" s="37" t="n">
        <v>23.32</v>
      </c>
      <c r="BO123" s="37" t="n">
        <v>49.85</v>
      </c>
      <c r="BP123" s="37" t="n">
        <v>73.54000000000001</v>
      </c>
      <c r="BQ123" s="37" t="n">
        <v>52.66</v>
      </c>
      <c r="BR123" s="37" t="n">
        <v>35.05</v>
      </c>
      <c r="BS123" s="37" t="n">
        <v>33.03</v>
      </c>
      <c r="BT123" s="37" t="n">
        <v>28.98</v>
      </c>
      <c r="BU123" s="37" t="n">
        <v>33.7</v>
      </c>
      <c r="BV123" s="37" t="n">
        <v>45.86</v>
      </c>
      <c r="BW123" s="37" t="n">
        <v>37.18</v>
      </c>
      <c r="BX123" s="37" t="n">
        <v>35.63</v>
      </c>
      <c r="BY123" s="37" t="n">
        <v>35.05</v>
      </c>
      <c r="BZ123" s="37" t="n">
        <v>59.41</v>
      </c>
      <c r="CA123" s="37" t="n">
        <v>34.74</v>
      </c>
      <c r="CB123" s="37" t="n">
        <v>23.11</v>
      </c>
      <c r="CC123" s="37" t="n">
        <v>2867.48</v>
      </c>
    </row>
    <row r="124" ht="15.75" customHeight="1" s="57">
      <c r="A124" s="7" t="inlineStr">
        <is>
          <t>NTB</t>
        </is>
      </c>
      <c r="B124" s="7" t="inlineStr">
        <is>
          <t>Bình Thuận</t>
        </is>
      </c>
      <c r="C124" s="7" t="n">
        <v>22483000</v>
      </c>
      <c r="D124" s="7" t="inlineStr">
        <is>
          <t>(BTH) Hàm Thuận</t>
        </is>
      </c>
      <c r="E124" s="7" t="inlineStr">
        <is>
          <t>Shopee-Bulky (10-15kg)</t>
        </is>
      </c>
      <c r="F124" s="36" t="n">
        <v>18.01</v>
      </c>
      <c r="G124" s="36" t="n">
        <v>13.01</v>
      </c>
      <c r="H124" s="36" t="n">
        <v>17.01</v>
      </c>
      <c r="I124" s="36" t="n">
        <v>14.34</v>
      </c>
      <c r="J124" s="36" t="n">
        <v>12.67</v>
      </c>
      <c r="K124" s="28" t="n">
        <v>9.01</v>
      </c>
      <c r="L124" s="36" t="n">
        <v>11.34</v>
      </c>
      <c r="M124" s="36" t="n">
        <v>11.34</v>
      </c>
      <c r="N124" s="36" t="n">
        <v>14.34</v>
      </c>
      <c r="O124" s="36" t="n">
        <v>15.34</v>
      </c>
      <c r="P124" s="36" t="n">
        <v>12.01</v>
      </c>
      <c r="Q124" s="36" t="n">
        <v>15.01</v>
      </c>
      <c r="R124" s="28" t="n">
        <v>17.68</v>
      </c>
      <c r="S124" s="36" t="n">
        <v>12.01</v>
      </c>
      <c r="T124" s="36" t="n">
        <v>13.34</v>
      </c>
      <c r="U124" s="36" t="n">
        <v>14.18</v>
      </c>
      <c r="V124" s="36" t="n">
        <v>13.76</v>
      </c>
      <c r="W124" s="36" t="n">
        <v>18.54</v>
      </c>
      <c r="X124" s="36" t="n">
        <v>10.07</v>
      </c>
      <c r="Y124" s="28" t="n">
        <v>20.05</v>
      </c>
      <c r="Z124" s="36" t="n">
        <v>15.79</v>
      </c>
      <c r="AA124" s="36" t="n">
        <v>15.37</v>
      </c>
      <c r="AB124" s="36" t="n">
        <v>15.63</v>
      </c>
      <c r="AC124" s="36" t="n">
        <v>16.2</v>
      </c>
      <c r="AD124" s="36" t="n">
        <v>66.11</v>
      </c>
      <c r="AE124" s="36" t="n">
        <v>26.49</v>
      </c>
      <c r="AF124" s="28" t="n">
        <v>37.24</v>
      </c>
      <c r="AG124" s="36" t="n">
        <v>22.59</v>
      </c>
      <c r="AH124" s="37" t="n">
        <v>15.58</v>
      </c>
      <c r="AI124" s="37" t="n">
        <v>15.06</v>
      </c>
      <c r="AJ124" s="37" t="n">
        <v>14.75</v>
      </c>
      <c r="AK124" s="37" t="n">
        <v>34.48</v>
      </c>
      <c r="AL124" s="37" t="n">
        <v>16.83</v>
      </c>
      <c r="AM124" s="37" t="n">
        <v>24.46</v>
      </c>
      <c r="AN124" s="37" t="n">
        <v>15.58</v>
      </c>
      <c r="AO124" s="37" t="n">
        <v>14.85</v>
      </c>
      <c r="AP124" s="37" t="n">
        <v>20.1</v>
      </c>
      <c r="AQ124" s="37" t="n">
        <v>20.15</v>
      </c>
      <c r="AR124" s="37" t="n">
        <v>16.72</v>
      </c>
      <c r="AS124" s="37" t="n">
        <v>8.93</v>
      </c>
      <c r="AT124" s="37" t="n">
        <v>18.12</v>
      </c>
      <c r="AU124" s="37" t="n">
        <v>31</v>
      </c>
      <c r="AV124" s="37" t="n">
        <v>31</v>
      </c>
      <c r="AW124" s="37" t="n">
        <v>14.9</v>
      </c>
      <c r="AX124" s="37" t="n">
        <v>14.02</v>
      </c>
      <c r="AY124" s="37" t="n">
        <v>16</v>
      </c>
      <c r="AZ124" s="37" t="n">
        <v>8.57</v>
      </c>
      <c r="BA124" s="37" t="n">
        <v>16.62</v>
      </c>
      <c r="BB124" s="37" t="n">
        <v>15.89</v>
      </c>
      <c r="BC124" s="37" t="n">
        <v>5.5</v>
      </c>
      <c r="BD124" s="37" t="n">
        <v>13.55</v>
      </c>
      <c r="BE124" s="37" t="n">
        <v>16.41</v>
      </c>
      <c r="BF124" s="37" t="n">
        <v>14.7</v>
      </c>
      <c r="BG124" s="37" t="n">
        <v>11.74</v>
      </c>
      <c r="BH124" s="37" t="n">
        <v>21.55</v>
      </c>
      <c r="BI124" s="37" t="n">
        <v>18.54</v>
      </c>
      <c r="BJ124" s="37" t="n">
        <v>91.56</v>
      </c>
      <c r="BK124" s="37" t="n">
        <v>39.05</v>
      </c>
      <c r="BL124" s="37" t="n">
        <v>19.94</v>
      </c>
      <c r="BM124" s="37" t="n">
        <v>15.27</v>
      </c>
      <c r="BN124" s="37" t="n">
        <v>11.74</v>
      </c>
      <c r="BO124" s="37" t="n">
        <v>25.65</v>
      </c>
      <c r="BP124" s="37" t="n">
        <v>36.82</v>
      </c>
      <c r="BQ124" s="37" t="n">
        <v>27</v>
      </c>
      <c r="BR124" s="37" t="n">
        <v>17.4</v>
      </c>
      <c r="BS124" s="37" t="n">
        <v>16.41</v>
      </c>
      <c r="BT124" s="37" t="n">
        <v>14.7</v>
      </c>
      <c r="BU124" s="37" t="n">
        <v>16.62</v>
      </c>
      <c r="BV124" s="37" t="n">
        <v>23.42</v>
      </c>
      <c r="BW124" s="37" t="n">
        <v>18.54</v>
      </c>
      <c r="BX124" s="37" t="n">
        <v>17.71</v>
      </c>
      <c r="BY124" s="37" t="n">
        <v>17.4</v>
      </c>
      <c r="BZ124" s="37" t="n">
        <v>29.86</v>
      </c>
      <c r="CA124" s="37" t="n">
        <v>17.35</v>
      </c>
      <c r="CB124" s="37" t="n">
        <v>11.11</v>
      </c>
      <c r="CC124" s="37" t="n">
        <v>1451.63</v>
      </c>
    </row>
    <row r="125" ht="15.75" customHeight="1" s="57">
      <c r="A125" s="7" t="inlineStr">
        <is>
          <t>NTB</t>
        </is>
      </c>
      <c r="B125" s="7" t="inlineStr">
        <is>
          <t>Bình Thuận</t>
        </is>
      </c>
      <c r="C125" s="7" t="n">
        <v>22483000</v>
      </c>
      <c r="D125" s="7" t="inlineStr">
        <is>
          <t>(BTH) Hàm Thuận</t>
        </is>
      </c>
      <c r="E125" s="7" t="inlineStr">
        <is>
          <t>TTS</t>
        </is>
      </c>
      <c r="F125" s="36" t="n">
        <v>257</v>
      </c>
      <c r="G125" s="36" t="n">
        <v>291</v>
      </c>
      <c r="H125" s="36" t="n">
        <v>263</v>
      </c>
      <c r="I125" s="36" t="n">
        <v>268</v>
      </c>
      <c r="J125" s="36" t="n">
        <v>275</v>
      </c>
      <c r="K125" s="28" t="n">
        <v>239</v>
      </c>
      <c r="L125" s="36" t="n">
        <v>240</v>
      </c>
      <c r="M125" s="36" t="n">
        <v>231</v>
      </c>
      <c r="N125" s="36" t="n">
        <v>282</v>
      </c>
      <c r="O125" s="36" t="n">
        <v>244</v>
      </c>
      <c r="P125" s="36" t="n">
        <v>291</v>
      </c>
      <c r="Q125" s="36" t="n">
        <v>152</v>
      </c>
      <c r="R125" s="28" t="n">
        <v>242</v>
      </c>
      <c r="S125" s="36" t="n">
        <v>243</v>
      </c>
      <c r="T125" s="36" t="n">
        <v>253</v>
      </c>
      <c r="U125" s="36" t="n">
        <v>193.72</v>
      </c>
      <c r="V125" s="36" t="n">
        <v>189.98</v>
      </c>
      <c r="W125" s="36" t="n">
        <v>185.51</v>
      </c>
      <c r="X125" s="36" t="n">
        <v>149.37</v>
      </c>
      <c r="Y125" s="28" t="n">
        <v>217.82</v>
      </c>
      <c r="Z125" s="36" t="n">
        <v>185.27</v>
      </c>
      <c r="AA125" s="36" t="n">
        <v>205.09</v>
      </c>
      <c r="AB125" s="36" t="n">
        <v>228.82</v>
      </c>
      <c r="AC125" s="36" t="n">
        <v>240.68</v>
      </c>
      <c r="AD125" s="36" t="n">
        <v>247.78</v>
      </c>
      <c r="AE125" s="36" t="n">
        <v>173.58</v>
      </c>
      <c r="AF125" s="28" t="n">
        <v>225.05</v>
      </c>
      <c r="AG125" s="36" t="n">
        <v>188.68</v>
      </c>
      <c r="AH125" s="37" t="n">
        <v>186.89</v>
      </c>
      <c r="AI125" s="37" t="n">
        <v>214.03</v>
      </c>
      <c r="AJ125" s="37" t="n">
        <v>230.36</v>
      </c>
      <c r="AK125" s="37" t="n">
        <v>226.3</v>
      </c>
      <c r="AL125" s="37" t="n">
        <v>160.74</v>
      </c>
      <c r="AM125" s="37" t="n">
        <v>221.56</v>
      </c>
      <c r="AN125" s="37" t="n">
        <v>191.12</v>
      </c>
      <c r="AO125" s="37" t="n">
        <v>189.9</v>
      </c>
      <c r="AP125" s="37" t="n">
        <v>184.38</v>
      </c>
      <c r="AQ125" s="37" t="n">
        <v>186.49</v>
      </c>
      <c r="AR125" s="37" t="n">
        <v>182.83</v>
      </c>
      <c r="AS125" s="37" t="n">
        <v>149.69</v>
      </c>
      <c r="AT125" s="37" t="n">
        <v>239.51</v>
      </c>
      <c r="AU125" s="37" t="n">
        <v>216.79</v>
      </c>
      <c r="AV125" s="37" t="n">
        <v>192.42</v>
      </c>
      <c r="AW125" s="37" t="n">
        <v>182.34</v>
      </c>
      <c r="AX125" s="37" t="n">
        <v>181.13</v>
      </c>
      <c r="AY125" s="37" t="n">
        <v>180.56</v>
      </c>
      <c r="AZ125" s="37" t="n">
        <v>149.86</v>
      </c>
      <c r="BA125" s="37" t="n">
        <v>216.04</v>
      </c>
      <c r="BB125" s="37" t="n">
        <v>201.6</v>
      </c>
      <c r="BC125" s="37" t="n">
        <v>120.13</v>
      </c>
      <c r="BD125" s="37" t="n">
        <v>173.98</v>
      </c>
      <c r="BE125" s="37" t="n">
        <v>205.5</v>
      </c>
      <c r="BF125" s="37" t="n">
        <v>199.16</v>
      </c>
      <c r="BG125" s="37" t="n">
        <v>161.07</v>
      </c>
      <c r="BH125" s="37" t="n">
        <v>239.34</v>
      </c>
      <c r="BI125" s="37" t="n">
        <v>201.6</v>
      </c>
      <c r="BJ125" s="37" t="n">
        <v>188.24</v>
      </c>
      <c r="BK125" s="37" t="n">
        <v>205.09</v>
      </c>
      <c r="BL125" s="37" t="n">
        <v>205.5</v>
      </c>
      <c r="BM125" s="37" t="n">
        <v>199.16</v>
      </c>
      <c r="BN125" s="37" t="n">
        <v>161.07</v>
      </c>
      <c r="BO125" s="37" t="n">
        <v>239.34</v>
      </c>
      <c r="BP125" s="37" t="n">
        <v>201.6</v>
      </c>
      <c r="BQ125" s="37" t="n">
        <v>199.4</v>
      </c>
      <c r="BR125" s="37" t="n">
        <v>205.09</v>
      </c>
      <c r="BS125" s="37" t="n">
        <v>205.5</v>
      </c>
      <c r="BT125" s="37" t="n">
        <v>199.16</v>
      </c>
      <c r="BU125" s="37" t="n">
        <v>161.07</v>
      </c>
      <c r="BV125" s="37" t="n">
        <v>239.34</v>
      </c>
      <c r="BW125" s="37" t="n">
        <v>201.6</v>
      </c>
      <c r="BX125" s="37" t="n">
        <v>199.4</v>
      </c>
      <c r="BY125" s="37" t="n">
        <v>205.09</v>
      </c>
      <c r="BZ125" s="37" t="n">
        <v>205.5</v>
      </c>
      <c r="CA125" s="37" t="n">
        <v>199.16</v>
      </c>
      <c r="CB125" s="37" t="n">
        <v>161.07</v>
      </c>
      <c r="CC125" s="37" t="n">
        <v>15569.05</v>
      </c>
    </row>
    <row r="126" ht="15.75" customHeight="1" s="57">
      <c r="A126" s="7" t="inlineStr">
        <is>
          <t>NTB</t>
        </is>
      </c>
      <c r="B126" s="7" t="inlineStr">
        <is>
          <t>Bình Thuận</t>
        </is>
      </c>
      <c r="C126" s="7" t="n">
        <v>22483000</v>
      </c>
      <c r="D126" s="7" t="inlineStr">
        <is>
          <t>(BTH) Hàm Thuận</t>
        </is>
      </c>
      <c r="E126" s="7" t="inlineStr">
        <is>
          <t>TTS-Bulky</t>
        </is>
      </c>
      <c r="F126" s="36" t="n">
        <v>4</v>
      </c>
      <c r="G126" s="36" t="n">
        <v>4</v>
      </c>
      <c r="H126" s="36" t="n">
        <v>3</v>
      </c>
      <c r="I126" s="36" t="n">
        <v>5</v>
      </c>
      <c r="J126" s="36" t="n">
        <v>2</v>
      </c>
      <c r="K126" s="28" t="n">
        <v>1</v>
      </c>
      <c r="L126" s="36" t="n">
        <v>0</v>
      </c>
      <c r="M126" s="36" t="n">
        <v>1</v>
      </c>
      <c r="N126" s="36" t="n">
        <v>1</v>
      </c>
      <c r="O126" s="36" t="n">
        <v>2</v>
      </c>
      <c r="P126" s="36" t="n">
        <v>1</v>
      </c>
      <c r="Q126" s="36" t="n">
        <v>0</v>
      </c>
      <c r="R126" s="28" t="n">
        <v>4</v>
      </c>
      <c r="S126" s="36" t="n">
        <v>1</v>
      </c>
      <c r="T126" s="36" t="n">
        <v>3</v>
      </c>
      <c r="U126" s="36" t="n">
        <v>9.33</v>
      </c>
      <c r="V126" s="36" t="n">
        <v>9.699999999999999</v>
      </c>
      <c r="W126" s="36" t="n">
        <v>4.78</v>
      </c>
      <c r="X126" s="36" t="n">
        <v>2.73</v>
      </c>
      <c r="Y126" s="28" t="n">
        <v>6.6</v>
      </c>
      <c r="Z126" s="36" t="n">
        <v>5</v>
      </c>
      <c r="AA126" s="36" t="n">
        <v>4.7</v>
      </c>
      <c r="AB126" s="36" t="n">
        <v>5</v>
      </c>
      <c r="AC126" s="36" t="n">
        <v>5.61</v>
      </c>
      <c r="AD126" s="36" t="n">
        <v>6.07</v>
      </c>
      <c r="AE126" s="36" t="n">
        <v>3.11</v>
      </c>
      <c r="AF126" s="28" t="n">
        <v>6.14</v>
      </c>
      <c r="AG126" s="36" t="n">
        <v>4.62</v>
      </c>
      <c r="AH126" s="37" t="n">
        <v>4.47</v>
      </c>
      <c r="AI126" s="37" t="n">
        <v>5.23</v>
      </c>
      <c r="AJ126" s="37" t="n">
        <v>5.31</v>
      </c>
      <c r="AK126" s="37" t="n">
        <v>5.16</v>
      </c>
      <c r="AL126" s="37" t="n">
        <v>2.73</v>
      </c>
      <c r="AM126" s="37" t="n">
        <v>6.14</v>
      </c>
      <c r="AN126" s="37" t="n">
        <v>4.55</v>
      </c>
      <c r="AO126" s="37" t="n">
        <v>4.62</v>
      </c>
      <c r="AP126" s="37" t="n">
        <v>4.62</v>
      </c>
      <c r="AQ126" s="37" t="n">
        <v>4.85</v>
      </c>
      <c r="AR126" s="37" t="n">
        <v>4.7</v>
      </c>
      <c r="AS126" s="37" t="n">
        <v>2.73</v>
      </c>
      <c r="AT126" s="37" t="n">
        <v>6.6</v>
      </c>
      <c r="AU126" s="37" t="n">
        <v>5.16</v>
      </c>
      <c r="AV126" s="37" t="n">
        <v>4.47</v>
      </c>
      <c r="AW126" s="37" t="n">
        <v>4.55</v>
      </c>
      <c r="AX126" s="37" t="n">
        <v>4.78</v>
      </c>
      <c r="AY126" s="37" t="n">
        <v>4.7</v>
      </c>
      <c r="AZ126" s="37" t="n">
        <v>2.73</v>
      </c>
      <c r="BA126" s="37" t="n">
        <v>5.46</v>
      </c>
      <c r="BB126" s="37" t="n">
        <v>1.29</v>
      </c>
      <c r="BC126" s="37" t="n">
        <v>0.61</v>
      </c>
      <c r="BD126" s="37" t="n">
        <v>1.06</v>
      </c>
      <c r="BE126" s="37" t="n">
        <v>1.29</v>
      </c>
      <c r="BF126" s="37" t="n">
        <v>1.29</v>
      </c>
      <c r="BG126" s="37" t="n">
        <v>0.76</v>
      </c>
      <c r="BH126" s="37" t="n">
        <v>1.97</v>
      </c>
      <c r="BI126" s="37" t="n">
        <v>1.29</v>
      </c>
      <c r="BJ126" s="37" t="n">
        <v>1.44</v>
      </c>
      <c r="BK126" s="37" t="n">
        <v>1.29</v>
      </c>
      <c r="BL126" s="37" t="n">
        <v>1.29</v>
      </c>
      <c r="BM126" s="37" t="n">
        <v>1.29</v>
      </c>
      <c r="BN126" s="37" t="n">
        <v>0.83</v>
      </c>
      <c r="BO126" s="37" t="n">
        <v>2.05</v>
      </c>
      <c r="BP126" s="37" t="n">
        <v>1.67</v>
      </c>
      <c r="BQ126" s="37" t="n">
        <v>1.29</v>
      </c>
      <c r="BR126" s="37" t="n">
        <v>1.29</v>
      </c>
      <c r="BS126" s="37" t="n">
        <v>1.29</v>
      </c>
      <c r="BT126" s="37" t="n">
        <v>1.29</v>
      </c>
      <c r="BU126" s="37" t="n">
        <v>0.68</v>
      </c>
      <c r="BV126" s="37" t="n">
        <v>1.67</v>
      </c>
      <c r="BW126" s="37" t="n">
        <v>1.29</v>
      </c>
      <c r="BX126" s="37" t="n">
        <v>1.29</v>
      </c>
      <c r="BY126" s="37" t="n">
        <v>1.29</v>
      </c>
      <c r="BZ126" s="37" t="n">
        <v>1.29</v>
      </c>
      <c r="CA126" s="37" t="n">
        <v>1.29</v>
      </c>
      <c r="CB126" s="37" t="n">
        <v>0.68</v>
      </c>
      <c r="CC126" s="37" t="n">
        <v>233.0099999999999</v>
      </c>
    </row>
    <row r="127" ht="15.75" customHeight="1" s="57">
      <c r="A127" s="7" t="inlineStr">
        <is>
          <t>NTB</t>
        </is>
      </c>
      <c r="B127" s="7" t="inlineStr">
        <is>
          <t>Bình Thuận</t>
        </is>
      </c>
      <c r="C127" s="7" t="n">
        <v>22549000</v>
      </c>
      <c r="D127" s="7" t="inlineStr">
        <is>
          <t>(BTH) Phan Rí Cửa</t>
        </is>
      </c>
      <c r="E127" s="7" t="inlineStr">
        <is>
          <t>SME</t>
        </is>
      </c>
      <c r="F127" s="36" t="n">
        <v>171</v>
      </c>
      <c r="G127" s="36" t="n">
        <v>204</v>
      </c>
      <c r="H127" s="36" t="n">
        <v>216</v>
      </c>
      <c r="I127" s="36" t="n">
        <v>201</v>
      </c>
      <c r="J127" s="36" t="n">
        <v>217</v>
      </c>
      <c r="K127" s="28" t="n">
        <v>160</v>
      </c>
      <c r="L127" s="36" t="n">
        <v>150</v>
      </c>
      <c r="M127" s="36" t="n">
        <v>195</v>
      </c>
      <c r="N127" s="36" t="n">
        <v>199</v>
      </c>
      <c r="O127" s="36" t="n">
        <v>219</v>
      </c>
      <c r="P127" s="36" t="n">
        <v>197</v>
      </c>
      <c r="Q127" s="36" t="n">
        <v>176</v>
      </c>
      <c r="R127" s="28" t="n">
        <v>132</v>
      </c>
      <c r="S127" s="36" t="n">
        <v>194</v>
      </c>
      <c r="T127" s="36" t="n">
        <v>152</v>
      </c>
      <c r="U127" s="36" t="n">
        <v>220.39</v>
      </c>
      <c r="V127" s="36" t="n">
        <v>228.19</v>
      </c>
      <c r="W127" s="36" t="n">
        <v>221.85</v>
      </c>
      <c r="X127" s="36" t="n">
        <v>181.6</v>
      </c>
      <c r="Y127" s="28" t="n">
        <v>246.06</v>
      </c>
      <c r="Z127" s="36" t="n">
        <v>226.47</v>
      </c>
      <c r="AA127" s="36" t="n">
        <v>221.08</v>
      </c>
      <c r="AB127" s="36" t="n">
        <v>220.39</v>
      </c>
      <c r="AC127" s="36" t="n">
        <v>228.19</v>
      </c>
      <c r="AD127" s="36" t="n">
        <v>233.24</v>
      </c>
      <c r="AE127" s="36" t="n">
        <v>181.6</v>
      </c>
      <c r="AF127" s="28" t="n">
        <v>246.06</v>
      </c>
      <c r="AG127" s="36" t="n">
        <v>226.47</v>
      </c>
      <c r="AH127" s="37" t="n">
        <v>221.08</v>
      </c>
      <c r="AI127" s="37" t="n">
        <v>220.39</v>
      </c>
      <c r="AJ127" s="37" t="n">
        <v>228.19</v>
      </c>
      <c r="AK127" s="37" t="n">
        <v>221.85</v>
      </c>
      <c r="AL127" s="37" t="n">
        <v>181.6</v>
      </c>
      <c r="AM127" s="37" t="n">
        <v>246.06</v>
      </c>
      <c r="AN127" s="37" t="n">
        <v>226.47</v>
      </c>
      <c r="AO127" s="37" t="n">
        <v>221.08</v>
      </c>
      <c r="AP127" s="37" t="n">
        <v>220.39</v>
      </c>
      <c r="AQ127" s="37" t="n">
        <v>228.19</v>
      </c>
      <c r="AR127" s="37" t="n">
        <v>221.85</v>
      </c>
      <c r="AS127" s="37" t="n">
        <v>181.6</v>
      </c>
      <c r="AT127" s="37" t="n">
        <v>246.06</v>
      </c>
      <c r="AU127" s="37" t="n">
        <v>226.47</v>
      </c>
      <c r="AV127" s="37" t="n">
        <v>221.08</v>
      </c>
      <c r="AW127" s="37" t="n">
        <v>220.39</v>
      </c>
      <c r="AX127" s="37" t="n">
        <v>228.19</v>
      </c>
      <c r="AY127" s="37" t="n">
        <v>221.85</v>
      </c>
      <c r="AZ127" s="37" t="n">
        <v>181.6</v>
      </c>
      <c r="BA127" s="37" t="n">
        <v>221.35</v>
      </c>
      <c r="BB127" s="37" t="n">
        <v>198.02</v>
      </c>
      <c r="BC127" s="37" t="n">
        <v>125.43</v>
      </c>
      <c r="BD127" s="37" t="n">
        <v>124.97</v>
      </c>
      <c r="BE127" s="37" t="n">
        <v>211.15</v>
      </c>
      <c r="BF127" s="37" t="n">
        <v>205.52</v>
      </c>
      <c r="BG127" s="37" t="n">
        <v>187.23</v>
      </c>
      <c r="BH127" s="37" t="n">
        <v>253.72</v>
      </c>
      <c r="BI127" s="37" t="n">
        <v>233.49</v>
      </c>
      <c r="BJ127" s="37" t="n">
        <v>239.34</v>
      </c>
      <c r="BK127" s="37" t="n">
        <v>227.06</v>
      </c>
      <c r="BL127" s="37" t="n">
        <v>235.29</v>
      </c>
      <c r="BM127" s="37" t="n">
        <v>228.52</v>
      </c>
      <c r="BN127" s="37" t="n">
        <v>187.23</v>
      </c>
      <c r="BO127" s="37" t="n">
        <v>253.72</v>
      </c>
      <c r="BP127" s="37" t="n">
        <v>233.49</v>
      </c>
      <c r="BQ127" s="37" t="n">
        <v>227.8</v>
      </c>
      <c r="BR127" s="37" t="n">
        <v>227.06</v>
      </c>
      <c r="BS127" s="37" t="n">
        <v>235.29</v>
      </c>
      <c r="BT127" s="37" t="n">
        <v>228.52</v>
      </c>
      <c r="BU127" s="37" t="n">
        <v>187.23</v>
      </c>
      <c r="BV127" s="37" t="n">
        <v>253.72</v>
      </c>
      <c r="BW127" s="37" t="n">
        <v>233.49</v>
      </c>
      <c r="BX127" s="37" t="n">
        <v>227.8</v>
      </c>
      <c r="BY127" s="37" t="n">
        <v>227.06</v>
      </c>
      <c r="BZ127" s="37" t="n">
        <v>235.29</v>
      </c>
      <c r="CA127" s="37" t="n">
        <v>228.52</v>
      </c>
      <c r="CB127" s="37" t="n">
        <v>187.23</v>
      </c>
      <c r="CC127" s="37" t="n">
        <v>15893.52</v>
      </c>
    </row>
    <row r="128" ht="15.75" customHeight="1" s="57">
      <c r="A128" s="7" t="inlineStr">
        <is>
          <t>NTB</t>
        </is>
      </c>
      <c r="B128" s="7" t="inlineStr">
        <is>
          <t>Bình Thuận</t>
        </is>
      </c>
      <c r="C128" s="7" t="n">
        <v>22549000</v>
      </c>
      <c r="D128" s="7" t="inlineStr">
        <is>
          <t>(BTH) Phan Rí Cửa</t>
        </is>
      </c>
      <c r="E128" s="7" t="inlineStr">
        <is>
          <t>SME-Bulky</t>
        </is>
      </c>
      <c r="F128" s="36" t="n">
        <v>12</v>
      </c>
      <c r="G128" s="36" t="n">
        <v>18</v>
      </c>
      <c r="H128" s="36" t="n">
        <v>16</v>
      </c>
      <c r="I128" s="36" t="n">
        <v>14</v>
      </c>
      <c r="J128" s="36" t="n">
        <v>15</v>
      </c>
      <c r="K128" s="28" t="n">
        <v>4</v>
      </c>
      <c r="L128" s="36" t="n">
        <v>3</v>
      </c>
      <c r="M128" s="36" t="n">
        <v>9</v>
      </c>
      <c r="N128" s="36" t="n">
        <v>11</v>
      </c>
      <c r="O128" s="36" t="n">
        <v>5</v>
      </c>
      <c r="P128" s="36" t="n">
        <v>41</v>
      </c>
      <c r="Q128" s="36" t="n">
        <v>11</v>
      </c>
      <c r="R128" s="28" t="n">
        <v>16</v>
      </c>
      <c r="S128" s="36" t="n">
        <v>9</v>
      </c>
      <c r="T128" s="36" t="n">
        <v>8</v>
      </c>
      <c r="U128" s="36" t="n">
        <v>15.08</v>
      </c>
      <c r="V128" s="36" t="n">
        <v>15.13</v>
      </c>
      <c r="W128" s="36" t="n">
        <v>14.03</v>
      </c>
      <c r="X128" s="36" t="n">
        <v>9.859999999999999</v>
      </c>
      <c r="Y128" s="28" t="n">
        <v>16.85</v>
      </c>
      <c r="Z128" s="36" t="n">
        <v>16.38</v>
      </c>
      <c r="AA128" s="36" t="n">
        <v>15.96</v>
      </c>
      <c r="AB128" s="36" t="n">
        <v>15.08</v>
      </c>
      <c r="AC128" s="36" t="n">
        <v>15.13</v>
      </c>
      <c r="AD128" s="36" t="n">
        <v>16.02</v>
      </c>
      <c r="AE128" s="36" t="n">
        <v>9.859999999999999</v>
      </c>
      <c r="AF128" s="28" t="n">
        <v>16.85</v>
      </c>
      <c r="AG128" s="36" t="n">
        <v>16.38</v>
      </c>
      <c r="AH128" s="37" t="n">
        <v>15.96</v>
      </c>
      <c r="AI128" s="37" t="n">
        <v>15.08</v>
      </c>
      <c r="AJ128" s="37" t="n">
        <v>15.13</v>
      </c>
      <c r="AK128" s="37" t="n">
        <v>14.03</v>
      </c>
      <c r="AL128" s="37" t="n">
        <v>9.859999999999999</v>
      </c>
      <c r="AM128" s="37" t="n">
        <v>16.85</v>
      </c>
      <c r="AN128" s="37" t="n">
        <v>16.38</v>
      </c>
      <c r="AO128" s="37" t="n">
        <v>15.96</v>
      </c>
      <c r="AP128" s="37" t="n">
        <v>15.08</v>
      </c>
      <c r="AQ128" s="37" t="n">
        <v>15.13</v>
      </c>
      <c r="AR128" s="37" t="n">
        <v>14.03</v>
      </c>
      <c r="AS128" s="37" t="n">
        <v>9.859999999999999</v>
      </c>
      <c r="AT128" s="37" t="n">
        <v>16.85</v>
      </c>
      <c r="AU128" s="37" t="n">
        <v>16.38</v>
      </c>
      <c r="AV128" s="37" t="n">
        <v>15.96</v>
      </c>
      <c r="AW128" s="37" t="n">
        <v>15.08</v>
      </c>
      <c r="AX128" s="37" t="n">
        <v>15.13</v>
      </c>
      <c r="AY128" s="37" t="n">
        <v>14.03</v>
      </c>
      <c r="AZ128" s="37" t="n">
        <v>9.859999999999999</v>
      </c>
      <c r="BA128" s="37" t="n">
        <v>16.9</v>
      </c>
      <c r="BB128" s="37" t="n">
        <v>8.869999999999999</v>
      </c>
      <c r="BC128" s="37" t="n">
        <v>4.75</v>
      </c>
      <c r="BD128" s="37" t="n">
        <v>4.28</v>
      </c>
      <c r="BE128" s="37" t="n">
        <v>7.72</v>
      </c>
      <c r="BF128" s="37" t="n">
        <v>7.41</v>
      </c>
      <c r="BG128" s="37" t="n">
        <v>5.79</v>
      </c>
      <c r="BH128" s="37" t="n">
        <v>9.81</v>
      </c>
      <c r="BI128" s="37" t="n">
        <v>9.81</v>
      </c>
      <c r="BJ128" s="37" t="n">
        <v>10.12</v>
      </c>
      <c r="BK128" s="37" t="n">
        <v>8.92</v>
      </c>
      <c r="BL128" s="37" t="n">
        <v>9.029999999999999</v>
      </c>
      <c r="BM128" s="37" t="n">
        <v>8.35</v>
      </c>
      <c r="BN128" s="37" t="n">
        <v>5.79</v>
      </c>
      <c r="BO128" s="37" t="n">
        <v>9.81</v>
      </c>
      <c r="BP128" s="37" t="n">
        <v>9.81</v>
      </c>
      <c r="BQ128" s="37" t="n">
        <v>9.23</v>
      </c>
      <c r="BR128" s="37" t="n">
        <v>8.92</v>
      </c>
      <c r="BS128" s="37" t="n">
        <v>9.029999999999999</v>
      </c>
      <c r="BT128" s="37" t="n">
        <v>8.35</v>
      </c>
      <c r="BU128" s="37" t="n">
        <v>5.79</v>
      </c>
      <c r="BV128" s="37" t="n">
        <v>9.81</v>
      </c>
      <c r="BW128" s="37" t="n">
        <v>9.81</v>
      </c>
      <c r="BX128" s="37" t="n">
        <v>9.23</v>
      </c>
      <c r="BY128" s="37" t="n">
        <v>8.92</v>
      </c>
      <c r="BZ128" s="37" t="n">
        <v>9.029999999999999</v>
      </c>
      <c r="CA128" s="37" t="n">
        <v>8.35</v>
      </c>
      <c r="CB128" s="37" t="n">
        <v>5.79</v>
      </c>
      <c r="CC128" s="37" t="n">
        <v>900.6799999999994</v>
      </c>
    </row>
    <row r="129" ht="15.75" customHeight="1" s="57">
      <c r="A129" s="7" t="inlineStr">
        <is>
          <t>NTB</t>
        </is>
      </c>
      <c r="B129" s="7" t="inlineStr">
        <is>
          <t>Bình Thuận</t>
        </is>
      </c>
      <c r="C129" s="7" t="n">
        <v>22549000</v>
      </c>
      <c r="D129" s="7" t="inlineStr">
        <is>
          <t>(BTH) Phan Rí Cửa</t>
        </is>
      </c>
      <c r="E129" s="7" t="inlineStr">
        <is>
          <t>Shopee</t>
        </is>
      </c>
      <c r="F129" s="36" t="n">
        <v>190</v>
      </c>
      <c r="G129" s="36" t="n">
        <v>157</v>
      </c>
      <c r="H129" s="36" t="n">
        <v>209</v>
      </c>
      <c r="I129" s="36" t="n">
        <v>207</v>
      </c>
      <c r="J129" s="36" t="n">
        <v>165</v>
      </c>
      <c r="K129" s="28" t="n">
        <v>109</v>
      </c>
      <c r="L129" s="36" t="n">
        <v>175</v>
      </c>
      <c r="M129" s="36" t="n">
        <v>182</v>
      </c>
      <c r="N129" s="36" t="n">
        <v>240</v>
      </c>
      <c r="O129" s="36" t="n">
        <v>219</v>
      </c>
      <c r="P129" s="36" t="n">
        <v>147</v>
      </c>
      <c r="Q129" s="36" t="n">
        <v>150</v>
      </c>
      <c r="R129" s="28" t="n">
        <v>103</v>
      </c>
      <c r="S129" s="36" t="n">
        <v>174</v>
      </c>
      <c r="T129" s="36" t="n">
        <v>145</v>
      </c>
      <c r="U129" s="36" t="n">
        <v>177.1</v>
      </c>
      <c r="V129" s="36" t="n">
        <v>177.84</v>
      </c>
      <c r="W129" s="36" t="n">
        <v>175.21</v>
      </c>
      <c r="X129" s="36" t="n">
        <v>142.54</v>
      </c>
      <c r="Y129" s="28" t="n">
        <v>238.65</v>
      </c>
      <c r="Z129" s="36" t="n">
        <v>188.84</v>
      </c>
      <c r="AA129" s="36" t="n">
        <v>259.63</v>
      </c>
      <c r="AB129" s="36" t="n">
        <v>180.75</v>
      </c>
      <c r="AC129" s="36" t="n">
        <v>146.01</v>
      </c>
      <c r="AD129" s="36" t="n">
        <v>396.81</v>
      </c>
      <c r="AE129" s="36" t="n">
        <v>152.57</v>
      </c>
      <c r="AF129" s="28" t="n">
        <v>271.96</v>
      </c>
      <c r="AG129" s="36" t="n">
        <v>198.31</v>
      </c>
      <c r="AH129" s="37" t="n">
        <v>209.54</v>
      </c>
      <c r="AI129" s="37" t="n">
        <v>177.1</v>
      </c>
      <c r="AJ129" s="37" t="n">
        <v>177.84</v>
      </c>
      <c r="AK129" s="37" t="n">
        <v>236.43</v>
      </c>
      <c r="AL129" s="37" t="n">
        <v>255.84</v>
      </c>
      <c r="AM129" s="37" t="n">
        <v>238.65</v>
      </c>
      <c r="AN129" s="37" t="n">
        <v>188.84</v>
      </c>
      <c r="AO129" s="37" t="n">
        <v>209.54</v>
      </c>
      <c r="AP129" s="37" t="n">
        <v>221.14</v>
      </c>
      <c r="AQ129" s="37" t="n">
        <v>142.68</v>
      </c>
      <c r="AR129" s="37" t="n">
        <v>175.21</v>
      </c>
      <c r="AS129" s="37" t="n">
        <v>142.54</v>
      </c>
      <c r="AT129" s="37" t="n">
        <v>238.65</v>
      </c>
      <c r="AU129" s="37" t="n">
        <v>192.72</v>
      </c>
      <c r="AV129" s="37" t="n">
        <v>213.51</v>
      </c>
      <c r="AW129" s="37" t="n">
        <v>177.1</v>
      </c>
      <c r="AX129" s="37" t="n">
        <v>177.84</v>
      </c>
      <c r="AY129" s="37" t="n">
        <v>175.21</v>
      </c>
      <c r="AZ129" s="37" t="n">
        <v>142.54</v>
      </c>
      <c r="BA129" s="37" t="n">
        <v>183.94</v>
      </c>
      <c r="BB129" s="37" t="n">
        <v>160.28</v>
      </c>
      <c r="BC129" s="37" t="n">
        <v>81.73999999999999</v>
      </c>
      <c r="BD129" s="37" t="n">
        <v>144.9</v>
      </c>
      <c r="BE129" s="37" t="n">
        <v>169.48</v>
      </c>
      <c r="BF129" s="37" t="n">
        <v>166.94</v>
      </c>
      <c r="BG129" s="37" t="n">
        <v>138.43</v>
      </c>
      <c r="BH129" s="37" t="n">
        <v>227.14</v>
      </c>
      <c r="BI129" s="37" t="n">
        <v>147.39</v>
      </c>
      <c r="BJ129" s="37" t="n">
        <v>563.24</v>
      </c>
      <c r="BK129" s="37" t="n">
        <v>180.57</v>
      </c>
      <c r="BL129" s="37" t="n">
        <v>177.84</v>
      </c>
      <c r="BM129" s="37" t="n">
        <v>166.94</v>
      </c>
      <c r="BN129" s="37" t="n">
        <v>135.75</v>
      </c>
      <c r="BO129" s="37" t="n">
        <v>227.14</v>
      </c>
      <c r="BP129" s="37" t="n">
        <v>242.81</v>
      </c>
      <c r="BQ129" s="37" t="n">
        <v>358.18</v>
      </c>
      <c r="BR129" s="37" t="n">
        <v>168.74</v>
      </c>
      <c r="BS129" s="37" t="n">
        <v>169.48</v>
      </c>
      <c r="BT129" s="37" t="n">
        <v>166.94</v>
      </c>
      <c r="BU129" s="37" t="n">
        <v>169.66</v>
      </c>
      <c r="BV129" s="37" t="n">
        <v>182.09</v>
      </c>
      <c r="BW129" s="37" t="n">
        <v>179.92</v>
      </c>
      <c r="BX129" s="37" t="n">
        <v>199.7</v>
      </c>
      <c r="BY129" s="37" t="n">
        <v>168.74</v>
      </c>
      <c r="BZ129" s="37" t="n">
        <v>172.85</v>
      </c>
      <c r="CA129" s="37" t="n">
        <v>170.31</v>
      </c>
      <c r="CB129" s="37" t="n">
        <v>135.75</v>
      </c>
      <c r="CC129" s="37" t="n">
        <v>14328.03</v>
      </c>
    </row>
    <row r="130" ht="15.75" customHeight="1" s="57">
      <c r="A130" s="7" t="inlineStr">
        <is>
          <t>NTB</t>
        </is>
      </c>
      <c r="B130" s="7" t="inlineStr">
        <is>
          <t>Bình Thuận</t>
        </is>
      </c>
      <c r="C130" s="7" t="n">
        <v>22549000</v>
      </c>
      <c r="D130" s="7" t="inlineStr">
        <is>
          <t>(BTH) Phan Rí Cửa</t>
        </is>
      </c>
      <c r="E130" s="7" t="inlineStr">
        <is>
          <t>Shopee-Bulky</t>
        </is>
      </c>
      <c r="F130" s="36" t="n">
        <v>12.66</v>
      </c>
      <c r="G130" s="36" t="n">
        <v>15.33</v>
      </c>
      <c r="H130" s="36" t="n">
        <v>16.66</v>
      </c>
      <c r="I130" s="36" t="n">
        <v>15.33</v>
      </c>
      <c r="J130" s="36" t="n">
        <v>8.66</v>
      </c>
      <c r="K130" s="28" t="n">
        <v>4.67</v>
      </c>
      <c r="L130" s="36" t="n">
        <v>7.33</v>
      </c>
      <c r="M130" s="36" t="n">
        <v>21.33</v>
      </c>
      <c r="N130" s="36" t="n">
        <v>10.66</v>
      </c>
      <c r="O130" s="36" t="n">
        <v>11.33</v>
      </c>
      <c r="P130" s="36" t="n">
        <v>10</v>
      </c>
      <c r="Q130" s="36" t="n">
        <v>12.66</v>
      </c>
      <c r="R130" s="28" t="n">
        <v>21.99</v>
      </c>
      <c r="S130" s="36" t="n">
        <v>15.33</v>
      </c>
      <c r="T130" s="36" t="n">
        <v>19.99</v>
      </c>
      <c r="U130" s="36" t="n">
        <v>13.97</v>
      </c>
      <c r="V130" s="36" t="n">
        <v>13.49</v>
      </c>
      <c r="W130" s="36" t="n">
        <v>18.83</v>
      </c>
      <c r="X130" s="36" t="n">
        <v>10.75</v>
      </c>
      <c r="Y130" s="28" t="n">
        <v>20.59</v>
      </c>
      <c r="Z130" s="36" t="n">
        <v>16.24</v>
      </c>
      <c r="AA130" s="36" t="n">
        <v>15.74</v>
      </c>
      <c r="AB130" s="36" t="n">
        <v>16.05</v>
      </c>
      <c r="AC130" s="36" t="n">
        <v>16.58</v>
      </c>
      <c r="AD130" s="36" t="n">
        <v>51.91</v>
      </c>
      <c r="AE130" s="36" t="n">
        <v>27.09</v>
      </c>
      <c r="AF130" s="28" t="n">
        <v>40.32</v>
      </c>
      <c r="AG130" s="36" t="n">
        <v>23.13</v>
      </c>
      <c r="AH130" s="37" t="n">
        <v>16.11</v>
      </c>
      <c r="AI130" s="37" t="n">
        <v>15.84</v>
      </c>
      <c r="AJ130" s="37" t="n">
        <v>15.13</v>
      </c>
      <c r="AK130" s="37" t="n">
        <v>34.38</v>
      </c>
      <c r="AL130" s="37" t="n">
        <v>17.58</v>
      </c>
      <c r="AM130" s="37" t="n">
        <v>25.48</v>
      </c>
      <c r="AN130" s="37" t="n">
        <v>15.95</v>
      </c>
      <c r="AO130" s="37" t="n">
        <v>15.42</v>
      </c>
      <c r="AP130" s="37" t="n">
        <v>21.04</v>
      </c>
      <c r="AQ130" s="37" t="n">
        <v>21.12</v>
      </c>
      <c r="AR130" s="37" t="n">
        <v>17.11</v>
      </c>
      <c r="AS130" s="37" t="n">
        <v>9.48</v>
      </c>
      <c r="AT130" s="37" t="n">
        <v>18.93</v>
      </c>
      <c r="AU130" s="37" t="n">
        <v>30.76</v>
      </c>
      <c r="AV130" s="37" t="n">
        <v>32.56</v>
      </c>
      <c r="AW130" s="37" t="n">
        <v>15.6</v>
      </c>
      <c r="AX130" s="37" t="n">
        <v>14.57</v>
      </c>
      <c r="AY130" s="37" t="n">
        <v>16.45</v>
      </c>
      <c r="AZ130" s="37" t="n">
        <v>9.08</v>
      </c>
      <c r="BA130" s="37" t="n">
        <v>17.37</v>
      </c>
      <c r="BB130" s="37" t="n">
        <v>16.11</v>
      </c>
      <c r="BC130" s="37" t="n">
        <v>5.33</v>
      </c>
      <c r="BD130" s="37" t="n">
        <v>13.65</v>
      </c>
      <c r="BE130" s="37" t="n">
        <v>16.79</v>
      </c>
      <c r="BF130" s="37" t="n">
        <v>14.73</v>
      </c>
      <c r="BG130" s="37" t="n">
        <v>12.25</v>
      </c>
      <c r="BH130" s="37" t="n">
        <v>22.15</v>
      </c>
      <c r="BI130" s="37" t="n">
        <v>18.9</v>
      </c>
      <c r="BJ130" s="37" t="n">
        <v>81.73999999999999</v>
      </c>
      <c r="BK130" s="37" t="n">
        <v>39.87</v>
      </c>
      <c r="BL130" s="37" t="n">
        <v>20.88</v>
      </c>
      <c r="BM130" s="37" t="n">
        <v>15.45</v>
      </c>
      <c r="BN130" s="37" t="n">
        <v>11.86</v>
      </c>
      <c r="BO130" s="37" t="n">
        <v>25.35</v>
      </c>
      <c r="BP130" s="37" t="n">
        <v>37.39</v>
      </c>
      <c r="BQ130" s="37" t="n">
        <v>26.77</v>
      </c>
      <c r="BR130" s="37" t="n">
        <v>17.82</v>
      </c>
      <c r="BS130" s="37" t="n">
        <v>16.79</v>
      </c>
      <c r="BT130" s="37" t="n">
        <v>14.73</v>
      </c>
      <c r="BU130" s="37" t="n">
        <v>17.14</v>
      </c>
      <c r="BV130" s="37" t="n">
        <v>23.31</v>
      </c>
      <c r="BW130" s="37" t="n">
        <v>18.9</v>
      </c>
      <c r="BX130" s="37" t="n">
        <v>18.11</v>
      </c>
      <c r="BY130" s="37" t="n">
        <v>17.82</v>
      </c>
      <c r="BZ130" s="37" t="n">
        <v>30.21</v>
      </c>
      <c r="CA130" s="37" t="n">
        <v>17.66</v>
      </c>
      <c r="CB130" s="37" t="n">
        <v>11.75</v>
      </c>
      <c r="CC130" s="37" t="n">
        <v>1452.04</v>
      </c>
    </row>
    <row r="131" ht="15.75" customHeight="1" s="57">
      <c r="A131" s="7" t="inlineStr">
        <is>
          <t>NTB</t>
        </is>
      </c>
      <c r="B131" s="7" t="inlineStr">
        <is>
          <t>Bình Thuận</t>
        </is>
      </c>
      <c r="C131" s="7" t="n">
        <v>22549000</v>
      </c>
      <c r="D131" s="7" t="inlineStr">
        <is>
          <t>(BTH) Phan Rí Cửa</t>
        </is>
      </c>
      <c r="E131" s="7" t="inlineStr">
        <is>
          <t>Shopee-Bulky (10-15kg)</t>
        </is>
      </c>
      <c r="F131" s="36" t="n">
        <v>6.34</v>
      </c>
      <c r="G131" s="36" t="n">
        <v>7.67</v>
      </c>
      <c r="H131" s="36" t="n">
        <v>8.34</v>
      </c>
      <c r="I131" s="36" t="n">
        <v>7.67</v>
      </c>
      <c r="J131" s="36" t="n">
        <v>4.34</v>
      </c>
      <c r="K131" s="28" t="n">
        <v>2.33</v>
      </c>
      <c r="L131" s="36" t="n">
        <v>3.67</v>
      </c>
      <c r="M131" s="36" t="n">
        <v>10.67</v>
      </c>
      <c r="N131" s="36" t="n">
        <v>5.34</v>
      </c>
      <c r="O131" s="36" t="n">
        <v>5.67</v>
      </c>
      <c r="P131" s="36" t="n">
        <v>5</v>
      </c>
      <c r="Q131" s="36" t="n">
        <v>6.34</v>
      </c>
      <c r="R131" s="28" t="n">
        <v>11.01</v>
      </c>
      <c r="S131" s="36" t="n">
        <v>7.67</v>
      </c>
      <c r="T131" s="36" t="n">
        <v>10.01</v>
      </c>
      <c r="U131" s="36" t="n">
        <v>7.21</v>
      </c>
      <c r="V131" s="36" t="n">
        <v>7</v>
      </c>
      <c r="W131" s="36" t="n">
        <v>9.43</v>
      </c>
      <c r="X131" s="36" t="n">
        <v>5.12</v>
      </c>
      <c r="Y131" s="28" t="n">
        <v>10.19</v>
      </c>
      <c r="Z131" s="36" t="n">
        <v>8.029999999999999</v>
      </c>
      <c r="AA131" s="36" t="n">
        <v>7.82</v>
      </c>
      <c r="AB131" s="36" t="n">
        <v>7.95</v>
      </c>
      <c r="AC131" s="36" t="n">
        <v>8.24</v>
      </c>
      <c r="AD131" s="36" t="n">
        <v>33.61</v>
      </c>
      <c r="AE131" s="36" t="n">
        <v>13.47</v>
      </c>
      <c r="AF131" s="28" t="n">
        <v>18.93</v>
      </c>
      <c r="AG131" s="36" t="n">
        <v>11.49</v>
      </c>
      <c r="AH131" s="37" t="n">
        <v>7.92</v>
      </c>
      <c r="AI131" s="37" t="n">
        <v>7.66</v>
      </c>
      <c r="AJ131" s="37" t="n">
        <v>7.5</v>
      </c>
      <c r="AK131" s="37" t="n">
        <v>17.53</v>
      </c>
      <c r="AL131" s="37" t="n">
        <v>8.550000000000001</v>
      </c>
      <c r="AM131" s="37" t="n">
        <v>12.44</v>
      </c>
      <c r="AN131" s="37" t="n">
        <v>7.92</v>
      </c>
      <c r="AO131" s="37" t="n">
        <v>7.55</v>
      </c>
      <c r="AP131" s="37" t="n">
        <v>10.22</v>
      </c>
      <c r="AQ131" s="37" t="n">
        <v>10.24</v>
      </c>
      <c r="AR131" s="37" t="n">
        <v>8.5</v>
      </c>
      <c r="AS131" s="37" t="n">
        <v>4.54</v>
      </c>
      <c r="AT131" s="37" t="n">
        <v>9.210000000000001</v>
      </c>
      <c r="AU131" s="37" t="n">
        <v>15.76</v>
      </c>
      <c r="AV131" s="37" t="n">
        <v>15.76</v>
      </c>
      <c r="AW131" s="37" t="n">
        <v>7.58</v>
      </c>
      <c r="AX131" s="37" t="n">
        <v>7.13</v>
      </c>
      <c r="AY131" s="37" t="n">
        <v>8.130000000000001</v>
      </c>
      <c r="AZ131" s="37" t="n">
        <v>4.36</v>
      </c>
      <c r="BA131" s="37" t="n">
        <v>8.449999999999999</v>
      </c>
      <c r="BB131" s="37" t="n">
        <v>8.08</v>
      </c>
      <c r="BC131" s="37" t="n">
        <v>2.8</v>
      </c>
      <c r="BD131" s="37" t="n">
        <v>6.89</v>
      </c>
      <c r="BE131" s="37" t="n">
        <v>8.34</v>
      </c>
      <c r="BF131" s="37" t="n">
        <v>7.47</v>
      </c>
      <c r="BG131" s="37" t="n">
        <v>5.97</v>
      </c>
      <c r="BH131" s="37" t="n">
        <v>10.96</v>
      </c>
      <c r="BI131" s="37" t="n">
        <v>9.43</v>
      </c>
      <c r="BJ131" s="37" t="n">
        <v>46.55</v>
      </c>
      <c r="BK131" s="37" t="n">
        <v>19.86</v>
      </c>
      <c r="BL131" s="37" t="n">
        <v>10.14</v>
      </c>
      <c r="BM131" s="37" t="n">
        <v>7.76</v>
      </c>
      <c r="BN131" s="37" t="n">
        <v>5.97</v>
      </c>
      <c r="BO131" s="37" t="n">
        <v>13.04</v>
      </c>
      <c r="BP131" s="37" t="n">
        <v>18.72</v>
      </c>
      <c r="BQ131" s="37" t="n">
        <v>13.73</v>
      </c>
      <c r="BR131" s="37" t="n">
        <v>8.85</v>
      </c>
      <c r="BS131" s="37" t="n">
        <v>8.34</v>
      </c>
      <c r="BT131" s="37" t="n">
        <v>7.47</v>
      </c>
      <c r="BU131" s="37" t="n">
        <v>8.449999999999999</v>
      </c>
      <c r="BV131" s="37" t="n">
        <v>11.91</v>
      </c>
      <c r="BW131" s="37" t="n">
        <v>9.43</v>
      </c>
      <c r="BX131" s="37" t="n">
        <v>9</v>
      </c>
      <c r="BY131" s="37" t="n">
        <v>8.85</v>
      </c>
      <c r="BZ131" s="37" t="n">
        <v>15.18</v>
      </c>
      <c r="CA131" s="37" t="n">
        <v>8.82</v>
      </c>
      <c r="CB131" s="37" t="n">
        <v>5.65</v>
      </c>
      <c r="CC131" s="37" t="n">
        <v>735.1700000000002</v>
      </c>
    </row>
    <row r="132" ht="15.75" customHeight="1" s="57">
      <c r="A132" s="7" t="inlineStr">
        <is>
          <t>NTB</t>
        </is>
      </c>
      <c r="B132" s="7" t="inlineStr">
        <is>
          <t>Bình Thuận</t>
        </is>
      </c>
      <c r="C132" s="7" t="n">
        <v>22549000</v>
      </c>
      <c r="D132" s="7" t="inlineStr">
        <is>
          <t>(BTH) Phan Rí Cửa</t>
        </is>
      </c>
      <c r="E132" s="7" t="inlineStr">
        <is>
          <t>TTS</t>
        </is>
      </c>
      <c r="F132" s="36" t="n">
        <v>172</v>
      </c>
      <c r="G132" s="36" t="n">
        <v>139</v>
      </c>
      <c r="H132" s="36" t="n">
        <v>175</v>
      </c>
      <c r="I132" s="36" t="n">
        <v>187</v>
      </c>
      <c r="J132" s="36" t="n">
        <v>164</v>
      </c>
      <c r="K132" s="28" t="n">
        <v>151</v>
      </c>
      <c r="L132" s="36" t="n">
        <v>155</v>
      </c>
      <c r="M132" s="36" t="n">
        <v>125</v>
      </c>
      <c r="N132" s="36" t="n">
        <v>172</v>
      </c>
      <c r="O132" s="36" t="n">
        <v>159</v>
      </c>
      <c r="P132" s="36" t="n">
        <v>141</v>
      </c>
      <c r="Q132" s="36" t="n">
        <v>152</v>
      </c>
      <c r="R132" s="28" t="n">
        <v>107</v>
      </c>
      <c r="S132" s="36" t="n">
        <v>152</v>
      </c>
      <c r="T132" s="36" t="n">
        <v>141</v>
      </c>
      <c r="U132" s="36" t="n">
        <v>116.03</v>
      </c>
      <c r="V132" s="36" t="n">
        <v>113.83</v>
      </c>
      <c r="W132" s="36" t="n">
        <v>111.15</v>
      </c>
      <c r="X132" s="36" t="n">
        <v>89.48</v>
      </c>
      <c r="Y132" s="28" t="n">
        <v>130.44</v>
      </c>
      <c r="Z132" s="36" t="n">
        <v>111</v>
      </c>
      <c r="AA132" s="36" t="n">
        <v>122.86</v>
      </c>
      <c r="AB132" s="36" t="n">
        <v>137.09</v>
      </c>
      <c r="AC132" s="36" t="n">
        <v>144.21</v>
      </c>
      <c r="AD132" s="36" t="n">
        <v>148.36</v>
      </c>
      <c r="AE132" s="36" t="n">
        <v>104</v>
      </c>
      <c r="AF132" s="28" t="n">
        <v>134.78</v>
      </c>
      <c r="AG132" s="36" t="n">
        <v>113.05</v>
      </c>
      <c r="AH132" s="37" t="n">
        <v>111.98</v>
      </c>
      <c r="AI132" s="37" t="n">
        <v>128.22</v>
      </c>
      <c r="AJ132" s="37" t="n">
        <v>138.02</v>
      </c>
      <c r="AK132" s="37" t="n">
        <v>135.58</v>
      </c>
      <c r="AL132" s="37" t="n">
        <v>96.3</v>
      </c>
      <c r="AM132" s="37" t="n">
        <v>132.69</v>
      </c>
      <c r="AN132" s="37" t="n">
        <v>114.49</v>
      </c>
      <c r="AO132" s="37" t="n">
        <v>113.74</v>
      </c>
      <c r="AP132" s="37" t="n">
        <v>110.47</v>
      </c>
      <c r="AQ132" s="37" t="n">
        <v>111.73</v>
      </c>
      <c r="AR132" s="37" t="n">
        <v>109.54</v>
      </c>
      <c r="AS132" s="37" t="n">
        <v>89.67</v>
      </c>
      <c r="AT132" s="37" t="n">
        <v>143.43</v>
      </c>
      <c r="AU132" s="37" t="n">
        <v>129.88</v>
      </c>
      <c r="AV132" s="37" t="n">
        <v>115.25</v>
      </c>
      <c r="AW132" s="37" t="n">
        <v>109.25</v>
      </c>
      <c r="AX132" s="37" t="n">
        <v>108.52</v>
      </c>
      <c r="AY132" s="37" t="n">
        <v>108.18</v>
      </c>
      <c r="AZ132" s="37" t="n">
        <v>89.77</v>
      </c>
      <c r="BA132" s="37" t="n">
        <v>129.37</v>
      </c>
      <c r="BB132" s="37" t="n">
        <v>120.76</v>
      </c>
      <c r="BC132" s="37" t="n">
        <v>72</v>
      </c>
      <c r="BD132" s="37" t="n">
        <v>104.23</v>
      </c>
      <c r="BE132" s="37" t="n">
        <v>123.1</v>
      </c>
      <c r="BF132" s="37" t="n">
        <v>119.3</v>
      </c>
      <c r="BG132" s="37" t="n">
        <v>96.5</v>
      </c>
      <c r="BH132" s="37" t="n">
        <v>143.33</v>
      </c>
      <c r="BI132" s="37" t="n">
        <v>120.76</v>
      </c>
      <c r="BJ132" s="37" t="n">
        <v>112.68</v>
      </c>
      <c r="BK132" s="37" t="n">
        <v>122.86</v>
      </c>
      <c r="BL132" s="37" t="n">
        <v>123.1</v>
      </c>
      <c r="BM132" s="37" t="n">
        <v>119.3</v>
      </c>
      <c r="BN132" s="37" t="n">
        <v>96.5</v>
      </c>
      <c r="BO132" s="37" t="n">
        <v>143.33</v>
      </c>
      <c r="BP132" s="37" t="n">
        <v>120.76</v>
      </c>
      <c r="BQ132" s="37" t="n">
        <v>119.45</v>
      </c>
      <c r="BR132" s="37" t="n">
        <v>122.86</v>
      </c>
      <c r="BS132" s="37" t="n">
        <v>123.1</v>
      </c>
      <c r="BT132" s="37" t="n">
        <v>119.3</v>
      </c>
      <c r="BU132" s="37" t="n">
        <v>96.5</v>
      </c>
      <c r="BV132" s="37" t="n">
        <v>143.33</v>
      </c>
      <c r="BW132" s="37" t="n">
        <v>120.76</v>
      </c>
      <c r="BX132" s="37" t="n">
        <v>119.45</v>
      </c>
      <c r="BY132" s="37" t="n">
        <v>122.86</v>
      </c>
      <c r="BZ132" s="37" t="n">
        <v>123.1</v>
      </c>
      <c r="CA132" s="37" t="n">
        <v>119.3</v>
      </c>
      <c r="CB132" s="37" t="n">
        <v>96.5</v>
      </c>
      <c r="CC132" s="37" t="n">
        <v>9359.380000000003</v>
      </c>
    </row>
    <row r="133" ht="15.75" customHeight="1" s="57">
      <c r="A133" s="7" t="inlineStr">
        <is>
          <t>NTB</t>
        </is>
      </c>
      <c r="B133" s="7" t="inlineStr">
        <is>
          <t>Bình Thuận</t>
        </is>
      </c>
      <c r="C133" s="7" t="n">
        <v>22549000</v>
      </c>
      <c r="D133" s="7" t="inlineStr">
        <is>
          <t>(BTH) Phan Rí Cửa</t>
        </is>
      </c>
      <c r="E133" s="7" t="inlineStr">
        <is>
          <t>TTS-Bulky</t>
        </is>
      </c>
      <c r="F133" s="36" t="n">
        <v>4</v>
      </c>
      <c r="G133" s="36" t="n">
        <v>1</v>
      </c>
      <c r="H133" s="36" t="n">
        <v>2</v>
      </c>
      <c r="I133" s="36" t="n">
        <v>1</v>
      </c>
      <c r="J133" s="36" t="n">
        <v>3</v>
      </c>
      <c r="K133" s="28" t="n">
        <v>2</v>
      </c>
      <c r="L133" s="36" t="n">
        <v>2</v>
      </c>
      <c r="M133" s="36" t="n">
        <v>0</v>
      </c>
      <c r="N133" s="36" t="n">
        <v>2</v>
      </c>
      <c r="O133" s="36" t="n">
        <v>2</v>
      </c>
      <c r="P133" s="36" t="n">
        <v>0</v>
      </c>
      <c r="Q133" s="36" t="n">
        <v>0</v>
      </c>
      <c r="R133" s="28" t="n">
        <v>0</v>
      </c>
      <c r="S133" s="36" t="n">
        <v>1</v>
      </c>
      <c r="T133" s="36" t="n">
        <v>1</v>
      </c>
      <c r="U133" s="36" t="n">
        <v>4.01</v>
      </c>
      <c r="V133" s="36" t="n">
        <v>4.18</v>
      </c>
      <c r="W133" s="36" t="n">
        <v>2.06</v>
      </c>
      <c r="X133" s="36" t="n">
        <v>1.17</v>
      </c>
      <c r="Y133" s="28" t="n">
        <v>2.84</v>
      </c>
      <c r="Z133" s="36" t="n">
        <v>2.15</v>
      </c>
      <c r="AA133" s="36" t="n">
        <v>2.02</v>
      </c>
      <c r="AB133" s="36" t="n">
        <v>2.15</v>
      </c>
      <c r="AC133" s="36" t="n">
        <v>2.41</v>
      </c>
      <c r="AD133" s="36" t="n">
        <v>2.61</v>
      </c>
      <c r="AE133" s="36" t="n">
        <v>1.34</v>
      </c>
      <c r="AF133" s="28" t="n">
        <v>2.64</v>
      </c>
      <c r="AG133" s="36" t="n">
        <v>1.99</v>
      </c>
      <c r="AH133" s="37" t="n">
        <v>1.93</v>
      </c>
      <c r="AI133" s="37" t="n">
        <v>2.25</v>
      </c>
      <c r="AJ133" s="37" t="n">
        <v>2.28</v>
      </c>
      <c r="AK133" s="37" t="n">
        <v>2.22</v>
      </c>
      <c r="AL133" s="37" t="n">
        <v>1.17</v>
      </c>
      <c r="AM133" s="37" t="n">
        <v>2.64</v>
      </c>
      <c r="AN133" s="37" t="n">
        <v>1.96</v>
      </c>
      <c r="AO133" s="37" t="n">
        <v>1.99</v>
      </c>
      <c r="AP133" s="37" t="n">
        <v>1.99</v>
      </c>
      <c r="AQ133" s="37" t="n">
        <v>2.09</v>
      </c>
      <c r="AR133" s="37" t="n">
        <v>2.02</v>
      </c>
      <c r="AS133" s="37" t="n">
        <v>1.17</v>
      </c>
      <c r="AT133" s="37" t="n">
        <v>2.84</v>
      </c>
      <c r="AU133" s="37" t="n">
        <v>2.22</v>
      </c>
      <c r="AV133" s="37" t="n">
        <v>1.93</v>
      </c>
      <c r="AW133" s="37" t="n">
        <v>1.96</v>
      </c>
      <c r="AX133" s="37" t="n">
        <v>2.06</v>
      </c>
      <c r="AY133" s="37" t="n">
        <v>2.02</v>
      </c>
      <c r="AZ133" s="37" t="n">
        <v>1.17</v>
      </c>
      <c r="BA133" s="37" t="n">
        <v>2.35</v>
      </c>
      <c r="BB133" s="37" t="n">
        <v>0.55</v>
      </c>
      <c r="BC133" s="37" t="n">
        <v>0.26</v>
      </c>
      <c r="BD133" s="37" t="n">
        <v>0.46</v>
      </c>
      <c r="BE133" s="37" t="n">
        <v>0.55</v>
      </c>
      <c r="BF133" s="37" t="n">
        <v>0.55</v>
      </c>
      <c r="BG133" s="37" t="n">
        <v>0.33</v>
      </c>
      <c r="BH133" s="37" t="n">
        <v>0.85</v>
      </c>
      <c r="BI133" s="37" t="n">
        <v>0.55</v>
      </c>
      <c r="BJ133" s="37" t="n">
        <v>0.62</v>
      </c>
      <c r="BK133" s="37" t="n">
        <v>0.55</v>
      </c>
      <c r="BL133" s="37" t="n">
        <v>0.55</v>
      </c>
      <c r="BM133" s="37" t="n">
        <v>0.55</v>
      </c>
      <c r="BN133" s="37" t="n">
        <v>0.36</v>
      </c>
      <c r="BO133" s="37" t="n">
        <v>0.88</v>
      </c>
      <c r="BP133" s="37" t="n">
        <v>0.72</v>
      </c>
      <c r="BQ133" s="37" t="n">
        <v>0.55</v>
      </c>
      <c r="BR133" s="37" t="n">
        <v>0.55</v>
      </c>
      <c r="BS133" s="37" t="n">
        <v>0.55</v>
      </c>
      <c r="BT133" s="37" t="n">
        <v>0.55</v>
      </c>
      <c r="BU133" s="37" t="n">
        <v>0.29</v>
      </c>
      <c r="BV133" s="37" t="n">
        <v>0.72</v>
      </c>
      <c r="BW133" s="37" t="n">
        <v>0.55</v>
      </c>
      <c r="BX133" s="37" t="n">
        <v>0.55</v>
      </c>
      <c r="BY133" s="37" t="n">
        <v>0.55</v>
      </c>
      <c r="BZ133" s="37" t="n">
        <v>0.55</v>
      </c>
      <c r="CA133" s="37" t="n">
        <v>0.55</v>
      </c>
      <c r="CB133" s="37" t="n">
        <v>0.29</v>
      </c>
      <c r="CC133" s="37" t="n">
        <v>107.4099999999999</v>
      </c>
    </row>
    <row r="134" ht="15.75" customHeight="1" s="57">
      <c r="A134" s="7" t="inlineStr">
        <is>
          <t>NTB</t>
        </is>
      </c>
      <c r="B134" s="7" t="inlineStr">
        <is>
          <t>Bình Thuận</t>
        </is>
      </c>
      <c r="C134" s="7" t="n">
        <v>22934000</v>
      </c>
      <c r="D134" s="7" t="inlineStr">
        <is>
          <t>(BTH) Lương Sơn</t>
        </is>
      </c>
      <c r="E134" s="7" t="inlineStr">
        <is>
          <t>SME</t>
        </is>
      </c>
      <c r="F134" s="36" t="n">
        <v>141</v>
      </c>
      <c r="G134" s="36" t="n">
        <v>143</v>
      </c>
      <c r="H134" s="36" t="n">
        <v>143</v>
      </c>
      <c r="I134" s="36" t="n">
        <v>189</v>
      </c>
      <c r="J134" s="36" t="n">
        <v>131</v>
      </c>
      <c r="K134" s="28" t="n">
        <v>145</v>
      </c>
      <c r="L134" s="36" t="n">
        <v>110</v>
      </c>
      <c r="M134" s="36" t="n">
        <v>130</v>
      </c>
      <c r="N134" s="36" t="n">
        <v>125</v>
      </c>
      <c r="O134" s="36" t="n">
        <v>143</v>
      </c>
      <c r="P134" s="36" t="n">
        <v>134</v>
      </c>
      <c r="Q134" s="36" t="n">
        <v>113</v>
      </c>
      <c r="R134" s="28" t="n">
        <v>137</v>
      </c>
      <c r="S134" s="36" t="n">
        <v>119</v>
      </c>
      <c r="T134" s="36" t="n">
        <v>120</v>
      </c>
      <c r="U134" s="36" t="n">
        <v>151.74</v>
      </c>
      <c r="V134" s="36" t="n">
        <v>157.06</v>
      </c>
      <c r="W134" s="36" t="n">
        <v>152.72</v>
      </c>
      <c r="X134" s="36" t="n">
        <v>124.97</v>
      </c>
      <c r="Y134" s="28" t="n">
        <v>169.33</v>
      </c>
      <c r="Z134" s="36" t="n">
        <v>155.85</v>
      </c>
      <c r="AA134" s="36" t="n">
        <v>152.18</v>
      </c>
      <c r="AB134" s="36" t="n">
        <v>151.74</v>
      </c>
      <c r="AC134" s="36" t="n">
        <v>157.06</v>
      </c>
      <c r="AD134" s="36" t="n">
        <v>160.05</v>
      </c>
      <c r="AE134" s="36" t="n">
        <v>124.97</v>
      </c>
      <c r="AF134" s="28" t="n">
        <v>169.33</v>
      </c>
      <c r="AG134" s="36" t="n">
        <v>155.85</v>
      </c>
      <c r="AH134" s="37" t="n">
        <v>152.18</v>
      </c>
      <c r="AI134" s="37" t="n">
        <v>151.74</v>
      </c>
      <c r="AJ134" s="37" t="n">
        <v>157.06</v>
      </c>
      <c r="AK134" s="37" t="n">
        <v>152.72</v>
      </c>
      <c r="AL134" s="37" t="n">
        <v>124.97</v>
      </c>
      <c r="AM134" s="37" t="n">
        <v>169.33</v>
      </c>
      <c r="AN134" s="37" t="n">
        <v>155.85</v>
      </c>
      <c r="AO134" s="37" t="n">
        <v>152.18</v>
      </c>
      <c r="AP134" s="37" t="n">
        <v>151.74</v>
      </c>
      <c r="AQ134" s="37" t="n">
        <v>157.06</v>
      </c>
      <c r="AR134" s="37" t="n">
        <v>152.72</v>
      </c>
      <c r="AS134" s="37" t="n">
        <v>124.97</v>
      </c>
      <c r="AT134" s="37" t="n">
        <v>169.33</v>
      </c>
      <c r="AU134" s="37" t="n">
        <v>155.85</v>
      </c>
      <c r="AV134" s="37" t="n">
        <v>152.18</v>
      </c>
      <c r="AW134" s="37" t="n">
        <v>151.74</v>
      </c>
      <c r="AX134" s="37" t="n">
        <v>157.06</v>
      </c>
      <c r="AY134" s="37" t="n">
        <v>152.72</v>
      </c>
      <c r="AZ134" s="37" t="n">
        <v>124.97</v>
      </c>
      <c r="BA134" s="37" t="n">
        <v>152.38</v>
      </c>
      <c r="BB134" s="37" t="n">
        <v>136.36</v>
      </c>
      <c r="BC134" s="37" t="n">
        <v>86.39</v>
      </c>
      <c r="BD134" s="37" t="n">
        <v>86.09</v>
      </c>
      <c r="BE134" s="37" t="n">
        <v>145.4</v>
      </c>
      <c r="BF134" s="37" t="n">
        <v>141.51</v>
      </c>
      <c r="BG134" s="37" t="n">
        <v>128.86</v>
      </c>
      <c r="BH134" s="37" t="n">
        <v>174.65</v>
      </c>
      <c r="BI134" s="37" t="n">
        <v>160.73</v>
      </c>
      <c r="BJ134" s="37" t="n">
        <v>164.23</v>
      </c>
      <c r="BK134" s="37" t="n">
        <v>156.36</v>
      </c>
      <c r="BL134" s="37" t="n">
        <v>162</v>
      </c>
      <c r="BM134" s="37" t="n">
        <v>157.35</v>
      </c>
      <c r="BN134" s="37" t="n">
        <v>128.86</v>
      </c>
      <c r="BO134" s="37" t="n">
        <v>174.65</v>
      </c>
      <c r="BP134" s="37" t="n">
        <v>160.73</v>
      </c>
      <c r="BQ134" s="37" t="n">
        <v>156.84</v>
      </c>
      <c r="BR134" s="37" t="n">
        <v>156.36</v>
      </c>
      <c r="BS134" s="37" t="n">
        <v>162</v>
      </c>
      <c r="BT134" s="37" t="n">
        <v>157.35</v>
      </c>
      <c r="BU134" s="37" t="n">
        <v>128.86</v>
      </c>
      <c r="BV134" s="37" t="n">
        <v>174.65</v>
      </c>
      <c r="BW134" s="37" t="n">
        <v>160.73</v>
      </c>
      <c r="BX134" s="37" t="n">
        <v>156.84</v>
      </c>
      <c r="BY134" s="37" t="n">
        <v>156.36</v>
      </c>
      <c r="BZ134" s="37" t="n">
        <v>162</v>
      </c>
      <c r="CA134" s="37" t="n">
        <v>157.35</v>
      </c>
      <c r="CB134" s="37" t="n">
        <v>128.86</v>
      </c>
      <c r="CC134" s="37" t="n">
        <v>11046.97</v>
      </c>
    </row>
    <row r="135" ht="15.75" customHeight="1" s="57">
      <c r="A135" s="7" t="inlineStr">
        <is>
          <t>NTB</t>
        </is>
      </c>
      <c r="B135" s="7" t="inlineStr">
        <is>
          <t>Bình Thuận</t>
        </is>
      </c>
      <c r="C135" s="7" t="n">
        <v>22934000</v>
      </c>
      <c r="D135" s="7" t="inlineStr">
        <is>
          <t>(BTH) Lương Sơn</t>
        </is>
      </c>
      <c r="E135" s="7" t="inlineStr">
        <is>
          <t>SME-Bulky</t>
        </is>
      </c>
      <c r="F135" s="36" t="n">
        <v>15</v>
      </c>
      <c r="G135" s="36" t="n">
        <v>10</v>
      </c>
      <c r="H135" s="36" t="n">
        <v>5</v>
      </c>
      <c r="I135" s="36" t="n">
        <v>9</v>
      </c>
      <c r="J135" s="36" t="n">
        <v>5</v>
      </c>
      <c r="K135" s="28" t="n">
        <v>6</v>
      </c>
      <c r="L135" s="36" t="n">
        <v>3</v>
      </c>
      <c r="M135" s="36" t="n">
        <v>6</v>
      </c>
      <c r="N135" s="36" t="n">
        <v>5</v>
      </c>
      <c r="O135" s="36" t="n">
        <v>8</v>
      </c>
      <c r="P135" s="36" t="n">
        <v>9</v>
      </c>
      <c r="Q135" s="36" t="n">
        <v>1</v>
      </c>
      <c r="R135" s="28" t="n">
        <v>6</v>
      </c>
      <c r="S135" s="36" t="n">
        <v>7</v>
      </c>
      <c r="T135" s="36" t="n">
        <v>8</v>
      </c>
      <c r="U135" s="36" t="n">
        <v>6.57</v>
      </c>
      <c r="V135" s="36" t="n">
        <v>6.59</v>
      </c>
      <c r="W135" s="36" t="n">
        <v>6.11</v>
      </c>
      <c r="X135" s="36" t="n">
        <v>4.3</v>
      </c>
      <c r="Y135" s="28" t="n">
        <v>7.34</v>
      </c>
      <c r="Z135" s="36" t="n">
        <v>7.14</v>
      </c>
      <c r="AA135" s="36" t="n">
        <v>6.95</v>
      </c>
      <c r="AB135" s="36" t="n">
        <v>6.57</v>
      </c>
      <c r="AC135" s="36" t="n">
        <v>6.59</v>
      </c>
      <c r="AD135" s="36" t="n">
        <v>6.98</v>
      </c>
      <c r="AE135" s="36" t="n">
        <v>4.3</v>
      </c>
      <c r="AF135" s="28" t="n">
        <v>7.34</v>
      </c>
      <c r="AG135" s="36" t="n">
        <v>7.14</v>
      </c>
      <c r="AH135" s="37" t="n">
        <v>6.95</v>
      </c>
      <c r="AI135" s="37" t="n">
        <v>6.57</v>
      </c>
      <c r="AJ135" s="37" t="n">
        <v>6.59</v>
      </c>
      <c r="AK135" s="37" t="n">
        <v>6.11</v>
      </c>
      <c r="AL135" s="37" t="n">
        <v>4.3</v>
      </c>
      <c r="AM135" s="37" t="n">
        <v>7.34</v>
      </c>
      <c r="AN135" s="37" t="n">
        <v>7.14</v>
      </c>
      <c r="AO135" s="37" t="n">
        <v>6.95</v>
      </c>
      <c r="AP135" s="37" t="n">
        <v>6.57</v>
      </c>
      <c r="AQ135" s="37" t="n">
        <v>6.59</v>
      </c>
      <c r="AR135" s="37" t="n">
        <v>6.11</v>
      </c>
      <c r="AS135" s="37" t="n">
        <v>4.3</v>
      </c>
      <c r="AT135" s="37" t="n">
        <v>7.34</v>
      </c>
      <c r="AU135" s="37" t="n">
        <v>7.14</v>
      </c>
      <c r="AV135" s="37" t="n">
        <v>6.95</v>
      </c>
      <c r="AW135" s="37" t="n">
        <v>6.57</v>
      </c>
      <c r="AX135" s="37" t="n">
        <v>6.59</v>
      </c>
      <c r="AY135" s="37" t="n">
        <v>6.11</v>
      </c>
      <c r="AZ135" s="37" t="n">
        <v>4.3</v>
      </c>
      <c r="BA135" s="37" t="n">
        <v>7.36</v>
      </c>
      <c r="BB135" s="37" t="n">
        <v>3.86</v>
      </c>
      <c r="BC135" s="37" t="n">
        <v>2.07</v>
      </c>
      <c r="BD135" s="37" t="n">
        <v>1.86</v>
      </c>
      <c r="BE135" s="37" t="n">
        <v>3.36</v>
      </c>
      <c r="BF135" s="37" t="n">
        <v>3.23</v>
      </c>
      <c r="BG135" s="37" t="n">
        <v>2.52</v>
      </c>
      <c r="BH135" s="37" t="n">
        <v>4.27</v>
      </c>
      <c r="BI135" s="37" t="n">
        <v>4.27</v>
      </c>
      <c r="BJ135" s="37" t="n">
        <v>4.41</v>
      </c>
      <c r="BK135" s="37" t="n">
        <v>3.89</v>
      </c>
      <c r="BL135" s="37" t="n">
        <v>3.93</v>
      </c>
      <c r="BM135" s="37" t="n">
        <v>3.64</v>
      </c>
      <c r="BN135" s="37" t="n">
        <v>2.52</v>
      </c>
      <c r="BO135" s="37" t="n">
        <v>4.27</v>
      </c>
      <c r="BP135" s="37" t="n">
        <v>4.27</v>
      </c>
      <c r="BQ135" s="37" t="n">
        <v>4.02</v>
      </c>
      <c r="BR135" s="37" t="n">
        <v>3.89</v>
      </c>
      <c r="BS135" s="37" t="n">
        <v>3.93</v>
      </c>
      <c r="BT135" s="37" t="n">
        <v>3.64</v>
      </c>
      <c r="BU135" s="37" t="n">
        <v>2.52</v>
      </c>
      <c r="BV135" s="37" t="n">
        <v>4.27</v>
      </c>
      <c r="BW135" s="37" t="n">
        <v>4.27</v>
      </c>
      <c r="BX135" s="37" t="n">
        <v>4.02</v>
      </c>
      <c r="BY135" s="37" t="n">
        <v>3.89</v>
      </c>
      <c r="BZ135" s="37" t="n">
        <v>3.93</v>
      </c>
      <c r="CA135" s="37" t="n">
        <v>3.64</v>
      </c>
      <c r="CB135" s="37" t="n">
        <v>2.52</v>
      </c>
      <c r="CC135" s="37" t="n">
        <v>411.7099999999997</v>
      </c>
    </row>
    <row r="136" ht="15.75" customHeight="1" s="57">
      <c r="A136" s="7" t="inlineStr">
        <is>
          <t>NTB</t>
        </is>
      </c>
      <c r="B136" s="7" t="inlineStr">
        <is>
          <t>Bình Thuận</t>
        </is>
      </c>
      <c r="C136" s="7" t="n">
        <v>22934000</v>
      </c>
      <c r="D136" s="7" t="inlineStr">
        <is>
          <t>(BTH) Lương Sơn</t>
        </is>
      </c>
      <c r="E136" s="7" t="inlineStr">
        <is>
          <t>Shopee</t>
        </is>
      </c>
      <c r="F136" s="36" t="n">
        <v>133</v>
      </c>
      <c r="G136" s="36" t="n">
        <v>105</v>
      </c>
      <c r="H136" s="36" t="n">
        <v>127</v>
      </c>
      <c r="I136" s="36" t="n">
        <v>126</v>
      </c>
      <c r="J136" s="36" t="n">
        <v>100</v>
      </c>
      <c r="K136" s="28" t="n">
        <v>76</v>
      </c>
      <c r="L136" s="36" t="n">
        <v>84</v>
      </c>
      <c r="M136" s="36" t="n">
        <v>110</v>
      </c>
      <c r="N136" s="36" t="n">
        <v>119</v>
      </c>
      <c r="O136" s="36" t="n">
        <v>144</v>
      </c>
      <c r="P136" s="36" t="n">
        <v>109</v>
      </c>
      <c r="Q136" s="36" t="n">
        <v>89</v>
      </c>
      <c r="R136" s="28" t="n">
        <v>77</v>
      </c>
      <c r="S136" s="36" t="n">
        <v>96</v>
      </c>
      <c r="T136" s="36" t="n">
        <v>71</v>
      </c>
      <c r="U136" s="36" t="n">
        <v>106.72</v>
      </c>
      <c r="V136" s="36" t="n">
        <v>107.16</v>
      </c>
      <c r="W136" s="36" t="n">
        <v>105.57</v>
      </c>
      <c r="X136" s="36" t="n">
        <v>85.89</v>
      </c>
      <c r="Y136" s="28" t="n">
        <v>143.8</v>
      </c>
      <c r="Z136" s="36" t="n">
        <v>113.79</v>
      </c>
      <c r="AA136" s="36" t="n">
        <v>156.44</v>
      </c>
      <c r="AB136" s="36" t="n">
        <v>108.92</v>
      </c>
      <c r="AC136" s="36" t="n">
        <v>87.98</v>
      </c>
      <c r="AD136" s="36" t="n">
        <v>239.1</v>
      </c>
      <c r="AE136" s="36" t="n">
        <v>91.93000000000001</v>
      </c>
      <c r="AF136" s="28" t="n">
        <v>163.87</v>
      </c>
      <c r="AG136" s="36" t="n">
        <v>119.5</v>
      </c>
      <c r="AH136" s="37" t="n">
        <v>126.26</v>
      </c>
      <c r="AI136" s="37" t="n">
        <v>106.72</v>
      </c>
      <c r="AJ136" s="37" t="n">
        <v>107.16</v>
      </c>
      <c r="AK136" s="37" t="n">
        <v>142.46</v>
      </c>
      <c r="AL136" s="37" t="n">
        <v>154.16</v>
      </c>
      <c r="AM136" s="37" t="n">
        <v>143.8</v>
      </c>
      <c r="AN136" s="37" t="n">
        <v>113.79</v>
      </c>
      <c r="AO136" s="37" t="n">
        <v>126.26</v>
      </c>
      <c r="AP136" s="37" t="n">
        <v>133.25</v>
      </c>
      <c r="AQ136" s="37" t="n">
        <v>85.97</v>
      </c>
      <c r="AR136" s="37" t="n">
        <v>105.57</v>
      </c>
      <c r="AS136" s="37" t="n">
        <v>85.89</v>
      </c>
      <c r="AT136" s="37" t="n">
        <v>143.8</v>
      </c>
      <c r="AU136" s="37" t="n">
        <v>116.13</v>
      </c>
      <c r="AV136" s="37" t="n">
        <v>128.66</v>
      </c>
      <c r="AW136" s="37" t="n">
        <v>106.72</v>
      </c>
      <c r="AX136" s="37" t="n">
        <v>107.16</v>
      </c>
      <c r="AY136" s="37" t="n">
        <v>105.57</v>
      </c>
      <c r="AZ136" s="37" t="n">
        <v>85.89</v>
      </c>
      <c r="BA136" s="37" t="n">
        <v>110.84</v>
      </c>
      <c r="BB136" s="37" t="n">
        <v>96.58</v>
      </c>
      <c r="BC136" s="37" t="n">
        <v>49.25</v>
      </c>
      <c r="BD136" s="37" t="n">
        <v>87.31</v>
      </c>
      <c r="BE136" s="37" t="n">
        <v>102.12</v>
      </c>
      <c r="BF136" s="37" t="n">
        <v>100.59</v>
      </c>
      <c r="BG136" s="37" t="n">
        <v>83.41</v>
      </c>
      <c r="BH136" s="37" t="n">
        <v>136.87</v>
      </c>
      <c r="BI136" s="37" t="n">
        <v>88.81</v>
      </c>
      <c r="BJ136" s="37" t="n">
        <v>339.39</v>
      </c>
      <c r="BK136" s="37" t="n">
        <v>108.8</v>
      </c>
      <c r="BL136" s="37" t="n">
        <v>107.16</v>
      </c>
      <c r="BM136" s="37" t="n">
        <v>100.59</v>
      </c>
      <c r="BN136" s="37" t="n">
        <v>81.8</v>
      </c>
      <c r="BO136" s="37" t="n">
        <v>136.87</v>
      </c>
      <c r="BP136" s="37" t="n">
        <v>146.31</v>
      </c>
      <c r="BQ136" s="37" t="n">
        <v>215.83</v>
      </c>
      <c r="BR136" s="37" t="n">
        <v>101.68</v>
      </c>
      <c r="BS136" s="37" t="n">
        <v>102.12</v>
      </c>
      <c r="BT136" s="37" t="n">
        <v>100.59</v>
      </c>
      <c r="BU136" s="37" t="n">
        <v>102.23</v>
      </c>
      <c r="BV136" s="37" t="n">
        <v>109.72</v>
      </c>
      <c r="BW136" s="37" t="n">
        <v>108.41</v>
      </c>
      <c r="BX136" s="37" t="n">
        <v>120.33</v>
      </c>
      <c r="BY136" s="37" t="n">
        <v>101.68</v>
      </c>
      <c r="BZ136" s="37" t="n">
        <v>104.15</v>
      </c>
      <c r="CA136" s="37" t="n">
        <v>102.62</v>
      </c>
      <c r="CB136" s="37" t="n">
        <v>81.8</v>
      </c>
      <c r="CC136" s="37" t="n">
        <v>8649.750000000002</v>
      </c>
    </row>
    <row r="137" ht="15.75" customHeight="1" s="57">
      <c r="A137" s="7" t="inlineStr">
        <is>
          <t>NTB</t>
        </is>
      </c>
      <c r="B137" s="7" t="inlineStr">
        <is>
          <t>Bình Thuận</t>
        </is>
      </c>
      <c r="C137" s="7" t="n">
        <v>22934000</v>
      </c>
      <c r="D137" s="7" t="inlineStr">
        <is>
          <t>(BTH) Lương Sơn</t>
        </is>
      </c>
      <c r="E137" s="7" t="inlineStr">
        <is>
          <t>Shopee-Bulky</t>
        </is>
      </c>
      <c r="F137" s="36" t="n">
        <v>14</v>
      </c>
      <c r="G137" s="36" t="n">
        <v>14</v>
      </c>
      <c r="H137" s="36" t="n">
        <v>16.66</v>
      </c>
      <c r="I137" s="36" t="n">
        <v>17.33</v>
      </c>
      <c r="J137" s="36" t="n">
        <v>14</v>
      </c>
      <c r="K137" s="28" t="n">
        <v>13.33</v>
      </c>
      <c r="L137" s="36" t="n">
        <v>9.33</v>
      </c>
      <c r="M137" s="36" t="n">
        <v>12</v>
      </c>
      <c r="N137" s="36" t="n">
        <v>11.33</v>
      </c>
      <c r="O137" s="36" t="n">
        <v>11.33</v>
      </c>
      <c r="P137" s="36" t="n">
        <v>16.66</v>
      </c>
      <c r="Q137" s="36" t="n">
        <v>14</v>
      </c>
      <c r="R137" s="28" t="n">
        <v>15.99</v>
      </c>
      <c r="S137" s="36" t="n">
        <v>14.66</v>
      </c>
      <c r="T137" s="36" t="n">
        <v>8.66</v>
      </c>
      <c r="U137" s="36" t="n">
        <v>12.67</v>
      </c>
      <c r="V137" s="36" t="n">
        <v>12.24</v>
      </c>
      <c r="W137" s="36" t="n">
        <v>17.08</v>
      </c>
      <c r="X137" s="36" t="n">
        <v>9.75</v>
      </c>
      <c r="Y137" s="28" t="n">
        <v>18.69</v>
      </c>
      <c r="Z137" s="36" t="n">
        <v>14.73</v>
      </c>
      <c r="AA137" s="36" t="n">
        <v>14.28</v>
      </c>
      <c r="AB137" s="36" t="n">
        <v>14.56</v>
      </c>
      <c r="AC137" s="36" t="n">
        <v>15.04</v>
      </c>
      <c r="AD137" s="36" t="n">
        <v>47.1</v>
      </c>
      <c r="AE137" s="36" t="n">
        <v>24.58</v>
      </c>
      <c r="AF137" s="28" t="n">
        <v>36.58</v>
      </c>
      <c r="AG137" s="36" t="n">
        <v>20.98</v>
      </c>
      <c r="AH137" s="37" t="n">
        <v>14.61</v>
      </c>
      <c r="AI137" s="37" t="n">
        <v>14.37</v>
      </c>
      <c r="AJ137" s="37" t="n">
        <v>13.73</v>
      </c>
      <c r="AK137" s="37" t="n">
        <v>31.19</v>
      </c>
      <c r="AL137" s="37" t="n">
        <v>15.95</v>
      </c>
      <c r="AM137" s="37" t="n">
        <v>23.12</v>
      </c>
      <c r="AN137" s="37" t="n">
        <v>14.47</v>
      </c>
      <c r="AO137" s="37" t="n">
        <v>13.99</v>
      </c>
      <c r="AP137" s="37" t="n">
        <v>19.09</v>
      </c>
      <c r="AQ137" s="37" t="n">
        <v>19.16</v>
      </c>
      <c r="AR137" s="37" t="n">
        <v>15.52</v>
      </c>
      <c r="AS137" s="37" t="n">
        <v>8.6</v>
      </c>
      <c r="AT137" s="37" t="n">
        <v>17.18</v>
      </c>
      <c r="AU137" s="37" t="n">
        <v>27.91</v>
      </c>
      <c r="AV137" s="37" t="n">
        <v>29.54</v>
      </c>
      <c r="AW137" s="37" t="n">
        <v>14.16</v>
      </c>
      <c r="AX137" s="37" t="n">
        <v>13.22</v>
      </c>
      <c r="AY137" s="37" t="n">
        <v>14.92</v>
      </c>
      <c r="AZ137" s="37" t="n">
        <v>8.24</v>
      </c>
      <c r="BA137" s="37" t="n">
        <v>15.76</v>
      </c>
      <c r="BB137" s="37" t="n">
        <v>14.61</v>
      </c>
      <c r="BC137" s="37" t="n">
        <v>4.84</v>
      </c>
      <c r="BD137" s="37" t="n">
        <v>12.38</v>
      </c>
      <c r="BE137" s="37" t="n">
        <v>15.24</v>
      </c>
      <c r="BF137" s="37" t="n">
        <v>13.37</v>
      </c>
      <c r="BG137" s="37" t="n">
        <v>11.12</v>
      </c>
      <c r="BH137" s="37" t="n">
        <v>20.1</v>
      </c>
      <c r="BI137" s="37" t="n">
        <v>17.15</v>
      </c>
      <c r="BJ137" s="37" t="n">
        <v>74.17</v>
      </c>
      <c r="BK137" s="37" t="n">
        <v>36.17</v>
      </c>
      <c r="BL137" s="37" t="n">
        <v>18.95</v>
      </c>
      <c r="BM137" s="37" t="n">
        <v>14.01</v>
      </c>
      <c r="BN137" s="37" t="n">
        <v>10.76</v>
      </c>
      <c r="BO137" s="37" t="n">
        <v>23</v>
      </c>
      <c r="BP137" s="37" t="n">
        <v>33.92</v>
      </c>
      <c r="BQ137" s="37" t="n">
        <v>24.29</v>
      </c>
      <c r="BR137" s="37" t="n">
        <v>16.17</v>
      </c>
      <c r="BS137" s="37" t="n">
        <v>15.24</v>
      </c>
      <c r="BT137" s="37" t="n">
        <v>13.37</v>
      </c>
      <c r="BU137" s="37" t="n">
        <v>15.55</v>
      </c>
      <c r="BV137" s="37" t="n">
        <v>21.15</v>
      </c>
      <c r="BW137" s="37" t="n">
        <v>17.15</v>
      </c>
      <c r="BX137" s="37" t="n">
        <v>16.43</v>
      </c>
      <c r="BY137" s="37" t="n">
        <v>16.17</v>
      </c>
      <c r="BZ137" s="37" t="n">
        <v>27.4</v>
      </c>
      <c r="CA137" s="37" t="n">
        <v>16.03</v>
      </c>
      <c r="CB137" s="37" t="n">
        <v>10.66</v>
      </c>
      <c r="CC137" s="37" t="n">
        <v>1335.690000000001</v>
      </c>
    </row>
    <row r="138" ht="15.75" customHeight="1" s="57">
      <c r="A138" s="7" t="inlineStr">
        <is>
          <t>NTB</t>
        </is>
      </c>
      <c r="B138" s="7" t="inlineStr">
        <is>
          <t>Bình Thuận</t>
        </is>
      </c>
      <c r="C138" s="7" t="n">
        <v>22934000</v>
      </c>
      <c r="D138" s="7" t="inlineStr">
        <is>
          <t>(BTH) Lương Sơn</t>
        </is>
      </c>
      <c r="E138" s="7" t="inlineStr">
        <is>
          <t>Shopee-Bulky (10-15kg)</t>
        </is>
      </c>
      <c r="F138" s="36" t="n">
        <v>7</v>
      </c>
      <c r="G138" s="36" t="n">
        <v>7</v>
      </c>
      <c r="H138" s="36" t="n">
        <v>8.34</v>
      </c>
      <c r="I138" s="36" t="n">
        <v>8.67</v>
      </c>
      <c r="J138" s="36" t="n">
        <v>7</v>
      </c>
      <c r="K138" s="28" t="n">
        <v>6.67</v>
      </c>
      <c r="L138" s="36" t="n">
        <v>4.67</v>
      </c>
      <c r="M138" s="36" t="n">
        <v>6</v>
      </c>
      <c r="N138" s="36" t="n">
        <v>5.67</v>
      </c>
      <c r="O138" s="36" t="n">
        <v>5.67</v>
      </c>
      <c r="P138" s="36" t="n">
        <v>8.34</v>
      </c>
      <c r="Q138" s="36" t="n">
        <v>7</v>
      </c>
      <c r="R138" s="28" t="n">
        <v>8.01</v>
      </c>
      <c r="S138" s="36" t="n">
        <v>7.34</v>
      </c>
      <c r="T138" s="36" t="n">
        <v>4.34</v>
      </c>
      <c r="U138" s="36" t="n">
        <v>6.54</v>
      </c>
      <c r="V138" s="36" t="n">
        <v>6.35</v>
      </c>
      <c r="W138" s="36" t="n">
        <v>8.550000000000001</v>
      </c>
      <c r="X138" s="36" t="n">
        <v>4.65</v>
      </c>
      <c r="Y138" s="28" t="n">
        <v>9.25</v>
      </c>
      <c r="Z138" s="36" t="n">
        <v>7.28</v>
      </c>
      <c r="AA138" s="36" t="n">
        <v>7.09</v>
      </c>
      <c r="AB138" s="36" t="n">
        <v>7.21</v>
      </c>
      <c r="AC138" s="36" t="n">
        <v>7.47</v>
      </c>
      <c r="AD138" s="36" t="n">
        <v>30.5</v>
      </c>
      <c r="AE138" s="36" t="n">
        <v>12.22</v>
      </c>
      <c r="AF138" s="28" t="n">
        <v>17.18</v>
      </c>
      <c r="AG138" s="36" t="n">
        <v>10.42</v>
      </c>
      <c r="AH138" s="37" t="n">
        <v>7.19</v>
      </c>
      <c r="AI138" s="37" t="n">
        <v>6.95</v>
      </c>
      <c r="AJ138" s="37" t="n">
        <v>6.8</v>
      </c>
      <c r="AK138" s="37" t="n">
        <v>15.91</v>
      </c>
      <c r="AL138" s="37" t="n">
        <v>7.76</v>
      </c>
      <c r="AM138" s="37" t="n">
        <v>11.28</v>
      </c>
      <c r="AN138" s="37" t="n">
        <v>7.19</v>
      </c>
      <c r="AO138" s="37" t="n">
        <v>6.85</v>
      </c>
      <c r="AP138" s="37" t="n">
        <v>9.27</v>
      </c>
      <c r="AQ138" s="37" t="n">
        <v>9.289999999999999</v>
      </c>
      <c r="AR138" s="37" t="n">
        <v>7.71</v>
      </c>
      <c r="AS138" s="37" t="n">
        <v>4.12</v>
      </c>
      <c r="AT138" s="37" t="n">
        <v>8.359999999999999</v>
      </c>
      <c r="AU138" s="37" t="n">
        <v>14.3</v>
      </c>
      <c r="AV138" s="37" t="n">
        <v>14.3</v>
      </c>
      <c r="AW138" s="37" t="n">
        <v>6.88</v>
      </c>
      <c r="AX138" s="37" t="n">
        <v>6.47</v>
      </c>
      <c r="AY138" s="37" t="n">
        <v>7.38</v>
      </c>
      <c r="AZ138" s="37" t="n">
        <v>3.95</v>
      </c>
      <c r="BA138" s="37" t="n">
        <v>7.67</v>
      </c>
      <c r="BB138" s="37" t="n">
        <v>7.33</v>
      </c>
      <c r="BC138" s="37" t="n">
        <v>2.54</v>
      </c>
      <c r="BD138" s="37" t="n">
        <v>6.25</v>
      </c>
      <c r="BE138" s="37" t="n">
        <v>7.57</v>
      </c>
      <c r="BF138" s="37" t="n">
        <v>6.78</v>
      </c>
      <c r="BG138" s="37" t="n">
        <v>5.41</v>
      </c>
      <c r="BH138" s="37" t="n">
        <v>9.94</v>
      </c>
      <c r="BI138" s="37" t="n">
        <v>8.550000000000001</v>
      </c>
      <c r="BJ138" s="37" t="n">
        <v>42.23</v>
      </c>
      <c r="BK138" s="37" t="n">
        <v>18.01</v>
      </c>
      <c r="BL138" s="37" t="n">
        <v>9.199999999999999</v>
      </c>
      <c r="BM138" s="37" t="n">
        <v>7.04</v>
      </c>
      <c r="BN138" s="37" t="n">
        <v>5.41</v>
      </c>
      <c r="BO138" s="37" t="n">
        <v>11.83</v>
      </c>
      <c r="BP138" s="37" t="n">
        <v>16.98</v>
      </c>
      <c r="BQ138" s="37" t="n">
        <v>12.46</v>
      </c>
      <c r="BR138" s="37" t="n">
        <v>8.029999999999999</v>
      </c>
      <c r="BS138" s="37" t="n">
        <v>7.57</v>
      </c>
      <c r="BT138" s="37" t="n">
        <v>6.78</v>
      </c>
      <c r="BU138" s="37" t="n">
        <v>7.67</v>
      </c>
      <c r="BV138" s="37" t="n">
        <v>10.8</v>
      </c>
      <c r="BW138" s="37" t="n">
        <v>8.550000000000001</v>
      </c>
      <c r="BX138" s="37" t="n">
        <v>8.17</v>
      </c>
      <c r="BY138" s="37" t="n">
        <v>8.029999999999999</v>
      </c>
      <c r="BZ138" s="37" t="n">
        <v>13.77</v>
      </c>
      <c r="CA138" s="37" t="n">
        <v>8</v>
      </c>
      <c r="CB138" s="37" t="n">
        <v>5.13</v>
      </c>
      <c r="CC138" s="37" t="n">
        <v>676.0899999999999</v>
      </c>
    </row>
    <row r="139" ht="15.75" customHeight="1" s="57">
      <c r="A139" s="7" t="inlineStr">
        <is>
          <t>NTB</t>
        </is>
      </c>
      <c r="B139" s="7" t="inlineStr">
        <is>
          <t>Bình Thuận</t>
        </is>
      </c>
      <c r="C139" s="7" t="n">
        <v>22934000</v>
      </c>
      <c r="D139" s="7" t="inlineStr">
        <is>
          <t>(BTH) Lương Sơn</t>
        </is>
      </c>
      <c r="E139" s="7" t="inlineStr">
        <is>
          <t>TTS</t>
        </is>
      </c>
      <c r="F139" s="36" t="n">
        <v>127</v>
      </c>
      <c r="G139" s="36" t="n">
        <v>134</v>
      </c>
      <c r="H139" s="36" t="n">
        <v>105</v>
      </c>
      <c r="I139" s="36" t="n">
        <v>114</v>
      </c>
      <c r="J139" s="36" t="n">
        <v>99</v>
      </c>
      <c r="K139" s="28" t="n">
        <v>94</v>
      </c>
      <c r="L139" s="36" t="n">
        <v>76</v>
      </c>
      <c r="M139" s="36" t="n">
        <v>82</v>
      </c>
      <c r="N139" s="36" t="n">
        <v>94</v>
      </c>
      <c r="O139" s="36" t="n">
        <v>107</v>
      </c>
      <c r="P139" s="36" t="n">
        <v>128</v>
      </c>
      <c r="Q139" s="36" t="n">
        <v>88</v>
      </c>
      <c r="R139" s="28" t="n">
        <v>102</v>
      </c>
      <c r="S139" s="36" t="n">
        <v>113</v>
      </c>
      <c r="T139" s="36" t="n">
        <v>90</v>
      </c>
      <c r="U139" s="36" t="n">
        <v>81.94</v>
      </c>
      <c r="V139" s="36" t="n">
        <v>80.36</v>
      </c>
      <c r="W139" s="36" t="n">
        <v>78.47</v>
      </c>
      <c r="X139" s="36" t="n">
        <v>63.19</v>
      </c>
      <c r="Y139" s="28" t="n">
        <v>92.14</v>
      </c>
      <c r="Z139" s="36" t="n">
        <v>78.37</v>
      </c>
      <c r="AA139" s="36" t="n">
        <v>86.75</v>
      </c>
      <c r="AB139" s="36" t="n">
        <v>96.78</v>
      </c>
      <c r="AC139" s="36" t="n">
        <v>101.8</v>
      </c>
      <c r="AD139" s="36" t="n">
        <v>104.82</v>
      </c>
      <c r="AE139" s="36" t="n">
        <v>73.42999999999999</v>
      </c>
      <c r="AF139" s="28" t="n">
        <v>95.19</v>
      </c>
      <c r="AG139" s="36" t="n">
        <v>79.81</v>
      </c>
      <c r="AH139" s="37" t="n">
        <v>79.06</v>
      </c>
      <c r="AI139" s="37" t="n">
        <v>90.53</v>
      </c>
      <c r="AJ139" s="37" t="n">
        <v>97.44</v>
      </c>
      <c r="AK139" s="37" t="n">
        <v>95.72</v>
      </c>
      <c r="AL139" s="37" t="n">
        <v>68</v>
      </c>
      <c r="AM139" s="37" t="n">
        <v>93.72</v>
      </c>
      <c r="AN139" s="37" t="n">
        <v>80.84</v>
      </c>
      <c r="AO139" s="37" t="n">
        <v>80.32000000000001</v>
      </c>
      <c r="AP139" s="37" t="n">
        <v>77.98999999999999</v>
      </c>
      <c r="AQ139" s="37" t="n">
        <v>78.89</v>
      </c>
      <c r="AR139" s="37" t="n">
        <v>77.34</v>
      </c>
      <c r="AS139" s="37" t="n">
        <v>63.32</v>
      </c>
      <c r="AT139" s="37" t="n">
        <v>101.31</v>
      </c>
      <c r="AU139" s="37" t="n">
        <v>91.7</v>
      </c>
      <c r="AV139" s="37" t="n">
        <v>81.39</v>
      </c>
      <c r="AW139" s="37" t="n">
        <v>77.13</v>
      </c>
      <c r="AX139" s="37" t="n">
        <v>76.62</v>
      </c>
      <c r="AY139" s="37" t="n">
        <v>76.38</v>
      </c>
      <c r="AZ139" s="37" t="n">
        <v>63.39</v>
      </c>
      <c r="BA139" s="37" t="n">
        <v>91.38</v>
      </c>
      <c r="BB139" s="37" t="n">
        <v>85.27</v>
      </c>
      <c r="BC139" s="37" t="n">
        <v>50.82</v>
      </c>
      <c r="BD139" s="37" t="n">
        <v>73.59</v>
      </c>
      <c r="BE139" s="37" t="n">
        <v>86.92</v>
      </c>
      <c r="BF139" s="37" t="n">
        <v>84.23999999999999</v>
      </c>
      <c r="BG139" s="37" t="n">
        <v>68.13</v>
      </c>
      <c r="BH139" s="37" t="n">
        <v>101.24</v>
      </c>
      <c r="BI139" s="37" t="n">
        <v>85.27</v>
      </c>
      <c r="BJ139" s="37" t="n">
        <v>79.63000000000001</v>
      </c>
      <c r="BK139" s="37" t="n">
        <v>86.75</v>
      </c>
      <c r="BL139" s="37" t="n">
        <v>86.92</v>
      </c>
      <c r="BM139" s="37" t="n">
        <v>84.23999999999999</v>
      </c>
      <c r="BN139" s="37" t="n">
        <v>68.13</v>
      </c>
      <c r="BO139" s="37" t="n">
        <v>101.24</v>
      </c>
      <c r="BP139" s="37" t="n">
        <v>85.27</v>
      </c>
      <c r="BQ139" s="37" t="n">
        <v>84.34</v>
      </c>
      <c r="BR139" s="37" t="n">
        <v>86.75</v>
      </c>
      <c r="BS139" s="37" t="n">
        <v>86.92</v>
      </c>
      <c r="BT139" s="37" t="n">
        <v>84.23999999999999</v>
      </c>
      <c r="BU139" s="37" t="n">
        <v>68.13</v>
      </c>
      <c r="BV139" s="37" t="n">
        <v>101.24</v>
      </c>
      <c r="BW139" s="37" t="n">
        <v>85.27</v>
      </c>
      <c r="BX139" s="37" t="n">
        <v>84.34</v>
      </c>
      <c r="BY139" s="37" t="n">
        <v>86.75</v>
      </c>
      <c r="BZ139" s="37" t="n">
        <v>86.92</v>
      </c>
      <c r="CA139" s="37" t="n">
        <v>84.23999999999999</v>
      </c>
      <c r="CB139" s="37" t="n">
        <v>68.13</v>
      </c>
      <c r="CC139" s="37" t="n">
        <v>6543.450000000002</v>
      </c>
    </row>
    <row r="140" ht="15.75" customHeight="1" s="57">
      <c r="A140" s="7" t="inlineStr">
        <is>
          <t>NTB</t>
        </is>
      </c>
      <c r="B140" s="7" t="inlineStr">
        <is>
          <t>Bình Thuận</t>
        </is>
      </c>
      <c r="C140" s="7" t="n">
        <v>22934000</v>
      </c>
      <c r="D140" s="7" t="inlineStr">
        <is>
          <t>(BTH) Lương Sơn</t>
        </is>
      </c>
      <c r="E140" s="7" t="inlineStr">
        <is>
          <t>TTS-Bulky</t>
        </is>
      </c>
      <c r="F140" s="36" t="n">
        <v>2</v>
      </c>
      <c r="G140" s="36" t="n">
        <v>2</v>
      </c>
      <c r="H140" s="36" t="n">
        <v>2</v>
      </c>
      <c r="I140" s="36" t="n">
        <v>1</v>
      </c>
      <c r="J140" s="36" t="n">
        <v>1</v>
      </c>
      <c r="K140" s="28" t="n">
        <v>1</v>
      </c>
      <c r="L140" s="36" t="n">
        <v>1</v>
      </c>
      <c r="M140" s="36" t="n">
        <v>0</v>
      </c>
      <c r="N140" s="36" t="n">
        <v>1</v>
      </c>
      <c r="O140" s="36" t="n">
        <v>1</v>
      </c>
      <c r="P140" s="36" t="n">
        <v>0</v>
      </c>
      <c r="Q140" s="36" t="n">
        <v>0</v>
      </c>
      <c r="R140" s="28" t="n">
        <v>1</v>
      </c>
      <c r="S140" s="36" t="n">
        <v>1</v>
      </c>
      <c r="T140" s="36" t="n">
        <v>0</v>
      </c>
      <c r="U140" s="36" t="n">
        <v>4.01</v>
      </c>
      <c r="V140" s="36" t="n">
        <v>4.18</v>
      </c>
      <c r="W140" s="36" t="n">
        <v>2.06</v>
      </c>
      <c r="X140" s="36" t="n">
        <v>1.17</v>
      </c>
      <c r="Y140" s="28" t="n">
        <v>2.84</v>
      </c>
      <c r="Z140" s="36" t="n">
        <v>2.15</v>
      </c>
      <c r="AA140" s="36" t="n">
        <v>2.02</v>
      </c>
      <c r="AB140" s="36" t="n">
        <v>2.15</v>
      </c>
      <c r="AC140" s="36" t="n">
        <v>2.41</v>
      </c>
      <c r="AD140" s="36" t="n">
        <v>2.61</v>
      </c>
      <c r="AE140" s="36" t="n">
        <v>1.34</v>
      </c>
      <c r="AF140" s="28" t="n">
        <v>2.64</v>
      </c>
      <c r="AG140" s="36" t="n">
        <v>1.99</v>
      </c>
      <c r="AH140" s="37" t="n">
        <v>1.93</v>
      </c>
      <c r="AI140" s="37" t="n">
        <v>2.25</v>
      </c>
      <c r="AJ140" s="37" t="n">
        <v>2.28</v>
      </c>
      <c r="AK140" s="37" t="n">
        <v>2.22</v>
      </c>
      <c r="AL140" s="37" t="n">
        <v>1.17</v>
      </c>
      <c r="AM140" s="37" t="n">
        <v>2.64</v>
      </c>
      <c r="AN140" s="37" t="n">
        <v>1.96</v>
      </c>
      <c r="AO140" s="37" t="n">
        <v>1.99</v>
      </c>
      <c r="AP140" s="37" t="n">
        <v>1.99</v>
      </c>
      <c r="AQ140" s="37" t="n">
        <v>2.09</v>
      </c>
      <c r="AR140" s="37" t="n">
        <v>2.02</v>
      </c>
      <c r="AS140" s="37" t="n">
        <v>1.17</v>
      </c>
      <c r="AT140" s="37" t="n">
        <v>2.84</v>
      </c>
      <c r="AU140" s="37" t="n">
        <v>2.22</v>
      </c>
      <c r="AV140" s="37" t="n">
        <v>1.93</v>
      </c>
      <c r="AW140" s="37" t="n">
        <v>1.96</v>
      </c>
      <c r="AX140" s="37" t="n">
        <v>2.06</v>
      </c>
      <c r="AY140" s="37" t="n">
        <v>2.02</v>
      </c>
      <c r="AZ140" s="37" t="n">
        <v>1.17</v>
      </c>
      <c r="BA140" s="37" t="n">
        <v>2.35</v>
      </c>
      <c r="BB140" s="37" t="n">
        <v>0.55</v>
      </c>
      <c r="BC140" s="37" t="n">
        <v>0.26</v>
      </c>
      <c r="BD140" s="37" t="n">
        <v>0.46</v>
      </c>
      <c r="BE140" s="37" t="n">
        <v>0.55</v>
      </c>
      <c r="BF140" s="37" t="n">
        <v>0.55</v>
      </c>
      <c r="BG140" s="37" t="n">
        <v>0.33</v>
      </c>
      <c r="BH140" s="37" t="n">
        <v>0.85</v>
      </c>
      <c r="BI140" s="37" t="n">
        <v>0.55</v>
      </c>
      <c r="BJ140" s="37" t="n">
        <v>0.62</v>
      </c>
      <c r="BK140" s="37" t="n">
        <v>0.55</v>
      </c>
      <c r="BL140" s="37" t="n">
        <v>0.55</v>
      </c>
      <c r="BM140" s="37" t="n">
        <v>0.55</v>
      </c>
      <c r="BN140" s="37" t="n">
        <v>0.36</v>
      </c>
      <c r="BO140" s="37" t="n">
        <v>0.88</v>
      </c>
      <c r="BP140" s="37" t="n">
        <v>0.72</v>
      </c>
      <c r="BQ140" s="37" t="n">
        <v>0.55</v>
      </c>
      <c r="BR140" s="37" t="n">
        <v>0.55</v>
      </c>
      <c r="BS140" s="37" t="n">
        <v>0.55</v>
      </c>
      <c r="BT140" s="37" t="n">
        <v>0.55</v>
      </c>
      <c r="BU140" s="37" t="n">
        <v>0.29</v>
      </c>
      <c r="BV140" s="37" t="n">
        <v>0.72</v>
      </c>
      <c r="BW140" s="37" t="n">
        <v>0.55</v>
      </c>
      <c r="BX140" s="37" t="n">
        <v>0.55</v>
      </c>
      <c r="BY140" s="37" t="n">
        <v>0.55</v>
      </c>
      <c r="BZ140" s="37" t="n">
        <v>0.55</v>
      </c>
      <c r="CA140" s="37" t="n">
        <v>0.55</v>
      </c>
      <c r="CB140" s="37" t="n">
        <v>0.29</v>
      </c>
      <c r="CC140" s="37" t="n">
        <v>100.41</v>
      </c>
    </row>
    <row r="141" ht="15.75" customHeight="1" s="57">
      <c r="A141" s="7" t="inlineStr">
        <is>
          <t>NTB</t>
        </is>
      </c>
      <c r="B141" s="7" t="inlineStr">
        <is>
          <t>Khánh Hòa</t>
        </is>
      </c>
      <c r="C141" s="7" t="n">
        <v>2399</v>
      </c>
      <c r="D141" s="7" t="inlineStr">
        <is>
          <t>(KHO) Bắc Nha Trang</t>
        </is>
      </c>
      <c r="E141" s="7" t="inlineStr">
        <is>
          <t>SME</t>
        </is>
      </c>
      <c r="F141" s="36" t="n">
        <v>436</v>
      </c>
      <c r="G141" s="36" t="n">
        <v>611</v>
      </c>
      <c r="H141" s="36" t="n">
        <v>606</v>
      </c>
      <c r="I141" s="36" t="n">
        <v>573</v>
      </c>
      <c r="J141" s="36" t="n">
        <v>579</v>
      </c>
      <c r="K141" s="28" t="n">
        <v>485</v>
      </c>
      <c r="L141" s="36" t="n">
        <v>423</v>
      </c>
      <c r="M141" s="36" t="n">
        <v>421</v>
      </c>
      <c r="N141" s="36" t="n">
        <v>528</v>
      </c>
      <c r="O141" s="36" t="n">
        <v>512</v>
      </c>
      <c r="P141" s="36" t="n">
        <v>502</v>
      </c>
      <c r="Q141" s="36" t="n">
        <v>380</v>
      </c>
      <c r="R141" s="28" t="n">
        <v>484</v>
      </c>
      <c r="S141" s="36" t="n">
        <v>407</v>
      </c>
      <c r="T141" s="36" t="n">
        <v>536</v>
      </c>
      <c r="U141" s="36" t="n">
        <v>591.25</v>
      </c>
      <c r="V141" s="36" t="n">
        <v>612</v>
      </c>
      <c r="W141" s="36" t="n">
        <v>595.21</v>
      </c>
      <c r="X141" s="36" t="n">
        <v>487.12</v>
      </c>
      <c r="Y141" s="28" t="n">
        <v>659.5500000000001</v>
      </c>
      <c r="Z141" s="36" t="n">
        <v>607.51</v>
      </c>
      <c r="AA141" s="36" t="n">
        <v>592.49</v>
      </c>
      <c r="AB141" s="36" t="n">
        <v>591.25</v>
      </c>
      <c r="AC141" s="36" t="n">
        <v>612</v>
      </c>
      <c r="AD141" s="36" t="n">
        <v>600.01</v>
      </c>
      <c r="AE141" s="36" t="n">
        <v>487.12</v>
      </c>
      <c r="AF141" s="28" t="n">
        <v>659.5500000000001</v>
      </c>
      <c r="AG141" s="36" t="n">
        <v>607.51</v>
      </c>
      <c r="AH141" s="37" t="n">
        <v>592.49</v>
      </c>
      <c r="AI141" s="37" t="n">
        <v>591.25</v>
      </c>
      <c r="AJ141" s="37" t="n">
        <v>612</v>
      </c>
      <c r="AK141" s="37" t="n">
        <v>595.21</v>
      </c>
      <c r="AL141" s="37" t="n">
        <v>487.12</v>
      </c>
      <c r="AM141" s="37" t="n">
        <v>659.5500000000001</v>
      </c>
      <c r="AN141" s="37" t="n">
        <v>607.51</v>
      </c>
      <c r="AO141" s="37" t="n">
        <v>592.49</v>
      </c>
      <c r="AP141" s="37" t="n">
        <v>591.25</v>
      </c>
      <c r="AQ141" s="37" t="n">
        <v>612</v>
      </c>
      <c r="AR141" s="37" t="n">
        <v>595.21</v>
      </c>
      <c r="AS141" s="37" t="n">
        <v>487.12</v>
      </c>
      <c r="AT141" s="37" t="n">
        <v>659.5500000000001</v>
      </c>
      <c r="AU141" s="37" t="n">
        <v>607.51</v>
      </c>
      <c r="AV141" s="37" t="n">
        <v>592.49</v>
      </c>
      <c r="AW141" s="37" t="n">
        <v>591.25</v>
      </c>
      <c r="AX141" s="37" t="n">
        <v>612</v>
      </c>
      <c r="AY141" s="37" t="n">
        <v>595.21</v>
      </c>
      <c r="AZ141" s="37" t="n">
        <v>487.12</v>
      </c>
      <c r="BA141" s="37" t="n">
        <v>593.5699999999999</v>
      </c>
      <c r="BB141" s="37" t="n">
        <v>532.78</v>
      </c>
      <c r="BC141" s="37" t="n">
        <v>336.72</v>
      </c>
      <c r="BD141" s="37" t="n">
        <v>335.38</v>
      </c>
      <c r="BE141" s="37" t="n">
        <v>568.52</v>
      </c>
      <c r="BF141" s="37" t="n">
        <v>553</v>
      </c>
      <c r="BG141" s="37" t="n">
        <v>501.96</v>
      </c>
      <c r="BH141" s="37" t="n">
        <v>680.6899999999999</v>
      </c>
      <c r="BI141" s="37" t="n">
        <v>626.78</v>
      </c>
      <c r="BJ141" s="37" t="n">
        <v>615.9</v>
      </c>
      <c r="BK141" s="37" t="n">
        <v>610.03</v>
      </c>
      <c r="BL141" s="37" t="n">
        <v>631.3800000000001</v>
      </c>
      <c r="BM141" s="37" t="n">
        <v>614.2</v>
      </c>
      <c r="BN141" s="37" t="n">
        <v>501.96</v>
      </c>
      <c r="BO141" s="37" t="n">
        <v>680.6899999999999</v>
      </c>
      <c r="BP141" s="37" t="n">
        <v>626.78</v>
      </c>
      <c r="BQ141" s="37" t="n">
        <v>611.1800000000001</v>
      </c>
      <c r="BR141" s="37" t="n">
        <v>610.03</v>
      </c>
      <c r="BS141" s="37" t="n">
        <v>631.3800000000001</v>
      </c>
      <c r="BT141" s="37" t="n">
        <v>614.2</v>
      </c>
      <c r="BU141" s="37" t="n">
        <v>501.96</v>
      </c>
      <c r="BV141" s="37" t="n">
        <v>680.6899999999999</v>
      </c>
      <c r="BW141" s="37" t="n">
        <v>626.78</v>
      </c>
      <c r="BX141" s="37" t="n">
        <v>611.1800000000001</v>
      </c>
      <c r="BY141" s="37" t="n">
        <v>610.03</v>
      </c>
      <c r="BZ141" s="37" t="n">
        <v>631.3800000000001</v>
      </c>
      <c r="CA141" s="37" t="n">
        <v>614.2</v>
      </c>
      <c r="CB141" s="37" t="n">
        <v>501.96</v>
      </c>
      <c r="CC141" s="37" t="n">
        <v>42609.20999999997</v>
      </c>
    </row>
    <row r="142" ht="15.75" customHeight="1" s="57">
      <c r="A142" s="7" t="inlineStr">
        <is>
          <t>NTB</t>
        </is>
      </c>
      <c r="B142" s="7" t="inlineStr">
        <is>
          <t>Khánh Hòa</t>
        </is>
      </c>
      <c r="C142" s="7" t="n">
        <v>2399</v>
      </c>
      <c r="D142" s="7" t="inlineStr">
        <is>
          <t>(KHO) Bắc Nha Trang</t>
        </is>
      </c>
      <c r="E142" s="7" t="inlineStr">
        <is>
          <t>SME-Bulky</t>
        </is>
      </c>
      <c r="F142" s="36" t="n">
        <v>21</v>
      </c>
      <c r="G142" s="36" t="n">
        <v>28</v>
      </c>
      <c r="H142" s="36" t="n">
        <v>16</v>
      </c>
      <c r="I142" s="36" t="n">
        <v>20</v>
      </c>
      <c r="J142" s="36" t="n">
        <v>21</v>
      </c>
      <c r="K142" s="28" t="n">
        <v>15</v>
      </c>
      <c r="L142" s="36" t="n">
        <v>16</v>
      </c>
      <c r="M142" s="36" t="n">
        <v>17</v>
      </c>
      <c r="N142" s="36" t="n">
        <v>18</v>
      </c>
      <c r="O142" s="36" t="n">
        <v>18</v>
      </c>
      <c r="P142" s="36" t="n">
        <v>27</v>
      </c>
      <c r="Q142" s="36" t="n">
        <v>17</v>
      </c>
      <c r="R142" s="28" t="n">
        <v>29</v>
      </c>
      <c r="S142" s="36" t="n">
        <v>23</v>
      </c>
      <c r="T142" s="36" t="n">
        <v>12</v>
      </c>
      <c r="U142" s="36" t="n">
        <v>21.39</v>
      </c>
      <c r="V142" s="36" t="n">
        <v>21.67</v>
      </c>
      <c r="W142" s="36" t="n">
        <v>20.12</v>
      </c>
      <c r="X142" s="36" t="n">
        <v>13.41</v>
      </c>
      <c r="Y142" s="28" t="n">
        <v>24.55</v>
      </c>
      <c r="Z142" s="36" t="n">
        <v>23.67</v>
      </c>
      <c r="AA142" s="36" t="n">
        <v>22.5</v>
      </c>
      <c r="AB142" s="36" t="n">
        <v>21.39</v>
      </c>
      <c r="AC142" s="36" t="n">
        <v>21.67</v>
      </c>
      <c r="AD142" s="36" t="n">
        <v>19.01</v>
      </c>
      <c r="AE142" s="36" t="n">
        <v>13.41</v>
      </c>
      <c r="AF142" s="28" t="n">
        <v>24.55</v>
      </c>
      <c r="AG142" s="36" t="n">
        <v>23.67</v>
      </c>
      <c r="AH142" s="37" t="n">
        <v>22.5</v>
      </c>
      <c r="AI142" s="37" t="n">
        <v>21.39</v>
      </c>
      <c r="AJ142" s="37" t="n">
        <v>21.67</v>
      </c>
      <c r="AK142" s="37" t="n">
        <v>20.12</v>
      </c>
      <c r="AL142" s="37" t="n">
        <v>13.41</v>
      </c>
      <c r="AM142" s="37" t="n">
        <v>24.55</v>
      </c>
      <c r="AN142" s="37" t="n">
        <v>23.67</v>
      </c>
      <c r="AO142" s="37" t="n">
        <v>22.5</v>
      </c>
      <c r="AP142" s="37" t="n">
        <v>21.39</v>
      </c>
      <c r="AQ142" s="37" t="n">
        <v>21.67</v>
      </c>
      <c r="AR142" s="37" t="n">
        <v>20.12</v>
      </c>
      <c r="AS142" s="37" t="n">
        <v>13.41</v>
      </c>
      <c r="AT142" s="37" t="n">
        <v>24.55</v>
      </c>
      <c r="AU142" s="37" t="n">
        <v>23.67</v>
      </c>
      <c r="AV142" s="37" t="n">
        <v>22.5</v>
      </c>
      <c r="AW142" s="37" t="n">
        <v>21.39</v>
      </c>
      <c r="AX142" s="37" t="n">
        <v>21.67</v>
      </c>
      <c r="AY142" s="37" t="n">
        <v>20.12</v>
      </c>
      <c r="AZ142" s="37" t="n">
        <v>13.41</v>
      </c>
      <c r="BA142" s="37" t="n">
        <v>24.44</v>
      </c>
      <c r="BB142" s="37" t="n">
        <v>12.69</v>
      </c>
      <c r="BC142" s="37" t="n">
        <v>6.43</v>
      </c>
      <c r="BD142" s="37" t="n">
        <v>5.88</v>
      </c>
      <c r="BE142" s="37" t="n">
        <v>10.97</v>
      </c>
      <c r="BF142" s="37" t="n">
        <v>10.14</v>
      </c>
      <c r="BG142" s="37" t="n">
        <v>8.09</v>
      </c>
      <c r="BH142" s="37" t="n">
        <v>14.41</v>
      </c>
      <c r="BI142" s="37" t="n">
        <v>14.19</v>
      </c>
      <c r="BJ142" s="37" t="n">
        <v>12.36</v>
      </c>
      <c r="BK142" s="37" t="n">
        <v>12.69</v>
      </c>
      <c r="BL142" s="37" t="n">
        <v>12.97</v>
      </c>
      <c r="BM142" s="37" t="n">
        <v>11.81</v>
      </c>
      <c r="BN142" s="37" t="n">
        <v>8.09</v>
      </c>
      <c r="BO142" s="37" t="n">
        <v>14.41</v>
      </c>
      <c r="BP142" s="37" t="n">
        <v>14.19</v>
      </c>
      <c r="BQ142" s="37" t="n">
        <v>13.25</v>
      </c>
      <c r="BR142" s="37" t="n">
        <v>12.69</v>
      </c>
      <c r="BS142" s="37" t="n">
        <v>12.97</v>
      </c>
      <c r="BT142" s="37" t="n">
        <v>11.81</v>
      </c>
      <c r="BU142" s="37" t="n">
        <v>8.09</v>
      </c>
      <c r="BV142" s="37" t="n">
        <v>14.41</v>
      </c>
      <c r="BW142" s="37" t="n">
        <v>14.19</v>
      </c>
      <c r="BX142" s="37" t="n">
        <v>13.25</v>
      </c>
      <c r="BY142" s="37" t="n">
        <v>12.69</v>
      </c>
      <c r="BZ142" s="37" t="n">
        <v>12.97</v>
      </c>
      <c r="CA142" s="37" t="n">
        <v>11.81</v>
      </c>
      <c r="CB142" s="37" t="n">
        <v>8.09</v>
      </c>
      <c r="CC142" s="37" t="n">
        <v>1302.7</v>
      </c>
    </row>
    <row r="143" ht="15.75" customHeight="1" s="57">
      <c r="A143" s="7" t="inlineStr">
        <is>
          <t>NTB</t>
        </is>
      </c>
      <c r="B143" s="7" t="inlineStr">
        <is>
          <t>Khánh Hòa</t>
        </is>
      </c>
      <c r="C143" s="7" t="n">
        <v>2399</v>
      </c>
      <c r="D143" s="7" t="inlineStr">
        <is>
          <t>(KHO) Bắc Nha Trang</t>
        </is>
      </c>
      <c r="E143" s="7" t="inlineStr">
        <is>
          <t>Shopee</t>
        </is>
      </c>
      <c r="F143" s="36" t="n">
        <v>468</v>
      </c>
      <c r="G143" s="36" t="n">
        <v>656</v>
      </c>
      <c r="H143" s="36" t="n">
        <v>599</v>
      </c>
      <c r="I143" s="36" t="n">
        <v>611</v>
      </c>
      <c r="J143" s="36" t="n">
        <v>573</v>
      </c>
      <c r="K143" s="28" t="n">
        <v>357</v>
      </c>
      <c r="L143" s="36" t="n">
        <v>471</v>
      </c>
      <c r="M143" s="36" t="n">
        <v>572</v>
      </c>
      <c r="N143" s="36" t="n">
        <v>747</v>
      </c>
      <c r="O143" s="36" t="n">
        <v>582</v>
      </c>
      <c r="P143" s="36" t="n">
        <v>559</v>
      </c>
      <c r="Q143" s="36" t="n">
        <v>428</v>
      </c>
      <c r="R143" s="28" t="n">
        <v>459</v>
      </c>
      <c r="S143" s="36" t="n">
        <v>381</v>
      </c>
      <c r="T143" s="36" t="n">
        <v>546</v>
      </c>
      <c r="U143" s="36" t="n">
        <v>918.92</v>
      </c>
      <c r="V143" s="36" t="n">
        <v>922.46</v>
      </c>
      <c r="W143" s="36" t="n">
        <v>909.26</v>
      </c>
      <c r="X143" s="36" t="n">
        <v>739.33</v>
      </c>
      <c r="Y143" s="28" t="n">
        <v>1238.51</v>
      </c>
      <c r="Z143" s="36" t="n">
        <v>979.49</v>
      </c>
      <c r="AA143" s="36" t="n">
        <v>1347.39</v>
      </c>
      <c r="AB143" s="36" t="n">
        <v>937.3099999999999</v>
      </c>
      <c r="AC143" s="36" t="n">
        <v>757.48</v>
      </c>
      <c r="AD143" s="36" t="n">
        <v>2326.89</v>
      </c>
      <c r="AE143" s="36" t="n">
        <v>791.89</v>
      </c>
      <c r="AF143" s="28" t="n">
        <v>1410.32</v>
      </c>
      <c r="AG143" s="36" t="n">
        <v>1028.99</v>
      </c>
      <c r="AH143" s="37" t="n">
        <v>1086.49</v>
      </c>
      <c r="AI143" s="37" t="n">
        <v>918.92</v>
      </c>
      <c r="AJ143" s="37" t="n">
        <v>922.46</v>
      </c>
      <c r="AK143" s="37" t="n">
        <v>1226.72</v>
      </c>
      <c r="AL143" s="37" t="n">
        <v>1326.89</v>
      </c>
      <c r="AM143" s="37" t="n">
        <v>1238.51</v>
      </c>
      <c r="AN143" s="37" t="n">
        <v>979.49</v>
      </c>
      <c r="AO143" s="37" t="n">
        <v>1086.49</v>
      </c>
      <c r="AP143" s="37" t="n">
        <v>1146.36</v>
      </c>
      <c r="AQ143" s="37" t="n">
        <v>739.5700000000001</v>
      </c>
      <c r="AR143" s="37" t="n">
        <v>909.26</v>
      </c>
      <c r="AS143" s="37" t="n">
        <v>739.33</v>
      </c>
      <c r="AT143" s="37" t="n">
        <v>1238.51</v>
      </c>
      <c r="AU143" s="37" t="n">
        <v>999.76</v>
      </c>
      <c r="AV143" s="37" t="n">
        <v>1108.41</v>
      </c>
      <c r="AW143" s="37" t="n">
        <v>918.92</v>
      </c>
      <c r="AX143" s="37" t="n">
        <v>922.46</v>
      </c>
      <c r="AY143" s="37" t="n">
        <v>909.26</v>
      </c>
      <c r="AZ143" s="37" t="n">
        <v>739.33</v>
      </c>
      <c r="BA143" s="37" t="n">
        <v>953.8</v>
      </c>
      <c r="BB143" s="37" t="n">
        <v>831.49</v>
      </c>
      <c r="BC143" s="37" t="n">
        <v>423.52</v>
      </c>
      <c r="BD143" s="37" t="n">
        <v>752.77</v>
      </c>
      <c r="BE143" s="37" t="n">
        <v>878.86</v>
      </c>
      <c r="BF143" s="37" t="n">
        <v>866.37</v>
      </c>
      <c r="BG143" s="37" t="n">
        <v>718.83</v>
      </c>
      <c r="BH143" s="37" t="n">
        <v>1180.06</v>
      </c>
      <c r="BI143" s="37" t="n">
        <v>767.62</v>
      </c>
      <c r="BJ143" s="37" t="n">
        <v>3303.32</v>
      </c>
      <c r="BK143" s="37" t="n">
        <v>936.36</v>
      </c>
      <c r="BL143" s="37" t="n">
        <v>921.28</v>
      </c>
      <c r="BM143" s="37" t="n">
        <v>866.37</v>
      </c>
      <c r="BN143" s="37" t="n">
        <v>704.45</v>
      </c>
      <c r="BO143" s="37" t="n">
        <v>1180.06</v>
      </c>
      <c r="BP143" s="37" t="n">
        <v>1258.78</v>
      </c>
      <c r="BQ143" s="37" t="n">
        <v>1859.29</v>
      </c>
      <c r="BR143" s="37" t="n">
        <v>875.3200000000001</v>
      </c>
      <c r="BS143" s="37" t="n">
        <v>878.86</v>
      </c>
      <c r="BT143" s="37" t="n">
        <v>866.37</v>
      </c>
      <c r="BU143" s="37" t="n">
        <v>879.33</v>
      </c>
      <c r="BV143" s="37" t="n">
        <v>944.38</v>
      </c>
      <c r="BW143" s="37" t="n">
        <v>932.83</v>
      </c>
      <c r="BX143" s="37" t="n">
        <v>1034.88</v>
      </c>
      <c r="BY143" s="37" t="n">
        <v>875.3200000000001</v>
      </c>
      <c r="BZ143" s="37" t="n">
        <v>897.01</v>
      </c>
      <c r="CA143" s="37" t="n">
        <v>883.34</v>
      </c>
      <c r="CB143" s="37" t="n">
        <v>704.45</v>
      </c>
      <c r="CC143" s="37" t="n">
        <v>69649.70000000001</v>
      </c>
    </row>
    <row r="144" ht="15.75" customHeight="1" s="57">
      <c r="A144" s="7" t="inlineStr">
        <is>
          <t>NTB</t>
        </is>
      </c>
      <c r="B144" s="7" t="inlineStr">
        <is>
          <t>Khánh Hòa</t>
        </is>
      </c>
      <c r="C144" s="7" t="n">
        <v>2399</v>
      </c>
      <c r="D144" s="7" t="inlineStr">
        <is>
          <t>(KHO) Bắc Nha Trang</t>
        </is>
      </c>
      <c r="E144" s="7" t="inlineStr">
        <is>
          <t>Shopee-Bulky</t>
        </is>
      </c>
      <c r="F144" s="36" t="n">
        <v>28.18</v>
      </c>
      <c r="G144" s="36" t="n">
        <v>33.3</v>
      </c>
      <c r="H144" s="36" t="n">
        <v>29.46</v>
      </c>
      <c r="I144" s="36" t="n">
        <v>39.07</v>
      </c>
      <c r="J144" s="36" t="n">
        <v>27.54</v>
      </c>
      <c r="K144" s="28" t="n">
        <v>17.29</v>
      </c>
      <c r="L144" s="36" t="n">
        <v>19.21</v>
      </c>
      <c r="M144" s="36" t="n">
        <v>17.29</v>
      </c>
      <c r="N144" s="36" t="n">
        <v>21.77</v>
      </c>
      <c r="O144" s="36" t="n">
        <v>22.42</v>
      </c>
      <c r="P144" s="36" t="n">
        <v>28.82</v>
      </c>
      <c r="Q144" s="36" t="n">
        <v>40.99</v>
      </c>
      <c r="R144" s="28" t="n">
        <v>54.44</v>
      </c>
      <c r="S144" s="36" t="n">
        <v>60.84</v>
      </c>
      <c r="T144" s="36" t="n">
        <v>35.86</v>
      </c>
      <c r="U144" s="36" t="n">
        <v>34.42</v>
      </c>
      <c r="V144" s="36" t="n">
        <v>33.36</v>
      </c>
      <c r="W144" s="36" t="n">
        <v>46.55</v>
      </c>
      <c r="X144" s="36" t="n">
        <v>25.7</v>
      </c>
      <c r="Y144" s="28" t="n">
        <v>50.78</v>
      </c>
      <c r="Z144" s="36" t="n">
        <v>39.58</v>
      </c>
      <c r="AA144" s="36" t="n">
        <v>38.34</v>
      </c>
      <c r="AB144" s="36" t="n">
        <v>39.15</v>
      </c>
      <c r="AC144" s="36" t="n">
        <v>41.45</v>
      </c>
      <c r="AD144" s="36" t="n">
        <v>115.2</v>
      </c>
      <c r="AE144" s="36" t="n">
        <v>65.97</v>
      </c>
      <c r="AF144" s="28" t="n">
        <v>100.07</v>
      </c>
      <c r="AG144" s="36" t="n">
        <v>56.57</v>
      </c>
      <c r="AH144" s="37" t="n">
        <v>39.27</v>
      </c>
      <c r="AI144" s="37" t="n">
        <v>38.34</v>
      </c>
      <c r="AJ144" s="37" t="n">
        <v>37.78</v>
      </c>
      <c r="AK144" s="37" t="n">
        <v>85.7</v>
      </c>
      <c r="AL144" s="37" t="n">
        <v>43.32</v>
      </c>
      <c r="AM144" s="37" t="n">
        <v>62.36</v>
      </c>
      <c r="AN144" s="37" t="n">
        <v>39.02</v>
      </c>
      <c r="AO144" s="37" t="n">
        <v>38.15</v>
      </c>
      <c r="AP144" s="37" t="n">
        <v>52.53</v>
      </c>
      <c r="AQ144" s="37" t="n">
        <v>51.65</v>
      </c>
      <c r="AR144" s="37" t="n">
        <v>42.19</v>
      </c>
      <c r="AS144" s="37" t="n">
        <v>22.59</v>
      </c>
      <c r="AT144" s="37" t="n">
        <v>46.43</v>
      </c>
      <c r="AU144" s="37" t="n">
        <v>76.05</v>
      </c>
      <c r="AV144" s="37" t="n">
        <v>79.09999999999999</v>
      </c>
      <c r="AW144" s="37" t="n">
        <v>38.59</v>
      </c>
      <c r="AX144" s="37" t="n">
        <v>36.22</v>
      </c>
      <c r="AY144" s="37" t="n">
        <v>40.39</v>
      </c>
      <c r="AZ144" s="37" t="n">
        <v>21.66</v>
      </c>
      <c r="BA144" s="37" t="n">
        <v>42.32</v>
      </c>
      <c r="BB144" s="37" t="n">
        <v>39.71</v>
      </c>
      <c r="BC144" s="37" t="n">
        <v>13.69</v>
      </c>
      <c r="BD144" s="37" t="n">
        <v>33.73</v>
      </c>
      <c r="BE144" s="37" t="n">
        <v>41.88</v>
      </c>
      <c r="BF144" s="37" t="n">
        <v>36.59</v>
      </c>
      <c r="BG144" s="37" t="n">
        <v>29.37</v>
      </c>
      <c r="BH144" s="37" t="n">
        <v>54.21</v>
      </c>
      <c r="BI144" s="37" t="n">
        <v>46.12</v>
      </c>
      <c r="BJ144" s="37" t="n">
        <v>182.1</v>
      </c>
      <c r="BK144" s="37" t="n">
        <v>98.39</v>
      </c>
      <c r="BL144" s="37" t="n">
        <v>50.6</v>
      </c>
      <c r="BM144" s="37" t="n">
        <v>38.27</v>
      </c>
      <c r="BN144" s="37" t="n">
        <v>28.63</v>
      </c>
      <c r="BO144" s="37" t="n">
        <v>63.48</v>
      </c>
      <c r="BP144" s="37" t="n">
        <v>91.92</v>
      </c>
      <c r="BQ144" s="37" t="n">
        <v>67.15000000000001</v>
      </c>
      <c r="BR144" s="37" t="n">
        <v>43.88</v>
      </c>
      <c r="BS144" s="37" t="n">
        <v>41.88</v>
      </c>
      <c r="BT144" s="37" t="n">
        <v>36.59</v>
      </c>
      <c r="BU144" s="37" t="n">
        <v>42.51</v>
      </c>
      <c r="BV144" s="37" t="n">
        <v>57.44</v>
      </c>
      <c r="BW144" s="37" t="n">
        <v>46.12</v>
      </c>
      <c r="BX144" s="37" t="n">
        <v>44.68</v>
      </c>
      <c r="BY144" s="37" t="n">
        <v>43.88</v>
      </c>
      <c r="BZ144" s="37" t="n">
        <v>75.12</v>
      </c>
      <c r="CA144" s="37" t="n">
        <v>43.56</v>
      </c>
      <c r="CB144" s="37" t="n">
        <v>27.82</v>
      </c>
      <c r="CC144" s="37" t="n">
        <v>3516.600000000001</v>
      </c>
    </row>
    <row r="145" ht="15.75" customHeight="1" s="57">
      <c r="A145" s="7" t="inlineStr">
        <is>
          <t>NTB</t>
        </is>
      </c>
      <c r="B145" s="7" t="inlineStr">
        <is>
          <t>Khánh Hòa</t>
        </is>
      </c>
      <c r="C145" s="7" t="n">
        <v>2399</v>
      </c>
      <c r="D145" s="7" t="inlineStr">
        <is>
          <t>(KHO) Bắc Nha Trang</t>
        </is>
      </c>
      <c r="E145" s="7" t="inlineStr">
        <is>
          <t>Shopee-Bulky (10-15kg)</t>
        </is>
      </c>
      <c r="F145" s="36" t="n">
        <v>15.82</v>
      </c>
      <c r="G145" s="36" t="n">
        <v>18.7</v>
      </c>
      <c r="H145" s="36" t="n">
        <v>16.54</v>
      </c>
      <c r="I145" s="36" t="n">
        <v>21.93</v>
      </c>
      <c r="J145" s="36" t="n">
        <v>15.46</v>
      </c>
      <c r="K145" s="28" t="n">
        <v>9.710000000000001</v>
      </c>
      <c r="L145" s="36" t="n">
        <v>10.79</v>
      </c>
      <c r="M145" s="36" t="n">
        <v>9.710000000000001</v>
      </c>
      <c r="N145" s="36" t="n">
        <v>12.23</v>
      </c>
      <c r="O145" s="36" t="n">
        <v>12.58</v>
      </c>
      <c r="P145" s="36" t="n">
        <v>16.18</v>
      </c>
      <c r="Q145" s="36" t="n">
        <v>23.01</v>
      </c>
      <c r="R145" s="28" t="n">
        <v>30.56</v>
      </c>
      <c r="S145" s="36" t="n">
        <v>34.16</v>
      </c>
      <c r="T145" s="36" t="n">
        <v>20.14</v>
      </c>
      <c r="U145" s="36" t="n">
        <v>20.6</v>
      </c>
      <c r="V145" s="36" t="n">
        <v>19.73</v>
      </c>
      <c r="W145" s="36" t="n">
        <v>25.45</v>
      </c>
      <c r="X145" s="36" t="n">
        <v>14.31</v>
      </c>
      <c r="Y145" s="28" t="n">
        <v>29</v>
      </c>
      <c r="Z145" s="36" t="n">
        <v>22.65</v>
      </c>
      <c r="AA145" s="36" t="n">
        <v>21.35</v>
      </c>
      <c r="AB145" s="36" t="n">
        <v>22.34</v>
      </c>
      <c r="AC145" s="36" t="n">
        <v>23.15</v>
      </c>
      <c r="AD145" s="36" t="n">
        <v>86.31999999999999</v>
      </c>
      <c r="AE145" s="36" t="n">
        <v>35.85</v>
      </c>
      <c r="AF145" s="28" t="n">
        <v>52.9</v>
      </c>
      <c r="AG145" s="36" t="n">
        <v>31.55</v>
      </c>
      <c r="AH145" s="37" t="n">
        <v>22.34</v>
      </c>
      <c r="AI145" s="37" t="n">
        <v>21.6</v>
      </c>
      <c r="AJ145" s="37" t="n">
        <v>21.16</v>
      </c>
      <c r="AK145" s="37" t="n">
        <v>48.92</v>
      </c>
      <c r="AL145" s="37" t="n">
        <v>24.58</v>
      </c>
      <c r="AM145" s="37" t="n">
        <v>35.29</v>
      </c>
      <c r="AN145" s="37" t="n">
        <v>22.34</v>
      </c>
      <c r="AO145" s="37" t="n">
        <v>21.53</v>
      </c>
      <c r="AP145" s="37" t="n">
        <v>27.88</v>
      </c>
      <c r="AQ145" s="37" t="n">
        <v>29.31</v>
      </c>
      <c r="AR145" s="37" t="n">
        <v>22.84</v>
      </c>
      <c r="AS145" s="37" t="n">
        <v>12.57</v>
      </c>
      <c r="AT145" s="37" t="n">
        <v>26.26</v>
      </c>
      <c r="AU145" s="37" t="n">
        <v>43.44</v>
      </c>
      <c r="AV145" s="37" t="n">
        <v>45.06</v>
      </c>
      <c r="AW145" s="37" t="n">
        <v>21.84</v>
      </c>
      <c r="AX145" s="37" t="n">
        <v>20.41</v>
      </c>
      <c r="AY145" s="37" t="n">
        <v>21.97</v>
      </c>
      <c r="AZ145" s="37" t="n">
        <v>12.14</v>
      </c>
      <c r="BA145" s="37" t="n">
        <v>23.96</v>
      </c>
      <c r="BB145" s="37" t="n">
        <v>22.96</v>
      </c>
      <c r="BC145" s="37" t="n">
        <v>7.72</v>
      </c>
      <c r="BD145" s="37" t="n">
        <v>18.3</v>
      </c>
      <c r="BE145" s="37" t="n">
        <v>23.59</v>
      </c>
      <c r="BF145" s="37" t="n">
        <v>20.1</v>
      </c>
      <c r="BG145" s="37" t="n">
        <v>16.43</v>
      </c>
      <c r="BH145" s="37" t="n">
        <v>31.43</v>
      </c>
      <c r="BI145" s="37" t="n">
        <v>26.7</v>
      </c>
      <c r="BJ145" s="37" t="n">
        <v>118.37</v>
      </c>
      <c r="BK145" s="37" t="n">
        <v>55.2</v>
      </c>
      <c r="BL145" s="37" t="n">
        <v>29.37</v>
      </c>
      <c r="BM145" s="37" t="n">
        <v>21.35</v>
      </c>
      <c r="BN145" s="37" t="n">
        <v>16.12</v>
      </c>
      <c r="BO145" s="37" t="n">
        <v>35.35</v>
      </c>
      <c r="BP145" s="37" t="n">
        <v>51.53</v>
      </c>
      <c r="BQ145" s="37" t="n">
        <v>37.9</v>
      </c>
      <c r="BR145" s="37" t="n">
        <v>25.33</v>
      </c>
      <c r="BS145" s="37" t="n">
        <v>23.59</v>
      </c>
      <c r="BT145" s="37" t="n">
        <v>20.1</v>
      </c>
      <c r="BU145" s="37" t="n">
        <v>24.46</v>
      </c>
      <c r="BV145" s="37" t="n">
        <v>32.49</v>
      </c>
      <c r="BW145" s="37" t="n">
        <v>26.7</v>
      </c>
      <c r="BX145" s="37" t="n">
        <v>25.52</v>
      </c>
      <c r="BY145" s="37" t="n">
        <v>25.33</v>
      </c>
      <c r="BZ145" s="37" t="n">
        <v>41.82</v>
      </c>
      <c r="CA145" s="37" t="n">
        <v>24.96</v>
      </c>
      <c r="CB145" s="37" t="n">
        <v>15.75</v>
      </c>
      <c r="CC145" s="37" t="n">
        <v>2016.63</v>
      </c>
    </row>
    <row r="146" ht="15.75" customHeight="1" s="57">
      <c r="A146" s="7" t="inlineStr">
        <is>
          <t>NTB</t>
        </is>
      </c>
      <c r="B146" s="7" t="inlineStr">
        <is>
          <t>Khánh Hòa</t>
        </is>
      </c>
      <c r="C146" s="7" t="n">
        <v>2399</v>
      </c>
      <c r="D146" s="7" t="inlineStr">
        <is>
          <t>(KHO) Bắc Nha Trang</t>
        </is>
      </c>
      <c r="E146" s="7" t="inlineStr">
        <is>
          <t>TTS</t>
        </is>
      </c>
      <c r="F146" s="36" t="n">
        <v>296</v>
      </c>
      <c r="G146" s="36" t="n">
        <v>366</v>
      </c>
      <c r="H146" s="36" t="n">
        <v>345</v>
      </c>
      <c r="I146" s="36" t="n">
        <v>348</v>
      </c>
      <c r="J146" s="36" t="n">
        <v>342</v>
      </c>
      <c r="K146" s="28" t="n">
        <v>270</v>
      </c>
      <c r="L146" s="36" t="n">
        <v>274</v>
      </c>
      <c r="M146" s="36" t="n">
        <v>286</v>
      </c>
      <c r="N146" s="36" t="n">
        <v>354</v>
      </c>
      <c r="O146" s="36" t="n">
        <v>362</v>
      </c>
      <c r="P146" s="36" t="n">
        <v>365</v>
      </c>
      <c r="Q146" s="36" t="n">
        <v>243</v>
      </c>
      <c r="R146" s="28" t="n">
        <v>305</v>
      </c>
      <c r="S146" s="36" t="n">
        <v>286</v>
      </c>
      <c r="T146" s="36" t="n">
        <v>372</v>
      </c>
      <c r="U146" s="36" t="n">
        <v>275.6900000000001</v>
      </c>
      <c r="V146" s="36" t="n">
        <v>270.62</v>
      </c>
      <c r="W146" s="36" t="n">
        <v>264.72</v>
      </c>
      <c r="X146" s="36" t="n">
        <v>213.27</v>
      </c>
      <c r="Y146" s="28" t="n">
        <v>310.95</v>
      </c>
      <c r="Z146" s="36" t="n">
        <v>263.6</v>
      </c>
      <c r="AA146" s="36" t="n">
        <v>293.24</v>
      </c>
      <c r="AB146" s="36" t="n">
        <v>325.82</v>
      </c>
      <c r="AC146" s="36" t="n">
        <v>343.57</v>
      </c>
      <c r="AD146" s="36" t="n">
        <v>377.79</v>
      </c>
      <c r="AE146" s="36" t="n">
        <v>248.12</v>
      </c>
      <c r="AF146" s="28" t="n">
        <v>320.22</v>
      </c>
      <c r="AG146" s="36" t="n">
        <v>269.6</v>
      </c>
      <c r="AH146" s="37" t="n">
        <v>266.75</v>
      </c>
      <c r="AI146" s="37" t="n">
        <v>304.95</v>
      </c>
      <c r="AJ146" s="37" t="n">
        <v>327.75</v>
      </c>
      <c r="AK146" s="37" t="n">
        <v>323.21</v>
      </c>
      <c r="AL146" s="37" t="n">
        <v>229.8</v>
      </c>
      <c r="AM146" s="37" t="n">
        <v>315.74</v>
      </c>
      <c r="AN146" s="37" t="n">
        <v>272.29</v>
      </c>
      <c r="AO146" s="37" t="n">
        <v>271.21</v>
      </c>
      <c r="AP146" s="37" t="n">
        <v>262.99</v>
      </c>
      <c r="AQ146" s="37" t="n">
        <v>265.33</v>
      </c>
      <c r="AR146" s="37" t="n">
        <v>260.64</v>
      </c>
      <c r="AS146" s="37" t="n">
        <v>213.98</v>
      </c>
      <c r="AT146" s="37" t="n">
        <v>342.29</v>
      </c>
      <c r="AU146" s="37" t="n">
        <v>309.63</v>
      </c>
      <c r="AV146" s="37" t="n">
        <v>275.08</v>
      </c>
      <c r="AW146" s="37" t="n">
        <v>259.93</v>
      </c>
      <c r="AX146" s="37" t="n">
        <v>258.51</v>
      </c>
      <c r="AY146" s="37" t="n">
        <v>257.28</v>
      </c>
      <c r="AZ146" s="37" t="n">
        <v>214.08</v>
      </c>
      <c r="BA146" s="37" t="n">
        <v>308.41</v>
      </c>
      <c r="BB146" s="37" t="n">
        <v>287.84</v>
      </c>
      <c r="BC146" s="37" t="n">
        <v>170.31</v>
      </c>
      <c r="BD146" s="37" t="n">
        <v>248.53</v>
      </c>
      <c r="BE146" s="37" t="n">
        <v>292.43</v>
      </c>
      <c r="BF146" s="37" t="n">
        <v>284.08</v>
      </c>
      <c r="BG146" s="37" t="n">
        <v>230</v>
      </c>
      <c r="BH146" s="37" t="n">
        <v>341.78</v>
      </c>
      <c r="BI146" s="37" t="n">
        <v>287.84</v>
      </c>
      <c r="BJ146" s="37" t="n">
        <v>287.38</v>
      </c>
      <c r="BK146" s="37" t="n">
        <v>292.02</v>
      </c>
      <c r="BL146" s="37" t="n">
        <v>292.43</v>
      </c>
      <c r="BM146" s="37" t="n">
        <v>284.08</v>
      </c>
      <c r="BN146" s="37" t="n">
        <v>230</v>
      </c>
      <c r="BO146" s="37" t="n">
        <v>341.78</v>
      </c>
      <c r="BP146" s="37" t="n">
        <v>287.84</v>
      </c>
      <c r="BQ146" s="37" t="n">
        <v>284.48</v>
      </c>
      <c r="BR146" s="37" t="n">
        <v>292.02</v>
      </c>
      <c r="BS146" s="37" t="n">
        <v>292.43</v>
      </c>
      <c r="BT146" s="37" t="n">
        <v>284.08</v>
      </c>
      <c r="BU146" s="37" t="n">
        <v>230</v>
      </c>
      <c r="BV146" s="37" t="n">
        <v>341.78</v>
      </c>
      <c r="BW146" s="37" t="n">
        <v>287.84</v>
      </c>
      <c r="BX146" s="37" t="n">
        <v>284.48</v>
      </c>
      <c r="BY146" s="37" t="n">
        <v>292.02</v>
      </c>
      <c r="BZ146" s="37" t="n">
        <v>292.43</v>
      </c>
      <c r="CA146" s="37" t="n">
        <v>284.08</v>
      </c>
      <c r="CB146" s="37" t="n">
        <v>230</v>
      </c>
      <c r="CC146" s="37" t="n">
        <v>21685.04</v>
      </c>
    </row>
    <row r="147" ht="15.75" customHeight="1" s="57">
      <c r="A147" s="7" t="inlineStr">
        <is>
          <t>NTB</t>
        </is>
      </c>
      <c r="B147" s="7" t="inlineStr">
        <is>
          <t>Khánh Hòa</t>
        </is>
      </c>
      <c r="C147" s="7" t="n">
        <v>2399</v>
      </c>
      <c r="D147" s="7" t="inlineStr">
        <is>
          <t>(KHO) Bắc Nha Trang</t>
        </is>
      </c>
      <c r="E147" s="7" t="inlineStr">
        <is>
          <t>TTS-Bulky</t>
        </is>
      </c>
      <c r="F147" s="36" t="n">
        <v>6</v>
      </c>
      <c r="G147" s="36" t="n">
        <v>2</v>
      </c>
      <c r="H147" s="36" t="n">
        <v>5</v>
      </c>
      <c r="I147" s="36" t="n">
        <v>4</v>
      </c>
      <c r="J147" s="36" t="n">
        <v>2</v>
      </c>
      <c r="K147" s="28" t="n">
        <v>3</v>
      </c>
      <c r="L147" s="36" t="n">
        <v>2</v>
      </c>
      <c r="M147" s="36" t="n">
        <v>0</v>
      </c>
      <c r="N147" s="36" t="n">
        <v>0</v>
      </c>
      <c r="O147" s="36" t="n">
        <v>0</v>
      </c>
      <c r="P147" s="36" t="n">
        <v>2</v>
      </c>
      <c r="Q147" s="36" t="n">
        <v>0</v>
      </c>
      <c r="R147" s="28" t="n">
        <v>0</v>
      </c>
      <c r="S147" s="36" t="n">
        <v>1</v>
      </c>
      <c r="T147" s="36" t="n">
        <v>2</v>
      </c>
      <c r="U147" s="36" t="n">
        <v>6.61</v>
      </c>
      <c r="V147" s="36" t="n">
        <v>6.33</v>
      </c>
      <c r="W147" s="36" t="n">
        <v>3.18</v>
      </c>
      <c r="X147" s="36" t="n">
        <v>2.39</v>
      </c>
      <c r="Y147" s="28" t="n">
        <v>4.06</v>
      </c>
      <c r="Z147" s="36" t="n">
        <v>2.98</v>
      </c>
      <c r="AA147" s="36" t="n">
        <v>3.38</v>
      </c>
      <c r="AB147" s="36" t="n">
        <v>3.62</v>
      </c>
      <c r="AC147" s="36" t="n">
        <v>3.94</v>
      </c>
      <c r="AD147" s="36" t="n">
        <v>4.93</v>
      </c>
      <c r="AE147" s="36" t="n">
        <v>2.63</v>
      </c>
      <c r="AF147" s="28" t="n">
        <v>3.86</v>
      </c>
      <c r="AG147" s="36" t="n">
        <v>3.1</v>
      </c>
      <c r="AH147" s="37" t="n">
        <v>3.1</v>
      </c>
      <c r="AI147" s="37" t="n">
        <v>3.22</v>
      </c>
      <c r="AJ147" s="37" t="n">
        <v>3.54</v>
      </c>
      <c r="AK147" s="37" t="n">
        <v>3.42</v>
      </c>
      <c r="AL147" s="37" t="n">
        <v>2.43</v>
      </c>
      <c r="AM147" s="37" t="n">
        <v>3.82</v>
      </c>
      <c r="AN147" s="37" t="n">
        <v>3.18</v>
      </c>
      <c r="AO147" s="37" t="n">
        <v>3.1</v>
      </c>
      <c r="AP147" s="37" t="n">
        <v>3.14</v>
      </c>
      <c r="AQ147" s="37" t="n">
        <v>3.14</v>
      </c>
      <c r="AR147" s="37" t="n">
        <v>3.14</v>
      </c>
      <c r="AS147" s="37" t="n">
        <v>2.31</v>
      </c>
      <c r="AT147" s="37" t="n">
        <v>4.02</v>
      </c>
      <c r="AU147" s="37" t="n">
        <v>3.62</v>
      </c>
      <c r="AV147" s="37" t="n">
        <v>3.22</v>
      </c>
      <c r="AW147" s="37" t="n">
        <v>3.1</v>
      </c>
      <c r="AX147" s="37" t="n">
        <v>3.1</v>
      </c>
      <c r="AY147" s="37" t="n">
        <v>3.14</v>
      </c>
      <c r="AZ147" s="37" t="n">
        <v>2.31</v>
      </c>
      <c r="BA147" s="37" t="n">
        <v>3.54</v>
      </c>
      <c r="BB147" s="37" t="n">
        <v>0.84</v>
      </c>
      <c r="BC147" s="37" t="n">
        <v>0.52</v>
      </c>
      <c r="BD147" s="37" t="n">
        <v>0.6</v>
      </c>
      <c r="BE147" s="37" t="n">
        <v>0.84</v>
      </c>
      <c r="BF147" s="37" t="n">
        <v>0.88</v>
      </c>
      <c r="BG147" s="37" t="n">
        <v>0.6</v>
      </c>
      <c r="BH147" s="37" t="n">
        <v>1.11</v>
      </c>
      <c r="BI147" s="37" t="n">
        <v>0.92</v>
      </c>
      <c r="BJ147" s="37" t="n">
        <v>1.15</v>
      </c>
      <c r="BK147" s="37" t="n">
        <v>0.88</v>
      </c>
      <c r="BL147" s="37" t="n">
        <v>0.84</v>
      </c>
      <c r="BM147" s="37" t="n">
        <v>0.88</v>
      </c>
      <c r="BN147" s="37" t="n">
        <v>0.6</v>
      </c>
      <c r="BO147" s="37" t="n">
        <v>1.35</v>
      </c>
      <c r="BP147" s="37" t="n">
        <v>1.03</v>
      </c>
      <c r="BQ147" s="37" t="n">
        <v>0.88</v>
      </c>
      <c r="BR147" s="37" t="n">
        <v>0.88</v>
      </c>
      <c r="BS147" s="37" t="n">
        <v>0.84</v>
      </c>
      <c r="BT147" s="37" t="n">
        <v>0.88</v>
      </c>
      <c r="BU147" s="37" t="n">
        <v>0.6</v>
      </c>
      <c r="BV147" s="37" t="n">
        <v>1.03</v>
      </c>
      <c r="BW147" s="37" t="n">
        <v>0.92</v>
      </c>
      <c r="BX147" s="37" t="n">
        <v>0.88</v>
      </c>
      <c r="BY147" s="37" t="n">
        <v>0.88</v>
      </c>
      <c r="BZ147" s="37" t="n">
        <v>0.84</v>
      </c>
      <c r="CA147" s="37" t="n">
        <v>0.88</v>
      </c>
      <c r="CB147" s="37" t="n">
        <v>0.6</v>
      </c>
      <c r="CC147" s="37" t="n">
        <v>166.7499999999999</v>
      </c>
    </row>
    <row r="148" ht="15.75" customHeight="1" s="57">
      <c r="A148" s="7" t="inlineStr">
        <is>
          <t>NTB</t>
        </is>
      </c>
      <c r="B148" s="7" t="inlineStr">
        <is>
          <t>Khánh Hòa</t>
        </is>
      </c>
      <c r="C148" s="7" t="n">
        <v>2502</v>
      </c>
      <c r="D148" s="7" t="inlineStr">
        <is>
          <t>(KHO) Nam Nha Trang 5</t>
        </is>
      </c>
      <c r="E148" s="7" t="inlineStr">
        <is>
          <t>SME</t>
        </is>
      </c>
      <c r="F148" s="36" t="n">
        <v>121</v>
      </c>
      <c r="G148" s="36" t="n">
        <v>178</v>
      </c>
      <c r="H148" s="36" t="n">
        <v>129</v>
      </c>
      <c r="I148" s="36" t="n">
        <v>162</v>
      </c>
      <c r="J148" s="36" t="n">
        <v>148</v>
      </c>
      <c r="K148" s="28" t="n">
        <v>176</v>
      </c>
      <c r="L148" s="36" t="n">
        <v>79</v>
      </c>
      <c r="M148" s="36" t="n">
        <v>128</v>
      </c>
      <c r="N148" s="36" t="n">
        <v>130</v>
      </c>
      <c r="O148" s="36" t="n">
        <v>152</v>
      </c>
      <c r="P148" s="36" t="n">
        <v>137</v>
      </c>
      <c r="Q148" s="36" t="n">
        <v>128</v>
      </c>
      <c r="R148" s="28" t="n">
        <v>95</v>
      </c>
      <c r="S148" s="36" t="n">
        <v>97</v>
      </c>
      <c r="T148" s="36" t="n">
        <v>150</v>
      </c>
      <c r="U148" s="36" t="n">
        <v>157.11</v>
      </c>
      <c r="V148" s="36" t="n">
        <v>162.64</v>
      </c>
      <c r="W148" s="36" t="n">
        <v>158.16</v>
      </c>
      <c r="X148" s="36" t="n">
        <v>129.45</v>
      </c>
      <c r="Y148" s="28" t="n">
        <v>175.27</v>
      </c>
      <c r="Z148" s="36" t="n">
        <v>161.44</v>
      </c>
      <c r="AA148" s="36" t="n">
        <v>157.45</v>
      </c>
      <c r="AB148" s="36" t="n">
        <v>157.11</v>
      </c>
      <c r="AC148" s="36" t="n">
        <v>162.64</v>
      </c>
      <c r="AD148" s="36" t="n">
        <v>159.49</v>
      </c>
      <c r="AE148" s="36" t="n">
        <v>129.45</v>
      </c>
      <c r="AF148" s="28" t="n">
        <v>175.27</v>
      </c>
      <c r="AG148" s="36" t="n">
        <v>161.44</v>
      </c>
      <c r="AH148" s="37" t="n">
        <v>157.45</v>
      </c>
      <c r="AI148" s="37" t="n">
        <v>157.11</v>
      </c>
      <c r="AJ148" s="37" t="n">
        <v>162.64</v>
      </c>
      <c r="AK148" s="37" t="n">
        <v>158.16</v>
      </c>
      <c r="AL148" s="37" t="n">
        <v>129.45</v>
      </c>
      <c r="AM148" s="37" t="n">
        <v>175.27</v>
      </c>
      <c r="AN148" s="37" t="n">
        <v>161.44</v>
      </c>
      <c r="AO148" s="37" t="n">
        <v>157.45</v>
      </c>
      <c r="AP148" s="37" t="n">
        <v>157.11</v>
      </c>
      <c r="AQ148" s="37" t="n">
        <v>162.64</v>
      </c>
      <c r="AR148" s="37" t="n">
        <v>158.16</v>
      </c>
      <c r="AS148" s="37" t="n">
        <v>129.45</v>
      </c>
      <c r="AT148" s="37" t="n">
        <v>175.27</v>
      </c>
      <c r="AU148" s="37" t="n">
        <v>161.44</v>
      </c>
      <c r="AV148" s="37" t="n">
        <v>157.45</v>
      </c>
      <c r="AW148" s="37" t="n">
        <v>157.11</v>
      </c>
      <c r="AX148" s="37" t="n">
        <v>162.64</v>
      </c>
      <c r="AY148" s="37" t="n">
        <v>158.16</v>
      </c>
      <c r="AZ148" s="37" t="n">
        <v>129.45</v>
      </c>
      <c r="BA148" s="37" t="n">
        <v>157.74</v>
      </c>
      <c r="BB148" s="37" t="n">
        <v>141.57</v>
      </c>
      <c r="BC148" s="37" t="n">
        <v>89.48</v>
      </c>
      <c r="BD148" s="37" t="n">
        <v>89.12</v>
      </c>
      <c r="BE148" s="37" t="n">
        <v>151.08</v>
      </c>
      <c r="BF148" s="37" t="n">
        <v>146.94</v>
      </c>
      <c r="BG148" s="37" t="n">
        <v>133.39</v>
      </c>
      <c r="BH148" s="37" t="n">
        <v>180.88</v>
      </c>
      <c r="BI148" s="37" t="n">
        <v>166.56</v>
      </c>
      <c r="BJ148" s="37" t="n">
        <v>163.71</v>
      </c>
      <c r="BK148" s="37" t="n">
        <v>162.1</v>
      </c>
      <c r="BL148" s="37" t="n">
        <v>167.78</v>
      </c>
      <c r="BM148" s="37" t="n">
        <v>163.21</v>
      </c>
      <c r="BN148" s="37" t="n">
        <v>133.39</v>
      </c>
      <c r="BO148" s="37" t="n">
        <v>180.88</v>
      </c>
      <c r="BP148" s="37" t="n">
        <v>166.56</v>
      </c>
      <c r="BQ148" s="37" t="n">
        <v>162.41</v>
      </c>
      <c r="BR148" s="37" t="n">
        <v>162.1</v>
      </c>
      <c r="BS148" s="37" t="n">
        <v>167.78</v>
      </c>
      <c r="BT148" s="37" t="n">
        <v>163.21</v>
      </c>
      <c r="BU148" s="37" t="n">
        <v>133.39</v>
      </c>
      <c r="BV148" s="37" t="n">
        <v>180.88</v>
      </c>
      <c r="BW148" s="37" t="n">
        <v>166.56</v>
      </c>
      <c r="BX148" s="37" t="n">
        <v>162.41</v>
      </c>
      <c r="BY148" s="37" t="n">
        <v>162.1</v>
      </c>
      <c r="BZ148" s="37" t="n">
        <v>167.78</v>
      </c>
      <c r="CA148" s="37" t="n">
        <v>163.21</v>
      </c>
      <c r="CB148" s="37" t="n">
        <v>133.39</v>
      </c>
      <c r="CC148" s="37" t="n">
        <v>11344.37999999999</v>
      </c>
    </row>
    <row r="149" ht="15.75" customHeight="1" s="57">
      <c r="A149" s="7" t="inlineStr">
        <is>
          <t>NTB</t>
        </is>
      </c>
      <c r="B149" s="7" t="inlineStr">
        <is>
          <t>Khánh Hòa</t>
        </is>
      </c>
      <c r="C149" s="7" t="n">
        <v>2502</v>
      </c>
      <c r="D149" s="7" t="inlineStr">
        <is>
          <t>(KHO) Nam Nha Trang 5</t>
        </is>
      </c>
      <c r="E149" s="7" t="inlineStr">
        <is>
          <t>SME-Bulky</t>
        </is>
      </c>
      <c r="F149" s="36" t="n">
        <v>2</v>
      </c>
      <c r="G149" s="36" t="n">
        <v>2</v>
      </c>
      <c r="H149" s="36" t="n">
        <v>8</v>
      </c>
      <c r="I149" s="36" t="n">
        <v>5</v>
      </c>
      <c r="J149" s="36" t="n">
        <v>8</v>
      </c>
      <c r="K149" s="28" t="n">
        <v>3</v>
      </c>
      <c r="L149" s="36" t="n">
        <v>5</v>
      </c>
      <c r="M149" s="36" t="n">
        <v>5</v>
      </c>
      <c r="N149" s="36" t="n">
        <v>3</v>
      </c>
      <c r="O149" s="36" t="n">
        <v>8</v>
      </c>
      <c r="P149" s="36" t="n">
        <v>5</v>
      </c>
      <c r="Q149" s="36" t="n">
        <v>8</v>
      </c>
      <c r="R149" s="28" t="n">
        <v>7</v>
      </c>
      <c r="S149" s="36" t="n">
        <v>5</v>
      </c>
      <c r="T149" s="36" t="n">
        <v>4</v>
      </c>
      <c r="U149" s="36" t="n">
        <v>5.94</v>
      </c>
      <c r="V149" s="36" t="n">
        <v>6.02</v>
      </c>
      <c r="W149" s="36" t="n">
        <v>5.59</v>
      </c>
      <c r="X149" s="36" t="n">
        <v>3.73</v>
      </c>
      <c r="Y149" s="28" t="n">
        <v>6.82</v>
      </c>
      <c r="Z149" s="36" t="n">
        <v>6.57</v>
      </c>
      <c r="AA149" s="36" t="n">
        <v>6.25</v>
      </c>
      <c r="AB149" s="36" t="n">
        <v>5.94</v>
      </c>
      <c r="AC149" s="36" t="n">
        <v>6.02</v>
      </c>
      <c r="AD149" s="36" t="n">
        <v>5.28</v>
      </c>
      <c r="AE149" s="36" t="n">
        <v>3.73</v>
      </c>
      <c r="AF149" s="28" t="n">
        <v>6.82</v>
      </c>
      <c r="AG149" s="36" t="n">
        <v>6.57</v>
      </c>
      <c r="AH149" s="37" t="n">
        <v>6.25</v>
      </c>
      <c r="AI149" s="37" t="n">
        <v>5.94</v>
      </c>
      <c r="AJ149" s="37" t="n">
        <v>6.02</v>
      </c>
      <c r="AK149" s="37" t="n">
        <v>5.59</v>
      </c>
      <c r="AL149" s="37" t="n">
        <v>3.73</v>
      </c>
      <c r="AM149" s="37" t="n">
        <v>6.82</v>
      </c>
      <c r="AN149" s="37" t="n">
        <v>6.57</v>
      </c>
      <c r="AO149" s="37" t="n">
        <v>6.25</v>
      </c>
      <c r="AP149" s="37" t="n">
        <v>5.94</v>
      </c>
      <c r="AQ149" s="37" t="n">
        <v>6.02</v>
      </c>
      <c r="AR149" s="37" t="n">
        <v>5.59</v>
      </c>
      <c r="AS149" s="37" t="n">
        <v>3.73</v>
      </c>
      <c r="AT149" s="37" t="n">
        <v>6.82</v>
      </c>
      <c r="AU149" s="37" t="n">
        <v>6.57</v>
      </c>
      <c r="AV149" s="37" t="n">
        <v>6.25</v>
      </c>
      <c r="AW149" s="37" t="n">
        <v>5.94</v>
      </c>
      <c r="AX149" s="37" t="n">
        <v>6.02</v>
      </c>
      <c r="AY149" s="37" t="n">
        <v>5.59</v>
      </c>
      <c r="AZ149" s="37" t="n">
        <v>3.73</v>
      </c>
      <c r="BA149" s="37" t="n">
        <v>6.79</v>
      </c>
      <c r="BB149" s="37" t="n">
        <v>3.53</v>
      </c>
      <c r="BC149" s="37" t="n">
        <v>1.79</v>
      </c>
      <c r="BD149" s="37" t="n">
        <v>1.63</v>
      </c>
      <c r="BE149" s="37" t="n">
        <v>3.05</v>
      </c>
      <c r="BF149" s="37" t="n">
        <v>2.82</v>
      </c>
      <c r="BG149" s="37" t="n">
        <v>2.25</v>
      </c>
      <c r="BH149" s="37" t="n">
        <v>4</v>
      </c>
      <c r="BI149" s="37" t="n">
        <v>3.94</v>
      </c>
      <c r="BJ149" s="37" t="n">
        <v>3.43</v>
      </c>
      <c r="BK149" s="37" t="n">
        <v>3.53</v>
      </c>
      <c r="BL149" s="37" t="n">
        <v>3.6</v>
      </c>
      <c r="BM149" s="37" t="n">
        <v>3.28</v>
      </c>
      <c r="BN149" s="37" t="n">
        <v>2.25</v>
      </c>
      <c r="BO149" s="37" t="n">
        <v>4</v>
      </c>
      <c r="BP149" s="37" t="n">
        <v>3.94</v>
      </c>
      <c r="BQ149" s="37" t="n">
        <v>3.68</v>
      </c>
      <c r="BR149" s="37" t="n">
        <v>3.53</v>
      </c>
      <c r="BS149" s="37" t="n">
        <v>3.6</v>
      </c>
      <c r="BT149" s="37" t="n">
        <v>3.28</v>
      </c>
      <c r="BU149" s="37" t="n">
        <v>2.25</v>
      </c>
      <c r="BV149" s="37" t="n">
        <v>4</v>
      </c>
      <c r="BW149" s="37" t="n">
        <v>3.94</v>
      </c>
      <c r="BX149" s="37" t="n">
        <v>3.68</v>
      </c>
      <c r="BY149" s="37" t="n">
        <v>3.53</v>
      </c>
      <c r="BZ149" s="37" t="n">
        <v>3.6</v>
      </c>
      <c r="CA149" s="37" t="n">
        <v>3.28</v>
      </c>
      <c r="CB149" s="37" t="n">
        <v>2.25</v>
      </c>
      <c r="CC149" s="37" t="n">
        <v>357.0999999999999</v>
      </c>
    </row>
    <row r="150" ht="15.75" customHeight="1" s="57">
      <c r="A150" s="7" t="inlineStr">
        <is>
          <t>NTB</t>
        </is>
      </c>
      <c r="B150" s="7" t="inlineStr">
        <is>
          <t>Khánh Hòa</t>
        </is>
      </c>
      <c r="C150" s="7" t="n">
        <v>2502</v>
      </c>
      <c r="D150" s="7" t="inlineStr">
        <is>
          <t>(KHO) Nam Nha Trang 5</t>
        </is>
      </c>
      <c r="E150" s="7" t="inlineStr">
        <is>
          <t>Shopee</t>
        </is>
      </c>
      <c r="F150" s="36" t="n">
        <v>12</v>
      </c>
      <c r="G150" s="36" t="n">
        <v>16</v>
      </c>
      <c r="H150" s="36" t="n">
        <v>9</v>
      </c>
      <c r="I150" s="36" t="n">
        <v>13</v>
      </c>
      <c r="J150" s="36" t="n">
        <v>8</v>
      </c>
      <c r="K150" s="28" t="n">
        <v>9</v>
      </c>
      <c r="L150" s="36" t="n">
        <v>8</v>
      </c>
      <c r="M150" s="36" t="n">
        <v>23</v>
      </c>
      <c r="N150" s="36" t="n">
        <v>16</v>
      </c>
      <c r="O150" s="36" t="n">
        <v>12</v>
      </c>
      <c r="P150" s="36" t="n">
        <v>14</v>
      </c>
      <c r="Q150" s="36" t="n">
        <v>8</v>
      </c>
      <c r="R150" s="28" t="n">
        <v>9</v>
      </c>
      <c r="S150" s="36" t="n">
        <v>8</v>
      </c>
      <c r="T150" s="36" t="n">
        <v>27</v>
      </c>
      <c r="U150" s="36" t="n">
        <v>23.2</v>
      </c>
      <c r="V150" s="36" t="n">
        <v>23.29</v>
      </c>
      <c r="W150" s="36" t="n">
        <v>22.96</v>
      </c>
      <c r="X150" s="36" t="n">
        <v>18.67</v>
      </c>
      <c r="Y150" s="28" t="n">
        <v>31.27</v>
      </c>
      <c r="Z150" s="36" t="n">
        <v>24.73</v>
      </c>
      <c r="AA150" s="36" t="n">
        <v>34.02</v>
      </c>
      <c r="AB150" s="36" t="n">
        <v>23.67</v>
      </c>
      <c r="AC150" s="36" t="n">
        <v>19.13</v>
      </c>
      <c r="AD150" s="36" t="n">
        <v>58.76</v>
      </c>
      <c r="AE150" s="36" t="n">
        <v>20</v>
      </c>
      <c r="AF150" s="28" t="n">
        <v>35.61</v>
      </c>
      <c r="AG150" s="36" t="n">
        <v>25.98</v>
      </c>
      <c r="AH150" s="37" t="n">
        <v>27.44</v>
      </c>
      <c r="AI150" s="37" t="n">
        <v>23.2</v>
      </c>
      <c r="AJ150" s="37" t="n">
        <v>23.29</v>
      </c>
      <c r="AK150" s="37" t="n">
        <v>30.98</v>
      </c>
      <c r="AL150" s="37" t="n">
        <v>33.51</v>
      </c>
      <c r="AM150" s="37" t="n">
        <v>31.27</v>
      </c>
      <c r="AN150" s="37" t="n">
        <v>24.73</v>
      </c>
      <c r="AO150" s="37" t="n">
        <v>27.44</v>
      </c>
      <c r="AP150" s="37" t="n">
        <v>28.95</v>
      </c>
      <c r="AQ150" s="37" t="n">
        <v>18.67</v>
      </c>
      <c r="AR150" s="37" t="n">
        <v>22.96</v>
      </c>
      <c r="AS150" s="37" t="n">
        <v>18.67</v>
      </c>
      <c r="AT150" s="37" t="n">
        <v>31.27</v>
      </c>
      <c r="AU150" s="37" t="n">
        <v>25.25</v>
      </c>
      <c r="AV150" s="37" t="n">
        <v>27.99</v>
      </c>
      <c r="AW150" s="37" t="n">
        <v>23.2</v>
      </c>
      <c r="AX150" s="37" t="n">
        <v>23.29</v>
      </c>
      <c r="AY150" s="37" t="n">
        <v>22.96</v>
      </c>
      <c r="AZ150" s="37" t="n">
        <v>18.67</v>
      </c>
      <c r="BA150" s="37" t="n">
        <v>24.08</v>
      </c>
      <c r="BB150" s="37" t="n">
        <v>21</v>
      </c>
      <c r="BC150" s="37" t="n">
        <v>10.69</v>
      </c>
      <c r="BD150" s="37" t="n">
        <v>19.01</v>
      </c>
      <c r="BE150" s="37" t="n">
        <v>22.19</v>
      </c>
      <c r="BF150" s="37" t="n">
        <v>21.88</v>
      </c>
      <c r="BG150" s="37" t="n">
        <v>18.15</v>
      </c>
      <c r="BH150" s="37" t="n">
        <v>29.8</v>
      </c>
      <c r="BI150" s="37" t="n">
        <v>19.38</v>
      </c>
      <c r="BJ150" s="37" t="n">
        <v>83.41</v>
      </c>
      <c r="BK150" s="37" t="n">
        <v>23.64</v>
      </c>
      <c r="BL150" s="37" t="n">
        <v>23.26</v>
      </c>
      <c r="BM150" s="37" t="n">
        <v>21.88</v>
      </c>
      <c r="BN150" s="37" t="n">
        <v>17.79</v>
      </c>
      <c r="BO150" s="37" t="n">
        <v>29.8</v>
      </c>
      <c r="BP150" s="37" t="n">
        <v>31.79</v>
      </c>
      <c r="BQ150" s="37" t="n">
        <v>46.95</v>
      </c>
      <c r="BR150" s="37" t="n">
        <v>22.1</v>
      </c>
      <c r="BS150" s="37" t="n">
        <v>22.19</v>
      </c>
      <c r="BT150" s="37" t="n">
        <v>21.88</v>
      </c>
      <c r="BU150" s="37" t="n">
        <v>22.2</v>
      </c>
      <c r="BV150" s="37" t="n">
        <v>23.85</v>
      </c>
      <c r="BW150" s="37" t="n">
        <v>23.56</v>
      </c>
      <c r="BX150" s="37" t="n">
        <v>26.13</v>
      </c>
      <c r="BY150" s="37" t="n">
        <v>22.1</v>
      </c>
      <c r="BZ150" s="37" t="n">
        <v>22.65</v>
      </c>
      <c r="CA150" s="37" t="n">
        <v>22.31</v>
      </c>
      <c r="CB150" s="37" t="n">
        <v>17.79</v>
      </c>
      <c r="CC150" s="37" t="n">
        <v>1748.490000000001</v>
      </c>
    </row>
    <row r="151" ht="15.75" customHeight="1" s="57">
      <c r="A151" s="7" t="inlineStr">
        <is>
          <t>NTB</t>
        </is>
      </c>
      <c r="B151" s="7" t="inlineStr">
        <is>
          <t>Khánh Hòa</t>
        </is>
      </c>
      <c r="C151" s="7" t="n">
        <v>2502</v>
      </c>
      <c r="D151" s="7" t="inlineStr">
        <is>
          <t>(KHO) Nam Nha Trang 5</t>
        </is>
      </c>
      <c r="E151" s="7" t="inlineStr">
        <is>
          <t>Shopee-Bulky</t>
        </is>
      </c>
      <c r="F151" s="36" t="n">
        <v>9.609999999999999</v>
      </c>
      <c r="G151" s="36" t="n">
        <v>11.53</v>
      </c>
      <c r="H151" s="36" t="n">
        <v>14.73</v>
      </c>
      <c r="I151" s="36" t="n">
        <v>8.970000000000001</v>
      </c>
      <c r="J151" s="36" t="n">
        <v>9.609999999999999</v>
      </c>
      <c r="K151" s="28" t="n">
        <v>4.48</v>
      </c>
      <c r="L151" s="36" t="n">
        <v>7.69</v>
      </c>
      <c r="M151" s="36" t="n">
        <v>7.04</v>
      </c>
      <c r="N151" s="36" t="n">
        <v>8.33</v>
      </c>
      <c r="O151" s="36" t="n">
        <v>5.76</v>
      </c>
      <c r="P151" s="36" t="n">
        <v>3.84</v>
      </c>
      <c r="Q151" s="36" t="n">
        <v>8.970000000000001</v>
      </c>
      <c r="R151" s="28" t="n">
        <v>8.970000000000001</v>
      </c>
      <c r="S151" s="36" t="n">
        <v>8.33</v>
      </c>
      <c r="T151" s="36" t="n">
        <v>16.01</v>
      </c>
      <c r="U151" s="36" t="n">
        <v>7.81</v>
      </c>
      <c r="V151" s="36" t="n">
        <v>7.57</v>
      </c>
      <c r="W151" s="36" t="n">
        <v>10.56</v>
      </c>
      <c r="X151" s="36" t="n">
        <v>5.83</v>
      </c>
      <c r="Y151" s="28" t="n">
        <v>11.52</v>
      </c>
      <c r="Z151" s="36" t="n">
        <v>8.98</v>
      </c>
      <c r="AA151" s="36" t="n">
        <v>8.699999999999999</v>
      </c>
      <c r="AB151" s="36" t="n">
        <v>8.880000000000001</v>
      </c>
      <c r="AC151" s="36" t="n">
        <v>9.4</v>
      </c>
      <c r="AD151" s="36" t="n">
        <v>26.13</v>
      </c>
      <c r="AE151" s="36" t="n">
        <v>14.96</v>
      </c>
      <c r="AF151" s="28" t="n">
        <v>22.7</v>
      </c>
      <c r="AG151" s="36" t="n">
        <v>12.83</v>
      </c>
      <c r="AH151" s="37" t="n">
        <v>8.91</v>
      </c>
      <c r="AI151" s="37" t="n">
        <v>8.699999999999999</v>
      </c>
      <c r="AJ151" s="37" t="n">
        <v>8.57</v>
      </c>
      <c r="AK151" s="37" t="n">
        <v>19.44</v>
      </c>
      <c r="AL151" s="37" t="n">
        <v>9.83</v>
      </c>
      <c r="AM151" s="37" t="n">
        <v>14.14</v>
      </c>
      <c r="AN151" s="37" t="n">
        <v>8.85</v>
      </c>
      <c r="AO151" s="37" t="n">
        <v>8.65</v>
      </c>
      <c r="AP151" s="37" t="n">
        <v>11.91</v>
      </c>
      <c r="AQ151" s="37" t="n">
        <v>11.72</v>
      </c>
      <c r="AR151" s="37" t="n">
        <v>9.57</v>
      </c>
      <c r="AS151" s="37" t="n">
        <v>5.12</v>
      </c>
      <c r="AT151" s="37" t="n">
        <v>10.53</v>
      </c>
      <c r="AU151" s="37" t="n">
        <v>17.25</v>
      </c>
      <c r="AV151" s="37" t="n">
        <v>17.94</v>
      </c>
      <c r="AW151" s="37" t="n">
        <v>8.75</v>
      </c>
      <c r="AX151" s="37" t="n">
        <v>8.220000000000001</v>
      </c>
      <c r="AY151" s="37" t="n">
        <v>9.16</v>
      </c>
      <c r="AZ151" s="37" t="n">
        <v>4.91</v>
      </c>
      <c r="BA151" s="37" t="n">
        <v>9.6</v>
      </c>
      <c r="BB151" s="37" t="n">
        <v>9.01</v>
      </c>
      <c r="BC151" s="37" t="n">
        <v>3.11</v>
      </c>
      <c r="BD151" s="37" t="n">
        <v>7.65</v>
      </c>
      <c r="BE151" s="37" t="n">
        <v>9.5</v>
      </c>
      <c r="BF151" s="37" t="n">
        <v>8.300000000000001</v>
      </c>
      <c r="BG151" s="37" t="n">
        <v>6.66</v>
      </c>
      <c r="BH151" s="37" t="n">
        <v>12.3</v>
      </c>
      <c r="BI151" s="37" t="n">
        <v>10.46</v>
      </c>
      <c r="BJ151" s="37" t="n">
        <v>41.31</v>
      </c>
      <c r="BK151" s="37" t="n">
        <v>22.32</v>
      </c>
      <c r="BL151" s="37" t="n">
        <v>11.48</v>
      </c>
      <c r="BM151" s="37" t="n">
        <v>8.68</v>
      </c>
      <c r="BN151" s="37" t="n">
        <v>6.49</v>
      </c>
      <c r="BO151" s="37" t="n">
        <v>14.4</v>
      </c>
      <c r="BP151" s="37" t="n">
        <v>20.85</v>
      </c>
      <c r="BQ151" s="37" t="n">
        <v>15.23</v>
      </c>
      <c r="BR151" s="37" t="n">
        <v>9.949999999999999</v>
      </c>
      <c r="BS151" s="37" t="n">
        <v>9.5</v>
      </c>
      <c r="BT151" s="37" t="n">
        <v>8.300000000000001</v>
      </c>
      <c r="BU151" s="37" t="n">
        <v>9.640000000000001</v>
      </c>
      <c r="BV151" s="37" t="n">
        <v>13.03</v>
      </c>
      <c r="BW151" s="37" t="n">
        <v>10.46</v>
      </c>
      <c r="BX151" s="37" t="n">
        <v>10.14</v>
      </c>
      <c r="BY151" s="37" t="n">
        <v>9.949999999999999</v>
      </c>
      <c r="BZ151" s="37" t="n">
        <v>17.04</v>
      </c>
      <c r="CA151" s="37" t="n">
        <v>9.880000000000001</v>
      </c>
      <c r="CB151" s="37" t="n">
        <v>6.31</v>
      </c>
      <c r="CC151" s="37" t="n">
        <v>823.4599999999999</v>
      </c>
    </row>
    <row r="152" ht="15.75" customHeight="1" s="57">
      <c r="A152" s="7" t="inlineStr">
        <is>
          <t>NTB</t>
        </is>
      </c>
      <c r="B152" s="7" t="inlineStr">
        <is>
          <t>Khánh Hòa</t>
        </is>
      </c>
      <c r="C152" s="7" t="n">
        <v>2502</v>
      </c>
      <c r="D152" s="7" t="inlineStr">
        <is>
          <t>(KHO) Nam Nha Trang 5</t>
        </is>
      </c>
      <c r="E152" s="7" t="inlineStr">
        <is>
          <t>Shopee-Bulky (10-15kg)</t>
        </is>
      </c>
      <c r="F152" s="36" t="n">
        <v>5.39</v>
      </c>
      <c r="G152" s="36" t="n">
        <v>6.47</v>
      </c>
      <c r="H152" s="36" t="n">
        <v>8.27</v>
      </c>
      <c r="I152" s="36" t="n">
        <v>5.03</v>
      </c>
      <c r="J152" s="36" t="n">
        <v>5.39</v>
      </c>
      <c r="K152" s="28" t="n">
        <v>2.52</v>
      </c>
      <c r="L152" s="36" t="n">
        <v>4.31</v>
      </c>
      <c r="M152" s="36" t="n">
        <v>3.96</v>
      </c>
      <c r="N152" s="36" t="n">
        <v>4.67</v>
      </c>
      <c r="O152" s="36" t="n">
        <v>3.24</v>
      </c>
      <c r="P152" s="36" t="n">
        <v>2.16</v>
      </c>
      <c r="Q152" s="36" t="n">
        <v>5.03</v>
      </c>
      <c r="R152" s="28" t="n">
        <v>5.03</v>
      </c>
      <c r="S152" s="36" t="n">
        <v>4.67</v>
      </c>
      <c r="T152" s="36" t="n">
        <v>8.99</v>
      </c>
      <c r="U152" s="36" t="n">
        <v>4.67</v>
      </c>
      <c r="V152" s="36" t="n">
        <v>4.47</v>
      </c>
      <c r="W152" s="36" t="n">
        <v>5.77</v>
      </c>
      <c r="X152" s="36" t="n">
        <v>3.25</v>
      </c>
      <c r="Y152" s="28" t="n">
        <v>6.58</v>
      </c>
      <c r="Z152" s="36" t="n">
        <v>5.14</v>
      </c>
      <c r="AA152" s="36" t="n">
        <v>4.84</v>
      </c>
      <c r="AB152" s="36" t="n">
        <v>5.07</v>
      </c>
      <c r="AC152" s="36" t="n">
        <v>5.25</v>
      </c>
      <c r="AD152" s="36" t="n">
        <v>19.58</v>
      </c>
      <c r="AE152" s="36" t="n">
        <v>8.130000000000001</v>
      </c>
      <c r="AF152" s="28" t="n">
        <v>12</v>
      </c>
      <c r="AG152" s="36" t="n">
        <v>7.16</v>
      </c>
      <c r="AH152" s="37" t="n">
        <v>5.07</v>
      </c>
      <c r="AI152" s="37" t="n">
        <v>4.9</v>
      </c>
      <c r="AJ152" s="37" t="n">
        <v>4.8</v>
      </c>
      <c r="AK152" s="37" t="n">
        <v>11.1</v>
      </c>
      <c r="AL152" s="37" t="n">
        <v>5.58</v>
      </c>
      <c r="AM152" s="37" t="n">
        <v>8</v>
      </c>
      <c r="AN152" s="37" t="n">
        <v>5.07</v>
      </c>
      <c r="AO152" s="37" t="n">
        <v>4.88</v>
      </c>
      <c r="AP152" s="37" t="n">
        <v>6.32</v>
      </c>
      <c r="AQ152" s="37" t="n">
        <v>6.65</v>
      </c>
      <c r="AR152" s="37" t="n">
        <v>5.18</v>
      </c>
      <c r="AS152" s="37" t="n">
        <v>2.85</v>
      </c>
      <c r="AT152" s="37" t="n">
        <v>5.96</v>
      </c>
      <c r="AU152" s="37" t="n">
        <v>9.85</v>
      </c>
      <c r="AV152" s="37" t="n">
        <v>10.22</v>
      </c>
      <c r="AW152" s="37" t="n">
        <v>4.95</v>
      </c>
      <c r="AX152" s="37" t="n">
        <v>4.63</v>
      </c>
      <c r="AY152" s="37" t="n">
        <v>4.98</v>
      </c>
      <c r="AZ152" s="37" t="n">
        <v>2.75</v>
      </c>
      <c r="BA152" s="37" t="n">
        <v>5.43</v>
      </c>
      <c r="BB152" s="37" t="n">
        <v>5.21</v>
      </c>
      <c r="BC152" s="37" t="n">
        <v>1.75</v>
      </c>
      <c r="BD152" s="37" t="n">
        <v>4.15</v>
      </c>
      <c r="BE152" s="37" t="n">
        <v>5.35</v>
      </c>
      <c r="BF152" s="37" t="n">
        <v>4.56</v>
      </c>
      <c r="BG152" s="37" t="n">
        <v>3.73</v>
      </c>
      <c r="BH152" s="37" t="n">
        <v>7.13</v>
      </c>
      <c r="BI152" s="37" t="n">
        <v>6.06</v>
      </c>
      <c r="BJ152" s="37" t="n">
        <v>26.85</v>
      </c>
      <c r="BK152" s="37" t="n">
        <v>12.52</v>
      </c>
      <c r="BL152" s="37" t="n">
        <v>6.66</v>
      </c>
      <c r="BM152" s="37" t="n">
        <v>4.84</v>
      </c>
      <c r="BN152" s="37" t="n">
        <v>3.66</v>
      </c>
      <c r="BO152" s="37" t="n">
        <v>8.02</v>
      </c>
      <c r="BP152" s="37" t="n">
        <v>11.69</v>
      </c>
      <c r="BQ152" s="37" t="n">
        <v>8.6</v>
      </c>
      <c r="BR152" s="37" t="n">
        <v>5.75</v>
      </c>
      <c r="BS152" s="37" t="n">
        <v>5.35</v>
      </c>
      <c r="BT152" s="37" t="n">
        <v>4.56</v>
      </c>
      <c r="BU152" s="37" t="n">
        <v>5.55</v>
      </c>
      <c r="BV152" s="37" t="n">
        <v>7.37</v>
      </c>
      <c r="BW152" s="37" t="n">
        <v>6.06</v>
      </c>
      <c r="BX152" s="37" t="n">
        <v>5.79</v>
      </c>
      <c r="BY152" s="37" t="n">
        <v>5.75</v>
      </c>
      <c r="BZ152" s="37" t="n">
        <v>9.49</v>
      </c>
      <c r="CA152" s="37" t="n">
        <v>5.66</v>
      </c>
      <c r="CB152" s="37" t="n">
        <v>3.57</v>
      </c>
      <c r="CC152" s="37" t="n">
        <v>471.8900000000002</v>
      </c>
    </row>
    <row r="153" ht="15.75" customHeight="1" s="57">
      <c r="A153" s="7" t="inlineStr">
        <is>
          <t>NTB</t>
        </is>
      </c>
      <c r="B153" s="7" t="inlineStr">
        <is>
          <t>Khánh Hòa</t>
        </is>
      </c>
      <c r="C153" s="7" t="n">
        <v>2502</v>
      </c>
      <c r="D153" s="7" t="inlineStr">
        <is>
          <t>(KHO) Nam Nha Trang 5</t>
        </is>
      </c>
      <c r="E153" s="7" t="inlineStr">
        <is>
          <t>TTS</t>
        </is>
      </c>
      <c r="F153" s="36" t="n">
        <v>68</v>
      </c>
      <c r="G153" s="36" t="n">
        <v>108</v>
      </c>
      <c r="H153" s="36" t="n">
        <v>100</v>
      </c>
      <c r="I153" s="36" t="n">
        <v>61</v>
      </c>
      <c r="J153" s="36" t="n">
        <v>89</v>
      </c>
      <c r="K153" s="28" t="n">
        <v>109</v>
      </c>
      <c r="L153" s="36" t="n">
        <v>54</v>
      </c>
      <c r="M153" s="36" t="n">
        <v>92</v>
      </c>
      <c r="N153" s="36" t="n">
        <v>106</v>
      </c>
      <c r="O153" s="36" t="n">
        <v>109</v>
      </c>
      <c r="P153" s="36" t="n">
        <v>68</v>
      </c>
      <c r="Q153" s="36" t="n">
        <v>71</v>
      </c>
      <c r="R153" s="28" t="n">
        <v>65</v>
      </c>
      <c r="S153" s="36" t="n">
        <v>77</v>
      </c>
      <c r="T153" s="36" t="n">
        <v>109</v>
      </c>
      <c r="U153" s="36" t="n">
        <v>73.17999999999999</v>
      </c>
      <c r="V153" s="36" t="n">
        <v>71.81</v>
      </c>
      <c r="W153" s="36" t="n">
        <v>70.25</v>
      </c>
      <c r="X153" s="36" t="n">
        <v>56.62</v>
      </c>
      <c r="Y153" s="28" t="n">
        <v>82.52</v>
      </c>
      <c r="Z153" s="36" t="n">
        <v>69.95</v>
      </c>
      <c r="AA153" s="36" t="n">
        <v>77.83</v>
      </c>
      <c r="AB153" s="36" t="n">
        <v>86.44999999999999</v>
      </c>
      <c r="AC153" s="36" t="n">
        <v>91.16000000000001</v>
      </c>
      <c r="AD153" s="36" t="n">
        <v>100.43</v>
      </c>
      <c r="AE153" s="36" t="n">
        <v>65.86</v>
      </c>
      <c r="AF153" s="28" t="n">
        <v>84.97</v>
      </c>
      <c r="AG153" s="36" t="n">
        <v>71.54000000000001</v>
      </c>
      <c r="AH153" s="37" t="n">
        <v>70.79000000000001</v>
      </c>
      <c r="AI153" s="37" t="n">
        <v>80.92999999999999</v>
      </c>
      <c r="AJ153" s="37" t="n">
        <v>86.95999999999999</v>
      </c>
      <c r="AK153" s="37" t="n">
        <v>85.77000000000001</v>
      </c>
      <c r="AL153" s="37" t="n">
        <v>61.01</v>
      </c>
      <c r="AM153" s="37" t="n">
        <v>83.77999999999999</v>
      </c>
      <c r="AN153" s="37" t="n">
        <v>72.25999999999999</v>
      </c>
      <c r="AO153" s="37" t="n">
        <v>72</v>
      </c>
      <c r="AP153" s="37" t="n">
        <v>69.79000000000001</v>
      </c>
      <c r="AQ153" s="37" t="n">
        <v>70.41</v>
      </c>
      <c r="AR153" s="37" t="n">
        <v>69.17</v>
      </c>
      <c r="AS153" s="37" t="n">
        <v>56.81</v>
      </c>
      <c r="AT153" s="37" t="n">
        <v>90.84</v>
      </c>
      <c r="AU153" s="37" t="n">
        <v>82.16999999999999</v>
      </c>
      <c r="AV153" s="37" t="n">
        <v>73.02</v>
      </c>
      <c r="AW153" s="37" t="n">
        <v>68.98</v>
      </c>
      <c r="AX153" s="37" t="n">
        <v>68.61</v>
      </c>
      <c r="AY153" s="37" t="n">
        <v>68.28</v>
      </c>
      <c r="AZ153" s="37" t="n">
        <v>56.83</v>
      </c>
      <c r="BA153" s="37" t="n">
        <v>81.83999999999999</v>
      </c>
      <c r="BB153" s="37" t="n">
        <v>76.39999999999999</v>
      </c>
      <c r="BC153" s="37" t="n">
        <v>45.19</v>
      </c>
      <c r="BD153" s="37" t="n">
        <v>65.97</v>
      </c>
      <c r="BE153" s="37" t="n">
        <v>77.61999999999999</v>
      </c>
      <c r="BF153" s="37" t="n">
        <v>75.41</v>
      </c>
      <c r="BG153" s="37" t="n">
        <v>61.07</v>
      </c>
      <c r="BH153" s="37" t="n">
        <v>90.7</v>
      </c>
      <c r="BI153" s="37" t="n">
        <v>76.39999999999999</v>
      </c>
      <c r="BJ153" s="37" t="n">
        <v>76.41000000000001</v>
      </c>
      <c r="BK153" s="37" t="n">
        <v>77.50999999999999</v>
      </c>
      <c r="BL153" s="37" t="n">
        <v>77.61999999999999</v>
      </c>
      <c r="BM153" s="37" t="n">
        <v>75.41</v>
      </c>
      <c r="BN153" s="37" t="n">
        <v>61.07</v>
      </c>
      <c r="BO153" s="37" t="n">
        <v>90.7</v>
      </c>
      <c r="BP153" s="37" t="n">
        <v>76.39999999999999</v>
      </c>
      <c r="BQ153" s="37" t="n">
        <v>75.52</v>
      </c>
      <c r="BR153" s="37" t="n">
        <v>77.50999999999999</v>
      </c>
      <c r="BS153" s="37" t="n">
        <v>77.61999999999999</v>
      </c>
      <c r="BT153" s="37" t="n">
        <v>75.41</v>
      </c>
      <c r="BU153" s="37" t="n">
        <v>61.07</v>
      </c>
      <c r="BV153" s="37" t="n">
        <v>90.7</v>
      </c>
      <c r="BW153" s="37" t="n">
        <v>76.39999999999999</v>
      </c>
      <c r="BX153" s="37" t="n">
        <v>75.52</v>
      </c>
      <c r="BY153" s="37" t="n">
        <v>77.50999999999999</v>
      </c>
      <c r="BZ153" s="37" t="n">
        <v>77.61999999999999</v>
      </c>
      <c r="CA153" s="37" t="n">
        <v>75.41</v>
      </c>
      <c r="CB153" s="37" t="n">
        <v>61.07</v>
      </c>
      <c r="CC153" s="37" t="n">
        <v>5764.059999999998</v>
      </c>
    </row>
    <row r="154" ht="15.75" customHeight="1" s="57">
      <c r="A154" s="7" t="inlineStr">
        <is>
          <t>NTB</t>
        </is>
      </c>
      <c r="B154" s="7" t="inlineStr">
        <is>
          <t>Khánh Hòa</t>
        </is>
      </c>
      <c r="C154" s="7" t="n">
        <v>2502</v>
      </c>
      <c r="D154" s="7" t="inlineStr">
        <is>
          <t>(KHO) Nam Nha Trang 5</t>
        </is>
      </c>
      <c r="E154" s="7" t="inlineStr">
        <is>
          <t>TTS-Bulky</t>
        </is>
      </c>
      <c r="F154" s="36" t="n">
        <v>0</v>
      </c>
      <c r="G154" s="36" t="n">
        <v>2</v>
      </c>
      <c r="H154" s="36" t="n">
        <v>1</v>
      </c>
      <c r="I154" s="36" t="n">
        <v>2</v>
      </c>
      <c r="J154" s="36" t="n">
        <v>4</v>
      </c>
      <c r="K154" s="28" t="n">
        <v>0</v>
      </c>
      <c r="L154" s="36" t="n">
        <v>1</v>
      </c>
      <c r="M154" s="36" t="n">
        <v>0</v>
      </c>
      <c r="N154" s="36" t="n">
        <v>0</v>
      </c>
      <c r="O154" s="36" t="n">
        <v>0</v>
      </c>
      <c r="P154" s="36" t="n">
        <v>3</v>
      </c>
      <c r="Q154" s="36" t="n">
        <v>0</v>
      </c>
      <c r="R154" s="28" t="n">
        <v>0</v>
      </c>
      <c r="S154" s="36" t="n">
        <v>1</v>
      </c>
      <c r="T154" s="36" t="n">
        <v>0</v>
      </c>
      <c r="U154" s="36" t="n">
        <v>4.02</v>
      </c>
      <c r="V154" s="36" t="n">
        <v>3.85</v>
      </c>
      <c r="W154" s="36" t="n">
        <v>1.94</v>
      </c>
      <c r="X154" s="36" t="n">
        <v>1.45</v>
      </c>
      <c r="Y154" s="28" t="n">
        <v>2.47</v>
      </c>
      <c r="Z154" s="36" t="n">
        <v>1.82</v>
      </c>
      <c r="AA154" s="36" t="n">
        <v>2.06</v>
      </c>
      <c r="AB154" s="36" t="n">
        <v>2.2</v>
      </c>
      <c r="AC154" s="36" t="n">
        <v>2.4</v>
      </c>
      <c r="AD154" s="36" t="n">
        <v>3</v>
      </c>
      <c r="AE154" s="36" t="n">
        <v>1.6</v>
      </c>
      <c r="AF154" s="28" t="n">
        <v>2.35</v>
      </c>
      <c r="AG154" s="36" t="n">
        <v>1.89</v>
      </c>
      <c r="AH154" s="37" t="n">
        <v>1.89</v>
      </c>
      <c r="AI154" s="37" t="n">
        <v>1.96</v>
      </c>
      <c r="AJ154" s="37" t="n">
        <v>2.16</v>
      </c>
      <c r="AK154" s="37" t="n">
        <v>2.08</v>
      </c>
      <c r="AL154" s="37" t="n">
        <v>1.48</v>
      </c>
      <c r="AM154" s="37" t="n">
        <v>2.33</v>
      </c>
      <c r="AN154" s="37" t="n">
        <v>1.94</v>
      </c>
      <c r="AO154" s="37" t="n">
        <v>1.89</v>
      </c>
      <c r="AP154" s="37" t="n">
        <v>1.91</v>
      </c>
      <c r="AQ154" s="37" t="n">
        <v>1.91</v>
      </c>
      <c r="AR154" s="37" t="n">
        <v>1.91</v>
      </c>
      <c r="AS154" s="37" t="n">
        <v>1.4</v>
      </c>
      <c r="AT154" s="37" t="n">
        <v>2.45</v>
      </c>
      <c r="AU154" s="37" t="n">
        <v>2.2</v>
      </c>
      <c r="AV154" s="37" t="n">
        <v>1.96</v>
      </c>
      <c r="AW154" s="37" t="n">
        <v>1.89</v>
      </c>
      <c r="AX154" s="37" t="n">
        <v>1.89</v>
      </c>
      <c r="AY154" s="37" t="n">
        <v>1.91</v>
      </c>
      <c r="AZ154" s="37" t="n">
        <v>1.4</v>
      </c>
      <c r="BA154" s="37" t="n">
        <v>2.16</v>
      </c>
      <c r="BB154" s="37" t="n">
        <v>0.51</v>
      </c>
      <c r="BC154" s="37" t="n">
        <v>0.31</v>
      </c>
      <c r="BD154" s="37" t="n">
        <v>0.36</v>
      </c>
      <c r="BE154" s="37" t="n">
        <v>0.51</v>
      </c>
      <c r="BF154" s="37" t="n">
        <v>0.53</v>
      </c>
      <c r="BG154" s="37" t="n">
        <v>0.36</v>
      </c>
      <c r="BH154" s="37" t="n">
        <v>0.68</v>
      </c>
      <c r="BI154" s="37" t="n">
        <v>0.5600000000000001</v>
      </c>
      <c r="BJ154" s="37" t="n">
        <v>0.7</v>
      </c>
      <c r="BK154" s="37" t="n">
        <v>0.53</v>
      </c>
      <c r="BL154" s="37" t="n">
        <v>0.51</v>
      </c>
      <c r="BM154" s="37" t="n">
        <v>0.53</v>
      </c>
      <c r="BN154" s="37" t="n">
        <v>0.36</v>
      </c>
      <c r="BO154" s="37" t="n">
        <v>0.82</v>
      </c>
      <c r="BP154" s="37" t="n">
        <v>0.63</v>
      </c>
      <c r="BQ154" s="37" t="n">
        <v>0.53</v>
      </c>
      <c r="BR154" s="37" t="n">
        <v>0.53</v>
      </c>
      <c r="BS154" s="37" t="n">
        <v>0.51</v>
      </c>
      <c r="BT154" s="37" t="n">
        <v>0.53</v>
      </c>
      <c r="BU154" s="37" t="n">
        <v>0.36</v>
      </c>
      <c r="BV154" s="37" t="n">
        <v>0.63</v>
      </c>
      <c r="BW154" s="37" t="n">
        <v>0.5600000000000001</v>
      </c>
      <c r="BX154" s="37" t="n">
        <v>0.53</v>
      </c>
      <c r="BY154" s="37" t="n">
        <v>0.53</v>
      </c>
      <c r="BZ154" s="37" t="n">
        <v>0.51</v>
      </c>
      <c r="CA154" s="37" t="n">
        <v>0.53</v>
      </c>
      <c r="CB154" s="37" t="n">
        <v>0.36</v>
      </c>
      <c r="CC154" s="37" t="n">
        <v>97.78000000000003</v>
      </c>
    </row>
    <row r="155" ht="15.75" customHeight="1" s="57">
      <c r="A155" s="7" t="inlineStr">
        <is>
          <t>NTB</t>
        </is>
      </c>
      <c r="B155" s="7" t="inlineStr">
        <is>
          <t>Khánh Hòa</t>
        </is>
      </c>
      <c r="C155" s="7" t="n">
        <v>20143000</v>
      </c>
      <c r="D155" s="7" t="inlineStr">
        <is>
          <t>(KHO) Diên Khánh 2</t>
        </is>
      </c>
      <c r="E155" s="7" t="inlineStr">
        <is>
          <t>SME</t>
        </is>
      </c>
      <c r="F155" s="36" t="n">
        <v>281</v>
      </c>
      <c r="G155" s="36" t="n">
        <v>366</v>
      </c>
      <c r="H155" s="36" t="n">
        <v>332</v>
      </c>
      <c r="I155" s="36" t="n">
        <v>292</v>
      </c>
      <c r="J155" s="36" t="n">
        <v>268</v>
      </c>
      <c r="K155" s="28" t="n">
        <v>310</v>
      </c>
      <c r="L155" s="36" t="n">
        <v>202</v>
      </c>
      <c r="M155" s="36" t="n">
        <v>244</v>
      </c>
      <c r="N155" s="36" t="n">
        <v>320</v>
      </c>
      <c r="O155" s="36" t="n">
        <v>274</v>
      </c>
      <c r="P155" s="36" t="n">
        <v>269</v>
      </c>
      <c r="Q155" s="36" t="n">
        <v>199</v>
      </c>
      <c r="R155" s="28" t="n">
        <v>336</v>
      </c>
      <c r="S155" s="36" t="n">
        <v>235</v>
      </c>
      <c r="T155" s="36" t="n">
        <v>257</v>
      </c>
      <c r="U155" s="36" t="n">
        <v>332.07</v>
      </c>
      <c r="V155" s="36" t="n">
        <v>343.7</v>
      </c>
      <c r="W155" s="36" t="n">
        <v>334.28</v>
      </c>
      <c r="X155" s="36" t="n">
        <v>273.57</v>
      </c>
      <c r="Y155" s="28" t="n">
        <v>370.42</v>
      </c>
      <c r="Z155" s="36" t="n">
        <v>341.18</v>
      </c>
      <c r="AA155" s="36" t="n">
        <v>332.75</v>
      </c>
      <c r="AB155" s="36" t="n">
        <v>332.07</v>
      </c>
      <c r="AC155" s="36" t="n">
        <v>343.7</v>
      </c>
      <c r="AD155" s="36" t="n">
        <v>336.54</v>
      </c>
      <c r="AE155" s="36" t="n">
        <v>273.57</v>
      </c>
      <c r="AF155" s="28" t="n">
        <v>370.42</v>
      </c>
      <c r="AG155" s="36" t="n">
        <v>341.18</v>
      </c>
      <c r="AH155" s="37" t="n">
        <v>332.75</v>
      </c>
      <c r="AI155" s="37" t="n">
        <v>332.07</v>
      </c>
      <c r="AJ155" s="37" t="n">
        <v>343.7</v>
      </c>
      <c r="AK155" s="37" t="n">
        <v>334.28</v>
      </c>
      <c r="AL155" s="37" t="n">
        <v>273.57</v>
      </c>
      <c r="AM155" s="37" t="n">
        <v>370.42</v>
      </c>
      <c r="AN155" s="37" t="n">
        <v>341.18</v>
      </c>
      <c r="AO155" s="37" t="n">
        <v>332.75</v>
      </c>
      <c r="AP155" s="37" t="n">
        <v>332.07</v>
      </c>
      <c r="AQ155" s="37" t="n">
        <v>343.7</v>
      </c>
      <c r="AR155" s="37" t="n">
        <v>334.28</v>
      </c>
      <c r="AS155" s="37" t="n">
        <v>273.57</v>
      </c>
      <c r="AT155" s="37" t="n">
        <v>370.42</v>
      </c>
      <c r="AU155" s="37" t="n">
        <v>341.18</v>
      </c>
      <c r="AV155" s="37" t="n">
        <v>332.75</v>
      </c>
      <c r="AW155" s="37" t="n">
        <v>332.07</v>
      </c>
      <c r="AX155" s="37" t="n">
        <v>343.7</v>
      </c>
      <c r="AY155" s="37" t="n">
        <v>334.28</v>
      </c>
      <c r="AZ155" s="37" t="n">
        <v>273.57</v>
      </c>
      <c r="BA155" s="37" t="n">
        <v>333.36</v>
      </c>
      <c r="BB155" s="37" t="n">
        <v>299.23</v>
      </c>
      <c r="BC155" s="37" t="n">
        <v>189.13</v>
      </c>
      <c r="BD155" s="37" t="n">
        <v>188.38</v>
      </c>
      <c r="BE155" s="37" t="n">
        <v>319.31</v>
      </c>
      <c r="BF155" s="37" t="n">
        <v>310.61</v>
      </c>
      <c r="BG155" s="37" t="n">
        <v>281.92</v>
      </c>
      <c r="BH155" s="37" t="n">
        <v>382.34</v>
      </c>
      <c r="BI155" s="37" t="n">
        <v>352.04</v>
      </c>
      <c r="BJ155" s="37" t="n">
        <v>345.47</v>
      </c>
      <c r="BK155" s="37" t="n">
        <v>342.65</v>
      </c>
      <c r="BL155" s="37" t="n">
        <v>354.62</v>
      </c>
      <c r="BM155" s="37" t="n">
        <v>344.97</v>
      </c>
      <c r="BN155" s="37" t="n">
        <v>281.92</v>
      </c>
      <c r="BO155" s="37" t="n">
        <v>382.34</v>
      </c>
      <c r="BP155" s="37" t="n">
        <v>352.04</v>
      </c>
      <c r="BQ155" s="37" t="n">
        <v>343.27</v>
      </c>
      <c r="BR155" s="37" t="n">
        <v>342.65</v>
      </c>
      <c r="BS155" s="37" t="n">
        <v>354.62</v>
      </c>
      <c r="BT155" s="37" t="n">
        <v>344.97</v>
      </c>
      <c r="BU155" s="37" t="n">
        <v>281.92</v>
      </c>
      <c r="BV155" s="37" t="n">
        <v>382.34</v>
      </c>
      <c r="BW155" s="37" t="n">
        <v>352.04</v>
      </c>
      <c r="BX155" s="37" t="n">
        <v>343.27</v>
      </c>
      <c r="BY155" s="37" t="n">
        <v>342.65</v>
      </c>
      <c r="BZ155" s="37" t="n">
        <v>354.62</v>
      </c>
      <c r="CA155" s="37" t="n">
        <v>344.97</v>
      </c>
      <c r="CB155" s="37" t="n">
        <v>281.92</v>
      </c>
      <c r="CC155" s="37" t="n">
        <v>23912.33</v>
      </c>
    </row>
    <row r="156" ht="15.75" customHeight="1" s="57">
      <c r="A156" s="7" t="inlineStr">
        <is>
          <t>NTB</t>
        </is>
      </c>
      <c r="B156" s="7" t="inlineStr">
        <is>
          <t>Khánh Hòa</t>
        </is>
      </c>
      <c r="C156" s="7" t="n">
        <v>20143000</v>
      </c>
      <c r="D156" s="7" t="inlineStr">
        <is>
          <t>(KHO) Diên Khánh 2</t>
        </is>
      </c>
      <c r="E156" s="7" t="inlineStr">
        <is>
          <t>SME-Bulky</t>
        </is>
      </c>
      <c r="F156" s="36" t="n">
        <v>8</v>
      </c>
      <c r="G156" s="36" t="n">
        <v>18</v>
      </c>
      <c r="H156" s="36" t="n">
        <v>4</v>
      </c>
      <c r="I156" s="36" t="n">
        <v>7</v>
      </c>
      <c r="J156" s="36" t="n">
        <v>6</v>
      </c>
      <c r="K156" s="28" t="n">
        <v>9</v>
      </c>
      <c r="L156" s="36" t="n">
        <v>3</v>
      </c>
      <c r="M156" s="36" t="n">
        <v>7</v>
      </c>
      <c r="N156" s="36" t="n">
        <v>7</v>
      </c>
      <c r="O156" s="36" t="n">
        <v>13</v>
      </c>
      <c r="P156" s="36" t="n">
        <v>12</v>
      </c>
      <c r="Q156" s="36" t="n">
        <v>6</v>
      </c>
      <c r="R156" s="28" t="n">
        <v>8</v>
      </c>
      <c r="S156" s="36" t="n">
        <v>10</v>
      </c>
      <c r="T156" s="36" t="n">
        <v>8</v>
      </c>
      <c r="U156" s="36" t="n">
        <v>9.51</v>
      </c>
      <c r="V156" s="36" t="n">
        <v>9.630000000000001</v>
      </c>
      <c r="W156" s="36" t="n">
        <v>8.94</v>
      </c>
      <c r="X156" s="36" t="n">
        <v>5.96</v>
      </c>
      <c r="Y156" s="28" t="n">
        <v>10.91</v>
      </c>
      <c r="Z156" s="36" t="n">
        <v>10.52</v>
      </c>
      <c r="AA156" s="36" t="n">
        <v>10</v>
      </c>
      <c r="AB156" s="36" t="n">
        <v>9.51</v>
      </c>
      <c r="AC156" s="36" t="n">
        <v>9.630000000000001</v>
      </c>
      <c r="AD156" s="36" t="n">
        <v>8.449999999999999</v>
      </c>
      <c r="AE156" s="36" t="n">
        <v>5.96</v>
      </c>
      <c r="AF156" s="28" t="n">
        <v>10.91</v>
      </c>
      <c r="AG156" s="36" t="n">
        <v>10.52</v>
      </c>
      <c r="AH156" s="37" t="n">
        <v>10</v>
      </c>
      <c r="AI156" s="37" t="n">
        <v>9.51</v>
      </c>
      <c r="AJ156" s="37" t="n">
        <v>9.630000000000001</v>
      </c>
      <c r="AK156" s="37" t="n">
        <v>8.94</v>
      </c>
      <c r="AL156" s="37" t="n">
        <v>5.96</v>
      </c>
      <c r="AM156" s="37" t="n">
        <v>10.91</v>
      </c>
      <c r="AN156" s="37" t="n">
        <v>10.52</v>
      </c>
      <c r="AO156" s="37" t="n">
        <v>10</v>
      </c>
      <c r="AP156" s="37" t="n">
        <v>9.51</v>
      </c>
      <c r="AQ156" s="37" t="n">
        <v>9.630000000000001</v>
      </c>
      <c r="AR156" s="37" t="n">
        <v>8.94</v>
      </c>
      <c r="AS156" s="37" t="n">
        <v>5.96</v>
      </c>
      <c r="AT156" s="37" t="n">
        <v>10.91</v>
      </c>
      <c r="AU156" s="37" t="n">
        <v>10.52</v>
      </c>
      <c r="AV156" s="37" t="n">
        <v>10</v>
      </c>
      <c r="AW156" s="37" t="n">
        <v>9.51</v>
      </c>
      <c r="AX156" s="37" t="n">
        <v>9.630000000000001</v>
      </c>
      <c r="AY156" s="37" t="n">
        <v>8.94</v>
      </c>
      <c r="AZ156" s="37" t="n">
        <v>5.96</v>
      </c>
      <c r="BA156" s="37" t="n">
        <v>10.86</v>
      </c>
      <c r="BB156" s="37" t="n">
        <v>5.64</v>
      </c>
      <c r="BC156" s="37" t="n">
        <v>2.86</v>
      </c>
      <c r="BD156" s="37" t="n">
        <v>2.61</v>
      </c>
      <c r="BE156" s="37" t="n">
        <v>4.88</v>
      </c>
      <c r="BF156" s="37" t="n">
        <v>4.51</v>
      </c>
      <c r="BG156" s="37" t="n">
        <v>3.6</v>
      </c>
      <c r="BH156" s="37" t="n">
        <v>6.4</v>
      </c>
      <c r="BI156" s="37" t="n">
        <v>6.31</v>
      </c>
      <c r="BJ156" s="37" t="n">
        <v>5.49</v>
      </c>
      <c r="BK156" s="37" t="n">
        <v>5.64</v>
      </c>
      <c r="BL156" s="37" t="n">
        <v>5.76</v>
      </c>
      <c r="BM156" s="37" t="n">
        <v>5.25</v>
      </c>
      <c r="BN156" s="37" t="n">
        <v>3.6</v>
      </c>
      <c r="BO156" s="37" t="n">
        <v>6.4</v>
      </c>
      <c r="BP156" s="37" t="n">
        <v>6.31</v>
      </c>
      <c r="BQ156" s="37" t="n">
        <v>5.89</v>
      </c>
      <c r="BR156" s="37" t="n">
        <v>5.64</v>
      </c>
      <c r="BS156" s="37" t="n">
        <v>5.76</v>
      </c>
      <c r="BT156" s="37" t="n">
        <v>5.25</v>
      </c>
      <c r="BU156" s="37" t="n">
        <v>3.6</v>
      </c>
      <c r="BV156" s="37" t="n">
        <v>6.4</v>
      </c>
      <c r="BW156" s="37" t="n">
        <v>6.31</v>
      </c>
      <c r="BX156" s="37" t="n">
        <v>5.89</v>
      </c>
      <c r="BY156" s="37" t="n">
        <v>5.64</v>
      </c>
      <c r="BZ156" s="37" t="n">
        <v>5.76</v>
      </c>
      <c r="CA156" s="37" t="n">
        <v>5.25</v>
      </c>
      <c r="CB156" s="37" t="n">
        <v>3.6</v>
      </c>
      <c r="CC156" s="37" t="n">
        <v>572.5399999999998</v>
      </c>
    </row>
    <row r="157" ht="15.75" customHeight="1" s="57">
      <c r="A157" s="7" t="inlineStr">
        <is>
          <t>NTB</t>
        </is>
      </c>
      <c r="B157" s="7" t="inlineStr">
        <is>
          <t>Khánh Hòa</t>
        </is>
      </c>
      <c r="C157" s="7" t="n">
        <v>20143000</v>
      </c>
      <c r="D157" s="7" t="inlineStr">
        <is>
          <t>(KHO) Diên Khánh 2</t>
        </is>
      </c>
      <c r="E157" s="7" t="inlineStr">
        <is>
          <t>Shopee</t>
        </is>
      </c>
      <c r="F157" s="36" t="n">
        <v>200</v>
      </c>
      <c r="G157" s="36" t="n">
        <v>250</v>
      </c>
      <c r="H157" s="36" t="n">
        <v>207</v>
      </c>
      <c r="I157" s="36" t="n">
        <v>211</v>
      </c>
      <c r="J157" s="36" t="n">
        <v>183</v>
      </c>
      <c r="K157" s="28" t="n">
        <v>169</v>
      </c>
      <c r="L157" s="36" t="n">
        <v>112</v>
      </c>
      <c r="M157" s="36" t="n">
        <v>226</v>
      </c>
      <c r="N157" s="36" t="n">
        <v>269</v>
      </c>
      <c r="O157" s="36" t="n">
        <v>192</v>
      </c>
      <c r="P157" s="36" t="n">
        <v>202</v>
      </c>
      <c r="Q157" s="36" t="n">
        <v>150</v>
      </c>
      <c r="R157" s="28" t="n">
        <v>143</v>
      </c>
      <c r="S157" s="36" t="n">
        <v>117</v>
      </c>
      <c r="T157" s="36" t="n">
        <v>174</v>
      </c>
      <c r="U157" s="36" t="n">
        <v>309.88</v>
      </c>
      <c r="V157" s="36" t="n">
        <v>311.08</v>
      </c>
      <c r="W157" s="36" t="n">
        <v>306.63</v>
      </c>
      <c r="X157" s="36" t="n">
        <v>249.32</v>
      </c>
      <c r="Y157" s="28" t="n">
        <v>417.66</v>
      </c>
      <c r="Z157" s="36" t="n">
        <v>330.31</v>
      </c>
      <c r="AA157" s="36" t="n">
        <v>454.37</v>
      </c>
      <c r="AB157" s="36" t="n">
        <v>316.08</v>
      </c>
      <c r="AC157" s="36" t="n">
        <v>255.44</v>
      </c>
      <c r="AD157" s="36" t="n">
        <v>784.6799999999999</v>
      </c>
      <c r="AE157" s="36" t="n">
        <v>267.05</v>
      </c>
      <c r="AF157" s="28" t="n">
        <v>475.6</v>
      </c>
      <c r="AG157" s="36" t="n">
        <v>347</v>
      </c>
      <c r="AH157" s="37" t="n">
        <v>366.39</v>
      </c>
      <c r="AI157" s="37" t="n">
        <v>309.88</v>
      </c>
      <c r="AJ157" s="37" t="n">
        <v>311.08</v>
      </c>
      <c r="AK157" s="37" t="n">
        <v>413.68</v>
      </c>
      <c r="AL157" s="37" t="n">
        <v>447.46</v>
      </c>
      <c r="AM157" s="37" t="n">
        <v>417.66</v>
      </c>
      <c r="AN157" s="37" t="n">
        <v>330.31</v>
      </c>
      <c r="AO157" s="37" t="n">
        <v>366.39</v>
      </c>
      <c r="AP157" s="37" t="n">
        <v>386.58</v>
      </c>
      <c r="AQ157" s="37" t="n">
        <v>249.4</v>
      </c>
      <c r="AR157" s="37" t="n">
        <v>306.63</v>
      </c>
      <c r="AS157" s="37" t="n">
        <v>249.32</v>
      </c>
      <c r="AT157" s="37" t="n">
        <v>417.66</v>
      </c>
      <c r="AU157" s="37" t="n">
        <v>337.14</v>
      </c>
      <c r="AV157" s="37" t="n">
        <v>373.78</v>
      </c>
      <c r="AW157" s="37" t="n">
        <v>309.88</v>
      </c>
      <c r="AX157" s="37" t="n">
        <v>311.08</v>
      </c>
      <c r="AY157" s="37" t="n">
        <v>306.63</v>
      </c>
      <c r="AZ157" s="37" t="n">
        <v>249.32</v>
      </c>
      <c r="BA157" s="37" t="n">
        <v>321.65</v>
      </c>
      <c r="BB157" s="37" t="n">
        <v>280.4</v>
      </c>
      <c r="BC157" s="37" t="n">
        <v>142.82</v>
      </c>
      <c r="BD157" s="37" t="n">
        <v>253.85</v>
      </c>
      <c r="BE157" s="37" t="n">
        <v>296.37</v>
      </c>
      <c r="BF157" s="37" t="n">
        <v>292.16</v>
      </c>
      <c r="BG157" s="37" t="n">
        <v>242.41</v>
      </c>
      <c r="BH157" s="37" t="n">
        <v>397.95</v>
      </c>
      <c r="BI157" s="37" t="n">
        <v>258.86</v>
      </c>
      <c r="BJ157" s="37" t="n">
        <v>1113.96</v>
      </c>
      <c r="BK157" s="37" t="n">
        <v>315.77</v>
      </c>
      <c r="BL157" s="37" t="n">
        <v>310.68</v>
      </c>
      <c r="BM157" s="37" t="n">
        <v>292.16</v>
      </c>
      <c r="BN157" s="37" t="n">
        <v>237.56</v>
      </c>
      <c r="BO157" s="37" t="n">
        <v>397.95</v>
      </c>
      <c r="BP157" s="37" t="n">
        <v>424.49</v>
      </c>
      <c r="BQ157" s="37" t="n">
        <v>627</v>
      </c>
      <c r="BR157" s="37" t="n">
        <v>295.18</v>
      </c>
      <c r="BS157" s="37" t="n">
        <v>296.37</v>
      </c>
      <c r="BT157" s="37" t="n">
        <v>292.16</v>
      </c>
      <c r="BU157" s="37" t="n">
        <v>296.53</v>
      </c>
      <c r="BV157" s="37" t="n">
        <v>318.47</v>
      </c>
      <c r="BW157" s="37" t="n">
        <v>314.57</v>
      </c>
      <c r="BX157" s="37" t="n">
        <v>348.99</v>
      </c>
      <c r="BY157" s="37" t="n">
        <v>295.18</v>
      </c>
      <c r="BZ157" s="37" t="n">
        <v>302.49</v>
      </c>
      <c r="CA157" s="37" t="n">
        <v>297.88</v>
      </c>
      <c r="CB157" s="37" t="n">
        <v>237.56</v>
      </c>
      <c r="CC157" s="37" t="n">
        <v>23591.79</v>
      </c>
    </row>
    <row r="158" ht="15.75" customHeight="1" s="57">
      <c r="A158" s="7" t="inlineStr">
        <is>
          <t>NTB</t>
        </is>
      </c>
      <c r="B158" s="7" t="inlineStr">
        <is>
          <t>Khánh Hòa</t>
        </is>
      </c>
      <c r="C158" s="7" t="n">
        <v>20143000</v>
      </c>
      <c r="D158" s="7" t="inlineStr">
        <is>
          <t>(KHO) Diên Khánh 2</t>
        </is>
      </c>
      <c r="E158" s="7" t="inlineStr">
        <is>
          <t>Shopee-Bulky</t>
        </is>
      </c>
      <c r="F158" s="36" t="n">
        <v>17.93</v>
      </c>
      <c r="G158" s="36" t="n">
        <v>12.81</v>
      </c>
      <c r="H158" s="36" t="n">
        <v>17.93</v>
      </c>
      <c r="I158" s="36" t="n">
        <v>21.13</v>
      </c>
      <c r="J158" s="36" t="n">
        <v>8.33</v>
      </c>
      <c r="K158" s="28" t="n">
        <v>5.76</v>
      </c>
      <c r="L158" s="36" t="n">
        <v>6.4</v>
      </c>
      <c r="M158" s="36" t="n">
        <v>13.45</v>
      </c>
      <c r="N158" s="36" t="n">
        <v>15.37</v>
      </c>
      <c r="O158" s="36" t="n">
        <v>8.33</v>
      </c>
      <c r="P158" s="36" t="n">
        <v>13.45</v>
      </c>
      <c r="Q158" s="36" t="n">
        <v>8.33</v>
      </c>
      <c r="R158" s="28" t="n">
        <v>21.13</v>
      </c>
      <c r="S158" s="36" t="n">
        <v>13.45</v>
      </c>
      <c r="T158" s="36" t="n">
        <v>15.37</v>
      </c>
      <c r="U158" s="36" t="n">
        <v>12.42</v>
      </c>
      <c r="V158" s="36" t="n">
        <v>12.04</v>
      </c>
      <c r="W158" s="36" t="n">
        <v>16.8</v>
      </c>
      <c r="X158" s="36" t="n">
        <v>9.279999999999999</v>
      </c>
      <c r="Y158" s="28" t="n">
        <v>18.33</v>
      </c>
      <c r="Z158" s="36" t="n">
        <v>14.29</v>
      </c>
      <c r="AA158" s="36" t="n">
        <v>13.84</v>
      </c>
      <c r="AB158" s="36" t="n">
        <v>14.13</v>
      </c>
      <c r="AC158" s="36" t="n">
        <v>14.96</v>
      </c>
      <c r="AD158" s="36" t="n">
        <v>41.58</v>
      </c>
      <c r="AE158" s="36" t="n">
        <v>23.81</v>
      </c>
      <c r="AF158" s="28" t="n">
        <v>36.12</v>
      </c>
      <c r="AG158" s="36" t="n">
        <v>20.42</v>
      </c>
      <c r="AH158" s="37" t="n">
        <v>14.18</v>
      </c>
      <c r="AI158" s="37" t="n">
        <v>13.84</v>
      </c>
      <c r="AJ158" s="37" t="n">
        <v>13.64</v>
      </c>
      <c r="AK158" s="37" t="n">
        <v>30.93</v>
      </c>
      <c r="AL158" s="37" t="n">
        <v>15.64</v>
      </c>
      <c r="AM158" s="37" t="n">
        <v>22.51</v>
      </c>
      <c r="AN158" s="37" t="n">
        <v>14.09</v>
      </c>
      <c r="AO158" s="37" t="n">
        <v>13.77</v>
      </c>
      <c r="AP158" s="37" t="n">
        <v>18.96</v>
      </c>
      <c r="AQ158" s="37" t="n">
        <v>18.65</v>
      </c>
      <c r="AR158" s="37" t="n">
        <v>15.23</v>
      </c>
      <c r="AS158" s="37" t="n">
        <v>8.15</v>
      </c>
      <c r="AT158" s="37" t="n">
        <v>16.76</v>
      </c>
      <c r="AU158" s="37" t="n">
        <v>27.45</v>
      </c>
      <c r="AV158" s="37" t="n">
        <v>28.55</v>
      </c>
      <c r="AW158" s="37" t="n">
        <v>13.93</v>
      </c>
      <c r="AX158" s="37" t="n">
        <v>13.07</v>
      </c>
      <c r="AY158" s="37" t="n">
        <v>14.58</v>
      </c>
      <c r="AZ158" s="37" t="n">
        <v>7.82</v>
      </c>
      <c r="BA158" s="37" t="n">
        <v>15.28</v>
      </c>
      <c r="BB158" s="37" t="n">
        <v>14.33</v>
      </c>
      <c r="BC158" s="37" t="n">
        <v>4.94</v>
      </c>
      <c r="BD158" s="37" t="n">
        <v>12.18</v>
      </c>
      <c r="BE158" s="37" t="n">
        <v>15.12</v>
      </c>
      <c r="BF158" s="37" t="n">
        <v>13.21</v>
      </c>
      <c r="BG158" s="37" t="n">
        <v>10.6</v>
      </c>
      <c r="BH158" s="37" t="n">
        <v>19.57</v>
      </c>
      <c r="BI158" s="37" t="n">
        <v>16.65</v>
      </c>
      <c r="BJ158" s="37" t="n">
        <v>65.73</v>
      </c>
      <c r="BK158" s="37" t="n">
        <v>35.52</v>
      </c>
      <c r="BL158" s="37" t="n">
        <v>18.26</v>
      </c>
      <c r="BM158" s="37" t="n">
        <v>13.82</v>
      </c>
      <c r="BN158" s="37" t="n">
        <v>10.33</v>
      </c>
      <c r="BO158" s="37" t="n">
        <v>22.91</v>
      </c>
      <c r="BP158" s="37" t="n">
        <v>33.18</v>
      </c>
      <c r="BQ158" s="37" t="n">
        <v>24.24</v>
      </c>
      <c r="BR158" s="37" t="n">
        <v>15.84</v>
      </c>
      <c r="BS158" s="37" t="n">
        <v>15.12</v>
      </c>
      <c r="BT158" s="37" t="n">
        <v>13.21</v>
      </c>
      <c r="BU158" s="37" t="n">
        <v>15.34</v>
      </c>
      <c r="BV158" s="37" t="n">
        <v>20.74</v>
      </c>
      <c r="BW158" s="37" t="n">
        <v>16.65</v>
      </c>
      <c r="BX158" s="37" t="n">
        <v>16.13</v>
      </c>
      <c r="BY158" s="37" t="n">
        <v>15.84</v>
      </c>
      <c r="BZ158" s="37" t="n">
        <v>27.12</v>
      </c>
      <c r="CA158" s="37" t="n">
        <v>15.73</v>
      </c>
      <c r="CB158" s="37" t="n">
        <v>10.04</v>
      </c>
      <c r="CC158" s="37" t="n">
        <v>1296.57</v>
      </c>
    </row>
    <row r="159" ht="15.75" customHeight="1" s="57">
      <c r="A159" s="7" t="inlineStr">
        <is>
          <t>NTB</t>
        </is>
      </c>
      <c r="B159" s="7" t="inlineStr">
        <is>
          <t>Khánh Hòa</t>
        </is>
      </c>
      <c r="C159" s="7" t="n">
        <v>20143000</v>
      </c>
      <c r="D159" s="7" t="inlineStr">
        <is>
          <t>(KHO) Diên Khánh 2</t>
        </is>
      </c>
      <c r="E159" s="7" t="inlineStr">
        <is>
          <t>Shopee-Bulky (10-15kg)</t>
        </is>
      </c>
      <c r="F159" s="36" t="n">
        <v>10.07</v>
      </c>
      <c r="G159" s="36" t="n">
        <v>7.19</v>
      </c>
      <c r="H159" s="36" t="n">
        <v>10.07</v>
      </c>
      <c r="I159" s="36" t="n">
        <v>11.87</v>
      </c>
      <c r="J159" s="36" t="n">
        <v>4.67</v>
      </c>
      <c r="K159" s="28" t="n">
        <v>3.24</v>
      </c>
      <c r="L159" s="36" t="n">
        <v>3.6</v>
      </c>
      <c r="M159" s="36" t="n">
        <v>7.55</v>
      </c>
      <c r="N159" s="36" t="n">
        <v>8.630000000000001</v>
      </c>
      <c r="O159" s="36" t="n">
        <v>4.67</v>
      </c>
      <c r="P159" s="36" t="n">
        <v>7.55</v>
      </c>
      <c r="Q159" s="36" t="n">
        <v>4.67</v>
      </c>
      <c r="R159" s="28" t="n">
        <v>11.87</v>
      </c>
      <c r="S159" s="36" t="n">
        <v>7.55</v>
      </c>
      <c r="T159" s="36" t="n">
        <v>8.630000000000001</v>
      </c>
      <c r="U159" s="36" t="n">
        <v>7.44</v>
      </c>
      <c r="V159" s="36" t="n">
        <v>7.12</v>
      </c>
      <c r="W159" s="36" t="n">
        <v>9.19</v>
      </c>
      <c r="X159" s="36" t="n">
        <v>5.17</v>
      </c>
      <c r="Y159" s="28" t="n">
        <v>10.47</v>
      </c>
      <c r="Z159" s="36" t="n">
        <v>8.18</v>
      </c>
      <c r="AA159" s="36" t="n">
        <v>7.71</v>
      </c>
      <c r="AB159" s="36" t="n">
        <v>8.06</v>
      </c>
      <c r="AC159" s="36" t="n">
        <v>8.359999999999999</v>
      </c>
      <c r="AD159" s="36" t="n">
        <v>31.16</v>
      </c>
      <c r="AE159" s="36" t="n">
        <v>12.94</v>
      </c>
      <c r="AF159" s="28" t="n">
        <v>19.1</v>
      </c>
      <c r="AG159" s="36" t="n">
        <v>11.39</v>
      </c>
      <c r="AH159" s="37" t="n">
        <v>8.06</v>
      </c>
      <c r="AI159" s="37" t="n">
        <v>7.8</v>
      </c>
      <c r="AJ159" s="37" t="n">
        <v>7.64</v>
      </c>
      <c r="AK159" s="37" t="n">
        <v>17.66</v>
      </c>
      <c r="AL159" s="37" t="n">
        <v>8.869999999999999</v>
      </c>
      <c r="AM159" s="37" t="n">
        <v>12.74</v>
      </c>
      <c r="AN159" s="37" t="n">
        <v>8.06</v>
      </c>
      <c r="AO159" s="37" t="n">
        <v>7.77</v>
      </c>
      <c r="AP159" s="37" t="n">
        <v>10.06</v>
      </c>
      <c r="AQ159" s="37" t="n">
        <v>10.58</v>
      </c>
      <c r="AR159" s="37" t="n">
        <v>8.24</v>
      </c>
      <c r="AS159" s="37" t="n">
        <v>4.54</v>
      </c>
      <c r="AT159" s="37" t="n">
        <v>9.48</v>
      </c>
      <c r="AU159" s="37" t="n">
        <v>15.68</v>
      </c>
      <c r="AV159" s="37" t="n">
        <v>16.26</v>
      </c>
      <c r="AW159" s="37" t="n">
        <v>7.89</v>
      </c>
      <c r="AX159" s="37" t="n">
        <v>7.37</v>
      </c>
      <c r="AY159" s="37" t="n">
        <v>7.93</v>
      </c>
      <c r="AZ159" s="37" t="n">
        <v>4.38</v>
      </c>
      <c r="BA159" s="37" t="n">
        <v>8.65</v>
      </c>
      <c r="BB159" s="37" t="n">
        <v>8.289999999999999</v>
      </c>
      <c r="BC159" s="37" t="n">
        <v>2.79</v>
      </c>
      <c r="BD159" s="37" t="n">
        <v>6.6</v>
      </c>
      <c r="BE159" s="37" t="n">
        <v>8.51</v>
      </c>
      <c r="BF159" s="37" t="n">
        <v>7.26</v>
      </c>
      <c r="BG159" s="37" t="n">
        <v>5.93</v>
      </c>
      <c r="BH159" s="37" t="n">
        <v>11.34</v>
      </c>
      <c r="BI159" s="37" t="n">
        <v>9.640000000000001</v>
      </c>
      <c r="BJ159" s="37" t="n">
        <v>42.73</v>
      </c>
      <c r="BK159" s="37" t="n">
        <v>19.93</v>
      </c>
      <c r="BL159" s="37" t="n">
        <v>10.6</v>
      </c>
      <c r="BM159" s="37" t="n">
        <v>7.71</v>
      </c>
      <c r="BN159" s="37" t="n">
        <v>5.82</v>
      </c>
      <c r="BO159" s="37" t="n">
        <v>12.76</v>
      </c>
      <c r="BP159" s="37" t="n">
        <v>18.6</v>
      </c>
      <c r="BQ159" s="37" t="n">
        <v>13.68</v>
      </c>
      <c r="BR159" s="37" t="n">
        <v>9.140000000000001</v>
      </c>
      <c r="BS159" s="37" t="n">
        <v>8.51</v>
      </c>
      <c r="BT159" s="37" t="n">
        <v>7.26</v>
      </c>
      <c r="BU159" s="37" t="n">
        <v>8.83</v>
      </c>
      <c r="BV159" s="37" t="n">
        <v>11.73</v>
      </c>
      <c r="BW159" s="37" t="n">
        <v>9.640000000000001</v>
      </c>
      <c r="BX159" s="37" t="n">
        <v>9.210000000000001</v>
      </c>
      <c r="BY159" s="37" t="n">
        <v>9.140000000000001</v>
      </c>
      <c r="BZ159" s="37" t="n">
        <v>15.1</v>
      </c>
      <c r="CA159" s="37" t="n">
        <v>9.01</v>
      </c>
      <c r="CB159" s="37" t="n">
        <v>5.68</v>
      </c>
      <c r="CC159" s="37" t="n">
        <v>743.22</v>
      </c>
    </row>
    <row r="160" ht="15.75" customHeight="1" s="57">
      <c r="A160" s="7" t="inlineStr">
        <is>
          <t>NTB</t>
        </is>
      </c>
      <c r="B160" s="7" t="inlineStr">
        <is>
          <t>Khánh Hòa</t>
        </is>
      </c>
      <c r="C160" s="7" t="n">
        <v>20143000</v>
      </c>
      <c r="D160" s="7" t="inlineStr">
        <is>
          <t>(KHO) Diên Khánh 2</t>
        </is>
      </c>
      <c r="E160" s="7" t="inlineStr">
        <is>
          <t>TTS</t>
        </is>
      </c>
      <c r="F160" s="36" t="n">
        <v>193</v>
      </c>
      <c r="G160" s="36" t="n">
        <v>232</v>
      </c>
      <c r="H160" s="36" t="n">
        <v>234</v>
      </c>
      <c r="I160" s="36" t="n">
        <v>199</v>
      </c>
      <c r="J160" s="36" t="n">
        <v>189</v>
      </c>
      <c r="K160" s="28" t="n">
        <v>204</v>
      </c>
      <c r="L160" s="36" t="n">
        <v>120</v>
      </c>
      <c r="M160" s="36" t="n">
        <v>177</v>
      </c>
      <c r="N160" s="36" t="n">
        <v>238</v>
      </c>
      <c r="O160" s="36" t="n">
        <v>165</v>
      </c>
      <c r="P160" s="36" t="n">
        <v>201</v>
      </c>
      <c r="Q160" s="36" t="n">
        <v>144</v>
      </c>
      <c r="R160" s="28" t="n">
        <v>203</v>
      </c>
      <c r="S160" s="36" t="n">
        <v>172</v>
      </c>
      <c r="T160" s="36" t="n">
        <v>233</v>
      </c>
      <c r="U160" s="36" t="n">
        <v>163.62</v>
      </c>
      <c r="V160" s="36" t="n">
        <v>160.61</v>
      </c>
      <c r="W160" s="36" t="n">
        <v>157.11</v>
      </c>
      <c r="X160" s="36" t="n">
        <v>126.58</v>
      </c>
      <c r="Y160" s="28" t="n">
        <v>184.54</v>
      </c>
      <c r="Z160" s="36" t="n">
        <v>156.44</v>
      </c>
      <c r="AA160" s="36" t="n">
        <v>174.04</v>
      </c>
      <c r="AB160" s="36" t="n">
        <v>193.35</v>
      </c>
      <c r="AC160" s="36" t="n">
        <v>203.89</v>
      </c>
      <c r="AD160" s="36" t="n">
        <v>224.33</v>
      </c>
      <c r="AE160" s="36" t="n">
        <v>147.27</v>
      </c>
      <c r="AF160" s="28" t="n">
        <v>190.03</v>
      </c>
      <c r="AG160" s="36" t="n">
        <v>160</v>
      </c>
      <c r="AH160" s="37" t="n">
        <v>158.31</v>
      </c>
      <c r="AI160" s="37" t="n">
        <v>180.98</v>
      </c>
      <c r="AJ160" s="37" t="n">
        <v>194.5</v>
      </c>
      <c r="AK160" s="37" t="n">
        <v>191.82</v>
      </c>
      <c r="AL160" s="37" t="n">
        <v>136.4</v>
      </c>
      <c r="AM160" s="37" t="n">
        <v>187.38</v>
      </c>
      <c r="AN160" s="37" t="n">
        <v>161.6</v>
      </c>
      <c r="AO160" s="37" t="n">
        <v>160.97</v>
      </c>
      <c r="AP160" s="37" t="n">
        <v>156.08</v>
      </c>
      <c r="AQ160" s="37" t="n">
        <v>157.47</v>
      </c>
      <c r="AR160" s="37" t="n">
        <v>154.69</v>
      </c>
      <c r="AS160" s="37" t="n">
        <v>127.01</v>
      </c>
      <c r="AT160" s="37" t="n">
        <v>203.14</v>
      </c>
      <c r="AU160" s="37" t="n">
        <v>183.75</v>
      </c>
      <c r="AV160" s="37" t="n">
        <v>163.26</v>
      </c>
      <c r="AW160" s="37" t="n">
        <v>154.27</v>
      </c>
      <c r="AX160" s="37" t="n">
        <v>153.42</v>
      </c>
      <c r="AY160" s="37" t="n">
        <v>152.7</v>
      </c>
      <c r="AZ160" s="37" t="n">
        <v>127.07</v>
      </c>
      <c r="BA160" s="37" t="n">
        <v>183.03</v>
      </c>
      <c r="BB160" s="37" t="n">
        <v>170.84</v>
      </c>
      <c r="BC160" s="37" t="n">
        <v>101.07</v>
      </c>
      <c r="BD160" s="37" t="n">
        <v>147.51</v>
      </c>
      <c r="BE160" s="37" t="n">
        <v>173.55</v>
      </c>
      <c r="BF160" s="37" t="n">
        <v>168.6</v>
      </c>
      <c r="BG160" s="37" t="n">
        <v>136.52</v>
      </c>
      <c r="BH160" s="37" t="n">
        <v>202.84</v>
      </c>
      <c r="BI160" s="37" t="n">
        <v>170.84</v>
      </c>
      <c r="BJ160" s="37" t="n">
        <v>170.65</v>
      </c>
      <c r="BK160" s="37" t="n">
        <v>173.31</v>
      </c>
      <c r="BL160" s="37" t="n">
        <v>173.55</v>
      </c>
      <c r="BM160" s="37" t="n">
        <v>168.6</v>
      </c>
      <c r="BN160" s="37" t="n">
        <v>136.52</v>
      </c>
      <c r="BO160" s="37" t="n">
        <v>202.84</v>
      </c>
      <c r="BP160" s="37" t="n">
        <v>170.84</v>
      </c>
      <c r="BQ160" s="37" t="n">
        <v>168.84</v>
      </c>
      <c r="BR160" s="37" t="n">
        <v>173.31</v>
      </c>
      <c r="BS160" s="37" t="n">
        <v>173.55</v>
      </c>
      <c r="BT160" s="37" t="n">
        <v>168.6</v>
      </c>
      <c r="BU160" s="37" t="n">
        <v>136.52</v>
      </c>
      <c r="BV160" s="37" t="n">
        <v>202.84</v>
      </c>
      <c r="BW160" s="37" t="n">
        <v>170.84</v>
      </c>
      <c r="BX160" s="37" t="n">
        <v>168.84</v>
      </c>
      <c r="BY160" s="37" t="n">
        <v>173.31</v>
      </c>
      <c r="BZ160" s="37" t="n">
        <v>173.55</v>
      </c>
      <c r="CA160" s="37" t="n">
        <v>168.6</v>
      </c>
      <c r="CB160" s="37" t="n">
        <v>136.52</v>
      </c>
      <c r="CC160" s="37" t="n">
        <v>12917.06</v>
      </c>
    </row>
    <row r="161" ht="15.75" customHeight="1" s="57">
      <c r="A161" s="7" t="inlineStr">
        <is>
          <t>NTB</t>
        </is>
      </c>
      <c r="B161" s="7" t="inlineStr">
        <is>
          <t>Khánh Hòa</t>
        </is>
      </c>
      <c r="C161" s="7" t="n">
        <v>20143000</v>
      </c>
      <c r="D161" s="7" t="inlineStr">
        <is>
          <t>(KHO) Diên Khánh 2</t>
        </is>
      </c>
      <c r="E161" s="7" t="inlineStr">
        <is>
          <t>TTS-Bulky</t>
        </is>
      </c>
      <c r="F161" s="36" t="n">
        <v>3</v>
      </c>
      <c r="G161" s="36" t="n">
        <v>4</v>
      </c>
      <c r="H161" s="36" t="n">
        <v>1</v>
      </c>
      <c r="I161" s="36" t="n">
        <v>3</v>
      </c>
      <c r="J161" s="36" t="n">
        <v>4</v>
      </c>
      <c r="K161" s="28" t="n">
        <v>1</v>
      </c>
      <c r="L161" s="36" t="n">
        <v>1</v>
      </c>
      <c r="M161" s="36" t="n">
        <v>1</v>
      </c>
      <c r="N161" s="36" t="n">
        <v>0</v>
      </c>
      <c r="O161" s="36" t="n">
        <v>0</v>
      </c>
      <c r="P161" s="36" t="n">
        <v>0</v>
      </c>
      <c r="Q161" s="36" t="n">
        <v>0</v>
      </c>
      <c r="R161" s="28" t="n">
        <v>0</v>
      </c>
      <c r="S161" s="36" t="n">
        <v>1</v>
      </c>
      <c r="T161" s="36" t="n">
        <v>3</v>
      </c>
      <c r="U161" s="36" t="n">
        <v>5.46</v>
      </c>
      <c r="V161" s="36" t="n">
        <v>5.23</v>
      </c>
      <c r="W161" s="36" t="n">
        <v>2.63</v>
      </c>
      <c r="X161" s="36" t="n">
        <v>1.97</v>
      </c>
      <c r="Y161" s="28" t="n">
        <v>3.35</v>
      </c>
      <c r="Z161" s="36" t="n">
        <v>2.47</v>
      </c>
      <c r="AA161" s="36" t="n">
        <v>2.79</v>
      </c>
      <c r="AB161" s="36" t="n">
        <v>2.99</v>
      </c>
      <c r="AC161" s="36" t="n">
        <v>3.25</v>
      </c>
      <c r="AD161" s="36" t="n">
        <v>4.08</v>
      </c>
      <c r="AE161" s="36" t="n">
        <v>2.17</v>
      </c>
      <c r="AF161" s="28" t="n">
        <v>3.19</v>
      </c>
      <c r="AG161" s="36" t="n">
        <v>2.56</v>
      </c>
      <c r="AH161" s="37" t="n">
        <v>2.56</v>
      </c>
      <c r="AI161" s="37" t="n">
        <v>2.66</v>
      </c>
      <c r="AJ161" s="37" t="n">
        <v>2.93</v>
      </c>
      <c r="AK161" s="37" t="n">
        <v>2.83</v>
      </c>
      <c r="AL161" s="37" t="n">
        <v>2.01</v>
      </c>
      <c r="AM161" s="37" t="n">
        <v>3.16</v>
      </c>
      <c r="AN161" s="37" t="n">
        <v>2.63</v>
      </c>
      <c r="AO161" s="37" t="n">
        <v>2.56</v>
      </c>
      <c r="AP161" s="37" t="n">
        <v>2.6</v>
      </c>
      <c r="AQ161" s="37" t="n">
        <v>2.6</v>
      </c>
      <c r="AR161" s="37" t="n">
        <v>2.6</v>
      </c>
      <c r="AS161" s="37" t="n">
        <v>1.91</v>
      </c>
      <c r="AT161" s="37" t="n">
        <v>3.32</v>
      </c>
      <c r="AU161" s="37" t="n">
        <v>2.99</v>
      </c>
      <c r="AV161" s="37" t="n">
        <v>2.66</v>
      </c>
      <c r="AW161" s="37" t="n">
        <v>2.56</v>
      </c>
      <c r="AX161" s="37" t="n">
        <v>2.56</v>
      </c>
      <c r="AY161" s="37" t="n">
        <v>2.6</v>
      </c>
      <c r="AZ161" s="37" t="n">
        <v>1.91</v>
      </c>
      <c r="BA161" s="37" t="n">
        <v>2.93</v>
      </c>
      <c r="BB161" s="37" t="n">
        <v>0.6899999999999999</v>
      </c>
      <c r="BC161" s="37" t="n">
        <v>0.43</v>
      </c>
      <c r="BD161" s="37" t="n">
        <v>0.49</v>
      </c>
      <c r="BE161" s="37" t="n">
        <v>0.6899999999999999</v>
      </c>
      <c r="BF161" s="37" t="n">
        <v>0.72</v>
      </c>
      <c r="BG161" s="37" t="n">
        <v>0.49</v>
      </c>
      <c r="BH161" s="37" t="n">
        <v>0.92</v>
      </c>
      <c r="BI161" s="37" t="n">
        <v>0.76</v>
      </c>
      <c r="BJ161" s="37" t="n">
        <v>0.95</v>
      </c>
      <c r="BK161" s="37" t="n">
        <v>0.72</v>
      </c>
      <c r="BL161" s="37" t="n">
        <v>0.6899999999999999</v>
      </c>
      <c r="BM161" s="37" t="n">
        <v>0.72</v>
      </c>
      <c r="BN161" s="37" t="n">
        <v>0.49</v>
      </c>
      <c r="BO161" s="37" t="n">
        <v>1.12</v>
      </c>
      <c r="BP161" s="37" t="n">
        <v>0.85</v>
      </c>
      <c r="BQ161" s="37" t="n">
        <v>0.72</v>
      </c>
      <c r="BR161" s="37" t="n">
        <v>0.72</v>
      </c>
      <c r="BS161" s="37" t="n">
        <v>0.6899999999999999</v>
      </c>
      <c r="BT161" s="37" t="n">
        <v>0.72</v>
      </c>
      <c r="BU161" s="37" t="n">
        <v>0.49</v>
      </c>
      <c r="BV161" s="37" t="n">
        <v>0.85</v>
      </c>
      <c r="BW161" s="37" t="n">
        <v>0.76</v>
      </c>
      <c r="BX161" s="37" t="n">
        <v>0.72</v>
      </c>
      <c r="BY161" s="37" t="n">
        <v>0.72</v>
      </c>
      <c r="BZ161" s="37" t="n">
        <v>0.6899999999999999</v>
      </c>
      <c r="CA161" s="37" t="n">
        <v>0.72</v>
      </c>
      <c r="CB161" s="37" t="n">
        <v>0.49</v>
      </c>
      <c r="CC161" s="37" t="n">
        <v>135.74</v>
      </c>
    </row>
    <row r="162" ht="15.75" customHeight="1" s="57">
      <c r="A162" s="7" t="inlineStr">
        <is>
          <t>NTB</t>
        </is>
      </c>
      <c r="B162" s="7" t="inlineStr">
        <is>
          <t>Khánh Hòa</t>
        </is>
      </c>
      <c r="C162" s="7" t="n">
        <v>20320000</v>
      </c>
      <c r="D162" s="7" t="inlineStr">
        <is>
          <t>(KHO) Tây Nha Trang</t>
        </is>
      </c>
      <c r="E162" s="7" t="inlineStr">
        <is>
          <t>SME</t>
        </is>
      </c>
      <c r="F162" s="36" t="n">
        <v>236</v>
      </c>
      <c r="G162" s="36" t="n">
        <v>377</v>
      </c>
      <c r="H162" s="36" t="n">
        <v>362</v>
      </c>
      <c r="I162" s="36" t="n">
        <v>398</v>
      </c>
      <c r="J162" s="36" t="n">
        <v>316</v>
      </c>
      <c r="K162" s="28" t="n">
        <v>310</v>
      </c>
      <c r="L162" s="36" t="n">
        <v>250</v>
      </c>
      <c r="M162" s="36" t="n">
        <v>283</v>
      </c>
      <c r="N162" s="36" t="n">
        <v>287</v>
      </c>
      <c r="O162" s="36" t="n">
        <v>252</v>
      </c>
      <c r="P162" s="36" t="n">
        <v>294</v>
      </c>
      <c r="Q162" s="36" t="n">
        <v>247</v>
      </c>
      <c r="R162" s="28" t="n">
        <v>327</v>
      </c>
      <c r="S162" s="36" t="n">
        <v>258</v>
      </c>
      <c r="T162" s="36" t="n">
        <v>309</v>
      </c>
      <c r="U162" s="36" t="n">
        <v>349.34</v>
      </c>
      <c r="V162" s="36" t="n">
        <v>361.62</v>
      </c>
      <c r="W162" s="36" t="n">
        <v>351.69</v>
      </c>
      <c r="X162" s="36" t="n">
        <v>287.83</v>
      </c>
      <c r="Y162" s="28" t="n">
        <v>389.7</v>
      </c>
      <c r="Z162" s="36" t="n">
        <v>358.96</v>
      </c>
      <c r="AA162" s="36" t="n">
        <v>350.09</v>
      </c>
      <c r="AB162" s="36" t="n">
        <v>349.34</v>
      </c>
      <c r="AC162" s="36" t="n">
        <v>361.62</v>
      </c>
      <c r="AD162" s="36" t="n">
        <v>354.77</v>
      </c>
      <c r="AE162" s="36" t="n">
        <v>287.83</v>
      </c>
      <c r="AF162" s="28" t="n">
        <v>389.7</v>
      </c>
      <c r="AG162" s="36" t="n">
        <v>358.96</v>
      </c>
      <c r="AH162" s="37" t="n">
        <v>350.09</v>
      </c>
      <c r="AI162" s="37" t="n">
        <v>349.34</v>
      </c>
      <c r="AJ162" s="37" t="n">
        <v>361.62</v>
      </c>
      <c r="AK162" s="37" t="n">
        <v>351.69</v>
      </c>
      <c r="AL162" s="37" t="n">
        <v>287.83</v>
      </c>
      <c r="AM162" s="37" t="n">
        <v>389.7</v>
      </c>
      <c r="AN162" s="37" t="n">
        <v>358.96</v>
      </c>
      <c r="AO162" s="37" t="n">
        <v>350.09</v>
      </c>
      <c r="AP162" s="37" t="n">
        <v>349.34</v>
      </c>
      <c r="AQ162" s="37" t="n">
        <v>361.62</v>
      </c>
      <c r="AR162" s="37" t="n">
        <v>351.69</v>
      </c>
      <c r="AS162" s="37" t="n">
        <v>287.83</v>
      </c>
      <c r="AT162" s="37" t="n">
        <v>389.7</v>
      </c>
      <c r="AU162" s="37" t="n">
        <v>358.96</v>
      </c>
      <c r="AV162" s="37" t="n">
        <v>350.09</v>
      </c>
      <c r="AW162" s="37" t="n">
        <v>349.34</v>
      </c>
      <c r="AX162" s="37" t="n">
        <v>361.62</v>
      </c>
      <c r="AY162" s="37" t="n">
        <v>351.69</v>
      </c>
      <c r="AZ162" s="37" t="n">
        <v>287.83</v>
      </c>
      <c r="BA162" s="37" t="n">
        <v>350.73</v>
      </c>
      <c r="BB162" s="37" t="n">
        <v>314.79</v>
      </c>
      <c r="BC162" s="37" t="n">
        <v>198.94</v>
      </c>
      <c r="BD162" s="37" t="n">
        <v>198.16</v>
      </c>
      <c r="BE162" s="37" t="n">
        <v>335.92</v>
      </c>
      <c r="BF162" s="37" t="n">
        <v>326.73</v>
      </c>
      <c r="BG162" s="37" t="n">
        <v>296.6</v>
      </c>
      <c r="BH162" s="37" t="n">
        <v>402.18</v>
      </c>
      <c r="BI162" s="37" t="n">
        <v>370.33</v>
      </c>
      <c r="BJ162" s="37" t="n">
        <v>364.13</v>
      </c>
      <c r="BK162" s="37" t="n">
        <v>360.43</v>
      </c>
      <c r="BL162" s="37" t="n">
        <v>373.05</v>
      </c>
      <c r="BM162" s="37" t="n">
        <v>362.89</v>
      </c>
      <c r="BN162" s="37" t="n">
        <v>296.6</v>
      </c>
      <c r="BO162" s="37" t="n">
        <v>402.18</v>
      </c>
      <c r="BP162" s="37" t="n">
        <v>370.33</v>
      </c>
      <c r="BQ162" s="37" t="n">
        <v>361.12</v>
      </c>
      <c r="BR162" s="37" t="n">
        <v>360.43</v>
      </c>
      <c r="BS162" s="37" t="n">
        <v>373.05</v>
      </c>
      <c r="BT162" s="37" t="n">
        <v>362.89</v>
      </c>
      <c r="BU162" s="37" t="n">
        <v>296.6</v>
      </c>
      <c r="BV162" s="37" t="n">
        <v>402.18</v>
      </c>
      <c r="BW162" s="37" t="n">
        <v>370.33</v>
      </c>
      <c r="BX162" s="37" t="n">
        <v>361.12</v>
      </c>
      <c r="BY162" s="37" t="n">
        <v>360.43</v>
      </c>
      <c r="BZ162" s="37" t="n">
        <v>373.05</v>
      </c>
      <c r="CA162" s="37" t="n">
        <v>362.89</v>
      </c>
      <c r="CB162" s="37" t="n">
        <v>296.6</v>
      </c>
      <c r="CC162" s="37" t="n">
        <v>25261.16</v>
      </c>
    </row>
    <row r="163" ht="15.75" customHeight="1" s="57">
      <c r="A163" s="7" t="inlineStr">
        <is>
          <t>NTB</t>
        </is>
      </c>
      <c r="B163" s="7" t="inlineStr">
        <is>
          <t>Khánh Hòa</t>
        </is>
      </c>
      <c r="C163" s="7" t="n">
        <v>20320000</v>
      </c>
      <c r="D163" s="7" t="inlineStr">
        <is>
          <t>(KHO) Tây Nha Trang</t>
        </is>
      </c>
      <c r="E163" s="7" t="inlineStr">
        <is>
          <t>SME-Bulky</t>
        </is>
      </c>
      <c r="F163" s="36" t="n">
        <v>22</v>
      </c>
      <c r="G163" s="36" t="n">
        <v>8</v>
      </c>
      <c r="H163" s="36" t="n">
        <v>10</v>
      </c>
      <c r="I163" s="36" t="n">
        <v>12</v>
      </c>
      <c r="J163" s="36" t="n">
        <v>17</v>
      </c>
      <c r="K163" s="28" t="n">
        <v>8</v>
      </c>
      <c r="L163" s="36" t="n">
        <v>6</v>
      </c>
      <c r="M163" s="36" t="n">
        <v>8</v>
      </c>
      <c r="N163" s="36" t="n">
        <v>12</v>
      </c>
      <c r="O163" s="36" t="n">
        <v>15</v>
      </c>
      <c r="P163" s="36" t="n">
        <v>6</v>
      </c>
      <c r="Q163" s="36" t="n">
        <v>11</v>
      </c>
      <c r="R163" s="28" t="n">
        <v>16</v>
      </c>
      <c r="S163" s="36" t="n">
        <v>22</v>
      </c>
      <c r="T163" s="36" t="n">
        <v>12</v>
      </c>
      <c r="U163" s="36" t="n">
        <v>13.97</v>
      </c>
      <c r="V163" s="36" t="n">
        <v>14.15</v>
      </c>
      <c r="W163" s="36" t="n">
        <v>13.13</v>
      </c>
      <c r="X163" s="36" t="n">
        <v>8.76</v>
      </c>
      <c r="Y163" s="28" t="n">
        <v>16.03</v>
      </c>
      <c r="Z163" s="36" t="n">
        <v>15.45</v>
      </c>
      <c r="AA163" s="36" t="n">
        <v>14.69</v>
      </c>
      <c r="AB163" s="36" t="n">
        <v>13.97</v>
      </c>
      <c r="AC163" s="36" t="n">
        <v>14.15</v>
      </c>
      <c r="AD163" s="36" t="n">
        <v>12.41</v>
      </c>
      <c r="AE163" s="36" t="n">
        <v>8.76</v>
      </c>
      <c r="AF163" s="28" t="n">
        <v>16.03</v>
      </c>
      <c r="AG163" s="36" t="n">
        <v>15.45</v>
      </c>
      <c r="AH163" s="37" t="n">
        <v>14.69</v>
      </c>
      <c r="AI163" s="37" t="n">
        <v>13.97</v>
      </c>
      <c r="AJ163" s="37" t="n">
        <v>14.15</v>
      </c>
      <c r="AK163" s="37" t="n">
        <v>13.13</v>
      </c>
      <c r="AL163" s="37" t="n">
        <v>8.76</v>
      </c>
      <c r="AM163" s="37" t="n">
        <v>16.03</v>
      </c>
      <c r="AN163" s="37" t="n">
        <v>15.45</v>
      </c>
      <c r="AO163" s="37" t="n">
        <v>14.69</v>
      </c>
      <c r="AP163" s="37" t="n">
        <v>13.97</v>
      </c>
      <c r="AQ163" s="37" t="n">
        <v>14.15</v>
      </c>
      <c r="AR163" s="37" t="n">
        <v>13.13</v>
      </c>
      <c r="AS163" s="37" t="n">
        <v>8.76</v>
      </c>
      <c r="AT163" s="37" t="n">
        <v>16.03</v>
      </c>
      <c r="AU163" s="37" t="n">
        <v>15.45</v>
      </c>
      <c r="AV163" s="37" t="n">
        <v>14.69</v>
      </c>
      <c r="AW163" s="37" t="n">
        <v>13.97</v>
      </c>
      <c r="AX163" s="37" t="n">
        <v>14.15</v>
      </c>
      <c r="AY163" s="37" t="n">
        <v>13.13</v>
      </c>
      <c r="AZ163" s="37" t="n">
        <v>8.76</v>
      </c>
      <c r="BA163" s="37" t="n">
        <v>15.96</v>
      </c>
      <c r="BB163" s="37" t="n">
        <v>8.289999999999999</v>
      </c>
      <c r="BC163" s="37" t="n">
        <v>4.2</v>
      </c>
      <c r="BD163" s="37" t="n">
        <v>3.84</v>
      </c>
      <c r="BE163" s="37" t="n">
        <v>7.16</v>
      </c>
      <c r="BF163" s="37" t="n">
        <v>6.62</v>
      </c>
      <c r="BG163" s="37" t="n">
        <v>5.28</v>
      </c>
      <c r="BH163" s="37" t="n">
        <v>9.41</v>
      </c>
      <c r="BI163" s="37" t="n">
        <v>9.26</v>
      </c>
      <c r="BJ163" s="37" t="n">
        <v>8.07</v>
      </c>
      <c r="BK163" s="37" t="n">
        <v>8.289999999999999</v>
      </c>
      <c r="BL163" s="37" t="n">
        <v>8.470000000000001</v>
      </c>
      <c r="BM163" s="37" t="n">
        <v>7.71</v>
      </c>
      <c r="BN163" s="37" t="n">
        <v>5.28</v>
      </c>
      <c r="BO163" s="37" t="n">
        <v>9.41</v>
      </c>
      <c r="BP163" s="37" t="n">
        <v>9.26</v>
      </c>
      <c r="BQ163" s="37" t="n">
        <v>8.65</v>
      </c>
      <c r="BR163" s="37" t="n">
        <v>8.289999999999999</v>
      </c>
      <c r="BS163" s="37" t="n">
        <v>8.470000000000001</v>
      </c>
      <c r="BT163" s="37" t="n">
        <v>7.71</v>
      </c>
      <c r="BU163" s="37" t="n">
        <v>5.28</v>
      </c>
      <c r="BV163" s="37" t="n">
        <v>9.41</v>
      </c>
      <c r="BW163" s="37" t="n">
        <v>9.26</v>
      </c>
      <c r="BX163" s="37" t="n">
        <v>8.65</v>
      </c>
      <c r="BY163" s="37" t="n">
        <v>8.289999999999999</v>
      </c>
      <c r="BZ163" s="37" t="n">
        <v>8.470000000000001</v>
      </c>
      <c r="CA163" s="37" t="n">
        <v>7.71</v>
      </c>
      <c r="CB163" s="37" t="n">
        <v>5.28</v>
      </c>
      <c r="CC163" s="37" t="n">
        <v>840.9899999999999</v>
      </c>
    </row>
    <row r="164" ht="15.75" customHeight="1" s="57">
      <c r="A164" s="7" t="inlineStr">
        <is>
          <t>NTB</t>
        </is>
      </c>
      <c r="B164" s="7" t="inlineStr">
        <is>
          <t>Khánh Hòa</t>
        </is>
      </c>
      <c r="C164" s="7" t="n">
        <v>20320000</v>
      </c>
      <c r="D164" s="7" t="inlineStr">
        <is>
          <t>(KHO) Tây Nha Trang</t>
        </is>
      </c>
      <c r="E164" s="7" t="inlineStr">
        <is>
          <t>Shopee</t>
        </is>
      </c>
      <c r="F164" s="36" t="n">
        <v>33</v>
      </c>
      <c r="G164" s="36" t="n">
        <v>42</v>
      </c>
      <c r="H164" s="36" t="n">
        <v>39</v>
      </c>
      <c r="I164" s="36" t="n">
        <v>44</v>
      </c>
      <c r="J164" s="36" t="n">
        <v>30</v>
      </c>
      <c r="K164" s="28" t="n">
        <v>17</v>
      </c>
      <c r="L164" s="36" t="n">
        <v>21</v>
      </c>
      <c r="M164" s="36" t="n">
        <v>38</v>
      </c>
      <c r="N164" s="36" t="n">
        <v>48</v>
      </c>
      <c r="O164" s="36" t="n">
        <v>28</v>
      </c>
      <c r="P164" s="36" t="n">
        <v>27</v>
      </c>
      <c r="Q164" s="36" t="n">
        <v>23</v>
      </c>
      <c r="R164" s="28" t="n">
        <v>31</v>
      </c>
      <c r="S164" s="36" t="n">
        <v>32</v>
      </c>
      <c r="T164" s="36" t="n">
        <v>36</v>
      </c>
      <c r="U164" s="36" t="n">
        <v>54.14</v>
      </c>
      <c r="V164" s="36" t="n">
        <v>54.35</v>
      </c>
      <c r="W164" s="36" t="n">
        <v>53.57</v>
      </c>
      <c r="X164" s="36" t="n">
        <v>43.56</v>
      </c>
      <c r="Y164" s="28" t="n">
        <v>72.97</v>
      </c>
      <c r="Z164" s="36" t="n">
        <v>57.71</v>
      </c>
      <c r="AA164" s="36" t="n">
        <v>79.39</v>
      </c>
      <c r="AB164" s="36" t="n">
        <v>55.23</v>
      </c>
      <c r="AC164" s="36" t="n">
        <v>44.63</v>
      </c>
      <c r="AD164" s="36" t="n">
        <v>137.1</v>
      </c>
      <c r="AE164" s="36" t="n">
        <v>46.66</v>
      </c>
      <c r="AF164" s="28" t="n">
        <v>83.09999999999999</v>
      </c>
      <c r="AG164" s="36" t="n">
        <v>60.63</v>
      </c>
      <c r="AH164" s="37" t="n">
        <v>64.02</v>
      </c>
      <c r="AI164" s="37" t="n">
        <v>54.14</v>
      </c>
      <c r="AJ164" s="37" t="n">
        <v>54.35</v>
      </c>
      <c r="AK164" s="37" t="n">
        <v>72.28</v>
      </c>
      <c r="AL164" s="37" t="n">
        <v>78.18000000000001</v>
      </c>
      <c r="AM164" s="37" t="n">
        <v>72.97</v>
      </c>
      <c r="AN164" s="37" t="n">
        <v>57.71</v>
      </c>
      <c r="AO164" s="37" t="n">
        <v>64.02</v>
      </c>
      <c r="AP164" s="37" t="n">
        <v>67.54000000000001</v>
      </c>
      <c r="AQ164" s="37" t="n">
        <v>43.57</v>
      </c>
      <c r="AR164" s="37" t="n">
        <v>53.57</v>
      </c>
      <c r="AS164" s="37" t="n">
        <v>43.56</v>
      </c>
      <c r="AT164" s="37" t="n">
        <v>72.97</v>
      </c>
      <c r="AU164" s="37" t="n">
        <v>58.91</v>
      </c>
      <c r="AV164" s="37" t="n">
        <v>65.31</v>
      </c>
      <c r="AW164" s="37" t="n">
        <v>54.14</v>
      </c>
      <c r="AX164" s="37" t="n">
        <v>54.35</v>
      </c>
      <c r="AY164" s="37" t="n">
        <v>53.57</v>
      </c>
      <c r="AZ164" s="37" t="n">
        <v>43.56</v>
      </c>
      <c r="BA164" s="37" t="n">
        <v>56.2</v>
      </c>
      <c r="BB164" s="37" t="n">
        <v>48.99</v>
      </c>
      <c r="BC164" s="37" t="n">
        <v>24.95</v>
      </c>
      <c r="BD164" s="37" t="n">
        <v>44.35</v>
      </c>
      <c r="BE164" s="37" t="n">
        <v>51.78</v>
      </c>
      <c r="BF164" s="37" t="n">
        <v>51.05</v>
      </c>
      <c r="BG164" s="37" t="n">
        <v>42.35</v>
      </c>
      <c r="BH164" s="37" t="n">
        <v>69.53</v>
      </c>
      <c r="BI164" s="37" t="n">
        <v>45.23</v>
      </c>
      <c r="BJ164" s="37" t="n">
        <v>194.63</v>
      </c>
      <c r="BK164" s="37" t="n">
        <v>55.17</v>
      </c>
      <c r="BL164" s="37" t="n">
        <v>54.28</v>
      </c>
      <c r="BM164" s="37" t="n">
        <v>51.05</v>
      </c>
      <c r="BN164" s="37" t="n">
        <v>41.51</v>
      </c>
      <c r="BO164" s="37" t="n">
        <v>69.53</v>
      </c>
      <c r="BP164" s="37" t="n">
        <v>74.17</v>
      </c>
      <c r="BQ164" s="37" t="n">
        <v>109.55</v>
      </c>
      <c r="BR164" s="37" t="n">
        <v>51.57</v>
      </c>
      <c r="BS164" s="37" t="n">
        <v>51.78</v>
      </c>
      <c r="BT164" s="37" t="n">
        <v>51.05</v>
      </c>
      <c r="BU164" s="37" t="n">
        <v>51.81</v>
      </c>
      <c r="BV164" s="37" t="n">
        <v>55.64</v>
      </c>
      <c r="BW164" s="37" t="n">
        <v>54.96</v>
      </c>
      <c r="BX164" s="37" t="n">
        <v>60.97</v>
      </c>
      <c r="BY164" s="37" t="n">
        <v>51.57</v>
      </c>
      <c r="BZ164" s="37" t="n">
        <v>52.85</v>
      </c>
      <c r="CA164" s="37" t="n">
        <v>52.05</v>
      </c>
      <c r="CB164" s="37" t="n">
        <v>41.51</v>
      </c>
      <c r="CC164" s="37" t="n">
        <v>4120.840000000001</v>
      </c>
    </row>
    <row r="165" ht="15.75" customHeight="1" s="57">
      <c r="A165" s="7" t="inlineStr">
        <is>
          <t>NTB</t>
        </is>
      </c>
      <c r="B165" s="7" t="inlineStr">
        <is>
          <t>Khánh Hòa</t>
        </is>
      </c>
      <c r="C165" s="7" t="n">
        <v>20320000</v>
      </c>
      <c r="D165" s="7" t="inlineStr">
        <is>
          <t>(KHO) Tây Nha Trang</t>
        </is>
      </c>
      <c r="E165" s="7" t="inlineStr">
        <is>
          <t>Shopee-Bulky</t>
        </is>
      </c>
      <c r="F165" s="36" t="n">
        <v>23.7</v>
      </c>
      <c r="G165" s="36" t="n">
        <v>29.46</v>
      </c>
      <c r="H165" s="36" t="n">
        <v>32.66</v>
      </c>
      <c r="I165" s="36" t="n">
        <v>24.34</v>
      </c>
      <c r="J165" s="36" t="n">
        <v>13.45</v>
      </c>
      <c r="K165" s="28" t="n">
        <v>10.25</v>
      </c>
      <c r="L165" s="36" t="n">
        <v>11.53</v>
      </c>
      <c r="M165" s="36" t="n">
        <v>26.26</v>
      </c>
      <c r="N165" s="36" t="n">
        <v>21.77</v>
      </c>
      <c r="O165" s="36" t="n">
        <v>16.65</v>
      </c>
      <c r="P165" s="36" t="n">
        <v>15.37</v>
      </c>
      <c r="Q165" s="36" t="n">
        <v>28.18</v>
      </c>
      <c r="R165" s="28" t="n">
        <v>38.43</v>
      </c>
      <c r="S165" s="36" t="n">
        <v>42.27</v>
      </c>
      <c r="T165" s="36" t="n">
        <v>26.26</v>
      </c>
      <c r="U165" s="36" t="n">
        <v>24.26</v>
      </c>
      <c r="V165" s="36" t="n">
        <v>23.51</v>
      </c>
      <c r="W165" s="36" t="n">
        <v>32.81</v>
      </c>
      <c r="X165" s="36" t="n">
        <v>18.12</v>
      </c>
      <c r="Y165" s="28" t="n">
        <v>35.8</v>
      </c>
      <c r="Z165" s="36" t="n">
        <v>27.9</v>
      </c>
      <c r="AA165" s="36" t="n">
        <v>27.02</v>
      </c>
      <c r="AB165" s="36" t="n">
        <v>27.59</v>
      </c>
      <c r="AC165" s="36" t="n">
        <v>29.22</v>
      </c>
      <c r="AD165" s="36" t="n">
        <v>81.2</v>
      </c>
      <c r="AE165" s="36" t="n">
        <v>46.5</v>
      </c>
      <c r="AF165" s="28" t="n">
        <v>70.54000000000001</v>
      </c>
      <c r="AG165" s="36" t="n">
        <v>39.88</v>
      </c>
      <c r="AH165" s="37" t="n">
        <v>27.68</v>
      </c>
      <c r="AI165" s="37" t="n">
        <v>27.02</v>
      </c>
      <c r="AJ165" s="37" t="n">
        <v>26.63</v>
      </c>
      <c r="AK165" s="37" t="n">
        <v>60.41</v>
      </c>
      <c r="AL165" s="37" t="n">
        <v>30.53</v>
      </c>
      <c r="AM165" s="37" t="n">
        <v>43.96</v>
      </c>
      <c r="AN165" s="37" t="n">
        <v>27.51</v>
      </c>
      <c r="AO165" s="37" t="n">
        <v>26.89</v>
      </c>
      <c r="AP165" s="37" t="n">
        <v>37.02</v>
      </c>
      <c r="AQ165" s="37" t="n">
        <v>36.41</v>
      </c>
      <c r="AR165" s="37" t="n">
        <v>29.74</v>
      </c>
      <c r="AS165" s="37" t="n">
        <v>15.92</v>
      </c>
      <c r="AT165" s="37" t="n">
        <v>32.73</v>
      </c>
      <c r="AU165" s="37" t="n">
        <v>53.61</v>
      </c>
      <c r="AV165" s="37" t="n">
        <v>55.76</v>
      </c>
      <c r="AW165" s="37" t="n">
        <v>27.2</v>
      </c>
      <c r="AX165" s="37" t="n">
        <v>25.53</v>
      </c>
      <c r="AY165" s="37" t="n">
        <v>28.47</v>
      </c>
      <c r="AZ165" s="37" t="n">
        <v>15.27</v>
      </c>
      <c r="BA165" s="37" t="n">
        <v>29.83</v>
      </c>
      <c r="BB165" s="37" t="n">
        <v>27.99</v>
      </c>
      <c r="BC165" s="37" t="n">
        <v>9.65</v>
      </c>
      <c r="BD165" s="37" t="n">
        <v>23.78</v>
      </c>
      <c r="BE165" s="37" t="n">
        <v>29.52</v>
      </c>
      <c r="BF165" s="37" t="n">
        <v>25.79</v>
      </c>
      <c r="BG165" s="37" t="n">
        <v>20.71</v>
      </c>
      <c r="BH165" s="37" t="n">
        <v>38.21</v>
      </c>
      <c r="BI165" s="37" t="n">
        <v>32.51</v>
      </c>
      <c r="BJ165" s="37" t="n">
        <v>128.36</v>
      </c>
      <c r="BK165" s="37" t="n">
        <v>69.34999999999999</v>
      </c>
      <c r="BL165" s="37" t="n">
        <v>35.66</v>
      </c>
      <c r="BM165" s="37" t="n">
        <v>26.98</v>
      </c>
      <c r="BN165" s="37" t="n">
        <v>20.18</v>
      </c>
      <c r="BO165" s="37" t="n">
        <v>44.74</v>
      </c>
      <c r="BP165" s="37" t="n">
        <v>64.79000000000001</v>
      </c>
      <c r="BQ165" s="37" t="n">
        <v>47.33</v>
      </c>
      <c r="BR165" s="37" t="n">
        <v>30.93</v>
      </c>
      <c r="BS165" s="37" t="n">
        <v>29.52</v>
      </c>
      <c r="BT165" s="37" t="n">
        <v>25.79</v>
      </c>
      <c r="BU165" s="37" t="n">
        <v>29.96</v>
      </c>
      <c r="BV165" s="37" t="n">
        <v>40.49</v>
      </c>
      <c r="BW165" s="37" t="n">
        <v>32.51</v>
      </c>
      <c r="BX165" s="37" t="n">
        <v>31.5</v>
      </c>
      <c r="BY165" s="37" t="n">
        <v>30.93</v>
      </c>
      <c r="BZ165" s="37" t="n">
        <v>52.95</v>
      </c>
      <c r="CA165" s="37" t="n">
        <v>30.71</v>
      </c>
      <c r="CB165" s="37" t="n">
        <v>19.61</v>
      </c>
      <c r="CC165" s="37" t="n">
        <v>2503.5</v>
      </c>
    </row>
    <row r="166" ht="15.75" customHeight="1" s="57">
      <c r="A166" s="7" t="inlineStr">
        <is>
          <t>NTB</t>
        </is>
      </c>
      <c r="B166" s="7" t="inlineStr">
        <is>
          <t>Khánh Hòa</t>
        </is>
      </c>
      <c r="C166" s="7" t="n">
        <v>20320000</v>
      </c>
      <c r="D166" s="7" t="inlineStr">
        <is>
          <t>(KHO) Tây Nha Trang</t>
        </is>
      </c>
      <c r="E166" s="7" t="inlineStr">
        <is>
          <t>Shopee-Bulky (10-15kg)</t>
        </is>
      </c>
      <c r="F166" s="36" t="n">
        <v>13.3</v>
      </c>
      <c r="G166" s="36" t="n">
        <v>16.54</v>
      </c>
      <c r="H166" s="36" t="n">
        <v>18.34</v>
      </c>
      <c r="I166" s="36" t="n">
        <v>13.66</v>
      </c>
      <c r="J166" s="36" t="n">
        <v>7.55</v>
      </c>
      <c r="K166" s="28" t="n">
        <v>5.75</v>
      </c>
      <c r="L166" s="36" t="n">
        <v>6.47</v>
      </c>
      <c r="M166" s="36" t="n">
        <v>14.74</v>
      </c>
      <c r="N166" s="36" t="n">
        <v>12.23</v>
      </c>
      <c r="O166" s="36" t="n">
        <v>9.35</v>
      </c>
      <c r="P166" s="36" t="n">
        <v>8.630000000000001</v>
      </c>
      <c r="Q166" s="36" t="n">
        <v>15.82</v>
      </c>
      <c r="R166" s="28" t="n">
        <v>21.57</v>
      </c>
      <c r="S166" s="36" t="n">
        <v>23.73</v>
      </c>
      <c r="T166" s="36" t="n">
        <v>14.74</v>
      </c>
      <c r="U166" s="36" t="n">
        <v>14.52</v>
      </c>
      <c r="V166" s="36" t="n">
        <v>13.91</v>
      </c>
      <c r="W166" s="36" t="n">
        <v>17.94</v>
      </c>
      <c r="X166" s="36" t="n">
        <v>10.09</v>
      </c>
      <c r="Y166" s="28" t="n">
        <v>20.44</v>
      </c>
      <c r="Z166" s="36" t="n">
        <v>15.97</v>
      </c>
      <c r="AA166" s="36" t="n">
        <v>15.05</v>
      </c>
      <c r="AB166" s="36" t="n">
        <v>15.75</v>
      </c>
      <c r="AC166" s="36" t="n">
        <v>16.32</v>
      </c>
      <c r="AD166" s="36" t="n">
        <v>60.84</v>
      </c>
      <c r="AE166" s="36" t="n">
        <v>25.27</v>
      </c>
      <c r="AF166" s="28" t="n">
        <v>37.29</v>
      </c>
      <c r="AG166" s="36" t="n">
        <v>22.24</v>
      </c>
      <c r="AH166" s="37" t="n">
        <v>15.75</v>
      </c>
      <c r="AI166" s="37" t="n">
        <v>15.22</v>
      </c>
      <c r="AJ166" s="37" t="n">
        <v>14.91</v>
      </c>
      <c r="AK166" s="37" t="n">
        <v>34.48</v>
      </c>
      <c r="AL166" s="37" t="n">
        <v>17.33</v>
      </c>
      <c r="AM166" s="37" t="n">
        <v>24.87</v>
      </c>
      <c r="AN166" s="37" t="n">
        <v>15.75</v>
      </c>
      <c r="AO166" s="37" t="n">
        <v>15.18</v>
      </c>
      <c r="AP166" s="37" t="n">
        <v>19.65</v>
      </c>
      <c r="AQ166" s="37" t="n">
        <v>20.66</v>
      </c>
      <c r="AR166" s="37" t="n">
        <v>16.1</v>
      </c>
      <c r="AS166" s="37" t="n">
        <v>8.859999999999999</v>
      </c>
      <c r="AT166" s="37" t="n">
        <v>18.51</v>
      </c>
      <c r="AU166" s="37" t="n">
        <v>30.62</v>
      </c>
      <c r="AV166" s="37" t="n">
        <v>31.76</v>
      </c>
      <c r="AW166" s="37" t="n">
        <v>15.4</v>
      </c>
      <c r="AX166" s="37" t="n">
        <v>14.39</v>
      </c>
      <c r="AY166" s="37" t="n">
        <v>15.49</v>
      </c>
      <c r="AZ166" s="37" t="n">
        <v>8.550000000000001</v>
      </c>
      <c r="BA166" s="37" t="n">
        <v>16.89</v>
      </c>
      <c r="BB166" s="37" t="n">
        <v>16.19</v>
      </c>
      <c r="BC166" s="37" t="n">
        <v>5.44</v>
      </c>
      <c r="BD166" s="37" t="n">
        <v>12.9</v>
      </c>
      <c r="BE166" s="37" t="n">
        <v>16.63</v>
      </c>
      <c r="BF166" s="37" t="n">
        <v>14.17</v>
      </c>
      <c r="BG166" s="37" t="n">
        <v>11.58</v>
      </c>
      <c r="BH166" s="37" t="n">
        <v>22.15</v>
      </c>
      <c r="BI166" s="37" t="n">
        <v>18.82</v>
      </c>
      <c r="BJ166" s="37" t="n">
        <v>83.44</v>
      </c>
      <c r="BK166" s="37" t="n">
        <v>38.91</v>
      </c>
      <c r="BL166" s="37" t="n">
        <v>20.71</v>
      </c>
      <c r="BM166" s="37" t="n">
        <v>15.05</v>
      </c>
      <c r="BN166" s="37" t="n">
        <v>11.36</v>
      </c>
      <c r="BO166" s="37" t="n">
        <v>24.92</v>
      </c>
      <c r="BP166" s="37" t="n">
        <v>36.32</v>
      </c>
      <c r="BQ166" s="37" t="n">
        <v>26.72</v>
      </c>
      <c r="BR166" s="37" t="n">
        <v>17.85</v>
      </c>
      <c r="BS166" s="37" t="n">
        <v>16.63</v>
      </c>
      <c r="BT166" s="37" t="n">
        <v>14.17</v>
      </c>
      <c r="BU166" s="37" t="n">
        <v>17.24</v>
      </c>
      <c r="BV166" s="37" t="n">
        <v>22.9</v>
      </c>
      <c r="BW166" s="37" t="n">
        <v>18.82</v>
      </c>
      <c r="BX166" s="37" t="n">
        <v>17.99</v>
      </c>
      <c r="BY166" s="37" t="n">
        <v>17.85</v>
      </c>
      <c r="BZ166" s="37" t="n">
        <v>29.48</v>
      </c>
      <c r="CA166" s="37" t="n">
        <v>17.59</v>
      </c>
      <c r="CB166" s="37" t="n">
        <v>11.1</v>
      </c>
      <c r="CC166" s="37" t="n">
        <v>1435.35</v>
      </c>
    </row>
    <row r="167" ht="15.75" customHeight="1" s="57">
      <c r="A167" s="7" t="inlineStr">
        <is>
          <t>NTB</t>
        </is>
      </c>
      <c r="B167" s="7" t="inlineStr">
        <is>
          <t>Khánh Hòa</t>
        </is>
      </c>
      <c r="C167" s="7" t="n">
        <v>20320000</v>
      </c>
      <c r="D167" s="7" t="inlineStr">
        <is>
          <t>(KHO) Tây Nha Trang</t>
        </is>
      </c>
      <c r="E167" s="7" t="inlineStr">
        <is>
          <t>TTS</t>
        </is>
      </c>
      <c r="F167" s="36" t="n">
        <v>154</v>
      </c>
      <c r="G167" s="36" t="n">
        <v>273</v>
      </c>
      <c r="H167" s="36" t="n">
        <v>202</v>
      </c>
      <c r="I167" s="36" t="n">
        <v>214</v>
      </c>
      <c r="J167" s="36" t="n">
        <v>233</v>
      </c>
      <c r="K167" s="28" t="n">
        <v>183</v>
      </c>
      <c r="L167" s="36" t="n">
        <v>180</v>
      </c>
      <c r="M167" s="36" t="n">
        <v>188</v>
      </c>
      <c r="N167" s="36" t="n">
        <v>261</v>
      </c>
      <c r="O167" s="36" t="n">
        <v>215</v>
      </c>
      <c r="P167" s="36" t="n">
        <v>199</v>
      </c>
      <c r="Q167" s="36" t="n">
        <v>162</v>
      </c>
      <c r="R167" s="28" t="n">
        <v>223</v>
      </c>
      <c r="S167" s="36" t="n">
        <v>188</v>
      </c>
      <c r="T167" s="36" t="n">
        <v>223</v>
      </c>
      <c r="U167" s="36" t="n">
        <v>177.64</v>
      </c>
      <c r="V167" s="36" t="n">
        <v>174.34</v>
      </c>
      <c r="W167" s="36" t="n">
        <v>170.54</v>
      </c>
      <c r="X167" s="36" t="n">
        <v>137.44</v>
      </c>
      <c r="Y167" s="28" t="n">
        <v>200.34</v>
      </c>
      <c r="Z167" s="36" t="n">
        <v>169.82</v>
      </c>
      <c r="AA167" s="36" t="n">
        <v>188.94</v>
      </c>
      <c r="AB167" s="36" t="n">
        <v>209.9</v>
      </c>
      <c r="AC167" s="36" t="n">
        <v>221.34</v>
      </c>
      <c r="AD167" s="36" t="n">
        <v>243.64</v>
      </c>
      <c r="AE167" s="36" t="n">
        <v>159.87</v>
      </c>
      <c r="AF167" s="28" t="n">
        <v>206.3</v>
      </c>
      <c r="AG167" s="36" t="n">
        <v>173.69</v>
      </c>
      <c r="AH167" s="37" t="n">
        <v>171.85</v>
      </c>
      <c r="AI167" s="37" t="n">
        <v>196.47</v>
      </c>
      <c r="AJ167" s="37" t="n">
        <v>211.14</v>
      </c>
      <c r="AK167" s="37" t="n">
        <v>208.24</v>
      </c>
      <c r="AL167" s="37" t="n">
        <v>148.08</v>
      </c>
      <c r="AM167" s="37" t="n">
        <v>203.41</v>
      </c>
      <c r="AN167" s="37" t="n">
        <v>175.44</v>
      </c>
      <c r="AO167" s="37" t="n">
        <v>174.76</v>
      </c>
      <c r="AP167" s="37" t="n">
        <v>169.43</v>
      </c>
      <c r="AQ167" s="37" t="n">
        <v>170.94</v>
      </c>
      <c r="AR167" s="37" t="n">
        <v>167.92</v>
      </c>
      <c r="AS167" s="37" t="n">
        <v>137.9</v>
      </c>
      <c r="AT167" s="37" t="n">
        <v>220.53</v>
      </c>
      <c r="AU167" s="37" t="n">
        <v>199.49</v>
      </c>
      <c r="AV167" s="37" t="n">
        <v>177.25</v>
      </c>
      <c r="AW167" s="37" t="n">
        <v>167.47</v>
      </c>
      <c r="AX167" s="37" t="n">
        <v>166.55</v>
      </c>
      <c r="AY167" s="37" t="n">
        <v>165.76</v>
      </c>
      <c r="AZ167" s="37" t="n">
        <v>137.96</v>
      </c>
      <c r="BA167" s="37" t="n">
        <v>198.7</v>
      </c>
      <c r="BB167" s="37" t="n">
        <v>185.47</v>
      </c>
      <c r="BC167" s="37" t="n">
        <v>109.72</v>
      </c>
      <c r="BD167" s="37" t="n">
        <v>160.13</v>
      </c>
      <c r="BE167" s="37" t="n">
        <v>188.42</v>
      </c>
      <c r="BF167" s="37" t="n">
        <v>183.05</v>
      </c>
      <c r="BG167" s="37" t="n">
        <v>148.22</v>
      </c>
      <c r="BH167" s="37" t="n">
        <v>220.2</v>
      </c>
      <c r="BI167" s="37" t="n">
        <v>185.47</v>
      </c>
      <c r="BJ167" s="37" t="n">
        <v>185.34</v>
      </c>
      <c r="BK167" s="37" t="n">
        <v>188.16</v>
      </c>
      <c r="BL167" s="37" t="n">
        <v>188.42</v>
      </c>
      <c r="BM167" s="37" t="n">
        <v>183.05</v>
      </c>
      <c r="BN167" s="37" t="n">
        <v>148.22</v>
      </c>
      <c r="BO167" s="37" t="n">
        <v>220.2</v>
      </c>
      <c r="BP167" s="37" t="n">
        <v>185.47</v>
      </c>
      <c r="BQ167" s="37" t="n">
        <v>183.31</v>
      </c>
      <c r="BR167" s="37" t="n">
        <v>188.16</v>
      </c>
      <c r="BS167" s="37" t="n">
        <v>188.42</v>
      </c>
      <c r="BT167" s="37" t="n">
        <v>183.05</v>
      </c>
      <c r="BU167" s="37" t="n">
        <v>148.22</v>
      </c>
      <c r="BV167" s="37" t="n">
        <v>220.2</v>
      </c>
      <c r="BW167" s="37" t="n">
        <v>185.47</v>
      </c>
      <c r="BX167" s="37" t="n">
        <v>183.31</v>
      </c>
      <c r="BY167" s="37" t="n">
        <v>188.16</v>
      </c>
      <c r="BZ167" s="37" t="n">
        <v>188.42</v>
      </c>
      <c r="CA167" s="37" t="n">
        <v>183.05</v>
      </c>
      <c r="CB167" s="37" t="n">
        <v>148.22</v>
      </c>
      <c r="CC167" s="37" t="n">
        <v>13968.61999999999</v>
      </c>
    </row>
    <row r="168" ht="15.75" customHeight="1" s="57">
      <c r="A168" s="7" t="inlineStr">
        <is>
          <t>NTB</t>
        </is>
      </c>
      <c r="B168" s="7" t="inlineStr">
        <is>
          <t>Khánh Hòa</t>
        </is>
      </c>
      <c r="C168" s="7" t="n">
        <v>20320000</v>
      </c>
      <c r="D168" s="7" t="inlineStr">
        <is>
          <t>(KHO) Tây Nha Trang</t>
        </is>
      </c>
      <c r="E168" s="7" t="inlineStr">
        <is>
          <t>TTS-Bulky</t>
        </is>
      </c>
      <c r="F168" s="36" t="n">
        <v>2</v>
      </c>
      <c r="G168" s="36" t="n">
        <v>3</v>
      </c>
      <c r="H168" s="36" t="n">
        <v>0</v>
      </c>
      <c r="I168" s="36" t="n">
        <v>0</v>
      </c>
      <c r="J168" s="36" t="n">
        <v>5</v>
      </c>
      <c r="K168" s="28" t="n">
        <v>4</v>
      </c>
      <c r="L168" s="36" t="n">
        <v>3</v>
      </c>
      <c r="M168" s="36" t="n">
        <v>0</v>
      </c>
      <c r="N168" s="36" t="n">
        <v>1</v>
      </c>
      <c r="O168" s="36" t="n">
        <v>3</v>
      </c>
      <c r="P168" s="36" t="n">
        <v>0</v>
      </c>
      <c r="Q168" s="36" t="n">
        <v>1</v>
      </c>
      <c r="R168" s="28" t="n">
        <v>1</v>
      </c>
      <c r="S168" s="36" t="n">
        <v>0</v>
      </c>
      <c r="T168" s="36" t="n">
        <v>4</v>
      </c>
      <c r="U168" s="36" t="n">
        <v>7.18</v>
      </c>
      <c r="V168" s="36" t="n">
        <v>6.88</v>
      </c>
      <c r="W168" s="36" t="n">
        <v>3.46</v>
      </c>
      <c r="X168" s="36" t="n">
        <v>2.6</v>
      </c>
      <c r="Y168" s="28" t="n">
        <v>4.41</v>
      </c>
      <c r="Z168" s="36" t="n">
        <v>3.24</v>
      </c>
      <c r="AA168" s="36" t="n">
        <v>3.68</v>
      </c>
      <c r="AB168" s="36" t="n">
        <v>3.94</v>
      </c>
      <c r="AC168" s="36" t="n">
        <v>4.28</v>
      </c>
      <c r="AD168" s="36" t="n">
        <v>5.36</v>
      </c>
      <c r="AE168" s="36" t="n">
        <v>2.85</v>
      </c>
      <c r="AF168" s="28" t="n">
        <v>4.2</v>
      </c>
      <c r="AG168" s="36" t="n">
        <v>3.37</v>
      </c>
      <c r="AH168" s="37" t="n">
        <v>3.37</v>
      </c>
      <c r="AI168" s="37" t="n">
        <v>3.5</v>
      </c>
      <c r="AJ168" s="37" t="n">
        <v>3.85</v>
      </c>
      <c r="AK168" s="37" t="n">
        <v>3.72</v>
      </c>
      <c r="AL168" s="37" t="n">
        <v>2.64</v>
      </c>
      <c r="AM168" s="37" t="n">
        <v>4.15</v>
      </c>
      <c r="AN168" s="37" t="n">
        <v>3.46</v>
      </c>
      <c r="AO168" s="37" t="n">
        <v>3.37</v>
      </c>
      <c r="AP168" s="37" t="n">
        <v>3.42</v>
      </c>
      <c r="AQ168" s="37" t="n">
        <v>3.42</v>
      </c>
      <c r="AR168" s="37" t="n">
        <v>3.42</v>
      </c>
      <c r="AS168" s="37" t="n">
        <v>2.51</v>
      </c>
      <c r="AT168" s="37" t="n">
        <v>4.37</v>
      </c>
      <c r="AU168" s="37" t="n">
        <v>3.94</v>
      </c>
      <c r="AV168" s="37" t="n">
        <v>3.5</v>
      </c>
      <c r="AW168" s="37" t="n">
        <v>3.37</v>
      </c>
      <c r="AX168" s="37" t="n">
        <v>3.37</v>
      </c>
      <c r="AY168" s="37" t="n">
        <v>3.42</v>
      </c>
      <c r="AZ168" s="37" t="n">
        <v>2.51</v>
      </c>
      <c r="BA168" s="37" t="n">
        <v>3.85</v>
      </c>
      <c r="BB168" s="37" t="n">
        <v>0.91</v>
      </c>
      <c r="BC168" s="37" t="n">
        <v>0.5600000000000001</v>
      </c>
      <c r="BD168" s="37" t="n">
        <v>0.65</v>
      </c>
      <c r="BE168" s="37" t="n">
        <v>0.91</v>
      </c>
      <c r="BF168" s="37" t="n">
        <v>0.95</v>
      </c>
      <c r="BG168" s="37" t="n">
        <v>0.65</v>
      </c>
      <c r="BH168" s="37" t="n">
        <v>1.21</v>
      </c>
      <c r="BI168" s="37" t="n">
        <v>0.99</v>
      </c>
      <c r="BJ168" s="37" t="n">
        <v>1.25</v>
      </c>
      <c r="BK168" s="37" t="n">
        <v>0.95</v>
      </c>
      <c r="BL168" s="37" t="n">
        <v>0.91</v>
      </c>
      <c r="BM168" s="37" t="n">
        <v>0.95</v>
      </c>
      <c r="BN168" s="37" t="n">
        <v>0.65</v>
      </c>
      <c r="BO168" s="37" t="n">
        <v>1.47</v>
      </c>
      <c r="BP168" s="37" t="n">
        <v>1.12</v>
      </c>
      <c r="BQ168" s="37" t="n">
        <v>0.95</v>
      </c>
      <c r="BR168" s="37" t="n">
        <v>0.95</v>
      </c>
      <c r="BS168" s="37" t="n">
        <v>0.91</v>
      </c>
      <c r="BT168" s="37" t="n">
        <v>0.95</v>
      </c>
      <c r="BU168" s="37" t="n">
        <v>0.65</v>
      </c>
      <c r="BV168" s="37" t="n">
        <v>1.12</v>
      </c>
      <c r="BW168" s="37" t="n">
        <v>0.99</v>
      </c>
      <c r="BX168" s="37" t="n">
        <v>0.95</v>
      </c>
      <c r="BY168" s="37" t="n">
        <v>0.95</v>
      </c>
      <c r="BZ168" s="37" t="n">
        <v>0.91</v>
      </c>
      <c r="CA168" s="37" t="n">
        <v>0.95</v>
      </c>
      <c r="CB168" s="37" t="n">
        <v>0.65</v>
      </c>
      <c r="CC168" s="37" t="n">
        <v>176.67</v>
      </c>
    </row>
    <row r="169" ht="15.75" customHeight="1" s="57">
      <c r="A169" s="7" t="inlineStr">
        <is>
          <t>NTB</t>
        </is>
      </c>
      <c r="B169" s="7" t="inlineStr">
        <is>
          <t>Khánh Hòa</t>
        </is>
      </c>
      <c r="C169" s="7" t="n">
        <v>20495000</v>
      </c>
      <c r="D169" s="7" t="inlineStr">
        <is>
          <t>(KHO) Nha Trang</t>
        </is>
      </c>
      <c r="E169" s="7" t="inlineStr">
        <is>
          <t>SME</t>
        </is>
      </c>
      <c r="F169" s="36" t="n">
        <v>237</v>
      </c>
      <c r="G169" s="36" t="n">
        <v>319</v>
      </c>
      <c r="H169" s="36" t="n">
        <v>340</v>
      </c>
      <c r="I169" s="36" t="n">
        <v>263</v>
      </c>
      <c r="J169" s="36" t="n">
        <v>265</v>
      </c>
      <c r="K169" s="28" t="n">
        <v>343</v>
      </c>
      <c r="L169" s="36" t="n">
        <v>245</v>
      </c>
      <c r="M169" s="36" t="n">
        <v>231</v>
      </c>
      <c r="N169" s="36" t="n">
        <v>326</v>
      </c>
      <c r="O169" s="36" t="n">
        <v>234</v>
      </c>
      <c r="P169" s="36" t="n">
        <v>208</v>
      </c>
      <c r="Q169" s="36" t="n">
        <v>205</v>
      </c>
      <c r="R169" s="28" t="n">
        <v>318</v>
      </c>
      <c r="S169" s="36" t="n">
        <v>216</v>
      </c>
      <c r="T169" s="36" t="n">
        <v>317</v>
      </c>
      <c r="U169" s="36" t="n">
        <v>331.72</v>
      </c>
      <c r="V169" s="36" t="n">
        <v>343.51</v>
      </c>
      <c r="W169" s="36" t="n">
        <v>334.04</v>
      </c>
      <c r="X169" s="36" t="n">
        <v>273.44</v>
      </c>
      <c r="Y169" s="28" t="n">
        <v>370.08</v>
      </c>
      <c r="Z169" s="36" t="n">
        <v>340.93</v>
      </c>
      <c r="AA169" s="36" t="n">
        <v>332.52</v>
      </c>
      <c r="AB169" s="36" t="n">
        <v>331.72</v>
      </c>
      <c r="AC169" s="36" t="n">
        <v>343.51</v>
      </c>
      <c r="AD169" s="36" t="n">
        <v>339.44</v>
      </c>
      <c r="AE169" s="36" t="n">
        <v>273.44</v>
      </c>
      <c r="AF169" s="28" t="n">
        <v>370.08</v>
      </c>
      <c r="AG169" s="36" t="n">
        <v>340.93</v>
      </c>
      <c r="AH169" s="37" t="n">
        <v>332.52</v>
      </c>
      <c r="AI169" s="37" t="n">
        <v>331.72</v>
      </c>
      <c r="AJ169" s="37" t="n">
        <v>343.51</v>
      </c>
      <c r="AK169" s="37" t="n">
        <v>334.04</v>
      </c>
      <c r="AL169" s="37" t="n">
        <v>273.44</v>
      </c>
      <c r="AM169" s="37" t="n">
        <v>370.08</v>
      </c>
      <c r="AN169" s="37" t="n">
        <v>340.93</v>
      </c>
      <c r="AO169" s="37" t="n">
        <v>332.52</v>
      </c>
      <c r="AP169" s="37" t="n">
        <v>331.72</v>
      </c>
      <c r="AQ169" s="37" t="n">
        <v>343.51</v>
      </c>
      <c r="AR169" s="37" t="n">
        <v>334.04</v>
      </c>
      <c r="AS169" s="37" t="n">
        <v>273.44</v>
      </c>
      <c r="AT169" s="37" t="n">
        <v>370.08</v>
      </c>
      <c r="AU169" s="37" t="n">
        <v>340.93</v>
      </c>
      <c r="AV169" s="37" t="n">
        <v>332.52</v>
      </c>
      <c r="AW169" s="37" t="n">
        <v>331.72</v>
      </c>
      <c r="AX169" s="37" t="n">
        <v>343.51</v>
      </c>
      <c r="AY169" s="37" t="n">
        <v>334.04</v>
      </c>
      <c r="AZ169" s="37" t="n">
        <v>273.44</v>
      </c>
      <c r="BA169" s="37" t="n">
        <v>333.11</v>
      </c>
      <c r="BB169" s="37" t="n">
        <v>298.91</v>
      </c>
      <c r="BC169" s="37" t="n">
        <v>188.82</v>
      </c>
      <c r="BD169" s="37" t="n">
        <v>188.06</v>
      </c>
      <c r="BE169" s="37" t="n">
        <v>318.94</v>
      </c>
      <c r="BF169" s="37" t="n">
        <v>310.08</v>
      </c>
      <c r="BG169" s="37" t="n">
        <v>281.64</v>
      </c>
      <c r="BH169" s="37" t="n">
        <v>381.72</v>
      </c>
      <c r="BI169" s="37" t="n">
        <v>351.55</v>
      </c>
      <c r="BJ169" s="37" t="n">
        <v>348.16</v>
      </c>
      <c r="BK169" s="37" t="n">
        <v>342.07</v>
      </c>
      <c r="BL169" s="37" t="n">
        <v>354.1799999999999</v>
      </c>
      <c r="BM169" s="37" t="n">
        <v>344.5</v>
      </c>
      <c r="BN169" s="37" t="n">
        <v>281.64</v>
      </c>
      <c r="BO169" s="37" t="n">
        <v>381.72</v>
      </c>
      <c r="BP169" s="37" t="n">
        <v>351.55</v>
      </c>
      <c r="BQ169" s="37" t="n">
        <v>342.82</v>
      </c>
      <c r="BR169" s="37" t="n">
        <v>342.07</v>
      </c>
      <c r="BS169" s="37" t="n">
        <v>354.1799999999999</v>
      </c>
      <c r="BT169" s="37" t="n">
        <v>344.5</v>
      </c>
      <c r="BU169" s="37" t="n">
        <v>281.64</v>
      </c>
      <c r="BV169" s="37" t="n">
        <v>381.72</v>
      </c>
      <c r="BW169" s="37" t="n">
        <v>351.55</v>
      </c>
      <c r="BX169" s="37" t="n">
        <v>342.82</v>
      </c>
      <c r="BY169" s="37" t="n">
        <v>342.07</v>
      </c>
      <c r="BZ169" s="37" t="n">
        <v>354.1799999999999</v>
      </c>
      <c r="CA169" s="37" t="n">
        <v>344.5</v>
      </c>
      <c r="CB169" s="37" t="n">
        <v>281.64</v>
      </c>
      <c r="CC169" s="37" t="n">
        <v>23780.41</v>
      </c>
    </row>
    <row r="170" ht="15.75" customHeight="1" s="57">
      <c r="A170" s="7" t="inlineStr">
        <is>
          <t>NTB</t>
        </is>
      </c>
      <c r="B170" s="7" t="inlineStr">
        <is>
          <t>Khánh Hòa</t>
        </is>
      </c>
      <c r="C170" s="7" t="n">
        <v>20495000</v>
      </c>
      <c r="D170" s="7" t="inlineStr">
        <is>
          <t>(KHO) Nha Trang</t>
        </is>
      </c>
      <c r="E170" s="7" t="inlineStr">
        <is>
          <t>SME-Bulky</t>
        </is>
      </c>
      <c r="F170" s="36" t="n">
        <v>20</v>
      </c>
      <c r="G170" s="36" t="n">
        <v>35</v>
      </c>
      <c r="H170" s="36" t="n">
        <v>30</v>
      </c>
      <c r="I170" s="36" t="n">
        <v>28</v>
      </c>
      <c r="J170" s="36" t="n">
        <v>19</v>
      </c>
      <c r="K170" s="28" t="n">
        <v>24</v>
      </c>
      <c r="L170" s="36" t="n">
        <v>25</v>
      </c>
      <c r="M170" s="36" t="n">
        <v>19</v>
      </c>
      <c r="N170" s="36" t="n">
        <v>27</v>
      </c>
      <c r="O170" s="36" t="n">
        <v>19</v>
      </c>
      <c r="P170" s="36" t="n">
        <v>30</v>
      </c>
      <c r="Q170" s="36" t="n">
        <v>17</v>
      </c>
      <c r="R170" s="28" t="n">
        <v>26</v>
      </c>
      <c r="S170" s="36" t="n">
        <v>23</v>
      </c>
      <c r="T170" s="36" t="n">
        <v>41</v>
      </c>
      <c r="U170" s="36" t="n">
        <v>27.19</v>
      </c>
      <c r="V170" s="36" t="n">
        <v>27.54</v>
      </c>
      <c r="W170" s="36" t="n">
        <v>25.57</v>
      </c>
      <c r="X170" s="36" t="n">
        <v>17.05</v>
      </c>
      <c r="Y170" s="28" t="n">
        <v>31.2</v>
      </c>
      <c r="Z170" s="36" t="n">
        <v>30.08</v>
      </c>
      <c r="AA170" s="36" t="n">
        <v>28.6</v>
      </c>
      <c r="AB170" s="36" t="n">
        <v>27.19</v>
      </c>
      <c r="AC170" s="36" t="n">
        <v>27.54</v>
      </c>
      <c r="AD170" s="36" t="n">
        <v>24.16</v>
      </c>
      <c r="AE170" s="36" t="n">
        <v>17.05</v>
      </c>
      <c r="AF170" s="28" t="n">
        <v>31.2</v>
      </c>
      <c r="AG170" s="36" t="n">
        <v>30.08</v>
      </c>
      <c r="AH170" s="37" t="n">
        <v>28.6</v>
      </c>
      <c r="AI170" s="37" t="n">
        <v>27.19</v>
      </c>
      <c r="AJ170" s="37" t="n">
        <v>27.54</v>
      </c>
      <c r="AK170" s="37" t="n">
        <v>25.57</v>
      </c>
      <c r="AL170" s="37" t="n">
        <v>17.05</v>
      </c>
      <c r="AM170" s="37" t="n">
        <v>31.2</v>
      </c>
      <c r="AN170" s="37" t="n">
        <v>30.08</v>
      </c>
      <c r="AO170" s="37" t="n">
        <v>28.6</v>
      </c>
      <c r="AP170" s="37" t="n">
        <v>27.19</v>
      </c>
      <c r="AQ170" s="37" t="n">
        <v>27.54</v>
      </c>
      <c r="AR170" s="37" t="n">
        <v>25.57</v>
      </c>
      <c r="AS170" s="37" t="n">
        <v>17.05</v>
      </c>
      <c r="AT170" s="37" t="n">
        <v>31.2</v>
      </c>
      <c r="AU170" s="37" t="n">
        <v>30.08</v>
      </c>
      <c r="AV170" s="37" t="n">
        <v>28.6</v>
      </c>
      <c r="AW170" s="37" t="n">
        <v>27.19</v>
      </c>
      <c r="AX170" s="37" t="n">
        <v>27.54</v>
      </c>
      <c r="AY170" s="37" t="n">
        <v>25.57</v>
      </c>
      <c r="AZ170" s="37" t="n">
        <v>17.05</v>
      </c>
      <c r="BA170" s="37" t="n">
        <v>31.06</v>
      </c>
      <c r="BB170" s="37" t="n">
        <v>16.13</v>
      </c>
      <c r="BC170" s="37" t="n">
        <v>8.17</v>
      </c>
      <c r="BD170" s="37" t="n">
        <v>7.47</v>
      </c>
      <c r="BE170" s="37" t="n">
        <v>13.95</v>
      </c>
      <c r="BF170" s="37" t="n">
        <v>12.89</v>
      </c>
      <c r="BG170" s="37" t="n">
        <v>10.28</v>
      </c>
      <c r="BH170" s="37" t="n">
        <v>18.31</v>
      </c>
      <c r="BI170" s="37" t="n">
        <v>18.03</v>
      </c>
      <c r="BJ170" s="37" t="n">
        <v>15.71</v>
      </c>
      <c r="BK170" s="37" t="n">
        <v>16.13</v>
      </c>
      <c r="BL170" s="37" t="n">
        <v>16.48</v>
      </c>
      <c r="BM170" s="37" t="n">
        <v>15</v>
      </c>
      <c r="BN170" s="37" t="n">
        <v>10.28</v>
      </c>
      <c r="BO170" s="37" t="n">
        <v>18.31</v>
      </c>
      <c r="BP170" s="37" t="n">
        <v>18.03</v>
      </c>
      <c r="BQ170" s="37" t="n">
        <v>16.83</v>
      </c>
      <c r="BR170" s="37" t="n">
        <v>16.13</v>
      </c>
      <c r="BS170" s="37" t="n">
        <v>16.48</v>
      </c>
      <c r="BT170" s="37" t="n">
        <v>15</v>
      </c>
      <c r="BU170" s="37" t="n">
        <v>10.28</v>
      </c>
      <c r="BV170" s="37" t="n">
        <v>18.31</v>
      </c>
      <c r="BW170" s="37" t="n">
        <v>18.03</v>
      </c>
      <c r="BX170" s="37" t="n">
        <v>16.83</v>
      </c>
      <c r="BY170" s="37" t="n">
        <v>16.13</v>
      </c>
      <c r="BZ170" s="37" t="n">
        <v>16.48</v>
      </c>
      <c r="CA170" s="37" t="n">
        <v>15</v>
      </c>
      <c r="CB170" s="37" t="n">
        <v>10.28</v>
      </c>
      <c r="CC170" s="37" t="n">
        <v>1659.87</v>
      </c>
    </row>
    <row r="171" ht="15.75" customHeight="1" s="57">
      <c r="A171" s="7" t="inlineStr">
        <is>
          <t>NTB</t>
        </is>
      </c>
      <c r="B171" s="7" t="inlineStr">
        <is>
          <t>Khánh Hòa</t>
        </is>
      </c>
      <c r="C171" s="7" t="n">
        <v>20495000</v>
      </c>
      <c r="D171" s="7" t="inlineStr">
        <is>
          <t>(KHO) Nha Trang</t>
        </is>
      </c>
      <c r="E171" s="7" t="inlineStr">
        <is>
          <t>Shopee</t>
        </is>
      </c>
      <c r="F171" s="36" t="n">
        <v>30</v>
      </c>
      <c r="G171" s="36" t="n">
        <v>54</v>
      </c>
      <c r="H171" s="36" t="n">
        <v>33</v>
      </c>
      <c r="I171" s="36" t="n">
        <v>42</v>
      </c>
      <c r="J171" s="36" t="n">
        <v>32</v>
      </c>
      <c r="K171" s="28" t="n">
        <v>20</v>
      </c>
      <c r="L171" s="36" t="n">
        <v>30</v>
      </c>
      <c r="M171" s="36" t="n">
        <v>35</v>
      </c>
      <c r="N171" s="36" t="n">
        <v>37</v>
      </c>
      <c r="O171" s="36" t="n">
        <v>26</v>
      </c>
      <c r="P171" s="36" t="n">
        <v>20</v>
      </c>
      <c r="Q171" s="36" t="n">
        <v>34</v>
      </c>
      <c r="R171" s="28" t="n">
        <v>22</v>
      </c>
      <c r="S171" s="36" t="n">
        <v>28</v>
      </c>
      <c r="T171" s="36" t="n">
        <v>42</v>
      </c>
      <c r="U171" s="36" t="n">
        <v>48.65</v>
      </c>
      <c r="V171" s="36" t="n">
        <v>48.84</v>
      </c>
      <c r="W171" s="36" t="n">
        <v>48.14</v>
      </c>
      <c r="X171" s="36" t="n">
        <v>39.14</v>
      </c>
      <c r="Y171" s="28" t="n">
        <v>65.56999999999999</v>
      </c>
      <c r="Z171" s="36" t="n">
        <v>51.86</v>
      </c>
      <c r="AA171" s="36" t="n">
        <v>71.34</v>
      </c>
      <c r="AB171" s="36" t="n">
        <v>49.63</v>
      </c>
      <c r="AC171" s="36" t="n">
        <v>40.11</v>
      </c>
      <c r="AD171" s="36" t="n">
        <v>123.2</v>
      </c>
      <c r="AE171" s="36" t="n">
        <v>41.93</v>
      </c>
      <c r="AF171" s="28" t="n">
        <v>74.67</v>
      </c>
      <c r="AG171" s="36" t="n">
        <v>54.48</v>
      </c>
      <c r="AH171" s="37" t="n">
        <v>57.53</v>
      </c>
      <c r="AI171" s="37" t="n">
        <v>48.65</v>
      </c>
      <c r="AJ171" s="37" t="n">
        <v>48.84</v>
      </c>
      <c r="AK171" s="37" t="n">
        <v>64.95</v>
      </c>
      <c r="AL171" s="37" t="n">
        <v>70.25</v>
      </c>
      <c r="AM171" s="37" t="n">
        <v>65.56999999999999</v>
      </c>
      <c r="AN171" s="37" t="n">
        <v>51.86</v>
      </c>
      <c r="AO171" s="37" t="n">
        <v>57.53</v>
      </c>
      <c r="AP171" s="37" t="n">
        <v>60.69</v>
      </c>
      <c r="AQ171" s="37" t="n">
        <v>39.16</v>
      </c>
      <c r="AR171" s="37" t="n">
        <v>48.14</v>
      </c>
      <c r="AS171" s="37" t="n">
        <v>39.14</v>
      </c>
      <c r="AT171" s="37" t="n">
        <v>65.56999999999999</v>
      </c>
      <c r="AU171" s="37" t="n">
        <v>52.93</v>
      </c>
      <c r="AV171" s="37" t="n">
        <v>58.69</v>
      </c>
      <c r="AW171" s="37" t="n">
        <v>48.65</v>
      </c>
      <c r="AX171" s="37" t="n">
        <v>48.84</v>
      </c>
      <c r="AY171" s="37" t="n">
        <v>48.14</v>
      </c>
      <c r="AZ171" s="37" t="n">
        <v>39.14</v>
      </c>
      <c r="BA171" s="37" t="n">
        <v>50.5</v>
      </c>
      <c r="BB171" s="37" t="n">
        <v>44.02</v>
      </c>
      <c r="BC171" s="37" t="n">
        <v>22.42</v>
      </c>
      <c r="BD171" s="37" t="n">
        <v>39.86</v>
      </c>
      <c r="BE171" s="37" t="n">
        <v>46.53</v>
      </c>
      <c r="BF171" s="37" t="n">
        <v>45.87</v>
      </c>
      <c r="BG171" s="37" t="n">
        <v>38.06</v>
      </c>
      <c r="BH171" s="37" t="n">
        <v>62.48</v>
      </c>
      <c r="BI171" s="37" t="n">
        <v>40.64</v>
      </c>
      <c r="BJ171" s="37" t="n">
        <v>174.9</v>
      </c>
      <c r="BK171" s="37" t="n">
        <v>49.58</v>
      </c>
      <c r="BL171" s="37" t="n">
        <v>48.78</v>
      </c>
      <c r="BM171" s="37" t="n">
        <v>45.87</v>
      </c>
      <c r="BN171" s="37" t="n">
        <v>37.3</v>
      </c>
      <c r="BO171" s="37" t="n">
        <v>62.48</v>
      </c>
      <c r="BP171" s="37" t="n">
        <v>66.65000000000001</v>
      </c>
      <c r="BQ171" s="37" t="n">
        <v>98.44</v>
      </c>
      <c r="BR171" s="37" t="n">
        <v>46.34</v>
      </c>
      <c r="BS171" s="37" t="n">
        <v>46.53</v>
      </c>
      <c r="BT171" s="37" t="n">
        <v>45.87</v>
      </c>
      <c r="BU171" s="37" t="n">
        <v>46.56</v>
      </c>
      <c r="BV171" s="37" t="n">
        <v>50</v>
      </c>
      <c r="BW171" s="37" t="n">
        <v>49.39</v>
      </c>
      <c r="BX171" s="37" t="n">
        <v>54.79</v>
      </c>
      <c r="BY171" s="37" t="n">
        <v>46.34</v>
      </c>
      <c r="BZ171" s="37" t="n">
        <v>47.49</v>
      </c>
      <c r="CA171" s="37" t="n">
        <v>46.77</v>
      </c>
      <c r="CB171" s="37" t="n">
        <v>37.3</v>
      </c>
      <c r="CC171" s="37" t="n">
        <v>3748.590000000001</v>
      </c>
    </row>
    <row r="172" ht="15.75" customHeight="1" s="57">
      <c r="A172" s="7" t="inlineStr">
        <is>
          <t>NTB</t>
        </is>
      </c>
      <c r="B172" s="7" t="inlineStr">
        <is>
          <t>Khánh Hòa</t>
        </is>
      </c>
      <c r="C172" s="7" t="n">
        <v>20495000</v>
      </c>
      <c r="D172" s="7" t="inlineStr">
        <is>
          <t>(KHO) Nha Trang</t>
        </is>
      </c>
      <c r="E172" s="7" t="inlineStr">
        <is>
          <t>Shopee-Bulky</t>
        </is>
      </c>
      <c r="F172" s="36" t="n">
        <v>15.37</v>
      </c>
      <c r="G172" s="36" t="n">
        <v>21.14</v>
      </c>
      <c r="H172" s="36" t="n">
        <v>26.26</v>
      </c>
      <c r="I172" s="36" t="n">
        <v>17.29</v>
      </c>
      <c r="J172" s="36" t="n">
        <v>25.62</v>
      </c>
      <c r="K172" s="28" t="n">
        <v>16.01</v>
      </c>
      <c r="L172" s="36" t="n">
        <v>14.73</v>
      </c>
      <c r="M172" s="36" t="n">
        <v>22.42</v>
      </c>
      <c r="N172" s="36" t="n">
        <v>14.09</v>
      </c>
      <c r="O172" s="36" t="n">
        <v>15.37</v>
      </c>
      <c r="P172" s="36" t="n">
        <v>12.17</v>
      </c>
      <c r="Q172" s="36" t="n">
        <v>21.14</v>
      </c>
      <c r="R172" s="28" t="n">
        <v>26.9</v>
      </c>
      <c r="S172" s="36" t="n">
        <v>20.49</v>
      </c>
      <c r="T172" s="36" t="n">
        <v>28.82</v>
      </c>
      <c r="U172" s="36" t="n">
        <v>17.8</v>
      </c>
      <c r="V172" s="36" t="n">
        <v>17.25</v>
      </c>
      <c r="W172" s="36" t="n">
        <v>24.07</v>
      </c>
      <c r="X172" s="36" t="n">
        <v>13.29</v>
      </c>
      <c r="Y172" s="28" t="n">
        <v>26.26</v>
      </c>
      <c r="Z172" s="36" t="n">
        <v>20.47</v>
      </c>
      <c r="AA172" s="36" t="n">
        <v>19.82</v>
      </c>
      <c r="AB172" s="36" t="n">
        <v>20.24</v>
      </c>
      <c r="AC172" s="36" t="n">
        <v>21.43</v>
      </c>
      <c r="AD172" s="36" t="n">
        <v>59.56</v>
      </c>
      <c r="AE172" s="36" t="n">
        <v>34.11</v>
      </c>
      <c r="AF172" s="28" t="n">
        <v>51.74</v>
      </c>
      <c r="AG172" s="36" t="n">
        <v>29.25</v>
      </c>
      <c r="AH172" s="37" t="n">
        <v>20.31</v>
      </c>
      <c r="AI172" s="37" t="n">
        <v>19.82</v>
      </c>
      <c r="AJ172" s="37" t="n">
        <v>19.53</v>
      </c>
      <c r="AK172" s="37" t="n">
        <v>44.31</v>
      </c>
      <c r="AL172" s="37" t="n">
        <v>22.4</v>
      </c>
      <c r="AM172" s="37" t="n">
        <v>32.24</v>
      </c>
      <c r="AN172" s="37" t="n">
        <v>20.18</v>
      </c>
      <c r="AO172" s="37" t="n">
        <v>19.73</v>
      </c>
      <c r="AP172" s="37" t="n">
        <v>27.16</v>
      </c>
      <c r="AQ172" s="37" t="n">
        <v>26.71</v>
      </c>
      <c r="AR172" s="37" t="n">
        <v>21.82</v>
      </c>
      <c r="AS172" s="37" t="n">
        <v>11.68</v>
      </c>
      <c r="AT172" s="37" t="n">
        <v>24.01</v>
      </c>
      <c r="AU172" s="37" t="n">
        <v>39.32</v>
      </c>
      <c r="AV172" s="37" t="n">
        <v>40.9</v>
      </c>
      <c r="AW172" s="37" t="n">
        <v>19.95</v>
      </c>
      <c r="AX172" s="37" t="n">
        <v>18.73</v>
      </c>
      <c r="AY172" s="37" t="n">
        <v>20.88</v>
      </c>
      <c r="AZ172" s="37" t="n">
        <v>11.2</v>
      </c>
      <c r="BA172" s="37" t="n">
        <v>21.88</v>
      </c>
      <c r="BB172" s="37" t="n">
        <v>20.53</v>
      </c>
      <c r="BC172" s="37" t="n">
        <v>7.08</v>
      </c>
      <c r="BD172" s="37" t="n">
        <v>17.44</v>
      </c>
      <c r="BE172" s="37" t="n">
        <v>21.66</v>
      </c>
      <c r="BF172" s="37" t="n">
        <v>18.92</v>
      </c>
      <c r="BG172" s="37" t="n">
        <v>15.19</v>
      </c>
      <c r="BH172" s="37" t="n">
        <v>28.03</v>
      </c>
      <c r="BI172" s="37" t="n">
        <v>23.85</v>
      </c>
      <c r="BJ172" s="37" t="n">
        <v>94.16</v>
      </c>
      <c r="BK172" s="37" t="n">
        <v>50.88</v>
      </c>
      <c r="BL172" s="37" t="n">
        <v>26.16</v>
      </c>
      <c r="BM172" s="37" t="n">
        <v>19.79</v>
      </c>
      <c r="BN172" s="37" t="n">
        <v>14.8</v>
      </c>
      <c r="BO172" s="37" t="n">
        <v>32.82</v>
      </c>
      <c r="BP172" s="37" t="n">
        <v>47.53</v>
      </c>
      <c r="BQ172" s="37" t="n">
        <v>34.72</v>
      </c>
      <c r="BR172" s="37" t="n">
        <v>22.69</v>
      </c>
      <c r="BS172" s="37" t="n">
        <v>21.66</v>
      </c>
      <c r="BT172" s="37" t="n">
        <v>18.92</v>
      </c>
      <c r="BU172" s="37" t="n">
        <v>21.98</v>
      </c>
      <c r="BV172" s="37" t="n">
        <v>29.7</v>
      </c>
      <c r="BW172" s="37" t="n">
        <v>23.85</v>
      </c>
      <c r="BX172" s="37" t="n">
        <v>23.11</v>
      </c>
      <c r="BY172" s="37" t="n">
        <v>22.69</v>
      </c>
      <c r="BZ172" s="37" t="n">
        <v>38.84</v>
      </c>
      <c r="CA172" s="37" t="n">
        <v>22.53</v>
      </c>
      <c r="CB172" s="37" t="n">
        <v>14.38</v>
      </c>
      <c r="CC172" s="37" t="n">
        <v>1869.780000000001</v>
      </c>
    </row>
    <row r="173" ht="15.75" customHeight="1" s="57">
      <c r="A173" s="7" t="inlineStr">
        <is>
          <t>NTB</t>
        </is>
      </c>
      <c r="B173" s="7" t="inlineStr">
        <is>
          <t>Khánh Hòa</t>
        </is>
      </c>
      <c r="C173" s="7" t="n">
        <v>20495000</v>
      </c>
      <c r="D173" s="7" t="inlineStr">
        <is>
          <t>(KHO) Nha Trang</t>
        </is>
      </c>
      <c r="E173" s="7" t="inlineStr">
        <is>
          <t>Shopee-Bulky (10-15kg)</t>
        </is>
      </c>
      <c r="F173" s="36" t="n">
        <v>8.630000000000001</v>
      </c>
      <c r="G173" s="36" t="n">
        <v>11.86</v>
      </c>
      <c r="H173" s="36" t="n">
        <v>14.74</v>
      </c>
      <c r="I173" s="36" t="n">
        <v>9.710000000000001</v>
      </c>
      <c r="J173" s="36" t="n">
        <v>14.38</v>
      </c>
      <c r="K173" s="28" t="n">
        <v>8.99</v>
      </c>
      <c r="L173" s="36" t="n">
        <v>8.27</v>
      </c>
      <c r="M173" s="36" t="n">
        <v>12.58</v>
      </c>
      <c r="N173" s="36" t="n">
        <v>7.91</v>
      </c>
      <c r="O173" s="36" t="n">
        <v>8.630000000000001</v>
      </c>
      <c r="P173" s="36" t="n">
        <v>6.83</v>
      </c>
      <c r="Q173" s="36" t="n">
        <v>11.86</v>
      </c>
      <c r="R173" s="28" t="n">
        <v>15.1</v>
      </c>
      <c r="S173" s="36" t="n">
        <v>11.51</v>
      </c>
      <c r="T173" s="36" t="n">
        <v>16.18</v>
      </c>
      <c r="U173" s="36" t="n">
        <v>10.65</v>
      </c>
      <c r="V173" s="36" t="n">
        <v>10.2</v>
      </c>
      <c r="W173" s="36" t="n">
        <v>13.16</v>
      </c>
      <c r="X173" s="36" t="n">
        <v>7.4</v>
      </c>
      <c r="Y173" s="28" t="n">
        <v>15</v>
      </c>
      <c r="Z173" s="36" t="n">
        <v>11.71</v>
      </c>
      <c r="AA173" s="36" t="n">
        <v>11.04</v>
      </c>
      <c r="AB173" s="36" t="n">
        <v>11.55</v>
      </c>
      <c r="AC173" s="36" t="n">
        <v>11.97</v>
      </c>
      <c r="AD173" s="36" t="n">
        <v>44.63</v>
      </c>
      <c r="AE173" s="36" t="n">
        <v>18.54</v>
      </c>
      <c r="AF173" s="28" t="n">
        <v>27.35</v>
      </c>
      <c r="AG173" s="36" t="n">
        <v>16.32</v>
      </c>
      <c r="AH173" s="37" t="n">
        <v>11.55</v>
      </c>
      <c r="AI173" s="37" t="n">
        <v>11.17</v>
      </c>
      <c r="AJ173" s="37" t="n">
        <v>10.94</v>
      </c>
      <c r="AK173" s="37" t="n">
        <v>25.29</v>
      </c>
      <c r="AL173" s="37" t="n">
        <v>12.71</v>
      </c>
      <c r="AM173" s="37" t="n">
        <v>18.25</v>
      </c>
      <c r="AN173" s="37" t="n">
        <v>11.55</v>
      </c>
      <c r="AO173" s="37" t="n">
        <v>11.13</v>
      </c>
      <c r="AP173" s="37" t="n">
        <v>14.42</v>
      </c>
      <c r="AQ173" s="37" t="n">
        <v>15.16</v>
      </c>
      <c r="AR173" s="37" t="n">
        <v>11.81</v>
      </c>
      <c r="AS173" s="37" t="n">
        <v>6.5</v>
      </c>
      <c r="AT173" s="37" t="n">
        <v>13.58</v>
      </c>
      <c r="AU173" s="37" t="n">
        <v>22.46</v>
      </c>
      <c r="AV173" s="37" t="n">
        <v>23.3</v>
      </c>
      <c r="AW173" s="37" t="n">
        <v>11.3</v>
      </c>
      <c r="AX173" s="37" t="n">
        <v>10.55</v>
      </c>
      <c r="AY173" s="37" t="n">
        <v>11.36</v>
      </c>
      <c r="AZ173" s="37" t="n">
        <v>6.28</v>
      </c>
      <c r="BA173" s="37" t="n">
        <v>12.39</v>
      </c>
      <c r="BB173" s="37" t="n">
        <v>11.87</v>
      </c>
      <c r="BC173" s="37" t="n">
        <v>3.99</v>
      </c>
      <c r="BD173" s="37" t="n">
        <v>9.460000000000001</v>
      </c>
      <c r="BE173" s="37" t="n">
        <v>12.2</v>
      </c>
      <c r="BF173" s="37" t="n">
        <v>10.39</v>
      </c>
      <c r="BG173" s="37" t="n">
        <v>8.5</v>
      </c>
      <c r="BH173" s="37" t="n">
        <v>16.25</v>
      </c>
      <c r="BI173" s="37" t="n">
        <v>13.81</v>
      </c>
      <c r="BJ173" s="37" t="n">
        <v>61.21</v>
      </c>
      <c r="BK173" s="37" t="n">
        <v>28.54</v>
      </c>
      <c r="BL173" s="37" t="n">
        <v>15.19</v>
      </c>
      <c r="BM173" s="37" t="n">
        <v>11.04</v>
      </c>
      <c r="BN173" s="37" t="n">
        <v>8.33</v>
      </c>
      <c r="BO173" s="37" t="n">
        <v>18.28</v>
      </c>
      <c r="BP173" s="37" t="n">
        <v>26.64</v>
      </c>
      <c r="BQ173" s="37" t="n">
        <v>19.6</v>
      </c>
      <c r="BR173" s="37" t="n">
        <v>13.1</v>
      </c>
      <c r="BS173" s="37" t="n">
        <v>12.2</v>
      </c>
      <c r="BT173" s="37" t="n">
        <v>10.39</v>
      </c>
      <c r="BU173" s="37" t="n">
        <v>12.65</v>
      </c>
      <c r="BV173" s="37" t="n">
        <v>16.8</v>
      </c>
      <c r="BW173" s="37" t="n">
        <v>13.81</v>
      </c>
      <c r="BX173" s="37" t="n">
        <v>13.19</v>
      </c>
      <c r="BY173" s="37" t="n">
        <v>13.1</v>
      </c>
      <c r="BZ173" s="37" t="n">
        <v>21.62</v>
      </c>
      <c r="CA173" s="37" t="n">
        <v>12.9</v>
      </c>
      <c r="CB173" s="37" t="n">
        <v>8.140000000000001</v>
      </c>
      <c r="CC173" s="37" t="n">
        <v>1071.6</v>
      </c>
    </row>
    <row r="174" ht="15.75" customHeight="1" s="57">
      <c r="A174" s="7" t="inlineStr">
        <is>
          <t>NTB</t>
        </is>
      </c>
      <c r="B174" s="7" t="inlineStr">
        <is>
          <t>Khánh Hòa</t>
        </is>
      </c>
      <c r="C174" s="7" t="n">
        <v>20495000</v>
      </c>
      <c r="D174" s="7" t="inlineStr">
        <is>
          <t>(KHO) Nha Trang</t>
        </is>
      </c>
      <c r="E174" s="7" t="inlineStr">
        <is>
          <t>TTS</t>
        </is>
      </c>
      <c r="F174" s="36" t="n">
        <v>138</v>
      </c>
      <c r="G174" s="36" t="n">
        <v>159</v>
      </c>
      <c r="H174" s="36" t="n">
        <v>125</v>
      </c>
      <c r="I174" s="36" t="n">
        <v>106</v>
      </c>
      <c r="J174" s="36" t="n">
        <v>127</v>
      </c>
      <c r="K174" s="28" t="n">
        <v>125</v>
      </c>
      <c r="L174" s="36" t="n">
        <v>118</v>
      </c>
      <c r="M174" s="36" t="n">
        <v>123</v>
      </c>
      <c r="N174" s="36" t="n">
        <v>133</v>
      </c>
      <c r="O174" s="36" t="n">
        <v>113</v>
      </c>
      <c r="P174" s="36" t="n">
        <v>91</v>
      </c>
      <c r="Q174" s="36" t="n">
        <v>104</v>
      </c>
      <c r="R174" s="28" t="n">
        <v>133</v>
      </c>
      <c r="S174" s="36" t="n">
        <v>96</v>
      </c>
      <c r="T174" s="36" t="n">
        <v>175</v>
      </c>
      <c r="U174" s="36" t="n">
        <v>102.6</v>
      </c>
      <c r="V174" s="36" t="n">
        <v>100.64</v>
      </c>
      <c r="W174" s="36" t="n">
        <v>98.45999999999999</v>
      </c>
      <c r="X174" s="36" t="n">
        <v>79.41</v>
      </c>
      <c r="Y174" s="28" t="n">
        <v>115.66</v>
      </c>
      <c r="Z174" s="36" t="n">
        <v>98.05</v>
      </c>
      <c r="AA174" s="36" t="n">
        <v>109.12</v>
      </c>
      <c r="AB174" s="36" t="n">
        <v>121.15</v>
      </c>
      <c r="AC174" s="36" t="n">
        <v>127.76</v>
      </c>
      <c r="AD174" s="36" t="n">
        <v>141.05</v>
      </c>
      <c r="AE174" s="36" t="n">
        <v>92.33</v>
      </c>
      <c r="AF174" s="28" t="n">
        <v>119.08</v>
      </c>
      <c r="AG174" s="36" t="n">
        <v>100.27</v>
      </c>
      <c r="AH174" s="37" t="n">
        <v>99.20999999999999</v>
      </c>
      <c r="AI174" s="37" t="n">
        <v>113.44</v>
      </c>
      <c r="AJ174" s="37" t="n">
        <v>121.87</v>
      </c>
      <c r="AK174" s="37" t="n">
        <v>120.23</v>
      </c>
      <c r="AL174" s="37" t="n">
        <v>85.56</v>
      </c>
      <c r="AM174" s="37" t="n">
        <v>117.43</v>
      </c>
      <c r="AN174" s="37" t="n">
        <v>101.29</v>
      </c>
      <c r="AO174" s="37" t="n">
        <v>100.94</v>
      </c>
      <c r="AP174" s="37" t="n">
        <v>97.82000000000001</v>
      </c>
      <c r="AQ174" s="37" t="n">
        <v>98.69</v>
      </c>
      <c r="AR174" s="37" t="n">
        <v>96.95999999999999</v>
      </c>
      <c r="AS174" s="37" t="n">
        <v>79.67</v>
      </c>
      <c r="AT174" s="37" t="n">
        <v>127.32</v>
      </c>
      <c r="AU174" s="37" t="n">
        <v>115.17</v>
      </c>
      <c r="AV174" s="37" t="n">
        <v>102.37</v>
      </c>
      <c r="AW174" s="37" t="n">
        <v>96.69</v>
      </c>
      <c r="AX174" s="37" t="n">
        <v>96.17</v>
      </c>
      <c r="AY174" s="37" t="n">
        <v>95.72</v>
      </c>
      <c r="AZ174" s="37" t="n">
        <v>79.70999999999999</v>
      </c>
      <c r="BA174" s="37" t="n">
        <v>114.72</v>
      </c>
      <c r="BB174" s="37" t="n">
        <v>107.12</v>
      </c>
      <c r="BC174" s="37" t="n">
        <v>63.33</v>
      </c>
      <c r="BD174" s="37" t="n">
        <v>92.48</v>
      </c>
      <c r="BE174" s="37" t="n">
        <v>108.81</v>
      </c>
      <c r="BF174" s="37" t="n">
        <v>105.73</v>
      </c>
      <c r="BG174" s="37" t="n">
        <v>85.63</v>
      </c>
      <c r="BH174" s="37" t="n">
        <v>127.13</v>
      </c>
      <c r="BI174" s="37" t="n">
        <v>107.12</v>
      </c>
      <c r="BJ174" s="37" t="n">
        <v>107.32</v>
      </c>
      <c r="BK174" s="37" t="n">
        <v>108.66</v>
      </c>
      <c r="BL174" s="37" t="n">
        <v>108.81</v>
      </c>
      <c r="BM174" s="37" t="n">
        <v>105.73</v>
      </c>
      <c r="BN174" s="37" t="n">
        <v>85.63</v>
      </c>
      <c r="BO174" s="37" t="n">
        <v>127.13</v>
      </c>
      <c r="BP174" s="37" t="n">
        <v>107.12</v>
      </c>
      <c r="BQ174" s="37" t="n">
        <v>105.88</v>
      </c>
      <c r="BR174" s="37" t="n">
        <v>108.66</v>
      </c>
      <c r="BS174" s="37" t="n">
        <v>108.81</v>
      </c>
      <c r="BT174" s="37" t="n">
        <v>105.73</v>
      </c>
      <c r="BU174" s="37" t="n">
        <v>85.63</v>
      </c>
      <c r="BV174" s="37" t="n">
        <v>127.13</v>
      </c>
      <c r="BW174" s="37" t="n">
        <v>107.12</v>
      </c>
      <c r="BX174" s="37" t="n">
        <v>105.88</v>
      </c>
      <c r="BY174" s="37" t="n">
        <v>108.66</v>
      </c>
      <c r="BZ174" s="37" t="n">
        <v>108.81</v>
      </c>
      <c r="CA174" s="37" t="n">
        <v>105.73</v>
      </c>
      <c r="CB174" s="37" t="n">
        <v>85.63</v>
      </c>
      <c r="CC174" s="37" t="n">
        <v>8143.979999999998</v>
      </c>
    </row>
    <row r="175" ht="15.75" customHeight="1" s="57">
      <c r="A175" s="7" t="inlineStr">
        <is>
          <t>NTB</t>
        </is>
      </c>
      <c r="B175" s="7" t="inlineStr">
        <is>
          <t>Khánh Hòa</t>
        </is>
      </c>
      <c r="C175" s="7" t="n">
        <v>20495000</v>
      </c>
      <c r="D175" s="7" t="inlineStr">
        <is>
          <t>(KHO) Nha Trang</t>
        </is>
      </c>
      <c r="E175" s="7" t="inlineStr">
        <is>
          <t>TTS-Bulky</t>
        </is>
      </c>
      <c r="F175" s="36" t="n">
        <v>3</v>
      </c>
      <c r="G175" s="36" t="n">
        <v>1</v>
      </c>
      <c r="H175" s="36" t="n">
        <v>14</v>
      </c>
      <c r="I175" s="36" t="n">
        <v>9</v>
      </c>
      <c r="J175" s="36" t="n">
        <v>1</v>
      </c>
      <c r="K175" s="28" t="n">
        <v>1</v>
      </c>
      <c r="L175" s="36" t="n">
        <v>0</v>
      </c>
      <c r="M175" s="36" t="n">
        <v>0</v>
      </c>
      <c r="N175" s="36" t="n">
        <v>1</v>
      </c>
      <c r="O175" s="36" t="n">
        <v>1</v>
      </c>
      <c r="P175" s="36" t="n">
        <v>0</v>
      </c>
      <c r="Q175" s="36" t="n">
        <v>2</v>
      </c>
      <c r="R175" s="28" t="n">
        <v>0</v>
      </c>
      <c r="S175" s="36" t="n">
        <v>1</v>
      </c>
      <c r="T175" s="36" t="n">
        <v>1</v>
      </c>
      <c r="U175" s="36" t="n">
        <v>9.19</v>
      </c>
      <c r="V175" s="36" t="n">
        <v>8.800000000000001</v>
      </c>
      <c r="W175" s="36" t="n">
        <v>4.43</v>
      </c>
      <c r="X175" s="36" t="n">
        <v>3.32</v>
      </c>
      <c r="Y175" s="28" t="n">
        <v>5.65</v>
      </c>
      <c r="Z175" s="36" t="n">
        <v>4.15</v>
      </c>
      <c r="AA175" s="36" t="n">
        <v>4.71</v>
      </c>
      <c r="AB175" s="36" t="n">
        <v>5.04</v>
      </c>
      <c r="AC175" s="36" t="n">
        <v>5.48</v>
      </c>
      <c r="AD175" s="36" t="n">
        <v>6.87</v>
      </c>
      <c r="AE175" s="36" t="n">
        <v>3.65</v>
      </c>
      <c r="AF175" s="28" t="n">
        <v>5.37</v>
      </c>
      <c r="AG175" s="36" t="n">
        <v>4.32</v>
      </c>
      <c r="AH175" s="37" t="n">
        <v>4.32</v>
      </c>
      <c r="AI175" s="37" t="n">
        <v>4.48</v>
      </c>
      <c r="AJ175" s="37" t="n">
        <v>4.93</v>
      </c>
      <c r="AK175" s="37" t="n">
        <v>4.76</v>
      </c>
      <c r="AL175" s="37" t="n">
        <v>3.38</v>
      </c>
      <c r="AM175" s="37" t="n">
        <v>5.31</v>
      </c>
      <c r="AN175" s="37" t="n">
        <v>4.43</v>
      </c>
      <c r="AO175" s="37" t="n">
        <v>4.32</v>
      </c>
      <c r="AP175" s="37" t="n">
        <v>4.37</v>
      </c>
      <c r="AQ175" s="37" t="n">
        <v>4.37</v>
      </c>
      <c r="AR175" s="37" t="n">
        <v>4.37</v>
      </c>
      <c r="AS175" s="37" t="n">
        <v>3.21</v>
      </c>
      <c r="AT175" s="37" t="n">
        <v>5.59</v>
      </c>
      <c r="AU175" s="37" t="n">
        <v>5.04</v>
      </c>
      <c r="AV175" s="37" t="n">
        <v>4.48</v>
      </c>
      <c r="AW175" s="37" t="n">
        <v>4.32</v>
      </c>
      <c r="AX175" s="37" t="n">
        <v>4.32</v>
      </c>
      <c r="AY175" s="37" t="n">
        <v>4.37</v>
      </c>
      <c r="AZ175" s="37" t="n">
        <v>3.21</v>
      </c>
      <c r="BA175" s="37" t="n">
        <v>4.93</v>
      </c>
      <c r="BB175" s="37" t="n">
        <v>1.16</v>
      </c>
      <c r="BC175" s="37" t="n">
        <v>0.72</v>
      </c>
      <c r="BD175" s="37" t="n">
        <v>0.83</v>
      </c>
      <c r="BE175" s="37" t="n">
        <v>1.16</v>
      </c>
      <c r="BF175" s="37" t="n">
        <v>1.22</v>
      </c>
      <c r="BG175" s="37" t="n">
        <v>0.83</v>
      </c>
      <c r="BH175" s="37" t="n">
        <v>1.55</v>
      </c>
      <c r="BI175" s="37" t="n">
        <v>1.27</v>
      </c>
      <c r="BJ175" s="37" t="n">
        <v>1.61</v>
      </c>
      <c r="BK175" s="37" t="n">
        <v>1.22</v>
      </c>
      <c r="BL175" s="37" t="n">
        <v>1.16</v>
      </c>
      <c r="BM175" s="37" t="n">
        <v>1.22</v>
      </c>
      <c r="BN175" s="37" t="n">
        <v>0.83</v>
      </c>
      <c r="BO175" s="37" t="n">
        <v>1.88</v>
      </c>
      <c r="BP175" s="37" t="n">
        <v>1.44</v>
      </c>
      <c r="BQ175" s="37" t="n">
        <v>1.22</v>
      </c>
      <c r="BR175" s="37" t="n">
        <v>1.22</v>
      </c>
      <c r="BS175" s="37" t="n">
        <v>1.16</v>
      </c>
      <c r="BT175" s="37" t="n">
        <v>1.22</v>
      </c>
      <c r="BU175" s="37" t="n">
        <v>0.83</v>
      </c>
      <c r="BV175" s="37" t="n">
        <v>1.44</v>
      </c>
      <c r="BW175" s="37" t="n">
        <v>1.27</v>
      </c>
      <c r="BX175" s="37" t="n">
        <v>1.22</v>
      </c>
      <c r="BY175" s="37" t="n">
        <v>1.22</v>
      </c>
      <c r="BZ175" s="37" t="n">
        <v>1.16</v>
      </c>
      <c r="CA175" s="37" t="n">
        <v>1.22</v>
      </c>
      <c r="CB175" s="37" t="n">
        <v>0.83</v>
      </c>
      <c r="CC175" s="37" t="n">
        <v>226.6000000000001</v>
      </c>
    </row>
    <row r="176" ht="15.75" customHeight="1" s="57">
      <c r="A176" s="7" t="inlineStr">
        <is>
          <t>NTB</t>
        </is>
      </c>
      <c r="B176" s="7" t="inlineStr">
        <is>
          <t>Khánh Hòa</t>
        </is>
      </c>
      <c r="C176" s="7" t="n">
        <v>20543000</v>
      </c>
      <c r="D176" s="7" t="inlineStr">
        <is>
          <t>(KHO) Ninh Hòa 2</t>
        </is>
      </c>
      <c r="E176" s="7" t="inlineStr">
        <is>
          <t>SME</t>
        </is>
      </c>
      <c r="F176" s="36" t="n">
        <v>287</v>
      </c>
      <c r="G176" s="36" t="n">
        <v>563</v>
      </c>
      <c r="H176" s="36" t="n">
        <v>420</v>
      </c>
      <c r="I176" s="36" t="n">
        <v>365</v>
      </c>
      <c r="J176" s="36" t="n">
        <v>422</v>
      </c>
      <c r="K176" s="28" t="n">
        <v>406</v>
      </c>
      <c r="L176" s="36" t="n">
        <v>302</v>
      </c>
      <c r="M176" s="36" t="n">
        <v>349</v>
      </c>
      <c r="N176" s="36" t="n">
        <v>333</v>
      </c>
      <c r="O176" s="36" t="n">
        <v>348</v>
      </c>
      <c r="P176" s="36" t="n">
        <v>349</v>
      </c>
      <c r="Q176" s="36" t="n">
        <v>353</v>
      </c>
      <c r="R176" s="28" t="n">
        <v>410</v>
      </c>
      <c r="S176" s="36" t="n">
        <v>296</v>
      </c>
      <c r="T176" s="36" t="n">
        <v>385</v>
      </c>
      <c r="U176" s="36" t="n">
        <v>439.33</v>
      </c>
      <c r="V176" s="36" t="n">
        <v>454.8</v>
      </c>
      <c r="W176" s="36" t="n">
        <v>442.31</v>
      </c>
      <c r="X176" s="36" t="n">
        <v>362</v>
      </c>
      <c r="Y176" s="28" t="n">
        <v>490.1</v>
      </c>
      <c r="Z176" s="36" t="n">
        <v>451.43</v>
      </c>
      <c r="AA176" s="36" t="n">
        <v>440.29</v>
      </c>
      <c r="AB176" s="36" t="n">
        <v>439.33</v>
      </c>
      <c r="AC176" s="36" t="n">
        <v>454.8</v>
      </c>
      <c r="AD176" s="36" t="n">
        <v>446.59</v>
      </c>
      <c r="AE176" s="36" t="n">
        <v>362</v>
      </c>
      <c r="AF176" s="28" t="n">
        <v>490.1</v>
      </c>
      <c r="AG176" s="36" t="n">
        <v>451.43</v>
      </c>
      <c r="AH176" s="37" t="n">
        <v>440.29</v>
      </c>
      <c r="AI176" s="37" t="n">
        <v>439.33</v>
      </c>
      <c r="AJ176" s="37" t="n">
        <v>454.8</v>
      </c>
      <c r="AK176" s="37" t="n">
        <v>442.31</v>
      </c>
      <c r="AL176" s="37" t="n">
        <v>362</v>
      </c>
      <c r="AM176" s="37" t="n">
        <v>490.1</v>
      </c>
      <c r="AN176" s="37" t="n">
        <v>451.43</v>
      </c>
      <c r="AO176" s="37" t="n">
        <v>440.29</v>
      </c>
      <c r="AP176" s="37" t="n">
        <v>439.33</v>
      </c>
      <c r="AQ176" s="37" t="n">
        <v>454.8</v>
      </c>
      <c r="AR176" s="37" t="n">
        <v>442.31</v>
      </c>
      <c r="AS176" s="37" t="n">
        <v>362</v>
      </c>
      <c r="AT176" s="37" t="n">
        <v>490.1</v>
      </c>
      <c r="AU176" s="37" t="n">
        <v>451.43</v>
      </c>
      <c r="AV176" s="37" t="n">
        <v>440.29</v>
      </c>
      <c r="AW176" s="37" t="n">
        <v>439.33</v>
      </c>
      <c r="AX176" s="37" t="n">
        <v>454.8</v>
      </c>
      <c r="AY176" s="37" t="n">
        <v>442.31</v>
      </c>
      <c r="AZ176" s="37" t="n">
        <v>362</v>
      </c>
      <c r="BA176" s="37" t="n">
        <v>441.09</v>
      </c>
      <c r="BB176" s="37" t="n">
        <v>395.88</v>
      </c>
      <c r="BC176" s="37" t="n">
        <v>250.18</v>
      </c>
      <c r="BD176" s="37" t="n">
        <v>249.18</v>
      </c>
      <c r="BE176" s="37" t="n">
        <v>422.44</v>
      </c>
      <c r="BF176" s="37" t="n">
        <v>410.86</v>
      </c>
      <c r="BG176" s="37" t="n">
        <v>372.99</v>
      </c>
      <c r="BH176" s="37" t="n">
        <v>505.75</v>
      </c>
      <c r="BI176" s="37" t="n">
        <v>465.71</v>
      </c>
      <c r="BJ176" s="37" t="n">
        <v>458.34</v>
      </c>
      <c r="BK176" s="37" t="n">
        <v>453.25</v>
      </c>
      <c r="BL176" s="37" t="n">
        <v>469.14</v>
      </c>
      <c r="BM176" s="37" t="n">
        <v>456.36</v>
      </c>
      <c r="BN176" s="37" t="n">
        <v>372.99</v>
      </c>
      <c r="BO176" s="37" t="n">
        <v>505.75</v>
      </c>
      <c r="BP176" s="37" t="n">
        <v>465.71</v>
      </c>
      <c r="BQ176" s="37" t="n">
        <v>454.12</v>
      </c>
      <c r="BR176" s="37" t="n">
        <v>453.25</v>
      </c>
      <c r="BS176" s="37" t="n">
        <v>469.14</v>
      </c>
      <c r="BT176" s="37" t="n">
        <v>456.36</v>
      </c>
      <c r="BU176" s="37" t="n">
        <v>372.99</v>
      </c>
      <c r="BV176" s="37" t="n">
        <v>505.75</v>
      </c>
      <c r="BW176" s="37" t="n">
        <v>465.71</v>
      </c>
      <c r="BX176" s="37" t="n">
        <v>454.12</v>
      </c>
      <c r="BY176" s="37" t="n">
        <v>453.25</v>
      </c>
      <c r="BZ176" s="37" t="n">
        <v>469.14</v>
      </c>
      <c r="CA176" s="37" t="n">
        <v>456.36</v>
      </c>
      <c r="CB176" s="37" t="n">
        <v>372.99</v>
      </c>
      <c r="CC176" s="37" t="n">
        <v>31690.56</v>
      </c>
    </row>
    <row r="177" ht="15.75" customHeight="1" s="57">
      <c r="A177" s="7" t="inlineStr">
        <is>
          <t>NTB</t>
        </is>
      </c>
      <c r="B177" s="7" t="inlineStr">
        <is>
          <t>Khánh Hòa</t>
        </is>
      </c>
      <c r="C177" s="7" t="n">
        <v>20543000</v>
      </c>
      <c r="D177" s="7" t="inlineStr">
        <is>
          <t>(KHO) Ninh Hòa 2</t>
        </is>
      </c>
      <c r="E177" s="7" t="inlineStr">
        <is>
          <t>SME-Bulky</t>
        </is>
      </c>
      <c r="F177" s="36" t="n">
        <v>15</v>
      </c>
      <c r="G177" s="36" t="n">
        <v>14</v>
      </c>
      <c r="H177" s="36" t="n">
        <v>17</v>
      </c>
      <c r="I177" s="36" t="n">
        <v>16</v>
      </c>
      <c r="J177" s="36" t="n">
        <v>17</v>
      </c>
      <c r="K177" s="28" t="n">
        <v>16</v>
      </c>
      <c r="L177" s="36" t="n">
        <v>10</v>
      </c>
      <c r="M177" s="36" t="n">
        <v>12</v>
      </c>
      <c r="N177" s="36" t="n">
        <v>23</v>
      </c>
      <c r="O177" s="36" t="n">
        <v>16</v>
      </c>
      <c r="P177" s="36" t="n">
        <v>14</v>
      </c>
      <c r="Q177" s="36" t="n">
        <v>18</v>
      </c>
      <c r="R177" s="28" t="n">
        <v>16</v>
      </c>
      <c r="S177" s="36" t="n">
        <v>30</v>
      </c>
      <c r="T177" s="36" t="n">
        <v>17</v>
      </c>
      <c r="U177" s="36" t="n">
        <v>19.91</v>
      </c>
      <c r="V177" s="36" t="n">
        <v>20.17</v>
      </c>
      <c r="W177" s="36" t="n">
        <v>18.72</v>
      </c>
      <c r="X177" s="36" t="n">
        <v>12.48</v>
      </c>
      <c r="Y177" s="28" t="n">
        <v>22.85</v>
      </c>
      <c r="Z177" s="36" t="n">
        <v>22.02</v>
      </c>
      <c r="AA177" s="36" t="n">
        <v>20.94</v>
      </c>
      <c r="AB177" s="36" t="n">
        <v>19.91</v>
      </c>
      <c r="AC177" s="36" t="n">
        <v>20.17</v>
      </c>
      <c r="AD177" s="36" t="n">
        <v>17.69</v>
      </c>
      <c r="AE177" s="36" t="n">
        <v>12.48</v>
      </c>
      <c r="AF177" s="28" t="n">
        <v>22.85</v>
      </c>
      <c r="AG177" s="36" t="n">
        <v>22.02</v>
      </c>
      <c r="AH177" s="37" t="n">
        <v>20.94</v>
      </c>
      <c r="AI177" s="37" t="n">
        <v>19.91</v>
      </c>
      <c r="AJ177" s="37" t="n">
        <v>20.17</v>
      </c>
      <c r="AK177" s="37" t="n">
        <v>18.72</v>
      </c>
      <c r="AL177" s="37" t="n">
        <v>12.48</v>
      </c>
      <c r="AM177" s="37" t="n">
        <v>22.85</v>
      </c>
      <c r="AN177" s="37" t="n">
        <v>22.02</v>
      </c>
      <c r="AO177" s="37" t="n">
        <v>20.94</v>
      </c>
      <c r="AP177" s="37" t="n">
        <v>19.91</v>
      </c>
      <c r="AQ177" s="37" t="n">
        <v>20.17</v>
      </c>
      <c r="AR177" s="37" t="n">
        <v>18.72</v>
      </c>
      <c r="AS177" s="37" t="n">
        <v>12.48</v>
      </c>
      <c r="AT177" s="37" t="n">
        <v>22.85</v>
      </c>
      <c r="AU177" s="37" t="n">
        <v>22.02</v>
      </c>
      <c r="AV177" s="37" t="n">
        <v>20.94</v>
      </c>
      <c r="AW177" s="37" t="n">
        <v>19.91</v>
      </c>
      <c r="AX177" s="37" t="n">
        <v>20.17</v>
      </c>
      <c r="AY177" s="37" t="n">
        <v>18.72</v>
      </c>
      <c r="AZ177" s="37" t="n">
        <v>12.48</v>
      </c>
      <c r="BA177" s="37" t="n">
        <v>22.75</v>
      </c>
      <c r="BB177" s="37" t="n">
        <v>11.81</v>
      </c>
      <c r="BC177" s="37" t="n">
        <v>5.98</v>
      </c>
      <c r="BD177" s="37" t="n">
        <v>5.47</v>
      </c>
      <c r="BE177" s="37" t="n">
        <v>10.21</v>
      </c>
      <c r="BF177" s="37" t="n">
        <v>9.44</v>
      </c>
      <c r="BG177" s="37" t="n">
        <v>7.53</v>
      </c>
      <c r="BH177" s="37" t="n">
        <v>13.41</v>
      </c>
      <c r="BI177" s="37" t="n">
        <v>13.2</v>
      </c>
      <c r="BJ177" s="37" t="n">
        <v>11.5</v>
      </c>
      <c r="BK177" s="37" t="n">
        <v>11.81</v>
      </c>
      <c r="BL177" s="37" t="n">
        <v>12.07</v>
      </c>
      <c r="BM177" s="37" t="n">
        <v>10.99</v>
      </c>
      <c r="BN177" s="37" t="n">
        <v>7.53</v>
      </c>
      <c r="BO177" s="37" t="n">
        <v>13.41</v>
      </c>
      <c r="BP177" s="37" t="n">
        <v>13.2</v>
      </c>
      <c r="BQ177" s="37" t="n">
        <v>12.33</v>
      </c>
      <c r="BR177" s="37" t="n">
        <v>11.81</v>
      </c>
      <c r="BS177" s="37" t="n">
        <v>12.07</v>
      </c>
      <c r="BT177" s="37" t="n">
        <v>10.99</v>
      </c>
      <c r="BU177" s="37" t="n">
        <v>7.53</v>
      </c>
      <c r="BV177" s="37" t="n">
        <v>13.41</v>
      </c>
      <c r="BW177" s="37" t="n">
        <v>13.2</v>
      </c>
      <c r="BX177" s="37" t="n">
        <v>12.33</v>
      </c>
      <c r="BY177" s="37" t="n">
        <v>11.81</v>
      </c>
      <c r="BZ177" s="37" t="n">
        <v>12.07</v>
      </c>
      <c r="CA177" s="37" t="n">
        <v>10.99</v>
      </c>
      <c r="CB177" s="37" t="n">
        <v>7.53</v>
      </c>
      <c r="CC177" s="37" t="n">
        <v>1185.99</v>
      </c>
    </row>
    <row r="178" ht="15.75" customHeight="1" s="57">
      <c r="A178" s="7" t="inlineStr">
        <is>
          <t>NTB</t>
        </is>
      </c>
      <c r="B178" s="7" t="inlineStr">
        <is>
          <t>Khánh Hòa</t>
        </is>
      </c>
      <c r="C178" s="7" t="n">
        <v>20543000</v>
      </c>
      <c r="D178" s="7" t="inlineStr">
        <is>
          <t>(KHO) Ninh Hòa 2</t>
        </is>
      </c>
      <c r="E178" s="7" t="inlineStr">
        <is>
          <t>Shopee</t>
        </is>
      </c>
      <c r="F178" s="36" t="n">
        <v>184</v>
      </c>
      <c r="G178" s="36" t="n">
        <v>320</v>
      </c>
      <c r="H178" s="36" t="n">
        <v>256</v>
      </c>
      <c r="I178" s="36" t="n">
        <v>267</v>
      </c>
      <c r="J178" s="36" t="n">
        <v>247</v>
      </c>
      <c r="K178" s="28" t="n">
        <v>177</v>
      </c>
      <c r="L178" s="36" t="n">
        <v>153</v>
      </c>
      <c r="M178" s="36" t="n">
        <v>266</v>
      </c>
      <c r="N178" s="36" t="n">
        <v>272</v>
      </c>
      <c r="O178" s="36" t="n">
        <v>251</v>
      </c>
      <c r="P178" s="36" t="n">
        <v>215</v>
      </c>
      <c r="Q178" s="36" t="n">
        <v>199</v>
      </c>
      <c r="R178" s="28" t="n">
        <v>219</v>
      </c>
      <c r="S178" s="36" t="n">
        <v>142</v>
      </c>
      <c r="T178" s="36" t="n">
        <v>250</v>
      </c>
      <c r="U178" s="36" t="n">
        <v>384.74</v>
      </c>
      <c r="V178" s="36" t="n">
        <v>386.22</v>
      </c>
      <c r="W178" s="36" t="n">
        <v>380.69</v>
      </c>
      <c r="X178" s="36" t="n">
        <v>309.54</v>
      </c>
      <c r="Y178" s="28" t="n">
        <v>518.54</v>
      </c>
      <c r="Z178" s="36" t="n">
        <v>410.09</v>
      </c>
      <c r="AA178" s="36" t="n">
        <v>564.13</v>
      </c>
      <c r="AB178" s="36" t="n">
        <v>392.43</v>
      </c>
      <c r="AC178" s="36" t="n">
        <v>317.14</v>
      </c>
      <c r="AD178" s="36" t="n">
        <v>974.22</v>
      </c>
      <c r="AE178" s="36" t="n">
        <v>331.55</v>
      </c>
      <c r="AF178" s="28" t="n">
        <v>590.47</v>
      </c>
      <c r="AG178" s="36" t="n">
        <v>430.82</v>
      </c>
      <c r="AH178" s="37" t="n">
        <v>454.89</v>
      </c>
      <c r="AI178" s="37" t="n">
        <v>384.74</v>
      </c>
      <c r="AJ178" s="37" t="n">
        <v>386.22</v>
      </c>
      <c r="AK178" s="37" t="n">
        <v>513.61</v>
      </c>
      <c r="AL178" s="37" t="n">
        <v>555.54</v>
      </c>
      <c r="AM178" s="37" t="n">
        <v>518.54</v>
      </c>
      <c r="AN178" s="37" t="n">
        <v>410.09</v>
      </c>
      <c r="AO178" s="37" t="n">
        <v>454.89</v>
      </c>
      <c r="AP178" s="37" t="n">
        <v>479.96</v>
      </c>
      <c r="AQ178" s="37" t="n">
        <v>309.64</v>
      </c>
      <c r="AR178" s="37" t="n">
        <v>380.69</v>
      </c>
      <c r="AS178" s="37" t="n">
        <v>309.54</v>
      </c>
      <c r="AT178" s="37" t="n">
        <v>518.54</v>
      </c>
      <c r="AU178" s="37" t="n">
        <v>418.58</v>
      </c>
      <c r="AV178" s="37" t="n">
        <v>464.07</v>
      </c>
      <c r="AW178" s="37" t="n">
        <v>384.74</v>
      </c>
      <c r="AX178" s="37" t="n">
        <v>386.22</v>
      </c>
      <c r="AY178" s="37" t="n">
        <v>380.69</v>
      </c>
      <c r="AZ178" s="37" t="n">
        <v>309.54</v>
      </c>
      <c r="BA178" s="37" t="n">
        <v>399.34</v>
      </c>
      <c r="BB178" s="37" t="n">
        <v>348.13</v>
      </c>
      <c r="BC178" s="37" t="n">
        <v>177.32</v>
      </c>
      <c r="BD178" s="37" t="n">
        <v>315.17</v>
      </c>
      <c r="BE178" s="37" t="n">
        <v>367.96</v>
      </c>
      <c r="BF178" s="37" t="n">
        <v>362.73</v>
      </c>
      <c r="BG178" s="37" t="n">
        <v>300.96</v>
      </c>
      <c r="BH178" s="37" t="n">
        <v>494.07</v>
      </c>
      <c r="BI178" s="37" t="n">
        <v>321.39</v>
      </c>
      <c r="BJ178" s="37" t="n">
        <v>1383.03</v>
      </c>
      <c r="BK178" s="37" t="n">
        <v>392.04</v>
      </c>
      <c r="BL178" s="37" t="n">
        <v>385.72</v>
      </c>
      <c r="BM178" s="37" t="n">
        <v>362.73</v>
      </c>
      <c r="BN178" s="37" t="n">
        <v>294.94</v>
      </c>
      <c r="BO178" s="37" t="n">
        <v>494.07</v>
      </c>
      <c r="BP178" s="37" t="n">
        <v>527.03</v>
      </c>
      <c r="BQ178" s="37" t="n">
        <v>778.45</v>
      </c>
      <c r="BR178" s="37" t="n">
        <v>366.48</v>
      </c>
      <c r="BS178" s="37" t="n">
        <v>367.96</v>
      </c>
      <c r="BT178" s="37" t="n">
        <v>362.73</v>
      </c>
      <c r="BU178" s="37" t="n">
        <v>368.16</v>
      </c>
      <c r="BV178" s="37" t="n">
        <v>395.39</v>
      </c>
      <c r="BW178" s="37" t="n">
        <v>390.56</v>
      </c>
      <c r="BX178" s="37" t="n">
        <v>433.28</v>
      </c>
      <c r="BY178" s="37" t="n">
        <v>366.48</v>
      </c>
      <c r="BZ178" s="37" t="n">
        <v>375.56</v>
      </c>
      <c r="CA178" s="37" t="n">
        <v>369.84</v>
      </c>
      <c r="CB178" s="37" t="n">
        <v>294.94</v>
      </c>
      <c r="CC178" s="37" t="n">
        <v>29225.76999999999</v>
      </c>
    </row>
    <row r="179" ht="15.75" customHeight="1" s="57">
      <c r="A179" s="7" t="inlineStr">
        <is>
          <t>NTB</t>
        </is>
      </c>
      <c r="B179" s="7" t="inlineStr">
        <is>
          <t>Khánh Hòa</t>
        </is>
      </c>
      <c r="C179" s="7" t="n">
        <v>20543000</v>
      </c>
      <c r="D179" s="7" t="inlineStr">
        <is>
          <t>(KHO) Ninh Hòa 2</t>
        </is>
      </c>
      <c r="E179" s="7" t="inlineStr">
        <is>
          <t>Shopee-Bulky</t>
        </is>
      </c>
      <c r="F179" s="36" t="n">
        <v>28.18</v>
      </c>
      <c r="G179" s="36" t="n">
        <v>24.98</v>
      </c>
      <c r="H179" s="36" t="n">
        <v>43.55</v>
      </c>
      <c r="I179" s="36" t="n">
        <v>35.87</v>
      </c>
      <c r="J179" s="36" t="n">
        <v>18.57</v>
      </c>
      <c r="K179" s="28" t="n">
        <v>16.65</v>
      </c>
      <c r="L179" s="36" t="n">
        <v>13.45</v>
      </c>
      <c r="M179" s="36" t="n">
        <v>16.01</v>
      </c>
      <c r="N179" s="36" t="n">
        <v>24.98</v>
      </c>
      <c r="O179" s="36" t="n">
        <v>31.38</v>
      </c>
      <c r="P179" s="36" t="n">
        <v>31.38</v>
      </c>
      <c r="Q179" s="36" t="n">
        <v>27.54</v>
      </c>
      <c r="R179" s="28" t="n">
        <v>30.74</v>
      </c>
      <c r="S179" s="36" t="n">
        <v>37.15</v>
      </c>
      <c r="T179" s="36" t="n">
        <v>29.46</v>
      </c>
      <c r="U179" s="36" t="n">
        <v>27.78</v>
      </c>
      <c r="V179" s="36" t="n">
        <v>26.93</v>
      </c>
      <c r="W179" s="36" t="n">
        <v>37.58</v>
      </c>
      <c r="X179" s="36" t="n">
        <v>20.75</v>
      </c>
      <c r="Y179" s="28" t="n">
        <v>41</v>
      </c>
      <c r="Z179" s="36" t="n">
        <v>31.95</v>
      </c>
      <c r="AA179" s="36" t="n">
        <v>30.95</v>
      </c>
      <c r="AB179" s="36" t="n">
        <v>31.6</v>
      </c>
      <c r="AC179" s="36" t="n">
        <v>33.46</v>
      </c>
      <c r="AD179" s="36" t="n">
        <v>93</v>
      </c>
      <c r="AE179" s="36" t="n">
        <v>53.26</v>
      </c>
      <c r="AF179" s="28" t="n">
        <v>80.79000000000001</v>
      </c>
      <c r="AG179" s="36" t="n">
        <v>45.67</v>
      </c>
      <c r="AH179" s="37" t="n">
        <v>31.7</v>
      </c>
      <c r="AI179" s="37" t="n">
        <v>30.95</v>
      </c>
      <c r="AJ179" s="37" t="n">
        <v>30.5</v>
      </c>
      <c r="AK179" s="37" t="n">
        <v>69.18000000000001</v>
      </c>
      <c r="AL179" s="37" t="n">
        <v>34.97</v>
      </c>
      <c r="AM179" s="37" t="n">
        <v>50.34</v>
      </c>
      <c r="AN179" s="37" t="n">
        <v>31.5</v>
      </c>
      <c r="AO179" s="37" t="n">
        <v>30.8</v>
      </c>
      <c r="AP179" s="37" t="n">
        <v>42.4</v>
      </c>
      <c r="AQ179" s="37" t="n">
        <v>41.7</v>
      </c>
      <c r="AR179" s="37" t="n">
        <v>34.06</v>
      </c>
      <c r="AS179" s="37" t="n">
        <v>18.24</v>
      </c>
      <c r="AT179" s="37" t="n">
        <v>37.48</v>
      </c>
      <c r="AU179" s="37" t="n">
        <v>61.4</v>
      </c>
      <c r="AV179" s="37" t="n">
        <v>63.86</v>
      </c>
      <c r="AW179" s="37" t="n">
        <v>31.15</v>
      </c>
      <c r="AX179" s="37" t="n">
        <v>29.24</v>
      </c>
      <c r="AY179" s="37" t="n">
        <v>32.61</v>
      </c>
      <c r="AZ179" s="37" t="n">
        <v>17.48</v>
      </c>
      <c r="BA179" s="37" t="n">
        <v>34.17</v>
      </c>
      <c r="BB179" s="37" t="n">
        <v>32.05</v>
      </c>
      <c r="BC179" s="37" t="n">
        <v>11.05</v>
      </c>
      <c r="BD179" s="37" t="n">
        <v>27.23</v>
      </c>
      <c r="BE179" s="37" t="n">
        <v>33.81</v>
      </c>
      <c r="BF179" s="37" t="n">
        <v>29.54</v>
      </c>
      <c r="BG179" s="37" t="n">
        <v>23.71</v>
      </c>
      <c r="BH179" s="37" t="n">
        <v>43.76</v>
      </c>
      <c r="BI179" s="37" t="n">
        <v>37.23</v>
      </c>
      <c r="BJ179" s="37" t="n">
        <v>147.01</v>
      </c>
      <c r="BK179" s="37" t="n">
        <v>79.43000000000001</v>
      </c>
      <c r="BL179" s="37" t="n">
        <v>40.85</v>
      </c>
      <c r="BM179" s="37" t="n">
        <v>30.9</v>
      </c>
      <c r="BN179" s="37" t="n">
        <v>23.11</v>
      </c>
      <c r="BO179" s="37" t="n">
        <v>51.25</v>
      </c>
      <c r="BP179" s="37" t="n">
        <v>74.20999999999999</v>
      </c>
      <c r="BQ179" s="37" t="n">
        <v>54.21</v>
      </c>
      <c r="BR179" s="37" t="n">
        <v>35.42</v>
      </c>
      <c r="BS179" s="37" t="n">
        <v>33.81</v>
      </c>
      <c r="BT179" s="37" t="n">
        <v>29.54</v>
      </c>
      <c r="BU179" s="37" t="n">
        <v>34.32</v>
      </c>
      <c r="BV179" s="37" t="n">
        <v>46.37</v>
      </c>
      <c r="BW179" s="37" t="n">
        <v>37.23</v>
      </c>
      <c r="BX179" s="37" t="n">
        <v>36.07</v>
      </c>
      <c r="BY179" s="37" t="n">
        <v>35.42</v>
      </c>
      <c r="BZ179" s="37" t="n">
        <v>60.64</v>
      </c>
      <c r="CA179" s="37" t="n">
        <v>35.17</v>
      </c>
      <c r="CB179" s="37" t="n">
        <v>22.46</v>
      </c>
      <c r="CC179" s="37" t="n">
        <v>2864.14</v>
      </c>
    </row>
    <row r="180" ht="15.75" customHeight="1" s="57">
      <c r="A180" s="7" t="inlineStr">
        <is>
          <t>NTB</t>
        </is>
      </c>
      <c r="B180" s="7" t="inlineStr">
        <is>
          <t>Khánh Hòa</t>
        </is>
      </c>
      <c r="C180" s="7" t="n">
        <v>20543000</v>
      </c>
      <c r="D180" s="7" t="inlineStr">
        <is>
          <t>(KHO) Ninh Hòa 2</t>
        </is>
      </c>
      <c r="E180" s="7" t="inlineStr">
        <is>
          <t>Shopee-Bulky (10-15kg)</t>
        </is>
      </c>
      <c r="F180" s="36" t="n">
        <v>15.82</v>
      </c>
      <c r="G180" s="36" t="n">
        <v>14.02</v>
      </c>
      <c r="H180" s="36" t="n">
        <v>24.45</v>
      </c>
      <c r="I180" s="36" t="n">
        <v>20.13</v>
      </c>
      <c r="J180" s="36" t="n">
        <v>10.43</v>
      </c>
      <c r="K180" s="28" t="n">
        <v>9.35</v>
      </c>
      <c r="L180" s="36" t="n">
        <v>7.55</v>
      </c>
      <c r="M180" s="36" t="n">
        <v>8.99</v>
      </c>
      <c r="N180" s="36" t="n">
        <v>14.02</v>
      </c>
      <c r="O180" s="36" t="n">
        <v>17.62</v>
      </c>
      <c r="P180" s="36" t="n">
        <v>17.62</v>
      </c>
      <c r="Q180" s="36" t="n">
        <v>15.46</v>
      </c>
      <c r="R180" s="28" t="n">
        <v>17.26</v>
      </c>
      <c r="S180" s="36" t="n">
        <v>20.85</v>
      </c>
      <c r="T180" s="36" t="n">
        <v>16.54</v>
      </c>
      <c r="U180" s="36" t="n">
        <v>16.63</v>
      </c>
      <c r="V180" s="36" t="n">
        <v>15.93</v>
      </c>
      <c r="W180" s="36" t="n">
        <v>20.55</v>
      </c>
      <c r="X180" s="36" t="n">
        <v>11.56</v>
      </c>
      <c r="Y180" s="28" t="n">
        <v>23.41</v>
      </c>
      <c r="Z180" s="36" t="n">
        <v>18.29</v>
      </c>
      <c r="AA180" s="36" t="n">
        <v>17.23</v>
      </c>
      <c r="AB180" s="36" t="n">
        <v>18.04</v>
      </c>
      <c r="AC180" s="36" t="n">
        <v>18.69</v>
      </c>
      <c r="AD180" s="36" t="n">
        <v>69.69</v>
      </c>
      <c r="AE180" s="36" t="n">
        <v>28.94</v>
      </c>
      <c r="AF180" s="28" t="n">
        <v>42.71</v>
      </c>
      <c r="AG180" s="36" t="n">
        <v>25.47</v>
      </c>
      <c r="AH180" s="37" t="n">
        <v>18.04</v>
      </c>
      <c r="AI180" s="37" t="n">
        <v>17.43</v>
      </c>
      <c r="AJ180" s="37" t="n">
        <v>17.08</v>
      </c>
      <c r="AK180" s="37" t="n">
        <v>39.49</v>
      </c>
      <c r="AL180" s="37" t="n">
        <v>19.85</v>
      </c>
      <c r="AM180" s="37" t="n">
        <v>28.49</v>
      </c>
      <c r="AN180" s="37" t="n">
        <v>18.04</v>
      </c>
      <c r="AO180" s="37" t="n">
        <v>17.38</v>
      </c>
      <c r="AP180" s="37" t="n">
        <v>22.51</v>
      </c>
      <c r="AQ180" s="37" t="n">
        <v>23.66</v>
      </c>
      <c r="AR180" s="37" t="n">
        <v>18.44</v>
      </c>
      <c r="AS180" s="37" t="n">
        <v>10.15</v>
      </c>
      <c r="AT180" s="37" t="n">
        <v>21.2</v>
      </c>
      <c r="AU180" s="37" t="n">
        <v>35.07</v>
      </c>
      <c r="AV180" s="37" t="n">
        <v>36.38</v>
      </c>
      <c r="AW180" s="37" t="n">
        <v>17.64</v>
      </c>
      <c r="AX180" s="37" t="n">
        <v>16.48</v>
      </c>
      <c r="AY180" s="37" t="n">
        <v>17.74</v>
      </c>
      <c r="AZ180" s="37" t="n">
        <v>9.800000000000001</v>
      </c>
      <c r="BA180" s="37" t="n">
        <v>19.34</v>
      </c>
      <c r="BB180" s="37" t="n">
        <v>18.54</v>
      </c>
      <c r="BC180" s="37" t="n">
        <v>6.23</v>
      </c>
      <c r="BD180" s="37" t="n">
        <v>14.77</v>
      </c>
      <c r="BE180" s="37" t="n">
        <v>19.04</v>
      </c>
      <c r="BF180" s="37" t="n">
        <v>16.23</v>
      </c>
      <c r="BG180" s="37" t="n">
        <v>13.26</v>
      </c>
      <c r="BH180" s="37" t="n">
        <v>25.37</v>
      </c>
      <c r="BI180" s="37" t="n">
        <v>21.55</v>
      </c>
      <c r="BJ180" s="37" t="n">
        <v>95.56</v>
      </c>
      <c r="BK180" s="37" t="n">
        <v>44.57</v>
      </c>
      <c r="BL180" s="37" t="n">
        <v>23.71</v>
      </c>
      <c r="BM180" s="37" t="n">
        <v>17.23</v>
      </c>
      <c r="BN180" s="37" t="n">
        <v>13.01</v>
      </c>
      <c r="BO180" s="37" t="n">
        <v>28.54</v>
      </c>
      <c r="BP180" s="37" t="n">
        <v>41.6</v>
      </c>
      <c r="BQ180" s="37" t="n">
        <v>30.6</v>
      </c>
      <c r="BR180" s="37" t="n">
        <v>20.45</v>
      </c>
      <c r="BS180" s="37" t="n">
        <v>19.04</v>
      </c>
      <c r="BT180" s="37" t="n">
        <v>16.23</v>
      </c>
      <c r="BU180" s="37" t="n">
        <v>19.75</v>
      </c>
      <c r="BV180" s="37" t="n">
        <v>26.23</v>
      </c>
      <c r="BW180" s="37" t="n">
        <v>21.55</v>
      </c>
      <c r="BX180" s="37" t="n">
        <v>20.6</v>
      </c>
      <c r="BY180" s="37" t="n">
        <v>20.45</v>
      </c>
      <c r="BZ180" s="37" t="n">
        <v>33.76</v>
      </c>
      <c r="CA180" s="37" t="n">
        <v>20.15</v>
      </c>
      <c r="CB180" s="37" t="n">
        <v>12.71</v>
      </c>
      <c r="CC180" s="37" t="n">
        <v>1642.19</v>
      </c>
    </row>
    <row r="181" ht="15.75" customHeight="1" s="57">
      <c r="A181" s="7" t="inlineStr">
        <is>
          <t>NTB</t>
        </is>
      </c>
      <c r="B181" s="7" t="inlineStr">
        <is>
          <t>Khánh Hòa</t>
        </is>
      </c>
      <c r="C181" s="7" t="n">
        <v>20543000</v>
      </c>
      <c r="D181" s="7" t="inlineStr">
        <is>
          <t>(KHO) Ninh Hòa 2</t>
        </is>
      </c>
      <c r="E181" s="7" t="inlineStr">
        <is>
          <t>TTS</t>
        </is>
      </c>
      <c r="F181" s="36" t="n">
        <v>226</v>
      </c>
      <c r="G181" s="36" t="n">
        <v>350</v>
      </c>
      <c r="H181" s="36" t="n">
        <v>268</v>
      </c>
      <c r="I181" s="36" t="n">
        <v>248</v>
      </c>
      <c r="J181" s="36" t="n">
        <v>293</v>
      </c>
      <c r="K181" s="28" t="n">
        <v>255</v>
      </c>
      <c r="L181" s="36" t="n">
        <v>168</v>
      </c>
      <c r="M181" s="36" t="n">
        <v>254</v>
      </c>
      <c r="N181" s="36" t="n">
        <v>254</v>
      </c>
      <c r="O181" s="36" t="n">
        <v>263</v>
      </c>
      <c r="P181" s="36" t="n">
        <v>257</v>
      </c>
      <c r="Q181" s="36" t="n">
        <v>282</v>
      </c>
      <c r="R181" s="28" t="n">
        <v>247</v>
      </c>
      <c r="S181" s="36" t="n">
        <v>199</v>
      </c>
      <c r="T181" s="36" t="n">
        <v>287</v>
      </c>
      <c r="U181" s="36" t="n">
        <v>216.62</v>
      </c>
      <c r="V181" s="36" t="n">
        <v>212.55</v>
      </c>
      <c r="W181" s="36" t="n">
        <v>207.93</v>
      </c>
      <c r="X181" s="36" t="n">
        <v>167.63</v>
      </c>
      <c r="Y181" s="28" t="n">
        <v>244.26</v>
      </c>
      <c r="Z181" s="36" t="n">
        <v>207.06</v>
      </c>
      <c r="AA181" s="36" t="n">
        <v>230.4</v>
      </c>
      <c r="AB181" s="36" t="n">
        <v>255.88</v>
      </c>
      <c r="AC181" s="36" t="n">
        <v>269.83</v>
      </c>
      <c r="AD181" s="36" t="n">
        <v>297.46</v>
      </c>
      <c r="AE181" s="36" t="n">
        <v>194.95</v>
      </c>
      <c r="AF181" s="28" t="n">
        <v>251.5</v>
      </c>
      <c r="AG181" s="36" t="n">
        <v>211.76</v>
      </c>
      <c r="AH181" s="37" t="n">
        <v>209.53</v>
      </c>
      <c r="AI181" s="37" t="n">
        <v>239.56</v>
      </c>
      <c r="AJ181" s="37" t="n">
        <v>257.4</v>
      </c>
      <c r="AK181" s="37" t="n">
        <v>253.9</v>
      </c>
      <c r="AL181" s="37" t="n">
        <v>180.62</v>
      </c>
      <c r="AM181" s="37" t="n">
        <v>248</v>
      </c>
      <c r="AN181" s="37" t="n">
        <v>213.91</v>
      </c>
      <c r="AO181" s="37" t="n">
        <v>213.12</v>
      </c>
      <c r="AP181" s="37" t="n">
        <v>206.58</v>
      </c>
      <c r="AQ181" s="37" t="n">
        <v>208.41</v>
      </c>
      <c r="AR181" s="37" t="n">
        <v>204.75</v>
      </c>
      <c r="AS181" s="37" t="n">
        <v>168.18</v>
      </c>
      <c r="AT181" s="37" t="n">
        <v>268.88</v>
      </c>
      <c r="AU181" s="37" t="n">
        <v>243.22</v>
      </c>
      <c r="AV181" s="37" t="n">
        <v>216.15</v>
      </c>
      <c r="AW181" s="37" t="n">
        <v>204.19</v>
      </c>
      <c r="AX181" s="37" t="n">
        <v>203.08</v>
      </c>
      <c r="AY181" s="37" t="n">
        <v>202.12</v>
      </c>
      <c r="AZ181" s="37" t="n">
        <v>168.26</v>
      </c>
      <c r="BA181" s="37" t="n">
        <v>242.27</v>
      </c>
      <c r="BB181" s="37" t="n">
        <v>226.18</v>
      </c>
      <c r="BC181" s="37" t="n">
        <v>133.76</v>
      </c>
      <c r="BD181" s="37" t="n">
        <v>195.27</v>
      </c>
      <c r="BE181" s="37" t="n">
        <v>229.76</v>
      </c>
      <c r="BF181" s="37" t="n">
        <v>223.23</v>
      </c>
      <c r="BG181" s="37" t="n">
        <v>180.78</v>
      </c>
      <c r="BH181" s="37" t="n">
        <v>268.48</v>
      </c>
      <c r="BI181" s="37" t="n">
        <v>226.18</v>
      </c>
      <c r="BJ181" s="37" t="n">
        <v>226.3</v>
      </c>
      <c r="BK181" s="37" t="n">
        <v>229.45</v>
      </c>
      <c r="BL181" s="37" t="n">
        <v>229.76</v>
      </c>
      <c r="BM181" s="37" t="n">
        <v>223.23</v>
      </c>
      <c r="BN181" s="37" t="n">
        <v>180.78</v>
      </c>
      <c r="BO181" s="37" t="n">
        <v>268.48</v>
      </c>
      <c r="BP181" s="37" t="n">
        <v>226.18</v>
      </c>
      <c r="BQ181" s="37" t="n">
        <v>223.55</v>
      </c>
      <c r="BR181" s="37" t="n">
        <v>229.45</v>
      </c>
      <c r="BS181" s="37" t="n">
        <v>229.76</v>
      </c>
      <c r="BT181" s="37" t="n">
        <v>223.23</v>
      </c>
      <c r="BU181" s="37" t="n">
        <v>180.78</v>
      </c>
      <c r="BV181" s="37" t="n">
        <v>268.48</v>
      </c>
      <c r="BW181" s="37" t="n">
        <v>226.18</v>
      </c>
      <c r="BX181" s="37" t="n">
        <v>223.55</v>
      </c>
      <c r="BY181" s="37" t="n">
        <v>229.45</v>
      </c>
      <c r="BZ181" s="37" t="n">
        <v>229.76</v>
      </c>
      <c r="CA181" s="37" t="n">
        <v>223.23</v>
      </c>
      <c r="CB181" s="37" t="n">
        <v>180.78</v>
      </c>
      <c r="CC181" s="37" t="n">
        <v>17106.98</v>
      </c>
    </row>
    <row r="182" ht="15.75" customHeight="1" s="57">
      <c r="A182" s="7" t="inlineStr">
        <is>
          <t>NTB</t>
        </is>
      </c>
      <c r="B182" s="7" t="inlineStr">
        <is>
          <t>Khánh Hòa</t>
        </is>
      </c>
      <c r="C182" s="7" t="n">
        <v>20543000</v>
      </c>
      <c r="D182" s="7" t="inlineStr">
        <is>
          <t>(KHO) Ninh Hòa 2</t>
        </is>
      </c>
      <c r="E182" s="7" t="inlineStr">
        <is>
          <t>TTS-Bulky</t>
        </is>
      </c>
      <c r="F182" s="36" t="n">
        <v>3</v>
      </c>
      <c r="G182" s="36" t="n">
        <v>5</v>
      </c>
      <c r="H182" s="36" t="n">
        <v>5</v>
      </c>
      <c r="I182" s="36" t="n">
        <v>7</v>
      </c>
      <c r="J182" s="36" t="n">
        <v>7</v>
      </c>
      <c r="K182" s="28" t="n">
        <v>4</v>
      </c>
      <c r="L182" s="36" t="n">
        <v>3</v>
      </c>
      <c r="M182" s="36" t="n">
        <v>5</v>
      </c>
      <c r="N182" s="36" t="n">
        <v>1</v>
      </c>
      <c r="O182" s="36" t="n">
        <v>3</v>
      </c>
      <c r="P182" s="36" t="n">
        <v>1</v>
      </c>
      <c r="Q182" s="36" t="n">
        <v>1</v>
      </c>
      <c r="R182" s="28" t="n">
        <v>2</v>
      </c>
      <c r="S182" s="36" t="n">
        <v>3</v>
      </c>
      <c r="T182" s="36" t="n">
        <v>2</v>
      </c>
      <c r="U182" s="36" t="n">
        <v>14.07</v>
      </c>
      <c r="V182" s="36" t="n">
        <v>13.48</v>
      </c>
      <c r="W182" s="36" t="n">
        <v>6.78</v>
      </c>
      <c r="X182" s="36" t="n">
        <v>5.09</v>
      </c>
      <c r="Y182" s="28" t="n">
        <v>8.65</v>
      </c>
      <c r="Z182" s="36" t="n">
        <v>6.36</v>
      </c>
      <c r="AA182" s="36" t="n">
        <v>7.21</v>
      </c>
      <c r="AB182" s="36" t="n">
        <v>7.71</v>
      </c>
      <c r="AC182" s="36" t="n">
        <v>8.390000000000001</v>
      </c>
      <c r="AD182" s="36" t="n">
        <v>10.51</v>
      </c>
      <c r="AE182" s="36" t="n">
        <v>5.6</v>
      </c>
      <c r="AF182" s="28" t="n">
        <v>8.220000000000001</v>
      </c>
      <c r="AG182" s="36" t="n">
        <v>6.61</v>
      </c>
      <c r="AH182" s="37" t="n">
        <v>6.61</v>
      </c>
      <c r="AI182" s="37" t="n">
        <v>6.87</v>
      </c>
      <c r="AJ182" s="37" t="n">
        <v>7.54</v>
      </c>
      <c r="AK182" s="37" t="n">
        <v>7.29</v>
      </c>
      <c r="AL182" s="37" t="n">
        <v>5.17</v>
      </c>
      <c r="AM182" s="37" t="n">
        <v>8.140000000000001</v>
      </c>
      <c r="AN182" s="37" t="n">
        <v>6.78</v>
      </c>
      <c r="AO182" s="37" t="n">
        <v>6.61</v>
      </c>
      <c r="AP182" s="37" t="n">
        <v>6.7</v>
      </c>
      <c r="AQ182" s="37" t="n">
        <v>6.7</v>
      </c>
      <c r="AR182" s="37" t="n">
        <v>6.7</v>
      </c>
      <c r="AS182" s="37" t="n">
        <v>4.92</v>
      </c>
      <c r="AT182" s="37" t="n">
        <v>8.56</v>
      </c>
      <c r="AU182" s="37" t="n">
        <v>7.71</v>
      </c>
      <c r="AV182" s="37" t="n">
        <v>6.87</v>
      </c>
      <c r="AW182" s="37" t="n">
        <v>6.61</v>
      </c>
      <c r="AX182" s="37" t="n">
        <v>6.61</v>
      </c>
      <c r="AY182" s="37" t="n">
        <v>6.7</v>
      </c>
      <c r="AZ182" s="37" t="n">
        <v>4.92</v>
      </c>
      <c r="BA182" s="37" t="n">
        <v>7.54</v>
      </c>
      <c r="BB182" s="37" t="n">
        <v>1.78</v>
      </c>
      <c r="BC182" s="37" t="n">
        <v>1.1</v>
      </c>
      <c r="BD182" s="37" t="n">
        <v>1.27</v>
      </c>
      <c r="BE182" s="37" t="n">
        <v>1.78</v>
      </c>
      <c r="BF182" s="37" t="n">
        <v>1.87</v>
      </c>
      <c r="BG182" s="37" t="n">
        <v>1.27</v>
      </c>
      <c r="BH182" s="37" t="n">
        <v>2.37</v>
      </c>
      <c r="BI182" s="37" t="n">
        <v>1.95</v>
      </c>
      <c r="BJ182" s="37" t="n">
        <v>2.46</v>
      </c>
      <c r="BK182" s="37" t="n">
        <v>1.87</v>
      </c>
      <c r="BL182" s="37" t="n">
        <v>1.78</v>
      </c>
      <c r="BM182" s="37" t="n">
        <v>1.87</v>
      </c>
      <c r="BN182" s="37" t="n">
        <v>1.27</v>
      </c>
      <c r="BO182" s="37" t="n">
        <v>2.88</v>
      </c>
      <c r="BP182" s="37" t="n">
        <v>2.2</v>
      </c>
      <c r="BQ182" s="37" t="n">
        <v>1.87</v>
      </c>
      <c r="BR182" s="37" t="n">
        <v>1.87</v>
      </c>
      <c r="BS182" s="37" t="n">
        <v>1.78</v>
      </c>
      <c r="BT182" s="37" t="n">
        <v>1.87</v>
      </c>
      <c r="BU182" s="37" t="n">
        <v>1.27</v>
      </c>
      <c r="BV182" s="37" t="n">
        <v>2.2</v>
      </c>
      <c r="BW182" s="37" t="n">
        <v>1.95</v>
      </c>
      <c r="BX182" s="37" t="n">
        <v>1.87</v>
      </c>
      <c r="BY182" s="37" t="n">
        <v>1.87</v>
      </c>
      <c r="BZ182" s="37" t="n">
        <v>1.78</v>
      </c>
      <c r="CA182" s="37" t="n">
        <v>1.87</v>
      </c>
      <c r="CB182" s="37" t="n">
        <v>1.27</v>
      </c>
      <c r="CC182" s="37" t="n">
        <v>345.4199999999998</v>
      </c>
    </row>
    <row r="183" ht="15.75" customHeight="1" s="57">
      <c r="A183" s="7" t="inlineStr">
        <is>
          <t>NTB</t>
        </is>
      </c>
      <c r="B183" s="7" t="inlineStr">
        <is>
          <t>Khánh Hòa</t>
        </is>
      </c>
      <c r="C183" s="7" t="n">
        <v>20558000</v>
      </c>
      <c r="D183" s="7" t="inlineStr">
        <is>
          <t>(KHO) Khánh Vĩnh</t>
        </is>
      </c>
      <c r="E183" s="7" t="inlineStr">
        <is>
          <t>SME</t>
        </is>
      </c>
      <c r="F183" s="36" t="n">
        <v>67</v>
      </c>
      <c r="G183" s="36" t="n">
        <v>120</v>
      </c>
      <c r="H183" s="36" t="n">
        <v>107</v>
      </c>
      <c r="I183" s="36" t="n">
        <v>90</v>
      </c>
      <c r="J183" s="36" t="n">
        <v>80</v>
      </c>
      <c r="K183" s="28" t="n">
        <v>78</v>
      </c>
      <c r="L183" s="36" t="n">
        <v>63</v>
      </c>
      <c r="M183" s="36" t="n">
        <v>72</v>
      </c>
      <c r="N183" s="36" t="n">
        <v>92</v>
      </c>
      <c r="O183" s="36" t="n">
        <v>100</v>
      </c>
      <c r="P183" s="36" t="n">
        <v>56</v>
      </c>
      <c r="Q183" s="36" t="n">
        <v>79</v>
      </c>
      <c r="R183" s="28" t="n">
        <v>84</v>
      </c>
      <c r="S183" s="36" t="n">
        <v>75</v>
      </c>
      <c r="T183" s="36" t="n">
        <v>77</v>
      </c>
      <c r="U183" s="36" t="n">
        <v>100.12</v>
      </c>
      <c r="V183" s="36" t="n">
        <v>103.65</v>
      </c>
      <c r="W183" s="36" t="n">
        <v>100.8</v>
      </c>
      <c r="X183" s="36" t="n">
        <v>82.5</v>
      </c>
      <c r="Y183" s="28" t="n">
        <v>111.69</v>
      </c>
      <c r="Z183" s="36" t="n">
        <v>102.88</v>
      </c>
      <c r="AA183" s="36" t="n">
        <v>100.34</v>
      </c>
      <c r="AB183" s="36" t="n">
        <v>100.12</v>
      </c>
      <c r="AC183" s="36" t="n">
        <v>103.65</v>
      </c>
      <c r="AD183" s="36" t="n">
        <v>101.81</v>
      </c>
      <c r="AE183" s="36" t="n">
        <v>82.5</v>
      </c>
      <c r="AF183" s="28" t="n">
        <v>111.69</v>
      </c>
      <c r="AG183" s="36" t="n">
        <v>102.88</v>
      </c>
      <c r="AH183" s="37" t="n">
        <v>100.34</v>
      </c>
      <c r="AI183" s="37" t="n">
        <v>100.12</v>
      </c>
      <c r="AJ183" s="37" t="n">
        <v>103.65</v>
      </c>
      <c r="AK183" s="37" t="n">
        <v>100.8</v>
      </c>
      <c r="AL183" s="37" t="n">
        <v>82.5</v>
      </c>
      <c r="AM183" s="37" t="n">
        <v>111.69</v>
      </c>
      <c r="AN183" s="37" t="n">
        <v>102.88</v>
      </c>
      <c r="AO183" s="37" t="n">
        <v>100.34</v>
      </c>
      <c r="AP183" s="37" t="n">
        <v>100.12</v>
      </c>
      <c r="AQ183" s="37" t="n">
        <v>103.65</v>
      </c>
      <c r="AR183" s="37" t="n">
        <v>100.8</v>
      </c>
      <c r="AS183" s="37" t="n">
        <v>82.5</v>
      </c>
      <c r="AT183" s="37" t="n">
        <v>111.69</v>
      </c>
      <c r="AU183" s="37" t="n">
        <v>102.88</v>
      </c>
      <c r="AV183" s="37" t="n">
        <v>100.34</v>
      </c>
      <c r="AW183" s="37" t="n">
        <v>100.12</v>
      </c>
      <c r="AX183" s="37" t="n">
        <v>103.65</v>
      </c>
      <c r="AY183" s="37" t="n">
        <v>100.8</v>
      </c>
      <c r="AZ183" s="37" t="n">
        <v>82.5</v>
      </c>
      <c r="BA183" s="37" t="n">
        <v>100.52</v>
      </c>
      <c r="BB183" s="37" t="n">
        <v>90.21000000000001</v>
      </c>
      <c r="BC183" s="37" t="n">
        <v>57.01</v>
      </c>
      <c r="BD183" s="37" t="n">
        <v>56.78</v>
      </c>
      <c r="BE183" s="37" t="n">
        <v>96.27</v>
      </c>
      <c r="BF183" s="37" t="n">
        <v>93.62</v>
      </c>
      <c r="BG183" s="37" t="n">
        <v>85.01000000000001</v>
      </c>
      <c r="BH183" s="37" t="n">
        <v>115.25</v>
      </c>
      <c r="BI183" s="37" t="n">
        <v>106.13</v>
      </c>
      <c r="BJ183" s="37" t="n">
        <v>104.48</v>
      </c>
      <c r="BK183" s="37" t="n">
        <v>103.29</v>
      </c>
      <c r="BL183" s="37" t="n">
        <v>106.91</v>
      </c>
      <c r="BM183" s="37" t="n">
        <v>103.99</v>
      </c>
      <c r="BN183" s="37" t="n">
        <v>85.01000000000001</v>
      </c>
      <c r="BO183" s="37" t="n">
        <v>115.25</v>
      </c>
      <c r="BP183" s="37" t="n">
        <v>106.13</v>
      </c>
      <c r="BQ183" s="37" t="n">
        <v>103.48</v>
      </c>
      <c r="BR183" s="37" t="n">
        <v>103.29</v>
      </c>
      <c r="BS183" s="37" t="n">
        <v>106.91</v>
      </c>
      <c r="BT183" s="37" t="n">
        <v>103.99</v>
      </c>
      <c r="BU183" s="37" t="n">
        <v>85.01000000000001</v>
      </c>
      <c r="BV183" s="37" t="n">
        <v>115.25</v>
      </c>
      <c r="BW183" s="37" t="n">
        <v>106.13</v>
      </c>
      <c r="BX183" s="37" t="n">
        <v>103.48</v>
      </c>
      <c r="BY183" s="37" t="n">
        <v>103.29</v>
      </c>
      <c r="BZ183" s="37" t="n">
        <v>106.91</v>
      </c>
      <c r="CA183" s="37" t="n">
        <v>103.99</v>
      </c>
      <c r="CB183" s="37" t="n">
        <v>85.01000000000001</v>
      </c>
      <c r="CC183" s="37" t="n">
        <v>7188.6</v>
      </c>
    </row>
    <row r="184" ht="15.75" customHeight="1" s="57">
      <c r="A184" s="7" t="inlineStr">
        <is>
          <t>NTB</t>
        </is>
      </c>
      <c r="B184" s="7" t="inlineStr">
        <is>
          <t>Khánh Hòa</t>
        </is>
      </c>
      <c r="C184" s="7" t="n">
        <v>20558000</v>
      </c>
      <c r="D184" s="7" t="inlineStr">
        <is>
          <t>(KHO) Khánh Vĩnh</t>
        </is>
      </c>
      <c r="E184" s="7" t="inlineStr">
        <is>
          <t>SME-Bulky</t>
        </is>
      </c>
      <c r="F184" s="36" t="n">
        <v>8</v>
      </c>
      <c r="G184" s="36" t="n">
        <v>4</v>
      </c>
      <c r="H184" s="36" t="n">
        <v>7</v>
      </c>
      <c r="I184" s="36" t="n">
        <v>2</v>
      </c>
      <c r="J184" s="36" t="n">
        <v>2</v>
      </c>
      <c r="K184" s="28" t="n">
        <v>5</v>
      </c>
      <c r="L184" s="36" t="n">
        <v>5</v>
      </c>
      <c r="M184" s="36" t="n">
        <v>6</v>
      </c>
      <c r="N184" s="36" t="n">
        <v>6</v>
      </c>
      <c r="O184" s="36" t="n">
        <v>2</v>
      </c>
      <c r="P184" s="36" t="n">
        <v>2</v>
      </c>
      <c r="Q184" s="36" t="n">
        <v>4</v>
      </c>
      <c r="R184" s="28" t="n">
        <v>4</v>
      </c>
      <c r="S184" s="36" t="n">
        <v>8</v>
      </c>
      <c r="T184" s="36" t="n">
        <v>6</v>
      </c>
      <c r="U184" s="36" t="n">
        <v>4.75</v>
      </c>
      <c r="V184" s="36" t="n">
        <v>4.82</v>
      </c>
      <c r="W184" s="36" t="n">
        <v>4.47</v>
      </c>
      <c r="X184" s="36" t="n">
        <v>2.98</v>
      </c>
      <c r="Y184" s="28" t="n">
        <v>5.46</v>
      </c>
      <c r="Z184" s="36" t="n">
        <v>5.26</v>
      </c>
      <c r="AA184" s="36" t="n">
        <v>5</v>
      </c>
      <c r="AB184" s="36" t="n">
        <v>4.75</v>
      </c>
      <c r="AC184" s="36" t="n">
        <v>4.82</v>
      </c>
      <c r="AD184" s="36" t="n">
        <v>4.22</v>
      </c>
      <c r="AE184" s="36" t="n">
        <v>2.98</v>
      </c>
      <c r="AF184" s="28" t="n">
        <v>5.46</v>
      </c>
      <c r="AG184" s="36" t="n">
        <v>5.26</v>
      </c>
      <c r="AH184" s="37" t="n">
        <v>5</v>
      </c>
      <c r="AI184" s="37" t="n">
        <v>4.75</v>
      </c>
      <c r="AJ184" s="37" t="n">
        <v>4.82</v>
      </c>
      <c r="AK184" s="37" t="n">
        <v>4.47</v>
      </c>
      <c r="AL184" s="37" t="n">
        <v>2.98</v>
      </c>
      <c r="AM184" s="37" t="n">
        <v>5.46</v>
      </c>
      <c r="AN184" s="37" t="n">
        <v>5.26</v>
      </c>
      <c r="AO184" s="37" t="n">
        <v>5</v>
      </c>
      <c r="AP184" s="37" t="n">
        <v>4.75</v>
      </c>
      <c r="AQ184" s="37" t="n">
        <v>4.82</v>
      </c>
      <c r="AR184" s="37" t="n">
        <v>4.47</v>
      </c>
      <c r="AS184" s="37" t="n">
        <v>2.98</v>
      </c>
      <c r="AT184" s="37" t="n">
        <v>5.46</v>
      </c>
      <c r="AU184" s="37" t="n">
        <v>5.26</v>
      </c>
      <c r="AV184" s="37" t="n">
        <v>5</v>
      </c>
      <c r="AW184" s="37" t="n">
        <v>4.75</v>
      </c>
      <c r="AX184" s="37" t="n">
        <v>4.82</v>
      </c>
      <c r="AY184" s="37" t="n">
        <v>4.47</v>
      </c>
      <c r="AZ184" s="37" t="n">
        <v>2.98</v>
      </c>
      <c r="BA184" s="37" t="n">
        <v>5.43</v>
      </c>
      <c r="BB184" s="37" t="n">
        <v>2.82</v>
      </c>
      <c r="BC184" s="37" t="n">
        <v>1.43</v>
      </c>
      <c r="BD184" s="37" t="n">
        <v>1.31</v>
      </c>
      <c r="BE184" s="37" t="n">
        <v>2.44</v>
      </c>
      <c r="BF184" s="37" t="n">
        <v>2.25</v>
      </c>
      <c r="BG184" s="37" t="n">
        <v>1.8</v>
      </c>
      <c r="BH184" s="37" t="n">
        <v>3.2</v>
      </c>
      <c r="BI184" s="37" t="n">
        <v>3.15</v>
      </c>
      <c r="BJ184" s="37" t="n">
        <v>2.75</v>
      </c>
      <c r="BK184" s="37" t="n">
        <v>2.82</v>
      </c>
      <c r="BL184" s="37" t="n">
        <v>2.88</v>
      </c>
      <c r="BM184" s="37" t="n">
        <v>2.62</v>
      </c>
      <c r="BN184" s="37" t="n">
        <v>1.8</v>
      </c>
      <c r="BO184" s="37" t="n">
        <v>3.2</v>
      </c>
      <c r="BP184" s="37" t="n">
        <v>3.15</v>
      </c>
      <c r="BQ184" s="37" t="n">
        <v>2.94</v>
      </c>
      <c r="BR184" s="37" t="n">
        <v>2.82</v>
      </c>
      <c r="BS184" s="37" t="n">
        <v>2.88</v>
      </c>
      <c r="BT184" s="37" t="n">
        <v>2.62</v>
      </c>
      <c r="BU184" s="37" t="n">
        <v>1.8</v>
      </c>
      <c r="BV184" s="37" t="n">
        <v>3.2</v>
      </c>
      <c r="BW184" s="37" t="n">
        <v>3.15</v>
      </c>
      <c r="BX184" s="37" t="n">
        <v>2.94</v>
      </c>
      <c r="BY184" s="37" t="n">
        <v>2.82</v>
      </c>
      <c r="BZ184" s="37" t="n">
        <v>2.88</v>
      </c>
      <c r="CA184" s="37" t="n">
        <v>2.62</v>
      </c>
      <c r="CB184" s="37" t="n">
        <v>1.8</v>
      </c>
      <c r="CC184" s="37" t="n">
        <v>294.2499999999999</v>
      </c>
    </row>
    <row r="185" ht="15.75" customHeight="1" s="57">
      <c r="A185" s="7" t="inlineStr">
        <is>
          <t>NTB</t>
        </is>
      </c>
      <c r="B185" s="7" t="inlineStr">
        <is>
          <t>Khánh Hòa</t>
        </is>
      </c>
      <c r="C185" s="7" t="n">
        <v>20558000</v>
      </c>
      <c r="D185" s="7" t="inlineStr">
        <is>
          <t>(KHO) Khánh Vĩnh</t>
        </is>
      </c>
      <c r="E185" s="7" t="inlineStr">
        <is>
          <t>Shopee</t>
        </is>
      </c>
      <c r="F185" s="36" t="n">
        <v>45</v>
      </c>
      <c r="G185" s="36" t="n">
        <v>68</v>
      </c>
      <c r="H185" s="36" t="n">
        <v>45</v>
      </c>
      <c r="I185" s="36" t="n">
        <v>63</v>
      </c>
      <c r="J185" s="36" t="n">
        <v>34</v>
      </c>
      <c r="K185" s="28" t="n">
        <v>43</v>
      </c>
      <c r="L185" s="36" t="n">
        <v>31</v>
      </c>
      <c r="M185" s="36" t="n">
        <v>49</v>
      </c>
      <c r="N185" s="36" t="n">
        <v>46</v>
      </c>
      <c r="O185" s="36" t="n">
        <v>57</v>
      </c>
      <c r="P185" s="36" t="n">
        <v>40</v>
      </c>
      <c r="Q185" s="36" t="n">
        <v>42</v>
      </c>
      <c r="R185" s="28" t="n">
        <v>44</v>
      </c>
      <c r="S185" s="36" t="n">
        <v>35</v>
      </c>
      <c r="T185" s="36" t="n">
        <v>47</v>
      </c>
      <c r="U185" s="36" t="n">
        <v>77.34999999999999</v>
      </c>
      <c r="V185" s="36" t="n">
        <v>77.64</v>
      </c>
      <c r="W185" s="36" t="n">
        <v>76.53</v>
      </c>
      <c r="X185" s="36" t="n">
        <v>62.23</v>
      </c>
      <c r="Y185" s="28" t="n">
        <v>104.25</v>
      </c>
      <c r="Z185" s="36" t="n">
        <v>82.44</v>
      </c>
      <c r="AA185" s="36" t="n">
        <v>113.41</v>
      </c>
      <c r="AB185" s="36" t="n">
        <v>78.89</v>
      </c>
      <c r="AC185" s="36" t="n">
        <v>63.76</v>
      </c>
      <c r="AD185" s="36" t="n">
        <v>195.86</v>
      </c>
      <c r="AE185" s="36" t="n">
        <v>66.65000000000001</v>
      </c>
      <c r="AF185" s="28" t="n">
        <v>118.71</v>
      </c>
      <c r="AG185" s="36" t="n">
        <v>86.61</v>
      </c>
      <c r="AH185" s="37" t="n">
        <v>91.45</v>
      </c>
      <c r="AI185" s="37" t="n">
        <v>77.34999999999999</v>
      </c>
      <c r="AJ185" s="37" t="n">
        <v>77.64</v>
      </c>
      <c r="AK185" s="37" t="n">
        <v>103.25</v>
      </c>
      <c r="AL185" s="37" t="n">
        <v>111.68</v>
      </c>
      <c r="AM185" s="37" t="n">
        <v>104.25</v>
      </c>
      <c r="AN185" s="37" t="n">
        <v>82.44</v>
      </c>
      <c r="AO185" s="37" t="n">
        <v>91.45</v>
      </c>
      <c r="AP185" s="37" t="n">
        <v>96.48999999999999</v>
      </c>
      <c r="AQ185" s="37" t="n">
        <v>62.25</v>
      </c>
      <c r="AR185" s="37" t="n">
        <v>76.53</v>
      </c>
      <c r="AS185" s="37" t="n">
        <v>62.23</v>
      </c>
      <c r="AT185" s="37" t="n">
        <v>104.25</v>
      </c>
      <c r="AU185" s="37" t="n">
        <v>84.15000000000001</v>
      </c>
      <c r="AV185" s="37" t="n">
        <v>93.3</v>
      </c>
      <c r="AW185" s="37" t="n">
        <v>77.34999999999999</v>
      </c>
      <c r="AX185" s="37" t="n">
        <v>77.64</v>
      </c>
      <c r="AY185" s="37" t="n">
        <v>76.53</v>
      </c>
      <c r="AZ185" s="37" t="n">
        <v>62.23</v>
      </c>
      <c r="BA185" s="37" t="n">
        <v>80.28</v>
      </c>
      <c r="BB185" s="37" t="n">
        <v>69.98999999999999</v>
      </c>
      <c r="BC185" s="37" t="n">
        <v>35.65</v>
      </c>
      <c r="BD185" s="37" t="n">
        <v>63.36</v>
      </c>
      <c r="BE185" s="37" t="n">
        <v>73.97</v>
      </c>
      <c r="BF185" s="37" t="n">
        <v>72.92</v>
      </c>
      <c r="BG185" s="37" t="n">
        <v>60.5</v>
      </c>
      <c r="BH185" s="37" t="n">
        <v>99.33</v>
      </c>
      <c r="BI185" s="37" t="n">
        <v>64.61</v>
      </c>
      <c r="BJ185" s="37" t="n">
        <v>278.04</v>
      </c>
      <c r="BK185" s="37" t="n">
        <v>78.81</v>
      </c>
      <c r="BL185" s="37" t="n">
        <v>77.54000000000001</v>
      </c>
      <c r="BM185" s="37" t="n">
        <v>72.92</v>
      </c>
      <c r="BN185" s="37" t="n">
        <v>59.29</v>
      </c>
      <c r="BO185" s="37" t="n">
        <v>99.33</v>
      </c>
      <c r="BP185" s="37" t="n">
        <v>105.95</v>
      </c>
      <c r="BQ185" s="37" t="n">
        <v>156.5</v>
      </c>
      <c r="BR185" s="37" t="n">
        <v>73.68000000000001</v>
      </c>
      <c r="BS185" s="37" t="n">
        <v>73.97</v>
      </c>
      <c r="BT185" s="37" t="n">
        <v>72.92</v>
      </c>
      <c r="BU185" s="37" t="n">
        <v>74.01000000000001</v>
      </c>
      <c r="BV185" s="37" t="n">
        <v>79.48999999999999</v>
      </c>
      <c r="BW185" s="37" t="n">
        <v>78.52</v>
      </c>
      <c r="BX185" s="37" t="n">
        <v>87.11</v>
      </c>
      <c r="BY185" s="37" t="n">
        <v>73.68000000000001</v>
      </c>
      <c r="BZ185" s="37" t="n">
        <v>75.5</v>
      </c>
      <c r="CA185" s="37" t="n">
        <v>74.34999999999999</v>
      </c>
      <c r="CB185" s="37" t="n">
        <v>59.29</v>
      </c>
      <c r="CC185" s="37" t="n">
        <v>5877.300000000001</v>
      </c>
    </row>
    <row r="186" ht="15.75" customHeight="1" s="57">
      <c r="A186" s="7" t="inlineStr">
        <is>
          <t>NTB</t>
        </is>
      </c>
      <c r="B186" s="7" t="inlineStr">
        <is>
          <t>Khánh Hòa</t>
        </is>
      </c>
      <c r="C186" s="7" t="n">
        <v>20558000</v>
      </c>
      <c r="D186" s="7" t="inlineStr">
        <is>
          <t>(KHO) Khánh Vĩnh</t>
        </is>
      </c>
      <c r="E186" s="7" t="inlineStr">
        <is>
          <t>Shopee-Bulky</t>
        </is>
      </c>
      <c r="F186" s="36" t="n">
        <v>7.05</v>
      </c>
      <c r="G186" s="36" t="n">
        <v>6.4</v>
      </c>
      <c r="H186" s="36" t="n">
        <v>10.25</v>
      </c>
      <c r="I186" s="36" t="n">
        <v>4.48</v>
      </c>
      <c r="J186" s="36" t="n">
        <v>2.56</v>
      </c>
      <c r="K186" s="28" t="n">
        <v>3.84</v>
      </c>
      <c r="L186" s="36" t="n">
        <v>5.12</v>
      </c>
      <c r="M186" s="36" t="n">
        <v>8.970000000000001</v>
      </c>
      <c r="N186" s="36" t="n">
        <v>7.05</v>
      </c>
      <c r="O186" s="36" t="n">
        <v>5.76</v>
      </c>
      <c r="P186" s="36" t="n">
        <v>7.05</v>
      </c>
      <c r="Q186" s="36" t="n">
        <v>2.56</v>
      </c>
      <c r="R186" s="28" t="n">
        <v>12.17</v>
      </c>
      <c r="S186" s="36" t="n">
        <v>8.970000000000001</v>
      </c>
      <c r="T186" s="36" t="n">
        <v>8.970000000000001</v>
      </c>
      <c r="U186" s="36" t="n">
        <v>6.88</v>
      </c>
      <c r="V186" s="36" t="n">
        <v>6.67</v>
      </c>
      <c r="W186" s="36" t="n">
        <v>9.31</v>
      </c>
      <c r="X186" s="36" t="n">
        <v>5.14</v>
      </c>
      <c r="Y186" s="28" t="n">
        <v>10.16</v>
      </c>
      <c r="Z186" s="36" t="n">
        <v>7.92</v>
      </c>
      <c r="AA186" s="36" t="n">
        <v>7.67</v>
      </c>
      <c r="AB186" s="36" t="n">
        <v>7.83</v>
      </c>
      <c r="AC186" s="36" t="n">
        <v>8.289999999999999</v>
      </c>
      <c r="AD186" s="36" t="n">
        <v>23.04</v>
      </c>
      <c r="AE186" s="36" t="n">
        <v>13.19</v>
      </c>
      <c r="AF186" s="28" t="n">
        <v>20.01</v>
      </c>
      <c r="AG186" s="36" t="n">
        <v>11.31</v>
      </c>
      <c r="AH186" s="37" t="n">
        <v>7.85</v>
      </c>
      <c r="AI186" s="37" t="n">
        <v>7.67</v>
      </c>
      <c r="AJ186" s="37" t="n">
        <v>7.56</v>
      </c>
      <c r="AK186" s="37" t="n">
        <v>17.14</v>
      </c>
      <c r="AL186" s="37" t="n">
        <v>8.66</v>
      </c>
      <c r="AM186" s="37" t="n">
        <v>12.47</v>
      </c>
      <c r="AN186" s="37" t="n">
        <v>7.8</v>
      </c>
      <c r="AO186" s="37" t="n">
        <v>7.63</v>
      </c>
      <c r="AP186" s="37" t="n">
        <v>10.51</v>
      </c>
      <c r="AQ186" s="37" t="n">
        <v>10.33</v>
      </c>
      <c r="AR186" s="37" t="n">
        <v>8.44</v>
      </c>
      <c r="AS186" s="37" t="n">
        <v>4.52</v>
      </c>
      <c r="AT186" s="37" t="n">
        <v>9.289999999999999</v>
      </c>
      <c r="AU186" s="37" t="n">
        <v>15.21</v>
      </c>
      <c r="AV186" s="37" t="n">
        <v>15.82</v>
      </c>
      <c r="AW186" s="37" t="n">
        <v>7.72</v>
      </c>
      <c r="AX186" s="37" t="n">
        <v>7.24</v>
      </c>
      <c r="AY186" s="37" t="n">
        <v>8.08</v>
      </c>
      <c r="AZ186" s="37" t="n">
        <v>4.33</v>
      </c>
      <c r="BA186" s="37" t="n">
        <v>8.460000000000001</v>
      </c>
      <c r="BB186" s="37" t="n">
        <v>7.94</v>
      </c>
      <c r="BC186" s="37" t="n">
        <v>2.74</v>
      </c>
      <c r="BD186" s="37" t="n">
        <v>6.75</v>
      </c>
      <c r="BE186" s="37" t="n">
        <v>8.380000000000001</v>
      </c>
      <c r="BF186" s="37" t="n">
        <v>7.32</v>
      </c>
      <c r="BG186" s="37" t="n">
        <v>5.87</v>
      </c>
      <c r="BH186" s="37" t="n">
        <v>10.84</v>
      </c>
      <c r="BI186" s="37" t="n">
        <v>9.220000000000001</v>
      </c>
      <c r="BJ186" s="37" t="n">
        <v>36.42</v>
      </c>
      <c r="BK186" s="37" t="n">
        <v>19.68</v>
      </c>
      <c r="BL186" s="37" t="n">
        <v>10.12</v>
      </c>
      <c r="BM186" s="37" t="n">
        <v>7.65</v>
      </c>
      <c r="BN186" s="37" t="n">
        <v>5.73</v>
      </c>
      <c r="BO186" s="37" t="n">
        <v>12.7</v>
      </c>
      <c r="BP186" s="37" t="n">
        <v>18.38</v>
      </c>
      <c r="BQ186" s="37" t="n">
        <v>13.43</v>
      </c>
      <c r="BR186" s="37" t="n">
        <v>8.779999999999999</v>
      </c>
      <c r="BS186" s="37" t="n">
        <v>8.380000000000001</v>
      </c>
      <c r="BT186" s="37" t="n">
        <v>7.32</v>
      </c>
      <c r="BU186" s="37" t="n">
        <v>8.5</v>
      </c>
      <c r="BV186" s="37" t="n">
        <v>11.49</v>
      </c>
      <c r="BW186" s="37" t="n">
        <v>9.220000000000001</v>
      </c>
      <c r="BX186" s="37" t="n">
        <v>8.94</v>
      </c>
      <c r="BY186" s="37" t="n">
        <v>8.779999999999999</v>
      </c>
      <c r="BZ186" s="37" t="n">
        <v>15.02</v>
      </c>
      <c r="CA186" s="37" t="n">
        <v>8.710000000000001</v>
      </c>
      <c r="CB186" s="37" t="n">
        <v>5.56</v>
      </c>
      <c r="CC186" s="37" t="n">
        <v>709.2199999999999</v>
      </c>
    </row>
    <row r="187" ht="15.75" customHeight="1" s="57">
      <c r="A187" s="7" t="inlineStr">
        <is>
          <t>NTB</t>
        </is>
      </c>
      <c r="B187" s="7" t="inlineStr">
        <is>
          <t>Khánh Hòa</t>
        </is>
      </c>
      <c r="C187" s="7" t="n">
        <v>20558000</v>
      </c>
      <c r="D187" s="7" t="inlineStr">
        <is>
          <t>(KHO) Khánh Vĩnh</t>
        </is>
      </c>
      <c r="E187" s="7" t="inlineStr">
        <is>
          <t>Shopee-Bulky (10-15kg)</t>
        </is>
      </c>
      <c r="F187" s="36" t="n">
        <v>3.95</v>
      </c>
      <c r="G187" s="36" t="n">
        <v>3.6</v>
      </c>
      <c r="H187" s="36" t="n">
        <v>5.75</v>
      </c>
      <c r="I187" s="36" t="n">
        <v>2.52</v>
      </c>
      <c r="J187" s="36" t="n">
        <v>1.44</v>
      </c>
      <c r="K187" s="28" t="n">
        <v>2.16</v>
      </c>
      <c r="L187" s="36" t="n">
        <v>2.88</v>
      </c>
      <c r="M187" s="36" t="n">
        <v>5.03</v>
      </c>
      <c r="N187" s="36" t="n">
        <v>3.95</v>
      </c>
      <c r="O187" s="36" t="n">
        <v>3.24</v>
      </c>
      <c r="P187" s="36" t="n">
        <v>3.95</v>
      </c>
      <c r="Q187" s="36" t="n">
        <v>1.44</v>
      </c>
      <c r="R187" s="28" t="n">
        <v>6.83</v>
      </c>
      <c r="S187" s="36" t="n">
        <v>5.03</v>
      </c>
      <c r="T187" s="36" t="n">
        <v>5.03</v>
      </c>
      <c r="U187" s="36" t="n">
        <v>4.12</v>
      </c>
      <c r="V187" s="36" t="n">
        <v>3.95</v>
      </c>
      <c r="W187" s="36" t="n">
        <v>5.09</v>
      </c>
      <c r="X187" s="36" t="n">
        <v>2.86</v>
      </c>
      <c r="Y187" s="28" t="n">
        <v>5.8</v>
      </c>
      <c r="Z187" s="36" t="n">
        <v>4.53</v>
      </c>
      <c r="AA187" s="36" t="n">
        <v>4.27</v>
      </c>
      <c r="AB187" s="36" t="n">
        <v>4.47</v>
      </c>
      <c r="AC187" s="36" t="n">
        <v>4.63</v>
      </c>
      <c r="AD187" s="36" t="n">
        <v>17.26</v>
      </c>
      <c r="AE187" s="36" t="n">
        <v>7.17</v>
      </c>
      <c r="AF187" s="28" t="n">
        <v>10.58</v>
      </c>
      <c r="AG187" s="36" t="n">
        <v>6.31</v>
      </c>
      <c r="AH187" s="37" t="n">
        <v>4.47</v>
      </c>
      <c r="AI187" s="37" t="n">
        <v>4.32</v>
      </c>
      <c r="AJ187" s="37" t="n">
        <v>4.23</v>
      </c>
      <c r="AK187" s="37" t="n">
        <v>9.779999999999999</v>
      </c>
      <c r="AL187" s="37" t="n">
        <v>4.92</v>
      </c>
      <c r="AM187" s="37" t="n">
        <v>7.06</v>
      </c>
      <c r="AN187" s="37" t="n">
        <v>4.47</v>
      </c>
      <c r="AO187" s="37" t="n">
        <v>4.31</v>
      </c>
      <c r="AP187" s="37" t="n">
        <v>5.58</v>
      </c>
      <c r="AQ187" s="37" t="n">
        <v>5.86</v>
      </c>
      <c r="AR187" s="37" t="n">
        <v>4.57</v>
      </c>
      <c r="AS187" s="37" t="n">
        <v>2.51</v>
      </c>
      <c r="AT187" s="37" t="n">
        <v>5.25</v>
      </c>
      <c r="AU187" s="37" t="n">
        <v>8.69</v>
      </c>
      <c r="AV187" s="37" t="n">
        <v>9.01</v>
      </c>
      <c r="AW187" s="37" t="n">
        <v>4.37</v>
      </c>
      <c r="AX187" s="37" t="n">
        <v>4.08</v>
      </c>
      <c r="AY187" s="37" t="n">
        <v>4.39</v>
      </c>
      <c r="AZ187" s="37" t="n">
        <v>2.43</v>
      </c>
      <c r="BA187" s="37" t="n">
        <v>4.79</v>
      </c>
      <c r="BB187" s="37" t="n">
        <v>4.59</v>
      </c>
      <c r="BC187" s="37" t="n">
        <v>1.54</v>
      </c>
      <c r="BD187" s="37" t="n">
        <v>3.66</v>
      </c>
      <c r="BE187" s="37" t="n">
        <v>4.72</v>
      </c>
      <c r="BF187" s="37" t="n">
        <v>4.02</v>
      </c>
      <c r="BG187" s="37" t="n">
        <v>3.29</v>
      </c>
      <c r="BH187" s="37" t="n">
        <v>6.29</v>
      </c>
      <c r="BI187" s="37" t="n">
        <v>5.34</v>
      </c>
      <c r="BJ187" s="37" t="n">
        <v>23.67</v>
      </c>
      <c r="BK187" s="37" t="n">
        <v>11.04</v>
      </c>
      <c r="BL187" s="37" t="n">
        <v>5.87</v>
      </c>
      <c r="BM187" s="37" t="n">
        <v>4.27</v>
      </c>
      <c r="BN187" s="37" t="n">
        <v>3.22</v>
      </c>
      <c r="BO187" s="37" t="n">
        <v>7.07</v>
      </c>
      <c r="BP187" s="37" t="n">
        <v>10.31</v>
      </c>
      <c r="BQ187" s="37" t="n">
        <v>7.58</v>
      </c>
      <c r="BR187" s="37" t="n">
        <v>5.07</v>
      </c>
      <c r="BS187" s="37" t="n">
        <v>4.72</v>
      </c>
      <c r="BT187" s="37" t="n">
        <v>4.02</v>
      </c>
      <c r="BU187" s="37" t="n">
        <v>4.89</v>
      </c>
      <c r="BV187" s="37" t="n">
        <v>6.5</v>
      </c>
      <c r="BW187" s="37" t="n">
        <v>5.34</v>
      </c>
      <c r="BX187" s="37" t="n">
        <v>5.1</v>
      </c>
      <c r="BY187" s="37" t="n">
        <v>5.07</v>
      </c>
      <c r="BZ187" s="37" t="n">
        <v>8.359999999999999</v>
      </c>
      <c r="CA187" s="37" t="n">
        <v>4.99</v>
      </c>
      <c r="CB187" s="37" t="n">
        <v>3.15</v>
      </c>
      <c r="CC187" s="37" t="n">
        <v>406.62</v>
      </c>
    </row>
    <row r="188" ht="15.75" customHeight="1" s="57">
      <c r="A188" s="7" t="inlineStr">
        <is>
          <t>NTB</t>
        </is>
      </c>
      <c r="B188" s="7" t="inlineStr">
        <is>
          <t>Khánh Hòa</t>
        </is>
      </c>
      <c r="C188" s="7" t="n">
        <v>20558000</v>
      </c>
      <c r="D188" s="7" t="inlineStr">
        <is>
          <t>(KHO) Khánh Vĩnh</t>
        </is>
      </c>
      <c r="E188" s="7" t="inlineStr">
        <is>
          <t>TTS</t>
        </is>
      </c>
      <c r="F188" s="36" t="n">
        <v>103</v>
      </c>
      <c r="G188" s="36" t="n">
        <v>128</v>
      </c>
      <c r="H188" s="36" t="n">
        <v>85</v>
      </c>
      <c r="I188" s="36" t="n">
        <v>79</v>
      </c>
      <c r="J188" s="36" t="n">
        <v>78</v>
      </c>
      <c r="K188" s="28" t="n">
        <v>104</v>
      </c>
      <c r="L188" s="36" t="n">
        <v>76</v>
      </c>
      <c r="M188" s="36" t="n">
        <v>99</v>
      </c>
      <c r="N188" s="36" t="n">
        <v>85</v>
      </c>
      <c r="O188" s="36" t="n">
        <v>76</v>
      </c>
      <c r="P188" s="36" t="n">
        <v>88</v>
      </c>
      <c r="Q188" s="36" t="n">
        <v>83</v>
      </c>
      <c r="R188" s="28" t="n">
        <v>73</v>
      </c>
      <c r="S188" s="36" t="n">
        <v>77</v>
      </c>
      <c r="T188" s="36" t="n">
        <v>90</v>
      </c>
      <c r="U188" s="36" t="n">
        <v>69.23999999999999</v>
      </c>
      <c r="V188" s="36" t="n">
        <v>67.94</v>
      </c>
      <c r="W188" s="36" t="n">
        <v>66.47</v>
      </c>
      <c r="X188" s="36" t="n">
        <v>53.58</v>
      </c>
      <c r="Y188" s="28" t="n">
        <v>78.06999999999999</v>
      </c>
      <c r="Z188" s="36" t="n">
        <v>66.19</v>
      </c>
      <c r="AA188" s="36" t="n">
        <v>73.64</v>
      </c>
      <c r="AB188" s="36" t="n">
        <v>81.78999999999999</v>
      </c>
      <c r="AC188" s="36" t="n">
        <v>86.25</v>
      </c>
      <c r="AD188" s="36" t="n">
        <v>95.06</v>
      </c>
      <c r="AE188" s="36" t="n">
        <v>62.32</v>
      </c>
      <c r="AF188" s="28" t="n">
        <v>80.39</v>
      </c>
      <c r="AG188" s="36" t="n">
        <v>67.69</v>
      </c>
      <c r="AH188" s="37" t="n">
        <v>66.98</v>
      </c>
      <c r="AI188" s="37" t="n">
        <v>76.56999999999999</v>
      </c>
      <c r="AJ188" s="37" t="n">
        <v>82.27</v>
      </c>
      <c r="AK188" s="37" t="n">
        <v>81.16</v>
      </c>
      <c r="AL188" s="37" t="n">
        <v>57.73</v>
      </c>
      <c r="AM188" s="37" t="n">
        <v>79.27</v>
      </c>
      <c r="AN188" s="37" t="n">
        <v>68.37</v>
      </c>
      <c r="AO188" s="37" t="n">
        <v>68.12</v>
      </c>
      <c r="AP188" s="37" t="n">
        <v>66.04000000000001</v>
      </c>
      <c r="AQ188" s="37" t="n">
        <v>66.62</v>
      </c>
      <c r="AR188" s="37" t="n">
        <v>65.45</v>
      </c>
      <c r="AS188" s="37" t="n">
        <v>53.76</v>
      </c>
      <c r="AT188" s="37" t="n">
        <v>85.94000000000001</v>
      </c>
      <c r="AU188" s="37" t="n">
        <v>77.73999999999999</v>
      </c>
      <c r="AV188" s="37" t="n">
        <v>69.09</v>
      </c>
      <c r="AW188" s="37" t="n">
        <v>65.27</v>
      </c>
      <c r="AX188" s="37" t="n">
        <v>64.91</v>
      </c>
      <c r="AY188" s="37" t="n">
        <v>64.61</v>
      </c>
      <c r="AZ188" s="37" t="n">
        <v>53.78</v>
      </c>
      <c r="BA188" s="37" t="n">
        <v>77.44</v>
      </c>
      <c r="BB188" s="37" t="n">
        <v>72.28999999999999</v>
      </c>
      <c r="BC188" s="37" t="n">
        <v>42.76</v>
      </c>
      <c r="BD188" s="37" t="n">
        <v>62.42</v>
      </c>
      <c r="BE188" s="37" t="n">
        <v>73.44</v>
      </c>
      <c r="BF188" s="37" t="n">
        <v>71.34999999999999</v>
      </c>
      <c r="BG188" s="37" t="n">
        <v>57.79</v>
      </c>
      <c r="BH188" s="37" t="n">
        <v>85.81</v>
      </c>
      <c r="BI188" s="37" t="n">
        <v>72.28999999999999</v>
      </c>
      <c r="BJ188" s="37" t="n">
        <v>72.33</v>
      </c>
      <c r="BK188" s="37" t="n">
        <v>73.33999999999999</v>
      </c>
      <c r="BL188" s="37" t="n">
        <v>73.44</v>
      </c>
      <c r="BM188" s="37" t="n">
        <v>71.34999999999999</v>
      </c>
      <c r="BN188" s="37" t="n">
        <v>57.79</v>
      </c>
      <c r="BO188" s="37" t="n">
        <v>85.81</v>
      </c>
      <c r="BP188" s="37" t="n">
        <v>72.28999999999999</v>
      </c>
      <c r="BQ188" s="37" t="n">
        <v>71.44999999999999</v>
      </c>
      <c r="BR188" s="37" t="n">
        <v>73.33999999999999</v>
      </c>
      <c r="BS188" s="37" t="n">
        <v>73.44</v>
      </c>
      <c r="BT188" s="37" t="n">
        <v>71.34999999999999</v>
      </c>
      <c r="BU188" s="37" t="n">
        <v>57.79</v>
      </c>
      <c r="BV188" s="37" t="n">
        <v>85.81</v>
      </c>
      <c r="BW188" s="37" t="n">
        <v>72.28999999999999</v>
      </c>
      <c r="BX188" s="37" t="n">
        <v>71.44999999999999</v>
      </c>
      <c r="BY188" s="37" t="n">
        <v>73.33999999999999</v>
      </c>
      <c r="BZ188" s="37" t="n">
        <v>73.44</v>
      </c>
      <c r="CA188" s="37" t="n">
        <v>71.34999999999999</v>
      </c>
      <c r="CB188" s="37" t="n">
        <v>57.79</v>
      </c>
      <c r="CC188" s="37" t="n">
        <v>5561.090000000001</v>
      </c>
    </row>
    <row r="189" ht="15.75" customHeight="1" s="57">
      <c r="A189" s="7" t="inlineStr">
        <is>
          <t>NTB</t>
        </is>
      </c>
      <c r="B189" s="7" t="inlineStr">
        <is>
          <t>Khánh Hòa</t>
        </is>
      </c>
      <c r="C189" s="7" t="n">
        <v>20558000</v>
      </c>
      <c r="D189" s="7" t="inlineStr">
        <is>
          <t>(KHO) Khánh Vĩnh</t>
        </is>
      </c>
      <c r="E189" s="7" t="inlineStr">
        <is>
          <t>TTS-Bulky</t>
        </is>
      </c>
      <c r="F189" s="36" t="n">
        <v>2</v>
      </c>
      <c r="G189" s="36" t="n">
        <v>2</v>
      </c>
      <c r="H189" s="36" t="n">
        <v>2</v>
      </c>
      <c r="I189" s="36" t="n">
        <v>4</v>
      </c>
      <c r="J189" s="36" t="n">
        <v>2</v>
      </c>
      <c r="K189" s="28" t="n">
        <v>0</v>
      </c>
      <c r="L189" s="36" t="n">
        <v>0</v>
      </c>
      <c r="M189" s="36" t="n">
        <v>0</v>
      </c>
      <c r="N189" s="36" t="n">
        <v>1</v>
      </c>
      <c r="O189" s="36" t="n">
        <v>1</v>
      </c>
      <c r="P189" s="36" t="n">
        <v>0</v>
      </c>
      <c r="Q189" s="36" t="n">
        <v>0</v>
      </c>
      <c r="R189" s="28" t="n">
        <v>1</v>
      </c>
      <c r="S189" s="36" t="n">
        <v>1</v>
      </c>
      <c r="T189" s="36" t="n">
        <v>1</v>
      </c>
      <c r="U189" s="36" t="n">
        <v>4.31</v>
      </c>
      <c r="V189" s="36" t="n">
        <v>4.13</v>
      </c>
      <c r="W189" s="36" t="n">
        <v>2.08</v>
      </c>
      <c r="X189" s="36" t="n">
        <v>1.56</v>
      </c>
      <c r="Y189" s="28" t="n">
        <v>2.65</v>
      </c>
      <c r="Z189" s="36" t="n">
        <v>1.95</v>
      </c>
      <c r="AA189" s="36" t="n">
        <v>2.21</v>
      </c>
      <c r="AB189" s="36" t="n">
        <v>2.36</v>
      </c>
      <c r="AC189" s="36" t="n">
        <v>2.57</v>
      </c>
      <c r="AD189" s="36" t="n">
        <v>3.22</v>
      </c>
      <c r="AE189" s="36" t="n">
        <v>1.71</v>
      </c>
      <c r="AF189" s="28" t="n">
        <v>2.52</v>
      </c>
      <c r="AG189" s="36" t="n">
        <v>2.02</v>
      </c>
      <c r="AH189" s="37" t="n">
        <v>2.02</v>
      </c>
      <c r="AI189" s="37" t="n">
        <v>2.1</v>
      </c>
      <c r="AJ189" s="37" t="n">
        <v>2.31</v>
      </c>
      <c r="AK189" s="37" t="n">
        <v>2.23</v>
      </c>
      <c r="AL189" s="37" t="n">
        <v>1.58</v>
      </c>
      <c r="AM189" s="37" t="n">
        <v>2.49</v>
      </c>
      <c r="AN189" s="37" t="n">
        <v>2.08</v>
      </c>
      <c r="AO189" s="37" t="n">
        <v>2.02</v>
      </c>
      <c r="AP189" s="37" t="n">
        <v>2.05</v>
      </c>
      <c r="AQ189" s="37" t="n">
        <v>2.05</v>
      </c>
      <c r="AR189" s="37" t="n">
        <v>2.05</v>
      </c>
      <c r="AS189" s="37" t="n">
        <v>1.51</v>
      </c>
      <c r="AT189" s="37" t="n">
        <v>2.62</v>
      </c>
      <c r="AU189" s="37" t="n">
        <v>2.36</v>
      </c>
      <c r="AV189" s="37" t="n">
        <v>2.1</v>
      </c>
      <c r="AW189" s="37" t="n">
        <v>2.02</v>
      </c>
      <c r="AX189" s="37" t="n">
        <v>2.02</v>
      </c>
      <c r="AY189" s="37" t="n">
        <v>2.05</v>
      </c>
      <c r="AZ189" s="37" t="n">
        <v>1.51</v>
      </c>
      <c r="BA189" s="37" t="n">
        <v>2.31</v>
      </c>
      <c r="BB189" s="37" t="n">
        <v>0.54</v>
      </c>
      <c r="BC189" s="37" t="n">
        <v>0.34</v>
      </c>
      <c r="BD189" s="37" t="n">
        <v>0.39</v>
      </c>
      <c r="BE189" s="37" t="n">
        <v>0.54</v>
      </c>
      <c r="BF189" s="37" t="n">
        <v>0.57</v>
      </c>
      <c r="BG189" s="37" t="n">
        <v>0.39</v>
      </c>
      <c r="BH189" s="37" t="n">
        <v>0.73</v>
      </c>
      <c r="BI189" s="37" t="n">
        <v>0.6</v>
      </c>
      <c r="BJ189" s="37" t="n">
        <v>0.75</v>
      </c>
      <c r="BK189" s="37" t="n">
        <v>0.57</v>
      </c>
      <c r="BL189" s="37" t="n">
        <v>0.54</v>
      </c>
      <c r="BM189" s="37" t="n">
        <v>0.57</v>
      </c>
      <c r="BN189" s="37" t="n">
        <v>0.39</v>
      </c>
      <c r="BO189" s="37" t="n">
        <v>0.88</v>
      </c>
      <c r="BP189" s="37" t="n">
        <v>0.67</v>
      </c>
      <c r="BQ189" s="37" t="n">
        <v>0.57</v>
      </c>
      <c r="BR189" s="37" t="n">
        <v>0.57</v>
      </c>
      <c r="BS189" s="37" t="n">
        <v>0.54</v>
      </c>
      <c r="BT189" s="37" t="n">
        <v>0.57</v>
      </c>
      <c r="BU189" s="37" t="n">
        <v>0.39</v>
      </c>
      <c r="BV189" s="37" t="n">
        <v>0.67</v>
      </c>
      <c r="BW189" s="37" t="n">
        <v>0.6</v>
      </c>
      <c r="BX189" s="37" t="n">
        <v>0.57</v>
      </c>
      <c r="BY189" s="37" t="n">
        <v>0.57</v>
      </c>
      <c r="BZ189" s="37" t="n">
        <v>0.54</v>
      </c>
      <c r="CA189" s="37" t="n">
        <v>0.57</v>
      </c>
      <c r="CB189" s="37" t="n">
        <v>0.39</v>
      </c>
      <c r="CC189" s="37" t="n">
        <v>106.79</v>
      </c>
    </row>
    <row r="190" ht="15.75" customHeight="1" s="57">
      <c r="A190" s="7" t="inlineStr">
        <is>
          <t>NTB</t>
        </is>
      </c>
      <c r="B190" s="7" t="inlineStr">
        <is>
          <t>Khánh Hòa</t>
        </is>
      </c>
      <c r="C190" s="7" t="n">
        <v>20588000</v>
      </c>
      <c r="D190" s="7" t="inlineStr">
        <is>
          <t>(KHO) Cam Lâm 2</t>
        </is>
      </c>
      <c r="E190" s="7" t="inlineStr">
        <is>
          <t>SME</t>
        </is>
      </c>
      <c r="F190" s="36" t="n">
        <v>280</v>
      </c>
      <c r="G190" s="36" t="n">
        <v>349</v>
      </c>
      <c r="H190" s="36" t="n">
        <v>328</v>
      </c>
      <c r="I190" s="36" t="n">
        <v>318</v>
      </c>
      <c r="J190" s="36" t="n">
        <v>279</v>
      </c>
      <c r="K190" s="28" t="n">
        <v>327</v>
      </c>
      <c r="L190" s="36" t="n">
        <v>223</v>
      </c>
      <c r="M190" s="36" t="n">
        <v>233</v>
      </c>
      <c r="N190" s="36" t="n">
        <v>261</v>
      </c>
      <c r="O190" s="36" t="n">
        <v>309</v>
      </c>
      <c r="P190" s="36" t="n">
        <v>255</v>
      </c>
      <c r="Q190" s="36" t="n">
        <v>299</v>
      </c>
      <c r="R190" s="28" t="n">
        <v>228</v>
      </c>
      <c r="S190" s="36" t="n">
        <v>255</v>
      </c>
      <c r="T190" s="36" t="n">
        <v>293</v>
      </c>
      <c r="U190" s="36" t="n">
        <v>338.15</v>
      </c>
      <c r="V190" s="36" t="n">
        <v>350.07</v>
      </c>
      <c r="W190" s="36" t="n">
        <v>340.45</v>
      </c>
      <c r="X190" s="36" t="n">
        <v>278.64</v>
      </c>
      <c r="Y190" s="28" t="n">
        <v>377.23</v>
      </c>
      <c r="Z190" s="36" t="n">
        <v>347.48</v>
      </c>
      <c r="AA190" s="36" t="n">
        <v>338.89</v>
      </c>
      <c r="AB190" s="36" t="n">
        <v>338.15</v>
      </c>
      <c r="AC190" s="36" t="n">
        <v>350.07</v>
      </c>
      <c r="AD190" s="36" t="n">
        <v>343.96</v>
      </c>
      <c r="AE190" s="36" t="n">
        <v>278.64</v>
      </c>
      <c r="AF190" s="28" t="n">
        <v>377.23</v>
      </c>
      <c r="AG190" s="36" t="n">
        <v>347.48</v>
      </c>
      <c r="AH190" s="37" t="n">
        <v>338.89</v>
      </c>
      <c r="AI190" s="37" t="n">
        <v>338.15</v>
      </c>
      <c r="AJ190" s="37" t="n">
        <v>350.07</v>
      </c>
      <c r="AK190" s="37" t="n">
        <v>340.45</v>
      </c>
      <c r="AL190" s="37" t="n">
        <v>278.64</v>
      </c>
      <c r="AM190" s="37" t="n">
        <v>377.23</v>
      </c>
      <c r="AN190" s="37" t="n">
        <v>347.48</v>
      </c>
      <c r="AO190" s="37" t="n">
        <v>338.89</v>
      </c>
      <c r="AP190" s="37" t="n">
        <v>338.15</v>
      </c>
      <c r="AQ190" s="37" t="n">
        <v>350.07</v>
      </c>
      <c r="AR190" s="37" t="n">
        <v>340.45</v>
      </c>
      <c r="AS190" s="37" t="n">
        <v>278.64</v>
      </c>
      <c r="AT190" s="37" t="n">
        <v>377.23</v>
      </c>
      <c r="AU190" s="37" t="n">
        <v>347.48</v>
      </c>
      <c r="AV190" s="37" t="n">
        <v>338.89</v>
      </c>
      <c r="AW190" s="37" t="n">
        <v>338.15</v>
      </c>
      <c r="AX190" s="37" t="n">
        <v>350.07</v>
      </c>
      <c r="AY190" s="37" t="n">
        <v>340.45</v>
      </c>
      <c r="AZ190" s="37" t="n">
        <v>278.64</v>
      </c>
      <c r="BA190" s="37" t="n">
        <v>339.5</v>
      </c>
      <c r="BB190" s="37" t="n">
        <v>304.71</v>
      </c>
      <c r="BC190" s="37" t="n">
        <v>192.56</v>
      </c>
      <c r="BD190" s="37" t="n">
        <v>191.79</v>
      </c>
      <c r="BE190" s="37" t="n">
        <v>325.15</v>
      </c>
      <c r="BF190" s="37" t="n">
        <v>316.22</v>
      </c>
      <c r="BG190" s="37" t="n">
        <v>287.1</v>
      </c>
      <c r="BH190" s="37" t="n">
        <v>389.26</v>
      </c>
      <c r="BI190" s="37" t="n">
        <v>358.45</v>
      </c>
      <c r="BJ190" s="37" t="n">
        <v>352.98</v>
      </c>
      <c r="BK190" s="37" t="n">
        <v>348.84</v>
      </c>
      <c r="BL190" s="37" t="n">
        <v>361.09</v>
      </c>
      <c r="BM190" s="37" t="n">
        <v>351.25</v>
      </c>
      <c r="BN190" s="37" t="n">
        <v>287.1</v>
      </c>
      <c r="BO190" s="37" t="n">
        <v>389.26</v>
      </c>
      <c r="BP190" s="37" t="n">
        <v>358.45</v>
      </c>
      <c r="BQ190" s="37" t="n">
        <v>349.53</v>
      </c>
      <c r="BR190" s="37" t="n">
        <v>348.84</v>
      </c>
      <c r="BS190" s="37" t="n">
        <v>361.09</v>
      </c>
      <c r="BT190" s="37" t="n">
        <v>351.25</v>
      </c>
      <c r="BU190" s="37" t="n">
        <v>287.1</v>
      </c>
      <c r="BV190" s="37" t="n">
        <v>389.26</v>
      </c>
      <c r="BW190" s="37" t="n">
        <v>358.45</v>
      </c>
      <c r="BX190" s="37" t="n">
        <v>349.53</v>
      </c>
      <c r="BY190" s="37" t="n">
        <v>348.84</v>
      </c>
      <c r="BZ190" s="37" t="n">
        <v>361.09</v>
      </c>
      <c r="CA190" s="37" t="n">
        <v>351.25</v>
      </c>
      <c r="CB190" s="37" t="n">
        <v>287.1</v>
      </c>
      <c r="CC190" s="37" t="n">
        <v>24328.49999999999</v>
      </c>
    </row>
    <row r="191" ht="15.75" customHeight="1" s="57">
      <c r="A191" s="7" t="inlineStr">
        <is>
          <t>NTB</t>
        </is>
      </c>
      <c r="B191" s="7" t="inlineStr">
        <is>
          <t>Khánh Hòa</t>
        </is>
      </c>
      <c r="C191" s="7" t="n">
        <v>20588000</v>
      </c>
      <c r="D191" s="7" t="inlineStr">
        <is>
          <t>(KHO) Cam Lâm 2</t>
        </is>
      </c>
      <c r="E191" s="7" t="inlineStr">
        <is>
          <t>SME-Bulky</t>
        </is>
      </c>
      <c r="F191" s="36" t="n">
        <v>26</v>
      </c>
      <c r="G191" s="36" t="n">
        <v>5</v>
      </c>
      <c r="H191" s="36" t="n">
        <v>19</v>
      </c>
      <c r="I191" s="36" t="n">
        <v>14</v>
      </c>
      <c r="J191" s="36" t="n">
        <v>11</v>
      </c>
      <c r="K191" s="28" t="n">
        <v>8</v>
      </c>
      <c r="L191" s="36" t="n">
        <v>10</v>
      </c>
      <c r="M191" s="36" t="n">
        <v>8</v>
      </c>
      <c r="N191" s="36" t="n">
        <v>13</v>
      </c>
      <c r="O191" s="36" t="n">
        <v>23</v>
      </c>
      <c r="P191" s="36" t="n">
        <v>13</v>
      </c>
      <c r="Q191" s="36" t="n">
        <v>15</v>
      </c>
      <c r="R191" s="28" t="n">
        <v>27</v>
      </c>
      <c r="S191" s="36" t="n">
        <v>11</v>
      </c>
      <c r="T191" s="36" t="n">
        <v>9</v>
      </c>
      <c r="U191" s="36" t="n">
        <v>16.49</v>
      </c>
      <c r="V191" s="36" t="n">
        <v>16.71</v>
      </c>
      <c r="W191" s="36" t="n">
        <v>15.51</v>
      </c>
      <c r="X191" s="36" t="n">
        <v>10.34</v>
      </c>
      <c r="Y191" s="28" t="n">
        <v>18.93</v>
      </c>
      <c r="Z191" s="36" t="n">
        <v>18.24</v>
      </c>
      <c r="AA191" s="36" t="n">
        <v>17.35</v>
      </c>
      <c r="AB191" s="36" t="n">
        <v>16.49</v>
      </c>
      <c r="AC191" s="36" t="n">
        <v>16.71</v>
      </c>
      <c r="AD191" s="36" t="n">
        <v>14.65</v>
      </c>
      <c r="AE191" s="36" t="n">
        <v>10.34</v>
      </c>
      <c r="AF191" s="28" t="n">
        <v>18.93</v>
      </c>
      <c r="AG191" s="36" t="n">
        <v>18.24</v>
      </c>
      <c r="AH191" s="37" t="n">
        <v>17.35</v>
      </c>
      <c r="AI191" s="37" t="n">
        <v>16.49</v>
      </c>
      <c r="AJ191" s="37" t="n">
        <v>16.71</v>
      </c>
      <c r="AK191" s="37" t="n">
        <v>15.51</v>
      </c>
      <c r="AL191" s="37" t="n">
        <v>10.34</v>
      </c>
      <c r="AM191" s="37" t="n">
        <v>18.93</v>
      </c>
      <c r="AN191" s="37" t="n">
        <v>18.24</v>
      </c>
      <c r="AO191" s="37" t="n">
        <v>17.35</v>
      </c>
      <c r="AP191" s="37" t="n">
        <v>16.49</v>
      </c>
      <c r="AQ191" s="37" t="n">
        <v>16.71</v>
      </c>
      <c r="AR191" s="37" t="n">
        <v>15.51</v>
      </c>
      <c r="AS191" s="37" t="n">
        <v>10.34</v>
      </c>
      <c r="AT191" s="37" t="n">
        <v>18.93</v>
      </c>
      <c r="AU191" s="37" t="n">
        <v>18.24</v>
      </c>
      <c r="AV191" s="37" t="n">
        <v>17.35</v>
      </c>
      <c r="AW191" s="37" t="n">
        <v>16.49</v>
      </c>
      <c r="AX191" s="37" t="n">
        <v>16.71</v>
      </c>
      <c r="AY191" s="37" t="n">
        <v>15.51</v>
      </c>
      <c r="AZ191" s="37" t="n">
        <v>10.34</v>
      </c>
      <c r="BA191" s="37" t="n">
        <v>18.84</v>
      </c>
      <c r="BB191" s="37" t="n">
        <v>9.779999999999999</v>
      </c>
      <c r="BC191" s="37" t="n">
        <v>4.96</v>
      </c>
      <c r="BD191" s="37" t="n">
        <v>4.53</v>
      </c>
      <c r="BE191" s="37" t="n">
        <v>8.460000000000001</v>
      </c>
      <c r="BF191" s="37" t="n">
        <v>7.82</v>
      </c>
      <c r="BG191" s="37" t="n">
        <v>6.24</v>
      </c>
      <c r="BH191" s="37" t="n">
        <v>11.11</v>
      </c>
      <c r="BI191" s="37" t="n">
        <v>10.94</v>
      </c>
      <c r="BJ191" s="37" t="n">
        <v>9.529999999999999</v>
      </c>
      <c r="BK191" s="37" t="n">
        <v>9.779999999999999</v>
      </c>
      <c r="BL191" s="37" t="n">
        <v>10</v>
      </c>
      <c r="BM191" s="37" t="n">
        <v>9.1</v>
      </c>
      <c r="BN191" s="37" t="n">
        <v>6.24</v>
      </c>
      <c r="BO191" s="37" t="n">
        <v>11.11</v>
      </c>
      <c r="BP191" s="37" t="n">
        <v>10.94</v>
      </c>
      <c r="BQ191" s="37" t="n">
        <v>10.21</v>
      </c>
      <c r="BR191" s="37" t="n">
        <v>9.779999999999999</v>
      </c>
      <c r="BS191" s="37" t="n">
        <v>10</v>
      </c>
      <c r="BT191" s="37" t="n">
        <v>9.1</v>
      </c>
      <c r="BU191" s="37" t="n">
        <v>6.24</v>
      </c>
      <c r="BV191" s="37" t="n">
        <v>11.11</v>
      </c>
      <c r="BW191" s="37" t="n">
        <v>10.94</v>
      </c>
      <c r="BX191" s="37" t="n">
        <v>10.21</v>
      </c>
      <c r="BY191" s="37" t="n">
        <v>9.779999999999999</v>
      </c>
      <c r="BZ191" s="37" t="n">
        <v>10</v>
      </c>
      <c r="CA191" s="37" t="n">
        <v>9.1</v>
      </c>
      <c r="CB191" s="37" t="n">
        <v>6.24</v>
      </c>
      <c r="CC191" s="37" t="n">
        <v>986.5600000000005</v>
      </c>
    </row>
    <row r="192" ht="15.75" customHeight="1" s="57">
      <c r="A192" s="7" t="inlineStr">
        <is>
          <t>NTB</t>
        </is>
      </c>
      <c r="B192" s="7" t="inlineStr">
        <is>
          <t>Khánh Hòa</t>
        </is>
      </c>
      <c r="C192" s="7" t="n">
        <v>20588000</v>
      </c>
      <c r="D192" s="7" t="inlineStr">
        <is>
          <t>(KHO) Cam Lâm 2</t>
        </is>
      </c>
      <c r="E192" s="7" t="inlineStr">
        <is>
          <t>Shopee</t>
        </is>
      </c>
      <c r="F192" s="36" t="n">
        <v>215</v>
      </c>
      <c r="G192" s="36" t="n">
        <v>199</v>
      </c>
      <c r="H192" s="36" t="n">
        <v>212</v>
      </c>
      <c r="I192" s="36" t="n">
        <v>237</v>
      </c>
      <c r="J192" s="36" t="n">
        <v>193</v>
      </c>
      <c r="K192" s="28" t="n">
        <v>152</v>
      </c>
      <c r="L192" s="36" t="n">
        <v>104</v>
      </c>
      <c r="M192" s="36" t="n">
        <v>181</v>
      </c>
      <c r="N192" s="36" t="n">
        <v>233</v>
      </c>
      <c r="O192" s="36" t="n">
        <v>279</v>
      </c>
      <c r="P192" s="36" t="n">
        <v>168</v>
      </c>
      <c r="Q192" s="36" t="n">
        <v>176</v>
      </c>
      <c r="R192" s="28" t="n">
        <v>135</v>
      </c>
      <c r="S192" s="36" t="n">
        <v>134</v>
      </c>
      <c r="T192" s="36" t="n">
        <v>174</v>
      </c>
      <c r="U192" s="36" t="n">
        <v>322.86</v>
      </c>
      <c r="V192" s="36" t="n">
        <v>324.1</v>
      </c>
      <c r="W192" s="36" t="n">
        <v>319.46</v>
      </c>
      <c r="X192" s="36" t="n">
        <v>259.76</v>
      </c>
      <c r="Y192" s="28" t="n">
        <v>435.14</v>
      </c>
      <c r="Z192" s="36" t="n">
        <v>344.14</v>
      </c>
      <c r="AA192" s="36" t="n">
        <v>473.4</v>
      </c>
      <c r="AB192" s="36" t="n">
        <v>329.32</v>
      </c>
      <c r="AC192" s="36" t="n">
        <v>266.14</v>
      </c>
      <c r="AD192" s="36" t="n">
        <v>817.54</v>
      </c>
      <c r="AE192" s="36" t="n">
        <v>278.23</v>
      </c>
      <c r="AF192" s="28" t="n">
        <v>495.51</v>
      </c>
      <c r="AG192" s="36" t="n">
        <v>361.53</v>
      </c>
      <c r="AH192" s="37" t="n">
        <v>381.73</v>
      </c>
      <c r="AI192" s="37" t="n">
        <v>322.86</v>
      </c>
      <c r="AJ192" s="37" t="n">
        <v>324.1</v>
      </c>
      <c r="AK192" s="37" t="n">
        <v>431</v>
      </c>
      <c r="AL192" s="37" t="n">
        <v>466.19</v>
      </c>
      <c r="AM192" s="37" t="n">
        <v>435.14</v>
      </c>
      <c r="AN192" s="37" t="n">
        <v>344.14</v>
      </c>
      <c r="AO192" s="37" t="n">
        <v>381.73</v>
      </c>
      <c r="AP192" s="37" t="n">
        <v>402.77</v>
      </c>
      <c r="AQ192" s="37" t="n">
        <v>259.84</v>
      </c>
      <c r="AR192" s="37" t="n">
        <v>319.46</v>
      </c>
      <c r="AS192" s="37" t="n">
        <v>259.76</v>
      </c>
      <c r="AT192" s="37" t="n">
        <v>435.14</v>
      </c>
      <c r="AU192" s="37" t="n">
        <v>351.26</v>
      </c>
      <c r="AV192" s="37" t="n">
        <v>389.43</v>
      </c>
      <c r="AW192" s="37" t="n">
        <v>322.86</v>
      </c>
      <c r="AX192" s="37" t="n">
        <v>324.1</v>
      </c>
      <c r="AY192" s="37" t="n">
        <v>319.46</v>
      </c>
      <c r="AZ192" s="37" t="n">
        <v>259.76</v>
      </c>
      <c r="BA192" s="37" t="n">
        <v>335.11</v>
      </c>
      <c r="BB192" s="37" t="n">
        <v>292.14</v>
      </c>
      <c r="BC192" s="37" t="n">
        <v>148.8</v>
      </c>
      <c r="BD192" s="37" t="n">
        <v>264.48</v>
      </c>
      <c r="BE192" s="37" t="n">
        <v>308.78</v>
      </c>
      <c r="BF192" s="37" t="n">
        <v>304.39</v>
      </c>
      <c r="BG192" s="37" t="n">
        <v>252.56</v>
      </c>
      <c r="BH192" s="37" t="n">
        <v>414.61</v>
      </c>
      <c r="BI192" s="37" t="n">
        <v>269.7</v>
      </c>
      <c r="BJ192" s="37" t="n">
        <v>1160.6</v>
      </c>
      <c r="BK192" s="37" t="n">
        <v>328.99</v>
      </c>
      <c r="BL192" s="37" t="n">
        <v>323.69</v>
      </c>
      <c r="BM192" s="37" t="n">
        <v>304.39</v>
      </c>
      <c r="BN192" s="37" t="n">
        <v>247.51</v>
      </c>
      <c r="BO192" s="37" t="n">
        <v>414.61</v>
      </c>
      <c r="BP192" s="37" t="n">
        <v>442.26</v>
      </c>
      <c r="BQ192" s="37" t="n">
        <v>653.25</v>
      </c>
      <c r="BR192" s="37" t="n">
        <v>307.54</v>
      </c>
      <c r="BS192" s="37" t="n">
        <v>308.78</v>
      </c>
      <c r="BT192" s="37" t="n">
        <v>304.39</v>
      </c>
      <c r="BU192" s="37" t="n">
        <v>308.95</v>
      </c>
      <c r="BV192" s="37" t="n">
        <v>331.8</v>
      </c>
      <c r="BW192" s="37" t="n">
        <v>327.74</v>
      </c>
      <c r="BX192" s="37" t="n">
        <v>363.6</v>
      </c>
      <c r="BY192" s="37" t="n">
        <v>307.54</v>
      </c>
      <c r="BZ192" s="37" t="n">
        <v>315.16</v>
      </c>
      <c r="CA192" s="37" t="n">
        <v>310.35</v>
      </c>
      <c r="CB192" s="37" t="n">
        <v>247.51</v>
      </c>
      <c r="CC192" s="37" t="n">
        <v>24449.08999999999</v>
      </c>
    </row>
    <row r="193" ht="15.75" customHeight="1" s="57">
      <c r="A193" s="7" t="inlineStr">
        <is>
          <t>NTB</t>
        </is>
      </c>
      <c r="B193" s="7" t="inlineStr">
        <is>
          <t>Khánh Hòa</t>
        </is>
      </c>
      <c r="C193" s="7" t="n">
        <v>20588000</v>
      </c>
      <c r="D193" s="7" t="inlineStr">
        <is>
          <t>(KHO) Cam Lâm 2</t>
        </is>
      </c>
      <c r="E193" s="7" t="inlineStr">
        <is>
          <t>Shopee-Bulky</t>
        </is>
      </c>
      <c r="F193" s="36" t="n">
        <v>14.73</v>
      </c>
      <c r="G193" s="36" t="n">
        <v>9.609999999999999</v>
      </c>
      <c r="H193" s="36" t="n">
        <v>40.99</v>
      </c>
      <c r="I193" s="36" t="n">
        <v>17.93</v>
      </c>
      <c r="J193" s="36" t="n">
        <v>14.73</v>
      </c>
      <c r="K193" s="28" t="n">
        <v>16.65</v>
      </c>
      <c r="L193" s="36" t="n">
        <v>5.12</v>
      </c>
      <c r="M193" s="36" t="n">
        <v>11.53</v>
      </c>
      <c r="N193" s="36" t="n">
        <v>19.21</v>
      </c>
      <c r="O193" s="36" t="n">
        <v>28.18</v>
      </c>
      <c r="P193" s="36" t="n">
        <v>14.09</v>
      </c>
      <c r="Q193" s="36" t="n">
        <v>8.970000000000001</v>
      </c>
      <c r="R193" s="28" t="n">
        <v>24.98</v>
      </c>
      <c r="S193" s="36" t="n">
        <v>18.57</v>
      </c>
      <c r="T193" s="36" t="n">
        <v>9.609999999999999</v>
      </c>
      <c r="U193" s="36" t="n">
        <v>16.12</v>
      </c>
      <c r="V193" s="36" t="n">
        <v>15.62</v>
      </c>
      <c r="W193" s="36" t="n">
        <v>21.8</v>
      </c>
      <c r="X193" s="36" t="n">
        <v>12.04</v>
      </c>
      <c r="Y193" s="28" t="n">
        <v>23.78</v>
      </c>
      <c r="Z193" s="36" t="n">
        <v>18.54</v>
      </c>
      <c r="AA193" s="36" t="n">
        <v>17.95</v>
      </c>
      <c r="AB193" s="36" t="n">
        <v>18.33</v>
      </c>
      <c r="AC193" s="36" t="n">
        <v>19.41</v>
      </c>
      <c r="AD193" s="36" t="n">
        <v>53.95</v>
      </c>
      <c r="AE193" s="36" t="n">
        <v>30.89</v>
      </c>
      <c r="AF193" s="28" t="n">
        <v>46.86</v>
      </c>
      <c r="AG193" s="36" t="n">
        <v>26.49</v>
      </c>
      <c r="AH193" s="37" t="n">
        <v>18.39</v>
      </c>
      <c r="AI193" s="37" t="n">
        <v>17.95</v>
      </c>
      <c r="AJ193" s="37" t="n">
        <v>17.69</v>
      </c>
      <c r="AK193" s="37" t="n">
        <v>40.13</v>
      </c>
      <c r="AL193" s="37" t="n">
        <v>20.28</v>
      </c>
      <c r="AM193" s="37" t="n">
        <v>29.2</v>
      </c>
      <c r="AN193" s="37" t="n">
        <v>18.27</v>
      </c>
      <c r="AO193" s="37" t="n">
        <v>17.87</v>
      </c>
      <c r="AP193" s="37" t="n">
        <v>24.6</v>
      </c>
      <c r="AQ193" s="37" t="n">
        <v>24.19</v>
      </c>
      <c r="AR193" s="37" t="n">
        <v>19.76</v>
      </c>
      <c r="AS193" s="37" t="n">
        <v>10.58</v>
      </c>
      <c r="AT193" s="37" t="n">
        <v>21.74</v>
      </c>
      <c r="AU193" s="37" t="n">
        <v>35.61</v>
      </c>
      <c r="AV193" s="37" t="n">
        <v>37.04</v>
      </c>
      <c r="AW193" s="37" t="n">
        <v>18.07</v>
      </c>
      <c r="AX193" s="37" t="n">
        <v>16.96</v>
      </c>
      <c r="AY193" s="37" t="n">
        <v>18.91</v>
      </c>
      <c r="AZ193" s="37" t="n">
        <v>10.14</v>
      </c>
      <c r="BA193" s="37" t="n">
        <v>19.82</v>
      </c>
      <c r="BB193" s="37" t="n">
        <v>18.59</v>
      </c>
      <c r="BC193" s="37" t="n">
        <v>6.41</v>
      </c>
      <c r="BD193" s="37" t="n">
        <v>15.8</v>
      </c>
      <c r="BE193" s="37" t="n">
        <v>19.61</v>
      </c>
      <c r="BF193" s="37" t="n">
        <v>17.14</v>
      </c>
      <c r="BG193" s="37" t="n">
        <v>13.76</v>
      </c>
      <c r="BH193" s="37" t="n">
        <v>25.38</v>
      </c>
      <c r="BI193" s="37" t="n">
        <v>21.6</v>
      </c>
      <c r="BJ193" s="37" t="n">
        <v>85.28</v>
      </c>
      <c r="BK193" s="37" t="n">
        <v>46.08</v>
      </c>
      <c r="BL193" s="37" t="n">
        <v>23.69</v>
      </c>
      <c r="BM193" s="37" t="n">
        <v>17.92</v>
      </c>
      <c r="BN193" s="37" t="n">
        <v>13.41</v>
      </c>
      <c r="BO193" s="37" t="n">
        <v>29.73</v>
      </c>
      <c r="BP193" s="37" t="n">
        <v>43.05</v>
      </c>
      <c r="BQ193" s="37" t="n">
        <v>31.45</v>
      </c>
      <c r="BR193" s="37" t="n">
        <v>20.55</v>
      </c>
      <c r="BS193" s="37" t="n">
        <v>19.61</v>
      </c>
      <c r="BT193" s="37" t="n">
        <v>17.14</v>
      </c>
      <c r="BU193" s="37" t="n">
        <v>19.91</v>
      </c>
      <c r="BV193" s="37" t="n">
        <v>26.9</v>
      </c>
      <c r="BW193" s="37" t="n">
        <v>21.6</v>
      </c>
      <c r="BX193" s="37" t="n">
        <v>20.93</v>
      </c>
      <c r="BY193" s="37" t="n">
        <v>20.55</v>
      </c>
      <c r="BZ193" s="37" t="n">
        <v>35.18</v>
      </c>
      <c r="CA193" s="37" t="n">
        <v>20.4</v>
      </c>
      <c r="CB193" s="37" t="n">
        <v>13.03</v>
      </c>
      <c r="CC193" s="37" t="n">
        <v>1678.580000000001</v>
      </c>
    </row>
    <row r="194" ht="15.75" customHeight="1" s="57">
      <c r="A194" s="7" t="inlineStr">
        <is>
          <t>NTB</t>
        </is>
      </c>
      <c r="B194" s="7" t="inlineStr">
        <is>
          <t>Khánh Hòa</t>
        </is>
      </c>
      <c r="C194" s="7" t="n">
        <v>20588000</v>
      </c>
      <c r="D194" s="7" t="inlineStr">
        <is>
          <t>(KHO) Cam Lâm 2</t>
        </is>
      </c>
      <c r="E194" s="7" t="inlineStr">
        <is>
          <t>Shopee-Bulky (10-15kg)</t>
        </is>
      </c>
      <c r="F194" s="36" t="n">
        <v>8.27</v>
      </c>
      <c r="G194" s="36" t="n">
        <v>5.39</v>
      </c>
      <c r="H194" s="36" t="n">
        <v>23.01</v>
      </c>
      <c r="I194" s="36" t="n">
        <v>10.07</v>
      </c>
      <c r="J194" s="36" t="n">
        <v>8.27</v>
      </c>
      <c r="K194" s="28" t="n">
        <v>9.35</v>
      </c>
      <c r="L194" s="36" t="n">
        <v>2.88</v>
      </c>
      <c r="M194" s="36" t="n">
        <v>6.47</v>
      </c>
      <c r="N194" s="36" t="n">
        <v>10.79</v>
      </c>
      <c r="O194" s="36" t="n">
        <v>15.82</v>
      </c>
      <c r="P194" s="36" t="n">
        <v>7.91</v>
      </c>
      <c r="Q194" s="36" t="n">
        <v>5.03</v>
      </c>
      <c r="R194" s="28" t="n">
        <v>14.02</v>
      </c>
      <c r="S194" s="36" t="n">
        <v>10.43</v>
      </c>
      <c r="T194" s="36" t="n">
        <v>5.39</v>
      </c>
      <c r="U194" s="36" t="n">
        <v>9.65</v>
      </c>
      <c r="V194" s="36" t="n">
        <v>9.24</v>
      </c>
      <c r="W194" s="36" t="n">
        <v>11.92</v>
      </c>
      <c r="X194" s="36" t="n">
        <v>6.7</v>
      </c>
      <c r="Y194" s="28" t="n">
        <v>13.58</v>
      </c>
      <c r="Z194" s="36" t="n">
        <v>10.61</v>
      </c>
      <c r="AA194" s="36" t="n">
        <v>10</v>
      </c>
      <c r="AB194" s="36" t="n">
        <v>10.46</v>
      </c>
      <c r="AC194" s="36" t="n">
        <v>10.84</v>
      </c>
      <c r="AD194" s="36" t="n">
        <v>40.42</v>
      </c>
      <c r="AE194" s="36" t="n">
        <v>16.79</v>
      </c>
      <c r="AF194" s="28" t="n">
        <v>24.77</v>
      </c>
      <c r="AG194" s="36" t="n">
        <v>14.78</v>
      </c>
      <c r="AH194" s="37" t="n">
        <v>10.46</v>
      </c>
      <c r="AI194" s="37" t="n">
        <v>10.11</v>
      </c>
      <c r="AJ194" s="37" t="n">
        <v>9.91</v>
      </c>
      <c r="AK194" s="37" t="n">
        <v>22.91</v>
      </c>
      <c r="AL194" s="37" t="n">
        <v>11.51</v>
      </c>
      <c r="AM194" s="37" t="n">
        <v>16.52</v>
      </c>
      <c r="AN194" s="37" t="n">
        <v>10.46</v>
      </c>
      <c r="AO194" s="37" t="n">
        <v>10.08</v>
      </c>
      <c r="AP194" s="37" t="n">
        <v>13.06</v>
      </c>
      <c r="AQ194" s="37" t="n">
        <v>13.73</v>
      </c>
      <c r="AR194" s="37" t="n">
        <v>10.7</v>
      </c>
      <c r="AS194" s="37" t="n">
        <v>5.89</v>
      </c>
      <c r="AT194" s="37" t="n">
        <v>12.3</v>
      </c>
      <c r="AU194" s="37" t="n">
        <v>20.34</v>
      </c>
      <c r="AV194" s="37" t="n">
        <v>21.1</v>
      </c>
      <c r="AW194" s="37" t="n">
        <v>10.23</v>
      </c>
      <c r="AX194" s="37" t="n">
        <v>9.56</v>
      </c>
      <c r="AY194" s="37" t="n">
        <v>10.29</v>
      </c>
      <c r="AZ194" s="37" t="n">
        <v>5.68</v>
      </c>
      <c r="BA194" s="37" t="n">
        <v>11.22</v>
      </c>
      <c r="BB194" s="37" t="n">
        <v>10.75</v>
      </c>
      <c r="BC194" s="37" t="n">
        <v>3.61</v>
      </c>
      <c r="BD194" s="37" t="n">
        <v>8.57</v>
      </c>
      <c r="BE194" s="37" t="n">
        <v>11.05</v>
      </c>
      <c r="BF194" s="37" t="n">
        <v>9.41</v>
      </c>
      <c r="BG194" s="37" t="n">
        <v>7.69</v>
      </c>
      <c r="BH194" s="37" t="n">
        <v>14.72</v>
      </c>
      <c r="BI194" s="37" t="n">
        <v>12.5</v>
      </c>
      <c r="BJ194" s="37" t="n">
        <v>55.43</v>
      </c>
      <c r="BK194" s="37" t="n">
        <v>25.85</v>
      </c>
      <c r="BL194" s="37" t="n">
        <v>13.76</v>
      </c>
      <c r="BM194" s="37" t="n">
        <v>10</v>
      </c>
      <c r="BN194" s="37" t="n">
        <v>7.55</v>
      </c>
      <c r="BO194" s="37" t="n">
        <v>16.55</v>
      </c>
      <c r="BP194" s="37" t="n">
        <v>24.13</v>
      </c>
      <c r="BQ194" s="37" t="n">
        <v>17.75</v>
      </c>
      <c r="BR194" s="37" t="n">
        <v>11.86</v>
      </c>
      <c r="BS194" s="37" t="n">
        <v>11.05</v>
      </c>
      <c r="BT194" s="37" t="n">
        <v>9.41</v>
      </c>
      <c r="BU194" s="37" t="n">
        <v>11.45</v>
      </c>
      <c r="BV194" s="37" t="n">
        <v>15.21</v>
      </c>
      <c r="BW194" s="37" t="n">
        <v>12.5</v>
      </c>
      <c r="BX194" s="37" t="n">
        <v>11.95</v>
      </c>
      <c r="BY194" s="37" t="n">
        <v>11.86</v>
      </c>
      <c r="BZ194" s="37" t="n">
        <v>19.58</v>
      </c>
      <c r="CA194" s="37" t="n">
        <v>11.69</v>
      </c>
      <c r="CB194" s="37" t="n">
        <v>7.37</v>
      </c>
      <c r="CC194" s="37" t="n">
        <v>962.17</v>
      </c>
    </row>
    <row r="195" ht="15.75" customHeight="1" s="57">
      <c r="A195" s="7" t="inlineStr">
        <is>
          <t>NTB</t>
        </is>
      </c>
      <c r="B195" s="7" t="inlineStr">
        <is>
          <t>Khánh Hòa</t>
        </is>
      </c>
      <c r="C195" s="7" t="n">
        <v>20588000</v>
      </c>
      <c r="D195" s="7" t="inlineStr">
        <is>
          <t>(KHO) Cam Lâm 2</t>
        </is>
      </c>
      <c r="E195" s="7" t="inlineStr">
        <is>
          <t>TTS</t>
        </is>
      </c>
      <c r="F195" s="36" t="n">
        <v>205</v>
      </c>
      <c r="G195" s="36" t="n">
        <v>192</v>
      </c>
      <c r="H195" s="36" t="n">
        <v>186</v>
      </c>
      <c r="I195" s="36" t="n">
        <v>197</v>
      </c>
      <c r="J195" s="36" t="n">
        <v>189</v>
      </c>
      <c r="K195" s="28" t="n">
        <v>174</v>
      </c>
      <c r="L195" s="36" t="n">
        <v>110</v>
      </c>
      <c r="M195" s="36" t="n">
        <v>156</v>
      </c>
      <c r="N195" s="36" t="n">
        <v>161</v>
      </c>
      <c r="O195" s="36" t="n">
        <v>176</v>
      </c>
      <c r="P195" s="36" t="n">
        <v>161</v>
      </c>
      <c r="Q195" s="36" t="n">
        <v>170</v>
      </c>
      <c r="R195" s="28" t="n">
        <v>135</v>
      </c>
      <c r="S195" s="36" t="n">
        <v>156</v>
      </c>
      <c r="T195" s="36" t="n">
        <v>198</v>
      </c>
      <c r="U195" s="36" t="n">
        <v>139.83</v>
      </c>
      <c r="V195" s="36" t="n">
        <v>137.22</v>
      </c>
      <c r="W195" s="36" t="n">
        <v>134.24</v>
      </c>
      <c r="X195" s="36" t="n">
        <v>108.19</v>
      </c>
      <c r="Y195" s="28" t="n">
        <v>157.69</v>
      </c>
      <c r="Z195" s="36" t="n">
        <v>133.67</v>
      </c>
      <c r="AA195" s="36" t="n">
        <v>148.73</v>
      </c>
      <c r="AB195" s="36" t="n">
        <v>165.21</v>
      </c>
      <c r="AC195" s="36" t="n">
        <v>174.21</v>
      </c>
      <c r="AD195" s="36" t="n">
        <v>191.83</v>
      </c>
      <c r="AE195" s="36" t="n">
        <v>125.84</v>
      </c>
      <c r="AF195" s="28" t="n">
        <v>162.37</v>
      </c>
      <c r="AG195" s="36" t="n">
        <v>136.71</v>
      </c>
      <c r="AH195" s="37" t="n">
        <v>135.27</v>
      </c>
      <c r="AI195" s="37" t="n">
        <v>154.65</v>
      </c>
      <c r="AJ195" s="37" t="n">
        <v>166.19</v>
      </c>
      <c r="AK195" s="37" t="n">
        <v>163.91</v>
      </c>
      <c r="AL195" s="37" t="n">
        <v>116.57</v>
      </c>
      <c r="AM195" s="37" t="n">
        <v>160.11</v>
      </c>
      <c r="AN195" s="37" t="n">
        <v>138.09</v>
      </c>
      <c r="AO195" s="37" t="n">
        <v>137.56</v>
      </c>
      <c r="AP195" s="37" t="n">
        <v>133.36</v>
      </c>
      <c r="AQ195" s="37" t="n">
        <v>134.55</v>
      </c>
      <c r="AR195" s="37" t="n">
        <v>132.18</v>
      </c>
      <c r="AS195" s="37" t="n">
        <v>108.55</v>
      </c>
      <c r="AT195" s="37" t="n">
        <v>173.58</v>
      </c>
      <c r="AU195" s="37" t="n">
        <v>157.02</v>
      </c>
      <c r="AV195" s="37" t="n">
        <v>139.52</v>
      </c>
      <c r="AW195" s="37" t="n">
        <v>131.82</v>
      </c>
      <c r="AX195" s="37" t="n">
        <v>131.1</v>
      </c>
      <c r="AY195" s="37" t="n">
        <v>130.48</v>
      </c>
      <c r="AZ195" s="37" t="n">
        <v>108.6</v>
      </c>
      <c r="BA195" s="37" t="n">
        <v>156.4</v>
      </c>
      <c r="BB195" s="37" t="n">
        <v>146</v>
      </c>
      <c r="BC195" s="37" t="n">
        <v>86.36</v>
      </c>
      <c r="BD195" s="37" t="n">
        <v>126.05</v>
      </c>
      <c r="BE195" s="37" t="n">
        <v>148.31</v>
      </c>
      <c r="BF195" s="37" t="n">
        <v>144.09</v>
      </c>
      <c r="BG195" s="37" t="n">
        <v>116.67</v>
      </c>
      <c r="BH195" s="37" t="n">
        <v>173.32</v>
      </c>
      <c r="BI195" s="37" t="n">
        <v>146</v>
      </c>
      <c r="BJ195" s="37" t="n">
        <v>145.93</v>
      </c>
      <c r="BK195" s="37" t="n">
        <v>148.11</v>
      </c>
      <c r="BL195" s="37" t="n">
        <v>148.31</v>
      </c>
      <c r="BM195" s="37" t="n">
        <v>144.09</v>
      </c>
      <c r="BN195" s="37" t="n">
        <v>116.67</v>
      </c>
      <c r="BO195" s="37" t="n">
        <v>173.32</v>
      </c>
      <c r="BP195" s="37" t="n">
        <v>146</v>
      </c>
      <c r="BQ195" s="37" t="n">
        <v>144.3</v>
      </c>
      <c r="BR195" s="37" t="n">
        <v>148.11</v>
      </c>
      <c r="BS195" s="37" t="n">
        <v>148.31</v>
      </c>
      <c r="BT195" s="37" t="n">
        <v>144.09</v>
      </c>
      <c r="BU195" s="37" t="n">
        <v>116.67</v>
      </c>
      <c r="BV195" s="37" t="n">
        <v>173.32</v>
      </c>
      <c r="BW195" s="37" t="n">
        <v>146</v>
      </c>
      <c r="BX195" s="37" t="n">
        <v>144.3</v>
      </c>
      <c r="BY195" s="37" t="n">
        <v>148.11</v>
      </c>
      <c r="BZ195" s="37" t="n">
        <v>148.31</v>
      </c>
      <c r="CA195" s="37" t="n">
        <v>144.09</v>
      </c>
      <c r="CB195" s="37" t="n">
        <v>116.67</v>
      </c>
      <c r="CC195" s="37" t="n">
        <v>11122.76</v>
      </c>
    </row>
    <row r="196" ht="15.75" customHeight="1" s="57">
      <c r="A196" s="7" t="inlineStr">
        <is>
          <t>NTB</t>
        </is>
      </c>
      <c r="B196" s="7" t="inlineStr">
        <is>
          <t>Khánh Hòa</t>
        </is>
      </c>
      <c r="C196" s="7" t="n">
        <v>20588000</v>
      </c>
      <c r="D196" s="7" t="inlineStr">
        <is>
          <t>(KHO) Cam Lâm 2</t>
        </is>
      </c>
      <c r="E196" s="7" t="inlineStr">
        <is>
          <t>TTS-Bulky</t>
        </is>
      </c>
      <c r="F196" s="36" t="n">
        <v>0</v>
      </c>
      <c r="G196" s="36" t="n">
        <v>1</v>
      </c>
      <c r="H196" s="36" t="n">
        <v>0</v>
      </c>
      <c r="I196" s="36" t="n">
        <v>6</v>
      </c>
      <c r="J196" s="36" t="n">
        <v>3</v>
      </c>
      <c r="K196" s="28" t="n">
        <v>1</v>
      </c>
      <c r="L196" s="36" t="n">
        <v>2</v>
      </c>
      <c r="M196" s="36" t="n">
        <v>1</v>
      </c>
      <c r="N196" s="36" t="n">
        <v>1</v>
      </c>
      <c r="O196" s="36" t="n">
        <v>2</v>
      </c>
      <c r="P196" s="36" t="n">
        <v>3</v>
      </c>
      <c r="Q196" s="36" t="n">
        <v>1</v>
      </c>
      <c r="R196" s="28" t="n">
        <v>0</v>
      </c>
      <c r="S196" s="36" t="n">
        <v>2</v>
      </c>
      <c r="T196" s="36" t="n">
        <v>0</v>
      </c>
      <c r="U196" s="36" t="n">
        <v>6.61</v>
      </c>
      <c r="V196" s="36" t="n">
        <v>6.33</v>
      </c>
      <c r="W196" s="36" t="n">
        <v>3.18</v>
      </c>
      <c r="X196" s="36" t="n">
        <v>2.39</v>
      </c>
      <c r="Y196" s="28" t="n">
        <v>4.06</v>
      </c>
      <c r="Z196" s="36" t="n">
        <v>2.98</v>
      </c>
      <c r="AA196" s="36" t="n">
        <v>3.38</v>
      </c>
      <c r="AB196" s="36" t="n">
        <v>3.62</v>
      </c>
      <c r="AC196" s="36" t="n">
        <v>3.94</v>
      </c>
      <c r="AD196" s="36" t="n">
        <v>4.93</v>
      </c>
      <c r="AE196" s="36" t="n">
        <v>2.63</v>
      </c>
      <c r="AF196" s="28" t="n">
        <v>3.86</v>
      </c>
      <c r="AG196" s="36" t="n">
        <v>3.1</v>
      </c>
      <c r="AH196" s="37" t="n">
        <v>3.1</v>
      </c>
      <c r="AI196" s="37" t="n">
        <v>3.22</v>
      </c>
      <c r="AJ196" s="37" t="n">
        <v>3.54</v>
      </c>
      <c r="AK196" s="37" t="n">
        <v>3.42</v>
      </c>
      <c r="AL196" s="37" t="n">
        <v>2.43</v>
      </c>
      <c r="AM196" s="37" t="n">
        <v>3.82</v>
      </c>
      <c r="AN196" s="37" t="n">
        <v>3.18</v>
      </c>
      <c r="AO196" s="37" t="n">
        <v>3.1</v>
      </c>
      <c r="AP196" s="37" t="n">
        <v>3.14</v>
      </c>
      <c r="AQ196" s="37" t="n">
        <v>3.14</v>
      </c>
      <c r="AR196" s="37" t="n">
        <v>3.14</v>
      </c>
      <c r="AS196" s="37" t="n">
        <v>2.31</v>
      </c>
      <c r="AT196" s="37" t="n">
        <v>4.02</v>
      </c>
      <c r="AU196" s="37" t="n">
        <v>3.62</v>
      </c>
      <c r="AV196" s="37" t="n">
        <v>3.22</v>
      </c>
      <c r="AW196" s="37" t="n">
        <v>3.1</v>
      </c>
      <c r="AX196" s="37" t="n">
        <v>3.1</v>
      </c>
      <c r="AY196" s="37" t="n">
        <v>3.14</v>
      </c>
      <c r="AZ196" s="37" t="n">
        <v>2.31</v>
      </c>
      <c r="BA196" s="37" t="n">
        <v>3.54</v>
      </c>
      <c r="BB196" s="37" t="n">
        <v>0.84</v>
      </c>
      <c r="BC196" s="37" t="n">
        <v>0.52</v>
      </c>
      <c r="BD196" s="37" t="n">
        <v>0.6</v>
      </c>
      <c r="BE196" s="37" t="n">
        <v>0.84</v>
      </c>
      <c r="BF196" s="37" t="n">
        <v>0.88</v>
      </c>
      <c r="BG196" s="37" t="n">
        <v>0.6</v>
      </c>
      <c r="BH196" s="37" t="n">
        <v>1.11</v>
      </c>
      <c r="BI196" s="37" t="n">
        <v>0.92</v>
      </c>
      <c r="BJ196" s="37" t="n">
        <v>1.15</v>
      </c>
      <c r="BK196" s="37" t="n">
        <v>0.88</v>
      </c>
      <c r="BL196" s="37" t="n">
        <v>0.84</v>
      </c>
      <c r="BM196" s="37" t="n">
        <v>0.88</v>
      </c>
      <c r="BN196" s="37" t="n">
        <v>0.6</v>
      </c>
      <c r="BO196" s="37" t="n">
        <v>1.35</v>
      </c>
      <c r="BP196" s="37" t="n">
        <v>1.03</v>
      </c>
      <c r="BQ196" s="37" t="n">
        <v>0.88</v>
      </c>
      <c r="BR196" s="37" t="n">
        <v>0.88</v>
      </c>
      <c r="BS196" s="37" t="n">
        <v>0.84</v>
      </c>
      <c r="BT196" s="37" t="n">
        <v>0.88</v>
      </c>
      <c r="BU196" s="37" t="n">
        <v>0.6</v>
      </c>
      <c r="BV196" s="37" t="n">
        <v>1.03</v>
      </c>
      <c r="BW196" s="37" t="n">
        <v>0.92</v>
      </c>
      <c r="BX196" s="37" t="n">
        <v>0.88</v>
      </c>
      <c r="BY196" s="37" t="n">
        <v>0.88</v>
      </c>
      <c r="BZ196" s="37" t="n">
        <v>0.84</v>
      </c>
      <c r="CA196" s="37" t="n">
        <v>0.88</v>
      </c>
      <c r="CB196" s="37" t="n">
        <v>0.6</v>
      </c>
      <c r="CC196" s="37" t="n">
        <v>160.7499999999999</v>
      </c>
    </row>
    <row r="197" ht="15.75" customHeight="1" s="57">
      <c r="A197" s="7" t="inlineStr">
        <is>
          <t>NTB</t>
        </is>
      </c>
      <c r="B197" s="7" t="inlineStr">
        <is>
          <t>Khánh Hòa</t>
        </is>
      </c>
      <c r="C197" s="7" t="n">
        <v>20694000</v>
      </c>
      <c r="D197" s="7" t="inlineStr">
        <is>
          <t>(KHO) Ninh Hòa 1</t>
        </is>
      </c>
      <c r="E197" s="7" t="inlineStr">
        <is>
          <t>SME</t>
        </is>
      </c>
      <c r="F197" s="36" t="n">
        <v>116</v>
      </c>
      <c r="G197" s="36" t="n">
        <v>179</v>
      </c>
      <c r="H197" s="36" t="n">
        <v>177</v>
      </c>
      <c r="I197" s="36" t="n">
        <v>133</v>
      </c>
      <c r="J197" s="36" t="n">
        <v>162</v>
      </c>
      <c r="K197" s="28" t="n">
        <v>165</v>
      </c>
      <c r="L197" s="36" t="n">
        <v>130</v>
      </c>
      <c r="M197" s="36" t="n">
        <v>131</v>
      </c>
      <c r="N197" s="36" t="n">
        <v>147</v>
      </c>
      <c r="O197" s="36" t="n">
        <v>120</v>
      </c>
      <c r="P197" s="36" t="n">
        <v>133</v>
      </c>
      <c r="Q197" s="36" t="n">
        <v>145</v>
      </c>
      <c r="R197" s="28" t="n">
        <v>144</v>
      </c>
      <c r="S197" s="36" t="n">
        <v>92</v>
      </c>
      <c r="T197" s="36" t="n">
        <v>149</v>
      </c>
      <c r="U197" s="36" t="n">
        <v>165.12</v>
      </c>
      <c r="V197" s="36" t="n">
        <v>170.93</v>
      </c>
      <c r="W197" s="36" t="n">
        <v>166.24</v>
      </c>
      <c r="X197" s="36" t="n">
        <v>136.05</v>
      </c>
      <c r="Y197" s="28" t="n">
        <v>184.2</v>
      </c>
      <c r="Z197" s="36" t="n">
        <v>169.66</v>
      </c>
      <c r="AA197" s="36" t="n">
        <v>165.48</v>
      </c>
      <c r="AB197" s="36" t="n">
        <v>165.12</v>
      </c>
      <c r="AC197" s="36" t="n">
        <v>170.93</v>
      </c>
      <c r="AD197" s="36" t="n">
        <v>167.83</v>
      </c>
      <c r="AE197" s="36" t="n">
        <v>136.05</v>
      </c>
      <c r="AF197" s="28" t="n">
        <v>184.2</v>
      </c>
      <c r="AG197" s="36" t="n">
        <v>169.66</v>
      </c>
      <c r="AH197" s="37" t="n">
        <v>165.48</v>
      </c>
      <c r="AI197" s="37" t="n">
        <v>165.12</v>
      </c>
      <c r="AJ197" s="37" t="n">
        <v>170.93</v>
      </c>
      <c r="AK197" s="37" t="n">
        <v>166.24</v>
      </c>
      <c r="AL197" s="37" t="n">
        <v>136.05</v>
      </c>
      <c r="AM197" s="37" t="n">
        <v>184.2</v>
      </c>
      <c r="AN197" s="37" t="n">
        <v>169.66</v>
      </c>
      <c r="AO197" s="37" t="n">
        <v>165.48</v>
      </c>
      <c r="AP197" s="37" t="n">
        <v>165.12</v>
      </c>
      <c r="AQ197" s="37" t="n">
        <v>170.93</v>
      </c>
      <c r="AR197" s="37" t="n">
        <v>166.24</v>
      </c>
      <c r="AS197" s="37" t="n">
        <v>136.05</v>
      </c>
      <c r="AT197" s="37" t="n">
        <v>184.2</v>
      </c>
      <c r="AU197" s="37" t="n">
        <v>169.66</v>
      </c>
      <c r="AV197" s="37" t="n">
        <v>165.48</v>
      </c>
      <c r="AW197" s="37" t="n">
        <v>165.12</v>
      </c>
      <c r="AX197" s="37" t="n">
        <v>170.93</v>
      </c>
      <c r="AY197" s="37" t="n">
        <v>166.24</v>
      </c>
      <c r="AZ197" s="37" t="n">
        <v>136.05</v>
      </c>
      <c r="BA197" s="37" t="n">
        <v>165.78</v>
      </c>
      <c r="BB197" s="37" t="n">
        <v>148.79</v>
      </c>
      <c r="BC197" s="37" t="n">
        <v>94.03</v>
      </c>
      <c r="BD197" s="37" t="n">
        <v>93.64999999999999</v>
      </c>
      <c r="BE197" s="37" t="n">
        <v>158.77</v>
      </c>
      <c r="BF197" s="37" t="n">
        <v>154.41</v>
      </c>
      <c r="BG197" s="37" t="n">
        <v>140.19</v>
      </c>
      <c r="BH197" s="37" t="n">
        <v>190.07</v>
      </c>
      <c r="BI197" s="37" t="n">
        <v>175.03</v>
      </c>
      <c r="BJ197" s="37" t="n">
        <v>172.25</v>
      </c>
      <c r="BK197" s="37" t="n">
        <v>170.35</v>
      </c>
      <c r="BL197" s="37" t="n">
        <v>176.32</v>
      </c>
      <c r="BM197" s="37" t="n">
        <v>171.51</v>
      </c>
      <c r="BN197" s="37" t="n">
        <v>140.19</v>
      </c>
      <c r="BO197" s="37" t="n">
        <v>190.07</v>
      </c>
      <c r="BP197" s="37" t="n">
        <v>175.03</v>
      </c>
      <c r="BQ197" s="37" t="n">
        <v>170.67</v>
      </c>
      <c r="BR197" s="37" t="n">
        <v>170.35</v>
      </c>
      <c r="BS197" s="37" t="n">
        <v>176.32</v>
      </c>
      <c r="BT197" s="37" t="n">
        <v>171.51</v>
      </c>
      <c r="BU197" s="37" t="n">
        <v>140.19</v>
      </c>
      <c r="BV197" s="37" t="n">
        <v>190.07</v>
      </c>
      <c r="BW197" s="37" t="n">
        <v>175.03</v>
      </c>
      <c r="BX197" s="37" t="n">
        <v>170.67</v>
      </c>
      <c r="BY197" s="37" t="n">
        <v>170.35</v>
      </c>
      <c r="BZ197" s="37" t="n">
        <v>176.32</v>
      </c>
      <c r="CA197" s="37" t="n">
        <v>171.51</v>
      </c>
      <c r="CB197" s="37" t="n">
        <v>140.19</v>
      </c>
      <c r="CC197" s="37" t="n">
        <v>11933.27</v>
      </c>
    </row>
    <row r="198" ht="15.75" customHeight="1" s="57">
      <c r="A198" s="7" t="inlineStr">
        <is>
          <t>NTB</t>
        </is>
      </c>
      <c r="B198" s="7" t="inlineStr">
        <is>
          <t>Khánh Hòa</t>
        </is>
      </c>
      <c r="C198" s="7" t="n">
        <v>20694000</v>
      </c>
      <c r="D198" s="7" t="inlineStr">
        <is>
          <t>(KHO) Ninh Hòa 1</t>
        </is>
      </c>
      <c r="E198" s="7" t="inlineStr">
        <is>
          <t>SME-Bulky</t>
        </is>
      </c>
      <c r="F198" s="36" t="n">
        <v>4</v>
      </c>
      <c r="G198" s="36" t="n">
        <v>14</v>
      </c>
      <c r="H198" s="36" t="n">
        <v>7</v>
      </c>
      <c r="I198" s="36" t="n">
        <v>14</v>
      </c>
      <c r="J198" s="36" t="n">
        <v>8</v>
      </c>
      <c r="K198" s="28" t="n">
        <v>4</v>
      </c>
      <c r="L198" s="36" t="n">
        <v>7</v>
      </c>
      <c r="M198" s="36" t="n">
        <v>7</v>
      </c>
      <c r="N198" s="36" t="n">
        <v>8</v>
      </c>
      <c r="O198" s="36" t="n">
        <v>8</v>
      </c>
      <c r="P198" s="36" t="n">
        <v>5</v>
      </c>
      <c r="Q198" s="36" t="n">
        <v>8</v>
      </c>
      <c r="R198" s="28" t="n">
        <v>8</v>
      </c>
      <c r="S198" s="36" t="n">
        <v>4</v>
      </c>
      <c r="T198" s="36" t="n">
        <v>9</v>
      </c>
      <c r="U198" s="36" t="n">
        <v>7.43</v>
      </c>
      <c r="V198" s="36" t="n">
        <v>7.53</v>
      </c>
      <c r="W198" s="36" t="n">
        <v>6.99</v>
      </c>
      <c r="X198" s="36" t="n">
        <v>4.66</v>
      </c>
      <c r="Y198" s="28" t="n">
        <v>8.529999999999999</v>
      </c>
      <c r="Z198" s="36" t="n">
        <v>8.220000000000001</v>
      </c>
      <c r="AA198" s="36" t="n">
        <v>7.81</v>
      </c>
      <c r="AB198" s="36" t="n">
        <v>7.43</v>
      </c>
      <c r="AC198" s="36" t="n">
        <v>7.53</v>
      </c>
      <c r="AD198" s="36" t="n">
        <v>6.6</v>
      </c>
      <c r="AE198" s="36" t="n">
        <v>4.66</v>
      </c>
      <c r="AF198" s="28" t="n">
        <v>8.529999999999999</v>
      </c>
      <c r="AG198" s="36" t="n">
        <v>8.220000000000001</v>
      </c>
      <c r="AH198" s="37" t="n">
        <v>7.81</v>
      </c>
      <c r="AI198" s="37" t="n">
        <v>7.43</v>
      </c>
      <c r="AJ198" s="37" t="n">
        <v>7.53</v>
      </c>
      <c r="AK198" s="37" t="n">
        <v>6.99</v>
      </c>
      <c r="AL198" s="37" t="n">
        <v>4.66</v>
      </c>
      <c r="AM198" s="37" t="n">
        <v>8.529999999999999</v>
      </c>
      <c r="AN198" s="37" t="n">
        <v>8.220000000000001</v>
      </c>
      <c r="AO198" s="37" t="n">
        <v>7.81</v>
      </c>
      <c r="AP198" s="37" t="n">
        <v>7.43</v>
      </c>
      <c r="AQ198" s="37" t="n">
        <v>7.53</v>
      </c>
      <c r="AR198" s="37" t="n">
        <v>6.99</v>
      </c>
      <c r="AS198" s="37" t="n">
        <v>4.66</v>
      </c>
      <c r="AT198" s="37" t="n">
        <v>8.529999999999999</v>
      </c>
      <c r="AU198" s="37" t="n">
        <v>8.220000000000001</v>
      </c>
      <c r="AV198" s="37" t="n">
        <v>7.81</v>
      </c>
      <c r="AW198" s="37" t="n">
        <v>7.43</v>
      </c>
      <c r="AX198" s="37" t="n">
        <v>7.53</v>
      </c>
      <c r="AY198" s="37" t="n">
        <v>6.99</v>
      </c>
      <c r="AZ198" s="37" t="n">
        <v>4.66</v>
      </c>
      <c r="BA198" s="37" t="n">
        <v>8.49</v>
      </c>
      <c r="BB198" s="37" t="n">
        <v>4.41</v>
      </c>
      <c r="BC198" s="37" t="n">
        <v>2.23</v>
      </c>
      <c r="BD198" s="37" t="n">
        <v>2.04</v>
      </c>
      <c r="BE198" s="37" t="n">
        <v>3.81</v>
      </c>
      <c r="BF198" s="37" t="n">
        <v>3.52</v>
      </c>
      <c r="BG198" s="37" t="n">
        <v>2.81</v>
      </c>
      <c r="BH198" s="37" t="n">
        <v>5</v>
      </c>
      <c r="BI198" s="37" t="n">
        <v>4.93</v>
      </c>
      <c r="BJ198" s="37" t="n">
        <v>4.29</v>
      </c>
      <c r="BK198" s="37" t="n">
        <v>4.41</v>
      </c>
      <c r="BL198" s="37" t="n">
        <v>4.5</v>
      </c>
      <c r="BM198" s="37" t="n">
        <v>4.1</v>
      </c>
      <c r="BN198" s="37" t="n">
        <v>2.81</v>
      </c>
      <c r="BO198" s="37" t="n">
        <v>5</v>
      </c>
      <c r="BP198" s="37" t="n">
        <v>4.93</v>
      </c>
      <c r="BQ198" s="37" t="n">
        <v>4.6</v>
      </c>
      <c r="BR198" s="37" t="n">
        <v>4.41</v>
      </c>
      <c r="BS198" s="37" t="n">
        <v>4.5</v>
      </c>
      <c r="BT198" s="37" t="n">
        <v>4.1</v>
      </c>
      <c r="BU198" s="37" t="n">
        <v>2.81</v>
      </c>
      <c r="BV198" s="37" t="n">
        <v>5</v>
      </c>
      <c r="BW198" s="37" t="n">
        <v>4.93</v>
      </c>
      <c r="BX198" s="37" t="n">
        <v>4.6</v>
      </c>
      <c r="BY198" s="37" t="n">
        <v>4.41</v>
      </c>
      <c r="BZ198" s="37" t="n">
        <v>4.5</v>
      </c>
      <c r="CA198" s="37" t="n">
        <v>4.1</v>
      </c>
      <c r="CB198" s="37" t="n">
        <v>2.81</v>
      </c>
      <c r="CC198" s="37" t="n">
        <v>463.9500000000004</v>
      </c>
    </row>
    <row r="199" ht="15.75" customHeight="1" s="57">
      <c r="A199" s="7" t="inlineStr">
        <is>
          <t>NTB</t>
        </is>
      </c>
      <c r="B199" s="7" t="inlineStr">
        <is>
          <t>Khánh Hòa</t>
        </is>
      </c>
      <c r="C199" s="7" t="n">
        <v>20694000</v>
      </c>
      <c r="D199" s="7" t="inlineStr">
        <is>
          <t>(KHO) Ninh Hòa 1</t>
        </is>
      </c>
      <c r="E199" s="7" t="inlineStr">
        <is>
          <t>Shopee</t>
        </is>
      </c>
      <c r="F199" s="36" t="n">
        <v>74</v>
      </c>
      <c r="G199" s="36" t="n">
        <v>105</v>
      </c>
      <c r="H199" s="36" t="n">
        <v>89</v>
      </c>
      <c r="I199" s="36" t="n">
        <v>88</v>
      </c>
      <c r="J199" s="36" t="n">
        <v>84</v>
      </c>
      <c r="K199" s="28" t="n">
        <v>69</v>
      </c>
      <c r="L199" s="36" t="n">
        <v>60</v>
      </c>
      <c r="M199" s="36" t="n">
        <v>77</v>
      </c>
      <c r="N199" s="36" t="n">
        <v>97</v>
      </c>
      <c r="O199" s="36" t="n">
        <v>77</v>
      </c>
      <c r="P199" s="36" t="n">
        <v>88</v>
      </c>
      <c r="Q199" s="36" t="n">
        <v>56</v>
      </c>
      <c r="R199" s="28" t="n">
        <v>41</v>
      </c>
      <c r="S199" s="36" t="n">
        <v>60</v>
      </c>
      <c r="T199" s="36" t="n">
        <v>86</v>
      </c>
      <c r="U199" s="36" t="n">
        <v>125.5</v>
      </c>
      <c r="V199" s="36" t="n">
        <v>125.98</v>
      </c>
      <c r="W199" s="36" t="n">
        <v>124.18</v>
      </c>
      <c r="X199" s="36" t="n">
        <v>100.97</v>
      </c>
      <c r="Y199" s="28" t="n">
        <v>169.15</v>
      </c>
      <c r="Z199" s="36" t="n">
        <v>133.77</v>
      </c>
      <c r="AA199" s="36" t="n">
        <v>184.02</v>
      </c>
      <c r="AB199" s="36" t="n">
        <v>128.01</v>
      </c>
      <c r="AC199" s="36" t="n">
        <v>103.45</v>
      </c>
      <c r="AD199" s="36" t="n">
        <v>317.79</v>
      </c>
      <c r="AE199" s="36" t="n">
        <v>108.15</v>
      </c>
      <c r="AF199" s="28" t="n">
        <v>192.61</v>
      </c>
      <c r="AG199" s="36" t="n">
        <v>140.53</v>
      </c>
      <c r="AH199" s="37" t="n">
        <v>148.39</v>
      </c>
      <c r="AI199" s="37" t="n">
        <v>125.5</v>
      </c>
      <c r="AJ199" s="37" t="n">
        <v>125.98</v>
      </c>
      <c r="AK199" s="37" t="n">
        <v>167.54</v>
      </c>
      <c r="AL199" s="37" t="n">
        <v>181.22</v>
      </c>
      <c r="AM199" s="37" t="n">
        <v>169.15</v>
      </c>
      <c r="AN199" s="37" t="n">
        <v>133.77</v>
      </c>
      <c r="AO199" s="37" t="n">
        <v>148.39</v>
      </c>
      <c r="AP199" s="37" t="n">
        <v>156.56</v>
      </c>
      <c r="AQ199" s="37" t="n">
        <v>101.01</v>
      </c>
      <c r="AR199" s="37" t="n">
        <v>124.18</v>
      </c>
      <c r="AS199" s="37" t="n">
        <v>100.97</v>
      </c>
      <c r="AT199" s="37" t="n">
        <v>169.15</v>
      </c>
      <c r="AU199" s="37" t="n">
        <v>136.54</v>
      </c>
      <c r="AV199" s="37" t="n">
        <v>151.38</v>
      </c>
      <c r="AW199" s="37" t="n">
        <v>125.5</v>
      </c>
      <c r="AX199" s="37" t="n">
        <v>125.98</v>
      </c>
      <c r="AY199" s="37" t="n">
        <v>124.18</v>
      </c>
      <c r="AZ199" s="37" t="n">
        <v>100.97</v>
      </c>
      <c r="BA199" s="37" t="n">
        <v>130.26</v>
      </c>
      <c r="BB199" s="37" t="n">
        <v>113.56</v>
      </c>
      <c r="BC199" s="37" t="n">
        <v>57.84</v>
      </c>
      <c r="BD199" s="37" t="n">
        <v>102.81</v>
      </c>
      <c r="BE199" s="37" t="n">
        <v>120.03</v>
      </c>
      <c r="BF199" s="37" t="n">
        <v>118.32</v>
      </c>
      <c r="BG199" s="37" t="n">
        <v>98.17</v>
      </c>
      <c r="BH199" s="37" t="n">
        <v>161.16</v>
      </c>
      <c r="BI199" s="37" t="n">
        <v>104.84</v>
      </c>
      <c r="BJ199" s="37" t="n">
        <v>451.15</v>
      </c>
      <c r="BK199" s="37" t="n">
        <v>127.88</v>
      </c>
      <c r="BL199" s="37" t="n">
        <v>125.82</v>
      </c>
      <c r="BM199" s="37" t="n">
        <v>118.32</v>
      </c>
      <c r="BN199" s="37" t="n">
        <v>96.20999999999999</v>
      </c>
      <c r="BO199" s="37" t="n">
        <v>161.16</v>
      </c>
      <c r="BP199" s="37" t="n">
        <v>171.92</v>
      </c>
      <c r="BQ199" s="37" t="n">
        <v>253.93</v>
      </c>
      <c r="BR199" s="37" t="n">
        <v>119.55</v>
      </c>
      <c r="BS199" s="37" t="n">
        <v>120.03</v>
      </c>
      <c r="BT199" s="37" t="n">
        <v>118.32</v>
      </c>
      <c r="BU199" s="37" t="n">
        <v>120.09</v>
      </c>
      <c r="BV199" s="37" t="n">
        <v>128.98</v>
      </c>
      <c r="BW199" s="37" t="n">
        <v>127.4</v>
      </c>
      <c r="BX199" s="37" t="n">
        <v>141.34</v>
      </c>
      <c r="BY199" s="37" t="n">
        <v>119.55</v>
      </c>
      <c r="BZ199" s="37" t="n">
        <v>122.51</v>
      </c>
      <c r="CA199" s="37" t="n">
        <v>120.64</v>
      </c>
      <c r="CB199" s="37" t="n">
        <v>96.20999999999999</v>
      </c>
      <c r="CC199" s="37" t="n">
        <v>9569.469999999998</v>
      </c>
    </row>
    <row r="200" ht="15.75" customHeight="1" s="57">
      <c r="A200" s="7" t="inlineStr">
        <is>
          <t>NTB</t>
        </is>
      </c>
      <c r="B200" s="7" t="inlineStr">
        <is>
          <t>Khánh Hòa</t>
        </is>
      </c>
      <c r="C200" s="7" t="n">
        <v>20694000</v>
      </c>
      <c r="D200" s="7" t="inlineStr">
        <is>
          <t>(KHO) Ninh Hòa 1</t>
        </is>
      </c>
      <c r="E200" s="7" t="inlineStr">
        <is>
          <t>Shopee-Bulky</t>
        </is>
      </c>
      <c r="F200" s="36" t="n">
        <v>10.25</v>
      </c>
      <c r="G200" s="36" t="n">
        <v>12.17</v>
      </c>
      <c r="H200" s="36" t="n">
        <v>12.81</v>
      </c>
      <c r="I200" s="36" t="n">
        <v>8.32</v>
      </c>
      <c r="J200" s="36" t="n">
        <v>6.4</v>
      </c>
      <c r="K200" s="28" t="n">
        <v>3.2</v>
      </c>
      <c r="L200" s="36" t="n">
        <v>7.04</v>
      </c>
      <c r="M200" s="36" t="n">
        <v>9.609999999999999</v>
      </c>
      <c r="N200" s="36" t="n">
        <v>5.76</v>
      </c>
      <c r="O200" s="36" t="n">
        <v>6.4</v>
      </c>
      <c r="P200" s="36" t="n">
        <v>6.4</v>
      </c>
      <c r="Q200" s="36" t="n">
        <v>10.25</v>
      </c>
      <c r="R200" s="28" t="n">
        <v>7.04</v>
      </c>
      <c r="S200" s="36" t="n">
        <v>7.04</v>
      </c>
      <c r="T200" s="36" t="n">
        <v>6.4</v>
      </c>
      <c r="U200" s="36" t="n">
        <v>6.38</v>
      </c>
      <c r="V200" s="36" t="n">
        <v>6.18</v>
      </c>
      <c r="W200" s="36" t="n">
        <v>8.630000000000001</v>
      </c>
      <c r="X200" s="36" t="n">
        <v>4.76</v>
      </c>
      <c r="Y200" s="28" t="n">
        <v>9.41</v>
      </c>
      <c r="Z200" s="36" t="n">
        <v>7.34</v>
      </c>
      <c r="AA200" s="36" t="n">
        <v>7.11</v>
      </c>
      <c r="AB200" s="36" t="n">
        <v>7.26</v>
      </c>
      <c r="AC200" s="36" t="n">
        <v>7.68</v>
      </c>
      <c r="AD200" s="36" t="n">
        <v>21.35</v>
      </c>
      <c r="AE200" s="36" t="n">
        <v>12.23</v>
      </c>
      <c r="AF200" s="28" t="n">
        <v>18.55</v>
      </c>
      <c r="AG200" s="36" t="n">
        <v>10.49</v>
      </c>
      <c r="AH200" s="37" t="n">
        <v>7.28</v>
      </c>
      <c r="AI200" s="37" t="n">
        <v>7.11</v>
      </c>
      <c r="AJ200" s="37" t="n">
        <v>7</v>
      </c>
      <c r="AK200" s="37" t="n">
        <v>15.89</v>
      </c>
      <c r="AL200" s="37" t="n">
        <v>8.029999999999999</v>
      </c>
      <c r="AM200" s="37" t="n">
        <v>11.56</v>
      </c>
      <c r="AN200" s="37" t="n">
        <v>7.23</v>
      </c>
      <c r="AO200" s="37" t="n">
        <v>7.07</v>
      </c>
      <c r="AP200" s="37" t="n">
        <v>9.74</v>
      </c>
      <c r="AQ200" s="37" t="n">
        <v>9.57</v>
      </c>
      <c r="AR200" s="37" t="n">
        <v>7.82</v>
      </c>
      <c r="AS200" s="37" t="n">
        <v>4.19</v>
      </c>
      <c r="AT200" s="37" t="n">
        <v>8.609999999999999</v>
      </c>
      <c r="AU200" s="37" t="n">
        <v>14.1</v>
      </c>
      <c r="AV200" s="37" t="n">
        <v>14.66</v>
      </c>
      <c r="AW200" s="37" t="n">
        <v>7.15</v>
      </c>
      <c r="AX200" s="37" t="n">
        <v>6.71</v>
      </c>
      <c r="AY200" s="37" t="n">
        <v>7.49</v>
      </c>
      <c r="AZ200" s="37" t="n">
        <v>4.01</v>
      </c>
      <c r="BA200" s="37" t="n">
        <v>7.84</v>
      </c>
      <c r="BB200" s="37" t="n">
        <v>7.36</v>
      </c>
      <c r="BC200" s="37" t="n">
        <v>2.54</v>
      </c>
      <c r="BD200" s="37" t="n">
        <v>6.25</v>
      </c>
      <c r="BE200" s="37" t="n">
        <v>7.76</v>
      </c>
      <c r="BF200" s="37" t="n">
        <v>6.78</v>
      </c>
      <c r="BG200" s="37" t="n">
        <v>5.45</v>
      </c>
      <c r="BH200" s="37" t="n">
        <v>10.05</v>
      </c>
      <c r="BI200" s="37" t="n">
        <v>8.550000000000001</v>
      </c>
      <c r="BJ200" s="37" t="n">
        <v>33.75</v>
      </c>
      <c r="BK200" s="37" t="n">
        <v>18.24</v>
      </c>
      <c r="BL200" s="37" t="n">
        <v>9.380000000000001</v>
      </c>
      <c r="BM200" s="37" t="n">
        <v>7.09</v>
      </c>
      <c r="BN200" s="37" t="n">
        <v>5.31</v>
      </c>
      <c r="BO200" s="37" t="n">
        <v>11.77</v>
      </c>
      <c r="BP200" s="37" t="n">
        <v>17.04</v>
      </c>
      <c r="BQ200" s="37" t="n">
        <v>12.45</v>
      </c>
      <c r="BR200" s="37" t="n">
        <v>8.130000000000001</v>
      </c>
      <c r="BS200" s="37" t="n">
        <v>7.76</v>
      </c>
      <c r="BT200" s="37" t="n">
        <v>6.78</v>
      </c>
      <c r="BU200" s="37" t="n">
        <v>7.88</v>
      </c>
      <c r="BV200" s="37" t="n">
        <v>10.65</v>
      </c>
      <c r="BW200" s="37" t="n">
        <v>8.550000000000001</v>
      </c>
      <c r="BX200" s="37" t="n">
        <v>8.279999999999999</v>
      </c>
      <c r="BY200" s="37" t="n">
        <v>8.130000000000001</v>
      </c>
      <c r="BZ200" s="37" t="n">
        <v>13.92</v>
      </c>
      <c r="CA200" s="37" t="n">
        <v>8.08</v>
      </c>
      <c r="CB200" s="37" t="n">
        <v>5.16</v>
      </c>
      <c r="CC200" s="37" t="n">
        <v>682.6099999999998</v>
      </c>
    </row>
    <row r="201" ht="15.75" customHeight="1" s="57">
      <c r="A201" s="7" t="inlineStr">
        <is>
          <t>NTB</t>
        </is>
      </c>
      <c r="B201" s="7" t="inlineStr">
        <is>
          <t>Khánh Hòa</t>
        </is>
      </c>
      <c r="C201" s="7" t="n">
        <v>20694000</v>
      </c>
      <c r="D201" s="7" t="inlineStr">
        <is>
          <t>(KHO) Ninh Hòa 1</t>
        </is>
      </c>
      <c r="E201" s="7" t="inlineStr">
        <is>
          <t>Shopee-Bulky (10-15kg)</t>
        </is>
      </c>
      <c r="F201" s="36" t="n">
        <v>5.75</v>
      </c>
      <c r="G201" s="36" t="n">
        <v>6.83</v>
      </c>
      <c r="H201" s="36" t="n">
        <v>7.19</v>
      </c>
      <c r="I201" s="36" t="n">
        <v>4.68</v>
      </c>
      <c r="J201" s="36" t="n">
        <v>3.6</v>
      </c>
      <c r="K201" s="28" t="n">
        <v>1.8</v>
      </c>
      <c r="L201" s="36" t="n">
        <v>3.96</v>
      </c>
      <c r="M201" s="36" t="n">
        <v>5.39</v>
      </c>
      <c r="N201" s="36" t="n">
        <v>3.24</v>
      </c>
      <c r="O201" s="36" t="n">
        <v>3.6</v>
      </c>
      <c r="P201" s="36" t="n">
        <v>3.6</v>
      </c>
      <c r="Q201" s="36" t="n">
        <v>5.75</v>
      </c>
      <c r="R201" s="28" t="n">
        <v>3.96</v>
      </c>
      <c r="S201" s="36" t="n">
        <v>3.96</v>
      </c>
      <c r="T201" s="36" t="n">
        <v>3.6</v>
      </c>
      <c r="U201" s="36" t="n">
        <v>3.82</v>
      </c>
      <c r="V201" s="36" t="n">
        <v>3.66</v>
      </c>
      <c r="W201" s="36" t="n">
        <v>4.72</v>
      </c>
      <c r="X201" s="36" t="n">
        <v>2.65</v>
      </c>
      <c r="Y201" s="28" t="n">
        <v>5.38</v>
      </c>
      <c r="Z201" s="36" t="n">
        <v>4.2</v>
      </c>
      <c r="AA201" s="36" t="n">
        <v>3.96</v>
      </c>
      <c r="AB201" s="36" t="n">
        <v>4.14</v>
      </c>
      <c r="AC201" s="36" t="n">
        <v>4.29</v>
      </c>
      <c r="AD201" s="36" t="n">
        <v>16</v>
      </c>
      <c r="AE201" s="36" t="n">
        <v>6.64</v>
      </c>
      <c r="AF201" s="28" t="n">
        <v>9.81</v>
      </c>
      <c r="AG201" s="36" t="n">
        <v>5.85</v>
      </c>
      <c r="AH201" s="37" t="n">
        <v>4.14</v>
      </c>
      <c r="AI201" s="37" t="n">
        <v>4</v>
      </c>
      <c r="AJ201" s="37" t="n">
        <v>3.92</v>
      </c>
      <c r="AK201" s="37" t="n">
        <v>9.07</v>
      </c>
      <c r="AL201" s="37" t="n">
        <v>4.56</v>
      </c>
      <c r="AM201" s="37" t="n">
        <v>6.54</v>
      </c>
      <c r="AN201" s="37" t="n">
        <v>4.14</v>
      </c>
      <c r="AO201" s="37" t="n">
        <v>3.99</v>
      </c>
      <c r="AP201" s="37" t="n">
        <v>5.17</v>
      </c>
      <c r="AQ201" s="37" t="n">
        <v>5.43</v>
      </c>
      <c r="AR201" s="37" t="n">
        <v>4.23</v>
      </c>
      <c r="AS201" s="37" t="n">
        <v>2.33</v>
      </c>
      <c r="AT201" s="37" t="n">
        <v>4.87</v>
      </c>
      <c r="AU201" s="37" t="n">
        <v>8.050000000000001</v>
      </c>
      <c r="AV201" s="37" t="n">
        <v>8.35</v>
      </c>
      <c r="AW201" s="37" t="n">
        <v>4.05</v>
      </c>
      <c r="AX201" s="37" t="n">
        <v>3.78</v>
      </c>
      <c r="AY201" s="37" t="n">
        <v>4.07</v>
      </c>
      <c r="AZ201" s="37" t="n">
        <v>2.25</v>
      </c>
      <c r="BA201" s="37" t="n">
        <v>4.44</v>
      </c>
      <c r="BB201" s="37" t="n">
        <v>4.26</v>
      </c>
      <c r="BC201" s="37" t="n">
        <v>1.43</v>
      </c>
      <c r="BD201" s="37" t="n">
        <v>3.39</v>
      </c>
      <c r="BE201" s="37" t="n">
        <v>4.37</v>
      </c>
      <c r="BF201" s="37" t="n">
        <v>3.73</v>
      </c>
      <c r="BG201" s="37" t="n">
        <v>3.05</v>
      </c>
      <c r="BH201" s="37" t="n">
        <v>5.83</v>
      </c>
      <c r="BI201" s="37" t="n">
        <v>4.95</v>
      </c>
      <c r="BJ201" s="37" t="n">
        <v>21.94</v>
      </c>
      <c r="BK201" s="37" t="n">
        <v>10.23</v>
      </c>
      <c r="BL201" s="37" t="n">
        <v>5.45</v>
      </c>
      <c r="BM201" s="37" t="n">
        <v>3.96</v>
      </c>
      <c r="BN201" s="37" t="n">
        <v>2.99</v>
      </c>
      <c r="BO201" s="37" t="n">
        <v>6.55</v>
      </c>
      <c r="BP201" s="37" t="n">
        <v>9.550000000000001</v>
      </c>
      <c r="BQ201" s="37" t="n">
        <v>7.03</v>
      </c>
      <c r="BR201" s="37" t="n">
        <v>4.7</v>
      </c>
      <c r="BS201" s="37" t="n">
        <v>4.37</v>
      </c>
      <c r="BT201" s="37" t="n">
        <v>3.73</v>
      </c>
      <c r="BU201" s="37" t="n">
        <v>4.53</v>
      </c>
      <c r="BV201" s="37" t="n">
        <v>6.02</v>
      </c>
      <c r="BW201" s="37" t="n">
        <v>4.95</v>
      </c>
      <c r="BX201" s="37" t="n">
        <v>4.73</v>
      </c>
      <c r="BY201" s="37" t="n">
        <v>4.7</v>
      </c>
      <c r="BZ201" s="37" t="n">
        <v>7.75</v>
      </c>
      <c r="CA201" s="37" t="n">
        <v>4.63</v>
      </c>
      <c r="CB201" s="37" t="n">
        <v>2.92</v>
      </c>
      <c r="CC201" s="37" t="n">
        <v>391.1499999999999</v>
      </c>
    </row>
    <row r="202" ht="15.75" customHeight="1" s="57">
      <c r="A202" s="7" t="inlineStr">
        <is>
          <t>NTB</t>
        </is>
      </c>
      <c r="B202" s="7" t="inlineStr">
        <is>
          <t>Khánh Hòa</t>
        </is>
      </c>
      <c r="C202" s="7" t="n">
        <v>20694000</v>
      </c>
      <c r="D202" s="7" t="inlineStr">
        <is>
          <t>(KHO) Ninh Hòa 1</t>
        </is>
      </c>
      <c r="E202" s="7" t="inlineStr">
        <is>
          <t>TTS</t>
        </is>
      </c>
      <c r="F202" s="36" t="n">
        <v>73</v>
      </c>
      <c r="G202" s="36" t="n">
        <v>142</v>
      </c>
      <c r="H202" s="36" t="n">
        <v>126</v>
      </c>
      <c r="I202" s="36" t="n">
        <v>81</v>
      </c>
      <c r="J202" s="36" t="n">
        <v>148</v>
      </c>
      <c r="K202" s="28" t="n">
        <v>100</v>
      </c>
      <c r="L202" s="36" t="n">
        <v>78</v>
      </c>
      <c r="M202" s="36" t="n">
        <v>101</v>
      </c>
      <c r="N202" s="36" t="n">
        <v>98</v>
      </c>
      <c r="O202" s="36" t="n">
        <v>104</v>
      </c>
      <c r="P202" s="36" t="n">
        <v>103</v>
      </c>
      <c r="Q202" s="36" t="n">
        <v>105</v>
      </c>
      <c r="R202" s="28" t="n">
        <v>90</v>
      </c>
      <c r="S202" s="36" t="n">
        <v>91</v>
      </c>
      <c r="T202" s="36" t="n">
        <v>136</v>
      </c>
      <c r="U202" s="36" t="n">
        <v>87.91</v>
      </c>
      <c r="V202" s="36" t="n">
        <v>86.25999999999999</v>
      </c>
      <c r="W202" s="36" t="n">
        <v>84.39</v>
      </c>
      <c r="X202" s="36" t="n">
        <v>68.02</v>
      </c>
      <c r="Y202" s="28" t="n">
        <v>99.14</v>
      </c>
      <c r="Z202" s="36" t="n">
        <v>84.03</v>
      </c>
      <c r="AA202" s="36" t="n">
        <v>93.5</v>
      </c>
      <c r="AB202" s="36" t="n">
        <v>103.86</v>
      </c>
      <c r="AC202" s="36" t="n">
        <v>109.51</v>
      </c>
      <c r="AD202" s="36" t="n">
        <v>120.64</v>
      </c>
      <c r="AE202" s="36" t="n">
        <v>79.11</v>
      </c>
      <c r="AF202" s="28" t="n">
        <v>102.08</v>
      </c>
      <c r="AG202" s="36" t="n">
        <v>85.94</v>
      </c>
      <c r="AH202" s="37" t="n">
        <v>85.03</v>
      </c>
      <c r="AI202" s="37" t="n">
        <v>97.23</v>
      </c>
      <c r="AJ202" s="37" t="n">
        <v>104.47</v>
      </c>
      <c r="AK202" s="37" t="n">
        <v>103.04</v>
      </c>
      <c r="AL202" s="37" t="n">
        <v>73.28999999999999</v>
      </c>
      <c r="AM202" s="37" t="n">
        <v>100.66</v>
      </c>
      <c r="AN202" s="37" t="n">
        <v>86.81</v>
      </c>
      <c r="AO202" s="37" t="n">
        <v>86.48</v>
      </c>
      <c r="AP202" s="37" t="n">
        <v>83.84</v>
      </c>
      <c r="AQ202" s="37" t="n">
        <v>84.58</v>
      </c>
      <c r="AR202" s="37" t="n">
        <v>83.09</v>
      </c>
      <c r="AS202" s="37" t="n">
        <v>68.25</v>
      </c>
      <c r="AT202" s="37" t="n">
        <v>109.12</v>
      </c>
      <c r="AU202" s="37" t="n">
        <v>98.71000000000001</v>
      </c>
      <c r="AV202" s="37" t="n">
        <v>87.70999999999999</v>
      </c>
      <c r="AW202" s="37" t="n">
        <v>82.86</v>
      </c>
      <c r="AX202" s="37" t="n">
        <v>82.41</v>
      </c>
      <c r="AY202" s="37" t="n">
        <v>82.02</v>
      </c>
      <c r="AZ202" s="37" t="n">
        <v>68.28</v>
      </c>
      <c r="BA202" s="37" t="n">
        <v>98.33</v>
      </c>
      <c r="BB202" s="37" t="n">
        <v>91.79000000000001</v>
      </c>
      <c r="BC202" s="37" t="n">
        <v>54.29</v>
      </c>
      <c r="BD202" s="37" t="n">
        <v>79.23999999999999</v>
      </c>
      <c r="BE202" s="37" t="n">
        <v>93.25</v>
      </c>
      <c r="BF202" s="37" t="n">
        <v>90.59</v>
      </c>
      <c r="BG202" s="37" t="n">
        <v>73.34999999999999</v>
      </c>
      <c r="BH202" s="37" t="n">
        <v>108.96</v>
      </c>
      <c r="BI202" s="37" t="n">
        <v>91.79000000000001</v>
      </c>
      <c r="BJ202" s="37" t="n">
        <v>91.78</v>
      </c>
      <c r="BK202" s="37" t="n">
        <v>93.12</v>
      </c>
      <c r="BL202" s="37" t="n">
        <v>93.25</v>
      </c>
      <c r="BM202" s="37" t="n">
        <v>90.59</v>
      </c>
      <c r="BN202" s="37" t="n">
        <v>73.34999999999999</v>
      </c>
      <c r="BO202" s="37" t="n">
        <v>108.96</v>
      </c>
      <c r="BP202" s="37" t="n">
        <v>91.79000000000001</v>
      </c>
      <c r="BQ202" s="37" t="n">
        <v>90.72</v>
      </c>
      <c r="BR202" s="37" t="n">
        <v>93.12</v>
      </c>
      <c r="BS202" s="37" t="n">
        <v>93.25</v>
      </c>
      <c r="BT202" s="37" t="n">
        <v>90.59</v>
      </c>
      <c r="BU202" s="37" t="n">
        <v>73.34999999999999</v>
      </c>
      <c r="BV202" s="37" t="n">
        <v>108.96</v>
      </c>
      <c r="BW202" s="37" t="n">
        <v>91.79000000000001</v>
      </c>
      <c r="BX202" s="37" t="n">
        <v>90.72</v>
      </c>
      <c r="BY202" s="37" t="n">
        <v>93.12</v>
      </c>
      <c r="BZ202" s="37" t="n">
        <v>93.25</v>
      </c>
      <c r="CA202" s="37" t="n">
        <v>90.59</v>
      </c>
      <c r="CB202" s="37" t="n">
        <v>73.34999999999999</v>
      </c>
      <c r="CC202" s="37" t="n">
        <v>6955.510000000002</v>
      </c>
    </row>
    <row r="203" ht="15.75" customHeight="1" s="57">
      <c r="A203" s="7" t="inlineStr">
        <is>
          <t>NTB</t>
        </is>
      </c>
      <c r="B203" s="7" t="inlineStr">
        <is>
          <t>Khánh Hòa</t>
        </is>
      </c>
      <c r="C203" s="7" t="n">
        <v>20694000</v>
      </c>
      <c r="D203" s="7" t="inlineStr">
        <is>
          <t>(KHO) Ninh Hòa 1</t>
        </is>
      </c>
      <c r="E203" s="7" t="inlineStr">
        <is>
          <t>TTS-Bulky</t>
        </is>
      </c>
      <c r="F203" s="36" t="n">
        <v>3</v>
      </c>
      <c r="G203" s="36" t="n">
        <v>4</v>
      </c>
      <c r="H203" s="36" t="n">
        <v>3</v>
      </c>
      <c r="I203" s="36" t="n">
        <v>1</v>
      </c>
      <c r="J203" s="36" t="n">
        <v>0</v>
      </c>
      <c r="K203" s="28" t="n">
        <v>3</v>
      </c>
      <c r="L203" s="36" t="n">
        <v>0</v>
      </c>
      <c r="M203" s="36" t="n">
        <v>0</v>
      </c>
      <c r="N203" s="36" t="n">
        <v>2</v>
      </c>
      <c r="O203" s="36" t="n">
        <v>0</v>
      </c>
      <c r="P203" s="36" t="n">
        <v>1</v>
      </c>
      <c r="Q203" s="36" t="n">
        <v>1</v>
      </c>
      <c r="R203" s="28" t="n">
        <v>0</v>
      </c>
      <c r="S203" s="36" t="n">
        <v>1</v>
      </c>
      <c r="T203" s="36" t="n">
        <v>0</v>
      </c>
      <c r="U203" s="36" t="n">
        <v>4.6</v>
      </c>
      <c r="V203" s="36" t="n">
        <v>4.4</v>
      </c>
      <c r="W203" s="36" t="n">
        <v>2.21</v>
      </c>
      <c r="X203" s="36" t="n">
        <v>1.66</v>
      </c>
      <c r="Y203" s="28" t="n">
        <v>2.82</v>
      </c>
      <c r="Z203" s="36" t="n">
        <v>2.08</v>
      </c>
      <c r="AA203" s="36" t="n">
        <v>2.35</v>
      </c>
      <c r="AB203" s="36" t="n">
        <v>2.52</v>
      </c>
      <c r="AC203" s="36" t="n">
        <v>2.74</v>
      </c>
      <c r="AD203" s="36" t="n">
        <v>3.43</v>
      </c>
      <c r="AE203" s="36" t="n">
        <v>1.83</v>
      </c>
      <c r="AF203" s="28" t="n">
        <v>2.69</v>
      </c>
      <c r="AG203" s="36" t="n">
        <v>2.16</v>
      </c>
      <c r="AH203" s="37" t="n">
        <v>2.16</v>
      </c>
      <c r="AI203" s="37" t="n">
        <v>2.24</v>
      </c>
      <c r="AJ203" s="37" t="n">
        <v>2.46</v>
      </c>
      <c r="AK203" s="37" t="n">
        <v>2.38</v>
      </c>
      <c r="AL203" s="37" t="n">
        <v>1.69</v>
      </c>
      <c r="AM203" s="37" t="n">
        <v>2.66</v>
      </c>
      <c r="AN203" s="37" t="n">
        <v>2.21</v>
      </c>
      <c r="AO203" s="37" t="n">
        <v>2.16</v>
      </c>
      <c r="AP203" s="37" t="n">
        <v>2.19</v>
      </c>
      <c r="AQ203" s="37" t="n">
        <v>2.19</v>
      </c>
      <c r="AR203" s="37" t="n">
        <v>2.19</v>
      </c>
      <c r="AS203" s="37" t="n">
        <v>1.61</v>
      </c>
      <c r="AT203" s="37" t="n">
        <v>2.8</v>
      </c>
      <c r="AU203" s="37" t="n">
        <v>2.52</v>
      </c>
      <c r="AV203" s="37" t="n">
        <v>2.24</v>
      </c>
      <c r="AW203" s="37" t="n">
        <v>2.16</v>
      </c>
      <c r="AX203" s="37" t="n">
        <v>2.16</v>
      </c>
      <c r="AY203" s="37" t="n">
        <v>2.19</v>
      </c>
      <c r="AZ203" s="37" t="n">
        <v>1.61</v>
      </c>
      <c r="BA203" s="37" t="n">
        <v>2.46</v>
      </c>
      <c r="BB203" s="37" t="n">
        <v>0.58</v>
      </c>
      <c r="BC203" s="37" t="n">
        <v>0.36</v>
      </c>
      <c r="BD203" s="37" t="n">
        <v>0.42</v>
      </c>
      <c r="BE203" s="37" t="n">
        <v>0.58</v>
      </c>
      <c r="BF203" s="37" t="n">
        <v>0.61</v>
      </c>
      <c r="BG203" s="37" t="n">
        <v>0.42</v>
      </c>
      <c r="BH203" s="37" t="n">
        <v>0.78</v>
      </c>
      <c r="BI203" s="37" t="n">
        <v>0.64</v>
      </c>
      <c r="BJ203" s="37" t="n">
        <v>0.8</v>
      </c>
      <c r="BK203" s="37" t="n">
        <v>0.61</v>
      </c>
      <c r="BL203" s="37" t="n">
        <v>0.58</v>
      </c>
      <c r="BM203" s="37" t="n">
        <v>0.61</v>
      </c>
      <c r="BN203" s="37" t="n">
        <v>0.42</v>
      </c>
      <c r="BO203" s="37" t="n">
        <v>0.9399999999999999</v>
      </c>
      <c r="BP203" s="37" t="n">
        <v>0.72</v>
      </c>
      <c r="BQ203" s="37" t="n">
        <v>0.61</v>
      </c>
      <c r="BR203" s="37" t="n">
        <v>0.61</v>
      </c>
      <c r="BS203" s="37" t="n">
        <v>0.58</v>
      </c>
      <c r="BT203" s="37" t="n">
        <v>0.61</v>
      </c>
      <c r="BU203" s="37" t="n">
        <v>0.42</v>
      </c>
      <c r="BV203" s="37" t="n">
        <v>0.72</v>
      </c>
      <c r="BW203" s="37" t="n">
        <v>0.64</v>
      </c>
      <c r="BX203" s="37" t="n">
        <v>0.61</v>
      </c>
      <c r="BY203" s="37" t="n">
        <v>0.61</v>
      </c>
      <c r="BZ203" s="37" t="n">
        <v>0.58</v>
      </c>
      <c r="CA203" s="37" t="n">
        <v>0.61</v>
      </c>
      <c r="CB203" s="37" t="n">
        <v>0.42</v>
      </c>
      <c r="CC203" s="37" t="n">
        <v>114.8599999999999</v>
      </c>
    </row>
    <row r="204" ht="15.75" customHeight="1" s="57">
      <c r="A204" s="7" t="inlineStr">
        <is>
          <t>NTB</t>
        </is>
      </c>
      <c r="B204" s="7" t="inlineStr">
        <is>
          <t>Khánh Hòa</t>
        </is>
      </c>
      <c r="C204" s="7" t="n">
        <v>20784000</v>
      </c>
      <c r="D204" s="7" t="inlineStr">
        <is>
          <t>(KHO) Khánh Sơn</t>
        </is>
      </c>
      <c r="E204" s="7" t="inlineStr">
        <is>
          <t>SME</t>
        </is>
      </c>
      <c r="F204" s="36" t="n">
        <v>81</v>
      </c>
      <c r="G204" s="36" t="n">
        <v>92</v>
      </c>
      <c r="H204" s="36" t="n">
        <v>86</v>
      </c>
      <c r="I204" s="36" t="n">
        <v>95</v>
      </c>
      <c r="J204" s="36" t="n">
        <v>59</v>
      </c>
      <c r="K204" s="28" t="n">
        <v>69</v>
      </c>
      <c r="L204" s="36" t="n">
        <v>65</v>
      </c>
      <c r="M204" s="36" t="n">
        <v>59</v>
      </c>
      <c r="N204" s="36" t="n">
        <v>67</v>
      </c>
      <c r="O204" s="36" t="n">
        <v>66</v>
      </c>
      <c r="P204" s="36" t="n">
        <v>62</v>
      </c>
      <c r="Q204" s="36" t="n">
        <v>79</v>
      </c>
      <c r="R204" s="28" t="n">
        <v>74</v>
      </c>
      <c r="S204" s="36" t="n">
        <v>69</v>
      </c>
      <c r="T204" s="36" t="n">
        <v>79</v>
      </c>
      <c r="U204" s="36" t="n">
        <v>89.02000000000001</v>
      </c>
      <c r="V204" s="36" t="n">
        <v>92.16</v>
      </c>
      <c r="W204" s="36" t="n">
        <v>89.63</v>
      </c>
      <c r="X204" s="36" t="n">
        <v>73.36999999999999</v>
      </c>
      <c r="Y204" s="28" t="n">
        <v>99.30999999999999</v>
      </c>
      <c r="Z204" s="36" t="n">
        <v>91.48</v>
      </c>
      <c r="AA204" s="36" t="n">
        <v>89.22</v>
      </c>
      <c r="AB204" s="36" t="n">
        <v>89.02000000000001</v>
      </c>
      <c r="AC204" s="36" t="n">
        <v>92.16</v>
      </c>
      <c r="AD204" s="36" t="n">
        <v>90.76000000000001</v>
      </c>
      <c r="AE204" s="36" t="n">
        <v>73.36999999999999</v>
      </c>
      <c r="AF204" s="28" t="n">
        <v>99.30999999999999</v>
      </c>
      <c r="AG204" s="36" t="n">
        <v>91.48</v>
      </c>
      <c r="AH204" s="37" t="n">
        <v>89.22</v>
      </c>
      <c r="AI204" s="37" t="n">
        <v>89.02000000000001</v>
      </c>
      <c r="AJ204" s="37" t="n">
        <v>92.16</v>
      </c>
      <c r="AK204" s="37" t="n">
        <v>89.63</v>
      </c>
      <c r="AL204" s="37" t="n">
        <v>73.36999999999999</v>
      </c>
      <c r="AM204" s="37" t="n">
        <v>99.30999999999999</v>
      </c>
      <c r="AN204" s="37" t="n">
        <v>91.48</v>
      </c>
      <c r="AO204" s="37" t="n">
        <v>89.22</v>
      </c>
      <c r="AP204" s="37" t="n">
        <v>89.02000000000001</v>
      </c>
      <c r="AQ204" s="37" t="n">
        <v>92.16</v>
      </c>
      <c r="AR204" s="37" t="n">
        <v>89.63</v>
      </c>
      <c r="AS204" s="37" t="n">
        <v>73.36999999999999</v>
      </c>
      <c r="AT204" s="37" t="n">
        <v>99.30999999999999</v>
      </c>
      <c r="AU204" s="37" t="n">
        <v>91.48</v>
      </c>
      <c r="AV204" s="37" t="n">
        <v>89.22</v>
      </c>
      <c r="AW204" s="37" t="n">
        <v>89.02000000000001</v>
      </c>
      <c r="AX204" s="37" t="n">
        <v>92.16</v>
      </c>
      <c r="AY204" s="37" t="n">
        <v>89.63</v>
      </c>
      <c r="AZ204" s="37" t="n">
        <v>73.36999999999999</v>
      </c>
      <c r="BA204" s="37" t="n">
        <v>89.38</v>
      </c>
      <c r="BB204" s="37" t="n">
        <v>80.21000000000001</v>
      </c>
      <c r="BC204" s="37" t="n">
        <v>50.68</v>
      </c>
      <c r="BD204" s="37" t="n">
        <v>50.48</v>
      </c>
      <c r="BE204" s="37" t="n">
        <v>85.59</v>
      </c>
      <c r="BF204" s="37" t="n">
        <v>83.24000000000001</v>
      </c>
      <c r="BG204" s="37" t="n">
        <v>75.58</v>
      </c>
      <c r="BH204" s="37" t="n">
        <v>102.46</v>
      </c>
      <c r="BI204" s="37" t="n">
        <v>94.34999999999999</v>
      </c>
      <c r="BJ204" s="37" t="n">
        <v>93.12</v>
      </c>
      <c r="BK204" s="37" t="n">
        <v>91.81</v>
      </c>
      <c r="BL204" s="37" t="n">
        <v>95.06</v>
      </c>
      <c r="BM204" s="37" t="n">
        <v>92.46000000000001</v>
      </c>
      <c r="BN204" s="37" t="n">
        <v>75.58</v>
      </c>
      <c r="BO204" s="37" t="n">
        <v>102.46</v>
      </c>
      <c r="BP204" s="37" t="n">
        <v>94.34999999999999</v>
      </c>
      <c r="BQ204" s="37" t="n">
        <v>92.00999999999999</v>
      </c>
      <c r="BR204" s="37" t="n">
        <v>91.81</v>
      </c>
      <c r="BS204" s="37" t="n">
        <v>95.06</v>
      </c>
      <c r="BT204" s="37" t="n">
        <v>92.46000000000001</v>
      </c>
      <c r="BU204" s="37" t="n">
        <v>75.58</v>
      </c>
      <c r="BV204" s="37" t="n">
        <v>102.46</v>
      </c>
      <c r="BW204" s="37" t="n">
        <v>94.34999999999999</v>
      </c>
      <c r="BX204" s="37" t="n">
        <v>92.00999999999999</v>
      </c>
      <c r="BY204" s="37" t="n">
        <v>91.81</v>
      </c>
      <c r="BZ204" s="37" t="n">
        <v>95.06</v>
      </c>
      <c r="CA204" s="37" t="n">
        <v>92.46000000000001</v>
      </c>
      <c r="CB204" s="37" t="n">
        <v>75.58</v>
      </c>
      <c r="CC204" s="37" t="n">
        <v>6391.530000000002</v>
      </c>
    </row>
    <row r="205" ht="15.75" customHeight="1" s="57">
      <c r="A205" s="7" t="inlineStr">
        <is>
          <t>NTB</t>
        </is>
      </c>
      <c r="B205" s="7" t="inlineStr">
        <is>
          <t>Khánh Hòa</t>
        </is>
      </c>
      <c r="C205" s="7" t="n">
        <v>20784000</v>
      </c>
      <c r="D205" s="7" t="inlineStr">
        <is>
          <t>(KHO) Khánh Sơn</t>
        </is>
      </c>
      <c r="E205" s="7" t="inlineStr">
        <is>
          <t>SME-Bulky</t>
        </is>
      </c>
      <c r="F205" s="36" t="n">
        <v>7</v>
      </c>
      <c r="G205" s="36" t="n">
        <v>8</v>
      </c>
      <c r="H205" s="36" t="n">
        <v>4</v>
      </c>
      <c r="I205" s="36" t="n">
        <v>7</v>
      </c>
      <c r="J205" s="36" t="n">
        <v>2</v>
      </c>
      <c r="K205" s="28" t="n">
        <v>3</v>
      </c>
      <c r="L205" s="36" t="n">
        <v>4</v>
      </c>
      <c r="M205" s="36" t="n">
        <v>5</v>
      </c>
      <c r="N205" s="36" t="n">
        <v>7</v>
      </c>
      <c r="O205" s="36" t="n">
        <v>5</v>
      </c>
      <c r="P205" s="36" t="n">
        <v>4</v>
      </c>
      <c r="Q205" s="36" t="n">
        <v>4</v>
      </c>
      <c r="R205" s="28" t="n">
        <v>10</v>
      </c>
      <c r="S205" s="36" t="n">
        <v>4</v>
      </c>
      <c r="T205" s="36" t="n">
        <v>3</v>
      </c>
      <c r="U205" s="36" t="n">
        <v>5.5</v>
      </c>
      <c r="V205" s="36" t="n">
        <v>5.57</v>
      </c>
      <c r="W205" s="36" t="n">
        <v>5.17</v>
      </c>
      <c r="X205" s="36" t="n">
        <v>3.45</v>
      </c>
      <c r="Y205" s="28" t="n">
        <v>6.31</v>
      </c>
      <c r="Z205" s="36" t="n">
        <v>6.08</v>
      </c>
      <c r="AA205" s="36" t="n">
        <v>5.78</v>
      </c>
      <c r="AB205" s="36" t="n">
        <v>5.5</v>
      </c>
      <c r="AC205" s="36" t="n">
        <v>5.57</v>
      </c>
      <c r="AD205" s="36" t="n">
        <v>4.88</v>
      </c>
      <c r="AE205" s="36" t="n">
        <v>3.45</v>
      </c>
      <c r="AF205" s="28" t="n">
        <v>6.31</v>
      </c>
      <c r="AG205" s="36" t="n">
        <v>6.08</v>
      </c>
      <c r="AH205" s="37" t="n">
        <v>5.78</v>
      </c>
      <c r="AI205" s="37" t="n">
        <v>5.5</v>
      </c>
      <c r="AJ205" s="37" t="n">
        <v>5.57</v>
      </c>
      <c r="AK205" s="37" t="n">
        <v>5.17</v>
      </c>
      <c r="AL205" s="37" t="n">
        <v>3.45</v>
      </c>
      <c r="AM205" s="37" t="n">
        <v>6.31</v>
      </c>
      <c r="AN205" s="37" t="n">
        <v>6.08</v>
      </c>
      <c r="AO205" s="37" t="n">
        <v>5.78</v>
      </c>
      <c r="AP205" s="37" t="n">
        <v>5.5</v>
      </c>
      <c r="AQ205" s="37" t="n">
        <v>5.57</v>
      </c>
      <c r="AR205" s="37" t="n">
        <v>5.17</v>
      </c>
      <c r="AS205" s="37" t="n">
        <v>3.45</v>
      </c>
      <c r="AT205" s="37" t="n">
        <v>6.31</v>
      </c>
      <c r="AU205" s="37" t="n">
        <v>6.08</v>
      </c>
      <c r="AV205" s="37" t="n">
        <v>5.78</v>
      </c>
      <c r="AW205" s="37" t="n">
        <v>5.5</v>
      </c>
      <c r="AX205" s="37" t="n">
        <v>5.57</v>
      </c>
      <c r="AY205" s="37" t="n">
        <v>5.17</v>
      </c>
      <c r="AZ205" s="37" t="n">
        <v>3.45</v>
      </c>
      <c r="BA205" s="37" t="n">
        <v>6.28</v>
      </c>
      <c r="BB205" s="37" t="n">
        <v>3.26</v>
      </c>
      <c r="BC205" s="37" t="n">
        <v>1.65</v>
      </c>
      <c r="BD205" s="37" t="n">
        <v>1.51</v>
      </c>
      <c r="BE205" s="37" t="n">
        <v>2.82</v>
      </c>
      <c r="BF205" s="37" t="n">
        <v>2.61</v>
      </c>
      <c r="BG205" s="37" t="n">
        <v>2.08</v>
      </c>
      <c r="BH205" s="37" t="n">
        <v>3.7</v>
      </c>
      <c r="BI205" s="37" t="n">
        <v>3.65</v>
      </c>
      <c r="BJ205" s="37" t="n">
        <v>3.18</v>
      </c>
      <c r="BK205" s="37" t="n">
        <v>3.26</v>
      </c>
      <c r="BL205" s="37" t="n">
        <v>3.33</v>
      </c>
      <c r="BM205" s="37" t="n">
        <v>3.03</v>
      </c>
      <c r="BN205" s="37" t="n">
        <v>2.08</v>
      </c>
      <c r="BO205" s="37" t="n">
        <v>3.7</v>
      </c>
      <c r="BP205" s="37" t="n">
        <v>3.65</v>
      </c>
      <c r="BQ205" s="37" t="n">
        <v>3.4</v>
      </c>
      <c r="BR205" s="37" t="n">
        <v>3.26</v>
      </c>
      <c r="BS205" s="37" t="n">
        <v>3.33</v>
      </c>
      <c r="BT205" s="37" t="n">
        <v>3.03</v>
      </c>
      <c r="BU205" s="37" t="n">
        <v>2.08</v>
      </c>
      <c r="BV205" s="37" t="n">
        <v>3.7</v>
      </c>
      <c r="BW205" s="37" t="n">
        <v>3.65</v>
      </c>
      <c r="BX205" s="37" t="n">
        <v>3.4</v>
      </c>
      <c r="BY205" s="37" t="n">
        <v>3.26</v>
      </c>
      <c r="BZ205" s="37" t="n">
        <v>3.33</v>
      </c>
      <c r="CA205" s="37" t="n">
        <v>3.03</v>
      </c>
      <c r="CB205" s="37" t="n">
        <v>2.08</v>
      </c>
      <c r="CC205" s="37" t="n">
        <v>335.1799999999996</v>
      </c>
    </row>
    <row r="206" ht="15.75" customHeight="1" s="57">
      <c r="A206" s="7" t="inlineStr">
        <is>
          <t>NTB</t>
        </is>
      </c>
      <c r="B206" s="7" t="inlineStr">
        <is>
          <t>Khánh Hòa</t>
        </is>
      </c>
      <c r="C206" s="7" t="n">
        <v>20784000</v>
      </c>
      <c r="D206" s="7" t="inlineStr">
        <is>
          <t>(KHO) Khánh Sơn</t>
        </is>
      </c>
      <c r="E206" s="7" t="inlineStr">
        <is>
          <t>Shopee</t>
        </is>
      </c>
      <c r="F206" s="36" t="n">
        <v>47</v>
      </c>
      <c r="G206" s="36" t="n">
        <v>48</v>
      </c>
      <c r="H206" s="36" t="n">
        <v>44</v>
      </c>
      <c r="I206" s="36" t="n">
        <v>42</v>
      </c>
      <c r="J206" s="36" t="n">
        <v>33</v>
      </c>
      <c r="K206" s="28" t="n">
        <v>25</v>
      </c>
      <c r="L206" s="36" t="n">
        <v>26</v>
      </c>
      <c r="M206" s="36" t="n">
        <v>47</v>
      </c>
      <c r="N206" s="36" t="n">
        <v>65</v>
      </c>
      <c r="O206" s="36" t="n">
        <v>64</v>
      </c>
      <c r="P206" s="36" t="n">
        <v>32</v>
      </c>
      <c r="Q206" s="36" t="n">
        <v>48</v>
      </c>
      <c r="R206" s="28" t="n">
        <v>31</v>
      </c>
      <c r="S206" s="36" t="n">
        <v>25</v>
      </c>
      <c r="T206" s="36" t="n">
        <v>22</v>
      </c>
      <c r="U206" s="36" t="n">
        <v>69.86</v>
      </c>
      <c r="V206" s="36" t="n">
        <v>70.13</v>
      </c>
      <c r="W206" s="36" t="n">
        <v>69.13</v>
      </c>
      <c r="X206" s="36" t="n">
        <v>56.21</v>
      </c>
      <c r="Y206" s="28" t="n">
        <v>94.16</v>
      </c>
      <c r="Z206" s="36" t="n">
        <v>74.47</v>
      </c>
      <c r="AA206" s="36" t="n">
        <v>102.44</v>
      </c>
      <c r="AB206" s="36" t="n">
        <v>71.26000000000001</v>
      </c>
      <c r="AC206" s="36" t="n">
        <v>57.59</v>
      </c>
      <c r="AD206" s="36" t="n">
        <v>176.9</v>
      </c>
      <c r="AE206" s="36" t="n">
        <v>60.2</v>
      </c>
      <c r="AF206" s="28" t="n">
        <v>107.22</v>
      </c>
      <c r="AG206" s="36" t="n">
        <v>78.23</v>
      </c>
      <c r="AH206" s="37" t="n">
        <v>82.59999999999999</v>
      </c>
      <c r="AI206" s="37" t="n">
        <v>69.86</v>
      </c>
      <c r="AJ206" s="37" t="n">
        <v>70.13</v>
      </c>
      <c r="AK206" s="37" t="n">
        <v>93.26000000000001</v>
      </c>
      <c r="AL206" s="37" t="n">
        <v>100.88</v>
      </c>
      <c r="AM206" s="37" t="n">
        <v>94.16</v>
      </c>
      <c r="AN206" s="37" t="n">
        <v>74.47</v>
      </c>
      <c r="AO206" s="37" t="n">
        <v>82.59999999999999</v>
      </c>
      <c r="AP206" s="37" t="n">
        <v>87.15000000000001</v>
      </c>
      <c r="AQ206" s="37" t="n">
        <v>56.23</v>
      </c>
      <c r="AR206" s="37" t="n">
        <v>69.13</v>
      </c>
      <c r="AS206" s="37" t="n">
        <v>56.21</v>
      </c>
      <c r="AT206" s="37" t="n">
        <v>94.16</v>
      </c>
      <c r="AU206" s="37" t="n">
        <v>76.01000000000001</v>
      </c>
      <c r="AV206" s="37" t="n">
        <v>84.27</v>
      </c>
      <c r="AW206" s="37" t="n">
        <v>69.86</v>
      </c>
      <c r="AX206" s="37" t="n">
        <v>70.13</v>
      </c>
      <c r="AY206" s="37" t="n">
        <v>69.13</v>
      </c>
      <c r="AZ206" s="37" t="n">
        <v>56.21</v>
      </c>
      <c r="BA206" s="37" t="n">
        <v>72.51000000000001</v>
      </c>
      <c r="BB206" s="37" t="n">
        <v>63.21</v>
      </c>
      <c r="BC206" s="37" t="n">
        <v>32.2</v>
      </c>
      <c r="BD206" s="37" t="n">
        <v>57.23</v>
      </c>
      <c r="BE206" s="37" t="n">
        <v>66.81999999999999</v>
      </c>
      <c r="BF206" s="37" t="n">
        <v>65.87</v>
      </c>
      <c r="BG206" s="37" t="n">
        <v>54.65</v>
      </c>
      <c r="BH206" s="37" t="n">
        <v>89.70999999999999</v>
      </c>
      <c r="BI206" s="37" t="n">
        <v>58.36</v>
      </c>
      <c r="BJ206" s="37" t="n">
        <v>251.13</v>
      </c>
      <c r="BK206" s="37" t="n">
        <v>71.19</v>
      </c>
      <c r="BL206" s="37" t="n">
        <v>70.04000000000001</v>
      </c>
      <c r="BM206" s="37" t="n">
        <v>65.87</v>
      </c>
      <c r="BN206" s="37" t="n">
        <v>53.56</v>
      </c>
      <c r="BO206" s="37" t="n">
        <v>89.70999999999999</v>
      </c>
      <c r="BP206" s="37" t="n">
        <v>95.7</v>
      </c>
      <c r="BQ206" s="37" t="n">
        <v>141.35</v>
      </c>
      <c r="BR206" s="37" t="n">
        <v>66.55</v>
      </c>
      <c r="BS206" s="37" t="n">
        <v>66.81999999999999</v>
      </c>
      <c r="BT206" s="37" t="n">
        <v>65.87</v>
      </c>
      <c r="BU206" s="37" t="n">
        <v>66.84999999999999</v>
      </c>
      <c r="BV206" s="37" t="n">
        <v>71.8</v>
      </c>
      <c r="BW206" s="37" t="n">
        <v>70.92</v>
      </c>
      <c r="BX206" s="37" t="n">
        <v>78.68000000000001</v>
      </c>
      <c r="BY206" s="37" t="n">
        <v>66.55</v>
      </c>
      <c r="BZ206" s="37" t="n">
        <v>68.19</v>
      </c>
      <c r="CA206" s="37" t="n">
        <v>67.16</v>
      </c>
      <c r="CB206" s="37" t="n">
        <v>53.56</v>
      </c>
      <c r="CC206" s="37" t="n">
        <v>5285.310000000002</v>
      </c>
    </row>
    <row r="207" ht="15.75" customHeight="1" s="57">
      <c r="A207" s="7" t="inlineStr">
        <is>
          <t>NTB</t>
        </is>
      </c>
      <c r="B207" s="7" t="inlineStr">
        <is>
          <t>Khánh Hòa</t>
        </is>
      </c>
      <c r="C207" s="7" t="n">
        <v>20784000</v>
      </c>
      <c r="D207" s="7" t="inlineStr">
        <is>
          <t>(KHO) Khánh Sơn</t>
        </is>
      </c>
      <c r="E207" s="7" t="inlineStr">
        <is>
          <t>Shopee-Bulky</t>
        </is>
      </c>
      <c r="F207" s="36" t="n">
        <v>7.05</v>
      </c>
      <c r="G207" s="36" t="n">
        <v>4.48</v>
      </c>
      <c r="H207" s="36" t="n">
        <v>9.609999999999999</v>
      </c>
      <c r="I207" s="36" t="n">
        <v>7.05</v>
      </c>
      <c r="J207" s="36" t="n">
        <v>5.76</v>
      </c>
      <c r="K207" s="28" t="n">
        <v>5.12</v>
      </c>
      <c r="L207" s="36" t="n">
        <v>1.28</v>
      </c>
      <c r="M207" s="36" t="n">
        <v>5.12</v>
      </c>
      <c r="N207" s="36" t="n">
        <v>4.48</v>
      </c>
      <c r="O207" s="36" t="n">
        <v>5.76</v>
      </c>
      <c r="P207" s="36" t="n">
        <v>8.33</v>
      </c>
      <c r="Q207" s="36" t="n">
        <v>8.970000000000001</v>
      </c>
      <c r="R207" s="28" t="n">
        <v>8.33</v>
      </c>
      <c r="S207" s="36" t="n">
        <v>6.4</v>
      </c>
      <c r="T207" s="36" t="n">
        <v>7.05</v>
      </c>
      <c r="U207" s="36" t="n">
        <v>6.46</v>
      </c>
      <c r="V207" s="36" t="n">
        <v>6.26</v>
      </c>
      <c r="W207" s="36" t="n">
        <v>8.74</v>
      </c>
      <c r="X207" s="36" t="n">
        <v>4.83</v>
      </c>
      <c r="Y207" s="28" t="n">
        <v>9.539999999999999</v>
      </c>
      <c r="Z207" s="36" t="n">
        <v>7.43</v>
      </c>
      <c r="AA207" s="36" t="n">
        <v>7.2</v>
      </c>
      <c r="AB207" s="36" t="n">
        <v>7.35</v>
      </c>
      <c r="AC207" s="36" t="n">
        <v>7.78</v>
      </c>
      <c r="AD207" s="36" t="n">
        <v>21.63</v>
      </c>
      <c r="AE207" s="36" t="n">
        <v>12.39</v>
      </c>
      <c r="AF207" s="28" t="n">
        <v>18.79</v>
      </c>
      <c r="AG207" s="36" t="n">
        <v>10.62</v>
      </c>
      <c r="AH207" s="37" t="n">
        <v>7.38</v>
      </c>
      <c r="AI207" s="37" t="n">
        <v>7.2</v>
      </c>
      <c r="AJ207" s="37" t="n">
        <v>7.09</v>
      </c>
      <c r="AK207" s="37" t="n">
        <v>16.09</v>
      </c>
      <c r="AL207" s="37" t="n">
        <v>8.130000000000001</v>
      </c>
      <c r="AM207" s="37" t="n">
        <v>11.71</v>
      </c>
      <c r="AN207" s="37" t="n">
        <v>7.33</v>
      </c>
      <c r="AO207" s="37" t="n">
        <v>7.16</v>
      </c>
      <c r="AP207" s="37" t="n">
        <v>9.859999999999999</v>
      </c>
      <c r="AQ207" s="37" t="n">
        <v>9.699999999999999</v>
      </c>
      <c r="AR207" s="37" t="n">
        <v>7.92</v>
      </c>
      <c r="AS207" s="37" t="n">
        <v>4.24</v>
      </c>
      <c r="AT207" s="37" t="n">
        <v>8.720000000000001</v>
      </c>
      <c r="AU207" s="37" t="n">
        <v>14.28</v>
      </c>
      <c r="AV207" s="37" t="n">
        <v>14.86</v>
      </c>
      <c r="AW207" s="37" t="n">
        <v>7.25</v>
      </c>
      <c r="AX207" s="37" t="n">
        <v>6.8</v>
      </c>
      <c r="AY207" s="37" t="n">
        <v>7.59</v>
      </c>
      <c r="AZ207" s="37" t="n">
        <v>4.07</v>
      </c>
      <c r="BA207" s="37" t="n">
        <v>7.95</v>
      </c>
      <c r="BB207" s="37" t="n">
        <v>7.46</v>
      </c>
      <c r="BC207" s="37" t="n">
        <v>2.57</v>
      </c>
      <c r="BD207" s="37" t="n">
        <v>6.33</v>
      </c>
      <c r="BE207" s="37" t="n">
        <v>7.87</v>
      </c>
      <c r="BF207" s="37" t="n">
        <v>6.87</v>
      </c>
      <c r="BG207" s="37" t="n">
        <v>5.52</v>
      </c>
      <c r="BH207" s="37" t="n">
        <v>10.18</v>
      </c>
      <c r="BI207" s="37" t="n">
        <v>8.66</v>
      </c>
      <c r="BJ207" s="37" t="n">
        <v>34.2</v>
      </c>
      <c r="BK207" s="37" t="n">
        <v>18.48</v>
      </c>
      <c r="BL207" s="37" t="n">
        <v>9.5</v>
      </c>
      <c r="BM207" s="37" t="n">
        <v>7.19</v>
      </c>
      <c r="BN207" s="37" t="n">
        <v>5.38</v>
      </c>
      <c r="BO207" s="37" t="n">
        <v>11.92</v>
      </c>
      <c r="BP207" s="37" t="n">
        <v>17.26</v>
      </c>
      <c r="BQ207" s="37" t="n">
        <v>12.61</v>
      </c>
      <c r="BR207" s="37" t="n">
        <v>8.24</v>
      </c>
      <c r="BS207" s="37" t="n">
        <v>7.87</v>
      </c>
      <c r="BT207" s="37" t="n">
        <v>6.87</v>
      </c>
      <c r="BU207" s="37" t="n">
        <v>7.98</v>
      </c>
      <c r="BV207" s="37" t="n">
        <v>10.79</v>
      </c>
      <c r="BW207" s="37" t="n">
        <v>8.66</v>
      </c>
      <c r="BX207" s="37" t="n">
        <v>8.390000000000001</v>
      </c>
      <c r="BY207" s="37" t="n">
        <v>8.24</v>
      </c>
      <c r="BZ207" s="37" t="n">
        <v>14.11</v>
      </c>
      <c r="CA207" s="37" t="n">
        <v>8.18</v>
      </c>
      <c r="CB207" s="37" t="n">
        <v>5.22</v>
      </c>
      <c r="CC207" s="37" t="n">
        <v>665.6899999999999</v>
      </c>
    </row>
    <row r="208" ht="15.75" customHeight="1" s="57">
      <c r="A208" s="7" t="inlineStr">
        <is>
          <t>NTB</t>
        </is>
      </c>
      <c r="B208" s="7" t="inlineStr">
        <is>
          <t>Khánh Hòa</t>
        </is>
      </c>
      <c r="C208" s="7" t="n">
        <v>20784000</v>
      </c>
      <c r="D208" s="7" t="inlineStr">
        <is>
          <t>(KHO) Khánh Sơn</t>
        </is>
      </c>
      <c r="E208" s="7" t="inlineStr">
        <is>
          <t>Shopee-Bulky (10-15kg)</t>
        </is>
      </c>
      <c r="F208" s="36" t="n">
        <v>3.95</v>
      </c>
      <c r="G208" s="36" t="n">
        <v>2.52</v>
      </c>
      <c r="H208" s="36" t="n">
        <v>5.39</v>
      </c>
      <c r="I208" s="36" t="n">
        <v>3.95</v>
      </c>
      <c r="J208" s="36" t="n">
        <v>3.24</v>
      </c>
      <c r="K208" s="28" t="n">
        <v>2.88</v>
      </c>
      <c r="L208" s="36" t="n">
        <v>0.72</v>
      </c>
      <c r="M208" s="36" t="n">
        <v>2.88</v>
      </c>
      <c r="N208" s="36" t="n">
        <v>2.52</v>
      </c>
      <c r="O208" s="36" t="n">
        <v>3.24</v>
      </c>
      <c r="P208" s="36" t="n">
        <v>4.67</v>
      </c>
      <c r="Q208" s="36" t="n">
        <v>5.03</v>
      </c>
      <c r="R208" s="28" t="n">
        <v>4.67</v>
      </c>
      <c r="S208" s="36" t="n">
        <v>3.6</v>
      </c>
      <c r="T208" s="36" t="n">
        <v>3.95</v>
      </c>
      <c r="U208" s="36" t="n">
        <v>3.87</v>
      </c>
      <c r="V208" s="36" t="n">
        <v>3.71</v>
      </c>
      <c r="W208" s="36" t="n">
        <v>4.78</v>
      </c>
      <c r="X208" s="36" t="n">
        <v>2.69</v>
      </c>
      <c r="Y208" s="28" t="n">
        <v>5.45</v>
      </c>
      <c r="Z208" s="36" t="n">
        <v>4.25</v>
      </c>
      <c r="AA208" s="36" t="n">
        <v>4.01</v>
      </c>
      <c r="AB208" s="36" t="n">
        <v>4.2</v>
      </c>
      <c r="AC208" s="36" t="n">
        <v>4.35</v>
      </c>
      <c r="AD208" s="36" t="n">
        <v>16.21</v>
      </c>
      <c r="AE208" s="36" t="n">
        <v>6.73</v>
      </c>
      <c r="AF208" s="28" t="n">
        <v>9.93</v>
      </c>
      <c r="AG208" s="36" t="n">
        <v>5.93</v>
      </c>
      <c r="AH208" s="37" t="n">
        <v>4.2</v>
      </c>
      <c r="AI208" s="37" t="n">
        <v>4.06</v>
      </c>
      <c r="AJ208" s="37" t="n">
        <v>3.97</v>
      </c>
      <c r="AK208" s="37" t="n">
        <v>9.19</v>
      </c>
      <c r="AL208" s="37" t="n">
        <v>4.62</v>
      </c>
      <c r="AM208" s="37" t="n">
        <v>6.63</v>
      </c>
      <c r="AN208" s="37" t="n">
        <v>4.2</v>
      </c>
      <c r="AO208" s="37" t="n">
        <v>4.04</v>
      </c>
      <c r="AP208" s="37" t="n">
        <v>5.24</v>
      </c>
      <c r="AQ208" s="37" t="n">
        <v>5.51</v>
      </c>
      <c r="AR208" s="37" t="n">
        <v>4.29</v>
      </c>
      <c r="AS208" s="37" t="n">
        <v>2.36</v>
      </c>
      <c r="AT208" s="37" t="n">
        <v>4.93</v>
      </c>
      <c r="AU208" s="37" t="n">
        <v>8.16</v>
      </c>
      <c r="AV208" s="37" t="n">
        <v>8.460000000000001</v>
      </c>
      <c r="AW208" s="37" t="n">
        <v>4.1</v>
      </c>
      <c r="AX208" s="37" t="n">
        <v>3.83</v>
      </c>
      <c r="AY208" s="37" t="n">
        <v>4.13</v>
      </c>
      <c r="AZ208" s="37" t="n">
        <v>2.28</v>
      </c>
      <c r="BA208" s="37" t="n">
        <v>4.5</v>
      </c>
      <c r="BB208" s="37" t="n">
        <v>4.31</v>
      </c>
      <c r="BC208" s="37" t="n">
        <v>1.45</v>
      </c>
      <c r="BD208" s="37" t="n">
        <v>3.44</v>
      </c>
      <c r="BE208" s="37" t="n">
        <v>4.43</v>
      </c>
      <c r="BF208" s="37" t="n">
        <v>3.78</v>
      </c>
      <c r="BG208" s="37" t="n">
        <v>3.09</v>
      </c>
      <c r="BH208" s="37" t="n">
        <v>5.9</v>
      </c>
      <c r="BI208" s="37" t="n">
        <v>5.01</v>
      </c>
      <c r="BJ208" s="37" t="n">
        <v>22.23</v>
      </c>
      <c r="BK208" s="37" t="n">
        <v>10.37</v>
      </c>
      <c r="BL208" s="37" t="n">
        <v>5.52</v>
      </c>
      <c r="BM208" s="37" t="n">
        <v>4.01</v>
      </c>
      <c r="BN208" s="37" t="n">
        <v>3.03</v>
      </c>
      <c r="BO208" s="37" t="n">
        <v>6.64</v>
      </c>
      <c r="BP208" s="37" t="n">
        <v>9.68</v>
      </c>
      <c r="BQ208" s="37" t="n">
        <v>7.12</v>
      </c>
      <c r="BR208" s="37" t="n">
        <v>4.76</v>
      </c>
      <c r="BS208" s="37" t="n">
        <v>4.43</v>
      </c>
      <c r="BT208" s="37" t="n">
        <v>3.78</v>
      </c>
      <c r="BU208" s="37" t="n">
        <v>4.59</v>
      </c>
      <c r="BV208" s="37" t="n">
        <v>6.1</v>
      </c>
      <c r="BW208" s="37" t="n">
        <v>5.01</v>
      </c>
      <c r="BX208" s="37" t="n">
        <v>4.79</v>
      </c>
      <c r="BY208" s="37" t="n">
        <v>4.76</v>
      </c>
      <c r="BZ208" s="37" t="n">
        <v>7.85</v>
      </c>
      <c r="CA208" s="37" t="n">
        <v>4.69</v>
      </c>
      <c r="CB208" s="37" t="n">
        <v>2.96</v>
      </c>
      <c r="CC208" s="37" t="n">
        <v>381.7499999999999</v>
      </c>
    </row>
    <row r="209" ht="15.75" customHeight="1" s="57">
      <c r="A209" s="7" t="inlineStr">
        <is>
          <t>NTB</t>
        </is>
      </c>
      <c r="B209" s="7" t="inlineStr">
        <is>
          <t>Khánh Hòa</t>
        </is>
      </c>
      <c r="C209" s="7" t="n">
        <v>20784000</v>
      </c>
      <c r="D209" s="7" t="inlineStr">
        <is>
          <t>(KHO) Khánh Sơn</t>
        </is>
      </c>
      <c r="E209" s="7" t="inlineStr">
        <is>
          <t>TTS</t>
        </is>
      </c>
      <c r="F209" s="36" t="n">
        <v>74</v>
      </c>
      <c r="G209" s="36" t="n">
        <v>77</v>
      </c>
      <c r="H209" s="36" t="n">
        <v>69</v>
      </c>
      <c r="I209" s="36" t="n">
        <v>72</v>
      </c>
      <c r="J209" s="36" t="n">
        <v>57</v>
      </c>
      <c r="K209" s="28" t="n">
        <v>91</v>
      </c>
      <c r="L209" s="36" t="n">
        <v>46</v>
      </c>
      <c r="M209" s="36" t="n">
        <v>75</v>
      </c>
      <c r="N209" s="36" t="n">
        <v>72</v>
      </c>
      <c r="O209" s="36" t="n">
        <v>60</v>
      </c>
      <c r="P209" s="36" t="n">
        <v>75</v>
      </c>
      <c r="Q209" s="36" t="n">
        <v>103</v>
      </c>
      <c r="R209" s="28" t="n">
        <v>65</v>
      </c>
      <c r="S209" s="36" t="n">
        <v>95</v>
      </c>
      <c r="T209" s="36" t="n">
        <v>80</v>
      </c>
      <c r="U209" s="36" t="n">
        <v>66.47</v>
      </c>
      <c r="V209" s="36" t="n">
        <v>65.23</v>
      </c>
      <c r="W209" s="36" t="n">
        <v>63.81</v>
      </c>
      <c r="X209" s="36" t="n">
        <v>51.43</v>
      </c>
      <c r="Y209" s="28" t="n">
        <v>74.95999999999999</v>
      </c>
      <c r="Z209" s="36" t="n">
        <v>63.54</v>
      </c>
      <c r="AA209" s="36" t="n">
        <v>70.7</v>
      </c>
      <c r="AB209" s="36" t="n">
        <v>78.53</v>
      </c>
      <c r="AC209" s="36" t="n">
        <v>82.81</v>
      </c>
      <c r="AD209" s="36" t="n">
        <v>91.2</v>
      </c>
      <c r="AE209" s="36" t="n">
        <v>59.82</v>
      </c>
      <c r="AF209" s="28" t="n">
        <v>77.19</v>
      </c>
      <c r="AG209" s="36" t="n">
        <v>64.98</v>
      </c>
      <c r="AH209" s="37" t="n">
        <v>64.3</v>
      </c>
      <c r="AI209" s="37" t="n">
        <v>73.51000000000001</v>
      </c>
      <c r="AJ209" s="37" t="n">
        <v>79</v>
      </c>
      <c r="AK209" s="37" t="n">
        <v>77.92</v>
      </c>
      <c r="AL209" s="37" t="n">
        <v>55.41</v>
      </c>
      <c r="AM209" s="37" t="n">
        <v>76.11</v>
      </c>
      <c r="AN209" s="37" t="n">
        <v>65.63999999999999</v>
      </c>
      <c r="AO209" s="37" t="n">
        <v>65.39</v>
      </c>
      <c r="AP209" s="37" t="n">
        <v>63.39</v>
      </c>
      <c r="AQ209" s="37" t="n">
        <v>63.95</v>
      </c>
      <c r="AR209" s="37" t="n">
        <v>62.83</v>
      </c>
      <c r="AS209" s="37" t="n">
        <v>51.61</v>
      </c>
      <c r="AT209" s="37" t="n">
        <v>82.51000000000001</v>
      </c>
      <c r="AU209" s="37" t="n">
        <v>74.64</v>
      </c>
      <c r="AV209" s="37" t="n">
        <v>66.32000000000001</v>
      </c>
      <c r="AW209" s="37" t="n">
        <v>62.66</v>
      </c>
      <c r="AX209" s="37" t="n">
        <v>62.31</v>
      </c>
      <c r="AY209" s="37" t="n">
        <v>62.02</v>
      </c>
      <c r="AZ209" s="37" t="n">
        <v>51.63</v>
      </c>
      <c r="BA209" s="37" t="n">
        <v>74.34999999999999</v>
      </c>
      <c r="BB209" s="37" t="n">
        <v>69.40000000000001</v>
      </c>
      <c r="BC209" s="37" t="n">
        <v>41.05</v>
      </c>
      <c r="BD209" s="37" t="n">
        <v>59.91</v>
      </c>
      <c r="BE209" s="37" t="n">
        <v>70.5</v>
      </c>
      <c r="BF209" s="37" t="n">
        <v>68.48999999999999</v>
      </c>
      <c r="BG209" s="37" t="n">
        <v>55.45999999999999</v>
      </c>
      <c r="BH209" s="37" t="n">
        <v>82.39</v>
      </c>
      <c r="BI209" s="37" t="n">
        <v>69.40000000000001</v>
      </c>
      <c r="BJ209" s="37" t="n">
        <v>69.37</v>
      </c>
      <c r="BK209" s="37" t="n">
        <v>70.40000000000001</v>
      </c>
      <c r="BL209" s="37" t="n">
        <v>70.5</v>
      </c>
      <c r="BM209" s="37" t="n">
        <v>68.48999999999999</v>
      </c>
      <c r="BN209" s="37" t="n">
        <v>55.45999999999999</v>
      </c>
      <c r="BO209" s="37" t="n">
        <v>82.39</v>
      </c>
      <c r="BP209" s="37" t="n">
        <v>69.40000000000001</v>
      </c>
      <c r="BQ209" s="37" t="n">
        <v>68.59</v>
      </c>
      <c r="BR209" s="37" t="n">
        <v>70.40000000000001</v>
      </c>
      <c r="BS209" s="37" t="n">
        <v>70.5</v>
      </c>
      <c r="BT209" s="37" t="n">
        <v>68.48999999999999</v>
      </c>
      <c r="BU209" s="37" t="n">
        <v>55.45999999999999</v>
      </c>
      <c r="BV209" s="37" t="n">
        <v>82.39</v>
      </c>
      <c r="BW209" s="37" t="n">
        <v>69.40000000000001</v>
      </c>
      <c r="BX209" s="37" t="n">
        <v>68.59</v>
      </c>
      <c r="BY209" s="37" t="n">
        <v>70.40000000000001</v>
      </c>
      <c r="BZ209" s="37" t="n">
        <v>70.5</v>
      </c>
      <c r="CA209" s="37" t="n">
        <v>68.48999999999999</v>
      </c>
      <c r="CB209" s="37" t="n">
        <v>55.45999999999999</v>
      </c>
      <c r="CC209" s="37" t="n">
        <v>5178.449999999999</v>
      </c>
    </row>
    <row r="210" ht="15.75" customHeight="1" s="57">
      <c r="A210" s="7" t="inlineStr">
        <is>
          <t>NTB</t>
        </is>
      </c>
      <c r="B210" s="7" t="inlineStr">
        <is>
          <t>Khánh Hòa</t>
        </is>
      </c>
      <c r="C210" s="7" t="n">
        <v>20784000</v>
      </c>
      <c r="D210" s="7" t="inlineStr">
        <is>
          <t>(KHO) Khánh Sơn</t>
        </is>
      </c>
      <c r="E210" s="7" t="inlineStr">
        <is>
          <t>TTS-Bulky</t>
        </is>
      </c>
      <c r="F210" s="36" t="n">
        <v>1</v>
      </c>
      <c r="G210" s="36" t="n">
        <v>0</v>
      </c>
      <c r="H210" s="36" t="n">
        <v>2</v>
      </c>
      <c r="I210" s="36" t="n">
        <v>0</v>
      </c>
      <c r="J210" s="36" t="n">
        <v>2</v>
      </c>
      <c r="K210" s="28" t="n">
        <v>1</v>
      </c>
      <c r="L210" s="36" t="n">
        <v>0</v>
      </c>
      <c r="M210" s="36" t="n">
        <v>0</v>
      </c>
      <c r="N210" s="36" t="n">
        <v>0</v>
      </c>
      <c r="O210" s="36" t="n">
        <v>0</v>
      </c>
      <c r="P210" s="36" t="n">
        <v>1</v>
      </c>
      <c r="Q210" s="36" t="n">
        <v>1</v>
      </c>
      <c r="R210" s="28" t="n">
        <v>1</v>
      </c>
      <c r="S210" s="36" t="n">
        <v>2</v>
      </c>
      <c r="T210" s="36" t="n">
        <v>1</v>
      </c>
      <c r="U210" s="36" t="n">
        <v>3.16</v>
      </c>
      <c r="V210" s="36" t="n">
        <v>3.03</v>
      </c>
      <c r="W210" s="36" t="n">
        <v>1.52</v>
      </c>
      <c r="X210" s="36" t="n">
        <v>1.14</v>
      </c>
      <c r="Y210" s="28" t="n">
        <v>1.94</v>
      </c>
      <c r="Z210" s="36" t="n">
        <v>1.43</v>
      </c>
      <c r="AA210" s="36" t="n">
        <v>1.62</v>
      </c>
      <c r="AB210" s="36" t="n">
        <v>1.73</v>
      </c>
      <c r="AC210" s="36" t="n">
        <v>1.88</v>
      </c>
      <c r="AD210" s="36" t="n">
        <v>2.36</v>
      </c>
      <c r="AE210" s="36" t="n">
        <v>1.26</v>
      </c>
      <c r="AF210" s="28" t="n">
        <v>1.85</v>
      </c>
      <c r="AG210" s="36" t="n">
        <v>1.48</v>
      </c>
      <c r="AH210" s="37" t="n">
        <v>1.48</v>
      </c>
      <c r="AI210" s="37" t="n">
        <v>1.54</v>
      </c>
      <c r="AJ210" s="37" t="n">
        <v>1.69</v>
      </c>
      <c r="AK210" s="37" t="n">
        <v>1.64</v>
      </c>
      <c r="AL210" s="37" t="n">
        <v>1.16</v>
      </c>
      <c r="AM210" s="37" t="n">
        <v>1.83</v>
      </c>
      <c r="AN210" s="37" t="n">
        <v>1.52</v>
      </c>
      <c r="AO210" s="37" t="n">
        <v>1.48</v>
      </c>
      <c r="AP210" s="37" t="n">
        <v>1.5</v>
      </c>
      <c r="AQ210" s="37" t="n">
        <v>1.5</v>
      </c>
      <c r="AR210" s="37" t="n">
        <v>1.5</v>
      </c>
      <c r="AS210" s="37" t="n">
        <v>1.1</v>
      </c>
      <c r="AT210" s="37" t="n">
        <v>1.92</v>
      </c>
      <c r="AU210" s="37" t="n">
        <v>1.73</v>
      </c>
      <c r="AV210" s="37" t="n">
        <v>1.54</v>
      </c>
      <c r="AW210" s="37" t="n">
        <v>1.48</v>
      </c>
      <c r="AX210" s="37" t="n">
        <v>1.48</v>
      </c>
      <c r="AY210" s="37" t="n">
        <v>1.5</v>
      </c>
      <c r="AZ210" s="37" t="n">
        <v>1.1</v>
      </c>
      <c r="BA210" s="37" t="n">
        <v>1.69</v>
      </c>
      <c r="BB210" s="37" t="n">
        <v>0.4</v>
      </c>
      <c r="BC210" s="37" t="n">
        <v>0.25</v>
      </c>
      <c r="BD210" s="37" t="n">
        <v>0.29</v>
      </c>
      <c r="BE210" s="37" t="n">
        <v>0.4</v>
      </c>
      <c r="BF210" s="37" t="n">
        <v>0.42</v>
      </c>
      <c r="BG210" s="37" t="n">
        <v>0.29</v>
      </c>
      <c r="BH210" s="37" t="n">
        <v>0.53</v>
      </c>
      <c r="BI210" s="37" t="n">
        <v>0.44</v>
      </c>
      <c r="BJ210" s="37" t="n">
        <v>0.55</v>
      </c>
      <c r="BK210" s="37" t="n">
        <v>0.42</v>
      </c>
      <c r="BL210" s="37" t="n">
        <v>0.4</v>
      </c>
      <c r="BM210" s="37" t="n">
        <v>0.42</v>
      </c>
      <c r="BN210" s="37" t="n">
        <v>0.29</v>
      </c>
      <c r="BO210" s="37" t="n">
        <v>0.65</v>
      </c>
      <c r="BP210" s="37" t="n">
        <v>0.49</v>
      </c>
      <c r="BQ210" s="37" t="n">
        <v>0.42</v>
      </c>
      <c r="BR210" s="37" t="n">
        <v>0.42</v>
      </c>
      <c r="BS210" s="37" t="n">
        <v>0.4</v>
      </c>
      <c r="BT210" s="37" t="n">
        <v>0.42</v>
      </c>
      <c r="BU210" s="37" t="n">
        <v>0.29</v>
      </c>
      <c r="BV210" s="37" t="n">
        <v>0.49</v>
      </c>
      <c r="BW210" s="37" t="n">
        <v>0.44</v>
      </c>
      <c r="BX210" s="37" t="n">
        <v>0.42</v>
      </c>
      <c r="BY210" s="37" t="n">
        <v>0.42</v>
      </c>
      <c r="BZ210" s="37" t="n">
        <v>0.4</v>
      </c>
      <c r="CA210" s="37" t="n">
        <v>0.42</v>
      </c>
      <c r="CB210" s="37" t="n">
        <v>0.29</v>
      </c>
      <c r="CC210" s="37" t="n">
        <v>77.85000000000004</v>
      </c>
    </row>
    <row r="211" ht="15.75" customHeight="1" s="57">
      <c r="A211" s="7" t="inlineStr">
        <is>
          <t>NTB</t>
        </is>
      </c>
      <c r="B211" s="7" t="inlineStr">
        <is>
          <t>Khánh Hòa</t>
        </is>
      </c>
      <c r="C211" s="7" t="n">
        <v>21046000</v>
      </c>
      <c r="D211" s="7" t="inlineStr">
        <is>
          <t>(KHO) Vạn Ninh</t>
        </is>
      </c>
      <c r="E211" s="7" t="inlineStr">
        <is>
          <t>SME</t>
        </is>
      </c>
      <c r="F211" s="36" t="n">
        <v>193</v>
      </c>
      <c r="G211" s="36" t="n">
        <v>309</v>
      </c>
      <c r="H211" s="36" t="n">
        <v>241</v>
      </c>
      <c r="I211" s="36" t="n">
        <v>263</v>
      </c>
      <c r="J211" s="36" t="n">
        <v>225</v>
      </c>
      <c r="K211" s="28" t="n">
        <v>237</v>
      </c>
      <c r="L211" s="36" t="n">
        <v>178</v>
      </c>
      <c r="M211" s="36" t="n">
        <v>197</v>
      </c>
      <c r="N211" s="36" t="n">
        <v>272</v>
      </c>
      <c r="O211" s="36" t="n">
        <v>218</v>
      </c>
      <c r="P211" s="36" t="n">
        <v>205</v>
      </c>
      <c r="Q211" s="36" t="n">
        <v>238</v>
      </c>
      <c r="R211" s="28" t="n">
        <v>184</v>
      </c>
      <c r="S211" s="36" t="n">
        <v>222</v>
      </c>
      <c r="T211" s="36" t="n">
        <v>216</v>
      </c>
      <c r="U211" s="36" t="n">
        <v>276.76</v>
      </c>
      <c r="V211" s="36" t="n">
        <v>286.51</v>
      </c>
      <c r="W211" s="36" t="n">
        <v>278.64</v>
      </c>
      <c r="X211" s="36" t="n">
        <v>228.06</v>
      </c>
      <c r="Y211" s="28" t="n">
        <v>308.75</v>
      </c>
      <c r="Z211" s="36" t="n">
        <v>284.4</v>
      </c>
      <c r="AA211" s="36" t="n">
        <v>277.38</v>
      </c>
      <c r="AB211" s="36" t="n">
        <v>276.76</v>
      </c>
      <c r="AC211" s="36" t="n">
        <v>286.51</v>
      </c>
      <c r="AD211" s="36" t="n">
        <v>281.52</v>
      </c>
      <c r="AE211" s="36" t="n">
        <v>228.06</v>
      </c>
      <c r="AF211" s="28" t="n">
        <v>308.75</v>
      </c>
      <c r="AG211" s="36" t="n">
        <v>284.4</v>
      </c>
      <c r="AH211" s="37" t="n">
        <v>277.38</v>
      </c>
      <c r="AI211" s="37" t="n">
        <v>276.76</v>
      </c>
      <c r="AJ211" s="37" t="n">
        <v>286.51</v>
      </c>
      <c r="AK211" s="37" t="n">
        <v>278.64</v>
      </c>
      <c r="AL211" s="37" t="n">
        <v>228.06</v>
      </c>
      <c r="AM211" s="37" t="n">
        <v>308.75</v>
      </c>
      <c r="AN211" s="37" t="n">
        <v>284.4</v>
      </c>
      <c r="AO211" s="37" t="n">
        <v>277.38</v>
      </c>
      <c r="AP211" s="37" t="n">
        <v>276.76</v>
      </c>
      <c r="AQ211" s="37" t="n">
        <v>286.51</v>
      </c>
      <c r="AR211" s="37" t="n">
        <v>278.64</v>
      </c>
      <c r="AS211" s="37" t="n">
        <v>228.06</v>
      </c>
      <c r="AT211" s="37" t="n">
        <v>308.75</v>
      </c>
      <c r="AU211" s="37" t="n">
        <v>284.4</v>
      </c>
      <c r="AV211" s="37" t="n">
        <v>277.38</v>
      </c>
      <c r="AW211" s="37" t="n">
        <v>276.76</v>
      </c>
      <c r="AX211" s="37" t="n">
        <v>286.51</v>
      </c>
      <c r="AY211" s="37" t="n">
        <v>278.64</v>
      </c>
      <c r="AZ211" s="37" t="n">
        <v>228.06</v>
      </c>
      <c r="BA211" s="37" t="n">
        <v>277.88</v>
      </c>
      <c r="BB211" s="37" t="n">
        <v>249.39</v>
      </c>
      <c r="BC211" s="37" t="n">
        <v>157.6</v>
      </c>
      <c r="BD211" s="37" t="n">
        <v>156.97</v>
      </c>
      <c r="BE211" s="37" t="n">
        <v>266.1199999999999</v>
      </c>
      <c r="BF211" s="37" t="n">
        <v>258.82</v>
      </c>
      <c r="BG211" s="37" t="n">
        <v>234.98</v>
      </c>
      <c r="BH211" s="37" t="n">
        <v>318.59</v>
      </c>
      <c r="BI211" s="37" t="n">
        <v>293.38</v>
      </c>
      <c r="BJ211" s="37" t="n">
        <v>288.91</v>
      </c>
      <c r="BK211" s="37" t="n">
        <v>285.52</v>
      </c>
      <c r="BL211" s="37" t="n">
        <v>295.54</v>
      </c>
      <c r="BM211" s="37" t="n">
        <v>287.49</v>
      </c>
      <c r="BN211" s="37" t="n">
        <v>234.98</v>
      </c>
      <c r="BO211" s="37" t="n">
        <v>318.59</v>
      </c>
      <c r="BP211" s="37" t="n">
        <v>293.38</v>
      </c>
      <c r="BQ211" s="37" t="n">
        <v>286.08</v>
      </c>
      <c r="BR211" s="37" t="n">
        <v>285.52</v>
      </c>
      <c r="BS211" s="37" t="n">
        <v>295.54</v>
      </c>
      <c r="BT211" s="37" t="n">
        <v>287.49</v>
      </c>
      <c r="BU211" s="37" t="n">
        <v>234.98</v>
      </c>
      <c r="BV211" s="37" t="n">
        <v>318.59</v>
      </c>
      <c r="BW211" s="37" t="n">
        <v>293.38</v>
      </c>
      <c r="BX211" s="37" t="n">
        <v>286.08</v>
      </c>
      <c r="BY211" s="37" t="n">
        <v>285.52</v>
      </c>
      <c r="BZ211" s="37" t="n">
        <v>295.54</v>
      </c>
      <c r="CA211" s="37" t="n">
        <v>287.49</v>
      </c>
      <c r="CB211" s="37" t="n">
        <v>234.98</v>
      </c>
      <c r="CC211" s="37" t="n">
        <v>19842.18000000001</v>
      </c>
    </row>
    <row r="212" ht="15.75" customHeight="1" s="57">
      <c r="A212" s="7" t="inlineStr">
        <is>
          <t>NTB</t>
        </is>
      </c>
      <c r="B212" s="7" t="inlineStr">
        <is>
          <t>Khánh Hòa</t>
        </is>
      </c>
      <c r="C212" s="7" t="n">
        <v>21046000</v>
      </c>
      <c r="D212" s="7" t="inlineStr">
        <is>
          <t>(KHO) Vạn Ninh</t>
        </is>
      </c>
      <c r="E212" s="7" t="inlineStr">
        <is>
          <t>SME-Bulky</t>
        </is>
      </c>
      <c r="F212" s="36" t="n">
        <v>7</v>
      </c>
      <c r="G212" s="36" t="n">
        <v>13</v>
      </c>
      <c r="H212" s="36" t="n">
        <v>16</v>
      </c>
      <c r="I212" s="36" t="n">
        <v>20</v>
      </c>
      <c r="J212" s="36" t="n">
        <v>11</v>
      </c>
      <c r="K212" s="28" t="n">
        <v>11</v>
      </c>
      <c r="L212" s="36" t="n">
        <v>5</v>
      </c>
      <c r="M212" s="36" t="n">
        <v>10</v>
      </c>
      <c r="N212" s="36" t="n">
        <v>11</v>
      </c>
      <c r="O212" s="36" t="n">
        <v>11</v>
      </c>
      <c r="P212" s="36" t="n">
        <v>16</v>
      </c>
      <c r="Q212" s="36" t="n">
        <v>14</v>
      </c>
      <c r="R212" s="28" t="n">
        <v>7</v>
      </c>
      <c r="S212" s="36" t="n">
        <v>10</v>
      </c>
      <c r="T212" s="36" t="n">
        <v>22</v>
      </c>
      <c r="U212" s="36" t="n">
        <v>13.52</v>
      </c>
      <c r="V212" s="36" t="n">
        <v>13.7</v>
      </c>
      <c r="W212" s="36" t="n">
        <v>12.71</v>
      </c>
      <c r="X212" s="36" t="n">
        <v>8.48</v>
      </c>
      <c r="Y212" s="28" t="n">
        <v>15.52</v>
      </c>
      <c r="Z212" s="36" t="n">
        <v>14.96</v>
      </c>
      <c r="AA212" s="36" t="n">
        <v>14.22</v>
      </c>
      <c r="AB212" s="36" t="n">
        <v>13.52</v>
      </c>
      <c r="AC212" s="36" t="n">
        <v>13.7</v>
      </c>
      <c r="AD212" s="36" t="n">
        <v>12.01</v>
      </c>
      <c r="AE212" s="36" t="n">
        <v>8.48</v>
      </c>
      <c r="AF212" s="28" t="n">
        <v>15.52</v>
      </c>
      <c r="AG212" s="36" t="n">
        <v>14.96</v>
      </c>
      <c r="AH212" s="37" t="n">
        <v>14.22</v>
      </c>
      <c r="AI212" s="37" t="n">
        <v>13.52</v>
      </c>
      <c r="AJ212" s="37" t="n">
        <v>13.7</v>
      </c>
      <c r="AK212" s="37" t="n">
        <v>12.71</v>
      </c>
      <c r="AL212" s="37" t="n">
        <v>8.48</v>
      </c>
      <c r="AM212" s="37" t="n">
        <v>15.52</v>
      </c>
      <c r="AN212" s="37" t="n">
        <v>14.96</v>
      </c>
      <c r="AO212" s="37" t="n">
        <v>14.22</v>
      </c>
      <c r="AP212" s="37" t="n">
        <v>13.52</v>
      </c>
      <c r="AQ212" s="37" t="n">
        <v>13.7</v>
      </c>
      <c r="AR212" s="37" t="n">
        <v>12.71</v>
      </c>
      <c r="AS212" s="37" t="n">
        <v>8.48</v>
      </c>
      <c r="AT212" s="37" t="n">
        <v>15.52</v>
      </c>
      <c r="AU212" s="37" t="n">
        <v>14.96</v>
      </c>
      <c r="AV212" s="37" t="n">
        <v>14.22</v>
      </c>
      <c r="AW212" s="37" t="n">
        <v>13.52</v>
      </c>
      <c r="AX212" s="37" t="n">
        <v>13.7</v>
      </c>
      <c r="AY212" s="37" t="n">
        <v>12.71</v>
      </c>
      <c r="AZ212" s="37" t="n">
        <v>8.48</v>
      </c>
      <c r="BA212" s="37" t="n">
        <v>15.45</v>
      </c>
      <c r="BB212" s="37" t="n">
        <v>8.02</v>
      </c>
      <c r="BC212" s="37" t="n">
        <v>4.06</v>
      </c>
      <c r="BD212" s="37" t="n">
        <v>3.71</v>
      </c>
      <c r="BE212" s="37" t="n">
        <v>6.94</v>
      </c>
      <c r="BF212" s="37" t="n">
        <v>6.41</v>
      </c>
      <c r="BG212" s="37" t="n">
        <v>5.11</v>
      </c>
      <c r="BH212" s="37" t="n">
        <v>9.109999999999999</v>
      </c>
      <c r="BI212" s="37" t="n">
        <v>8.970000000000001</v>
      </c>
      <c r="BJ212" s="37" t="n">
        <v>7.81</v>
      </c>
      <c r="BK212" s="37" t="n">
        <v>8.02</v>
      </c>
      <c r="BL212" s="37" t="n">
        <v>8.199999999999999</v>
      </c>
      <c r="BM212" s="37" t="n">
        <v>7.46</v>
      </c>
      <c r="BN212" s="37" t="n">
        <v>5.11</v>
      </c>
      <c r="BO212" s="37" t="n">
        <v>9.109999999999999</v>
      </c>
      <c r="BP212" s="37" t="n">
        <v>8.970000000000001</v>
      </c>
      <c r="BQ212" s="37" t="n">
        <v>8.369999999999999</v>
      </c>
      <c r="BR212" s="37" t="n">
        <v>8.02</v>
      </c>
      <c r="BS212" s="37" t="n">
        <v>8.199999999999999</v>
      </c>
      <c r="BT212" s="37" t="n">
        <v>7.46</v>
      </c>
      <c r="BU212" s="37" t="n">
        <v>5.11</v>
      </c>
      <c r="BV212" s="37" t="n">
        <v>9.109999999999999</v>
      </c>
      <c r="BW212" s="37" t="n">
        <v>8.970000000000001</v>
      </c>
      <c r="BX212" s="37" t="n">
        <v>8.369999999999999</v>
      </c>
      <c r="BY212" s="37" t="n">
        <v>8.02</v>
      </c>
      <c r="BZ212" s="37" t="n">
        <v>8.199999999999999</v>
      </c>
      <c r="CA212" s="37" t="n">
        <v>7.46</v>
      </c>
      <c r="CB212" s="37" t="n">
        <v>5.11</v>
      </c>
      <c r="CC212" s="37" t="n">
        <v>819.0100000000004</v>
      </c>
    </row>
    <row r="213" ht="15.75" customHeight="1" s="57">
      <c r="A213" s="7" t="inlineStr">
        <is>
          <t>NTB</t>
        </is>
      </c>
      <c r="B213" s="7" t="inlineStr">
        <is>
          <t>Khánh Hòa</t>
        </is>
      </c>
      <c r="C213" s="7" t="n">
        <v>21046000</v>
      </c>
      <c r="D213" s="7" t="inlineStr">
        <is>
          <t>(KHO) Vạn Ninh</t>
        </is>
      </c>
      <c r="E213" s="7" t="inlineStr">
        <is>
          <t>Shopee</t>
        </is>
      </c>
      <c r="F213" s="36" t="n">
        <v>138</v>
      </c>
      <c r="G213" s="36" t="n">
        <v>180</v>
      </c>
      <c r="H213" s="36" t="n">
        <v>144</v>
      </c>
      <c r="I213" s="36" t="n">
        <v>149</v>
      </c>
      <c r="J213" s="36" t="n">
        <v>140</v>
      </c>
      <c r="K213" s="28" t="n">
        <v>96</v>
      </c>
      <c r="L213" s="36" t="n">
        <v>106</v>
      </c>
      <c r="M213" s="36" t="n">
        <v>147</v>
      </c>
      <c r="N213" s="36" t="n">
        <v>183</v>
      </c>
      <c r="O213" s="36" t="n">
        <v>126</v>
      </c>
      <c r="P213" s="36" t="n">
        <v>115</v>
      </c>
      <c r="Q213" s="36" t="n">
        <v>128</v>
      </c>
      <c r="R213" s="28" t="n">
        <v>95</v>
      </c>
      <c r="S213" s="36" t="n">
        <v>99</v>
      </c>
      <c r="T213" s="36" t="n">
        <v>153</v>
      </c>
      <c r="U213" s="36" t="n">
        <v>221.81</v>
      </c>
      <c r="V213" s="36" t="n">
        <v>222.66</v>
      </c>
      <c r="W213" s="36" t="n">
        <v>219.48</v>
      </c>
      <c r="X213" s="36" t="n">
        <v>178.46</v>
      </c>
      <c r="Y213" s="28" t="n">
        <v>298.95</v>
      </c>
      <c r="Z213" s="36" t="n">
        <v>236.43</v>
      </c>
      <c r="AA213" s="36" t="n">
        <v>325.23</v>
      </c>
      <c r="AB213" s="36" t="n">
        <v>226.25</v>
      </c>
      <c r="AC213" s="36" t="n">
        <v>182.84</v>
      </c>
      <c r="AD213" s="36" t="n">
        <v>561.66</v>
      </c>
      <c r="AE213" s="36" t="n">
        <v>191.15</v>
      </c>
      <c r="AF213" s="28" t="n">
        <v>340.42</v>
      </c>
      <c r="AG213" s="36" t="n">
        <v>248.38</v>
      </c>
      <c r="AH213" s="37" t="n">
        <v>262.26</v>
      </c>
      <c r="AI213" s="37" t="n">
        <v>221.81</v>
      </c>
      <c r="AJ213" s="37" t="n">
        <v>222.66</v>
      </c>
      <c r="AK213" s="37" t="n">
        <v>296.11</v>
      </c>
      <c r="AL213" s="37" t="n">
        <v>320.28</v>
      </c>
      <c r="AM213" s="37" t="n">
        <v>298.95</v>
      </c>
      <c r="AN213" s="37" t="n">
        <v>236.43</v>
      </c>
      <c r="AO213" s="37" t="n">
        <v>262.26</v>
      </c>
      <c r="AP213" s="37" t="n">
        <v>276.71</v>
      </c>
      <c r="AQ213" s="37" t="n">
        <v>178.52</v>
      </c>
      <c r="AR213" s="37" t="n">
        <v>219.48</v>
      </c>
      <c r="AS213" s="37" t="n">
        <v>178.46</v>
      </c>
      <c r="AT213" s="37" t="n">
        <v>298.95</v>
      </c>
      <c r="AU213" s="37" t="n">
        <v>241.32</v>
      </c>
      <c r="AV213" s="37" t="n">
        <v>267.55</v>
      </c>
      <c r="AW213" s="37" t="n">
        <v>221.81</v>
      </c>
      <c r="AX213" s="37" t="n">
        <v>222.66</v>
      </c>
      <c r="AY213" s="37" t="n">
        <v>219.48</v>
      </c>
      <c r="AZ213" s="37" t="n">
        <v>178.46</v>
      </c>
      <c r="BA213" s="37" t="n">
        <v>230.23</v>
      </c>
      <c r="BB213" s="37" t="n">
        <v>200.7</v>
      </c>
      <c r="BC213" s="37" t="n">
        <v>102.23</v>
      </c>
      <c r="BD213" s="37" t="n">
        <v>181.7</v>
      </c>
      <c r="BE213" s="37" t="n">
        <v>212.14</v>
      </c>
      <c r="BF213" s="37" t="n">
        <v>209.12</v>
      </c>
      <c r="BG213" s="37" t="n">
        <v>173.51</v>
      </c>
      <c r="BH213" s="37" t="n">
        <v>284.84</v>
      </c>
      <c r="BI213" s="37" t="n">
        <v>185.29</v>
      </c>
      <c r="BJ213" s="37" t="n">
        <v>797.35</v>
      </c>
      <c r="BK213" s="37" t="n">
        <v>226.02</v>
      </c>
      <c r="BL213" s="37" t="n">
        <v>222.38</v>
      </c>
      <c r="BM213" s="37" t="n">
        <v>209.12</v>
      </c>
      <c r="BN213" s="37" t="n">
        <v>170.04</v>
      </c>
      <c r="BO213" s="37" t="n">
        <v>284.84</v>
      </c>
      <c r="BP213" s="37" t="n">
        <v>303.84</v>
      </c>
      <c r="BQ213" s="37" t="n">
        <v>448.8</v>
      </c>
      <c r="BR213" s="37" t="n">
        <v>211.28</v>
      </c>
      <c r="BS213" s="37" t="n">
        <v>212.14</v>
      </c>
      <c r="BT213" s="37" t="n">
        <v>209.12</v>
      </c>
      <c r="BU213" s="37" t="n">
        <v>212.25</v>
      </c>
      <c r="BV213" s="37" t="n">
        <v>227.95</v>
      </c>
      <c r="BW213" s="37" t="n">
        <v>225.17</v>
      </c>
      <c r="BX213" s="37" t="n">
        <v>249.8</v>
      </c>
      <c r="BY213" s="37" t="n">
        <v>211.28</v>
      </c>
      <c r="BZ213" s="37" t="n">
        <v>216.52</v>
      </c>
      <c r="CA213" s="37" t="n">
        <v>213.22</v>
      </c>
      <c r="CB213" s="37" t="n">
        <v>170.04</v>
      </c>
      <c r="CC213" s="37" t="n">
        <v>16877.8</v>
      </c>
    </row>
    <row r="214" ht="15.75" customHeight="1" s="57">
      <c r="A214" s="7" t="inlineStr">
        <is>
          <t>NTB</t>
        </is>
      </c>
      <c r="B214" s="7" t="inlineStr">
        <is>
          <t>Khánh Hòa</t>
        </is>
      </c>
      <c r="C214" s="7" t="n">
        <v>21046000</v>
      </c>
      <c r="D214" s="7" t="inlineStr">
        <is>
          <t>(KHO) Vạn Ninh</t>
        </is>
      </c>
      <c r="E214" s="7" t="inlineStr">
        <is>
          <t>Shopee-Bulky</t>
        </is>
      </c>
      <c r="F214" s="36" t="n">
        <v>23.7</v>
      </c>
      <c r="G214" s="36" t="n">
        <v>19.85</v>
      </c>
      <c r="H214" s="36" t="n">
        <v>33.3</v>
      </c>
      <c r="I214" s="36" t="n">
        <v>17.93</v>
      </c>
      <c r="J214" s="36" t="n">
        <v>14.73</v>
      </c>
      <c r="K214" s="28" t="n">
        <v>17.93</v>
      </c>
      <c r="L214" s="36" t="n">
        <v>8.970000000000001</v>
      </c>
      <c r="M214" s="36" t="n">
        <v>21.13</v>
      </c>
      <c r="N214" s="36" t="n">
        <v>24.34</v>
      </c>
      <c r="O214" s="36" t="n">
        <v>16.65</v>
      </c>
      <c r="P214" s="36" t="n">
        <v>12.81</v>
      </c>
      <c r="Q214" s="36" t="n">
        <v>17.93</v>
      </c>
      <c r="R214" s="28" t="n">
        <v>16.01</v>
      </c>
      <c r="S214" s="36" t="n">
        <v>7.04</v>
      </c>
      <c r="T214" s="36" t="n">
        <v>17.29</v>
      </c>
      <c r="U214" s="36" t="n">
        <v>14.69</v>
      </c>
      <c r="V214" s="36" t="n">
        <v>14.24</v>
      </c>
      <c r="W214" s="36" t="n">
        <v>19.87</v>
      </c>
      <c r="X214" s="36" t="n">
        <v>10.97</v>
      </c>
      <c r="Y214" s="28" t="n">
        <v>21.68</v>
      </c>
      <c r="Z214" s="36" t="n">
        <v>16.89</v>
      </c>
      <c r="AA214" s="36" t="n">
        <v>16.36</v>
      </c>
      <c r="AB214" s="36" t="n">
        <v>16.71</v>
      </c>
      <c r="AC214" s="36" t="n">
        <v>17.69</v>
      </c>
      <c r="AD214" s="36" t="n">
        <v>49.17</v>
      </c>
      <c r="AE214" s="36" t="n">
        <v>28.16</v>
      </c>
      <c r="AF214" s="28" t="n">
        <v>42.71</v>
      </c>
      <c r="AG214" s="36" t="n">
        <v>24.15</v>
      </c>
      <c r="AH214" s="37" t="n">
        <v>16.76</v>
      </c>
      <c r="AI214" s="37" t="n">
        <v>16.36</v>
      </c>
      <c r="AJ214" s="37" t="n">
        <v>16.12</v>
      </c>
      <c r="AK214" s="37" t="n">
        <v>36.58</v>
      </c>
      <c r="AL214" s="37" t="n">
        <v>18.49</v>
      </c>
      <c r="AM214" s="37" t="n">
        <v>26.62</v>
      </c>
      <c r="AN214" s="37" t="n">
        <v>16.66</v>
      </c>
      <c r="AO214" s="37" t="n">
        <v>16.28</v>
      </c>
      <c r="AP214" s="37" t="n">
        <v>22.42</v>
      </c>
      <c r="AQ214" s="37" t="n">
        <v>22.05</v>
      </c>
      <c r="AR214" s="37" t="n">
        <v>18.01</v>
      </c>
      <c r="AS214" s="37" t="n">
        <v>9.640000000000001</v>
      </c>
      <c r="AT214" s="37" t="n">
        <v>19.82</v>
      </c>
      <c r="AU214" s="37" t="n">
        <v>32.46</v>
      </c>
      <c r="AV214" s="37" t="n">
        <v>33.76</v>
      </c>
      <c r="AW214" s="37" t="n">
        <v>16.47</v>
      </c>
      <c r="AX214" s="37" t="n">
        <v>15.46</v>
      </c>
      <c r="AY214" s="37" t="n">
        <v>17.24</v>
      </c>
      <c r="AZ214" s="37" t="n">
        <v>9.24</v>
      </c>
      <c r="BA214" s="37" t="n">
        <v>18.06</v>
      </c>
      <c r="BB214" s="37" t="n">
        <v>16.95</v>
      </c>
      <c r="BC214" s="37" t="n">
        <v>5.84</v>
      </c>
      <c r="BD214" s="37" t="n">
        <v>14.4</v>
      </c>
      <c r="BE214" s="37" t="n">
        <v>17.88</v>
      </c>
      <c r="BF214" s="37" t="n">
        <v>15.62</v>
      </c>
      <c r="BG214" s="37" t="n">
        <v>12.54</v>
      </c>
      <c r="BH214" s="37" t="n">
        <v>23.14</v>
      </c>
      <c r="BI214" s="37" t="n">
        <v>19.68</v>
      </c>
      <c r="BJ214" s="37" t="n">
        <v>77.72</v>
      </c>
      <c r="BK214" s="37" t="n">
        <v>42</v>
      </c>
      <c r="BL214" s="37" t="n">
        <v>21.6</v>
      </c>
      <c r="BM214" s="37" t="n">
        <v>16.34</v>
      </c>
      <c r="BN214" s="37" t="n">
        <v>12.22</v>
      </c>
      <c r="BO214" s="37" t="n">
        <v>27.09</v>
      </c>
      <c r="BP214" s="37" t="n">
        <v>39.23</v>
      </c>
      <c r="BQ214" s="37" t="n">
        <v>28.66</v>
      </c>
      <c r="BR214" s="37" t="n">
        <v>18.73</v>
      </c>
      <c r="BS214" s="37" t="n">
        <v>17.88</v>
      </c>
      <c r="BT214" s="37" t="n">
        <v>15.62</v>
      </c>
      <c r="BU214" s="37" t="n">
        <v>18.14</v>
      </c>
      <c r="BV214" s="37" t="n">
        <v>24.52</v>
      </c>
      <c r="BW214" s="37" t="n">
        <v>19.68</v>
      </c>
      <c r="BX214" s="37" t="n">
        <v>19.07</v>
      </c>
      <c r="BY214" s="37" t="n">
        <v>18.73</v>
      </c>
      <c r="BZ214" s="37" t="n">
        <v>32.06</v>
      </c>
      <c r="CA214" s="37" t="n">
        <v>18.59</v>
      </c>
      <c r="CB214" s="37" t="n">
        <v>11.87</v>
      </c>
      <c r="CC214" s="37" t="n">
        <v>1567.2</v>
      </c>
    </row>
    <row r="215" ht="15.75" customHeight="1" s="57">
      <c r="A215" s="7" t="inlineStr">
        <is>
          <t>NTB</t>
        </is>
      </c>
      <c r="B215" s="7" t="inlineStr">
        <is>
          <t>Khánh Hòa</t>
        </is>
      </c>
      <c r="C215" s="7" t="n">
        <v>21046000</v>
      </c>
      <c r="D215" s="7" t="inlineStr">
        <is>
          <t>(KHO) Vạn Ninh</t>
        </is>
      </c>
      <c r="E215" s="7" t="inlineStr">
        <is>
          <t>Shopee-Bulky (10-15kg)</t>
        </is>
      </c>
      <c r="F215" s="36" t="n">
        <v>13.3</v>
      </c>
      <c r="G215" s="36" t="n">
        <v>11.15</v>
      </c>
      <c r="H215" s="36" t="n">
        <v>18.7</v>
      </c>
      <c r="I215" s="36" t="n">
        <v>10.07</v>
      </c>
      <c r="J215" s="36" t="n">
        <v>8.27</v>
      </c>
      <c r="K215" s="28" t="n">
        <v>10.07</v>
      </c>
      <c r="L215" s="36" t="n">
        <v>5.03</v>
      </c>
      <c r="M215" s="36" t="n">
        <v>11.87</v>
      </c>
      <c r="N215" s="36" t="n">
        <v>13.66</v>
      </c>
      <c r="O215" s="36" t="n">
        <v>9.35</v>
      </c>
      <c r="P215" s="36" t="n">
        <v>7.19</v>
      </c>
      <c r="Q215" s="36" t="n">
        <v>10.07</v>
      </c>
      <c r="R215" s="28" t="n">
        <v>8.99</v>
      </c>
      <c r="S215" s="36" t="n">
        <v>3.96</v>
      </c>
      <c r="T215" s="36" t="n">
        <v>9.710000000000001</v>
      </c>
      <c r="U215" s="36" t="n">
        <v>8.789999999999999</v>
      </c>
      <c r="V215" s="36" t="n">
        <v>8.42</v>
      </c>
      <c r="W215" s="36" t="n">
        <v>10.86</v>
      </c>
      <c r="X215" s="36" t="n">
        <v>6.11</v>
      </c>
      <c r="Y215" s="28" t="n">
        <v>12.38</v>
      </c>
      <c r="Z215" s="36" t="n">
        <v>9.67</v>
      </c>
      <c r="AA215" s="36" t="n">
        <v>9.109999999999999</v>
      </c>
      <c r="AB215" s="36" t="n">
        <v>9.539999999999999</v>
      </c>
      <c r="AC215" s="36" t="n">
        <v>9.880000000000001</v>
      </c>
      <c r="AD215" s="36" t="n">
        <v>36.84</v>
      </c>
      <c r="AE215" s="36" t="n">
        <v>15.3</v>
      </c>
      <c r="AF215" s="28" t="n">
        <v>22.58</v>
      </c>
      <c r="AG215" s="36" t="n">
        <v>13.47</v>
      </c>
      <c r="AH215" s="37" t="n">
        <v>9.539999999999999</v>
      </c>
      <c r="AI215" s="37" t="n">
        <v>9.220000000000001</v>
      </c>
      <c r="AJ215" s="37" t="n">
        <v>9.029999999999999</v>
      </c>
      <c r="AK215" s="37" t="n">
        <v>20.88</v>
      </c>
      <c r="AL215" s="37" t="n">
        <v>10.49</v>
      </c>
      <c r="AM215" s="37" t="n">
        <v>15.06</v>
      </c>
      <c r="AN215" s="37" t="n">
        <v>9.539999999999999</v>
      </c>
      <c r="AO215" s="37" t="n">
        <v>9.19</v>
      </c>
      <c r="AP215" s="37" t="n">
        <v>11.9</v>
      </c>
      <c r="AQ215" s="37" t="n">
        <v>12.51</v>
      </c>
      <c r="AR215" s="37" t="n">
        <v>9.75</v>
      </c>
      <c r="AS215" s="37" t="n">
        <v>5.37</v>
      </c>
      <c r="AT215" s="37" t="n">
        <v>11.21</v>
      </c>
      <c r="AU215" s="37" t="n">
        <v>18.54</v>
      </c>
      <c r="AV215" s="37" t="n">
        <v>19.23</v>
      </c>
      <c r="AW215" s="37" t="n">
        <v>9.32</v>
      </c>
      <c r="AX215" s="37" t="n">
        <v>8.710000000000001</v>
      </c>
      <c r="AY215" s="37" t="n">
        <v>9.380000000000001</v>
      </c>
      <c r="AZ215" s="37" t="n">
        <v>5.18</v>
      </c>
      <c r="BA215" s="37" t="n">
        <v>10.23</v>
      </c>
      <c r="BB215" s="37" t="n">
        <v>9.800000000000001</v>
      </c>
      <c r="BC215" s="37" t="n">
        <v>3.29</v>
      </c>
      <c r="BD215" s="37" t="n">
        <v>7.81</v>
      </c>
      <c r="BE215" s="37" t="n">
        <v>10.07</v>
      </c>
      <c r="BF215" s="37" t="n">
        <v>8.58</v>
      </c>
      <c r="BG215" s="37" t="n">
        <v>7.01</v>
      </c>
      <c r="BH215" s="37" t="n">
        <v>13.41</v>
      </c>
      <c r="BI215" s="37" t="n">
        <v>11.4</v>
      </c>
      <c r="BJ215" s="37" t="n">
        <v>50.52</v>
      </c>
      <c r="BK215" s="37" t="n">
        <v>23.56</v>
      </c>
      <c r="BL215" s="37" t="n">
        <v>12.54</v>
      </c>
      <c r="BM215" s="37" t="n">
        <v>9.109999999999999</v>
      </c>
      <c r="BN215" s="37" t="n">
        <v>6.88</v>
      </c>
      <c r="BO215" s="37" t="n">
        <v>15.09</v>
      </c>
      <c r="BP215" s="37" t="n">
        <v>21.99</v>
      </c>
      <c r="BQ215" s="37" t="n">
        <v>16.18</v>
      </c>
      <c r="BR215" s="37" t="n">
        <v>10.81</v>
      </c>
      <c r="BS215" s="37" t="n">
        <v>10.07</v>
      </c>
      <c r="BT215" s="37" t="n">
        <v>8.58</v>
      </c>
      <c r="BU215" s="37" t="n">
        <v>10.44</v>
      </c>
      <c r="BV215" s="37" t="n">
        <v>13.87</v>
      </c>
      <c r="BW215" s="37" t="n">
        <v>11.4</v>
      </c>
      <c r="BX215" s="37" t="n">
        <v>10.89</v>
      </c>
      <c r="BY215" s="37" t="n">
        <v>10.81</v>
      </c>
      <c r="BZ215" s="37" t="n">
        <v>17.85</v>
      </c>
      <c r="CA215" s="37" t="n">
        <v>10.65</v>
      </c>
      <c r="CB215" s="37" t="n">
        <v>6.72</v>
      </c>
      <c r="CC215" s="37" t="n">
        <v>897.9499999999998</v>
      </c>
    </row>
    <row r="216" ht="15.75" customHeight="1" s="57">
      <c r="A216" s="7" t="inlineStr">
        <is>
          <t>NTB</t>
        </is>
      </c>
      <c r="B216" s="7" t="inlineStr">
        <is>
          <t>Khánh Hòa</t>
        </is>
      </c>
      <c r="C216" s="7" t="n">
        <v>21046000</v>
      </c>
      <c r="D216" s="7" t="inlineStr">
        <is>
          <t>(KHO) Vạn Ninh</t>
        </is>
      </c>
      <c r="E216" s="7" t="inlineStr">
        <is>
          <t>TTS</t>
        </is>
      </c>
      <c r="F216" s="36" t="n">
        <v>130</v>
      </c>
      <c r="G216" s="36" t="n">
        <v>190</v>
      </c>
      <c r="H216" s="36" t="n">
        <v>144</v>
      </c>
      <c r="I216" s="36" t="n">
        <v>134</v>
      </c>
      <c r="J216" s="36" t="n">
        <v>155</v>
      </c>
      <c r="K216" s="28" t="n">
        <v>142</v>
      </c>
      <c r="L216" s="36" t="n">
        <v>114</v>
      </c>
      <c r="M216" s="36" t="n">
        <v>159</v>
      </c>
      <c r="N216" s="36" t="n">
        <v>201</v>
      </c>
      <c r="O216" s="36" t="n">
        <v>124</v>
      </c>
      <c r="P216" s="36" t="n">
        <v>154</v>
      </c>
      <c r="Q216" s="36" t="n">
        <v>160</v>
      </c>
      <c r="R216" s="28" t="n">
        <v>137</v>
      </c>
      <c r="S216" s="36" t="n">
        <v>150</v>
      </c>
      <c r="T216" s="36" t="n">
        <v>179</v>
      </c>
      <c r="U216" s="36" t="n">
        <v>133.58</v>
      </c>
      <c r="V216" s="36" t="n">
        <v>131.09</v>
      </c>
      <c r="W216" s="36" t="n">
        <v>128.23</v>
      </c>
      <c r="X216" s="36" t="n">
        <v>103.35</v>
      </c>
      <c r="Y216" s="28" t="n">
        <v>150.63</v>
      </c>
      <c r="Z216" s="36" t="n">
        <v>127.69</v>
      </c>
      <c r="AA216" s="36" t="n">
        <v>142.08</v>
      </c>
      <c r="AB216" s="36" t="n">
        <v>157.82</v>
      </c>
      <c r="AC216" s="36" t="n">
        <v>166.41</v>
      </c>
      <c r="AD216" s="36" t="n">
        <v>183.28</v>
      </c>
      <c r="AE216" s="36" t="n">
        <v>120.22</v>
      </c>
      <c r="AF216" s="28" t="n">
        <v>155.11</v>
      </c>
      <c r="AG216" s="36" t="n">
        <v>130.59</v>
      </c>
      <c r="AH216" s="37" t="n">
        <v>129.22</v>
      </c>
      <c r="AI216" s="37" t="n">
        <v>147.73</v>
      </c>
      <c r="AJ216" s="37" t="n">
        <v>158.75</v>
      </c>
      <c r="AK216" s="37" t="n">
        <v>156.58</v>
      </c>
      <c r="AL216" s="37" t="n">
        <v>111.36</v>
      </c>
      <c r="AM216" s="37" t="n">
        <v>152.95</v>
      </c>
      <c r="AN216" s="37" t="n">
        <v>131.91</v>
      </c>
      <c r="AO216" s="37" t="n">
        <v>131.41</v>
      </c>
      <c r="AP216" s="37" t="n">
        <v>127.4</v>
      </c>
      <c r="AQ216" s="37" t="n">
        <v>128.53</v>
      </c>
      <c r="AR216" s="37" t="n">
        <v>126.27</v>
      </c>
      <c r="AS216" s="37" t="n">
        <v>103.7</v>
      </c>
      <c r="AT216" s="37" t="n">
        <v>165.82</v>
      </c>
      <c r="AU216" s="37" t="n">
        <v>150</v>
      </c>
      <c r="AV216" s="37" t="n">
        <v>133.28</v>
      </c>
      <c r="AW216" s="37" t="n">
        <v>125.92</v>
      </c>
      <c r="AX216" s="37" t="n">
        <v>125.23</v>
      </c>
      <c r="AY216" s="37" t="n">
        <v>124.64</v>
      </c>
      <c r="AZ216" s="37" t="n">
        <v>103.75</v>
      </c>
      <c r="BA216" s="37" t="n">
        <v>149.41</v>
      </c>
      <c r="BB216" s="37" t="n">
        <v>139.47</v>
      </c>
      <c r="BC216" s="37" t="n">
        <v>82.49000000000001</v>
      </c>
      <c r="BD216" s="37" t="n">
        <v>120.41</v>
      </c>
      <c r="BE216" s="37" t="n">
        <v>141.68</v>
      </c>
      <c r="BF216" s="37" t="n">
        <v>137.65</v>
      </c>
      <c r="BG216" s="37" t="n">
        <v>111.46</v>
      </c>
      <c r="BH216" s="37" t="n">
        <v>165.57</v>
      </c>
      <c r="BI216" s="37" t="n">
        <v>139.47</v>
      </c>
      <c r="BJ216" s="37" t="n">
        <v>139.43</v>
      </c>
      <c r="BK216" s="37" t="n">
        <v>141.49</v>
      </c>
      <c r="BL216" s="37" t="n">
        <v>141.68</v>
      </c>
      <c r="BM216" s="37" t="n">
        <v>137.65</v>
      </c>
      <c r="BN216" s="37" t="n">
        <v>111.46</v>
      </c>
      <c r="BO216" s="37" t="n">
        <v>165.57</v>
      </c>
      <c r="BP216" s="37" t="n">
        <v>139.47</v>
      </c>
      <c r="BQ216" s="37" t="n">
        <v>137.85</v>
      </c>
      <c r="BR216" s="37" t="n">
        <v>141.49</v>
      </c>
      <c r="BS216" s="37" t="n">
        <v>141.68</v>
      </c>
      <c r="BT216" s="37" t="n">
        <v>137.65</v>
      </c>
      <c r="BU216" s="37" t="n">
        <v>111.46</v>
      </c>
      <c r="BV216" s="37" t="n">
        <v>165.57</v>
      </c>
      <c r="BW216" s="37" t="n">
        <v>139.47</v>
      </c>
      <c r="BX216" s="37" t="n">
        <v>137.85</v>
      </c>
      <c r="BY216" s="37" t="n">
        <v>141.49</v>
      </c>
      <c r="BZ216" s="37" t="n">
        <v>141.68</v>
      </c>
      <c r="CA216" s="37" t="n">
        <v>137.65</v>
      </c>
      <c r="CB216" s="37" t="n">
        <v>111.46</v>
      </c>
      <c r="CC216" s="37" t="n">
        <v>10447.18999999999</v>
      </c>
    </row>
    <row r="217" ht="15.75" customHeight="1" s="57">
      <c r="A217" s="7" t="inlineStr">
        <is>
          <t>NTB</t>
        </is>
      </c>
      <c r="B217" s="7" t="inlineStr">
        <is>
          <t>Khánh Hòa</t>
        </is>
      </c>
      <c r="C217" s="7" t="n">
        <v>21046000</v>
      </c>
      <c r="D217" s="7" t="inlineStr">
        <is>
          <t>(KHO) Vạn Ninh</t>
        </is>
      </c>
      <c r="E217" s="7" t="inlineStr">
        <is>
          <t>TTS-Bulky</t>
        </is>
      </c>
      <c r="F217" s="36" t="n">
        <v>0</v>
      </c>
      <c r="G217" s="36" t="n">
        <v>2</v>
      </c>
      <c r="H217" s="36" t="n">
        <v>4</v>
      </c>
      <c r="I217" s="36" t="n">
        <v>2</v>
      </c>
      <c r="J217" s="36" t="n">
        <v>1</v>
      </c>
      <c r="K217" s="28" t="n">
        <v>3</v>
      </c>
      <c r="L217" s="36" t="n">
        <v>2</v>
      </c>
      <c r="M217" s="36" t="n">
        <v>2</v>
      </c>
      <c r="N217" s="36" t="n">
        <v>1</v>
      </c>
      <c r="O217" s="36" t="n">
        <v>1</v>
      </c>
      <c r="P217" s="36" t="n">
        <v>0</v>
      </c>
      <c r="Q217" s="36" t="n">
        <v>2</v>
      </c>
      <c r="R217" s="28" t="n">
        <v>1</v>
      </c>
      <c r="S217" s="36" t="n">
        <v>0</v>
      </c>
      <c r="T217" s="36" t="n">
        <v>2</v>
      </c>
      <c r="U217" s="36" t="n">
        <v>6.61</v>
      </c>
      <c r="V217" s="36" t="n">
        <v>6.33</v>
      </c>
      <c r="W217" s="36" t="n">
        <v>3.18</v>
      </c>
      <c r="X217" s="36" t="n">
        <v>2.39</v>
      </c>
      <c r="Y217" s="28" t="n">
        <v>4.06</v>
      </c>
      <c r="Z217" s="36" t="n">
        <v>2.98</v>
      </c>
      <c r="AA217" s="36" t="n">
        <v>3.38</v>
      </c>
      <c r="AB217" s="36" t="n">
        <v>3.62</v>
      </c>
      <c r="AC217" s="36" t="n">
        <v>3.94</v>
      </c>
      <c r="AD217" s="36" t="n">
        <v>4.93</v>
      </c>
      <c r="AE217" s="36" t="n">
        <v>2.63</v>
      </c>
      <c r="AF217" s="28" t="n">
        <v>3.86</v>
      </c>
      <c r="AG217" s="36" t="n">
        <v>3.1</v>
      </c>
      <c r="AH217" s="37" t="n">
        <v>3.1</v>
      </c>
      <c r="AI217" s="37" t="n">
        <v>3.22</v>
      </c>
      <c r="AJ217" s="37" t="n">
        <v>3.54</v>
      </c>
      <c r="AK217" s="37" t="n">
        <v>3.42</v>
      </c>
      <c r="AL217" s="37" t="n">
        <v>2.43</v>
      </c>
      <c r="AM217" s="37" t="n">
        <v>3.82</v>
      </c>
      <c r="AN217" s="37" t="n">
        <v>3.18</v>
      </c>
      <c r="AO217" s="37" t="n">
        <v>3.1</v>
      </c>
      <c r="AP217" s="37" t="n">
        <v>3.14</v>
      </c>
      <c r="AQ217" s="37" t="n">
        <v>3.14</v>
      </c>
      <c r="AR217" s="37" t="n">
        <v>3.14</v>
      </c>
      <c r="AS217" s="37" t="n">
        <v>2.31</v>
      </c>
      <c r="AT217" s="37" t="n">
        <v>4.02</v>
      </c>
      <c r="AU217" s="37" t="n">
        <v>3.62</v>
      </c>
      <c r="AV217" s="37" t="n">
        <v>3.22</v>
      </c>
      <c r="AW217" s="37" t="n">
        <v>3.1</v>
      </c>
      <c r="AX217" s="37" t="n">
        <v>3.1</v>
      </c>
      <c r="AY217" s="37" t="n">
        <v>3.14</v>
      </c>
      <c r="AZ217" s="37" t="n">
        <v>2.31</v>
      </c>
      <c r="BA217" s="37" t="n">
        <v>3.54</v>
      </c>
      <c r="BB217" s="37" t="n">
        <v>0.84</v>
      </c>
      <c r="BC217" s="37" t="n">
        <v>0.52</v>
      </c>
      <c r="BD217" s="37" t="n">
        <v>0.6</v>
      </c>
      <c r="BE217" s="37" t="n">
        <v>0.84</v>
      </c>
      <c r="BF217" s="37" t="n">
        <v>0.88</v>
      </c>
      <c r="BG217" s="37" t="n">
        <v>0.6</v>
      </c>
      <c r="BH217" s="37" t="n">
        <v>1.11</v>
      </c>
      <c r="BI217" s="37" t="n">
        <v>0.92</v>
      </c>
      <c r="BJ217" s="37" t="n">
        <v>1.15</v>
      </c>
      <c r="BK217" s="37" t="n">
        <v>0.88</v>
      </c>
      <c r="BL217" s="37" t="n">
        <v>0.84</v>
      </c>
      <c r="BM217" s="37" t="n">
        <v>0.88</v>
      </c>
      <c r="BN217" s="37" t="n">
        <v>0.6</v>
      </c>
      <c r="BO217" s="37" t="n">
        <v>1.35</v>
      </c>
      <c r="BP217" s="37" t="n">
        <v>1.03</v>
      </c>
      <c r="BQ217" s="37" t="n">
        <v>0.88</v>
      </c>
      <c r="BR217" s="37" t="n">
        <v>0.88</v>
      </c>
      <c r="BS217" s="37" t="n">
        <v>0.84</v>
      </c>
      <c r="BT217" s="37" t="n">
        <v>0.88</v>
      </c>
      <c r="BU217" s="37" t="n">
        <v>0.6</v>
      </c>
      <c r="BV217" s="37" t="n">
        <v>1.03</v>
      </c>
      <c r="BW217" s="37" t="n">
        <v>0.92</v>
      </c>
      <c r="BX217" s="37" t="n">
        <v>0.88</v>
      </c>
      <c r="BY217" s="37" t="n">
        <v>0.88</v>
      </c>
      <c r="BZ217" s="37" t="n">
        <v>0.84</v>
      </c>
      <c r="CA217" s="37" t="n">
        <v>0.88</v>
      </c>
      <c r="CB217" s="37" t="n">
        <v>0.6</v>
      </c>
      <c r="CC217" s="37" t="n">
        <v>160.7499999999999</v>
      </c>
    </row>
    <row r="218" ht="15.75" customHeight="1" s="57">
      <c r="A218" s="7" t="inlineStr">
        <is>
          <t>NTB</t>
        </is>
      </c>
      <c r="B218" s="7" t="inlineStr">
        <is>
          <t>Khánh Hòa</t>
        </is>
      </c>
      <c r="C218" s="7" t="n">
        <v>21094000</v>
      </c>
      <c r="D218" s="7" t="inlineStr">
        <is>
          <t>Kho Giao Hàng Nặng - Nha Trang - Khánh Hoà</t>
        </is>
      </c>
      <c r="E218" s="7" t="inlineStr">
        <is>
          <t>SME</t>
        </is>
      </c>
      <c r="F218" s="36" t="n">
        <v>45</v>
      </c>
      <c r="G218" s="36" t="n">
        <v>5</v>
      </c>
      <c r="H218" s="36" t="n">
        <v>20</v>
      </c>
      <c r="I218" s="36" t="n">
        <v>14</v>
      </c>
      <c r="J218" s="36" t="n">
        <v>14</v>
      </c>
      <c r="K218" s="28" t="n">
        <v>11</v>
      </c>
      <c r="L218" s="36" t="n">
        <v>3</v>
      </c>
      <c r="M218" s="36" t="n">
        <v>1</v>
      </c>
      <c r="N218" s="36" t="n">
        <v>38</v>
      </c>
      <c r="O218" s="36" t="n">
        <v>7</v>
      </c>
      <c r="P218" s="36" t="n">
        <v>2</v>
      </c>
      <c r="Q218" s="36" t="n">
        <v>4</v>
      </c>
      <c r="R218" s="28" t="n">
        <v>11</v>
      </c>
      <c r="S218" s="36" t="n">
        <v>18</v>
      </c>
      <c r="T218" s="36" t="n">
        <v>1</v>
      </c>
      <c r="U218" s="36" t="n">
        <v>78.62</v>
      </c>
      <c r="V218" s="36" t="n">
        <v>82.33</v>
      </c>
      <c r="W218" s="36" t="n">
        <v>79.78</v>
      </c>
      <c r="X218" s="36" t="n">
        <v>65.7</v>
      </c>
      <c r="Y218" s="28" t="n">
        <v>88.01000000000001</v>
      </c>
      <c r="Z218" s="36" t="n">
        <v>81.41</v>
      </c>
      <c r="AA218" s="36" t="n">
        <v>79.44999999999999</v>
      </c>
      <c r="AB218" s="36" t="n">
        <v>78.62</v>
      </c>
      <c r="AC218" s="36" t="n">
        <v>82.33</v>
      </c>
      <c r="AD218" s="36" t="n">
        <v>98.31999999999999</v>
      </c>
      <c r="AE218" s="36" t="n">
        <v>65.7</v>
      </c>
      <c r="AF218" s="28" t="n">
        <v>88.01000000000001</v>
      </c>
      <c r="AG218" s="36" t="n">
        <v>81.41</v>
      </c>
      <c r="AH218" s="37" t="n">
        <v>79.44999999999999</v>
      </c>
      <c r="AI218" s="37" t="n">
        <v>78.62</v>
      </c>
      <c r="AJ218" s="37" t="n">
        <v>82.33</v>
      </c>
      <c r="AK218" s="37" t="n">
        <v>79.78</v>
      </c>
      <c r="AL218" s="37" t="n">
        <v>65.7</v>
      </c>
      <c r="AM218" s="37" t="n">
        <v>88.01000000000001</v>
      </c>
      <c r="AN218" s="37" t="n">
        <v>81.41</v>
      </c>
      <c r="AO218" s="37" t="n">
        <v>79.44999999999999</v>
      </c>
      <c r="AP218" s="37" t="n">
        <v>78.62</v>
      </c>
      <c r="AQ218" s="37" t="n">
        <v>82.33</v>
      </c>
      <c r="AR218" s="37" t="n">
        <v>79.78</v>
      </c>
      <c r="AS218" s="37" t="n">
        <v>65.7</v>
      </c>
      <c r="AT218" s="37" t="n">
        <v>88.01000000000001</v>
      </c>
      <c r="AU218" s="37" t="n">
        <v>81.41</v>
      </c>
      <c r="AV218" s="37" t="n">
        <v>79.44999999999999</v>
      </c>
      <c r="AW218" s="37" t="n">
        <v>78.62</v>
      </c>
      <c r="AX218" s="37" t="n">
        <v>82.33</v>
      </c>
      <c r="AY218" s="37" t="n">
        <v>79.78</v>
      </c>
      <c r="AZ218" s="37" t="n">
        <v>65.7</v>
      </c>
      <c r="BA218" s="37" t="n">
        <v>79.47</v>
      </c>
      <c r="BB218" s="37" t="n">
        <v>70.78999999999999</v>
      </c>
      <c r="BC218" s="37" t="n">
        <v>44.16</v>
      </c>
      <c r="BD218" s="37" t="n">
        <v>43.87</v>
      </c>
      <c r="BE218" s="37" t="n">
        <v>75.39</v>
      </c>
      <c r="BF218" s="37" t="n">
        <v>72.34999999999999</v>
      </c>
      <c r="BG218" s="37" t="n">
        <v>66.84999999999999</v>
      </c>
      <c r="BH218" s="37" t="n">
        <v>89.32000000000001</v>
      </c>
      <c r="BI218" s="37" t="n">
        <v>82.67</v>
      </c>
      <c r="BJ218" s="37" t="n">
        <v>99.22</v>
      </c>
      <c r="BK218" s="37" t="n">
        <v>79.86</v>
      </c>
      <c r="BL218" s="37" t="n">
        <v>83.58</v>
      </c>
      <c r="BM218" s="37" t="n">
        <v>81.03999999999999</v>
      </c>
      <c r="BN218" s="37" t="n">
        <v>66.84999999999999</v>
      </c>
      <c r="BO218" s="37" t="n">
        <v>89.32000000000001</v>
      </c>
      <c r="BP218" s="37" t="n">
        <v>82.67</v>
      </c>
      <c r="BQ218" s="37" t="n">
        <v>80.7</v>
      </c>
      <c r="BR218" s="37" t="n">
        <v>79.86</v>
      </c>
      <c r="BS218" s="37" t="n">
        <v>83.58</v>
      </c>
      <c r="BT218" s="37" t="n">
        <v>81.03999999999999</v>
      </c>
      <c r="BU218" s="37" t="n">
        <v>66.84999999999999</v>
      </c>
      <c r="BV218" s="37" t="n">
        <v>89.32000000000001</v>
      </c>
      <c r="BW218" s="37" t="n">
        <v>82.67</v>
      </c>
      <c r="BX218" s="37" t="n">
        <v>80.7</v>
      </c>
      <c r="BY218" s="37" t="n">
        <v>79.86</v>
      </c>
      <c r="BZ218" s="37" t="n">
        <v>83.58</v>
      </c>
      <c r="CA218" s="37" t="n">
        <v>81.03999999999999</v>
      </c>
      <c r="CB218" s="37" t="n">
        <v>66.84999999999999</v>
      </c>
      <c r="CC218" s="37" t="n">
        <v>4903.629999999999</v>
      </c>
    </row>
    <row r="219" ht="15.75" customHeight="1" s="57">
      <c r="A219" s="7" t="inlineStr">
        <is>
          <t>NTB</t>
        </is>
      </c>
      <c r="B219" s="7" t="inlineStr">
        <is>
          <t>Khánh Hòa</t>
        </is>
      </c>
      <c r="C219" s="7" t="n">
        <v>21094000</v>
      </c>
      <c r="D219" s="7" t="inlineStr">
        <is>
          <t>Kho Giao Hàng Nặng - Nha Trang - Khánh Hoà</t>
        </is>
      </c>
      <c r="E219" s="7" t="inlineStr">
        <is>
          <t>SME-Bulky</t>
        </is>
      </c>
      <c r="F219" s="36" t="n">
        <v>105</v>
      </c>
      <c r="G219" s="36" t="n">
        <v>89</v>
      </c>
      <c r="H219" s="36" t="n">
        <v>103</v>
      </c>
      <c r="I219" s="36" t="n">
        <v>94</v>
      </c>
      <c r="J219" s="36" t="n">
        <v>72</v>
      </c>
      <c r="K219" s="28" t="n">
        <v>75</v>
      </c>
      <c r="L219" s="36" t="n">
        <v>95</v>
      </c>
      <c r="M219" s="36" t="n">
        <v>94</v>
      </c>
      <c r="N219" s="36" t="n">
        <v>61</v>
      </c>
      <c r="O219" s="36" t="n">
        <v>96</v>
      </c>
      <c r="P219" s="36" t="n">
        <v>121</v>
      </c>
      <c r="Q219" s="36" t="n">
        <v>183</v>
      </c>
      <c r="R219" s="28" t="n">
        <v>87</v>
      </c>
      <c r="S219" s="36" t="n">
        <v>89</v>
      </c>
      <c r="T219" s="36" t="n">
        <v>63</v>
      </c>
      <c r="U219" s="36" t="n">
        <v>104</v>
      </c>
      <c r="V219" s="36" t="n">
        <v>105.35</v>
      </c>
      <c r="W219" s="36" t="n">
        <v>97.81</v>
      </c>
      <c r="X219" s="36" t="n">
        <v>65.2</v>
      </c>
      <c r="Y219" s="28" t="n">
        <v>119.36</v>
      </c>
      <c r="Z219" s="36" t="n">
        <v>115.05</v>
      </c>
      <c r="AA219" s="36" t="n">
        <v>109.39</v>
      </c>
      <c r="AB219" s="36" t="n">
        <v>104</v>
      </c>
      <c r="AC219" s="36" t="n">
        <v>105.35</v>
      </c>
      <c r="AD219" s="36" t="n">
        <v>92.42</v>
      </c>
      <c r="AE219" s="36" t="n">
        <v>65.2</v>
      </c>
      <c r="AF219" s="28" t="n">
        <v>119.36</v>
      </c>
      <c r="AG219" s="36" t="n">
        <v>115.05</v>
      </c>
      <c r="AH219" s="37" t="n">
        <v>109.39</v>
      </c>
      <c r="AI219" s="37" t="n">
        <v>104</v>
      </c>
      <c r="AJ219" s="37" t="n">
        <v>105.35</v>
      </c>
      <c r="AK219" s="37" t="n">
        <v>97.81</v>
      </c>
      <c r="AL219" s="37" t="n">
        <v>65.2</v>
      </c>
      <c r="AM219" s="37" t="n">
        <v>119.36</v>
      </c>
      <c r="AN219" s="37" t="n">
        <v>115.05</v>
      </c>
      <c r="AO219" s="37" t="n">
        <v>109.39</v>
      </c>
      <c r="AP219" s="37" t="n">
        <v>104</v>
      </c>
      <c r="AQ219" s="37" t="n">
        <v>105.35</v>
      </c>
      <c r="AR219" s="37" t="n">
        <v>97.81</v>
      </c>
      <c r="AS219" s="37" t="n">
        <v>65.2</v>
      </c>
      <c r="AT219" s="37" t="n">
        <v>119.36</v>
      </c>
      <c r="AU219" s="37" t="n">
        <v>115.05</v>
      </c>
      <c r="AV219" s="37" t="n">
        <v>109.39</v>
      </c>
      <c r="AW219" s="37" t="n">
        <v>104</v>
      </c>
      <c r="AX219" s="37" t="n">
        <v>105.35</v>
      </c>
      <c r="AY219" s="37" t="n">
        <v>97.81</v>
      </c>
      <c r="AZ219" s="37" t="n">
        <v>65.2</v>
      </c>
      <c r="BA219" s="37" t="n">
        <v>118.82</v>
      </c>
      <c r="BB219" s="37" t="n">
        <v>61.7</v>
      </c>
      <c r="BC219" s="37" t="n">
        <v>31.25</v>
      </c>
      <c r="BD219" s="37" t="n">
        <v>28.56</v>
      </c>
      <c r="BE219" s="37" t="n">
        <v>53.35</v>
      </c>
      <c r="BF219" s="37" t="n">
        <v>49.31</v>
      </c>
      <c r="BG219" s="37" t="n">
        <v>39.34</v>
      </c>
      <c r="BH219" s="37" t="n">
        <v>70.05</v>
      </c>
      <c r="BI219" s="37" t="n">
        <v>68.98</v>
      </c>
      <c r="BJ219" s="37" t="n">
        <v>60.08</v>
      </c>
      <c r="BK219" s="37" t="n">
        <v>61.7</v>
      </c>
      <c r="BL219" s="37" t="n">
        <v>63.05</v>
      </c>
      <c r="BM219" s="37" t="n">
        <v>57.39</v>
      </c>
      <c r="BN219" s="37" t="n">
        <v>39.34</v>
      </c>
      <c r="BO219" s="37" t="n">
        <v>70.05</v>
      </c>
      <c r="BP219" s="37" t="n">
        <v>68.98</v>
      </c>
      <c r="BQ219" s="37" t="n">
        <v>64.40000000000001</v>
      </c>
      <c r="BR219" s="37" t="n">
        <v>61.7</v>
      </c>
      <c r="BS219" s="37" t="n">
        <v>63.05</v>
      </c>
      <c r="BT219" s="37" t="n">
        <v>57.39</v>
      </c>
      <c r="BU219" s="37" t="n">
        <v>39.34</v>
      </c>
      <c r="BV219" s="37" t="n">
        <v>70.05</v>
      </c>
      <c r="BW219" s="37" t="n">
        <v>68.98</v>
      </c>
      <c r="BX219" s="37" t="n">
        <v>64.40000000000001</v>
      </c>
      <c r="BY219" s="37" t="n">
        <v>61.7</v>
      </c>
      <c r="BZ219" s="37" t="n">
        <v>63.05</v>
      </c>
      <c r="CA219" s="37" t="n">
        <v>57.39</v>
      </c>
      <c r="CB219" s="37" t="n">
        <v>39.34</v>
      </c>
      <c r="CC219" s="37" t="n">
        <v>6311.350000000001</v>
      </c>
    </row>
    <row r="220" ht="15.75" customHeight="1" s="57">
      <c r="A220" s="7" t="inlineStr">
        <is>
          <t>NTB</t>
        </is>
      </c>
      <c r="B220" s="7" t="inlineStr">
        <is>
          <t>Khánh Hòa</t>
        </is>
      </c>
      <c r="C220" s="7" t="n">
        <v>21094000</v>
      </c>
      <c r="D220" s="7" t="inlineStr">
        <is>
          <t>Kho Giao Hàng Nặng - Nha Trang - Khánh Hoà</t>
        </is>
      </c>
      <c r="E220" s="7" t="inlineStr">
        <is>
          <t>Shopee</t>
        </is>
      </c>
      <c r="F220" s="36" t="n">
        <v>0</v>
      </c>
      <c r="G220" s="36" t="n">
        <v>1</v>
      </c>
      <c r="H220" s="36" t="n">
        <v>2</v>
      </c>
      <c r="I220" s="36" t="n">
        <v>1</v>
      </c>
      <c r="J220" s="36" t="n">
        <v>0</v>
      </c>
      <c r="K220" s="28" t="n">
        <v>1</v>
      </c>
      <c r="L220" s="36" t="n">
        <v>1</v>
      </c>
      <c r="M220" s="36" t="n">
        <v>0</v>
      </c>
      <c r="N220" s="36" t="n">
        <v>1</v>
      </c>
      <c r="O220" s="36" t="n">
        <v>1</v>
      </c>
      <c r="P220" s="36" t="n">
        <v>1</v>
      </c>
      <c r="Q220" s="36" t="n">
        <v>0</v>
      </c>
      <c r="R220" s="28" t="n">
        <v>0</v>
      </c>
      <c r="S220" s="36" t="n">
        <v>1</v>
      </c>
      <c r="T220" s="36" t="n">
        <v>0</v>
      </c>
      <c r="U220" s="36" t="n">
        <v>0.5</v>
      </c>
      <c r="V220" s="36" t="n">
        <v>0.5</v>
      </c>
      <c r="W220" s="36" t="n">
        <v>0.49</v>
      </c>
      <c r="X220" s="36" t="n">
        <v>0.4</v>
      </c>
      <c r="Y220" s="28" t="n">
        <v>0.67</v>
      </c>
      <c r="Z220" s="36" t="n">
        <v>0.53</v>
      </c>
      <c r="AA220" s="36" t="n">
        <v>0.73</v>
      </c>
      <c r="AB220" s="36" t="n">
        <v>0.51</v>
      </c>
      <c r="AC220" s="36" t="n">
        <v>0.41</v>
      </c>
      <c r="AD220" s="36" t="n">
        <v>1.26</v>
      </c>
      <c r="AE220" s="36" t="n">
        <v>0.43</v>
      </c>
      <c r="AF220" s="28" t="n">
        <v>0.77</v>
      </c>
      <c r="AG220" s="36" t="n">
        <v>0.5600000000000001</v>
      </c>
      <c r="AH220" s="37" t="n">
        <v>0.59</v>
      </c>
      <c r="AI220" s="37" t="n">
        <v>0.5</v>
      </c>
      <c r="AJ220" s="37" t="n">
        <v>0.5</v>
      </c>
      <c r="AK220" s="37" t="n">
        <v>0.67</v>
      </c>
      <c r="AL220" s="37" t="n">
        <v>0.72</v>
      </c>
      <c r="AM220" s="37" t="n">
        <v>0.67</v>
      </c>
      <c r="AN220" s="37" t="n">
        <v>0.53</v>
      </c>
      <c r="AO220" s="37" t="n">
        <v>0.59</v>
      </c>
      <c r="AP220" s="37" t="n">
        <v>0.62</v>
      </c>
      <c r="AQ220" s="37" t="n">
        <v>0.4</v>
      </c>
      <c r="AR220" s="37" t="n">
        <v>0.49</v>
      </c>
      <c r="AS220" s="37" t="n">
        <v>0.4</v>
      </c>
      <c r="AT220" s="37" t="n">
        <v>0.67</v>
      </c>
      <c r="AU220" s="37" t="n">
        <v>0.54</v>
      </c>
      <c r="AV220" s="37" t="n">
        <v>0.6</v>
      </c>
      <c r="AW220" s="37" t="n">
        <v>0.5</v>
      </c>
      <c r="AX220" s="37" t="n">
        <v>0.5</v>
      </c>
      <c r="AY220" s="37" t="n">
        <v>0.49</v>
      </c>
      <c r="AZ220" s="37" t="n">
        <v>0.4</v>
      </c>
      <c r="BA220" s="37" t="n">
        <v>0.52</v>
      </c>
      <c r="BB220" s="37" t="n">
        <v>0.45</v>
      </c>
      <c r="BC220" s="37" t="n">
        <v>0.23</v>
      </c>
      <c r="BD220" s="37" t="n">
        <v>0.41</v>
      </c>
      <c r="BE220" s="37" t="n">
        <v>0.48</v>
      </c>
      <c r="BF220" s="37" t="n">
        <v>0.47</v>
      </c>
      <c r="BG220" s="37" t="n">
        <v>0.39</v>
      </c>
      <c r="BH220" s="37" t="n">
        <v>0.64</v>
      </c>
      <c r="BI220" s="37" t="n">
        <v>0.42</v>
      </c>
      <c r="BJ220" s="37" t="n">
        <v>1.79</v>
      </c>
      <c r="BK220" s="37" t="n">
        <v>0.51</v>
      </c>
      <c r="BL220" s="37" t="n">
        <v>0.5</v>
      </c>
      <c r="BM220" s="37" t="n">
        <v>0.47</v>
      </c>
      <c r="BN220" s="37" t="n">
        <v>0.38</v>
      </c>
      <c r="BO220" s="37" t="n">
        <v>0.64</v>
      </c>
      <c r="BP220" s="37" t="n">
        <v>0.68</v>
      </c>
      <c r="BQ220" s="37" t="n">
        <v>1.01</v>
      </c>
      <c r="BR220" s="37" t="n">
        <v>0.48</v>
      </c>
      <c r="BS220" s="37" t="n">
        <v>0.48</v>
      </c>
      <c r="BT220" s="37" t="n">
        <v>0.47</v>
      </c>
      <c r="BU220" s="37" t="n">
        <v>0.48</v>
      </c>
      <c r="BV220" s="37" t="n">
        <v>0.51</v>
      </c>
      <c r="BW220" s="37" t="n">
        <v>0.51</v>
      </c>
      <c r="BX220" s="37" t="n">
        <v>0.5600000000000001</v>
      </c>
      <c r="BY220" s="37" t="n">
        <v>0.48</v>
      </c>
      <c r="BZ220" s="37" t="n">
        <v>0.49</v>
      </c>
      <c r="CA220" s="37" t="n">
        <v>0.48</v>
      </c>
      <c r="CB220" s="37" t="n">
        <v>0.38</v>
      </c>
      <c r="CC220" s="37" t="n">
        <v>43.44999999999998</v>
      </c>
    </row>
    <row r="221" ht="15.75" customHeight="1" s="57">
      <c r="A221" s="7" t="inlineStr">
        <is>
          <t>NTB</t>
        </is>
      </c>
      <c r="B221" s="7" t="inlineStr">
        <is>
          <t>Khánh Hòa</t>
        </is>
      </c>
      <c r="C221" s="7" t="n">
        <v>21094000</v>
      </c>
      <c r="D221" s="7" t="inlineStr">
        <is>
          <t>Kho Giao Hàng Nặng - Nha Trang - Khánh Hoà</t>
        </is>
      </c>
      <c r="E221" s="7" t="inlineStr">
        <is>
          <t>Shopee-Bulky</t>
        </is>
      </c>
      <c r="F221" s="36" t="n">
        <v>169.08</v>
      </c>
      <c r="G221" s="36" t="n">
        <v>167.15</v>
      </c>
      <c r="H221" s="36" t="n">
        <v>201.1</v>
      </c>
      <c r="I221" s="36" t="n">
        <v>159.47</v>
      </c>
      <c r="J221" s="36" t="n">
        <v>101.19</v>
      </c>
      <c r="K221" s="28" t="n">
        <v>154.35</v>
      </c>
      <c r="L221" s="36" t="n">
        <v>92.86</v>
      </c>
      <c r="M221" s="36" t="n">
        <v>114.64</v>
      </c>
      <c r="N221" s="36" t="n">
        <v>85.18000000000001</v>
      </c>
      <c r="O221" s="36" t="n">
        <v>198.54</v>
      </c>
      <c r="P221" s="36" t="n">
        <v>157.55</v>
      </c>
      <c r="Q221" s="36" t="n">
        <v>169.08</v>
      </c>
      <c r="R221" s="28" t="n">
        <v>178.68</v>
      </c>
      <c r="S221" s="36" t="n">
        <v>105.67</v>
      </c>
      <c r="T221" s="36" t="n">
        <v>142.82</v>
      </c>
      <c r="U221" s="36" t="n">
        <v>135.48</v>
      </c>
      <c r="V221" s="36" t="n">
        <v>131.32</v>
      </c>
      <c r="W221" s="36" t="n">
        <v>183.25</v>
      </c>
      <c r="X221" s="36" t="n">
        <v>101.18</v>
      </c>
      <c r="Y221" s="28" t="n">
        <v>199.91</v>
      </c>
      <c r="Z221" s="36" t="n">
        <v>155.81</v>
      </c>
      <c r="AA221" s="36" t="n">
        <v>150.91</v>
      </c>
      <c r="AB221" s="36" t="n">
        <v>154.1</v>
      </c>
      <c r="AC221" s="36" t="n">
        <v>163.16</v>
      </c>
      <c r="AD221" s="36" t="n">
        <v>453.48</v>
      </c>
      <c r="AE221" s="36" t="n">
        <v>259.69</v>
      </c>
      <c r="AF221" s="28" t="n">
        <v>393.95</v>
      </c>
      <c r="AG221" s="36" t="n">
        <v>222.7</v>
      </c>
      <c r="AH221" s="37" t="n">
        <v>154.59</v>
      </c>
      <c r="AI221" s="37" t="n">
        <v>150.91</v>
      </c>
      <c r="AJ221" s="37" t="n">
        <v>148.71</v>
      </c>
      <c r="AK221" s="37" t="n">
        <v>337.35</v>
      </c>
      <c r="AL221" s="37" t="n">
        <v>170.51</v>
      </c>
      <c r="AM221" s="37" t="n">
        <v>245.48</v>
      </c>
      <c r="AN221" s="37" t="n">
        <v>153.61</v>
      </c>
      <c r="AO221" s="37" t="n">
        <v>150.18</v>
      </c>
      <c r="AP221" s="37" t="n">
        <v>206.77</v>
      </c>
      <c r="AQ221" s="37" t="n">
        <v>203.34</v>
      </c>
      <c r="AR221" s="37" t="n">
        <v>166.1</v>
      </c>
      <c r="AS221" s="37" t="n">
        <v>88.93000000000001</v>
      </c>
      <c r="AT221" s="37" t="n">
        <v>182.76</v>
      </c>
      <c r="AU221" s="37" t="n">
        <v>299.38</v>
      </c>
      <c r="AV221" s="37" t="n">
        <v>311.38</v>
      </c>
      <c r="AW221" s="37" t="n">
        <v>151.89</v>
      </c>
      <c r="AX221" s="37" t="n">
        <v>142.58</v>
      </c>
      <c r="AY221" s="37" t="n">
        <v>159</v>
      </c>
      <c r="AZ221" s="37" t="n">
        <v>85.26000000000001</v>
      </c>
      <c r="BA221" s="37" t="n">
        <v>166.59</v>
      </c>
      <c r="BB221" s="37" t="n">
        <v>156.3</v>
      </c>
      <c r="BC221" s="37" t="n">
        <v>53.9</v>
      </c>
      <c r="BD221" s="37" t="n">
        <v>132.79</v>
      </c>
      <c r="BE221" s="37" t="n">
        <v>164.88</v>
      </c>
      <c r="BF221" s="37" t="n">
        <v>144.05</v>
      </c>
      <c r="BG221" s="37" t="n">
        <v>115.64</v>
      </c>
      <c r="BH221" s="37" t="n">
        <v>213.39</v>
      </c>
      <c r="BI221" s="37" t="n">
        <v>181.54</v>
      </c>
      <c r="BJ221" s="37" t="n">
        <v>716.84</v>
      </c>
      <c r="BK221" s="37" t="n">
        <v>387.33</v>
      </c>
      <c r="BL221" s="37" t="n">
        <v>199.18</v>
      </c>
      <c r="BM221" s="37" t="n">
        <v>150.67</v>
      </c>
      <c r="BN221" s="37" t="n">
        <v>112.7</v>
      </c>
      <c r="BO221" s="37" t="n">
        <v>249.89</v>
      </c>
      <c r="BP221" s="37" t="n">
        <v>361.85</v>
      </c>
      <c r="BQ221" s="37" t="n">
        <v>264.35</v>
      </c>
      <c r="BR221" s="37" t="n">
        <v>172.72</v>
      </c>
      <c r="BS221" s="37" t="n">
        <v>164.88</v>
      </c>
      <c r="BT221" s="37" t="n">
        <v>144.05</v>
      </c>
      <c r="BU221" s="37" t="n">
        <v>167.33</v>
      </c>
      <c r="BV221" s="37" t="n">
        <v>226.13</v>
      </c>
      <c r="BW221" s="37" t="n">
        <v>181.54</v>
      </c>
      <c r="BX221" s="37" t="n">
        <v>175.9</v>
      </c>
      <c r="BY221" s="37" t="n">
        <v>172.72</v>
      </c>
      <c r="BZ221" s="37" t="n">
        <v>295.7</v>
      </c>
      <c r="CA221" s="37" t="n">
        <v>171.49</v>
      </c>
      <c r="CB221" s="37" t="n">
        <v>109.51</v>
      </c>
      <c r="CC221" s="37" t="n">
        <v>14164.89</v>
      </c>
    </row>
    <row r="222" ht="15.75" customHeight="1" s="57">
      <c r="A222" s="7" t="inlineStr">
        <is>
          <t>NTB</t>
        </is>
      </c>
      <c r="B222" s="7" t="inlineStr">
        <is>
          <t>Khánh Hòa</t>
        </is>
      </c>
      <c r="C222" s="7" t="n">
        <v>21094000</v>
      </c>
      <c r="D222" s="7" t="inlineStr">
        <is>
          <t>Kho Giao Hàng Nặng - Nha Trang - Khánh Hoà</t>
        </is>
      </c>
      <c r="E222" s="7" t="inlineStr">
        <is>
          <t>Shopee-Bulky (10-15kg)</t>
        </is>
      </c>
      <c r="F222" s="36" t="n">
        <v>94.92</v>
      </c>
      <c r="G222" s="36" t="n">
        <v>93.84999999999999</v>
      </c>
      <c r="H222" s="36" t="n">
        <v>112.9</v>
      </c>
      <c r="I222" s="36" t="n">
        <v>89.53</v>
      </c>
      <c r="J222" s="36" t="n">
        <v>56.81</v>
      </c>
      <c r="K222" s="28" t="n">
        <v>86.65000000000001</v>
      </c>
      <c r="L222" s="36" t="n">
        <v>52.14</v>
      </c>
      <c r="M222" s="36" t="n">
        <v>64.36</v>
      </c>
      <c r="N222" s="36" t="n">
        <v>47.82</v>
      </c>
      <c r="O222" s="36" t="n">
        <v>111.46</v>
      </c>
      <c r="P222" s="36" t="n">
        <v>88.45</v>
      </c>
      <c r="Q222" s="36" t="n">
        <v>94.92</v>
      </c>
      <c r="R222" s="28" t="n">
        <v>100.32</v>
      </c>
      <c r="S222" s="36" t="n">
        <v>59.33</v>
      </c>
      <c r="T222" s="36" t="n">
        <v>80.18000000000001</v>
      </c>
      <c r="U222" s="36" t="n">
        <v>81.09</v>
      </c>
      <c r="V222" s="36" t="n">
        <v>77.66</v>
      </c>
      <c r="W222" s="36" t="n">
        <v>100.2</v>
      </c>
      <c r="X222" s="36" t="n">
        <v>56.35</v>
      </c>
      <c r="Y222" s="28" t="n">
        <v>114.17</v>
      </c>
      <c r="Z222" s="36" t="n">
        <v>89.18000000000001</v>
      </c>
      <c r="AA222" s="36" t="n">
        <v>84.03</v>
      </c>
      <c r="AB222" s="36" t="n">
        <v>87.95</v>
      </c>
      <c r="AC222" s="36" t="n">
        <v>91.14</v>
      </c>
      <c r="AD222" s="36" t="n">
        <v>339.8</v>
      </c>
      <c r="AE222" s="36" t="n">
        <v>141.11</v>
      </c>
      <c r="AF222" s="28" t="n">
        <v>208.24</v>
      </c>
      <c r="AG222" s="36" t="n">
        <v>124.21</v>
      </c>
      <c r="AH222" s="37" t="n">
        <v>87.95</v>
      </c>
      <c r="AI222" s="37" t="n">
        <v>85.01000000000001</v>
      </c>
      <c r="AJ222" s="37" t="n">
        <v>83.3</v>
      </c>
      <c r="AK222" s="37" t="n">
        <v>192.56</v>
      </c>
      <c r="AL222" s="37" t="n">
        <v>96.77</v>
      </c>
      <c r="AM222" s="37" t="n">
        <v>138.91</v>
      </c>
      <c r="AN222" s="37" t="n">
        <v>87.95</v>
      </c>
      <c r="AO222" s="37" t="n">
        <v>84.77</v>
      </c>
      <c r="AP222" s="37" t="n">
        <v>109.76</v>
      </c>
      <c r="AQ222" s="37" t="n">
        <v>115.39</v>
      </c>
      <c r="AR222" s="37" t="n">
        <v>89.91</v>
      </c>
      <c r="AS222" s="37" t="n">
        <v>49.49</v>
      </c>
      <c r="AT222" s="37" t="n">
        <v>103.39</v>
      </c>
      <c r="AU222" s="37" t="n">
        <v>171</v>
      </c>
      <c r="AV222" s="37" t="n">
        <v>177.37</v>
      </c>
      <c r="AW222" s="37" t="n">
        <v>85.98999999999999</v>
      </c>
      <c r="AX222" s="37" t="n">
        <v>80.36</v>
      </c>
      <c r="AY222" s="37" t="n">
        <v>86.48</v>
      </c>
      <c r="AZ222" s="37" t="n">
        <v>47.77</v>
      </c>
      <c r="BA222" s="37" t="n">
        <v>94.31999999999999</v>
      </c>
      <c r="BB222" s="37" t="n">
        <v>90.40000000000001</v>
      </c>
      <c r="BC222" s="37" t="n">
        <v>30.38</v>
      </c>
      <c r="BD222" s="37" t="n">
        <v>72.03</v>
      </c>
      <c r="BE222" s="37" t="n">
        <v>92.84999999999999</v>
      </c>
      <c r="BF222" s="37" t="n">
        <v>79.13</v>
      </c>
      <c r="BG222" s="37" t="n">
        <v>64.68000000000001</v>
      </c>
      <c r="BH222" s="37" t="n">
        <v>123.72</v>
      </c>
      <c r="BI222" s="37" t="n">
        <v>105.1</v>
      </c>
      <c r="BJ222" s="37" t="n">
        <v>465.97</v>
      </c>
      <c r="BK222" s="37" t="n">
        <v>217.31</v>
      </c>
      <c r="BL222" s="37" t="n">
        <v>115.64</v>
      </c>
      <c r="BM222" s="37" t="n">
        <v>84.03</v>
      </c>
      <c r="BN222" s="37" t="n">
        <v>63.45</v>
      </c>
      <c r="BO222" s="37" t="n">
        <v>139.15</v>
      </c>
      <c r="BP222" s="37" t="n">
        <v>202.85</v>
      </c>
      <c r="BQ222" s="37" t="n">
        <v>149.2</v>
      </c>
      <c r="BR222" s="37" t="n">
        <v>99.70999999999999</v>
      </c>
      <c r="BS222" s="37" t="n">
        <v>92.84999999999999</v>
      </c>
      <c r="BT222" s="37" t="n">
        <v>79.13</v>
      </c>
      <c r="BU222" s="37" t="n">
        <v>96.28</v>
      </c>
      <c r="BV222" s="37" t="n">
        <v>127.89</v>
      </c>
      <c r="BW222" s="37" t="n">
        <v>105.1</v>
      </c>
      <c r="BX222" s="37" t="n">
        <v>100.45</v>
      </c>
      <c r="BY222" s="37" t="n">
        <v>99.70999999999999</v>
      </c>
      <c r="BZ222" s="37" t="n">
        <v>164.63</v>
      </c>
      <c r="CA222" s="37" t="n">
        <v>98.23999999999999</v>
      </c>
      <c r="CB222" s="37" t="n">
        <v>61.98</v>
      </c>
      <c r="CC222" s="37" t="n">
        <v>8119.080000000001</v>
      </c>
    </row>
    <row r="223" ht="15.75" customHeight="1" s="57">
      <c r="A223" s="7" t="inlineStr">
        <is>
          <t>NTB</t>
        </is>
      </c>
      <c r="B223" s="7" t="inlineStr">
        <is>
          <t>Khánh Hòa</t>
        </is>
      </c>
      <c r="C223" s="7" t="n">
        <v>21094000</v>
      </c>
      <c r="D223" s="7" t="inlineStr">
        <is>
          <t>Kho Giao Hàng Nặng - Nha Trang - Khánh Hoà</t>
        </is>
      </c>
      <c r="E223" s="7" t="inlineStr">
        <is>
          <t>TTS</t>
        </is>
      </c>
      <c r="F223" s="36" t="n">
        <v>0</v>
      </c>
      <c r="G223" s="36" t="n">
        <v>0</v>
      </c>
      <c r="H223" s="36" t="n">
        <v>0</v>
      </c>
      <c r="I223" s="36" t="n">
        <v>0</v>
      </c>
      <c r="J223" s="36" t="n">
        <v>0</v>
      </c>
      <c r="K223" s="28" t="n">
        <v>0</v>
      </c>
      <c r="L223" s="36" t="n">
        <v>0</v>
      </c>
      <c r="M223" s="36" t="n">
        <v>0</v>
      </c>
      <c r="N223" s="36" t="n">
        <v>0</v>
      </c>
      <c r="O223" s="36" t="n">
        <v>0</v>
      </c>
      <c r="P223" s="36" t="n">
        <v>3</v>
      </c>
      <c r="Q223" s="36" t="n">
        <v>5</v>
      </c>
      <c r="R223" s="28" t="n">
        <v>0</v>
      </c>
      <c r="S223" s="36" t="n">
        <v>2</v>
      </c>
      <c r="T223" s="36" t="n">
        <v>2</v>
      </c>
      <c r="U223" s="36" t="n">
        <v>4.52</v>
      </c>
      <c r="V223" s="36" t="n">
        <v>4.16</v>
      </c>
      <c r="W223" s="36" t="n">
        <v>4.13</v>
      </c>
      <c r="X223" s="36" t="n">
        <v>3.69</v>
      </c>
      <c r="Y223" s="28" t="n">
        <v>4.88</v>
      </c>
      <c r="Z223" s="36" t="n">
        <v>4.12</v>
      </c>
      <c r="AA223" s="36" t="n">
        <v>4.78</v>
      </c>
      <c r="AB223" s="36" t="n">
        <v>4.96</v>
      </c>
      <c r="AC223" s="36" t="n">
        <v>5.23</v>
      </c>
      <c r="AD223" s="36" t="n">
        <v>8.140000000000001</v>
      </c>
      <c r="AE223" s="36" t="n">
        <v>4.04</v>
      </c>
      <c r="AF223" s="28" t="n">
        <v>4.93</v>
      </c>
      <c r="AG223" s="36" t="n">
        <v>4.15</v>
      </c>
      <c r="AH223" s="37" t="n">
        <v>4.140000000000001</v>
      </c>
      <c r="AI223" s="37" t="n">
        <v>4.85</v>
      </c>
      <c r="AJ223" s="37" t="n">
        <v>4.97</v>
      </c>
      <c r="AK223" s="37" t="n">
        <v>5.12</v>
      </c>
      <c r="AL223" s="37" t="n">
        <v>3.94</v>
      </c>
      <c r="AM223" s="37" t="n">
        <v>4.9</v>
      </c>
      <c r="AN223" s="37" t="n">
        <v>4.34</v>
      </c>
      <c r="AO223" s="37" t="n">
        <v>4.5</v>
      </c>
      <c r="AP223" s="37" t="n">
        <v>4.12</v>
      </c>
      <c r="AQ223" s="37" t="n">
        <v>4.13</v>
      </c>
      <c r="AR223" s="37" t="n">
        <v>4.100000000000001</v>
      </c>
      <c r="AS223" s="37" t="n">
        <v>3.69</v>
      </c>
      <c r="AT223" s="37" t="n">
        <v>5.390000000000001</v>
      </c>
      <c r="AU223" s="37" t="n">
        <v>4.87</v>
      </c>
      <c r="AV223" s="37" t="n">
        <v>4.52</v>
      </c>
      <c r="AW223" s="37" t="n">
        <v>4.100000000000001</v>
      </c>
      <c r="AX223" s="37" t="n">
        <v>4.09</v>
      </c>
      <c r="AY223" s="37" t="n">
        <v>4.09</v>
      </c>
      <c r="AZ223" s="37" t="n">
        <v>3.69</v>
      </c>
      <c r="BA223" s="37" t="n">
        <v>4.86</v>
      </c>
      <c r="BB223" s="37" t="n">
        <v>4.76</v>
      </c>
      <c r="BC223" s="37" t="n">
        <v>2.6</v>
      </c>
      <c r="BD223" s="37" t="n">
        <v>4.04</v>
      </c>
      <c r="BE223" s="37" t="n">
        <v>4.78</v>
      </c>
      <c r="BF223" s="37" t="n">
        <v>4.74</v>
      </c>
      <c r="BG223" s="37" t="n">
        <v>3.94</v>
      </c>
      <c r="BH223" s="37" t="n">
        <v>5.390000000000001</v>
      </c>
      <c r="BI223" s="37" t="n">
        <v>4.76</v>
      </c>
      <c r="BJ223" s="37" t="n">
        <v>6.3</v>
      </c>
      <c r="BK223" s="37" t="n">
        <v>4.78</v>
      </c>
      <c r="BL223" s="37" t="n">
        <v>4.78</v>
      </c>
      <c r="BM223" s="37" t="n">
        <v>4.74</v>
      </c>
      <c r="BN223" s="37" t="n">
        <v>3.94</v>
      </c>
      <c r="BO223" s="37" t="n">
        <v>5.390000000000001</v>
      </c>
      <c r="BP223" s="37" t="n">
        <v>4.76</v>
      </c>
      <c r="BQ223" s="37" t="n">
        <v>4.74</v>
      </c>
      <c r="BR223" s="37" t="n">
        <v>4.78</v>
      </c>
      <c r="BS223" s="37" t="n">
        <v>4.78</v>
      </c>
      <c r="BT223" s="37" t="n">
        <v>4.74</v>
      </c>
      <c r="BU223" s="37" t="n">
        <v>3.94</v>
      </c>
      <c r="BV223" s="37" t="n">
        <v>5.390000000000001</v>
      </c>
      <c r="BW223" s="37" t="n">
        <v>4.76</v>
      </c>
      <c r="BX223" s="37" t="n">
        <v>4.74</v>
      </c>
      <c r="BY223" s="37" t="n">
        <v>4.78</v>
      </c>
      <c r="BZ223" s="37" t="n">
        <v>4.78</v>
      </c>
      <c r="CA223" s="37" t="n">
        <v>4.74</v>
      </c>
      <c r="CB223" s="37" t="n">
        <v>3.94</v>
      </c>
      <c r="CC223" s="37" t="n">
        <v>287.95</v>
      </c>
    </row>
    <row r="224" ht="15.75" customHeight="1" s="57">
      <c r="A224" s="7" t="inlineStr">
        <is>
          <t>NTB</t>
        </is>
      </c>
      <c r="B224" s="7" t="inlineStr">
        <is>
          <t>Khánh Hòa</t>
        </is>
      </c>
      <c r="C224" s="7" t="n">
        <v>21094000</v>
      </c>
      <c r="D224" s="7" t="inlineStr">
        <is>
          <t>Kho Giao Hàng Nặng - Nha Trang - Khánh Hoà</t>
        </is>
      </c>
      <c r="E224" s="7" t="inlineStr">
        <is>
          <t>TTS-Bulky</t>
        </is>
      </c>
      <c r="F224" s="36" t="n">
        <v>7</v>
      </c>
      <c r="G224" s="36" t="n">
        <v>7</v>
      </c>
      <c r="H224" s="36" t="n">
        <v>17</v>
      </c>
      <c r="I224" s="36" t="n">
        <v>8</v>
      </c>
      <c r="J224" s="36" t="n">
        <v>5</v>
      </c>
      <c r="K224" s="28" t="n">
        <v>9</v>
      </c>
      <c r="L224" s="36" t="n">
        <v>3</v>
      </c>
      <c r="M224" s="36" t="n">
        <v>6</v>
      </c>
      <c r="N224" s="36" t="n">
        <v>4</v>
      </c>
      <c r="O224" s="36" t="n">
        <v>6</v>
      </c>
      <c r="P224" s="36" t="n">
        <v>8</v>
      </c>
      <c r="Q224" s="36" t="n">
        <v>8</v>
      </c>
      <c r="R224" s="28" t="n">
        <v>6</v>
      </c>
      <c r="S224" s="36" t="n">
        <v>6</v>
      </c>
      <c r="T224" s="36" t="n">
        <v>6</v>
      </c>
      <c r="U224" s="36" t="n">
        <v>28.43</v>
      </c>
      <c r="V224" s="36" t="n">
        <v>27.23</v>
      </c>
      <c r="W224" s="36" t="n">
        <v>13.7</v>
      </c>
      <c r="X224" s="36" t="n">
        <v>10.28</v>
      </c>
      <c r="Y224" s="28" t="n">
        <v>17.47</v>
      </c>
      <c r="Z224" s="36" t="n">
        <v>12.85</v>
      </c>
      <c r="AA224" s="36" t="n">
        <v>14.56</v>
      </c>
      <c r="AB224" s="36" t="n">
        <v>15.59</v>
      </c>
      <c r="AC224" s="36" t="n">
        <v>16.96</v>
      </c>
      <c r="AD224" s="36" t="n">
        <v>21.24</v>
      </c>
      <c r="AE224" s="36" t="n">
        <v>11.3</v>
      </c>
      <c r="AF224" s="28" t="n">
        <v>16.61</v>
      </c>
      <c r="AG224" s="36" t="n">
        <v>13.36</v>
      </c>
      <c r="AH224" s="37" t="n">
        <v>13.36</v>
      </c>
      <c r="AI224" s="37" t="n">
        <v>13.87</v>
      </c>
      <c r="AJ224" s="37" t="n">
        <v>15.24</v>
      </c>
      <c r="AK224" s="37" t="n">
        <v>14.73</v>
      </c>
      <c r="AL224" s="37" t="n">
        <v>10.45</v>
      </c>
      <c r="AM224" s="37" t="n">
        <v>16.44</v>
      </c>
      <c r="AN224" s="37" t="n">
        <v>13.7</v>
      </c>
      <c r="AO224" s="37" t="n">
        <v>13.36</v>
      </c>
      <c r="AP224" s="37" t="n">
        <v>13.53</v>
      </c>
      <c r="AQ224" s="37" t="n">
        <v>13.53</v>
      </c>
      <c r="AR224" s="37" t="n">
        <v>13.53</v>
      </c>
      <c r="AS224" s="37" t="n">
        <v>9.93</v>
      </c>
      <c r="AT224" s="37" t="n">
        <v>17.3</v>
      </c>
      <c r="AU224" s="37" t="n">
        <v>15.59</v>
      </c>
      <c r="AV224" s="37" t="n">
        <v>13.87</v>
      </c>
      <c r="AW224" s="37" t="n">
        <v>13.36</v>
      </c>
      <c r="AX224" s="37" t="n">
        <v>13.36</v>
      </c>
      <c r="AY224" s="37" t="n">
        <v>13.53</v>
      </c>
      <c r="AZ224" s="37" t="n">
        <v>9.93</v>
      </c>
      <c r="BA224" s="37" t="n">
        <v>15.24</v>
      </c>
      <c r="BB224" s="37" t="n">
        <v>3.6</v>
      </c>
      <c r="BC224" s="37" t="n">
        <v>2.23</v>
      </c>
      <c r="BD224" s="37" t="n">
        <v>2.57</v>
      </c>
      <c r="BE224" s="37" t="n">
        <v>3.6</v>
      </c>
      <c r="BF224" s="37" t="n">
        <v>3.77</v>
      </c>
      <c r="BG224" s="37" t="n">
        <v>2.57</v>
      </c>
      <c r="BH224" s="37" t="n">
        <v>4.8</v>
      </c>
      <c r="BI224" s="37" t="n">
        <v>3.94</v>
      </c>
      <c r="BJ224" s="37" t="n">
        <v>4.97</v>
      </c>
      <c r="BK224" s="37" t="n">
        <v>3.77</v>
      </c>
      <c r="BL224" s="37" t="n">
        <v>3.6</v>
      </c>
      <c r="BM224" s="37" t="n">
        <v>3.77</v>
      </c>
      <c r="BN224" s="37" t="n">
        <v>2.57</v>
      </c>
      <c r="BO224" s="37" t="n">
        <v>5.82</v>
      </c>
      <c r="BP224" s="37" t="n">
        <v>4.45</v>
      </c>
      <c r="BQ224" s="37" t="n">
        <v>3.77</v>
      </c>
      <c r="BR224" s="37" t="n">
        <v>3.77</v>
      </c>
      <c r="BS224" s="37" t="n">
        <v>3.6</v>
      </c>
      <c r="BT224" s="37" t="n">
        <v>3.77</v>
      </c>
      <c r="BU224" s="37" t="n">
        <v>2.57</v>
      </c>
      <c r="BV224" s="37" t="n">
        <v>4.45</v>
      </c>
      <c r="BW224" s="37" t="n">
        <v>3.94</v>
      </c>
      <c r="BX224" s="37" t="n">
        <v>3.77</v>
      </c>
      <c r="BY224" s="37" t="n">
        <v>3.77</v>
      </c>
      <c r="BZ224" s="37" t="n">
        <v>3.6</v>
      </c>
      <c r="CA224" s="37" t="n">
        <v>3.77</v>
      </c>
      <c r="CB224" s="37" t="n">
        <v>2.57</v>
      </c>
      <c r="CC224" s="37" t="n">
        <v>698.8100000000004</v>
      </c>
    </row>
    <row r="225" ht="15.75" customHeight="1" s="57">
      <c r="A225" s="7" t="inlineStr">
        <is>
          <t>NTB</t>
        </is>
      </c>
      <c r="B225" s="7" t="inlineStr">
        <is>
          <t>Khánh Hòa</t>
        </is>
      </c>
      <c r="C225" s="7" t="n">
        <v>21331000</v>
      </c>
      <c r="D225" s="7" t="inlineStr">
        <is>
          <t>(KHO) Cam Lâm 1</t>
        </is>
      </c>
      <c r="E225" s="7" t="inlineStr">
        <is>
          <t>SME</t>
        </is>
      </c>
      <c r="F225" s="36" t="n">
        <v>190</v>
      </c>
      <c r="G225" s="36" t="n">
        <v>170</v>
      </c>
      <c r="H225" s="36" t="n">
        <v>180</v>
      </c>
      <c r="I225" s="36" t="n">
        <v>129</v>
      </c>
      <c r="J225" s="36" t="n">
        <v>180</v>
      </c>
      <c r="K225" s="28" t="n">
        <v>184</v>
      </c>
      <c r="L225" s="36" t="n">
        <v>92</v>
      </c>
      <c r="M225" s="36" t="n">
        <v>182</v>
      </c>
      <c r="N225" s="36" t="n">
        <v>146</v>
      </c>
      <c r="O225" s="36" t="n">
        <v>134</v>
      </c>
      <c r="P225" s="36" t="n">
        <v>137</v>
      </c>
      <c r="Q225" s="36" t="n">
        <v>135</v>
      </c>
      <c r="R225" s="28" t="n">
        <v>163</v>
      </c>
      <c r="S225" s="36" t="n">
        <v>134</v>
      </c>
      <c r="T225" s="36" t="n">
        <v>166</v>
      </c>
      <c r="U225" s="36" t="n">
        <v>179.59</v>
      </c>
      <c r="V225" s="36" t="n">
        <v>185.9</v>
      </c>
      <c r="W225" s="36" t="n">
        <v>180.81</v>
      </c>
      <c r="X225" s="36" t="n">
        <v>147.97</v>
      </c>
      <c r="Y225" s="28" t="n">
        <v>200.35</v>
      </c>
      <c r="Z225" s="36" t="n">
        <v>184.54</v>
      </c>
      <c r="AA225" s="36" t="n">
        <v>179.98</v>
      </c>
      <c r="AB225" s="36" t="n">
        <v>179.59</v>
      </c>
      <c r="AC225" s="36" t="n">
        <v>185.9</v>
      </c>
      <c r="AD225" s="36" t="n">
        <v>182.38</v>
      </c>
      <c r="AE225" s="36" t="n">
        <v>147.97</v>
      </c>
      <c r="AF225" s="28" t="n">
        <v>200.35</v>
      </c>
      <c r="AG225" s="36" t="n">
        <v>184.54</v>
      </c>
      <c r="AH225" s="37" t="n">
        <v>179.98</v>
      </c>
      <c r="AI225" s="37" t="n">
        <v>179.59</v>
      </c>
      <c r="AJ225" s="37" t="n">
        <v>185.9</v>
      </c>
      <c r="AK225" s="37" t="n">
        <v>180.81</v>
      </c>
      <c r="AL225" s="37" t="n">
        <v>147.97</v>
      </c>
      <c r="AM225" s="37" t="n">
        <v>200.35</v>
      </c>
      <c r="AN225" s="37" t="n">
        <v>184.54</v>
      </c>
      <c r="AO225" s="37" t="n">
        <v>179.98</v>
      </c>
      <c r="AP225" s="37" t="n">
        <v>179.59</v>
      </c>
      <c r="AQ225" s="37" t="n">
        <v>185.9</v>
      </c>
      <c r="AR225" s="37" t="n">
        <v>180.81</v>
      </c>
      <c r="AS225" s="37" t="n">
        <v>147.97</v>
      </c>
      <c r="AT225" s="37" t="n">
        <v>200.35</v>
      </c>
      <c r="AU225" s="37" t="n">
        <v>184.54</v>
      </c>
      <c r="AV225" s="37" t="n">
        <v>179.98</v>
      </c>
      <c r="AW225" s="37" t="n">
        <v>179.59</v>
      </c>
      <c r="AX225" s="37" t="n">
        <v>185.9</v>
      </c>
      <c r="AY225" s="37" t="n">
        <v>180.81</v>
      </c>
      <c r="AZ225" s="37" t="n">
        <v>147.97</v>
      </c>
      <c r="BA225" s="37" t="n">
        <v>180.31</v>
      </c>
      <c r="BB225" s="37" t="n">
        <v>161.84</v>
      </c>
      <c r="BC225" s="37" t="n">
        <v>102.27</v>
      </c>
      <c r="BD225" s="37" t="n">
        <v>101.88</v>
      </c>
      <c r="BE225" s="37" t="n">
        <v>172.7</v>
      </c>
      <c r="BF225" s="37" t="n">
        <v>167.97</v>
      </c>
      <c r="BG225" s="37" t="n">
        <v>152.48</v>
      </c>
      <c r="BH225" s="37" t="n">
        <v>206.76</v>
      </c>
      <c r="BI225" s="37" t="n">
        <v>190.38</v>
      </c>
      <c r="BJ225" s="37" t="n">
        <v>187.19</v>
      </c>
      <c r="BK225" s="37" t="n">
        <v>185.3</v>
      </c>
      <c r="BL225" s="37" t="n">
        <v>191.79</v>
      </c>
      <c r="BM225" s="37" t="n">
        <v>186.56</v>
      </c>
      <c r="BN225" s="37" t="n">
        <v>152.48</v>
      </c>
      <c r="BO225" s="37" t="n">
        <v>206.76</v>
      </c>
      <c r="BP225" s="37" t="n">
        <v>190.38</v>
      </c>
      <c r="BQ225" s="37" t="n">
        <v>185.64</v>
      </c>
      <c r="BR225" s="37" t="n">
        <v>185.3</v>
      </c>
      <c r="BS225" s="37" t="n">
        <v>191.79</v>
      </c>
      <c r="BT225" s="37" t="n">
        <v>186.56</v>
      </c>
      <c r="BU225" s="37" t="n">
        <v>152.48</v>
      </c>
      <c r="BV225" s="37" t="n">
        <v>206.76</v>
      </c>
      <c r="BW225" s="37" t="n">
        <v>190.38</v>
      </c>
      <c r="BX225" s="37" t="n">
        <v>185.64</v>
      </c>
      <c r="BY225" s="37" t="n">
        <v>185.3</v>
      </c>
      <c r="BZ225" s="37" t="n">
        <v>191.79</v>
      </c>
      <c r="CA225" s="37" t="n">
        <v>186.56</v>
      </c>
      <c r="CB225" s="37" t="n">
        <v>152.48</v>
      </c>
      <c r="CC225" s="37" t="n">
        <v>12992.13</v>
      </c>
    </row>
    <row r="226" ht="15.75" customHeight="1" s="57">
      <c r="A226" s="7" t="inlineStr">
        <is>
          <t>NTB</t>
        </is>
      </c>
      <c r="B226" s="7" t="inlineStr">
        <is>
          <t>Khánh Hòa</t>
        </is>
      </c>
      <c r="C226" s="7" t="n">
        <v>21331000</v>
      </c>
      <c r="D226" s="7" t="inlineStr">
        <is>
          <t>(KHO) Cam Lâm 1</t>
        </is>
      </c>
      <c r="E226" s="7" t="inlineStr">
        <is>
          <t>SME-Bulky</t>
        </is>
      </c>
      <c r="F226" s="36" t="n">
        <v>10</v>
      </c>
      <c r="G226" s="36" t="n">
        <v>9</v>
      </c>
      <c r="H226" s="36" t="n">
        <v>5</v>
      </c>
      <c r="I226" s="36" t="n">
        <v>6</v>
      </c>
      <c r="J226" s="36" t="n">
        <v>5</v>
      </c>
      <c r="K226" s="28" t="n">
        <v>4</v>
      </c>
      <c r="L226" s="36" t="n">
        <v>1</v>
      </c>
      <c r="M226" s="36" t="n">
        <v>14</v>
      </c>
      <c r="N226" s="36" t="n">
        <v>4</v>
      </c>
      <c r="O226" s="36" t="n">
        <v>8</v>
      </c>
      <c r="P226" s="36" t="n">
        <v>7</v>
      </c>
      <c r="Q226" s="36" t="n">
        <v>8</v>
      </c>
      <c r="R226" s="28" t="n">
        <v>8</v>
      </c>
      <c r="S226" s="36" t="n">
        <v>6</v>
      </c>
      <c r="T226" s="36" t="n">
        <v>7</v>
      </c>
      <c r="U226" s="36" t="n">
        <v>7.13</v>
      </c>
      <c r="V226" s="36" t="n">
        <v>7.22</v>
      </c>
      <c r="W226" s="36" t="n">
        <v>6.71</v>
      </c>
      <c r="X226" s="36" t="n">
        <v>4.47</v>
      </c>
      <c r="Y226" s="28" t="n">
        <v>8.18</v>
      </c>
      <c r="Z226" s="36" t="n">
        <v>7.89</v>
      </c>
      <c r="AA226" s="36" t="n">
        <v>7.5</v>
      </c>
      <c r="AB226" s="36" t="n">
        <v>7.13</v>
      </c>
      <c r="AC226" s="36" t="n">
        <v>7.22</v>
      </c>
      <c r="AD226" s="36" t="n">
        <v>6.34</v>
      </c>
      <c r="AE226" s="36" t="n">
        <v>4.47</v>
      </c>
      <c r="AF226" s="28" t="n">
        <v>8.18</v>
      </c>
      <c r="AG226" s="36" t="n">
        <v>7.89</v>
      </c>
      <c r="AH226" s="37" t="n">
        <v>7.5</v>
      </c>
      <c r="AI226" s="37" t="n">
        <v>7.13</v>
      </c>
      <c r="AJ226" s="37" t="n">
        <v>7.22</v>
      </c>
      <c r="AK226" s="37" t="n">
        <v>6.71</v>
      </c>
      <c r="AL226" s="37" t="n">
        <v>4.47</v>
      </c>
      <c r="AM226" s="37" t="n">
        <v>8.18</v>
      </c>
      <c r="AN226" s="37" t="n">
        <v>7.89</v>
      </c>
      <c r="AO226" s="37" t="n">
        <v>7.5</v>
      </c>
      <c r="AP226" s="37" t="n">
        <v>7.13</v>
      </c>
      <c r="AQ226" s="37" t="n">
        <v>7.22</v>
      </c>
      <c r="AR226" s="37" t="n">
        <v>6.71</v>
      </c>
      <c r="AS226" s="37" t="n">
        <v>4.47</v>
      </c>
      <c r="AT226" s="37" t="n">
        <v>8.18</v>
      </c>
      <c r="AU226" s="37" t="n">
        <v>7.89</v>
      </c>
      <c r="AV226" s="37" t="n">
        <v>7.5</v>
      </c>
      <c r="AW226" s="37" t="n">
        <v>7.13</v>
      </c>
      <c r="AX226" s="37" t="n">
        <v>7.22</v>
      </c>
      <c r="AY226" s="37" t="n">
        <v>6.71</v>
      </c>
      <c r="AZ226" s="37" t="n">
        <v>4.47</v>
      </c>
      <c r="BA226" s="37" t="n">
        <v>8.15</v>
      </c>
      <c r="BB226" s="37" t="n">
        <v>4.23</v>
      </c>
      <c r="BC226" s="37" t="n">
        <v>2.14</v>
      </c>
      <c r="BD226" s="37" t="n">
        <v>1.96</v>
      </c>
      <c r="BE226" s="37" t="n">
        <v>3.66</v>
      </c>
      <c r="BF226" s="37" t="n">
        <v>3.38</v>
      </c>
      <c r="BG226" s="37" t="n">
        <v>2.7</v>
      </c>
      <c r="BH226" s="37" t="n">
        <v>4.8</v>
      </c>
      <c r="BI226" s="37" t="n">
        <v>4.73</v>
      </c>
      <c r="BJ226" s="37" t="n">
        <v>4.12</v>
      </c>
      <c r="BK226" s="37" t="n">
        <v>4.23</v>
      </c>
      <c r="BL226" s="37" t="n">
        <v>4.32</v>
      </c>
      <c r="BM226" s="37" t="n">
        <v>3.94</v>
      </c>
      <c r="BN226" s="37" t="n">
        <v>2.7</v>
      </c>
      <c r="BO226" s="37" t="n">
        <v>4.8</v>
      </c>
      <c r="BP226" s="37" t="n">
        <v>4.73</v>
      </c>
      <c r="BQ226" s="37" t="n">
        <v>4.42</v>
      </c>
      <c r="BR226" s="37" t="n">
        <v>4.23</v>
      </c>
      <c r="BS226" s="37" t="n">
        <v>4.32</v>
      </c>
      <c r="BT226" s="37" t="n">
        <v>3.94</v>
      </c>
      <c r="BU226" s="37" t="n">
        <v>2.7</v>
      </c>
      <c r="BV226" s="37" t="n">
        <v>4.8</v>
      </c>
      <c r="BW226" s="37" t="n">
        <v>4.73</v>
      </c>
      <c r="BX226" s="37" t="n">
        <v>4.42</v>
      </c>
      <c r="BY226" s="37" t="n">
        <v>4.23</v>
      </c>
      <c r="BZ226" s="37" t="n">
        <v>4.32</v>
      </c>
      <c r="CA226" s="37" t="n">
        <v>3.94</v>
      </c>
      <c r="CB226" s="37" t="n">
        <v>2.7</v>
      </c>
      <c r="CC226" s="37" t="n">
        <v>436.9000000000001</v>
      </c>
    </row>
    <row r="227" ht="15.75" customHeight="1" s="57">
      <c r="A227" s="7" t="inlineStr">
        <is>
          <t>NTB</t>
        </is>
      </c>
      <c r="B227" s="7" t="inlineStr">
        <is>
          <t>Khánh Hòa</t>
        </is>
      </c>
      <c r="C227" s="7" t="n">
        <v>21331000</v>
      </c>
      <c r="D227" s="7" t="inlineStr">
        <is>
          <t>(KHO) Cam Lâm 1</t>
        </is>
      </c>
      <c r="E227" s="7" t="inlineStr">
        <is>
          <t>Shopee</t>
        </is>
      </c>
      <c r="F227" s="36" t="n">
        <v>111</v>
      </c>
      <c r="G227" s="36" t="n">
        <v>108</v>
      </c>
      <c r="H227" s="36" t="n">
        <v>119</v>
      </c>
      <c r="I227" s="36" t="n">
        <v>86</v>
      </c>
      <c r="J227" s="36" t="n">
        <v>93</v>
      </c>
      <c r="K227" s="28" t="n">
        <v>106</v>
      </c>
      <c r="L227" s="36" t="n">
        <v>31</v>
      </c>
      <c r="M227" s="36" t="n">
        <v>108</v>
      </c>
      <c r="N227" s="36" t="n">
        <v>95</v>
      </c>
      <c r="O227" s="36" t="n">
        <v>110</v>
      </c>
      <c r="P227" s="36" t="n">
        <v>101</v>
      </c>
      <c r="Q227" s="36" t="n">
        <v>64</v>
      </c>
      <c r="R227" s="28" t="n">
        <v>91</v>
      </c>
      <c r="S227" s="36" t="n">
        <v>55</v>
      </c>
      <c r="T227" s="36" t="n">
        <v>74</v>
      </c>
      <c r="U227" s="36" t="n">
        <v>146.96</v>
      </c>
      <c r="V227" s="36" t="n">
        <v>147.52</v>
      </c>
      <c r="W227" s="36" t="n">
        <v>145.41</v>
      </c>
      <c r="X227" s="36" t="n">
        <v>118.24</v>
      </c>
      <c r="Y227" s="28" t="n">
        <v>198.07</v>
      </c>
      <c r="Z227" s="36" t="n">
        <v>156.64</v>
      </c>
      <c r="AA227" s="36" t="n">
        <v>215.48</v>
      </c>
      <c r="AB227" s="36" t="n">
        <v>149.9</v>
      </c>
      <c r="AC227" s="36" t="n">
        <v>121.14</v>
      </c>
      <c r="AD227" s="36" t="n">
        <v>372.12</v>
      </c>
      <c r="AE227" s="36" t="n">
        <v>126.64</v>
      </c>
      <c r="AF227" s="28" t="n">
        <v>225.54</v>
      </c>
      <c r="AG227" s="36" t="n">
        <v>164.56</v>
      </c>
      <c r="AH227" s="37" t="n">
        <v>173.76</v>
      </c>
      <c r="AI227" s="37" t="n">
        <v>146.96</v>
      </c>
      <c r="AJ227" s="37" t="n">
        <v>147.52</v>
      </c>
      <c r="AK227" s="37" t="n">
        <v>196.18</v>
      </c>
      <c r="AL227" s="37" t="n">
        <v>212.2</v>
      </c>
      <c r="AM227" s="37" t="n">
        <v>198.07</v>
      </c>
      <c r="AN227" s="37" t="n">
        <v>156.64</v>
      </c>
      <c r="AO227" s="37" t="n">
        <v>173.76</v>
      </c>
      <c r="AP227" s="37" t="n">
        <v>183.33</v>
      </c>
      <c r="AQ227" s="37" t="n">
        <v>118.27</v>
      </c>
      <c r="AR227" s="37" t="n">
        <v>145.41</v>
      </c>
      <c r="AS227" s="37" t="n">
        <v>118.24</v>
      </c>
      <c r="AT227" s="37" t="n">
        <v>198.07</v>
      </c>
      <c r="AU227" s="37" t="n">
        <v>159.89</v>
      </c>
      <c r="AV227" s="37" t="n">
        <v>177.26</v>
      </c>
      <c r="AW227" s="37" t="n">
        <v>146.96</v>
      </c>
      <c r="AX227" s="37" t="n">
        <v>147.52</v>
      </c>
      <c r="AY227" s="37" t="n">
        <v>145.41</v>
      </c>
      <c r="AZ227" s="37" t="n">
        <v>118.24</v>
      </c>
      <c r="BA227" s="37" t="n">
        <v>152.54</v>
      </c>
      <c r="BB227" s="37" t="n">
        <v>132.97</v>
      </c>
      <c r="BC227" s="37" t="n">
        <v>67.73</v>
      </c>
      <c r="BD227" s="37" t="n">
        <v>120.39</v>
      </c>
      <c r="BE227" s="37" t="n">
        <v>140.55</v>
      </c>
      <c r="BF227" s="37" t="n">
        <v>138.55</v>
      </c>
      <c r="BG227" s="37" t="n">
        <v>114.96</v>
      </c>
      <c r="BH227" s="37" t="n">
        <v>188.72</v>
      </c>
      <c r="BI227" s="37" t="n">
        <v>122.76</v>
      </c>
      <c r="BJ227" s="37" t="n">
        <v>528.28</v>
      </c>
      <c r="BK227" s="37" t="n">
        <v>149.75</v>
      </c>
      <c r="BL227" s="37" t="n">
        <v>147.33</v>
      </c>
      <c r="BM227" s="37" t="n">
        <v>138.55</v>
      </c>
      <c r="BN227" s="37" t="n">
        <v>112.66</v>
      </c>
      <c r="BO227" s="37" t="n">
        <v>188.72</v>
      </c>
      <c r="BP227" s="37" t="n">
        <v>201.31</v>
      </c>
      <c r="BQ227" s="37" t="n">
        <v>297.35</v>
      </c>
      <c r="BR227" s="37" t="n">
        <v>139.99</v>
      </c>
      <c r="BS227" s="37" t="n">
        <v>140.55</v>
      </c>
      <c r="BT227" s="37" t="n">
        <v>138.55</v>
      </c>
      <c r="BU227" s="37" t="n">
        <v>140.63</v>
      </c>
      <c r="BV227" s="37" t="n">
        <v>151.03</v>
      </c>
      <c r="BW227" s="37" t="n">
        <v>149.18</v>
      </c>
      <c r="BX227" s="37" t="n">
        <v>165.5</v>
      </c>
      <c r="BY227" s="37" t="n">
        <v>139.99</v>
      </c>
      <c r="BZ227" s="37" t="n">
        <v>143.45</v>
      </c>
      <c r="CA227" s="37" t="n">
        <v>141.27</v>
      </c>
      <c r="CB227" s="37" t="n">
        <v>112.66</v>
      </c>
      <c r="CC227" s="37" t="n">
        <v>11209.83</v>
      </c>
    </row>
    <row r="228" ht="15.75" customHeight="1" s="57">
      <c r="A228" s="7" t="inlineStr">
        <is>
          <t>NTB</t>
        </is>
      </c>
      <c r="B228" s="7" t="inlineStr">
        <is>
          <t>Khánh Hòa</t>
        </is>
      </c>
      <c r="C228" s="7" t="n">
        <v>21331000</v>
      </c>
      <c r="D228" s="7" t="inlineStr">
        <is>
          <t>(KHO) Cam Lâm 1</t>
        </is>
      </c>
      <c r="E228" s="7" t="inlineStr">
        <is>
          <t>Shopee-Bulky</t>
        </is>
      </c>
      <c r="F228" s="36" t="n">
        <v>11.53</v>
      </c>
      <c r="G228" s="36" t="n">
        <v>13.45</v>
      </c>
      <c r="H228" s="36" t="n">
        <v>13.45</v>
      </c>
      <c r="I228" s="36" t="n">
        <v>8.33</v>
      </c>
      <c r="J228" s="36" t="n">
        <v>13.45</v>
      </c>
      <c r="K228" s="28" t="n">
        <v>8.970000000000001</v>
      </c>
      <c r="L228" s="36" t="n">
        <v>4.48</v>
      </c>
      <c r="M228" s="36" t="n">
        <v>16.01</v>
      </c>
      <c r="N228" s="36" t="n">
        <v>4.48</v>
      </c>
      <c r="O228" s="36" t="n">
        <v>7.68</v>
      </c>
      <c r="P228" s="36" t="n">
        <v>12.17</v>
      </c>
      <c r="Q228" s="36" t="n">
        <v>8.970000000000001</v>
      </c>
      <c r="R228" s="28" t="n">
        <v>12.81</v>
      </c>
      <c r="S228" s="36" t="n">
        <v>10.89</v>
      </c>
      <c r="T228" s="36" t="n">
        <v>12.81</v>
      </c>
      <c r="U228" s="36" t="n">
        <v>9.07</v>
      </c>
      <c r="V228" s="36" t="n">
        <v>8.789999999999999</v>
      </c>
      <c r="W228" s="36" t="n">
        <v>12.26</v>
      </c>
      <c r="X228" s="36" t="n">
        <v>6.77</v>
      </c>
      <c r="Y228" s="28" t="n">
        <v>13.38</v>
      </c>
      <c r="Z228" s="36" t="n">
        <v>10.43</v>
      </c>
      <c r="AA228" s="36" t="n">
        <v>10.1</v>
      </c>
      <c r="AB228" s="36" t="n">
        <v>10.31</v>
      </c>
      <c r="AC228" s="36" t="n">
        <v>10.92</v>
      </c>
      <c r="AD228" s="36" t="n">
        <v>30.34</v>
      </c>
      <c r="AE228" s="36" t="n">
        <v>17.38</v>
      </c>
      <c r="AF228" s="28" t="n">
        <v>26.36</v>
      </c>
      <c r="AG228" s="36" t="n">
        <v>14.9</v>
      </c>
      <c r="AH228" s="37" t="n">
        <v>10.34</v>
      </c>
      <c r="AI228" s="37" t="n">
        <v>10.1</v>
      </c>
      <c r="AJ228" s="37" t="n">
        <v>9.949999999999999</v>
      </c>
      <c r="AK228" s="37" t="n">
        <v>22.57</v>
      </c>
      <c r="AL228" s="37" t="n">
        <v>11.41</v>
      </c>
      <c r="AM228" s="37" t="n">
        <v>16.43</v>
      </c>
      <c r="AN228" s="37" t="n">
        <v>10.28</v>
      </c>
      <c r="AO228" s="37" t="n">
        <v>10.05</v>
      </c>
      <c r="AP228" s="37" t="n">
        <v>13.84</v>
      </c>
      <c r="AQ228" s="37" t="n">
        <v>13.61</v>
      </c>
      <c r="AR228" s="37" t="n">
        <v>11.11</v>
      </c>
      <c r="AS228" s="37" t="n">
        <v>5.95</v>
      </c>
      <c r="AT228" s="37" t="n">
        <v>12.23</v>
      </c>
      <c r="AU228" s="37" t="n">
        <v>20.03</v>
      </c>
      <c r="AV228" s="37" t="n">
        <v>20.84</v>
      </c>
      <c r="AW228" s="37" t="n">
        <v>10.16</v>
      </c>
      <c r="AX228" s="37" t="n">
        <v>9.539999999999999</v>
      </c>
      <c r="AY228" s="37" t="n">
        <v>10.64</v>
      </c>
      <c r="AZ228" s="37" t="n">
        <v>5.7</v>
      </c>
      <c r="BA228" s="37" t="n">
        <v>11.15</v>
      </c>
      <c r="BB228" s="37" t="n">
        <v>10.46</v>
      </c>
      <c r="BC228" s="37" t="n">
        <v>3.61</v>
      </c>
      <c r="BD228" s="37" t="n">
        <v>8.890000000000001</v>
      </c>
      <c r="BE228" s="37" t="n">
        <v>11.03</v>
      </c>
      <c r="BF228" s="37" t="n">
        <v>9.640000000000001</v>
      </c>
      <c r="BG228" s="37" t="n">
        <v>7.74</v>
      </c>
      <c r="BH228" s="37" t="n">
        <v>14.28</v>
      </c>
      <c r="BI228" s="37" t="n">
        <v>12.15</v>
      </c>
      <c r="BJ228" s="37" t="n">
        <v>47.97</v>
      </c>
      <c r="BK228" s="37" t="n">
        <v>25.92</v>
      </c>
      <c r="BL228" s="37" t="n">
        <v>13.33</v>
      </c>
      <c r="BM228" s="37" t="n">
        <v>10.08</v>
      </c>
      <c r="BN228" s="37" t="n">
        <v>7.54</v>
      </c>
      <c r="BO228" s="37" t="n">
        <v>16.72</v>
      </c>
      <c r="BP228" s="37" t="n">
        <v>24.21</v>
      </c>
      <c r="BQ228" s="37" t="n">
        <v>17.69</v>
      </c>
      <c r="BR228" s="37" t="n">
        <v>11.56</v>
      </c>
      <c r="BS228" s="37" t="n">
        <v>11.03</v>
      </c>
      <c r="BT228" s="37" t="n">
        <v>9.640000000000001</v>
      </c>
      <c r="BU228" s="37" t="n">
        <v>11.2</v>
      </c>
      <c r="BV228" s="37" t="n">
        <v>15.13</v>
      </c>
      <c r="BW228" s="37" t="n">
        <v>12.15</v>
      </c>
      <c r="BX228" s="37" t="n">
        <v>11.77</v>
      </c>
      <c r="BY228" s="37" t="n">
        <v>11.56</v>
      </c>
      <c r="BZ228" s="37" t="n">
        <v>19.79</v>
      </c>
      <c r="CA228" s="37" t="n">
        <v>11.48</v>
      </c>
      <c r="CB228" s="37" t="n">
        <v>7.33</v>
      </c>
      <c r="CC228" s="37" t="n">
        <v>960.3199999999999</v>
      </c>
    </row>
    <row r="229" ht="15.75" customHeight="1" s="57">
      <c r="A229" s="7" t="inlineStr">
        <is>
          <t>NTB</t>
        </is>
      </c>
      <c r="B229" s="7" t="inlineStr">
        <is>
          <t>Khánh Hòa</t>
        </is>
      </c>
      <c r="C229" s="7" t="n">
        <v>21331000</v>
      </c>
      <c r="D229" s="7" t="inlineStr">
        <is>
          <t>(KHO) Cam Lâm 1</t>
        </is>
      </c>
      <c r="E229" s="7" t="inlineStr">
        <is>
          <t>Shopee-Bulky (10-15kg)</t>
        </is>
      </c>
      <c r="F229" s="36" t="n">
        <v>6.47</v>
      </c>
      <c r="G229" s="36" t="n">
        <v>7.55</v>
      </c>
      <c r="H229" s="36" t="n">
        <v>7.55</v>
      </c>
      <c r="I229" s="36" t="n">
        <v>4.67</v>
      </c>
      <c r="J229" s="36" t="n">
        <v>7.55</v>
      </c>
      <c r="K229" s="28" t="n">
        <v>5.03</v>
      </c>
      <c r="L229" s="36" t="n">
        <v>2.52</v>
      </c>
      <c r="M229" s="36" t="n">
        <v>8.99</v>
      </c>
      <c r="N229" s="36" t="n">
        <v>2.52</v>
      </c>
      <c r="O229" s="36" t="n">
        <v>4.32</v>
      </c>
      <c r="P229" s="36" t="n">
        <v>6.83</v>
      </c>
      <c r="Q229" s="36" t="n">
        <v>5.03</v>
      </c>
      <c r="R229" s="28" t="n">
        <v>7.19</v>
      </c>
      <c r="S229" s="36" t="n">
        <v>6.11</v>
      </c>
      <c r="T229" s="36" t="n">
        <v>7.19</v>
      </c>
      <c r="U229" s="36" t="n">
        <v>5.43</v>
      </c>
      <c r="V229" s="36" t="n">
        <v>5.2</v>
      </c>
      <c r="W229" s="36" t="n">
        <v>6.7</v>
      </c>
      <c r="X229" s="36" t="n">
        <v>3.77</v>
      </c>
      <c r="Y229" s="28" t="n">
        <v>7.64</v>
      </c>
      <c r="Z229" s="36" t="n">
        <v>5.97</v>
      </c>
      <c r="AA229" s="36" t="n">
        <v>5.62</v>
      </c>
      <c r="AB229" s="36" t="n">
        <v>5.89</v>
      </c>
      <c r="AC229" s="36" t="n">
        <v>6.1</v>
      </c>
      <c r="AD229" s="36" t="n">
        <v>22.74</v>
      </c>
      <c r="AE229" s="36" t="n">
        <v>9.44</v>
      </c>
      <c r="AF229" s="28" t="n">
        <v>13.93</v>
      </c>
      <c r="AG229" s="36" t="n">
        <v>8.31</v>
      </c>
      <c r="AH229" s="37" t="n">
        <v>5.89</v>
      </c>
      <c r="AI229" s="37" t="n">
        <v>5.69</v>
      </c>
      <c r="AJ229" s="37" t="n">
        <v>5.57</v>
      </c>
      <c r="AK229" s="37" t="n">
        <v>12.89</v>
      </c>
      <c r="AL229" s="37" t="n">
        <v>6.48</v>
      </c>
      <c r="AM229" s="37" t="n">
        <v>9.300000000000001</v>
      </c>
      <c r="AN229" s="37" t="n">
        <v>5.89</v>
      </c>
      <c r="AO229" s="37" t="n">
        <v>5.67</v>
      </c>
      <c r="AP229" s="37" t="n">
        <v>7.34</v>
      </c>
      <c r="AQ229" s="37" t="n">
        <v>7.72</v>
      </c>
      <c r="AR229" s="37" t="n">
        <v>6.02</v>
      </c>
      <c r="AS229" s="37" t="n">
        <v>3.31</v>
      </c>
      <c r="AT229" s="37" t="n">
        <v>6.92</v>
      </c>
      <c r="AU229" s="37" t="n">
        <v>11.44</v>
      </c>
      <c r="AV229" s="37" t="n">
        <v>11.87</v>
      </c>
      <c r="AW229" s="37" t="n">
        <v>5.75</v>
      </c>
      <c r="AX229" s="37" t="n">
        <v>5.38</v>
      </c>
      <c r="AY229" s="37" t="n">
        <v>5.79</v>
      </c>
      <c r="AZ229" s="37" t="n">
        <v>3.2</v>
      </c>
      <c r="BA229" s="37" t="n">
        <v>6.31</v>
      </c>
      <c r="BB229" s="37" t="n">
        <v>6.05</v>
      </c>
      <c r="BC229" s="37" t="n">
        <v>2.03</v>
      </c>
      <c r="BD229" s="37" t="n">
        <v>4.82</v>
      </c>
      <c r="BE229" s="37" t="n">
        <v>6.21</v>
      </c>
      <c r="BF229" s="37" t="n">
        <v>5.3</v>
      </c>
      <c r="BG229" s="37" t="n">
        <v>4.33</v>
      </c>
      <c r="BH229" s="37" t="n">
        <v>8.279999999999999</v>
      </c>
      <c r="BI229" s="37" t="n">
        <v>7.03</v>
      </c>
      <c r="BJ229" s="37" t="n">
        <v>31.18</v>
      </c>
      <c r="BK229" s="37" t="n">
        <v>14.54</v>
      </c>
      <c r="BL229" s="37" t="n">
        <v>7.74</v>
      </c>
      <c r="BM229" s="37" t="n">
        <v>5.62</v>
      </c>
      <c r="BN229" s="37" t="n">
        <v>4.25</v>
      </c>
      <c r="BO229" s="37" t="n">
        <v>9.31</v>
      </c>
      <c r="BP229" s="37" t="n">
        <v>13.57</v>
      </c>
      <c r="BQ229" s="37" t="n">
        <v>9.98</v>
      </c>
      <c r="BR229" s="37" t="n">
        <v>6.67</v>
      </c>
      <c r="BS229" s="37" t="n">
        <v>6.21</v>
      </c>
      <c r="BT229" s="37" t="n">
        <v>5.3</v>
      </c>
      <c r="BU229" s="37" t="n">
        <v>6.44</v>
      </c>
      <c r="BV229" s="37" t="n">
        <v>8.56</v>
      </c>
      <c r="BW229" s="37" t="n">
        <v>7.03</v>
      </c>
      <c r="BX229" s="37" t="n">
        <v>6.72</v>
      </c>
      <c r="BY229" s="37" t="n">
        <v>6.67</v>
      </c>
      <c r="BZ229" s="37" t="n">
        <v>11.02</v>
      </c>
      <c r="CA229" s="37" t="n">
        <v>6.57</v>
      </c>
      <c r="CB229" s="37" t="n">
        <v>4.15</v>
      </c>
      <c r="CC229" s="37" t="n">
        <v>550.27</v>
      </c>
    </row>
    <row r="230" ht="15.75" customHeight="1" s="57">
      <c r="A230" s="7" t="inlineStr">
        <is>
          <t>NTB</t>
        </is>
      </c>
      <c r="B230" s="7" t="inlineStr">
        <is>
          <t>Khánh Hòa</t>
        </is>
      </c>
      <c r="C230" s="7" t="n">
        <v>21331000</v>
      </c>
      <c r="D230" s="7" t="inlineStr">
        <is>
          <t>(KHO) Cam Lâm 1</t>
        </is>
      </c>
      <c r="E230" s="7" t="inlineStr">
        <is>
          <t>TTS</t>
        </is>
      </c>
      <c r="F230" s="36" t="n">
        <v>135</v>
      </c>
      <c r="G230" s="36" t="n">
        <v>124</v>
      </c>
      <c r="H230" s="36" t="n">
        <v>131</v>
      </c>
      <c r="I230" s="36" t="n">
        <v>64</v>
      </c>
      <c r="J230" s="36" t="n">
        <v>125</v>
      </c>
      <c r="K230" s="28" t="n">
        <v>134</v>
      </c>
      <c r="L230" s="36" t="n">
        <v>68</v>
      </c>
      <c r="M230" s="36" t="n">
        <v>112</v>
      </c>
      <c r="N230" s="36" t="n">
        <v>84</v>
      </c>
      <c r="O230" s="36" t="n">
        <v>115</v>
      </c>
      <c r="P230" s="36" t="n">
        <v>117</v>
      </c>
      <c r="Q230" s="36" t="n">
        <v>110</v>
      </c>
      <c r="R230" s="28" t="n">
        <v>116</v>
      </c>
      <c r="S230" s="36" t="n">
        <v>107</v>
      </c>
      <c r="T230" s="36" t="n">
        <v>166</v>
      </c>
      <c r="U230" s="36" t="n">
        <v>98.42999999999999</v>
      </c>
      <c r="V230" s="36" t="n">
        <v>96.59999999999999</v>
      </c>
      <c r="W230" s="36" t="n">
        <v>94.5</v>
      </c>
      <c r="X230" s="36" t="n">
        <v>76.15000000000001</v>
      </c>
      <c r="Y230" s="28" t="n">
        <v>111</v>
      </c>
      <c r="Z230" s="36" t="n">
        <v>94.09999999999999</v>
      </c>
      <c r="AA230" s="36" t="n">
        <v>104.69</v>
      </c>
      <c r="AB230" s="36" t="n">
        <v>116.3</v>
      </c>
      <c r="AC230" s="36" t="n">
        <v>122.63</v>
      </c>
      <c r="AD230" s="36" t="n">
        <v>134.99</v>
      </c>
      <c r="AE230" s="36" t="n">
        <v>88.58</v>
      </c>
      <c r="AF230" s="28" t="n">
        <v>114.3</v>
      </c>
      <c r="AG230" s="36" t="n">
        <v>96.23999999999999</v>
      </c>
      <c r="AH230" s="37" t="n">
        <v>95.22</v>
      </c>
      <c r="AI230" s="37" t="n">
        <v>108.86</v>
      </c>
      <c r="AJ230" s="37" t="n">
        <v>116.99</v>
      </c>
      <c r="AK230" s="37" t="n">
        <v>115.37</v>
      </c>
      <c r="AL230" s="37" t="n">
        <v>82.05</v>
      </c>
      <c r="AM230" s="37" t="n">
        <v>112.71</v>
      </c>
      <c r="AN230" s="37" t="n">
        <v>97.2</v>
      </c>
      <c r="AO230" s="37" t="n">
        <v>96.83</v>
      </c>
      <c r="AP230" s="37" t="n">
        <v>93.88</v>
      </c>
      <c r="AQ230" s="37" t="n">
        <v>94.70999999999999</v>
      </c>
      <c r="AR230" s="37" t="n">
        <v>93.05</v>
      </c>
      <c r="AS230" s="37" t="n">
        <v>76.40000000000001</v>
      </c>
      <c r="AT230" s="37" t="n">
        <v>122.19</v>
      </c>
      <c r="AU230" s="37" t="n">
        <v>110.53</v>
      </c>
      <c r="AV230" s="37" t="n">
        <v>98.20999999999999</v>
      </c>
      <c r="AW230" s="37" t="n">
        <v>92.79000000000001</v>
      </c>
      <c r="AX230" s="37" t="n">
        <v>92.28</v>
      </c>
      <c r="AY230" s="37" t="n">
        <v>91.84999999999999</v>
      </c>
      <c r="AZ230" s="37" t="n">
        <v>76.44</v>
      </c>
      <c r="BA230" s="37" t="n">
        <v>110.09</v>
      </c>
      <c r="BB230" s="37" t="n">
        <v>102.77</v>
      </c>
      <c r="BC230" s="37" t="n">
        <v>60.79</v>
      </c>
      <c r="BD230" s="37" t="n">
        <v>88.73</v>
      </c>
      <c r="BE230" s="37" t="n">
        <v>104.4</v>
      </c>
      <c r="BF230" s="37" t="n">
        <v>101.42</v>
      </c>
      <c r="BG230" s="37" t="n">
        <v>82.13</v>
      </c>
      <c r="BH230" s="37" t="n">
        <v>122.01</v>
      </c>
      <c r="BI230" s="37" t="n">
        <v>102.77</v>
      </c>
      <c r="BJ230" s="37" t="n">
        <v>102.7</v>
      </c>
      <c r="BK230" s="37" t="n">
        <v>104.25</v>
      </c>
      <c r="BL230" s="37" t="n">
        <v>104.4</v>
      </c>
      <c r="BM230" s="37" t="n">
        <v>101.42</v>
      </c>
      <c r="BN230" s="37" t="n">
        <v>82.13</v>
      </c>
      <c r="BO230" s="37" t="n">
        <v>122.01</v>
      </c>
      <c r="BP230" s="37" t="n">
        <v>102.77</v>
      </c>
      <c r="BQ230" s="37" t="n">
        <v>101.57</v>
      </c>
      <c r="BR230" s="37" t="n">
        <v>104.25</v>
      </c>
      <c r="BS230" s="37" t="n">
        <v>104.4</v>
      </c>
      <c r="BT230" s="37" t="n">
        <v>101.42</v>
      </c>
      <c r="BU230" s="37" t="n">
        <v>82.13</v>
      </c>
      <c r="BV230" s="37" t="n">
        <v>122.01</v>
      </c>
      <c r="BW230" s="37" t="n">
        <v>102.77</v>
      </c>
      <c r="BX230" s="37" t="n">
        <v>101.57</v>
      </c>
      <c r="BY230" s="37" t="n">
        <v>104.25</v>
      </c>
      <c r="BZ230" s="37" t="n">
        <v>104.4</v>
      </c>
      <c r="CA230" s="37" t="n">
        <v>101.42</v>
      </c>
      <c r="CB230" s="37" t="n">
        <v>82.13</v>
      </c>
      <c r="CC230" s="37" t="n">
        <v>7731.179999999999</v>
      </c>
    </row>
    <row r="231" ht="15.75" customHeight="1" s="57">
      <c r="A231" s="7" t="inlineStr">
        <is>
          <t>NTB</t>
        </is>
      </c>
      <c r="B231" s="7" t="inlineStr">
        <is>
          <t>Khánh Hòa</t>
        </is>
      </c>
      <c r="C231" s="7" t="n">
        <v>21331000</v>
      </c>
      <c r="D231" s="7" t="inlineStr">
        <is>
          <t>(KHO) Cam Lâm 1</t>
        </is>
      </c>
      <c r="E231" s="7" t="inlineStr">
        <is>
          <t>TTS-Bulky</t>
        </is>
      </c>
      <c r="F231" s="36" t="n">
        <v>0</v>
      </c>
      <c r="G231" s="36" t="n">
        <v>2</v>
      </c>
      <c r="H231" s="36" t="n">
        <v>2</v>
      </c>
      <c r="I231" s="36" t="n">
        <v>0</v>
      </c>
      <c r="J231" s="36" t="n">
        <v>2</v>
      </c>
      <c r="K231" s="28" t="n">
        <v>1</v>
      </c>
      <c r="L231" s="36" t="n">
        <v>1</v>
      </c>
      <c r="M231" s="36" t="n">
        <v>1</v>
      </c>
      <c r="N231" s="36" t="n">
        <v>0</v>
      </c>
      <c r="O231" s="36" t="n">
        <v>2</v>
      </c>
      <c r="P231" s="36" t="n">
        <v>1</v>
      </c>
      <c r="Q231" s="36" t="n">
        <v>0</v>
      </c>
      <c r="R231" s="28" t="n">
        <v>0</v>
      </c>
      <c r="S231" s="36" t="n">
        <v>1</v>
      </c>
      <c r="T231" s="36" t="n">
        <v>1</v>
      </c>
      <c r="U231" s="36" t="n">
        <v>4.02</v>
      </c>
      <c r="V231" s="36" t="n">
        <v>3.85</v>
      </c>
      <c r="W231" s="36" t="n">
        <v>1.94</v>
      </c>
      <c r="X231" s="36" t="n">
        <v>1.45</v>
      </c>
      <c r="Y231" s="28" t="n">
        <v>2.47</v>
      </c>
      <c r="Z231" s="36" t="n">
        <v>1.82</v>
      </c>
      <c r="AA231" s="36" t="n">
        <v>2.06</v>
      </c>
      <c r="AB231" s="36" t="n">
        <v>2.2</v>
      </c>
      <c r="AC231" s="36" t="n">
        <v>2.4</v>
      </c>
      <c r="AD231" s="36" t="n">
        <v>3</v>
      </c>
      <c r="AE231" s="36" t="n">
        <v>1.6</v>
      </c>
      <c r="AF231" s="28" t="n">
        <v>2.35</v>
      </c>
      <c r="AG231" s="36" t="n">
        <v>1.89</v>
      </c>
      <c r="AH231" s="37" t="n">
        <v>1.89</v>
      </c>
      <c r="AI231" s="37" t="n">
        <v>1.96</v>
      </c>
      <c r="AJ231" s="37" t="n">
        <v>2.16</v>
      </c>
      <c r="AK231" s="37" t="n">
        <v>2.08</v>
      </c>
      <c r="AL231" s="37" t="n">
        <v>1.48</v>
      </c>
      <c r="AM231" s="37" t="n">
        <v>2.33</v>
      </c>
      <c r="AN231" s="37" t="n">
        <v>1.94</v>
      </c>
      <c r="AO231" s="37" t="n">
        <v>1.89</v>
      </c>
      <c r="AP231" s="37" t="n">
        <v>1.91</v>
      </c>
      <c r="AQ231" s="37" t="n">
        <v>1.91</v>
      </c>
      <c r="AR231" s="37" t="n">
        <v>1.91</v>
      </c>
      <c r="AS231" s="37" t="n">
        <v>1.4</v>
      </c>
      <c r="AT231" s="37" t="n">
        <v>2.45</v>
      </c>
      <c r="AU231" s="37" t="n">
        <v>2.2</v>
      </c>
      <c r="AV231" s="37" t="n">
        <v>1.96</v>
      </c>
      <c r="AW231" s="37" t="n">
        <v>1.89</v>
      </c>
      <c r="AX231" s="37" t="n">
        <v>1.89</v>
      </c>
      <c r="AY231" s="37" t="n">
        <v>1.91</v>
      </c>
      <c r="AZ231" s="37" t="n">
        <v>1.4</v>
      </c>
      <c r="BA231" s="37" t="n">
        <v>2.16</v>
      </c>
      <c r="BB231" s="37" t="n">
        <v>0.51</v>
      </c>
      <c r="BC231" s="37" t="n">
        <v>0.31</v>
      </c>
      <c r="BD231" s="37" t="n">
        <v>0.36</v>
      </c>
      <c r="BE231" s="37" t="n">
        <v>0.51</v>
      </c>
      <c r="BF231" s="37" t="n">
        <v>0.53</v>
      </c>
      <c r="BG231" s="37" t="n">
        <v>0.36</v>
      </c>
      <c r="BH231" s="37" t="n">
        <v>0.68</v>
      </c>
      <c r="BI231" s="37" t="n">
        <v>0.5600000000000001</v>
      </c>
      <c r="BJ231" s="37" t="n">
        <v>0.7</v>
      </c>
      <c r="BK231" s="37" t="n">
        <v>0.53</v>
      </c>
      <c r="BL231" s="37" t="n">
        <v>0.51</v>
      </c>
      <c r="BM231" s="37" t="n">
        <v>0.53</v>
      </c>
      <c r="BN231" s="37" t="n">
        <v>0.36</v>
      </c>
      <c r="BO231" s="37" t="n">
        <v>0.82</v>
      </c>
      <c r="BP231" s="37" t="n">
        <v>0.63</v>
      </c>
      <c r="BQ231" s="37" t="n">
        <v>0.53</v>
      </c>
      <c r="BR231" s="37" t="n">
        <v>0.53</v>
      </c>
      <c r="BS231" s="37" t="n">
        <v>0.51</v>
      </c>
      <c r="BT231" s="37" t="n">
        <v>0.53</v>
      </c>
      <c r="BU231" s="37" t="n">
        <v>0.36</v>
      </c>
      <c r="BV231" s="37" t="n">
        <v>0.63</v>
      </c>
      <c r="BW231" s="37" t="n">
        <v>0.5600000000000001</v>
      </c>
      <c r="BX231" s="37" t="n">
        <v>0.53</v>
      </c>
      <c r="BY231" s="37" t="n">
        <v>0.53</v>
      </c>
      <c r="BZ231" s="37" t="n">
        <v>0.51</v>
      </c>
      <c r="CA231" s="37" t="n">
        <v>0.53</v>
      </c>
      <c r="CB231" s="37" t="n">
        <v>0.36</v>
      </c>
      <c r="CC231" s="37" t="n">
        <v>97.78000000000003</v>
      </c>
    </row>
    <row r="232" ht="15.75" customHeight="1" s="57">
      <c r="A232" s="7" t="inlineStr">
        <is>
          <t>NTB</t>
        </is>
      </c>
      <c r="B232" s="7" t="inlineStr">
        <is>
          <t>Khánh Hòa</t>
        </is>
      </c>
      <c r="C232" s="7" t="n">
        <v>21479000</v>
      </c>
      <c r="D232" s="7" t="inlineStr">
        <is>
          <t>(KHO) Bắc Cam Ranh</t>
        </is>
      </c>
      <c r="E232" s="7" t="inlineStr">
        <is>
          <t>SME</t>
        </is>
      </c>
      <c r="F232" s="36" t="n">
        <v>175</v>
      </c>
      <c r="G232" s="36" t="n">
        <v>237</v>
      </c>
      <c r="H232" s="36" t="n">
        <v>179</v>
      </c>
      <c r="I232" s="36" t="n">
        <v>160</v>
      </c>
      <c r="J232" s="36" t="n">
        <v>173</v>
      </c>
      <c r="K232" s="28" t="n">
        <v>193</v>
      </c>
      <c r="L232" s="36" t="n">
        <v>139</v>
      </c>
      <c r="M232" s="36" t="n">
        <v>126</v>
      </c>
      <c r="N232" s="36" t="n">
        <v>208</v>
      </c>
      <c r="O232" s="36" t="n">
        <v>170</v>
      </c>
      <c r="P232" s="36" t="n">
        <v>175</v>
      </c>
      <c r="Q232" s="36" t="n">
        <v>167</v>
      </c>
      <c r="R232" s="28" t="n">
        <v>150</v>
      </c>
      <c r="S232" s="36" t="n">
        <v>146</v>
      </c>
      <c r="T232" s="36" t="n">
        <v>182</v>
      </c>
      <c r="U232" s="36" t="n">
        <v>210.06</v>
      </c>
      <c r="V232" s="36" t="n">
        <v>217.42</v>
      </c>
      <c r="W232" s="36" t="n">
        <v>211.45</v>
      </c>
      <c r="X232" s="36" t="n">
        <v>173.05</v>
      </c>
      <c r="Y232" s="28" t="n">
        <v>234.32</v>
      </c>
      <c r="Z232" s="36" t="n">
        <v>215.82</v>
      </c>
      <c r="AA232" s="36" t="n">
        <v>210.49</v>
      </c>
      <c r="AB232" s="36" t="n">
        <v>210.06</v>
      </c>
      <c r="AC232" s="36" t="n">
        <v>217.42</v>
      </c>
      <c r="AD232" s="36" t="n">
        <v>212.76</v>
      </c>
      <c r="AE232" s="36" t="n">
        <v>173.05</v>
      </c>
      <c r="AF232" s="28" t="n">
        <v>234.32</v>
      </c>
      <c r="AG232" s="36" t="n">
        <v>215.82</v>
      </c>
      <c r="AH232" s="37" t="n">
        <v>210.49</v>
      </c>
      <c r="AI232" s="37" t="n">
        <v>210.06</v>
      </c>
      <c r="AJ232" s="37" t="n">
        <v>217.42</v>
      </c>
      <c r="AK232" s="37" t="n">
        <v>211.45</v>
      </c>
      <c r="AL232" s="37" t="n">
        <v>173.05</v>
      </c>
      <c r="AM232" s="37" t="n">
        <v>234.32</v>
      </c>
      <c r="AN232" s="37" t="n">
        <v>215.82</v>
      </c>
      <c r="AO232" s="37" t="n">
        <v>210.49</v>
      </c>
      <c r="AP232" s="37" t="n">
        <v>210.06</v>
      </c>
      <c r="AQ232" s="37" t="n">
        <v>217.42</v>
      </c>
      <c r="AR232" s="37" t="n">
        <v>211.45</v>
      </c>
      <c r="AS232" s="37" t="n">
        <v>173.05</v>
      </c>
      <c r="AT232" s="37" t="n">
        <v>234.32</v>
      </c>
      <c r="AU232" s="37" t="n">
        <v>215.82</v>
      </c>
      <c r="AV232" s="37" t="n">
        <v>210.49</v>
      </c>
      <c r="AW232" s="37" t="n">
        <v>210.06</v>
      </c>
      <c r="AX232" s="37" t="n">
        <v>217.42</v>
      </c>
      <c r="AY232" s="37" t="n">
        <v>211.45</v>
      </c>
      <c r="AZ232" s="37" t="n">
        <v>173.05</v>
      </c>
      <c r="BA232" s="37" t="n">
        <v>210.88</v>
      </c>
      <c r="BB232" s="37" t="n">
        <v>189.29</v>
      </c>
      <c r="BC232" s="37" t="n">
        <v>119.64</v>
      </c>
      <c r="BD232" s="37" t="n">
        <v>119.18</v>
      </c>
      <c r="BE232" s="37" t="n">
        <v>201.99</v>
      </c>
      <c r="BF232" s="37" t="n">
        <v>196.49</v>
      </c>
      <c r="BG232" s="37" t="n">
        <v>178.34</v>
      </c>
      <c r="BH232" s="37" t="n">
        <v>241.86</v>
      </c>
      <c r="BI232" s="37" t="n">
        <v>222.71</v>
      </c>
      <c r="BJ232" s="37" t="n">
        <v>218.43</v>
      </c>
      <c r="BK232" s="37" t="n">
        <v>216.76</v>
      </c>
      <c r="BL232" s="37" t="n">
        <v>224.33</v>
      </c>
      <c r="BM232" s="37" t="n">
        <v>218.23</v>
      </c>
      <c r="BN232" s="37" t="n">
        <v>178.34</v>
      </c>
      <c r="BO232" s="37" t="n">
        <v>241.86</v>
      </c>
      <c r="BP232" s="37" t="n">
        <v>222.71</v>
      </c>
      <c r="BQ232" s="37" t="n">
        <v>217.15</v>
      </c>
      <c r="BR232" s="37" t="n">
        <v>216.76</v>
      </c>
      <c r="BS232" s="37" t="n">
        <v>224.33</v>
      </c>
      <c r="BT232" s="37" t="n">
        <v>218.23</v>
      </c>
      <c r="BU232" s="37" t="n">
        <v>178.34</v>
      </c>
      <c r="BV232" s="37" t="n">
        <v>241.86</v>
      </c>
      <c r="BW232" s="37" t="n">
        <v>222.71</v>
      </c>
      <c r="BX232" s="37" t="n">
        <v>217.15</v>
      </c>
      <c r="BY232" s="37" t="n">
        <v>216.76</v>
      </c>
      <c r="BZ232" s="37" t="n">
        <v>224.33</v>
      </c>
      <c r="CA232" s="37" t="n">
        <v>218.23</v>
      </c>
      <c r="CB232" s="37" t="n">
        <v>178.34</v>
      </c>
      <c r="CC232" s="37" t="n">
        <v>15058.96</v>
      </c>
    </row>
    <row r="233" ht="15.75" customHeight="1" s="57">
      <c r="A233" s="7" t="inlineStr">
        <is>
          <t>NTB</t>
        </is>
      </c>
      <c r="B233" s="7" t="inlineStr">
        <is>
          <t>Khánh Hòa</t>
        </is>
      </c>
      <c r="C233" s="7" t="n">
        <v>21479000</v>
      </c>
      <c r="D233" s="7" t="inlineStr">
        <is>
          <t>(KHO) Bắc Cam Ranh</t>
        </is>
      </c>
      <c r="E233" s="7" t="inlineStr">
        <is>
          <t>SME-Bulky</t>
        </is>
      </c>
      <c r="F233" s="36" t="n">
        <v>5</v>
      </c>
      <c r="G233" s="36" t="n">
        <v>7</v>
      </c>
      <c r="H233" s="36" t="n">
        <v>9</v>
      </c>
      <c r="I233" s="36" t="n">
        <v>2</v>
      </c>
      <c r="J233" s="36" t="n">
        <v>8</v>
      </c>
      <c r="K233" s="28" t="n">
        <v>6</v>
      </c>
      <c r="L233" s="36" t="n">
        <v>7</v>
      </c>
      <c r="M233" s="36" t="n">
        <v>19</v>
      </c>
      <c r="N233" s="36" t="n">
        <v>4</v>
      </c>
      <c r="O233" s="36" t="n">
        <v>4</v>
      </c>
      <c r="P233" s="36" t="n">
        <v>8</v>
      </c>
      <c r="Q233" s="36" t="n">
        <v>8</v>
      </c>
      <c r="R233" s="28" t="n">
        <v>5</v>
      </c>
      <c r="S233" s="36" t="n">
        <v>2</v>
      </c>
      <c r="T233" s="36" t="n">
        <v>5</v>
      </c>
      <c r="U233" s="36" t="n">
        <v>5.35</v>
      </c>
      <c r="V233" s="36" t="n">
        <v>5.42</v>
      </c>
      <c r="W233" s="36" t="n">
        <v>5.03</v>
      </c>
      <c r="X233" s="36" t="n">
        <v>3.35</v>
      </c>
      <c r="Y233" s="28" t="n">
        <v>6.14</v>
      </c>
      <c r="Z233" s="36" t="n">
        <v>5.92</v>
      </c>
      <c r="AA233" s="36" t="n">
        <v>5.63</v>
      </c>
      <c r="AB233" s="36" t="n">
        <v>5.35</v>
      </c>
      <c r="AC233" s="36" t="n">
        <v>5.42</v>
      </c>
      <c r="AD233" s="36" t="n">
        <v>4.75</v>
      </c>
      <c r="AE233" s="36" t="n">
        <v>3.35</v>
      </c>
      <c r="AF233" s="28" t="n">
        <v>6.14</v>
      </c>
      <c r="AG233" s="36" t="n">
        <v>5.92</v>
      </c>
      <c r="AH233" s="37" t="n">
        <v>5.63</v>
      </c>
      <c r="AI233" s="37" t="n">
        <v>5.35</v>
      </c>
      <c r="AJ233" s="37" t="n">
        <v>5.42</v>
      </c>
      <c r="AK233" s="37" t="n">
        <v>5.03</v>
      </c>
      <c r="AL233" s="37" t="n">
        <v>3.35</v>
      </c>
      <c r="AM233" s="37" t="n">
        <v>6.14</v>
      </c>
      <c r="AN233" s="37" t="n">
        <v>5.92</v>
      </c>
      <c r="AO233" s="37" t="n">
        <v>5.63</v>
      </c>
      <c r="AP233" s="37" t="n">
        <v>5.35</v>
      </c>
      <c r="AQ233" s="37" t="n">
        <v>5.42</v>
      </c>
      <c r="AR233" s="37" t="n">
        <v>5.03</v>
      </c>
      <c r="AS233" s="37" t="n">
        <v>3.35</v>
      </c>
      <c r="AT233" s="37" t="n">
        <v>6.14</v>
      </c>
      <c r="AU233" s="37" t="n">
        <v>5.92</v>
      </c>
      <c r="AV233" s="37" t="n">
        <v>5.63</v>
      </c>
      <c r="AW233" s="37" t="n">
        <v>5.35</v>
      </c>
      <c r="AX233" s="37" t="n">
        <v>5.42</v>
      </c>
      <c r="AY233" s="37" t="n">
        <v>5.03</v>
      </c>
      <c r="AZ233" s="37" t="n">
        <v>3.35</v>
      </c>
      <c r="BA233" s="37" t="n">
        <v>6.11</v>
      </c>
      <c r="BB233" s="37" t="n">
        <v>3.17</v>
      </c>
      <c r="BC233" s="37" t="n">
        <v>1.61</v>
      </c>
      <c r="BD233" s="37" t="n">
        <v>1.47</v>
      </c>
      <c r="BE233" s="37" t="n">
        <v>2.74</v>
      </c>
      <c r="BF233" s="37" t="n">
        <v>2.54</v>
      </c>
      <c r="BG233" s="37" t="n">
        <v>2.02</v>
      </c>
      <c r="BH233" s="37" t="n">
        <v>3.6</v>
      </c>
      <c r="BI233" s="37" t="n">
        <v>3.55</v>
      </c>
      <c r="BJ233" s="37" t="n">
        <v>3.09</v>
      </c>
      <c r="BK233" s="37" t="n">
        <v>3.17</v>
      </c>
      <c r="BL233" s="37" t="n">
        <v>3.24</v>
      </c>
      <c r="BM233" s="37" t="n">
        <v>2.95</v>
      </c>
      <c r="BN233" s="37" t="n">
        <v>2.02</v>
      </c>
      <c r="BO233" s="37" t="n">
        <v>3.6</v>
      </c>
      <c r="BP233" s="37" t="n">
        <v>3.55</v>
      </c>
      <c r="BQ233" s="37" t="n">
        <v>3.31</v>
      </c>
      <c r="BR233" s="37" t="n">
        <v>3.17</v>
      </c>
      <c r="BS233" s="37" t="n">
        <v>3.24</v>
      </c>
      <c r="BT233" s="37" t="n">
        <v>2.95</v>
      </c>
      <c r="BU233" s="37" t="n">
        <v>2.02</v>
      </c>
      <c r="BV233" s="37" t="n">
        <v>3.6</v>
      </c>
      <c r="BW233" s="37" t="n">
        <v>3.55</v>
      </c>
      <c r="BX233" s="37" t="n">
        <v>3.31</v>
      </c>
      <c r="BY233" s="37" t="n">
        <v>3.17</v>
      </c>
      <c r="BZ233" s="37" t="n">
        <v>3.24</v>
      </c>
      <c r="CA233" s="37" t="n">
        <v>2.95</v>
      </c>
      <c r="CB233" s="37" t="n">
        <v>2.02</v>
      </c>
      <c r="CC233" s="37" t="n">
        <v>350.1899999999999</v>
      </c>
    </row>
    <row r="234" ht="15.75" customHeight="1" s="57">
      <c r="A234" s="7" t="inlineStr">
        <is>
          <t>NTB</t>
        </is>
      </c>
      <c r="B234" s="7" t="inlineStr">
        <is>
          <t>Khánh Hòa</t>
        </is>
      </c>
      <c r="C234" s="7" t="n">
        <v>21479000</v>
      </c>
      <c r="D234" s="7" t="inlineStr">
        <is>
          <t>(KHO) Bắc Cam Ranh</t>
        </is>
      </c>
      <c r="E234" s="7" t="inlineStr">
        <is>
          <t>Shopee</t>
        </is>
      </c>
      <c r="F234" s="36" t="n">
        <v>159</v>
      </c>
      <c r="G234" s="36" t="n">
        <v>169</v>
      </c>
      <c r="H234" s="36" t="n">
        <v>155</v>
      </c>
      <c r="I234" s="36" t="n">
        <v>165</v>
      </c>
      <c r="J234" s="36" t="n">
        <v>130</v>
      </c>
      <c r="K234" s="28" t="n">
        <v>122</v>
      </c>
      <c r="L234" s="36" t="n">
        <v>84</v>
      </c>
      <c r="M234" s="36" t="n">
        <v>120</v>
      </c>
      <c r="N234" s="36" t="n">
        <v>197</v>
      </c>
      <c r="O234" s="36" t="n">
        <v>167</v>
      </c>
      <c r="P234" s="36" t="n">
        <v>136</v>
      </c>
      <c r="Q234" s="36" t="n">
        <v>114</v>
      </c>
      <c r="R234" s="28" t="n">
        <v>108</v>
      </c>
      <c r="S234" s="36" t="n">
        <v>122</v>
      </c>
      <c r="T234" s="36" t="n">
        <v>136</v>
      </c>
      <c r="U234" s="36" t="n">
        <v>243.27</v>
      </c>
      <c r="V234" s="36" t="n">
        <v>244.2</v>
      </c>
      <c r="W234" s="36" t="n">
        <v>240.71</v>
      </c>
      <c r="X234" s="36" t="n">
        <v>195.72</v>
      </c>
      <c r="Y234" s="28" t="n">
        <v>327.87</v>
      </c>
      <c r="Z234" s="36" t="n">
        <v>259.3</v>
      </c>
      <c r="AA234" s="36" t="n">
        <v>356.7</v>
      </c>
      <c r="AB234" s="36" t="n">
        <v>248.13</v>
      </c>
      <c r="AC234" s="36" t="n">
        <v>200.53</v>
      </c>
      <c r="AD234" s="36" t="n">
        <v>616</v>
      </c>
      <c r="AE234" s="36" t="n">
        <v>209.64</v>
      </c>
      <c r="AF234" s="28" t="n">
        <v>373.35</v>
      </c>
      <c r="AG234" s="36" t="n">
        <v>272.4</v>
      </c>
      <c r="AH234" s="37" t="n">
        <v>287.63</v>
      </c>
      <c r="AI234" s="37" t="n">
        <v>243.27</v>
      </c>
      <c r="AJ234" s="37" t="n">
        <v>244.2</v>
      </c>
      <c r="AK234" s="37" t="n">
        <v>324.75</v>
      </c>
      <c r="AL234" s="37" t="n">
        <v>351.27</v>
      </c>
      <c r="AM234" s="37" t="n">
        <v>327.87</v>
      </c>
      <c r="AN234" s="37" t="n">
        <v>259.3</v>
      </c>
      <c r="AO234" s="37" t="n">
        <v>287.63</v>
      </c>
      <c r="AP234" s="37" t="n">
        <v>303.47</v>
      </c>
      <c r="AQ234" s="37" t="n">
        <v>195.79</v>
      </c>
      <c r="AR234" s="37" t="n">
        <v>240.71</v>
      </c>
      <c r="AS234" s="37" t="n">
        <v>195.72</v>
      </c>
      <c r="AT234" s="37" t="n">
        <v>327.87</v>
      </c>
      <c r="AU234" s="37" t="n">
        <v>264.67</v>
      </c>
      <c r="AV234" s="37" t="n">
        <v>293.43</v>
      </c>
      <c r="AW234" s="37" t="n">
        <v>243.27</v>
      </c>
      <c r="AX234" s="37" t="n">
        <v>244.2</v>
      </c>
      <c r="AY234" s="37" t="n">
        <v>240.71</v>
      </c>
      <c r="AZ234" s="37" t="n">
        <v>195.72</v>
      </c>
      <c r="BA234" s="37" t="n">
        <v>252.5</v>
      </c>
      <c r="BB234" s="37" t="n">
        <v>220.12</v>
      </c>
      <c r="BC234" s="37" t="n">
        <v>112.12</v>
      </c>
      <c r="BD234" s="37" t="n">
        <v>199.28</v>
      </c>
      <c r="BE234" s="37" t="n">
        <v>232.66</v>
      </c>
      <c r="BF234" s="37" t="n">
        <v>229.35</v>
      </c>
      <c r="BG234" s="37" t="n">
        <v>190.3</v>
      </c>
      <c r="BH234" s="37" t="n">
        <v>312.4</v>
      </c>
      <c r="BI234" s="37" t="n">
        <v>203.21</v>
      </c>
      <c r="BJ234" s="37" t="n">
        <v>874.49</v>
      </c>
      <c r="BK234" s="37" t="n">
        <v>247.88</v>
      </c>
      <c r="BL234" s="37" t="n">
        <v>243.89</v>
      </c>
      <c r="BM234" s="37" t="n">
        <v>229.35</v>
      </c>
      <c r="BN234" s="37" t="n">
        <v>186.49</v>
      </c>
      <c r="BO234" s="37" t="n">
        <v>312.4</v>
      </c>
      <c r="BP234" s="37" t="n">
        <v>333.24</v>
      </c>
      <c r="BQ234" s="37" t="n">
        <v>492.21</v>
      </c>
      <c r="BR234" s="37" t="n">
        <v>231.72</v>
      </c>
      <c r="BS234" s="37" t="n">
        <v>232.66</v>
      </c>
      <c r="BT234" s="37" t="n">
        <v>229.35</v>
      </c>
      <c r="BU234" s="37" t="n">
        <v>232.78</v>
      </c>
      <c r="BV234" s="37" t="n">
        <v>250</v>
      </c>
      <c r="BW234" s="37" t="n">
        <v>246.95</v>
      </c>
      <c r="BX234" s="37" t="n">
        <v>273.96</v>
      </c>
      <c r="BY234" s="37" t="n">
        <v>231.72</v>
      </c>
      <c r="BZ234" s="37" t="n">
        <v>237.46</v>
      </c>
      <c r="CA234" s="37" t="n">
        <v>233.85</v>
      </c>
      <c r="CB234" s="37" t="n">
        <v>186.49</v>
      </c>
      <c r="CC234" s="37" t="n">
        <v>18402.12999999999</v>
      </c>
    </row>
    <row r="235" ht="15.75" customHeight="1" s="57">
      <c r="A235" s="7" t="inlineStr">
        <is>
          <t>NTB</t>
        </is>
      </c>
      <c r="B235" s="7" t="inlineStr">
        <is>
          <t>Khánh Hòa</t>
        </is>
      </c>
      <c r="C235" s="7" t="n">
        <v>21479000</v>
      </c>
      <c r="D235" s="7" t="inlineStr">
        <is>
          <t>(KHO) Bắc Cam Ranh</t>
        </is>
      </c>
      <c r="E235" s="7" t="inlineStr">
        <is>
          <t>Shopee-Bulky</t>
        </is>
      </c>
      <c r="F235" s="36" t="n">
        <v>8.970000000000001</v>
      </c>
      <c r="G235" s="36" t="n">
        <v>9.609999999999999</v>
      </c>
      <c r="H235" s="36" t="n">
        <v>14.09</v>
      </c>
      <c r="I235" s="36" t="n">
        <v>7.04</v>
      </c>
      <c r="J235" s="36" t="n">
        <v>8.970000000000001</v>
      </c>
      <c r="K235" s="28" t="n">
        <v>9.609999999999999</v>
      </c>
      <c r="L235" s="36" t="n">
        <v>5.12</v>
      </c>
      <c r="M235" s="36" t="n">
        <v>13.45</v>
      </c>
      <c r="N235" s="36" t="n">
        <v>12.17</v>
      </c>
      <c r="O235" s="36" t="n">
        <v>7.68</v>
      </c>
      <c r="P235" s="36" t="n">
        <v>6.4</v>
      </c>
      <c r="Q235" s="36" t="n">
        <v>8.970000000000001</v>
      </c>
      <c r="R235" s="28" t="n">
        <v>8.970000000000001</v>
      </c>
      <c r="S235" s="36" t="n">
        <v>10.25</v>
      </c>
      <c r="T235" s="36" t="n">
        <v>14.09</v>
      </c>
      <c r="U235" s="36" t="n">
        <v>8.9</v>
      </c>
      <c r="V235" s="36" t="n">
        <v>8.619999999999999</v>
      </c>
      <c r="W235" s="36" t="n">
        <v>12.04</v>
      </c>
      <c r="X235" s="36" t="n">
        <v>6.65</v>
      </c>
      <c r="Y235" s="28" t="n">
        <v>13.13</v>
      </c>
      <c r="Z235" s="36" t="n">
        <v>10.23</v>
      </c>
      <c r="AA235" s="36" t="n">
        <v>9.91</v>
      </c>
      <c r="AB235" s="36" t="n">
        <v>10.12</v>
      </c>
      <c r="AC235" s="36" t="n">
        <v>10.72</v>
      </c>
      <c r="AD235" s="36" t="n">
        <v>29.78</v>
      </c>
      <c r="AE235" s="36" t="n">
        <v>17.06</v>
      </c>
      <c r="AF235" s="28" t="n">
        <v>25.87</v>
      </c>
      <c r="AG235" s="36" t="n">
        <v>14.63</v>
      </c>
      <c r="AH235" s="37" t="n">
        <v>10.15</v>
      </c>
      <c r="AI235" s="37" t="n">
        <v>9.91</v>
      </c>
      <c r="AJ235" s="37" t="n">
        <v>9.77</v>
      </c>
      <c r="AK235" s="37" t="n">
        <v>22.16</v>
      </c>
      <c r="AL235" s="37" t="n">
        <v>11.2</v>
      </c>
      <c r="AM235" s="37" t="n">
        <v>16.12</v>
      </c>
      <c r="AN235" s="37" t="n">
        <v>10.09</v>
      </c>
      <c r="AO235" s="37" t="n">
        <v>9.859999999999999</v>
      </c>
      <c r="AP235" s="37" t="n">
        <v>13.58</v>
      </c>
      <c r="AQ235" s="37" t="n">
        <v>13.35</v>
      </c>
      <c r="AR235" s="37" t="n">
        <v>10.91</v>
      </c>
      <c r="AS235" s="37" t="n">
        <v>5.84</v>
      </c>
      <c r="AT235" s="37" t="n">
        <v>12</v>
      </c>
      <c r="AU235" s="37" t="n">
        <v>19.66</v>
      </c>
      <c r="AV235" s="37" t="n">
        <v>20.45</v>
      </c>
      <c r="AW235" s="37" t="n">
        <v>9.98</v>
      </c>
      <c r="AX235" s="37" t="n">
        <v>9.359999999999999</v>
      </c>
      <c r="AY235" s="37" t="n">
        <v>10.44</v>
      </c>
      <c r="AZ235" s="37" t="n">
        <v>5.6</v>
      </c>
      <c r="BA235" s="37" t="n">
        <v>10.94</v>
      </c>
      <c r="BB235" s="37" t="n">
        <v>10.27</v>
      </c>
      <c r="BC235" s="37" t="n">
        <v>3.54</v>
      </c>
      <c r="BD235" s="37" t="n">
        <v>8.720000000000001</v>
      </c>
      <c r="BE235" s="37" t="n">
        <v>10.83</v>
      </c>
      <c r="BF235" s="37" t="n">
        <v>9.460000000000001</v>
      </c>
      <c r="BG235" s="37" t="n">
        <v>7.59</v>
      </c>
      <c r="BH235" s="37" t="n">
        <v>14.01</v>
      </c>
      <c r="BI235" s="37" t="n">
        <v>11.92</v>
      </c>
      <c r="BJ235" s="37" t="n">
        <v>47.08</v>
      </c>
      <c r="BK235" s="37" t="n">
        <v>25.44</v>
      </c>
      <c r="BL235" s="37" t="n">
        <v>13.08</v>
      </c>
      <c r="BM235" s="37" t="n">
        <v>9.9</v>
      </c>
      <c r="BN235" s="37" t="n">
        <v>7.4</v>
      </c>
      <c r="BO235" s="37" t="n">
        <v>16.41</v>
      </c>
      <c r="BP235" s="37" t="n">
        <v>23.76</v>
      </c>
      <c r="BQ235" s="37" t="n">
        <v>17.36</v>
      </c>
      <c r="BR235" s="37" t="n">
        <v>11.34</v>
      </c>
      <c r="BS235" s="37" t="n">
        <v>10.83</v>
      </c>
      <c r="BT235" s="37" t="n">
        <v>9.460000000000001</v>
      </c>
      <c r="BU235" s="37" t="n">
        <v>10.99</v>
      </c>
      <c r="BV235" s="37" t="n">
        <v>14.85</v>
      </c>
      <c r="BW235" s="37" t="n">
        <v>11.92</v>
      </c>
      <c r="BX235" s="37" t="n">
        <v>11.55</v>
      </c>
      <c r="BY235" s="37" t="n">
        <v>11.34</v>
      </c>
      <c r="BZ235" s="37" t="n">
        <v>19.42</v>
      </c>
      <c r="CA235" s="37" t="n">
        <v>11.26</v>
      </c>
      <c r="CB235" s="37" t="n">
        <v>7.19</v>
      </c>
      <c r="CC235" s="37" t="n">
        <v>931.3400000000004</v>
      </c>
    </row>
    <row r="236" ht="15.75" customHeight="1" s="57">
      <c r="A236" s="7" t="inlineStr">
        <is>
          <t>NTB</t>
        </is>
      </c>
      <c r="B236" s="7" t="inlineStr">
        <is>
          <t>Khánh Hòa</t>
        </is>
      </c>
      <c r="C236" s="7" t="n">
        <v>21479000</v>
      </c>
      <c r="D236" s="7" t="inlineStr">
        <is>
          <t>(KHO) Bắc Cam Ranh</t>
        </is>
      </c>
      <c r="E236" s="7" t="inlineStr">
        <is>
          <t>Shopee-Bulky (10-15kg)</t>
        </is>
      </c>
      <c r="F236" s="36" t="n">
        <v>5.03</v>
      </c>
      <c r="G236" s="36" t="n">
        <v>5.39</v>
      </c>
      <c r="H236" s="36" t="n">
        <v>7.91</v>
      </c>
      <c r="I236" s="36" t="n">
        <v>3.96</v>
      </c>
      <c r="J236" s="36" t="n">
        <v>5.03</v>
      </c>
      <c r="K236" s="28" t="n">
        <v>5.39</v>
      </c>
      <c r="L236" s="36" t="n">
        <v>2.88</v>
      </c>
      <c r="M236" s="36" t="n">
        <v>7.55</v>
      </c>
      <c r="N236" s="36" t="n">
        <v>6.83</v>
      </c>
      <c r="O236" s="36" t="n">
        <v>4.32</v>
      </c>
      <c r="P236" s="36" t="n">
        <v>3.6</v>
      </c>
      <c r="Q236" s="36" t="n">
        <v>5.03</v>
      </c>
      <c r="R236" s="28" t="n">
        <v>5.03</v>
      </c>
      <c r="S236" s="36" t="n">
        <v>5.75</v>
      </c>
      <c r="T236" s="36" t="n">
        <v>7.91</v>
      </c>
      <c r="U236" s="36" t="n">
        <v>5.33</v>
      </c>
      <c r="V236" s="36" t="n">
        <v>5.1</v>
      </c>
      <c r="W236" s="36" t="n">
        <v>6.58</v>
      </c>
      <c r="X236" s="36" t="n">
        <v>3.7</v>
      </c>
      <c r="Y236" s="28" t="n">
        <v>7.5</v>
      </c>
      <c r="Z236" s="36" t="n">
        <v>5.86</v>
      </c>
      <c r="AA236" s="36" t="n">
        <v>5.52</v>
      </c>
      <c r="AB236" s="36" t="n">
        <v>5.78</v>
      </c>
      <c r="AC236" s="36" t="n">
        <v>5.99</v>
      </c>
      <c r="AD236" s="36" t="n">
        <v>22.32</v>
      </c>
      <c r="AE236" s="36" t="n">
        <v>9.27</v>
      </c>
      <c r="AF236" s="28" t="n">
        <v>13.68</v>
      </c>
      <c r="AG236" s="36" t="n">
        <v>8.16</v>
      </c>
      <c r="AH236" s="37" t="n">
        <v>5.78</v>
      </c>
      <c r="AI236" s="37" t="n">
        <v>5.58</v>
      </c>
      <c r="AJ236" s="37" t="n">
        <v>5.47</v>
      </c>
      <c r="AK236" s="37" t="n">
        <v>12.65</v>
      </c>
      <c r="AL236" s="37" t="n">
        <v>6.36</v>
      </c>
      <c r="AM236" s="37" t="n">
        <v>9.119999999999999</v>
      </c>
      <c r="AN236" s="37" t="n">
        <v>5.78</v>
      </c>
      <c r="AO236" s="37" t="n">
        <v>5.57</v>
      </c>
      <c r="AP236" s="37" t="n">
        <v>7.21</v>
      </c>
      <c r="AQ236" s="37" t="n">
        <v>7.58</v>
      </c>
      <c r="AR236" s="37" t="n">
        <v>5.9</v>
      </c>
      <c r="AS236" s="37" t="n">
        <v>3.25</v>
      </c>
      <c r="AT236" s="37" t="n">
        <v>6.79</v>
      </c>
      <c r="AU236" s="37" t="n">
        <v>11.23</v>
      </c>
      <c r="AV236" s="37" t="n">
        <v>11.65</v>
      </c>
      <c r="AW236" s="37" t="n">
        <v>5.65</v>
      </c>
      <c r="AX236" s="37" t="n">
        <v>5.28</v>
      </c>
      <c r="AY236" s="37" t="n">
        <v>5.68</v>
      </c>
      <c r="AZ236" s="37" t="n">
        <v>3.14</v>
      </c>
      <c r="BA236" s="37" t="n">
        <v>6.19</v>
      </c>
      <c r="BB236" s="37" t="n">
        <v>5.94</v>
      </c>
      <c r="BC236" s="37" t="n">
        <v>2</v>
      </c>
      <c r="BD236" s="37" t="n">
        <v>4.73</v>
      </c>
      <c r="BE236" s="37" t="n">
        <v>6.1</v>
      </c>
      <c r="BF236" s="37" t="n">
        <v>5.2</v>
      </c>
      <c r="BG236" s="37" t="n">
        <v>4.25</v>
      </c>
      <c r="BH236" s="37" t="n">
        <v>8.130000000000001</v>
      </c>
      <c r="BI236" s="37" t="n">
        <v>6.9</v>
      </c>
      <c r="BJ236" s="37" t="n">
        <v>30.6</v>
      </c>
      <c r="BK236" s="37" t="n">
        <v>14.27</v>
      </c>
      <c r="BL236" s="37" t="n">
        <v>7.59</v>
      </c>
      <c r="BM236" s="37" t="n">
        <v>5.52</v>
      </c>
      <c r="BN236" s="37" t="n">
        <v>4.17</v>
      </c>
      <c r="BO236" s="37" t="n">
        <v>9.140000000000001</v>
      </c>
      <c r="BP236" s="37" t="n">
        <v>13.32</v>
      </c>
      <c r="BQ236" s="37" t="n">
        <v>9.800000000000001</v>
      </c>
      <c r="BR236" s="37" t="n">
        <v>6.55</v>
      </c>
      <c r="BS236" s="37" t="n">
        <v>6.1</v>
      </c>
      <c r="BT236" s="37" t="n">
        <v>5.2</v>
      </c>
      <c r="BU236" s="37" t="n">
        <v>6.32</v>
      </c>
      <c r="BV236" s="37" t="n">
        <v>8.4</v>
      </c>
      <c r="BW236" s="37" t="n">
        <v>6.9</v>
      </c>
      <c r="BX236" s="37" t="n">
        <v>6.6</v>
      </c>
      <c r="BY236" s="37" t="n">
        <v>6.55</v>
      </c>
      <c r="BZ236" s="37" t="n">
        <v>10.81</v>
      </c>
      <c r="CA236" s="37" t="n">
        <v>6.45</v>
      </c>
      <c r="CB236" s="37" t="n">
        <v>4.07</v>
      </c>
      <c r="CC236" s="37" t="n">
        <v>533.87</v>
      </c>
    </row>
    <row r="237" ht="15.75" customHeight="1" s="57">
      <c r="A237" s="7" t="inlineStr">
        <is>
          <t>NTB</t>
        </is>
      </c>
      <c r="B237" s="7" t="inlineStr">
        <is>
          <t>Khánh Hòa</t>
        </is>
      </c>
      <c r="C237" s="7" t="n">
        <v>21479000</v>
      </c>
      <c r="D237" s="7" t="inlineStr">
        <is>
          <t>(KHO) Bắc Cam Ranh</t>
        </is>
      </c>
      <c r="E237" s="7" t="inlineStr">
        <is>
          <t>TTS</t>
        </is>
      </c>
      <c r="F237" s="36" t="n">
        <v>140</v>
      </c>
      <c r="G237" s="36" t="n">
        <v>133</v>
      </c>
      <c r="H237" s="36" t="n">
        <v>95</v>
      </c>
      <c r="I237" s="36" t="n">
        <v>84</v>
      </c>
      <c r="J237" s="36" t="n">
        <v>91</v>
      </c>
      <c r="K237" s="28" t="n">
        <v>97</v>
      </c>
      <c r="L237" s="36" t="n">
        <v>84</v>
      </c>
      <c r="M237" s="36" t="n">
        <v>60</v>
      </c>
      <c r="N237" s="36" t="n">
        <v>121</v>
      </c>
      <c r="O237" s="36" t="n">
        <v>113</v>
      </c>
      <c r="P237" s="36" t="n">
        <v>94</v>
      </c>
      <c r="Q237" s="36" t="n">
        <v>84</v>
      </c>
      <c r="R237" s="28" t="n">
        <v>87</v>
      </c>
      <c r="S237" s="36" t="n">
        <v>97</v>
      </c>
      <c r="T237" s="36" t="n">
        <v>140</v>
      </c>
      <c r="U237" s="36" t="n">
        <v>88.95999999999999</v>
      </c>
      <c r="V237" s="36" t="n">
        <v>87.31</v>
      </c>
      <c r="W237" s="36" t="n">
        <v>85.40000000000001</v>
      </c>
      <c r="X237" s="36" t="n">
        <v>68.83</v>
      </c>
      <c r="Y237" s="28" t="n">
        <v>100.32</v>
      </c>
      <c r="Z237" s="36" t="n">
        <v>85.04000000000001</v>
      </c>
      <c r="AA237" s="36" t="n">
        <v>94.61999999999999</v>
      </c>
      <c r="AB237" s="36" t="n">
        <v>105.1</v>
      </c>
      <c r="AC237" s="36" t="n">
        <v>110.83</v>
      </c>
      <c r="AD237" s="36" t="n">
        <v>122.05</v>
      </c>
      <c r="AE237" s="36" t="n">
        <v>80.06</v>
      </c>
      <c r="AF237" s="28" t="n">
        <v>103.3</v>
      </c>
      <c r="AG237" s="36" t="n">
        <v>86.98</v>
      </c>
      <c r="AH237" s="37" t="n">
        <v>86.06</v>
      </c>
      <c r="AI237" s="37" t="n">
        <v>98.38</v>
      </c>
      <c r="AJ237" s="37" t="n">
        <v>105.72</v>
      </c>
      <c r="AK237" s="37" t="n">
        <v>104.28</v>
      </c>
      <c r="AL237" s="37" t="n">
        <v>74.17</v>
      </c>
      <c r="AM237" s="37" t="n">
        <v>101.86</v>
      </c>
      <c r="AN237" s="37" t="n">
        <v>87.84999999999999</v>
      </c>
      <c r="AO237" s="37" t="n">
        <v>87.52</v>
      </c>
      <c r="AP237" s="37" t="n">
        <v>84.85000000000001</v>
      </c>
      <c r="AQ237" s="37" t="n">
        <v>85.60000000000001</v>
      </c>
      <c r="AR237" s="37" t="n">
        <v>84.09</v>
      </c>
      <c r="AS237" s="37" t="n">
        <v>69.06</v>
      </c>
      <c r="AT237" s="37" t="n">
        <v>110.42</v>
      </c>
      <c r="AU237" s="37" t="n">
        <v>99.89</v>
      </c>
      <c r="AV237" s="37" t="n">
        <v>88.76000000000001</v>
      </c>
      <c r="AW237" s="37" t="n">
        <v>83.87</v>
      </c>
      <c r="AX237" s="37" t="n">
        <v>83.41</v>
      </c>
      <c r="AY237" s="37" t="n">
        <v>83.01000000000001</v>
      </c>
      <c r="AZ237" s="37" t="n">
        <v>69.09</v>
      </c>
      <c r="BA237" s="37" t="n">
        <v>99.5</v>
      </c>
      <c r="BB237" s="37" t="n">
        <v>92.88</v>
      </c>
      <c r="BC237" s="37" t="n">
        <v>54.94</v>
      </c>
      <c r="BD237" s="37" t="n">
        <v>80.2</v>
      </c>
      <c r="BE237" s="37" t="n">
        <v>94.34999999999999</v>
      </c>
      <c r="BF237" s="37" t="n">
        <v>91.67</v>
      </c>
      <c r="BG237" s="37" t="n">
        <v>74.23</v>
      </c>
      <c r="BH237" s="37" t="n">
        <v>110.26</v>
      </c>
      <c r="BI237" s="37" t="n">
        <v>92.88</v>
      </c>
      <c r="BJ237" s="37" t="n">
        <v>92.86</v>
      </c>
      <c r="BK237" s="37" t="n">
        <v>94.22</v>
      </c>
      <c r="BL237" s="37" t="n">
        <v>94.34999999999999</v>
      </c>
      <c r="BM237" s="37" t="n">
        <v>91.67</v>
      </c>
      <c r="BN237" s="37" t="n">
        <v>74.23</v>
      </c>
      <c r="BO237" s="37" t="n">
        <v>110.26</v>
      </c>
      <c r="BP237" s="37" t="n">
        <v>92.88</v>
      </c>
      <c r="BQ237" s="37" t="n">
        <v>91.8</v>
      </c>
      <c r="BR237" s="37" t="n">
        <v>94.22</v>
      </c>
      <c r="BS237" s="37" t="n">
        <v>94.34999999999999</v>
      </c>
      <c r="BT237" s="37" t="n">
        <v>91.67</v>
      </c>
      <c r="BU237" s="37" t="n">
        <v>74.23</v>
      </c>
      <c r="BV237" s="37" t="n">
        <v>110.26</v>
      </c>
      <c r="BW237" s="37" t="n">
        <v>92.88</v>
      </c>
      <c r="BX237" s="37" t="n">
        <v>91.8</v>
      </c>
      <c r="BY237" s="37" t="n">
        <v>94.22</v>
      </c>
      <c r="BZ237" s="37" t="n">
        <v>94.34999999999999</v>
      </c>
      <c r="CA237" s="37" t="n">
        <v>91.67</v>
      </c>
      <c r="CB237" s="37" t="n">
        <v>74.23</v>
      </c>
      <c r="CC237" s="37" t="n">
        <v>6963.750000000002</v>
      </c>
    </row>
    <row r="238" ht="15.75" customHeight="1" s="57">
      <c r="A238" s="7" t="inlineStr">
        <is>
          <t>NTB</t>
        </is>
      </c>
      <c r="B238" s="7" t="inlineStr">
        <is>
          <t>Khánh Hòa</t>
        </is>
      </c>
      <c r="C238" s="7" t="n">
        <v>21479000</v>
      </c>
      <c r="D238" s="7" t="inlineStr">
        <is>
          <t>(KHO) Bắc Cam Ranh</t>
        </is>
      </c>
      <c r="E238" s="7" t="inlineStr">
        <is>
          <t>TTS-Bulky</t>
        </is>
      </c>
      <c r="F238" s="36" t="n">
        <v>2</v>
      </c>
      <c r="G238" s="36" t="n">
        <v>4</v>
      </c>
      <c r="H238" s="36" t="n">
        <v>0</v>
      </c>
      <c r="I238" s="36" t="n">
        <v>2</v>
      </c>
      <c r="J238" s="36" t="n">
        <v>2</v>
      </c>
      <c r="K238" s="28" t="n">
        <v>1</v>
      </c>
      <c r="L238" s="36" t="n">
        <v>0</v>
      </c>
      <c r="M238" s="36" t="n">
        <v>2</v>
      </c>
      <c r="N238" s="36" t="n">
        <v>1</v>
      </c>
      <c r="O238" s="36" t="n">
        <v>0</v>
      </c>
      <c r="P238" s="36" t="n">
        <v>1</v>
      </c>
      <c r="Q238" s="36" t="n">
        <v>0</v>
      </c>
      <c r="R238" s="28" t="n">
        <v>1</v>
      </c>
      <c r="S238" s="36" t="n">
        <v>1</v>
      </c>
      <c r="T238" s="36" t="n">
        <v>0</v>
      </c>
      <c r="U238" s="36" t="n">
        <v>4.31</v>
      </c>
      <c r="V238" s="36" t="n">
        <v>4.13</v>
      </c>
      <c r="W238" s="36" t="n">
        <v>2.08</v>
      </c>
      <c r="X238" s="36" t="n">
        <v>1.56</v>
      </c>
      <c r="Y238" s="28" t="n">
        <v>2.65</v>
      </c>
      <c r="Z238" s="36" t="n">
        <v>1.95</v>
      </c>
      <c r="AA238" s="36" t="n">
        <v>2.21</v>
      </c>
      <c r="AB238" s="36" t="n">
        <v>2.36</v>
      </c>
      <c r="AC238" s="36" t="n">
        <v>2.57</v>
      </c>
      <c r="AD238" s="36" t="n">
        <v>3.22</v>
      </c>
      <c r="AE238" s="36" t="n">
        <v>1.71</v>
      </c>
      <c r="AF238" s="28" t="n">
        <v>2.52</v>
      </c>
      <c r="AG238" s="36" t="n">
        <v>2.02</v>
      </c>
      <c r="AH238" s="37" t="n">
        <v>2.02</v>
      </c>
      <c r="AI238" s="37" t="n">
        <v>2.1</v>
      </c>
      <c r="AJ238" s="37" t="n">
        <v>2.31</v>
      </c>
      <c r="AK238" s="37" t="n">
        <v>2.23</v>
      </c>
      <c r="AL238" s="37" t="n">
        <v>1.58</v>
      </c>
      <c r="AM238" s="37" t="n">
        <v>2.49</v>
      </c>
      <c r="AN238" s="37" t="n">
        <v>2.08</v>
      </c>
      <c r="AO238" s="37" t="n">
        <v>2.02</v>
      </c>
      <c r="AP238" s="37" t="n">
        <v>2.05</v>
      </c>
      <c r="AQ238" s="37" t="n">
        <v>2.05</v>
      </c>
      <c r="AR238" s="37" t="n">
        <v>2.05</v>
      </c>
      <c r="AS238" s="37" t="n">
        <v>1.51</v>
      </c>
      <c r="AT238" s="37" t="n">
        <v>2.62</v>
      </c>
      <c r="AU238" s="37" t="n">
        <v>2.36</v>
      </c>
      <c r="AV238" s="37" t="n">
        <v>2.1</v>
      </c>
      <c r="AW238" s="37" t="n">
        <v>2.02</v>
      </c>
      <c r="AX238" s="37" t="n">
        <v>2.02</v>
      </c>
      <c r="AY238" s="37" t="n">
        <v>2.05</v>
      </c>
      <c r="AZ238" s="37" t="n">
        <v>1.51</v>
      </c>
      <c r="BA238" s="37" t="n">
        <v>2.31</v>
      </c>
      <c r="BB238" s="37" t="n">
        <v>0.54</v>
      </c>
      <c r="BC238" s="37" t="n">
        <v>0.34</v>
      </c>
      <c r="BD238" s="37" t="n">
        <v>0.39</v>
      </c>
      <c r="BE238" s="37" t="n">
        <v>0.54</v>
      </c>
      <c r="BF238" s="37" t="n">
        <v>0.57</v>
      </c>
      <c r="BG238" s="37" t="n">
        <v>0.39</v>
      </c>
      <c r="BH238" s="37" t="n">
        <v>0.73</v>
      </c>
      <c r="BI238" s="37" t="n">
        <v>0.6</v>
      </c>
      <c r="BJ238" s="37" t="n">
        <v>0.75</v>
      </c>
      <c r="BK238" s="37" t="n">
        <v>0.57</v>
      </c>
      <c r="BL238" s="37" t="n">
        <v>0.54</v>
      </c>
      <c r="BM238" s="37" t="n">
        <v>0.57</v>
      </c>
      <c r="BN238" s="37" t="n">
        <v>0.39</v>
      </c>
      <c r="BO238" s="37" t="n">
        <v>0.88</v>
      </c>
      <c r="BP238" s="37" t="n">
        <v>0.67</v>
      </c>
      <c r="BQ238" s="37" t="n">
        <v>0.57</v>
      </c>
      <c r="BR238" s="37" t="n">
        <v>0.57</v>
      </c>
      <c r="BS238" s="37" t="n">
        <v>0.54</v>
      </c>
      <c r="BT238" s="37" t="n">
        <v>0.57</v>
      </c>
      <c r="BU238" s="37" t="n">
        <v>0.39</v>
      </c>
      <c r="BV238" s="37" t="n">
        <v>0.67</v>
      </c>
      <c r="BW238" s="37" t="n">
        <v>0.6</v>
      </c>
      <c r="BX238" s="37" t="n">
        <v>0.57</v>
      </c>
      <c r="BY238" s="37" t="n">
        <v>0.57</v>
      </c>
      <c r="BZ238" s="37" t="n">
        <v>0.54</v>
      </c>
      <c r="CA238" s="37" t="n">
        <v>0.57</v>
      </c>
      <c r="CB238" s="37" t="n">
        <v>0.39</v>
      </c>
      <c r="CC238" s="37" t="n">
        <v>106.79</v>
      </c>
    </row>
    <row r="239" ht="15.75" customHeight="1" s="57">
      <c r="A239" s="7" t="inlineStr">
        <is>
          <t>NTB</t>
        </is>
      </c>
      <c r="B239" s="7" t="inlineStr">
        <is>
          <t>Khánh Hòa</t>
        </is>
      </c>
      <c r="C239" s="7" t="n">
        <v>21498000</v>
      </c>
      <c r="D239" s="7" t="inlineStr">
        <is>
          <t>Kho Giao Hàng Nặng - Cam Ranh - Khánh Hoà</t>
        </is>
      </c>
      <c r="E239" s="7" t="inlineStr">
        <is>
          <t>SME</t>
        </is>
      </c>
      <c r="F239" s="36" t="n">
        <v>0</v>
      </c>
      <c r="G239" s="36" t="n">
        <v>0</v>
      </c>
      <c r="H239" s="36" t="n">
        <v>0</v>
      </c>
      <c r="I239" s="36" t="n">
        <v>0</v>
      </c>
      <c r="J239" s="36" t="n">
        <v>0</v>
      </c>
      <c r="K239" s="28" t="n">
        <v>1</v>
      </c>
      <c r="L239" s="36" t="n">
        <v>0</v>
      </c>
      <c r="M239" s="36" t="n">
        <v>0</v>
      </c>
      <c r="N239" s="36" t="n">
        <v>0</v>
      </c>
      <c r="O239" s="36" t="n">
        <v>0</v>
      </c>
      <c r="P239" s="36" t="n">
        <v>0</v>
      </c>
      <c r="Q239" s="36" t="n">
        <v>0</v>
      </c>
      <c r="R239" s="28" t="n">
        <v>1</v>
      </c>
      <c r="S239" s="36" t="n">
        <v>0</v>
      </c>
      <c r="T239" s="36" t="n">
        <v>0</v>
      </c>
      <c r="U239" s="36" t="n">
        <v>11.21</v>
      </c>
      <c r="V239" s="36" t="n">
        <v>11.77</v>
      </c>
      <c r="W239" s="36" t="n">
        <v>11.39</v>
      </c>
      <c r="X239" s="36" t="n">
        <v>9.390000000000001</v>
      </c>
      <c r="Y239" s="28" t="n">
        <v>12.56</v>
      </c>
      <c r="Z239" s="36" t="n">
        <v>11.63</v>
      </c>
      <c r="AA239" s="36" t="n">
        <v>11.35</v>
      </c>
      <c r="AB239" s="36" t="n">
        <v>11.21</v>
      </c>
      <c r="AC239" s="36" t="n">
        <v>11.77</v>
      </c>
      <c r="AD239" s="36" t="n">
        <v>14.55</v>
      </c>
      <c r="AE239" s="36" t="n">
        <v>9.390000000000001</v>
      </c>
      <c r="AF239" s="28" t="n">
        <v>12.56</v>
      </c>
      <c r="AG239" s="36" t="n">
        <v>11.63</v>
      </c>
      <c r="AH239" s="37" t="n">
        <v>11.35</v>
      </c>
      <c r="AI239" s="37" t="n">
        <v>11.21</v>
      </c>
      <c r="AJ239" s="37" t="n">
        <v>11.77</v>
      </c>
      <c r="AK239" s="37" t="n">
        <v>11.39</v>
      </c>
      <c r="AL239" s="37" t="n">
        <v>9.390000000000001</v>
      </c>
      <c r="AM239" s="37" t="n">
        <v>12.56</v>
      </c>
      <c r="AN239" s="37" t="n">
        <v>11.63</v>
      </c>
      <c r="AO239" s="37" t="n">
        <v>11.35</v>
      </c>
      <c r="AP239" s="37" t="n">
        <v>11.21</v>
      </c>
      <c r="AQ239" s="37" t="n">
        <v>11.77</v>
      </c>
      <c r="AR239" s="37" t="n">
        <v>11.39</v>
      </c>
      <c r="AS239" s="37" t="n">
        <v>9.390000000000001</v>
      </c>
      <c r="AT239" s="37" t="n">
        <v>12.56</v>
      </c>
      <c r="AU239" s="37" t="n">
        <v>11.63</v>
      </c>
      <c r="AV239" s="37" t="n">
        <v>11.35</v>
      </c>
      <c r="AW239" s="37" t="n">
        <v>11.21</v>
      </c>
      <c r="AX239" s="37" t="n">
        <v>11.77</v>
      </c>
      <c r="AY239" s="37" t="n">
        <v>11.39</v>
      </c>
      <c r="AZ239" s="37" t="n">
        <v>9.390000000000001</v>
      </c>
      <c r="BA239" s="37" t="n">
        <v>11.35</v>
      </c>
      <c r="BB239" s="37" t="n">
        <v>10.1</v>
      </c>
      <c r="BC239" s="37" t="n">
        <v>6.279999999999999</v>
      </c>
      <c r="BD239" s="37" t="n">
        <v>6.239999999999999</v>
      </c>
      <c r="BE239" s="37" t="n">
        <v>10.75</v>
      </c>
      <c r="BF239" s="37" t="n">
        <v>10.28</v>
      </c>
      <c r="BG239" s="37" t="n">
        <v>9.540000000000001</v>
      </c>
      <c r="BH239" s="37" t="n">
        <v>12.7</v>
      </c>
      <c r="BI239" s="37" t="n">
        <v>11.77</v>
      </c>
      <c r="BJ239" s="37" t="n">
        <v>14.65</v>
      </c>
      <c r="BK239" s="37" t="n">
        <v>11.36</v>
      </c>
      <c r="BL239" s="37" t="n">
        <v>11.91</v>
      </c>
      <c r="BM239" s="37" t="n">
        <v>11.54</v>
      </c>
      <c r="BN239" s="37" t="n">
        <v>9.540000000000001</v>
      </c>
      <c r="BO239" s="37" t="n">
        <v>12.7</v>
      </c>
      <c r="BP239" s="37" t="n">
        <v>11.77</v>
      </c>
      <c r="BQ239" s="37" t="n">
        <v>11.49</v>
      </c>
      <c r="BR239" s="37" t="n">
        <v>11.36</v>
      </c>
      <c r="BS239" s="37" t="n">
        <v>11.91</v>
      </c>
      <c r="BT239" s="37" t="n">
        <v>11.54</v>
      </c>
      <c r="BU239" s="37" t="n">
        <v>9.540000000000001</v>
      </c>
      <c r="BV239" s="37" t="n">
        <v>12.7</v>
      </c>
      <c r="BW239" s="37" t="n">
        <v>11.77</v>
      </c>
      <c r="BX239" s="37" t="n">
        <v>11.49</v>
      </c>
      <c r="BY239" s="37" t="n">
        <v>11.36</v>
      </c>
      <c r="BZ239" s="37" t="n">
        <v>11.91</v>
      </c>
      <c r="CA239" s="37" t="n">
        <v>11.54</v>
      </c>
      <c r="CB239" s="37" t="n">
        <v>9.540000000000001</v>
      </c>
      <c r="CC239" s="37" t="n">
        <v>674.7499999999998</v>
      </c>
    </row>
    <row r="240" ht="15.75" customHeight="1" s="57">
      <c r="A240" s="7" t="inlineStr">
        <is>
          <t>NTB</t>
        </is>
      </c>
      <c r="B240" s="7" t="inlineStr">
        <is>
          <t>Khánh Hòa</t>
        </is>
      </c>
      <c r="C240" s="7" t="n">
        <v>21498000</v>
      </c>
      <c r="D240" s="7" t="inlineStr">
        <is>
          <t>Kho Giao Hàng Nặng - Cam Ranh - Khánh Hoà</t>
        </is>
      </c>
      <c r="E240" s="7" t="inlineStr">
        <is>
          <t>SME-Bulky</t>
        </is>
      </c>
      <c r="F240" s="36" t="n">
        <v>9</v>
      </c>
      <c r="G240" s="36" t="n">
        <v>15</v>
      </c>
      <c r="H240" s="36" t="n">
        <v>16</v>
      </c>
      <c r="I240" s="36" t="n">
        <v>22</v>
      </c>
      <c r="J240" s="36" t="n">
        <v>16</v>
      </c>
      <c r="K240" s="28" t="n">
        <v>20</v>
      </c>
      <c r="L240" s="36" t="n">
        <v>12</v>
      </c>
      <c r="M240" s="36" t="n">
        <v>14</v>
      </c>
      <c r="N240" s="36" t="n">
        <v>19</v>
      </c>
      <c r="O240" s="36" t="n">
        <v>16</v>
      </c>
      <c r="P240" s="36" t="n">
        <v>12</v>
      </c>
      <c r="Q240" s="36" t="n">
        <v>25</v>
      </c>
      <c r="R240" s="28" t="n">
        <v>10</v>
      </c>
      <c r="S240" s="36" t="n">
        <v>19</v>
      </c>
      <c r="T240" s="36" t="n">
        <v>18</v>
      </c>
      <c r="U240" s="36" t="n">
        <v>17.68</v>
      </c>
      <c r="V240" s="36" t="n">
        <v>17.91</v>
      </c>
      <c r="W240" s="36" t="n">
        <v>16.63</v>
      </c>
      <c r="X240" s="36" t="n">
        <v>11.08</v>
      </c>
      <c r="Y240" s="28" t="n">
        <v>20.29</v>
      </c>
      <c r="Z240" s="36" t="n">
        <v>19.56</v>
      </c>
      <c r="AA240" s="36" t="n">
        <v>18.6</v>
      </c>
      <c r="AB240" s="36" t="n">
        <v>17.68</v>
      </c>
      <c r="AC240" s="36" t="n">
        <v>17.91</v>
      </c>
      <c r="AD240" s="36" t="n">
        <v>15.71</v>
      </c>
      <c r="AE240" s="36" t="n">
        <v>11.08</v>
      </c>
      <c r="AF240" s="28" t="n">
        <v>20.29</v>
      </c>
      <c r="AG240" s="36" t="n">
        <v>19.56</v>
      </c>
      <c r="AH240" s="37" t="n">
        <v>18.6</v>
      </c>
      <c r="AI240" s="37" t="n">
        <v>17.68</v>
      </c>
      <c r="AJ240" s="37" t="n">
        <v>17.91</v>
      </c>
      <c r="AK240" s="37" t="n">
        <v>16.63</v>
      </c>
      <c r="AL240" s="37" t="n">
        <v>11.08</v>
      </c>
      <c r="AM240" s="37" t="n">
        <v>20.29</v>
      </c>
      <c r="AN240" s="37" t="n">
        <v>19.56</v>
      </c>
      <c r="AO240" s="37" t="n">
        <v>18.6</v>
      </c>
      <c r="AP240" s="37" t="n">
        <v>17.68</v>
      </c>
      <c r="AQ240" s="37" t="n">
        <v>17.91</v>
      </c>
      <c r="AR240" s="37" t="n">
        <v>16.63</v>
      </c>
      <c r="AS240" s="37" t="n">
        <v>11.08</v>
      </c>
      <c r="AT240" s="37" t="n">
        <v>20.29</v>
      </c>
      <c r="AU240" s="37" t="n">
        <v>19.56</v>
      </c>
      <c r="AV240" s="37" t="n">
        <v>18.6</v>
      </c>
      <c r="AW240" s="37" t="n">
        <v>17.68</v>
      </c>
      <c r="AX240" s="37" t="n">
        <v>17.91</v>
      </c>
      <c r="AY240" s="37" t="n">
        <v>16.63</v>
      </c>
      <c r="AZ240" s="37" t="n">
        <v>11.08</v>
      </c>
      <c r="BA240" s="37" t="n">
        <v>20.2</v>
      </c>
      <c r="BB240" s="37" t="n">
        <v>10.49</v>
      </c>
      <c r="BC240" s="37" t="n">
        <v>5.31</v>
      </c>
      <c r="BD240" s="37" t="n">
        <v>4.86</v>
      </c>
      <c r="BE240" s="37" t="n">
        <v>9.07</v>
      </c>
      <c r="BF240" s="37" t="n">
        <v>8.380000000000001</v>
      </c>
      <c r="BG240" s="37" t="n">
        <v>6.69</v>
      </c>
      <c r="BH240" s="37" t="n">
        <v>11.91</v>
      </c>
      <c r="BI240" s="37" t="n">
        <v>11.73</v>
      </c>
      <c r="BJ240" s="37" t="n">
        <v>10.21</v>
      </c>
      <c r="BK240" s="37" t="n">
        <v>10.49</v>
      </c>
      <c r="BL240" s="37" t="n">
        <v>10.72</v>
      </c>
      <c r="BM240" s="37" t="n">
        <v>9.76</v>
      </c>
      <c r="BN240" s="37" t="n">
        <v>6.69</v>
      </c>
      <c r="BO240" s="37" t="n">
        <v>11.91</v>
      </c>
      <c r="BP240" s="37" t="n">
        <v>11.73</v>
      </c>
      <c r="BQ240" s="37" t="n">
        <v>10.95</v>
      </c>
      <c r="BR240" s="37" t="n">
        <v>10.49</v>
      </c>
      <c r="BS240" s="37" t="n">
        <v>10.72</v>
      </c>
      <c r="BT240" s="37" t="n">
        <v>9.76</v>
      </c>
      <c r="BU240" s="37" t="n">
        <v>6.69</v>
      </c>
      <c r="BV240" s="37" t="n">
        <v>11.91</v>
      </c>
      <c r="BW240" s="37" t="n">
        <v>11.73</v>
      </c>
      <c r="BX240" s="37" t="n">
        <v>10.95</v>
      </c>
      <c r="BY240" s="37" t="n">
        <v>10.49</v>
      </c>
      <c r="BZ240" s="37" t="n">
        <v>10.72</v>
      </c>
      <c r="CA240" s="37" t="n">
        <v>9.76</v>
      </c>
      <c r="CB240" s="37" t="n">
        <v>6.69</v>
      </c>
      <c r="CC240" s="37" t="n">
        <v>1073.39</v>
      </c>
    </row>
    <row r="241" ht="15.75" customHeight="1" s="57">
      <c r="A241" s="7" t="inlineStr">
        <is>
          <t>NTB</t>
        </is>
      </c>
      <c r="B241" s="7" t="inlineStr">
        <is>
          <t>Khánh Hòa</t>
        </is>
      </c>
      <c r="C241" s="7" t="n">
        <v>21498000</v>
      </c>
      <c r="D241" s="7" t="inlineStr">
        <is>
          <t>Kho Giao Hàng Nặng - Cam Ranh - Khánh Hoà</t>
        </is>
      </c>
      <c r="E241" s="7" t="inlineStr">
        <is>
          <t>Shopee</t>
        </is>
      </c>
      <c r="F241" s="36" t="n">
        <v>0</v>
      </c>
      <c r="G241" s="36" t="n">
        <v>0</v>
      </c>
      <c r="H241" s="36" t="n">
        <v>0</v>
      </c>
      <c r="I241" s="36" t="n">
        <v>0</v>
      </c>
      <c r="J241" s="36" t="n">
        <v>0</v>
      </c>
      <c r="K241" s="28" t="n">
        <v>0</v>
      </c>
      <c r="L241" s="36" t="n">
        <v>0</v>
      </c>
      <c r="M241" s="36" t="n">
        <v>0</v>
      </c>
      <c r="N241" s="36" t="n">
        <v>0</v>
      </c>
      <c r="O241" s="36" t="n">
        <v>1</v>
      </c>
      <c r="P241" s="36" t="n">
        <v>0</v>
      </c>
      <c r="Q241" s="36" t="n">
        <v>0</v>
      </c>
      <c r="R241" s="28" t="n">
        <v>0</v>
      </c>
      <c r="S241" s="36" t="n">
        <v>0</v>
      </c>
      <c r="T241" s="36" t="n">
        <v>0</v>
      </c>
      <c r="U241" s="36" t="n">
        <v>0.25</v>
      </c>
      <c r="V241" s="36" t="n">
        <v>0.25</v>
      </c>
      <c r="W241" s="36" t="n">
        <v>0.25</v>
      </c>
      <c r="X241" s="36" t="n">
        <v>0.2</v>
      </c>
      <c r="Y241" s="28" t="n">
        <v>0.34</v>
      </c>
      <c r="Z241" s="36" t="n">
        <v>0.27</v>
      </c>
      <c r="AA241" s="36" t="n">
        <v>0.37</v>
      </c>
      <c r="AB241" s="36" t="n">
        <v>0.25</v>
      </c>
      <c r="AC241" s="36" t="n">
        <v>0.21</v>
      </c>
      <c r="AD241" s="36" t="n">
        <v>0.63</v>
      </c>
      <c r="AE241" s="36" t="n">
        <v>0.22</v>
      </c>
      <c r="AF241" s="28" t="n">
        <v>0.38</v>
      </c>
      <c r="AG241" s="36" t="n">
        <v>0.28</v>
      </c>
      <c r="AH241" s="37" t="n">
        <v>0.3</v>
      </c>
      <c r="AI241" s="37" t="n">
        <v>0.25</v>
      </c>
      <c r="AJ241" s="37" t="n">
        <v>0.25</v>
      </c>
      <c r="AK241" s="37" t="n">
        <v>0.33</v>
      </c>
      <c r="AL241" s="37" t="n">
        <v>0.36</v>
      </c>
      <c r="AM241" s="37" t="n">
        <v>0.34</v>
      </c>
      <c r="AN241" s="37" t="n">
        <v>0.27</v>
      </c>
      <c r="AO241" s="37" t="n">
        <v>0.3</v>
      </c>
      <c r="AP241" s="37" t="n">
        <v>0.31</v>
      </c>
      <c r="AQ241" s="37" t="n">
        <v>0.2</v>
      </c>
      <c r="AR241" s="37" t="n">
        <v>0.25</v>
      </c>
      <c r="AS241" s="37" t="n">
        <v>0.2</v>
      </c>
      <c r="AT241" s="37" t="n">
        <v>0.34</v>
      </c>
      <c r="AU241" s="37" t="n">
        <v>0.27</v>
      </c>
      <c r="AV241" s="37" t="n">
        <v>0.3</v>
      </c>
      <c r="AW241" s="37" t="n">
        <v>0.25</v>
      </c>
      <c r="AX241" s="37" t="n">
        <v>0.25</v>
      </c>
      <c r="AY241" s="37" t="n">
        <v>0.25</v>
      </c>
      <c r="AZ241" s="37" t="n">
        <v>0.2</v>
      </c>
      <c r="BA241" s="37" t="n">
        <v>0.26</v>
      </c>
      <c r="BB241" s="37" t="n">
        <v>0.23</v>
      </c>
      <c r="BC241" s="37" t="n">
        <v>0.11</v>
      </c>
      <c r="BD241" s="37" t="n">
        <v>0.2</v>
      </c>
      <c r="BE241" s="37" t="n">
        <v>0.24</v>
      </c>
      <c r="BF241" s="37" t="n">
        <v>0.24</v>
      </c>
      <c r="BG241" s="37" t="n">
        <v>0.2</v>
      </c>
      <c r="BH241" s="37" t="n">
        <v>0.32</v>
      </c>
      <c r="BI241" s="37" t="n">
        <v>0.21</v>
      </c>
      <c r="BJ241" s="37" t="n">
        <v>0.9</v>
      </c>
      <c r="BK241" s="37" t="n">
        <v>0.25</v>
      </c>
      <c r="BL241" s="37" t="n">
        <v>0.25</v>
      </c>
      <c r="BM241" s="37" t="n">
        <v>0.24</v>
      </c>
      <c r="BN241" s="37" t="n">
        <v>0.19</v>
      </c>
      <c r="BO241" s="37" t="n">
        <v>0.32</v>
      </c>
      <c r="BP241" s="37" t="n">
        <v>0.34</v>
      </c>
      <c r="BQ241" s="37" t="n">
        <v>0.5</v>
      </c>
      <c r="BR241" s="37" t="n">
        <v>0.24</v>
      </c>
      <c r="BS241" s="37" t="n">
        <v>0.24</v>
      </c>
      <c r="BT241" s="37" t="n">
        <v>0.24</v>
      </c>
      <c r="BU241" s="37" t="n">
        <v>0.24</v>
      </c>
      <c r="BV241" s="37" t="n">
        <v>0.26</v>
      </c>
      <c r="BW241" s="37" t="n">
        <v>0.25</v>
      </c>
      <c r="BX241" s="37" t="n">
        <v>0.28</v>
      </c>
      <c r="BY241" s="37" t="n">
        <v>0.24</v>
      </c>
      <c r="BZ241" s="37" t="n">
        <v>0.24</v>
      </c>
      <c r="CA241" s="37" t="n">
        <v>0.24</v>
      </c>
      <c r="CB241" s="37" t="n">
        <v>0.19</v>
      </c>
      <c r="CC241" s="37" t="n">
        <v>17.78</v>
      </c>
    </row>
    <row r="242" ht="15.75" customHeight="1" s="57">
      <c r="A242" s="7" t="inlineStr">
        <is>
          <t>NTB</t>
        </is>
      </c>
      <c r="B242" s="7" t="inlineStr">
        <is>
          <t>Khánh Hòa</t>
        </is>
      </c>
      <c r="C242" s="7" t="n">
        <v>21498000</v>
      </c>
      <c r="D242" s="7" t="inlineStr">
        <is>
          <t>Kho Giao Hàng Nặng - Cam Ranh - Khánh Hoà</t>
        </is>
      </c>
      <c r="E242" s="7" t="inlineStr">
        <is>
          <t>Shopee-Bulky</t>
        </is>
      </c>
      <c r="F242" s="36" t="n">
        <v>30.74</v>
      </c>
      <c r="G242" s="36" t="n">
        <v>46.11</v>
      </c>
      <c r="H242" s="36" t="n">
        <v>65.95999999999999</v>
      </c>
      <c r="I242" s="36" t="n">
        <v>59.56</v>
      </c>
      <c r="J242" s="36" t="n">
        <v>56.36</v>
      </c>
      <c r="K242" s="28" t="n">
        <v>27.54</v>
      </c>
      <c r="L242" s="36" t="n">
        <v>28.18</v>
      </c>
      <c r="M242" s="36" t="n">
        <v>46.11</v>
      </c>
      <c r="N242" s="36" t="n">
        <v>54.44</v>
      </c>
      <c r="O242" s="36" t="n">
        <v>46.75</v>
      </c>
      <c r="P242" s="36" t="n">
        <v>42.27</v>
      </c>
      <c r="Q242" s="36" t="n">
        <v>31.38</v>
      </c>
      <c r="R242" s="28" t="n">
        <v>50.59</v>
      </c>
      <c r="S242" s="36" t="n">
        <v>45.47</v>
      </c>
      <c r="T242" s="36" t="n">
        <v>40.35</v>
      </c>
      <c r="U242" s="36" t="n">
        <v>40.46</v>
      </c>
      <c r="V242" s="36" t="n">
        <v>39.22</v>
      </c>
      <c r="W242" s="36" t="n">
        <v>54.73</v>
      </c>
      <c r="X242" s="36" t="n">
        <v>30.22</v>
      </c>
      <c r="Y242" s="28" t="n">
        <v>59.7</v>
      </c>
      <c r="Z242" s="36" t="n">
        <v>46.53</v>
      </c>
      <c r="AA242" s="36" t="n">
        <v>45.07</v>
      </c>
      <c r="AB242" s="36" t="n">
        <v>46.02</v>
      </c>
      <c r="AC242" s="36" t="n">
        <v>48.73</v>
      </c>
      <c r="AD242" s="36" t="n">
        <v>135.43</v>
      </c>
      <c r="AE242" s="36" t="n">
        <v>77.55</v>
      </c>
      <c r="AF242" s="28" t="n">
        <v>117.65</v>
      </c>
      <c r="AG242" s="36" t="n">
        <v>66.51000000000001</v>
      </c>
      <c r="AH242" s="37" t="n">
        <v>46.17</v>
      </c>
      <c r="AI242" s="37" t="n">
        <v>45.07</v>
      </c>
      <c r="AJ242" s="37" t="n">
        <v>44.41</v>
      </c>
      <c r="AK242" s="37" t="n">
        <v>100.75</v>
      </c>
      <c r="AL242" s="37" t="n">
        <v>50.92</v>
      </c>
      <c r="AM242" s="37" t="n">
        <v>73.31</v>
      </c>
      <c r="AN242" s="37" t="n">
        <v>45.87</v>
      </c>
      <c r="AO242" s="37" t="n">
        <v>44.85</v>
      </c>
      <c r="AP242" s="37" t="n">
        <v>61.75</v>
      </c>
      <c r="AQ242" s="37" t="n">
        <v>60.73</v>
      </c>
      <c r="AR242" s="37" t="n">
        <v>49.6</v>
      </c>
      <c r="AS242" s="37" t="n">
        <v>26.56</v>
      </c>
      <c r="AT242" s="37" t="n">
        <v>54.58</v>
      </c>
      <c r="AU242" s="37" t="n">
        <v>89.41</v>
      </c>
      <c r="AV242" s="37" t="n">
        <v>92.98999999999999</v>
      </c>
      <c r="AW242" s="37" t="n">
        <v>45.36</v>
      </c>
      <c r="AX242" s="37" t="n">
        <v>42.58</v>
      </c>
      <c r="AY242" s="37" t="n">
        <v>47.48</v>
      </c>
      <c r="AZ242" s="37" t="n">
        <v>25.46</v>
      </c>
      <c r="BA242" s="37" t="n">
        <v>49.75</v>
      </c>
      <c r="BB242" s="37" t="n">
        <v>46.68</v>
      </c>
      <c r="BC242" s="37" t="n">
        <v>16.1</v>
      </c>
      <c r="BD242" s="37" t="n">
        <v>39.65</v>
      </c>
      <c r="BE242" s="37" t="n">
        <v>49.24</v>
      </c>
      <c r="BF242" s="37" t="n">
        <v>43.02</v>
      </c>
      <c r="BG242" s="37" t="n">
        <v>34.53</v>
      </c>
      <c r="BH242" s="37" t="n">
        <v>63.73</v>
      </c>
      <c r="BI242" s="37" t="n">
        <v>54.21</v>
      </c>
      <c r="BJ242" s="37" t="n">
        <v>214.08</v>
      </c>
      <c r="BK242" s="37" t="n">
        <v>115.67</v>
      </c>
      <c r="BL242" s="37" t="n">
        <v>59.48</v>
      </c>
      <c r="BM242" s="37" t="n">
        <v>45</v>
      </c>
      <c r="BN242" s="37" t="n">
        <v>33.66</v>
      </c>
      <c r="BO242" s="37" t="n">
        <v>74.63</v>
      </c>
      <c r="BP242" s="37" t="n">
        <v>108.06</v>
      </c>
      <c r="BQ242" s="37" t="n">
        <v>78.94</v>
      </c>
      <c r="BR242" s="37" t="n">
        <v>51.58</v>
      </c>
      <c r="BS242" s="37" t="n">
        <v>49.24</v>
      </c>
      <c r="BT242" s="37" t="n">
        <v>43.02</v>
      </c>
      <c r="BU242" s="37" t="n">
        <v>49.97</v>
      </c>
      <c r="BV242" s="37" t="n">
        <v>67.53</v>
      </c>
      <c r="BW242" s="37" t="n">
        <v>54.21</v>
      </c>
      <c r="BX242" s="37" t="n">
        <v>52.53</v>
      </c>
      <c r="BY242" s="37" t="n">
        <v>51.58</v>
      </c>
      <c r="BZ242" s="37" t="n">
        <v>88.31</v>
      </c>
      <c r="CA242" s="37" t="n">
        <v>51.21</v>
      </c>
      <c r="CB242" s="37" t="n">
        <v>32.7</v>
      </c>
      <c r="CC242" s="37" t="n">
        <v>4245.79</v>
      </c>
    </row>
    <row r="243" ht="15.75" customHeight="1" s="57">
      <c r="A243" s="7" t="inlineStr">
        <is>
          <t>NTB</t>
        </is>
      </c>
      <c r="B243" s="7" t="inlineStr">
        <is>
          <t>Khánh Hòa</t>
        </is>
      </c>
      <c r="C243" s="7" t="n">
        <v>21498000</v>
      </c>
      <c r="D243" s="7" t="inlineStr">
        <is>
          <t>Kho Giao Hàng Nặng - Cam Ranh - Khánh Hoà</t>
        </is>
      </c>
      <c r="E243" s="7" t="inlineStr">
        <is>
          <t>Shopee-Bulky (10-15kg)</t>
        </is>
      </c>
      <c r="F243" s="36" t="n">
        <v>17.26</v>
      </c>
      <c r="G243" s="36" t="n">
        <v>25.89</v>
      </c>
      <c r="H243" s="36" t="n">
        <v>37.04</v>
      </c>
      <c r="I243" s="36" t="n">
        <v>33.44</v>
      </c>
      <c r="J243" s="36" t="n">
        <v>31.64</v>
      </c>
      <c r="K243" s="28" t="n">
        <v>15.46</v>
      </c>
      <c r="L243" s="36" t="n">
        <v>15.82</v>
      </c>
      <c r="M243" s="36" t="n">
        <v>25.89</v>
      </c>
      <c r="N243" s="36" t="n">
        <v>30.56</v>
      </c>
      <c r="O243" s="36" t="n">
        <v>26.25</v>
      </c>
      <c r="P243" s="36" t="n">
        <v>23.73</v>
      </c>
      <c r="Q243" s="36" t="n">
        <v>17.62</v>
      </c>
      <c r="R243" s="28" t="n">
        <v>28.41</v>
      </c>
      <c r="S243" s="36" t="n">
        <v>25.53</v>
      </c>
      <c r="T243" s="36" t="n">
        <v>22.65</v>
      </c>
      <c r="U243" s="36" t="n">
        <v>24.22</v>
      </c>
      <c r="V243" s="36" t="n">
        <v>23.19</v>
      </c>
      <c r="W243" s="36" t="n">
        <v>29.92</v>
      </c>
      <c r="X243" s="36" t="n">
        <v>16.83</v>
      </c>
      <c r="Y243" s="28" t="n">
        <v>34.09</v>
      </c>
      <c r="Z243" s="36" t="n">
        <v>26.63</v>
      </c>
      <c r="AA243" s="36" t="n">
        <v>25.1</v>
      </c>
      <c r="AB243" s="36" t="n">
        <v>26.27</v>
      </c>
      <c r="AC243" s="36" t="n">
        <v>27.22</v>
      </c>
      <c r="AD243" s="36" t="n">
        <v>101.48</v>
      </c>
      <c r="AE243" s="36" t="n">
        <v>42.14</v>
      </c>
      <c r="AF243" s="28" t="n">
        <v>62.19</v>
      </c>
      <c r="AG243" s="36" t="n">
        <v>37.09</v>
      </c>
      <c r="AH243" s="37" t="n">
        <v>26.27</v>
      </c>
      <c r="AI243" s="37" t="n">
        <v>25.39</v>
      </c>
      <c r="AJ243" s="37" t="n">
        <v>24.88</v>
      </c>
      <c r="AK243" s="37" t="n">
        <v>57.51</v>
      </c>
      <c r="AL243" s="37" t="n">
        <v>28.9</v>
      </c>
      <c r="AM243" s="37" t="n">
        <v>41.48</v>
      </c>
      <c r="AN243" s="37" t="n">
        <v>26.27</v>
      </c>
      <c r="AO243" s="37" t="n">
        <v>25.31</v>
      </c>
      <c r="AP243" s="37" t="n">
        <v>32.78</v>
      </c>
      <c r="AQ243" s="37" t="n">
        <v>34.46</v>
      </c>
      <c r="AR243" s="37" t="n">
        <v>26.85</v>
      </c>
      <c r="AS243" s="37" t="n">
        <v>14.78</v>
      </c>
      <c r="AT243" s="37" t="n">
        <v>30.87</v>
      </c>
      <c r="AU243" s="37" t="n">
        <v>51.07</v>
      </c>
      <c r="AV243" s="37" t="n">
        <v>52.97</v>
      </c>
      <c r="AW243" s="37" t="n">
        <v>25.68</v>
      </c>
      <c r="AX243" s="37" t="n">
        <v>24</v>
      </c>
      <c r="AY243" s="37" t="n">
        <v>25.83</v>
      </c>
      <c r="AZ243" s="37" t="n">
        <v>14.27</v>
      </c>
      <c r="BA243" s="37" t="n">
        <v>28.17</v>
      </c>
      <c r="BB243" s="37" t="n">
        <v>27</v>
      </c>
      <c r="BC243" s="37" t="n">
        <v>9.07</v>
      </c>
      <c r="BD243" s="37" t="n">
        <v>21.51</v>
      </c>
      <c r="BE243" s="37" t="n">
        <v>27.73</v>
      </c>
      <c r="BF243" s="37" t="n">
        <v>23.63</v>
      </c>
      <c r="BG243" s="37" t="n">
        <v>19.32</v>
      </c>
      <c r="BH243" s="37" t="n">
        <v>36.95</v>
      </c>
      <c r="BI243" s="37" t="n">
        <v>31.39</v>
      </c>
      <c r="BJ243" s="37" t="n">
        <v>139.16</v>
      </c>
      <c r="BK243" s="37" t="n">
        <v>64.90000000000001</v>
      </c>
      <c r="BL243" s="37" t="n">
        <v>34.53</v>
      </c>
      <c r="BM243" s="37" t="n">
        <v>25.1</v>
      </c>
      <c r="BN243" s="37" t="n">
        <v>18.95</v>
      </c>
      <c r="BO243" s="37" t="n">
        <v>41.56</v>
      </c>
      <c r="BP243" s="37" t="n">
        <v>60.58</v>
      </c>
      <c r="BQ243" s="37" t="n">
        <v>44.56</v>
      </c>
      <c r="BR243" s="37" t="n">
        <v>29.78</v>
      </c>
      <c r="BS243" s="37" t="n">
        <v>27.73</v>
      </c>
      <c r="BT243" s="37" t="n">
        <v>23.63</v>
      </c>
      <c r="BU243" s="37" t="n">
        <v>28.75</v>
      </c>
      <c r="BV243" s="37" t="n">
        <v>38.19</v>
      </c>
      <c r="BW243" s="37" t="n">
        <v>31.39</v>
      </c>
      <c r="BX243" s="37" t="n">
        <v>30</v>
      </c>
      <c r="BY243" s="37" t="n">
        <v>29.78</v>
      </c>
      <c r="BZ243" s="37" t="n">
        <v>49.17</v>
      </c>
      <c r="CA243" s="37" t="n">
        <v>29.34</v>
      </c>
      <c r="CB243" s="37" t="n">
        <v>18.51</v>
      </c>
      <c r="CC243" s="37" t="n">
        <v>2433.510000000001</v>
      </c>
    </row>
    <row r="244" ht="15.75" customHeight="1" s="57">
      <c r="A244" s="7" t="inlineStr">
        <is>
          <t>NTB</t>
        </is>
      </c>
      <c r="B244" s="7" t="inlineStr">
        <is>
          <t>Khánh Hòa</t>
        </is>
      </c>
      <c r="C244" s="7" t="n">
        <v>21498000</v>
      </c>
      <c r="D244" s="7" t="inlineStr">
        <is>
          <t>Kho Giao Hàng Nặng - Cam Ranh - Khánh Hoà</t>
        </is>
      </c>
      <c r="E244" s="7" t="inlineStr">
        <is>
          <t>TTS</t>
        </is>
      </c>
      <c r="F244" s="36" t="n">
        <v>0</v>
      </c>
      <c r="G244" s="36" t="n">
        <v>0</v>
      </c>
      <c r="H244" s="36" t="n">
        <v>0</v>
      </c>
      <c r="I244" s="36" t="n">
        <v>0</v>
      </c>
      <c r="J244" s="36" t="n">
        <v>0</v>
      </c>
      <c r="K244" s="28" t="n">
        <v>0</v>
      </c>
      <c r="L244" s="36" t="n">
        <v>0</v>
      </c>
      <c r="M244" s="36" t="n">
        <v>0</v>
      </c>
      <c r="N244" s="36" t="n">
        <v>0</v>
      </c>
      <c r="O244" s="36" t="n">
        <v>10</v>
      </c>
      <c r="P244" s="36" t="n">
        <v>3</v>
      </c>
      <c r="Q244" s="36" t="n">
        <v>3</v>
      </c>
      <c r="R244" s="28" t="n">
        <v>2</v>
      </c>
      <c r="S244" s="36" t="n">
        <v>2</v>
      </c>
      <c r="T244" s="36" t="n">
        <v>2</v>
      </c>
      <c r="U244" s="36" t="n">
        <v>3.62</v>
      </c>
      <c r="V244" s="36" t="n">
        <v>3.46</v>
      </c>
      <c r="W244" s="36" t="n">
        <v>3.4</v>
      </c>
      <c r="X244" s="36" t="n">
        <v>2.85</v>
      </c>
      <c r="Y244" s="28" t="n">
        <v>4</v>
      </c>
      <c r="Z244" s="36" t="n">
        <v>3.39</v>
      </c>
      <c r="AA244" s="36" t="n">
        <v>3.83</v>
      </c>
      <c r="AB244" s="36" t="n">
        <v>4.15</v>
      </c>
      <c r="AC244" s="36" t="n">
        <v>4.37</v>
      </c>
      <c r="AD244" s="36" t="n">
        <v>5.55</v>
      </c>
      <c r="AE244" s="36" t="n">
        <v>3.24</v>
      </c>
      <c r="AF244" s="28" t="n">
        <v>4.09</v>
      </c>
      <c r="AG244" s="36" t="n">
        <v>3.45</v>
      </c>
      <c r="AH244" s="37" t="n">
        <v>3.42</v>
      </c>
      <c r="AI244" s="37" t="n">
        <v>3.95</v>
      </c>
      <c r="AJ244" s="37" t="n">
        <v>4.17</v>
      </c>
      <c r="AK244" s="37" t="n">
        <v>4.17</v>
      </c>
      <c r="AL244" s="37" t="n">
        <v>3.06</v>
      </c>
      <c r="AM244" s="37" t="n">
        <v>4.05</v>
      </c>
      <c r="AN244" s="37" t="n">
        <v>3.52</v>
      </c>
      <c r="AO244" s="37" t="n">
        <v>3.57</v>
      </c>
      <c r="AP244" s="37" t="n">
        <v>3.38</v>
      </c>
      <c r="AQ244" s="37" t="n">
        <v>3.41</v>
      </c>
      <c r="AR244" s="37" t="n">
        <v>3.36</v>
      </c>
      <c r="AS244" s="37" t="n">
        <v>2.85</v>
      </c>
      <c r="AT244" s="37" t="n">
        <v>4.41</v>
      </c>
      <c r="AU244" s="37" t="n">
        <v>3.99</v>
      </c>
      <c r="AV244" s="37" t="n">
        <v>3.61</v>
      </c>
      <c r="AW244" s="37" t="n">
        <v>3.35</v>
      </c>
      <c r="AX244" s="37" t="n">
        <v>3.34</v>
      </c>
      <c r="AY244" s="37" t="n">
        <v>3.33</v>
      </c>
      <c r="AZ244" s="37" t="n">
        <v>2.85</v>
      </c>
      <c r="BA244" s="37" t="n">
        <v>3.98</v>
      </c>
      <c r="BB244" s="37" t="n">
        <v>3.78</v>
      </c>
      <c r="BC244" s="37" t="n">
        <v>2.17</v>
      </c>
      <c r="BD244" s="37" t="n">
        <v>3.24</v>
      </c>
      <c r="BE244" s="37" t="n">
        <v>3.83</v>
      </c>
      <c r="BF244" s="37" t="n">
        <v>3.75</v>
      </c>
      <c r="BG244" s="37" t="n">
        <v>3.07</v>
      </c>
      <c r="BH244" s="37" t="n">
        <v>4.41</v>
      </c>
      <c r="BI244" s="37" t="n">
        <v>3.78</v>
      </c>
      <c r="BJ244" s="37" t="n">
        <v>4.25</v>
      </c>
      <c r="BK244" s="37" t="n">
        <v>3.82</v>
      </c>
      <c r="BL244" s="37" t="n">
        <v>3.83</v>
      </c>
      <c r="BM244" s="37" t="n">
        <v>3.75</v>
      </c>
      <c r="BN244" s="37" t="n">
        <v>3.07</v>
      </c>
      <c r="BO244" s="37" t="n">
        <v>4.41</v>
      </c>
      <c r="BP244" s="37" t="n">
        <v>3.78</v>
      </c>
      <c r="BQ244" s="37" t="n">
        <v>3.75</v>
      </c>
      <c r="BR244" s="37" t="n">
        <v>3.82</v>
      </c>
      <c r="BS244" s="37" t="n">
        <v>3.83</v>
      </c>
      <c r="BT244" s="37" t="n">
        <v>3.75</v>
      </c>
      <c r="BU244" s="37" t="n">
        <v>3.07</v>
      </c>
      <c r="BV244" s="37" t="n">
        <v>4.41</v>
      </c>
      <c r="BW244" s="37" t="n">
        <v>3.78</v>
      </c>
      <c r="BX244" s="37" t="n">
        <v>3.75</v>
      </c>
      <c r="BY244" s="37" t="n">
        <v>3.82</v>
      </c>
      <c r="BZ244" s="37" t="n">
        <v>3.83</v>
      </c>
      <c r="CA244" s="37" t="n">
        <v>3.75</v>
      </c>
      <c r="CB244" s="37" t="n">
        <v>3.07</v>
      </c>
      <c r="CC244" s="37" t="n">
        <v>242.74</v>
      </c>
    </row>
    <row r="245" ht="15.75" customHeight="1" s="57">
      <c r="A245" s="7" t="inlineStr">
        <is>
          <t>NTB</t>
        </is>
      </c>
      <c r="B245" s="7" t="inlineStr">
        <is>
          <t>Khánh Hòa</t>
        </is>
      </c>
      <c r="C245" s="7" t="n">
        <v>21498000</v>
      </c>
      <c r="D245" s="7" t="inlineStr">
        <is>
          <t>Kho Giao Hàng Nặng - Cam Ranh - Khánh Hoà</t>
        </is>
      </c>
      <c r="E245" s="7" t="inlineStr">
        <is>
          <t>TTS-Bulky</t>
        </is>
      </c>
      <c r="F245" s="36" t="n">
        <v>2</v>
      </c>
      <c r="G245" s="36" t="n">
        <v>2</v>
      </c>
      <c r="H245" s="36" t="n">
        <v>2</v>
      </c>
      <c r="I245" s="36" t="n">
        <v>5</v>
      </c>
      <c r="J245" s="36" t="n">
        <v>3</v>
      </c>
      <c r="K245" s="28" t="n">
        <v>4</v>
      </c>
      <c r="L245" s="36" t="n">
        <v>0</v>
      </c>
      <c r="M245" s="36" t="n">
        <v>3</v>
      </c>
      <c r="N245" s="36" t="n">
        <v>4</v>
      </c>
      <c r="O245" s="36" t="n">
        <v>0</v>
      </c>
      <c r="P245" s="36" t="n">
        <v>0</v>
      </c>
      <c r="Q245" s="36" t="n">
        <v>1</v>
      </c>
      <c r="R245" s="28" t="n">
        <v>0</v>
      </c>
      <c r="S245" s="36" t="n">
        <v>1</v>
      </c>
      <c r="T245" s="36" t="n">
        <v>6</v>
      </c>
      <c r="U245" s="36" t="n">
        <v>8.9</v>
      </c>
      <c r="V245" s="36" t="n">
        <v>8.529999999999999</v>
      </c>
      <c r="W245" s="36" t="n">
        <v>4.29</v>
      </c>
      <c r="X245" s="36" t="n">
        <v>3.22</v>
      </c>
      <c r="Y245" s="28" t="n">
        <v>5.47</v>
      </c>
      <c r="Z245" s="36" t="n">
        <v>4.02</v>
      </c>
      <c r="AA245" s="36" t="n">
        <v>4.56</v>
      </c>
      <c r="AB245" s="36" t="n">
        <v>4.88</v>
      </c>
      <c r="AC245" s="36" t="n">
        <v>5.31</v>
      </c>
      <c r="AD245" s="36" t="n">
        <v>6.65</v>
      </c>
      <c r="AE245" s="36" t="n">
        <v>3.54</v>
      </c>
      <c r="AF245" s="28" t="n">
        <v>5.2</v>
      </c>
      <c r="AG245" s="36" t="n">
        <v>4.18</v>
      </c>
      <c r="AH245" s="37" t="n">
        <v>4.18</v>
      </c>
      <c r="AI245" s="37" t="n">
        <v>4.34</v>
      </c>
      <c r="AJ245" s="37" t="n">
        <v>4.77</v>
      </c>
      <c r="AK245" s="37" t="n">
        <v>4.61</v>
      </c>
      <c r="AL245" s="37" t="n">
        <v>3.27</v>
      </c>
      <c r="AM245" s="37" t="n">
        <v>5.15</v>
      </c>
      <c r="AN245" s="37" t="n">
        <v>4.29</v>
      </c>
      <c r="AO245" s="37" t="n">
        <v>4.18</v>
      </c>
      <c r="AP245" s="37" t="n">
        <v>4.24</v>
      </c>
      <c r="AQ245" s="37" t="n">
        <v>4.24</v>
      </c>
      <c r="AR245" s="37" t="n">
        <v>4.24</v>
      </c>
      <c r="AS245" s="37" t="n">
        <v>3.11</v>
      </c>
      <c r="AT245" s="37" t="n">
        <v>5.42</v>
      </c>
      <c r="AU245" s="37" t="n">
        <v>4.88</v>
      </c>
      <c r="AV245" s="37" t="n">
        <v>4.34</v>
      </c>
      <c r="AW245" s="37" t="n">
        <v>4.18</v>
      </c>
      <c r="AX245" s="37" t="n">
        <v>4.18</v>
      </c>
      <c r="AY245" s="37" t="n">
        <v>4.24</v>
      </c>
      <c r="AZ245" s="37" t="n">
        <v>3.11</v>
      </c>
      <c r="BA245" s="37" t="n">
        <v>4.77</v>
      </c>
      <c r="BB245" s="37" t="n">
        <v>1.13</v>
      </c>
      <c r="BC245" s="37" t="n">
        <v>0.7</v>
      </c>
      <c r="BD245" s="37" t="n">
        <v>0.8</v>
      </c>
      <c r="BE245" s="37" t="n">
        <v>1.13</v>
      </c>
      <c r="BF245" s="37" t="n">
        <v>1.18</v>
      </c>
      <c r="BG245" s="37" t="n">
        <v>0.8</v>
      </c>
      <c r="BH245" s="37" t="n">
        <v>1.5</v>
      </c>
      <c r="BI245" s="37" t="n">
        <v>1.23</v>
      </c>
      <c r="BJ245" s="37" t="n">
        <v>1.56</v>
      </c>
      <c r="BK245" s="37" t="n">
        <v>1.18</v>
      </c>
      <c r="BL245" s="37" t="n">
        <v>1.13</v>
      </c>
      <c r="BM245" s="37" t="n">
        <v>1.18</v>
      </c>
      <c r="BN245" s="37" t="n">
        <v>0.8</v>
      </c>
      <c r="BO245" s="37" t="n">
        <v>1.82</v>
      </c>
      <c r="BP245" s="37" t="n">
        <v>1.39</v>
      </c>
      <c r="BQ245" s="37" t="n">
        <v>1.18</v>
      </c>
      <c r="BR245" s="37" t="n">
        <v>1.18</v>
      </c>
      <c r="BS245" s="37" t="n">
        <v>1.13</v>
      </c>
      <c r="BT245" s="37" t="n">
        <v>1.18</v>
      </c>
      <c r="BU245" s="37" t="n">
        <v>0.8</v>
      </c>
      <c r="BV245" s="37" t="n">
        <v>1.39</v>
      </c>
      <c r="BW245" s="37" t="n">
        <v>1.23</v>
      </c>
      <c r="BX245" s="37" t="n">
        <v>1.18</v>
      </c>
      <c r="BY245" s="37" t="n">
        <v>1.18</v>
      </c>
      <c r="BZ245" s="37" t="n">
        <v>1.13</v>
      </c>
      <c r="CA245" s="37" t="n">
        <v>1.18</v>
      </c>
      <c r="CB245" s="37" t="n">
        <v>0.8</v>
      </c>
      <c r="CC245" s="37" t="n">
        <v>218.5800000000001</v>
      </c>
    </row>
    <row r="246" ht="15.75" customHeight="1" s="57">
      <c r="A246" s="7" t="inlineStr">
        <is>
          <t>NTB</t>
        </is>
      </c>
      <c r="B246" s="7" t="inlineStr">
        <is>
          <t>Khánh Hòa</t>
        </is>
      </c>
      <c r="C246" s="7" t="n">
        <v>21569000</v>
      </c>
      <c r="D246" s="7" t="inlineStr">
        <is>
          <t>(KHO) Đông Ninh Hòa</t>
        </is>
      </c>
      <c r="E246" s="7" t="inlineStr">
        <is>
          <t>SME</t>
        </is>
      </c>
      <c r="F246" s="36" t="n">
        <v>189</v>
      </c>
      <c r="G246" s="36" t="n">
        <v>292</v>
      </c>
      <c r="H246" s="36" t="n">
        <v>240</v>
      </c>
      <c r="I246" s="36" t="n">
        <v>221</v>
      </c>
      <c r="J246" s="36" t="n">
        <v>235</v>
      </c>
      <c r="K246" s="28" t="n">
        <v>245</v>
      </c>
      <c r="L246" s="36" t="n">
        <v>155</v>
      </c>
      <c r="M246" s="36" t="n">
        <v>160</v>
      </c>
      <c r="N246" s="36" t="n">
        <v>221</v>
      </c>
      <c r="O246" s="36" t="n">
        <v>187</v>
      </c>
      <c r="P246" s="36" t="n">
        <v>173</v>
      </c>
      <c r="Q246" s="36" t="n">
        <v>184</v>
      </c>
      <c r="R246" s="28" t="n">
        <v>193</v>
      </c>
      <c r="S246" s="36" t="n">
        <v>131</v>
      </c>
      <c r="T246" s="36" t="n">
        <v>185</v>
      </c>
      <c r="U246" s="36" t="n">
        <v>225.4</v>
      </c>
      <c r="V246" s="36" t="n">
        <v>233.32</v>
      </c>
      <c r="W246" s="36" t="n">
        <v>226.92</v>
      </c>
      <c r="X246" s="36" t="n">
        <v>185.72</v>
      </c>
      <c r="Y246" s="28" t="n">
        <v>251.45</v>
      </c>
      <c r="Z246" s="36" t="n">
        <v>231.6</v>
      </c>
      <c r="AA246" s="36" t="n">
        <v>225.89</v>
      </c>
      <c r="AB246" s="36" t="n">
        <v>225.4</v>
      </c>
      <c r="AC246" s="36" t="n">
        <v>233.32</v>
      </c>
      <c r="AD246" s="36" t="n">
        <v>228.88</v>
      </c>
      <c r="AE246" s="36" t="n">
        <v>185.72</v>
      </c>
      <c r="AF246" s="28" t="n">
        <v>251.45</v>
      </c>
      <c r="AG246" s="36" t="n">
        <v>231.6</v>
      </c>
      <c r="AH246" s="37" t="n">
        <v>225.89</v>
      </c>
      <c r="AI246" s="37" t="n">
        <v>225.4</v>
      </c>
      <c r="AJ246" s="37" t="n">
        <v>233.32</v>
      </c>
      <c r="AK246" s="37" t="n">
        <v>226.92</v>
      </c>
      <c r="AL246" s="37" t="n">
        <v>185.72</v>
      </c>
      <c r="AM246" s="37" t="n">
        <v>251.45</v>
      </c>
      <c r="AN246" s="37" t="n">
        <v>231.6</v>
      </c>
      <c r="AO246" s="37" t="n">
        <v>225.89</v>
      </c>
      <c r="AP246" s="37" t="n">
        <v>225.4</v>
      </c>
      <c r="AQ246" s="37" t="n">
        <v>233.32</v>
      </c>
      <c r="AR246" s="37" t="n">
        <v>226.92</v>
      </c>
      <c r="AS246" s="37" t="n">
        <v>185.72</v>
      </c>
      <c r="AT246" s="37" t="n">
        <v>251.45</v>
      </c>
      <c r="AU246" s="37" t="n">
        <v>231.6</v>
      </c>
      <c r="AV246" s="37" t="n">
        <v>225.89</v>
      </c>
      <c r="AW246" s="37" t="n">
        <v>225.4</v>
      </c>
      <c r="AX246" s="37" t="n">
        <v>233.32</v>
      </c>
      <c r="AY246" s="37" t="n">
        <v>226.92</v>
      </c>
      <c r="AZ246" s="37" t="n">
        <v>185.72</v>
      </c>
      <c r="BA246" s="37" t="n">
        <v>226.3</v>
      </c>
      <c r="BB246" s="37" t="n">
        <v>203.11</v>
      </c>
      <c r="BC246" s="37" t="n">
        <v>128.37</v>
      </c>
      <c r="BD246" s="37" t="n">
        <v>127.85</v>
      </c>
      <c r="BE246" s="37" t="n">
        <v>216.73</v>
      </c>
      <c r="BF246" s="37" t="n">
        <v>210.81</v>
      </c>
      <c r="BG246" s="37" t="n">
        <v>191.36</v>
      </c>
      <c r="BH246" s="37" t="n">
        <v>259.49</v>
      </c>
      <c r="BI246" s="37" t="n">
        <v>238.94</v>
      </c>
      <c r="BJ246" s="37" t="n">
        <v>234.93</v>
      </c>
      <c r="BK246" s="37" t="n">
        <v>232.56</v>
      </c>
      <c r="BL246" s="37" t="n">
        <v>240.7</v>
      </c>
      <c r="BM246" s="37" t="n">
        <v>234.15</v>
      </c>
      <c r="BN246" s="37" t="n">
        <v>191.36</v>
      </c>
      <c r="BO246" s="37" t="n">
        <v>259.49</v>
      </c>
      <c r="BP246" s="37" t="n">
        <v>238.94</v>
      </c>
      <c r="BQ246" s="37" t="n">
        <v>232.99</v>
      </c>
      <c r="BR246" s="37" t="n">
        <v>232.56</v>
      </c>
      <c r="BS246" s="37" t="n">
        <v>240.7</v>
      </c>
      <c r="BT246" s="37" t="n">
        <v>234.15</v>
      </c>
      <c r="BU246" s="37" t="n">
        <v>191.36</v>
      </c>
      <c r="BV246" s="37" t="n">
        <v>259.49</v>
      </c>
      <c r="BW246" s="37" t="n">
        <v>238.94</v>
      </c>
      <c r="BX246" s="37" t="n">
        <v>232.99</v>
      </c>
      <c r="BY246" s="37" t="n">
        <v>232.56</v>
      </c>
      <c r="BZ246" s="37" t="n">
        <v>240.7</v>
      </c>
      <c r="CA246" s="37" t="n">
        <v>234.15</v>
      </c>
      <c r="CB246" s="37" t="n">
        <v>191.36</v>
      </c>
      <c r="CC246" s="37" t="n">
        <v>16402.56</v>
      </c>
    </row>
    <row r="247" ht="15.75" customHeight="1" s="57">
      <c r="A247" s="7" t="inlineStr">
        <is>
          <t>NTB</t>
        </is>
      </c>
      <c r="B247" s="7" t="inlineStr">
        <is>
          <t>Khánh Hòa</t>
        </is>
      </c>
      <c r="C247" s="7" t="n">
        <v>21569000</v>
      </c>
      <c r="D247" s="7" t="inlineStr">
        <is>
          <t>(KHO) Đông Ninh Hòa</t>
        </is>
      </c>
      <c r="E247" s="7" t="inlineStr">
        <is>
          <t>SME-Bulky</t>
        </is>
      </c>
      <c r="F247" s="36" t="n">
        <v>10</v>
      </c>
      <c r="G247" s="36" t="n">
        <v>14</v>
      </c>
      <c r="H247" s="36" t="n">
        <v>12</v>
      </c>
      <c r="I247" s="36" t="n">
        <v>9</v>
      </c>
      <c r="J247" s="36" t="n">
        <v>8</v>
      </c>
      <c r="K247" s="28" t="n">
        <v>11</v>
      </c>
      <c r="L247" s="36" t="n">
        <v>5</v>
      </c>
      <c r="M247" s="36" t="n">
        <v>5</v>
      </c>
      <c r="N247" s="36" t="n">
        <v>11</v>
      </c>
      <c r="O247" s="36" t="n">
        <v>8</v>
      </c>
      <c r="P247" s="36" t="n">
        <v>6</v>
      </c>
      <c r="Q247" s="36" t="n">
        <v>9</v>
      </c>
      <c r="R247" s="28" t="n">
        <v>8</v>
      </c>
      <c r="S247" s="36" t="n">
        <v>10</v>
      </c>
      <c r="T247" s="36" t="n">
        <v>8</v>
      </c>
      <c r="U247" s="36" t="n">
        <v>8.91</v>
      </c>
      <c r="V247" s="36" t="n">
        <v>9.029999999999999</v>
      </c>
      <c r="W247" s="36" t="n">
        <v>8.380000000000001</v>
      </c>
      <c r="X247" s="36" t="n">
        <v>5.59</v>
      </c>
      <c r="Y247" s="28" t="n">
        <v>10.23</v>
      </c>
      <c r="Z247" s="36" t="n">
        <v>9.859999999999999</v>
      </c>
      <c r="AA247" s="36" t="n">
        <v>9.380000000000001</v>
      </c>
      <c r="AB247" s="36" t="n">
        <v>8.91</v>
      </c>
      <c r="AC247" s="36" t="n">
        <v>9.029999999999999</v>
      </c>
      <c r="AD247" s="36" t="n">
        <v>7.92</v>
      </c>
      <c r="AE247" s="36" t="n">
        <v>5.59</v>
      </c>
      <c r="AF247" s="28" t="n">
        <v>10.23</v>
      </c>
      <c r="AG247" s="36" t="n">
        <v>9.859999999999999</v>
      </c>
      <c r="AH247" s="37" t="n">
        <v>9.380000000000001</v>
      </c>
      <c r="AI247" s="37" t="n">
        <v>8.91</v>
      </c>
      <c r="AJ247" s="37" t="n">
        <v>9.029999999999999</v>
      </c>
      <c r="AK247" s="37" t="n">
        <v>8.380000000000001</v>
      </c>
      <c r="AL247" s="37" t="n">
        <v>5.59</v>
      </c>
      <c r="AM247" s="37" t="n">
        <v>10.23</v>
      </c>
      <c r="AN247" s="37" t="n">
        <v>9.859999999999999</v>
      </c>
      <c r="AO247" s="37" t="n">
        <v>9.380000000000001</v>
      </c>
      <c r="AP247" s="37" t="n">
        <v>8.91</v>
      </c>
      <c r="AQ247" s="37" t="n">
        <v>9.029999999999999</v>
      </c>
      <c r="AR247" s="37" t="n">
        <v>8.380000000000001</v>
      </c>
      <c r="AS247" s="37" t="n">
        <v>5.59</v>
      </c>
      <c r="AT247" s="37" t="n">
        <v>10.23</v>
      </c>
      <c r="AU247" s="37" t="n">
        <v>9.859999999999999</v>
      </c>
      <c r="AV247" s="37" t="n">
        <v>9.380000000000001</v>
      </c>
      <c r="AW247" s="37" t="n">
        <v>8.91</v>
      </c>
      <c r="AX247" s="37" t="n">
        <v>9.029999999999999</v>
      </c>
      <c r="AY247" s="37" t="n">
        <v>8.380000000000001</v>
      </c>
      <c r="AZ247" s="37" t="n">
        <v>5.59</v>
      </c>
      <c r="BA247" s="37" t="n">
        <v>10.18</v>
      </c>
      <c r="BB247" s="37" t="n">
        <v>5.29</v>
      </c>
      <c r="BC247" s="37" t="n">
        <v>2.68</v>
      </c>
      <c r="BD247" s="37" t="n">
        <v>2.45</v>
      </c>
      <c r="BE247" s="37" t="n">
        <v>4.57</v>
      </c>
      <c r="BF247" s="37" t="n">
        <v>4.23</v>
      </c>
      <c r="BG247" s="37" t="n">
        <v>3.37</v>
      </c>
      <c r="BH247" s="37" t="n">
        <v>6</v>
      </c>
      <c r="BI247" s="37" t="n">
        <v>5.91</v>
      </c>
      <c r="BJ247" s="37" t="n">
        <v>5.15</v>
      </c>
      <c r="BK247" s="37" t="n">
        <v>5.29</v>
      </c>
      <c r="BL247" s="37" t="n">
        <v>5.4</v>
      </c>
      <c r="BM247" s="37" t="n">
        <v>4.92</v>
      </c>
      <c r="BN247" s="37" t="n">
        <v>3.37</v>
      </c>
      <c r="BO247" s="37" t="n">
        <v>6</v>
      </c>
      <c r="BP247" s="37" t="n">
        <v>5.91</v>
      </c>
      <c r="BQ247" s="37" t="n">
        <v>5.52</v>
      </c>
      <c r="BR247" s="37" t="n">
        <v>5.29</v>
      </c>
      <c r="BS247" s="37" t="n">
        <v>5.4</v>
      </c>
      <c r="BT247" s="37" t="n">
        <v>4.92</v>
      </c>
      <c r="BU247" s="37" t="n">
        <v>3.37</v>
      </c>
      <c r="BV247" s="37" t="n">
        <v>6</v>
      </c>
      <c r="BW247" s="37" t="n">
        <v>5.91</v>
      </c>
      <c r="BX247" s="37" t="n">
        <v>5.52</v>
      </c>
      <c r="BY247" s="37" t="n">
        <v>5.29</v>
      </c>
      <c r="BZ247" s="37" t="n">
        <v>5.4</v>
      </c>
      <c r="CA247" s="37" t="n">
        <v>4.92</v>
      </c>
      <c r="CB247" s="37" t="n">
        <v>3.37</v>
      </c>
      <c r="CC247" s="37" t="n">
        <v>552.5999999999998</v>
      </c>
    </row>
    <row r="248" ht="15.75" customHeight="1" s="57">
      <c r="A248" s="7" t="inlineStr">
        <is>
          <t>NTB</t>
        </is>
      </c>
      <c r="B248" s="7" t="inlineStr">
        <is>
          <t>Khánh Hòa</t>
        </is>
      </c>
      <c r="C248" s="7" t="n">
        <v>21569000</v>
      </c>
      <c r="D248" s="7" t="inlineStr">
        <is>
          <t>(KHO) Đông Ninh Hòa</t>
        </is>
      </c>
      <c r="E248" s="7" t="inlineStr">
        <is>
          <t>Shopee</t>
        </is>
      </c>
      <c r="F248" s="36" t="n">
        <v>119</v>
      </c>
      <c r="G248" s="36" t="n">
        <v>153</v>
      </c>
      <c r="H248" s="36" t="n">
        <v>155</v>
      </c>
      <c r="I248" s="36" t="n">
        <v>160</v>
      </c>
      <c r="J248" s="36" t="n">
        <v>148</v>
      </c>
      <c r="K248" s="28" t="n">
        <v>115</v>
      </c>
      <c r="L248" s="36" t="n">
        <v>103</v>
      </c>
      <c r="M248" s="36" t="n">
        <v>140</v>
      </c>
      <c r="N248" s="36" t="n">
        <v>193</v>
      </c>
      <c r="O248" s="36" t="n">
        <v>165</v>
      </c>
      <c r="P248" s="36" t="n">
        <v>138</v>
      </c>
      <c r="Q248" s="36" t="n">
        <v>129</v>
      </c>
      <c r="R248" s="28" t="n">
        <v>128</v>
      </c>
      <c r="S248" s="36" t="n">
        <v>76</v>
      </c>
      <c r="T248" s="36" t="n">
        <v>117</v>
      </c>
      <c r="U248" s="36" t="n">
        <v>235.03</v>
      </c>
      <c r="V248" s="36" t="n">
        <v>235.94</v>
      </c>
      <c r="W248" s="36" t="n">
        <v>232.56</v>
      </c>
      <c r="X248" s="36" t="n">
        <v>189.1</v>
      </c>
      <c r="Y248" s="28" t="n">
        <v>316.77</v>
      </c>
      <c r="Z248" s="36" t="n">
        <v>250.52</v>
      </c>
      <c r="AA248" s="36" t="n">
        <v>344.62</v>
      </c>
      <c r="AB248" s="36" t="n">
        <v>239.73</v>
      </c>
      <c r="AC248" s="36" t="n">
        <v>193.74</v>
      </c>
      <c r="AD248" s="36" t="n">
        <v>595.15</v>
      </c>
      <c r="AE248" s="36" t="n">
        <v>202.54</v>
      </c>
      <c r="AF248" s="28" t="n">
        <v>360.72</v>
      </c>
      <c r="AG248" s="36" t="n">
        <v>263.18</v>
      </c>
      <c r="AH248" s="37" t="n">
        <v>277.89</v>
      </c>
      <c r="AI248" s="37" t="n">
        <v>235.03</v>
      </c>
      <c r="AJ248" s="37" t="n">
        <v>235.94</v>
      </c>
      <c r="AK248" s="37" t="n">
        <v>313.76</v>
      </c>
      <c r="AL248" s="37" t="n">
        <v>339.38</v>
      </c>
      <c r="AM248" s="37" t="n">
        <v>316.77</v>
      </c>
      <c r="AN248" s="37" t="n">
        <v>250.52</v>
      </c>
      <c r="AO248" s="37" t="n">
        <v>277.89</v>
      </c>
      <c r="AP248" s="37" t="n">
        <v>293.2</v>
      </c>
      <c r="AQ248" s="37" t="n">
        <v>189.16</v>
      </c>
      <c r="AR248" s="37" t="n">
        <v>232.56</v>
      </c>
      <c r="AS248" s="37" t="n">
        <v>189.1</v>
      </c>
      <c r="AT248" s="37" t="n">
        <v>316.77</v>
      </c>
      <c r="AU248" s="37" t="n">
        <v>255.71</v>
      </c>
      <c r="AV248" s="37" t="n">
        <v>283.5</v>
      </c>
      <c r="AW248" s="37" t="n">
        <v>235.03</v>
      </c>
      <c r="AX248" s="37" t="n">
        <v>235.94</v>
      </c>
      <c r="AY248" s="37" t="n">
        <v>232.56</v>
      </c>
      <c r="AZ248" s="37" t="n">
        <v>189.1</v>
      </c>
      <c r="BA248" s="37" t="n">
        <v>243.95</v>
      </c>
      <c r="BB248" s="37" t="n">
        <v>212.67</v>
      </c>
      <c r="BC248" s="37" t="n">
        <v>108.32</v>
      </c>
      <c r="BD248" s="37" t="n">
        <v>192.54</v>
      </c>
      <c r="BE248" s="37" t="n">
        <v>224.79</v>
      </c>
      <c r="BF248" s="37" t="n">
        <v>221.59</v>
      </c>
      <c r="BG248" s="37" t="n">
        <v>183.85</v>
      </c>
      <c r="BH248" s="37" t="n">
        <v>301.82</v>
      </c>
      <c r="BI248" s="37" t="n">
        <v>196.33</v>
      </c>
      <c r="BJ248" s="37" t="n">
        <v>844.89</v>
      </c>
      <c r="BK248" s="37" t="n">
        <v>239.49</v>
      </c>
      <c r="BL248" s="37" t="n">
        <v>235.64</v>
      </c>
      <c r="BM248" s="37" t="n">
        <v>221.59</v>
      </c>
      <c r="BN248" s="37" t="n">
        <v>180.18</v>
      </c>
      <c r="BO248" s="37" t="n">
        <v>301.82</v>
      </c>
      <c r="BP248" s="37" t="n">
        <v>321.96</v>
      </c>
      <c r="BQ248" s="37" t="n">
        <v>475.55</v>
      </c>
      <c r="BR248" s="37" t="n">
        <v>223.88</v>
      </c>
      <c r="BS248" s="37" t="n">
        <v>224.79</v>
      </c>
      <c r="BT248" s="37" t="n">
        <v>221.59</v>
      </c>
      <c r="BU248" s="37" t="n">
        <v>224.91</v>
      </c>
      <c r="BV248" s="37" t="n">
        <v>241.54</v>
      </c>
      <c r="BW248" s="37" t="n">
        <v>238.59</v>
      </c>
      <c r="BX248" s="37" t="n">
        <v>264.69</v>
      </c>
      <c r="BY248" s="37" t="n">
        <v>223.88</v>
      </c>
      <c r="BZ248" s="37" t="n">
        <v>229.43</v>
      </c>
      <c r="CA248" s="37" t="n">
        <v>225.93</v>
      </c>
      <c r="CB248" s="37" t="n">
        <v>180.18</v>
      </c>
      <c r="CC248" s="37" t="n">
        <v>17804.8</v>
      </c>
    </row>
    <row r="249" ht="15.75" customHeight="1" s="57">
      <c r="A249" s="7" t="inlineStr">
        <is>
          <t>NTB</t>
        </is>
      </c>
      <c r="B249" s="7" t="inlineStr">
        <is>
          <t>Khánh Hòa</t>
        </is>
      </c>
      <c r="C249" s="7" t="n">
        <v>21569000</v>
      </c>
      <c r="D249" s="7" t="inlineStr">
        <is>
          <t>(KHO) Đông Ninh Hòa</t>
        </is>
      </c>
      <c r="E249" s="7" t="inlineStr">
        <is>
          <t>Shopee-Bulky</t>
        </is>
      </c>
      <c r="F249" s="36" t="n">
        <v>25.62</v>
      </c>
      <c r="G249" s="36" t="n">
        <v>14.09</v>
      </c>
      <c r="H249" s="36" t="n">
        <v>23.7</v>
      </c>
      <c r="I249" s="36" t="n">
        <v>31.38</v>
      </c>
      <c r="J249" s="36" t="n">
        <v>17.93</v>
      </c>
      <c r="K249" s="28" t="n">
        <v>16.65</v>
      </c>
      <c r="L249" s="36" t="n">
        <v>15.37</v>
      </c>
      <c r="M249" s="36" t="n">
        <v>20.49</v>
      </c>
      <c r="N249" s="36" t="n">
        <v>25.62</v>
      </c>
      <c r="O249" s="36" t="n">
        <v>16.01</v>
      </c>
      <c r="P249" s="36" t="n">
        <v>21.13</v>
      </c>
      <c r="Q249" s="36" t="n">
        <v>10.89</v>
      </c>
      <c r="R249" s="28" t="n">
        <v>26.26</v>
      </c>
      <c r="S249" s="36" t="n">
        <v>16.65</v>
      </c>
      <c r="T249" s="36" t="n">
        <v>17.93</v>
      </c>
      <c r="U249" s="36" t="n">
        <v>17.63</v>
      </c>
      <c r="V249" s="36" t="n">
        <v>17.09</v>
      </c>
      <c r="W249" s="36" t="n">
        <v>23.84</v>
      </c>
      <c r="X249" s="36" t="n">
        <v>13.16</v>
      </c>
      <c r="Y249" s="28" t="n">
        <v>26.01</v>
      </c>
      <c r="Z249" s="36" t="n">
        <v>20.27</v>
      </c>
      <c r="AA249" s="36" t="n">
        <v>19.64</v>
      </c>
      <c r="AB249" s="36" t="n">
        <v>20.05</v>
      </c>
      <c r="AC249" s="36" t="n">
        <v>21.23</v>
      </c>
      <c r="AD249" s="36" t="n">
        <v>59</v>
      </c>
      <c r="AE249" s="36" t="n">
        <v>33.79</v>
      </c>
      <c r="AF249" s="28" t="n">
        <v>51.26</v>
      </c>
      <c r="AG249" s="36" t="n">
        <v>28.98</v>
      </c>
      <c r="AH249" s="37" t="n">
        <v>20.11</v>
      </c>
      <c r="AI249" s="37" t="n">
        <v>19.64</v>
      </c>
      <c r="AJ249" s="37" t="n">
        <v>19.35</v>
      </c>
      <c r="AK249" s="37" t="n">
        <v>43.89</v>
      </c>
      <c r="AL249" s="37" t="n">
        <v>22.19</v>
      </c>
      <c r="AM249" s="37" t="n">
        <v>31.94</v>
      </c>
      <c r="AN249" s="37" t="n">
        <v>19.99</v>
      </c>
      <c r="AO249" s="37" t="n">
        <v>19.54</v>
      </c>
      <c r="AP249" s="37" t="n">
        <v>26.9</v>
      </c>
      <c r="AQ249" s="37" t="n">
        <v>26.46</v>
      </c>
      <c r="AR249" s="37" t="n">
        <v>21.61</v>
      </c>
      <c r="AS249" s="37" t="n">
        <v>11.57</v>
      </c>
      <c r="AT249" s="37" t="n">
        <v>23.78</v>
      </c>
      <c r="AU249" s="37" t="n">
        <v>38.95</v>
      </c>
      <c r="AV249" s="37" t="n">
        <v>40.51</v>
      </c>
      <c r="AW249" s="37" t="n">
        <v>19.76</v>
      </c>
      <c r="AX249" s="37" t="n">
        <v>18.55</v>
      </c>
      <c r="AY249" s="37" t="n">
        <v>20.69</v>
      </c>
      <c r="AZ249" s="37" t="n">
        <v>11.09</v>
      </c>
      <c r="BA249" s="37" t="n">
        <v>21.68</v>
      </c>
      <c r="BB249" s="37" t="n">
        <v>20.34</v>
      </c>
      <c r="BC249" s="37" t="n">
        <v>7.01</v>
      </c>
      <c r="BD249" s="37" t="n">
        <v>17.28</v>
      </c>
      <c r="BE249" s="37" t="n">
        <v>21.45</v>
      </c>
      <c r="BF249" s="37" t="n">
        <v>18.74</v>
      </c>
      <c r="BG249" s="37" t="n">
        <v>15.05</v>
      </c>
      <c r="BH249" s="37" t="n">
        <v>27.76</v>
      </c>
      <c r="BI249" s="37" t="n">
        <v>23.62</v>
      </c>
      <c r="BJ249" s="37" t="n">
        <v>93.27</v>
      </c>
      <c r="BK249" s="37" t="n">
        <v>50.4</v>
      </c>
      <c r="BL249" s="37" t="n">
        <v>25.92</v>
      </c>
      <c r="BM249" s="37" t="n">
        <v>19.6</v>
      </c>
      <c r="BN249" s="37" t="n">
        <v>14.66</v>
      </c>
      <c r="BO249" s="37" t="n">
        <v>32.51</v>
      </c>
      <c r="BP249" s="37" t="n">
        <v>47.08</v>
      </c>
      <c r="BQ249" s="37" t="n">
        <v>34.39</v>
      </c>
      <c r="BR249" s="37" t="n">
        <v>22.47</v>
      </c>
      <c r="BS249" s="37" t="n">
        <v>21.45</v>
      </c>
      <c r="BT249" s="37" t="n">
        <v>18.74</v>
      </c>
      <c r="BU249" s="37" t="n">
        <v>21.77</v>
      </c>
      <c r="BV249" s="37" t="n">
        <v>29.42</v>
      </c>
      <c r="BW249" s="37" t="n">
        <v>23.62</v>
      </c>
      <c r="BX249" s="37" t="n">
        <v>22.89</v>
      </c>
      <c r="BY249" s="37" t="n">
        <v>22.47</v>
      </c>
      <c r="BZ249" s="37" t="n">
        <v>38.47</v>
      </c>
      <c r="CA249" s="37" t="n">
        <v>22.31</v>
      </c>
      <c r="CB249" s="37" t="n">
        <v>14.25</v>
      </c>
      <c r="CC249" s="37" t="n">
        <v>1856.81</v>
      </c>
    </row>
    <row r="250" ht="15.75" customHeight="1" s="57">
      <c r="A250" s="7" t="inlineStr">
        <is>
          <t>NTB</t>
        </is>
      </c>
      <c r="B250" s="7" t="inlineStr">
        <is>
          <t>Khánh Hòa</t>
        </is>
      </c>
      <c r="C250" s="7" t="n">
        <v>21569000</v>
      </c>
      <c r="D250" s="7" t="inlineStr">
        <is>
          <t>(KHO) Đông Ninh Hòa</t>
        </is>
      </c>
      <c r="E250" s="7" t="inlineStr">
        <is>
          <t>Shopee-Bulky (10-15kg)</t>
        </is>
      </c>
      <c r="F250" s="36" t="n">
        <v>14.38</v>
      </c>
      <c r="G250" s="36" t="n">
        <v>7.91</v>
      </c>
      <c r="H250" s="36" t="n">
        <v>13.3</v>
      </c>
      <c r="I250" s="36" t="n">
        <v>17.62</v>
      </c>
      <c r="J250" s="36" t="n">
        <v>10.07</v>
      </c>
      <c r="K250" s="28" t="n">
        <v>9.35</v>
      </c>
      <c r="L250" s="36" t="n">
        <v>8.630000000000001</v>
      </c>
      <c r="M250" s="36" t="n">
        <v>11.51</v>
      </c>
      <c r="N250" s="36" t="n">
        <v>14.38</v>
      </c>
      <c r="O250" s="36" t="n">
        <v>8.99</v>
      </c>
      <c r="P250" s="36" t="n">
        <v>11.87</v>
      </c>
      <c r="Q250" s="36" t="n">
        <v>6.11</v>
      </c>
      <c r="R250" s="28" t="n">
        <v>14.74</v>
      </c>
      <c r="S250" s="36" t="n">
        <v>9.35</v>
      </c>
      <c r="T250" s="36" t="n">
        <v>10.07</v>
      </c>
      <c r="U250" s="36" t="n">
        <v>10.55</v>
      </c>
      <c r="V250" s="36" t="n">
        <v>10.1</v>
      </c>
      <c r="W250" s="36" t="n">
        <v>13.04</v>
      </c>
      <c r="X250" s="36" t="n">
        <v>7.33</v>
      </c>
      <c r="Y250" s="28" t="n">
        <v>14.85</v>
      </c>
      <c r="Z250" s="36" t="n">
        <v>11.6</v>
      </c>
      <c r="AA250" s="36" t="n">
        <v>10.93</v>
      </c>
      <c r="AB250" s="36" t="n">
        <v>11.44</v>
      </c>
      <c r="AC250" s="36" t="n">
        <v>11.86</v>
      </c>
      <c r="AD250" s="36" t="n">
        <v>44.21</v>
      </c>
      <c r="AE250" s="36" t="n">
        <v>18.36</v>
      </c>
      <c r="AF250" s="28" t="n">
        <v>27.09</v>
      </c>
      <c r="AG250" s="36" t="n">
        <v>16.16</v>
      </c>
      <c r="AH250" s="37" t="n">
        <v>11.44</v>
      </c>
      <c r="AI250" s="37" t="n">
        <v>11.06</v>
      </c>
      <c r="AJ250" s="37" t="n">
        <v>10.84</v>
      </c>
      <c r="AK250" s="37" t="n">
        <v>25.05</v>
      </c>
      <c r="AL250" s="37" t="n">
        <v>12.59</v>
      </c>
      <c r="AM250" s="37" t="n">
        <v>18.07</v>
      </c>
      <c r="AN250" s="37" t="n">
        <v>11.44</v>
      </c>
      <c r="AO250" s="37" t="n">
        <v>11.03</v>
      </c>
      <c r="AP250" s="37" t="n">
        <v>14.28</v>
      </c>
      <c r="AQ250" s="37" t="n">
        <v>15.01</v>
      </c>
      <c r="AR250" s="37" t="n">
        <v>11.7</v>
      </c>
      <c r="AS250" s="37" t="n">
        <v>6.44</v>
      </c>
      <c r="AT250" s="37" t="n">
        <v>13.45</v>
      </c>
      <c r="AU250" s="37" t="n">
        <v>22.25</v>
      </c>
      <c r="AV250" s="37" t="n">
        <v>23.08</v>
      </c>
      <c r="AW250" s="37" t="n">
        <v>11.19</v>
      </c>
      <c r="AX250" s="37" t="n">
        <v>10.46</v>
      </c>
      <c r="AY250" s="37" t="n">
        <v>11.25</v>
      </c>
      <c r="AZ250" s="37" t="n">
        <v>6.22</v>
      </c>
      <c r="BA250" s="37" t="n">
        <v>12.27</v>
      </c>
      <c r="BB250" s="37" t="n">
        <v>11.76</v>
      </c>
      <c r="BC250" s="37" t="n">
        <v>3.95</v>
      </c>
      <c r="BD250" s="37" t="n">
        <v>9.369999999999999</v>
      </c>
      <c r="BE250" s="37" t="n">
        <v>12.08</v>
      </c>
      <c r="BF250" s="37" t="n">
        <v>10.3</v>
      </c>
      <c r="BG250" s="37" t="n">
        <v>8.42</v>
      </c>
      <c r="BH250" s="37" t="n">
        <v>16.1</v>
      </c>
      <c r="BI250" s="37" t="n">
        <v>13.67</v>
      </c>
      <c r="BJ250" s="37" t="n">
        <v>60.63</v>
      </c>
      <c r="BK250" s="37" t="n">
        <v>28.27</v>
      </c>
      <c r="BL250" s="37" t="n">
        <v>15.05</v>
      </c>
      <c r="BM250" s="37" t="n">
        <v>10.93</v>
      </c>
      <c r="BN250" s="37" t="n">
        <v>8.26</v>
      </c>
      <c r="BO250" s="37" t="n">
        <v>18.11</v>
      </c>
      <c r="BP250" s="37" t="n">
        <v>26.39</v>
      </c>
      <c r="BQ250" s="37" t="n">
        <v>19.41</v>
      </c>
      <c r="BR250" s="37" t="n">
        <v>12.97</v>
      </c>
      <c r="BS250" s="37" t="n">
        <v>12.08</v>
      </c>
      <c r="BT250" s="37" t="n">
        <v>10.3</v>
      </c>
      <c r="BU250" s="37" t="n">
        <v>12.53</v>
      </c>
      <c r="BV250" s="37" t="n">
        <v>16.64</v>
      </c>
      <c r="BW250" s="37" t="n">
        <v>13.67</v>
      </c>
      <c r="BX250" s="37" t="n">
        <v>13.07</v>
      </c>
      <c r="BY250" s="37" t="n">
        <v>12.97</v>
      </c>
      <c r="BZ250" s="37" t="n">
        <v>21.42</v>
      </c>
      <c r="CA250" s="37" t="n">
        <v>12.78</v>
      </c>
      <c r="CB250" s="37" t="n">
        <v>8.06</v>
      </c>
      <c r="CC250" s="37" t="n">
        <v>1064.11</v>
      </c>
    </row>
    <row r="251" ht="15.75" customHeight="1" s="57">
      <c r="A251" s="7" t="inlineStr">
        <is>
          <t>NTB</t>
        </is>
      </c>
      <c r="B251" s="7" t="inlineStr">
        <is>
          <t>Khánh Hòa</t>
        </is>
      </c>
      <c r="C251" s="7" t="n">
        <v>21569000</v>
      </c>
      <c r="D251" s="7" t="inlineStr">
        <is>
          <t>(KHO) Đông Ninh Hòa</t>
        </is>
      </c>
      <c r="E251" s="7" t="inlineStr">
        <is>
          <t>TTS</t>
        </is>
      </c>
      <c r="F251" s="36" t="n">
        <v>134</v>
      </c>
      <c r="G251" s="36" t="n">
        <v>206</v>
      </c>
      <c r="H251" s="36" t="n">
        <v>181</v>
      </c>
      <c r="I251" s="36" t="n">
        <v>129</v>
      </c>
      <c r="J251" s="36" t="n">
        <v>124</v>
      </c>
      <c r="K251" s="28" t="n">
        <v>176</v>
      </c>
      <c r="L251" s="36" t="n">
        <v>113</v>
      </c>
      <c r="M251" s="36" t="n">
        <v>130</v>
      </c>
      <c r="N251" s="36" t="n">
        <v>168</v>
      </c>
      <c r="O251" s="36" t="n">
        <v>160</v>
      </c>
      <c r="P251" s="36" t="n">
        <v>165</v>
      </c>
      <c r="Q251" s="36" t="n">
        <v>125</v>
      </c>
      <c r="R251" s="28" t="n">
        <v>158</v>
      </c>
      <c r="S251" s="36" t="n">
        <v>96</v>
      </c>
      <c r="T251" s="36" t="n">
        <v>179</v>
      </c>
      <c r="U251" s="36" t="n">
        <v>127.1</v>
      </c>
      <c r="V251" s="36" t="n">
        <v>124.72</v>
      </c>
      <c r="W251" s="36" t="n">
        <v>122</v>
      </c>
      <c r="X251" s="36" t="n">
        <v>98.34</v>
      </c>
      <c r="Y251" s="28" t="n">
        <v>143.32</v>
      </c>
      <c r="Z251" s="36" t="n">
        <v>121.49</v>
      </c>
      <c r="AA251" s="36" t="n">
        <v>135.19</v>
      </c>
      <c r="AB251" s="36" t="n">
        <v>150.16</v>
      </c>
      <c r="AC251" s="36" t="n">
        <v>158.34</v>
      </c>
      <c r="AD251" s="36" t="n">
        <v>174.43</v>
      </c>
      <c r="AE251" s="36" t="n">
        <v>114.38</v>
      </c>
      <c r="AF251" s="28" t="n">
        <v>147.59</v>
      </c>
      <c r="AG251" s="36" t="n">
        <v>124.26</v>
      </c>
      <c r="AH251" s="37" t="n">
        <v>122.95</v>
      </c>
      <c r="AI251" s="37" t="n">
        <v>140.57</v>
      </c>
      <c r="AJ251" s="37" t="n">
        <v>151.05</v>
      </c>
      <c r="AK251" s="37" t="n">
        <v>148.98</v>
      </c>
      <c r="AL251" s="37" t="n">
        <v>105.96</v>
      </c>
      <c r="AM251" s="37" t="n">
        <v>145.52</v>
      </c>
      <c r="AN251" s="37" t="n">
        <v>125.52</v>
      </c>
      <c r="AO251" s="37" t="n">
        <v>125.05</v>
      </c>
      <c r="AP251" s="37" t="n">
        <v>121.21</v>
      </c>
      <c r="AQ251" s="37" t="n">
        <v>122.28</v>
      </c>
      <c r="AR251" s="37" t="n">
        <v>120.13</v>
      </c>
      <c r="AS251" s="37" t="n">
        <v>98.67</v>
      </c>
      <c r="AT251" s="37" t="n">
        <v>157.77</v>
      </c>
      <c r="AU251" s="37" t="n">
        <v>142.72</v>
      </c>
      <c r="AV251" s="37" t="n">
        <v>126.82</v>
      </c>
      <c r="AW251" s="37" t="n">
        <v>119.81</v>
      </c>
      <c r="AX251" s="37" t="n">
        <v>119.15</v>
      </c>
      <c r="AY251" s="37" t="n">
        <v>118.59</v>
      </c>
      <c r="AZ251" s="37" t="n">
        <v>98.71000000000001</v>
      </c>
      <c r="BA251" s="37" t="n">
        <v>142.16</v>
      </c>
      <c r="BB251" s="37" t="n">
        <v>132.71</v>
      </c>
      <c r="BC251" s="37" t="n">
        <v>78.5</v>
      </c>
      <c r="BD251" s="37" t="n">
        <v>114.57</v>
      </c>
      <c r="BE251" s="37" t="n">
        <v>134.82</v>
      </c>
      <c r="BF251" s="37" t="n">
        <v>130.98</v>
      </c>
      <c r="BG251" s="37" t="n">
        <v>106.05</v>
      </c>
      <c r="BH251" s="37" t="n">
        <v>157.54</v>
      </c>
      <c r="BI251" s="37" t="n">
        <v>132.71</v>
      </c>
      <c r="BJ251" s="37" t="n">
        <v>132.7</v>
      </c>
      <c r="BK251" s="37" t="n">
        <v>134.63</v>
      </c>
      <c r="BL251" s="37" t="n">
        <v>134.82</v>
      </c>
      <c r="BM251" s="37" t="n">
        <v>130.98</v>
      </c>
      <c r="BN251" s="37" t="n">
        <v>106.05</v>
      </c>
      <c r="BO251" s="37" t="n">
        <v>157.54</v>
      </c>
      <c r="BP251" s="37" t="n">
        <v>132.71</v>
      </c>
      <c r="BQ251" s="37" t="n">
        <v>131.16</v>
      </c>
      <c r="BR251" s="37" t="n">
        <v>134.63</v>
      </c>
      <c r="BS251" s="37" t="n">
        <v>134.82</v>
      </c>
      <c r="BT251" s="37" t="n">
        <v>130.98</v>
      </c>
      <c r="BU251" s="37" t="n">
        <v>106.05</v>
      </c>
      <c r="BV251" s="37" t="n">
        <v>157.54</v>
      </c>
      <c r="BW251" s="37" t="n">
        <v>132.71</v>
      </c>
      <c r="BX251" s="37" t="n">
        <v>131.16</v>
      </c>
      <c r="BY251" s="37" t="n">
        <v>134.63</v>
      </c>
      <c r="BZ251" s="37" t="n">
        <v>134.82</v>
      </c>
      <c r="CA251" s="37" t="n">
        <v>130.98</v>
      </c>
      <c r="CB251" s="37" t="n">
        <v>106.05</v>
      </c>
      <c r="CC251" s="37" t="n">
        <v>10021.78</v>
      </c>
    </row>
    <row r="252" ht="15.75" customHeight="1" s="57">
      <c r="A252" s="7" t="inlineStr">
        <is>
          <t>NTB</t>
        </is>
      </c>
      <c r="B252" s="7" t="inlineStr">
        <is>
          <t>Khánh Hòa</t>
        </is>
      </c>
      <c r="C252" s="7" t="n">
        <v>21569000</v>
      </c>
      <c r="D252" s="7" t="inlineStr">
        <is>
          <t>(KHO) Đông Ninh Hòa</t>
        </is>
      </c>
      <c r="E252" s="7" t="inlineStr">
        <is>
          <t>TTS-Bulky</t>
        </is>
      </c>
      <c r="F252" s="36" t="n">
        <v>3</v>
      </c>
      <c r="G252" s="36" t="n">
        <v>1</v>
      </c>
      <c r="H252" s="36" t="n">
        <v>6</v>
      </c>
      <c r="I252" s="36" t="n">
        <v>2</v>
      </c>
      <c r="J252" s="36" t="n">
        <v>4</v>
      </c>
      <c r="K252" s="28" t="n">
        <v>0</v>
      </c>
      <c r="L252" s="36" t="n">
        <v>0</v>
      </c>
      <c r="M252" s="36" t="n">
        <v>3</v>
      </c>
      <c r="N252" s="36" t="n">
        <v>0</v>
      </c>
      <c r="O252" s="36" t="n">
        <v>1</v>
      </c>
      <c r="P252" s="36" t="n">
        <v>0</v>
      </c>
      <c r="Q252" s="36" t="n">
        <v>4</v>
      </c>
      <c r="R252" s="28" t="n">
        <v>1</v>
      </c>
      <c r="S252" s="36" t="n">
        <v>0</v>
      </c>
      <c r="T252" s="36" t="n">
        <v>2</v>
      </c>
      <c r="U252" s="36" t="n">
        <v>6.89</v>
      </c>
      <c r="V252" s="36" t="n">
        <v>6.6</v>
      </c>
      <c r="W252" s="36" t="n">
        <v>3.32</v>
      </c>
      <c r="X252" s="36" t="n">
        <v>2.49</v>
      </c>
      <c r="Y252" s="28" t="n">
        <v>4.24</v>
      </c>
      <c r="Z252" s="36" t="n">
        <v>3.11</v>
      </c>
      <c r="AA252" s="36" t="n">
        <v>3.53</v>
      </c>
      <c r="AB252" s="36" t="n">
        <v>3.78</v>
      </c>
      <c r="AC252" s="36" t="n">
        <v>4.11</v>
      </c>
      <c r="AD252" s="36" t="n">
        <v>5.15</v>
      </c>
      <c r="AE252" s="36" t="n">
        <v>2.74</v>
      </c>
      <c r="AF252" s="28" t="n">
        <v>4.03</v>
      </c>
      <c r="AG252" s="36" t="n">
        <v>3.24</v>
      </c>
      <c r="AH252" s="37" t="n">
        <v>3.24</v>
      </c>
      <c r="AI252" s="37" t="n">
        <v>3.36</v>
      </c>
      <c r="AJ252" s="37" t="n">
        <v>3.7</v>
      </c>
      <c r="AK252" s="37" t="n">
        <v>3.57</v>
      </c>
      <c r="AL252" s="37" t="n">
        <v>2.53</v>
      </c>
      <c r="AM252" s="37" t="n">
        <v>3.99</v>
      </c>
      <c r="AN252" s="37" t="n">
        <v>3.32</v>
      </c>
      <c r="AO252" s="37" t="n">
        <v>3.24</v>
      </c>
      <c r="AP252" s="37" t="n">
        <v>3.28</v>
      </c>
      <c r="AQ252" s="37" t="n">
        <v>3.28</v>
      </c>
      <c r="AR252" s="37" t="n">
        <v>3.28</v>
      </c>
      <c r="AS252" s="37" t="n">
        <v>2.41</v>
      </c>
      <c r="AT252" s="37" t="n">
        <v>4.19</v>
      </c>
      <c r="AU252" s="37" t="n">
        <v>3.78</v>
      </c>
      <c r="AV252" s="37" t="n">
        <v>3.36</v>
      </c>
      <c r="AW252" s="37" t="n">
        <v>3.24</v>
      </c>
      <c r="AX252" s="37" t="n">
        <v>3.24</v>
      </c>
      <c r="AY252" s="37" t="n">
        <v>3.28</v>
      </c>
      <c r="AZ252" s="37" t="n">
        <v>2.41</v>
      </c>
      <c r="BA252" s="37" t="n">
        <v>3.7</v>
      </c>
      <c r="BB252" s="37" t="n">
        <v>0.87</v>
      </c>
      <c r="BC252" s="37" t="n">
        <v>0.54</v>
      </c>
      <c r="BD252" s="37" t="n">
        <v>0.62</v>
      </c>
      <c r="BE252" s="37" t="n">
        <v>0.87</v>
      </c>
      <c r="BF252" s="37" t="n">
        <v>0.91</v>
      </c>
      <c r="BG252" s="37" t="n">
        <v>0.62</v>
      </c>
      <c r="BH252" s="37" t="n">
        <v>1.16</v>
      </c>
      <c r="BI252" s="37" t="n">
        <v>0.96</v>
      </c>
      <c r="BJ252" s="37" t="n">
        <v>1.2</v>
      </c>
      <c r="BK252" s="37" t="n">
        <v>0.91</v>
      </c>
      <c r="BL252" s="37" t="n">
        <v>0.87</v>
      </c>
      <c r="BM252" s="37" t="n">
        <v>0.91</v>
      </c>
      <c r="BN252" s="37" t="n">
        <v>0.62</v>
      </c>
      <c r="BO252" s="37" t="n">
        <v>1.41</v>
      </c>
      <c r="BP252" s="37" t="n">
        <v>1.08</v>
      </c>
      <c r="BQ252" s="37" t="n">
        <v>0.91</v>
      </c>
      <c r="BR252" s="37" t="n">
        <v>0.91</v>
      </c>
      <c r="BS252" s="37" t="n">
        <v>0.87</v>
      </c>
      <c r="BT252" s="37" t="n">
        <v>0.91</v>
      </c>
      <c r="BU252" s="37" t="n">
        <v>0.62</v>
      </c>
      <c r="BV252" s="37" t="n">
        <v>1.08</v>
      </c>
      <c r="BW252" s="37" t="n">
        <v>0.96</v>
      </c>
      <c r="BX252" s="37" t="n">
        <v>0.91</v>
      </c>
      <c r="BY252" s="37" t="n">
        <v>0.91</v>
      </c>
      <c r="BZ252" s="37" t="n">
        <v>0.87</v>
      </c>
      <c r="CA252" s="37" t="n">
        <v>0.91</v>
      </c>
      <c r="CB252" s="37" t="n">
        <v>0.62</v>
      </c>
      <c r="CC252" s="37" t="n">
        <v>170.66</v>
      </c>
    </row>
    <row r="253" ht="15.75" customHeight="1" s="57">
      <c r="A253" s="7" t="inlineStr">
        <is>
          <t>NTB</t>
        </is>
      </c>
      <c r="B253" s="7" t="inlineStr">
        <is>
          <t>Khánh Hòa</t>
        </is>
      </c>
      <c r="C253" s="7" t="n">
        <v>21722000</v>
      </c>
      <c r="D253" s="7" t="inlineStr">
        <is>
          <t>(KHO) Tu Bông</t>
        </is>
      </c>
      <c r="E253" s="7" t="inlineStr">
        <is>
          <t>SME</t>
        </is>
      </c>
      <c r="F253" s="36" t="n">
        <v>165</v>
      </c>
      <c r="G253" s="36" t="n">
        <v>265</v>
      </c>
      <c r="H253" s="36" t="n">
        <v>207</v>
      </c>
      <c r="I253" s="36" t="n">
        <v>169</v>
      </c>
      <c r="J253" s="36" t="n">
        <v>242</v>
      </c>
      <c r="K253" s="28" t="n">
        <v>174</v>
      </c>
      <c r="L253" s="36" t="n">
        <v>150</v>
      </c>
      <c r="M253" s="36" t="n">
        <v>149</v>
      </c>
      <c r="N253" s="36" t="n">
        <v>200</v>
      </c>
      <c r="O253" s="36" t="n">
        <v>186</v>
      </c>
      <c r="P253" s="36" t="n">
        <v>191</v>
      </c>
      <c r="Q253" s="36" t="n">
        <v>162</v>
      </c>
      <c r="R253" s="28" t="n">
        <v>165</v>
      </c>
      <c r="S253" s="36" t="n">
        <v>161</v>
      </c>
      <c r="T253" s="36" t="n">
        <v>206</v>
      </c>
      <c r="U253" s="36" t="n">
        <v>224.14</v>
      </c>
      <c r="V253" s="36" t="n">
        <v>232</v>
      </c>
      <c r="W253" s="36" t="n">
        <v>225.64</v>
      </c>
      <c r="X253" s="36" t="n">
        <v>184.66</v>
      </c>
      <c r="Y253" s="28" t="n">
        <v>250.03</v>
      </c>
      <c r="Z253" s="36" t="n">
        <v>230.3</v>
      </c>
      <c r="AA253" s="36" t="n">
        <v>224.61</v>
      </c>
      <c r="AB253" s="36" t="n">
        <v>224.14</v>
      </c>
      <c r="AC253" s="36" t="n">
        <v>232</v>
      </c>
      <c r="AD253" s="36" t="n">
        <v>227.39</v>
      </c>
      <c r="AE253" s="36" t="n">
        <v>184.66</v>
      </c>
      <c r="AF253" s="28" t="n">
        <v>250.03</v>
      </c>
      <c r="AG253" s="36" t="n">
        <v>230.3</v>
      </c>
      <c r="AH253" s="37" t="n">
        <v>224.61</v>
      </c>
      <c r="AI253" s="37" t="n">
        <v>224.14</v>
      </c>
      <c r="AJ253" s="37" t="n">
        <v>232</v>
      </c>
      <c r="AK253" s="37" t="n">
        <v>225.64</v>
      </c>
      <c r="AL253" s="37" t="n">
        <v>184.66</v>
      </c>
      <c r="AM253" s="37" t="n">
        <v>250.03</v>
      </c>
      <c r="AN253" s="37" t="n">
        <v>230.3</v>
      </c>
      <c r="AO253" s="37" t="n">
        <v>224.61</v>
      </c>
      <c r="AP253" s="37" t="n">
        <v>224.14</v>
      </c>
      <c r="AQ253" s="37" t="n">
        <v>232</v>
      </c>
      <c r="AR253" s="37" t="n">
        <v>225.64</v>
      </c>
      <c r="AS253" s="37" t="n">
        <v>184.66</v>
      </c>
      <c r="AT253" s="37" t="n">
        <v>250.03</v>
      </c>
      <c r="AU253" s="37" t="n">
        <v>230.3</v>
      </c>
      <c r="AV253" s="37" t="n">
        <v>224.61</v>
      </c>
      <c r="AW253" s="37" t="n">
        <v>224.14</v>
      </c>
      <c r="AX253" s="37" t="n">
        <v>232</v>
      </c>
      <c r="AY253" s="37" t="n">
        <v>225.64</v>
      </c>
      <c r="AZ253" s="37" t="n">
        <v>184.66</v>
      </c>
      <c r="BA253" s="37" t="n">
        <v>225.02</v>
      </c>
      <c r="BB253" s="37" t="n">
        <v>201.97</v>
      </c>
      <c r="BC253" s="37" t="n">
        <v>127.65</v>
      </c>
      <c r="BD253" s="37" t="n">
        <v>127.14</v>
      </c>
      <c r="BE253" s="37" t="n">
        <v>215.52</v>
      </c>
      <c r="BF253" s="37" t="n">
        <v>209.64</v>
      </c>
      <c r="BG253" s="37" t="n">
        <v>190.29</v>
      </c>
      <c r="BH253" s="37" t="n">
        <v>258.05</v>
      </c>
      <c r="BI253" s="37" t="n">
        <v>237.61</v>
      </c>
      <c r="BJ253" s="37" t="n">
        <v>233.41</v>
      </c>
      <c r="BK253" s="37" t="n">
        <v>231.26</v>
      </c>
      <c r="BL253" s="37" t="n">
        <v>239.35</v>
      </c>
      <c r="BM253" s="37" t="n">
        <v>232.84</v>
      </c>
      <c r="BN253" s="37" t="n">
        <v>190.29</v>
      </c>
      <c r="BO253" s="37" t="n">
        <v>258.05</v>
      </c>
      <c r="BP253" s="37" t="n">
        <v>237.61</v>
      </c>
      <c r="BQ253" s="37" t="n">
        <v>231.7</v>
      </c>
      <c r="BR253" s="37" t="n">
        <v>231.26</v>
      </c>
      <c r="BS253" s="37" t="n">
        <v>239.35</v>
      </c>
      <c r="BT253" s="37" t="n">
        <v>232.84</v>
      </c>
      <c r="BU253" s="37" t="n">
        <v>190.29</v>
      </c>
      <c r="BV253" s="37" t="n">
        <v>258.05</v>
      </c>
      <c r="BW253" s="37" t="n">
        <v>237.61</v>
      </c>
      <c r="BX253" s="37" t="n">
        <v>231.7</v>
      </c>
      <c r="BY253" s="37" t="n">
        <v>231.26</v>
      </c>
      <c r="BZ253" s="37" t="n">
        <v>239.35</v>
      </c>
      <c r="CA253" s="37" t="n">
        <v>232.84</v>
      </c>
      <c r="CB253" s="37" t="n">
        <v>190.29</v>
      </c>
      <c r="CC253" s="37" t="n">
        <v>16107.95</v>
      </c>
    </row>
    <row r="254" ht="15.75" customHeight="1" s="57">
      <c r="A254" s="7" t="inlineStr">
        <is>
          <t>NTB</t>
        </is>
      </c>
      <c r="B254" s="7" t="inlineStr">
        <is>
          <t>Khánh Hòa</t>
        </is>
      </c>
      <c r="C254" s="7" t="n">
        <v>21722000</v>
      </c>
      <c r="D254" s="7" t="inlineStr">
        <is>
          <t>(KHO) Tu Bông</t>
        </is>
      </c>
      <c r="E254" s="7" t="inlineStr">
        <is>
          <t>SME-Bulky</t>
        </is>
      </c>
      <c r="F254" s="36" t="n">
        <v>11</v>
      </c>
      <c r="G254" s="36" t="n">
        <v>7</v>
      </c>
      <c r="H254" s="36" t="n">
        <v>6</v>
      </c>
      <c r="I254" s="36" t="n">
        <v>12</v>
      </c>
      <c r="J254" s="36" t="n">
        <v>12</v>
      </c>
      <c r="K254" s="28" t="n">
        <v>9</v>
      </c>
      <c r="L254" s="36" t="n">
        <v>7</v>
      </c>
      <c r="M254" s="36" t="n">
        <v>7</v>
      </c>
      <c r="N254" s="36" t="n">
        <v>7</v>
      </c>
      <c r="O254" s="36" t="n">
        <v>9</v>
      </c>
      <c r="P254" s="36" t="n">
        <v>9</v>
      </c>
      <c r="Q254" s="36" t="n">
        <v>13</v>
      </c>
      <c r="R254" s="28" t="n">
        <v>5</v>
      </c>
      <c r="S254" s="36" t="n">
        <v>5</v>
      </c>
      <c r="T254" s="36" t="n">
        <v>4</v>
      </c>
      <c r="U254" s="36" t="n">
        <v>7.73</v>
      </c>
      <c r="V254" s="36" t="n">
        <v>7.83</v>
      </c>
      <c r="W254" s="36" t="n">
        <v>7.27</v>
      </c>
      <c r="X254" s="36" t="n">
        <v>4.84</v>
      </c>
      <c r="Y254" s="28" t="n">
        <v>8.869999999999999</v>
      </c>
      <c r="Z254" s="36" t="n">
        <v>8.550000000000001</v>
      </c>
      <c r="AA254" s="36" t="n">
        <v>8.130000000000001</v>
      </c>
      <c r="AB254" s="36" t="n">
        <v>7.73</v>
      </c>
      <c r="AC254" s="36" t="n">
        <v>7.83</v>
      </c>
      <c r="AD254" s="36" t="n">
        <v>6.87</v>
      </c>
      <c r="AE254" s="36" t="n">
        <v>4.84</v>
      </c>
      <c r="AF254" s="28" t="n">
        <v>8.869999999999999</v>
      </c>
      <c r="AG254" s="36" t="n">
        <v>8.550000000000001</v>
      </c>
      <c r="AH254" s="37" t="n">
        <v>8.130000000000001</v>
      </c>
      <c r="AI254" s="37" t="n">
        <v>7.73</v>
      </c>
      <c r="AJ254" s="37" t="n">
        <v>7.83</v>
      </c>
      <c r="AK254" s="37" t="n">
        <v>7.27</v>
      </c>
      <c r="AL254" s="37" t="n">
        <v>4.84</v>
      </c>
      <c r="AM254" s="37" t="n">
        <v>8.869999999999999</v>
      </c>
      <c r="AN254" s="37" t="n">
        <v>8.550000000000001</v>
      </c>
      <c r="AO254" s="37" t="n">
        <v>8.130000000000001</v>
      </c>
      <c r="AP254" s="37" t="n">
        <v>7.73</v>
      </c>
      <c r="AQ254" s="37" t="n">
        <v>7.83</v>
      </c>
      <c r="AR254" s="37" t="n">
        <v>7.27</v>
      </c>
      <c r="AS254" s="37" t="n">
        <v>4.84</v>
      </c>
      <c r="AT254" s="37" t="n">
        <v>8.869999999999999</v>
      </c>
      <c r="AU254" s="37" t="n">
        <v>8.550000000000001</v>
      </c>
      <c r="AV254" s="37" t="n">
        <v>8.130000000000001</v>
      </c>
      <c r="AW254" s="37" t="n">
        <v>7.73</v>
      </c>
      <c r="AX254" s="37" t="n">
        <v>7.83</v>
      </c>
      <c r="AY254" s="37" t="n">
        <v>7.27</v>
      </c>
      <c r="AZ254" s="37" t="n">
        <v>4.84</v>
      </c>
      <c r="BA254" s="37" t="n">
        <v>8.83</v>
      </c>
      <c r="BB254" s="37" t="n">
        <v>4.58</v>
      </c>
      <c r="BC254" s="37" t="n">
        <v>2.32</v>
      </c>
      <c r="BD254" s="37" t="n">
        <v>2.12</v>
      </c>
      <c r="BE254" s="37" t="n">
        <v>3.96</v>
      </c>
      <c r="BF254" s="37" t="n">
        <v>3.66</v>
      </c>
      <c r="BG254" s="37" t="n">
        <v>2.92</v>
      </c>
      <c r="BH254" s="37" t="n">
        <v>5.2</v>
      </c>
      <c r="BI254" s="37" t="n">
        <v>5.12</v>
      </c>
      <c r="BJ254" s="37" t="n">
        <v>4.46</v>
      </c>
      <c r="BK254" s="37" t="n">
        <v>4.58</v>
      </c>
      <c r="BL254" s="37" t="n">
        <v>4.68</v>
      </c>
      <c r="BM254" s="37" t="n">
        <v>4.26</v>
      </c>
      <c r="BN254" s="37" t="n">
        <v>2.92</v>
      </c>
      <c r="BO254" s="37" t="n">
        <v>5.2</v>
      </c>
      <c r="BP254" s="37" t="n">
        <v>5.12</v>
      </c>
      <c r="BQ254" s="37" t="n">
        <v>4.78</v>
      </c>
      <c r="BR254" s="37" t="n">
        <v>4.58</v>
      </c>
      <c r="BS254" s="37" t="n">
        <v>4.68</v>
      </c>
      <c r="BT254" s="37" t="n">
        <v>4.26</v>
      </c>
      <c r="BU254" s="37" t="n">
        <v>2.92</v>
      </c>
      <c r="BV254" s="37" t="n">
        <v>5.2</v>
      </c>
      <c r="BW254" s="37" t="n">
        <v>5.12</v>
      </c>
      <c r="BX254" s="37" t="n">
        <v>4.78</v>
      </c>
      <c r="BY254" s="37" t="n">
        <v>4.58</v>
      </c>
      <c r="BZ254" s="37" t="n">
        <v>4.68</v>
      </c>
      <c r="CA254" s="37" t="n">
        <v>4.26</v>
      </c>
      <c r="CB254" s="37" t="n">
        <v>2.92</v>
      </c>
      <c r="CC254" s="37" t="n">
        <v>485.8399999999999</v>
      </c>
    </row>
    <row r="255" ht="15.75" customHeight="1" s="57">
      <c r="A255" s="7" t="inlineStr">
        <is>
          <t>NTB</t>
        </is>
      </c>
      <c r="B255" s="7" t="inlineStr">
        <is>
          <t>Khánh Hòa</t>
        </is>
      </c>
      <c r="C255" s="7" t="n">
        <v>21722000</v>
      </c>
      <c r="D255" s="7" t="inlineStr">
        <is>
          <t>(KHO) Tu Bông</t>
        </is>
      </c>
      <c r="E255" s="7" t="inlineStr">
        <is>
          <t>Shopee</t>
        </is>
      </c>
      <c r="F255" s="36" t="n">
        <v>87</v>
      </c>
      <c r="G255" s="36" t="n">
        <v>161</v>
      </c>
      <c r="H255" s="36" t="n">
        <v>107</v>
      </c>
      <c r="I255" s="36" t="n">
        <v>134</v>
      </c>
      <c r="J255" s="36" t="n">
        <v>102</v>
      </c>
      <c r="K255" s="28" t="n">
        <v>52</v>
      </c>
      <c r="L255" s="36" t="n">
        <v>80</v>
      </c>
      <c r="M255" s="36" t="n">
        <v>72</v>
      </c>
      <c r="N255" s="36" t="n">
        <v>163</v>
      </c>
      <c r="O255" s="36" t="n">
        <v>110</v>
      </c>
      <c r="P255" s="36" t="n">
        <v>94</v>
      </c>
      <c r="Q255" s="36" t="n">
        <v>89</v>
      </c>
      <c r="R255" s="28" t="n">
        <v>69</v>
      </c>
      <c r="S255" s="36" t="n">
        <v>83</v>
      </c>
      <c r="T255" s="36" t="n">
        <v>116</v>
      </c>
      <c r="U255" s="36" t="n">
        <v>179.64</v>
      </c>
      <c r="V255" s="36" t="n">
        <v>180.33</v>
      </c>
      <c r="W255" s="36" t="n">
        <v>177.75</v>
      </c>
      <c r="X255" s="36" t="n">
        <v>144.53</v>
      </c>
      <c r="Y255" s="28" t="n">
        <v>242.12</v>
      </c>
      <c r="Z255" s="36" t="n">
        <v>191.48</v>
      </c>
      <c r="AA255" s="36" t="n">
        <v>263.41</v>
      </c>
      <c r="AB255" s="36" t="n">
        <v>183.24</v>
      </c>
      <c r="AC255" s="36" t="n">
        <v>148.08</v>
      </c>
      <c r="AD255" s="36" t="n">
        <v>454.89</v>
      </c>
      <c r="AE255" s="36" t="n">
        <v>154.81</v>
      </c>
      <c r="AF255" s="28" t="n">
        <v>275.71</v>
      </c>
      <c r="AG255" s="36" t="n">
        <v>201.16</v>
      </c>
      <c r="AH255" s="37" t="n">
        <v>212.4</v>
      </c>
      <c r="AI255" s="37" t="n">
        <v>179.64</v>
      </c>
      <c r="AJ255" s="37" t="n">
        <v>180.33</v>
      </c>
      <c r="AK255" s="37" t="n">
        <v>239.82</v>
      </c>
      <c r="AL255" s="37" t="n">
        <v>259.4</v>
      </c>
      <c r="AM255" s="37" t="n">
        <v>242.12</v>
      </c>
      <c r="AN255" s="37" t="n">
        <v>191.48</v>
      </c>
      <c r="AO255" s="37" t="n">
        <v>212.4</v>
      </c>
      <c r="AP255" s="37" t="n">
        <v>224.1</v>
      </c>
      <c r="AQ255" s="37" t="n">
        <v>144.58</v>
      </c>
      <c r="AR255" s="37" t="n">
        <v>177.75</v>
      </c>
      <c r="AS255" s="37" t="n">
        <v>144.53</v>
      </c>
      <c r="AT255" s="37" t="n">
        <v>242.12</v>
      </c>
      <c r="AU255" s="37" t="n">
        <v>195.45</v>
      </c>
      <c r="AV255" s="37" t="n">
        <v>216.69</v>
      </c>
      <c r="AW255" s="37" t="n">
        <v>179.64</v>
      </c>
      <c r="AX255" s="37" t="n">
        <v>180.33</v>
      </c>
      <c r="AY255" s="37" t="n">
        <v>177.75</v>
      </c>
      <c r="AZ255" s="37" t="n">
        <v>144.53</v>
      </c>
      <c r="BA255" s="37" t="n">
        <v>186.46</v>
      </c>
      <c r="BB255" s="37" t="n">
        <v>162.55</v>
      </c>
      <c r="BC255" s="37" t="n">
        <v>82.8</v>
      </c>
      <c r="BD255" s="37" t="n">
        <v>147.16</v>
      </c>
      <c r="BE255" s="37" t="n">
        <v>171.81</v>
      </c>
      <c r="BF255" s="37" t="n">
        <v>169.37</v>
      </c>
      <c r="BG255" s="37" t="n">
        <v>140.53</v>
      </c>
      <c r="BH255" s="37" t="n">
        <v>230.69</v>
      </c>
      <c r="BI255" s="37" t="n">
        <v>150.06</v>
      </c>
      <c r="BJ255" s="37" t="n">
        <v>645.77</v>
      </c>
      <c r="BK255" s="37" t="n">
        <v>183.05</v>
      </c>
      <c r="BL255" s="37" t="n">
        <v>180.1</v>
      </c>
      <c r="BM255" s="37" t="n">
        <v>169.37</v>
      </c>
      <c r="BN255" s="37" t="n">
        <v>137.72</v>
      </c>
      <c r="BO255" s="37" t="n">
        <v>230.69</v>
      </c>
      <c r="BP255" s="37" t="n">
        <v>246.08</v>
      </c>
      <c r="BQ255" s="37" t="n">
        <v>363.48</v>
      </c>
      <c r="BR255" s="37" t="n">
        <v>171.12</v>
      </c>
      <c r="BS255" s="37" t="n">
        <v>171.81</v>
      </c>
      <c r="BT255" s="37" t="n">
        <v>169.37</v>
      </c>
      <c r="BU255" s="37" t="n">
        <v>171.9</v>
      </c>
      <c r="BV255" s="37" t="n">
        <v>184.62</v>
      </c>
      <c r="BW255" s="37" t="n">
        <v>182.36</v>
      </c>
      <c r="BX255" s="37" t="n">
        <v>202.31</v>
      </c>
      <c r="BY255" s="37" t="n">
        <v>171.12</v>
      </c>
      <c r="BZ255" s="37" t="n">
        <v>175.36</v>
      </c>
      <c r="CA255" s="37" t="n">
        <v>172.69</v>
      </c>
      <c r="CB255" s="37" t="n">
        <v>137.72</v>
      </c>
      <c r="CC255" s="37" t="n">
        <v>13569.28</v>
      </c>
    </row>
    <row r="256" ht="15.75" customHeight="1" s="57">
      <c r="A256" s="7" t="inlineStr">
        <is>
          <t>NTB</t>
        </is>
      </c>
      <c r="B256" s="7" t="inlineStr">
        <is>
          <t>Khánh Hòa</t>
        </is>
      </c>
      <c r="C256" s="7" t="n">
        <v>21722000</v>
      </c>
      <c r="D256" s="7" t="inlineStr">
        <is>
          <t>(KHO) Tu Bông</t>
        </is>
      </c>
      <c r="E256" s="7" t="inlineStr">
        <is>
          <t>Shopee-Bulky</t>
        </is>
      </c>
      <c r="F256" s="36" t="n">
        <v>15.37</v>
      </c>
      <c r="G256" s="36" t="n">
        <v>17.29</v>
      </c>
      <c r="H256" s="36" t="n">
        <v>14.09</v>
      </c>
      <c r="I256" s="36" t="n">
        <v>13.45</v>
      </c>
      <c r="J256" s="36" t="n">
        <v>8.33</v>
      </c>
      <c r="K256" s="28" t="n">
        <v>4.48</v>
      </c>
      <c r="L256" s="36" t="n">
        <v>8.33</v>
      </c>
      <c r="M256" s="36" t="n">
        <v>8.970000000000001</v>
      </c>
      <c r="N256" s="36" t="n">
        <v>12.17</v>
      </c>
      <c r="O256" s="36" t="n">
        <v>9.609999999999999</v>
      </c>
      <c r="P256" s="36" t="n">
        <v>8.970000000000001</v>
      </c>
      <c r="Q256" s="36" t="n">
        <v>12.81</v>
      </c>
      <c r="R256" s="28" t="n">
        <v>13.45</v>
      </c>
      <c r="S256" s="36" t="n">
        <v>14.09</v>
      </c>
      <c r="T256" s="36" t="n">
        <v>11.53</v>
      </c>
      <c r="U256" s="36" t="n">
        <v>10.83</v>
      </c>
      <c r="V256" s="36" t="n">
        <v>10.5</v>
      </c>
      <c r="W256" s="36" t="n">
        <v>14.65</v>
      </c>
      <c r="X256" s="36" t="n">
        <v>8.09</v>
      </c>
      <c r="Y256" s="28" t="n">
        <v>15.98</v>
      </c>
      <c r="Z256" s="36" t="n">
        <v>12.45</v>
      </c>
      <c r="AA256" s="36" t="n">
        <v>12.06</v>
      </c>
      <c r="AB256" s="36" t="n">
        <v>12.32</v>
      </c>
      <c r="AC256" s="36" t="n">
        <v>13.04</v>
      </c>
      <c r="AD256" s="36" t="n">
        <v>36.24</v>
      </c>
      <c r="AE256" s="36" t="n">
        <v>20.76</v>
      </c>
      <c r="AF256" s="28" t="n">
        <v>31.49</v>
      </c>
      <c r="AG256" s="36" t="n">
        <v>17.8</v>
      </c>
      <c r="AH256" s="37" t="n">
        <v>12.36</v>
      </c>
      <c r="AI256" s="37" t="n">
        <v>12.06</v>
      </c>
      <c r="AJ256" s="37" t="n">
        <v>11.89</v>
      </c>
      <c r="AK256" s="37" t="n">
        <v>26.96</v>
      </c>
      <c r="AL256" s="37" t="n">
        <v>13.63</v>
      </c>
      <c r="AM256" s="37" t="n">
        <v>19.62</v>
      </c>
      <c r="AN256" s="37" t="n">
        <v>12.28</v>
      </c>
      <c r="AO256" s="37" t="n">
        <v>12</v>
      </c>
      <c r="AP256" s="37" t="n">
        <v>16.53</v>
      </c>
      <c r="AQ256" s="37" t="n">
        <v>16.25</v>
      </c>
      <c r="AR256" s="37" t="n">
        <v>13.28</v>
      </c>
      <c r="AS256" s="37" t="n">
        <v>7.11</v>
      </c>
      <c r="AT256" s="37" t="n">
        <v>14.61</v>
      </c>
      <c r="AU256" s="37" t="n">
        <v>23.93</v>
      </c>
      <c r="AV256" s="37" t="n">
        <v>24.89</v>
      </c>
      <c r="AW256" s="37" t="n">
        <v>12.14</v>
      </c>
      <c r="AX256" s="37" t="n">
        <v>11.4</v>
      </c>
      <c r="AY256" s="37" t="n">
        <v>12.71</v>
      </c>
      <c r="AZ256" s="37" t="n">
        <v>6.81</v>
      </c>
      <c r="BA256" s="37" t="n">
        <v>13.32</v>
      </c>
      <c r="BB256" s="37" t="n">
        <v>12.49</v>
      </c>
      <c r="BC256" s="37" t="n">
        <v>4.31</v>
      </c>
      <c r="BD256" s="37" t="n">
        <v>10.61</v>
      </c>
      <c r="BE256" s="37" t="n">
        <v>13.18</v>
      </c>
      <c r="BF256" s="37" t="n">
        <v>11.51</v>
      </c>
      <c r="BG256" s="37" t="n">
        <v>9.24</v>
      </c>
      <c r="BH256" s="37" t="n">
        <v>17.06</v>
      </c>
      <c r="BI256" s="37" t="n">
        <v>14.51</v>
      </c>
      <c r="BJ256" s="37" t="n">
        <v>57.29</v>
      </c>
      <c r="BK256" s="37" t="n">
        <v>30.96</v>
      </c>
      <c r="BL256" s="37" t="n">
        <v>15.92</v>
      </c>
      <c r="BM256" s="37" t="n">
        <v>12.04</v>
      </c>
      <c r="BN256" s="37" t="n">
        <v>9.01</v>
      </c>
      <c r="BO256" s="37" t="n">
        <v>19.97</v>
      </c>
      <c r="BP256" s="37" t="n">
        <v>28.92</v>
      </c>
      <c r="BQ256" s="37" t="n">
        <v>21.13</v>
      </c>
      <c r="BR256" s="37" t="n">
        <v>13.8</v>
      </c>
      <c r="BS256" s="37" t="n">
        <v>13.18</v>
      </c>
      <c r="BT256" s="37" t="n">
        <v>11.51</v>
      </c>
      <c r="BU256" s="37" t="n">
        <v>13.37</v>
      </c>
      <c r="BV256" s="37" t="n">
        <v>18.07</v>
      </c>
      <c r="BW256" s="37" t="n">
        <v>14.51</v>
      </c>
      <c r="BX256" s="37" t="n">
        <v>14.06</v>
      </c>
      <c r="BY256" s="37" t="n">
        <v>13.8</v>
      </c>
      <c r="BZ256" s="37" t="n">
        <v>23.63</v>
      </c>
      <c r="CA256" s="37" t="n">
        <v>13.71</v>
      </c>
      <c r="CB256" s="37" t="n">
        <v>8.75</v>
      </c>
      <c r="CC256" s="37" t="n">
        <v>1129.47</v>
      </c>
    </row>
    <row r="257" ht="15.75" customHeight="1" s="57">
      <c r="A257" s="7" t="inlineStr">
        <is>
          <t>NTB</t>
        </is>
      </c>
      <c r="B257" s="7" t="inlineStr">
        <is>
          <t>Khánh Hòa</t>
        </is>
      </c>
      <c r="C257" s="7" t="n">
        <v>21722000</v>
      </c>
      <c r="D257" s="7" t="inlineStr">
        <is>
          <t>(KHO) Tu Bông</t>
        </is>
      </c>
      <c r="E257" s="7" t="inlineStr">
        <is>
          <t>Shopee-Bulky (10-15kg)</t>
        </is>
      </c>
      <c r="F257" s="36" t="n">
        <v>8.630000000000001</v>
      </c>
      <c r="G257" s="36" t="n">
        <v>9.710000000000001</v>
      </c>
      <c r="H257" s="36" t="n">
        <v>7.91</v>
      </c>
      <c r="I257" s="36" t="n">
        <v>7.55</v>
      </c>
      <c r="J257" s="36" t="n">
        <v>4.67</v>
      </c>
      <c r="K257" s="28" t="n">
        <v>2.52</v>
      </c>
      <c r="L257" s="36" t="n">
        <v>4.67</v>
      </c>
      <c r="M257" s="36" t="n">
        <v>5.03</v>
      </c>
      <c r="N257" s="36" t="n">
        <v>6.83</v>
      </c>
      <c r="O257" s="36" t="n">
        <v>5.39</v>
      </c>
      <c r="P257" s="36" t="n">
        <v>5.03</v>
      </c>
      <c r="Q257" s="36" t="n">
        <v>7.19</v>
      </c>
      <c r="R257" s="28" t="n">
        <v>7.55</v>
      </c>
      <c r="S257" s="36" t="n">
        <v>7.91</v>
      </c>
      <c r="T257" s="36" t="n">
        <v>6.47</v>
      </c>
      <c r="U257" s="36" t="n">
        <v>6.48</v>
      </c>
      <c r="V257" s="36" t="n">
        <v>6.21</v>
      </c>
      <c r="W257" s="36" t="n">
        <v>8.01</v>
      </c>
      <c r="X257" s="36" t="n">
        <v>4.5</v>
      </c>
      <c r="Y257" s="28" t="n">
        <v>9.119999999999999</v>
      </c>
      <c r="Z257" s="36" t="n">
        <v>7.13</v>
      </c>
      <c r="AA257" s="36" t="n">
        <v>6.72</v>
      </c>
      <c r="AB257" s="36" t="n">
        <v>7.03</v>
      </c>
      <c r="AC257" s="36" t="n">
        <v>7.28</v>
      </c>
      <c r="AD257" s="36" t="n">
        <v>27.16</v>
      </c>
      <c r="AE257" s="36" t="n">
        <v>11.28</v>
      </c>
      <c r="AF257" s="28" t="n">
        <v>16.64</v>
      </c>
      <c r="AG257" s="36" t="n">
        <v>9.93</v>
      </c>
      <c r="AH257" s="37" t="n">
        <v>7.03</v>
      </c>
      <c r="AI257" s="37" t="n">
        <v>6.79</v>
      </c>
      <c r="AJ257" s="37" t="n">
        <v>6.66</v>
      </c>
      <c r="AK257" s="37" t="n">
        <v>15.39</v>
      </c>
      <c r="AL257" s="37" t="n">
        <v>7.73</v>
      </c>
      <c r="AM257" s="37" t="n">
        <v>11.1</v>
      </c>
      <c r="AN257" s="37" t="n">
        <v>7.03</v>
      </c>
      <c r="AO257" s="37" t="n">
        <v>6.78</v>
      </c>
      <c r="AP257" s="37" t="n">
        <v>8.77</v>
      </c>
      <c r="AQ257" s="37" t="n">
        <v>9.220000000000001</v>
      </c>
      <c r="AR257" s="37" t="n">
        <v>7.19</v>
      </c>
      <c r="AS257" s="37" t="n">
        <v>3.96</v>
      </c>
      <c r="AT257" s="37" t="n">
        <v>8.26</v>
      </c>
      <c r="AU257" s="37" t="n">
        <v>13.67</v>
      </c>
      <c r="AV257" s="37" t="n">
        <v>14.18</v>
      </c>
      <c r="AW257" s="37" t="n">
        <v>6.87</v>
      </c>
      <c r="AX257" s="37" t="n">
        <v>6.42</v>
      </c>
      <c r="AY257" s="37" t="n">
        <v>6.91</v>
      </c>
      <c r="AZ257" s="37" t="n">
        <v>3.82</v>
      </c>
      <c r="BA257" s="37" t="n">
        <v>7.54</v>
      </c>
      <c r="BB257" s="37" t="n">
        <v>7.23</v>
      </c>
      <c r="BC257" s="37" t="n">
        <v>2.43</v>
      </c>
      <c r="BD257" s="37" t="n">
        <v>5.76</v>
      </c>
      <c r="BE257" s="37" t="n">
        <v>7.42</v>
      </c>
      <c r="BF257" s="37" t="n">
        <v>6.32</v>
      </c>
      <c r="BG257" s="37" t="n">
        <v>5.17</v>
      </c>
      <c r="BH257" s="37" t="n">
        <v>9.890000000000001</v>
      </c>
      <c r="BI257" s="37" t="n">
        <v>8.4</v>
      </c>
      <c r="BJ257" s="37" t="n">
        <v>37.24</v>
      </c>
      <c r="BK257" s="37" t="n">
        <v>17.37</v>
      </c>
      <c r="BL257" s="37" t="n">
        <v>9.24</v>
      </c>
      <c r="BM257" s="37" t="n">
        <v>6.72</v>
      </c>
      <c r="BN257" s="37" t="n">
        <v>5.07</v>
      </c>
      <c r="BO257" s="37" t="n">
        <v>11.12</v>
      </c>
      <c r="BP257" s="37" t="n">
        <v>16.21</v>
      </c>
      <c r="BQ257" s="37" t="n">
        <v>11.92</v>
      </c>
      <c r="BR257" s="37" t="n">
        <v>7.97</v>
      </c>
      <c r="BS257" s="37" t="n">
        <v>7.42</v>
      </c>
      <c r="BT257" s="37" t="n">
        <v>6.32</v>
      </c>
      <c r="BU257" s="37" t="n">
        <v>7.7</v>
      </c>
      <c r="BV257" s="37" t="n">
        <v>10.22</v>
      </c>
      <c r="BW257" s="37" t="n">
        <v>8.4</v>
      </c>
      <c r="BX257" s="37" t="n">
        <v>8.029999999999999</v>
      </c>
      <c r="BY257" s="37" t="n">
        <v>7.97</v>
      </c>
      <c r="BZ257" s="37" t="n">
        <v>13.16</v>
      </c>
      <c r="CA257" s="37" t="n">
        <v>7.85</v>
      </c>
      <c r="CB257" s="37" t="n">
        <v>4.95</v>
      </c>
      <c r="CC257" s="37" t="n">
        <v>647.3700000000002</v>
      </c>
    </row>
    <row r="258" ht="15.75" customHeight="1" s="57">
      <c r="A258" s="7" t="inlineStr">
        <is>
          <t>NTB</t>
        </is>
      </c>
      <c r="B258" s="7" t="inlineStr">
        <is>
          <t>Khánh Hòa</t>
        </is>
      </c>
      <c r="C258" s="7" t="n">
        <v>21722000</v>
      </c>
      <c r="D258" s="7" t="inlineStr">
        <is>
          <t>(KHO) Tu Bông</t>
        </is>
      </c>
      <c r="E258" s="7" t="inlineStr">
        <is>
          <t>TTS</t>
        </is>
      </c>
      <c r="F258" s="36" t="n">
        <v>105</v>
      </c>
      <c r="G258" s="36" t="n">
        <v>159</v>
      </c>
      <c r="H258" s="36" t="n">
        <v>121</v>
      </c>
      <c r="I258" s="36" t="n">
        <v>131</v>
      </c>
      <c r="J258" s="36" t="n">
        <v>148</v>
      </c>
      <c r="K258" s="28" t="n">
        <v>108</v>
      </c>
      <c r="L258" s="36" t="n">
        <v>77</v>
      </c>
      <c r="M258" s="36" t="n">
        <v>104</v>
      </c>
      <c r="N258" s="36" t="n">
        <v>137</v>
      </c>
      <c r="O258" s="36" t="n">
        <v>109</v>
      </c>
      <c r="P258" s="36" t="n">
        <v>134</v>
      </c>
      <c r="Q258" s="36" t="n">
        <v>127</v>
      </c>
      <c r="R258" s="28" t="n">
        <v>103</v>
      </c>
      <c r="S258" s="36" t="n">
        <v>119</v>
      </c>
      <c r="T258" s="36" t="n">
        <v>138</v>
      </c>
      <c r="U258" s="36" t="n">
        <v>104.86</v>
      </c>
      <c r="V258" s="36" t="n">
        <v>102.9</v>
      </c>
      <c r="W258" s="36" t="n">
        <v>100.66</v>
      </c>
      <c r="X258" s="36" t="n">
        <v>81.14</v>
      </c>
      <c r="Y258" s="28" t="n">
        <v>118.25</v>
      </c>
      <c r="Z258" s="36" t="n">
        <v>100.24</v>
      </c>
      <c r="AA258" s="36" t="n">
        <v>111.54</v>
      </c>
      <c r="AB258" s="36" t="n">
        <v>123.89</v>
      </c>
      <c r="AC258" s="36" t="n">
        <v>130.63</v>
      </c>
      <c r="AD258" s="36" t="n">
        <v>143.93</v>
      </c>
      <c r="AE258" s="36" t="n">
        <v>94.36999999999999</v>
      </c>
      <c r="AF258" s="28" t="n">
        <v>121.77</v>
      </c>
      <c r="AG258" s="36" t="n">
        <v>102.51</v>
      </c>
      <c r="AH258" s="37" t="n">
        <v>101.43</v>
      </c>
      <c r="AI258" s="37" t="n">
        <v>115.98</v>
      </c>
      <c r="AJ258" s="37" t="n">
        <v>124.62</v>
      </c>
      <c r="AK258" s="37" t="n">
        <v>122.92</v>
      </c>
      <c r="AL258" s="37" t="n">
        <v>87.42</v>
      </c>
      <c r="AM258" s="37" t="n">
        <v>120.07</v>
      </c>
      <c r="AN258" s="37" t="n">
        <v>103.56</v>
      </c>
      <c r="AO258" s="37" t="n">
        <v>103.16</v>
      </c>
      <c r="AP258" s="37" t="n">
        <v>100.01</v>
      </c>
      <c r="AQ258" s="37" t="n">
        <v>100.89</v>
      </c>
      <c r="AR258" s="37" t="n">
        <v>99.11999999999999</v>
      </c>
      <c r="AS258" s="37" t="n">
        <v>81.41</v>
      </c>
      <c r="AT258" s="37" t="n">
        <v>130.17</v>
      </c>
      <c r="AU258" s="37" t="n">
        <v>117.75</v>
      </c>
      <c r="AV258" s="37" t="n">
        <v>104.63</v>
      </c>
      <c r="AW258" s="37" t="n">
        <v>98.84999999999999</v>
      </c>
      <c r="AX258" s="37" t="n">
        <v>98.31</v>
      </c>
      <c r="AY258" s="37" t="n">
        <v>97.84</v>
      </c>
      <c r="AZ258" s="37" t="n">
        <v>81.45</v>
      </c>
      <c r="BA258" s="37" t="n">
        <v>117.29</v>
      </c>
      <c r="BB258" s="37" t="n">
        <v>109.49</v>
      </c>
      <c r="BC258" s="37" t="n">
        <v>64.75999999999999</v>
      </c>
      <c r="BD258" s="37" t="n">
        <v>94.52</v>
      </c>
      <c r="BE258" s="37" t="n">
        <v>111.23</v>
      </c>
      <c r="BF258" s="37" t="n">
        <v>108.07</v>
      </c>
      <c r="BG258" s="37" t="n">
        <v>87.5</v>
      </c>
      <c r="BH258" s="37" t="n">
        <v>129.98</v>
      </c>
      <c r="BI258" s="37" t="n">
        <v>109.49</v>
      </c>
      <c r="BJ258" s="37" t="n">
        <v>109.49</v>
      </c>
      <c r="BK258" s="37" t="n">
        <v>111.08</v>
      </c>
      <c r="BL258" s="37" t="n">
        <v>111.23</v>
      </c>
      <c r="BM258" s="37" t="n">
        <v>108.07</v>
      </c>
      <c r="BN258" s="37" t="n">
        <v>87.5</v>
      </c>
      <c r="BO258" s="37" t="n">
        <v>129.98</v>
      </c>
      <c r="BP258" s="37" t="n">
        <v>109.49</v>
      </c>
      <c r="BQ258" s="37" t="n">
        <v>108.22</v>
      </c>
      <c r="BR258" s="37" t="n">
        <v>111.08</v>
      </c>
      <c r="BS258" s="37" t="n">
        <v>111.23</v>
      </c>
      <c r="BT258" s="37" t="n">
        <v>108.07</v>
      </c>
      <c r="BU258" s="37" t="n">
        <v>87.5</v>
      </c>
      <c r="BV258" s="37" t="n">
        <v>129.98</v>
      </c>
      <c r="BW258" s="37" t="n">
        <v>109.49</v>
      </c>
      <c r="BX258" s="37" t="n">
        <v>108.22</v>
      </c>
      <c r="BY258" s="37" t="n">
        <v>111.08</v>
      </c>
      <c r="BZ258" s="37" t="n">
        <v>111.23</v>
      </c>
      <c r="CA258" s="37" t="n">
        <v>108.07</v>
      </c>
      <c r="CB258" s="37" t="n">
        <v>87.5</v>
      </c>
      <c r="CC258" s="37" t="n">
        <v>8237.119999999995</v>
      </c>
    </row>
    <row r="259" ht="15.75" customHeight="1" s="57">
      <c r="A259" s="7" t="inlineStr">
        <is>
          <t>NTB</t>
        </is>
      </c>
      <c r="B259" s="7" t="inlineStr">
        <is>
          <t>Khánh Hòa</t>
        </is>
      </c>
      <c r="C259" s="7" t="n">
        <v>21722000</v>
      </c>
      <c r="D259" s="7" t="inlineStr">
        <is>
          <t>(KHO) Tu Bông</t>
        </is>
      </c>
      <c r="E259" s="7" t="inlineStr">
        <is>
          <t>TTS-Bulky</t>
        </is>
      </c>
      <c r="F259" s="36" t="n">
        <v>0</v>
      </c>
      <c r="G259" s="36" t="n">
        <v>0</v>
      </c>
      <c r="H259" s="36" t="n">
        <v>6</v>
      </c>
      <c r="I259" s="36" t="n">
        <v>1</v>
      </c>
      <c r="J259" s="36" t="n">
        <v>5</v>
      </c>
      <c r="K259" s="28" t="n">
        <v>0</v>
      </c>
      <c r="L259" s="36" t="n">
        <v>1</v>
      </c>
      <c r="M259" s="36" t="n">
        <v>0</v>
      </c>
      <c r="N259" s="36" t="n">
        <v>0</v>
      </c>
      <c r="O259" s="36" t="n">
        <v>0</v>
      </c>
      <c r="P259" s="36" t="n">
        <v>2</v>
      </c>
      <c r="Q259" s="36" t="n">
        <v>1</v>
      </c>
      <c r="R259" s="28" t="n">
        <v>0</v>
      </c>
      <c r="S259" s="36" t="n">
        <v>3</v>
      </c>
      <c r="T259" s="36" t="n">
        <v>1</v>
      </c>
      <c r="U259" s="36" t="n">
        <v>5.74</v>
      </c>
      <c r="V259" s="36" t="n">
        <v>5.5</v>
      </c>
      <c r="W259" s="36" t="n">
        <v>2.77</v>
      </c>
      <c r="X259" s="36" t="n">
        <v>2.08</v>
      </c>
      <c r="Y259" s="28" t="n">
        <v>3.53</v>
      </c>
      <c r="Z259" s="36" t="n">
        <v>2.6</v>
      </c>
      <c r="AA259" s="36" t="n">
        <v>2.94</v>
      </c>
      <c r="AB259" s="36" t="n">
        <v>3.15</v>
      </c>
      <c r="AC259" s="36" t="n">
        <v>3.43</v>
      </c>
      <c r="AD259" s="36" t="n">
        <v>4.29</v>
      </c>
      <c r="AE259" s="36" t="n">
        <v>2.28</v>
      </c>
      <c r="AF259" s="28" t="n">
        <v>3.36</v>
      </c>
      <c r="AG259" s="36" t="n">
        <v>2.7</v>
      </c>
      <c r="AH259" s="37" t="n">
        <v>2.7</v>
      </c>
      <c r="AI259" s="37" t="n">
        <v>2.8</v>
      </c>
      <c r="AJ259" s="37" t="n">
        <v>3.08</v>
      </c>
      <c r="AK259" s="37" t="n">
        <v>2.98</v>
      </c>
      <c r="AL259" s="37" t="n">
        <v>2.11</v>
      </c>
      <c r="AM259" s="37" t="n">
        <v>3.32</v>
      </c>
      <c r="AN259" s="37" t="n">
        <v>2.77</v>
      </c>
      <c r="AO259" s="37" t="n">
        <v>2.7</v>
      </c>
      <c r="AP259" s="37" t="n">
        <v>2.73</v>
      </c>
      <c r="AQ259" s="37" t="n">
        <v>2.73</v>
      </c>
      <c r="AR259" s="37" t="n">
        <v>2.73</v>
      </c>
      <c r="AS259" s="37" t="n">
        <v>2.01</v>
      </c>
      <c r="AT259" s="37" t="n">
        <v>3.49</v>
      </c>
      <c r="AU259" s="37" t="n">
        <v>3.15</v>
      </c>
      <c r="AV259" s="37" t="n">
        <v>2.8</v>
      </c>
      <c r="AW259" s="37" t="n">
        <v>2.7</v>
      </c>
      <c r="AX259" s="37" t="n">
        <v>2.7</v>
      </c>
      <c r="AY259" s="37" t="n">
        <v>2.73</v>
      </c>
      <c r="AZ259" s="37" t="n">
        <v>2.01</v>
      </c>
      <c r="BA259" s="37" t="n">
        <v>3.08</v>
      </c>
      <c r="BB259" s="37" t="n">
        <v>0.73</v>
      </c>
      <c r="BC259" s="37" t="n">
        <v>0.45</v>
      </c>
      <c r="BD259" s="37" t="n">
        <v>0.52</v>
      </c>
      <c r="BE259" s="37" t="n">
        <v>0.73</v>
      </c>
      <c r="BF259" s="37" t="n">
        <v>0.76</v>
      </c>
      <c r="BG259" s="37" t="n">
        <v>0.52</v>
      </c>
      <c r="BH259" s="37" t="n">
        <v>0.97</v>
      </c>
      <c r="BI259" s="37" t="n">
        <v>0.8</v>
      </c>
      <c r="BJ259" s="37" t="n">
        <v>1</v>
      </c>
      <c r="BK259" s="37" t="n">
        <v>0.76</v>
      </c>
      <c r="BL259" s="37" t="n">
        <v>0.73</v>
      </c>
      <c r="BM259" s="37" t="n">
        <v>0.76</v>
      </c>
      <c r="BN259" s="37" t="n">
        <v>0.52</v>
      </c>
      <c r="BO259" s="37" t="n">
        <v>1.18</v>
      </c>
      <c r="BP259" s="37" t="n">
        <v>0.9</v>
      </c>
      <c r="BQ259" s="37" t="n">
        <v>0.76</v>
      </c>
      <c r="BR259" s="37" t="n">
        <v>0.76</v>
      </c>
      <c r="BS259" s="37" t="n">
        <v>0.73</v>
      </c>
      <c r="BT259" s="37" t="n">
        <v>0.76</v>
      </c>
      <c r="BU259" s="37" t="n">
        <v>0.52</v>
      </c>
      <c r="BV259" s="37" t="n">
        <v>0.9</v>
      </c>
      <c r="BW259" s="37" t="n">
        <v>0.8</v>
      </c>
      <c r="BX259" s="37" t="n">
        <v>0.76</v>
      </c>
      <c r="BY259" s="37" t="n">
        <v>0.76</v>
      </c>
      <c r="BZ259" s="37" t="n">
        <v>0.73</v>
      </c>
      <c r="CA259" s="37" t="n">
        <v>0.76</v>
      </c>
      <c r="CB259" s="37" t="n">
        <v>0.52</v>
      </c>
      <c r="CC259" s="37" t="n">
        <v>139.78</v>
      </c>
    </row>
    <row r="260" ht="15.75" customHeight="1" s="57">
      <c r="A260" s="7" t="inlineStr">
        <is>
          <t>NTB</t>
        </is>
      </c>
      <c r="B260" s="7" t="inlineStr">
        <is>
          <t>Khánh Hòa</t>
        </is>
      </c>
      <c r="C260" s="7" t="n">
        <v>22363000</v>
      </c>
      <c r="D260" s="7" t="inlineStr">
        <is>
          <t>(KHO) Nam Nha Trang 3</t>
        </is>
      </c>
      <c r="E260" s="7" t="inlineStr">
        <is>
          <t>SME</t>
        </is>
      </c>
      <c r="F260" s="36" t="n">
        <v>274</v>
      </c>
      <c r="G260" s="36" t="n">
        <v>346</v>
      </c>
      <c r="H260" s="36" t="n">
        <v>304</v>
      </c>
      <c r="I260" s="36" t="n">
        <v>254</v>
      </c>
      <c r="J260" s="36" t="n">
        <v>332</v>
      </c>
      <c r="K260" s="28" t="n">
        <v>304</v>
      </c>
      <c r="L260" s="36" t="n">
        <v>191</v>
      </c>
      <c r="M260" s="36" t="n">
        <v>253</v>
      </c>
      <c r="N260" s="36" t="n">
        <v>278</v>
      </c>
      <c r="O260" s="36" t="n">
        <v>252</v>
      </c>
      <c r="P260" s="36" t="n">
        <v>321</v>
      </c>
      <c r="Q260" s="36" t="n">
        <v>253</v>
      </c>
      <c r="R260" s="28" t="n">
        <v>252</v>
      </c>
      <c r="S260" s="36" t="n">
        <v>256</v>
      </c>
      <c r="T260" s="36" t="n">
        <v>294</v>
      </c>
      <c r="U260" s="36" t="n">
        <v>338.17</v>
      </c>
      <c r="V260" s="36" t="n">
        <v>350.07</v>
      </c>
      <c r="W260" s="36" t="n">
        <v>340.45</v>
      </c>
      <c r="X260" s="36" t="n">
        <v>278.64</v>
      </c>
      <c r="Y260" s="28" t="n">
        <v>377.24</v>
      </c>
      <c r="Z260" s="36" t="n">
        <v>347.48</v>
      </c>
      <c r="AA260" s="36" t="n">
        <v>338.9</v>
      </c>
      <c r="AB260" s="36" t="n">
        <v>338.17</v>
      </c>
      <c r="AC260" s="36" t="n">
        <v>350.07</v>
      </c>
      <c r="AD260" s="36" t="n">
        <v>343.67</v>
      </c>
      <c r="AE260" s="36" t="n">
        <v>278.64</v>
      </c>
      <c r="AF260" s="28" t="n">
        <v>377.24</v>
      </c>
      <c r="AG260" s="36" t="n">
        <v>347.48</v>
      </c>
      <c r="AH260" s="37" t="n">
        <v>338.9</v>
      </c>
      <c r="AI260" s="37" t="n">
        <v>338.17</v>
      </c>
      <c r="AJ260" s="37" t="n">
        <v>350.07</v>
      </c>
      <c r="AK260" s="37" t="n">
        <v>340.45</v>
      </c>
      <c r="AL260" s="37" t="n">
        <v>278.64</v>
      </c>
      <c r="AM260" s="37" t="n">
        <v>377.24</v>
      </c>
      <c r="AN260" s="37" t="n">
        <v>347.48</v>
      </c>
      <c r="AO260" s="37" t="n">
        <v>338.9</v>
      </c>
      <c r="AP260" s="37" t="n">
        <v>338.17</v>
      </c>
      <c r="AQ260" s="37" t="n">
        <v>350.07</v>
      </c>
      <c r="AR260" s="37" t="n">
        <v>340.45</v>
      </c>
      <c r="AS260" s="37" t="n">
        <v>278.64</v>
      </c>
      <c r="AT260" s="37" t="n">
        <v>377.24</v>
      </c>
      <c r="AU260" s="37" t="n">
        <v>347.48</v>
      </c>
      <c r="AV260" s="37" t="n">
        <v>338.9</v>
      </c>
      <c r="AW260" s="37" t="n">
        <v>338.17</v>
      </c>
      <c r="AX260" s="37" t="n">
        <v>350.07</v>
      </c>
      <c r="AY260" s="37" t="n">
        <v>340.45</v>
      </c>
      <c r="AZ260" s="37" t="n">
        <v>278.64</v>
      </c>
      <c r="BA260" s="37" t="n">
        <v>339.51</v>
      </c>
      <c r="BB260" s="37" t="n">
        <v>304.72</v>
      </c>
      <c r="BC260" s="37" t="n">
        <v>192.58</v>
      </c>
      <c r="BD260" s="37" t="n">
        <v>191.81</v>
      </c>
      <c r="BE260" s="37" t="n">
        <v>325.16</v>
      </c>
      <c r="BF260" s="37" t="n">
        <v>316.26</v>
      </c>
      <c r="BG260" s="37" t="n">
        <v>287.1</v>
      </c>
      <c r="BH260" s="37" t="n">
        <v>389.3</v>
      </c>
      <c r="BI260" s="37" t="n">
        <v>358.48</v>
      </c>
      <c r="BJ260" s="37" t="n">
        <v>352.71</v>
      </c>
      <c r="BK260" s="37" t="n">
        <v>348.88</v>
      </c>
      <c r="BL260" s="37" t="n">
        <v>361.11</v>
      </c>
      <c r="BM260" s="37" t="n">
        <v>351.28</v>
      </c>
      <c r="BN260" s="37" t="n">
        <v>287.1</v>
      </c>
      <c r="BO260" s="37" t="n">
        <v>389.3</v>
      </c>
      <c r="BP260" s="37" t="n">
        <v>358.48</v>
      </c>
      <c r="BQ260" s="37" t="n">
        <v>349.56</v>
      </c>
      <c r="BR260" s="37" t="n">
        <v>348.88</v>
      </c>
      <c r="BS260" s="37" t="n">
        <v>361.11</v>
      </c>
      <c r="BT260" s="37" t="n">
        <v>351.28</v>
      </c>
      <c r="BU260" s="37" t="n">
        <v>287.1</v>
      </c>
      <c r="BV260" s="37" t="n">
        <v>389.3</v>
      </c>
      <c r="BW260" s="37" t="n">
        <v>358.48</v>
      </c>
      <c r="BX260" s="37" t="n">
        <v>349.56</v>
      </c>
      <c r="BY260" s="37" t="n">
        <v>348.88</v>
      </c>
      <c r="BZ260" s="37" t="n">
        <v>361.11</v>
      </c>
      <c r="CA260" s="37" t="n">
        <v>351.28</v>
      </c>
      <c r="CB260" s="37" t="n">
        <v>287.1</v>
      </c>
      <c r="CC260" s="37" t="n">
        <v>24255.76999999999</v>
      </c>
    </row>
    <row r="261" ht="15.75" customHeight="1" s="57">
      <c r="A261" s="7" t="inlineStr">
        <is>
          <t>NTB</t>
        </is>
      </c>
      <c r="B261" s="7" t="inlineStr">
        <is>
          <t>Khánh Hòa</t>
        </is>
      </c>
      <c r="C261" s="7" t="n">
        <v>22363000</v>
      </c>
      <c r="D261" s="7" t="inlineStr">
        <is>
          <t>(KHO) Nam Nha Trang 3</t>
        </is>
      </c>
      <c r="E261" s="7" t="inlineStr">
        <is>
          <t>SME-Bulky</t>
        </is>
      </c>
      <c r="F261" s="36" t="n">
        <v>6</v>
      </c>
      <c r="G261" s="36" t="n">
        <v>7</v>
      </c>
      <c r="H261" s="36" t="n">
        <v>15</v>
      </c>
      <c r="I261" s="36" t="n">
        <v>16</v>
      </c>
      <c r="J261" s="36" t="n">
        <v>11</v>
      </c>
      <c r="K261" s="28" t="n">
        <v>17</v>
      </c>
      <c r="L261" s="36" t="n">
        <v>8</v>
      </c>
      <c r="M261" s="36" t="n">
        <v>8</v>
      </c>
      <c r="N261" s="36" t="n">
        <v>17</v>
      </c>
      <c r="O261" s="36" t="n">
        <v>11</v>
      </c>
      <c r="P261" s="36" t="n">
        <v>17</v>
      </c>
      <c r="Q261" s="36" t="n">
        <v>9</v>
      </c>
      <c r="R261" s="28" t="n">
        <v>21</v>
      </c>
      <c r="S261" s="36" t="n">
        <v>13</v>
      </c>
      <c r="T261" s="36" t="n">
        <v>12</v>
      </c>
      <c r="U261" s="36" t="n">
        <v>14.86</v>
      </c>
      <c r="V261" s="36" t="n">
        <v>15.05</v>
      </c>
      <c r="W261" s="36" t="n">
        <v>13.97</v>
      </c>
      <c r="X261" s="36" t="n">
        <v>9.31</v>
      </c>
      <c r="Y261" s="28" t="n">
        <v>17.05</v>
      </c>
      <c r="Z261" s="36" t="n">
        <v>16.44</v>
      </c>
      <c r="AA261" s="36" t="n">
        <v>15.63</v>
      </c>
      <c r="AB261" s="36" t="n">
        <v>14.86</v>
      </c>
      <c r="AC261" s="36" t="n">
        <v>15.05</v>
      </c>
      <c r="AD261" s="36" t="n">
        <v>13.2</v>
      </c>
      <c r="AE261" s="36" t="n">
        <v>9.31</v>
      </c>
      <c r="AF261" s="28" t="n">
        <v>17.05</v>
      </c>
      <c r="AG261" s="36" t="n">
        <v>16.44</v>
      </c>
      <c r="AH261" s="37" t="n">
        <v>15.63</v>
      </c>
      <c r="AI261" s="37" t="n">
        <v>14.86</v>
      </c>
      <c r="AJ261" s="37" t="n">
        <v>15.05</v>
      </c>
      <c r="AK261" s="37" t="n">
        <v>13.97</v>
      </c>
      <c r="AL261" s="37" t="n">
        <v>9.31</v>
      </c>
      <c r="AM261" s="37" t="n">
        <v>17.05</v>
      </c>
      <c r="AN261" s="37" t="n">
        <v>16.44</v>
      </c>
      <c r="AO261" s="37" t="n">
        <v>15.63</v>
      </c>
      <c r="AP261" s="37" t="n">
        <v>14.86</v>
      </c>
      <c r="AQ261" s="37" t="n">
        <v>15.05</v>
      </c>
      <c r="AR261" s="37" t="n">
        <v>13.97</v>
      </c>
      <c r="AS261" s="37" t="n">
        <v>9.31</v>
      </c>
      <c r="AT261" s="37" t="n">
        <v>17.05</v>
      </c>
      <c r="AU261" s="37" t="n">
        <v>16.44</v>
      </c>
      <c r="AV261" s="37" t="n">
        <v>15.63</v>
      </c>
      <c r="AW261" s="37" t="n">
        <v>14.86</v>
      </c>
      <c r="AX261" s="37" t="n">
        <v>15.05</v>
      </c>
      <c r="AY261" s="37" t="n">
        <v>13.97</v>
      </c>
      <c r="AZ261" s="37" t="n">
        <v>9.31</v>
      </c>
      <c r="BA261" s="37" t="n">
        <v>16.97</v>
      </c>
      <c r="BB261" s="37" t="n">
        <v>8.81</v>
      </c>
      <c r="BC261" s="37" t="n">
        <v>4.46</v>
      </c>
      <c r="BD261" s="37" t="n">
        <v>4.08</v>
      </c>
      <c r="BE261" s="37" t="n">
        <v>7.62</v>
      </c>
      <c r="BF261" s="37" t="n">
        <v>7.04</v>
      </c>
      <c r="BG261" s="37" t="n">
        <v>5.62</v>
      </c>
      <c r="BH261" s="37" t="n">
        <v>10.01</v>
      </c>
      <c r="BI261" s="37" t="n">
        <v>9.85</v>
      </c>
      <c r="BJ261" s="37" t="n">
        <v>8.58</v>
      </c>
      <c r="BK261" s="37" t="n">
        <v>8.81</v>
      </c>
      <c r="BL261" s="37" t="n">
        <v>9.01</v>
      </c>
      <c r="BM261" s="37" t="n">
        <v>8.199999999999999</v>
      </c>
      <c r="BN261" s="37" t="n">
        <v>5.62</v>
      </c>
      <c r="BO261" s="37" t="n">
        <v>10.01</v>
      </c>
      <c r="BP261" s="37" t="n">
        <v>9.85</v>
      </c>
      <c r="BQ261" s="37" t="n">
        <v>9.199999999999999</v>
      </c>
      <c r="BR261" s="37" t="n">
        <v>8.81</v>
      </c>
      <c r="BS261" s="37" t="n">
        <v>9.01</v>
      </c>
      <c r="BT261" s="37" t="n">
        <v>8.199999999999999</v>
      </c>
      <c r="BU261" s="37" t="n">
        <v>5.62</v>
      </c>
      <c r="BV261" s="37" t="n">
        <v>10.01</v>
      </c>
      <c r="BW261" s="37" t="n">
        <v>9.85</v>
      </c>
      <c r="BX261" s="37" t="n">
        <v>9.199999999999999</v>
      </c>
      <c r="BY261" s="37" t="n">
        <v>8.81</v>
      </c>
      <c r="BZ261" s="37" t="n">
        <v>9.01</v>
      </c>
      <c r="CA261" s="37" t="n">
        <v>8.199999999999999</v>
      </c>
      <c r="CB261" s="37" t="n">
        <v>5.62</v>
      </c>
      <c r="CC261" s="37" t="n">
        <v>885.7400000000001</v>
      </c>
    </row>
    <row r="262" ht="15.75" customHeight="1" s="57">
      <c r="A262" s="7" t="inlineStr">
        <is>
          <t>NTB</t>
        </is>
      </c>
      <c r="B262" s="7" t="inlineStr">
        <is>
          <t>Khánh Hòa</t>
        </is>
      </c>
      <c r="C262" s="7" t="n">
        <v>22363000</v>
      </c>
      <c r="D262" s="7" t="inlineStr">
        <is>
          <t>(KHO) Nam Nha Trang 3</t>
        </is>
      </c>
      <c r="E262" s="7" t="inlineStr">
        <is>
          <t>Shopee</t>
        </is>
      </c>
      <c r="F262" s="36" t="n">
        <v>30</v>
      </c>
      <c r="G262" s="36" t="n">
        <v>41</v>
      </c>
      <c r="H262" s="36" t="n">
        <v>52</v>
      </c>
      <c r="I262" s="36" t="n">
        <v>32</v>
      </c>
      <c r="J262" s="36" t="n">
        <v>14</v>
      </c>
      <c r="K262" s="28" t="n">
        <v>16</v>
      </c>
      <c r="L262" s="36" t="n">
        <v>19</v>
      </c>
      <c r="M262" s="36" t="n">
        <v>39</v>
      </c>
      <c r="N262" s="36" t="n">
        <v>37</v>
      </c>
      <c r="O262" s="36" t="n">
        <v>28</v>
      </c>
      <c r="P262" s="36" t="n">
        <v>29</v>
      </c>
      <c r="Q262" s="36" t="n">
        <v>32</v>
      </c>
      <c r="R262" s="28" t="n">
        <v>33</v>
      </c>
      <c r="S262" s="36" t="n">
        <v>28</v>
      </c>
      <c r="T262" s="36" t="n">
        <v>37</v>
      </c>
      <c r="U262" s="36" t="n">
        <v>54.89</v>
      </c>
      <c r="V262" s="36" t="n">
        <v>55.1</v>
      </c>
      <c r="W262" s="36" t="n">
        <v>54.31</v>
      </c>
      <c r="X262" s="36" t="n">
        <v>44.16</v>
      </c>
      <c r="Y262" s="28" t="n">
        <v>73.98</v>
      </c>
      <c r="Z262" s="36" t="n">
        <v>58.51</v>
      </c>
      <c r="AA262" s="36" t="n">
        <v>80.48999999999999</v>
      </c>
      <c r="AB262" s="36" t="n">
        <v>55.99</v>
      </c>
      <c r="AC262" s="36" t="n">
        <v>45.25</v>
      </c>
      <c r="AD262" s="36" t="n">
        <v>138.99</v>
      </c>
      <c r="AE262" s="36" t="n">
        <v>47.3</v>
      </c>
      <c r="AF262" s="28" t="n">
        <v>84.23999999999999</v>
      </c>
      <c r="AG262" s="36" t="n">
        <v>61.47</v>
      </c>
      <c r="AH262" s="37" t="n">
        <v>64.90000000000001</v>
      </c>
      <c r="AI262" s="37" t="n">
        <v>54.89</v>
      </c>
      <c r="AJ262" s="37" t="n">
        <v>55.1</v>
      </c>
      <c r="AK262" s="37" t="n">
        <v>73.28</v>
      </c>
      <c r="AL262" s="37" t="n">
        <v>79.26000000000001</v>
      </c>
      <c r="AM262" s="37" t="n">
        <v>73.98</v>
      </c>
      <c r="AN262" s="37" t="n">
        <v>58.51</v>
      </c>
      <c r="AO262" s="37" t="n">
        <v>64.90000000000001</v>
      </c>
      <c r="AP262" s="37" t="n">
        <v>68.48</v>
      </c>
      <c r="AQ262" s="37" t="n">
        <v>44.18</v>
      </c>
      <c r="AR262" s="37" t="n">
        <v>54.31</v>
      </c>
      <c r="AS262" s="37" t="n">
        <v>44.16</v>
      </c>
      <c r="AT262" s="37" t="n">
        <v>73.98</v>
      </c>
      <c r="AU262" s="37" t="n">
        <v>59.72</v>
      </c>
      <c r="AV262" s="37" t="n">
        <v>66.20999999999999</v>
      </c>
      <c r="AW262" s="37" t="n">
        <v>54.89</v>
      </c>
      <c r="AX262" s="37" t="n">
        <v>55.1</v>
      </c>
      <c r="AY262" s="37" t="n">
        <v>54.31</v>
      </c>
      <c r="AZ262" s="37" t="n">
        <v>44.16</v>
      </c>
      <c r="BA262" s="37" t="n">
        <v>56.97</v>
      </c>
      <c r="BB262" s="37" t="n">
        <v>49.67</v>
      </c>
      <c r="BC262" s="37" t="n">
        <v>25.3</v>
      </c>
      <c r="BD262" s="37" t="n">
        <v>44.97</v>
      </c>
      <c r="BE262" s="37" t="n">
        <v>52.5</v>
      </c>
      <c r="BF262" s="37" t="n">
        <v>51.75</v>
      </c>
      <c r="BG262" s="37" t="n">
        <v>42.94</v>
      </c>
      <c r="BH262" s="37" t="n">
        <v>70.48999999999999</v>
      </c>
      <c r="BI262" s="37" t="n">
        <v>45.85</v>
      </c>
      <c r="BJ262" s="37" t="n">
        <v>197.32</v>
      </c>
      <c r="BK262" s="37" t="n">
        <v>55.93</v>
      </c>
      <c r="BL262" s="37" t="n">
        <v>55.03</v>
      </c>
      <c r="BM262" s="37" t="n">
        <v>51.75</v>
      </c>
      <c r="BN262" s="37" t="n">
        <v>42.08</v>
      </c>
      <c r="BO262" s="37" t="n">
        <v>70.48999999999999</v>
      </c>
      <c r="BP262" s="37" t="n">
        <v>75.19</v>
      </c>
      <c r="BQ262" s="37" t="n">
        <v>111.06</v>
      </c>
      <c r="BR262" s="37" t="n">
        <v>52.29</v>
      </c>
      <c r="BS262" s="37" t="n">
        <v>52.5</v>
      </c>
      <c r="BT262" s="37" t="n">
        <v>51.75</v>
      </c>
      <c r="BU262" s="37" t="n">
        <v>52.53</v>
      </c>
      <c r="BV262" s="37" t="n">
        <v>56.41</v>
      </c>
      <c r="BW262" s="37" t="n">
        <v>55.72</v>
      </c>
      <c r="BX262" s="37" t="n">
        <v>61.82</v>
      </c>
      <c r="BY262" s="37" t="n">
        <v>52.29</v>
      </c>
      <c r="BZ262" s="37" t="n">
        <v>53.58</v>
      </c>
      <c r="CA262" s="37" t="n">
        <v>52.77</v>
      </c>
      <c r="CB262" s="37" t="n">
        <v>42.08</v>
      </c>
      <c r="CC262" s="37" t="n">
        <v>4149.029999999999</v>
      </c>
    </row>
    <row r="263" ht="15.75" customHeight="1" s="57">
      <c r="A263" s="7" t="inlineStr">
        <is>
          <t>NTB</t>
        </is>
      </c>
      <c r="B263" s="7" t="inlineStr">
        <is>
          <t>Khánh Hòa</t>
        </is>
      </c>
      <c r="C263" s="7" t="n">
        <v>22363000</v>
      </c>
      <c r="D263" s="7" t="inlineStr">
        <is>
          <t>(KHO) Nam Nha Trang 3</t>
        </is>
      </c>
      <c r="E263" s="7" t="inlineStr">
        <is>
          <t>Shopee-Bulky</t>
        </is>
      </c>
      <c r="F263" s="36" t="n">
        <v>24.34</v>
      </c>
      <c r="G263" s="36" t="n">
        <v>30.1</v>
      </c>
      <c r="H263" s="36" t="n">
        <v>32.02</v>
      </c>
      <c r="I263" s="36" t="n">
        <v>28.82</v>
      </c>
      <c r="J263" s="36" t="n">
        <v>10.89</v>
      </c>
      <c r="K263" s="28" t="n">
        <v>16.01</v>
      </c>
      <c r="L263" s="36" t="n">
        <v>12.81</v>
      </c>
      <c r="M263" s="36" t="n">
        <v>27.54</v>
      </c>
      <c r="N263" s="36" t="n">
        <v>37.15</v>
      </c>
      <c r="O263" s="36" t="n">
        <v>28.18</v>
      </c>
      <c r="P263" s="36" t="n">
        <v>23.06</v>
      </c>
      <c r="Q263" s="36" t="n">
        <v>33.3</v>
      </c>
      <c r="R263" s="28" t="n">
        <v>63.4</v>
      </c>
      <c r="S263" s="36" t="n">
        <v>32.66</v>
      </c>
      <c r="T263" s="36" t="n">
        <v>28.18</v>
      </c>
      <c r="U263" s="36" t="n">
        <v>31.98</v>
      </c>
      <c r="V263" s="36" t="n">
        <v>31</v>
      </c>
      <c r="W263" s="36" t="n">
        <v>43.26</v>
      </c>
      <c r="X263" s="36" t="n">
        <v>23.88</v>
      </c>
      <c r="Y263" s="28" t="n">
        <v>47.19</v>
      </c>
      <c r="Z263" s="36" t="n">
        <v>36.78</v>
      </c>
      <c r="AA263" s="36" t="n">
        <v>35.62</v>
      </c>
      <c r="AB263" s="36" t="n">
        <v>36.38</v>
      </c>
      <c r="AC263" s="36" t="n">
        <v>38.52</v>
      </c>
      <c r="AD263" s="36" t="n">
        <v>107.05</v>
      </c>
      <c r="AE263" s="36" t="n">
        <v>61.3</v>
      </c>
      <c r="AF263" s="28" t="n">
        <v>92.98999999999999</v>
      </c>
      <c r="AG263" s="36" t="n">
        <v>52.57</v>
      </c>
      <c r="AH263" s="37" t="n">
        <v>36.49</v>
      </c>
      <c r="AI263" s="37" t="n">
        <v>35.62</v>
      </c>
      <c r="AJ263" s="37" t="n">
        <v>35.1</v>
      </c>
      <c r="AK263" s="37" t="n">
        <v>79.64</v>
      </c>
      <c r="AL263" s="37" t="n">
        <v>40.25</v>
      </c>
      <c r="AM263" s="37" t="n">
        <v>57.95</v>
      </c>
      <c r="AN263" s="37" t="n">
        <v>36.26</v>
      </c>
      <c r="AO263" s="37" t="n">
        <v>35.45</v>
      </c>
      <c r="AP263" s="37" t="n">
        <v>48.81</v>
      </c>
      <c r="AQ263" s="37" t="n">
        <v>48</v>
      </c>
      <c r="AR263" s="37" t="n">
        <v>39.21</v>
      </c>
      <c r="AS263" s="37" t="n">
        <v>20.99</v>
      </c>
      <c r="AT263" s="37" t="n">
        <v>43.14</v>
      </c>
      <c r="AU263" s="37" t="n">
        <v>70.67</v>
      </c>
      <c r="AV263" s="37" t="n">
        <v>73.51000000000001</v>
      </c>
      <c r="AW263" s="37" t="n">
        <v>35.86</v>
      </c>
      <c r="AX263" s="37" t="n">
        <v>33.66</v>
      </c>
      <c r="AY263" s="37" t="n">
        <v>37.53</v>
      </c>
      <c r="AZ263" s="37" t="n">
        <v>20.13</v>
      </c>
      <c r="BA263" s="37" t="n">
        <v>39.33</v>
      </c>
      <c r="BB263" s="37" t="n">
        <v>36.9</v>
      </c>
      <c r="BC263" s="37" t="n">
        <v>12.72</v>
      </c>
      <c r="BD263" s="37" t="n">
        <v>31.35</v>
      </c>
      <c r="BE263" s="37" t="n">
        <v>38.92</v>
      </c>
      <c r="BF263" s="37" t="n">
        <v>34.01</v>
      </c>
      <c r="BG263" s="37" t="n">
        <v>27.3</v>
      </c>
      <c r="BH263" s="37" t="n">
        <v>50.37</v>
      </c>
      <c r="BI263" s="37" t="n">
        <v>42.85</v>
      </c>
      <c r="BJ263" s="37" t="n">
        <v>169.22</v>
      </c>
      <c r="BK263" s="37" t="n">
        <v>91.43000000000001</v>
      </c>
      <c r="BL263" s="37" t="n">
        <v>47.02</v>
      </c>
      <c r="BM263" s="37" t="n">
        <v>35.57</v>
      </c>
      <c r="BN263" s="37" t="n">
        <v>26.6</v>
      </c>
      <c r="BO263" s="37" t="n">
        <v>58.99</v>
      </c>
      <c r="BP263" s="37" t="n">
        <v>85.42</v>
      </c>
      <c r="BQ263" s="37" t="n">
        <v>62.4</v>
      </c>
      <c r="BR263" s="37" t="n">
        <v>40.77</v>
      </c>
      <c r="BS263" s="37" t="n">
        <v>38.92</v>
      </c>
      <c r="BT263" s="37" t="n">
        <v>34.01</v>
      </c>
      <c r="BU263" s="37" t="n">
        <v>39.5</v>
      </c>
      <c r="BV263" s="37" t="n">
        <v>53.38</v>
      </c>
      <c r="BW263" s="37" t="n">
        <v>42.85</v>
      </c>
      <c r="BX263" s="37" t="n">
        <v>41.52</v>
      </c>
      <c r="BY263" s="37" t="n">
        <v>40.77</v>
      </c>
      <c r="BZ263" s="37" t="n">
        <v>69.8</v>
      </c>
      <c r="CA263" s="37" t="n">
        <v>40.48</v>
      </c>
      <c r="CB263" s="37" t="n">
        <v>25.85</v>
      </c>
      <c r="CC263" s="37" t="n">
        <v>3253.5</v>
      </c>
    </row>
    <row r="264" ht="15.75" customHeight="1" s="57">
      <c r="A264" s="7" t="inlineStr">
        <is>
          <t>NTB</t>
        </is>
      </c>
      <c r="B264" s="7" t="inlineStr">
        <is>
          <t>Khánh Hòa</t>
        </is>
      </c>
      <c r="C264" s="7" t="n">
        <v>22363000</v>
      </c>
      <c r="D264" s="7" t="inlineStr">
        <is>
          <t>(KHO) Nam Nha Trang 3</t>
        </is>
      </c>
      <c r="E264" s="7" t="inlineStr">
        <is>
          <t>Shopee-Bulky (10-15kg)</t>
        </is>
      </c>
      <c r="F264" s="36" t="n">
        <v>13.66</v>
      </c>
      <c r="G264" s="36" t="n">
        <v>16.9</v>
      </c>
      <c r="H264" s="36" t="n">
        <v>17.98</v>
      </c>
      <c r="I264" s="36" t="n">
        <v>16.18</v>
      </c>
      <c r="J264" s="36" t="n">
        <v>6.11</v>
      </c>
      <c r="K264" s="28" t="n">
        <v>8.99</v>
      </c>
      <c r="L264" s="36" t="n">
        <v>7.19</v>
      </c>
      <c r="M264" s="36" t="n">
        <v>15.46</v>
      </c>
      <c r="N264" s="36" t="n">
        <v>20.85</v>
      </c>
      <c r="O264" s="36" t="n">
        <v>15.82</v>
      </c>
      <c r="P264" s="36" t="n">
        <v>12.94</v>
      </c>
      <c r="Q264" s="36" t="n">
        <v>18.7</v>
      </c>
      <c r="R264" s="28" t="n">
        <v>35.6</v>
      </c>
      <c r="S264" s="36" t="n">
        <v>18.34</v>
      </c>
      <c r="T264" s="36" t="n">
        <v>15.82</v>
      </c>
      <c r="U264" s="36" t="n">
        <v>19.14</v>
      </c>
      <c r="V264" s="36" t="n">
        <v>18.33</v>
      </c>
      <c r="W264" s="36" t="n">
        <v>23.65</v>
      </c>
      <c r="X264" s="36" t="n">
        <v>13.3</v>
      </c>
      <c r="Y264" s="28" t="n">
        <v>26.95</v>
      </c>
      <c r="Z264" s="36" t="n">
        <v>21.05</v>
      </c>
      <c r="AA264" s="36" t="n">
        <v>19.84</v>
      </c>
      <c r="AB264" s="36" t="n">
        <v>20.76</v>
      </c>
      <c r="AC264" s="36" t="n">
        <v>21.51</v>
      </c>
      <c r="AD264" s="36" t="n">
        <v>80.20999999999999</v>
      </c>
      <c r="AE264" s="36" t="n">
        <v>33.31</v>
      </c>
      <c r="AF264" s="28" t="n">
        <v>49.16</v>
      </c>
      <c r="AG264" s="36" t="n">
        <v>29.32</v>
      </c>
      <c r="AH264" s="37" t="n">
        <v>20.76</v>
      </c>
      <c r="AI264" s="37" t="n">
        <v>20.07</v>
      </c>
      <c r="AJ264" s="37" t="n">
        <v>19.66</v>
      </c>
      <c r="AK264" s="37" t="n">
        <v>45.46</v>
      </c>
      <c r="AL264" s="37" t="n">
        <v>22.84</v>
      </c>
      <c r="AM264" s="37" t="n">
        <v>32.79</v>
      </c>
      <c r="AN264" s="37" t="n">
        <v>20.76</v>
      </c>
      <c r="AO264" s="37" t="n">
        <v>20.01</v>
      </c>
      <c r="AP264" s="37" t="n">
        <v>25.91</v>
      </c>
      <c r="AQ264" s="37" t="n">
        <v>27.24</v>
      </c>
      <c r="AR264" s="37" t="n">
        <v>21.22</v>
      </c>
      <c r="AS264" s="37" t="n">
        <v>11.68</v>
      </c>
      <c r="AT264" s="37" t="n">
        <v>24.41</v>
      </c>
      <c r="AU264" s="37" t="n">
        <v>40.37</v>
      </c>
      <c r="AV264" s="37" t="n">
        <v>41.87</v>
      </c>
      <c r="AW264" s="37" t="n">
        <v>20.3</v>
      </c>
      <c r="AX264" s="37" t="n">
        <v>18.97</v>
      </c>
      <c r="AY264" s="37" t="n">
        <v>20.41</v>
      </c>
      <c r="AZ264" s="37" t="n">
        <v>11.28</v>
      </c>
      <c r="BA264" s="37" t="n">
        <v>22.27</v>
      </c>
      <c r="BB264" s="37" t="n">
        <v>21.34</v>
      </c>
      <c r="BC264" s="37" t="n">
        <v>7.17</v>
      </c>
      <c r="BD264" s="37" t="n">
        <v>17</v>
      </c>
      <c r="BE264" s="37" t="n">
        <v>21.92</v>
      </c>
      <c r="BF264" s="37" t="n">
        <v>18.68</v>
      </c>
      <c r="BG264" s="37" t="n">
        <v>15.27</v>
      </c>
      <c r="BH264" s="37" t="n">
        <v>29.21</v>
      </c>
      <c r="BI264" s="37" t="n">
        <v>24.81</v>
      </c>
      <c r="BJ264" s="37" t="n">
        <v>110</v>
      </c>
      <c r="BK264" s="37" t="n">
        <v>51.3</v>
      </c>
      <c r="BL264" s="37" t="n">
        <v>27.3</v>
      </c>
      <c r="BM264" s="37" t="n">
        <v>19.84</v>
      </c>
      <c r="BN264" s="37" t="n">
        <v>14.98</v>
      </c>
      <c r="BO264" s="37" t="n">
        <v>32.85</v>
      </c>
      <c r="BP264" s="37" t="n">
        <v>47.89</v>
      </c>
      <c r="BQ264" s="37" t="n">
        <v>35.22</v>
      </c>
      <c r="BR264" s="37" t="n">
        <v>23.54</v>
      </c>
      <c r="BS264" s="37" t="n">
        <v>21.92</v>
      </c>
      <c r="BT264" s="37" t="n">
        <v>18.68</v>
      </c>
      <c r="BU264" s="37" t="n">
        <v>22.73</v>
      </c>
      <c r="BV264" s="37" t="n">
        <v>30.19</v>
      </c>
      <c r="BW264" s="37" t="n">
        <v>24.81</v>
      </c>
      <c r="BX264" s="37" t="n">
        <v>23.71</v>
      </c>
      <c r="BY264" s="37" t="n">
        <v>23.54</v>
      </c>
      <c r="BZ264" s="37" t="n">
        <v>38.86</v>
      </c>
      <c r="CA264" s="37" t="n">
        <v>23.19</v>
      </c>
      <c r="CB264" s="37" t="n">
        <v>14.63</v>
      </c>
      <c r="CC264" s="37" t="n">
        <v>1865.93</v>
      </c>
    </row>
    <row r="265" ht="15.75" customHeight="1" s="57">
      <c r="A265" s="7" t="inlineStr">
        <is>
          <t>NTB</t>
        </is>
      </c>
      <c r="B265" s="7" t="inlineStr">
        <is>
          <t>Khánh Hòa</t>
        </is>
      </c>
      <c r="C265" s="7" t="n">
        <v>22363000</v>
      </c>
      <c r="D265" s="7" t="inlineStr">
        <is>
          <t>(KHO) Nam Nha Trang 3</t>
        </is>
      </c>
      <c r="E265" s="7" t="inlineStr">
        <is>
          <t>TTS</t>
        </is>
      </c>
      <c r="F265" s="36" t="n">
        <v>138</v>
      </c>
      <c r="G265" s="36" t="n">
        <v>174</v>
      </c>
      <c r="H265" s="36" t="n">
        <v>133</v>
      </c>
      <c r="I265" s="36" t="n">
        <v>129</v>
      </c>
      <c r="J265" s="36" t="n">
        <v>136</v>
      </c>
      <c r="K265" s="28" t="n">
        <v>146</v>
      </c>
      <c r="L265" s="36" t="n">
        <v>96</v>
      </c>
      <c r="M265" s="36" t="n">
        <v>114</v>
      </c>
      <c r="N265" s="36" t="n">
        <v>141</v>
      </c>
      <c r="O265" s="36" t="n">
        <v>120</v>
      </c>
      <c r="P265" s="36" t="n">
        <v>140</v>
      </c>
      <c r="Q265" s="36" t="n">
        <v>107</v>
      </c>
      <c r="R265" s="28" t="n">
        <v>127</v>
      </c>
      <c r="S265" s="36" t="n">
        <v>106</v>
      </c>
      <c r="T265" s="36" t="n">
        <v>136</v>
      </c>
      <c r="U265" s="36" t="n">
        <v>105.81</v>
      </c>
      <c r="V265" s="36" t="n">
        <v>103.86</v>
      </c>
      <c r="W265" s="36" t="n">
        <v>101.6</v>
      </c>
      <c r="X265" s="36" t="n">
        <v>81.86</v>
      </c>
      <c r="Y265" s="28" t="n">
        <v>119.34</v>
      </c>
      <c r="Z265" s="36" t="n">
        <v>101.17</v>
      </c>
      <c r="AA265" s="36" t="n">
        <v>112.55</v>
      </c>
      <c r="AB265" s="36" t="n">
        <v>125.04</v>
      </c>
      <c r="AC265" s="36" t="n">
        <v>131.86</v>
      </c>
      <c r="AD265" s="36" t="n">
        <v>145.08</v>
      </c>
      <c r="AE265" s="36" t="n">
        <v>95.23</v>
      </c>
      <c r="AF265" s="28" t="n">
        <v>122.89</v>
      </c>
      <c r="AG265" s="36" t="n">
        <v>103.47</v>
      </c>
      <c r="AH265" s="37" t="n">
        <v>102.38</v>
      </c>
      <c r="AI265" s="37" t="n">
        <v>117.04</v>
      </c>
      <c r="AJ265" s="37" t="n">
        <v>125.78</v>
      </c>
      <c r="AK265" s="37" t="n">
        <v>124.05</v>
      </c>
      <c r="AL265" s="37" t="n">
        <v>88.20999999999999</v>
      </c>
      <c r="AM265" s="37" t="n">
        <v>121.18</v>
      </c>
      <c r="AN265" s="37" t="n">
        <v>104.5</v>
      </c>
      <c r="AO265" s="37" t="n">
        <v>104.1</v>
      </c>
      <c r="AP265" s="37" t="n">
        <v>100.93</v>
      </c>
      <c r="AQ265" s="37" t="n">
        <v>101.83</v>
      </c>
      <c r="AR265" s="37" t="n">
        <v>100.03</v>
      </c>
      <c r="AS265" s="37" t="n">
        <v>82.13</v>
      </c>
      <c r="AT265" s="37" t="n">
        <v>131.38</v>
      </c>
      <c r="AU265" s="37" t="n">
        <v>118.83</v>
      </c>
      <c r="AV265" s="37" t="n">
        <v>105.58</v>
      </c>
      <c r="AW265" s="37" t="n">
        <v>99.76000000000001</v>
      </c>
      <c r="AX265" s="37" t="n">
        <v>99.20999999999999</v>
      </c>
      <c r="AY265" s="37" t="n">
        <v>98.75</v>
      </c>
      <c r="AZ265" s="37" t="n">
        <v>82.17</v>
      </c>
      <c r="BA265" s="37" t="n">
        <v>118.36</v>
      </c>
      <c r="BB265" s="37" t="n">
        <v>110.48</v>
      </c>
      <c r="BC265" s="37" t="n">
        <v>65.36999999999999</v>
      </c>
      <c r="BD265" s="37" t="n">
        <v>95.39</v>
      </c>
      <c r="BE265" s="37" t="n">
        <v>112.24</v>
      </c>
      <c r="BF265" s="37" t="n">
        <v>109.03</v>
      </c>
      <c r="BG265" s="37" t="n">
        <v>88.28</v>
      </c>
      <c r="BH265" s="37" t="n">
        <v>131.18</v>
      </c>
      <c r="BI265" s="37" t="n">
        <v>110.48</v>
      </c>
      <c r="BJ265" s="37" t="n">
        <v>110.36</v>
      </c>
      <c r="BK265" s="37" t="n">
        <v>112.08</v>
      </c>
      <c r="BL265" s="37" t="n">
        <v>112.24</v>
      </c>
      <c r="BM265" s="37" t="n">
        <v>109.03</v>
      </c>
      <c r="BN265" s="37" t="n">
        <v>88.28</v>
      </c>
      <c r="BO265" s="37" t="n">
        <v>131.18</v>
      </c>
      <c r="BP265" s="37" t="n">
        <v>110.48</v>
      </c>
      <c r="BQ265" s="37" t="n">
        <v>109.19</v>
      </c>
      <c r="BR265" s="37" t="n">
        <v>112.08</v>
      </c>
      <c r="BS265" s="37" t="n">
        <v>112.24</v>
      </c>
      <c r="BT265" s="37" t="n">
        <v>109.03</v>
      </c>
      <c r="BU265" s="37" t="n">
        <v>88.28</v>
      </c>
      <c r="BV265" s="37" t="n">
        <v>131.18</v>
      </c>
      <c r="BW265" s="37" t="n">
        <v>110.48</v>
      </c>
      <c r="BX265" s="37" t="n">
        <v>109.19</v>
      </c>
      <c r="BY265" s="37" t="n">
        <v>112.08</v>
      </c>
      <c r="BZ265" s="37" t="n">
        <v>112.24</v>
      </c>
      <c r="CA265" s="37" t="n">
        <v>109.03</v>
      </c>
      <c r="CB265" s="37" t="n">
        <v>88.28</v>
      </c>
      <c r="CC265" s="37" t="n">
        <v>8418.359999999999</v>
      </c>
    </row>
    <row r="266" ht="15.75" customHeight="1" s="57">
      <c r="A266" s="7" t="inlineStr">
        <is>
          <t>NTB</t>
        </is>
      </c>
      <c r="B266" s="7" t="inlineStr">
        <is>
          <t>Khánh Hòa</t>
        </is>
      </c>
      <c r="C266" s="7" t="n">
        <v>22363000</v>
      </c>
      <c r="D266" s="7" t="inlineStr">
        <is>
          <t>(KHO) Nam Nha Trang 3</t>
        </is>
      </c>
      <c r="E266" s="7" t="inlineStr">
        <is>
          <t>TTS-Bulky</t>
        </is>
      </c>
      <c r="F266" s="36" t="n">
        <v>2</v>
      </c>
      <c r="G266" s="36" t="n">
        <v>2</v>
      </c>
      <c r="H266" s="36" t="n">
        <v>2</v>
      </c>
      <c r="I266" s="36" t="n">
        <v>0</v>
      </c>
      <c r="J266" s="36" t="n">
        <v>1</v>
      </c>
      <c r="K266" s="28" t="n">
        <v>1</v>
      </c>
      <c r="L266" s="36" t="n">
        <v>0</v>
      </c>
      <c r="M266" s="36" t="n">
        <v>0</v>
      </c>
      <c r="N266" s="36" t="n">
        <v>1</v>
      </c>
      <c r="O266" s="36" t="n">
        <v>0</v>
      </c>
      <c r="P266" s="36" t="n">
        <v>0</v>
      </c>
      <c r="Q266" s="36" t="n">
        <v>0</v>
      </c>
      <c r="R266" s="28" t="n">
        <v>2</v>
      </c>
      <c r="S266" s="36" t="n">
        <v>1</v>
      </c>
      <c r="T266" s="36" t="n">
        <v>2</v>
      </c>
      <c r="U266" s="36" t="n">
        <v>3.45</v>
      </c>
      <c r="V266" s="36" t="n">
        <v>3.3</v>
      </c>
      <c r="W266" s="36" t="n">
        <v>1.66</v>
      </c>
      <c r="X266" s="36" t="n">
        <v>1.25</v>
      </c>
      <c r="Y266" s="28" t="n">
        <v>2.12</v>
      </c>
      <c r="Z266" s="36" t="n">
        <v>1.56</v>
      </c>
      <c r="AA266" s="36" t="n">
        <v>1.76</v>
      </c>
      <c r="AB266" s="36" t="n">
        <v>1.89</v>
      </c>
      <c r="AC266" s="36" t="n">
        <v>2.06</v>
      </c>
      <c r="AD266" s="36" t="n">
        <v>2.57</v>
      </c>
      <c r="AE266" s="36" t="n">
        <v>1.37</v>
      </c>
      <c r="AF266" s="28" t="n">
        <v>2.01</v>
      </c>
      <c r="AG266" s="36" t="n">
        <v>1.62</v>
      </c>
      <c r="AH266" s="37" t="n">
        <v>1.62</v>
      </c>
      <c r="AI266" s="37" t="n">
        <v>1.68</v>
      </c>
      <c r="AJ266" s="37" t="n">
        <v>1.85</v>
      </c>
      <c r="AK266" s="37" t="n">
        <v>1.79</v>
      </c>
      <c r="AL266" s="37" t="n">
        <v>1.27</v>
      </c>
      <c r="AM266" s="37" t="n">
        <v>1.99</v>
      </c>
      <c r="AN266" s="37" t="n">
        <v>1.66</v>
      </c>
      <c r="AO266" s="37" t="n">
        <v>1.62</v>
      </c>
      <c r="AP266" s="37" t="n">
        <v>1.64</v>
      </c>
      <c r="AQ266" s="37" t="n">
        <v>1.64</v>
      </c>
      <c r="AR266" s="37" t="n">
        <v>1.64</v>
      </c>
      <c r="AS266" s="37" t="n">
        <v>1.2</v>
      </c>
      <c r="AT266" s="37" t="n">
        <v>2.1</v>
      </c>
      <c r="AU266" s="37" t="n">
        <v>1.89</v>
      </c>
      <c r="AV266" s="37" t="n">
        <v>1.68</v>
      </c>
      <c r="AW266" s="37" t="n">
        <v>1.62</v>
      </c>
      <c r="AX266" s="37" t="n">
        <v>1.62</v>
      </c>
      <c r="AY266" s="37" t="n">
        <v>1.64</v>
      </c>
      <c r="AZ266" s="37" t="n">
        <v>1.2</v>
      </c>
      <c r="BA266" s="37" t="n">
        <v>1.85</v>
      </c>
      <c r="BB266" s="37" t="n">
        <v>0.44</v>
      </c>
      <c r="BC266" s="37" t="n">
        <v>0.27</v>
      </c>
      <c r="BD266" s="37" t="n">
        <v>0.31</v>
      </c>
      <c r="BE266" s="37" t="n">
        <v>0.44</v>
      </c>
      <c r="BF266" s="37" t="n">
        <v>0.46</v>
      </c>
      <c r="BG266" s="37" t="n">
        <v>0.31</v>
      </c>
      <c r="BH266" s="37" t="n">
        <v>0.58</v>
      </c>
      <c r="BI266" s="37" t="n">
        <v>0.48</v>
      </c>
      <c r="BJ266" s="37" t="n">
        <v>0.6</v>
      </c>
      <c r="BK266" s="37" t="n">
        <v>0.46</v>
      </c>
      <c r="BL266" s="37" t="n">
        <v>0.44</v>
      </c>
      <c r="BM266" s="37" t="n">
        <v>0.46</v>
      </c>
      <c r="BN266" s="37" t="n">
        <v>0.31</v>
      </c>
      <c r="BO266" s="37" t="n">
        <v>0.71</v>
      </c>
      <c r="BP266" s="37" t="n">
        <v>0.54</v>
      </c>
      <c r="BQ266" s="37" t="n">
        <v>0.46</v>
      </c>
      <c r="BR266" s="37" t="n">
        <v>0.46</v>
      </c>
      <c r="BS266" s="37" t="n">
        <v>0.44</v>
      </c>
      <c r="BT266" s="37" t="n">
        <v>0.46</v>
      </c>
      <c r="BU266" s="37" t="n">
        <v>0.31</v>
      </c>
      <c r="BV266" s="37" t="n">
        <v>0.54</v>
      </c>
      <c r="BW266" s="37" t="n">
        <v>0.48</v>
      </c>
      <c r="BX266" s="37" t="n">
        <v>0.46</v>
      </c>
      <c r="BY266" s="37" t="n">
        <v>0.46</v>
      </c>
      <c r="BZ266" s="37" t="n">
        <v>0.44</v>
      </c>
      <c r="CA266" s="37" t="n">
        <v>0.46</v>
      </c>
      <c r="CB266" s="37" t="n">
        <v>0.31</v>
      </c>
      <c r="CC266" s="37" t="n">
        <v>85.90999999999995</v>
      </c>
    </row>
    <row r="267" ht="15.75" customHeight="1" s="57">
      <c r="A267" s="7" t="inlineStr">
        <is>
          <t>NTB</t>
        </is>
      </c>
      <c r="B267" s="7" t="inlineStr">
        <is>
          <t>Khánh Hòa</t>
        </is>
      </c>
      <c r="C267" s="7" t="n">
        <v>22704000</v>
      </c>
      <c r="D267" s="7" t="inlineStr">
        <is>
          <t>(KHO) Nam Nha Trang 2</t>
        </is>
      </c>
      <c r="E267" s="7" t="inlineStr">
        <is>
          <t>SME</t>
        </is>
      </c>
      <c r="F267" s="36" t="n">
        <v>306</v>
      </c>
      <c r="G267" s="36" t="n">
        <v>422</v>
      </c>
      <c r="H267" s="36" t="n">
        <v>345</v>
      </c>
      <c r="I267" s="36" t="n">
        <v>370</v>
      </c>
      <c r="J267" s="36" t="n">
        <v>358</v>
      </c>
      <c r="K267" s="28" t="n">
        <v>403</v>
      </c>
      <c r="L267" s="36" t="n">
        <v>244</v>
      </c>
      <c r="M267" s="36" t="n">
        <v>262</v>
      </c>
      <c r="N267" s="36" t="n">
        <v>275</v>
      </c>
      <c r="O267" s="36" t="n">
        <v>358</v>
      </c>
      <c r="P267" s="36" t="n">
        <v>249</v>
      </c>
      <c r="Q267" s="36" t="n">
        <v>259</v>
      </c>
      <c r="R267" s="28" t="n">
        <v>400</v>
      </c>
      <c r="S267" s="36" t="n">
        <v>340</v>
      </c>
      <c r="T267" s="36" t="n">
        <v>362</v>
      </c>
      <c r="U267" s="36" t="n">
        <v>404.48</v>
      </c>
      <c r="V267" s="36" t="n">
        <v>418.81</v>
      </c>
      <c r="W267" s="36" t="n">
        <v>407.28</v>
      </c>
      <c r="X267" s="36" t="n">
        <v>333.37</v>
      </c>
      <c r="Y267" s="28" t="n">
        <v>451.25</v>
      </c>
      <c r="Z267" s="36" t="n">
        <v>415.69</v>
      </c>
      <c r="AA267" s="36" t="n">
        <v>405.43</v>
      </c>
      <c r="AB267" s="36" t="n">
        <v>404.48</v>
      </c>
      <c r="AC267" s="36" t="n">
        <v>418.81</v>
      </c>
      <c r="AD267" s="36" t="n">
        <v>412.9299999999999</v>
      </c>
      <c r="AE267" s="36" t="n">
        <v>333.37</v>
      </c>
      <c r="AF267" s="28" t="n">
        <v>451.25</v>
      </c>
      <c r="AG267" s="36" t="n">
        <v>415.69</v>
      </c>
      <c r="AH267" s="37" t="n">
        <v>405.43</v>
      </c>
      <c r="AI267" s="37" t="n">
        <v>404.48</v>
      </c>
      <c r="AJ267" s="37" t="n">
        <v>418.81</v>
      </c>
      <c r="AK267" s="37" t="n">
        <v>407.28</v>
      </c>
      <c r="AL267" s="37" t="n">
        <v>333.37</v>
      </c>
      <c r="AM267" s="37" t="n">
        <v>451.25</v>
      </c>
      <c r="AN267" s="37" t="n">
        <v>415.69</v>
      </c>
      <c r="AO267" s="37" t="n">
        <v>405.43</v>
      </c>
      <c r="AP267" s="37" t="n">
        <v>404.48</v>
      </c>
      <c r="AQ267" s="37" t="n">
        <v>418.81</v>
      </c>
      <c r="AR267" s="37" t="n">
        <v>407.28</v>
      </c>
      <c r="AS267" s="37" t="n">
        <v>333.37</v>
      </c>
      <c r="AT267" s="37" t="n">
        <v>451.25</v>
      </c>
      <c r="AU267" s="37" t="n">
        <v>415.69</v>
      </c>
      <c r="AV267" s="37" t="n">
        <v>405.43</v>
      </c>
      <c r="AW267" s="37" t="n">
        <v>404.48</v>
      </c>
      <c r="AX267" s="37" t="n">
        <v>418.81</v>
      </c>
      <c r="AY267" s="37" t="n">
        <v>407.28</v>
      </c>
      <c r="AZ267" s="37" t="n">
        <v>333.37</v>
      </c>
      <c r="BA267" s="37" t="n">
        <v>406.15</v>
      </c>
      <c r="BB267" s="37" t="n">
        <v>364.47</v>
      </c>
      <c r="BC267" s="37" t="n">
        <v>230.28</v>
      </c>
      <c r="BD267" s="37" t="n">
        <v>229.35</v>
      </c>
      <c r="BE267" s="37" t="n">
        <v>388.91</v>
      </c>
      <c r="BF267" s="37" t="n">
        <v>378.16</v>
      </c>
      <c r="BG267" s="37" t="n">
        <v>343.41</v>
      </c>
      <c r="BH267" s="37" t="n">
        <v>465.52</v>
      </c>
      <c r="BI267" s="37" t="n">
        <v>428.71</v>
      </c>
      <c r="BJ267" s="37" t="n">
        <v>423.63</v>
      </c>
      <c r="BK267" s="37" t="n">
        <v>417.17</v>
      </c>
      <c r="BL267" s="37" t="n">
        <v>431.9</v>
      </c>
      <c r="BM267" s="37" t="n">
        <v>420.1</v>
      </c>
      <c r="BN267" s="37" t="n">
        <v>343.41</v>
      </c>
      <c r="BO267" s="37" t="n">
        <v>465.52</v>
      </c>
      <c r="BP267" s="37" t="n">
        <v>428.71</v>
      </c>
      <c r="BQ267" s="37" t="n">
        <v>418.04</v>
      </c>
      <c r="BR267" s="37" t="n">
        <v>417.17</v>
      </c>
      <c r="BS267" s="37" t="n">
        <v>431.9</v>
      </c>
      <c r="BT267" s="37" t="n">
        <v>420.1</v>
      </c>
      <c r="BU267" s="37" t="n">
        <v>343.41</v>
      </c>
      <c r="BV267" s="37" t="n">
        <v>465.52</v>
      </c>
      <c r="BW267" s="37" t="n">
        <v>428.71</v>
      </c>
      <c r="BX267" s="37" t="n">
        <v>418.04</v>
      </c>
      <c r="BY267" s="37" t="n">
        <v>417.17</v>
      </c>
      <c r="BZ267" s="37" t="n">
        <v>431.9</v>
      </c>
      <c r="CA267" s="37" t="n">
        <v>420.1</v>
      </c>
      <c r="CB267" s="37" t="n">
        <v>343.41</v>
      </c>
      <c r="CC267" s="37" t="n">
        <v>28988.7</v>
      </c>
    </row>
    <row r="268" ht="15.75" customHeight="1" s="57">
      <c r="A268" s="7" t="inlineStr">
        <is>
          <t>NTB</t>
        </is>
      </c>
      <c r="B268" s="7" t="inlineStr">
        <is>
          <t>Khánh Hòa</t>
        </is>
      </c>
      <c r="C268" s="7" t="n">
        <v>22704000</v>
      </c>
      <c r="D268" s="7" t="inlineStr">
        <is>
          <t>(KHO) Nam Nha Trang 2</t>
        </is>
      </c>
      <c r="E268" s="7" t="inlineStr">
        <is>
          <t>SME-Bulky</t>
        </is>
      </c>
      <c r="F268" s="36" t="n">
        <v>31</v>
      </c>
      <c r="G268" s="36" t="n">
        <v>29</v>
      </c>
      <c r="H268" s="36" t="n">
        <v>17</v>
      </c>
      <c r="I268" s="36" t="n">
        <v>24</v>
      </c>
      <c r="J268" s="36" t="n">
        <v>18</v>
      </c>
      <c r="K268" s="28" t="n">
        <v>12</v>
      </c>
      <c r="L268" s="36" t="n">
        <v>14</v>
      </c>
      <c r="M268" s="36" t="n">
        <v>17</v>
      </c>
      <c r="N268" s="36" t="n">
        <v>30</v>
      </c>
      <c r="O268" s="36" t="n">
        <v>25</v>
      </c>
      <c r="P268" s="36" t="n">
        <v>22</v>
      </c>
      <c r="Q268" s="36" t="n">
        <v>16</v>
      </c>
      <c r="R268" s="28" t="n">
        <v>19</v>
      </c>
      <c r="S268" s="36" t="n">
        <v>31</v>
      </c>
      <c r="T268" s="36" t="n">
        <v>45</v>
      </c>
      <c r="U268" s="36" t="n">
        <v>27.93</v>
      </c>
      <c r="V268" s="36" t="n">
        <v>28.29</v>
      </c>
      <c r="W268" s="36" t="n">
        <v>26.27</v>
      </c>
      <c r="X268" s="36" t="n">
        <v>17.51</v>
      </c>
      <c r="Y268" s="28" t="n">
        <v>32.06</v>
      </c>
      <c r="Z268" s="36" t="n">
        <v>30.9</v>
      </c>
      <c r="AA268" s="36" t="n">
        <v>29.38</v>
      </c>
      <c r="AB268" s="36" t="n">
        <v>27.93</v>
      </c>
      <c r="AC268" s="36" t="n">
        <v>28.29</v>
      </c>
      <c r="AD268" s="36" t="n">
        <v>24.82</v>
      </c>
      <c r="AE268" s="36" t="n">
        <v>17.51</v>
      </c>
      <c r="AF268" s="28" t="n">
        <v>32.06</v>
      </c>
      <c r="AG268" s="36" t="n">
        <v>30.9</v>
      </c>
      <c r="AH268" s="37" t="n">
        <v>29.38</v>
      </c>
      <c r="AI268" s="37" t="n">
        <v>27.93</v>
      </c>
      <c r="AJ268" s="37" t="n">
        <v>28.29</v>
      </c>
      <c r="AK268" s="37" t="n">
        <v>26.27</v>
      </c>
      <c r="AL268" s="37" t="n">
        <v>17.51</v>
      </c>
      <c r="AM268" s="37" t="n">
        <v>32.06</v>
      </c>
      <c r="AN268" s="37" t="n">
        <v>30.9</v>
      </c>
      <c r="AO268" s="37" t="n">
        <v>29.38</v>
      </c>
      <c r="AP268" s="37" t="n">
        <v>27.93</v>
      </c>
      <c r="AQ268" s="37" t="n">
        <v>28.29</v>
      </c>
      <c r="AR268" s="37" t="n">
        <v>26.27</v>
      </c>
      <c r="AS268" s="37" t="n">
        <v>17.51</v>
      </c>
      <c r="AT268" s="37" t="n">
        <v>32.06</v>
      </c>
      <c r="AU268" s="37" t="n">
        <v>30.9</v>
      </c>
      <c r="AV268" s="37" t="n">
        <v>29.38</v>
      </c>
      <c r="AW268" s="37" t="n">
        <v>27.93</v>
      </c>
      <c r="AX268" s="37" t="n">
        <v>28.29</v>
      </c>
      <c r="AY268" s="37" t="n">
        <v>26.27</v>
      </c>
      <c r="AZ268" s="37" t="n">
        <v>17.51</v>
      </c>
      <c r="BA268" s="37" t="n">
        <v>31.91</v>
      </c>
      <c r="BB268" s="37" t="n">
        <v>16.57</v>
      </c>
      <c r="BC268" s="37" t="n">
        <v>8.390000000000001</v>
      </c>
      <c r="BD268" s="37" t="n">
        <v>7.67</v>
      </c>
      <c r="BE268" s="37" t="n">
        <v>14.33</v>
      </c>
      <c r="BF268" s="37" t="n">
        <v>13.24</v>
      </c>
      <c r="BG268" s="37" t="n">
        <v>10.57</v>
      </c>
      <c r="BH268" s="37" t="n">
        <v>18.81</v>
      </c>
      <c r="BI268" s="37" t="n">
        <v>18.53</v>
      </c>
      <c r="BJ268" s="37" t="n">
        <v>16.14</v>
      </c>
      <c r="BK268" s="37" t="n">
        <v>16.57</v>
      </c>
      <c r="BL268" s="37" t="n">
        <v>16.93</v>
      </c>
      <c r="BM268" s="37" t="n">
        <v>15.41</v>
      </c>
      <c r="BN268" s="37" t="n">
        <v>10.57</v>
      </c>
      <c r="BO268" s="37" t="n">
        <v>18.81</v>
      </c>
      <c r="BP268" s="37" t="n">
        <v>18.53</v>
      </c>
      <c r="BQ268" s="37" t="n">
        <v>17.29</v>
      </c>
      <c r="BR268" s="37" t="n">
        <v>16.57</v>
      </c>
      <c r="BS268" s="37" t="n">
        <v>16.93</v>
      </c>
      <c r="BT268" s="37" t="n">
        <v>15.41</v>
      </c>
      <c r="BU268" s="37" t="n">
        <v>10.57</v>
      </c>
      <c r="BV268" s="37" t="n">
        <v>18.81</v>
      </c>
      <c r="BW268" s="37" t="n">
        <v>18.53</v>
      </c>
      <c r="BX268" s="37" t="n">
        <v>17.29</v>
      </c>
      <c r="BY268" s="37" t="n">
        <v>16.57</v>
      </c>
      <c r="BZ268" s="37" t="n">
        <v>16.93</v>
      </c>
      <c r="CA268" s="37" t="n">
        <v>15.41</v>
      </c>
      <c r="CB268" s="37" t="n">
        <v>10.57</v>
      </c>
      <c r="CC268" s="37" t="n">
        <v>1661.77</v>
      </c>
    </row>
    <row r="269" ht="15.75" customHeight="1" s="57">
      <c r="A269" s="7" t="inlineStr">
        <is>
          <t>NTB</t>
        </is>
      </c>
      <c r="B269" s="7" t="inlineStr">
        <is>
          <t>Khánh Hòa</t>
        </is>
      </c>
      <c r="C269" s="7" t="n">
        <v>22704000</v>
      </c>
      <c r="D269" s="7" t="inlineStr">
        <is>
          <t>(KHO) Nam Nha Trang 2</t>
        </is>
      </c>
      <c r="E269" s="7" t="inlineStr">
        <is>
          <t>Shopee</t>
        </is>
      </c>
      <c r="F269" s="36" t="n">
        <v>50</v>
      </c>
      <c r="G269" s="36" t="n">
        <v>43</v>
      </c>
      <c r="H269" s="36" t="n">
        <v>38</v>
      </c>
      <c r="I269" s="36" t="n">
        <v>38</v>
      </c>
      <c r="J269" s="36" t="n">
        <v>37</v>
      </c>
      <c r="K269" s="28" t="n">
        <v>28</v>
      </c>
      <c r="L269" s="36" t="n">
        <v>24</v>
      </c>
      <c r="M269" s="36" t="n">
        <v>29</v>
      </c>
      <c r="N269" s="36" t="n">
        <v>21</v>
      </c>
      <c r="O269" s="36" t="n">
        <v>37</v>
      </c>
      <c r="P269" s="36" t="n">
        <v>25</v>
      </c>
      <c r="Q269" s="36" t="n">
        <v>35</v>
      </c>
      <c r="R269" s="28" t="n">
        <v>35</v>
      </c>
      <c r="S269" s="36" t="n">
        <v>52</v>
      </c>
      <c r="T269" s="36" t="n">
        <v>40</v>
      </c>
      <c r="U269" s="36" t="n">
        <v>60.38</v>
      </c>
      <c r="V269" s="36" t="n">
        <v>60.61</v>
      </c>
      <c r="W269" s="36" t="n">
        <v>59.75</v>
      </c>
      <c r="X269" s="36" t="n">
        <v>48.58</v>
      </c>
      <c r="Y269" s="28" t="n">
        <v>81.38</v>
      </c>
      <c r="Z269" s="36" t="n">
        <v>64.36</v>
      </c>
      <c r="AA269" s="36" t="n">
        <v>88.53</v>
      </c>
      <c r="AB269" s="36" t="n">
        <v>61.59</v>
      </c>
      <c r="AC269" s="36" t="n">
        <v>49.77</v>
      </c>
      <c r="AD269" s="36" t="n">
        <v>152.89</v>
      </c>
      <c r="AE269" s="36" t="n">
        <v>52.03</v>
      </c>
      <c r="AF269" s="28" t="n">
        <v>92.67</v>
      </c>
      <c r="AG269" s="36" t="n">
        <v>67.61</v>
      </c>
      <c r="AH269" s="37" t="n">
        <v>71.39</v>
      </c>
      <c r="AI269" s="37" t="n">
        <v>60.38</v>
      </c>
      <c r="AJ269" s="37" t="n">
        <v>60.61</v>
      </c>
      <c r="AK269" s="37" t="n">
        <v>80.59999999999999</v>
      </c>
      <c r="AL269" s="37" t="n">
        <v>87.19</v>
      </c>
      <c r="AM269" s="37" t="n">
        <v>81.38</v>
      </c>
      <c r="AN269" s="37" t="n">
        <v>64.36</v>
      </c>
      <c r="AO269" s="37" t="n">
        <v>71.39</v>
      </c>
      <c r="AP269" s="37" t="n">
        <v>75.31999999999999</v>
      </c>
      <c r="AQ269" s="37" t="n">
        <v>48.6</v>
      </c>
      <c r="AR269" s="37" t="n">
        <v>59.75</v>
      </c>
      <c r="AS269" s="37" t="n">
        <v>48.58</v>
      </c>
      <c r="AT269" s="37" t="n">
        <v>81.38</v>
      </c>
      <c r="AU269" s="37" t="n">
        <v>65.69</v>
      </c>
      <c r="AV269" s="37" t="n">
        <v>72.83</v>
      </c>
      <c r="AW269" s="37" t="n">
        <v>60.38</v>
      </c>
      <c r="AX269" s="37" t="n">
        <v>60.61</v>
      </c>
      <c r="AY269" s="37" t="n">
        <v>59.75</v>
      </c>
      <c r="AZ269" s="37" t="n">
        <v>48.58</v>
      </c>
      <c r="BA269" s="37" t="n">
        <v>62.67</v>
      </c>
      <c r="BB269" s="37" t="n">
        <v>54.63</v>
      </c>
      <c r="BC269" s="37" t="n">
        <v>27.83</v>
      </c>
      <c r="BD269" s="37" t="n">
        <v>49.46</v>
      </c>
      <c r="BE269" s="37" t="n">
        <v>57.75</v>
      </c>
      <c r="BF269" s="37" t="n">
        <v>56.93</v>
      </c>
      <c r="BG269" s="37" t="n">
        <v>47.23</v>
      </c>
      <c r="BH269" s="37" t="n">
        <v>77.54000000000001</v>
      </c>
      <c r="BI269" s="37" t="n">
        <v>50.44</v>
      </c>
      <c r="BJ269" s="37" t="n">
        <v>217.05</v>
      </c>
      <c r="BK269" s="37" t="n">
        <v>61.53</v>
      </c>
      <c r="BL269" s="37" t="n">
        <v>60.53</v>
      </c>
      <c r="BM269" s="37" t="n">
        <v>56.93</v>
      </c>
      <c r="BN269" s="37" t="n">
        <v>46.29</v>
      </c>
      <c r="BO269" s="37" t="n">
        <v>77.54000000000001</v>
      </c>
      <c r="BP269" s="37" t="n">
        <v>82.70999999999999</v>
      </c>
      <c r="BQ269" s="37" t="n">
        <v>122.17</v>
      </c>
      <c r="BR269" s="37" t="n">
        <v>57.52</v>
      </c>
      <c r="BS269" s="37" t="n">
        <v>57.75</v>
      </c>
      <c r="BT269" s="37" t="n">
        <v>56.93</v>
      </c>
      <c r="BU269" s="37" t="n">
        <v>57.78</v>
      </c>
      <c r="BV269" s="37" t="n">
        <v>62.05</v>
      </c>
      <c r="BW269" s="37" t="n">
        <v>61.29</v>
      </c>
      <c r="BX269" s="37" t="n">
        <v>68</v>
      </c>
      <c r="BY269" s="37" t="n">
        <v>57.52</v>
      </c>
      <c r="BZ269" s="37" t="n">
        <v>58.94</v>
      </c>
      <c r="CA269" s="37" t="n">
        <v>58.04</v>
      </c>
      <c r="CB269" s="37" t="n">
        <v>46.29</v>
      </c>
      <c r="CC269" s="37" t="n">
        <v>4582.260000000001</v>
      </c>
    </row>
    <row r="270" ht="15.75" customHeight="1" s="57">
      <c r="A270" s="7" t="inlineStr">
        <is>
          <t>NTB</t>
        </is>
      </c>
      <c r="B270" s="7" t="inlineStr">
        <is>
          <t>Khánh Hòa</t>
        </is>
      </c>
      <c r="C270" s="7" t="n">
        <v>22704000</v>
      </c>
      <c r="D270" s="7" t="inlineStr">
        <is>
          <t>(KHO) Nam Nha Trang 2</t>
        </is>
      </c>
      <c r="E270" s="7" t="inlineStr">
        <is>
          <t>Shopee-Bulky</t>
        </is>
      </c>
      <c r="F270" s="36" t="n">
        <v>49.31</v>
      </c>
      <c r="G270" s="36" t="n">
        <v>44.19</v>
      </c>
      <c r="H270" s="36" t="n">
        <v>65.95999999999999</v>
      </c>
      <c r="I270" s="36" t="n">
        <v>33.94</v>
      </c>
      <c r="J270" s="36" t="n">
        <v>31.38</v>
      </c>
      <c r="K270" s="28" t="n">
        <v>26.26</v>
      </c>
      <c r="L270" s="36" t="n">
        <v>23.7</v>
      </c>
      <c r="M270" s="36" t="n">
        <v>47.39</v>
      </c>
      <c r="N270" s="36" t="n">
        <v>62.76</v>
      </c>
      <c r="O270" s="36" t="n">
        <v>40.35</v>
      </c>
      <c r="P270" s="36" t="n">
        <v>23.7</v>
      </c>
      <c r="Q270" s="36" t="n">
        <v>37.79</v>
      </c>
      <c r="R270" s="28" t="n">
        <v>33.94</v>
      </c>
      <c r="S270" s="36" t="n">
        <v>61.48</v>
      </c>
      <c r="T270" s="36" t="n">
        <v>45.47</v>
      </c>
      <c r="U270" s="36" t="n">
        <v>39.45</v>
      </c>
      <c r="V270" s="36" t="n">
        <v>38.24</v>
      </c>
      <c r="W270" s="36" t="n">
        <v>53.36</v>
      </c>
      <c r="X270" s="36" t="n">
        <v>29.46</v>
      </c>
      <c r="Y270" s="28" t="n">
        <v>58.21</v>
      </c>
      <c r="Z270" s="36" t="n">
        <v>45.37</v>
      </c>
      <c r="AA270" s="36" t="n">
        <v>43.95</v>
      </c>
      <c r="AB270" s="36" t="n">
        <v>44.87</v>
      </c>
      <c r="AC270" s="36" t="n">
        <v>47.51</v>
      </c>
      <c r="AD270" s="36" t="n">
        <v>132.05</v>
      </c>
      <c r="AE270" s="36" t="n">
        <v>75.62</v>
      </c>
      <c r="AF270" s="28" t="n">
        <v>114.72</v>
      </c>
      <c r="AG270" s="36" t="n">
        <v>64.84999999999999</v>
      </c>
      <c r="AH270" s="37" t="n">
        <v>45.02</v>
      </c>
      <c r="AI270" s="37" t="n">
        <v>43.95</v>
      </c>
      <c r="AJ270" s="37" t="n">
        <v>43.3</v>
      </c>
      <c r="AK270" s="37" t="n">
        <v>98.23999999999999</v>
      </c>
      <c r="AL270" s="37" t="n">
        <v>49.65</v>
      </c>
      <c r="AM270" s="37" t="n">
        <v>71.48</v>
      </c>
      <c r="AN270" s="37" t="n">
        <v>44.73</v>
      </c>
      <c r="AO270" s="37" t="n">
        <v>43.73</v>
      </c>
      <c r="AP270" s="37" t="n">
        <v>60.21</v>
      </c>
      <c r="AQ270" s="37" t="n">
        <v>59.21</v>
      </c>
      <c r="AR270" s="37" t="n">
        <v>48.37</v>
      </c>
      <c r="AS270" s="37" t="n">
        <v>25.9</v>
      </c>
      <c r="AT270" s="37" t="n">
        <v>53.22</v>
      </c>
      <c r="AU270" s="37" t="n">
        <v>87.18000000000001</v>
      </c>
      <c r="AV270" s="37" t="n">
        <v>90.68000000000001</v>
      </c>
      <c r="AW270" s="37" t="n">
        <v>44.23</v>
      </c>
      <c r="AX270" s="37" t="n">
        <v>41.52</v>
      </c>
      <c r="AY270" s="37" t="n">
        <v>46.3</v>
      </c>
      <c r="AZ270" s="37" t="n">
        <v>24.83</v>
      </c>
      <c r="BA270" s="37" t="n">
        <v>48.51</v>
      </c>
      <c r="BB270" s="37" t="n">
        <v>45.52</v>
      </c>
      <c r="BC270" s="37" t="n">
        <v>15.7</v>
      </c>
      <c r="BD270" s="37" t="n">
        <v>38.67</v>
      </c>
      <c r="BE270" s="37" t="n">
        <v>48.01</v>
      </c>
      <c r="BF270" s="37" t="n">
        <v>41.95</v>
      </c>
      <c r="BG270" s="37" t="n">
        <v>33.67</v>
      </c>
      <c r="BH270" s="37" t="n">
        <v>62.14</v>
      </c>
      <c r="BI270" s="37" t="n">
        <v>52.86</v>
      </c>
      <c r="BJ270" s="37" t="n">
        <v>208.75</v>
      </c>
      <c r="BK270" s="37" t="n">
        <v>112.79</v>
      </c>
      <c r="BL270" s="37" t="n">
        <v>58</v>
      </c>
      <c r="BM270" s="37" t="n">
        <v>43.88</v>
      </c>
      <c r="BN270" s="37" t="n">
        <v>32.82</v>
      </c>
      <c r="BO270" s="37" t="n">
        <v>72.77</v>
      </c>
      <c r="BP270" s="37" t="n">
        <v>105.37</v>
      </c>
      <c r="BQ270" s="37" t="n">
        <v>76.98</v>
      </c>
      <c r="BR270" s="37" t="n">
        <v>50.3</v>
      </c>
      <c r="BS270" s="37" t="n">
        <v>48.01</v>
      </c>
      <c r="BT270" s="37" t="n">
        <v>41.95</v>
      </c>
      <c r="BU270" s="37" t="n">
        <v>48.73</v>
      </c>
      <c r="BV270" s="37" t="n">
        <v>65.84999999999999</v>
      </c>
      <c r="BW270" s="37" t="n">
        <v>52.86</v>
      </c>
      <c r="BX270" s="37" t="n">
        <v>51.22</v>
      </c>
      <c r="BY270" s="37" t="n">
        <v>50.3</v>
      </c>
      <c r="BZ270" s="37" t="n">
        <v>86.11</v>
      </c>
      <c r="CA270" s="37" t="n">
        <v>49.94</v>
      </c>
      <c r="CB270" s="37" t="n">
        <v>31.89</v>
      </c>
      <c r="CC270" s="37" t="n">
        <v>4112.580000000001</v>
      </c>
    </row>
    <row r="271" ht="15.75" customHeight="1" s="57">
      <c r="A271" s="7" t="inlineStr">
        <is>
          <t>NTB</t>
        </is>
      </c>
      <c r="B271" s="7" t="inlineStr">
        <is>
          <t>Khánh Hòa</t>
        </is>
      </c>
      <c r="C271" s="7" t="n">
        <v>22704000</v>
      </c>
      <c r="D271" s="7" t="inlineStr">
        <is>
          <t>(KHO) Nam Nha Trang 2</t>
        </is>
      </c>
      <c r="E271" s="7" t="inlineStr">
        <is>
          <t>Shopee-Bulky (10-15kg)</t>
        </is>
      </c>
      <c r="F271" s="36" t="n">
        <v>27.69</v>
      </c>
      <c r="G271" s="36" t="n">
        <v>24.81</v>
      </c>
      <c r="H271" s="36" t="n">
        <v>37.04</v>
      </c>
      <c r="I271" s="36" t="n">
        <v>19.06</v>
      </c>
      <c r="J271" s="36" t="n">
        <v>17.62</v>
      </c>
      <c r="K271" s="28" t="n">
        <v>14.74</v>
      </c>
      <c r="L271" s="36" t="n">
        <v>13.3</v>
      </c>
      <c r="M271" s="36" t="n">
        <v>26.61</v>
      </c>
      <c r="N271" s="36" t="n">
        <v>35.24</v>
      </c>
      <c r="O271" s="36" t="n">
        <v>22.65</v>
      </c>
      <c r="P271" s="36" t="n">
        <v>13.3</v>
      </c>
      <c r="Q271" s="36" t="n">
        <v>21.21</v>
      </c>
      <c r="R271" s="28" t="n">
        <v>19.06</v>
      </c>
      <c r="S271" s="36" t="n">
        <v>34.52</v>
      </c>
      <c r="T271" s="36" t="n">
        <v>25.53</v>
      </c>
      <c r="U271" s="36" t="n">
        <v>23.61</v>
      </c>
      <c r="V271" s="36" t="n">
        <v>22.62</v>
      </c>
      <c r="W271" s="36" t="n">
        <v>29.18</v>
      </c>
      <c r="X271" s="36" t="n">
        <v>16.41</v>
      </c>
      <c r="Y271" s="28" t="n">
        <v>33.25</v>
      </c>
      <c r="Z271" s="36" t="n">
        <v>25.97</v>
      </c>
      <c r="AA271" s="36" t="n">
        <v>24.47</v>
      </c>
      <c r="AB271" s="36" t="n">
        <v>25.61</v>
      </c>
      <c r="AC271" s="36" t="n">
        <v>26.54</v>
      </c>
      <c r="AD271" s="36" t="n">
        <v>98.95</v>
      </c>
      <c r="AE271" s="36" t="n">
        <v>41.09</v>
      </c>
      <c r="AF271" s="28" t="n">
        <v>60.64</v>
      </c>
      <c r="AG271" s="36" t="n">
        <v>36.17</v>
      </c>
      <c r="AH271" s="37" t="n">
        <v>25.61</v>
      </c>
      <c r="AI271" s="37" t="n">
        <v>24.76</v>
      </c>
      <c r="AJ271" s="37" t="n">
        <v>24.26</v>
      </c>
      <c r="AK271" s="37" t="n">
        <v>56.07</v>
      </c>
      <c r="AL271" s="37" t="n">
        <v>28.18</v>
      </c>
      <c r="AM271" s="37" t="n">
        <v>40.45</v>
      </c>
      <c r="AN271" s="37" t="n">
        <v>25.61</v>
      </c>
      <c r="AO271" s="37" t="n">
        <v>24.68</v>
      </c>
      <c r="AP271" s="37" t="n">
        <v>31.96</v>
      </c>
      <c r="AQ271" s="37" t="n">
        <v>33.6</v>
      </c>
      <c r="AR271" s="37" t="n">
        <v>26.18</v>
      </c>
      <c r="AS271" s="37" t="n">
        <v>14.41</v>
      </c>
      <c r="AT271" s="37" t="n">
        <v>30.11</v>
      </c>
      <c r="AU271" s="37" t="n">
        <v>49.8</v>
      </c>
      <c r="AV271" s="37" t="n">
        <v>51.65</v>
      </c>
      <c r="AW271" s="37" t="n">
        <v>25.04</v>
      </c>
      <c r="AX271" s="37" t="n">
        <v>23.4</v>
      </c>
      <c r="AY271" s="37" t="n">
        <v>25.18</v>
      </c>
      <c r="AZ271" s="37" t="n">
        <v>13.91</v>
      </c>
      <c r="BA271" s="37" t="n">
        <v>27.47</v>
      </c>
      <c r="BB271" s="37" t="n">
        <v>26.33</v>
      </c>
      <c r="BC271" s="37" t="n">
        <v>8.85</v>
      </c>
      <c r="BD271" s="37" t="n">
        <v>20.97</v>
      </c>
      <c r="BE271" s="37" t="n">
        <v>27.04</v>
      </c>
      <c r="BF271" s="37" t="n">
        <v>23.04</v>
      </c>
      <c r="BG271" s="37" t="n">
        <v>18.83</v>
      </c>
      <c r="BH271" s="37" t="n">
        <v>36.03</v>
      </c>
      <c r="BI271" s="37" t="n">
        <v>30.61</v>
      </c>
      <c r="BJ271" s="37" t="n">
        <v>135.69</v>
      </c>
      <c r="BK271" s="37" t="n">
        <v>63.28</v>
      </c>
      <c r="BL271" s="37" t="n">
        <v>33.67</v>
      </c>
      <c r="BM271" s="37" t="n">
        <v>24.47</v>
      </c>
      <c r="BN271" s="37" t="n">
        <v>18.48</v>
      </c>
      <c r="BO271" s="37" t="n">
        <v>40.52</v>
      </c>
      <c r="BP271" s="37" t="n">
        <v>59.07</v>
      </c>
      <c r="BQ271" s="37" t="n">
        <v>43.45</v>
      </c>
      <c r="BR271" s="37" t="n">
        <v>29.04</v>
      </c>
      <c r="BS271" s="37" t="n">
        <v>27.04</v>
      </c>
      <c r="BT271" s="37" t="n">
        <v>23.04</v>
      </c>
      <c r="BU271" s="37" t="n">
        <v>28.04</v>
      </c>
      <c r="BV271" s="37" t="n">
        <v>37.24</v>
      </c>
      <c r="BW271" s="37" t="n">
        <v>30.61</v>
      </c>
      <c r="BX271" s="37" t="n">
        <v>29.25</v>
      </c>
      <c r="BY271" s="37" t="n">
        <v>29.04</v>
      </c>
      <c r="BZ271" s="37" t="n">
        <v>47.94</v>
      </c>
      <c r="CA271" s="37" t="n">
        <v>28.61</v>
      </c>
      <c r="CB271" s="37" t="n">
        <v>18.05</v>
      </c>
      <c r="CC271" s="37" t="n">
        <v>2357.45</v>
      </c>
    </row>
    <row r="272" ht="15.75" customHeight="1" s="57">
      <c r="A272" s="7" t="inlineStr">
        <is>
          <t>NTB</t>
        </is>
      </c>
      <c r="B272" s="7" t="inlineStr">
        <is>
          <t>Khánh Hòa</t>
        </is>
      </c>
      <c r="C272" s="7" t="n">
        <v>22704000</v>
      </c>
      <c r="D272" s="7" t="inlineStr">
        <is>
          <t>(KHO) Nam Nha Trang 2</t>
        </is>
      </c>
      <c r="E272" s="7" t="inlineStr">
        <is>
          <t>TTS</t>
        </is>
      </c>
      <c r="F272" s="36" t="n">
        <v>151</v>
      </c>
      <c r="G272" s="36" t="n">
        <v>162</v>
      </c>
      <c r="H272" s="36" t="n">
        <v>151</v>
      </c>
      <c r="I272" s="36" t="n">
        <v>184</v>
      </c>
      <c r="J272" s="36" t="n">
        <v>152</v>
      </c>
      <c r="K272" s="28" t="n">
        <v>166</v>
      </c>
      <c r="L272" s="36" t="n">
        <v>125</v>
      </c>
      <c r="M272" s="36" t="n">
        <v>118</v>
      </c>
      <c r="N272" s="36" t="n">
        <v>131</v>
      </c>
      <c r="O272" s="36" t="n">
        <v>156</v>
      </c>
      <c r="P272" s="36" t="n">
        <v>167</v>
      </c>
      <c r="Q272" s="36" t="n">
        <v>129</v>
      </c>
      <c r="R272" s="28" t="n">
        <v>180</v>
      </c>
      <c r="S272" s="36" t="n">
        <v>156</v>
      </c>
      <c r="T272" s="36" t="n">
        <v>184</v>
      </c>
      <c r="U272" s="36" t="n">
        <v>133.49</v>
      </c>
      <c r="V272" s="36" t="n">
        <v>130.99</v>
      </c>
      <c r="W272" s="36" t="n">
        <v>128.14</v>
      </c>
      <c r="X272" s="36" t="n">
        <v>103.3</v>
      </c>
      <c r="Y272" s="28" t="n">
        <v>150.52</v>
      </c>
      <c r="Z272" s="36" t="n">
        <v>127.6</v>
      </c>
      <c r="AA272" s="36" t="n">
        <v>141.98</v>
      </c>
      <c r="AB272" s="36" t="n">
        <v>157.69</v>
      </c>
      <c r="AC272" s="36" t="n">
        <v>166.28</v>
      </c>
      <c r="AD272" s="36" t="n">
        <v>183.26</v>
      </c>
      <c r="AE272" s="36" t="n">
        <v>120.14</v>
      </c>
      <c r="AF272" s="28" t="n">
        <v>154.99</v>
      </c>
      <c r="AG272" s="36" t="n">
        <v>130.5</v>
      </c>
      <c r="AH272" s="37" t="n">
        <v>129.12</v>
      </c>
      <c r="AI272" s="37" t="n">
        <v>147.63</v>
      </c>
      <c r="AJ272" s="37" t="n">
        <v>158.62</v>
      </c>
      <c r="AK272" s="37" t="n">
        <v>156.47</v>
      </c>
      <c r="AL272" s="37" t="n">
        <v>111.3</v>
      </c>
      <c r="AM272" s="37" t="n">
        <v>152.83</v>
      </c>
      <c r="AN272" s="37" t="n">
        <v>131.82</v>
      </c>
      <c r="AO272" s="37" t="n">
        <v>131.32</v>
      </c>
      <c r="AP272" s="37" t="n">
        <v>127.31</v>
      </c>
      <c r="AQ272" s="37" t="n">
        <v>128.44</v>
      </c>
      <c r="AR272" s="37" t="n">
        <v>126.18</v>
      </c>
      <c r="AS272" s="37" t="n">
        <v>103.64</v>
      </c>
      <c r="AT272" s="37" t="n">
        <v>165.7</v>
      </c>
      <c r="AU272" s="37" t="n">
        <v>149.89</v>
      </c>
      <c r="AV272" s="37" t="n">
        <v>133.19</v>
      </c>
      <c r="AW272" s="37" t="n">
        <v>125.83</v>
      </c>
      <c r="AX272" s="37" t="n">
        <v>125.15</v>
      </c>
      <c r="AY272" s="37" t="n">
        <v>124.56</v>
      </c>
      <c r="AZ272" s="37" t="n">
        <v>103.69</v>
      </c>
      <c r="BA272" s="37" t="n">
        <v>149.3</v>
      </c>
      <c r="BB272" s="37" t="n">
        <v>139.38</v>
      </c>
      <c r="BC272" s="37" t="n">
        <v>82.43000000000001</v>
      </c>
      <c r="BD272" s="37" t="n">
        <v>120.34</v>
      </c>
      <c r="BE272" s="37" t="n">
        <v>141.59</v>
      </c>
      <c r="BF272" s="37" t="n">
        <v>137.56</v>
      </c>
      <c r="BG272" s="37" t="n">
        <v>111.4</v>
      </c>
      <c r="BH272" s="37" t="n">
        <v>165.45</v>
      </c>
      <c r="BI272" s="37" t="n">
        <v>139.38</v>
      </c>
      <c r="BJ272" s="37" t="n">
        <v>139.43</v>
      </c>
      <c r="BK272" s="37" t="n">
        <v>141.39</v>
      </c>
      <c r="BL272" s="37" t="n">
        <v>141.59</v>
      </c>
      <c r="BM272" s="37" t="n">
        <v>137.56</v>
      </c>
      <c r="BN272" s="37" t="n">
        <v>111.4</v>
      </c>
      <c r="BO272" s="37" t="n">
        <v>165.45</v>
      </c>
      <c r="BP272" s="37" t="n">
        <v>139.38</v>
      </c>
      <c r="BQ272" s="37" t="n">
        <v>137.76</v>
      </c>
      <c r="BR272" s="37" t="n">
        <v>141.39</v>
      </c>
      <c r="BS272" s="37" t="n">
        <v>141.59</v>
      </c>
      <c r="BT272" s="37" t="n">
        <v>137.56</v>
      </c>
      <c r="BU272" s="37" t="n">
        <v>111.4</v>
      </c>
      <c r="BV272" s="37" t="n">
        <v>165.45</v>
      </c>
      <c r="BW272" s="37" t="n">
        <v>139.38</v>
      </c>
      <c r="BX272" s="37" t="n">
        <v>137.76</v>
      </c>
      <c r="BY272" s="37" t="n">
        <v>141.39</v>
      </c>
      <c r="BZ272" s="37" t="n">
        <v>141.59</v>
      </c>
      <c r="CA272" s="37" t="n">
        <v>137.56</v>
      </c>
      <c r="CB272" s="37" t="n">
        <v>111.4</v>
      </c>
      <c r="CC272" s="37" t="n">
        <v>10480.83</v>
      </c>
    </row>
    <row r="273" ht="15.75" customHeight="1" s="57">
      <c r="A273" s="7" t="inlineStr">
        <is>
          <t>NTB</t>
        </is>
      </c>
      <c r="B273" s="7" t="inlineStr">
        <is>
          <t>Khánh Hòa</t>
        </is>
      </c>
      <c r="C273" s="7" t="n">
        <v>22704000</v>
      </c>
      <c r="D273" s="7" t="inlineStr">
        <is>
          <t>(KHO) Nam Nha Trang 2</t>
        </is>
      </c>
      <c r="E273" s="7" t="inlineStr">
        <is>
          <t>TTS-Bulky</t>
        </is>
      </c>
      <c r="F273" s="36" t="n">
        <v>3</v>
      </c>
      <c r="G273" s="36" t="n">
        <v>4</v>
      </c>
      <c r="H273" s="36" t="n">
        <v>1</v>
      </c>
      <c r="I273" s="36" t="n">
        <v>5</v>
      </c>
      <c r="J273" s="36" t="n">
        <v>4</v>
      </c>
      <c r="K273" s="28" t="n">
        <v>1</v>
      </c>
      <c r="L273" s="36" t="n">
        <v>5</v>
      </c>
      <c r="M273" s="36" t="n">
        <v>1</v>
      </c>
      <c r="N273" s="36" t="n">
        <v>1</v>
      </c>
      <c r="O273" s="36" t="n">
        <v>1</v>
      </c>
      <c r="P273" s="36" t="n">
        <v>0</v>
      </c>
      <c r="Q273" s="36" t="n">
        <v>0</v>
      </c>
      <c r="R273" s="28" t="n">
        <v>1</v>
      </c>
      <c r="S273" s="36" t="n">
        <v>1</v>
      </c>
      <c r="T273" s="36" t="n">
        <v>3</v>
      </c>
      <c r="U273" s="36" t="n">
        <v>8.039999999999999</v>
      </c>
      <c r="V273" s="36" t="n">
        <v>7.7</v>
      </c>
      <c r="W273" s="36" t="n">
        <v>3.88</v>
      </c>
      <c r="X273" s="36" t="n">
        <v>2.91</v>
      </c>
      <c r="Y273" s="28" t="n">
        <v>4.94</v>
      </c>
      <c r="Z273" s="36" t="n">
        <v>3.63</v>
      </c>
      <c r="AA273" s="36" t="n">
        <v>4.12</v>
      </c>
      <c r="AB273" s="36" t="n">
        <v>4.41</v>
      </c>
      <c r="AC273" s="36" t="n">
        <v>4.8</v>
      </c>
      <c r="AD273" s="36" t="n">
        <v>6.01</v>
      </c>
      <c r="AE273" s="36" t="n">
        <v>3.2</v>
      </c>
      <c r="AF273" s="28" t="n">
        <v>4.7</v>
      </c>
      <c r="AG273" s="36" t="n">
        <v>3.78</v>
      </c>
      <c r="AH273" s="37" t="n">
        <v>3.78</v>
      </c>
      <c r="AI273" s="37" t="n">
        <v>3.92</v>
      </c>
      <c r="AJ273" s="37" t="n">
        <v>4.31</v>
      </c>
      <c r="AK273" s="37" t="n">
        <v>4.17</v>
      </c>
      <c r="AL273" s="37" t="n">
        <v>2.96</v>
      </c>
      <c r="AM273" s="37" t="n">
        <v>4.65</v>
      </c>
      <c r="AN273" s="37" t="n">
        <v>3.88</v>
      </c>
      <c r="AO273" s="37" t="n">
        <v>3.78</v>
      </c>
      <c r="AP273" s="37" t="n">
        <v>3.83</v>
      </c>
      <c r="AQ273" s="37" t="n">
        <v>3.83</v>
      </c>
      <c r="AR273" s="37" t="n">
        <v>3.83</v>
      </c>
      <c r="AS273" s="37" t="n">
        <v>2.81</v>
      </c>
      <c r="AT273" s="37" t="n">
        <v>4.89</v>
      </c>
      <c r="AU273" s="37" t="n">
        <v>4.41</v>
      </c>
      <c r="AV273" s="37" t="n">
        <v>3.92</v>
      </c>
      <c r="AW273" s="37" t="n">
        <v>3.78</v>
      </c>
      <c r="AX273" s="37" t="n">
        <v>3.78</v>
      </c>
      <c r="AY273" s="37" t="n">
        <v>3.83</v>
      </c>
      <c r="AZ273" s="37" t="n">
        <v>2.81</v>
      </c>
      <c r="BA273" s="37" t="n">
        <v>4.31</v>
      </c>
      <c r="BB273" s="37" t="n">
        <v>1.02</v>
      </c>
      <c r="BC273" s="37" t="n">
        <v>0.63</v>
      </c>
      <c r="BD273" s="37" t="n">
        <v>0.73</v>
      </c>
      <c r="BE273" s="37" t="n">
        <v>1.02</v>
      </c>
      <c r="BF273" s="37" t="n">
        <v>1.07</v>
      </c>
      <c r="BG273" s="37" t="n">
        <v>0.73</v>
      </c>
      <c r="BH273" s="37" t="n">
        <v>1.36</v>
      </c>
      <c r="BI273" s="37" t="n">
        <v>1.11</v>
      </c>
      <c r="BJ273" s="37" t="n">
        <v>1.4</v>
      </c>
      <c r="BK273" s="37" t="n">
        <v>1.07</v>
      </c>
      <c r="BL273" s="37" t="n">
        <v>1.02</v>
      </c>
      <c r="BM273" s="37" t="n">
        <v>1.07</v>
      </c>
      <c r="BN273" s="37" t="n">
        <v>0.73</v>
      </c>
      <c r="BO273" s="37" t="n">
        <v>1.65</v>
      </c>
      <c r="BP273" s="37" t="n">
        <v>1.26</v>
      </c>
      <c r="BQ273" s="37" t="n">
        <v>1.07</v>
      </c>
      <c r="BR273" s="37" t="n">
        <v>1.07</v>
      </c>
      <c r="BS273" s="37" t="n">
        <v>1.02</v>
      </c>
      <c r="BT273" s="37" t="n">
        <v>1.07</v>
      </c>
      <c r="BU273" s="37" t="n">
        <v>0.73</v>
      </c>
      <c r="BV273" s="37" t="n">
        <v>1.26</v>
      </c>
      <c r="BW273" s="37" t="n">
        <v>1.11</v>
      </c>
      <c r="BX273" s="37" t="n">
        <v>1.07</v>
      </c>
      <c r="BY273" s="37" t="n">
        <v>1.07</v>
      </c>
      <c r="BZ273" s="37" t="n">
        <v>1.02</v>
      </c>
      <c r="CA273" s="37" t="n">
        <v>1.07</v>
      </c>
      <c r="CB273" s="37" t="n">
        <v>0.73</v>
      </c>
      <c r="CC273" s="37" t="n">
        <v>198.76</v>
      </c>
    </row>
    <row r="274" ht="15.75" customHeight="1" s="57">
      <c r="A274" s="7" t="inlineStr">
        <is>
          <t>NTB</t>
        </is>
      </c>
      <c r="B274" s="7" t="inlineStr">
        <is>
          <t>Khánh Hòa</t>
        </is>
      </c>
      <c r="C274" s="7" t="n">
        <v>22746000</v>
      </c>
      <c r="D274" s="7" t="inlineStr">
        <is>
          <t>(KHO) Nam Nha Trang 1</t>
        </is>
      </c>
      <c r="E274" s="7" t="inlineStr">
        <is>
          <t>SME</t>
        </is>
      </c>
      <c r="F274" s="36" t="n">
        <v>259</v>
      </c>
      <c r="G274" s="36" t="n">
        <v>442</v>
      </c>
      <c r="H274" s="36" t="n">
        <v>467</v>
      </c>
      <c r="I274" s="36" t="n">
        <v>368</v>
      </c>
      <c r="J274" s="36" t="n">
        <v>363</v>
      </c>
      <c r="K274" s="28" t="n">
        <v>431</v>
      </c>
      <c r="L274" s="36" t="n">
        <v>305</v>
      </c>
      <c r="M274" s="36" t="n">
        <v>301</v>
      </c>
      <c r="N274" s="36" t="n">
        <v>360</v>
      </c>
      <c r="O274" s="36" t="n">
        <v>351</v>
      </c>
      <c r="P274" s="36" t="n">
        <v>375</v>
      </c>
      <c r="Q274" s="36" t="n">
        <v>341</v>
      </c>
      <c r="R274" s="28" t="n">
        <v>338</v>
      </c>
      <c r="S274" s="36" t="n">
        <v>298</v>
      </c>
      <c r="T274" s="36" t="n">
        <v>430</v>
      </c>
      <c r="U274" s="36" t="n">
        <v>441.4</v>
      </c>
      <c r="V274" s="36" t="n">
        <v>456.92</v>
      </c>
      <c r="W274" s="36" t="n">
        <v>444.3800000000001</v>
      </c>
      <c r="X274" s="36" t="n">
        <v>363.69</v>
      </c>
      <c r="Y274" s="28" t="n">
        <v>492.41</v>
      </c>
      <c r="Z274" s="36" t="n">
        <v>453.55</v>
      </c>
      <c r="AA274" s="36" t="n">
        <v>442.35</v>
      </c>
      <c r="AB274" s="36" t="n">
        <v>441.4</v>
      </c>
      <c r="AC274" s="36" t="n">
        <v>456.92</v>
      </c>
      <c r="AD274" s="36" t="n">
        <v>448.32</v>
      </c>
      <c r="AE274" s="36" t="n">
        <v>363.69</v>
      </c>
      <c r="AF274" s="28" t="n">
        <v>492.41</v>
      </c>
      <c r="AG274" s="36" t="n">
        <v>453.55</v>
      </c>
      <c r="AH274" s="37" t="n">
        <v>442.35</v>
      </c>
      <c r="AI274" s="37" t="n">
        <v>441.4</v>
      </c>
      <c r="AJ274" s="37" t="n">
        <v>456.92</v>
      </c>
      <c r="AK274" s="37" t="n">
        <v>444.3800000000001</v>
      </c>
      <c r="AL274" s="37" t="n">
        <v>363.69</v>
      </c>
      <c r="AM274" s="37" t="n">
        <v>492.41</v>
      </c>
      <c r="AN274" s="37" t="n">
        <v>453.55</v>
      </c>
      <c r="AO274" s="37" t="n">
        <v>442.35</v>
      </c>
      <c r="AP274" s="37" t="n">
        <v>441.4</v>
      </c>
      <c r="AQ274" s="37" t="n">
        <v>456.92</v>
      </c>
      <c r="AR274" s="37" t="n">
        <v>444.3800000000001</v>
      </c>
      <c r="AS274" s="37" t="n">
        <v>363.69</v>
      </c>
      <c r="AT274" s="37" t="n">
        <v>492.41</v>
      </c>
      <c r="AU274" s="37" t="n">
        <v>453.55</v>
      </c>
      <c r="AV274" s="37" t="n">
        <v>442.35</v>
      </c>
      <c r="AW274" s="37" t="n">
        <v>441.4</v>
      </c>
      <c r="AX274" s="37" t="n">
        <v>456.92</v>
      </c>
      <c r="AY274" s="37" t="n">
        <v>444.3800000000001</v>
      </c>
      <c r="AZ274" s="37" t="n">
        <v>363.69</v>
      </c>
      <c r="BA274" s="37" t="n">
        <v>443.15</v>
      </c>
      <c r="BB274" s="37" t="n">
        <v>397.76</v>
      </c>
      <c r="BC274" s="37" t="n">
        <v>251.37</v>
      </c>
      <c r="BD274" s="37" t="n">
        <v>250.37</v>
      </c>
      <c r="BE274" s="37" t="n">
        <v>424.44</v>
      </c>
      <c r="BF274" s="37" t="n">
        <v>412.82</v>
      </c>
      <c r="BG274" s="37" t="n">
        <v>374.75</v>
      </c>
      <c r="BH274" s="37" t="n">
        <v>508.16</v>
      </c>
      <c r="BI274" s="37" t="n">
        <v>467.92</v>
      </c>
      <c r="BJ274" s="37" t="n">
        <v>460.15</v>
      </c>
      <c r="BK274" s="37" t="n">
        <v>455.4</v>
      </c>
      <c r="BL274" s="37" t="n">
        <v>471.36</v>
      </c>
      <c r="BM274" s="37" t="n">
        <v>458.52</v>
      </c>
      <c r="BN274" s="37" t="n">
        <v>374.75</v>
      </c>
      <c r="BO274" s="37" t="n">
        <v>508.16</v>
      </c>
      <c r="BP274" s="37" t="n">
        <v>467.92</v>
      </c>
      <c r="BQ274" s="37" t="n">
        <v>456.27</v>
      </c>
      <c r="BR274" s="37" t="n">
        <v>455.4</v>
      </c>
      <c r="BS274" s="37" t="n">
        <v>471.36</v>
      </c>
      <c r="BT274" s="37" t="n">
        <v>458.52</v>
      </c>
      <c r="BU274" s="37" t="n">
        <v>374.75</v>
      </c>
      <c r="BV274" s="37" t="n">
        <v>508.16</v>
      </c>
      <c r="BW274" s="37" t="n">
        <v>467.92</v>
      </c>
      <c r="BX274" s="37" t="n">
        <v>456.27</v>
      </c>
      <c r="BY274" s="37" t="n">
        <v>455.4</v>
      </c>
      <c r="BZ274" s="37" t="n">
        <v>471.36</v>
      </c>
      <c r="CA274" s="37" t="n">
        <v>458.52</v>
      </c>
      <c r="CB274" s="37" t="n">
        <v>374.75</v>
      </c>
      <c r="CC274" s="37" t="n">
        <v>31653.80999999999</v>
      </c>
    </row>
    <row r="275" ht="15.75" customHeight="1" s="57">
      <c r="A275" s="7" t="inlineStr">
        <is>
          <t>NTB</t>
        </is>
      </c>
      <c r="B275" s="7" t="inlineStr">
        <is>
          <t>Khánh Hòa</t>
        </is>
      </c>
      <c r="C275" s="7" t="n">
        <v>22746000</v>
      </c>
      <c r="D275" s="7" t="inlineStr">
        <is>
          <t>(KHO) Nam Nha Trang 1</t>
        </is>
      </c>
      <c r="E275" s="7" t="inlineStr">
        <is>
          <t>SME-Bulky</t>
        </is>
      </c>
      <c r="F275" s="36" t="n">
        <v>18</v>
      </c>
      <c r="G275" s="36" t="n">
        <v>28</v>
      </c>
      <c r="H275" s="36" t="n">
        <v>19</v>
      </c>
      <c r="I275" s="36" t="n">
        <v>15</v>
      </c>
      <c r="J275" s="36" t="n">
        <v>18</v>
      </c>
      <c r="K275" s="28" t="n">
        <v>9</v>
      </c>
      <c r="L275" s="36" t="n">
        <v>12</v>
      </c>
      <c r="M275" s="36" t="n">
        <v>20</v>
      </c>
      <c r="N275" s="36" t="n">
        <v>20</v>
      </c>
      <c r="O275" s="36" t="n">
        <v>17</v>
      </c>
      <c r="P275" s="36" t="n">
        <v>14</v>
      </c>
      <c r="Q275" s="36" t="n">
        <v>14</v>
      </c>
      <c r="R275" s="28" t="n">
        <v>18</v>
      </c>
      <c r="S275" s="36" t="n">
        <v>11</v>
      </c>
      <c r="T275" s="36" t="n">
        <v>27</v>
      </c>
      <c r="U275" s="36" t="n">
        <v>17.98</v>
      </c>
      <c r="V275" s="36" t="n">
        <v>18.21</v>
      </c>
      <c r="W275" s="36" t="n">
        <v>16.91</v>
      </c>
      <c r="X275" s="36" t="n">
        <v>11.27</v>
      </c>
      <c r="Y275" s="28" t="n">
        <v>20.63</v>
      </c>
      <c r="Z275" s="36" t="n">
        <v>19.89</v>
      </c>
      <c r="AA275" s="36" t="n">
        <v>18.91</v>
      </c>
      <c r="AB275" s="36" t="n">
        <v>17.98</v>
      </c>
      <c r="AC275" s="36" t="n">
        <v>18.21</v>
      </c>
      <c r="AD275" s="36" t="n">
        <v>15.97</v>
      </c>
      <c r="AE275" s="36" t="n">
        <v>11.27</v>
      </c>
      <c r="AF275" s="28" t="n">
        <v>20.63</v>
      </c>
      <c r="AG275" s="36" t="n">
        <v>19.89</v>
      </c>
      <c r="AH275" s="37" t="n">
        <v>18.91</v>
      </c>
      <c r="AI275" s="37" t="n">
        <v>17.98</v>
      </c>
      <c r="AJ275" s="37" t="n">
        <v>18.21</v>
      </c>
      <c r="AK275" s="37" t="n">
        <v>16.91</v>
      </c>
      <c r="AL275" s="37" t="n">
        <v>11.27</v>
      </c>
      <c r="AM275" s="37" t="n">
        <v>20.63</v>
      </c>
      <c r="AN275" s="37" t="n">
        <v>19.89</v>
      </c>
      <c r="AO275" s="37" t="n">
        <v>18.91</v>
      </c>
      <c r="AP275" s="37" t="n">
        <v>17.98</v>
      </c>
      <c r="AQ275" s="37" t="n">
        <v>18.21</v>
      </c>
      <c r="AR275" s="37" t="n">
        <v>16.91</v>
      </c>
      <c r="AS275" s="37" t="n">
        <v>11.27</v>
      </c>
      <c r="AT275" s="37" t="n">
        <v>20.63</v>
      </c>
      <c r="AU275" s="37" t="n">
        <v>19.89</v>
      </c>
      <c r="AV275" s="37" t="n">
        <v>18.91</v>
      </c>
      <c r="AW275" s="37" t="n">
        <v>17.98</v>
      </c>
      <c r="AX275" s="37" t="n">
        <v>18.21</v>
      </c>
      <c r="AY275" s="37" t="n">
        <v>16.91</v>
      </c>
      <c r="AZ275" s="37" t="n">
        <v>11.27</v>
      </c>
      <c r="BA275" s="37" t="n">
        <v>20.54</v>
      </c>
      <c r="BB275" s="37" t="n">
        <v>10.67</v>
      </c>
      <c r="BC275" s="37" t="n">
        <v>5.4</v>
      </c>
      <c r="BD275" s="37" t="n">
        <v>4.94</v>
      </c>
      <c r="BE275" s="37" t="n">
        <v>9.220000000000001</v>
      </c>
      <c r="BF275" s="37" t="n">
        <v>8.52</v>
      </c>
      <c r="BG275" s="37" t="n">
        <v>6.8</v>
      </c>
      <c r="BH275" s="37" t="n">
        <v>12.11</v>
      </c>
      <c r="BI275" s="37" t="n">
        <v>11.92</v>
      </c>
      <c r="BJ275" s="37" t="n">
        <v>10.39</v>
      </c>
      <c r="BK275" s="37" t="n">
        <v>10.67</v>
      </c>
      <c r="BL275" s="37" t="n">
        <v>10.9</v>
      </c>
      <c r="BM275" s="37" t="n">
        <v>9.92</v>
      </c>
      <c r="BN275" s="37" t="n">
        <v>6.8</v>
      </c>
      <c r="BO275" s="37" t="n">
        <v>12.11</v>
      </c>
      <c r="BP275" s="37" t="n">
        <v>11.92</v>
      </c>
      <c r="BQ275" s="37" t="n">
        <v>11.13</v>
      </c>
      <c r="BR275" s="37" t="n">
        <v>10.67</v>
      </c>
      <c r="BS275" s="37" t="n">
        <v>10.9</v>
      </c>
      <c r="BT275" s="37" t="n">
        <v>9.92</v>
      </c>
      <c r="BU275" s="37" t="n">
        <v>6.8</v>
      </c>
      <c r="BV275" s="37" t="n">
        <v>12.11</v>
      </c>
      <c r="BW275" s="37" t="n">
        <v>11.92</v>
      </c>
      <c r="BX275" s="37" t="n">
        <v>11.13</v>
      </c>
      <c r="BY275" s="37" t="n">
        <v>10.67</v>
      </c>
      <c r="BZ275" s="37" t="n">
        <v>10.9</v>
      </c>
      <c r="CA275" s="37" t="n">
        <v>9.92</v>
      </c>
      <c r="CB275" s="37" t="n">
        <v>6.8</v>
      </c>
      <c r="CC275" s="37" t="n">
        <v>1104.33</v>
      </c>
    </row>
    <row r="276" ht="15.75" customHeight="1" s="57">
      <c r="A276" s="7" t="inlineStr">
        <is>
          <t>NTB</t>
        </is>
      </c>
      <c r="B276" s="7" t="inlineStr">
        <is>
          <t>Khánh Hòa</t>
        </is>
      </c>
      <c r="C276" s="7" t="n">
        <v>22746000</v>
      </c>
      <c r="D276" s="7" t="inlineStr">
        <is>
          <t>(KHO) Nam Nha Trang 1</t>
        </is>
      </c>
      <c r="E276" s="7" t="inlineStr">
        <is>
          <t>Shopee</t>
        </is>
      </c>
      <c r="F276" s="36" t="n">
        <v>43</v>
      </c>
      <c r="G276" s="36" t="n">
        <v>48</v>
      </c>
      <c r="H276" s="36" t="n">
        <v>50</v>
      </c>
      <c r="I276" s="36" t="n">
        <v>44</v>
      </c>
      <c r="J276" s="36" t="n">
        <v>49</v>
      </c>
      <c r="K276" s="28" t="n">
        <v>36</v>
      </c>
      <c r="L276" s="36" t="n">
        <v>28</v>
      </c>
      <c r="M276" s="36" t="n">
        <v>53</v>
      </c>
      <c r="N276" s="36" t="n">
        <v>41</v>
      </c>
      <c r="O276" s="36" t="n">
        <v>44</v>
      </c>
      <c r="P276" s="36" t="n">
        <v>30</v>
      </c>
      <c r="Q276" s="36" t="n">
        <v>31</v>
      </c>
      <c r="R276" s="28" t="n">
        <v>30</v>
      </c>
      <c r="S276" s="36" t="n">
        <v>31</v>
      </c>
      <c r="T276" s="36" t="n">
        <v>54</v>
      </c>
      <c r="U276" s="36" t="n">
        <v>63.12</v>
      </c>
      <c r="V276" s="36" t="n">
        <v>63.37</v>
      </c>
      <c r="W276" s="36" t="n">
        <v>62.46</v>
      </c>
      <c r="X276" s="36" t="n">
        <v>50.79</v>
      </c>
      <c r="Y276" s="28" t="n">
        <v>85.08</v>
      </c>
      <c r="Z276" s="36" t="n">
        <v>67.29000000000001</v>
      </c>
      <c r="AA276" s="36" t="n">
        <v>92.56</v>
      </c>
      <c r="AB276" s="36" t="n">
        <v>64.39</v>
      </c>
      <c r="AC276" s="36" t="n">
        <v>52.03</v>
      </c>
      <c r="AD276" s="36" t="n">
        <v>159.84</v>
      </c>
      <c r="AE276" s="36" t="n">
        <v>54.4</v>
      </c>
      <c r="AF276" s="28" t="n">
        <v>96.88</v>
      </c>
      <c r="AG276" s="36" t="n">
        <v>70.69</v>
      </c>
      <c r="AH276" s="37" t="n">
        <v>74.64</v>
      </c>
      <c r="AI276" s="37" t="n">
        <v>63.12</v>
      </c>
      <c r="AJ276" s="37" t="n">
        <v>63.37</v>
      </c>
      <c r="AK276" s="37" t="n">
        <v>84.27</v>
      </c>
      <c r="AL276" s="37" t="n">
        <v>91.15000000000001</v>
      </c>
      <c r="AM276" s="37" t="n">
        <v>85.08</v>
      </c>
      <c r="AN276" s="37" t="n">
        <v>67.29000000000001</v>
      </c>
      <c r="AO276" s="37" t="n">
        <v>74.64</v>
      </c>
      <c r="AP276" s="37" t="n">
        <v>78.75</v>
      </c>
      <c r="AQ276" s="37" t="n">
        <v>50.8</v>
      </c>
      <c r="AR276" s="37" t="n">
        <v>62.46</v>
      </c>
      <c r="AS276" s="37" t="n">
        <v>50.79</v>
      </c>
      <c r="AT276" s="37" t="n">
        <v>85.08</v>
      </c>
      <c r="AU276" s="37" t="n">
        <v>68.68000000000001</v>
      </c>
      <c r="AV276" s="37" t="n">
        <v>76.14</v>
      </c>
      <c r="AW276" s="37" t="n">
        <v>63.12</v>
      </c>
      <c r="AX276" s="37" t="n">
        <v>63.37</v>
      </c>
      <c r="AY276" s="37" t="n">
        <v>62.46</v>
      </c>
      <c r="AZ276" s="37" t="n">
        <v>50.79</v>
      </c>
      <c r="BA276" s="37" t="n">
        <v>65.52</v>
      </c>
      <c r="BB276" s="37" t="n">
        <v>57.12</v>
      </c>
      <c r="BC276" s="37" t="n">
        <v>29.09</v>
      </c>
      <c r="BD276" s="37" t="n">
        <v>51.71</v>
      </c>
      <c r="BE276" s="37" t="n">
        <v>60.37</v>
      </c>
      <c r="BF276" s="37" t="n">
        <v>59.51</v>
      </c>
      <c r="BG276" s="37" t="n">
        <v>49.38</v>
      </c>
      <c r="BH276" s="37" t="n">
        <v>81.06</v>
      </c>
      <c r="BI276" s="37" t="n">
        <v>52.73</v>
      </c>
      <c r="BJ276" s="37" t="n">
        <v>226.92</v>
      </c>
      <c r="BK276" s="37" t="n">
        <v>64.31999999999999</v>
      </c>
      <c r="BL276" s="37" t="n">
        <v>63.29</v>
      </c>
      <c r="BM276" s="37" t="n">
        <v>59.51</v>
      </c>
      <c r="BN276" s="37" t="n">
        <v>48.39</v>
      </c>
      <c r="BO276" s="37" t="n">
        <v>81.06</v>
      </c>
      <c r="BP276" s="37" t="n">
        <v>86.47</v>
      </c>
      <c r="BQ276" s="37" t="n">
        <v>127.72</v>
      </c>
      <c r="BR276" s="37" t="n">
        <v>60.13</v>
      </c>
      <c r="BS276" s="37" t="n">
        <v>60.37</v>
      </c>
      <c r="BT276" s="37" t="n">
        <v>59.51</v>
      </c>
      <c r="BU276" s="37" t="n">
        <v>60.4</v>
      </c>
      <c r="BV276" s="37" t="n">
        <v>64.87</v>
      </c>
      <c r="BW276" s="37" t="n">
        <v>64.08</v>
      </c>
      <c r="BX276" s="37" t="n">
        <v>71.09</v>
      </c>
      <c r="BY276" s="37" t="n">
        <v>60.13</v>
      </c>
      <c r="BZ276" s="37" t="n">
        <v>61.62</v>
      </c>
      <c r="CA276" s="37" t="n">
        <v>60.68</v>
      </c>
      <c r="CB276" s="37" t="n">
        <v>48.39</v>
      </c>
      <c r="CC276" s="37" t="n">
        <v>4846.34</v>
      </c>
    </row>
    <row r="277" ht="15.75" customHeight="1" s="57">
      <c r="A277" s="7" t="inlineStr">
        <is>
          <t>NTB</t>
        </is>
      </c>
      <c r="B277" s="7" t="inlineStr">
        <is>
          <t>Khánh Hòa</t>
        </is>
      </c>
      <c r="C277" s="7" t="n">
        <v>22746000</v>
      </c>
      <c r="D277" s="7" t="inlineStr">
        <is>
          <t>(KHO) Nam Nha Trang 1</t>
        </is>
      </c>
      <c r="E277" s="7" t="inlineStr">
        <is>
          <t>Shopee-Bulky</t>
        </is>
      </c>
      <c r="F277" s="36" t="n">
        <v>37.79</v>
      </c>
      <c r="G277" s="36" t="n">
        <v>39.07</v>
      </c>
      <c r="H277" s="36" t="n">
        <v>43.55</v>
      </c>
      <c r="I277" s="36" t="n">
        <v>33.3</v>
      </c>
      <c r="J277" s="36" t="n">
        <v>25.62</v>
      </c>
      <c r="K277" s="28" t="n">
        <v>14.09</v>
      </c>
      <c r="L277" s="36" t="n">
        <v>30.74</v>
      </c>
      <c r="M277" s="36" t="n">
        <v>39.71</v>
      </c>
      <c r="N277" s="36" t="n">
        <v>53.8</v>
      </c>
      <c r="O277" s="36" t="n">
        <v>35.86</v>
      </c>
      <c r="P277" s="36" t="n">
        <v>35.22</v>
      </c>
      <c r="Q277" s="36" t="n">
        <v>36.51</v>
      </c>
      <c r="R277" s="28" t="n">
        <v>55.08</v>
      </c>
      <c r="S277" s="36" t="n">
        <v>41.63</v>
      </c>
      <c r="T277" s="36" t="n">
        <v>62.12</v>
      </c>
      <c r="U277" s="36" t="n">
        <v>41.21</v>
      </c>
      <c r="V277" s="36" t="n">
        <v>39.95</v>
      </c>
      <c r="W277" s="36" t="n">
        <v>55.75</v>
      </c>
      <c r="X277" s="36" t="n">
        <v>30.78</v>
      </c>
      <c r="Y277" s="28" t="n">
        <v>60.82</v>
      </c>
      <c r="Z277" s="36" t="n">
        <v>47.4</v>
      </c>
      <c r="AA277" s="36" t="n">
        <v>45.91</v>
      </c>
      <c r="AB277" s="36" t="n">
        <v>46.88</v>
      </c>
      <c r="AC277" s="36" t="n">
        <v>49.64</v>
      </c>
      <c r="AD277" s="36" t="n">
        <v>137.95</v>
      </c>
      <c r="AE277" s="36" t="n">
        <v>79</v>
      </c>
      <c r="AF277" s="28" t="n">
        <v>119.84</v>
      </c>
      <c r="AG277" s="36" t="n">
        <v>67.75</v>
      </c>
      <c r="AH277" s="37" t="n">
        <v>47.03</v>
      </c>
      <c r="AI277" s="37" t="n">
        <v>45.91</v>
      </c>
      <c r="AJ277" s="37" t="n">
        <v>45.24</v>
      </c>
      <c r="AK277" s="37" t="n">
        <v>102.63</v>
      </c>
      <c r="AL277" s="37" t="n">
        <v>51.87</v>
      </c>
      <c r="AM277" s="37" t="n">
        <v>74.68000000000001</v>
      </c>
      <c r="AN277" s="37" t="n">
        <v>46.73</v>
      </c>
      <c r="AO277" s="37" t="n">
        <v>45.69</v>
      </c>
      <c r="AP277" s="37" t="n">
        <v>62.9</v>
      </c>
      <c r="AQ277" s="37" t="n">
        <v>61.86</v>
      </c>
      <c r="AR277" s="37" t="n">
        <v>50.53</v>
      </c>
      <c r="AS277" s="37" t="n">
        <v>27.05</v>
      </c>
      <c r="AT277" s="37" t="n">
        <v>55.6</v>
      </c>
      <c r="AU277" s="37" t="n">
        <v>91.06999999999999</v>
      </c>
      <c r="AV277" s="37" t="n">
        <v>94.73</v>
      </c>
      <c r="AW277" s="37" t="n">
        <v>46.21</v>
      </c>
      <c r="AX277" s="37" t="n">
        <v>43.38</v>
      </c>
      <c r="AY277" s="37" t="n">
        <v>48.37</v>
      </c>
      <c r="AZ277" s="37" t="n">
        <v>25.94</v>
      </c>
      <c r="BA277" s="37" t="n">
        <v>50.68</v>
      </c>
      <c r="BB277" s="37" t="n">
        <v>47.55</v>
      </c>
      <c r="BC277" s="37" t="n">
        <v>16.4</v>
      </c>
      <c r="BD277" s="37" t="n">
        <v>40.39</v>
      </c>
      <c r="BE277" s="37" t="n">
        <v>50.16</v>
      </c>
      <c r="BF277" s="37" t="n">
        <v>43.82</v>
      </c>
      <c r="BG277" s="37" t="n">
        <v>35.18</v>
      </c>
      <c r="BH277" s="37" t="n">
        <v>64.92</v>
      </c>
      <c r="BI277" s="37" t="n">
        <v>55.23</v>
      </c>
      <c r="BJ277" s="37" t="n">
        <v>218.07</v>
      </c>
      <c r="BK277" s="37" t="n">
        <v>117.83</v>
      </c>
      <c r="BL277" s="37" t="n">
        <v>60.59</v>
      </c>
      <c r="BM277" s="37" t="n">
        <v>45.84</v>
      </c>
      <c r="BN277" s="37" t="n">
        <v>34.28</v>
      </c>
      <c r="BO277" s="37" t="n">
        <v>76.02</v>
      </c>
      <c r="BP277" s="37" t="n">
        <v>110.08</v>
      </c>
      <c r="BQ277" s="37" t="n">
        <v>80.42</v>
      </c>
      <c r="BR277" s="37" t="n">
        <v>52.54</v>
      </c>
      <c r="BS277" s="37" t="n">
        <v>50.16</v>
      </c>
      <c r="BT277" s="37" t="n">
        <v>43.82</v>
      </c>
      <c r="BU277" s="37" t="n">
        <v>50.9</v>
      </c>
      <c r="BV277" s="37" t="n">
        <v>68.79000000000001</v>
      </c>
      <c r="BW277" s="37" t="n">
        <v>55.23</v>
      </c>
      <c r="BX277" s="37" t="n">
        <v>53.51</v>
      </c>
      <c r="BY277" s="37" t="n">
        <v>52.54</v>
      </c>
      <c r="BZ277" s="37" t="n">
        <v>89.95999999999999</v>
      </c>
      <c r="CA277" s="37" t="n">
        <v>52.17</v>
      </c>
      <c r="CB277" s="37" t="n">
        <v>33.31</v>
      </c>
      <c r="CC277" s="37" t="n">
        <v>4224.780000000002</v>
      </c>
    </row>
    <row r="278" ht="15.75" customHeight="1" s="57">
      <c r="A278" s="7" t="inlineStr">
        <is>
          <t>NTB</t>
        </is>
      </c>
      <c r="B278" s="7" t="inlineStr">
        <is>
          <t>Khánh Hòa</t>
        </is>
      </c>
      <c r="C278" s="7" t="n">
        <v>22746000</v>
      </c>
      <c r="D278" s="7" t="inlineStr">
        <is>
          <t>(KHO) Nam Nha Trang 1</t>
        </is>
      </c>
      <c r="E278" s="7" t="inlineStr">
        <is>
          <t>Shopee-Bulky (10-15kg)</t>
        </is>
      </c>
      <c r="F278" s="36" t="n">
        <v>21.21</v>
      </c>
      <c r="G278" s="36" t="n">
        <v>21.93</v>
      </c>
      <c r="H278" s="36" t="n">
        <v>24.45</v>
      </c>
      <c r="I278" s="36" t="n">
        <v>18.7</v>
      </c>
      <c r="J278" s="36" t="n">
        <v>14.38</v>
      </c>
      <c r="K278" s="28" t="n">
        <v>7.91</v>
      </c>
      <c r="L278" s="36" t="n">
        <v>17.26</v>
      </c>
      <c r="M278" s="36" t="n">
        <v>22.29</v>
      </c>
      <c r="N278" s="36" t="n">
        <v>30.2</v>
      </c>
      <c r="O278" s="36" t="n">
        <v>20.14</v>
      </c>
      <c r="P278" s="36" t="n">
        <v>19.78</v>
      </c>
      <c r="Q278" s="36" t="n">
        <v>20.49</v>
      </c>
      <c r="R278" s="28" t="n">
        <v>30.92</v>
      </c>
      <c r="S278" s="36" t="n">
        <v>23.37</v>
      </c>
      <c r="T278" s="36" t="n">
        <v>34.88</v>
      </c>
      <c r="U278" s="36" t="n">
        <v>24.67</v>
      </c>
      <c r="V278" s="36" t="n">
        <v>23.63</v>
      </c>
      <c r="W278" s="36" t="n">
        <v>30.48</v>
      </c>
      <c r="X278" s="36" t="n">
        <v>17.14</v>
      </c>
      <c r="Y278" s="28" t="n">
        <v>34.73</v>
      </c>
      <c r="Z278" s="36" t="n">
        <v>27.13</v>
      </c>
      <c r="AA278" s="36" t="n">
        <v>25.56</v>
      </c>
      <c r="AB278" s="36" t="n">
        <v>26.76</v>
      </c>
      <c r="AC278" s="36" t="n">
        <v>27.72</v>
      </c>
      <c r="AD278" s="36" t="n">
        <v>103.37</v>
      </c>
      <c r="AE278" s="36" t="n">
        <v>42.93</v>
      </c>
      <c r="AF278" s="28" t="n">
        <v>63.35</v>
      </c>
      <c r="AG278" s="36" t="n">
        <v>37.79</v>
      </c>
      <c r="AH278" s="37" t="n">
        <v>26.76</v>
      </c>
      <c r="AI278" s="37" t="n">
        <v>25.86</v>
      </c>
      <c r="AJ278" s="37" t="n">
        <v>25.34</v>
      </c>
      <c r="AK278" s="37" t="n">
        <v>58.58</v>
      </c>
      <c r="AL278" s="37" t="n">
        <v>29.44</v>
      </c>
      <c r="AM278" s="37" t="n">
        <v>42.26</v>
      </c>
      <c r="AN278" s="37" t="n">
        <v>26.76</v>
      </c>
      <c r="AO278" s="37" t="n">
        <v>25.79</v>
      </c>
      <c r="AP278" s="37" t="n">
        <v>33.39</v>
      </c>
      <c r="AQ278" s="37" t="n">
        <v>35.1</v>
      </c>
      <c r="AR278" s="37" t="n">
        <v>27.35</v>
      </c>
      <c r="AS278" s="37" t="n">
        <v>15.05</v>
      </c>
      <c r="AT278" s="37" t="n">
        <v>31.45</v>
      </c>
      <c r="AU278" s="37" t="n">
        <v>52.02</v>
      </c>
      <c r="AV278" s="37" t="n">
        <v>53.96</v>
      </c>
      <c r="AW278" s="37" t="n">
        <v>26.16</v>
      </c>
      <c r="AX278" s="37" t="n">
        <v>24.45</v>
      </c>
      <c r="AY278" s="37" t="n">
        <v>26.31</v>
      </c>
      <c r="AZ278" s="37" t="n">
        <v>14.53</v>
      </c>
      <c r="BA278" s="37" t="n">
        <v>28.69</v>
      </c>
      <c r="BB278" s="37" t="n">
        <v>27.5</v>
      </c>
      <c r="BC278" s="37" t="n">
        <v>9.24</v>
      </c>
      <c r="BD278" s="37" t="n">
        <v>21.91</v>
      </c>
      <c r="BE278" s="37" t="n">
        <v>28.25</v>
      </c>
      <c r="BF278" s="37" t="n">
        <v>24.07</v>
      </c>
      <c r="BG278" s="37" t="n">
        <v>19.68</v>
      </c>
      <c r="BH278" s="37" t="n">
        <v>37.64</v>
      </c>
      <c r="BI278" s="37" t="n">
        <v>31.97</v>
      </c>
      <c r="BJ278" s="37" t="n">
        <v>141.76</v>
      </c>
      <c r="BK278" s="37" t="n">
        <v>66.11</v>
      </c>
      <c r="BL278" s="37" t="n">
        <v>35.18</v>
      </c>
      <c r="BM278" s="37" t="n">
        <v>25.56</v>
      </c>
      <c r="BN278" s="37" t="n">
        <v>19.3</v>
      </c>
      <c r="BO278" s="37" t="n">
        <v>42.33</v>
      </c>
      <c r="BP278" s="37" t="n">
        <v>61.71</v>
      </c>
      <c r="BQ278" s="37" t="n">
        <v>45.39</v>
      </c>
      <c r="BR278" s="37" t="n">
        <v>30.33</v>
      </c>
      <c r="BS278" s="37" t="n">
        <v>28.25</v>
      </c>
      <c r="BT278" s="37" t="n">
        <v>24.07</v>
      </c>
      <c r="BU278" s="37" t="n">
        <v>29.29</v>
      </c>
      <c r="BV278" s="37" t="n">
        <v>38.9</v>
      </c>
      <c r="BW278" s="37" t="n">
        <v>31.97</v>
      </c>
      <c r="BX278" s="37" t="n">
        <v>30.56</v>
      </c>
      <c r="BY278" s="37" t="n">
        <v>30.33</v>
      </c>
      <c r="BZ278" s="37" t="n">
        <v>50.08</v>
      </c>
      <c r="CA278" s="37" t="n">
        <v>29.89</v>
      </c>
      <c r="CB278" s="37" t="n">
        <v>18.86</v>
      </c>
      <c r="CC278" s="37" t="n">
        <v>2422.55</v>
      </c>
    </row>
    <row r="279" ht="15.75" customHeight="1" s="57">
      <c r="A279" s="7" t="inlineStr">
        <is>
          <t>NTB</t>
        </is>
      </c>
      <c r="B279" s="7" t="inlineStr">
        <is>
          <t>Khánh Hòa</t>
        </is>
      </c>
      <c r="C279" s="7" t="n">
        <v>22746000</v>
      </c>
      <c r="D279" s="7" t="inlineStr">
        <is>
          <t>(KHO) Nam Nha Trang 1</t>
        </is>
      </c>
      <c r="E279" s="7" t="inlineStr">
        <is>
          <t>TTS</t>
        </is>
      </c>
      <c r="F279" s="36" t="n">
        <v>146</v>
      </c>
      <c r="G279" s="36" t="n">
        <v>276</v>
      </c>
      <c r="H279" s="36" t="n">
        <v>246</v>
      </c>
      <c r="I279" s="36" t="n">
        <v>211</v>
      </c>
      <c r="J279" s="36" t="n">
        <v>207</v>
      </c>
      <c r="K279" s="28" t="n">
        <v>246</v>
      </c>
      <c r="L279" s="36" t="n">
        <v>189</v>
      </c>
      <c r="M279" s="36" t="n">
        <v>199</v>
      </c>
      <c r="N279" s="36" t="n">
        <v>233</v>
      </c>
      <c r="O279" s="36" t="n">
        <v>207</v>
      </c>
      <c r="P279" s="36" t="n">
        <v>213</v>
      </c>
      <c r="Q279" s="36" t="n">
        <v>204</v>
      </c>
      <c r="R279" s="28" t="n">
        <v>189</v>
      </c>
      <c r="S279" s="36" t="n">
        <v>184</v>
      </c>
      <c r="T279" s="36" t="n">
        <v>269</v>
      </c>
      <c r="U279" s="36" t="n">
        <v>181.22</v>
      </c>
      <c r="V279" s="36" t="n">
        <v>177.84</v>
      </c>
      <c r="W279" s="36" t="n">
        <v>173.96</v>
      </c>
      <c r="X279" s="36" t="n">
        <v>140.21</v>
      </c>
      <c r="Y279" s="28" t="n">
        <v>204.35</v>
      </c>
      <c r="Z279" s="36" t="n">
        <v>173.23</v>
      </c>
      <c r="AA279" s="36" t="n">
        <v>192.75</v>
      </c>
      <c r="AB279" s="36" t="n">
        <v>214.09</v>
      </c>
      <c r="AC279" s="36" t="n">
        <v>225.77</v>
      </c>
      <c r="AD279" s="36" t="n">
        <v>248.65</v>
      </c>
      <c r="AE279" s="36" t="n">
        <v>163.09</v>
      </c>
      <c r="AF279" s="28" t="n">
        <v>210.43</v>
      </c>
      <c r="AG279" s="36" t="n">
        <v>177.17</v>
      </c>
      <c r="AH279" s="37" t="n">
        <v>175.31</v>
      </c>
      <c r="AI279" s="37" t="n">
        <v>200.41</v>
      </c>
      <c r="AJ279" s="37" t="n">
        <v>215.36</v>
      </c>
      <c r="AK279" s="37" t="n">
        <v>212.42</v>
      </c>
      <c r="AL279" s="37" t="n">
        <v>151.08</v>
      </c>
      <c r="AM279" s="37" t="n">
        <v>207.48</v>
      </c>
      <c r="AN279" s="37" t="n">
        <v>178.96</v>
      </c>
      <c r="AO279" s="37" t="n">
        <v>178.28</v>
      </c>
      <c r="AP279" s="37" t="n">
        <v>172.83</v>
      </c>
      <c r="AQ279" s="37" t="n">
        <v>174.36</v>
      </c>
      <c r="AR279" s="37" t="n">
        <v>171.29</v>
      </c>
      <c r="AS279" s="37" t="n">
        <v>140.67</v>
      </c>
      <c r="AT279" s="37" t="n">
        <v>224.95</v>
      </c>
      <c r="AU279" s="37" t="n">
        <v>203.48</v>
      </c>
      <c r="AV279" s="37" t="n">
        <v>180.82</v>
      </c>
      <c r="AW279" s="37" t="n">
        <v>170.83</v>
      </c>
      <c r="AX279" s="37" t="n">
        <v>169.89</v>
      </c>
      <c r="AY279" s="37" t="n">
        <v>169.09</v>
      </c>
      <c r="AZ279" s="37" t="n">
        <v>140.74</v>
      </c>
      <c r="BA279" s="37" t="n">
        <v>202.68</v>
      </c>
      <c r="BB279" s="37" t="n">
        <v>189.2</v>
      </c>
      <c r="BC279" s="37" t="n">
        <v>111.91</v>
      </c>
      <c r="BD279" s="37" t="n">
        <v>163.36</v>
      </c>
      <c r="BE279" s="37" t="n">
        <v>192.21</v>
      </c>
      <c r="BF279" s="37" t="n">
        <v>186.73</v>
      </c>
      <c r="BG279" s="37" t="n">
        <v>151.21</v>
      </c>
      <c r="BH279" s="37" t="n">
        <v>224.62</v>
      </c>
      <c r="BI279" s="37" t="n">
        <v>189.2</v>
      </c>
      <c r="BJ279" s="37" t="n">
        <v>189.17</v>
      </c>
      <c r="BK279" s="37" t="n">
        <v>191.95</v>
      </c>
      <c r="BL279" s="37" t="n">
        <v>192.21</v>
      </c>
      <c r="BM279" s="37" t="n">
        <v>186.73</v>
      </c>
      <c r="BN279" s="37" t="n">
        <v>151.21</v>
      </c>
      <c r="BO279" s="37" t="n">
        <v>224.62</v>
      </c>
      <c r="BP279" s="37" t="n">
        <v>189.2</v>
      </c>
      <c r="BQ279" s="37" t="n">
        <v>187</v>
      </c>
      <c r="BR279" s="37" t="n">
        <v>191.95</v>
      </c>
      <c r="BS279" s="37" t="n">
        <v>192.21</v>
      </c>
      <c r="BT279" s="37" t="n">
        <v>186.73</v>
      </c>
      <c r="BU279" s="37" t="n">
        <v>151.21</v>
      </c>
      <c r="BV279" s="37" t="n">
        <v>224.62</v>
      </c>
      <c r="BW279" s="37" t="n">
        <v>189.2</v>
      </c>
      <c r="BX279" s="37" t="n">
        <v>187</v>
      </c>
      <c r="BY279" s="37" t="n">
        <v>191.95</v>
      </c>
      <c r="BZ279" s="37" t="n">
        <v>192.21</v>
      </c>
      <c r="CA279" s="37" t="n">
        <v>186.73</v>
      </c>
      <c r="CB279" s="37" t="n">
        <v>151.21</v>
      </c>
      <c r="CC279" s="37" t="n">
        <v>14308.24</v>
      </c>
    </row>
    <row r="280" ht="15.75" customHeight="1" s="57">
      <c r="A280" s="7" t="inlineStr">
        <is>
          <t>NTB</t>
        </is>
      </c>
      <c r="B280" s="7" t="inlineStr">
        <is>
          <t>Khánh Hòa</t>
        </is>
      </c>
      <c r="C280" s="7" t="n">
        <v>22746000</v>
      </c>
      <c r="D280" s="7" t="inlineStr">
        <is>
          <t>(KHO) Nam Nha Trang 1</t>
        </is>
      </c>
      <c r="E280" s="7" t="inlineStr">
        <is>
          <t>TTS-Bulky</t>
        </is>
      </c>
      <c r="F280" s="36" t="n">
        <v>2</v>
      </c>
      <c r="G280" s="36" t="n">
        <v>1</v>
      </c>
      <c r="H280" s="36" t="n">
        <v>4</v>
      </c>
      <c r="I280" s="36" t="n">
        <v>7</v>
      </c>
      <c r="J280" s="36" t="n">
        <v>3</v>
      </c>
      <c r="K280" s="28" t="n">
        <v>0</v>
      </c>
      <c r="L280" s="36" t="n">
        <v>4</v>
      </c>
      <c r="M280" s="36" t="n">
        <v>3</v>
      </c>
      <c r="N280" s="36" t="n">
        <v>1</v>
      </c>
      <c r="O280" s="36" t="n">
        <v>2</v>
      </c>
      <c r="P280" s="36" t="n">
        <v>0</v>
      </c>
      <c r="Q280" s="36" t="n">
        <v>0</v>
      </c>
      <c r="R280" s="28" t="n">
        <v>1</v>
      </c>
      <c r="S280" s="36" t="n">
        <v>3</v>
      </c>
      <c r="T280" s="36" t="n">
        <v>3</v>
      </c>
      <c r="U280" s="36" t="n">
        <v>9.19</v>
      </c>
      <c r="V280" s="36" t="n">
        <v>8.800000000000001</v>
      </c>
      <c r="W280" s="36" t="n">
        <v>4.43</v>
      </c>
      <c r="X280" s="36" t="n">
        <v>3.32</v>
      </c>
      <c r="Y280" s="28" t="n">
        <v>5.65</v>
      </c>
      <c r="Z280" s="36" t="n">
        <v>4.15</v>
      </c>
      <c r="AA280" s="36" t="n">
        <v>4.71</v>
      </c>
      <c r="AB280" s="36" t="n">
        <v>5.04</v>
      </c>
      <c r="AC280" s="36" t="n">
        <v>5.48</v>
      </c>
      <c r="AD280" s="36" t="n">
        <v>6.87</v>
      </c>
      <c r="AE280" s="36" t="n">
        <v>3.65</v>
      </c>
      <c r="AF280" s="28" t="n">
        <v>5.37</v>
      </c>
      <c r="AG280" s="36" t="n">
        <v>4.32</v>
      </c>
      <c r="AH280" s="37" t="n">
        <v>4.32</v>
      </c>
      <c r="AI280" s="37" t="n">
        <v>4.48</v>
      </c>
      <c r="AJ280" s="37" t="n">
        <v>4.93</v>
      </c>
      <c r="AK280" s="37" t="n">
        <v>4.76</v>
      </c>
      <c r="AL280" s="37" t="n">
        <v>3.38</v>
      </c>
      <c r="AM280" s="37" t="n">
        <v>5.31</v>
      </c>
      <c r="AN280" s="37" t="n">
        <v>4.43</v>
      </c>
      <c r="AO280" s="37" t="n">
        <v>4.32</v>
      </c>
      <c r="AP280" s="37" t="n">
        <v>4.37</v>
      </c>
      <c r="AQ280" s="37" t="n">
        <v>4.37</v>
      </c>
      <c r="AR280" s="37" t="n">
        <v>4.37</v>
      </c>
      <c r="AS280" s="37" t="n">
        <v>3.21</v>
      </c>
      <c r="AT280" s="37" t="n">
        <v>5.59</v>
      </c>
      <c r="AU280" s="37" t="n">
        <v>5.04</v>
      </c>
      <c r="AV280" s="37" t="n">
        <v>4.48</v>
      </c>
      <c r="AW280" s="37" t="n">
        <v>4.32</v>
      </c>
      <c r="AX280" s="37" t="n">
        <v>4.32</v>
      </c>
      <c r="AY280" s="37" t="n">
        <v>4.37</v>
      </c>
      <c r="AZ280" s="37" t="n">
        <v>3.21</v>
      </c>
      <c r="BA280" s="37" t="n">
        <v>4.93</v>
      </c>
      <c r="BB280" s="37" t="n">
        <v>1.16</v>
      </c>
      <c r="BC280" s="37" t="n">
        <v>0.72</v>
      </c>
      <c r="BD280" s="37" t="n">
        <v>0.83</v>
      </c>
      <c r="BE280" s="37" t="n">
        <v>1.16</v>
      </c>
      <c r="BF280" s="37" t="n">
        <v>1.22</v>
      </c>
      <c r="BG280" s="37" t="n">
        <v>0.83</v>
      </c>
      <c r="BH280" s="37" t="n">
        <v>1.55</v>
      </c>
      <c r="BI280" s="37" t="n">
        <v>1.27</v>
      </c>
      <c r="BJ280" s="37" t="n">
        <v>1.61</v>
      </c>
      <c r="BK280" s="37" t="n">
        <v>1.22</v>
      </c>
      <c r="BL280" s="37" t="n">
        <v>1.16</v>
      </c>
      <c r="BM280" s="37" t="n">
        <v>1.22</v>
      </c>
      <c r="BN280" s="37" t="n">
        <v>0.83</v>
      </c>
      <c r="BO280" s="37" t="n">
        <v>1.88</v>
      </c>
      <c r="BP280" s="37" t="n">
        <v>1.44</v>
      </c>
      <c r="BQ280" s="37" t="n">
        <v>1.22</v>
      </c>
      <c r="BR280" s="37" t="n">
        <v>1.22</v>
      </c>
      <c r="BS280" s="37" t="n">
        <v>1.16</v>
      </c>
      <c r="BT280" s="37" t="n">
        <v>1.22</v>
      </c>
      <c r="BU280" s="37" t="n">
        <v>0.83</v>
      </c>
      <c r="BV280" s="37" t="n">
        <v>1.44</v>
      </c>
      <c r="BW280" s="37" t="n">
        <v>1.27</v>
      </c>
      <c r="BX280" s="37" t="n">
        <v>1.22</v>
      </c>
      <c r="BY280" s="37" t="n">
        <v>1.22</v>
      </c>
      <c r="BZ280" s="37" t="n">
        <v>1.16</v>
      </c>
      <c r="CA280" s="37" t="n">
        <v>1.22</v>
      </c>
      <c r="CB280" s="37" t="n">
        <v>0.83</v>
      </c>
      <c r="CC280" s="37" t="n">
        <v>225.6000000000001</v>
      </c>
    </row>
    <row r="281" ht="15.75" customHeight="1" s="57">
      <c r="A281" s="7" t="inlineStr">
        <is>
          <t>NTB</t>
        </is>
      </c>
      <c r="B281" s="7" t="inlineStr">
        <is>
          <t>Khánh Hòa</t>
        </is>
      </c>
      <c r="C281" s="7" t="n">
        <v>22774000</v>
      </c>
      <c r="D281" s="7" t="inlineStr">
        <is>
          <t>(KHO) Diên Khánh 1</t>
        </is>
      </c>
      <c r="E281" s="7" t="inlineStr">
        <is>
          <t>SME</t>
        </is>
      </c>
      <c r="F281" s="36" t="n">
        <v>113</v>
      </c>
      <c r="G281" s="36" t="n">
        <v>211</v>
      </c>
      <c r="H281" s="36" t="n">
        <v>175</v>
      </c>
      <c r="I281" s="36" t="n">
        <v>179</v>
      </c>
      <c r="J281" s="36" t="n">
        <v>186</v>
      </c>
      <c r="K281" s="28" t="n">
        <v>155</v>
      </c>
      <c r="L281" s="36" t="n">
        <v>136</v>
      </c>
      <c r="M281" s="36" t="n">
        <v>152</v>
      </c>
      <c r="N281" s="36" t="n">
        <v>182</v>
      </c>
      <c r="O281" s="36" t="n">
        <v>123</v>
      </c>
      <c r="P281" s="36" t="n">
        <v>159</v>
      </c>
      <c r="Q281" s="36" t="n">
        <v>123</v>
      </c>
      <c r="R281" s="28" t="n">
        <v>154</v>
      </c>
      <c r="S281" s="36" t="n">
        <v>125</v>
      </c>
      <c r="T281" s="36" t="n">
        <v>140</v>
      </c>
      <c r="U281" s="36" t="n">
        <v>180.08</v>
      </c>
      <c r="V281" s="36" t="n">
        <v>186.45</v>
      </c>
      <c r="W281" s="36" t="n">
        <v>181.31</v>
      </c>
      <c r="X281" s="36" t="n">
        <v>148.4</v>
      </c>
      <c r="Y281" s="28" t="n">
        <v>200.89</v>
      </c>
      <c r="Z281" s="36" t="n">
        <v>185.06</v>
      </c>
      <c r="AA281" s="36" t="n">
        <v>180.49</v>
      </c>
      <c r="AB281" s="36" t="n">
        <v>180.08</v>
      </c>
      <c r="AC281" s="36" t="n">
        <v>186.45</v>
      </c>
      <c r="AD281" s="36" t="n">
        <v>183.47</v>
      </c>
      <c r="AE281" s="36" t="n">
        <v>148.4</v>
      </c>
      <c r="AF281" s="28" t="n">
        <v>200.89</v>
      </c>
      <c r="AG281" s="36" t="n">
        <v>185.06</v>
      </c>
      <c r="AH281" s="37" t="n">
        <v>180.49</v>
      </c>
      <c r="AI281" s="37" t="n">
        <v>180.08</v>
      </c>
      <c r="AJ281" s="37" t="n">
        <v>186.45</v>
      </c>
      <c r="AK281" s="37" t="n">
        <v>181.31</v>
      </c>
      <c r="AL281" s="37" t="n">
        <v>148.4</v>
      </c>
      <c r="AM281" s="37" t="n">
        <v>200.89</v>
      </c>
      <c r="AN281" s="37" t="n">
        <v>185.06</v>
      </c>
      <c r="AO281" s="37" t="n">
        <v>180.49</v>
      </c>
      <c r="AP281" s="37" t="n">
        <v>180.08</v>
      </c>
      <c r="AQ281" s="37" t="n">
        <v>186.45</v>
      </c>
      <c r="AR281" s="37" t="n">
        <v>181.31</v>
      </c>
      <c r="AS281" s="37" t="n">
        <v>148.4</v>
      </c>
      <c r="AT281" s="37" t="n">
        <v>200.89</v>
      </c>
      <c r="AU281" s="37" t="n">
        <v>185.06</v>
      </c>
      <c r="AV281" s="37" t="n">
        <v>180.49</v>
      </c>
      <c r="AW281" s="37" t="n">
        <v>180.08</v>
      </c>
      <c r="AX281" s="37" t="n">
        <v>186.45</v>
      </c>
      <c r="AY281" s="37" t="n">
        <v>181.31</v>
      </c>
      <c r="AZ281" s="37" t="n">
        <v>148.4</v>
      </c>
      <c r="BA281" s="37" t="n">
        <v>180.81</v>
      </c>
      <c r="BB281" s="37" t="n">
        <v>162.28</v>
      </c>
      <c r="BC281" s="37" t="n">
        <v>102.54</v>
      </c>
      <c r="BD281" s="37" t="n">
        <v>102.12</v>
      </c>
      <c r="BE281" s="37" t="n">
        <v>173.15</v>
      </c>
      <c r="BF281" s="37" t="n">
        <v>168.38</v>
      </c>
      <c r="BG281" s="37" t="n">
        <v>152.89</v>
      </c>
      <c r="BH281" s="37" t="n">
        <v>207.29</v>
      </c>
      <c r="BI281" s="37" t="n">
        <v>190.89</v>
      </c>
      <c r="BJ281" s="37" t="n">
        <v>188.26</v>
      </c>
      <c r="BK281" s="37" t="n">
        <v>185.75</v>
      </c>
      <c r="BL281" s="37" t="n">
        <v>192.3</v>
      </c>
      <c r="BM281" s="37" t="n">
        <v>187.05</v>
      </c>
      <c r="BN281" s="37" t="n">
        <v>152.89</v>
      </c>
      <c r="BO281" s="37" t="n">
        <v>207.29</v>
      </c>
      <c r="BP281" s="37" t="n">
        <v>190.89</v>
      </c>
      <c r="BQ281" s="37" t="n">
        <v>186.14</v>
      </c>
      <c r="BR281" s="37" t="n">
        <v>185.75</v>
      </c>
      <c r="BS281" s="37" t="n">
        <v>192.3</v>
      </c>
      <c r="BT281" s="37" t="n">
        <v>187.05</v>
      </c>
      <c r="BU281" s="37" t="n">
        <v>152.89</v>
      </c>
      <c r="BV281" s="37" t="n">
        <v>207.29</v>
      </c>
      <c r="BW281" s="37" t="n">
        <v>190.89</v>
      </c>
      <c r="BX281" s="37" t="n">
        <v>186.14</v>
      </c>
      <c r="BY281" s="37" t="n">
        <v>185.75</v>
      </c>
      <c r="BZ281" s="37" t="n">
        <v>192.3</v>
      </c>
      <c r="CA281" s="37" t="n">
        <v>187.05</v>
      </c>
      <c r="CB281" s="37" t="n">
        <v>152.89</v>
      </c>
      <c r="CC281" s="37" t="n">
        <v>13013.33999999999</v>
      </c>
    </row>
    <row r="282" ht="15.75" customHeight="1" s="57">
      <c r="A282" s="7" t="inlineStr">
        <is>
          <t>NTB</t>
        </is>
      </c>
      <c r="B282" s="7" t="inlineStr">
        <is>
          <t>Khánh Hòa</t>
        </is>
      </c>
      <c r="C282" s="7" t="n">
        <v>22774000</v>
      </c>
      <c r="D282" s="7" t="inlineStr">
        <is>
          <t>(KHO) Diên Khánh 1</t>
        </is>
      </c>
      <c r="E282" s="7" t="inlineStr">
        <is>
          <t>SME-Bulky</t>
        </is>
      </c>
      <c r="F282" s="36" t="n">
        <v>7</v>
      </c>
      <c r="G282" s="36" t="n">
        <v>6</v>
      </c>
      <c r="H282" s="36" t="n">
        <v>2</v>
      </c>
      <c r="I282" s="36" t="n">
        <v>5</v>
      </c>
      <c r="J282" s="36" t="n">
        <v>8</v>
      </c>
      <c r="K282" s="28" t="n">
        <v>1</v>
      </c>
      <c r="L282" s="36" t="n">
        <v>8</v>
      </c>
      <c r="M282" s="36" t="n">
        <v>6</v>
      </c>
      <c r="N282" s="36" t="n">
        <v>15</v>
      </c>
      <c r="O282" s="36" t="n">
        <v>4</v>
      </c>
      <c r="P282" s="36" t="n">
        <v>13</v>
      </c>
      <c r="Q282" s="36" t="n">
        <v>6</v>
      </c>
      <c r="R282" s="28" t="n">
        <v>15</v>
      </c>
      <c r="S282" s="36" t="n">
        <v>8</v>
      </c>
      <c r="T282" s="36" t="n">
        <v>9</v>
      </c>
      <c r="U282" s="36" t="n">
        <v>10.4</v>
      </c>
      <c r="V282" s="36" t="n">
        <v>10.54</v>
      </c>
      <c r="W282" s="36" t="n">
        <v>9.779999999999999</v>
      </c>
      <c r="X282" s="36" t="n">
        <v>6.52</v>
      </c>
      <c r="Y282" s="28" t="n">
        <v>11.94</v>
      </c>
      <c r="Z282" s="36" t="n">
        <v>11.51</v>
      </c>
      <c r="AA282" s="36" t="n">
        <v>10.94</v>
      </c>
      <c r="AB282" s="36" t="n">
        <v>10.4</v>
      </c>
      <c r="AC282" s="36" t="n">
        <v>10.54</v>
      </c>
      <c r="AD282" s="36" t="n">
        <v>9.24</v>
      </c>
      <c r="AE282" s="36" t="n">
        <v>6.52</v>
      </c>
      <c r="AF282" s="28" t="n">
        <v>11.94</v>
      </c>
      <c r="AG282" s="36" t="n">
        <v>11.51</v>
      </c>
      <c r="AH282" s="37" t="n">
        <v>10.94</v>
      </c>
      <c r="AI282" s="37" t="n">
        <v>10.4</v>
      </c>
      <c r="AJ282" s="37" t="n">
        <v>10.54</v>
      </c>
      <c r="AK282" s="37" t="n">
        <v>9.779999999999999</v>
      </c>
      <c r="AL282" s="37" t="n">
        <v>6.52</v>
      </c>
      <c r="AM282" s="37" t="n">
        <v>11.94</v>
      </c>
      <c r="AN282" s="37" t="n">
        <v>11.51</v>
      </c>
      <c r="AO282" s="37" t="n">
        <v>10.94</v>
      </c>
      <c r="AP282" s="37" t="n">
        <v>10.4</v>
      </c>
      <c r="AQ282" s="37" t="n">
        <v>10.54</v>
      </c>
      <c r="AR282" s="37" t="n">
        <v>9.779999999999999</v>
      </c>
      <c r="AS282" s="37" t="n">
        <v>6.52</v>
      </c>
      <c r="AT282" s="37" t="n">
        <v>11.94</v>
      </c>
      <c r="AU282" s="37" t="n">
        <v>11.51</v>
      </c>
      <c r="AV282" s="37" t="n">
        <v>10.94</v>
      </c>
      <c r="AW282" s="37" t="n">
        <v>10.4</v>
      </c>
      <c r="AX282" s="37" t="n">
        <v>10.54</v>
      </c>
      <c r="AY282" s="37" t="n">
        <v>9.779999999999999</v>
      </c>
      <c r="AZ282" s="37" t="n">
        <v>6.52</v>
      </c>
      <c r="BA282" s="37" t="n">
        <v>11.88</v>
      </c>
      <c r="BB282" s="37" t="n">
        <v>6.17</v>
      </c>
      <c r="BC282" s="37" t="n">
        <v>3.13</v>
      </c>
      <c r="BD282" s="37" t="n">
        <v>2.86</v>
      </c>
      <c r="BE282" s="37" t="n">
        <v>5.33</v>
      </c>
      <c r="BF282" s="37" t="n">
        <v>4.93</v>
      </c>
      <c r="BG282" s="37" t="n">
        <v>3.93</v>
      </c>
      <c r="BH282" s="37" t="n">
        <v>7.01</v>
      </c>
      <c r="BI282" s="37" t="n">
        <v>6.9</v>
      </c>
      <c r="BJ282" s="37" t="n">
        <v>6.01</v>
      </c>
      <c r="BK282" s="37" t="n">
        <v>6.17</v>
      </c>
      <c r="BL282" s="37" t="n">
        <v>6.3</v>
      </c>
      <c r="BM282" s="37" t="n">
        <v>5.74</v>
      </c>
      <c r="BN282" s="37" t="n">
        <v>3.93</v>
      </c>
      <c r="BO282" s="37" t="n">
        <v>7.01</v>
      </c>
      <c r="BP282" s="37" t="n">
        <v>6.9</v>
      </c>
      <c r="BQ282" s="37" t="n">
        <v>6.44</v>
      </c>
      <c r="BR282" s="37" t="n">
        <v>6.17</v>
      </c>
      <c r="BS282" s="37" t="n">
        <v>6.3</v>
      </c>
      <c r="BT282" s="37" t="n">
        <v>5.74</v>
      </c>
      <c r="BU282" s="37" t="n">
        <v>3.93</v>
      </c>
      <c r="BV282" s="37" t="n">
        <v>7.01</v>
      </c>
      <c r="BW282" s="37" t="n">
        <v>6.9</v>
      </c>
      <c r="BX282" s="37" t="n">
        <v>6.44</v>
      </c>
      <c r="BY282" s="37" t="n">
        <v>6.17</v>
      </c>
      <c r="BZ282" s="37" t="n">
        <v>6.3</v>
      </c>
      <c r="CA282" s="37" t="n">
        <v>5.74</v>
      </c>
      <c r="CB282" s="37" t="n">
        <v>3.93</v>
      </c>
      <c r="CC282" s="37" t="n">
        <v>601.4899999999996</v>
      </c>
    </row>
    <row r="283" ht="15.75" customHeight="1" s="57">
      <c r="A283" s="7" t="inlineStr">
        <is>
          <t>NTB</t>
        </is>
      </c>
      <c r="B283" s="7" t="inlineStr">
        <is>
          <t>Khánh Hòa</t>
        </is>
      </c>
      <c r="C283" s="7" t="n">
        <v>22774000</v>
      </c>
      <c r="D283" s="7" t="inlineStr">
        <is>
          <t>(KHO) Diên Khánh 1</t>
        </is>
      </c>
      <c r="E283" s="7" t="inlineStr">
        <is>
          <t>Shopee</t>
        </is>
      </c>
      <c r="F283" s="36" t="n">
        <v>42</v>
      </c>
      <c r="G283" s="36" t="n">
        <v>71</v>
      </c>
      <c r="H283" s="36" t="n">
        <v>50</v>
      </c>
      <c r="I283" s="36" t="n">
        <v>53</v>
      </c>
      <c r="J283" s="36" t="n">
        <v>58</v>
      </c>
      <c r="K283" s="28" t="n">
        <v>35</v>
      </c>
      <c r="L283" s="36" t="n">
        <v>31</v>
      </c>
      <c r="M283" s="36" t="n">
        <v>48</v>
      </c>
      <c r="N283" s="36" t="n">
        <v>80</v>
      </c>
      <c r="O283" s="36" t="n">
        <v>42</v>
      </c>
      <c r="P283" s="36" t="n">
        <v>31</v>
      </c>
      <c r="Q283" s="36" t="n">
        <v>38</v>
      </c>
      <c r="R283" s="28" t="n">
        <v>37</v>
      </c>
      <c r="S283" s="36" t="n">
        <v>36</v>
      </c>
      <c r="T283" s="36" t="n">
        <v>43</v>
      </c>
      <c r="U283" s="36" t="n">
        <v>74.84999999999999</v>
      </c>
      <c r="V283" s="36" t="n">
        <v>75.14</v>
      </c>
      <c r="W283" s="36" t="n">
        <v>74.06</v>
      </c>
      <c r="X283" s="36" t="n">
        <v>60.22</v>
      </c>
      <c r="Y283" s="28" t="n">
        <v>100.88</v>
      </c>
      <c r="Z283" s="36" t="n">
        <v>79.78</v>
      </c>
      <c r="AA283" s="36" t="n">
        <v>109.75</v>
      </c>
      <c r="AB283" s="36" t="n">
        <v>76.34999999999999</v>
      </c>
      <c r="AC283" s="36" t="n">
        <v>61.7</v>
      </c>
      <c r="AD283" s="36" t="n">
        <v>189.54</v>
      </c>
      <c r="AE283" s="36" t="n">
        <v>64.5</v>
      </c>
      <c r="AF283" s="28" t="n">
        <v>114.88</v>
      </c>
      <c r="AG283" s="36" t="n">
        <v>83.81999999999999</v>
      </c>
      <c r="AH283" s="37" t="n">
        <v>88.5</v>
      </c>
      <c r="AI283" s="37" t="n">
        <v>74.84999999999999</v>
      </c>
      <c r="AJ283" s="37" t="n">
        <v>75.14</v>
      </c>
      <c r="AK283" s="37" t="n">
        <v>99.92</v>
      </c>
      <c r="AL283" s="37" t="n">
        <v>108.08</v>
      </c>
      <c r="AM283" s="37" t="n">
        <v>100.88</v>
      </c>
      <c r="AN283" s="37" t="n">
        <v>79.78</v>
      </c>
      <c r="AO283" s="37" t="n">
        <v>88.5</v>
      </c>
      <c r="AP283" s="37" t="n">
        <v>93.38</v>
      </c>
      <c r="AQ283" s="37" t="n">
        <v>60.24</v>
      </c>
      <c r="AR283" s="37" t="n">
        <v>74.06</v>
      </c>
      <c r="AS283" s="37" t="n">
        <v>60.22</v>
      </c>
      <c r="AT283" s="37" t="n">
        <v>100.88</v>
      </c>
      <c r="AU283" s="37" t="n">
        <v>81.44</v>
      </c>
      <c r="AV283" s="37" t="n">
        <v>90.29000000000001</v>
      </c>
      <c r="AW283" s="37" t="n">
        <v>74.84999999999999</v>
      </c>
      <c r="AX283" s="37" t="n">
        <v>75.14</v>
      </c>
      <c r="AY283" s="37" t="n">
        <v>74.06</v>
      </c>
      <c r="AZ283" s="37" t="n">
        <v>60.22</v>
      </c>
      <c r="BA283" s="37" t="n">
        <v>77.69</v>
      </c>
      <c r="BB283" s="37" t="n">
        <v>67.73</v>
      </c>
      <c r="BC283" s="37" t="n">
        <v>34.5</v>
      </c>
      <c r="BD283" s="37" t="n">
        <v>61.32</v>
      </c>
      <c r="BE283" s="37" t="n">
        <v>71.59</v>
      </c>
      <c r="BF283" s="37" t="n">
        <v>70.56999999999999</v>
      </c>
      <c r="BG283" s="37" t="n">
        <v>58.55</v>
      </c>
      <c r="BH283" s="37" t="n">
        <v>96.12</v>
      </c>
      <c r="BI283" s="37" t="n">
        <v>62.53</v>
      </c>
      <c r="BJ283" s="37" t="n">
        <v>269.07</v>
      </c>
      <c r="BK283" s="37" t="n">
        <v>76.27</v>
      </c>
      <c r="BL283" s="37" t="n">
        <v>75.04000000000001</v>
      </c>
      <c r="BM283" s="37" t="n">
        <v>70.56999999999999</v>
      </c>
      <c r="BN283" s="37" t="n">
        <v>57.38</v>
      </c>
      <c r="BO283" s="37" t="n">
        <v>96.12</v>
      </c>
      <c r="BP283" s="37" t="n">
        <v>102.53</v>
      </c>
      <c r="BQ283" s="37" t="n">
        <v>151.45</v>
      </c>
      <c r="BR283" s="37" t="n">
        <v>71.3</v>
      </c>
      <c r="BS283" s="37" t="n">
        <v>71.59</v>
      </c>
      <c r="BT283" s="37" t="n">
        <v>70.56999999999999</v>
      </c>
      <c r="BU283" s="37" t="n">
        <v>71.63</v>
      </c>
      <c r="BV283" s="37" t="n">
        <v>76.92</v>
      </c>
      <c r="BW283" s="37" t="n">
        <v>75.98</v>
      </c>
      <c r="BX283" s="37" t="n">
        <v>84.3</v>
      </c>
      <c r="BY283" s="37" t="n">
        <v>71.3</v>
      </c>
      <c r="BZ283" s="37" t="n">
        <v>73.06999999999999</v>
      </c>
      <c r="CA283" s="37" t="n">
        <v>71.95</v>
      </c>
      <c r="CB283" s="37" t="n">
        <v>57.38</v>
      </c>
      <c r="CC283" s="37" t="n">
        <v>5715.92</v>
      </c>
    </row>
    <row r="284" ht="15.75" customHeight="1" s="57">
      <c r="A284" s="7" t="inlineStr">
        <is>
          <t>NTB</t>
        </is>
      </c>
      <c r="B284" s="7" t="inlineStr">
        <is>
          <t>Khánh Hòa</t>
        </is>
      </c>
      <c r="C284" s="7" t="n">
        <v>22774000</v>
      </c>
      <c r="D284" s="7" t="inlineStr">
        <is>
          <t>(KHO) Diên Khánh 1</t>
        </is>
      </c>
      <c r="E284" s="7" t="inlineStr">
        <is>
          <t>Shopee-Bulky</t>
        </is>
      </c>
      <c r="F284" s="36" t="n">
        <v>13.45</v>
      </c>
      <c r="G284" s="36" t="n">
        <v>12.17</v>
      </c>
      <c r="H284" s="36" t="n">
        <v>16.65</v>
      </c>
      <c r="I284" s="36" t="n">
        <v>11.53</v>
      </c>
      <c r="J284" s="36" t="n">
        <v>10.89</v>
      </c>
      <c r="K284" s="28" t="n">
        <v>6.4</v>
      </c>
      <c r="L284" s="36" t="n">
        <v>10.89</v>
      </c>
      <c r="M284" s="36" t="n">
        <v>15.37</v>
      </c>
      <c r="N284" s="36" t="n">
        <v>15.37</v>
      </c>
      <c r="O284" s="36" t="n">
        <v>7.69</v>
      </c>
      <c r="P284" s="36" t="n">
        <v>8.33</v>
      </c>
      <c r="Q284" s="36" t="n">
        <v>10.25</v>
      </c>
      <c r="R284" s="28" t="n">
        <v>14.09</v>
      </c>
      <c r="S284" s="36" t="n">
        <v>18.57</v>
      </c>
      <c r="T284" s="36" t="n">
        <v>19.21</v>
      </c>
      <c r="U284" s="36" t="n">
        <v>12.26</v>
      </c>
      <c r="V284" s="36" t="n">
        <v>11.88</v>
      </c>
      <c r="W284" s="36" t="n">
        <v>16.58</v>
      </c>
      <c r="X284" s="36" t="n">
        <v>9.15</v>
      </c>
      <c r="Y284" s="28" t="n">
        <v>18.08</v>
      </c>
      <c r="Z284" s="36" t="n">
        <v>14.09</v>
      </c>
      <c r="AA284" s="36" t="n">
        <v>13.65</v>
      </c>
      <c r="AB284" s="36" t="n">
        <v>13.94</v>
      </c>
      <c r="AC284" s="36" t="n">
        <v>14.76</v>
      </c>
      <c r="AD284" s="36" t="n">
        <v>41.02</v>
      </c>
      <c r="AE284" s="36" t="n">
        <v>23.49</v>
      </c>
      <c r="AF284" s="28" t="n">
        <v>35.64</v>
      </c>
      <c r="AG284" s="36" t="n">
        <v>20.14</v>
      </c>
      <c r="AH284" s="37" t="n">
        <v>13.98</v>
      </c>
      <c r="AI284" s="37" t="n">
        <v>13.65</v>
      </c>
      <c r="AJ284" s="37" t="n">
        <v>13.45</v>
      </c>
      <c r="AK284" s="37" t="n">
        <v>30.52</v>
      </c>
      <c r="AL284" s="37" t="n">
        <v>15.42</v>
      </c>
      <c r="AM284" s="37" t="n">
        <v>22.21</v>
      </c>
      <c r="AN284" s="37" t="n">
        <v>13.9</v>
      </c>
      <c r="AO284" s="37" t="n">
        <v>13.59</v>
      </c>
      <c r="AP284" s="37" t="n">
        <v>18.7</v>
      </c>
      <c r="AQ284" s="37" t="n">
        <v>18.39</v>
      </c>
      <c r="AR284" s="37" t="n">
        <v>15.03</v>
      </c>
      <c r="AS284" s="37" t="n">
        <v>8.039999999999999</v>
      </c>
      <c r="AT284" s="37" t="n">
        <v>16.53</v>
      </c>
      <c r="AU284" s="37" t="n">
        <v>27.08</v>
      </c>
      <c r="AV284" s="37" t="n">
        <v>28.17</v>
      </c>
      <c r="AW284" s="37" t="n">
        <v>13.74</v>
      </c>
      <c r="AX284" s="37" t="n">
        <v>12.9</v>
      </c>
      <c r="AY284" s="37" t="n">
        <v>14.38</v>
      </c>
      <c r="AZ284" s="37" t="n">
        <v>7.71</v>
      </c>
      <c r="BA284" s="37" t="n">
        <v>15.07</v>
      </c>
      <c r="BB284" s="37" t="n">
        <v>14.14</v>
      </c>
      <c r="BC284" s="37" t="n">
        <v>4.88</v>
      </c>
      <c r="BD284" s="37" t="n">
        <v>12.01</v>
      </c>
      <c r="BE284" s="37" t="n">
        <v>14.91</v>
      </c>
      <c r="BF284" s="37" t="n">
        <v>13.03</v>
      </c>
      <c r="BG284" s="37" t="n">
        <v>10.46</v>
      </c>
      <c r="BH284" s="37" t="n">
        <v>19.3</v>
      </c>
      <c r="BI284" s="37" t="n">
        <v>16.42</v>
      </c>
      <c r="BJ284" s="37" t="n">
        <v>64.84</v>
      </c>
      <c r="BK284" s="37" t="n">
        <v>35.04</v>
      </c>
      <c r="BL284" s="37" t="n">
        <v>18.02</v>
      </c>
      <c r="BM284" s="37" t="n">
        <v>13.63</v>
      </c>
      <c r="BN284" s="37" t="n">
        <v>10.19</v>
      </c>
      <c r="BO284" s="37" t="n">
        <v>22.6</v>
      </c>
      <c r="BP284" s="37" t="n">
        <v>32.73</v>
      </c>
      <c r="BQ284" s="37" t="n">
        <v>23.91</v>
      </c>
      <c r="BR284" s="37" t="n">
        <v>15.62</v>
      </c>
      <c r="BS284" s="37" t="n">
        <v>14.91</v>
      </c>
      <c r="BT284" s="37" t="n">
        <v>13.03</v>
      </c>
      <c r="BU284" s="37" t="n">
        <v>15.14</v>
      </c>
      <c r="BV284" s="37" t="n">
        <v>20.46</v>
      </c>
      <c r="BW284" s="37" t="n">
        <v>16.42</v>
      </c>
      <c r="BX284" s="37" t="n">
        <v>15.91</v>
      </c>
      <c r="BY284" s="37" t="n">
        <v>15.62</v>
      </c>
      <c r="BZ284" s="37" t="n">
        <v>26.75</v>
      </c>
      <c r="CA284" s="37" t="n">
        <v>15.51</v>
      </c>
      <c r="CB284" s="37" t="n">
        <v>9.91</v>
      </c>
      <c r="CC284" s="37" t="n">
        <v>1273.39</v>
      </c>
    </row>
    <row r="285" ht="15.75" customHeight="1" s="57">
      <c r="A285" s="7" t="inlineStr">
        <is>
          <t>NTB</t>
        </is>
      </c>
      <c r="B285" s="7" t="inlineStr">
        <is>
          <t>Khánh Hòa</t>
        </is>
      </c>
      <c r="C285" s="7" t="n">
        <v>22774000</v>
      </c>
      <c r="D285" s="7" t="inlineStr">
        <is>
          <t>(KHO) Diên Khánh 1</t>
        </is>
      </c>
      <c r="E285" s="7" t="inlineStr">
        <is>
          <t>Shopee-Bulky (10-15kg)</t>
        </is>
      </c>
      <c r="F285" s="36" t="n">
        <v>7.55</v>
      </c>
      <c r="G285" s="36" t="n">
        <v>6.83</v>
      </c>
      <c r="H285" s="36" t="n">
        <v>9.35</v>
      </c>
      <c r="I285" s="36" t="n">
        <v>6.47</v>
      </c>
      <c r="J285" s="36" t="n">
        <v>6.11</v>
      </c>
      <c r="K285" s="28" t="n">
        <v>3.6</v>
      </c>
      <c r="L285" s="36" t="n">
        <v>6.11</v>
      </c>
      <c r="M285" s="36" t="n">
        <v>8.630000000000001</v>
      </c>
      <c r="N285" s="36" t="n">
        <v>8.630000000000001</v>
      </c>
      <c r="O285" s="36" t="n">
        <v>4.31</v>
      </c>
      <c r="P285" s="36" t="n">
        <v>4.67</v>
      </c>
      <c r="Q285" s="36" t="n">
        <v>5.75</v>
      </c>
      <c r="R285" s="28" t="n">
        <v>7.91</v>
      </c>
      <c r="S285" s="36" t="n">
        <v>10.43</v>
      </c>
      <c r="T285" s="36" t="n">
        <v>10.79</v>
      </c>
      <c r="U285" s="36" t="n">
        <v>7.34</v>
      </c>
      <c r="V285" s="36" t="n">
        <v>7.03</v>
      </c>
      <c r="W285" s="36" t="n">
        <v>9.06</v>
      </c>
      <c r="X285" s="36" t="n">
        <v>5.1</v>
      </c>
      <c r="Y285" s="28" t="n">
        <v>10.33</v>
      </c>
      <c r="Z285" s="36" t="n">
        <v>8.07</v>
      </c>
      <c r="AA285" s="36" t="n">
        <v>7.6</v>
      </c>
      <c r="AB285" s="36" t="n">
        <v>7.96</v>
      </c>
      <c r="AC285" s="36" t="n">
        <v>8.24</v>
      </c>
      <c r="AD285" s="36" t="n">
        <v>30.74</v>
      </c>
      <c r="AE285" s="36" t="n">
        <v>12.77</v>
      </c>
      <c r="AF285" s="28" t="n">
        <v>18.84</v>
      </c>
      <c r="AG285" s="36" t="n">
        <v>11.24</v>
      </c>
      <c r="AH285" s="37" t="n">
        <v>7.96</v>
      </c>
      <c r="AI285" s="37" t="n">
        <v>7.69</v>
      </c>
      <c r="AJ285" s="37" t="n">
        <v>7.53</v>
      </c>
      <c r="AK285" s="37" t="n">
        <v>17.42</v>
      </c>
      <c r="AL285" s="37" t="n">
        <v>8.75</v>
      </c>
      <c r="AM285" s="37" t="n">
        <v>12.57</v>
      </c>
      <c r="AN285" s="37" t="n">
        <v>7.96</v>
      </c>
      <c r="AO285" s="37" t="n">
        <v>7.67</v>
      </c>
      <c r="AP285" s="37" t="n">
        <v>9.93</v>
      </c>
      <c r="AQ285" s="37" t="n">
        <v>10.44</v>
      </c>
      <c r="AR285" s="37" t="n">
        <v>8.130000000000001</v>
      </c>
      <c r="AS285" s="37" t="n">
        <v>4.48</v>
      </c>
      <c r="AT285" s="37" t="n">
        <v>9.35</v>
      </c>
      <c r="AU285" s="37" t="n">
        <v>15.47</v>
      </c>
      <c r="AV285" s="37" t="n">
        <v>16.04</v>
      </c>
      <c r="AW285" s="37" t="n">
        <v>7.78</v>
      </c>
      <c r="AX285" s="37" t="n">
        <v>7.27</v>
      </c>
      <c r="AY285" s="37" t="n">
        <v>7.82</v>
      </c>
      <c r="AZ285" s="37" t="n">
        <v>4.32</v>
      </c>
      <c r="BA285" s="37" t="n">
        <v>8.529999999999999</v>
      </c>
      <c r="BB285" s="37" t="n">
        <v>8.18</v>
      </c>
      <c r="BC285" s="37" t="n">
        <v>2.75</v>
      </c>
      <c r="BD285" s="37" t="n">
        <v>6.52</v>
      </c>
      <c r="BE285" s="37" t="n">
        <v>8.4</v>
      </c>
      <c r="BF285" s="37" t="n">
        <v>7.16</v>
      </c>
      <c r="BG285" s="37" t="n">
        <v>5.85</v>
      </c>
      <c r="BH285" s="37" t="n">
        <v>11.19</v>
      </c>
      <c r="BI285" s="37" t="n">
        <v>9.51</v>
      </c>
      <c r="BJ285" s="37" t="n">
        <v>42.15</v>
      </c>
      <c r="BK285" s="37" t="n">
        <v>19.66</v>
      </c>
      <c r="BL285" s="37" t="n">
        <v>10.46</v>
      </c>
      <c r="BM285" s="37" t="n">
        <v>7.6</v>
      </c>
      <c r="BN285" s="37" t="n">
        <v>5.74</v>
      </c>
      <c r="BO285" s="37" t="n">
        <v>12.59</v>
      </c>
      <c r="BP285" s="37" t="n">
        <v>18.35</v>
      </c>
      <c r="BQ285" s="37" t="n">
        <v>13.5</v>
      </c>
      <c r="BR285" s="37" t="n">
        <v>9.02</v>
      </c>
      <c r="BS285" s="37" t="n">
        <v>8.4</v>
      </c>
      <c r="BT285" s="37" t="n">
        <v>7.16</v>
      </c>
      <c r="BU285" s="37" t="n">
        <v>8.710000000000001</v>
      </c>
      <c r="BV285" s="37" t="n">
        <v>11.57</v>
      </c>
      <c r="BW285" s="37" t="n">
        <v>9.51</v>
      </c>
      <c r="BX285" s="37" t="n">
        <v>9.09</v>
      </c>
      <c r="BY285" s="37" t="n">
        <v>9.02</v>
      </c>
      <c r="BZ285" s="37" t="n">
        <v>14.89</v>
      </c>
      <c r="CA285" s="37" t="n">
        <v>8.890000000000001</v>
      </c>
      <c r="CB285" s="37" t="n">
        <v>5.61</v>
      </c>
      <c r="CC285" s="37" t="n">
        <v>730.0500000000001</v>
      </c>
    </row>
    <row r="286" ht="15.75" customHeight="1" s="57">
      <c r="A286" s="7" t="inlineStr">
        <is>
          <t>NTB</t>
        </is>
      </c>
      <c r="B286" s="7" t="inlineStr">
        <is>
          <t>Khánh Hòa</t>
        </is>
      </c>
      <c r="C286" s="7" t="n">
        <v>22774000</v>
      </c>
      <c r="D286" s="7" t="inlineStr">
        <is>
          <t>(KHO) Diên Khánh 1</t>
        </is>
      </c>
      <c r="E286" s="7" t="inlineStr">
        <is>
          <t>TTS</t>
        </is>
      </c>
      <c r="F286" s="36" t="n">
        <v>88</v>
      </c>
      <c r="G286" s="36" t="n">
        <v>146</v>
      </c>
      <c r="H286" s="36" t="n">
        <v>116</v>
      </c>
      <c r="I286" s="36" t="n">
        <v>106</v>
      </c>
      <c r="J286" s="36" t="n">
        <v>136</v>
      </c>
      <c r="K286" s="28" t="n">
        <v>116</v>
      </c>
      <c r="L286" s="36" t="n">
        <v>84</v>
      </c>
      <c r="M286" s="36" t="n">
        <v>104</v>
      </c>
      <c r="N286" s="36" t="n">
        <v>125</v>
      </c>
      <c r="O286" s="36" t="n">
        <v>91</v>
      </c>
      <c r="P286" s="36" t="n">
        <v>104</v>
      </c>
      <c r="Q286" s="36" t="n">
        <v>89</v>
      </c>
      <c r="R286" s="28" t="n">
        <v>97</v>
      </c>
      <c r="S286" s="36" t="n">
        <v>85</v>
      </c>
      <c r="T286" s="36" t="n">
        <v>102</v>
      </c>
      <c r="U286" s="36" t="n">
        <v>83.88</v>
      </c>
      <c r="V286" s="36" t="n">
        <v>82.31</v>
      </c>
      <c r="W286" s="36" t="n">
        <v>80.52</v>
      </c>
      <c r="X286" s="36" t="n">
        <v>64.91</v>
      </c>
      <c r="Y286" s="28" t="n">
        <v>94.58</v>
      </c>
      <c r="Z286" s="36" t="n">
        <v>80.18000000000001</v>
      </c>
      <c r="AA286" s="36" t="n">
        <v>89.22</v>
      </c>
      <c r="AB286" s="36" t="n">
        <v>99.09</v>
      </c>
      <c r="AC286" s="36" t="n">
        <v>104.49</v>
      </c>
      <c r="AD286" s="36" t="n">
        <v>115.17</v>
      </c>
      <c r="AE286" s="36" t="n">
        <v>75.48999999999999</v>
      </c>
      <c r="AF286" s="28" t="n">
        <v>97.39</v>
      </c>
      <c r="AG286" s="36" t="n">
        <v>82</v>
      </c>
      <c r="AH286" s="37" t="n">
        <v>81.14</v>
      </c>
      <c r="AI286" s="37" t="n">
        <v>92.76000000000001</v>
      </c>
      <c r="AJ286" s="37" t="n">
        <v>99.67</v>
      </c>
      <c r="AK286" s="37" t="n">
        <v>98.32000000000001</v>
      </c>
      <c r="AL286" s="37" t="n">
        <v>69.94</v>
      </c>
      <c r="AM286" s="37" t="n">
        <v>96.03</v>
      </c>
      <c r="AN286" s="37" t="n">
        <v>82.83</v>
      </c>
      <c r="AO286" s="37" t="n">
        <v>82.52</v>
      </c>
      <c r="AP286" s="37" t="n">
        <v>80</v>
      </c>
      <c r="AQ286" s="37" t="n">
        <v>80.7</v>
      </c>
      <c r="AR286" s="37" t="n">
        <v>79.29000000000001</v>
      </c>
      <c r="AS286" s="37" t="n">
        <v>65.13</v>
      </c>
      <c r="AT286" s="37" t="n">
        <v>104.11</v>
      </c>
      <c r="AU286" s="37" t="n">
        <v>94.18000000000001</v>
      </c>
      <c r="AV286" s="37" t="n">
        <v>83.7</v>
      </c>
      <c r="AW286" s="37" t="n">
        <v>79.06999999999999</v>
      </c>
      <c r="AX286" s="37" t="n">
        <v>78.64</v>
      </c>
      <c r="AY286" s="37" t="n">
        <v>78.27</v>
      </c>
      <c r="AZ286" s="37" t="n">
        <v>65.16</v>
      </c>
      <c r="BA286" s="37" t="n">
        <v>93.81</v>
      </c>
      <c r="BB286" s="37" t="n">
        <v>87.58</v>
      </c>
      <c r="BC286" s="37" t="n">
        <v>51.8</v>
      </c>
      <c r="BD286" s="37" t="n">
        <v>75.61</v>
      </c>
      <c r="BE286" s="37" t="n">
        <v>88.97</v>
      </c>
      <c r="BF286" s="37" t="n">
        <v>86.44</v>
      </c>
      <c r="BG286" s="37" t="n">
        <v>70</v>
      </c>
      <c r="BH286" s="37" t="n">
        <v>103.96</v>
      </c>
      <c r="BI286" s="37" t="n">
        <v>87.58</v>
      </c>
      <c r="BJ286" s="37" t="n">
        <v>87.61</v>
      </c>
      <c r="BK286" s="37" t="n">
        <v>88.85000000000001</v>
      </c>
      <c r="BL286" s="37" t="n">
        <v>88.97</v>
      </c>
      <c r="BM286" s="37" t="n">
        <v>86.44</v>
      </c>
      <c r="BN286" s="37" t="n">
        <v>70</v>
      </c>
      <c r="BO286" s="37" t="n">
        <v>103.96</v>
      </c>
      <c r="BP286" s="37" t="n">
        <v>87.58</v>
      </c>
      <c r="BQ286" s="37" t="n">
        <v>86.56</v>
      </c>
      <c r="BR286" s="37" t="n">
        <v>88.85000000000001</v>
      </c>
      <c r="BS286" s="37" t="n">
        <v>88.97</v>
      </c>
      <c r="BT286" s="37" t="n">
        <v>86.44</v>
      </c>
      <c r="BU286" s="37" t="n">
        <v>70</v>
      </c>
      <c r="BV286" s="37" t="n">
        <v>103.96</v>
      </c>
      <c r="BW286" s="37" t="n">
        <v>87.58</v>
      </c>
      <c r="BX286" s="37" t="n">
        <v>86.56</v>
      </c>
      <c r="BY286" s="37" t="n">
        <v>88.85000000000001</v>
      </c>
      <c r="BZ286" s="37" t="n">
        <v>88.97</v>
      </c>
      <c r="CA286" s="37" t="n">
        <v>86.44</v>
      </c>
      <c r="CB286" s="37" t="n">
        <v>70</v>
      </c>
      <c r="CC286" s="37" t="n">
        <v>6722.030000000002</v>
      </c>
    </row>
    <row r="287" ht="15.75" customHeight="1" s="57">
      <c r="A287" s="7" t="inlineStr">
        <is>
          <t>NTB</t>
        </is>
      </c>
      <c r="B287" s="7" t="inlineStr">
        <is>
          <t>Khánh Hòa</t>
        </is>
      </c>
      <c r="C287" s="7" t="n">
        <v>22774000</v>
      </c>
      <c r="D287" s="7" t="inlineStr">
        <is>
          <t>(KHO) Diên Khánh 1</t>
        </is>
      </c>
      <c r="E287" s="7" t="inlineStr">
        <is>
          <t>TTS-Bulky</t>
        </is>
      </c>
      <c r="F287" s="36" t="n">
        <v>0</v>
      </c>
      <c r="G287" s="36" t="n">
        <v>0</v>
      </c>
      <c r="H287" s="36" t="n">
        <v>4</v>
      </c>
      <c r="I287" s="36" t="n">
        <v>2</v>
      </c>
      <c r="J287" s="36" t="n">
        <v>3</v>
      </c>
      <c r="K287" s="28" t="n">
        <v>1</v>
      </c>
      <c r="L287" s="36" t="n">
        <v>1</v>
      </c>
      <c r="M287" s="36" t="n">
        <v>1</v>
      </c>
      <c r="N287" s="36" t="n">
        <v>0</v>
      </c>
      <c r="O287" s="36" t="n">
        <v>0</v>
      </c>
      <c r="P287" s="36" t="n">
        <v>2</v>
      </c>
      <c r="Q287" s="36" t="n">
        <v>1</v>
      </c>
      <c r="R287" s="28" t="n">
        <v>1</v>
      </c>
      <c r="S287" s="36" t="n">
        <v>0</v>
      </c>
      <c r="T287" s="36" t="n">
        <v>2</v>
      </c>
      <c r="U287" s="36" t="n">
        <v>5.17</v>
      </c>
      <c r="V287" s="36" t="n">
        <v>4.95</v>
      </c>
      <c r="W287" s="36" t="n">
        <v>2.49</v>
      </c>
      <c r="X287" s="36" t="n">
        <v>1.87</v>
      </c>
      <c r="Y287" s="28" t="n">
        <v>3.18</v>
      </c>
      <c r="Z287" s="36" t="n">
        <v>2.34</v>
      </c>
      <c r="AA287" s="36" t="n">
        <v>2.65</v>
      </c>
      <c r="AB287" s="36" t="n">
        <v>2.83</v>
      </c>
      <c r="AC287" s="36" t="n">
        <v>3.08</v>
      </c>
      <c r="AD287" s="36" t="n">
        <v>3.86</v>
      </c>
      <c r="AE287" s="36" t="n">
        <v>2.06</v>
      </c>
      <c r="AF287" s="28" t="n">
        <v>3.02</v>
      </c>
      <c r="AG287" s="36" t="n">
        <v>2.43</v>
      </c>
      <c r="AH287" s="37" t="n">
        <v>2.43</v>
      </c>
      <c r="AI287" s="37" t="n">
        <v>2.52</v>
      </c>
      <c r="AJ287" s="37" t="n">
        <v>2.77</v>
      </c>
      <c r="AK287" s="37" t="n">
        <v>2.68</v>
      </c>
      <c r="AL287" s="37" t="n">
        <v>1.9</v>
      </c>
      <c r="AM287" s="37" t="n">
        <v>2.99</v>
      </c>
      <c r="AN287" s="37" t="n">
        <v>2.49</v>
      </c>
      <c r="AO287" s="37" t="n">
        <v>2.43</v>
      </c>
      <c r="AP287" s="37" t="n">
        <v>2.46</v>
      </c>
      <c r="AQ287" s="37" t="n">
        <v>2.46</v>
      </c>
      <c r="AR287" s="37" t="n">
        <v>2.46</v>
      </c>
      <c r="AS287" s="37" t="n">
        <v>1.81</v>
      </c>
      <c r="AT287" s="37" t="n">
        <v>3.15</v>
      </c>
      <c r="AU287" s="37" t="n">
        <v>2.83</v>
      </c>
      <c r="AV287" s="37" t="n">
        <v>2.52</v>
      </c>
      <c r="AW287" s="37" t="n">
        <v>2.43</v>
      </c>
      <c r="AX287" s="37" t="n">
        <v>2.43</v>
      </c>
      <c r="AY287" s="37" t="n">
        <v>2.46</v>
      </c>
      <c r="AZ287" s="37" t="n">
        <v>1.81</v>
      </c>
      <c r="BA287" s="37" t="n">
        <v>2.77</v>
      </c>
      <c r="BB287" s="37" t="n">
        <v>0.65</v>
      </c>
      <c r="BC287" s="37" t="n">
        <v>0.4</v>
      </c>
      <c r="BD287" s="37" t="n">
        <v>0.47</v>
      </c>
      <c r="BE287" s="37" t="n">
        <v>0.65</v>
      </c>
      <c r="BF287" s="37" t="n">
        <v>0.6899999999999999</v>
      </c>
      <c r="BG287" s="37" t="n">
        <v>0.47</v>
      </c>
      <c r="BH287" s="37" t="n">
        <v>0.87</v>
      </c>
      <c r="BI287" s="37" t="n">
        <v>0.72</v>
      </c>
      <c r="BJ287" s="37" t="n">
        <v>0.9</v>
      </c>
      <c r="BK287" s="37" t="n">
        <v>0.6899999999999999</v>
      </c>
      <c r="BL287" s="37" t="n">
        <v>0.65</v>
      </c>
      <c r="BM287" s="37" t="n">
        <v>0.6899999999999999</v>
      </c>
      <c r="BN287" s="37" t="n">
        <v>0.47</v>
      </c>
      <c r="BO287" s="37" t="n">
        <v>1.06</v>
      </c>
      <c r="BP287" s="37" t="n">
        <v>0.8100000000000001</v>
      </c>
      <c r="BQ287" s="37" t="n">
        <v>0.6899999999999999</v>
      </c>
      <c r="BR287" s="37" t="n">
        <v>0.6899999999999999</v>
      </c>
      <c r="BS287" s="37" t="n">
        <v>0.65</v>
      </c>
      <c r="BT287" s="37" t="n">
        <v>0.6899999999999999</v>
      </c>
      <c r="BU287" s="37" t="n">
        <v>0.47</v>
      </c>
      <c r="BV287" s="37" t="n">
        <v>0.8100000000000001</v>
      </c>
      <c r="BW287" s="37" t="n">
        <v>0.72</v>
      </c>
      <c r="BX287" s="37" t="n">
        <v>0.6899999999999999</v>
      </c>
      <c r="BY287" s="37" t="n">
        <v>0.6899999999999999</v>
      </c>
      <c r="BZ287" s="37" t="n">
        <v>0.65</v>
      </c>
      <c r="CA287" s="37" t="n">
        <v>0.6899999999999999</v>
      </c>
      <c r="CB287" s="37" t="n">
        <v>0.47</v>
      </c>
      <c r="CC287" s="37" t="n">
        <v>125.83</v>
      </c>
    </row>
    <row r="288" ht="15.75" customHeight="1" s="57">
      <c r="A288" s="7" t="inlineStr">
        <is>
          <t>NTB</t>
        </is>
      </c>
      <c r="B288" s="7" t="inlineStr">
        <is>
          <t>Khánh Hòa</t>
        </is>
      </c>
      <c r="C288" s="7" t="n">
        <v>22793000</v>
      </c>
      <c r="D288" s="7" t="inlineStr">
        <is>
          <t>(KHO) Diên Thọ</t>
        </is>
      </c>
      <c r="E288" s="7" t="inlineStr">
        <is>
          <t>SME</t>
        </is>
      </c>
      <c r="F288" s="36" t="n">
        <v>177</v>
      </c>
      <c r="G288" s="36" t="n">
        <v>226</v>
      </c>
      <c r="H288" s="36" t="n">
        <v>201</v>
      </c>
      <c r="I288" s="36" t="n">
        <v>174</v>
      </c>
      <c r="J288" s="36" t="n">
        <v>166</v>
      </c>
      <c r="K288" s="28" t="n">
        <v>147</v>
      </c>
      <c r="L288" s="36" t="n">
        <v>173</v>
      </c>
      <c r="M288" s="36" t="n">
        <v>127</v>
      </c>
      <c r="N288" s="36" t="n">
        <v>178</v>
      </c>
      <c r="O288" s="36" t="n">
        <v>133</v>
      </c>
      <c r="P288" s="36" t="n">
        <v>153</v>
      </c>
      <c r="Q288" s="36" t="n">
        <v>150</v>
      </c>
      <c r="R288" s="28" t="n">
        <v>159</v>
      </c>
      <c r="S288" s="36" t="n">
        <v>176</v>
      </c>
      <c r="T288" s="36" t="n">
        <v>157</v>
      </c>
      <c r="U288" s="36" t="n">
        <v>194.84</v>
      </c>
      <c r="V288" s="36" t="n">
        <v>201.67</v>
      </c>
      <c r="W288" s="36" t="n">
        <v>196.14</v>
      </c>
      <c r="X288" s="36" t="n">
        <v>160.51</v>
      </c>
      <c r="Y288" s="28" t="n">
        <v>217.34</v>
      </c>
      <c r="Z288" s="36" t="n">
        <v>200.19</v>
      </c>
      <c r="AA288" s="36" t="n">
        <v>195.24</v>
      </c>
      <c r="AB288" s="36" t="n">
        <v>194.84</v>
      </c>
      <c r="AC288" s="36" t="n">
        <v>201.67</v>
      </c>
      <c r="AD288" s="36" t="n">
        <v>197.61</v>
      </c>
      <c r="AE288" s="36" t="n">
        <v>160.51</v>
      </c>
      <c r="AF288" s="28" t="n">
        <v>217.34</v>
      </c>
      <c r="AG288" s="36" t="n">
        <v>200.19</v>
      </c>
      <c r="AH288" s="37" t="n">
        <v>195.24</v>
      </c>
      <c r="AI288" s="37" t="n">
        <v>194.84</v>
      </c>
      <c r="AJ288" s="37" t="n">
        <v>201.67</v>
      </c>
      <c r="AK288" s="37" t="n">
        <v>196.14</v>
      </c>
      <c r="AL288" s="37" t="n">
        <v>160.51</v>
      </c>
      <c r="AM288" s="37" t="n">
        <v>217.34</v>
      </c>
      <c r="AN288" s="37" t="n">
        <v>200.19</v>
      </c>
      <c r="AO288" s="37" t="n">
        <v>195.24</v>
      </c>
      <c r="AP288" s="37" t="n">
        <v>194.84</v>
      </c>
      <c r="AQ288" s="37" t="n">
        <v>201.67</v>
      </c>
      <c r="AR288" s="37" t="n">
        <v>196.14</v>
      </c>
      <c r="AS288" s="37" t="n">
        <v>160.51</v>
      </c>
      <c r="AT288" s="37" t="n">
        <v>217.34</v>
      </c>
      <c r="AU288" s="37" t="n">
        <v>200.19</v>
      </c>
      <c r="AV288" s="37" t="n">
        <v>195.24</v>
      </c>
      <c r="AW288" s="37" t="n">
        <v>194.84</v>
      </c>
      <c r="AX288" s="37" t="n">
        <v>201.67</v>
      </c>
      <c r="AY288" s="37" t="n">
        <v>196.14</v>
      </c>
      <c r="AZ288" s="37" t="n">
        <v>160.51</v>
      </c>
      <c r="BA288" s="37" t="n">
        <v>195.6</v>
      </c>
      <c r="BB288" s="37" t="n">
        <v>175.57</v>
      </c>
      <c r="BC288" s="37" t="n">
        <v>110.96</v>
      </c>
      <c r="BD288" s="37" t="n">
        <v>110.53</v>
      </c>
      <c r="BE288" s="37" t="n">
        <v>187.35</v>
      </c>
      <c r="BF288" s="37" t="n">
        <v>182.24</v>
      </c>
      <c r="BG288" s="37" t="n">
        <v>165.41</v>
      </c>
      <c r="BH288" s="37" t="n">
        <v>224.32</v>
      </c>
      <c r="BI288" s="37" t="n">
        <v>206.55</v>
      </c>
      <c r="BJ288" s="37" t="n">
        <v>202.84</v>
      </c>
      <c r="BK288" s="37" t="n">
        <v>201.03</v>
      </c>
      <c r="BL288" s="37" t="n">
        <v>208.07</v>
      </c>
      <c r="BM288" s="37" t="n">
        <v>202.4</v>
      </c>
      <c r="BN288" s="37" t="n">
        <v>165.41</v>
      </c>
      <c r="BO288" s="37" t="n">
        <v>224.32</v>
      </c>
      <c r="BP288" s="37" t="n">
        <v>206.55</v>
      </c>
      <c r="BQ288" s="37" t="n">
        <v>201.41</v>
      </c>
      <c r="BR288" s="37" t="n">
        <v>201.03</v>
      </c>
      <c r="BS288" s="37" t="n">
        <v>208.07</v>
      </c>
      <c r="BT288" s="37" t="n">
        <v>202.4</v>
      </c>
      <c r="BU288" s="37" t="n">
        <v>165.41</v>
      </c>
      <c r="BV288" s="37" t="n">
        <v>224.32</v>
      </c>
      <c r="BW288" s="37" t="n">
        <v>206.55</v>
      </c>
      <c r="BX288" s="37" t="n">
        <v>201.41</v>
      </c>
      <c r="BY288" s="37" t="n">
        <v>201.03</v>
      </c>
      <c r="BZ288" s="37" t="n">
        <v>208.07</v>
      </c>
      <c r="CA288" s="37" t="n">
        <v>202.4</v>
      </c>
      <c r="CB288" s="37" t="n">
        <v>165.41</v>
      </c>
      <c r="CC288" s="37" t="n">
        <v>14072.01</v>
      </c>
    </row>
    <row r="289" ht="15.75" customHeight="1" s="57">
      <c r="A289" s="7" t="inlineStr">
        <is>
          <t>NTB</t>
        </is>
      </c>
      <c r="B289" s="7" t="inlineStr">
        <is>
          <t>Khánh Hòa</t>
        </is>
      </c>
      <c r="C289" s="7" t="n">
        <v>22793000</v>
      </c>
      <c r="D289" s="7" t="inlineStr">
        <is>
          <t>(KHO) Diên Thọ</t>
        </is>
      </c>
      <c r="E289" s="7" t="inlineStr">
        <is>
          <t>SME-Bulky</t>
        </is>
      </c>
      <c r="F289" s="36" t="n">
        <v>2</v>
      </c>
      <c r="G289" s="36" t="n">
        <v>9</v>
      </c>
      <c r="H289" s="36" t="n">
        <v>8</v>
      </c>
      <c r="I289" s="36" t="n">
        <v>6</v>
      </c>
      <c r="J289" s="36" t="n">
        <v>8</v>
      </c>
      <c r="K289" s="28" t="n">
        <v>3</v>
      </c>
      <c r="L289" s="36" t="n">
        <v>2</v>
      </c>
      <c r="M289" s="36" t="n">
        <v>8</v>
      </c>
      <c r="N289" s="36" t="n">
        <v>3</v>
      </c>
      <c r="O289" s="36" t="n">
        <v>5</v>
      </c>
      <c r="P289" s="36" t="n">
        <v>8</v>
      </c>
      <c r="Q289" s="36" t="n">
        <v>11</v>
      </c>
      <c r="R289" s="28" t="n">
        <v>8</v>
      </c>
      <c r="S289" s="36" t="n">
        <v>2</v>
      </c>
      <c r="T289" s="36" t="n">
        <v>6</v>
      </c>
      <c r="U289" s="36" t="n">
        <v>6.39</v>
      </c>
      <c r="V289" s="36" t="n">
        <v>6.47</v>
      </c>
      <c r="W289" s="36" t="n">
        <v>6.01</v>
      </c>
      <c r="X289" s="36" t="n">
        <v>4.01</v>
      </c>
      <c r="Y289" s="28" t="n">
        <v>7.33</v>
      </c>
      <c r="Z289" s="36" t="n">
        <v>7.07</v>
      </c>
      <c r="AA289" s="36" t="n">
        <v>6.72</v>
      </c>
      <c r="AB289" s="36" t="n">
        <v>6.39</v>
      </c>
      <c r="AC289" s="36" t="n">
        <v>6.47</v>
      </c>
      <c r="AD289" s="36" t="n">
        <v>5.68</v>
      </c>
      <c r="AE289" s="36" t="n">
        <v>4.01</v>
      </c>
      <c r="AF289" s="28" t="n">
        <v>7.33</v>
      </c>
      <c r="AG289" s="36" t="n">
        <v>7.07</v>
      </c>
      <c r="AH289" s="37" t="n">
        <v>6.72</v>
      </c>
      <c r="AI289" s="37" t="n">
        <v>6.39</v>
      </c>
      <c r="AJ289" s="37" t="n">
        <v>6.47</v>
      </c>
      <c r="AK289" s="37" t="n">
        <v>6.01</v>
      </c>
      <c r="AL289" s="37" t="n">
        <v>4.01</v>
      </c>
      <c r="AM289" s="37" t="n">
        <v>7.33</v>
      </c>
      <c r="AN289" s="37" t="n">
        <v>7.07</v>
      </c>
      <c r="AO289" s="37" t="n">
        <v>6.72</v>
      </c>
      <c r="AP289" s="37" t="n">
        <v>6.39</v>
      </c>
      <c r="AQ289" s="37" t="n">
        <v>6.47</v>
      </c>
      <c r="AR289" s="37" t="n">
        <v>6.01</v>
      </c>
      <c r="AS289" s="37" t="n">
        <v>4.01</v>
      </c>
      <c r="AT289" s="37" t="n">
        <v>7.33</v>
      </c>
      <c r="AU289" s="37" t="n">
        <v>7.07</v>
      </c>
      <c r="AV289" s="37" t="n">
        <v>6.72</v>
      </c>
      <c r="AW289" s="37" t="n">
        <v>6.39</v>
      </c>
      <c r="AX289" s="37" t="n">
        <v>6.47</v>
      </c>
      <c r="AY289" s="37" t="n">
        <v>6.01</v>
      </c>
      <c r="AZ289" s="37" t="n">
        <v>4.01</v>
      </c>
      <c r="BA289" s="37" t="n">
        <v>7.3</v>
      </c>
      <c r="BB289" s="37" t="n">
        <v>3.79</v>
      </c>
      <c r="BC289" s="37" t="n">
        <v>1.92</v>
      </c>
      <c r="BD289" s="37" t="n">
        <v>1.75</v>
      </c>
      <c r="BE289" s="37" t="n">
        <v>3.28</v>
      </c>
      <c r="BF289" s="37" t="n">
        <v>3.03</v>
      </c>
      <c r="BG289" s="37" t="n">
        <v>2.42</v>
      </c>
      <c r="BH289" s="37" t="n">
        <v>4.3</v>
      </c>
      <c r="BI289" s="37" t="n">
        <v>4.24</v>
      </c>
      <c r="BJ289" s="37" t="n">
        <v>3.69</v>
      </c>
      <c r="BK289" s="37" t="n">
        <v>3.79</v>
      </c>
      <c r="BL289" s="37" t="n">
        <v>3.87</v>
      </c>
      <c r="BM289" s="37" t="n">
        <v>3.53</v>
      </c>
      <c r="BN289" s="37" t="n">
        <v>2.42</v>
      </c>
      <c r="BO289" s="37" t="n">
        <v>4.3</v>
      </c>
      <c r="BP289" s="37" t="n">
        <v>4.24</v>
      </c>
      <c r="BQ289" s="37" t="n">
        <v>3.96</v>
      </c>
      <c r="BR289" s="37" t="n">
        <v>3.79</v>
      </c>
      <c r="BS289" s="37" t="n">
        <v>3.87</v>
      </c>
      <c r="BT289" s="37" t="n">
        <v>3.53</v>
      </c>
      <c r="BU289" s="37" t="n">
        <v>2.42</v>
      </c>
      <c r="BV289" s="37" t="n">
        <v>4.3</v>
      </c>
      <c r="BW289" s="37" t="n">
        <v>4.24</v>
      </c>
      <c r="BX289" s="37" t="n">
        <v>3.96</v>
      </c>
      <c r="BY289" s="37" t="n">
        <v>3.79</v>
      </c>
      <c r="BZ289" s="37" t="n">
        <v>3.87</v>
      </c>
      <c r="CA289" s="37" t="n">
        <v>3.53</v>
      </c>
      <c r="CB289" s="37" t="n">
        <v>2.42</v>
      </c>
      <c r="CC289" s="37" t="n">
        <v>389.1</v>
      </c>
    </row>
    <row r="290" ht="15.75" customHeight="1" s="57">
      <c r="A290" s="7" t="inlineStr">
        <is>
          <t>NTB</t>
        </is>
      </c>
      <c r="B290" s="7" t="inlineStr">
        <is>
          <t>Khánh Hòa</t>
        </is>
      </c>
      <c r="C290" s="7" t="n">
        <v>22793000</v>
      </c>
      <c r="D290" s="7" t="inlineStr">
        <is>
          <t>(KHO) Diên Thọ</t>
        </is>
      </c>
      <c r="E290" s="7" t="inlineStr">
        <is>
          <t>Shopee</t>
        </is>
      </c>
      <c r="F290" s="36" t="n">
        <v>98</v>
      </c>
      <c r="G290" s="36" t="n">
        <v>103</v>
      </c>
      <c r="H290" s="36" t="n">
        <v>104</v>
      </c>
      <c r="I290" s="36" t="n">
        <v>137</v>
      </c>
      <c r="J290" s="36" t="n">
        <v>109</v>
      </c>
      <c r="K290" s="28" t="n">
        <v>75</v>
      </c>
      <c r="L290" s="36" t="n">
        <v>69</v>
      </c>
      <c r="M290" s="36" t="n">
        <v>114</v>
      </c>
      <c r="N290" s="36" t="n">
        <v>126</v>
      </c>
      <c r="O290" s="36" t="n">
        <v>126</v>
      </c>
      <c r="P290" s="36" t="n">
        <v>94</v>
      </c>
      <c r="Q290" s="36" t="n">
        <v>92</v>
      </c>
      <c r="R290" s="28" t="n">
        <v>83</v>
      </c>
      <c r="S290" s="36" t="n">
        <v>78</v>
      </c>
      <c r="T290" s="36" t="n">
        <v>57</v>
      </c>
      <c r="U290" s="36" t="n">
        <v>163.67</v>
      </c>
      <c r="V290" s="36" t="n">
        <v>164.3</v>
      </c>
      <c r="W290" s="36" t="n">
        <v>161.95</v>
      </c>
      <c r="X290" s="36" t="n">
        <v>131.69</v>
      </c>
      <c r="Y290" s="28" t="n">
        <v>220.6</v>
      </c>
      <c r="Z290" s="36" t="n">
        <v>174.46</v>
      </c>
      <c r="AA290" s="36" t="n">
        <v>239.99</v>
      </c>
      <c r="AB290" s="36" t="n">
        <v>166.95</v>
      </c>
      <c r="AC290" s="36" t="n">
        <v>134.92</v>
      </c>
      <c r="AD290" s="36" t="n">
        <v>414.45</v>
      </c>
      <c r="AE290" s="36" t="n">
        <v>141.05</v>
      </c>
      <c r="AF290" s="28" t="n">
        <v>251.2</v>
      </c>
      <c r="AG290" s="36" t="n">
        <v>183.28</v>
      </c>
      <c r="AH290" s="37" t="n">
        <v>193.52</v>
      </c>
      <c r="AI290" s="37" t="n">
        <v>163.67</v>
      </c>
      <c r="AJ290" s="37" t="n">
        <v>164.3</v>
      </c>
      <c r="AK290" s="37" t="n">
        <v>218.5</v>
      </c>
      <c r="AL290" s="37" t="n">
        <v>236.34</v>
      </c>
      <c r="AM290" s="37" t="n">
        <v>220.6</v>
      </c>
      <c r="AN290" s="37" t="n">
        <v>174.46</v>
      </c>
      <c r="AO290" s="37" t="n">
        <v>193.52</v>
      </c>
      <c r="AP290" s="37" t="n">
        <v>204.18</v>
      </c>
      <c r="AQ290" s="37" t="n">
        <v>131.73</v>
      </c>
      <c r="AR290" s="37" t="n">
        <v>161.95</v>
      </c>
      <c r="AS290" s="37" t="n">
        <v>131.69</v>
      </c>
      <c r="AT290" s="37" t="n">
        <v>220.6</v>
      </c>
      <c r="AU290" s="37" t="n">
        <v>178.07</v>
      </c>
      <c r="AV290" s="37" t="n">
        <v>197.43</v>
      </c>
      <c r="AW290" s="37" t="n">
        <v>163.67</v>
      </c>
      <c r="AX290" s="37" t="n">
        <v>164.3</v>
      </c>
      <c r="AY290" s="37" t="n">
        <v>161.95</v>
      </c>
      <c r="AZ290" s="37" t="n">
        <v>131.69</v>
      </c>
      <c r="BA290" s="37" t="n">
        <v>169.89</v>
      </c>
      <c r="BB290" s="37" t="n">
        <v>148.1</v>
      </c>
      <c r="BC290" s="37" t="n">
        <v>75.44</v>
      </c>
      <c r="BD290" s="37" t="n">
        <v>134.08</v>
      </c>
      <c r="BE290" s="37" t="n">
        <v>156.54</v>
      </c>
      <c r="BF290" s="37" t="n">
        <v>154.31</v>
      </c>
      <c r="BG290" s="37" t="n">
        <v>128.03</v>
      </c>
      <c r="BH290" s="37" t="n">
        <v>210.19</v>
      </c>
      <c r="BI290" s="37" t="n">
        <v>136.72</v>
      </c>
      <c r="BJ290" s="37" t="n">
        <v>588.37</v>
      </c>
      <c r="BK290" s="37" t="n">
        <v>166.78</v>
      </c>
      <c r="BL290" s="37" t="n">
        <v>164.09</v>
      </c>
      <c r="BM290" s="37" t="n">
        <v>154.31</v>
      </c>
      <c r="BN290" s="37" t="n">
        <v>125.47</v>
      </c>
      <c r="BO290" s="37" t="n">
        <v>210.19</v>
      </c>
      <c r="BP290" s="37" t="n">
        <v>224.21</v>
      </c>
      <c r="BQ290" s="37" t="n">
        <v>331.17</v>
      </c>
      <c r="BR290" s="37" t="n">
        <v>155.91</v>
      </c>
      <c r="BS290" s="37" t="n">
        <v>156.54</v>
      </c>
      <c r="BT290" s="37" t="n">
        <v>154.31</v>
      </c>
      <c r="BU290" s="37" t="n">
        <v>156.62</v>
      </c>
      <c r="BV290" s="37" t="n">
        <v>168.21</v>
      </c>
      <c r="BW290" s="37" t="n">
        <v>166.15</v>
      </c>
      <c r="BX290" s="37" t="n">
        <v>184.33</v>
      </c>
      <c r="BY290" s="37" t="n">
        <v>155.91</v>
      </c>
      <c r="BZ290" s="37" t="n">
        <v>159.77</v>
      </c>
      <c r="CA290" s="37" t="n">
        <v>157.34</v>
      </c>
      <c r="CB290" s="37" t="n">
        <v>125.47</v>
      </c>
      <c r="CC290" s="37" t="n">
        <v>12444.13</v>
      </c>
    </row>
    <row r="291" ht="15.75" customHeight="1" s="57">
      <c r="A291" s="7" t="inlineStr">
        <is>
          <t>NTB</t>
        </is>
      </c>
      <c r="B291" s="7" t="inlineStr">
        <is>
          <t>Khánh Hòa</t>
        </is>
      </c>
      <c r="C291" s="7" t="n">
        <v>22793000</v>
      </c>
      <c r="D291" s="7" t="inlineStr">
        <is>
          <t>(KHO) Diên Thọ</t>
        </is>
      </c>
      <c r="E291" s="7" t="inlineStr">
        <is>
          <t>Shopee-Bulky</t>
        </is>
      </c>
      <c r="F291" s="36" t="n">
        <v>12.81</v>
      </c>
      <c r="G291" s="36" t="n">
        <v>12.17</v>
      </c>
      <c r="H291" s="36" t="n">
        <v>19.21</v>
      </c>
      <c r="I291" s="36" t="n">
        <v>14.73</v>
      </c>
      <c r="J291" s="36" t="n">
        <v>7.68</v>
      </c>
      <c r="K291" s="28" t="n">
        <v>5.12</v>
      </c>
      <c r="L291" s="36" t="n">
        <v>7.04</v>
      </c>
      <c r="M291" s="36" t="n">
        <v>9.609999999999999</v>
      </c>
      <c r="N291" s="36" t="n">
        <v>15.37</v>
      </c>
      <c r="O291" s="36" t="n">
        <v>7.68</v>
      </c>
      <c r="P291" s="36" t="n">
        <v>7.68</v>
      </c>
      <c r="Q291" s="36" t="n">
        <v>11.53</v>
      </c>
      <c r="R291" s="28" t="n">
        <v>20.49</v>
      </c>
      <c r="S291" s="36" t="n">
        <v>16.65</v>
      </c>
      <c r="T291" s="36" t="n">
        <v>9.609999999999999</v>
      </c>
      <c r="U291" s="36" t="n">
        <v>11.67</v>
      </c>
      <c r="V291" s="36" t="n">
        <v>11.31</v>
      </c>
      <c r="W291" s="36" t="n">
        <v>15.78</v>
      </c>
      <c r="X291" s="36" t="n">
        <v>8.710000000000001</v>
      </c>
      <c r="Y291" s="28" t="n">
        <v>17.22</v>
      </c>
      <c r="Z291" s="36" t="n">
        <v>13.42</v>
      </c>
      <c r="AA291" s="36" t="n">
        <v>13</v>
      </c>
      <c r="AB291" s="36" t="n">
        <v>13.27</v>
      </c>
      <c r="AC291" s="36" t="n">
        <v>14.05</v>
      </c>
      <c r="AD291" s="36" t="n">
        <v>39.05</v>
      </c>
      <c r="AE291" s="36" t="n">
        <v>22.36</v>
      </c>
      <c r="AF291" s="28" t="n">
        <v>33.93</v>
      </c>
      <c r="AG291" s="36" t="n">
        <v>19.18</v>
      </c>
      <c r="AH291" s="37" t="n">
        <v>13.31</v>
      </c>
      <c r="AI291" s="37" t="n">
        <v>13</v>
      </c>
      <c r="AJ291" s="37" t="n">
        <v>12.81</v>
      </c>
      <c r="AK291" s="37" t="n">
        <v>29.05</v>
      </c>
      <c r="AL291" s="37" t="n">
        <v>14.68</v>
      </c>
      <c r="AM291" s="37" t="n">
        <v>21.14</v>
      </c>
      <c r="AN291" s="37" t="n">
        <v>13.23</v>
      </c>
      <c r="AO291" s="37" t="n">
        <v>12.93</v>
      </c>
      <c r="AP291" s="37" t="n">
        <v>17.81</v>
      </c>
      <c r="AQ291" s="37" t="n">
        <v>17.51</v>
      </c>
      <c r="AR291" s="37" t="n">
        <v>14.31</v>
      </c>
      <c r="AS291" s="37" t="n">
        <v>7.66</v>
      </c>
      <c r="AT291" s="37" t="n">
        <v>15.74</v>
      </c>
      <c r="AU291" s="37" t="n">
        <v>25.78</v>
      </c>
      <c r="AV291" s="37" t="n">
        <v>26.82</v>
      </c>
      <c r="AW291" s="37" t="n">
        <v>13.08</v>
      </c>
      <c r="AX291" s="37" t="n">
        <v>12.28</v>
      </c>
      <c r="AY291" s="37" t="n">
        <v>13.69</v>
      </c>
      <c r="AZ291" s="37" t="n">
        <v>7.34</v>
      </c>
      <c r="BA291" s="37" t="n">
        <v>14.35</v>
      </c>
      <c r="BB291" s="37" t="n">
        <v>13.46</v>
      </c>
      <c r="BC291" s="37" t="n">
        <v>4.64</v>
      </c>
      <c r="BD291" s="37" t="n">
        <v>11.44</v>
      </c>
      <c r="BE291" s="37" t="n">
        <v>14.2</v>
      </c>
      <c r="BF291" s="37" t="n">
        <v>12.41</v>
      </c>
      <c r="BG291" s="37" t="n">
        <v>9.960000000000001</v>
      </c>
      <c r="BH291" s="37" t="n">
        <v>18.38</v>
      </c>
      <c r="BI291" s="37" t="n">
        <v>15.63</v>
      </c>
      <c r="BJ291" s="37" t="n">
        <v>61.74</v>
      </c>
      <c r="BK291" s="37" t="n">
        <v>33.36</v>
      </c>
      <c r="BL291" s="37" t="n">
        <v>17.15</v>
      </c>
      <c r="BM291" s="37" t="n">
        <v>12.98</v>
      </c>
      <c r="BN291" s="37" t="n">
        <v>9.710000000000001</v>
      </c>
      <c r="BO291" s="37" t="n">
        <v>21.52</v>
      </c>
      <c r="BP291" s="37" t="n">
        <v>31.16</v>
      </c>
      <c r="BQ291" s="37" t="n">
        <v>22.77</v>
      </c>
      <c r="BR291" s="37" t="n">
        <v>14.87</v>
      </c>
      <c r="BS291" s="37" t="n">
        <v>14.2</v>
      </c>
      <c r="BT291" s="37" t="n">
        <v>12.41</v>
      </c>
      <c r="BU291" s="37" t="n">
        <v>14.41</v>
      </c>
      <c r="BV291" s="37" t="n">
        <v>19.47</v>
      </c>
      <c r="BW291" s="37" t="n">
        <v>15.63</v>
      </c>
      <c r="BX291" s="37" t="n">
        <v>15.15</v>
      </c>
      <c r="BY291" s="37" t="n">
        <v>14.87</v>
      </c>
      <c r="BZ291" s="37" t="n">
        <v>25.47</v>
      </c>
      <c r="CA291" s="37" t="n">
        <v>14.77</v>
      </c>
      <c r="CB291" s="37" t="n">
        <v>9.43</v>
      </c>
      <c r="CC291" s="37" t="n">
        <v>1208.04</v>
      </c>
    </row>
    <row r="292" ht="15.75" customHeight="1" s="57">
      <c r="A292" s="7" t="inlineStr">
        <is>
          <t>NTB</t>
        </is>
      </c>
      <c r="B292" s="7" t="inlineStr">
        <is>
          <t>Khánh Hòa</t>
        </is>
      </c>
      <c r="C292" s="7" t="n">
        <v>22793000</v>
      </c>
      <c r="D292" s="7" t="inlineStr">
        <is>
          <t>(KHO) Diên Thọ</t>
        </is>
      </c>
      <c r="E292" s="7" t="inlineStr">
        <is>
          <t>Shopee-Bulky (10-15kg)</t>
        </is>
      </c>
      <c r="F292" s="36" t="n">
        <v>7.19</v>
      </c>
      <c r="G292" s="36" t="n">
        <v>6.83</v>
      </c>
      <c r="H292" s="36" t="n">
        <v>10.79</v>
      </c>
      <c r="I292" s="36" t="n">
        <v>8.27</v>
      </c>
      <c r="J292" s="36" t="n">
        <v>4.32</v>
      </c>
      <c r="K292" s="28" t="n">
        <v>2.88</v>
      </c>
      <c r="L292" s="36" t="n">
        <v>3.96</v>
      </c>
      <c r="M292" s="36" t="n">
        <v>5.39</v>
      </c>
      <c r="N292" s="36" t="n">
        <v>8.630000000000001</v>
      </c>
      <c r="O292" s="36" t="n">
        <v>4.32</v>
      </c>
      <c r="P292" s="36" t="n">
        <v>4.32</v>
      </c>
      <c r="Q292" s="36" t="n">
        <v>6.47</v>
      </c>
      <c r="R292" s="28" t="n">
        <v>11.51</v>
      </c>
      <c r="S292" s="36" t="n">
        <v>9.35</v>
      </c>
      <c r="T292" s="36" t="n">
        <v>5.39</v>
      </c>
      <c r="U292" s="36" t="n">
        <v>6.98</v>
      </c>
      <c r="V292" s="36" t="n">
        <v>6.69</v>
      </c>
      <c r="W292" s="36" t="n">
        <v>8.630000000000001</v>
      </c>
      <c r="X292" s="36" t="n">
        <v>4.85</v>
      </c>
      <c r="Y292" s="28" t="n">
        <v>9.83</v>
      </c>
      <c r="Z292" s="36" t="n">
        <v>7.68</v>
      </c>
      <c r="AA292" s="36" t="n">
        <v>7.24</v>
      </c>
      <c r="AB292" s="36" t="n">
        <v>7.57</v>
      </c>
      <c r="AC292" s="36" t="n">
        <v>7.85</v>
      </c>
      <c r="AD292" s="36" t="n">
        <v>29.26</v>
      </c>
      <c r="AE292" s="36" t="n">
        <v>12.15</v>
      </c>
      <c r="AF292" s="28" t="n">
        <v>17.93</v>
      </c>
      <c r="AG292" s="36" t="n">
        <v>10.7</v>
      </c>
      <c r="AH292" s="37" t="n">
        <v>7.57</v>
      </c>
      <c r="AI292" s="37" t="n">
        <v>7.32</v>
      </c>
      <c r="AJ292" s="37" t="n">
        <v>7.17</v>
      </c>
      <c r="AK292" s="37" t="n">
        <v>16.58</v>
      </c>
      <c r="AL292" s="37" t="n">
        <v>8.33</v>
      </c>
      <c r="AM292" s="37" t="n">
        <v>11.96</v>
      </c>
      <c r="AN292" s="37" t="n">
        <v>7.57</v>
      </c>
      <c r="AO292" s="37" t="n">
        <v>7.3</v>
      </c>
      <c r="AP292" s="37" t="n">
        <v>9.449999999999999</v>
      </c>
      <c r="AQ292" s="37" t="n">
        <v>9.94</v>
      </c>
      <c r="AR292" s="37" t="n">
        <v>7.74</v>
      </c>
      <c r="AS292" s="37" t="n">
        <v>4.26</v>
      </c>
      <c r="AT292" s="37" t="n">
        <v>8.9</v>
      </c>
      <c r="AU292" s="37" t="n">
        <v>14.73</v>
      </c>
      <c r="AV292" s="37" t="n">
        <v>15.28</v>
      </c>
      <c r="AW292" s="37" t="n">
        <v>7.41</v>
      </c>
      <c r="AX292" s="37" t="n">
        <v>6.92</v>
      </c>
      <c r="AY292" s="37" t="n">
        <v>7.45</v>
      </c>
      <c r="AZ292" s="37" t="n">
        <v>4.11</v>
      </c>
      <c r="BA292" s="37" t="n">
        <v>8.119999999999999</v>
      </c>
      <c r="BB292" s="37" t="n">
        <v>7.79</v>
      </c>
      <c r="BC292" s="37" t="n">
        <v>2.62</v>
      </c>
      <c r="BD292" s="37" t="n">
        <v>6.2</v>
      </c>
      <c r="BE292" s="37" t="n">
        <v>8</v>
      </c>
      <c r="BF292" s="37" t="n">
        <v>6.81</v>
      </c>
      <c r="BG292" s="37" t="n">
        <v>5.57</v>
      </c>
      <c r="BH292" s="37" t="n">
        <v>10.65</v>
      </c>
      <c r="BI292" s="37" t="n">
        <v>9.050000000000001</v>
      </c>
      <c r="BJ292" s="37" t="n">
        <v>40.13</v>
      </c>
      <c r="BK292" s="37" t="n">
        <v>18.71</v>
      </c>
      <c r="BL292" s="37" t="n">
        <v>9.960000000000001</v>
      </c>
      <c r="BM292" s="37" t="n">
        <v>7.24</v>
      </c>
      <c r="BN292" s="37" t="n">
        <v>5.46</v>
      </c>
      <c r="BO292" s="37" t="n">
        <v>11.98</v>
      </c>
      <c r="BP292" s="37" t="n">
        <v>17.47</v>
      </c>
      <c r="BQ292" s="37" t="n">
        <v>12.85</v>
      </c>
      <c r="BR292" s="37" t="n">
        <v>8.59</v>
      </c>
      <c r="BS292" s="37" t="n">
        <v>8</v>
      </c>
      <c r="BT292" s="37" t="n">
        <v>6.81</v>
      </c>
      <c r="BU292" s="37" t="n">
        <v>8.289999999999999</v>
      </c>
      <c r="BV292" s="37" t="n">
        <v>11.01</v>
      </c>
      <c r="BW292" s="37" t="n">
        <v>9.050000000000001</v>
      </c>
      <c r="BX292" s="37" t="n">
        <v>8.65</v>
      </c>
      <c r="BY292" s="37" t="n">
        <v>8.59</v>
      </c>
      <c r="BZ292" s="37" t="n">
        <v>14.18</v>
      </c>
      <c r="CA292" s="37" t="n">
        <v>8.460000000000001</v>
      </c>
      <c r="CB292" s="37" t="n">
        <v>5.34</v>
      </c>
      <c r="CC292" s="37" t="n">
        <v>692.55</v>
      </c>
    </row>
    <row r="293" ht="15.75" customHeight="1" s="57">
      <c r="A293" s="7" t="inlineStr">
        <is>
          <t>NTB</t>
        </is>
      </c>
      <c r="B293" s="7" t="inlineStr">
        <is>
          <t>Khánh Hòa</t>
        </is>
      </c>
      <c r="C293" s="7" t="n">
        <v>22793000</v>
      </c>
      <c r="D293" s="7" t="inlineStr">
        <is>
          <t>(KHO) Diên Thọ</t>
        </is>
      </c>
      <c r="E293" s="7" t="inlineStr">
        <is>
          <t>TTS</t>
        </is>
      </c>
      <c r="F293" s="36" t="n">
        <v>112</v>
      </c>
      <c r="G293" s="36" t="n">
        <v>128</v>
      </c>
      <c r="H293" s="36" t="n">
        <v>140</v>
      </c>
      <c r="I293" s="36" t="n">
        <v>113</v>
      </c>
      <c r="J293" s="36" t="n">
        <v>130</v>
      </c>
      <c r="K293" s="28" t="n">
        <v>107</v>
      </c>
      <c r="L293" s="36" t="n">
        <v>113</v>
      </c>
      <c r="M293" s="36" t="n">
        <v>98</v>
      </c>
      <c r="N293" s="36" t="n">
        <v>131</v>
      </c>
      <c r="O293" s="36" t="n">
        <v>105</v>
      </c>
      <c r="P293" s="36" t="n">
        <v>128</v>
      </c>
      <c r="Q293" s="36" t="n">
        <v>114</v>
      </c>
      <c r="R293" s="28" t="n">
        <v>101</v>
      </c>
      <c r="S293" s="36" t="n">
        <v>103</v>
      </c>
      <c r="T293" s="36" t="n">
        <v>97</v>
      </c>
      <c r="U293" s="36" t="n">
        <v>93.91</v>
      </c>
      <c r="V293" s="36" t="n">
        <v>92.17999999999999</v>
      </c>
      <c r="W293" s="36" t="n">
        <v>90.17</v>
      </c>
      <c r="X293" s="36" t="n">
        <v>72.64999999999999</v>
      </c>
      <c r="Y293" s="28" t="n">
        <v>105.92</v>
      </c>
      <c r="Z293" s="36" t="n">
        <v>89.78999999999999</v>
      </c>
      <c r="AA293" s="36" t="n">
        <v>99.88000000000001</v>
      </c>
      <c r="AB293" s="36" t="n">
        <v>110.98</v>
      </c>
      <c r="AC293" s="36" t="n">
        <v>117.03</v>
      </c>
      <c r="AD293" s="36" t="n">
        <v>128.7</v>
      </c>
      <c r="AE293" s="36" t="n">
        <v>84.52</v>
      </c>
      <c r="AF293" s="28" t="n">
        <v>109.07</v>
      </c>
      <c r="AG293" s="36" t="n">
        <v>91.83</v>
      </c>
      <c r="AH293" s="37" t="n">
        <v>90.86</v>
      </c>
      <c r="AI293" s="37" t="n">
        <v>103.87</v>
      </c>
      <c r="AJ293" s="37" t="n">
        <v>111.64</v>
      </c>
      <c r="AK293" s="37" t="n">
        <v>110.1</v>
      </c>
      <c r="AL293" s="37" t="n">
        <v>78.28</v>
      </c>
      <c r="AM293" s="37" t="n">
        <v>107.55</v>
      </c>
      <c r="AN293" s="37" t="n">
        <v>92.75999999999999</v>
      </c>
      <c r="AO293" s="37" t="n">
        <v>92.38</v>
      </c>
      <c r="AP293" s="37" t="n">
        <v>89.58</v>
      </c>
      <c r="AQ293" s="37" t="n">
        <v>90.38</v>
      </c>
      <c r="AR293" s="37" t="n">
        <v>88.78</v>
      </c>
      <c r="AS293" s="37" t="n">
        <v>72.89</v>
      </c>
      <c r="AT293" s="37" t="n">
        <v>116.59</v>
      </c>
      <c r="AU293" s="37" t="n">
        <v>105.47</v>
      </c>
      <c r="AV293" s="37" t="n">
        <v>93.7</v>
      </c>
      <c r="AW293" s="37" t="n">
        <v>88.53999999999999</v>
      </c>
      <c r="AX293" s="37" t="n">
        <v>88.05</v>
      </c>
      <c r="AY293" s="37" t="n">
        <v>87.64</v>
      </c>
      <c r="AZ293" s="37" t="n">
        <v>72.92999999999999</v>
      </c>
      <c r="BA293" s="37" t="n">
        <v>105.05</v>
      </c>
      <c r="BB293" s="37" t="n">
        <v>98.05000000000001</v>
      </c>
      <c r="BC293" s="37" t="n">
        <v>58.01</v>
      </c>
      <c r="BD293" s="37" t="n">
        <v>84.66</v>
      </c>
      <c r="BE293" s="37" t="n">
        <v>99.61</v>
      </c>
      <c r="BF293" s="37" t="n">
        <v>96.76000000000001</v>
      </c>
      <c r="BG293" s="37" t="n">
        <v>78.34999999999999</v>
      </c>
      <c r="BH293" s="37" t="n">
        <v>116.42</v>
      </c>
      <c r="BI293" s="37" t="n">
        <v>98.05000000000001</v>
      </c>
      <c r="BJ293" s="37" t="n">
        <v>97.90000000000001</v>
      </c>
      <c r="BK293" s="37" t="n">
        <v>99.47</v>
      </c>
      <c r="BL293" s="37" t="n">
        <v>99.61</v>
      </c>
      <c r="BM293" s="37" t="n">
        <v>96.76000000000001</v>
      </c>
      <c r="BN293" s="37" t="n">
        <v>78.34999999999999</v>
      </c>
      <c r="BO293" s="37" t="n">
        <v>116.42</v>
      </c>
      <c r="BP293" s="37" t="n">
        <v>98.05000000000001</v>
      </c>
      <c r="BQ293" s="37" t="n">
        <v>96.90000000000001</v>
      </c>
      <c r="BR293" s="37" t="n">
        <v>99.47</v>
      </c>
      <c r="BS293" s="37" t="n">
        <v>99.61</v>
      </c>
      <c r="BT293" s="37" t="n">
        <v>96.76000000000001</v>
      </c>
      <c r="BU293" s="37" t="n">
        <v>78.34999999999999</v>
      </c>
      <c r="BV293" s="37" t="n">
        <v>116.42</v>
      </c>
      <c r="BW293" s="37" t="n">
        <v>98.05000000000001</v>
      </c>
      <c r="BX293" s="37" t="n">
        <v>96.90000000000001</v>
      </c>
      <c r="BY293" s="37" t="n">
        <v>99.47</v>
      </c>
      <c r="BZ293" s="37" t="n">
        <v>99.61</v>
      </c>
      <c r="CA293" s="37" t="n">
        <v>96.76000000000001</v>
      </c>
      <c r="CB293" s="37" t="n">
        <v>78.34999999999999</v>
      </c>
      <c r="CC293" s="37" t="n">
        <v>7466.790000000004</v>
      </c>
    </row>
    <row r="294" ht="15.75" customHeight="1" s="57">
      <c r="A294" s="7" t="inlineStr">
        <is>
          <t>NTB</t>
        </is>
      </c>
      <c r="B294" s="7" t="inlineStr">
        <is>
          <t>Khánh Hòa</t>
        </is>
      </c>
      <c r="C294" s="7" t="n">
        <v>22793000</v>
      </c>
      <c r="D294" s="7" t="inlineStr">
        <is>
          <t>(KHO) Diên Thọ</t>
        </is>
      </c>
      <c r="E294" s="7" t="inlineStr">
        <is>
          <t>TTS-Bulky</t>
        </is>
      </c>
      <c r="F294" s="36" t="n">
        <v>0</v>
      </c>
      <c r="G294" s="36" t="n">
        <v>0</v>
      </c>
      <c r="H294" s="36" t="n">
        <v>0</v>
      </c>
      <c r="I294" s="36" t="n">
        <v>3</v>
      </c>
      <c r="J294" s="36" t="n">
        <v>1</v>
      </c>
      <c r="K294" s="28" t="n">
        <v>0</v>
      </c>
      <c r="L294" s="36" t="n">
        <v>1</v>
      </c>
      <c r="M294" s="36" t="n">
        <v>1</v>
      </c>
      <c r="N294" s="36" t="n">
        <v>1</v>
      </c>
      <c r="O294" s="36" t="n">
        <v>0</v>
      </c>
      <c r="P294" s="36" t="n">
        <v>1</v>
      </c>
      <c r="Q294" s="36" t="n">
        <v>0</v>
      </c>
      <c r="R294" s="28" t="n">
        <v>0</v>
      </c>
      <c r="S294" s="36" t="n">
        <v>0</v>
      </c>
      <c r="T294" s="36" t="n">
        <v>0</v>
      </c>
      <c r="U294" s="36" t="n">
        <v>2.3</v>
      </c>
      <c r="V294" s="36" t="n">
        <v>2.2</v>
      </c>
      <c r="W294" s="36" t="n">
        <v>1.11</v>
      </c>
      <c r="X294" s="36" t="n">
        <v>0.83</v>
      </c>
      <c r="Y294" s="28" t="n">
        <v>1.41</v>
      </c>
      <c r="Z294" s="36" t="n">
        <v>1.04</v>
      </c>
      <c r="AA294" s="36" t="n">
        <v>1.18</v>
      </c>
      <c r="AB294" s="36" t="n">
        <v>1.26</v>
      </c>
      <c r="AC294" s="36" t="n">
        <v>1.37</v>
      </c>
      <c r="AD294" s="36" t="n">
        <v>1.72</v>
      </c>
      <c r="AE294" s="36" t="n">
        <v>0.91</v>
      </c>
      <c r="AF294" s="28" t="n">
        <v>1.34</v>
      </c>
      <c r="AG294" s="36" t="n">
        <v>1.08</v>
      </c>
      <c r="AH294" s="37" t="n">
        <v>1.08</v>
      </c>
      <c r="AI294" s="37" t="n">
        <v>1.12</v>
      </c>
      <c r="AJ294" s="37" t="n">
        <v>1.23</v>
      </c>
      <c r="AK294" s="37" t="n">
        <v>1.19</v>
      </c>
      <c r="AL294" s="37" t="n">
        <v>0.84</v>
      </c>
      <c r="AM294" s="37" t="n">
        <v>1.33</v>
      </c>
      <c r="AN294" s="37" t="n">
        <v>1.11</v>
      </c>
      <c r="AO294" s="37" t="n">
        <v>1.08</v>
      </c>
      <c r="AP294" s="37" t="n">
        <v>1.09</v>
      </c>
      <c r="AQ294" s="37" t="n">
        <v>1.09</v>
      </c>
      <c r="AR294" s="37" t="n">
        <v>1.09</v>
      </c>
      <c r="AS294" s="37" t="n">
        <v>0.8</v>
      </c>
      <c r="AT294" s="37" t="n">
        <v>1.4</v>
      </c>
      <c r="AU294" s="37" t="n">
        <v>1.26</v>
      </c>
      <c r="AV294" s="37" t="n">
        <v>1.12</v>
      </c>
      <c r="AW294" s="37" t="n">
        <v>1.08</v>
      </c>
      <c r="AX294" s="37" t="n">
        <v>1.08</v>
      </c>
      <c r="AY294" s="37" t="n">
        <v>1.09</v>
      </c>
      <c r="AZ294" s="37" t="n">
        <v>0.8</v>
      </c>
      <c r="BA294" s="37" t="n">
        <v>1.23</v>
      </c>
      <c r="BB294" s="37" t="n">
        <v>0.29</v>
      </c>
      <c r="BC294" s="37" t="n">
        <v>0.18</v>
      </c>
      <c r="BD294" s="37" t="n">
        <v>0.21</v>
      </c>
      <c r="BE294" s="37" t="n">
        <v>0.29</v>
      </c>
      <c r="BF294" s="37" t="n">
        <v>0.3</v>
      </c>
      <c r="BG294" s="37" t="n">
        <v>0.21</v>
      </c>
      <c r="BH294" s="37" t="n">
        <v>0.39</v>
      </c>
      <c r="BI294" s="37" t="n">
        <v>0.32</v>
      </c>
      <c r="BJ294" s="37" t="n">
        <v>0.4</v>
      </c>
      <c r="BK294" s="37" t="n">
        <v>0.3</v>
      </c>
      <c r="BL294" s="37" t="n">
        <v>0.29</v>
      </c>
      <c r="BM294" s="37" t="n">
        <v>0.3</v>
      </c>
      <c r="BN294" s="37" t="n">
        <v>0.21</v>
      </c>
      <c r="BO294" s="37" t="n">
        <v>0.47</v>
      </c>
      <c r="BP294" s="37" t="n">
        <v>0.36</v>
      </c>
      <c r="BQ294" s="37" t="n">
        <v>0.3</v>
      </c>
      <c r="BR294" s="37" t="n">
        <v>0.3</v>
      </c>
      <c r="BS294" s="37" t="n">
        <v>0.29</v>
      </c>
      <c r="BT294" s="37" t="n">
        <v>0.3</v>
      </c>
      <c r="BU294" s="37" t="n">
        <v>0.21</v>
      </c>
      <c r="BV294" s="37" t="n">
        <v>0.36</v>
      </c>
      <c r="BW294" s="37" t="n">
        <v>0.32</v>
      </c>
      <c r="BX294" s="37" t="n">
        <v>0.3</v>
      </c>
      <c r="BY294" s="37" t="n">
        <v>0.3</v>
      </c>
      <c r="BZ294" s="37" t="n">
        <v>0.29</v>
      </c>
      <c r="CA294" s="37" t="n">
        <v>0.3</v>
      </c>
      <c r="CB294" s="37" t="n">
        <v>0.21</v>
      </c>
      <c r="CC294" s="37" t="n">
        <v>55.85999999999996</v>
      </c>
    </row>
    <row r="295" ht="15.75" customHeight="1" s="57">
      <c r="A295" s="7" t="inlineStr">
        <is>
          <t>NTB</t>
        </is>
      </c>
      <c r="B295" s="7" t="inlineStr">
        <is>
          <t>Khánh Hòa</t>
        </is>
      </c>
      <c r="C295" s="7" t="n">
        <v>22830000</v>
      </c>
      <c r="D295" s="7" t="inlineStr">
        <is>
          <t>(KHO) Cam Linh</t>
        </is>
      </c>
      <c r="E295" s="7" t="inlineStr">
        <is>
          <t>SME</t>
        </is>
      </c>
      <c r="F295" s="36" t="n">
        <v>573</v>
      </c>
      <c r="G295" s="36" t="n">
        <v>511</v>
      </c>
      <c r="H295" s="36" t="n">
        <v>643</v>
      </c>
      <c r="I295" s="36" t="n">
        <v>601</v>
      </c>
      <c r="J295" s="36" t="n">
        <v>619</v>
      </c>
      <c r="K295" s="28" t="n">
        <v>523</v>
      </c>
      <c r="L295" s="36" t="n">
        <v>553</v>
      </c>
      <c r="M295" s="36" t="n">
        <v>465</v>
      </c>
      <c r="N295" s="36" t="n">
        <v>396</v>
      </c>
      <c r="O295" s="36" t="n">
        <v>348</v>
      </c>
      <c r="P295" s="36" t="n">
        <v>356</v>
      </c>
      <c r="Q295" s="36" t="n">
        <v>331</v>
      </c>
      <c r="R295" s="28" t="n">
        <v>407</v>
      </c>
      <c r="S295" s="36" t="n">
        <v>363</v>
      </c>
      <c r="T295" s="36" t="n">
        <v>358</v>
      </c>
      <c r="U295" s="36" t="n">
        <v>449.07</v>
      </c>
      <c r="V295" s="36" t="n">
        <v>464.81</v>
      </c>
      <c r="W295" s="36" t="n">
        <v>452.06</v>
      </c>
      <c r="X295" s="36" t="n">
        <v>369.96</v>
      </c>
      <c r="Y295" s="28" t="n">
        <v>500.94</v>
      </c>
      <c r="Z295" s="36" t="n">
        <v>461.39</v>
      </c>
      <c r="AA295" s="36" t="n">
        <v>449.99</v>
      </c>
      <c r="AB295" s="36" t="n">
        <v>449.07</v>
      </c>
      <c r="AC295" s="36" t="n">
        <v>464.81</v>
      </c>
      <c r="AD295" s="36" t="n">
        <v>454.97</v>
      </c>
      <c r="AE295" s="36" t="n">
        <v>369.96</v>
      </c>
      <c r="AF295" s="28" t="n">
        <v>500.94</v>
      </c>
      <c r="AG295" s="36" t="n">
        <v>461.39</v>
      </c>
      <c r="AH295" s="37" t="n">
        <v>449.99</v>
      </c>
      <c r="AI295" s="37" t="n">
        <v>449.07</v>
      </c>
      <c r="AJ295" s="37" t="n">
        <v>464.81</v>
      </c>
      <c r="AK295" s="37" t="n">
        <v>452.06</v>
      </c>
      <c r="AL295" s="37" t="n">
        <v>369.96</v>
      </c>
      <c r="AM295" s="37" t="n">
        <v>500.94</v>
      </c>
      <c r="AN295" s="37" t="n">
        <v>461.39</v>
      </c>
      <c r="AO295" s="37" t="n">
        <v>449.99</v>
      </c>
      <c r="AP295" s="37" t="n">
        <v>449.07</v>
      </c>
      <c r="AQ295" s="37" t="n">
        <v>464.81</v>
      </c>
      <c r="AR295" s="37" t="n">
        <v>452.06</v>
      </c>
      <c r="AS295" s="37" t="n">
        <v>369.96</v>
      </c>
      <c r="AT295" s="37" t="n">
        <v>500.94</v>
      </c>
      <c r="AU295" s="37" t="n">
        <v>461.39</v>
      </c>
      <c r="AV295" s="37" t="n">
        <v>449.99</v>
      </c>
      <c r="AW295" s="37" t="n">
        <v>449.07</v>
      </c>
      <c r="AX295" s="37" t="n">
        <v>464.81</v>
      </c>
      <c r="AY295" s="37" t="n">
        <v>452.06</v>
      </c>
      <c r="AZ295" s="37" t="n">
        <v>369.96</v>
      </c>
      <c r="BA295" s="37" t="n">
        <v>450.82</v>
      </c>
      <c r="BB295" s="37" t="n">
        <v>404.67</v>
      </c>
      <c r="BC295" s="37" t="n">
        <v>255.77</v>
      </c>
      <c r="BD295" s="37" t="n">
        <v>254.77</v>
      </c>
      <c r="BE295" s="37" t="n">
        <v>431.82</v>
      </c>
      <c r="BF295" s="37" t="n">
        <v>420.07</v>
      </c>
      <c r="BG295" s="37" t="n">
        <v>381.26</v>
      </c>
      <c r="BH295" s="37" t="n">
        <v>517.0600000000001</v>
      </c>
      <c r="BI295" s="37" t="n">
        <v>476.09</v>
      </c>
      <c r="BJ295" s="37" t="n">
        <v>467.07</v>
      </c>
      <c r="BK295" s="37" t="n">
        <v>463.4</v>
      </c>
      <c r="BL295" s="37" t="n">
        <v>479.58</v>
      </c>
      <c r="BM295" s="37" t="n">
        <v>466.53</v>
      </c>
      <c r="BN295" s="37" t="n">
        <v>381.26</v>
      </c>
      <c r="BO295" s="37" t="n">
        <v>517.0600000000001</v>
      </c>
      <c r="BP295" s="37" t="n">
        <v>476.09</v>
      </c>
      <c r="BQ295" s="37" t="n">
        <v>464.24</v>
      </c>
      <c r="BR295" s="37" t="n">
        <v>463.4</v>
      </c>
      <c r="BS295" s="37" t="n">
        <v>479.58</v>
      </c>
      <c r="BT295" s="37" t="n">
        <v>466.53</v>
      </c>
      <c r="BU295" s="37" t="n">
        <v>381.26</v>
      </c>
      <c r="BV295" s="37" t="n">
        <v>517.0600000000001</v>
      </c>
      <c r="BW295" s="37" t="n">
        <v>476.09</v>
      </c>
      <c r="BX295" s="37" t="n">
        <v>464.24</v>
      </c>
      <c r="BY295" s="37" t="n">
        <v>463.4</v>
      </c>
      <c r="BZ295" s="37" t="n">
        <v>479.58</v>
      </c>
      <c r="CA295" s="37" t="n">
        <v>466.53</v>
      </c>
      <c r="CB295" s="37" t="n">
        <v>381.26</v>
      </c>
      <c r="CC295" s="37" t="n">
        <v>33725.18000000001</v>
      </c>
    </row>
    <row r="296" ht="15.75" customHeight="1" s="57">
      <c r="A296" s="7" t="inlineStr">
        <is>
          <t>NTB</t>
        </is>
      </c>
      <c r="B296" s="7" t="inlineStr">
        <is>
          <t>Khánh Hòa</t>
        </is>
      </c>
      <c r="C296" s="7" t="n">
        <v>22830000</v>
      </c>
      <c r="D296" s="7" t="inlineStr">
        <is>
          <t>(KHO) Cam Linh</t>
        </is>
      </c>
      <c r="E296" s="7" t="inlineStr">
        <is>
          <t>SME-Bulky</t>
        </is>
      </c>
      <c r="F296" s="36" t="n">
        <v>9</v>
      </c>
      <c r="G296" s="36" t="n">
        <v>13</v>
      </c>
      <c r="H296" s="36" t="n">
        <v>24</v>
      </c>
      <c r="I296" s="36" t="n">
        <v>17</v>
      </c>
      <c r="J296" s="36" t="n">
        <v>22</v>
      </c>
      <c r="K296" s="28" t="n">
        <v>20</v>
      </c>
      <c r="L296" s="36" t="n">
        <v>8</v>
      </c>
      <c r="M296" s="36" t="n">
        <v>7</v>
      </c>
      <c r="N296" s="36" t="n">
        <v>7</v>
      </c>
      <c r="O296" s="36" t="n">
        <v>13</v>
      </c>
      <c r="P296" s="36" t="n">
        <v>13</v>
      </c>
      <c r="Q296" s="36" t="n">
        <v>12</v>
      </c>
      <c r="R296" s="28" t="n">
        <v>16</v>
      </c>
      <c r="S296" s="36" t="n">
        <v>7</v>
      </c>
      <c r="T296" s="36" t="n">
        <v>13</v>
      </c>
      <c r="U296" s="36" t="n">
        <v>12.03</v>
      </c>
      <c r="V296" s="36" t="n">
        <v>12.19</v>
      </c>
      <c r="W296" s="36" t="n">
        <v>11.32</v>
      </c>
      <c r="X296" s="36" t="n">
        <v>7.55</v>
      </c>
      <c r="Y296" s="28" t="n">
        <v>13.81</v>
      </c>
      <c r="Z296" s="36" t="n">
        <v>13.31</v>
      </c>
      <c r="AA296" s="36" t="n">
        <v>12.66</v>
      </c>
      <c r="AB296" s="36" t="n">
        <v>12.03</v>
      </c>
      <c r="AC296" s="36" t="n">
        <v>12.19</v>
      </c>
      <c r="AD296" s="36" t="n">
        <v>10.69</v>
      </c>
      <c r="AE296" s="36" t="n">
        <v>7.55</v>
      </c>
      <c r="AF296" s="28" t="n">
        <v>13.81</v>
      </c>
      <c r="AG296" s="36" t="n">
        <v>13.31</v>
      </c>
      <c r="AH296" s="37" t="n">
        <v>12.66</v>
      </c>
      <c r="AI296" s="37" t="n">
        <v>12.03</v>
      </c>
      <c r="AJ296" s="37" t="n">
        <v>12.19</v>
      </c>
      <c r="AK296" s="37" t="n">
        <v>11.32</v>
      </c>
      <c r="AL296" s="37" t="n">
        <v>7.55</v>
      </c>
      <c r="AM296" s="37" t="n">
        <v>13.81</v>
      </c>
      <c r="AN296" s="37" t="n">
        <v>13.31</v>
      </c>
      <c r="AO296" s="37" t="n">
        <v>12.66</v>
      </c>
      <c r="AP296" s="37" t="n">
        <v>12.03</v>
      </c>
      <c r="AQ296" s="37" t="n">
        <v>12.19</v>
      </c>
      <c r="AR296" s="37" t="n">
        <v>11.32</v>
      </c>
      <c r="AS296" s="37" t="n">
        <v>7.55</v>
      </c>
      <c r="AT296" s="37" t="n">
        <v>13.81</v>
      </c>
      <c r="AU296" s="37" t="n">
        <v>13.31</v>
      </c>
      <c r="AV296" s="37" t="n">
        <v>12.66</v>
      </c>
      <c r="AW296" s="37" t="n">
        <v>12.03</v>
      </c>
      <c r="AX296" s="37" t="n">
        <v>12.19</v>
      </c>
      <c r="AY296" s="37" t="n">
        <v>11.32</v>
      </c>
      <c r="AZ296" s="37" t="n">
        <v>7.55</v>
      </c>
      <c r="BA296" s="37" t="n">
        <v>13.75</v>
      </c>
      <c r="BB296" s="37" t="n">
        <v>7.14</v>
      </c>
      <c r="BC296" s="37" t="n">
        <v>3.62</v>
      </c>
      <c r="BD296" s="37" t="n">
        <v>3.3</v>
      </c>
      <c r="BE296" s="37" t="n">
        <v>6.17</v>
      </c>
      <c r="BF296" s="37" t="n">
        <v>5.71</v>
      </c>
      <c r="BG296" s="37" t="n">
        <v>4.55</v>
      </c>
      <c r="BH296" s="37" t="n">
        <v>8.109999999999999</v>
      </c>
      <c r="BI296" s="37" t="n">
        <v>7.98</v>
      </c>
      <c r="BJ296" s="37" t="n">
        <v>6.95</v>
      </c>
      <c r="BK296" s="37" t="n">
        <v>7.14</v>
      </c>
      <c r="BL296" s="37" t="n">
        <v>7.3</v>
      </c>
      <c r="BM296" s="37" t="n">
        <v>6.64</v>
      </c>
      <c r="BN296" s="37" t="n">
        <v>4.55</v>
      </c>
      <c r="BO296" s="37" t="n">
        <v>8.109999999999999</v>
      </c>
      <c r="BP296" s="37" t="n">
        <v>7.98</v>
      </c>
      <c r="BQ296" s="37" t="n">
        <v>7.45</v>
      </c>
      <c r="BR296" s="37" t="n">
        <v>7.14</v>
      </c>
      <c r="BS296" s="37" t="n">
        <v>7.3</v>
      </c>
      <c r="BT296" s="37" t="n">
        <v>6.64</v>
      </c>
      <c r="BU296" s="37" t="n">
        <v>4.55</v>
      </c>
      <c r="BV296" s="37" t="n">
        <v>8.109999999999999</v>
      </c>
      <c r="BW296" s="37" t="n">
        <v>7.98</v>
      </c>
      <c r="BX296" s="37" t="n">
        <v>7.45</v>
      </c>
      <c r="BY296" s="37" t="n">
        <v>7.14</v>
      </c>
      <c r="BZ296" s="37" t="n">
        <v>7.3</v>
      </c>
      <c r="CA296" s="37" t="n">
        <v>6.64</v>
      </c>
      <c r="CB296" s="37" t="n">
        <v>4.55</v>
      </c>
      <c r="CC296" s="37" t="n">
        <v>766.1899999999997</v>
      </c>
    </row>
    <row r="297" ht="15.75" customHeight="1" s="57">
      <c r="A297" s="7" t="inlineStr">
        <is>
          <t>NTB</t>
        </is>
      </c>
      <c r="B297" s="7" t="inlineStr">
        <is>
          <t>Khánh Hòa</t>
        </is>
      </c>
      <c r="C297" s="7" t="n">
        <v>22830000</v>
      </c>
      <c r="D297" s="7" t="inlineStr">
        <is>
          <t>(KHO) Cam Linh</t>
        </is>
      </c>
      <c r="E297" s="7" t="inlineStr">
        <is>
          <t>Shopee</t>
        </is>
      </c>
      <c r="F297" s="36" t="n">
        <v>520</v>
      </c>
      <c r="G297" s="36" t="n">
        <v>452</v>
      </c>
      <c r="H297" s="36" t="n">
        <v>438</v>
      </c>
      <c r="I297" s="36" t="n">
        <v>454</v>
      </c>
      <c r="J297" s="36" t="n">
        <v>465</v>
      </c>
      <c r="K297" s="28" t="n">
        <v>355</v>
      </c>
      <c r="L297" s="36" t="n">
        <v>164</v>
      </c>
      <c r="M297" s="36" t="n">
        <v>81</v>
      </c>
      <c r="N297" s="36" t="n">
        <v>61</v>
      </c>
      <c r="O297" s="36" t="n">
        <v>39</v>
      </c>
      <c r="P297" s="36" t="n">
        <v>21</v>
      </c>
      <c r="Q297" s="36" t="n">
        <v>22</v>
      </c>
      <c r="R297" s="28" t="n">
        <v>66</v>
      </c>
      <c r="S297" s="36" t="n">
        <v>94</v>
      </c>
      <c r="T297" s="36" t="n">
        <v>182</v>
      </c>
      <c r="U297" s="36" t="n">
        <v>119.26</v>
      </c>
      <c r="V297" s="36" t="n">
        <v>119.72</v>
      </c>
      <c r="W297" s="36" t="n">
        <v>118.01</v>
      </c>
      <c r="X297" s="36" t="n">
        <v>95.95</v>
      </c>
      <c r="Y297" s="28" t="n">
        <v>160.74</v>
      </c>
      <c r="Z297" s="36" t="n">
        <v>127.12</v>
      </c>
      <c r="AA297" s="36" t="n">
        <v>174.87</v>
      </c>
      <c r="AB297" s="36" t="n">
        <v>121.65</v>
      </c>
      <c r="AC297" s="36" t="n">
        <v>98.31</v>
      </c>
      <c r="AD297" s="36" t="n">
        <v>302</v>
      </c>
      <c r="AE297" s="36" t="n">
        <v>102.78</v>
      </c>
      <c r="AF297" s="28" t="n">
        <v>183.04</v>
      </c>
      <c r="AG297" s="36" t="n">
        <v>133.55</v>
      </c>
      <c r="AH297" s="37" t="n">
        <v>141.01</v>
      </c>
      <c r="AI297" s="37" t="n">
        <v>119.26</v>
      </c>
      <c r="AJ297" s="37" t="n">
        <v>119.72</v>
      </c>
      <c r="AK297" s="37" t="n">
        <v>159.21</v>
      </c>
      <c r="AL297" s="37" t="n">
        <v>172.21</v>
      </c>
      <c r="AM297" s="37" t="n">
        <v>160.74</v>
      </c>
      <c r="AN297" s="37" t="n">
        <v>127.12</v>
      </c>
      <c r="AO297" s="37" t="n">
        <v>141.01</v>
      </c>
      <c r="AP297" s="37" t="n">
        <v>148.78</v>
      </c>
      <c r="AQ297" s="37" t="n">
        <v>95.98999999999999</v>
      </c>
      <c r="AR297" s="37" t="n">
        <v>118.01</v>
      </c>
      <c r="AS297" s="37" t="n">
        <v>95.95</v>
      </c>
      <c r="AT297" s="37" t="n">
        <v>160.74</v>
      </c>
      <c r="AU297" s="37" t="n">
        <v>129.75</v>
      </c>
      <c r="AV297" s="37" t="n">
        <v>143.86</v>
      </c>
      <c r="AW297" s="37" t="n">
        <v>119.26</v>
      </c>
      <c r="AX297" s="37" t="n">
        <v>119.72</v>
      </c>
      <c r="AY297" s="37" t="n">
        <v>118.01</v>
      </c>
      <c r="AZ297" s="37" t="n">
        <v>95.95</v>
      </c>
      <c r="BA297" s="37" t="n">
        <v>123.79</v>
      </c>
      <c r="BB297" s="37" t="n">
        <v>107.91</v>
      </c>
      <c r="BC297" s="37" t="n">
        <v>54.97</v>
      </c>
      <c r="BD297" s="37" t="n">
        <v>97.7</v>
      </c>
      <c r="BE297" s="37" t="n">
        <v>114.06</v>
      </c>
      <c r="BF297" s="37" t="n">
        <v>112.44</v>
      </c>
      <c r="BG297" s="37" t="n">
        <v>93.29000000000001</v>
      </c>
      <c r="BH297" s="37" t="n">
        <v>153.15</v>
      </c>
      <c r="BI297" s="37" t="n">
        <v>99.63</v>
      </c>
      <c r="BJ297" s="37" t="n">
        <v>428.72</v>
      </c>
      <c r="BK297" s="37" t="n">
        <v>121.53</v>
      </c>
      <c r="BL297" s="37" t="n">
        <v>119.57</v>
      </c>
      <c r="BM297" s="37" t="n">
        <v>112.44</v>
      </c>
      <c r="BN297" s="37" t="n">
        <v>91.43000000000001</v>
      </c>
      <c r="BO297" s="37" t="n">
        <v>153.15</v>
      </c>
      <c r="BP297" s="37" t="n">
        <v>163.37</v>
      </c>
      <c r="BQ297" s="37" t="n">
        <v>241.31</v>
      </c>
      <c r="BR297" s="37" t="n">
        <v>113.6</v>
      </c>
      <c r="BS297" s="37" t="n">
        <v>114.06</v>
      </c>
      <c r="BT297" s="37" t="n">
        <v>112.44</v>
      </c>
      <c r="BU297" s="37" t="n">
        <v>114.12</v>
      </c>
      <c r="BV297" s="37" t="n">
        <v>122.57</v>
      </c>
      <c r="BW297" s="37" t="n">
        <v>121.07</v>
      </c>
      <c r="BX297" s="37" t="n">
        <v>134.31</v>
      </c>
      <c r="BY297" s="37" t="n">
        <v>113.6</v>
      </c>
      <c r="BZ297" s="37" t="n">
        <v>116.42</v>
      </c>
      <c r="CA297" s="37" t="n">
        <v>114.64</v>
      </c>
      <c r="CB297" s="37" t="n">
        <v>91.43000000000001</v>
      </c>
      <c r="CC297" s="37" t="n">
        <v>11414.02</v>
      </c>
    </row>
    <row r="298" ht="15.75" customHeight="1" s="57">
      <c r="A298" s="7" t="inlineStr">
        <is>
          <t>NTB</t>
        </is>
      </c>
      <c r="B298" s="7" t="inlineStr">
        <is>
          <t>Khánh Hòa</t>
        </is>
      </c>
      <c r="C298" s="7" t="n">
        <v>22830000</v>
      </c>
      <c r="D298" s="7" t="inlineStr">
        <is>
          <t>(KHO) Cam Linh</t>
        </is>
      </c>
      <c r="E298" s="7" t="inlineStr">
        <is>
          <t>Shopee-Bulky</t>
        </is>
      </c>
      <c r="F298" s="36" t="n">
        <v>17.29</v>
      </c>
      <c r="G298" s="36" t="n">
        <v>25.62</v>
      </c>
      <c r="H298" s="36" t="n">
        <v>37.15</v>
      </c>
      <c r="I298" s="36" t="n">
        <v>43.55</v>
      </c>
      <c r="J298" s="36" t="n">
        <v>26.26</v>
      </c>
      <c r="K298" s="28" t="n">
        <v>16.65</v>
      </c>
      <c r="L298" s="36" t="n">
        <v>14.73</v>
      </c>
      <c r="M298" s="36" t="n">
        <v>34.58</v>
      </c>
      <c r="N298" s="36" t="n">
        <v>20.49</v>
      </c>
      <c r="O298" s="36" t="n">
        <v>23.06</v>
      </c>
      <c r="P298" s="36" t="n">
        <v>17.29</v>
      </c>
      <c r="Q298" s="36" t="n">
        <v>18.57</v>
      </c>
      <c r="R298" s="28" t="n">
        <v>34.58</v>
      </c>
      <c r="S298" s="36" t="n">
        <v>17.29</v>
      </c>
      <c r="T298" s="36" t="n">
        <v>14.73</v>
      </c>
      <c r="U298" s="36" t="n">
        <v>19.05</v>
      </c>
      <c r="V298" s="36" t="n">
        <v>18.47</v>
      </c>
      <c r="W298" s="36" t="n">
        <v>25.77</v>
      </c>
      <c r="X298" s="36" t="n">
        <v>14.23</v>
      </c>
      <c r="Y298" s="28" t="n">
        <v>28.12</v>
      </c>
      <c r="Z298" s="36" t="n">
        <v>21.91</v>
      </c>
      <c r="AA298" s="36" t="n">
        <v>21.23</v>
      </c>
      <c r="AB298" s="36" t="n">
        <v>21.67</v>
      </c>
      <c r="AC298" s="36" t="n">
        <v>22.95</v>
      </c>
      <c r="AD298" s="36" t="n">
        <v>63.78</v>
      </c>
      <c r="AE298" s="36" t="n">
        <v>36.52</v>
      </c>
      <c r="AF298" s="28" t="n">
        <v>55.41</v>
      </c>
      <c r="AG298" s="36" t="n">
        <v>31.32</v>
      </c>
      <c r="AH298" s="37" t="n">
        <v>21.74</v>
      </c>
      <c r="AI298" s="37" t="n">
        <v>21.23</v>
      </c>
      <c r="AJ298" s="37" t="n">
        <v>20.92</v>
      </c>
      <c r="AK298" s="37" t="n">
        <v>47.45</v>
      </c>
      <c r="AL298" s="37" t="n">
        <v>23.98</v>
      </c>
      <c r="AM298" s="37" t="n">
        <v>34.53</v>
      </c>
      <c r="AN298" s="37" t="n">
        <v>21.6</v>
      </c>
      <c r="AO298" s="37" t="n">
        <v>21.12</v>
      </c>
      <c r="AP298" s="37" t="n">
        <v>29.08</v>
      </c>
      <c r="AQ298" s="37" t="n">
        <v>28.6</v>
      </c>
      <c r="AR298" s="37" t="n">
        <v>23.36</v>
      </c>
      <c r="AS298" s="37" t="n">
        <v>12.51</v>
      </c>
      <c r="AT298" s="37" t="n">
        <v>25.7</v>
      </c>
      <c r="AU298" s="37" t="n">
        <v>42.11</v>
      </c>
      <c r="AV298" s="37" t="n">
        <v>43.79</v>
      </c>
      <c r="AW298" s="37" t="n">
        <v>21.36</v>
      </c>
      <c r="AX298" s="37" t="n">
        <v>20.05</v>
      </c>
      <c r="AY298" s="37" t="n">
        <v>22.36</v>
      </c>
      <c r="AZ298" s="37" t="n">
        <v>11.99</v>
      </c>
      <c r="BA298" s="37" t="n">
        <v>23.43</v>
      </c>
      <c r="BB298" s="37" t="n">
        <v>21.98</v>
      </c>
      <c r="BC298" s="37" t="n">
        <v>7.58</v>
      </c>
      <c r="BD298" s="37" t="n">
        <v>18.68</v>
      </c>
      <c r="BE298" s="37" t="n">
        <v>23.19</v>
      </c>
      <c r="BF298" s="37" t="n">
        <v>20.26</v>
      </c>
      <c r="BG298" s="37" t="n">
        <v>16.26</v>
      </c>
      <c r="BH298" s="37" t="n">
        <v>30.01</v>
      </c>
      <c r="BI298" s="37" t="n">
        <v>25.53</v>
      </c>
      <c r="BJ298" s="37" t="n">
        <v>100.82</v>
      </c>
      <c r="BK298" s="37" t="n">
        <v>54.48</v>
      </c>
      <c r="BL298" s="37" t="n">
        <v>28.01</v>
      </c>
      <c r="BM298" s="37" t="n">
        <v>21.19</v>
      </c>
      <c r="BN298" s="37" t="n">
        <v>15.85</v>
      </c>
      <c r="BO298" s="37" t="n">
        <v>35.15</v>
      </c>
      <c r="BP298" s="37" t="n">
        <v>50.89</v>
      </c>
      <c r="BQ298" s="37" t="n">
        <v>37.18</v>
      </c>
      <c r="BR298" s="37" t="n">
        <v>24.29</v>
      </c>
      <c r="BS298" s="37" t="n">
        <v>23.19</v>
      </c>
      <c r="BT298" s="37" t="n">
        <v>20.26</v>
      </c>
      <c r="BU298" s="37" t="n">
        <v>23.53</v>
      </c>
      <c r="BV298" s="37" t="n">
        <v>31.8</v>
      </c>
      <c r="BW298" s="37" t="n">
        <v>25.53</v>
      </c>
      <c r="BX298" s="37" t="n">
        <v>24.74</v>
      </c>
      <c r="BY298" s="37" t="n">
        <v>24.29</v>
      </c>
      <c r="BZ298" s="37" t="n">
        <v>41.59</v>
      </c>
      <c r="CA298" s="37" t="n">
        <v>24.12</v>
      </c>
      <c r="CB298" s="37" t="n">
        <v>15.4</v>
      </c>
      <c r="CC298" s="37" t="n">
        <v>2044.98</v>
      </c>
    </row>
    <row r="299" ht="15.75" customHeight="1" s="57">
      <c r="A299" s="7" t="inlineStr">
        <is>
          <t>NTB</t>
        </is>
      </c>
      <c r="B299" s="7" t="inlineStr">
        <is>
          <t>Khánh Hòa</t>
        </is>
      </c>
      <c r="C299" s="7" t="n">
        <v>22830000</v>
      </c>
      <c r="D299" s="7" t="inlineStr">
        <is>
          <t>(KHO) Cam Linh</t>
        </is>
      </c>
      <c r="E299" s="7" t="inlineStr">
        <is>
          <t>Shopee-Bulky (10-15kg)</t>
        </is>
      </c>
      <c r="F299" s="36" t="n">
        <v>9.710000000000001</v>
      </c>
      <c r="G299" s="36" t="n">
        <v>14.38</v>
      </c>
      <c r="H299" s="36" t="n">
        <v>20.85</v>
      </c>
      <c r="I299" s="36" t="n">
        <v>24.45</v>
      </c>
      <c r="J299" s="36" t="n">
        <v>14.74</v>
      </c>
      <c r="K299" s="28" t="n">
        <v>9.35</v>
      </c>
      <c r="L299" s="36" t="n">
        <v>8.27</v>
      </c>
      <c r="M299" s="36" t="n">
        <v>19.42</v>
      </c>
      <c r="N299" s="36" t="n">
        <v>11.51</v>
      </c>
      <c r="O299" s="36" t="n">
        <v>12.94</v>
      </c>
      <c r="P299" s="36" t="n">
        <v>9.710000000000001</v>
      </c>
      <c r="Q299" s="36" t="n">
        <v>10.43</v>
      </c>
      <c r="R299" s="28" t="n">
        <v>19.42</v>
      </c>
      <c r="S299" s="36" t="n">
        <v>9.710000000000001</v>
      </c>
      <c r="T299" s="36" t="n">
        <v>8.27</v>
      </c>
      <c r="U299" s="36" t="n">
        <v>11.41</v>
      </c>
      <c r="V299" s="36" t="n">
        <v>10.92</v>
      </c>
      <c r="W299" s="36" t="n">
        <v>14.09</v>
      </c>
      <c r="X299" s="36" t="n">
        <v>7.93</v>
      </c>
      <c r="Y299" s="28" t="n">
        <v>16.06</v>
      </c>
      <c r="Z299" s="36" t="n">
        <v>12.54</v>
      </c>
      <c r="AA299" s="36" t="n">
        <v>11.82</v>
      </c>
      <c r="AB299" s="36" t="n">
        <v>12.37</v>
      </c>
      <c r="AC299" s="36" t="n">
        <v>12.82</v>
      </c>
      <c r="AD299" s="36" t="n">
        <v>47.79</v>
      </c>
      <c r="AE299" s="36" t="n">
        <v>19.85</v>
      </c>
      <c r="AF299" s="28" t="n">
        <v>29.29</v>
      </c>
      <c r="AG299" s="36" t="n">
        <v>17.47</v>
      </c>
      <c r="AH299" s="37" t="n">
        <v>12.37</v>
      </c>
      <c r="AI299" s="37" t="n">
        <v>11.96</v>
      </c>
      <c r="AJ299" s="37" t="n">
        <v>11.72</v>
      </c>
      <c r="AK299" s="37" t="n">
        <v>27.08</v>
      </c>
      <c r="AL299" s="37" t="n">
        <v>13.61</v>
      </c>
      <c r="AM299" s="37" t="n">
        <v>19.54</v>
      </c>
      <c r="AN299" s="37" t="n">
        <v>12.37</v>
      </c>
      <c r="AO299" s="37" t="n">
        <v>11.92</v>
      </c>
      <c r="AP299" s="37" t="n">
        <v>15.44</v>
      </c>
      <c r="AQ299" s="37" t="n">
        <v>16.23</v>
      </c>
      <c r="AR299" s="37" t="n">
        <v>12.65</v>
      </c>
      <c r="AS299" s="37" t="n">
        <v>6.96</v>
      </c>
      <c r="AT299" s="37" t="n">
        <v>14.54</v>
      </c>
      <c r="AU299" s="37" t="n">
        <v>24.05</v>
      </c>
      <c r="AV299" s="37" t="n">
        <v>24.95</v>
      </c>
      <c r="AW299" s="37" t="n">
        <v>12.09</v>
      </c>
      <c r="AX299" s="37" t="n">
        <v>11.3</v>
      </c>
      <c r="AY299" s="37" t="n">
        <v>12.16</v>
      </c>
      <c r="AZ299" s="37" t="n">
        <v>6.72</v>
      </c>
      <c r="BA299" s="37" t="n">
        <v>13.27</v>
      </c>
      <c r="BB299" s="37" t="n">
        <v>12.71</v>
      </c>
      <c r="BC299" s="37" t="n">
        <v>4.27</v>
      </c>
      <c r="BD299" s="37" t="n">
        <v>10.13</v>
      </c>
      <c r="BE299" s="37" t="n">
        <v>13.06</v>
      </c>
      <c r="BF299" s="37" t="n">
        <v>11.13</v>
      </c>
      <c r="BG299" s="37" t="n">
        <v>9.1</v>
      </c>
      <c r="BH299" s="37" t="n">
        <v>17.4</v>
      </c>
      <c r="BI299" s="37" t="n">
        <v>14.78</v>
      </c>
      <c r="BJ299" s="37" t="n">
        <v>65.54000000000001</v>
      </c>
      <c r="BK299" s="37" t="n">
        <v>30.56</v>
      </c>
      <c r="BL299" s="37" t="n">
        <v>16.26</v>
      </c>
      <c r="BM299" s="37" t="n">
        <v>11.82</v>
      </c>
      <c r="BN299" s="37" t="n">
        <v>8.92</v>
      </c>
      <c r="BO299" s="37" t="n">
        <v>19.57</v>
      </c>
      <c r="BP299" s="37" t="n">
        <v>28.53</v>
      </c>
      <c r="BQ299" s="37" t="n">
        <v>20.98</v>
      </c>
      <c r="BR299" s="37" t="n">
        <v>14.02</v>
      </c>
      <c r="BS299" s="37" t="n">
        <v>13.06</v>
      </c>
      <c r="BT299" s="37" t="n">
        <v>11.13</v>
      </c>
      <c r="BU299" s="37" t="n">
        <v>13.54</v>
      </c>
      <c r="BV299" s="37" t="n">
        <v>17.99</v>
      </c>
      <c r="BW299" s="37" t="n">
        <v>14.78</v>
      </c>
      <c r="BX299" s="37" t="n">
        <v>14.13</v>
      </c>
      <c r="BY299" s="37" t="n">
        <v>14.02</v>
      </c>
      <c r="BZ299" s="37" t="n">
        <v>23.15</v>
      </c>
      <c r="CA299" s="37" t="n">
        <v>13.82</v>
      </c>
      <c r="CB299" s="37" t="n">
        <v>8.720000000000001</v>
      </c>
      <c r="CC299" s="37" t="n">
        <v>1171.57</v>
      </c>
    </row>
    <row r="300" ht="15.75" customHeight="1" s="57">
      <c r="A300" s="7" t="inlineStr">
        <is>
          <t>NTB</t>
        </is>
      </c>
      <c r="B300" s="7" t="inlineStr">
        <is>
          <t>Khánh Hòa</t>
        </is>
      </c>
      <c r="C300" s="7" t="n">
        <v>22830000</v>
      </c>
      <c r="D300" s="7" t="inlineStr">
        <is>
          <t>(KHO) Cam Linh</t>
        </is>
      </c>
      <c r="E300" s="7" t="inlineStr">
        <is>
          <t>TTS</t>
        </is>
      </c>
      <c r="F300" s="36" t="n">
        <v>313</v>
      </c>
      <c r="G300" s="36" t="n">
        <v>306</v>
      </c>
      <c r="H300" s="36" t="n">
        <v>357</v>
      </c>
      <c r="I300" s="36" t="n">
        <v>302</v>
      </c>
      <c r="J300" s="36" t="n">
        <v>316</v>
      </c>
      <c r="K300" s="28" t="n">
        <v>299</v>
      </c>
      <c r="L300" s="36" t="n">
        <v>288</v>
      </c>
      <c r="M300" s="36" t="n">
        <v>265</v>
      </c>
      <c r="N300" s="36" t="n">
        <v>254</v>
      </c>
      <c r="O300" s="36" t="n">
        <v>237</v>
      </c>
      <c r="P300" s="36" t="n">
        <v>233</v>
      </c>
      <c r="Q300" s="36" t="n">
        <v>200</v>
      </c>
      <c r="R300" s="28" t="n">
        <v>240</v>
      </c>
      <c r="S300" s="36" t="n">
        <v>180</v>
      </c>
      <c r="T300" s="36" t="n">
        <v>200</v>
      </c>
      <c r="U300" s="36" t="n">
        <v>186.48</v>
      </c>
      <c r="V300" s="36" t="n">
        <v>183.02</v>
      </c>
      <c r="W300" s="36" t="n">
        <v>179.03</v>
      </c>
      <c r="X300" s="36" t="n">
        <v>144.28</v>
      </c>
      <c r="Y300" s="28" t="n">
        <v>210.31</v>
      </c>
      <c r="Z300" s="36" t="n">
        <v>178.28</v>
      </c>
      <c r="AA300" s="36" t="n">
        <v>198.35</v>
      </c>
      <c r="AB300" s="36" t="n">
        <v>220.34</v>
      </c>
      <c r="AC300" s="36" t="n">
        <v>232.34</v>
      </c>
      <c r="AD300" s="36" t="n">
        <v>255.77</v>
      </c>
      <c r="AE300" s="36" t="n">
        <v>167.83</v>
      </c>
      <c r="AF300" s="28" t="n">
        <v>216.56</v>
      </c>
      <c r="AG300" s="36" t="n">
        <v>182.33</v>
      </c>
      <c r="AH300" s="37" t="n">
        <v>180.41</v>
      </c>
      <c r="AI300" s="37" t="n">
        <v>206.25</v>
      </c>
      <c r="AJ300" s="37" t="n">
        <v>221.65</v>
      </c>
      <c r="AK300" s="37" t="n">
        <v>218.6</v>
      </c>
      <c r="AL300" s="37" t="n">
        <v>155.46</v>
      </c>
      <c r="AM300" s="37" t="n">
        <v>213.54</v>
      </c>
      <c r="AN300" s="37" t="n">
        <v>184.16</v>
      </c>
      <c r="AO300" s="37" t="n">
        <v>183.45</v>
      </c>
      <c r="AP300" s="37" t="n">
        <v>177.86</v>
      </c>
      <c r="AQ300" s="37" t="n">
        <v>179.45</v>
      </c>
      <c r="AR300" s="37" t="n">
        <v>176.28</v>
      </c>
      <c r="AS300" s="37" t="n">
        <v>144.76</v>
      </c>
      <c r="AT300" s="37" t="n">
        <v>231.5</v>
      </c>
      <c r="AU300" s="37" t="n">
        <v>209.41</v>
      </c>
      <c r="AV300" s="37" t="n">
        <v>186.07</v>
      </c>
      <c r="AW300" s="37" t="n">
        <v>175.8</v>
      </c>
      <c r="AX300" s="37" t="n">
        <v>174.84</v>
      </c>
      <c r="AY300" s="37" t="n">
        <v>174.02</v>
      </c>
      <c r="AZ300" s="37" t="n">
        <v>144.82</v>
      </c>
      <c r="BA300" s="37" t="n">
        <v>208.59</v>
      </c>
      <c r="BB300" s="37" t="n">
        <v>194.71</v>
      </c>
      <c r="BC300" s="37" t="n">
        <v>115.18</v>
      </c>
      <c r="BD300" s="37" t="n">
        <v>168.11</v>
      </c>
      <c r="BE300" s="37" t="n">
        <v>197.8</v>
      </c>
      <c r="BF300" s="37" t="n">
        <v>192.16</v>
      </c>
      <c r="BG300" s="37" t="n">
        <v>155.6</v>
      </c>
      <c r="BH300" s="37" t="n">
        <v>231.15</v>
      </c>
      <c r="BI300" s="37" t="n">
        <v>194.71</v>
      </c>
      <c r="BJ300" s="37" t="n">
        <v>194.58</v>
      </c>
      <c r="BK300" s="37" t="n">
        <v>197.52</v>
      </c>
      <c r="BL300" s="37" t="n">
        <v>197.8</v>
      </c>
      <c r="BM300" s="37" t="n">
        <v>192.16</v>
      </c>
      <c r="BN300" s="37" t="n">
        <v>155.6</v>
      </c>
      <c r="BO300" s="37" t="n">
        <v>231.15</v>
      </c>
      <c r="BP300" s="37" t="n">
        <v>194.71</v>
      </c>
      <c r="BQ300" s="37" t="n">
        <v>192.44</v>
      </c>
      <c r="BR300" s="37" t="n">
        <v>197.52</v>
      </c>
      <c r="BS300" s="37" t="n">
        <v>197.8</v>
      </c>
      <c r="BT300" s="37" t="n">
        <v>192.16</v>
      </c>
      <c r="BU300" s="37" t="n">
        <v>155.6</v>
      </c>
      <c r="BV300" s="37" t="n">
        <v>231.15</v>
      </c>
      <c r="BW300" s="37" t="n">
        <v>194.71</v>
      </c>
      <c r="BX300" s="37" t="n">
        <v>192.44</v>
      </c>
      <c r="BY300" s="37" t="n">
        <v>197.52</v>
      </c>
      <c r="BZ300" s="37" t="n">
        <v>197.8</v>
      </c>
      <c r="CA300" s="37" t="n">
        <v>192.16</v>
      </c>
      <c r="CB300" s="37" t="n">
        <v>155.6</v>
      </c>
      <c r="CC300" s="37" t="n">
        <v>15401.68</v>
      </c>
    </row>
    <row r="301" ht="15.75" customHeight="1" s="57">
      <c r="A301" s="7" t="inlineStr">
        <is>
          <t>NTB</t>
        </is>
      </c>
      <c r="B301" s="7" t="inlineStr">
        <is>
          <t>Khánh Hòa</t>
        </is>
      </c>
      <c r="C301" s="7" t="n">
        <v>22830000</v>
      </c>
      <c r="D301" s="7" t="inlineStr">
        <is>
          <t>(KHO) Cam Linh</t>
        </is>
      </c>
      <c r="E301" s="7" t="inlineStr">
        <is>
          <t>TTS-Bulky</t>
        </is>
      </c>
      <c r="F301" s="36" t="n">
        <v>2</v>
      </c>
      <c r="G301" s="36" t="n">
        <v>3</v>
      </c>
      <c r="H301" s="36" t="n">
        <v>3</v>
      </c>
      <c r="I301" s="36" t="n">
        <v>6</v>
      </c>
      <c r="J301" s="36" t="n">
        <v>4</v>
      </c>
      <c r="K301" s="28" t="n">
        <v>3</v>
      </c>
      <c r="L301" s="36" t="n">
        <v>2</v>
      </c>
      <c r="M301" s="36" t="n">
        <v>0</v>
      </c>
      <c r="N301" s="36" t="n">
        <v>0</v>
      </c>
      <c r="O301" s="36" t="n">
        <v>1</v>
      </c>
      <c r="P301" s="36" t="n">
        <v>1</v>
      </c>
      <c r="Q301" s="36" t="n">
        <v>0</v>
      </c>
      <c r="R301" s="28" t="n">
        <v>0</v>
      </c>
      <c r="S301" s="36" t="n">
        <v>3</v>
      </c>
      <c r="T301" s="36" t="n">
        <v>1</v>
      </c>
      <c r="U301" s="36" t="n">
        <v>7.75</v>
      </c>
      <c r="V301" s="36" t="n">
        <v>7.43</v>
      </c>
      <c r="W301" s="36" t="n">
        <v>3.74</v>
      </c>
      <c r="X301" s="36" t="n">
        <v>2.8</v>
      </c>
      <c r="Y301" s="28" t="n">
        <v>4.76</v>
      </c>
      <c r="Z301" s="36" t="n">
        <v>3.5</v>
      </c>
      <c r="AA301" s="36" t="n">
        <v>3.97</v>
      </c>
      <c r="AB301" s="36" t="n">
        <v>4.25</v>
      </c>
      <c r="AC301" s="36" t="n">
        <v>4.62</v>
      </c>
      <c r="AD301" s="36" t="n">
        <v>5.79</v>
      </c>
      <c r="AE301" s="36" t="n">
        <v>3.08</v>
      </c>
      <c r="AF301" s="28" t="n">
        <v>4.53</v>
      </c>
      <c r="AG301" s="36" t="n">
        <v>3.64</v>
      </c>
      <c r="AH301" s="37" t="n">
        <v>3.64</v>
      </c>
      <c r="AI301" s="37" t="n">
        <v>3.78</v>
      </c>
      <c r="AJ301" s="37" t="n">
        <v>4.16</v>
      </c>
      <c r="AK301" s="37" t="n">
        <v>4.02</v>
      </c>
      <c r="AL301" s="37" t="n">
        <v>2.85</v>
      </c>
      <c r="AM301" s="37" t="n">
        <v>4.48</v>
      </c>
      <c r="AN301" s="37" t="n">
        <v>3.74</v>
      </c>
      <c r="AO301" s="37" t="n">
        <v>3.64</v>
      </c>
      <c r="AP301" s="37" t="n">
        <v>3.69</v>
      </c>
      <c r="AQ301" s="37" t="n">
        <v>3.69</v>
      </c>
      <c r="AR301" s="37" t="n">
        <v>3.69</v>
      </c>
      <c r="AS301" s="37" t="n">
        <v>2.71</v>
      </c>
      <c r="AT301" s="37" t="n">
        <v>4.72</v>
      </c>
      <c r="AU301" s="37" t="n">
        <v>4.25</v>
      </c>
      <c r="AV301" s="37" t="n">
        <v>3.78</v>
      </c>
      <c r="AW301" s="37" t="n">
        <v>3.64</v>
      </c>
      <c r="AX301" s="37" t="n">
        <v>3.64</v>
      </c>
      <c r="AY301" s="37" t="n">
        <v>3.69</v>
      </c>
      <c r="AZ301" s="37" t="n">
        <v>2.71</v>
      </c>
      <c r="BA301" s="37" t="n">
        <v>4.16</v>
      </c>
      <c r="BB301" s="37" t="n">
        <v>0.98</v>
      </c>
      <c r="BC301" s="37" t="n">
        <v>0.61</v>
      </c>
      <c r="BD301" s="37" t="n">
        <v>0.7</v>
      </c>
      <c r="BE301" s="37" t="n">
        <v>0.98</v>
      </c>
      <c r="BF301" s="37" t="n">
        <v>1.03</v>
      </c>
      <c r="BG301" s="37" t="n">
        <v>0.7</v>
      </c>
      <c r="BH301" s="37" t="n">
        <v>1.31</v>
      </c>
      <c r="BI301" s="37" t="n">
        <v>1.07</v>
      </c>
      <c r="BJ301" s="37" t="n">
        <v>1.35</v>
      </c>
      <c r="BK301" s="37" t="n">
        <v>1.03</v>
      </c>
      <c r="BL301" s="37" t="n">
        <v>0.98</v>
      </c>
      <c r="BM301" s="37" t="n">
        <v>1.03</v>
      </c>
      <c r="BN301" s="37" t="n">
        <v>0.7</v>
      </c>
      <c r="BO301" s="37" t="n">
        <v>1.59</v>
      </c>
      <c r="BP301" s="37" t="n">
        <v>1.21</v>
      </c>
      <c r="BQ301" s="37" t="n">
        <v>1.03</v>
      </c>
      <c r="BR301" s="37" t="n">
        <v>1.03</v>
      </c>
      <c r="BS301" s="37" t="n">
        <v>0.98</v>
      </c>
      <c r="BT301" s="37" t="n">
        <v>1.03</v>
      </c>
      <c r="BU301" s="37" t="n">
        <v>0.7</v>
      </c>
      <c r="BV301" s="37" t="n">
        <v>1.21</v>
      </c>
      <c r="BW301" s="37" t="n">
        <v>1.07</v>
      </c>
      <c r="BX301" s="37" t="n">
        <v>1.03</v>
      </c>
      <c r="BY301" s="37" t="n">
        <v>1.03</v>
      </c>
      <c r="BZ301" s="37" t="n">
        <v>0.98</v>
      </c>
      <c r="CA301" s="37" t="n">
        <v>1.03</v>
      </c>
      <c r="CB301" s="37" t="n">
        <v>0.7</v>
      </c>
      <c r="CC301" s="37" t="n">
        <v>190.6299999999999</v>
      </c>
    </row>
    <row r="302" ht="15.75" customHeight="1" s="57">
      <c r="A302" s="7" t="inlineStr">
        <is>
          <t>NTB</t>
        </is>
      </c>
      <c r="B302" s="7" t="inlineStr">
        <is>
          <t>Lâm Đồng</t>
        </is>
      </c>
      <c r="C302" s="7" t="n">
        <v>1896</v>
      </c>
      <c r="D302" s="7" t="inlineStr">
        <is>
          <t>(LDO) Đạ Huoai</t>
        </is>
      </c>
      <c r="E302" s="7" t="inlineStr">
        <is>
          <t>SME</t>
        </is>
      </c>
      <c r="F302" s="36" t="n">
        <v>186</v>
      </c>
      <c r="G302" s="36" t="n">
        <v>238</v>
      </c>
      <c r="H302" s="36" t="n">
        <v>166</v>
      </c>
      <c r="I302" s="36" t="n">
        <v>219</v>
      </c>
      <c r="J302" s="36" t="n">
        <v>178</v>
      </c>
      <c r="K302" s="28" t="n">
        <v>194</v>
      </c>
      <c r="L302" s="36" t="n">
        <v>174</v>
      </c>
      <c r="M302" s="36" t="n">
        <v>123</v>
      </c>
      <c r="N302" s="36" t="n">
        <v>195</v>
      </c>
      <c r="O302" s="36" t="n">
        <v>141</v>
      </c>
      <c r="P302" s="36" t="n">
        <v>202</v>
      </c>
      <c r="Q302" s="36" t="n">
        <v>129</v>
      </c>
      <c r="R302" s="28" t="n">
        <v>190</v>
      </c>
      <c r="S302" s="36" t="n">
        <v>190</v>
      </c>
      <c r="T302" s="36" t="n">
        <v>108</v>
      </c>
      <c r="U302" s="36" t="n">
        <v>217.1</v>
      </c>
      <c r="V302" s="36" t="n">
        <v>224.98</v>
      </c>
      <c r="W302" s="36" t="n">
        <v>218.72</v>
      </c>
      <c r="X302" s="36" t="n">
        <v>178.85</v>
      </c>
      <c r="Y302" s="28" t="n">
        <v>242.31</v>
      </c>
      <c r="Z302" s="36" t="n">
        <v>223.25</v>
      </c>
      <c r="AA302" s="36" t="n">
        <v>217.79</v>
      </c>
      <c r="AB302" s="36" t="n">
        <v>217.1</v>
      </c>
      <c r="AC302" s="36" t="n">
        <v>224.98</v>
      </c>
      <c r="AD302" s="36" t="n">
        <v>226.01</v>
      </c>
      <c r="AE302" s="36" t="n">
        <v>178.85</v>
      </c>
      <c r="AF302" s="28" t="n">
        <v>242.31</v>
      </c>
      <c r="AG302" s="36" t="n">
        <v>223.25</v>
      </c>
      <c r="AH302" s="37" t="n">
        <v>217.79</v>
      </c>
      <c r="AI302" s="37" t="n">
        <v>217.1</v>
      </c>
      <c r="AJ302" s="37" t="n">
        <v>224.98</v>
      </c>
      <c r="AK302" s="37" t="n">
        <v>218.72</v>
      </c>
      <c r="AL302" s="37" t="n">
        <v>178.85</v>
      </c>
      <c r="AM302" s="37" t="n">
        <v>242.31</v>
      </c>
      <c r="AN302" s="37" t="n">
        <v>223.25</v>
      </c>
      <c r="AO302" s="37" t="n">
        <v>217.79</v>
      </c>
      <c r="AP302" s="37" t="n">
        <v>217.1</v>
      </c>
      <c r="AQ302" s="37" t="n">
        <v>224.98</v>
      </c>
      <c r="AR302" s="37" t="n">
        <v>218.72</v>
      </c>
      <c r="AS302" s="37" t="n">
        <v>178.85</v>
      </c>
      <c r="AT302" s="37" t="n">
        <v>242.31</v>
      </c>
      <c r="AU302" s="37" t="n">
        <v>223.25</v>
      </c>
      <c r="AV302" s="37" t="n">
        <v>217.79</v>
      </c>
      <c r="AW302" s="37" t="n">
        <v>217.1</v>
      </c>
      <c r="AX302" s="37" t="n">
        <v>224.98</v>
      </c>
      <c r="AY302" s="37" t="n">
        <v>218.72</v>
      </c>
      <c r="AZ302" s="37" t="n">
        <v>178.85</v>
      </c>
      <c r="BA302" s="37" t="n">
        <v>218.06</v>
      </c>
      <c r="BB302" s="37" t="n">
        <v>195.75</v>
      </c>
      <c r="BC302" s="37" t="n">
        <v>123.83</v>
      </c>
      <c r="BD302" s="37" t="n">
        <v>123.38</v>
      </c>
      <c r="BE302" s="37" t="n">
        <v>208.31</v>
      </c>
      <c r="BF302" s="37" t="n">
        <v>203.07</v>
      </c>
      <c r="BG302" s="37" t="n">
        <v>184.42</v>
      </c>
      <c r="BH302" s="37" t="n">
        <v>249.82</v>
      </c>
      <c r="BI302" s="37" t="n">
        <v>230.06</v>
      </c>
      <c r="BJ302" s="37" t="n">
        <v>232.02</v>
      </c>
      <c r="BK302" s="37" t="n">
        <v>223.68</v>
      </c>
      <c r="BL302" s="37" t="n">
        <v>231.84</v>
      </c>
      <c r="BM302" s="37" t="n">
        <v>225.31</v>
      </c>
      <c r="BN302" s="37" t="n">
        <v>184.42</v>
      </c>
      <c r="BO302" s="37" t="n">
        <v>249.82</v>
      </c>
      <c r="BP302" s="37" t="n">
        <v>230.06</v>
      </c>
      <c r="BQ302" s="37" t="n">
        <v>224.35</v>
      </c>
      <c r="BR302" s="37" t="n">
        <v>223.68</v>
      </c>
      <c r="BS302" s="37" t="n">
        <v>231.84</v>
      </c>
      <c r="BT302" s="37" t="n">
        <v>225.31</v>
      </c>
      <c r="BU302" s="37" t="n">
        <v>184.42</v>
      </c>
      <c r="BV302" s="37" t="n">
        <v>249.82</v>
      </c>
      <c r="BW302" s="37" t="n">
        <v>230.06</v>
      </c>
      <c r="BX302" s="37" t="n">
        <v>224.35</v>
      </c>
      <c r="BY302" s="37" t="n">
        <v>223.68</v>
      </c>
      <c r="BZ302" s="37" t="n">
        <v>231.84</v>
      </c>
      <c r="CA302" s="37" t="n">
        <v>225.31</v>
      </c>
      <c r="CB302" s="37" t="n">
        <v>184.42</v>
      </c>
      <c r="CC302" s="37" t="n">
        <v>15544.87</v>
      </c>
    </row>
    <row r="303" ht="15.75" customHeight="1" s="57">
      <c r="A303" s="7" t="inlineStr">
        <is>
          <t>NTB</t>
        </is>
      </c>
      <c r="B303" s="7" t="inlineStr">
        <is>
          <t>Lâm Đồng</t>
        </is>
      </c>
      <c r="C303" s="7" t="n">
        <v>1896</v>
      </c>
      <c r="D303" s="7" t="inlineStr">
        <is>
          <t>(LDO) Đạ Huoai</t>
        </is>
      </c>
      <c r="E303" s="7" t="inlineStr">
        <is>
          <t>SME-Bulky</t>
        </is>
      </c>
      <c r="F303" s="36" t="n">
        <v>21</v>
      </c>
      <c r="G303" s="36" t="n">
        <v>13</v>
      </c>
      <c r="H303" s="36" t="n">
        <v>12</v>
      </c>
      <c r="I303" s="36" t="n">
        <v>12</v>
      </c>
      <c r="J303" s="36" t="n">
        <v>22</v>
      </c>
      <c r="K303" s="28" t="n">
        <v>22</v>
      </c>
      <c r="L303" s="36" t="n">
        <v>16</v>
      </c>
      <c r="M303" s="36" t="n">
        <v>7</v>
      </c>
      <c r="N303" s="36" t="n">
        <v>18</v>
      </c>
      <c r="O303" s="36" t="n">
        <v>19</v>
      </c>
      <c r="P303" s="36" t="n">
        <v>19</v>
      </c>
      <c r="Q303" s="36" t="n">
        <v>17</v>
      </c>
      <c r="R303" s="28" t="n">
        <v>16</v>
      </c>
      <c r="S303" s="36" t="n">
        <v>27</v>
      </c>
      <c r="T303" s="36" t="n">
        <v>31</v>
      </c>
      <c r="U303" s="36" t="n">
        <v>20.9</v>
      </c>
      <c r="V303" s="36" t="n">
        <v>20.68</v>
      </c>
      <c r="W303" s="36" t="n">
        <v>19.54</v>
      </c>
      <c r="X303" s="36" t="n">
        <v>13.01</v>
      </c>
      <c r="Y303" s="28" t="n">
        <v>23.35</v>
      </c>
      <c r="Z303" s="36" t="n">
        <v>22.31</v>
      </c>
      <c r="AA303" s="36" t="n">
        <v>21.99</v>
      </c>
      <c r="AB303" s="36" t="n">
        <v>20.9</v>
      </c>
      <c r="AC303" s="36" t="n">
        <v>20.68</v>
      </c>
      <c r="AD303" s="36" t="n">
        <v>18.36</v>
      </c>
      <c r="AE303" s="36" t="n">
        <v>13.01</v>
      </c>
      <c r="AF303" s="28" t="n">
        <v>23.35</v>
      </c>
      <c r="AG303" s="36" t="n">
        <v>22.31</v>
      </c>
      <c r="AH303" s="37" t="n">
        <v>21.99</v>
      </c>
      <c r="AI303" s="37" t="n">
        <v>20.9</v>
      </c>
      <c r="AJ303" s="37" t="n">
        <v>20.68</v>
      </c>
      <c r="AK303" s="37" t="n">
        <v>19.54</v>
      </c>
      <c r="AL303" s="37" t="n">
        <v>13.01</v>
      </c>
      <c r="AM303" s="37" t="n">
        <v>23.35</v>
      </c>
      <c r="AN303" s="37" t="n">
        <v>22.31</v>
      </c>
      <c r="AO303" s="37" t="n">
        <v>21.99</v>
      </c>
      <c r="AP303" s="37" t="n">
        <v>20.9</v>
      </c>
      <c r="AQ303" s="37" t="n">
        <v>20.68</v>
      </c>
      <c r="AR303" s="37" t="n">
        <v>19.54</v>
      </c>
      <c r="AS303" s="37" t="n">
        <v>13.01</v>
      </c>
      <c r="AT303" s="37" t="n">
        <v>23.35</v>
      </c>
      <c r="AU303" s="37" t="n">
        <v>22.31</v>
      </c>
      <c r="AV303" s="37" t="n">
        <v>21.99</v>
      </c>
      <c r="AW303" s="37" t="n">
        <v>20.9</v>
      </c>
      <c r="AX303" s="37" t="n">
        <v>20.68</v>
      </c>
      <c r="AY303" s="37" t="n">
        <v>19.54</v>
      </c>
      <c r="AZ303" s="37" t="n">
        <v>13.01</v>
      </c>
      <c r="BA303" s="37" t="n">
        <v>23.44</v>
      </c>
      <c r="BB303" s="37" t="n">
        <v>12.33</v>
      </c>
      <c r="BC303" s="37" t="n">
        <v>6.26</v>
      </c>
      <c r="BD303" s="37" t="n">
        <v>5.67</v>
      </c>
      <c r="BE303" s="37" t="n">
        <v>10.79</v>
      </c>
      <c r="BF303" s="37" t="n">
        <v>10.02</v>
      </c>
      <c r="BG303" s="37" t="n">
        <v>7.8</v>
      </c>
      <c r="BH303" s="37" t="n">
        <v>13.56</v>
      </c>
      <c r="BI303" s="37" t="n">
        <v>13.47</v>
      </c>
      <c r="BJ303" s="37" t="n">
        <v>11.65</v>
      </c>
      <c r="BK303" s="37" t="n">
        <v>12.38</v>
      </c>
      <c r="BL303" s="37" t="n">
        <v>12.42</v>
      </c>
      <c r="BM303" s="37" t="n">
        <v>11.56</v>
      </c>
      <c r="BN303" s="37" t="n">
        <v>7.8</v>
      </c>
      <c r="BO303" s="37" t="n">
        <v>13.56</v>
      </c>
      <c r="BP303" s="37" t="n">
        <v>13.47</v>
      </c>
      <c r="BQ303" s="37" t="n">
        <v>12.83</v>
      </c>
      <c r="BR303" s="37" t="n">
        <v>12.38</v>
      </c>
      <c r="BS303" s="37" t="n">
        <v>12.42</v>
      </c>
      <c r="BT303" s="37" t="n">
        <v>11.56</v>
      </c>
      <c r="BU303" s="37" t="n">
        <v>7.8</v>
      </c>
      <c r="BV303" s="37" t="n">
        <v>13.56</v>
      </c>
      <c r="BW303" s="37" t="n">
        <v>13.47</v>
      </c>
      <c r="BX303" s="37" t="n">
        <v>12.83</v>
      </c>
      <c r="BY303" s="37" t="n">
        <v>12.38</v>
      </c>
      <c r="BZ303" s="37" t="n">
        <v>12.42</v>
      </c>
      <c r="CA303" s="37" t="n">
        <v>11.56</v>
      </c>
      <c r="CB303" s="37" t="n">
        <v>7.8</v>
      </c>
      <c r="CC303" s="37" t="n">
        <v>1239.26</v>
      </c>
    </row>
    <row r="304" ht="15.75" customHeight="1" s="57">
      <c r="A304" s="7" t="inlineStr">
        <is>
          <t>NTB</t>
        </is>
      </c>
      <c r="B304" s="7" t="inlineStr">
        <is>
          <t>Lâm Đồng</t>
        </is>
      </c>
      <c r="C304" s="7" t="n">
        <v>1896</v>
      </c>
      <c r="D304" s="7" t="inlineStr">
        <is>
          <t>(LDO) Đạ Huoai</t>
        </is>
      </c>
      <c r="E304" s="7" t="inlineStr">
        <is>
          <t>Shopee</t>
        </is>
      </c>
      <c r="F304" s="36" t="n">
        <v>122</v>
      </c>
      <c r="G304" s="36" t="n">
        <v>114</v>
      </c>
      <c r="H304" s="36" t="n">
        <v>116</v>
      </c>
      <c r="I304" s="36" t="n">
        <v>129</v>
      </c>
      <c r="J304" s="36" t="n">
        <v>95</v>
      </c>
      <c r="K304" s="28" t="n">
        <v>108</v>
      </c>
      <c r="L304" s="36" t="n">
        <v>99</v>
      </c>
      <c r="M304" s="36" t="n">
        <v>98</v>
      </c>
      <c r="N304" s="36" t="n">
        <v>123</v>
      </c>
      <c r="O304" s="36" t="n">
        <v>92</v>
      </c>
      <c r="P304" s="36" t="n">
        <v>132</v>
      </c>
      <c r="Q304" s="36" t="n">
        <v>64</v>
      </c>
      <c r="R304" s="28" t="n">
        <v>78</v>
      </c>
      <c r="S304" s="36" t="n">
        <v>86</v>
      </c>
      <c r="T304" s="36" t="n">
        <v>79</v>
      </c>
      <c r="U304" s="36" t="n">
        <v>144.03</v>
      </c>
      <c r="V304" s="36" t="n">
        <v>144.54</v>
      </c>
      <c r="W304" s="36" t="n">
        <v>142.47</v>
      </c>
      <c r="X304" s="36" t="n">
        <v>115.86</v>
      </c>
      <c r="Y304" s="28" t="n">
        <v>194.07</v>
      </c>
      <c r="Z304" s="36" t="n">
        <v>153.63</v>
      </c>
      <c r="AA304" s="36" t="n">
        <v>211.29</v>
      </c>
      <c r="AB304" s="36" t="n">
        <v>147</v>
      </c>
      <c r="AC304" s="36" t="n">
        <v>118.62</v>
      </c>
      <c r="AD304" s="36" t="n">
        <v>309.17</v>
      </c>
      <c r="AE304" s="36" t="n">
        <v>124.08</v>
      </c>
      <c r="AF304" s="28" t="n">
        <v>221.21</v>
      </c>
      <c r="AG304" s="36" t="n">
        <v>161.31</v>
      </c>
      <c r="AH304" s="37" t="n">
        <v>170.29</v>
      </c>
      <c r="AI304" s="37" t="n">
        <v>144.03</v>
      </c>
      <c r="AJ304" s="37" t="n">
        <v>144.54</v>
      </c>
      <c r="AK304" s="37" t="n">
        <v>192.24</v>
      </c>
      <c r="AL304" s="37" t="n">
        <v>208.07</v>
      </c>
      <c r="AM304" s="37" t="n">
        <v>194.07</v>
      </c>
      <c r="AN304" s="37" t="n">
        <v>153.63</v>
      </c>
      <c r="AO304" s="37" t="n">
        <v>170.29</v>
      </c>
      <c r="AP304" s="37" t="n">
        <v>179.8</v>
      </c>
      <c r="AQ304" s="37" t="n">
        <v>115.89</v>
      </c>
      <c r="AR304" s="37" t="n">
        <v>142.47</v>
      </c>
      <c r="AS304" s="37" t="n">
        <v>115.86</v>
      </c>
      <c r="AT304" s="37" t="n">
        <v>194.07</v>
      </c>
      <c r="AU304" s="37" t="n">
        <v>156.81</v>
      </c>
      <c r="AV304" s="37" t="n">
        <v>173.75</v>
      </c>
      <c r="AW304" s="37" t="n">
        <v>144.03</v>
      </c>
      <c r="AX304" s="37" t="n">
        <v>144.54</v>
      </c>
      <c r="AY304" s="37" t="n">
        <v>142.47</v>
      </c>
      <c r="AZ304" s="37" t="n">
        <v>115.86</v>
      </c>
      <c r="BA304" s="37" t="n">
        <v>149.49</v>
      </c>
      <c r="BB304" s="37" t="n">
        <v>130.17</v>
      </c>
      <c r="BC304" s="37" t="n">
        <v>66.56999999999999</v>
      </c>
      <c r="BD304" s="37" t="n">
        <v>117.96</v>
      </c>
      <c r="BE304" s="37" t="n">
        <v>137.67</v>
      </c>
      <c r="BF304" s="37" t="n">
        <v>135.7</v>
      </c>
      <c r="BG304" s="37" t="n">
        <v>112.57</v>
      </c>
      <c r="BH304" s="37" t="n">
        <v>184.84</v>
      </c>
      <c r="BI304" s="37" t="n">
        <v>120.21</v>
      </c>
      <c r="BJ304" s="37" t="n">
        <v>438.78</v>
      </c>
      <c r="BK304" s="37" t="n">
        <v>146.86</v>
      </c>
      <c r="BL304" s="37" t="n">
        <v>144.61</v>
      </c>
      <c r="BM304" s="37" t="n">
        <v>135.7</v>
      </c>
      <c r="BN304" s="37" t="n">
        <v>110.36</v>
      </c>
      <c r="BO304" s="37" t="n">
        <v>184.84</v>
      </c>
      <c r="BP304" s="37" t="n">
        <v>197.46</v>
      </c>
      <c r="BQ304" s="37" t="n">
        <v>291.47</v>
      </c>
      <c r="BR304" s="37" t="n">
        <v>137.22</v>
      </c>
      <c r="BS304" s="37" t="n">
        <v>137.67</v>
      </c>
      <c r="BT304" s="37" t="n">
        <v>135.7</v>
      </c>
      <c r="BU304" s="37" t="n">
        <v>137.87</v>
      </c>
      <c r="BV304" s="37" t="n">
        <v>148.1</v>
      </c>
      <c r="BW304" s="37" t="n">
        <v>146.31</v>
      </c>
      <c r="BX304" s="37" t="n">
        <v>162.21</v>
      </c>
      <c r="BY304" s="37" t="n">
        <v>137.22</v>
      </c>
      <c r="BZ304" s="37" t="n">
        <v>140.57</v>
      </c>
      <c r="CA304" s="37" t="n">
        <v>138.32</v>
      </c>
      <c r="CB304" s="37" t="n">
        <v>110.36</v>
      </c>
      <c r="CC304" s="37" t="n">
        <v>11061.8</v>
      </c>
    </row>
    <row r="305" ht="15.75" customHeight="1" s="57">
      <c r="A305" s="7" t="inlineStr">
        <is>
          <t>NTB</t>
        </is>
      </c>
      <c r="B305" s="7" t="inlineStr">
        <is>
          <t>Lâm Đồng</t>
        </is>
      </c>
      <c r="C305" s="7" t="n">
        <v>1896</v>
      </c>
      <c r="D305" s="7" t="inlineStr">
        <is>
          <t>(LDO) Đạ Huoai</t>
        </is>
      </c>
      <c r="E305" s="7" t="inlineStr">
        <is>
          <t>Shopee-Bulky</t>
        </is>
      </c>
      <c r="F305" s="36" t="n">
        <v>10.14</v>
      </c>
      <c r="G305" s="36" t="n">
        <v>29.16</v>
      </c>
      <c r="H305" s="36" t="n">
        <v>28.53</v>
      </c>
      <c r="I305" s="36" t="n">
        <v>21.56</v>
      </c>
      <c r="J305" s="36" t="n">
        <v>15.85</v>
      </c>
      <c r="K305" s="28" t="n">
        <v>13.31</v>
      </c>
      <c r="L305" s="36" t="n">
        <v>12.05</v>
      </c>
      <c r="M305" s="36" t="n">
        <v>19.65</v>
      </c>
      <c r="N305" s="36" t="n">
        <v>11.41</v>
      </c>
      <c r="O305" s="36" t="n">
        <v>15.22</v>
      </c>
      <c r="P305" s="36" t="n">
        <v>15.85</v>
      </c>
      <c r="Q305" s="36" t="n">
        <v>8.880000000000001</v>
      </c>
      <c r="R305" s="28" t="n">
        <v>15.85</v>
      </c>
      <c r="S305" s="36" t="n">
        <v>17.75</v>
      </c>
      <c r="T305" s="36" t="n">
        <v>17.12</v>
      </c>
      <c r="U305" s="36" t="n">
        <v>14.03</v>
      </c>
      <c r="V305" s="36" t="n">
        <v>13.53</v>
      </c>
      <c r="W305" s="36" t="n">
        <v>18.6</v>
      </c>
      <c r="X305" s="36" t="n">
        <v>10.52</v>
      </c>
      <c r="Y305" s="28" t="n">
        <v>20.6</v>
      </c>
      <c r="Z305" s="36" t="n">
        <v>16.29</v>
      </c>
      <c r="AA305" s="36" t="n">
        <v>15.82</v>
      </c>
      <c r="AB305" s="36" t="n">
        <v>16.01</v>
      </c>
      <c r="AC305" s="36" t="n">
        <v>16.81</v>
      </c>
      <c r="AD305" s="36" t="n">
        <v>45.3</v>
      </c>
      <c r="AE305" s="36" t="n">
        <v>27.04</v>
      </c>
      <c r="AF305" s="28" t="n">
        <v>40.31</v>
      </c>
      <c r="AG305" s="36" t="n">
        <v>22.89</v>
      </c>
      <c r="AH305" s="37" t="n">
        <v>16.1</v>
      </c>
      <c r="AI305" s="37" t="n">
        <v>15.49</v>
      </c>
      <c r="AJ305" s="37" t="n">
        <v>15.36</v>
      </c>
      <c r="AK305" s="37" t="n">
        <v>34.78</v>
      </c>
      <c r="AL305" s="37" t="n">
        <v>17.69</v>
      </c>
      <c r="AM305" s="37" t="n">
        <v>25.27</v>
      </c>
      <c r="AN305" s="37" t="n">
        <v>15.99</v>
      </c>
      <c r="AO305" s="37" t="n">
        <v>15.67</v>
      </c>
      <c r="AP305" s="37" t="n">
        <v>21.17</v>
      </c>
      <c r="AQ305" s="37" t="n">
        <v>21.04</v>
      </c>
      <c r="AR305" s="37" t="n">
        <v>16.73</v>
      </c>
      <c r="AS305" s="37" t="n">
        <v>9.26</v>
      </c>
      <c r="AT305" s="37" t="n">
        <v>18.92</v>
      </c>
      <c r="AU305" s="37" t="n">
        <v>31.12</v>
      </c>
      <c r="AV305" s="37" t="n">
        <v>32.3</v>
      </c>
      <c r="AW305" s="37" t="n">
        <v>15.72</v>
      </c>
      <c r="AX305" s="37" t="n">
        <v>14.75</v>
      </c>
      <c r="AY305" s="37" t="n">
        <v>16.01</v>
      </c>
      <c r="AZ305" s="37" t="n">
        <v>8.9</v>
      </c>
      <c r="BA305" s="37" t="n">
        <v>17.29</v>
      </c>
      <c r="BB305" s="37" t="n">
        <v>16.07</v>
      </c>
      <c r="BC305" s="37" t="n">
        <v>5.41</v>
      </c>
      <c r="BD305" s="37" t="n">
        <v>13.76</v>
      </c>
      <c r="BE305" s="37" t="n">
        <v>16.92</v>
      </c>
      <c r="BF305" s="37" t="n">
        <v>14.54</v>
      </c>
      <c r="BG305" s="37" t="n">
        <v>12.08</v>
      </c>
      <c r="BH305" s="37" t="n">
        <v>22.13</v>
      </c>
      <c r="BI305" s="37" t="n">
        <v>18.89</v>
      </c>
      <c r="BJ305" s="37" t="n">
        <v>72.06</v>
      </c>
      <c r="BK305" s="37" t="n">
        <v>39.98</v>
      </c>
      <c r="BL305" s="37" t="n">
        <v>20.6</v>
      </c>
      <c r="BM305" s="37" t="n">
        <v>15.36</v>
      </c>
      <c r="BN305" s="37" t="n">
        <v>11.66</v>
      </c>
      <c r="BO305" s="37" t="n">
        <v>25.73</v>
      </c>
      <c r="BP305" s="37" t="n">
        <v>37.58</v>
      </c>
      <c r="BQ305" s="37" t="n">
        <v>27.18</v>
      </c>
      <c r="BR305" s="37" t="n">
        <v>17.88</v>
      </c>
      <c r="BS305" s="37" t="n">
        <v>16.92</v>
      </c>
      <c r="BT305" s="37" t="n">
        <v>14.54</v>
      </c>
      <c r="BU305" s="37" t="n">
        <v>17.15</v>
      </c>
      <c r="BV305" s="37" t="n">
        <v>23.44</v>
      </c>
      <c r="BW305" s="37" t="n">
        <v>18.89</v>
      </c>
      <c r="BX305" s="37" t="n">
        <v>18.24</v>
      </c>
      <c r="BY305" s="37" t="n">
        <v>17.88</v>
      </c>
      <c r="BZ305" s="37" t="n">
        <v>30.66</v>
      </c>
      <c r="CA305" s="37" t="n">
        <v>17.67</v>
      </c>
      <c r="CB305" s="37" t="n">
        <v>11.51</v>
      </c>
      <c r="CC305" s="37" t="n">
        <v>1484.37</v>
      </c>
    </row>
    <row r="306" ht="15.75" customHeight="1" s="57">
      <c r="A306" s="7" t="inlineStr">
        <is>
          <t>NTB</t>
        </is>
      </c>
      <c r="B306" s="7" t="inlineStr">
        <is>
          <t>Lâm Đồng</t>
        </is>
      </c>
      <c r="C306" s="7" t="n">
        <v>1896</v>
      </c>
      <c r="D306" s="7" t="inlineStr">
        <is>
          <t>(LDO) Đạ Huoai</t>
        </is>
      </c>
      <c r="E306" s="7" t="inlineStr">
        <is>
          <t>Shopee-Bulky (10-15kg)</t>
        </is>
      </c>
      <c r="F306" s="36" t="n">
        <v>5.86</v>
      </c>
      <c r="G306" s="36" t="n">
        <v>16.84</v>
      </c>
      <c r="H306" s="36" t="n">
        <v>16.47</v>
      </c>
      <c r="I306" s="36" t="n">
        <v>12.44</v>
      </c>
      <c r="J306" s="36" t="n">
        <v>9.15</v>
      </c>
      <c r="K306" s="28" t="n">
        <v>7.69</v>
      </c>
      <c r="L306" s="36" t="n">
        <v>6.95</v>
      </c>
      <c r="M306" s="36" t="n">
        <v>11.35</v>
      </c>
      <c r="N306" s="36" t="n">
        <v>6.59</v>
      </c>
      <c r="O306" s="36" t="n">
        <v>8.779999999999999</v>
      </c>
      <c r="P306" s="36" t="n">
        <v>9.15</v>
      </c>
      <c r="Q306" s="36" t="n">
        <v>5.12</v>
      </c>
      <c r="R306" s="28" t="n">
        <v>9.15</v>
      </c>
      <c r="S306" s="36" t="n">
        <v>10.25</v>
      </c>
      <c r="T306" s="36" t="n">
        <v>9.880000000000001</v>
      </c>
      <c r="U306" s="36" t="n">
        <v>8.44</v>
      </c>
      <c r="V306" s="36" t="n">
        <v>8.08</v>
      </c>
      <c r="W306" s="36" t="n">
        <v>10.65</v>
      </c>
      <c r="X306" s="36" t="n">
        <v>6.02</v>
      </c>
      <c r="Y306" s="28" t="n">
        <v>11.95</v>
      </c>
      <c r="Z306" s="36" t="n">
        <v>9.32</v>
      </c>
      <c r="AA306" s="36" t="n">
        <v>8.75</v>
      </c>
      <c r="AB306" s="36" t="n">
        <v>9.17</v>
      </c>
      <c r="AC306" s="36" t="n">
        <v>9.49</v>
      </c>
      <c r="AD306" s="36" t="n">
        <v>36.29</v>
      </c>
      <c r="AE306" s="36" t="n">
        <v>15.15</v>
      </c>
      <c r="AF306" s="28" t="n">
        <v>22.11</v>
      </c>
      <c r="AG306" s="36" t="n">
        <v>13.19</v>
      </c>
      <c r="AH306" s="37" t="n">
        <v>9.19</v>
      </c>
      <c r="AI306" s="37" t="n">
        <v>8.94</v>
      </c>
      <c r="AJ306" s="37" t="n">
        <v>8.67</v>
      </c>
      <c r="AK306" s="37" t="n">
        <v>20.41</v>
      </c>
      <c r="AL306" s="37" t="n">
        <v>9.91</v>
      </c>
      <c r="AM306" s="37" t="n">
        <v>14.66</v>
      </c>
      <c r="AN306" s="37" t="n">
        <v>9.220000000000001</v>
      </c>
      <c r="AO306" s="37" t="n">
        <v>8.84</v>
      </c>
      <c r="AP306" s="37" t="n">
        <v>11.64</v>
      </c>
      <c r="AQ306" s="37" t="n">
        <v>11.87</v>
      </c>
      <c r="AR306" s="37" t="n">
        <v>9.619999999999999</v>
      </c>
      <c r="AS306" s="37" t="n">
        <v>5.28</v>
      </c>
      <c r="AT306" s="37" t="n">
        <v>10.94</v>
      </c>
      <c r="AU306" s="37" t="n">
        <v>18.52</v>
      </c>
      <c r="AV306" s="37" t="n">
        <v>18.56</v>
      </c>
      <c r="AW306" s="37" t="n">
        <v>8.92</v>
      </c>
      <c r="AX306" s="37" t="n">
        <v>8.27</v>
      </c>
      <c r="AY306" s="37" t="n">
        <v>9.220000000000001</v>
      </c>
      <c r="AZ306" s="37" t="n">
        <v>5.07</v>
      </c>
      <c r="BA306" s="37" t="n">
        <v>9.99</v>
      </c>
      <c r="BB306" s="37" t="n">
        <v>9.279999999999999</v>
      </c>
      <c r="BC306" s="37" t="n">
        <v>3.24</v>
      </c>
      <c r="BD306" s="37" t="n">
        <v>7.78</v>
      </c>
      <c r="BE306" s="37" t="n">
        <v>9.699999999999999</v>
      </c>
      <c r="BF306" s="37" t="n">
        <v>8.460000000000001</v>
      </c>
      <c r="BG306" s="37" t="n">
        <v>6.94</v>
      </c>
      <c r="BH306" s="37" t="n">
        <v>12.96</v>
      </c>
      <c r="BI306" s="37" t="n">
        <v>10.94</v>
      </c>
      <c r="BJ306" s="37" t="n">
        <v>49.99</v>
      </c>
      <c r="BK306" s="37" t="n">
        <v>23.19</v>
      </c>
      <c r="BL306" s="37" t="n">
        <v>11.91</v>
      </c>
      <c r="BM306" s="37" t="n">
        <v>8.789999999999999</v>
      </c>
      <c r="BN306" s="37" t="n">
        <v>6.8</v>
      </c>
      <c r="BO306" s="37" t="n">
        <v>14.75</v>
      </c>
      <c r="BP306" s="37" t="n">
        <v>21.86</v>
      </c>
      <c r="BQ306" s="37" t="n">
        <v>15.8</v>
      </c>
      <c r="BR306" s="37" t="n">
        <v>10.27</v>
      </c>
      <c r="BS306" s="37" t="n">
        <v>9.699999999999999</v>
      </c>
      <c r="BT306" s="37" t="n">
        <v>8.460000000000001</v>
      </c>
      <c r="BU306" s="37" t="n">
        <v>9.800000000000001</v>
      </c>
      <c r="BV306" s="37" t="n">
        <v>13.47</v>
      </c>
      <c r="BW306" s="37" t="n">
        <v>10.94</v>
      </c>
      <c r="BX306" s="37" t="n">
        <v>10.44</v>
      </c>
      <c r="BY306" s="37" t="n">
        <v>10.27</v>
      </c>
      <c r="BZ306" s="37" t="n">
        <v>17.76</v>
      </c>
      <c r="CA306" s="37" t="n">
        <v>10.12</v>
      </c>
      <c r="CB306" s="37" t="n">
        <v>6.54</v>
      </c>
      <c r="CC306" s="37" t="n">
        <v>872.1800000000003</v>
      </c>
    </row>
    <row r="307" ht="15.75" customHeight="1" s="57">
      <c r="A307" s="7" t="inlineStr">
        <is>
          <t>NTB</t>
        </is>
      </c>
      <c r="B307" s="7" t="inlineStr">
        <is>
          <t>Lâm Đồng</t>
        </is>
      </c>
      <c r="C307" s="7" t="n">
        <v>1896</v>
      </c>
      <c r="D307" s="7" t="inlineStr">
        <is>
          <t>(LDO) Đạ Huoai</t>
        </is>
      </c>
      <c r="E307" s="7" t="inlineStr">
        <is>
          <t>TTS</t>
        </is>
      </c>
      <c r="F307" s="36" t="n">
        <v>142</v>
      </c>
      <c r="G307" s="36" t="n">
        <v>192</v>
      </c>
      <c r="H307" s="36" t="n">
        <v>152</v>
      </c>
      <c r="I307" s="36" t="n">
        <v>147</v>
      </c>
      <c r="J307" s="36" t="n">
        <v>130</v>
      </c>
      <c r="K307" s="28" t="n">
        <v>156</v>
      </c>
      <c r="L307" s="36" t="n">
        <v>147</v>
      </c>
      <c r="M307" s="36" t="n">
        <v>101</v>
      </c>
      <c r="N307" s="36" t="n">
        <v>176</v>
      </c>
      <c r="O307" s="36" t="n">
        <v>104</v>
      </c>
      <c r="P307" s="36" t="n">
        <v>160</v>
      </c>
      <c r="Q307" s="36" t="n">
        <v>103</v>
      </c>
      <c r="R307" s="28" t="n">
        <v>159</v>
      </c>
      <c r="S307" s="36" t="n">
        <v>158</v>
      </c>
      <c r="T307" s="36" t="n">
        <v>124</v>
      </c>
      <c r="U307" s="36" t="n">
        <v>103.86</v>
      </c>
      <c r="V307" s="36" t="n">
        <v>102.08</v>
      </c>
      <c r="W307" s="36" t="n">
        <v>99.76000000000001</v>
      </c>
      <c r="X307" s="36" t="n">
        <v>80.56</v>
      </c>
      <c r="Y307" s="28" t="n">
        <v>116.97</v>
      </c>
      <c r="Z307" s="36" t="n">
        <v>99.55</v>
      </c>
      <c r="AA307" s="36" t="n">
        <v>110.46</v>
      </c>
      <c r="AB307" s="36" t="n">
        <v>122.78</v>
      </c>
      <c r="AC307" s="36" t="n">
        <v>129.29</v>
      </c>
      <c r="AD307" s="36" t="n">
        <v>132.48</v>
      </c>
      <c r="AE307" s="36" t="n">
        <v>93.58</v>
      </c>
      <c r="AF307" s="28" t="n">
        <v>120.95</v>
      </c>
      <c r="AG307" s="36" t="n">
        <v>101.5</v>
      </c>
      <c r="AH307" s="37" t="n">
        <v>100.38</v>
      </c>
      <c r="AI307" s="37" t="n">
        <v>114.85</v>
      </c>
      <c r="AJ307" s="37" t="n">
        <v>123.48</v>
      </c>
      <c r="AK307" s="37" t="n">
        <v>121.74</v>
      </c>
      <c r="AL307" s="37" t="n">
        <v>86.81</v>
      </c>
      <c r="AM307" s="37" t="n">
        <v>119.17</v>
      </c>
      <c r="AN307" s="37" t="n">
        <v>102.82</v>
      </c>
      <c r="AO307" s="37" t="n">
        <v>102.28</v>
      </c>
      <c r="AP307" s="37" t="n">
        <v>99.13</v>
      </c>
      <c r="AQ307" s="37" t="n">
        <v>100</v>
      </c>
      <c r="AR307" s="37" t="n">
        <v>98.35000000000001</v>
      </c>
      <c r="AS307" s="37" t="n">
        <v>80.97999999999999</v>
      </c>
      <c r="AT307" s="37" t="n">
        <v>128.83</v>
      </c>
      <c r="AU307" s="37" t="n">
        <v>116.55</v>
      </c>
      <c r="AV307" s="37" t="n">
        <v>103.69</v>
      </c>
      <c r="AW307" s="37" t="n">
        <v>97.92999999999999</v>
      </c>
      <c r="AX307" s="37" t="n">
        <v>97.17999999999999</v>
      </c>
      <c r="AY307" s="37" t="n">
        <v>97.06</v>
      </c>
      <c r="AZ307" s="37" t="n">
        <v>80.97999999999999</v>
      </c>
      <c r="BA307" s="37" t="n">
        <v>116.05</v>
      </c>
      <c r="BB307" s="37" t="n">
        <v>108.5</v>
      </c>
      <c r="BC307" s="37" t="n">
        <v>64.59999999999999</v>
      </c>
      <c r="BD307" s="37" t="n">
        <v>93.57000000000001</v>
      </c>
      <c r="BE307" s="37" t="n">
        <v>110.12</v>
      </c>
      <c r="BF307" s="37" t="n">
        <v>107.09</v>
      </c>
      <c r="BG307" s="37" t="n">
        <v>86.98</v>
      </c>
      <c r="BH307" s="37" t="n">
        <v>128.58</v>
      </c>
      <c r="BI307" s="37" t="n">
        <v>108.5</v>
      </c>
      <c r="BJ307" s="37" t="n">
        <v>100.64</v>
      </c>
      <c r="BK307" s="37" t="n">
        <v>110</v>
      </c>
      <c r="BL307" s="37" t="n">
        <v>110.12</v>
      </c>
      <c r="BM307" s="37" t="n">
        <v>107.09</v>
      </c>
      <c r="BN307" s="37" t="n">
        <v>86.98</v>
      </c>
      <c r="BO307" s="37" t="n">
        <v>128.58</v>
      </c>
      <c r="BP307" s="37" t="n">
        <v>108.5</v>
      </c>
      <c r="BQ307" s="37" t="n">
        <v>107.3</v>
      </c>
      <c r="BR307" s="37" t="n">
        <v>110</v>
      </c>
      <c r="BS307" s="37" t="n">
        <v>110.12</v>
      </c>
      <c r="BT307" s="37" t="n">
        <v>107.09</v>
      </c>
      <c r="BU307" s="37" t="n">
        <v>86.98</v>
      </c>
      <c r="BV307" s="37" t="n">
        <v>128.58</v>
      </c>
      <c r="BW307" s="37" t="n">
        <v>108.5</v>
      </c>
      <c r="BX307" s="37" t="n">
        <v>107.3</v>
      </c>
      <c r="BY307" s="37" t="n">
        <v>110</v>
      </c>
      <c r="BZ307" s="37" t="n">
        <v>110.12</v>
      </c>
      <c r="CA307" s="37" t="n">
        <v>107.09</v>
      </c>
      <c r="CB307" s="37" t="n">
        <v>86.98</v>
      </c>
      <c r="CC307" s="37" t="n">
        <v>8492.99</v>
      </c>
    </row>
    <row r="308" ht="15.75" customHeight="1" s="57">
      <c r="A308" s="7" t="inlineStr">
        <is>
          <t>NTB</t>
        </is>
      </c>
      <c r="B308" s="7" t="inlineStr">
        <is>
          <t>Lâm Đồng</t>
        </is>
      </c>
      <c r="C308" s="7" t="n">
        <v>1896</v>
      </c>
      <c r="D308" s="7" t="inlineStr">
        <is>
          <t>(LDO) Đạ Huoai</t>
        </is>
      </c>
      <c r="E308" s="7" t="inlineStr">
        <is>
          <t>TTS-Bulky</t>
        </is>
      </c>
      <c r="F308" s="36" t="n">
        <v>2</v>
      </c>
      <c r="G308" s="36" t="n">
        <v>3</v>
      </c>
      <c r="H308" s="36" t="n">
        <v>1</v>
      </c>
      <c r="I308" s="36" t="n">
        <v>3</v>
      </c>
      <c r="J308" s="36" t="n">
        <v>3</v>
      </c>
      <c r="K308" s="28" t="n">
        <v>5</v>
      </c>
      <c r="L308" s="36" t="n">
        <v>2</v>
      </c>
      <c r="M308" s="36" t="n">
        <v>0</v>
      </c>
      <c r="N308" s="36" t="n">
        <v>0</v>
      </c>
      <c r="O308" s="36" t="n">
        <v>0</v>
      </c>
      <c r="P308" s="36" t="n">
        <v>2</v>
      </c>
      <c r="Q308" s="36" t="n">
        <v>2</v>
      </c>
      <c r="R308" s="28" t="n">
        <v>1</v>
      </c>
      <c r="S308" s="36" t="n">
        <v>2</v>
      </c>
      <c r="T308" s="36" t="n">
        <v>3</v>
      </c>
      <c r="U308" s="36" t="n">
        <v>6.07</v>
      </c>
      <c r="V308" s="36" t="n">
        <v>6.15</v>
      </c>
      <c r="W308" s="36" t="n">
        <v>2.9</v>
      </c>
      <c r="X308" s="36" t="n">
        <v>2.09</v>
      </c>
      <c r="Y308" s="28" t="n">
        <v>3.79</v>
      </c>
      <c r="Z308" s="36" t="n">
        <v>3.02</v>
      </c>
      <c r="AA308" s="36" t="n">
        <v>3.21</v>
      </c>
      <c r="AB308" s="36" t="n">
        <v>3.33</v>
      </c>
      <c r="AC308" s="36" t="n">
        <v>3.52</v>
      </c>
      <c r="AD308" s="36" t="n">
        <v>5.26</v>
      </c>
      <c r="AE308" s="36" t="n">
        <v>2.36</v>
      </c>
      <c r="AF308" s="28" t="n">
        <v>3.75</v>
      </c>
      <c r="AG308" s="36" t="n">
        <v>2.86</v>
      </c>
      <c r="AH308" s="37" t="n">
        <v>2.86</v>
      </c>
      <c r="AI308" s="37" t="n">
        <v>2.9</v>
      </c>
      <c r="AJ308" s="37" t="n">
        <v>3.29</v>
      </c>
      <c r="AK308" s="37" t="n">
        <v>3.13</v>
      </c>
      <c r="AL308" s="37" t="n">
        <v>2.24</v>
      </c>
      <c r="AM308" s="37" t="n">
        <v>3.75</v>
      </c>
      <c r="AN308" s="37" t="n">
        <v>2.9</v>
      </c>
      <c r="AO308" s="37" t="n">
        <v>2.86</v>
      </c>
      <c r="AP308" s="37" t="n">
        <v>2.86</v>
      </c>
      <c r="AQ308" s="37" t="n">
        <v>3.13</v>
      </c>
      <c r="AR308" s="37" t="n">
        <v>2.9</v>
      </c>
      <c r="AS308" s="37" t="n">
        <v>2.17</v>
      </c>
      <c r="AT308" s="37" t="n">
        <v>3.91</v>
      </c>
      <c r="AU308" s="37" t="n">
        <v>3.33</v>
      </c>
      <c r="AV308" s="37" t="n">
        <v>2.94</v>
      </c>
      <c r="AW308" s="37" t="n">
        <v>2.82</v>
      </c>
      <c r="AX308" s="37" t="n">
        <v>3.13</v>
      </c>
      <c r="AY308" s="37" t="n">
        <v>2.86</v>
      </c>
      <c r="AZ308" s="37" t="n">
        <v>2.17</v>
      </c>
      <c r="BA308" s="37" t="n">
        <v>3.29</v>
      </c>
      <c r="BB308" s="37" t="n">
        <v>0.77</v>
      </c>
      <c r="BC308" s="37" t="n">
        <v>0.5</v>
      </c>
      <c r="BD308" s="37" t="n">
        <v>0.62</v>
      </c>
      <c r="BE308" s="37" t="n">
        <v>0.8100000000000001</v>
      </c>
      <c r="BF308" s="37" t="n">
        <v>0.8100000000000001</v>
      </c>
      <c r="BG308" s="37" t="n">
        <v>0.54</v>
      </c>
      <c r="BH308" s="37" t="n">
        <v>1.04</v>
      </c>
      <c r="BI308" s="37" t="n">
        <v>0.8100000000000001</v>
      </c>
      <c r="BJ308" s="37" t="n">
        <v>1.32</v>
      </c>
      <c r="BK308" s="37" t="n">
        <v>0.85</v>
      </c>
      <c r="BL308" s="37" t="n">
        <v>0.8100000000000001</v>
      </c>
      <c r="BM308" s="37" t="n">
        <v>0.8100000000000001</v>
      </c>
      <c r="BN308" s="37" t="n">
        <v>0.62</v>
      </c>
      <c r="BO308" s="37" t="n">
        <v>1.2</v>
      </c>
      <c r="BP308" s="37" t="n">
        <v>0.93</v>
      </c>
      <c r="BQ308" s="37" t="n">
        <v>0.85</v>
      </c>
      <c r="BR308" s="37" t="n">
        <v>0.85</v>
      </c>
      <c r="BS308" s="37" t="n">
        <v>0.8100000000000001</v>
      </c>
      <c r="BT308" s="37" t="n">
        <v>0.8100000000000001</v>
      </c>
      <c r="BU308" s="37" t="n">
        <v>0.54</v>
      </c>
      <c r="BV308" s="37" t="n">
        <v>0.89</v>
      </c>
      <c r="BW308" s="37" t="n">
        <v>0.8100000000000001</v>
      </c>
      <c r="BX308" s="37" t="n">
        <v>0.85</v>
      </c>
      <c r="BY308" s="37" t="n">
        <v>0.85</v>
      </c>
      <c r="BZ308" s="37" t="n">
        <v>0.8100000000000001</v>
      </c>
      <c r="CA308" s="37" t="n">
        <v>0.8100000000000001</v>
      </c>
      <c r="CB308" s="37" t="n">
        <v>0.54</v>
      </c>
      <c r="CC308" s="37" t="n">
        <v>158.61</v>
      </c>
    </row>
    <row r="309" ht="15.75" customHeight="1" s="57">
      <c r="A309" s="7" t="inlineStr">
        <is>
          <t>NTB</t>
        </is>
      </c>
      <c r="B309" s="7" t="inlineStr">
        <is>
          <t>Lâm Đồng</t>
        </is>
      </c>
      <c r="C309" s="7" t="n">
        <v>20663000</v>
      </c>
      <c r="D309" s="7" t="inlineStr">
        <is>
          <t>(LDO) Đạ Tẻh</t>
        </is>
      </c>
      <c r="E309" s="7" t="inlineStr">
        <is>
          <t>SME</t>
        </is>
      </c>
      <c r="F309" s="36" t="n">
        <v>256</v>
      </c>
      <c r="G309" s="36" t="n">
        <v>208</v>
      </c>
      <c r="H309" s="36" t="n">
        <v>229</v>
      </c>
      <c r="I309" s="36" t="n">
        <v>250</v>
      </c>
      <c r="J309" s="36" t="n">
        <v>207</v>
      </c>
      <c r="K309" s="28" t="n">
        <v>184</v>
      </c>
      <c r="L309" s="36" t="n">
        <v>148</v>
      </c>
      <c r="M309" s="36" t="n">
        <v>162</v>
      </c>
      <c r="N309" s="36" t="n">
        <v>188</v>
      </c>
      <c r="O309" s="36" t="n">
        <v>191</v>
      </c>
      <c r="P309" s="36" t="n">
        <v>189</v>
      </c>
      <c r="Q309" s="36" t="n">
        <v>147</v>
      </c>
      <c r="R309" s="28" t="n">
        <v>185</v>
      </c>
      <c r="S309" s="36" t="n">
        <v>179</v>
      </c>
      <c r="T309" s="36" t="n">
        <v>149</v>
      </c>
      <c r="U309" s="36" t="n">
        <v>226.39</v>
      </c>
      <c r="V309" s="36" t="n">
        <v>234.56</v>
      </c>
      <c r="W309" s="36" t="n">
        <v>228.05</v>
      </c>
      <c r="X309" s="36" t="n">
        <v>186.5</v>
      </c>
      <c r="Y309" s="28" t="n">
        <v>252.67</v>
      </c>
      <c r="Z309" s="36" t="n">
        <v>232.8</v>
      </c>
      <c r="AA309" s="36" t="n">
        <v>227.08</v>
      </c>
      <c r="AB309" s="36" t="n">
        <v>226.39</v>
      </c>
      <c r="AC309" s="36" t="n">
        <v>234.56</v>
      </c>
      <c r="AD309" s="36" t="n">
        <v>235.68</v>
      </c>
      <c r="AE309" s="36" t="n">
        <v>186.5</v>
      </c>
      <c r="AF309" s="28" t="n">
        <v>252.67</v>
      </c>
      <c r="AG309" s="36" t="n">
        <v>232.8</v>
      </c>
      <c r="AH309" s="37" t="n">
        <v>227.08</v>
      </c>
      <c r="AI309" s="37" t="n">
        <v>226.39</v>
      </c>
      <c r="AJ309" s="37" t="n">
        <v>234.56</v>
      </c>
      <c r="AK309" s="37" t="n">
        <v>228.05</v>
      </c>
      <c r="AL309" s="37" t="n">
        <v>186.5</v>
      </c>
      <c r="AM309" s="37" t="n">
        <v>252.67</v>
      </c>
      <c r="AN309" s="37" t="n">
        <v>232.8</v>
      </c>
      <c r="AO309" s="37" t="n">
        <v>227.08</v>
      </c>
      <c r="AP309" s="37" t="n">
        <v>226.39</v>
      </c>
      <c r="AQ309" s="37" t="n">
        <v>234.56</v>
      </c>
      <c r="AR309" s="37" t="n">
        <v>228.05</v>
      </c>
      <c r="AS309" s="37" t="n">
        <v>186.5</v>
      </c>
      <c r="AT309" s="37" t="n">
        <v>252.67</v>
      </c>
      <c r="AU309" s="37" t="n">
        <v>232.8</v>
      </c>
      <c r="AV309" s="37" t="n">
        <v>227.08</v>
      </c>
      <c r="AW309" s="37" t="n">
        <v>226.39</v>
      </c>
      <c r="AX309" s="37" t="n">
        <v>234.56</v>
      </c>
      <c r="AY309" s="37" t="n">
        <v>228.05</v>
      </c>
      <c r="AZ309" s="37" t="n">
        <v>186.5</v>
      </c>
      <c r="BA309" s="37" t="n">
        <v>227.35</v>
      </c>
      <c r="BB309" s="37" t="n">
        <v>204.14</v>
      </c>
      <c r="BC309" s="37" t="n">
        <v>129.07</v>
      </c>
      <c r="BD309" s="37" t="n">
        <v>128.64</v>
      </c>
      <c r="BE309" s="37" t="n">
        <v>217.3</v>
      </c>
      <c r="BF309" s="37" t="n">
        <v>211.78</v>
      </c>
      <c r="BG309" s="37" t="n">
        <v>192.37</v>
      </c>
      <c r="BH309" s="37" t="n">
        <v>260.57</v>
      </c>
      <c r="BI309" s="37" t="n">
        <v>239.96</v>
      </c>
      <c r="BJ309" s="37" t="n">
        <v>242.02</v>
      </c>
      <c r="BK309" s="37" t="n">
        <v>233.32</v>
      </c>
      <c r="BL309" s="37" t="n">
        <v>241.8</v>
      </c>
      <c r="BM309" s="37" t="n">
        <v>234.99</v>
      </c>
      <c r="BN309" s="37" t="n">
        <v>192.37</v>
      </c>
      <c r="BO309" s="37" t="n">
        <v>260.57</v>
      </c>
      <c r="BP309" s="37" t="n">
        <v>239.96</v>
      </c>
      <c r="BQ309" s="37" t="n">
        <v>233.99</v>
      </c>
      <c r="BR309" s="37" t="n">
        <v>233.32</v>
      </c>
      <c r="BS309" s="37" t="n">
        <v>241.8</v>
      </c>
      <c r="BT309" s="37" t="n">
        <v>234.99</v>
      </c>
      <c r="BU309" s="37" t="n">
        <v>192.37</v>
      </c>
      <c r="BV309" s="37" t="n">
        <v>260.57</v>
      </c>
      <c r="BW309" s="37" t="n">
        <v>239.96</v>
      </c>
      <c r="BX309" s="37" t="n">
        <v>233.99</v>
      </c>
      <c r="BY309" s="37" t="n">
        <v>233.32</v>
      </c>
      <c r="BZ309" s="37" t="n">
        <v>241.8</v>
      </c>
      <c r="CA309" s="37" t="n">
        <v>234.99</v>
      </c>
      <c r="CB309" s="37" t="n">
        <v>192.37</v>
      </c>
      <c r="CC309" s="37" t="n">
        <v>16337.00999999999</v>
      </c>
    </row>
    <row r="310" ht="15.75" customHeight="1" s="57">
      <c r="A310" s="7" t="inlineStr">
        <is>
          <t>NTB</t>
        </is>
      </c>
      <c r="B310" s="7" t="inlineStr">
        <is>
          <t>Lâm Đồng</t>
        </is>
      </c>
      <c r="C310" s="7" t="n">
        <v>20663000</v>
      </c>
      <c r="D310" s="7" t="inlineStr">
        <is>
          <t>(LDO) Đạ Tẻh</t>
        </is>
      </c>
      <c r="E310" s="7" t="inlineStr">
        <is>
          <t>SME-Bulky</t>
        </is>
      </c>
      <c r="F310" s="36" t="n">
        <v>17</v>
      </c>
      <c r="G310" s="36" t="n">
        <v>19</v>
      </c>
      <c r="H310" s="36" t="n">
        <v>16</v>
      </c>
      <c r="I310" s="36" t="n">
        <v>19</v>
      </c>
      <c r="J310" s="36" t="n">
        <v>11</v>
      </c>
      <c r="K310" s="28" t="n">
        <v>14</v>
      </c>
      <c r="L310" s="36" t="n">
        <v>9</v>
      </c>
      <c r="M310" s="36" t="n">
        <v>8</v>
      </c>
      <c r="N310" s="36" t="n">
        <v>16</v>
      </c>
      <c r="O310" s="36" t="n">
        <v>20</v>
      </c>
      <c r="P310" s="36" t="n">
        <v>10</v>
      </c>
      <c r="Q310" s="36" t="n">
        <v>18</v>
      </c>
      <c r="R310" s="28" t="n">
        <v>17</v>
      </c>
      <c r="S310" s="36" t="n">
        <v>22</v>
      </c>
      <c r="T310" s="36" t="n">
        <v>11</v>
      </c>
      <c r="U310" s="36" t="n">
        <v>16.21</v>
      </c>
      <c r="V310" s="36" t="n">
        <v>16.03</v>
      </c>
      <c r="W310" s="36" t="n">
        <v>15.16</v>
      </c>
      <c r="X310" s="36" t="n">
        <v>10.09</v>
      </c>
      <c r="Y310" s="28" t="n">
        <v>18.11</v>
      </c>
      <c r="Z310" s="36" t="n">
        <v>17.3</v>
      </c>
      <c r="AA310" s="36" t="n">
        <v>17.05</v>
      </c>
      <c r="AB310" s="36" t="n">
        <v>16.21</v>
      </c>
      <c r="AC310" s="36" t="n">
        <v>16.03</v>
      </c>
      <c r="AD310" s="36" t="n">
        <v>14.24</v>
      </c>
      <c r="AE310" s="36" t="n">
        <v>10.09</v>
      </c>
      <c r="AF310" s="28" t="n">
        <v>18.11</v>
      </c>
      <c r="AG310" s="36" t="n">
        <v>17.3</v>
      </c>
      <c r="AH310" s="37" t="n">
        <v>17.05</v>
      </c>
      <c r="AI310" s="37" t="n">
        <v>16.21</v>
      </c>
      <c r="AJ310" s="37" t="n">
        <v>16.03</v>
      </c>
      <c r="AK310" s="37" t="n">
        <v>15.16</v>
      </c>
      <c r="AL310" s="37" t="n">
        <v>10.09</v>
      </c>
      <c r="AM310" s="37" t="n">
        <v>18.11</v>
      </c>
      <c r="AN310" s="37" t="n">
        <v>17.3</v>
      </c>
      <c r="AO310" s="37" t="n">
        <v>17.05</v>
      </c>
      <c r="AP310" s="37" t="n">
        <v>16.21</v>
      </c>
      <c r="AQ310" s="37" t="n">
        <v>16.03</v>
      </c>
      <c r="AR310" s="37" t="n">
        <v>15.16</v>
      </c>
      <c r="AS310" s="37" t="n">
        <v>10.09</v>
      </c>
      <c r="AT310" s="37" t="n">
        <v>18.11</v>
      </c>
      <c r="AU310" s="37" t="n">
        <v>17.3</v>
      </c>
      <c r="AV310" s="37" t="n">
        <v>17.05</v>
      </c>
      <c r="AW310" s="37" t="n">
        <v>16.21</v>
      </c>
      <c r="AX310" s="37" t="n">
        <v>16.03</v>
      </c>
      <c r="AY310" s="37" t="n">
        <v>15.16</v>
      </c>
      <c r="AZ310" s="37" t="n">
        <v>10.09</v>
      </c>
      <c r="BA310" s="37" t="n">
        <v>18.18</v>
      </c>
      <c r="BB310" s="37" t="n">
        <v>9.56</v>
      </c>
      <c r="BC310" s="37" t="n">
        <v>4.85</v>
      </c>
      <c r="BD310" s="37" t="n">
        <v>4.4</v>
      </c>
      <c r="BE310" s="37" t="n">
        <v>8.369999999999999</v>
      </c>
      <c r="BF310" s="37" t="n">
        <v>7.77</v>
      </c>
      <c r="BG310" s="37" t="n">
        <v>6.05</v>
      </c>
      <c r="BH310" s="37" t="n">
        <v>10.51</v>
      </c>
      <c r="BI310" s="37" t="n">
        <v>10.44</v>
      </c>
      <c r="BJ310" s="37" t="n">
        <v>9.039999999999999</v>
      </c>
      <c r="BK310" s="37" t="n">
        <v>9.6</v>
      </c>
      <c r="BL310" s="37" t="n">
        <v>9.630000000000001</v>
      </c>
      <c r="BM310" s="37" t="n">
        <v>8.970000000000001</v>
      </c>
      <c r="BN310" s="37" t="n">
        <v>6.05</v>
      </c>
      <c r="BO310" s="37" t="n">
        <v>10.51</v>
      </c>
      <c r="BP310" s="37" t="n">
        <v>10.44</v>
      </c>
      <c r="BQ310" s="37" t="n">
        <v>9.949999999999999</v>
      </c>
      <c r="BR310" s="37" t="n">
        <v>9.6</v>
      </c>
      <c r="BS310" s="37" t="n">
        <v>9.630000000000001</v>
      </c>
      <c r="BT310" s="37" t="n">
        <v>8.970000000000001</v>
      </c>
      <c r="BU310" s="37" t="n">
        <v>6.05</v>
      </c>
      <c r="BV310" s="37" t="n">
        <v>10.51</v>
      </c>
      <c r="BW310" s="37" t="n">
        <v>10.44</v>
      </c>
      <c r="BX310" s="37" t="n">
        <v>9.949999999999999</v>
      </c>
      <c r="BY310" s="37" t="n">
        <v>9.6</v>
      </c>
      <c r="BZ310" s="37" t="n">
        <v>9.630000000000001</v>
      </c>
      <c r="CA310" s="37" t="n">
        <v>8.970000000000001</v>
      </c>
      <c r="CB310" s="37" t="n">
        <v>6.05</v>
      </c>
      <c r="CC310" s="37" t="n">
        <v>977.0899999999999</v>
      </c>
    </row>
    <row r="311" ht="15.75" customHeight="1" s="57">
      <c r="A311" s="7" t="inlineStr">
        <is>
          <t>NTB</t>
        </is>
      </c>
      <c r="B311" s="7" t="inlineStr">
        <is>
          <t>Lâm Đồng</t>
        </is>
      </c>
      <c r="C311" s="7" t="n">
        <v>20663000</v>
      </c>
      <c r="D311" s="7" t="inlineStr">
        <is>
          <t>(LDO) Đạ Tẻh</t>
        </is>
      </c>
      <c r="E311" s="7" t="inlineStr">
        <is>
          <t>Shopee</t>
        </is>
      </c>
      <c r="F311" s="36" t="n">
        <v>124</v>
      </c>
      <c r="G311" s="36" t="n">
        <v>151</v>
      </c>
      <c r="H311" s="36" t="n">
        <v>132</v>
      </c>
      <c r="I311" s="36" t="n">
        <v>140</v>
      </c>
      <c r="J311" s="36" t="n">
        <v>119</v>
      </c>
      <c r="K311" s="28" t="n">
        <v>83</v>
      </c>
      <c r="L311" s="36" t="n">
        <v>114</v>
      </c>
      <c r="M311" s="36" t="n">
        <v>117</v>
      </c>
      <c r="N311" s="36" t="n">
        <v>133</v>
      </c>
      <c r="O311" s="36" t="n">
        <v>108</v>
      </c>
      <c r="P311" s="36" t="n">
        <v>105</v>
      </c>
      <c r="Q311" s="36" t="n">
        <v>88</v>
      </c>
      <c r="R311" s="28" t="n">
        <v>103</v>
      </c>
      <c r="S311" s="36" t="n">
        <v>104</v>
      </c>
      <c r="T311" s="36" t="n">
        <v>84</v>
      </c>
      <c r="U311" s="36" t="n">
        <v>159.73</v>
      </c>
      <c r="V311" s="36" t="n">
        <v>160.31</v>
      </c>
      <c r="W311" s="36" t="n">
        <v>158.01</v>
      </c>
      <c r="X311" s="36" t="n">
        <v>128.49</v>
      </c>
      <c r="Y311" s="28" t="n">
        <v>215.24</v>
      </c>
      <c r="Z311" s="36" t="n">
        <v>170.39</v>
      </c>
      <c r="AA311" s="36" t="n">
        <v>234.33</v>
      </c>
      <c r="AB311" s="36" t="n">
        <v>163.03</v>
      </c>
      <c r="AC311" s="36" t="n">
        <v>131.56</v>
      </c>
      <c r="AD311" s="36" t="n">
        <v>342.89</v>
      </c>
      <c r="AE311" s="36" t="n">
        <v>137.62</v>
      </c>
      <c r="AF311" s="28" t="n">
        <v>245.33</v>
      </c>
      <c r="AG311" s="36" t="n">
        <v>178.9</v>
      </c>
      <c r="AH311" s="37" t="n">
        <v>188.87</v>
      </c>
      <c r="AI311" s="37" t="n">
        <v>159.73</v>
      </c>
      <c r="AJ311" s="37" t="n">
        <v>160.31</v>
      </c>
      <c r="AK311" s="37" t="n">
        <v>213.21</v>
      </c>
      <c r="AL311" s="37" t="n">
        <v>230.76</v>
      </c>
      <c r="AM311" s="37" t="n">
        <v>215.24</v>
      </c>
      <c r="AN311" s="37" t="n">
        <v>170.39</v>
      </c>
      <c r="AO311" s="37" t="n">
        <v>188.87</v>
      </c>
      <c r="AP311" s="37" t="n">
        <v>199.41</v>
      </c>
      <c r="AQ311" s="37" t="n">
        <v>128.53</v>
      </c>
      <c r="AR311" s="37" t="n">
        <v>158.01</v>
      </c>
      <c r="AS311" s="37" t="n">
        <v>128.49</v>
      </c>
      <c r="AT311" s="37" t="n">
        <v>215.24</v>
      </c>
      <c r="AU311" s="37" t="n">
        <v>173.92</v>
      </c>
      <c r="AV311" s="37" t="n">
        <v>192.7</v>
      </c>
      <c r="AW311" s="37" t="n">
        <v>159.73</v>
      </c>
      <c r="AX311" s="37" t="n">
        <v>160.31</v>
      </c>
      <c r="AY311" s="37" t="n">
        <v>158.01</v>
      </c>
      <c r="AZ311" s="37" t="n">
        <v>128.49</v>
      </c>
      <c r="BA311" s="37" t="n">
        <v>165.79</v>
      </c>
      <c r="BB311" s="37" t="n">
        <v>144.36</v>
      </c>
      <c r="BC311" s="37" t="n">
        <v>73.83</v>
      </c>
      <c r="BD311" s="37" t="n">
        <v>130.83</v>
      </c>
      <c r="BE311" s="37" t="n">
        <v>152.68</v>
      </c>
      <c r="BF311" s="37" t="n">
        <v>150.49</v>
      </c>
      <c r="BG311" s="37" t="n">
        <v>124.85</v>
      </c>
      <c r="BH311" s="37" t="n">
        <v>205</v>
      </c>
      <c r="BI311" s="37" t="n">
        <v>133.32</v>
      </c>
      <c r="BJ311" s="37" t="n">
        <v>486.64</v>
      </c>
      <c r="BK311" s="37" t="n">
        <v>162.88</v>
      </c>
      <c r="BL311" s="37" t="n">
        <v>160.38</v>
      </c>
      <c r="BM311" s="37" t="n">
        <v>150.49</v>
      </c>
      <c r="BN311" s="37" t="n">
        <v>122.4</v>
      </c>
      <c r="BO311" s="37" t="n">
        <v>205</v>
      </c>
      <c r="BP311" s="37" t="n">
        <v>219</v>
      </c>
      <c r="BQ311" s="37" t="n">
        <v>323.26</v>
      </c>
      <c r="BR311" s="37" t="n">
        <v>152.18</v>
      </c>
      <c r="BS311" s="37" t="n">
        <v>152.68</v>
      </c>
      <c r="BT311" s="37" t="n">
        <v>150.49</v>
      </c>
      <c r="BU311" s="37" t="n">
        <v>152.91</v>
      </c>
      <c r="BV311" s="37" t="n">
        <v>164.26</v>
      </c>
      <c r="BW311" s="37" t="n">
        <v>162.26</v>
      </c>
      <c r="BX311" s="37" t="n">
        <v>179.9</v>
      </c>
      <c r="BY311" s="37" t="n">
        <v>152.18</v>
      </c>
      <c r="BZ311" s="37" t="n">
        <v>155.9</v>
      </c>
      <c r="CA311" s="37" t="n">
        <v>153.41</v>
      </c>
      <c r="CB311" s="37" t="n">
        <v>122.4</v>
      </c>
      <c r="CC311" s="37" t="n">
        <v>12270.82</v>
      </c>
    </row>
    <row r="312" ht="15.75" customHeight="1" s="57">
      <c r="A312" s="7" t="inlineStr">
        <is>
          <t>NTB</t>
        </is>
      </c>
      <c r="B312" s="7" t="inlineStr">
        <is>
          <t>Lâm Đồng</t>
        </is>
      </c>
      <c r="C312" s="7" t="n">
        <v>20663000</v>
      </c>
      <c r="D312" s="7" t="inlineStr">
        <is>
          <t>(LDO) Đạ Tẻh</t>
        </is>
      </c>
      <c r="E312" s="7" t="inlineStr">
        <is>
          <t>Shopee-Bulky</t>
        </is>
      </c>
      <c r="F312" s="36" t="n">
        <v>14.58</v>
      </c>
      <c r="G312" s="36" t="n">
        <v>26.63</v>
      </c>
      <c r="H312" s="36" t="n">
        <v>15.22</v>
      </c>
      <c r="I312" s="36" t="n">
        <v>17.75</v>
      </c>
      <c r="J312" s="36" t="n">
        <v>13.31</v>
      </c>
      <c r="K312" s="28" t="n">
        <v>6.97</v>
      </c>
      <c r="L312" s="36" t="n">
        <v>14.58</v>
      </c>
      <c r="M312" s="36" t="n">
        <v>22.19</v>
      </c>
      <c r="N312" s="36" t="n">
        <v>16.49</v>
      </c>
      <c r="O312" s="36" t="n">
        <v>13.95</v>
      </c>
      <c r="P312" s="36" t="n">
        <v>15.22</v>
      </c>
      <c r="Q312" s="36" t="n">
        <v>19.02</v>
      </c>
      <c r="R312" s="28" t="n">
        <v>13.95</v>
      </c>
      <c r="S312" s="36" t="n">
        <v>16.49</v>
      </c>
      <c r="T312" s="36" t="n">
        <v>14.58</v>
      </c>
      <c r="U312" s="36" t="n">
        <v>15.18</v>
      </c>
      <c r="V312" s="36" t="n">
        <v>14.63</v>
      </c>
      <c r="W312" s="36" t="n">
        <v>20.12</v>
      </c>
      <c r="X312" s="36" t="n">
        <v>11.38</v>
      </c>
      <c r="Y312" s="28" t="n">
        <v>22.28</v>
      </c>
      <c r="Z312" s="36" t="n">
        <v>17.62</v>
      </c>
      <c r="AA312" s="36" t="n">
        <v>17.12</v>
      </c>
      <c r="AB312" s="36" t="n">
        <v>17.32</v>
      </c>
      <c r="AC312" s="36" t="n">
        <v>18.19</v>
      </c>
      <c r="AD312" s="36" t="n">
        <v>49</v>
      </c>
      <c r="AE312" s="36" t="n">
        <v>29.25</v>
      </c>
      <c r="AF312" s="28" t="n">
        <v>43.61</v>
      </c>
      <c r="AG312" s="36" t="n">
        <v>24.76</v>
      </c>
      <c r="AH312" s="37" t="n">
        <v>17.41</v>
      </c>
      <c r="AI312" s="37" t="n">
        <v>16.75</v>
      </c>
      <c r="AJ312" s="37" t="n">
        <v>16.62</v>
      </c>
      <c r="AK312" s="37" t="n">
        <v>37.62</v>
      </c>
      <c r="AL312" s="37" t="n">
        <v>19.14</v>
      </c>
      <c r="AM312" s="37" t="n">
        <v>27.34</v>
      </c>
      <c r="AN312" s="37" t="n">
        <v>17.3</v>
      </c>
      <c r="AO312" s="37" t="n">
        <v>16.96</v>
      </c>
      <c r="AP312" s="37" t="n">
        <v>22.9</v>
      </c>
      <c r="AQ312" s="37" t="n">
        <v>22.76</v>
      </c>
      <c r="AR312" s="37" t="n">
        <v>18.09</v>
      </c>
      <c r="AS312" s="37" t="n">
        <v>10.01</v>
      </c>
      <c r="AT312" s="37" t="n">
        <v>20.46</v>
      </c>
      <c r="AU312" s="37" t="n">
        <v>33.66</v>
      </c>
      <c r="AV312" s="37" t="n">
        <v>34.94</v>
      </c>
      <c r="AW312" s="37" t="n">
        <v>17</v>
      </c>
      <c r="AX312" s="37" t="n">
        <v>15.96</v>
      </c>
      <c r="AY312" s="37" t="n">
        <v>17.32</v>
      </c>
      <c r="AZ312" s="37" t="n">
        <v>9.630000000000001</v>
      </c>
      <c r="BA312" s="37" t="n">
        <v>18.71</v>
      </c>
      <c r="BB312" s="37" t="n">
        <v>17.39</v>
      </c>
      <c r="BC312" s="37" t="n">
        <v>5.85</v>
      </c>
      <c r="BD312" s="37" t="n">
        <v>14.89</v>
      </c>
      <c r="BE312" s="37" t="n">
        <v>18.3</v>
      </c>
      <c r="BF312" s="37" t="n">
        <v>15.73</v>
      </c>
      <c r="BG312" s="37" t="n">
        <v>13.06</v>
      </c>
      <c r="BH312" s="37" t="n">
        <v>23.94</v>
      </c>
      <c r="BI312" s="37" t="n">
        <v>20.44</v>
      </c>
      <c r="BJ312" s="37" t="n">
        <v>77.95</v>
      </c>
      <c r="BK312" s="37" t="n">
        <v>43.24</v>
      </c>
      <c r="BL312" s="37" t="n">
        <v>22.28</v>
      </c>
      <c r="BM312" s="37" t="n">
        <v>16.62</v>
      </c>
      <c r="BN312" s="37" t="n">
        <v>12.61</v>
      </c>
      <c r="BO312" s="37" t="n">
        <v>27.84</v>
      </c>
      <c r="BP312" s="37" t="n">
        <v>40.65</v>
      </c>
      <c r="BQ312" s="37" t="n">
        <v>29.41</v>
      </c>
      <c r="BR312" s="37" t="n">
        <v>19.35</v>
      </c>
      <c r="BS312" s="37" t="n">
        <v>18.3</v>
      </c>
      <c r="BT312" s="37" t="n">
        <v>15.73</v>
      </c>
      <c r="BU312" s="37" t="n">
        <v>18.55</v>
      </c>
      <c r="BV312" s="37" t="n">
        <v>25.36</v>
      </c>
      <c r="BW312" s="37" t="n">
        <v>20.44</v>
      </c>
      <c r="BX312" s="37" t="n">
        <v>19.73</v>
      </c>
      <c r="BY312" s="37" t="n">
        <v>19.35</v>
      </c>
      <c r="BZ312" s="37" t="n">
        <v>33.16</v>
      </c>
      <c r="CA312" s="37" t="n">
        <v>19.12</v>
      </c>
      <c r="CB312" s="37" t="n">
        <v>12.45</v>
      </c>
      <c r="CC312" s="37" t="n">
        <v>1573.71</v>
      </c>
    </row>
    <row r="313" ht="15.75" customHeight="1" s="57">
      <c r="A313" s="7" t="inlineStr">
        <is>
          <t>NTB</t>
        </is>
      </c>
      <c r="B313" s="7" t="inlineStr">
        <is>
          <t>Lâm Đồng</t>
        </is>
      </c>
      <c r="C313" s="7" t="n">
        <v>20663000</v>
      </c>
      <c r="D313" s="7" t="inlineStr">
        <is>
          <t>(LDO) Đạ Tẻh</t>
        </is>
      </c>
      <c r="E313" s="7" t="inlineStr">
        <is>
          <t>Shopee-Bulky (10-15kg)</t>
        </is>
      </c>
      <c r="F313" s="36" t="n">
        <v>8.42</v>
      </c>
      <c r="G313" s="36" t="n">
        <v>15.37</v>
      </c>
      <c r="H313" s="36" t="n">
        <v>8.779999999999999</v>
      </c>
      <c r="I313" s="36" t="n">
        <v>10.25</v>
      </c>
      <c r="J313" s="36" t="n">
        <v>7.69</v>
      </c>
      <c r="K313" s="28" t="n">
        <v>4.03</v>
      </c>
      <c r="L313" s="36" t="n">
        <v>8.42</v>
      </c>
      <c r="M313" s="36" t="n">
        <v>12.81</v>
      </c>
      <c r="N313" s="36" t="n">
        <v>9.51</v>
      </c>
      <c r="O313" s="36" t="n">
        <v>8.050000000000001</v>
      </c>
      <c r="P313" s="36" t="n">
        <v>8.779999999999999</v>
      </c>
      <c r="Q313" s="36" t="n">
        <v>10.98</v>
      </c>
      <c r="R313" s="28" t="n">
        <v>8.050000000000001</v>
      </c>
      <c r="S313" s="36" t="n">
        <v>9.51</v>
      </c>
      <c r="T313" s="36" t="n">
        <v>8.42</v>
      </c>
      <c r="U313" s="36" t="n">
        <v>9.130000000000001</v>
      </c>
      <c r="V313" s="36" t="n">
        <v>8.74</v>
      </c>
      <c r="W313" s="36" t="n">
        <v>11.52</v>
      </c>
      <c r="X313" s="36" t="n">
        <v>6.51</v>
      </c>
      <c r="Y313" s="28" t="n">
        <v>12.93</v>
      </c>
      <c r="Z313" s="36" t="n">
        <v>10.08</v>
      </c>
      <c r="AA313" s="36" t="n">
        <v>9.470000000000001</v>
      </c>
      <c r="AB313" s="36" t="n">
        <v>9.92</v>
      </c>
      <c r="AC313" s="36" t="n">
        <v>10.26</v>
      </c>
      <c r="AD313" s="36" t="n">
        <v>39.26</v>
      </c>
      <c r="AE313" s="36" t="n">
        <v>16.39</v>
      </c>
      <c r="AF313" s="28" t="n">
        <v>23.92</v>
      </c>
      <c r="AG313" s="36" t="n">
        <v>14.27</v>
      </c>
      <c r="AH313" s="37" t="n">
        <v>9.949999999999999</v>
      </c>
      <c r="AI313" s="37" t="n">
        <v>9.67</v>
      </c>
      <c r="AJ313" s="37" t="n">
        <v>9.380000000000001</v>
      </c>
      <c r="AK313" s="37" t="n">
        <v>22.08</v>
      </c>
      <c r="AL313" s="37" t="n">
        <v>10.72</v>
      </c>
      <c r="AM313" s="37" t="n">
        <v>15.86</v>
      </c>
      <c r="AN313" s="37" t="n">
        <v>9.970000000000001</v>
      </c>
      <c r="AO313" s="37" t="n">
        <v>9.56</v>
      </c>
      <c r="AP313" s="37" t="n">
        <v>12.59</v>
      </c>
      <c r="AQ313" s="37" t="n">
        <v>12.84</v>
      </c>
      <c r="AR313" s="37" t="n">
        <v>10.4</v>
      </c>
      <c r="AS313" s="37" t="n">
        <v>5.71</v>
      </c>
      <c r="AT313" s="37" t="n">
        <v>11.84</v>
      </c>
      <c r="AU313" s="37" t="n">
        <v>20.03</v>
      </c>
      <c r="AV313" s="37" t="n">
        <v>20.07</v>
      </c>
      <c r="AW313" s="37" t="n">
        <v>9.65</v>
      </c>
      <c r="AX313" s="37" t="n">
        <v>8.94</v>
      </c>
      <c r="AY313" s="37" t="n">
        <v>9.970000000000001</v>
      </c>
      <c r="AZ313" s="37" t="n">
        <v>5.49</v>
      </c>
      <c r="BA313" s="37" t="n">
        <v>10.81</v>
      </c>
      <c r="BB313" s="37" t="n">
        <v>10.04</v>
      </c>
      <c r="BC313" s="37" t="n">
        <v>3.51</v>
      </c>
      <c r="BD313" s="37" t="n">
        <v>8.42</v>
      </c>
      <c r="BE313" s="37" t="n">
        <v>10.49</v>
      </c>
      <c r="BF313" s="37" t="n">
        <v>9.15</v>
      </c>
      <c r="BG313" s="37" t="n">
        <v>7.51</v>
      </c>
      <c r="BH313" s="37" t="n">
        <v>14.02</v>
      </c>
      <c r="BI313" s="37" t="n">
        <v>11.84</v>
      </c>
      <c r="BJ313" s="37" t="n">
        <v>54.08</v>
      </c>
      <c r="BK313" s="37" t="n">
        <v>25.08</v>
      </c>
      <c r="BL313" s="37" t="n">
        <v>12.88</v>
      </c>
      <c r="BM313" s="37" t="n">
        <v>9.51</v>
      </c>
      <c r="BN313" s="37" t="n">
        <v>7.35</v>
      </c>
      <c r="BO313" s="37" t="n">
        <v>15.96</v>
      </c>
      <c r="BP313" s="37" t="n">
        <v>23.65</v>
      </c>
      <c r="BQ313" s="37" t="n">
        <v>17.09</v>
      </c>
      <c r="BR313" s="37" t="n">
        <v>11.11</v>
      </c>
      <c r="BS313" s="37" t="n">
        <v>10.49</v>
      </c>
      <c r="BT313" s="37" t="n">
        <v>9.15</v>
      </c>
      <c r="BU313" s="37" t="n">
        <v>10.61</v>
      </c>
      <c r="BV313" s="37" t="n">
        <v>14.57</v>
      </c>
      <c r="BW313" s="37" t="n">
        <v>11.84</v>
      </c>
      <c r="BX313" s="37" t="n">
        <v>11.29</v>
      </c>
      <c r="BY313" s="37" t="n">
        <v>11.11</v>
      </c>
      <c r="BZ313" s="37" t="n">
        <v>19.21</v>
      </c>
      <c r="CA313" s="37" t="n">
        <v>10.95</v>
      </c>
      <c r="CB313" s="37" t="n">
        <v>7.08</v>
      </c>
      <c r="CC313" s="37" t="n">
        <v>924.9900000000002</v>
      </c>
    </row>
    <row r="314" ht="15.75" customHeight="1" s="57">
      <c r="A314" s="7" t="inlineStr">
        <is>
          <t>NTB</t>
        </is>
      </c>
      <c r="B314" s="7" t="inlineStr">
        <is>
          <t>Lâm Đồng</t>
        </is>
      </c>
      <c r="C314" s="7" t="n">
        <v>20663000</v>
      </c>
      <c r="D314" s="7" t="inlineStr">
        <is>
          <t>(LDO) Đạ Tẻh</t>
        </is>
      </c>
      <c r="E314" s="7" t="inlineStr">
        <is>
          <t>TTS</t>
        </is>
      </c>
      <c r="F314" s="36" t="n">
        <v>149</v>
      </c>
      <c r="G314" s="36" t="n">
        <v>132</v>
      </c>
      <c r="H314" s="36" t="n">
        <v>157</v>
      </c>
      <c r="I314" s="36" t="n">
        <v>174</v>
      </c>
      <c r="J314" s="36" t="n">
        <v>135</v>
      </c>
      <c r="K314" s="28" t="n">
        <v>100</v>
      </c>
      <c r="L314" s="36" t="n">
        <v>112</v>
      </c>
      <c r="M314" s="36" t="n">
        <v>124</v>
      </c>
      <c r="N314" s="36" t="n">
        <v>129</v>
      </c>
      <c r="O314" s="36" t="n">
        <v>119</v>
      </c>
      <c r="P314" s="36" t="n">
        <v>154</v>
      </c>
      <c r="Q314" s="36" t="n">
        <v>96</v>
      </c>
      <c r="R314" s="28" t="n">
        <v>120</v>
      </c>
      <c r="S314" s="36" t="n">
        <v>125</v>
      </c>
      <c r="T314" s="36" t="n">
        <v>110</v>
      </c>
      <c r="U314" s="36" t="n">
        <v>90.14</v>
      </c>
      <c r="V314" s="36" t="n">
        <v>88.58999999999999</v>
      </c>
      <c r="W314" s="36" t="n">
        <v>86.57000000000001</v>
      </c>
      <c r="X314" s="36" t="n">
        <v>69.92</v>
      </c>
      <c r="Y314" s="28" t="n">
        <v>101.51</v>
      </c>
      <c r="Z314" s="36" t="n">
        <v>86.39999999999999</v>
      </c>
      <c r="AA314" s="36" t="n">
        <v>95.86</v>
      </c>
      <c r="AB314" s="36" t="n">
        <v>106.55</v>
      </c>
      <c r="AC314" s="36" t="n">
        <v>112.2</v>
      </c>
      <c r="AD314" s="36" t="n">
        <v>115.04</v>
      </c>
      <c r="AE314" s="36" t="n">
        <v>81.21000000000001</v>
      </c>
      <c r="AF314" s="28" t="n">
        <v>104.97</v>
      </c>
      <c r="AG314" s="36" t="n">
        <v>88.08999999999999</v>
      </c>
      <c r="AH314" s="37" t="n">
        <v>87.11</v>
      </c>
      <c r="AI314" s="37" t="n">
        <v>99.68000000000001</v>
      </c>
      <c r="AJ314" s="37" t="n">
        <v>107.16</v>
      </c>
      <c r="AK314" s="37" t="n">
        <v>105.65</v>
      </c>
      <c r="AL314" s="37" t="n">
        <v>75.35000000000001</v>
      </c>
      <c r="AM314" s="37" t="n">
        <v>103.42</v>
      </c>
      <c r="AN314" s="37" t="n">
        <v>89.24000000000001</v>
      </c>
      <c r="AO314" s="37" t="n">
        <v>88.77</v>
      </c>
      <c r="AP314" s="37" t="n">
        <v>86.03999999999999</v>
      </c>
      <c r="AQ314" s="37" t="n">
        <v>86.78999999999999</v>
      </c>
      <c r="AR314" s="37" t="n">
        <v>85.35000000000001</v>
      </c>
      <c r="AS314" s="37" t="n">
        <v>70.28</v>
      </c>
      <c r="AT314" s="37" t="n">
        <v>111.81</v>
      </c>
      <c r="AU314" s="37" t="n">
        <v>101.15</v>
      </c>
      <c r="AV314" s="37" t="n">
        <v>90</v>
      </c>
      <c r="AW314" s="37" t="n">
        <v>84.98999999999999</v>
      </c>
      <c r="AX314" s="37" t="n">
        <v>84.34999999999999</v>
      </c>
      <c r="AY314" s="37" t="n">
        <v>84.24000000000001</v>
      </c>
      <c r="AZ314" s="37" t="n">
        <v>70.28</v>
      </c>
      <c r="BA314" s="37" t="n">
        <v>100.72</v>
      </c>
      <c r="BB314" s="37" t="n">
        <v>94.18000000000001</v>
      </c>
      <c r="BC314" s="37" t="n">
        <v>56.06</v>
      </c>
      <c r="BD314" s="37" t="n">
        <v>81.22</v>
      </c>
      <c r="BE314" s="37" t="n">
        <v>95.58</v>
      </c>
      <c r="BF314" s="37" t="n">
        <v>92.94999999999999</v>
      </c>
      <c r="BG314" s="37" t="n">
        <v>75.5</v>
      </c>
      <c r="BH314" s="37" t="n">
        <v>111.6</v>
      </c>
      <c r="BI314" s="37" t="n">
        <v>94.18000000000001</v>
      </c>
      <c r="BJ314" s="37" t="n">
        <v>87.39999999999999</v>
      </c>
      <c r="BK314" s="37" t="n">
        <v>95.47</v>
      </c>
      <c r="BL314" s="37" t="n">
        <v>95.58</v>
      </c>
      <c r="BM314" s="37" t="n">
        <v>92.94999999999999</v>
      </c>
      <c r="BN314" s="37" t="n">
        <v>75.5</v>
      </c>
      <c r="BO314" s="37" t="n">
        <v>111.6</v>
      </c>
      <c r="BP314" s="37" t="n">
        <v>94.18000000000001</v>
      </c>
      <c r="BQ314" s="37" t="n">
        <v>93.13</v>
      </c>
      <c r="BR314" s="37" t="n">
        <v>95.47</v>
      </c>
      <c r="BS314" s="37" t="n">
        <v>95.58</v>
      </c>
      <c r="BT314" s="37" t="n">
        <v>92.94999999999999</v>
      </c>
      <c r="BU314" s="37" t="n">
        <v>75.5</v>
      </c>
      <c r="BV314" s="37" t="n">
        <v>111.6</v>
      </c>
      <c r="BW314" s="37" t="n">
        <v>94.18000000000001</v>
      </c>
      <c r="BX314" s="37" t="n">
        <v>93.13</v>
      </c>
      <c r="BY314" s="37" t="n">
        <v>95.47</v>
      </c>
      <c r="BZ314" s="37" t="n">
        <v>95.58</v>
      </c>
      <c r="CA314" s="37" t="n">
        <v>92.94999999999999</v>
      </c>
      <c r="CB314" s="37" t="n">
        <v>75.5</v>
      </c>
      <c r="CC314" s="37" t="n">
        <v>7440.420000000003</v>
      </c>
    </row>
    <row r="315" ht="15.75" customHeight="1" s="57">
      <c r="A315" s="7" t="inlineStr">
        <is>
          <t>NTB</t>
        </is>
      </c>
      <c r="B315" s="7" t="inlineStr">
        <is>
          <t>Lâm Đồng</t>
        </is>
      </c>
      <c r="C315" s="7" t="n">
        <v>20663000</v>
      </c>
      <c r="D315" s="7" t="inlineStr">
        <is>
          <t>(LDO) Đạ Tẻh</t>
        </is>
      </c>
      <c r="E315" s="7" t="inlineStr">
        <is>
          <t>TTS-Bulky</t>
        </is>
      </c>
      <c r="F315" s="36" t="n">
        <v>3</v>
      </c>
      <c r="G315" s="36" t="n">
        <v>1</v>
      </c>
      <c r="H315" s="36" t="n">
        <v>4</v>
      </c>
      <c r="I315" s="36" t="n">
        <v>3</v>
      </c>
      <c r="J315" s="36" t="n">
        <v>6</v>
      </c>
      <c r="K315" s="28" t="n">
        <v>3</v>
      </c>
      <c r="L315" s="36" t="n">
        <v>0</v>
      </c>
      <c r="M315" s="36" t="n">
        <v>2</v>
      </c>
      <c r="N315" s="36" t="n">
        <v>0</v>
      </c>
      <c r="O315" s="36" t="n">
        <v>0</v>
      </c>
      <c r="P315" s="36" t="n">
        <v>1</v>
      </c>
      <c r="Q315" s="36" t="n">
        <v>3</v>
      </c>
      <c r="R315" s="28" t="n">
        <v>2</v>
      </c>
      <c r="S315" s="36" t="n">
        <v>1</v>
      </c>
      <c r="T315" s="36" t="n">
        <v>1</v>
      </c>
      <c r="U315" s="36" t="n">
        <v>6.07</v>
      </c>
      <c r="V315" s="36" t="n">
        <v>6.15</v>
      </c>
      <c r="W315" s="36" t="n">
        <v>2.9</v>
      </c>
      <c r="X315" s="36" t="n">
        <v>2.09</v>
      </c>
      <c r="Y315" s="28" t="n">
        <v>3.79</v>
      </c>
      <c r="Z315" s="36" t="n">
        <v>3.02</v>
      </c>
      <c r="AA315" s="36" t="n">
        <v>3.21</v>
      </c>
      <c r="AB315" s="36" t="n">
        <v>3.33</v>
      </c>
      <c r="AC315" s="36" t="n">
        <v>3.52</v>
      </c>
      <c r="AD315" s="36" t="n">
        <v>5.26</v>
      </c>
      <c r="AE315" s="36" t="n">
        <v>2.36</v>
      </c>
      <c r="AF315" s="28" t="n">
        <v>3.75</v>
      </c>
      <c r="AG315" s="36" t="n">
        <v>2.86</v>
      </c>
      <c r="AH315" s="37" t="n">
        <v>2.86</v>
      </c>
      <c r="AI315" s="37" t="n">
        <v>2.9</v>
      </c>
      <c r="AJ315" s="37" t="n">
        <v>3.29</v>
      </c>
      <c r="AK315" s="37" t="n">
        <v>3.13</v>
      </c>
      <c r="AL315" s="37" t="n">
        <v>2.24</v>
      </c>
      <c r="AM315" s="37" t="n">
        <v>3.75</v>
      </c>
      <c r="AN315" s="37" t="n">
        <v>2.9</v>
      </c>
      <c r="AO315" s="37" t="n">
        <v>2.86</v>
      </c>
      <c r="AP315" s="37" t="n">
        <v>2.86</v>
      </c>
      <c r="AQ315" s="37" t="n">
        <v>3.13</v>
      </c>
      <c r="AR315" s="37" t="n">
        <v>2.9</v>
      </c>
      <c r="AS315" s="37" t="n">
        <v>2.17</v>
      </c>
      <c r="AT315" s="37" t="n">
        <v>3.91</v>
      </c>
      <c r="AU315" s="37" t="n">
        <v>3.33</v>
      </c>
      <c r="AV315" s="37" t="n">
        <v>2.94</v>
      </c>
      <c r="AW315" s="37" t="n">
        <v>2.82</v>
      </c>
      <c r="AX315" s="37" t="n">
        <v>3.13</v>
      </c>
      <c r="AY315" s="37" t="n">
        <v>2.86</v>
      </c>
      <c r="AZ315" s="37" t="n">
        <v>2.17</v>
      </c>
      <c r="BA315" s="37" t="n">
        <v>3.29</v>
      </c>
      <c r="BB315" s="37" t="n">
        <v>0.77</v>
      </c>
      <c r="BC315" s="37" t="n">
        <v>0.5</v>
      </c>
      <c r="BD315" s="37" t="n">
        <v>0.62</v>
      </c>
      <c r="BE315" s="37" t="n">
        <v>0.8100000000000001</v>
      </c>
      <c r="BF315" s="37" t="n">
        <v>0.8100000000000001</v>
      </c>
      <c r="BG315" s="37" t="n">
        <v>0.54</v>
      </c>
      <c r="BH315" s="37" t="n">
        <v>1.04</v>
      </c>
      <c r="BI315" s="37" t="n">
        <v>0.8100000000000001</v>
      </c>
      <c r="BJ315" s="37" t="n">
        <v>1.32</v>
      </c>
      <c r="BK315" s="37" t="n">
        <v>0.85</v>
      </c>
      <c r="BL315" s="37" t="n">
        <v>0.8100000000000001</v>
      </c>
      <c r="BM315" s="37" t="n">
        <v>0.8100000000000001</v>
      </c>
      <c r="BN315" s="37" t="n">
        <v>0.62</v>
      </c>
      <c r="BO315" s="37" t="n">
        <v>1.2</v>
      </c>
      <c r="BP315" s="37" t="n">
        <v>0.93</v>
      </c>
      <c r="BQ315" s="37" t="n">
        <v>0.85</v>
      </c>
      <c r="BR315" s="37" t="n">
        <v>0.85</v>
      </c>
      <c r="BS315" s="37" t="n">
        <v>0.8100000000000001</v>
      </c>
      <c r="BT315" s="37" t="n">
        <v>0.8100000000000001</v>
      </c>
      <c r="BU315" s="37" t="n">
        <v>0.54</v>
      </c>
      <c r="BV315" s="37" t="n">
        <v>0.89</v>
      </c>
      <c r="BW315" s="37" t="n">
        <v>0.8100000000000001</v>
      </c>
      <c r="BX315" s="37" t="n">
        <v>0.85</v>
      </c>
      <c r="BY315" s="37" t="n">
        <v>0.85</v>
      </c>
      <c r="BZ315" s="37" t="n">
        <v>0.8100000000000001</v>
      </c>
      <c r="CA315" s="37" t="n">
        <v>0.8100000000000001</v>
      </c>
      <c r="CB315" s="37" t="n">
        <v>0.54</v>
      </c>
      <c r="CC315" s="37" t="n">
        <v>159.61</v>
      </c>
    </row>
    <row r="316" ht="15.75" customHeight="1" s="57">
      <c r="A316" s="7" t="inlineStr">
        <is>
          <t>NTB</t>
        </is>
      </c>
      <c r="B316" s="7" t="inlineStr">
        <is>
          <t>Lâm Đồng</t>
        </is>
      </c>
      <c r="C316" s="7" t="n">
        <v>20669000</v>
      </c>
      <c r="D316" s="7" t="inlineStr">
        <is>
          <t>(LDO) Cát Tiên</t>
        </is>
      </c>
      <c r="E316" s="7" t="inlineStr">
        <is>
          <t>SME</t>
        </is>
      </c>
      <c r="F316" s="36" t="n">
        <v>149</v>
      </c>
      <c r="G316" s="36" t="n">
        <v>167</v>
      </c>
      <c r="H316" s="36" t="n">
        <v>135</v>
      </c>
      <c r="I316" s="36" t="n">
        <v>133</v>
      </c>
      <c r="J316" s="36" t="n">
        <v>131</v>
      </c>
      <c r="K316" s="28" t="n">
        <v>111</v>
      </c>
      <c r="L316" s="36" t="n">
        <v>102</v>
      </c>
      <c r="M316" s="36" t="n">
        <v>88</v>
      </c>
      <c r="N316" s="36" t="n">
        <v>118</v>
      </c>
      <c r="O316" s="36" t="n">
        <v>94</v>
      </c>
      <c r="P316" s="36" t="n">
        <v>142</v>
      </c>
      <c r="Q316" s="36" t="n">
        <v>83</v>
      </c>
      <c r="R316" s="28" t="n">
        <v>112</v>
      </c>
      <c r="S316" s="36" t="n">
        <v>154</v>
      </c>
      <c r="T316" s="36" t="n">
        <v>99</v>
      </c>
      <c r="U316" s="36" t="n">
        <v>146.47</v>
      </c>
      <c r="V316" s="36" t="n">
        <v>151.74</v>
      </c>
      <c r="W316" s="36" t="n">
        <v>147.54</v>
      </c>
      <c r="X316" s="36" t="n">
        <v>120.67</v>
      </c>
      <c r="Y316" s="28" t="n">
        <v>163.46</v>
      </c>
      <c r="Z316" s="36" t="n">
        <v>150.6</v>
      </c>
      <c r="AA316" s="36" t="n">
        <v>146.91</v>
      </c>
      <c r="AB316" s="36" t="n">
        <v>146.47</v>
      </c>
      <c r="AC316" s="36" t="n">
        <v>151.74</v>
      </c>
      <c r="AD316" s="36" t="n">
        <v>151.48</v>
      </c>
      <c r="AE316" s="36" t="n">
        <v>120.67</v>
      </c>
      <c r="AF316" s="28" t="n">
        <v>163.46</v>
      </c>
      <c r="AG316" s="36" t="n">
        <v>150.6</v>
      </c>
      <c r="AH316" s="37" t="n">
        <v>146.91</v>
      </c>
      <c r="AI316" s="37" t="n">
        <v>146.47</v>
      </c>
      <c r="AJ316" s="37" t="n">
        <v>151.74</v>
      </c>
      <c r="AK316" s="37" t="n">
        <v>147.54</v>
      </c>
      <c r="AL316" s="37" t="n">
        <v>120.67</v>
      </c>
      <c r="AM316" s="37" t="n">
        <v>163.46</v>
      </c>
      <c r="AN316" s="37" t="n">
        <v>150.6</v>
      </c>
      <c r="AO316" s="37" t="n">
        <v>146.91</v>
      </c>
      <c r="AP316" s="37" t="n">
        <v>146.47</v>
      </c>
      <c r="AQ316" s="37" t="n">
        <v>151.74</v>
      </c>
      <c r="AR316" s="37" t="n">
        <v>147.54</v>
      </c>
      <c r="AS316" s="37" t="n">
        <v>120.67</v>
      </c>
      <c r="AT316" s="37" t="n">
        <v>163.46</v>
      </c>
      <c r="AU316" s="37" t="n">
        <v>150.6</v>
      </c>
      <c r="AV316" s="37" t="n">
        <v>146.91</v>
      </c>
      <c r="AW316" s="37" t="n">
        <v>146.47</v>
      </c>
      <c r="AX316" s="37" t="n">
        <v>151.74</v>
      </c>
      <c r="AY316" s="37" t="n">
        <v>147.54</v>
      </c>
      <c r="AZ316" s="37" t="n">
        <v>120.67</v>
      </c>
      <c r="BA316" s="37" t="n">
        <v>147.09</v>
      </c>
      <c r="BB316" s="37" t="n">
        <v>132.06</v>
      </c>
      <c r="BC316" s="37" t="n">
        <v>83.5</v>
      </c>
      <c r="BD316" s="37" t="n">
        <v>83.22</v>
      </c>
      <c r="BE316" s="37" t="n">
        <v>140.6</v>
      </c>
      <c r="BF316" s="37" t="n">
        <v>137.02</v>
      </c>
      <c r="BG316" s="37" t="n">
        <v>124.47</v>
      </c>
      <c r="BH316" s="37" t="n">
        <v>168.57</v>
      </c>
      <c r="BI316" s="37" t="n">
        <v>155.23</v>
      </c>
      <c r="BJ316" s="37" t="n">
        <v>155.57</v>
      </c>
      <c r="BK316" s="37" t="n">
        <v>150.96</v>
      </c>
      <c r="BL316" s="37" t="n">
        <v>156.42</v>
      </c>
      <c r="BM316" s="37" t="n">
        <v>152.04</v>
      </c>
      <c r="BN316" s="37" t="n">
        <v>124.47</v>
      </c>
      <c r="BO316" s="37" t="n">
        <v>168.57</v>
      </c>
      <c r="BP316" s="37" t="n">
        <v>155.23</v>
      </c>
      <c r="BQ316" s="37" t="n">
        <v>151.39</v>
      </c>
      <c r="BR316" s="37" t="n">
        <v>150.96</v>
      </c>
      <c r="BS316" s="37" t="n">
        <v>156.42</v>
      </c>
      <c r="BT316" s="37" t="n">
        <v>152.04</v>
      </c>
      <c r="BU316" s="37" t="n">
        <v>124.47</v>
      </c>
      <c r="BV316" s="37" t="n">
        <v>168.57</v>
      </c>
      <c r="BW316" s="37" t="n">
        <v>155.23</v>
      </c>
      <c r="BX316" s="37" t="n">
        <v>151.39</v>
      </c>
      <c r="BY316" s="37" t="n">
        <v>150.96</v>
      </c>
      <c r="BZ316" s="37" t="n">
        <v>156.42</v>
      </c>
      <c r="CA316" s="37" t="n">
        <v>152.04</v>
      </c>
      <c r="CB316" s="37" t="n">
        <v>124.47</v>
      </c>
      <c r="CC316" s="37" t="n">
        <v>10527.3</v>
      </c>
    </row>
    <row r="317" ht="15.75" customHeight="1" s="57">
      <c r="A317" s="7" t="inlineStr">
        <is>
          <t>NTB</t>
        </is>
      </c>
      <c r="B317" s="7" t="inlineStr">
        <is>
          <t>Lâm Đồng</t>
        </is>
      </c>
      <c r="C317" s="7" t="n">
        <v>20669000</v>
      </c>
      <c r="D317" s="7" t="inlineStr">
        <is>
          <t>(LDO) Cát Tiên</t>
        </is>
      </c>
      <c r="E317" s="7" t="inlineStr">
        <is>
          <t>SME-Bulky</t>
        </is>
      </c>
      <c r="F317" s="36" t="n">
        <v>8</v>
      </c>
      <c r="G317" s="36" t="n">
        <v>9</v>
      </c>
      <c r="H317" s="36" t="n">
        <v>5</v>
      </c>
      <c r="I317" s="36" t="n">
        <v>16</v>
      </c>
      <c r="J317" s="36" t="n">
        <v>8</v>
      </c>
      <c r="K317" s="28" t="n">
        <v>13</v>
      </c>
      <c r="L317" s="36" t="n">
        <v>4</v>
      </c>
      <c r="M317" s="36" t="n">
        <v>8</v>
      </c>
      <c r="N317" s="36" t="n">
        <v>20</v>
      </c>
      <c r="O317" s="36" t="n">
        <v>8</v>
      </c>
      <c r="P317" s="36" t="n">
        <v>16</v>
      </c>
      <c r="Q317" s="36" t="n">
        <v>5</v>
      </c>
      <c r="R317" s="28" t="n">
        <v>14</v>
      </c>
      <c r="S317" s="36" t="n">
        <v>3</v>
      </c>
      <c r="T317" s="36" t="n">
        <v>5</v>
      </c>
      <c r="U317" s="36" t="n">
        <v>10.1</v>
      </c>
      <c r="V317" s="36" t="n">
        <v>9.99</v>
      </c>
      <c r="W317" s="36" t="n">
        <v>9.44</v>
      </c>
      <c r="X317" s="36" t="n">
        <v>6.29</v>
      </c>
      <c r="Y317" s="28" t="n">
        <v>11.28</v>
      </c>
      <c r="Z317" s="36" t="n">
        <v>10.77</v>
      </c>
      <c r="AA317" s="36" t="n">
        <v>10.62</v>
      </c>
      <c r="AB317" s="36" t="n">
        <v>10.1</v>
      </c>
      <c r="AC317" s="36" t="n">
        <v>9.99</v>
      </c>
      <c r="AD317" s="36" t="n">
        <v>8.869999999999999</v>
      </c>
      <c r="AE317" s="36" t="n">
        <v>6.29</v>
      </c>
      <c r="AF317" s="28" t="n">
        <v>11.28</v>
      </c>
      <c r="AG317" s="36" t="n">
        <v>10.77</v>
      </c>
      <c r="AH317" s="37" t="n">
        <v>10.62</v>
      </c>
      <c r="AI317" s="37" t="n">
        <v>10.1</v>
      </c>
      <c r="AJ317" s="37" t="n">
        <v>9.99</v>
      </c>
      <c r="AK317" s="37" t="n">
        <v>9.44</v>
      </c>
      <c r="AL317" s="37" t="n">
        <v>6.29</v>
      </c>
      <c r="AM317" s="37" t="n">
        <v>11.28</v>
      </c>
      <c r="AN317" s="37" t="n">
        <v>10.77</v>
      </c>
      <c r="AO317" s="37" t="n">
        <v>10.62</v>
      </c>
      <c r="AP317" s="37" t="n">
        <v>10.1</v>
      </c>
      <c r="AQ317" s="37" t="n">
        <v>9.99</v>
      </c>
      <c r="AR317" s="37" t="n">
        <v>9.44</v>
      </c>
      <c r="AS317" s="37" t="n">
        <v>6.29</v>
      </c>
      <c r="AT317" s="37" t="n">
        <v>11.28</v>
      </c>
      <c r="AU317" s="37" t="n">
        <v>10.77</v>
      </c>
      <c r="AV317" s="37" t="n">
        <v>10.62</v>
      </c>
      <c r="AW317" s="37" t="n">
        <v>10.1</v>
      </c>
      <c r="AX317" s="37" t="n">
        <v>9.99</v>
      </c>
      <c r="AY317" s="37" t="n">
        <v>9.44</v>
      </c>
      <c r="AZ317" s="37" t="n">
        <v>6.29</v>
      </c>
      <c r="BA317" s="37" t="n">
        <v>11.32</v>
      </c>
      <c r="BB317" s="37" t="n">
        <v>5.96</v>
      </c>
      <c r="BC317" s="37" t="n">
        <v>3.02</v>
      </c>
      <c r="BD317" s="37" t="n">
        <v>2.74</v>
      </c>
      <c r="BE317" s="37" t="n">
        <v>5.21</v>
      </c>
      <c r="BF317" s="37" t="n">
        <v>4.84</v>
      </c>
      <c r="BG317" s="37" t="n">
        <v>3.77</v>
      </c>
      <c r="BH317" s="37" t="n">
        <v>6.55</v>
      </c>
      <c r="BI317" s="37" t="n">
        <v>6.5</v>
      </c>
      <c r="BJ317" s="37" t="n">
        <v>5.63</v>
      </c>
      <c r="BK317" s="37" t="n">
        <v>5.98</v>
      </c>
      <c r="BL317" s="37" t="n">
        <v>6</v>
      </c>
      <c r="BM317" s="37" t="n">
        <v>5.58</v>
      </c>
      <c r="BN317" s="37" t="n">
        <v>3.77</v>
      </c>
      <c r="BO317" s="37" t="n">
        <v>6.55</v>
      </c>
      <c r="BP317" s="37" t="n">
        <v>6.5</v>
      </c>
      <c r="BQ317" s="37" t="n">
        <v>6.2</v>
      </c>
      <c r="BR317" s="37" t="n">
        <v>5.98</v>
      </c>
      <c r="BS317" s="37" t="n">
        <v>6</v>
      </c>
      <c r="BT317" s="37" t="n">
        <v>5.58</v>
      </c>
      <c r="BU317" s="37" t="n">
        <v>3.77</v>
      </c>
      <c r="BV317" s="37" t="n">
        <v>6.55</v>
      </c>
      <c r="BW317" s="37" t="n">
        <v>6.5</v>
      </c>
      <c r="BX317" s="37" t="n">
        <v>6.2</v>
      </c>
      <c r="BY317" s="37" t="n">
        <v>5.98</v>
      </c>
      <c r="BZ317" s="37" t="n">
        <v>6</v>
      </c>
      <c r="CA317" s="37" t="n">
        <v>5.58</v>
      </c>
      <c r="CB317" s="37" t="n">
        <v>3.77</v>
      </c>
      <c r="CC317" s="37" t="n">
        <v>609.24</v>
      </c>
    </row>
    <row r="318" ht="15.75" customHeight="1" s="57">
      <c r="A318" s="7" t="inlineStr">
        <is>
          <t>NTB</t>
        </is>
      </c>
      <c r="B318" s="7" t="inlineStr">
        <is>
          <t>Lâm Đồng</t>
        </is>
      </c>
      <c r="C318" s="7" t="n">
        <v>20669000</v>
      </c>
      <c r="D318" s="7" t="inlineStr">
        <is>
          <t>(LDO) Cát Tiên</t>
        </is>
      </c>
      <c r="E318" s="7" t="inlineStr">
        <is>
          <t>Shopee</t>
        </is>
      </c>
      <c r="F318" s="36" t="n">
        <v>178</v>
      </c>
      <c r="G318" s="36" t="n">
        <v>213</v>
      </c>
      <c r="H318" s="36" t="n">
        <v>214</v>
      </c>
      <c r="I318" s="36" t="n">
        <v>218</v>
      </c>
      <c r="J318" s="36" t="n">
        <v>163</v>
      </c>
      <c r="K318" s="28" t="n">
        <v>161</v>
      </c>
      <c r="L318" s="36" t="n">
        <v>144</v>
      </c>
      <c r="M318" s="36" t="n">
        <v>141</v>
      </c>
      <c r="N318" s="36" t="n">
        <v>210</v>
      </c>
      <c r="O318" s="36" t="n">
        <v>182</v>
      </c>
      <c r="P318" s="36" t="n">
        <v>177</v>
      </c>
      <c r="Q318" s="36" t="n">
        <v>104</v>
      </c>
      <c r="R318" s="28" t="n">
        <v>144</v>
      </c>
      <c r="S318" s="36" t="n">
        <v>109</v>
      </c>
      <c r="T318" s="36" t="n">
        <v>110</v>
      </c>
      <c r="U318" s="36" t="n">
        <v>198.43</v>
      </c>
      <c r="V318" s="36" t="n">
        <v>199.21</v>
      </c>
      <c r="W318" s="36" t="n">
        <v>196.32</v>
      </c>
      <c r="X318" s="36" t="n">
        <v>159.49</v>
      </c>
      <c r="Y318" s="28" t="n">
        <v>267.34</v>
      </c>
      <c r="Z318" s="36" t="n">
        <v>211.56</v>
      </c>
      <c r="AA318" s="36" t="n">
        <v>290.96</v>
      </c>
      <c r="AB318" s="36" t="n">
        <v>202.49</v>
      </c>
      <c r="AC318" s="36" t="n">
        <v>163.44</v>
      </c>
      <c r="AD318" s="36" t="n">
        <v>418</v>
      </c>
      <c r="AE318" s="36" t="n">
        <v>170.83</v>
      </c>
      <c r="AF318" s="28" t="n">
        <v>304.74</v>
      </c>
      <c r="AG318" s="36" t="n">
        <v>222.2</v>
      </c>
      <c r="AH318" s="37" t="n">
        <v>234.58</v>
      </c>
      <c r="AI318" s="37" t="n">
        <v>198.43</v>
      </c>
      <c r="AJ318" s="37" t="n">
        <v>199.21</v>
      </c>
      <c r="AK318" s="37" t="n">
        <v>264.89</v>
      </c>
      <c r="AL318" s="37" t="n">
        <v>286.59</v>
      </c>
      <c r="AM318" s="37" t="n">
        <v>267.34</v>
      </c>
      <c r="AN318" s="37" t="n">
        <v>211.56</v>
      </c>
      <c r="AO318" s="37" t="n">
        <v>234.58</v>
      </c>
      <c r="AP318" s="37" t="n">
        <v>247.75</v>
      </c>
      <c r="AQ318" s="37" t="n">
        <v>159.55</v>
      </c>
      <c r="AR318" s="37" t="n">
        <v>196.32</v>
      </c>
      <c r="AS318" s="37" t="n">
        <v>159.49</v>
      </c>
      <c r="AT318" s="37" t="n">
        <v>267.34</v>
      </c>
      <c r="AU318" s="37" t="n">
        <v>215.9</v>
      </c>
      <c r="AV318" s="37" t="n">
        <v>239.31</v>
      </c>
      <c r="AW318" s="37" t="n">
        <v>198.43</v>
      </c>
      <c r="AX318" s="37" t="n">
        <v>199.21</v>
      </c>
      <c r="AY318" s="37" t="n">
        <v>196.32</v>
      </c>
      <c r="AZ318" s="37" t="n">
        <v>159.49</v>
      </c>
      <c r="BA318" s="37" t="n">
        <v>206</v>
      </c>
      <c r="BB318" s="37" t="n">
        <v>179.14</v>
      </c>
      <c r="BC318" s="37" t="n">
        <v>91.75</v>
      </c>
      <c r="BD318" s="37" t="n">
        <v>162.36</v>
      </c>
      <c r="BE318" s="37" t="n">
        <v>189.7</v>
      </c>
      <c r="BF318" s="37" t="n">
        <v>186.95</v>
      </c>
      <c r="BG318" s="37" t="n">
        <v>155.01</v>
      </c>
      <c r="BH318" s="37" t="n">
        <v>254.67</v>
      </c>
      <c r="BI318" s="37" t="n">
        <v>165.38</v>
      </c>
      <c r="BJ318" s="37" t="n">
        <v>593.4300000000001</v>
      </c>
      <c r="BK318" s="37" t="n">
        <v>202.19</v>
      </c>
      <c r="BL318" s="37" t="n">
        <v>199.25</v>
      </c>
      <c r="BM318" s="37" t="n">
        <v>186.95</v>
      </c>
      <c r="BN318" s="37" t="n">
        <v>151.87</v>
      </c>
      <c r="BO318" s="37" t="n">
        <v>254.67</v>
      </c>
      <c r="BP318" s="37" t="n">
        <v>272.03</v>
      </c>
      <c r="BQ318" s="37" t="n">
        <v>401.49</v>
      </c>
      <c r="BR318" s="37" t="n">
        <v>188.98</v>
      </c>
      <c r="BS318" s="37" t="n">
        <v>189.7</v>
      </c>
      <c r="BT318" s="37" t="n">
        <v>186.95</v>
      </c>
      <c r="BU318" s="37" t="n">
        <v>190.01</v>
      </c>
      <c r="BV318" s="37" t="n">
        <v>203.86</v>
      </c>
      <c r="BW318" s="37" t="n">
        <v>201.41</v>
      </c>
      <c r="BX318" s="37" t="n">
        <v>223.46</v>
      </c>
      <c r="BY318" s="37" t="n">
        <v>188.98</v>
      </c>
      <c r="BZ318" s="37" t="n">
        <v>193.65</v>
      </c>
      <c r="CA318" s="37" t="n">
        <v>190.66</v>
      </c>
      <c r="CB318" s="37" t="n">
        <v>151.87</v>
      </c>
      <c r="CC318" s="37" t="n">
        <v>15571.67</v>
      </c>
    </row>
    <row r="319" ht="15.75" customHeight="1" s="57">
      <c r="A319" s="7" t="inlineStr">
        <is>
          <t>NTB</t>
        </is>
      </c>
      <c r="B319" s="7" t="inlineStr">
        <is>
          <t>Lâm Đồng</t>
        </is>
      </c>
      <c r="C319" s="7" t="n">
        <v>20669000</v>
      </c>
      <c r="D319" s="7" t="inlineStr">
        <is>
          <t>(LDO) Cát Tiên</t>
        </is>
      </c>
      <c r="E319" s="7" t="inlineStr">
        <is>
          <t>Shopee-Bulky</t>
        </is>
      </c>
      <c r="F319" s="36" t="n">
        <v>8.91</v>
      </c>
      <c r="G319" s="36" t="n">
        <v>8.279999999999999</v>
      </c>
      <c r="H319" s="36" t="n">
        <v>12.73</v>
      </c>
      <c r="I319" s="36" t="n">
        <v>14</v>
      </c>
      <c r="J319" s="36" t="n">
        <v>11.46</v>
      </c>
      <c r="K319" s="28" t="n">
        <v>3.82</v>
      </c>
      <c r="L319" s="36" t="n">
        <v>9.550000000000001</v>
      </c>
      <c r="M319" s="36" t="n">
        <v>10.82</v>
      </c>
      <c r="N319" s="36" t="n">
        <v>10.82</v>
      </c>
      <c r="O319" s="36" t="n">
        <v>8.279999999999999</v>
      </c>
      <c r="P319" s="36" t="n">
        <v>8.91</v>
      </c>
      <c r="Q319" s="36" t="n">
        <v>13.37</v>
      </c>
      <c r="R319" s="28" t="n">
        <v>5.73</v>
      </c>
      <c r="S319" s="36" t="n">
        <v>7.64</v>
      </c>
      <c r="T319" s="36" t="n">
        <v>12.1</v>
      </c>
      <c r="U319" s="36" t="n">
        <v>9.200000000000001</v>
      </c>
      <c r="V319" s="36" t="n">
        <v>8.879999999999999</v>
      </c>
      <c r="W319" s="36" t="n">
        <v>12.22</v>
      </c>
      <c r="X319" s="36" t="n">
        <v>6.899999999999999</v>
      </c>
      <c r="Y319" s="28" t="n">
        <v>13.57</v>
      </c>
      <c r="Z319" s="36" t="n">
        <v>10.69</v>
      </c>
      <c r="AA319" s="36" t="n">
        <v>10.39</v>
      </c>
      <c r="AB319" s="36" t="n">
        <v>10.52</v>
      </c>
      <c r="AC319" s="36" t="n">
        <v>11.03</v>
      </c>
      <c r="AD319" s="36" t="n">
        <v>29.52</v>
      </c>
      <c r="AE319" s="36" t="n">
        <v>17.76</v>
      </c>
      <c r="AF319" s="28" t="n">
        <v>26.49</v>
      </c>
      <c r="AG319" s="36" t="n">
        <v>15.04</v>
      </c>
      <c r="AH319" s="37" t="n">
        <v>10.56</v>
      </c>
      <c r="AI319" s="37" t="n">
        <v>10.19</v>
      </c>
      <c r="AJ319" s="37" t="n">
        <v>10.07</v>
      </c>
      <c r="AK319" s="37" t="n">
        <v>22.82</v>
      </c>
      <c r="AL319" s="37" t="n">
        <v>11.6</v>
      </c>
      <c r="AM319" s="37" t="n">
        <v>16.64</v>
      </c>
      <c r="AN319" s="37" t="n">
        <v>10.5</v>
      </c>
      <c r="AO319" s="37" t="n">
        <v>10.27</v>
      </c>
      <c r="AP319" s="37" t="n">
        <v>13.91</v>
      </c>
      <c r="AQ319" s="37" t="n">
        <v>13.8</v>
      </c>
      <c r="AR319" s="37" t="n">
        <v>11</v>
      </c>
      <c r="AS319" s="37" t="n">
        <v>6.08</v>
      </c>
      <c r="AT319" s="37" t="n">
        <v>12.44</v>
      </c>
      <c r="AU319" s="37" t="n">
        <v>20.43</v>
      </c>
      <c r="AV319" s="37" t="n">
        <v>21.24</v>
      </c>
      <c r="AW319" s="37" t="n">
        <v>10.3</v>
      </c>
      <c r="AX319" s="37" t="n">
        <v>9.67</v>
      </c>
      <c r="AY319" s="37" t="n">
        <v>10.54</v>
      </c>
      <c r="AZ319" s="37" t="n">
        <v>5.84</v>
      </c>
      <c r="BA319" s="37" t="n">
        <v>11.37</v>
      </c>
      <c r="BB319" s="37" t="n">
        <v>10.56</v>
      </c>
      <c r="BC319" s="37" t="n">
        <v>3.55</v>
      </c>
      <c r="BD319" s="37" t="n">
        <v>9.040000000000001</v>
      </c>
      <c r="BE319" s="37" t="n">
        <v>11.09</v>
      </c>
      <c r="BF319" s="37" t="n">
        <v>9.57</v>
      </c>
      <c r="BG319" s="37" t="n">
        <v>7.92</v>
      </c>
      <c r="BH319" s="37" t="n">
        <v>14.56</v>
      </c>
      <c r="BI319" s="37" t="n">
        <v>12.42</v>
      </c>
      <c r="BJ319" s="37" t="n">
        <v>47</v>
      </c>
      <c r="BK319" s="37" t="n">
        <v>26.26</v>
      </c>
      <c r="BL319" s="37" t="n">
        <v>13.55</v>
      </c>
      <c r="BM319" s="37" t="n">
        <v>10.07</v>
      </c>
      <c r="BN319" s="37" t="n">
        <v>7.67</v>
      </c>
      <c r="BO319" s="37" t="n">
        <v>16.9</v>
      </c>
      <c r="BP319" s="37" t="n">
        <v>24.69</v>
      </c>
      <c r="BQ319" s="37" t="n">
        <v>17.83</v>
      </c>
      <c r="BR319" s="37" t="n">
        <v>11.73</v>
      </c>
      <c r="BS319" s="37" t="n">
        <v>11.09</v>
      </c>
      <c r="BT319" s="37" t="n">
        <v>9.57</v>
      </c>
      <c r="BU319" s="37" t="n">
        <v>11.26</v>
      </c>
      <c r="BV319" s="37" t="n">
        <v>15.4</v>
      </c>
      <c r="BW319" s="37" t="n">
        <v>12.42</v>
      </c>
      <c r="BX319" s="37" t="n">
        <v>11.96</v>
      </c>
      <c r="BY319" s="37" t="n">
        <v>11.73</v>
      </c>
      <c r="BZ319" s="37" t="n">
        <v>20.12</v>
      </c>
      <c r="CA319" s="37" t="n">
        <v>11.59</v>
      </c>
      <c r="CB319" s="37" t="n">
        <v>7.56</v>
      </c>
      <c r="CC319" s="37" t="n">
        <v>955.0099999999998</v>
      </c>
    </row>
    <row r="320" ht="15.75" customHeight="1" s="57">
      <c r="A320" s="7" t="inlineStr">
        <is>
          <t>NTB</t>
        </is>
      </c>
      <c r="B320" s="7" t="inlineStr">
        <is>
          <t>Lâm Đồng</t>
        </is>
      </c>
      <c r="C320" s="7" t="n">
        <v>20669000</v>
      </c>
      <c r="D320" s="7" t="inlineStr">
        <is>
          <t>(LDO) Cát Tiên</t>
        </is>
      </c>
      <c r="E320" s="7" t="inlineStr">
        <is>
          <t>Shopee-Bulky (10-15kg)</t>
        </is>
      </c>
      <c r="F320" s="36" t="n">
        <v>5.09</v>
      </c>
      <c r="G320" s="36" t="n">
        <v>4.72</v>
      </c>
      <c r="H320" s="36" t="n">
        <v>7.27</v>
      </c>
      <c r="I320" s="36" t="n">
        <v>8</v>
      </c>
      <c r="J320" s="36" t="n">
        <v>6.54</v>
      </c>
      <c r="K320" s="28" t="n">
        <v>2.18</v>
      </c>
      <c r="L320" s="36" t="n">
        <v>5.45</v>
      </c>
      <c r="M320" s="36" t="n">
        <v>6.18</v>
      </c>
      <c r="N320" s="36" t="n">
        <v>6.18</v>
      </c>
      <c r="O320" s="36" t="n">
        <v>4.72</v>
      </c>
      <c r="P320" s="36" t="n">
        <v>5.09</v>
      </c>
      <c r="Q320" s="36" t="n">
        <v>7.63</v>
      </c>
      <c r="R320" s="28" t="n">
        <v>3.27</v>
      </c>
      <c r="S320" s="36" t="n">
        <v>4.36</v>
      </c>
      <c r="T320" s="36" t="n">
        <v>6.9</v>
      </c>
      <c r="U320" s="36" t="n">
        <v>5.47</v>
      </c>
      <c r="V320" s="36" t="n">
        <v>5.25</v>
      </c>
      <c r="W320" s="36" t="n">
        <v>6.92</v>
      </c>
      <c r="X320" s="36" t="n">
        <v>3.91</v>
      </c>
      <c r="Y320" s="28" t="n">
        <v>7.779999999999999</v>
      </c>
      <c r="Z320" s="36" t="n">
        <v>6.05</v>
      </c>
      <c r="AA320" s="36" t="n">
        <v>5.69</v>
      </c>
      <c r="AB320" s="36" t="n">
        <v>5.95</v>
      </c>
      <c r="AC320" s="36" t="n">
        <v>6.170000000000001</v>
      </c>
      <c r="AD320" s="36" t="n">
        <v>23.2</v>
      </c>
      <c r="AE320" s="36" t="n">
        <v>9.870000000000001</v>
      </c>
      <c r="AF320" s="28" t="n">
        <v>14.37</v>
      </c>
      <c r="AG320" s="36" t="n">
        <v>8.58</v>
      </c>
      <c r="AH320" s="37" t="n">
        <v>5.96</v>
      </c>
      <c r="AI320" s="37" t="n">
        <v>5.81</v>
      </c>
      <c r="AJ320" s="37" t="n">
        <v>5.630000000000001</v>
      </c>
      <c r="AK320" s="37" t="n">
        <v>13.25</v>
      </c>
      <c r="AL320" s="37" t="n">
        <v>6.430000000000001</v>
      </c>
      <c r="AM320" s="37" t="n">
        <v>9.529999999999999</v>
      </c>
      <c r="AN320" s="37" t="n">
        <v>5.98</v>
      </c>
      <c r="AO320" s="37" t="n">
        <v>5.74</v>
      </c>
      <c r="AP320" s="37" t="n">
        <v>7.57</v>
      </c>
      <c r="AQ320" s="37" t="n">
        <v>7.7</v>
      </c>
      <c r="AR320" s="37" t="n">
        <v>6.25</v>
      </c>
      <c r="AS320" s="37" t="n">
        <v>3.44</v>
      </c>
      <c r="AT320" s="37" t="n">
        <v>7.12</v>
      </c>
      <c r="AU320" s="37" t="n">
        <v>12.01</v>
      </c>
      <c r="AV320" s="37" t="n">
        <v>12.07</v>
      </c>
      <c r="AW320" s="37" t="n">
        <v>5.79</v>
      </c>
      <c r="AX320" s="37" t="n">
        <v>5.37</v>
      </c>
      <c r="AY320" s="37" t="n">
        <v>5.989999999999999</v>
      </c>
      <c r="AZ320" s="37" t="n">
        <v>3.3</v>
      </c>
      <c r="BA320" s="37" t="n">
        <v>6.48</v>
      </c>
      <c r="BB320" s="37" t="n">
        <v>6.02</v>
      </c>
      <c r="BC320" s="37" t="n">
        <v>2.1</v>
      </c>
      <c r="BD320" s="37" t="n">
        <v>5.07</v>
      </c>
      <c r="BE320" s="37" t="n">
        <v>6.31</v>
      </c>
      <c r="BF320" s="37" t="n">
        <v>5.5</v>
      </c>
      <c r="BG320" s="37" t="n">
        <v>4.52</v>
      </c>
      <c r="BH320" s="37" t="n">
        <v>8.43</v>
      </c>
      <c r="BI320" s="37" t="n">
        <v>7.100000000000001</v>
      </c>
      <c r="BJ320" s="37" t="n">
        <v>32</v>
      </c>
      <c r="BK320" s="37" t="n">
        <v>15.06</v>
      </c>
      <c r="BL320" s="37" t="n">
        <v>7.760000000000001</v>
      </c>
      <c r="BM320" s="37" t="n">
        <v>5.72</v>
      </c>
      <c r="BN320" s="37" t="n">
        <v>4.42</v>
      </c>
      <c r="BO320" s="37" t="n">
        <v>9.59</v>
      </c>
      <c r="BP320" s="37" t="n">
        <v>14.19</v>
      </c>
      <c r="BQ320" s="37" t="n">
        <v>10.25</v>
      </c>
      <c r="BR320" s="37" t="n">
        <v>6.66</v>
      </c>
      <c r="BS320" s="37" t="n">
        <v>6.31</v>
      </c>
      <c r="BT320" s="37" t="n">
        <v>5.5</v>
      </c>
      <c r="BU320" s="37" t="n">
        <v>6.37</v>
      </c>
      <c r="BV320" s="37" t="n">
        <v>8.760000000000002</v>
      </c>
      <c r="BW320" s="37" t="n">
        <v>7.100000000000001</v>
      </c>
      <c r="BX320" s="37" t="n">
        <v>6.77</v>
      </c>
      <c r="BY320" s="37" t="n">
        <v>6.66</v>
      </c>
      <c r="BZ320" s="37" t="n">
        <v>11.53</v>
      </c>
      <c r="CA320" s="37" t="n">
        <v>6.57</v>
      </c>
      <c r="CB320" s="37" t="n">
        <v>4.26</v>
      </c>
      <c r="CC320" s="37" t="n">
        <v>554.74</v>
      </c>
    </row>
    <row r="321" ht="15.75" customHeight="1" s="57">
      <c r="A321" s="7" t="inlineStr">
        <is>
          <t>NTB</t>
        </is>
      </c>
      <c r="B321" s="7" t="inlineStr">
        <is>
          <t>Lâm Đồng</t>
        </is>
      </c>
      <c r="C321" s="7" t="n">
        <v>20669000</v>
      </c>
      <c r="D321" s="7" t="inlineStr">
        <is>
          <t>(LDO) Cát Tiên</t>
        </is>
      </c>
      <c r="E321" s="7" t="inlineStr">
        <is>
          <t>TTS</t>
        </is>
      </c>
      <c r="F321" s="36" t="n">
        <v>80</v>
      </c>
      <c r="G321" s="36" t="n">
        <v>91</v>
      </c>
      <c r="H321" s="36" t="n">
        <v>95</v>
      </c>
      <c r="I321" s="36" t="n">
        <v>72</v>
      </c>
      <c r="J321" s="36" t="n">
        <v>68</v>
      </c>
      <c r="K321" s="28" t="n">
        <v>63</v>
      </c>
      <c r="L321" s="36" t="n">
        <v>62</v>
      </c>
      <c r="M321" s="36" t="n">
        <v>55</v>
      </c>
      <c r="N321" s="36" t="n">
        <v>89</v>
      </c>
      <c r="O321" s="36" t="n">
        <v>55</v>
      </c>
      <c r="P321" s="36" t="n">
        <v>63</v>
      </c>
      <c r="Q321" s="36" t="n">
        <v>46</v>
      </c>
      <c r="R321" s="28" t="n">
        <v>67</v>
      </c>
      <c r="S321" s="36" t="n">
        <v>86</v>
      </c>
      <c r="T321" s="36" t="n">
        <v>55</v>
      </c>
      <c r="U321" s="36" t="n">
        <v>50.68</v>
      </c>
      <c r="V321" s="36" t="n">
        <v>49.8</v>
      </c>
      <c r="W321" s="36" t="n">
        <v>48.67</v>
      </c>
      <c r="X321" s="36" t="n">
        <v>39.3</v>
      </c>
      <c r="Y321" s="28" t="n">
        <v>57.07</v>
      </c>
      <c r="Z321" s="36" t="n">
        <v>48.58</v>
      </c>
      <c r="AA321" s="36" t="n">
        <v>53.89</v>
      </c>
      <c r="AB321" s="36" t="n">
        <v>59.89</v>
      </c>
      <c r="AC321" s="36" t="n">
        <v>63.09</v>
      </c>
      <c r="AD321" s="36" t="n">
        <v>64.95</v>
      </c>
      <c r="AE321" s="36" t="n">
        <v>45.66</v>
      </c>
      <c r="AF321" s="28" t="n">
        <v>59</v>
      </c>
      <c r="AG321" s="36" t="n">
        <v>49.52</v>
      </c>
      <c r="AH321" s="37" t="n">
        <v>48.98</v>
      </c>
      <c r="AI321" s="37" t="n">
        <v>56.02999999999999</v>
      </c>
      <c r="AJ321" s="37" t="n">
        <v>60.24</v>
      </c>
      <c r="AK321" s="37" t="n">
        <v>59.38</v>
      </c>
      <c r="AL321" s="37" t="n">
        <v>42.36</v>
      </c>
      <c r="AM321" s="37" t="n">
        <v>58.13</v>
      </c>
      <c r="AN321" s="37" t="n">
        <v>50.16999999999999</v>
      </c>
      <c r="AO321" s="37" t="n">
        <v>49.90000000000001</v>
      </c>
      <c r="AP321" s="37" t="n">
        <v>48.36</v>
      </c>
      <c r="AQ321" s="37" t="n">
        <v>48.79</v>
      </c>
      <c r="AR321" s="37" t="n">
        <v>47.99</v>
      </c>
      <c r="AS321" s="37" t="n">
        <v>39.5</v>
      </c>
      <c r="AT321" s="37" t="n">
        <v>62.85</v>
      </c>
      <c r="AU321" s="37" t="n">
        <v>56.86</v>
      </c>
      <c r="AV321" s="37" t="n">
        <v>50.59</v>
      </c>
      <c r="AW321" s="37" t="n">
        <v>47.79</v>
      </c>
      <c r="AX321" s="37" t="n">
        <v>47.43</v>
      </c>
      <c r="AY321" s="37" t="n">
        <v>47.36</v>
      </c>
      <c r="AZ321" s="37" t="n">
        <v>39.5</v>
      </c>
      <c r="BA321" s="37" t="n">
        <v>56.63</v>
      </c>
      <c r="BB321" s="37" t="n">
        <v>52.94</v>
      </c>
      <c r="BC321" s="37" t="n">
        <v>31.51</v>
      </c>
      <c r="BD321" s="37" t="n">
        <v>45.66</v>
      </c>
      <c r="BE321" s="37" t="n">
        <v>53.73</v>
      </c>
      <c r="BF321" s="37" t="n">
        <v>52.25</v>
      </c>
      <c r="BG321" s="37" t="n">
        <v>42.43</v>
      </c>
      <c r="BH321" s="37" t="n">
        <v>62.73</v>
      </c>
      <c r="BI321" s="37" t="n">
        <v>52.94</v>
      </c>
      <c r="BJ321" s="37" t="n">
        <v>49.34</v>
      </c>
      <c r="BK321" s="37" t="n">
        <v>53.67</v>
      </c>
      <c r="BL321" s="37" t="n">
        <v>53.73</v>
      </c>
      <c r="BM321" s="37" t="n">
        <v>52.25</v>
      </c>
      <c r="BN321" s="37" t="n">
        <v>42.43</v>
      </c>
      <c r="BO321" s="37" t="n">
        <v>62.73</v>
      </c>
      <c r="BP321" s="37" t="n">
        <v>52.94</v>
      </c>
      <c r="BQ321" s="37" t="n">
        <v>52.35</v>
      </c>
      <c r="BR321" s="37" t="n">
        <v>53.67</v>
      </c>
      <c r="BS321" s="37" t="n">
        <v>53.73</v>
      </c>
      <c r="BT321" s="37" t="n">
        <v>52.25</v>
      </c>
      <c r="BU321" s="37" t="n">
        <v>42.43</v>
      </c>
      <c r="BV321" s="37" t="n">
        <v>62.73</v>
      </c>
      <c r="BW321" s="37" t="n">
        <v>52.94</v>
      </c>
      <c r="BX321" s="37" t="n">
        <v>52.35</v>
      </c>
      <c r="BY321" s="37" t="n">
        <v>53.67</v>
      </c>
      <c r="BZ321" s="37" t="n">
        <v>53.73</v>
      </c>
      <c r="CA321" s="37" t="n">
        <v>52.25</v>
      </c>
      <c r="CB321" s="37" t="n">
        <v>42.43</v>
      </c>
      <c r="CC321" s="37" t="n">
        <v>4141.750000000001</v>
      </c>
    </row>
    <row r="322" ht="15.75" customHeight="1" s="57">
      <c r="A322" s="7" t="inlineStr">
        <is>
          <t>NTB</t>
        </is>
      </c>
      <c r="B322" s="7" t="inlineStr">
        <is>
          <t>Lâm Đồng</t>
        </is>
      </c>
      <c r="C322" s="7" t="n">
        <v>20669000</v>
      </c>
      <c r="D322" s="7" t="inlineStr">
        <is>
          <t>(LDO) Cát Tiên</t>
        </is>
      </c>
      <c r="E322" s="7" t="inlineStr">
        <is>
          <t>TTS-Bulky</t>
        </is>
      </c>
      <c r="F322" s="36" t="n">
        <v>1</v>
      </c>
      <c r="G322" s="36" t="n">
        <v>1</v>
      </c>
      <c r="H322" s="36" t="n">
        <v>1</v>
      </c>
      <c r="I322" s="36" t="n">
        <v>1</v>
      </c>
      <c r="J322" s="36" t="n">
        <v>4</v>
      </c>
      <c r="K322" s="28" t="n">
        <v>4</v>
      </c>
      <c r="L322" s="36" t="n">
        <v>0</v>
      </c>
      <c r="M322" s="36" t="n">
        <v>1</v>
      </c>
      <c r="N322" s="36" t="n">
        <v>1</v>
      </c>
      <c r="O322" s="36" t="n">
        <v>1</v>
      </c>
      <c r="P322" s="36" t="n">
        <v>0</v>
      </c>
      <c r="Q322" s="36" t="n">
        <v>0</v>
      </c>
      <c r="R322" s="28" t="n">
        <v>0</v>
      </c>
      <c r="S322" s="36" t="n">
        <v>1</v>
      </c>
      <c r="T322" s="36" t="n">
        <v>0</v>
      </c>
      <c r="U322" s="36" t="n">
        <v>3.37</v>
      </c>
      <c r="V322" s="36" t="n">
        <v>3.42</v>
      </c>
      <c r="W322" s="36" t="n">
        <v>1.61</v>
      </c>
      <c r="X322" s="36" t="n">
        <v>1.16</v>
      </c>
      <c r="Y322" s="28" t="n">
        <v>2.11</v>
      </c>
      <c r="Z322" s="36" t="n">
        <v>1.68</v>
      </c>
      <c r="AA322" s="36" t="n">
        <v>1.78</v>
      </c>
      <c r="AB322" s="36" t="n">
        <v>1.85</v>
      </c>
      <c r="AC322" s="36" t="n">
        <v>1.96</v>
      </c>
      <c r="AD322" s="36" t="n">
        <v>2.92</v>
      </c>
      <c r="AE322" s="36" t="n">
        <v>1.31</v>
      </c>
      <c r="AF322" s="28" t="n">
        <v>2.08</v>
      </c>
      <c r="AG322" s="36" t="n">
        <v>1.59</v>
      </c>
      <c r="AH322" s="37" t="n">
        <v>1.59</v>
      </c>
      <c r="AI322" s="37" t="n">
        <v>1.61</v>
      </c>
      <c r="AJ322" s="37" t="n">
        <v>1.83</v>
      </c>
      <c r="AK322" s="37" t="n">
        <v>1.74</v>
      </c>
      <c r="AL322" s="37" t="n">
        <v>1.25</v>
      </c>
      <c r="AM322" s="37" t="n">
        <v>2.08</v>
      </c>
      <c r="AN322" s="37" t="n">
        <v>1.61</v>
      </c>
      <c r="AO322" s="37" t="n">
        <v>1.59</v>
      </c>
      <c r="AP322" s="37" t="n">
        <v>1.59</v>
      </c>
      <c r="AQ322" s="37" t="n">
        <v>1.74</v>
      </c>
      <c r="AR322" s="37" t="n">
        <v>1.61</v>
      </c>
      <c r="AS322" s="37" t="n">
        <v>1.2</v>
      </c>
      <c r="AT322" s="37" t="n">
        <v>2.17</v>
      </c>
      <c r="AU322" s="37" t="n">
        <v>1.85</v>
      </c>
      <c r="AV322" s="37" t="n">
        <v>1.63</v>
      </c>
      <c r="AW322" s="37" t="n">
        <v>1.57</v>
      </c>
      <c r="AX322" s="37" t="n">
        <v>1.74</v>
      </c>
      <c r="AY322" s="37" t="n">
        <v>1.59</v>
      </c>
      <c r="AZ322" s="37" t="n">
        <v>1.2</v>
      </c>
      <c r="BA322" s="37" t="n">
        <v>1.83</v>
      </c>
      <c r="BB322" s="37" t="n">
        <v>0.43</v>
      </c>
      <c r="BC322" s="37" t="n">
        <v>0.28</v>
      </c>
      <c r="BD322" s="37" t="n">
        <v>0.34</v>
      </c>
      <c r="BE322" s="37" t="n">
        <v>0.45</v>
      </c>
      <c r="BF322" s="37" t="n">
        <v>0.45</v>
      </c>
      <c r="BG322" s="37" t="n">
        <v>0.3</v>
      </c>
      <c r="BH322" s="37" t="n">
        <v>0.58</v>
      </c>
      <c r="BI322" s="37" t="n">
        <v>0.45</v>
      </c>
      <c r="BJ322" s="37" t="n">
        <v>0.73</v>
      </c>
      <c r="BK322" s="37" t="n">
        <v>0.47</v>
      </c>
      <c r="BL322" s="37" t="n">
        <v>0.45</v>
      </c>
      <c r="BM322" s="37" t="n">
        <v>0.45</v>
      </c>
      <c r="BN322" s="37" t="n">
        <v>0.34</v>
      </c>
      <c r="BO322" s="37" t="n">
        <v>0.67</v>
      </c>
      <c r="BP322" s="37" t="n">
        <v>0.52</v>
      </c>
      <c r="BQ322" s="37" t="n">
        <v>0.47</v>
      </c>
      <c r="BR322" s="37" t="n">
        <v>0.47</v>
      </c>
      <c r="BS322" s="37" t="n">
        <v>0.45</v>
      </c>
      <c r="BT322" s="37" t="n">
        <v>0.45</v>
      </c>
      <c r="BU322" s="37" t="n">
        <v>0.3</v>
      </c>
      <c r="BV322" s="37" t="n">
        <v>0.49</v>
      </c>
      <c r="BW322" s="37" t="n">
        <v>0.45</v>
      </c>
      <c r="BX322" s="37" t="n">
        <v>0.47</v>
      </c>
      <c r="BY322" s="37" t="n">
        <v>0.47</v>
      </c>
      <c r="BZ322" s="37" t="n">
        <v>0.45</v>
      </c>
      <c r="CA322" s="37" t="n">
        <v>0.45</v>
      </c>
      <c r="CB322" s="37" t="n">
        <v>0.3</v>
      </c>
      <c r="CC322" s="37" t="n">
        <v>87.99000000000002</v>
      </c>
    </row>
    <row r="323" ht="15.75" customHeight="1" s="57">
      <c r="A323" s="7" t="inlineStr">
        <is>
          <t>NTB</t>
        </is>
      </c>
      <c r="B323" s="7" t="inlineStr">
        <is>
          <t>Lâm Đồng</t>
        </is>
      </c>
      <c r="C323" s="7" t="n">
        <v>20670000</v>
      </c>
      <c r="D323" s="7" t="inlineStr">
        <is>
          <t>(LDO) Đam Rông 3</t>
        </is>
      </c>
      <c r="E323" s="7" t="inlineStr">
        <is>
          <t>SME</t>
        </is>
      </c>
      <c r="F323" s="36" t="n">
        <v>286</v>
      </c>
      <c r="G323" s="36" t="n">
        <v>234</v>
      </c>
      <c r="H323" s="36" t="n">
        <v>238</v>
      </c>
      <c r="I323" s="36" t="n">
        <v>191</v>
      </c>
      <c r="J323" s="36" t="n">
        <v>170</v>
      </c>
      <c r="K323" s="28" t="n">
        <v>196</v>
      </c>
      <c r="L323" s="36" t="n">
        <v>152</v>
      </c>
      <c r="M323" s="36" t="n">
        <v>134</v>
      </c>
      <c r="N323" s="36" t="n">
        <v>199</v>
      </c>
      <c r="O323" s="36" t="n">
        <v>139</v>
      </c>
      <c r="P323" s="36" t="n">
        <v>188</v>
      </c>
      <c r="Q323" s="36" t="n">
        <v>140</v>
      </c>
      <c r="R323" s="28" t="n">
        <v>187</v>
      </c>
      <c r="S323" s="36" t="n">
        <v>157</v>
      </c>
      <c r="T323" s="36" t="n">
        <v>133</v>
      </c>
      <c r="U323" s="36" t="n">
        <v>207.39</v>
      </c>
      <c r="V323" s="36" t="n">
        <v>214.79</v>
      </c>
      <c r="W323" s="36" t="n">
        <v>208.87</v>
      </c>
      <c r="X323" s="36" t="n">
        <v>170.82</v>
      </c>
      <c r="Y323" s="28" t="n">
        <v>231.41</v>
      </c>
      <c r="Z323" s="36" t="n">
        <v>213.19</v>
      </c>
      <c r="AA323" s="36" t="n">
        <v>208.02</v>
      </c>
      <c r="AB323" s="36" t="n">
        <v>207.39</v>
      </c>
      <c r="AC323" s="36" t="n">
        <v>214.79</v>
      </c>
      <c r="AD323" s="36" t="n">
        <v>215.79</v>
      </c>
      <c r="AE323" s="36" t="n">
        <v>170.82</v>
      </c>
      <c r="AF323" s="28" t="n">
        <v>231.41</v>
      </c>
      <c r="AG323" s="36" t="n">
        <v>213.19</v>
      </c>
      <c r="AH323" s="37" t="n">
        <v>208.02</v>
      </c>
      <c r="AI323" s="37" t="n">
        <v>207.39</v>
      </c>
      <c r="AJ323" s="37" t="n">
        <v>214.79</v>
      </c>
      <c r="AK323" s="37" t="n">
        <v>208.87</v>
      </c>
      <c r="AL323" s="37" t="n">
        <v>170.82</v>
      </c>
      <c r="AM323" s="37" t="n">
        <v>231.41</v>
      </c>
      <c r="AN323" s="37" t="n">
        <v>213.19</v>
      </c>
      <c r="AO323" s="37" t="n">
        <v>208.02</v>
      </c>
      <c r="AP323" s="37" t="n">
        <v>207.39</v>
      </c>
      <c r="AQ323" s="37" t="n">
        <v>214.79</v>
      </c>
      <c r="AR323" s="37" t="n">
        <v>208.87</v>
      </c>
      <c r="AS323" s="37" t="n">
        <v>170.82</v>
      </c>
      <c r="AT323" s="37" t="n">
        <v>231.41</v>
      </c>
      <c r="AU323" s="37" t="n">
        <v>213.19</v>
      </c>
      <c r="AV323" s="37" t="n">
        <v>208.02</v>
      </c>
      <c r="AW323" s="37" t="n">
        <v>207.39</v>
      </c>
      <c r="AX323" s="37" t="n">
        <v>214.79</v>
      </c>
      <c r="AY323" s="37" t="n">
        <v>208.87</v>
      </c>
      <c r="AZ323" s="37" t="n">
        <v>170.82</v>
      </c>
      <c r="BA323" s="37" t="n">
        <v>208.24</v>
      </c>
      <c r="BB323" s="37" t="n">
        <v>187</v>
      </c>
      <c r="BC323" s="37" t="n">
        <v>118.16</v>
      </c>
      <c r="BD323" s="37" t="n">
        <v>117.8</v>
      </c>
      <c r="BE323" s="37" t="n">
        <v>199.09</v>
      </c>
      <c r="BF323" s="37" t="n">
        <v>194</v>
      </c>
      <c r="BG323" s="37" t="n">
        <v>176.26</v>
      </c>
      <c r="BH323" s="37" t="n">
        <v>238.69</v>
      </c>
      <c r="BI323" s="37" t="n">
        <v>219.82</v>
      </c>
      <c r="BJ323" s="37" t="n">
        <v>221.62</v>
      </c>
      <c r="BK323" s="37" t="n">
        <v>213.79</v>
      </c>
      <c r="BL323" s="37" t="n">
        <v>221.47</v>
      </c>
      <c r="BM323" s="37" t="n">
        <v>215.29</v>
      </c>
      <c r="BN323" s="37" t="n">
        <v>176.26</v>
      </c>
      <c r="BO323" s="37" t="n">
        <v>238.69</v>
      </c>
      <c r="BP323" s="37" t="n">
        <v>219.82</v>
      </c>
      <c r="BQ323" s="37" t="n">
        <v>214.42</v>
      </c>
      <c r="BR323" s="37" t="n">
        <v>213.79</v>
      </c>
      <c r="BS323" s="37" t="n">
        <v>221.47</v>
      </c>
      <c r="BT323" s="37" t="n">
        <v>215.29</v>
      </c>
      <c r="BU323" s="37" t="n">
        <v>176.26</v>
      </c>
      <c r="BV323" s="37" t="n">
        <v>238.69</v>
      </c>
      <c r="BW323" s="37" t="n">
        <v>219.82</v>
      </c>
      <c r="BX323" s="37" t="n">
        <v>214.42</v>
      </c>
      <c r="BY323" s="37" t="n">
        <v>213.79</v>
      </c>
      <c r="BZ323" s="37" t="n">
        <v>221.47</v>
      </c>
      <c r="CA323" s="37" t="n">
        <v>215.29</v>
      </c>
      <c r="CB323" s="37" t="n">
        <v>176.26</v>
      </c>
      <c r="CC323" s="37" t="n">
        <v>15077.72</v>
      </c>
    </row>
    <row r="324" ht="15.75" customHeight="1" s="57">
      <c r="A324" s="7" t="inlineStr">
        <is>
          <t>NTB</t>
        </is>
      </c>
      <c r="B324" s="7" t="inlineStr">
        <is>
          <t>Lâm Đồng</t>
        </is>
      </c>
      <c r="C324" s="7" t="n">
        <v>20670000</v>
      </c>
      <c r="D324" s="7" t="inlineStr">
        <is>
          <t>(LDO) Đam Rông 3</t>
        </is>
      </c>
      <c r="E324" s="7" t="inlineStr">
        <is>
          <t>SME-Bulky</t>
        </is>
      </c>
      <c r="F324" s="36" t="n">
        <v>12</v>
      </c>
      <c r="G324" s="36" t="n">
        <v>9</v>
      </c>
      <c r="H324" s="36" t="n">
        <v>13</v>
      </c>
      <c r="I324" s="36" t="n">
        <v>15</v>
      </c>
      <c r="J324" s="36" t="n">
        <v>9</v>
      </c>
      <c r="K324" s="28" t="n">
        <v>26</v>
      </c>
      <c r="L324" s="36" t="n">
        <v>10</v>
      </c>
      <c r="M324" s="36" t="n">
        <v>20</v>
      </c>
      <c r="N324" s="36" t="n">
        <v>17</v>
      </c>
      <c r="O324" s="36" t="n">
        <v>6</v>
      </c>
      <c r="P324" s="36" t="n">
        <v>12</v>
      </c>
      <c r="Q324" s="36" t="n">
        <v>7</v>
      </c>
      <c r="R324" s="28" t="n">
        <v>12</v>
      </c>
      <c r="S324" s="36" t="n">
        <v>5</v>
      </c>
      <c r="T324" s="36" t="n">
        <v>8</v>
      </c>
      <c r="U324" s="36" t="n">
        <v>9.529999999999999</v>
      </c>
      <c r="V324" s="36" t="n">
        <v>9.42</v>
      </c>
      <c r="W324" s="36" t="n">
        <v>8.91</v>
      </c>
      <c r="X324" s="36" t="n">
        <v>5.93</v>
      </c>
      <c r="Y324" s="28" t="n">
        <v>10.64</v>
      </c>
      <c r="Z324" s="36" t="n">
        <v>10.17</v>
      </c>
      <c r="AA324" s="36" t="n">
        <v>10.02</v>
      </c>
      <c r="AB324" s="36" t="n">
        <v>9.529999999999999</v>
      </c>
      <c r="AC324" s="36" t="n">
        <v>9.42</v>
      </c>
      <c r="AD324" s="36" t="n">
        <v>8.369999999999999</v>
      </c>
      <c r="AE324" s="36" t="n">
        <v>5.93</v>
      </c>
      <c r="AF324" s="28" t="n">
        <v>10.64</v>
      </c>
      <c r="AG324" s="36" t="n">
        <v>10.17</v>
      </c>
      <c r="AH324" s="37" t="n">
        <v>10.02</v>
      </c>
      <c r="AI324" s="37" t="n">
        <v>9.529999999999999</v>
      </c>
      <c r="AJ324" s="37" t="n">
        <v>9.42</v>
      </c>
      <c r="AK324" s="37" t="n">
        <v>8.91</v>
      </c>
      <c r="AL324" s="37" t="n">
        <v>5.93</v>
      </c>
      <c r="AM324" s="37" t="n">
        <v>10.64</v>
      </c>
      <c r="AN324" s="37" t="n">
        <v>10.17</v>
      </c>
      <c r="AO324" s="37" t="n">
        <v>10.02</v>
      </c>
      <c r="AP324" s="37" t="n">
        <v>9.529999999999999</v>
      </c>
      <c r="AQ324" s="37" t="n">
        <v>9.42</v>
      </c>
      <c r="AR324" s="37" t="n">
        <v>8.91</v>
      </c>
      <c r="AS324" s="37" t="n">
        <v>5.93</v>
      </c>
      <c r="AT324" s="37" t="n">
        <v>10.64</v>
      </c>
      <c r="AU324" s="37" t="n">
        <v>10.17</v>
      </c>
      <c r="AV324" s="37" t="n">
        <v>10.02</v>
      </c>
      <c r="AW324" s="37" t="n">
        <v>9.529999999999999</v>
      </c>
      <c r="AX324" s="37" t="n">
        <v>9.42</v>
      </c>
      <c r="AY324" s="37" t="n">
        <v>8.91</v>
      </c>
      <c r="AZ324" s="37" t="n">
        <v>5.93</v>
      </c>
      <c r="BA324" s="37" t="n">
        <v>10.68</v>
      </c>
      <c r="BB324" s="37" t="n">
        <v>5.62</v>
      </c>
      <c r="BC324" s="37" t="n">
        <v>2.85</v>
      </c>
      <c r="BD324" s="37" t="n">
        <v>2.58</v>
      </c>
      <c r="BE324" s="37" t="n">
        <v>4.92</v>
      </c>
      <c r="BF324" s="37" t="n">
        <v>4.57</v>
      </c>
      <c r="BG324" s="37" t="n">
        <v>3.55</v>
      </c>
      <c r="BH324" s="37" t="n">
        <v>6.18</v>
      </c>
      <c r="BI324" s="37" t="n">
        <v>6.14</v>
      </c>
      <c r="BJ324" s="37" t="n">
        <v>5.31</v>
      </c>
      <c r="BK324" s="37" t="n">
        <v>5.64</v>
      </c>
      <c r="BL324" s="37" t="n">
        <v>5.66</v>
      </c>
      <c r="BM324" s="37" t="n">
        <v>5.27</v>
      </c>
      <c r="BN324" s="37" t="n">
        <v>3.55</v>
      </c>
      <c r="BO324" s="37" t="n">
        <v>6.18</v>
      </c>
      <c r="BP324" s="37" t="n">
        <v>6.14</v>
      </c>
      <c r="BQ324" s="37" t="n">
        <v>5.85</v>
      </c>
      <c r="BR324" s="37" t="n">
        <v>5.64</v>
      </c>
      <c r="BS324" s="37" t="n">
        <v>5.66</v>
      </c>
      <c r="BT324" s="37" t="n">
        <v>5.27</v>
      </c>
      <c r="BU324" s="37" t="n">
        <v>3.55</v>
      </c>
      <c r="BV324" s="37" t="n">
        <v>6.18</v>
      </c>
      <c r="BW324" s="37" t="n">
        <v>6.14</v>
      </c>
      <c r="BX324" s="37" t="n">
        <v>5.85</v>
      </c>
      <c r="BY324" s="37" t="n">
        <v>5.64</v>
      </c>
      <c r="BZ324" s="37" t="n">
        <v>5.66</v>
      </c>
      <c r="CA324" s="37" t="n">
        <v>5.27</v>
      </c>
      <c r="CB324" s="37" t="n">
        <v>3.55</v>
      </c>
      <c r="CC324" s="37" t="n">
        <v>621.8299999999996</v>
      </c>
    </row>
    <row r="325" ht="15.75" customHeight="1" s="57">
      <c r="A325" s="7" t="inlineStr">
        <is>
          <t>NTB</t>
        </is>
      </c>
      <c r="B325" s="7" t="inlineStr">
        <is>
          <t>Lâm Đồng</t>
        </is>
      </c>
      <c r="C325" s="7" t="n">
        <v>20670000</v>
      </c>
      <c r="D325" s="7" t="inlineStr">
        <is>
          <t>(LDO) Đam Rông 3</t>
        </is>
      </c>
      <c r="E325" s="7" t="inlineStr">
        <is>
          <t>Shopee</t>
        </is>
      </c>
      <c r="F325" s="36" t="n">
        <v>166</v>
      </c>
      <c r="G325" s="36" t="n">
        <v>119</v>
      </c>
      <c r="H325" s="36" t="n">
        <v>105</v>
      </c>
      <c r="I325" s="36" t="n">
        <v>112</v>
      </c>
      <c r="J325" s="36" t="n">
        <v>112</v>
      </c>
      <c r="K325" s="28" t="n">
        <v>92</v>
      </c>
      <c r="L325" s="36" t="n">
        <v>45</v>
      </c>
      <c r="M325" s="36" t="n">
        <v>68</v>
      </c>
      <c r="N325" s="36" t="n">
        <v>106</v>
      </c>
      <c r="O325" s="36" t="n">
        <v>84</v>
      </c>
      <c r="P325" s="36" t="n">
        <v>86</v>
      </c>
      <c r="Q325" s="36" t="n">
        <v>75</v>
      </c>
      <c r="R325" s="28" t="n">
        <v>72</v>
      </c>
      <c r="S325" s="36" t="n">
        <v>66</v>
      </c>
      <c r="T325" s="36" t="n">
        <v>75</v>
      </c>
      <c r="U325" s="36" t="n">
        <v>121.98</v>
      </c>
      <c r="V325" s="36" t="n">
        <v>122.41</v>
      </c>
      <c r="W325" s="36" t="n">
        <v>120.66</v>
      </c>
      <c r="X325" s="36" t="n">
        <v>98.12</v>
      </c>
      <c r="Y325" s="28" t="n">
        <v>164.34</v>
      </c>
      <c r="Z325" s="36" t="n">
        <v>130.11</v>
      </c>
      <c r="AA325" s="36" t="n">
        <v>178.93</v>
      </c>
      <c r="AB325" s="36" t="n">
        <v>124.48</v>
      </c>
      <c r="AC325" s="36" t="n">
        <v>100.46</v>
      </c>
      <c r="AD325" s="36" t="n">
        <v>259.74</v>
      </c>
      <c r="AE325" s="36" t="n">
        <v>105.1</v>
      </c>
      <c r="AF325" s="28" t="n">
        <v>187.35</v>
      </c>
      <c r="AG325" s="36" t="n">
        <v>136.59</v>
      </c>
      <c r="AH325" s="37" t="n">
        <v>144.21</v>
      </c>
      <c r="AI325" s="37" t="n">
        <v>121.98</v>
      </c>
      <c r="AJ325" s="37" t="n">
        <v>122.41</v>
      </c>
      <c r="AK325" s="37" t="n">
        <v>162.81</v>
      </c>
      <c r="AL325" s="37" t="n">
        <v>176.22</v>
      </c>
      <c r="AM325" s="37" t="n">
        <v>164.34</v>
      </c>
      <c r="AN325" s="37" t="n">
        <v>130.11</v>
      </c>
      <c r="AO325" s="37" t="n">
        <v>144.21</v>
      </c>
      <c r="AP325" s="37" t="n">
        <v>152.29</v>
      </c>
      <c r="AQ325" s="37" t="n">
        <v>98.15000000000001</v>
      </c>
      <c r="AR325" s="37" t="n">
        <v>120.66</v>
      </c>
      <c r="AS325" s="37" t="n">
        <v>98.12</v>
      </c>
      <c r="AT325" s="37" t="n">
        <v>164.34</v>
      </c>
      <c r="AU325" s="37" t="n">
        <v>132.78</v>
      </c>
      <c r="AV325" s="37" t="n">
        <v>147.14</v>
      </c>
      <c r="AW325" s="37" t="n">
        <v>121.98</v>
      </c>
      <c r="AX325" s="37" t="n">
        <v>122.41</v>
      </c>
      <c r="AY325" s="37" t="n">
        <v>120.66</v>
      </c>
      <c r="AZ325" s="37" t="n">
        <v>98.12</v>
      </c>
      <c r="BA325" s="37" t="n">
        <v>126.6</v>
      </c>
      <c r="BB325" s="37" t="n">
        <v>110.24</v>
      </c>
      <c r="BC325" s="37" t="n">
        <v>56.37</v>
      </c>
      <c r="BD325" s="37" t="n">
        <v>99.93000000000001</v>
      </c>
      <c r="BE325" s="37" t="n">
        <v>116.59</v>
      </c>
      <c r="BF325" s="37" t="n">
        <v>114.94</v>
      </c>
      <c r="BG325" s="37" t="n">
        <v>95.36</v>
      </c>
      <c r="BH325" s="37" t="n">
        <v>156.52</v>
      </c>
      <c r="BI325" s="37" t="n">
        <v>101.83</v>
      </c>
      <c r="BJ325" s="37" t="n">
        <v>368.66</v>
      </c>
      <c r="BK325" s="37" t="n">
        <v>124.37</v>
      </c>
      <c r="BL325" s="37" t="n">
        <v>122.47</v>
      </c>
      <c r="BM325" s="37" t="n">
        <v>114.94</v>
      </c>
      <c r="BN325" s="37" t="n">
        <v>93.48</v>
      </c>
      <c r="BO325" s="37" t="n">
        <v>156.52</v>
      </c>
      <c r="BP325" s="37" t="n">
        <v>167.24</v>
      </c>
      <c r="BQ325" s="37" t="n">
        <v>246.83</v>
      </c>
      <c r="BR325" s="37" t="n">
        <v>116.21</v>
      </c>
      <c r="BS325" s="37" t="n">
        <v>116.59</v>
      </c>
      <c r="BT325" s="37" t="n">
        <v>114.94</v>
      </c>
      <c r="BU325" s="37" t="n">
        <v>116.77</v>
      </c>
      <c r="BV325" s="37" t="n">
        <v>125.42</v>
      </c>
      <c r="BW325" s="37" t="n">
        <v>123.91</v>
      </c>
      <c r="BX325" s="37" t="n">
        <v>137.35</v>
      </c>
      <c r="BY325" s="37" t="n">
        <v>116.21</v>
      </c>
      <c r="BZ325" s="37" t="n">
        <v>119.05</v>
      </c>
      <c r="CA325" s="37" t="n">
        <v>117.16</v>
      </c>
      <c r="CB325" s="37" t="n">
        <v>93.48</v>
      </c>
      <c r="CC325" s="37" t="n">
        <v>9446.189999999995</v>
      </c>
    </row>
    <row r="326" ht="15.75" customHeight="1" s="57">
      <c r="A326" s="7" t="inlineStr">
        <is>
          <t>NTB</t>
        </is>
      </c>
      <c r="B326" s="7" t="inlineStr">
        <is>
          <t>Lâm Đồng</t>
        </is>
      </c>
      <c r="C326" s="7" t="n">
        <v>20670000</v>
      </c>
      <c r="D326" s="7" t="inlineStr">
        <is>
          <t>(LDO) Đam Rông 3</t>
        </is>
      </c>
      <c r="E326" s="7" t="inlineStr">
        <is>
          <t>Shopee-Bulky</t>
        </is>
      </c>
      <c r="F326" s="36" t="n">
        <v>20.95</v>
      </c>
      <c r="G326" s="36" t="n">
        <v>20.95</v>
      </c>
      <c r="H326" s="36" t="n">
        <v>14.6</v>
      </c>
      <c r="I326" s="36" t="n">
        <v>34.92</v>
      </c>
      <c r="J326" s="36" t="n">
        <v>15.24</v>
      </c>
      <c r="K326" s="28" t="n">
        <v>12.7</v>
      </c>
      <c r="L326" s="36" t="n">
        <v>8.25</v>
      </c>
      <c r="M326" s="36" t="n">
        <v>15.87</v>
      </c>
      <c r="N326" s="36" t="n">
        <v>19.68</v>
      </c>
      <c r="O326" s="36" t="n">
        <v>20.32</v>
      </c>
      <c r="P326" s="36" t="n">
        <v>12.06</v>
      </c>
      <c r="Q326" s="36" t="n">
        <v>10.79</v>
      </c>
      <c r="R326" s="28" t="n">
        <v>15.87</v>
      </c>
      <c r="S326" s="36" t="n">
        <v>8.25</v>
      </c>
      <c r="T326" s="36" t="n">
        <v>20.32</v>
      </c>
      <c r="U326" s="36" t="n">
        <v>14.7</v>
      </c>
      <c r="V326" s="36" t="n">
        <v>14.14</v>
      </c>
      <c r="W326" s="36" t="n">
        <v>19.45</v>
      </c>
      <c r="X326" s="36" t="n">
        <v>11</v>
      </c>
      <c r="Y326" s="28" t="n">
        <v>21.57</v>
      </c>
      <c r="Z326" s="36" t="n">
        <v>17.05</v>
      </c>
      <c r="AA326" s="36" t="n">
        <v>16.56</v>
      </c>
      <c r="AB326" s="36" t="n">
        <v>16.77</v>
      </c>
      <c r="AC326" s="36" t="n">
        <v>17.55</v>
      </c>
      <c r="AD326" s="36" t="n">
        <v>46.95</v>
      </c>
      <c r="AE326" s="36" t="n">
        <v>28.3</v>
      </c>
      <c r="AF326" s="28" t="n">
        <v>42.23</v>
      </c>
      <c r="AG326" s="36" t="n">
        <v>23.98</v>
      </c>
      <c r="AH326" s="37" t="n">
        <v>16.86</v>
      </c>
      <c r="AI326" s="37" t="n">
        <v>16.24</v>
      </c>
      <c r="AJ326" s="37" t="n">
        <v>16.03</v>
      </c>
      <c r="AK326" s="37" t="n">
        <v>36.42</v>
      </c>
      <c r="AL326" s="37" t="n">
        <v>18.47</v>
      </c>
      <c r="AM326" s="37" t="n">
        <v>26.49</v>
      </c>
      <c r="AN326" s="37" t="n">
        <v>16.75</v>
      </c>
      <c r="AO326" s="37" t="n">
        <v>16.4</v>
      </c>
      <c r="AP326" s="37" t="n">
        <v>22.16</v>
      </c>
      <c r="AQ326" s="37" t="n">
        <v>22</v>
      </c>
      <c r="AR326" s="37" t="n">
        <v>17.52</v>
      </c>
      <c r="AS326" s="37" t="n">
        <v>9.700000000000001</v>
      </c>
      <c r="AT326" s="37" t="n">
        <v>19.79</v>
      </c>
      <c r="AU326" s="37" t="n">
        <v>32.62</v>
      </c>
      <c r="AV326" s="37" t="n">
        <v>33.84</v>
      </c>
      <c r="AW326" s="37" t="n">
        <v>16.44</v>
      </c>
      <c r="AX326" s="37" t="n">
        <v>15.39</v>
      </c>
      <c r="AY326" s="37" t="n">
        <v>16.77</v>
      </c>
      <c r="AZ326" s="37" t="n">
        <v>9.319999999999999</v>
      </c>
      <c r="BA326" s="37" t="n">
        <v>18.11</v>
      </c>
      <c r="BB326" s="37" t="n">
        <v>16.82</v>
      </c>
      <c r="BC326" s="37" t="n">
        <v>5.63</v>
      </c>
      <c r="BD326" s="37" t="n">
        <v>14.41</v>
      </c>
      <c r="BE326" s="37" t="n">
        <v>17.67</v>
      </c>
      <c r="BF326" s="37" t="n">
        <v>15.22</v>
      </c>
      <c r="BG326" s="37" t="n">
        <v>12.63</v>
      </c>
      <c r="BH326" s="37" t="n">
        <v>23.19</v>
      </c>
      <c r="BI326" s="37" t="n">
        <v>19.79</v>
      </c>
      <c r="BJ326" s="37" t="n">
        <v>74.70999999999999</v>
      </c>
      <c r="BK326" s="37" t="n">
        <v>41.88</v>
      </c>
      <c r="BL326" s="37" t="n">
        <v>21.58</v>
      </c>
      <c r="BM326" s="37" t="n">
        <v>16.09</v>
      </c>
      <c r="BN326" s="37" t="n">
        <v>12.21</v>
      </c>
      <c r="BO326" s="37" t="n">
        <v>26.9</v>
      </c>
      <c r="BP326" s="37" t="n">
        <v>39.39</v>
      </c>
      <c r="BQ326" s="37" t="n">
        <v>28.46</v>
      </c>
      <c r="BR326" s="37" t="n">
        <v>18.72</v>
      </c>
      <c r="BS326" s="37" t="n">
        <v>17.67</v>
      </c>
      <c r="BT326" s="37" t="n">
        <v>15.22</v>
      </c>
      <c r="BU326" s="37" t="n">
        <v>17.94</v>
      </c>
      <c r="BV326" s="37" t="n">
        <v>24.52</v>
      </c>
      <c r="BW326" s="37" t="n">
        <v>19.79</v>
      </c>
      <c r="BX326" s="37" t="n">
        <v>19.08</v>
      </c>
      <c r="BY326" s="37" t="n">
        <v>18.72</v>
      </c>
      <c r="BZ326" s="37" t="n">
        <v>32.11</v>
      </c>
      <c r="CA326" s="37" t="n">
        <v>18.45</v>
      </c>
      <c r="CB326" s="37" t="n">
        <v>12.03</v>
      </c>
      <c r="CC326" s="37" t="n">
        <v>1539.17</v>
      </c>
    </row>
    <row r="327" ht="15.75" customHeight="1" s="57">
      <c r="A327" s="7" t="inlineStr">
        <is>
          <t>NTB</t>
        </is>
      </c>
      <c r="B327" s="7" t="inlineStr">
        <is>
          <t>Lâm Đồng</t>
        </is>
      </c>
      <c r="C327" s="7" t="n">
        <v>20670000</v>
      </c>
      <c r="D327" s="7" t="inlineStr">
        <is>
          <t>(LDO) Đam Rông 3</t>
        </is>
      </c>
      <c r="E327" s="7" t="inlineStr">
        <is>
          <t>Shopee-Bulky (10-15kg)</t>
        </is>
      </c>
      <c r="F327" s="36" t="n">
        <v>12.05</v>
      </c>
      <c r="G327" s="36" t="n">
        <v>12.05</v>
      </c>
      <c r="H327" s="36" t="n">
        <v>8.4</v>
      </c>
      <c r="I327" s="36" t="n">
        <v>20.08</v>
      </c>
      <c r="J327" s="36" t="n">
        <v>8.76</v>
      </c>
      <c r="K327" s="28" t="n">
        <v>7.3</v>
      </c>
      <c r="L327" s="36" t="n">
        <v>4.75</v>
      </c>
      <c r="M327" s="36" t="n">
        <v>9.130000000000001</v>
      </c>
      <c r="N327" s="36" t="n">
        <v>11.32</v>
      </c>
      <c r="O327" s="36" t="n">
        <v>11.68</v>
      </c>
      <c r="P327" s="36" t="n">
        <v>6.94</v>
      </c>
      <c r="Q327" s="36" t="n">
        <v>6.21</v>
      </c>
      <c r="R327" s="28" t="n">
        <v>9.130000000000001</v>
      </c>
      <c r="S327" s="36" t="n">
        <v>4.75</v>
      </c>
      <c r="T327" s="36" t="n">
        <v>11.68</v>
      </c>
      <c r="U327" s="36" t="n">
        <v>8.77</v>
      </c>
      <c r="V327" s="36" t="n">
        <v>8.4</v>
      </c>
      <c r="W327" s="36" t="n">
        <v>11.09</v>
      </c>
      <c r="X327" s="36" t="n">
        <v>6.28</v>
      </c>
      <c r="Y327" s="28" t="n">
        <v>12.43</v>
      </c>
      <c r="Z327" s="36" t="n">
        <v>9.69</v>
      </c>
      <c r="AA327" s="36" t="n">
        <v>9.120000000000001</v>
      </c>
      <c r="AB327" s="36" t="n">
        <v>9.550000000000001</v>
      </c>
      <c r="AC327" s="36" t="n">
        <v>9.869999999999999</v>
      </c>
      <c r="AD327" s="36" t="n">
        <v>37.89</v>
      </c>
      <c r="AE327" s="36" t="n">
        <v>15.82</v>
      </c>
      <c r="AF327" s="28" t="n">
        <v>23.08</v>
      </c>
      <c r="AG327" s="36" t="n">
        <v>13.73</v>
      </c>
      <c r="AH327" s="37" t="n">
        <v>9.57</v>
      </c>
      <c r="AI327" s="37" t="n">
        <v>9.32</v>
      </c>
      <c r="AJ327" s="37" t="n">
        <v>9</v>
      </c>
      <c r="AK327" s="37" t="n">
        <v>21.3</v>
      </c>
      <c r="AL327" s="37" t="n">
        <v>10.32</v>
      </c>
      <c r="AM327" s="37" t="n">
        <v>15.27</v>
      </c>
      <c r="AN327" s="37" t="n">
        <v>9.58</v>
      </c>
      <c r="AO327" s="37" t="n">
        <v>9.210000000000001</v>
      </c>
      <c r="AP327" s="37" t="n">
        <v>12.12</v>
      </c>
      <c r="AQ327" s="37" t="n">
        <v>12.36</v>
      </c>
      <c r="AR327" s="37" t="n">
        <v>10.03</v>
      </c>
      <c r="AS327" s="37" t="n">
        <v>5.52</v>
      </c>
      <c r="AT327" s="37" t="n">
        <v>11.38</v>
      </c>
      <c r="AU327" s="37" t="n">
        <v>19.33</v>
      </c>
      <c r="AV327" s="37" t="n">
        <v>19.34</v>
      </c>
      <c r="AW327" s="37" t="n">
        <v>9.26</v>
      </c>
      <c r="AX327" s="37" t="n">
        <v>8.59</v>
      </c>
      <c r="AY327" s="37" t="n">
        <v>9.619999999999999</v>
      </c>
      <c r="AZ327" s="37" t="n">
        <v>5.3</v>
      </c>
      <c r="BA327" s="37" t="n">
        <v>10.41</v>
      </c>
      <c r="BB327" s="37" t="n">
        <v>9.66</v>
      </c>
      <c r="BC327" s="37" t="n">
        <v>3.33</v>
      </c>
      <c r="BD327" s="37" t="n">
        <v>8.140000000000001</v>
      </c>
      <c r="BE327" s="37" t="n">
        <v>10.09</v>
      </c>
      <c r="BF327" s="37" t="n">
        <v>8.82</v>
      </c>
      <c r="BG327" s="37" t="n">
        <v>7.27</v>
      </c>
      <c r="BH327" s="37" t="n">
        <v>13.5</v>
      </c>
      <c r="BI327" s="37" t="n">
        <v>11.38</v>
      </c>
      <c r="BJ327" s="37" t="n">
        <v>52.21</v>
      </c>
      <c r="BK327" s="37" t="n">
        <v>24.2</v>
      </c>
      <c r="BL327" s="37" t="n">
        <v>12.4</v>
      </c>
      <c r="BM327" s="37" t="n">
        <v>9.16</v>
      </c>
      <c r="BN327" s="37" t="n">
        <v>7.11</v>
      </c>
      <c r="BO327" s="37" t="n">
        <v>15.34</v>
      </c>
      <c r="BP327" s="37" t="n">
        <v>22.81</v>
      </c>
      <c r="BQ327" s="37" t="n">
        <v>16.44</v>
      </c>
      <c r="BR327" s="37" t="n">
        <v>10.68</v>
      </c>
      <c r="BS327" s="37" t="n">
        <v>10.09</v>
      </c>
      <c r="BT327" s="37" t="n">
        <v>8.82</v>
      </c>
      <c r="BU327" s="37" t="n">
        <v>10.2</v>
      </c>
      <c r="BV327" s="37" t="n">
        <v>14.02</v>
      </c>
      <c r="BW327" s="37" t="n">
        <v>11.38</v>
      </c>
      <c r="BX327" s="37" t="n">
        <v>10.86</v>
      </c>
      <c r="BY327" s="37" t="n">
        <v>10.68</v>
      </c>
      <c r="BZ327" s="37" t="n">
        <v>18.52</v>
      </c>
      <c r="CA327" s="37" t="n">
        <v>10.53</v>
      </c>
      <c r="CB327" s="37" t="n">
        <v>6.85</v>
      </c>
      <c r="CC327" s="37" t="n">
        <v>901.27</v>
      </c>
    </row>
    <row r="328" ht="15.75" customHeight="1" s="57">
      <c r="A328" s="7" t="inlineStr">
        <is>
          <t>NTB</t>
        </is>
      </c>
      <c r="B328" s="7" t="inlineStr">
        <is>
          <t>Lâm Đồng</t>
        </is>
      </c>
      <c r="C328" s="7" t="n">
        <v>20670000</v>
      </c>
      <c r="D328" s="7" t="inlineStr">
        <is>
          <t>(LDO) Đam Rông 3</t>
        </is>
      </c>
      <c r="E328" s="7" t="inlineStr">
        <is>
          <t>TTS</t>
        </is>
      </c>
      <c r="F328" s="36" t="n">
        <v>190</v>
      </c>
      <c r="G328" s="36" t="n">
        <v>190</v>
      </c>
      <c r="H328" s="36" t="n">
        <v>148</v>
      </c>
      <c r="I328" s="36" t="n">
        <v>111</v>
      </c>
      <c r="J328" s="36" t="n">
        <v>136</v>
      </c>
      <c r="K328" s="28" t="n">
        <v>123</v>
      </c>
      <c r="L328" s="36" t="n">
        <v>85</v>
      </c>
      <c r="M328" s="36" t="n">
        <v>113</v>
      </c>
      <c r="N328" s="36" t="n">
        <v>134</v>
      </c>
      <c r="O328" s="36" t="n">
        <v>97</v>
      </c>
      <c r="P328" s="36" t="n">
        <v>106</v>
      </c>
      <c r="Q328" s="36" t="n">
        <v>114</v>
      </c>
      <c r="R328" s="28" t="n">
        <v>138</v>
      </c>
      <c r="S328" s="36" t="n">
        <v>105</v>
      </c>
      <c r="T328" s="36" t="n">
        <v>106</v>
      </c>
      <c r="U328" s="36" t="n">
        <v>89.02999999999999</v>
      </c>
      <c r="V328" s="36" t="n">
        <v>87.53</v>
      </c>
      <c r="W328" s="36" t="n">
        <v>85.53</v>
      </c>
      <c r="X328" s="36" t="n">
        <v>69.06999999999999</v>
      </c>
      <c r="Y328" s="28" t="n">
        <v>100.38</v>
      </c>
      <c r="Z328" s="36" t="n">
        <v>85.44999999999999</v>
      </c>
      <c r="AA328" s="36" t="n">
        <v>94.70999999999999</v>
      </c>
      <c r="AB328" s="36" t="n">
        <v>105.26</v>
      </c>
      <c r="AC328" s="36" t="n">
        <v>110.9</v>
      </c>
      <c r="AD328" s="36" t="n">
        <v>115.12</v>
      </c>
      <c r="AE328" s="36" t="n">
        <v>80.22999999999999</v>
      </c>
      <c r="AF328" s="28" t="n">
        <v>103.75</v>
      </c>
      <c r="AG328" s="36" t="n">
        <v>87.05999999999999</v>
      </c>
      <c r="AH328" s="37" t="n">
        <v>86.08</v>
      </c>
      <c r="AI328" s="37" t="n">
        <v>98.5</v>
      </c>
      <c r="AJ328" s="37" t="n">
        <v>105.85</v>
      </c>
      <c r="AK328" s="37" t="n">
        <v>104.38</v>
      </c>
      <c r="AL328" s="37" t="n">
        <v>74.45</v>
      </c>
      <c r="AM328" s="37" t="n">
        <v>102.21</v>
      </c>
      <c r="AN328" s="37" t="n">
        <v>88.19</v>
      </c>
      <c r="AO328" s="37" t="n">
        <v>87.66999999999999</v>
      </c>
      <c r="AP328" s="37" t="n">
        <v>85.03</v>
      </c>
      <c r="AQ328" s="37" t="n">
        <v>85.8</v>
      </c>
      <c r="AR328" s="37" t="n">
        <v>84.36</v>
      </c>
      <c r="AS328" s="37" t="n">
        <v>69.40000000000001</v>
      </c>
      <c r="AT328" s="37" t="n">
        <v>110.49</v>
      </c>
      <c r="AU328" s="37" t="n">
        <v>99.97</v>
      </c>
      <c r="AV328" s="37" t="n">
        <v>88.92999999999999</v>
      </c>
      <c r="AW328" s="37" t="n">
        <v>83.96999999999998</v>
      </c>
      <c r="AX328" s="37" t="n">
        <v>83.38</v>
      </c>
      <c r="AY328" s="37" t="n">
        <v>83.23999999999999</v>
      </c>
      <c r="AZ328" s="37" t="n">
        <v>69.40000000000001</v>
      </c>
      <c r="BA328" s="37" t="n">
        <v>99.58999999999999</v>
      </c>
      <c r="BB328" s="37" t="n">
        <v>93.09</v>
      </c>
      <c r="BC328" s="37" t="n">
        <v>55.41</v>
      </c>
      <c r="BD328" s="37" t="n">
        <v>80.27999999999999</v>
      </c>
      <c r="BE328" s="37" t="n">
        <v>94.45</v>
      </c>
      <c r="BF328" s="37" t="n">
        <v>91.88000000000001</v>
      </c>
      <c r="BG328" s="37" t="n">
        <v>74.57000000000001</v>
      </c>
      <c r="BH328" s="37" t="n">
        <v>110.3</v>
      </c>
      <c r="BI328" s="37" t="n">
        <v>93.09</v>
      </c>
      <c r="BJ328" s="37" t="n">
        <v>87.43000000000001</v>
      </c>
      <c r="BK328" s="37" t="n">
        <v>94.33</v>
      </c>
      <c r="BL328" s="37" t="n">
        <v>94.45</v>
      </c>
      <c r="BM328" s="37" t="n">
        <v>91.88000000000001</v>
      </c>
      <c r="BN328" s="37" t="n">
        <v>74.57000000000001</v>
      </c>
      <c r="BO328" s="37" t="n">
        <v>110.3</v>
      </c>
      <c r="BP328" s="37" t="n">
        <v>93.09</v>
      </c>
      <c r="BQ328" s="37" t="n">
        <v>92.06</v>
      </c>
      <c r="BR328" s="37" t="n">
        <v>94.33</v>
      </c>
      <c r="BS328" s="37" t="n">
        <v>94.45</v>
      </c>
      <c r="BT328" s="37" t="n">
        <v>91.88000000000001</v>
      </c>
      <c r="BU328" s="37" t="n">
        <v>74.57000000000001</v>
      </c>
      <c r="BV328" s="37" t="n">
        <v>110.3</v>
      </c>
      <c r="BW328" s="37" t="n">
        <v>93.09</v>
      </c>
      <c r="BX328" s="37" t="n">
        <v>92.06</v>
      </c>
      <c r="BY328" s="37" t="n">
        <v>94.33</v>
      </c>
      <c r="BZ328" s="37" t="n">
        <v>94.45</v>
      </c>
      <c r="CA328" s="37" t="n">
        <v>91.88000000000001</v>
      </c>
      <c r="CB328" s="37" t="n">
        <v>74.57000000000001</v>
      </c>
      <c r="CC328" s="37" t="n">
        <v>7338.000000000001</v>
      </c>
    </row>
    <row r="329" ht="15.75" customHeight="1" s="57">
      <c r="A329" s="7" t="inlineStr">
        <is>
          <t>NTB</t>
        </is>
      </c>
      <c r="B329" s="7" t="inlineStr">
        <is>
          <t>Lâm Đồng</t>
        </is>
      </c>
      <c r="C329" s="7" t="n">
        <v>20670000</v>
      </c>
      <c r="D329" s="7" t="inlineStr">
        <is>
          <t>(LDO) Đam Rông 3</t>
        </is>
      </c>
      <c r="E329" s="7" t="inlineStr">
        <is>
          <t>TTS-Bulky</t>
        </is>
      </c>
      <c r="F329" s="36" t="n">
        <v>2</v>
      </c>
      <c r="G329" s="36" t="n">
        <v>1</v>
      </c>
      <c r="H329" s="36" t="n">
        <v>1</v>
      </c>
      <c r="I329" s="36" t="n">
        <v>3</v>
      </c>
      <c r="J329" s="36" t="n">
        <v>1</v>
      </c>
      <c r="K329" s="28" t="n">
        <v>2</v>
      </c>
      <c r="L329" s="36" t="n">
        <v>1</v>
      </c>
      <c r="M329" s="36" t="n">
        <v>1</v>
      </c>
      <c r="N329" s="36" t="n">
        <v>1</v>
      </c>
      <c r="O329" s="36" t="n">
        <v>2</v>
      </c>
      <c r="P329" s="36" t="n">
        <v>0</v>
      </c>
      <c r="Q329" s="36" t="n">
        <v>3</v>
      </c>
      <c r="R329" s="28" t="n">
        <v>1</v>
      </c>
      <c r="S329" s="36" t="n">
        <v>4</v>
      </c>
      <c r="T329" s="36" t="n">
        <v>2</v>
      </c>
      <c r="U329" s="36" t="n">
        <v>5.38</v>
      </c>
      <c r="V329" s="36" t="n">
        <v>5.47</v>
      </c>
      <c r="W329" s="36" t="n">
        <v>2.58</v>
      </c>
      <c r="X329" s="36" t="n">
        <v>1.83</v>
      </c>
      <c r="Y329" s="28" t="n">
        <v>3.37</v>
      </c>
      <c r="Z329" s="36" t="n">
        <v>2.67</v>
      </c>
      <c r="AA329" s="36" t="n">
        <v>2.85</v>
      </c>
      <c r="AB329" s="36" t="n">
        <v>2.96</v>
      </c>
      <c r="AC329" s="36" t="n">
        <v>3.12</v>
      </c>
      <c r="AD329" s="36" t="n">
        <v>4.51</v>
      </c>
      <c r="AE329" s="36" t="n">
        <v>2.08</v>
      </c>
      <c r="AF329" s="28" t="n">
        <v>3.36</v>
      </c>
      <c r="AG329" s="36" t="n">
        <v>2.55</v>
      </c>
      <c r="AH329" s="37" t="n">
        <v>2.54</v>
      </c>
      <c r="AI329" s="37" t="n">
        <v>2.59</v>
      </c>
      <c r="AJ329" s="37" t="n">
        <v>2.93</v>
      </c>
      <c r="AK329" s="37" t="n">
        <v>2.81</v>
      </c>
      <c r="AL329" s="37" t="n">
        <v>1.96</v>
      </c>
      <c r="AM329" s="37" t="n">
        <v>3.34</v>
      </c>
      <c r="AN329" s="37" t="n">
        <v>2.57</v>
      </c>
      <c r="AO329" s="37" t="n">
        <v>2.55</v>
      </c>
      <c r="AP329" s="37" t="n">
        <v>2.54</v>
      </c>
      <c r="AQ329" s="37" t="n">
        <v>2.79</v>
      </c>
      <c r="AR329" s="37" t="n">
        <v>2.58</v>
      </c>
      <c r="AS329" s="37" t="n">
        <v>1.9</v>
      </c>
      <c r="AT329" s="37" t="n">
        <v>3.48</v>
      </c>
      <c r="AU329" s="37" t="n">
        <v>2.95</v>
      </c>
      <c r="AV329" s="37" t="n">
        <v>2.62</v>
      </c>
      <c r="AW329" s="37" t="n">
        <v>2.51</v>
      </c>
      <c r="AX329" s="37" t="n">
        <v>2.79</v>
      </c>
      <c r="AY329" s="37" t="n">
        <v>2.55</v>
      </c>
      <c r="AZ329" s="37" t="n">
        <v>1.9</v>
      </c>
      <c r="BA329" s="37" t="n">
        <v>2.94</v>
      </c>
      <c r="BB329" s="37" t="n">
        <v>0.6899999999999999</v>
      </c>
      <c r="BC329" s="37" t="n">
        <v>0.4399999999999999</v>
      </c>
      <c r="BD329" s="37" t="n">
        <v>0.54</v>
      </c>
      <c r="BE329" s="37" t="n">
        <v>0.72</v>
      </c>
      <c r="BF329" s="37" t="n">
        <v>0.72</v>
      </c>
      <c r="BG329" s="37" t="n">
        <v>0.48</v>
      </c>
      <c r="BH329" s="37" t="n">
        <v>0.9299999999999999</v>
      </c>
      <c r="BI329" s="37" t="n">
        <v>0.72</v>
      </c>
      <c r="BJ329" s="37" t="n">
        <v>1.12</v>
      </c>
      <c r="BK329" s="37" t="n">
        <v>0.75</v>
      </c>
      <c r="BL329" s="37" t="n">
        <v>0.72</v>
      </c>
      <c r="BM329" s="37" t="n">
        <v>0.72</v>
      </c>
      <c r="BN329" s="37" t="n">
        <v>0.54</v>
      </c>
      <c r="BO329" s="37" t="n">
        <v>1.07</v>
      </c>
      <c r="BP329" s="37" t="n">
        <v>0.8300000000000001</v>
      </c>
      <c r="BQ329" s="37" t="n">
        <v>0.75</v>
      </c>
      <c r="BR329" s="37" t="n">
        <v>0.75</v>
      </c>
      <c r="BS329" s="37" t="n">
        <v>0.72</v>
      </c>
      <c r="BT329" s="37" t="n">
        <v>0.72</v>
      </c>
      <c r="BU329" s="37" t="n">
        <v>0.47</v>
      </c>
      <c r="BV329" s="37" t="n">
        <v>0.7999999999999999</v>
      </c>
      <c r="BW329" s="37" t="n">
        <v>0.72</v>
      </c>
      <c r="BX329" s="37" t="n">
        <v>0.75</v>
      </c>
      <c r="BY329" s="37" t="n">
        <v>0.75</v>
      </c>
      <c r="BZ329" s="37" t="n">
        <v>0.72</v>
      </c>
      <c r="CA329" s="37" t="n">
        <v>0.72</v>
      </c>
      <c r="CB329" s="37" t="n">
        <v>0.47</v>
      </c>
      <c r="CC329" s="37" t="n">
        <v>139.9000000000001</v>
      </c>
    </row>
    <row r="330" ht="15.75" customHeight="1" s="57">
      <c r="A330" s="7" t="inlineStr">
        <is>
          <t>NTB</t>
        </is>
      </c>
      <c r="B330" s="7" t="inlineStr">
        <is>
          <t>Lâm Đồng</t>
        </is>
      </c>
      <c r="C330" s="7" t="n">
        <v>20785000</v>
      </c>
      <c r="D330" s="7" t="inlineStr">
        <is>
          <t>(LDO) B'Lao</t>
        </is>
      </c>
      <c r="E330" s="7" t="inlineStr">
        <is>
          <t>SME</t>
        </is>
      </c>
      <c r="F330" s="36" t="n">
        <v>300</v>
      </c>
      <c r="G330" s="36" t="n">
        <v>404</v>
      </c>
      <c r="H330" s="36" t="n">
        <v>367</v>
      </c>
      <c r="I330" s="36" t="n">
        <v>340</v>
      </c>
      <c r="J330" s="36" t="n">
        <v>297</v>
      </c>
      <c r="K330" s="28" t="n">
        <v>334</v>
      </c>
      <c r="L330" s="36" t="n">
        <v>282</v>
      </c>
      <c r="M330" s="36" t="n">
        <v>202</v>
      </c>
      <c r="N330" s="36" t="n">
        <v>317</v>
      </c>
      <c r="O330" s="36" t="n">
        <v>282</v>
      </c>
      <c r="P330" s="36" t="n">
        <v>354</v>
      </c>
      <c r="Q330" s="36" t="n">
        <v>250</v>
      </c>
      <c r="R330" s="28" t="n">
        <v>278</v>
      </c>
      <c r="S330" s="36" t="n">
        <v>310</v>
      </c>
      <c r="T330" s="36" t="n">
        <v>250</v>
      </c>
      <c r="U330" s="36" t="n">
        <v>366.67</v>
      </c>
      <c r="V330" s="36" t="n">
        <v>379.84</v>
      </c>
      <c r="W330" s="36" t="n">
        <v>369.29</v>
      </c>
      <c r="X330" s="36" t="n">
        <v>302.06</v>
      </c>
      <c r="Y330" s="28" t="n">
        <v>409.24</v>
      </c>
      <c r="Z330" s="36" t="n">
        <v>377.04</v>
      </c>
      <c r="AA330" s="36" t="n">
        <v>367.75</v>
      </c>
      <c r="AB330" s="36" t="n">
        <v>366.67</v>
      </c>
      <c r="AC330" s="36" t="n">
        <v>379.84</v>
      </c>
      <c r="AD330" s="36" t="n">
        <v>381.76</v>
      </c>
      <c r="AE330" s="36" t="n">
        <v>302.06</v>
      </c>
      <c r="AF330" s="28" t="n">
        <v>409.24</v>
      </c>
      <c r="AG330" s="36" t="n">
        <v>377.04</v>
      </c>
      <c r="AH330" s="37" t="n">
        <v>367.75</v>
      </c>
      <c r="AI330" s="37" t="n">
        <v>366.67</v>
      </c>
      <c r="AJ330" s="37" t="n">
        <v>379.84</v>
      </c>
      <c r="AK330" s="37" t="n">
        <v>369.29</v>
      </c>
      <c r="AL330" s="37" t="n">
        <v>302.06</v>
      </c>
      <c r="AM330" s="37" t="n">
        <v>409.24</v>
      </c>
      <c r="AN330" s="37" t="n">
        <v>377.04</v>
      </c>
      <c r="AO330" s="37" t="n">
        <v>367.75</v>
      </c>
      <c r="AP330" s="37" t="n">
        <v>366.67</v>
      </c>
      <c r="AQ330" s="37" t="n">
        <v>379.84</v>
      </c>
      <c r="AR330" s="37" t="n">
        <v>369.29</v>
      </c>
      <c r="AS330" s="37" t="n">
        <v>302.06</v>
      </c>
      <c r="AT330" s="37" t="n">
        <v>409.24</v>
      </c>
      <c r="AU330" s="37" t="n">
        <v>377.04</v>
      </c>
      <c r="AV330" s="37" t="n">
        <v>367.75</v>
      </c>
      <c r="AW330" s="37" t="n">
        <v>366.67</v>
      </c>
      <c r="AX330" s="37" t="n">
        <v>379.84</v>
      </c>
      <c r="AY330" s="37" t="n">
        <v>369.29</v>
      </c>
      <c r="AZ330" s="37" t="n">
        <v>302.06</v>
      </c>
      <c r="BA330" s="37" t="n">
        <v>368.16</v>
      </c>
      <c r="BB330" s="37" t="n">
        <v>330.6900000000001</v>
      </c>
      <c r="BC330" s="37" t="n">
        <v>208.94</v>
      </c>
      <c r="BD330" s="37" t="n">
        <v>208.29</v>
      </c>
      <c r="BE330" s="37" t="n">
        <v>352.1</v>
      </c>
      <c r="BF330" s="37" t="n">
        <v>343.08</v>
      </c>
      <c r="BG330" s="37" t="n">
        <v>311.71</v>
      </c>
      <c r="BH330" s="37" t="n">
        <v>422.19</v>
      </c>
      <c r="BI330" s="37" t="n">
        <v>388.82</v>
      </c>
      <c r="BJ330" s="37" t="n">
        <v>392.18</v>
      </c>
      <c r="BK330" s="37" t="n">
        <v>378.05</v>
      </c>
      <c r="BL330" s="37" t="n">
        <v>391.72</v>
      </c>
      <c r="BM330" s="37" t="n">
        <v>380.68</v>
      </c>
      <c r="BN330" s="37" t="n">
        <v>311.71</v>
      </c>
      <c r="BO330" s="37" t="n">
        <v>422.19</v>
      </c>
      <c r="BP330" s="37" t="n">
        <v>388.82</v>
      </c>
      <c r="BQ330" s="37" t="n">
        <v>379.08</v>
      </c>
      <c r="BR330" s="37" t="n">
        <v>378.05</v>
      </c>
      <c r="BS330" s="37" t="n">
        <v>391.72</v>
      </c>
      <c r="BT330" s="37" t="n">
        <v>380.68</v>
      </c>
      <c r="BU330" s="37" t="n">
        <v>311.71</v>
      </c>
      <c r="BV330" s="37" t="n">
        <v>422.19</v>
      </c>
      <c r="BW330" s="37" t="n">
        <v>388.82</v>
      </c>
      <c r="BX330" s="37" t="n">
        <v>379.08</v>
      </c>
      <c r="BY330" s="37" t="n">
        <v>378.05</v>
      </c>
      <c r="BZ330" s="37" t="n">
        <v>391.72</v>
      </c>
      <c r="CA330" s="37" t="n">
        <v>380.68</v>
      </c>
      <c r="CB330" s="37" t="n">
        <v>311.71</v>
      </c>
      <c r="CC330" s="37" t="n">
        <v>26377.71</v>
      </c>
    </row>
    <row r="331" ht="15.75" customHeight="1" s="57">
      <c r="A331" s="7" t="inlineStr">
        <is>
          <t>NTB</t>
        </is>
      </c>
      <c r="B331" s="7" t="inlineStr">
        <is>
          <t>Lâm Đồng</t>
        </is>
      </c>
      <c r="C331" s="7" t="n">
        <v>20785000</v>
      </c>
      <c r="D331" s="7" t="inlineStr">
        <is>
          <t>(LDO) B'Lao</t>
        </is>
      </c>
      <c r="E331" s="7" t="inlineStr">
        <is>
          <t>SME-Bulky</t>
        </is>
      </c>
      <c r="F331" s="36" t="n">
        <v>22</v>
      </c>
      <c r="G331" s="36" t="n">
        <v>15</v>
      </c>
      <c r="H331" s="36" t="n">
        <v>15</v>
      </c>
      <c r="I331" s="36" t="n">
        <v>13</v>
      </c>
      <c r="J331" s="36" t="n">
        <v>9</v>
      </c>
      <c r="K331" s="28" t="n">
        <v>12</v>
      </c>
      <c r="L331" s="36" t="n">
        <v>7</v>
      </c>
      <c r="M331" s="36" t="n">
        <v>17</v>
      </c>
      <c r="N331" s="36" t="n">
        <v>16</v>
      </c>
      <c r="O331" s="36" t="n">
        <v>29</v>
      </c>
      <c r="P331" s="36" t="n">
        <v>16</v>
      </c>
      <c r="Q331" s="36" t="n">
        <v>10</v>
      </c>
      <c r="R331" s="28" t="n">
        <v>9</v>
      </c>
      <c r="S331" s="36" t="n">
        <v>13</v>
      </c>
      <c r="T331" s="36" t="n">
        <v>5</v>
      </c>
      <c r="U331" s="36" t="n">
        <v>13.94</v>
      </c>
      <c r="V331" s="36" t="n">
        <v>13.78</v>
      </c>
      <c r="W331" s="36" t="n">
        <v>13.03</v>
      </c>
      <c r="X331" s="36" t="n">
        <v>8.68</v>
      </c>
      <c r="Y331" s="28" t="n">
        <v>15.57</v>
      </c>
      <c r="Z331" s="36" t="n">
        <v>14.87</v>
      </c>
      <c r="AA331" s="36" t="n">
        <v>14.66</v>
      </c>
      <c r="AB331" s="36" t="n">
        <v>13.94</v>
      </c>
      <c r="AC331" s="36" t="n">
        <v>13.78</v>
      </c>
      <c r="AD331" s="36" t="n">
        <v>12.24</v>
      </c>
      <c r="AE331" s="36" t="n">
        <v>8.68</v>
      </c>
      <c r="AF331" s="28" t="n">
        <v>15.57</v>
      </c>
      <c r="AG331" s="36" t="n">
        <v>14.87</v>
      </c>
      <c r="AH331" s="37" t="n">
        <v>14.66</v>
      </c>
      <c r="AI331" s="37" t="n">
        <v>13.94</v>
      </c>
      <c r="AJ331" s="37" t="n">
        <v>13.78</v>
      </c>
      <c r="AK331" s="37" t="n">
        <v>13.03</v>
      </c>
      <c r="AL331" s="37" t="n">
        <v>8.68</v>
      </c>
      <c r="AM331" s="37" t="n">
        <v>15.57</v>
      </c>
      <c r="AN331" s="37" t="n">
        <v>14.87</v>
      </c>
      <c r="AO331" s="37" t="n">
        <v>14.66</v>
      </c>
      <c r="AP331" s="37" t="n">
        <v>13.94</v>
      </c>
      <c r="AQ331" s="37" t="n">
        <v>13.78</v>
      </c>
      <c r="AR331" s="37" t="n">
        <v>13.03</v>
      </c>
      <c r="AS331" s="37" t="n">
        <v>8.68</v>
      </c>
      <c r="AT331" s="37" t="n">
        <v>15.57</v>
      </c>
      <c r="AU331" s="37" t="n">
        <v>14.87</v>
      </c>
      <c r="AV331" s="37" t="n">
        <v>14.66</v>
      </c>
      <c r="AW331" s="37" t="n">
        <v>13.94</v>
      </c>
      <c r="AX331" s="37" t="n">
        <v>13.78</v>
      </c>
      <c r="AY331" s="37" t="n">
        <v>13.03</v>
      </c>
      <c r="AZ331" s="37" t="n">
        <v>8.68</v>
      </c>
      <c r="BA331" s="37" t="n">
        <v>15.63</v>
      </c>
      <c r="BB331" s="37" t="n">
        <v>8.220000000000001</v>
      </c>
      <c r="BC331" s="37" t="n">
        <v>4.17</v>
      </c>
      <c r="BD331" s="37" t="n">
        <v>3.78</v>
      </c>
      <c r="BE331" s="37" t="n">
        <v>7.19</v>
      </c>
      <c r="BF331" s="37" t="n">
        <v>6.68</v>
      </c>
      <c r="BG331" s="37" t="n">
        <v>5.2</v>
      </c>
      <c r="BH331" s="37" t="n">
        <v>9.039999999999999</v>
      </c>
      <c r="BI331" s="37" t="n">
        <v>8.98</v>
      </c>
      <c r="BJ331" s="37" t="n">
        <v>7.77</v>
      </c>
      <c r="BK331" s="37" t="n">
        <v>8.25</v>
      </c>
      <c r="BL331" s="37" t="n">
        <v>8.279999999999999</v>
      </c>
      <c r="BM331" s="37" t="n">
        <v>7.71</v>
      </c>
      <c r="BN331" s="37" t="n">
        <v>5.2</v>
      </c>
      <c r="BO331" s="37" t="n">
        <v>9.039999999999999</v>
      </c>
      <c r="BP331" s="37" t="n">
        <v>8.98</v>
      </c>
      <c r="BQ331" s="37" t="n">
        <v>8.550000000000001</v>
      </c>
      <c r="BR331" s="37" t="n">
        <v>8.25</v>
      </c>
      <c r="BS331" s="37" t="n">
        <v>8.279999999999999</v>
      </c>
      <c r="BT331" s="37" t="n">
        <v>7.71</v>
      </c>
      <c r="BU331" s="37" t="n">
        <v>5.2</v>
      </c>
      <c r="BV331" s="37" t="n">
        <v>9.039999999999999</v>
      </c>
      <c r="BW331" s="37" t="n">
        <v>8.98</v>
      </c>
      <c r="BX331" s="37" t="n">
        <v>8.550000000000001</v>
      </c>
      <c r="BY331" s="37" t="n">
        <v>8.25</v>
      </c>
      <c r="BZ331" s="37" t="n">
        <v>8.279999999999999</v>
      </c>
      <c r="CA331" s="37" t="n">
        <v>7.71</v>
      </c>
      <c r="CB331" s="37" t="n">
        <v>5.2</v>
      </c>
      <c r="CC331" s="37" t="n">
        <v>852.8799999999999</v>
      </c>
    </row>
    <row r="332" ht="15.75" customHeight="1" s="57">
      <c r="A332" s="7" t="inlineStr">
        <is>
          <t>NTB</t>
        </is>
      </c>
      <c r="B332" s="7" t="inlineStr">
        <is>
          <t>Lâm Đồng</t>
        </is>
      </c>
      <c r="C332" s="7" t="n">
        <v>20785000</v>
      </c>
      <c r="D332" s="7" t="inlineStr">
        <is>
          <t>(LDO) B'Lao</t>
        </is>
      </c>
      <c r="E332" s="7" t="inlineStr">
        <is>
          <t>Shopee</t>
        </is>
      </c>
      <c r="F332" s="36" t="n">
        <v>231</v>
      </c>
      <c r="G332" s="36" t="n">
        <v>303</v>
      </c>
      <c r="H332" s="36" t="n">
        <v>385</v>
      </c>
      <c r="I332" s="36" t="n">
        <v>301</v>
      </c>
      <c r="J332" s="36" t="n">
        <v>228</v>
      </c>
      <c r="K332" s="28" t="n">
        <v>213</v>
      </c>
      <c r="L332" s="36" t="n">
        <v>256</v>
      </c>
      <c r="M332" s="36" t="n">
        <v>283</v>
      </c>
      <c r="N332" s="36" t="n">
        <v>375</v>
      </c>
      <c r="O332" s="36" t="n">
        <v>269</v>
      </c>
      <c r="P332" s="36" t="n">
        <v>354</v>
      </c>
      <c r="Q332" s="36" t="n">
        <v>178</v>
      </c>
      <c r="R332" s="28" t="n">
        <v>201</v>
      </c>
      <c r="S332" s="36" t="n">
        <v>253</v>
      </c>
      <c r="T332" s="36" t="n">
        <v>246</v>
      </c>
      <c r="U332" s="36" t="n">
        <v>412.16</v>
      </c>
      <c r="V332" s="36" t="n">
        <v>413.65</v>
      </c>
      <c r="W332" s="36" t="n">
        <v>407.71</v>
      </c>
      <c r="X332" s="36" t="n">
        <v>331.55</v>
      </c>
      <c r="Y332" s="28" t="n">
        <v>555.39</v>
      </c>
      <c r="Z332" s="36" t="n">
        <v>439.66</v>
      </c>
      <c r="AA332" s="36" t="n">
        <v>604.65</v>
      </c>
      <c r="AB332" s="36" t="n">
        <v>420.67</v>
      </c>
      <c r="AC332" s="36" t="n">
        <v>339.46</v>
      </c>
      <c r="AD332" s="36" t="n">
        <v>884.76</v>
      </c>
      <c r="AE332" s="36" t="n">
        <v>355.09</v>
      </c>
      <c r="AF332" s="28" t="n">
        <v>633.03</v>
      </c>
      <c r="AG332" s="36" t="n">
        <v>461.62</v>
      </c>
      <c r="AH332" s="37" t="n">
        <v>487.34</v>
      </c>
      <c r="AI332" s="37" t="n">
        <v>412.16</v>
      </c>
      <c r="AJ332" s="37" t="n">
        <v>413.65</v>
      </c>
      <c r="AK332" s="37" t="n">
        <v>550.15</v>
      </c>
      <c r="AL332" s="37" t="n">
        <v>595.45</v>
      </c>
      <c r="AM332" s="37" t="n">
        <v>555.39</v>
      </c>
      <c r="AN332" s="37" t="n">
        <v>439.66</v>
      </c>
      <c r="AO332" s="37" t="n">
        <v>487.34</v>
      </c>
      <c r="AP332" s="37" t="n">
        <v>514.54</v>
      </c>
      <c r="AQ332" s="37" t="n">
        <v>331.65</v>
      </c>
      <c r="AR332" s="37" t="n">
        <v>407.71</v>
      </c>
      <c r="AS332" s="37" t="n">
        <v>331.55</v>
      </c>
      <c r="AT332" s="37" t="n">
        <v>555.39</v>
      </c>
      <c r="AU332" s="37" t="n">
        <v>448.76</v>
      </c>
      <c r="AV332" s="37" t="n">
        <v>497.23</v>
      </c>
      <c r="AW332" s="37" t="n">
        <v>412.16</v>
      </c>
      <c r="AX332" s="37" t="n">
        <v>413.65</v>
      </c>
      <c r="AY332" s="37" t="n">
        <v>407.71</v>
      </c>
      <c r="AZ332" s="37" t="n">
        <v>331.55</v>
      </c>
      <c r="BA332" s="37" t="n">
        <v>427.79</v>
      </c>
      <c r="BB332" s="37" t="n">
        <v>372.5</v>
      </c>
      <c r="BC332" s="37" t="n">
        <v>190.5</v>
      </c>
      <c r="BD332" s="37" t="n">
        <v>337.59</v>
      </c>
      <c r="BE332" s="37" t="n">
        <v>393.96</v>
      </c>
      <c r="BF332" s="37" t="n">
        <v>388.33</v>
      </c>
      <c r="BG332" s="37" t="n">
        <v>322.16</v>
      </c>
      <c r="BH332" s="37" t="n">
        <v>528.98</v>
      </c>
      <c r="BI332" s="37" t="n">
        <v>344.01</v>
      </c>
      <c r="BJ332" s="37" t="n">
        <v>1255.68</v>
      </c>
      <c r="BK332" s="37" t="n">
        <v>420.28</v>
      </c>
      <c r="BL332" s="37" t="n">
        <v>413.85</v>
      </c>
      <c r="BM332" s="37" t="n">
        <v>388.33</v>
      </c>
      <c r="BN332" s="37" t="n">
        <v>315.82</v>
      </c>
      <c r="BO332" s="37" t="n">
        <v>528.98</v>
      </c>
      <c r="BP332" s="37" t="n">
        <v>565.08</v>
      </c>
      <c r="BQ332" s="37" t="n">
        <v>834.12</v>
      </c>
      <c r="BR332" s="37" t="n">
        <v>392.68</v>
      </c>
      <c r="BS332" s="37" t="n">
        <v>393.96</v>
      </c>
      <c r="BT332" s="37" t="n">
        <v>388.33</v>
      </c>
      <c r="BU332" s="37" t="n">
        <v>394.56</v>
      </c>
      <c r="BV332" s="37" t="n">
        <v>423.84</v>
      </c>
      <c r="BW332" s="37" t="n">
        <v>418.69</v>
      </c>
      <c r="BX332" s="37" t="n">
        <v>464.19</v>
      </c>
      <c r="BY332" s="37" t="n">
        <v>392.68</v>
      </c>
      <c r="BZ332" s="37" t="n">
        <v>402.27</v>
      </c>
      <c r="CA332" s="37" t="n">
        <v>395.84</v>
      </c>
      <c r="CB332" s="37" t="n">
        <v>315.82</v>
      </c>
      <c r="CC332" s="37" t="n">
        <v>31339.26</v>
      </c>
    </row>
    <row r="333" ht="15.75" customHeight="1" s="57">
      <c r="A333" s="7" t="inlineStr">
        <is>
          <t>NTB</t>
        </is>
      </c>
      <c r="B333" s="7" t="inlineStr">
        <is>
          <t>Lâm Đồng</t>
        </is>
      </c>
      <c r="C333" s="7" t="n">
        <v>20785000</v>
      </c>
      <c r="D333" s="7" t="inlineStr">
        <is>
          <t>(LDO) B'Lao</t>
        </is>
      </c>
      <c r="E333" s="7" t="inlineStr">
        <is>
          <t>Shopee-Bulky</t>
        </is>
      </c>
      <c r="F333" s="36" t="n">
        <v>19.02</v>
      </c>
      <c r="G333" s="36" t="n">
        <v>26</v>
      </c>
      <c r="H333" s="36" t="n">
        <v>23.46</v>
      </c>
      <c r="I333" s="36" t="n">
        <v>13.95</v>
      </c>
      <c r="J333" s="36" t="n">
        <v>22.19</v>
      </c>
      <c r="K333" s="28" t="n">
        <v>15.22</v>
      </c>
      <c r="L333" s="36" t="n">
        <v>15.85</v>
      </c>
      <c r="M333" s="36" t="n">
        <v>33.6</v>
      </c>
      <c r="N333" s="36" t="n">
        <v>16.48</v>
      </c>
      <c r="O333" s="36" t="n">
        <v>19.65</v>
      </c>
      <c r="P333" s="36" t="n">
        <v>15.85</v>
      </c>
      <c r="Q333" s="36" t="n">
        <v>22.83</v>
      </c>
      <c r="R333" s="28" t="n">
        <v>10.14</v>
      </c>
      <c r="S333" s="36" t="n">
        <v>12.05</v>
      </c>
      <c r="T333" s="36" t="n">
        <v>26.63</v>
      </c>
      <c r="U333" s="36" t="n">
        <v>16.68</v>
      </c>
      <c r="V333" s="36" t="n">
        <v>16.08</v>
      </c>
      <c r="W333" s="36" t="n">
        <v>22.11</v>
      </c>
      <c r="X333" s="36" t="n">
        <v>12.5</v>
      </c>
      <c r="Y333" s="28" t="n">
        <v>24.48</v>
      </c>
      <c r="Z333" s="36" t="n">
        <v>19.36</v>
      </c>
      <c r="AA333" s="36" t="n">
        <v>18.81</v>
      </c>
      <c r="AB333" s="36" t="n">
        <v>19.03</v>
      </c>
      <c r="AC333" s="36" t="n">
        <v>19.98</v>
      </c>
      <c r="AD333" s="36" t="n">
        <v>53.85</v>
      </c>
      <c r="AE333" s="36" t="n">
        <v>32.14</v>
      </c>
      <c r="AF333" s="28" t="n">
        <v>47.92</v>
      </c>
      <c r="AG333" s="36" t="n">
        <v>27.21</v>
      </c>
      <c r="AH333" s="37" t="n">
        <v>19.13</v>
      </c>
      <c r="AI333" s="37" t="n">
        <v>18.41</v>
      </c>
      <c r="AJ333" s="37" t="n">
        <v>18.26</v>
      </c>
      <c r="AK333" s="37" t="n">
        <v>41.34</v>
      </c>
      <c r="AL333" s="37" t="n">
        <v>21.03</v>
      </c>
      <c r="AM333" s="37" t="n">
        <v>30.04</v>
      </c>
      <c r="AN333" s="37" t="n">
        <v>19.01</v>
      </c>
      <c r="AO333" s="37" t="n">
        <v>18.63</v>
      </c>
      <c r="AP333" s="37" t="n">
        <v>25.16</v>
      </c>
      <c r="AQ333" s="37" t="n">
        <v>25.01</v>
      </c>
      <c r="AR333" s="37" t="n">
        <v>19.88</v>
      </c>
      <c r="AS333" s="37" t="n">
        <v>11</v>
      </c>
      <c r="AT333" s="37" t="n">
        <v>22.48</v>
      </c>
      <c r="AU333" s="37" t="n">
        <v>36.99</v>
      </c>
      <c r="AV333" s="37" t="n">
        <v>38.39</v>
      </c>
      <c r="AW333" s="37" t="n">
        <v>18.68</v>
      </c>
      <c r="AX333" s="37" t="n">
        <v>17.53</v>
      </c>
      <c r="AY333" s="37" t="n">
        <v>19.03</v>
      </c>
      <c r="AZ333" s="37" t="n">
        <v>10.58</v>
      </c>
      <c r="BA333" s="37" t="n">
        <v>20.56</v>
      </c>
      <c r="BB333" s="37" t="n">
        <v>19.11</v>
      </c>
      <c r="BC333" s="37" t="n">
        <v>6.43</v>
      </c>
      <c r="BD333" s="37" t="n">
        <v>16.36</v>
      </c>
      <c r="BE333" s="37" t="n">
        <v>20.11</v>
      </c>
      <c r="BF333" s="37" t="n">
        <v>17.28</v>
      </c>
      <c r="BG333" s="37" t="n">
        <v>14.36</v>
      </c>
      <c r="BH333" s="37" t="n">
        <v>26.31</v>
      </c>
      <c r="BI333" s="37" t="n">
        <v>22.46</v>
      </c>
      <c r="BJ333" s="37" t="n">
        <v>85.66</v>
      </c>
      <c r="BK333" s="37" t="n">
        <v>47.52</v>
      </c>
      <c r="BL333" s="37" t="n">
        <v>24.48</v>
      </c>
      <c r="BM333" s="37" t="n">
        <v>18.26</v>
      </c>
      <c r="BN333" s="37" t="n">
        <v>13.86</v>
      </c>
      <c r="BO333" s="37" t="n">
        <v>30.59</v>
      </c>
      <c r="BP333" s="37" t="n">
        <v>44.67</v>
      </c>
      <c r="BQ333" s="37" t="n">
        <v>32.31</v>
      </c>
      <c r="BR333" s="37" t="n">
        <v>21.26</v>
      </c>
      <c r="BS333" s="37" t="n">
        <v>20.11</v>
      </c>
      <c r="BT333" s="37" t="n">
        <v>17.28</v>
      </c>
      <c r="BU333" s="37" t="n">
        <v>20.38</v>
      </c>
      <c r="BV333" s="37" t="n">
        <v>27.86</v>
      </c>
      <c r="BW333" s="37" t="n">
        <v>22.46</v>
      </c>
      <c r="BX333" s="37" t="n">
        <v>21.68</v>
      </c>
      <c r="BY333" s="37" t="n">
        <v>21.26</v>
      </c>
      <c r="BZ333" s="37" t="n">
        <v>36.44</v>
      </c>
      <c r="CA333" s="37" t="n">
        <v>21.01</v>
      </c>
      <c r="CB333" s="37" t="n">
        <v>13.68</v>
      </c>
      <c r="CC333" s="37" t="n">
        <v>1757.399999999999</v>
      </c>
    </row>
    <row r="334" ht="15.75" customHeight="1" s="57">
      <c r="A334" s="7" t="inlineStr">
        <is>
          <t>NTB</t>
        </is>
      </c>
      <c r="B334" s="7" t="inlineStr">
        <is>
          <t>Lâm Đồng</t>
        </is>
      </c>
      <c r="C334" s="7" t="n">
        <v>20785000</v>
      </c>
      <c r="D334" s="7" t="inlineStr">
        <is>
          <t>(LDO) B'Lao</t>
        </is>
      </c>
      <c r="E334" s="7" t="inlineStr">
        <is>
          <t>Shopee-Bulky (10-15kg)</t>
        </is>
      </c>
      <c r="F334" s="36" t="n">
        <v>10.98</v>
      </c>
      <c r="G334" s="36" t="n">
        <v>15</v>
      </c>
      <c r="H334" s="36" t="n">
        <v>13.54</v>
      </c>
      <c r="I334" s="36" t="n">
        <v>8.050000000000001</v>
      </c>
      <c r="J334" s="36" t="n">
        <v>12.81</v>
      </c>
      <c r="K334" s="28" t="n">
        <v>8.779999999999999</v>
      </c>
      <c r="L334" s="36" t="n">
        <v>9.15</v>
      </c>
      <c r="M334" s="36" t="n">
        <v>19.4</v>
      </c>
      <c r="N334" s="36" t="n">
        <v>9.52</v>
      </c>
      <c r="O334" s="36" t="n">
        <v>11.35</v>
      </c>
      <c r="P334" s="36" t="n">
        <v>9.15</v>
      </c>
      <c r="Q334" s="36" t="n">
        <v>13.17</v>
      </c>
      <c r="R334" s="28" t="n">
        <v>5.86</v>
      </c>
      <c r="S334" s="36" t="n">
        <v>6.95</v>
      </c>
      <c r="T334" s="36" t="n">
        <v>15.37</v>
      </c>
      <c r="U334" s="36" t="n">
        <v>10.03</v>
      </c>
      <c r="V334" s="36" t="n">
        <v>9.6</v>
      </c>
      <c r="W334" s="36" t="n">
        <v>12.66</v>
      </c>
      <c r="X334" s="36" t="n">
        <v>7.15</v>
      </c>
      <c r="Y334" s="28" t="n">
        <v>14.21</v>
      </c>
      <c r="Z334" s="36" t="n">
        <v>11.08</v>
      </c>
      <c r="AA334" s="36" t="n">
        <v>10.4</v>
      </c>
      <c r="AB334" s="36" t="n">
        <v>10.9</v>
      </c>
      <c r="AC334" s="36" t="n">
        <v>11.28</v>
      </c>
      <c r="AD334" s="36" t="n">
        <v>43.14</v>
      </c>
      <c r="AE334" s="36" t="n">
        <v>18.01</v>
      </c>
      <c r="AF334" s="28" t="n">
        <v>26.29</v>
      </c>
      <c r="AG334" s="36" t="n">
        <v>15.68</v>
      </c>
      <c r="AH334" s="37" t="n">
        <v>10.93</v>
      </c>
      <c r="AI334" s="37" t="n">
        <v>10.63</v>
      </c>
      <c r="AJ334" s="37" t="n">
        <v>10.3</v>
      </c>
      <c r="AK334" s="37" t="n">
        <v>24.26</v>
      </c>
      <c r="AL334" s="37" t="n">
        <v>11.78</v>
      </c>
      <c r="AM334" s="37" t="n">
        <v>17.43</v>
      </c>
      <c r="AN334" s="37" t="n">
        <v>10.95</v>
      </c>
      <c r="AO334" s="37" t="n">
        <v>10.5</v>
      </c>
      <c r="AP334" s="37" t="n">
        <v>13.83</v>
      </c>
      <c r="AQ334" s="37" t="n">
        <v>14.11</v>
      </c>
      <c r="AR334" s="37" t="n">
        <v>11.43</v>
      </c>
      <c r="AS334" s="37" t="n">
        <v>6.28</v>
      </c>
      <c r="AT334" s="37" t="n">
        <v>13.01</v>
      </c>
      <c r="AU334" s="37" t="n">
        <v>22.01</v>
      </c>
      <c r="AV334" s="37" t="n">
        <v>22.06</v>
      </c>
      <c r="AW334" s="37" t="n">
        <v>10.6</v>
      </c>
      <c r="AX334" s="37" t="n">
        <v>9.83</v>
      </c>
      <c r="AY334" s="37" t="n">
        <v>10.95</v>
      </c>
      <c r="AZ334" s="37" t="n">
        <v>6.03</v>
      </c>
      <c r="BA334" s="37" t="n">
        <v>11.88</v>
      </c>
      <c r="BB334" s="37" t="n">
        <v>11.03</v>
      </c>
      <c r="BC334" s="37" t="n">
        <v>3.85</v>
      </c>
      <c r="BD334" s="37" t="n">
        <v>9.25</v>
      </c>
      <c r="BE334" s="37" t="n">
        <v>11.53</v>
      </c>
      <c r="BF334" s="37" t="n">
        <v>10.05</v>
      </c>
      <c r="BG334" s="37" t="n">
        <v>8.25</v>
      </c>
      <c r="BH334" s="37" t="n">
        <v>15.41</v>
      </c>
      <c r="BI334" s="37" t="n">
        <v>13.01</v>
      </c>
      <c r="BJ334" s="37" t="n">
        <v>59.42</v>
      </c>
      <c r="BK334" s="37" t="n">
        <v>27.56</v>
      </c>
      <c r="BL334" s="37" t="n">
        <v>14.16</v>
      </c>
      <c r="BM334" s="37" t="n">
        <v>10.45</v>
      </c>
      <c r="BN334" s="37" t="n">
        <v>8.08</v>
      </c>
      <c r="BO334" s="37" t="n">
        <v>17.53</v>
      </c>
      <c r="BP334" s="37" t="n">
        <v>25.99</v>
      </c>
      <c r="BQ334" s="37" t="n">
        <v>18.78</v>
      </c>
      <c r="BR334" s="37" t="n">
        <v>12.2</v>
      </c>
      <c r="BS334" s="37" t="n">
        <v>11.53</v>
      </c>
      <c r="BT334" s="37" t="n">
        <v>10.05</v>
      </c>
      <c r="BU334" s="37" t="n">
        <v>11.65</v>
      </c>
      <c r="BV334" s="37" t="n">
        <v>16.01</v>
      </c>
      <c r="BW334" s="37" t="n">
        <v>13.01</v>
      </c>
      <c r="BX334" s="37" t="n">
        <v>12.4</v>
      </c>
      <c r="BY334" s="37" t="n">
        <v>12.2</v>
      </c>
      <c r="BZ334" s="37" t="n">
        <v>21.11</v>
      </c>
      <c r="CA334" s="37" t="n">
        <v>12.03</v>
      </c>
      <c r="CB334" s="37" t="n">
        <v>7.78</v>
      </c>
      <c r="CC334" s="37" t="n">
        <v>1032.63</v>
      </c>
    </row>
    <row r="335" ht="15.75" customHeight="1" s="57">
      <c r="A335" s="7" t="inlineStr">
        <is>
          <t>NTB</t>
        </is>
      </c>
      <c r="B335" s="7" t="inlineStr">
        <is>
          <t>Lâm Đồng</t>
        </is>
      </c>
      <c r="C335" s="7" t="n">
        <v>20785000</v>
      </c>
      <c r="D335" s="7" t="inlineStr">
        <is>
          <t>(LDO) B'Lao</t>
        </is>
      </c>
      <c r="E335" s="7" t="inlineStr">
        <is>
          <t>TTS</t>
        </is>
      </c>
      <c r="F335" s="36" t="n">
        <v>156</v>
      </c>
      <c r="G335" s="36" t="n">
        <v>222</v>
      </c>
      <c r="H335" s="36" t="n">
        <v>178</v>
      </c>
      <c r="I335" s="36" t="n">
        <v>146</v>
      </c>
      <c r="J335" s="36" t="n">
        <v>132</v>
      </c>
      <c r="K335" s="28" t="n">
        <v>182</v>
      </c>
      <c r="L335" s="36" t="n">
        <v>155</v>
      </c>
      <c r="M335" s="36" t="n">
        <v>131</v>
      </c>
      <c r="N335" s="36" t="n">
        <v>167</v>
      </c>
      <c r="O335" s="36" t="n">
        <v>157</v>
      </c>
      <c r="P335" s="36" t="n">
        <v>217</v>
      </c>
      <c r="Q335" s="36" t="n">
        <v>102</v>
      </c>
      <c r="R335" s="28" t="n">
        <v>153</v>
      </c>
      <c r="S335" s="36" t="n">
        <v>133</v>
      </c>
      <c r="T335" s="36" t="n">
        <v>153</v>
      </c>
      <c r="U335" s="36" t="n">
        <v>114.03</v>
      </c>
      <c r="V335" s="36" t="n">
        <v>112.09</v>
      </c>
      <c r="W335" s="36" t="n">
        <v>109.54</v>
      </c>
      <c r="X335" s="36" t="n">
        <v>88.44</v>
      </c>
      <c r="Y335" s="28" t="n">
        <v>128.43</v>
      </c>
      <c r="Z335" s="36" t="n">
        <v>109.31</v>
      </c>
      <c r="AA335" s="36" t="n">
        <v>121.28</v>
      </c>
      <c r="AB335" s="36" t="n">
        <v>134.81</v>
      </c>
      <c r="AC335" s="36" t="n">
        <v>141.95</v>
      </c>
      <c r="AD335" s="36" t="n">
        <v>145.38</v>
      </c>
      <c r="AE335" s="36" t="n">
        <v>102.74</v>
      </c>
      <c r="AF335" s="28" t="n">
        <v>132.81</v>
      </c>
      <c r="AG335" s="36" t="n">
        <v>111.45</v>
      </c>
      <c r="AH335" s="37" t="n">
        <v>110.22</v>
      </c>
      <c r="AI335" s="37" t="n">
        <v>126.1</v>
      </c>
      <c r="AJ335" s="37" t="n">
        <v>135.59</v>
      </c>
      <c r="AK335" s="37" t="n">
        <v>133.69</v>
      </c>
      <c r="AL335" s="37" t="n">
        <v>95.31</v>
      </c>
      <c r="AM335" s="37" t="n">
        <v>130.85</v>
      </c>
      <c r="AN335" s="37" t="n">
        <v>112.89</v>
      </c>
      <c r="AO335" s="37" t="n">
        <v>112.3</v>
      </c>
      <c r="AP335" s="37" t="n">
        <v>108.85</v>
      </c>
      <c r="AQ335" s="37" t="n">
        <v>109.81</v>
      </c>
      <c r="AR335" s="37" t="n">
        <v>107.99</v>
      </c>
      <c r="AS335" s="37" t="n">
        <v>88.89999999999999</v>
      </c>
      <c r="AT335" s="37" t="n">
        <v>141.44</v>
      </c>
      <c r="AU335" s="37" t="n">
        <v>127.97</v>
      </c>
      <c r="AV335" s="37" t="n">
        <v>113.85</v>
      </c>
      <c r="AW335" s="37" t="n">
        <v>107.53</v>
      </c>
      <c r="AX335" s="37" t="n">
        <v>106.7</v>
      </c>
      <c r="AY335" s="37" t="n">
        <v>106.57</v>
      </c>
      <c r="AZ335" s="37" t="n">
        <v>88.89999999999999</v>
      </c>
      <c r="BA335" s="37" t="n">
        <v>127.42</v>
      </c>
      <c r="BB335" s="37" t="n">
        <v>119.12</v>
      </c>
      <c r="BC335" s="37" t="n">
        <v>70.92999999999999</v>
      </c>
      <c r="BD335" s="37" t="n">
        <v>102.72</v>
      </c>
      <c r="BE335" s="37" t="n">
        <v>120.9</v>
      </c>
      <c r="BF335" s="37" t="n">
        <v>117.59</v>
      </c>
      <c r="BG335" s="37" t="n">
        <v>95.49000000000001</v>
      </c>
      <c r="BH335" s="37" t="n">
        <v>141.16</v>
      </c>
      <c r="BI335" s="37" t="n">
        <v>119.12</v>
      </c>
      <c r="BJ335" s="37" t="n">
        <v>110.42</v>
      </c>
      <c r="BK335" s="37" t="n">
        <v>120.76</v>
      </c>
      <c r="BL335" s="37" t="n">
        <v>120.9</v>
      </c>
      <c r="BM335" s="37" t="n">
        <v>117.59</v>
      </c>
      <c r="BN335" s="37" t="n">
        <v>95.49000000000001</v>
      </c>
      <c r="BO335" s="37" t="n">
        <v>141.16</v>
      </c>
      <c r="BP335" s="37" t="n">
        <v>119.12</v>
      </c>
      <c r="BQ335" s="37" t="n">
        <v>117.81</v>
      </c>
      <c r="BR335" s="37" t="n">
        <v>120.76</v>
      </c>
      <c r="BS335" s="37" t="n">
        <v>120.9</v>
      </c>
      <c r="BT335" s="37" t="n">
        <v>117.59</v>
      </c>
      <c r="BU335" s="37" t="n">
        <v>95.49000000000001</v>
      </c>
      <c r="BV335" s="37" t="n">
        <v>141.16</v>
      </c>
      <c r="BW335" s="37" t="n">
        <v>119.12</v>
      </c>
      <c r="BX335" s="37" t="n">
        <v>117.81</v>
      </c>
      <c r="BY335" s="37" t="n">
        <v>120.76</v>
      </c>
      <c r="BZ335" s="37" t="n">
        <v>120.9</v>
      </c>
      <c r="CA335" s="37" t="n">
        <v>117.59</v>
      </c>
      <c r="CB335" s="37" t="n">
        <v>95.49000000000001</v>
      </c>
      <c r="CC335" s="37" t="n">
        <v>9346.99</v>
      </c>
    </row>
    <row r="336" ht="15.75" customHeight="1" s="57">
      <c r="A336" s="7" t="inlineStr">
        <is>
          <t>NTB</t>
        </is>
      </c>
      <c r="B336" s="7" t="inlineStr">
        <is>
          <t>Lâm Đồng</t>
        </is>
      </c>
      <c r="C336" s="7" t="n">
        <v>20785000</v>
      </c>
      <c r="D336" s="7" t="inlineStr">
        <is>
          <t>(LDO) B'Lao</t>
        </is>
      </c>
      <c r="E336" s="7" t="inlineStr">
        <is>
          <t>TTS-Bulky</t>
        </is>
      </c>
      <c r="F336" s="36" t="n">
        <v>0</v>
      </c>
      <c r="G336" s="36" t="n">
        <v>1</v>
      </c>
      <c r="H336" s="36" t="n">
        <v>4</v>
      </c>
      <c r="I336" s="36" t="n">
        <v>4</v>
      </c>
      <c r="J336" s="36" t="n">
        <v>2</v>
      </c>
      <c r="K336" s="28" t="n">
        <v>3</v>
      </c>
      <c r="L336" s="36" t="n">
        <v>1</v>
      </c>
      <c r="M336" s="36" t="n">
        <v>1</v>
      </c>
      <c r="N336" s="36" t="n">
        <v>0</v>
      </c>
      <c r="O336" s="36" t="n">
        <v>1</v>
      </c>
      <c r="P336" s="36" t="n">
        <v>0</v>
      </c>
      <c r="Q336" s="36" t="n">
        <v>2</v>
      </c>
      <c r="R336" s="28" t="n">
        <v>1</v>
      </c>
      <c r="S336" s="36" t="n">
        <v>3</v>
      </c>
      <c r="T336" s="36" t="n">
        <v>1</v>
      </c>
      <c r="U336" s="36" t="n">
        <v>5.4</v>
      </c>
      <c r="V336" s="36" t="n">
        <v>5.47</v>
      </c>
      <c r="W336" s="36" t="n">
        <v>2.58</v>
      </c>
      <c r="X336" s="36" t="n">
        <v>1.86</v>
      </c>
      <c r="Y336" s="28" t="n">
        <v>3.37</v>
      </c>
      <c r="Z336" s="36" t="n">
        <v>2.68</v>
      </c>
      <c r="AA336" s="36" t="n">
        <v>2.85</v>
      </c>
      <c r="AB336" s="36" t="n">
        <v>2.96</v>
      </c>
      <c r="AC336" s="36" t="n">
        <v>3.13</v>
      </c>
      <c r="AD336" s="36" t="n">
        <v>4.68</v>
      </c>
      <c r="AE336" s="36" t="n">
        <v>2.1</v>
      </c>
      <c r="AF336" s="28" t="n">
        <v>3.34</v>
      </c>
      <c r="AG336" s="36" t="n">
        <v>2.54</v>
      </c>
      <c r="AH336" s="37" t="n">
        <v>2.54</v>
      </c>
      <c r="AI336" s="37" t="n">
        <v>2.58</v>
      </c>
      <c r="AJ336" s="37" t="n">
        <v>2.92</v>
      </c>
      <c r="AK336" s="37" t="n">
        <v>2.79</v>
      </c>
      <c r="AL336" s="37" t="n">
        <v>1.99</v>
      </c>
      <c r="AM336" s="37" t="n">
        <v>3.34</v>
      </c>
      <c r="AN336" s="37" t="n">
        <v>2.58</v>
      </c>
      <c r="AO336" s="37" t="n">
        <v>2.54</v>
      </c>
      <c r="AP336" s="37" t="n">
        <v>2.54</v>
      </c>
      <c r="AQ336" s="37" t="n">
        <v>2.79</v>
      </c>
      <c r="AR336" s="37" t="n">
        <v>2.58</v>
      </c>
      <c r="AS336" s="37" t="n">
        <v>1.93</v>
      </c>
      <c r="AT336" s="37" t="n">
        <v>3.47</v>
      </c>
      <c r="AU336" s="37" t="n">
        <v>2.96</v>
      </c>
      <c r="AV336" s="37" t="n">
        <v>2.61</v>
      </c>
      <c r="AW336" s="37" t="n">
        <v>2.51</v>
      </c>
      <c r="AX336" s="37" t="n">
        <v>2.79</v>
      </c>
      <c r="AY336" s="37" t="n">
        <v>2.54</v>
      </c>
      <c r="AZ336" s="37" t="n">
        <v>1.93</v>
      </c>
      <c r="BA336" s="37" t="n">
        <v>2.92</v>
      </c>
      <c r="BB336" s="37" t="n">
        <v>0.6899999999999999</v>
      </c>
      <c r="BC336" s="37" t="n">
        <v>0.45</v>
      </c>
      <c r="BD336" s="37" t="n">
        <v>0.55</v>
      </c>
      <c r="BE336" s="37" t="n">
        <v>0.72</v>
      </c>
      <c r="BF336" s="37" t="n">
        <v>0.72</v>
      </c>
      <c r="BG336" s="37" t="n">
        <v>0.48</v>
      </c>
      <c r="BH336" s="37" t="n">
        <v>0.93</v>
      </c>
      <c r="BI336" s="37" t="n">
        <v>0.72</v>
      </c>
      <c r="BJ336" s="37" t="n">
        <v>1.17</v>
      </c>
      <c r="BK336" s="37" t="n">
        <v>0.76</v>
      </c>
      <c r="BL336" s="37" t="n">
        <v>0.72</v>
      </c>
      <c r="BM336" s="37" t="n">
        <v>0.72</v>
      </c>
      <c r="BN336" s="37" t="n">
        <v>0.55</v>
      </c>
      <c r="BO336" s="37" t="n">
        <v>1.07</v>
      </c>
      <c r="BP336" s="37" t="n">
        <v>0.83</v>
      </c>
      <c r="BQ336" s="37" t="n">
        <v>0.76</v>
      </c>
      <c r="BR336" s="37" t="n">
        <v>0.76</v>
      </c>
      <c r="BS336" s="37" t="n">
        <v>0.72</v>
      </c>
      <c r="BT336" s="37" t="n">
        <v>0.72</v>
      </c>
      <c r="BU336" s="37" t="n">
        <v>0.48</v>
      </c>
      <c r="BV336" s="37" t="n">
        <v>0.79</v>
      </c>
      <c r="BW336" s="37" t="n">
        <v>0.72</v>
      </c>
      <c r="BX336" s="37" t="n">
        <v>0.76</v>
      </c>
      <c r="BY336" s="37" t="n">
        <v>0.76</v>
      </c>
      <c r="BZ336" s="37" t="n">
        <v>0.72</v>
      </c>
      <c r="CA336" s="37" t="n">
        <v>0.72</v>
      </c>
      <c r="CB336" s="37" t="n">
        <v>0.48</v>
      </c>
      <c r="CC336" s="37" t="n">
        <v>139.28</v>
      </c>
    </row>
    <row r="337" ht="15.75" customHeight="1" s="57">
      <c r="A337" s="7" t="inlineStr">
        <is>
          <t>NTB</t>
        </is>
      </c>
      <c r="B337" s="7" t="inlineStr">
        <is>
          <t>Lâm Đồng</t>
        </is>
      </c>
      <c r="C337" s="7" t="n">
        <v>20849000</v>
      </c>
      <c r="D337" s="7" t="inlineStr">
        <is>
          <t>(LDO) Ninh Gia</t>
        </is>
      </c>
      <c r="E337" s="7" t="inlineStr">
        <is>
          <t>SME</t>
        </is>
      </c>
      <c r="F337" s="36" t="n">
        <v>215</v>
      </c>
      <c r="G337" s="36" t="n">
        <v>226</v>
      </c>
      <c r="H337" s="36" t="n">
        <v>212</v>
      </c>
      <c r="I337" s="36" t="n">
        <v>192</v>
      </c>
      <c r="J337" s="36" t="n">
        <v>129</v>
      </c>
      <c r="K337" s="28" t="n">
        <v>188</v>
      </c>
      <c r="L337" s="36" t="n">
        <v>140</v>
      </c>
      <c r="M337" s="36" t="n">
        <v>150</v>
      </c>
      <c r="N337" s="36" t="n">
        <v>162</v>
      </c>
      <c r="O337" s="36" t="n">
        <v>186</v>
      </c>
      <c r="P337" s="36" t="n">
        <v>133</v>
      </c>
      <c r="Q337" s="36" t="n">
        <v>163</v>
      </c>
      <c r="R337" s="28" t="n">
        <v>152</v>
      </c>
      <c r="S337" s="36" t="n">
        <v>164</v>
      </c>
      <c r="T337" s="36" t="n">
        <v>113</v>
      </c>
      <c r="U337" s="36" t="n">
        <v>196.06</v>
      </c>
      <c r="V337" s="36" t="n">
        <v>203.14</v>
      </c>
      <c r="W337" s="36" t="n">
        <v>197.49</v>
      </c>
      <c r="X337" s="36" t="n">
        <v>161.52</v>
      </c>
      <c r="Y337" s="28" t="n">
        <v>218.83</v>
      </c>
      <c r="Z337" s="36" t="n">
        <v>201.62</v>
      </c>
      <c r="AA337" s="36" t="n">
        <v>196.66</v>
      </c>
      <c r="AB337" s="36" t="n">
        <v>196.06</v>
      </c>
      <c r="AC337" s="36" t="n">
        <v>203.14</v>
      </c>
      <c r="AD337" s="36" t="n">
        <v>204.13</v>
      </c>
      <c r="AE337" s="36" t="n">
        <v>161.52</v>
      </c>
      <c r="AF337" s="28" t="n">
        <v>218.83</v>
      </c>
      <c r="AG337" s="36" t="n">
        <v>201.62</v>
      </c>
      <c r="AH337" s="37" t="n">
        <v>196.66</v>
      </c>
      <c r="AI337" s="37" t="n">
        <v>196.06</v>
      </c>
      <c r="AJ337" s="37" t="n">
        <v>203.14</v>
      </c>
      <c r="AK337" s="37" t="n">
        <v>197.49</v>
      </c>
      <c r="AL337" s="37" t="n">
        <v>161.52</v>
      </c>
      <c r="AM337" s="37" t="n">
        <v>218.83</v>
      </c>
      <c r="AN337" s="37" t="n">
        <v>201.62</v>
      </c>
      <c r="AO337" s="37" t="n">
        <v>196.66</v>
      </c>
      <c r="AP337" s="37" t="n">
        <v>196.06</v>
      </c>
      <c r="AQ337" s="37" t="n">
        <v>203.14</v>
      </c>
      <c r="AR337" s="37" t="n">
        <v>197.49</v>
      </c>
      <c r="AS337" s="37" t="n">
        <v>161.52</v>
      </c>
      <c r="AT337" s="37" t="n">
        <v>218.83</v>
      </c>
      <c r="AU337" s="37" t="n">
        <v>201.62</v>
      </c>
      <c r="AV337" s="37" t="n">
        <v>196.66</v>
      </c>
      <c r="AW337" s="37" t="n">
        <v>196.06</v>
      </c>
      <c r="AX337" s="37" t="n">
        <v>203.14</v>
      </c>
      <c r="AY337" s="37" t="n">
        <v>197.49</v>
      </c>
      <c r="AZ337" s="37" t="n">
        <v>161.52</v>
      </c>
      <c r="BA337" s="37" t="n">
        <v>196.89</v>
      </c>
      <c r="BB337" s="37" t="n">
        <v>176.81</v>
      </c>
      <c r="BC337" s="37" t="n">
        <v>111.76</v>
      </c>
      <c r="BD337" s="37" t="n">
        <v>111.4</v>
      </c>
      <c r="BE337" s="37" t="n">
        <v>188.23</v>
      </c>
      <c r="BF337" s="37" t="n">
        <v>183.43</v>
      </c>
      <c r="BG337" s="37" t="n">
        <v>166.63</v>
      </c>
      <c r="BH337" s="37" t="n">
        <v>225.7</v>
      </c>
      <c r="BI337" s="37" t="n">
        <v>207.86</v>
      </c>
      <c r="BJ337" s="37" t="n">
        <v>209.65</v>
      </c>
      <c r="BK337" s="37" t="n">
        <v>202.1</v>
      </c>
      <c r="BL337" s="37" t="n">
        <v>209.44</v>
      </c>
      <c r="BM337" s="37" t="n">
        <v>203.53</v>
      </c>
      <c r="BN337" s="37" t="n">
        <v>166.63</v>
      </c>
      <c r="BO337" s="37" t="n">
        <v>225.7</v>
      </c>
      <c r="BP337" s="37" t="n">
        <v>207.86</v>
      </c>
      <c r="BQ337" s="37" t="n">
        <v>202.67</v>
      </c>
      <c r="BR337" s="37" t="n">
        <v>202.1</v>
      </c>
      <c r="BS337" s="37" t="n">
        <v>209.44</v>
      </c>
      <c r="BT337" s="37" t="n">
        <v>203.53</v>
      </c>
      <c r="BU337" s="37" t="n">
        <v>166.63</v>
      </c>
      <c r="BV337" s="37" t="n">
        <v>225.7</v>
      </c>
      <c r="BW337" s="37" t="n">
        <v>207.86</v>
      </c>
      <c r="BX337" s="37" t="n">
        <v>202.67</v>
      </c>
      <c r="BY337" s="37" t="n">
        <v>202.1</v>
      </c>
      <c r="BZ337" s="37" t="n">
        <v>209.44</v>
      </c>
      <c r="CA337" s="37" t="n">
        <v>203.53</v>
      </c>
      <c r="CB337" s="37" t="n">
        <v>166.63</v>
      </c>
      <c r="CC337" s="37" t="n">
        <v>14187.05</v>
      </c>
    </row>
    <row r="338" ht="15.75" customHeight="1" s="57">
      <c r="A338" s="7" t="inlineStr">
        <is>
          <t>NTB</t>
        </is>
      </c>
      <c r="B338" s="7" t="inlineStr">
        <is>
          <t>Lâm Đồng</t>
        </is>
      </c>
      <c r="C338" s="7" t="n">
        <v>20849000</v>
      </c>
      <c r="D338" s="7" t="inlineStr">
        <is>
          <t>(LDO) Ninh Gia</t>
        </is>
      </c>
      <c r="E338" s="7" t="inlineStr">
        <is>
          <t>SME-Bulky</t>
        </is>
      </c>
      <c r="F338" s="36" t="n">
        <v>21</v>
      </c>
      <c r="G338" s="36" t="n">
        <v>9</v>
      </c>
      <c r="H338" s="36" t="n">
        <v>6</v>
      </c>
      <c r="I338" s="36" t="n">
        <v>10</v>
      </c>
      <c r="J338" s="36" t="n">
        <v>10</v>
      </c>
      <c r="K338" s="28" t="n">
        <v>12</v>
      </c>
      <c r="L338" s="36" t="n">
        <v>4</v>
      </c>
      <c r="M338" s="36" t="n">
        <v>8</v>
      </c>
      <c r="N338" s="36" t="n">
        <v>14</v>
      </c>
      <c r="O338" s="36" t="n">
        <v>9</v>
      </c>
      <c r="P338" s="36" t="n">
        <v>6</v>
      </c>
      <c r="Q338" s="36" t="n">
        <v>6</v>
      </c>
      <c r="R338" s="28" t="n">
        <v>15</v>
      </c>
      <c r="S338" s="36" t="n">
        <v>19</v>
      </c>
      <c r="T338" s="36" t="n">
        <v>14</v>
      </c>
      <c r="U338" s="36" t="n">
        <v>11.8</v>
      </c>
      <c r="V338" s="36" t="n">
        <v>11.67</v>
      </c>
      <c r="W338" s="36" t="n">
        <v>11.03</v>
      </c>
      <c r="X338" s="36" t="n">
        <v>7.35</v>
      </c>
      <c r="Y338" s="28" t="n">
        <v>13.18</v>
      </c>
      <c r="Z338" s="36" t="n">
        <v>12.6</v>
      </c>
      <c r="AA338" s="36" t="n">
        <v>12.42</v>
      </c>
      <c r="AB338" s="36" t="n">
        <v>11.8</v>
      </c>
      <c r="AC338" s="36" t="n">
        <v>11.67</v>
      </c>
      <c r="AD338" s="36" t="n">
        <v>10.37</v>
      </c>
      <c r="AE338" s="36" t="n">
        <v>7.35</v>
      </c>
      <c r="AF338" s="28" t="n">
        <v>13.18</v>
      </c>
      <c r="AG338" s="36" t="n">
        <v>12.6</v>
      </c>
      <c r="AH338" s="37" t="n">
        <v>12.42</v>
      </c>
      <c r="AI338" s="37" t="n">
        <v>11.8</v>
      </c>
      <c r="AJ338" s="37" t="n">
        <v>11.67</v>
      </c>
      <c r="AK338" s="37" t="n">
        <v>11.03</v>
      </c>
      <c r="AL338" s="37" t="n">
        <v>7.35</v>
      </c>
      <c r="AM338" s="37" t="n">
        <v>13.18</v>
      </c>
      <c r="AN338" s="37" t="n">
        <v>12.6</v>
      </c>
      <c r="AO338" s="37" t="n">
        <v>12.42</v>
      </c>
      <c r="AP338" s="37" t="n">
        <v>11.8</v>
      </c>
      <c r="AQ338" s="37" t="n">
        <v>11.67</v>
      </c>
      <c r="AR338" s="37" t="n">
        <v>11.03</v>
      </c>
      <c r="AS338" s="37" t="n">
        <v>7.35</v>
      </c>
      <c r="AT338" s="37" t="n">
        <v>13.18</v>
      </c>
      <c r="AU338" s="37" t="n">
        <v>12.6</v>
      </c>
      <c r="AV338" s="37" t="n">
        <v>12.42</v>
      </c>
      <c r="AW338" s="37" t="n">
        <v>11.8</v>
      </c>
      <c r="AX338" s="37" t="n">
        <v>11.67</v>
      </c>
      <c r="AY338" s="37" t="n">
        <v>11.03</v>
      </c>
      <c r="AZ338" s="37" t="n">
        <v>7.35</v>
      </c>
      <c r="BA338" s="37" t="n">
        <v>13.24</v>
      </c>
      <c r="BB338" s="37" t="n">
        <v>6.96</v>
      </c>
      <c r="BC338" s="37" t="n">
        <v>3.53</v>
      </c>
      <c r="BD338" s="37" t="n">
        <v>3.2</v>
      </c>
      <c r="BE338" s="37" t="n">
        <v>6.09</v>
      </c>
      <c r="BF338" s="37" t="n">
        <v>5.66</v>
      </c>
      <c r="BG338" s="37" t="n">
        <v>4.4</v>
      </c>
      <c r="BH338" s="37" t="n">
        <v>7.65</v>
      </c>
      <c r="BI338" s="37" t="n">
        <v>7.6</v>
      </c>
      <c r="BJ338" s="37" t="n">
        <v>6.58</v>
      </c>
      <c r="BK338" s="37" t="n">
        <v>6.99</v>
      </c>
      <c r="BL338" s="37" t="n">
        <v>7.01</v>
      </c>
      <c r="BM338" s="37" t="n">
        <v>6.53</v>
      </c>
      <c r="BN338" s="37" t="n">
        <v>4.4</v>
      </c>
      <c r="BO338" s="37" t="n">
        <v>7.65</v>
      </c>
      <c r="BP338" s="37" t="n">
        <v>7.6</v>
      </c>
      <c r="BQ338" s="37" t="n">
        <v>7.25</v>
      </c>
      <c r="BR338" s="37" t="n">
        <v>6.99</v>
      </c>
      <c r="BS338" s="37" t="n">
        <v>7.01</v>
      </c>
      <c r="BT338" s="37" t="n">
        <v>6.53</v>
      </c>
      <c r="BU338" s="37" t="n">
        <v>4.4</v>
      </c>
      <c r="BV338" s="37" t="n">
        <v>7.65</v>
      </c>
      <c r="BW338" s="37" t="n">
        <v>7.6</v>
      </c>
      <c r="BX338" s="37" t="n">
        <v>7.25</v>
      </c>
      <c r="BY338" s="37" t="n">
        <v>6.99</v>
      </c>
      <c r="BZ338" s="37" t="n">
        <v>7.01</v>
      </c>
      <c r="CA338" s="37" t="n">
        <v>6.53</v>
      </c>
      <c r="CB338" s="37" t="n">
        <v>4.4</v>
      </c>
      <c r="CC338" s="37" t="n">
        <v>709.0900000000001</v>
      </c>
    </row>
    <row r="339" ht="15.75" customHeight="1" s="57">
      <c r="A339" s="7" t="inlineStr">
        <is>
          <t>NTB</t>
        </is>
      </c>
      <c r="B339" s="7" t="inlineStr">
        <is>
          <t>Lâm Đồng</t>
        </is>
      </c>
      <c r="C339" s="7" t="n">
        <v>20849000</v>
      </c>
      <c r="D339" s="7" t="inlineStr">
        <is>
          <t>(LDO) Ninh Gia</t>
        </is>
      </c>
      <c r="E339" s="7" t="inlineStr">
        <is>
          <t>Shopee</t>
        </is>
      </c>
      <c r="F339" s="36" t="n">
        <v>145</v>
      </c>
      <c r="G339" s="36" t="n">
        <v>122</v>
      </c>
      <c r="H339" s="36" t="n">
        <v>120</v>
      </c>
      <c r="I339" s="36" t="n">
        <v>137</v>
      </c>
      <c r="J339" s="36" t="n">
        <v>78</v>
      </c>
      <c r="K339" s="28" t="n">
        <v>91</v>
      </c>
      <c r="L339" s="36" t="n">
        <v>49</v>
      </c>
      <c r="M339" s="36" t="n">
        <v>89</v>
      </c>
      <c r="N339" s="36" t="n">
        <v>121</v>
      </c>
      <c r="O339" s="36" t="n">
        <v>119</v>
      </c>
      <c r="P339" s="36" t="n">
        <v>80</v>
      </c>
      <c r="Q339" s="36" t="n">
        <v>89</v>
      </c>
      <c r="R339" s="28" t="n">
        <v>88</v>
      </c>
      <c r="S339" s="36" t="n">
        <v>70</v>
      </c>
      <c r="T339" s="36" t="n">
        <v>67</v>
      </c>
      <c r="U339" s="36" t="n">
        <v>137.83</v>
      </c>
      <c r="V339" s="36" t="n">
        <v>138.33</v>
      </c>
      <c r="W339" s="36" t="n">
        <v>136.34</v>
      </c>
      <c r="X339" s="36" t="n">
        <v>110.87</v>
      </c>
      <c r="Y339" s="28" t="n">
        <v>185.73</v>
      </c>
      <c r="Z339" s="36" t="n">
        <v>147.03</v>
      </c>
      <c r="AA339" s="36" t="n">
        <v>202.2</v>
      </c>
      <c r="AB339" s="36" t="n">
        <v>140.68</v>
      </c>
      <c r="AC339" s="36" t="n">
        <v>113.52</v>
      </c>
      <c r="AD339" s="36" t="n">
        <v>295.87</v>
      </c>
      <c r="AE339" s="36" t="n">
        <v>118.75</v>
      </c>
      <c r="AF339" s="28" t="n">
        <v>211.69</v>
      </c>
      <c r="AG339" s="36" t="n">
        <v>154.37</v>
      </c>
      <c r="AH339" s="37" t="n">
        <v>162.97</v>
      </c>
      <c r="AI339" s="37" t="n">
        <v>137.83</v>
      </c>
      <c r="AJ339" s="37" t="n">
        <v>138.33</v>
      </c>
      <c r="AK339" s="37" t="n">
        <v>183.97</v>
      </c>
      <c r="AL339" s="37" t="n">
        <v>199.12</v>
      </c>
      <c r="AM339" s="37" t="n">
        <v>185.73</v>
      </c>
      <c r="AN339" s="37" t="n">
        <v>147.03</v>
      </c>
      <c r="AO339" s="37" t="n">
        <v>162.97</v>
      </c>
      <c r="AP339" s="37" t="n">
        <v>172.07</v>
      </c>
      <c r="AQ339" s="37" t="n">
        <v>110.91</v>
      </c>
      <c r="AR339" s="37" t="n">
        <v>136.34</v>
      </c>
      <c r="AS339" s="37" t="n">
        <v>110.87</v>
      </c>
      <c r="AT339" s="37" t="n">
        <v>185.73</v>
      </c>
      <c r="AU339" s="37" t="n">
        <v>150.07</v>
      </c>
      <c r="AV339" s="37" t="n">
        <v>166.28</v>
      </c>
      <c r="AW339" s="37" t="n">
        <v>137.83</v>
      </c>
      <c r="AX339" s="37" t="n">
        <v>138.33</v>
      </c>
      <c r="AY339" s="37" t="n">
        <v>136.34</v>
      </c>
      <c r="AZ339" s="37" t="n">
        <v>110.87</v>
      </c>
      <c r="BA339" s="37" t="n">
        <v>143.06</v>
      </c>
      <c r="BB339" s="37" t="n">
        <v>124.57</v>
      </c>
      <c r="BC339" s="37" t="n">
        <v>63.71</v>
      </c>
      <c r="BD339" s="37" t="n">
        <v>112.89</v>
      </c>
      <c r="BE339" s="37" t="n">
        <v>131.74</v>
      </c>
      <c r="BF339" s="37" t="n">
        <v>129.86</v>
      </c>
      <c r="BG339" s="37" t="n">
        <v>107.73</v>
      </c>
      <c r="BH339" s="37" t="n">
        <v>176.89</v>
      </c>
      <c r="BI339" s="37" t="n">
        <v>115.04</v>
      </c>
      <c r="BJ339" s="37" t="n">
        <v>419.91</v>
      </c>
      <c r="BK339" s="37" t="n">
        <v>140.54</v>
      </c>
      <c r="BL339" s="37" t="n">
        <v>138.39</v>
      </c>
      <c r="BM339" s="37" t="n">
        <v>129.86</v>
      </c>
      <c r="BN339" s="37" t="n">
        <v>105.61</v>
      </c>
      <c r="BO339" s="37" t="n">
        <v>176.89</v>
      </c>
      <c r="BP339" s="37" t="n">
        <v>188.97</v>
      </c>
      <c r="BQ339" s="37" t="n">
        <v>278.94</v>
      </c>
      <c r="BR339" s="37" t="n">
        <v>131.31</v>
      </c>
      <c r="BS339" s="37" t="n">
        <v>131.74</v>
      </c>
      <c r="BT339" s="37" t="n">
        <v>129.86</v>
      </c>
      <c r="BU339" s="37" t="n">
        <v>131.94</v>
      </c>
      <c r="BV339" s="37" t="n">
        <v>141.73</v>
      </c>
      <c r="BW339" s="37" t="n">
        <v>140.01</v>
      </c>
      <c r="BX339" s="37" t="n">
        <v>155.23</v>
      </c>
      <c r="BY339" s="37" t="n">
        <v>131.31</v>
      </c>
      <c r="BZ339" s="37" t="n">
        <v>134.52</v>
      </c>
      <c r="CA339" s="37" t="n">
        <v>132.37</v>
      </c>
      <c r="CB339" s="37" t="n">
        <v>105.61</v>
      </c>
      <c r="CC339" s="37" t="n">
        <v>10582.03</v>
      </c>
    </row>
    <row r="340" ht="15.75" customHeight="1" s="57">
      <c r="A340" s="7" t="inlineStr">
        <is>
          <t>NTB</t>
        </is>
      </c>
      <c r="B340" s="7" t="inlineStr">
        <is>
          <t>Lâm Đồng</t>
        </is>
      </c>
      <c r="C340" s="7" t="n">
        <v>20849000</v>
      </c>
      <c r="D340" s="7" t="inlineStr">
        <is>
          <t>(LDO) Ninh Gia</t>
        </is>
      </c>
      <c r="E340" s="7" t="inlineStr">
        <is>
          <t>Shopee-Bulky</t>
        </is>
      </c>
      <c r="F340" s="36" t="n">
        <v>13.95</v>
      </c>
      <c r="G340" s="36" t="n">
        <v>17.12</v>
      </c>
      <c r="H340" s="36" t="n">
        <v>12.05</v>
      </c>
      <c r="I340" s="36" t="n">
        <v>15.22</v>
      </c>
      <c r="J340" s="36" t="n">
        <v>7.61</v>
      </c>
      <c r="K340" s="28" t="n">
        <v>11.41</v>
      </c>
      <c r="L340" s="36" t="n">
        <v>14.58</v>
      </c>
      <c r="M340" s="36" t="n">
        <v>15.85</v>
      </c>
      <c r="N340" s="36" t="n">
        <v>16.48</v>
      </c>
      <c r="O340" s="36" t="n">
        <v>12.68</v>
      </c>
      <c r="P340" s="36" t="n">
        <v>9.51</v>
      </c>
      <c r="Q340" s="36" t="n">
        <v>12.68</v>
      </c>
      <c r="R340" s="28" t="n">
        <v>12.05</v>
      </c>
      <c r="S340" s="36" t="n">
        <v>14.58</v>
      </c>
      <c r="T340" s="36" t="n">
        <v>10.14</v>
      </c>
      <c r="U340" s="36" t="n">
        <v>12.18</v>
      </c>
      <c r="V340" s="36" t="n">
        <v>11.74</v>
      </c>
      <c r="W340" s="36" t="n">
        <v>16.14</v>
      </c>
      <c r="X340" s="36" t="n">
        <v>9.130000000000001</v>
      </c>
      <c r="Y340" s="28" t="n">
        <v>17.88</v>
      </c>
      <c r="Z340" s="36" t="n">
        <v>14.13</v>
      </c>
      <c r="AA340" s="36" t="n">
        <v>13.73</v>
      </c>
      <c r="AB340" s="36" t="n">
        <v>13.9</v>
      </c>
      <c r="AC340" s="36" t="n">
        <v>14.59</v>
      </c>
      <c r="AD340" s="36" t="n">
        <v>39.32</v>
      </c>
      <c r="AE340" s="36" t="n">
        <v>23.47</v>
      </c>
      <c r="AF340" s="28" t="n">
        <v>34.99</v>
      </c>
      <c r="AG340" s="36" t="n">
        <v>19.87</v>
      </c>
      <c r="AH340" s="37" t="n">
        <v>13.97</v>
      </c>
      <c r="AI340" s="37" t="n">
        <v>13.44</v>
      </c>
      <c r="AJ340" s="37" t="n">
        <v>13.33</v>
      </c>
      <c r="AK340" s="37" t="n">
        <v>30.19</v>
      </c>
      <c r="AL340" s="37" t="n">
        <v>15.36</v>
      </c>
      <c r="AM340" s="37" t="n">
        <v>21.93</v>
      </c>
      <c r="AN340" s="37" t="n">
        <v>13.88</v>
      </c>
      <c r="AO340" s="37" t="n">
        <v>13.6</v>
      </c>
      <c r="AP340" s="37" t="n">
        <v>18.37</v>
      </c>
      <c r="AQ340" s="37" t="n">
        <v>18.26</v>
      </c>
      <c r="AR340" s="37" t="n">
        <v>14.52</v>
      </c>
      <c r="AS340" s="37" t="n">
        <v>8.029999999999999</v>
      </c>
      <c r="AT340" s="37" t="n">
        <v>16.42</v>
      </c>
      <c r="AU340" s="37" t="n">
        <v>27.01</v>
      </c>
      <c r="AV340" s="37" t="n">
        <v>28.03</v>
      </c>
      <c r="AW340" s="37" t="n">
        <v>13.64</v>
      </c>
      <c r="AX340" s="37" t="n">
        <v>12.8</v>
      </c>
      <c r="AY340" s="37" t="n">
        <v>13.9</v>
      </c>
      <c r="AZ340" s="37" t="n">
        <v>7.72</v>
      </c>
      <c r="BA340" s="37" t="n">
        <v>15.01</v>
      </c>
      <c r="BB340" s="37" t="n">
        <v>13.95</v>
      </c>
      <c r="BC340" s="37" t="n">
        <v>4.69</v>
      </c>
      <c r="BD340" s="37" t="n">
        <v>11.94</v>
      </c>
      <c r="BE340" s="37" t="n">
        <v>14.68</v>
      </c>
      <c r="BF340" s="37" t="n">
        <v>12.62</v>
      </c>
      <c r="BG340" s="37" t="n">
        <v>10.48</v>
      </c>
      <c r="BH340" s="37" t="n">
        <v>19.21</v>
      </c>
      <c r="BI340" s="37" t="n">
        <v>16.4</v>
      </c>
      <c r="BJ340" s="37" t="n">
        <v>62.54</v>
      </c>
      <c r="BK340" s="37" t="n">
        <v>34.7</v>
      </c>
      <c r="BL340" s="37" t="n">
        <v>17.88</v>
      </c>
      <c r="BM340" s="37" t="n">
        <v>13.33</v>
      </c>
      <c r="BN340" s="37" t="n">
        <v>10.12</v>
      </c>
      <c r="BO340" s="37" t="n">
        <v>22.33</v>
      </c>
      <c r="BP340" s="37" t="n">
        <v>32.61</v>
      </c>
      <c r="BQ340" s="37" t="n">
        <v>23.59</v>
      </c>
      <c r="BR340" s="37" t="n">
        <v>15.52</v>
      </c>
      <c r="BS340" s="37" t="n">
        <v>14.68</v>
      </c>
      <c r="BT340" s="37" t="n">
        <v>12.62</v>
      </c>
      <c r="BU340" s="37" t="n">
        <v>14.88</v>
      </c>
      <c r="BV340" s="37" t="n">
        <v>20.34</v>
      </c>
      <c r="BW340" s="37" t="n">
        <v>16.4</v>
      </c>
      <c r="BX340" s="37" t="n">
        <v>15.83</v>
      </c>
      <c r="BY340" s="37" t="n">
        <v>15.52</v>
      </c>
      <c r="BZ340" s="37" t="n">
        <v>26.61</v>
      </c>
      <c r="CA340" s="37" t="n">
        <v>15.34</v>
      </c>
      <c r="CB340" s="37" t="n">
        <v>9.99</v>
      </c>
      <c r="CC340" s="37" t="n">
        <v>1265.19</v>
      </c>
    </row>
    <row r="341" ht="15.75" customHeight="1" s="57">
      <c r="A341" s="7" t="inlineStr">
        <is>
          <t>NTB</t>
        </is>
      </c>
      <c r="B341" s="7" t="inlineStr">
        <is>
          <t>Lâm Đồng</t>
        </is>
      </c>
      <c r="C341" s="7" t="n">
        <v>20849000</v>
      </c>
      <c r="D341" s="7" t="inlineStr">
        <is>
          <t>(LDO) Ninh Gia</t>
        </is>
      </c>
      <c r="E341" s="7" t="inlineStr">
        <is>
          <t>Shopee-Bulky (10-15kg)</t>
        </is>
      </c>
      <c r="F341" s="36" t="n">
        <v>8.050000000000001</v>
      </c>
      <c r="G341" s="36" t="n">
        <v>9.880000000000001</v>
      </c>
      <c r="H341" s="36" t="n">
        <v>6.95</v>
      </c>
      <c r="I341" s="36" t="n">
        <v>8.779999999999999</v>
      </c>
      <c r="J341" s="36" t="n">
        <v>4.39</v>
      </c>
      <c r="K341" s="28" t="n">
        <v>6.59</v>
      </c>
      <c r="L341" s="36" t="n">
        <v>8.42</v>
      </c>
      <c r="M341" s="36" t="n">
        <v>9.15</v>
      </c>
      <c r="N341" s="36" t="n">
        <v>9.52</v>
      </c>
      <c r="O341" s="36" t="n">
        <v>7.32</v>
      </c>
      <c r="P341" s="36" t="n">
        <v>5.49</v>
      </c>
      <c r="Q341" s="36" t="n">
        <v>7.32</v>
      </c>
      <c r="R341" s="28" t="n">
        <v>6.95</v>
      </c>
      <c r="S341" s="36" t="n">
        <v>8.42</v>
      </c>
      <c r="T341" s="36" t="n">
        <v>5.86</v>
      </c>
      <c r="U341" s="36" t="n">
        <v>7.32</v>
      </c>
      <c r="V341" s="36" t="n">
        <v>7.01</v>
      </c>
      <c r="W341" s="36" t="n">
        <v>9.24</v>
      </c>
      <c r="X341" s="36" t="n">
        <v>5.22</v>
      </c>
      <c r="Y341" s="28" t="n">
        <v>10.37</v>
      </c>
      <c r="Z341" s="36" t="n">
        <v>8.09</v>
      </c>
      <c r="AA341" s="36" t="n">
        <v>7.6</v>
      </c>
      <c r="AB341" s="36" t="n">
        <v>7.96</v>
      </c>
      <c r="AC341" s="36" t="n">
        <v>8.24</v>
      </c>
      <c r="AD341" s="36" t="n">
        <v>31.5</v>
      </c>
      <c r="AE341" s="36" t="n">
        <v>13.15</v>
      </c>
      <c r="AF341" s="28" t="n">
        <v>19.19</v>
      </c>
      <c r="AG341" s="36" t="n">
        <v>11.45</v>
      </c>
      <c r="AH341" s="37" t="n">
        <v>7.98</v>
      </c>
      <c r="AI341" s="37" t="n">
        <v>7.76</v>
      </c>
      <c r="AJ341" s="37" t="n">
        <v>7.52</v>
      </c>
      <c r="AK341" s="37" t="n">
        <v>17.71</v>
      </c>
      <c r="AL341" s="37" t="n">
        <v>8.6</v>
      </c>
      <c r="AM341" s="37" t="n">
        <v>12.73</v>
      </c>
      <c r="AN341" s="37" t="n">
        <v>8</v>
      </c>
      <c r="AO341" s="37" t="n">
        <v>7.67</v>
      </c>
      <c r="AP341" s="37" t="n">
        <v>10.1</v>
      </c>
      <c r="AQ341" s="37" t="n">
        <v>10.3</v>
      </c>
      <c r="AR341" s="37" t="n">
        <v>8.35</v>
      </c>
      <c r="AS341" s="37" t="n">
        <v>4.58</v>
      </c>
      <c r="AT341" s="37" t="n">
        <v>9.5</v>
      </c>
      <c r="AU341" s="37" t="n">
        <v>16.07</v>
      </c>
      <c r="AV341" s="37" t="n">
        <v>16.11</v>
      </c>
      <c r="AW341" s="37" t="n">
        <v>7.74</v>
      </c>
      <c r="AX341" s="37" t="n">
        <v>7.18</v>
      </c>
      <c r="AY341" s="37" t="n">
        <v>8</v>
      </c>
      <c r="AZ341" s="37" t="n">
        <v>4.4</v>
      </c>
      <c r="BA341" s="37" t="n">
        <v>8.67</v>
      </c>
      <c r="BB341" s="37" t="n">
        <v>8.050000000000001</v>
      </c>
      <c r="BC341" s="37" t="n">
        <v>2.81</v>
      </c>
      <c r="BD341" s="37" t="n">
        <v>6.76</v>
      </c>
      <c r="BE341" s="37" t="n">
        <v>8.42</v>
      </c>
      <c r="BF341" s="37" t="n">
        <v>7.34</v>
      </c>
      <c r="BG341" s="37" t="n">
        <v>6.03</v>
      </c>
      <c r="BH341" s="37" t="n">
        <v>11.25</v>
      </c>
      <c r="BI341" s="37" t="n">
        <v>9.5</v>
      </c>
      <c r="BJ341" s="37" t="n">
        <v>43.39</v>
      </c>
      <c r="BK341" s="37" t="n">
        <v>20.12</v>
      </c>
      <c r="BL341" s="37" t="n">
        <v>10.34</v>
      </c>
      <c r="BM341" s="37" t="n">
        <v>7.63</v>
      </c>
      <c r="BN341" s="37" t="n">
        <v>5.9</v>
      </c>
      <c r="BO341" s="37" t="n">
        <v>12.8</v>
      </c>
      <c r="BP341" s="37" t="n">
        <v>18.97</v>
      </c>
      <c r="BQ341" s="37" t="n">
        <v>13.71</v>
      </c>
      <c r="BR341" s="37" t="n">
        <v>8.91</v>
      </c>
      <c r="BS341" s="37" t="n">
        <v>8.42</v>
      </c>
      <c r="BT341" s="37" t="n">
        <v>7.34</v>
      </c>
      <c r="BU341" s="37" t="n">
        <v>8.51</v>
      </c>
      <c r="BV341" s="37" t="n">
        <v>11.69</v>
      </c>
      <c r="BW341" s="37" t="n">
        <v>9.5</v>
      </c>
      <c r="BX341" s="37" t="n">
        <v>9.06</v>
      </c>
      <c r="BY341" s="37" t="n">
        <v>8.91</v>
      </c>
      <c r="BZ341" s="37" t="n">
        <v>15.41</v>
      </c>
      <c r="CA341" s="37" t="n">
        <v>8.779999999999999</v>
      </c>
      <c r="CB341" s="37" t="n">
        <v>5.68</v>
      </c>
      <c r="CC341" s="37" t="n">
        <v>743.63</v>
      </c>
    </row>
    <row r="342" ht="15.75" customHeight="1" s="57">
      <c r="A342" s="7" t="inlineStr">
        <is>
          <t>NTB</t>
        </is>
      </c>
      <c r="B342" s="7" t="inlineStr">
        <is>
          <t>Lâm Đồng</t>
        </is>
      </c>
      <c r="C342" s="7" t="n">
        <v>20849000</v>
      </c>
      <c r="D342" s="7" t="inlineStr">
        <is>
          <t>(LDO) Ninh Gia</t>
        </is>
      </c>
      <c r="E342" s="7" t="inlineStr">
        <is>
          <t>TTS</t>
        </is>
      </c>
      <c r="F342" s="36" t="n">
        <v>159</v>
      </c>
      <c r="G342" s="36" t="n">
        <v>166</v>
      </c>
      <c r="H342" s="36" t="n">
        <v>120</v>
      </c>
      <c r="I342" s="36" t="n">
        <v>137</v>
      </c>
      <c r="J342" s="36" t="n">
        <v>88</v>
      </c>
      <c r="K342" s="28" t="n">
        <v>136</v>
      </c>
      <c r="L342" s="36" t="n">
        <v>94</v>
      </c>
      <c r="M342" s="36" t="n">
        <v>112</v>
      </c>
      <c r="N342" s="36" t="n">
        <v>97</v>
      </c>
      <c r="O342" s="36" t="n">
        <v>126</v>
      </c>
      <c r="P342" s="36" t="n">
        <v>76</v>
      </c>
      <c r="Q342" s="36" t="n">
        <v>125</v>
      </c>
      <c r="R342" s="28" t="n">
        <v>100</v>
      </c>
      <c r="S342" s="36" t="n">
        <v>114</v>
      </c>
      <c r="T342" s="36" t="n">
        <v>96</v>
      </c>
      <c r="U342" s="36" t="n">
        <v>77.56</v>
      </c>
      <c r="V342" s="36" t="n">
        <v>76.22999999999999</v>
      </c>
      <c r="W342" s="36" t="n">
        <v>74.5</v>
      </c>
      <c r="X342" s="36" t="n">
        <v>60.16</v>
      </c>
      <c r="Y342" s="28" t="n">
        <v>87.35000000000001</v>
      </c>
      <c r="Z342" s="36" t="n">
        <v>74.34</v>
      </c>
      <c r="AA342" s="36" t="n">
        <v>82.48</v>
      </c>
      <c r="AB342" s="36" t="n">
        <v>91.68000000000001</v>
      </c>
      <c r="AC342" s="36" t="n">
        <v>96.52999999999999</v>
      </c>
      <c r="AD342" s="36" t="n">
        <v>98.98</v>
      </c>
      <c r="AE342" s="36" t="n">
        <v>69.89</v>
      </c>
      <c r="AF342" s="28" t="n">
        <v>90.32000000000001</v>
      </c>
      <c r="AG342" s="36" t="n">
        <v>75.8</v>
      </c>
      <c r="AH342" s="37" t="n">
        <v>74.95999999999999</v>
      </c>
      <c r="AI342" s="37" t="n">
        <v>85.77000000000001</v>
      </c>
      <c r="AJ342" s="37" t="n">
        <v>92.2</v>
      </c>
      <c r="AK342" s="37" t="n">
        <v>90.90000000000001</v>
      </c>
      <c r="AL342" s="37" t="n">
        <v>64.83999999999999</v>
      </c>
      <c r="AM342" s="37" t="n">
        <v>88.99000000000001</v>
      </c>
      <c r="AN342" s="37" t="n">
        <v>76.78999999999999</v>
      </c>
      <c r="AO342" s="37" t="n">
        <v>76.38</v>
      </c>
      <c r="AP342" s="37" t="n">
        <v>74.03</v>
      </c>
      <c r="AQ342" s="37" t="n">
        <v>74.67999999999999</v>
      </c>
      <c r="AR342" s="37" t="n">
        <v>73.44999999999999</v>
      </c>
      <c r="AS342" s="37" t="n">
        <v>60.47</v>
      </c>
      <c r="AT342" s="37" t="n">
        <v>96.2</v>
      </c>
      <c r="AU342" s="37" t="n">
        <v>87.04000000000001</v>
      </c>
      <c r="AV342" s="37" t="n">
        <v>77.44</v>
      </c>
      <c r="AW342" s="37" t="n">
        <v>73.13</v>
      </c>
      <c r="AX342" s="37" t="n">
        <v>72.58</v>
      </c>
      <c r="AY342" s="37" t="n">
        <v>72.48999999999999</v>
      </c>
      <c r="AZ342" s="37" t="n">
        <v>60.47</v>
      </c>
      <c r="BA342" s="37" t="n">
        <v>86.67</v>
      </c>
      <c r="BB342" s="37" t="n">
        <v>81.03</v>
      </c>
      <c r="BC342" s="37" t="n">
        <v>48.24</v>
      </c>
      <c r="BD342" s="37" t="n">
        <v>69.88</v>
      </c>
      <c r="BE342" s="37" t="n">
        <v>82.24000000000001</v>
      </c>
      <c r="BF342" s="37" t="n">
        <v>79.97</v>
      </c>
      <c r="BG342" s="37" t="n">
        <v>64.97</v>
      </c>
      <c r="BH342" s="37" t="n">
        <v>96.02</v>
      </c>
      <c r="BI342" s="37" t="n">
        <v>81.03</v>
      </c>
      <c r="BJ342" s="37" t="n">
        <v>75.19999999999999</v>
      </c>
      <c r="BK342" s="37" t="n">
        <v>82.15000000000001</v>
      </c>
      <c r="BL342" s="37" t="n">
        <v>82.24000000000001</v>
      </c>
      <c r="BM342" s="37" t="n">
        <v>79.97</v>
      </c>
      <c r="BN342" s="37" t="n">
        <v>64.97</v>
      </c>
      <c r="BO342" s="37" t="n">
        <v>96.02</v>
      </c>
      <c r="BP342" s="37" t="n">
        <v>81.03</v>
      </c>
      <c r="BQ342" s="37" t="n">
        <v>80.13</v>
      </c>
      <c r="BR342" s="37" t="n">
        <v>82.15000000000001</v>
      </c>
      <c r="BS342" s="37" t="n">
        <v>82.24000000000001</v>
      </c>
      <c r="BT342" s="37" t="n">
        <v>79.97</v>
      </c>
      <c r="BU342" s="37" t="n">
        <v>64.97</v>
      </c>
      <c r="BV342" s="37" t="n">
        <v>96.02</v>
      </c>
      <c r="BW342" s="37" t="n">
        <v>81.03</v>
      </c>
      <c r="BX342" s="37" t="n">
        <v>80.13</v>
      </c>
      <c r="BY342" s="37" t="n">
        <v>82.15000000000001</v>
      </c>
      <c r="BZ342" s="37" t="n">
        <v>82.24000000000001</v>
      </c>
      <c r="CA342" s="37" t="n">
        <v>79.97</v>
      </c>
      <c r="CB342" s="37" t="n">
        <v>64.97</v>
      </c>
      <c r="CC342" s="37" t="n">
        <v>6482.23</v>
      </c>
    </row>
    <row r="343" ht="15.75" customHeight="1" s="57">
      <c r="A343" s="7" t="inlineStr">
        <is>
          <t>NTB</t>
        </is>
      </c>
      <c r="B343" s="7" t="inlineStr">
        <is>
          <t>Lâm Đồng</t>
        </is>
      </c>
      <c r="C343" s="7" t="n">
        <v>20849000</v>
      </c>
      <c r="D343" s="7" t="inlineStr">
        <is>
          <t>(LDO) Ninh Gia</t>
        </is>
      </c>
      <c r="E343" s="7" t="inlineStr">
        <is>
          <t>TTS-Bulky</t>
        </is>
      </c>
      <c r="F343" s="36" t="n">
        <v>0</v>
      </c>
      <c r="G343" s="36" t="n">
        <v>1</v>
      </c>
      <c r="H343" s="36" t="n">
        <v>2</v>
      </c>
      <c r="I343" s="36" t="n">
        <v>4</v>
      </c>
      <c r="J343" s="36" t="n">
        <v>1</v>
      </c>
      <c r="K343" s="28" t="n">
        <v>6</v>
      </c>
      <c r="L343" s="36" t="n">
        <v>1</v>
      </c>
      <c r="M343" s="36" t="n">
        <v>2</v>
      </c>
      <c r="N343" s="36" t="n">
        <v>0</v>
      </c>
      <c r="O343" s="36" t="n">
        <v>1</v>
      </c>
      <c r="P343" s="36" t="n">
        <v>1</v>
      </c>
      <c r="Q343" s="36" t="n">
        <v>0</v>
      </c>
      <c r="R343" s="28" t="n">
        <v>2</v>
      </c>
      <c r="S343" s="36" t="n">
        <v>0</v>
      </c>
      <c r="T343" s="36" t="n">
        <v>2</v>
      </c>
      <c r="U343" s="36" t="n">
        <v>5.17</v>
      </c>
      <c r="V343" s="36" t="n">
        <v>5.24</v>
      </c>
      <c r="W343" s="36" t="n">
        <v>2.47</v>
      </c>
      <c r="X343" s="36" t="n">
        <v>1.78</v>
      </c>
      <c r="Y343" s="28" t="n">
        <v>3.23</v>
      </c>
      <c r="Z343" s="36" t="n">
        <v>2.57</v>
      </c>
      <c r="AA343" s="36" t="n">
        <v>2.73</v>
      </c>
      <c r="AB343" s="36" t="n">
        <v>2.83</v>
      </c>
      <c r="AC343" s="36" t="n">
        <v>3</v>
      </c>
      <c r="AD343" s="36" t="n">
        <v>4.48</v>
      </c>
      <c r="AE343" s="36" t="n">
        <v>2.01</v>
      </c>
      <c r="AF343" s="28" t="n">
        <v>3.2</v>
      </c>
      <c r="AG343" s="36" t="n">
        <v>2.44</v>
      </c>
      <c r="AH343" s="37" t="n">
        <v>2.44</v>
      </c>
      <c r="AI343" s="37" t="n">
        <v>2.47</v>
      </c>
      <c r="AJ343" s="37" t="n">
        <v>2.8</v>
      </c>
      <c r="AK343" s="37" t="n">
        <v>2.67</v>
      </c>
      <c r="AL343" s="37" t="n">
        <v>1.91</v>
      </c>
      <c r="AM343" s="37" t="n">
        <v>3.2</v>
      </c>
      <c r="AN343" s="37" t="n">
        <v>2.47</v>
      </c>
      <c r="AO343" s="37" t="n">
        <v>2.44</v>
      </c>
      <c r="AP343" s="37" t="n">
        <v>2.44</v>
      </c>
      <c r="AQ343" s="37" t="n">
        <v>2.67</v>
      </c>
      <c r="AR343" s="37" t="n">
        <v>2.47</v>
      </c>
      <c r="AS343" s="37" t="n">
        <v>1.85</v>
      </c>
      <c r="AT343" s="37" t="n">
        <v>3.33</v>
      </c>
      <c r="AU343" s="37" t="n">
        <v>2.83</v>
      </c>
      <c r="AV343" s="37" t="n">
        <v>2.5</v>
      </c>
      <c r="AW343" s="37" t="n">
        <v>2.41</v>
      </c>
      <c r="AX343" s="37" t="n">
        <v>2.67</v>
      </c>
      <c r="AY343" s="37" t="n">
        <v>2.44</v>
      </c>
      <c r="AZ343" s="37" t="n">
        <v>1.85</v>
      </c>
      <c r="BA343" s="37" t="n">
        <v>2.8</v>
      </c>
      <c r="BB343" s="37" t="n">
        <v>0.66</v>
      </c>
      <c r="BC343" s="37" t="n">
        <v>0.43</v>
      </c>
      <c r="BD343" s="37" t="n">
        <v>0.53</v>
      </c>
      <c r="BE343" s="37" t="n">
        <v>0.6899999999999999</v>
      </c>
      <c r="BF343" s="37" t="n">
        <v>0.6899999999999999</v>
      </c>
      <c r="BG343" s="37" t="n">
        <v>0.46</v>
      </c>
      <c r="BH343" s="37" t="n">
        <v>0.89</v>
      </c>
      <c r="BI343" s="37" t="n">
        <v>0.6899999999999999</v>
      </c>
      <c r="BJ343" s="37" t="n">
        <v>1.12</v>
      </c>
      <c r="BK343" s="37" t="n">
        <v>0.72</v>
      </c>
      <c r="BL343" s="37" t="n">
        <v>0.6899999999999999</v>
      </c>
      <c r="BM343" s="37" t="n">
        <v>0.6899999999999999</v>
      </c>
      <c r="BN343" s="37" t="n">
        <v>0.53</v>
      </c>
      <c r="BO343" s="37" t="n">
        <v>1.02</v>
      </c>
      <c r="BP343" s="37" t="n">
        <v>0.79</v>
      </c>
      <c r="BQ343" s="37" t="n">
        <v>0.72</v>
      </c>
      <c r="BR343" s="37" t="n">
        <v>0.72</v>
      </c>
      <c r="BS343" s="37" t="n">
        <v>0.6899999999999999</v>
      </c>
      <c r="BT343" s="37" t="n">
        <v>0.6899999999999999</v>
      </c>
      <c r="BU343" s="37" t="n">
        <v>0.46</v>
      </c>
      <c r="BV343" s="37" t="n">
        <v>0.76</v>
      </c>
      <c r="BW343" s="37" t="n">
        <v>0.6899999999999999</v>
      </c>
      <c r="BX343" s="37" t="n">
        <v>0.72</v>
      </c>
      <c r="BY343" s="37" t="n">
        <v>0.72</v>
      </c>
      <c r="BZ343" s="37" t="n">
        <v>0.6899999999999999</v>
      </c>
      <c r="CA343" s="37" t="n">
        <v>0.6899999999999999</v>
      </c>
      <c r="CB343" s="37" t="n">
        <v>0.46</v>
      </c>
      <c r="CC343" s="37" t="n">
        <v>133.42</v>
      </c>
    </row>
    <row r="344" ht="15.75" customHeight="1" s="57">
      <c r="A344" s="7" t="inlineStr">
        <is>
          <t>NTB</t>
        </is>
      </c>
      <c r="B344" s="7" t="inlineStr">
        <is>
          <t>Lâm Đồng</t>
        </is>
      </c>
      <c r="C344" s="7" t="n">
        <v>20942000</v>
      </c>
      <c r="D344" s="7" t="inlineStr">
        <is>
          <t>(LDO) Di Linh</t>
        </is>
      </c>
      <c r="E344" s="7" t="inlineStr">
        <is>
          <t>SME</t>
        </is>
      </c>
      <c r="F344" s="36" t="n">
        <v>609</v>
      </c>
      <c r="G344" s="36" t="n">
        <v>402</v>
      </c>
      <c r="H344" s="36" t="n">
        <v>602</v>
      </c>
      <c r="I344" s="36" t="n">
        <v>418</v>
      </c>
      <c r="J344" s="36" t="n">
        <v>389</v>
      </c>
      <c r="K344" s="28" t="n">
        <v>413</v>
      </c>
      <c r="L344" s="36" t="n">
        <v>321</v>
      </c>
      <c r="M344" s="36" t="n">
        <v>258</v>
      </c>
      <c r="N344" s="36" t="n">
        <v>416</v>
      </c>
      <c r="O344" s="36" t="n">
        <v>252</v>
      </c>
      <c r="P344" s="36" t="n">
        <v>379</v>
      </c>
      <c r="Q344" s="36" t="n">
        <v>331</v>
      </c>
      <c r="R344" s="28" t="n">
        <v>381</v>
      </c>
      <c r="S344" s="36" t="n">
        <v>420</v>
      </c>
      <c r="T344" s="36" t="n">
        <v>292</v>
      </c>
      <c r="U344" s="36" t="n">
        <v>442.6900000000001</v>
      </c>
      <c r="V344" s="36" t="n">
        <v>458.59</v>
      </c>
      <c r="W344" s="36" t="n">
        <v>445.86</v>
      </c>
      <c r="X344" s="36" t="n">
        <v>364.7</v>
      </c>
      <c r="Y344" s="28" t="n">
        <v>494.08</v>
      </c>
      <c r="Z344" s="36" t="n">
        <v>455.22</v>
      </c>
      <c r="AA344" s="36" t="n">
        <v>443.99</v>
      </c>
      <c r="AB344" s="36" t="n">
        <v>442.6900000000001</v>
      </c>
      <c r="AC344" s="36" t="n">
        <v>458.59</v>
      </c>
      <c r="AD344" s="36" t="n">
        <v>460.92</v>
      </c>
      <c r="AE344" s="36" t="n">
        <v>364.7</v>
      </c>
      <c r="AF344" s="28" t="n">
        <v>494.08</v>
      </c>
      <c r="AG344" s="36" t="n">
        <v>455.22</v>
      </c>
      <c r="AH344" s="37" t="n">
        <v>443.99</v>
      </c>
      <c r="AI344" s="37" t="n">
        <v>442.6900000000001</v>
      </c>
      <c r="AJ344" s="37" t="n">
        <v>458.59</v>
      </c>
      <c r="AK344" s="37" t="n">
        <v>445.86</v>
      </c>
      <c r="AL344" s="37" t="n">
        <v>364.7</v>
      </c>
      <c r="AM344" s="37" t="n">
        <v>494.08</v>
      </c>
      <c r="AN344" s="37" t="n">
        <v>455.22</v>
      </c>
      <c r="AO344" s="37" t="n">
        <v>443.99</v>
      </c>
      <c r="AP344" s="37" t="n">
        <v>442.6900000000001</v>
      </c>
      <c r="AQ344" s="37" t="n">
        <v>458.59</v>
      </c>
      <c r="AR344" s="37" t="n">
        <v>445.86</v>
      </c>
      <c r="AS344" s="37" t="n">
        <v>364.7</v>
      </c>
      <c r="AT344" s="37" t="n">
        <v>494.08</v>
      </c>
      <c r="AU344" s="37" t="n">
        <v>455.22</v>
      </c>
      <c r="AV344" s="37" t="n">
        <v>443.99</v>
      </c>
      <c r="AW344" s="37" t="n">
        <v>442.6900000000001</v>
      </c>
      <c r="AX344" s="37" t="n">
        <v>458.59</v>
      </c>
      <c r="AY344" s="37" t="n">
        <v>445.86</v>
      </c>
      <c r="AZ344" s="37" t="n">
        <v>364.7</v>
      </c>
      <c r="BA344" s="37" t="n">
        <v>444.49</v>
      </c>
      <c r="BB344" s="37" t="n">
        <v>399.27</v>
      </c>
      <c r="BC344" s="37" t="n">
        <v>252.24</v>
      </c>
      <c r="BD344" s="37" t="n">
        <v>251.48</v>
      </c>
      <c r="BE344" s="37" t="n">
        <v>425.1199999999999</v>
      </c>
      <c r="BF344" s="37" t="n">
        <v>414.23</v>
      </c>
      <c r="BG344" s="37" t="n">
        <v>376.36</v>
      </c>
      <c r="BH344" s="37" t="n">
        <v>509.75</v>
      </c>
      <c r="BI344" s="37" t="n">
        <v>469.46</v>
      </c>
      <c r="BJ344" s="37" t="n">
        <v>473.52</v>
      </c>
      <c r="BK344" s="37" t="n">
        <v>456.46</v>
      </c>
      <c r="BL344" s="37" t="n">
        <v>472.95</v>
      </c>
      <c r="BM344" s="37" t="n">
        <v>459.62</v>
      </c>
      <c r="BN344" s="37" t="n">
        <v>376.36</v>
      </c>
      <c r="BO344" s="37" t="n">
        <v>509.75</v>
      </c>
      <c r="BP344" s="37" t="n">
        <v>469.46</v>
      </c>
      <c r="BQ344" s="37" t="n">
        <v>457.7</v>
      </c>
      <c r="BR344" s="37" t="n">
        <v>456.46</v>
      </c>
      <c r="BS344" s="37" t="n">
        <v>472.95</v>
      </c>
      <c r="BT344" s="37" t="n">
        <v>459.62</v>
      </c>
      <c r="BU344" s="37" t="n">
        <v>376.36</v>
      </c>
      <c r="BV344" s="37" t="n">
        <v>509.75</v>
      </c>
      <c r="BW344" s="37" t="n">
        <v>469.46</v>
      </c>
      <c r="BX344" s="37" t="n">
        <v>457.7</v>
      </c>
      <c r="BY344" s="37" t="n">
        <v>456.46</v>
      </c>
      <c r="BZ344" s="37" t="n">
        <v>472.95</v>
      </c>
      <c r="CA344" s="37" t="n">
        <v>459.62</v>
      </c>
      <c r="CB344" s="37" t="n">
        <v>376.36</v>
      </c>
      <c r="CC344" s="37" t="n">
        <v>32216.33000000001</v>
      </c>
    </row>
    <row r="345" ht="15.75" customHeight="1" s="57">
      <c r="A345" s="7" t="inlineStr">
        <is>
          <t>NTB</t>
        </is>
      </c>
      <c r="B345" s="7" t="inlineStr">
        <is>
          <t>Lâm Đồng</t>
        </is>
      </c>
      <c r="C345" s="7" t="n">
        <v>20942000</v>
      </c>
      <c r="D345" s="7" t="inlineStr">
        <is>
          <t>(LDO) Di Linh</t>
        </is>
      </c>
      <c r="E345" s="7" t="inlineStr">
        <is>
          <t>SME-Bulky</t>
        </is>
      </c>
      <c r="F345" s="36" t="n">
        <v>18</v>
      </c>
      <c r="G345" s="36" t="n">
        <v>23</v>
      </c>
      <c r="H345" s="36" t="n">
        <v>18</v>
      </c>
      <c r="I345" s="36" t="n">
        <v>23</v>
      </c>
      <c r="J345" s="36" t="n">
        <v>16</v>
      </c>
      <c r="K345" s="28" t="n">
        <v>15</v>
      </c>
      <c r="L345" s="36" t="n">
        <v>8</v>
      </c>
      <c r="M345" s="36" t="n">
        <v>9</v>
      </c>
      <c r="N345" s="36" t="n">
        <v>12</v>
      </c>
      <c r="O345" s="36" t="n">
        <v>23</v>
      </c>
      <c r="P345" s="36" t="n">
        <v>12</v>
      </c>
      <c r="Q345" s="36" t="n">
        <v>10</v>
      </c>
      <c r="R345" s="28" t="n">
        <v>12</v>
      </c>
      <c r="S345" s="36" t="n">
        <v>10</v>
      </c>
      <c r="T345" s="36" t="n">
        <v>28</v>
      </c>
      <c r="U345" s="36" t="n">
        <v>15.21</v>
      </c>
      <c r="V345" s="36" t="n">
        <v>15.05</v>
      </c>
      <c r="W345" s="36" t="n">
        <v>14.22</v>
      </c>
      <c r="X345" s="36" t="n">
        <v>9.470000000000001</v>
      </c>
      <c r="Y345" s="28" t="n">
        <v>17</v>
      </c>
      <c r="Z345" s="36" t="n">
        <v>16.24</v>
      </c>
      <c r="AA345" s="36" t="n">
        <v>16.01</v>
      </c>
      <c r="AB345" s="36" t="n">
        <v>15.21</v>
      </c>
      <c r="AC345" s="36" t="n">
        <v>15.05</v>
      </c>
      <c r="AD345" s="36" t="n">
        <v>13.37</v>
      </c>
      <c r="AE345" s="36" t="n">
        <v>9.470000000000001</v>
      </c>
      <c r="AF345" s="28" t="n">
        <v>17</v>
      </c>
      <c r="AG345" s="36" t="n">
        <v>16.24</v>
      </c>
      <c r="AH345" s="37" t="n">
        <v>16.01</v>
      </c>
      <c r="AI345" s="37" t="n">
        <v>15.21</v>
      </c>
      <c r="AJ345" s="37" t="n">
        <v>15.05</v>
      </c>
      <c r="AK345" s="37" t="n">
        <v>14.22</v>
      </c>
      <c r="AL345" s="37" t="n">
        <v>9.470000000000001</v>
      </c>
      <c r="AM345" s="37" t="n">
        <v>17</v>
      </c>
      <c r="AN345" s="37" t="n">
        <v>16.24</v>
      </c>
      <c r="AO345" s="37" t="n">
        <v>16.01</v>
      </c>
      <c r="AP345" s="37" t="n">
        <v>15.21</v>
      </c>
      <c r="AQ345" s="37" t="n">
        <v>15.05</v>
      </c>
      <c r="AR345" s="37" t="n">
        <v>14.22</v>
      </c>
      <c r="AS345" s="37" t="n">
        <v>9.470000000000001</v>
      </c>
      <c r="AT345" s="37" t="n">
        <v>17</v>
      </c>
      <c r="AU345" s="37" t="n">
        <v>16.24</v>
      </c>
      <c r="AV345" s="37" t="n">
        <v>16.01</v>
      </c>
      <c r="AW345" s="37" t="n">
        <v>15.21</v>
      </c>
      <c r="AX345" s="37" t="n">
        <v>15.05</v>
      </c>
      <c r="AY345" s="37" t="n">
        <v>14.22</v>
      </c>
      <c r="AZ345" s="37" t="n">
        <v>9.470000000000001</v>
      </c>
      <c r="BA345" s="37" t="n">
        <v>17.06</v>
      </c>
      <c r="BB345" s="37" t="n">
        <v>8.98</v>
      </c>
      <c r="BC345" s="37" t="n">
        <v>4.55</v>
      </c>
      <c r="BD345" s="37" t="n">
        <v>4.13</v>
      </c>
      <c r="BE345" s="37" t="n">
        <v>7.86</v>
      </c>
      <c r="BF345" s="37" t="n">
        <v>7.29</v>
      </c>
      <c r="BG345" s="37" t="n">
        <v>5.68</v>
      </c>
      <c r="BH345" s="37" t="n">
        <v>9.869999999999999</v>
      </c>
      <c r="BI345" s="37" t="n">
        <v>9.800000000000001</v>
      </c>
      <c r="BJ345" s="37" t="n">
        <v>8.48</v>
      </c>
      <c r="BK345" s="37" t="n">
        <v>9.01</v>
      </c>
      <c r="BL345" s="37" t="n">
        <v>9.039999999999999</v>
      </c>
      <c r="BM345" s="37" t="n">
        <v>8.42</v>
      </c>
      <c r="BN345" s="37" t="n">
        <v>5.68</v>
      </c>
      <c r="BO345" s="37" t="n">
        <v>9.869999999999999</v>
      </c>
      <c r="BP345" s="37" t="n">
        <v>9.800000000000001</v>
      </c>
      <c r="BQ345" s="37" t="n">
        <v>9.34</v>
      </c>
      <c r="BR345" s="37" t="n">
        <v>9.01</v>
      </c>
      <c r="BS345" s="37" t="n">
        <v>9.039999999999999</v>
      </c>
      <c r="BT345" s="37" t="n">
        <v>8.42</v>
      </c>
      <c r="BU345" s="37" t="n">
        <v>5.68</v>
      </c>
      <c r="BV345" s="37" t="n">
        <v>9.869999999999999</v>
      </c>
      <c r="BW345" s="37" t="n">
        <v>9.800000000000001</v>
      </c>
      <c r="BX345" s="37" t="n">
        <v>9.34</v>
      </c>
      <c r="BY345" s="37" t="n">
        <v>9.01</v>
      </c>
      <c r="BZ345" s="37" t="n">
        <v>9.039999999999999</v>
      </c>
      <c r="CA345" s="37" t="n">
        <v>8.42</v>
      </c>
      <c r="CB345" s="37" t="n">
        <v>5.68</v>
      </c>
      <c r="CC345" s="37" t="n">
        <v>941.0699999999996</v>
      </c>
    </row>
    <row r="346" ht="15.75" customHeight="1" s="57">
      <c r="A346" s="7" t="inlineStr">
        <is>
          <t>NTB</t>
        </is>
      </c>
      <c r="B346" s="7" t="inlineStr">
        <is>
          <t>Lâm Đồng</t>
        </is>
      </c>
      <c r="C346" s="7" t="n">
        <v>20942000</v>
      </c>
      <c r="D346" s="7" t="inlineStr">
        <is>
          <t>(LDO) Di Linh</t>
        </is>
      </c>
      <c r="E346" s="7" t="inlineStr">
        <is>
          <t>Shopee</t>
        </is>
      </c>
      <c r="F346" s="36" t="n">
        <v>185</v>
      </c>
      <c r="G346" s="36" t="n">
        <v>134</v>
      </c>
      <c r="H346" s="36" t="n">
        <v>172</v>
      </c>
      <c r="I346" s="36" t="n">
        <v>133</v>
      </c>
      <c r="J346" s="36" t="n">
        <v>104</v>
      </c>
      <c r="K346" s="28" t="n">
        <v>93</v>
      </c>
      <c r="L346" s="36" t="n">
        <v>58</v>
      </c>
      <c r="M346" s="36" t="n">
        <v>62</v>
      </c>
      <c r="N346" s="36" t="n">
        <v>73</v>
      </c>
      <c r="O346" s="36" t="n">
        <v>72</v>
      </c>
      <c r="P346" s="36" t="n">
        <v>68</v>
      </c>
      <c r="Q346" s="36" t="n">
        <v>36</v>
      </c>
      <c r="R346" s="28" t="n">
        <v>30</v>
      </c>
      <c r="S346" s="36" t="n">
        <v>71</v>
      </c>
      <c r="T346" s="36" t="n">
        <v>99</v>
      </c>
      <c r="U346" s="36" t="n">
        <v>98.67</v>
      </c>
      <c r="V346" s="36" t="n">
        <v>99.03</v>
      </c>
      <c r="W346" s="36" t="n">
        <v>97.61</v>
      </c>
      <c r="X346" s="36" t="n">
        <v>79.37</v>
      </c>
      <c r="Y346" s="28" t="n">
        <v>132.96</v>
      </c>
      <c r="Z346" s="36" t="n">
        <v>105.25</v>
      </c>
      <c r="AA346" s="36" t="n">
        <v>144.75</v>
      </c>
      <c r="AB346" s="36" t="n">
        <v>100.71</v>
      </c>
      <c r="AC346" s="36" t="n">
        <v>81.27</v>
      </c>
      <c r="AD346" s="36" t="n">
        <v>211.81</v>
      </c>
      <c r="AE346" s="36" t="n">
        <v>85.01000000000001</v>
      </c>
      <c r="AF346" s="28" t="n">
        <v>151.55</v>
      </c>
      <c r="AG346" s="36" t="n">
        <v>110.51</v>
      </c>
      <c r="AH346" s="37" t="n">
        <v>116.67</v>
      </c>
      <c r="AI346" s="37" t="n">
        <v>98.67</v>
      </c>
      <c r="AJ346" s="37" t="n">
        <v>99.03</v>
      </c>
      <c r="AK346" s="37" t="n">
        <v>131.7</v>
      </c>
      <c r="AL346" s="37" t="n">
        <v>142.55</v>
      </c>
      <c r="AM346" s="37" t="n">
        <v>132.96</v>
      </c>
      <c r="AN346" s="37" t="n">
        <v>105.25</v>
      </c>
      <c r="AO346" s="37" t="n">
        <v>116.67</v>
      </c>
      <c r="AP346" s="37" t="n">
        <v>123.18</v>
      </c>
      <c r="AQ346" s="37" t="n">
        <v>79.40000000000001</v>
      </c>
      <c r="AR346" s="37" t="n">
        <v>97.61</v>
      </c>
      <c r="AS346" s="37" t="n">
        <v>79.37</v>
      </c>
      <c r="AT346" s="37" t="n">
        <v>132.96</v>
      </c>
      <c r="AU346" s="37" t="n">
        <v>107.43</v>
      </c>
      <c r="AV346" s="37" t="n">
        <v>119.04</v>
      </c>
      <c r="AW346" s="37" t="n">
        <v>98.67</v>
      </c>
      <c r="AX346" s="37" t="n">
        <v>99.03</v>
      </c>
      <c r="AY346" s="37" t="n">
        <v>97.61</v>
      </c>
      <c r="AZ346" s="37" t="n">
        <v>79.37</v>
      </c>
      <c r="BA346" s="37" t="n">
        <v>102.41</v>
      </c>
      <c r="BB346" s="37" t="n">
        <v>89.18000000000001</v>
      </c>
      <c r="BC346" s="37" t="n">
        <v>45.61</v>
      </c>
      <c r="BD346" s="37" t="n">
        <v>80.81999999999999</v>
      </c>
      <c r="BE346" s="37" t="n">
        <v>94.31</v>
      </c>
      <c r="BF346" s="37" t="n">
        <v>92.97</v>
      </c>
      <c r="BG346" s="37" t="n">
        <v>77.12</v>
      </c>
      <c r="BH346" s="37" t="n">
        <v>126.64</v>
      </c>
      <c r="BI346" s="37" t="n">
        <v>82.36</v>
      </c>
      <c r="BJ346" s="37" t="n">
        <v>300.61</v>
      </c>
      <c r="BK346" s="37" t="n">
        <v>100.61</v>
      </c>
      <c r="BL346" s="37" t="n">
        <v>99.06999999999999</v>
      </c>
      <c r="BM346" s="37" t="n">
        <v>92.97</v>
      </c>
      <c r="BN346" s="37" t="n">
        <v>75.61</v>
      </c>
      <c r="BO346" s="37" t="n">
        <v>126.64</v>
      </c>
      <c r="BP346" s="37" t="n">
        <v>135.28</v>
      </c>
      <c r="BQ346" s="37" t="n">
        <v>199.69</v>
      </c>
      <c r="BR346" s="37" t="n">
        <v>94.01000000000001</v>
      </c>
      <c r="BS346" s="37" t="n">
        <v>94.31</v>
      </c>
      <c r="BT346" s="37" t="n">
        <v>92.97</v>
      </c>
      <c r="BU346" s="37" t="n">
        <v>94.45999999999999</v>
      </c>
      <c r="BV346" s="37" t="n">
        <v>101.47</v>
      </c>
      <c r="BW346" s="37" t="n">
        <v>100.23</v>
      </c>
      <c r="BX346" s="37" t="n">
        <v>111.13</v>
      </c>
      <c r="BY346" s="37" t="n">
        <v>94.01000000000001</v>
      </c>
      <c r="BZ346" s="37" t="n">
        <v>96.3</v>
      </c>
      <c r="CA346" s="37" t="n">
        <v>94.76000000000001</v>
      </c>
      <c r="CB346" s="37" t="n">
        <v>75.61</v>
      </c>
      <c r="CC346" s="37" t="n">
        <v>7916.83</v>
      </c>
    </row>
    <row r="347" ht="15.75" customHeight="1" s="57">
      <c r="A347" s="7" t="inlineStr">
        <is>
          <t>NTB</t>
        </is>
      </c>
      <c r="B347" s="7" t="inlineStr">
        <is>
          <t>Lâm Đồng</t>
        </is>
      </c>
      <c r="C347" s="7" t="n">
        <v>20942000</v>
      </c>
      <c r="D347" s="7" t="inlineStr">
        <is>
          <t>(LDO) Di Linh</t>
        </is>
      </c>
      <c r="E347" s="7" t="inlineStr">
        <is>
          <t>Shopee-Bulky</t>
        </is>
      </c>
      <c r="F347" s="36" t="n">
        <v>30.43</v>
      </c>
      <c r="G347" s="36" t="n">
        <v>43.75</v>
      </c>
      <c r="H347" s="36" t="n">
        <v>22.82</v>
      </c>
      <c r="I347" s="36" t="n">
        <v>42.48</v>
      </c>
      <c r="J347" s="36" t="n">
        <v>32.97</v>
      </c>
      <c r="K347" s="28" t="n">
        <v>17.12</v>
      </c>
      <c r="L347" s="36" t="n">
        <v>15.22</v>
      </c>
      <c r="M347" s="36" t="n">
        <v>27.26</v>
      </c>
      <c r="N347" s="36" t="n">
        <v>26</v>
      </c>
      <c r="O347" s="36" t="n">
        <v>24.09</v>
      </c>
      <c r="P347" s="36" t="n">
        <v>24.09</v>
      </c>
      <c r="Q347" s="36" t="n">
        <v>27.26</v>
      </c>
      <c r="R347" s="28" t="n">
        <v>27.9</v>
      </c>
      <c r="S347" s="36" t="n">
        <v>29.8</v>
      </c>
      <c r="T347" s="36" t="n">
        <v>33.6</v>
      </c>
      <c r="U347" s="36" t="n">
        <v>26.66</v>
      </c>
      <c r="V347" s="36" t="n">
        <v>25.7</v>
      </c>
      <c r="W347" s="36" t="n">
        <v>35.33</v>
      </c>
      <c r="X347" s="36" t="n">
        <v>19.98</v>
      </c>
      <c r="Y347" s="28" t="n">
        <v>39.12</v>
      </c>
      <c r="Z347" s="36" t="n">
        <v>30.93</v>
      </c>
      <c r="AA347" s="36" t="n">
        <v>30.05</v>
      </c>
      <c r="AB347" s="36" t="n">
        <v>30.41</v>
      </c>
      <c r="AC347" s="36" t="n">
        <v>31.93</v>
      </c>
      <c r="AD347" s="36" t="n">
        <v>86.04000000000001</v>
      </c>
      <c r="AE347" s="36" t="n">
        <v>51.35</v>
      </c>
      <c r="AF347" s="28" t="n">
        <v>76.56999999999999</v>
      </c>
      <c r="AG347" s="36" t="n">
        <v>43.48</v>
      </c>
      <c r="AH347" s="37" t="n">
        <v>30.57</v>
      </c>
      <c r="AI347" s="37" t="n">
        <v>29.41</v>
      </c>
      <c r="AJ347" s="37" t="n">
        <v>29.17</v>
      </c>
      <c r="AK347" s="37" t="n">
        <v>66.06</v>
      </c>
      <c r="AL347" s="37" t="n">
        <v>33.61</v>
      </c>
      <c r="AM347" s="37" t="n">
        <v>48</v>
      </c>
      <c r="AN347" s="37" t="n">
        <v>30.37</v>
      </c>
      <c r="AO347" s="37" t="n">
        <v>29.77</v>
      </c>
      <c r="AP347" s="37" t="n">
        <v>40.2</v>
      </c>
      <c r="AQ347" s="37" t="n">
        <v>39.96</v>
      </c>
      <c r="AR347" s="37" t="n">
        <v>31.77</v>
      </c>
      <c r="AS347" s="37" t="n">
        <v>17.58</v>
      </c>
      <c r="AT347" s="37" t="n">
        <v>35.93</v>
      </c>
      <c r="AU347" s="37" t="n">
        <v>59.11</v>
      </c>
      <c r="AV347" s="37" t="n">
        <v>61.34</v>
      </c>
      <c r="AW347" s="37" t="n">
        <v>29.85</v>
      </c>
      <c r="AX347" s="37" t="n">
        <v>28.01</v>
      </c>
      <c r="AY347" s="37" t="n">
        <v>30.41</v>
      </c>
      <c r="AZ347" s="37" t="n">
        <v>16.9</v>
      </c>
      <c r="BA347" s="37" t="n">
        <v>32.85</v>
      </c>
      <c r="BB347" s="37" t="n">
        <v>30.53</v>
      </c>
      <c r="BC347" s="37" t="n">
        <v>10.27</v>
      </c>
      <c r="BD347" s="37" t="n">
        <v>26.14</v>
      </c>
      <c r="BE347" s="37" t="n">
        <v>32.13</v>
      </c>
      <c r="BF347" s="37" t="n">
        <v>27.61</v>
      </c>
      <c r="BG347" s="37" t="n">
        <v>22.94</v>
      </c>
      <c r="BH347" s="37" t="n">
        <v>42.04</v>
      </c>
      <c r="BI347" s="37" t="n">
        <v>35.89</v>
      </c>
      <c r="BJ347" s="37" t="n">
        <v>136.87</v>
      </c>
      <c r="BK347" s="37" t="n">
        <v>75.93000000000001</v>
      </c>
      <c r="BL347" s="37" t="n">
        <v>39.12</v>
      </c>
      <c r="BM347" s="37" t="n">
        <v>29.17</v>
      </c>
      <c r="BN347" s="37" t="n">
        <v>22.14</v>
      </c>
      <c r="BO347" s="37" t="n">
        <v>48.87</v>
      </c>
      <c r="BP347" s="37" t="n">
        <v>71.37</v>
      </c>
      <c r="BQ347" s="37" t="n">
        <v>51.63</v>
      </c>
      <c r="BR347" s="37" t="n">
        <v>33.97</v>
      </c>
      <c r="BS347" s="37" t="n">
        <v>32.13</v>
      </c>
      <c r="BT347" s="37" t="n">
        <v>27.61</v>
      </c>
      <c r="BU347" s="37" t="n">
        <v>32.57</v>
      </c>
      <c r="BV347" s="37" t="n">
        <v>44.52</v>
      </c>
      <c r="BW347" s="37" t="n">
        <v>35.89</v>
      </c>
      <c r="BX347" s="37" t="n">
        <v>34.65</v>
      </c>
      <c r="BY347" s="37" t="n">
        <v>33.97</v>
      </c>
      <c r="BZ347" s="37" t="n">
        <v>58.23</v>
      </c>
      <c r="CA347" s="37" t="n">
        <v>33.57</v>
      </c>
      <c r="CB347" s="37" t="n">
        <v>21.86</v>
      </c>
      <c r="CC347" s="37" t="n">
        <v>2764.829999999999</v>
      </c>
    </row>
    <row r="348" ht="15.75" customHeight="1" s="57">
      <c r="A348" s="7" t="inlineStr">
        <is>
          <t>NTB</t>
        </is>
      </c>
      <c r="B348" s="7" t="inlineStr">
        <is>
          <t>Lâm Đồng</t>
        </is>
      </c>
      <c r="C348" s="7" t="n">
        <v>20942000</v>
      </c>
      <c r="D348" s="7" t="inlineStr">
        <is>
          <t>(LDO) Di Linh</t>
        </is>
      </c>
      <c r="E348" s="7" t="inlineStr">
        <is>
          <t>Shopee-Bulky (10-15kg)</t>
        </is>
      </c>
      <c r="F348" s="36" t="n">
        <v>17.57</v>
      </c>
      <c r="G348" s="36" t="n">
        <v>25.25</v>
      </c>
      <c r="H348" s="36" t="n">
        <v>13.18</v>
      </c>
      <c r="I348" s="36" t="n">
        <v>24.52</v>
      </c>
      <c r="J348" s="36" t="n">
        <v>19.03</v>
      </c>
      <c r="K348" s="28" t="n">
        <v>9.880000000000001</v>
      </c>
      <c r="L348" s="36" t="n">
        <v>8.779999999999999</v>
      </c>
      <c r="M348" s="36" t="n">
        <v>15.74</v>
      </c>
      <c r="N348" s="36" t="n">
        <v>15</v>
      </c>
      <c r="O348" s="36" t="n">
        <v>13.91</v>
      </c>
      <c r="P348" s="36" t="n">
        <v>13.91</v>
      </c>
      <c r="Q348" s="36" t="n">
        <v>15.74</v>
      </c>
      <c r="R348" s="28" t="n">
        <v>16.1</v>
      </c>
      <c r="S348" s="36" t="n">
        <v>17.2</v>
      </c>
      <c r="T348" s="36" t="n">
        <v>19.4</v>
      </c>
      <c r="U348" s="36" t="n">
        <v>16.03</v>
      </c>
      <c r="V348" s="36" t="n">
        <v>15.35</v>
      </c>
      <c r="W348" s="36" t="n">
        <v>20.22</v>
      </c>
      <c r="X348" s="36" t="n">
        <v>11.43</v>
      </c>
      <c r="Y348" s="28" t="n">
        <v>22.7</v>
      </c>
      <c r="Z348" s="36" t="n">
        <v>17.7</v>
      </c>
      <c r="AA348" s="36" t="n">
        <v>16.62</v>
      </c>
      <c r="AB348" s="36" t="n">
        <v>17.42</v>
      </c>
      <c r="AC348" s="36" t="n">
        <v>18.02</v>
      </c>
      <c r="AD348" s="36" t="n">
        <v>68.94</v>
      </c>
      <c r="AE348" s="36" t="n">
        <v>28.77</v>
      </c>
      <c r="AF348" s="28" t="n">
        <v>42</v>
      </c>
      <c r="AG348" s="36" t="n">
        <v>25.06</v>
      </c>
      <c r="AH348" s="37" t="n">
        <v>17.46</v>
      </c>
      <c r="AI348" s="37" t="n">
        <v>16.98</v>
      </c>
      <c r="AJ348" s="37" t="n">
        <v>16.46</v>
      </c>
      <c r="AK348" s="37" t="n">
        <v>38.76</v>
      </c>
      <c r="AL348" s="37" t="n">
        <v>18.82</v>
      </c>
      <c r="AM348" s="37" t="n">
        <v>27.85</v>
      </c>
      <c r="AN348" s="37" t="n">
        <v>17.5</v>
      </c>
      <c r="AO348" s="37" t="n">
        <v>16.78</v>
      </c>
      <c r="AP348" s="37" t="n">
        <v>22.1</v>
      </c>
      <c r="AQ348" s="37" t="n">
        <v>22.54</v>
      </c>
      <c r="AR348" s="37" t="n">
        <v>18.26</v>
      </c>
      <c r="AS348" s="37" t="n">
        <v>10.03</v>
      </c>
      <c r="AT348" s="37" t="n">
        <v>20.78</v>
      </c>
      <c r="AU348" s="37" t="n">
        <v>35.17</v>
      </c>
      <c r="AV348" s="37" t="n">
        <v>35.25</v>
      </c>
      <c r="AW348" s="37" t="n">
        <v>16.94</v>
      </c>
      <c r="AX348" s="37" t="n">
        <v>15.71</v>
      </c>
      <c r="AY348" s="37" t="n">
        <v>17.5</v>
      </c>
      <c r="AZ348" s="37" t="n">
        <v>9.630000000000001</v>
      </c>
      <c r="BA348" s="37" t="n">
        <v>18.98</v>
      </c>
      <c r="BB348" s="37" t="n">
        <v>17.62</v>
      </c>
      <c r="BC348" s="37" t="n">
        <v>6.15</v>
      </c>
      <c r="BD348" s="37" t="n">
        <v>14.79</v>
      </c>
      <c r="BE348" s="37" t="n">
        <v>18.42</v>
      </c>
      <c r="BF348" s="37" t="n">
        <v>16.07</v>
      </c>
      <c r="BG348" s="37" t="n">
        <v>13.19</v>
      </c>
      <c r="BH348" s="37" t="n">
        <v>24.62</v>
      </c>
      <c r="BI348" s="37" t="n">
        <v>20.78</v>
      </c>
      <c r="BJ348" s="37" t="n">
        <v>94.95</v>
      </c>
      <c r="BK348" s="37" t="n">
        <v>44.04</v>
      </c>
      <c r="BL348" s="37" t="n">
        <v>22.62</v>
      </c>
      <c r="BM348" s="37" t="n">
        <v>16.7</v>
      </c>
      <c r="BN348" s="37" t="n">
        <v>12.91</v>
      </c>
      <c r="BO348" s="37" t="n">
        <v>28.01</v>
      </c>
      <c r="BP348" s="37" t="n">
        <v>41.52</v>
      </c>
      <c r="BQ348" s="37" t="n">
        <v>30.01</v>
      </c>
      <c r="BR348" s="37" t="n">
        <v>19.5</v>
      </c>
      <c r="BS348" s="37" t="n">
        <v>18.42</v>
      </c>
      <c r="BT348" s="37" t="n">
        <v>16.07</v>
      </c>
      <c r="BU348" s="37" t="n">
        <v>18.62</v>
      </c>
      <c r="BV348" s="37" t="n">
        <v>25.58</v>
      </c>
      <c r="BW348" s="37" t="n">
        <v>20.78</v>
      </c>
      <c r="BX348" s="37" t="n">
        <v>19.82</v>
      </c>
      <c r="BY348" s="37" t="n">
        <v>19.5</v>
      </c>
      <c r="BZ348" s="37" t="n">
        <v>33.73</v>
      </c>
      <c r="CA348" s="37" t="n">
        <v>19.22</v>
      </c>
      <c r="CB348" s="37" t="n">
        <v>12.43</v>
      </c>
      <c r="CC348" s="37" t="n">
        <v>1625.04</v>
      </c>
    </row>
    <row r="349" ht="15.75" customHeight="1" s="57">
      <c r="A349" s="7" t="inlineStr">
        <is>
          <t>NTB</t>
        </is>
      </c>
      <c r="B349" s="7" t="inlineStr">
        <is>
          <t>Lâm Đồng</t>
        </is>
      </c>
      <c r="C349" s="7" t="n">
        <v>20942000</v>
      </c>
      <c r="D349" s="7" t="inlineStr">
        <is>
          <t>(LDO) Di Linh</t>
        </is>
      </c>
      <c r="E349" s="7" t="inlineStr">
        <is>
          <t>TTS</t>
        </is>
      </c>
      <c r="F349" s="36" t="n">
        <v>366</v>
      </c>
      <c r="G349" s="36" t="n">
        <v>247</v>
      </c>
      <c r="H349" s="36" t="n">
        <v>442</v>
      </c>
      <c r="I349" s="36" t="n">
        <v>265</v>
      </c>
      <c r="J349" s="36" t="n">
        <v>254</v>
      </c>
      <c r="K349" s="28" t="n">
        <v>231</v>
      </c>
      <c r="L349" s="36" t="n">
        <v>202</v>
      </c>
      <c r="M349" s="36" t="n">
        <v>180</v>
      </c>
      <c r="N349" s="36" t="n">
        <v>274</v>
      </c>
      <c r="O349" s="36" t="n">
        <v>185</v>
      </c>
      <c r="P349" s="36" t="n">
        <v>290</v>
      </c>
      <c r="Q349" s="36" t="n">
        <v>218</v>
      </c>
      <c r="R349" s="28" t="n">
        <v>236</v>
      </c>
      <c r="S349" s="36" t="n">
        <v>338</v>
      </c>
      <c r="T349" s="36" t="n">
        <v>194</v>
      </c>
      <c r="U349" s="36" t="n">
        <v>183.39</v>
      </c>
      <c r="V349" s="36" t="n">
        <v>180.23</v>
      </c>
      <c r="W349" s="36" t="n">
        <v>176.13</v>
      </c>
      <c r="X349" s="36" t="n">
        <v>142.25</v>
      </c>
      <c r="Y349" s="28" t="n">
        <v>206.53</v>
      </c>
      <c r="Z349" s="36" t="n">
        <v>175.78</v>
      </c>
      <c r="AA349" s="36" t="n">
        <v>195.04</v>
      </c>
      <c r="AB349" s="36" t="n">
        <v>216.77</v>
      </c>
      <c r="AC349" s="36" t="n">
        <v>228.27</v>
      </c>
      <c r="AD349" s="36" t="n">
        <v>234.05</v>
      </c>
      <c r="AE349" s="36" t="n">
        <v>165.23</v>
      </c>
      <c r="AF349" s="28" t="n">
        <v>213.55</v>
      </c>
      <c r="AG349" s="36" t="n">
        <v>179.21</v>
      </c>
      <c r="AH349" s="37" t="n">
        <v>177.23</v>
      </c>
      <c r="AI349" s="37" t="n">
        <v>202.79</v>
      </c>
      <c r="AJ349" s="37" t="n">
        <v>218.01</v>
      </c>
      <c r="AK349" s="37" t="n">
        <v>214.93</v>
      </c>
      <c r="AL349" s="37" t="n">
        <v>153.3</v>
      </c>
      <c r="AM349" s="37" t="n">
        <v>210.41</v>
      </c>
      <c r="AN349" s="37" t="n">
        <v>181.56</v>
      </c>
      <c r="AO349" s="37" t="n">
        <v>180.61</v>
      </c>
      <c r="AP349" s="37" t="n">
        <v>175.04</v>
      </c>
      <c r="AQ349" s="37" t="n">
        <v>176.58</v>
      </c>
      <c r="AR349" s="37" t="n">
        <v>173.65</v>
      </c>
      <c r="AS349" s="37" t="n">
        <v>142.98</v>
      </c>
      <c r="AT349" s="37" t="n">
        <v>227.47</v>
      </c>
      <c r="AU349" s="37" t="n">
        <v>205.8</v>
      </c>
      <c r="AV349" s="37" t="n">
        <v>183.09</v>
      </c>
      <c r="AW349" s="37" t="n">
        <v>172.92</v>
      </c>
      <c r="AX349" s="37" t="n">
        <v>171.61</v>
      </c>
      <c r="AY349" s="37" t="n">
        <v>171.38</v>
      </c>
      <c r="AZ349" s="37" t="n">
        <v>142.98</v>
      </c>
      <c r="BA349" s="37" t="n">
        <v>204.92</v>
      </c>
      <c r="BB349" s="37" t="n">
        <v>191.61</v>
      </c>
      <c r="BC349" s="37" t="n">
        <v>114.05</v>
      </c>
      <c r="BD349" s="37" t="n">
        <v>165.24</v>
      </c>
      <c r="BE349" s="37" t="n">
        <v>194.46</v>
      </c>
      <c r="BF349" s="37" t="n">
        <v>189.11</v>
      </c>
      <c r="BG349" s="37" t="n">
        <v>153.6</v>
      </c>
      <c r="BH349" s="37" t="n">
        <v>227.03</v>
      </c>
      <c r="BI349" s="37" t="n">
        <v>191.61</v>
      </c>
      <c r="BJ349" s="37" t="n">
        <v>177.83</v>
      </c>
      <c r="BK349" s="37" t="n">
        <v>194.24</v>
      </c>
      <c r="BL349" s="37" t="n">
        <v>194.46</v>
      </c>
      <c r="BM349" s="37" t="n">
        <v>189.11</v>
      </c>
      <c r="BN349" s="37" t="n">
        <v>153.6</v>
      </c>
      <c r="BO349" s="37" t="n">
        <v>227.03</v>
      </c>
      <c r="BP349" s="37" t="n">
        <v>191.61</v>
      </c>
      <c r="BQ349" s="37" t="n">
        <v>189.48</v>
      </c>
      <c r="BR349" s="37" t="n">
        <v>194.24</v>
      </c>
      <c r="BS349" s="37" t="n">
        <v>194.46</v>
      </c>
      <c r="BT349" s="37" t="n">
        <v>189.11</v>
      </c>
      <c r="BU349" s="37" t="n">
        <v>153.6</v>
      </c>
      <c r="BV349" s="37" t="n">
        <v>227.03</v>
      </c>
      <c r="BW349" s="37" t="n">
        <v>191.61</v>
      </c>
      <c r="BX349" s="37" t="n">
        <v>189.48</v>
      </c>
      <c r="BY349" s="37" t="n">
        <v>194.24</v>
      </c>
      <c r="BZ349" s="37" t="n">
        <v>194.46</v>
      </c>
      <c r="CA349" s="37" t="n">
        <v>189.11</v>
      </c>
      <c r="CB349" s="37" t="n">
        <v>153.6</v>
      </c>
      <c r="CC349" s="37" t="n">
        <v>15120.7</v>
      </c>
    </row>
    <row r="350" ht="15.75" customHeight="1" s="57">
      <c r="A350" s="7" t="inlineStr">
        <is>
          <t>NTB</t>
        </is>
      </c>
      <c r="B350" s="7" t="inlineStr">
        <is>
          <t>Lâm Đồng</t>
        </is>
      </c>
      <c r="C350" s="7" t="n">
        <v>20942000</v>
      </c>
      <c r="D350" s="7" t="inlineStr">
        <is>
          <t>(LDO) Di Linh</t>
        </is>
      </c>
      <c r="E350" s="7" t="inlineStr">
        <is>
          <t>TTS-Bulky</t>
        </is>
      </c>
      <c r="F350" s="36" t="n">
        <v>5</v>
      </c>
      <c r="G350" s="36" t="n">
        <v>1</v>
      </c>
      <c r="H350" s="36" t="n">
        <v>4</v>
      </c>
      <c r="I350" s="36" t="n">
        <v>9</v>
      </c>
      <c r="J350" s="36" t="n">
        <v>7</v>
      </c>
      <c r="K350" s="28" t="n">
        <v>9</v>
      </c>
      <c r="L350" s="36" t="n">
        <v>3</v>
      </c>
      <c r="M350" s="36" t="n">
        <v>3</v>
      </c>
      <c r="N350" s="36" t="n">
        <v>8</v>
      </c>
      <c r="O350" s="36" t="n">
        <v>5</v>
      </c>
      <c r="P350" s="36" t="n">
        <v>1</v>
      </c>
      <c r="Q350" s="36" t="n">
        <v>3</v>
      </c>
      <c r="R350" s="28" t="n">
        <v>1</v>
      </c>
      <c r="S350" s="36" t="n">
        <v>1</v>
      </c>
      <c r="T350" s="36" t="n">
        <v>1</v>
      </c>
      <c r="U350" s="36" t="n">
        <v>12.6</v>
      </c>
      <c r="V350" s="36" t="n">
        <v>12.76</v>
      </c>
      <c r="W350" s="36" t="n">
        <v>6.02</v>
      </c>
      <c r="X350" s="36" t="n">
        <v>4.33</v>
      </c>
      <c r="Y350" s="28" t="n">
        <v>7.86</v>
      </c>
      <c r="Z350" s="36" t="n">
        <v>6.26</v>
      </c>
      <c r="AA350" s="36" t="n">
        <v>6.66</v>
      </c>
      <c r="AB350" s="36" t="n">
        <v>6.9</v>
      </c>
      <c r="AC350" s="36" t="n">
        <v>7.3</v>
      </c>
      <c r="AD350" s="36" t="n">
        <v>10.91</v>
      </c>
      <c r="AE350" s="36" t="n">
        <v>4.89</v>
      </c>
      <c r="AF350" s="28" t="n">
        <v>7.78</v>
      </c>
      <c r="AG350" s="36" t="n">
        <v>5.94</v>
      </c>
      <c r="AH350" s="37" t="n">
        <v>5.94</v>
      </c>
      <c r="AI350" s="37" t="n">
        <v>6.02</v>
      </c>
      <c r="AJ350" s="37" t="n">
        <v>6.82</v>
      </c>
      <c r="AK350" s="37" t="n">
        <v>6.5</v>
      </c>
      <c r="AL350" s="37" t="n">
        <v>4.65</v>
      </c>
      <c r="AM350" s="37" t="n">
        <v>7.78</v>
      </c>
      <c r="AN350" s="37" t="n">
        <v>6.02</v>
      </c>
      <c r="AO350" s="37" t="n">
        <v>5.94</v>
      </c>
      <c r="AP350" s="37" t="n">
        <v>5.94</v>
      </c>
      <c r="AQ350" s="37" t="n">
        <v>6.5</v>
      </c>
      <c r="AR350" s="37" t="n">
        <v>6.02</v>
      </c>
      <c r="AS350" s="37" t="n">
        <v>4.49</v>
      </c>
      <c r="AT350" s="37" t="n">
        <v>8.1</v>
      </c>
      <c r="AU350" s="37" t="n">
        <v>6.9</v>
      </c>
      <c r="AV350" s="37" t="n">
        <v>6.1</v>
      </c>
      <c r="AW350" s="37" t="n">
        <v>5.86</v>
      </c>
      <c r="AX350" s="37" t="n">
        <v>6.5</v>
      </c>
      <c r="AY350" s="37" t="n">
        <v>5.94</v>
      </c>
      <c r="AZ350" s="37" t="n">
        <v>4.49</v>
      </c>
      <c r="BA350" s="37" t="n">
        <v>6.82</v>
      </c>
      <c r="BB350" s="37" t="n">
        <v>1.6</v>
      </c>
      <c r="BC350" s="37" t="n">
        <v>1.04</v>
      </c>
      <c r="BD350" s="37" t="n">
        <v>1.28</v>
      </c>
      <c r="BE350" s="37" t="n">
        <v>1.68</v>
      </c>
      <c r="BF350" s="37" t="n">
        <v>1.68</v>
      </c>
      <c r="BG350" s="37" t="n">
        <v>1.12</v>
      </c>
      <c r="BH350" s="37" t="n">
        <v>2.17</v>
      </c>
      <c r="BI350" s="37" t="n">
        <v>1.68</v>
      </c>
      <c r="BJ350" s="37" t="n">
        <v>2.73</v>
      </c>
      <c r="BK350" s="37" t="n">
        <v>1.77</v>
      </c>
      <c r="BL350" s="37" t="n">
        <v>1.68</v>
      </c>
      <c r="BM350" s="37" t="n">
        <v>1.68</v>
      </c>
      <c r="BN350" s="37" t="n">
        <v>1.28</v>
      </c>
      <c r="BO350" s="37" t="n">
        <v>2.49</v>
      </c>
      <c r="BP350" s="37" t="n">
        <v>1.93</v>
      </c>
      <c r="BQ350" s="37" t="n">
        <v>1.77</v>
      </c>
      <c r="BR350" s="37" t="n">
        <v>1.77</v>
      </c>
      <c r="BS350" s="37" t="n">
        <v>1.68</v>
      </c>
      <c r="BT350" s="37" t="n">
        <v>1.68</v>
      </c>
      <c r="BU350" s="37" t="n">
        <v>1.12</v>
      </c>
      <c r="BV350" s="37" t="n">
        <v>1.85</v>
      </c>
      <c r="BW350" s="37" t="n">
        <v>1.68</v>
      </c>
      <c r="BX350" s="37" t="n">
        <v>1.77</v>
      </c>
      <c r="BY350" s="37" t="n">
        <v>1.77</v>
      </c>
      <c r="BZ350" s="37" t="n">
        <v>1.68</v>
      </c>
      <c r="CA350" s="37" t="n">
        <v>1.68</v>
      </c>
      <c r="CB350" s="37" t="n">
        <v>1.12</v>
      </c>
      <c r="CC350" s="37" t="n">
        <v>329.9200000000001</v>
      </c>
    </row>
    <row r="351" ht="15.75" customHeight="1" s="57">
      <c r="A351" s="7" t="inlineStr">
        <is>
          <t>NTB</t>
        </is>
      </c>
      <c r="B351" s="7" t="inlineStr">
        <is>
          <t>Lâm Đồng</t>
        </is>
      </c>
      <c r="C351" s="7" t="n">
        <v>21126000</v>
      </c>
      <c r="D351" s="7" t="inlineStr">
        <is>
          <t>(LDO) Xuân Hương - Đà Lạt</t>
        </is>
      </c>
      <c r="E351" s="7" t="inlineStr">
        <is>
          <t>SME</t>
        </is>
      </c>
      <c r="F351" s="36" t="n">
        <v>348</v>
      </c>
      <c r="G351" s="36" t="n">
        <v>272</v>
      </c>
      <c r="H351" s="36" t="n">
        <v>326</v>
      </c>
      <c r="I351" s="36" t="n">
        <v>254</v>
      </c>
      <c r="J351" s="36" t="n">
        <v>174</v>
      </c>
      <c r="K351" s="28" t="n">
        <v>417</v>
      </c>
      <c r="L351" s="36" t="n">
        <v>251</v>
      </c>
      <c r="M351" s="36" t="n">
        <v>262</v>
      </c>
      <c r="N351" s="36" t="n">
        <v>311</v>
      </c>
      <c r="O351" s="36" t="n">
        <v>282</v>
      </c>
      <c r="P351" s="36" t="n">
        <v>222</v>
      </c>
      <c r="Q351" s="36" t="n">
        <v>219</v>
      </c>
      <c r="R351" s="28" t="n">
        <v>310</v>
      </c>
      <c r="S351" s="36" t="n">
        <v>273</v>
      </c>
      <c r="T351" s="36" t="n">
        <v>232</v>
      </c>
      <c r="U351" s="36" t="n">
        <v>330.94</v>
      </c>
      <c r="V351" s="36" t="n">
        <v>342.82</v>
      </c>
      <c r="W351" s="36" t="n">
        <v>333.3</v>
      </c>
      <c r="X351" s="36" t="n">
        <v>272.63</v>
      </c>
      <c r="Y351" s="28" t="n">
        <v>369.36</v>
      </c>
      <c r="Z351" s="36" t="n">
        <v>340.3</v>
      </c>
      <c r="AA351" s="36" t="n">
        <v>331.91</v>
      </c>
      <c r="AB351" s="36" t="n">
        <v>330.94</v>
      </c>
      <c r="AC351" s="36" t="n">
        <v>342.82</v>
      </c>
      <c r="AD351" s="36" t="n">
        <v>344.56</v>
      </c>
      <c r="AE351" s="36" t="n">
        <v>272.63</v>
      </c>
      <c r="AF351" s="28" t="n">
        <v>369.36</v>
      </c>
      <c r="AG351" s="36" t="n">
        <v>340.3</v>
      </c>
      <c r="AH351" s="37" t="n">
        <v>331.91</v>
      </c>
      <c r="AI351" s="37" t="n">
        <v>330.94</v>
      </c>
      <c r="AJ351" s="37" t="n">
        <v>342.82</v>
      </c>
      <c r="AK351" s="37" t="n">
        <v>333.3</v>
      </c>
      <c r="AL351" s="37" t="n">
        <v>272.63</v>
      </c>
      <c r="AM351" s="37" t="n">
        <v>369.36</v>
      </c>
      <c r="AN351" s="37" t="n">
        <v>340.3</v>
      </c>
      <c r="AO351" s="37" t="n">
        <v>331.91</v>
      </c>
      <c r="AP351" s="37" t="n">
        <v>330.94</v>
      </c>
      <c r="AQ351" s="37" t="n">
        <v>342.82</v>
      </c>
      <c r="AR351" s="37" t="n">
        <v>333.3</v>
      </c>
      <c r="AS351" s="37" t="n">
        <v>272.63</v>
      </c>
      <c r="AT351" s="37" t="n">
        <v>369.36</v>
      </c>
      <c r="AU351" s="37" t="n">
        <v>340.3</v>
      </c>
      <c r="AV351" s="37" t="n">
        <v>331.91</v>
      </c>
      <c r="AW351" s="37" t="n">
        <v>330.94</v>
      </c>
      <c r="AX351" s="37" t="n">
        <v>342.82</v>
      </c>
      <c r="AY351" s="37" t="n">
        <v>333.3</v>
      </c>
      <c r="AZ351" s="37" t="n">
        <v>272.63</v>
      </c>
      <c r="BA351" s="37" t="n">
        <v>332.28</v>
      </c>
      <c r="BB351" s="37" t="n">
        <v>298.47</v>
      </c>
      <c r="BC351" s="37" t="n">
        <v>188.56</v>
      </c>
      <c r="BD351" s="37" t="n">
        <v>187.99</v>
      </c>
      <c r="BE351" s="37" t="n">
        <v>317.81</v>
      </c>
      <c r="BF351" s="37" t="n">
        <v>309.66</v>
      </c>
      <c r="BG351" s="37" t="n">
        <v>281.36</v>
      </c>
      <c r="BH351" s="37" t="n">
        <v>381.08</v>
      </c>
      <c r="BI351" s="37" t="n">
        <v>350.95</v>
      </c>
      <c r="BJ351" s="37" t="n">
        <v>353.99</v>
      </c>
      <c r="BK351" s="37" t="n">
        <v>341.23</v>
      </c>
      <c r="BL351" s="37" t="n">
        <v>353.56</v>
      </c>
      <c r="BM351" s="37" t="n">
        <v>343.59</v>
      </c>
      <c r="BN351" s="37" t="n">
        <v>281.36</v>
      </c>
      <c r="BO351" s="37" t="n">
        <v>381.08</v>
      </c>
      <c r="BP351" s="37" t="n">
        <v>350.95</v>
      </c>
      <c r="BQ351" s="37" t="n">
        <v>342.16</v>
      </c>
      <c r="BR351" s="37" t="n">
        <v>341.23</v>
      </c>
      <c r="BS351" s="37" t="n">
        <v>353.56</v>
      </c>
      <c r="BT351" s="37" t="n">
        <v>343.59</v>
      </c>
      <c r="BU351" s="37" t="n">
        <v>281.36</v>
      </c>
      <c r="BV351" s="37" t="n">
        <v>381.08</v>
      </c>
      <c r="BW351" s="37" t="n">
        <v>350.95</v>
      </c>
      <c r="BX351" s="37" t="n">
        <v>342.16</v>
      </c>
      <c r="BY351" s="37" t="n">
        <v>341.23</v>
      </c>
      <c r="BZ351" s="37" t="n">
        <v>353.56</v>
      </c>
      <c r="CA351" s="37" t="n">
        <v>343.59</v>
      </c>
      <c r="CB351" s="37" t="n">
        <v>281.36</v>
      </c>
      <c r="CC351" s="37" t="n">
        <v>23838.74000000001</v>
      </c>
    </row>
    <row r="352" ht="15.75" customHeight="1" s="57">
      <c r="A352" s="7" t="inlineStr">
        <is>
          <t>NTB</t>
        </is>
      </c>
      <c r="B352" s="7" t="inlineStr">
        <is>
          <t>Lâm Đồng</t>
        </is>
      </c>
      <c r="C352" s="7" t="n">
        <v>21126000</v>
      </c>
      <c r="D352" s="7" t="inlineStr">
        <is>
          <t>(LDO) Xuân Hương - Đà Lạt</t>
        </is>
      </c>
      <c r="E352" s="7" t="inlineStr">
        <is>
          <t>SME-Bulky</t>
        </is>
      </c>
      <c r="F352" s="36" t="n">
        <v>12</v>
      </c>
      <c r="G352" s="36" t="n">
        <v>9</v>
      </c>
      <c r="H352" s="36" t="n">
        <v>18</v>
      </c>
      <c r="I352" s="36" t="n">
        <v>9</v>
      </c>
      <c r="J352" s="36" t="n">
        <v>7</v>
      </c>
      <c r="K352" s="28" t="n">
        <v>8</v>
      </c>
      <c r="L352" s="36" t="n">
        <v>12</v>
      </c>
      <c r="M352" s="36" t="n">
        <v>17</v>
      </c>
      <c r="N352" s="36" t="n">
        <v>17</v>
      </c>
      <c r="O352" s="36" t="n">
        <v>16</v>
      </c>
      <c r="P352" s="36" t="n">
        <v>6</v>
      </c>
      <c r="Q352" s="36" t="n">
        <v>13</v>
      </c>
      <c r="R352" s="28" t="n">
        <v>15</v>
      </c>
      <c r="S352" s="36" t="n">
        <v>4</v>
      </c>
      <c r="T352" s="36" t="n">
        <v>6</v>
      </c>
      <c r="U352" s="36" t="n">
        <v>10.95</v>
      </c>
      <c r="V352" s="36" t="n">
        <v>10.83</v>
      </c>
      <c r="W352" s="36" t="n">
        <v>10.24</v>
      </c>
      <c r="X352" s="36" t="n">
        <v>6.82</v>
      </c>
      <c r="Y352" s="28" t="n">
        <v>12.23</v>
      </c>
      <c r="Z352" s="36" t="n">
        <v>11.69</v>
      </c>
      <c r="AA352" s="36" t="n">
        <v>11.52</v>
      </c>
      <c r="AB352" s="36" t="n">
        <v>10.95</v>
      </c>
      <c r="AC352" s="36" t="n">
        <v>10.83</v>
      </c>
      <c r="AD352" s="36" t="n">
        <v>9.619999999999999</v>
      </c>
      <c r="AE352" s="36" t="n">
        <v>6.82</v>
      </c>
      <c r="AF352" s="28" t="n">
        <v>12.23</v>
      </c>
      <c r="AG352" s="36" t="n">
        <v>11.69</v>
      </c>
      <c r="AH352" s="37" t="n">
        <v>11.52</v>
      </c>
      <c r="AI352" s="37" t="n">
        <v>10.95</v>
      </c>
      <c r="AJ352" s="37" t="n">
        <v>10.83</v>
      </c>
      <c r="AK352" s="37" t="n">
        <v>10.24</v>
      </c>
      <c r="AL352" s="37" t="n">
        <v>6.82</v>
      </c>
      <c r="AM352" s="37" t="n">
        <v>12.23</v>
      </c>
      <c r="AN352" s="37" t="n">
        <v>11.69</v>
      </c>
      <c r="AO352" s="37" t="n">
        <v>11.52</v>
      </c>
      <c r="AP352" s="37" t="n">
        <v>10.95</v>
      </c>
      <c r="AQ352" s="37" t="n">
        <v>10.83</v>
      </c>
      <c r="AR352" s="37" t="n">
        <v>10.24</v>
      </c>
      <c r="AS352" s="37" t="n">
        <v>6.82</v>
      </c>
      <c r="AT352" s="37" t="n">
        <v>12.23</v>
      </c>
      <c r="AU352" s="37" t="n">
        <v>11.69</v>
      </c>
      <c r="AV352" s="37" t="n">
        <v>11.52</v>
      </c>
      <c r="AW352" s="37" t="n">
        <v>10.95</v>
      </c>
      <c r="AX352" s="37" t="n">
        <v>10.83</v>
      </c>
      <c r="AY352" s="37" t="n">
        <v>10.24</v>
      </c>
      <c r="AZ352" s="37" t="n">
        <v>6.82</v>
      </c>
      <c r="BA352" s="37" t="n">
        <v>12.28</v>
      </c>
      <c r="BB352" s="37" t="n">
        <v>6.46</v>
      </c>
      <c r="BC352" s="37" t="n">
        <v>3.28</v>
      </c>
      <c r="BD352" s="37" t="n">
        <v>2.97</v>
      </c>
      <c r="BE352" s="37" t="n">
        <v>5.65</v>
      </c>
      <c r="BF352" s="37" t="n">
        <v>5.25</v>
      </c>
      <c r="BG352" s="37" t="n">
        <v>4.09</v>
      </c>
      <c r="BH352" s="37" t="n">
        <v>7.1</v>
      </c>
      <c r="BI352" s="37" t="n">
        <v>7.05</v>
      </c>
      <c r="BJ352" s="37" t="n">
        <v>6.1</v>
      </c>
      <c r="BK352" s="37" t="n">
        <v>6.48</v>
      </c>
      <c r="BL352" s="37" t="n">
        <v>6.51</v>
      </c>
      <c r="BM352" s="37" t="n">
        <v>6.06</v>
      </c>
      <c r="BN352" s="37" t="n">
        <v>4.09</v>
      </c>
      <c r="BO352" s="37" t="n">
        <v>7.1</v>
      </c>
      <c r="BP352" s="37" t="n">
        <v>7.05</v>
      </c>
      <c r="BQ352" s="37" t="n">
        <v>6.72</v>
      </c>
      <c r="BR352" s="37" t="n">
        <v>6.48</v>
      </c>
      <c r="BS352" s="37" t="n">
        <v>6.51</v>
      </c>
      <c r="BT352" s="37" t="n">
        <v>6.06</v>
      </c>
      <c r="BU352" s="37" t="n">
        <v>4.09</v>
      </c>
      <c r="BV352" s="37" t="n">
        <v>7.1</v>
      </c>
      <c r="BW352" s="37" t="n">
        <v>7.05</v>
      </c>
      <c r="BX352" s="37" t="n">
        <v>6.72</v>
      </c>
      <c r="BY352" s="37" t="n">
        <v>6.48</v>
      </c>
      <c r="BZ352" s="37" t="n">
        <v>6.51</v>
      </c>
      <c r="CA352" s="37" t="n">
        <v>6.06</v>
      </c>
      <c r="CB352" s="37" t="n">
        <v>4.09</v>
      </c>
      <c r="CC352" s="37" t="n">
        <v>675.7299999999999</v>
      </c>
    </row>
    <row r="353" ht="15.75" customHeight="1" s="57">
      <c r="A353" s="7" t="inlineStr">
        <is>
          <t>NTB</t>
        </is>
      </c>
      <c r="B353" s="7" t="inlineStr">
        <is>
          <t>Lâm Đồng</t>
        </is>
      </c>
      <c r="C353" s="7" t="n">
        <v>21126000</v>
      </c>
      <c r="D353" s="7" t="inlineStr">
        <is>
          <t>(LDO) Xuân Hương - Đà Lạt</t>
        </is>
      </c>
      <c r="E353" s="7" t="inlineStr">
        <is>
          <t>Shopee</t>
        </is>
      </c>
      <c r="F353" s="36" t="n">
        <v>351</v>
      </c>
      <c r="G353" s="36" t="n">
        <v>267</v>
      </c>
      <c r="H353" s="36" t="n">
        <v>374</v>
      </c>
      <c r="I353" s="36" t="n">
        <v>271</v>
      </c>
      <c r="J353" s="36" t="n">
        <v>146</v>
      </c>
      <c r="K353" s="28" t="n">
        <v>250</v>
      </c>
      <c r="L353" s="36" t="n">
        <v>117</v>
      </c>
      <c r="M353" s="36" t="n">
        <v>114</v>
      </c>
      <c r="N353" s="36" t="n">
        <v>125</v>
      </c>
      <c r="O353" s="36" t="n">
        <v>77</v>
      </c>
      <c r="P353" s="36" t="n">
        <v>33</v>
      </c>
      <c r="Q353" s="36" t="n">
        <v>34</v>
      </c>
      <c r="R353" s="28" t="n">
        <v>72</v>
      </c>
      <c r="S353" s="36" t="n">
        <v>175</v>
      </c>
      <c r="T353" s="36" t="n">
        <v>212</v>
      </c>
      <c r="U353" s="36" t="n">
        <v>159.29</v>
      </c>
      <c r="V353" s="36" t="n">
        <v>159.86</v>
      </c>
      <c r="W353" s="36" t="n">
        <v>157.57</v>
      </c>
      <c r="X353" s="36" t="n">
        <v>128.14</v>
      </c>
      <c r="Y353" s="28" t="n">
        <v>214.64</v>
      </c>
      <c r="Z353" s="36" t="n">
        <v>169.92</v>
      </c>
      <c r="AA353" s="36" t="n">
        <v>233.68</v>
      </c>
      <c r="AB353" s="36" t="n">
        <v>162.58</v>
      </c>
      <c r="AC353" s="36" t="n">
        <v>131.19</v>
      </c>
      <c r="AD353" s="36" t="n">
        <v>341.94</v>
      </c>
      <c r="AE353" s="36" t="n">
        <v>137.23</v>
      </c>
      <c r="AF353" s="28" t="n">
        <v>244.65</v>
      </c>
      <c r="AG353" s="36" t="n">
        <v>178.4</v>
      </c>
      <c r="AH353" s="37" t="n">
        <v>188.34</v>
      </c>
      <c r="AI353" s="37" t="n">
        <v>159.29</v>
      </c>
      <c r="AJ353" s="37" t="n">
        <v>159.86</v>
      </c>
      <c r="AK353" s="37" t="n">
        <v>212.62</v>
      </c>
      <c r="AL353" s="37" t="n">
        <v>230.12</v>
      </c>
      <c r="AM353" s="37" t="n">
        <v>214.64</v>
      </c>
      <c r="AN353" s="37" t="n">
        <v>169.92</v>
      </c>
      <c r="AO353" s="37" t="n">
        <v>188.34</v>
      </c>
      <c r="AP353" s="37" t="n">
        <v>198.86</v>
      </c>
      <c r="AQ353" s="37" t="n">
        <v>128.17</v>
      </c>
      <c r="AR353" s="37" t="n">
        <v>157.57</v>
      </c>
      <c r="AS353" s="37" t="n">
        <v>128.14</v>
      </c>
      <c r="AT353" s="37" t="n">
        <v>214.64</v>
      </c>
      <c r="AU353" s="37" t="n">
        <v>173.43</v>
      </c>
      <c r="AV353" s="37" t="n">
        <v>192.17</v>
      </c>
      <c r="AW353" s="37" t="n">
        <v>159.29</v>
      </c>
      <c r="AX353" s="37" t="n">
        <v>159.86</v>
      </c>
      <c r="AY353" s="37" t="n">
        <v>157.57</v>
      </c>
      <c r="AZ353" s="37" t="n">
        <v>128.14</v>
      </c>
      <c r="BA353" s="37" t="n">
        <v>165.33</v>
      </c>
      <c r="BB353" s="37" t="n">
        <v>143.96</v>
      </c>
      <c r="BC353" s="37" t="n">
        <v>73.62</v>
      </c>
      <c r="BD353" s="37" t="n">
        <v>130.47</v>
      </c>
      <c r="BE353" s="37" t="n">
        <v>152.26</v>
      </c>
      <c r="BF353" s="37" t="n">
        <v>150.08</v>
      </c>
      <c r="BG353" s="37" t="n">
        <v>124.5</v>
      </c>
      <c r="BH353" s="37" t="n">
        <v>204.44</v>
      </c>
      <c r="BI353" s="37" t="n">
        <v>132.95</v>
      </c>
      <c r="BJ353" s="37" t="n">
        <v>485.29</v>
      </c>
      <c r="BK353" s="37" t="n">
        <v>162.43</v>
      </c>
      <c r="BL353" s="37" t="n">
        <v>159.94</v>
      </c>
      <c r="BM353" s="37" t="n">
        <v>150.08</v>
      </c>
      <c r="BN353" s="37" t="n">
        <v>122.06</v>
      </c>
      <c r="BO353" s="37" t="n">
        <v>204.44</v>
      </c>
      <c r="BP353" s="37" t="n">
        <v>218.39</v>
      </c>
      <c r="BQ353" s="37" t="n">
        <v>322.37</v>
      </c>
      <c r="BR353" s="37" t="n">
        <v>151.76</v>
      </c>
      <c r="BS353" s="37" t="n">
        <v>152.26</v>
      </c>
      <c r="BT353" s="37" t="n">
        <v>150.08</v>
      </c>
      <c r="BU353" s="37" t="n">
        <v>152.49</v>
      </c>
      <c r="BV353" s="37" t="n">
        <v>163.8</v>
      </c>
      <c r="BW353" s="37" t="n">
        <v>161.81</v>
      </c>
      <c r="BX353" s="37" t="n">
        <v>179.4</v>
      </c>
      <c r="BY353" s="37" t="n">
        <v>151.76</v>
      </c>
      <c r="BZ353" s="37" t="n">
        <v>155.47</v>
      </c>
      <c r="CA353" s="37" t="n">
        <v>152.98</v>
      </c>
      <c r="CB353" s="37" t="n">
        <v>122.06</v>
      </c>
      <c r="CC353" s="37" t="n">
        <v>13154.54</v>
      </c>
    </row>
    <row r="354" ht="15.75" customHeight="1" s="57">
      <c r="A354" s="7" t="inlineStr">
        <is>
          <t>NTB</t>
        </is>
      </c>
      <c r="B354" s="7" t="inlineStr">
        <is>
          <t>Lâm Đồng</t>
        </is>
      </c>
      <c r="C354" s="7" t="n">
        <v>21126000</v>
      </c>
      <c r="D354" s="7" t="inlineStr">
        <is>
          <t>(LDO) Xuân Hương - Đà Lạt</t>
        </is>
      </c>
      <c r="E354" s="7" t="inlineStr">
        <is>
          <t>Shopee-Bulky</t>
        </is>
      </c>
      <c r="F354" s="36" t="n">
        <v>27.26</v>
      </c>
      <c r="G354" s="36" t="n">
        <v>45.65</v>
      </c>
      <c r="H354" s="36" t="n">
        <v>31.7</v>
      </c>
      <c r="I354" s="36" t="n">
        <v>26.63</v>
      </c>
      <c r="J354" s="36" t="n">
        <v>26</v>
      </c>
      <c r="K354" s="28" t="n">
        <v>19.66</v>
      </c>
      <c r="L354" s="36" t="n">
        <v>22.19</v>
      </c>
      <c r="M354" s="36" t="n">
        <v>41.85</v>
      </c>
      <c r="N354" s="36" t="n">
        <v>46.92</v>
      </c>
      <c r="O354" s="36" t="n">
        <v>23.46</v>
      </c>
      <c r="P354" s="36" t="n">
        <v>18.39</v>
      </c>
      <c r="Q354" s="36" t="n">
        <v>27.9</v>
      </c>
      <c r="R354" s="28" t="n">
        <v>29.17</v>
      </c>
      <c r="S354" s="36" t="n">
        <v>28.53</v>
      </c>
      <c r="T354" s="36" t="n">
        <v>29.17</v>
      </c>
      <c r="U354" s="36" t="n">
        <v>27.89</v>
      </c>
      <c r="V354" s="36" t="n">
        <v>26.89</v>
      </c>
      <c r="W354" s="36" t="n">
        <v>36.96</v>
      </c>
      <c r="X354" s="36" t="n">
        <v>20.91</v>
      </c>
      <c r="Y354" s="28" t="n">
        <v>40.94</v>
      </c>
      <c r="Z354" s="36" t="n">
        <v>32.37</v>
      </c>
      <c r="AA354" s="36" t="n">
        <v>31.45</v>
      </c>
      <c r="AB354" s="36" t="n">
        <v>31.82</v>
      </c>
      <c r="AC354" s="36" t="n">
        <v>33.41</v>
      </c>
      <c r="AD354" s="36" t="n">
        <v>90.03</v>
      </c>
      <c r="AE354" s="36" t="n">
        <v>53.73</v>
      </c>
      <c r="AF354" s="28" t="n">
        <v>80.12</v>
      </c>
      <c r="AG354" s="36" t="n">
        <v>45.5</v>
      </c>
      <c r="AH354" s="37" t="n">
        <v>31.99</v>
      </c>
      <c r="AI354" s="37" t="n">
        <v>30.78</v>
      </c>
      <c r="AJ354" s="37" t="n">
        <v>30.53</v>
      </c>
      <c r="AK354" s="37" t="n">
        <v>69.12</v>
      </c>
      <c r="AL354" s="37" t="n">
        <v>35.17</v>
      </c>
      <c r="AM354" s="37" t="n">
        <v>50.22</v>
      </c>
      <c r="AN354" s="37" t="n">
        <v>31.78</v>
      </c>
      <c r="AO354" s="37" t="n">
        <v>31.15</v>
      </c>
      <c r="AP354" s="37" t="n">
        <v>42.07</v>
      </c>
      <c r="AQ354" s="37" t="n">
        <v>41.82</v>
      </c>
      <c r="AR354" s="37" t="n">
        <v>33.24</v>
      </c>
      <c r="AS354" s="37" t="n">
        <v>18.4</v>
      </c>
      <c r="AT354" s="37" t="n">
        <v>37.59</v>
      </c>
      <c r="AU354" s="37" t="n">
        <v>61.85</v>
      </c>
      <c r="AV354" s="37" t="n">
        <v>64.19</v>
      </c>
      <c r="AW354" s="37" t="n">
        <v>31.24</v>
      </c>
      <c r="AX354" s="37" t="n">
        <v>29.31</v>
      </c>
      <c r="AY354" s="37" t="n">
        <v>31.82</v>
      </c>
      <c r="AZ354" s="37" t="n">
        <v>17.69</v>
      </c>
      <c r="BA354" s="37" t="n">
        <v>34.37</v>
      </c>
      <c r="BB354" s="37" t="n">
        <v>31.95</v>
      </c>
      <c r="BC354" s="37" t="n">
        <v>10.75</v>
      </c>
      <c r="BD354" s="37" t="n">
        <v>27.35</v>
      </c>
      <c r="BE354" s="37" t="n">
        <v>33.62</v>
      </c>
      <c r="BF354" s="37" t="n">
        <v>28.89</v>
      </c>
      <c r="BG354" s="37" t="n">
        <v>24</v>
      </c>
      <c r="BH354" s="37" t="n">
        <v>43.99</v>
      </c>
      <c r="BI354" s="37" t="n">
        <v>37.55</v>
      </c>
      <c r="BJ354" s="37" t="n">
        <v>143.22</v>
      </c>
      <c r="BK354" s="37" t="n">
        <v>79.45</v>
      </c>
      <c r="BL354" s="37" t="n">
        <v>40.94</v>
      </c>
      <c r="BM354" s="37" t="n">
        <v>30.53</v>
      </c>
      <c r="BN354" s="37" t="n">
        <v>23.17</v>
      </c>
      <c r="BO354" s="37" t="n">
        <v>51.14</v>
      </c>
      <c r="BP354" s="37" t="n">
        <v>74.68000000000001</v>
      </c>
      <c r="BQ354" s="37" t="n">
        <v>54.03</v>
      </c>
      <c r="BR354" s="37" t="n">
        <v>35.54</v>
      </c>
      <c r="BS354" s="37" t="n">
        <v>33.62</v>
      </c>
      <c r="BT354" s="37" t="n">
        <v>28.89</v>
      </c>
      <c r="BU354" s="37" t="n">
        <v>34.08</v>
      </c>
      <c r="BV354" s="37" t="n">
        <v>46.58</v>
      </c>
      <c r="BW354" s="37" t="n">
        <v>37.55</v>
      </c>
      <c r="BX354" s="37" t="n">
        <v>36.25</v>
      </c>
      <c r="BY354" s="37" t="n">
        <v>35.54</v>
      </c>
      <c r="BZ354" s="37" t="n">
        <v>60.93</v>
      </c>
      <c r="CA354" s="37" t="n">
        <v>35.13</v>
      </c>
      <c r="CB354" s="37" t="n">
        <v>22.87</v>
      </c>
      <c r="CC354" s="37" t="n">
        <v>2893.069999999999</v>
      </c>
    </row>
    <row r="355" ht="15.75" customHeight="1" s="57">
      <c r="A355" s="7" t="inlineStr">
        <is>
          <t>NTB</t>
        </is>
      </c>
      <c r="B355" s="7" t="inlineStr">
        <is>
          <t>Lâm Đồng</t>
        </is>
      </c>
      <c r="C355" s="7" t="n">
        <v>21126000</v>
      </c>
      <c r="D355" s="7" t="inlineStr">
        <is>
          <t>(LDO) Xuân Hương - Đà Lạt</t>
        </is>
      </c>
      <c r="E355" s="7" t="inlineStr">
        <is>
          <t>Shopee-Bulky (10-15kg)</t>
        </is>
      </c>
      <c r="F355" s="36" t="n">
        <v>15.74</v>
      </c>
      <c r="G355" s="36" t="n">
        <v>26.35</v>
      </c>
      <c r="H355" s="36" t="n">
        <v>18.3</v>
      </c>
      <c r="I355" s="36" t="n">
        <v>15.37</v>
      </c>
      <c r="J355" s="36" t="n">
        <v>15</v>
      </c>
      <c r="K355" s="28" t="n">
        <v>11.34</v>
      </c>
      <c r="L355" s="36" t="n">
        <v>12.81</v>
      </c>
      <c r="M355" s="36" t="n">
        <v>24.15</v>
      </c>
      <c r="N355" s="36" t="n">
        <v>27.08</v>
      </c>
      <c r="O355" s="36" t="n">
        <v>13.54</v>
      </c>
      <c r="P355" s="36" t="n">
        <v>10.61</v>
      </c>
      <c r="Q355" s="36" t="n">
        <v>16.1</v>
      </c>
      <c r="R355" s="28" t="n">
        <v>16.83</v>
      </c>
      <c r="S355" s="36" t="n">
        <v>16.47</v>
      </c>
      <c r="T355" s="36" t="n">
        <v>16.83</v>
      </c>
      <c r="U355" s="36" t="n">
        <v>16.77</v>
      </c>
      <c r="V355" s="36" t="n">
        <v>16.06</v>
      </c>
      <c r="W355" s="36" t="n">
        <v>21.16</v>
      </c>
      <c r="X355" s="36" t="n">
        <v>11.96</v>
      </c>
      <c r="Y355" s="28" t="n">
        <v>23.75</v>
      </c>
      <c r="Z355" s="36" t="n">
        <v>18.52</v>
      </c>
      <c r="AA355" s="36" t="n">
        <v>17.4</v>
      </c>
      <c r="AB355" s="36" t="n">
        <v>18.23</v>
      </c>
      <c r="AC355" s="36" t="n">
        <v>18.86</v>
      </c>
      <c r="AD355" s="36" t="n">
        <v>72.13</v>
      </c>
      <c r="AE355" s="36" t="n">
        <v>30.11</v>
      </c>
      <c r="AF355" s="28" t="n">
        <v>43.95</v>
      </c>
      <c r="AG355" s="36" t="n">
        <v>26.22</v>
      </c>
      <c r="AH355" s="37" t="n">
        <v>18.27</v>
      </c>
      <c r="AI355" s="37" t="n">
        <v>17.77</v>
      </c>
      <c r="AJ355" s="37" t="n">
        <v>17.23</v>
      </c>
      <c r="AK355" s="37" t="n">
        <v>40.56</v>
      </c>
      <c r="AL355" s="37" t="n">
        <v>19.7</v>
      </c>
      <c r="AM355" s="37" t="n">
        <v>29.15</v>
      </c>
      <c r="AN355" s="37" t="n">
        <v>18.32</v>
      </c>
      <c r="AO355" s="37" t="n">
        <v>17.56</v>
      </c>
      <c r="AP355" s="37" t="n">
        <v>23.12</v>
      </c>
      <c r="AQ355" s="37" t="n">
        <v>23.58</v>
      </c>
      <c r="AR355" s="37" t="n">
        <v>19.11</v>
      </c>
      <c r="AS355" s="37" t="n">
        <v>10.5</v>
      </c>
      <c r="AT355" s="37" t="n">
        <v>21.74</v>
      </c>
      <c r="AU355" s="37" t="n">
        <v>36.8</v>
      </c>
      <c r="AV355" s="37" t="n">
        <v>36.88</v>
      </c>
      <c r="AW355" s="37" t="n">
        <v>17.73</v>
      </c>
      <c r="AX355" s="37" t="n">
        <v>16.43</v>
      </c>
      <c r="AY355" s="37" t="n">
        <v>18.32</v>
      </c>
      <c r="AZ355" s="37" t="n">
        <v>10.08</v>
      </c>
      <c r="BA355" s="37" t="n">
        <v>19.86</v>
      </c>
      <c r="BB355" s="37" t="n">
        <v>18.44</v>
      </c>
      <c r="BC355" s="37" t="n">
        <v>6.44</v>
      </c>
      <c r="BD355" s="37" t="n">
        <v>15.47</v>
      </c>
      <c r="BE355" s="37" t="n">
        <v>19.28</v>
      </c>
      <c r="BF355" s="37" t="n">
        <v>16.81</v>
      </c>
      <c r="BG355" s="37" t="n">
        <v>13.8</v>
      </c>
      <c r="BH355" s="37" t="n">
        <v>25.76</v>
      </c>
      <c r="BI355" s="37" t="n">
        <v>21.74</v>
      </c>
      <c r="BJ355" s="37" t="n">
        <v>99.34999999999999</v>
      </c>
      <c r="BK355" s="37" t="n">
        <v>46.08</v>
      </c>
      <c r="BL355" s="37" t="n">
        <v>23.67</v>
      </c>
      <c r="BM355" s="37" t="n">
        <v>17.48</v>
      </c>
      <c r="BN355" s="37" t="n">
        <v>13.51</v>
      </c>
      <c r="BO355" s="37" t="n">
        <v>29.31</v>
      </c>
      <c r="BP355" s="37" t="n">
        <v>43.45</v>
      </c>
      <c r="BQ355" s="37" t="n">
        <v>31.4</v>
      </c>
      <c r="BR355" s="37" t="n">
        <v>20.41</v>
      </c>
      <c r="BS355" s="37" t="n">
        <v>19.28</v>
      </c>
      <c r="BT355" s="37" t="n">
        <v>16.81</v>
      </c>
      <c r="BU355" s="37" t="n">
        <v>19.49</v>
      </c>
      <c r="BV355" s="37" t="n">
        <v>26.76</v>
      </c>
      <c r="BW355" s="37" t="n">
        <v>21.74</v>
      </c>
      <c r="BX355" s="37" t="n">
        <v>20.74</v>
      </c>
      <c r="BY355" s="37" t="n">
        <v>20.41</v>
      </c>
      <c r="BZ355" s="37" t="n">
        <v>35.29</v>
      </c>
      <c r="CA355" s="37" t="n">
        <v>20.11</v>
      </c>
      <c r="CB355" s="37" t="n">
        <v>13</v>
      </c>
      <c r="CC355" s="37" t="n">
        <v>1700.38</v>
      </c>
    </row>
    <row r="356" ht="15.75" customHeight="1" s="57">
      <c r="A356" s="7" t="inlineStr">
        <is>
          <t>NTB</t>
        </is>
      </c>
      <c r="B356" s="7" t="inlineStr">
        <is>
          <t>Lâm Đồng</t>
        </is>
      </c>
      <c r="C356" s="7" t="n">
        <v>21126000</v>
      </c>
      <c r="D356" s="7" t="inlineStr">
        <is>
          <t>(LDO) Xuân Hương - Đà Lạt</t>
        </is>
      </c>
      <c r="E356" s="7" t="inlineStr">
        <is>
          <t>TTS</t>
        </is>
      </c>
      <c r="F356" s="36" t="n">
        <v>160</v>
      </c>
      <c r="G356" s="36" t="n">
        <v>125</v>
      </c>
      <c r="H356" s="36" t="n">
        <v>167</v>
      </c>
      <c r="I356" s="36" t="n">
        <v>128</v>
      </c>
      <c r="J356" s="36" t="n">
        <v>92</v>
      </c>
      <c r="K356" s="28" t="n">
        <v>177</v>
      </c>
      <c r="L356" s="36" t="n">
        <v>129</v>
      </c>
      <c r="M356" s="36" t="n">
        <v>145</v>
      </c>
      <c r="N356" s="36" t="n">
        <v>164</v>
      </c>
      <c r="O356" s="36" t="n">
        <v>141</v>
      </c>
      <c r="P356" s="36" t="n">
        <v>113</v>
      </c>
      <c r="Q356" s="36" t="n">
        <v>132</v>
      </c>
      <c r="R356" s="28" t="n">
        <v>166</v>
      </c>
      <c r="S356" s="36" t="n">
        <v>145</v>
      </c>
      <c r="T356" s="36" t="n">
        <v>111</v>
      </c>
      <c r="U356" s="36" t="n">
        <v>102.39</v>
      </c>
      <c r="V356" s="36" t="n">
        <v>100.64</v>
      </c>
      <c r="W356" s="36" t="n">
        <v>98.36</v>
      </c>
      <c r="X356" s="36" t="n">
        <v>79.42</v>
      </c>
      <c r="Y356" s="28" t="n">
        <v>115.32</v>
      </c>
      <c r="Z356" s="36" t="n">
        <v>98.13999999999999</v>
      </c>
      <c r="AA356" s="36" t="n">
        <v>108.9</v>
      </c>
      <c r="AB356" s="36" t="n">
        <v>121.06</v>
      </c>
      <c r="AC356" s="36" t="n">
        <v>127.47</v>
      </c>
      <c r="AD356" s="36" t="n">
        <v>130.52</v>
      </c>
      <c r="AE356" s="36" t="n">
        <v>92.25</v>
      </c>
      <c r="AF356" s="28" t="n">
        <v>119.26</v>
      </c>
      <c r="AG356" s="36" t="n">
        <v>100.07</v>
      </c>
      <c r="AH356" s="37" t="n">
        <v>98.97000000000001</v>
      </c>
      <c r="AI356" s="37" t="n">
        <v>113.23</v>
      </c>
      <c r="AJ356" s="37" t="n">
        <v>121.76</v>
      </c>
      <c r="AK356" s="37" t="n">
        <v>120.05</v>
      </c>
      <c r="AL356" s="37" t="n">
        <v>85.57000000000001</v>
      </c>
      <c r="AM356" s="37" t="n">
        <v>117.49</v>
      </c>
      <c r="AN356" s="37" t="n">
        <v>101.37</v>
      </c>
      <c r="AO356" s="37" t="n">
        <v>100.84</v>
      </c>
      <c r="AP356" s="37" t="n">
        <v>97.72999999999999</v>
      </c>
      <c r="AQ356" s="37" t="n">
        <v>98.58999999999999</v>
      </c>
      <c r="AR356" s="37" t="n">
        <v>96.97000000000001</v>
      </c>
      <c r="AS356" s="37" t="n">
        <v>79.83</v>
      </c>
      <c r="AT356" s="37" t="n">
        <v>127</v>
      </c>
      <c r="AU356" s="37" t="n">
        <v>114.91</v>
      </c>
      <c r="AV356" s="37" t="n">
        <v>102.23</v>
      </c>
      <c r="AW356" s="37" t="n">
        <v>96.53999999999999</v>
      </c>
      <c r="AX356" s="37" t="n">
        <v>95.80999999999999</v>
      </c>
      <c r="AY356" s="37" t="n">
        <v>95.7</v>
      </c>
      <c r="AZ356" s="37" t="n">
        <v>79.83</v>
      </c>
      <c r="BA356" s="37" t="n">
        <v>114.42</v>
      </c>
      <c r="BB356" s="37" t="n">
        <v>106.96</v>
      </c>
      <c r="BC356" s="37" t="n">
        <v>63.69</v>
      </c>
      <c r="BD356" s="37" t="n">
        <v>92.22999999999999</v>
      </c>
      <c r="BE356" s="37" t="n">
        <v>108.56</v>
      </c>
      <c r="BF356" s="37" t="n">
        <v>105.58</v>
      </c>
      <c r="BG356" s="37" t="n">
        <v>85.74000000000001</v>
      </c>
      <c r="BH356" s="37" t="n">
        <v>126.75</v>
      </c>
      <c r="BI356" s="37" t="n">
        <v>106.96</v>
      </c>
      <c r="BJ356" s="37" t="n">
        <v>99.13</v>
      </c>
      <c r="BK356" s="37" t="n">
        <v>108.44</v>
      </c>
      <c r="BL356" s="37" t="n">
        <v>108.56</v>
      </c>
      <c r="BM356" s="37" t="n">
        <v>105.58</v>
      </c>
      <c r="BN356" s="37" t="n">
        <v>85.74000000000001</v>
      </c>
      <c r="BO356" s="37" t="n">
        <v>126.75</v>
      </c>
      <c r="BP356" s="37" t="n">
        <v>106.96</v>
      </c>
      <c r="BQ356" s="37" t="n">
        <v>105.78</v>
      </c>
      <c r="BR356" s="37" t="n">
        <v>108.44</v>
      </c>
      <c r="BS356" s="37" t="n">
        <v>108.56</v>
      </c>
      <c r="BT356" s="37" t="n">
        <v>105.58</v>
      </c>
      <c r="BU356" s="37" t="n">
        <v>85.74000000000001</v>
      </c>
      <c r="BV356" s="37" t="n">
        <v>126.75</v>
      </c>
      <c r="BW356" s="37" t="n">
        <v>106.96</v>
      </c>
      <c r="BX356" s="37" t="n">
        <v>105.78</v>
      </c>
      <c r="BY356" s="37" t="n">
        <v>108.44</v>
      </c>
      <c r="BZ356" s="37" t="n">
        <v>108.56</v>
      </c>
      <c r="CA356" s="37" t="n">
        <v>105.58</v>
      </c>
      <c r="CB356" s="37" t="n">
        <v>85.74000000000001</v>
      </c>
      <c r="CC356" s="37" t="n">
        <v>8347.179999999998</v>
      </c>
    </row>
    <row r="357" ht="15.75" customHeight="1" s="57">
      <c r="A357" s="7" t="inlineStr">
        <is>
          <t>NTB</t>
        </is>
      </c>
      <c r="B357" s="7" t="inlineStr">
        <is>
          <t>Lâm Đồng</t>
        </is>
      </c>
      <c r="C357" s="7" t="n">
        <v>21126000</v>
      </c>
      <c r="D357" s="7" t="inlineStr">
        <is>
          <t>(LDO) Xuân Hương - Đà Lạt</t>
        </is>
      </c>
      <c r="E357" s="7" t="inlineStr">
        <is>
          <t>TTS-Bulky</t>
        </is>
      </c>
      <c r="F357" s="36" t="n">
        <v>2</v>
      </c>
      <c r="G357" s="36" t="n">
        <v>1</v>
      </c>
      <c r="H357" s="36" t="n">
        <v>4</v>
      </c>
      <c r="I357" s="36" t="n">
        <v>1</v>
      </c>
      <c r="J357" s="36" t="n">
        <v>3</v>
      </c>
      <c r="K357" s="28" t="n">
        <v>2</v>
      </c>
      <c r="L357" s="36" t="n">
        <v>2</v>
      </c>
      <c r="M357" s="36" t="n">
        <v>0</v>
      </c>
      <c r="N357" s="36" t="n">
        <v>1</v>
      </c>
      <c r="O357" s="36" t="n">
        <v>4</v>
      </c>
      <c r="P357" s="36" t="n">
        <v>0</v>
      </c>
      <c r="Q357" s="36" t="n">
        <v>0</v>
      </c>
      <c r="R357" s="28" t="n">
        <v>0</v>
      </c>
      <c r="S357" s="36" t="n">
        <v>1</v>
      </c>
      <c r="T357" s="36" t="n">
        <v>1</v>
      </c>
      <c r="U357" s="36" t="n">
        <v>4.5</v>
      </c>
      <c r="V357" s="36" t="n">
        <v>4.56</v>
      </c>
      <c r="W357" s="36" t="n">
        <v>2.15</v>
      </c>
      <c r="X357" s="36" t="n">
        <v>1.55</v>
      </c>
      <c r="Y357" s="28" t="n">
        <v>2.81</v>
      </c>
      <c r="Z357" s="36" t="n">
        <v>2.23</v>
      </c>
      <c r="AA357" s="36" t="n">
        <v>2.38</v>
      </c>
      <c r="AB357" s="36" t="n">
        <v>2.46</v>
      </c>
      <c r="AC357" s="36" t="n">
        <v>2.61</v>
      </c>
      <c r="AD357" s="36" t="n">
        <v>3.9</v>
      </c>
      <c r="AE357" s="36" t="n">
        <v>1.75</v>
      </c>
      <c r="AF357" s="28" t="n">
        <v>2.78</v>
      </c>
      <c r="AG357" s="36" t="n">
        <v>2.12</v>
      </c>
      <c r="AH357" s="37" t="n">
        <v>2.12</v>
      </c>
      <c r="AI357" s="37" t="n">
        <v>2.15</v>
      </c>
      <c r="AJ357" s="37" t="n">
        <v>2.44</v>
      </c>
      <c r="AK357" s="37" t="n">
        <v>2.32</v>
      </c>
      <c r="AL357" s="37" t="n">
        <v>1.66</v>
      </c>
      <c r="AM357" s="37" t="n">
        <v>2.78</v>
      </c>
      <c r="AN357" s="37" t="n">
        <v>2.15</v>
      </c>
      <c r="AO357" s="37" t="n">
        <v>2.12</v>
      </c>
      <c r="AP357" s="37" t="n">
        <v>2.12</v>
      </c>
      <c r="AQ357" s="37" t="n">
        <v>2.32</v>
      </c>
      <c r="AR357" s="37" t="n">
        <v>2.15</v>
      </c>
      <c r="AS357" s="37" t="n">
        <v>1.6</v>
      </c>
      <c r="AT357" s="37" t="n">
        <v>2.89</v>
      </c>
      <c r="AU357" s="37" t="n">
        <v>2.46</v>
      </c>
      <c r="AV357" s="37" t="n">
        <v>2.18</v>
      </c>
      <c r="AW357" s="37" t="n">
        <v>2.09</v>
      </c>
      <c r="AX357" s="37" t="n">
        <v>2.32</v>
      </c>
      <c r="AY357" s="37" t="n">
        <v>2.12</v>
      </c>
      <c r="AZ357" s="37" t="n">
        <v>1.6</v>
      </c>
      <c r="BA357" s="37" t="n">
        <v>2.44</v>
      </c>
      <c r="BB357" s="37" t="n">
        <v>0.57</v>
      </c>
      <c r="BC357" s="37" t="n">
        <v>0.37</v>
      </c>
      <c r="BD357" s="37" t="n">
        <v>0.46</v>
      </c>
      <c r="BE357" s="37" t="n">
        <v>0.6</v>
      </c>
      <c r="BF357" s="37" t="n">
        <v>0.6</v>
      </c>
      <c r="BG357" s="37" t="n">
        <v>0.4</v>
      </c>
      <c r="BH357" s="37" t="n">
        <v>0.77</v>
      </c>
      <c r="BI357" s="37" t="n">
        <v>0.6</v>
      </c>
      <c r="BJ357" s="37" t="n">
        <v>0.97</v>
      </c>
      <c r="BK357" s="37" t="n">
        <v>0.63</v>
      </c>
      <c r="BL357" s="37" t="n">
        <v>0.6</v>
      </c>
      <c r="BM357" s="37" t="n">
        <v>0.6</v>
      </c>
      <c r="BN357" s="37" t="n">
        <v>0.46</v>
      </c>
      <c r="BO357" s="37" t="n">
        <v>0.89</v>
      </c>
      <c r="BP357" s="37" t="n">
        <v>0.6899999999999999</v>
      </c>
      <c r="BQ357" s="37" t="n">
        <v>0.63</v>
      </c>
      <c r="BR357" s="37" t="n">
        <v>0.63</v>
      </c>
      <c r="BS357" s="37" t="n">
        <v>0.6</v>
      </c>
      <c r="BT357" s="37" t="n">
        <v>0.6</v>
      </c>
      <c r="BU357" s="37" t="n">
        <v>0.4</v>
      </c>
      <c r="BV357" s="37" t="n">
        <v>0.66</v>
      </c>
      <c r="BW357" s="37" t="n">
        <v>0.6</v>
      </c>
      <c r="BX357" s="37" t="n">
        <v>0.63</v>
      </c>
      <c r="BY357" s="37" t="n">
        <v>0.63</v>
      </c>
      <c r="BZ357" s="37" t="n">
        <v>0.6</v>
      </c>
      <c r="CA357" s="37" t="n">
        <v>0.6</v>
      </c>
      <c r="CB357" s="37" t="n">
        <v>0.4</v>
      </c>
      <c r="CC357" s="37" t="n">
        <v>118.0199999999999</v>
      </c>
    </row>
    <row r="358" ht="15.75" customHeight="1" s="57">
      <c r="A358" s="7" t="inlineStr">
        <is>
          <t>NTB</t>
        </is>
      </c>
      <c r="B358" s="7" t="inlineStr">
        <is>
          <t>Lâm Đồng</t>
        </is>
      </c>
      <c r="C358" s="7" t="n">
        <v>21130000</v>
      </c>
      <c r="D358" s="7" t="inlineStr">
        <is>
          <t>Kho Giao Hàng Nặng - TP Đà Lạt - Lâm Đồng</t>
        </is>
      </c>
      <c r="E358" s="7" t="inlineStr">
        <is>
          <t>SME</t>
        </is>
      </c>
      <c r="F358" s="36" t="n">
        <v>11</v>
      </c>
      <c r="G358" s="36" t="n">
        <v>1</v>
      </c>
      <c r="H358" s="36" t="n">
        <v>5</v>
      </c>
      <c r="I358" s="36" t="n">
        <v>0</v>
      </c>
      <c r="J358" s="36" t="n">
        <v>0</v>
      </c>
      <c r="K358" s="28" t="n">
        <v>10</v>
      </c>
      <c r="L358" s="36" t="n">
        <v>0</v>
      </c>
      <c r="M358" s="36" t="n">
        <v>0</v>
      </c>
      <c r="N358" s="36" t="n">
        <v>2</v>
      </c>
      <c r="O358" s="36" t="n">
        <v>9</v>
      </c>
      <c r="P358" s="36" t="n">
        <v>0</v>
      </c>
      <c r="Q358" s="36" t="n">
        <v>0</v>
      </c>
      <c r="R358" s="28" t="n">
        <v>1</v>
      </c>
      <c r="S358" s="36" t="n">
        <v>4</v>
      </c>
      <c r="T358" s="36" t="n">
        <v>14</v>
      </c>
      <c r="U358" s="36" t="n">
        <v>42.16</v>
      </c>
      <c r="V358" s="36" t="n">
        <v>43.97</v>
      </c>
      <c r="W358" s="36" t="n">
        <v>42.73</v>
      </c>
      <c r="X358" s="36" t="n">
        <v>34.72</v>
      </c>
      <c r="Y358" s="28" t="n">
        <v>47.11</v>
      </c>
      <c r="Z358" s="36" t="n">
        <v>43.39</v>
      </c>
      <c r="AA358" s="36" t="n">
        <v>42.49</v>
      </c>
      <c r="AB358" s="36" t="n">
        <v>42.16</v>
      </c>
      <c r="AC358" s="36" t="n">
        <v>43.97</v>
      </c>
      <c r="AD358" s="36" t="n">
        <v>43.78</v>
      </c>
      <c r="AE358" s="36" t="n">
        <v>34.72</v>
      </c>
      <c r="AF358" s="28" t="n">
        <v>47.11</v>
      </c>
      <c r="AG358" s="36" t="n">
        <v>43.39</v>
      </c>
      <c r="AH358" s="37" t="n">
        <v>42.49</v>
      </c>
      <c r="AI358" s="37" t="n">
        <v>42.16</v>
      </c>
      <c r="AJ358" s="37" t="n">
        <v>43.97</v>
      </c>
      <c r="AK358" s="37" t="n">
        <v>42.73</v>
      </c>
      <c r="AL358" s="37" t="n">
        <v>34.72</v>
      </c>
      <c r="AM358" s="37" t="n">
        <v>47.11</v>
      </c>
      <c r="AN358" s="37" t="n">
        <v>43.39</v>
      </c>
      <c r="AO358" s="37" t="n">
        <v>42.49</v>
      </c>
      <c r="AP358" s="37" t="n">
        <v>42.16</v>
      </c>
      <c r="AQ358" s="37" t="n">
        <v>43.97</v>
      </c>
      <c r="AR358" s="37" t="n">
        <v>42.73</v>
      </c>
      <c r="AS358" s="37" t="n">
        <v>34.72</v>
      </c>
      <c r="AT358" s="37" t="n">
        <v>47.11</v>
      </c>
      <c r="AU358" s="37" t="n">
        <v>43.39</v>
      </c>
      <c r="AV358" s="37" t="n">
        <v>42.49</v>
      </c>
      <c r="AW358" s="37" t="n">
        <v>42.16</v>
      </c>
      <c r="AX358" s="37" t="n">
        <v>43.97</v>
      </c>
      <c r="AY358" s="37" t="n">
        <v>42.73</v>
      </c>
      <c r="AZ358" s="37" t="n">
        <v>34.72</v>
      </c>
      <c r="BA358" s="37" t="n">
        <v>42.61</v>
      </c>
      <c r="BB358" s="37" t="n">
        <v>37.84999999999999</v>
      </c>
      <c r="BC358" s="37" t="n">
        <v>24.48</v>
      </c>
      <c r="BD358" s="37" t="n">
        <v>24.14</v>
      </c>
      <c r="BE358" s="37" t="n">
        <v>39.88</v>
      </c>
      <c r="BF358" s="37" t="n">
        <v>39.21</v>
      </c>
      <c r="BG358" s="37" t="n">
        <v>35.3</v>
      </c>
      <c r="BH358" s="37" t="n">
        <v>47.94</v>
      </c>
      <c r="BI358" s="37" t="n">
        <v>44.1</v>
      </c>
      <c r="BJ358" s="37" t="n">
        <v>44.37</v>
      </c>
      <c r="BK358" s="37" t="n">
        <v>42.86</v>
      </c>
      <c r="BL358" s="37" t="n">
        <v>44.69</v>
      </c>
      <c r="BM358" s="37" t="n">
        <v>43.44</v>
      </c>
      <c r="BN358" s="37" t="n">
        <v>35.3</v>
      </c>
      <c r="BO358" s="37" t="n">
        <v>47.94</v>
      </c>
      <c r="BP358" s="37" t="n">
        <v>44.1</v>
      </c>
      <c r="BQ358" s="37" t="n">
        <v>43.2</v>
      </c>
      <c r="BR358" s="37" t="n">
        <v>42.86</v>
      </c>
      <c r="BS358" s="37" t="n">
        <v>44.69</v>
      </c>
      <c r="BT358" s="37" t="n">
        <v>43.44</v>
      </c>
      <c r="BU358" s="37" t="n">
        <v>35.3</v>
      </c>
      <c r="BV358" s="37" t="n">
        <v>47.94</v>
      </c>
      <c r="BW358" s="37" t="n">
        <v>44.1</v>
      </c>
      <c r="BX358" s="37" t="n">
        <v>43.2</v>
      </c>
      <c r="BY358" s="37" t="n">
        <v>42.86</v>
      </c>
      <c r="BZ358" s="37" t="n">
        <v>44.69</v>
      </c>
      <c r="CA358" s="37" t="n">
        <v>43.44</v>
      </c>
      <c r="CB358" s="37" t="n">
        <v>35.3</v>
      </c>
      <c r="CC358" s="37" t="n">
        <v>2557.140000000001</v>
      </c>
    </row>
    <row r="359" ht="15.75" customHeight="1" s="57">
      <c r="A359" s="7" t="inlineStr">
        <is>
          <t>NTB</t>
        </is>
      </c>
      <c r="B359" s="7" t="inlineStr">
        <is>
          <t>Lâm Đồng</t>
        </is>
      </c>
      <c r="C359" s="7" t="n">
        <v>21130000</v>
      </c>
      <c r="D359" s="7" t="inlineStr">
        <is>
          <t>Kho Giao Hàng Nặng - TP Đà Lạt - Lâm Đồng</t>
        </is>
      </c>
      <c r="E359" s="7" t="inlineStr">
        <is>
          <t>SME-Bulky</t>
        </is>
      </c>
      <c r="F359" s="36" t="n">
        <v>58</v>
      </c>
      <c r="G359" s="36" t="n">
        <v>25</v>
      </c>
      <c r="H359" s="36" t="n">
        <v>50</v>
      </c>
      <c r="I359" s="36" t="n">
        <v>53</v>
      </c>
      <c r="J359" s="36" t="n">
        <v>36</v>
      </c>
      <c r="K359" s="28" t="n">
        <v>53</v>
      </c>
      <c r="L359" s="36" t="n">
        <v>32</v>
      </c>
      <c r="M359" s="36" t="n">
        <v>33</v>
      </c>
      <c r="N359" s="36" t="n">
        <v>32</v>
      </c>
      <c r="O359" s="36" t="n">
        <v>65</v>
      </c>
      <c r="P359" s="36" t="n">
        <v>72</v>
      </c>
      <c r="Q359" s="36" t="n">
        <v>65</v>
      </c>
      <c r="R359" s="28" t="n">
        <v>47</v>
      </c>
      <c r="S359" s="36" t="n">
        <v>23</v>
      </c>
      <c r="T359" s="36" t="n">
        <v>48</v>
      </c>
      <c r="U359" s="36" t="n">
        <v>50.05</v>
      </c>
      <c r="V359" s="36" t="n">
        <v>49.51</v>
      </c>
      <c r="W359" s="36" t="n">
        <v>46.8</v>
      </c>
      <c r="X359" s="36" t="n">
        <v>31.16</v>
      </c>
      <c r="Y359" s="28" t="n">
        <v>55.92</v>
      </c>
      <c r="Z359" s="36" t="n">
        <v>53.42</v>
      </c>
      <c r="AA359" s="36" t="n">
        <v>52.66</v>
      </c>
      <c r="AB359" s="36" t="n">
        <v>50.05</v>
      </c>
      <c r="AC359" s="36" t="n">
        <v>49.51</v>
      </c>
      <c r="AD359" s="36" t="n">
        <v>43.97</v>
      </c>
      <c r="AE359" s="36" t="n">
        <v>31.16</v>
      </c>
      <c r="AF359" s="28" t="n">
        <v>55.92</v>
      </c>
      <c r="AG359" s="36" t="n">
        <v>53.42</v>
      </c>
      <c r="AH359" s="37" t="n">
        <v>52.66</v>
      </c>
      <c r="AI359" s="37" t="n">
        <v>50.05</v>
      </c>
      <c r="AJ359" s="37" t="n">
        <v>49.51</v>
      </c>
      <c r="AK359" s="37" t="n">
        <v>46.8</v>
      </c>
      <c r="AL359" s="37" t="n">
        <v>31.16</v>
      </c>
      <c r="AM359" s="37" t="n">
        <v>55.92</v>
      </c>
      <c r="AN359" s="37" t="n">
        <v>53.42</v>
      </c>
      <c r="AO359" s="37" t="n">
        <v>52.66</v>
      </c>
      <c r="AP359" s="37" t="n">
        <v>50.05</v>
      </c>
      <c r="AQ359" s="37" t="n">
        <v>49.51</v>
      </c>
      <c r="AR359" s="37" t="n">
        <v>46.8</v>
      </c>
      <c r="AS359" s="37" t="n">
        <v>31.16</v>
      </c>
      <c r="AT359" s="37" t="n">
        <v>55.92</v>
      </c>
      <c r="AU359" s="37" t="n">
        <v>53.42</v>
      </c>
      <c r="AV359" s="37" t="n">
        <v>52.66</v>
      </c>
      <c r="AW359" s="37" t="n">
        <v>50.05</v>
      </c>
      <c r="AX359" s="37" t="n">
        <v>49.51</v>
      </c>
      <c r="AY359" s="37" t="n">
        <v>46.8</v>
      </c>
      <c r="AZ359" s="37" t="n">
        <v>31.16</v>
      </c>
      <c r="BA359" s="37" t="n">
        <v>56.13</v>
      </c>
      <c r="BB359" s="37" t="n">
        <v>29.53</v>
      </c>
      <c r="BC359" s="37" t="n">
        <v>14.98</v>
      </c>
      <c r="BD359" s="37" t="n">
        <v>13.57</v>
      </c>
      <c r="BE359" s="37" t="n">
        <v>25.84</v>
      </c>
      <c r="BF359" s="37" t="n">
        <v>24</v>
      </c>
      <c r="BG359" s="37" t="n">
        <v>18.67</v>
      </c>
      <c r="BH359" s="37" t="n">
        <v>32.46</v>
      </c>
      <c r="BI359" s="37" t="n">
        <v>32.25</v>
      </c>
      <c r="BJ359" s="37" t="n">
        <v>27.9</v>
      </c>
      <c r="BK359" s="37" t="n">
        <v>29.64</v>
      </c>
      <c r="BL359" s="37" t="n">
        <v>29.75</v>
      </c>
      <c r="BM359" s="37" t="n">
        <v>27.69</v>
      </c>
      <c r="BN359" s="37" t="n">
        <v>18.67</v>
      </c>
      <c r="BO359" s="37" t="n">
        <v>32.46</v>
      </c>
      <c r="BP359" s="37" t="n">
        <v>32.25</v>
      </c>
      <c r="BQ359" s="37" t="n">
        <v>30.73</v>
      </c>
      <c r="BR359" s="37" t="n">
        <v>29.64</v>
      </c>
      <c r="BS359" s="37" t="n">
        <v>29.75</v>
      </c>
      <c r="BT359" s="37" t="n">
        <v>27.69</v>
      </c>
      <c r="BU359" s="37" t="n">
        <v>18.67</v>
      </c>
      <c r="BV359" s="37" t="n">
        <v>32.46</v>
      </c>
      <c r="BW359" s="37" t="n">
        <v>32.25</v>
      </c>
      <c r="BX359" s="37" t="n">
        <v>30.73</v>
      </c>
      <c r="BY359" s="37" t="n">
        <v>29.64</v>
      </c>
      <c r="BZ359" s="37" t="n">
        <v>29.75</v>
      </c>
      <c r="CA359" s="37" t="n">
        <v>27.69</v>
      </c>
      <c r="CB359" s="37" t="n">
        <v>18.67</v>
      </c>
      <c r="CC359" s="37" t="n">
        <v>3008.230000000002</v>
      </c>
    </row>
    <row r="360" ht="15.75" customHeight="1" s="57">
      <c r="A360" s="7" t="inlineStr">
        <is>
          <t>NTB</t>
        </is>
      </c>
      <c r="B360" s="7" t="inlineStr">
        <is>
          <t>Lâm Đồng</t>
        </is>
      </c>
      <c r="C360" s="7" t="n">
        <v>21130000</v>
      </c>
      <c r="D360" s="7" t="inlineStr">
        <is>
          <t>Kho Giao Hàng Nặng - TP Đà Lạt - Lâm Đồng</t>
        </is>
      </c>
      <c r="E360" s="7" t="inlineStr">
        <is>
          <t>Shopee</t>
        </is>
      </c>
      <c r="F360" s="36" t="n">
        <v>1</v>
      </c>
      <c r="G360" s="36" t="n">
        <v>0</v>
      </c>
      <c r="H360" s="36" t="n">
        <v>1</v>
      </c>
      <c r="I360" s="36" t="n">
        <v>1</v>
      </c>
      <c r="J360" s="36" t="n">
        <v>0</v>
      </c>
      <c r="K360" s="28" t="n">
        <v>2</v>
      </c>
      <c r="L360" s="36" t="n">
        <v>0</v>
      </c>
      <c r="M360" s="36" t="n">
        <v>1</v>
      </c>
      <c r="N360" s="36" t="n">
        <v>0</v>
      </c>
      <c r="O360" s="36" t="n">
        <v>0</v>
      </c>
      <c r="P360" s="36" t="n">
        <v>0</v>
      </c>
      <c r="Q360" s="36" t="n">
        <v>1</v>
      </c>
      <c r="R360" s="28" t="n">
        <v>0</v>
      </c>
      <c r="S360" s="36" t="n">
        <v>0</v>
      </c>
      <c r="T360" s="36" t="n">
        <v>0</v>
      </c>
      <c r="U360" s="36" t="n">
        <v>0.22</v>
      </c>
      <c r="V360" s="36" t="n">
        <v>0.22</v>
      </c>
      <c r="W360" s="36" t="n">
        <v>0.22</v>
      </c>
      <c r="X360" s="36" t="n">
        <v>0.18</v>
      </c>
      <c r="Y360" s="28" t="n">
        <v>0.3</v>
      </c>
      <c r="Z360" s="36" t="n">
        <v>0.24</v>
      </c>
      <c r="AA360" s="36" t="n">
        <v>0.32</v>
      </c>
      <c r="AB360" s="36" t="n">
        <v>0.23</v>
      </c>
      <c r="AC360" s="36" t="n">
        <v>0.18</v>
      </c>
      <c r="AD360" s="36" t="n">
        <v>0.47</v>
      </c>
      <c r="AE360" s="36" t="n">
        <v>0.19</v>
      </c>
      <c r="AF360" s="28" t="n">
        <v>0.34</v>
      </c>
      <c r="AG360" s="36" t="n">
        <v>0.25</v>
      </c>
      <c r="AH360" s="37" t="n">
        <v>0.26</v>
      </c>
      <c r="AI360" s="37" t="n">
        <v>0.22</v>
      </c>
      <c r="AJ360" s="37" t="n">
        <v>0.22</v>
      </c>
      <c r="AK360" s="37" t="n">
        <v>0.3</v>
      </c>
      <c r="AL360" s="37" t="n">
        <v>0.32</v>
      </c>
      <c r="AM360" s="37" t="n">
        <v>0.3</v>
      </c>
      <c r="AN360" s="37" t="n">
        <v>0.24</v>
      </c>
      <c r="AO360" s="37" t="n">
        <v>0.26</v>
      </c>
      <c r="AP360" s="37" t="n">
        <v>0.28</v>
      </c>
      <c r="AQ360" s="37" t="n">
        <v>0.18</v>
      </c>
      <c r="AR360" s="37" t="n">
        <v>0.22</v>
      </c>
      <c r="AS360" s="37" t="n">
        <v>0.18</v>
      </c>
      <c r="AT360" s="37" t="n">
        <v>0.3</v>
      </c>
      <c r="AU360" s="37" t="n">
        <v>0.24</v>
      </c>
      <c r="AV360" s="37" t="n">
        <v>0.27</v>
      </c>
      <c r="AW360" s="37" t="n">
        <v>0.22</v>
      </c>
      <c r="AX360" s="37" t="n">
        <v>0.22</v>
      </c>
      <c r="AY360" s="37" t="n">
        <v>0.22</v>
      </c>
      <c r="AZ360" s="37" t="n">
        <v>0.18</v>
      </c>
      <c r="BA360" s="37" t="n">
        <v>0.23</v>
      </c>
      <c r="BB360" s="37" t="n">
        <v>0.2</v>
      </c>
      <c r="BC360" s="37" t="n">
        <v>0.1</v>
      </c>
      <c r="BD360" s="37" t="n">
        <v>0.18</v>
      </c>
      <c r="BE360" s="37" t="n">
        <v>0.21</v>
      </c>
      <c r="BF360" s="37" t="n">
        <v>0.21</v>
      </c>
      <c r="BG360" s="37" t="n">
        <v>0.17</v>
      </c>
      <c r="BH360" s="37" t="n">
        <v>0.28</v>
      </c>
      <c r="BI360" s="37" t="n">
        <v>0.18</v>
      </c>
      <c r="BJ360" s="37" t="n">
        <v>0.67</v>
      </c>
      <c r="BK360" s="37" t="n">
        <v>0.23</v>
      </c>
      <c r="BL360" s="37" t="n">
        <v>0.22</v>
      </c>
      <c r="BM360" s="37" t="n">
        <v>0.21</v>
      </c>
      <c r="BN360" s="37" t="n">
        <v>0.17</v>
      </c>
      <c r="BO360" s="37" t="n">
        <v>0.28</v>
      </c>
      <c r="BP360" s="37" t="n">
        <v>0.3</v>
      </c>
      <c r="BQ360" s="37" t="n">
        <v>0.45</v>
      </c>
      <c r="BR360" s="37" t="n">
        <v>0.21</v>
      </c>
      <c r="BS360" s="37" t="n">
        <v>0.21</v>
      </c>
      <c r="BT360" s="37" t="n">
        <v>0.21</v>
      </c>
      <c r="BU360" s="37" t="n">
        <v>0.21</v>
      </c>
      <c r="BV360" s="37" t="n">
        <v>0.23</v>
      </c>
      <c r="BW360" s="37" t="n">
        <v>0.22</v>
      </c>
      <c r="BX360" s="37" t="n">
        <v>0.25</v>
      </c>
      <c r="BY360" s="37" t="n">
        <v>0.21</v>
      </c>
      <c r="BZ360" s="37" t="n">
        <v>0.22</v>
      </c>
      <c r="CA360" s="37" t="n">
        <v>0.21</v>
      </c>
      <c r="CB360" s="37" t="n">
        <v>0.17</v>
      </c>
      <c r="CC360" s="37" t="n">
        <v>21.63000000000002</v>
      </c>
    </row>
    <row r="361" ht="15.75" customHeight="1" s="57">
      <c r="A361" s="7" t="inlineStr">
        <is>
          <t>NTB</t>
        </is>
      </c>
      <c r="B361" s="7" t="inlineStr">
        <is>
          <t>Lâm Đồng</t>
        </is>
      </c>
      <c r="C361" s="7" t="n">
        <v>21130000</v>
      </c>
      <c r="D361" s="7" t="inlineStr">
        <is>
          <t>Kho Giao Hàng Nặng - TP Đà Lạt - Lâm Đồng</t>
        </is>
      </c>
      <c r="E361" s="7" t="inlineStr">
        <is>
          <t>Shopee-Bulky</t>
        </is>
      </c>
      <c r="F361" s="36" t="n">
        <v>156.61</v>
      </c>
      <c r="G361" s="36" t="n">
        <v>136.32</v>
      </c>
      <c r="H361" s="36" t="n">
        <v>178.17</v>
      </c>
      <c r="I361" s="36" t="n">
        <v>181.34</v>
      </c>
      <c r="J361" s="36" t="n">
        <v>114.13</v>
      </c>
      <c r="K361" s="28" t="n">
        <v>88.13</v>
      </c>
      <c r="L361" s="36" t="n">
        <v>84.33</v>
      </c>
      <c r="M361" s="36" t="n">
        <v>164.22</v>
      </c>
      <c r="N361" s="36" t="n">
        <v>136.32</v>
      </c>
      <c r="O361" s="36" t="n">
        <v>152.8</v>
      </c>
      <c r="P361" s="36" t="n">
        <v>133.78</v>
      </c>
      <c r="Q361" s="36" t="n">
        <v>110.96</v>
      </c>
      <c r="R361" s="28" t="n">
        <v>145.83</v>
      </c>
      <c r="S361" s="36" t="n">
        <v>119.83</v>
      </c>
      <c r="T361" s="36" t="n">
        <v>154.71</v>
      </c>
      <c r="U361" s="36" t="n">
        <v>132.31</v>
      </c>
      <c r="V361" s="36" t="n">
        <v>127.54</v>
      </c>
      <c r="W361" s="36" t="n">
        <v>175.35</v>
      </c>
      <c r="X361" s="36" t="n">
        <v>99.18000000000001</v>
      </c>
      <c r="Y361" s="28" t="n">
        <v>194.19</v>
      </c>
      <c r="Z361" s="36" t="n">
        <v>153.53</v>
      </c>
      <c r="AA361" s="36" t="n">
        <v>149.17</v>
      </c>
      <c r="AB361" s="36" t="n">
        <v>150.95</v>
      </c>
      <c r="AC361" s="36" t="n">
        <v>158.49</v>
      </c>
      <c r="AD361" s="36" t="n">
        <v>427.07</v>
      </c>
      <c r="AE361" s="36" t="n">
        <v>254.89</v>
      </c>
      <c r="AF361" s="28" t="n">
        <v>380.06</v>
      </c>
      <c r="AG361" s="36" t="n">
        <v>215.81</v>
      </c>
      <c r="AH361" s="37" t="n">
        <v>151.74</v>
      </c>
      <c r="AI361" s="37" t="n">
        <v>145.99</v>
      </c>
      <c r="AJ361" s="37" t="n">
        <v>144.8</v>
      </c>
      <c r="AK361" s="37" t="n">
        <v>327.89</v>
      </c>
      <c r="AL361" s="37" t="n">
        <v>166.82</v>
      </c>
      <c r="AM361" s="37" t="n">
        <v>238.23</v>
      </c>
      <c r="AN361" s="37" t="n">
        <v>150.75</v>
      </c>
      <c r="AO361" s="37" t="n">
        <v>147.78</v>
      </c>
      <c r="AP361" s="37" t="n">
        <v>199.55</v>
      </c>
      <c r="AQ361" s="37" t="n">
        <v>198.36</v>
      </c>
      <c r="AR361" s="37" t="n">
        <v>157.7</v>
      </c>
      <c r="AS361" s="37" t="n">
        <v>87.28</v>
      </c>
      <c r="AT361" s="37" t="n">
        <v>178.32</v>
      </c>
      <c r="AU361" s="37" t="n">
        <v>293.37</v>
      </c>
      <c r="AV361" s="37" t="n">
        <v>304.48</v>
      </c>
      <c r="AW361" s="37" t="n">
        <v>148.17</v>
      </c>
      <c r="AX361" s="37" t="n">
        <v>139.05</v>
      </c>
      <c r="AY361" s="37" t="n">
        <v>150.95</v>
      </c>
      <c r="AZ361" s="37" t="n">
        <v>83.91</v>
      </c>
      <c r="BA361" s="37" t="n">
        <v>163.05</v>
      </c>
      <c r="BB361" s="37" t="n">
        <v>151.55</v>
      </c>
      <c r="BC361" s="37" t="n">
        <v>50.98</v>
      </c>
      <c r="BD361" s="37" t="n">
        <v>129.73</v>
      </c>
      <c r="BE361" s="37" t="n">
        <v>159.48</v>
      </c>
      <c r="BF361" s="37" t="n">
        <v>137.07</v>
      </c>
      <c r="BG361" s="37" t="n">
        <v>113.86</v>
      </c>
      <c r="BH361" s="37" t="n">
        <v>208.67</v>
      </c>
      <c r="BI361" s="37" t="n">
        <v>178.13</v>
      </c>
      <c r="BJ361" s="37" t="n">
        <v>679.38</v>
      </c>
      <c r="BK361" s="37" t="n">
        <v>376.88</v>
      </c>
      <c r="BL361" s="37" t="n">
        <v>194.19</v>
      </c>
      <c r="BM361" s="37" t="n">
        <v>144.8</v>
      </c>
      <c r="BN361" s="37" t="n">
        <v>109.89</v>
      </c>
      <c r="BO361" s="37" t="n">
        <v>242.59</v>
      </c>
      <c r="BP361" s="37" t="n">
        <v>354.27</v>
      </c>
      <c r="BQ361" s="37" t="n">
        <v>256.28</v>
      </c>
      <c r="BR361" s="37" t="n">
        <v>168.61</v>
      </c>
      <c r="BS361" s="37" t="n">
        <v>159.48</v>
      </c>
      <c r="BT361" s="37" t="n">
        <v>137.07</v>
      </c>
      <c r="BU361" s="37" t="n">
        <v>161.66</v>
      </c>
      <c r="BV361" s="37" t="n">
        <v>220.97</v>
      </c>
      <c r="BW361" s="37" t="n">
        <v>178.13</v>
      </c>
      <c r="BX361" s="37" t="n">
        <v>171.98</v>
      </c>
      <c r="BY361" s="37" t="n">
        <v>168.61</v>
      </c>
      <c r="BZ361" s="37" t="n">
        <v>289.01</v>
      </c>
      <c r="CA361" s="37" t="n">
        <v>166.62</v>
      </c>
      <c r="CB361" s="37" t="n">
        <v>108.5</v>
      </c>
      <c r="CC361" s="37" t="n">
        <v>13672.59999999999</v>
      </c>
    </row>
    <row r="362" ht="15.75" customHeight="1" s="57">
      <c r="A362" s="7" t="inlineStr">
        <is>
          <t>NTB</t>
        </is>
      </c>
      <c r="B362" s="7" t="inlineStr">
        <is>
          <t>Lâm Đồng</t>
        </is>
      </c>
      <c r="C362" s="7" t="n">
        <v>21130000</v>
      </c>
      <c r="D362" s="7" t="inlineStr">
        <is>
          <t>Kho Giao Hàng Nặng - TP Đà Lạt - Lâm Đồng</t>
        </is>
      </c>
      <c r="E362" s="7" t="inlineStr">
        <is>
          <t>Shopee-Bulky (10-15kg)</t>
        </is>
      </c>
      <c r="F362" s="36" t="n">
        <v>90.39</v>
      </c>
      <c r="G362" s="36" t="n">
        <v>78.68000000000001</v>
      </c>
      <c r="H362" s="36" t="n">
        <v>102.83</v>
      </c>
      <c r="I362" s="36" t="n">
        <v>104.66</v>
      </c>
      <c r="J362" s="36" t="n">
        <v>65.87</v>
      </c>
      <c r="K362" s="28" t="n">
        <v>50.87</v>
      </c>
      <c r="L362" s="36" t="n">
        <v>48.67</v>
      </c>
      <c r="M362" s="36" t="n">
        <v>94.78</v>
      </c>
      <c r="N362" s="36" t="n">
        <v>78.68000000000001</v>
      </c>
      <c r="O362" s="36" t="n">
        <v>88.2</v>
      </c>
      <c r="P362" s="36" t="n">
        <v>77.22</v>
      </c>
      <c r="Q362" s="36" t="n">
        <v>64.04000000000001</v>
      </c>
      <c r="R362" s="28" t="n">
        <v>84.17</v>
      </c>
      <c r="S362" s="36" t="n">
        <v>69.17</v>
      </c>
      <c r="T362" s="36" t="n">
        <v>89.29000000000001</v>
      </c>
      <c r="U362" s="36" t="n">
        <v>79.54000000000001</v>
      </c>
      <c r="V362" s="36" t="n">
        <v>76.17</v>
      </c>
      <c r="W362" s="36" t="n">
        <v>100.37</v>
      </c>
      <c r="X362" s="36" t="n">
        <v>56.73</v>
      </c>
      <c r="Y362" s="28" t="n">
        <v>112.67</v>
      </c>
      <c r="Z362" s="36" t="n">
        <v>87.87</v>
      </c>
      <c r="AA362" s="36" t="n">
        <v>82.52</v>
      </c>
      <c r="AB362" s="36" t="n">
        <v>86.48</v>
      </c>
      <c r="AC362" s="36" t="n">
        <v>89.45999999999999</v>
      </c>
      <c r="AD362" s="36" t="n">
        <v>342.17</v>
      </c>
      <c r="AE362" s="36" t="n">
        <v>142.82</v>
      </c>
      <c r="AF362" s="28" t="n">
        <v>208.48</v>
      </c>
      <c r="AG362" s="36" t="n">
        <v>124.37</v>
      </c>
      <c r="AH362" s="37" t="n">
        <v>86.68000000000001</v>
      </c>
      <c r="AI362" s="37" t="n">
        <v>84.3</v>
      </c>
      <c r="AJ362" s="37" t="n">
        <v>81.72</v>
      </c>
      <c r="AK362" s="37" t="n">
        <v>192.41</v>
      </c>
      <c r="AL362" s="37" t="n">
        <v>93.43000000000001</v>
      </c>
      <c r="AM362" s="37" t="n">
        <v>138.26</v>
      </c>
      <c r="AN362" s="37" t="n">
        <v>86.88</v>
      </c>
      <c r="AO362" s="37" t="n">
        <v>83.31</v>
      </c>
      <c r="AP362" s="37" t="n">
        <v>109.69</v>
      </c>
      <c r="AQ362" s="37" t="n">
        <v>111.87</v>
      </c>
      <c r="AR362" s="37" t="n">
        <v>90.65000000000001</v>
      </c>
      <c r="AS362" s="37" t="n">
        <v>49.79</v>
      </c>
      <c r="AT362" s="37" t="n">
        <v>103.15</v>
      </c>
      <c r="AU362" s="37" t="n">
        <v>174.56</v>
      </c>
      <c r="AV362" s="37" t="n">
        <v>174.95</v>
      </c>
      <c r="AW362" s="37" t="n">
        <v>84.09999999999999</v>
      </c>
      <c r="AX362" s="37" t="n">
        <v>77.95999999999999</v>
      </c>
      <c r="AY362" s="37" t="n">
        <v>86.88</v>
      </c>
      <c r="AZ362" s="37" t="n">
        <v>47.8</v>
      </c>
      <c r="BA362" s="37" t="n">
        <v>94.22</v>
      </c>
      <c r="BB362" s="37" t="n">
        <v>87.48</v>
      </c>
      <c r="BC362" s="37" t="n">
        <v>30.55</v>
      </c>
      <c r="BD362" s="37" t="n">
        <v>73.39</v>
      </c>
      <c r="BE362" s="37" t="n">
        <v>91.44</v>
      </c>
      <c r="BF362" s="37" t="n">
        <v>79.73999999999999</v>
      </c>
      <c r="BG362" s="37" t="n">
        <v>65.45999999999999</v>
      </c>
      <c r="BH362" s="37" t="n">
        <v>122.19</v>
      </c>
      <c r="BI362" s="37" t="n">
        <v>103.15</v>
      </c>
      <c r="BJ362" s="37" t="n">
        <v>471.3</v>
      </c>
      <c r="BK362" s="37" t="n">
        <v>218.59</v>
      </c>
      <c r="BL362" s="37" t="n">
        <v>112.27</v>
      </c>
      <c r="BM362" s="37" t="n">
        <v>82.91</v>
      </c>
      <c r="BN362" s="37" t="n">
        <v>64.06999999999999</v>
      </c>
      <c r="BO362" s="37" t="n">
        <v>139.05</v>
      </c>
      <c r="BP362" s="37" t="n">
        <v>206.1</v>
      </c>
      <c r="BQ362" s="37" t="n">
        <v>148.97</v>
      </c>
      <c r="BR362" s="37" t="n">
        <v>96.8</v>
      </c>
      <c r="BS362" s="37" t="n">
        <v>91.44</v>
      </c>
      <c r="BT362" s="37" t="n">
        <v>79.73999999999999</v>
      </c>
      <c r="BU362" s="37" t="n">
        <v>92.44</v>
      </c>
      <c r="BV362" s="37" t="n">
        <v>126.95</v>
      </c>
      <c r="BW362" s="37" t="n">
        <v>103.15</v>
      </c>
      <c r="BX362" s="37" t="n">
        <v>98.39</v>
      </c>
      <c r="BY362" s="37" t="n">
        <v>96.8</v>
      </c>
      <c r="BZ362" s="37" t="n">
        <v>167.42</v>
      </c>
      <c r="CA362" s="37" t="n">
        <v>95.41</v>
      </c>
      <c r="CB362" s="37" t="n">
        <v>61.69</v>
      </c>
      <c r="CC362" s="37" t="n">
        <v>8036.669999999999</v>
      </c>
    </row>
    <row r="363" ht="15.75" customHeight="1" s="57">
      <c r="A363" s="7" t="inlineStr">
        <is>
          <t>NTB</t>
        </is>
      </c>
      <c r="B363" s="7" t="inlineStr">
        <is>
          <t>Lâm Đồng</t>
        </is>
      </c>
      <c r="C363" s="7" t="n">
        <v>21130000</v>
      </c>
      <c r="D363" s="7" t="inlineStr">
        <is>
          <t>Kho Giao Hàng Nặng - TP Đà Lạt - Lâm Đồng</t>
        </is>
      </c>
      <c r="E363" s="7" t="inlineStr">
        <is>
          <t>TTS</t>
        </is>
      </c>
      <c r="F363" s="36" t="n">
        <v>0</v>
      </c>
      <c r="G363" s="36" t="n">
        <v>0</v>
      </c>
      <c r="H363" s="36" t="n">
        <v>0</v>
      </c>
      <c r="I363" s="36" t="n">
        <v>0</v>
      </c>
      <c r="J363" s="36" t="n">
        <v>0</v>
      </c>
      <c r="K363" s="28" t="n">
        <v>0</v>
      </c>
      <c r="L363" s="36" t="n">
        <v>0</v>
      </c>
      <c r="M363" s="36" t="n">
        <v>0</v>
      </c>
      <c r="N363" s="36" t="n">
        <v>0</v>
      </c>
      <c r="O363" s="36" t="n">
        <v>7</v>
      </c>
      <c r="P363" s="36" t="n">
        <v>2</v>
      </c>
      <c r="Q363" s="36" t="n">
        <v>1</v>
      </c>
      <c r="R363" s="28" t="n">
        <v>1</v>
      </c>
      <c r="S363" s="36" t="n">
        <v>2</v>
      </c>
      <c r="T363" s="36" t="n">
        <v>3</v>
      </c>
      <c r="U363" s="36" t="n">
        <v>3.39</v>
      </c>
      <c r="V363" s="36" t="n">
        <v>3.28</v>
      </c>
      <c r="W363" s="36" t="n">
        <v>3.16</v>
      </c>
      <c r="X363" s="36" t="n">
        <v>2.69</v>
      </c>
      <c r="Y363" s="28" t="n">
        <v>3.77</v>
      </c>
      <c r="Z363" s="36" t="n">
        <v>3.24</v>
      </c>
      <c r="AA363" s="36" t="n">
        <v>3.58</v>
      </c>
      <c r="AB363" s="36" t="n">
        <v>3.86</v>
      </c>
      <c r="AC363" s="36" t="n">
        <v>4.13</v>
      </c>
      <c r="AD363" s="36" t="n">
        <v>5.15</v>
      </c>
      <c r="AE363" s="36" t="n">
        <v>3.06</v>
      </c>
      <c r="AF363" s="28" t="n">
        <v>3.83</v>
      </c>
      <c r="AG363" s="36" t="n">
        <v>3.27</v>
      </c>
      <c r="AH363" s="37" t="n">
        <v>3.17</v>
      </c>
      <c r="AI363" s="37" t="n">
        <v>3.73</v>
      </c>
      <c r="AJ363" s="37" t="n">
        <v>3.87</v>
      </c>
      <c r="AK363" s="37" t="n">
        <v>3.77</v>
      </c>
      <c r="AL363" s="37" t="n">
        <v>2.95</v>
      </c>
      <c r="AM363" s="37" t="n">
        <v>3.8</v>
      </c>
      <c r="AN363" s="37" t="n">
        <v>3.37</v>
      </c>
      <c r="AO363" s="37" t="n">
        <v>3.36</v>
      </c>
      <c r="AP363" s="37" t="n">
        <v>3.23</v>
      </c>
      <c r="AQ363" s="37" t="n">
        <v>3.24</v>
      </c>
      <c r="AR363" s="37" t="n">
        <v>3.14</v>
      </c>
      <c r="AS363" s="37" t="n">
        <v>2.7</v>
      </c>
      <c r="AT363" s="37" t="n">
        <v>4.2</v>
      </c>
      <c r="AU363" s="37" t="n">
        <v>3.76</v>
      </c>
      <c r="AV363" s="37" t="n">
        <v>3.38</v>
      </c>
      <c r="AW363" s="37" t="n">
        <v>3.21</v>
      </c>
      <c r="AX363" s="37" t="n">
        <v>3.2</v>
      </c>
      <c r="AY363" s="37" t="n">
        <v>3.12</v>
      </c>
      <c r="AZ363" s="37" t="n">
        <v>2.7</v>
      </c>
      <c r="BA363" s="37" t="n">
        <v>3.75</v>
      </c>
      <c r="BB363" s="37" t="n">
        <v>3.63</v>
      </c>
      <c r="BC363" s="37" t="n">
        <v>2.02</v>
      </c>
      <c r="BD363" s="37" t="n">
        <v>3.22</v>
      </c>
      <c r="BE363" s="37" t="n">
        <v>3.66</v>
      </c>
      <c r="BF363" s="37" t="n">
        <v>3.53</v>
      </c>
      <c r="BG363" s="37" t="n">
        <v>2.95</v>
      </c>
      <c r="BH363" s="37" t="n">
        <v>4.19</v>
      </c>
      <c r="BI363" s="37" t="n">
        <v>3.63</v>
      </c>
      <c r="BJ363" s="37" t="n">
        <v>4.07</v>
      </c>
      <c r="BK363" s="37" t="n">
        <v>3.65</v>
      </c>
      <c r="BL363" s="37" t="n">
        <v>3.66</v>
      </c>
      <c r="BM363" s="37" t="n">
        <v>3.53</v>
      </c>
      <c r="BN363" s="37" t="n">
        <v>2.95</v>
      </c>
      <c r="BO363" s="37" t="n">
        <v>4.19</v>
      </c>
      <c r="BP363" s="37" t="n">
        <v>3.63</v>
      </c>
      <c r="BQ363" s="37" t="n">
        <v>3.53</v>
      </c>
      <c r="BR363" s="37" t="n">
        <v>3.65</v>
      </c>
      <c r="BS363" s="37" t="n">
        <v>3.66</v>
      </c>
      <c r="BT363" s="37" t="n">
        <v>3.53</v>
      </c>
      <c r="BU363" s="37" t="n">
        <v>2.95</v>
      </c>
      <c r="BV363" s="37" t="n">
        <v>4.19</v>
      </c>
      <c r="BW363" s="37" t="n">
        <v>3.63</v>
      </c>
      <c r="BX363" s="37" t="n">
        <v>3.53</v>
      </c>
      <c r="BY363" s="37" t="n">
        <v>3.65</v>
      </c>
      <c r="BZ363" s="37" t="n">
        <v>3.66</v>
      </c>
      <c r="CA363" s="37" t="n">
        <v>3.53</v>
      </c>
      <c r="CB363" s="37" t="n">
        <v>2.95</v>
      </c>
      <c r="CC363" s="37" t="n">
        <v>225.03</v>
      </c>
    </row>
    <row r="364" ht="15.75" customHeight="1" s="57">
      <c r="A364" s="7" t="inlineStr">
        <is>
          <t>NTB</t>
        </is>
      </c>
      <c r="B364" s="7" t="inlineStr">
        <is>
          <t>Lâm Đồng</t>
        </is>
      </c>
      <c r="C364" s="7" t="n">
        <v>21130000</v>
      </c>
      <c r="D364" s="7" t="inlineStr">
        <is>
          <t>Kho Giao Hàng Nặng - TP Đà Lạt - Lâm Đồng</t>
        </is>
      </c>
      <c r="E364" s="7" t="inlineStr">
        <is>
          <t>TTS-Bulky</t>
        </is>
      </c>
      <c r="F364" s="36" t="n">
        <v>5</v>
      </c>
      <c r="G364" s="36" t="n">
        <v>2</v>
      </c>
      <c r="H364" s="36" t="n">
        <v>4</v>
      </c>
      <c r="I364" s="36" t="n">
        <v>5</v>
      </c>
      <c r="J364" s="36" t="n">
        <v>8</v>
      </c>
      <c r="K364" s="28" t="n">
        <v>4</v>
      </c>
      <c r="L364" s="36" t="n">
        <v>1</v>
      </c>
      <c r="M364" s="36" t="n">
        <v>5</v>
      </c>
      <c r="N364" s="36" t="n">
        <v>1</v>
      </c>
      <c r="O364" s="36" t="n">
        <v>6</v>
      </c>
      <c r="P364" s="36" t="n">
        <v>3</v>
      </c>
      <c r="Q364" s="36" t="n">
        <v>3</v>
      </c>
      <c r="R364" s="28" t="n">
        <v>6</v>
      </c>
      <c r="S364" s="36" t="n">
        <v>4</v>
      </c>
      <c r="T364" s="36" t="n">
        <v>5</v>
      </c>
      <c r="U364" s="36" t="n">
        <v>12.82</v>
      </c>
      <c r="V364" s="36" t="n">
        <v>12.98</v>
      </c>
      <c r="W364" s="36" t="n">
        <v>6.12</v>
      </c>
      <c r="X364" s="36" t="n">
        <v>4.41</v>
      </c>
      <c r="Y364" s="28" t="n">
        <v>8</v>
      </c>
      <c r="Z364" s="36" t="n">
        <v>6.37</v>
      </c>
      <c r="AA364" s="36" t="n">
        <v>6.78</v>
      </c>
      <c r="AB364" s="36" t="n">
        <v>7.02</v>
      </c>
      <c r="AC364" s="36" t="n">
        <v>7.43</v>
      </c>
      <c r="AD364" s="36" t="n">
        <v>11.11</v>
      </c>
      <c r="AE364" s="36" t="n">
        <v>4.98</v>
      </c>
      <c r="AF364" s="28" t="n">
        <v>7.92</v>
      </c>
      <c r="AG364" s="36" t="n">
        <v>6.04</v>
      </c>
      <c r="AH364" s="37" t="n">
        <v>6.04</v>
      </c>
      <c r="AI364" s="37" t="n">
        <v>6.12</v>
      </c>
      <c r="AJ364" s="37" t="n">
        <v>6.94</v>
      </c>
      <c r="AK364" s="37" t="n">
        <v>6.61</v>
      </c>
      <c r="AL364" s="37" t="n">
        <v>4.74</v>
      </c>
      <c r="AM364" s="37" t="n">
        <v>7.92</v>
      </c>
      <c r="AN364" s="37" t="n">
        <v>6.12</v>
      </c>
      <c r="AO364" s="37" t="n">
        <v>6.04</v>
      </c>
      <c r="AP364" s="37" t="n">
        <v>6.04</v>
      </c>
      <c r="AQ364" s="37" t="n">
        <v>6.61</v>
      </c>
      <c r="AR364" s="37" t="n">
        <v>6.12</v>
      </c>
      <c r="AS364" s="37" t="n">
        <v>4.57</v>
      </c>
      <c r="AT364" s="37" t="n">
        <v>8.25</v>
      </c>
      <c r="AU364" s="37" t="n">
        <v>7.02</v>
      </c>
      <c r="AV364" s="37" t="n">
        <v>6.21</v>
      </c>
      <c r="AW364" s="37" t="n">
        <v>5.96</v>
      </c>
      <c r="AX364" s="37" t="n">
        <v>6.61</v>
      </c>
      <c r="AY364" s="37" t="n">
        <v>6.04</v>
      </c>
      <c r="AZ364" s="37" t="n">
        <v>4.57</v>
      </c>
      <c r="BA364" s="37" t="n">
        <v>6.94</v>
      </c>
      <c r="BB364" s="37" t="n">
        <v>1.63</v>
      </c>
      <c r="BC364" s="37" t="n">
        <v>1.06</v>
      </c>
      <c r="BD364" s="37" t="n">
        <v>1.31</v>
      </c>
      <c r="BE364" s="37" t="n">
        <v>1.71</v>
      </c>
      <c r="BF364" s="37" t="n">
        <v>1.71</v>
      </c>
      <c r="BG364" s="37" t="n">
        <v>1.14</v>
      </c>
      <c r="BH364" s="37" t="n">
        <v>2.2</v>
      </c>
      <c r="BI364" s="37" t="n">
        <v>1.71</v>
      </c>
      <c r="BJ364" s="37" t="n">
        <v>2.78</v>
      </c>
      <c r="BK364" s="37" t="n">
        <v>1.8</v>
      </c>
      <c r="BL364" s="37" t="n">
        <v>1.71</v>
      </c>
      <c r="BM364" s="37" t="n">
        <v>1.71</v>
      </c>
      <c r="BN364" s="37" t="n">
        <v>1.31</v>
      </c>
      <c r="BO364" s="37" t="n">
        <v>2.53</v>
      </c>
      <c r="BP364" s="37" t="n">
        <v>1.96</v>
      </c>
      <c r="BQ364" s="37" t="n">
        <v>1.8</v>
      </c>
      <c r="BR364" s="37" t="n">
        <v>1.8</v>
      </c>
      <c r="BS364" s="37" t="n">
        <v>1.71</v>
      </c>
      <c r="BT364" s="37" t="n">
        <v>1.71</v>
      </c>
      <c r="BU364" s="37" t="n">
        <v>1.14</v>
      </c>
      <c r="BV364" s="37" t="n">
        <v>1.88</v>
      </c>
      <c r="BW364" s="37" t="n">
        <v>1.71</v>
      </c>
      <c r="BX364" s="37" t="n">
        <v>1.8</v>
      </c>
      <c r="BY364" s="37" t="n">
        <v>1.8</v>
      </c>
      <c r="BZ364" s="37" t="n">
        <v>1.71</v>
      </c>
      <c r="CA364" s="37" t="n">
        <v>1.71</v>
      </c>
      <c r="CB364" s="37" t="n">
        <v>1.14</v>
      </c>
      <c r="CC364" s="37" t="n">
        <v>335.6299999999997</v>
      </c>
    </row>
    <row r="365" ht="15.75" customHeight="1" s="57">
      <c r="A365" s="7" t="inlineStr">
        <is>
          <t>NTB</t>
        </is>
      </c>
      <c r="B365" s="7" t="inlineStr">
        <is>
          <t>Lâm Đồng</t>
        </is>
      </c>
      <c r="C365" s="7" t="n">
        <v>21131000</v>
      </c>
      <c r="D365" s="7" t="inlineStr">
        <is>
          <t>Kho Giao Hàng Nặng - TP Bảo Lộc - Lâm Đồng</t>
        </is>
      </c>
      <c r="E365" s="7" t="inlineStr">
        <is>
          <t>SME</t>
        </is>
      </c>
      <c r="F365" s="36" t="n">
        <v>3</v>
      </c>
      <c r="G365" s="36" t="n">
        <v>0</v>
      </c>
      <c r="H365" s="36" t="n">
        <v>0</v>
      </c>
      <c r="I365" s="36" t="n">
        <v>0</v>
      </c>
      <c r="J365" s="36" t="n">
        <v>1</v>
      </c>
      <c r="K365" s="28" t="n">
        <v>5</v>
      </c>
      <c r="L365" s="36" t="n">
        <v>0</v>
      </c>
      <c r="M365" s="36" t="n">
        <v>0</v>
      </c>
      <c r="N365" s="36" t="n">
        <v>2</v>
      </c>
      <c r="O365" s="36" t="n">
        <v>1</v>
      </c>
      <c r="P365" s="36" t="n">
        <v>1</v>
      </c>
      <c r="Q365" s="36" t="n">
        <v>0</v>
      </c>
      <c r="R365" s="28" t="n">
        <v>1</v>
      </c>
      <c r="S365" s="36" t="n">
        <v>0</v>
      </c>
      <c r="T365" s="36" t="n">
        <v>2</v>
      </c>
      <c r="U365" s="36" t="n">
        <v>28.38</v>
      </c>
      <c r="V365" s="36" t="n">
        <v>29.63</v>
      </c>
      <c r="W365" s="36" t="n">
        <v>28.79</v>
      </c>
      <c r="X365" s="36" t="n">
        <v>23.38</v>
      </c>
      <c r="Y365" s="28" t="n">
        <v>31.72</v>
      </c>
      <c r="Z365" s="36" t="n">
        <v>29.22</v>
      </c>
      <c r="AA365" s="36" t="n">
        <v>28.63</v>
      </c>
      <c r="AB365" s="36" t="n">
        <v>28.38</v>
      </c>
      <c r="AC365" s="36" t="n">
        <v>29.63</v>
      </c>
      <c r="AD365" s="36" t="n">
        <v>29.47</v>
      </c>
      <c r="AE365" s="36" t="n">
        <v>23.38</v>
      </c>
      <c r="AF365" s="28" t="n">
        <v>31.72</v>
      </c>
      <c r="AG365" s="36" t="n">
        <v>29.22</v>
      </c>
      <c r="AH365" s="37" t="n">
        <v>28.63</v>
      </c>
      <c r="AI365" s="37" t="n">
        <v>28.38</v>
      </c>
      <c r="AJ365" s="37" t="n">
        <v>29.63</v>
      </c>
      <c r="AK365" s="37" t="n">
        <v>28.79</v>
      </c>
      <c r="AL365" s="37" t="n">
        <v>23.38</v>
      </c>
      <c r="AM365" s="37" t="n">
        <v>31.72</v>
      </c>
      <c r="AN365" s="37" t="n">
        <v>29.22</v>
      </c>
      <c r="AO365" s="37" t="n">
        <v>28.63</v>
      </c>
      <c r="AP365" s="37" t="n">
        <v>28.38</v>
      </c>
      <c r="AQ365" s="37" t="n">
        <v>29.63</v>
      </c>
      <c r="AR365" s="37" t="n">
        <v>28.79</v>
      </c>
      <c r="AS365" s="37" t="n">
        <v>23.38</v>
      </c>
      <c r="AT365" s="37" t="n">
        <v>31.72</v>
      </c>
      <c r="AU365" s="37" t="n">
        <v>29.22</v>
      </c>
      <c r="AV365" s="37" t="n">
        <v>28.63</v>
      </c>
      <c r="AW365" s="37" t="n">
        <v>28.38</v>
      </c>
      <c r="AX365" s="37" t="n">
        <v>29.63</v>
      </c>
      <c r="AY365" s="37" t="n">
        <v>28.79</v>
      </c>
      <c r="AZ365" s="37" t="n">
        <v>23.38</v>
      </c>
      <c r="BA365" s="37" t="n">
        <v>28.71</v>
      </c>
      <c r="BB365" s="37" t="n">
        <v>25.47</v>
      </c>
      <c r="BC365" s="37" t="n">
        <v>16.52</v>
      </c>
      <c r="BD365" s="37" t="n">
        <v>16.27</v>
      </c>
      <c r="BE365" s="37" t="n">
        <v>26.81</v>
      </c>
      <c r="BF365" s="37" t="n">
        <v>26.38</v>
      </c>
      <c r="BG365" s="37" t="n">
        <v>23.73</v>
      </c>
      <c r="BH365" s="37" t="n">
        <v>32.25</v>
      </c>
      <c r="BI365" s="37" t="n">
        <v>29.66</v>
      </c>
      <c r="BJ365" s="37" t="n">
        <v>29.83</v>
      </c>
      <c r="BK365" s="37" t="n">
        <v>28.82</v>
      </c>
      <c r="BL365" s="37" t="n">
        <v>30.07</v>
      </c>
      <c r="BM365" s="37" t="n">
        <v>29.23</v>
      </c>
      <c r="BN365" s="37" t="n">
        <v>23.73</v>
      </c>
      <c r="BO365" s="37" t="n">
        <v>32.25</v>
      </c>
      <c r="BP365" s="37" t="n">
        <v>29.66</v>
      </c>
      <c r="BQ365" s="37" t="n">
        <v>29.06</v>
      </c>
      <c r="BR365" s="37" t="n">
        <v>28.82</v>
      </c>
      <c r="BS365" s="37" t="n">
        <v>30.07</v>
      </c>
      <c r="BT365" s="37" t="n">
        <v>29.23</v>
      </c>
      <c r="BU365" s="37" t="n">
        <v>23.73</v>
      </c>
      <c r="BV365" s="37" t="n">
        <v>32.25</v>
      </c>
      <c r="BW365" s="37" t="n">
        <v>29.66</v>
      </c>
      <c r="BX365" s="37" t="n">
        <v>29.06</v>
      </c>
      <c r="BY365" s="37" t="n">
        <v>28.82</v>
      </c>
      <c r="BZ365" s="37" t="n">
        <v>30.07</v>
      </c>
      <c r="CA365" s="37" t="n">
        <v>29.23</v>
      </c>
      <c r="CB365" s="37" t="n">
        <v>23.73</v>
      </c>
      <c r="CC365" s="37" t="n">
        <v>1698.98</v>
      </c>
    </row>
    <row r="366" ht="15.75" customHeight="1" s="57">
      <c r="A366" s="7" t="inlineStr">
        <is>
          <t>NTB</t>
        </is>
      </c>
      <c r="B366" s="7" t="inlineStr">
        <is>
          <t>Lâm Đồng</t>
        </is>
      </c>
      <c r="C366" s="7" t="n">
        <v>21131000</v>
      </c>
      <c r="D366" s="7" t="inlineStr">
        <is>
          <t>Kho Giao Hàng Nặng - TP Bảo Lộc - Lâm Đồng</t>
        </is>
      </c>
      <c r="E366" s="7" t="inlineStr">
        <is>
          <t>SME-Bulky</t>
        </is>
      </c>
      <c r="F366" s="36" t="n">
        <v>28</v>
      </c>
      <c r="G366" s="36" t="n">
        <v>22</v>
      </c>
      <c r="H366" s="36" t="n">
        <v>30</v>
      </c>
      <c r="I366" s="36" t="n">
        <v>37</v>
      </c>
      <c r="J366" s="36" t="n">
        <v>31</v>
      </c>
      <c r="K366" s="28" t="n">
        <v>27</v>
      </c>
      <c r="L366" s="36" t="n">
        <v>21</v>
      </c>
      <c r="M366" s="36" t="n">
        <v>30</v>
      </c>
      <c r="N366" s="36" t="n">
        <v>43</v>
      </c>
      <c r="O366" s="36" t="n">
        <v>50</v>
      </c>
      <c r="P366" s="36" t="n">
        <v>35</v>
      </c>
      <c r="Q366" s="36" t="n">
        <v>43</v>
      </c>
      <c r="R366" s="28" t="n">
        <v>35</v>
      </c>
      <c r="S366" s="36" t="n">
        <v>30</v>
      </c>
      <c r="T366" s="36" t="n">
        <v>23</v>
      </c>
      <c r="U366" s="36" t="n">
        <v>36.83</v>
      </c>
      <c r="V366" s="36" t="n">
        <v>36.43</v>
      </c>
      <c r="W366" s="36" t="n">
        <v>34.43</v>
      </c>
      <c r="X366" s="36" t="n">
        <v>22.93</v>
      </c>
      <c r="Y366" s="28" t="n">
        <v>41.14</v>
      </c>
      <c r="Z366" s="36" t="n">
        <v>39.31</v>
      </c>
      <c r="AA366" s="36" t="n">
        <v>38.75</v>
      </c>
      <c r="AB366" s="36" t="n">
        <v>36.83</v>
      </c>
      <c r="AC366" s="36" t="n">
        <v>36.43</v>
      </c>
      <c r="AD366" s="36" t="n">
        <v>32.36</v>
      </c>
      <c r="AE366" s="36" t="n">
        <v>22.93</v>
      </c>
      <c r="AF366" s="28" t="n">
        <v>41.14</v>
      </c>
      <c r="AG366" s="36" t="n">
        <v>39.31</v>
      </c>
      <c r="AH366" s="37" t="n">
        <v>38.75</v>
      </c>
      <c r="AI366" s="37" t="n">
        <v>36.83</v>
      </c>
      <c r="AJ366" s="37" t="n">
        <v>36.43</v>
      </c>
      <c r="AK366" s="37" t="n">
        <v>34.43</v>
      </c>
      <c r="AL366" s="37" t="n">
        <v>22.93</v>
      </c>
      <c r="AM366" s="37" t="n">
        <v>41.14</v>
      </c>
      <c r="AN366" s="37" t="n">
        <v>39.31</v>
      </c>
      <c r="AO366" s="37" t="n">
        <v>38.75</v>
      </c>
      <c r="AP366" s="37" t="n">
        <v>36.83</v>
      </c>
      <c r="AQ366" s="37" t="n">
        <v>36.43</v>
      </c>
      <c r="AR366" s="37" t="n">
        <v>34.43</v>
      </c>
      <c r="AS366" s="37" t="n">
        <v>22.93</v>
      </c>
      <c r="AT366" s="37" t="n">
        <v>41.14</v>
      </c>
      <c r="AU366" s="37" t="n">
        <v>39.31</v>
      </c>
      <c r="AV366" s="37" t="n">
        <v>38.75</v>
      </c>
      <c r="AW366" s="37" t="n">
        <v>36.83</v>
      </c>
      <c r="AX366" s="37" t="n">
        <v>36.43</v>
      </c>
      <c r="AY366" s="37" t="n">
        <v>34.43</v>
      </c>
      <c r="AZ366" s="37" t="n">
        <v>22.93</v>
      </c>
      <c r="BA366" s="37" t="n">
        <v>41.3</v>
      </c>
      <c r="BB366" s="37" t="n">
        <v>21.73</v>
      </c>
      <c r="BC366" s="37" t="n">
        <v>11.02</v>
      </c>
      <c r="BD366" s="37" t="n">
        <v>9.99</v>
      </c>
      <c r="BE366" s="37" t="n">
        <v>19.01</v>
      </c>
      <c r="BF366" s="37" t="n">
        <v>17.66</v>
      </c>
      <c r="BG366" s="37" t="n">
        <v>13.74</v>
      </c>
      <c r="BH366" s="37" t="n">
        <v>23.89</v>
      </c>
      <c r="BI366" s="37" t="n">
        <v>23.73</v>
      </c>
      <c r="BJ366" s="37" t="n">
        <v>20.53</v>
      </c>
      <c r="BK366" s="37" t="n">
        <v>21.81</v>
      </c>
      <c r="BL366" s="37" t="n">
        <v>21.89</v>
      </c>
      <c r="BM366" s="37" t="n">
        <v>20.37</v>
      </c>
      <c r="BN366" s="37" t="n">
        <v>13.74</v>
      </c>
      <c r="BO366" s="37" t="n">
        <v>23.89</v>
      </c>
      <c r="BP366" s="37" t="n">
        <v>23.73</v>
      </c>
      <c r="BQ366" s="37" t="n">
        <v>22.61</v>
      </c>
      <c r="BR366" s="37" t="n">
        <v>21.81</v>
      </c>
      <c r="BS366" s="37" t="n">
        <v>21.89</v>
      </c>
      <c r="BT366" s="37" t="n">
        <v>20.37</v>
      </c>
      <c r="BU366" s="37" t="n">
        <v>13.74</v>
      </c>
      <c r="BV366" s="37" t="n">
        <v>23.89</v>
      </c>
      <c r="BW366" s="37" t="n">
        <v>23.73</v>
      </c>
      <c r="BX366" s="37" t="n">
        <v>22.61</v>
      </c>
      <c r="BY366" s="37" t="n">
        <v>21.81</v>
      </c>
      <c r="BZ366" s="37" t="n">
        <v>21.89</v>
      </c>
      <c r="CA366" s="37" t="n">
        <v>20.37</v>
      </c>
      <c r="CB366" s="37" t="n">
        <v>13.74</v>
      </c>
      <c r="CC366" s="37" t="n">
        <v>2189.32</v>
      </c>
    </row>
    <row r="367" ht="15.75" customHeight="1" s="57">
      <c r="A367" s="7" t="inlineStr">
        <is>
          <t>NTB</t>
        </is>
      </c>
      <c r="B367" s="7" t="inlineStr">
        <is>
          <t>Lâm Đồng</t>
        </is>
      </c>
      <c r="C367" s="7" t="n">
        <v>21131000</v>
      </c>
      <c r="D367" s="7" t="inlineStr">
        <is>
          <t>Kho Giao Hàng Nặng - TP Bảo Lộc - Lâm Đồng</t>
        </is>
      </c>
      <c r="E367" s="7" t="inlineStr">
        <is>
          <t>Shopee</t>
        </is>
      </c>
      <c r="F367" s="36" t="n">
        <v>0</v>
      </c>
      <c r="G367" s="36" t="n">
        <v>0</v>
      </c>
      <c r="H367" s="36" t="n">
        <v>1</v>
      </c>
      <c r="I367" s="36" t="n">
        <v>0</v>
      </c>
      <c r="J367" s="36" t="n">
        <v>0</v>
      </c>
      <c r="K367" s="28" t="n">
        <v>1</v>
      </c>
      <c r="L367" s="36" t="n">
        <v>0</v>
      </c>
      <c r="M367" s="36" t="n">
        <v>1</v>
      </c>
      <c r="N367" s="36" t="n">
        <v>1</v>
      </c>
      <c r="O367" s="36" t="n">
        <v>1</v>
      </c>
      <c r="P367" s="36" t="n">
        <v>1</v>
      </c>
      <c r="Q367" s="36" t="n">
        <v>1</v>
      </c>
      <c r="R367" s="28" t="n">
        <v>1</v>
      </c>
      <c r="S367" s="36" t="n">
        <v>0</v>
      </c>
      <c r="T367" s="36" t="n">
        <v>0</v>
      </c>
      <c r="U367" s="36" t="n">
        <v>0</v>
      </c>
      <c r="V367" s="36" t="n">
        <v>0</v>
      </c>
      <c r="W367" s="36" t="n">
        <v>0</v>
      </c>
      <c r="X367" s="36" t="n">
        <v>0</v>
      </c>
      <c r="Y367" s="28" t="n">
        <v>0</v>
      </c>
      <c r="Z367" s="36" t="n">
        <v>0</v>
      </c>
      <c r="AA367" s="36" t="n">
        <v>0</v>
      </c>
      <c r="AB367" s="36" t="n">
        <v>0</v>
      </c>
      <c r="AC367" s="36" t="n">
        <v>0</v>
      </c>
      <c r="AD367" s="36" t="n">
        <v>0</v>
      </c>
      <c r="AE367" s="36" t="n">
        <v>0</v>
      </c>
      <c r="AF367" s="28" t="n">
        <v>0</v>
      </c>
      <c r="AG367" s="36" t="n">
        <v>0</v>
      </c>
      <c r="AH367" s="37" t="n">
        <v>0</v>
      </c>
      <c r="AI367" s="37" t="n">
        <v>0</v>
      </c>
      <c r="AJ367" s="37" t="n">
        <v>0</v>
      </c>
      <c r="AK367" s="37" t="n">
        <v>0</v>
      </c>
      <c r="AL367" s="37" t="n">
        <v>0</v>
      </c>
      <c r="AM367" s="37" t="n">
        <v>0</v>
      </c>
      <c r="AN367" s="37" t="n">
        <v>0</v>
      </c>
      <c r="AO367" s="37" t="n">
        <v>0</v>
      </c>
      <c r="AP367" s="37" t="n">
        <v>0</v>
      </c>
      <c r="AQ367" s="37" t="n">
        <v>0</v>
      </c>
      <c r="AR367" s="37" t="n">
        <v>0</v>
      </c>
      <c r="AS367" s="37" t="n">
        <v>0</v>
      </c>
      <c r="AT367" s="37" t="n">
        <v>0</v>
      </c>
      <c r="AU367" s="37" t="n">
        <v>0</v>
      </c>
      <c r="AV367" s="37" t="n">
        <v>0</v>
      </c>
      <c r="AW367" s="37" t="n">
        <v>0</v>
      </c>
      <c r="AX367" s="37" t="n">
        <v>0</v>
      </c>
      <c r="AY367" s="37" t="n">
        <v>0</v>
      </c>
      <c r="AZ367" s="37" t="n">
        <v>0</v>
      </c>
      <c r="BA367" s="37" t="n">
        <v>0</v>
      </c>
      <c r="BB367" s="37" t="n">
        <v>0</v>
      </c>
      <c r="BC367" s="37" t="n">
        <v>0</v>
      </c>
      <c r="BD367" s="37" t="n">
        <v>0</v>
      </c>
      <c r="BE367" s="37" t="n">
        <v>0</v>
      </c>
      <c r="BF367" s="37" t="n">
        <v>0</v>
      </c>
      <c r="BG367" s="37" t="n">
        <v>0</v>
      </c>
      <c r="BH367" s="37" t="n">
        <v>0</v>
      </c>
      <c r="BI367" s="37" t="n">
        <v>0</v>
      </c>
      <c r="BJ367" s="37" t="n">
        <v>0</v>
      </c>
      <c r="BK367" s="37" t="n">
        <v>0</v>
      </c>
      <c r="BL367" s="37" t="n">
        <v>0</v>
      </c>
      <c r="BM367" s="37" t="n">
        <v>0</v>
      </c>
      <c r="BN367" s="37" t="n">
        <v>0</v>
      </c>
      <c r="BO367" s="37" t="n">
        <v>0</v>
      </c>
      <c r="BP367" s="37" t="n">
        <v>0</v>
      </c>
      <c r="BQ367" s="37" t="n">
        <v>0</v>
      </c>
      <c r="BR367" s="37" t="n">
        <v>0</v>
      </c>
      <c r="BS367" s="37" t="n">
        <v>0</v>
      </c>
      <c r="BT367" s="37" t="n">
        <v>0</v>
      </c>
      <c r="BU367" s="37" t="n">
        <v>0</v>
      </c>
      <c r="BV367" s="37" t="n">
        <v>0</v>
      </c>
      <c r="BW367" s="37" t="n">
        <v>0</v>
      </c>
      <c r="BX367" s="37" t="n">
        <v>0</v>
      </c>
      <c r="BY367" s="37" t="n">
        <v>0</v>
      </c>
      <c r="BZ367" s="37" t="n">
        <v>0</v>
      </c>
      <c r="CA367" s="37" t="n">
        <v>0</v>
      </c>
      <c r="CB367" s="37" t="n">
        <v>0</v>
      </c>
      <c r="CC367" s="37" t="n">
        <v>8</v>
      </c>
    </row>
    <row r="368" ht="15.75" customHeight="1" s="57">
      <c r="A368" s="7" t="inlineStr">
        <is>
          <t>NTB</t>
        </is>
      </c>
      <c r="B368" s="7" t="inlineStr">
        <is>
          <t>Lâm Đồng</t>
        </is>
      </c>
      <c r="C368" s="7" t="n">
        <v>21131000</v>
      </c>
      <c r="D368" s="7" t="inlineStr">
        <is>
          <t>Kho Giao Hàng Nặng - TP Bảo Lộc - Lâm Đồng</t>
        </is>
      </c>
      <c r="E368" s="7" t="inlineStr">
        <is>
          <t>Shopee-Bulky</t>
        </is>
      </c>
      <c r="F368" s="36" t="n">
        <v>78.62</v>
      </c>
      <c r="G368" s="36" t="n">
        <v>79.89</v>
      </c>
      <c r="H368" s="36" t="n">
        <v>99.54000000000001</v>
      </c>
      <c r="I368" s="36" t="n">
        <v>95.11</v>
      </c>
      <c r="J368" s="36" t="n">
        <v>77.98999999999999</v>
      </c>
      <c r="K368" s="28" t="n">
        <v>68.48</v>
      </c>
      <c r="L368" s="36" t="n">
        <v>51.36</v>
      </c>
      <c r="M368" s="36" t="n">
        <v>89.40000000000001</v>
      </c>
      <c r="N368" s="36" t="n">
        <v>93.2</v>
      </c>
      <c r="O368" s="36" t="n">
        <v>88.77</v>
      </c>
      <c r="P368" s="36" t="n">
        <v>80.52</v>
      </c>
      <c r="Q368" s="36" t="n">
        <v>76.72</v>
      </c>
      <c r="R368" s="28" t="n">
        <v>81.16</v>
      </c>
      <c r="S368" s="36" t="n">
        <v>81.16</v>
      </c>
      <c r="T368" s="36" t="n">
        <v>57.06</v>
      </c>
      <c r="U368" s="36" t="n">
        <v>77.58</v>
      </c>
      <c r="V368" s="36" t="n">
        <v>74.79000000000001</v>
      </c>
      <c r="W368" s="36" t="n">
        <v>102.82</v>
      </c>
      <c r="X368" s="36" t="n">
        <v>58.16</v>
      </c>
      <c r="Y368" s="28" t="n">
        <v>113.87</v>
      </c>
      <c r="Z368" s="36" t="n">
        <v>90.03</v>
      </c>
      <c r="AA368" s="36" t="n">
        <v>87.47</v>
      </c>
      <c r="AB368" s="36" t="n">
        <v>88.52</v>
      </c>
      <c r="AC368" s="36" t="n">
        <v>92.94</v>
      </c>
      <c r="AD368" s="36" t="n">
        <v>250.43</v>
      </c>
      <c r="AE368" s="36" t="n">
        <v>149.47</v>
      </c>
      <c r="AF368" s="28" t="n">
        <v>222.86</v>
      </c>
      <c r="AG368" s="36" t="n">
        <v>126.55</v>
      </c>
      <c r="AH368" s="37" t="n">
        <v>88.98</v>
      </c>
      <c r="AI368" s="37" t="n">
        <v>85.61</v>
      </c>
      <c r="AJ368" s="37" t="n">
        <v>84.91</v>
      </c>
      <c r="AK368" s="37" t="n">
        <v>192.27</v>
      </c>
      <c r="AL368" s="37" t="n">
        <v>97.81999999999999</v>
      </c>
      <c r="AM368" s="37" t="n">
        <v>139.7</v>
      </c>
      <c r="AN368" s="37" t="n">
        <v>88.40000000000001</v>
      </c>
      <c r="AO368" s="37" t="n">
        <v>86.66</v>
      </c>
      <c r="AP368" s="37" t="n">
        <v>117.01</v>
      </c>
      <c r="AQ368" s="37" t="n">
        <v>116.32</v>
      </c>
      <c r="AR368" s="37" t="n">
        <v>92.47</v>
      </c>
      <c r="AS368" s="37" t="n">
        <v>51.18</v>
      </c>
      <c r="AT368" s="37" t="n">
        <v>104.57</v>
      </c>
      <c r="AU368" s="37" t="n">
        <v>172.03</v>
      </c>
      <c r="AV368" s="37" t="n">
        <v>178.55</v>
      </c>
      <c r="AW368" s="37" t="n">
        <v>86.89</v>
      </c>
      <c r="AX368" s="37" t="n">
        <v>81.54000000000001</v>
      </c>
      <c r="AY368" s="37" t="n">
        <v>88.52</v>
      </c>
      <c r="AZ368" s="37" t="n">
        <v>49.2</v>
      </c>
      <c r="BA368" s="37" t="n">
        <v>95.61</v>
      </c>
      <c r="BB368" s="37" t="n">
        <v>88.87</v>
      </c>
      <c r="BC368" s="37" t="n">
        <v>29.89</v>
      </c>
      <c r="BD368" s="37" t="n">
        <v>76.06999999999999</v>
      </c>
      <c r="BE368" s="37" t="n">
        <v>93.52</v>
      </c>
      <c r="BF368" s="37" t="n">
        <v>80.37</v>
      </c>
      <c r="BG368" s="37" t="n">
        <v>66.77</v>
      </c>
      <c r="BH368" s="37" t="n">
        <v>122.36</v>
      </c>
      <c r="BI368" s="37" t="n">
        <v>104.45</v>
      </c>
      <c r="BJ368" s="37" t="n">
        <v>398.38</v>
      </c>
      <c r="BK368" s="37" t="n">
        <v>221</v>
      </c>
      <c r="BL368" s="37" t="n">
        <v>113.87</v>
      </c>
      <c r="BM368" s="37" t="n">
        <v>84.91</v>
      </c>
      <c r="BN368" s="37" t="n">
        <v>64.44</v>
      </c>
      <c r="BO368" s="37" t="n">
        <v>142.25</v>
      </c>
      <c r="BP368" s="37" t="n">
        <v>207.74</v>
      </c>
      <c r="BQ368" s="37" t="n">
        <v>150.28</v>
      </c>
      <c r="BR368" s="37" t="n">
        <v>98.87</v>
      </c>
      <c r="BS368" s="37" t="n">
        <v>93.52</v>
      </c>
      <c r="BT368" s="37" t="n">
        <v>80.37</v>
      </c>
      <c r="BU368" s="37" t="n">
        <v>94.8</v>
      </c>
      <c r="BV368" s="37" t="n">
        <v>129.58</v>
      </c>
      <c r="BW368" s="37" t="n">
        <v>104.45</v>
      </c>
      <c r="BX368" s="37" t="n">
        <v>100.85</v>
      </c>
      <c r="BY368" s="37" t="n">
        <v>98.87</v>
      </c>
      <c r="BZ368" s="37" t="n">
        <v>169.47</v>
      </c>
      <c r="CA368" s="37" t="n">
        <v>97.70999999999999</v>
      </c>
      <c r="CB368" s="37" t="n">
        <v>63.62</v>
      </c>
      <c r="CC368" s="37" t="n">
        <v>8009.99</v>
      </c>
    </row>
    <row r="369" ht="15.75" customHeight="1" s="57">
      <c r="A369" s="7" t="inlineStr">
        <is>
          <t>NTB</t>
        </is>
      </c>
      <c r="B369" s="7" t="inlineStr">
        <is>
          <t>Lâm Đồng</t>
        </is>
      </c>
      <c r="C369" s="7" t="n">
        <v>21131000</v>
      </c>
      <c r="D369" s="7" t="inlineStr">
        <is>
          <t>Kho Giao Hàng Nặng - TP Bảo Lộc - Lâm Đồng</t>
        </is>
      </c>
      <c r="E369" s="7" t="inlineStr">
        <is>
          <t>Shopee-Bulky (10-15kg)</t>
        </is>
      </c>
      <c r="F369" s="36" t="n">
        <v>45.38</v>
      </c>
      <c r="G369" s="36" t="n">
        <v>46.11</v>
      </c>
      <c r="H369" s="36" t="n">
        <v>57.46</v>
      </c>
      <c r="I369" s="36" t="n">
        <v>54.89</v>
      </c>
      <c r="J369" s="36" t="n">
        <v>45.01</v>
      </c>
      <c r="K369" s="28" t="n">
        <v>39.52</v>
      </c>
      <c r="L369" s="36" t="n">
        <v>29.64</v>
      </c>
      <c r="M369" s="36" t="n">
        <v>51.6</v>
      </c>
      <c r="N369" s="36" t="n">
        <v>53.8</v>
      </c>
      <c r="O369" s="36" t="n">
        <v>51.23</v>
      </c>
      <c r="P369" s="36" t="n">
        <v>46.48</v>
      </c>
      <c r="Q369" s="36" t="n">
        <v>44.28</v>
      </c>
      <c r="R369" s="28" t="n">
        <v>46.84</v>
      </c>
      <c r="S369" s="36" t="n">
        <v>46.84</v>
      </c>
      <c r="T369" s="36" t="n">
        <v>32.94</v>
      </c>
      <c r="U369" s="36" t="n">
        <v>46.64</v>
      </c>
      <c r="V369" s="36" t="n">
        <v>44.67</v>
      </c>
      <c r="W369" s="36" t="n">
        <v>58.86</v>
      </c>
      <c r="X369" s="36" t="n">
        <v>33.27</v>
      </c>
      <c r="Y369" s="28" t="n">
        <v>66.06999999999999</v>
      </c>
      <c r="Z369" s="36" t="n">
        <v>51.53</v>
      </c>
      <c r="AA369" s="36" t="n">
        <v>48.39</v>
      </c>
      <c r="AB369" s="36" t="n">
        <v>50.71</v>
      </c>
      <c r="AC369" s="36" t="n">
        <v>52.46</v>
      </c>
      <c r="AD369" s="36" t="n">
        <v>200.65</v>
      </c>
      <c r="AE369" s="36" t="n">
        <v>83.75</v>
      </c>
      <c r="AF369" s="28" t="n">
        <v>122.25</v>
      </c>
      <c r="AG369" s="36" t="n">
        <v>72.93000000000001</v>
      </c>
      <c r="AH369" s="37" t="n">
        <v>50.83</v>
      </c>
      <c r="AI369" s="37" t="n">
        <v>49.43</v>
      </c>
      <c r="AJ369" s="37" t="n">
        <v>47.92</v>
      </c>
      <c r="AK369" s="37" t="n">
        <v>112.83</v>
      </c>
      <c r="AL369" s="37" t="n">
        <v>54.78</v>
      </c>
      <c r="AM369" s="37" t="n">
        <v>81.06999999999999</v>
      </c>
      <c r="AN369" s="37" t="n">
        <v>50.95</v>
      </c>
      <c r="AO369" s="37" t="n">
        <v>48.85</v>
      </c>
      <c r="AP369" s="37" t="n">
        <v>64.31999999999999</v>
      </c>
      <c r="AQ369" s="37" t="n">
        <v>65.59999999999999</v>
      </c>
      <c r="AR369" s="37" t="n">
        <v>53.16</v>
      </c>
      <c r="AS369" s="37" t="n">
        <v>29.2</v>
      </c>
      <c r="AT369" s="37" t="n">
        <v>60.48</v>
      </c>
      <c r="AU369" s="37" t="n">
        <v>102.36</v>
      </c>
      <c r="AV369" s="37" t="n">
        <v>102.59</v>
      </c>
      <c r="AW369" s="37" t="n">
        <v>49.32</v>
      </c>
      <c r="AX369" s="37" t="n">
        <v>45.71</v>
      </c>
      <c r="AY369" s="37" t="n">
        <v>50.95</v>
      </c>
      <c r="AZ369" s="37" t="n">
        <v>28.03</v>
      </c>
      <c r="BA369" s="37" t="n">
        <v>55.25</v>
      </c>
      <c r="BB369" s="37" t="n">
        <v>51.3</v>
      </c>
      <c r="BC369" s="37" t="n">
        <v>17.91</v>
      </c>
      <c r="BD369" s="37" t="n">
        <v>43.04</v>
      </c>
      <c r="BE369" s="37" t="n">
        <v>53.62</v>
      </c>
      <c r="BF369" s="37" t="n">
        <v>46.76</v>
      </c>
      <c r="BG369" s="37" t="n">
        <v>38.38</v>
      </c>
      <c r="BH369" s="37" t="n">
        <v>71.65000000000001</v>
      </c>
      <c r="BI369" s="37" t="n">
        <v>60.48</v>
      </c>
      <c r="BJ369" s="37" t="n">
        <v>276.37</v>
      </c>
      <c r="BK369" s="37" t="n">
        <v>128.18</v>
      </c>
      <c r="BL369" s="37" t="n">
        <v>65.83</v>
      </c>
      <c r="BM369" s="37" t="n">
        <v>48.62</v>
      </c>
      <c r="BN369" s="37" t="n">
        <v>37.57</v>
      </c>
      <c r="BO369" s="37" t="n">
        <v>81.54000000000001</v>
      </c>
      <c r="BP369" s="37" t="n">
        <v>120.85</v>
      </c>
      <c r="BQ369" s="37" t="n">
        <v>87.34999999999999</v>
      </c>
      <c r="BR369" s="37" t="n">
        <v>56.76</v>
      </c>
      <c r="BS369" s="37" t="n">
        <v>53.62</v>
      </c>
      <c r="BT369" s="37" t="n">
        <v>46.76</v>
      </c>
      <c r="BU369" s="37" t="n">
        <v>54.2</v>
      </c>
      <c r="BV369" s="37" t="n">
        <v>74.44</v>
      </c>
      <c r="BW369" s="37" t="n">
        <v>60.48</v>
      </c>
      <c r="BX369" s="37" t="n">
        <v>57.69</v>
      </c>
      <c r="BY369" s="37" t="n">
        <v>56.76</v>
      </c>
      <c r="BZ369" s="37" t="n">
        <v>98.17</v>
      </c>
      <c r="CA369" s="37" t="n">
        <v>55.95</v>
      </c>
      <c r="CB369" s="37" t="n">
        <v>36.17</v>
      </c>
      <c r="CC369" s="37" t="n">
        <v>4708.279999999999</v>
      </c>
    </row>
    <row r="370" ht="15.75" customHeight="1" s="57">
      <c r="A370" s="7" t="inlineStr">
        <is>
          <t>NTB</t>
        </is>
      </c>
      <c r="B370" s="7" t="inlineStr">
        <is>
          <t>Lâm Đồng</t>
        </is>
      </c>
      <c r="C370" s="7" t="n">
        <v>21131000</v>
      </c>
      <c r="D370" s="7" t="inlineStr">
        <is>
          <t>Kho Giao Hàng Nặng - TP Bảo Lộc - Lâm Đồng</t>
        </is>
      </c>
      <c r="E370" s="7" t="inlineStr">
        <is>
          <t>TTS</t>
        </is>
      </c>
      <c r="F370" s="36" t="n">
        <v>0</v>
      </c>
      <c r="G370" s="36" t="n">
        <v>0</v>
      </c>
      <c r="H370" s="36" t="n">
        <v>0</v>
      </c>
      <c r="I370" s="36" t="n">
        <v>0</v>
      </c>
      <c r="J370" s="36" t="n">
        <v>0</v>
      </c>
      <c r="K370" s="28" t="n">
        <v>0</v>
      </c>
      <c r="L370" s="36" t="n">
        <v>0</v>
      </c>
      <c r="M370" s="36" t="n">
        <v>0</v>
      </c>
      <c r="N370" s="36" t="n">
        <v>0</v>
      </c>
      <c r="O370" s="36" t="n">
        <v>0</v>
      </c>
      <c r="P370" s="36" t="n">
        <v>3</v>
      </c>
      <c r="Q370" s="36" t="n">
        <v>3</v>
      </c>
      <c r="R370" s="28" t="n">
        <v>8</v>
      </c>
      <c r="S370" s="36" t="n">
        <v>3</v>
      </c>
      <c r="T370" s="36" t="n">
        <v>0</v>
      </c>
      <c r="U370" s="36" t="n">
        <v>2.86</v>
      </c>
      <c r="V370" s="36" t="n">
        <v>2.78</v>
      </c>
      <c r="W370" s="36" t="n">
        <v>2.69</v>
      </c>
      <c r="X370" s="36" t="n">
        <v>2.26</v>
      </c>
      <c r="Y370" s="28" t="n">
        <v>3.2</v>
      </c>
      <c r="Z370" s="36" t="n">
        <v>2.74</v>
      </c>
      <c r="AA370" s="36" t="n">
        <v>3.02</v>
      </c>
      <c r="AB370" s="36" t="n">
        <v>3.3</v>
      </c>
      <c r="AC370" s="36" t="n">
        <v>3.51</v>
      </c>
      <c r="AD370" s="36" t="n">
        <v>4.17</v>
      </c>
      <c r="AE370" s="36" t="n">
        <v>2.58</v>
      </c>
      <c r="AF370" s="28" t="n">
        <v>3.26</v>
      </c>
      <c r="AG370" s="36" t="n">
        <v>2.77</v>
      </c>
      <c r="AH370" s="37" t="n">
        <v>2.7</v>
      </c>
      <c r="AI370" s="37" t="n">
        <v>3.16</v>
      </c>
      <c r="AJ370" s="37" t="n">
        <v>3.31</v>
      </c>
      <c r="AK370" s="37" t="n">
        <v>3.22</v>
      </c>
      <c r="AL370" s="37" t="n">
        <v>2.47</v>
      </c>
      <c r="AM370" s="37" t="n">
        <v>3.23</v>
      </c>
      <c r="AN370" s="37" t="n">
        <v>2.84</v>
      </c>
      <c r="AO370" s="37" t="n">
        <v>2.83</v>
      </c>
      <c r="AP370" s="37" t="n">
        <v>2.73</v>
      </c>
      <c r="AQ370" s="37" t="n">
        <v>2.74</v>
      </c>
      <c r="AR370" s="37" t="n">
        <v>2.67</v>
      </c>
      <c r="AS370" s="37" t="n">
        <v>2.27</v>
      </c>
      <c r="AT370" s="37" t="n">
        <v>3.55</v>
      </c>
      <c r="AU370" s="37" t="n">
        <v>3.19</v>
      </c>
      <c r="AV370" s="37" t="n">
        <v>2.86</v>
      </c>
      <c r="AW370" s="37" t="n">
        <v>2.71</v>
      </c>
      <c r="AX370" s="37" t="n">
        <v>2.7</v>
      </c>
      <c r="AY370" s="37" t="n">
        <v>2.64</v>
      </c>
      <c r="AZ370" s="37" t="n">
        <v>2.27</v>
      </c>
      <c r="BA370" s="37" t="n">
        <v>3.18</v>
      </c>
      <c r="BB370" s="37" t="n">
        <v>3.05</v>
      </c>
      <c r="BC370" s="37" t="n">
        <v>1.73</v>
      </c>
      <c r="BD370" s="37" t="n">
        <v>2.68</v>
      </c>
      <c r="BE370" s="37" t="n">
        <v>3.08</v>
      </c>
      <c r="BF370" s="37" t="n">
        <v>2.97</v>
      </c>
      <c r="BG370" s="37" t="n">
        <v>2.47</v>
      </c>
      <c r="BH370" s="37" t="n">
        <v>3.54</v>
      </c>
      <c r="BI370" s="37" t="n">
        <v>3.05</v>
      </c>
      <c r="BJ370" s="37" t="n">
        <v>3.27</v>
      </c>
      <c r="BK370" s="37" t="n">
        <v>3.07</v>
      </c>
      <c r="BL370" s="37" t="n">
        <v>3.08</v>
      </c>
      <c r="BM370" s="37" t="n">
        <v>2.97</v>
      </c>
      <c r="BN370" s="37" t="n">
        <v>2.47</v>
      </c>
      <c r="BO370" s="37" t="n">
        <v>3.54</v>
      </c>
      <c r="BP370" s="37" t="n">
        <v>3.05</v>
      </c>
      <c r="BQ370" s="37" t="n">
        <v>2.97</v>
      </c>
      <c r="BR370" s="37" t="n">
        <v>3.07</v>
      </c>
      <c r="BS370" s="37" t="n">
        <v>3.08</v>
      </c>
      <c r="BT370" s="37" t="n">
        <v>2.97</v>
      </c>
      <c r="BU370" s="37" t="n">
        <v>2.47</v>
      </c>
      <c r="BV370" s="37" t="n">
        <v>3.54</v>
      </c>
      <c r="BW370" s="37" t="n">
        <v>3.05</v>
      </c>
      <c r="BX370" s="37" t="n">
        <v>2.97</v>
      </c>
      <c r="BY370" s="37" t="n">
        <v>3.07</v>
      </c>
      <c r="BZ370" s="37" t="n">
        <v>3.08</v>
      </c>
      <c r="CA370" s="37" t="n">
        <v>2.97</v>
      </c>
      <c r="CB370" s="37" t="n">
        <v>2.47</v>
      </c>
      <c r="CC370" s="37" t="n">
        <v>193.14</v>
      </c>
    </row>
    <row r="371" ht="15.75" customHeight="1" s="57">
      <c r="A371" s="7" t="inlineStr">
        <is>
          <t>NTB</t>
        </is>
      </c>
      <c r="B371" s="7" t="inlineStr">
        <is>
          <t>Lâm Đồng</t>
        </is>
      </c>
      <c r="C371" s="7" t="n">
        <v>21131000</v>
      </c>
      <c r="D371" s="7" t="inlineStr">
        <is>
          <t>Kho Giao Hàng Nặng - TP Bảo Lộc - Lâm Đồng</t>
        </is>
      </c>
      <c r="E371" s="7" t="inlineStr">
        <is>
          <t>TTS-Bulky</t>
        </is>
      </c>
      <c r="F371" s="36" t="n">
        <v>4</v>
      </c>
      <c r="G371" s="36" t="n">
        <v>2</v>
      </c>
      <c r="H371" s="36" t="n">
        <v>2</v>
      </c>
      <c r="I371" s="36" t="n">
        <v>2</v>
      </c>
      <c r="J371" s="36" t="n">
        <v>3</v>
      </c>
      <c r="K371" s="28" t="n">
        <v>2</v>
      </c>
      <c r="L371" s="36" t="n">
        <v>3</v>
      </c>
      <c r="M371" s="36" t="n">
        <v>0</v>
      </c>
      <c r="N371" s="36" t="n">
        <v>1</v>
      </c>
      <c r="O371" s="36" t="n">
        <v>5</v>
      </c>
      <c r="P371" s="36" t="n">
        <v>5</v>
      </c>
      <c r="Q371" s="36" t="n">
        <v>0</v>
      </c>
      <c r="R371" s="28" t="n">
        <v>3</v>
      </c>
      <c r="S371" s="36" t="n">
        <v>4</v>
      </c>
      <c r="T371" s="36" t="n">
        <v>4</v>
      </c>
      <c r="U371" s="36" t="n">
        <v>8.1</v>
      </c>
      <c r="V371" s="36" t="n">
        <v>8.199999999999999</v>
      </c>
      <c r="W371" s="36" t="n">
        <v>3.87</v>
      </c>
      <c r="X371" s="36" t="n">
        <v>2.79</v>
      </c>
      <c r="Y371" s="28" t="n">
        <v>5.05</v>
      </c>
      <c r="Z371" s="36" t="n">
        <v>4.02</v>
      </c>
      <c r="AA371" s="36" t="n">
        <v>4.28</v>
      </c>
      <c r="AB371" s="36" t="n">
        <v>4.44</v>
      </c>
      <c r="AC371" s="36" t="n">
        <v>4.69</v>
      </c>
      <c r="AD371" s="36" t="n">
        <v>7.01</v>
      </c>
      <c r="AE371" s="36" t="n">
        <v>3.15</v>
      </c>
      <c r="AF371" s="28" t="n">
        <v>5</v>
      </c>
      <c r="AG371" s="36" t="n">
        <v>3.82</v>
      </c>
      <c r="AH371" s="37" t="n">
        <v>3.82</v>
      </c>
      <c r="AI371" s="37" t="n">
        <v>3.87</v>
      </c>
      <c r="AJ371" s="37" t="n">
        <v>4.38</v>
      </c>
      <c r="AK371" s="37" t="n">
        <v>4.18</v>
      </c>
      <c r="AL371" s="37" t="n">
        <v>2.99</v>
      </c>
      <c r="AM371" s="37" t="n">
        <v>5</v>
      </c>
      <c r="AN371" s="37" t="n">
        <v>3.87</v>
      </c>
      <c r="AO371" s="37" t="n">
        <v>3.82</v>
      </c>
      <c r="AP371" s="37" t="n">
        <v>3.82</v>
      </c>
      <c r="AQ371" s="37" t="n">
        <v>4.18</v>
      </c>
      <c r="AR371" s="37" t="n">
        <v>3.87</v>
      </c>
      <c r="AS371" s="37" t="n">
        <v>2.89</v>
      </c>
      <c r="AT371" s="37" t="n">
        <v>5.21</v>
      </c>
      <c r="AU371" s="37" t="n">
        <v>4.44</v>
      </c>
      <c r="AV371" s="37" t="n">
        <v>3.92</v>
      </c>
      <c r="AW371" s="37" t="n">
        <v>3.77</v>
      </c>
      <c r="AX371" s="37" t="n">
        <v>4.18</v>
      </c>
      <c r="AY371" s="37" t="n">
        <v>3.82</v>
      </c>
      <c r="AZ371" s="37" t="n">
        <v>2.89</v>
      </c>
      <c r="BA371" s="37" t="n">
        <v>4.38</v>
      </c>
      <c r="BB371" s="37" t="n">
        <v>1.03</v>
      </c>
      <c r="BC371" s="37" t="n">
        <v>0.67</v>
      </c>
      <c r="BD371" s="37" t="n">
        <v>0.83</v>
      </c>
      <c r="BE371" s="37" t="n">
        <v>1.08</v>
      </c>
      <c r="BF371" s="37" t="n">
        <v>1.08</v>
      </c>
      <c r="BG371" s="37" t="n">
        <v>0.72</v>
      </c>
      <c r="BH371" s="37" t="n">
        <v>1.39</v>
      </c>
      <c r="BI371" s="37" t="n">
        <v>1.08</v>
      </c>
      <c r="BJ371" s="37" t="n">
        <v>1.75</v>
      </c>
      <c r="BK371" s="37" t="n">
        <v>1.13</v>
      </c>
      <c r="BL371" s="37" t="n">
        <v>1.08</v>
      </c>
      <c r="BM371" s="37" t="n">
        <v>1.08</v>
      </c>
      <c r="BN371" s="37" t="n">
        <v>0.83</v>
      </c>
      <c r="BO371" s="37" t="n">
        <v>1.6</v>
      </c>
      <c r="BP371" s="37" t="n">
        <v>1.24</v>
      </c>
      <c r="BQ371" s="37" t="n">
        <v>1.13</v>
      </c>
      <c r="BR371" s="37" t="n">
        <v>1.13</v>
      </c>
      <c r="BS371" s="37" t="n">
        <v>1.08</v>
      </c>
      <c r="BT371" s="37" t="n">
        <v>1.08</v>
      </c>
      <c r="BU371" s="37" t="n">
        <v>0.72</v>
      </c>
      <c r="BV371" s="37" t="n">
        <v>1.19</v>
      </c>
      <c r="BW371" s="37" t="n">
        <v>1.08</v>
      </c>
      <c r="BX371" s="37" t="n">
        <v>1.13</v>
      </c>
      <c r="BY371" s="37" t="n">
        <v>1.13</v>
      </c>
      <c r="BZ371" s="37" t="n">
        <v>1.08</v>
      </c>
      <c r="CA371" s="37" t="n">
        <v>1.08</v>
      </c>
      <c r="CB371" s="37" t="n">
        <v>0.72</v>
      </c>
      <c r="CC371" s="37" t="n">
        <v>212.86</v>
      </c>
    </row>
    <row r="372" ht="15.75" customHeight="1" s="57">
      <c r="A372" s="7" t="inlineStr">
        <is>
          <t>NTB</t>
        </is>
      </c>
      <c r="B372" s="7" t="inlineStr">
        <is>
          <t>Lâm Đồng</t>
        </is>
      </c>
      <c r="C372" s="7" t="n">
        <v>21294000</v>
      </c>
      <c r="D372" s="7" t="inlineStr">
        <is>
          <t>(LDO) Đinh Văn Lâm Hà</t>
        </is>
      </c>
      <c r="E372" s="7" t="inlineStr">
        <is>
          <t>SME</t>
        </is>
      </c>
      <c r="F372" s="36" t="n">
        <v>327</v>
      </c>
      <c r="G372" s="36" t="n">
        <v>289</v>
      </c>
      <c r="H372" s="36" t="n">
        <v>349</v>
      </c>
      <c r="I372" s="36" t="n">
        <v>284</v>
      </c>
      <c r="J372" s="36" t="n">
        <v>279</v>
      </c>
      <c r="K372" s="28" t="n">
        <v>306</v>
      </c>
      <c r="L372" s="36" t="n">
        <v>244</v>
      </c>
      <c r="M372" s="36" t="n">
        <v>246</v>
      </c>
      <c r="N372" s="36" t="n">
        <v>307</v>
      </c>
      <c r="O372" s="36" t="n">
        <v>288</v>
      </c>
      <c r="P372" s="36" t="n">
        <v>271</v>
      </c>
      <c r="Q372" s="36" t="n">
        <v>227</v>
      </c>
      <c r="R372" s="28" t="n">
        <v>260</v>
      </c>
      <c r="S372" s="36" t="n">
        <v>233</v>
      </c>
      <c r="T372" s="36" t="n">
        <v>228</v>
      </c>
      <c r="U372" s="36" t="n">
        <v>342.97</v>
      </c>
      <c r="V372" s="36" t="n">
        <v>355.44</v>
      </c>
      <c r="W372" s="36" t="n">
        <v>345.55</v>
      </c>
      <c r="X372" s="36" t="n">
        <v>282.54</v>
      </c>
      <c r="Y372" s="28" t="n">
        <v>382.81</v>
      </c>
      <c r="Z372" s="36" t="n">
        <v>352.7</v>
      </c>
      <c r="AA372" s="36" t="n">
        <v>344.08</v>
      </c>
      <c r="AB372" s="36" t="n">
        <v>342.97</v>
      </c>
      <c r="AC372" s="36" t="n">
        <v>355.44</v>
      </c>
      <c r="AD372" s="36" t="n">
        <v>357.04</v>
      </c>
      <c r="AE372" s="36" t="n">
        <v>282.54</v>
      </c>
      <c r="AF372" s="28" t="n">
        <v>382.81</v>
      </c>
      <c r="AG372" s="36" t="n">
        <v>352.7</v>
      </c>
      <c r="AH372" s="37" t="n">
        <v>344.08</v>
      </c>
      <c r="AI372" s="37" t="n">
        <v>342.97</v>
      </c>
      <c r="AJ372" s="37" t="n">
        <v>355.44</v>
      </c>
      <c r="AK372" s="37" t="n">
        <v>345.55</v>
      </c>
      <c r="AL372" s="37" t="n">
        <v>282.54</v>
      </c>
      <c r="AM372" s="37" t="n">
        <v>382.81</v>
      </c>
      <c r="AN372" s="37" t="n">
        <v>352.7</v>
      </c>
      <c r="AO372" s="37" t="n">
        <v>344.08</v>
      </c>
      <c r="AP372" s="37" t="n">
        <v>342.97</v>
      </c>
      <c r="AQ372" s="37" t="n">
        <v>355.44</v>
      </c>
      <c r="AR372" s="37" t="n">
        <v>345.55</v>
      </c>
      <c r="AS372" s="37" t="n">
        <v>282.54</v>
      </c>
      <c r="AT372" s="37" t="n">
        <v>382.81</v>
      </c>
      <c r="AU372" s="37" t="n">
        <v>352.7</v>
      </c>
      <c r="AV372" s="37" t="n">
        <v>344.08</v>
      </c>
      <c r="AW372" s="37" t="n">
        <v>342.97</v>
      </c>
      <c r="AX372" s="37" t="n">
        <v>355.44</v>
      </c>
      <c r="AY372" s="37" t="n">
        <v>345.55</v>
      </c>
      <c r="AZ372" s="37" t="n">
        <v>282.54</v>
      </c>
      <c r="BA372" s="37" t="n">
        <v>344.5</v>
      </c>
      <c r="BB372" s="37" t="n">
        <v>309.24</v>
      </c>
      <c r="BC372" s="37" t="n">
        <v>195.65</v>
      </c>
      <c r="BD372" s="37" t="n">
        <v>194.93</v>
      </c>
      <c r="BE372" s="37" t="n">
        <v>329.07</v>
      </c>
      <c r="BF372" s="37" t="n">
        <v>320.8</v>
      </c>
      <c r="BG372" s="37" t="n">
        <v>291.32</v>
      </c>
      <c r="BH372" s="37" t="n">
        <v>394.64</v>
      </c>
      <c r="BI372" s="37" t="n">
        <v>363.41</v>
      </c>
      <c r="BJ372" s="37" t="n">
        <v>366.5</v>
      </c>
      <c r="BK372" s="37" t="n">
        <v>353.33</v>
      </c>
      <c r="BL372" s="37" t="n">
        <v>366.24</v>
      </c>
      <c r="BM372" s="37" t="n">
        <v>355.93</v>
      </c>
      <c r="BN372" s="37" t="n">
        <v>291.32</v>
      </c>
      <c r="BO372" s="37" t="n">
        <v>394.64</v>
      </c>
      <c r="BP372" s="37" t="n">
        <v>363.41</v>
      </c>
      <c r="BQ372" s="37" t="n">
        <v>354.41</v>
      </c>
      <c r="BR372" s="37" t="n">
        <v>353.33</v>
      </c>
      <c r="BS372" s="37" t="n">
        <v>366.24</v>
      </c>
      <c r="BT372" s="37" t="n">
        <v>355.93</v>
      </c>
      <c r="BU372" s="37" t="n">
        <v>291.32</v>
      </c>
      <c r="BV372" s="37" t="n">
        <v>394.64</v>
      </c>
      <c r="BW372" s="37" t="n">
        <v>363.41</v>
      </c>
      <c r="BX372" s="37" t="n">
        <v>354.41</v>
      </c>
      <c r="BY372" s="37" t="n">
        <v>353.33</v>
      </c>
      <c r="BZ372" s="37" t="n">
        <v>366.24</v>
      </c>
      <c r="CA372" s="37" t="n">
        <v>355.93</v>
      </c>
      <c r="CB372" s="37" t="n">
        <v>291.32</v>
      </c>
      <c r="CC372" s="37" t="n">
        <v>24535.79000000001</v>
      </c>
    </row>
    <row r="373" ht="15.75" customHeight="1" s="57">
      <c r="A373" s="7" t="inlineStr">
        <is>
          <t>NTB</t>
        </is>
      </c>
      <c r="B373" s="7" t="inlineStr">
        <is>
          <t>Lâm Đồng</t>
        </is>
      </c>
      <c r="C373" s="7" t="n">
        <v>21294000</v>
      </c>
      <c r="D373" s="7" t="inlineStr">
        <is>
          <t>(LDO) Đinh Văn Lâm Hà</t>
        </is>
      </c>
      <c r="E373" s="7" t="inlineStr">
        <is>
          <t>SME-Bulky</t>
        </is>
      </c>
      <c r="F373" s="36" t="n">
        <v>48</v>
      </c>
      <c r="G373" s="36" t="n">
        <v>46</v>
      </c>
      <c r="H373" s="36" t="n">
        <v>28</v>
      </c>
      <c r="I373" s="36" t="n">
        <v>35</v>
      </c>
      <c r="J373" s="36" t="n">
        <v>27</v>
      </c>
      <c r="K373" s="28" t="n">
        <v>39</v>
      </c>
      <c r="L373" s="36" t="n">
        <v>31</v>
      </c>
      <c r="M373" s="36" t="n">
        <v>50</v>
      </c>
      <c r="N373" s="36" t="n">
        <v>43</v>
      </c>
      <c r="O373" s="36" t="n">
        <v>34</v>
      </c>
      <c r="P373" s="36" t="n">
        <v>42</v>
      </c>
      <c r="Q373" s="36" t="n">
        <v>19</v>
      </c>
      <c r="R373" s="28" t="n">
        <v>40</v>
      </c>
      <c r="S373" s="36" t="n">
        <v>31</v>
      </c>
      <c r="T373" s="36" t="n">
        <v>41</v>
      </c>
      <c r="U373" s="36" t="n">
        <v>35.55</v>
      </c>
      <c r="V373" s="36" t="n">
        <v>35.16</v>
      </c>
      <c r="W373" s="36" t="n">
        <v>33.24</v>
      </c>
      <c r="X373" s="36" t="n">
        <v>22.13</v>
      </c>
      <c r="Y373" s="28" t="n">
        <v>39.71</v>
      </c>
      <c r="Z373" s="36" t="n">
        <v>37.94</v>
      </c>
      <c r="AA373" s="36" t="n">
        <v>37.4</v>
      </c>
      <c r="AB373" s="36" t="n">
        <v>35.55</v>
      </c>
      <c r="AC373" s="36" t="n">
        <v>35.16</v>
      </c>
      <c r="AD373" s="36" t="n">
        <v>31.23</v>
      </c>
      <c r="AE373" s="36" t="n">
        <v>22.13</v>
      </c>
      <c r="AF373" s="28" t="n">
        <v>39.71</v>
      </c>
      <c r="AG373" s="36" t="n">
        <v>37.94</v>
      </c>
      <c r="AH373" s="37" t="n">
        <v>37.4</v>
      </c>
      <c r="AI373" s="37" t="n">
        <v>35.55</v>
      </c>
      <c r="AJ373" s="37" t="n">
        <v>35.16</v>
      </c>
      <c r="AK373" s="37" t="n">
        <v>33.24</v>
      </c>
      <c r="AL373" s="37" t="n">
        <v>22.13</v>
      </c>
      <c r="AM373" s="37" t="n">
        <v>39.71</v>
      </c>
      <c r="AN373" s="37" t="n">
        <v>37.94</v>
      </c>
      <c r="AO373" s="37" t="n">
        <v>37.4</v>
      </c>
      <c r="AP373" s="37" t="n">
        <v>35.55</v>
      </c>
      <c r="AQ373" s="37" t="n">
        <v>35.16</v>
      </c>
      <c r="AR373" s="37" t="n">
        <v>33.24</v>
      </c>
      <c r="AS373" s="37" t="n">
        <v>22.13</v>
      </c>
      <c r="AT373" s="37" t="n">
        <v>39.71</v>
      </c>
      <c r="AU373" s="37" t="n">
        <v>37.94</v>
      </c>
      <c r="AV373" s="37" t="n">
        <v>37.4</v>
      </c>
      <c r="AW373" s="37" t="n">
        <v>35.55</v>
      </c>
      <c r="AX373" s="37" t="n">
        <v>35.16</v>
      </c>
      <c r="AY373" s="37" t="n">
        <v>33.24</v>
      </c>
      <c r="AZ373" s="37" t="n">
        <v>22.13</v>
      </c>
      <c r="BA373" s="37" t="n">
        <v>39.87</v>
      </c>
      <c r="BB373" s="37" t="n">
        <v>20.97</v>
      </c>
      <c r="BC373" s="37" t="n">
        <v>10.64</v>
      </c>
      <c r="BD373" s="37" t="n">
        <v>9.640000000000001</v>
      </c>
      <c r="BE373" s="37" t="n">
        <v>18.35</v>
      </c>
      <c r="BF373" s="37" t="n">
        <v>17.04</v>
      </c>
      <c r="BG373" s="37" t="n">
        <v>13.26</v>
      </c>
      <c r="BH373" s="37" t="n">
        <v>23.06</v>
      </c>
      <c r="BI373" s="37" t="n">
        <v>22.9</v>
      </c>
      <c r="BJ373" s="37" t="n">
        <v>19.82</v>
      </c>
      <c r="BK373" s="37" t="n">
        <v>21.05</v>
      </c>
      <c r="BL373" s="37" t="n">
        <v>21.13</v>
      </c>
      <c r="BM373" s="37" t="n">
        <v>19.66</v>
      </c>
      <c r="BN373" s="37" t="n">
        <v>13.26</v>
      </c>
      <c r="BO373" s="37" t="n">
        <v>23.06</v>
      </c>
      <c r="BP373" s="37" t="n">
        <v>22.9</v>
      </c>
      <c r="BQ373" s="37" t="n">
        <v>21.82</v>
      </c>
      <c r="BR373" s="37" t="n">
        <v>21.05</v>
      </c>
      <c r="BS373" s="37" t="n">
        <v>21.13</v>
      </c>
      <c r="BT373" s="37" t="n">
        <v>19.66</v>
      </c>
      <c r="BU373" s="37" t="n">
        <v>13.26</v>
      </c>
      <c r="BV373" s="37" t="n">
        <v>23.06</v>
      </c>
      <c r="BW373" s="37" t="n">
        <v>22.9</v>
      </c>
      <c r="BX373" s="37" t="n">
        <v>21.82</v>
      </c>
      <c r="BY373" s="37" t="n">
        <v>21.05</v>
      </c>
      <c r="BZ373" s="37" t="n">
        <v>21.13</v>
      </c>
      <c r="CA373" s="37" t="n">
        <v>19.66</v>
      </c>
      <c r="CB373" s="37" t="n">
        <v>13.26</v>
      </c>
      <c r="CC373" s="37" t="n">
        <v>2199.000000000002</v>
      </c>
    </row>
    <row r="374" ht="15.75" customHeight="1" s="57">
      <c r="A374" s="7" t="inlineStr">
        <is>
          <t>NTB</t>
        </is>
      </c>
      <c r="B374" s="7" t="inlineStr">
        <is>
          <t>Lâm Đồng</t>
        </is>
      </c>
      <c r="C374" s="7" t="n">
        <v>21294000</v>
      </c>
      <c r="D374" s="7" t="inlineStr">
        <is>
          <t>(LDO) Đinh Văn Lâm Hà</t>
        </is>
      </c>
      <c r="E374" s="7" t="inlineStr">
        <is>
          <t>Shopee</t>
        </is>
      </c>
      <c r="F374" s="36" t="n">
        <v>189</v>
      </c>
      <c r="G374" s="36" t="n">
        <v>216</v>
      </c>
      <c r="H374" s="36" t="n">
        <v>242</v>
      </c>
      <c r="I374" s="36" t="n">
        <v>218</v>
      </c>
      <c r="J374" s="36" t="n">
        <v>147</v>
      </c>
      <c r="K374" s="28" t="n">
        <v>134</v>
      </c>
      <c r="L374" s="36" t="n">
        <v>118</v>
      </c>
      <c r="M374" s="36" t="n">
        <v>144</v>
      </c>
      <c r="N374" s="36" t="n">
        <v>217</v>
      </c>
      <c r="O374" s="36" t="n">
        <v>164</v>
      </c>
      <c r="P374" s="36" t="n">
        <v>180</v>
      </c>
      <c r="Q374" s="36" t="n">
        <v>107</v>
      </c>
      <c r="R374" s="28" t="n">
        <v>158</v>
      </c>
      <c r="S374" s="36" t="n">
        <v>117</v>
      </c>
      <c r="T374" s="36" t="n">
        <v>123</v>
      </c>
      <c r="U374" s="36" t="n">
        <v>235.4</v>
      </c>
      <c r="V374" s="36" t="n">
        <v>236.24</v>
      </c>
      <c r="W374" s="36" t="n">
        <v>232.85</v>
      </c>
      <c r="X374" s="36" t="n">
        <v>189.36</v>
      </c>
      <c r="Y374" s="28" t="n">
        <v>317.19</v>
      </c>
      <c r="Z374" s="36" t="n">
        <v>251.1</v>
      </c>
      <c r="AA374" s="36" t="n">
        <v>345.33</v>
      </c>
      <c r="AB374" s="36" t="n">
        <v>240.25</v>
      </c>
      <c r="AC374" s="36" t="n">
        <v>193.88</v>
      </c>
      <c r="AD374" s="36" t="n">
        <v>505.31</v>
      </c>
      <c r="AE374" s="36" t="n">
        <v>202.8</v>
      </c>
      <c r="AF374" s="28" t="n">
        <v>361.54</v>
      </c>
      <c r="AG374" s="36" t="n">
        <v>263.64</v>
      </c>
      <c r="AH374" s="37" t="n">
        <v>278.33</v>
      </c>
      <c r="AI374" s="37" t="n">
        <v>235.4</v>
      </c>
      <c r="AJ374" s="37" t="n">
        <v>236.24</v>
      </c>
      <c r="AK374" s="37" t="n">
        <v>314.2</v>
      </c>
      <c r="AL374" s="37" t="n">
        <v>340.07</v>
      </c>
      <c r="AM374" s="37" t="n">
        <v>317.19</v>
      </c>
      <c r="AN374" s="37" t="n">
        <v>251.1</v>
      </c>
      <c r="AO374" s="37" t="n">
        <v>278.33</v>
      </c>
      <c r="AP374" s="37" t="n">
        <v>293.86</v>
      </c>
      <c r="AQ374" s="37" t="n">
        <v>189.41</v>
      </c>
      <c r="AR374" s="37" t="n">
        <v>232.85</v>
      </c>
      <c r="AS374" s="37" t="n">
        <v>189.36</v>
      </c>
      <c r="AT374" s="37" t="n">
        <v>317.19</v>
      </c>
      <c r="AU374" s="37" t="n">
        <v>256.3</v>
      </c>
      <c r="AV374" s="37" t="n">
        <v>283.98</v>
      </c>
      <c r="AW374" s="37" t="n">
        <v>235.4</v>
      </c>
      <c r="AX374" s="37" t="n">
        <v>236.24</v>
      </c>
      <c r="AY374" s="37" t="n">
        <v>232.85</v>
      </c>
      <c r="AZ374" s="37" t="n">
        <v>189.36</v>
      </c>
      <c r="BA374" s="37" t="n">
        <v>244.32</v>
      </c>
      <c r="BB374" s="37" t="n">
        <v>212.74</v>
      </c>
      <c r="BC374" s="37" t="n">
        <v>108.8</v>
      </c>
      <c r="BD374" s="37" t="n">
        <v>192.8</v>
      </c>
      <c r="BE374" s="37" t="n">
        <v>225</v>
      </c>
      <c r="BF374" s="37" t="n">
        <v>221.78</v>
      </c>
      <c r="BG374" s="37" t="n">
        <v>183.99</v>
      </c>
      <c r="BH374" s="37" t="n">
        <v>302.11</v>
      </c>
      <c r="BI374" s="37" t="n">
        <v>196.47</v>
      </c>
      <c r="BJ374" s="37" t="n">
        <v>717.15</v>
      </c>
      <c r="BK374" s="37" t="n">
        <v>240.03</v>
      </c>
      <c r="BL374" s="37" t="n">
        <v>236.36</v>
      </c>
      <c r="BM374" s="37" t="n">
        <v>221.78</v>
      </c>
      <c r="BN374" s="37" t="n">
        <v>180.37</v>
      </c>
      <c r="BO374" s="37" t="n">
        <v>302.11</v>
      </c>
      <c r="BP374" s="37" t="n">
        <v>322.73</v>
      </c>
      <c r="BQ374" s="37" t="n">
        <v>476.39</v>
      </c>
      <c r="BR374" s="37" t="n">
        <v>224.27</v>
      </c>
      <c r="BS374" s="37" t="n">
        <v>225</v>
      </c>
      <c r="BT374" s="37" t="n">
        <v>221.78</v>
      </c>
      <c r="BU374" s="37" t="n">
        <v>225.34</v>
      </c>
      <c r="BV374" s="37" t="n">
        <v>242.06</v>
      </c>
      <c r="BW374" s="37" t="n">
        <v>239.12</v>
      </c>
      <c r="BX374" s="37" t="n">
        <v>265.11</v>
      </c>
      <c r="BY374" s="37" t="n">
        <v>224.27</v>
      </c>
      <c r="BZ374" s="37" t="n">
        <v>229.75</v>
      </c>
      <c r="CA374" s="37" t="n">
        <v>226.08</v>
      </c>
      <c r="CB374" s="37" t="n">
        <v>180.37</v>
      </c>
      <c r="CC374" s="37" t="n">
        <v>18044.63</v>
      </c>
    </row>
    <row r="375" ht="15.75" customHeight="1" s="57">
      <c r="A375" s="7" t="inlineStr">
        <is>
          <t>NTB</t>
        </is>
      </c>
      <c r="B375" s="7" t="inlineStr">
        <is>
          <t>Lâm Đồng</t>
        </is>
      </c>
      <c r="C375" s="7" t="n">
        <v>21294000</v>
      </c>
      <c r="D375" s="7" t="inlineStr">
        <is>
          <t>(LDO) Đinh Văn Lâm Hà</t>
        </is>
      </c>
      <c r="E375" s="7" t="inlineStr">
        <is>
          <t>Shopee-Bulky</t>
        </is>
      </c>
      <c r="F375" s="36" t="n">
        <v>22.19</v>
      </c>
      <c r="G375" s="36" t="n">
        <v>32.34</v>
      </c>
      <c r="H375" s="36" t="n">
        <v>26.63</v>
      </c>
      <c r="I375" s="36" t="n">
        <v>26</v>
      </c>
      <c r="J375" s="36" t="n">
        <v>28.53</v>
      </c>
      <c r="K375" s="28" t="n">
        <v>14.58</v>
      </c>
      <c r="L375" s="36" t="n">
        <v>12.68</v>
      </c>
      <c r="M375" s="36" t="n">
        <v>20.92</v>
      </c>
      <c r="N375" s="36" t="n">
        <v>20.92</v>
      </c>
      <c r="O375" s="36" t="n">
        <v>12.68</v>
      </c>
      <c r="P375" s="36" t="n">
        <v>15.22</v>
      </c>
      <c r="Q375" s="36" t="n">
        <v>24.73</v>
      </c>
      <c r="R375" s="28" t="n">
        <v>20.92</v>
      </c>
      <c r="S375" s="36" t="n">
        <v>15.85</v>
      </c>
      <c r="T375" s="36" t="n">
        <v>23.46</v>
      </c>
      <c r="U375" s="36" t="n">
        <v>18.54</v>
      </c>
      <c r="V375" s="36" t="n">
        <v>17.87</v>
      </c>
      <c r="W375" s="36" t="n">
        <v>24.57</v>
      </c>
      <c r="X375" s="36" t="n">
        <v>13.89</v>
      </c>
      <c r="Y375" s="28" t="n">
        <v>27.21</v>
      </c>
      <c r="Z375" s="36" t="n">
        <v>21.51</v>
      </c>
      <c r="AA375" s="36" t="n">
        <v>20.9</v>
      </c>
      <c r="AB375" s="36" t="n">
        <v>21.15</v>
      </c>
      <c r="AC375" s="36" t="n">
        <v>22.2</v>
      </c>
      <c r="AD375" s="36" t="n">
        <v>59.83</v>
      </c>
      <c r="AE375" s="36" t="n">
        <v>35.71</v>
      </c>
      <c r="AF375" s="28" t="n">
        <v>53.24</v>
      </c>
      <c r="AG375" s="36" t="n">
        <v>30.23</v>
      </c>
      <c r="AH375" s="37" t="n">
        <v>21.26</v>
      </c>
      <c r="AI375" s="37" t="n">
        <v>20.45</v>
      </c>
      <c r="AJ375" s="37" t="n">
        <v>20.29</v>
      </c>
      <c r="AK375" s="37" t="n">
        <v>45.93</v>
      </c>
      <c r="AL375" s="37" t="n">
        <v>23.37</v>
      </c>
      <c r="AM375" s="37" t="n">
        <v>33.37</v>
      </c>
      <c r="AN375" s="37" t="n">
        <v>21.12</v>
      </c>
      <c r="AO375" s="37" t="n">
        <v>20.7</v>
      </c>
      <c r="AP375" s="37" t="n">
        <v>27.96</v>
      </c>
      <c r="AQ375" s="37" t="n">
        <v>27.79</v>
      </c>
      <c r="AR375" s="37" t="n">
        <v>22.09</v>
      </c>
      <c r="AS375" s="37" t="n">
        <v>12.23</v>
      </c>
      <c r="AT375" s="37" t="n">
        <v>24.98</v>
      </c>
      <c r="AU375" s="37" t="n">
        <v>41.1</v>
      </c>
      <c r="AV375" s="37" t="n">
        <v>42.66</v>
      </c>
      <c r="AW375" s="37" t="n">
        <v>20.76</v>
      </c>
      <c r="AX375" s="37" t="n">
        <v>19.48</v>
      </c>
      <c r="AY375" s="37" t="n">
        <v>21.15</v>
      </c>
      <c r="AZ375" s="37" t="n">
        <v>11.75</v>
      </c>
      <c r="BA375" s="37" t="n">
        <v>22.84</v>
      </c>
      <c r="BB375" s="37" t="n">
        <v>21.23</v>
      </c>
      <c r="BC375" s="37" t="n">
        <v>7.14</v>
      </c>
      <c r="BD375" s="37" t="n">
        <v>18.17</v>
      </c>
      <c r="BE375" s="37" t="n">
        <v>22.34</v>
      </c>
      <c r="BF375" s="37" t="n">
        <v>19.2</v>
      </c>
      <c r="BG375" s="37" t="n">
        <v>15.95</v>
      </c>
      <c r="BH375" s="37" t="n">
        <v>29.23</v>
      </c>
      <c r="BI375" s="37" t="n">
        <v>24.95</v>
      </c>
      <c r="BJ375" s="37" t="n">
        <v>95.18000000000001</v>
      </c>
      <c r="BK375" s="37" t="n">
        <v>52.8</v>
      </c>
      <c r="BL375" s="37" t="n">
        <v>27.21</v>
      </c>
      <c r="BM375" s="37" t="n">
        <v>20.29</v>
      </c>
      <c r="BN375" s="37" t="n">
        <v>15.39</v>
      </c>
      <c r="BO375" s="37" t="n">
        <v>33.99</v>
      </c>
      <c r="BP375" s="37" t="n">
        <v>49.63</v>
      </c>
      <c r="BQ375" s="37" t="n">
        <v>35.9</v>
      </c>
      <c r="BR375" s="37" t="n">
        <v>23.62</v>
      </c>
      <c r="BS375" s="37" t="n">
        <v>22.34</v>
      </c>
      <c r="BT375" s="37" t="n">
        <v>19.2</v>
      </c>
      <c r="BU375" s="37" t="n">
        <v>22.65</v>
      </c>
      <c r="BV375" s="37" t="n">
        <v>30.96</v>
      </c>
      <c r="BW375" s="37" t="n">
        <v>24.95</v>
      </c>
      <c r="BX375" s="37" t="n">
        <v>24.09</v>
      </c>
      <c r="BY375" s="37" t="n">
        <v>23.62</v>
      </c>
      <c r="BZ375" s="37" t="n">
        <v>40.49</v>
      </c>
      <c r="CA375" s="37" t="n">
        <v>23.34</v>
      </c>
      <c r="CB375" s="37" t="n">
        <v>15.2</v>
      </c>
      <c r="CC375" s="37" t="n">
        <v>1944.840000000001</v>
      </c>
    </row>
    <row r="376" ht="15.75" customHeight="1" s="57">
      <c r="A376" s="7" t="inlineStr">
        <is>
          <t>NTB</t>
        </is>
      </c>
      <c r="B376" s="7" t="inlineStr">
        <is>
          <t>Lâm Đồng</t>
        </is>
      </c>
      <c r="C376" s="7" t="n">
        <v>21294000</v>
      </c>
      <c r="D376" s="7" t="inlineStr">
        <is>
          <t>(LDO) Đinh Văn Lâm Hà</t>
        </is>
      </c>
      <c r="E376" s="7" t="inlineStr">
        <is>
          <t>Shopee-Bulky (10-15kg)</t>
        </is>
      </c>
      <c r="F376" s="36" t="n">
        <v>12.81</v>
      </c>
      <c r="G376" s="36" t="n">
        <v>18.66</v>
      </c>
      <c r="H376" s="36" t="n">
        <v>15.37</v>
      </c>
      <c r="I376" s="36" t="n">
        <v>15</v>
      </c>
      <c r="J376" s="36" t="n">
        <v>16.47</v>
      </c>
      <c r="K376" s="28" t="n">
        <v>8.42</v>
      </c>
      <c r="L376" s="36" t="n">
        <v>7.32</v>
      </c>
      <c r="M376" s="36" t="n">
        <v>12.08</v>
      </c>
      <c r="N376" s="36" t="n">
        <v>12.08</v>
      </c>
      <c r="O376" s="36" t="n">
        <v>7.32</v>
      </c>
      <c r="P376" s="36" t="n">
        <v>8.779999999999999</v>
      </c>
      <c r="Q376" s="36" t="n">
        <v>14.27</v>
      </c>
      <c r="R376" s="28" t="n">
        <v>12.08</v>
      </c>
      <c r="S376" s="36" t="n">
        <v>9.15</v>
      </c>
      <c r="T376" s="36" t="n">
        <v>13.54</v>
      </c>
      <c r="U376" s="36" t="n">
        <v>11.14</v>
      </c>
      <c r="V376" s="36" t="n">
        <v>10.67</v>
      </c>
      <c r="W376" s="36" t="n">
        <v>14.06</v>
      </c>
      <c r="X376" s="36" t="n">
        <v>7.95</v>
      </c>
      <c r="Y376" s="28" t="n">
        <v>15.78</v>
      </c>
      <c r="Z376" s="36" t="n">
        <v>12.31</v>
      </c>
      <c r="AA376" s="36" t="n">
        <v>11.56</v>
      </c>
      <c r="AB376" s="36" t="n">
        <v>12.12</v>
      </c>
      <c r="AC376" s="36" t="n">
        <v>12.53</v>
      </c>
      <c r="AD376" s="36" t="n">
        <v>47.94</v>
      </c>
      <c r="AE376" s="36" t="n">
        <v>20.01</v>
      </c>
      <c r="AF376" s="28" t="n">
        <v>29.21</v>
      </c>
      <c r="AG376" s="36" t="n">
        <v>17.42</v>
      </c>
      <c r="AH376" s="37" t="n">
        <v>12.14</v>
      </c>
      <c r="AI376" s="37" t="n">
        <v>11.81</v>
      </c>
      <c r="AJ376" s="37" t="n">
        <v>11.45</v>
      </c>
      <c r="AK376" s="37" t="n">
        <v>26.96</v>
      </c>
      <c r="AL376" s="37" t="n">
        <v>13.09</v>
      </c>
      <c r="AM376" s="37" t="n">
        <v>19.37</v>
      </c>
      <c r="AN376" s="37" t="n">
        <v>12.17</v>
      </c>
      <c r="AO376" s="37" t="n">
        <v>11.67</v>
      </c>
      <c r="AP376" s="37" t="n">
        <v>15.37</v>
      </c>
      <c r="AQ376" s="37" t="n">
        <v>15.67</v>
      </c>
      <c r="AR376" s="37" t="n">
        <v>12.7</v>
      </c>
      <c r="AS376" s="37" t="n">
        <v>6.97</v>
      </c>
      <c r="AT376" s="37" t="n">
        <v>14.45</v>
      </c>
      <c r="AU376" s="37" t="n">
        <v>24.45</v>
      </c>
      <c r="AV376" s="37" t="n">
        <v>24.51</v>
      </c>
      <c r="AW376" s="37" t="n">
        <v>11.78</v>
      </c>
      <c r="AX376" s="37" t="n">
        <v>10.92</v>
      </c>
      <c r="AY376" s="37" t="n">
        <v>12.17</v>
      </c>
      <c r="AZ376" s="37" t="n">
        <v>6.7</v>
      </c>
      <c r="BA376" s="37" t="n">
        <v>13.2</v>
      </c>
      <c r="BB376" s="37" t="n">
        <v>12.25</v>
      </c>
      <c r="BC376" s="37" t="n">
        <v>4.28</v>
      </c>
      <c r="BD376" s="37" t="n">
        <v>10.28</v>
      </c>
      <c r="BE376" s="37" t="n">
        <v>12.81</v>
      </c>
      <c r="BF376" s="37" t="n">
        <v>11.17</v>
      </c>
      <c r="BG376" s="37" t="n">
        <v>9.17</v>
      </c>
      <c r="BH376" s="37" t="n">
        <v>17.12</v>
      </c>
      <c r="BI376" s="37" t="n">
        <v>14.45</v>
      </c>
      <c r="BJ376" s="37" t="n">
        <v>66.03</v>
      </c>
      <c r="BK376" s="37" t="n">
        <v>30.62</v>
      </c>
      <c r="BL376" s="37" t="n">
        <v>15.73</v>
      </c>
      <c r="BM376" s="37" t="n">
        <v>11.62</v>
      </c>
      <c r="BN376" s="37" t="n">
        <v>8.98</v>
      </c>
      <c r="BO376" s="37" t="n">
        <v>19.48</v>
      </c>
      <c r="BP376" s="37" t="n">
        <v>28.87</v>
      </c>
      <c r="BQ376" s="37" t="n">
        <v>20.87</v>
      </c>
      <c r="BR376" s="37" t="n">
        <v>13.56</v>
      </c>
      <c r="BS376" s="37" t="n">
        <v>12.81</v>
      </c>
      <c r="BT376" s="37" t="n">
        <v>11.17</v>
      </c>
      <c r="BU376" s="37" t="n">
        <v>12.95</v>
      </c>
      <c r="BV376" s="37" t="n">
        <v>17.78</v>
      </c>
      <c r="BW376" s="37" t="n">
        <v>14.45</v>
      </c>
      <c r="BX376" s="37" t="n">
        <v>13.78</v>
      </c>
      <c r="BY376" s="37" t="n">
        <v>13.56</v>
      </c>
      <c r="BZ376" s="37" t="n">
        <v>23.45</v>
      </c>
      <c r="CA376" s="37" t="n">
        <v>13.37</v>
      </c>
      <c r="CB376" s="37" t="n">
        <v>8.640000000000001</v>
      </c>
      <c r="CC376" s="37" t="n">
        <v>1142.85</v>
      </c>
    </row>
    <row r="377" ht="15.75" customHeight="1" s="57">
      <c r="A377" s="7" t="inlineStr">
        <is>
          <t>NTB</t>
        </is>
      </c>
      <c r="B377" s="7" t="inlineStr">
        <is>
          <t>Lâm Đồng</t>
        </is>
      </c>
      <c r="C377" s="7" t="n">
        <v>21294000</v>
      </c>
      <c r="D377" s="7" t="inlineStr">
        <is>
          <t>(LDO) Đinh Văn Lâm Hà</t>
        </is>
      </c>
      <c r="E377" s="7" t="inlineStr">
        <is>
          <t>TTS</t>
        </is>
      </c>
      <c r="F377" s="36" t="n">
        <v>175</v>
      </c>
      <c r="G377" s="36" t="n">
        <v>184</v>
      </c>
      <c r="H377" s="36" t="n">
        <v>161</v>
      </c>
      <c r="I377" s="36" t="n">
        <v>155</v>
      </c>
      <c r="J377" s="36" t="n">
        <v>156</v>
      </c>
      <c r="K377" s="28" t="n">
        <v>143</v>
      </c>
      <c r="L377" s="36" t="n">
        <v>108</v>
      </c>
      <c r="M377" s="36" t="n">
        <v>130</v>
      </c>
      <c r="N377" s="36" t="n">
        <v>159</v>
      </c>
      <c r="O377" s="36" t="n">
        <v>152</v>
      </c>
      <c r="P377" s="36" t="n">
        <v>151</v>
      </c>
      <c r="Q377" s="36" t="n">
        <v>130</v>
      </c>
      <c r="R377" s="28" t="n">
        <v>142</v>
      </c>
      <c r="S377" s="36" t="n">
        <v>107</v>
      </c>
      <c r="T377" s="36" t="n">
        <v>132</v>
      </c>
      <c r="U377" s="36" t="n">
        <v>102.65</v>
      </c>
      <c r="V377" s="36" t="n">
        <v>100.9</v>
      </c>
      <c r="W377" s="36" t="n">
        <v>98.61</v>
      </c>
      <c r="X377" s="36" t="n">
        <v>79.63000000000001</v>
      </c>
      <c r="Y377" s="28" t="n">
        <v>115.61</v>
      </c>
      <c r="Z377" s="36" t="n">
        <v>98.39999999999999</v>
      </c>
      <c r="AA377" s="36" t="n">
        <v>109.18</v>
      </c>
      <c r="AB377" s="36" t="n">
        <v>121.35</v>
      </c>
      <c r="AC377" s="36" t="n">
        <v>127.79</v>
      </c>
      <c r="AD377" s="36" t="n">
        <v>130.93</v>
      </c>
      <c r="AE377" s="36" t="n">
        <v>92.48999999999999</v>
      </c>
      <c r="AF377" s="28" t="n">
        <v>119.55</v>
      </c>
      <c r="AG377" s="36" t="n">
        <v>100.33</v>
      </c>
      <c r="AH377" s="37" t="n">
        <v>99.22000000000001</v>
      </c>
      <c r="AI377" s="37" t="n">
        <v>113.51</v>
      </c>
      <c r="AJ377" s="37" t="n">
        <v>122.05</v>
      </c>
      <c r="AK377" s="37" t="n">
        <v>120.34</v>
      </c>
      <c r="AL377" s="37" t="n">
        <v>85.8</v>
      </c>
      <c r="AM377" s="37" t="n">
        <v>117.78</v>
      </c>
      <c r="AN377" s="37" t="n">
        <v>101.63</v>
      </c>
      <c r="AO377" s="37" t="n">
        <v>101.1</v>
      </c>
      <c r="AP377" s="37" t="n">
        <v>97.98999999999999</v>
      </c>
      <c r="AQ377" s="37" t="n">
        <v>98.84999999999999</v>
      </c>
      <c r="AR377" s="37" t="n">
        <v>97.22000000000001</v>
      </c>
      <c r="AS377" s="37" t="n">
        <v>80.04000000000001</v>
      </c>
      <c r="AT377" s="37" t="n">
        <v>127.33</v>
      </c>
      <c r="AU377" s="37" t="n">
        <v>115.2</v>
      </c>
      <c r="AV377" s="37" t="n">
        <v>102.49</v>
      </c>
      <c r="AW377" s="37" t="n">
        <v>96.8</v>
      </c>
      <c r="AX377" s="37" t="n">
        <v>96.06999999999999</v>
      </c>
      <c r="AY377" s="37" t="n">
        <v>95.95</v>
      </c>
      <c r="AZ377" s="37" t="n">
        <v>80.04000000000001</v>
      </c>
      <c r="BA377" s="37" t="n">
        <v>114.71</v>
      </c>
      <c r="BB377" s="37" t="n">
        <v>107.24</v>
      </c>
      <c r="BC377" s="37" t="n">
        <v>63.85</v>
      </c>
      <c r="BD377" s="37" t="n">
        <v>92.47999999999999</v>
      </c>
      <c r="BE377" s="37" t="n">
        <v>108.84</v>
      </c>
      <c r="BF377" s="37" t="n">
        <v>105.86</v>
      </c>
      <c r="BG377" s="37" t="n">
        <v>85.97</v>
      </c>
      <c r="BH377" s="37" t="n">
        <v>127.08</v>
      </c>
      <c r="BI377" s="37" t="n">
        <v>107.24</v>
      </c>
      <c r="BJ377" s="37" t="n">
        <v>99.45</v>
      </c>
      <c r="BK377" s="37" t="n">
        <v>108.72</v>
      </c>
      <c r="BL377" s="37" t="n">
        <v>108.84</v>
      </c>
      <c r="BM377" s="37" t="n">
        <v>105.86</v>
      </c>
      <c r="BN377" s="37" t="n">
        <v>85.97</v>
      </c>
      <c r="BO377" s="37" t="n">
        <v>127.08</v>
      </c>
      <c r="BP377" s="37" t="n">
        <v>107.24</v>
      </c>
      <c r="BQ377" s="37" t="n">
        <v>106.06</v>
      </c>
      <c r="BR377" s="37" t="n">
        <v>108.72</v>
      </c>
      <c r="BS377" s="37" t="n">
        <v>108.84</v>
      </c>
      <c r="BT377" s="37" t="n">
        <v>105.86</v>
      </c>
      <c r="BU377" s="37" t="n">
        <v>85.97</v>
      </c>
      <c r="BV377" s="37" t="n">
        <v>127.08</v>
      </c>
      <c r="BW377" s="37" t="n">
        <v>107.24</v>
      </c>
      <c r="BX377" s="37" t="n">
        <v>106.06</v>
      </c>
      <c r="BY377" s="37" t="n">
        <v>108.72</v>
      </c>
      <c r="BZ377" s="37" t="n">
        <v>108.84</v>
      </c>
      <c r="CA377" s="37" t="n">
        <v>105.86</v>
      </c>
      <c r="CB377" s="37" t="n">
        <v>85.97</v>
      </c>
      <c r="CC377" s="37" t="n">
        <v>8453.48</v>
      </c>
    </row>
    <row r="378" ht="15.75" customHeight="1" s="57">
      <c r="A378" s="7" t="inlineStr">
        <is>
          <t>NTB</t>
        </is>
      </c>
      <c r="B378" s="7" t="inlineStr">
        <is>
          <t>Lâm Đồng</t>
        </is>
      </c>
      <c r="C378" s="7" t="n">
        <v>21294000</v>
      </c>
      <c r="D378" s="7" t="inlineStr">
        <is>
          <t>(LDO) Đinh Văn Lâm Hà</t>
        </is>
      </c>
      <c r="E378" s="7" t="inlineStr">
        <is>
          <t>TTS-Bulky</t>
        </is>
      </c>
      <c r="F378" s="36" t="n">
        <v>4</v>
      </c>
      <c r="G378" s="36" t="n">
        <v>3</v>
      </c>
      <c r="H378" s="36" t="n">
        <v>3</v>
      </c>
      <c r="I378" s="36" t="n">
        <v>1</v>
      </c>
      <c r="J378" s="36" t="n">
        <v>2</v>
      </c>
      <c r="K378" s="28" t="n">
        <v>2</v>
      </c>
      <c r="L378" s="36" t="n">
        <v>2</v>
      </c>
      <c r="M378" s="36" t="n">
        <v>1</v>
      </c>
      <c r="N378" s="36" t="n">
        <v>0</v>
      </c>
      <c r="O378" s="36" t="n">
        <v>2</v>
      </c>
      <c r="P378" s="36" t="n">
        <v>1</v>
      </c>
      <c r="Q378" s="36" t="n">
        <v>2</v>
      </c>
      <c r="R378" s="28" t="n">
        <v>4</v>
      </c>
      <c r="S378" s="36" t="n">
        <v>0</v>
      </c>
      <c r="T378" s="36" t="n">
        <v>2</v>
      </c>
      <c r="U378" s="36" t="n">
        <v>5.62</v>
      </c>
      <c r="V378" s="36" t="n">
        <v>5.69</v>
      </c>
      <c r="W378" s="36" t="n">
        <v>2.69</v>
      </c>
      <c r="X378" s="36" t="n">
        <v>1.93</v>
      </c>
      <c r="Y378" s="28" t="n">
        <v>3.51</v>
      </c>
      <c r="Z378" s="36" t="n">
        <v>2.79</v>
      </c>
      <c r="AA378" s="36" t="n">
        <v>2.97</v>
      </c>
      <c r="AB378" s="36" t="n">
        <v>3.08</v>
      </c>
      <c r="AC378" s="36" t="n">
        <v>3.26</v>
      </c>
      <c r="AD378" s="36" t="n">
        <v>4.87</v>
      </c>
      <c r="AE378" s="36" t="n">
        <v>2.18</v>
      </c>
      <c r="AF378" s="28" t="n">
        <v>3.47</v>
      </c>
      <c r="AG378" s="36" t="n">
        <v>2.65</v>
      </c>
      <c r="AH378" s="37" t="n">
        <v>2.65</v>
      </c>
      <c r="AI378" s="37" t="n">
        <v>2.69</v>
      </c>
      <c r="AJ378" s="37" t="n">
        <v>3.04</v>
      </c>
      <c r="AK378" s="37" t="n">
        <v>2.9</v>
      </c>
      <c r="AL378" s="37" t="n">
        <v>2.08</v>
      </c>
      <c r="AM378" s="37" t="n">
        <v>3.47</v>
      </c>
      <c r="AN378" s="37" t="n">
        <v>2.69</v>
      </c>
      <c r="AO378" s="37" t="n">
        <v>2.65</v>
      </c>
      <c r="AP378" s="37" t="n">
        <v>2.65</v>
      </c>
      <c r="AQ378" s="37" t="n">
        <v>2.9</v>
      </c>
      <c r="AR378" s="37" t="n">
        <v>2.69</v>
      </c>
      <c r="AS378" s="37" t="n">
        <v>2.01</v>
      </c>
      <c r="AT378" s="37" t="n">
        <v>3.62</v>
      </c>
      <c r="AU378" s="37" t="n">
        <v>3.08</v>
      </c>
      <c r="AV378" s="37" t="n">
        <v>2.72</v>
      </c>
      <c r="AW378" s="37" t="n">
        <v>2.61</v>
      </c>
      <c r="AX378" s="37" t="n">
        <v>2.9</v>
      </c>
      <c r="AY378" s="37" t="n">
        <v>2.65</v>
      </c>
      <c r="AZ378" s="37" t="n">
        <v>2.01</v>
      </c>
      <c r="BA378" s="37" t="n">
        <v>3.04</v>
      </c>
      <c r="BB378" s="37" t="n">
        <v>0.72</v>
      </c>
      <c r="BC378" s="37" t="n">
        <v>0.47</v>
      </c>
      <c r="BD378" s="37" t="n">
        <v>0.57</v>
      </c>
      <c r="BE378" s="37" t="n">
        <v>0.75</v>
      </c>
      <c r="BF378" s="37" t="n">
        <v>0.75</v>
      </c>
      <c r="BG378" s="37" t="n">
        <v>0.5</v>
      </c>
      <c r="BH378" s="37" t="n">
        <v>0.97</v>
      </c>
      <c r="BI378" s="37" t="n">
        <v>0.75</v>
      </c>
      <c r="BJ378" s="37" t="n">
        <v>1.22</v>
      </c>
      <c r="BK378" s="37" t="n">
        <v>0.79</v>
      </c>
      <c r="BL378" s="37" t="n">
        <v>0.75</v>
      </c>
      <c r="BM378" s="37" t="n">
        <v>0.75</v>
      </c>
      <c r="BN378" s="37" t="n">
        <v>0.57</v>
      </c>
      <c r="BO378" s="37" t="n">
        <v>1.11</v>
      </c>
      <c r="BP378" s="37" t="n">
        <v>0.86</v>
      </c>
      <c r="BQ378" s="37" t="n">
        <v>0.79</v>
      </c>
      <c r="BR378" s="37" t="n">
        <v>0.79</v>
      </c>
      <c r="BS378" s="37" t="n">
        <v>0.75</v>
      </c>
      <c r="BT378" s="37" t="n">
        <v>0.75</v>
      </c>
      <c r="BU378" s="37" t="n">
        <v>0.5</v>
      </c>
      <c r="BV378" s="37" t="n">
        <v>0.82</v>
      </c>
      <c r="BW378" s="37" t="n">
        <v>0.75</v>
      </c>
      <c r="BX378" s="37" t="n">
        <v>0.79</v>
      </c>
      <c r="BY378" s="37" t="n">
        <v>0.79</v>
      </c>
      <c r="BZ378" s="37" t="n">
        <v>0.75</v>
      </c>
      <c r="CA378" s="37" t="n">
        <v>0.75</v>
      </c>
      <c r="CB378" s="37" t="n">
        <v>0.5</v>
      </c>
      <c r="CC378" s="37" t="n">
        <v>149.02</v>
      </c>
    </row>
    <row r="379" ht="15.75" customHeight="1" s="57">
      <c r="A379" s="7" t="inlineStr">
        <is>
          <t>NTB</t>
        </is>
      </c>
      <c r="B379" s="7" t="inlineStr">
        <is>
          <t>Lâm Đồng</t>
        </is>
      </c>
      <c r="C379" s="7" t="n">
        <v>21377000</v>
      </c>
      <c r="D379" s="7" t="inlineStr">
        <is>
          <t>(LDO) Đơn Dương</t>
        </is>
      </c>
      <c r="E379" s="7" t="inlineStr">
        <is>
          <t>SME</t>
        </is>
      </c>
      <c r="F379" s="36" t="n">
        <v>498</v>
      </c>
      <c r="G379" s="36" t="n">
        <v>545</v>
      </c>
      <c r="H379" s="36" t="n">
        <v>439</v>
      </c>
      <c r="I379" s="36" t="n">
        <v>476</v>
      </c>
      <c r="J379" s="36" t="n">
        <v>440</v>
      </c>
      <c r="K379" s="28" t="n">
        <v>430</v>
      </c>
      <c r="L379" s="36" t="n">
        <v>400</v>
      </c>
      <c r="M379" s="36" t="n">
        <v>261</v>
      </c>
      <c r="N379" s="36" t="n">
        <v>349</v>
      </c>
      <c r="O379" s="36" t="n">
        <v>350</v>
      </c>
      <c r="P379" s="36" t="n">
        <v>437</v>
      </c>
      <c r="Q379" s="36" t="n">
        <v>342</v>
      </c>
      <c r="R379" s="28" t="n">
        <v>422</v>
      </c>
      <c r="S379" s="36" t="n">
        <v>346</v>
      </c>
      <c r="T379" s="36" t="n">
        <v>310</v>
      </c>
      <c r="U379" s="36" t="n">
        <v>468.23</v>
      </c>
      <c r="V379" s="36" t="n">
        <v>485.13</v>
      </c>
      <c r="W379" s="36" t="n">
        <v>471.66</v>
      </c>
      <c r="X379" s="36" t="n">
        <v>385.73</v>
      </c>
      <c r="Y379" s="28" t="n">
        <v>522.61</v>
      </c>
      <c r="Z379" s="36" t="n">
        <v>481.49</v>
      </c>
      <c r="AA379" s="36" t="n">
        <v>469.66</v>
      </c>
      <c r="AB379" s="36" t="n">
        <v>468.23</v>
      </c>
      <c r="AC379" s="36" t="n">
        <v>485.13</v>
      </c>
      <c r="AD379" s="36" t="n">
        <v>487.49</v>
      </c>
      <c r="AE379" s="36" t="n">
        <v>385.73</v>
      </c>
      <c r="AF379" s="28" t="n">
        <v>522.61</v>
      </c>
      <c r="AG379" s="36" t="n">
        <v>481.49</v>
      </c>
      <c r="AH379" s="37" t="n">
        <v>469.66</v>
      </c>
      <c r="AI379" s="37" t="n">
        <v>468.23</v>
      </c>
      <c r="AJ379" s="37" t="n">
        <v>485.13</v>
      </c>
      <c r="AK379" s="37" t="n">
        <v>471.66</v>
      </c>
      <c r="AL379" s="37" t="n">
        <v>385.73</v>
      </c>
      <c r="AM379" s="37" t="n">
        <v>522.61</v>
      </c>
      <c r="AN379" s="37" t="n">
        <v>481.49</v>
      </c>
      <c r="AO379" s="37" t="n">
        <v>469.66</v>
      </c>
      <c r="AP379" s="37" t="n">
        <v>468.23</v>
      </c>
      <c r="AQ379" s="37" t="n">
        <v>485.13</v>
      </c>
      <c r="AR379" s="37" t="n">
        <v>471.66</v>
      </c>
      <c r="AS379" s="37" t="n">
        <v>385.73</v>
      </c>
      <c r="AT379" s="37" t="n">
        <v>522.61</v>
      </c>
      <c r="AU379" s="37" t="n">
        <v>481.49</v>
      </c>
      <c r="AV379" s="37" t="n">
        <v>469.66</v>
      </c>
      <c r="AW379" s="37" t="n">
        <v>468.23</v>
      </c>
      <c r="AX379" s="37" t="n">
        <v>485.13</v>
      </c>
      <c r="AY379" s="37" t="n">
        <v>471.66</v>
      </c>
      <c r="AZ379" s="37" t="n">
        <v>385.73</v>
      </c>
      <c r="BA379" s="37" t="n">
        <v>470.22</v>
      </c>
      <c r="BB379" s="37" t="n">
        <v>422.24</v>
      </c>
      <c r="BC379" s="37" t="n">
        <v>266.92</v>
      </c>
      <c r="BD379" s="37" t="n">
        <v>266.04</v>
      </c>
      <c r="BE379" s="37" t="n">
        <v>449.48</v>
      </c>
      <c r="BF379" s="37" t="n">
        <v>438.06</v>
      </c>
      <c r="BG379" s="37" t="n">
        <v>397.93</v>
      </c>
      <c r="BH379" s="37" t="n">
        <v>538.99</v>
      </c>
      <c r="BI379" s="37" t="n">
        <v>496.38</v>
      </c>
      <c r="BJ379" s="37" t="n">
        <v>500.63</v>
      </c>
      <c r="BK379" s="37" t="n">
        <v>482.62</v>
      </c>
      <c r="BL379" s="37" t="n">
        <v>500.15</v>
      </c>
      <c r="BM379" s="37" t="n">
        <v>486.05</v>
      </c>
      <c r="BN379" s="37" t="n">
        <v>397.93</v>
      </c>
      <c r="BO379" s="37" t="n">
        <v>538.99</v>
      </c>
      <c r="BP379" s="37" t="n">
        <v>496.38</v>
      </c>
      <c r="BQ379" s="37" t="n">
        <v>483.98</v>
      </c>
      <c r="BR379" s="37" t="n">
        <v>482.62</v>
      </c>
      <c r="BS379" s="37" t="n">
        <v>500.15</v>
      </c>
      <c r="BT379" s="37" t="n">
        <v>486.05</v>
      </c>
      <c r="BU379" s="37" t="n">
        <v>397.93</v>
      </c>
      <c r="BV379" s="37" t="n">
        <v>538.99</v>
      </c>
      <c r="BW379" s="37" t="n">
        <v>496.38</v>
      </c>
      <c r="BX379" s="37" t="n">
        <v>483.98</v>
      </c>
      <c r="BY379" s="37" t="n">
        <v>482.62</v>
      </c>
      <c r="BZ379" s="37" t="n">
        <v>500.15</v>
      </c>
      <c r="CA379" s="37" t="n">
        <v>486.05</v>
      </c>
      <c r="CB379" s="37" t="n">
        <v>397.93</v>
      </c>
      <c r="CC379" s="37" t="n">
        <v>33895.46000000001</v>
      </c>
    </row>
    <row r="380" ht="15.75" customHeight="1" s="57">
      <c r="A380" s="7" t="inlineStr">
        <is>
          <t>NTB</t>
        </is>
      </c>
      <c r="B380" s="7" t="inlineStr">
        <is>
          <t>Lâm Đồng</t>
        </is>
      </c>
      <c r="C380" s="7" t="n">
        <v>21377000</v>
      </c>
      <c r="D380" s="7" t="inlineStr">
        <is>
          <t>(LDO) Đơn Dương</t>
        </is>
      </c>
      <c r="E380" s="7" t="inlineStr">
        <is>
          <t>SME-Bulky</t>
        </is>
      </c>
      <c r="F380" s="36" t="n">
        <v>29</v>
      </c>
      <c r="G380" s="36" t="n">
        <v>22</v>
      </c>
      <c r="H380" s="36" t="n">
        <v>36</v>
      </c>
      <c r="I380" s="36" t="n">
        <v>24</v>
      </c>
      <c r="J380" s="36" t="n">
        <v>35</v>
      </c>
      <c r="K380" s="28" t="n">
        <v>44</v>
      </c>
      <c r="L380" s="36" t="n">
        <v>15</v>
      </c>
      <c r="M380" s="36" t="n">
        <v>28</v>
      </c>
      <c r="N380" s="36" t="n">
        <v>29</v>
      </c>
      <c r="O380" s="36" t="n">
        <v>15</v>
      </c>
      <c r="P380" s="36" t="n">
        <v>34</v>
      </c>
      <c r="Q380" s="36" t="n">
        <v>26</v>
      </c>
      <c r="R380" s="28" t="n">
        <v>40</v>
      </c>
      <c r="S380" s="36" t="n">
        <v>37</v>
      </c>
      <c r="T380" s="36" t="n">
        <v>28</v>
      </c>
      <c r="U380" s="36" t="n">
        <v>29.72</v>
      </c>
      <c r="V380" s="36" t="n">
        <v>29.4</v>
      </c>
      <c r="W380" s="36" t="n">
        <v>27.79</v>
      </c>
      <c r="X380" s="36" t="n">
        <v>18.5</v>
      </c>
      <c r="Y380" s="28" t="n">
        <v>33.2</v>
      </c>
      <c r="Z380" s="36" t="n">
        <v>31.72</v>
      </c>
      <c r="AA380" s="36" t="n">
        <v>31.27</v>
      </c>
      <c r="AB380" s="36" t="n">
        <v>29.72</v>
      </c>
      <c r="AC380" s="36" t="n">
        <v>29.4</v>
      </c>
      <c r="AD380" s="36" t="n">
        <v>26.11</v>
      </c>
      <c r="AE380" s="36" t="n">
        <v>18.5</v>
      </c>
      <c r="AF380" s="28" t="n">
        <v>33.2</v>
      </c>
      <c r="AG380" s="36" t="n">
        <v>31.72</v>
      </c>
      <c r="AH380" s="37" t="n">
        <v>31.27</v>
      </c>
      <c r="AI380" s="37" t="n">
        <v>29.72</v>
      </c>
      <c r="AJ380" s="37" t="n">
        <v>29.4</v>
      </c>
      <c r="AK380" s="37" t="n">
        <v>27.79</v>
      </c>
      <c r="AL380" s="37" t="n">
        <v>18.5</v>
      </c>
      <c r="AM380" s="37" t="n">
        <v>33.2</v>
      </c>
      <c r="AN380" s="37" t="n">
        <v>31.72</v>
      </c>
      <c r="AO380" s="37" t="n">
        <v>31.27</v>
      </c>
      <c r="AP380" s="37" t="n">
        <v>29.72</v>
      </c>
      <c r="AQ380" s="37" t="n">
        <v>29.4</v>
      </c>
      <c r="AR380" s="37" t="n">
        <v>27.79</v>
      </c>
      <c r="AS380" s="37" t="n">
        <v>18.5</v>
      </c>
      <c r="AT380" s="37" t="n">
        <v>33.2</v>
      </c>
      <c r="AU380" s="37" t="n">
        <v>31.72</v>
      </c>
      <c r="AV380" s="37" t="n">
        <v>31.27</v>
      </c>
      <c r="AW380" s="37" t="n">
        <v>29.72</v>
      </c>
      <c r="AX380" s="37" t="n">
        <v>29.4</v>
      </c>
      <c r="AY380" s="37" t="n">
        <v>27.79</v>
      </c>
      <c r="AZ380" s="37" t="n">
        <v>18.5</v>
      </c>
      <c r="BA380" s="37" t="n">
        <v>33.33</v>
      </c>
      <c r="BB380" s="37" t="n">
        <v>17.53</v>
      </c>
      <c r="BC380" s="37" t="n">
        <v>8.9</v>
      </c>
      <c r="BD380" s="37" t="n">
        <v>8.06</v>
      </c>
      <c r="BE380" s="37" t="n">
        <v>15.34</v>
      </c>
      <c r="BF380" s="37" t="n">
        <v>14.25</v>
      </c>
      <c r="BG380" s="37" t="n">
        <v>11.09</v>
      </c>
      <c r="BH380" s="37" t="n">
        <v>19.28</v>
      </c>
      <c r="BI380" s="37" t="n">
        <v>19.15</v>
      </c>
      <c r="BJ380" s="37" t="n">
        <v>16.57</v>
      </c>
      <c r="BK380" s="37" t="n">
        <v>17.6</v>
      </c>
      <c r="BL380" s="37" t="n">
        <v>17.66</v>
      </c>
      <c r="BM380" s="37" t="n">
        <v>16.44</v>
      </c>
      <c r="BN380" s="37" t="n">
        <v>11.09</v>
      </c>
      <c r="BO380" s="37" t="n">
        <v>19.28</v>
      </c>
      <c r="BP380" s="37" t="n">
        <v>19.15</v>
      </c>
      <c r="BQ380" s="37" t="n">
        <v>18.24</v>
      </c>
      <c r="BR380" s="37" t="n">
        <v>17.6</v>
      </c>
      <c r="BS380" s="37" t="n">
        <v>17.66</v>
      </c>
      <c r="BT380" s="37" t="n">
        <v>16.44</v>
      </c>
      <c r="BU380" s="37" t="n">
        <v>11.09</v>
      </c>
      <c r="BV380" s="37" t="n">
        <v>19.28</v>
      </c>
      <c r="BW380" s="37" t="n">
        <v>19.15</v>
      </c>
      <c r="BX380" s="37" t="n">
        <v>18.24</v>
      </c>
      <c r="BY380" s="37" t="n">
        <v>17.6</v>
      </c>
      <c r="BZ380" s="37" t="n">
        <v>17.66</v>
      </c>
      <c r="CA380" s="37" t="n">
        <v>16.44</v>
      </c>
      <c r="CB380" s="37" t="n">
        <v>11.09</v>
      </c>
      <c r="CC380" s="37" t="n">
        <v>1817.34</v>
      </c>
    </row>
    <row r="381" ht="15.75" customHeight="1" s="57">
      <c r="A381" s="7" t="inlineStr">
        <is>
          <t>NTB</t>
        </is>
      </c>
      <c r="B381" s="7" t="inlineStr">
        <is>
          <t>Lâm Đồng</t>
        </is>
      </c>
      <c r="C381" s="7" t="n">
        <v>21377000</v>
      </c>
      <c r="D381" s="7" t="inlineStr">
        <is>
          <t>(LDO) Đơn Dương</t>
        </is>
      </c>
      <c r="E381" s="7" t="inlineStr">
        <is>
          <t>Shopee</t>
        </is>
      </c>
      <c r="F381" s="36" t="n">
        <v>333</v>
      </c>
      <c r="G381" s="36" t="n">
        <v>327</v>
      </c>
      <c r="H381" s="36" t="n">
        <v>240</v>
      </c>
      <c r="I381" s="36" t="n">
        <v>300</v>
      </c>
      <c r="J381" s="36" t="n">
        <v>246</v>
      </c>
      <c r="K381" s="28" t="n">
        <v>174</v>
      </c>
      <c r="L381" s="36" t="n">
        <v>114</v>
      </c>
      <c r="M381" s="36" t="n">
        <v>145</v>
      </c>
      <c r="N381" s="36" t="n">
        <v>131</v>
      </c>
      <c r="O381" s="36" t="n">
        <v>115</v>
      </c>
      <c r="P381" s="36" t="n">
        <v>131</v>
      </c>
      <c r="Q381" s="36" t="n">
        <v>99</v>
      </c>
      <c r="R381" s="28" t="n">
        <v>89</v>
      </c>
      <c r="S381" s="36" t="n">
        <v>119</v>
      </c>
      <c r="T381" s="36" t="n">
        <v>171</v>
      </c>
      <c r="U381" s="36" t="n">
        <v>187.61</v>
      </c>
      <c r="V381" s="36" t="n">
        <v>188.28</v>
      </c>
      <c r="W381" s="36" t="n">
        <v>185.58</v>
      </c>
      <c r="X381" s="36" t="n">
        <v>150.92</v>
      </c>
      <c r="Y381" s="28" t="n">
        <v>252.8</v>
      </c>
      <c r="Z381" s="36" t="n">
        <v>200.13</v>
      </c>
      <c r="AA381" s="36" t="n">
        <v>275.22</v>
      </c>
      <c r="AB381" s="36" t="n">
        <v>191.48</v>
      </c>
      <c r="AC381" s="36" t="n">
        <v>154.52</v>
      </c>
      <c r="AD381" s="36" t="n">
        <v>402.73</v>
      </c>
      <c r="AE381" s="36" t="n">
        <v>161.63</v>
      </c>
      <c r="AF381" s="28" t="n">
        <v>288.14</v>
      </c>
      <c r="AG381" s="36" t="n">
        <v>210.12</v>
      </c>
      <c r="AH381" s="37" t="n">
        <v>221.83</v>
      </c>
      <c r="AI381" s="37" t="n">
        <v>187.61</v>
      </c>
      <c r="AJ381" s="37" t="n">
        <v>188.28</v>
      </c>
      <c r="AK381" s="37" t="n">
        <v>250.42</v>
      </c>
      <c r="AL381" s="37" t="n">
        <v>271.04</v>
      </c>
      <c r="AM381" s="37" t="n">
        <v>252.8</v>
      </c>
      <c r="AN381" s="37" t="n">
        <v>200.13</v>
      </c>
      <c r="AO381" s="37" t="n">
        <v>221.83</v>
      </c>
      <c r="AP381" s="37" t="n">
        <v>234.21</v>
      </c>
      <c r="AQ381" s="37" t="n">
        <v>150.96</v>
      </c>
      <c r="AR381" s="37" t="n">
        <v>185.58</v>
      </c>
      <c r="AS381" s="37" t="n">
        <v>150.92</v>
      </c>
      <c r="AT381" s="37" t="n">
        <v>252.8</v>
      </c>
      <c r="AU381" s="37" t="n">
        <v>204.27</v>
      </c>
      <c r="AV381" s="37" t="n">
        <v>226.33</v>
      </c>
      <c r="AW381" s="37" t="n">
        <v>187.61</v>
      </c>
      <c r="AX381" s="37" t="n">
        <v>188.28</v>
      </c>
      <c r="AY381" s="37" t="n">
        <v>185.58</v>
      </c>
      <c r="AZ381" s="37" t="n">
        <v>150.92</v>
      </c>
      <c r="BA381" s="37" t="n">
        <v>194.72</v>
      </c>
      <c r="BB381" s="37" t="n">
        <v>169.55</v>
      </c>
      <c r="BC381" s="37" t="n">
        <v>86.70999999999999</v>
      </c>
      <c r="BD381" s="37" t="n">
        <v>153.66</v>
      </c>
      <c r="BE381" s="37" t="n">
        <v>179.32</v>
      </c>
      <c r="BF381" s="37" t="n">
        <v>176.76</v>
      </c>
      <c r="BG381" s="37" t="n">
        <v>146.64</v>
      </c>
      <c r="BH381" s="37" t="n">
        <v>240.78</v>
      </c>
      <c r="BI381" s="37" t="n">
        <v>156.59</v>
      </c>
      <c r="BJ381" s="37" t="n">
        <v>571.5599999999999</v>
      </c>
      <c r="BK381" s="37" t="n">
        <v>191.3</v>
      </c>
      <c r="BL381" s="37" t="n">
        <v>188.37</v>
      </c>
      <c r="BM381" s="37" t="n">
        <v>176.76</v>
      </c>
      <c r="BN381" s="37" t="n">
        <v>143.76</v>
      </c>
      <c r="BO381" s="37" t="n">
        <v>240.78</v>
      </c>
      <c r="BP381" s="37" t="n">
        <v>257.21</v>
      </c>
      <c r="BQ381" s="37" t="n">
        <v>379.68</v>
      </c>
      <c r="BR381" s="37" t="n">
        <v>178.74</v>
      </c>
      <c r="BS381" s="37" t="n">
        <v>179.32</v>
      </c>
      <c r="BT381" s="37" t="n">
        <v>176.76</v>
      </c>
      <c r="BU381" s="37" t="n">
        <v>179.6</v>
      </c>
      <c r="BV381" s="37" t="n">
        <v>192.92</v>
      </c>
      <c r="BW381" s="37" t="n">
        <v>190.58</v>
      </c>
      <c r="BX381" s="37" t="n">
        <v>211.29</v>
      </c>
      <c r="BY381" s="37" t="n">
        <v>178.74</v>
      </c>
      <c r="BZ381" s="37" t="n">
        <v>183.11</v>
      </c>
      <c r="CA381" s="37" t="n">
        <v>180.18</v>
      </c>
      <c r="CB381" s="37" t="n">
        <v>143.76</v>
      </c>
      <c r="CC381" s="37" t="n">
        <v>15143.71</v>
      </c>
    </row>
    <row r="382" ht="15.75" customHeight="1" s="57">
      <c r="A382" s="7" t="inlineStr">
        <is>
          <t>NTB</t>
        </is>
      </c>
      <c r="B382" s="7" t="inlineStr">
        <is>
          <t>Lâm Đồng</t>
        </is>
      </c>
      <c r="C382" s="7" t="n">
        <v>21377000</v>
      </c>
      <c r="D382" s="7" t="inlineStr">
        <is>
          <t>(LDO) Đơn Dương</t>
        </is>
      </c>
      <c r="E382" s="7" t="inlineStr">
        <is>
          <t>Shopee-Bulky</t>
        </is>
      </c>
      <c r="F382" s="36" t="n">
        <v>36.77</v>
      </c>
      <c r="G382" s="36" t="n">
        <v>36.14</v>
      </c>
      <c r="H382" s="36" t="n">
        <v>46.92</v>
      </c>
      <c r="I382" s="36" t="n">
        <v>48.82</v>
      </c>
      <c r="J382" s="36" t="n">
        <v>32.97</v>
      </c>
      <c r="K382" s="28" t="n">
        <v>26.63</v>
      </c>
      <c r="L382" s="36" t="n">
        <v>22.19</v>
      </c>
      <c r="M382" s="36" t="n">
        <v>61.5</v>
      </c>
      <c r="N382" s="36" t="n">
        <v>30.43</v>
      </c>
      <c r="O382" s="36" t="n">
        <v>38.04</v>
      </c>
      <c r="P382" s="36" t="n">
        <v>33.6</v>
      </c>
      <c r="Q382" s="36" t="n">
        <v>30.43</v>
      </c>
      <c r="R382" s="28" t="n">
        <v>43.75</v>
      </c>
      <c r="S382" s="36" t="n">
        <v>31.7</v>
      </c>
      <c r="T382" s="36" t="n">
        <v>53.26</v>
      </c>
      <c r="U382" s="36" t="n">
        <v>36.1</v>
      </c>
      <c r="V382" s="36" t="n">
        <v>34.8</v>
      </c>
      <c r="W382" s="36" t="n">
        <v>47.84</v>
      </c>
      <c r="X382" s="36" t="n">
        <v>27.06</v>
      </c>
      <c r="Y382" s="28" t="n">
        <v>52.99</v>
      </c>
      <c r="Z382" s="36" t="n">
        <v>41.89</v>
      </c>
      <c r="AA382" s="36" t="n">
        <v>40.7</v>
      </c>
      <c r="AB382" s="36" t="n">
        <v>41.19</v>
      </c>
      <c r="AC382" s="36" t="n">
        <v>43.24</v>
      </c>
      <c r="AD382" s="36" t="n">
        <v>116.52</v>
      </c>
      <c r="AE382" s="36" t="n">
        <v>69.55</v>
      </c>
      <c r="AF382" s="28" t="n">
        <v>103.7</v>
      </c>
      <c r="AG382" s="36" t="n">
        <v>58.88</v>
      </c>
      <c r="AH382" s="37" t="n">
        <v>41.4</v>
      </c>
      <c r="AI382" s="37" t="n">
        <v>39.83</v>
      </c>
      <c r="AJ382" s="37" t="n">
        <v>39.51</v>
      </c>
      <c r="AK382" s="37" t="n">
        <v>89.45999999999999</v>
      </c>
      <c r="AL382" s="37" t="n">
        <v>45.52</v>
      </c>
      <c r="AM382" s="37" t="n">
        <v>65</v>
      </c>
      <c r="AN382" s="37" t="n">
        <v>41.13</v>
      </c>
      <c r="AO382" s="37" t="n">
        <v>40.32</v>
      </c>
      <c r="AP382" s="37" t="n">
        <v>54.45</v>
      </c>
      <c r="AQ382" s="37" t="n">
        <v>54.12</v>
      </c>
      <c r="AR382" s="37" t="n">
        <v>43.03</v>
      </c>
      <c r="AS382" s="37" t="n">
        <v>23.81</v>
      </c>
      <c r="AT382" s="37" t="n">
        <v>48.66</v>
      </c>
      <c r="AU382" s="37" t="n">
        <v>80.05</v>
      </c>
      <c r="AV382" s="37" t="n">
        <v>83.08</v>
      </c>
      <c r="AW382" s="37" t="n">
        <v>40.43</v>
      </c>
      <c r="AX382" s="37" t="n">
        <v>37.94</v>
      </c>
      <c r="AY382" s="37" t="n">
        <v>41.19</v>
      </c>
      <c r="AZ382" s="37" t="n">
        <v>22.89</v>
      </c>
      <c r="BA382" s="37" t="n">
        <v>44.49</v>
      </c>
      <c r="BB382" s="37" t="n">
        <v>41.35</v>
      </c>
      <c r="BC382" s="37" t="n">
        <v>13.91</v>
      </c>
      <c r="BD382" s="37" t="n">
        <v>35.4</v>
      </c>
      <c r="BE382" s="37" t="n">
        <v>43.51</v>
      </c>
      <c r="BF382" s="37" t="n">
        <v>37.4</v>
      </c>
      <c r="BG382" s="37" t="n">
        <v>31.07</v>
      </c>
      <c r="BH382" s="37" t="n">
        <v>56.94</v>
      </c>
      <c r="BI382" s="37" t="n">
        <v>48.6</v>
      </c>
      <c r="BJ382" s="37" t="n">
        <v>185.37</v>
      </c>
      <c r="BK382" s="37" t="n">
        <v>102.83</v>
      </c>
      <c r="BL382" s="37" t="n">
        <v>52.99</v>
      </c>
      <c r="BM382" s="37" t="n">
        <v>39.51</v>
      </c>
      <c r="BN382" s="37" t="n">
        <v>29.98</v>
      </c>
      <c r="BO382" s="37" t="n">
        <v>66.19</v>
      </c>
      <c r="BP382" s="37" t="n">
        <v>96.66</v>
      </c>
      <c r="BQ382" s="37" t="n">
        <v>69.93000000000001</v>
      </c>
      <c r="BR382" s="37" t="n">
        <v>46</v>
      </c>
      <c r="BS382" s="37" t="n">
        <v>43.51</v>
      </c>
      <c r="BT382" s="37" t="n">
        <v>37.4</v>
      </c>
      <c r="BU382" s="37" t="n">
        <v>44.11</v>
      </c>
      <c r="BV382" s="37" t="n">
        <v>60.29</v>
      </c>
      <c r="BW382" s="37" t="n">
        <v>48.6</v>
      </c>
      <c r="BX382" s="37" t="n">
        <v>46.92</v>
      </c>
      <c r="BY382" s="37" t="n">
        <v>46</v>
      </c>
      <c r="BZ382" s="37" t="n">
        <v>78.86</v>
      </c>
      <c r="CA382" s="37" t="n">
        <v>45.46</v>
      </c>
      <c r="CB382" s="37" t="n">
        <v>29.6</v>
      </c>
      <c r="CC382" s="37" t="n">
        <v>3742.31</v>
      </c>
    </row>
    <row r="383" ht="15.75" customHeight="1" s="57">
      <c r="A383" s="7" t="inlineStr">
        <is>
          <t>NTB</t>
        </is>
      </c>
      <c r="B383" s="7" t="inlineStr">
        <is>
          <t>Lâm Đồng</t>
        </is>
      </c>
      <c r="C383" s="7" t="n">
        <v>21377000</v>
      </c>
      <c r="D383" s="7" t="inlineStr">
        <is>
          <t>(LDO) Đơn Dương</t>
        </is>
      </c>
      <c r="E383" s="7" t="inlineStr">
        <is>
          <t>Shopee-Bulky (10-15kg)</t>
        </is>
      </c>
      <c r="F383" s="36" t="n">
        <v>21.23</v>
      </c>
      <c r="G383" s="36" t="n">
        <v>20.86</v>
      </c>
      <c r="H383" s="36" t="n">
        <v>27.08</v>
      </c>
      <c r="I383" s="36" t="n">
        <v>28.18</v>
      </c>
      <c r="J383" s="36" t="n">
        <v>19.03</v>
      </c>
      <c r="K383" s="28" t="n">
        <v>15.37</v>
      </c>
      <c r="L383" s="36" t="n">
        <v>12.81</v>
      </c>
      <c r="M383" s="36" t="n">
        <v>35.5</v>
      </c>
      <c r="N383" s="36" t="n">
        <v>17.57</v>
      </c>
      <c r="O383" s="36" t="n">
        <v>21.96</v>
      </c>
      <c r="P383" s="36" t="n">
        <v>19.4</v>
      </c>
      <c r="Q383" s="36" t="n">
        <v>17.57</v>
      </c>
      <c r="R383" s="28" t="n">
        <v>25.25</v>
      </c>
      <c r="S383" s="36" t="n">
        <v>18.3</v>
      </c>
      <c r="T383" s="36" t="n">
        <v>30.74</v>
      </c>
      <c r="U383" s="36" t="n">
        <v>21.7</v>
      </c>
      <c r="V383" s="36" t="n">
        <v>20.78</v>
      </c>
      <c r="W383" s="36" t="n">
        <v>27.39</v>
      </c>
      <c r="X383" s="36" t="n">
        <v>15.48</v>
      </c>
      <c r="Y383" s="28" t="n">
        <v>30.74</v>
      </c>
      <c r="Z383" s="36" t="n">
        <v>23.98</v>
      </c>
      <c r="AA383" s="36" t="n">
        <v>22.51</v>
      </c>
      <c r="AB383" s="36" t="n">
        <v>23.6</v>
      </c>
      <c r="AC383" s="36" t="n">
        <v>24.41</v>
      </c>
      <c r="AD383" s="36" t="n">
        <v>93.36</v>
      </c>
      <c r="AE383" s="36" t="n">
        <v>38.97</v>
      </c>
      <c r="AF383" s="28" t="n">
        <v>56.88</v>
      </c>
      <c r="AG383" s="36" t="n">
        <v>33.93</v>
      </c>
      <c r="AH383" s="37" t="n">
        <v>23.65</v>
      </c>
      <c r="AI383" s="37" t="n">
        <v>23</v>
      </c>
      <c r="AJ383" s="37" t="n">
        <v>22.3</v>
      </c>
      <c r="AK383" s="37" t="n">
        <v>52.5</v>
      </c>
      <c r="AL383" s="37" t="n">
        <v>25.49</v>
      </c>
      <c r="AM383" s="37" t="n">
        <v>37.72</v>
      </c>
      <c r="AN383" s="37" t="n">
        <v>23.71</v>
      </c>
      <c r="AO383" s="37" t="n">
        <v>22.73</v>
      </c>
      <c r="AP383" s="37" t="n">
        <v>29.93</v>
      </c>
      <c r="AQ383" s="37" t="n">
        <v>30.52</v>
      </c>
      <c r="AR383" s="37" t="n">
        <v>24.73</v>
      </c>
      <c r="AS383" s="37" t="n">
        <v>13.58</v>
      </c>
      <c r="AT383" s="37" t="n">
        <v>28.14</v>
      </c>
      <c r="AU383" s="37" t="n">
        <v>47.63</v>
      </c>
      <c r="AV383" s="37" t="n">
        <v>47.74</v>
      </c>
      <c r="AW383" s="37" t="n">
        <v>22.95</v>
      </c>
      <c r="AX383" s="37" t="n">
        <v>21.27</v>
      </c>
      <c r="AY383" s="37" t="n">
        <v>23.71</v>
      </c>
      <c r="AZ383" s="37" t="n">
        <v>13.04</v>
      </c>
      <c r="BA383" s="37" t="n">
        <v>25.71</v>
      </c>
      <c r="BB383" s="37" t="n">
        <v>23.87</v>
      </c>
      <c r="BC383" s="37" t="n">
        <v>8.33</v>
      </c>
      <c r="BD383" s="37" t="n">
        <v>20.03</v>
      </c>
      <c r="BE383" s="37" t="n">
        <v>24.95</v>
      </c>
      <c r="BF383" s="37" t="n">
        <v>21.76</v>
      </c>
      <c r="BG383" s="37" t="n">
        <v>17.86</v>
      </c>
      <c r="BH383" s="37" t="n">
        <v>33.34</v>
      </c>
      <c r="BI383" s="37" t="n">
        <v>28.14</v>
      </c>
      <c r="BJ383" s="37" t="n">
        <v>128.59</v>
      </c>
      <c r="BK383" s="37" t="n">
        <v>59.64</v>
      </c>
      <c r="BL383" s="37" t="n">
        <v>30.63</v>
      </c>
      <c r="BM383" s="37" t="n">
        <v>22.62</v>
      </c>
      <c r="BN383" s="37" t="n">
        <v>17.48</v>
      </c>
      <c r="BO383" s="37" t="n">
        <v>37.94</v>
      </c>
      <c r="BP383" s="37" t="n">
        <v>56.23</v>
      </c>
      <c r="BQ383" s="37" t="n">
        <v>40.65</v>
      </c>
      <c r="BR383" s="37" t="n">
        <v>26.41</v>
      </c>
      <c r="BS383" s="37" t="n">
        <v>24.95</v>
      </c>
      <c r="BT383" s="37" t="n">
        <v>21.76</v>
      </c>
      <c r="BU383" s="37" t="n">
        <v>25.22</v>
      </c>
      <c r="BV383" s="37" t="n">
        <v>34.64</v>
      </c>
      <c r="BW383" s="37" t="n">
        <v>28.14</v>
      </c>
      <c r="BX383" s="37" t="n">
        <v>26.84</v>
      </c>
      <c r="BY383" s="37" t="n">
        <v>26.41</v>
      </c>
      <c r="BZ383" s="37" t="n">
        <v>45.68</v>
      </c>
      <c r="CA383" s="37" t="n">
        <v>26.03</v>
      </c>
      <c r="CB383" s="37" t="n">
        <v>16.83</v>
      </c>
      <c r="CC383" s="37" t="n">
        <v>2199.6</v>
      </c>
    </row>
    <row r="384" ht="15.75" customHeight="1" s="57">
      <c r="A384" s="7" t="inlineStr">
        <is>
          <t>NTB</t>
        </is>
      </c>
      <c r="B384" s="7" t="inlineStr">
        <is>
          <t>Lâm Đồng</t>
        </is>
      </c>
      <c r="C384" s="7" t="n">
        <v>21377000</v>
      </c>
      <c r="D384" s="7" t="inlineStr">
        <is>
          <t>(LDO) Đơn Dương</t>
        </is>
      </c>
      <c r="E384" s="7" t="inlineStr">
        <is>
          <t>TTS</t>
        </is>
      </c>
      <c r="F384" s="36" t="n">
        <v>349</v>
      </c>
      <c r="G384" s="36" t="n">
        <v>341</v>
      </c>
      <c r="H384" s="36" t="n">
        <v>262</v>
      </c>
      <c r="I384" s="36" t="n">
        <v>296</v>
      </c>
      <c r="J384" s="36" t="n">
        <v>258</v>
      </c>
      <c r="K384" s="28" t="n">
        <v>244</v>
      </c>
      <c r="L384" s="36" t="n">
        <v>212</v>
      </c>
      <c r="M384" s="36" t="n">
        <v>228</v>
      </c>
      <c r="N384" s="36" t="n">
        <v>250</v>
      </c>
      <c r="O384" s="36" t="n">
        <v>215</v>
      </c>
      <c r="P384" s="36" t="n">
        <v>273</v>
      </c>
      <c r="Q384" s="36" t="n">
        <v>234</v>
      </c>
      <c r="R384" s="28" t="n">
        <v>254</v>
      </c>
      <c r="S384" s="36" t="n">
        <v>254</v>
      </c>
      <c r="T384" s="36" t="n">
        <v>182</v>
      </c>
      <c r="U384" s="36" t="n">
        <v>175.41</v>
      </c>
      <c r="V384" s="36" t="n">
        <v>172.41</v>
      </c>
      <c r="W384" s="36" t="n">
        <v>168.49</v>
      </c>
      <c r="X384" s="36" t="n">
        <v>136.06</v>
      </c>
      <c r="Y384" s="28" t="n">
        <v>197.55</v>
      </c>
      <c r="Z384" s="36" t="n">
        <v>168.14</v>
      </c>
      <c r="AA384" s="36" t="n">
        <v>186.55</v>
      </c>
      <c r="AB384" s="36" t="n">
        <v>207.35</v>
      </c>
      <c r="AC384" s="36" t="n">
        <v>218.35</v>
      </c>
      <c r="AD384" s="36" t="n">
        <v>223.75</v>
      </c>
      <c r="AE384" s="36" t="n">
        <v>158.04</v>
      </c>
      <c r="AF384" s="28" t="n">
        <v>204.27</v>
      </c>
      <c r="AG384" s="36" t="n">
        <v>171.43</v>
      </c>
      <c r="AH384" s="37" t="n">
        <v>169.54</v>
      </c>
      <c r="AI384" s="37" t="n">
        <v>193.97</v>
      </c>
      <c r="AJ384" s="37" t="n">
        <v>208.54</v>
      </c>
      <c r="AK384" s="37" t="n">
        <v>205.61</v>
      </c>
      <c r="AL384" s="37" t="n">
        <v>146.62</v>
      </c>
      <c r="AM384" s="37" t="n">
        <v>201.26</v>
      </c>
      <c r="AN384" s="37" t="n">
        <v>173.66</v>
      </c>
      <c r="AO384" s="37" t="n">
        <v>172.75</v>
      </c>
      <c r="AP384" s="37" t="n">
        <v>167.44</v>
      </c>
      <c r="AQ384" s="37" t="n">
        <v>168.91</v>
      </c>
      <c r="AR384" s="37" t="n">
        <v>166.11</v>
      </c>
      <c r="AS384" s="37" t="n">
        <v>136.76</v>
      </c>
      <c r="AT384" s="37" t="n">
        <v>217.58</v>
      </c>
      <c r="AU384" s="37" t="n">
        <v>196.85</v>
      </c>
      <c r="AV384" s="37" t="n">
        <v>175.13</v>
      </c>
      <c r="AW384" s="37" t="n">
        <v>165.41</v>
      </c>
      <c r="AX384" s="37" t="n">
        <v>164.15</v>
      </c>
      <c r="AY384" s="37" t="n">
        <v>163.94</v>
      </c>
      <c r="AZ384" s="37" t="n">
        <v>136.76</v>
      </c>
      <c r="BA384" s="37" t="n">
        <v>196.01</v>
      </c>
      <c r="BB384" s="37" t="n">
        <v>183.25</v>
      </c>
      <c r="BC384" s="37" t="n">
        <v>109.1</v>
      </c>
      <c r="BD384" s="37" t="n">
        <v>158.03</v>
      </c>
      <c r="BE384" s="37" t="n">
        <v>185.98</v>
      </c>
      <c r="BF384" s="37" t="n">
        <v>180.88</v>
      </c>
      <c r="BG384" s="37" t="n">
        <v>146.9</v>
      </c>
      <c r="BH384" s="37" t="n">
        <v>217.16</v>
      </c>
      <c r="BI384" s="37" t="n">
        <v>183.25</v>
      </c>
      <c r="BJ384" s="37" t="n">
        <v>169.97</v>
      </c>
      <c r="BK384" s="37" t="n">
        <v>185.77</v>
      </c>
      <c r="BL384" s="37" t="n">
        <v>185.98</v>
      </c>
      <c r="BM384" s="37" t="n">
        <v>180.88</v>
      </c>
      <c r="BN384" s="37" t="n">
        <v>146.9</v>
      </c>
      <c r="BO384" s="37" t="n">
        <v>217.16</v>
      </c>
      <c r="BP384" s="37" t="n">
        <v>183.25</v>
      </c>
      <c r="BQ384" s="37" t="n">
        <v>181.23</v>
      </c>
      <c r="BR384" s="37" t="n">
        <v>185.77</v>
      </c>
      <c r="BS384" s="37" t="n">
        <v>185.98</v>
      </c>
      <c r="BT384" s="37" t="n">
        <v>180.88</v>
      </c>
      <c r="BU384" s="37" t="n">
        <v>146.9</v>
      </c>
      <c r="BV384" s="37" t="n">
        <v>217.16</v>
      </c>
      <c r="BW384" s="37" t="n">
        <v>183.25</v>
      </c>
      <c r="BX384" s="37" t="n">
        <v>181.23</v>
      </c>
      <c r="BY384" s="37" t="n">
        <v>185.77</v>
      </c>
      <c r="BZ384" s="37" t="n">
        <v>185.98</v>
      </c>
      <c r="CA384" s="37" t="n">
        <v>180.88</v>
      </c>
      <c r="CB384" s="37" t="n">
        <v>146.9</v>
      </c>
      <c r="CC384" s="37" t="n">
        <v>14563.19</v>
      </c>
    </row>
    <row r="385" ht="15.75" customHeight="1" s="57">
      <c r="A385" s="7" t="inlineStr">
        <is>
          <t>NTB</t>
        </is>
      </c>
      <c r="B385" s="7" t="inlineStr">
        <is>
          <t>Lâm Đồng</t>
        </is>
      </c>
      <c r="C385" s="7" t="n">
        <v>21377000</v>
      </c>
      <c r="D385" s="7" t="inlineStr">
        <is>
          <t>(LDO) Đơn Dương</t>
        </is>
      </c>
      <c r="E385" s="7" t="inlineStr">
        <is>
          <t>TTS-Bulky</t>
        </is>
      </c>
      <c r="F385" s="36" t="n">
        <v>7</v>
      </c>
      <c r="G385" s="36" t="n">
        <v>9</v>
      </c>
      <c r="H385" s="36" t="n">
        <v>4</v>
      </c>
      <c r="I385" s="36" t="n">
        <v>4</v>
      </c>
      <c r="J385" s="36" t="n">
        <v>5</v>
      </c>
      <c r="K385" s="28" t="n">
        <v>3</v>
      </c>
      <c r="L385" s="36" t="n">
        <v>2</v>
      </c>
      <c r="M385" s="36" t="n">
        <v>5</v>
      </c>
      <c r="N385" s="36" t="n">
        <v>0</v>
      </c>
      <c r="O385" s="36" t="n">
        <v>4</v>
      </c>
      <c r="P385" s="36" t="n">
        <v>1</v>
      </c>
      <c r="Q385" s="36" t="n">
        <v>0</v>
      </c>
      <c r="R385" s="28" t="n">
        <v>3</v>
      </c>
      <c r="S385" s="36" t="n">
        <v>3</v>
      </c>
      <c r="T385" s="36" t="n">
        <v>2</v>
      </c>
      <c r="U385" s="36" t="n">
        <v>10.12</v>
      </c>
      <c r="V385" s="36" t="n">
        <v>10.25</v>
      </c>
      <c r="W385" s="36" t="n">
        <v>4.84</v>
      </c>
      <c r="X385" s="36" t="n">
        <v>3.48</v>
      </c>
      <c r="Y385" s="28" t="n">
        <v>6.32</v>
      </c>
      <c r="Z385" s="36" t="n">
        <v>5.03</v>
      </c>
      <c r="AA385" s="36" t="n">
        <v>5.35</v>
      </c>
      <c r="AB385" s="36" t="n">
        <v>5.54</v>
      </c>
      <c r="AC385" s="36" t="n">
        <v>5.87</v>
      </c>
      <c r="AD385" s="36" t="n">
        <v>8.77</v>
      </c>
      <c r="AE385" s="36" t="n">
        <v>3.93</v>
      </c>
      <c r="AF385" s="28" t="n">
        <v>6.25</v>
      </c>
      <c r="AG385" s="36" t="n">
        <v>4.77</v>
      </c>
      <c r="AH385" s="37" t="n">
        <v>4.77</v>
      </c>
      <c r="AI385" s="37" t="n">
        <v>4.84</v>
      </c>
      <c r="AJ385" s="37" t="n">
        <v>5.48</v>
      </c>
      <c r="AK385" s="37" t="n">
        <v>5.22</v>
      </c>
      <c r="AL385" s="37" t="n">
        <v>3.74</v>
      </c>
      <c r="AM385" s="37" t="n">
        <v>6.25</v>
      </c>
      <c r="AN385" s="37" t="n">
        <v>4.84</v>
      </c>
      <c r="AO385" s="37" t="n">
        <v>4.77</v>
      </c>
      <c r="AP385" s="37" t="n">
        <v>4.77</v>
      </c>
      <c r="AQ385" s="37" t="n">
        <v>5.22</v>
      </c>
      <c r="AR385" s="37" t="n">
        <v>4.84</v>
      </c>
      <c r="AS385" s="37" t="n">
        <v>3.61</v>
      </c>
      <c r="AT385" s="37" t="n">
        <v>6.51</v>
      </c>
      <c r="AU385" s="37" t="n">
        <v>5.54</v>
      </c>
      <c r="AV385" s="37" t="n">
        <v>4.9</v>
      </c>
      <c r="AW385" s="37" t="n">
        <v>4.71</v>
      </c>
      <c r="AX385" s="37" t="n">
        <v>5.22</v>
      </c>
      <c r="AY385" s="37" t="n">
        <v>4.77</v>
      </c>
      <c r="AZ385" s="37" t="n">
        <v>3.61</v>
      </c>
      <c r="BA385" s="37" t="n">
        <v>5.48</v>
      </c>
      <c r="BB385" s="37" t="n">
        <v>1.29</v>
      </c>
      <c r="BC385" s="37" t="n">
        <v>0.84</v>
      </c>
      <c r="BD385" s="37" t="n">
        <v>1.03</v>
      </c>
      <c r="BE385" s="37" t="n">
        <v>1.35</v>
      </c>
      <c r="BF385" s="37" t="n">
        <v>1.35</v>
      </c>
      <c r="BG385" s="37" t="n">
        <v>0.9</v>
      </c>
      <c r="BH385" s="37" t="n">
        <v>1.74</v>
      </c>
      <c r="BI385" s="37" t="n">
        <v>1.35</v>
      </c>
      <c r="BJ385" s="37" t="n">
        <v>2.19</v>
      </c>
      <c r="BK385" s="37" t="n">
        <v>1.42</v>
      </c>
      <c r="BL385" s="37" t="n">
        <v>1.35</v>
      </c>
      <c r="BM385" s="37" t="n">
        <v>1.35</v>
      </c>
      <c r="BN385" s="37" t="n">
        <v>1.03</v>
      </c>
      <c r="BO385" s="37" t="n">
        <v>2</v>
      </c>
      <c r="BP385" s="37" t="n">
        <v>1.55</v>
      </c>
      <c r="BQ385" s="37" t="n">
        <v>1.42</v>
      </c>
      <c r="BR385" s="37" t="n">
        <v>1.42</v>
      </c>
      <c r="BS385" s="37" t="n">
        <v>1.35</v>
      </c>
      <c r="BT385" s="37" t="n">
        <v>1.35</v>
      </c>
      <c r="BU385" s="37" t="n">
        <v>0.9</v>
      </c>
      <c r="BV385" s="37" t="n">
        <v>1.48</v>
      </c>
      <c r="BW385" s="37" t="n">
        <v>1.35</v>
      </c>
      <c r="BX385" s="37" t="n">
        <v>1.42</v>
      </c>
      <c r="BY385" s="37" t="n">
        <v>1.42</v>
      </c>
      <c r="BZ385" s="37" t="n">
        <v>1.35</v>
      </c>
      <c r="CA385" s="37" t="n">
        <v>1.35</v>
      </c>
      <c r="CB385" s="37" t="n">
        <v>0.9</v>
      </c>
      <c r="CC385" s="37" t="n">
        <v>268.0600000000002</v>
      </c>
    </row>
    <row r="386" ht="15.75" customHeight="1" s="57">
      <c r="A386" s="7" t="inlineStr">
        <is>
          <t>NTB</t>
        </is>
      </c>
      <c r="B386" s="7" t="inlineStr">
        <is>
          <t>Lâm Đồng</t>
        </is>
      </c>
      <c r="C386" s="7" t="n">
        <v>21458000</v>
      </c>
      <c r="D386" s="7" t="inlineStr">
        <is>
          <t>(LDO) Nam Ban Lâm Hà</t>
        </is>
      </c>
      <c r="E386" s="7" t="inlineStr">
        <is>
          <t>SME</t>
        </is>
      </c>
      <c r="F386" s="36" t="n">
        <v>190</v>
      </c>
      <c r="G386" s="36" t="n">
        <v>163</v>
      </c>
      <c r="H386" s="36" t="n">
        <v>196</v>
      </c>
      <c r="I386" s="36" t="n">
        <v>171</v>
      </c>
      <c r="J386" s="36" t="n">
        <v>189</v>
      </c>
      <c r="K386" s="28" t="n">
        <v>128</v>
      </c>
      <c r="L386" s="36" t="n">
        <v>117</v>
      </c>
      <c r="M386" s="36" t="n">
        <v>103</v>
      </c>
      <c r="N386" s="36" t="n">
        <v>126</v>
      </c>
      <c r="O386" s="36" t="n">
        <v>153</v>
      </c>
      <c r="P386" s="36" t="n">
        <v>135</v>
      </c>
      <c r="Q386" s="36" t="n">
        <v>119</v>
      </c>
      <c r="R386" s="28" t="n">
        <v>171</v>
      </c>
      <c r="S386" s="36" t="n">
        <v>132</v>
      </c>
      <c r="T386" s="36" t="n">
        <v>112</v>
      </c>
      <c r="U386" s="36" t="n">
        <v>172.66</v>
      </c>
      <c r="V386" s="36" t="n">
        <v>178.89</v>
      </c>
      <c r="W386" s="36" t="n">
        <v>173.92</v>
      </c>
      <c r="X386" s="36" t="n">
        <v>142.24</v>
      </c>
      <c r="Y386" s="28" t="n">
        <v>192.71</v>
      </c>
      <c r="Z386" s="36" t="n">
        <v>177.55</v>
      </c>
      <c r="AA386" s="36" t="n">
        <v>173.18</v>
      </c>
      <c r="AB386" s="36" t="n">
        <v>172.66</v>
      </c>
      <c r="AC386" s="36" t="n">
        <v>178.89</v>
      </c>
      <c r="AD386" s="36" t="n">
        <v>179.76</v>
      </c>
      <c r="AE386" s="36" t="n">
        <v>142.24</v>
      </c>
      <c r="AF386" s="28" t="n">
        <v>192.71</v>
      </c>
      <c r="AG386" s="36" t="n">
        <v>177.55</v>
      </c>
      <c r="AH386" s="37" t="n">
        <v>173.18</v>
      </c>
      <c r="AI386" s="37" t="n">
        <v>172.66</v>
      </c>
      <c r="AJ386" s="37" t="n">
        <v>178.89</v>
      </c>
      <c r="AK386" s="37" t="n">
        <v>173.92</v>
      </c>
      <c r="AL386" s="37" t="n">
        <v>142.24</v>
      </c>
      <c r="AM386" s="37" t="n">
        <v>192.71</v>
      </c>
      <c r="AN386" s="37" t="n">
        <v>177.55</v>
      </c>
      <c r="AO386" s="37" t="n">
        <v>173.18</v>
      </c>
      <c r="AP386" s="37" t="n">
        <v>172.66</v>
      </c>
      <c r="AQ386" s="37" t="n">
        <v>178.89</v>
      </c>
      <c r="AR386" s="37" t="n">
        <v>173.92</v>
      </c>
      <c r="AS386" s="37" t="n">
        <v>142.24</v>
      </c>
      <c r="AT386" s="37" t="n">
        <v>192.71</v>
      </c>
      <c r="AU386" s="37" t="n">
        <v>177.55</v>
      </c>
      <c r="AV386" s="37" t="n">
        <v>173.18</v>
      </c>
      <c r="AW386" s="37" t="n">
        <v>172.66</v>
      </c>
      <c r="AX386" s="37" t="n">
        <v>178.89</v>
      </c>
      <c r="AY386" s="37" t="n">
        <v>173.92</v>
      </c>
      <c r="AZ386" s="37" t="n">
        <v>142.24</v>
      </c>
      <c r="BA386" s="37" t="n">
        <v>173.39</v>
      </c>
      <c r="BB386" s="37" t="n">
        <v>155.72</v>
      </c>
      <c r="BC386" s="37" t="n">
        <v>98.42</v>
      </c>
      <c r="BD386" s="37" t="n">
        <v>98.10000000000001</v>
      </c>
      <c r="BE386" s="37" t="n">
        <v>165.77</v>
      </c>
      <c r="BF386" s="37" t="n">
        <v>161.55</v>
      </c>
      <c r="BG386" s="37" t="n">
        <v>146.76</v>
      </c>
      <c r="BH386" s="37" t="n">
        <v>198.78</v>
      </c>
      <c r="BI386" s="37" t="n">
        <v>183.06</v>
      </c>
      <c r="BJ386" s="37" t="n">
        <v>184.64</v>
      </c>
      <c r="BK386" s="37" t="n">
        <v>177.99</v>
      </c>
      <c r="BL386" s="37" t="n">
        <v>184.44</v>
      </c>
      <c r="BM386" s="37" t="n">
        <v>179.24</v>
      </c>
      <c r="BN386" s="37" t="n">
        <v>146.76</v>
      </c>
      <c r="BO386" s="37" t="n">
        <v>198.78</v>
      </c>
      <c r="BP386" s="37" t="n">
        <v>183.06</v>
      </c>
      <c r="BQ386" s="37" t="n">
        <v>178.49</v>
      </c>
      <c r="BR386" s="37" t="n">
        <v>177.99</v>
      </c>
      <c r="BS386" s="37" t="n">
        <v>184.44</v>
      </c>
      <c r="BT386" s="37" t="n">
        <v>179.24</v>
      </c>
      <c r="BU386" s="37" t="n">
        <v>146.76</v>
      </c>
      <c r="BV386" s="37" t="n">
        <v>198.78</v>
      </c>
      <c r="BW386" s="37" t="n">
        <v>183.06</v>
      </c>
      <c r="BX386" s="37" t="n">
        <v>178.49</v>
      </c>
      <c r="BY386" s="37" t="n">
        <v>177.99</v>
      </c>
      <c r="BZ386" s="37" t="n">
        <v>184.44</v>
      </c>
      <c r="CA386" s="37" t="n">
        <v>179.24</v>
      </c>
      <c r="CB386" s="37" t="n">
        <v>146.76</v>
      </c>
      <c r="CC386" s="37" t="n">
        <v>12475.29</v>
      </c>
    </row>
    <row r="387" ht="15.75" customHeight="1" s="57">
      <c r="A387" s="7" t="inlineStr">
        <is>
          <t>NTB</t>
        </is>
      </c>
      <c r="B387" s="7" t="inlineStr">
        <is>
          <t>Lâm Đồng</t>
        </is>
      </c>
      <c r="C387" s="7" t="n">
        <v>21458000</v>
      </c>
      <c r="D387" s="7" t="inlineStr">
        <is>
          <t>(LDO) Nam Ban Lâm Hà</t>
        </is>
      </c>
      <c r="E387" s="7" t="inlineStr">
        <is>
          <t>SME-Bulky</t>
        </is>
      </c>
      <c r="F387" s="36" t="n">
        <v>8</v>
      </c>
      <c r="G387" s="36" t="n">
        <v>9</v>
      </c>
      <c r="H387" s="36" t="n">
        <v>14</v>
      </c>
      <c r="I387" s="36" t="n">
        <v>14</v>
      </c>
      <c r="J387" s="36" t="n">
        <v>19</v>
      </c>
      <c r="K387" s="28" t="n">
        <v>12</v>
      </c>
      <c r="L387" s="36" t="n">
        <v>19</v>
      </c>
      <c r="M387" s="36" t="n">
        <v>9</v>
      </c>
      <c r="N387" s="36" t="n">
        <v>13</v>
      </c>
      <c r="O387" s="36" t="n">
        <v>9</v>
      </c>
      <c r="P387" s="36" t="n">
        <v>14</v>
      </c>
      <c r="Q387" s="36" t="n">
        <v>7</v>
      </c>
      <c r="R387" s="28" t="n">
        <v>12</v>
      </c>
      <c r="S387" s="36" t="n">
        <v>5</v>
      </c>
      <c r="T387" s="36" t="n">
        <v>8</v>
      </c>
      <c r="U387" s="36" t="n">
        <v>9.67</v>
      </c>
      <c r="V387" s="36" t="n">
        <v>9.56</v>
      </c>
      <c r="W387" s="36" t="n">
        <v>9.039999999999999</v>
      </c>
      <c r="X387" s="36" t="n">
        <v>6.02</v>
      </c>
      <c r="Y387" s="28" t="n">
        <v>10.8</v>
      </c>
      <c r="Z387" s="36" t="n">
        <v>10.32</v>
      </c>
      <c r="AA387" s="36" t="n">
        <v>10.17</v>
      </c>
      <c r="AB387" s="36" t="n">
        <v>9.67</v>
      </c>
      <c r="AC387" s="36" t="n">
        <v>9.56</v>
      </c>
      <c r="AD387" s="36" t="n">
        <v>8.49</v>
      </c>
      <c r="AE387" s="36" t="n">
        <v>6.02</v>
      </c>
      <c r="AF387" s="28" t="n">
        <v>10.8</v>
      </c>
      <c r="AG387" s="36" t="n">
        <v>10.32</v>
      </c>
      <c r="AH387" s="37" t="n">
        <v>10.17</v>
      </c>
      <c r="AI387" s="37" t="n">
        <v>9.67</v>
      </c>
      <c r="AJ387" s="37" t="n">
        <v>9.56</v>
      </c>
      <c r="AK387" s="37" t="n">
        <v>9.039999999999999</v>
      </c>
      <c r="AL387" s="37" t="n">
        <v>6.02</v>
      </c>
      <c r="AM387" s="37" t="n">
        <v>10.8</v>
      </c>
      <c r="AN387" s="37" t="n">
        <v>10.32</v>
      </c>
      <c r="AO387" s="37" t="n">
        <v>10.17</v>
      </c>
      <c r="AP387" s="37" t="n">
        <v>9.67</v>
      </c>
      <c r="AQ387" s="37" t="n">
        <v>9.56</v>
      </c>
      <c r="AR387" s="37" t="n">
        <v>9.039999999999999</v>
      </c>
      <c r="AS387" s="37" t="n">
        <v>6.02</v>
      </c>
      <c r="AT387" s="37" t="n">
        <v>10.8</v>
      </c>
      <c r="AU387" s="37" t="n">
        <v>10.32</v>
      </c>
      <c r="AV387" s="37" t="n">
        <v>10.17</v>
      </c>
      <c r="AW387" s="37" t="n">
        <v>9.67</v>
      </c>
      <c r="AX387" s="37" t="n">
        <v>9.56</v>
      </c>
      <c r="AY387" s="37" t="n">
        <v>9.039999999999999</v>
      </c>
      <c r="AZ387" s="37" t="n">
        <v>6.02</v>
      </c>
      <c r="BA387" s="37" t="n">
        <v>10.84</v>
      </c>
      <c r="BB387" s="37" t="n">
        <v>5.71</v>
      </c>
      <c r="BC387" s="37" t="n">
        <v>2.89</v>
      </c>
      <c r="BD387" s="37" t="n">
        <v>2.62</v>
      </c>
      <c r="BE387" s="37" t="n">
        <v>4.99</v>
      </c>
      <c r="BF387" s="37" t="n">
        <v>4.64</v>
      </c>
      <c r="BG387" s="37" t="n">
        <v>3.61</v>
      </c>
      <c r="BH387" s="37" t="n">
        <v>6.27</v>
      </c>
      <c r="BI387" s="37" t="n">
        <v>6.23</v>
      </c>
      <c r="BJ387" s="37" t="n">
        <v>5.39</v>
      </c>
      <c r="BK387" s="37" t="n">
        <v>5.73</v>
      </c>
      <c r="BL387" s="37" t="n">
        <v>5.75</v>
      </c>
      <c r="BM387" s="37" t="n">
        <v>5.35</v>
      </c>
      <c r="BN387" s="37" t="n">
        <v>3.61</v>
      </c>
      <c r="BO387" s="37" t="n">
        <v>6.27</v>
      </c>
      <c r="BP387" s="37" t="n">
        <v>6.23</v>
      </c>
      <c r="BQ387" s="37" t="n">
        <v>5.94</v>
      </c>
      <c r="BR387" s="37" t="n">
        <v>5.73</v>
      </c>
      <c r="BS387" s="37" t="n">
        <v>5.75</v>
      </c>
      <c r="BT387" s="37" t="n">
        <v>5.35</v>
      </c>
      <c r="BU387" s="37" t="n">
        <v>3.61</v>
      </c>
      <c r="BV387" s="37" t="n">
        <v>6.27</v>
      </c>
      <c r="BW387" s="37" t="n">
        <v>6.23</v>
      </c>
      <c r="BX387" s="37" t="n">
        <v>5.94</v>
      </c>
      <c r="BY387" s="37" t="n">
        <v>5.73</v>
      </c>
      <c r="BZ387" s="37" t="n">
        <v>5.75</v>
      </c>
      <c r="CA387" s="37" t="n">
        <v>5.35</v>
      </c>
      <c r="CB387" s="37" t="n">
        <v>3.61</v>
      </c>
      <c r="CC387" s="37" t="n">
        <v>619.4500000000003</v>
      </c>
    </row>
    <row r="388" ht="15.75" customHeight="1" s="57">
      <c r="A388" s="7" t="inlineStr">
        <is>
          <t>NTB</t>
        </is>
      </c>
      <c r="B388" s="7" t="inlineStr">
        <is>
          <t>Lâm Đồng</t>
        </is>
      </c>
      <c r="C388" s="7" t="n">
        <v>21458000</v>
      </c>
      <c r="D388" s="7" t="inlineStr">
        <is>
          <t>(LDO) Nam Ban Lâm Hà</t>
        </is>
      </c>
      <c r="E388" s="7" t="inlineStr">
        <is>
          <t>Shopee</t>
        </is>
      </c>
      <c r="F388" s="36" t="n">
        <v>115</v>
      </c>
      <c r="G388" s="36" t="n">
        <v>109</v>
      </c>
      <c r="H388" s="36" t="n">
        <v>142</v>
      </c>
      <c r="I388" s="36" t="n">
        <v>104</v>
      </c>
      <c r="J388" s="36" t="n">
        <v>106</v>
      </c>
      <c r="K388" s="28" t="n">
        <v>79</v>
      </c>
      <c r="L388" s="36" t="n">
        <v>95</v>
      </c>
      <c r="M388" s="36" t="n">
        <v>88</v>
      </c>
      <c r="N388" s="36" t="n">
        <v>108</v>
      </c>
      <c r="O388" s="36" t="n">
        <v>134</v>
      </c>
      <c r="P388" s="36" t="n">
        <v>85</v>
      </c>
      <c r="Q388" s="36" t="n">
        <v>70</v>
      </c>
      <c r="R388" s="28" t="n">
        <v>88</v>
      </c>
      <c r="S388" s="36" t="n">
        <v>82</v>
      </c>
      <c r="T388" s="36" t="n">
        <v>78</v>
      </c>
      <c r="U388" s="36" t="n">
        <v>141.59</v>
      </c>
      <c r="V388" s="36" t="n">
        <v>142.1</v>
      </c>
      <c r="W388" s="36" t="n">
        <v>140.06</v>
      </c>
      <c r="X388" s="36" t="n">
        <v>113.9</v>
      </c>
      <c r="Y388" s="28" t="n">
        <v>190.79</v>
      </c>
      <c r="Z388" s="36" t="n">
        <v>151.04</v>
      </c>
      <c r="AA388" s="36" t="n">
        <v>207.72</v>
      </c>
      <c r="AB388" s="36" t="n">
        <v>144.51</v>
      </c>
      <c r="AC388" s="36" t="n">
        <v>116.62</v>
      </c>
      <c r="AD388" s="36" t="n">
        <v>303.94</v>
      </c>
      <c r="AE388" s="36" t="n">
        <v>121.99</v>
      </c>
      <c r="AF388" s="28" t="n">
        <v>217.47</v>
      </c>
      <c r="AG388" s="36" t="n">
        <v>158.58</v>
      </c>
      <c r="AH388" s="37" t="n">
        <v>167.42</v>
      </c>
      <c r="AI388" s="37" t="n">
        <v>141.59</v>
      </c>
      <c r="AJ388" s="37" t="n">
        <v>142.1</v>
      </c>
      <c r="AK388" s="37" t="n">
        <v>188.99</v>
      </c>
      <c r="AL388" s="37" t="n">
        <v>204.56</v>
      </c>
      <c r="AM388" s="37" t="n">
        <v>190.79</v>
      </c>
      <c r="AN388" s="37" t="n">
        <v>151.04</v>
      </c>
      <c r="AO388" s="37" t="n">
        <v>167.42</v>
      </c>
      <c r="AP388" s="37" t="n">
        <v>176.76</v>
      </c>
      <c r="AQ388" s="37" t="n">
        <v>113.93</v>
      </c>
      <c r="AR388" s="37" t="n">
        <v>140.06</v>
      </c>
      <c r="AS388" s="37" t="n">
        <v>113.9</v>
      </c>
      <c r="AT388" s="37" t="n">
        <v>190.79</v>
      </c>
      <c r="AU388" s="37" t="n">
        <v>154.16</v>
      </c>
      <c r="AV388" s="37" t="n">
        <v>170.81</v>
      </c>
      <c r="AW388" s="37" t="n">
        <v>141.59</v>
      </c>
      <c r="AX388" s="37" t="n">
        <v>142.1</v>
      </c>
      <c r="AY388" s="37" t="n">
        <v>140.06</v>
      </c>
      <c r="AZ388" s="37" t="n">
        <v>113.9</v>
      </c>
      <c r="BA388" s="37" t="n">
        <v>146.96</v>
      </c>
      <c r="BB388" s="37" t="n">
        <v>127.97</v>
      </c>
      <c r="BC388" s="37" t="n">
        <v>65.44</v>
      </c>
      <c r="BD388" s="37" t="n">
        <v>115.97</v>
      </c>
      <c r="BE388" s="37" t="n">
        <v>135.34</v>
      </c>
      <c r="BF388" s="37" t="n">
        <v>133.4</v>
      </c>
      <c r="BG388" s="37" t="n">
        <v>110.67</v>
      </c>
      <c r="BH388" s="37" t="n">
        <v>181.72</v>
      </c>
      <c r="BI388" s="37" t="n">
        <v>118.18</v>
      </c>
      <c r="BJ388" s="37" t="n">
        <v>431.37</v>
      </c>
      <c r="BK388" s="37" t="n">
        <v>144.38</v>
      </c>
      <c r="BL388" s="37" t="n">
        <v>142.17</v>
      </c>
      <c r="BM388" s="37" t="n">
        <v>133.4</v>
      </c>
      <c r="BN388" s="37" t="n">
        <v>108.5</v>
      </c>
      <c r="BO388" s="37" t="n">
        <v>181.72</v>
      </c>
      <c r="BP388" s="37" t="n">
        <v>194.12</v>
      </c>
      <c r="BQ388" s="37" t="n">
        <v>286.55</v>
      </c>
      <c r="BR388" s="37" t="n">
        <v>134.9</v>
      </c>
      <c r="BS388" s="37" t="n">
        <v>135.34</v>
      </c>
      <c r="BT388" s="37" t="n">
        <v>133.4</v>
      </c>
      <c r="BU388" s="37" t="n">
        <v>135.54</v>
      </c>
      <c r="BV388" s="37" t="n">
        <v>145.6</v>
      </c>
      <c r="BW388" s="37" t="n">
        <v>143.83</v>
      </c>
      <c r="BX388" s="37" t="n">
        <v>159.46</v>
      </c>
      <c r="BY388" s="37" t="n">
        <v>134.9</v>
      </c>
      <c r="BZ388" s="37" t="n">
        <v>138.19</v>
      </c>
      <c r="CA388" s="37" t="n">
        <v>135.99</v>
      </c>
      <c r="CB388" s="37" t="n">
        <v>108.5</v>
      </c>
      <c r="CC388" s="37" t="n">
        <v>10848.79</v>
      </c>
    </row>
    <row r="389" ht="15.75" customHeight="1" s="57">
      <c r="A389" s="7" t="inlineStr">
        <is>
          <t>NTB</t>
        </is>
      </c>
      <c r="B389" s="7" t="inlineStr">
        <is>
          <t>Lâm Đồng</t>
        </is>
      </c>
      <c r="C389" s="7" t="n">
        <v>21458000</v>
      </c>
      <c r="D389" s="7" t="inlineStr">
        <is>
          <t>(LDO) Nam Ban Lâm Hà</t>
        </is>
      </c>
      <c r="E389" s="7" t="inlineStr">
        <is>
          <t>Shopee-Bulky</t>
        </is>
      </c>
      <c r="F389" s="36" t="n">
        <v>10.78</v>
      </c>
      <c r="G389" s="36" t="n">
        <v>8.880000000000001</v>
      </c>
      <c r="H389" s="36" t="n">
        <v>13.32</v>
      </c>
      <c r="I389" s="36" t="n">
        <v>11.41</v>
      </c>
      <c r="J389" s="36" t="n">
        <v>11.41</v>
      </c>
      <c r="K389" s="28" t="n">
        <v>5.71</v>
      </c>
      <c r="L389" s="36" t="n">
        <v>14.58</v>
      </c>
      <c r="M389" s="36" t="n">
        <v>15.22</v>
      </c>
      <c r="N389" s="36" t="n">
        <v>13.32</v>
      </c>
      <c r="O389" s="36" t="n">
        <v>11.41</v>
      </c>
      <c r="P389" s="36" t="n">
        <v>7.61</v>
      </c>
      <c r="Q389" s="36" t="n">
        <v>12.68</v>
      </c>
      <c r="R389" s="28" t="n">
        <v>10.78</v>
      </c>
      <c r="S389" s="36" t="n">
        <v>13.32</v>
      </c>
      <c r="T389" s="36" t="n">
        <v>15.22</v>
      </c>
      <c r="U389" s="36" t="n">
        <v>11.74</v>
      </c>
      <c r="V389" s="36" t="n">
        <v>11.32</v>
      </c>
      <c r="W389" s="36" t="n">
        <v>15.56</v>
      </c>
      <c r="X389" s="36" t="n">
        <v>8.800000000000001</v>
      </c>
      <c r="Y389" s="28" t="n">
        <v>17.23</v>
      </c>
      <c r="Z389" s="36" t="n">
        <v>13.62</v>
      </c>
      <c r="AA389" s="36" t="n">
        <v>13.23</v>
      </c>
      <c r="AB389" s="36" t="n">
        <v>13.39</v>
      </c>
      <c r="AC389" s="36" t="n">
        <v>14.06</v>
      </c>
      <c r="AD389" s="36" t="n">
        <v>37.89</v>
      </c>
      <c r="AE389" s="36" t="n">
        <v>22.62</v>
      </c>
      <c r="AF389" s="28" t="n">
        <v>33.72</v>
      </c>
      <c r="AG389" s="36" t="n">
        <v>19.15</v>
      </c>
      <c r="AH389" s="37" t="n">
        <v>13.46</v>
      </c>
      <c r="AI389" s="37" t="n">
        <v>12.95</v>
      </c>
      <c r="AJ389" s="37" t="n">
        <v>12.85</v>
      </c>
      <c r="AK389" s="37" t="n">
        <v>29.09</v>
      </c>
      <c r="AL389" s="37" t="n">
        <v>14.8</v>
      </c>
      <c r="AM389" s="37" t="n">
        <v>21.14</v>
      </c>
      <c r="AN389" s="37" t="n">
        <v>13.38</v>
      </c>
      <c r="AO389" s="37" t="n">
        <v>13.11</v>
      </c>
      <c r="AP389" s="37" t="n">
        <v>17.71</v>
      </c>
      <c r="AQ389" s="37" t="n">
        <v>17.6</v>
      </c>
      <c r="AR389" s="37" t="n">
        <v>13.99</v>
      </c>
      <c r="AS389" s="37" t="n">
        <v>7.74</v>
      </c>
      <c r="AT389" s="37" t="n">
        <v>15.82</v>
      </c>
      <c r="AU389" s="37" t="n">
        <v>26.03</v>
      </c>
      <c r="AV389" s="37" t="n">
        <v>27.02</v>
      </c>
      <c r="AW389" s="37" t="n">
        <v>13.15</v>
      </c>
      <c r="AX389" s="37" t="n">
        <v>12.34</v>
      </c>
      <c r="AY389" s="37" t="n">
        <v>13.39</v>
      </c>
      <c r="AZ389" s="37" t="n">
        <v>7.44</v>
      </c>
      <c r="BA389" s="37" t="n">
        <v>14.47</v>
      </c>
      <c r="BB389" s="37" t="n">
        <v>13.45</v>
      </c>
      <c r="BC389" s="37" t="n">
        <v>4.52</v>
      </c>
      <c r="BD389" s="37" t="n">
        <v>11.51</v>
      </c>
      <c r="BE389" s="37" t="n">
        <v>14.15</v>
      </c>
      <c r="BF389" s="37" t="n">
        <v>12.16</v>
      </c>
      <c r="BG389" s="37" t="n">
        <v>10.1</v>
      </c>
      <c r="BH389" s="37" t="n">
        <v>18.51</v>
      </c>
      <c r="BI389" s="37" t="n">
        <v>15.8</v>
      </c>
      <c r="BJ389" s="37" t="n">
        <v>60.28</v>
      </c>
      <c r="BK389" s="37" t="n">
        <v>33.44</v>
      </c>
      <c r="BL389" s="37" t="n">
        <v>17.23</v>
      </c>
      <c r="BM389" s="37" t="n">
        <v>12.85</v>
      </c>
      <c r="BN389" s="37" t="n">
        <v>9.75</v>
      </c>
      <c r="BO389" s="37" t="n">
        <v>21.52</v>
      </c>
      <c r="BP389" s="37" t="n">
        <v>31.43</v>
      </c>
      <c r="BQ389" s="37" t="n">
        <v>22.74</v>
      </c>
      <c r="BR389" s="37" t="n">
        <v>14.96</v>
      </c>
      <c r="BS389" s="37" t="n">
        <v>14.15</v>
      </c>
      <c r="BT389" s="37" t="n">
        <v>12.16</v>
      </c>
      <c r="BU389" s="37" t="n">
        <v>14.34</v>
      </c>
      <c r="BV389" s="37" t="n">
        <v>19.61</v>
      </c>
      <c r="BW389" s="37" t="n">
        <v>15.8</v>
      </c>
      <c r="BX389" s="37" t="n">
        <v>15.26</v>
      </c>
      <c r="BY389" s="37" t="n">
        <v>14.96</v>
      </c>
      <c r="BZ389" s="37" t="n">
        <v>25.64</v>
      </c>
      <c r="CA389" s="37" t="n">
        <v>14.78</v>
      </c>
      <c r="CB389" s="37" t="n">
        <v>9.630000000000001</v>
      </c>
      <c r="CC389" s="37" t="n">
        <v>1206.19</v>
      </c>
    </row>
    <row r="390" ht="15.75" customHeight="1" s="57">
      <c r="A390" s="7" t="inlineStr">
        <is>
          <t>NTB</t>
        </is>
      </c>
      <c r="B390" s="7" t="inlineStr">
        <is>
          <t>Lâm Đồng</t>
        </is>
      </c>
      <c r="C390" s="7" t="n">
        <v>21458000</v>
      </c>
      <c r="D390" s="7" t="inlineStr">
        <is>
          <t>(LDO) Nam Ban Lâm Hà</t>
        </is>
      </c>
      <c r="E390" s="7" t="inlineStr">
        <is>
          <t>Shopee-Bulky (10-15kg)</t>
        </is>
      </c>
      <c r="F390" s="36" t="n">
        <v>6.22</v>
      </c>
      <c r="G390" s="36" t="n">
        <v>5.12</v>
      </c>
      <c r="H390" s="36" t="n">
        <v>7.68</v>
      </c>
      <c r="I390" s="36" t="n">
        <v>6.59</v>
      </c>
      <c r="J390" s="36" t="n">
        <v>6.59</v>
      </c>
      <c r="K390" s="28" t="n">
        <v>3.29</v>
      </c>
      <c r="L390" s="36" t="n">
        <v>8.42</v>
      </c>
      <c r="M390" s="36" t="n">
        <v>8.779999999999999</v>
      </c>
      <c r="N390" s="36" t="n">
        <v>7.68</v>
      </c>
      <c r="O390" s="36" t="n">
        <v>6.59</v>
      </c>
      <c r="P390" s="36" t="n">
        <v>4.39</v>
      </c>
      <c r="Q390" s="36" t="n">
        <v>7.32</v>
      </c>
      <c r="R390" s="28" t="n">
        <v>6.22</v>
      </c>
      <c r="S390" s="36" t="n">
        <v>7.68</v>
      </c>
      <c r="T390" s="36" t="n">
        <v>8.779999999999999</v>
      </c>
      <c r="U390" s="36" t="n">
        <v>7.06</v>
      </c>
      <c r="V390" s="36" t="n">
        <v>6.76</v>
      </c>
      <c r="W390" s="36" t="n">
        <v>8.91</v>
      </c>
      <c r="X390" s="36" t="n">
        <v>5.03</v>
      </c>
      <c r="Y390" s="28" t="n">
        <v>10</v>
      </c>
      <c r="Z390" s="36" t="n">
        <v>7.8</v>
      </c>
      <c r="AA390" s="36" t="n">
        <v>7.32</v>
      </c>
      <c r="AB390" s="36" t="n">
        <v>7.67</v>
      </c>
      <c r="AC390" s="36" t="n">
        <v>7.94</v>
      </c>
      <c r="AD390" s="36" t="n">
        <v>30.36</v>
      </c>
      <c r="AE390" s="36" t="n">
        <v>12.67</v>
      </c>
      <c r="AF390" s="28" t="n">
        <v>18.5</v>
      </c>
      <c r="AG390" s="36" t="n">
        <v>11.03</v>
      </c>
      <c r="AH390" s="37" t="n">
        <v>7.69</v>
      </c>
      <c r="AI390" s="37" t="n">
        <v>7.48</v>
      </c>
      <c r="AJ390" s="37" t="n">
        <v>7.25</v>
      </c>
      <c r="AK390" s="37" t="n">
        <v>17.07</v>
      </c>
      <c r="AL390" s="37" t="n">
        <v>8.289999999999999</v>
      </c>
      <c r="AM390" s="37" t="n">
        <v>12.27</v>
      </c>
      <c r="AN390" s="37" t="n">
        <v>7.71</v>
      </c>
      <c r="AO390" s="37" t="n">
        <v>7.39</v>
      </c>
      <c r="AP390" s="37" t="n">
        <v>9.73</v>
      </c>
      <c r="AQ390" s="37" t="n">
        <v>9.93</v>
      </c>
      <c r="AR390" s="37" t="n">
        <v>8.039999999999999</v>
      </c>
      <c r="AS390" s="37" t="n">
        <v>4.42</v>
      </c>
      <c r="AT390" s="37" t="n">
        <v>9.15</v>
      </c>
      <c r="AU390" s="37" t="n">
        <v>15.49</v>
      </c>
      <c r="AV390" s="37" t="n">
        <v>15.52</v>
      </c>
      <c r="AW390" s="37" t="n">
        <v>7.46</v>
      </c>
      <c r="AX390" s="37" t="n">
        <v>6.92</v>
      </c>
      <c r="AY390" s="37" t="n">
        <v>7.71</v>
      </c>
      <c r="AZ390" s="37" t="n">
        <v>4.24</v>
      </c>
      <c r="BA390" s="37" t="n">
        <v>8.359999999999999</v>
      </c>
      <c r="BB390" s="37" t="n">
        <v>7.76</v>
      </c>
      <c r="BC390" s="37" t="n">
        <v>2.71</v>
      </c>
      <c r="BD390" s="37" t="n">
        <v>6.51</v>
      </c>
      <c r="BE390" s="37" t="n">
        <v>8.109999999999999</v>
      </c>
      <c r="BF390" s="37" t="n">
        <v>7.08</v>
      </c>
      <c r="BG390" s="37" t="n">
        <v>5.81</v>
      </c>
      <c r="BH390" s="37" t="n">
        <v>10.84</v>
      </c>
      <c r="BI390" s="37" t="n">
        <v>9.15</v>
      </c>
      <c r="BJ390" s="37" t="n">
        <v>41.82</v>
      </c>
      <c r="BK390" s="37" t="n">
        <v>19.39</v>
      </c>
      <c r="BL390" s="37" t="n">
        <v>9.960000000000001</v>
      </c>
      <c r="BM390" s="37" t="n">
        <v>7.36</v>
      </c>
      <c r="BN390" s="37" t="n">
        <v>5.68</v>
      </c>
      <c r="BO390" s="37" t="n">
        <v>12.34</v>
      </c>
      <c r="BP390" s="37" t="n">
        <v>18.29</v>
      </c>
      <c r="BQ390" s="37" t="n">
        <v>13.22</v>
      </c>
      <c r="BR390" s="37" t="n">
        <v>8.59</v>
      </c>
      <c r="BS390" s="37" t="n">
        <v>8.109999999999999</v>
      </c>
      <c r="BT390" s="37" t="n">
        <v>7.08</v>
      </c>
      <c r="BU390" s="37" t="n">
        <v>8.199999999999999</v>
      </c>
      <c r="BV390" s="37" t="n">
        <v>11.26</v>
      </c>
      <c r="BW390" s="37" t="n">
        <v>9.15</v>
      </c>
      <c r="BX390" s="37" t="n">
        <v>8.73</v>
      </c>
      <c r="BY390" s="37" t="n">
        <v>8.59</v>
      </c>
      <c r="BZ390" s="37" t="n">
        <v>14.85</v>
      </c>
      <c r="CA390" s="37" t="n">
        <v>8.470000000000001</v>
      </c>
      <c r="CB390" s="37" t="n">
        <v>5.47</v>
      </c>
      <c r="CC390" s="37" t="n">
        <v>709.0500000000002</v>
      </c>
    </row>
    <row r="391" ht="15.75" customHeight="1" s="57">
      <c r="A391" s="7" t="inlineStr">
        <is>
          <t>NTB</t>
        </is>
      </c>
      <c r="B391" s="7" t="inlineStr">
        <is>
          <t>Lâm Đồng</t>
        </is>
      </c>
      <c r="C391" s="7" t="n">
        <v>21458000</v>
      </c>
      <c r="D391" s="7" t="inlineStr">
        <is>
          <t>(LDO) Nam Ban Lâm Hà</t>
        </is>
      </c>
      <c r="E391" s="7" t="inlineStr">
        <is>
          <t>TTS</t>
        </is>
      </c>
      <c r="F391" s="36" t="n">
        <v>87</v>
      </c>
      <c r="G391" s="36" t="n">
        <v>77</v>
      </c>
      <c r="H391" s="36" t="n">
        <v>93</v>
      </c>
      <c r="I391" s="36" t="n">
        <v>69</v>
      </c>
      <c r="J391" s="36" t="n">
        <v>114</v>
      </c>
      <c r="K391" s="28" t="n">
        <v>64</v>
      </c>
      <c r="L391" s="36" t="n">
        <v>71</v>
      </c>
      <c r="M391" s="36" t="n">
        <v>79</v>
      </c>
      <c r="N391" s="36" t="n">
        <v>82</v>
      </c>
      <c r="O391" s="36" t="n">
        <v>105</v>
      </c>
      <c r="P391" s="36" t="n">
        <v>82</v>
      </c>
      <c r="Q391" s="36" t="n">
        <v>87</v>
      </c>
      <c r="R391" s="28" t="n">
        <v>113</v>
      </c>
      <c r="S391" s="36" t="n">
        <v>69</v>
      </c>
      <c r="T391" s="36" t="n">
        <v>82</v>
      </c>
      <c r="U391" s="36" t="n">
        <v>65.2</v>
      </c>
      <c r="V391" s="36" t="n">
        <v>64.09</v>
      </c>
      <c r="W391" s="36" t="n">
        <v>62.63</v>
      </c>
      <c r="X391" s="36" t="n">
        <v>50.56</v>
      </c>
      <c r="Y391" s="28" t="n">
        <v>73.44</v>
      </c>
      <c r="Z391" s="36" t="n">
        <v>62.5</v>
      </c>
      <c r="AA391" s="36" t="n">
        <v>69.34</v>
      </c>
      <c r="AB391" s="36" t="n">
        <v>77.09999999999999</v>
      </c>
      <c r="AC391" s="36" t="n">
        <v>81.16999999999999</v>
      </c>
      <c r="AD391" s="36" t="n">
        <v>83.05</v>
      </c>
      <c r="AE391" s="36" t="n">
        <v>58.74</v>
      </c>
      <c r="AF391" s="28" t="n">
        <v>75.95</v>
      </c>
      <c r="AG391" s="36" t="n">
        <v>63.73</v>
      </c>
      <c r="AH391" s="37" t="n">
        <v>63.03</v>
      </c>
      <c r="AI391" s="37" t="n">
        <v>72.09999999999999</v>
      </c>
      <c r="AJ391" s="37" t="n">
        <v>77.53999999999999</v>
      </c>
      <c r="AK391" s="37" t="n">
        <v>76.45</v>
      </c>
      <c r="AL391" s="37" t="n">
        <v>54.48</v>
      </c>
      <c r="AM391" s="37" t="n">
        <v>74.81999999999999</v>
      </c>
      <c r="AN391" s="37" t="n">
        <v>64.55</v>
      </c>
      <c r="AO391" s="37" t="n">
        <v>64.20999999999999</v>
      </c>
      <c r="AP391" s="37" t="n">
        <v>62.23999999999999</v>
      </c>
      <c r="AQ391" s="37" t="n">
        <v>62.79</v>
      </c>
      <c r="AR391" s="37" t="n">
        <v>61.75</v>
      </c>
      <c r="AS391" s="37" t="n">
        <v>50.83</v>
      </c>
      <c r="AT391" s="37" t="n">
        <v>80.88000000000001</v>
      </c>
      <c r="AU391" s="37" t="n">
        <v>73.17999999999999</v>
      </c>
      <c r="AV391" s="37" t="n">
        <v>65.09999999999999</v>
      </c>
      <c r="AW391" s="37" t="n">
        <v>61.48</v>
      </c>
      <c r="AX391" s="37" t="n">
        <v>61.01</v>
      </c>
      <c r="AY391" s="37" t="n">
        <v>60.94</v>
      </c>
      <c r="AZ391" s="37" t="n">
        <v>50.83</v>
      </c>
      <c r="BA391" s="37" t="n">
        <v>72.86</v>
      </c>
      <c r="BB391" s="37" t="n">
        <v>68.11</v>
      </c>
      <c r="BC391" s="37" t="n">
        <v>40.56</v>
      </c>
      <c r="BD391" s="37" t="n">
        <v>58.72000000000001</v>
      </c>
      <c r="BE391" s="37" t="n">
        <v>69.11999999999999</v>
      </c>
      <c r="BF391" s="37" t="n">
        <v>67.22</v>
      </c>
      <c r="BG391" s="37" t="n">
        <v>54.58000000000001</v>
      </c>
      <c r="BH391" s="37" t="n">
        <v>80.72</v>
      </c>
      <c r="BI391" s="37" t="n">
        <v>68.11</v>
      </c>
      <c r="BJ391" s="37" t="n">
        <v>63.07</v>
      </c>
      <c r="BK391" s="37" t="n">
        <v>69.05</v>
      </c>
      <c r="BL391" s="37" t="n">
        <v>69.11999999999999</v>
      </c>
      <c r="BM391" s="37" t="n">
        <v>67.22</v>
      </c>
      <c r="BN391" s="37" t="n">
        <v>54.58000000000001</v>
      </c>
      <c r="BO391" s="37" t="n">
        <v>80.72</v>
      </c>
      <c r="BP391" s="37" t="n">
        <v>68.11</v>
      </c>
      <c r="BQ391" s="37" t="n">
        <v>67.34999999999999</v>
      </c>
      <c r="BR391" s="37" t="n">
        <v>69.05</v>
      </c>
      <c r="BS391" s="37" t="n">
        <v>69.11999999999999</v>
      </c>
      <c r="BT391" s="37" t="n">
        <v>67.22</v>
      </c>
      <c r="BU391" s="37" t="n">
        <v>54.58000000000001</v>
      </c>
      <c r="BV391" s="37" t="n">
        <v>80.72</v>
      </c>
      <c r="BW391" s="37" t="n">
        <v>68.11</v>
      </c>
      <c r="BX391" s="37" t="n">
        <v>67.34999999999999</v>
      </c>
      <c r="BY391" s="37" t="n">
        <v>69.05</v>
      </c>
      <c r="BZ391" s="37" t="n">
        <v>69.11999999999999</v>
      </c>
      <c r="CA391" s="37" t="n">
        <v>67.22</v>
      </c>
      <c r="CB391" s="37" t="n">
        <v>54.58000000000001</v>
      </c>
      <c r="CC391" s="37" t="n">
        <v>5255.050000000001</v>
      </c>
    </row>
    <row r="392" ht="15.75" customHeight="1" s="57">
      <c r="A392" s="7" t="inlineStr">
        <is>
          <t>NTB</t>
        </is>
      </c>
      <c r="B392" s="7" t="inlineStr">
        <is>
          <t>Lâm Đồng</t>
        </is>
      </c>
      <c r="C392" s="7" t="n">
        <v>21458000</v>
      </c>
      <c r="D392" s="7" t="inlineStr">
        <is>
          <t>(LDO) Nam Ban Lâm Hà</t>
        </is>
      </c>
      <c r="E392" s="7" t="inlineStr">
        <is>
          <t>TTS-Bulky</t>
        </is>
      </c>
      <c r="F392" s="36" t="n">
        <v>3</v>
      </c>
      <c r="G392" s="36" t="n">
        <v>1</v>
      </c>
      <c r="H392" s="36" t="n">
        <v>2</v>
      </c>
      <c r="I392" s="36" t="n">
        <v>2</v>
      </c>
      <c r="J392" s="36" t="n">
        <v>1</v>
      </c>
      <c r="K392" s="28" t="n">
        <v>0</v>
      </c>
      <c r="L392" s="36" t="n">
        <v>1</v>
      </c>
      <c r="M392" s="36" t="n">
        <v>0</v>
      </c>
      <c r="N392" s="36" t="n">
        <v>0</v>
      </c>
      <c r="O392" s="36" t="n">
        <v>0</v>
      </c>
      <c r="P392" s="36" t="n">
        <v>0</v>
      </c>
      <c r="Q392" s="36" t="n">
        <v>1</v>
      </c>
      <c r="R392" s="28" t="n">
        <v>1</v>
      </c>
      <c r="S392" s="36" t="n">
        <v>0</v>
      </c>
      <c r="T392" s="36" t="n">
        <v>0</v>
      </c>
      <c r="U392" s="36" t="n">
        <v>2.02</v>
      </c>
      <c r="V392" s="36" t="n">
        <v>2.05</v>
      </c>
      <c r="W392" s="36" t="n">
        <v>0.97</v>
      </c>
      <c r="X392" s="36" t="n">
        <v>0.7</v>
      </c>
      <c r="Y392" s="28" t="n">
        <v>1.26</v>
      </c>
      <c r="Z392" s="36" t="n">
        <v>1.01</v>
      </c>
      <c r="AA392" s="36" t="n">
        <v>1.07</v>
      </c>
      <c r="AB392" s="36" t="n">
        <v>1.11</v>
      </c>
      <c r="AC392" s="36" t="n">
        <v>1.17</v>
      </c>
      <c r="AD392" s="36" t="n">
        <v>1.75</v>
      </c>
      <c r="AE392" s="36" t="n">
        <v>0.79</v>
      </c>
      <c r="AF392" s="28" t="n">
        <v>1.25</v>
      </c>
      <c r="AG392" s="36" t="n">
        <v>0.95</v>
      </c>
      <c r="AH392" s="37" t="n">
        <v>0.95</v>
      </c>
      <c r="AI392" s="37" t="n">
        <v>0.97</v>
      </c>
      <c r="AJ392" s="37" t="n">
        <v>1.1</v>
      </c>
      <c r="AK392" s="37" t="n">
        <v>1.04</v>
      </c>
      <c r="AL392" s="37" t="n">
        <v>0.75</v>
      </c>
      <c r="AM392" s="37" t="n">
        <v>1.25</v>
      </c>
      <c r="AN392" s="37" t="n">
        <v>0.97</v>
      </c>
      <c r="AO392" s="37" t="n">
        <v>0.95</v>
      </c>
      <c r="AP392" s="37" t="n">
        <v>0.95</v>
      </c>
      <c r="AQ392" s="37" t="n">
        <v>1.04</v>
      </c>
      <c r="AR392" s="37" t="n">
        <v>0.97</v>
      </c>
      <c r="AS392" s="37" t="n">
        <v>0.72</v>
      </c>
      <c r="AT392" s="37" t="n">
        <v>1.3</v>
      </c>
      <c r="AU392" s="37" t="n">
        <v>1.11</v>
      </c>
      <c r="AV392" s="37" t="n">
        <v>0.98</v>
      </c>
      <c r="AW392" s="37" t="n">
        <v>0.9399999999999999</v>
      </c>
      <c r="AX392" s="37" t="n">
        <v>1.04</v>
      </c>
      <c r="AY392" s="37" t="n">
        <v>0.95</v>
      </c>
      <c r="AZ392" s="37" t="n">
        <v>0.72</v>
      </c>
      <c r="BA392" s="37" t="n">
        <v>1.1</v>
      </c>
      <c r="BB392" s="37" t="n">
        <v>0.26</v>
      </c>
      <c r="BC392" s="37" t="n">
        <v>0.17</v>
      </c>
      <c r="BD392" s="37" t="n">
        <v>0.21</v>
      </c>
      <c r="BE392" s="37" t="n">
        <v>0.27</v>
      </c>
      <c r="BF392" s="37" t="n">
        <v>0.27</v>
      </c>
      <c r="BG392" s="37" t="n">
        <v>0.18</v>
      </c>
      <c r="BH392" s="37" t="n">
        <v>0.35</v>
      </c>
      <c r="BI392" s="37" t="n">
        <v>0.27</v>
      </c>
      <c r="BJ392" s="37" t="n">
        <v>0.44</v>
      </c>
      <c r="BK392" s="37" t="n">
        <v>0.28</v>
      </c>
      <c r="BL392" s="37" t="n">
        <v>0.27</v>
      </c>
      <c r="BM392" s="37" t="n">
        <v>0.27</v>
      </c>
      <c r="BN392" s="37" t="n">
        <v>0.21</v>
      </c>
      <c r="BO392" s="37" t="n">
        <v>0.4</v>
      </c>
      <c r="BP392" s="37" t="n">
        <v>0.31</v>
      </c>
      <c r="BQ392" s="37" t="n">
        <v>0.28</v>
      </c>
      <c r="BR392" s="37" t="n">
        <v>0.28</v>
      </c>
      <c r="BS392" s="37" t="n">
        <v>0.27</v>
      </c>
      <c r="BT392" s="37" t="n">
        <v>0.27</v>
      </c>
      <c r="BU392" s="37" t="n">
        <v>0.18</v>
      </c>
      <c r="BV392" s="37" t="n">
        <v>0.3</v>
      </c>
      <c r="BW392" s="37" t="n">
        <v>0.27</v>
      </c>
      <c r="BX392" s="37" t="n">
        <v>0.28</v>
      </c>
      <c r="BY392" s="37" t="n">
        <v>0.28</v>
      </c>
      <c r="BZ392" s="37" t="n">
        <v>0.27</v>
      </c>
      <c r="CA392" s="37" t="n">
        <v>0.27</v>
      </c>
      <c r="CB392" s="37" t="n">
        <v>0.18</v>
      </c>
      <c r="CC392" s="37" t="n">
        <v>55.19000000000003</v>
      </c>
    </row>
    <row r="393" ht="15.75" customHeight="1" s="57">
      <c r="A393" s="7" t="inlineStr">
        <is>
          <t>NTB</t>
        </is>
      </c>
      <c r="B393" s="7" t="inlineStr">
        <is>
          <t>Lâm Đồng</t>
        </is>
      </c>
      <c r="C393" s="7" t="n">
        <v>21468000</v>
      </c>
      <c r="D393" s="7" t="inlineStr">
        <is>
          <t>(LDO) 3 Bảo Lộc</t>
        </is>
      </c>
      <c r="E393" s="7" t="inlineStr">
        <is>
          <t>SME</t>
        </is>
      </c>
      <c r="F393" s="36" t="n">
        <v>309</v>
      </c>
      <c r="G393" s="36" t="n">
        <v>358</v>
      </c>
      <c r="H393" s="36" t="n">
        <v>360</v>
      </c>
      <c r="I393" s="36" t="n">
        <v>277</v>
      </c>
      <c r="J393" s="36" t="n">
        <v>267</v>
      </c>
      <c r="K393" s="28" t="n">
        <v>370</v>
      </c>
      <c r="L393" s="36" t="n">
        <v>255</v>
      </c>
      <c r="M393" s="36" t="n">
        <v>220</v>
      </c>
      <c r="N393" s="36" t="n">
        <v>247</v>
      </c>
      <c r="O393" s="36" t="n">
        <v>264</v>
      </c>
      <c r="P393" s="36" t="n">
        <v>262</v>
      </c>
      <c r="Q393" s="36" t="n">
        <v>207</v>
      </c>
      <c r="R393" s="28" t="n">
        <v>232</v>
      </c>
      <c r="S393" s="36" t="n">
        <v>342</v>
      </c>
      <c r="T393" s="36" t="n">
        <v>179</v>
      </c>
      <c r="U393" s="36" t="n">
        <v>312.89</v>
      </c>
      <c r="V393" s="36" t="n">
        <v>324.14</v>
      </c>
      <c r="W393" s="36" t="n">
        <v>315.14</v>
      </c>
      <c r="X393" s="36" t="n">
        <v>257.75</v>
      </c>
      <c r="Y393" s="28" t="n">
        <v>349.21</v>
      </c>
      <c r="Z393" s="36" t="n">
        <v>321.74</v>
      </c>
      <c r="AA393" s="36" t="n">
        <v>313.82</v>
      </c>
      <c r="AB393" s="36" t="n">
        <v>312.89</v>
      </c>
      <c r="AC393" s="36" t="n">
        <v>324.14</v>
      </c>
      <c r="AD393" s="36" t="n">
        <v>325.76</v>
      </c>
      <c r="AE393" s="36" t="n">
        <v>257.75</v>
      </c>
      <c r="AF393" s="28" t="n">
        <v>349.21</v>
      </c>
      <c r="AG393" s="36" t="n">
        <v>321.74</v>
      </c>
      <c r="AH393" s="37" t="n">
        <v>313.82</v>
      </c>
      <c r="AI393" s="37" t="n">
        <v>312.89</v>
      </c>
      <c r="AJ393" s="37" t="n">
        <v>324.14</v>
      </c>
      <c r="AK393" s="37" t="n">
        <v>315.14</v>
      </c>
      <c r="AL393" s="37" t="n">
        <v>257.75</v>
      </c>
      <c r="AM393" s="37" t="n">
        <v>349.21</v>
      </c>
      <c r="AN393" s="37" t="n">
        <v>321.74</v>
      </c>
      <c r="AO393" s="37" t="n">
        <v>313.82</v>
      </c>
      <c r="AP393" s="37" t="n">
        <v>312.89</v>
      </c>
      <c r="AQ393" s="37" t="n">
        <v>324.14</v>
      </c>
      <c r="AR393" s="37" t="n">
        <v>315.14</v>
      </c>
      <c r="AS393" s="37" t="n">
        <v>257.75</v>
      </c>
      <c r="AT393" s="37" t="n">
        <v>349.21</v>
      </c>
      <c r="AU393" s="37" t="n">
        <v>321.74</v>
      </c>
      <c r="AV393" s="37" t="n">
        <v>313.82</v>
      </c>
      <c r="AW393" s="37" t="n">
        <v>312.89</v>
      </c>
      <c r="AX393" s="37" t="n">
        <v>324.14</v>
      </c>
      <c r="AY393" s="37" t="n">
        <v>315.14</v>
      </c>
      <c r="AZ393" s="37" t="n">
        <v>257.75</v>
      </c>
      <c r="BA393" s="37" t="n">
        <v>314.17</v>
      </c>
      <c r="BB393" s="37" t="n">
        <v>282.18</v>
      </c>
      <c r="BC393" s="37" t="n">
        <v>178.31</v>
      </c>
      <c r="BD393" s="37" t="n">
        <v>177.75</v>
      </c>
      <c r="BE393" s="37" t="n">
        <v>300.43</v>
      </c>
      <c r="BF393" s="37" t="n">
        <v>292.75</v>
      </c>
      <c r="BG393" s="37" t="n">
        <v>265.97</v>
      </c>
      <c r="BH393" s="37" t="n">
        <v>360.24</v>
      </c>
      <c r="BI393" s="37" t="n">
        <v>331.76</v>
      </c>
      <c r="BJ393" s="37" t="n">
        <v>334.63</v>
      </c>
      <c r="BK393" s="37" t="n">
        <v>322.57</v>
      </c>
      <c r="BL393" s="37" t="n">
        <v>334.25</v>
      </c>
      <c r="BM393" s="37" t="n">
        <v>324.83</v>
      </c>
      <c r="BN393" s="37" t="n">
        <v>265.97</v>
      </c>
      <c r="BO393" s="37" t="n">
        <v>360.24</v>
      </c>
      <c r="BP393" s="37" t="n">
        <v>331.76</v>
      </c>
      <c r="BQ393" s="37" t="n">
        <v>323.46</v>
      </c>
      <c r="BR393" s="37" t="n">
        <v>322.57</v>
      </c>
      <c r="BS393" s="37" t="n">
        <v>334.25</v>
      </c>
      <c r="BT393" s="37" t="n">
        <v>324.83</v>
      </c>
      <c r="BU393" s="37" t="n">
        <v>265.97</v>
      </c>
      <c r="BV393" s="37" t="n">
        <v>360.24</v>
      </c>
      <c r="BW393" s="37" t="n">
        <v>331.76</v>
      </c>
      <c r="BX393" s="37" t="n">
        <v>323.46</v>
      </c>
      <c r="BY393" s="37" t="n">
        <v>322.57</v>
      </c>
      <c r="BZ393" s="37" t="n">
        <v>334.25</v>
      </c>
      <c r="CA393" s="37" t="n">
        <v>324.83</v>
      </c>
      <c r="CB393" s="37" t="n">
        <v>265.97</v>
      </c>
      <c r="CC393" s="37" t="n">
        <v>22760.27</v>
      </c>
    </row>
    <row r="394" ht="15.75" customHeight="1" s="57">
      <c r="A394" s="7" t="inlineStr">
        <is>
          <t>NTB</t>
        </is>
      </c>
      <c r="B394" s="7" t="inlineStr">
        <is>
          <t>Lâm Đồng</t>
        </is>
      </c>
      <c r="C394" s="7" t="n">
        <v>21468000</v>
      </c>
      <c r="D394" s="7" t="inlineStr">
        <is>
          <t>(LDO) 3 Bảo Lộc</t>
        </is>
      </c>
      <c r="E394" s="7" t="inlineStr">
        <is>
          <t>SME-Bulky</t>
        </is>
      </c>
      <c r="F394" s="36" t="n">
        <v>13</v>
      </c>
      <c r="G394" s="36" t="n">
        <v>15</v>
      </c>
      <c r="H394" s="36" t="n">
        <v>10</v>
      </c>
      <c r="I394" s="36" t="n">
        <v>14</v>
      </c>
      <c r="J394" s="36" t="n">
        <v>19</v>
      </c>
      <c r="K394" s="28" t="n">
        <v>8</v>
      </c>
      <c r="L394" s="36" t="n">
        <v>6</v>
      </c>
      <c r="M394" s="36" t="n">
        <v>20</v>
      </c>
      <c r="N394" s="36" t="n">
        <v>19</v>
      </c>
      <c r="O394" s="36" t="n">
        <v>14</v>
      </c>
      <c r="P394" s="36" t="n">
        <v>13</v>
      </c>
      <c r="Q394" s="36" t="n">
        <v>4</v>
      </c>
      <c r="R394" s="28" t="n">
        <v>11</v>
      </c>
      <c r="S394" s="36" t="n">
        <v>16</v>
      </c>
      <c r="T394" s="36" t="n">
        <v>21</v>
      </c>
      <c r="U394" s="36" t="n">
        <v>13.94</v>
      </c>
      <c r="V394" s="36" t="n">
        <v>13.78</v>
      </c>
      <c r="W394" s="36" t="n">
        <v>13.03</v>
      </c>
      <c r="X394" s="36" t="n">
        <v>8.68</v>
      </c>
      <c r="Y394" s="28" t="n">
        <v>15.57</v>
      </c>
      <c r="Z394" s="36" t="n">
        <v>14.87</v>
      </c>
      <c r="AA394" s="36" t="n">
        <v>14.66</v>
      </c>
      <c r="AB394" s="36" t="n">
        <v>13.94</v>
      </c>
      <c r="AC394" s="36" t="n">
        <v>13.78</v>
      </c>
      <c r="AD394" s="36" t="n">
        <v>12.24</v>
      </c>
      <c r="AE394" s="36" t="n">
        <v>8.68</v>
      </c>
      <c r="AF394" s="28" t="n">
        <v>15.57</v>
      </c>
      <c r="AG394" s="36" t="n">
        <v>14.87</v>
      </c>
      <c r="AH394" s="37" t="n">
        <v>14.66</v>
      </c>
      <c r="AI394" s="37" t="n">
        <v>13.94</v>
      </c>
      <c r="AJ394" s="37" t="n">
        <v>13.78</v>
      </c>
      <c r="AK394" s="37" t="n">
        <v>13.03</v>
      </c>
      <c r="AL394" s="37" t="n">
        <v>8.68</v>
      </c>
      <c r="AM394" s="37" t="n">
        <v>15.57</v>
      </c>
      <c r="AN394" s="37" t="n">
        <v>14.87</v>
      </c>
      <c r="AO394" s="37" t="n">
        <v>14.66</v>
      </c>
      <c r="AP394" s="37" t="n">
        <v>13.94</v>
      </c>
      <c r="AQ394" s="37" t="n">
        <v>13.78</v>
      </c>
      <c r="AR394" s="37" t="n">
        <v>13.03</v>
      </c>
      <c r="AS394" s="37" t="n">
        <v>8.68</v>
      </c>
      <c r="AT394" s="37" t="n">
        <v>15.57</v>
      </c>
      <c r="AU394" s="37" t="n">
        <v>14.87</v>
      </c>
      <c r="AV394" s="37" t="n">
        <v>14.66</v>
      </c>
      <c r="AW394" s="37" t="n">
        <v>13.94</v>
      </c>
      <c r="AX394" s="37" t="n">
        <v>13.78</v>
      </c>
      <c r="AY394" s="37" t="n">
        <v>13.03</v>
      </c>
      <c r="AZ394" s="37" t="n">
        <v>8.68</v>
      </c>
      <c r="BA394" s="37" t="n">
        <v>15.63</v>
      </c>
      <c r="BB394" s="37" t="n">
        <v>8.220000000000001</v>
      </c>
      <c r="BC394" s="37" t="n">
        <v>4.17</v>
      </c>
      <c r="BD394" s="37" t="n">
        <v>3.78</v>
      </c>
      <c r="BE394" s="37" t="n">
        <v>7.19</v>
      </c>
      <c r="BF394" s="37" t="n">
        <v>6.68</v>
      </c>
      <c r="BG394" s="37" t="n">
        <v>5.2</v>
      </c>
      <c r="BH394" s="37" t="n">
        <v>9.039999999999999</v>
      </c>
      <c r="BI394" s="37" t="n">
        <v>8.98</v>
      </c>
      <c r="BJ394" s="37" t="n">
        <v>7.77</v>
      </c>
      <c r="BK394" s="37" t="n">
        <v>8.25</v>
      </c>
      <c r="BL394" s="37" t="n">
        <v>8.279999999999999</v>
      </c>
      <c r="BM394" s="37" t="n">
        <v>7.71</v>
      </c>
      <c r="BN394" s="37" t="n">
        <v>5.2</v>
      </c>
      <c r="BO394" s="37" t="n">
        <v>9.039999999999999</v>
      </c>
      <c r="BP394" s="37" t="n">
        <v>8.98</v>
      </c>
      <c r="BQ394" s="37" t="n">
        <v>8.550000000000001</v>
      </c>
      <c r="BR394" s="37" t="n">
        <v>8.25</v>
      </c>
      <c r="BS394" s="37" t="n">
        <v>8.279999999999999</v>
      </c>
      <c r="BT394" s="37" t="n">
        <v>7.71</v>
      </c>
      <c r="BU394" s="37" t="n">
        <v>5.2</v>
      </c>
      <c r="BV394" s="37" t="n">
        <v>9.039999999999999</v>
      </c>
      <c r="BW394" s="37" t="n">
        <v>8.98</v>
      </c>
      <c r="BX394" s="37" t="n">
        <v>8.550000000000001</v>
      </c>
      <c r="BY394" s="37" t="n">
        <v>8.25</v>
      </c>
      <c r="BZ394" s="37" t="n">
        <v>8.279999999999999</v>
      </c>
      <c r="CA394" s="37" t="n">
        <v>7.71</v>
      </c>
      <c r="CB394" s="37" t="n">
        <v>5.2</v>
      </c>
      <c r="CC394" s="37" t="n">
        <v>847.8799999999999</v>
      </c>
    </row>
    <row r="395" ht="15.75" customHeight="1" s="57">
      <c r="A395" s="7" t="inlineStr">
        <is>
          <t>NTB</t>
        </is>
      </c>
      <c r="B395" s="7" t="inlineStr">
        <is>
          <t>Lâm Đồng</t>
        </is>
      </c>
      <c r="C395" s="7" t="n">
        <v>21468000</v>
      </c>
      <c r="D395" s="7" t="inlineStr">
        <is>
          <t>(LDO) 3 Bảo Lộc</t>
        </is>
      </c>
      <c r="E395" s="7" t="inlineStr">
        <is>
          <t>Shopee</t>
        </is>
      </c>
      <c r="F395" s="36" t="n">
        <v>234</v>
      </c>
      <c r="G395" s="36" t="n">
        <v>267</v>
      </c>
      <c r="H395" s="36" t="n">
        <v>308</v>
      </c>
      <c r="I395" s="36" t="n">
        <v>213</v>
      </c>
      <c r="J395" s="36" t="n">
        <v>221</v>
      </c>
      <c r="K395" s="28" t="n">
        <v>227</v>
      </c>
      <c r="L395" s="36" t="n">
        <v>226</v>
      </c>
      <c r="M395" s="36" t="n">
        <v>228</v>
      </c>
      <c r="N395" s="36" t="n">
        <v>299</v>
      </c>
      <c r="O395" s="36" t="n">
        <v>255</v>
      </c>
      <c r="P395" s="36" t="n">
        <v>252</v>
      </c>
      <c r="Q395" s="36" t="n">
        <v>158</v>
      </c>
      <c r="R395" s="28" t="n">
        <v>159</v>
      </c>
      <c r="S395" s="36" t="n">
        <v>222</v>
      </c>
      <c r="T395" s="36" t="n">
        <v>161</v>
      </c>
      <c r="U395" s="36" t="n">
        <v>331.41</v>
      </c>
      <c r="V395" s="36" t="n">
        <v>332.61</v>
      </c>
      <c r="W395" s="36" t="n">
        <v>327.83</v>
      </c>
      <c r="X395" s="36" t="n">
        <v>266.59</v>
      </c>
      <c r="Y395" s="28" t="n">
        <v>446.58</v>
      </c>
      <c r="Z395" s="36" t="n">
        <v>353.52</v>
      </c>
      <c r="AA395" s="36" t="n">
        <v>486.18</v>
      </c>
      <c r="AB395" s="36" t="n">
        <v>338.25</v>
      </c>
      <c r="AC395" s="36" t="n">
        <v>272.96</v>
      </c>
      <c r="AD395" s="36" t="n">
        <v>711.42</v>
      </c>
      <c r="AE395" s="36" t="n">
        <v>285.52</v>
      </c>
      <c r="AF395" s="28" t="n">
        <v>509.01</v>
      </c>
      <c r="AG395" s="36" t="n">
        <v>371.18</v>
      </c>
      <c r="AH395" s="37" t="n">
        <v>391.86</v>
      </c>
      <c r="AI395" s="37" t="n">
        <v>331.41</v>
      </c>
      <c r="AJ395" s="37" t="n">
        <v>332.61</v>
      </c>
      <c r="AK395" s="37" t="n">
        <v>442.36</v>
      </c>
      <c r="AL395" s="37" t="n">
        <v>478.79</v>
      </c>
      <c r="AM395" s="37" t="n">
        <v>446.58</v>
      </c>
      <c r="AN395" s="37" t="n">
        <v>353.52</v>
      </c>
      <c r="AO395" s="37" t="n">
        <v>391.86</v>
      </c>
      <c r="AP395" s="37" t="n">
        <v>413.73</v>
      </c>
      <c r="AQ395" s="37" t="n">
        <v>266.67</v>
      </c>
      <c r="AR395" s="37" t="n">
        <v>327.83</v>
      </c>
      <c r="AS395" s="37" t="n">
        <v>266.59</v>
      </c>
      <c r="AT395" s="37" t="n">
        <v>446.58</v>
      </c>
      <c r="AU395" s="37" t="n">
        <v>360.84</v>
      </c>
      <c r="AV395" s="37" t="n">
        <v>399.81</v>
      </c>
      <c r="AW395" s="37" t="n">
        <v>331.41</v>
      </c>
      <c r="AX395" s="37" t="n">
        <v>332.61</v>
      </c>
      <c r="AY395" s="37" t="n">
        <v>327.83</v>
      </c>
      <c r="AZ395" s="37" t="n">
        <v>266.59</v>
      </c>
      <c r="BA395" s="37" t="n">
        <v>343.98</v>
      </c>
      <c r="BB395" s="37" t="n">
        <v>299.52</v>
      </c>
      <c r="BC395" s="37" t="n">
        <v>153.18</v>
      </c>
      <c r="BD395" s="37" t="n">
        <v>271.45</v>
      </c>
      <c r="BE395" s="37" t="n">
        <v>316.78</v>
      </c>
      <c r="BF395" s="37" t="n">
        <v>312.25</v>
      </c>
      <c r="BG395" s="37" t="n">
        <v>259.04</v>
      </c>
      <c r="BH395" s="37" t="n">
        <v>425.34</v>
      </c>
      <c r="BI395" s="37" t="n">
        <v>276.62</v>
      </c>
      <c r="BJ395" s="37" t="n">
        <v>1009.67</v>
      </c>
      <c r="BK395" s="37" t="n">
        <v>337.93</v>
      </c>
      <c r="BL395" s="37" t="n">
        <v>332.77</v>
      </c>
      <c r="BM395" s="37" t="n">
        <v>312.25</v>
      </c>
      <c r="BN395" s="37" t="n">
        <v>253.95</v>
      </c>
      <c r="BO395" s="37" t="n">
        <v>425.34</v>
      </c>
      <c r="BP395" s="37" t="n">
        <v>454.37</v>
      </c>
      <c r="BQ395" s="37" t="n">
        <v>670.7</v>
      </c>
      <c r="BR395" s="37" t="n">
        <v>315.75</v>
      </c>
      <c r="BS395" s="37" t="n">
        <v>316.78</v>
      </c>
      <c r="BT395" s="37" t="n">
        <v>312.25</v>
      </c>
      <c r="BU395" s="37" t="n">
        <v>317.26</v>
      </c>
      <c r="BV395" s="37" t="n">
        <v>340.8</v>
      </c>
      <c r="BW395" s="37" t="n">
        <v>336.66</v>
      </c>
      <c r="BX395" s="37" t="n">
        <v>373.25</v>
      </c>
      <c r="BY395" s="37" t="n">
        <v>315.75</v>
      </c>
      <c r="BZ395" s="37" t="n">
        <v>323.46</v>
      </c>
      <c r="CA395" s="37" t="n">
        <v>318.29</v>
      </c>
      <c r="CB395" s="37" t="n">
        <v>253.95</v>
      </c>
      <c r="CC395" s="37" t="n">
        <v>25351.88</v>
      </c>
    </row>
    <row r="396" ht="15.75" customHeight="1" s="57">
      <c r="A396" s="7" t="inlineStr">
        <is>
          <t>NTB</t>
        </is>
      </c>
      <c r="B396" s="7" t="inlineStr">
        <is>
          <t>Lâm Đồng</t>
        </is>
      </c>
      <c r="C396" s="7" t="n">
        <v>21468000</v>
      </c>
      <c r="D396" s="7" t="inlineStr">
        <is>
          <t>(LDO) 3 Bảo Lộc</t>
        </is>
      </c>
      <c r="E396" s="7" t="inlineStr">
        <is>
          <t>Shopee-Bulky</t>
        </is>
      </c>
      <c r="F396" s="36" t="n">
        <v>15.22</v>
      </c>
      <c r="G396" s="36" t="n">
        <v>20.29</v>
      </c>
      <c r="H396" s="36" t="n">
        <v>22.19</v>
      </c>
      <c r="I396" s="36" t="n">
        <v>13.95</v>
      </c>
      <c r="J396" s="36" t="n">
        <v>24.73</v>
      </c>
      <c r="K396" s="28" t="n">
        <v>6.97</v>
      </c>
      <c r="L396" s="36" t="n">
        <v>13.31</v>
      </c>
      <c r="M396" s="36" t="n">
        <v>19.02</v>
      </c>
      <c r="N396" s="36" t="n">
        <v>19.02</v>
      </c>
      <c r="O396" s="36" t="n">
        <v>10.78</v>
      </c>
      <c r="P396" s="36" t="n">
        <v>11.41</v>
      </c>
      <c r="Q396" s="36" t="n">
        <v>10.78</v>
      </c>
      <c r="R396" s="28" t="n">
        <v>16.48</v>
      </c>
      <c r="S396" s="36" t="n">
        <v>21.56</v>
      </c>
      <c r="T396" s="36" t="n">
        <v>17.12</v>
      </c>
      <c r="U396" s="36" t="n">
        <v>14.48</v>
      </c>
      <c r="V396" s="36" t="n">
        <v>13.95</v>
      </c>
      <c r="W396" s="36" t="n">
        <v>19.18</v>
      </c>
      <c r="X396" s="36" t="n">
        <v>10.85</v>
      </c>
      <c r="Y396" s="28" t="n">
        <v>21.25</v>
      </c>
      <c r="Z396" s="36" t="n">
        <v>16.8</v>
      </c>
      <c r="AA396" s="36" t="n">
        <v>16.32</v>
      </c>
      <c r="AB396" s="36" t="n">
        <v>16.52</v>
      </c>
      <c r="AC396" s="36" t="n">
        <v>17.34</v>
      </c>
      <c r="AD396" s="36" t="n">
        <v>46.72</v>
      </c>
      <c r="AE396" s="36" t="n">
        <v>27.89</v>
      </c>
      <c r="AF396" s="28" t="n">
        <v>41.58</v>
      </c>
      <c r="AG396" s="36" t="n">
        <v>23.61</v>
      </c>
      <c r="AH396" s="37" t="n">
        <v>16.6</v>
      </c>
      <c r="AI396" s="37" t="n">
        <v>15.97</v>
      </c>
      <c r="AJ396" s="37" t="n">
        <v>15.84</v>
      </c>
      <c r="AK396" s="37" t="n">
        <v>35.87</v>
      </c>
      <c r="AL396" s="37" t="n">
        <v>18.25</v>
      </c>
      <c r="AM396" s="37" t="n">
        <v>26.06</v>
      </c>
      <c r="AN396" s="37" t="n">
        <v>16.49</v>
      </c>
      <c r="AO396" s="37" t="n">
        <v>16.17</v>
      </c>
      <c r="AP396" s="37" t="n">
        <v>21.83</v>
      </c>
      <c r="AQ396" s="37" t="n">
        <v>21.7</v>
      </c>
      <c r="AR396" s="37" t="n">
        <v>17.25</v>
      </c>
      <c r="AS396" s="37" t="n">
        <v>9.550000000000001</v>
      </c>
      <c r="AT396" s="37" t="n">
        <v>19.51</v>
      </c>
      <c r="AU396" s="37" t="n">
        <v>32.1</v>
      </c>
      <c r="AV396" s="37" t="n">
        <v>33.31</v>
      </c>
      <c r="AW396" s="37" t="n">
        <v>16.21</v>
      </c>
      <c r="AX396" s="37" t="n">
        <v>15.21</v>
      </c>
      <c r="AY396" s="37" t="n">
        <v>16.52</v>
      </c>
      <c r="AZ396" s="37" t="n">
        <v>9.18</v>
      </c>
      <c r="BA396" s="37" t="n">
        <v>17.84</v>
      </c>
      <c r="BB396" s="37" t="n">
        <v>16.58</v>
      </c>
      <c r="BC396" s="37" t="n">
        <v>5.58</v>
      </c>
      <c r="BD396" s="37" t="n">
        <v>14.19</v>
      </c>
      <c r="BE396" s="37" t="n">
        <v>17.45</v>
      </c>
      <c r="BF396" s="37" t="n">
        <v>15</v>
      </c>
      <c r="BG396" s="37" t="n">
        <v>12.46</v>
      </c>
      <c r="BH396" s="37" t="n">
        <v>22.83</v>
      </c>
      <c r="BI396" s="37" t="n">
        <v>19.49</v>
      </c>
      <c r="BJ396" s="37" t="n">
        <v>74.33</v>
      </c>
      <c r="BK396" s="37" t="n">
        <v>41.23</v>
      </c>
      <c r="BL396" s="37" t="n">
        <v>21.25</v>
      </c>
      <c r="BM396" s="37" t="n">
        <v>15.84</v>
      </c>
      <c r="BN396" s="37" t="n">
        <v>12.02</v>
      </c>
      <c r="BO396" s="37" t="n">
        <v>26.54</v>
      </c>
      <c r="BP396" s="37" t="n">
        <v>38.76</v>
      </c>
      <c r="BQ396" s="37" t="n">
        <v>28.04</v>
      </c>
      <c r="BR396" s="37" t="n">
        <v>18.45</v>
      </c>
      <c r="BS396" s="37" t="n">
        <v>17.45</v>
      </c>
      <c r="BT396" s="37" t="n">
        <v>15</v>
      </c>
      <c r="BU396" s="37" t="n">
        <v>17.69</v>
      </c>
      <c r="BV396" s="37" t="n">
        <v>24.18</v>
      </c>
      <c r="BW396" s="37" t="n">
        <v>19.49</v>
      </c>
      <c r="BX396" s="37" t="n">
        <v>18.82</v>
      </c>
      <c r="BY396" s="37" t="n">
        <v>18.45</v>
      </c>
      <c r="BZ396" s="37" t="n">
        <v>31.62</v>
      </c>
      <c r="CA396" s="37" t="n">
        <v>18.23</v>
      </c>
      <c r="CB396" s="37" t="n">
        <v>11.87</v>
      </c>
      <c r="CC396" s="37" t="n">
        <v>1513.62</v>
      </c>
    </row>
    <row r="397" ht="15.75" customHeight="1" s="57">
      <c r="A397" s="7" t="inlineStr">
        <is>
          <t>NTB</t>
        </is>
      </c>
      <c r="B397" s="7" t="inlineStr">
        <is>
          <t>Lâm Đồng</t>
        </is>
      </c>
      <c r="C397" s="7" t="n">
        <v>21468000</v>
      </c>
      <c r="D397" s="7" t="inlineStr">
        <is>
          <t>(LDO) 3 Bảo Lộc</t>
        </is>
      </c>
      <c r="E397" s="7" t="inlineStr">
        <is>
          <t>Shopee-Bulky (10-15kg)</t>
        </is>
      </c>
      <c r="F397" s="36" t="n">
        <v>8.779999999999999</v>
      </c>
      <c r="G397" s="36" t="n">
        <v>11.71</v>
      </c>
      <c r="H397" s="36" t="n">
        <v>12.81</v>
      </c>
      <c r="I397" s="36" t="n">
        <v>8.050000000000001</v>
      </c>
      <c r="J397" s="36" t="n">
        <v>14.27</v>
      </c>
      <c r="K397" s="28" t="n">
        <v>4.03</v>
      </c>
      <c r="L397" s="36" t="n">
        <v>7.69</v>
      </c>
      <c r="M397" s="36" t="n">
        <v>10.98</v>
      </c>
      <c r="N397" s="36" t="n">
        <v>10.98</v>
      </c>
      <c r="O397" s="36" t="n">
        <v>6.22</v>
      </c>
      <c r="P397" s="36" t="n">
        <v>6.59</v>
      </c>
      <c r="Q397" s="36" t="n">
        <v>6.22</v>
      </c>
      <c r="R397" s="28" t="n">
        <v>9.52</v>
      </c>
      <c r="S397" s="36" t="n">
        <v>12.44</v>
      </c>
      <c r="T397" s="36" t="n">
        <v>9.880000000000001</v>
      </c>
      <c r="U397" s="36" t="n">
        <v>8.699999999999999</v>
      </c>
      <c r="V397" s="36" t="n">
        <v>8.33</v>
      </c>
      <c r="W397" s="36" t="n">
        <v>10.98</v>
      </c>
      <c r="X397" s="36" t="n">
        <v>6.21</v>
      </c>
      <c r="Y397" s="28" t="n">
        <v>12.33</v>
      </c>
      <c r="Z397" s="36" t="n">
        <v>9.609999999999999</v>
      </c>
      <c r="AA397" s="36" t="n">
        <v>9.029999999999999</v>
      </c>
      <c r="AB397" s="36" t="n">
        <v>9.460000000000001</v>
      </c>
      <c r="AC397" s="36" t="n">
        <v>9.789999999999999</v>
      </c>
      <c r="AD397" s="36" t="n">
        <v>37.44</v>
      </c>
      <c r="AE397" s="36" t="n">
        <v>15.63</v>
      </c>
      <c r="AF397" s="28" t="n">
        <v>22.81</v>
      </c>
      <c r="AG397" s="36" t="n">
        <v>13.61</v>
      </c>
      <c r="AH397" s="37" t="n">
        <v>9.48</v>
      </c>
      <c r="AI397" s="37" t="n">
        <v>9.220000000000001</v>
      </c>
      <c r="AJ397" s="37" t="n">
        <v>8.94</v>
      </c>
      <c r="AK397" s="37" t="n">
        <v>21.05</v>
      </c>
      <c r="AL397" s="37" t="n">
        <v>10.22</v>
      </c>
      <c r="AM397" s="37" t="n">
        <v>15.13</v>
      </c>
      <c r="AN397" s="37" t="n">
        <v>9.51</v>
      </c>
      <c r="AO397" s="37" t="n">
        <v>9.109999999999999</v>
      </c>
      <c r="AP397" s="37" t="n">
        <v>12</v>
      </c>
      <c r="AQ397" s="37" t="n">
        <v>12.24</v>
      </c>
      <c r="AR397" s="37" t="n">
        <v>9.92</v>
      </c>
      <c r="AS397" s="37" t="n">
        <v>5.45</v>
      </c>
      <c r="AT397" s="37" t="n">
        <v>11.28</v>
      </c>
      <c r="AU397" s="37" t="n">
        <v>19.1</v>
      </c>
      <c r="AV397" s="37" t="n">
        <v>19.14</v>
      </c>
      <c r="AW397" s="37" t="n">
        <v>9.199999999999999</v>
      </c>
      <c r="AX397" s="37" t="n">
        <v>8.529999999999999</v>
      </c>
      <c r="AY397" s="37" t="n">
        <v>9.51</v>
      </c>
      <c r="AZ397" s="37" t="n">
        <v>5.23</v>
      </c>
      <c r="BA397" s="37" t="n">
        <v>10.31</v>
      </c>
      <c r="BB397" s="37" t="n">
        <v>9.57</v>
      </c>
      <c r="BC397" s="37" t="n">
        <v>3.34</v>
      </c>
      <c r="BD397" s="37" t="n">
        <v>8.029999999999999</v>
      </c>
      <c r="BE397" s="37" t="n">
        <v>10</v>
      </c>
      <c r="BF397" s="37" t="n">
        <v>8.720000000000001</v>
      </c>
      <c r="BG397" s="37" t="n">
        <v>7.16</v>
      </c>
      <c r="BH397" s="37" t="n">
        <v>13.37</v>
      </c>
      <c r="BI397" s="37" t="n">
        <v>11.28</v>
      </c>
      <c r="BJ397" s="37" t="n">
        <v>51.56</v>
      </c>
      <c r="BK397" s="37" t="n">
        <v>23.92</v>
      </c>
      <c r="BL397" s="37" t="n">
        <v>12.28</v>
      </c>
      <c r="BM397" s="37" t="n">
        <v>9.07</v>
      </c>
      <c r="BN397" s="37" t="n">
        <v>7.01</v>
      </c>
      <c r="BO397" s="37" t="n">
        <v>15.21</v>
      </c>
      <c r="BP397" s="37" t="n">
        <v>22.55</v>
      </c>
      <c r="BQ397" s="37" t="n">
        <v>16.3</v>
      </c>
      <c r="BR397" s="37" t="n">
        <v>10.59</v>
      </c>
      <c r="BS397" s="37" t="n">
        <v>10</v>
      </c>
      <c r="BT397" s="37" t="n">
        <v>8.720000000000001</v>
      </c>
      <c r="BU397" s="37" t="n">
        <v>10.11</v>
      </c>
      <c r="BV397" s="37" t="n">
        <v>13.89</v>
      </c>
      <c r="BW397" s="37" t="n">
        <v>11.28</v>
      </c>
      <c r="BX397" s="37" t="n">
        <v>10.76</v>
      </c>
      <c r="BY397" s="37" t="n">
        <v>10.59</v>
      </c>
      <c r="BZ397" s="37" t="n">
        <v>18.32</v>
      </c>
      <c r="CA397" s="37" t="n">
        <v>10.44</v>
      </c>
      <c r="CB397" s="37" t="n">
        <v>6.75</v>
      </c>
      <c r="CC397" s="37" t="n">
        <v>889.4900000000001</v>
      </c>
    </row>
    <row r="398" ht="15.75" customHeight="1" s="57">
      <c r="A398" s="7" t="inlineStr">
        <is>
          <t>NTB</t>
        </is>
      </c>
      <c r="B398" s="7" t="inlineStr">
        <is>
          <t>Lâm Đồng</t>
        </is>
      </c>
      <c r="C398" s="7" t="n">
        <v>21468000</v>
      </c>
      <c r="D398" s="7" t="inlineStr">
        <is>
          <t>(LDO) 3 Bảo Lộc</t>
        </is>
      </c>
      <c r="E398" s="7" t="inlineStr">
        <is>
          <t>TTS</t>
        </is>
      </c>
      <c r="F398" s="36" t="n">
        <v>189</v>
      </c>
      <c r="G398" s="36" t="n">
        <v>230</v>
      </c>
      <c r="H398" s="36" t="n">
        <v>221</v>
      </c>
      <c r="I398" s="36" t="n">
        <v>154</v>
      </c>
      <c r="J398" s="36" t="n">
        <v>156</v>
      </c>
      <c r="K398" s="28" t="n">
        <v>196</v>
      </c>
      <c r="L398" s="36" t="n">
        <v>157</v>
      </c>
      <c r="M398" s="36" t="n">
        <v>140</v>
      </c>
      <c r="N398" s="36" t="n">
        <v>190</v>
      </c>
      <c r="O398" s="36" t="n">
        <v>163</v>
      </c>
      <c r="P398" s="36" t="n">
        <v>208</v>
      </c>
      <c r="Q398" s="36" t="n">
        <v>118</v>
      </c>
      <c r="R398" s="28" t="n">
        <v>144</v>
      </c>
      <c r="S398" s="36" t="n">
        <v>196</v>
      </c>
      <c r="T398" s="36" t="n">
        <v>104</v>
      </c>
      <c r="U398" s="36" t="n">
        <v>118.09</v>
      </c>
      <c r="V398" s="36" t="n">
        <v>116.08</v>
      </c>
      <c r="W398" s="36" t="n">
        <v>113.45</v>
      </c>
      <c r="X398" s="36" t="n">
        <v>91.58</v>
      </c>
      <c r="Y398" s="28" t="n">
        <v>133</v>
      </c>
      <c r="Z398" s="36" t="n">
        <v>113.19</v>
      </c>
      <c r="AA398" s="36" t="n">
        <v>125.59</v>
      </c>
      <c r="AB398" s="36" t="n">
        <v>139.63</v>
      </c>
      <c r="AC398" s="36" t="n">
        <v>147.01</v>
      </c>
      <c r="AD398" s="36" t="n">
        <v>150.42</v>
      </c>
      <c r="AE398" s="36" t="n">
        <v>106.4</v>
      </c>
      <c r="AF398" s="28" t="n">
        <v>137.55</v>
      </c>
      <c r="AG398" s="36" t="n">
        <v>115.42</v>
      </c>
      <c r="AH398" s="37" t="n">
        <v>114.17</v>
      </c>
      <c r="AI398" s="37" t="n">
        <v>130.59</v>
      </c>
      <c r="AJ398" s="37" t="n">
        <v>140.44</v>
      </c>
      <c r="AK398" s="37" t="n">
        <v>138.47</v>
      </c>
      <c r="AL398" s="37" t="n">
        <v>98.67999999999999</v>
      </c>
      <c r="AM398" s="37" t="n">
        <v>135.51</v>
      </c>
      <c r="AN398" s="37" t="n">
        <v>116.9</v>
      </c>
      <c r="AO398" s="37" t="n">
        <v>116.29</v>
      </c>
      <c r="AP398" s="37" t="n">
        <v>112.72</v>
      </c>
      <c r="AQ398" s="37" t="n">
        <v>113.71</v>
      </c>
      <c r="AR398" s="37" t="n">
        <v>111.85</v>
      </c>
      <c r="AS398" s="37" t="n">
        <v>92.05</v>
      </c>
      <c r="AT398" s="37" t="n">
        <v>146.47</v>
      </c>
      <c r="AU398" s="37" t="n">
        <v>132.53</v>
      </c>
      <c r="AV398" s="37" t="n">
        <v>117.9</v>
      </c>
      <c r="AW398" s="37" t="n">
        <v>111.34</v>
      </c>
      <c r="AX398" s="37" t="n">
        <v>110.49</v>
      </c>
      <c r="AY398" s="37" t="n">
        <v>110.38</v>
      </c>
      <c r="AZ398" s="37" t="n">
        <v>92.05</v>
      </c>
      <c r="BA398" s="37" t="n">
        <v>131.96</v>
      </c>
      <c r="BB398" s="37" t="n">
        <v>123.35</v>
      </c>
      <c r="BC398" s="37" t="n">
        <v>73.48</v>
      </c>
      <c r="BD398" s="37" t="n">
        <v>106.35</v>
      </c>
      <c r="BE398" s="37" t="n">
        <v>125.19</v>
      </c>
      <c r="BF398" s="37" t="n">
        <v>121.75</v>
      </c>
      <c r="BG398" s="37" t="n">
        <v>98.87</v>
      </c>
      <c r="BH398" s="37" t="n">
        <v>146.19</v>
      </c>
      <c r="BI398" s="37" t="n">
        <v>123.35</v>
      </c>
      <c r="BJ398" s="37" t="n">
        <v>114.23</v>
      </c>
      <c r="BK398" s="37" t="n">
        <v>125.05</v>
      </c>
      <c r="BL398" s="37" t="n">
        <v>125.19</v>
      </c>
      <c r="BM398" s="37" t="n">
        <v>121.75</v>
      </c>
      <c r="BN398" s="37" t="n">
        <v>98.87</v>
      </c>
      <c r="BO398" s="37" t="n">
        <v>146.19</v>
      </c>
      <c r="BP398" s="37" t="n">
        <v>123.35</v>
      </c>
      <c r="BQ398" s="37" t="n">
        <v>121.99</v>
      </c>
      <c r="BR398" s="37" t="n">
        <v>125.05</v>
      </c>
      <c r="BS398" s="37" t="n">
        <v>125.19</v>
      </c>
      <c r="BT398" s="37" t="n">
        <v>121.75</v>
      </c>
      <c r="BU398" s="37" t="n">
        <v>98.87</v>
      </c>
      <c r="BV398" s="37" t="n">
        <v>146.19</v>
      </c>
      <c r="BW398" s="37" t="n">
        <v>123.35</v>
      </c>
      <c r="BX398" s="37" t="n">
        <v>121.99</v>
      </c>
      <c r="BY398" s="37" t="n">
        <v>125.05</v>
      </c>
      <c r="BZ398" s="37" t="n">
        <v>125.19</v>
      </c>
      <c r="CA398" s="37" t="n">
        <v>121.75</v>
      </c>
      <c r="CB398" s="37" t="n">
        <v>98.87</v>
      </c>
      <c r="CC398" s="37" t="n">
        <v>9776.310000000001</v>
      </c>
    </row>
    <row r="399" ht="15.75" customHeight="1" s="57">
      <c r="A399" s="7" t="inlineStr">
        <is>
          <t>NTB</t>
        </is>
      </c>
      <c r="B399" s="7" t="inlineStr">
        <is>
          <t>Lâm Đồng</t>
        </is>
      </c>
      <c r="C399" s="7" t="n">
        <v>21468000</v>
      </c>
      <c r="D399" s="7" t="inlineStr">
        <is>
          <t>(LDO) 3 Bảo Lộc</t>
        </is>
      </c>
      <c r="E399" s="7" t="inlineStr">
        <is>
          <t>TTS-Bulky</t>
        </is>
      </c>
      <c r="F399" s="36" t="n">
        <v>1</v>
      </c>
      <c r="G399" s="36" t="n">
        <v>1</v>
      </c>
      <c r="H399" s="36" t="n">
        <v>3</v>
      </c>
      <c r="I399" s="36" t="n">
        <v>2</v>
      </c>
      <c r="J399" s="36" t="n">
        <v>0</v>
      </c>
      <c r="K399" s="28" t="n">
        <v>0</v>
      </c>
      <c r="L399" s="36" t="n">
        <v>1</v>
      </c>
      <c r="M399" s="36" t="n">
        <v>1</v>
      </c>
      <c r="N399" s="36" t="n">
        <v>1</v>
      </c>
      <c r="O399" s="36" t="n">
        <v>1</v>
      </c>
      <c r="P399" s="36" t="n">
        <v>3</v>
      </c>
      <c r="Q399" s="36" t="n">
        <v>0</v>
      </c>
      <c r="R399" s="28" t="n">
        <v>1</v>
      </c>
      <c r="S399" s="36" t="n">
        <v>1</v>
      </c>
      <c r="T399" s="36" t="n">
        <v>1</v>
      </c>
      <c r="U399" s="36" t="n">
        <v>3.6</v>
      </c>
      <c r="V399" s="36" t="n">
        <v>3.64</v>
      </c>
      <c r="W399" s="36" t="n">
        <v>1.72</v>
      </c>
      <c r="X399" s="36" t="n">
        <v>1.24</v>
      </c>
      <c r="Y399" s="28" t="n">
        <v>2.25</v>
      </c>
      <c r="Z399" s="36" t="n">
        <v>1.79</v>
      </c>
      <c r="AA399" s="36" t="n">
        <v>1.9</v>
      </c>
      <c r="AB399" s="36" t="n">
        <v>1.97</v>
      </c>
      <c r="AC399" s="36" t="n">
        <v>2.09</v>
      </c>
      <c r="AD399" s="36" t="n">
        <v>3.12</v>
      </c>
      <c r="AE399" s="36" t="n">
        <v>1.4</v>
      </c>
      <c r="AF399" s="28" t="n">
        <v>2.22</v>
      </c>
      <c r="AG399" s="36" t="n">
        <v>1.7</v>
      </c>
      <c r="AH399" s="37" t="n">
        <v>1.7</v>
      </c>
      <c r="AI399" s="37" t="n">
        <v>1.72</v>
      </c>
      <c r="AJ399" s="37" t="n">
        <v>1.95</v>
      </c>
      <c r="AK399" s="37" t="n">
        <v>1.86</v>
      </c>
      <c r="AL399" s="37" t="n">
        <v>1.33</v>
      </c>
      <c r="AM399" s="37" t="n">
        <v>2.22</v>
      </c>
      <c r="AN399" s="37" t="n">
        <v>1.72</v>
      </c>
      <c r="AO399" s="37" t="n">
        <v>1.7</v>
      </c>
      <c r="AP399" s="37" t="n">
        <v>1.7</v>
      </c>
      <c r="AQ399" s="37" t="n">
        <v>1.86</v>
      </c>
      <c r="AR399" s="37" t="n">
        <v>1.72</v>
      </c>
      <c r="AS399" s="37" t="n">
        <v>1.28</v>
      </c>
      <c r="AT399" s="37" t="n">
        <v>2.32</v>
      </c>
      <c r="AU399" s="37" t="n">
        <v>1.97</v>
      </c>
      <c r="AV399" s="37" t="n">
        <v>1.74</v>
      </c>
      <c r="AW399" s="37" t="n">
        <v>1.67</v>
      </c>
      <c r="AX399" s="37" t="n">
        <v>1.86</v>
      </c>
      <c r="AY399" s="37" t="n">
        <v>1.7</v>
      </c>
      <c r="AZ399" s="37" t="n">
        <v>1.28</v>
      </c>
      <c r="BA399" s="37" t="n">
        <v>1.95</v>
      </c>
      <c r="BB399" s="37" t="n">
        <v>0.46</v>
      </c>
      <c r="BC399" s="37" t="n">
        <v>0.3</v>
      </c>
      <c r="BD399" s="37" t="n">
        <v>0.37</v>
      </c>
      <c r="BE399" s="37" t="n">
        <v>0.48</v>
      </c>
      <c r="BF399" s="37" t="n">
        <v>0.48</v>
      </c>
      <c r="BG399" s="37" t="n">
        <v>0.32</v>
      </c>
      <c r="BH399" s="37" t="n">
        <v>0.62</v>
      </c>
      <c r="BI399" s="37" t="n">
        <v>0.48</v>
      </c>
      <c r="BJ399" s="37" t="n">
        <v>0.78</v>
      </c>
      <c r="BK399" s="37" t="n">
        <v>0.5</v>
      </c>
      <c r="BL399" s="37" t="n">
        <v>0.48</v>
      </c>
      <c r="BM399" s="37" t="n">
        <v>0.48</v>
      </c>
      <c r="BN399" s="37" t="n">
        <v>0.37</v>
      </c>
      <c r="BO399" s="37" t="n">
        <v>0.71</v>
      </c>
      <c r="BP399" s="37" t="n">
        <v>0.55</v>
      </c>
      <c r="BQ399" s="37" t="n">
        <v>0.5</v>
      </c>
      <c r="BR399" s="37" t="n">
        <v>0.5</v>
      </c>
      <c r="BS399" s="37" t="n">
        <v>0.48</v>
      </c>
      <c r="BT399" s="37" t="n">
        <v>0.48</v>
      </c>
      <c r="BU399" s="37" t="n">
        <v>0.32</v>
      </c>
      <c r="BV399" s="37" t="n">
        <v>0.53</v>
      </c>
      <c r="BW399" s="37" t="n">
        <v>0.48</v>
      </c>
      <c r="BX399" s="37" t="n">
        <v>0.5</v>
      </c>
      <c r="BY399" s="37" t="n">
        <v>0.5</v>
      </c>
      <c r="BZ399" s="37" t="n">
        <v>0.48</v>
      </c>
      <c r="CA399" s="37" t="n">
        <v>0.48</v>
      </c>
      <c r="CB399" s="37" t="n">
        <v>0.32</v>
      </c>
      <c r="CC399" s="37" t="n">
        <v>93.84000000000002</v>
      </c>
    </row>
    <row r="400" ht="15.75" customHeight="1" s="57">
      <c r="A400" s="7" t="inlineStr">
        <is>
          <t>NTB</t>
        </is>
      </c>
      <c r="B400" s="7" t="inlineStr">
        <is>
          <t>Lâm Đồng</t>
        </is>
      </c>
      <c r="C400" s="7" t="n">
        <v>21516000</v>
      </c>
      <c r="D400" s="7" t="inlineStr">
        <is>
          <t>(LDO) Đức Trọng 2</t>
        </is>
      </c>
      <c r="E400" s="7" t="inlineStr">
        <is>
          <t>SME</t>
        </is>
      </c>
      <c r="F400" s="36" t="n">
        <v>366</v>
      </c>
      <c r="G400" s="36" t="n">
        <v>307</v>
      </c>
      <c r="H400" s="36" t="n">
        <v>364</v>
      </c>
      <c r="I400" s="36" t="n">
        <v>294</v>
      </c>
      <c r="J400" s="36" t="n">
        <v>356</v>
      </c>
      <c r="K400" s="28" t="n">
        <v>304</v>
      </c>
      <c r="L400" s="36" t="n">
        <v>290</v>
      </c>
      <c r="M400" s="36" t="n">
        <v>235</v>
      </c>
      <c r="N400" s="36" t="n">
        <v>329</v>
      </c>
      <c r="O400" s="36" t="n">
        <v>241</v>
      </c>
      <c r="P400" s="36" t="n">
        <v>184</v>
      </c>
      <c r="Q400" s="36" t="n">
        <v>294</v>
      </c>
      <c r="R400" s="28" t="n">
        <v>324</v>
      </c>
      <c r="S400" s="36" t="n">
        <v>266</v>
      </c>
      <c r="T400" s="36" t="n">
        <v>243</v>
      </c>
      <c r="U400" s="36" t="n">
        <v>343.45</v>
      </c>
      <c r="V400" s="36" t="n">
        <v>355.83</v>
      </c>
      <c r="W400" s="36" t="n">
        <v>345.95</v>
      </c>
      <c r="X400" s="36" t="n">
        <v>282.94</v>
      </c>
      <c r="Y400" s="28" t="n">
        <v>383.33</v>
      </c>
      <c r="Z400" s="36" t="n">
        <v>353.18</v>
      </c>
      <c r="AA400" s="36" t="n">
        <v>344.49</v>
      </c>
      <c r="AB400" s="36" t="n">
        <v>343.45</v>
      </c>
      <c r="AC400" s="36" t="n">
        <v>355.83</v>
      </c>
      <c r="AD400" s="36" t="n">
        <v>357.57</v>
      </c>
      <c r="AE400" s="36" t="n">
        <v>282.94</v>
      </c>
      <c r="AF400" s="28" t="n">
        <v>383.33</v>
      </c>
      <c r="AG400" s="36" t="n">
        <v>353.18</v>
      </c>
      <c r="AH400" s="37" t="n">
        <v>344.49</v>
      </c>
      <c r="AI400" s="37" t="n">
        <v>343.45</v>
      </c>
      <c r="AJ400" s="37" t="n">
        <v>355.83</v>
      </c>
      <c r="AK400" s="37" t="n">
        <v>345.95</v>
      </c>
      <c r="AL400" s="37" t="n">
        <v>282.94</v>
      </c>
      <c r="AM400" s="37" t="n">
        <v>383.33</v>
      </c>
      <c r="AN400" s="37" t="n">
        <v>353.18</v>
      </c>
      <c r="AO400" s="37" t="n">
        <v>344.49</v>
      </c>
      <c r="AP400" s="37" t="n">
        <v>343.45</v>
      </c>
      <c r="AQ400" s="37" t="n">
        <v>355.83</v>
      </c>
      <c r="AR400" s="37" t="n">
        <v>345.95</v>
      </c>
      <c r="AS400" s="37" t="n">
        <v>282.94</v>
      </c>
      <c r="AT400" s="37" t="n">
        <v>383.33</v>
      </c>
      <c r="AU400" s="37" t="n">
        <v>353.18</v>
      </c>
      <c r="AV400" s="37" t="n">
        <v>344.49</v>
      </c>
      <c r="AW400" s="37" t="n">
        <v>343.45</v>
      </c>
      <c r="AX400" s="37" t="n">
        <v>355.83</v>
      </c>
      <c r="AY400" s="37" t="n">
        <v>345.95</v>
      </c>
      <c r="AZ400" s="37" t="n">
        <v>282.94</v>
      </c>
      <c r="BA400" s="37" t="n">
        <v>344.89</v>
      </c>
      <c r="BB400" s="37" t="n">
        <v>309.72</v>
      </c>
      <c r="BC400" s="37" t="n">
        <v>195.77</v>
      </c>
      <c r="BD400" s="37" t="n">
        <v>195.13</v>
      </c>
      <c r="BE400" s="37" t="n">
        <v>329.72</v>
      </c>
      <c r="BF400" s="37" t="n">
        <v>321.32</v>
      </c>
      <c r="BG400" s="37" t="n">
        <v>291.9</v>
      </c>
      <c r="BH400" s="37" t="n">
        <v>395.37</v>
      </c>
      <c r="BI400" s="37" t="n">
        <v>364.11</v>
      </c>
      <c r="BJ400" s="37" t="n">
        <v>367.24</v>
      </c>
      <c r="BK400" s="37" t="n">
        <v>354.02</v>
      </c>
      <c r="BL400" s="37" t="n">
        <v>366.86</v>
      </c>
      <c r="BM400" s="37" t="n">
        <v>356.53</v>
      </c>
      <c r="BN400" s="37" t="n">
        <v>291.9</v>
      </c>
      <c r="BO400" s="37" t="n">
        <v>395.37</v>
      </c>
      <c r="BP400" s="37" t="n">
        <v>364.11</v>
      </c>
      <c r="BQ400" s="37" t="n">
        <v>355.02</v>
      </c>
      <c r="BR400" s="37" t="n">
        <v>354.02</v>
      </c>
      <c r="BS400" s="37" t="n">
        <v>366.86</v>
      </c>
      <c r="BT400" s="37" t="n">
        <v>356.53</v>
      </c>
      <c r="BU400" s="37" t="n">
        <v>291.9</v>
      </c>
      <c r="BV400" s="37" t="n">
        <v>395.37</v>
      </c>
      <c r="BW400" s="37" t="n">
        <v>364.11</v>
      </c>
      <c r="BX400" s="37" t="n">
        <v>355.02</v>
      </c>
      <c r="BY400" s="37" t="n">
        <v>354.02</v>
      </c>
      <c r="BZ400" s="37" t="n">
        <v>366.86</v>
      </c>
      <c r="CA400" s="37" t="n">
        <v>356.53</v>
      </c>
      <c r="CB400" s="37" t="n">
        <v>291.9</v>
      </c>
      <c r="CC400" s="37" t="n">
        <v>24825.57000000001</v>
      </c>
    </row>
    <row r="401" ht="15.75" customHeight="1" s="57">
      <c r="A401" s="7" t="inlineStr">
        <is>
          <t>NTB</t>
        </is>
      </c>
      <c r="B401" s="7" t="inlineStr">
        <is>
          <t>Lâm Đồng</t>
        </is>
      </c>
      <c r="C401" s="7" t="n">
        <v>21516000</v>
      </c>
      <c r="D401" s="7" t="inlineStr">
        <is>
          <t>(LDO) Đức Trọng 2</t>
        </is>
      </c>
      <c r="E401" s="7" t="inlineStr">
        <is>
          <t>SME-Bulky</t>
        </is>
      </c>
      <c r="F401" s="36" t="n">
        <v>10</v>
      </c>
      <c r="G401" s="36" t="n">
        <v>16</v>
      </c>
      <c r="H401" s="36" t="n">
        <v>11</v>
      </c>
      <c r="I401" s="36" t="n">
        <v>21</v>
      </c>
      <c r="J401" s="36" t="n">
        <v>28</v>
      </c>
      <c r="K401" s="28" t="n">
        <v>8</v>
      </c>
      <c r="L401" s="36" t="n">
        <v>12</v>
      </c>
      <c r="M401" s="36" t="n">
        <v>23</v>
      </c>
      <c r="N401" s="36" t="n">
        <v>32</v>
      </c>
      <c r="O401" s="36" t="n">
        <v>18</v>
      </c>
      <c r="P401" s="36" t="n">
        <v>14</v>
      </c>
      <c r="Q401" s="36" t="n">
        <v>16</v>
      </c>
      <c r="R401" s="28" t="n">
        <v>20</v>
      </c>
      <c r="S401" s="36" t="n">
        <v>23</v>
      </c>
      <c r="T401" s="36" t="n">
        <v>20</v>
      </c>
      <c r="U401" s="36" t="n">
        <v>20.33</v>
      </c>
      <c r="V401" s="36" t="n">
        <v>20.11</v>
      </c>
      <c r="W401" s="36" t="n">
        <v>19.01</v>
      </c>
      <c r="X401" s="36" t="n">
        <v>12.66</v>
      </c>
      <c r="Y401" s="28" t="n">
        <v>22.72</v>
      </c>
      <c r="Z401" s="36" t="n">
        <v>21.7</v>
      </c>
      <c r="AA401" s="36" t="n">
        <v>21.39</v>
      </c>
      <c r="AB401" s="36" t="n">
        <v>20.33</v>
      </c>
      <c r="AC401" s="36" t="n">
        <v>20.11</v>
      </c>
      <c r="AD401" s="36" t="n">
        <v>17.86</v>
      </c>
      <c r="AE401" s="36" t="n">
        <v>12.66</v>
      </c>
      <c r="AF401" s="28" t="n">
        <v>22.72</v>
      </c>
      <c r="AG401" s="36" t="n">
        <v>21.7</v>
      </c>
      <c r="AH401" s="37" t="n">
        <v>21.39</v>
      </c>
      <c r="AI401" s="37" t="n">
        <v>20.33</v>
      </c>
      <c r="AJ401" s="37" t="n">
        <v>20.11</v>
      </c>
      <c r="AK401" s="37" t="n">
        <v>19.01</v>
      </c>
      <c r="AL401" s="37" t="n">
        <v>12.66</v>
      </c>
      <c r="AM401" s="37" t="n">
        <v>22.72</v>
      </c>
      <c r="AN401" s="37" t="n">
        <v>21.7</v>
      </c>
      <c r="AO401" s="37" t="n">
        <v>21.39</v>
      </c>
      <c r="AP401" s="37" t="n">
        <v>20.33</v>
      </c>
      <c r="AQ401" s="37" t="n">
        <v>20.11</v>
      </c>
      <c r="AR401" s="37" t="n">
        <v>19.01</v>
      </c>
      <c r="AS401" s="37" t="n">
        <v>12.66</v>
      </c>
      <c r="AT401" s="37" t="n">
        <v>22.72</v>
      </c>
      <c r="AU401" s="37" t="n">
        <v>21.7</v>
      </c>
      <c r="AV401" s="37" t="n">
        <v>21.39</v>
      </c>
      <c r="AW401" s="37" t="n">
        <v>20.33</v>
      </c>
      <c r="AX401" s="37" t="n">
        <v>20.11</v>
      </c>
      <c r="AY401" s="37" t="n">
        <v>19.01</v>
      </c>
      <c r="AZ401" s="37" t="n">
        <v>12.66</v>
      </c>
      <c r="BA401" s="37" t="n">
        <v>22.8</v>
      </c>
      <c r="BB401" s="37" t="n">
        <v>12</v>
      </c>
      <c r="BC401" s="37" t="n">
        <v>6.09</v>
      </c>
      <c r="BD401" s="37" t="n">
        <v>5.51</v>
      </c>
      <c r="BE401" s="37" t="n">
        <v>10.5</v>
      </c>
      <c r="BF401" s="37" t="n">
        <v>9.75</v>
      </c>
      <c r="BG401" s="37" t="n">
        <v>7.59</v>
      </c>
      <c r="BH401" s="37" t="n">
        <v>13.19</v>
      </c>
      <c r="BI401" s="37" t="n">
        <v>13.1</v>
      </c>
      <c r="BJ401" s="37" t="n">
        <v>11.34</v>
      </c>
      <c r="BK401" s="37" t="n">
        <v>12.04</v>
      </c>
      <c r="BL401" s="37" t="n">
        <v>12.09</v>
      </c>
      <c r="BM401" s="37" t="n">
        <v>11.25</v>
      </c>
      <c r="BN401" s="37" t="n">
        <v>7.59</v>
      </c>
      <c r="BO401" s="37" t="n">
        <v>13.19</v>
      </c>
      <c r="BP401" s="37" t="n">
        <v>13.1</v>
      </c>
      <c r="BQ401" s="37" t="n">
        <v>12.48</v>
      </c>
      <c r="BR401" s="37" t="n">
        <v>12.04</v>
      </c>
      <c r="BS401" s="37" t="n">
        <v>12.09</v>
      </c>
      <c r="BT401" s="37" t="n">
        <v>11.25</v>
      </c>
      <c r="BU401" s="37" t="n">
        <v>7.59</v>
      </c>
      <c r="BV401" s="37" t="n">
        <v>13.19</v>
      </c>
      <c r="BW401" s="37" t="n">
        <v>13.1</v>
      </c>
      <c r="BX401" s="37" t="n">
        <v>12.48</v>
      </c>
      <c r="BY401" s="37" t="n">
        <v>12.04</v>
      </c>
      <c r="BZ401" s="37" t="n">
        <v>12.09</v>
      </c>
      <c r="CA401" s="37" t="n">
        <v>11.25</v>
      </c>
      <c r="CB401" s="37" t="n">
        <v>7.59</v>
      </c>
      <c r="CC401" s="37" t="n">
        <v>1212.96</v>
      </c>
    </row>
    <row r="402" ht="15.75" customHeight="1" s="57">
      <c r="A402" s="7" t="inlineStr">
        <is>
          <t>NTB</t>
        </is>
      </c>
      <c r="B402" s="7" t="inlineStr">
        <is>
          <t>Lâm Đồng</t>
        </is>
      </c>
      <c r="C402" s="7" t="n">
        <v>21516000</v>
      </c>
      <c r="D402" s="7" t="inlineStr">
        <is>
          <t>(LDO) Đức Trọng 2</t>
        </is>
      </c>
      <c r="E402" s="7" t="inlineStr">
        <is>
          <t>Shopee</t>
        </is>
      </c>
      <c r="F402" s="36" t="n">
        <v>218</v>
      </c>
      <c r="G402" s="36" t="n">
        <v>168</v>
      </c>
      <c r="H402" s="36" t="n">
        <v>282</v>
      </c>
      <c r="I402" s="36" t="n">
        <v>215</v>
      </c>
      <c r="J402" s="36" t="n">
        <v>182</v>
      </c>
      <c r="K402" s="28" t="n">
        <v>115</v>
      </c>
      <c r="L402" s="36" t="n">
        <v>53</v>
      </c>
      <c r="M402" s="36" t="n">
        <v>43</v>
      </c>
      <c r="N402" s="36" t="n">
        <v>72</v>
      </c>
      <c r="O402" s="36" t="n">
        <v>41</v>
      </c>
      <c r="P402" s="36" t="n">
        <v>17</v>
      </c>
      <c r="Q402" s="36" t="n">
        <v>32</v>
      </c>
      <c r="R402" s="28" t="n">
        <v>45</v>
      </c>
      <c r="S402" s="36" t="n">
        <v>123</v>
      </c>
      <c r="T402" s="36" t="n">
        <v>149</v>
      </c>
      <c r="U402" s="36" t="n">
        <v>105.31</v>
      </c>
      <c r="V402" s="36" t="n">
        <v>105.69</v>
      </c>
      <c r="W402" s="36" t="n">
        <v>104.17</v>
      </c>
      <c r="X402" s="36" t="n">
        <v>84.70999999999999</v>
      </c>
      <c r="Y402" s="28" t="n">
        <v>141.9</v>
      </c>
      <c r="Z402" s="36" t="n">
        <v>112.33</v>
      </c>
      <c r="AA402" s="36" t="n">
        <v>154.49</v>
      </c>
      <c r="AB402" s="36" t="n">
        <v>107.48</v>
      </c>
      <c r="AC402" s="36" t="n">
        <v>86.73</v>
      </c>
      <c r="AD402" s="36" t="n">
        <v>226.06</v>
      </c>
      <c r="AE402" s="36" t="n">
        <v>90.73</v>
      </c>
      <c r="AF402" s="28" t="n">
        <v>161.74</v>
      </c>
      <c r="AG402" s="36" t="n">
        <v>117.94</v>
      </c>
      <c r="AH402" s="37" t="n">
        <v>124.52</v>
      </c>
      <c r="AI402" s="37" t="n">
        <v>105.31</v>
      </c>
      <c r="AJ402" s="37" t="n">
        <v>105.69</v>
      </c>
      <c r="AK402" s="37" t="n">
        <v>140.56</v>
      </c>
      <c r="AL402" s="37" t="n">
        <v>152.14</v>
      </c>
      <c r="AM402" s="37" t="n">
        <v>141.9</v>
      </c>
      <c r="AN402" s="37" t="n">
        <v>112.33</v>
      </c>
      <c r="AO402" s="37" t="n">
        <v>124.52</v>
      </c>
      <c r="AP402" s="37" t="n">
        <v>131.47</v>
      </c>
      <c r="AQ402" s="37" t="n">
        <v>84.73999999999999</v>
      </c>
      <c r="AR402" s="37" t="n">
        <v>104.17</v>
      </c>
      <c r="AS402" s="37" t="n">
        <v>84.70999999999999</v>
      </c>
      <c r="AT402" s="37" t="n">
        <v>141.9</v>
      </c>
      <c r="AU402" s="37" t="n">
        <v>114.66</v>
      </c>
      <c r="AV402" s="37" t="n">
        <v>127.04</v>
      </c>
      <c r="AW402" s="37" t="n">
        <v>105.31</v>
      </c>
      <c r="AX402" s="37" t="n">
        <v>105.69</v>
      </c>
      <c r="AY402" s="37" t="n">
        <v>104.17</v>
      </c>
      <c r="AZ402" s="37" t="n">
        <v>84.70999999999999</v>
      </c>
      <c r="BA402" s="37" t="n">
        <v>109.3</v>
      </c>
      <c r="BB402" s="37" t="n">
        <v>95.17</v>
      </c>
      <c r="BC402" s="37" t="n">
        <v>48.67</v>
      </c>
      <c r="BD402" s="37" t="n">
        <v>86.25</v>
      </c>
      <c r="BE402" s="37" t="n">
        <v>100.66</v>
      </c>
      <c r="BF402" s="37" t="n">
        <v>99.22</v>
      </c>
      <c r="BG402" s="37" t="n">
        <v>82.31</v>
      </c>
      <c r="BH402" s="37" t="n">
        <v>135.16</v>
      </c>
      <c r="BI402" s="37" t="n">
        <v>87.90000000000001</v>
      </c>
      <c r="BJ402" s="37" t="n">
        <v>320.83</v>
      </c>
      <c r="BK402" s="37" t="n">
        <v>107.38</v>
      </c>
      <c r="BL402" s="37" t="n">
        <v>105.74</v>
      </c>
      <c r="BM402" s="37" t="n">
        <v>99.22</v>
      </c>
      <c r="BN402" s="37" t="n">
        <v>80.69</v>
      </c>
      <c r="BO402" s="37" t="n">
        <v>135.16</v>
      </c>
      <c r="BP402" s="37" t="n">
        <v>144.38</v>
      </c>
      <c r="BQ402" s="37" t="n">
        <v>213.12</v>
      </c>
      <c r="BR402" s="37" t="n">
        <v>100.33</v>
      </c>
      <c r="BS402" s="37" t="n">
        <v>100.66</v>
      </c>
      <c r="BT402" s="37" t="n">
        <v>99.22</v>
      </c>
      <c r="BU402" s="37" t="n">
        <v>100.81</v>
      </c>
      <c r="BV402" s="37" t="n">
        <v>108.29</v>
      </c>
      <c r="BW402" s="37" t="n">
        <v>106.98</v>
      </c>
      <c r="BX402" s="37" t="n">
        <v>118.6</v>
      </c>
      <c r="BY402" s="37" t="n">
        <v>100.33</v>
      </c>
      <c r="BZ402" s="37" t="n">
        <v>102.78</v>
      </c>
      <c r="CA402" s="37" t="n">
        <v>101.14</v>
      </c>
      <c r="CB402" s="37" t="n">
        <v>80.69</v>
      </c>
      <c r="CC402" s="37" t="n">
        <v>8720.810000000001</v>
      </c>
    </row>
    <row r="403" ht="15.75" customHeight="1" s="57">
      <c r="A403" s="7" t="inlineStr">
        <is>
          <t>NTB</t>
        </is>
      </c>
      <c r="B403" s="7" t="inlineStr">
        <is>
          <t>Lâm Đồng</t>
        </is>
      </c>
      <c r="C403" s="7" t="n">
        <v>21516000</v>
      </c>
      <c r="D403" s="7" t="inlineStr">
        <is>
          <t>(LDO) Đức Trọng 2</t>
        </is>
      </c>
      <c r="E403" s="7" t="inlineStr">
        <is>
          <t>Shopee-Bulky</t>
        </is>
      </c>
      <c r="F403" s="36" t="n">
        <v>18.39</v>
      </c>
      <c r="G403" s="36" t="n">
        <v>22.19</v>
      </c>
      <c r="H403" s="36" t="n">
        <v>14.58</v>
      </c>
      <c r="I403" s="36" t="n">
        <v>7.61</v>
      </c>
      <c r="J403" s="36" t="n">
        <v>15.22</v>
      </c>
      <c r="K403" s="28" t="n">
        <v>5.71</v>
      </c>
      <c r="L403" s="36" t="n">
        <v>15.85</v>
      </c>
      <c r="M403" s="36" t="n">
        <v>12.05</v>
      </c>
      <c r="N403" s="36" t="n">
        <v>12.68</v>
      </c>
      <c r="O403" s="36" t="n">
        <v>5.07</v>
      </c>
      <c r="P403" s="36" t="n">
        <v>8.880000000000001</v>
      </c>
      <c r="Q403" s="36" t="n">
        <v>12.05</v>
      </c>
      <c r="R403" s="28" t="n">
        <v>16.48</v>
      </c>
      <c r="S403" s="36" t="n">
        <v>7.61</v>
      </c>
      <c r="T403" s="36" t="n">
        <v>26.63</v>
      </c>
      <c r="U403" s="36" t="n">
        <v>12.18</v>
      </c>
      <c r="V403" s="36" t="n">
        <v>11.74</v>
      </c>
      <c r="W403" s="36" t="n">
        <v>16.14</v>
      </c>
      <c r="X403" s="36" t="n">
        <v>9.130000000000001</v>
      </c>
      <c r="Y403" s="28" t="n">
        <v>17.88</v>
      </c>
      <c r="Z403" s="36" t="n">
        <v>14.13</v>
      </c>
      <c r="AA403" s="36" t="n">
        <v>13.73</v>
      </c>
      <c r="AB403" s="36" t="n">
        <v>13.9</v>
      </c>
      <c r="AC403" s="36" t="n">
        <v>14.59</v>
      </c>
      <c r="AD403" s="36" t="n">
        <v>39.32</v>
      </c>
      <c r="AE403" s="36" t="n">
        <v>23.47</v>
      </c>
      <c r="AF403" s="28" t="n">
        <v>34.99</v>
      </c>
      <c r="AG403" s="36" t="n">
        <v>19.87</v>
      </c>
      <c r="AH403" s="37" t="n">
        <v>13.97</v>
      </c>
      <c r="AI403" s="37" t="n">
        <v>13.44</v>
      </c>
      <c r="AJ403" s="37" t="n">
        <v>13.33</v>
      </c>
      <c r="AK403" s="37" t="n">
        <v>30.19</v>
      </c>
      <c r="AL403" s="37" t="n">
        <v>15.36</v>
      </c>
      <c r="AM403" s="37" t="n">
        <v>21.93</v>
      </c>
      <c r="AN403" s="37" t="n">
        <v>13.88</v>
      </c>
      <c r="AO403" s="37" t="n">
        <v>13.6</v>
      </c>
      <c r="AP403" s="37" t="n">
        <v>18.37</v>
      </c>
      <c r="AQ403" s="37" t="n">
        <v>18.26</v>
      </c>
      <c r="AR403" s="37" t="n">
        <v>14.52</v>
      </c>
      <c r="AS403" s="37" t="n">
        <v>8.029999999999999</v>
      </c>
      <c r="AT403" s="37" t="n">
        <v>16.42</v>
      </c>
      <c r="AU403" s="37" t="n">
        <v>27.01</v>
      </c>
      <c r="AV403" s="37" t="n">
        <v>28.03</v>
      </c>
      <c r="AW403" s="37" t="n">
        <v>13.64</v>
      </c>
      <c r="AX403" s="37" t="n">
        <v>12.8</v>
      </c>
      <c r="AY403" s="37" t="n">
        <v>13.9</v>
      </c>
      <c r="AZ403" s="37" t="n">
        <v>7.72</v>
      </c>
      <c r="BA403" s="37" t="n">
        <v>15.01</v>
      </c>
      <c r="BB403" s="37" t="n">
        <v>13.95</v>
      </c>
      <c r="BC403" s="37" t="n">
        <v>4.69</v>
      </c>
      <c r="BD403" s="37" t="n">
        <v>11.94</v>
      </c>
      <c r="BE403" s="37" t="n">
        <v>14.68</v>
      </c>
      <c r="BF403" s="37" t="n">
        <v>12.62</v>
      </c>
      <c r="BG403" s="37" t="n">
        <v>10.48</v>
      </c>
      <c r="BH403" s="37" t="n">
        <v>19.21</v>
      </c>
      <c r="BI403" s="37" t="n">
        <v>16.4</v>
      </c>
      <c r="BJ403" s="37" t="n">
        <v>62.54</v>
      </c>
      <c r="BK403" s="37" t="n">
        <v>34.7</v>
      </c>
      <c r="BL403" s="37" t="n">
        <v>17.88</v>
      </c>
      <c r="BM403" s="37" t="n">
        <v>13.33</v>
      </c>
      <c r="BN403" s="37" t="n">
        <v>10.12</v>
      </c>
      <c r="BO403" s="37" t="n">
        <v>22.33</v>
      </c>
      <c r="BP403" s="37" t="n">
        <v>32.61</v>
      </c>
      <c r="BQ403" s="37" t="n">
        <v>23.59</v>
      </c>
      <c r="BR403" s="37" t="n">
        <v>15.52</v>
      </c>
      <c r="BS403" s="37" t="n">
        <v>14.68</v>
      </c>
      <c r="BT403" s="37" t="n">
        <v>12.62</v>
      </c>
      <c r="BU403" s="37" t="n">
        <v>14.88</v>
      </c>
      <c r="BV403" s="37" t="n">
        <v>20.34</v>
      </c>
      <c r="BW403" s="37" t="n">
        <v>16.4</v>
      </c>
      <c r="BX403" s="37" t="n">
        <v>15.83</v>
      </c>
      <c r="BY403" s="37" t="n">
        <v>15.52</v>
      </c>
      <c r="BZ403" s="37" t="n">
        <v>26.61</v>
      </c>
      <c r="CA403" s="37" t="n">
        <v>15.34</v>
      </c>
      <c r="CB403" s="37" t="n">
        <v>9.99</v>
      </c>
      <c r="CC403" s="37" t="n">
        <v>1270.28</v>
      </c>
    </row>
    <row r="404" ht="15.75" customHeight="1" s="57">
      <c r="A404" s="7" t="inlineStr">
        <is>
          <t>NTB</t>
        </is>
      </c>
      <c r="B404" s="7" t="inlineStr">
        <is>
          <t>Lâm Đồng</t>
        </is>
      </c>
      <c r="C404" s="7" t="n">
        <v>21516000</v>
      </c>
      <c r="D404" s="7" t="inlineStr">
        <is>
          <t>(LDO) Đức Trọng 2</t>
        </is>
      </c>
      <c r="E404" s="7" t="inlineStr">
        <is>
          <t>Shopee-Bulky (10-15kg)</t>
        </is>
      </c>
      <c r="F404" s="36" t="n">
        <v>10.61</v>
      </c>
      <c r="G404" s="36" t="n">
        <v>12.81</v>
      </c>
      <c r="H404" s="36" t="n">
        <v>8.42</v>
      </c>
      <c r="I404" s="36" t="n">
        <v>4.39</v>
      </c>
      <c r="J404" s="36" t="n">
        <v>8.779999999999999</v>
      </c>
      <c r="K404" s="28" t="n">
        <v>3.29</v>
      </c>
      <c r="L404" s="36" t="n">
        <v>9.15</v>
      </c>
      <c r="M404" s="36" t="n">
        <v>6.95</v>
      </c>
      <c r="N404" s="36" t="n">
        <v>7.32</v>
      </c>
      <c r="O404" s="36" t="n">
        <v>2.93</v>
      </c>
      <c r="P404" s="36" t="n">
        <v>5.12</v>
      </c>
      <c r="Q404" s="36" t="n">
        <v>6.95</v>
      </c>
      <c r="R404" s="28" t="n">
        <v>9.52</v>
      </c>
      <c r="S404" s="36" t="n">
        <v>4.39</v>
      </c>
      <c r="T404" s="36" t="n">
        <v>15.37</v>
      </c>
      <c r="U404" s="36" t="n">
        <v>7.32</v>
      </c>
      <c r="V404" s="36" t="n">
        <v>7.01</v>
      </c>
      <c r="W404" s="36" t="n">
        <v>9.24</v>
      </c>
      <c r="X404" s="36" t="n">
        <v>5.22</v>
      </c>
      <c r="Y404" s="28" t="n">
        <v>10.37</v>
      </c>
      <c r="Z404" s="36" t="n">
        <v>8.09</v>
      </c>
      <c r="AA404" s="36" t="n">
        <v>7.6</v>
      </c>
      <c r="AB404" s="36" t="n">
        <v>7.96</v>
      </c>
      <c r="AC404" s="36" t="n">
        <v>8.24</v>
      </c>
      <c r="AD404" s="36" t="n">
        <v>31.5</v>
      </c>
      <c r="AE404" s="36" t="n">
        <v>13.15</v>
      </c>
      <c r="AF404" s="28" t="n">
        <v>19.19</v>
      </c>
      <c r="AG404" s="36" t="n">
        <v>11.45</v>
      </c>
      <c r="AH404" s="37" t="n">
        <v>7.98</v>
      </c>
      <c r="AI404" s="37" t="n">
        <v>7.76</v>
      </c>
      <c r="AJ404" s="37" t="n">
        <v>7.52</v>
      </c>
      <c r="AK404" s="37" t="n">
        <v>17.71</v>
      </c>
      <c r="AL404" s="37" t="n">
        <v>8.6</v>
      </c>
      <c r="AM404" s="37" t="n">
        <v>12.73</v>
      </c>
      <c r="AN404" s="37" t="n">
        <v>8</v>
      </c>
      <c r="AO404" s="37" t="n">
        <v>7.67</v>
      </c>
      <c r="AP404" s="37" t="n">
        <v>10.1</v>
      </c>
      <c r="AQ404" s="37" t="n">
        <v>10.3</v>
      </c>
      <c r="AR404" s="37" t="n">
        <v>8.35</v>
      </c>
      <c r="AS404" s="37" t="n">
        <v>4.58</v>
      </c>
      <c r="AT404" s="37" t="n">
        <v>9.5</v>
      </c>
      <c r="AU404" s="37" t="n">
        <v>16.07</v>
      </c>
      <c r="AV404" s="37" t="n">
        <v>16.11</v>
      </c>
      <c r="AW404" s="37" t="n">
        <v>7.74</v>
      </c>
      <c r="AX404" s="37" t="n">
        <v>7.18</v>
      </c>
      <c r="AY404" s="37" t="n">
        <v>8</v>
      </c>
      <c r="AZ404" s="37" t="n">
        <v>4.4</v>
      </c>
      <c r="BA404" s="37" t="n">
        <v>8.67</v>
      </c>
      <c r="BB404" s="37" t="n">
        <v>8.050000000000001</v>
      </c>
      <c r="BC404" s="37" t="n">
        <v>2.81</v>
      </c>
      <c r="BD404" s="37" t="n">
        <v>6.76</v>
      </c>
      <c r="BE404" s="37" t="n">
        <v>8.42</v>
      </c>
      <c r="BF404" s="37" t="n">
        <v>7.34</v>
      </c>
      <c r="BG404" s="37" t="n">
        <v>6.03</v>
      </c>
      <c r="BH404" s="37" t="n">
        <v>11.25</v>
      </c>
      <c r="BI404" s="37" t="n">
        <v>9.5</v>
      </c>
      <c r="BJ404" s="37" t="n">
        <v>43.39</v>
      </c>
      <c r="BK404" s="37" t="n">
        <v>20.12</v>
      </c>
      <c r="BL404" s="37" t="n">
        <v>10.34</v>
      </c>
      <c r="BM404" s="37" t="n">
        <v>7.63</v>
      </c>
      <c r="BN404" s="37" t="n">
        <v>5.9</v>
      </c>
      <c r="BO404" s="37" t="n">
        <v>12.8</v>
      </c>
      <c r="BP404" s="37" t="n">
        <v>18.97</v>
      </c>
      <c r="BQ404" s="37" t="n">
        <v>13.71</v>
      </c>
      <c r="BR404" s="37" t="n">
        <v>8.91</v>
      </c>
      <c r="BS404" s="37" t="n">
        <v>8.42</v>
      </c>
      <c r="BT404" s="37" t="n">
        <v>7.34</v>
      </c>
      <c r="BU404" s="37" t="n">
        <v>8.51</v>
      </c>
      <c r="BV404" s="37" t="n">
        <v>11.69</v>
      </c>
      <c r="BW404" s="37" t="n">
        <v>9.5</v>
      </c>
      <c r="BX404" s="37" t="n">
        <v>9.06</v>
      </c>
      <c r="BY404" s="37" t="n">
        <v>8.91</v>
      </c>
      <c r="BZ404" s="37" t="n">
        <v>15.41</v>
      </c>
      <c r="CA404" s="37" t="n">
        <v>8.779999999999999</v>
      </c>
      <c r="CB404" s="37" t="n">
        <v>5.68</v>
      </c>
      <c r="CC404" s="37" t="n">
        <v>746.54</v>
      </c>
    </row>
    <row r="405" ht="15.75" customHeight="1" s="57">
      <c r="A405" s="7" t="inlineStr">
        <is>
          <t>NTB</t>
        </is>
      </c>
      <c r="B405" s="7" t="inlineStr">
        <is>
          <t>Lâm Đồng</t>
        </is>
      </c>
      <c r="C405" s="7" t="n">
        <v>21516000</v>
      </c>
      <c r="D405" s="7" t="inlineStr">
        <is>
          <t>(LDO) Đức Trọng 2</t>
        </is>
      </c>
      <c r="E405" s="7" t="inlineStr">
        <is>
          <t>TTS</t>
        </is>
      </c>
      <c r="F405" s="36" t="n">
        <v>171</v>
      </c>
      <c r="G405" s="36" t="n">
        <v>142</v>
      </c>
      <c r="H405" s="36" t="n">
        <v>217</v>
      </c>
      <c r="I405" s="36" t="n">
        <v>188</v>
      </c>
      <c r="J405" s="36" t="n">
        <v>203</v>
      </c>
      <c r="K405" s="28" t="n">
        <v>148</v>
      </c>
      <c r="L405" s="36" t="n">
        <v>111</v>
      </c>
      <c r="M405" s="36" t="n">
        <v>167</v>
      </c>
      <c r="N405" s="36" t="n">
        <v>178</v>
      </c>
      <c r="O405" s="36" t="n">
        <v>167</v>
      </c>
      <c r="P405" s="36" t="n">
        <v>111</v>
      </c>
      <c r="Q405" s="36" t="n">
        <v>176</v>
      </c>
      <c r="R405" s="28" t="n">
        <v>181</v>
      </c>
      <c r="S405" s="36" t="n">
        <v>135</v>
      </c>
      <c r="T405" s="36" t="n">
        <v>166</v>
      </c>
      <c r="U405" s="36" t="n">
        <v>117.09</v>
      </c>
      <c r="V405" s="36" t="n">
        <v>115.1</v>
      </c>
      <c r="W405" s="36" t="n">
        <v>112.5</v>
      </c>
      <c r="X405" s="36" t="n">
        <v>90.81</v>
      </c>
      <c r="Y405" s="28" t="n">
        <v>131.88</v>
      </c>
      <c r="Z405" s="36" t="n">
        <v>112.24</v>
      </c>
      <c r="AA405" s="36" t="n">
        <v>124.53</v>
      </c>
      <c r="AB405" s="36" t="n">
        <v>138.45</v>
      </c>
      <c r="AC405" s="36" t="n">
        <v>145.78</v>
      </c>
      <c r="AD405" s="36" t="n">
        <v>149.11</v>
      </c>
      <c r="AE405" s="36" t="n">
        <v>105.5</v>
      </c>
      <c r="AF405" s="28" t="n">
        <v>136.39</v>
      </c>
      <c r="AG405" s="36" t="n">
        <v>114.44</v>
      </c>
      <c r="AH405" s="37" t="n">
        <v>113.2</v>
      </c>
      <c r="AI405" s="37" t="n">
        <v>129.48</v>
      </c>
      <c r="AJ405" s="37" t="n">
        <v>139.25</v>
      </c>
      <c r="AK405" s="37" t="n">
        <v>137.31</v>
      </c>
      <c r="AL405" s="37" t="n">
        <v>97.84</v>
      </c>
      <c r="AM405" s="37" t="n">
        <v>134.37</v>
      </c>
      <c r="AN405" s="37" t="n">
        <v>115.92</v>
      </c>
      <c r="AO405" s="37" t="n">
        <v>115.31</v>
      </c>
      <c r="AP405" s="37" t="n">
        <v>111.77</v>
      </c>
      <c r="AQ405" s="37" t="n">
        <v>112.75</v>
      </c>
      <c r="AR405" s="37" t="n">
        <v>110.9</v>
      </c>
      <c r="AS405" s="37" t="n">
        <v>91.28</v>
      </c>
      <c r="AT405" s="37" t="n">
        <v>145.23</v>
      </c>
      <c r="AU405" s="37" t="n">
        <v>131.42</v>
      </c>
      <c r="AV405" s="37" t="n">
        <v>116.9</v>
      </c>
      <c r="AW405" s="37" t="n">
        <v>110.41</v>
      </c>
      <c r="AX405" s="37" t="n">
        <v>109.56</v>
      </c>
      <c r="AY405" s="37" t="n">
        <v>109.45</v>
      </c>
      <c r="AZ405" s="37" t="n">
        <v>91.28</v>
      </c>
      <c r="BA405" s="37" t="n">
        <v>130.85</v>
      </c>
      <c r="BB405" s="37" t="n">
        <v>122.3</v>
      </c>
      <c r="BC405" s="37" t="n">
        <v>72.86</v>
      </c>
      <c r="BD405" s="37" t="n">
        <v>105.44</v>
      </c>
      <c r="BE405" s="37" t="n">
        <v>124.13</v>
      </c>
      <c r="BF405" s="37" t="n">
        <v>120.73</v>
      </c>
      <c r="BG405" s="37" t="n">
        <v>98.03</v>
      </c>
      <c r="BH405" s="37" t="n">
        <v>144.95</v>
      </c>
      <c r="BI405" s="37" t="n">
        <v>122.3</v>
      </c>
      <c r="BJ405" s="37" t="n">
        <v>113.23</v>
      </c>
      <c r="BK405" s="37" t="n">
        <v>123.99</v>
      </c>
      <c r="BL405" s="37" t="n">
        <v>124.13</v>
      </c>
      <c r="BM405" s="37" t="n">
        <v>120.73</v>
      </c>
      <c r="BN405" s="37" t="n">
        <v>98.03</v>
      </c>
      <c r="BO405" s="37" t="n">
        <v>144.95</v>
      </c>
      <c r="BP405" s="37" t="n">
        <v>122.3</v>
      </c>
      <c r="BQ405" s="37" t="n">
        <v>120.97</v>
      </c>
      <c r="BR405" s="37" t="n">
        <v>123.99</v>
      </c>
      <c r="BS405" s="37" t="n">
        <v>124.13</v>
      </c>
      <c r="BT405" s="37" t="n">
        <v>120.73</v>
      </c>
      <c r="BU405" s="37" t="n">
        <v>98.03</v>
      </c>
      <c r="BV405" s="37" t="n">
        <v>144.95</v>
      </c>
      <c r="BW405" s="37" t="n">
        <v>122.3</v>
      </c>
      <c r="BX405" s="37" t="n">
        <v>120.97</v>
      </c>
      <c r="BY405" s="37" t="n">
        <v>123.99</v>
      </c>
      <c r="BZ405" s="37" t="n">
        <v>124.13</v>
      </c>
      <c r="CA405" s="37" t="n">
        <v>120.73</v>
      </c>
      <c r="CB405" s="37" t="n">
        <v>98.03</v>
      </c>
      <c r="CC405" s="37" t="n">
        <v>9610.349999999995</v>
      </c>
    </row>
    <row r="406" ht="15.75" customHeight="1" s="57">
      <c r="A406" s="7" t="inlineStr">
        <is>
          <t>NTB</t>
        </is>
      </c>
      <c r="B406" s="7" t="inlineStr">
        <is>
          <t>Lâm Đồng</t>
        </is>
      </c>
      <c r="C406" s="7" t="n">
        <v>21516000</v>
      </c>
      <c r="D406" s="7" t="inlineStr">
        <is>
          <t>(LDO) Đức Trọng 2</t>
        </is>
      </c>
      <c r="E406" s="7" t="inlineStr">
        <is>
          <t>TTS-Bulky</t>
        </is>
      </c>
      <c r="F406" s="36" t="n">
        <v>4</v>
      </c>
      <c r="G406" s="36" t="n">
        <v>0</v>
      </c>
      <c r="H406" s="36" t="n">
        <v>2</v>
      </c>
      <c r="I406" s="36" t="n">
        <v>1</v>
      </c>
      <c r="J406" s="36" t="n">
        <v>1</v>
      </c>
      <c r="K406" s="28" t="n">
        <v>3</v>
      </c>
      <c r="L406" s="36" t="n">
        <v>3</v>
      </c>
      <c r="M406" s="36" t="n">
        <v>0</v>
      </c>
      <c r="N406" s="36" t="n">
        <v>1</v>
      </c>
      <c r="O406" s="36" t="n">
        <v>0</v>
      </c>
      <c r="P406" s="36" t="n">
        <v>0</v>
      </c>
      <c r="Q406" s="36" t="n">
        <v>2</v>
      </c>
      <c r="R406" s="28" t="n">
        <v>0</v>
      </c>
      <c r="S406" s="36" t="n">
        <v>0</v>
      </c>
      <c r="T406" s="36" t="n">
        <v>1</v>
      </c>
      <c r="U406" s="36" t="n">
        <v>3.15</v>
      </c>
      <c r="V406" s="36" t="n">
        <v>3.19</v>
      </c>
      <c r="W406" s="36" t="n">
        <v>1.5</v>
      </c>
      <c r="X406" s="36" t="n">
        <v>1.08</v>
      </c>
      <c r="Y406" s="28" t="n">
        <v>1.97</v>
      </c>
      <c r="Z406" s="36" t="n">
        <v>1.56</v>
      </c>
      <c r="AA406" s="36" t="n">
        <v>1.66</v>
      </c>
      <c r="AB406" s="36" t="n">
        <v>1.72</v>
      </c>
      <c r="AC406" s="36" t="n">
        <v>1.83</v>
      </c>
      <c r="AD406" s="36" t="n">
        <v>2.73</v>
      </c>
      <c r="AE406" s="36" t="n">
        <v>1.22</v>
      </c>
      <c r="AF406" s="28" t="n">
        <v>1.95</v>
      </c>
      <c r="AG406" s="36" t="n">
        <v>1.48</v>
      </c>
      <c r="AH406" s="37" t="n">
        <v>1.48</v>
      </c>
      <c r="AI406" s="37" t="n">
        <v>1.5</v>
      </c>
      <c r="AJ406" s="37" t="n">
        <v>1.7</v>
      </c>
      <c r="AK406" s="37" t="n">
        <v>1.62</v>
      </c>
      <c r="AL406" s="37" t="n">
        <v>1.16</v>
      </c>
      <c r="AM406" s="37" t="n">
        <v>1.95</v>
      </c>
      <c r="AN406" s="37" t="n">
        <v>1.5</v>
      </c>
      <c r="AO406" s="37" t="n">
        <v>1.48</v>
      </c>
      <c r="AP406" s="37" t="n">
        <v>1.48</v>
      </c>
      <c r="AQ406" s="37" t="n">
        <v>1.62</v>
      </c>
      <c r="AR406" s="37" t="n">
        <v>1.5</v>
      </c>
      <c r="AS406" s="37" t="n">
        <v>1.12</v>
      </c>
      <c r="AT406" s="37" t="n">
        <v>2.03</v>
      </c>
      <c r="AU406" s="37" t="n">
        <v>1.72</v>
      </c>
      <c r="AV406" s="37" t="n">
        <v>1.52</v>
      </c>
      <c r="AW406" s="37" t="n">
        <v>1.46</v>
      </c>
      <c r="AX406" s="37" t="n">
        <v>1.62</v>
      </c>
      <c r="AY406" s="37" t="n">
        <v>1.48</v>
      </c>
      <c r="AZ406" s="37" t="n">
        <v>1.12</v>
      </c>
      <c r="BA406" s="37" t="n">
        <v>1.7</v>
      </c>
      <c r="BB406" s="37" t="n">
        <v>0.4</v>
      </c>
      <c r="BC406" s="37" t="n">
        <v>0.26</v>
      </c>
      <c r="BD406" s="37" t="n">
        <v>0.32</v>
      </c>
      <c r="BE406" s="37" t="n">
        <v>0.42</v>
      </c>
      <c r="BF406" s="37" t="n">
        <v>0.42</v>
      </c>
      <c r="BG406" s="37" t="n">
        <v>0.28</v>
      </c>
      <c r="BH406" s="37" t="n">
        <v>0.54</v>
      </c>
      <c r="BI406" s="37" t="n">
        <v>0.42</v>
      </c>
      <c r="BJ406" s="37" t="n">
        <v>0.68</v>
      </c>
      <c r="BK406" s="37" t="n">
        <v>0.44</v>
      </c>
      <c r="BL406" s="37" t="n">
        <v>0.42</v>
      </c>
      <c r="BM406" s="37" t="n">
        <v>0.42</v>
      </c>
      <c r="BN406" s="37" t="n">
        <v>0.32</v>
      </c>
      <c r="BO406" s="37" t="n">
        <v>0.62</v>
      </c>
      <c r="BP406" s="37" t="n">
        <v>0.48</v>
      </c>
      <c r="BQ406" s="37" t="n">
        <v>0.44</v>
      </c>
      <c r="BR406" s="37" t="n">
        <v>0.44</v>
      </c>
      <c r="BS406" s="37" t="n">
        <v>0.42</v>
      </c>
      <c r="BT406" s="37" t="n">
        <v>0.42</v>
      </c>
      <c r="BU406" s="37" t="n">
        <v>0.28</v>
      </c>
      <c r="BV406" s="37" t="n">
        <v>0.46</v>
      </c>
      <c r="BW406" s="37" t="n">
        <v>0.42</v>
      </c>
      <c r="BX406" s="37" t="n">
        <v>0.44</v>
      </c>
      <c r="BY406" s="37" t="n">
        <v>0.44</v>
      </c>
      <c r="BZ406" s="37" t="n">
        <v>0.42</v>
      </c>
      <c r="CA406" s="37" t="n">
        <v>0.42</v>
      </c>
      <c r="CB406" s="37" t="n">
        <v>0.28</v>
      </c>
      <c r="CC406" s="37" t="n">
        <v>85.12</v>
      </c>
    </row>
    <row r="407" ht="15.75" customHeight="1" s="57">
      <c r="A407" s="7" t="inlineStr">
        <is>
          <t>NTB</t>
        </is>
      </c>
      <c r="B407" s="7" t="inlineStr">
        <is>
          <t>Lâm Đồng</t>
        </is>
      </c>
      <c r="C407" s="7" t="n">
        <v>21537000</v>
      </c>
      <c r="D407" s="7" t="inlineStr">
        <is>
          <t>(LDO) Lâm Viên - Đà Lạt 2</t>
        </is>
      </c>
      <c r="E407" s="7" t="inlineStr">
        <is>
          <t>SME</t>
        </is>
      </c>
      <c r="F407" s="36" t="n">
        <v>194</v>
      </c>
      <c r="G407" s="36" t="n">
        <v>229</v>
      </c>
      <c r="H407" s="36" t="n">
        <v>220</v>
      </c>
      <c r="I407" s="36" t="n">
        <v>175</v>
      </c>
      <c r="J407" s="36" t="n">
        <v>152</v>
      </c>
      <c r="K407" s="28" t="n">
        <v>187</v>
      </c>
      <c r="L407" s="36" t="n">
        <v>151</v>
      </c>
      <c r="M407" s="36" t="n">
        <v>140</v>
      </c>
      <c r="N407" s="36" t="n">
        <v>110</v>
      </c>
      <c r="O407" s="36" t="n">
        <v>206</v>
      </c>
      <c r="P407" s="36" t="n">
        <v>94</v>
      </c>
      <c r="Q407" s="36" t="n">
        <v>164</v>
      </c>
      <c r="R407" s="28" t="n">
        <v>135</v>
      </c>
      <c r="S407" s="36" t="n">
        <v>171</v>
      </c>
      <c r="T407" s="36" t="n">
        <v>130</v>
      </c>
      <c r="U407" s="36" t="n">
        <v>180.66</v>
      </c>
      <c r="V407" s="36" t="n">
        <v>187.15</v>
      </c>
      <c r="W407" s="36" t="n">
        <v>181.95</v>
      </c>
      <c r="X407" s="36" t="n">
        <v>148.83</v>
      </c>
      <c r="Y407" s="28" t="n">
        <v>201.64</v>
      </c>
      <c r="Z407" s="36" t="n">
        <v>185.78</v>
      </c>
      <c r="AA407" s="36" t="n">
        <v>181.19</v>
      </c>
      <c r="AB407" s="36" t="n">
        <v>180.66</v>
      </c>
      <c r="AC407" s="36" t="n">
        <v>187.15</v>
      </c>
      <c r="AD407" s="36" t="n">
        <v>188.1</v>
      </c>
      <c r="AE407" s="36" t="n">
        <v>148.83</v>
      </c>
      <c r="AF407" s="28" t="n">
        <v>201.64</v>
      </c>
      <c r="AG407" s="36" t="n">
        <v>185.78</v>
      </c>
      <c r="AH407" s="37" t="n">
        <v>181.19</v>
      </c>
      <c r="AI407" s="37" t="n">
        <v>180.66</v>
      </c>
      <c r="AJ407" s="37" t="n">
        <v>187.15</v>
      </c>
      <c r="AK407" s="37" t="n">
        <v>181.95</v>
      </c>
      <c r="AL407" s="37" t="n">
        <v>148.83</v>
      </c>
      <c r="AM407" s="37" t="n">
        <v>201.64</v>
      </c>
      <c r="AN407" s="37" t="n">
        <v>185.78</v>
      </c>
      <c r="AO407" s="37" t="n">
        <v>181.19</v>
      </c>
      <c r="AP407" s="37" t="n">
        <v>180.66</v>
      </c>
      <c r="AQ407" s="37" t="n">
        <v>187.15</v>
      </c>
      <c r="AR407" s="37" t="n">
        <v>181.95</v>
      </c>
      <c r="AS407" s="37" t="n">
        <v>148.83</v>
      </c>
      <c r="AT407" s="37" t="n">
        <v>201.64</v>
      </c>
      <c r="AU407" s="37" t="n">
        <v>185.78</v>
      </c>
      <c r="AV407" s="37" t="n">
        <v>181.19</v>
      </c>
      <c r="AW407" s="37" t="n">
        <v>180.66</v>
      </c>
      <c r="AX407" s="37" t="n">
        <v>187.15</v>
      </c>
      <c r="AY407" s="37" t="n">
        <v>181.95</v>
      </c>
      <c r="AZ407" s="37" t="n">
        <v>148.83</v>
      </c>
      <c r="BA407" s="37" t="n">
        <v>181.39</v>
      </c>
      <c r="BB407" s="37" t="n">
        <v>162.94</v>
      </c>
      <c r="BC407" s="37" t="n">
        <v>102.93</v>
      </c>
      <c r="BD407" s="37" t="n">
        <v>102.63</v>
      </c>
      <c r="BE407" s="37" t="n">
        <v>173.5</v>
      </c>
      <c r="BF407" s="37" t="n">
        <v>169.05</v>
      </c>
      <c r="BG407" s="37" t="n">
        <v>153.6</v>
      </c>
      <c r="BH407" s="37" t="n">
        <v>208.03</v>
      </c>
      <c r="BI407" s="37" t="n">
        <v>191.59</v>
      </c>
      <c r="BJ407" s="37" t="n">
        <v>193.24</v>
      </c>
      <c r="BK407" s="37" t="n">
        <v>186.28</v>
      </c>
      <c r="BL407" s="37" t="n">
        <v>193.01</v>
      </c>
      <c r="BM407" s="37" t="n">
        <v>187.58</v>
      </c>
      <c r="BN407" s="37" t="n">
        <v>153.6</v>
      </c>
      <c r="BO407" s="37" t="n">
        <v>208.03</v>
      </c>
      <c r="BP407" s="37" t="n">
        <v>191.59</v>
      </c>
      <c r="BQ407" s="37" t="n">
        <v>186.78</v>
      </c>
      <c r="BR407" s="37" t="n">
        <v>186.28</v>
      </c>
      <c r="BS407" s="37" t="n">
        <v>193.01</v>
      </c>
      <c r="BT407" s="37" t="n">
        <v>187.58</v>
      </c>
      <c r="BU407" s="37" t="n">
        <v>153.6</v>
      </c>
      <c r="BV407" s="37" t="n">
        <v>208.03</v>
      </c>
      <c r="BW407" s="37" t="n">
        <v>191.59</v>
      </c>
      <c r="BX407" s="37" t="n">
        <v>186.78</v>
      </c>
      <c r="BY407" s="37" t="n">
        <v>186.28</v>
      </c>
      <c r="BZ407" s="37" t="n">
        <v>193.01</v>
      </c>
      <c r="CA407" s="37" t="n">
        <v>187.58</v>
      </c>
      <c r="CB407" s="37" t="n">
        <v>153.6</v>
      </c>
      <c r="CC407" s="37" t="n">
        <v>13204.65</v>
      </c>
    </row>
    <row r="408" ht="15.75" customHeight="1" s="57">
      <c r="A408" s="7" t="inlineStr">
        <is>
          <t>NTB</t>
        </is>
      </c>
      <c r="B408" s="7" t="inlineStr">
        <is>
          <t>Lâm Đồng</t>
        </is>
      </c>
      <c r="C408" s="7" t="n">
        <v>21537000</v>
      </c>
      <c r="D408" s="7" t="inlineStr">
        <is>
          <t>(LDO) Lâm Viên - Đà Lạt 2</t>
        </is>
      </c>
      <c r="E408" s="7" t="inlineStr">
        <is>
          <t>SME-Bulky</t>
        </is>
      </c>
      <c r="F408" s="36" t="n">
        <v>7</v>
      </c>
      <c r="G408" s="36" t="n">
        <v>14</v>
      </c>
      <c r="H408" s="36" t="n">
        <v>15</v>
      </c>
      <c r="I408" s="36" t="n">
        <v>3</v>
      </c>
      <c r="J408" s="36" t="n">
        <v>7</v>
      </c>
      <c r="K408" s="28" t="n">
        <v>3</v>
      </c>
      <c r="L408" s="36" t="n">
        <v>3</v>
      </c>
      <c r="M408" s="36" t="n">
        <v>5</v>
      </c>
      <c r="N408" s="36" t="n">
        <v>7</v>
      </c>
      <c r="O408" s="36" t="n">
        <v>4</v>
      </c>
      <c r="P408" s="36" t="n">
        <v>10</v>
      </c>
      <c r="Q408" s="36" t="n">
        <v>3</v>
      </c>
      <c r="R408" s="28" t="n">
        <v>2</v>
      </c>
      <c r="S408" s="36" t="n">
        <v>10</v>
      </c>
      <c r="T408" s="36" t="n">
        <v>5</v>
      </c>
      <c r="U408" s="36" t="n">
        <v>5.83</v>
      </c>
      <c r="V408" s="36" t="n">
        <v>5.77</v>
      </c>
      <c r="W408" s="36" t="n">
        <v>5.45</v>
      </c>
      <c r="X408" s="36" t="n">
        <v>3.63</v>
      </c>
      <c r="Y408" s="28" t="n">
        <v>6.51</v>
      </c>
      <c r="Z408" s="36" t="n">
        <v>6.22</v>
      </c>
      <c r="AA408" s="36" t="n">
        <v>6.13</v>
      </c>
      <c r="AB408" s="36" t="n">
        <v>5.83</v>
      </c>
      <c r="AC408" s="36" t="n">
        <v>5.77</v>
      </c>
      <c r="AD408" s="36" t="n">
        <v>5.12</v>
      </c>
      <c r="AE408" s="36" t="n">
        <v>3.63</v>
      </c>
      <c r="AF408" s="28" t="n">
        <v>6.51</v>
      </c>
      <c r="AG408" s="36" t="n">
        <v>6.22</v>
      </c>
      <c r="AH408" s="37" t="n">
        <v>6.13</v>
      </c>
      <c r="AI408" s="37" t="n">
        <v>5.83</v>
      </c>
      <c r="AJ408" s="37" t="n">
        <v>5.77</v>
      </c>
      <c r="AK408" s="37" t="n">
        <v>5.45</v>
      </c>
      <c r="AL408" s="37" t="n">
        <v>3.63</v>
      </c>
      <c r="AM408" s="37" t="n">
        <v>6.51</v>
      </c>
      <c r="AN408" s="37" t="n">
        <v>6.22</v>
      </c>
      <c r="AO408" s="37" t="n">
        <v>6.13</v>
      </c>
      <c r="AP408" s="37" t="n">
        <v>5.83</v>
      </c>
      <c r="AQ408" s="37" t="n">
        <v>5.77</v>
      </c>
      <c r="AR408" s="37" t="n">
        <v>5.45</v>
      </c>
      <c r="AS408" s="37" t="n">
        <v>3.63</v>
      </c>
      <c r="AT408" s="37" t="n">
        <v>6.51</v>
      </c>
      <c r="AU408" s="37" t="n">
        <v>6.22</v>
      </c>
      <c r="AV408" s="37" t="n">
        <v>6.13</v>
      </c>
      <c r="AW408" s="37" t="n">
        <v>5.83</v>
      </c>
      <c r="AX408" s="37" t="n">
        <v>5.77</v>
      </c>
      <c r="AY408" s="37" t="n">
        <v>5.45</v>
      </c>
      <c r="AZ408" s="37" t="n">
        <v>3.63</v>
      </c>
      <c r="BA408" s="37" t="n">
        <v>6.54</v>
      </c>
      <c r="BB408" s="37" t="n">
        <v>3.44</v>
      </c>
      <c r="BC408" s="37" t="n">
        <v>1.75</v>
      </c>
      <c r="BD408" s="37" t="n">
        <v>1.58</v>
      </c>
      <c r="BE408" s="37" t="n">
        <v>3.01</v>
      </c>
      <c r="BF408" s="37" t="n">
        <v>2.79</v>
      </c>
      <c r="BG408" s="37" t="n">
        <v>2.18</v>
      </c>
      <c r="BH408" s="37" t="n">
        <v>3.78</v>
      </c>
      <c r="BI408" s="37" t="n">
        <v>3.76</v>
      </c>
      <c r="BJ408" s="37" t="n">
        <v>3.25</v>
      </c>
      <c r="BK408" s="37" t="n">
        <v>3.45</v>
      </c>
      <c r="BL408" s="37" t="n">
        <v>3.47</v>
      </c>
      <c r="BM408" s="37" t="n">
        <v>3.22</v>
      </c>
      <c r="BN408" s="37" t="n">
        <v>2.18</v>
      </c>
      <c r="BO408" s="37" t="n">
        <v>3.78</v>
      </c>
      <c r="BP408" s="37" t="n">
        <v>3.76</v>
      </c>
      <c r="BQ408" s="37" t="n">
        <v>3.58</v>
      </c>
      <c r="BR408" s="37" t="n">
        <v>3.45</v>
      </c>
      <c r="BS408" s="37" t="n">
        <v>3.47</v>
      </c>
      <c r="BT408" s="37" t="n">
        <v>3.22</v>
      </c>
      <c r="BU408" s="37" t="n">
        <v>2.18</v>
      </c>
      <c r="BV408" s="37" t="n">
        <v>3.78</v>
      </c>
      <c r="BW408" s="37" t="n">
        <v>3.76</v>
      </c>
      <c r="BX408" s="37" t="n">
        <v>3.58</v>
      </c>
      <c r="BY408" s="37" t="n">
        <v>3.45</v>
      </c>
      <c r="BZ408" s="37" t="n">
        <v>3.47</v>
      </c>
      <c r="CA408" s="37" t="n">
        <v>3.22</v>
      </c>
      <c r="CB408" s="37" t="n">
        <v>2.18</v>
      </c>
      <c r="CC408" s="37" t="n">
        <v>367.79</v>
      </c>
    </row>
    <row r="409" ht="15.75" customHeight="1" s="57">
      <c r="A409" s="7" t="inlineStr">
        <is>
          <t>NTB</t>
        </is>
      </c>
      <c r="B409" s="7" t="inlineStr">
        <is>
          <t>Lâm Đồng</t>
        </is>
      </c>
      <c r="C409" s="7" t="n">
        <v>21537000</v>
      </c>
      <c r="D409" s="7" t="inlineStr">
        <is>
          <t>(LDO) Lâm Viên - Đà Lạt 2</t>
        </is>
      </c>
      <c r="E409" s="7" t="inlineStr">
        <is>
          <t>Shopee</t>
        </is>
      </c>
      <c r="F409" s="36" t="n">
        <v>232</v>
      </c>
      <c r="G409" s="36" t="n">
        <v>306</v>
      </c>
      <c r="H409" s="36" t="n">
        <v>194</v>
      </c>
      <c r="I409" s="36" t="n">
        <v>244</v>
      </c>
      <c r="J409" s="36" t="n">
        <v>210</v>
      </c>
      <c r="K409" s="28" t="n">
        <v>107</v>
      </c>
      <c r="L409" s="36" t="n">
        <v>84</v>
      </c>
      <c r="M409" s="36" t="n">
        <v>47</v>
      </c>
      <c r="N409" s="36" t="n">
        <v>56</v>
      </c>
      <c r="O409" s="36" t="n">
        <v>62</v>
      </c>
      <c r="P409" s="36" t="n">
        <v>16</v>
      </c>
      <c r="Q409" s="36" t="n">
        <v>17</v>
      </c>
      <c r="R409" s="28" t="n">
        <v>26</v>
      </c>
      <c r="S409" s="36" t="n">
        <v>48</v>
      </c>
      <c r="T409" s="36" t="n">
        <v>107</v>
      </c>
      <c r="U409" s="36" t="n">
        <v>72.56999999999999</v>
      </c>
      <c r="V409" s="36" t="n">
        <v>72.83</v>
      </c>
      <c r="W409" s="36" t="n">
        <v>71.78</v>
      </c>
      <c r="X409" s="36" t="n">
        <v>58.37</v>
      </c>
      <c r="Y409" s="28" t="n">
        <v>97.78</v>
      </c>
      <c r="Z409" s="36" t="n">
        <v>77.41</v>
      </c>
      <c r="AA409" s="36" t="n">
        <v>106.45</v>
      </c>
      <c r="AB409" s="36" t="n">
        <v>74.06</v>
      </c>
      <c r="AC409" s="36" t="n">
        <v>59.77</v>
      </c>
      <c r="AD409" s="36" t="n">
        <v>155.77</v>
      </c>
      <c r="AE409" s="36" t="n">
        <v>62.52</v>
      </c>
      <c r="AF409" s="28" t="n">
        <v>111.45</v>
      </c>
      <c r="AG409" s="36" t="n">
        <v>81.27</v>
      </c>
      <c r="AH409" s="37" t="n">
        <v>85.8</v>
      </c>
      <c r="AI409" s="37" t="n">
        <v>72.56999999999999</v>
      </c>
      <c r="AJ409" s="37" t="n">
        <v>72.83</v>
      </c>
      <c r="AK409" s="37" t="n">
        <v>96.86</v>
      </c>
      <c r="AL409" s="37" t="n">
        <v>104.83</v>
      </c>
      <c r="AM409" s="37" t="n">
        <v>97.78</v>
      </c>
      <c r="AN409" s="37" t="n">
        <v>77.41</v>
      </c>
      <c r="AO409" s="37" t="n">
        <v>85.8</v>
      </c>
      <c r="AP409" s="37" t="n">
        <v>90.59</v>
      </c>
      <c r="AQ409" s="37" t="n">
        <v>58.39</v>
      </c>
      <c r="AR409" s="37" t="n">
        <v>71.78</v>
      </c>
      <c r="AS409" s="37" t="n">
        <v>58.37</v>
      </c>
      <c r="AT409" s="37" t="n">
        <v>97.78</v>
      </c>
      <c r="AU409" s="37" t="n">
        <v>79.01000000000001</v>
      </c>
      <c r="AV409" s="37" t="n">
        <v>87.54000000000001</v>
      </c>
      <c r="AW409" s="37" t="n">
        <v>72.56999999999999</v>
      </c>
      <c r="AX409" s="37" t="n">
        <v>72.83</v>
      </c>
      <c r="AY409" s="37" t="n">
        <v>71.78</v>
      </c>
      <c r="AZ409" s="37" t="n">
        <v>58.37</v>
      </c>
      <c r="BA409" s="37" t="n">
        <v>75.31999999999999</v>
      </c>
      <c r="BB409" s="37" t="n">
        <v>65.58</v>
      </c>
      <c r="BC409" s="37" t="n">
        <v>33.54</v>
      </c>
      <c r="BD409" s="37" t="n">
        <v>59.44</v>
      </c>
      <c r="BE409" s="37" t="n">
        <v>69.36</v>
      </c>
      <c r="BF409" s="37" t="n">
        <v>68.37</v>
      </c>
      <c r="BG409" s="37" t="n">
        <v>56.72</v>
      </c>
      <c r="BH409" s="37" t="n">
        <v>93.13</v>
      </c>
      <c r="BI409" s="37" t="n">
        <v>60.57</v>
      </c>
      <c r="BJ409" s="37" t="n">
        <v>221.08</v>
      </c>
      <c r="BK409" s="37" t="n">
        <v>73.98999999999999</v>
      </c>
      <c r="BL409" s="37" t="n">
        <v>72.86</v>
      </c>
      <c r="BM409" s="37" t="n">
        <v>68.37</v>
      </c>
      <c r="BN409" s="37" t="n">
        <v>55.6</v>
      </c>
      <c r="BO409" s="37" t="n">
        <v>93.13</v>
      </c>
      <c r="BP409" s="37" t="n">
        <v>99.48999999999999</v>
      </c>
      <c r="BQ409" s="37" t="n">
        <v>146.86</v>
      </c>
      <c r="BR409" s="37" t="n">
        <v>69.14</v>
      </c>
      <c r="BS409" s="37" t="n">
        <v>69.36</v>
      </c>
      <c r="BT409" s="37" t="n">
        <v>68.37</v>
      </c>
      <c r="BU409" s="37" t="n">
        <v>69.47</v>
      </c>
      <c r="BV409" s="37" t="n">
        <v>74.62</v>
      </c>
      <c r="BW409" s="37" t="n">
        <v>73.72</v>
      </c>
      <c r="BX409" s="37" t="n">
        <v>81.73</v>
      </c>
      <c r="BY409" s="37" t="n">
        <v>69.14</v>
      </c>
      <c r="BZ409" s="37" t="n">
        <v>70.81999999999999</v>
      </c>
      <c r="CA409" s="37" t="n">
        <v>69.69</v>
      </c>
      <c r="CB409" s="37" t="n">
        <v>55.6</v>
      </c>
      <c r="CC409" s="37" t="n">
        <v>6555.989999999998</v>
      </c>
    </row>
    <row r="410" ht="15.75" customHeight="1" s="57">
      <c r="A410" s="7" t="inlineStr">
        <is>
          <t>NTB</t>
        </is>
      </c>
      <c r="B410" s="7" t="inlineStr">
        <is>
          <t>Lâm Đồng</t>
        </is>
      </c>
      <c r="C410" s="7" t="n">
        <v>21537000</v>
      </c>
      <c r="D410" s="7" t="inlineStr">
        <is>
          <t>(LDO) Lâm Viên - Đà Lạt 2</t>
        </is>
      </c>
      <c r="E410" s="7" t="inlineStr">
        <is>
          <t>Shopee-Bulky</t>
        </is>
      </c>
      <c r="F410" s="36" t="n">
        <v>13.95</v>
      </c>
      <c r="G410" s="36" t="n">
        <v>24.09</v>
      </c>
      <c r="H410" s="36" t="n">
        <v>13.95</v>
      </c>
      <c r="I410" s="36" t="n">
        <v>16.49</v>
      </c>
      <c r="J410" s="36" t="n">
        <v>8.24</v>
      </c>
      <c r="K410" s="28" t="n">
        <v>10.15</v>
      </c>
      <c r="L410" s="36" t="n">
        <v>7.61</v>
      </c>
      <c r="M410" s="36" t="n">
        <v>12.05</v>
      </c>
      <c r="N410" s="36" t="n">
        <v>13.95</v>
      </c>
      <c r="O410" s="36" t="n">
        <v>10.78</v>
      </c>
      <c r="P410" s="36" t="n">
        <v>6.97</v>
      </c>
      <c r="Q410" s="36" t="n">
        <v>8.24</v>
      </c>
      <c r="R410" s="28" t="n">
        <v>8.24</v>
      </c>
      <c r="S410" s="36" t="n">
        <v>10.15</v>
      </c>
      <c r="T410" s="36" t="n">
        <v>8.24</v>
      </c>
      <c r="U410" s="36" t="n">
        <v>9.18</v>
      </c>
      <c r="V410" s="36" t="n">
        <v>8.85</v>
      </c>
      <c r="W410" s="36" t="n">
        <v>12.17</v>
      </c>
      <c r="X410" s="36" t="n">
        <v>6.88</v>
      </c>
      <c r="Y410" s="28" t="n">
        <v>13.47</v>
      </c>
      <c r="Z410" s="36" t="n">
        <v>10.65</v>
      </c>
      <c r="AA410" s="36" t="n">
        <v>10.35</v>
      </c>
      <c r="AB410" s="36" t="n">
        <v>10.47</v>
      </c>
      <c r="AC410" s="36" t="n">
        <v>11</v>
      </c>
      <c r="AD410" s="36" t="n">
        <v>29.63</v>
      </c>
      <c r="AE410" s="36" t="n">
        <v>17.68</v>
      </c>
      <c r="AF410" s="28" t="n">
        <v>26.37</v>
      </c>
      <c r="AG410" s="36" t="n">
        <v>14.97</v>
      </c>
      <c r="AH410" s="37" t="n">
        <v>10.53</v>
      </c>
      <c r="AI410" s="37" t="n">
        <v>10.13</v>
      </c>
      <c r="AJ410" s="37" t="n">
        <v>10.05</v>
      </c>
      <c r="AK410" s="37" t="n">
        <v>22.75</v>
      </c>
      <c r="AL410" s="37" t="n">
        <v>11.57</v>
      </c>
      <c r="AM410" s="37" t="n">
        <v>16.53</v>
      </c>
      <c r="AN410" s="37" t="n">
        <v>10.46</v>
      </c>
      <c r="AO410" s="37" t="n">
        <v>10.25</v>
      </c>
      <c r="AP410" s="37" t="n">
        <v>13.84</v>
      </c>
      <c r="AQ410" s="37" t="n">
        <v>13.76</v>
      </c>
      <c r="AR410" s="37" t="n">
        <v>10.94</v>
      </c>
      <c r="AS410" s="37" t="n">
        <v>6.06</v>
      </c>
      <c r="AT410" s="37" t="n">
        <v>12.37</v>
      </c>
      <c r="AU410" s="37" t="n">
        <v>20.35</v>
      </c>
      <c r="AV410" s="37" t="n">
        <v>21.12</v>
      </c>
      <c r="AW410" s="37" t="n">
        <v>10.28</v>
      </c>
      <c r="AX410" s="37" t="n">
        <v>9.65</v>
      </c>
      <c r="AY410" s="37" t="n">
        <v>10.47</v>
      </c>
      <c r="AZ410" s="37" t="n">
        <v>5.82</v>
      </c>
      <c r="BA410" s="37" t="n">
        <v>11.31</v>
      </c>
      <c r="BB410" s="37" t="n">
        <v>10.51</v>
      </c>
      <c r="BC410" s="37" t="n">
        <v>3.54</v>
      </c>
      <c r="BD410" s="37" t="n">
        <v>9</v>
      </c>
      <c r="BE410" s="37" t="n">
        <v>11.06</v>
      </c>
      <c r="BF410" s="37" t="n">
        <v>9.51</v>
      </c>
      <c r="BG410" s="37" t="n">
        <v>7.9</v>
      </c>
      <c r="BH410" s="37" t="n">
        <v>14.48</v>
      </c>
      <c r="BI410" s="37" t="n">
        <v>12.36</v>
      </c>
      <c r="BJ410" s="37" t="n">
        <v>47.14</v>
      </c>
      <c r="BK410" s="37" t="n">
        <v>26.15</v>
      </c>
      <c r="BL410" s="37" t="n">
        <v>13.47</v>
      </c>
      <c r="BM410" s="37" t="n">
        <v>10.05</v>
      </c>
      <c r="BN410" s="37" t="n">
        <v>7.62</v>
      </c>
      <c r="BO410" s="37" t="n">
        <v>16.83</v>
      </c>
      <c r="BP410" s="37" t="n">
        <v>24.58</v>
      </c>
      <c r="BQ410" s="37" t="n">
        <v>17.78</v>
      </c>
      <c r="BR410" s="37" t="n">
        <v>11.7</v>
      </c>
      <c r="BS410" s="37" t="n">
        <v>11.06</v>
      </c>
      <c r="BT410" s="37" t="n">
        <v>9.51</v>
      </c>
      <c r="BU410" s="37" t="n">
        <v>11.22</v>
      </c>
      <c r="BV410" s="37" t="n">
        <v>15.33</v>
      </c>
      <c r="BW410" s="37" t="n">
        <v>12.36</v>
      </c>
      <c r="BX410" s="37" t="n">
        <v>11.93</v>
      </c>
      <c r="BY410" s="37" t="n">
        <v>11.7</v>
      </c>
      <c r="BZ410" s="37" t="n">
        <v>20.05</v>
      </c>
      <c r="CA410" s="37" t="n">
        <v>11.56</v>
      </c>
      <c r="CB410" s="37" t="n">
        <v>7.53</v>
      </c>
      <c r="CC410" s="37" t="n">
        <v>978.9399999999998</v>
      </c>
    </row>
    <row r="411" ht="15.75" customHeight="1" s="57">
      <c r="A411" s="7" t="inlineStr">
        <is>
          <t>NTB</t>
        </is>
      </c>
      <c r="B411" s="7" t="inlineStr">
        <is>
          <t>Lâm Đồng</t>
        </is>
      </c>
      <c r="C411" s="7" t="n">
        <v>21537000</v>
      </c>
      <c r="D411" s="7" t="inlineStr">
        <is>
          <t>(LDO) Lâm Viên - Đà Lạt 2</t>
        </is>
      </c>
      <c r="E411" s="7" t="inlineStr">
        <is>
          <t>Shopee-Bulky (10-15kg)</t>
        </is>
      </c>
      <c r="F411" s="36" t="n">
        <v>8.050000000000001</v>
      </c>
      <c r="G411" s="36" t="n">
        <v>13.91</v>
      </c>
      <c r="H411" s="36" t="n">
        <v>8.050000000000001</v>
      </c>
      <c r="I411" s="36" t="n">
        <v>9.51</v>
      </c>
      <c r="J411" s="36" t="n">
        <v>4.76</v>
      </c>
      <c r="K411" s="28" t="n">
        <v>5.85</v>
      </c>
      <c r="L411" s="36" t="n">
        <v>4.39</v>
      </c>
      <c r="M411" s="36" t="n">
        <v>6.95</v>
      </c>
      <c r="N411" s="36" t="n">
        <v>8.050000000000001</v>
      </c>
      <c r="O411" s="36" t="n">
        <v>6.22</v>
      </c>
      <c r="P411" s="36" t="n">
        <v>4.03</v>
      </c>
      <c r="Q411" s="36" t="n">
        <v>4.76</v>
      </c>
      <c r="R411" s="28" t="n">
        <v>4.76</v>
      </c>
      <c r="S411" s="36" t="n">
        <v>5.85</v>
      </c>
      <c r="T411" s="36" t="n">
        <v>4.76</v>
      </c>
      <c r="U411" s="36" t="n">
        <v>5.52</v>
      </c>
      <c r="V411" s="36" t="n">
        <v>5.28</v>
      </c>
      <c r="W411" s="36" t="n">
        <v>6.96</v>
      </c>
      <c r="X411" s="36" t="n">
        <v>3.94</v>
      </c>
      <c r="Y411" s="28" t="n">
        <v>7.82</v>
      </c>
      <c r="Z411" s="36" t="n">
        <v>6.1</v>
      </c>
      <c r="AA411" s="36" t="n">
        <v>5.73</v>
      </c>
      <c r="AB411" s="36" t="n">
        <v>6</v>
      </c>
      <c r="AC411" s="36" t="n">
        <v>6.21</v>
      </c>
      <c r="AD411" s="36" t="n">
        <v>23.74</v>
      </c>
      <c r="AE411" s="36" t="n">
        <v>9.91</v>
      </c>
      <c r="AF411" s="28" t="n">
        <v>14.46</v>
      </c>
      <c r="AG411" s="36" t="n">
        <v>8.630000000000001</v>
      </c>
      <c r="AH411" s="37" t="n">
        <v>6.01</v>
      </c>
      <c r="AI411" s="37" t="n">
        <v>5.85</v>
      </c>
      <c r="AJ411" s="37" t="n">
        <v>5.67</v>
      </c>
      <c r="AK411" s="37" t="n">
        <v>13.35</v>
      </c>
      <c r="AL411" s="37" t="n">
        <v>6.48</v>
      </c>
      <c r="AM411" s="37" t="n">
        <v>9.59</v>
      </c>
      <c r="AN411" s="37" t="n">
        <v>6.03</v>
      </c>
      <c r="AO411" s="37" t="n">
        <v>5.78</v>
      </c>
      <c r="AP411" s="37" t="n">
        <v>7.61</v>
      </c>
      <c r="AQ411" s="37" t="n">
        <v>7.76</v>
      </c>
      <c r="AR411" s="37" t="n">
        <v>6.29</v>
      </c>
      <c r="AS411" s="37" t="n">
        <v>3.45</v>
      </c>
      <c r="AT411" s="37" t="n">
        <v>7.16</v>
      </c>
      <c r="AU411" s="37" t="n">
        <v>12.11</v>
      </c>
      <c r="AV411" s="37" t="n">
        <v>12.14</v>
      </c>
      <c r="AW411" s="37" t="n">
        <v>5.84</v>
      </c>
      <c r="AX411" s="37" t="n">
        <v>5.41</v>
      </c>
      <c r="AY411" s="37" t="n">
        <v>6.03</v>
      </c>
      <c r="AZ411" s="37" t="n">
        <v>3.32</v>
      </c>
      <c r="BA411" s="37" t="n">
        <v>6.54</v>
      </c>
      <c r="BB411" s="37" t="n">
        <v>6.07</v>
      </c>
      <c r="BC411" s="37" t="n">
        <v>2.12</v>
      </c>
      <c r="BD411" s="37" t="n">
        <v>5.09</v>
      </c>
      <c r="BE411" s="37" t="n">
        <v>6.34</v>
      </c>
      <c r="BF411" s="37" t="n">
        <v>5.53</v>
      </c>
      <c r="BG411" s="37" t="n">
        <v>4.54</v>
      </c>
      <c r="BH411" s="37" t="n">
        <v>8.48</v>
      </c>
      <c r="BI411" s="37" t="n">
        <v>7.16</v>
      </c>
      <c r="BJ411" s="37" t="n">
        <v>32.7</v>
      </c>
      <c r="BK411" s="37" t="n">
        <v>15.17</v>
      </c>
      <c r="BL411" s="37" t="n">
        <v>7.79</v>
      </c>
      <c r="BM411" s="37" t="n">
        <v>5.75</v>
      </c>
      <c r="BN411" s="37" t="n">
        <v>4.45</v>
      </c>
      <c r="BO411" s="37" t="n">
        <v>9.65</v>
      </c>
      <c r="BP411" s="37" t="n">
        <v>14.3</v>
      </c>
      <c r="BQ411" s="37" t="n">
        <v>10.34</v>
      </c>
      <c r="BR411" s="37" t="n">
        <v>6.72</v>
      </c>
      <c r="BS411" s="37" t="n">
        <v>6.34</v>
      </c>
      <c r="BT411" s="37" t="n">
        <v>5.53</v>
      </c>
      <c r="BU411" s="37" t="n">
        <v>6.41</v>
      </c>
      <c r="BV411" s="37" t="n">
        <v>8.81</v>
      </c>
      <c r="BW411" s="37" t="n">
        <v>7.16</v>
      </c>
      <c r="BX411" s="37" t="n">
        <v>6.83</v>
      </c>
      <c r="BY411" s="37" t="n">
        <v>6.72</v>
      </c>
      <c r="BZ411" s="37" t="n">
        <v>11.62</v>
      </c>
      <c r="CA411" s="37" t="n">
        <v>6.62</v>
      </c>
      <c r="CB411" s="37" t="n">
        <v>4.28</v>
      </c>
      <c r="CC411" s="37" t="n">
        <v>575.1399999999999</v>
      </c>
    </row>
    <row r="412" ht="15.75" customHeight="1" s="57">
      <c r="A412" s="7" t="inlineStr">
        <is>
          <t>NTB</t>
        </is>
      </c>
      <c r="B412" s="7" t="inlineStr">
        <is>
          <t>Lâm Đồng</t>
        </is>
      </c>
      <c r="C412" s="7" t="n">
        <v>21537000</v>
      </c>
      <c r="D412" s="7" t="inlineStr">
        <is>
          <t>(LDO) Lâm Viên - Đà Lạt 2</t>
        </is>
      </c>
      <c r="E412" s="7" t="inlineStr">
        <is>
          <t>TTS</t>
        </is>
      </c>
      <c r="F412" s="36" t="n">
        <v>143</v>
      </c>
      <c r="G412" s="36" t="n">
        <v>161</v>
      </c>
      <c r="H412" s="36" t="n">
        <v>132</v>
      </c>
      <c r="I412" s="36" t="n">
        <v>94</v>
      </c>
      <c r="J412" s="36" t="n">
        <v>98</v>
      </c>
      <c r="K412" s="28" t="n">
        <v>102</v>
      </c>
      <c r="L412" s="36" t="n">
        <v>99</v>
      </c>
      <c r="M412" s="36" t="n">
        <v>103</v>
      </c>
      <c r="N412" s="36" t="n">
        <v>74</v>
      </c>
      <c r="O412" s="36" t="n">
        <v>122</v>
      </c>
      <c r="P412" s="36" t="n">
        <v>59</v>
      </c>
      <c r="Q412" s="36" t="n">
        <v>115</v>
      </c>
      <c r="R412" s="28" t="n">
        <v>64</v>
      </c>
      <c r="S412" s="36" t="n">
        <v>99</v>
      </c>
      <c r="T412" s="36" t="n">
        <v>98</v>
      </c>
      <c r="U412" s="36" t="n">
        <v>66.41</v>
      </c>
      <c r="V412" s="36" t="n">
        <v>65.27999999999999</v>
      </c>
      <c r="W412" s="36" t="n">
        <v>63.8</v>
      </c>
      <c r="X412" s="36" t="n">
        <v>51.51000000000001</v>
      </c>
      <c r="Y412" s="28" t="n">
        <v>74.8</v>
      </c>
      <c r="Z412" s="36" t="n">
        <v>63.66</v>
      </c>
      <c r="AA412" s="36" t="n">
        <v>70.64</v>
      </c>
      <c r="AB412" s="36" t="n">
        <v>78.52</v>
      </c>
      <c r="AC412" s="36" t="n">
        <v>82.67</v>
      </c>
      <c r="AD412" s="36" t="n">
        <v>84.62</v>
      </c>
      <c r="AE412" s="36" t="n">
        <v>59.84</v>
      </c>
      <c r="AF412" s="28" t="n">
        <v>77.34999999999999</v>
      </c>
      <c r="AG412" s="36" t="n">
        <v>64.91</v>
      </c>
      <c r="AH412" s="37" t="n">
        <v>64.2</v>
      </c>
      <c r="AI412" s="37" t="n">
        <v>73.44</v>
      </c>
      <c r="AJ412" s="37" t="n">
        <v>78.97</v>
      </c>
      <c r="AK412" s="37" t="n">
        <v>77.86999999999999</v>
      </c>
      <c r="AL412" s="37" t="n">
        <v>55.5</v>
      </c>
      <c r="AM412" s="37" t="n">
        <v>76.20999999999999</v>
      </c>
      <c r="AN412" s="37" t="n">
        <v>65.75</v>
      </c>
      <c r="AO412" s="37" t="n">
        <v>65.39999999999999</v>
      </c>
      <c r="AP412" s="37" t="n">
        <v>63.4</v>
      </c>
      <c r="AQ412" s="37" t="n">
        <v>63.95</v>
      </c>
      <c r="AR412" s="37" t="n">
        <v>62.9</v>
      </c>
      <c r="AS412" s="37" t="n">
        <v>51.77</v>
      </c>
      <c r="AT412" s="37" t="n">
        <v>82.36999999999999</v>
      </c>
      <c r="AU412" s="37" t="n">
        <v>74.53</v>
      </c>
      <c r="AV412" s="37" t="n">
        <v>66.31</v>
      </c>
      <c r="AW412" s="37" t="n">
        <v>62.62</v>
      </c>
      <c r="AX412" s="37" t="n">
        <v>62.15</v>
      </c>
      <c r="AY412" s="37" t="n">
        <v>62.07</v>
      </c>
      <c r="AZ412" s="37" t="n">
        <v>51.77</v>
      </c>
      <c r="BA412" s="37" t="n">
        <v>74.20999999999999</v>
      </c>
      <c r="BB412" s="37" t="n">
        <v>69.37</v>
      </c>
      <c r="BC412" s="37" t="n">
        <v>41.32</v>
      </c>
      <c r="BD412" s="37" t="n">
        <v>59.81</v>
      </c>
      <c r="BE412" s="37" t="n">
        <v>70.41</v>
      </c>
      <c r="BF412" s="37" t="n">
        <v>68.47999999999999</v>
      </c>
      <c r="BG412" s="37" t="n">
        <v>55.61</v>
      </c>
      <c r="BH412" s="37" t="n">
        <v>82.20999999999999</v>
      </c>
      <c r="BI412" s="37" t="n">
        <v>69.37</v>
      </c>
      <c r="BJ412" s="37" t="n">
        <v>64.26000000000001</v>
      </c>
      <c r="BK412" s="37" t="n">
        <v>70.33</v>
      </c>
      <c r="BL412" s="37" t="n">
        <v>70.41</v>
      </c>
      <c r="BM412" s="37" t="n">
        <v>68.47999999999999</v>
      </c>
      <c r="BN412" s="37" t="n">
        <v>55.61</v>
      </c>
      <c r="BO412" s="37" t="n">
        <v>82.20999999999999</v>
      </c>
      <c r="BP412" s="37" t="n">
        <v>69.37</v>
      </c>
      <c r="BQ412" s="37" t="n">
        <v>68.61</v>
      </c>
      <c r="BR412" s="37" t="n">
        <v>70.33</v>
      </c>
      <c r="BS412" s="37" t="n">
        <v>70.41</v>
      </c>
      <c r="BT412" s="37" t="n">
        <v>68.47999999999999</v>
      </c>
      <c r="BU412" s="37" t="n">
        <v>55.61</v>
      </c>
      <c r="BV412" s="37" t="n">
        <v>82.20999999999999</v>
      </c>
      <c r="BW412" s="37" t="n">
        <v>69.37</v>
      </c>
      <c r="BX412" s="37" t="n">
        <v>68.61</v>
      </c>
      <c r="BY412" s="37" t="n">
        <v>70.33</v>
      </c>
      <c r="BZ412" s="37" t="n">
        <v>70.41</v>
      </c>
      <c r="CA412" s="37" t="n">
        <v>68.47999999999999</v>
      </c>
      <c r="CB412" s="37" t="n">
        <v>55.61</v>
      </c>
      <c r="CC412" s="37" t="n">
        <v>5618.109999999996</v>
      </c>
    </row>
    <row r="413" ht="15.75" customHeight="1" s="57">
      <c r="A413" s="7" t="inlineStr">
        <is>
          <t>NTB</t>
        </is>
      </c>
      <c r="B413" s="7" t="inlineStr">
        <is>
          <t>Lâm Đồng</t>
        </is>
      </c>
      <c r="C413" s="7" t="n">
        <v>21537000</v>
      </c>
      <c r="D413" s="7" t="inlineStr">
        <is>
          <t>(LDO) Lâm Viên - Đà Lạt 2</t>
        </is>
      </c>
      <c r="E413" s="7" t="inlineStr">
        <is>
          <t>TTS-Bulky</t>
        </is>
      </c>
      <c r="F413" s="36" t="n">
        <v>0</v>
      </c>
      <c r="G413" s="36" t="n">
        <v>0</v>
      </c>
      <c r="H413" s="36" t="n">
        <v>1</v>
      </c>
      <c r="I413" s="36" t="n">
        <v>2</v>
      </c>
      <c r="J413" s="36" t="n">
        <v>1</v>
      </c>
      <c r="K413" s="28" t="n">
        <v>0</v>
      </c>
      <c r="L413" s="36" t="n">
        <v>1</v>
      </c>
      <c r="M413" s="36" t="n">
        <v>1</v>
      </c>
      <c r="N413" s="36" t="n">
        <v>3</v>
      </c>
      <c r="O413" s="36" t="n">
        <v>0</v>
      </c>
      <c r="P413" s="36" t="n">
        <v>0</v>
      </c>
      <c r="Q413" s="36" t="n">
        <v>1</v>
      </c>
      <c r="R413" s="28" t="n">
        <v>0</v>
      </c>
      <c r="S413" s="36" t="n">
        <v>0</v>
      </c>
      <c r="T413" s="36" t="n">
        <v>1</v>
      </c>
      <c r="U413" s="36" t="n">
        <v>2.47</v>
      </c>
      <c r="V413" s="36" t="n">
        <v>2.51</v>
      </c>
      <c r="W413" s="36" t="n">
        <v>1.18</v>
      </c>
      <c r="X413" s="36" t="n">
        <v>0.85</v>
      </c>
      <c r="Y413" s="28" t="n">
        <v>1.54</v>
      </c>
      <c r="Z413" s="36" t="n">
        <v>1.23</v>
      </c>
      <c r="AA413" s="36" t="n">
        <v>1.31</v>
      </c>
      <c r="AB413" s="36" t="n">
        <v>1.36</v>
      </c>
      <c r="AC413" s="36" t="n">
        <v>1.43</v>
      </c>
      <c r="AD413" s="36" t="n">
        <v>2.14</v>
      </c>
      <c r="AE413" s="36" t="n">
        <v>0.96</v>
      </c>
      <c r="AF413" s="28" t="n">
        <v>1.53</v>
      </c>
      <c r="AG413" s="36" t="n">
        <v>1.17</v>
      </c>
      <c r="AH413" s="37" t="n">
        <v>1.17</v>
      </c>
      <c r="AI413" s="37" t="n">
        <v>1.18</v>
      </c>
      <c r="AJ413" s="37" t="n">
        <v>1.34</v>
      </c>
      <c r="AK413" s="37" t="n">
        <v>1.28</v>
      </c>
      <c r="AL413" s="37" t="n">
        <v>0.91</v>
      </c>
      <c r="AM413" s="37" t="n">
        <v>1.53</v>
      </c>
      <c r="AN413" s="37" t="n">
        <v>1.18</v>
      </c>
      <c r="AO413" s="37" t="n">
        <v>1.17</v>
      </c>
      <c r="AP413" s="37" t="n">
        <v>1.17</v>
      </c>
      <c r="AQ413" s="37" t="n">
        <v>1.28</v>
      </c>
      <c r="AR413" s="37" t="n">
        <v>1.18</v>
      </c>
      <c r="AS413" s="37" t="n">
        <v>0.88</v>
      </c>
      <c r="AT413" s="37" t="n">
        <v>1.59</v>
      </c>
      <c r="AU413" s="37" t="n">
        <v>1.36</v>
      </c>
      <c r="AV413" s="37" t="n">
        <v>1.2</v>
      </c>
      <c r="AW413" s="37" t="n">
        <v>1.15</v>
      </c>
      <c r="AX413" s="37" t="n">
        <v>1.28</v>
      </c>
      <c r="AY413" s="37" t="n">
        <v>1.17</v>
      </c>
      <c r="AZ413" s="37" t="n">
        <v>0.88</v>
      </c>
      <c r="BA413" s="37" t="n">
        <v>1.34</v>
      </c>
      <c r="BB413" s="37" t="n">
        <v>0.32</v>
      </c>
      <c r="BC413" s="37" t="n">
        <v>0.2</v>
      </c>
      <c r="BD413" s="37" t="n">
        <v>0.25</v>
      </c>
      <c r="BE413" s="37" t="n">
        <v>0.33</v>
      </c>
      <c r="BF413" s="37" t="n">
        <v>0.33</v>
      </c>
      <c r="BG413" s="37" t="n">
        <v>0.22</v>
      </c>
      <c r="BH413" s="37" t="n">
        <v>0.43</v>
      </c>
      <c r="BI413" s="37" t="n">
        <v>0.33</v>
      </c>
      <c r="BJ413" s="37" t="n">
        <v>0.54</v>
      </c>
      <c r="BK413" s="37" t="n">
        <v>0.35</v>
      </c>
      <c r="BL413" s="37" t="n">
        <v>0.33</v>
      </c>
      <c r="BM413" s="37" t="n">
        <v>0.33</v>
      </c>
      <c r="BN413" s="37" t="n">
        <v>0.25</v>
      </c>
      <c r="BO413" s="37" t="n">
        <v>0.49</v>
      </c>
      <c r="BP413" s="37" t="n">
        <v>0.38</v>
      </c>
      <c r="BQ413" s="37" t="n">
        <v>0.35</v>
      </c>
      <c r="BR413" s="37" t="n">
        <v>0.35</v>
      </c>
      <c r="BS413" s="37" t="n">
        <v>0.33</v>
      </c>
      <c r="BT413" s="37" t="n">
        <v>0.33</v>
      </c>
      <c r="BU413" s="37" t="n">
        <v>0.22</v>
      </c>
      <c r="BV413" s="37" t="n">
        <v>0.36</v>
      </c>
      <c r="BW413" s="37" t="n">
        <v>0.33</v>
      </c>
      <c r="BX413" s="37" t="n">
        <v>0.35</v>
      </c>
      <c r="BY413" s="37" t="n">
        <v>0.35</v>
      </c>
      <c r="BZ413" s="37" t="n">
        <v>0.33</v>
      </c>
      <c r="CA413" s="37" t="n">
        <v>0.33</v>
      </c>
      <c r="CB413" s="37" t="n">
        <v>0.22</v>
      </c>
      <c r="CC413" s="37" t="n">
        <v>63.85000000000002</v>
      </c>
    </row>
    <row r="414" ht="15.75" customHeight="1" s="57">
      <c r="A414" s="7" t="inlineStr">
        <is>
          <t>NTB</t>
        </is>
      </c>
      <c r="B414" s="7" t="inlineStr">
        <is>
          <t>Lâm Đồng</t>
        </is>
      </c>
      <c r="C414" s="7" t="n">
        <v>21605000</v>
      </c>
      <c r="D414" s="7" t="inlineStr">
        <is>
          <t>Kho Giao Hàng Nặng - Đức Trọng - Lâm Đồng</t>
        </is>
      </c>
      <c r="E414" s="7" t="inlineStr">
        <is>
          <t>SME</t>
        </is>
      </c>
      <c r="F414" s="36" t="n">
        <v>3</v>
      </c>
      <c r="G414" s="36" t="n">
        <v>1</v>
      </c>
      <c r="H414" s="36" t="n">
        <v>1</v>
      </c>
      <c r="I414" s="36" t="n">
        <v>0</v>
      </c>
      <c r="J414" s="36" t="n">
        <v>2</v>
      </c>
      <c r="K414" s="28" t="n">
        <v>2</v>
      </c>
      <c r="L414" s="36" t="n">
        <v>0</v>
      </c>
      <c r="M414" s="36" t="n">
        <v>0</v>
      </c>
      <c r="N414" s="36" t="n">
        <v>0</v>
      </c>
      <c r="O414" s="36" t="n">
        <v>0</v>
      </c>
      <c r="P414" s="36" t="n">
        <v>3</v>
      </c>
      <c r="Q414" s="36" t="n">
        <v>0</v>
      </c>
      <c r="R414" s="28" t="n">
        <v>1</v>
      </c>
      <c r="S414" s="36" t="n">
        <v>0</v>
      </c>
      <c r="T414" s="36" t="n">
        <v>3</v>
      </c>
      <c r="U414" s="36" t="n">
        <v>23.87</v>
      </c>
      <c r="V414" s="36" t="n">
        <v>24.92</v>
      </c>
      <c r="W414" s="36" t="n">
        <v>24.22</v>
      </c>
      <c r="X414" s="36" t="n">
        <v>19.67</v>
      </c>
      <c r="Y414" s="28" t="n">
        <v>26.68</v>
      </c>
      <c r="Z414" s="36" t="n">
        <v>24.58</v>
      </c>
      <c r="AA414" s="36" t="n">
        <v>24.08</v>
      </c>
      <c r="AB414" s="36" t="n">
        <v>23.87</v>
      </c>
      <c r="AC414" s="36" t="n">
        <v>24.92</v>
      </c>
      <c r="AD414" s="36" t="n">
        <v>24.79</v>
      </c>
      <c r="AE414" s="36" t="n">
        <v>19.67</v>
      </c>
      <c r="AF414" s="28" t="n">
        <v>26.68</v>
      </c>
      <c r="AG414" s="36" t="n">
        <v>24.58</v>
      </c>
      <c r="AH414" s="37" t="n">
        <v>24.08</v>
      </c>
      <c r="AI414" s="37" t="n">
        <v>23.87</v>
      </c>
      <c r="AJ414" s="37" t="n">
        <v>24.92</v>
      </c>
      <c r="AK414" s="37" t="n">
        <v>24.22</v>
      </c>
      <c r="AL414" s="37" t="n">
        <v>19.67</v>
      </c>
      <c r="AM414" s="37" t="n">
        <v>26.68</v>
      </c>
      <c r="AN414" s="37" t="n">
        <v>24.58</v>
      </c>
      <c r="AO414" s="37" t="n">
        <v>24.08</v>
      </c>
      <c r="AP414" s="37" t="n">
        <v>23.87</v>
      </c>
      <c r="AQ414" s="37" t="n">
        <v>24.92</v>
      </c>
      <c r="AR414" s="37" t="n">
        <v>24.22</v>
      </c>
      <c r="AS414" s="37" t="n">
        <v>19.67</v>
      </c>
      <c r="AT414" s="37" t="n">
        <v>26.68</v>
      </c>
      <c r="AU414" s="37" t="n">
        <v>24.58</v>
      </c>
      <c r="AV414" s="37" t="n">
        <v>24.08</v>
      </c>
      <c r="AW414" s="37" t="n">
        <v>23.87</v>
      </c>
      <c r="AX414" s="37" t="n">
        <v>24.92</v>
      </c>
      <c r="AY414" s="37" t="n">
        <v>24.22</v>
      </c>
      <c r="AZ414" s="37" t="n">
        <v>19.67</v>
      </c>
      <c r="BA414" s="37" t="n">
        <v>24.15</v>
      </c>
      <c r="BB414" s="37" t="n">
        <v>21.42</v>
      </c>
      <c r="BC414" s="37" t="n">
        <v>13.89</v>
      </c>
      <c r="BD414" s="37" t="n">
        <v>13.68</v>
      </c>
      <c r="BE414" s="37" t="n">
        <v>22.56</v>
      </c>
      <c r="BF414" s="37" t="n">
        <v>22.19</v>
      </c>
      <c r="BG414" s="37" t="n">
        <v>19.96</v>
      </c>
      <c r="BH414" s="37" t="n">
        <v>27.13</v>
      </c>
      <c r="BI414" s="37" t="n">
        <v>24.95</v>
      </c>
      <c r="BJ414" s="37" t="n">
        <v>25.1</v>
      </c>
      <c r="BK414" s="37" t="n">
        <v>24.25</v>
      </c>
      <c r="BL414" s="37" t="n">
        <v>25.3</v>
      </c>
      <c r="BM414" s="37" t="n">
        <v>24.59</v>
      </c>
      <c r="BN414" s="37" t="n">
        <v>19.96</v>
      </c>
      <c r="BO414" s="37" t="n">
        <v>27.13</v>
      </c>
      <c r="BP414" s="37" t="n">
        <v>24.95</v>
      </c>
      <c r="BQ414" s="37" t="n">
        <v>24.45</v>
      </c>
      <c r="BR414" s="37" t="n">
        <v>24.25</v>
      </c>
      <c r="BS414" s="37" t="n">
        <v>25.3</v>
      </c>
      <c r="BT414" s="37" t="n">
        <v>24.59</v>
      </c>
      <c r="BU414" s="37" t="n">
        <v>19.96</v>
      </c>
      <c r="BV414" s="37" t="n">
        <v>27.13</v>
      </c>
      <c r="BW414" s="37" t="n">
        <v>24.95</v>
      </c>
      <c r="BX414" s="37" t="n">
        <v>24.45</v>
      </c>
      <c r="BY414" s="37" t="n">
        <v>24.25</v>
      </c>
      <c r="BZ414" s="37" t="n">
        <v>25.3</v>
      </c>
      <c r="CA414" s="37" t="n">
        <v>24.59</v>
      </c>
      <c r="CB414" s="37" t="n">
        <v>19.96</v>
      </c>
      <c r="CC414" s="37" t="n">
        <v>1431.72</v>
      </c>
    </row>
    <row r="415" ht="15.75" customHeight="1" s="57">
      <c r="A415" s="7" t="inlineStr">
        <is>
          <t>NTB</t>
        </is>
      </c>
      <c r="B415" s="7" t="inlineStr">
        <is>
          <t>Lâm Đồng</t>
        </is>
      </c>
      <c r="C415" s="7" t="n">
        <v>21605000</v>
      </c>
      <c r="D415" s="7" t="inlineStr">
        <is>
          <t>Kho Giao Hàng Nặng - Đức Trọng - Lâm Đồng</t>
        </is>
      </c>
      <c r="E415" s="7" t="inlineStr">
        <is>
          <t>SME-Bulky</t>
        </is>
      </c>
      <c r="F415" s="36" t="n">
        <v>31</v>
      </c>
      <c r="G415" s="36" t="n">
        <v>36</v>
      </c>
      <c r="H415" s="36" t="n">
        <v>25</v>
      </c>
      <c r="I415" s="36" t="n">
        <v>23</v>
      </c>
      <c r="J415" s="36" t="n">
        <v>36</v>
      </c>
      <c r="K415" s="28" t="n">
        <v>25</v>
      </c>
      <c r="L415" s="36" t="n">
        <v>15</v>
      </c>
      <c r="M415" s="36" t="n">
        <v>25</v>
      </c>
      <c r="N415" s="36" t="n">
        <v>34</v>
      </c>
      <c r="O415" s="36" t="n">
        <v>23</v>
      </c>
      <c r="P415" s="36" t="n">
        <v>45</v>
      </c>
      <c r="Q415" s="36" t="n">
        <v>11</v>
      </c>
      <c r="R415" s="28" t="n">
        <v>35</v>
      </c>
      <c r="S415" s="36" t="n">
        <v>30</v>
      </c>
      <c r="T415" s="36" t="n">
        <v>38</v>
      </c>
      <c r="U415" s="36" t="n">
        <v>30.71</v>
      </c>
      <c r="V415" s="36" t="n">
        <v>30.38</v>
      </c>
      <c r="W415" s="36" t="n">
        <v>28.72</v>
      </c>
      <c r="X415" s="36" t="n">
        <v>19.12</v>
      </c>
      <c r="Y415" s="28" t="n">
        <v>34.31</v>
      </c>
      <c r="Z415" s="36" t="n">
        <v>32.78</v>
      </c>
      <c r="AA415" s="36" t="n">
        <v>32.31</v>
      </c>
      <c r="AB415" s="36" t="n">
        <v>30.71</v>
      </c>
      <c r="AC415" s="36" t="n">
        <v>30.38</v>
      </c>
      <c r="AD415" s="36" t="n">
        <v>26.98</v>
      </c>
      <c r="AE415" s="36" t="n">
        <v>19.12</v>
      </c>
      <c r="AF415" s="28" t="n">
        <v>34.31</v>
      </c>
      <c r="AG415" s="36" t="n">
        <v>32.78</v>
      </c>
      <c r="AH415" s="37" t="n">
        <v>32.31</v>
      </c>
      <c r="AI415" s="37" t="n">
        <v>30.71</v>
      </c>
      <c r="AJ415" s="37" t="n">
        <v>30.38</v>
      </c>
      <c r="AK415" s="37" t="n">
        <v>28.72</v>
      </c>
      <c r="AL415" s="37" t="n">
        <v>19.12</v>
      </c>
      <c r="AM415" s="37" t="n">
        <v>34.31</v>
      </c>
      <c r="AN415" s="37" t="n">
        <v>32.78</v>
      </c>
      <c r="AO415" s="37" t="n">
        <v>32.31</v>
      </c>
      <c r="AP415" s="37" t="n">
        <v>30.71</v>
      </c>
      <c r="AQ415" s="37" t="n">
        <v>30.38</v>
      </c>
      <c r="AR415" s="37" t="n">
        <v>28.72</v>
      </c>
      <c r="AS415" s="37" t="n">
        <v>19.12</v>
      </c>
      <c r="AT415" s="37" t="n">
        <v>34.31</v>
      </c>
      <c r="AU415" s="37" t="n">
        <v>32.78</v>
      </c>
      <c r="AV415" s="37" t="n">
        <v>32.31</v>
      </c>
      <c r="AW415" s="37" t="n">
        <v>30.71</v>
      </c>
      <c r="AX415" s="37" t="n">
        <v>30.38</v>
      </c>
      <c r="AY415" s="37" t="n">
        <v>28.72</v>
      </c>
      <c r="AZ415" s="37" t="n">
        <v>19.12</v>
      </c>
      <c r="BA415" s="37" t="n">
        <v>34.45</v>
      </c>
      <c r="BB415" s="37" t="n">
        <v>18.12</v>
      </c>
      <c r="BC415" s="37" t="n">
        <v>9.19</v>
      </c>
      <c r="BD415" s="37" t="n">
        <v>8.33</v>
      </c>
      <c r="BE415" s="37" t="n">
        <v>15.86</v>
      </c>
      <c r="BF415" s="37" t="n">
        <v>14.72</v>
      </c>
      <c r="BG415" s="37" t="n">
        <v>11.46</v>
      </c>
      <c r="BH415" s="37" t="n">
        <v>19.92</v>
      </c>
      <c r="BI415" s="37" t="n">
        <v>19.79</v>
      </c>
      <c r="BJ415" s="37" t="n">
        <v>17.12</v>
      </c>
      <c r="BK415" s="37" t="n">
        <v>18.19</v>
      </c>
      <c r="BL415" s="37" t="n">
        <v>18.26</v>
      </c>
      <c r="BM415" s="37" t="n">
        <v>16.99</v>
      </c>
      <c r="BN415" s="37" t="n">
        <v>11.46</v>
      </c>
      <c r="BO415" s="37" t="n">
        <v>19.92</v>
      </c>
      <c r="BP415" s="37" t="n">
        <v>19.79</v>
      </c>
      <c r="BQ415" s="37" t="n">
        <v>18.86</v>
      </c>
      <c r="BR415" s="37" t="n">
        <v>18.19</v>
      </c>
      <c r="BS415" s="37" t="n">
        <v>18.26</v>
      </c>
      <c r="BT415" s="37" t="n">
        <v>16.99</v>
      </c>
      <c r="BU415" s="37" t="n">
        <v>11.46</v>
      </c>
      <c r="BV415" s="37" t="n">
        <v>19.92</v>
      </c>
      <c r="BW415" s="37" t="n">
        <v>19.79</v>
      </c>
      <c r="BX415" s="37" t="n">
        <v>18.86</v>
      </c>
      <c r="BY415" s="37" t="n">
        <v>18.19</v>
      </c>
      <c r="BZ415" s="37" t="n">
        <v>18.26</v>
      </c>
      <c r="CA415" s="37" t="n">
        <v>16.99</v>
      </c>
      <c r="CB415" s="37" t="n">
        <v>11.46</v>
      </c>
      <c r="CC415" s="37" t="n">
        <v>1853.31</v>
      </c>
    </row>
    <row r="416" ht="15.75" customHeight="1" s="57">
      <c r="A416" s="7" t="inlineStr">
        <is>
          <t>NTB</t>
        </is>
      </c>
      <c r="B416" s="7" t="inlineStr">
        <is>
          <t>Lâm Đồng</t>
        </is>
      </c>
      <c r="C416" s="7" t="n">
        <v>21605000</v>
      </c>
      <c r="D416" s="7" t="inlineStr">
        <is>
          <t>Kho Giao Hàng Nặng - Đức Trọng - Lâm Đồng</t>
        </is>
      </c>
      <c r="E416" s="7" t="inlineStr">
        <is>
          <t>Shopee</t>
        </is>
      </c>
      <c r="F416" s="36" t="n">
        <v>0</v>
      </c>
      <c r="G416" s="36" t="n">
        <v>0</v>
      </c>
      <c r="H416" s="36" t="n">
        <v>0</v>
      </c>
      <c r="I416" s="36" t="n">
        <v>0</v>
      </c>
      <c r="J416" s="36" t="n">
        <v>1</v>
      </c>
      <c r="K416" s="28" t="n">
        <v>0</v>
      </c>
      <c r="L416" s="36" t="n">
        <v>0</v>
      </c>
      <c r="M416" s="36" t="n">
        <v>1</v>
      </c>
      <c r="N416" s="36" t="n">
        <v>0</v>
      </c>
      <c r="O416" s="36" t="n">
        <v>1</v>
      </c>
      <c r="P416" s="36" t="n">
        <v>0</v>
      </c>
      <c r="Q416" s="36" t="n">
        <v>1</v>
      </c>
      <c r="R416" s="28" t="n">
        <v>0</v>
      </c>
      <c r="S416" s="36" t="n">
        <v>0</v>
      </c>
      <c r="T416" s="36" t="n">
        <v>0</v>
      </c>
      <c r="U416" s="36" t="n">
        <v>0.22</v>
      </c>
      <c r="V416" s="36" t="n">
        <v>0.22</v>
      </c>
      <c r="W416" s="36" t="n">
        <v>0.22</v>
      </c>
      <c r="X416" s="36" t="n">
        <v>0.18</v>
      </c>
      <c r="Y416" s="28" t="n">
        <v>0.3</v>
      </c>
      <c r="Z416" s="36" t="n">
        <v>0.24</v>
      </c>
      <c r="AA416" s="36" t="n">
        <v>0.32</v>
      </c>
      <c r="AB416" s="36" t="n">
        <v>0.23</v>
      </c>
      <c r="AC416" s="36" t="n">
        <v>0.18</v>
      </c>
      <c r="AD416" s="36" t="n">
        <v>0.47</v>
      </c>
      <c r="AE416" s="36" t="n">
        <v>0.19</v>
      </c>
      <c r="AF416" s="28" t="n">
        <v>0.34</v>
      </c>
      <c r="AG416" s="36" t="n">
        <v>0.25</v>
      </c>
      <c r="AH416" s="37" t="n">
        <v>0.26</v>
      </c>
      <c r="AI416" s="37" t="n">
        <v>0.22</v>
      </c>
      <c r="AJ416" s="37" t="n">
        <v>0.22</v>
      </c>
      <c r="AK416" s="37" t="n">
        <v>0.3</v>
      </c>
      <c r="AL416" s="37" t="n">
        <v>0.32</v>
      </c>
      <c r="AM416" s="37" t="n">
        <v>0.3</v>
      </c>
      <c r="AN416" s="37" t="n">
        <v>0.24</v>
      </c>
      <c r="AO416" s="37" t="n">
        <v>0.26</v>
      </c>
      <c r="AP416" s="37" t="n">
        <v>0.28</v>
      </c>
      <c r="AQ416" s="37" t="n">
        <v>0.18</v>
      </c>
      <c r="AR416" s="37" t="n">
        <v>0.22</v>
      </c>
      <c r="AS416" s="37" t="n">
        <v>0.18</v>
      </c>
      <c r="AT416" s="37" t="n">
        <v>0.3</v>
      </c>
      <c r="AU416" s="37" t="n">
        <v>0.24</v>
      </c>
      <c r="AV416" s="37" t="n">
        <v>0.27</v>
      </c>
      <c r="AW416" s="37" t="n">
        <v>0.22</v>
      </c>
      <c r="AX416" s="37" t="n">
        <v>0.22</v>
      </c>
      <c r="AY416" s="37" t="n">
        <v>0.22</v>
      </c>
      <c r="AZ416" s="37" t="n">
        <v>0.18</v>
      </c>
      <c r="BA416" s="37" t="n">
        <v>0.23</v>
      </c>
      <c r="BB416" s="37" t="n">
        <v>0.2</v>
      </c>
      <c r="BC416" s="37" t="n">
        <v>0.1</v>
      </c>
      <c r="BD416" s="37" t="n">
        <v>0.18</v>
      </c>
      <c r="BE416" s="37" t="n">
        <v>0.21</v>
      </c>
      <c r="BF416" s="37" t="n">
        <v>0.21</v>
      </c>
      <c r="BG416" s="37" t="n">
        <v>0.17</v>
      </c>
      <c r="BH416" s="37" t="n">
        <v>0.28</v>
      </c>
      <c r="BI416" s="37" t="n">
        <v>0.18</v>
      </c>
      <c r="BJ416" s="37" t="n">
        <v>0.67</v>
      </c>
      <c r="BK416" s="37" t="n">
        <v>0.23</v>
      </c>
      <c r="BL416" s="37" t="n">
        <v>0.22</v>
      </c>
      <c r="BM416" s="37" t="n">
        <v>0.21</v>
      </c>
      <c r="BN416" s="37" t="n">
        <v>0.17</v>
      </c>
      <c r="BO416" s="37" t="n">
        <v>0.28</v>
      </c>
      <c r="BP416" s="37" t="n">
        <v>0.3</v>
      </c>
      <c r="BQ416" s="37" t="n">
        <v>0.45</v>
      </c>
      <c r="BR416" s="37" t="n">
        <v>0.21</v>
      </c>
      <c r="BS416" s="37" t="n">
        <v>0.21</v>
      </c>
      <c r="BT416" s="37" t="n">
        <v>0.21</v>
      </c>
      <c r="BU416" s="37" t="n">
        <v>0.21</v>
      </c>
      <c r="BV416" s="37" t="n">
        <v>0.23</v>
      </c>
      <c r="BW416" s="37" t="n">
        <v>0.22</v>
      </c>
      <c r="BX416" s="37" t="n">
        <v>0.25</v>
      </c>
      <c r="BY416" s="37" t="n">
        <v>0.21</v>
      </c>
      <c r="BZ416" s="37" t="n">
        <v>0.22</v>
      </c>
      <c r="CA416" s="37" t="n">
        <v>0.21</v>
      </c>
      <c r="CB416" s="37" t="n">
        <v>0.17</v>
      </c>
      <c r="CC416" s="37" t="n">
        <v>18.63000000000001</v>
      </c>
    </row>
    <row r="417" ht="15.75" customHeight="1" s="57">
      <c r="A417" s="7" t="inlineStr">
        <is>
          <t>NTB</t>
        </is>
      </c>
      <c r="B417" s="7" t="inlineStr">
        <is>
          <t>Lâm Đồng</t>
        </is>
      </c>
      <c r="C417" s="7" t="n">
        <v>21605000</v>
      </c>
      <c r="D417" s="7" t="inlineStr">
        <is>
          <t>Kho Giao Hàng Nặng - Đức Trọng - Lâm Đồng</t>
        </is>
      </c>
      <c r="E417" s="7" t="inlineStr">
        <is>
          <t>Shopee-Bulky</t>
        </is>
      </c>
      <c r="F417" s="36" t="n">
        <v>48.19</v>
      </c>
      <c r="G417" s="36" t="n">
        <v>61.5</v>
      </c>
      <c r="H417" s="36" t="n">
        <v>56.43</v>
      </c>
      <c r="I417" s="36" t="n">
        <v>87.5</v>
      </c>
      <c r="J417" s="36" t="n">
        <v>50.72</v>
      </c>
      <c r="K417" s="28" t="n">
        <v>38.04</v>
      </c>
      <c r="L417" s="36" t="n">
        <v>26.63</v>
      </c>
      <c r="M417" s="36" t="n">
        <v>72.91</v>
      </c>
      <c r="N417" s="36" t="n">
        <v>45.02</v>
      </c>
      <c r="O417" s="36" t="n">
        <v>63.4</v>
      </c>
      <c r="P417" s="36" t="n">
        <v>53.89</v>
      </c>
      <c r="Q417" s="36" t="n">
        <v>39.94</v>
      </c>
      <c r="R417" s="28" t="n">
        <v>61.5</v>
      </c>
      <c r="S417" s="36" t="n">
        <v>32.97</v>
      </c>
      <c r="T417" s="36" t="n">
        <v>56.43</v>
      </c>
      <c r="U417" s="36" t="n">
        <v>48.99</v>
      </c>
      <c r="V417" s="36" t="n">
        <v>47.22</v>
      </c>
      <c r="W417" s="36" t="n">
        <v>64.92</v>
      </c>
      <c r="X417" s="36" t="n">
        <v>36.72</v>
      </c>
      <c r="Y417" s="28" t="n">
        <v>71.90000000000001</v>
      </c>
      <c r="Z417" s="36" t="n">
        <v>56.84</v>
      </c>
      <c r="AA417" s="36" t="n">
        <v>55.23</v>
      </c>
      <c r="AB417" s="36" t="n">
        <v>55.89</v>
      </c>
      <c r="AC417" s="36" t="n">
        <v>58.68</v>
      </c>
      <c r="AD417" s="36" t="n">
        <v>158.12</v>
      </c>
      <c r="AE417" s="36" t="n">
        <v>94.37</v>
      </c>
      <c r="AF417" s="28" t="n">
        <v>140.71</v>
      </c>
      <c r="AG417" s="36" t="n">
        <v>79.90000000000001</v>
      </c>
      <c r="AH417" s="37" t="n">
        <v>56.18</v>
      </c>
      <c r="AI417" s="37" t="n">
        <v>54.05</v>
      </c>
      <c r="AJ417" s="37" t="n">
        <v>53.61</v>
      </c>
      <c r="AK417" s="37" t="n">
        <v>121.4</v>
      </c>
      <c r="AL417" s="37" t="n">
        <v>61.76</v>
      </c>
      <c r="AM417" s="37" t="n">
        <v>88.2</v>
      </c>
      <c r="AN417" s="37" t="n">
        <v>55.82</v>
      </c>
      <c r="AO417" s="37" t="n">
        <v>54.71</v>
      </c>
      <c r="AP417" s="37" t="n">
        <v>73.88</v>
      </c>
      <c r="AQ417" s="37" t="n">
        <v>73.44</v>
      </c>
      <c r="AR417" s="37" t="n">
        <v>58.39</v>
      </c>
      <c r="AS417" s="37" t="n">
        <v>32.31</v>
      </c>
      <c r="AT417" s="37" t="n">
        <v>66.02</v>
      </c>
      <c r="AU417" s="37" t="n">
        <v>108.62</v>
      </c>
      <c r="AV417" s="37" t="n">
        <v>112.73</v>
      </c>
      <c r="AW417" s="37" t="n">
        <v>54.86</v>
      </c>
      <c r="AX417" s="37" t="n">
        <v>51.48</v>
      </c>
      <c r="AY417" s="37" t="n">
        <v>55.89</v>
      </c>
      <c r="AZ417" s="37" t="n">
        <v>31.07</v>
      </c>
      <c r="BA417" s="37" t="n">
        <v>60.37</v>
      </c>
      <c r="BB417" s="37" t="n">
        <v>56.11</v>
      </c>
      <c r="BC417" s="37" t="n">
        <v>18.87</v>
      </c>
      <c r="BD417" s="37" t="n">
        <v>48.03</v>
      </c>
      <c r="BE417" s="37" t="n">
        <v>59.05</v>
      </c>
      <c r="BF417" s="37" t="n">
        <v>50.75</v>
      </c>
      <c r="BG417" s="37" t="n">
        <v>42.16</v>
      </c>
      <c r="BH417" s="37" t="n">
        <v>77.26000000000001</v>
      </c>
      <c r="BI417" s="37" t="n">
        <v>65.95</v>
      </c>
      <c r="BJ417" s="37" t="n">
        <v>251.54</v>
      </c>
      <c r="BK417" s="37" t="n">
        <v>139.54</v>
      </c>
      <c r="BL417" s="37" t="n">
        <v>71.90000000000001</v>
      </c>
      <c r="BM417" s="37" t="n">
        <v>53.61</v>
      </c>
      <c r="BN417" s="37" t="n">
        <v>40.69</v>
      </c>
      <c r="BO417" s="37" t="n">
        <v>89.81999999999999</v>
      </c>
      <c r="BP417" s="37" t="n">
        <v>131.17</v>
      </c>
      <c r="BQ417" s="37" t="n">
        <v>94.89</v>
      </c>
      <c r="BR417" s="37" t="n">
        <v>62.43</v>
      </c>
      <c r="BS417" s="37" t="n">
        <v>59.05</v>
      </c>
      <c r="BT417" s="37" t="n">
        <v>50.75</v>
      </c>
      <c r="BU417" s="37" t="n">
        <v>59.86</v>
      </c>
      <c r="BV417" s="37" t="n">
        <v>81.81</v>
      </c>
      <c r="BW417" s="37" t="n">
        <v>65.95</v>
      </c>
      <c r="BX417" s="37" t="n">
        <v>63.67</v>
      </c>
      <c r="BY417" s="37" t="n">
        <v>62.43</v>
      </c>
      <c r="BZ417" s="37" t="n">
        <v>107</v>
      </c>
      <c r="CA417" s="37" t="n">
        <v>61.69</v>
      </c>
      <c r="CB417" s="37" t="n">
        <v>40.17</v>
      </c>
      <c r="CC417" s="37" t="n">
        <v>5095.500000000002</v>
      </c>
    </row>
    <row r="418" ht="15.75" customHeight="1" s="57">
      <c r="A418" s="7" t="inlineStr">
        <is>
          <t>NTB</t>
        </is>
      </c>
      <c r="B418" s="7" t="inlineStr">
        <is>
          <t>Lâm Đồng</t>
        </is>
      </c>
      <c r="C418" s="7" t="n">
        <v>21605000</v>
      </c>
      <c r="D418" s="7" t="inlineStr">
        <is>
          <t>Kho Giao Hàng Nặng - Đức Trọng - Lâm Đồng</t>
        </is>
      </c>
      <c r="E418" s="7" t="inlineStr">
        <is>
          <t>Shopee-Bulky (10-15kg)</t>
        </is>
      </c>
      <c r="F418" s="36" t="n">
        <v>27.81</v>
      </c>
      <c r="G418" s="36" t="n">
        <v>35.5</v>
      </c>
      <c r="H418" s="36" t="n">
        <v>32.57</v>
      </c>
      <c r="I418" s="36" t="n">
        <v>50.5</v>
      </c>
      <c r="J418" s="36" t="n">
        <v>29.28</v>
      </c>
      <c r="K418" s="28" t="n">
        <v>21.96</v>
      </c>
      <c r="L418" s="36" t="n">
        <v>15.37</v>
      </c>
      <c r="M418" s="36" t="n">
        <v>42.09</v>
      </c>
      <c r="N418" s="36" t="n">
        <v>25.98</v>
      </c>
      <c r="O418" s="36" t="n">
        <v>36.6</v>
      </c>
      <c r="P418" s="36" t="n">
        <v>31.11</v>
      </c>
      <c r="Q418" s="36" t="n">
        <v>23.06</v>
      </c>
      <c r="R418" s="28" t="n">
        <v>35.5</v>
      </c>
      <c r="S418" s="36" t="n">
        <v>19.03</v>
      </c>
      <c r="T418" s="36" t="n">
        <v>32.57</v>
      </c>
      <c r="U418" s="36" t="n">
        <v>29.45</v>
      </c>
      <c r="V418" s="36" t="n">
        <v>28.2</v>
      </c>
      <c r="W418" s="36" t="n">
        <v>37.16</v>
      </c>
      <c r="X418" s="36" t="n">
        <v>21</v>
      </c>
      <c r="Y418" s="28" t="n">
        <v>41.71</v>
      </c>
      <c r="Z418" s="36" t="n">
        <v>32.53</v>
      </c>
      <c r="AA418" s="36" t="n">
        <v>30.55</v>
      </c>
      <c r="AB418" s="36" t="n">
        <v>32.02</v>
      </c>
      <c r="AC418" s="36" t="n">
        <v>33.12</v>
      </c>
      <c r="AD418" s="36" t="n">
        <v>126.69</v>
      </c>
      <c r="AE418" s="36" t="n">
        <v>52.88</v>
      </c>
      <c r="AF418" s="28" t="n">
        <v>77.19</v>
      </c>
      <c r="AG418" s="36" t="n">
        <v>46.05</v>
      </c>
      <c r="AH418" s="37" t="n">
        <v>32.09</v>
      </c>
      <c r="AI418" s="37" t="n">
        <v>31.21</v>
      </c>
      <c r="AJ418" s="37" t="n">
        <v>30.26</v>
      </c>
      <c r="AK418" s="37" t="n">
        <v>71.23999999999999</v>
      </c>
      <c r="AL418" s="37" t="n">
        <v>34.59</v>
      </c>
      <c r="AM418" s="37" t="n">
        <v>51.19</v>
      </c>
      <c r="AN418" s="37" t="n">
        <v>32.17</v>
      </c>
      <c r="AO418" s="37" t="n">
        <v>30.85</v>
      </c>
      <c r="AP418" s="37" t="n">
        <v>40.61</v>
      </c>
      <c r="AQ418" s="37" t="n">
        <v>41.42</v>
      </c>
      <c r="AR418" s="37" t="n">
        <v>33.56</v>
      </c>
      <c r="AS418" s="37" t="n">
        <v>18.43</v>
      </c>
      <c r="AT418" s="37" t="n">
        <v>38.19</v>
      </c>
      <c r="AU418" s="37" t="n">
        <v>64.63</v>
      </c>
      <c r="AV418" s="37" t="n">
        <v>64.78</v>
      </c>
      <c r="AW418" s="37" t="n">
        <v>31.14</v>
      </c>
      <c r="AX418" s="37" t="n">
        <v>28.86</v>
      </c>
      <c r="AY418" s="37" t="n">
        <v>32.17</v>
      </c>
      <c r="AZ418" s="37" t="n">
        <v>17.7</v>
      </c>
      <c r="BA418" s="37" t="n">
        <v>34.88</v>
      </c>
      <c r="BB418" s="37" t="n">
        <v>32.39</v>
      </c>
      <c r="BC418" s="37" t="n">
        <v>11.31</v>
      </c>
      <c r="BD418" s="37" t="n">
        <v>27.17</v>
      </c>
      <c r="BE418" s="37" t="n">
        <v>33.86</v>
      </c>
      <c r="BF418" s="37" t="n">
        <v>29.52</v>
      </c>
      <c r="BG418" s="37" t="n">
        <v>24.24</v>
      </c>
      <c r="BH418" s="37" t="n">
        <v>45.24</v>
      </c>
      <c r="BI418" s="37" t="n">
        <v>38.19</v>
      </c>
      <c r="BJ418" s="37" t="n">
        <v>174.5</v>
      </c>
      <c r="BK418" s="37" t="n">
        <v>80.93000000000001</v>
      </c>
      <c r="BL418" s="37" t="n">
        <v>41.57</v>
      </c>
      <c r="BM418" s="37" t="n">
        <v>30.7</v>
      </c>
      <c r="BN418" s="37" t="n">
        <v>23.72</v>
      </c>
      <c r="BO418" s="37" t="n">
        <v>51.48</v>
      </c>
      <c r="BP418" s="37" t="n">
        <v>76.31</v>
      </c>
      <c r="BQ418" s="37" t="n">
        <v>55.15</v>
      </c>
      <c r="BR418" s="37" t="n">
        <v>35.84</v>
      </c>
      <c r="BS418" s="37" t="n">
        <v>33.86</v>
      </c>
      <c r="BT418" s="37" t="n">
        <v>29.52</v>
      </c>
      <c r="BU418" s="37" t="n">
        <v>34.22</v>
      </c>
      <c r="BV418" s="37" t="n">
        <v>47</v>
      </c>
      <c r="BW418" s="37" t="n">
        <v>38.19</v>
      </c>
      <c r="BX418" s="37" t="n">
        <v>36.43</v>
      </c>
      <c r="BY418" s="37" t="n">
        <v>35.84</v>
      </c>
      <c r="BZ418" s="37" t="n">
        <v>61.98</v>
      </c>
      <c r="CA418" s="37" t="n">
        <v>35.33</v>
      </c>
      <c r="CB418" s="37" t="n">
        <v>22.84</v>
      </c>
      <c r="CC418" s="37" t="n">
        <v>2994.78</v>
      </c>
    </row>
    <row r="419" ht="15.75" customHeight="1" s="57">
      <c r="A419" s="7" t="inlineStr">
        <is>
          <t>NTB</t>
        </is>
      </c>
      <c r="B419" s="7" t="inlineStr">
        <is>
          <t>Lâm Đồng</t>
        </is>
      </c>
      <c r="C419" s="7" t="n">
        <v>21605000</v>
      </c>
      <c r="D419" s="7" t="inlineStr">
        <is>
          <t>Kho Giao Hàng Nặng - Đức Trọng - Lâm Đồng</t>
        </is>
      </c>
      <c r="E419" s="7" t="inlineStr">
        <is>
          <t>TTS</t>
        </is>
      </c>
      <c r="F419" s="36" t="n">
        <v>0</v>
      </c>
      <c r="G419" s="36" t="n">
        <v>0</v>
      </c>
      <c r="H419" s="36" t="n">
        <v>0</v>
      </c>
      <c r="I419" s="36" t="n">
        <v>0</v>
      </c>
      <c r="J419" s="36" t="n">
        <v>0</v>
      </c>
      <c r="K419" s="28" t="n">
        <v>0</v>
      </c>
      <c r="L419" s="36" t="n">
        <v>0</v>
      </c>
      <c r="M419" s="36" t="n">
        <v>0</v>
      </c>
      <c r="N419" s="36" t="n">
        <v>0</v>
      </c>
      <c r="O419" s="36" t="n">
        <v>0</v>
      </c>
      <c r="P419" s="36" t="n">
        <v>3</v>
      </c>
      <c r="Q419" s="36" t="n">
        <v>3</v>
      </c>
      <c r="R419" s="28" t="n">
        <v>0</v>
      </c>
      <c r="S419" s="36" t="n">
        <v>0</v>
      </c>
      <c r="T419" s="36" t="n">
        <v>1</v>
      </c>
      <c r="U419" s="36" t="n">
        <v>2.32</v>
      </c>
      <c r="V419" s="36" t="n">
        <v>2.24</v>
      </c>
      <c r="W419" s="36" t="n">
        <v>2.14</v>
      </c>
      <c r="X419" s="36" t="n">
        <v>1.86</v>
      </c>
      <c r="Y419" s="28" t="n">
        <v>2.58</v>
      </c>
      <c r="Z419" s="36" t="n">
        <v>2.22</v>
      </c>
      <c r="AA419" s="36" t="n">
        <v>2.45</v>
      </c>
      <c r="AB419" s="36" t="n">
        <v>2.62</v>
      </c>
      <c r="AC419" s="36" t="n">
        <v>2.81</v>
      </c>
      <c r="AD419" s="36" t="n">
        <v>3.74</v>
      </c>
      <c r="AE419" s="36" t="n">
        <v>2.1</v>
      </c>
      <c r="AF419" s="28" t="n">
        <v>2.6</v>
      </c>
      <c r="AG419" s="36" t="n">
        <v>2.24</v>
      </c>
      <c r="AH419" s="37" t="n">
        <v>2.15</v>
      </c>
      <c r="AI419" s="37" t="n">
        <v>2.56</v>
      </c>
      <c r="AJ419" s="37" t="n">
        <v>2.62</v>
      </c>
      <c r="AK419" s="37" t="n">
        <v>2.53</v>
      </c>
      <c r="AL419" s="37" t="n">
        <v>2.05</v>
      </c>
      <c r="AM419" s="37" t="n">
        <v>2.59</v>
      </c>
      <c r="AN419" s="37" t="n">
        <v>2.32</v>
      </c>
      <c r="AO419" s="37" t="n">
        <v>2.31</v>
      </c>
      <c r="AP419" s="37" t="n">
        <v>2.22</v>
      </c>
      <c r="AQ419" s="37" t="n">
        <v>2.23</v>
      </c>
      <c r="AR419" s="37" t="n">
        <v>2.13</v>
      </c>
      <c r="AS419" s="37" t="n">
        <v>1.86</v>
      </c>
      <c r="AT419" s="37" t="n">
        <v>2.88</v>
      </c>
      <c r="AU419" s="37" t="n">
        <v>2.57</v>
      </c>
      <c r="AV419" s="37" t="n">
        <v>2.32</v>
      </c>
      <c r="AW419" s="37" t="n">
        <v>2.21</v>
      </c>
      <c r="AX419" s="37" t="n">
        <v>2.21</v>
      </c>
      <c r="AY419" s="37" t="n">
        <v>2.13</v>
      </c>
      <c r="AZ419" s="37" t="n">
        <v>1.86</v>
      </c>
      <c r="BA419" s="37" t="n">
        <v>2.57</v>
      </c>
      <c r="BB419" s="37" t="n">
        <v>2.52</v>
      </c>
      <c r="BC419" s="37" t="n">
        <v>1.37</v>
      </c>
      <c r="BD419" s="37" t="n">
        <v>2.25</v>
      </c>
      <c r="BE419" s="37" t="n">
        <v>2.53</v>
      </c>
      <c r="BF419" s="37" t="n">
        <v>2.43</v>
      </c>
      <c r="BG419" s="37" t="n">
        <v>2.05</v>
      </c>
      <c r="BH419" s="37" t="n">
        <v>2.88</v>
      </c>
      <c r="BI419" s="37" t="n">
        <v>2.52</v>
      </c>
      <c r="BJ419" s="37" t="n">
        <v>2.99</v>
      </c>
      <c r="BK419" s="37" t="n">
        <v>2.53</v>
      </c>
      <c r="BL419" s="37" t="n">
        <v>2.53</v>
      </c>
      <c r="BM419" s="37" t="n">
        <v>2.43</v>
      </c>
      <c r="BN419" s="37" t="n">
        <v>2.05</v>
      </c>
      <c r="BO419" s="37" t="n">
        <v>2.88</v>
      </c>
      <c r="BP419" s="37" t="n">
        <v>2.52</v>
      </c>
      <c r="BQ419" s="37" t="n">
        <v>2.43</v>
      </c>
      <c r="BR419" s="37" t="n">
        <v>2.53</v>
      </c>
      <c r="BS419" s="37" t="n">
        <v>2.53</v>
      </c>
      <c r="BT419" s="37" t="n">
        <v>2.43</v>
      </c>
      <c r="BU419" s="37" t="n">
        <v>2.05</v>
      </c>
      <c r="BV419" s="37" t="n">
        <v>2.88</v>
      </c>
      <c r="BW419" s="37" t="n">
        <v>2.52</v>
      </c>
      <c r="BX419" s="37" t="n">
        <v>2.43</v>
      </c>
      <c r="BY419" s="37" t="n">
        <v>2.53</v>
      </c>
      <c r="BZ419" s="37" t="n">
        <v>2.53</v>
      </c>
      <c r="CA419" s="37" t="n">
        <v>2.43</v>
      </c>
      <c r="CB419" s="37" t="n">
        <v>2.05</v>
      </c>
      <c r="CC419" s="37" t="n">
        <v>151.06</v>
      </c>
    </row>
    <row r="420" ht="15.75" customHeight="1" s="57">
      <c r="A420" s="7" t="inlineStr">
        <is>
          <t>NTB</t>
        </is>
      </c>
      <c r="B420" s="7" t="inlineStr">
        <is>
          <t>Lâm Đồng</t>
        </is>
      </c>
      <c r="C420" s="7" t="n">
        <v>21605000</v>
      </c>
      <c r="D420" s="7" t="inlineStr">
        <is>
          <t>Kho Giao Hàng Nặng - Đức Trọng - Lâm Đồng</t>
        </is>
      </c>
      <c r="E420" s="7" t="inlineStr">
        <is>
          <t>TTS-Bulky</t>
        </is>
      </c>
      <c r="F420" s="36" t="n">
        <v>5</v>
      </c>
      <c r="G420" s="36" t="n">
        <v>4</v>
      </c>
      <c r="H420" s="36" t="n">
        <v>4</v>
      </c>
      <c r="I420" s="36" t="n">
        <v>10</v>
      </c>
      <c r="J420" s="36" t="n">
        <v>3</v>
      </c>
      <c r="K420" s="28" t="n">
        <v>3</v>
      </c>
      <c r="L420" s="36" t="n">
        <v>1</v>
      </c>
      <c r="M420" s="36" t="n">
        <v>5</v>
      </c>
      <c r="N420" s="36" t="n">
        <v>1</v>
      </c>
      <c r="O420" s="36" t="n">
        <v>6</v>
      </c>
      <c r="P420" s="36" t="n">
        <v>4</v>
      </c>
      <c r="Q420" s="36" t="n">
        <v>2</v>
      </c>
      <c r="R420" s="28" t="n">
        <v>2</v>
      </c>
      <c r="S420" s="36" t="n">
        <v>0</v>
      </c>
      <c r="T420" s="36" t="n">
        <v>8</v>
      </c>
      <c r="U420" s="36" t="n">
        <v>11.92</v>
      </c>
      <c r="V420" s="36" t="n">
        <v>12.07</v>
      </c>
      <c r="W420" s="36" t="n">
        <v>5.69</v>
      </c>
      <c r="X420" s="36" t="n">
        <v>4.1</v>
      </c>
      <c r="Y420" s="28" t="n">
        <v>7.44</v>
      </c>
      <c r="Z420" s="36" t="n">
        <v>5.92</v>
      </c>
      <c r="AA420" s="36" t="n">
        <v>6.3</v>
      </c>
      <c r="AB420" s="36" t="n">
        <v>6.53</v>
      </c>
      <c r="AC420" s="36" t="n">
        <v>6.91</v>
      </c>
      <c r="AD420" s="36" t="n">
        <v>10.33</v>
      </c>
      <c r="AE420" s="36" t="n">
        <v>4.63</v>
      </c>
      <c r="AF420" s="28" t="n">
        <v>7.37</v>
      </c>
      <c r="AG420" s="36" t="n">
        <v>5.62</v>
      </c>
      <c r="AH420" s="37" t="n">
        <v>5.62</v>
      </c>
      <c r="AI420" s="37" t="n">
        <v>5.69</v>
      </c>
      <c r="AJ420" s="37" t="n">
        <v>6.45</v>
      </c>
      <c r="AK420" s="37" t="n">
        <v>6.15</v>
      </c>
      <c r="AL420" s="37" t="n">
        <v>4.4</v>
      </c>
      <c r="AM420" s="37" t="n">
        <v>7.37</v>
      </c>
      <c r="AN420" s="37" t="n">
        <v>5.69</v>
      </c>
      <c r="AO420" s="37" t="n">
        <v>5.62</v>
      </c>
      <c r="AP420" s="37" t="n">
        <v>5.62</v>
      </c>
      <c r="AQ420" s="37" t="n">
        <v>6.15</v>
      </c>
      <c r="AR420" s="37" t="n">
        <v>5.69</v>
      </c>
      <c r="AS420" s="37" t="n">
        <v>4.25</v>
      </c>
      <c r="AT420" s="37" t="n">
        <v>7.67</v>
      </c>
      <c r="AU420" s="37" t="n">
        <v>6.53</v>
      </c>
      <c r="AV420" s="37" t="n">
        <v>5.77</v>
      </c>
      <c r="AW420" s="37" t="n">
        <v>5.54</v>
      </c>
      <c r="AX420" s="37" t="n">
        <v>6.15</v>
      </c>
      <c r="AY420" s="37" t="n">
        <v>5.62</v>
      </c>
      <c r="AZ420" s="37" t="n">
        <v>4.25</v>
      </c>
      <c r="BA420" s="37" t="n">
        <v>6.45</v>
      </c>
      <c r="BB420" s="37" t="n">
        <v>1.52</v>
      </c>
      <c r="BC420" s="37" t="n">
        <v>0.99</v>
      </c>
      <c r="BD420" s="37" t="n">
        <v>1.21</v>
      </c>
      <c r="BE420" s="37" t="n">
        <v>1.59</v>
      </c>
      <c r="BF420" s="37" t="n">
        <v>1.59</v>
      </c>
      <c r="BG420" s="37" t="n">
        <v>1.06</v>
      </c>
      <c r="BH420" s="37" t="n">
        <v>2.05</v>
      </c>
      <c r="BI420" s="37" t="n">
        <v>1.59</v>
      </c>
      <c r="BJ420" s="37" t="n">
        <v>2.58</v>
      </c>
      <c r="BK420" s="37" t="n">
        <v>1.67</v>
      </c>
      <c r="BL420" s="37" t="n">
        <v>1.59</v>
      </c>
      <c r="BM420" s="37" t="n">
        <v>1.59</v>
      </c>
      <c r="BN420" s="37" t="n">
        <v>1.21</v>
      </c>
      <c r="BO420" s="37" t="n">
        <v>2.35</v>
      </c>
      <c r="BP420" s="37" t="n">
        <v>1.82</v>
      </c>
      <c r="BQ420" s="37" t="n">
        <v>1.67</v>
      </c>
      <c r="BR420" s="37" t="n">
        <v>1.67</v>
      </c>
      <c r="BS420" s="37" t="n">
        <v>1.59</v>
      </c>
      <c r="BT420" s="37" t="n">
        <v>1.59</v>
      </c>
      <c r="BU420" s="37" t="n">
        <v>1.06</v>
      </c>
      <c r="BV420" s="37" t="n">
        <v>1.75</v>
      </c>
      <c r="BW420" s="37" t="n">
        <v>1.59</v>
      </c>
      <c r="BX420" s="37" t="n">
        <v>1.67</v>
      </c>
      <c r="BY420" s="37" t="n">
        <v>1.67</v>
      </c>
      <c r="BZ420" s="37" t="n">
        <v>1.59</v>
      </c>
      <c r="CA420" s="37" t="n">
        <v>1.59</v>
      </c>
      <c r="CB420" s="37" t="n">
        <v>1.06</v>
      </c>
      <c r="CC420" s="37" t="n">
        <v>312.4199999999998</v>
      </c>
    </row>
    <row r="421" ht="15.75" customHeight="1" s="57">
      <c r="A421" s="7" t="inlineStr">
        <is>
          <t>NTB</t>
        </is>
      </c>
      <c r="B421" s="7" t="inlineStr">
        <is>
          <t>Lâm Đồng</t>
        </is>
      </c>
      <c r="C421" s="7" t="n">
        <v>21687000</v>
      </c>
      <c r="D421" s="7" t="inlineStr">
        <is>
          <t>(LDO) Lang Biang - Đà Lạt 2</t>
        </is>
      </c>
      <c r="E421" s="7" t="inlineStr">
        <is>
          <t>SME</t>
        </is>
      </c>
      <c r="F421" s="36" t="n">
        <v>414</v>
      </c>
      <c r="G421" s="36" t="n">
        <v>528</v>
      </c>
      <c r="H421" s="36" t="n">
        <v>492</v>
      </c>
      <c r="I421" s="36" t="n">
        <v>478</v>
      </c>
      <c r="J421" s="36" t="n">
        <v>514</v>
      </c>
      <c r="K421" s="28" t="n">
        <v>461</v>
      </c>
      <c r="L421" s="36" t="n">
        <v>433</v>
      </c>
      <c r="M421" s="36" t="n">
        <v>311</v>
      </c>
      <c r="N421" s="36" t="n">
        <v>399</v>
      </c>
      <c r="O421" s="36" t="n">
        <v>452</v>
      </c>
      <c r="P421" s="36" t="n">
        <v>274</v>
      </c>
      <c r="Q421" s="36" t="n">
        <v>323</v>
      </c>
      <c r="R421" s="28" t="n">
        <v>491</v>
      </c>
      <c r="S421" s="36" t="n">
        <v>385</v>
      </c>
      <c r="T421" s="36" t="n">
        <v>377</v>
      </c>
      <c r="U421" s="36" t="n">
        <v>485.89</v>
      </c>
      <c r="V421" s="36" t="n">
        <v>503.36</v>
      </c>
      <c r="W421" s="36" t="n">
        <v>489.3800000000001</v>
      </c>
      <c r="X421" s="36" t="n">
        <v>400.29</v>
      </c>
      <c r="Y421" s="28" t="n">
        <v>542.3100000000001</v>
      </c>
      <c r="Z421" s="36" t="n">
        <v>499.65</v>
      </c>
      <c r="AA421" s="36" t="n">
        <v>487.33</v>
      </c>
      <c r="AB421" s="36" t="n">
        <v>485.89</v>
      </c>
      <c r="AC421" s="36" t="n">
        <v>503.36</v>
      </c>
      <c r="AD421" s="36" t="n">
        <v>505.9</v>
      </c>
      <c r="AE421" s="36" t="n">
        <v>400.29</v>
      </c>
      <c r="AF421" s="28" t="n">
        <v>542.3100000000001</v>
      </c>
      <c r="AG421" s="36" t="n">
        <v>499.65</v>
      </c>
      <c r="AH421" s="37" t="n">
        <v>487.33</v>
      </c>
      <c r="AI421" s="37" t="n">
        <v>485.89</v>
      </c>
      <c r="AJ421" s="37" t="n">
        <v>503.36</v>
      </c>
      <c r="AK421" s="37" t="n">
        <v>489.3800000000001</v>
      </c>
      <c r="AL421" s="37" t="n">
        <v>400.29</v>
      </c>
      <c r="AM421" s="37" t="n">
        <v>542.3100000000001</v>
      </c>
      <c r="AN421" s="37" t="n">
        <v>499.65</v>
      </c>
      <c r="AO421" s="37" t="n">
        <v>487.33</v>
      </c>
      <c r="AP421" s="37" t="n">
        <v>485.89</v>
      </c>
      <c r="AQ421" s="37" t="n">
        <v>503.36</v>
      </c>
      <c r="AR421" s="37" t="n">
        <v>489.3800000000001</v>
      </c>
      <c r="AS421" s="37" t="n">
        <v>400.29</v>
      </c>
      <c r="AT421" s="37" t="n">
        <v>542.3100000000001</v>
      </c>
      <c r="AU421" s="37" t="n">
        <v>499.65</v>
      </c>
      <c r="AV421" s="37" t="n">
        <v>487.33</v>
      </c>
      <c r="AW421" s="37" t="n">
        <v>485.89</v>
      </c>
      <c r="AX421" s="37" t="n">
        <v>503.36</v>
      </c>
      <c r="AY421" s="37" t="n">
        <v>489.3800000000001</v>
      </c>
      <c r="AZ421" s="37" t="n">
        <v>400.29</v>
      </c>
      <c r="BA421" s="37" t="n">
        <v>487.88</v>
      </c>
      <c r="BB421" s="37" t="n">
        <v>438.21</v>
      </c>
      <c r="BC421" s="37" t="n">
        <v>276.89</v>
      </c>
      <c r="BD421" s="37" t="n">
        <v>276.03</v>
      </c>
      <c r="BE421" s="37" t="n">
        <v>466.59</v>
      </c>
      <c r="BF421" s="37" t="n">
        <v>454.64</v>
      </c>
      <c r="BG421" s="37" t="n">
        <v>413.06</v>
      </c>
      <c r="BH421" s="37" t="n">
        <v>559.47</v>
      </c>
      <c r="BI421" s="37" t="n">
        <v>515.24</v>
      </c>
      <c r="BJ421" s="37" t="n">
        <v>519.7</v>
      </c>
      <c r="BK421" s="37" t="n">
        <v>500.97</v>
      </c>
      <c r="BL421" s="37" t="n">
        <v>519.09</v>
      </c>
      <c r="BM421" s="37" t="n">
        <v>504.46</v>
      </c>
      <c r="BN421" s="37" t="n">
        <v>413.06</v>
      </c>
      <c r="BO421" s="37" t="n">
        <v>559.47</v>
      </c>
      <c r="BP421" s="37" t="n">
        <v>515.24</v>
      </c>
      <c r="BQ421" s="37" t="n">
        <v>502.34</v>
      </c>
      <c r="BR421" s="37" t="n">
        <v>500.97</v>
      </c>
      <c r="BS421" s="37" t="n">
        <v>519.09</v>
      </c>
      <c r="BT421" s="37" t="n">
        <v>504.46</v>
      </c>
      <c r="BU421" s="37" t="n">
        <v>413.06</v>
      </c>
      <c r="BV421" s="37" t="n">
        <v>559.47</v>
      </c>
      <c r="BW421" s="37" t="n">
        <v>515.24</v>
      </c>
      <c r="BX421" s="37" t="n">
        <v>502.34</v>
      </c>
      <c r="BY421" s="37" t="n">
        <v>500.97</v>
      </c>
      <c r="BZ421" s="37" t="n">
        <v>519.09</v>
      </c>
      <c r="CA421" s="37" t="n">
        <v>504.46</v>
      </c>
      <c r="CB421" s="37" t="n">
        <v>413.06</v>
      </c>
      <c r="CC421" s="37" t="n">
        <v>35234.83000000001</v>
      </c>
    </row>
    <row r="422" ht="15.75" customHeight="1" s="57">
      <c r="A422" s="7" t="inlineStr">
        <is>
          <t>NTB</t>
        </is>
      </c>
      <c r="B422" s="7" t="inlineStr">
        <is>
          <t>Lâm Đồng</t>
        </is>
      </c>
      <c r="C422" s="7" t="n">
        <v>21687000</v>
      </c>
      <c r="D422" s="7" t="inlineStr">
        <is>
          <t>(LDO) Lang Biang - Đà Lạt 2</t>
        </is>
      </c>
      <c r="E422" s="7" t="inlineStr">
        <is>
          <t>SME-Bulky</t>
        </is>
      </c>
      <c r="F422" s="36" t="n">
        <v>33</v>
      </c>
      <c r="G422" s="36" t="n">
        <v>28</v>
      </c>
      <c r="H422" s="36" t="n">
        <v>27</v>
      </c>
      <c r="I422" s="36" t="n">
        <v>33</v>
      </c>
      <c r="J422" s="36" t="n">
        <v>30</v>
      </c>
      <c r="K422" s="28" t="n">
        <v>24</v>
      </c>
      <c r="L422" s="36" t="n">
        <v>14</v>
      </c>
      <c r="M422" s="36" t="n">
        <v>32</v>
      </c>
      <c r="N422" s="36" t="n">
        <v>14</v>
      </c>
      <c r="O422" s="36" t="n">
        <v>23</v>
      </c>
      <c r="P422" s="36" t="n">
        <v>17</v>
      </c>
      <c r="Q422" s="36" t="n">
        <v>8</v>
      </c>
      <c r="R422" s="28" t="n">
        <v>28</v>
      </c>
      <c r="S422" s="36" t="n">
        <v>24</v>
      </c>
      <c r="T422" s="36" t="n">
        <v>22</v>
      </c>
      <c r="U422" s="36" t="n">
        <v>19.34</v>
      </c>
      <c r="V422" s="36" t="n">
        <v>19.13</v>
      </c>
      <c r="W422" s="36" t="n">
        <v>18.08</v>
      </c>
      <c r="X422" s="36" t="n">
        <v>12.04</v>
      </c>
      <c r="Y422" s="28" t="n">
        <v>21.6</v>
      </c>
      <c r="Z422" s="36" t="n">
        <v>20.64</v>
      </c>
      <c r="AA422" s="36" t="n">
        <v>20.35</v>
      </c>
      <c r="AB422" s="36" t="n">
        <v>19.34</v>
      </c>
      <c r="AC422" s="36" t="n">
        <v>19.13</v>
      </c>
      <c r="AD422" s="36" t="n">
        <v>16.99</v>
      </c>
      <c r="AE422" s="36" t="n">
        <v>12.04</v>
      </c>
      <c r="AF422" s="28" t="n">
        <v>21.6</v>
      </c>
      <c r="AG422" s="36" t="n">
        <v>20.64</v>
      </c>
      <c r="AH422" s="37" t="n">
        <v>20.35</v>
      </c>
      <c r="AI422" s="37" t="n">
        <v>19.34</v>
      </c>
      <c r="AJ422" s="37" t="n">
        <v>19.13</v>
      </c>
      <c r="AK422" s="37" t="n">
        <v>18.08</v>
      </c>
      <c r="AL422" s="37" t="n">
        <v>12.04</v>
      </c>
      <c r="AM422" s="37" t="n">
        <v>21.6</v>
      </c>
      <c r="AN422" s="37" t="n">
        <v>20.64</v>
      </c>
      <c r="AO422" s="37" t="n">
        <v>20.35</v>
      </c>
      <c r="AP422" s="37" t="n">
        <v>19.34</v>
      </c>
      <c r="AQ422" s="37" t="n">
        <v>19.13</v>
      </c>
      <c r="AR422" s="37" t="n">
        <v>18.08</v>
      </c>
      <c r="AS422" s="37" t="n">
        <v>12.04</v>
      </c>
      <c r="AT422" s="37" t="n">
        <v>21.6</v>
      </c>
      <c r="AU422" s="37" t="n">
        <v>20.64</v>
      </c>
      <c r="AV422" s="37" t="n">
        <v>20.35</v>
      </c>
      <c r="AW422" s="37" t="n">
        <v>19.34</v>
      </c>
      <c r="AX422" s="37" t="n">
        <v>19.13</v>
      </c>
      <c r="AY422" s="37" t="n">
        <v>18.08</v>
      </c>
      <c r="AZ422" s="37" t="n">
        <v>12.04</v>
      </c>
      <c r="BA422" s="37" t="n">
        <v>21.69</v>
      </c>
      <c r="BB422" s="37" t="n">
        <v>11.41</v>
      </c>
      <c r="BC422" s="37" t="n">
        <v>5.79</v>
      </c>
      <c r="BD422" s="37" t="n">
        <v>5.24</v>
      </c>
      <c r="BE422" s="37" t="n">
        <v>9.98</v>
      </c>
      <c r="BF422" s="37" t="n">
        <v>9.27</v>
      </c>
      <c r="BG422" s="37" t="n">
        <v>7.22</v>
      </c>
      <c r="BH422" s="37" t="n">
        <v>12.54</v>
      </c>
      <c r="BI422" s="37" t="n">
        <v>12.46</v>
      </c>
      <c r="BJ422" s="37" t="n">
        <v>10.78</v>
      </c>
      <c r="BK422" s="37" t="n">
        <v>11.45</v>
      </c>
      <c r="BL422" s="37" t="n">
        <v>11.49</v>
      </c>
      <c r="BM422" s="37" t="n">
        <v>10.7</v>
      </c>
      <c r="BN422" s="37" t="n">
        <v>7.22</v>
      </c>
      <c r="BO422" s="37" t="n">
        <v>12.54</v>
      </c>
      <c r="BP422" s="37" t="n">
        <v>12.46</v>
      </c>
      <c r="BQ422" s="37" t="n">
        <v>11.87</v>
      </c>
      <c r="BR422" s="37" t="n">
        <v>11.45</v>
      </c>
      <c r="BS422" s="37" t="n">
        <v>11.49</v>
      </c>
      <c r="BT422" s="37" t="n">
        <v>10.7</v>
      </c>
      <c r="BU422" s="37" t="n">
        <v>7.22</v>
      </c>
      <c r="BV422" s="37" t="n">
        <v>12.54</v>
      </c>
      <c r="BW422" s="37" t="n">
        <v>12.46</v>
      </c>
      <c r="BX422" s="37" t="n">
        <v>11.87</v>
      </c>
      <c r="BY422" s="37" t="n">
        <v>11.45</v>
      </c>
      <c r="BZ422" s="37" t="n">
        <v>11.49</v>
      </c>
      <c r="CA422" s="37" t="n">
        <v>10.7</v>
      </c>
      <c r="CB422" s="37" t="n">
        <v>7.22</v>
      </c>
      <c r="CC422" s="37" t="n">
        <v>1251.92</v>
      </c>
    </row>
    <row r="423" ht="15.75" customHeight="1" s="57">
      <c r="A423" s="7" t="inlineStr">
        <is>
          <t>NTB</t>
        </is>
      </c>
      <c r="B423" s="7" t="inlineStr">
        <is>
          <t>Lâm Đồng</t>
        </is>
      </c>
      <c r="C423" s="7" t="n">
        <v>21687000</v>
      </c>
      <c r="D423" s="7" t="inlineStr">
        <is>
          <t>(LDO) Lang Biang - Đà Lạt 2</t>
        </is>
      </c>
      <c r="E423" s="7" t="inlineStr">
        <is>
          <t>Shopee</t>
        </is>
      </c>
      <c r="F423" s="36" t="n">
        <v>428</v>
      </c>
      <c r="G423" s="36" t="n">
        <v>556</v>
      </c>
      <c r="H423" s="36" t="n">
        <v>499</v>
      </c>
      <c r="I423" s="36" t="n">
        <v>501</v>
      </c>
      <c r="J423" s="36" t="n">
        <v>494</v>
      </c>
      <c r="K423" s="28" t="n">
        <v>315</v>
      </c>
      <c r="L423" s="36" t="n">
        <v>306</v>
      </c>
      <c r="M423" s="36" t="n">
        <v>319</v>
      </c>
      <c r="N423" s="36" t="n">
        <v>358</v>
      </c>
      <c r="O423" s="36" t="n">
        <v>312</v>
      </c>
      <c r="P423" s="36" t="n">
        <v>199</v>
      </c>
      <c r="Q423" s="36" t="n">
        <v>252</v>
      </c>
      <c r="R423" s="28" t="n">
        <v>279</v>
      </c>
      <c r="S423" s="36" t="n">
        <v>324</v>
      </c>
      <c r="T423" s="36" t="n">
        <v>342</v>
      </c>
      <c r="U423" s="36" t="n">
        <v>453.09</v>
      </c>
      <c r="V423" s="36" t="n">
        <v>454.72</v>
      </c>
      <c r="W423" s="36" t="n">
        <v>448.2</v>
      </c>
      <c r="X423" s="36" t="n">
        <v>364.48</v>
      </c>
      <c r="Y423" s="28" t="n">
        <v>610.54</v>
      </c>
      <c r="Z423" s="36" t="n">
        <v>483.32</v>
      </c>
      <c r="AA423" s="36" t="n">
        <v>664.6900000000001</v>
      </c>
      <c r="AB423" s="36" t="n">
        <v>462.44</v>
      </c>
      <c r="AC423" s="36" t="n">
        <v>373.17</v>
      </c>
      <c r="AD423" s="36" t="n">
        <v>972.62</v>
      </c>
      <c r="AE423" s="36" t="n">
        <v>390.35</v>
      </c>
      <c r="AF423" s="28" t="n">
        <v>695.9</v>
      </c>
      <c r="AG423" s="36" t="n">
        <v>507.46</v>
      </c>
      <c r="AH423" s="37" t="n">
        <v>535.73</v>
      </c>
      <c r="AI423" s="37" t="n">
        <v>453.09</v>
      </c>
      <c r="AJ423" s="37" t="n">
        <v>454.72</v>
      </c>
      <c r="AK423" s="37" t="n">
        <v>604.78</v>
      </c>
      <c r="AL423" s="37" t="n">
        <v>654.58</v>
      </c>
      <c r="AM423" s="37" t="n">
        <v>610.54</v>
      </c>
      <c r="AN423" s="37" t="n">
        <v>483.32</v>
      </c>
      <c r="AO423" s="37" t="n">
        <v>535.73</v>
      </c>
      <c r="AP423" s="37" t="n">
        <v>565.63</v>
      </c>
      <c r="AQ423" s="37" t="n">
        <v>364.58</v>
      </c>
      <c r="AR423" s="37" t="n">
        <v>448.2</v>
      </c>
      <c r="AS423" s="37" t="n">
        <v>364.48</v>
      </c>
      <c r="AT423" s="37" t="n">
        <v>610.54</v>
      </c>
      <c r="AU423" s="37" t="n">
        <v>493.32</v>
      </c>
      <c r="AV423" s="37" t="n">
        <v>546.6</v>
      </c>
      <c r="AW423" s="37" t="n">
        <v>453.09</v>
      </c>
      <c r="AX423" s="37" t="n">
        <v>454.72</v>
      </c>
      <c r="AY423" s="37" t="n">
        <v>448.2</v>
      </c>
      <c r="AZ423" s="37" t="n">
        <v>364.48</v>
      </c>
      <c r="BA423" s="37" t="n">
        <v>470.27</v>
      </c>
      <c r="BB423" s="37" t="n">
        <v>409.49</v>
      </c>
      <c r="BC423" s="37" t="n">
        <v>209.42</v>
      </c>
      <c r="BD423" s="37" t="n">
        <v>371.11</v>
      </c>
      <c r="BE423" s="37" t="n">
        <v>433.09</v>
      </c>
      <c r="BF423" s="37" t="n">
        <v>426.89</v>
      </c>
      <c r="BG423" s="37" t="n">
        <v>354.15</v>
      </c>
      <c r="BH423" s="37" t="n">
        <v>581.51</v>
      </c>
      <c r="BI423" s="37" t="n">
        <v>378.18</v>
      </c>
      <c r="BJ423" s="37" t="n">
        <v>1380.37</v>
      </c>
      <c r="BK423" s="37" t="n">
        <v>462.01</v>
      </c>
      <c r="BL423" s="37" t="n">
        <v>454.94</v>
      </c>
      <c r="BM423" s="37" t="n">
        <v>426.89</v>
      </c>
      <c r="BN423" s="37" t="n">
        <v>347.19</v>
      </c>
      <c r="BO423" s="37" t="n">
        <v>581.51</v>
      </c>
      <c r="BP423" s="37" t="n">
        <v>621.2</v>
      </c>
      <c r="BQ423" s="37" t="n">
        <v>916.95</v>
      </c>
      <c r="BR423" s="37" t="n">
        <v>431.67</v>
      </c>
      <c r="BS423" s="37" t="n">
        <v>433.09</v>
      </c>
      <c r="BT423" s="37" t="n">
        <v>426.89</v>
      </c>
      <c r="BU423" s="37" t="n">
        <v>433.74</v>
      </c>
      <c r="BV423" s="37" t="n">
        <v>465.92</v>
      </c>
      <c r="BW423" s="37" t="n">
        <v>460.27</v>
      </c>
      <c r="BX423" s="37" t="n">
        <v>510.29</v>
      </c>
      <c r="BY423" s="37" t="n">
        <v>431.67</v>
      </c>
      <c r="BZ423" s="37" t="n">
        <v>442.22</v>
      </c>
      <c r="CA423" s="37" t="n">
        <v>435.15</v>
      </c>
      <c r="CB423" s="37" t="n">
        <v>347.19</v>
      </c>
      <c r="CC423" s="37" t="n">
        <v>35454.58</v>
      </c>
    </row>
    <row r="424" ht="15.75" customHeight="1" s="57">
      <c r="A424" s="7" t="inlineStr">
        <is>
          <t>NTB</t>
        </is>
      </c>
      <c r="B424" s="7" t="inlineStr">
        <is>
          <t>Lâm Đồng</t>
        </is>
      </c>
      <c r="C424" s="7" t="n">
        <v>21687000</v>
      </c>
      <c r="D424" s="7" t="inlineStr">
        <is>
          <t>(LDO) Lang Biang - Đà Lạt 2</t>
        </is>
      </c>
      <c r="E424" s="7" t="inlineStr">
        <is>
          <t>Shopee-Bulky</t>
        </is>
      </c>
      <c r="F424" s="36" t="n">
        <v>38.68</v>
      </c>
      <c r="G424" s="36" t="n">
        <v>51.99</v>
      </c>
      <c r="H424" s="36" t="n">
        <v>48.82</v>
      </c>
      <c r="I424" s="36" t="n">
        <v>36.14</v>
      </c>
      <c r="J424" s="36" t="n">
        <v>32.34</v>
      </c>
      <c r="K424" s="28" t="n">
        <v>24.73</v>
      </c>
      <c r="L424" s="36" t="n">
        <v>26.63</v>
      </c>
      <c r="M424" s="36" t="n">
        <v>42.48</v>
      </c>
      <c r="N424" s="36" t="n">
        <v>35.51</v>
      </c>
      <c r="O424" s="36" t="n">
        <v>38.68</v>
      </c>
      <c r="P424" s="36" t="n">
        <v>27.26</v>
      </c>
      <c r="Q424" s="36" t="n">
        <v>25.36</v>
      </c>
      <c r="R424" s="28" t="n">
        <v>37.41</v>
      </c>
      <c r="S424" s="36" t="n">
        <v>34.87</v>
      </c>
      <c r="T424" s="36" t="n">
        <v>66.56999999999999</v>
      </c>
      <c r="U424" s="36" t="n">
        <v>36.63</v>
      </c>
      <c r="V424" s="36" t="n">
        <v>35.31</v>
      </c>
      <c r="W424" s="36" t="n">
        <v>48.55</v>
      </c>
      <c r="X424" s="36" t="n">
        <v>27.46</v>
      </c>
      <c r="Y424" s="28" t="n">
        <v>53.76</v>
      </c>
      <c r="Z424" s="36" t="n">
        <v>42.5</v>
      </c>
      <c r="AA424" s="36" t="n">
        <v>41.3</v>
      </c>
      <c r="AB424" s="36" t="n">
        <v>41.79</v>
      </c>
      <c r="AC424" s="36" t="n">
        <v>43.88</v>
      </c>
      <c r="AD424" s="36" t="n">
        <v>118.23</v>
      </c>
      <c r="AE424" s="36" t="n">
        <v>70.56999999999999</v>
      </c>
      <c r="AF424" s="28" t="n">
        <v>105.22</v>
      </c>
      <c r="AG424" s="36" t="n">
        <v>59.75</v>
      </c>
      <c r="AH424" s="37" t="n">
        <v>42.01</v>
      </c>
      <c r="AI424" s="37" t="n">
        <v>40.42</v>
      </c>
      <c r="AJ424" s="37" t="n">
        <v>40.09</v>
      </c>
      <c r="AK424" s="37" t="n">
        <v>90.78</v>
      </c>
      <c r="AL424" s="37" t="n">
        <v>46.18</v>
      </c>
      <c r="AM424" s="37" t="n">
        <v>65.95</v>
      </c>
      <c r="AN424" s="37" t="n">
        <v>41.74</v>
      </c>
      <c r="AO424" s="37" t="n">
        <v>40.91</v>
      </c>
      <c r="AP424" s="37" t="n">
        <v>55.25</v>
      </c>
      <c r="AQ424" s="37" t="n">
        <v>54.92</v>
      </c>
      <c r="AR424" s="37" t="n">
        <v>43.66</v>
      </c>
      <c r="AS424" s="37" t="n">
        <v>24.16</v>
      </c>
      <c r="AT424" s="37" t="n">
        <v>49.37</v>
      </c>
      <c r="AU424" s="37" t="n">
        <v>81.22</v>
      </c>
      <c r="AV424" s="37" t="n">
        <v>84.3</v>
      </c>
      <c r="AW424" s="37" t="n">
        <v>41.02</v>
      </c>
      <c r="AX424" s="37" t="n">
        <v>38.5</v>
      </c>
      <c r="AY424" s="37" t="n">
        <v>41.79</v>
      </c>
      <c r="AZ424" s="37" t="n">
        <v>23.23</v>
      </c>
      <c r="BA424" s="37" t="n">
        <v>45.14</v>
      </c>
      <c r="BB424" s="37" t="n">
        <v>41.96</v>
      </c>
      <c r="BC424" s="37" t="n">
        <v>14.11</v>
      </c>
      <c r="BD424" s="37" t="n">
        <v>35.92</v>
      </c>
      <c r="BE424" s="37" t="n">
        <v>44.15</v>
      </c>
      <c r="BF424" s="37" t="n">
        <v>37.95</v>
      </c>
      <c r="BG424" s="37" t="n">
        <v>31.52</v>
      </c>
      <c r="BH424" s="37" t="n">
        <v>57.77</v>
      </c>
      <c r="BI424" s="37" t="n">
        <v>49.31</v>
      </c>
      <c r="BJ424" s="37" t="n">
        <v>188.09</v>
      </c>
      <c r="BK424" s="37" t="n">
        <v>104.34</v>
      </c>
      <c r="BL424" s="37" t="n">
        <v>53.76</v>
      </c>
      <c r="BM424" s="37" t="n">
        <v>40.09</v>
      </c>
      <c r="BN424" s="37" t="n">
        <v>30.42</v>
      </c>
      <c r="BO424" s="37" t="n">
        <v>67.16</v>
      </c>
      <c r="BP424" s="37" t="n">
        <v>98.08</v>
      </c>
      <c r="BQ424" s="37" t="n">
        <v>70.95</v>
      </c>
      <c r="BR424" s="37" t="n">
        <v>46.68</v>
      </c>
      <c r="BS424" s="37" t="n">
        <v>44.15</v>
      </c>
      <c r="BT424" s="37" t="n">
        <v>37.95</v>
      </c>
      <c r="BU424" s="37" t="n">
        <v>44.76</v>
      </c>
      <c r="BV424" s="37" t="n">
        <v>61.18</v>
      </c>
      <c r="BW424" s="37" t="n">
        <v>49.31</v>
      </c>
      <c r="BX424" s="37" t="n">
        <v>47.61</v>
      </c>
      <c r="BY424" s="37" t="n">
        <v>46.68</v>
      </c>
      <c r="BZ424" s="37" t="n">
        <v>80.01000000000001</v>
      </c>
      <c r="CA424" s="37" t="n">
        <v>46.13</v>
      </c>
      <c r="CB424" s="37" t="n">
        <v>30.04</v>
      </c>
      <c r="CC424" s="37" t="n">
        <v>3783.14</v>
      </c>
    </row>
    <row r="425" ht="15.75" customHeight="1" s="57">
      <c r="A425" s="7" t="inlineStr">
        <is>
          <t>NTB</t>
        </is>
      </c>
      <c r="B425" s="7" t="inlineStr">
        <is>
          <t>Lâm Đồng</t>
        </is>
      </c>
      <c r="C425" s="7" t="n">
        <v>21687000</v>
      </c>
      <c r="D425" s="7" t="inlineStr">
        <is>
          <t>(LDO) Lang Biang - Đà Lạt 2</t>
        </is>
      </c>
      <c r="E425" s="7" t="inlineStr">
        <is>
          <t>Shopee-Bulky (10-15kg)</t>
        </is>
      </c>
      <c r="F425" s="36" t="n">
        <v>22.32</v>
      </c>
      <c r="G425" s="36" t="n">
        <v>30.01</v>
      </c>
      <c r="H425" s="36" t="n">
        <v>28.18</v>
      </c>
      <c r="I425" s="36" t="n">
        <v>20.86</v>
      </c>
      <c r="J425" s="36" t="n">
        <v>18.66</v>
      </c>
      <c r="K425" s="28" t="n">
        <v>14.27</v>
      </c>
      <c r="L425" s="36" t="n">
        <v>15.37</v>
      </c>
      <c r="M425" s="36" t="n">
        <v>24.52</v>
      </c>
      <c r="N425" s="36" t="n">
        <v>20.49</v>
      </c>
      <c r="O425" s="36" t="n">
        <v>22.32</v>
      </c>
      <c r="P425" s="36" t="n">
        <v>15.74</v>
      </c>
      <c r="Q425" s="36" t="n">
        <v>14.64</v>
      </c>
      <c r="R425" s="28" t="n">
        <v>21.59</v>
      </c>
      <c r="S425" s="36" t="n">
        <v>20.13</v>
      </c>
      <c r="T425" s="36" t="n">
        <v>38.43</v>
      </c>
      <c r="U425" s="36" t="n">
        <v>22.02</v>
      </c>
      <c r="V425" s="36" t="n">
        <v>21.09</v>
      </c>
      <c r="W425" s="36" t="n">
        <v>27.79</v>
      </c>
      <c r="X425" s="36" t="n">
        <v>15.71</v>
      </c>
      <c r="Y425" s="28" t="n">
        <v>31.19</v>
      </c>
      <c r="Z425" s="36" t="n">
        <v>24.33</v>
      </c>
      <c r="AA425" s="36" t="n">
        <v>22.85</v>
      </c>
      <c r="AB425" s="36" t="n">
        <v>23.94</v>
      </c>
      <c r="AC425" s="36" t="n">
        <v>24.77</v>
      </c>
      <c r="AD425" s="36" t="n">
        <v>94.73</v>
      </c>
      <c r="AE425" s="36" t="n">
        <v>39.54</v>
      </c>
      <c r="AF425" s="28" t="n">
        <v>57.72</v>
      </c>
      <c r="AG425" s="36" t="n">
        <v>34.43</v>
      </c>
      <c r="AH425" s="37" t="n">
        <v>24</v>
      </c>
      <c r="AI425" s="37" t="n">
        <v>23.34</v>
      </c>
      <c r="AJ425" s="37" t="n">
        <v>22.63</v>
      </c>
      <c r="AK425" s="37" t="n">
        <v>53.27</v>
      </c>
      <c r="AL425" s="37" t="n">
        <v>25.87</v>
      </c>
      <c r="AM425" s="37" t="n">
        <v>38.28</v>
      </c>
      <c r="AN425" s="37" t="n">
        <v>24.05</v>
      </c>
      <c r="AO425" s="37" t="n">
        <v>23.06</v>
      </c>
      <c r="AP425" s="37" t="n">
        <v>30.37</v>
      </c>
      <c r="AQ425" s="37" t="n">
        <v>30.97</v>
      </c>
      <c r="AR425" s="37" t="n">
        <v>25.1</v>
      </c>
      <c r="AS425" s="37" t="n">
        <v>13.78</v>
      </c>
      <c r="AT425" s="37" t="n">
        <v>28.56</v>
      </c>
      <c r="AU425" s="37" t="n">
        <v>48.33</v>
      </c>
      <c r="AV425" s="37" t="n">
        <v>48.44</v>
      </c>
      <c r="AW425" s="37" t="n">
        <v>23.28</v>
      </c>
      <c r="AX425" s="37" t="n">
        <v>21.58</v>
      </c>
      <c r="AY425" s="37" t="n">
        <v>24.05</v>
      </c>
      <c r="AZ425" s="37" t="n">
        <v>13.23</v>
      </c>
      <c r="BA425" s="37" t="n">
        <v>26.09</v>
      </c>
      <c r="BB425" s="37" t="n">
        <v>24.22</v>
      </c>
      <c r="BC425" s="37" t="n">
        <v>8.460000000000001</v>
      </c>
      <c r="BD425" s="37" t="n">
        <v>20.32</v>
      </c>
      <c r="BE425" s="37" t="n">
        <v>25.32</v>
      </c>
      <c r="BF425" s="37" t="n">
        <v>22.08</v>
      </c>
      <c r="BG425" s="37" t="n">
        <v>18.12</v>
      </c>
      <c r="BH425" s="37" t="n">
        <v>33.83</v>
      </c>
      <c r="BI425" s="37" t="n">
        <v>28.56</v>
      </c>
      <c r="BJ425" s="37" t="n">
        <v>130.48</v>
      </c>
      <c r="BK425" s="37" t="n">
        <v>60.52</v>
      </c>
      <c r="BL425" s="37" t="n">
        <v>31.08</v>
      </c>
      <c r="BM425" s="37" t="n">
        <v>22.95</v>
      </c>
      <c r="BN425" s="37" t="n">
        <v>17.74</v>
      </c>
      <c r="BO425" s="37" t="n">
        <v>38.5</v>
      </c>
      <c r="BP425" s="37" t="n">
        <v>57.06</v>
      </c>
      <c r="BQ425" s="37" t="n">
        <v>41.24</v>
      </c>
      <c r="BR425" s="37" t="n">
        <v>26.8</v>
      </c>
      <c r="BS425" s="37" t="n">
        <v>25.32</v>
      </c>
      <c r="BT425" s="37" t="n">
        <v>22.08</v>
      </c>
      <c r="BU425" s="37" t="n">
        <v>25.59</v>
      </c>
      <c r="BV425" s="37" t="n">
        <v>35.15</v>
      </c>
      <c r="BW425" s="37" t="n">
        <v>28.56</v>
      </c>
      <c r="BX425" s="37" t="n">
        <v>27.24</v>
      </c>
      <c r="BY425" s="37" t="n">
        <v>26.8</v>
      </c>
      <c r="BZ425" s="37" t="n">
        <v>46.35</v>
      </c>
      <c r="CA425" s="37" t="n">
        <v>26.41</v>
      </c>
      <c r="CB425" s="37" t="n">
        <v>17.08</v>
      </c>
      <c r="CC425" s="37" t="n">
        <v>2223.779999999998</v>
      </c>
    </row>
    <row r="426" ht="15.75" customHeight="1" s="57">
      <c r="A426" s="7" t="inlineStr">
        <is>
          <t>NTB</t>
        </is>
      </c>
      <c r="B426" s="7" t="inlineStr">
        <is>
          <t>Lâm Đồng</t>
        </is>
      </c>
      <c r="C426" s="7" t="n">
        <v>21687000</v>
      </c>
      <c r="D426" s="7" t="inlineStr">
        <is>
          <t>(LDO) Lang Biang - Đà Lạt 2</t>
        </is>
      </c>
      <c r="E426" s="7" t="inlineStr">
        <is>
          <t>TTS</t>
        </is>
      </c>
      <c r="F426" s="36" t="n">
        <v>210</v>
      </c>
      <c r="G426" s="36" t="n">
        <v>266</v>
      </c>
      <c r="H426" s="36" t="n">
        <v>299</v>
      </c>
      <c r="I426" s="36" t="n">
        <v>248</v>
      </c>
      <c r="J426" s="36" t="n">
        <v>242</v>
      </c>
      <c r="K426" s="28" t="n">
        <v>216</v>
      </c>
      <c r="L426" s="36" t="n">
        <v>183</v>
      </c>
      <c r="M426" s="36" t="n">
        <v>192</v>
      </c>
      <c r="N426" s="36" t="n">
        <v>248</v>
      </c>
      <c r="O426" s="36" t="n">
        <v>232</v>
      </c>
      <c r="P426" s="36" t="n">
        <v>157</v>
      </c>
      <c r="Q426" s="36" t="n">
        <v>159</v>
      </c>
      <c r="R426" s="28" t="n">
        <v>254</v>
      </c>
      <c r="S426" s="36" t="n">
        <v>211</v>
      </c>
      <c r="T426" s="36" t="n">
        <v>217</v>
      </c>
      <c r="U426" s="36" t="n">
        <v>155.39</v>
      </c>
      <c r="V426" s="36" t="n">
        <v>152.74</v>
      </c>
      <c r="W426" s="36" t="n">
        <v>149.28</v>
      </c>
      <c r="X426" s="36" t="n">
        <v>120.5</v>
      </c>
      <c r="Y426" s="28" t="n">
        <v>175.01</v>
      </c>
      <c r="Z426" s="36" t="n">
        <v>148.94</v>
      </c>
      <c r="AA426" s="36" t="n">
        <v>165.26</v>
      </c>
      <c r="AB426" s="36" t="n">
        <v>183.74</v>
      </c>
      <c r="AC426" s="36" t="n">
        <v>193.45</v>
      </c>
      <c r="AD426" s="36" t="n">
        <v>197.91</v>
      </c>
      <c r="AE426" s="36" t="n">
        <v>140</v>
      </c>
      <c r="AF426" s="28" t="n">
        <v>180.99</v>
      </c>
      <c r="AG426" s="36" t="n">
        <v>151.87</v>
      </c>
      <c r="AH426" s="37" t="n">
        <v>150.22</v>
      </c>
      <c r="AI426" s="37" t="n">
        <v>171.83</v>
      </c>
      <c r="AJ426" s="37" t="n">
        <v>184.79</v>
      </c>
      <c r="AK426" s="37" t="n">
        <v>182.21</v>
      </c>
      <c r="AL426" s="37" t="n">
        <v>129.84</v>
      </c>
      <c r="AM426" s="37" t="n">
        <v>178.31</v>
      </c>
      <c r="AN426" s="37" t="n">
        <v>153.83</v>
      </c>
      <c r="AO426" s="37" t="n">
        <v>153.02</v>
      </c>
      <c r="AP426" s="37" t="n">
        <v>148.31</v>
      </c>
      <c r="AQ426" s="37" t="n">
        <v>149.62</v>
      </c>
      <c r="AR426" s="37" t="n">
        <v>147.16</v>
      </c>
      <c r="AS426" s="37" t="n">
        <v>121.13</v>
      </c>
      <c r="AT426" s="37" t="n">
        <v>192.73</v>
      </c>
      <c r="AU426" s="37" t="n">
        <v>174.39</v>
      </c>
      <c r="AV426" s="37" t="n">
        <v>155.14</v>
      </c>
      <c r="AW426" s="37" t="n">
        <v>146.51</v>
      </c>
      <c r="AX426" s="37" t="n">
        <v>145.39</v>
      </c>
      <c r="AY426" s="37" t="n">
        <v>145.23</v>
      </c>
      <c r="AZ426" s="37" t="n">
        <v>121.13</v>
      </c>
      <c r="BA426" s="37" t="n">
        <v>173.64</v>
      </c>
      <c r="BB426" s="37" t="n">
        <v>162.3</v>
      </c>
      <c r="BC426" s="37" t="n">
        <v>96.68000000000001</v>
      </c>
      <c r="BD426" s="37" t="n">
        <v>139.93</v>
      </c>
      <c r="BE426" s="37" t="n">
        <v>164.73</v>
      </c>
      <c r="BF426" s="37" t="n">
        <v>160.21</v>
      </c>
      <c r="BG426" s="37" t="n">
        <v>130.09</v>
      </c>
      <c r="BH426" s="37" t="n">
        <v>192.35</v>
      </c>
      <c r="BI426" s="37" t="n">
        <v>162.3</v>
      </c>
      <c r="BJ426" s="37" t="n">
        <v>150.29</v>
      </c>
      <c r="BK426" s="37" t="n">
        <v>164.54</v>
      </c>
      <c r="BL426" s="37" t="n">
        <v>164.73</v>
      </c>
      <c r="BM426" s="37" t="n">
        <v>160.21</v>
      </c>
      <c r="BN426" s="37" t="n">
        <v>130.09</v>
      </c>
      <c r="BO426" s="37" t="n">
        <v>192.35</v>
      </c>
      <c r="BP426" s="37" t="n">
        <v>162.3</v>
      </c>
      <c r="BQ426" s="37" t="n">
        <v>160.52</v>
      </c>
      <c r="BR426" s="37" t="n">
        <v>164.54</v>
      </c>
      <c r="BS426" s="37" t="n">
        <v>164.73</v>
      </c>
      <c r="BT426" s="37" t="n">
        <v>160.21</v>
      </c>
      <c r="BU426" s="37" t="n">
        <v>130.09</v>
      </c>
      <c r="BV426" s="37" t="n">
        <v>192.35</v>
      </c>
      <c r="BW426" s="37" t="n">
        <v>162.3</v>
      </c>
      <c r="BX426" s="37" t="n">
        <v>160.52</v>
      </c>
      <c r="BY426" s="37" t="n">
        <v>164.54</v>
      </c>
      <c r="BZ426" s="37" t="n">
        <v>164.73</v>
      </c>
      <c r="CA426" s="37" t="n">
        <v>160.21</v>
      </c>
      <c r="CB426" s="37" t="n">
        <v>130.09</v>
      </c>
      <c r="CC426" s="37" t="n">
        <v>12821.44</v>
      </c>
    </row>
    <row r="427" ht="15.75" customHeight="1" s="57">
      <c r="A427" s="7" t="inlineStr">
        <is>
          <t>NTB</t>
        </is>
      </c>
      <c r="B427" s="7" t="inlineStr">
        <is>
          <t>Lâm Đồng</t>
        </is>
      </c>
      <c r="C427" s="7" t="n">
        <v>21687000</v>
      </c>
      <c r="D427" s="7" t="inlineStr">
        <is>
          <t>(LDO) Lang Biang - Đà Lạt 2</t>
        </is>
      </c>
      <c r="E427" s="7" t="inlineStr">
        <is>
          <t>TTS-Bulky</t>
        </is>
      </c>
      <c r="F427" s="36" t="n">
        <v>1</v>
      </c>
      <c r="G427" s="36" t="n">
        <v>3</v>
      </c>
      <c r="H427" s="36" t="n">
        <v>1</v>
      </c>
      <c r="I427" s="36" t="n">
        <v>2</v>
      </c>
      <c r="J427" s="36" t="n">
        <v>2</v>
      </c>
      <c r="K427" s="28" t="n">
        <v>5</v>
      </c>
      <c r="L427" s="36" t="n">
        <v>0</v>
      </c>
      <c r="M427" s="36" t="n">
        <v>0</v>
      </c>
      <c r="N427" s="36" t="n">
        <v>1</v>
      </c>
      <c r="O427" s="36" t="n">
        <v>1</v>
      </c>
      <c r="P427" s="36" t="n">
        <v>0</v>
      </c>
      <c r="Q427" s="36" t="n">
        <v>0</v>
      </c>
      <c r="R427" s="28" t="n">
        <v>1</v>
      </c>
      <c r="S427" s="36" t="n">
        <v>2</v>
      </c>
      <c r="T427" s="36" t="n">
        <v>2</v>
      </c>
      <c r="U427" s="36" t="n">
        <v>4.5</v>
      </c>
      <c r="V427" s="36" t="n">
        <v>4.56</v>
      </c>
      <c r="W427" s="36" t="n">
        <v>2.15</v>
      </c>
      <c r="X427" s="36" t="n">
        <v>1.55</v>
      </c>
      <c r="Y427" s="28" t="n">
        <v>2.81</v>
      </c>
      <c r="Z427" s="36" t="n">
        <v>2.23</v>
      </c>
      <c r="AA427" s="36" t="n">
        <v>2.38</v>
      </c>
      <c r="AB427" s="36" t="n">
        <v>2.46</v>
      </c>
      <c r="AC427" s="36" t="n">
        <v>2.61</v>
      </c>
      <c r="AD427" s="36" t="n">
        <v>3.9</v>
      </c>
      <c r="AE427" s="36" t="n">
        <v>1.75</v>
      </c>
      <c r="AF427" s="28" t="n">
        <v>2.78</v>
      </c>
      <c r="AG427" s="36" t="n">
        <v>2.12</v>
      </c>
      <c r="AH427" s="37" t="n">
        <v>2.12</v>
      </c>
      <c r="AI427" s="37" t="n">
        <v>2.15</v>
      </c>
      <c r="AJ427" s="37" t="n">
        <v>2.44</v>
      </c>
      <c r="AK427" s="37" t="n">
        <v>2.32</v>
      </c>
      <c r="AL427" s="37" t="n">
        <v>1.66</v>
      </c>
      <c r="AM427" s="37" t="n">
        <v>2.78</v>
      </c>
      <c r="AN427" s="37" t="n">
        <v>2.15</v>
      </c>
      <c r="AO427" s="37" t="n">
        <v>2.12</v>
      </c>
      <c r="AP427" s="37" t="n">
        <v>2.12</v>
      </c>
      <c r="AQ427" s="37" t="n">
        <v>2.32</v>
      </c>
      <c r="AR427" s="37" t="n">
        <v>2.15</v>
      </c>
      <c r="AS427" s="37" t="n">
        <v>1.6</v>
      </c>
      <c r="AT427" s="37" t="n">
        <v>2.89</v>
      </c>
      <c r="AU427" s="37" t="n">
        <v>2.46</v>
      </c>
      <c r="AV427" s="37" t="n">
        <v>2.18</v>
      </c>
      <c r="AW427" s="37" t="n">
        <v>2.09</v>
      </c>
      <c r="AX427" s="37" t="n">
        <v>2.32</v>
      </c>
      <c r="AY427" s="37" t="n">
        <v>2.12</v>
      </c>
      <c r="AZ427" s="37" t="n">
        <v>1.6</v>
      </c>
      <c r="BA427" s="37" t="n">
        <v>2.44</v>
      </c>
      <c r="BB427" s="37" t="n">
        <v>0.57</v>
      </c>
      <c r="BC427" s="37" t="n">
        <v>0.37</v>
      </c>
      <c r="BD427" s="37" t="n">
        <v>0.46</v>
      </c>
      <c r="BE427" s="37" t="n">
        <v>0.6</v>
      </c>
      <c r="BF427" s="37" t="n">
        <v>0.6</v>
      </c>
      <c r="BG427" s="37" t="n">
        <v>0.4</v>
      </c>
      <c r="BH427" s="37" t="n">
        <v>0.77</v>
      </c>
      <c r="BI427" s="37" t="n">
        <v>0.6</v>
      </c>
      <c r="BJ427" s="37" t="n">
        <v>0.97</v>
      </c>
      <c r="BK427" s="37" t="n">
        <v>0.63</v>
      </c>
      <c r="BL427" s="37" t="n">
        <v>0.6</v>
      </c>
      <c r="BM427" s="37" t="n">
        <v>0.6</v>
      </c>
      <c r="BN427" s="37" t="n">
        <v>0.46</v>
      </c>
      <c r="BO427" s="37" t="n">
        <v>0.89</v>
      </c>
      <c r="BP427" s="37" t="n">
        <v>0.6899999999999999</v>
      </c>
      <c r="BQ427" s="37" t="n">
        <v>0.63</v>
      </c>
      <c r="BR427" s="37" t="n">
        <v>0.63</v>
      </c>
      <c r="BS427" s="37" t="n">
        <v>0.6</v>
      </c>
      <c r="BT427" s="37" t="n">
        <v>0.6</v>
      </c>
      <c r="BU427" s="37" t="n">
        <v>0.4</v>
      </c>
      <c r="BV427" s="37" t="n">
        <v>0.66</v>
      </c>
      <c r="BW427" s="37" t="n">
        <v>0.6</v>
      </c>
      <c r="BX427" s="37" t="n">
        <v>0.63</v>
      </c>
      <c r="BY427" s="37" t="n">
        <v>0.63</v>
      </c>
      <c r="BZ427" s="37" t="n">
        <v>0.6</v>
      </c>
      <c r="CA427" s="37" t="n">
        <v>0.6</v>
      </c>
      <c r="CB427" s="37" t="n">
        <v>0.4</v>
      </c>
      <c r="CC427" s="37" t="n">
        <v>117.0199999999999</v>
      </c>
    </row>
    <row r="428" ht="15.75" customHeight="1" s="57">
      <c r="A428" s="7" t="inlineStr">
        <is>
          <t>NTB</t>
        </is>
      </c>
      <c r="B428" s="7" t="inlineStr">
        <is>
          <t>Lâm Đồng</t>
        </is>
      </c>
      <c r="C428" s="7" t="n">
        <v>21688000</v>
      </c>
      <c r="D428" s="7" t="inlineStr">
        <is>
          <t>(LDO) 1 Bảo Lộc</t>
        </is>
      </c>
      <c r="E428" s="7" t="inlineStr">
        <is>
          <t>SME</t>
        </is>
      </c>
      <c r="F428" s="36" t="n">
        <v>294</v>
      </c>
      <c r="G428" s="36" t="n">
        <v>317</v>
      </c>
      <c r="H428" s="36" t="n">
        <v>302</v>
      </c>
      <c r="I428" s="36" t="n">
        <v>346</v>
      </c>
      <c r="J428" s="36" t="n">
        <v>250</v>
      </c>
      <c r="K428" s="28" t="n">
        <v>306</v>
      </c>
      <c r="L428" s="36" t="n">
        <v>249</v>
      </c>
      <c r="M428" s="36" t="n">
        <v>143</v>
      </c>
      <c r="N428" s="36" t="n">
        <v>279</v>
      </c>
      <c r="O428" s="36" t="n">
        <v>242</v>
      </c>
      <c r="P428" s="36" t="n">
        <v>301</v>
      </c>
      <c r="Q428" s="36" t="n">
        <v>196</v>
      </c>
      <c r="R428" s="28" t="n">
        <v>246</v>
      </c>
      <c r="S428" s="36" t="n">
        <v>259</v>
      </c>
      <c r="T428" s="36" t="n">
        <v>195</v>
      </c>
      <c r="U428" s="36" t="n">
        <v>307.65</v>
      </c>
      <c r="V428" s="36" t="n">
        <v>318.68</v>
      </c>
      <c r="W428" s="36" t="n">
        <v>309.84</v>
      </c>
      <c r="X428" s="36" t="n">
        <v>253.44</v>
      </c>
      <c r="Y428" s="28" t="n">
        <v>343.36</v>
      </c>
      <c r="Z428" s="36" t="n">
        <v>316.35</v>
      </c>
      <c r="AA428" s="36" t="n">
        <v>308.54</v>
      </c>
      <c r="AB428" s="36" t="n">
        <v>307.65</v>
      </c>
      <c r="AC428" s="36" t="n">
        <v>318.68</v>
      </c>
      <c r="AD428" s="36" t="n">
        <v>320.31</v>
      </c>
      <c r="AE428" s="36" t="n">
        <v>253.44</v>
      </c>
      <c r="AF428" s="28" t="n">
        <v>343.36</v>
      </c>
      <c r="AG428" s="36" t="n">
        <v>316.35</v>
      </c>
      <c r="AH428" s="37" t="n">
        <v>308.54</v>
      </c>
      <c r="AI428" s="37" t="n">
        <v>307.65</v>
      </c>
      <c r="AJ428" s="37" t="n">
        <v>318.68</v>
      </c>
      <c r="AK428" s="37" t="n">
        <v>309.84</v>
      </c>
      <c r="AL428" s="37" t="n">
        <v>253.44</v>
      </c>
      <c r="AM428" s="37" t="n">
        <v>343.36</v>
      </c>
      <c r="AN428" s="37" t="n">
        <v>316.35</v>
      </c>
      <c r="AO428" s="37" t="n">
        <v>308.54</v>
      </c>
      <c r="AP428" s="37" t="n">
        <v>307.65</v>
      </c>
      <c r="AQ428" s="37" t="n">
        <v>318.68</v>
      </c>
      <c r="AR428" s="37" t="n">
        <v>309.84</v>
      </c>
      <c r="AS428" s="37" t="n">
        <v>253.44</v>
      </c>
      <c r="AT428" s="37" t="n">
        <v>343.36</v>
      </c>
      <c r="AU428" s="37" t="n">
        <v>316.35</v>
      </c>
      <c r="AV428" s="37" t="n">
        <v>308.54</v>
      </c>
      <c r="AW428" s="37" t="n">
        <v>307.65</v>
      </c>
      <c r="AX428" s="37" t="n">
        <v>318.68</v>
      </c>
      <c r="AY428" s="37" t="n">
        <v>309.84</v>
      </c>
      <c r="AZ428" s="37" t="n">
        <v>253.44</v>
      </c>
      <c r="BA428" s="37" t="n">
        <v>308.89</v>
      </c>
      <c r="BB428" s="37" t="n">
        <v>277.46</v>
      </c>
      <c r="BC428" s="37" t="n">
        <v>175.29</v>
      </c>
      <c r="BD428" s="37" t="n">
        <v>174.76</v>
      </c>
      <c r="BE428" s="37" t="n">
        <v>295.44</v>
      </c>
      <c r="BF428" s="37" t="n">
        <v>287.87</v>
      </c>
      <c r="BG428" s="37" t="n">
        <v>261.55</v>
      </c>
      <c r="BH428" s="37" t="n">
        <v>354.25</v>
      </c>
      <c r="BI428" s="37" t="n">
        <v>326.24</v>
      </c>
      <c r="BJ428" s="37" t="n">
        <v>329.07</v>
      </c>
      <c r="BK428" s="37" t="n">
        <v>317.21</v>
      </c>
      <c r="BL428" s="37" t="n">
        <v>328.68</v>
      </c>
      <c r="BM428" s="37" t="n">
        <v>319.41</v>
      </c>
      <c r="BN428" s="37" t="n">
        <v>261.55</v>
      </c>
      <c r="BO428" s="37" t="n">
        <v>354.25</v>
      </c>
      <c r="BP428" s="37" t="n">
        <v>326.24</v>
      </c>
      <c r="BQ428" s="37" t="n">
        <v>318.07</v>
      </c>
      <c r="BR428" s="37" t="n">
        <v>317.21</v>
      </c>
      <c r="BS428" s="37" t="n">
        <v>328.68</v>
      </c>
      <c r="BT428" s="37" t="n">
        <v>319.41</v>
      </c>
      <c r="BU428" s="37" t="n">
        <v>261.55</v>
      </c>
      <c r="BV428" s="37" t="n">
        <v>354.25</v>
      </c>
      <c r="BW428" s="37" t="n">
        <v>326.24</v>
      </c>
      <c r="BX428" s="37" t="n">
        <v>318.07</v>
      </c>
      <c r="BY428" s="37" t="n">
        <v>317.21</v>
      </c>
      <c r="BZ428" s="37" t="n">
        <v>328.68</v>
      </c>
      <c r="CA428" s="37" t="n">
        <v>319.41</v>
      </c>
      <c r="CB428" s="37" t="n">
        <v>261.55</v>
      </c>
      <c r="CC428" s="37" t="n">
        <v>22225.01000000001</v>
      </c>
    </row>
    <row r="429" ht="15.75" customHeight="1" s="57">
      <c r="A429" s="7" t="inlineStr">
        <is>
          <t>NTB</t>
        </is>
      </c>
      <c r="B429" s="7" t="inlineStr">
        <is>
          <t>Lâm Đồng</t>
        </is>
      </c>
      <c r="C429" s="7" t="n">
        <v>21688000</v>
      </c>
      <c r="D429" s="7" t="inlineStr">
        <is>
          <t>(LDO) 1 Bảo Lộc</t>
        </is>
      </c>
      <c r="E429" s="7" t="inlineStr">
        <is>
          <t>SME-Bulky</t>
        </is>
      </c>
      <c r="F429" s="36" t="n">
        <v>9</v>
      </c>
      <c r="G429" s="36" t="n">
        <v>7</v>
      </c>
      <c r="H429" s="36" t="n">
        <v>10</v>
      </c>
      <c r="I429" s="36" t="n">
        <v>9</v>
      </c>
      <c r="J429" s="36" t="n">
        <v>11</v>
      </c>
      <c r="K429" s="28" t="n">
        <v>14</v>
      </c>
      <c r="L429" s="36" t="n">
        <v>6</v>
      </c>
      <c r="M429" s="36" t="n">
        <v>11</v>
      </c>
      <c r="N429" s="36" t="n">
        <v>12</v>
      </c>
      <c r="O429" s="36" t="n">
        <v>5</v>
      </c>
      <c r="P429" s="36" t="n">
        <v>16</v>
      </c>
      <c r="Q429" s="36" t="n">
        <v>10</v>
      </c>
      <c r="R429" s="28" t="n">
        <v>8</v>
      </c>
      <c r="S429" s="36" t="n">
        <v>15</v>
      </c>
      <c r="T429" s="36" t="n">
        <v>7</v>
      </c>
      <c r="U429" s="36" t="n">
        <v>10.38</v>
      </c>
      <c r="V429" s="36" t="n">
        <v>10.27</v>
      </c>
      <c r="W429" s="36" t="n">
        <v>9.699999999999999</v>
      </c>
      <c r="X429" s="36" t="n">
        <v>6.46</v>
      </c>
      <c r="Y429" s="28" t="n">
        <v>11.6</v>
      </c>
      <c r="Z429" s="36" t="n">
        <v>11.08</v>
      </c>
      <c r="AA429" s="36" t="n">
        <v>10.92</v>
      </c>
      <c r="AB429" s="36" t="n">
        <v>10.38</v>
      </c>
      <c r="AC429" s="36" t="n">
        <v>10.27</v>
      </c>
      <c r="AD429" s="36" t="n">
        <v>9.119999999999999</v>
      </c>
      <c r="AE429" s="36" t="n">
        <v>6.46</v>
      </c>
      <c r="AF429" s="28" t="n">
        <v>11.6</v>
      </c>
      <c r="AG429" s="36" t="n">
        <v>11.08</v>
      </c>
      <c r="AH429" s="37" t="n">
        <v>10.92</v>
      </c>
      <c r="AI429" s="37" t="n">
        <v>10.38</v>
      </c>
      <c r="AJ429" s="37" t="n">
        <v>10.27</v>
      </c>
      <c r="AK429" s="37" t="n">
        <v>9.699999999999999</v>
      </c>
      <c r="AL429" s="37" t="n">
        <v>6.46</v>
      </c>
      <c r="AM429" s="37" t="n">
        <v>11.6</v>
      </c>
      <c r="AN429" s="37" t="n">
        <v>11.08</v>
      </c>
      <c r="AO429" s="37" t="n">
        <v>10.92</v>
      </c>
      <c r="AP429" s="37" t="n">
        <v>10.38</v>
      </c>
      <c r="AQ429" s="37" t="n">
        <v>10.27</v>
      </c>
      <c r="AR429" s="37" t="n">
        <v>9.699999999999999</v>
      </c>
      <c r="AS429" s="37" t="n">
        <v>6.46</v>
      </c>
      <c r="AT429" s="37" t="n">
        <v>11.6</v>
      </c>
      <c r="AU429" s="37" t="n">
        <v>11.08</v>
      </c>
      <c r="AV429" s="37" t="n">
        <v>10.92</v>
      </c>
      <c r="AW429" s="37" t="n">
        <v>10.38</v>
      </c>
      <c r="AX429" s="37" t="n">
        <v>10.27</v>
      </c>
      <c r="AY429" s="37" t="n">
        <v>9.699999999999999</v>
      </c>
      <c r="AZ429" s="37" t="n">
        <v>6.46</v>
      </c>
      <c r="BA429" s="37" t="n">
        <v>11.64</v>
      </c>
      <c r="BB429" s="37" t="n">
        <v>6.12</v>
      </c>
      <c r="BC429" s="37" t="n">
        <v>3.11</v>
      </c>
      <c r="BD429" s="37" t="n">
        <v>2.81</v>
      </c>
      <c r="BE429" s="37" t="n">
        <v>5.36</v>
      </c>
      <c r="BF429" s="37" t="n">
        <v>4.98</v>
      </c>
      <c r="BG429" s="37" t="n">
        <v>3.87</v>
      </c>
      <c r="BH429" s="37" t="n">
        <v>6.73</v>
      </c>
      <c r="BI429" s="37" t="n">
        <v>6.69</v>
      </c>
      <c r="BJ429" s="37" t="n">
        <v>5.79</v>
      </c>
      <c r="BK429" s="37" t="n">
        <v>6.15</v>
      </c>
      <c r="BL429" s="37" t="n">
        <v>6.17</v>
      </c>
      <c r="BM429" s="37" t="n">
        <v>5.74</v>
      </c>
      <c r="BN429" s="37" t="n">
        <v>3.87</v>
      </c>
      <c r="BO429" s="37" t="n">
        <v>6.73</v>
      </c>
      <c r="BP429" s="37" t="n">
        <v>6.69</v>
      </c>
      <c r="BQ429" s="37" t="n">
        <v>6.37</v>
      </c>
      <c r="BR429" s="37" t="n">
        <v>6.15</v>
      </c>
      <c r="BS429" s="37" t="n">
        <v>6.17</v>
      </c>
      <c r="BT429" s="37" t="n">
        <v>5.74</v>
      </c>
      <c r="BU429" s="37" t="n">
        <v>3.87</v>
      </c>
      <c r="BV429" s="37" t="n">
        <v>6.73</v>
      </c>
      <c r="BW429" s="37" t="n">
        <v>6.69</v>
      </c>
      <c r="BX429" s="37" t="n">
        <v>6.37</v>
      </c>
      <c r="BY429" s="37" t="n">
        <v>6.15</v>
      </c>
      <c r="BZ429" s="37" t="n">
        <v>6.17</v>
      </c>
      <c r="CA429" s="37" t="n">
        <v>5.74</v>
      </c>
      <c r="CB429" s="37" t="n">
        <v>3.87</v>
      </c>
      <c r="CC429" s="37" t="n">
        <v>630.3399999999999</v>
      </c>
    </row>
    <row r="430" ht="15.75" customHeight="1" s="57">
      <c r="A430" s="7" t="inlineStr">
        <is>
          <t>NTB</t>
        </is>
      </c>
      <c r="B430" s="7" t="inlineStr">
        <is>
          <t>Lâm Đồng</t>
        </is>
      </c>
      <c r="C430" s="7" t="n">
        <v>21688000</v>
      </c>
      <c r="D430" s="7" t="inlineStr">
        <is>
          <t>(LDO) 1 Bảo Lộc</t>
        </is>
      </c>
      <c r="E430" s="7" t="inlineStr">
        <is>
          <t>Shopee</t>
        </is>
      </c>
      <c r="F430" s="36" t="n">
        <v>224</v>
      </c>
      <c r="G430" s="36" t="n">
        <v>288</v>
      </c>
      <c r="H430" s="36" t="n">
        <v>276</v>
      </c>
      <c r="I430" s="36" t="n">
        <v>239</v>
      </c>
      <c r="J430" s="36" t="n">
        <v>174</v>
      </c>
      <c r="K430" s="28" t="n">
        <v>144</v>
      </c>
      <c r="L430" s="36" t="n">
        <v>142</v>
      </c>
      <c r="M430" s="36" t="n">
        <v>121</v>
      </c>
      <c r="N430" s="36" t="n">
        <v>302</v>
      </c>
      <c r="O430" s="36" t="n">
        <v>269</v>
      </c>
      <c r="P430" s="36" t="n">
        <v>265</v>
      </c>
      <c r="Q430" s="36" t="n">
        <v>120</v>
      </c>
      <c r="R430" s="28" t="n">
        <v>167</v>
      </c>
      <c r="S430" s="36" t="n">
        <v>215</v>
      </c>
      <c r="T430" s="36" t="n">
        <v>188</v>
      </c>
      <c r="U430" s="36" t="n">
        <v>335.4</v>
      </c>
      <c r="V430" s="36" t="n">
        <v>336.6</v>
      </c>
      <c r="W430" s="36" t="n">
        <v>331.77</v>
      </c>
      <c r="X430" s="36" t="n">
        <v>269.8</v>
      </c>
      <c r="Y430" s="28" t="n">
        <v>451.94</v>
      </c>
      <c r="Z430" s="36" t="n">
        <v>357.77</v>
      </c>
      <c r="AA430" s="36" t="n">
        <v>492.03</v>
      </c>
      <c r="AB430" s="36" t="n">
        <v>342.32</v>
      </c>
      <c r="AC430" s="36" t="n">
        <v>276.24</v>
      </c>
      <c r="AD430" s="36" t="n">
        <v>719.97</v>
      </c>
      <c r="AE430" s="36" t="n">
        <v>288.95</v>
      </c>
      <c r="AF430" s="28" t="n">
        <v>515.13</v>
      </c>
      <c r="AG430" s="36" t="n">
        <v>375.64</v>
      </c>
      <c r="AH430" s="37" t="n">
        <v>396.57</v>
      </c>
      <c r="AI430" s="37" t="n">
        <v>335.4</v>
      </c>
      <c r="AJ430" s="37" t="n">
        <v>336.6</v>
      </c>
      <c r="AK430" s="37" t="n">
        <v>447.68</v>
      </c>
      <c r="AL430" s="37" t="n">
        <v>484.54</v>
      </c>
      <c r="AM430" s="37" t="n">
        <v>451.94</v>
      </c>
      <c r="AN430" s="37" t="n">
        <v>357.77</v>
      </c>
      <c r="AO430" s="37" t="n">
        <v>396.57</v>
      </c>
      <c r="AP430" s="37" t="n">
        <v>418.7</v>
      </c>
      <c r="AQ430" s="37" t="n">
        <v>269.88</v>
      </c>
      <c r="AR430" s="37" t="n">
        <v>331.77</v>
      </c>
      <c r="AS430" s="37" t="n">
        <v>269.8</v>
      </c>
      <c r="AT430" s="37" t="n">
        <v>451.94</v>
      </c>
      <c r="AU430" s="37" t="n">
        <v>365.18</v>
      </c>
      <c r="AV430" s="37" t="n">
        <v>404.62</v>
      </c>
      <c r="AW430" s="37" t="n">
        <v>335.4</v>
      </c>
      <c r="AX430" s="37" t="n">
        <v>336.6</v>
      </c>
      <c r="AY430" s="37" t="n">
        <v>331.77</v>
      </c>
      <c r="AZ430" s="37" t="n">
        <v>269.8</v>
      </c>
      <c r="BA430" s="37" t="n">
        <v>348.11</v>
      </c>
      <c r="BB430" s="37" t="n">
        <v>303.12</v>
      </c>
      <c r="BC430" s="37" t="n">
        <v>155.02</v>
      </c>
      <c r="BD430" s="37" t="n">
        <v>274.71</v>
      </c>
      <c r="BE430" s="37" t="n">
        <v>320.59</v>
      </c>
      <c r="BF430" s="37" t="n">
        <v>316</v>
      </c>
      <c r="BG430" s="37" t="n">
        <v>262.15</v>
      </c>
      <c r="BH430" s="37" t="n">
        <v>430.45</v>
      </c>
      <c r="BI430" s="37" t="n">
        <v>279.94</v>
      </c>
      <c r="BJ430" s="37" t="n">
        <v>1021.8</v>
      </c>
      <c r="BK430" s="37" t="n">
        <v>342</v>
      </c>
      <c r="BL430" s="37" t="n">
        <v>336.76</v>
      </c>
      <c r="BM430" s="37" t="n">
        <v>316</v>
      </c>
      <c r="BN430" s="37" t="n">
        <v>257</v>
      </c>
      <c r="BO430" s="37" t="n">
        <v>430.45</v>
      </c>
      <c r="BP430" s="37" t="n">
        <v>459.83</v>
      </c>
      <c r="BQ430" s="37" t="n">
        <v>678.76</v>
      </c>
      <c r="BR430" s="37" t="n">
        <v>319.54</v>
      </c>
      <c r="BS430" s="37" t="n">
        <v>320.59</v>
      </c>
      <c r="BT430" s="37" t="n">
        <v>316</v>
      </c>
      <c r="BU430" s="37" t="n">
        <v>321.07</v>
      </c>
      <c r="BV430" s="37" t="n">
        <v>344.89</v>
      </c>
      <c r="BW430" s="37" t="n">
        <v>340.71</v>
      </c>
      <c r="BX430" s="37" t="n">
        <v>377.73</v>
      </c>
      <c r="BY430" s="37" t="n">
        <v>319.54</v>
      </c>
      <c r="BZ430" s="37" t="n">
        <v>327.35</v>
      </c>
      <c r="CA430" s="37" t="n">
        <v>322.11</v>
      </c>
      <c r="CB430" s="37" t="n">
        <v>257</v>
      </c>
      <c r="CC430" s="37" t="n">
        <v>25319.31</v>
      </c>
    </row>
    <row r="431" ht="15.75" customHeight="1" s="57">
      <c r="A431" s="7" t="inlineStr">
        <is>
          <t>NTB</t>
        </is>
      </c>
      <c r="B431" s="7" t="inlineStr">
        <is>
          <t>Lâm Đồng</t>
        </is>
      </c>
      <c r="C431" s="7" t="n">
        <v>21688000</v>
      </c>
      <c r="D431" s="7" t="inlineStr">
        <is>
          <t>(LDO) 1 Bảo Lộc</t>
        </is>
      </c>
      <c r="E431" s="7" t="inlineStr">
        <is>
          <t>Shopee-Bulky</t>
        </is>
      </c>
      <c r="F431" s="36" t="n">
        <v>13.95</v>
      </c>
      <c r="G431" s="36" t="n">
        <v>15.22</v>
      </c>
      <c r="H431" s="36" t="n">
        <v>18.39</v>
      </c>
      <c r="I431" s="36" t="n">
        <v>14.58</v>
      </c>
      <c r="J431" s="36" t="n">
        <v>19.02</v>
      </c>
      <c r="K431" s="28" t="n">
        <v>6.97</v>
      </c>
      <c r="L431" s="36" t="n">
        <v>12.68</v>
      </c>
      <c r="M431" s="36" t="n">
        <v>21.56</v>
      </c>
      <c r="N431" s="36" t="n">
        <v>19.02</v>
      </c>
      <c r="O431" s="36" t="n">
        <v>14.58</v>
      </c>
      <c r="P431" s="36" t="n">
        <v>8.880000000000001</v>
      </c>
      <c r="Q431" s="36" t="n">
        <v>13.95</v>
      </c>
      <c r="R431" s="28" t="n">
        <v>15.22</v>
      </c>
      <c r="S431" s="36" t="n">
        <v>9.51</v>
      </c>
      <c r="T431" s="36" t="n">
        <v>19.66</v>
      </c>
      <c r="U431" s="36" t="n">
        <v>13.68</v>
      </c>
      <c r="V431" s="36" t="n">
        <v>13.19</v>
      </c>
      <c r="W431" s="36" t="n">
        <v>18.13</v>
      </c>
      <c r="X431" s="36" t="n">
        <v>10.26</v>
      </c>
      <c r="Y431" s="28" t="n">
        <v>20.08</v>
      </c>
      <c r="Z431" s="36" t="n">
        <v>15.88</v>
      </c>
      <c r="AA431" s="36" t="n">
        <v>15.42</v>
      </c>
      <c r="AB431" s="36" t="n">
        <v>15.61</v>
      </c>
      <c r="AC431" s="36" t="n">
        <v>16.39</v>
      </c>
      <c r="AD431" s="36" t="n">
        <v>44.16</v>
      </c>
      <c r="AE431" s="36" t="n">
        <v>26.36</v>
      </c>
      <c r="AF431" s="28" t="n">
        <v>39.3</v>
      </c>
      <c r="AG431" s="36" t="n">
        <v>22.32</v>
      </c>
      <c r="AH431" s="37" t="n">
        <v>15.69</v>
      </c>
      <c r="AI431" s="37" t="n">
        <v>15.1</v>
      </c>
      <c r="AJ431" s="37" t="n">
        <v>14.97</v>
      </c>
      <c r="AK431" s="37" t="n">
        <v>33.9</v>
      </c>
      <c r="AL431" s="37" t="n">
        <v>17.25</v>
      </c>
      <c r="AM431" s="37" t="n">
        <v>24.63</v>
      </c>
      <c r="AN431" s="37" t="n">
        <v>15.59</v>
      </c>
      <c r="AO431" s="37" t="n">
        <v>15.28</v>
      </c>
      <c r="AP431" s="37" t="n">
        <v>20.63</v>
      </c>
      <c r="AQ431" s="37" t="n">
        <v>20.51</v>
      </c>
      <c r="AR431" s="37" t="n">
        <v>16.31</v>
      </c>
      <c r="AS431" s="37" t="n">
        <v>9.02</v>
      </c>
      <c r="AT431" s="37" t="n">
        <v>18.44</v>
      </c>
      <c r="AU431" s="37" t="n">
        <v>30.34</v>
      </c>
      <c r="AV431" s="37" t="n">
        <v>31.48</v>
      </c>
      <c r="AW431" s="37" t="n">
        <v>15.32</v>
      </c>
      <c r="AX431" s="37" t="n">
        <v>14.38</v>
      </c>
      <c r="AY431" s="37" t="n">
        <v>15.61</v>
      </c>
      <c r="AZ431" s="37" t="n">
        <v>8.68</v>
      </c>
      <c r="BA431" s="37" t="n">
        <v>16.86</v>
      </c>
      <c r="BB431" s="37" t="n">
        <v>15.67</v>
      </c>
      <c r="BC431" s="37" t="n">
        <v>5.27</v>
      </c>
      <c r="BD431" s="37" t="n">
        <v>13.41</v>
      </c>
      <c r="BE431" s="37" t="n">
        <v>16.49</v>
      </c>
      <c r="BF431" s="37" t="n">
        <v>14.17</v>
      </c>
      <c r="BG431" s="37" t="n">
        <v>11.77</v>
      </c>
      <c r="BH431" s="37" t="n">
        <v>21.58</v>
      </c>
      <c r="BI431" s="37" t="n">
        <v>18.42</v>
      </c>
      <c r="BJ431" s="37" t="n">
        <v>70.25</v>
      </c>
      <c r="BK431" s="37" t="n">
        <v>38.97</v>
      </c>
      <c r="BL431" s="37" t="n">
        <v>20.08</v>
      </c>
      <c r="BM431" s="37" t="n">
        <v>14.97</v>
      </c>
      <c r="BN431" s="37" t="n">
        <v>11.36</v>
      </c>
      <c r="BO431" s="37" t="n">
        <v>25.08</v>
      </c>
      <c r="BP431" s="37" t="n">
        <v>36.63</v>
      </c>
      <c r="BQ431" s="37" t="n">
        <v>26.5</v>
      </c>
      <c r="BR431" s="37" t="n">
        <v>17.43</v>
      </c>
      <c r="BS431" s="37" t="n">
        <v>16.49</v>
      </c>
      <c r="BT431" s="37" t="n">
        <v>14.17</v>
      </c>
      <c r="BU431" s="37" t="n">
        <v>16.72</v>
      </c>
      <c r="BV431" s="37" t="n">
        <v>22.85</v>
      </c>
      <c r="BW431" s="37" t="n">
        <v>18.42</v>
      </c>
      <c r="BX431" s="37" t="n">
        <v>17.78</v>
      </c>
      <c r="BY431" s="37" t="n">
        <v>17.43</v>
      </c>
      <c r="BZ431" s="37" t="n">
        <v>29.88</v>
      </c>
      <c r="CA431" s="37" t="n">
        <v>17.23</v>
      </c>
      <c r="CB431" s="37" t="n">
        <v>11.22</v>
      </c>
      <c r="CC431" s="37" t="n">
        <v>1424.2</v>
      </c>
    </row>
    <row r="432" ht="15.75" customHeight="1" s="57">
      <c r="A432" s="7" t="inlineStr">
        <is>
          <t>NTB</t>
        </is>
      </c>
      <c r="B432" s="7" t="inlineStr">
        <is>
          <t>Lâm Đồng</t>
        </is>
      </c>
      <c r="C432" s="7" t="n">
        <v>21688000</v>
      </c>
      <c r="D432" s="7" t="inlineStr">
        <is>
          <t>(LDO) 1 Bảo Lộc</t>
        </is>
      </c>
      <c r="E432" s="7" t="inlineStr">
        <is>
          <t>Shopee-Bulky (10-15kg)</t>
        </is>
      </c>
      <c r="F432" s="36" t="n">
        <v>8.050000000000001</v>
      </c>
      <c r="G432" s="36" t="n">
        <v>8.779999999999999</v>
      </c>
      <c r="H432" s="36" t="n">
        <v>10.61</v>
      </c>
      <c r="I432" s="36" t="n">
        <v>8.42</v>
      </c>
      <c r="J432" s="36" t="n">
        <v>10.98</v>
      </c>
      <c r="K432" s="28" t="n">
        <v>4.03</v>
      </c>
      <c r="L432" s="36" t="n">
        <v>7.32</v>
      </c>
      <c r="M432" s="36" t="n">
        <v>12.44</v>
      </c>
      <c r="N432" s="36" t="n">
        <v>10.98</v>
      </c>
      <c r="O432" s="36" t="n">
        <v>8.42</v>
      </c>
      <c r="P432" s="36" t="n">
        <v>5.12</v>
      </c>
      <c r="Q432" s="36" t="n">
        <v>8.050000000000001</v>
      </c>
      <c r="R432" s="28" t="n">
        <v>8.779999999999999</v>
      </c>
      <c r="S432" s="36" t="n">
        <v>5.49</v>
      </c>
      <c r="T432" s="36" t="n">
        <v>11.34</v>
      </c>
      <c r="U432" s="36" t="n">
        <v>8.220000000000001</v>
      </c>
      <c r="V432" s="36" t="n">
        <v>7.88</v>
      </c>
      <c r="W432" s="36" t="n">
        <v>10.38</v>
      </c>
      <c r="X432" s="36" t="n">
        <v>5.87</v>
      </c>
      <c r="Y432" s="28" t="n">
        <v>11.65</v>
      </c>
      <c r="Z432" s="36" t="n">
        <v>9.09</v>
      </c>
      <c r="AA432" s="36" t="n">
        <v>8.529999999999999</v>
      </c>
      <c r="AB432" s="36" t="n">
        <v>8.94</v>
      </c>
      <c r="AC432" s="36" t="n">
        <v>9.25</v>
      </c>
      <c r="AD432" s="36" t="n">
        <v>35.38</v>
      </c>
      <c r="AE432" s="36" t="n">
        <v>14.77</v>
      </c>
      <c r="AF432" s="28" t="n">
        <v>21.56</v>
      </c>
      <c r="AG432" s="36" t="n">
        <v>12.86</v>
      </c>
      <c r="AH432" s="37" t="n">
        <v>8.960000000000001</v>
      </c>
      <c r="AI432" s="37" t="n">
        <v>8.720000000000001</v>
      </c>
      <c r="AJ432" s="37" t="n">
        <v>8.449999999999999</v>
      </c>
      <c r="AK432" s="37" t="n">
        <v>19.9</v>
      </c>
      <c r="AL432" s="37" t="n">
        <v>9.66</v>
      </c>
      <c r="AM432" s="37" t="n">
        <v>14.3</v>
      </c>
      <c r="AN432" s="37" t="n">
        <v>8.98</v>
      </c>
      <c r="AO432" s="37" t="n">
        <v>8.609999999999999</v>
      </c>
      <c r="AP432" s="37" t="n">
        <v>11.34</v>
      </c>
      <c r="AQ432" s="37" t="n">
        <v>11.57</v>
      </c>
      <c r="AR432" s="37" t="n">
        <v>9.369999999999999</v>
      </c>
      <c r="AS432" s="37" t="n">
        <v>5.15</v>
      </c>
      <c r="AT432" s="37" t="n">
        <v>10.67</v>
      </c>
      <c r="AU432" s="37" t="n">
        <v>18.05</v>
      </c>
      <c r="AV432" s="37" t="n">
        <v>18.09</v>
      </c>
      <c r="AW432" s="37" t="n">
        <v>8.699999999999999</v>
      </c>
      <c r="AX432" s="37" t="n">
        <v>8.06</v>
      </c>
      <c r="AY432" s="37" t="n">
        <v>8.98</v>
      </c>
      <c r="AZ432" s="37" t="n">
        <v>4.94</v>
      </c>
      <c r="BA432" s="37" t="n">
        <v>9.74</v>
      </c>
      <c r="BB432" s="37" t="n">
        <v>9.050000000000001</v>
      </c>
      <c r="BC432" s="37" t="n">
        <v>3.16</v>
      </c>
      <c r="BD432" s="37" t="n">
        <v>7.59</v>
      </c>
      <c r="BE432" s="37" t="n">
        <v>9.460000000000001</v>
      </c>
      <c r="BF432" s="37" t="n">
        <v>8.25</v>
      </c>
      <c r="BG432" s="37" t="n">
        <v>6.77</v>
      </c>
      <c r="BH432" s="37" t="n">
        <v>12.63</v>
      </c>
      <c r="BI432" s="37" t="n">
        <v>10.67</v>
      </c>
      <c r="BJ432" s="37" t="n">
        <v>48.73</v>
      </c>
      <c r="BK432" s="37" t="n">
        <v>22.6</v>
      </c>
      <c r="BL432" s="37" t="n">
        <v>11.61</v>
      </c>
      <c r="BM432" s="37" t="n">
        <v>8.57</v>
      </c>
      <c r="BN432" s="37" t="n">
        <v>6.62</v>
      </c>
      <c r="BO432" s="37" t="n">
        <v>14.38</v>
      </c>
      <c r="BP432" s="37" t="n">
        <v>21.31</v>
      </c>
      <c r="BQ432" s="37" t="n">
        <v>15.4</v>
      </c>
      <c r="BR432" s="37" t="n">
        <v>10.01</v>
      </c>
      <c r="BS432" s="37" t="n">
        <v>9.460000000000001</v>
      </c>
      <c r="BT432" s="37" t="n">
        <v>8.25</v>
      </c>
      <c r="BU432" s="37" t="n">
        <v>9.56</v>
      </c>
      <c r="BV432" s="37" t="n">
        <v>13.13</v>
      </c>
      <c r="BW432" s="37" t="n">
        <v>10.67</v>
      </c>
      <c r="BX432" s="37" t="n">
        <v>10.17</v>
      </c>
      <c r="BY432" s="37" t="n">
        <v>10.01</v>
      </c>
      <c r="BZ432" s="37" t="n">
        <v>17.31</v>
      </c>
      <c r="CA432" s="37" t="n">
        <v>9.869999999999999</v>
      </c>
      <c r="CB432" s="37" t="n">
        <v>6.38</v>
      </c>
      <c r="CC432" s="37" t="n">
        <v>837.0499999999998</v>
      </c>
    </row>
    <row r="433" ht="15.75" customHeight="1" s="57">
      <c r="A433" s="7" t="inlineStr">
        <is>
          <t>NTB</t>
        </is>
      </c>
      <c r="B433" s="7" t="inlineStr">
        <is>
          <t>Lâm Đồng</t>
        </is>
      </c>
      <c r="C433" s="7" t="n">
        <v>21688000</v>
      </c>
      <c r="D433" s="7" t="inlineStr">
        <is>
          <t>(LDO) 1 Bảo Lộc</t>
        </is>
      </c>
      <c r="E433" s="7" t="inlineStr">
        <is>
          <t>TTS</t>
        </is>
      </c>
      <c r="F433" s="36" t="n">
        <v>165</v>
      </c>
      <c r="G433" s="36" t="n">
        <v>178</v>
      </c>
      <c r="H433" s="36" t="n">
        <v>174</v>
      </c>
      <c r="I433" s="36" t="n">
        <v>177</v>
      </c>
      <c r="J433" s="36" t="n">
        <v>141</v>
      </c>
      <c r="K433" s="28" t="n">
        <v>173</v>
      </c>
      <c r="L433" s="36" t="n">
        <v>131</v>
      </c>
      <c r="M433" s="36" t="n">
        <v>74</v>
      </c>
      <c r="N433" s="36" t="n">
        <v>192</v>
      </c>
      <c r="O433" s="36" t="n">
        <v>172</v>
      </c>
      <c r="P433" s="36" t="n">
        <v>181</v>
      </c>
      <c r="Q433" s="36" t="n">
        <v>108</v>
      </c>
      <c r="R433" s="28" t="n">
        <v>139</v>
      </c>
      <c r="S433" s="36" t="n">
        <v>162</v>
      </c>
      <c r="T433" s="36" t="n">
        <v>144</v>
      </c>
      <c r="U433" s="36" t="n">
        <v>115.47</v>
      </c>
      <c r="V433" s="36" t="n">
        <v>113.51</v>
      </c>
      <c r="W433" s="36" t="n">
        <v>110.94</v>
      </c>
      <c r="X433" s="36" t="n">
        <v>89.55</v>
      </c>
      <c r="Y433" s="28" t="n">
        <v>130.06</v>
      </c>
      <c r="Z433" s="36" t="n">
        <v>110.68</v>
      </c>
      <c r="AA433" s="36" t="n">
        <v>122.8</v>
      </c>
      <c r="AB433" s="36" t="n">
        <v>136.54</v>
      </c>
      <c r="AC433" s="36" t="n">
        <v>143.75</v>
      </c>
      <c r="AD433" s="36" t="n">
        <v>147.09</v>
      </c>
      <c r="AE433" s="36" t="n">
        <v>104.04</v>
      </c>
      <c r="AF433" s="28" t="n">
        <v>134.5</v>
      </c>
      <c r="AG433" s="36" t="n">
        <v>112.86</v>
      </c>
      <c r="AH433" s="37" t="n">
        <v>111.63</v>
      </c>
      <c r="AI433" s="37" t="n">
        <v>127.69</v>
      </c>
      <c r="AJ433" s="37" t="n">
        <v>137.32</v>
      </c>
      <c r="AK433" s="37" t="n">
        <v>135.39</v>
      </c>
      <c r="AL433" s="37" t="n">
        <v>96.5</v>
      </c>
      <c r="AM433" s="37" t="n">
        <v>132.51</v>
      </c>
      <c r="AN433" s="37" t="n">
        <v>114.31</v>
      </c>
      <c r="AO433" s="37" t="n">
        <v>113.71</v>
      </c>
      <c r="AP433" s="37" t="n">
        <v>110.22</v>
      </c>
      <c r="AQ433" s="37" t="n">
        <v>111.19</v>
      </c>
      <c r="AR433" s="37" t="n">
        <v>109.37</v>
      </c>
      <c r="AS433" s="37" t="n">
        <v>90.01000000000001</v>
      </c>
      <c r="AT433" s="37" t="n">
        <v>143.23</v>
      </c>
      <c r="AU433" s="37" t="n">
        <v>129.59</v>
      </c>
      <c r="AV433" s="37" t="n">
        <v>115.28</v>
      </c>
      <c r="AW433" s="37" t="n">
        <v>108.88</v>
      </c>
      <c r="AX433" s="37" t="n">
        <v>108.04</v>
      </c>
      <c r="AY433" s="37" t="n">
        <v>107.93</v>
      </c>
      <c r="AZ433" s="37" t="n">
        <v>90.01000000000001</v>
      </c>
      <c r="BA433" s="37" t="n">
        <v>129.04</v>
      </c>
      <c r="BB433" s="37" t="n">
        <v>120.61</v>
      </c>
      <c r="BC433" s="37" t="n">
        <v>71.84999999999999</v>
      </c>
      <c r="BD433" s="37" t="n">
        <v>103.99</v>
      </c>
      <c r="BE433" s="37" t="n">
        <v>122.42</v>
      </c>
      <c r="BF433" s="37" t="n">
        <v>119.05</v>
      </c>
      <c r="BG433" s="37" t="n">
        <v>96.67999999999999</v>
      </c>
      <c r="BH433" s="37" t="n">
        <v>142.95</v>
      </c>
      <c r="BI433" s="37" t="n">
        <v>120.61</v>
      </c>
      <c r="BJ433" s="37" t="n">
        <v>111.7</v>
      </c>
      <c r="BK433" s="37" t="n">
        <v>122.28</v>
      </c>
      <c r="BL433" s="37" t="n">
        <v>122.42</v>
      </c>
      <c r="BM433" s="37" t="n">
        <v>119.05</v>
      </c>
      <c r="BN433" s="37" t="n">
        <v>96.67999999999999</v>
      </c>
      <c r="BO433" s="37" t="n">
        <v>142.95</v>
      </c>
      <c r="BP433" s="37" t="n">
        <v>120.61</v>
      </c>
      <c r="BQ433" s="37" t="n">
        <v>119.29</v>
      </c>
      <c r="BR433" s="37" t="n">
        <v>122.28</v>
      </c>
      <c r="BS433" s="37" t="n">
        <v>122.42</v>
      </c>
      <c r="BT433" s="37" t="n">
        <v>119.05</v>
      </c>
      <c r="BU433" s="37" t="n">
        <v>96.67999999999999</v>
      </c>
      <c r="BV433" s="37" t="n">
        <v>142.95</v>
      </c>
      <c r="BW433" s="37" t="n">
        <v>120.61</v>
      </c>
      <c r="BX433" s="37" t="n">
        <v>119.29</v>
      </c>
      <c r="BY433" s="37" t="n">
        <v>122.28</v>
      </c>
      <c r="BZ433" s="37" t="n">
        <v>122.42</v>
      </c>
      <c r="CA433" s="37" t="n">
        <v>119.05</v>
      </c>
      <c r="CB433" s="37" t="n">
        <v>96.67999999999999</v>
      </c>
      <c r="CC433" s="37" t="n">
        <v>9361.490000000002</v>
      </c>
    </row>
    <row r="434" ht="15.75" customHeight="1" s="57">
      <c r="A434" s="7" t="inlineStr">
        <is>
          <t>NTB</t>
        </is>
      </c>
      <c r="B434" s="7" t="inlineStr">
        <is>
          <t>Lâm Đồng</t>
        </is>
      </c>
      <c r="C434" s="7" t="n">
        <v>21688000</v>
      </c>
      <c r="D434" s="7" t="inlineStr">
        <is>
          <t>(LDO) 1 Bảo Lộc</t>
        </is>
      </c>
      <c r="E434" s="7" t="inlineStr">
        <is>
          <t>TTS-Bulky</t>
        </is>
      </c>
      <c r="F434" s="36" t="n">
        <v>2</v>
      </c>
      <c r="G434" s="36" t="n">
        <v>0</v>
      </c>
      <c r="H434" s="36" t="n">
        <v>0</v>
      </c>
      <c r="I434" s="36" t="n">
        <v>2</v>
      </c>
      <c r="J434" s="36" t="n">
        <v>2</v>
      </c>
      <c r="K434" s="28" t="n">
        <v>3</v>
      </c>
      <c r="L434" s="36" t="n">
        <v>2</v>
      </c>
      <c r="M434" s="36" t="n">
        <v>1</v>
      </c>
      <c r="N434" s="36" t="n">
        <v>0</v>
      </c>
      <c r="O434" s="36" t="n">
        <v>0</v>
      </c>
      <c r="P434" s="36" t="n">
        <v>1</v>
      </c>
      <c r="Q434" s="36" t="n">
        <v>1</v>
      </c>
      <c r="R434" s="28" t="n">
        <v>0</v>
      </c>
      <c r="S434" s="36" t="n">
        <v>3</v>
      </c>
      <c r="T434" s="36" t="n">
        <v>1</v>
      </c>
      <c r="U434" s="36" t="n">
        <v>3.6</v>
      </c>
      <c r="V434" s="36" t="n">
        <v>3.64</v>
      </c>
      <c r="W434" s="36" t="n">
        <v>1.72</v>
      </c>
      <c r="X434" s="36" t="n">
        <v>1.24</v>
      </c>
      <c r="Y434" s="28" t="n">
        <v>2.25</v>
      </c>
      <c r="Z434" s="36" t="n">
        <v>1.79</v>
      </c>
      <c r="AA434" s="36" t="n">
        <v>1.9</v>
      </c>
      <c r="AB434" s="36" t="n">
        <v>1.97</v>
      </c>
      <c r="AC434" s="36" t="n">
        <v>2.09</v>
      </c>
      <c r="AD434" s="36" t="n">
        <v>3.12</v>
      </c>
      <c r="AE434" s="36" t="n">
        <v>1.4</v>
      </c>
      <c r="AF434" s="28" t="n">
        <v>2.22</v>
      </c>
      <c r="AG434" s="36" t="n">
        <v>1.7</v>
      </c>
      <c r="AH434" s="37" t="n">
        <v>1.7</v>
      </c>
      <c r="AI434" s="37" t="n">
        <v>1.72</v>
      </c>
      <c r="AJ434" s="37" t="n">
        <v>1.95</v>
      </c>
      <c r="AK434" s="37" t="n">
        <v>1.86</v>
      </c>
      <c r="AL434" s="37" t="n">
        <v>1.33</v>
      </c>
      <c r="AM434" s="37" t="n">
        <v>2.22</v>
      </c>
      <c r="AN434" s="37" t="n">
        <v>1.72</v>
      </c>
      <c r="AO434" s="37" t="n">
        <v>1.7</v>
      </c>
      <c r="AP434" s="37" t="n">
        <v>1.7</v>
      </c>
      <c r="AQ434" s="37" t="n">
        <v>1.86</v>
      </c>
      <c r="AR434" s="37" t="n">
        <v>1.72</v>
      </c>
      <c r="AS434" s="37" t="n">
        <v>1.28</v>
      </c>
      <c r="AT434" s="37" t="n">
        <v>2.32</v>
      </c>
      <c r="AU434" s="37" t="n">
        <v>1.97</v>
      </c>
      <c r="AV434" s="37" t="n">
        <v>1.74</v>
      </c>
      <c r="AW434" s="37" t="n">
        <v>1.67</v>
      </c>
      <c r="AX434" s="37" t="n">
        <v>1.86</v>
      </c>
      <c r="AY434" s="37" t="n">
        <v>1.7</v>
      </c>
      <c r="AZ434" s="37" t="n">
        <v>1.28</v>
      </c>
      <c r="BA434" s="37" t="n">
        <v>1.95</v>
      </c>
      <c r="BB434" s="37" t="n">
        <v>0.46</v>
      </c>
      <c r="BC434" s="37" t="n">
        <v>0.3</v>
      </c>
      <c r="BD434" s="37" t="n">
        <v>0.37</v>
      </c>
      <c r="BE434" s="37" t="n">
        <v>0.48</v>
      </c>
      <c r="BF434" s="37" t="n">
        <v>0.48</v>
      </c>
      <c r="BG434" s="37" t="n">
        <v>0.32</v>
      </c>
      <c r="BH434" s="37" t="n">
        <v>0.62</v>
      </c>
      <c r="BI434" s="37" t="n">
        <v>0.48</v>
      </c>
      <c r="BJ434" s="37" t="n">
        <v>0.78</v>
      </c>
      <c r="BK434" s="37" t="n">
        <v>0.5</v>
      </c>
      <c r="BL434" s="37" t="n">
        <v>0.48</v>
      </c>
      <c r="BM434" s="37" t="n">
        <v>0.48</v>
      </c>
      <c r="BN434" s="37" t="n">
        <v>0.37</v>
      </c>
      <c r="BO434" s="37" t="n">
        <v>0.71</v>
      </c>
      <c r="BP434" s="37" t="n">
        <v>0.55</v>
      </c>
      <c r="BQ434" s="37" t="n">
        <v>0.5</v>
      </c>
      <c r="BR434" s="37" t="n">
        <v>0.5</v>
      </c>
      <c r="BS434" s="37" t="n">
        <v>0.48</v>
      </c>
      <c r="BT434" s="37" t="n">
        <v>0.48</v>
      </c>
      <c r="BU434" s="37" t="n">
        <v>0.32</v>
      </c>
      <c r="BV434" s="37" t="n">
        <v>0.53</v>
      </c>
      <c r="BW434" s="37" t="n">
        <v>0.48</v>
      </c>
      <c r="BX434" s="37" t="n">
        <v>0.5</v>
      </c>
      <c r="BY434" s="37" t="n">
        <v>0.5</v>
      </c>
      <c r="BZ434" s="37" t="n">
        <v>0.48</v>
      </c>
      <c r="CA434" s="37" t="n">
        <v>0.48</v>
      </c>
      <c r="CB434" s="37" t="n">
        <v>0.32</v>
      </c>
      <c r="CC434" s="37" t="n">
        <v>94.84000000000002</v>
      </c>
    </row>
    <row r="435" ht="15.75" customHeight="1" s="57">
      <c r="A435" s="7" t="inlineStr">
        <is>
          <t>NTB</t>
        </is>
      </c>
      <c r="B435" s="7" t="inlineStr">
        <is>
          <t>Lâm Đồng</t>
        </is>
      </c>
      <c r="C435" s="7" t="n">
        <v>22051000</v>
      </c>
      <c r="D435" s="7" t="inlineStr">
        <is>
          <t>(LDO) Lang Biang - Đà Lạt 1</t>
        </is>
      </c>
      <c r="E435" s="7" t="inlineStr">
        <is>
          <t>SME</t>
        </is>
      </c>
      <c r="F435" s="36" t="n">
        <v>319</v>
      </c>
      <c r="G435" s="36" t="n">
        <v>311</v>
      </c>
      <c r="H435" s="36" t="n">
        <v>369</v>
      </c>
      <c r="I435" s="36" t="n">
        <v>302</v>
      </c>
      <c r="J435" s="36" t="n">
        <v>347</v>
      </c>
      <c r="K435" s="28" t="n">
        <v>210</v>
      </c>
      <c r="L435" s="36" t="n">
        <v>232</v>
      </c>
      <c r="M435" s="36" t="n">
        <v>250</v>
      </c>
      <c r="N435" s="36" t="n">
        <v>173</v>
      </c>
      <c r="O435" s="36" t="n">
        <v>255</v>
      </c>
      <c r="P435" s="36" t="n">
        <v>162</v>
      </c>
      <c r="Q435" s="36" t="n">
        <v>263</v>
      </c>
      <c r="R435" s="28" t="n">
        <v>232</v>
      </c>
      <c r="S435" s="36" t="n">
        <v>189</v>
      </c>
      <c r="T435" s="36" t="n">
        <v>180</v>
      </c>
      <c r="U435" s="36" t="n">
        <v>261.44</v>
      </c>
      <c r="V435" s="36" t="n">
        <v>270.83</v>
      </c>
      <c r="W435" s="36" t="n">
        <v>263.31</v>
      </c>
      <c r="X435" s="36" t="n">
        <v>215.38</v>
      </c>
      <c r="Y435" s="28" t="n">
        <v>291.79</v>
      </c>
      <c r="Z435" s="36" t="n">
        <v>268.84</v>
      </c>
      <c r="AA435" s="36" t="n">
        <v>262.21</v>
      </c>
      <c r="AB435" s="36" t="n">
        <v>261.44</v>
      </c>
      <c r="AC435" s="36" t="n">
        <v>270.83</v>
      </c>
      <c r="AD435" s="36" t="n">
        <v>272.2</v>
      </c>
      <c r="AE435" s="36" t="n">
        <v>215.38</v>
      </c>
      <c r="AF435" s="28" t="n">
        <v>291.79</v>
      </c>
      <c r="AG435" s="36" t="n">
        <v>268.84</v>
      </c>
      <c r="AH435" s="37" t="n">
        <v>262.21</v>
      </c>
      <c r="AI435" s="37" t="n">
        <v>261.44</v>
      </c>
      <c r="AJ435" s="37" t="n">
        <v>270.83</v>
      </c>
      <c r="AK435" s="37" t="n">
        <v>263.31</v>
      </c>
      <c r="AL435" s="37" t="n">
        <v>215.38</v>
      </c>
      <c r="AM435" s="37" t="n">
        <v>291.79</v>
      </c>
      <c r="AN435" s="37" t="n">
        <v>268.84</v>
      </c>
      <c r="AO435" s="37" t="n">
        <v>262.21</v>
      </c>
      <c r="AP435" s="37" t="n">
        <v>261.44</v>
      </c>
      <c r="AQ435" s="37" t="n">
        <v>270.83</v>
      </c>
      <c r="AR435" s="37" t="n">
        <v>263.31</v>
      </c>
      <c r="AS435" s="37" t="n">
        <v>215.38</v>
      </c>
      <c r="AT435" s="37" t="n">
        <v>291.79</v>
      </c>
      <c r="AU435" s="37" t="n">
        <v>268.84</v>
      </c>
      <c r="AV435" s="37" t="n">
        <v>262.21</v>
      </c>
      <c r="AW435" s="37" t="n">
        <v>261.44</v>
      </c>
      <c r="AX435" s="37" t="n">
        <v>270.83</v>
      </c>
      <c r="AY435" s="37" t="n">
        <v>263.31</v>
      </c>
      <c r="AZ435" s="37" t="n">
        <v>215.38</v>
      </c>
      <c r="BA435" s="37" t="n">
        <v>262.51</v>
      </c>
      <c r="BB435" s="37" t="n">
        <v>235.78</v>
      </c>
      <c r="BC435" s="37" t="n">
        <v>148.98</v>
      </c>
      <c r="BD435" s="37" t="n">
        <v>148.52</v>
      </c>
      <c r="BE435" s="37" t="n">
        <v>251.05</v>
      </c>
      <c r="BF435" s="37" t="n">
        <v>244.63</v>
      </c>
      <c r="BG435" s="37" t="n">
        <v>222.26</v>
      </c>
      <c r="BH435" s="37" t="n">
        <v>301.03</v>
      </c>
      <c r="BI435" s="37" t="n">
        <v>277.23</v>
      </c>
      <c r="BJ435" s="37" t="n">
        <v>279.63</v>
      </c>
      <c r="BK435" s="37" t="n">
        <v>269.55</v>
      </c>
      <c r="BL435" s="37" t="n">
        <v>279.31</v>
      </c>
      <c r="BM435" s="37" t="n">
        <v>271.43</v>
      </c>
      <c r="BN435" s="37" t="n">
        <v>222.26</v>
      </c>
      <c r="BO435" s="37" t="n">
        <v>301.03</v>
      </c>
      <c r="BP435" s="37" t="n">
        <v>277.23</v>
      </c>
      <c r="BQ435" s="37" t="n">
        <v>270.29</v>
      </c>
      <c r="BR435" s="37" t="n">
        <v>269.55</v>
      </c>
      <c r="BS435" s="37" t="n">
        <v>279.31</v>
      </c>
      <c r="BT435" s="37" t="n">
        <v>271.43</v>
      </c>
      <c r="BU435" s="37" t="n">
        <v>222.26</v>
      </c>
      <c r="BV435" s="37" t="n">
        <v>301.03</v>
      </c>
      <c r="BW435" s="37" t="n">
        <v>277.23</v>
      </c>
      <c r="BX435" s="37" t="n">
        <v>270.29</v>
      </c>
      <c r="BY435" s="37" t="n">
        <v>269.55</v>
      </c>
      <c r="BZ435" s="37" t="n">
        <v>279.31</v>
      </c>
      <c r="CA435" s="37" t="n">
        <v>271.43</v>
      </c>
      <c r="CB435" s="37" t="n">
        <v>222.26</v>
      </c>
      <c r="CC435" s="37" t="n">
        <v>19345.41999999999</v>
      </c>
    </row>
    <row r="436" ht="15.75" customHeight="1" s="57">
      <c r="A436" s="7" t="inlineStr">
        <is>
          <t>NTB</t>
        </is>
      </c>
      <c r="B436" s="7" t="inlineStr">
        <is>
          <t>Lâm Đồng</t>
        </is>
      </c>
      <c r="C436" s="7" t="n">
        <v>22051000</v>
      </c>
      <c r="D436" s="7" t="inlineStr">
        <is>
          <t>(LDO) Lang Biang - Đà Lạt 1</t>
        </is>
      </c>
      <c r="E436" s="7" t="inlineStr">
        <is>
          <t>SME-Bulky</t>
        </is>
      </c>
      <c r="F436" s="36" t="n">
        <v>15</v>
      </c>
      <c r="G436" s="36" t="n">
        <v>12</v>
      </c>
      <c r="H436" s="36" t="n">
        <v>12</v>
      </c>
      <c r="I436" s="36" t="n">
        <v>5</v>
      </c>
      <c r="J436" s="36" t="n">
        <v>12</v>
      </c>
      <c r="K436" s="28" t="n">
        <v>13</v>
      </c>
      <c r="L436" s="36" t="n">
        <v>4</v>
      </c>
      <c r="M436" s="36" t="n">
        <v>15</v>
      </c>
      <c r="N436" s="36" t="n">
        <v>5</v>
      </c>
      <c r="O436" s="36" t="n">
        <v>14</v>
      </c>
      <c r="P436" s="36" t="n">
        <v>9</v>
      </c>
      <c r="Q436" s="36" t="n">
        <v>13</v>
      </c>
      <c r="R436" s="28" t="n">
        <v>9</v>
      </c>
      <c r="S436" s="36" t="n">
        <v>8</v>
      </c>
      <c r="T436" s="36" t="n">
        <v>14</v>
      </c>
      <c r="U436" s="36" t="n">
        <v>10.24</v>
      </c>
      <c r="V436" s="36" t="n">
        <v>10.13</v>
      </c>
      <c r="W436" s="36" t="n">
        <v>9.57</v>
      </c>
      <c r="X436" s="36" t="n">
        <v>6.37</v>
      </c>
      <c r="Y436" s="28" t="n">
        <v>11.44</v>
      </c>
      <c r="Z436" s="36" t="n">
        <v>10.93</v>
      </c>
      <c r="AA436" s="36" t="n">
        <v>10.77</v>
      </c>
      <c r="AB436" s="36" t="n">
        <v>10.24</v>
      </c>
      <c r="AC436" s="36" t="n">
        <v>10.13</v>
      </c>
      <c r="AD436" s="36" t="n">
        <v>8.99</v>
      </c>
      <c r="AE436" s="36" t="n">
        <v>6.37</v>
      </c>
      <c r="AF436" s="28" t="n">
        <v>11.44</v>
      </c>
      <c r="AG436" s="36" t="n">
        <v>10.93</v>
      </c>
      <c r="AH436" s="37" t="n">
        <v>10.77</v>
      </c>
      <c r="AI436" s="37" t="n">
        <v>10.24</v>
      </c>
      <c r="AJ436" s="37" t="n">
        <v>10.13</v>
      </c>
      <c r="AK436" s="37" t="n">
        <v>9.57</v>
      </c>
      <c r="AL436" s="37" t="n">
        <v>6.37</v>
      </c>
      <c r="AM436" s="37" t="n">
        <v>11.44</v>
      </c>
      <c r="AN436" s="37" t="n">
        <v>10.93</v>
      </c>
      <c r="AO436" s="37" t="n">
        <v>10.77</v>
      </c>
      <c r="AP436" s="37" t="n">
        <v>10.24</v>
      </c>
      <c r="AQ436" s="37" t="n">
        <v>10.13</v>
      </c>
      <c r="AR436" s="37" t="n">
        <v>9.57</v>
      </c>
      <c r="AS436" s="37" t="n">
        <v>6.37</v>
      </c>
      <c r="AT436" s="37" t="n">
        <v>11.44</v>
      </c>
      <c r="AU436" s="37" t="n">
        <v>10.93</v>
      </c>
      <c r="AV436" s="37" t="n">
        <v>10.77</v>
      </c>
      <c r="AW436" s="37" t="n">
        <v>10.24</v>
      </c>
      <c r="AX436" s="37" t="n">
        <v>10.13</v>
      </c>
      <c r="AY436" s="37" t="n">
        <v>9.57</v>
      </c>
      <c r="AZ436" s="37" t="n">
        <v>6.37</v>
      </c>
      <c r="BA436" s="37" t="n">
        <v>11.48</v>
      </c>
      <c r="BB436" s="37" t="n">
        <v>6.04</v>
      </c>
      <c r="BC436" s="37" t="n">
        <v>3.06</v>
      </c>
      <c r="BD436" s="37" t="n">
        <v>2.78</v>
      </c>
      <c r="BE436" s="37" t="n">
        <v>5.29</v>
      </c>
      <c r="BF436" s="37" t="n">
        <v>4.91</v>
      </c>
      <c r="BG436" s="37" t="n">
        <v>3.82</v>
      </c>
      <c r="BH436" s="37" t="n">
        <v>6.64</v>
      </c>
      <c r="BI436" s="37" t="n">
        <v>6.6</v>
      </c>
      <c r="BJ436" s="37" t="n">
        <v>5.71</v>
      </c>
      <c r="BK436" s="37" t="n">
        <v>6.06</v>
      </c>
      <c r="BL436" s="37" t="n">
        <v>6.09</v>
      </c>
      <c r="BM436" s="37" t="n">
        <v>5.66</v>
      </c>
      <c r="BN436" s="37" t="n">
        <v>3.82</v>
      </c>
      <c r="BO436" s="37" t="n">
        <v>6.64</v>
      </c>
      <c r="BP436" s="37" t="n">
        <v>6.6</v>
      </c>
      <c r="BQ436" s="37" t="n">
        <v>6.29</v>
      </c>
      <c r="BR436" s="37" t="n">
        <v>6.06</v>
      </c>
      <c r="BS436" s="37" t="n">
        <v>6.09</v>
      </c>
      <c r="BT436" s="37" t="n">
        <v>5.66</v>
      </c>
      <c r="BU436" s="37" t="n">
        <v>3.82</v>
      </c>
      <c r="BV436" s="37" t="n">
        <v>6.64</v>
      </c>
      <c r="BW436" s="37" t="n">
        <v>6.6</v>
      </c>
      <c r="BX436" s="37" t="n">
        <v>6.29</v>
      </c>
      <c r="BY436" s="37" t="n">
        <v>6.06</v>
      </c>
      <c r="BZ436" s="37" t="n">
        <v>6.09</v>
      </c>
      <c r="CA436" s="37" t="n">
        <v>5.66</v>
      </c>
      <c r="CB436" s="37" t="n">
        <v>3.82</v>
      </c>
      <c r="CC436" s="37" t="n">
        <v>633.8100000000001</v>
      </c>
    </row>
    <row r="437" ht="15.75" customHeight="1" s="57">
      <c r="A437" s="7" t="inlineStr">
        <is>
          <t>NTB</t>
        </is>
      </c>
      <c r="B437" s="7" t="inlineStr">
        <is>
          <t>Lâm Đồng</t>
        </is>
      </c>
      <c r="C437" s="7" t="n">
        <v>22051000</v>
      </c>
      <c r="D437" s="7" t="inlineStr">
        <is>
          <t>(LDO) Lang Biang - Đà Lạt 1</t>
        </is>
      </c>
      <c r="E437" s="7" t="inlineStr">
        <is>
          <t>Shopee</t>
        </is>
      </c>
      <c r="F437" s="36" t="n">
        <v>234</v>
      </c>
      <c r="G437" s="36" t="n">
        <v>249</v>
      </c>
      <c r="H437" s="36" t="n">
        <v>275</v>
      </c>
      <c r="I437" s="36" t="n">
        <v>271</v>
      </c>
      <c r="J437" s="36" t="n">
        <v>217</v>
      </c>
      <c r="K437" s="28" t="n">
        <v>169</v>
      </c>
      <c r="L437" s="36" t="n">
        <v>121</v>
      </c>
      <c r="M437" s="36" t="n">
        <v>94</v>
      </c>
      <c r="N437" s="36" t="n">
        <v>45</v>
      </c>
      <c r="O437" s="36" t="n">
        <v>86</v>
      </c>
      <c r="P437" s="36" t="n">
        <v>43</v>
      </c>
      <c r="Q437" s="36" t="n">
        <v>24</v>
      </c>
      <c r="R437" s="28" t="n">
        <v>38</v>
      </c>
      <c r="S437" s="36" t="n">
        <v>31</v>
      </c>
      <c r="T437" s="36" t="n">
        <v>89</v>
      </c>
      <c r="U437" s="36" t="n">
        <v>78.31999999999999</v>
      </c>
      <c r="V437" s="36" t="n">
        <v>78.59999999999999</v>
      </c>
      <c r="W437" s="36" t="n">
        <v>77.47</v>
      </c>
      <c r="X437" s="36" t="n">
        <v>63</v>
      </c>
      <c r="Y437" s="28" t="n">
        <v>105.53</v>
      </c>
      <c r="Z437" s="36" t="n">
        <v>83.54000000000001</v>
      </c>
      <c r="AA437" s="36" t="n">
        <v>114.89</v>
      </c>
      <c r="AB437" s="36" t="n">
        <v>79.93000000000001</v>
      </c>
      <c r="AC437" s="36" t="n">
        <v>64.5</v>
      </c>
      <c r="AD437" s="36" t="n">
        <v>168.12</v>
      </c>
      <c r="AE437" s="36" t="n">
        <v>67.47</v>
      </c>
      <c r="AF437" s="28" t="n">
        <v>120.29</v>
      </c>
      <c r="AG437" s="36" t="n">
        <v>87.72</v>
      </c>
      <c r="AH437" s="37" t="n">
        <v>92.59999999999999</v>
      </c>
      <c r="AI437" s="37" t="n">
        <v>78.31999999999999</v>
      </c>
      <c r="AJ437" s="37" t="n">
        <v>78.59999999999999</v>
      </c>
      <c r="AK437" s="37" t="n">
        <v>104.54</v>
      </c>
      <c r="AL437" s="37" t="n">
        <v>113.14</v>
      </c>
      <c r="AM437" s="37" t="n">
        <v>105.53</v>
      </c>
      <c r="AN437" s="37" t="n">
        <v>83.54000000000001</v>
      </c>
      <c r="AO437" s="37" t="n">
        <v>92.59999999999999</v>
      </c>
      <c r="AP437" s="37" t="n">
        <v>97.77</v>
      </c>
      <c r="AQ437" s="37" t="n">
        <v>63.02</v>
      </c>
      <c r="AR437" s="37" t="n">
        <v>77.47</v>
      </c>
      <c r="AS437" s="37" t="n">
        <v>63</v>
      </c>
      <c r="AT437" s="37" t="n">
        <v>105.53</v>
      </c>
      <c r="AU437" s="37" t="n">
        <v>85.27</v>
      </c>
      <c r="AV437" s="37" t="n">
        <v>94.48</v>
      </c>
      <c r="AW437" s="37" t="n">
        <v>78.31999999999999</v>
      </c>
      <c r="AX437" s="37" t="n">
        <v>78.59999999999999</v>
      </c>
      <c r="AY437" s="37" t="n">
        <v>77.47</v>
      </c>
      <c r="AZ437" s="37" t="n">
        <v>63</v>
      </c>
      <c r="BA437" s="37" t="n">
        <v>81.29000000000001</v>
      </c>
      <c r="BB437" s="37" t="n">
        <v>70.78</v>
      </c>
      <c r="BC437" s="37" t="n">
        <v>36.2</v>
      </c>
      <c r="BD437" s="37" t="n">
        <v>64.15000000000001</v>
      </c>
      <c r="BE437" s="37" t="n">
        <v>74.86</v>
      </c>
      <c r="BF437" s="37" t="n">
        <v>73.79000000000001</v>
      </c>
      <c r="BG437" s="37" t="n">
        <v>61.21</v>
      </c>
      <c r="BH437" s="37" t="n">
        <v>100.51</v>
      </c>
      <c r="BI437" s="37" t="n">
        <v>65.37</v>
      </c>
      <c r="BJ437" s="37" t="n">
        <v>238.6</v>
      </c>
      <c r="BK437" s="37" t="n">
        <v>79.86</v>
      </c>
      <c r="BL437" s="37" t="n">
        <v>78.64</v>
      </c>
      <c r="BM437" s="37" t="n">
        <v>73.79000000000001</v>
      </c>
      <c r="BN437" s="37" t="n">
        <v>60.01</v>
      </c>
      <c r="BO437" s="37" t="n">
        <v>100.51</v>
      </c>
      <c r="BP437" s="37" t="n">
        <v>107.37</v>
      </c>
      <c r="BQ437" s="37" t="n">
        <v>158.5</v>
      </c>
      <c r="BR437" s="37" t="n">
        <v>74.62</v>
      </c>
      <c r="BS437" s="37" t="n">
        <v>74.86</v>
      </c>
      <c r="BT437" s="37" t="n">
        <v>73.79000000000001</v>
      </c>
      <c r="BU437" s="37" t="n">
        <v>74.97</v>
      </c>
      <c r="BV437" s="37" t="n">
        <v>80.54000000000001</v>
      </c>
      <c r="BW437" s="37" t="n">
        <v>79.56</v>
      </c>
      <c r="BX437" s="37" t="n">
        <v>88.2</v>
      </c>
      <c r="BY437" s="37" t="n">
        <v>74.62</v>
      </c>
      <c r="BZ437" s="37" t="n">
        <v>76.44</v>
      </c>
      <c r="CA437" s="37" t="n">
        <v>75.22</v>
      </c>
      <c r="CB437" s="37" t="n">
        <v>60.01</v>
      </c>
      <c r="CC437" s="37" t="n">
        <v>7166.449999999999</v>
      </c>
    </row>
    <row r="438" ht="15.75" customHeight="1" s="57">
      <c r="A438" s="7" t="inlineStr">
        <is>
          <t>NTB</t>
        </is>
      </c>
      <c r="B438" s="7" t="inlineStr">
        <is>
          <t>Lâm Đồng</t>
        </is>
      </c>
      <c r="C438" s="7" t="n">
        <v>22051000</v>
      </c>
      <c r="D438" s="7" t="inlineStr">
        <is>
          <t>(LDO) Lang Biang - Đà Lạt 1</t>
        </is>
      </c>
      <c r="E438" s="7" t="inlineStr">
        <is>
          <t>Shopee-Bulky</t>
        </is>
      </c>
      <c r="F438" s="36" t="n">
        <v>29.17</v>
      </c>
      <c r="G438" s="36" t="n">
        <v>10.14</v>
      </c>
      <c r="H438" s="36" t="n">
        <v>19.02</v>
      </c>
      <c r="I438" s="36" t="n">
        <v>27.9</v>
      </c>
      <c r="J438" s="36" t="n">
        <v>7.61</v>
      </c>
      <c r="K438" s="28" t="n">
        <v>26</v>
      </c>
      <c r="L438" s="36" t="n">
        <v>7.61</v>
      </c>
      <c r="M438" s="36" t="n">
        <v>13.31</v>
      </c>
      <c r="N438" s="36" t="n">
        <v>17.12</v>
      </c>
      <c r="O438" s="36" t="n">
        <v>21.56</v>
      </c>
      <c r="P438" s="36" t="n">
        <v>12.68</v>
      </c>
      <c r="Q438" s="36" t="n">
        <v>17.12</v>
      </c>
      <c r="R438" s="28" t="n">
        <v>30.43</v>
      </c>
      <c r="S438" s="36" t="n">
        <v>15.22</v>
      </c>
      <c r="T438" s="36" t="n">
        <v>26</v>
      </c>
      <c r="U438" s="36" t="n">
        <v>19.33</v>
      </c>
      <c r="V438" s="36" t="n">
        <v>18.63</v>
      </c>
      <c r="W438" s="36" t="n">
        <v>25.62</v>
      </c>
      <c r="X438" s="36" t="n">
        <v>14.49</v>
      </c>
      <c r="Y438" s="28" t="n">
        <v>28.37</v>
      </c>
      <c r="Z438" s="36" t="n">
        <v>22.43</v>
      </c>
      <c r="AA438" s="36" t="n">
        <v>21.79</v>
      </c>
      <c r="AB438" s="36" t="n">
        <v>22.05</v>
      </c>
      <c r="AC438" s="36" t="n">
        <v>23.15</v>
      </c>
      <c r="AD438" s="36" t="n">
        <v>62.39</v>
      </c>
      <c r="AE438" s="36" t="n">
        <v>37.24</v>
      </c>
      <c r="AF438" s="28" t="n">
        <v>55.53</v>
      </c>
      <c r="AG438" s="36" t="n">
        <v>31.53</v>
      </c>
      <c r="AH438" s="37" t="n">
        <v>22.17</v>
      </c>
      <c r="AI438" s="37" t="n">
        <v>21.33</v>
      </c>
      <c r="AJ438" s="37" t="n">
        <v>21.16</v>
      </c>
      <c r="AK438" s="37" t="n">
        <v>47.9</v>
      </c>
      <c r="AL438" s="37" t="n">
        <v>24.37</v>
      </c>
      <c r="AM438" s="37" t="n">
        <v>34.8</v>
      </c>
      <c r="AN438" s="37" t="n">
        <v>22.02</v>
      </c>
      <c r="AO438" s="37" t="n">
        <v>21.59</v>
      </c>
      <c r="AP438" s="37" t="n">
        <v>29.15</v>
      </c>
      <c r="AQ438" s="37" t="n">
        <v>28.98</v>
      </c>
      <c r="AR438" s="37" t="n">
        <v>23.04</v>
      </c>
      <c r="AS438" s="37" t="n">
        <v>12.75</v>
      </c>
      <c r="AT438" s="37" t="n">
        <v>26.05</v>
      </c>
      <c r="AU438" s="37" t="n">
        <v>42.86</v>
      </c>
      <c r="AV438" s="37" t="n">
        <v>44.48</v>
      </c>
      <c r="AW438" s="37" t="n">
        <v>21.65</v>
      </c>
      <c r="AX438" s="37" t="n">
        <v>20.31</v>
      </c>
      <c r="AY438" s="37" t="n">
        <v>22.05</v>
      </c>
      <c r="AZ438" s="37" t="n">
        <v>12.26</v>
      </c>
      <c r="BA438" s="37" t="n">
        <v>23.82</v>
      </c>
      <c r="BB438" s="37" t="n">
        <v>22.14</v>
      </c>
      <c r="BC438" s="37" t="n">
        <v>7.45</v>
      </c>
      <c r="BD438" s="37" t="n">
        <v>18.95</v>
      </c>
      <c r="BE438" s="37" t="n">
        <v>23.3</v>
      </c>
      <c r="BF438" s="37" t="n">
        <v>20.03</v>
      </c>
      <c r="BG438" s="37" t="n">
        <v>16.63</v>
      </c>
      <c r="BH438" s="37" t="n">
        <v>30.49</v>
      </c>
      <c r="BI438" s="37" t="n">
        <v>26.02</v>
      </c>
      <c r="BJ438" s="37" t="n">
        <v>99.26000000000001</v>
      </c>
      <c r="BK438" s="37" t="n">
        <v>55.06</v>
      </c>
      <c r="BL438" s="37" t="n">
        <v>28.37</v>
      </c>
      <c r="BM438" s="37" t="n">
        <v>21.16</v>
      </c>
      <c r="BN438" s="37" t="n">
        <v>16.05</v>
      </c>
      <c r="BO438" s="37" t="n">
        <v>35.44</v>
      </c>
      <c r="BP438" s="37" t="n">
        <v>51.76</v>
      </c>
      <c r="BQ438" s="37" t="n">
        <v>37.44</v>
      </c>
      <c r="BR438" s="37" t="n">
        <v>24.63</v>
      </c>
      <c r="BS438" s="37" t="n">
        <v>23.3</v>
      </c>
      <c r="BT438" s="37" t="n">
        <v>20.03</v>
      </c>
      <c r="BU438" s="37" t="n">
        <v>23.62</v>
      </c>
      <c r="BV438" s="37" t="n">
        <v>32.28</v>
      </c>
      <c r="BW438" s="37" t="n">
        <v>26.02</v>
      </c>
      <c r="BX438" s="37" t="n">
        <v>25.13</v>
      </c>
      <c r="BY438" s="37" t="n">
        <v>24.63</v>
      </c>
      <c r="BZ438" s="37" t="n">
        <v>42.22</v>
      </c>
      <c r="CA438" s="37" t="n">
        <v>24.34</v>
      </c>
      <c r="CB438" s="37" t="n">
        <v>15.85</v>
      </c>
      <c r="CC438" s="37" t="n">
        <v>1977.78</v>
      </c>
    </row>
    <row r="439" ht="15.75" customHeight="1" s="57">
      <c r="A439" s="7" t="inlineStr">
        <is>
          <t>NTB</t>
        </is>
      </c>
      <c r="B439" s="7" t="inlineStr">
        <is>
          <t>Lâm Đồng</t>
        </is>
      </c>
      <c r="C439" s="7" t="n">
        <v>22051000</v>
      </c>
      <c r="D439" s="7" t="inlineStr">
        <is>
          <t>(LDO) Lang Biang - Đà Lạt 1</t>
        </is>
      </c>
      <c r="E439" s="7" t="inlineStr">
        <is>
          <t>Shopee-Bulky (10-15kg)</t>
        </is>
      </c>
      <c r="F439" s="36" t="n">
        <v>16.83</v>
      </c>
      <c r="G439" s="36" t="n">
        <v>5.86</v>
      </c>
      <c r="H439" s="36" t="n">
        <v>10.98</v>
      </c>
      <c r="I439" s="36" t="n">
        <v>16.1</v>
      </c>
      <c r="J439" s="36" t="n">
        <v>4.39</v>
      </c>
      <c r="K439" s="28" t="n">
        <v>15</v>
      </c>
      <c r="L439" s="36" t="n">
        <v>4.39</v>
      </c>
      <c r="M439" s="36" t="n">
        <v>7.69</v>
      </c>
      <c r="N439" s="36" t="n">
        <v>9.880000000000001</v>
      </c>
      <c r="O439" s="36" t="n">
        <v>12.44</v>
      </c>
      <c r="P439" s="36" t="n">
        <v>7.32</v>
      </c>
      <c r="Q439" s="36" t="n">
        <v>9.880000000000001</v>
      </c>
      <c r="R439" s="28" t="n">
        <v>17.57</v>
      </c>
      <c r="S439" s="36" t="n">
        <v>8.779999999999999</v>
      </c>
      <c r="T439" s="36" t="n">
        <v>15</v>
      </c>
      <c r="U439" s="36" t="n">
        <v>11.62</v>
      </c>
      <c r="V439" s="36" t="n">
        <v>11.13</v>
      </c>
      <c r="W439" s="36" t="n">
        <v>14.66</v>
      </c>
      <c r="X439" s="36" t="n">
        <v>8.289999999999999</v>
      </c>
      <c r="Y439" s="28" t="n">
        <v>16.46</v>
      </c>
      <c r="Z439" s="36" t="n">
        <v>12.84</v>
      </c>
      <c r="AA439" s="36" t="n">
        <v>12.06</v>
      </c>
      <c r="AB439" s="36" t="n">
        <v>12.64</v>
      </c>
      <c r="AC439" s="36" t="n">
        <v>13.07</v>
      </c>
      <c r="AD439" s="36" t="n">
        <v>49.99</v>
      </c>
      <c r="AE439" s="36" t="n">
        <v>20.87</v>
      </c>
      <c r="AF439" s="28" t="n">
        <v>30.46</v>
      </c>
      <c r="AG439" s="36" t="n">
        <v>18.17</v>
      </c>
      <c r="AH439" s="37" t="n">
        <v>12.66</v>
      </c>
      <c r="AI439" s="37" t="n">
        <v>12.32</v>
      </c>
      <c r="AJ439" s="37" t="n">
        <v>11.94</v>
      </c>
      <c r="AK439" s="37" t="n">
        <v>28.11</v>
      </c>
      <c r="AL439" s="37" t="n">
        <v>13.65</v>
      </c>
      <c r="AM439" s="37" t="n">
        <v>20.2</v>
      </c>
      <c r="AN439" s="37" t="n">
        <v>12.69</v>
      </c>
      <c r="AO439" s="37" t="n">
        <v>12.17</v>
      </c>
      <c r="AP439" s="37" t="n">
        <v>16.03</v>
      </c>
      <c r="AQ439" s="37" t="n">
        <v>16.34</v>
      </c>
      <c r="AR439" s="37" t="n">
        <v>13.24</v>
      </c>
      <c r="AS439" s="37" t="n">
        <v>7.27</v>
      </c>
      <c r="AT439" s="37" t="n">
        <v>15.07</v>
      </c>
      <c r="AU439" s="37" t="n">
        <v>25.5</v>
      </c>
      <c r="AV439" s="37" t="n">
        <v>25.56</v>
      </c>
      <c r="AW439" s="37" t="n">
        <v>12.29</v>
      </c>
      <c r="AX439" s="37" t="n">
        <v>11.39</v>
      </c>
      <c r="AY439" s="37" t="n">
        <v>12.69</v>
      </c>
      <c r="AZ439" s="37" t="n">
        <v>6.98</v>
      </c>
      <c r="BA439" s="37" t="n">
        <v>13.77</v>
      </c>
      <c r="BB439" s="37" t="n">
        <v>12.78</v>
      </c>
      <c r="BC439" s="37" t="n">
        <v>4.46</v>
      </c>
      <c r="BD439" s="37" t="n">
        <v>10.72</v>
      </c>
      <c r="BE439" s="37" t="n">
        <v>13.36</v>
      </c>
      <c r="BF439" s="37" t="n">
        <v>11.65</v>
      </c>
      <c r="BG439" s="37" t="n">
        <v>9.56</v>
      </c>
      <c r="BH439" s="37" t="n">
        <v>17.85</v>
      </c>
      <c r="BI439" s="37" t="n">
        <v>15.07</v>
      </c>
      <c r="BJ439" s="37" t="n">
        <v>68.86</v>
      </c>
      <c r="BK439" s="37" t="n">
        <v>31.94</v>
      </c>
      <c r="BL439" s="37" t="n">
        <v>16.4</v>
      </c>
      <c r="BM439" s="37" t="n">
        <v>12.11</v>
      </c>
      <c r="BN439" s="37" t="n">
        <v>9.359999999999999</v>
      </c>
      <c r="BO439" s="37" t="n">
        <v>20.31</v>
      </c>
      <c r="BP439" s="37" t="n">
        <v>30.11</v>
      </c>
      <c r="BQ439" s="37" t="n">
        <v>21.76</v>
      </c>
      <c r="BR439" s="37" t="n">
        <v>14.14</v>
      </c>
      <c r="BS439" s="37" t="n">
        <v>13.36</v>
      </c>
      <c r="BT439" s="37" t="n">
        <v>11.65</v>
      </c>
      <c r="BU439" s="37" t="n">
        <v>13.5</v>
      </c>
      <c r="BV439" s="37" t="n">
        <v>18.55</v>
      </c>
      <c r="BW439" s="37" t="n">
        <v>15.07</v>
      </c>
      <c r="BX439" s="37" t="n">
        <v>14.37</v>
      </c>
      <c r="BY439" s="37" t="n">
        <v>14.14</v>
      </c>
      <c r="BZ439" s="37" t="n">
        <v>24.46</v>
      </c>
      <c r="CA439" s="37" t="n">
        <v>13.94</v>
      </c>
      <c r="CB439" s="37" t="n">
        <v>9.01</v>
      </c>
      <c r="CC439" s="37" t="n">
        <v>1162.73</v>
      </c>
    </row>
    <row r="440" ht="15.75" customHeight="1" s="57">
      <c r="A440" s="7" t="inlineStr">
        <is>
          <t>NTB</t>
        </is>
      </c>
      <c r="B440" s="7" t="inlineStr">
        <is>
          <t>Lâm Đồng</t>
        </is>
      </c>
      <c r="C440" s="7" t="n">
        <v>22051000</v>
      </c>
      <c r="D440" s="7" t="inlineStr">
        <is>
          <t>(LDO) Lang Biang - Đà Lạt 1</t>
        </is>
      </c>
      <c r="E440" s="7" t="inlineStr">
        <is>
          <t>TTS</t>
        </is>
      </c>
      <c r="F440" s="36" t="n">
        <v>182</v>
      </c>
      <c r="G440" s="36" t="n">
        <v>189</v>
      </c>
      <c r="H440" s="36" t="n">
        <v>234</v>
      </c>
      <c r="I440" s="36" t="n">
        <v>192</v>
      </c>
      <c r="J440" s="36" t="n">
        <v>164</v>
      </c>
      <c r="K440" s="28" t="n">
        <v>140</v>
      </c>
      <c r="L440" s="36" t="n">
        <v>151</v>
      </c>
      <c r="M440" s="36" t="n">
        <v>151</v>
      </c>
      <c r="N440" s="36" t="n">
        <v>118</v>
      </c>
      <c r="O440" s="36" t="n">
        <v>204</v>
      </c>
      <c r="P440" s="36" t="n">
        <v>125</v>
      </c>
      <c r="Q440" s="36" t="n">
        <v>163</v>
      </c>
      <c r="R440" s="28" t="n">
        <v>163</v>
      </c>
      <c r="S440" s="36" t="n">
        <v>127</v>
      </c>
      <c r="T440" s="36" t="n">
        <v>126</v>
      </c>
      <c r="U440" s="36" t="n">
        <v>108.14</v>
      </c>
      <c r="V440" s="36" t="n">
        <v>106.29</v>
      </c>
      <c r="W440" s="36" t="n">
        <v>103.88</v>
      </c>
      <c r="X440" s="36" t="n">
        <v>83.87</v>
      </c>
      <c r="Y440" s="28" t="n">
        <v>121.79</v>
      </c>
      <c r="Z440" s="36" t="n">
        <v>103.65</v>
      </c>
      <c r="AA440" s="36" t="n">
        <v>115</v>
      </c>
      <c r="AB440" s="36" t="n">
        <v>127.85</v>
      </c>
      <c r="AC440" s="36" t="n">
        <v>134.61</v>
      </c>
      <c r="AD440" s="36" t="n">
        <v>137.87</v>
      </c>
      <c r="AE440" s="36" t="n">
        <v>97.44</v>
      </c>
      <c r="AF440" s="28" t="n">
        <v>125.94</v>
      </c>
      <c r="AG440" s="36" t="n">
        <v>105.69</v>
      </c>
      <c r="AH440" s="37" t="n">
        <v>104.53</v>
      </c>
      <c r="AI440" s="37" t="n">
        <v>119.59</v>
      </c>
      <c r="AJ440" s="37" t="n">
        <v>128.58</v>
      </c>
      <c r="AK440" s="37" t="n">
        <v>126.77</v>
      </c>
      <c r="AL440" s="37" t="n">
        <v>90.39</v>
      </c>
      <c r="AM440" s="37" t="n">
        <v>124.08</v>
      </c>
      <c r="AN440" s="37" t="n">
        <v>107.06</v>
      </c>
      <c r="AO440" s="37" t="n">
        <v>106.5</v>
      </c>
      <c r="AP440" s="37" t="n">
        <v>103.22</v>
      </c>
      <c r="AQ440" s="37" t="n">
        <v>104.13</v>
      </c>
      <c r="AR440" s="37" t="n">
        <v>102.41</v>
      </c>
      <c r="AS440" s="37" t="n">
        <v>84.3</v>
      </c>
      <c r="AT440" s="37" t="n">
        <v>134.13</v>
      </c>
      <c r="AU440" s="37" t="n">
        <v>121.36</v>
      </c>
      <c r="AV440" s="37" t="n">
        <v>107.97</v>
      </c>
      <c r="AW440" s="37" t="n">
        <v>101.97</v>
      </c>
      <c r="AX440" s="37" t="n">
        <v>101.19</v>
      </c>
      <c r="AY440" s="37" t="n">
        <v>101.07</v>
      </c>
      <c r="AZ440" s="37" t="n">
        <v>84.3</v>
      </c>
      <c r="BA440" s="37" t="n">
        <v>120.84</v>
      </c>
      <c r="BB440" s="37" t="n">
        <v>112.97</v>
      </c>
      <c r="BC440" s="37" t="n">
        <v>67.27000000000001</v>
      </c>
      <c r="BD440" s="37" t="n">
        <v>97.41</v>
      </c>
      <c r="BE440" s="37" t="n">
        <v>114.65</v>
      </c>
      <c r="BF440" s="37" t="n">
        <v>111.5</v>
      </c>
      <c r="BG440" s="37" t="n">
        <v>90.56</v>
      </c>
      <c r="BH440" s="37" t="n">
        <v>133.87</v>
      </c>
      <c r="BI440" s="37" t="n">
        <v>112.97</v>
      </c>
      <c r="BJ440" s="37" t="n">
        <v>104.72</v>
      </c>
      <c r="BK440" s="37" t="n">
        <v>114.52</v>
      </c>
      <c r="BL440" s="37" t="n">
        <v>114.65</v>
      </c>
      <c r="BM440" s="37" t="n">
        <v>111.5</v>
      </c>
      <c r="BN440" s="37" t="n">
        <v>90.56</v>
      </c>
      <c r="BO440" s="37" t="n">
        <v>133.87</v>
      </c>
      <c r="BP440" s="37" t="n">
        <v>112.97</v>
      </c>
      <c r="BQ440" s="37" t="n">
        <v>111.72</v>
      </c>
      <c r="BR440" s="37" t="n">
        <v>114.52</v>
      </c>
      <c r="BS440" s="37" t="n">
        <v>114.65</v>
      </c>
      <c r="BT440" s="37" t="n">
        <v>111.5</v>
      </c>
      <c r="BU440" s="37" t="n">
        <v>90.56</v>
      </c>
      <c r="BV440" s="37" t="n">
        <v>133.87</v>
      </c>
      <c r="BW440" s="37" t="n">
        <v>112.97</v>
      </c>
      <c r="BX440" s="37" t="n">
        <v>111.72</v>
      </c>
      <c r="BY440" s="37" t="n">
        <v>114.52</v>
      </c>
      <c r="BZ440" s="37" t="n">
        <v>114.65</v>
      </c>
      <c r="CA440" s="37" t="n">
        <v>111.5</v>
      </c>
      <c r="CB440" s="37" t="n">
        <v>90.56</v>
      </c>
      <c r="CC440" s="37" t="n">
        <v>9032.140000000003</v>
      </c>
    </row>
    <row r="441" ht="15.75" customHeight="1" s="57">
      <c r="A441" s="7" t="inlineStr">
        <is>
          <t>NTB</t>
        </is>
      </c>
      <c r="B441" s="7" t="inlineStr">
        <is>
          <t>Lâm Đồng</t>
        </is>
      </c>
      <c r="C441" s="7" t="n">
        <v>22051000</v>
      </c>
      <c r="D441" s="7" t="inlineStr">
        <is>
          <t>(LDO) Lang Biang - Đà Lạt 1</t>
        </is>
      </c>
      <c r="E441" s="7" t="inlineStr">
        <is>
          <t>TTS-Bulky</t>
        </is>
      </c>
      <c r="F441" s="36" t="n">
        <v>4</v>
      </c>
      <c r="G441" s="36" t="n">
        <v>3</v>
      </c>
      <c r="H441" s="36" t="n">
        <v>1</v>
      </c>
      <c r="I441" s="36" t="n">
        <v>3</v>
      </c>
      <c r="J441" s="36" t="n">
        <v>3</v>
      </c>
      <c r="K441" s="28" t="n">
        <v>2</v>
      </c>
      <c r="L441" s="36" t="n">
        <v>3</v>
      </c>
      <c r="M441" s="36" t="n">
        <v>1</v>
      </c>
      <c r="N441" s="36" t="n">
        <v>1</v>
      </c>
      <c r="O441" s="36" t="n">
        <v>1</v>
      </c>
      <c r="P441" s="36" t="n">
        <v>1</v>
      </c>
      <c r="Q441" s="36" t="n">
        <v>1</v>
      </c>
      <c r="R441" s="28" t="n">
        <v>2</v>
      </c>
      <c r="S441" s="36" t="n">
        <v>0</v>
      </c>
      <c r="T441" s="36" t="n">
        <v>1</v>
      </c>
      <c r="U441" s="36" t="n">
        <v>5.17</v>
      </c>
      <c r="V441" s="36" t="n">
        <v>5.24</v>
      </c>
      <c r="W441" s="36" t="n">
        <v>2.47</v>
      </c>
      <c r="X441" s="36" t="n">
        <v>1.78</v>
      </c>
      <c r="Y441" s="28" t="n">
        <v>3.23</v>
      </c>
      <c r="Z441" s="36" t="n">
        <v>2.57</v>
      </c>
      <c r="AA441" s="36" t="n">
        <v>2.73</v>
      </c>
      <c r="AB441" s="36" t="n">
        <v>2.83</v>
      </c>
      <c r="AC441" s="36" t="n">
        <v>3</v>
      </c>
      <c r="AD441" s="36" t="n">
        <v>4.48</v>
      </c>
      <c r="AE441" s="36" t="n">
        <v>2.01</v>
      </c>
      <c r="AF441" s="28" t="n">
        <v>3.2</v>
      </c>
      <c r="AG441" s="36" t="n">
        <v>2.44</v>
      </c>
      <c r="AH441" s="37" t="n">
        <v>2.44</v>
      </c>
      <c r="AI441" s="37" t="n">
        <v>2.47</v>
      </c>
      <c r="AJ441" s="37" t="n">
        <v>2.8</v>
      </c>
      <c r="AK441" s="37" t="n">
        <v>2.67</v>
      </c>
      <c r="AL441" s="37" t="n">
        <v>1.91</v>
      </c>
      <c r="AM441" s="37" t="n">
        <v>3.2</v>
      </c>
      <c r="AN441" s="37" t="n">
        <v>2.47</v>
      </c>
      <c r="AO441" s="37" t="n">
        <v>2.44</v>
      </c>
      <c r="AP441" s="37" t="n">
        <v>2.44</v>
      </c>
      <c r="AQ441" s="37" t="n">
        <v>2.67</v>
      </c>
      <c r="AR441" s="37" t="n">
        <v>2.47</v>
      </c>
      <c r="AS441" s="37" t="n">
        <v>1.85</v>
      </c>
      <c r="AT441" s="37" t="n">
        <v>3.33</v>
      </c>
      <c r="AU441" s="37" t="n">
        <v>2.83</v>
      </c>
      <c r="AV441" s="37" t="n">
        <v>2.5</v>
      </c>
      <c r="AW441" s="37" t="n">
        <v>2.41</v>
      </c>
      <c r="AX441" s="37" t="n">
        <v>2.67</v>
      </c>
      <c r="AY441" s="37" t="n">
        <v>2.44</v>
      </c>
      <c r="AZ441" s="37" t="n">
        <v>1.85</v>
      </c>
      <c r="BA441" s="37" t="n">
        <v>2.8</v>
      </c>
      <c r="BB441" s="37" t="n">
        <v>0.66</v>
      </c>
      <c r="BC441" s="37" t="n">
        <v>0.43</v>
      </c>
      <c r="BD441" s="37" t="n">
        <v>0.53</v>
      </c>
      <c r="BE441" s="37" t="n">
        <v>0.6899999999999999</v>
      </c>
      <c r="BF441" s="37" t="n">
        <v>0.6899999999999999</v>
      </c>
      <c r="BG441" s="37" t="n">
        <v>0.46</v>
      </c>
      <c r="BH441" s="37" t="n">
        <v>0.89</v>
      </c>
      <c r="BI441" s="37" t="n">
        <v>0.6899999999999999</v>
      </c>
      <c r="BJ441" s="37" t="n">
        <v>1.12</v>
      </c>
      <c r="BK441" s="37" t="n">
        <v>0.72</v>
      </c>
      <c r="BL441" s="37" t="n">
        <v>0.6899999999999999</v>
      </c>
      <c r="BM441" s="37" t="n">
        <v>0.6899999999999999</v>
      </c>
      <c r="BN441" s="37" t="n">
        <v>0.53</v>
      </c>
      <c r="BO441" s="37" t="n">
        <v>1.02</v>
      </c>
      <c r="BP441" s="37" t="n">
        <v>0.79</v>
      </c>
      <c r="BQ441" s="37" t="n">
        <v>0.72</v>
      </c>
      <c r="BR441" s="37" t="n">
        <v>0.72</v>
      </c>
      <c r="BS441" s="37" t="n">
        <v>0.6899999999999999</v>
      </c>
      <c r="BT441" s="37" t="n">
        <v>0.6899999999999999</v>
      </c>
      <c r="BU441" s="37" t="n">
        <v>0.46</v>
      </c>
      <c r="BV441" s="37" t="n">
        <v>0.76</v>
      </c>
      <c r="BW441" s="37" t="n">
        <v>0.6899999999999999</v>
      </c>
      <c r="BX441" s="37" t="n">
        <v>0.72</v>
      </c>
      <c r="BY441" s="37" t="n">
        <v>0.72</v>
      </c>
      <c r="BZ441" s="37" t="n">
        <v>0.6899999999999999</v>
      </c>
      <c r="CA441" s="37" t="n">
        <v>0.6899999999999999</v>
      </c>
      <c r="CB441" s="37" t="n">
        <v>0.46</v>
      </c>
      <c r="CC441" s="37" t="n">
        <v>137.4199999999999</v>
      </c>
    </row>
    <row r="442" ht="15.75" customHeight="1" s="57">
      <c r="A442" s="7" t="inlineStr">
        <is>
          <t>NTB</t>
        </is>
      </c>
      <c r="B442" s="7" t="inlineStr">
        <is>
          <t>Lâm Đồng</t>
        </is>
      </c>
      <c r="C442" s="7" t="n">
        <v>22116000</v>
      </c>
      <c r="D442" s="7" t="inlineStr">
        <is>
          <t>(LDO) Xuân Trường - Đà Lạt</t>
        </is>
      </c>
      <c r="E442" s="7" t="inlineStr">
        <is>
          <t>SME</t>
        </is>
      </c>
      <c r="F442" s="36" t="n">
        <v>233</v>
      </c>
      <c r="G442" s="36" t="n">
        <v>214</v>
      </c>
      <c r="H442" s="36" t="n">
        <v>189</v>
      </c>
      <c r="I442" s="36" t="n">
        <v>209</v>
      </c>
      <c r="J442" s="36" t="n">
        <v>166</v>
      </c>
      <c r="K442" s="28" t="n">
        <v>135</v>
      </c>
      <c r="L442" s="36" t="n">
        <v>133</v>
      </c>
      <c r="M442" s="36" t="n">
        <v>123</v>
      </c>
      <c r="N442" s="36" t="n">
        <v>146</v>
      </c>
      <c r="O442" s="36" t="n">
        <v>180</v>
      </c>
      <c r="P442" s="36" t="n">
        <v>137</v>
      </c>
      <c r="Q442" s="36" t="n">
        <v>153</v>
      </c>
      <c r="R442" s="28" t="n">
        <v>157</v>
      </c>
      <c r="S442" s="36" t="n">
        <v>201</v>
      </c>
      <c r="T442" s="36" t="n">
        <v>128</v>
      </c>
      <c r="U442" s="36" t="n">
        <v>199.55</v>
      </c>
      <c r="V442" s="36" t="n">
        <v>206.74</v>
      </c>
      <c r="W442" s="36" t="n">
        <v>201</v>
      </c>
      <c r="X442" s="36" t="n">
        <v>164.39</v>
      </c>
      <c r="Y442" s="28" t="n">
        <v>222.73</v>
      </c>
      <c r="Z442" s="36" t="n">
        <v>205.21</v>
      </c>
      <c r="AA442" s="36" t="n">
        <v>200.15</v>
      </c>
      <c r="AB442" s="36" t="n">
        <v>199.55</v>
      </c>
      <c r="AC442" s="36" t="n">
        <v>206.74</v>
      </c>
      <c r="AD442" s="36" t="n">
        <v>207.76</v>
      </c>
      <c r="AE442" s="36" t="n">
        <v>164.39</v>
      </c>
      <c r="AF442" s="28" t="n">
        <v>222.73</v>
      </c>
      <c r="AG442" s="36" t="n">
        <v>205.21</v>
      </c>
      <c r="AH442" s="37" t="n">
        <v>200.15</v>
      </c>
      <c r="AI442" s="37" t="n">
        <v>199.55</v>
      </c>
      <c r="AJ442" s="37" t="n">
        <v>206.74</v>
      </c>
      <c r="AK442" s="37" t="n">
        <v>201</v>
      </c>
      <c r="AL442" s="37" t="n">
        <v>164.39</v>
      </c>
      <c r="AM442" s="37" t="n">
        <v>222.73</v>
      </c>
      <c r="AN442" s="37" t="n">
        <v>205.21</v>
      </c>
      <c r="AO442" s="37" t="n">
        <v>200.15</v>
      </c>
      <c r="AP442" s="37" t="n">
        <v>199.55</v>
      </c>
      <c r="AQ442" s="37" t="n">
        <v>206.74</v>
      </c>
      <c r="AR442" s="37" t="n">
        <v>201</v>
      </c>
      <c r="AS442" s="37" t="n">
        <v>164.39</v>
      </c>
      <c r="AT442" s="37" t="n">
        <v>222.73</v>
      </c>
      <c r="AU442" s="37" t="n">
        <v>205.21</v>
      </c>
      <c r="AV442" s="37" t="n">
        <v>200.15</v>
      </c>
      <c r="AW442" s="37" t="n">
        <v>199.55</v>
      </c>
      <c r="AX442" s="37" t="n">
        <v>206.74</v>
      </c>
      <c r="AY442" s="37" t="n">
        <v>201</v>
      </c>
      <c r="AZ442" s="37" t="n">
        <v>164.39</v>
      </c>
      <c r="BA442" s="37" t="n">
        <v>200.39</v>
      </c>
      <c r="BB442" s="37" t="n">
        <v>179.97</v>
      </c>
      <c r="BC442" s="37" t="n">
        <v>113.73</v>
      </c>
      <c r="BD442" s="37" t="n">
        <v>113.37</v>
      </c>
      <c r="BE442" s="37" t="n">
        <v>191.6</v>
      </c>
      <c r="BF442" s="37" t="n">
        <v>186.71</v>
      </c>
      <c r="BG442" s="37" t="n">
        <v>169.63</v>
      </c>
      <c r="BH442" s="37" t="n">
        <v>229.75</v>
      </c>
      <c r="BI442" s="37" t="n">
        <v>211.59</v>
      </c>
      <c r="BJ442" s="37" t="n">
        <v>213.41</v>
      </c>
      <c r="BK442" s="37" t="n">
        <v>205.73</v>
      </c>
      <c r="BL442" s="37" t="n">
        <v>213.18</v>
      </c>
      <c r="BM442" s="37" t="n">
        <v>207.17</v>
      </c>
      <c r="BN442" s="37" t="n">
        <v>169.63</v>
      </c>
      <c r="BO442" s="37" t="n">
        <v>229.75</v>
      </c>
      <c r="BP442" s="37" t="n">
        <v>211.59</v>
      </c>
      <c r="BQ442" s="37" t="n">
        <v>206.3</v>
      </c>
      <c r="BR442" s="37" t="n">
        <v>205.73</v>
      </c>
      <c r="BS442" s="37" t="n">
        <v>213.18</v>
      </c>
      <c r="BT442" s="37" t="n">
        <v>207.17</v>
      </c>
      <c r="BU442" s="37" t="n">
        <v>169.63</v>
      </c>
      <c r="BV442" s="37" t="n">
        <v>229.75</v>
      </c>
      <c r="BW442" s="37" t="n">
        <v>211.59</v>
      </c>
      <c r="BX442" s="37" t="n">
        <v>206.3</v>
      </c>
      <c r="BY442" s="37" t="n">
        <v>205.73</v>
      </c>
      <c r="BZ442" s="37" t="n">
        <v>213.18</v>
      </c>
      <c r="CA442" s="37" t="n">
        <v>207.17</v>
      </c>
      <c r="CB442" s="37" t="n">
        <v>169.63</v>
      </c>
      <c r="CC442" s="37" t="n">
        <v>14374.07999999999</v>
      </c>
    </row>
    <row r="443" ht="15.75" customHeight="1" s="57">
      <c r="A443" s="7" t="inlineStr">
        <is>
          <t>NTB</t>
        </is>
      </c>
      <c r="B443" s="7" t="inlineStr">
        <is>
          <t>Lâm Đồng</t>
        </is>
      </c>
      <c r="C443" s="7" t="n">
        <v>22116000</v>
      </c>
      <c r="D443" s="7" t="inlineStr">
        <is>
          <t>(LDO) Xuân Trường - Đà Lạt</t>
        </is>
      </c>
      <c r="E443" s="7" t="inlineStr">
        <is>
          <t>SME-Bulky</t>
        </is>
      </c>
      <c r="F443" s="36" t="n">
        <v>6</v>
      </c>
      <c r="G443" s="36" t="n">
        <v>7</v>
      </c>
      <c r="H443" s="36" t="n">
        <v>14</v>
      </c>
      <c r="I443" s="36" t="n">
        <v>17</v>
      </c>
      <c r="J443" s="36" t="n">
        <v>23</v>
      </c>
      <c r="K443" s="28" t="n">
        <v>11</v>
      </c>
      <c r="L443" s="36" t="n">
        <v>7</v>
      </c>
      <c r="M443" s="36" t="n">
        <v>13</v>
      </c>
      <c r="N443" s="36" t="n">
        <v>8</v>
      </c>
      <c r="O443" s="36" t="n">
        <v>10</v>
      </c>
      <c r="P443" s="36" t="n">
        <v>12</v>
      </c>
      <c r="Q443" s="36" t="n">
        <v>10</v>
      </c>
      <c r="R443" s="28" t="n">
        <v>11</v>
      </c>
      <c r="S443" s="36" t="n">
        <v>10</v>
      </c>
      <c r="T443" s="36" t="n">
        <v>7</v>
      </c>
      <c r="U443" s="36" t="n">
        <v>9.67</v>
      </c>
      <c r="V443" s="36" t="n">
        <v>9.56</v>
      </c>
      <c r="W443" s="36" t="n">
        <v>9.039999999999999</v>
      </c>
      <c r="X443" s="36" t="n">
        <v>6.02</v>
      </c>
      <c r="Y443" s="28" t="n">
        <v>10.8</v>
      </c>
      <c r="Z443" s="36" t="n">
        <v>10.32</v>
      </c>
      <c r="AA443" s="36" t="n">
        <v>10.17</v>
      </c>
      <c r="AB443" s="36" t="n">
        <v>9.67</v>
      </c>
      <c r="AC443" s="36" t="n">
        <v>9.56</v>
      </c>
      <c r="AD443" s="36" t="n">
        <v>8.49</v>
      </c>
      <c r="AE443" s="36" t="n">
        <v>6.02</v>
      </c>
      <c r="AF443" s="28" t="n">
        <v>10.8</v>
      </c>
      <c r="AG443" s="36" t="n">
        <v>10.32</v>
      </c>
      <c r="AH443" s="37" t="n">
        <v>10.17</v>
      </c>
      <c r="AI443" s="37" t="n">
        <v>9.67</v>
      </c>
      <c r="AJ443" s="37" t="n">
        <v>9.56</v>
      </c>
      <c r="AK443" s="37" t="n">
        <v>9.039999999999999</v>
      </c>
      <c r="AL443" s="37" t="n">
        <v>6.02</v>
      </c>
      <c r="AM443" s="37" t="n">
        <v>10.8</v>
      </c>
      <c r="AN443" s="37" t="n">
        <v>10.32</v>
      </c>
      <c r="AO443" s="37" t="n">
        <v>10.17</v>
      </c>
      <c r="AP443" s="37" t="n">
        <v>9.67</v>
      </c>
      <c r="AQ443" s="37" t="n">
        <v>9.56</v>
      </c>
      <c r="AR443" s="37" t="n">
        <v>9.039999999999999</v>
      </c>
      <c r="AS443" s="37" t="n">
        <v>6.02</v>
      </c>
      <c r="AT443" s="37" t="n">
        <v>10.8</v>
      </c>
      <c r="AU443" s="37" t="n">
        <v>10.32</v>
      </c>
      <c r="AV443" s="37" t="n">
        <v>10.17</v>
      </c>
      <c r="AW443" s="37" t="n">
        <v>9.67</v>
      </c>
      <c r="AX443" s="37" t="n">
        <v>9.56</v>
      </c>
      <c r="AY443" s="37" t="n">
        <v>9.039999999999999</v>
      </c>
      <c r="AZ443" s="37" t="n">
        <v>6.02</v>
      </c>
      <c r="BA443" s="37" t="n">
        <v>10.84</v>
      </c>
      <c r="BB443" s="37" t="n">
        <v>5.71</v>
      </c>
      <c r="BC443" s="37" t="n">
        <v>2.89</v>
      </c>
      <c r="BD443" s="37" t="n">
        <v>2.62</v>
      </c>
      <c r="BE443" s="37" t="n">
        <v>4.99</v>
      </c>
      <c r="BF443" s="37" t="n">
        <v>4.64</v>
      </c>
      <c r="BG443" s="37" t="n">
        <v>3.61</v>
      </c>
      <c r="BH443" s="37" t="n">
        <v>6.27</v>
      </c>
      <c r="BI443" s="37" t="n">
        <v>6.23</v>
      </c>
      <c r="BJ443" s="37" t="n">
        <v>5.39</v>
      </c>
      <c r="BK443" s="37" t="n">
        <v>5.73</v>
      </c>
      <c r="BL443" s="37" t="n">
        <v>5.75</v>
      </c>
      <c r="BM443" s="37" t="n">
        <v>5.35</v>
      </c>
      <c r="BN443" s="37" t="n">
        <v>3.61</v>
      </c>
      <c r="BO443" s="37" t="n">
        <v>6.27</v>
      </c>
      <c r="BP443" s="37" t="n">
        <v>6.23</v>
      </c>
      <c r="BQ443" s="37" t="n">
        <v>5.94</v>
      </c>
      <c r="BR443" s="37" t="n">
        <v>5.73</v>
      </c>
      <c r="BS443" s="37" t="n">
        <v>5.75</v>
      </c>
      <c r="BT443" s="37" t="n">
        <v>5.35</v>
      </c>
      <c r="BU443" s="37" t="n">
        <v>3.61</v>
      </c>
      <c r="BV443" s="37" t="n">
        <v>6.27</v>
      </c>
      <c r="BW443" s="37" t="n">
        <v>6.23</v>
      </c>
      <c r="BX443" s="37" t="n">
        <v>5.94</v>
      </c>
      <c r="BY443" s="37" t="n">
        <v>5.73</v>
      </c>
      <c r="BZ443" s="37" t="n">
        <v>5.75</v>
      </c>
      <c r="CA443" s="37" t="n">
        <v>5.35</v>
      </c>
      <c r="CB443" s="37" t="n">
        <v>3.61</v>
      </c>
      <c r="CC443" s="37" t="n">
        <v>613.4500000000003</v>
      </c>
    </row>
    <row r="444" ht="15.75" customHeight="1" s="57">
      <c r="A444" s="7" t="inlineStr">
        <is>
          <t>NTB</t>
        </is>
      </c>
      <c r="B444" s="7" t="inlineStr">
        <is>
          <t>Lâm Đồng</t>
        </is>
      </c>
      <c r="C444" s="7" t="n">
        <v>22116000</v>
      </c>
      <c r="D444" s="7" t="inlineStr">
        <is>
          <t>(LDO) Xuân Trường - Đà Lạt</t>
        </is>
      </c>
      <c r="E444" s="7" t="inlineStr">
        <is>
          <t>Shopee</t>
        </is>
      </c>
      <c r="F444" s="36" t="n">
        <v>193</v>
      </c>
      <c r="G444" s="36" t="n">
        <v>159</v>
      </c>
      <c r="H444" s="36" t="n">
        <v>137</v>
      </c>
      <c r="I444" s="36" t="n">
        <v>158</v>
      </c>
      <c r="J444" s="36" t="n">
        <v>173</v>
      </c>
      <c r="K444" s="28" t="n">
        <v>92</v>
      </c>
      <c r="L444" s="36" t="n">
        <v>100</v>
      </c>
      <c r="M444" s="36" t="n">
        <v>118</v>
      </c>
      <c r="N444" s="36" t="n">
        <v>149</v>
      </c>
      <c r="O444" s="36" t="n">
        <v>145</v>
      </c>
      <c r="P444" s="36" t="n">
        <v>142</v>
      </c>
      <c r="Q444" s="36" t="n">
        <v>101</v>
      </c>
      <c r="R444" s="28" t="n">
        <v>141</v>
      </c>
      <c r="S444" s="36" t="n">
        <v>135</v>
      </c>
      <c r="T444" s="36" t="n">
        <v>106</v>
      </c>
      <c r="U444" s="36" t="n">
        <v>202.43</v>
      </c>
      <c r="V444" s="36" t="n">
        <v>203.16</v>
      </c>
      <c r="W444" s="36" t="n">
        <v>200.25</v>
      </c>
      <c r="X444" s="36" t="n">
        <v>162.84</v>
      </c>
      <c r="Y444" s="28" t="n">
        <v>272.78</v>
      </c>
      <c r="Z444" s="36" t="n">
        <v>215.94</v>
      </c>
      <c r="AA444" s="36" t="n">
        <v>296.97</v>
      </c>
      <c r="AB444" s="36" t="n">
        <v>206.61</v>
      </c>
      <c r="AC444" s="36" t="n">
        <v>166.73</v>
      </c>
      <c r="AD444" s="36" t="n">
        <v>434.55</v>
      </c>
      <c r="AE444" s="36" t="n">
        <v>174.4</v>
      </c>
      <c r="AF444" s="28" t="n">
        <v>310.91</v>
      </c>
      <c r="AG444" s="36" t="n">
        <v>226.72</v>
      </c>
      <c r="AH444" s="37" t="n">
        <v>239.35</v>
      </c>
      <c r="AI444" s="37" t="n">
        <v>202.43</v>
      </c>
      <c r="AJ444" s="37" t="n">
        <v>203.16</v>
      </c>
      <c r="AK444" s="37" t="n">
        <v>270.2</v>
      </c>
      <c r="AL444" s="37" t="n">
        <v>292.45</v>
      </c>
      <c r="AM444" s="37" t="n">
        <v>272.78</v>
      </c>
      <c r="AN444" s="37" t="n">
        <v>215.94</v>
      </c>
      <c r="AO444" s="37" t="n">
        <v>239.35</v>
      </c>
      <c r="AP444" s="37" t="n">
        <v>252.71</v>
      </c>
      <c r="AQ444" s="37" t="n">
        <v>162.89</v>
      </c>
      <c r="AR444" s="37" t="n">
        <v>200.25</v>
      </c>
      <c r="AS444" s="37" t="n">
        <v>162.84</v>
      </c>
      <c r="AT444" s="37" t="n">
        <v>272.78</v>
      </c>
      <c r="AU444" s="37" t="n">
        <v>220.41</v>
      </c>
      <c r="AV444" s="37" t="n">
        <v>244.21</v>
      </c>
      <c r="AW444" s="37" t="n">
        <v>202.43</v>
      </c>
      <c r="AX444" s="37" t="n">
        <v>203.16</v>
      </c>
      <c r="AY444" s="37" t="n">
        <v>200.25</v>
      </c>
      <c r="AZ444" s="37" t="n">
        <v>162.84</v>
      </c>
      <c r="BA444" s="37" t="n">
        <v>210.11</v>
      </c>
      <c r="BB444" s="37" t="n">
        <v>182.95</v>
      </c>
      <c r="BC444" s="37" t="n">
        <v>93.56</v>
      </c>
      <c r="BD444" s="37" t="n">
        <v>165.8</v>
      </c>
      <c r="BE444" s="37" t="n">
        <v>193.49</v>
      </c>
      <c r="BF444" s="37" t="n">
        <v>190.72</v>
      </c>
      <c r="BG444" s="37" t="n">
        <v>158.22</v>
      </c>
      <c r="BH444" s="37" t="n">
        <v>259.8</v>
      </c>
      <c r="BI444" s="37" t="n">
        <v>168.96</v>
      </c>
      <c r="BJ444" s="37" t="n">
        <v>616.72</v>
      </c>
      <c r="BK444" s="37" t="n">
        <v>206.42</v>
      </c>
      <c r="BL444" s="37" t="n">
        <v>203.26</v>
      </c>
      <c r="BM444" s="37" t="n">
        <v>190.72</v>
      </c>
      <c r="BN444" s="37" t="n">
        <v>155.12</v>
      </c>
      <c r="BO444" s="37" t="n">
        <v>259.8</v>
      </c>
      <c r="BP444" s="37" t="n">
        <v>277.54</v>
      </c>
      <c r="BQ444" s="37" t="n">
        <v>409.67</v>
      </c>
      <c r="BR444" s="37" t="n">
        <v>192.86</v>
      </c>
      <c r="BS444" s="37" t="n">
        <v>193.49</v>
      </c>
      <c r="BT444" s="37" t="n">
        <v>190.72</v>
      </c>
      <c r="BU444" s="37" t="n">
        <v>193.78</v>
      </c>
      <c r="BV444" s="37" t="n">
        <v>208.16</v>
      </c>
      <c r="BW444" s="37" t="n">
        <v>205.64</v>
      </c>
      <c r="BX444" s="37" t="n">
        <v>227.98</v>
      </c>
      <c r="BY444" s="37" t="n">
        <v>192.86</v>
      </c>
      <c r="BZ444" s="37" t="n">
        <v>197.57</v>
      </c>
      <c r="CA444" s="37" t="n">
        <v>194.42</v>
      </c>
      <c r="CB444" s="37" t="n">
        <v>155.12</v>
      </c>
      <c r="CC444" s="37" t="n">
        <v>15439.18</v>
      </c>
    </row>
    <row r="445" ht="15.75" customHeight="1" s="57">
      <c r="A445" s="7" t="inlineStr">
        <is>
          <t>NTB</t>
        </is>
      </c>
      <c r="B445" s="7" t="inlineStr">
        <is>
          <t>Lâm Đồng</t>
        </is>
      </c>
      <c r="C445" s="7" t="n">
        <v>22116000</v>
      </c>
      <c r="D445" s="7" t="inlineStr">
        <is>
          <t>(LDO) Xuân Trường - Đà Lạt</t>
        </is>
      </c>
      <c r="E445" s="7" t="inlineStr">
        <is>
          <t>Shopee-Bulky</t>
        </is>
      </c>
      <c r="F445" s="36" t="n">
        <v>19.02</v>
      </c>
      <c r="G445" s="36" t="n">
        <v>27.26</v>
      </c>
      <c r="H445" s="36" t="n">
        <v>22.19</v>
      </c>
      <c r="I445" s="36" t="n">
        <v>19.02</v>
      </c>
      <c r="J445" s="36" t="n">
        <v>20.92</v>
      </c>
      <c r="K445" s="28" t="n">
        <v>11.41</v>
      </c>
      <c r="L445" s="36" t="n">
        <v>14.58</v>
      </c>
      <c r="M445" s="36" t="n">
        <v>17.75</v>
      </c>
      <c r="N445" s="36" t="n">
        <v>10.14</v>
      </c>
      <c r="O445" s="36" t="n">
        <v>17.75</v>
      </c>
      <c r="P445" s="36" t="n">
        <v>16.49</v>
      </c>
      <c r="Q445" s="36" t="n">
        <v>16.49</v>
      </c>
      <c r="R445" s="28" t="n">
        <v>20.92</v>
      </c>
      <c r="S445" s="36" t="n">
        <v>15.85</v>
      </c>
      <c r="T445" s="36" t="n">
        <v>27.9</v>
      </c>
      <c r="U445" s="36" t="n">
        <v>17.21</v>
      </c>
      <c r="V445" s="36" t="n">
        <v>16.59</v>
      </c>
      <c r="W445" s="36" t="n">
        <v>22.81</v>
      </c>
      <c r="X445" s="36" t="n">
        <v>12.9</v>
      </c>
      <c r="Y445" s="28" t="n">
        <v>25.26</v>
      </c>
      <c r="Z445" s="36" t="n">
        <v>19.97</v>
      </c>
      <c r="AA445" s="36" t="n">
        <v>19.4</v>
      </c>
      <c r="AB445" s="36" t="n">
        <v>19.64</v>
      </c>
      <c r="AC445" s="36" t="n">
        <v>20.62</v>
      </c>
      <c r="AD445" s="36" t="n">
        <v>55.56</v>
      </c>
      <c r="AE445" s="36" t="n">
        <v>33.16</v>
      </c>
      <c r="AF445" s="28" t="n">
        <v>49.44</v>
      </c>
      <c r="AG445" s="36" t="n">
        <v>28.07</v>
      </c>
      <c r="AH445" s="37" t="n">
        <v>19.74</v>
      </c>
      <c r="AI445" s="37" t="n">
        <v>18.99</v>
      </c>
      <c r="AJ445" s="37" t="n">
        <v>18.84</v>
      </c>
      <c r="AK445" s="37" t="n">
        <v>42.65</v>
      </c>
      <c r="AL445" s="37" t="n">
        <v>21.7</v>
      </c>
      <c r="AM445" s="37" t="n">
        <v>30.99</v>
      </c>
      <c r="AN445" s="37" t="n">
        <v>19.61</v>
      </c>
      <c r="AO445" s="37" t="n">
        <v>19.22</v>
      </c>
      <c r="AP445" s="37" t="n">
        <v>25.96</v>
      </c>
      <c r="AQ445" s="37" t="n">
        <v>25.8</v>
      </c>
      <c r="AR445" s="37" t="n">
        <v>20.51</v>
      </c>
      <c r="AS445" s="37" t="n">
        <v>11.35</v>
      </c>
      <c r="AT445" s="37" t="n">
        <v>23.2</v>
      </c>
      <c r="AU445" s="37" t="n">
        <v>38.16</v>
      </c>
      <c r="AV445" s="37" t="n">
        <v>39.61</v>
      </c>
      <c r="AW445" s="37" t="n">
        <v>19.28</v>
      </c>
      <c r="AX445" s="37" t="n">
        <v>18.09</v>
      </c>
      <c r="AY445" s="37" t="n">
        <v>19.64</v>
      </c>
      <c r="AZ445" s="37" t="n">
        <v>10.92</v>
      </c>
      <c r="BA445" s="37" t="n">
        <v>21.21</v>
      </c>
      <c r="BB445" s="37" t="n">
        <v>19.71</v>
      </c>
      <c r="BC445" s="37" t="n">
        <v>6.63</v>
      </c>
      <c r="BD445" s="37" t="n">
        <v>16.88</v>
      </c>
      <c r="BE445" s="37" t="n">
        <v>20.75</v>
      </c>
      <c r="BF445" s="37" t="n">
        <v>17.83</v>
      </c>
      <c r="BG445" s="37" t="n">
        <v>14.81</v>
      </c>
      <c r="BH445" s="37" t="n">
        <v>27.15</v>
      </c>
      <c r="BI445" s="37" t="n">
        <v>23.17</v>
      </c>
      <c r="BJ445" s="37" t="n">
        <v>88.38</v>
      </c>
      <c r="BK445" s="37" t="n">
        <v>49.03</v>
      </c>
      <c r="BL445" s="37" t="n">
        <v>25.26</v>
      </c>
      <c r="BM445" s="37" t="n">
        <v>18.84</v>
      </c>
      <c r="BN445" s="37" t="n">
        <v>14.3</v>
      </c>
      <c r="BO445" s="37" t="n">
        <v>31.56</v>
      </c>
      <c r="BP445" s="37" t="n">
        <v>46.09</v>
      </c>
      <c r="BQ445" s="37" t="n">
        <v>33.34</v>
      </c>
      <c r="BR445" s="37" t="n">
        <v>21.93</v>
      </c>
      <c r="BS445" s="37" t="n">
        <v>20.75</v>
      </c>
      <c r="BT445" s="37" t="n">
        <v>17.83</v>
      </c>
      <c r="BU445" s="37" t="n">
        <v>21.03</v>
      </c>
      <c r="BV445" s="37" t="n">
        <v>28.75</v>
      </c>
      <c r="BW445" s="37" t="n">
        <v>23.17</v>
      </c>
      <c r="BX445" s="37" t="n">
        <v>22.37</v>
      </c>
      <c r="BY445" s="37" t="n">
        <v>21.93</v>
      </c>
      <c r="BZ445" s="37" t="n">
        <v>37.6</v>
      </c>
      <c r="CA445" s="37" t="n">
        <v>21.68</v>
      </c>
      <c r="CB445" s="37" t="n">
        <v>14.11</v>
      </c>
      <c r="CC445" s="37" t="n">
        <v>1788.67</v>
      </c>
    </row>
    <row r="446" ht="15.75" customHeight="1" s="57">
      <c r="A446" s="7" t="inlineStr">
        <is>
          <t>NTB</t>
        </is>
      </c>
      <c r="B446" s="7" t="inlineStr">
        <is>
          <t>Lâm Đồng</t>
        </is>
      </c>
      <c r="C446" s="7" t="n">
        <v>22116000</v>
      </c>
      <c r="D446" s="7" t="inlineStr">
        <is>
          <t>(LDO) Xuân Trường - Đà Lạt</t>
        </is>
      </c>
      <c r="E446" s="7" t="inlineStr">
        <is>
          <t>Shopee-Bulky (10-15kg)</t>
        </is>
      </c>
      <c r="F446" s="36" t="n">
        <v>10.98</v>
      </c>
      <c r="G446" s="36" t="n">
        <v>15.74</v>
      </c>
      <c r="H446" s="36" t="n">
        <v>12.81</v>
      </c>
      <c r="I446" s="36" t="n">
        <v>10.98</v>
      </c>
      <c r="J446" s="36" t="n">
        <v>12.08</v>
      </c>
      <c r="K446" s="28" t="n">
        <v>6.59</v>
      </c>
      <c r="L446" s="36" t="n">
        <v>8.42</v>
      </c>
      <c r="M446" s="36" t="n">
        <v>10.25</v>
      </c>
      <c r="N446" s="36" t="n">
        <v>5.86</v>
      </c>
      <c r="O446" s="36" t="n">
        <v>10.25</v>
      </c>
      <c r="P446" s="36" t="n">
        <v>9.51</v>
      </c>
      <c r="Q446" s="36" t="n">
        <v>9.51</v>
      </c>
      <c r="R446" s="28" t="n">
        <v>12.08</v>
      </c>
      <c r="S446" s="36" t="n">
        <v>9.15</v>
      </c>
      <c r="T446" s="36" t="n">
        <v>16.1</v>
      </c>
      <c r="U446" s="36" t="n">
        <v>10.35</v>
      </c>
      <c r="V446" s="36" t="n">
        <v>9.91</v>
      </c>
      <c r="W446" s="36" t="n">
        <v>13.06</v>
      </c>
      <c r="X446" s="36" t="n">
        <v>7.38</v>
      </c>
      <c r="Y446" s="28" t="n">
        <v>14.66</v>
      </c>
      <c r="Z446" s="36" t="n">
        <v>11.43</v>
      </c>
      <c r="AA446" s="36" t="n">
        <v>10.73</v>
      </c>
      <c r="AB446" s="36" t="n">
        <v>11.25</v>
      </c>
      <c r="AC446" s="36" t="n">
        <v>11.64</v>
      </c>
      <c r="AD446" s="36" t="n">
        <v>44.51</v>
      </c>
      <c r="AE446" s="36" t="n">
        <v>18.58</v>
      </c>
      <c r="AF446" s="28" t="n">
        <v>27.12</v>
      </c>
      <c r="AG446" s="36" t="n">
        <v>16.18</v>
      </c>
      <c r="AH446" s="37" t="n">
        <v>11.28</v>
      </c>
      <c r="AI446" s="37" t="n">
        <v>10.97</v>
      </c>
      <c r="AJ446" s="37" t="n">
        <v>10.63</v>
      </c>
      <c r="AK446" s="37" t="n">
        <v>25.03</v>
      </c>
      <c r="AL446" s="37" t="n">
        <v>12.15</v>
      </c>
      <c r="AM446" s="37" t="n">
        <v>17.99</v>
      </c>
      <c r="AN446" s="37" t="n">
        <v>11.3</v>
      </c>
      <c r="AO446" s="37" t="n">
        <v>10.84</v>
      </c>
      <c r="AP446" s="37" t="n">
        <v>14.27</v>
      </c>
      <c r="AQ446" s="37" t="n">
        <v>14.55</v>
      </c>
      <c r="AR446" s="37" t="n">
        <v>11.79</v>
      </c>
      <c r="AS446" s="37" t="n">
        <v>6.48</v>
      </c>
      <c r="AT446" s="37" t="n">
        <v>13.42</v>
      </c>
      <c r="AU446" s="37" t="n">
        <v>22.71</v>
      </c>
      <c r="AV446" s="37" t="n">
        <v>22.76</v>
      </c>
      <c r="AW446" s="37" t="n">
        <v>10.94</v>
      </c>
      <c r="AX446" s="37" t="n">
        <v>10.14</v>
      </c>
      <c r="AY446" s="37" t="n">
        <v>11.3</v>
      </c>
      <c r="AZ446" s="37" t="n">
        <v>6.22</v>
      </c>
      <c r="BA446" s="37" t="n">
        <v>12.26</v>
      </c>
      <c r="BB446" s="37" t="n">
        <v>11.38</v>
      </c>
      <c r="BC446" s="37" t="n">
        <v>3.97</v>
      </c>
      <c r="BD446" s="37" t="n">
        <v>9.550000000000001</v>
      </c>
      <c r="BE446" s="37" t="n">
        <v>11.9</v>
      </c>
      <c r="BF446" s="37" t="n">
        <v>10.37</v>
      </c>
      <c r="BG446" s="37" t="n">
        <v>8.52</v>
      </c>
      <c r="BH446" s="37" t="n">
        <v>15.9</v>
      </c>
      <c r="BI446" s="37" t="n">
        <v>13.42</v>
      </c>
      <c r="BJ446" s="37" t="n">
        <v>61.31</v>
      </c>
      <c r="BK446" s="37" t="n">
        <v>28.44</v>
      </c>
      <c r="BL446" s="37" t="n">
        <v>14.61</v>
      </c>
      <c r="BM446" s="37" t="n">
        <v>10.79</v>
      </c>
      <c r="BN446" s="37" t="n">
        <v>8.33</v>
      </c>
      <c r="BO446" s="37" t="n">
        <v>18.09</v>
      </c>
      <c r="BP446" s="37" t="n">
        <v>26.81</v>
      </c>
      <c r="BQ446" s="37" t="n">
        <v>19.38</v>
      </c>
      <c r="BR446" s="37" t="n">
        <v>12.59</v>
      </c>
      <c r="BS446" s="37" t="n">
        <v>11.9</v>
      </c>
      <c r="BT446" s="37" t="n">
        <v>10.37</v>
      </c>
      <c r="BU446" s="37" t="n">
        <v>12.02</v>
      </c>
      <c r="BV446" s="37" t="n">
        <v>16.51</v>
      </c>
      <c r="BW446" s="37" t="n">
        <v>13.42</v>
      </c>
      <c r="BX446" s="37" t="n">
        <v>12.8</v>
      </c>
      <c r="BY446" s="37" t="n">
        <v>12.59</v>
      </c>
      <c r="BZ446" s="37" t="n">
        <v>21.78</v>
      </c>
      <c r="CA446" s="37" t="n">
        <v>12.41</v>
      </c>
      <c r="CB446" s="37" t="n">
        <v>8.029999999999999</v>
      </c>
      <c r="CC446" s="37" t="n">
        <v>1051.33</v>
      </c>
    </row>
    <row r="447" ht="15.75" customHeight="1" s="57">
      <c r="A447" s="7" t="inlineStr">
        <is>
          <t>NTB</t>
        </is>
      </c>
      <c r="B447" s="7" t="inlineStr">
        <is>
          <t>Lâm Đồng</t>
        </is>
      </c>
      <c r="C447" s="7" t="n">
        <v>22116000</v>
      </c>
      <c r="D447" s="7" t="inlineStr">
        <is>
          <t>(LDO) Xuân Trường - Đà Lạt</t>
        </is>
      </c>
      <c r="E447" s="7" t="inlineStr">
        <is>
          <t>TTS</t>
        </is>
      </c>
      <c r="F447" s="36" t="n">
        <v>134</v>
      </c>
      <c r="G447" s="36" t="n">
        <v>117</v>
      </c>
      <c r="H447" s="36" t="n">
        <v>101</v>
      </c>
      <c r="I447" s="36" t="n">
        <v>101</v>
      </c>
      <c r="J447" s="36" t="n">
        <v>117</v>
      </c>
      <c r="K447" s="28" t="n">
        <v>87</v>
      </c>
      <c r="L447" s="36" t="n">
        <v>78</v>
      </c>
      <c r="M447" s="36" t="n">
        <v>80</v>
      </c>
      <c r="N447" s="36" t="n">
        <v>140</v>
      </c>
      <c r="O447" s="36" t="n">
        <v>88</v>
      </c>
      <c r="P447" s="36" t="n">
        <v>92</v>
      </c>
      <c r="Q447" s="36" t="n">
        <v>128</v>
      </c>
      <c r="R447" s="28" t="n">
        <v>107</v>
      </c>
      <c r="S447" s="36" t="n">
        <v>129</v>
      </c>
      <c r="T447" s="36" t="n">
        <v>97</v>
      </c>
      <c r="U447" s="36" t="n">
        <v>82.39</v>
      </c>
      <c r="V447" s="36" t="n">
        <v>80.97999999999999</v>
      </c>
      <c r="W447" s="36" t="n">
        <v>79.14</v>
      </c>
      <c r="X447" s="36" t="n">
        <v>63.91</v>
      </c>
      <c r="Y447" s="28" t="n">
        <v>92.78999999999999</v>
      </c>
      <c r="Z447" s="36" t="n">
        <v>78.97</v>
      </c>
      <c r="AA447" s="36" t="n">
        <v>87.61999999999999</v>
      </c>
      <c r="AB447" s="36" t="n">
        <v>97.39999999999999</v>
      </c>
      <c r="AC447" s="36" t="n">
        <v>102.56</v>
      </c>
      <c r="AD447" s="36" t="n">
        <v>105.08</v>
      </c>
      <c r="AE447" s="36" t="n">
        <v>74.23</v>
      </c>
      <c r="AF447" s="28" t="n">
        <v>95.95</v>
      </c>
      <c r="AG447" s="36" t="n">
        <v>80.52</v>
      </c>
      <c r="AH447" s="37" t="n">
        <v>79.63000000000001</v>
      </c>
      <c r="AI447" s="37" t="n">
        <v>91.11</v>
      </c>
      <c r="AJ447" s="37" t="n">
        <v>97.95999999999999</v>
      </c>
      <c r="AK447" s="37" t="n">
        <v>96.58</v>
      </c>
      <c r="AL447" s="37" t="n">
        <v>68.86</v>
      </c>
      <c r="AM447" s="37" t="n">
        <v>94.53999999999999</v>
      </c>
      <c r="AN447" s="37" t="n">
        <v>81.56999999999999</v>
      </c>
      <c r="AO447" s="37" t="n">
        <v>81.14</v>
      </c>
      <c r="AP447" s="37" t="n">
        <v>78.63999999999999</v>
      </c>
      <c r="AQ447" s="37" t="n">
        <v>79.33</v>
      </c>
      <c r="AR447" s="37" t="n">
        <v>78.02000000000001</v>
      </c>
      <c r="AS447" s="37" t="n">
        <v>64.23999999999999</v>
      </c>
      <c r="AT447" s="37" t="n">
        <v>102.19</v>
      </c>
      <c r="AU447" s="37" t="n">
        <v>92.45999999999999</v>
      </c>
      <c r="AV447" s="37" t="n">
        <v>82.25999999999999</v>
      </c>
      <c r="AW447" s="37" t="n">
        <v>77.69</v>
      </c>
      <c r="AX447" s="37" t="n">
        <v>77.08999999999999</v>
      </c>
      <c r="AY447" s="37" t="n">
        <v>77</v>
      </c>
      <c r="AZ447" s="37" t="n">
        <v>64.23999999999999</v>
      </c>
      <c r="BA447" s="37" t="n">
        <v>92.06999999999999</v>
      </c>
      <c r="BB447" s="37" t="n">
        <v>86.06999999999999</v>
      </c>
      <c r="BC447" s="37" t="n">
        <v>51.25</v>
      </c>
      <c r="BD447" s="37" t="n">
        <v>74.22999999999999</v>
      </c>
      <c r="BE447" s="37" t="n">
        <v>87.36</v>
      </c>
      <c r="BF447" s="37" t="n">
        <v>84.95999999999999</v>
      </c>
      <c r="BG447" s="37" t="n">
        <v>69</v>
      </c>
      <c r="BH447" s="37" t="n">
        <v>101.99</v>
      </c>
      <c r="BI447" s="37" t="n">
        <v>86.06999999999999</v>
      </c>
      <c r="BJ447" s="37" t="n">
        <v>79.81999999999999</v>
      </c>
      <c r="BK447" s="37" t="n">
        <v>87.25999999999999</v>
      </c>
      <c r="BL447" s="37" t="n">
        <v>87.36</v>
      </c>
      <c r="BM447" s="37" t="n">
        <v>84.95999999999999</v>
      </c>
      <c r="BN447" s="37" t="n">
        <v>69</v>
      </c>
      <c r="BO447" s="37" t="n">
        <v>101.99</v>
      </c>
      <c r="BP447" s="37" t="n">
        <v>86.06999999999999</v>
      </c>
      <c r="BQ447" s="37" t="n">
        <v>85.11999999999999</v>
      </c>
      <c r="BR447" s="37" t="n">
        <v>87.25999999999999</v>
      </c>
      <c r="BS447" s="37" t="n">
        <v>87.36</v>
      </c>
      <c r="BT447" s="37" t="n">
        <v>84.95999999999999</v>
      </c>
      <c r="BU447" s="37" t="n">
        <v>69</v>
      </c>
      <c r="BV447" s="37" t="n">
        <v>101.99</v>
      </c>
      <c r="BW447" s="37" t="n">
        <v>86.06999999999999</v>
      </c>
      <c r="BX447" s="37" t="n">
        <v>85.11999999999999</v>
      </c>
      <c r="BY447" s="37" t="n">
        <v>87.25999999999999</v>
      </c>
      <c r="BZ447" s="37" t="n">
        <v>87.36</v>
      </c>
      <c r="CA447" s="37" t="n">
        <v>84.95999999999999</v>
      </c>
      <c r="CB447" s="37" t="n">
        <v>69</v>
      </c>
      <c r="CC447" s="37" t="n">
        <v>6627.009999999996</v>
      </c>
    </row>
    <row r="448" ht="15.75" customHeight="1" s="57">
      <c r="A448" s="7" t="inlineStr">
        <is>
          <t>NTB</t>
        </is>
      </c>
      <c r="B448" s="7" t="inlineStr">
        <is>
          <t>Lâm Đồng</t>
        </is>
      </c>
      <c r="C448" s="7" t="n">
        <v>22116000</v>
      </c>
      <c r="D448" s="7" t="inlineStr">
        <is>
          <t>(LDO) Xuân Trường - Đà Lạt</t>
        </is>
      </c>
      <c r="E448" s="7" t="inlineStr">
        <is>
          <t>TTS-Bulky</t>
        </is>
      </c>
      <c r="F448" s="36" t="n">
        <v>2</v>
      </c>
      <c r="G448" s="36" t="n">
        <v>0</v>
      </c>
      <c r="H448" s="36" t="n">
        <v>2</v>
      </c>
      <c r="I448" s="36" t="n">
        <v>3</v>
      </c>
      <c r="J448" s="36" t="n">
        <v>2</v>
      </c>
      <c r="K448" s="28" t="n">
        <v>1</v>
      </c>
      <c r="L448" s="36" t="n">
        <v>1</v>
      </c>
      <c r="M448" s="36" t="n">
        <v>0</v>
      </c>
      <c r="N448" s="36" t="n">
        <v>3</v>
      </c>
      <c r="O448" s="36" t="n">
        <v>2</v>
      </c>
      <c r="P448" s="36" t="n">
        <v>0</v>
      </c>
      <c r="Q448" s="36" t="n">
        <v>4</v>
      </c>
      <c r="R448" s="28" t="n">
        <v>0</v>
      </c>
      <c r="S448" s="36" t="n">
        <v>2</v>
      </c>
      <c r="T448" s="36" t="n">
        <v>0</v>
      </c>
      <c r="U448" s="36" t="n">
        <v>4.5</v>
      </c>
      <c r="V448" s="36" t="n">
        <v>4.56</v>
      </c>
      <c r="W448" s="36" t="n">
        <v>2.15</v>
      </c>
      <c r="X448" s="36" t="n">
        <v>1.55</v>
      </c>
      <c r="Y448" s="28" t="n">
        <v>2.81</v>
      </c>
      <c r="Z448" s="36" t="n">
        <v>2.23</v>
      </c>
      <c r="AA448" s="36" t="n">
        <v>2.38</v>
      </c>
      <c r="AB448" s="36" t="n">
        <v>2.46</v>
      </c>
      <c r="AC448" s="36" t="n">
        <v>2.61</v>
      </c>
      <c r="AD448" s="36" t="n">
        <v>3.9</v>
      </c>
      <c r="AE448" s="36" t="n">
        <v>1.75</v>
      </c>
      <c r="AF448" s="28" t="n">
        <v>2.78</v>
      </c>
      <c r="AG448" s="36" t="n">
        <v>2.12</v>
      </c>
      <c r="AH448" s="37" t="n">
        <v>2.12</v>
      </c>
      <c r="AI448" s="37" t="n">
        <v>2.15</v>
      </c>
      <c r="AJ448" s="37" t="n">
        <v>2.44</v>
      </c>
      <c r="AK448" s="37" t="n">
        <v>2.32</v>
      </c>
      <c r="AL448" s="37" t="n">
        <v>1.66</v>
      </c>
      <c r="AM448" s="37" t="n">
        <v>2.78</v>
      </c>
      <c r="AN448" s="37" t="n">
        <v>2.15</v>
      </c>
      <c r="AO448" s="37" t="n">
        <v>2.12</v>
      </c>
      <c r="AP448" s="37" t="n">
        <v>2.12</v>
      </c>
      <c r="AQ448" s="37" t="n">
        <v>2.32</v>
      </c>
      <c r="AR448" s="37" t="n">
        <v>2.15</v>
      </c>
      <c r="AS448" s="37" t="n">
        <v>1.6</v>
      </c>
      <c r="AT448" s="37" t="n">
        <v>2.89</v>
      </c>
      <c r="AU448" s="37" t="n">
        <v>2.46</v>
      </c>
      <c r="AV448" s="37" t="n">
        <v>2.18</v>
      </c>
      <c r="AW448" s="37" t="n">
        <v>2.09</v>
      </c>
      <c r="AX448" s="37" t="n">
        <v>2.32</v>
      </c>
      <c r="AY448" s="37" t="n">
        <v>2.12</v>
      </c>
      <c r="AZ448" s="37" t="n">
        <v>1.6</v>
      </c>
      <c r="BA448" s="37" t="n">
        <v>2.44</v>
      </c>
      <c r="BB448" s="37" t="n">
        <v>0.57</v>
      </c>
      <c r="BC448" s="37" t="n">
        <v>0.37</v>
      </c>
      <c r="BD448" s="37" t="n">
        <v>0.46</v>
      </c>
      <c r="BE448" s="37" t="n">
        <v>0.6</v>
      </c>
      <c r="BF448" s="37" t="n">
        <v>0.6</v>
      </c>
      <c r="BG448" s="37" t="n">
        <v>0.4</v>
      </c>
      <c r="BH448" s="37" t="n">
        <v>0.77</v>
      </c>
      <c r="BI448" s="37" t="n">
        <v>0.6</v>
      </c>
      <c r="BJ448" s="37" t="n">
        <v>0.97</v>
      </c>
      <c r="BK448" s="37" t="n">
        <v>0.63</v>
      </c>
      <c r="BL448" s="37" t="n">
        <v>0.6</v>
      </c>
      <c r="BM448" s="37" t="n">
        <v>0.6</v>
      </c>
      <c r="BN448" s="37" t="n">
        <v>0.46</v>
      </c>
      <c r="BO448" s="37" t="n">
        <v>0.89</v>
      </c>
      <c r="BP448" s="37" t="n">
        <v>0.6899999999999999</v>
      </c>
      <c r="BQ448" s="37" t="n">
        <v>0.63</v>
      </c>
      <c r="BR448" s="37" t="n">
        <v>0.63</v>
      </c>
      <c r="BS448" s="37" t="n">
        <v>0.6</v>
      </c>
      <c r="BT448" s="37" t="n">
        <v>0.6</v>
      </c>
      <c r="BU448" s="37" t="n">
        <v>0.4</v>
      </c>
      <c r="BV448" s="37" t="n">
        <v>0.66</v>
      </c>
      <c r="BW448" s="37" t="n">
        <v>0.6</v>
      </c>
      <c r="BX448" s="37" t="n">
        <v>0.63</v>
      </c>
      <c r="BY448" s="37" t="n">
        <v>0.63</v>
      </c>
      <c r="BZ448" s="37" t="n">
        <v>0.6</v>
      </c>
      <c r="CA448" s="37" t="n">
        <v>0.6</v>
      </c>
      <c r="CB448" s="37" t="n">
        <v>0.4</v>
      </c>
      <c r="CC448" s="37" t="n">
        <v>118.0199999999999</v>
      </c>
    </row>
    <row r="449" ht="15.75" customHeight="1" s="57">
      <c r="A449" s="7" t="inlineStr">
        <is>
          <t>NTB</t>
        </is>
      </c>
      <c r="B449" s="7" t="inlineStr">
        <is>
          <t>Lâm Đồng</t>
        </is>
      </c>
      <c r="C449" s="7" t="n">
        <v>22222000</v>
      </c>
      <c r="D449" s="7" t="inlineStr">
        <is>
          <t>(LDO) Bảo Lâm 1</t>
        </is>
      </c>
      <c r="E449" s="7" t="inlineStr">
        <is>
          <t>SME</t>
        </is>
      </c>
      <c r="F449" s="36" t="n">
        <v>222</v>
      </c>
      <c r="G449" s="36" t="n">
        <v>205</v>
      </c>
      <c r="H449" s="36" t="n">
        <v>214</v>
      </c>
      <c r="I449" s="36" t="n">
        <v>198</v>
      </c>
      <c r="J449" s="36" t="n">
        <v>134</v>
      </c>
      <c r="K449" s="28" t="n">
        <v>182</v>
      </c>
      <c r="L449" s="36" t="n">
        <v>119</v>
      </c>
      <c r="M449" s="36" t="n">
        <v>132</v>
      </c>
      <c r="N449" s="36" t="n">
        <v>147</v>
      </c>
      <c r="O449" s="36" t="n">
        <v>93</v>
      </c>
      <c r="P449" s="36" t="n">
        <v>257</v>
      </c>
      <c r="Q449" s="36" t="n">
        <v>158</v>
      </c>
      <c r="R449" s="28" t="n">
        <v>199</v>
      </c>
      <c r="S449" s="36" t="n">
        <v>186</v>
      </c>
      <c r="T449" s="36" t="n">
        <v>99</v>
      </c>
      <c r="U449" s="36" t="n">
        <v>203.39</v>
      </c>
      <c r="V449" s="36" t="n">
        <v>210.69</v>
      </c>
      <c r="W449" s="36" t="n">
        <v>204.85</v>
      </c>
      <c r="X449" s="36" t="n">
        <v>167.56</v>
      </c>
      <c r="Y449" s="28" t="n">
        <v>227.01</v>
      </c>
      <c r="Z449" s="36" t="n">
        <v>209.15</v>
      </c>
      <c r="AA449" s="36" t="n">
        <v>203.99</v>
      </c>
      <c r="AB449" s="36" t="n">
        <v>203.39</v>
      </c>
      <c r="AC449" s="36" t="n">
        <v>210.69</v>
      </c>
      <c r="AD449" s="36" t="n">
        <v>211.77</v>
      </c>
      <c r="AE449" s="36" t="n">
        <v>167.56</v>
      </c>
      <c r="AF449" s="28" t="n">
        <v>227.01</v>
      </c>
      <c r="AG449" s="36" t="n">
        <v>209.15</v>
      </c>
      <c r="AH449" s="37" t="n">
        <v>203.99</v>
      </c>
      <c r="AI449" s="37" t="n">
        <v>203.39</v>
      </c>
      <c r="AJ449" s="37" t="n">
        <v>210.69</v>
      </c>
      <c r="AK449" s="37" t="n">
        <v>204.85</v>
      </c>
      <c r="AL449" s="37" t="n">
        <v>167.56</v>
      </c>
      <c r="AM449" s="37" t="n">
        <v>227.01</v>
      </c>
      <c r="AN449" s="37" t="n">
        <v>209.15</v>
      </c>
      <c r="AO449" s="37" t="n">
        <v>203.99</v>
      </c>
      <c r="AP449" s="37" t="n">
        <v>203.39</v>
      </c>
      <c r="AQ449" s="37" t="n">
        <v>210.69</v>
      </c>
      <c r="AR449" s="37" t="n">
        <v>204.85</v>
      </c>
      <c r="AS449" s="37" t="n">
        <v>167.56</v>
      </c>
      <c r="AT449" s="37" t="n">
        <v>227.01</v>
      </c>
      <c r="AU449" s="37" t="n">
        <v>209.15</v>
      </c>
      <c r="AV449" s="37" t="n">
        <v>203.99</v>
      </c>
      <c r="AW449" s="37" t="n">
        <v>203.39</v>
      </c>
      <c r="AX449" s="37" t="n">
        <v>210.69</v>
      </c>
      <c r="AY449" s="37" t="n">
        <v>204.85</v>
      </c>
      <c r="AZ449" s="37" t="n">
        <v>167.56</v>
      </c>
      <c r="BA449" s="37" t="n">
        <v>204.21</v>
      </c>
      <c r="BB449" s="37" t="n">
        <v>183.45</v>
      </c>
      <c r="BC449" s="37" t="n">
        <v>115.89</v>
      </c>
      <c r="BD449" s="37" t="n">
        <v>115.54</v>
      </c>
      <c r="BE449" s="37" t="n">
        <v>195.34</v>
      </c>
      <c r="BF449" s="37" t="n">
        <v>190.32</v>
      </c>
      <c r="BG449" s="37" t="n">
        <v>172.93</v>
      </c>
      <c r="BH449" s="37" t="n">
        <v>234.22</v>
      </c>
      <c r="BI449" s="37" t="n">
        <v>215.7</v>
      </c>
      <c r="BJ449" s="37" t="n">
        <v>217.58</v>
      </c>
      <c r="BK449" s="37" t="n">
        <v>209.73</v>
      </c>
      <c r="BL449" s="37" t="n">
        <v>217.3</v>
      </c>
      <c r="BM449" s="37" t="n">
        <v>211.18</v>
      </c>
      <c r="BN449" s="37" t="n">
        <v>172.93</v>
      </c>
      <c r="BO449" s="37" t="n">
        <v>234.22</v>
      </c>
      <c r="BP449" s="37" t="n">
        <v>215.7</v>
      </c>
      <c r="BQ449" s="37" t="n">
        <v>210.3</v>
      </c>
      <c r="BR449" s="37" t="n">
        <v>209.73</v>
      </c>
      <c r="BS449" s="37" t="n">
        <v>217.3</v>
      </c>
      <c r="BT449" s="37" t="n">
        <v>211.18</v>
      </c>
      <c r="BU449" s="37" t="n">
        <v>172.93</v>
      </c>
      <c r="BV449" s="37" t="n">
        <v>234.22</v>
      </c>
      <c r="BW449" s="37" t="n">
        <v>215.7</v>
      </c>
      <c r="BX449" s="37" t="n">
        <v>210.3</v>
      </c>
      <c r="BY449" s="37" t="n">
        <v>209.73</v>
      </c>
      <c r="BZ449" s="37" t="n">
        <v>217.3</v>
      </c>
      <c r="CA449" s="37" t="n">
        <v>211.18</v>
      </c>
      <c r="CB449" s="37" t="n">
        <v>172.93</v>
      </c>
      <c r="CC449" s="37" t="n">
        <v>14644.01</v>
      </c>
    </row>
    <row r="450" ht="15.75" customHeight="1" s="57">
      <c r="A450" s="7" t="inlineStr">
        <is>
          <t>NTB</t>
        </is>
      </c>
      <c r="B450" s="7" t="inlineStr">
        <is>
          <t>Lâm Đồng</t>
        </is>
      </c>
      <c r="C450" s="7" t="n">
        <v>22222000</v>
      </c>
      <c r="D450" s="7" t="inlineStr">
        <is>
          <t>(LDO) Bảo Lâm 1</t>
        </is>
      </c>
      <c r="E450" s="7" t="inlineStr">
        <is>
          <t>SME-Bulky</t>
        </is>
      </c>
      <c r="F450" s="36" t="n">
        <v>10</v>
      </c>
      <c r="G450" s="36" t="n">
        <v>9</v>
      </c>
      <c r="H450" s="36" t="n">
        <v>6</v>
      </c>
      <c r="I450" s="36" t="n">
        <v>7</v>
      </c>
      <c r="J450" s="36" t="n">
        <v>3</v>
      </c>
      <c r="K450" s="28" t="n">
        <v>3</v>
      </c>
      <c r="L450" s="36" t="n">
        <v>4</v>
      </c>
      <c r="M450" s="36" t="n">
        <v>13</v>
      </c>
      <c r="N450" s="36" t="n">
        <v>3</v>
      </c>
      <c r="O450" s="36" t="n">
        <v>3</v>
      </c>
      <c r="P450" s="36" t="n">
        <v>11</v>
      </c>
      <c r="Q450" s="36" t="n">
        <v>5</v>
      </c>
      <c r="R450" s="28" t="n">
        <v>6</v>
      </c>
      <c r="S450" s="36" t="n">
        <v>9</v>
      </c>
      <c r="T450" s="36" t="n">
        <v>6</v>
      </c>
      <c r="U450" s="36" t="n">
        <v>6.11</v>
      </c>
      <c r="V450" s="36" t="n">
        <v>6.05</v>
      </c>
      <c r="W450" s="36" t="n">
        <v>5.72</v>
      </c>
      <c r="X450" s="36" t="n">
        <v>3.81</v>
      </c>
      <c r="Y450" s="28" t="n">
        <v>6.83</v>
      </c>
      <c r="Z450" s="36" t="n">
        <v>6.53</v>
      </c>
      <c r="AA450" s="36" t="n">
        <v>6.43</v>
      </c>
      <c r="AB450" s="36" t="n">
        <v>6.11</v>
      </c>
      <c r="AC450" s="36" t="n">
        <v>6.05</v>
      </c>
      <c r="AD450" s="36" t="n">
        <v>5.37</v>
      </c>
      <c r="AE450" s="36" t="n">
        <v>3.81</v>
      </c>
      <c r="AF450" s="28" t="n">
        <v>6.83</v>
      </c>
      <c r="AG450" s="36" t="n">
        <v>6.53</v>
      </c>
      <c r="AH450" s="37" t="n">
        <v>6.43</v>
      </c>
      <c r="AI450" s="37" t="n">
        <v>6.11</v>
      </c>
      <c r="AJ450" s="37" t="n">
        <v>6.05</v>
      </c>
      <c r="AK450" s="37" t="n">
        <v>5.72</v>
      </c>
      <c r="AL450" s="37" t="n">
        <v>3.81</v>
      </c>
      <c r="AM450" s="37" t="n">
        <v>6.83</v>
      </c>
      <c r="AN450" s="37" t="n">
        <v>6.53</v>
      </c>
      <c r="AO450" s="37" t="n">
        <v>6.43</v>
      </c>
      <c r="AP450" s="37" t="n">
        <v>6.11</v>
      </c>
      <c r="AQ450" s="37" t="n">
        <v>6.05</v>
      </c>
      <c r="AR450" s="37" t="n">
        <v>5.72</v>
      </c>
      <c r="AS450" s="37" t="n">
        <v>3.81</v>
      </c>
      <c r="AT450" s="37" t="n">
        <v>6.83</v>
      </c>
      <c r="AU450" s="37" t="n">
        <v>6.53</v>
      </c>
      <c r="AV450" s="37" t="n">
        <v>6.43</v>
      </c>
      <c r="AW450" s="37" t="n">
        <v>6.11</v>
      </c>
      <c r="AX450" s="37" t="n">
        <v>6.05</v>
      </c>
      <c r="AY450" s="37" t="n">
        <v>5.72</v>
      </c>
      <c r="AZ450" s="37" t="n">
        <v>3.81</v>
      </c>
      <c r="BA450" s="37" t="n">
        <v>6.86</v>
      </c>
      <c r="BB450" s="37" t="n">
        <v>3.61</v>
      </c>
      <c r="BC450" s="37" t="n">
        <v>1.83</v>
      </c>
      <c r="BD450" s="37" t="n">
        <v>1.66</v>
      </c>
      <c r="BE450" s="37" t="n">
        <v>3.16</v>
      </c>
      <c r="BF450" s="37" t="n">
        <v>2.93</v>
      </c>
      <c r="BG450" s="37" t="n">
        <v>2.28</v>
      </c>
      <c r="BH450" s="37" t="n">
        <v>3.97</v>
      </c>
      <c r="BI450" s="37" t="n">
        <v>3.94</v>
      </c>
      <c r="BJ450" s="37" t="n">
        <v>3.41</v>
      </c>
      <c r="BK450" s="37" t="n">
        <v>3.62</v>
      </c>
      <c r="BL450" s="37" t="n">
        <v>3.63</v>
      </c>
      <c r="BM450" s="37" t="n">
        <v>3.38</v>
      </c>
      <c r="BN450" s="37" t="n">
        <v>2.28</v>
      </c>
      <c r="BO450" s="37" t="n">
        <v>3.97</v>
      </c>
      <c r="BP450" s="37" t="n">
        <v>3.94</v>
      </c>
      <c r="BQ450" s="37" t="n">
        <v>3.75</v>
      </c>
      <c r="BR450" s="37" t="n">
        <v>3.62</v>
      </c>
      <c r="BS450" s="37" t="n">
        <v>3.63</v>
      </c>
      <c r="BT450" s="37" t="n">
        <v>3.38</v>
      </c>
      <c r="BU450" s="37" t="n">
        <v>2.28</v>
      </c>
      <c r="BV450" s="37" t="n">
        <v>3.97</v>
      </c>
      <c r="BW450" s="37" t="n">
        <v>3.94</v>
      </c>
      <c r="BX450" s="37" t="n">
        <v>3.75</v>
      </c>
      <c r="BY450" s="37" t="n">
        <v>3.62</v>
      </c>
      <c r="BZ450" s="37" t="n">
        <v>3.63</v>
      </c>
      <c r="CA450" s="37" t="n">
        <v>3.38</v>
      </c>
      <c r="CB450" s="37" t="n">
        <v>2.28</v>
      </c>
      <c r="CC450" s="37" t="n">
        <v>380.9600000000002</v>
      </c>
    </row>
    <row r="451" ht="15.75" customHeight="1" s="57">
      <c r="A451" s="7" t="inlineStr">
        <is>
          <t>NTB</t>
        </is>
      </c>
      <c r="B451" s="7" t="inlineStr">
        <is>
          <t>Lâm Đồng</t>
        </is>
      </c>
      <c r="C451" s="7" t="n">
        <v>22222000</v>
      </c>
      <c r="D451" s="7" t="inlineStr">
        <is>
          <t>(LDO) Bảo Lâm 1</t>
        </is>
      </c>
      <c r="E451" s="7" t="inlineStr">
        <is>
          <t>Shopee</t>
        </is>
      </c>
      <c r="F451" s="36" t="n">
        <v>32</v>
      </c>
      <c r="G451" s="36" t="n">
        <v>46</v>
      </c>
      <c r="H451" s="36" t="n">
        <v>49</v>
      </c>
      <c r="I451" s="36" t="n">
        <v>31</v>
      </c>
      <c r="J451" s="36" t="n">
        <v>25</v>
      </c>
      <c r="K451" s="28" t="n">
        <v>21</v>
      </c>
      <c r="L451" s="36" t="n">
        <v>22</v>
      </c>
      <c r="M451" s="36" t="n">
        <v>21</v>
      </c>
      <c r="N451" s="36" t="n">
        <v>22</v>
      </c>
      <c r="O451" s="36" t="n">
        <v>16</v>
      </c>
      <c r="P451" s="36" t="n">
        <v>28</v>
      </c>
      <c r="Q451" s="36" t="n">
        <v>17</v>
      </c>
      <c r="R451" s="28" t="n">
        <v>22</v>
      </c>
      <c r="S451" s="36" t="n">
        <v>48</v>
      </c>
      <c r="T451" s="36" t="n">
        <v>74</v>
      </c>
      <c r="U451" s="36" t="n">
        <v>50</v>
      </c>
      <c r="V451" s="36" t="n">
        <v>50.18</v>
      </c>
      <c r="W451" s="36" t="n">
        <v>49.46</v>
      </c>
      <c r="X451" s="36" t="n">
        <v>40.22</v>
      </c>
      <c r="Y451" s="28" t="n">
        <v>67.37</v>
      </c>
      <c r="Z451" s="36" t="n">
        <v>53.34</v>
      </c>
      <c r="AA451" s="36" t="n">
        <v>73.34999999999999</v>
      </c>
      <c r="AB451" s="36" t="n">
        <v>51.03</v>
      </c>
      <c r="AC451" s="36" t="n">
        <v>41.18</v>
      </c>
      <c r="AD451" s="36" t="n">
        <v>107.33</v>
      </c>
      <c r="AE451" s="36" t="n">
        <v>43.08</v>
      </c>
      <c r="AF451" s="28" t="n">
        <v>76.79000000000001</v>
      </c>
      <c r="AG451" s="36" t="n">
        <v>56</v>
      </c>
      <c r="AH451" s="37" t="n">
        <v>59.12</v>
      </c>
      <c r="AI451" s="37" t="n">
        <v>50</v>
      </c>
      <c r="AJ451" s="37" t="n">
        <v>50.18</v>
      </c>
      <c r="AK451" s="37" t="n">
        <v>66.73999999999999</v>
      </c>
      <c r="AL451" s="37" t="n">
        <v>72.23</v>
      </c>
      <c r="AM451" s="37" t="n">
        <v>67.37</v>
      </c>
      <c r="AN451" s="37" t="n">
        <v>53.34</v>
      </c>
      <c r="AO451" s="37" t="n">
        <v>59.12</v>
      </c>
      <c r="AP451" s="37" t="n">
        <v>62.42</v>
      </c>
      <c r="AQ451" s="37" t="n">
        <v>40.23</v>
      </c>
      <c r="AR451" s="37" t="n">
        <v>49.46</v>
      </c>
      <c r="AS451" s="37" t="n">
        <v>40.22</v>
      </c>
      <c r="AT451" s="37" t="n">
        <v>67.37</v>
      </c>
      <c r="AU451" s="37" t="n">
        <v>54.44</v>
      </c>
      <c r="AV451" s="37" t="n">
        <v>60.32</v>
      </c>
      <c r="AW451" s="37" t="n">
        <v>50</v>
      </c>
      <c r="AX451" s="37" t="n">
        <v>50.18</v>
      </c>
      <c r="AY451" s="37" t="n">
        <v>49.46</v>
      </c>
      <c r="AZ451" s="37" t="n">
        <v>40.22</v>
      </c>
      <c r="BA451" s="37" t="n">
        <v>51.9</v>
      </c>
      <c r="BB451" s="37" t="n">
        <v>45.19</v>
      </c>
      <c r="BC451" s="37" t="n">
        <v>23.11</v>
      </c>
      <c r="BD451" s="37" t="n">
        <v>40.95</v>
      </c>
      <c r="BE451" s="37" t="n">
        <v>47.79</v>
      </c>
      <c r="BF451" s="37" t="n">
        <v>47.11</v>
      </c>
      <c r="BG451" s="37" t="n">
        <v>39.08</v>
      </c>
      <c r="BH451" s="37" t="n">
        <v>64.17</v>
      </c>
      <c r="BI451" s="37" t="n">
        <v>41.73</v>
      </c>
      <c r="BJ451" s="37" t="n">
        <v>152.33</v>
      </c>
      <c r="BK451" s="37" t="n">
        <v>50.98</v>
      </c>
      <c r="BL451" s="37" t="n">
        <v>50.2</v>
      </c>
      <c r="BM451" s="37" t="n">
        <v>47.11</v>
      </c>
      <c r="BN451" s="37" t="n">
        <v>38.31</v>
      </c>
      <c r="BO451" s="37" t="n">
        <v>64.17</v>
      </c>
      <c r="BP451" s="37" t="n">
        <v>68.55</v>
      </c>
      <c r="BQ451" s="37" t="n">
        <v>101.19</v>
      </c>
      <c r="BR451" s="37" t="n">
        <v>47.64</v>
      </c>
      <c r="BS451" s="37" t="n">
        <v>47.79</v>
      </c>
      <c r="BT451" s="37" t="n">
        <v>47.11</v>
      </c>
      <c r="BU451" s="37" t="n">
        <v>47.86</v>
      </c>
      <c r="BV451" s="37" t="n">
        <v>51.42</v>
      </c>
      <c r="BW451" s="37" t="n">
        <v>50.79</v>
      </c>
      <c r="BX451" s="37" t="n">
        <v>56.31</v>
      </c>
      <c r="BY451" s="37" t="n">
        <v>47.64</v>
      </c>
      <c r="BZ451" s="37" t="n">
        <v>48.8</v>
      </c>
      <c r="CA451" s="37" t="n">
        <v>48.02</v>
      </c>
      <c r="CB451" s="37" t="n">
        <v>38.31</v>
      </c>
      <c r="CC451" s="37" t="n">
        <v>3781.31</v>
      </c>
    </row>
    <row r="452" ht="15.75" customHeight="1" s="57">
      <c r="A452" s="7" t="inlineStr">
        <is>
          <t>NTB</t>
        </is>
      </c>
      <c r="B452" s="7" t="inlineStr">
        <is>
          <t>Lâm Đồng</t>
        </is>
      </c>
      <c r="C452" s="7" t="n">
        <v>22222000</v>
      </c>
      <c r="D452" s="7" t="inlineStr">
        <is>
          <t>(LDO) Bảo Lâm 1</t>
        </is>
      </c>
      <c r="E452" s="7" t="inlineStr">
        <is>
          <t>Shopee-Bulky</t>
        </is>
      </c>
      <c r="F452" s="36" t="n">
        <v>13.32</v>
      </c>
      <c r="G452" s="36" t="n">
        <v>15.85</v>
      </c>
      <c r="H452" s="36" t="n">
        <v>13.95</v>
      </c>
      <c r="I452" s="36" t="n">
        <v>10.15</v>
      </c>
      <c r="J452" s="36" t="n">
        <v>10.15</v>
      </c>
      <c r="K452" s="28" t="n">
        <v>8.880000000000001</v>
      </c>
      <c r="L452" s="36" t="n">
        <v>8.24</v>
      </c>
      <c r="M452" s="36" t="n">
        <v>14.58</v>
      </c>
      <c r="N452" s="36" t="n">
        <v>5.71</v>
      </c>
      <c r="O452" s="36" t="n">
        <v>9.51</v>
      </c>
      <c r="P452" s="36" t="n">
        <v>6.97</v>
      </c>
      <c r="Q452" s="36" t="n">
        <v>12.68</v>
      </c>
      <c r="R452" s="28" t="n">
        <v>19.02</v>
      </c>
      <c r="S452" s="36" t="n">
        <v>8.24</v>
      </c>
      <c r="T452" s="36" t="n">
        <v>8.24</v>
      </c>
      <c r="U452" s="36" t="n">
        <v>9.800000000000001</v>
      </c>
      <c r="V452" s="36" t="n">
        <v>9.44</v>
      </c>
      <c r="W452" s="36" t="n">
        <v>12.98</v>
      </c>
      <c r="X452" s="36" t="n">
        <v>7.34</v>
      </c>
      <c r="Y452" s="28" t="n">
        <v>14.38</v>
      </c>
      <c r="Z452" s="36" t="n">
        <v>11.37</v>
      </c>
      <c r="AA452" s="36" t="n">
        <v>11.05</v>
      </c>
      <c r="AB452" s="36" t="n">
        <v>11.18</v>
      </c>
      <c r="AC452" s="36" t="n">
        <v>11.74</v>
      </c>
      <c r="AD452" s="36" t="n">
        <v>31.62</v>
      </c>
      <c r="AE452" s="36" t="n">
        <v>18.87</v>
      </c>
      <c r="AF452" s="28" t="n">
        <v>28.14</v>
      </c>
      <c r="AG452" s="36" t="n">
        <v>15.98</v>
      </c>
      <c r="AH452" s="37" t="n">
        <v>11.24</v>
      </c>
      <c r="AI452" s="37" t="n">
        <v>10.81</v>
      </c>
      <c r="AJ452" s="37" t="n">
        <v>10.72</v>
      </c>
      <c r="AK452" s="37" t="n">
        <v>24.28</v>
      </c>
      <c r="AL452" s="37" t="n">
        <v>12.35</v>
      </c>
      <c r="AM452" s="37" t="n">
        <v>17.64</v>
      </c>
      <c r="AN452" s="37" t="n">
        <v>11.16</v>
      </c>
      <c r="AO452" s="37" t="n">
        <v>10.94</v>
      </c>
      <c r="AP452" s="37" t="n">
        <v>14.78</v>
      </c>
      <c r="AQ452" s="37" t="n">
        <v>14.69</v>
      </c>
      <c r="AR452" s="37" t="n">
        <v>11.68</v>
      </c>
      <c r="AS452" s="37" t="n">
        <v>6.46</v>
      </c>
      <c r="AT452" s="37" t="n">
        <v>13.2</v>
      </c>
      <c r="AU452" s="37" t="n">
        <v>21.72</v>
      </c>
      <c r="AV452" s="37" t="n">
        <v>22.55</v>
      </c>
      <c r="AW452" s="37" t="n">
        <v>10.97</v>
      </c>
      <c r="AX452" s="37" t="n">
        <v>10.3</v>
      </c>
      <c r="AY452" s="37" t="n">
        <v>11.18</v>
      </c>
      <c r="AZ452" s="37" t="n">
        <v>6.21</v>
      </c>
      <c r="BA452" s="37" t="n">
        <v>12.07</v>
      </c>
      <c r="BB452" s="37" t="n">
        <v>11.22</v>
      </c>
      <c r="BC452" s="37" t="n">
        <v>3.77</v>
      </c>
      <c r="BD452" s="37" t="n">
        <v>9.609999999999999</v>
      </c>
      <c r="BE452" s="37" t="n">
        <v>11.81</v>
      </c>
      <c r="BF452" s="37" t="n">
        <v>10.15</v>
      </c>
      <c r="BG452" s="37" t="n">
        <v>8.43</v>
      </c>
      <c r="BH452" s="37" t="n">
        <v>15.45</v>
      </c>
      <c r="BI452" s="37" t="n">
        <v>13.19</v>
      </c>
      <c r="BJ452" s="37" t="n">
        <v>50.31</v>
      </c>
      <c r="BK452" s="37" t="n">
        <v>27.91</v>
      </c>
      <c r="BL452" s="37" t="n">
        <v>14.38</v>
      </c>
      <c r="BM452" s="37" t="n">
        <v>10.72</v>
      </c>
      <c r="BN452" s="37" t="n">
        <v>8.140000000000001</v>
      </c>
      <c r="BO452" s="37" t="n">
        <v>17.96</v>
      </c>
      <c r="BP452" s="37" t="n">
        <v>26.23</v>
      </c>
      <c r="BQ452" s="37" t="n">
        <v>18.98</v>
      </c>
      <c r="BR452" s="37" t="n">
        <v>12.49</v>
      </c>
      <c r="BS452" s="37" t="n">
        <v>11.81</v>
      </c>
      <c r="BT452" s="37" t="n">
        <v>10.15</v>
      </c>
      <c r="BU452" s="37" t="n">
        <v>11.97</v>
      </c>
      <c r="BV452" s="37" t="n">
        <v>16.36</v>
      </c>
      <c r="BW452" s="37" t="n">
        <v>13.19</v>
      </c>
      <c r="BX452" s="37" t="n">
        <v>12.73</v>
      </c>
      <c r="BY452" s="37" t="n">
        <v>12.49</v>
      </c>
      <c r="BZ452" s="37" t="n">
        <v>21.4</v>
      </c>
      <c r="CA452" s="37" t="n">
        <v>12.34</v>
      </c>
      <c r="CB452" s="37" t="n">
        <v>8.029999999999999</v>
      </c>
      <c r="CC452" s="37" t="n">
        <v>1025.55</v>
      </c>
    </row>
    <row r="453" ht="15.75" customHeight="1" s="57">
      <c r="A453" s="7" t="inlineStr">
        <is>
          <t>NTB</t>
        </is>
      </c>
      <c r="B453" s="7" t="inlineStr">
        <is>
          <t>Lâm Đồng</t>
        </is>
      </c>
      <c r="C453" s="7" t="n">
        <v>22222000</v>
      </c>
      <c r="D453" s="7" t="inlineStr">
        <is>
          <t>(LDO) Bảo Lâm 1</t>
        </is>
      </c>
      <c r="E453" s="7" t="inlineStr">
        <is>
          <t>Shopee-Bulky (10-15kg)</t>
        </is>
      </c>
      <c r="F453" s="36" t="n">
        <v>7.68</v>
      </c>
      <c r="G453" s="36" t="n">
        <v>9.15</v>
      </c>
      <c r="H453" s="36" t="n">
        <v>8.050000000000001</v>
      </c>
      <c r="I453" s="36" t="n">
        <v>5.85</v>
      </c>
      <c r="J453" s="36" t="n">
        <v>5.85</v>
      </c>
      <c r="K453" s="28" t="n">
        <v>5.12</v>
      </c>
      <c r="L453" s="36" t="n">
        <v>4.76</v>
      </c>
      <c r="M453" s="36" t="n">
        <v>8.42</v>
      </c>
      <c r="N453" s="36" t="n">
        <v>3.29</v>
      </c>
      <c r="O453" s="36" t="n">
        <v>5.49</v>
      </c>
      <c r="P453" s="36" t="n">
        <v>4.03</v>
      </c>
      <c r="Q453" s="36" t="n">
        <v>7.32</v>
      </c>
      <c r="R453" s="28" t="n">
        <v>10.98</v>
      </c>
      <c r="S453" s="36" t="n">
        <v>4.76</v>
      </c>
      <c r="T453" s="36" t="n">
        <v>4.76</v>
      </c>
      <c r="U453" s="36" t="n">
        <v>5.89</v>
      </c>
      <c r="V453" s="36" t="n">
        <v>5.64</v>
      </c>
      <c r="W453" s="36" t="n">
        <v>7.43</v>
      </c>
      <c r="X453" s="36" t="n">
        <v>4.2</v>
      </c>
      <c r="Y453" s="28" t="n">
        <v>8.34</v>
      </c>
      <c r="Z453" s="36" t="n">
        <v>6.51</v>
      </c>
      <c r="AA453" s="36" t="n">
        <v>6.11</v>
      </c>
      <c r="AB453" s="36" t="n">
        <v>6.4</v>
      </c>
      <c r="AC453" s="36" t="n">
        <v>6.62</v>
      </c>
      <c r="AD453" s="36" t="n">
        <v>25.34</v>
      </c>
      <c r="AE453" s="36" t="n">
        <v>10.58</v>
      </c>
      <c r="AF453" s="28" t="n">
        <v>15.44</v>
      </c>
      <c r="AG453" s="36" t="n">
        <v>9.210000000000001</v>
      </c>
      <c r="AH453" s="37" t="n">
        <v>6.42</v>
      </c>
      <c r="AI453" s="37" t="n">
        <v>6.24</v>
      </c>
      <c r="AJ453" s="37" t="n">
        <v>6.05</v>
      </c>
      <c r="AK453" s="37" t="n">
        <v>14.25</v>
      </c>
      <c r="AL453" s="37" t="n">
        <v>6.92</v>
      </c>
      <c r="AM453" s="37" t="n">
        <v>10.24</v>
      </c>
      <c r="AN453" s="37" t="n">
        <v>6.43</v>
      </c>
      <c r="AO453" s="37" t="n">
        <v>6.17</v>
      </c>
      <c r="AP453" s="37" t="n">
        <v>8.119999999999999</v>
      </c>
      <c r="AQ453" s="37" t="n">
        <v>8.279999999999999</v>
      </c>
      <c r="AR453" s="37" t="n">
        <v>6.71</v>
      </c>
      <c r="AS453" s="37" t="n">
        <v>3.69</v>
      </c>
      <c r="AT453" s="37" t="n">
        <v>7.64</v>
      </c>
      <c r="AU453" s="37" t="n">
        <v>12.93</v>
      </c>
      <c r="AV453" s="37" t="n">
        <v>12.96</v>
      </c>
      <c r="AW453" s="37" t="n">
        <v>6.23</v>
      </c>
      <c r="AX453" s="37" t="n">
        <v>5.77</v>
      </c>
      <c r="AY453" s="37" t="n">
        <v>6.43</v>
      </c>
      <c r="AZ453" s="37" t="n">
        <v>3.54</v>
      </c>
      <c r="BA453" s="37" t="n">
        <v>6.98</v>
      </c>
      <c r="BB453" s="37" t="n">
        <v>6.48</v>
      </c>
      <c r="BC453" s="37" t="n">
        <v>2.26</v>
      </c>
      <c r="BD453" s="37" t="n">
        <v>5.43</v>
      </c>
      <c r="BE453" s="37" t="n">
        <v>6.77</v>
      </c>
      <c r="BF453" s="37" t="n">
        <v>5.9</v>
      </c>
      <c r="BG453" s="37" t="n">
        <v>4.85</v>
      </c>
      <c r="BH453" s="37" t="n">
        <v>9.050000000000001</v>
      </c>
      <c r="BI453" s="37" t="n">
        <v>7.64</v>
      </c>
      <c r="BJ453" s="37" t="n">
        <v>34.9</v>
      </c>
      <c r="BK453" s="37" t="n">
        <v>16.19</v>
      </c>
      <c r="BL453" s="37" t="n">
        <v>8.31</v>
      </c>
      <c r="BM453" s="37" t="n">
        <v>6.14</v>
      </c>
      <c r="BN453" s="37" t="n">
        <v>4.74</v>
      </c>
      <c r="BO453" s="37" t="n">
        <v>10.3</v>
      </c>
      <c r="BP453" s="37" t="n">
        <v>15.26</v>
      </c>
      <c r="BQ453" s="37" t="n">
        <v>11.03</v>
      </c>
      <c r="BR453" s="37" t="n">
        <v>7.17</v>
      </c>
      <c r="BS453" s="37" t="n">
        <v>6.77</v>
      </c>
      <c r="BT453" s="37" t="n">
        <v>5.9</v>
      </c>
      <c r="BU453" s="37" t="n">
        <v>6.84</v>
      </c>
      <c r="BV453" s="37" t="n">
        <v>9.4</v>
      </c>
      <c r="BW453" s="37" t="n">
        <v>7.64</v>
      </c>
      <c r="BX453" s="37" t="n">
        <v>7.29</v>
      </c>
      <c r="BY453" s="37" t="n">
        <v>7.17</v>
      </c>
      <c r="BZ453" s="37" t="n">
        <v>12.4</v>
      </c>
      <c r="CA453" s="37" t="n">
        <v>7.07</v>
      </c>
      <c r="CB453" s="37" t="n">
        <v>4.57</v>
      </c>
      <c r="CC453" s="37" t="n">
        <v>602.6899999999999</v>
      </c>
    </row>
    <row r="454" ht="15.75" customHeight="1" s="57">
      <c r="A454" s="7" t="inlineStr">
        <is>
          <t>NTB</t>
        </is>
      </c>
      <c r="B454" s="7" t="inlineStr">
        <is>
          <t>Lâm Đồng</t>
        </is>
      </c>
      <c r="C454" s="7" t="n">
        <v>22222000</v>
      </c>
      <c r="D454" s="7" t="inlineStr">
        <is>
          <t>(LDO) Bảo Lâm 1</t>
        </is>
      </c>
      <c r="E454" s="7" t="inlineStr">
        <is>
          <t>TTS</t>
        </is>
      </c>
      <c r="F454" s="36" t="n">
        <v>188</v>
      </c>
      <c r="G454" s="36" t="n">
        <v>156</v>
      </c>
      <c r="H454" s="36" t="n">
        <v>151</v>
      </c>
      <c r="I454" s="36" t="n">
        <v>119</v>
      </c>
      <c r="J454" s="36" t="n">
        <v>89</v>
      </c>
      <c r="K454" s="28" t="n">
        <v>129</v>
      </c>
      <c r="L454" s="36" t="n">
        <v>112</v>
      </c>
      <c r="M454" s="36" t="n">
        <v>77</v>
      </c>
      <c r="N454" s="36" t="n">
        <v>126</v>
      </c>
      <c r="O454" s="36" t="n">
        <v>78</v>
      </c>
      <c r="P454" s="36" t="n">
        <v>189</v>
      </c>
      <c r="Q454" s="36" t="n">
        <v>98</v>
      </c>
      <c r="R454" s="28" t="n">
        <v>108</v>
      </c>
      <c r="S454" s="36" t="n">
        <v>120</v>
      </c>
      <c r="T454" s="36" t="n">
        <v>81</v>
      </c>
      <c r="U454" s="36" t="n">
        <v>84.34999999999999</v>
      </c>
      <c r="V454" s="36" t="n">
        <v>82.90000000000001</v>
      </c>
      <c r="W454" s="36" t="n">
        <v>81.03</v>
      </c>
      <c r="X454" s="36" t="n">
        <v>65.41999999999999</v>
      </c>
      <c r="Y454" s="28" t="n">
        <v>95</v>
      </c>
      <c r="Z454" s="36" t="n">
        <v>80.85000000000001</v>
      </c>
      <c r="AA454" s="36" t="n">
        <v>89.70999999999999</v>
      </c>
      <c r="AB454" s="36" t="n">
        <v>99.72</v>
      </c>
      <c r="AC454" s="36" t="n">
        <v>105</v>
      </c>
      <c r="AD454" s="36" t="n">
        <v>107.56</v>
      </c>
      <c r="AE454" s="36" t="n">
        <v>76</v>
      </c>
      <c r="AF454" s="28" t="n">
        <v>98.23999999999999</v>
      </c>
      <c r="AG454" s="36" t="n">
        <v>82.43000000000001</v>
      </c>
      <c r="AH454" s="37" t="n">
        <v>81.53999999999999</v>
      </c>
      <c r="AI454" s="37" t="n">
        <v>93.28</v>
      </c>
      <c r="AJ454" s="37" t="n">
        <v>100.3</v>
      </c>
      <c r="AK454" s="37" t="n">
        <v>98.88</v>
      </c>
      <c r="AL454" s="37" t="n">
        <v>70.50999999999999</v>
      </c>
      <c r="AM454" s="37" t="n">
        <v>96.78999999999999</v>
      </c>
      <c r="AN454" s="37" t="n">
        <v>83.50999999999999</v>
      </c>
      <c r="AO454" s="37" t="n">
        <v>83.06999999999999</v>
      </c>
      <c r="AP454" s="37" t="n">
        <v>80.51000000000001</v>
      </c>
      <c r="AQ454" s="37" t="n">
        <v>81.22000000000001</v>
      </c>
      <c r="AR454" s="37" t="n">
        <v>79.88</v>
      </c>
      <c r="AS454" s="37" t="n">
        <v>65.75999999999999</v>
      </c>
      <c r="AT454" s="37" t="n">
        <v>104.63</v>
      </c>
      <c r="AU454" s="37" t="n">
        <v>94.66</v>
      </c>
      <c r="AV454" s="37" t="n">
        <v>84.22</v>
      </c>
      <c r="AW454" s="37" t="n">
        <v>79.53</v>
      </c>
      <c r="AX454" s="37" t="n">
        <v>78.92</v>
      </c>
      <c r="AY454" s="37" t="n">
        <v>78.83999999999999</v>
      </c>
      <c r="AZ454" s="37" t="n">
        <v>65.75999999999999</v>
      </c>
      <c r="BA454" s="37" t="n">
        <v>94.25999999999999</v>
      </c>
      <c r="BB454" s="37" t="n">
        <v>88.11999999999999</v>
      </c>
      <c r="BC454" s="37" t="n">
        <v>52.47</v>
      </c>
      <c r="BD454" s="37" t="n">
        <v>75.98999999999999</v>
      </c>
      <c r="BE454" s="37" t="n">
        <v>89.44</v>
      </c>
      <c r="BF454" s="37" t="n">
        <v>86.97999999999999</v>
      </c>
      <c r="BG454" s="37" t="n">
        <v>70.64</v>
      </c>
      <c r="BH454" s="37" t="n">
        <v>104.42</v>
      </c>
      <c r="BI454" s="37" t="n">
        <v>88.11999999999999</v>
      </c>
      <c r="BJ454" s="37" t="n">
        <v>81.69999999999999</v>
      </c>
      <c r="BK454" s="37" t="n">
        <v>89.33999999999999</v>
      </c>
      <c r="BL454" s="37" t="n">
        <v>89.44</v>
      </c>
      <c r="BM454" s="37" t="n">
        <v>86.97999999999999</v>
      </c>
      <c r="BN454" s="37" t="n">
        <v>70.64</v>
      </c>
      <c r="BO454" s="37" t="n">
        <v>104.42</v>
      </c>
      <c r="BP454" s="37" t="n">
        <v>88.11999999999999</v>
      </c>
      <c r="BQ454" s="37" t="n">
        <v>87.14999999999999</v>
      </c>
      <c r="BR454" s="37" t="n">
        <v>89.33999999999999</v>
      </c>
      <c r="BS454" s="37" t="n">
        <v>89.44</v>
      </c>
      <c r="BT454" s="37" t="n">
        <v>86.97999999999999</v>
      </c>
      <c r="BU454" s="37" t="n">
        <v>70.64</v>
      </c>
      <c r="BV454" s="37" t="n">
        <v>104.42</v>
      </c>
      <c r="BW454" s="37" t="n">
        <v>88.11999999999999</v>
      </c>
      <c r="BX454" s="37" t="n">
        <v>87.14999999999999</v>
      </c>
      <c r="BY454" s="37" t="n">
        <v>89.33999999999999</v>
      </c>
      <c r="BZ454" s="37" t="n">
        <v>89.44</v>
      </c>
      <c r="CA454" s="37" t="n">
        <v>86.97999999999999</v>
      </c>
      <c r="CB454" s="37" t="n">
        <v>70.64</v>
      </c>
      <c r="CC454" s="37" t="n">
        <v>6971.739999999999</v>
      </c>
    </row>
    <row r="455" ht="15.75" customHeight="1" s="57">
      <c r="A455" s="7" t="inlineStr">
        <is>
          <t>NTB</t>
        </is>
      </c>
      <c r="B455" s="7" t="inlineStr">
        <is>
          <t>Lâm Đồng</t>
        </is>
      </c>
      <c r="C455" s="7" t="n">
        <v>22222000</v>
      </c>
      <c r="D455" s="7" t="inlineStr">
        <is>
          <t>(LDO) Bảo Lâm 1</t>
        </is>
      </c>
      <c r="E455" s="7" t="inlineStr">
        <is>
          <t>TTS-Bulky</t>
        </is>
      </c>
      <c r="F455" s="36" t="n">
        <v>5</v>
      </c>
      <c r="G455" s="36" t="n">
        <v>3</v>
      </c>
      <c r="H455" s="36" t="n">
        <v>1</v>
      </c>
      <c r="I455" s="36" t="n">
        <v>2</v>
      </c>
      <c r="J455" s="36" t="n">
        <v>4</v>
      </c>
      <c r="K455" s="28" t="n">
        <v>2</v>
      </c>
      <c r="L455" s="36" t="n">
        <v>0</v>
      </c>
      <c r="M455" s="36" t="n">
        <v>2</v>
      </c>
      <c r="N455" s="36" t="n">
        <v>1</v>
      </c>
      <c r="O455" s="36" t="n">
        <v>1</v>
      </c>
      <c r="P455" s="36" t="n">
        <v>0</v>
      </c>
      <c r="Q455" s="36" t="n">
        <v>0</v>
      </c>
      <c r="R455" s="28" t="n">
        <v>1</v>
      </c>
      <c r="S455" s="36" t="n">
        <v>0</v>
      </c>
      <c r="T455" s="36" t="n">
        <v>2</v>
      </c>
      <c r="U455" s="36" t="n">
        <v>4.27</v>
      </c>
      <c r="V455" s="36" t="n">
        <v>4.33</v>
      </c>
      <c r="W455" s="36" t="n">
        <v>2.04</v>
      </c>
      <c r="X455" s="36" t="n">
        <v>1.47</v>
      </c>
      <c r="Y455" s="28" t="n">
        <v>2.67</v>
      </c>
      <c r="Z455" s="36" t="n">
        <v>2.12</v>
      </c>
      <c r="AA455" s="36" t="n">
        <v>2.26</v>
      </c>
      <c r="AB455" s="36" t="n">
        <v>2.34</v>
      </c>
      <c r="AC455" s="36" t="n">
        <v>2.48</v>
      </c>
      <c r="AD455" s="36" t="n">
        <v>3.7</v>
      </c>
      <c r="AE455" s="36" t="n">
        <v>1.66</v>
      </c>
      <c r="AF455" s="28" t="n">
        <v>2.64</v>
      </c>
      <c r="AG455" s="36" t="n">
        <v>2.01</v>
      </c>
      <c r="AH455" s="37" t="n">
        <v>2.01</v>
      </c>
      <c r="AI455" s="37" t="n">
        <v>2.04</v>
      </c>
      <c r="AJ455" s="37" t="n">
        <v>2.31</v>
      </c>
      <c r="AK455" s="37" t="n">
        <v>2.2</v>
      </c>
      <c r="AL455" s="37" t="n">
        <v>1.58</v>
      </c>
      <c r="AM455" s="37" t="n">
        <v>2.64</v>
      </c>
      <c r="AN455" s="37" t="n">
        <v>2.04</v>
      </c>
      <c r="AO455" s="37" t="n">
        <v>2.01</v>
      </c>
      <c r="AP455" s="37" t="n">
        <v>2.01</v>
      </c>
      <c r="AQ455" s="37" t="n">
        <v>2.2</v>
      </c>
      <c r="AR455" s="37" t="n">
        <v>2.04</v>
      </c>
      <c r="AS455" s="37" t="n">
        <v>1.52</v>
      </c>
      <c r="AT455" s="37" t="n">
        <v>2.75</v>
      </c>
      <c r="AU455" s="37" t="n">
        <v>2.34</v>
      </c>
      <c r="AV455" s="37" t="n">
        <v>2.07</v>
      </c>
      <c r="AW455" s="37" t="n">
        <v>1.99</v>
      </c>
      <c r="AX455" s="37" t="n">
        <v>2.2</v>
      </c>
      <c r="AY455" s="37" t="n">
        <v>2.01</v>
      </c>
      <c r="AZ455" s="37" t="n">
        <v>1.52</v>
      </c>
      <c r="BA455" s="37" t="n">
        <v>2.31</v>
      </c>
      <c r="BB455" s="37" t="n">
        <v>0.54</v>
      </c>
      <c r="BC455" s="37" t="n">
        <v>0.35</v>
      </c>
      <c r="BD455" s="37" t="n">
        <v>0.44</v>
      </c>
      <c r="BE455" s="37" t="n">
        <v>0.57</v>
      </c>
      <c r="BF455" s="37" t="n">
        <v>0.57</v>
      </c>
      <c r="BG455" s="37" t="n">
        <v>0.38</v>
      </c>
      <c r="BH455" s="37" t="n">
        <v>0.73</v>
      </c>
      <c r="BI455" s="37" t="n">
        <v>0.57</v>
      </c>
      <c r="BJ455" s="37" t="n">
        <v>0.93</v>
      </c>
      <c r="BK455" s="37" t="n">
        <v>0.6</v>
      </c>
      <c r="BL455" s="37" t="n">
        <v>0.57</v>
      </c>
      <c r="BM455" s="37" t="n">
        <v>0.57</v>
      </c>
      <c r="BN455" s="37" t="n">
        <v>0.44</v>
      </c>
      <c r="BO455" s="37" t="n">
        <v>0.84</v>
      </c>
      <c r="BP455" s="37" t="n">
        <v>0.65</v>
      </c>
      <c r="BQ455" s="37" t="n">
        <v>0.6</v>
      </c>
      <c r="BR455" s="37" t="n">
        <v>0.6</v>
      </c>
      <c r="BS455" s="37" t="n">
        <v>0.57</v>
      </c>
      <c r="BT455" s="37" t="n">
        <v>0.57</v>
      </c>
      <c r="BU455" s="37" t="n">
        <v>0.38</v>
      </c>
      <c r="BV455" s="37" t="n">
        <v>0.63</v>
      </c>
      <c r="BW455" s="37" t="n">
        <v>0.57</v>
      </c>
      <c r="BX455" s="37" t="n">
        <v>0.6</v>
      </c>
      <c r="BY455" s="37" t="n">
        <v>0.6</v>
      </c>
      <c r="BZ455" s="37" t="n">
        <v>0.57</v>
      </c>
      <c r="CA455" s="37" t="n">
        <v>0.57</v>
      </c>
      <c r="CB455" s="37" t="n">
        <v>0.38</v>
      </c>
      <c r="CC455" s="37" t="n">
        <v>115.1699999999999</v>
      </c>
    </row>
    <row r="456" ht="15.75" customHeight="1" s="57">
      <c r="A456" s="7" t="inlineStr">
        <is>
          <t>NTB</t>
        </is>
      </c>
      <c r="B456" s="7" t="inlineStr">
        <is>
          <t>Lâm Đồng</t>
        </is>
      </c>
      <c r="C456" s="7" t="n">
        <v>22255000</v>
      </c>
      <c r="D456" s="7" t="inlineStr">
        <is>
          <t>(LDO) Hiệp Thạnh</t>
        </is>
      </c>
      <c r="E456" s="7" t="inlineStr">
        <is>
          <t>SME</t>
        </is>
      </c>
      <c r="F456" s="36" t="n">
        <v>211</v>
      </c>
      <c r="G456" s="36" t="n">
        <v>243</v>
      </c>
      <c r="H456" s="36" t="n">
        <v>207</v>
      </c>
      <c r="I456" s="36" t="n">
        <v>177</v>
      </c>
      <c r="J456" s="36" t="n">
        <v>200</v>
      </c>
      <c r="K456" s="28" t="n">
        <v>176</v>
      </c>
      <c r="L456" s="36" t="n">
        <v>154</v>
      </c>
      <c r="M456" s="36" t="n">
        <v>148</v>
      </c>
      <c r="N456" s="36" t="n">
        <v>194</v>
      </c>
      <c r="O456" s="36" t="n">
        <v>162</v>
      </c>
      <c r="P456" s="36" t="n">
        <v>179</v>
      </c>
      <c r="Q456" s="36" t="n">
        <v>159</v>
      </c>
      <c r="R456" s="28" t="n">
        <v>149</v>
      </c>
      <c r="S456" s="36" t="n">
        <v>108</v>
      </c>
      <c r="T456" s="36" t="n">
        <v>181</v>
      </c>
      <c r="U456" s="36" t="n">
        <v>204.48</v>
      </c>
      <c r="V456" s="36" t="n">
        <v>211.84</v>
      </c>
      <c r="W456" s="36" t="n">
        <v>205.96</v>
      </c>
      <c r="X456" s="36" t="n">
        <v>168.45</v>
      </c>
      <c r="Y456" s="28" t="n">
        <v>228.22</v>
      </c>
      <c r="Z456" s="36" t="n">
        <v>210.27</v>
      </c>
      <c r="AA456" s="36" t="n">
        <v>205.09</v>
      </c>
      <c r="AB456" s="36" t="n">
        <v>204.48</v>
      </c>
      <c r="AC456" s="36" t="n">
        <v>211.84</v>
      </c>
      <c r="AD456" s="36" t="n">
        <v>212.9</v>
      </c>
      <c r="AE456" s="36" t="n">
        <v>168.45</v>
      </c>
      <c r="AF456" s="28" t="n">
        <v>228.22</v>
      </c>
      <c r="AG456" s="36" t="n">
        <v>210.27</v>
      </c>
      <c r="AH456" s="37" t="n">
        <v>205.09</v>
      </c>
      <c r="AI456" s="37" t="n">
        <v>204.48</v>
      </c>
      <c r="AJ456" s="37" t="n">
        <v>211.84</v>
      </c>
      <c r="AK456" s="37" t="n">
        <v>205.96</v>
      </c>
      <c r="AL456" s="37" t="n">
        <v>168.45</v>
      </c>
      <c r="AM456" s="37" t="n">
        <v>228.22</v>
      </c>
      <c r="AN456" s="37" t="n">
        <v>210.27</v>
      </c>
      <c r="AO456" s="37" t="n">
        <v>205.09</v>
      </c>
      <c r="AP456" s="37" t="n">
        <v>204.48</v>
      </c>
      <c r="AQ456" s="37" t="n">
        <v>211.84</v>
      </c>
      <c r="AR456" s="37" t="n">
        <v>205.96</v>
      </c>
      <c r="AS456" s="37" t="n">
        <v>168.45</v>
      </c>
      <c r="AT456" s="37" t="n">
        <v>228.22</v>
      </c>
      <c r="AU456" s="37" t="n">
        <v>210.27</v>
      </c>
      <c r="AV456" s="37" t="n">
        <v>205.09</v>
      </c>
      <c r="AW456" s="37" t="n">
        <v>204.48</v>
      </c>
      <c r="AX456" s="37" t="n">
        <v>211.84</v>
      </c>
      <c r="AY456" s="37" t="n">
        <v>205.96</v>
      </c>
      <c r="AZ456" s="37" t="n">
        <v>168.45</v>
      </c>
      <c r="BA456" s="37" t="n">
        <v>205.33</v>
      </c>
      <c r="BB456" s="37" t="n">
        <v>184.42</v>
      </c>
      <c r="BC456" s="37" t="n">
        <v>116.53</v>
      </c>
      <c r="BD456" s="37" t="n">
        <v>116.17</v>
      </c>
      <c r="BE456" s="37" t="n">
        <v>196.34</v>
      </c>
      <c r="BF456" s="37" t="n">
        <v>191.33</v>
      </c>
      <c r="BG456" s="37" t="n">
        <v>173.81</v>
      </c>
      <c r="BH456" s="37" t="n">
        <v>235.43</v>
      </c>
      <c r="BI456" s="37" t="n">
        <v>216.82</v>
      </c>
      <c r="BJ456" s="37" t="n">
        <v>218.69</v>
      </c>
      <c r="BK456" s="37" t="n">
        <v>210.81</v>
      </c>
      <c r="BL456" s="37" t="n">
        <v>218.44</v>
      </c>
      <c r="BM456" s="37" t="n">
        <v>212.29</v>
      </c>
      <c r="BN456" s="37" t="n">
        <v>173.81</v>
      </c>
      <c r="BO456" s="37" t="n">
        <v>235.43</v>
      </c>
      <c r="BP456" s="37" t="n">
        <v>216.82</v>
      </c>
      <c r="BQ456" s="37" t="n">
        <v>211.39</v>
      </c>
      <c r="BR456" s="37" t="n">
        <v>210.81</v>
      </c>
      <c r="BS456" s="37" t="n">
        <v>218.44</v>
      </c>
      <c r="BT456" s="37" t="n">
        <v>212.29</v>
      </c>
      <c r="BU456" s="37" t="n">
        <v>173.81</v>
      </c>
      <c r="BV456" s="37" t="n">
        <v>235.43</v>
      </c>
      <c r="BW456" s="37" t="n">
        <v>216.82</v>
      </c>
      <c r="BX456" s="37" t="n">
        <v>211.39</v>
      </c>
      <c r="BY456" s="37" t="n">
        <v>210.81</v>
      </c>
      <c r="BZ456" s="37" t="n">
        <v>218.44</v>
      </c>
      <c r="CA456" s="37" t="n">
        <v>212.29</v>
      </c>
      <c r="CB456" s="37" t="n">
        <v>173.81</v>
      </c>
      <c r="CC456" s="37" t="n">
        <v>14811.11</v>
      </c>
    </row>
    <row r="457" ht="15.75" customHeight="1" s="57">
      <c r="A457" s="7" t="inlineStr">
        <is>
          <t>NTB</t>
        </is>
      </c>
      <c r="B457" s="7" t="inlineStr">
        <is>
          <t>Lâm Đồng</t>
        </is>
      </c>
      <c r="C457" s="7" t="n">
        <v>22255000</v>
      </c>
      <c r="D457" s="7" t="inlineStr">
        <is>
          <t>(LDO) Hiệp Thạnh</t>
        </is>
      </c>
      <c r="E457" s="7" t="inlineStr">
        <is>
          <t>SME-Bulky</t>
        </is>
      </c>
      <c r="F457" s="36" t="n">
        <v>6</v>
      </c>
      <c r="G457" s="36" t="n">
        <v>12</v>
      </c>
      <c r="H457" s="36" t="n">
        <v>9</v>
      </c>
      <c r="I457" s="36" t="n">
        <v>11</v>
      </c>
      <c r="J457" s="36" t="n">
        <v>7</v>
      </c>
      <c r="K457" s="28" t="n">
        <v>8</v>
      </c>
      <c r="L457" s="36" t="n">
        <v>5</v>
      </c>
      <c r="M457" s="36" t="n">
        <v>9</v>
      </c>
      <c r="N457" s="36" t="n">
        <v>9</v>
      </c>
      <c r="O457" s="36" t="n">
        <v>10</v>
      </c>
      <c r="P457" s="36" t="n">
        <v>8</v>
      </c>
      <c r="Q457" s="36" t="n">
        <v>21</v>
      </c>
      <c r="R457" s="28" t="n">
        <v>6</v>
      </c>
      <c r="S457" s="36" t="n">
        <v>5</v>
      </c>
      <c r="T457" s="36" t="n">
        <v>6</v>
      </c>
      <c r="U457" s="36" t="n">
        <v>9.24</v>
      </c>
      <c r="V457" s="36" t="n">
        <v>9.140000000000001</v>
      </c>
      <c r="W457" s="36" t="n">
        <v>8.640000000000001</v>
      </c>
      <c r="X457" s="36" t="n">
        <v>5.75</v>
      </c>
      <c r="Y457" s="28" t="n">
        <v>10.33</v>
      </c>
      <c r="Z457" s="36" t="n">
        <v>9.859999999999999</v>
      </c>
      <c r="AA457" s="36" t="n">
        <v>9.720000000000001</v>
      </c>
      <c r="AB457" s="36" t="n">
        <v>9.24</v>
      </c>
      <c r="AC457" s="36" t="n">
        <v>9.140000000000001</v>
      </c>
      <c r="AD457" s="36" t="n">
        <v>8.119999999999999</v>
      </c>
      <c r="AE457" s="36" t="n">
        <v>5.75</v>
      </c>
      <c r="AF457" s="28" t="n">
        <v>10.33</v>
      </c>
      <c r="AG457" s="36" t="n">
        <v>9.859999999999999</v>
      </c>
      <c r="AH457" s="37" t="n">
        <v>9.720000000000001</v>
      </c>
      <c r="AI457" s="37" t="n">
        <v>9.24</v>
      </c>
      <c r="AJ457" s="37" t="n">
        <v>9.140000000000001</v>
      </c>
      <c r="AK457" s="37" t="n">
        <v>8.640000000000001</v>
      </c>
      <c r="AL457" s="37" t="n">
        <v>5.75</v>
      </c>
      <c r="AM457" s="37" t="n">
        <v>10.33</v>
      </c>
      <c r="AN457" s="37" t="n">
        <v>9.859999999999999</v>
      </c>
      <c r="AO457" s="37" t="n">
        <v>9.720000000000001</v>
      </c>
      <c r="AP457" s="37" t="n">
        <v>9.24</v>
      </c>
      <c r="AQ457" s="37" t="n">
        <v>9.140000000000001</v>
      </c>
      <c r="AR457" s="37" t="n">
        <v>8.640000000000001</v>
      </c>
      <c r="AS457" s="37" t="n">
        <v>5.75</v>
      </c>
      <c r="AT457" s="37" t="n">
        <v>10.33</v>
      </c>
      <c r="AU457" s="37" t="n">
        <v>9.859999999999999</v>
      </c>
      <c r="AV457" s="37" t="n">
        <v>9.720000000000001</v>
      </c>
      <c r="AW457" s="37" t="n">
        <v>9.24</v>
      </c>
      <c r="AX457" s="37" t="n">
        <v>9.140000000000001</v>
      </c>
      <c r="AY457" s="37" t="n">
        <v>8.640000000000001</v>
      </c>
      <c r="AZ457" s="37" t="n">
        <v>5.75</v>
      </c>
      <c r="BA457" s="37" t="n">
        <v>10.37</v>
      </c>
      <c r="BB457" s="37" t="n">
        <v>5.45</v>
      </c>
      <c r="BC457" s="37" t="n">
        <v>2.77</v>
      </c>
      <c r="BD457" s="37" t="n">
        <v>2.51</v>
      </c>
      <c r="BE457" s="37" t="n">
        <v>4.77</v>
      </c>
      <c r="BF457" s="37" t="n">
        <v>4.43</v>
      </c>
      <c r="BG457" s="37" t="n">
        <v>3.45</v>
      </c>
      <c r="BH457" s="37" t="n">
        <v>5.99</v>
      </c>
      <c r="BI457" s="37" t="n">
        <v>5.95</v>
      </c>
      <c r="BJ457" s="37" t="n">
        <v>5.15</v>
      </c>
      <c r="BK457" s="37" t="n">
        <v>5.47</v>
      </c>
      <c r="BL457" s="37" t="n">
        <v>5.49</v>
      </c>
      <c r="BM457" s="37" t="n">
        <v>5.11</v>
      </c>
      <c r="BN457" s="37" t="n">
        <v>3.45</v>
      </c>
      <c r="BO457" s="37" t="n">
        <v>5.99</v>
      </c>
      <c r="BP457" s="37" t="n">
        <v>5.95</v>
      </c>
      <c r="BQ457" s="37" t="n">
        <v>5.67</v>
      </c>
      <c r="BR457" s="37" t="n">
        <v>5.47</v>
      </c>
      <c r="BS457" s="37" t="n">
        <v>5.49</v>
      </c>
      <c r="BT457" s="37" t="n">
        <v>5.11</v>
      </c>
      <c r="BU457" s="37" t="n">
        <v>3.45</v>
      </c>
      <c r="BV457" s="37" t="n">
        <v>5.99</v>
      </c>
      <c r="BW457" s="37" t="n">
        <v>5.95</v>
      </c>
      <c r="BX457" s="37" t="n">
        <v>5.67</v>
      </c>
      <c r="BY457" s="37" t="n">
        <v>5.47</v>
      </c>
      <c r="BZ457" s="37" t="n">
        <v>5.49</v>
      </c>
      <c r="CA457" s="37" t="n">
        <v>5.11</v>
      </c>
      <c r="CB457" s="37" t="n">
        <v>3.45</v>
      </c>
      <c r="CC457" s="37" t="n">
        <v>559.5900000000001</v>
      </c>
    </row>
    <row r="458" ht="15.75" customHeight="1" s="57">
      <c r="A458" s="7" t="inlineStr">
        <is>
          <t>NTB</t>
        </is>
      </c>
      <c r="B458" s="7" t="inlineStr">
        <is>
          <t>Lâm Đồng</t>
        </is>
      </c>
      <c r="C458" s="7" t="n">
        <v>22255000</v>
      </c>
      <c r="D458" s="7" t="inlineStr">
        <is>
          <t>(LDO) Hiệp Thạnh</t>
        </is>
      </c>
      <c r="E458" s="7" t="inlineStr">
        <is>
          <t>Shopee</t>
        </is>
      </c>
      <c r="F458" s="36" t="n">
        <v>172</v>
      </c>
      <c r="G458" s="36" t="n">
        <v>179</v>
      </c>
      <c r="H458" s="36" t="n">
        <v>123</v>
      </c>
      <c r="I458" s="36" t="n">
        <v>153</v>
      </c>
      <c r="J458" s="36" t="n">
        <v>107</v>
      </c>
      <c r="K458" s="28" t="n">
        <v>122</v>
      </c>
      <c r="L458" s="36" t="n">
        <v>85</v>
      </c>
      <c r="M458" s="36" t="n">
        <v>118</v>
      </c>
      <c r="N458" s="36" t="n">
        <v>175</v>
      </c>
      <c r="O458" s="36" t="n">
        <v>147</v>
      </c>
      <c r="P458" s="36" t="n">
        <v>133</v>
      </c>
      <c r="Q458" s="36" t="n">
        <v>93</v>
      </c>
      <c r="R458" s="28" t="n">
        <v>78</v>
      </c>
      <c r="S458" s="36" t="n">
        <v>71</v>
      </c>
      <c r="T458" s="36" t="n">
        <v>140</v>
      </c>
      <c r="U458" s="36" t="n">
        <v>184.51</v>
      </c>
      <c r="V458" s="36" t="n">
        <v>185.18</v>
      </c>
      <c r="W458" s="36" t="n">
        <v>182.52</v>
      </c>
      <c r="X458" s="36" t="n">
        <v>148.42</v>
      </c>
      <c r="Y458" s="28" t="n">
        <v>248.63</v>
      </c>
      <c r="Z458" s="36" t="n">
        <v>196.82</v>
      </c>
      <c r="AA458" s="36" t="n">
        <v>270.68</v>
      </c>
      <c r="AB458" s="36" t="n">
        <v>188.32</v>
      </c>
      <c r="AC458" s="36" t="n">
        <v>151.97</v>
      </c>
      <c r="AD458" s="36" t="n">
        <v>396.08</v>
      </c>
      <c r="AE458" s="36" t="n">
        <v>158.96</v>
      </c>
      <c r="AF458" s="28" t="n">
        <v>283.39</v>
      </c>
      <c r="AG458" s="36" t="n">
        <v>206.65</v>
      </c>
      <c r="AH458" s="37" t="n">
        <v>218.16</v>
      </c>
      <c r="AI458" s="37" t="n">
        <v>184.51</v>
      </c>
      <c r="AJ458" s="37" t="n">
        <v>185.18</v>
      </c>
      <c r="AK458" s="37" t="n">
        <v>246.28</v>
      </c>
      <c r="AL458" s="37" t="n">
        <v>266.56</v>
      </c>
      <c r="AM458" s="37" t="n">
        <v>248.63</v>
      </c>
      <c r="AN458" s="37" t="n">
        <v>196.82</v>
      </c>
      <c r="AO458" s="37" t="n">
        <v>218.16</v>
      </c>
      <c r="AP458" s="37" t="n">
        <v>230.34</v>
      </c>
      <c r="AQ458" s="37" t="n">
        <v>148.47</v>
      </c>
      <c r="AR458" s="37" t="n">
        <v>182.52</v>
      </c>
      <c r="AS458" s="37" t="n">
        <v>148.42</v>
      </c>
      <c r="AT458" s="37" t="n">
        <v>248.63</v>
      </c>
      <c r="AU458" s="37" t="n">
        <v>200.9</v>
      </c>
      <c r="AV458" s="37" t="n">
        <v>222.59</v>
      </c>
      <c r="AW458" s="37" t="n">
        <v>184.51</v>
      </c>
      <c r="AX458" s="37" t="n">
        <v>185.18</v>
      </c>
      <c r="AY458" s="37" t="n">
        <v>182.52</v>
      </c>
      <c r="AZ458" s="37" t="n">
        <v>148.42</v>
      </c>
      <c r="BA458" s="37" t="n">
        <v>191.51</v>
      </c>
      <c r="BB458" s="37" t="n">
        <v>166.76</v>
      </c>
      <c r="BC458" s="37" t="n">
        <v>85.28</v>
      </c>
      <c r="BD458" s="37" t="n">
        <v>151.13</v>
      </c>
      <c r="BE458" s="37" t="n">
        <v>176.36</v>
      </c>
      <c r="BF458" s="37" t="n">
        <v>173.84</v>
      </c>
      <c r="BG458" s="37" t="n">
        <v>144.22</v>
      </c>
      <c r="BH458" s="37" t="n">
        <v>236.81</v>
      </c>
      <c r="BI458" s="37" t="n">
        <v>154</v>
      </c>
      <c r="BJ458" s="37" t="n">
        <v>562.13</v>
      </c>
      <c r="BK458" s="37" t="n">
        <v>188.14</v>
      </c>
      <c r="BL458" s="37" t="n">
        <v>185.26</v>
      </c>
      <c r="BM458" s="37" t="n">
        <v>173.84</v>
      </c>
      <c r="BN458" s="37" t="n">
        <v>141.38</v>
      </c>
      <c r="BO458" s="37" t="n">
        <v>236.81</v>
      </c>
      <c r="BP458" s="37" t="n">
        <v>252.97</v>
      </c>
      <c r="BQ458" s="37" t="n">
        <v>373.41</v>
      </c>
      <c r="BR458" s="37" t="n">
        <v>175.79</v>
      </c>
      <c r="BS458" s="37" t="n">
        <v>176.36</v>
      </c>
      <c r="BT458" s="37" t="n">
        <v>173.84</v>
      </c>
      <c r="BU458" s="37" t="n">
        <v>176.63</v>
      </c>
      <c r="BV458" s="37" t="n">
        <v>189.74</v>
      </c>
      <c r="BW458" s="37" t="n">
        <v>187.43</v>
      </c>
      <c r="BX458" s="37" t="n">
        <v>207.8</v>
      </c>
      <c r="BY458" s="37" t="n">
        <v>175.79</v>
      </c>
      <c r="BZ458" s="37" t="n">
        <v>180.08</v>
      </c>
      <c r="CA458" s="37" t="n">
        <v>177.21</v>
      </c>
      <c r="CB458" s="37" t="n">
        <v>141.38</v>
      </c>
      <c r="CC458" s="37" t="n">
        <v>14100.83</v>
      </c>
    </row>
    <row r="459" ht="15.75" customHeight="1" s="57">
      <c r="A459" s="7" t="inlineStr">
        <is>
          <t>NTB</t>
        </is>
      </c>
      <c r="B459" s="7" t="inlineStr">
        <is>
          <t>Lâm Đồng</t>
        </is>
      </c>
      <c r="C459" s="7" t="n">
        <v>22255000</v>
      </c>
      <c r="D459" s="7" t="inlineStr">
        <is>
          <t>(LDO) Hiệp Thạnh</t>
        </is>
      </c>
      <c r="E459" s="7" t="inlineStr">
        <is>
          <t>Shopee-Bulky</t>
        </is>
      </c>
      <c r="F459" s="36" t="n">
        <v>11.41</v>
      </c>
      <c r="G459" s="36" t="n">
        <v>10.14</v>
      </c>
      <c r="H459" s="36" t="n">
        <v>13.95</v>
      </c>
      <c r="I459" s="36" t="n">
        <v>12.05</v>
      </c>
      <c r="J459" s="36" t="n">
        <v>8.24</v>
      </c>
      <c r="K459" s="28" t="n">
        <v>7.61</v>
      </c>
      <c r="L459" s="36" t="n">
        <v>5.71</v>
      </c>
      <c r="M459" s="36" t="n">
        <v>12.68</v>
      </c>
      <c r="N459" s="36" t="n">
        <v>12.05</v>
      </c>
      <c r="O459" s="36" t="n">
        <v>3.17</v>
      </c>
      <c r="P459" s="36" t="n">
        <v>6.34</v>
      </c>
      <c r="Q459" s="36" t="n">
        <v>10.78</v>
      </c>
      <c r="R459" s="28" t="n">
        <v>8.24</v>
      </c>
      <c r="S459" s="36" t="n">
        <v>9.51</v>
      </c>
      <c r="T459" s="36" t="n">
        <v>17.12</v>
      </c>
      <c r="U459" s="36" t="n">
        <v>9.09</v>
      </c>
      <c r="V459" s="36" t="n">
        <v>8.76</v>
      </c>
      <c r="W459" s="36" t="n">
        <v>12.05</v>
      </c>
      <c r="X459" s="36" t="n">
        <v>6.81</v>
      </c>
      <c r="Y459" s="28" t="n">
        <v>13.34</v>
      </c>
      <c r="Z459" s="36" t="n">
        <v>10.55</v>
      </c>
      <c r="AA459" s="36" t="n">
        <v>10.25</v>
      </c>
      <c r="AB459" s="36" t="n">
        <v>10.37</v>
      </c>
      <c r="AC459" s="36" t="n">
        <v>10.89</v>
      </c>
      <c r="AD459" s="36" t="n">
        <v>29.34</v>
      </c>
      <c r="AE459" s="36" t="n">
        <v>17.51</v>
      </c>
      <c r="AF459" s="28" t="n">
        <v>26.11</v>
      </c>
      <c r="AG459" s="36" t="n">
        <v>14.83</v>
      </c>
      <c r="AH459" s="37" t="n">
        <v>10.43</v>
      </c>
      <c r="AI459" s="37" t="n">
        <v>10.03</v>
      </c>
      <c r="AJ459" s="37" t="n">
        <v>9.949999999999999</v>
      </c>
      <c r="AK459" s="37" t="n">
        <v>22.53</v>
      </c>
      <c r="AL459" s="37" t="n">
        <v>11.46</v>
      </c>
      <c r="AM459" s="37" t="n">
        <v>16.37</v>
      </c>
      <c r="AN459" s="37" t="n">
        <v>10.36</v>
      </c>
      <c r="AO459" s="37" t="n">
        <v>10.15</v>
      </c>
      <c r="AP459" s="37" t="n">
        <v>13.71</v>
      </c>
      <c r="AQ459" s="37" t="n">
        <v>13.63</v>
      </c>
      <c r="AR459" s="37" t="n">
        <v>10.84</v>
      </c>
      <c r="AS459" s="37" t="n">
        <v>6</v>
      </c>
      <c r="AT459" s="37" t="n">
        <v>12.25</v>
      </c>
      <c r="AU459" s="37" t="n">
        <v>20.16</v>
      </c>
      <c r="AV459" s="37" t="n">
        <v>20.92</v>
      </c>
      <c r="AW459" s="37" t="n">
        <v>10.18</v>
      </c>
      <c r="AX459" s="37" t="n">
        <v>9.550000000000001</v>
      </c>
      <c r="AY459" s="37" t="n">
        <v>10.37</v>
      </c>
      <c r="AZ459" s="37" t="n">
        <v>5.77</v>
      </c>
      <c r="BA459" s="37" t="n">
        <v>11.2</v>
      </c>
      <c r="BB459" s="37" t="n">
        <v>10.41</v>
      </c>
      <c r="BC459" s="37" t="n">
        <v>3.5</v>
      </c>
      <c r="BD459" s="37" t="n">
        <v>8.91</v>
      </c>
      <c r="BE459" s="37" t="n">
        <v>10.96</v>
      </c>
      <c r="BF459" s="37" t="n">
        <v>9.42</v>
      </c>
      <c r="BG459" s="37" t="n">
        <v>7.82</v>
      </c>
      <c r="BH459" s="37" t="n">
        <v>14.34</v>
      </c>
      <c r="BI459" s="37" t="n">
        <v>12.24</v>
      </c>
      <c r="BJ459" s="37" t="n">
        <v>46.68</v>
      </c>
      <c r="BK459" s="37" t="n">
        <v>25.9</v>
      </c>
      <c r="BL459" s="37" t="n">
        <v>13.34</v>
      </c>
      <c r="BM459" s="37" t="n">
        <v>9.949999999999999</v>
      </c>
      <c r="BN459" s="37" t="n">
        <v>7.55</v>
      </c>
      <c r="BO459" s="37" t="n">
        <v>16.67</v>
      </c>
      <c r="BP459" s="37" t="n">
        <v>24.34</v>
      </c>
      <c r="BQ459" s="37" t="n">
        <v>17.61</v>
      </c>
      <c r="BR459" s="37" t="n">
        <v>11.59</v>
      </c>
      <c r="BS459" s="37" t="n">
        <v>10.96</v>
      </c>
      <c r="BT459" s="37" t="n">
        <v>9.42</v>
      </c>
      <c r="BU459" s="37" t="n">
        <v>11.11</v>
      </c>
      <c r="BV459" s="37" t="n">
        <v>15.18</v>
      </c>
      <c r="BW459" s="37" t="n">
        <v>12.24</v>
      </c>
      <c r="BX459" s="37" t="n">
        <v>11.82</v>
      </c>
      <c r="BY459" s="37" t="n">
        <v>11.59</v>
      </c>
      <c r="BZ459" s="37" t="n">
        <v>19.86</v>
      </c>
      <c r="CA459" s="37" t="n">
        <v>11.45</v>
      </c>
      <c r="CB459" s="37" t="n">
        <v>7.46</v>
      </c>
      <c r="CC459" s="37" t="n">
        <v>947.0799999999999</v>
      </c>
    </row>
    <row r="460" ht="15.75" customHeight="1" s="57">
      <c r="A460" s="7" t="inlineStr">
        <is>
          <t>NTB</t>
        </is>
      </c>
      <c r="B460" s="7" t="inlineStr">
        <is>
          <t>Lâm Đồng</t>
        </is>
      </c>
      <c r="C460" s="7" t="n">
        <v>22255000</v>
      </c>
      <c r="D460" s="7" t="inlineStr">
        <is>
          <t>(LDO) Hiệp Thạnh</t>
        </is>
      </c>
      <c r="E460" s="7" t="inlineStr">
        <is>
          <t>Shopee-Bulky (10-15kg)</t>
        </is>
      </c>
      <c r="F460" s="36" t="n">
        <v>6.59</v>
      </c>
      <c r="G460" s="36" t="n">
        <v>5.86</v>
      </c>
      <c r="H460" s="36" t="n">
        <v>8.050000000000001</v>
      </c>
      <c r="I460" s="36" t="n">
        <v>6.95</v>
      </c>
      <c r="J460" s="36" t="n">
        <v>4.76</v>
      </c>
      <c r="K460" s="28" t="n">
        <v>4.39</v>
      </c>
      <c r="L460" s="36" t="n">
        <v>3.29</v>
      </c>
      <c r="M460" s="36" t="n">
        <v>7.32</v>
      </c>
      <c r="N460" s="36" t="n">
        <v>6.95</v>
      </c>
      <c r="O460" s="36" t="n">
        <v>1.83</v>
      </c>
      <c r="P460" s="36" t="n">
        <v>3.66</v>
      </c>
      <c r="Q460" s="36" t="n">
        <v>6.22</v>
      </c>
      <c r="R460" s="28" t="n">
        <v>4.76</v>
      </c>
      <c r="S460" s="36" t="n">
        <v>5.49</v>
      </c>
      <c r="T460" s="36" t="n">
        <v>9.880000000000001</v>
      </c>
      <c r="U460" s="36" t="n">
        <v>5.47</v>
      </c>
      <c r="V460" s="36" t="n">
        <v>5.23</v>
      </c>
      <c r="W460" s="36" t="n">
        <v>6.9</v>
      </c>
      <c r="X460" s="36" t="n">
        <v>3.9</v>
      </c>
      <c r="Y460" s="28" t="n">
        <v>7.74</v>
      </c>
      <c r="Z460" s="36" t="n">
        <v>6.04</v>
      </c>
      <c r="AA460" s="36" t="n">
        <v>5.67</v>
      </c>
      <c r="AB460" s="36" t="n">
        <v>5.94</v>
      </c>
      <c r="AC460" s="36" t="n">
        <v>6.15</v>
      </c>
      <c r="AD460" s="36" t="n">
        <v>23.51</v>
      </c>
      <c r="AE460" s="36" t="n">
        <v>9.81</v>
      </c>
      <c r="AF460" s="28" t="n">
        <v>14.32</v>
      </c>
      <c r="AG460" s="36" t="n">
        <v>8.550000000000001</v>
      </c>
      <c r="AH460" s="37" t="n">
        <v>5.96</v>
      </c>
      <c r="AI460" s="37" t="n">
        <v>5.79</v>
      </c>
      <c r="AJ460" s="37" t="n">
        <v>5.62</v>
      </c>
      <c r="AK460" s="37" t="n">
        <v>13.22</v>
      </c>
      <c r="AL460" s="37" t="n">
        <v>6.42</v>
      </c>
      <c r="AM460" s="37" t="n">
        <v>9.5</v>
      </c>
      <c r="AN460" s="37" t="n">
        <v>5.97</v>
      </c>
      <c r="AO460" s="37" t="n">
        <v>5.72</v>
      </c>
      <c r="AP460" s="37" t="n">
        <v>7.54</v>
      </c>
      <c r="AQ460" s="37" t="n">
        <v>7.69</v>
      </c>
      <c r="AR460" s="37" t="n">
        <v>6.23</v>
      </c>
      <c r="AS460" s="37" t="n">
        <v>3.42</v>
      </c>
      <c r="AT460" s="37" t="n">
        <v>7.09</v>
      </c>
      <c r="AU460" s="37" t="n">
        <v>11.99</v>
      </c>
      <c r="AV460" s="37" t="n">
        <v>12.02</v>
      </c>
      <c r="AW460" s="37" t="n">
        <v>5.78</v>
      </c>
      <c r="AX460" s="37" t="n">
        <v>5.36</v>
      </c>
      <c r="AY460" s="37" t="n">
        <v>5.97</v>
      </c>
      <c r="AZ460" s="37" t="n">
        <v>3.28</v>
      </c>
      <c r="BA460" s="37" t="n">
        <v>6.47</v>
      </c>
      <c r="BB460" s="37" t="n">
        <v>6.01</v>
      </c>
      <c r="BC460" s="37" t="n">
        <v>2.1</v>
      </c>
      <c r="BD460" s="37" t="n">
        <v>5.04</v>
      </c>
      <c r="BE460" s="37" t="n">
        <v>6.28</v>
      </c>
      <c r="BF460" s="37" t="n">
        <v>5.48</v>
      </c>
      <c r="BG460" s="37" t="n">
        <v>4.5</v>
      </c>
      <c r="BH460" s="37" t="n">
        <v>8.4</v>
      </c>
      <c r="BI460" s="37" t="n">
        <v>7.09</v>
      </c>
      <c r="BJ460" s="37" t="n">
        <v>32.38</v>
      </c>
      <c r="BK460" s="37" t="n">
        <v>15.02</v>
      </c>
      <c r="BL460" s="37" t="n">
        <v>7.71</v>
      </c>
      <c r="BM460" s="37" t="n">
        <v>5.7</v>
      </c>
      <c r="BN460" s="37" t="n">
        <v>4.4</v>
      </c>
      <c r="BO460" s="37" t="n">
        <v>9.550000000000001</v>
      </c>
      <c r="BP460" s="37" t="n">
        <v>14.16</v>
      </c>
      <c r="BQ460" s="37" t="n">
        <v>10.24</v>
      </c>
      <c r="BR460" s="37" t="n">
        <v>6.65</v>
      </c>
      <c r="BS460" s="37" t="n">
        <v>6.28</v>
      </c>
      <c r="BT460" s="37" t="n">
        <v>5.48</v>
      </c>
      <c r="BU460" s="37" t="n">
        <v>6.35</v>
      </c>
      <c r="BV460" s="37" t="n">
        <v>8.720000000000001</v>
      </c>
      <c r="BW460" s="37" t="n">
        <v>7.09</v>
      </c>
      <c r="BX460" s="37" t="n">
        <v>6.76</v>
      </c>
      <c r="BY460" s="37" t="n">
        <v>6.65</v>
      </c>
      <c r="BZ460" s="37" t="n">
        <v>11.5</v>
      </c>
      <c r="CA460" s="37" t="n">
        <v>6.56</v>
      </c>
      <c r="CB460" s="37" t="n">
        <v>4.24</v>
      </c>
      <c r="CC460" s="37" t="n">
        <v>556.6099999999999</v>
      </c>
    </row>
    <row r="461" ht="15.75" customHeight="1" s="57">
      <c r="A461" s="7" t="inlineStr">
        <is>
          <t>NTB</t>
        </is>
      </c>
      <c r="B461" s="7" t="inlineStr">
        <is>
          <t>Lâm Đồng</t>
        </is>
      </c>
      <c r="C461" s="7" t="n">
        <v>22255000</v>
      </c>
      <c r="D461" s="7" t="inlineStr">
        <is>
          <t>(LDO) Hiệp Thạnh</t>
        </is>
      </c>
      <c r="E461" s="7" t="inlineStr">
        <is>
          <t>TTS</t>
        </is>
      </c>
      <c r="F461" s="36" t="n">
        <v>143</v>
      </c>
      <c r="G461" s="36" t="n">
        <v>124</v>
      </c>
      <c r="H461" s="36" t="n">
        <v>101</v>
      </c>
      <c r="I461" s="36" t="n">
        <v>131</v>
      </c>
      <c r="J461" s="36" t="n">
        <v>123</v>
      </c>
      <c r="K461" s="28" t="n">
        <v>112</v>
      </c>
      <c r="L461" s="36" t="n">
        <v>92</v>
      </c>
      <c r="M461" s="36" t="n">
        <v>88</v>
      </c>
      <c r="N461" s="36" t="n">
        <v>140</v>
      </c>
      <c r="O461" s="36" t="n">
        <v>110</v>
      </c>
      <c r="P461" s="36" t="n">
        <v>117</v>
      </c>
      <c r="Q461" s="36" t="n">
        <v>122</v>
      </c>
      <c r="R461" s="28" t="n">
        <v>105</v>
      </c>
      <c r="S461" s="36" t="n">
        <v>89</v>
      </c>
      <c r="T461" s="36" t="n">
        <v>140</v>
      </c>
      <c r="U461" s="36" t="n">
        <v>86.67</v>
      </c>
      <c r="V461" s="36" t="n">
        <v>85.19</v>
      </c>
      <c r="W461" s="36" t="n">
        <v>83.25999999999999</v>
      </c>
      <c r="X461" s="36" t="n">
        <v>67.22</v>
      </c>
      <c r="Y461" s="28" t="n">
        <v>97.61</v>
      </c>
      <c r="Z461" s="36" t="n">
        <v>83.08</v>
      </c>
      <c r="AA461" s="36" t="n">
        <v>92.17</v>
      </c>
      <c r="AB461" s="36" t="n">
        <v>102.47</v>
      </c>
      <c r="AC461" s="36" t="n">
        <v>107.89</v>
      </c>
      <c r="AD461" s="36" t="n">
        <v>110.46</v>
      </c>
      <c r="AE461" s="36" t="n">
        <v>78.09</v>
      </c>
      <c r="AF461" s="28" t="n">
        <v>100.95</v>
      </c>
      <c r="AG461" s="36" t="n">
        <v>84.70999999999999</v>
      </c>
      <c r="AH461" s="37" t="n">
        <v>83.78</v>
      </c>
      <c r="AI461" s="37" t="n">
        <v>95.84999999999999</v>
      </c>
      <c r="AJ461" s="37" t="n">
        <v>103.06</v>
      </c>
      <c r="AK461" s="37" t="n">
        <v>101.61</v>
      </c>
      <c r="AL461" s="37" t="n">
        <v>72.44</v>
      </c>
      <c r="AM461" s="37" t="n">
        <v>99.45</v>
      </c>
      <c r="AN461" s="37" t="n">
        <v>85.8</v>
      </c>
      <c r="AO461" s="37" t="n">
        <v>85.35000000000001</v>
      </c>
      <c r="AP461" s="37" t="n">
        <v>82.72999999999999</v>
      </c>
      <c r="AQ461" s="37" t="n">
        <v>83.45999999999999</v>
      </c>
      <c r="AR461" s="37" t="n">
        <v>82.08</v>
      </c>
      <c r="AS461" s="37" t="n">
        <v>67.57000000000001</v>
      </c>
      <c r="AT461" s="37" t="n">
        <v>107.5</v>
      </c>
      <c r="AU461" s="37" t="n">
        <v>97.27</v>
      </c>
      <c r="AV461" s="37" t="n">
        <v>86.53</v>
      </c>
      <c r="AW461" s="37" t="n">
        <v>81.72</v>
      </c>
      <c r="AX461" s="37" t="n">
        <v>81.09999999999999</v>
      </c>
      <c r="AY461" s="37" t="n">
        <v>81.00999999999999</v>
      </c>
      <c r="AZ461" s="37" t="n">
        <v>67.57000000000001</v>
      </c>
      <c r="BA461" s="37" t="n">
        <v>96.84999999999999</v>
      </c>
      <c r="BB461" s="37" t="n">
        <v>90.54000000000001</v>
      </c>
      <c r="BC461" s="37" t="n">
        <v>53.92</v>
      </c>
      <c r="BD461" s="37" t="n">
        <v>78.06</v>
      </c>
      <c r="BE461" s="37" t="n">
        <v>91.89</v>
      </c>
      <c r="BF461" s="37" t="n">
        <v>89.36</v>
      </c>
      <c r="BG461" s="37" t="n">
        <v>72.58</v>
      </c>
      <c r="BH461" s="37" t="n">
        <v>107.3</v>
      </c>
      <c r="BI461" s="37" t="n">
        <v>90.54000000000001</v>
      </c>
      <c r="BJ461" s="37" t="n">
        <v>83.89999999999999</v>
      </c>
      <c r="BK461" s="37" t="n">
        <v>91.79000000000001</v>
      </c>
      <c r="BL461" s="37" t="n">
        <v>91.89</v>
      </c>
      <c r="BM461" s="37" t="n">
        <v>89.36</v>
      </c>
      <c r="BN461" s="37" t="n">
        <v>72.58</v>
      </c>
      <c r="BO461" s="37" t="n">
        <v>107.3</v>
      </c>
      <c r="BP461" s="37" t="n">
        <v>90.54000000000001</v>
      </c>
      <c r="BQ461" s="37" t="n">
        <v>89.53</v>
      </c>
      <c r="BR461" s="37" t="n">
        <v>91.79000000000001</v>
      </c>
      <c r="BS461" s="37" t="n">
        <v>91.89</v>
      </c>
      <c r="BT461" s="37" t="n">
        <v>89.36</v>
      </c>
      <c r="BU461" s="37" t="n">
        <v>72.58</v>
      </c>
      <c r="BV461" s="37" t="n">
        <v>107.3</v>
      </c>
      <c r="BW461" s="37" t="n">
        <v>90.54000000000001</v>
      </c>
      <c r="BX461" s="37" t="n">
        <v>89.53</v>
      </c>
      <c r="BY461" s="37" t="n">
        <v>91.79000000000001</v>
      </c>
      <c r="BZ461" s="37" t="n">
        <v>91.89</v>
      </c>
      <c r="CA461" s="37" t="n">
        <v>89.36</v>
      </c>
      <c r="CB461" s="37" t="n">
        <v>72.58</v>
      </c>
      <c r="CC461" s="37" t="n">
        <v>7029.190000000001</v>
      </c>
    </row>
    <row r="462" ht="15.75" customHeight="1" s="57">
      <c r="A462" s="7" t="inlineStr">
        <is>
          <t>NTB</t>
        </is>
      </c>
      <c r="B462" s="7" t="inlineStr">
        <is>
          <t>Lâm Đồng</t>
        </is>
      </c>
      <c r="C462" s="7" t="n">
        <v>22255000</v>
      </c>
      <c r="D462" s="7" t="inlineStr">
        <is>
          <t>(LDO) Hiệp Thạnh</t>
        </is>
      </c>
      <c r="E462" s="7" t="inlineStr">
        <is>
          <t>TTS-Bulky</t>
        </is>
      </c>
      <c r="F462" s="36" t="n">
        <v>0</v>
      </c>
      <c r="G462" s="36" t="n">
        <v>2</v>
      </c>
      <c r="H462" s="36" t="n">
        <v>0</v>
      </c>
      <c r="I462" s="36" t="n">
        <v>2</v>
      </c>
      <c r="J462" s="36" t="n">
        <v>1</v>
      </c>
      <c r="K462" s="28" t="n">
        <v>2</v>
      </c>
      <c r="L462" s="36" t="n">
        <v>2</v>
      </c>
      <c r="M462" s="36" t="n">
        <v>1</v>
      </c>
      <c r="N462" s="36" t="n">
        <v>0</v>
      </c>
      <c r="O462" s="36" t="n">
        <v>0</v>
      </c>
      <c r="P462" s="36" t="n">
        <v>1</v>
      </c>
      <c r="Q462" s="36" t="n">
        <v>0</v>
      </c>
      <c r="R462" s="28" t="n">
        <v>3</v>
      </c>
      <c r="S462" s="36" t="n">
        <v>0</v>
      </c>
      <c r="T462" s="36" t="n">
        <v>2</v>
      </c>
      <c r="U462" s="36" t="n">
        <v>3.6</v>
      </c>
      <c r="V462" s="36" t="n">
        <v>3.64</v>
      </c>
      <c r="W462" s="36" t="n">
        <v>1.72</v>
      </c>
      <c r="X462" s="36" t="n">
        <v>1.24</v>
      </c>
      <c r="Y462" s="28" t="n">
        <v>2.25</v>
      </c>
      <c r="Z462" s="36" t="n">
        <v>1.79</v>
      </c>
      <c r="AA462" s="36" t="n">
        <v>1.9</v>
      </c>
      <c r="AB462" s="36" t="n">
        <v>1.97</v>
      </c>
      <c r="AC462" s="36" t="n">
        <v>2.09</v>
      </c>
      <c r="AD462" s="36" t="n">
        <v>3.12</v>
      </c>
      <c r="AE462" s="36" t="n">
        <v>1.4</v>
      </c>
      <c r="AF462" s="28" t="n">
        <v>2.22</v>
      </c>
      <c r="AG462" s="36" t="n">
        <v>1.7</v>
      </c>
      <c r="AH462" s="37" t="n">
        <v>1.7</v>
      </c>
      <c r="AI462" s="37" t="n">
        <v>1.72</v>
      </c>
      <c r="AJ462" s="37" t="n">
        <v>1.95</v>
      </c>
      <c r="AK462" s="37" t="n">
        <v>1.86</v>
      </c>
      <c r="AL462" s="37" t="n">
        <v>1.33</v>
      </c>
      <c r="AM462" s="37" t="n">
        <v>2.22</v>
      </c>
      <c r="AN462" s="37" t="n">
        <v>1.72</v>
      </c>
      <c r="AO462" s="37" t="n">
        <v>1.7</v>
      </c>
      <c r="AP462" s="37" t="n">
        <v>1.7</v>
      </c>
      <c r="AQ462" s="37" t="n">
        <v>1.86</v>
      </c>
      <c r="AR462" s="37" t="n">
        <v>1.72</v>
      </c>
      <c r="AS462" s="37" t="n">
        <v>1.28</v>
      </c>
      <c r="AT462" s="37" t="n">
        <v>2.32</v>
      </c>
      <c r="AU462" s="37" t="n">
        <v>1.97</v>
      </c>
      <c r="AV462" s="37" t="n">
        <v>1.74</v>
      </c>
      <c r="AW462" s="37" t="n">
        <v>1.67</v>
      </c>
      <c r="AX462" s="37" t="n">
        <v>1.86</v>
      </c>
      <c r="AY462" s="37" t="n">
        <v>1.7</v>
      </c>
      <c r="AZ462" s="37" t="n">
        <v>1.28</v>
      </c>
      <c r="BA462" s="37" t="n">
        <v>1.95</v>
      </c>
      <c r="BB462" s="37" t="n">
        <v>0.46</v>
      </c>
      <c r="BC462" s="37" t="n">
        <v>0.3</v>
      </c>
      <c r="BD462" s="37" t="n">
        <v>0.37</v>
      </c>
      <c r="BE462" s="37" t="n">
        <v>0.48</v>
      </c>
      <c r="BF462" s="37" t="n">
        <v>0.48</v>
      </c>
      <c r="BG462" s="37" t="n">
        <v>0.32</v>
      </c>
      <c r="BH462" s="37" t="n">
        <v>0.62</v>
      </c>
      <c r="BI462" s="37" t="n">
        <v>0.48</v>
      </c>
      <c r="BJ462" s="37" t="n">
        <v>0.78</v>
      </c>
      <c r="BK462" s="37" t="n">
        <v>0.5</v>
      </c>
      <c r="BL462" s="37" t="n">
        <v>0.48</v>
      </c>
      <c r="BM462" s="37" t="n">
        <v>0.48</v>
      </c>
      <c r="BN462" s="37" t="n">
        <v>0.37</v>
      </c>
      <c r="BO462" s="37" t="n">
        <v>0.71</v>
      </c>
      <c r="BP462" s="37" t="n">
        <v>0.55</v>
      </c>
      <c r="BQ462" s="37" t="n">
        <v>0.5</v>
      </c>
      <c r="BR462" s="37" t="n">
        <v>0.5</v>
      </c>
      <c r="BS462" s="37" t="n">
        <v>0.48</v>
      </c>
      <c r="BT462" s="37" t="n">
        <v>0.48</v>
      </c>
      <c r="BU462" s="37" t="n">
        <v>0.32</v>
      </c>
      <c r="BV462" s="37" t="n">
        <v>0.53</v>
      </c>
      <c r="BW462" s="37" t="n">
        <v>0.48</v>
      </c>
      <c r="BX462" s="37" t="n">
        <v>0.5</v>
      </c>
      <c r="BY462" s="37" t="n">
        <v>0.5</v>
      </c>
      <c r="BZ462" s="37" t="n">
        <v>0.48</v>
      </c>
      <c r="CA462" s="37" t="n">
        <v>0.48</v>
      </c>
      <c r="CB462" s="37" t="n">
        <v>0.32</v>
      </c>
      <c r="CC462" s="37" t="n">
        <v>92.84000000000002</v>
      </c>
    </row>
    <row r="463" ht="15.75" customHeight="1" s="57">
      <c r="A463" s="7" t="inlineStr">
        <is>
          <t>NTB</t>
        </is>
      </c>
      <c r="B463" s="7" t="inlineStr">
        <is>
          <t>Lâm Đồng</t>
        </is>
      </c>
      <c r="C463" s="7" t="n">
        <v>22312000</v>
      </c>
      <c r="D463" s="7" t="inlineStr">
        <is>
          <t>(LDO) Lâm Viên - Đà Lạt 1</t>
        </is>
      </c>
      <c r="E463" s="7" t="inlineStr">
        <is>
          <t>SME</t>
        </is>
      </c>
      <c r="F463" s="36" t="n">
        <v>354</v>
      </c>
      <c r="G463" s="36" t="n">
        <v>314</v>
      </c>
      <c r="H463" s="36" t="n">
        <v>321</v>
      </c>
      <c r="I463" s="36" t="n">
        <v>307</v>
      </c>
      <c r="J463" s="36" t="n">
        <v>274</v>
      </c>
      <c r="K463" s="28" t="n">
        <v>274</v>
      </c>
      <c r="L463" s="36" t="n">
        <v>274</v>
      </c>
      <c r="M463" s="36" t="n">
        <v>283</v>
      </c>
      <c r="N463" s="36" t="n">
        <v>369</v>
      </c>
      <c r="O463" s="36" t="n">
        <v>335</v>
      </c>
      <c r="P463" s="36" t="n">
        <v>318</v>
      </c>
      <c r="Q463" s="36" t="n">
        <v>291</v>
      </c>
      <c r="R463" s="28" t="n">
        <v>315</v>
      </c>
      <c r="S463" s="36" t="n">
        <v>293</v>
      </c>
      <c r="T463" s="36" t="n">
        <v>240</v>
      </c>
      <c r="U463" s="36" t="n">
        <v>390.03</v>
      </c>
      <c r="V463" s="36" t="n">
        <v>404.06</v>
      </c>
      <c r="W463" s="36" t="n">
        <v>392.84</v>
      </c>
      <c r="X463" s="36" t="n">
        <v>321.31</v>
      </c>
      <c r="Y463" s="28" t="n">
        <v>435.31</v>
      </c>
      <c r="Z463" s="36" t="n">
        <v>401.07</v>
      </c>
      <c r="AA463" s="36" t="n">
        <v>391.19</v>
      </c>
      <c r="AB463" s="36" t="n">
        <v>390.03</v>
      </c>
      <c r="AC463" s="36" t="n">
        <v>404.06</v>
      </c>
      <c r="AD463" s="36" t="n">
        <v>406.08</v>
      </c>
      <c r="AE463" s="36" t="n">
        <v>321.31</v>
      </c>
      <c r="AF463" s="28" t="n">
        <v>435.31</v>
      </c>
      <c r="AG463" s="36" t="n">
        <v>401.07</v>
      </c>
      <c r="AH463" s="37" t="n">
        <v>391.19</v>
      </c>
      <c r="AI463" s="37" t="n">
        <v>390.03</v>
      </c>
      <c r="AJ463" s="37" t="n">
        <v>404.06</v>
      </c>
      <c r="AK463" s="37" t="n">
        <v>392.84</v>
      </c>
      <c r="AL463" s="37" t="n">
        <v>321.31</v>
      </c>
      <c r="AM463" s="37" t="n">
        <v>435.31</v>
      </c>
      <c r="AN463" s="37" t="n">
        <v>401.07</v>
      </c>
      <c r="AO463" s="37" t="n">
        <v>391.19</v>
      </c>
      <c r="AP463" s="37" t="n">
        <v>390.03</v>
      </c>
      <c r="AQ463" s="37" t="n">
        <v>404.06</v>
      </c>
      <c r="AR463" s="37" t="n">
        <v>392.84</v>
      </c>
      <c r="AS463" s="37" t="n">
        <v>321.31</v>
      </c>
      <c r="AT463" s="37" t="n">
        <v>435.31</v>
      </c>
      <c r="AU463" s="37" t="n">
        <v>401.07</v>
      </c>
      <c r="AV463" s="37" t="n">
        <v>391.19</v>
      </c>
      <c r="AW463" s="37" t="n">
        <v>390.03</v>
      </c>
      <c r="AX463" s="37" t="n">
        <v>404.06</v>
      </c>
      <c r="AY463" s="37" t="n">
        <v>392.84</v>
      </c>
      <c r="AZ463" s="37" t="n">
        <v>321.31</v>
      </c>
      <c r="BA463" s="37" t="n">
        <v>391.64</v>
      </c>
      <c r="BB463" s="37" t="n">
        <v>351.75</v>
      </c>
      <c r="BC463" s="37" t="n">
        <v>222.27</v>
      </c>
      <c r="BD463" s="37" t="n">
        <v>221.58</v>
      </c>
      <c r="BE463" s="37" t="n">
        <v>374.51</v>
      </c>
      <c r="BF463" s="37" t="n">
        <v>364.93</v>
      </c>
      <c r="BG463" s="37" t="n">
        <v>331.55</v>
      </c>
      <c r="BH463" s="37" t="n">
        <v>449.0700000000001</v>
      </c>
      <c r="BI463" s="37" t="n">
        <v>413.56</v>
      </c>
      <c r="BJ463" s="37" t="n">
        <v>417.13</v>
      </c>
      <c r="BK463" s="37" t="n">
        <v>402.12</v>
      </c>
      <c r="BL463" s="37" t="n">
        <v>416.67</v>
      </c>
      <c r="BM463" s="37" t="n">
        <v>404.92</v>
      </c>
      <c r="BN463" s="37" t="n">
        <v>331.55</v>
      </c>
      <c r="BO463" s="37" t="n">
        <v>449.0700000000001</v>
      </c>
      <c r="BP463" s="37" t="n">
        <v>413.56</v>
      </c>
      <c r="BQ463" s="37" t="n">
        <v>403.22</v>
      </c>
      <c r="BR463" s="37" t="n">
        <v>402.12</v>
      </c>
      <c r="BS463" s="37" t="n">
        <v>416.67</v>
      </c>
      <c r="BT463" s="37" t="n">
        <v>404.92</v>
      </c>
      <c r="BU463" s="37" t="n">
        <v>331.55</v>
      </c>
      <c r="BV463" s="37" t="n">
        <v>449.0700000000001</v>
      </c>
      <c r="BW463" s="37" t="n">
        <v>413.56</v>
      </c>
      <c r="BX463" s="37" t="n">
        <v>403.22</v>
      </c>
      <c r="BY463" s="37" t="n">
        <v>402.12</v>
      </c>
      <c r="BZ463" s="37" t="n">
        <v>416.67</v>
      </c>
      <c r="CA463" s="37" t="n">
        <v>404.92</v>
      </c>
      <c r="CB463" s="37" t="n">
        <v>331.55</v>
      </c>
      <c r="CC463" s="37" t="n">
        <v>27762.18999999999</v>
      </c>
    </row>
    <row r="464" ht="15.75" customHeight="1" s="57">
      <c r="A464" s="7" t="inlineStr">
        <is>
          <t>NTB</t>
        </is>
      </c>
      <c r="B464" s="7" t="inlineStr">
        <is>
          <t>Lâm Đồng</t>
        </is>
      </c>
      <c r="C464" s="7" t="n">
        <v>22312000</v>
      </c>
      <c r="D464" s="7" t="inlineStr">
        <is>
          <t>(LDO) Lâm Viên - Đà Lạt 1</t>
        </is>
      </c>
      <c r="E464" s="7" t="inlineStr">
        <is>
          <t>SME-Bulky</t>
        </is>
      </c>
      <c r="F464" s="36" t="n">
        <v>8</v>
      </c>
      <c r="G464" s="36" t="n">
        <v>11</v>
      </c>
      <c r="H464" s="36" t="n">
        <v>17</v>
      </c>
      <c r="I464" s="36" t="n">
        <v>8</v>
      </c>
      <c r="J464" s="36" t="n">
        <v>12</v>
      </c>
      <c r="K464" s="28" t="n">
        <v>8</v>
      </c>
      <c r="L464" s="36" t="n">
        <v>7</v>
      </c>
      <c r="M464" s="36" t="n">
        <v>16</v>
      </c>
      <c r="N464" s="36" t="n">
        <v>17</v>
      </c>
      <c r="O464" s="36" t="n">
        <v>29</v>
      </c>
      <c r="P464" s="36" t="n">
        <v>8</v>
      </c>
      <c r="Q464" s="36" t="n">
        <v>14</v>
      </c>
      <c r="R464" s="28" t="n">
        <v>15</v>
      </c>
      <c r="S464" s="36" t="n">
        <v>11</v>
      </c>
      <c r="T464" s="36" t="n">
        <v>27</v>
      </c>
      <c r="U464" s="36" t="n">
        <v>17.21</v>
      </c>
      <c r="V464" s="36" t="n">
        <v>17.02</v>
      </c>
      <c r="W464" s="36" t="n">
        <v>16.09</v>
      </c>
      <c r="X464" s="36" t="n">
        <v>10.71</v>
      </c>
      <c r="Y464" s="28" t="n">
        <v>19.22</v>
      </c>
      <c r="Z464" s="36" t="n">
        <v>18.36</v>
      </c>
      <c r="AA464" s="36" t="n">
        <v>18.1</v>
      </c>
      <c r="AB464" s="36" t="n">
        <v>17.21</v>
      </c>
      <c r="AC464" s="36" t="n">
        <v>17.02</v>
      </c>
      <c r="AD464" s="36" t="n">
        <v>15.12</v>
      </c>
      <c r="AE464" s="36" t="n">
        <v>10.71</v>
      </c>
      <c r="AF464" s="28" t="n">
        <v>19.22</v>
      </c>
      <c r="AG464" s="36" t="n">
        <v>18.36</v>
      </c>
      <c r="AH464" s="37" t="n">
        <v>18.1</v>
      </c>
      <c r="AI464" s="37" t="n">
        <v>17.21</v>
      </c>
      <c r="AJ464" s="37" t="n">
        <v>17.02</v>
      </c>
      <c r="AK464" s="37" t="n">
        <v>16.09</v>
      </c>
      <c r="AL464" s="37" t="n">
        <v>10.71</v>
      </c>
      <c r="AM464" s="37" t="n">
        <v>19.22</v>
      </c>
      <c r="AN464" s="37" t="n">
        <v>18.36</v>
      </c>
      <c r="AO464" s="37" t="n">
        <v>18.1</v>
      </c>
      <c r="AP464" s="37" t="n">
        <v>17.21</v>
      </c>
      <c r="AQ464" s="37" t="n">
        <v>17.02</v>
      </c>
      <c r="AR464" s="37" t="n">
        <v>16.09</v>
      </c>
      <c r="AS464" s="37" t="n">
        <v>10.71</v>
      </c>
      <c r="AT464" s="37" t="n">
        <v>19.22</v>
      </c>
      <c r="AU464" s="37" t="n">
        <v>18.36</v>
      </c>
      <c r="AV464" s="37" t="n">
        <v>18.1</v>
      </c>
      <c r="AW464" s="37" t="n">
        <v>17.21</v>
      </c>
      <c r="AX464" s="37" t="n">
        <v>17.02</v>
      </c>
      <c r="AY464" s="37" t="n">
        <v>16.09</v>
      </c>
      <c r="AZ464" s="37" t="n">
        <v>10.71</v>
      </c>
      <c r="BA464" s="37" t="n">
        <v>19.3</v>
      </c>
      <c r="BB464" s="37" t="n">
        <v>10.15</v>
      </c>
      <c r="BC464" s="37" t="n">
        <v>5.15</v>
      </c>
      <c r="BD464" s="37" t="n">
        <v>4.67</v>
      </c>
      <c r="BE464" s="37" t="n">
        <v>8.880000000000001</v>
      </c>
      <c r="BF464" s="37" t="n">
        <v>8.25</v>
      </c>
      <c r="BG464" s="37" t="n">
        <v>6.42</v>
      </c>
      <c r="BH464" s="37" t="n">
        <v>11.16</v>
      </c>
      <c r="BI464" s="37" t="n">
        <v>11.08</v>
      </c>
      <c r="BJ464" s="37" t="n">
        <v>9.59</v>
      </c>
      <c r="BK464" s="37" t="n">
        <v>10.19</v>
      </c>
      <c r="BL464" s="37" t="n">
        <v>10.23</v>
      </c>
      <c r="BM464" s="37" t="n">
        <v>9.52</v>
      </c>
      <c r="BN464" s="37" t="n">
        <v>6.42</v>
      </c>
      <c r="BO464" s="37" t="n">
        <v>11.16</v>
      </c>
      <c r="BP464" s="37" t="n">
        <v>11.08</v>
      </c>
      <c r="BQ464" s="37" t="n">
        <v>10.56</v>
      </c>
      <c r="BR464" s="37" t="n">
        <v>10.19</v>
      </c>
      <c r="BS464" s="37" t="n">
        <v>10.23</v>
      </c>
      <c r="BT464" s="37" t="n">
        <v>9.52</v>
      </c>
      <c r="BU464" s="37" t="n">
        <v>6.42</v>
      </c>
      <c r="BV464" s="37" t="n">
        <v>11.16</v>
      </c>
      <c r="BW464" s="37" t="n">
        <v>11.08</v>
      </c>
      <c r="BX464" s="37" t="n">
        <v>10.56</v>
      </c>
      <c r="BY464" s="37" t="n">
        <v>10.19</v>
      </c>
      <c r="BZ464" s="37" t="n">
        <v>10.23</v>
      </c>
      <c r="CA464" s="37" t="n">
        <v>9.52</v>
      </c>
      <c r="CB464" s="37" t="n">
        <v>6.42</v>
      </c>
      <c r="CC464" s="37" t="n">
        <v>1004.23</v>
      </c>
    </row>
    <row r="465" ht="15.75" customHeight="1" s="57">
      <c r="A465" s="7" t="inlineStr">
        <is>
          <t>NTB</t>
        </is>
      </c>
      <c r="B465" s="7" t="inlineStr">
        <is>
          <t>Lâm Đồng</t>
        </is>
      </c>
      <c r="C465" s="7" t="n">
        <v>22312000</v>
      </c>
      <c r="D465" s="7" t="inlineStr">
        <is>
          <t>(LDO) Lâm Viên - Đà Lạt 1</t>
        </is>
      </c>
      <c r="E465" s="7" t="inlineStr">
        <is>
          <t>Shopee</t>
        </is>
      </c>
      <c r="F465" s="36" t="n">
        <v>349</v>
      </c>
      <c r="G465" s="36" t="n">
        <v>436</v>
      </c>
      <c r="H465" s="36" t="n">
        <v>350</v>
      </c>
      <c r="I465" s="36" t="n">
        <v>305</v>
      </c>
      <c r="J465" s="36" t="n">
        <v>230</v>
      </c>
      <c r="K465" s="28" t="n">
        <v>174</v>
      </c>
      <c r="L465" s="36" t="n">
        <v>150</v>
      </c>
      <c r="M465" s="36" t="n">
        <v>117</v>
      </c>
      <c r="N465" s="36" t="n">
        <v>132</v>
      </c>
      <c r="O465" s="36" t="n">
        <v>101</v>
      </c>
      <c r="P465" s="36" t="n">
        <v>47</v>
      </c>
      <c r="Q465" s="36" t="n">
        <v>26</v>
      </c>
      <c r="R465" s="28" t="n">
        <v>58</v>
      </c>
      <c r="S465" s="36" t="n">
        <v>96</v>
      </c>
      <c r="T465" s="36" t="n">
        <v>249</v>
      </c>
      <c r="U465" s="36" t="n">
        <v>153.54</v>
      </c>
      <c r="V465" s="36" t="n">
        <v>154.09</v>
      </c>
      <c r="W465" s="36" t="n">
        <v>151.88</v>
      </c>
      <c r="X465" s="36" t="n">
        <v>123.51</v>
      </c>
      <c r="Y465" s="28" t="n">
        <v>206.89</v>
      </c>
      <c r="Z465" s="36" t="n">
        <v>163.78</v>
      </c>
      <c r="AA465" s="36" t="n">
        <v>225.24</v>
      </c>
      <c r="AB465" s="36" t="n">
        <v>156.71</v>
      </c>
      <c r="AC465" s="36" t="n">
        <v>126.46</v>
      </c>
      <c r="AD465" s="36" t="n">
        <v>329.59</v>
      </c>
      <c r="AE465" s="36" t="n">
        <v>132.28</v>
      </c>
      <c r="AF465" s="28" t="n">
        <v>235.82</v>
      </c>
      <c r="AG465" s="36" t="n">
        <v>171.96</v>
      </c>
      <c r="AH465" s="37" t="n">
        <v>181.54</v>
      </c>
      <c r="AI465" s="37" t="n">
        <v>153.54</v>
      </c>
      <c r="AJ465" s="37" t="n">
        <v>154.09</v>
      </c>
      <c r="AK465" s="37" t="n">
        <v>204.94</v>
      </c>
      <c r="AL465" s="37" t="n">
        <v>221.81</v>
      </c>
      <c r="AM465" s="37" t="n">
        <v>206.89</v>
      </c>
      <c r="AN465" s="37" t="n">
        <v>163.78</v>
      </c>
      <c r="AO465" s="37" t="n">
        <v>181.54</v>
      </c>
      <c r="AP465" s="37" t="n">
        <v>191.67</v>
      </c>
      <c r="AQ465" s="37" t="n">
        <v>123.55</v>
      </c>
      <c r="AR465" s="37" t="n">
        <v>151.88</v>
      </c>
      <c r="AS465" s="37" t="n">
        <v>123.51</v>
      </c>
      <c r="AT465" s="37" t="n">
        <v>206.89</v>
      </c>
      <c r="AU465" s="37" t="n">
        <v>167.17</v>
      </c>
      <c r="AV465" s="37" t="n">
        <v>185.23</v>
      </c>
      <c r="AW465" s="37" t="n">
        <v>153.54</v>
      </c>
      <c r="AX465" s="37" t="n">
        <v>154.09</v>
      </c>
      <c r="AY465" s="37" t="n">
        <v>151.88</v>
      </c>
      <c r="AZ465" s="37" t="n">
        <v>123.51</v>
      </c>
      <c r="BA465" s="37" t="n">
        <v>159.36</v>
      </c>
      <c r="BB465" s="37" t="n">
        <v>138.76</v>
      </c>
      <c r="BC465" s="37" t="n">
        <v>70.97</v>
      </c>
      <c r="BD465" s="37" t="n">
        <v>125.76</v>
      </c>
      <c r="BE465" s="37" t="n">
        <v>146.76</v>
      </c>
      <c r="BF465" s="37" t="n">
        <v>144.66</v>
      </c>
      <c r="BG465" s="37" t="n">
        <v>120.01</v>
      </c>
      <c r="BH465" s="37" t="n">
        <v>197.05</v>
      </c>
      <c r="BI465" s="37" t="n">
        <v>128.15</v>
      </c>
      <c r="BJ465" s="37" t="n">
        <v>467.76</v>
      </c>
      <c r="BK465" s="37" t="n">
        <v>156.56</v>
      </c>
      <c r="BL465" s="37" t="n">
        <v>154.16</v>
      </c>
      <c r="BM465" s="37" t="n">
        <v>144.66</v>
      </c>
      <c r="BN465" s="37" t="n">
        <v>117.65</v>
      </c>
      <c r="BO465" s="37" t="n">
        <v>197.05</v>
      </c>
      <c r="BP465" s="37" t="n">
        <v>210.5</v>
      </c>
      <c r="BQ465" s="37" t="n">
        <v>310.72</v>
      </c>
      <c r="BR465" s="37" t="n">
        <v>146.28</v>
      </c>
      <c r="BS465" s="37" t="n">
        <v>146.76</v>
      </c>
      <c r="BT465" s="37" t="n">
        <v>144.66</v>
      </c>
      <c r="BU465" s="37" t="n">
        <v>146.98</v>
      </c>
      <c r="BV465" s="37" t="n">
        <v>157.89</v>
      </c>
      <c r="BW465" s="37" t="n">
        <v>155.97</v>
      </c>
      <c r="BX465" s="37" t="n">
        <v>172.92</v>
      </c>
      <c r="BY465" s="37" t="n">
        <v>146.28</v>
      </c>
      <c r="BZ465" s="37" t="n">
        <v>149.85</v>
      </c>
      <c r="CA465" s="37" t="n">
        <v>147.46</v>
      </c>
      <c r="CB465" s="37" t="n">
        <v>117.65</v>
      </c>
      <c r="CC465" s="37" t="n">
        <v>12976.04</v>
      </c>
    </row>
    <row r="466" ht="15.75" customHeight="1" s="57">
      <c r="A466" s="7" t="inlineStr">
        <is>
          <t>NTB</t>
        </is>
      </c>
      <c r="B466" s="7" t="inlineStr">
        <is>
          <t>Lâm Đồng</t>
        </is>
      </c>
      <c r="C466" s="7" t="n">
        <v>22312000</v>
      </c>
      <c r="D466" s="7" t="inlineStr">
        <is>
          <t>(LDO) Lâm Viên - Đà Lạt 1</t>
        </is>
      </c>
      <c r="E466" s="7" t="inlineStr">
        <is>
          <t>Shopee-Bulky</t>
        </is>
      </c>
      <c r="F466" s="36" t="n">
        <v>22.19</v>
      </c>
      <c r="G466" s="36" t="n">
        <v>24.09</v>
      </c>
      <c r="H466" s="36" t="n">
        <v>51.99</v>
      </c>
      <c r="I466" s="36" t="n">
        <v>24.09</v>
      </c>
      <c r="J466" s="36" t="n">
        <v>18.39</v>
      </c>
      <c r="K466" s="28" t="n">
        <v>19.66</v>
      </c>
      <c r="L466" s="36" t="n">
        <v>8.24</v>
      </c>
      <c r="M466" s="36" t="n">
        <v>25.36</v>
      </c>
      <c r="N466" s="36" t="n">
        <v>23.46</v>
      </c>
      <c r="O466" s="36" t="n">
        <v>25.36</v>
      </c>
      <c r="P466" s="36" t="n">
        <v>19.66</v>
      </c>
      <c r="Q466" s="36" t="n">
        <v>19.02</v>
      </c>
      <c r="R466" s="28" t="n">
        <v>22.19</v>
      </c>
      <c r="S466" s="36" t="n">
        <v>23.46</v>
      </c>
      <c r="T466" s="36" t="n">
        <v>48.19</v>
      </c>
      <c r="U466" s="36" t="n">
        <v>24.63</v>
      </c>
      <c r="V466" s="36" t="n">
        <v>23.74</v>
      </c>
      <c r="W466" s="36" t="n">
        <v>32.64</v>
      </c>
      <c r="X466" s="36" t="n">
        <v>18.46</v>
      </c>
      <c r="Y466" s="28" t="n">
        <v>36.14</v>
      </c>
      <c r="Z466" s="36" t="n">
        <v>28.58</v>
      </c>
      <c r="AA466" s="36" t="n">
        <v>27.76</v>
      </c>
      <c r="AB466" s="36" t="n">
        <v>28.1</v>
      </c>
      <c r="AC466" s="36" t="n">
        <v>29.5</v>
      </c>
      <c r="AD466" s="36" t="n">
        <v>79.48999999999999</v>
      </c>
      <c r="AE466" s="36" t="n">
        <v>47.44</v>
      </c>
      <c r="AF466" s="28" t="n">
        <v>70.73999999999999</v>
      </c>
      <c r="AG466" s="36" t="n">
        <v>40.17</v>
      </c>
      <c r="AH466" s="37" t="n">
        <v>28.24</v>
      </c>
      <c r="AI466" s="37" t="n">
        <v>27.17</v>
      </c>
      <c r="AJ466" s="37" t="n">
        <v>26.95</v>
      </c>
      <c r="AK466" s="37" t="n">
        <v>61.03</v>
      </c>
      <c r="AL466" s="37" t="n">
        <v>31.05</v>
      </c>
      <c r="AM466" s="37" t="n">
        <v>44.34</v>
      </c>
      <c r="AN466" s="37" t="n">
        <v>28.06</v>
      </c>
      <c r="AO466" s="37" t="n">
        <v>27.5</v>
      </c>
      <c r="AP466" s="37" t="n">
        <v>37.14</v>
      </c>
      <c r="AQ466" s="37" t="n">
        <v>36.92</v>
      </c>
      <c r="AR466" s="37" t="n">
        <v>29.35</v>
      </c>
      <c r="AS466" s="37" t="n">
        <v>16.24</v>
      </c>
      <c r="AT466" s="37" t="n">
        <v>33.19</v>
      </c>
      <c r="AU466" s="37" t="n">
        <v>54.6</v>
      </c>
      <c r="AV466" s="37" t="n">
        <v>56.67</v>
      </c>
      <c r="AW466" s="37" t="n">
        <v>27.58</v>
      </c>
      <c r="AX466" s="37" t="n">
        <v>25.88</v>
      </c>
      <c r="AY466" s="37" t="n">
        <v>28.1</v>
      </c>
      <c r="AZ466" s="37" t="n">
        <v>15.62</v>
      </c>
      <c r="BA466" s="37" t="n">
        <v>30.35</v>
      </c>
      <c r="BB466" s="37" t="n">
        <v>28.21</v>
      </c>
      <c r="BC466" s="37" t="n">
        <v>9.49</v>
      </c>
      <c r="BD466" s="37" t="n">
        <v>24.15</v>
      </c>
      <c r="BE466" s="37" t="n">
        <v>29.68</v>
      </c>
      <c r="BF466" s="37" t="n">
        <v>25.51</v>
      </c>
      <c r="BG466" s="37" t="n">
        <v>21.19</v>
      </c>
      <c r="BH466" s="37" t="n">
        <v>38.84</v>
      </c>
      <c r="BI466" s="37" t="n">
        <v>33.15</v>
      </c>
      <c r="BJ466" s="37" t="n">
        <v>126.45</v>
      </c>
      <c r="BK466" s="37" t="n">
        <v>70.15000000000001</v>
      </c>
      <c r="BL466" s="37" t="n">
        <v>36.14</v>
      </c>
      <c r="BM466" s="37" t="n">
        <v>26.95</v>
      </c>
      <c r="BN466" s="37" t="n">
        <v>20.45</v>
      </c>
      <c r="BO466" s="37" t="n">
        <v>45.15</v>
      </c>
      <c r="BP466" s="37" t="n">
        <v>65.94</v>
      </c>
      <c r="BQ466" s="37" t="n">
        <v>47.7</v>
      </c>
      <c r="BR466" s="37" t="n">
        <v>31.38</v>
      </c>
      <c r="BS466" s="37" t="n">
        <v>29.68</v>
      </c>
      <c r="BT466" s="37" t="n">
        <v>25.51</v>
      </c>
      <c r="BU466" s="37" t="n">
        <v>30.09</v>
      </c>
      <c r="BV466" s="37" t="n">
        <v>41.13</v>
      </c>
      <c r="BW466" s="37" t="n">
        <v>33.15</v>
      </c>
      <c r="BX466" s="37" t="n">
        <v>32.01</v>
      </c>
      <c r="BY466" s="37" t="n">
        <v>31.38</v>
      </c>
      <c r="BZ466" s="37" t="n">
        <v>53.79</v>
      </c>
      <c r="CA466" s="37" t="n">
        <v>31.01</v>
      </c>
      <c r="CB466" s="37" t="n">
        <v>20.19</v>
      </c>
      <c r="CC466" s="37" t="n">
        <v>2537.190000000001</v>
      </c>
    </row>
    <row r="467" ht="15.75" customHeight="1" s="57">
      <c r="A467" s="7" t="inlineStr">
        <is>
          <t>NTB</t>
        </is>
      </c>
      <c r="B467" s="7" t="inlineStr">
        <is>
          <t>Lâm Đồng</t>
        </is>
      </c>
      <c r="C467" s="7" t="n">
        <v>22312000</v>
      </c>
      <c r="D467" s="7" t="inlineStr">
        <is>
          <t>(LDO) Lâm Viên - Đà Lạt 1</t>
        </is>
      </c>
      <c r="E467" s="7" t="inlineStr">
        <is>
          <t>Shopee-Bulky (10-15kg)</t>
        </is>
      </c>
      <c r="F467" s="36" t="n">
        <v>12.81</v>
      </c>
      <c r="G467" s="36" t="n">
        <v>13.91</v>
      </c>
      <c r="H467" s="36" t="n">
        <v>30.01</v>
      </c>
      <c r="I467" s="36" t="n">
        <v>13.91</v>
      </c>
      <c r="J467" s="36" t="n">
        <v>10.61</v>
      </c>
      <c r="K467" s="28" t="n">
        <v>11.34</v>
      </c>
      <c r="L467" s="36" t="n">
        <v>4.76</v>
      </c>
      <c r="M467" s="36" t="n">
        <v>14.64</v>
      </c>
      <c r="N467" s="36" t="n">
        <v>13.54</v>
      </c>
      <c r="O467" s="36" t="n">
        <v>14.64</v>
      </c>
      <c r="P467" s="36" t="n">
        <v>11.34</v>
      </c>
      <c r="Q467" s="36" t="n">
        <v>10.98</v>
      </c>
      <c r="R467" s="28" t="n">
        <v>12.81</v>
      </c>
      <c r="S467" s="36" t="n">
        <v>13.54</v>
      </c>
      <c r="T467" s="36" t="n">
        <v>27.81</v>
      </c>
      <c r="U467" s="36" t="n">
        <v>14.8</v>
      </c>
      <c r="V467" s="36" t="n">
        <v>14.18</v>
      </c>
      <c r="W467" s="36" t="n">
        <v>18.68</v>
      </c>
      <c r="X467" s="36" t="n">
        <v>10.56</v>
      </c>
      <c r="Y467" s="28" t="n">
        <v>20.97</v>
      </c>
      <c r="Z467" s="36" t="n">
        <v>16.36</v>
      </c>
      <c r="AA467" s="36" t="n">
        <v>15.36</v>
      </c>
      <c r="AB467" s="36" t="n">
        <v>16.1</v>
      </c>
      <c r="AC467" s="36" t="n">
        <v>16.65</v>
      </c>
      <c r="AD467" s="36" t="n">
        <v>63.69</v>
      </c>
      <c r="AE467" s="36" t="n">
        <v>26.58</v>
      </c>
      <c r="AF467" s="28" t="n">
        <v>38.8</v>
      </c>
      <c r="AG467" s="36" t="n">
        <v>23.15</v>
      </c>
      <c r="AH467" s="37" t="n">
        <v>16.13</v>
      </c>
      <c r="AI467" s="37" t="n">
        <v>15.69</v>
      </c>
      <c r="AJ467" s="37" t="n">
        <v>15.21</v>
      </c>
      <c r="AK467" s="37" t="n">
        <v>35.81</v>
      </c>
      <c r="AL467" s="37" t="n">
        <v>17.39</v>
      </c>
      <c r="AM467" s="37" t="n">
        <v>25.73</v>
      </c>
      <c r="AN467" s="37" t="n">
        <v>16.17</v>
      </c>
      <c r="AO467" s="37" t="n">
        <v>15.51</v>
      </c>
      <c r="AP467" s="37" t="n">
        <v>20.42</v>
      </c>
      <c r="AQ467" s="37" t="n">
        <v>20.82</v>
      </c>
      <c r="AR467" s="37" t="n">
        <v>16.87</v>
      </c>
      <c r="AS467" s="37" t="n">
        <v>9.27</v>
      </c>
      <c r="AT467" s="37" t="n">
        <v>19.2</v>
      </c>
      <c r="AU467" s="37" t="n">
        <v>32.49</v>
      </c>
      <c r="AV467" s="37" t="n">
        <v>32.56</v>
      </c>
      <c r="AW467" s="37" t="n">
        <v>15.65</v>
      </c>
      <c r="AX467" s="37" t="n">
        <v>14.51</v>
      </c>
      <c r="AY467" s="37" t="n">
        <v>16.17</v>
      </c>
      <c r="AZ467" s="37" t="n">
        <v>8.9</v>
      </c>
      <c r="BA467" s="37" t="n">
        <v>17.54</v>
      </c>
      <c r="BB467" s="37" t="n">
        <v>16.28</v>
      </c>
      <c r="BC467" s="37" t="n">
        <v>5.69</v>
      </c>
      <c r="BD467" s="37" t="n">
        <v>13.66</v>
      </c>
      <c r="BE467" s="37" t="n">
        <v>17.02</v>
      </c>
      <c r="BF467" s="37" t="n">
        <v>14.84</v>
      </c>
      <c r="BG467" s="37" t="n">
        <v>12.18</v>
      </c>
      <c r="BH467" s="37" t="n">
        <v>22.74</v>
      </c>
      <c r="BI467" s="37" t="n">
        <v>19.2</v>
      </c>
      <c r="BJ467" s="37" t="n">
        <v>87.72</v>
      </c>
      <c r="BK467" s="37" t="n">
        <v>40.69</v>
      </c>
      <c r="BL467" s="37" t="n">
        <v>20.9</v>
      </c>
      <c r="BM467" s="37" t="n">
        <v>15.43</v>
      </c>
      <c r="BN467" s="37" t="n">
        <v>11.92</v>
      </c>
      <c r="BO467" s="37" t="n">
        <v>25.88</v>
      </c>
      <c r="BP467" s="37" t="n">
        <v>38.36</v>
      </c>
      <c r="BQ467" s="37" t="n">
        <v>27.73</v>
      </c>
      <c r="BR467" s="37" t="n">
        <v>18.02</v>
      </c>
      <c r="BS467" s="37" t="n">
        <v>17.02</v>
      </c>
      <c r="BT467" s="37" t="n">
        <v>14.84</v>
      </c>
      <c r="BU467" s="37" t="n">
        <v>17.2</v>
      </c>
      <c r="BV467" s="37" t="n">
        <v>23.63</v>
      </c>
      <c r="BW467" s="37" t="n">
        <v>19.2</v>
      </c>
      <c r="BX467" s="37" t="n">
        <v>18.31</v>
      </c>
      <c r="BY467" s="37" t="n">
        <v>18.02</v>
      </c>
      <c r="BZ467" s="37" t="n">
        <v>31.16</v>
      </c>
      <c r="CA467" s="37" t="n">
        <v>17.76</v>
      </c>
      <c r="CB467" s="37" t="n">
        <v>11.48</v>
      </c>
      <c r="CC467" s="37" t="n">
        <v>1491.450000000001</v>
      </c>
    </row>
    <row r="468" ht="15.75" customHeight="1" s="57">
      <c r="A468" s="7" t="inlineStr">
        <is>
          <t>NTB</t>
        </is>
      </c>
      <c r="B468" s="7" t="inlineStr">
        <is>
          <t>Lâm Đồng</t>
        </is>
      </c>
      <c r="C468" s="7" t="n">
        <v>22312000</v>
      </c>
      <c r="D468" s="7" t="inlineStr">
        <is>
          <t>(LDO) Lâm Viên - Đà Lạt 1</t>
        </is>
      </c>
      <c r="E468" s="7" t="inlineStr">
        <is>
          <t>TTS</t>
        </is>
      </c>
      <c r="F468" s="36" t="n">
        <v>193</v>
      </c>
      <c r="G468" s="36" t="n">
        <v>190</v>
      </c>
      <c r="H468" s="36" t="n">
        <v>177</v>
      </c>
      <c r="I468" s="36" t="n">
        <v>135</v>
      </c>
      <c r="J468" s="36" t="n">
        <v>121</v>
      </c>
      <c r="K468" s="28" t="n">
        <v>117</v>
      </c>
      <c r="L468" s="36" t="n">
        <v>140</v>
      </c>
      <c r="M468" s="36" t="n">
        <v>183</v>
      </c>
      <c r="N468" s="36" t="n">
        <v>176</v>
      </c>
      <c r="O468" s="36" t="n">
        <v>202</v>
      </c>
      <c r="P468" s="36" t="n">
        <v>188</v>
      </c>
      <c r="Q468" s="36" t="n">
        <v>169</v>
      </c>
      <c r="R468" s="28" t="n">
        <v>170</v>
      </c>
      <c r="S468" s="36" t="n">
        <v>142</v>
      </c>
      <c r="T468" s="36" t="n">
        <v>116</v>
      </c>
      <c r="U468" s="36" t="n">
        <v>122.4</v>
      </c>
      <c r="V468" s="36" t="n">
        <v>120.31</v>
      </c>
      <c r="W468" s="36" t="n">
        <v>117.58</v>
      </c>
      <c r="X468" s="36" t="n">
        <v>94.92999999999999</v>
      </c>
      <c r="Y468" s="28" t="n">
        <v>137.85</v>
      </c>
      <c r="Z468" s="36" t="n">
        <v>117.32</v>
      </c>
      <c r="AA468" s="36" t="n">
        <v>130.17</v>
      </c>
      <c r="AB468" s="36" t="n">
        <v>144.72</v>
      </c>
      <c r="AC468" s="36" t="n">
        <v>152.38</v>
      </c>
      <c r="AD468" s="36" t="n">
        <v>155.95</v>
      </c>
      <c r="AE468" s="36" t="n">
        <v>110.27</v>
      </c>
      <c r="AF468" s="28" t="n">
        <v>142.56</v>
      </c>
      <c r="AG468" s="36" t="n">
        <v>119.62</v>
      </c>
      <c r="AH468" s="37" t="n">
        <v>118.32</v>
      </c>
      <c r="AI468" s="37" t="n">
        <v>135.35</v>
      </c>
      <c r="AJ468" s="37" t="n">
        <v>145.55</v>
      </c>
      <c r="AK468" s="37" t="n">
        <v>143.51</v>
      </c>
      <c r="AL468" s="37" t="n">
        <v>102.28</v>
      </c>
      <c r="AM468" s="37" t="n">
        <v>140.45</v>
      </c>
      <c r="AN468" s="37" t="n">
        <v>121.17</v>
      </c>
      <c r="AO468" s="37" t="n">
        <v>120.53</v>
      </c>
      <c r="AP468" s="37" t="n">
        <v>116.83</v>
      </c>
      <c r="AQ468" s="37" t="n">
        <v>117.86</v>
      </c>
      <c r="AR468" s="37" t="n">
        <v>115.91</v>
      </c>
      <c r="AS468" s="37" t="n">
        <v>95.42</v>
      </c>
      <c r="AT468" s="37" t="n">
        <v>151.81</v>
      </c>
      <c r="AU468" s="37" t="n">
        <v>137.36</v>
      </c>
      <c r="AV468" s="37" t="n">
        <v>122.2</v>
      </c>
      <c r="AW468" s="37" t="n">
        <v>115.4</v>
      </c>
      <c r="AX468" s="37" t="n">
        <v>114.52</v>
      </c>
      <c r="AY468" s="37" t="n">
        <v>114.39</v>
      </c>
      <c r="AZ468" s="37" t="n">
        <v>95.42</v>
      </c>
      <c r="BA468" s="37" t="n">
        <v>136.77</v>
      </c>
      <c r="BB468" s="37" t="n">
        <v>127.85</v>
      </c>
      <c r="BC468" s="37" t="n">
        <v>76.14</v>
      </c>
      <c r="BD468" s="37" t="n">
        <v>110.24</v>
      </c>
      <c r="BE468" s="37" t="n">
        <v>129.76</v>
      </c>
      <c r="BF468" s="37" t="n">
        <v>126.2</v>
      </c>
      <c r="BG468" s="37" t="n">
        <v>102.48</v>
      </c>
      <c r="BH468" s="37" t="n">
        <v>151.51</v>
      </c>
      <c r="BI468" s="37" t="n">
        <v>127.85</v>
      </c>
      <c r="BJ468" s="37" t="n">
        <v>118.44</v>
      </c>
      <c r="BK468" s="37" t="n">
        <v>129.62</v>
      </c>
      <c r="BL468" s="37" t="n">
        <v>129.76</v>
      </c>
      <c r="BM468" s="37" t="n">
        <v>126.2</v>
      </c>
      <c r="BN468" s="37" t="n">
        <v>102.48</v>
      </c>
      <c r="BO468" s="37" t="n">
        <v>151.51</v>
      </c>
      <c r="BP468" s="37" t="n">
        <v>127.85</v>
      </c>
      <c r="BQ468" s="37" t="n">
        <v>126.45</v>
      </c>
      <c r="BR468" s="37" t="n">
        <v>129.62</v>
      </c>
      <c r="BS468" s="37" t="n">
        <v>129.76</v>
      </c>
      <c r="BT468" s="37" t="n">
        <v>126.2</v>
      </c>
      <c r="BU468" s="37" t="n">
        <v>102.48</v>
      </c>
      <c r="BV468" s="37" t="n">
        <v>151.51</v>
      </c>
      <c r="BW468" s="37" t="n">
        <v>127.85</v>
      </c>
      <c r="BX468" s="37" t="n">
        <v>126.45</v>
      </c>
      <c r="BY468" s="37" t="n">
        <v>129.62</v>
      </c>
      <c r="BZ468" s="37" t="n">
        <v>129.76</v>
      </c>
      <c r="CA468" s="37" t="n">
        <v>126.2</v>
      </c>
      <c r="CB468" s="37" t="n">
        <v>102.48</v>
      </c>
      <c r="CC468" s="37" t="n">
        <v>9892.380000000005</v>
      </c>
    </row>
    <row r="469" ht="15.75" customHeight="1" s="57">
      <c r="A469" s="7" t="inlineStr">
        <is>
          <t>NTB</t>
        </is>
      </c>
      <c r="B469" s="7" t="inlineStr">
        <is>
          <t>Lâm Đồng</t>
        </is>
      </c>
      <c r="C469" s="7" t="n">
        <v>22312000</v>
      </c>
      <c r="D469" s="7" t="inlineStr">
        <is>
          <t>(LDO) Lâm Viên - Đà Lạt 1</t>
        </is>
      </c>
      <c r="E469" s="7" t="inlineStr">
        <is>
          <t>TTS-Bulky</t>
        </is>
      </c>
      <c r="F469" s="36" t="n">
        <v>0</v>
      </c>
      <c r="G469" s="36" t="n">
        <v>0</v>
      </c>
      <c r="H469" s="36" t="n">
        <v>1</v>
      </c>
      <c r="I469" s="36" t="n">
        <v>2</v>
      </c>
      <c r="J469" s="36" t="n">
        <v>1</v>
      </c>
      <c r="K469" s="28" t="n">
        <v>2</v>
      </c>
      <c r="L469" s="36" t="n">
        <v>2</v>
      </c>
      <c r="M469" s="36" t="n">
        <v>0</v>
      </c>
      <c r="N469" s="36" t="n">
        <v>2</v>
      </c>
      <c r="O469" s="36" t="n">
        <v>1</v>
      </c>
      <c r="P469" s="36" t="n">
        <v>1</v>
      </c>
      <c r="Q469" s="36" t="n">
        <v>2</v>
      </c>
      <c r="R469" s="28" t="n">
        <v>0</v>
      </c>
      <c r="S469" s="36" t="n">
        <v>1</v>
      </c>
      <c r="T469" s="36" t="n">
        <v>5</v>
      </c>
      <c r="U469" s="36" t="n">
        <v>4.5</v>
      </c>
      <c r="V469" s="36" t="n">
        <v>4.56</v>
      </c>
      <c r="W469" s="36" t="n">
        <v>2.15</v>
      </c>
      <c r="X469" s="36" t="n">
        <v>1.55</v>
      </c>
      <c r="Y469" s="28" t="n">
        <v>2.81</v>
      </c>
      <c r="Z469" s="36" t="n">
        <v>2.23</v>
      </c>
      <c r="AA469" s="36" t="n">
        <v>2.38</v>
      </c>
      <c r="AB469" s="36" t="n">
        <v>2.46</v>
      </c>
      <c r="AC469" s="36" t="n">
        <v>2.61</v>
      </c>
      <c r="AD469" s="36" t="n">
        <v>3.9</v>
      </c>
      <c r="AE469" s="36" t="n">
        <v>1.75</v>
      </c>
      <c r="AF469" s="28" t="n">
        <v>2.78</v>
      </c>
      <c r="AG469" s="36" t="n">
        <v>2.12</v>
      </c>
      <c r="AH469" s="37" t="n">
        <v>2.12</v>
      </c>
      <c r="AI469" s="37" t="n">
        <v>2.15</v>
      </c>
      <c r="AJ469" s="37" t="n">
        <v>2.44</v>
      </c>
      <c r="AK469" s="37" t="n">
        <v>2.32</v>
      </c>
      <c r="AL469" s="37" t="n">
        <v>1.66</v>
      </c>
      <c r="AM469" s="37" t="n">
        <v>2.78</v>
      </c>
      <c r="AN469" s="37" t="n">
        <v>2.15</v>
      </c>
      <c r="AO469" s="37" t="n">
        <v>2.12</v>
      </c>
      <c r="AP469" s="37" t="n">
        <v>2.12</v>
      </c>
      <c r="AQ469" s="37" t="n">
        <v>2.32</v>
      </c>
      <c r="AR469" s="37" t="n">
        <v>2.15</v>
      </c>
      <c r="AS469" s="37" t="n">
        <v>1.6</v>
      </c>
      <c r="AT469" s="37" t="n">
        <v>2.89</v>
      </c>
      <c r="AU469" s="37" t="n">
        <v>2.46</v>
      </c>
      <c r="AV469" s="37" t="n">
        <v>2.18</v>
      </c>
      <c r="AW469" s="37" t="n">
        <v>2.09</v>
      </c>
      <c r="AX469" s="37" t="n">
        <v>2.32</v>
      </c>
      <c r="AY469" s="37" t="n">
        <v>2.12</v>
      </c>
      <c r="AZ469" s="37" t="n">
        <v>1.6</v>
      </c>
      <c r="BA469" s="37" t="n">
        <v>2.44</v>
      </c>
      <c r="BB469" s="37" t="n">
        <v>0.57</v>
      </c>
      <c r="BC469" s="37" t="n">
        <v>0.37</v>
      </c>
      <c r="BD469" s="37" t="n">
        <v>0.46</v>
      </c>
      <c r="BE469" s="37" t="n">
        <v>0.6</v>
      </c>
      <c r="BF469" s="37" t="n">
        <v>0.6</v>
      </c>
      <c r="BG469" s="37" t="n">
        <v>0.4</v>
      </c>
      <c r="BH469" s="37" t="n">
        <v>0.77</v>
      </c>
      <c r="BI469" s="37" t="n">
        <v>0.6</v>
      </c>
      <c r="BJ469" s="37" t="n">
        <v>0.97</v>
      </c>
      <c r="BK469" s="37" t="n">
        <v>0.63</v>
      </c>
      <c r="BL469" s="37" t="n">
        <v>0.6</v>
      </c>
      <c r="BM469" s="37" t="n">
        <v>0.6</v>
      </c>
      <c r="BN469" s="37" t="n">
        <v>0.46</v>
      </c>
      <c r="BO469" s="37" t="n">
        <v>0.89</v>
      </c>
      <c r="BP469" s="37" t="n">
        <v>0.6899999999999999</v>
      </c>
      <c r="BQ469" s="37" t="n">
        <v>0.63</v>
      </c>
      <c r="BR469" s="37" t="n">
        <v>0.63</v>
      </c>
      <c r="BS469" s="37" t="n">
        <v>0.6</v>
      </c>
      <c r="BT469" s="37" t="n">
        <v>0.6</v>
      </c>
      <c r="BU469" s="37" t="n">
        <v>0.4</v>
      </c>
      <c r="BV469" s="37" t="n">
        <v>0.66</v>
      </c>
      <c r="BW469" s="37" t="n">
        <v>0.6</v>
      </c>
      <c r="BX469" s="37" t="n">
        <v>0.63</v>
      </c>
      <c r="BY469" s="37" t="n">
        <v>0.63</v>
      </c>
      <c r="BZ469" s="37" t="n">
        <v>0.6</v>
      </c>
      <c r="CA469" s="37" t="n">
        <v>0.6</v>
      </c>
      <c r="CB469" s="37" t="n">
        <v>0.4</v>
      </c>
      <c r="CC469" s="37" t="n">
        <v>116.0199999999999</v>
      </c>
    </row>
    <row r="470" ht="15.75" customHeight="1" s="57">
      <c r="A470" s="7" t="inlineStr">
        <is>
          <t>NTB</t>
        </is>
      </c>
      <c r="B470" s="7" t="inlineStr">
        <is>
          <t>Lâm Đồng</t>
        </is>
      </c>
      <c r="C470" s="7" t="n">
        <v>22389000</v>
      </c>
      <c r="D470" s="7" t="inlineStr">
        <is>
          <t>(LDO) Đức Trọng 1</t>
        </is>
      </c>
      <c r="E470" s="7" t="inlineStr">
        <is>
          <t>SME</t>
        </is>
      </c>
      <c r="F470" s="36" t="n">
        <v>221</v>
      </c>
      <c r="G470" s="36" t="n">
        <v>216</v>
      </c>
      <c r="H470" s="36" t="n">
        <v>181</v>
      </c>
      <c r="I470" s="36" t="n">
        <v>131</v>
      </c>
      <c r="J470" s="36" t="n">
        <v>155</v>
      </c>
      <c r="K470" s="28" t="n">
        <v>132</v>
      </c>
      <c r="L470" s="36" t="n">
        <v>55</v>
      </c>
      <c r="M470" s="36" t="n">
        <v>60</v>
      </c>
      <c r="N470" s="36" t="n">
        <v>109</v>
      </c>
      <c r="O470" s="36" t="n">
        <v>205</v>
      </c>
      <c r="P470" s="36" t="n">
        <v>159</v>
      </c>
      <c r="Q470" s="36" t="n">
        <v>126</v>
      </c>
      <c r="R470" s="28" t="n">
        <v>156</v>
      </c>
      <c r="S470" s="36" t="n">
        <v>140</v>
      </c>
      <c r="T470" s="36" t="n">
        <v>189</v>
      </c>
      <c r="U470" s="36" t="n">
        <v>193.58</v>
      </c>
      <c r="V470" s="36" t="n">
        <v>200.53</v>
      </c>
      <c r="W470" s="36" t="n">
        <v>194.96</v>
      </c>
      <c r="X470" s="36" t="n">
        <v>159.48</v>
      </c>
      <c r="Y470" s="28" t="n">
        <v>216.06</v>
      </c>
      <c r="Z470" s="36" t="n">
        <v>199.06</v>
      </c>
      <c r="AA470" s="36" t="n">
        <v>194.15</v>
      </c>
      <c r="AB470" s="36" t="n">
        <v>193.58</v>
      </c>
      <c r="AC470" s="36" t="n">
        <v>200.53</v>
      </c>
      <c r="AD470" s="36" t="n">
        <v>201.55</v>
      </c>
      <c r="AE470" s="36" t="n">
        <v>159.48</v>
      </c>
      <c r="AF470" s="28" t="n">
        <v>216.06</v>
      </c>
      <c r="AG470" s="36" t="n">
        <v>199.06</v>
      </c>
      <c r="AH470" s="37" t="n">
        <v>194.15</v>
      </c>
      <c r="AI470" s="37" t="n">
        <v>193.58</v>
      </c>
      <c r="AJ470" s="37" t="n">
        <v>200.53</v>
      </c>
      <c r="AK470" s="37" t="n">
        <v>194.96</v>
      </c>
      <c r="AL470" s="37" t="n">
        <v>159.48</v>
      </c>
      <c r="AM470" s="37" t="n">
        <v>216.06</v>
      </c>
      <c r="AN470" s="37" t="n">
        <v>199.06</v>
      </c>
      <c r="AO470" s="37" t="n">
        <v>194.15</v>
      </c>
      <c r="AP470" s="37" t="n">
        <v>193.58</v>
      </c>
      <c r="AQ470" s="37" t="n">
        <v>200.53</v>
      </c>
      <c r="AR470" s="37" t="n">
        <v>194.96</v>
      </c>
      <c r="AS470" s="37" t="n">
        <v>159.48</v>
      </c>
      <c r="AT470" s="37" t="n">
        <v>216.06</v>
      </c>
      <c r="AU470" s="37" t="n">
        <v>199.06</v>
      </c>
      <c r="AV470" s="37" t="n">
        <v>194.15</v>
      </c>
      <c r="AW470" s="37" t="n">
        <v>193.58</v>
      </c>
      <c r="AX470" s="37" t="n">
        <v>200.53</v>
      </c>
      <c r="AY470" s="37" t="n">
        <v>194.96</v>
      </c>
      <c r="AZ470" s="37" t="n">
        <v>159.48</v>
      </c>
      <c r="BA470" s="37" t="n">
        <v>194.36</v>
      </c>
      <c r="BB470" s="37" t="n">
        <v>174.6</v>
      </c>
      <c r="BC470" s="37" t="n">
        <v>110.29</v>
      </c>
      <c r="BD470" s="37" t="n">
        <v>109.97</v>
      </c>
      <c r="BE470" s="37" t="n">
        <v>185.91</v>
      </c>
      <c r="BF470" s="37" t="n">
        <v>181.14</v>
      </c>
      <c r="BG470" s="37" t="n">
        <v>164.59</v>
      </c>
      <c r="BH470" s="37" t="n">
        <v>222.91</v>
      </c>
      <c r="BI470" s="37" t="n">
        <v>205.3</v>
      </c>
      <c r="BJ470" s="37" t="n">
        <v>207.07</v>
      </c>
      <c r="BK470" s="37" t="n">
        <v>199.61</v>
      </c>
      <c r="BL470" s="37" t="n">
        <v>206.82</v>
      </c>
      <c r="BM470" s="37" t="n">
        <v>200.99</v>
      </c>
      <c r="BN470" s="37" t="n">
        <v>164.59</v>
      </c>
      <c r="BO470" s="37" t="n">
        <v>222.91</v>
      </c>
      <c r="BP470" s="37" t="n">
        <v>205.3</v>
      </c>
      <c r="BQ470" s="37" t="n">
        <v>200.15</v>
      </c>
      <c r="BR470" s="37" t="n">
        <v>199.61</v>
      </c>
      <c r="BS470" s="37" t="n">
        <v>206.82</v>
      </c>
      <c r="BT470" s="37" t="n">
        <v>200.99</v>
      </c>
      <c r="BU470" s="37" t="n">
        <v>164.59</v>
      </c>
      <c r="BV470" s="37" t="n">
        <v>222.91</v>
      </c>
      <c r="BW470" s="37" t="n">
        <v>205.3</v>
      </c>
      <c r="BX470" s="37" t="n">
        <v>200.15</v>
      </c>
      <c r="BY470" s="37" t="n">
        <v>199.61</v>
      </c>
      <c r="BZ470" s="37" t="n">
        <v>206.82</v>
      </c>
      <c r="CA470" s="37" t="n">
        <v>200.99</v>
      </c>
      <c r="CB470" s="37" t="n">
        <v>164.59</v>
      </c>
      <c r="CC470" s="37" t="n">
        <v>13750.31</v>
      </c>
    </row>
    <row r="471" ht="15.75" customHeight="1" s="57">
      <c r="A471" s="7" t="inlineStr">
        <is>
          <t>NTB</t>
        </is>
      </c>
      <c r="B471" s="7" t="inlineStr">
        <is>
          <t>Lâm Đồng</t>
        </is>
      </c>
      <c r="C471" s="7" t="n">
        <v>22389000</v>
      </c>
      <c r="D471" s="7" t="inlineStr">
        <is>
          <t>(LDO) Đức Trọng 1</t>
        </is>
      </c>
      <c r="E471" s="7" t="inlineStr">
        <is>
          <t>SME-Bulky</t>
        </is>
      </c>
      <c r="F471" s="36" t="n">
        <v>8</v>
      </c>
      <c r="G471" s="36" t="n">
        <v>5</v>
      </c>
      <c r="H471" s="36" t="n">
        <v>35</v>
      </c>
      <c r="I471" s="36" t="n">
        <v>2</v>
      </c>
      <c r="J471" s="36" t="n">
        <v>8</v>
      </c>
      <c r="K471" s="28" t="n">
        <v>8</v>
      </c>
      <c r="L471" s="36" t="n">
        <v>4</v>
      </c>
      <c r="M471" s="36" t="n">
        <v>10</v>
      </c>
      <c r="N471" s="36" t="n">
        <v>2</v>
      </c>
      <c r="O471" s="36" t="n">
        <v>7</v>
      </c>
      <c r="P471" s="36" t="n">
        <v>8</v>
      </c>
      <c r="Q471" s="36" t="n">
        <v>6</v>
      </c>
      <c r="R471" s="28" t="n">
        <v>5</v>
      </c>
      <c r="S471" s="36" t="n">
        <v>9</v>
      </c>
      <c r="T471" s="36" t="n">
        <v>4</v>
      </c>
      <c r="U471" s="36" t="n">
        <v>5.83</v>
      </c>
      <c r="V471" s="36" t="n">
        <v>5.77</v>
      </c>
      <c r="W471" s="36" t="n">
        <v>5.45</v>
      </c>
      <c r="X471" s="36" t="n">
        <v>3.63</v>
      </c>
      <c r="Y471" s="28" t="n">
        <v>6.51</v>
      </c>
      <c r="Z471" s="36" t="n">
        <v>6.22</v>
      </c>
      <c r="AA471" s="36" t="n">
        <v>6.13</v>
      </c>
      <c r="AB471" s="36" t="n">
        <v>5.83</v>
      </c>
      <c r="AC471" s="36" t="n">
        <v>5.77</v>
      </c>
      <c r="AD471" s="36" t="n">
        <v>5.12</v>
      </c>
      <c r="AE471" s="36" t="n">
        <v>3.63</v>
      </c>
      <c r="AF471" s="28" t="n">
        <v>6.51</v>
      </c>
      <c r="AG471" s="36" t="n">
        <v>6.22</v>
      </c>
      <c r="AH471" s="37" t="n">
        <v>6.13</v>
      </c>
      <c r="AI471" s="37" t="n">
        <v>5.83</v>
      </c>
      <c r="AJ471" s="37" t="n">
        <v>5.77</v>
      </c>
      <c r="AK471" s="37" t="n">
        <v>5.45</v>
      </c>
      <c r="AL471" s="37" t="n">
        <v>3.63</v>
      </c>
      <c r="AM471" s="37" t="n">
        <v>6.51</v>
      </c>
      <c r="AN471" s="37" t="n">
        <v>6.22</v>
      </c>
      <c r="AO471" s="37" t="n">
        <v>6.13</v>
      </c>
      <c r="AP471" s="37" t="n">
        <v>5.83</v>
      </c>
      <c r="AQ471" s="37" t="n">
        <v>5.77</v>
      </c>
      <c r="AR471" s="37" t="n">
        <v>5.45</v>
      </c>
      <c r="AS471" s="37" t="n">
        <v>3.63</v>
      </c>
      <c r="AT471" s="37" t="n">
        <v>6.51</v>
      </c>
      <c r="AU471" s="37" t="n">
        <v>6.22</v>
      </c>
      <c r="AV471" s="37" t="n">
        <v>6.13</v>
      </c>
      <c r="AW471" s="37" t="n">
        <v>5.83</v>
      </c>
      <c r="AX471" s="37" t="n">
        <v>5.77</v>
      </c>
      <c r="AY471" s="37" t="n">
        <v>5.45</v>
      </c>
      <c r="AZ471" s="37" t="n">
        <v>3.63</v>
      </c>
      <c r="BA471" s="37" t="n">
        <v>6.54</v>
      </c>
      <c r="BB471" s="37" t="n">
        <v>3.44</v>
      </c>
      <c r="BC471" s="37" t="n">
        <v>1.75</v>
      </c>
      <c r="BD471" s="37" t="n">
        <v>1.58</v>
      </c>
      <c r="BE471" s="37" t="n">
        <v>3.01</v>
      </c>
      <c r="BF471" s="37" t="n">
        <v>2.79</v>
      </c>
      <c r="BG471" s="37" t="n">
        <v>2.18</v>
      </c>
      <c r="BH471" s="37" t="n">
        <v>3.78</v>
      </c>
      <c r="BI471" s="37" t="n">
        <v>3.76</v>
      </c>
      <c r="BJ471" s="37" t="n">
        <v>3.25</v>
      </c>
      <c r="BK471" s="37" t="n">
        <v>3.45</v>
      </c>
      <c r="BL471" s="37" t="n">
        <v>3.47</v>
      </c>
      <c r="BM471" s="37" t="n">
        <v>3.22</v>
      </c>
      <c r="BN471" s="37" t="n">
        <v>2.18</v>
      </c>
      <c r="BO471" s="37" t="n">
        <v>3.78</v>
      </c>
      <c r="BP471" s="37" t="n">
        <v>3.76</v>
      </c>
      <c r="BQ471" s="37" t="n">
        <v>3.58</v>
      </c>
      <c r="BR471" s="37" t="n">
        <v>3.45</v>
      </c>
      <c r="BS471" s="37" t="n">
        <v>3.47</v>
      </c>
      <c r="BT471" s="37" t="n">
        <v>3.22</v>
      </c>
      <c r="BU471" s="37" t="n">
        <v>2.18</v>
      </c>
      <c r="BV471" s="37" t="n">
        <v>3.78</v>
      </c>
      <c r="BW471" s="37" t="n">
        <v>3.76</v>
      </c>
      <c r="BX471" s="37" t="n">
        <v>3.58</v>
      </c>
      <c r="BY471" s="37" t="n">
        <v>3.45</v>
      </c>
      <c r="BZ471" s="37" t="n">
        <v>3.47</v>
      </c>
      <c r="CA471" s="37" t="n">
        <v>3.22</v>
      </c>
      <c r="CB471" s="37" t="n">
        <v>2.18</v>
      </c>
      <c r="CC471" s="37" t="n">
        <v>390.79</v>
      </c>
    </row>
    <row r="472" ht="15.75" customHeight="1" s="57">
      <c r="A472" s="7" t="inlineStr">
        <is>
          <t>NTB</t>
        </is>
      </c>
      <c r="B472" s="7" t="inlineStr">
        <is>
          <t>Lâm Đồng</t>
        </is>
      </c>
      <c r="C472" s="7" t="n">
        <v>22389000</v>
      </c>
      <c r="D472" s="7" t="inlineStr">
        <is>
          <t>(LDO) Đức Trọng 1</t>
        </is>
      </c>
      <c r="E472" s="7" t="inlineStr">
        <is>
          <t>Shopee</t>
        </is>
      </c>
      <c r="F472" s="36" t="n">
        <v>135</v>
      </c>
      <c r="G472" s="36" t="n">
        <v>190</v>
      </c>
      <c r="H472" s="36" t="n">
        <v>136</v>
      </c>
      <c r="I472" s="36" t="n">
        <v>82</v>
      </c>
      <c r="J472" s="36" t="n">
        <v>90</v>
      </c>
      <c r="K472" s="28" t="n">
        <v>78</v>
      </c>
      <c r="L472" s="36" t="n">
        <v>39</v>
      </c>
      <c r="M472" s="36" t="n">
        <v>46</v>
      </c>
      <c r="N472" s="36" t="n">
        <v>49</v>
      </c>
      <c r="O472" s="36" t="n">
        <v>61</v>
      </c>
      <c r="P472" s="36" t="n">
        <v>54</v>
      </c>
      <c r="Q472" s="36" t="n">
        <v>37</v>
      </c>
      <c r="R472" s="28" t="n">
        <v>31</v>
      </c>
      <c r="S472" s="36" t="n">
        <v>35</v>
      </c>
      <c r="T472" s="36" t="n">
        <v>47</v>
      </c>
      <c r="U472" s="36" t="n">
        <v>69.25</v>
      </c>
      <c r="V472" s="36" t="n">
        <v>69.5</v>
      </c>
      <c r="W472" s="36" t="n">
        <v>68.5</v>
      </c>
      <c r="X472" s="36" t="n">
        <v>55.7</v>
      </c>
      <c r="Y472" s="28" t="n">
        <v>93.31</v>
      </c>
      <c r="Z472" s="36" t="n">
        <v>73.87</v>
      </c>
      <c r="AA472" s="36" t="n">
        <v>101.59</v>
      </c>
      <c r="AB472" s="36" t="n">
        <v>70.68000000000001</v>
      </c>
      <c r="AC472" s="36" t="n">
        <v>57.03</v>
      </c>
      <c r="AD472" s="36" t="n">
        <v>148.65</v>
      </c>
      <c r="AE472" s="36" t="n">
        <v>59.66</v>
      </c>
      <c r="AF472" s="28" t="n">
        <v>106.36</v>
      </c>
      <c r="AG472" s="36" t="n">
        <v>77.56</v>
      </c>
      <c r="AH472" s="37" t="n">
        <v>81.88</v>
      </c>
      <c r="AI472" s="37" t="n">
        <v>69.25</v>
      </c>
      <c r="AJ472" s="37" t="n">
        <v>69.5</v>
      </c>
      <c r="AK472" s="37" t="n">
        <v>92.43000000000001</v>
      </c>
      <c r="AL472" s="37" t="n">
        <v>100.04</v>
      </c>
      <c r="AM472" s="37" t="n">
        <v>93.31</v>
      </c>
      <c r="AN472" s="37" t="n">
        <v>73.87</v>
      </c>
      <c r="AO472" s="37" t="n">
        <v>81.88</v>
      </c>
      <c r="AP472" s="37" t="n">
        <v>86.45</v>
      </c>
      <c r="AQ472" s="37" t="n">
        <v>55.72</v>
      </c>
      <c r="AR472" s="37" t="n">
        <v>68.5</v>
      </c>
      <c r="AS472" s="37" t="n">
        <v>55.7</v>
      </c>
      <c r="AT472" s="37" t="n">
        <v>93.31</v>
      </c>
      <c r="AU472" s="37" t="n">
        <v>75.40000000000001</v>
      </c>
      <c r="AV472" s="37" t="n">
        <v>83.54000000000001</v>
      </c>
      <c r="AW472" s="37" t="n">
        <v>69.25</v>
      </c>
      <c r="AX472" s="37" t="n">
        <v>69.5</v>
      </c>
      <c r="AY472" s="37" t="n">
        <v>68.5</v>
      </c>
      <c r="AZ472" s="37" t="n">
        <v>55.7</v>
      </c>
      <c r="BA472" s="37" t="n">
        <v>71.87</v>
      </c>
      <c r="BB472" s="37" t="n">
        <v>62.58</v>
      </c>
      <c r="BC472" s="37" t="n">
        <v>32.01</v>
      </c>
      <c r="BD472" s="37" t="n">
        <v>56.72</v>
      </c>
      <c r="BE472" s="37" t="n">
        <v>66.19</v>
      </c>
      <c r="BF472" s="37" t="n">
        <v>65.23999999999999</v>
      </c>
      <c r="BG472" s="37" t="n">
        <v>54.12</v>
      </c>
      <c r="BH472" s="37" t="n">
        <v>88.87</v>
      </c>
      <c r="BI472" s="37" t="n">
        <v>57.8</v>
      </c>
      <c r="BJ472" s="37" t="n">
        <v>210.97</v>
      </c>
      <c r="BK472" s="37" t="n">
        <v>70.61</v>
      </c>
      <c r="BL472" s="37" t="n">
        <v>69.53</v>
      </c>
      <c r="BM472" s="37" t="n">
        <v>65.23999999999999</v>
      </c>
      <c r="BN472" s="37" t="n">
        <v>53.06</v>
      </c>
      <c r="BO472" s="37" t="n">
        <v>88.87</v>
      </c>
      <c r="BP472" s="37" t="n">
        <v>94.94</v>
      </c>
      <c r="BQ472" s="37" t="n">
        <v>140.14</v>
      </c>
      <c r="BR472" s="37" t="n">
        <v>65.97</v>
      </c>
      <c r="BS472" s="37" t="n">
        <v>66.19</v>
      </c>
      <c r="BT472" s="37" t="n">
        <v>65.23999999999999</v>
      </c>
      <c r="BU472" s="37" t="n">
        <v>66.29000000000001</v>
      </c>
      <c r="BV472" s="37" t="n">
        <v>71.20999999999999</v>
      </c>
      <c r="BW472" s="37" t="n">
        <v>70.34</v>
      </c>
      <c r="BX472" s="37" t="n">
        <v>77.98999999999999</v>
      </c>
      <c r="BY472" s="37" t="n">
        <v>65.97</v>
      </c>
      <c r="BZ472" s="37" t="n">
        <v>67.59</v>
      </c>
      <c r="CA472" s="37" t="n">
        <v>66.51000000000001</v>
      </c>
      <c r="CB472" s="37" t="n">
        <v>53.06</v>
      </c>
      <c r="CC472" s="37" t="n">
        <v>5690.509999999999</v>
      </c>
    </row>
    <row r="473" ht="15.75" customHeight="1" s="57">
      <c r="A473" s="7" t="inlineStr">
        <is>
          <t>NTB</t>
        </is>
      </c>
      <c r="B473" s="7" t="inlineStr">
        <is>
          <t>Lâm Đồng</t>
        </is>
      </c>
      <c r="C473" s="7" t="n">
        <v>22389000</v>
      </c>
      <c r="D473" s="7" t="inlineStr">
        <is>
          <t>(LDO) Đức Trọng 1</t>
        </is>
      </c>
      <c r="E473" s="7" t="inlineStr">
        <is>
          <t>Shopee-Bulky</t>
        </is>
      </c>
      <c r="F473" s="36" t="n">
        <v>4.44</v>
      </c>
      <c r="G473" s="36" t="n">
        <v>8.24</v>
      </c>
      <c r="H473" s="36" t="n">
        <v>19.02</v>
      </c>
      <c r="I473" s="36" t="n">
        <v>5.71</v>
      </c>
      <c r="J473" s="36" t="n">
        <v>6.34</v>
      </c>
      <c r="K473" s="28" t="n">
        <v>3.17</v>
      </c>
      <c r="L473" s="36" t="n">
        <v>5.07</v>
      </c>
      <c r="M473" s="36" t="n">
        <v>6.34</v>
      </c>
      <c r="N473" s="36" t="n">
        <v>3.8</v>
      </c>
      <c r="O473" s="36" t="n">
        <v>3.8</v>
      </c>
      <c r="P473" s="36" t="n">
        <v>1.9</v>
      </c>
      <c r="Q473" s="36" t="n">
        <v>4.44</v>
      </c>
      <c r="R473" s="28" t="n">
        <v>17.12</v>
      </c>
      <c r="S473" s="36" t="n">
        <v>5.71</v>
      </c>
      <c r="T473" s="36" t="n">
        <v>3.17</v>
      </c>
      <c r="U473" s="36" t="n">
        <v>5.56</v>
      </c>
      <c r="V473" s="36" t="n">
        <v>5.36</v>
      </c>
      <c r="W473" s="36" t="n">
        <v>7.37</v>
      </c>
      <c r="X473" s="36" t="n">
        <v>4.17</v>
      </c>
      <c r="Y473" s="28" t="n">
        <v>8.16</v>
      </c>
      <c r="Z473" s="36" t="n">
        <v>6.45</v>
      </c>
      <c r="AA473" s="36" t="n">
        <v>6.27</v>
      </c>
      <c r="AB473" s="36" t="n">
        <v>6.34</v>
      </c>
      <c r="AC473" s="36" t="n">
        <v>6.66</v>
      </c>
      <c r="AD473" s="36" t="n">
        <v>17.95</v>
      </c>
      <c r="AE473" s="36" t="n">
        <v>10.71</v>
      </c>
      <c r="AF473" s="28" t="n">
        <v>15.97</v>
      </c>
      <c r="AG473" s="36" t="n">
        <v>9.07</v>
      </c>
      <c r="AH473" s="37" t="n">
        <v>6.38</v>
      </c>
      <c r="AI473" s="37" t="n">
        <v>6.14</v>
      </c>
      <c r="AJ473" s="37" t="n">
        <v>6.09</v>
      </c>
      <c r="AK473" s="37" t="n">
        <v>13.78</v>
      </c>
      <c r="AL473" s="37" t="n">
        <v>7.01</v>
      </c>
      <c r="AM473" s="37" t="n">
        <v>10.01</v>
      </c>
      <c r="AN473" s="37" t="n">
        <v>6.34</v>
      </c>
      <c r="AO473" s="37" t="n">
        <v>6.21</v>
      </c>
      <c r="AP473" s="37" t="n">
        <v>8.390000000000001</v>
      </c>
      <c r="AQ473" s="37" t="n">
        <v>8.34</v>
      </c>
      <c r="AR473" s="37" t="n">
        <v>6.63</v>
      </c>
      <c r="AS473" s="37" t="n">
        <v>3.67</v>
      </c>
      <c r="AT473" s="37" t="n">
        <v>7.49</v>
      </c>
      <c r="AU473" s="37" t="n">
        <v>12.33</v>
      </c>
      <c r="AV473" s="37" t="n">
        <v>12.8</v>
      </c>
      <c r="AW473" s="37" t="n">
        <v>6.23</v>
      </c>
      <c r="AX473" s="37" t="n">
        <v>5.84</v>
      </c>
      <c r="AY473" s="37" t="n">
        <v>6.34</v>
      </c>
      <c r="AZ473" s="37" t="n">
        <v>3.53</v>
      </c>
      <c r="BA473" s="37" t="n">
        <v>6.85</v>
      </c>
      <c r="BB473" s="37" t="n">
        <v>6.37</v>
      </c>
      <c r="BC473" s="37" t="n">
        <v>2.14</v>
      </c>
      <c r="BD473" s="37" t="n">
        <v>5.45</v>
      </c>
      <c r="BE473" s="37" t="n">
        <v>6.7</v>
      </c>
      <c r="BF473" s="37" t="n">
        <v>5.76</v>
      </c>
      <c r="BG473" s="37" t="n">
        <v>4.79</v>
      </c>
      <c r="BH473" s="37" t="n">
        <v>8.77</v>
      </c>
      <c r="BI473" s="37" t="n">
        <v>7.49</v>
      </c>
      <c r="BJ473" s="37" t="n">
        <v>28.55</v>
      </c>
      <c r="BK473" s="37" t="n">
        <v>15.84</v>
      </c>
      <c r="BL473" s="37" t="n">
        <v>8.16</v>
      </c>
      <c r="BM473" s="37" t="n">
        <v>6.09</v>
      </c>
      <c r="BN473" s="37" t="n">
        <v>4.62</v>
      </c>
      <c r="BO473" s="37" t="n">
        <v>10.2</v>
      </c>
      <c r="BP473" s="37" t="n">
        <v>14.89</v>
      </c>
      <c r="BQ473" s="37" t="n">
        <v>10.77</v>
      </c>
      <c r="BR473" s="37" t="n">
        <v>7.09</v>
      </c>
      <c r="BS473" s="37" t="n">
        <v>6.7</v>
      </c>
      <c r="BT473" s="37" t="n">
        <v>5.76</v>
      </c>
      <c r="BU473" s="37" t="n">
        <v>6.79</v>
      </c>
      <c r="BV473" s="37" t="n">
        <v>9.289999999999999</v>
      </c>
      <c r="BW473" s="37" t="n">
        <v>7.49</v>
      </c>
      <c r="BX473" s="37" t="n">
        <v>7.23</v>
      </c>
      <c r="BY473" s="37" t="n">
        <v>7.09</v>
      </c>
      <c r="BZ473" s="37" t="n">
        <v>12.15</v>
      </c>
      <c r="CA473" s="37" t="n">
        <v>7</v>
      </c>
      <c r="CB473" s="37" t="n">
        <v>4.56</v>
      </c>
      <c r="CC473" s="37" t="n">
        <v>586.4499999999997</v>
      </c>
    </row>
    <row r="474" ht="15.75" customHeight="1" s="57">
      <c r="A474" s="7" t="inlineStr">
        <is>
          <t>NTB</t>
        </is>
      </c>
      <c r="B474" s="7" t="inlineStr">
        <is>
          <t>Lâm Đồng</t>
        </is>
      </c>
      <c r="C474" s="7" t="n">
        <v>22389000</v>
      </c>
      <c r="D474" s="7" t="inlineStr">
        <is>
          <t>(LDO) Đức Trọng 1</t>
        </is>
      </c>
      <c r="E474" s="7" t="inlineStr">
        <is>
          <t>Shopee-Bulky (10-15kg)</t>
        </is>
      </c>
      <c r="F474" s="36" t="n">
        <v>2.56</v>
      </c>
      <c r="G474" s="36" t="n">
        <v>4.76</v>
      </c>
      <c r="H474" s="36" t="n">
        <v>10.98</v>
      </c>
      <c r="I474" s="36" t="n">
        <v>3.29</v>
      </c>
      <c r="J474" s="36" t="n">
        <v>3.66</v>
      </c>
      <c r="K474" s="28" t="n">
        <v>1.83</v>
      </c>
      <c r="L474" s="36" t="n">
        <v>2.93</v>
      </c>
      <c r="M474" s="36" t="n">
        <v>3.66</v>
      </c>
      <c r="N474" s="36" t="n">
        <v>2.2</v>
      </c>
      <c r="O474" s="36" t="n">
        <v>2.2</v>
      </c>
      <c r="P474" s="36" t="n">
        <v>1.1</v>
      </c>
      <c r="Q474" s="36" t="n">
        <v>2.56</v>
      </c>
      <c r="R474" s="28" t="n">
        <v>9.880000000000001</v>
      </c>
      <c r="S474" s="36" t="n">
        <v>3.29</v>
      </c>
      <c r="T474" s="36" t="n">
        <v>1.83</v>
      </c>
      <c r="U474" s="36" t="n">
        <v>3.34</v>
      </c>
      <c r="V474" s="36" t="n">
        <v>3.2</v>
      </c>
      <c r="W474" s="36" t="n">
        <v>4.22</v>
      </c>
      <c r="X474" s="36" t="n">
        <v>2.38</v>
      </c>
      <c r="Y474" s="28" t="n">
        <v>4.74</v>
      </c>
      <c r="Z474" s="36" t="n">
        <v>3.69</v>
      </c>
      <c r="AA474" s="36" t="n">
        <v>3.47</v>
      </c>
      <c r="AB474" s="36" t="n">
        <v>3.63</v>
      </c>
      <c r="AC474" s="36" t="n">
        <v>3.76</v>
      </c>
      <c r="AD474" s="36" t="n">
        <v>14.38</v>
      </c>
      <c r="AE474" s="36" t="n">
        <v>6</v>
      </c>
      <c r="AF474" s="28" t="n">
        <v>8.76</v>
      </c>
      <c r="AG474" s="36" t="n">
        <v>5.23</v>
      </c>
      <c r="AH474" s="37" t="n">
        <v>3.64</v>
      </c>
      <c r="AI474" s="37" t="n">
        <v>3.54</v>
      </c>
      <c r="AJ474" s="37" t="n">
        <v>3.43</v>
      </c>
      <c r="AK474" s="37" t="n">
        <v>8.09</v>
      </c>
      <c r="AL474" s="37" t="n">
        <v>3.93</v>
      </c>
      <c r="AM474" s="37" t="n">
        <v>5.81</v>
      </c>
      <c r="AN474" s="37" t="n">
        <v>3.65</v>
      </c>
      <c r="AO474" s="37" t="n">
        <v>3.5</v>
      </c>
      <c r="AP474" s="37" t="n">
        <v>4.61</v>
      </c>
      <c r="AQ474" s="37" t="n">
        <v>4.7</v>
      </c>
      <c r="AR474" s="37" t="n">
        <v>3.81</v>
      </c>
      <c r="AS474" s="37" t="n">
        <v>2.09</v>
      </c>
      <c r="AT474" s="37" t="n">
        <v>4.34</v>
      </c>
      <c r="AU474" s="37" t="n">
        <v>7.34</v>
      </c>
      <c r="AV474" s="37" t="n">
        <v>7.35</v>
      </c>
      <c r="AW474" s="37" t="n">
        <v>3.53</v>
      </c>
      <c r="AX474" s="37" t="n">
        <v>3.28</v>
      </c>
      <c r="AY474" s="37" t="n">
        <v>3.65</v>
      </c>
      <c r="AZ474" s="37" t="n">
        <v>2.01</v>
      </c>
      <c r="BA474" s="37" t="n">
        <v>3.96</v>
      </c>
      <c r="BB474" s="37" t="n">
        <v>3.68</v>
      </c>
      <c r="BC474" s="37" t="n">
        <v>1.28</v>
      </c>
      <c r="BD474" s="37" t="n">
        <v>3.08</v>
      </c>
      <c r="BE474" s="37" t="n">
        <v>3.84</v>
      </c>
      <c r="BF474" s="37" t="n">
        <v>3.35</v>
      </c>
      <c r="BG474" s="37" t="n">
        <v>2.75</v>
      </c>
      <c r="BH474" s="37" t="n">
        <v>5.14</v>
      </c>
      <c r="BI474" s="37" t="n">
        <v>4.34</v>
      </c>
      <c r="BJ474" s="37" t="n">
        <v>19.81</v>
      </c>
      <c r="BK474" s="37" t="n">
        <v>9.19</v>
      </c>
      <c r="BL474" s="37" t="n">
        <v>4.72</v>
      </c>
      <c r="BM474" s="37" t="n">
        <v>3.48</v>
      </c>
      <c r="BN474" s="37" t="n">
        <v>2.69</v>
      </c>
      <c r="BO474" s="37" t="n">
        <v>5.84</v>
      </c>
      <c r="BP474" s="37" t="n">
        <v>8.66</v>
      </c>
      <c r="BQ474" s="37" t="n">
        <v>6.26</v>
      </c>
      <c r="BR474" s="37" t="n">
        <v>4.07</v>
      </c>
      <c r="BS474" s="37" t="n">
        <v>3.84</v>
      </c>
      <c r="BT474" s="37" t="n">
        <v>3.35</v>
      </c>
      <c r="BU474" s="37" t="n">
        <v>3.88</v>
      </c>
      <c r="BV474" s="37" t="n">
        <v>5.34</v>
      </c>
      <c r="BW474" s="37" t="n">
        <v>4.34</v>
      </c>
      <c r="BX474" s="37" t="n">
        <v>4.13</v>
      </c>
      <c r="BY474" s="37" t="n">
        <v>4.07</v>
      </c>
      <c r="BZ474" s="37" t="n">
        <v>7.04</v>
      </c>
      <c r="CA474" s="37" t="n">
        <v>4.01</v>
      </c>
      <c r="CB474" s="37" t="n">
        <v>2.59</v>
      </c>
      <c r="CC474" s="37" t="n">
        <v>344.56</v>
      </c>
    </row>
    <row r="475" ht="15.75" customHeight="1" s="57">
      <c r="A475" s="7" t="inlineStr">
        <is>
          <t>NTB</t>
        </is>
      </c>
      <c r="B475" s="7" t="inlineStr">
        <is>
          <t>Lâm Đồng</t>
        </is>
      </c>
      <c r="C475" s="7" t="n">
        <v>22389000</v>
      </c>
      <c r="D475" s="7" t="inlineStr">
        <is>
          <t>(LDO) Đức Trọng 1</t>
        </is>
      </c>
      <c r="E475" s="7" t="inlineStr">
        <is>
          <t>TTS</t>
        </is>
      </c>
      <c r="F475" s="36" t="n">
        <v>126</v>
      </c>
      <c r="G475" s="36" t="n">
        <v>182</v>
      </c>
      <c r="H475" s="36" t="n">
        <v>126</v>
      </c>
      <c r="I475" s="36" t="n">
        <v>95</v>
      </c>
      <c r="J475" s="36" t="n">
        <v>91</v>
      </c>
      <c r="K475" s="28" t="n">
        <v>78</v>
      </c>
      <c r="L475" s="36" t="n">
        <v>55</v>
      </c>
      <c r="M475" s="36" t="n">
        <v>55</v>
      </c>
      <c r="N475" s="36" t="n">
        <v>77</v>
      </c>
      <c r="O475" s="36" t="n">
        <v>98</v>
      </c>
      <c r="P475" s="36" t="n">
        <v>89</v>
      </c>
      <c r="Q475" s="36" t="n">
        <v>70</v>
      </c>
      <c r="R475" s="28" t="n">
        <v>111</v>
      </c>
      <c r="S475" s="36" t="n">
        <v>122</v>
      </c>
      <c r="T475" s="36" t="n">
        <v>119</v>
      </c>
      <c r="U475" s="36" t="n">
        <v>72.32000000000001</v>
      </c>
      <c r="V475" s="36" t="n">
        <v>71.08999999999999</v>
      </c>
      <c r="W475" s="36" t="n">
        <v>69.48</v>
      </c>
      <c r="X475" s="36" t="n">
        <v>56.09</v>
      </c>
      <c r="Y475" s="28" t="n">
        <v>81.45</v>
      </c>
      <c r="Z475" s="36" t="n">
        <v>69.31999999999999</v>
      </c>
      <c r="AA475" s="36" t="n">
        <v>76.91</v>
      </c>
      <c r="AB475" s="36" t="n">
        <v>85.5</v>
      </c>
      <c r="AC475" s="36" t="n">
        <v>90.02999999999999</v>
      </c>
      <c r="AD475" s="36" t="n">
        <v>92.20999999999999</v>
      </c>
      <c r="AE475" s="36" t="n">
        <v>65.17</v>
      </c>
      <c r="AF475" s="28" t="n">
        <v>84.23</v>
      </c>
      <c r="AG475" s="36" t="n">
        <v>70.67999999999999</v>
      </c>
      <c r="AH475" s="37" t="n">
        <v>69.91</v>
      </c>
      <c r="AI475" s="37" t="n">
        <v>79.98</v>
      </c>
      <c r="AJ475" s="37" t="n">
        <v>85.98999999999999</v>
      </c>
      <c r="AK475" s="37" t="n">
        <v>84.78</v>
      </c>
      <c r="AL475" s="37" t="n">
        <v>60.45</v>
      </c>
      <c r="AM475" s="37" t="n">
        <v>82.98999999999999</v>
      </c>
      <c r="AN475" s="37" t="n">
        <v>71.60000000000001</v>
      </c>
      <c r="AO475" s="37" t="n">
        <v>71.22</v>
      </c>
      <c r="AP475" s="37" t="n">
        <v>69.02999999999999</v>
      </c>
      <c r="AQ475" s="37" t="n">
        <v>69.64</v>
      </c>
      <c r="AR475" s="37" t="n">
        <v>68.48999999999999</v>
      </c>
      <c r="AS475" s="37" t="n">
        <v>56.38</v>
      </c>
      <c r="AT475" s="37" t="n">
        <v>89.70999999999999</v>
      </c>
      <c r="AU475" s="37" t="n">
        <v>81.16</v>
      </c>
      <c r="AV475" s="37" t="n">
        <v>72.21000000000001</v>
      </c>
      <c r="AW475" s="37" t="n">
        <v>68.19999999999999</v>
      </c>
      <c r="AX475" s="37" t="n">
        <v>67.66999999999999</v>
      </c>
      <c r="AY475" s="37" t="n">
        <v>67.59999999999999</v>
      </c>
      <c r="AZ475" s="37" t="n">
        <v>56.38</v>
      </c>
      <c r="BA475" s="37" t="n">
        <v>80.82000000000001</v>
      </c>
      <c r="BB475" s="37" t="n">
        <v>75.55</v>
      </c>
      <c r="BC475" s="37" t="n">
        <v>44.99</v>
      </c>
      <c r="BD475" s="37" t="n">
        <v>65.15000000000001</v>
      </c>
      <c r="BE475" s="37" t="n">
        <v>76.68000000000001</v>
      </c>
      <c r="BF475" s="37" t="n">
        <v>74.56999999999999</v>
      </c>
      <c r="BG475" s="37" t="n">
        <v>60.57</v>
      </c>
      <c r="BH475" s="37" t="n">
        <v>89.53999999999999</v>
      </c>
      <c r="BI475" s="37" t="n">
        <v>75.55</v>
      </c>
      <c r="BJ475" s="37" t="n">
        <v>70.03999999999999</v>
      </c>
      <c r="BK475" s="37" t="n">
        <v>76.59</v>
      </c>
      <c r="BL475" s="37" t="n">
        <v>76.68000000000001</v>
      </c>
      <c r="BM475" s="37" t="n">
        <v>74.56999999999999</v>
      </c>
      <c r="BN475" s="37" t="n">
        <v>60.57</v>
      </c>
      <c r="BO475" s="37" t="n">
        <v>89.53999999999999</v>
      </c>
      <c r="BP475" s="37" t="n">
        <v>75.55</v>
      </c>
      <c r="BQ475" s="37" t="n">
        <v>74.70999999999999</v>
      </c>
      <c r="BR475" s="37" t="n">
        <v>76.59</v>
      </c>
      <c r="BS475" s="37" t="n">
        <v>76.68000000000001</v>
      </c>
      <c r="BT475" s="37" t="n">
        <v>74.56999999999999</v>
      </c>
      <c r="BU475" s="37" t="n">
        <v>60.57</v>
      </c>
      <c r="BV475" s="37" t="n">
        <v>89.53999999999999</v>
      </c>
      <c r="BW475" s="37" t="n">
        <v>75.55</v>
      </c>
      <c r="BX475" s="37" t="n">
        <v>74.70999999999999</v>
      </c>
      <c r="BY475" s="37" t="n">
        <v>76.59</v>
      </c>
      <c r="BZ475" s="37" t="n">
        <v>76.68000000000001</v>
      </c>
      <c r="CA475" s="37" t="n">
        <v>74.56999999999999</v>
      </c>
      <c r="CB475" s="37" t="n">
        <v>60.57</v>
      </c>
      <c r="CC475" s="37" t="n">
        <v>5910.159999999999</v>
      </c>
    </row>
    <row r="476" ht="15.75" customHeight="1" s="57">
      <c r="A476" s="7" t="inlineStr">
        <is>
          <t>NTB</t>
        </is>
      </c>
      <c r="B476" s="7" t="inlineStr">
        <is>
          <t>Lâm Đồng</t>
        </is>
      </c>
      <c r="C476" s="7" t="n">
        <v>22389000</v>
      </c>
      <c r="D476" s="7" t="inlineStr">
        <is>
          <t>(LDO) Đức Trọng 1</t>
        </is>
      </c>
      <c r="E476" s="7" t="inlineStr">
        <is>
          <t>TTS-Bulky</t>
        </is>
      </c>
      <c r="F476" s="36" t="n">
        <v>2</v>
      </c>
      <c r="G476" s="36" t="n">
        <v>0</v>
      </c>
      <c r="H476" s="36" t="n">
        <v>7</v>
      </c>
      <c r="I476" s="36" t="n">
        <v>0</v>
      </c>
      <c r="J476" s="36" t="n">
        <v>1</v>
      </c>
      <c r="K476" s="28" t="n">
        <v>0</v>
      </c>
      <c r="L476" s="36" t="n">
        <v>1</v>
      </c>
      <c r="M476" s="36" t="n">
        <v>1</v>
      </c>
      <c r="N476" s="36" t="n">
        <v>1</v>
      </c>
      <c r="O476" s="36" t="n">
        <v>1</v>
      </c>
      <c r="P476" s="36" t="n">
        <v>0</v>
      </c>
      <c r="Q476" s="36" t="n">
        <v>2</v>
      </c>
      <c r="R476" s="28" t="n">
        <v>1</v>
      </c>
      <c r="S476" s="36" t="n">
        <v>1</v>
      </c>
      <c r="T476" s="36" t="n">
        <v>0</v>
      </c>
      <c r="U476" s="36" t="n">
        <v>3.6</v>
      </c>
      <c r="V476" s="36" t="n">
        <v>3.64</v>
      </c>
      <c r="W476" s="36" t="n">
        <v>1.72</v>
      </c>
      <c r="X476" s="36" t="n">
        <v>1.24</v>
      </c>
      <c r="Y476" s="28" t="n">
        <v>2.25</v>
      </c>
      <c r="Z476" s="36" t="n">
        <v>1.79</v>
      </c>
      <c r="AA476" s="36" t="n">
        <v>1.9</v>
      </c>
      <c r="AB476" s="36" t="n">
        <v>1.97</v>
      </c>
      <c r="AC476" s="36" t="n">
        <v>2.09</v>
      </c>
      <c r="AD476" s="36" t="n">
        <v>3.12</v>
      </c>
      <c r="AE476" s="36" t="n">
        <v>1.4</v>
      </c>
      <c r="AF476" s="28" t="n">
        <v>2.22</v>
      </c>
      <c r="AG476" s="36" t="n">
        <v>1.7</v>
      </c>
      <c r="AH476" s="37" t="n">
        <v>1.7</v>
      </c>
      <c r="AI476" s="37" t="n">
        <v>1.72</v>
      </c>
      <c r="AJ476" s="37" t="n">
        <v>1.95</v>
      </c>
      <c r="AK476" s="37" t="n">
        <v>1.86</v>
      </c>
      <c r="AL476" s="37" t="n">
        <v>1.33</v>
      </c>
      <c r="AM476" s="37" t="n">
        <v>2.22</v>
      </c>
      <c r="AN476" s="37" t="n">
        <v>1.72</v>
      </c>
      <c r="AO476" s="37" t="n">
        <v>1.7</v>
      </c>
      <c r="AP476" s="37" t="n">
        <v>1.7</v>
      </c>
      <c r="AQ476" s="37" t="n">
        <v>1.86</v>
      </c>
      <c r="AR476" s="37" t="n">
        <v>1.72</v>
      </c>
      <c r="AS476" s="37" t="n">
        <v>1.28</v>
      </c>
      <c r="AT476" s="37" t="n">
        <v>2.32</v>
      </c>
      <c r="AU476" s="37" t="n">
        <v>1.97</v>
      </c>
      <c r="AV476" s="37" t="n">
        <v>1.74</v>
      </c>
      <c r="AW476" s="37" t="n">
        <v>1.67</v>
      </c>
      <c r="AX476" s="37" t="n">
        <v>1.86</v>
      </c>
      <c r="AY476" s="37" t="n">
        <v>1.7</v>
      </c>
      <c r="AZ476" s="37" t="n">
        <v>1.28</v>
      </c>
      <c r="BA476" s="37" t="n">
        <v>1.95</v>
      </c>
      <c r="BB476" s="37" t="n">
        <v>0.46</v>
      </c>
      <c r="BC476" s="37" t="n">
        <v>0.3</v>
      </c>
      <c r="BD476" s="37" t="n">
        <v>0.37</v>
      </c>
      <c r="BE476" s="37" t="n">
        <v>0.48</v>
      </c>
      <c r="BF476" s="37" t="n">
        <v>0.48</v>
      </c>
      <c r="BG476" s="37" t="n">
        <v>0.32</v>
      </c>
      <c r="BH476" s="37" t="n">
        <v>0.62</v>
      </c>
      <c r="BI476" s="37" t="n">
        <v>0.48</v>
      </c>
      <c r="BJ476" s="37" t="n">
        <v>0.78</v>
      </c>
      <c r="BK476" s="37" t="n">
        <v>0.5</v>
      </c>
      <c r="BL476" s="37" t="n">
        <v>0.48</v>
      </c>
      <c r="BM476" s="37" t="n">
        <v>0.48</v>
      </c>
      <c r="BN476" s="37" t="n">
        <v>0.37</v>
      </c>
      <c r="BO476" s="37" t="n">
        <v>0.71</v>
      </c>
      <c r="BP476" s="37" t="n">
        <v>0.55</v>
      </c>
      <c r="BQ476" s="37" t="n">
        <v>0.5</v>
      </c>
      <c r="BR476" s="37" t="n">
        <v>0.5</v>
      </c>
      <c r="BS476" s="37" t="n">
        <v>0.48</v>
      </c>
      <c r="BT476" s="37" t="n">
        <v>0.48</v>
      </c>
      <c r="BU476" s="37" t="n">
        <v>0.32</v>
      </c>
      <c r="BV476" s="37" t="n">
        <v>0.53</v>
      </c>
      <c r="BW476" s="37" t="n">
        <v>0.48</v>
      </c>
      <c r="BX476" s="37" t="n">
        <v>0.5</v>
      </c>
      <c r="BY476" s="37" t="n">
        <v>0.5</v>
      </c>
      <c r="BZ476" s="37" t="n">
        <v>0.48</v>
      </c>
      <c r="CA476" s="37" t="n">
        <v>0.48</v>
      </c>
      <c r="CB476" s="37" t="n">
        <v>0.32</v>
      </c>
      <c r="CC476" s="37" t="n">
        <v>94.84000000000002</v>
      </c>
    </row>
    <row r="477" ht="15.75" customHeight="1" s="57">
      <c r="A477" s="7" t="inlineStr">
        <is>
          <t>NTB</t>
        </is>
      </c>
      <c r="B477" s="7" t="inlineStr">
        <is>
          <t>Lâm Đồng</t>
        </is>
      </c>
      <c r="C477" s="7" t="n">
        <v>22425000</v>
      </c>
      <c r="D477" s="7" t="inlineStr">
        <is>
          <t>(LDO) Tân Hà Lâm Hà</t>
        </is>
      </c>
      <c r="E477" s="7" t="inlineStr">
        <is>
          <t>SME</t>
        </is>
      </c>
      <c r="F477" s="36" t="n">
        <v>198</v>
      </c>
      <c r="G477" s="36" t="n">
        <v>241</v>
      </c>
      <c r="H477" s="36" t="n">
        <v>276</v>
      </c>
      <c r="I477" s="36" t="n">
        <v>238</v>
      </c>
      <c r="J477" s="36" t="n">
        <v>186</v>
      </c>
      <c r="K477" s="28" t="n">
        <v>241</v>
      </c>
      <c r="L477" s="36" t="n">
        <v>209</v>
      </c>
      <c r="M477" s="36" t="n">
        <v>243</v>
      </c>
      <c r="N477" s="36" t="n">
        <v>205</v>
      </c>
      <c r="O477" s="36" t="n">
        <v>151</v>
      </c>
      <c r="P477" s="36" t="n">
        <v>201</v>
      </c>
      <c r="Q477" s="36" t="n">
        <v>193</v>
      </c>
      <c r="R477" s="28" t="n">
        <v>204</v>
      </c>
      <c r="S477" s="36" t="n">
        <v>193</v>
      </c>
      <c r="T477" s="36" t="n">
        <v>208</v>
      </c>
      <c r="U477" s="36" t="n">
        <v>250.13</v>
      </c>
      <c r="V477" s="36" t="n">
        <v>259.18</v>
      </c>
      <c r="W477" s="36" t="n">
        <v>251.98</v>
      </c>
      <c r="X477" s="36" t="n">
        <v>206.06</v>
      </c>
      <c r="Y477" s="28" t="n">
        <v>279.18</v>
      </c>
      <c r="Z477" s="36" t="n">
        <v>257.22</v>
      </c>
      <c r="AA477" s="36" t="n">
        <v>250.91</v>
      </c>
      <c r="AB477" s="36" t="n">
        <v>250.13</v>
      </c>
      <c r="AC477" s="36" t="n">
        <v>259.18</v>
      </c>
      <c r="AD477" s="36" t="n">
        <v>260.41</v>
      </c>
      <c r="AE477" s="36" t="n">
        <v>206.06</v>
      </c>
      <c r="AF477" s="28" t="n">
        <v>279.18</v>
      </c>
      <c r="AG477" s="36" t="n">
        <v>257.22</v>
      </c>
      <c r="AH477" s="37" t="n">
        <v>250.91</v>
      </c>
      <c r="AI477" s="37" t="n">
        <v>250.13</v>
      </c>
      <c r="AJ477" s="37" t="n">
        <v>259.18</v>
      </c>
      <c r="AK477" s="37" t="n">
        <v>251.98</v>
      </c>
      <c r="AL477" s="37" t="n">
        <v>206.06</v>
      </c>
      <c r="AM477" s="37" t="n">
        <v>279.18</v>
      </c>
      <c r="AN477" s="37" t="n">
        <v>257.22</v>
      </c>
      <c r="AO477" s="37" t="n">
        <v>250.91</v>
      </c>
      <c r="AP477" s="37" t="n">
        <v>250.13</v>
      </c>
      <c r="AQ477" s="37" t="n">
        <v>259.18</v>
      </c>
      <c r="AR477" s="37" t="n">
        <v>251.98</v>
      </c>
      <c r="AS477" s="37" t="n">
        <v>206.06</v>
      </c>
      <c r="AT477" s="37" t="n">
        <v>279.18</v>
      </c>
      <c r="AU477" s="37" t="n">
        <v>257.22</v>
      </c>
      <c r="AV477" s="37" t="n">
        <v>250.91</v>
      </c>
      <c r="AW477" s="37" t="n">
        <v>250.13</v>
      </c>
      <c r="AX477" s="37" t="n">
        <v>259.18</v>
      </c>
      <c r="AY477" s="37" t="n">
        <v>251.98</v>
      </c>
      <c r="AZ477" s="37" t="n">
        <v>206.06</v>
      </c>
      <c r="BA477" s="37" t="n">
        <v>251.21</v>
      </c>
      <c r="BB477" s="37" t="n">
        <v>225.56</v>
      </c>
      <c r="BC477" s="37" t="n">
        <v>142.62</v>
      </c>
      <c r="BD477" s="37" t="n">
        <v>142.13</v>
      </c>
      <c r="BE477" s="37" t="n">
        <v>240.08</v>
      </c>
      <c r="BF477" s="37" t="n">
        <v>234</v>
      </c>
      <c r="BG477" s="37" t="n">
        <v>212.54</v>
      </c>
      <c r="BH477" s="37" t="n">
        <v>287.9</v>
      </c>
      <c r="BI477" s="37" t="n">
        <v>265.14</v>
      </c>
      <c r="BJ477" s="37" t="n">
        <v>267.41</v>
      </c>
      <c r="BK477" s="37" t="n">
        <v>257.79</v>
      </c>
      <c r="BL477" s="37" t="n">
        <v>267.16</v>
      </c>
      <c r="BM477" s="37" t="n">
        <v>259.64</v>
      </c>
      <c r="BN477" s="37" t="n">
        <v>212.54</v>
      </c>
      <c r="BO477" s="37" t="n">
        <v>287.9</v>
      </c>
      <c r="BP477" s="37" t="n">
        <v>265.14</v>
      </c>
      <c r="BQ477" s="37" t="n">
        <v>258.53</v>
      </c>
      <c r="BR477" s="37" t="n">
        <v>257.79</v>
      </c>
      <c r="BS477" s="37" t="n">
        <v>267.16</v>
      </c>
      <c r="BT477" s="37" t="n">
        <v>259.64</v>
      </c>
      <c r="BU477" s="37" t="n">
        <v>212.54</v>
      </c>
      <c r="BV477" s="37" t="n">
        <v>287.9</v>
      </c>
      <c r="BW477" s="37" t="n">
        <v>265.14</v>
      </c>
      <c r="BX477" s="37" t="n">
        <v>258.53</v>
      </c>
      <c r="BY477" s="37" t="n">
        <v>257.79</v>
      </c>
      <c r="BZ477" s="37" t="n">
        <v>267.16</v>
      </c>
      <c r="CA477" s="37" t="n">
        <v>259.64</v>
      </c>
      <c r="CB477" s="37" t="n">
        <v>212.54</v>
      </c>
      <c r="CC477" s="37" t="n">
        <v>18064.54</v>
      </c>
    </row>
    <row r="478" ht="15.75" customHeight="1" s="57">
      <c r="A478" s="7" t="inlineStr">
        <is>
          <t>NTB</t>
        </is>
      </c>
      <c r="B478" s="7" t="inlineStr">
        <is>
          <t>Lâm Đồng</t>
        </is>
      </c>
      <c r="C478" s="7" t="n">
        <v>22425000</v>
      </c>
      <c r="D478" s="7" t="inlineStr">
        <is>
          <t>(LDO) Tân Hà Lâm Hà</t>
        </is>
      </c>
      <c r="E478" s="7" t="inlineStr">
        <is>
          <t>SME-Bulky</t>
        </is>
      </c>
      <c r="F478" s="36" t="n">
        <v>13</v>
      </c>
      <c r="G478" s="36" t="n">
        <v>7</v>
      </c>
      <c r="H478" s="36" t="n">
        <v>19</v>
      </c>
      <c r="I478" s="36" t="n">
        <v>22</v>
      </c>
      <c r="J478" s="36" t="n">
        <v>10</v>
      </c>
      <c r="K478" s="28" t="n">
        <v>9</v>
      </c>
      <c r="L478" s="36" t="n">
        <v>26</v>
      </c>
      <c r="M478" s="36" t="n">
        <v>32</v>
      </c>
      <c r="N478" s="36" t="n">
        <v>13</v>
      </c>
      <c r="O478" s="36" t="n">
        <v>11</v>
      </c>
      <c r="P478" s="36" t="n">
        <v>20</v>
      </c>
      <c r="Q478" s="36" t="n">
        <v>24</v>
      </c>
      <c r="R478" s="28" t="n">
        <v>20</v>
      </c>
      <c r="S478" s="36" t="n">
        <v>20</v>
      </c>
      <c r="T478" s="36" t="n">
        <v>21</v>
      </c>
      <c r="U478" s="36" t="n">
        <v>18.34</v>
      </c>
      <c r="V478" s="36" t="n">
        <v>18.14</v>
      </c>
      <c r="W478" s="36" t="n">
        <v>17.15</v>
      </c>
      <c r="X478" s="36" t="n">
        <v>11.42</v>
      </c>
      <c r="Y478" s="28" t="n">
        <v>20.49</v>
      </c>
      <c r="Z478" s="36" t="n">
        <v>19.58</v>
      </c>
      <c r="AA478" s="36" t="n">
        <v>19.3</v>
      </c>
      <c r="AB478" s="36" t="n">
        <v>18.34</v>
      </c>
      <c r="AC478" s="36" t="n">
        <v>18.14</v>
      </c>
      <c r="AD478" s="36" t="n">
        <v>16.12</v>
      </c>
      <c r="AE478" s="36" t="n">
        <v>11.42</v>
      </c>
      <c r="AF478" s="28" t="n">
        <v>20.49</v>
      </c>
      <c r="AG478" s="36" t="n">
        <v>19.58</v>
      </c>
      <c r="AH478" s="37" t="n">
        <v>19.3</v>
      </c>
      <c r="AI478" s="37" t="n">
        <v>18.34</v>
      </c>
      <c r="AJ478" s="37" t="n">
        <v>18.14</v>
      </c>
      <c r="AK478" s="37" t="n">
        <v>17.15</v>
      </c>
      <c r="AL478" s="37" t="n">
        <v>11.42</v>
      </c>
      <c r="AM478" s="37" t="n">
        <v>20.49</v>
      </c>
      <c r="AN478" s="37" t="n">
        <v>19.58</v>
      </c>
      <c r="AO478" s="37" t="n">
        <v>19.3</v>
      </c>
      <c r="AP478" s="37" t="n">
        <v>18.34</v>
      </c>
      <c r="AQ478" s="37" t="n">
        <v>18.14</v>
      </c>
      <c r="AR478" s="37" t="n">
        <v>17.15</v>
      </c>
      <c r="AS478" s="37" t="n">
        <v>11.42</v>
      </c>
      <c r="AT478" s="37" t="n">
        <v>20.49</v>
      </c>
      <c r="AU478" s="37" t="n">
        <v>19.58</v>
      </c>
      <c r="AV478" s="37" t="n">
        <v>19.3</v>
      </c>
      <c r="AW478" s="37" t="n">
        <v>18.34</v>
      </c>
      <c r="AX478" s="37" t="n">
        <v>18.14</v>
      </c>
      <c r="AY478" s="37" t="n">
        <v>17.15</v>
      </c>
      <c r="AZ478" s="37" t="n">
        <v>11.42</v>
      </c>
      <c r="BA478" s="37" t="n">
        <v>20.57</v>
      </c>
      <c r="BB478" s="37" t="n">
        <v>10.82</v>
      </c>
      <c r="BC478" s="37" t="n">
        <v>5.49</v>
      </c>
      <c r="BD478" s="37" t="n">
        <v>4.97</v>
      </c>
      <c r="BE478" s="37" t="n">
        <v>9.470000000000001</v>
      </c>
      <c r="BF478" s="37" t="n">
        <v>8.789999999999999</v>
      </c>
      <c r="BG478" s="37" t="n">
        <v>6.84</v>
      </c>
      <c r="BH478" s="37" t="n">
        <v>11.9</v>
      </c>
      <c r="BI478" s="37" t="n">
        <v>11.82</v>
      </c>
      <c r="BJ478" s="37" t="n">
        <v>10.23</v>
      </c>
      <c r="BK478" s="37" t="n">
        <v>10.86</v>
      </c>
      <c r="BL478" s="37" t="n">
        <v>10.9</v>
      </c>
      <c r="BM478" s="37" t="n">
        <v>10.15</v>
      </c>
      <c r="BN478" s="37" t="n">
        <v>6.84</v>
      </c>
      <c r="BO478" s="37" t="n">
        <v>11.9</v>
      </c>
      <c r="BP478" s="37" t="n">
        <v>11.82</v>
      </c>
      <c r="BQ478" s="37" t="n">
        <v>11.26</v>
      </c>
      <c r="BR478" s="37" t="n">
        <v>10.86</v>
      </c>
      <c r="BS478" s="37" t="n">
        <v>10.9</v>
      </c>
      <c r="BT478" s="37" t="n">
        <v>10.15</v>
      </c>
      <c r="BU478" s="37" t="n">
        <v>6.84</v>
      </c>
      <c r="BV478" s="37" t="n">
        <v>11.9</v>
      </c>
      <c r="BW478" s="37" t="n">
        <v>11.82</v>
      </c>
      <c r="BX478" s="37" t="n">
        <v>11.26</v>
      </c>
      <c r="BY478" s="37" t="n">
        <v>10.86</v>
      </c>
      <c r="BZ478" s="37" t="n">
        <v>10.9</v>
      </c>
      <c r="CA478" s="37" t="n">
        <v>10.15</v>
      </c>
      <c r="CB478" s="37" t="n">
        <v>6.84</v>
      </c>
      <c r="CC478" s="37" t="n">
        <v>1115.81</v>
      </c>
    </row>
    <row r="479" ht="15.75" customHeight="1" s="57">
      <c r="A479" s="7" t="inlineStr">
        <is>
          <t>NTB</t>
        </is>
      </c>
      <c r="B479" s="7" t="inlineStr">
        <is>
          <t>Lâm Đồng</t>
        </is>
      </c>
      <c r="C479" s="7" t="n">
        <v>22425000</v>
      </c>
      <c r="D479" s="7" t="inlineStr">
        <is>
          <t>(LDO) Tân Hà Lâm Hà</t>
        </is>
      </c>
      <c r="E479" s="7" t="inlineStr">
        <is>
          <t>Shopee</t>
        </is>
      </c>
      <c r="F479" s="36" t="n">
        <v>42</v>
      </c>
      <c r="G479" s="36" t="n">
        <v>32</v>
      </c>
      <c r="H479" s="36" t="n">
        <v>55</v>
      </c>
      <c r="I479" s="36" t="n">
        <v>51</v>
      </c>
      <c r="J479" s="36" t="n">
        <v>32</v>
      </c>
      <c r="K479" s="28" t="n">
        <v>31</v>
      </c>
      <c r="L479" s="36" t="n">
        <v>30</v>
      </c>
      <c r="M479" s="36" t="n">
        <v>45</v>
      </c>
      <c r="N479" s="36" t="n">
        <v>39</v>
      </c>
      <c r="O479" s="36" t="n">
        <v>31</v>
      </c>
      <c r="P479" s="36" t="n">
        <v>41</v>
      </c>
      <c r="Q479" s="36" t="n">
        <v>17</v>
      </c>
      <c r="R479" s="28" t="n">
        <v>20</v>
      </c>
      <c r="S479" s="36" t="n">
        <v>40</v>
      </c>
      <c r="T479" s="36" t="n">
        <v>81</v>
      </c>
      <c r="U479" s="36" t="n">
        <v>58.70999999999999</v>
      </c>
      <c r="V479" s="36" t="n">
        <v>58.91999999999999</v>
      </c>
      <c r="W479" s="36" t="n">
        <v>58.08</v>
      </c>
      <c r="X479" s="36" t="n">
        <v>47.22</v>
      </c>
      <c r="Y479" s="28" t="n">
        <v>79.11</v>
      </c>
      <c r="Z479" s="36" t="n">
        <v>62.62</v>
      </c>
      <c r="AA479" s="36" t="n">
        <v>86.12</v>
      </c>
      <c r="AB479" s="36" t="n">
        <v>59.92</v>
      </c>
      <c r="AC479" s="36" t="n">
        <v>48.35</v>
      </c>
      <c r="AD479" s="36" t="n">
        <v>126.06</v>
      </c>
      <c r="AE479" s="36" t="n">
        <v>50.58</v>
      </c>
      <c r="AF479" s="28" t="n">
        <v>90.16999999999999</v>
      </c>
      <c r="AG479" s="36" t="n">
        <v>65.75</v>
      </c>
      <c r="AH479" s="37" t="n">
        <v>69.42</v>
      </c>
      <c r="AI479" s="37" t="n">
        <v>58.70999999999999</v>
      </c>
      <c r="AJ479" s="37" t="n">
        <v>58.91999999999999</v>
      </c>
      <c r="AK479" s="37" t="n">
        <v>78.36</v>
      </c>
      <c r="AL479" s="37" t="n">
        <v>84.81999999999999</v>
      </c>
      <c r="AM479" s="37" t="n">
        <v>79.11</v>
      </c>
      <c r="AN479" s="37" t="n">
        <v>62.62</v>
      </c>
      <c r="AO479" s="37" t="n">
        <v>69.42</v>
      </c>
      <c r="AP479" s="37" t="n">
        <v>73.28999999999999</v>
      </c>
      <c r="AQ479" s="37" t="n">
        <v>47.24</v>
      </c>
      <c r="AR479" s="37" t="n">
        <v>58.08</v>
      </c>
      <c r="AS479" s="37" t="n">
        <v>47.22</v>
      </c>
      <c r="AT479" s="37" t="n">
        <v>79.11</v>
      </c>
      <c r="AU479" s="37" t="n">
        <v>63.92</v>
      </c>
      <c r="AV479" s="37" t="n">
        <v>70.81999999999999</v>
      </c>
      <c r="AW479" s="37" t="n">
        <v>58.70999999999999</v>
      </c>
      <c r="AX479" s="37" t="n">
        <v>58.91999999999999</v>
      </c>
      <c r="AY479" s="37" t="n">
        <v>58.08</v>
      </c>
      <c r="AZ479" s="37" t="n">
        <v>47.22</v>
      </c>
      <c r="BA479" s="37" t="n">
        <v>60.93</v>
      </c>
      <c r="BB479" s="37" t="n">
        <v>53.06</v>
      </c>
      <c r="BC479" s="37" t="n">
        <v>27.14</v>
      </c>
      <c r="BD479" s="37" t="n">
        <v>48.09</v>
      </c>
      <c r="BE479" s="37" t="n">
        <v>56.12</v>
      </c>
      <c r="BF479" s="37" t="n">
        <v>55.32</v>
      </c>
      <c r="BG479" s="37" t="n">
        <v>45.89</v>
      </c>
      <c r="BH479" s="37" t="n">
        <v>75.34999999999999</v>
      </c>
      <c r="BI479" s="37" t="n">
        <v>49</v>
      </c>
      <c r="BJ479" s="37" t="n">
        <v>178.9</v>
      </c>
      <c r="BK479" s="37" t="n">
        <v>59.87</v>
      </c>
      <c r="BL479" s="37" t="n">
        <v>58.94</v>
      </c>
      <c r="BM479" s="37" t="n">
        <v>55.32</v>
      </c>
      <c r="BN479" s="37" t="n">
        <v>44.98</v>
      </c>
      <c r="BO479" s="37" t="n">
        <v>75.34999999999999</v>
      </c>
      <c r="BP479" s="37" t="n">
        <v>80.5</v>
      </c>
      <c r="BQ479" s="37" t="n">
        <v>118.81</v>
      </c>
      <c r="BR479" s="37" t="n">
        <v>55.94</v>
      </c>
      <c r="BS479" s="37" t="n">
        <v>56.12</v>
      </c>
      <c r="BT479" s="37" t="n">
        <v>55.32</v>
      </c>
      <c r="BU479" s="37" t="n">
        <v>56.2</v>
      </c>
      <c r="BV479" s="37" t="n">
        <v>60.37</v>
      </c>
      <c r="BW479" s="37" t="n">
        <v>59.64</v>
      </c>
      <c r="BX479" s="37" t="n">
        <v>66.12</v>
      </c>
      <c r="BY479" s="37" t="n">
        <v>55.94</v>
      </c>
      <c r="BZ479" s="37" t="n">
        <v>57.3</v>
      </c>
      <c r="CA479" s="37" t="n">
        <v>56.38</v>
      </c>
      <c r="CB479" s="37" t="n">
        <v>44.98</v>
      </c>
      <c r="CC479" s="37" t="n">
        <v>4470.48</v>
      </c>
    </row>
    <row r="480" ht="15.75" customHeight="1" s="57">
      <c r="A480" s="7" t="inlineStr">
        <is>
          <t>NTB</t>
        </is>
      </c>
      <c r="B480" s="7" t="inlineStr">
        <is>
          <t>Lâm Đồng</t>
        </is>
      </c>
      <c r="C480" s="7" t="n">
        <v>22425000</v>
      </c>
      <c r="D480" s="7" t="inlineStr">
        <is>
          <t>(LDO) Tân Hà Lâm Hà</t>
        </is>
      </c>
      <c r="E480" s="7" t="inlineStr">
        <is>
          <t>Shopee-Bulky</t>
        </is>
      </c>
      <c r="F480" s="36" t="n">
        <v>15.22</v>
      </c>
      <c r="G480" s="36" t="n">
        <v>5.71</v>
      </c>
      <c r="H480" s="36" t="n">
        <v>17.76</v>
      </c>
      <c r="I480" s="36" t="n">
        <v>26.64</v>
      </c>
      <c r="J480" s="36" t="n">
        <v>6.34</v>
      </c>
      <c r="K480" s="28" t="n">
        <v>17.12</v>
      </c>
      <c r="L480" s="36" t="n">
        <v>10.15</v>
      </c>
      <c r="M480" s="36" t="n">
        <v>29.17</v>
      </c>
      <c r="N480" s="36" t="n">
        <v>13.95</v>
      </c>
      <c r="O480" s="36" t="n">
        <v>11.42</v>
      </c>
      <c r="P480" s="36" t="n">
        <v>9.51</v>
      </c>
      <c r="Q480" s="36" t="n">
        <v>17.76</v>
      </c>
      <c r="R480" s="28" t="n">
        <v>17.76</v>
      </c>
      <c r="S480" s="36" t="n">
        <v>19.66</v>
      </c>
      <c r="T480" s="36" t="n">
        <v>18.39</v>
      </c>
      <c r="U480" s="36" t="n">
        <v>14.92</v>
      </c>
      <c r="V480" s="36" t="n">
        <v>14.38</v>
      </c>
      <c r="W480" s="36" t="n">
        <v>19.77</v>
      </c>
      <c r="X480" s="36" t="n">
        <v>11.19</v>
      </c>
      <c r="Y480" s="28" t="n">
        <v>21.9</v>
      </c>
      <c r="Z480" s="36" t="n">
        <v>17.32</v>
      </c>
      <c r="AA480" s="36" t="n">
        <v>16.82</v>
      </c>
      <c r="AB480" s="36" t="n">
        <v>17.03</v>
      </c>
      <c r="AC480" s="36" t="n">
        <v>17.87</v>
      </c>
      <c r="AD480" s="36" t="n">
        <v>48.2</v>
      </c>
      <c r="AE480" s="36" t="n">
        <v>28.75</v>
      </c>
      <c r="AF480" s="28" t="n">
        <v>42.86000000000001</v>
      </c>
      <c r="AG480" s="36" t="n">
        <v>24.34</v>
      </c>
      <c r="AH480" s="37" t="n">
        <v>17.12</v>
      </c>
      <c r="AI480" s="37" t="n">
        <v>16.46</v>
      </c>
      <c r="AJ480" s="37" t="n">
        <v>16.33</v>
      </c>
      <c r="AK480" s="37" t="n">
        <v>36.98</v>
      </c>
      <c r="AL480" s="37" t="n">
        <v>18.82</v>
      </c>
      <c r="AM480" s="37" t="n">
        <v>26.87</v>
      </c>
      <c r="AN480" s="37" t="n">
        <v>17.01</v>
      </c>
      <c r="AO480" s="37" t="n">
        <v>16.66</v>
      </c>
      <c r="AP480" s="37" t="n">
        <v>22.5</v>
      </c>
      <c r="AQ480" s="37" t="n">
        <v>22.37</v>
      </c>
      <c r="AR480" s="37" t="n">
        <v>17.78</v>
      </c>
      <c r="AS480" s="37" t="n">
        <v>9.84</v>
      </c>
      <c r="AT480" s="37" t="n">
        <v>20.12</v>
      </c>
      <c r="AU480" s="37" t="n">
        <v>33.08000000000001</v>
      </c>
      <c r="AV480" s="37" t="n">
        <v>34.34</v>
      </c>
      <c r="AW480" s="37" t="n">
        <v>16.71</v>
      </c>
      <c r="AX480" s="37" t="n">
        <v>15.68</v>
      </c>
      <c r="AY480" s="37" t="n">
        <v>17.03</v>
      </c>
      <c r="AZ480" s="37" t="n">
        <v>9.460000000000001</v>
      </c>
      <c r="BA480" s="37" t="n">
        <v>18.39</v>
      </c>
      <c r="BB480" s="37" t="n">
        <v>17.09</v>
      </c>
      <c r="BC480" s="37" t="n">
        <v>5.75</v>
      </c>
      <c r="BD480" s="37" t="n">
        <v>14.63</v>
      </c>
      <c r="BE480" s="37" t="n">
        <v>17.98</v>
      </c>
      <c r="BF480" s="37" t="n">
        <v>15.46</v>
      </c>
      <c r="BG480" s="37" t="n">
        <v>12.84</v>
      </c>
      <c r="BH480" s="37" t="n">
        <v>23.54</v>
      </c>
      <c r="BI480" s="37" t="n">
        <v>20.09</v>
      </c>
      <c r="BJ480" s="37" t="n">
        <v>76.68000000000001</v>
      </c>
      <c r="BK480" s="37" t="n">
        <v>42.5</v>
      </c>
      <c r="BL480" s="37" t="n">
        <v>21.9</v>
      </c>
      <c r="BM480" s="37" t="n">
        <v>16.33</v>
      </c>
      <c r="BN480" s="37" t="n">
        <v>12.4</v>
      </c>
      <c r="BO480" s="37" t="n">
        <v>27.36</v>
      </c>
      <c r="BP480" s="37" t="n">
        <v>39.95</v>
      </c>
      <c r="BQ480" s="37" t="n">
        <v>28.9</v>
      </c>
      <c r="BR480" s="37" t="n">
        <v>19.02</v>
      </c>
      <c r="BS480" s="37" t="n">
        <v>17.98</v>
      </c>
      <c r="BT480" s="37" t="n">
        <v>15.46</v>
      </c>
      <c r="BU480" s="37" t="n">
        <v>18.23</v>
      </c>
      <c r="BV480" s="37" t="n">
        <v>24.92</v>
      </c>
      <c r="BW480" s="37" t="n">
        <v>20.09</v>
      </c>
      <c r="BX480" s="37" t="n">
        <v>19.39</v>
      </c>
      <c r="BY480" s="37" t="n">
        <v>19.02</v>
      </c>
      <c r="BZ480" s="37" t="n">
        <v>32.59</v>
      </c>
      <c r="CA480" s="37" t="n">
        <v>18.79</v>
      </c>
      <c r="CB480" s="37" t="n">
        <v>12.24</v>
      </c>
      <c r="CC480" s="37" t="n">
        <v>1546.59</v>
      </c>
    </row>
    <row r="481" ht="15.75" customHeight="1" s="57">
      <c r="A481" s="7" t="inlineStr">
        <is>
          <t>NTB</t>
        </is>
      </c>
      <c r="B481" s="7" t="inlineStr">
        <is>
          <t>Lâm Đồng</t>
        </is>
      </c>
      <c r="C481" s="7" t="n">
        <v>22425000</v>
      </c>
      <c r="D481" s="7" t="inlineStr">
        <is>
          <t>(LDO) Tân Hà Lâm Hà</t>
        </is>
      </c>
      <c r="E481" s="7" t="inlineStr">
        <is>
          <t>Shopee-Bulky (10-15kg)</t>
        </is>
      </c>
      <c r="F481" s="36" t="n">
        <v>8.779999999999999</v>
      </c>
      <c r="G481" s="36" t="n">
        <v>3.29</v>
      </c>
      <c r="H481" s="36" t="n">
        <v>10.24</v>
      </c>
      <c r="I481" s="36" t="n">
        <v>15.36</v>
      </c>
      <c r="J481" s="36" t="n">
        <v>3.66</v>
      </c>
      <c r="K481" s="28" t="n">
        <v>9.880000000000001</v>
      </c>
      <c r="L481" s="36" t="n">
        <v>5.85</v>
      </c>
      <c r="M481" s="36" t="n">
        <v>16.83</v>
      </c>
      <c r="N481" s="36" t="n">
        <v>8.050000000000001</v>
      </c>
      <c r="O481" s="36" t="n">
        <v>6.58</v>
      </c>
      <c r="P481" s="36" t="n">
        <v>5.49</v>
      </c>
      <c r="Q481" s="36" t="n">
        <v>10.24</v>
      </c>
      <c r="R481" s="28" t="n">
        <v>10.24</v>
      </c>
      <c r="S481" s="36" t="n">
        <v>11.34</v>
      </c>
      <c r="T481" s="36" t="n">
        <v>10.61</v>
      </c>
      <c r="U481" s="36" t="n">
        <v>8.960000000000001</v>
      </c>
      <c r="V481" s="36" t="n">
        <v>8.59</v>
      </c>
      <c r="W481" s="36" t="n">
        <v>11.31</v>
      </c>
      <c r="X481" s="36" t="n">
        <v>6.390000000000001</v>
      </c>
      <c r="Y481" s="28" t="n">
        <v>12.7</v>
      </c>
      <c r="Z481" s="36" t="n">
        <v>9.9</v>
      </c>
      <c r="AA481" s="36" t="n">
        <v>9.300000000000001</v>
      </c>
      <c r="AB481" s="36" t="n">
        <v>9.74</v>
      </c>
      <c r="AC481" s="36" t="n">
        <v>10.08</v>
      </c>
      <c r="AD481" s="36" t="n">
        <v>38.57</v>
      </c>
      <c r="AE481" s="36" t="n">
        <v>16.1</v>
      </c>
      <c r="AF481" s="28" t="n">
        <v>23.49</v>
      </c>
      <c r="AG481" s="36" t="n">
        <v>14.02</v>
      </c>
      <c r="AH481" s="37" t="n">
        <v>9.760000000000002</v>
      </c>
      <c r="AI481" s="37" t="n">
        <v>9.5</v>
      </c>
      <c r="AJ481" s="37" t="n">
        <v>9.210000000000001</v>
      </c>
      <c r="AK481" s="37" t="n">
        <v>21.68</v>
      </c>
      <c r="AL481" s="37" t="n">
        <v>10.53</v>
      </c>
      <c r="AM481" s="37" t="n">
        <v>15.58</v>
      </c>
      <c r="AN481" s="37" t="n">
        <v>9.790000000000001</v>
      </c>
      <c r="AO481" s="37" t="n">
        <v>9.390000000000001</v>
      </c>
      <c r="AP481" s="37" t="n">
        <v>12.36</v>
      </c>
      <c r="AQ481" s="37" t="n">
        <v>12.61</v>
      </c>
      <c r="AR481" s="37" t="n">
        <v>10.22</v>
      </c>
      <c r="AS481" s="37" t="n">
        <v>5.61</v>
      </c>
      <c r="AT481" s="37" t="n">
        <v>11.62</v>
      </c>
      <c r="AU481" s="37" t="n">
        <v>19.66</v>
      </c>
      <c r="AV481" s="37" t="n">
        <v>19.71</v>
      </c>
      <c r="AW481" s="37" t="n">
        <v>9.48</v>
      </c>
      <c r="AX481" s="37" t="n">
        <v>8.790000000000001</v>
      </c>
      <c r="AY481" s="37" t="n">
        <v>9.790000000000001</v>
      </c>
      <c r="AZ481" s="37" t="n">
        <v>5.390000000000001</v>
      </c>
      <c r="BA481" s="37" t="n">
        <v>10.62</v>
      </c>
      <c r="BB481" s="37" t="n">
        <v>9.850000000000001</v>
      </c>
      <c r="BC481" s="37" t="n">
        <v>3.44</v>
      </c>
      <c r="BD481" s="37" t="n">
        <v>8.280000000000001</v>
      </c>
      <c r="BE481" s="37" t="n">
        <v>10.31</v>
      </c>
      <c r="BF481" s="37" t="n">
        <v>8.99</v>
      </c>
      <c r="BG481" s="37" t="n">
        <v>7.38</v>
      </c>
      <c r="BH481" s="37" t="n">
        <v>13.76</v>
      </c>
      <c r="BI481" s="37" t="n">
        <v>11.62</v>
      </c>
      <c r="BJ481" s="37" t="n">
        <v>53.13</v>
      </c>
      <c r="BK481" s="37" t="n">
        <v>24.63</v>
      </c>
      <c r="BL481" s="37" t="n">
        <v>12.65</v>
      </c>
      <c r="BM481" s="37" t="n">
        <v>9.34</v>
      </c>
      <c r="BN481" s="37" t="n">
        <v>7.22</v>
      </c>
      <c r="BO481" s="37" t="n">
        <v>15.67</v>
      </c>
      <c r="BP481" s="37" t="n">
        <v>23.22</v>
      </c>
      <c r="BQ481" s="37" t="n">
        <v>16.79</v>
      </c>
      <c r="BR481" s="37" t="n">
        <v>10.91</v>
      </c>
      <c r="BS481" s="37" t="n">
        <v>10.31</v>
      </c>
      <c r="BT481" s="37" t="n">
        <v>8.99</v>
      </c>
      <c r="BU481" s="37" t="n">
        <v>10.42</v>
      </c>
      <c r="BV481" s="37" t="n">
        <v>14.31</v>
      </c>
      <c r="BW481" s="37" t="n">
        <v>11.62</v>
      </c>
      <c r="BX481" s="37" t="n">
        <v>11.09</v>
      </c>
      <c r="BY481" s="37" t="n">
        <v>10.91</v>
      </c>
      <c r="BZ481" s="37" t="n">
        <v>18.86</v>
      </c>
      <c r="CA481" s="37" t="n">
        <v>10.75</v>
      </c>
      <c r="CB481" s="37" t="n">
        <v>6.95</v>
      </c>
      <c r="CC481" s="37" t="n">
        <v>908.2899999999998</v>
      </c>
    </row>
    <row r="482" ht="15.75" customHeight="1" s="57">
      <c r="A482" s="7" t="inlineStr">
        <is>
          <t>NTB</t>
        </is>
      </c>
      <c r="B482" s="7" t="inlineStr">
        <is>
          <t>Lâm Đồng</t>
        </is>
      </c>
      <c r="C482" s="7" t="n">
        <v>22425000</v>
      </c>
      <c r="D482" s="7" t="inlineStr">
        <is>
          <t>(LDO) Tân Hà Lâm Hà</t>
        </is>
      </c>
      <c r="E482" s="7" t="inlineStr">
        <is>
          <t>TTS</t>
        </is>
      </c>
      <c r="F482" s="36" t="n">
        <v>140</v>
      </c>
      <c r="G482" s="36" t="n">
        <v>174</v>
      </c>
      <c r="H482" s="36" t="n">
        <v>187</v>
      </c>
      <c r="I482" s="36" t="n">
        <v>114</v>
      </c>
      <c r="J482" s="36" t="n">
        <v>97</v>
      </c>
      <c r="K482" s="28" t="n">
        <v>140</v>
      </c>
      <c r="L482" s="36" t="n">
        <v>124</v>
      </c>
      <c r="M482" s="36" t="n">
        <v>143</v>
      </c>
      <c r="N482" s="36" t="n">
        <v>137</v>
      </c>
      <c r="O482" s="36" t="n">
        <v>109</v>
      </c>
      <c r="P482" s="36" t="n">
        <v>120</v>
      </c>
      <c r="Q482" s="36" t="n">
        <v>135</v>
      </c>
      <c r="R482" s="28" t="n">
        <v>127</v>
      </c>
      <c r="S482" s="36" t="n">
        <v>117</v>
      </c>
      <c r="T482" s="36" t="n">
        <v>128</v>
      </c>
      <c r="U482" s="36" t="n">
        <v>92.14999999999999</v>
      </c>
      <c r="V482" s="36" t="n">
        <v>90.58</v>
      </c>
      <c r="W482" s="36" t="n">
        <v>88.52000000000001</v>
      </c>
      <c r="X482" s="36" t="n">
        <v>71.48</v>
      </c>
      <c r="Y482" s="28" t="n">
        <v>103.79</v>
      </c>
      <c r="Z482" s="36" t="n">
        <v>88.33</v>
      </c>
      <c r="AA482" s="36" t="n">
        <v>98.00999999999999</v>
      </c>
      <c r="AB482" s="36" t="n">
        <v>108.93</v>
      </c>
      <c r="AC482" s="36" t="n">
        <v>114.71</v>
      </c>
      <c r="AD482" s="36" t="n">
        <v>117.55</v>
      </c>
      <c r="AE482" s="36" t="n">
        <v>83.03</v>
      </c>
      <c r="AF482" s="28" t="n">
        <v>107.31</v>
      </c>
      <c r="AG482" s="36" t="n">
        <v>90.06</v>
      </c>
      <c r="AH482" s="37" t="n">
        <v>89.07000000000001</v>
      </c>
      <c r="AI482" s="37" t="n">
        <v>101.9</v>
      </c>
      <c r="AJ482" s="37" t="n">
        <v>109.56</v>
      </c>
      <c r="AK482" s="37" t="n">
        <v>108.02</v>
      </c>
      <c r="AL482" s="37" t="n">
        <v>77.02</v>
      </c>
      <c r="AM482" s="37" t="n">
        <v>105.73</v>
      </c>
      <c r="AN482" s="37" t="n">
        <v>91.23</v>
      </c>
      <c r="AO482" s="37" t="n">
        <v>90.75</v>
      </c>
      <c r="AP482" s="37" t="n">
        <v>87.97</v>
      </c>
      <c r="AQ482" s="37" t="n">
        <v>88.73999999999999</v>
      </c>
      <c r="AR482" s="37" t="n">
        <v>87.27000000000001</v>
      </c>
      <c r="AS482" s="37" t="n">
        <v>71.84</v>
      </c>
      <c r="AT482" s="37" t="n">
        <v>114.3</v>
      </c>
      <c r="AU482" s="37" t="n">
        <v>103.42</v>
      </c>
      <c r="AV482" s="37" t="n">
        <v>92</v>
      </c>
      <c r="AW482" s="37" t="n">
        <v>86.89999999999999</v>
      </c>
      <c r="AX482" s="37" t="n">
        <v>86.23999999999999</v>
      </c>
      <c r="AY482" s="37" t="n">
        <v>86.13000000000001</v>
      </c>
      <c r="AZ482" s="37" t="n">
        <v>71.84</v>
      </c>
      <c r="BA482" s="37" t="n">
        <v>102.98</v>
      </c>
      <c r="BB482" s="37" t="n">
        <v>96.28</v>
      </c>
      <c r="BC482" s="37" t="n">
        <v>57.32</v>
      </c>
      <c r="BD482" s="37" t="n">
        <v>83.02</v>
      </c>
      <c r="BE482" s="37" t="n">
        <v>97.70999999999999</v>
      </c>
      <c r="BF482" s="37" t="n">
        <v>95.03</v>
      </c>
      <c r="BG482" s="37" t="n">
        <v>77.17</v>
      </c>
      <c r="BH482" s="37" t="n">
        <v>114.08</v>
      </c>
      <c r="BI482" s="37" t="n">
        <v>96.28</v>
      </c>
      <c r="BJ482" s="37" t="n">
        <v>89.3</v>
      </c>
      <c r="BK482" s="37" t="n">
        <v>97.59999999999999</v>
      </c>
      <c r="BL482" s="37" t="n">
        <v>97.70999999999999</v>
      </c>
      <c r="BM482" s="37" t="n">
        <v>95.03</v>
      </c>
      <c r="BN482" s="37" t="n">
        <v>77.17</v>
      </c>
      <c r="BO482" s="37" t="n">
        <v>114.08</v>
      </c>
      <c r="BP482" s="37" t="n">
        <v>96.28</v>
      </c>
      <c r="BQ482" s="37" t="n">
        <v>95.22</v>
      </c>
      <c r="BR482" s="37" t="n">
        <v>97.59999999999999</v>
      </c>
      <c r="BS482" s="37" t="n">
        <v>97.70999999999999</v>
      </c>
      <c r="BT482" s="37" t="n">
        <v>95.03</v>
      </c>
      <c r="BU482" s="37" t="n">
        <v>77.17</v>
      </c>
      <c r="BV482" s="37" t="n">
        <v>114.08</v>
      </c>
      <c r="BW482" s="37" t="n">
        <v>96.28</v>
      </c>
      <c r="BX482" s="37" t="n">
        <v>95.22</v>
      </c>
      <c r="BY482" s="37" t="n">
        <v>97.59999999999999</v>
      </c>
      <c r="BZ482" s="37" t="n">
        <v>97.70999999999999</v>
      </c>
      <c r="CA482" s="37" t="n">
        <v>95.03</v>
      </c>
      <c r="CB482" s="37" t="n">
        <v>77.17</v>
      </c>
      <c r="CC482" s="37" t="n">
        <v>7619.24</v>
      </c>
    </row>
    <row r="483" ht="15.75" customHeight="1" s="57">
      <c r="A483" s="7" t="inlineStr">
        <is>
          <t>NTB</t>
        </is>
      </c>
      <c r="B483" s="7" t="inlineStr">
        <is>
          <t>Lâm Đồng</t>
        </is>
      </c>
      <c r="C483" s="7" t="n">
        <v>22425000</v>
      </c>
      <c r="D483" s="7" t="inlineStr">
        <is>
          <t>(LDO) Tân Hà Lâm Hà</t>
        </is>
      </c>
      <c r="E483" s="7" t="inlineStr">
        <is>
          <t>TTS-Bulky</t>
        </is>
      </c>
      <c r="F483" s="36" t="n">
        <v>1</v>
      </c>
      <c r="G483" s="36" t="n">
        <v>2</v>
      </c>
      <c r="H483" s="36" t="n">
        <v>1</v>
      </c>
      <c r="I483" s="36" t="n">
        <v>5</v>
      </c>
      <c r="J483" s="36" t="n">
        <v>0</v>
      </c>
      <c r="K483" s="28" t="n">
        <v>2</v>
      </c>
      <c r="L483" s="36" t="n">
        <v>1</v>
      </c>
      <c r="M483" s="36" t="n">
        <v>4</v>
      </c>
      <c r="N483" s="36" t="n">
        <v>4</v>
      </c>
      <c r="O483" s="36" t="n">
        <v>3</v>
      </c>
      <c r="P483" s="36" t="n">
        <v>1</v>
      </c>
      <c r="Q483" s="36" t="n">
        <v>0</v>
      </c>
      <c r="R483" s="28" t="n">
        <v>0</v>
      </c>
      <c r="S483" s="36" t="n">
        <v>1</v>
      </c>
      <c r="T483" s="36" t="n">
        <v>0</v>
      </c>
      <c r="U483" s="36" t="n">
        <v>5.4</v>
      </c>
      <c r="V483" s="36" t="n">
        <v>5.47</v>
      </c>
      <c r="W483" s="36" t="n">
        <v>2.58</v>
      </c>
      <c r="X483" s="36" t="n">
        <v>1.86</v>
      </c>
      <c r="Y483" s="28" t="n">
        <v>3.37</v>
      </c>
      <c r="Z483" s="36" t="n">
        <v>2.68</v>
      </c>
      <c r="AA483" s="36" t="n">
        <v>2.85</v>
      </c>
      <c r="AB483" s="36" t="n">
        <v>2.96</v>
      </c>
      <c r="AC483" s="36" t="n">
        <v>3.13</v>
      </c>
      <c r="AD483" s="36" t="n">
        <v>4.68</v>
      </c>
      <c r="AE483" s="36" t="n">
        <v>2.1</v>
      </c>
      <c r="AF483" s="28" t="n">
        <v>3.34</v>
      </c>
      <c r="AG483" s="36" t="n">
        <v>2.54</v>
      </c>
      <c r="AH483" s="37" t="n">
        <v>2.54</v>
      </c>
      <c r="AI483" s="37" t="n">
        <v>2.58</v>
      </c>
      <c r="AJ483" s="37" t="n">
        <v>2.92</v>
      </c>
      <c r="AK483" s="37" t="n">
        <v>2.79</v>
      </c>
      <c r="AL483" s="37" t="n">
        <v>1.99</v>
      </c>
      <c r="AM483" s="37" t="n">
        <v>3.34</v>
      </c>
      <c r="AN483" s="37" t="n">
        <v>2.58</v>
      </c>
      <c r="AO483" s="37" t="n">
        <v>2.54</v>
      </c>
      <c r="AP483" s="37" t="n">
        <v>2.54</v>
      </c>
      <c r="AQ483" s="37" t="n">
        <v>2.79</v>
      </c>
      <c r="AR483" s="37" t="n">
        <v>2.58</v>
      </c>
      <c r="AS483" s="37" t="n">
        <v>1.93</v>
      </c>
      <c r="AT483" s="37" t="n">
        <v>3.47</v>
      </c>
      <c r="AU483" s="37" t="n">
        <v>2.96</v>
      </c>
      <c r="AV483" s="37" t="n">
        <v>2.61</v>
      </c>
      <c r="AW483" s="37" t="n">
        <v>2.51</v>
      </c>
      <c r="AX483" s="37" t="n">
        <v>2.79</v>
      </c>
      <c r="AY483" s="37" t="n">
        <v>2.54</v>
      </c>
      <c r="AZ483" s="37" t="n">
        <v>1.93</v>
      </c>
      <c r="BA483" s="37" t="n">
        <v>2.92</v>
      </c>
      <c r="BB483" s="37" t="n">
        <v>0.6899999999999999</v>
      </c>
      <c r="BC483" s="37" t="n">
        <v>0.45</v>
      </c>
      <c r="BD483" s="37" t="n">
        <v>0.55</v>
      </c>
      <c r="BE483" s="37" t="n">
        <v>0.72</v>
      </c>
      <c r="BF483" s="37" t="n">
        <v>0.72</v>
      </c>
      <c r="BG483" s="37" t="n">
        <v>0.48</v>
      </c>
      <c r="BH483" s="37" t="n">
        <v>0.93</v>
      </c>
      <c r="BI483" s="37" t="n">
        <v>0.72</v>
      </c>
      <c r="BJ483" s="37" t="n">
        <v>1.17</v>
      </c>
      <c r="BK483" s="37" t="n">
        <v>0.76</v>
      </c>
      <c r="BL483" s="37" t="n">
        <v>0.72</v>
      </c>
      <c r="BM483" s="37" t="n">
        <v>0.72</v>
      </c>
      <c r="BN483" s="37" t="n">
        <v>0.55</v>
      </c>
      <c r="BO483" s="37" t="n">
        <v>1.07</v>
      </c>
      <c r="BP483" s="37" t="n">
        <v>0.83</v>
      </c>
      <c r="BQ483" s="37" t="n">
        <v>0.76</v>
      </c>
      <c r="BR483" s="37" t="n">
        <v>0.76</v>
      </c>
      <c r="BS483" s="37" t="n">
        <v>0.72</v>
      </c>
      <c r="BT483" s="37" t="n">
        <v>0.72</v>
      </c>
      <c r="BU483" s="37" t="n">
        <v>0.48</v>
      </c>
      <c r="BV483" s="37" t="n">
        <v>0.79</v>
      </c>
      <c r="BW483" s="37" t="n">
        <v>0.72</v>
      </c>
      <c r="BX483" s="37" t="n">
        <v>0.76</v>
      </c>
      <c r="BY483" s="37" t="n">
        <v>0.76</v>
      </c>
      <c r="BZ483" s="37" t="n">
        <v>0.72</v>
      </c>
      <c r="CA483" s="37" t="n">
        <v>0.72</v>
      </c>
      <c r="CB483" s="37" t="n">
        <v>0.48</v>
      </c>
      <c r="CC483" s="37" t="n">
        <v>140.28</v>
      </c>
    </row>
    <row r="484" ht="15.75" customHeight="1" s="57">
      <c r="A484" s="7" t="inlineStr">
        <is>
          <t>NTB</t>
        </is>
      </c>
      <c r="B484" s="7" t="inlineStr">
        <is>
          <t>Lâm Đồng</t>
        </is>
      </c>
      <c r="C484" s="7" t="n">
        <v>22759000</v>
      </c>
      <c r="D484" s="7" t="inlineStr">
        <is>
          <t>(LDO) Hòa Ninh</t>
        </is>
      </c>
      <c r="E484" s="7" t="inlineStr">
        <is>
          <t>SME</t>
        </is>
      </c>
      <c r="F484" s="36" t="n">
        <v>190</v>
      </c>
      <c r="G484" s="36" t="n">
        <v>180</v>
      </c>
      <c r="H484" s="36" t="n">
        <v>198</v>
      </c>
      <c r="I484" s="36" t="n">
        <v>300</v>
      </c>
      <c r="J484" s="36" t="n">
        <v>218</v>
      </c>
      <c r="K484" s="28" t="n">
        <v>187</v>
      </c>
      <c r="L484" s="36" t="n">
        <v>141</v>
      </c>
      <c r="M484" s="36" t="n">
        <v>107</v>
      </c>
      <c r="N484" s="36" t="n">
        <v>105</v>
      </c>
      <c r="O484" s="36" t="n">
        <v>134</v>
      </c>
      <c r="P484" s="36" t="n">
        <v>156</v>
      </c>
      <c r="Q484" s="36" t="n">
        <v>120</v>
      </c>
      <c r="R484" s="28" t="n">
        <v>193</v>
      </c>
      <c r="S484" s="36" t="n">
        <v>170</v>
      </c>
      <c r="T484" s="36" t="n">
        <v>117</v>
      </c>
      <c r="U484" s="36" t="n">
        <v>179.61</v>
      </c>
      <c r="V484" s="36" t="n">
        <v>186.07</v>
      </c>
      <c r="W484" s="36" t="n">
        <v>180.91</v>
      </c>
      <c r="X484" s="36" t="n">
        <v>147.97</v>
      </c>
      <c r="Y484" s="28" t="n">
        <v>200.46</v>
      </c>
      <c r="Z484" s="36" t="n">
        <v>184.7</v>
      </c>
      <c r="AA484" s="36" t="n">
        <v>180.14</v>
      </c>
      <c r="AB484" s="36" t="n">
        <v>179.61</v>
      </c>
      <c r="AC484" s="36" t="n">
        <v>186.07</v>
      </c>
      <c r="AD484" s="36" t="n">
        <v>187.01</v>
      </c>
      <c r="AE484" s="36" t="n">
        <v>147.97</v>
      </c>
      <c r="AF484" s="28" t="n">
        <v>200.46</v>
      </c>
      <c r="AG484" s="36" t="n">
        <v>184.7</v>
      </c>
      <c r="AH484" s="37" t="n">
        <v>180.14</v>
      </c>
      <c r="AI484" s="37" t="n">
        <v>179.61</v>
      </c>
      <c r="AJ484" s="37" t="n">
        <v>186.07</v>
      </c>
      <c r="AK484" s="37" t="n">
        <v>180.91</v>
      </c>
      <c r="AL484" s="37" t="n">
        <v>147.97</v>
      </c>
      <c r="AM484" s="37" t="n">
        <v>200.46</v>
      </c>
      <c r="AN484" s="37" t="n">
        <v>184.7</v>
      </c>
      <c r="AO484" s="37" t="n">
        <v>180.14</v>
      </c>
      <c r="AP484" s="37" t="n">
        <v>179.61</v>
      </c>
      <c r="AQ484" s="37" t="n">
        <v>186.07</v>
      </c>
      <c r="AR484" s="37" t="n">
        <v>180.91</v>
      </c>
      <c r="AS484" s="37" t="n">
        <v>147.97</v>
      </c>
      <c r="AT484" s="37" t="n">
        <v>200.46</v>
      </c>
      <c r="AU484" s="37" t="n">
        <v>184.7</v>
      </c>
      <c r="AV484" s="37" t="n">
        <v>180.14</v>
      </c>
      <c r="AW484" s="37" t="n">
        <v>179.61</v>
      </c>
      <c r="AX484" s="37" t="n">
        <v>186.07</v>
      </c>
      <c r="AY484" s="37" t="n">
        <v>180.91</v>
      </c>
      <c r="AZ484" s="37" t="n">
        <v>147.97</v>
      </c>
      <c r="BA484" s="37" t="n">
        <v>180.35</v>
      </c>
      <c r="BB484" s="37" t="n">
        <v>161.99</v>
      </c>
      <c r="BC484" s="37" t="n">
        <v>102.36</v>
      </c>
      <c r="BD484" s="37" t="n">
        <v>102.04</v>
      </c>
      <c r="BE484" s="37" t="n">
        <v>172.46</v>
      </c>
      <c r="BF484" s="37" t="n">
        <v>168.06</v>
      </c>
      <c r="BG484" s="37" t="n">
        <v>152.69</v>
      </c>
      <c r="BH484" s="37" t="n">
        <v>206.8</v>
      </c>
      <c r="BI484" s="37" t="n">
        <v>190.45</v>
      </c>
      <c r="BJ484" s="37" t="n">
        <v>192.1</v>
      </c>
      <c r="BK484" s="37" t="n">
        <v>185.18</v>
      </c>
      <c r="BL484" s="37" t="n">
        <v>191.88</v>
      </c>
      <c r="BM484" s="37" t="n">
        <v>186.48</v>
      </c>
      <c r="BN484" s="37" t="n">
        <v>152.69</v>
      </c>
      <c r="BO484" s="37" t="n">
        <v>206.8</v>
      </c>
      <c r="BP484" s="37" t="n">
        <v>190.45</v>
      </c>
      <c r="BQ484" s="37" t="n">
        <v>185.68</v>
      </c>
      <c r="BR484" s="37" t="n">
        <v>185.18</v>
      </c>
      <c r="BS484" s="37" t="n">
        <v>191.88</v>
      </c>
      <c r="BT484" s="37" t="n">
        <v>186.48</v>
      </c>
      <c r="BU484" s="37" t="n">
        <v>152.69</v>
      </c>
      <c r="BV484" s="37" t="n">
        <v>206.8</v>
      </c>
      <c r="BW484" s="37" t="n">
        <v>190.45</v>
      </c>
      <c r="BX484" s="37" t="n">
        <v>185.68</v>
      </c>
      <c r="BY484" s="37" t="n">
        <v>185.18</v>
      </c>
      <c r="BZ484" s="37" t="n">
        <v>191.88</v>
      </c>
      <c r="CA484" s="37" t="n">
        <v>186.48</v>
      </c>
      <c r="CB484" s="37" t="n">
        <v>152.69</v>
      </c>
      <c r="CC484" s="37" t="n">
        <v>13199.95</v>
      </c>
    </row>
    <row r="485" ht="15.75" customHeight="1" s="57">
      <c r="A485" s="7" t="inlineStr">
        <is>
          <t>NTB</t>
        </is>
      </c>
      <c r="B485" s="7" t="inlineStr">
        <is>
          <t>Lâm Đồng</t>
        </is>
      </c>
      <c r="C485" s="7" t="n">
        <v>22759000</v>
      </c>
      <c r="D485" s="7" t="inlineStr">
        <is>
          <t>(LDO) Hòa Ninh</t>
        </is>
      </c>
      <c r="E485" s="7" t="inlineStr">
        <is>
          <t>SME-Bulky</t>
        </is>
      </c>
      <c r="F485" s="36" t="n">
        <v>11</v>
      </c>
      <c r="G485" s="36" t="n">
        <v>10</v>
      </c>
      <c r="H485" s="36" t="n">
        <v>8</v>
      </c>
      <c r="I485" s="36" t="n">
        <v>10</v>
      </c>
      <c r="J485" s="36" t="n">
        <v>9</v>
      </c>
      <c r="K485" s="28" t="n">
        <v>10</v>
      </c>
      <c r="L485" s="36" t="n">
        <v>6</v>
      </c>
      <c r="M485" s="36" t="n">
        <v>7</v>
      </c>
      <c r="N485" s="36" t="n">
        <v>3</v>
      </c>
      <c r="O485" s="36" t="n">
        <v>8</v>
      </c>
      <c r="P485" s="36" t="n">
        <v>5</v>
      </c>
      <c r="Q485" s="36" t="n">
        <v>8</v>
      </c>
      <c r="R485" s="28" t="n">
        <v>16</v>
      </c>
      <c r="S485" s="36" t="n">
        <v>9</v>
      </c>
      <c r="T485" s="36" t="n">
        <v>7</v>
      </c>
      <c r="U485" s="36" t="n">
        <v>7.96</v>
      </c>
      <c r="V485" s="36" t="n">
        <v>7.88</v>
      </c>
      <c r="W485" s="36" t="n">
        <v>7.44</v>
      </c>
      <c r="X485" s="36" t="n">
        <v>4.96</v>
      </c>
      <c r="Y485" s="28" t="n">
        <v>8.9</v>
      </c>
      <c r="Z485" s="36" t="n">
        <v>8.5</v>
      </c>
      <c r="AA485" s="36" t="n">
        <v>8.380000000000001</v>
      </c>
      <c r="AB485" s="36" t="n">
        <v>7.96</v>
      </c>
      <c r="AC485" s="36" t="n">
        <v>7.88</v>
      </c>
      <c r="AD485" s="36" t="n">
        <v>7</v>
      </c>
      <c r="AE485" s="36" t="n">
        <v>4.96</v>
      </c>
      <c r="AF485" s="28" t="n">
        <v>8.9</v>
      </c>
      <c r="AG485" s="36" t="n">
        <v>8.5</v>
      </c>
      <c r="AH485" s="37" t="n">
        <v>8.380000000000001</v>
      </c>
      <c r="AI485" s="37" t="n">
        <v>7.96</v>
      </c>
      <c r="AJ485" s="37" t="n">
        <v>7.88</v>
      </c>
      <c r="AK485" s="37" t="n">
        <v>7.44</v>
      </c>
      <c r="AL485" s="37" t="n">
        <v>4.96</v>
      </c>
      <c r="AM485" s="37" t="n">
        <v>8.9</v>
      </c>
      <c r="AN485" s="37" t="n">
        <v>8.5</v>
      </c>
      <c r="AO485" s="37" t="n">
        <v>8.380000000000001</v>
      </c>
      <c r="AP485" s="37" t="n">
        <v>7.96</v>
      </c>
      <c r="AQ485" s="37" t="n">
        <v>7.88</v>
      </c>
      <c r="AR485" s="37" t="n">
        <v>7.44</v>
      </c>
      <c r="AS485" s="37" t="n">
        <v>4.96</v>
      </c>
      <c r="AT485" s="37" t="n">
        <v>8.9</v>
      </c>
      <c r="AU485" s="37" t="n">
        <v>8.5</v>
      </c>
      <c r="AV485" s="37" t="n">
        <v>8.380000000000001</v>
      </c>
      <c r="AW485" s="37" t="n">
        <v>7.96</v>
      </c>
      <c r="AX485" s="37" t="n">
        <v>7.88</v>
      </c>
      <c r="AY485" s="37" t="n">
        <v>7.44</v>
      </c>
      <c r="AZ485" s="37" t="n">
        <v>4.96</v>
      </c>
      <c r="BA485" s="37" t="n">
        <v>8.93</v>
      </c>
      <c r="BB485" s="37" t="n">
        <v>4.7</v>
      </c>
      <c r="BC485" s="37" t="n">
        <v>2.38</v>
      </c>
      <c r="BD485" s="37" t="n">
        <v>2.16</v>
      </c>
      <c r="BE485" s="37" t="n">
        <v>4.11</v>
      </c>
      <c r="BF485" s="37" t="n">
        <v>3.82</v>
      </c>
      <c r="BG485" s="37" t="n">
        <v>2.97</v>
      </c>
      <c r="BH485" s="37" t="n">
        <v>5.16</v>
      </c>
      <c r="BI485" s="37" t="n">
        <v>5.13</v>
      </c>
      <c r="BJ485" s="37" t="n">
        <v>4.44</v>
      </c>
      <c r="BK485" s="37" t="n">
        <v>4.72</v>
      </c>
      <c r="BL485" s="37" t="n">
        <v>4.73</v>
      </c>
      <c r="BM485" s="37" t="n">
        <v>4.4</v>
      </c>
      <c r="BN485" s="37" t="n">
        <v>2.97</v>
      </c>
      <c r="BO485" s="37" t="n">
        <v>5.16</v>
      </c>
      <c r="BP485" s="37" t="n">
        <v>5.13</v>
      </c>
      <c r="BQ485" s="37" t="n">
        <v>4.89</v>
      </c>
      <c r="BR485" s="37" t="n">
        <v>4.72</v>
      </c>
      <c r="BS485" s="37" t="n">
        <v>4.73</v>
      </c>
      <c r="BT485" s="37" t="n">
        <v>4.4</v>
      </c>
      <c r="BU485" s="37" t="n">
        <v>2.97</v>
      </c>
      <c r="BV485" s="37" t="n">
        <v>5.16</v>
      </c>
      <c r="BW485" s="37" t="n">
        <v>5.13</v>
      </c>
      <c r="BX485" s="37" t="n">
        <v>4.89</v>
      </c>
      <c r="BY485" s="37" t="n">
        <v>4.72</v>
      </c>
      <c r="BZ485" s="37" t="n">
        <v>4.73</v>
      </c>
      <c r="CA485" s="37" t="n">
        <v>4.4</v>
      </c>
      <c r="CB485" s="37" t="n">
        <v>2.97</v>
      </c>
      <c r="CC485" s="37" t="n">
        <v>495.5000000000001</v>
      </c>
    </row>
    <row r="486" ht="15.75" customHeight="1" s="57">
      <c r="A486" s="7" t="inlineStr">
        <is>
          <t>NTB</t>
        </is>
      </c>
      <c r="B486" s="7" t="inlineStr">
        <is>
          <t>Lâm Đồng</t>
        </is>
      </c>
      <c r="C486" s="7" t="n">
        <v>22759000</v>
      </c>
      <c r="D486" s="7" t="inlineStr">
        <is>
          <t>(LDO) Hòa Ninh</t>
        </is>
      </c>
      <c r="E486" s="7" t="inlineStr">
        <is>
          <t>Shopee</t>
        </is>
      </c>
      <c r="F486" s="36" t="n">
        <v>39</v>
      </c>
      <c r="G486" s="36" t="n">
        <v>21</v>
      </c>
      <c r="H486" s="36" t="n">
        <v>43</v>
      </c>
      <c r="I486" s="36" t="n">
        <v>55</v>
      </c>
      <c r="J486" s="36" t="n">
        <v>33</v>
      </c>
      <c r="K486" s="28" t="n">
        <v>28</v>
      </c>
      <c r="L486" s="36" t="n">
        <v>16</v>
      </c>
      <c r="M486" s="36" t="n">
        <v>20</v>
      </c>
      <c r="N486" s="36" t="n">
        <v>35</v>
      </c>
      <c r="O486" s="36" t="n">
        <v>33</v>
      </c>
      <c r="P486" s="36" t="n">
        <v>24</v>
      </c>
      <c r="Q486" s="36" t="n">
        <v>22</v>
      </c>
      <c r="R486" s="28" t="n">
        <v>19</v>
      </c>
      <c r="S486" s="36" t="n">
        <v>58</v>
      </c>
      <c r="T486" s="36" t="n">
        <v>68</v>
      </c>
      <c r="U486" s="36" t="n">
        <v>56.64</v>
      </c>
      <c r="V486" s="36" t="n">
        <v>56.84</v>
      </c>
      <c r="W486" s="36" t="n">
        <v>56.03</v>
      </c>
      <c r="X486" s="36" t="n">
        <v>45.56</v>
      </c>
      <c r="Y486" s="28" t="n">
        <v>76.31999999999999</v>
      </c>
      <c r="Z486" s="36" t="n">
        <v>60.42</v>
      </c>
      <c r="AA486" s="36" t="n">
        <v>83.09</v>
      </c>
      <c r="AB486" s="36" t="n">
        <v>57.81</v>
      </c>
      <c r="AC486" s="36" t="n">
        <v>46.65</v>
      </c>
      <c r="AD486" s="36" t="n">
        <v>121.58</v>
      </c>
      <c r="AE486" s="36" t="n">
        <v>48.79</v>
      </c>
      <c r="AF486" s="28" t="n">
        <v>86.98999999999999</v>
      </c>
      <c r="AG486" s="36" t="n">
        <v>63.43</v>
      </c>
      <c r="AH486" s="37" t="n">
        <v>66.97</v>
      </c>
      <c r="AI486" s="37" t="n">
        <v>56.64</v>
      </c>
      <c r="AJ486" s="37" t="n">
        <v>56.84</v>
      </c>
      <c r="AK486" s="37" t="n">
        <v>75.59999999999999</v>
      </c>
      <c r="AL486" s="37" t="n">
        <v>81.81999999999999</v>
      </c>
      <c r="AM486" s="37" t="n">
        <v>76.31999999999999</v>
      </c>
      <c r="AN486" s="37" t="n">
        <v>60.42</v>
      </c>
      <c r="AO486" s="37" t="n">
        <v>66.97</v>
      </c>
      <c r="AP486" s="37" t="n">
        <v>70.7</v>
      </c>
      <c r="AQ486" s="37" t="n">
        <v>45.57</v>
      </c>
      <c r="AR486" s="37" t="n">
        <v>56.03</v>
      </c>
      <c r="AS486" s="37" t="n">
        <v>45.56</v>
      </c>
      <c r="AT486" s="37" t="n">
        <v>76.31999999999999</v>
      </c>
      <c r="AU486" s="37" t="n">
        <v>61.67</v>
      </c>
      <c r="AV486" s="37" t="n">
        <v>68.33</v>
      </c>
      <c r="AW486" s="37" t="n">
        <v>56.64</v>
      </c>
      <c r="AX486" s="37" t="n">
        <v>56.84</v>
      </c>
      <c r="AY486" s="37" t="n">
        <v>56.03</v>
      </c>
      <c r="AZ486" s="37" t="n">
        <v>45.56</v>
      </c>
      <c r="BA486" s="37" t="n">
        <v>58.78</v>
      </c>
      <c r="BB486" s="37" t="n">
        <v>51.19</v>
      </c>
      <c r="BC486" s="37" t="n">
        <v>26.18</v>
      </c>
      <c r="BD486" s="37" t="n">
        <v>46.39</v>
      </c>
      <c r="BE486" s="37" t="n">
        <v>54.14</v>
      </c>
      <c r="BF486" s="37" t="n">
        <v>53.36</v>
      </c>
      <c r="BG486" s="37" t="n">
        <v>44.27</v>
      </c>
      <c r="BH486" s="37" t="n">
        <v>72.69</v>
      </c>
      <c r="BI486" s="37" t="n">
        <v>47.27</v>
      </c>
      <c r="BJ486" s="37" t="n">
        <v>172.55</v>
      </c>
      <c r="BK486" s="37" t="n">
        <v>57.75</v>
      </c>
      <c r="BL486" s="37" t="n">
        <v>56.87</v>
      </c>
      <c r="BM486" s="37" t="n">
        <v>53.36</v>
      </c>
      <c r="BN486" s="37" t="n">
        <v>43.4</v>
      </c>
      <c r="BO486" s="37" t="n">
        <v>72.69</v>
      </c>
      <c r="BP486" s="37" t="n">
        <v>77.65000000000001</v>
      </c>
      <c r="BQ486" s="37" t="n">
        <v>114.62</v>
      </c>
      <c r="BR486" s="37" t="n">
        <v>53.96</v>
      </c>
      <c r="BS486" s="37" t="n">
        <v>54.14</v>
      </c>
      <c r="BT486" s="37" t="n">
        <v>53.36</v>
      </c>
      <c r="BU486" s="37" t="n">
        <v>54.22</v>
      </c>
      <c r="BV486" s="37" t="n">
        <v>58.24</v>
      </c>
      <c r="BW486" s="37" t="n">
        <v>57.53</v>
      </c>
      <c r="BX486" s="37" t="n">
        <v>63.79</v>
      </c>
      <c r="BY486" s="37" t="n">
        <v>53.96</v>
      </c>
      <c r="BZ486" s="37" t="n">
        <v>55.28</v>
      </c>
      <c r="CA486" s="37" t="n">
        <v>54.39</v>
      </c>
      <c r="CB486" s="37" t="n">
        <v>43.4</v>
      </c>
      <c r="CC486" s="37" t="n">
        <v>4260.41</v>
      </c>
    </row>
    <row r="487" ht="15.75" customHeight="1" s="57">
      <c r="A487" s="7" t="inlineStr">
        <is>
          <t>NTB</t>
        </is>
      </c>
      <c r="B487" s="7" t="inlineStr">
        <is>
          <t>Lâm Đồng</t>
        </is>
      </c>
      <c r="C487" s="7" t="n">
        <v>22759000</v>
      </c>
      <c r="D487" s="7" t="inlineStr">
        <is>
          <t>(LDO) Hòa Ninh</t>
        </is>
      </c>
      <c r="E487" s="7" t="inlineStr">
        <is>
          <t>Shopee-Bulky</t>
        </is>
      </c>
      <c r="F487" s="36" t="n">
        <v>6.97</v>
      </c>
      <c r="G487" s="36" t="n">
        <v>8.880000000000001</v>
      </c>
      <c r="H487" s="36" t="n">
        <v>10.14</v>
      </c>
      <c r="I487" s="36" t="n">
        <v>18.39</v>
      </c>
      <c r="J487" s="36" t="n">
        <v>17.12</v>
      </c>
      <c r="K487" s="28" t="n">
        <v>8.880000000000001</v>
      </c>
      <c r="L487" s="36" t="n">
        <v>9.51</v>
      </c>
      <c r="M487" s="36" t="n">
        <v>8.24</v>
      </c>
      <c r="N487" s="36" t="n">
        <v>3.8</v>
      </c>
      <c r="O487" s="36" t="n">
        <v>8.24</v>
      </c>
      <c r="P487" s="36" t="n">
        <v>10.14</v>
      </c>
      <c r="Q487" s="36" t="n">
        <v>11.41</v>
      </c>
      <c r="R487" s="28" t="n">
        <v>12.05</v>
      </c>
      <c r="S487" s="36" t="n">
        <v>10.14</v>
      </c>
      <c r="T487" s="36" t="n">
        <v>12.68</v>
      </c>
      <c r="U487" s="36" t="n">
        <v>9.529999999999999</v>
      </c>
      <c r="V487" s="36" t="n">
        <v>9.19</v>
      </c>
      <c r="W487" s="36" t="n">
        <v>12.63</v>
      </c>
      <c r="X487" s="36" t="n">
        <v>7.15</v>
      </c>
      <c r="Y487" s="28" t="n">
        <v>13.99</v>
      </c>
      <c r="Z487" s="36" t="n">
        <v>11.06</v>
      </c>
      <c r="AA487" s="36" t="n">
        <v>10.75</v>
      </c>
      <c r="AB487" s="36" t="n">
        <v>10.88</v>
      </c>
      <c r="AC487" s="36" t="n">
        <v>11.42</v>
      </c>
      <c r="AD487" s="36" t="n">
        <v>30.77</v>
      </c>
      <c r="AE487" s="36" t="n">
        <v>18.36</v>
      </c>
      <c r="AF487" s="28" t="n">
        <v>27.38</v>
      </c>
      <c r="AG487" s="36" t="n">
        <v>15.55</v>
      </c>
      <c r="AH487" s="37" t="n">
        <v>10.93</v>
      </c>
      <c r="AI487" s="37" t="n">
        <v>10.52</v>
      </c>
      <c r="AJ487" s="37" t="n">
        <v>10.43</v>
      </c>
      <c r="AK487" s="37" t="n">
        <v>23.62</v>
      </c>
      <c r="AL487" s="37" t="n">
        <v>12.02</v>
      </c>
      <c r="AM487" s="37" t="n">
        <v>17.16</v>
      </c>
      <c r="AN487" s="37" t="n">
        <v>10.86</v>
      </c>
      <c r="AO487" s="37" t="n">
        <v>10.65</v>
      </c>
      <c r="AP487" s="37" t="n">
        <v>14.38</v>
      </c>
      <c r="AQ487" s="37" t="n">
        <v>14.29</v>
      </c>
      <c r="AR487" s="37" t="n">
        <v>11.36</v>
      </c>
      <c r="AS487" s="37" t="n">
        <v>6.29</v>
      </c>
      <c r="AT487" s="37" t="n">
        <v>12.85</v>
      </c>
      <c r="AU487" s="37" t="n">
        <v>21.14</v>
      </c>
      <c r="AV487" s="37" t="n">
        <v>21.94</v>
      </c>
      <c r="AW487" s="37" t="n">
        <v>10.68</v>
      </c>
      <c r="AX487" s="37" t="n">
        <v>10.02</v>
      </c>
      <c r="AY487" s="37" t="n">
        <v>10.88</v>
      </c>
      <c r="AZ487" s="37" t="n">
        <v>6.05</v>
      </c>
      <c r="BA487" s="37" t="n">
        <v>11.75</v>
      </c>
      <c r="BB487" s="37" t="n">
        <v>10.92</v>
      </c>
      <c r="BC487" s="37" t="n">
        <v>3.67</v>
      </c>
      <c r="BD487" s="37" t="n">
        <v>9.35</v>
      </c>
      <c r="BE487" s="37" t="n">
        <v>11.49</v>
      </c>
      <c r="BF487" s="37" t="n">
        <v>9.880000000000001</v>
      </c>
      <c r="BG487" s="37" t="n">
        <v>8.199999999999999</v>
      </c>
      <c r="BH487" s="37" t="n">
        <v>15.03</v>
      </c>
      <c r="BI487" s="37" t="n">
        <v>12.83</v>
      </c>
      <c r="BJ487" s="37" t="n">
        <v>48.95</v>
      </c>
      <c r="BK487" s="37" t="n">
        <v>27.15</v>
      </c>
      <c r="BL487" s="37" t="n">
        <v>13.99</v>
      </c>
      <c r="BM487" s="37" t="n">
        <v>10.43</v>
      </c>
      <c r="BN487" s="37" t="n">
        <v>7.92</v>
      </c>
      <c r="BO487" s="37" t="n">
        <v>17.48</v>
      </c>
      <c r="BP487" s="37" t="n">
        <v>25.52</v>
      </c>
      <c r="BQ487" s="37" t="n">
        <v>18.46</v>
      </c>
      <c r="BR487" s="37" t="n">
        <v>12.15</v>
      </c>
      <c r="BS487" s="37" t="n">
        <v>11.49</v>
      </c>
      <c r="BT487" s="37" t="n">
        <v>9.880000000000001</v>
      </c>
      <c r="BU487" s="37" t="n">
        <v>11.65</v>
      </c>
      <c r="BV487" s="37" t="n">
        <v>15.92</v>
      </c>
      <c r="BW487" s="37" t="n">
        <v>12.83</v>
      </c>
      <c r="BX487" s="37" t="n">
        <v>12.39</v>
      </c>
      <c r="BY487" s="37" t="n">
        <v>12.15</v>
      </c>
      <c r="BZ487" s="37" t="n">
        <v>20.82</v>
      </c>
      <c r="CA487" s="37" t="n">
        <v>12</v>
      </c>
      <c r="CB487" s="37" t="n">
        <v>7.82</v>
      </c>
      <c r="CC487" s="37" t="n">
        <v>993.4400000000001</v>
      </c>
    </row>
    <row r="488" ht="15.75" customHeight="1" s="57">
      <c r="A488" s="7" t="inlineStr">
        <is>
          <t>NTB</t>
        </is>
      </c>
      <c r="B488" s="7" t="inlineStr">
        <is>
          <t>Lâm Đồng</t>
        </is>
      </c>
      <c r="C488" s="7" t="n">
        <v>22759000</v>
      </c>
      <c r="D488" s="7" t="inlineStr">
        <is>
          <t>(LDO) Hòa Ninh</t>
        </is>
      </c>
      <c r="E488" s="7" t="inlineStr">
        <is>
          <t>Shopee-Bulky (10-15kg)</t>
        </is>
      </c>
      <c r="F488" s="36" t="n">
        <v>4.03</v>
      </c>
      <c r="G488" s="36" t="n">
        <v>5.12</v>
      </c>
      <c r="H488" s="36" t="n">
        <v>5.86</v>
      </c>
      <c r="I488" s="36" t="n">
        <v>10.61</v>
      </c>
      <c r="J488" s="36" t="n">
        <v>9.880000000000001</v>
      </c>
      <c r="K488" s="28" t="n">
        <v>5.12</v>
      </c>
      <c r="L488" s="36" t="n">
        <v>5.49</v>
      </c>
      <c r="M488" s="36" t="n">
        <v>4.76</v>
      </c>
      <c r="N488" s="36" t="n">
        <v>2.2</v>
      </c>
      <c r="O488" s="36" t="n">
        <v>4.76</v>
      </c>
      <c r="P488" s="36" t="n">
        <v>5.86</v>
      </c>
      <c r="Q488" s="36" t="n">
        <v>6.59</v>
      </c>
      <c r="R488" s="28" t="n">
        <v>6.95</v>
      </c>
      <c r="S488" s="36" t="n">
        <v>5.86</v>
      </c>
      <c r="T488" s="36" t="n">
        <v>7.32</v>
      </c>
      <c r="U488" s="36" t="n">
        <v>5.73</v>
      </c>
      <c r="V488" s="36" t="n">
        <v>5.49</v>
      </c>
      <c r="W488" s="36" t="n">
        <v>7.23</v>
      </c>
      <c r="X488" s="36" t="n">
        <v>4.09</v>
      </c>
      <c r="Y488" s="28" t="n">
        <v>8.119999999999999</v>
      </c>
      <c r="Z488" s="36" t="n">
        <v>6.33</v>
      </c>
      <c r="AA488" s="36" t="n">
        <v>5.95</v>
      </c>
      <c r="AB488" s="36" t="n">
        <v>6.23</v>
      </c>
      <c r="AC488" s="36" t="n">
        <v>6.45</v>
      </c>
      <c r="AD488" s="36" t="n">
        <v>24.65</v>
      </c>
      <c r="AE488" s="36" t="n">
        <v>10.29</v>
      </c>
      <c r="AF488" s="28" t="n">
        <v>15.02</v>
      </c>
      <c r="AG488" s="36" t="n">
        <v>8.960000000000001</v>
      </c>
      <c r="AH488" s="37" t="n">
        <v>6.25</v>
      </c>
      <c r="AI488" s="37" t="n">
        <v>6.07</v>
      </c>
      <c r="AJ488" s="37" t="n">
        <v>5.89</v>
      </c>
      <c r="AK488" s="37" t="n">
        <v>13.86</v>
      </c>
      <c r="AL488" s="37" t="n">
        <v>6.73</v>
      </c>
      <c r="AM488" s="37" t="n">
        <v>9.960000000000001</v>
      </c>
      <c r="AN488" s="37" t="n">
        <v>6.26</v>
      </c>
      <c r="AO488" s="37" t="n">
        <v>6</v>
      </c>
      <c r="AP488" s="37" t="n">
        <v>7.9</v>
      </c>
      <c r="AQ488" s="37" t="n">
        <v>8.06</v>
      </c>
      <c r="AR488" s="37" t="n">
        <v>6.53</v>
      </c>
      <c r="AS488" s="37" t="n">
        <v>3.59</v>
      </c>
      <c r="AT488" s="37" t="n">
        <v>7.43</v>
      </c>
      <c r="AU488" s="37" t="n">
        <v>12.58</v>
      </c>
      <c r="AV488" s="37" t="n">
        <v>12.61</v>
      </c>
      <c r="AW488" s="37" t="n">
        <v>6.06</v>
      </c>
      <c r="AX488" s="37" t="n">
        <v>5.62</v>
      </c>
      <c r="AY488" s="37" t="n">
        <v>6.26</v>
      </c>
      <c r="AZ488" s="37" t="n">
        <v>3.44</v>
      </c>
      <c r="BA488" s="37" t="n">
        <v>6.79</v>
      </c>
      <c r="BB488" s="37" t="n">
        <v>6.3</v>
      </c>
      <c r="BC488" s="37" t="n">
        <v>2.2</v>
      </c>
      <c r="BD488" s="37" t="n">
        <v>5.29</v>
      </c>
      <c r="BE488" s="37" t="n">
        <v>6.59</v>
      </c>
      <c r="BF488" s="37" t="n">
        <v>5.75</v>
      </c>
      <c r="BG488" s="37" t="n">
        <v>4.72</v>
      </c>
      <c r="BH488" s="37" t="n">
        <v>8.800000000000001</v>
      </c>
      <c r="BI488" s="37" t="n">
        <v>7.43</v>
      </c>
      <c r="BJ488" s="37" t="n">
        <v>33.96</v>
      </c>
      <c r="BK488" s="37" t="n">
        <v>15.75</v>
      </c>
      <c r="BL488" s="37" t="n">
        <v>8.09</v>
      </c>
      <c r="BM488" s="37" t="n">
        <v>5.97</v>
      </c>
      <c r="BN488" s="37" t="n">
        <v>4.62</v>
      </c>
      <c r="BO488" s="37" t="n">
        <v>10.02</v>
      </c>
      <c r="BP488" s="37" t="n">
        <v>14.85</v>
      </c>
      <c r="BQ488" s="37" t="n">
        <v>10.73</v>
      </c>
      <c r="BR488" s="37" t="n">
        <v>6.97</v>
      </c>
      <c r="BS488" s="37" t="n">
        <v>6.59</v>
      </c>
      <c r="BT488" s="37" t="n">
        <v>5.75</v>
      </c>
      <c r="BU488" s="37" t="n">
        <v>6.66</v>
      </c>
      <c r="BV488" s="37" t="n">
        <v>9.15</v>
      </c>
      <c r="BW488" s="37" t="n">
        <v>7.43</v>
      </c>
      <c r="BX488" s="37" t="n">
        <v>7.09</v>
      </c>
      <c r="BY488" s="37" t="n">
        <v>6.97</v>
      </c>
      <c r="BZ488" s="37" t="n">
        <v>12.06</v>
      </c>
      <c r="CA488" s="37" t="n">
        <v>6.87</v>
      </c>
      <c r="CB488" s="37" t="n">
        <v>4.44</v>
      </c>
      <c r="CC488" s="37" t="n">
        <v>583.89</v>
      </c>
    </row>
    <row r="489" ht="15.75" customHeight="1" s="57">
      <c r="A489" s="7" t="inlineStr">
        <is>
          <t>NTB</t>
        </is>
      </c>
      <c r="B489" s="7" t="inlineStr">
        <is>
          <t>Lâm Đồng</t>
        </is>
      </c>
      <c r="C489" s="7" t="n">
        <v>22759000</v>
      </c>
      <c r="D489" s="7" t="inlineStr">
        <is>
          <t>(LDO) Hòa Ninh</t>
        </is>
      </c>
      <c r="E489" s="7" t="inlineStr">
        <is>
          <t>TTS</t>
        </is>
      </c>
      <c r="F489" s="36" t="n">
        <v>152</v>
      </c>
      <c r="G489" s="36" t="n">
        <v>116</v>
      </c>
      <c r="H489" s="36" t="n">
        <v>158</v>
      </c>
      <c r="I489" s="36" t="n">
        <v>185</v>
      </c>
      <c r="J489" s="36" t="n">
        <v>131</v>
      </c>
      <c r="K489" s="28" t="n">
        <v>108</v>
      </c>
      <c r="L489" s="36" t="n">
        <v>130</v>
      </c>
      <c r="M489" s="36" t="n">
        <v>82</v>
      </c>
      <c r="N489" s="36" t="n">
        <v>75</v>
      </c>
      <c r="O489" s="36" t="n">
        <v>106</v>
      </c>
      <c r="P489" s="36" t="n">
        <v>115</v>
      </c>
      <c r="Q489" s="36" t="n">
        <v>109</v>
      </c>
      <c r="R489" s="28" t="n">
        <v>141</v>
      </c>
      <c r="S489" s="36" t="n">
        <v>136</v>
      </c>
      <c r="T489" s="36" t="n">
        <v>114</v>
      </c>
      <c r="U489" s="36" t="n">
        <v>84.05</v>
      </c>
      <c r="V489" s="36" t="n">
        <v>82.61</v>
      </c>
      <c r="W489" s="36" t="n">
        <v>80.73999999999999</v>
      </c>
      <c r="X489" s="36" t="n">
        <v>65.2</v>
      </c>
      <c r="Y489" s="28" t="n">
        <v>94.66000000000001</v>
      </c>
      <c r="Z489" s="36" t="n">
        <v>80.56999999999999</v>
      </c>
      <c r="AA489" s="36" t="n">
        <v>89.38</v>
      </c>
      <c r="AB489" s="36" t="n">
        <v>99.36</v>
      </c>
      <c r="AC489" s="36" t="n">
        <v>104.62</v>
      </c>
      <c r="AD489" s="36" t="n">
        <v>107.23</v>
      </c>
      <c r="AE489" s="36" t="n">
        <v>75.73999999999999</v>
      </c>
      <c r="AF489" s="28" t="n">
        <v>97.88000000000001</v>
      </c>
      <c r="AG489" s="36" t="n">
        <v>82.14</v>
      </c>
      <c r="AH489" s="37" t="n">
        <v>81.23999999999999</v>
      </c>
      <c r="AI489" s="37" t="n">
        <v>92.95</v>
      </c>
      <c r="AJ489" s="37" t="n">
        <v>99.93000000000001</v>
      </c>
      <c r="AK489" s="37" t="n">
        <v>98.51000000000001</v>
      </c>
      <c r="AL489" s="37" t="n">
        <v>70.27</v>
      </c>
      <c r="AM489" s="37" t="n">
        <v>96.44000000000001</v>
      </c>
      <c r="AN489" s="37" t="n">
        <v>83.20999999999999</v>
      </c>
      <c r="AO489" s="37" t="n">
        <v>82.78</v>
      </c>
      <c r="AP489" s="37" t="n">
        <v>80.22999999999999</v>
      </c>
      <c r="AQ489" s="37" t="n">
        <v>80.92999999999999</v>
      </c>
      <c r="AR489" s="37" t="n">
        <v>79.59999999999999</v>
      </c>
      <c r="AS489" s="37" t="n">
        <v>65.53</v>
      </c>
      <c r="AT489" s="37" t="n">
        <v>104.26</v>
      </c>
      <c r="AU489" s="37" t="n">
        <v>94.32000000000001</v>
      </c>
      <c r="AV489" s="37" t="n">
        <v>83.92</v>
      </c>
      <c r="AW489" s="37" t="n">
        <v>79.25999999999999</v>
      </c>
      <c r="AX489" s="37" t="n">
        <v>78.64999999999999</v>
      </c>
      <c r="AY489" s="37" t="n">
        <v>78.56</v>
      </c>
      <c r="AZ489" s="37" t="n">
        <v>65.53</v>
      </c>
      <c r="BA489" s="37" t="n">
        <v>93.92</v>
      </c>
      <c r="BB489" s="37" t="n">
        <v>87.81</v>
      </c>
      <c r="BC489" s="37" t="n">
        <v>52.28</v>
      </c>
      <c r="BD489" s="37" t="n">
        <v>75.73</v>
      </c>
      <c r="BE489" s="37" t="n">
        <v>89.12</v>
      </c>
      <c r="BF489" s="37" t="n">
        <v>86.67</v>
      </c>
      <c r="BG489" s="37" t="n">
        <v>70.39999999999999</v>
      </c>
      <c r="BH489" s="37" t="n">
        <v>104.06</v>
      </c>
      <c r="BI489" s="37" t="n">
        <v>87.81</v>
      </c>
      <c r="BJ489" s="37" t="n">
        <v>81.47</v>
      </c>
      <c r="BK489" s="37" t="n">
        <v>89.02000000000001</v>
      </c>
      <c r="BL489" s="37" t="n">
        <v>89.12</v>
      </c>
      <c r="BM489" s="37" t="n">
        <v>86.67</v>
      </c>
      <c r="BN489" s="37" t="n">
        <v>70.39999999999999</v>
      </c>
      <c r="BO489" s="37" t="n">
        <v>104.06</v>
      </c>
      <c r="BP489" s="37" t="n">
        <v>87.81</v>
      </c>
      <c r="BQ489" s="37" t="n">
        <v>86.83</v>
      </c>
      <c r="BR489" s="37" t="n">
        <v>89.02000000000001</v>
      </c>
      <c r="BS489" s="37" t="n">
        <v>89.12</v>
      </c>
      <c r="BT489" s="37" t="n">
        <v>86.67</v>
      </c>
      <c r="BU489" s="37" t="n">
        <v>70.39999999999999</v>
      </c>
      <c r="BV489" s="37" t="n">
        <v>104.06</v>
      </c>
      <c r="BW489" s="37" t="n">
        <v>87.81</v>
      </c>
      <c r="BX489" s="37" t="n">
        <v>86.83</v>
      </c>
      <c r="BY489" s="37" t="n">
        <v>89.02000000000001</v>
      </c>
      <c r="BZ489" s="37" t="n">
        <v>89.12</v>
      </c>
      <c r="CA489" s="37" t="n">
        <v>86.67</v>
      </c>
      <c r="CB489" s="37" t="n">
        <v>70.39999999999999</v>
      </c>
      <c r="CC489" s="37" t="n">
        <v>6990.600000000001</v>
      </c>
    </row>
    <row r="490" ht="15.75" customHeight="1" s="57">
      <c r="A490" s="7" t="inlineStr">
        <is>
          <t>NTB</t>
        </is>
      </c>
      <c r="B490" s="7" t="inlineStr">
        <is>
          <t>Lâm Đồng</t>
        </is>
      </c>
      <c r="C490" s="7" t="n">
        <v>22759000</v>
      </c>
      <c r="D490" s="7" t="inlineStr">
        <is>
          <t>(LDO) Hòa Ninh</t>
        </is>
      </c>
      <c r="E490" s="7" t="inlineStr">
        <is>
          <t>TTS-Bulky</t>
        </is>
      </c>
      <c r="F490" s="36" t="n">
        <v>1</v>
      </c>
      <c r="G490" s="36" t="n">
        <v>3</v>
      </c>
      <c r="H490" s="36" t="n">
        <v>2</v>
      </c>
      <c r="I490" s="36" t="n">
        <v>4</v>
      </c>
      <c r="J490" s="36" t="n">
        <v>2</v>
      </c>
      <c r="K490" s="28" t="n">
        <v>3</v>
      </c>
      <c r="L490" s="36" t="n">
        <v>0</v>
      </c>
      <c r="M490" s="36" t="n">
        <v>1</v>
      </c>
      <c r="N490" s="36" t="n">
        <v>0</v>
      </c>
      <c r="O490" s="36" t="n">
        <v>2</v>
      </c>
      <c r="P490" s="36" t="n">
        <v>2</v>
      </c>
      <c r="Q490" s="36" t="n">
        <v>1</v>
      </c>
      <c r="R490" s="28" t="n">
        <v>0</v>
      </c>
      <c r="S490" s="36" t="n">
        <v>2</v>
      </c>
      <c r="T490" s="36" t="n">
        <v>1</v>
      </c>
      <c r="U490" s="36" t="n">
        <v>5.17</v>
      </c>
      <c r="V490" s="36" t="n">
        <v>5.24</v>
      </c>
      <c r="W490" s="36" t="n">
        <v>2.47</v>
      </c>
      <c r="X490" s="36" t="n">
        <v>1.78</v>
      </c>
      <c r="Y490" s="28" t="n">
        <v>3.23</v>
      </c>
      <c r="Z490" s="36" t="n">
        <v>2.57</v>
      </c>
      <c r="AA490" s="36" t="n">
        <v>2.73</v>
      </c>
      <c r="AB490" s="36" t="n">
        <v>2.83</v>
      </c>
      <c r="AC490" s="36" t="n">
        <v>3</v>
      </c>
      <c r="AD490" s="36" t="n">
        <v>4.48</v>
      </c>
      <c r="AE490" s="36" t="n">
        <v>2.01</v>
      </c>
      <c r="AF490" s="28" t="n">
        <v>3.2</v>
      </c>
      <c r="AG490" s="36" t="n">
        <v>2.44</v>
      </c>
      <c r="AH490" s="37" t="n">
        <v>2.44</v>
      </c>
      <c r="AI490" s="37" t="n">
        <v>2.47</v>
      </c>
      <c r="AJ490" s="37" t="n">
        <v>2.8</v>
      </c>
      <c r="AK490" s="37" t="n">
        <v>2.67</v>
      </c>
      <c r="AL490" s="37" t="n">
        <v>1.91</v>
      </c>
      <c r="AM490" s="37" t="n">
        <v>3.2</v>
      </c>
      <c r="AN490" s="37" t="n">
        <v>2.47</v>
      </c>
      <c r="AO490" s="37" t="n">
        <v>2.44</v>
      </c>
      <c r="AP490" s="37" t="n">
        <v>2.44</v>
      </c>
      <c r="AQ490" s="37" t="n">
        <v>2.67</v>
      </c>
      <c r="AR490" s="37" t="n">
        <v>2.47</v>
      </c>
      <c r="AS490" s="37" t="n">
        <v>1.85</v>
      </c>
      <c r="AT490" s="37" t="n">
        <v>3.33</v>
      </c>
      <c r="AU490" s="37" t="n">
        <v>2.83</v>
      </c>
      <c r="AV490" s="37" t="n">
        <v>2.5</v>
      </c>
      <c r="AW490" s="37" t="n">
        <v>2.41</v>
      </c>
      <c r="AX490" s="37" t="n">
        <v>2.67</v>
      </c>
      <c r="AY490" s="37" t="n">
        <v>2.44</v>
      </c>
      <c r="AZ490" s="37" t="n">
        <v>1.85</v>
      </c>
      <c r="BA490" s="37" t="n">
        <v>2.8</v>
      </c>
      <c r="BB490" s="37" t="n">
        <v>0.66</v>
      </c>
      <c r="BC490" s="37" t="n">
        <v>0.43</v>
      </c>
      <c r="BD490" s="37" t="n">
        <v>0.53</v>
      </c>
      <c r="BE490" s="37" t="n">
        <v>0.6899999999999999</v>
      </c>
      <c r="BF490" s="37" t="n">
        <v>0.6899999999999999</v>
      </c>
      <c r="BG490" s="37" t="n">
        <v>0.46</v>
      </c>
      <c r="BH490" s="37" t="n">
        <v>0.89</v>
      </c>
      <c r="BI490" s="37" t="n">
        <v>0.6899999999999999</v>
      </c>
      <c r="BJ490" s="37" t="n">
        <v>1.12</v>
      </c>
      <c r="BK490" s="37" t="n">
        <v>0.72</v>
      </c>
      <c r="BL490" s="37" t="n">
        <v>0.6899999999999999</v>
      </c>
      <c r="BM490" s="37" t="n">
        <v>0.6899999999999999</v>
      </c>
      <c r="BN490" s="37" t="n">
        <v>0.53</v>
      </c>
      <c r="BO490" s="37" t="n">
        <v>1.02</v>
      </c>
      <c r="BP490" s="37" t="n">
        <v>0.79</v>
      </c>
      <c r="BQ490" s="37" t="n">
        <v>0.72</v>
      </c>
      <c r="BR490" s="37" t="n">
        <v>0.72</v>
      </c>
      <c r="BS490" s="37" t="n">
        <v>0.6899999999999999</v>
      </c>
      <c r="BT490" s="37" t="n">
        <v>0.6899999999999999</v>
      </c>
      <c r="BU490" s="37" t="n">
        <v>0.46</v>
      </c>
      <c r="BV490" s="37" t="n">
        <v>0.76</v>
      </c>
      <c r="BW490" s="37" t="n">
        <v>0.6899999999999999</v>
      </c>
      <c r="BX490" s="37" t="n">
        <v>0.72</v>
      </c>
      <c r="BY490" s="37" t="n">
        <v>0.72</v>
      </c>
      <c r="BZ490" s="37" t="n">
        <v>0.6899999999999999</v>
      </c>
      <c r="CA490" s="37" t="n">
        <v>0.6899999999999999</v>
      </c>
      <c r="CB490" s="37" t="n">
        <v>0.46</v>
      </c>
      <c r="CC490" s="37" t="n">
        <v>134.42</v>
      </c>
    </row>
    <row r="491" ht="15.75" customHeight="1" s="57">
      <c r="A491" s="7" t="inlineStr">
        <is>
          <t>NTB</t>
        </is>
      </c>
      <c r="B491" s="7" t="inlineStr">
        <is>
          <t>Lâm Đồng</t>
        </is>
      </c>
      <c r="C491" s="7" t="n">
        <v>23015000</v>
      </c>
      <c r="D491" s="7" t="inlineStr">
        <is>
          <t>(LDO) Bảo Lâm 3</t>
        </is>
      </c>
      <c r="E491" s="7" t="inlineStr">
        <is>
          <t>SME</t>
        </is>
      </c>
      <c r="F491" s="36" t="n">
        <v>127</v>
      </c>
      <c r="G491" s="36" t="n">
        <v>137</v>
      </c>
      <c r="H491" s="36" t="n">
        <v>97</v>
      </c>
      <c r="I491" s="36" t="n">
        <v>116</v>
      </c>
      <c r="J491" s="36" t="n">
        <v>102</v>
      </c>
      <c r="K491" s="28" t="n">
        <v>121</v>
      </c>
      <c r="L491" s="36" t="n">
        <v>79</v>
      </c>
      <c r="M491" s="36" t="n">
        <v>50</v>
      </c>
      <c r="N491" s="36" t="n">
        <v>42</v>
      </c>
      <c r="O491" s="36" t="n">
        <v>127</v>
      </c>
      <c r="P491" s="36" t="n">
        <v>126</v>
      </c>
      <c r="Q491" s="36" t="n">
        <v>72</v>
      </c>
      <c r="R491" s="28" t="n">
        <v>107</v>
      </c>
      <c r="S491" s="36" t="n">
        <v>108</v>
      </c>
      <c r="T491" s="36" t="n">
        <v>57</v>
      </c>
      <c r="U491" s="36" t="n">
        <v>115.36</v>
      </c>
      <c r="V491" s="36" t="n">
        <v>119.5</v>
      </c>
      <c r="W491" s="36" t="n">
        <v>116.18</v>
      </c>
      <c r="X491" s="36" t="n">
        <v>95.03</v>
      </c>
      <c r="Y491" s="28" t="n">
        <v>128.75</v>
      </c>
      <c r="Z491" s="36" t="n">
        <v>118.62</v>
      </c>
      <c r="AA491" s="36" t="n">
        <v>115.7</v>
      </c>
      <c r="AB491" s="36" t="n">
        <v>115.36</v>
      </c>
      <c r="AC491" s="36" t="n">
        <v>119.5</v>
      </c>
      <c r="AD491" s="36" t="n">
        <v>120.1</v>
      </c>
      <c r="AE491" s="36" t="n">
        <v>95.03</v>
      </c>
      <c r="AF491" s="28" t="n">
        <v>128.75</v>
      </c>
      <c r="AG491" s="36" t="n">
        <v>118.62</v>
      </c>
      <c r="AH491" s="37" t="n">
        <v>115.7</v>
      </c>
      <c r="AI491" s="37" t="n">
        <v>115.36</v>
      </c>
      <c r="AJ491" s="37" t="n">
        <v>119.5</v>
      </c>
      <c r="AK491" s="37" t="n">
        <v>116.18</v>
      </c>
      <c r="AL491" s="37" t="n">
        <v>95.03</v>
      </c>
      <c r="AM491" s="37" t="n">
        <v>128.75</v>
      </c>
      <c r="AN491" s="37" t="n">
        <v>118.62</v>
      </c>
      <c r="AO491" s="37" t="n">
        <v>115.7</v>
      </c>
      <c r="AP491" s="37" t="n">
        <v>115.36</v>
      </c>
      <c r="AQ491" s="37" t="n">
        <v>119.5</v>
      </c>
      <c r="AR491" s="37" t="n">
        <v>116.18</v>
      </c>
      <c r="AS491" s="37" t="n">
        <v>95.03</v>
      </c>
      <c r="AT491" s="37" t="n">
        <v>128.75</v>
      </c>
      <c r="AU491" s="37" t="n">
        <v>118.62</v>
      </c>
      <c r="AV491" s="37" t="n">
        <v>115.7</v>
      </c>
      <c r="AW491" s="37" t="n">
        <v>115.36</v>
      </c>
      <c r="AX491" s="37" t="n">
        <v>119.5</v>
      </c>
      <c r="AY491" s="37" t="n">
        <v>116.18</v>
      </c>
      <c r="AZ491" s="37" t="n">
        <v>95.03</v>
      </c>
      <c r="BA491" s="37" t="n">
        <v>115.83</v>
      </c>
      <c r="BB491" s="37" t="n">
        <v>104.04</v>
      </c>
      <c r="BC491" s="37" t="n">
        <v>65.73999999999999</v>
      </c>
      <c r="BD491" s="37" t="n">
        <v>65.53999999999999</v>
      </c>
      <c r="BE491" s="37" t="n">
        <v>110.76</v>
      </c>
      <c r="BF491" s="37" t="n">
        <v>107.93</v>
      </c>
      <c r="BG491" s="37" t="n">
        <v>98.05000000000001</v>
      </c>
      <c r="BH491" s="37" t="n">
        <v>132.82</v>
      </c>
      <c r="BI491" s="37" t="n">
        <v>122.31</v>
      </c>
      <c r="BJ491" s="37" t="n">
        <v>123.37</v>
      </c>
      <c r="BK491" s="37" t="n">
        <v>118.93</v>
      </c>
      <c r="BL491" s="37" t="n">
        <v>123.23</v>
      </c>
      <c r="BM491" s="37" t="n">
        <v>119.76</v>
      </c>
      <c r="BN491" s="37" t="n">
        <v>98.05000000000001</v>
      </c>
      <c r="BO491" s="37" t="n">
        <v>132.82</v>
      </c>
      <c r="BP491" s="37" t="n">
        <v>122.31</v>
      </c>
      <c r="BQ491" s="37" t="n">
        <v>119.25</v>
      </c>
      <c r="BR491" s="37" t="n">
        <v>118.93</v>
      </c>
      <c r="BS491" s="37" t="n">
        <v>123.23</v>
      </c>
      <c r="BT491" s="37" t="n">
        <v>119.76</v>
      </c>
      <c r="BU491" s="37" t="n">
        <v>98.05000000000001</v>
      </c>
      <c r="BV491" s="37" t="n">
        <v>132.82</v>
      </c>
      <c r="BW491" s="37" t="n">
        <v>122.31</v>
      </c>
      <c r="BX491" s="37" t="n">
        <v>119.25</v>
      </c>
      <c r="BY491" s="37" t="n">
        <v>118.93</v>
      </c>
      <c r="BZ491" s="37" t="n">
        <v>123.23</v>
      </c>
      <c r="CA491" s="37" t="n">
        <v>119.76</v>
      </c>
      <c r="CB491" s="37" t="n">
        <v>98.05000000000001</v>
      </c>
      <c r="CC491" s="37" t="n">
        <v>8329.609999999999</v>
      </c>
    </row>
    <row r="492" ht="15.75" customHeight="1" s="57">
      <c r="A492" s="7" t="inlineStr">
        <is>
          <t>NTB</t>
        </is>
      </c>
      <c r="B492" s="7" t="inlineStr">
        <is>
          <t>Lâm Đồng</t>
        </is>
      </c>
      <c r="C492" s="7" t="n">
        <v>23015000</v>
      </c>
      <c r="D492" s="7" t="inlineStr">
        <is>
          <t>(LDO) Bảo Lâm 3</t>
        </is>
      </c>
      <c r="E492" s="7" t="inlineStr">
        <is>
          <t>SME-Bulky</t>
        </is>
      </c>
      <c r="F492" s="36" t="n">
        <v>3</v>
      </c>
      <c r="G492" s="36" t="n">
        <v>10</v>
      </c>
      <c r="H492" s="36" t="n">
        <v>6</v>
      </c>
      <c r="I492" s="36" t="n">
        <v>5</v>
      </c>
      <c r="J492" s="36" t="n">
        <v>4</v>
      </c>
      <c r="K492" s="28" t="n">
        <v>9</v>
      </c>
      <c r="L492" s="36" t="n">
        <v>4</v>
      </c>
      <c r="M492" s="36" t="n">
        <v>6</v>
      </c>
      <c r="N492" s="36" t="n">
        <v>2</v>
      </c>
      <c r="O492" s="36" t="n">
        <v>5</v>
      </c>
      <c r="P492" s="36" t="n">
        <v>8</v>
      </c>
      <c r="Q492" s="36" t="n">
        <v>2</v>
      </c>
      <c r="R492" s="28" t="n">
        <v>7</v>
      </c>
      <c r="S492" s="36" t="n">
        <v>9</v>
      </c>
      <c r="T492" s="36" t="n">
        <v>3</v>
      </c>
      <c r="U492" s="36" t="n">
        <v>5.12</v>
      </c>
      <c r="V492" s="36" t="n">
        <v>5.06</v>
      </c>
      <c r="W492" s="36" t="n">
        <v>4.79</v>
      </c>
      <c r="X492" s="36" t="n">
        <v>3.19</v>
      </c>
      <c r="Y492" s="28" t="n">
        <v>5.72</v>
      </c>
      <c r="Z492" s="36" t="n">
        <v>5.46</v>
      </c>
      <c r="AA492" s="36" t="n">
        <v>5.39</v>
      </c>
      <c r="AB492" s="36" t="n">
        <v>5.12</v>
      </c>
      <c r="AC492" s="36" t="n">
        <v>5.06</v>
      </c>
      <c r="AD492" s="36" t="n">
        <v>4.5</v>
      </c>
      <c r="AE492" s="36" t="n">
        <v>3.19</v>
      </c>
      <c r="AF492" s="28" t="n">
        <v>5.72</v>
      </c>
      <c r="AG492" s="36" t="n">
        <v>5.46</v>
      </c>
      <c r="AH492" s="37" t="n">
        <v>5.39</v>
      </c>
      <c r="AI492" s="37" t="n">
        <v>5.12</v>
      </c>
      <c r="AJ492" s="37" t="n">
        <v>5.06</v>
      </c>
      <c r="AK492" s="37" t="n">
        <v>4.79</v>
      </c>
      <c r="AL492" s="37" t="n">
        <v>3.19</v>
      </c>
      <c r="AM492" s="37" t="n">
        <v>5.72</v>
      </c>
      <c r="AN492" s="37" t="n">
        <v>5.46</v>
      </c>
      <c r="AO492" s="37" t="n">
        <v>5.39</v>
      </c>
      <c r="AP492" s="37" t="n">
        <v>5.12</v>
      </c>
      <c r="AQ492" s="37" t="n">
        <v>5.06</v>
      </c>
      <c r="AR492" s="37" t="n">
        <v>4.79</v>
      </c>
      <c r="AS492" s="37" t="n">
        <v>3.19</v>
      </c>
      <c r="AT492" s="37" t="n">
        <v>5.72</v>
      </c>
      <c r="AU492" s="37" t="n">
        <v>5.46</v>
      </c>
      <c r="AV492" s="37" t="n">
        <v>5.39</v>
      </c>
      <c r="AW492" s="37" t="n">
        <v>5.12</v>
      </c>
      <c r="AX492" s="37" t="n">
        <v>5.06</v>
      </c>
      <c r="AY492" s="37" t="n">
        <v>4.79</v>
      </c>
      <c r="AZ492" s="37" t="n">
        <v>3.19</v>
      </c>
      <c r="BA492" s="37" t="n">
        <v>5.74</v>
      </c>
      <c r="BB492" s="37" t="n">
        <v>3.02</v>
      </c>
      <c r="BC492" s="37" t="n">
        <v>1.53</v>
      </c>
      <c r="BD492" s="37" t="n">
        <v>1.39</v>
      </c>
      <c r="BE492" s="37" t="n">
        <v>2.64</v>
      </c>
      <c r="BF492" s="37" t="n">
        <v>2.45</v>
      </c>
      <c r="BG492" s="37" t="n">
        <v>1.91</v>
      </c>
      <c r="BH492" s="37" t="n">
        <v>3.32</v>
      </c>
      <c r="BI492" s="37" t="n">
        <v>3.3</v>
      </c>
      <c r="BJ492" s="37" t="n">
        <v>2.85</v>
      </c>
      <c r="BK492" s="37" t="n">
        <v>3.03</v>
      </c>
      <c r="BL492" s="37" t="n">
        <v>3.04</v>
      </c>
      <c r="BM492" s="37" t="n">
        <v>2.83</v>
      </c>
      <c r="BN492" s="37" t="n">
        <v>1.91</v>
      </c>
      <c r="BO492" s="37" t="n">
        <v>3.32</v>
      </c>
      <c r="BP492" s="37" t="n">
        <v>3.3</v>
      </c>
      <c r="BQ492" s="37" t="n">
        <v>3.14</v>
      </c>
      <c r="BR492" s="37" t="n">
        <v>3.03</v>
      </c>
      <c r="BS492" s="37" t="n">
        <v>3.04</v>
      </c>
      <c r="BT492" s="37" t="n">
        <v>2.83</v>
      </c>
      <c r="BU492" s="37" t="n">
        <v>1.91</v>
      </c>
      <c r="BV492" s="37" t="n">
        <v>3.32</v>
      </c>
      <c r="BW492" s="37" t="n">
        <v>3.3</v>
      </c>
      <c r="BX492" s="37" t="n">
        <v>3.14</v>
      </c>
      <c r="BY492" s="37" t="n">
        <v>3.03</v>
      </c>
      <c r="BZ492" s="37" t="n">
        <v>3.04</v>
      </c>
      <c r="CA492" s="37" t="n">
        <v>2.83</v>
      </c>
      <c r="CB492" s="37" t="n">
        <v>1.91</v>
      </c>
      <c r="CC492" s="37" t="n">
        <v>319.89</v>
      </c>
    </row>
    <row r="493" ht="15.75" customHeight="1" s="57">
      <c r="A493" s="7" t="inlineStr">
        <is>
          <t>NTB</t>
        </is>
      </c>
      <c r="B493" s="7" t="inlineStr">
        <is>
          <t>Lâm Đồng</t>
        </is>
      </c>
      <c r="C493" s="7" t="n">
        <v>23015000</v>
      </c>
      <c r="D493" s="7" t="inlineStr">
        <is>
          <t>(LDO) Bảo Lâm 3</t>
        </is>
      </c>
      <c r="E493" s="7" t="inlineStr">
        <is>
          <t>Shopee</t>
        </is>
      </c>
      <c r="F493" s="36" t="n">
        <v>112</v>
      </c>
      <c r="G493" s="36" t="n">
        <v>100</v>
      </c>
      <c r="H493" s="36" t="n">
        <v>94</v>
      </c>
      <c r="I493" s="36" t="n">
        <v>80</v>
      </c>
      <c r="J493" s="36" t="n">
        <v>63</v>
      </c>
      <c r="K493" s="28" t="n">
        <v>45</v>
      </c>
      <c r="L493" s="36" t="n">
        <v>46</v>
      </c>
      <c r="M493" s="36" t="n">
        <v>40</v>
      </c>
      <c r="N493" s="36" t="n">
        <v>52</v>
      </c>
      <c r="O493" s="36" t="n">
        <v>95</v>
      </c>
      <c r="P493" s="36" t="n">
        <v>96</v>
      </c>
      <c r="Q493" s="36" t="n">
        <v>41</v>
      </c>
      <c r="R493" s="28" t="n">
        <v>61</v>
      </c>
      <c r="S493" s="36" t="n">
        <v>57</v>
      </c>
      <c r="T493" s="36" t="n">
        <v>49</v>
      </c>
      <c r="U493" s="36" t="n">
        <v>99.34</v>
      </c>
      <c r="V493" s="36" t="n">
        <v>99.69</v>
      </c>
      <c r="W493" s="36" t="n">
        <v>98.26000000000001</v>
      </c>
      <c r="X493" s="36" t="n">
        <v>79.91</v>
      </c>
      <c r="Y493" s="28" t="n">
        <v>133.85</v>
      </c>
      <c r="Z493" s="36" t="n">
        <v>105.96</v>
      </c>
      <c r="AA493" s="36" t="n">
        <v>145.73</v>
      </c>
      <c r="AB493" s="36" t="n">
        <v>101.39</v>
      </c>
      <c r="AC493" s="36" t="n">
        <v>81.81</v>
      </c>
      <c r="AD493" s="36" t="n">
        <v>213.24</v>
      </c>
      <c r="AE493" s="36" t="n">
        <v>85.58</v>
      </c>
      <c r="AF493" s="28" t="n">
        <v>152.57</v>
      </c>
      <c r="AG493" s="36" t="n">
        <v>111.25</v>
      </c>
      <c r="AH493" s="37" t="n">
        <v>117.45</v>
      </c>
      <c r="AI493" s="37" t="n">
        <v>99.34</v>
      </c>
      <c r="AJ493" s="37" t="n">
        <v>99.69</v>
      </c>
      <c r="AK493" s="37" t="n">
        <v>132.59</v>
      </c>
      <c r="AL493" s="37" t="n">
        <v>143.51</v>
      </c>
      <c r="AM493" s="37" t="n">
        <v>133.85</v>
      </c>
      <c r="AN493" s="37" t="n">
        <v>105.96</v>
      </c>
      <c r="AO493" s="37" t="n">
        <v>117.45</v>
      </c>
      <c r="AP493" s="37" t="n">
        <v>124.01</v>
      </c>
      <c r="AQ493" s="37" t="n">
        <v>79.93000000000001</v>
      </c>
      <c r="AR493" s="37" t="n">
        <v>98.26000000000001</v>
      </c>
      <c r="AS493" s="37" t="n">
        <v>79.91</v>
      </c>
      <c r="AT493" s="37" t="n">
        <v>133.85</v>
      </c>
      <c r="AU493" s="37" t="n">
        <v>108.16</v>
      </c>
      <c r="AV493" s="37" t="n">
        <v>119.84</v>
      </c>
      <c r="AW493" s="37" t="n">
        <v>99.34</v>
      </c>
      <c r="AX493" s="37" t="n">
        <v>99.69</v>
      </c>
      <c r="AY493" s="37" t="n">
        <v>98.26000000000001</v>
      </c>
      <c r="AZ493" s="37" t="n">
        <v>79.91</v>
      </c>
      <c r="BA493" s="37" t="n">
        <v>103.1</v>
      </c>
      <c r="BB493" s="37" t="n">
        <v>89.78</v>
      </c>
      <c r="BC493" s="37" t="n">
        <v>45.91</v>
      </c>
      <c r="BD493" s="37" t="n">
        <v>81.36</v>
      </c>
      <c r="BE493" s="37" t="n">
        <v>94.95</v>
      </c>
      <c r="BF493" s="37" t="n">
        <v>93.59</v>
      </c>
      <c r="BG493" s="37" t="n">
        <v>77.64</v>
      </c>
      <c r="BH493" s="37" t="n">
        <v>127.49</v>
      </c>
      <c r="BI493" s="37" t="n">
        <v>82.91</v>
      </c>
      <c r="BJ493" s="37" t="n">
        <v>302.63</v>
      </c>
      <c r="BK493" s="37" t="n">
        <v>101.29</v>
      </c>
      <c r="BL493" s="37" t="n">
        <v>99.73999999999999</v>
      </c>
      <c r="BM493" s="37" t="n">
        <v>93.59</v>
      </c>
      <c r="BN493" s="37" t="n">
        <v>76.12</v>
      </c>
      <c r="BO493" s="37" t="n">
        <v>127.49</v>
      </c>
      <c r="BP493" s="37" t="n">
        <v>136.19</v>
      </c>
      <c r="BQ493" s="37" t="n">
        <v>201.03</v>
      </c>
      <c r="BR493" s="37" t="n">
        <v>94.64</v>
      </c>
      <c r="BS493" s="37" t="n">
        <v>94.95</v>
      </c>
      <c r="BT493" s="37" t="n">
        <v>93.59</v>
      </c>
      <c r="BU493" s="37" t="n">
        <v>95.09</v>
      </c>
      <c r="BV493" s="37" t="n">
        <v>102.15</v>
      </c>
      <c r="BW493" s="37" t="n">
        <v>100.91</v>
      </c>
      <c r="BX493" s="37" t="n">
        <v>111.87</v>
      </c>
      <c r="BY493" s="37" t="n">
        <v>94.64</v>
      </c>
      <c r="BZ493" s="37" t="n">
        <v>96.95</v>
      </c>
      <c r="CA493" s="37" t="n">
        <v>95.40000000000001</v>
      </c>
      <c r="CB493" s="37" t="n">
        <v>76.12</v>
      </c>
      <c r="CC493" s="37" t="n">
        <v>7601.699999999999</v>
      </c>
    </row>
    <row r="494" ht="15.75" customHeight="1" s="57">
      <c r="A494" s="7" t="inlineStr">
        <is>
          <t>NTB</t>
        </is>
      </c>
      <c r="B494" s="7" t="inlineStr">
        <is>
          <t>Lâm Đồng</t>
        </is>
      </c>
      <c r="C494" s="7" t="n">
        <v>23015000</v>
      </c>
      <c r="D494" s="7" t="inlineStr">
        <is>
          <t>(LDO) Bảo Lâm 3</t>
        </is>
      </c>
      <c r="E494" s="7" t="inlineStr">
        <is>
          <t>Shopee-Bulky</t>
        </is>
      </c>
      <c r="F494" s="36" t="n">
        <v>8.24</v>
      </c>
      <c r="G494" s="36" t="n">
        <v>20.29</v>
      </c>
      <c r="H494" s="36" t="n">
        <v>23.46</v>
      </c>
      <c r="I494" s="36" t="n">
        <v>6.97</v>
      </c>
      <c r="J494" s="36" t="n">
        <v>19.66</v>
      </c>
      <c r="K494" s="28" t="n">
        <v>6.97</v>
      </c>
      <c r="L494" s="36" t="n">
        <v>5.71</v>
      </c>
      <c r="M494" s="36" t="n">
        <v>5.71</v>
      </c>
      <c r="N494" s="36" t="n">
        <v>5.71</v>
      </c>
      <c r="O494" s="36" t="n">
        <v>15.22</v>
      </c>
      <c r="P494" s="36" t="n">
        <v>8.24</v>
      </c>
      <c r="Q494" s="36" t="n">
        <v>12.05</v>
      </c>
      <c r="R494" s="28" t="n">
        <v>13.95</v>
      </c>
      <c r="S494" s="36" t="n">
        <v>9.51</v>
      </c>
      <c r="T494" s="36" t="n">
        <v>12.05</v>
      </c>
      <c r="U494" s="36" t="n">
        <v>10.68</v>
      </c>
      <c r="V494" s="36" t="n">
        <v>10.3</v>
      </c>
      <c r="W494" s="36" t="n">
        <v>14.15</v>
      </c>
      <c r="X494" s="36" t="n">
        <v>8.01</v>
      </c>
      <c r="Y494" s="28" t="n">
        <v>15.68</v>
      </c>
      <c r="Z494" s="36" t="n">
        <v>12.39</v>
      </c>
      <c r="AA494" s="36" t="n">
        <v>12.04</v>
      </c>
      <c r="AB494" s="36" t="n">
        <v>12.18</v>
      </c>
      <c r="AC494" s="36" t="n">
        <v>12.79</v>
      </c>
      <c r="AD494" s="36" t="n">
        <v>34.47</v>
      </c>
      <c r="AE494" s="36" t="n">
        <v>20.57</v>
      </c>
      <c r="AF494" s="28" t="n">
        <v>30.68</v>
      </c>
      <c r="AG494" s="36" t="n">
        <v>17.42</v>
      </c>
      <c r="AH494" s="37" t="n">
        <v>12.25</v>
      </c>
      <c r="AI494" s="37" t="n">
        <v>11.78</v>
      </c>
      <c r="AJ494" s="37" t="n">
        <v>11.69</v>
      </c>
      <c r="AK494" s="37" t="n">
        <v>26.47</v>
      </c>
      <c r="AL494" s="37" t="n">
        <v>13.47</v>
      </c>
      <c r="AM494" s="37" t="n">
        <v>19.23</v>
      </c>
      <c r="AN494" s="37" t="n">
        <v>12.17</v>
      </c>
      <c r="AO494" s="37" t="n">
        <v>11.93</v>
      </c>
      <c r="AP494" s="37" t="n">
        <v>16.11</v>
      </c>
      <c r="AQ494" s="37" t="n">
        <v>16.01</v>
      </c>
      <c r="AR494" s="37" t="n">
        <v>12.73</v>
      </c>
      <c r="AS494" s="37" t="n">
        <v>7.05</v>
      </c>
      <c r="AT494" s="37" t="n">
        <v>14.39</v>
      </c>
      <c r="AU494" s="37" t="n">
        <v>23.68</v>
      </c>
      <c r="AV494" s="37" t="n">
        <v>24.58</v>
      </c>
      <c r="AW494" s="37" t="n">
        <v>11.96</v>
      </c>
      <c r="AX494" s="37" t="n">
        <v>11.22</v>
      </c>
      <c r="AY494" s="37" t="n">
        <v>12.18</v>
      </c>
      <c r="AZ494" s="37" t="n">
        <v>6.77</v>
      </c>
      <c r="BA494" s="37" t="n">
        <v>13.16</v>
      </c>
      <c r="BB494" s="37" t="n">
        <v>12.23</v>
      </c>
      <c r="BC494" s="37" t="n">
        <v>4.11</v>
      </c>
      <c r="BD494" s="37" t="n">
        <v>10.47</v>
      </c>
      <c r="BE494" s="37" t="n">
        <v>12.87</v>
      </c>
      <c r="BF494" s="37" t="n">
        <v>11.06</v>
      </c>
      <c r="BG494" s="37" t="n">
        <v>9.19</v>
      </c>
      <c r="BH494" s="37" t="n">
        <v>16.84</v>
      </c>
      <c r="BI494" s="37" t="n">
        <v>14.38</v>
      </c>
      <c r="BJ494" s="37" t="n">
        <v>54.84</v>
      </c>
      <c r="BK494" s="37" t="n">
        <v>30.42</v>
      </c>
      <c r="BL494" s="37" t="n">
        <v>15.68</v>
      </c>
      <c r="BM494" s="37" t="n">
        <v>11.69</v>
      </c>
      <c r="BN494" s="37" t="n">
        <v>8.869999999999999</v>
      </c>
      <c r="BO494" s="37" t="n">
        <v>19.58</v>
      </c>
      <c r="BP494" s="37" t="n">
        <v>28.6</v>
      </c>
      <c r="BQ494" s="37" t="n">
        <v>20.69</v>
      </c>
      <c r="BR494" s="37" t="n">
        <v>13.61</v>
      </c>
      <c r="BS494" s="37" t="n">
        <v>12.87</v>
      </c>
      <c r="BT494" s="37" t="n">
        <v>11.06</v>
      </c>
      <c r="BU494" s="37" t="n">
        <v>13.05</v>
      </c>
      <c r="BV494" s="37" t="n">
        <v>17.84</v>
      </c>
      <c r="BW494" s="37" t="n">
        <v>14.38</v>
      </c>
      <c r="BX494" s="37" t="n">
        <v>13.88</v>
      </c>
      <c r="BY494" s="37" t="n">
        <v>13.61</v>
      </c>
      <c r="BZ494" s="37" t="n">
        <v>23.33</v>
      </c>
      <c r="CA494" s="37" t="n">
        <v>13.45</v>
      </c>
      <c r="CB494" s="37" t="n">
        <v>8.76</v>
      </c>
      <c r="CC494" s="37" t="n">
        <v>1111.29</v>
      </c>
    </row>
    <row r="495" ht="15.75" customHeight="1" s="57">
      <c r="A495" s="7" t="inlineStr">
        <is>
          <t>NTB</t>
        </is>
      </c>
      <c r="B495" s="7" t="inlineStr">
        <is>
          <t>Lâm Đồng</t>
        </is>
      </c>
      <c r="C495" s="7" t="n">
        <v>23015000</v>
      </c>
      <c r="D495" s="7" t="inlineStr">
        <is>
          <t>(LDO) Bảo Lâm 3</t>
        </is>
      </c>
      <c r="E495" s="7" t="inlineStr">
        <is>
          <t>Shopee-Bulky (10-15kg)</t>
        </is>
      </c>
      <c r="F495" s="36" t="n">
        <v>4.76</v>
      </c>
      <c r="G495" s="36" t="n">
        <v>11.71</v>
      </c>
      <c r="H495" s="36" t="n">
        <v>13.54</v>
      </c>
      <c r="I495" s="36" t="n">
        <v>4.03</v>
      </c>
      <c r="J495" s="36" t="n">
        <v>11.34</v>
      </c>
      <c r="K495" s="28" t="n">
        <v>4.03</v>
      </c>
      <c r="L495" s="36" t="n">
        <v>3.29</v>
      </c>
      <c r="M495" s="36" t="n">
        <v>3.29</v>
      </c>
      <c r="N495" s="36" t="n">
        <v>3.29</v>
      </c>
      <c r="O495" s="36" t="n">
        <v>8.779999999999999</v>
      </c>
      <c r="P495" s="36" t="n">
        <v>4.76</v>
      </c>
      <c r="Q495" s="36" t="n">
        <v>6.95</v>
      </c>
      <c r="R495" s="28" t="n">
        <v>8.050000000000001</v>
      </c>
      <c r="S495" s="36" t="n">
        <v>5.49</v>
      </c>
      <c r="T495" s="36" t="n">
        <v>6.95</v>
      </c>
      <c r="U495" s="36" t="n">
        <v>6.42</v>
      </c>
      <c r="V495" s="36" t="n">
        <v>6.15</v>
      </c>
      <c r="W495" s="36" t="n">
        <v>8.1</v>
      </c>
      <c r="X495" s="36" t="n">
        <v>4.58</v>
      </c>
      <c r="Y495" s="28" t="n">
        <v>9.09</v>
      </c>
      <c r="Z495" s="36" t="n">
        <v>7.09</v>
      </c>
      <c r="AA495" s="36" t="n">
        <v>6.66</v>
      </c>
      <c r="AB495" s="36" t="n">
        <v>6.98</v>
      </c>
      <c r="AC495" s="36" t="n">
        <v>7.22</v>
      </c>
      <c r="AD495" s="36" t="n">
        <v>27.62</v>
      </c>
      <c r="AE495" s="36" t="n">
        <v>11.53</v>
      </c>
      <c r="AF495" s="28" t="n">
        <v>16.83</v>
      </c>
      <c r="AG495" s="36" t="n">
        <v>10.04</v>
      </c>
      <c r="AH495" s="37" t="n">
        <v>7</v>
      </c>
      <c r="AI495" s="37" t="n">
        <v>6.8</v>
      </c>
      <c r="AJ495" s="37" t="n">
        <v>6.6</v>
      </c>
      <c r="AK495" s="37" t="n">
        <v>15.53</v>
      </c>
      <c r="AL495" s="37" t="n">
        <v>7.54</v>
      </c>
      <c r="AM495" s="37" t="n">
        <v>11.16</v>
      </c>
      <c r="AN495" s="37" t="n">
        <v>7.01</v>
      </c>
      <c r="AO495" s="37" t="n">
        <v>6.72</v>
      </c>
      <c r="AP495" s="37" t="n">
        <v>8.85</v>
      </c>
      <c r="AQ495" s="37" t="n">
        <v>9.029999999999999</v>
      </c>
      <c r="AR495" s="37" t="n">
        <v>7.32</v>
      </c>
      <c r="AS495" s="37" t="n">
        <v>4.02</v>
      </c>
      <c r="AT495" s="37" t="n">
        <v>8.33</v>
      </c>
      <c r="AU495" s="37" t="n">
        <v>14.09</v>
      </c>
      <c r="AV495" s="37" t="n">
        <v>14.12</v>
      </c>
      <c r="AW495" s="37" t="n">
        <v>6.79</v>
      </c>
      <c r="AX495" s="37" t="n">
        <v>6.29</v>
      </c>
      <c r="AY495" s="37" t="n">
        <v>7.01</v>
      </c>
      <c r="AZ495" s="37" t="n">
        <v>3.86</v>
      </c>
      <c r="BA495" s="37" t="n">
        <v>7.61</v>
      </c>
      <c r="BB495" s="37" t="n">
        <v>7.06</v>
      </c>
      <c r="BC495" s="37" t="n">
        <v>2.47</v>
      </c>
      <c r="BD495" s="37" t="n">
        <v>5.92</v>
      </c>
      <c r="BE495" s="37" t="n">
        <v>7.38</v>
      </c>
      <c r="BF495" s="37" t="n">
        <v>6.44</v>
      </c>
      <c r="BG495" s="37" t="n">
        <v>5.28</v>
      </c>
      <c r="BH495" s="37" t="n">
        <v>9.859999999999999</v>
      </c>
      <c r="BI495" s="37" t="n">
        <v>8.33</v>
      </c>
      <c r="BJ495" s="37" t="n">
        <v>38.04</v>
      </c>
      <c r="BK495" s="37" t="n">
        <v>17.64</v>
      </c>
      <c r="BL495" s="37" t="n">
        <v>9.06</v>
      </c>
      <c r="BM495" s="37" t="n">
        <v>6.69</v>
      </c>
      <c r="BN495" s="37" t="n">
        <v>5.17</v>
      </c>
      <c r="BO495" s="37" t="n">
        <v>11.22</v>
      </c>
      <c r="BP495" s="37" t="n">
        <v>16.64</v>
      </c>
      <c r="BQ495" s="37" t="n">
        <v>12.02</v>
      </c>
      <c r="BR495" s="37" t="n">
        <v>7.81</v>
      </c>
      <c r="BS495" s="37" t="n">
        <v>7.38</v>
      </c>
      <c r="BT495" s="37" t="n">
        <v>6.44</v>
      </c>
      <c r="BU495" s="37" t="n">
        <v>7.46</v>
      </c>
      <c r="BV495" s="37" t="n">
        <v>10.25</v>
      </c>
      <c r="BW495" s="37" t="n">
        <v>8.33</v>
      </c>
      <c r="BX495" s="37" t="n">
        <v>7.94</v>
      </c>
      <c r="BY495" s="37" t="n">
        <v>7.81</v>
      </c>
      <c r="BZ495" s="37" t="n">
        <v>13.51</v>
      </c>
      <c r="CA495" s="37" t="n">
        <v>7.7</v>
      </c>
      <c r="CB495" s="37" t="n">
        <v>4.98</v>
      </c>
      <c r="CC495" s="37" t="n">
        <v>653.0800000000002</v>
      </c>
    </row>
    <row r="496" ht="15.75" customHeight="1" s="57">
      <c r="A496" s="7" t="inlineStr">
        <is>
          <t>NTB</t>
        </is>
      </c>
      <c r="B496" s="7" t="inlineStr">
        <is>
          <t>Lâm Đồng</t>
        </is>
      </c>
      <c r="C496" s="7" t="n">
        <v>23015000</v>
      </c>
      <c r="D496" s="7" t="inlineStr">
        <is>
          <t>(LDO) Bảo Lâm 3</t>
        </is>
      </c>
      <c r="E496" s="7" t="inlineStr">
        <is>
          <t>TTS</t>
        </is>
      </c>
      <c r="F496" s="36" t="n">
        <v>85</v>
      </c>
      <c r="G496" s="36" t="n">
        <v>105</v>
      </c>
      <c r="H496" s="36" t="n">
        <v>78</v>
      </c>
      <c r="I496" s="36" t="n">
        <v>85</v>
      </c>
      <c r="J496" s="36" t="n">
        <v>66</v>
      </c>
      <c r="K496" s="28" t="n">
        <v>67</v>
      </c>
      <c r="L496" s="36" t="n">
        <v>72</v>
      </c>
      <c r="M496" s="36" t="n">
        <v>44</v>
      </c>
      <c r="N496" s="36" t="n">
        <v>42</v>
      </c>
      <c r="O496" s="36" t="n">
        <v>120</v>
      </c>
      <c r="P496" s="36" t="n">
        <v>90</v>
      </c>
      <c r="Q496" s="36" t="n">
        <v>59</v>
      </c>
      <c r="R496" s="28" t="n">
        <v>87</v>
      </c>
      <c r="S496" s="36" t="n">
        <v>86</v>
      </c>
      <c r="T496" s="36" t="n">
        <v>56</v>
      </c>
      <c r="U496" s="36" t="n">
        <v>57.18</v>
      </c>
      <c r="V496" s="36" t="n">
        <v>56.2</v>
      </c>
      <c r="W496" s="36" t="n">
        <v>54.91</v>
      </c>
      <c r="X496" s="36" t="n">
        <v>44.36</v>
      </c>
      <c r="Y496" s="28" t="n">
        <v>64.39</v>
      </c>
      <c r="Z496" s="36" t="n">
        <v>54.81</v>
      </c>
      <c r="AA496" s="36" t="n">
        <v>60.81</v>
      </c>
      <c r="AB496" s="36" t="n">
        <v>67.58</v>
      </c>
      <c r="AC496" s="36" t="n">
        <v>71.17</v>
      </c>
      <c r="AD496" s="36" t="n">
        <v>73.03</v>
      </c>
      <c r="AE496" s="36" t="n">
        <v>51.52</v>
      </c>
      <c r="AF496" s="28" t="n">
        <v>66.58</v>
      </c>
      <c r="AG496" s="36" t="n">
        <v>55.88</v>
      </c>
      <c r="AH496" s="37" t="n">
        <v>55.26</v>
      </c>
      <c r="AI496" s="37" t="n">
        <v>63.23</v>
      </c>
      <c r="AJ496" s="37" t="n">
        <v>67.97</v>
      </c>
      <c r="AK496" s="37" t="n">
        <v>67</v>
      </c>
      <c r="AL496" s="37" t="n">
        <v>47.81</v>
      </c>
      <c r="AM496" s="37" t="n">
        <v>65.59999999999999</v>
      </c>
      <c r="AN496" s="37" t="n">
        <v>56.61</v>
      </c>
      <c r="AO496" s="37" t="n">
        <v>56.32</v>
      </c>
      <c r="AP496" s="37" t="n">
        <v>54.58</v>
      </c>
      <c r="AQ496" s="37" t="n">
        <v>55.06</v>
      </c>
      <c r="AR496" s="37" t="n">
        <v>54.14</v>
      </c>
      <c r="AS496" s="37" t="n">
        <v>44.59</v>
      </c>
      <c r="AT496" s="37" t="n">
        <v>70.92</v>
      </c>
      <c r="AU496" s="37" t="n">
        <v>64.16</v>
      </c>
      <c r="AV496" s="37" t="n">
        <v>57.09</v>
      </c>
      <c r="AW496" s="37" t="n">
        <v>53.92</v>
      </c>
      <c r="AX496" s="37" t="n">
        <v>53.51</v>
      </c>
      <c r="AY496" s="37" t="n">
        <v>53.43</v>
      </c>
      <c r="AZ496" s="37" t="n">
        <v>44.59</v>
      </c>
      <c r="BA496" s="37" t="n">
        <v>63.89</v>
      </c>
      <c r="BB496" s="37" t="n">
        <v>59.75</v>
      </c>
      <c r="BC496" s="37" t="n">
        <v>35.56</v>
      </c>
      <c r="BD496" s="37" t="n">
        <v>51.54</v>
      </c>
      <c r="BE496" s="37" t="n">
        <v>60.63</v>
      </c>
      <c r="BF496" s="37" t="n">
        <v>58.97</v>
      </c>
      <c r="BG496" s="37" t="n">
        <v>47.9</v>
      </c>
      <c r="BH496" s="37" t="n">
        <v>70.79000000000001</v>
      </c>
      <c r="BI496" s="37" t="n">
        <v>59.75</v>
      </c>
      <c r="BJ496" s="37" t="n">
        <v>55.49</v>
      </c>
      <c r="BK496" s="37" t="n">
        <v>60.57</v>
      </c>
      <c r="BL496" s="37" t="n">
        <v>60.63</v>
      </c>
      <c r="BM496" s="37" t="n">
        <v>58.97</v>
      </c>
      <c r="BN496" s="37" t="n">
        <v>47.9</v>
      </c>
      <c r="BO496" s="37" t="n">
        <v>70.79000000000001</v>
      </c>
      <c r="BP496" s="37" t="n">
        <v>59.75</v>
      </c>
      <c r="BQ496" s="37" t="n">
        <v>59.08</v>
      </c>
      <c r="BR496" s="37" t="n">
        <v>60.57</v>
      </c>
      <c r="BS496" s="37" t="n">
        <v>60.63</v>
      </c>
      <c r="BT496" s="37" t="n">
        <v>58.97</v>
      </c>
      <c r="BU496" s="37" t="n">
        <v>47.9</v>
      </c>
      <c r="BV496" s="37" t="n">
        <v>70.79000000000001</v>
      </c>
      <c r="BW496" s="37" t="n">
        <v>59.75</v>
      </c>
      <c r="BX496" s="37" t="n">
        <v>59.08</v>
      </c>
      <c r="BY496" s="37" t="n">
        <v>60.57</v>
      </c>
      <c r="BZ496" s="37" t="n">
        <v>60.63</v>
      </c>
      <c r="CA496" s="37" t="n">
        <v>58.97</v>
      </c>
      <c r="CB496" s="37" t="n">
        <v>47.9</v>
      </c>
      <c r="CC496" s="37" t="n">
        <v>4633.929999999999</v>
      </c>
    </row>
    <row r="497" ht="15.75" customHeight="1" s="57">
      <c r="A497" s="7" t="inlineStr">
        <is>
          <t>NTB</t>
        </is>
      </c>
      <c r="B497" s="7" t="inlineStr">
        <is>
          <t>Lâm Đồng</t>
        </is>
      </c>
      <c r="C497" s="7" t="n">
        <v>23015000</v>
      </c>
      <c r="D497" s="7" t="inlineStr">
        <is>
          <t>(LDO) Bảo Lâm 3</t>
        </is>
      </c>
      <c r="E497" s="7" t="inlineStr">
        <is>
          <t>TTS-Bulky</t>
        </is>
      </c>
      <c r="F497" s="36" t="n">
        <v>1</v>
      </c>
      <c r="G497" s="36" t="n">
        <v>1</v>
      </c>
      <c r="H497" s="36" t="n">
        <v>0</v>
      </c>
      <c r="I497" s="36" t="n">
        <v>3</v>
      </c>
      <c r="J497" s="36" t="n">
        <v>1</v>
      </c>
      <c r="K497" s="28" t="n">
        <v>3</v>
      </c>
      <c r="L497" s="36" t="n">
        <v>1</v>
      </c>
      <c r="M497" s="36" t="n">
        <v>4</v>
      </c>
      <c r="N497" s="36" t="n">
        <v>1</v>
      </c>
      <c r="O497" s="36" t="n">
        <v>1</v>
      </c>
      <c r="P497" s="36" t="n">
        <v>0</v>
      </c>
      <c r="Q497" s="36" t="n">
        <v>0</v>
      </c>
      <c r="R497" s="28" t="n">
        <v>1</v>
      </c>
      <c r="S497" s="36" t="n">
        <v>3</v>
      </c>
      <c r="T497" s="36" t="n">
        <v>2</v>
      </c>
      <c r="U497" s="36" t="n">
        <v>4.72</v>
      </c>
      <c r="V497" s="36" t="n">
        <v>4.78</v>
      </c>
      <c r="W497" s="36" t="n">
        <v>2.26</v>
      </c>
      <c r="X497" s="36" t="n">
        <v>1.62</v>
      </c>
      <c r="Y497" s="28" t="n">
        <v>2.95</v>
      </c>
      <c r="Z497" s="36" t="n">
        <v>2.35</v>
      </c>
      <c r="AA497" s="36" t="n">
        <v>2.5</v>
      </c>
      <c r="AB497" s="36" t="n">
        <v>2.59</v>
      </c>
      <c r="AC497" s="36" t="n">
        <v>2.74</v>
      </c>
      <c r="AD497" s="36" t="n">
        <v>4.09</v>
      </c>
      <c r="AE497" s="36" t="n">
        <v>1.84</v>
      </c>
      <c r="AF497" s="28" t="n">
        <v>2.92</v>
      </c>
      <c r="AG497" s="36" t="n">
        <v>2.23</v>
      </c>
      <c r="AH497" s="37" t="n">
        <v>2.23</v>
      </c>
      <c r="AI497" s="37" t="n">
        <v>2.26</v>
      </c>
      <c r="AJ497" s="37" t="n">
        <v>2.56</v>
      </c>
      <c r="AK497" s="37" t="n">
        <v>2.44</v>
      </c>
      <c r="AL497" s="37" t="n">
        <v>1.74</v>
      </c>
      <c r="AM497" s="37" t="n">
        <v>2.92</v>
      </c>
      <c r="AN497" s="37" t="n">
        <v>2.26</v>
      </c>
      <c r="AO497" s="37" t="n">
        <v>2.23</v>
      </c>
      <c r="AP497" s="37" t="n">
        <v>2.23</v>
      </c>
      <c r="AQ497" s="37" t="n">
        <v>2.44</v>
      </c>
      <c r="AR497" s="37" t="n">
        <v>2.26</v>
      </c>
      <c r="AS497" s="37" t="n">
        <v>1.68</v>
      </c>
      <c r="AT497" s="37" t="n">
        <v>3.04</v>
      </c>
      <c r="AU497" s="37" t="n">
        <v>2.59</v>
      </c>
      <c r="AV497" s="37" t="n">
        <v>2.29</v>
      </c>
      <c r="AW497" s="37" t="n">
        <v>2.2</v>
      </c>
      <c r="AX497" s="37" t="n">
        <v>2.44</v>
      </c>
      <c r="AY497" s="37" t="n">
        <v>2.23</v>
      </c>
      <c r="AZ497" s="37" t="n">
        <v>1.68</v>
      </c>
      <c r="BA497" s="37" t="n">
        <v>2.56</v>
      </c>
      <c r="BB497" s="37" t="n">
        <v>0.6</v>
      </c>
      <c r="BC497" s="37" t="n">
        <v>0.39</v>
      </c>
      <c r="BD497" s="37" t="n">
        <v>0.48</v>
      </c>
      <c r="BE497" s="37" t="n">
        <v>0.63</v>
      </c>
      <c r="BF497" s="37" t="n">
        <v>0.63</v>
      </c>
      <c r="BG497" s="37" t="n">
        <v>0.42</v>
      </c>
      <c r="BH497" s="37" t="n">
        <v>0.8100000000000001</v>
      </c>
      <c r="BI497" s="37" t="n">
        <v>0.63</v>
      </c>
      <c r="BJ497" s="37" t="n">
        <v>1.02</v>
      </c>
      <c r="BK497" s="37" t="n">
        <v>0.66</v>
      </c>
      <c r="BL497" s="37" t="n">
        <v>0.63</v>
      </c>
      <c r="BM497" s="37" t="n">
        <v>0.63</v>
      </c>
      <c r="BN497" s="37" t="n">
        <v>0.48</v>
      </c>
      <c r="BO497" s="37" t="n">
        <v>0.93</v>
      </c>
      <c r="BP497" s="37" t="n">
        <v>0.72</v>
      </c>
      <c r="BQ497" s="37" t="n">
        <v>0.66</v>
      </c>
      <c r="BR497" s="37" t="n">
        <v>0.66</v>
      </c>
      <c r="BS497" s="37" t="n">
        <v>0.63</v>
      </c>
      <c r="BT497" s="37" t="n">
        <v>0.63</v>
      </c>
      <c r="BU497" s="37" t="n">
        <v>0.42</v>
      </c>
      <c r="BV497" s="37" t="n">
        <v>0.6899999999999999</v>
      </c>
      <c r="BW497" s="37" t="n">
        <v>0.63</v>
      </c>
      <c r="BX497" s="37" t="n">
        <v>0.66</v>
      </c>
      <c r="BY497" s="37" t="n">
        <v>0.66</v>
      </c>
      <c r="BZ497" s="37" t="n">
        <v>0.63</v>
      </c>
      <c r="CA497" s="37" t="n">
        <v>0.63</v>
      </c>
      <c r="CB497" s="37" t="n">
        <v>0.42</v>
      </c>
      <c r="CC497" s="37" t="n">
        <v>122.85</v>
      </c>
    </row>
    <row r="498" ht="15.75" customHeight="1" s="57">
      <c r="A498" s="7" t="inlineStr">
        <is>
          <t>NTB</t>
        </is>
      </c>
      <c r="B498" s="7" t="inlineStr">
        <is>
          <t>Ninh Thuận</t>
        </is>
      </c>
      <c r="C498" s="7" t="n">
        <v>20150000</v>
      </c>
      <c r="D498" s="7" t="inlineStr">
        <is>
          <t>(NTH) Bảo An</t>
        </is>
      </c>
      <c r="E498" s="7" t="inlineStr">
        <is>
          <t>SME</t>
        </is>
      </c>
      <c r="F498" s="36" t="n">
        <v>278</v>
      </c>
      <c r="G498" s="36" t="n">
        <v>424</v>
      </c>
      <c r="H498" s="36" t="n">
        <v>400</v>
      </c>
      <c r="I498" s="36" t="n">
        <v>376</v>
      </c>
      <c r="J498" s="36" t="n">
        <v>414</v>
      </c>
      <c r="K498" s="28" t="n">
        <v>349</v>
      </c>
      <c r="L498" s="36" t="n">
        <v>254</v>
      </c>
      <c r="M498" s="36" t="n">
        <v>312</v>
      </c>
      <c r="N498" s="36" t="n">
        <v>343</v>
      </c>
      <c r="O498" s="36" t="n">
        <v>302</v>
      </c>
      <c r="P498" s="36" t="n">
        <v>300</v>
      </c>
      <c r="Q498" s="36" t="n">
        <v>274</v>
      </c>
      <c r="R498" s="28" t="n">
        <v>318</v>
      </c>
      <c r="S498" s="36" t="n">
        <v>233</v>
      </c>
      <c r="T498" s="36" t="n">
        <v>328</v>
      </c>
      <c r="U498" s="36" t="n">
        <v>376.72</v>
      </c>
      <c r="V498" s="36" t="n">
        <v>390.74</v>
      </c>
      <c r="W498" s="36" t="n">
        <v>380.49</v>
      </c>
      <c r="X498" s="36" t="n">
        <v>309.8</v>
      </c>
      <c r="Y498" s="28" t="n">
        <v>420.61</v>
      </c>
      <c r="Z498" s="36" t="n">
        <v>387.83</v>
      </c>
      <c r="AA498" s="36" t="n">
        <v>378.42</v>
      </c>
      <c r="AB498" s="36" t="n">
        <v>376.72</v>
      </c>
      <c r="AC498" s="36" t="n">
        <v>390.74</v>
      </c>
      <c r="AD498" s="36" t="n">
        <v>404.87</v>
      </c>
      <c r="AE498" s="36" t="n">
        <v>309.8</v>
      </c>
      <c r="AF498" s="28" t="n">
        <v>420.61</v>
      </c>
      <c r="AG498" s="36" t="n">
        <v>387.83</v>
      </c>
      <c r="AH498" s="37" t="n">
        <v>378.42</v>
      </c>
      <c r="AI498" s="37" t="n">
        <v>376.72</v>
      </c>
      <c r="AJ498" s="37" t="n">
        <v>390.74</v>
      </c>
      <c r="AK498" s="37" t="n">
        <v>380.49</v>
      </c>
      <c r="AL498" s="37" t="n">
        <v>309.8</v>
      </c>
      <c r="AM498" s="37" t="n">
        <v>420.61</v>
      </c>
      <c r="AN498" s="37" t="n">
        <v>387.83</v>
      </c>
      <c r="AO498" s="37" t="n">
        <v>378.42</v>
      </c>
      <c r="AP498" s="37" t="n">
        <v>376.72</v>
      </c>
      <c r="AQ498" s="37" t="n">
        <v>390.74</v>
      </c>
      <c r="AR498" s="37" t="n">
        <v>380.49</v>
      </c>
      <c r="AS498" s="37" t="n">
        <v>309.8</v>
      </c>
      <c r="AT498" s="37" t="n">
        <v>420.61</v>
      </c>
      <c r="AU498" s="37" t="n">
        <v>387.83</v>
      </c>
      <c r="AV498" s="37" t="n">
        <v>378.42</v>
      </c>
      <c r="AW498" s="37" t="n">
        <v>376.72</v>
      </c>
      <c r="AX498" s="37" t="n">
        <v>390.74</v>
      </c>
      <c r="AY498" s="37" t="n">
        <v>380.49</v>
      </c>
      <c r="AZ498" s="37" t="n">
        <v>309.8</v>
      </c>
      <c r="BA498" s="37" t="n">
        <v>378.81</v>
      </c>
      <c r="BB498" s="37" t="n">
        <v>339.92</v>
      </c>
      <c r="BC498" s="37" t="n">
        <v>213.97</v>
      </c>
      <c r="BD498" s="37" t="n">
        <v>213</v>
      </c>
      <c r="BE498" s="37" t="n">
        <v>362.23</v>
      </c>
      <c r="BF498" s="37" t="n">
        <v>352.25</v>
      </c>
      <c r="BG498" s="37" t="n">
        <v>319.7</v>
      </c>
      <c r="BH498" s="37" t="n">
        <v>433.42</v>
      </c>
      <c r="BI498" s="37" t="n">
        <v>399.85</v>
      </c>
      <c r="BJ498" s="37" t="n">
        <v>415.85</v>
      </c>
      <c r="BK498" s="37" t="n">
        <v>388.56</v>
      </c>
      <c r="BL498" s="37" t="n">
        <v>402.76</v>
      </c>
      <c r="BM498" s="37" t="n">
        <v>392.32</v>
      </c>
      <c r="BN498" s="37" t="n">
        <v>319.7</v>
      </c>
      <c r="BO498" s="37" t="n">
        <v>433.42</v>
      </c>
      <c r="BP498" s="37" t="n">
        <v>399.85</v>
      </c>
      <c r="BQ498" s="37" t="n">
        <v>390.26</v>
      </c>
      <c r="BR498" s="37" t="n">
        <v>388.56</v>
      </c>
      <c r="BS498" s="37" t="n">
        <v>402.76</v>
      </c>
      <c r="BT498" s="37" t="n">
        <v>392.32</v>
      </c>
      <c r="BU498" s="37" t="n">
        <v>319.7</v>
      </c>
      <c r="BV498" s="37" t="n">
        <v>433.42</v>
      </c>
      <c r="BW498" s="37" t="n">
        <v>399.85</v>
      </c>
      <c r="BX498" s="37" t="n">
        <v>390.26</v>
      </c>
      <c r="BY498" s="37" t="n">
        <v>388.56</v>
      </c>
      <c r="BZ498" s="37" t="n">
        <v>402.76</v>
      </c>
      <c r="CA498" s="37" t="n">
        <v>392.32</v>
      </c>
      <c r="CB498" s="37" t="n">
        <v>319.7</v>
      </c>
      <c r="CC498" s="37" t="n">
        <v>27351.64999999998</v>
      </c>
    </row>
    <row r="499" ht="15.75" customHeight="1" s="57">
      <c r="A499" s="7" t="inlineStr">
        <is>
          <t>NTB</t>
        </is>
      </c>
      <c r="B499" s="7" t="inlineStr">
        <is>
          <t>Ninh Thuận</t>
        </is>
      </c>
      <c r="C499" s="7" t="n">
        <v>20150000</v>
      </c>
      <c r="D499" s="7" t="inlineStr">
        <is>
          <t>(NTH) Bảo An</t>
        </is>
      </c>
      <c r="E499" s="7" t="inlineStr">
        <is>
          <t>SME-Bulky</t>
        </is>
      </c>
      <c r="F499" s="36" t="n">
        <v>28</v>
      </c>
      <c r="G499" s="36" t="n">
        <v>14</v>
      </c>
      <c r="H499" s="36" t="n">
        <v>10</v>
      </c>
      <c r="I499" s="36" t="n">
        <v>16</v>
      </c>
      <c r="J499" s="36" t="n">
        <v>16</v>
      </c>
      <c r="K499" s="28" t="n">
        <v>15</v>
      </c>
      <c r="L499" s="36" t="n">
        <v>21</v>
      </c>
      <c r="M499" s="36" t="n">
        <v>20</v>
      </c>
      <c r="N499" s="36" t="n">
        <v>18</v>
      </c>
      <c r="O499" s="36" t="n">
        <v>25</v>
      </c>
      <c r="P499" s="36" t="n">
        <v>22</v>
      </c>
      <c r="Q499" s="36" t="n">
        <v>21</v>
      </c>
      <c r="R499" s="28" t="n">
        <v>12</v>
      </c>
      <c r="S499" s="36" t="n">
        <v>18</v>
      </c>
      <c r="T499" s="36" t="n">
        <v>16</v>
      </c>
      <c r="U499" s="36" t="n">
        <v>18.25</v>
      </c>
      <c r="V499" s="36" t="n">
        <v>18.41</v>
      </c>
      <c r="W499" s="36" t="n">
        <v>17.46</v>
      </c>
      <c r="X499" s="36" t="n">
        <v>10.38</v>
      </c>
      <c r="Y499" s="28" t="n">
        <v>20.77</v>
      </c>
      <c r="Z499" s="36" t="n">
        <v>19.51</v>
      </c>
      <c r="AA499" s="36" t="n">
        <v>19.04</v>
      </c>
      <c r="AB499" s="36" t="n">
        <v>18.25</v>
      </c>
      <c r="AC499" s="36" t="n">
        <v>18.41</v>
      </c>
      <c r="AD499" s="36" t="n">
        <v>17.62</v>
      </c>
      <c r="AE499" s="36" t="n">
        <v>10.38</v>
      </c>
      <c r="AF499" s="28" t="n">
        <v>20.77</v>
      </c>
      <c r="AG499" s="36" t="n">
        <v>19.51</v>
      </c>
      <c r="AH499" s="37" t="n">
        <v>19.04</v>
      </c>
      <c r="AI499" s="37" t="n">
        <v>18.25</v>
      </c>
      <c r="AJ499" s="37" t="n">
        <v>18.41</v>
      </c>
      <c r="AK499" s="37" t="n">
        <v>17.46</v>
      </c>
      <c r="AL499" s="37" t="n">
        <v>10.38</v>
      </c>
      <c r="AM499" s="37" t="n">
        <v>20.77</v>
      </c>
      <c r="AN499" s="37" t="n">
        <v>19.51</v>
      </c>
      <c r="AO499" s="37" t="n">
        <v>19.04</v>
      </c>
      <c r="AP499" s="37" t="n">
        <v>18.25</v>
      </c>
      <c r="AQ499" s="37" t="n">
        <v>18.41</v>
      </c>
      <c r="AR499" s="37" t="n">
        <v>17.46</v>
      </c>
      <c r="AS499" s="37" t="n">
        <v>10.38</v>
      </c>
      <c r="AT499" s="37" t="n">
        <v>20.77</v>
      </c>
      <c r="AU499" s="37" t="n">
        <v>19.51</v>
      </c>
      <c r="AV499" s="37" t="n">
        <v>19.04</v>
      </c>
      <c r="AW499" s="37" t="n">
        <v>18.25</v>
      </c>
      <c r="AX499" s="37" t="n">
        <v>18.41</v>
      </c>
      <c r="AY499" s="37" t="n">
        <v>17.46</v>
      </c>
      <c r="AZ499" s="37" t="n">
        <v>10.38</v>
      </c>
      <c r="BA499" s="37" t="n">
        <v>20.61</v>
      </c>
      <c r="BB499" s="37" t="n">
        <v>10.38</v>
      </c>
      <c r="BC499" s="37" t="n">
        <v>4.41</v>
      </c>
      <c r="BD499" s="37" t="n">
        <v>3.93</v>
      </c>
      <c r="BE499" s="37" t="n">
        <v>8.02</v>
      </c>
      <c r="BF499" s="37" t="n">
        <v>8.18</v>
      </c>
      <c r="BG499" s="37" t="n">
        <v>5.98</v>
      </c>
      <c r="BH499" s="37" t="n">
        <v>11.96</v>
      </c>
      <c r="BI499" s="37" t="n">
        <v>11.64</v>
      </c>
      <c r="BJ499" s="37" t="n">
        <v>11.8</v>
      </c>
      <c r="BK499" s="37" t="n">
        <v>10.54</v>
      </c>
      <c r="BL499" s="37" t="n">
        <v>10.86</v>
      </c>
      <c r="BM499" s="37" t="n">
        <v>10.23</v>
      </c>
      <c r="BN499" s="37" t="n">
        <v>5.98</v>
      </c>
      <c r="BO499" s="37" t="n">
        <v>11.96</v>
      </c>
      <c r="BP499" s="37" t="n">
        <v>11.64</v>
      </c>
      <c r="BQ499" s="37" t="n">
        <v>11.01</v>
      </c>
      <c r="BR499" s="37" t="n">
        <v>10.54</v>
      </c>
      <c r="BS499" s="37" t="n">
        <v>10.86</v>
      </c>
      <c r="BT499" s="37" t="n">
        <v>10.23</v>
      </c>
      <c r="BU499" s="37" t="n">
        <v>5.98</v>
      </c>
      <c r="BV499" s="37" t="n">
        <v>11.96</v>
      </c>
      <c r="BW499" s="37" t="n">
        <v>11.64</v>
      </c>
      <c r="BX499" s="37" t="n">
        <v>11.01</v>
      </c>
      <c r="BY499" s="37" t="n">
        <v>10.54</v>
      </c>
      <c r="BZ499" s="37" t="n">
        <v>10.86</v>
      </c>
      <c r="CA499" s="37" t="n">
        <v>10.23</v>
      </c>
      <c r="CB499" s="37" t="n">
        <v>5.98</v>
      </c>
      <c r="CC499" s="37" t="n">
        <v>1110.9</v>
      </c>
    </row>
    <row r="500" ht="15.75" customHeight="1" s="57">
      <c r="A500" s="7" t="inlineStr">
        <is>
          <t>NTB</t>
        </is>
      </c>
      <c r="B500" s="7" t="inlineStr">
        <is>
          <t>Ninh Thuận</t>
        </is>
      </c>
      <c r="C500" s="7" t="n">
        <v>20150000</v>
      </c>
      <c r="D500" s="7" t="inlineStr">
        <is>
          <t>(NTH) Bảo An</t>
        </is>
      </c>
      <c r="E500" s="7" t="inlineStr">
        <is>
          <t>Shopee</t>
        </is>
      </c>
      <c r="F500" s="36" t="n">
        <v>261</v>
      </c>
      <c r="G500" s="36" t="n">
        <v>368</v>
      </c>
      <c r="H500" s="36" t="n">
        <v>351</v>
      </c>
      <c r="I500" s="36" t="n">
        <v>370</v>
      </c>
      <c r="J500" s="36" t="n">
        <v>308</v>
      </c>
      <c r="K500" s="28" t="n">
        <v>206</v>
      </c>
      <c r="L500" s="36" t="n">
        <v>214</v>
      </c>
      <c r="M500" s="36" t="n">
        <v>311</v>
      </c>
      <c r="N500" s="36" t="n">
        <v>420</v>
      </c>
      <c r="O500" s="36" t="n">
        <v>310</v>
      </c>
      <c r="P500" s="36" t="n">
        <v>255</v>
      </c>
      <c r="Q500" s="36" t="n">
        <v>232</v>
      </c>
      <c r="R500" s="28" t="n">
        <v>235</v>
      </c>
      <c r="S500" s="36" t="n">
        <v>185</v>
      </c>
      <c r="T500" s="36" t="n">
        <v>307</v>
      </c>
      <c r="U500" s="36" t="n">
        <v>316.48</v>
      </c>
      <c r="V500" s="36" t="n">
        <v>317.5</v>
      </c>
      <c r="W500" s="36" t="n">
        <v>313.22</v>
      </c>
      <c r="X500" s="36" t="n">
        <v>256.08</v>
      </c>
      <c r="Y500" s="28" t="n">
        <v>427.08</v>
      </c>
      <c r="Z500" s="36" t="n">
        <v>338.31</v>
      </c>
      <c r="AA500" s="36" t="n">
        <v>465.44</v>
      </c>
      <c r="AB500" s="36" t="n">
        <v>322.6</v>
      </c>
      <c r="AC500" s="36" t="n">
        <v>261.59</v>
      </c>
      <c r="AD500" s="36" t="n">
        <v>679.89</v>
      </c>
      <c r="AE500" s="36" t="n">
        <v>273.22</v>
      </c>
      <c r="AF500" s="28" t="n">
        <v>486.45</v>
      </c>
      <c r="AG500" s="36" t="n">
        <v>355.45</v>
      </c>
      <c r="AH500" s="37" t="n">
        <v>375.86</v>
      </c>
      <c r="AI500" s="37" t="n">
        <v>316.48</v>
      </c>
      <c r="AJ500" s="37" t="n">
        <v>317.5</v>
      </c>
      <c r="AK500" s="37" t="n">
        <v>423.2</v>
      </c>
      <c r="AL500" s="37" t="n">
        <v>457.89</v>
      </c>
      <c r="AM500" s="37" t="n">
        <v>427.08</v>
      </c>
      <c r="AN500" s="37" t="n">
        <v>338.31</v>
      </c>
      <c r="AO500" s="37" t="n">
        <v>375.86</v>
      </c>
      <c r="AP500" s="37" t="n">
        <v>396.26</v>
      </c>
      <c r="AQ500" s="37" t="n">
        <v>256.08</v>
      </c>
      <c r="AR500" s="37" t="n">
        <v>313.22</v>
      </c>
      <c r="AS500" s="37" t="n">
        <v>256.08</v>
      </c>
      <c r="AT500" s="37" t="n">
        <v>427.08</v>
      </c>
      <c r="AU500" s="37" t="n">
        <v>345.25</v>
      </c>
      <c r="AV500" s="37" t="n">
        <v>382.59</v>
      </c>
      <c r="AW500" s="37" t="n">
        <v>316.48</v>
      </c>
      <c r="AX500" s="37" t="n">
        <v>317.5</v>
      </c>
      <c r="AY500" s="37" t="n">
        <v>313.22</v>
      </c>
      <c r="AZ500" s="37" t="n">
        <v>256.08</v>
      </c>
      <c r="BA500" s="37" t="n">
        <v>329.13</v>
      </c>
      <c r="BB500" s="37" t="n">
        <v>286.08</v>
      </c>
      <c r="BC500" s="37" t="n">
        <v>146.51</v>
      </c>
      <c r="BD500" s="37" t="n">
        <v>259.96</v>
      </c>
      <c r="BE500" s="37" t="n">
        <v>302.61</v>
      </c>
      <c r="BF500" s="37" t="n">
        <v>298.52</v>
      </c>
      <c r="BG500" s="37" t="n">
        <v>248.53</v>
      </c>
      <c r="BH500" s="37" t="n">
        <v>406.87</v>
      </c>
      <c r="BI500" s="37" t="n">
        <v>265.06</v>
      </c>
      <c r="BJ500" s="37" t="n">
        <v>963.52</v>
      </c>
      <c r="BK500" s="37" t="n">
        <v>324.03</v>
      </c>
      <c r="BL500" s="37" t="n">
        <v>318.73</v>
      </c>
      <c r="BM500" s="37" t="n">
        <v>298.52</v>
      </c>
      <c r="BN500" s="37" t="n">
        <v>244.04</v>
      </c>
      <c r="BO500" s="37" t="n">
        <v>406.87</v>
      </c>
      <c r="BP500" s="37" t="n">
        <v>434.42</v>
      </c>
      <c r="BQ500" s="37" t="n">
        <v>641.53</v>
      </c>
      <c r="BR500" s="37" t="n">
        <v>301.79</v>
      </c>
      <c r="BS500" s="37" t="n">
        <v>302.61</v>
      </c>
      <c r="BT500" s="37" t="n">
        <v>298.52</v>
      </c>
      <c r="BU500" s="37" t="n">
        <v>303.01</v>
      </c>
      <c r="BV500" s="37" t="n">
        <v>326.89</v>
      </c>
      <c r="BW500" s="37" t="n">
        <v>322.6</v>
      </c>
      <c r="BX500" s="37" t="n">
        <v>358.11</v>
      </c>
      <c r="BY500" s="37" t="n">
        <v>301.79</v>
      </c>
      <c r="BZ500" s="37" t="n">
        <v>309.13</v>
      </c>
      <c r="CA500" s="37" t="n">
        <v>304.03</v>
      </c>
      <c r="CB500" s="37" t="n">
        <v>244.04</v>
      </c>
      <c r="CC500" s="37" t="n">
        <v>25305.78</v>
      </c>
    </row>
    <row r="501" ht="15.75" customHeight="1" s="57">
      <c r="A501" s="7" t="inlineStr">
        <is>
          <t>NTB</t>
        </is>
      </c>
      <c r="B501" s="7" t="inlineStr">
        <is>
          <t>Ninh Thuận</t>
        </is>
      </c>
      <c r="C501" s="7" t="n">
        <v>20150000</v>
      </c>
      <c r="D501" s="7" t="inlineStr">
        <is>
          <t>(NTH) Bảo An</t>
        </is>
      </c>
      <c r="E501" s="7" t="inlineStr">
        <is>
          <t>Shopee-Bulky</t>
        </is>
      </c>
      <c r="F501" s="36" t="n">
        <v>17.97</v>
      </c>
      <c r="G501" s="36" t="n">
        <v>21.69</v>
      </c>
      <c r="H501" s="36" t="n">
        <v>24.17</v>
      </c>
      <c r="I501" s="36" t="n">
        <v>18.59</v>
      </c>
      <c r="J501" s="36" t="n">
        <v>21.07</v>
      </c>
      <c r="K501" s="28" t="n">
        <v>14.87</v>
      </c>
      <c r="L501" s="36" t="n">
        <v>13.63</v>
      </c>
      <c r="M501" s="36" t="n">
        <v>17.97</v>
      </c>
      <c r="N501" s="36" t="n">
        <v>21.07</v>
      </c>
      <c r="O501" s="36" t="n">
        <v>22.93</v>
      </c>
      <c r="P501" s="36" t="n">
        <v>19.83</v>
      </c>
      <c r="Q501" s="36" t="n">
        <v>19.83</v>
      </c>
      <c r="R501" s="28" t="n">
        <v>24.79</v>
      </c>
      <c r="S501" s="36" t="n">
        <v>12.39</v>
      </c>
      <c r="T501" s="36" t="n">
        <v>16.11</v>
      </c>
      <c r="U501" s="36" t="n">
        <v>18.8</v>
      </c>
      <c r="V501" s="36" t="n">
        <v>17.86</v>
      </c>
      <c r="W501" s="36" t="n">
        <v>24.6</v>
      </c>
      <c r="X501" s="36" t="n">
        <v>13.6</v>
      </c>
      <c r="Y501" s="28" t="n">
        <v>28.62</v>
      </c>
      <c r="Z501" s="36" t="n">
        <v>22.23</v>
      </c>
      <c r="AA501" s="36" t="n">
        <v>21.4</v>
      </c>
      <c r="AB501" s="36" t="n">
        <v>22.23</v>
      </c>
      <c r="AC501" s="36" t="n">
        <v>22.11</v>
      </c>
      <c r="AD501" s="36" t="n">
        <v>71.78</v>
      </c>
      <c r="AE501" s="36" t="n">
        <v>36.07</v>
      </c>
      <c r="AF501" s="28" t="n">
        <v>56.29</v>
      </c>
      <c r="AG501" s="36" t="n">
        <v>32.76</v>
      </c>
      <c r="AH501" s="37" t="n">
        <v>22.11</v>
      </c>
      <c r="AI501" s="37" t="n">
        <v>21.64</v>
      </c>
      <c r="AJ501" s="37" t="n">
        <v>19.87</v>
      </c>
      <c r="AK501" s="37" t="n">
        <v>47.18</v>
      </c>
      <c r="AL501" s="37" t="n">
        <v>23.3</v>
      </c>
      <c r="AM501" s="37" t="n">
        <v>35.59</v>
      </c>
      <c r="AN501" s="37" t="n">
        <v>21.76</v>
      </c>
      <c r="AO501" s="37" t="n">
        <v>20.46</v>
      </c>
      <c r="AP501" s="37" t="n">
        <v>29.56</v>
      </c>
      <c r="AQ501" s="37" t="n">
        <v>28.03</v>
      </c>
      <c r="AR501" s="37" t="n">
        <v>22.47</v>
      </c>
      <c r="AS501" s="37" t="n">
        <v>12.3</v>
      </c>
      <c r="AT501" s="37" t="n">
        <v>25.9</v>
      </c>
      <c r="AU501" s="37" t="n">
        <v>42.22</v>
      </c>
      <c r="AV501" s="37" t="n">
        <v>44.7</v>
      </c>
      <c r="AW501" s="37" t="n">
        <v>20.58</v>
      </c>
      <c r="AX501" s="37" t="n">
        <v>18.92</v>
      </c>
      <c r="AY501" s="37" t="n">
        <v>21.64</v>
      </c>
      <c r="AZ501" s="37" t="n">
        <v>11.47</v>
      </c>
      <c r="BA501" s="37" t="n">
        <v>23.77</v>
      </c>
      <c r="BB501" s="37" t="n">
        <v>21.17</v>
      </c>
      <c r="BC501" s="37" t="n">
        <v>6.5</v>
      </c>
      <c r="BD501" s="37" t="n">
        <v>18.68</v>
      </c>
      <c r="BE501" s="37" t="n">
        <v>22.35</v>
      </c>
      <c r="BF501" s="37" t="n">
        <v>19.51</v>
      </c>
      <c r="BG501" s="37" t="n">
        <v>15.96</v>
      </c>
      <c r="BH501" s="37" t="n">
        <v>31.1</v>
      </c>
      <c r="BI501" s="37" t="n">
        <v>26.02</v>
      </c>
      <c r="BJ501" s="37" t="n">
        <v>113.28</v>
      </c>
      <c r="BK501" s="37" t="n">
        <v>55.58</v>
      </c>
      <c r="BL501" s="37" t="n">
        <v>28.97</v>
      </c>
      <c r="BM501" s="37" t="n">
        <v>19.98</v>
      </c>
      <c r="BN501" s="37" t="n">
        <v>15.96</v>
      </c>
      <c r="BO501" s="37" t="n">
        <v>36.07</v>
      </c>
      <c r="BP501" s="37" t="n">
        <v>51.68</v>
      </c>
      <c r="BQ501" s="37" t="n">
        <v>38.08</v>
      </c>
      <c r="BR501" s="37" t="n">
        <v>23.89</v>
      </c>
      <c r="BS501" s="37" t="n">
        <v>22.35</v>
      </c>
      <c r="BT501" s="37" t="n">
        <v>19.51</v>
      </c>
      <c r="BU501" s="37" t="n">
        <v>23.3</v>
      </c>
      <c r="BV501" s="37" t="n">
        <v>32.64</v>
      </c>
      <c r="BW501" s="37" t="n">
        <v>26.02</v>
      </c>
      <c r="BX501" s="37" t="n">
        <v>24.36</v>
      </c>
      <c r="BY501" s="37" t="n">
        <v>23.89</v>
      </c>
      <c r="BZ501" s="37" t="n">
        <v>41.39</v>
      </c>
      <c r="CA501" s="37" t="n">
        <v>23.3</v>
      </c>
      <c r="CB501" s="37" t="n">
        <v>15.14</v>
      </c>
      <c r="CC501" s="37" t="n">
        <v>1985.41</v>
      </c>
    </row>
    <row r="502" ht="15.75" customHeight="1" s="57">
      <c r="A502" s="7" t="inlineStr">
        <is>
          <t>NTB</t>
        </is>
      </c>
      <c r="B502" s="7" t="inlineStr">
        <is>
          <t>Ninh Thuận</t>
        </is>
      </c>
      <c r="C502" s="7" t="n">
        <v>20150000</v>
      </c>
      <c r="D502" s="7" t="inlineStr">
        <is>
          <t>(NTH) Bảo An</t>
        </is>
      </c>
      <c r="E502" s="7" t="inlineStr">
        <is>
          <t>Shopee-Bulky (10-15kg)</t>
        </is>
      </c>
      <c r="F502" s="36" t="n">
        <v>11.03</v>
      </c>
      <c r="G502" s="36" t="n">
        <v>13.31</v>
      </c>
      <c r="H502" s="36" t="n">
        <v>14.83</v>
      </c>
      <c r="I502" s="36" t="n">
        <v>11.41</v>
      </c>
      <c r="J502" s="36" t="n">
        <v>12.93</v>
      </c>
      <c r="K502" s="28" t="n">
        <v>9.130000000000001</v>
      </c>
      <c r="L502" s="36" t="n">
        <v>8.369999999999999</v>
      </c>
      <c r="M502" s="36" t="n">
        <v>11.03</v>
      </c>
      <c r="N502" s="36" t="n">
        <v>12.93</v>
      </c>
      <c r="O502" s="36" t="n">
        <v>14.07</v>
      </c>
      <c r="P502" s="36" t="n">
        <v>12.17</v>
      </c>
      <c r="Q502" s="36" t="n">
        <v>12.17</v>
      </c>
      <c r="R502" s="28" t="n">
        <v>15.21</v>
      </c>
      <c r="S502" s="36" t="n">
        <v>7.61</v>
      </c>
      <c r="T502" s="36" t="n">
        <v>9.890000000000001</v>
      </c>
      <c r="U502" s="36" t="n">
        <v>12.42</v>
      </c>
      <c r="V502" s="36" t="n">
        <v>11.94</v>
      </c>
      <c r="W502" s="36" t="n">
        <v>15.14</v>
      </c>
      <c r="X502" s="36" t="n">
        <v>8.51</v>
      </c>
      <c r="Y502" s="28" t="n">
        <v>18.33</v>
      </c>
      <c r="Z502" s="36" t="n">
        <v>13.48</v>
      </c>
      <c r="AA502" s="36" t="n">
        <v>13.36</v>
      </c>
      <c r="AB502" s="36" t="n">
        <v>13.13</v>
      </c>
      <c r="AC502" s="36" t="n">
        <v>14.19</v>
      </c>
      <c r="AD502" s="36" t="n">
        <v>54.28</v>
      </c>
      <c r="AE502" s="36" t="n">
        <v>21.88</v>
      </c>
      <c r="AF502" s="28" t="n">
        <v>31.57</v>
      </c>
      <c r="AG502" s="36" t="n">
        <v>19.75</v>
      </c>
      <c r="AH502" s="37" t="n">
        <v>13.24</v>
      </c>
      <c r="AI502" s="37" t="n">
        <v>13.72</v>
      </c>
      <c r="AJ502" s="37" t="n">
        <v>12.53</v>
      </c>
      <c r="AK502" s="37" t="n">
        <v>29.92</v>
      </c>
      <c r="AL502" s="37" t="n">
        <v>14.07</v>
      </c>
      <c r="AM502" s="37" t="n">
        <v>22.47</v>
      </c>
      <c r="AN502" s="37" t="n">
        <v>13.36</v>
      </c>
      <c r="AO502" s="37" t="n">
        <v>12.77</v>
      </c>
      <c r="AP502" s="37" t="n">
        <v>17.62</v>
      </c>
      <c r="AQ502" s="37" t="n">
        <v>17.86</v>
      </c>
      <c r="AR502" s="37" t="n">
        <v>13.95</v>
      </c>
      <c r="AS502" s="37" t="n">
        <v>7.8</v>
      </c>
      <c r="AT502" s="37" t="n">
        <v>16.44</v>
      </c>
      <c r="AU502" s="37" t="n">
        <v>27.43</v>
      </c>
      <c r="AV502" s="37" t="n">
        <v>28.38</v>
      </c>
      <c r="AW502" s="37" t="n">
        <v>13.01</v>
      </c>
      <c r="AX502" s="37" t="n">
        <v>12.06</v>
      </c>
      <c r="AY502" s="37" t="n">
        <v>13.6</v>
      </c>
      <c r="AZ502" s="37" t="n">
        <v>7.33</v>
      </c>
      <c r="BA502" s="37" t="n">
        <v>14.9</v>
      </c>
      <c r="BB502" s="37" t="n">
        <v>13.13</v>
      </c>
      <c r="BC502" s="37" t="n">
        <v>3.78</v>
      </c>
      <c r="BD502" s="37" t="n">
        <v>11.12</v>
      </c>
      <c r="BE502" s="37" t="n">
        <v>14.31</v>
      </c>
      <c r="BF502" s="37" t="n">
        <v>11.94</v>
      </c>
      <c r="BG502" s="37" t="n">
        <v>9.699999999999999</v>
      </c>
      <c r="BH502" s="37" t="n">
        <v>19.39</v>
      </c>
      <c r="BI502" s="37" t="n">
        <v>15.96</v>
      </c>
      <c r="BJ502" s="37" t="n">
        <v>75.56</v>
      </c>
      <c r="BK502" s="37" t="n">
        <v>33.35</v>
      </c>
      <c r="BL502" s="37" t="n">
        <v>18.33</v>
      </c>
      <c r="BM502" s="37" t="n">
        <v>12.89</v>
      </c>
      <c r="BN502" s="37" t="n">
        <v>9.93</v>
      </c>
      <c r="BO502" s="37" t="n">
        <v>22.23</v>
      </c>
      <c r="BP502" s="37" t="n">
        <v>31.34</v>
      </c>
      <c r="BQ502" s="37" t="n">
        <v>23.18</v>
      </c>
      <c r="BR502" s="37" t="n">
        <v>14.9</v>
      </c>
      <c r="BS502" s="37" t="n">
        <v>14.31</v>
      </c>
      <c r="BT502" s="37" t="n">
        <v>11.94</v>
      </c>
      <c r="BU502" s="37" t="n">
        <v>14.54</v>
      </c>
      <c r="BV502" s="37" t="n">
        <v>19.87</v>
      </c>
      <c r="BW502" s="37" t="n">
        <v>15.96</v>
      </c>
      <c r="BX502" s="37" t="n">
        <v>15.02</v>
      </c>
      <c r="BY502" s="37" t="n">
        <v>14.9</v>
      </c>
      <c r="BZ502" s="37" t="n">
        <v>26.02</v>
      </c>
      <c r="CA502" s="37" t="n">
        <v>14.78</v>
      </c>
      <c r="CB502" s="37" t="n">
        <v>9.220000000000001</v>
      </c>
      <c r="CC502" s="37" t="n">
        <v>1244.13</v>
      </c>
    </row>
    <row r="503" ht="15.75" customHeight="1" s="57">
      <c r="A503" s="7" t="inlineStr">
        <is>
          <t>NTB</t>
        </is>
      </c>
      <c r="B503" s="7" t="inlineStr">
        <is>
          <t>Ninh Thuận</t>
        </is>
      </c>
      <c r="C503" s="7" t="n">
        <v>20150000</v>
      </c>
      <c r="D503" s="7" t="inlineStr">
        <is>
          <t>(NTH) Bảo An</t>
        </is>
      </c>
      <c r="E503" s="7" t="inlineStr">
        <is>
          <t>TTS</t>
        </is>
      </c>
      <c r="F503" s="36" t="n">
        <v>171</v>
      </c>
      <c r="G503" s="36" t="n">
        <v>271</v>
      </c>
      <c r="H503" s="36" t="n">
        <v>216</v>
      </c>
      <c r="I503" s="36" t="n">
        <v>264</v>
      </c>
      <c r="J503" s="36" t="n">
        <v>231</v>
      </c>
      <c r="K503" s="28" t="n">
        <v>207</v>
      </c>
      <c r="L503" s="36" t="n">
        <v>184</v>
      </c>
      <c r="M503" s="36" t="n">
        <v>230</v>
      </c>
      <c r="N503" s="36" t="n">
        <v>243</v>
      </c>
      <c r="O503" s="36" t="n">
        <v>197</v>
      </c>
      <c r="P503" s="36" t="n">
        <v>213</v>
      </c>
      <c r="Q503" s="36" t="n">
        <v>184</v>
      </c>
      <c r="R503" s="28" t="n">
        <v>201</v>
      </c>
      <c r="S503" s="36" t="n">
        <v>166</v>
      </c>
      <c r="T503" s="36" t="n">
        <v>291</v>
      </c>
      <c r="U503" s="36" t="n">
        <v>163.56</v>
      </c>
      <c r="V503" s="36" t="n">
        <v>160.13</v>
      </c>
      <c r="W503" s="36" t="n">
        <v>156.68</v>
      </c>
      <c r="X503" s="36" t="n">
        <v>126.31</v>
      </c>
      <c r="Y503" s="28" t="n">
        <v>184.45</v>
      </c>
      <c r="Z503" s="36" t="n">
        <v>156.68</v>
      </c>
      <c r="AA503" s="36" t="n">
        <v>174.04</v>
      </c>
      <c r="AB503" s="36" t="n">
        <v>192.63</v>
      </c>
      <c r="AC503" s="36" t="n">
        <v>203.58</v>
      </c>
      <c r="AD503" s="36" t="n">
        <v>211.2</v>
      </c>
      <c r="AE503" s="36" t="n">
        <v>146.94</v>
      </c>
      <c r="AF503" s="28" t="n">
        <v>189.92</v>
      </c>
      <c r="AG503" s="36" t="n">
        <v>159.97</v>
      </c>
      <c r="AH503" s="37" t="n">
        <v>157.78</v>
      </c>
      <c r="AI503" s="37" t="n">
        <v>181.23</v>
      </c>
      <c r="AJ503" s="37" t="n">
        <v>193.42</v>
      </c>
      <c r="AK503" s="37" t="n">
        <v>191.07</v>
      </c>
      <c r="AL503" s="37" t="n">
        <v>136.62</v>
      </c>
      <c r="AM503" s="37" t="n">
        <v>187.27</v>
      </c>
      <c r="AN503" s="37" t="n">
        <v>161.84</v>
      </c>
      <c r="AO503" s="37" t="n">
        <v>160.75</v>
      </c>
      <c r="AP503" s="37" t="n">
        <v>155.44</v>
      </c>
      <c r="AQ503" s="37" t="n">
        <v>157.15</v>
      </c>
      <c r="AR503" s="37" t="n">
        <v>154.19</v>
      </c>
      <c r="AS503" s="37" t="n">
        <v>126.46</v>
      </c>
      <c r="AT503" s="37" t="n">
        <v>203.37</v>
      </c>
      <c r="AU503" s="37" t="n">
        <v>183.88</v>
      </c>
      <c r="AV503" s="37" t="n">
        <v>163.09</v>
      </c>
      <c r="AW503" s="37" t="n">
        <v>153.56</v>
      </c>
      <c r="AX503" s="37" t="n">
        <v>153.09</v>
      </c>
      <c r="AY503" s="37" t="n">
        <v>152.62</v>
      </c>
      <c r="AZ503" s="37" t="n">
        <v>126.62</v>
      </c>
      <c r="BA503" s="37" t="n">
        <v>183.05</v>
      </c>
      <c r="BB503" s="37" t="n">
        <v>171.69</v>
      </c>
      <c r="BC503" s="37" t="n">
        <v>102.07</v>
      </c>
      <c r="BD503" s="37" t="n">
        <v>148.09</v>
      </c>
      <c r="BE503" s="37" t="n">
        <v>173.73</v>
      </c>
      <c r="BF503" s="37" t="n">
        <v>168.88</v>
      </c>
      <c r="BG503" s="37" t="n">
        <v>136.62</v>
      </c>
      <c r="BH503" s="37" t="n">
        <v>202.59</v>
      </c>
      <c r="BI503" s="37" t="n">
        <v>171.69</v>
      </c>
      <c r="BJ503" s="37" t="n">
        <v>160.51</v>
      </c>
      <c r="BK503" s="37" t="n">
        <v>173.41</v>
      </c>
      <c r="BL503" s="37" t="n">
        <v>173.73</v>
      </c>
      <c r="BM503" s="37" t="n">
        <v>168.88</v>
      </c>
      <c r="BN503" s="37" t="n">
        <v>136.62</v>
      </c>
      <c r="BO503" s="37" t="n">
        <v>202.59</v>
      </c>
      <c r="BP503" s="37" t="n">
        <v>171.69</v>
      </c>
      <c r="BQ503" s="37" t="n">
        <v>169.19</v>
      </c>
      <c r="BR503" s="37" t="n">
        <v>173.41</v>
      </c>
      <c r="BS503" s="37" t="n">
        <v>173.73</v>
      </c>
      <c r="BT503" s="37" t="n">
        <v>168.88</v>
      </c>
      <c r="BU503" s="37" t="n">
        <v>136.62</v>
      </c>
      <c r="BV503" s="37" t="n">
        <v>202.59</v>
      </c>
      <c r="BW503" s="37" t="n">
        <v>171.69</v>
      </c>
      <c r="BX503" s="37" t="n">
        <v>169.19</v>
      </c>
      <c r="BY503" s="37" t="n">
        <v>173.41</v>
      </c>
      <c r="BZ503" s="37" t="n">
        <v>173.73</v>
      </c>
      <c r="CA503" s="37" t="n">
        <v>168.88</v>
      </c>
      <c r="CB503" s="37" t="n">
        <v>136.62</v>
      </c>
      <c r="CC503" s="37" t="n">
        <v>13258.32</v>
      </c>
    </row>
    <row r="504" ht="15.75" customHeight="1" s="57">
      <c r="A504" s="7" t="inlineStr">
        <is>
          <t>NTB</t>
        </is>
      </c>
      <c r="B504" s="7" t="inlineStr">
        <is>
          <t>Ninh Thuận</t>
        </is>
      </c>
      <c r="C504" s="7" t="n">
        <v>20150000</v>
      </c>
      <c r="D504" s="7" t="inlineStr">
        <is>
          <t>(NTH) Bảo An</t>
        </is>
      </c>
      <c r="E504" s="7" t="inlineStr">
        <is>
          <t>TTS-Bulky</t>
        </is>
      </c>
      <c r="F504" s="36" t="n">
        <v>2</v>
      </c>
      <c r="G504" s="36" t="n">
        <v>2</v>
      </c>
      <c r="H504" s="36" t="n">
        <v>1</v>
      </c>
      <c r="I504" s="36" t="n">
        <v>4</v>
      </c>
      <c r="J504" s="36" t="n">
        <v>1</v>
      </c>
      <c r="K504" s="28" t="n">
        <v>1</v>
      </c>
      <c r="L504" s="36" t="n">
        <v>2</v>
      </c>
      <c r="M504" s="36" t="n">
        <v>2</v>
      </c>
      <c r="N504" s="36" t="n">
        <v>0</v>
      </c>
      <c r="O504" s="36" t="n">
        <v>1</v>
      </c>
      <c r="P504" s="36" t="n">
        <v>1</v>
      </c>
      <c r="Q504" s="36" t="n">
        <v>4</v>
      </c>
      <c r="R504" s="28" t="n">
        <v>0</v>
      </c>
      <c r="S504" s="36" t="n">
        <v>2</v>
      </c>
      <c r="T504" s="36" t="n">
        <v>2</v>
      </c>
      <c r="U504" s="36" t="n">
        <v>5.82</v>
      </c>
      <c r="V504" s="36" t="n">
        <v>6.44</v>
      </c>
      <c r="W504" s="36" t="n">
        <v>3.01</v>
      </c>
      <c r="X504" s="36" t="n">
        <v>2.49</v>
      </c>
      <c r="Y504" s="28" t="n">
        <v>2.7</v>
      </c>
      <c r="Z504" s="36" t="n">
        <v>2.49</v>
      </c>
      <c r="AA504" s="36" t="n">
        <v>3.22</v>
      </c>
      <c r="AB504" s="36" t="n">
        <v>3.12</v>
      </c>
      <c r="AC504" s="36" t="n">
        <v>3.43</v>
      </c>
      <c r="AD504" s="36" t="n">
        <v>2.08</v>
      </c>
      <c r="AE504" s="36" t="n">
        <v>2.91</v>
      </c>
      <c r="AF504" s="28" t="n">
        <v>3.32</v>
      </c>
      <c r="AG504" s="36" t="n">
        <v>2.91</v>
      </c>
      <c r="AH504" s="37" t="n">
        <v>2.91</v>
      </c>
      <c r="AI504" s="37" t="n">
        <v>2.49</v>
      </c>
      <c r="AJ504" s="37" t="n">
        <v>3.32</v>
      </c>
      <c r="AK504" s="37" t="n">
        <v>3.01</v>
      </c>
      <c r="AL504" s="37" t="n">
        <v>2.49</v>
      </c>
      <c r="AM504" s="37" t="n">
        <v>3.22</v>
      </c>
      <c r="AN504" s="37" t="n">
        <v>2.91</v>
      </c>
      <c r="AO504" s="37" t="n">
        <v>3.01</v>
      </c>
      <c r="AP504" s="37" t="n">
        <v>3.01</v>
      </c>
      <c r="AQ504" s="37" t="n">
        <v>3.32</v>
      </c>
      <c r="AR504" s="37" t="n">
        <v>3.01</v>
      </c>
      <c r="AS504" s="37" t="n">
        <v>2.49</v>
      </c>
      <c r="AT504" s="37" t="n">
        <v>3.32</v>
      </c>
      <c r="AU504" s="37" t="n">
        <v>3.32</v>
      </c>
      <c r="AV504" s="37" t="n">
        <v>3.01</v>
      </c>
      <c r="AW504" s="37" t="n">
        <v>3.01</v>
      </c>
      <c r="AX504" s="37" t="n">
        <v>3.12</v>
      </c>
      <c r="AY504" s="37" t="n">
        <v>3.01</v>
      </c>
      <c r="AZ504" s="37" t="n">
        <v>2.49</v>
      </c>
      <c r="BA504" s="37" t="n">
        <v>3.12</v>
      </c>
      <c r="BB504" s="37" t="n">
        <v>0.83</v>
      </c>
      <c r="BC504" s="37" t="n">
        <v>0.21</v>
      </c>
      <c r="BD504" s="37" t="n">
        <v>0.73</v>
      </c>
      <c r="BE504" s="37" t="n">
        <v>0.83</v>
      </c>
      <c r="BF504" s="37" t="n">
        <v>0.83</v>
      </c>
      <c r="BG504" s="37" t="n">
        <v>0.73</v>
      </c>
      <c r="BH504" s="37" t="n">
        <v>0.83</v>
      </c>
      <c r="BI504" s="37" t="n">
        <v>0.83</v>
      </c>
      <c r="BJ504" s="37" t="n">
        <v>0.52</v>
      </c>
      <c r="BK504" s="37" t="n">
        <v>0.83</v>
      </c>
      <c r="BL504" s="37" t="n">
        <v>0.83</v>
      </c>
      <c r="BM504" s="37" t="n">
        <v>0.83</v>
      </c>
      <c r="BN504" s="37" t="n">
        <v>0.73</v>
      </c>
      <c r="BO504" s="37" t="n">
        <v>0.83</v>
      </c>
      <c r="BP504" s="37" t="n">
        <v>0.83</v>
      </c>
      <c r="BQ504" s="37" t="n">
        <v>0.83</v>
      </c>
      <c r="BR504" s="37" t="n">
        <v>0.83</v>
      </c>
      <c r="BS504" s="37" t="n">
        <v>0.83</v>
      </c>
      <c r="BT504" s="37" t="n">
        <v>0.83</v>
      </c>
      <c r="BU504" s="37" t="n">
        <v>0.62</v>
      </c>
      <c r="BV504" s="37" t="n">
        <v>0.83</v>
      </c>
      <c r="BW504" s="37" t="n">
        <v>0.83</v>
      </c>
      <c r="BX504" s="37" t="n">
        <v>0.83</v>
      </c>
      <c r="BY504" s="37" t="n">
        <v>0.83</v>
      </c>
      <c r="BZ504" s="37" t="n">
        <v>0.83</v>
      </c>
      <c r="CA504" s="37" t="n">
        <v>0.83</v>
      </c>
      <c r="CB504" s="37" t="n">
        <v>0.62</v>
      </c>
      <c r="CC504" s="37" t="n">
        <v>149.2900000000002</v>
      </c>
    </row>
    <row r="505" ht="15.75" customHeight="1" s="57">
      <c r="A505" s="7" t="inlineStr">
        <is>
          <t>NTB</t>
        </is>
      </c>
      <c r="B505" s="7" t="inlineStr">
        <is>
          <t>Ninh Thuận</t>
        </is>
      </c>
      <c r="C505" s="7" t="n">
        <v>20316000</v>
      </c>
      <c r="D505" s="7" t="inlineStr">
        <is>
          <t>(NTH) Ninh Sơn</t>
        </is>
      </c>
      <c r="E505" s="7" t="inlineStr">
        <is>
          <t>SME</t>
        </is>
      </c>
      <c r="F505" s="36" t="n">
        <v>209</v>
      </c>
      <c r="G505" s="36" t="n">
        <v>252</v>
      </c>
      <c r="H505" s="36" t="n">
        <v>236</v>
      </c>
      <c r="I505" s="36" t="n">
        <v>226</v>
      </c>
      <c r="J505" s="36" t="n">
        <v>257</v>
      </c>
      <c r="K505" s="28" t="n">
        <v>265</v>
      </c>
      <c r="L505" s="36" t="n">
        <v>158</v>
      </c>
      <c r="M505" s="36" t="n">
        <v>159</v>
      </c>
      <c r="N505" s="36" t="n">
        <v>204</v>
      </c>
      <c r="O505" s="36" t="n">
        <v>250</v>
      </c>
      <c r="P505" s="36" t="n">
        <v>157</v>
      </c>
      <c r="Q505" s="36" t="n">
        <v>198</v>
      </c>
      <c r="R505" s="28" t="n">
        <v>211</v>
      </c>
      <c r="S505" s="36" t="n">
        <v>216</v>
      </c>
      <c r="T505" s="36" t="n">
        <v>225</v>
      </c>
      <c r="U505" s="36" t="n">
        <v>261.05</v>
      </c>
      <c r="V505" s="36" t="n">
        <v>270.74</v>
      </c>
      <c r="W505" s="36" t="n">
        <v>263.61</v>
      </c>
      <c r="X505" s="36" t="n">
        <v>214.68</v>
      </c>
      <c r="Y505" s="28" t="n">
        <v>291.47</v>
      </c>
      <c r="Z505" s="36" t="n">
        <v>268.71</v>
      </c>
      <c r="AA505" s="36" t="n">
        <v>262.21</v>
      </c>
      <c r="AB505" s="36" t="n">
        <v>261.05</v>
      </c>
      <c r="AC505" s="36" t="n">
        <v>270.74</v>
      </c>
      <c r="AD505" s="36" t="n">
        <v>280.35</v>
      </c>
      <c r="AE505" s="36" t="n">
        <v>214.68</v>
      </c>
      <c r="AF505" s="28" t="n">
        <v>291.47</v>
      </c>
      <c r="AG505" s="36" t="n">
        <v>268.71</v>
      </c>
      <c r="AH505" s="37" t="n">
        <v>262.21</v>
      </c>
      <c r="AI505" s="37" t="n">
        <v>261.05</v>
      </c>
      <c r="AJ505" s="37" t="n">
        <v>270.74</v>
      </c>
      <c r="AK505" s="37" t="n">
        <v>263.61</v>
      </c>
      <c r="AL505" s="37" t="n">
        <v>214.68</v>
      </c>
      <c r="AM505" s="37" t="n">
        <v>291.47</v>
      </c>
      <c r="AN505" s="37" t="n">
        <v>268.71</v>
      </c>
      <c r="AO505" s="37" t="n">
        <v>262.21</v>
      </c>
      <c r="AP505" s="37" t="n">
        <v>261.05</v>
      </c>
      <c r="AQ505" s="37" t="n">
        <v>270.74</v>
      </c>
      <c r="AR505" s="37" t="n">
        <v>263.61</v>
      </c>
      <c r="AS505" s="37" t="n">
        <v>214.68</v>
      </c>
      <c r="AT505" s="37" t="n">
        <v>291.47</v>
      </c>
      <c r="AU505" s="37" t="n">
        <v>268.71</v>
      </c>
      <c r="AV505" s="37" t="n">
        <v>262.21</v>
      </c>
      <c r="AW505" s="37" t="n">
        <v>261.05</v>
      </c>
      <c r="AX505" s="37" t="n">
        <v>270.74</v>
      </c>
      <c r="AY505" s="37" t="n">
        <v>263.61</v>
      </c>
      <c r="AZ505" s="37" t="n">
        <v>214.68</v>
      </c>
      <c r="BA505" s="37" t="n">
        <v>262.48</v>
      </c>
      <c r="BB505" s="37" t="n">
        <v>235.59</v>
      </c>
      <c r="BC505" s="37" t="n">
        <v>148.35</v>
      </c>
      <c r="BD505" s="37" t="n">
        <v>147.67</v>
      </c>
      <c r="BE505" s="37" t="n">
        <v>251.06</v>
      </c>
      <c r="BF505" s="37" t="n">
        <v>244.16</v>
      </c>
      <c r="BG505" s="37" t="n">
        <v>221.58</v>
      </c>
      <c r="BH505" s="37" t="n">
        <v>300.39</v>
      </c>
      <c r="BI505" s="37" t="n">
        <v>277.09</v>
      </c>
      <c r="BJ505" s="37" t="n">
        <v>287.97</v>
      </c>
      <c r="BK505" s="37" t="n">
        <v>269.28</v>
      </c>
      <c r="BL505" s="37" t="n">
        <v>279.12</v>
      </c>
      <c r="BM505" s="37" t="n">
        <v>271.86</v>
      </c>
      <c r="BN505" s="37" t="n">
        <v>221.58</v>
      </c>
      <c r="BO505" s="37" t="n">
        <v>300.39</v>
      </c>
      <c r="BP505" s="37" t="n">
        <v>277.09</v>
      </c>
      <c r="BQ505" s="37" t="n">
        <v>270.45</v>
      </c>
      <c r="BR505" s="37" t="n">
        <v>269.28</v>
      </c>
      <c r="BS505" s="37" t="n">
        <v>279.12</v>
      </c>
      <c r="BT505" s="37" t="n">
        <v>271.86</v>
      </c>
      <c r="BU505" s="37" t="n">
        <v>221.58</v>
      </c>
      <c r="BV505" s="37" t="n">
        <v>300.39</v>
      </c>
      <c r="BW505" s="37" t="n">
        <v>277.09</v>
      </c>
      <c r="BX505" s="37" t="n">
        <v>270.45</v>
      </c>
      <c r="BY505" s="37" t="n">
        <v>269.28</v>
      </c>
      <c r="BZ505" s="37" t="n">
        <v>279.12</v>
      </c>
      <c r="CA505" s="37" t="n">
        <v>271.86</v>
      </c>
      <c r="CB505" s="37" t="n">
        <v>221.58</v>
      </c>
      <c r="CC505" s="37" t="n">
        <v>18777.42</v>
      </c>
    </row>
    <row r="506" ht="15.75" customHeight="1" s="57">
      <c r="A506" s="7" t="inlineStr">
        <is>
          <t>NTB</t>
        </is>
      </c>
      <c r="B506" s="7" t="inlineStr">
        <is>
          <t>Ninh Thuận</t>
        </is>
      </c>
      <c r="C506" s="7" t="n">
        <v>20316000</v>
      </c>
      <c r="D506" s="7" t="inlineStr">
        <is>
          <t>(NTH) Ninh Sơn</t>
        </is>
      </c>
      <c r="E506" s="7" t="inlineStr">
        <is>
          <t>SME-Bulky</t>
        </is>
      </c>
      <c r="F506" s="36" t="n">
        <v>7</v>
      </c>
      <c r="G506" s="36" t="n">
        <v>19</v>
      </c>
      <c r="H506" s="36" t="n">
        <v>12</v>
      </c>
      <c r="I506" s="36" t="n">
        <v>12</v>
      </c>
      <c r="J506" s="36" t="n">
        <v>7</v>
      </c>
      <c r="K506" s="28" t="n">
        <v>19</v>
      </c>
      <c r="L506" s="36" t="n">
        <v>4</v>
      </c>
      <c r="M506" s="36" t="n">
        <v>9</v>
      </c>
      <c r="N506" s="36" t="n">
        <v>15</v>
      </c>
      <c r="O506" s="36" t="n">
        <v>8</v>
      </c>
      <c r="P506" s="36" t="n">
        <v>7</v>
      </c>
      <c r="Q506" s="36" t="n">
        <v>8</v>
      </c>
      <c r="R506" s="28" t="n">
        <v>17</v>
      </c>
      <c r="S506" s="36" t="n">
        <v>13</v>
      </c>
      <c r="T506" s="36" t="n">
        <v>11</v>
      </c>
      <c r="U506" s="36" t="n">
        <v>10.92</v>
      </c>
      <c r="V506" s="36" t="n">
        <v>11.02</v>
      </c>
      <c r="W506" s="36" t="n">
        <v>10.45</v>
      </c>
      <c r="X506" s="36" t="n">
        <v>6.21</v>
      </c>
      <c r="Y506" s="28" t="n">
        <v>12.43</v>
      </c>
      <c r="Z506" s="36" t="n">
        <v>11.68</v>
      </c>
      <c r="AA506" s="36" t="n">
        <v>11.39</v>
      </c>
      <c r="AB506" s="36" t="n">
        <v>10.92</v>
      </c>
      <c r="AC506" s="36" t="n">
        <v>11.02</v>
      </c>
      <c r="AD506" s="36" t="n">
        <v>10.55</v>
      </c>
      <c r="AE506" s="36" t="n">
        <v>6.21</v>
      </c>
      <c r="AF506" s="28" t="n">
        <v>12.43</v>
      </c>
      <c r="AG506" s="36" t="n">
        <v>11.68</v>
      </c>
      <c r="AH506" s="37" t="n">
        <v>11.39</v>
      </c>
      <c r="AI506" s="37" t="n">
        <v>10.92</v>
      </c>
      <c r="AJ506" s="37" t="n">
        <v>11.02</v>
      </c>
      <c r="AK506" s="37" t="n">
        <v>10.45</v>
      </c>
      <c r="AL506" s="37" t="n">
        <v>6.21</v>
      </c>
      <c r="AM506" s="37" t="n">
        <v>12.43</v>
      </c>
      <c r="AN506" s="37" t="n">
        <v>11.68</v>
      </c>
      <c r="AO506" s="37" t="n">
        <v>11.39</v>
      </c>
      <c r="AP506" s="37" t="n">
        <v>10.92</v>
      </c>
      <c r="AQ506" s="37" t="n">
        <v>11.02</v>
      </c>
      <c r="AR506" s="37" t="n">
        <v>10.45</v>
      </c>
      <c r="AS506" s="37" t="n">
        <v>6.21</v>
      </c>
      <c r="AT506" s="37" t="n">
        <v>12.43</v>
      </c>
      <c r="AU506" s="37" t="n">
        <v>11.68</v>
      </c>
      <c r="AV506" s="37" t="n">
        <v>11.39</v>
      </c>
      <c r="AW506" s="37" t="n">
        <v>10.92</v>
      </c>
      <c r="AX506" s="37" t="n">
        <v>11.02</v>
      </c>
      <c r="AY506" s="37" t="n">
        <v>10.45</v>
      </c>
      <c r="AZ506" s="37" t="n">
        <v>6.21</v>
      </c>
      <c r="BA506" s="37" t="n">
        <v>12.33</v>
      </c>
      <c r="BB506" s="37" t="n">
        <v>6.21</v>
      </c>
      <c r="BC506" s="37" t="n">
        <v>2.64</v>
      </c>
      <c r="BD506" s="37" t="n">
        <v>2.35</v>
      </c>
      <c r="BE506" s="37" t="n">
        <v>4.8</v>
      </c>
      <c r="BF506" s="37" t="n">
        <v>4.9</v>
      </c>
      <c r="BG506" s="37" t="n">
        <v>3.58</v>
      </c>
      <c r="BH506" s="37" t="n">
        <v>7.16</v>
      </c>
      <c r="BI506" s="37" t="n">
        <v>6.97</v>
      </c>
      <c r="BJ506" s="37" t="n">
        <v>7.06</v>
      </c>
      <c r="BK506" s="37" t="n">
        <v>6.31</v>
      </c>
      <c r="BL506" s="37" t="n">
        <v>6.5</v>
      </c>
      <c r="BM506" s="37" t="n">
        <v>6.12</v>
      </c>
      <c r="BN506" s="37" t="n">
        <v>3.58</v>
      </c>
      <c r="BO506" s="37" t="n">
        <v>7.16</v>
      </c>
      <c r="BP506" s="37" t="n">
        <v>6.97</v>
      </c>
      <c r="BQ506" s="37" t="n">
        <v>6.59</v>
      </c>
      <c r="BR506" s="37" t="n">
        <v>6.31</v>
      </c>
      <c r="BS506" s="37" t="n">
        <v>6.5</v>
      </c>
      <c r="BT506" s="37" t="n">
        <v>6.12</v>
      </c>
      <c r="BU506" s="37" t="n">
        <v>3.58</v>
      </c>
      <c r="BV506" s="37" t="n">
        <v>7.16</v>
      </c>
      <c r="BW506" s="37" t="n">
        <v>6.97</v>
      </c>
      <c r="BX506" s="37" t="n">
        <v>6.59</v>
      </c>
      <c r="BY506" s="37" t="n">
        <v>6.31</v>
      </c>
      <c r="BZ506" s="37" t="n">
        <v>6.5</v>
      </c>
      <c r="CA506" s="37" t="n">
        <v>6.12</v>
      </c>
      <c r="CB506" s="37" t="n">
        <v>3.58</v>
      </c>
      <c r="CC506" s="37" t="n">
        <v>670.0699999999999</v>
      </c>
    </row>
    <row r="507" ht="15.75" customHeight="1" s="57">
      <c r="A507" s="7" t="inlineStr">
        <is>
          <t>NTB</t>
        </is>
      </c>
      <c r="B507" s="7" t="inlineStr">
        <is>
          <t>Ninh Thuận</t>
        </is>
      </c>
      <c r="C507" s="7" t="n">
        <v>20316000</v>
      </c>
      <c r="D507" s="7" t="inlineStr">
        <is>
          <t>(NTH) Ninh Sơn</t>
        </is>
      </c>
      <c r="E507" s="7" t="inlineStr">
        <is>
          <t>Shopee</t>
        </is>
      </c>
      <c r="F507" s="36" t="n">
        <v>124</v>
      </c>
      <c r="G507" s="36" t="n">
        <v>182</v>
      </c>
      <c r="H507" s="36" t="n">
        <v>126</v>
      </c>
      <c r="I507" s="36" t="n">
        <v>170</v>
      </c>
      <c r="J507" s="36" t="n">
        <v>130</v>
      </c>
      <c r="K507" s="28" t="n">
        <v>147</v>
      </c>
      <c r="L507" s="36" t="n">
        <v>70</v>
      </c>
      <c r="M507" s="36" t="n">
        <v>132</v>
      </c>
      <c r="N507" s="36" t="n">
        <v>188</v>
      </c>
      <c r="O507" s="36" t="n">
        <v>198</v>
      </c>
      <c r="P507" s="36" t="n">
        <v>123</v>
      </c>
      <c r="Q507" s="36" t="n">
        <v>128</v>
      </c>
      <c r="R507" s="28" t="n">
        <v>126</v>
      </c>
      <c r="S507" s="36" t="n">
        <v>93</v>
      </c>
      <c r="T507" s="36" t="n">
        <v>131</v>
      </c>
      <c r="U507" s="36" t="n">
        <v>160.04</v>
      </c>
      <c r="V507" s="36" t="n">
        <v>160.56</v>
      </c>
      <c r="W507" s="36" t="n">
        <v>158.4</v>
      </c>
      <c r="X507" s="36" t="n">
        <v>129.5</v>
      </c>
      <c r="Y507" s="28" t="n">
        <v>215.97</v>
      </c>
      <c r="Z507" s="36" t="n">
        <v>171.09</v>
      </c>
      <c r="AA507" s="36" t="n">
        <v>235.37</v>
      </c>
      <c r="AB507" s="36" t="n">
        <v>163.13</v>
      </c>
      <c r="AC507" s="36" t="n">
        <v>132.29</v>
      </c>
      <c r="AD507" s="36" t="n">
        <v>343.91</v>
      </c>
      <c r="AE507" s="36" t="n">
        <v>138.17</v>
      </c>
      <c r="AF507" s="28" t="n">
        <v>246</v>
      </c>
      <c r="AG507" s="36" t="n">
        <v>179.75</v>
      </c>
      <c r="AH507" s="37" t="n">
        <v>190.07</v>
      </c>
      <c r="AI507" s="37" t="n">
        <v>160.04</v>
      </c>
      <c r="AJ507" s="37" t="n">
        <v>160.56</v>
      </c>
      <c r="AK507" s="37" t="n">
        <v>214.01</v>
      </c>
      <c r="AL507" s="37" t="n">
        <v>231.55</v>
      </c>
      <c r="AM507" s="37" t="n">
        <v>215.97</v>
      </c>
      <c r="AN507" s="37" t="n">
        <v>171.09</v>
      </c>
      <c r="AO507" s="37" t="n">
        <v>190.07</v>
      </c>
      <c r="AP507" s="37" t="n">
        <v>200.39</v>
      </c>
      <c r="AQ507" s="37" t="n">
        <v>129.5</v>
      </c>
      <c r="AR507" s="37" t="n">
        <v>158.4</v>
      </c>
      <c r="AS507" s="37" t="n">
        <v>129.5</v>
      </c>
      <c r="AT507" s="37" t="n">
        <v>215.97</v>
      </c>
      <c r="AU507" s="37" t="n">
        <v>174.59</v>
      </c>
      <c r="AV507" s="37" t="n">
        <v>193.47</v>
      </c>
      <c r="AW507" s="37" t="n">
        <v>160.04</v>
      </c>
      <c r="AX507" s="37" t="n">
        <v>160.56</v>
      </c>
      <c r="AY507" s="37" t="n">
        <v>158.4</v>
      </c>
      <c r="AZ507" s="37" t="n">
        <v>129.5</v>
      </c>
      <c r="BA507" s="37" t="n">
        <v>166.44</v>
      </c>
      <c r="BB507" s="37" t="n">
        <v>144.67</v>
      </c>
      <c r="BC507" s="37" t="n">
        <v>74.08</v>
      </c>
      <c r="BD507" s="37" t="n">
        <v>131.46</v>
      </c>
      <c r="BE507" s="37" t="n">
        <v>153.03</v>
      </c>
      <c r="BF507" s="37" t="n">
        <v>150.97</v>
      </c>
      <c r="BG507" s="37" t="n">
        <v>125.69</v>
      </c>
      <c r="BH507" s="37" t="n">
        <v>205.75</v>
      </c>
      <c r="BI507" s="37" t="n">
        <v>134.04</v>
      </c>
      <c r="BJ507" s="37" t="n">
        <v>487.39</v>
      </c>
      <c r="BK507" s="37" t="n">
        <v>163.86</v>
      </c>
      <c r="BL507" s="37" t="n">
        <v>161.18</v>
      </c>
      <c r="BM507" s="37" t="n">
        <v>150.97</v>
      </c>
      <c r="BN507" s="37" t="n">
        <v>123.41</v>
      </c>
      <c r="BO507" s="37" t="n">
        <v>205.75</v>
      </c>
      <c r="BP507" s="37" t="n">
        <v>219.68</v>
      </c>
      <c r="BQ507" s="37" t="n">
        <v>324.42</v>
      </c>
      <c r="BR507" s="37" t="n">
        <v>152.62</v>
      </c>
      <c r="BS507" s="37" t="n">
        <v>153.03</v>
      </c>
      <c r="BT507" s="37" t="n">
        <v>150.97</v>
      </c>
      <c r="BU507" s="37" t="n">
        <v>153.23</v>
      </c>
      <c r="BV507" s="37" t="n">
        <v>165.31</v>
      </c>
      <c r="BW507" s="37" t="n">
        <v>163.13</v>
      </c>
      <c r="BX507" s="37" t="n">
        <v>181.09</v>
      </c>
      <c r="BY507" s="37" t="n">
        <v>152.62</v>
      </c>
      <c r="BZ507" s="37" t="n">
        <v>156.33</v>
      </c>
      <c r="CA507" s="37" t="n">
        <v>153.75</v>
      </c>
      <c r="CB507" s="37" t="n">
        <v>123.41</v>
      </c>
      <c r="CC507" s="37" t="n">
        <v>12674.14</v>
      </c>
    </row>
    <row r="508" ht="15.75" customHeight="1" s="57">
      <c r="A508" s="7" t="inlineStr">
        <is>
          <t>NTB</t>
        </is>
      </c>
      <c r="B508" s="7" t="inlineStr">
        <is>
          <t>Ninh Thuận</t>
        </is>
      </c>
      <c r="C508" s="7" t="n">
        <v>20316000</v>
      </c>
      <c r="D508" s="7" t="inlineStr">
        <is>
          <t>(NTH) Ninh Sơn</t>
        </is>
      </c>
      <c r="E508" s="7" t="inlineStr">
        <is>
          <t>Shopee-Bulky</t>
        </is>
      </c>
      <c r="F508" s="36" t="n">
        <v>24.17</v>
      </c>
      <c r="G508" s="36" t="n">
        <v>24.79</v>
      </c>
      <c r="H508" s="36" t="n">
        <v>26.03</v>
      </c>
      <c r="I508" s="36" t="n">
        <v>27.89</v>
      </c>
      <c r="J508" s="36" t="n">
        <v>18.59</v>
      </c>
      <c r="K508" s="28" t="n">
        <v>15.49</v>
      </c>
      <c r="L508" s="36" t="n">
        <v>7.44</v>
      </c>
      <c r="M508" s="36" t="n">
        <v>22.31</v>
      </c>
      <c r="N508" s="36" t="n">
        <v>21.69</v>
      </c>
      <c r="O508" s="36" t="n">
        <v>10.54</v>
      </c>
      <c r="P508" s="36" t="n">
        <v>16.73</v>
      </c>
      <c r="Q508" s="36" t="n">
        <v>18.59</v>
      </c>
      <c r="R508" s="28" t="n">
        <v>19.83</v>
      </c>
      <c r="S508" s="36" t="n">
        <v>17.35</v>
      </c>
      <c r="T508" s="36" t="n">
        <v>16.11</v>
      </c>
      <c r="U508" s="36" t="n">
        <v>16.74</v>
      </c>
      <c r="V508" s="36" t="n">
        <v>15.9</v>
      </c>
      <c r="W508" s="36" t="n">
        <v>21.9</v>
      </c>
      <c r="X508" s="36" t="n">
        <v>12.11</v>
      </c>
      <c r="Y508" s="28" t="n">
        <v>25.48</v>
      </c>
      <c r="Z508" s="36" t="n">
        <v>19.79</v>
      </c>
      <c r="AA508" s="36" t="n">
        <v>19.06</v>
      </c>
      <c r="AB508" s="36" t="n">
        <v>19.79</v>
      </c>
      <c r="AC508" s="36" t="n">
        <v>19.69</v>
      </c>
      <c r="AD508" s="36" t="n">
        <v>63.91</v>
      </c>
      <c r="AE508" s="36" t="n">
        <v>32.11</v>
      </c>
      <c r="AF508" s="28" t="n">
        <v>50.12</v>
      </c>
      <c r="AG508" s="36" t="n">
        <v>29.17</v>
      </c>
      <c r="AH508" s="37" t="n">
        <v>19.69</v>
      </c>
      <c r="AI508" s="37" t="n">
        <v>19.27</v>
      </c>
      <c r="AJ508" s="37" t="n">
        <v>17.69</v>
      </c>
      <c r="AK508" s="37" t="n">
        <v>42.01</v>
      </c>
      <c r="AL508" s="37" t="n">
        <v>20.74</v>
      </c>
      <c r="AM508" s="37" t="n">
        <v>31.69</v>
      </c>
      <c r="AN508" s="37" t="n">
        <v>19.37</v>
      </c>
      <c r="AO508" s="37" t="n">
        <v>18.22</v>
      </c>
      <c r="AP508" s="37" t="n">
        <v>26.32</v>
      </c>
      <c r="AQ508" s="37" t="n">
        <v>24.95</v>
      </c>
      <c r="AR508" s="37" t="n">
        <v>20.01</v>
      </c>
      <c r="AS508" s="37" t="n">
        <v>10.95</v>
      </c>
      <c r="AT508" s="37" t="n">
        <v>23.06</v>
      </c>
      <c r="AU508" s="37" t="n">
        <v>37.59</v>
      </c>
      <c r="AV508" s="37" t="n">
        <v>39.8</v>
      </c>
      <c r="AW508" s="37" t="n">
        <v>18.32</v>
      </c>
      <c r="AX508" s="37" t="n">
        <v>16.85</v>
      </c>
      <c r="AY508" s="37" t="n">
        <v>19.27</v>
      </c>
      <c r="AZ508" s="37" t="n">
        <v>10.21</v>
      </c>
      <c r="BA508" s="37" t="n">
        <v>21.16</v>
      </c>
      <c r="BB508" s="37" t="n">
        <v>18.85</v>
      </c>
      <c r="BC508" s="37" t="n">
        <v>5.79</v>
      </c>
      <c r="BD508" s="37" t="n">
        <v>16.64</v>
      </c>
      <c r="BE508" s="37" t="n">
        <v>19.9</v>
      </c>
      <c r="BF508" s="37" t="n">
        <v>17.37</v>
      </c>
      <c r="BG508" s="37" t="n">
        <v>14.21</v>
      </c>
      <c r="BH508" s="37" t="n">
        <v>27.69</v>
      </c>
      <c r="BI508" s="37" t="n">
        <v>23.16</v>
      </c>
      <c r="BJ508" s="37" t="n">
        <v>100.87</v>
      </c>
      <c r="BK508" s="37" t="n">
        <v>49.49</v>
      </c>
      <c r="BL508" s="37" t="n">
        <v>25.8</v>
      </c>
      <c r="BM508" s="37" t="n">
        <v>17.79</v>
      </c>
      <c r="BN508" s="37" t="n">
        <v>14.21</v>
      </c>
      <c r="BO508" s="37" t="n">
        <v>32.11</v>
      </c>
      <c r="BP508" s="37" t="n">
        <v>46.01</v>
      </c>
      <c r="BQ508" s="37" t="n">
        <v>33.9</v>
      </c>
      <c r="BR508" s="37" t="n">
        <v>21.27</v>
      </c>
      <c r="BS508" s="37" t="n">
        <v>19.9</v>
      </c>
      <c r="BT508" s="37" t="n">
        <v>17.37</v>
      </c>
      <c r="BU508" s="37" t="n">
        <v>20.74</v>
      </c>
      <c r="BV508" s="37" t="n">
        <v>29.06</v>
      </c>
      <c r="BW508" s="37" t="n">
        <v>23.16</v>
      </c>
      <c r="BX508" s="37" t="n">
        <v>21.69</v>
      </c>
      <c r="BY508" s="37" t="n">
        <v>21.27</v>
      </c>
      <c r="BZ508" s="37" t="n">
        <v>36.85</v>
      </c>
      <c r="CA508" s="37" t="n">
        <v>20.74</v>
      </c>
      <c r="CB508" s="37" t="n">
        <v>13.48</v>
      </c>
      <c r="CC508" s="37" t="n">
        <v>1799.810000000001</v>
      </c>
    </row>
    <row r="509" ht="15.75" customHeight="1" s="57">
      <c r="A509" s="7" t="inlineStr">
        <is>
          <t>NTB</t>
        </is>
      </c>
      <c r="B509" s="7" t="inlineStr">
        <is>
          <t>Ninh Thuận</t>
        </is>
      </c>
      <c r="C509" s="7" t="n">
        <v>20316000</v>
      </c>
      <c r="D509" s="7" t="inlineStr">
        <is>
          <t>(NTH) Ninh Sơn</t>
        </is>
      </c>
      <c r="E509" s="7" t="inlineStr">
        <is>
          <t>Shopee-Bulky (10-15kg)</t>
        </is>
      </c>
      <c r="F509" s="36" t="n">
        <v>14.83</v>
      </c>
      <c r="G509" s="36" t="n">
        <v>15.21</v>
      </c>
      <c r="H509" s="36" t="n">
        <v>15.97</v>
      </c>
      <c r="I509" s="36" t="n">
        <v>17.11</v>
      </c>
      <c r="J509" s="36" t="n">
        <v>11.41</v>
      </c>
      <c r="K509" s="28" t="n">
        <v>9.51</v>
      </c>
      <c r="L509" s="36" t="n">
        <v>4.56</v>
      </c>
      <c r="M509" s="36" t="n">
        <v>13.69</v>
      </c>
      <c r="N509" s="36" t="n">
        <v>13.31</v>
      </c>
      <c r="O509" s="36" t="n">
        <v>6.46</v>
      </c>
      <c r="P509" s="36" t="n">
        <v>10.27</v>
      </c>
      <c r="Q509" s="36" t="n">
        <v>11.41</v>
      </c>
      <c r="R509" s="28" t="n">
        <v>12.17</v>
      </c>
      <c r="S509" s="36" t="n">
        <v>10.65</v>
      </c>
      <c r="T509" s="36" t="n">
        <v>9.890000000000001</v>
      </c>
      <c r="U509" s="36" t="n">
        <v>11.06</v>
      </c>
      <c r="V509" s="36" t="n">
        <v>10.63</v>
      </c>
      <c r="W509" s="36" t="n">
        <v>13.48</v>
      </c>
      <c r="X509" s="36" t="n">
        <v>7.58</v>
      </c>
      <c r="Y509" s="28" t="n">
        <v>16.32</v>
      </c>
      <c r="Z509" s="36" t="n">
        <v>12</v>
      </c>
      <c r="AA509" s="36" t="n">
        <v>11.9</v>
      </c>
      <c r="AB509" s="36" t="n">
        <v>11.69</v>
      </c>
      <c r="AC509" s="36" t="n">
        <v>12.63</v>
      </c>
      <c r="AD509" s="36" t="n">
        <v>48.33</v>
      </c>
      <c r="AE509" s="36" t="n">
        <v>19.48</v>
      </c>
      <c r="AF509" s="28" t="n">
        <v>28.11</v>
      </c>
      <c r="AG509" s="36" t="n">
        <v>17.58</v>
      </c>
      <c r="AH509" s="37" t="n">
        <v>11.79</v>
      </c>
      <c r="AI509" s="37" t="n">
        <v>12.21</v>
      </c>
      <c r="AJ509" s="37" t="n">
        <v>11.16</v>
      </c>
      <c r="AK509" s="37" t="n">
        <v>26.64</v>
      </c>
      <c r="AL509" s="37" t="n">
        <v>12.53</v>
      </c>
      <c r="AM509" s="37" t="n">
        <v>20.01</v>
      </c>
      <c r="AN509" s="37" t="n">
        <v>11.9</v>
      </c>
      <c r="AO509" s="37" t="n">
        <v>11.37</v>
      </c>
      <c r="AP509" s="37" t="n">
        <v>15.69</v>
      </c>
      <c r="AQ509" s="37" t="n">
        <v>15.9</v>
      </c>
      <c r="AR509" s="37" t="n">
        <v>12.42</v>
      </c>
      <c r="AS509" s="37" t="n">
        <v>6.95</v>
      </c>
      <c r="AT509" s="37" t="n">
        <v>14.64</v>
      </c>
      <c r="AU509" s="37" t="n">
        <v>24.43</v>
      </c>
      <c r="AV509" s="37" t="n">
        <v>25.27</v>
      </c>
      <c r="AW509" s="37" t="n">
        <v>11.58</v>
      </c>
      <c r="AX509" s="37" t="n">
        <v>10.74</v>
      </c>
      <c r="AY509" s="37" t="n">
        <v>12.11</v>
      </c>
      <c r="AZ509" s="37" t="n">
        <v>6.53</v>
      </c>
      <c r="BA509" s="37" t="n">
        <v>13.27</v>
      </c>
      <c r="BB509" s="37" t="n">
        <v>11.69</v>
      </c>
      <c r="BC509" s="37" t="n">
        <v>3.37</v>
      </c>
      <c r="BD509" s="37" t="n">
        <v>9.9</v>
      </c>
      <c r="BE509" s="37" t="n">
        <v>12.74</v>
      </c>
      <c r="BF509" s="37" t="n">
        <v>10.63</v>
      </c>
      <c r="BG509" s="37" t="n">
        <v>8.630000000000001</v>
      </c>
      <c r="BH509" s="37" t="n">
        <v>17.27</v>
      </c>
      <c r="BI509" s="37" t="n">
        <v>14.21</v>
      </c>
      <c r="BJ509" s="37" t="n">
        <v>67.28</v>
      </c>
      <c r="BK509" s="37" t="n">
        <v>29.69</v>
      </c>
      <c r="BL509" s="37" t="n">
        <v>16.32</v>
      </c>
      <c r="BM509" s="37" t="n">
        <v>11.48</v>
      </c>
      <c r="BN509" s="37" t="n">
        <v>8.84</v>
      </c>
      <c r="BO509" s="37" t="n">
        <v>19.79</v>
      </c>
      <c r="BP509" s="37" t="n">
        <v>27.9</v>
      </c>
      <c r="BQ509" s="37" t="n">
        <v>20.64</v>
      </c>
      <c r="BR509" s="37" t="n">
        <v>13.27</v>
      </c>
      <c r="BS509" s="37" t="n">
        <v>12.74</v>
      </c>
      <c r="BT509" s="37" t="n">
        <v>10.63</v>
      </c>
      <c r="BU509" s="37" t="n">
        <v>12.95</v>
      </c>
      <c r="BV509" s="37" t="n">
        <v>17.69</v>
      </c>
      <c r="BW509" s="37" t="n">
        <v>14.21</v>
      </c>
      <c r="BX509" s="37" t="n">
        <v>13.37</v>
      </c>
      <c r="BY509" s="37" t="n">
        <v>13.27</v>
      </c>
      <c r="BZ509" s="37" t="n">
        <v>23.16</v>
      </c>
      <c r="CA509" s="37" t="n">
        <v>13.16</v>
      </c>
      <c r="CB509" s="37" t="n">
        <v>8.210000000000001</v>
      </c>
      <c r="CC509" s="37" t="n">
        <v>1127.42</v>
      </c>
    </row>
    <row r="510" ht="15.75" customHeight="1" s="57">
      <c r="A510" s="7" t="inlineStr">
        <is>
          <t>NTB</t>
        </is>
      </c>
      <c r="B510" s="7" t="inlineStr">
        <is>
          <t>Ninh Thuận</t>
        </is>
      </c>
      <c r="C510" s="7" t="n">
        <v>20316000</v>
      </c>
      <c r="D510" s="7" t="inlineStr">
        <is>
          <t>(NTH) Ninh Sơn</t>
        </is>
      </c>
      <c r="E510" s="7" t="inlineStr">
        <is>
          <t>TTS</t>
        </is>
      </c>
      <c r="F510" s="36" t="n">
        <v>154</v>
      </c>
      <c r="G510" s="36" t="n">
        <v>222</v>
      </c>
      <c r="H510" s="36" t="n">
        <v>151</v>
      </c>
      <c r="I510" s="36" t="n">
        <v>186</v>
      </c>
      <c r="J510" s="36" t="n">
        <v>147</v>
      </c>
      <c r="K510" s="28" t="n">
        <v>196</v>
      </c>
      <c r="L510" s="36" t="n">
        <v>102</v>
      </c>
      <c r="M510" s="36" t="n">
        <v>130</v>
      </c>
      <c r="N510" s="36" t="n">
        <v>157</v>
      </c>
      <c r="O510" s="36" t="n">
        <v>219</v>
      </c>
      <c r="P510" s="36" t="n">
        <v>138</v>
      </c>
      <c r="Q510" s="36" t="n">
        <v>164</v>
      </c>
      <c r="R510" s="28" t="n">
        <v>143</v>
      </c>
      <c r="S510" s="36" t="n">
        <v>149</v>
      </c>
      <c r="T510" s="36" t="n">
        <v>217</v>
      </c>
      <c r="U510" s="36" t="n">
        <v>130.01</v>
      </c>
      <c r="V510" s="36" t="n">
        <v>127.28</v>
      </c>
      <c r="W510" s="36" t="n">
        <v>124.55</v>
      </c>
      <c r="X510" s="36" t="n">
        <v>100.37</v>
      </c>
      <c r="Y510" s="28" t="n">
        <v>146.62</v>
      </c>
      <c r="Z510" s="36" t="n">
        <v>124.55</v>
      </c>
      <c r="AA510" s="36" t="n">
        <v>138.33</v>
      </c>
      <c r="AB510" s="36" t="n">
        <v>153.09</v>
      </c>
      <c r="AC510" s="36" t="n">
        <v>161.78</v>
      </c>
      <c r="AD510" s="36" t="n">
        <v>167.87</v>
      </c>
      <c r="AE510" s="36" t="n">
        <v>116.76</v>
      </c>
      <c r="AF510" s="28" t="n">
        <v>150.97</v>
      </c>
      <c r="AG510" s="36" t="n">
        <v>127.16</v>
      </c>
      <c r="AH510" s="37" t="n">
        <v>125.41</v>
      </c>
      <c r="AI510" s="37" t="n">
        <v>144.04</v>
      </c>
      <c r="AJ510" s="37" t="n">
        <v>153.72</v>
      </c>
      <c r="AK510" s="37" t="n">
        <v>151.85</v>
      </c>
      <c r="AL510" s="37" t="n">
        <v>108.56</v>
      </c>
      <c r="AM510" s="37" t="n">
        <v>148.86</v>
      </c>
      <c r="AN510" s="37" t="n">
        <v>128.64</v>
      </c>
      <c r="AO510" s="37" t="n">
        <v>127.78</v>
      </c>
      <c r="AP510" s="37" t="n">
        <v>123.55</v>
      </c>
      <c r="AQ510" s="37" t="n">
        <v>124.92</v>
      </c>
      <c r="AR510" s="37" t="n">
        <v>122.56</v>
      </c>
      <c r="AS510" s="37" t="n">
        <v>100.5</v>
      </c>
      <c r="AT510" s="37" t="n">
        <v>161.64</v>
      </c>
      <c r="AU510" s="37" t="n">
        <v>146.14</v>
      </c>
      <c r="AV510" s="37" t="n">
        <v>129.63</v>
      </c>
      <c r="AW510" s="37" t="n">
        <v>122.07</v>
      </c>
      <c r="AX510" s="37" t="n">
        <v>121.7</v>
      </c>
      <c r="AY510" s="37" t="n">
        <v>121.31</v>
      </c>
      <c r="AZ510" s="37" t="n">
        <v>100.62</v>
      </c>
      <c r="BA510" s="37" t="n">
        <v>145.51</v>
      </c>
      <c r="BB510" s="37" t="n">
        <v>136.46</v>
      </c>
      <c r="BC510" s="37" t="n">
        <v>81.13000000000001</v>
      </c>
      <c r="BD510" s="37" t="n">
        <v>117.72</v>
      </c>
      <c r="BE510" s="37" t="n">
        <v>138.08</v>
      </c>
      <c r="BF510" s="37" t="n">
        <v>134.23</v>
      </c>
      <c r="BG510" s="37" t="n">
        <v>108.56</v>
      </c>
      <c r="BH510" s="37" t="n">
        <v>161.02</v>
      </c>
      <c r="BI510" s="37" t="n">
        <v>136.46</v>
      </c>
      <c r="BJ510" s="37" t="n">
        <v>127.55</v>
      </c>
      <c r="BK510" s="37" t="n">
        <v>137.82</v>
      </c>
      <c r="BL510" s="37" t="n">
        <v>138.08</v>
      </c>
      <c r="BM510" s="37" t="n">
        <v>134.23</v>
      </c>
      <c r="BN510" s="37" t="n">
        <v>108.56</v>
      </c>
      <c r="BO510" s="37" t="n">
        <v>161.02</v>
      </c>
      <c r="BP510" s="37" t="n">
        <v>136.46</v>
      </c>
      <c r="BQ510" s="37" t="n">
        <v>134.48</v>
      </c>
      <c r="BR510" s="37" t="n">
        <v>137.82</v>
      </c>
      <c r="BS510" s="37" t="n">
        <v>138.08</v>
      </c>
      <c r="BT510" s="37" t="n">
        <v>134.23</v>
      </c>
      <c r="BU510" s="37" t="n">
        <v>108.56</v>
      </c>
      <c r="BV510" s="37" t="n">
        <v>161.02</v>
      </c>
      <c r="BW510" s="37" t="n">
        <v>136.46</v>
      </c>
      <c r="BX510" s="37" t="n">
        <v>134.48</v>
      </c>
      <c r="BY510" s="37" t="n">
        <v>137.82</v>
      </c>
      <c r="BZ510" s="37" t="n">
        <v>138.08</v>
      </c>
      <c r="CA510" s="37" t="n">
        <v>134.23</v>
      </c>
      <c r="CB510" s="37" t="n">
        <v>108.56</v>
      </c>
      <c r="CC510" s="37" t="n">
        <v>10414.55</v>
      </c>
    </row>
    <row r="511" ht="15.75" customHeight="1" s="57">
      <c r="A511" s="7" t="inlineStr">
        <is>
          <t>NTB</t>
        </is>
      </c>
      <c r="B511" s="7" t="inlineStr">
        <is>
          <t>Ninh Thuận</t>
        </is>
      </c>
      <c r="C511" s="7" t="n">
        <v>20316000</v>
      </c>
      <c r="D511" s="7" t="inlineStr">
        <is>
          <t>(NTH) Ninh Sơn</t>
        </is>
      </c>
      <c r="E511" s="7" t="inlineStr">
        <is>
          <t>TTS-Bulky</t>
        </is>
      </c>
      <c r="F511" s="36" t="n">
        <v>4</v>
      </c>
      <c r="G511" s="36" t="n">
        <v>4</v>
      </c>
      <c r="H511" s="36" t="n">
        <v>0</v>
      </c>
      <c r="I511" s="36" t="n">
        <v>2</v>
      </c>
      <c r="J511" s="36" t="n">
        <v>2</v>
      </c>
      <c r="K511" s="28" t="n">
        <v>5</v>
      </c>
      <c r="L511" s="36" t="n">
        <v>0</v>
      </c>
      <c r="M511" s="36" t="n">
        <v>0</v>
      </c>
      <c r="N511" s="36" t="n">
        <v>0</v>
      </c>
      <c r="O511" s="36" t="n">
        <v>2</v>
      </c>
      <c r="P511" s="36" t="n">
        <v>0</v>
      </c>
      <c r="Q511" s="36" t="n">
        <v>2</v>
      </c>
      <c r="R511" s="28" t="n">
        <v>1</v>
      </c>
      <c r="S511" s="36" t="n">
        <v>2</v>
      </c>
      <c r="T511" s="36" t="n">
        <v>1</v>
      </c>
      <c r="U511" s="36" t="n">
        <v>6.16</v>
      </c>
      <c r="V511" s="36" t="n">
        <v>6.82</v>
      </c>
      <c r="W511" s="36" t="n">
        <v>3.19</v>
      </c>
      <c r="X511" s="36" t="n">
        <v>2.64</v>
      </c>
      <c r="Y511" s="28" t="n">
        <v>2.86</v>
      </c>
      <c r="Z511" s="36" t="n">
        <v>2.64</v>
      </c>
      <c r="AA511" s="36" t="n">
        <v>3.41</v>
      </c>
      <c r="AB511" s="36" t="n">
        <v>3.3</v>
      </c>
      <c r="AC511" s="36" t="n">
        <v>3.63</v>
      </c>
      <c r="AD511" s="36" t="n">
        <v>2.2</v>
      </c>
      <c r="AE511" s="36" t="n">
        <v>3.08</v>
      </c>
      <c r="AF511" s="28" t="n">
        <v>3.52</v>
      </c>
      <c r="AG511" s="36" t="n">
        <v>3.08</v>
      </c>
      <c r="AH511" s="37" t="n">
        <v>3.08</v>
      </c>
      <c r="AI511" s="37" t="n">
        <v>2.64</v>
      </c>
      <c r="AJ511" s="37" t="n">
        <v>3.52</v>
      </c>
      <c r="AK511" s="37" t="n">
        <v>3.19</v>
      </c>
      <c r="AL511" s="37" t="n">
        <v>2.64</v>
      </c>
      <c r="AM511" s="37" t="n">
        <v>3.41</v>
      </c>
      <c r="AN511" s="37" t="n">
        <v>3.08</v>
      </c>
      <c r="AO511" s="37" t="n">
        <v>3.19</v>
      </c>
      <c r="AP511" s="37" t="n">
        <v>3.19</v>
      </c>
      <c r="AQ511" s="37" t="n">
        <v>3.52</v>
      </c>
      <c r="AR511" s="37" t="n">
        <v>3.19</v>
      </c>
      <c r="AS511" s="37" t="n">
        <v>2.64</v>
      </c>
      <c r="AT511" s="37" t="n">
        <v>3.52</v>
      </c>
      <c r="AU511" s="37" t="n">
        <v>3.52</v>
      </c>
      <c r="AV511" s="37" t="n">
        <v>3.19</v>
      </c>
      <c r="AW511" s="37" t="n">
        <v>3.19</v>
      </c>
      <c r="AX511" s="37" t="n">
        <v>3.3</v>
      </c>
      <c r="AY511" s="37" t="n">
        <v>3.19</v>
      </c>
      <c r="AZ511" s="37" t="n">
        <v>2.64</v>
      </c>
      <c r="BA511" s="37" t="n">
        <v>3.3</v>
      </c>
      <c r="BB511" s="37" t="n">
        <v>0.88</v>
      </c>
      <c r="BC511" s="37" t="n">
        <v>0.22</v>
      </c>
      <c r="BD511" s="37" t="n">
        <v>0.77</v>
      </c>
      <c r="BE511" s="37" t="n">
        <v>0.88</v>
      </c>
      <c r="BF511" s="37" t="n">
        <v>0.88</v>
      </c>
      <c r="BG511" s="37" t="n">
        <v>0.77</v>
      </c>
      <c r="BH511" s="37" t="n">
        <v>0.88</v>
      </c>
      <c r="BI511" s="37" t="n">
        <v>0.88</v>
      </c>
      <c r="BJ511" s="37" t="n">
        <v>0.55</v>
      </c>
      <c r="BK511" s="37" t="n">
        <v>0.88</v>
      </c>
      <c r="BL511" s="37" t="n">
        <v>0.88</v>
      </c>
      <c r="BM511" s="37" t="n">
        <v>0.88</v>
      </c>
      <c r="BN511" s="37" t="n">
        <v>0.77</v>
      </c>
      <c r="BO511" s="37" t="n">
        <v>0.88</v>
      </c>
      <c r="BP511" s="37" t="n">
        <v>0.88</v>
      </c>
      <c r="BQ511" s="37" t="n">
        <v>0.88</v>
      </c>
      <c r="BR511" s="37" t="n">
        <v>0.88</v>
      </c>
      <c r="BS511" s="37" t="n">
        <v>0.88</v>
      </c>
      <c r="BT511" s="37" t="n">
        <v>0.88</v>
      </c>
      <c r="BU511" s="37" t="n">
        <v>0.66</v>
      </c>
      <c r="BV511" s="37" t="n">
        <v>0.88</v>
      </c>
      <c r="BW511" s="37" t="n">
        <v>0.88</v>
      </c>
      <c r="BX511" s="37" t="n">
        <v>0.88</v>
      </c>
      <c r="BY511" s="37" t="n">
        <v>0.88</v>
      </c>
      <c r="BZ511" s="37" t="n">
        <v>0.88</v>
      </c>
      <c r="CA511" s="37" t="n">
        <v>0.88</v>
      </c>
      <c r="CB511" s="37" t="n">
        <v>0.66</v>
      </c>
      <c r="CC511" s="37" t="n">
        <v>156.6699999999999</v>
      </c>
    </row>
    <row r="512" ht="15.75" customHeight="1" s="57">
      <c r="A512" s="7" t="inlineStr">
        <is>
          <t>NTB</t>
        </is>
      </c>
      <c r="B512" s="7" t="inlineStr">
        <is>
          <t>Ninh Thuận</t>
        </is>
      </c>
      <c r="C512" s="7" t="n">
        <v>20499000</v>
      </c>
      <c r="D512" s="7" t="inlineStr">
        <is>
          <t>(NTH) Phước Dinh</t>
        </is>
      </c>
      <c r="E512" s="7" t="inlineStr">
        <is>
          <t>SME</t>
        </is>
      </c>
      <c r="F512" s="36" t="n">
        <v>319</v>
      </c>
      <c r="G512" s="36" t="n">
        <v>421</v>
      </c>
      <c r="H512" s="36" t="n">
        <v>365</v>
      </c>
      <c r="I512" s="36" t="n">
        <v>343</v>
      </c>
      <c r="J512" s="36" t="n">
        <v>319</v>
      </c>
      <c r="K512" s="28" t="n">
        <v>283</v>
      </c>
      <c r="L512" s="36" t="n">
        <v>286</v>
      </c>
      <c r="M512" s="36" t="n">
        <v>322</v>
      </c>
      <c r="N512" s="36" t="n">
        <v>329</v>
      </c>
      <c r="O512" s="36" t="n">
        <v>305</v>
      </c>
      <c r="P512" s="36" t="n">
        <v>266</v>
      </c>
      <c r="Q512" s="36" t="n">
        <v>264</v>
      </c>
      <c r="R512" s="28" t="n">
        <v>326</v>
      </c>
      <c r="S512" s="36" t="n">
        <v>292</v>
      </c>
      <c r="T512" s="36" t="n">
        <v>291</v>
      </c>
      <c r="U512" s="36" t="n">
        <v>369.48</v>
      </c>
      <c r="V512" s="36" t="n">
        <v>383.2</v>
      </c>
      <c r="W512" s="36" t="n">
        <v>373.11</v>
      </c>
      <c r="X512" s="36" t="n">
        <v>303.89</v>
      </c>
      <c r="Y512" s="28" t="n">
        <v>412.56</v>
      </c>
      <c r="Z512" s="36" t="n">
        <v>380.32</v>
      </c>
      <c r="AA512" s="36" t="n">
        <v>371.14</v>
      </c>
      <c r="AB512" s="36" t="n">
        <v>369.48</v>
      </c>
      <c r="AC512" s="36" t="n">
        <v>383.2</v>
      </c>
      <c r="AD512" s="36" t="n">
        <v>396.8</v>
      </c>
      <c r="AE512" s="36" t="n">
        <v>303.89</v>
      </c>
      <c r="AF512" s="28" t="n">
        <v>412.56</v>
      </c>
      <c r="AG512" s="36" t="n">
        <v>380.32</v>
      </c>
      <c r="AH512" s="37" t="n">
        <v>371.14</v>
      </c>
      <c r="AI512" s="37" t="n">
        <v>369.48</v>
      </c>
      <c r="AJ512" s="37" t="n">
        <v>383.2</v>
      </c>
      <c r="AK512" s="37" t="n">
        <v>373.11</v>
      </c>
      <c r="AL512" s="37" t="n">
        <v>303.89</v>
      </c>
      <c r="AM512" s="37" t="n">
        <v>412.56</v>
      </c>
      <c r="AN512" s="37" t="n">
        <v>380.32</v>
      </c>
      <c r="AO512" s="37" t="n">
        <v>371.14</v>
      </c>
      <c r="AP512" s="37" t="n">
        <v>369.48</v>
      </c>
      <c r="AQ512" s="37" t="n">
        <v>383.2</v>
      </c>
      <c r="AR512" s="37" t="n">
        <v>373.11</v>
      </c>
      <c r="AS512" s="37" t="n">
        <v>303.89</v>
      </c>
      <c r="AT512" s="37" t="n">
        <v>412.56</v>
      </c>
      <c r="AU512" s="37" t="n">
        <v>380.32</v>
      </c>
      <c r="AV512" s="37" t="n">
        <v>371.14</v>
      </c>
      <c r="AW512" s="37" t="n">
        <v>369.48</v>
      </c>
      <c r="AX512" s="37" t="n">
        <v>383.2</v>
      </c>
      <c r="AY512" s="37" t="n">
        <v>373.11</v>
      </c>
      <c r="AZ512" s="37" t="n">
        <v>303.89</v>
      </c>
      <c r="BA512" s="37" t="n">
        <v>371.52</v>
      </c>
      <c r="BB512" s="37" t="n">
        <v>333.52</v>
      </c>
      <c r="BC512" s="37" t="n">
        <v>210.05</v>
      </c>
      <c r="BD512" s="37" t="n">
        <v>209.09</v>
      </c>
      <c r="BE512" s="37" t="n">
        <v>355.4</v>
      </c>
      <c r="BF512" s="37" t="n">
        <v>345.63</v>
      </c>
      <c r="BG512" s="37" t="n">
        <v>313.67</v>
      </c>
      <c r="BH512" s="37" t="n">
        <v>425.22</v>
      </c>
      <c r="BI512" s="37" t="n">
        <v>392.2</v>
      </c>
      <c r="BJ512" s="37" t="n">
        <v>407.59</v>
      </c>
      <c r="BK512" s="37" t="n">
        <v>381.17</v>
      </c>
      <c r="BL512" s="37" t="n">
        <v>395.07</v>
      </c>
      <c r="BM512" s="37" t="n">
        <v>384.8</v>
      </c>
      <c r="BN512" s="37" t="n">
        <v>313.67</v>
      </c>
      <c r="BO512" s="37" t="n">
        <v>425.22</v>
      </c>
      <c r="BP512" s="37" t="n">
        <v>392.2</v>
      </c>
      <c r="BQ512" s="37" t="n">
        <v>382.84</v>
      </c>
      <c r="BR512" s="37" t="n">
        <v>381.17</v>
      </c>
      <c r="BS512" s="37" t="n">
        <v>395.07</v>
      </c>
      <c r="BT512" s="37" t="n">
        <v>384.8</v>
      </c>
      <c r="BU512" s="37" t="n">
        <v>313.67</v>
      </c>
      <c r="BV512" s="37" t="n">
        <v>425.22</v>
      </c>
      <c r="BW512" s="37" t="n">
        <v>392.2</v>
      </c>
      <c r="BX512" s="37" t="n">
        <v>382.84</v>
      </c>
      <c r="BY512" s="37" t="n">
        <v>381.17</v>
      </c>
      <c r="BZ512" s="37" t="n">
        <v>395.07</v>
      </c>
      <c r="CA512" s="37" t="n">
        <v>384.8</v>
      </c>
      <c r="CB512" s="37" t="n">
        <v>313.67</v>
      </c>
      <c r="CC512" s="37" t="n">
        <v>26747.70999999999</v>
      </c>
    </row>
    <row r="513" ht="15.75" customHeight="1" s="57">
      <c r="A513" s="7" t="inlineStr">
        <is>
          <t>NTB</t>
        </is>
      </c>
      <c r="B513" s="7" t="inlineStr">
        <is>
          <t>Ninh Thuận</t>
        </is>
      </c>
      <c r="C513" s="7" t="n">
        <v>20499000</v>
      </c>
      <c r="D513" s="7" t="inlineStr">
        <is>
          <t>(NTH) Phước Dinh</t>
        </is>
      </c>
      <c r="E513" s="7" t="inlineStr">
        <is>
          <t>SME-Bulky</t>
        </is>
      </c>
      <c r="F513" s="36" t="n">
        <v>7</v>
      </c>
      <c r="G513" s="36" t="n">
        <v>18</v>
      </c>
      <c r="H513" s="36" t="n">
        <v>7</v>
      </c>
      <c r="I513" s="36" t="n">
        <v>19</v>
      </c>
      <c r="J513" s="36" t="n">
        <v>21</v>
      </c>
      <c r="K513" s="28" t="n">
        <v>23</v>
      </c>
      <c r="L513" s="36" t="n">
        <v>15</v>
      </c>
      <c r="M513" s="36" t="n">
        <v>21</v>
      </c>
      <c r="N513" s="36" t="n">
        <v>11</v>
      </c>
      <c r="O513" s="36" t="n">
        <v>10</v>
      </c>
      <c r="P513" s="36" t="n">
        <v>17</v>
      </c>
      <c r="Q513" s="36" t="n">
        <v>15</v>
      </c>
      <c r="R513" s="28" t="n">
        <v>22</v>
      </c>
      <c r="S513" s="36" t="n">
        <v>12</v>
      </c>
      <c r="T513" s="36" t="n">
        <v>16</v>
      </c>
      <c r="U513" s="36" t="n">
        <v>14.24</v>
      </c>
      <c r="V513" s="36" t="n">
        <v>14.36</v>
      </c>
      <c r="W513" s="36" t="n">
        <v>13.63</v>
      </c>
      <c r="X513" s="36" t="n">
        <v>8.1</v>
      </c>
      <c r="Y513" s="28" t="n">
        <v>16.21</v>
      </c>
      <c r="Z513" s="36" t="n">
        <v>15.22</v>
      </c>
      <c r="AA513" s="36" t="n">
        <v>14.85</v>
      </c>
      <c r="AB513" s="36" t="n">
        <v>14.24</v>
      </c>
      <c r="AC513" s="36" t="n">
        <v>14.36</v>
      </c>
      <c r="AD513" s="36" t="n">
        <v>13.75</v>
      </c>
      <c r="AE513" s="36" t="n">
        <v>8.1</v>
      </c>
      <c r="AF513" s="28" t="n">
        <v>16.21</v>
      </c>
      <c r="AG513" s="36" t="n">
        <v>15.22</v>
      </c>
      <c r="AH513" s="37" t="n">
        <v>14.85</v>
      </c>
      <c r="AI513" s="37" t="n">
        <v>14.24</v>
      </c>
      <c r="AJ513" s="37" t="n">
        <v>14.36</v>
      </c>
      <c r="AK513" s="37" t="n">
        <v>13.63</v>
      </c>
      <c r="AL513" s="37" t="n">
        <v>8.1</v>
      </c>
      <c r="AM513" s="37" t="n">
        <v>16.21</v>
      </c>
      <c r="AN513" s="37" t="n">
        <v>15.22</v>
      </c>
      <c r="AO513" s="37" t="n">
        <v>14.85</v>
      </c>
      <c r="AP513" s="37" t="n">
        <v>14.24</v>
      </c>
      <c r="AQ513" s="37" t="n">
        <v>14.36</v>
      </c>
      <c r="AR513" s="37" t="n">
        <v>13.63</v>
      </c>
      <c r="AS513" s="37" t="n">
        <v>8.1</v>
      </c>
      <c r="AT513" s="37" t="n">
        <v>16.21</v>
      </c>
      <c r="AU513" s="37" t="n">
        <v>15.22</v>
      </c>
      <c r="AV513" s="37" t="n">
        <v>14.85</v>
      </c>
      <c r="AW513" s="37" t="n">
        <v>14.24</v>
      </c>
      <c r="AX513" s="37" t="n">
        <v>14.36</v>
      </c>
      <c r="AY513" s="37" t="n">
        <v>13.63</v>
      </c>
      <c r="AZ513" s="37" t="n">
        <v>8.1</v>
      </c>
      <c r="BA513" s="37" t="n">
        <v>16.08</v>
      </c>
      <c r="BB513" s="37" t="n">
        <v>8.1</v>
      </c>
      <c r="BC513" s="37" t="n">
        <v>3.44</v>
      </c>
      <c r="BD513" s="37" t="n">
        <v>3.07</v>
      </c>
      <c r="BE513" s="37" t="n">
        <v>6.26</v>
      </c>
      <c r="BF513" s="37" t="n">
        <v>6.38</v>
      </c>
      <c r="BG513" s="37" t="n">
        <v>4.67</v>
      </c>
      <c r="BH513" s="37" t="n">
        <v>9.33</v>
      </c>
      <c r="BI513" s="37" t="n">
        <v>9.08</v>
      </c>
      <c r="BJ513" s="37" t="n">
        <v>9.210000000000001</v>
      </c>
      <c r="BK513" s="37" t="n">
        <v>8.23</v>
      </c>
      <c r="BL513" s="37" t="n">
        <v>8.470000000000001</v>
      </c>
      <c r="BM513" s="37" t="n">
        <v>7.98</v>
      </c>
      <c r="BN513" s="37" t="n">
        <v>4.67</v>
      </c>
      <c r="BO513" s="37" t="n">
        <v>9.33</v>
      </c>
      <c r="BP513" s="37" t="n">
        <v>9.08</v>
      </c>
      <c r="BQ513" s="37" t="n">
        <v>8.59</v>
      </c>
      <c r="BR513" s="37" t="n">
        <v>8.23</v>
      </c>
      <c r="BS513" s="37" t="n">
        <v>8.470000000000001</v>
      </c>
      <c r="BT513" s="37" t="n">
        <v>7.98</v>
      </c>
      <c r="BU513" s="37" t="n">
        <v>4.67</v>
      </c>
      <c r="BV513" s="37" t="n">
        <v>9.33</v>
      </c>
      <c r="BW513" s="37" t="n">
        <v>9.08</v>
      </c>
      <c r="BX513" s="37" t="n">
        <v>8.59</v>
      </c>
      <c r="BY513" s="37" t="n">
        <v>8.23</v>
      </c>
      <c r="BZ513" s="37" t="n">
        <v>8.470000000000001</v>
      </c>
      <c r="CA513" s="37" t="n">
        <v>7.98</v>
      </c>
      <c r="CB513" s="37" t="n">
        <v>4.67</v>
      </c>
      <c r="CC513" s="37" t="n">
        <v>888.5600000000009</v>
      </c>
    </row>
    <row r="514" ht="15.75" customHeight="1" s="57">
      <c r="A514" s="7" t="inlineStr">
        <is>
          <t>NTB</t>
        </is>
      </c>
      <c r="B514" s="7" t="inlineStr">
        <is>
          <t>Ninh Thuận</t>
        </is>
      </c>
      <c r="C514" s="7" t="n">
        <v>20499000</v>
      </c>
      <c r="D514" s="7" t="inlineStr">
        <is>
          <t>(NTH) Phước Dinh</t>
        </is>
      </c>
      <c r="E514" s="7" t="inlineStr">
        <is>
          <t>Shopee</t>
        </is>
      </c>
      <c r="F514" s="36" t="n">
        <v>274</v>
      </c>
      <c r="G514" s="36" t="n">
        <v>327</v>
      </c>
      <c r="H514" s="36" t="n">
        <v>284</v>
      </c>
      <c r="I514" s="36" t="n">
        <v>342</v>
      </c>
      <c r="J514" s="36" t="n">
        <v>243</v>
      </c>
      <c r="K514" s="28" t="n">
        <v>215</v>
      </c>
      <c r="L514" s="36" t="n">
        <v>199</v>
      </c>
      <c r="M514" s="36" t="n">
        <v>244</v>
      </c>
      <c r="N514" s="36" t="n">
        <v>303</v>
      </c>
      <c r="O514" s="36" t="n">
        <v>296</v>
      </c>
      <c r="P514" s="36" t="n">
        <v>213</v>
      </c>
      <c r="Q514" s="36" t="n">
        <v>203</v>
      </c>
      <c r="R514" s="28" t="n">
        <v>208</v>
      </c>
      <c r="S514" s="36" t="n">
        <v>178</v>
      </c>
      <c r="T514" s="36" t="n">
        <v>234</v>
      </c>
      <c r="U514" s="36" t="n">
        <v>266.27</v>
      </c>
      <c r="V514" s="36" t="n">
        <v>267.13</v>
      </c>
      <c r="W514" s="36" t="n">
        <v>263.52</v>
      </c>
      <c r="X514" s="36" t="n">
        <v>215.45</v>
      </c>
      <c r="Y514" s="28" t="n">
        <v>359.32</v>
      </c>
      <c r="Z514" s="36" t="n">
        <v>284.64</v>
      </c>
      <c r="AA514" s="36" t="n">
        <v>391.59</v>
      </c>
      <c r="AB514" s="36" t="n">
        <v>271.42</v>
      </c>
      <c r="AC514" s="36" t="n">
        <v>220.09</v>
      </c>
      <c r="AD514" s="36" t="n">
        <v>572.02</v>
      </c>
      <c r="AE514" s="36" t="n">
        <v>229.87</v>
      </c>
      <c r="AF514" s="28" t="n">
        <v>409.27</v>
      </c>
      <c r="AG514" s="36" t="n">
        <v>299.06</v>
      </c>
      <c r="AH514" s="37" t="n">
        <v>316.23</v>
      </c>
      <c r="AI514" s="37" t="n">
        <v>266.27</v>
      </c>
      <c r="AJ514" s="37" t="n">
        <v>267.13</v>
      </c>
      <c r="AK514" s="37" t="n">
        <v>356.06</v>
      </c>
      <c r="AL514" s="37" t="n">
        <v>385.24</v>
      </c>
      <c r="AM514" s="37" t="n">
        <v>359.32</v>
      </c>
      <c r="AN514" s="37" t="n">
        <v>284.64</v>
      </c>
      <c r="AO514" s="37" t="n">
        <v>316.23</v>
      </c>
      <c r="AP514" s="37" t="n">
        <v>333.39</v>
      </c>
      <c r="AQ514" s="37" t="n">
        <v>215.45</v>
      </c>
      <c r="AR514" s="37" t="n">
        <v>263.52</v>
      </c>
      <c r="AS514" s="37" t="n">
        <v>215.45</v>
      </c>
      <c r="AT514" s="37" t="n">
        <v>359.32</v>
      </c>
      <c r="AU514" s="37" t="n">
        <v>290.48</v>
      </c>
      <c r="AV514" s="37" t="n">
        <v>321.89</v>
      </c>
      <c r="AW514" s="37" t="n">
        <v>266.27</v>
      </c>
      <c r="AX514" s="37" t="n">
        <v>267.13</v>
      </c>
      <c r="AY514" s="37" t="n">
        <v>263.52</v>
      </c>
      <c r="AZ514" s="37" t="n">
        <v>215.45</v>
      </c>
      <c r="BA514" s="37" t="n">
        <v>276.91</v>
      </c>
      <c r="BB514" s="37" t="n">
        <v>240.69</v>
      </c>
      <c r="BC514" s="37" t="n">
        <v>123.26</v>
      </c>
      <c r="BD514" s="37" t="n">
        <v>218.71</v>
      </c>
      <c r="BE514" s="37" t="n">
        <v>254.59</v>
      </c>
      <c r="BF514" s="37" t="n">
        <v>251.16</v>
      </c>
      <c r="BG514" s="37" t="n">
        <v>209.1</v>
      </c>
      <c r="BH514" s="37" t="n">
        <v>342.32</v>
      </c>
      <c r="BI514" s="37" t="n">
        <v>223.01</v>
      </c>
      <c r="BJ514" s="37" t="n">
        <v>810.65</v>
      </c>
      <c r="BK514" s="37" t="n">
        <v>272.62</v>
      </c>
      <c r="BL514" s="37" t="n">
        <v>268.16</v>
      </c>
      <c r="BM514" s="37" t="n">
        <v>251.16</v>
      </c>
      <c r="BN514" s="37" t="n">
        <v>205.32</v>
      </c>
      <c r="BO514" s="37" t="n">
        <v>342.32</v>
      </c>
      <c r="BP514" s="37" t="n">
        <v>365.5</v>
      </c>
      <c r="BQ514" s="37" t="n">
        <v>539.75</v>
      </c>
      <c r="BR514" s="37" t="n">
        <v>253.91</v>
      </c>
      <c r="BS514" s="37" t="n">
        <v>254.59</v>
      </c>
      <c r="BT514" s="37" t="n">
        <v>251.16</v>
      </c>
      <c r="BU514" s="37" t="n">
        <v>254.94</v>
      </c>
      <c r="BV514" s="37" t="n">
        <v>275.02</v>
      </c>
      <c r="BW514" s="37" t="n">
        <v>271.42</v>
      </c>
      <c r="BX514" s="37" t="n">
        <v>301.29</v>
      </c>
      <c r="BY514" s="37" t="n">
        <v>253.91</v>
      </c>
      <c r="BZ514" s="37" t="n">
        <v>260.09</v>
      </c>
      <c r="CA514" s="37" t="n">
        <v>255.8</v>
      </c>
      <c r="CB514" s="37" t="n">
        <v>205.32</v>
      </c>
      <c r="CC514" s="37" t="n">
        <v>21408.32</v>
      </c>
    </row>
    <row r="515" ht="15.75" customHeight="1" s="57">
      <c r="A515" s="7" t="inlineStr">
        <is>
          <t>NTB</t>
        </is>
      </c>
      <c r="B515" s="7" t="inlineStr">
        <is>
          <t>Ninh Thuận</t>
        </is>
      </c>
      <c r="C515" s="7" t="n">
        <v>20499000</v>
      </c>
      <c r="D515" s="7" t="inlineStr">
        <is>
          <t>(NTH) Phước Dinh</t>
        </is>
      </c>
      <c r="E515" s="7" t="inlineStr">
        <is>
          <t>Shopee-Bulky</t>
        </is>
      </c>
      <c r="F515" s="36" t="n">
        <v>27.27</v>
      </c>
      <c r="G515" s="36" t="n">
        <v>21.69</v>
      </c>
      <c r="H515" s="36" t="n">
        <v>29.13</v>
      </c>
      <c r="I515" s="36" t="n">
        <v>22.93</v>
      </c>
      <c r="J515" s="36" t="n">
        <v>19.21</v>
      </c>
      <c r="K515" s="28" t="n">
        <v>13.63</v>
      </c>
      <c r="L515" s="36" t="n">
        <v>15.49</v>
      </c>
      <c r="M515" s="36" t="n">
        <v>23.55</v>
      </c>
      <c r="N515" s="36" t="n">
        <v>18.59</v>
      </c>
      <c r="O515" s="36" t="n">
        <v>16.73</v>
      </c>
      <c r="P515" s="36" t="n">
        <v>18.59</v>
      </c>
      <c r="Q515" s="36" t="n">
        <v>19.83</v>
      </c>
      <c r="R515" s="28" t="n">
        <v>21.69</v>
      </c>
      <c r="S515" s="36" t="n">
        <v>18.59</v>
      </c>
      <c r="T515" s="36" t="n">
        <v>21.69</v>
      </c>
      <c r="U515" s="36" t="n">
        <v>18.63</v>
      </c>
      <c r="V515" s="36" t="n">
        <v>17.69</v>
      </c>
      <c r="W515" s="36" t="n">
        <v>24.37</v>
      </c>
      <c r="X515" s="36" t="n">
        <v>13.47</v>
      </c>
      <c r="Y515" s="28" t="n">
        <v>28.36</v>
      </c>
      <c r="Z515" s="36" t="n">
        <v>22.03</v>
      </c>
      <c r="AA515" s="36" t="n">
        <v>21.21</v>
      </c>
      <c r="AB515" s="36" t="n">
        <v>22.03</v>
      </c>
      <c r="AC515" s="36" t="n">
        <v>21.91</v>
      </c>
      <c r="AD515" s="36" t="n">
        <v>71.12</v>
      </c>
      <c r="AE515" s="36" t="n">
        <v>35.74</v>
      </c>
      <c r="AF515" s="28" t="n">
        <v>55.77</v>
      </c>
      <c r="AG515" s="36" t="n">
        <v>32.46</v>
      </c>
      <c r="AH515" s="37" t="n">
        <v>21.91</v>
      </c>
      <c r="AI515" s="37" t="n">
        <v>21.44</v>
      </c>
      <c r="AJ515" s="37" t="n">
        <v>19.68</v>
      </c>
      <c r="AK515" s="37" t="n">
        <v>46.75</v>
      </c>
      <c r="AL515" s="37" t="n">
        <v>23.08</v>
      </c>
      <c r="AM515" s="37" t="n">
        <v>35.27</v>
      </c>
      <c r="AN515" s="37" t="n">
        <v>21.56</v>
      </c>
      <c r="AO515" s="37" t="n">
        <v>20.27</v>
      </c>
      <c r="AP515" s="37" t="n">
        <v>29.29</v>
      </c>
      <c r="AQ515" s="37" t="n">
        <v>27.77</v>
      </c>
      <c r="AR515" s="37" t="n">
        <v>22.26</v>
      </c>
      <c r="AS515" s="37" t="n">
        <v>12.19</v>
      </c>
      <c r="AT515" s="37" t="n">
        <v>25.66</v>
      </c>
      <c r="AU515" s="37" t="n">
        <v>41.83</v>
      </c>
      <c r="AV515" s="37" t="n">
        <v>44.29</v>
      </c>
      <c r="AW515" s="37" t="n">
        <v>20.39</v>
      </c>
      <c r="AX515" s="37" t="n">
        <v>18.75</v>
      </c>
      <c r="AY515" s="37" t="n">
        <v>21.44</v>
      </c>
      <c r="AZ515" s="37" t="n">
        <v>11.37</v>
      </c>
      <c r="BA515" s="37" t="n">
        <v>23.55</v>
      </c>
      <c r="BB515" s="37" t="n">
        <v>20.97</v>
      </c>
      <c r="BC515" s="37" t="n">
        <v>6.44</v>
      </c>
      <c r="BD515" s="37" t="n">
        <v>18.51</v>
      </c>
      <c r="BE515" s="37" t="n">
        <v>22.15</v>
      </c>
      <c r="BF515" s="37" t="n">
        <v>19.33</v>
      </c>
      <c r="BG515" s="37" t="n">
        <v>15.82</v>
      </c>
      <c r="BH515" s="37" t="n">
        <v>30.82</v>
      </c>
      <c r="BI515" s="37" t="n">
        <v>25.78</v>
      </c>
      <c r="BJ515" s="37" t="n">
        <v>112.25</v>
      </c>
      <c r="BK515" s="37" t="n">
        <v>55.07</v>
      </c>
      <c r="BL515" s="37" t="n">
        <v>28.71</v>
      </c>
      <c r="BM515" s="37" t="n">
        <v>19.8</v>
      </c>
      <c r="BN515" s="37" t="n">
        <v>15.82</v>
      </c>
      <c r="BO515" s="37" t="n">
        <v>35.74</v>
      </c>
      <c r="BP515" s="37" t="n">
        <v>51.2</v>
      </c>
      <c r="BQ515" s="37" t="n">
        <v>37.73</v>
      </c>
      <c r="BR515" s="37" t="n">
        <v>23.67</v>
      </c>
      <c r="BS515" s="37" t="n">
        <v>22.15</v>
      </c>
      <c r="BT515" s="37" t="n">
        <v>19.33</v>
      </c>
      <c r="BU515" s="37" t="n">
        <v>23.08</v>
      </c>
      <c r="BV515" s="37" t="n">
        <v>32.34</v>
      </c>
      <c r="BW515" s="37" t="n">
        <v>25.78</v>
      </c>
      <c r="BX515" s="37" t="n">
        <v>24.14</v>
      </c>
      <c r="BY515" s="37" t="n">
        <v>23.67</v>
      </c>
      <c r="BZ515" s="37" t="n">
        <v>41.01</v>
      </c>
      <c r="CA515" s="37" t="n">
        <v>23.08</v>
      </c>
      <c r="CB515" s="37" t="n">
        <v>15</v>
      </c>
      <c r="CC515" s="37" t="n">
        <v>1991.54</v>
      </c>
    </row>
    <row r="516" ht="15.75" customHeight="1" s="57">
      <c r="A516" s="7" t="inlineStr">
        <is>
          <t>NTB</t>
        </is>
      </c>
      <c r="B516" s="7" t="inlineStr">
        <is>
          <t>Ninh Thuận</t>
        </is>
      </c>
      <c r="C516" s="7" t="n">
        <v>20499000</v>
      </c>
      <c r="D516" s="7" t="inlineStr">
        <is>
          <t>(NTH) Phước Dinh</t>
        </is>
      </c>
      <c r="E516" s="7" t="inlineStr">
        <is>
          <t>Shopee-Bulky (10-15kg)</t>
        </is>
      </c>
      <c r="F516" s="36" t="n">
        <v>16.73</v>
      </c>
      <c r="G516" s="36" t="n">
        <v>13.31</v>
      </c>
      <c r="H516" s="36" t="n">
        <v>17.87</v>
      </c>
      <c r="I516" s="36" t="n">
        <v>14.07</v>
      </c>
      <c r="J516" s="36" t="n">
        <v>11.79</v>
      </c>
      <c r="K516" s="28" t="n">
        <v>8.369999999999999</v>
      </c>
      <c r="L516" s="36" t="n">
        <v>9.51</v>
      </c>
      <c r="M516" s="36" t="n">
        <v>14.45</v>
      </c>
      <c r="N516" s="36" t="n">
        <v>11.41</v>
      </c>
      <c r="O516" s="36" t="n">
        <v>10.27</v>
      </c>
      <c r="P516" s="36" t="n">
        <v>11.41</v>
      </c>
      <c r="Q516" s="36" t="n">
        <v>12.17</v>
      </c>
      <c r="R516" s="28" t="n">
        <v>13.31</v>
      </c>
      <c r="S516" s="36" t="n">
        <v>11.41</v>
      </c>
      <c r="T516" s="36" t="n">
        <v>13.31</v>
      </c>
      <c r="U516" s="36" t="n">
        <v>12.3</v>
      </c>
      <c r="V516" s="36" t="n">
        <v>11.83</v>
      </c>
      <c r="W516" s="36" t="n">
        <v>15</v>
      </c>
      <c r="X516" s="36" t="n">
        <v>8.44</v>
      </c>
      <c r="Y516" s="28" t="n">
        <v>18.16</v>
      </c>
      <c r="Z516" s="36" t="n">
        <v>13.36</v>
      </c>
      <c r="AA516" s="36" t="n">
        <v>13.24</v>
      </c>
      <c r="AB516" s="36" t="n">
        <v>13.01</v>
      </c>
      <c r="AC516" s="36" t="n">
        <v>14.06</v>
      </c>
      <c r="AD516" s="36" t="n">
        <v>53.78</v>
      </c>
      <c r="AE516" s="36" t="n">
        <v>21.68</v>
      </c>
      <c r="AF516" s="28" t="n">
        <v>31.28</v>
      </c>
      <c r="AG516" s="36" t="n">
        <v>19.57</v>
      </c>
      <c r="AH516" s="37" t="n">
        <v>13.12</v>
      </c>
      <c r="AI516" s="37" t="n">
        <v>13.59</v>
      </c>
      <c r="AJ516" s="37" t="n">
        <v>12.42</v>
      </c>
      <c r="AK516" s="37" t="n">
        <v>29.64</v>
      </c>
      <c r="AL516" s="37" t="n">
        <v>13.94</v>
      </c>
      <c r="AM516" s="37" t="n">
        <v>22.26</v>
      </c>
      <c r="AN516" s="37" t="n">
        <v>13.24</v>
      </c>
      <c r="AO516" s="37" t="n">
        <v>12.65</v>
      </c>
      <c r="AP516" s="37" t="n">
        <v>17.46</v>
      </c>
      <c r="AQ516" s="37" t="n">
        <v>17.69</v>
      </c>
      <c r="AR516" s="37" t="n">
        <v>13.83</v>
      </c>
      <c r="AS516" s="37" t="n">
        <v>7.73</v>
      </c>
      <c r="AT516" s="37" t="n">
        <v>16.29</v>
      </c>
      <c r="AU516" s="37" t="n">
        <v>27.18</v>
      </c>
      <c r="AV516" s="37" t="n">
        <v>28.12</v>
      </c>
      <c r="AW516" s="37" t="n">
        <v>12.89</v>
      </c>
      <c r="AX516" s="37" t="n">
        <v>11.95</v>
      </c>
      <c r="AY516" s="37" t="n">
        <v>13.47</v>
      </c>
      <c r="AZ516" s="37" t="n">
        <v>7.26</v>
      </c>
      <c r="BA516" s="37" t="n">
        <v>14.76</v>
      </c>
      <c r="BB516" s="37" t="n">
        <v>13.01</v>
      </c>
      <c r="BC516" s="37" t="n">
        <v>3.75</v>
      </c>
      <c r="BD516" s="37" t="n">
        <v>11.01</v>
      </c>
      <c r="BE516" s="37" t="n">
        <v>14.18</v>
      </c>
      <c r="BF516" s="37" t="n">
        <v>11.83</v>
      </c>
      <c r="BG516" s="37" t="n">
        <v>9.609999999999999</v>
      </c>
      <c r="BH516" s="37" t="n">
        <v>19.22</v>
      </c>
      <c r="BI516" s="37" t="n">
        <v>15.82</v>
      </c>
      <c r="BJ516" s="37" t="n">
        <v>74.87</v>
      </c>
      <c r="BK516" s="37" t="n">
        <v>33.04</v>
      </c>
      <c r="BL516" s="37" t="n">
        <v>18.16</v>
      </c>
      <c r="BM516" s="37" t="n">
        <v>12.77</v>
      </c>
      <c r="BN516" s="37" t="n">
        <v>9.84</v>
      </c>
      <c r="BO516" s="37" t="n">
        <v>22.03</v>
      </c>
      <c r="BP516" s="37" t="n">
        <v>31.05</v>
      </c>
      <c r="BQ516" s="37" t="n">
        <v>22.97</v>
      </c>
      <c r="BR516" s="37" t="n">
        <v>14.76</v>
      </c>
      <c r="BS516" s="37" t="n">
        <v>14.18</v>
      </c>
      <c r="BT516" s="37" t="n">
        <v>11.83</v>
      </c>
      <c r="BU516" s="37" t="n">
        <v>14.41</v>
      </c>
      <c r="BV516" s="37" t="n">
        <v>19.68</v>
      </c>
      <c r="BW516" s="37" t="n">
        <v>15.82</v>
      </c>
      <c r="BX516" s="37" t="n">
        <v>14.88</v>
      </c>
      <c r="BY516" s="37" t="n">
        <v>14.76</v>
      </c>
      <c r="BZ516" s="37" t="n">
        <v>25.78</v>
      </c>
      <c r="CA516" s="37" t="n">
        <v>14.65</v>
      </c>
      <c r="CB516" s="37" t="n">
        <v>9.140000000000001</v>
      </c>
      <c r="CC516" s="37" t="n">
        <v>1247.640000000001</v>
      </c>
    </row>
    <row r="517" ht="15.75" customHeight="1" s="57">
      <c r="A517" s="7" t="inlineStr">
        <is>
          <t>NTB</t>
        </is>
      </c>
      <c r="B517" s="7" t="inlineStr">
        <is>
          <t>Ninh Thuận</t>
        </is>
      </c>
      <c r="C517" s="7" t="n">
        <v>20499000</v>
      </c>
      <c r="D517" s="7" t="inlineStr">
        <is>
          <t>(NTH) Phước Dinh</t>
        </is>
      </c>
      <c r="E517" s="7" t="inlineStr">
        <is>
          <t>TTS</t>
        </is>
      </c>
      <c r="F517" s="36" t="n">
        <v>280</v>
      </c>
      <c r="G517" s="36" t="n">
        <v>318</v>
      </c>
      <c r="H517" s="36" t="n">
        <v>368</v>
      </c>
      <c r="I517" s="36" t="n">
        <v>272</v>
      </c>
      <c r="J517" s="36" t="n">
        <v>258</v>
      </c>
      <c r="K517" s="28" t="n">
        <v>297</v>
      </c>
      <c r="L517" s="36" t="n">
        <v>286</v>
      </c>
      <c r="M517" s="36" t="n">
        <v>262</v>
      </c>
      <c r="N517" s="36" t="n">
        <v>337</v>
      </c>
      <c r="O517" s="36" t="n">
        <v>325</v>
      </c>
      <c r="P517" s="36" t="n">
        <v>269</v>
      </c>
      <c r="Q517" s="36" t="n">
        <v>264</v>
      </c>
      <c r="R517" s="28" t="n">
        <v>265</v>
      </c>
      <c r="S517" s="36" t="n">
        <v>292</v>
      </c>
      <c r="T517" s="36" t="n">
        <v>332</v>
      </c>
      <c r="U517" s="36" t="n">
        <v>228.03</v>
      </c>
      <c r="V517" s="36" t="n">
        <v>223.24</v>
      </c>
      <c r="W517" s="36" t="n">
        <v>218.45</v>
      </c>
      <c r="X517" s="36" t="n">
        <v>176.08</v>
      </c>
      <c r="Y517" s="28" t="n">
        <v>257.17</v>
      </c>
      <c r="Z517" s="36" t="n">
        <v>218.44</v>
      </c>
      <c r="AA517" s="36" t="n">
        <v>242.63</v>
      </c>
      <c r="AB517" s="36" t="n">
        <v>268.55</v>
      </c>
      <c r="AC517" s="36" t="n">
        <v>283.81</v>
      </c>
      <c r="AD517" s="36" t="n">
        <v>294.4299999999999</v>
      </c>
      <c r="AE517" s="36" t="n">
        <v>204.84</v>
      </c>
      <c r="AF517" s="28" t="n">
        <v>264.79</v>
      </c>
      <c r="AG517" s="36" t="n">
        <v>223.02</v>
      </c>
      <c r="AH517" s="37" t="n">
        <v>219.97</v>
      </c>
      <c r="AI517" s="37" t="n">
        <v>252.65</v>
      </c>
      <c r="AJ517" s="37" t="n">
        <v>269.64</v>
      </c>
      <c r="AK517" s="37" t="n">
        <v>266.3800000000001</v>
      </c>
      <c r="AL517" s="37" t="n">
        <v>190.46</v>
      </c>
      <c r="AM517" s="37" t="n">
        <v>261.09</v>
      </c>
      <c r="AN517" s="37" t="n">
        <v>225.63</v>
      </c>
      <c r="AO517" s="37" t="n">
        <v>224.11</v>
      </c>
      <c r="AP517" s="37" t="n">
        <v>216.69</v>
      </c>
      <c r="AQ517" s="37" t="n">
        <v>219.1</v>
      </c>
      <c r="AR517" s="37" t="n">
        <v>214.95</v>
      </c>
      <c r="AS517" s="37" t="n">
        <v>176.29</v>
      </c>
      <c r="AT517" s="37" t="n">
        <v>283.53</v>
      </c>
      <c r="AU517" s="37" t="n">
        <v>256.36</v>
      </c>
      <c r="AV517" s="37" t="n">
        <v>227.37</v>
      </c>
      <c r="AW517" s="37" t="n">
        <v>214.08</v>
      </c>
      <c r="AX517" s="37" t="n">
        <v>213.43</v>
      </c>
      <c r="AY517" s="37" t="n">
        <v>212.77</v>
      </c>
      <c r="AZ517" s="37" t="n">
        <v>176.51</v>
      </c>
      <c r="BA517" s="37" t="n">
        <v>255.2</v>
      </c>
      <c r="BB517" s="37" t="n">
        <v>239.36</v>
      </c>
      <c r="BC517" s="37" t="n">
        <v>142.3</v>
      </c>
      <c r="BD517" s="37" t="n">
        <v>206.46</v>
      </c>
      <c r="BE517" s="37" t="n">
        <v>242.19</v>
      </c>
      <c r="BF517" s="37" t="n">
        <v>235.43</v>
      </c>
      <c r="BG517" s="37" t="n">
        <v>190.46</v>
      </c>
      <c r="BH517" s="37" t="n">
        <v>282.44</v>
      </c>
      <c r="BI517" s="37" t="n">
        <v>239.36</v>
      </c>
      <c r="BJ517" s="37" t="n">
        <v>223.75</v>
      </c>
      <c r="BK517" s="37" t="n">
        <v>241.76</v>
      </c>
      <c r="BL517" s="37" t="n">
        <v>242.19</v>
      </c>
      <c r="BM517" s="37" t="n">
        <v>235.43</v>
      </c>
      <c r="BN517" s="37" t="n">
        <v>190.46</v>
      </c>
      <c r="BO517" s="37" t="n">
        <v>282.44</v>
      </c>
      <c r="BP517" s="37" t="n">
        <v>239.36</v>
      </c>
      <c r="BQ517" s="37" t="n">
        <v>235.87</v>
      </c>
      <c r="BR517" s="37" t="n">
        <v>241.76</v>
      </c>
      <c r="BS517" s="37" t="n">
        <v>242.19</v>
      </c>
      <c r="BT517" s="37" t="n">
        <v>235.43</v>
      </c>
      <c r="BU517" s="37" t="n">
        <v>190.46</v>
      </c>
      <c r="BV517" s="37" t="n">
        <v>282.44</v>
      </c>
      <c r="BW517" s="37" t="n">
        <v>239.36</v>
      </c>
      <c r="BX517" s="37" t="n">
        <v>235.87</v>
      </c>
      <c r="BY517" s="37" t="n">
        <v>241.76</v>
      </c>
      <c r="BZ517" s="37" t="n">
        <v>242.19</v>
      </c>
      <c r="CA517" s="37" t="n">
        <v>235.43</v>
      </c>
      <c r="CB517" s="37" t="n">
        <v>190.46</v>
      </c>
      <c r="CC517" s="37" t="n">
        <v>18351.3</v>
      </c>
    </row>
    <row r="518" ht="15.75" customHeight="1" s="57">
      <c r="A518" s="7" t="inlineStr">
        <is>
          <t>NTB</t>
        </is>
      </c>
      <c r="B518" s="7" t="inlineStr">
        <is>
          <t>Ninh Thuận</t>
        </is>
      </c>
      <c r="C518" s="7" t="n">
        <v>20499000</v>
      </c>
      <c r="D518" s="7" t="inlineStr">
        <is>
          <t>(NTH) Phước Dinh</t>
        </is>
      </c>
      <c r="E518" s="7" t="inlineStr">
        <is>
          <t>TTS-Bulky</t>
        </is>
      </c>
      <c r="F518" s="36" t="n">
        <v>2</v>
      </c>
      <c r="G518" s="36" t="n">
        <v>2</v>
      </c>
      <c r="H518" s="36" t="n">
        <v>4</v>
      </c>
      <c r="I518" s="36" t="n">
        <v>5</v>
      </c>
      <c r="J518" s="36" t="n">
        <v>6</v>
      </c>
      <c r="K518" s="28" t="n">
        <v>4</v>
      </c>
      <c r="L518" s="36" t="n">
        <v>7</v>
      </c>
      <c r="M518" s="36" t="n">
        <v>0</v>
      </c>
      <c r="N518" s="36" t="n">
        <v>2</v>
      </c>
      <c r="O518" s="36" t="n">
        <v>1</v>
      </c>
      <c r="P518" s="36" t="n">
        <v>1</v>
      </c>
      <c r="Q518" s="36" t="n">
        <v>3</v>
      </c>
      <c r="R518" s="28" t="n">
        <v>1</v>
      </c>
      <c r="S518" s="36" t="n">
        <v>2</v>
      </c>
      <c r="T518" s="36" t="n">
        <v>0</v>
      </c>
      <c r="U518" s="36" t="n">
        <v>8.67</v>
      </c>
      <c r="V518" s="36" t="n">
        <v>9.6</v>
      </c>
      <c r="W518" s="36" t="n">
        <v>4.49</v>
      </c>
      <c r="X518" s="36" t="n">
        <v>3.71</v>
      </c>
      <c r="Y518" s="28" t="n">
        <v>4.02</v>
      </c>
      <c r="Z518" s="36" t="n">
        <v>3.71</v>
      </c>
      <c r="AA518" s="36" t="n">
        <v>4.8</v>
      </c>
      <c r="AB518" s="36" t="n">
        <v>4.64</v>
      </c>
      <c r="AC518" s="36" t="n">
        <v>5.11</v>
      </c>
      <c r="AD518" s="36" t="n">
        <v>3.1</v>
      </c>
      <c r="AE518" s="36" t="n">
        <v>4.33</v>
      </c>
      <c r="AF518" s="28" t="n">
        <v>4.95</v>
      </c>
      <c r="AG518" s="36" t="n">
        <v>4.33</v>
      </c>
      <c r="AH518" s="37" t="n">
        <v>4.33</v>
      </c>
      <c r="AI518" s="37" t="n">
        <v>3.71</v>
      </c>
      <c r="AJ518" s="37" t="n">
        <v>4.95</v>
      </c>
      <c r="AK518" s="37" t="n">
        <v>4.49</v>
      </c>
      <c r="AL518" s="37" t="n">
        <v>3.71</v>
      </c>
      <c r="AM518" s="37" t="n">
        <v>4.8</v>
      </c>
      <c r="AN518" s="37" t="n">
        <v>4.33</v>
      </c>
      <c r="AO518" s="37" t="n">
        <v>4.49</v>
      </c>
      <c r="AP518" s="37" t="n">
        <v>4.49</v>
      </c>
      <c r="AQ518" s="37" t="n">
        <v>4.95</v>
      </c>
      <c r="AR518" s="37" t="n">
        <v>4.49</v>
      </c>
      <c r="AS518" s="37" t="n">
        <v>3.71</v>
      </c>
      <c r="AT518" s="37" t="n">
        <v>4.95</v>
      </c>
      <c r="AU518" s="37" t="n">
        <v>4.95</v>
      </c>
      <c r="AV518" s="37" t="n">
        <v>4.49</v>
      </c>
      <c r="AW518" s="37" t="n">
        <v>4.49</v>
      </c>
      <c r="AX518" s="37" t="n">
        <v>4.64</v>
      </c>
      <c r="AY518" s="37" t="n">
        <v>4.49</v>
      </c>
      <c r="AZ518" s="37" t="n">
        <v>3.71</v>
      </c>
      <c r="BA518" s="37" t="n">
        <v>4.64</v>
      </c>
      <c r="BB518" s="37" t="n">
        <v>1.24</v>
      </c>
      <c r="BC518" s="37" t="n">
        <v>0.31</v>
      </c>
      <c r="BD518" s="37" t="n">
        <v>1.08</v>
      </c>
      <c r="BE518" s="37" t="n">
        <v>1.24</v>
      </c>
      <c r="BF518" s="37" t="n">
        <v>1.24</v>
      </c>
      <c r="BG518" s="37" t="n">
        <v>1.08</v>
      </c>
      <c r="BH518" s="37" t="n">
        <v>1.24</v>
      </c>
      <c r="BI518" s="37" t="n">
        <v>1.24</v>
      </c>
      <c r="BJ518" s="37" t="n">
        <v>0.77</v>
      </c>
      <c r="BK518" s="37" t="n">
        <v>1.24</v>
      </c>
      <c r="BL518" s="37" t="n">
        <v>1.24</v>
      </c>
      <c r="BM518" s="37" t="n">
        <v>1.24</v>
      </c>
      <c r="BN518" s="37" t="n">
        <v>1.08</v>
      </c>
      <c r="BO518" s="37" t="n">
        <v>1.24</v>
      </c>
      <c r="BP518" s="37" t="n">
        <v>1.24</v>
      </c>
      <c r="BQ518" s="37" t="n">
        <v>1.24</v>
      </c>
      <c r="BR518" s="37" t="n">
        <v>1.24</v>
      </c>
      <c r="BS518" s="37" t="n">
        <v>1.24</v>
      </c>
      <c r="BT518" s="37" t="n">
        <v>1.24</v>
      </c>
      <c r="BU518" s="37" t="n">
        <v>0.93</v>
      </c>
      <c r="BV518" s="37" t="n">
        <v>1.24</v>
      </c>
      <c r="BW518" s="37" t="n">
        <v>1.24</v>
      </c>
      <c r="BX518" s="37" t="n">
        <v>1.24</v>
      </c>
      <c r="BY518" s="37" t="n">
        <v>1.24</v>
      </c>
      <c r="BZ518" s="37" t="n">
        <v>1.24</v>
      </c>
      <c r="CA518" s="37" t="n">
        <v>1.24</v>
      </c>
      <c r="CB518" s="37" t="n">
        <v>0.93</v>
      </c>
      <c r="CC518" s="37" t="n">
        <v>225.2500000000002</v>
      </c>
    </row>
    <row r="519" ht="15.75" customHeight="1" s="57">
      <c r="A519" s="7" t="inlineStr">
        <is>
          <t>NTB</t>
        </is>
      </c>
      <c r="B519" s="7" t="inlineStr">
        <is>
          <t>Ninh Thuận</t>
        </is>
      </c>
      <c r="C519" s="7" t="n">
        <v>20648000</v>
      </c>
      <c r="D519" s="7" t="inlineStr">
        <is>
          <t>(NTH) Ninh Chử</t>
        </is>
      </c>
      <c r="E519" s="7" t="inlineStr">
        <is>
          <t>SME</t>
        </is>
      </c>
      <c r="F519" s="36" t="n">
        <v>216</v>
      </c>
      <c r="G519" s="36" t="n">
        <v>331</v>
      </c>
      <c r="H519" s="36" t="n">
        <v>287</v>
      </c>
      <c r="I519" s="36" t="n">
        <v>304</v>
      </c>
      <c r="J519" s="36" t="n">
        <v>308</v>
      </c>
      <c r="K519" s="28" t="n">
        <v>279</v>
      </c>
      <c r="L519" s="36" t="n">
        <v>207</v>
      </c>
      <c r="M519" s="36" t="n">
        <v>238</v>
      </c>
      <c r="N519" s="36" t="n">
        <v>284</v>
      </c>
      <c r="O519" s="36" t="n">
        <v>260</v>
      </c>
      <c r="P519" s="36" t="n">
        <v>241</v>
      </c>
      <c r="Q519" s="36" t="n">
        <v>262</v>
      </c>
      <c r="R519" s="28" t="n">
        <v>237</v>
      </c>
      <c r="S519" s="36" t="n">
        <v>232</v>
      </c>
      <c r="T519" s="36" t="n">
        <v>293</v>
      </c>
      <c r="U519" s="36" t="n">
        <v>328.85</v>
      </c>
      <c r="V519" s="36" t="n">
        <v>341.11</v>
      </c>
      <c r="W519" s="36" t="n">
        <v>332.24</v>
      </c>
      <c r="X519" s="36" t="n">
        <v>270.38</v>
      </c>
      <c r="Y519" s="28" t="n">
        <v>367.11</v>
      </c>
      <c r="Z519" s="36" t="n">
        <v>338.6</v>
      </c>
      <c r="AA519" s="36" t="n">
        <v>330.36</v>
      </c>
      <c r="AB519" s="36" t="n">
        <v>328.85</v>
      </c>
      <c r="AC519" s="36" t="n">
        <v>341.11</v>
      </c>
      <c r="AD519" s="36" t="n">
        <v>353.73</v>
      </c>
      <c r="AE519" s="36" t="n">
        <v>270.38</v>
      </c>
      <c r="AF519" s="28" t="n">
        <v>367.11</v>
      </c>
      <c r="AG519" s="36" t="n">
        <v>338.6</v>
      </c>
      <c r="AH519" s="37" t="n">
        <v>330.36</v>
      </c>
      <c r="AI519" s="37" t="n">
        <v>328.85</v>
      </c>
      <c r="AJ519" s="37" t="n">
        <v>341.11</v>
      </c>
      <c r="AK519" s="37" t="n">
        <v>332.24</v>
      </c>
      <c r="AL519" s="37" t="n">
        <v>270.38</v>
      </c>
      <c r="AM519" s="37" t="n">
        <v>367.11</v>
      </c>
      <c r="AN519" s="37" t="n">
        <v>338.6</v>
      </c>
      <c r="AO519" s="37" t="n">
        <v>330.36</v>
      </c>
      <c r="AP519" s="37" t="n">
        <v>328.85</v>
      </c>
      <c r="AQ519" s="37" t="n">
        <v>341.11</v>
      </c>
      <c r="AR519" s="37" t="n">
        <v>332.24</v>
      </c>
      <c r="AS519" s="37" t="n">
        <v>270.38</v>
      </c>
      <c r="AT519" s="37" t="n">
        <v>367.11</v>
      </c>
      <c r="AU519" s="37" t="n">
        <v>338.6</v>
      </c>
      <c r="AV519" s="37" t="n">
        <v>330.36</v>
      </c>
      <c r="AW519" s="37" t="n">
        <v>328.85</v>
      </c>
      <c r="AX519" s="37" t="n">
        <v>341.11</v>
      </c>
      <c r="AY519" s="37" t="n">
        <v>332.24</v>
      </c>
      <c r="AZ519" s="37" t="n">
        <v>270.38</v>
      </c>
      <c r="BA519" s="37" t="n">
        <v>330.69</v>
      </c>
      <c r="BB519" s="37" t="n">
        <v>296.53</v>
      </c>
      <c r="BC519" s="37" t="n">
        <v>186.49</v>
      </c>
      <c r="BD519" s="37" t="n">
        <v>185.66</v>
      </c>
      <c r="BE519" s="37" t="n">
        <v>316.01</v>
      </c>
      <c r="BF519" s="37" t="n">
        <v>307.26</v>
      </c>
      <c r="BG519" s="37" t="n">
        <v>278.9</v>
      </c>
      <c r="BH519" s="37" t="n">
        <v>378.16</v>
      </c>
      <c r="BI519" s="37" t="n">
        <v>348.97</v>
      </c>
      <c r="BJ519" s="37" t="n">
        <v>363.3</v>
      </c>
      <c r="BK519" s="37" t="n">
        <v>339.04</v>
      </c>
      <c r="BL519" s="37" t="n">
        <v>351.48</v>
      </c>
      <c r="BM519" s="37" t="n">
        <v>342.43</v>
      </c>
      <c r="BN519" s="37" t="n">
        <v>278.9</v>
      </c>
      <c r="BO519" s="37" t="n">
        <v>378.16</v>
      </c>
      <c r="BP519" s="37" t="n">
        <v>348.97</v>
      </c>
      <c r="BQ519" s="37" t="n">
        <v>340.55</v>
      </c>
      <c r="BR519" s="37" t="n">
        <v>339.04</v>
      </c>
      <c r="BS519" s="37" t="n">
        <v>351.48</v>
      </c>
      <c r="BT519" s="37" t="n">
        <v>342.43</v>
      </c>
      <c r="BU519" s="37" t="n">
        <v>278.9</v>
      </c>
      <c r="BV519" s="37" t="n">
        <v>378.16</v>
      </c>
      <c r="BW519" s="37" t="n">
        <v>348.97</v>
      </c>
      <c r="BX519" s="37" t="n">
        <v>340.55</v>
      </c>
      <c r="BY519" s="37" t="n">
        <v>339.04</v>
      </c>
      <c r="BZ519" s="37" t="n">
        <v>351.48</v>
      </c>
      <c r="CA519" s="37" t="n">
        <v>342.43</v>
      </c>
      <c r="CB519" s="37" t="n">
        <v>278.9</v>
      </c>
      <c r="CC519" s="37" t="n">
        <v>23570.55000000001</v>
      </c>
    </row>
    <row r="520" ht="15.75" customHeight="1" s="57">
      <c r="A520" s="7" t="inlineStr">
        <is>
          <t>NTB</t>
        </is>
      </c>
      <c r="B520" s="7" t="inlineStr">
        <is>
          <t>Ninh Thuận</t>
        </is>
      </c>
      <c r="C520" s="7" t="n">
        <v>20648000</v>
      </c>
      <c r="D520" s="7" t="inlineStr">
        <is>
          <t>(NTH) Ninh Chử</t>
        </is>
      </c>
      <c r="E520" s="7" t="inlineStr">
        <is>
          <t>SME-Bulky</t>
        </is>
      </c>
      <c r="F520" s="36" t="n">
        <v>14</v>
      </c>
      <c r="G520" s="36" t="n">
        <v>22</v>
      </c>
      <c r="H520" s="36" t="n">
        <v>41</v>
      </c>
      <c r="I520" s="36" t="n">
        <v>11</v>
      </c>
      <c r="J520" s="36" t="n">
        <v>16</v>
      </c>
      <c r="K520" s="28" t="n">
        <v>22</v>
      </c>
      <c r="L520" s="36" t="n">
        <v>22</v>
      </c>
      <c r="M520" s="36" t="n">
        <v>7</v>
      </c>
      <c r="N520" s="36" t="n">
        <v>31</v>
      </c>
      <c r="O520" s="36" t="n">
        <v>20</v>
      </c>
      <c r="P520" s="36" t="n">
        <v>5</v>
      </c>
      <c r="Q520" s="36" t="n">
        <v>69</v>
      </c>
      <c r="R520" s="28" t="n">
        <v>7</v>
      </c>
      <c r="S520" s="36" t="n">
        <v>4</v>
      </c>
      <c r="T520" s="36" t="n">
        <v>18</v>
      </c>
      <c r="U520" s="36" t="n">
        <v>21.29</v>
      </c>
      <c r="V520" s="36" t="n">
        <v>21.48</v>
      </c>
      <c r="W520" s="36" t="n">
        <v>20.37</v>
      </c>
      <c r="X520" s="36" t="n">
        <v>12.11</v>
      </c>
      <c r="Y520" s="28" t="n">
        <v>24.23</v>
      </c>
      <c r="Z520" s="36" t="n">
        <v>22.76</v>
      </c>
      <c r="AA520" s="36" t="n">
        <v>22.21</v>
      </c>
      <c r="AB520" s="36" t="n">
        <v>21.29</v>
      </c>
      <c r="AC520" s="36" t="n">
        <v>21.48</v>
      </c>
      <c r="AD520" s="36" t="n">
        <v>20.56</v>
      </c>
      <c r="AE520" s="36" t="n">
        <v>12.11</v>
      </c>
      <c r="AF520" s="28" t="n">
        <v>24.23</v>
      </c>
      <c r="AG520" s="36" t="n">
        <v>22.76</v>
      </c>
      <c r="AH520" s="37" t="n">
        <v>22.21</v>
      </c>
      <c r="AI520" s="37" t="n">
        <v>21.29</v>
      </c>
      <c r="AJ520" s="37" t="n">
        <v>21.48</v>
      </c>
      <c r="AK520" s="37" t="n">
        <v>20.37</v>
      </c>
      <c r="AL520" s="37" t="n">
        <v>12.11</v>
      </c>
      <c r="AM520" s="37" t="n">
        <v>24.23</v>
      </c>
      <c r="AN520" s="37" t="n">
        <v>22.76</v>
      </c>
      <c r="AO520" s="37" t="n">
        <v>22.21</v>
      </c>
      <c r="AP520" s="37" t="n">
        <v>21.29</v>
      </c>
      <c r="AQ520" s="37" t="n">
        <v>21.48</v>
      </c>
      <c r="AR520" s="37" t="n">
        <v>20.37</v>
      </c>
      <c r="AS520" s="37" t="n">
        <v>12.11</v>
      </c>
      <c r="AT520" s="37" t="n">
        <v>24.23</v>
      </c>
      <c r="AU520" s="37" t="n">
        <v>22.76</v>
      </c>
      <c r="AV520" s="37" t="n">
        <v>22.21</v>
      </c>
      <c r="AW520" s="37" t="n">
        <v>21.29</v>
      </c>
      <c r="AX520" s="37" t="n">
        <v>21.48</v>
      </c>
      <c r="AY520" s="37" t="n">
        <v>20.37</v>
      </c>
      <c r="AZ520" s="37" t="n">
        <v>12.11</v>
      </c>
      <c r="BA520" s="37" t="n">
        <v>24.05</v>
      </c>
      <c r="BB520" s="37" t="n">
        <v>12.11</v>
      </c>
      <c r="BC520" s="37" t="n">
        <v>5.14</v>
      </c>
      <c r="BD520" s="37" t="n">
        <v>4.59</v>
      </c>
      <c r="BE520" s="37" t="n">
        <v>9.359999999999999</v>
      </c>
      <c r="BF520" s="37" t="n">
        <v>9.539999999999999</v>
      </c>
      <c r="BG520" s="37" t="n">
        <v>6.97</v>
      </c>
      <c r="BH520" s="37" t="n">
        <v>13.95</v>
      </c>
      <c r="BI520" s="37" t="n">
        <v>13.58</v>
      </c>
      <c r="BJ520" s="37" t="n">
        <v>13.77</v>
      </c>
      <c r="BK520" s="37" t="n">
        <v>12.3</v>
      </c>
      <c r="BL520" s="37" t="n">
        <v>12.67</v>
      </c>
      <c r="BM520" s="37" t="n">
        <v>11.93</v>
      </c>
      <c r="BN520" s="37" t="n">
        <v>6.97</v>
      </c>
      <c r="BO520" s="37" t="n">
        <v>13.95</v>
      </c>
      <c r="BP520" s="37" t="n">
        <v>13.58</v>
      </c>
      <c r="BQ520" s="37" t="n">
        <v>12.85</v>
      </c>
      <c r="BR520" s="37" t="n">
        <v>12.3</v>
      </c>
      <c r="BS520" s="37" t="n">
        <v>12.67</v>
      </c>
      <c r="BT520" s="37" t="n">
        <v>11.93</v>
      </c>
      <c r="BU520" s="37" t="n">
        <v>6.97</v>
      </c>
      <c r="BV520" s="37" t="n">
        <v>13.95</v>
      </c>
      <c r="BW520" s="37" t="n">
        <v>13.58</v>
      </c>
      <c r="BX520" s="37" t="n">
        <v>12.85</v>
      </c>
      <c r="BY520" s="37" t="n">
        <v>12.3</v>
      </c>
      <c r="BZ520" s="37" t="n">
        <v>12.67</v>
      </c>
      <c r="CA520" s="37" t="n">
        <v>11.93</v>
      </c>
      <c r="CB520" s="37" t="n">
        <v>6.97</v>
      </c>
      <c r="CC520" s="37" t="n">
        <v>1287.67</v>
      </c>
    </row>
    <row r="521" ht="15.75" customHeight="1" s="57">
      <c r="A521" s="7" t="inlineStr">
        <is>
          <t>NTB</t>
        </is>
      </c>
      <c r="B521" s="7" t="inlineStr">
        <is>
          <t>Ninh Thuận</t>
        </is>
      </c>
      <c r="C521" s="7" t="n">
        <v>20648000</v>
      </c>
      <c r="D521" s="7" t="inlineStr">
        <is>
          <t>(NTH) Ninh Chử</t>
        </is>
      </c>
      <c r="E521" s="7" t="inlineStr">
        <is>
          <t>Shopee</t>
        </is>
      </c>
      <c r="F521" s="36" t="n">
        <v>192</v>
      </c>
      <c r="G521" s="36" t="n">
        <v>388</v>
      </c>
      <c r="H521" s="36" t="n">
        <v>294</v>
      </c>
      <c r="I521" s="36" t="n">
        <v>318</v>
      </c>
      <c r="J521" s="36" t="n">
        <v>234</v>
      </c>
      <c r="K521" s="28" t="n">
        <v>190</v>
      </c>
      <c r="L521" s="36" t="n">
        <v>160</v>
      </c>
      <c r="M521" s="36" t="n">
        <v>272</v>
      </c>
      <c r="N521" s="36" t="n">
        <v>300</v>
      </c>
      <c r="O521" s="36" t="n">
        <v>261</v>
      </c>
      <c r="P521" s="36" t="n">
        <v>186</v>
      </c>
      <c r="Q521" s="36" t="n">
        <v>226</v>
      </c>
      <c r="R521" s="28" t="n">
        <v>197</v>
      </c>
      <c r="S521" s="36" t="n">
        <v>143</v>
      </c>
      <c r="T521" s="36" t="n">
        <v>257</v>
      </c>
      <c r="U521" s="36" t="n">
        <v>256.13</v>
      </c>
      <c r="V521" s="36" t="n">
        <v>256.95</v>
      </c>
      <c r="W521" s="36" t="n">
        <v>253.49</v>
      </c>
      <c r="X521" s="36" t="n">
        <v>207.25</v>
      </c>
      <c r="Y521" s="28" t="n">
        <v>345.63</v>
      </c>
      <c r="Z521" s="36" t="n">
        <v>273.8</v>
      </c>
      <c r="AA521" s="36" t="n">
        <v>376.68</v>
      </c>
      <c r="AB521" s="36" t="n">
        <v>261.08</v>
      </c>
      <c r="AC521" s="36" t="n">
        <v>211.71</v>
      </c>
      <c r="AD521" s="36" t="n">
        <v>550.24</v>
      </c>
      <c r="AE521" s="36" t="n">
        <v>221.12</v>
      </c>
      <c r="AF521" s="28" t="n">
        <v>393.69</v>
      </c>
      <c r="AG521" s="36" t="n">
        <v>287.67</v>
      </c>
      <c r="AH521" s="37" t="n">
        <v>304.18</v>
      </c>
      <c r="AI521" s="37" t="n">
        <v>256.13</v>
      </c>
      <c r="AJ521" s="37" t="n">
        <v>256.95</v>
      </c>
      <c r="AK521" s="37" t="n">
        <v>342.5</v>
      </c>
      <c r="AL521" s="37" t="n">
        <v>370.57</v>
      </c>
      <c r="AM521" s="37" t="n">
        <v>345.63</v>
      </c>
      <c r="AN521" s="37" t="n">
        <v>273.8</v>
      </c>
      <c r="AO521" s="37" t="n">
        <v>304.18</v>
      </c>
      <c r="AP521" s="37" t="n">
        <v>320.7</v>
      </c>
      <c r="AQ521" s="37" t="n">
        <v>207.25</v>
      </c>
      <c r="AR521" s="37" t="n">
        <v>253.49</v>
      </c>
      <c r="AS521" s="37" t="n">
        <v>207.25</v>
      </c>
      <c r="AT521" s="37" t="n">
        <v>345.63</v>
      </c>
      <c r="AU521" s="37" t="n">
        <v>279.41</v>
      </c>
      <c r="AV521" s="37" t="n">
        <v>309.63</v>
      </c>
      <c r="AW521" s="37" t="n">
        <v>256.13</v>
      </c>
      <c r="AX521" s="37" t="n">
        <v>256.95</v>
      </c>
      <c r="AY521" s="37" t="n">
        <v>253.49</v>
      </c>
      <c r="AZ521" s="37" t="n">
        <v>207.25</v>
      </c>
      <c r="BA521" s="37" t="n">
        <v>266.37</v>
      </c>
      <c r="BB521" s="37" t="n">
        <v>231.52</v>
      </c>
      <c r="BC521" s="37" t="n">
        <v>118.57</v>
      </c>
      <c r="BD521" s="37" t="n">
        <v>210.39</v>
      </c>
      <c r="BE521" s="37" t="n">
        <v>244.9</v>
      </c>
      <c r="BF521" s="37" t="n">
        <v>241.6</v>
      </c>
      <c r="BG521" s="37" t="n">
        <v>201.14</v>
      </c>
      <c r="BH521" s="37" t="n">
        <v>329.28</v>
      </c>
      <c r="BI521" s="37" t="n">
        <v>214.51</v>
      </c>
      <c r="BJ521" s="37" t="n">
        <v>779.78</v>
      </c>
      <c r="BK521" s="37" t="n">
        <v>262.24</v>
      </c>
      <c r="BL521" s="37" t="n">
        <v>257.94</v>
      </c>
      <c r="BM521" s="37" t="n">
        <v>241.6</v>
      </c>
      <c r="BN521" s="37" t="n">
        <v>197.5</v>
      </c>
      <c r="BO521" s="37" t="n">
        <v>329.28</v>
      </c>
      <c r="BP521" s="37" t="n">
        <v>351.58</v>
      </c>
      <c r="BQ521" s="37" t="n">
        <v>519.1900000000001</v>
      </c>
      <c r="BR521" s="37" t="n">
        <v>244.24</v>
      </c>
      <c r="BS521" s="37" t="n">
        <v>244.9</v>
      </c>
      <c r="BT521" s="37" t="n">
        <v>241.6</v>
      </c>
      <c r="BU521" s="37" t="n">
        <v>245.23</v>
      </c>
      <c r="BV521" s="37" t="n">
        <v>264.55</v>
      </c>
      <c r="BW521" s="37" t="n">
        <v>261.08</v>
      </c>
      <c r="BX521" s="37" t="n">
        <v>289.82</v>
      </c>
      <c r="BY521" s="37" t="n">
        <v>244.24</v>
      </c>
      <c r="BZ521" s="37" t="n">
        <v>250.18</v>
      </c>
      <c r="CA521" s="37" t="n">
        <v>246.06</v>
      </c>
      <c r="CB521" s="37" t="n">
        <v>197.5</v>
      </c>
      <c r="CC521" s="37" t="n">
        <v>20591.35</v>
      </c>
    </row>
    <row r="522" ht="15.75" customHeight="1" s="57">
      <c r="A522" s="7" t="inlineStr">
        <is>
          <t>NTB</t>
        </is>
      </c>
      <c r="B522" s="7" t="inlineStr">
        <is>
          <t>Ninh Thuận</t>
        </is>
      </c>
      <c r="C522" s="7" t="n">
        <v>20648000</v>
      </c>
      <c r="D522" s="7" t="inlineStr">
        <is>
          <t>(NTH) Ninh Chử</t>
        </is>
      </c>
      <c r="E522" s="7" t="inlineStr">
        <is>
          <t>Shopee-Bulky</t>
        </is>
      </c>
      <c r="F522" s="36" t="n">
        <v>15.49</v>
      </c>
      <c r="G522" s="36" t="n">
        <v>32.23</v>
      </c>
      <c r="H522" s="36" t="n">
        <v>42.14</v>
      </c>
      <c r="I522" s="36" t="n">
        <v>28.51</v>
      </c>
      <c r="J522" s="36" t="n">
        <v>28.51</v>
      </c>
      <c r="K522" s="28" t="n">
        <v>24.17</v>
      </c>
      <c r="L522" s="36" t="n">
        <v>19.21</v>
      </c>
      <c r="M522" s="36" t="n">
        <v>28.51</v>
      </c>
      <c r="N522" s="36" t="n">
        <v>26.65</v>
      </c>
      <c r="O522" s="36" t="n">
        <v>14.87</v>
      </c>
      <c r="P522" s="36" t="n">
        <v>16.73</v>
      </c>
      <c r="Q522" s="36" t="n">
        <v>28.51</v>
      </c>
      <c r="R522" s="28" t="n">
        <v>34.09</v>
      </c>
      <c r="S522" s="36" t="n">
        <v>23.55</v>
      </c>
      <c r="T522" s="36" t="n">
        <v>25.41</v>
      </c>
      <c r="U522" s="36" t="n">
        <v>23.35</v>
      </c>
      <c r="V522" s="36" t="n">
        <v>22.18</v>
      </c>
      <c r="W522" s="36" t="n">
        <v>30.55</v>
      </c>
      <c r="X522" s="36" t="n">
        <v>16.89</v>
      </c>
      <c r="Y522" s="28" t="n">
        <v>35.54</v>
      </c>
      <c r="Z522" s="36" t="n">
        <v>27.61</v>
      </c>
      <c r="AA522" s="36" t="n">
        <v>26.58</v>
      </c>
      <c r="AB522" s="36" t="n">
        <v>27.61</v>
      </c>
      <c r="AC522" s="36" t="n">
        <v>27.46</v>
      </c>
      <c r="AD522" s="36" t="n">
        <v>89.15000000000001</v>
      </c>
      <c r="AE522" s="36" t="n">
        <v>44.79</v>
      </c>
      <c r="AF522" s="28" t="n">
        <v>69.91</v>
      </c>
      <c r="AG522" s="36" t="n">
        <v>40.68</v>
      </c>
      <c r="AH522" s="37" t="n">
        <v>27.46</v>
      </c>
      <c r="AI522" s="37" t="n">
        <v>26.88</v>
      </c>
      <c r="AJ522" s="37" t="n">
        <v>24.67</v>
      </c>
      <c r="AK522" s="37" t="n">
        <v>58.6</v>
      </c>
      <c r="AL522" s="37" t="n">
        <v>28.93</v>
      </c>
      <c r="AM522" s="37" t="n">
        <v>44.21</v>
      </c>
      <c r="AN522" s="37" t="n">
        <v>27.02</v>
      </c>
      <c r="AO522" s="37" t="n">
        <v>25.41</v>
      </c>
      <c r="AP522" s="37" t="n">
        <v>36.72</v>
      </c>
      <c r="AQ522" s="37" t="n">
        <v>34.81</v>
      </c>
      <c r="AR522" s="37" t="n">
        <v>27.9</v>
      </c>
      <c r="AS522" s="37" t="n">
        <v>15.27</v>
      </c>
      <c r="AT522" s="37" t="n">
        <v>32.16</v>
      </c>
      <c r="AU522" s="37" t="n">
        <v>52.43</v>
      </c>
      <c r="AV522" s="37" t="n">
        <v>55.52</v>
      </c>
      <c r="AW522" s="37" t="n">
        <v>25.56</v>
      </c>
      <c r="AX522" s="37" t="n">
        <v>23.5</v>
      </c>
      <c r="AY522" s="37" t="n">
        <v>26.88</v>
      </c>
      <c r="AZ522" s="37" t="n">
        <v>14.25</v>
      </c>
      <c r="BA522" s="37" t="n">
        <v>29.52</v>
      </c>
      <c r="BB522" s="37" t="n">
        <v>26.29</v>
      </c>
      <c r="BC522" s="37" t="n">
        <v>8.08</v>
      </c>
      <c r="BD522" s="37" t="n">
        <v>23.21</v>
      </c>
      <c r="BE522" s="37" t="n">
        <v>27.76</v>
      </c>
      <c r="BF522" s="37" t="n">
        <v>24.23</v>
      </c>
      <c r="BG522" s="37" t="n">
        <v>19.83</v>
      </c>
      <c r="BH522" s="37" t="n">
        <v>38.63</v>
      </c>
      <c r="BI522" s="37" t="n">
        <v>32.31</v>
      </c>
      <c r="BJ522" s="37" t="n">
        <v>140.7</v>
      </c>
      <c r="BK522" s="37" t="n">
        <v>69.03</v>
      </c>
      <c r="BL522" s="37" t="n">
        <v>35.98</v>
      </c>
      <c r="BM522" s="37" t="n">
        <v>24.82</v>
      </c>
      <c r="BN522" s="37" t="n">
        <v>19.83</v>
      </c>
      <c r="BO522" s="37" t="n">
        <v>44.79</v>
      </c>
      <c r="BP522" s="37" t="n">
        <v>64.18000000000001</v>
      </c>
      <c r="BQ522" s="37" t="n">
        <v>47.29</v>
      </c>
      <c r="BR522" s="37" t="n">
        <v>29.67</v>
      </c>
      <c r="BS522" s="37" t="n">
        <v>27.76</v>
      </c>
      <c r="BT522" s="37" t="n">
        <v>24.23</v>
      </c>
      <c r="BU522" s="37" t="n">
        <v>28.93</v>
      </c>
      <c r="BV522" s="37" t="n">
        <v>40.54</v>
      </c>
      <c r="BW522" s="37" t="n">
        <v>32.31</v>
      </c>
      <c r="BX522" s="37" t="n">
        <v>30.25</v>
      </c>
      <c r="BY522" s="37" t="n">
        <v>29.67</v>
      </c>
      <c r="BZ522" s="37" t="n">
        <v>51.4</v>
      </c>
      <c r="CA522" s="37" t="n">
        <v>28.93</v>
      </c>
      <c r="CB522" s="37" t="n">
        <v>18.8</v>
      </c>
      <c r="CC522" s="37" t="n">
        <v>2498.03</v>
      </c>
    </row>
    <row r="523" ht="15.75" customHeight="1" s="57">
      <c r="A523" s="7" t="inlineStr">
        <is>
          <t>NTB</t>
        </is>
      </c>
      <c r="B523" s="7" t="inlineStr">
        <is>
          <t>Ninh Thuận</t>
        </is>
      </c>
      <c r="C523" s="7" t="n">
        <v>20648000</v>
      </c>
      <c r="D523" s="7" t="inlineStr">
        <is>
          <t>(NTH) Ninh Chử</t>
        </is>
      </c>
      <c r="E523" s="7" t="inlineStr">
        <is>
          <t>Shopee-Bulky (10-15kg)</t>
        </is>
      </c>
      <c r="F523" s="36" t="n">
        <v>9.51</v>
      </c>
      <c r="G523" s="36" t="n">
        <v>19.77</v>
      </c>
      <c r="H523" s="36" t="n">
        <v>25.86</v>
      </c>
      <c r="I523" s="36" t="n">
        <v>17.49</v>
      </c>
      <c r="J523" s="36" t="n">
        <v>17.49</v>
      </c>
      <c r="K523" s="28" t="n">
        <v>14.83</v>
      </c>
      <c r="L523" s="36" t="n">
        <v>11.79</v>
      </c>
      <c r="M523" s="36" t="n">
        <v>17.49</v>
      </c>
      <c r="N523" s="36" t="n">
        <v>16.35</v>
      </c>
      <c r="O523" s="36" t="n">
        <v>9.130000000000001</v>
      </c>
      <c r="P523" s="36" t="n">
        <v>10.27</v>
      </c>
      <c r="Q523" s="36" t="n">
        <v>17.49</v>
      </c>
      <c r="R523" s="28" t="n">
        <v>20.91</v>
      </c>
      <c r="S523" s="36" t="n">
        <v>14.45</v>
      </c>
      <c r="T523" s="36" t="n">
        <v>15.59</v>
      </c>
      <c r="U523" s="36" t="n">
        <v>15.42</v>
      </c>
      <c r="V523" s="36" t="n">
        <v>14.83</v>
      </c>
      <c r="W523" s="36" t="n">
        <v>18.8</v>
      </c>
      <c r="X523" s="36" t="n">
        <v>10.57</v>
      </c>
      <c r="Y523" s="28" t="n">
        <v>22.76</v>
      </c>
      <c r="Z523" s="36" t="n">
        <v>16.74</v>
      </c>
      <c r="AA523" s="36" t="n">
        <v>16.6</v>
      </c>
      <c r="AB523" s="36" t="n">
        <v>16.3</v>
      </c>
      <c r="AC523" s="36" t="n">
        <v>17.62</v>
      </c>
      <c r="AD523" s="36" t="n">
        <v>67.41</v>
      </c>
      <c r="AE523" s="36" t="n">
        <v>27.17</v>
      </c>
      <c r="AF523" s="28" t="n">
        <v>39.21</v>
      </c>
      <c r="AG523" s="36" t="n">
        <v>24.53</v>
      </c>
      <c r="AH523" s="37" t="n">
        <v>16.45</v>
      </c>
      <c r="AI523" s="37" t="n">
        <v>17.04</v>
      </c>
      <c r="AJ523" s="37" t="n">
        <v>15.57</v>
      </c>
      <c r="AK523" s="37" t="n">
        <v>37.16</v>
      </c>
      <c r="AL523" s="37" t="n">
        <v>17.48</v>
      </c>
      <c r="AM523" s="37" t="n">
        <v>27.9</v>
      </c>
      <c r="AN523" s="37" t="n">
        <v>16.6</v>
      </c>
      <c r="AO523" s="37" t="n">
        <v>15.86</v>
      </c>
      <c r="AP523" s="37" t="n">
        <v>21.88</v>
      </c>
      <c r="AQ523" s="37" t="n">
        <v>22.18</v>
      </c>
      <c r="AR523" s="37" t="n">
        <v>17.33</v>
      </c>
      <c r="AS523" s="37" t="n">
        <v>9.69</v>
      </c>
      <c r="AT523" s="37" t="n">
        <v>20.41</v>
      </c>
      <c r="AU523" s="37" t="n">
        <v>34.07</v>
      </c>
      <c r="AV523" s="37" t="n">
        <v>35.25</v>
      </c>
      <c r="AW523" s="37" t="n">
        <v>16.16</v>
      </c>
      <c r="AX523" s="37" t="n">
        <v>14.98</v>
      </c>
      <c r="AY523" s="37" t="n">
        <v>16.89</v>
      </c>
      <c r="AZ523" s="37" t="n">
        <v>9.109999999999999</v>
      </c>
      <c r="BA523" s="37" t="n">
        <v>18.51</v>
      </c>
      <c r="BB523" s="37" t="n">
        <v>16.3</v>
      </c>
      <c r="BC523" s="37" t="n">
        <v>4.7</v>
      </c>
      <c r="BD523" s="37" t="n">
        <v>13.81</v>
      </c>
      <c r="BE523" s="37" t="n">
        <v>17.77</v>
      </c>
      <c r="BF523" s="37" t="n">
        <v>14.83</v>
      </c>
      <c r="BG523" s="37" t="n">
        <v>12.04</v>
      </c>
      <c r="BH523" s="37" t="n">
        <v>24.09</v>
      </c>
      <c r="BI523" s="37" t="n">
        <v>19.83</v>
      </c>
      <c r="BJ523" s="37" t="n">
        <v>93.84999999999999</v>
      </c>
      <c r="BK523" s="37" t="n">
        <v>41.42</v>
      </c>
      <c r="BL523" s="37" t="n">
        <v>22.76</v>
      </c>
      <c r="BM523" s="37" t="n">
        <v>16.01</v>
      </c>
      <c r="BN523" s="37" t="n">
        <v>12.34</v>
      </c>
      <c r="BO523" s="37" t="n">
        <v>27.61</v>
      </c>
      <c r="BP523" s="37" t="n">
        <v>38.92</v>
      </c>
      <c r="BQ523" s="37" t="n">
        <v>28.79</v>
      </c>
      <c r="BR523" s="37" t="n">
        <v>18.51</v>
      </c>
      <c r="BS523" s="37" t="n">
        <v>17.77</v>
      </c>
      <c r="BT523" s="37" t="n">
        <v>14.83</v>
      </c>
      <c r="BU523" s="37" t="n">
        <v>18.06</v>
      </c>
      <c r="BV523" s="37" t="n">
        <v>24.67</v>
      </c>
      <c r="BW523" s="37" t="n">
        <v>19.83</v>
      </c>
      <c r="BX523" s="37" t="n">
        <v>18.65</v>
      </c>
      <c r="BY523" s="37" t="n">
        <v>18.51</v>
      </c>
      <c r="BZ523" s="37" t="n">
        <v>32.31</v>
      </c>
      <c r="CA523" s="37" t="n">
        <v>18.36</v>
      </c>
      <c r="CB523" s="37" t="n">
        <v>11.46</v>
      </c>
      <c r="CC523" s="37" t="n">
        <v>1564.93</v>
      </c>
    </row>
    <row r="524" ht="15.75" customHeight="1" s="57">
      <c r="A524" s="7" t="inlineStr">
        <is>
          <t>NTB</t>
        </is>
      </c>
      <c r="B524" s="7" t="inlineStr">
        <is>
          <t>Ninh Thuận</t>
        </is>
      </c>
      <c r="C524" s="7" t="n">
        <v>20648000</v>
      </c>
      <c r="D524" s="7" t="inlineStr">
        <is>
          <t>(NTH) Ninh Chử</t>
        </is>
      </c>
      <c r="E524" s="7" t="inlineStr">
        <is>
          <t>TTS</t>
        </is>
      </c>
      <c r="F524" s="36" t="n">
        <v>227</v>
      </c>
      <c r="G524" s="36" t="n">
        <v>298</v>
      </c>
      <c r="H524" s="36" t="n">
        <v>263</v>
      </c>
      <c r="I524" s="36" t="n">
        <v>249</v>
      </c>
      <c r="J524" s="36" t="n">
        <v>252</v>
      </c>
      <c r="K524" s="28" t="n">
        <v>227</v>
      </c>
      <c r="L524" s="36" t="n">
        <v>195</v>
      </c>
      <c r="M524" s="36" t="n">
        <v>218</v>
      </c>
      <c r="N524" s="36" t="n">
        <v>292</v>
      </c>
      <c r="O524" s="36" t="n">
        <v>260</v>
      </c>
      <c r="P524" s="36" t="n">
        <v>211</v>
      </c>
      <c r="Q524" s="36" t="n">
        <v>213</v>
      </c>
      <c r="R524" s="28" t="n">
        <v>196</v>
      </c>
      <c r="S524" s="36" t="n">
        <v>206</v>
      </c>
      <c r="T524" s="36" t="n">
        <v>301</v>
      </c>
      <c r="U524" s="36" t="n">
        <v>183.81</v>
      </c>
      <c r="V524" s="36" t="n">
        <v>179.95</v>
      </c>
      <c r="W524" s="36" t="n">
        <v>176.09</v>
      </c>
      <c r="X524" s="36" t="n">
        <v>141.92</v>
      </c>
      <c r="Y524" s="28" t="n">
        <v>207.31</v>
      </c>
      <c r="Z524" s="36" t="n">
        <v>176.09</v>
      </c>
      <c r="AA524" s="36" t="n">
        <v>195.57</v>
      </c>
      <c r="AB524" s="36" t="n">
        <v>216.46</v>
      </c>
      <c r="AC524" s="36" t="n">
        <v>228.75</v>
      </c>
      <c r="AD524" s="36" t="n">
        <v>237.33</v>
      </c>
      <c r="AE524" s="36" t="n">
        <v>165.09</v>
      </c>
      <c r="AF524" s="28" t="n">
        <v>213.45</v>
      </c>
      <c r="AG524" s="36" t="n">
        <v>179.78</v>
      </c>
      <c r="AH524" s="37" t="n">
        <v>177.32</v>
      </c>
      <c r="AI524" s="37" t="n">
        <v>203.65</v>
      </c>
      <c r="AJ524" s="37" t="n">
        <v>217.34</v>
      </c>
      <c r="AK524" s="37" t="n">
        <v>214.71</v>
      </c>
      <c r="AL524" s="37" t="n">
        <v>153.51</v>
      </c>
      <c r="AM524" s="37" t="n">
        <v>210.47</v>
      </c>
      <c r="AN524" s="37" t="n">
        <v>181.88</v>
      </c>
      <c r="AO524" s="37" t="n">
        <v>180.65</v>
      </c>
      <c r="AP524" s="37" t="n">
        <v>174.69</v>
      </c>
      <c r="AQ524" s="37" t="n">
        <v>176.62</v>
      </c>
      <c r="AR524" s="37" t="n">
        <v>173.28</v>
      </c>
      <c r="AS524" s="37" t="n">
        <v>142.1</v>
      </c>
      <c r="AT524" s="37" t="n">
        <v>228.55</v>
      </c>
      <c r="AU524" s="37" t="n">
        <v>206.63</v>
      </c>
      <c r="AV524" s="37" t="n">
        <v>183.29</v>
      </c>
      <c r="AW524" s="37" t="n">
        <v>172.58</v>
      </c>
      <c r="AX524" s="37" t="n">
        <v>172.05</v>
      </c>
      <c r="AY524" s="37" t="n">
        <v>171.53</v>
      </c>
      <c r="AZ524" s="37" t="n">
        <v>142.27</v>
      </c>
      <c r="BA524" s="37" t="n">
        <v>205.73</v>
      </c>
      <c r="BB524" s="37" t="n">
        <v>192.94</v>
      </c>
      <c r="BC524" s="37" t="n">
        <v>114.71</v>
      </c>
      <c r="BD524" s="37" t="n">
        <v>166.44</v>
      </c>
      <c r="BE524" s="37" t="n">
        <v>195.22</v>
      </c>
      <c r="BF524" s="37" t="n">
        <v>189.78</v>
      </c>
      <c r="BG524" s="37" t="n">
        <v>153.51</v>
      </c>
      <c r="BH524" s="37" t="n">
        <v>227.67</v>
      </c>
      <c r="BI524" s="37" t="n">
        <v>192.94</v>
      </c>
      <c r="BJ524" s="37" t="n">
        <v>180.34</v>
      </c>
      <c r="BK524" s="37" t="n">
        <v>194.87</v>
      </c>
      <c r="BL524" s="37" t="n">
        <v>195.22</v>
      </c>
      <c r="BM524" s="37" t="n">
        <v>189.78</v>
      </c>
      <c r="BN524" s="37" t="n">
        <v>153.51</v>
      </c>
      <c r="BO524" s="37" t="n">
        <v>227.67</v>
      </c>
      <c r="BP524" s="37" t="n">
        <v>192.94</v>
      </c>
      <c r="BQ524" s="37" t="n">
        <v>190.13</v>
      </c>
      <c r="BR524" s="37" t="n">
        <v>194.87</v>
      </c>
      <c r="BS524" s="37" t="n">
        <v>195.22</v>
      </c>
      <c r="BT524" s="37" t="n">
        <v>189.78</v>
      </c>
      <c r="BU524" s="37" t="n">
        <v>153.51</v>
      </c>
      <c r="BV524" s="37" t="n">
        <v>227.67</v>
      </c>
      <c r="BW524" s="37" t="n">
        <v>192.94</v>
      </c>
      <c r="BX524" s="37" t="n">
        <v>190.13</v>
      </c>
      <c r="BY524" s="37" t="n">
        <v>194.87</v>
      </c>
      <c r="BZ524" s="37" t="n">
        <v>195.22</v>
      </c>
      <c r="CA524" s="37" t="n">
        <v>189.78</v>
      </c>
      <c r="CB524" s="37" t="n">
        <v>153.51</v>
      </c>
      <c r="CC524" s="37" t="n">
        <v>14833.62</v>
      </c>
    </row>
    <row r="525" ht="15.75" customHeight="1" s="57">
      <c r="A525" s="7" t="inlineStr">
        <is>
          <t>NTB</t>
        </is>
      </c>
      <c r="B525" s="7" t="inlineStr">
        <is>
          <t>Ninh Thuận</t>
        </is>
      </c>
      <c r="C525" s="7" t="n">
        <v>20648000</v>
      </c>
      <c r="D525" s="7" t="inlineStr">
        <is>
          <t>(NTH) Ninh Chử</t>
        </is>
      </c>
      <c r="E525" s="7" t="inlineStr">
        <is>
          <t>TTS-Bulky</t>
        </is>
      </c>
      <c r="F525" s="36" t="n">
        <v>1</v>
      </c>
      <c r="G525" s="36" t="n">
        <v>3</v>
      </c>
      <c r="H525" s="36" t="n">
        <v>7</v>
      </c>
      <c r="I525" s="36" t="n">
        <v>2</v>
      </c>
      <c r="J525" s="36" t="n">
        <v>4</v>
      </c>
      <c r="K525" s="28" t="n">
        <v>4</v>
      </c>
      <c r="L525" s="36" t="n">
        <v>1</v>
      </c>
      <c r="M525" s="36" t="n">
        <v>3</v>
      </c>
      <c r="N525" s="36" t="n">
        <v>0</v>
      </c>
      <c r="O525" s="36" t="n">
        <v>1</v>
      </c>
      <c r="P525" s="36" t="n">
        <v>0</v>
      </c>
      <c r="Q525" s="36" t="n">
        <v>3</v>
      </c>
      <c r="R525" s="28" t="n">
        <v>1</v>
      </c>
      <c r="S525" s="36" t="n">
        <v>2</v>
      </c>
      <c r="T525" s="36" t="n">
        <v>2</v>
      </c>
      <c r="U525" s="36" t="n">
        <v>8.210000000000001</v>
      </c>
      <c r="V525" s="36" t="n">
        <v>9.09</v>
      </c>
      <c r="W525" s="36" t="n">
        <v>4.25</v>
      </c>
      <c r="X525" s="36" t="n">
        <v>3.52</v>
      </c>
      <c r="Y525" s="28" t="n">
        <v>3.81</v>
      </c>
      <c r="Z525" s="36" t="n">
        <v>3.52</v>
      </c>
      <c r="AA525" s="36" t="n">
        <v>4.55</v>
      </c>
      <c r="AB525" s="36" t="n">
        <v>4.4</v>
      </c>
      <c r="AC525" s="36" t="n">
        <v>4.84</v>
      </c>
      <c r="AD525" s="36" t="n">
        <v>2.93</v>
      </c>
      <c r="AE525" s="36" t="n">
        <v>4.11</v>
      </c>
      <c r="AF525" s="28" t="n">
        <v>4.69</v>
      </c>
      <c r="AG525" s="36" t="n">
        <v>4.11</v>
      </c>
      <c r="AH525" s="37" t="n">
        <v>4.11</v>
      </c>
      <c r="AI525" s="37" t="n">
        <v>3.52</v>
      </c>
      <c r="AJ525" s="37" t="n">
        <v>4.69</v>
      </c>
      <c r="AK525" s="37" t="n">
        <v>4.25</v>
      </c>
      <c r="AL525" s="37" t="n">
        <v>3.52</v>
      </c>
      <c r="AM525" s="37" t="n">
        <v>4.55</v>
      </c>
      <c r="AN525" s="37" t="n">
        <v>4.11</v>
      </c>
      <c r="AO525" s="37" t="n">
        <v>4.25</v>
      </c>
      <c r="AP525" s="37" t="n">
        <v>4.25</v>
      </c>
      <c r="AQ525" s="37" t="n">
        <v>4.69</v>
      </c>
      <c r="AR525" s="37" t="n">
        <v>4.25</v>
      </c>
      <c r="AS525" s="37" t="n">
        <v>3.52</v>
      </c>
      <c r="AT525" s="37" t="n">
        <v>4.69</v>
      </c>
      <c r="AU525" s="37" t="n">
        <v>4.69</v>
      </c>
      <c r="AV525" s="37" t="n">
        <v>4.25</v>
      </c>
      <c r="AW525" s="37" t="n">
        <v>4.25</v>
      </c>
      <c r="AX525" s="37" t="n">
        <v>4.4</v>
      </c>
      <c r="AY525" s="37" t="n">
        <v>4.25</v>
      </c>
      <c r="AZ525" s="37" t="n">
        <v>3.52</v>
      </c>
      <c r="BA525" s="37" t="n">
        <v>4.4</v>
      </c>
      <c r="BB525" s="37" t="n">
        <v>1.17</v>
      </c>
      <c r="BC525" s="37" t="n">
        <v>0.29</v>
      </c>
      <c r="BD525" s="37" t="n">
        <v>1.03</v>
      </c>
      <c r="BE525" s="37" t="n">
        <v>1.17</v>
      </c>
      <c r="BF525" s="37" t="n">
        <v>1.17</v>
      </c>
      <c r="BG525" s="37" t="n">
        <v>1.03</v>
      </c>
      <c r="BH525" s="37" t="n">
        <v>1.17</v>
      </c>
      <c r="BI525" s="37" t="n">
        <v>1.17</v>
      </c>
      <c r="BJ525" s="37" t="n">
        <v>0.73</v>
      </c>
      <c r="BK525" s="37" t="n">
        <v>1.17</v>
      </c>
      <c r="BL525" s="37" t="n">
        <v>1.17</v>
      </c>
      <c r="BM525" s="37" t="n">
        <v>1.17</v>
      </c>
      <c r="BN525" s="37" t="n">
        <v>1.03</v>
      </c>
      <c r="BO525" s="37" t="n">
        <v>1.17</v>
      </c>
      <c r="BP525" s="37" t="n">
        <v>1.17</v>
      </c>
      <c r="BQ525" s="37" t="n">
        <v>1.17</v>
      </c>
      <c r="BR525" s="37" t="n">
        <v>1.17</v>
      </c>
      <c r="BS525" s="37" t="n">
        <v>1.17</v>
      </c>
      <c r="BT525" s="37" t="n">
        <v>1.17</v>
      </c>
      <c r="BU525" s="37" t="n">
        <v>0.88</v>
      </c>
      <c r="BV525" s="37" t="n">
        <v>1.17</v>
      </c>
      <c r="BW525" s="37" t="n">
        <v>1.17</v>
      </c>
      <c r="BX525" s="37" t="n">
        <v>1.17</v>
      </c>
      <c r="BY525" s="37" t="n">
        <v>1.17</v>
      </c>
      <c r="BZ525" s="37" t="n">
        <v>1.17</v>
      </c>
      <c r="CA525" s="37" t="n">
        <v>1.17</v>
      </c>
      <c r="CB525" s="37" t="n">
        <v>0.88</v>
      </c>
      <c r="CC525" s="37" t="n">
        <v>209.4599999999998</v>
      </c>
    </row>
    <row r="526" ht="15.75" customHeight="1" s="57">
      <c r="A526" s="7" t="inlineStr">
        <is>
          <t>NTB</t>
        </is>
      </c>
      <c r="B526" s="7" t="inlineStr">
        <is>
          <t>Ninh Thuận</t>
        </is>
      </c>
      <c r="C526" s="7" t="n">
        <v>21163000</v>
      </c>
      <c r="D526" s="7" t="inlineStr">
        <is>
          <t>Kho Giao Hàng Nặng - Phan Rang - Ninh Thuận</t>
        </is>
      </c>
      <c r="E526" s="7" t="inlineStr">
        <is>
          <t>SME</t>
        </is>
      </c>
      <c r="F526" s="36" t="n">
        <v>6</v>
      </c>
      <c r="G526" s="36" t="n">
        <v>3</v>
      </c>
      <c r="H526" s="36" t="n">
        <v>3</v>
      </c>
      <c r="I526" s="36" t="n">
        <v>2</v>
      </c>
      <c r="J526" s="36" t="n">
        <v>6</v>
      </c>
      <c r="K526" s="28" t="n">
        <v>1</v>
      </c>
      <c r="L526" s="36" t="n">
        <v>1</v>
      </c>
      <c r="M526" s="36" t="n">
        <v>3</v>
      </c>
      <c r="N526" s="36" t="n">
        <v>1</v>
      </c>
      <c r="O526" s="36" t="n">
        <v>0</v>
      </c>
      <c r="P526" s="36" t="n">
        <v>1</v>
      </c>
      <c r="Q526" s="36" t="n">
        <v>0</v>
      </c>
      <c r="R526" s="28" t="n">
        <v>2</v>
      </c>
      <c r="S526" s="36" t="n">
        <v>0</v>
      </c>
      <c r="T526" s="36" t="n">
        <v>6</v>
      </c>
      <c r="U526" s="36" t="n">
        <v>23.86</v>
      </c>
      <c r="V526" s="36" t="n">
        <v>24.98</v>
      </c>
      <c r="W526" s="36" t="n">
        <v>24.67</v>
      </c>
      <c r="X526" s="36" t="n">
        <v>19.34</v>
      </c>
      <c r="Y526" s="28" t="n">
        <v>26.44</v>
      </c>
      <c r="Z526" s="36" t="n">
        <v>24.96</v>
      </c>
      <c r="AA526" s="36" t="n">
        <v>24.13</v>
      </c>
      <c r="AB526" s="36" t="n">
        <v>23.86</v>
      </c>
      <c r="AC526" s="36" t="n">
        <v>24.98</v>
      </c>
      <c r="AD526" s="36" t="n">
        <v>27.94</v>
      </c>
      <c r="AE526" s="36" t="n">
        <v>19.34</v>
      </c>
      <c r="AF526" s="28" t="n">
        <v>26.44</v>
      </c>
      <c r="AG526" s="36" t="n">
        <v>24.96</v>
      </c>
      <c r="AH526" s="37" t="n">
        <v>24.13</v>
      </c>
      <c r="AI526" s="37" t="n">
        <v>23.86</v>
      </c>
      <c r="AJ526" s="37" t="n">
        <v>24.98</v>
      </c>
      <c r="AK526" s="37" t="n">
        <v>24.67</v>
      </c>
      <c r="AL526" s="37" t="n">
        <v>19.34</v>
      </c>
      <c r="AM526" s="37" t="n">
        <v>26.44</v>
      </c>
      <c r="AN526" s="37" t="n">
        <v>24.96</v>
      </c>
      <c r="AO526" s="37" t="n">
        <v>24.13</v>
      </c>
      <c r="AP526" s="37" t="n">
        <v>23.86</v>
      </c>
      <c r="AQ526" s="37" t="n">
        <v>24.98</v>
      </c>
      <c r="AR526" s="37" t="n">
        <v>24.67</v>
      </c>
      <c r="AS526" s="37" t="n">
        <v>19.34</v>
      </c>
      <c r="AT526" s="37" t="n">
        <v>26.44</v>
      </c>
      <c r="AU526" s="37" t="n">
        <v>24.96</v>
      </c>
      <c r="AV526" s="37" t="n">
        <v>24.13</v>
      </c>
      <c r="AW526" s="37" t="n">
        <v>23.86</v>
      </c>
      <c r="AX526" s="37" t="n">
        <v>24.98</v>
      </c>
      <c r="AY526" s="37" t="n">
        <v>24.67</v>
      </c>
      <c r="AZ526" s="37" t="n">
        <v>19.34</v>
      </c>
      <c r="BA526" s="37" t="n">
        <v>24.13</v>
      </c>
      <c r="BB526" s="37" t="n">
        <v>20.54</v>
      </c>
      <c r="BC526" s="37" t="n">
        <v>12.05</v>
      </c>
      <c r="BD526" s="37" t="n">
        <v>12.04</v>
      </c>
      <c r="BE526" s="37" t="n">
        <v>21.95</v>
      </c>
      <c r="BF526" s="37" t="n">
        <v>21.11</v>
      </c>
      <c r="BG526" s="37" t="n">
        <v>19.38</v>
      </c>
      <c r="BH526" s="37" t="n">
        <v>26.5</v>
      </c>
      <c r="BI526" s="37" t="n">
        <v>25.02</v>
      </c>
      <c r="BJ526" s="37" t="n">
        <v>28.51</v>
      </c>
      <c r="BK526" s="37" t="n">
        <v>23.92</v>
      </c>
      <c r="BL526" s="37" t="n">
        <v>25.03</v>
      </c>
      <c r="BM526" s="37" t="n">
        <v>24.72</v>
      </c>
      <c r="BN526" s="37" t="n">
        <v>19.38</v>
      </c>
      <c r="BO526" s="37" t="n">
        <v>26.5</v>
      </c>
      <c r="BP526" s="37" t="n">
        <v>25.02</v>
      </c>
      <c r="BQ526" s="37" t="n">
        <v>24.19</v>
      </c>
      <c r="BR526" s="37" t="n">
        <v>23.92</v>
      </c>
      <c r="BS526" s="37" t="n">
        <v>25.03</v>
      </c>
      <c r="BT526" s="37" t="n">
        <v>24.72</v>
      </c>
      <c r="BU526" s="37" t="n">
        <v>19.38</v>
      </c>
      <c r="BV526" s="37" t="n">
        <v>26.5</v>
      </c>
      <c r="BW526" s="37" t="n">
        <v>25.02</v>
      </c>
      <c r="BX526" s="37" t="n">
        <v>24.19</v>
      </c>
      <c r="BY526" s="37" t="n">
        <v>23.92</v>
      </c>
      <c r="BZ526" s="37" t="n">
        <v>25.03</v>
      </c>
      <c r="CA526" s="37" t="n">
        <v>24.72</v>
      </c>
      <c r="CB526" s="37" t="n">
        <v>19.38</v>
      </c>
      <c r="CC526" s="37" t="n">
        <v>1446.440000000001</v>
      </c>
    </row>
    <row r="527" ht="15.75" customHeight="1" s="57">
      <c r="A527" s="7" t="inlineStr">
        <is>
          <t>NTB</t>
        </is>
      </c>
      <c r="B527" s="7" t="inlineStr">
        <is>
          <t>Ninh Thuận</t>
        </is>
      </c>
      <c r="C527" s="7" t="n">
        <v>21163000</v>
      </c>
      <c r="D527" s="7" t="inlineStr">
        <is>
          <t>Kho Giao Hàng Nặng - Phan Rang - Ninh Thuận</t>
        </is>
      </c>
      <c r="E527" s="7" t="inlineStr">
        <is>
          <t>SME-Bulky</t>
        </is>
      </c>
      <c r="F527" s="36" t="n">
        <v>31</v>
      </c>
      <c r="G527" s="36" t="n">
        <v>27</v>
      </c>
      <c r="H527" s="36" t="n">
        <v>29</v>
      </c>
      <c r="I527" s="36" t="n">
        <v>41</v>
      </c>
      <c r="J527" s="36" t="n">
        <v>34</v>
      </c>
      <c r="K527" s="28" t="n">
        <v>37</v>
      </c>
      <c r="L527" s="36" t="n">
        <v>39</v>
      </c>
      <c r="M527" s="36" t="n">
        <v>17</v>
      </c>
      <c r="N527" s="36" t="n">
        <v>35</v>
      </c>
      <c r="O527" s="36" t="n">
        <v>26</v>
      </c>
      <c r="P527" s="36" t="n">
        <v>37</v>
      </c>
      <c r="Q527" s="36" t="n">
        <v>25</v>
      </c>
      <c r="R527" s="28" t="n">
        <v>28</v>
      </c>
      <c r="S527" s="36" t="n">
        <v>37</v>
      </c>
      <c r="T527" s="36" t="n">
        <v>33</v>
      </c>
      <c r="U527" s="36" t="n">
        <v>30.56</v>
      </c>
      <c r="V527" s="36" t="n">
        <v>30.82</v>
      </c>
      <c r="W527" s="36" t="n">
        <v>29.24</v>
      </c>
      <c r="X527" s="36" t="n">
        <v>17.38</v>
      </c>
      <c r="Y527" s="28" t="n">
        <v>34.77</v>
      </c>
      <c r="Z527" s="36" t="n">
        <v>32.66</v>
      </c>
      <c r="AA527" s="36" t="n">
        <v>31.87</v>
      </c>
      <c r="AB527" s="36" t="n">
        <v>30.56</v>
      </c>
      <c r="AC527" s="36" t="n">
        <v>30.82</v>
      </c>
      <c r="AD527" s="36" t="n">
        <v>29.5</v>
      </c>
      <c r="AE527" s="36" t="n">
        <v>17.38</v>
      </c>
      <c r="AF527" s="28" t="n">
        <v>34.77</v>
      </c>
      <c r="AG527" s="36" t="n">
        <v>32.66</v>
      </c>
      <c r="AH527" s="37" t="n">
        <v>31.87</v>
      </c>
      <c r="AI527" s="37" t="n">
        <v>30.56</v>
      </c>
      <c r="AJ527" s="37" t="n">
        <v>30.82</v>
      </c>
      <c r="AK527" s="37" t="n">
        <v>29.24</v>
      </c>
      <c r="AL527" s="37" t="n">
        <v>17.38</v>
      </c>
      <c r="AM527" s="37" t="n">
        <v>34.77</v>
      </c>
      <c r="AN527" s="37" t="n">
        <v>32.66</v>
      </c>
      <c r="AO527" s="37" t="n">
        <v>31.87</v>
      </c>
      <c r="AP527" s="37" t="n">
        <v>30.56</v>
      </c>
      <c r="AQ527" s="37" t="n">
        <v>30.82</v>
      </c>
      <c r="AR527" s="37" t="n">
        <v>29.24</v>
      </c>
      <c r="AS527" s="37" t="n">
        <v>17.38</v>
      </c>
      <c r="AT527" s="37" t="n">
        <v>34.77</v>
      </c>
      <c r="AU527" s="37" t="n">
        <v>32.66</v>
      </c>
      <c r="AV527" s="37" t="n">
        <v>31.87</v>
      </c>
      <c r="AW527" s="37" t="n">
        <v>30.56</v>
      </c>
      <c r="AX527" s="37" t="n">
        <v>30.82</v>
      </c>
      <c r="AY527" s="37" t="n">
        <v>29.24</v>
      </c>
      <c r="AZ527" s="37" t="n">
        <v>17.38</v>
      </c>
      <c r="BA527" s="37" t="n">
        <v>34.51</v>
      </c>
      <c r="BB527" s="37" t="n">
        <v>17.38</v>
      </c>
      <c r="BC527" s="37" t="n">
        <v>7.38</v>
      </c>
      <c r="BD527" s="37" t="n">
        <v>6.59</v>
      </c>
      <c r="BE527" s="37" t="n">
        <v>13.43</v>
      </c>
      <c r="BF527" s="37" t="n">
        <v>13.7</v>
      </c>
      <c r="BG527" s="37" t="n">
        <v>10.01</v>
      </c>
      <c r="BH527" s="37" t="n">
        <v>20.02</v>
      </c>
      <c r="BI527" s="37" t="n">
        <v>19.49</v>
      </c>
      <c r="BJ527" s="37" t="n">
        <v>19.76</v>
      </c>
      <c r="BK527" s="37" t="n">
        <v>17.65</v>
      </c>
      <c r="BL527" s="37" t="n">
        <v>18.18</v>
      </c>
      <c r="BM527" s="37" t="n">
        <v>17.12</v>
      </c>
      <c r="BN527" s="37" t="n">
        <v>10.01</v>
      </c>
      <c r="BO527" s="37" t="n">
        <v>20.02</v>
      </c>
      <c r="BP527" s="37" t="n">
        <v>19.49</v>
      </c>
      <c r="BQ527" s="37" t="n">
        <v>18.44</v>
      </c>
      <c r="BR527" s="37" t="n">
        <v>17.65</v>
      </c>
      <c r="BS527" s="37" t="n">
        <v>18.18</v>
      </c>
      <c r="BT527" s="37" t="n">
        <v>17.12</v>
      </c>
      <c r="BU527" s="37" t="n">
        <v>10.01</v>
      </c>
      <c r="BV527" s="37" t="n">
        <v>20.02</v>
      </c>
      <c r="BW527" s="37" t="n">
        <v>19.49</v>
      </c>
      <c r="BX527" s="37" t="n">
        <v>18.44</v>
      </c>
      <c r="BY527" s="37" t="n">
        <v>17.65</v>
      </c>
      <c r="BZ527" s="37" t="n">
        <v>18.18</v>
      </c>
      <c r="CA527" s="37" t="n">
        <v>17.12</v>
      </c>
      <c r="CB527" s="37" t="n">
        <v>10.01</v>
      </c>
      <c r="CC527" s="37" t="n">
        <v>1880.51</v>
      </c>
    </row>
    <row r="528" ht="15.75" customHeight="1" s="57">
      <c r="A528" s="7" t="inlineStr">
        <is>
          <t>NTB</t>
        </is>
      </c>
      <c r="B528" s="7" t="inlineStr">
        <is>
          <t>Ninh Thuận</t>
        </is>
      </c>
      <c r="C528" s="7" t="n">
        <v>21163000</v>
      </c>
      <c r="D528" s="7" t="inlineStr">
        <is>
          <t>Kho Giao Hàng Nặng - Phan Rang - Ninh Thuận</t>
        </is>
      </c>
      <c r="E528" s="7" t="inlineStr">
        <is>
          <t>Shopee</t>
        </is>
      </c>
      <c r="F528" s="36" t="n">
        <v>0</v>
      </c>
      <c r="G528" s="36" t="n">
        <v>0</v>
      </c>
      <c r="H528" s="36" t="n">
        <v>0</v>
      </c>
      <c r="I528" s="36" t="n">
        <v>0</v>
      </c>
      <c r="J528" s="36" t="n">
        <v>0</v>
      </c>
      <c r="K528" s="28" t="n">
        <v>1</v>
      </c>
      <c r="L528" s="36" t="n">
        <v>0</v>
      </c>
      <c r="M528" s="36" t="n">
        <v>0</v>
      </c>
      <c r="N528" s="36" t="n">
        <v>0</v>
      </c>
      <c r="O528" s="36" t="n">
        <v>0</v>
      </c>
      <c r="P528" s="36" t="n">
        <v>0</v>
      </c>
      <c r="Q528" s="36" t="n">
        <v>0</v>
      </c>
      <c r="R528" s="28" t="n">
        <v>1</v>
      </c>
      <c r="S528" s="36" t="n">
        <v>2</v>
      </c>
      <c r="T528" s="36" t="n">
        <v>0</v>
      </c>
      <c r="U528" s="36" t="n">
        <v>0.33</v>
      </c>
      <c r="V528" s="36" t="n">
        <v>0.33</v>
      </c>
      <c r="W528" s="36" t="n">
        <v>0.32</v>
      </c>
      <c r="X528" s="36" t="n">
        <v>0.26</v>
      </c>
      <c r="Y528" s="28" t="n">
        <v>0.44</v>
      </c>
      <c r="Z528" s="36" t="n">
        <v>0.35</v>
      </c>
      <c r="AA528" s="36" t="n">
        <v>0.48</v>
      </c>
      <c r="AB528" s="36" t="n">
        <v>0.33</v>
      </c>
      <c r="AC528" s="36" t="n">
        <v>0.27</v>
      </c>
      <c r="AD528" s="36" t="n">
        <v>0.7</v>
      </c>
      <c r="AE528" s="36" t="n">
        <v>0.28</v>
      </c>
      <c r="AF528" s="28" t="n">
        <v>0.5</v>
      </c>
      <c r="AG528" s="36" t="n">
        <v>0.37</v>
      </c>
      <c r="AH528" s="37" t="n">
        <v>0.39</v>
      </c>
      <c r="AI528" s="37" t="n">
        <v>0.33</v>
      </c>
      <c r="AJ528" s="37" t="n">
        <v>0.33</v>
      </c>
      <c r="AK528" s="37" t="n">
        <v>0.44</v>
      </c>
      <c r="AL528" s="37" t="n">
        <v>0.47</v>
      </c>
      <c r="AM528" s="37" t="n">
        <v>0.44</v>
      </c>
      <c r="AN528" s="37" t="n">
        <v>0.35</v>
      </c>
      <c r="AO528" s="37" t="n">
        <v>0.39</v>
      </c>
      <c r="AP528" s="37" t="n">
        <v>0.41</v>
      </c>
      <c r="AQ528" s="37" t="n">
        <v>0.26</v>
      </c>
      <c r="AR528" s="37" t="n">
        <v>0.32</v>
      </c>
      <c r="AS528" s="37" t="n">
        <v>0.26</v>
      </c>
      <c r="AT528" s="37" t="n">
        <v>0.44</v>
      </c>
      <c r="AU528" s="37" t="n">
        <v>0.36</v>
      </c>
      <c r="AV528" s="37" t="n">
        <v>0.4</v>
      </c>
      <c r="AW528" s="37" t="n">
        <v>0.33</v>
      </c>
      <c r="AX528" s="37" t="n">
        <v>0.33</v>
      </c>
      <c r="AY528" s="37" t="n">
        <v>0.32</v>
      </c>
      <c r="AZ528" s="37" t="n">
        <v>0.26</v>
      </c>
      <c r="BA528" s="37" t="n">
        <v>0.34</v>
      </c>
      <c r="BB528" s="37" t="n">
        <v>0.3</v>
      </c>
      <c r="BC528" s="37" t="n">
        <v>0.15</v>
      </c>
      <c r="BD528" s="37" t="n">
        <v>0.27</v>
      </c>
      <c r="BE528" s="37" t="n">
        <v>0.31</v>
      </c>
      <c r="BF528" s="37" t="n">
        <v>0.31</v>
      </c>
      <c r="BG528" s="37" t="n">
        <v>0.26</v>
      </c>
      <c r="BH528" s="37" t="n">
        <v>0.42</v>
      </c>
      <c r="BI528" s="37" t="n">
        <v>0.27</v>
      </c>
      <c r="BJ528" s="37" t="n">
        <v>1</v>
      </c>
      <c r="BK528" s="37" t="n">
        <v>0.33</v>
      </c>
      <c r="BL528" s="37" t="n">
        <v>0.33</v>
      </c>
      <c r="BM528" s="37" t="n">
        <v>0.31</v>
      </c>
      <c r="BN528" s="37" t="n">
        <v>0.25</v>
      </c>
      <c r="BO528" s="37" t="n">
        <v>0.42</v>
      </c>
      <c r="BP528" s="37" t="n">
        <v>0.45</v>
      </c>
      <c r="BQ528" s="37" t="n">
        <v>0.66</v>
      </c>
      <c r="BR528" s="37" t="n">
        <v>0.31</v>
      </c>
      <c r="BS528" s="37" t="n">
        <v>0.31</v>
      </c>
      <c r="BT528" s="37" t="n">
        <v>0.31</v>
      </c>
      <c r="BU528" s="37" t="n">
        <v>0.31</v>
      </c>
      <c r="BV528" s="37" t="n">
        <v>0.34</v>
      </c>
      <c r="BW528" s="37" t="n">
        <v>0.33</v>
      </c>
      <c r="BX528" s="37" t="n">
        <v>0.37</v>
      </c>
      <c r="BY528" s="37" t="n">
        <v>0.31</v>
      </c>
      <c r="BZ528" s="37" t="n">
        <v>0.32</v>
      </c>
      <c r="CA528" s="37" t="n">
        <v>0.31</v>
      </c>
      <c r="CB528" s="37" t="n">
        <v>0.25</v>
      </c>
      <c r="CC528" s="37" t="n">
        <v>25.63999999999999</v>
      </c>
    </row>
    <row r="529" ht="15.75" customHeight="1" s="57">
      <c r="A529" s="7" t="inlineStr">
        <is>
          <t>NTB</t>
        </is>
      </c>
      <c r="B529" s="7" t="inlineStr">
        <is>
          <t>Ninh Thuận</t>
        </is>
      </c>
      <c r="C529" s="7" t="n">
        <v>21163000</v>
      </c>
      <c r="D529" s="7" t="inlineStr">
        <is>
          <t>Kho Giao Hàng Nặng - Phan Rang - Ninh Thuận</t>
        </is>
      </c>
      <c r="E529" s="7" t="inlineStr">
        <is>
          <t>Shopee-Bulky</t>
        </is>
      </c>
      <c r="F529" s="36" t="n">
        <v>53.92</v>
      </c>
      <c r="G529" s="36" t="n">
        <v>71.89</v>
      </c>
      <c r="H529" s="36" t="n">
        <v>94.81999999999999</v>
      </c>
      <c r="I529" s="36" t="n">
        <v>64.45</v>
      </c>
      <c r="J529" s="36" t="n">
        <v>59.49</v>
      </c>
      <c r="K529" s="28" t="n">
        <v>33.47</v>
      </c>
      <c r="L529" s="36" t="n">
        <v>33.47</v>
      </c>
      <c r="M529" s="36" t="n">
        <v>76.84999999999999</v>
      </c>
      <c r="N529" s="36" t="n">
        <v>70.03</v>
      </c>
      <c r="O529" s="36" t="n">
        <v>44.62</v>
      </c>
      <c r="P529" s="36" t="n">
        <v>44.62</v>
      </c>
      <c r="Q529" s="36" t="n">
        <v>37.8</v>
      </c>
      <c r="R529" s="28" t="n">
        <v>60.73</v>
      </c>
      <c r="S529" s="36" t="n">
        <v>60.11</v>
      </c>
      <c r="T529" s="36" t="n">
        <v>57.01</v>
      </c>
      <c r="U529" s="36" t="n">
        <v>51.86</v>
      </c>
      <c r="V529" s="36" t="n">
        <v>49.25</v>
      </c>
      <c r="W529" s="36" t="n">
        <v>67.84</v>
      </c>
      <c r="X529" s="36" t="n">
        <v>37.51</v>
      </c>
      <c r="Y529" s="28" t="n">
        <v>78.92</v>
      </c>
      <c r="Z529" s="36" t="n">
        <v>61.31</v>
      </c>
      <c r="AA529" s="36" t="n">
        <v>59.03</v>
      </c>
      <c r="AB529" s="36" t="n">
        <v>61.31</v>
      </c>
      <c r="AC529" s="36" t="n">
        <v>60.99</v>
      </c>
      <c r="AD529" s="36" t="n">
        <v>197.96</v>
      </c>
      <c r="AE529" s="36" t="n">
        <v>99.47</v>
      </c>
      <c r="AF529" s="28" t="n">
        <v>155.24</v>
      </c>
      <c r="AG529" s="36" t="n">
        <v>90.34</v>
      </c>
      <c r="AH529" s="37" t="n">
        <v>60.99</v>
      </c>
      <c r="AI529" s="37" t="n">
        <v>59.68</v>
      </c>
      <c r="AJ529" s="37" t="n">
        <v>54.79</v>
      </c>
      <c r="AK529" s="37" t="n">
        <v>130.13</v>
      </c>
      <c r="AL529" s="37" t="n">
        <v>64.25</v>
      </c>
      <c r="AM529" s="37" t="n">
        <v>98.17</v>
      </c>
      <c r="AN529" s="37" t="n">
        <v>60.01</v>
      </c>
      <c r="AO529" s="37" t="n">
        <v>56.42</v>
      </c>
      <c r="AP529" s="37" t="n">
        <v>81.53</v>
      </c>
      <c r="AQ529" s="37" t="n">
        <v>77.29000000000001</v>
      </c>
      <c r="AR529" s="37" t="n">
        <v>61.97</v>
      </c>
      <c r="AS529" s="37" t="n">
        <v>33.92</v>
      </c>
      <c r="AT529" s="37" t="n">
        <v>71.42</v>
      </c>
      <c r="AU529" s="37" t="n">
        <v>116.43</v>
      </c>
      <c r="AV529" s="37" t="n">
        <v>123.28</v>
      </c>
      <c r="AW529" s="37" t="n">
        <v>56.75</v>
      </c>
      <c r="AX529" s="37" t="n">
        <v>52.18</v>
      </c>
      <c r="AY529" s="37" t="n">
        <v>59.68</v>
      </c>
      <c r="AZ529" s="37" t="n">
        <v>31.63</v>
      </c>
      <c r="BA529" s="37" t="n">
        <v>65.55</v>
      </c>
      <c r="BB529" s="37" t="n">
        <v>58.38</v>
      </c>
      <c r="BC529" s="37" t="n">
        <v>17.94</v>
      </c>
      <c r="BD529" s="37" t="n">
        <v>51.53</v>
      </c>
      <c r="BE529" s="37" t="n">
        <v>61.64</v>
      </c>
      <c r="BF529" s="37" t="n">
        <v>53.81</v>
      </c>
      <c r="BG529" s="37" t="n">
        <v>44.03</v>
      </c>
      <c r="BH529" s="37" t="n">
        <v>85.77</v>
      </c>
      <c r="BI529" s="37" t="n">
        <v>71.75</v>
      </c>
      <c r="BJ529" s="37" t="n">
        <v>312.44</v>
      </c>
      <c r="BK529" s="37" t="n">
        <v>153.28</v>
      </c>
      <c r="BL529" s="37" t="n">
        <v>79.90000000000001</v>
      </c>
      <c r="BM529" s="37" t="n">
        <v>55.12</v>
      </c>
      <c r="BN529" s="37" t="n">
        <v>44.03</v>
      </c>
      <c r="BO529" s="37" t="n">
        <v>99.47</v>
      </c>
      <c r="BP529" s="37" t="n">
        <v>142.52</v>
      </c>
      <c r="BQ529" s="37" t="n">
        <v>105.02</v>
      </c>
      <c r="BR529" s="37" t="n">
        <v>65.88</v>
      </c>
      <c r="BS529" s="37" t="n">
        <v>61.64</v>
      </c>
      <c r="BT529" s="37" t="n">
        <v>53.81</v>
      </c>
      <c r="BU529" s="37" t="n">
        <v>64.25</v>
      </c>
      <c r="BV529" s="37" t="n">
        <v>90.01000000000001</v>
      </c>
      <c r="BW529" s="37" t="n">
        <v>71.75</v>
      </c>
      <c r="BX529" s="37" t="n">
        <v>67.18000000000001</v>
      </c>
      <c r="BY529" s="37" t="n">
        <v>65.88</v>
      </c>
      <c r="BZ529" s="37" t="n">
        <v>114.15</v>
      </c>
      <c r="CA529" s="37" t="n">
        <v>64.25</v>
      </c>
      <c r="CB529" s="37" t="n">
        <v>41.75</v>
      </c>
      <c r="CC529" s="37" t="n">
        <v>5547.560000000002</v>
      </c>
    </row>
    <row r="530" ht="15.75" customHeight="1" s="57">
      <c r="A530" s="7" t="inlineStr">
        <is>
          <t>NTB</t>
        </is>
      </c>
      <c r="B530" s="7" t="inlineStr">
        <is>
          <t>Ninh Thuận</t>
        </is>
      </c>
      <c r="C530" s="7" t="n">
        <v>21163000</v>
      </c>
      <c r="D530" s="7" t="inlineStr">
        <is>
          <t>Kho Giao Hàng Nặng - Phan Rang - Ninh Thuận</t>
        </is>
      </c>
      <c r="E530" s="7" t="inlineStr">
        <is>
          <t>Shopee-Bulky (10-15kg)</t>
        </is>
      </c>
      <c r="F530" s="36" t="n">
        <v>33.08</v>
      </c>
      <c r="G530" s="36" t="n">
        <v>44.11</v>
      </c>
      <c r="H530" s="36" t="n">
        <v>58.18</v>
      </c>
      <c r="I530" s="36" t="n">
        <v>39.55</v>
      </c>
      <c r="J530" s="36" t="n">
        <v>36.51</v>
      </c>
      <c r="K530" s="28" t="n">
        <v>20.53</v>
      </c>
      <c r="L530" s="36" t="n">
        <v>20.53</v>
      </c>
      <c r="M530" s="36" t="n">
        <v>47.15</v>
      </c>
      <c r="N530" s="36" t="n">
        <v>42.97</v>
      </c>
      <c r="O530" s="36" t="n">
        <v>27.38</v>
      </c>
      <c r="P530" s="36" t="n">
        <v>27.38</v>
      </c>
      <c r="Q530" s="36" t="n">
        <v>23.2</v>
      </c>
      <c r="R530" s="28" t="n">
        <v>37.27</v>
      </c>
      <c r="S530" s="36" t="n">
        <v>36.89</v>
      </c>
      <c r="T530" s="36" t="n">
        <v>34.99</v>
      </c>
      <c r="U530" s="36" t="n">
        <v>34.24</v>
      </c>
      <c r="V530" s="36" t="n">
        <v>32.94</v>
      </c>
      <c r="W530" s="36" t="n">
        <v>41.75</v>
      </c>
      <c r="X530" s="36" t="n">
        <v>23.48</v>
      </c>
      <c r="Y530" s="28" t="n">
        <v>50.55</v>
      </c>
      <c r="Z530" s="36" t="n">
        <v>37.18</v>
      </c>
      <c r="AA530" s="36" t="n">
        <v>36.85</v>
      </c>
      <c r="AB530" s="36" t="n">
        <v>36.2</v>
      </c>
      <c r="AC530" s="36" t="n">
        <v>39.14</v>
      </c>
      <c r="AD530" s="36" t="n">
        <v>149.7</v>
      </c>
      <c r="AE530" s="36" t="n">
        <v>60.33</v>
      </c>
      <c r="AF530" s="28" t="n">
        <v>87.08</v>
      </c>
      <c r="AG530" s="36" t="n">
        <v>54.46</v>
      </c>
      <c r="AH530" s="37" t="n">
        <v>36.53</v>
      </c>
      <c r="AI530" s="37" t="n">
        <v>37.83</v>
      </c>
      <c r="AJ530" s="37" t="n">
        <v>34.57</v>
      </c>
      <c r="AK530" s="37" t="n">
        <v>82.51000000000001</v>
      </c>
      <c r="AL530" s="37" t="n">
        <v>38.81</v>
      </c>
      <c r="AM530" s="37" t="n">
        <v>61.97</v>
      </c>
      <c r="AN530" s="37" t="n">
        <v>36.85</v>
      </c>
      <c r="AO530" s="37" t="n">
        <v>35.22</v>
      </c>
      <c r="AP530" s="37" t="n">
        <v>48.59</v>
      </c>
      <c r="AQ530" s="37" t="n">
        <v>49.25</v>
      </c>
      <c r="AR530" s="37" t="n">
        <v>38.48</v>
      </c>
      <c r="AS530" s="37" t="n">
        <v>21.52</v>
      </c>
      <c r="AT530" s="37" t="n">
        <v>45.33</v>
      </c>
      <c r="AU530" s="37" t="n">
        <v>75.66</v>
      </c>
      <c r="AV530" s="37" t="n">
        <v>78.27</v>
      </c>
      <c r="AW530" s="37" t="n">
        <v>35.87</v>
      </c>
      <c r="AX530" s="37" t="n">
        <v>33.27</v>
      </c>
      <c r="AY530" s="37" t="n">
        <v>37.51</v>
      </c>
      <c r="AZ530" s="37" t="n">
        <v>20.22</v>
      </c>
      <c r="BA530" s="37" t="n">
        <v>41.09</v>
      </c>
      <c r="BB530" s="37" t="n">
        <v>36.2</v>
      </c>
      <c r="BC530" s="37" t="n">
        <v>10.44</v>
      </c>
      <c r="BD530" s="37" t="n">
        <v>30.66</v>
      </c>
      <c r="BE530" s="37" t="n">
        <v>39.46</v>
      </c>
      <c r="BF530" s="37" t="n">
        <v>32.94</v>
      </c>
      <c r="BG530" s="37" t="n">
        <v>26.74</v>
      </c>
      <c r="BH530" s="37" t="n">
        <v>53.49</v>
      </c>
      <c r="BI530" s="37" t="n">
        <v>44.03</v>
      </c>
      <c r="BJ530" s="37" t="n">
        <v>208.4</v>
      </c>
      <c r="BK530" s="37" t="n">
        <v>91.97</v>
      </c>
      <c r="BL530" s="37" t="n">
        <v>50.55</v>
      </c>
      <c r="BM530" s="37" t="n">
        <v>35.55</v>
      </c>
      <c r="BN530" s="37" t="n">
        <v>27.4</v>
      </c>
      <c r="BO530" s="37" t="n">
        <v>61.31</v>
      </c>
      <c r="BP530" s="37" t="n">
        <v>86.43000000000001</v>
      </c>
      <c r="BQ530" s="37" t="n">
        <v>63.92</v>
      </c>
      <c r="BR530" s="37" t="n">
        <v>41.09</v>
      </c>
      <c r="BS530" s="37" t="n">
        <v>39.46</v>
      </c>
      <c r="BT530" s="37" t="n">
        <v>32.94</v>
      </c>
      <c r="BU530" s="37" t="n">
        <v>40.11</v>
      </c>
      <c r="BV530" s="37" t="n">
        <v>54.79</v>
      </c>
      <c r="BW530" s="37" t="n">
        <v>44.03</v>
      </c>
      <c r="BX530" s="37" t="n">
        <v>41.42</v>
      </c>
      <c r="BY530" s="37" t="n">
        <v>41.09</v>
      </c>
      <c r="BZ530" s="37" t="n">
        <v>71.75</v>
      </c>
      <c r="CA530" s="37" t="n">
        <v>40.77</v>
      </c>
      <c r="CB530" s="37" t="n">
        <v>25.44</v>
      </c>
      <c r="CC530" s="37" t="n">
        <v>3475.35</v>
      </c>
    </row>
    <row r="531" ht="15.75" customHeight="1" s="57">
      <c r="A531" s="7" t="inlineStr">
        <is>
          <t>NTB</t>
        </is>
      </c>
      <c r="B531" s="7" t="inlineStr">
        <is>
          <t>Ninh Thuận</t>
        </is>
      </c>
      <c r="C531" s="7" t="n">
        <v>21163000</v>
      </c>
      <c r="D531" s="7" t="inlineStr">
        <is>
          <t>Kho Giao Hàng Nặng - Phan Rang - Ninh Thuận</t>
        </is>
      </c>
      <c r="E531" s="7" t="inlineStr">
        <is>
          <t>TTS</t>
        </is>
      </c>
      <c r="F531" s="36" t="n">
        <v>1</v>
      </c>
      <c r="G531" s="36" t="n">
        <v>0</v>
      </c>
      <c r="H531" s="36" t="n">
        <v>0</v>
      </c>
      <c r="I531" s="36" t="n">
        <v>1</v>
      </c>
      <c r="J531" s="36" t="n">
        <v>0</v>
      </c>
      <c r="K531" s="28" t="n">
        <v>1</v>
      </c>
      <c r="L531" s="36" t="n">
        <v>0</v>
      </c>
      <c r="M531" s="36" t="n">
        <v>1</v>
      </c>
      <c r="N531" s="36" t="n">
        <v>4</v>
      </c>
      <c r="O531" s="36" t="n">
        <v>3</v>
      </c>
      <c r="P531" s="36" t="n">
        <v>2</v>
      </c>
      <c r="Q531" s="36" t="n">
        <v>0</v>
      </c>
      <c r="R531" s="28" t="n">
        <v>0</v>
      </c>
      <c r="S531" s="36" t="n">
        <v>4</v>
      </c>
      <c r="T531" s="36" t="n">
        <v>4</v>
      </c>
      <c r="U531" s="36" t="n">
        <v>3</v>
      </c>
      <c r="V531" s="36" t="n">
        <v>2.96</v>
      </c>
      <c r="W531" s="36" t="n">
        <v>2.93</v>
      </c>
      <c r="X531" s="36" t="n">
        <v>2.12</v>
      </c>
      <c r="Y531" s="28" t="n">
        <v>3.47</v>
      </c>
      <c r="Z531" s="36" t="n">
        <v>2.93</v>
      </c>
      <c r="AA531" s="36" t="n">
        <v>3.12</v>
      </c>
      <c r="AB531" s="36" t="n">
        <v>3.33</v>
      </c>
      <c r="AC531" s="36" t="n">
        <v>3.46</v>
      </c>
      <c r="AD531" s="36" t="n">
        <v>3.77</v>
      </c>
      <c r="AE531" s="36" t="n">
        <v>2.36</v>
      </c>
      <c r="AF531" s="28" t="n">
        <v>3.53</v>
      </c>
      <c r="AG531" s="36" t="n">
        <v>2.96</v>
      </c>
      <c r="AH531" s="37" t="n">
        <v>2.94</v>
      </c>
      <c r="AI531" s="37" t="n">
        <v>3.2</v>
      </c>
      <c r="AJ531" s="37" t="n">
        <v>3.34</v>
      </c>
      <c r="AK531" s="37" t="n">
        <v>3.32</v>
      </c>
      <c r="AL531" s="37" t="n">
        <v>2.24</v>
      </c>
      <c r="AM531" s="37" t="n">
        <v>3.5</v>
      </c>
      <c r="AN531" s="37" t="n">
        <v>2.98</v>
      </c>
      <c r="AO531" s="37" t="n">
        <v>2.97</v>
      </c>
      <c r="AP531" s="37" t="n">
        <v>2.91</v>
      </c>
      <c r="AQ531" s="37" t="n">
        <v>2.93</v>
      </c>
      <c r="AR531" s="37" t="n">
        <v>2.9</v>
      </c>
      <c r="AS531" s="37" t="n">
        <v>2.12</v>
      </c>
      <c r="AT531" s="37" t="n">
        <v>3.69</v>
      </c>
      <c r="AU531" s="37" t="n">
        <v>3.23</v>
      </c>
      <c r="AV531" s="37" t="n">
        <v>3</v>
      </c>
      <c r="AW531" s="37" t="n">
        <v>2.89</v>
      </c>
      <c r="AX531" s="37" t="n">
        <v>2.88</v>
      </c>
      <c r="AY531" s="37" t="n">
        <v>2.88</v>
      </c>
      <c r="AZ531" s="37" t="n">
        <v>2.13</v>
      </c>
      <c r="BA531" s="37" t="n">
        <v>3.45</v>
      </c>
      <c r="BB531" s="37" t="n">
        <v>3.1</v>
      </c>
      <c r="BC531" s="37" t="n">
        <v>1.85</v>
      </c>
      <c r="BD531" s="37" t="n">
        <v>2.83</v>
      </c>
      <c r="BE531" s="37" t="n">
        <v>3.12</v>
      </c>
      <c r="BF531" s="37" t="n">
        <v>3.06</v>
      </c>
      <c r="BG531" s="37" t="n">
        <v>2.24</v>
      </c>
      <c r="BH531" s="37" t="n">
        <v>3.68</v>
      </c>
      <c r="BI531" s="37" t="n">
        <v>3.1</v>
      </c>
      <c r="BJ531" s="37" t="n">
        <v>2.74</v>
      </c>
      <c r="BK531" s="37" t="n">
        <v>3.12</v>
      </c>
      <c r="BL531" s="37" t="n">
        <v>3.12</v>
      </c>
      <c r="BM531" s="37" t="n">
        <v>3.06</v>
      </c>
      <c r="BN531" s="37" t="n">
        <v>2.24</v>
      </c>
      <c r="BO531" s="37" t="n">
        <v>3.68</v>
      </c>
      <c r="BP531" s="37" t="n">
        <v>3.1</v>
      </c>
      <c r="BQ531" s="37" t="n">
        <v>3.07</v>
      </c>
      <c r="BR531" s="37" t="n">
        <v>3.12</v>
      </c>
      <c r="BS531" s="37" t="n">
        <v>3.12</v>
      </c>
      <c r="BT531" s="37" t="n">
        <v>3.06</v>
      </c>
      <c r="BU531" s="37" t="n">
        <v>2.24</v>
      </c>
      <c r="BV531" s="37" t="n">
        <v>3.68</v>
      </c>
      <c r="BW531" s="37" t="n">
        <v>3.1</v>
      </c>
      <c r="BX531" s="37" t="n">
        <v>3.07</v>
      </c>
      <c r="BY531" s="37" t="n">
        <v>3.12</v>
      </c>
      <c r="BZ531" s="37" t="n">
        <v>3.12</v>
      </c>
      <c r="CA531" s="37" t="n">
        <v>3.06</v>
      </c>
      <c r="CB531" s="37" t="n">
        <v>2.24</v>
      </c>
      <c r="CC531" s="37" t="n">
        <v>200.4800000000001</v>
      </c>
    </row>
    <row r="532" ht="15.75" customHeight="1" s="57">
      <c r="A532" s="7" t="inlineStr">
        <is>
          <t>NTB</t>
        </is>
      </c>
      <c r="B532" s="7" t="inlineStr">
        <is>
          <t>Ninh Thuận</t>
        </is>
      </c>
      <c r="C532" s="7" t="n">
        <v>21163000</v>
      </c>
      <c r="D532" s="7" t="inlineStr">
        <is>
          <t>Kho Giao Hàng Nặng - Phan Rang - Ninh Thuận</t>
        </is>
      </c>
      <c r="E532" s="7" t="inlineStr">
        <is>
          <t>TTS-Bulky</t>
        </is>
      </c>
      <c r="F532" s="36" t="n">
        <v>3</v>
      </c>
      <c r="G532" s="36" t="n">
        <v>3</v>
      </c>
      <c r="H532" s="36" t="n">
        <v>5</v>
      </c>
      <c r="I532" s="36" t="n">
        <v>5</v>
      </c>
      <c r="J532" s="36" t="n">
        <v>3</v>
      </c>
      <c r="K532" s="28" t="n">
        <v>2</v>
      </c>
      <c r="L532" s="36" t="n">
        <v>0</v>
      </c>
      <c r="M532" s="36" t="n">
        <v>2</v>
      </c>
      <c r="N532" s="36" t="n">
        <v>6</v>
      </c>
      <c r="O532" s="36" t="n">
        <v>2</v>
      </c>
      <c r="P532" s="36" t="n">
        <v>3</v>
      </c>
      <c r="Q532" s="36" t="n">
        <v>1</v>
      </c>
      <c r="R532" s="28" t="n">
        <v>3</v>
      </c>
      <c r="S532" s="36" t="n">
        <v>4</v>
      </c>
      <c r="T532" s="36" t="n">
        <v>7</v>
      </c>
      <c r="U532" s="36" t="n">
        <v>12.89</v>
      </c>
      <c r="V532" s="36" t="n">
        <v>14.27</v>
      </c>
      <c r="W532" s="36" t="n">
        <v>6.67</v>
      </c>
      <c r="X532" s="36" t="n">
        <v>5.52</v>
      </c>
      <c r="Y532" s="28" t="n">
        <v>5.98</v>
      </c>
      <c r="Z532" s="36" t="n">
        <v>5.52</v>
      </c>
      <c r="AA532" s="36" t="n">
        <v>7.13</v>
      </c>
      <c r="AB532" s="36" t="n">
        <v>6.9</v>
      </c>
      <c r="AC532" s="36" t="n">
        <v>7.59</v>
      </c>
      <c r="AD532" s="36" t="n">
        <v>4.6</v>
      </c>
      <c r="AE532" s="36" t="n">
        <v>6.44</v>
      </c>
      <c r="AF532" s="28" t="n">
        <v>7.36</v>
      </c>
      <c r="AG532" s="36" t="n">
        <v>6.44</v>
      </c>
      <c r="AH532" s="37" t="n">
        <v>6.44</v>
      </c>
      <c r="AI532" s="37" t="n">
        <v>5.52</v>
      </c>
      <c r="AJ532" s="37" t="n">
        <v>7.36</v>
      </c>
      <c r="AK532" s="37" t="n">
        <v>6.67</v>
      </c>
      <c r="AL532" s="37" t="n">
        <v>5.52</v>
      </c>
      <c r="AM532" s="37" t="n">
        <v>7.13</v>
      </c>
      <c r="AN532" s="37" t="n">
        <v>6.44</v>
      </c>
      <c r="AO532" s="37" t="n">
        <v>6.67</v>
      </c>
      <c r="AP532" s="37" t="n">
        <v>6.67</v>
      </c>
      <c r="AQ532" s="37" t="n">
        <v>7.36</v>
      </c>
      <c r="AR532" s="37" t="n">
        <v>6.67</v>
      </c>
      <c r="AS532" s="37" t="n">
        <v>5.52</v>
      </c>
      <c r="AT532" s="37" t="n">
        <v>7.36</v>
      </c>
      <c r="AU532" s="37" t="n">
        <v>7.36</v>
      </c>
      <c r="AV532" s="37" t="n">
        <v>6.67</v>
      </c>
      <c r="AW532" s="37" t="n">
        <v>6.67</v>
      </c>
      <c r="AX532" s="37" t="n">
        <v>6.9</v>
      </c>
      <c r="AY532" s="37" t="n">
        <v>6.67</v>
      </c>
      <c r="AZ532" s="37" t="n">
        <v>5.52</v>
      </c>
      <c r="BA532" s="37" t="n">
        <v>6.9</v>
      </c>
      <c r="BB532" s="37" t="n">
        <v>1.84</v>
      </c>
      <c r="BC532" s="37" t="n">
        <v>0.46</v>
      </c>
      <c r="BD532" s="37" t="n">
        <v>1.61</v>
      </c>
      <c r="BE532" s="37" t="n">
        <v>1.84</v>
      </c>
      <c r="BF532" s="37" t="n">
        <v>1.84</v>
      </c>
      <c r="BG532" s="37" t="n">
        <v>1.61</v>
      </c>
      <c r="BH532" s="37" t="n">
        <v>1.84</v>
      </c>
      <c r="BI532" s="37" t="n">
        <v>1.84</v>
      </c>
      <c r="BJ532" s="37" t="n">
        <v>1.15</v>
      </c>
      <c r="BK532" s="37" t="n">
        <v>1.84</v>
      </c>
      <c r="BL532" s="37" t="n">
        <v>1.84</v>
      </c>
      <c r="BM532" s="37" t="n">
        <v>1.84</v>
      </c>
      <c r="BN532" s="37" t="n">
        <v>1.61</v>
      </c>
      <c r="BO532" s="37" t="n">
        <v>1.84</v>
      </c>
      <c r="BP532" s="37" t="n">
        <v>1.84</v>
      </c>
      <c r="BQ532" s="37" t="n">
        <v>1.84</v>
      </c>
      <c r="BR532" s="37" t="n">
        <v>1.84</v>
      </c>
      <c r="BS532" s="37" t="n">
        <v>1.84</v>
      </c>
      <c r="BT532" s="37" t="n">
        <v>1.84</v>
      </c>
      <c r="BU532" s="37" t="n">
        <v>1.38</v>
      </c>
      <c r="BV532" s="37" t="n">
        <v>1.84</v>
      </c>
      <c r="BW532" s="37" t="n">
        <v>1.84</v>
      </c>
      <c r="BX532" s="37" t="n">
        <v>1.84</v>
      </c>
      <c r="BY532" s="37" t="n">
        <v>1.84</v>
      </c>
      <c r="BZ532" s="37" t="n">
        <v>1.84</v>
      </c>
      <c r="CA532" s="37" t="n">
        <v>1.84</v>
      </c>
      <c r="CB532" s="37" t="n">
        <v>1.38</v>
      </c>
      <c r="CC532" s="37" t="n">
        <v>324.3299999999995</v>
      </c>
    </row>
    <row r="533" ht="15.75" customHeight="1" s="57">
      <c r="A533" s="7" t="inlineStr">
        <is>
          <t>NTB</t>
        </is>
      </c>
      <c r="B533" s="7" t="inlineStr">
        <is>
          <t>Ninh Thuận</t>
        </is>
      </c>
      <c r="C533" s="7" t="n">
        <v>22357000</v>
      </c>
      <c r="D533" s="7" t="inlineStr">
        <is>
          <t>(NTH) Thuận Nam</t>
        </is>
      </c>
      <c r="E533" s="7" t="inlineStr">
        <is>
          <t>SME</t>
        </is>
      </c>
      <c r="F533" s="36" t="n">
        <v>134</v>
      </c>
      <c r="G533" s="36" t="n">
        <v>152</v>
      </c>
      <c r="H533" s="36" t="n">
        <v>130</v>
      </c>
      <c r="I533" s="36" t="n">
        <v>112</v>
      </c>
      <c r="J533" s="36" t="n">
        <v>163</v>
      </c>
      <c r="K533" s="28" t="n">
        <v>166</v>
      </c>
      <c r="L533" s="36" t="n">
        <v>120</v>
      </c>
      <c r="M533" s="36" t="n">
        <v>125</v>
      </c>
      <c r="N533" s="36" t="n">
        <v>144</v>
      </c>
      <c r="O533" s="36" t="n">
        <v>86</v>
      </c>
      <c r="P533" s="36" t="n">
        <v>107</v>
      </c>
      <c r="Q533" s="36" t="n">
        <v>106</v>
      </c>
      <c r="R533" s="28" t="n">
        <v>142</v>
      </c>
      <c r="S533" s="36" t="n">
        <v>102</v>
      </c>
      <c r="T533" s="36" t="n">
        <v>120</v>
      </c>
      <c r="U533" s="36" t="n">
        <v>144.32</v>
      </c>
      <c r="V533" s="36" t="n">
        <v>149.68</v>
      </c>
      <c r="W533" s="36" t="n">
        <v>145.76</v>
      </c>
      <c r="X533" s="36" t="n">
        <v>118.7</v>
      </c>
      <c r="Y533" s="28" t="n">
        <v>161.14</v>
      </c>
      <c r="Z533" s="36" t="n">
        <v>148.56</v>
      </c>
      <c r="AA533" s="36" t="n">
        <v>144.98</v>
      </c>
      <c r="AB533" s="36" t="n">
        <v>144.32</v>
      </c>
      <c r="AC533" s="36" t="n">
        <v>149.68</v>
      </c>
      <c r="AD533" s="36" t="n">
        <v>155.04</v>
      </c>
      <c r="AE533" s="36" t="n">
        <v>118.7</v>
      </c>
      <c r="AF533" s="28" t="n">
        <v>161.14</v>
      </c>
      <c r="AG533" s="36" t="n">
        <v>148.56</v>
      </c>
      <c r="AH533" s="37" t="n">
        <v>144.98</v>
      </c>
      <c r="AI533" s="37" t="n">
        <v>144.32</v>
      </c>
      <c r="AJ533" s="37" t="n">
        <v>149.68</v>
      </c>
      <c r="AK533" s="37" t="n">
        <v>145.76</v>
      </c>
      <c r="AL533" s="37" t="n">
        <v>118.7</v>
      </c>
      <c r="AM533" s="37" t="n">
        <v>161.14</v>
      </c>
      <c r="AN533" s="37" t="n">
        <v>148.56</v>
      </c>
      <c r="AO533" s="37" t="n">
        <v>144.98</v>
      </c>
      <c r="AP533" s="37" t="n">
        <v>144.32</v>
      </c>
      <c r="AQ533" s="37" t="n">
        <v>149.68</v>
      </c>
      <c r="AR533" s="37" t="n">
        <v>145.76</v>
      </c>
      <c r="AS533" s="37" t="n">
        <v>118.7</v>
      </c>
      <c r="AT533" s="37" t="n">
        <v>161.14</v>
      </c>
      <c r="AU533" s="37" t="n">
        <v>148.56</v>
      </c>
      <c r="AV533" s="37" t="n">
        <v>144.98</v>
      </c>
      <c r="AW533" s="37" t="n">
        <v>144.32</v>
      </c>
      <c r="AX533" s="37" t="n">
        <v>149.68</v>
      </c>
      <c r="AY533" s="37" t="n">
        <v>145.76</v>
      </c>
      <c r="AZ533" s="37" t="n">
        <v>118.7</v>
      </c>
      <c r="BA533" s="37" t="n">
        <v>145.12</v>
      </c>
      <c r="BB533" s="37" t="n">
        <v>130.25</v>
      </c>
      <c r="BC533" s="37" t="n">
        <v>82</v>
      </c>
      <c r="BD533" s="37" t="n">
        <v>81.63000000000001</v>
      </c>
      <c r="BE533" s="37" t="n">
        <v>138.8</v>
      </c>
      <c r="BF533" s="37" t="n">
        <v>134.98</v>
      </c>
      <c r="BG533" s="37" t="n">
        <v>122.5</v>
      </c>
      <c r="BH533" s="37" t="n">
        <v>166.07</v>
      </c>
      <c r="BI533" s="37" t="n">
        <v>153.18</v>
      </c>
      <c r="BJ533" s="37" t="n">
        <v>159.26</v>
      </c>
      <c r="BK533" s="37" t="n">
        <v>148.87</v>
      </c>
      <c r="BL533" s="37" t="n">
        <v>154.31</v>
      </c>
      <c r="BM533" s="37" t="n">
        <v>150.3</v>
      </c>
      <c r="BN533" s="37" t="n">
        <v>122.5</v>
      </c>
      <c r="BO533" s="37" t="n">
        <v>166.07</v>
      </c>
      <c r="BP533" s="37" t="n">
        <v>153.18</v>
      </c>
      <c r="BQ533" s="37" t="n">
        <v>149.52</v>
      </c>
      <c r="BR533" s="37" t="n">
        <v>148.87</v>
      </c>
      <c r="BS533" s="37" t="n">
        <v>154.31</v>
      </c>
      <c r="BT533" s="37" t="n">
        <v>150.3</v>
      </c>
      <c r="BU533" s="37" t="n">
        <v>122.5</v>
      </c>
      <c r="BV533" s="37" t="n">
        <v>166.07</v>
      </c>
      <c r="BW533" s="37" t="n">
        <v>153.18</v>
      </c>
      <c r="BX533" s="37" t="n">
        <v>149.52</v>
      </c>
      <c r="BY533" s="37" t="n">
        <v>148.87</v>
      </c>
      <c r="BZ533" s="37" t="n">
        <v>154.31</v>
      </c>
      <c r="CA533" s="37" t="n">
        <v>150.3</v>
      </c>
      <c r="CB533" s="37" t="n">
        <v>122.5</v>
      </c>
      <c r="CC533" s="37" t="n">
        <v>10508.57</v>
      </c>
    </row>
    <row r="534" ht="15.75" customHeight="1" s="57">
      <c r="A534" s="7" t="inlineStr">
        <is>
          <t>NTB</t>
        </is>
      </c>
      <c r="B534" s="7" t="inlineStr">
        <is>
          <t>Ninh Thuận</t>
        </is>
      </c>
      <c r="C534" s="7" t="n">
        <v>22357000</v>
      </c>
      <c r="D534" s="7" t="inlineStr">
        <is>
          <t>(NTH) Thuận Nam</t>
        </is>
      </c>
      <c r="E534" s="7" t="inlineStr">
        <is>
          <t>SME-Bulky</t>
        </is>
      </c>
      <c r="F534" s="36" t="n">
        <v>4</v>
      </c>
      <c r="G534" s="36" t="n">
        <v>4</v>
      </c>
      <c r="H534" s="36" t="n">
        <v>14</v>
      </c>
      <c r="I534" s="36" t="n">
        <v>5</v>
      </c>
      <c r="J534" s="36" t="n">
        <v>14</v>
      </c>
      <c r="K534" s="28" t="n">
        <v>6</v>
      </c>
      <c r="L534" s="36" t="n">
        <v>7</v>
      </c>
      <c r="M534" s="36" t="n">
        <v>11</v>
      </c>
      <c r="N534" s="36" t="n">
        <v>8</v>
      </c>
      <c r="O534" s="36" t="n">
        <v>7</v>
      </c>
      <c r="P534" s="36" t="n">
        <v>3</v>
      </c>
      <c r="Q534" s="36" t="n">
        <v>5</v>
      </c>
      <c r="R534" s="28" t="n">
        <v>11</v>
      </c>
      <c r="S534" s="36" t="n">
        <v>4</v>
      </c>
      <c r="T534" s="36" t="n">
        <v>7</v>
      </c>
      <c r="U534" s="36" t="n">
        <v>6.22</v>
      </c>
      <c r="V534" s="36" t="n">
        <v>6.28</v>
      </c>
      <c r="W534" s="36" t="n">
        <v>5.95</v>
      </c>
      <c r="X534" s="36" t="n">
        <v>3.54</v>
      </c>
      <c r="Y534" s="28" t="n">
        <v>7.08</v>
      </c>
      <c r="Z534" s="36" t="n">
        <v>6.65</v>
      </c>
      <c r="AA534" s="36" t="n">
        <v>6.49</v>
      </c>
      <c r="AB534" s="36" t="n">
        <v>6.22</v>
      </c>
      <c r="AC534" s="36" t="n">
        <v>6.28</v>
      </c>
      <c r="AD534" s="36" t="n">
        <v>6.01</v>
      </c>
      <c r="AE534" s="36" t="n">
        <v>3.54</v>
      </c>
      <c r="AF534" s="28" t="n">
        <v>7.08</v>
      </c>
      <c r="AG534" s="36" t="n">
        <v>6.65</v>
      </c>
      <c r="AH534" s="37" t="n">
        <v>6.49</v>
      </c>
      <c r="AI534" s="37" t="n">
        <v>6.22</v>
      </c>
      <c r="AJ534" s="37" t="n">
        <v>6.28</v>
      </c>
      <c r="AK534" s="37" t="n">
        <v>5.95</v>
      </c>
      <c r="AL534" s="37" t="n">
        <v>3.54</v>
      </c>
      <c r="AM534" s="37" t="n">
        <v>7.08</v>
      </c>
      <c r="AN534" s="37" t="n">
        <v>6.65</v>
      </c>
      <c r="AO534" s="37" t="n">
        <v>6.49</v>
      </c>
      <c r="AP534" s="37" t="n">
        <v>6.22</v>
      </c>
      <c r="AQ534" s="37" t="n">
        <v>6.28</v>
      </c>
      <c r="AR534" s="37" t="n">
        <v>5.95</v>
      </c>
      <c r="AS534" s="37" t="n">
        <v>3.54</v>
      </c>
      <c r="AT534" s="37" t="n">
        <v>7.08</v>
      </c>
      <c r="AU534" s="37" t="n">
        <v>6.65</v>
      </c>
      <c r="AV534" s="37" t="n">
        <v>6.49</v>
      </c>
      <c r="AW534" s="37" t="n">
        <v>6.22</v>
      </c>
      <c r="AX534" s="37" t="n">
        <v>6.28</v>
      </c>
      <c r="AY534" s="37" t="n">
        <v>5.95</v>
      </c>
      <c r="AZ534" s="37" t="n">
        <v>3.54</v>
      </c>
      <c r="BA534" s="37" t="n">
        <v>7.03</v>
      </c>
      <c r="BB534" s="37" t="n">
        <v>3.54</v>
      </c>
      <c r="BC534" s="37" t="n">
        <v>1.5</v>
      </c>
      <c r="BD534" s="37" t="n">
        <v>1.34</v>
      </c>
      <c r="BE534" s="37" t="n">
        <v>2.74</v>
      </c>
      <c r="BF534" s="37" t="n">
        <v>2.79</v>
      </c>
      <c r="BG534" s="37" t="n">
        <v>2.04</v>
      </c>
      <c r="BH534" s="37" t="n">
        <v>4.08</v>
      </c>
      <c r="BI534" s="37" t="n">
        <v>3.97</v>
      </c>
      <c r="BJ534" s="37" t="n">
        <v>4.02</v>
      </c>
      <c r="BK534" s="37" t="n">
        <v>3.59</v>
      </c>
      <c r="BL534" s="37" t="n">
        <v>3.7</v>
      </c>
      <c r="BM534" s="37" t="n">
        <v>3.49</v>
      </c>
      <c r="BN534" s="37" t="n">
        <v>2.04</v>
      </c>
      <c r="BO534" s="37" t="n">
        <v>4.08</v>
      </c>
      <c r="BP534" s="37" t="n">
        <v>3.97</v>
      </c>
      <c r="BQ534" s="37" t="n">
        <v>3.75</v>
      </c>
      <c r="BR534" s="37" t="n">
        <v>3.59</v>
      </c>
      <c r="BS534" s="37" t="n">
        <v>3.7</v>
      </c>
      <c r="BT534" s="37" t="n">
        <v>3.49</v>
      </c>
      <c r="BU534" s="37" t="n">
        <v>2.04</v>
      </c>
      <c r="BV534" s="37" t="n">
        <v>4.08</v>
      </c>
      <c r="BW534" s="37" t="n">
        <v>3.97</v>
      </c>
      <c r="BX534" s="37" t="n">
        <v>3.75</v>
      </c>
      <c r="BY534" s="37" t="n">
        <v>3.59</v>
      </c>
      <c r="BZ534" s="37" t="n">
        <v>3.7</v>
      </c>
      <c r="CA534" s="37" t="n">
        <v>3.49</v>
      </c>
      <c r="CB534" s="37" t="n">
        <v>2.04</v>
      </c>
      <c r="CC534" s="37" t="n">
        <v>396</v>
      </c>
    </row>
    <row r="535" ht="15.75" customHeight="1" s="57">
      <c r="A535" s="7" t="inlineStr">
        <is>
          <t>NTB</t>
        </is>
      </c>
      <c r="B535" s="7" t="inlineStr">
        <is>
          <t>Ninh Thuận</t>
        </is>
      </c>
      <c r="C535" s="7" t="n">
        <v>22357000</v>
      </c>
      <c r="D535" s="7" t="inlineStr">
        <is>
          <t>(NTH) Thuận Nam</t>
        </is>
      </c>
      <c r="E535" s="7" t="inlineStr">
        <is>
          <t>Shopee</t>
        </is>
      </c>
      <c r="F535" s="36" t="n">
        <v>131</v>
      </c>
      <c r="G535" s="36" t="n">
        <v>140</v>
      </c>
      <c r="H535" s="36" t="n">
        <v>103</v>
      </c>
      <c r="I535" s="36" t="n">
        <v>82</v>
      </c>
      <c r="J535" s="36" t="n">
        <v>175</v>
      </c>
      <c r="K535" s="28" t="n">
        <v>99</v>
      </c>
      <c r="L535" s="36" t="n">
        <v>81</v>
      </c>
      <c r="M535" s="36" t="n">
        <v>147</v>
      </c>
      <c r="N535" s="36" t="n">
        <v>162</v>
      </c>
      <c r="O535" s="36" t="n">
        <v>123</v>
      </c>
      <c r="P535" s="36" t="n">
        <v>95</v>
      </c>
      <c r="Q535" s="36" t="n">
        <v>85</v>
      </c>
      <c r="R535" s="28" t="n">
        <v>89</v>
      </c>
      <c r="S535" s="36" t="n">
        <v>89</v>
      </c>
      <c r="T535" s="36" t="n">
        <v>113</v>
      </c>
      <c r="U535" s="36" t="n">
        <v>122.99</v>
      </c>
      <c r="V535" s="36" t="n">
        <v>123.39</v>
      </c>
      <c r="W535" s="36" t="n">
        <v>121.73</v>
      </c>
      <c r="X535" s="36" t="n">
        <v>99.52</v>
      </c>
      <c r="Y535" s="28" t="n">
        <v>165.97</v>
      </c>
      <c r="Z535" s="36" t="n">
        <v>131.48</v>
      </c>
      <c r="AA535" s="36" t="n">
        <v>180.88</v>
      </c>
      <c r="AB535" s="36" t="n">
        <v>125.37</v>
      </c>
      <c r="AC535" s="36" t="n">
        <v>101.66</v>
      </c>
      <c r="AD535" s="36" t="n">
        <v>264.23</v>
      </c>
      <c r="AE535" s="36" t="n">
        <v>106.18</v>
      </c>
      <c r="AF535" s="28" t="n">
        <v>189.05</v>
      </c>
      <c r="AG535" s="36" t="n">
        <v>138.14</v>
      </c>
      <c r="AH535" s="37" t="n">
        <v>146.07</v>
      </c>
      <c r="AI535" s="37" t="n">
        <v>122.99</v>
      </c>
      <c r="AJ535" s="37" t="n">
        <v>123.39</v>
      </c>
      <c r="AK535" s="37" t="n">
        <v>164.47</v>
      </c>
      <c r="AL535" s="37" t="n">
        <v>177.95</v>
      </c>
      <c r="AM535" s="37" t="n">
        <v>165.97</v>
      </c>
      <c r="AN535" s="37" t="n">
        <v>131.48</v>
      </c>
      <c r="AO535" s="37" t="n">
        <v>146.07</v>
      </c>
      <c r="AP535" s="37" t="n">
        <v>154</v>
      </c>
      <c r="AQ535" s="37" t="n">
        <v>99.52</v>
      </c>
      <c r="AR535" s="37" t="n">
        <v>121.73</v>
      </c>
      <c r="AS535" s="37" t="n">
        <v>99.52</v>
      </c>
      <c r="AT535" s="37" t="n">
        <v>165.97</v>
      </c>
      <c r="AU535" s="37" t="n">
        <v>134.18</v>
      </c>
      <c r="AV535" s="37" t="n">
        <v>148.69</v>
      </c>
      <c r="AW535" s="37" t="n">
        <v>122.99</v>
      </c>
      <c r="AX535" s="37" t="n">
        <v>123.39</v>
      </c>
      <c r="AY535" s="37" t="n">
        <v>121.73</v>
      </c>
      <c r="AZ535" s="37" t="n">
        <v>99.52</v>
      </c>
      <c r="BA535" s="37" t="n">
        <v>127.91</v>
      </c>
      <c r="BB535" s="37" t="n">
        <v>111.18</v>
      </c>
      <c r="BC535" s="37" t="n">
        <v>56.94</v>
      </c>
      <c r="BD535" s="37" t="n">
        <v>101.03</v>
      </c>
      <c r="BE535" s="37" t="n">
        <v>117.6</v>
      </c>
      <c r="BF535" s="37" t="n">
        <v>116.02</v>
      </c>
      <c r="BG535" s="37" t="n">
        <v>96.59</v>
      </c>
      <c r="BH535" s="37" t="n">
        <v>158.12</v>
      </c>
      <c r="BI535" s="37" t="n">
        <v>103.01</v>
      </c>
      <c r="BJ535" s="37" t="n">
        <v>374.45</v>
      </c>
      <c r="BK535" s="37" t="n">
        <v>125.93</v>
      </c>
      <c r="BL535" s="37" t="n">
        <v>123.87</v>
      </c>
      <c r="BM535" s="37" t="n">
        <v>116.02</v>
      </c>
      <c r="BN535" s="37" t="n">
        <v>94.84</v>
      </c>
      <c r="BO535" s="37" t="n">
        <v>158.12</v>
      </c>
      <c r="BP535" s="37" t="n">
        <v>168.83</v>
      </c>
      <c r="BQ535" s="37" t="n">
        <v>249.32</v>
      </c>
      <c r="BR535" s="37" t="n">
        <v>117.28</v>
      </c>
      <c r="BS535" s="37" t="n">
        <v>117.6</v>
      </c>
      <c r="BT535" s="37" t="n">
        <v>116.02</v>
      </c>
      <c r="BU535" s="37" t="n">
        <v>117.76</v>
      </c>
      <c r="BV535" s="37" t="n">
        <v>127.04</v>
      </c>
      <c r="BW535" s="37" t="n">
        <v>125.37</v>
      </c>
      <c r="BX535" s="37" t="n">
        <v>139.17</v>
      </c>
      <c r="BY535" s="37" t="n">
        <v>117.28</v>
      </c>
      <c r="BZ535" s="37" t="n">
        <v>120.14</v>
      </c>
      <c r="CA535" s="37" t="n">
        <v>118.16</v>
      </c>
      <c r="CB535" s="37" t="n">
        <v>94.84</v>
      </c>
      <c r="CC535" s="37" t="n">
        <v>9864.660000000003</v>
      </c>
    </row>
    <row r="536" ht="15.75" customHeight="1" s="57">
      <c r="A536" s="7" t="inlineStr">
        <is>
          <t>NTB</t>
        </is>
      </c>
      <c r="B536" s="7" t="inlineStr">
        <is>
          <t>Ninh Thuận</t>
        </is>
      </c>
      <c r="C536" s="7" t="n">
        <v>22357000</v>
      </c>
      <c r="D536" s="7" t="inlineStr">
        <is>
          <t>(NTH) Thuận Nam</t>
        </is>
      </c>
      <c r="E536" s="7" t="inlineStr">
        <is>
          <t>Shopee-Bulky</t>
        </is>
      </c>
      <c r="F536" s="36" t="n">
        <v>8.06</v>
      </c>
      <c r="G536" s="36" t="n">
        <v>11.78</v>
      </c>
      <c r="H536" s="36" t="n">
        <v>15.49</v>
      </c>
      <c r="I536" s="36" t="n">
        <v>19.21</v>
      </c>
      <c r="J536" s="36" t="n">
        <v>7.44</v>
      </c>
      <c r="K536" s="28" t="n">
        <v>8.06</v>
      </c>
      <c r="L536" s="36" t="n">
        <v>5.58</v>
      </c>
      <c r="M536" s="36" t="n">
        <v>11.16</v>
      </c>
      <c r="N536" s="36" t="n">
        <v>12.39</v>
      </c>
      <c r="O536" s="36" t="n">
        <v>9.300000000000001</v>
      </c>
      <c r="P536" s="36" t="n">
        <v>6.2</v>
      </c>
      <c r="Q536" s="36" t="n">
        <v>9.300000000000001</v>
      </c>
      <c r="R536" s="28" t="n">
        <v>14.25</v>
      </c>
      <c r="S536" s="36" t="n">
        <v>8.68</v>
      </c>
      <c r="T536" s="36" t="n">
        <v>12.39</v>
      </c>
      <c r="U536" s="36" t="n">
        <v>10.04</v>
      </c>
      <c r="V536" s="36" t="n">
        <v>9.539999999999999</v>
      </c>
      <c r="W536" s="36" t="n">
        <v>13.14</v>
      </c>
      <c r="X536" s="36" t="n">
        <v>7.27</v>
      </c>
      <c r="Y536" s="28" t="n">
        <v>15.29</v>
      </c>
      <c r="Z536" s="36" t="n">
        <v>11.88</v>
      </c>
      <c r="AA536" s="36" t="n">
        <v>11.43</v>
      </c>
      <c r="AB536" s="36" t="n">
        <v>11.88</v>
      </c>
      <c r="AC536" s="36" t="n">
        <v>11.81</v>
      </c>
      <c r="AD536" s="36" t="n">
        <v>38.35</v>
      </c>
      <c r="AE536" s="36" t="n">
        <v>19.27</v>
      </c>
      <c r="AF536" s="28" t="n">
        <v>30.07</v>
      </c>
      <c r="AG536" s="36" t="n">
        <v>17.5</v>
      </c>
      <c r="AH536" s="37" t="n">
        <v>11.81</v>
      </c>
      <c r="AI536" s="37" t="n">
        <v>11.56</v>
      </c>
      <c r="AJ536" s="37" t="n">
        <v>10.61</v>
      </c>
      <c r="AK536" s="37" t="n">
        <v>25.21</v>
      </c>
      <c r="AL536" s="37" t="n">
        <v>12.45</v>
      </c>
      <c r="AM536" s="37" t="n">
        <v>19.02</v>
      </c>
      <c r="AN536" s="37" t="n">
        <v>11.62</v>
      </c>
      <c r="AO536" s="37" t="n">
        <v>10.93</v>
      </c>
      <c r="AP536" s="37" t="n">
        <v>15.79</v>
      </c>
      <c r="AQ536" s="37" t="n">
        <v>14.97</v>
      </c>
      <c r="AR536" s="37" t="n">
        <v>12</v>
      </c>
      <c r="AS536" s="37" t="n">
        <v>6.57</v>
      </c>
      <c r="AT536" s="37" t="n">
        <v>13.84</v>
      </c>
      <c r="AU536" s="37" t="n">
        <v>22.55</v>
      </c>
      <c r="AV536" s="37" t="n">
        <v>23.88</v>
      </c>
      <c r="AW536" s="37" t="n">
        <v>10.99</v>
      </c>
      <c r="AX536" s="37" t="n">
        <v>10.11</v>
      </c>
      <c r="AY536" s="37" t="n">
        <v>11.56</v>
      </c>
      <c r="AZ536" s="37" t="n">
        <v>6.13</v>
      </c>
      <c r="BA536" s="37" t="n">
        <v>12.7</v>
      </c>
      <c r="BB536" s="37" t="n">
        <v>11.31</v>
      </c>
      <c r="BC536" s="37" t="n">
        <v>3.47</v>
      </c>
      <c r="BD536" s="37" t="n">
        <v>9.98</v>
      </c>
      <c r="BE536" s="37" t="n">
        <v>11.94</v>
      </c>
      <c r="BF536" s="37" t="n">
        <v>10.42</v>
      </c>
      <c r="BG536" s="37" t="n">
        <v>8.529999999999999</v>
      </c>
      <c r="BH536" s="37" t="n">
        <v>16.62</v>
      </c>
      <c r="BI536" s="37" t="n">
        <v>13.9</v>
      </c>
      <c r="BJ536" s="37" t="n">
        <v>60.52</v>
      </c>
      <c r="BK536" s="37" t="n">
        <v>29.69</v>
      </c>
      <c r="BL536" s="37" t="n">
        <v>15.48</v>
      </c>
      <c r="BM536" s="37" t="n">
        <v>10.68</v>
      </c>
      <c r="BN536" s="37" t="n">
        <v>8.529999999999999</v>
      </c>
      <c r="BO536" s="37" t="n">
        <v>19.27</v>
      </c>
      <c r="BP536" s="37" t="n">
        <v>27.61</v>
      </c>
      <c r="BQ536" s="37" t="n">
        <v>20.34</v>
      </c>
      <c r="BR536" s="37" t="n">
        <v>12.76</v>
      </c>
      <c r="BS536" s="37" t="n">
        <v>11.94</v>
      </c>
      <c r="BT536" s="37" t="n">
        <v>10.42</v>
      </c>
      <c r="BU536" s="37" t="n">
        <v>12.45</v>
      </c>
      <c r="BV536" s="37" t="n">
        <v>17.44</v>
      </c>
      <c r="BW536" s="37" t="n">
        <v>13.9</v>
      </c>
      <c r="BX536" s="37" t="n">
        <v>13.01</v>
      </c>
      <c r="BY536" s="37" t="n">
        <v>12.76</v>
      </c>
      <c r="BZ536" s="37" t="n">
        <v>22.11</v>
      </c>
      <c r="CA536" s="37" t="n">
        <v>12.45</v>
      </c>
      <c r="CB536" s="37" t="n">
        <v>8.09</v>
      </c>
      <c r="CC536" s="37" t="n">
        <v>1066.68</v>
      </c>
    </row>
    <row r="537" ht="15.75" customHeight="1" s="57">
      <c r="A537" s="7" t="inlineStr">
        <is>
          <t>NTB</t>
        </is>
      </c>
      <c r="B537" s="7" t="inlineStr">
        <is>
          <t>Ninh Thuận</t>
        </is>
      </c>
      <c r="C537" s="7" t="n">
        <v>22357000</v>
      </c>
      <c r="D537" s="7" t="inlineStr">
        <is>
          <t>(NTH) Thuận Nam</t>
        </is>
      </c>
      <c r="E537" s="7" t="inlineStr">
        <is>
          <t>Shopee-Bulky (10-15kg)</t>
        </is>
      </c>
      <c r="F537" s="36" t="n">
        <v>4.94</v>
      </c>
      <c r="G537" s="36" t="n">
        <v>7.22</v>
      </c>
      <c r="H537" s="36" t="n">
        <v>9.51</v>
      </c>
      <c r="I537" s="36" t="n">
        <v>11.79</v>
      </c>
      <c r="J537" s="36" t="n">
        <v>4.56</v>
      </c>
      <c r="K537" s="28" t="n">
        <v>4.94</v>
      </c>
      <c r="L537" s="36" t="n">
        <v>3.42</v>
      </c>
      <c r="M537" s="36" t="n">
        <v>6.84</v>
      </c>
      <c r="N537" s="36" t="n">
        <v>7.61</v>
      </c>
      <c r="O537" s="36" t="n">
        <v>5.7</v>
      </c>
      <c r="P537" s="36" t="n">
        <v>3.8</v>
      </c>
      <c r="Q537" s="36" t="n">
        <v>5.7</v>
      </c>
      <c r="R537" s="28" t="n">
        <v>8.75</v>
      </c>
      <c r="S537" s="36" t="n">
        <v>5.32</v>
      </c>
      <c r="T537" s="36" t="n">
        <v>7.61</v>
      </c>
      <c r="U537" s="36" t="n">
        <v>6.63</v>
      </c>
      <c r="V537" s="36" t="n">
        <v>6.38</v>
      </c>
      <c r="W537" s="36" t="n">
        <v>8.09</v>
      </c>
      <c r="X537" s="36" t="n">
        <v>4.55</v>
      </c>
      <c r="Y537" s="28" t="n">
        <v>9.789999999999999</v>
      </c>
      <c r="Z537" s="36" t="n">
        <v>7.2</v>
      </c>
      <c r="AA537" s="36" t="n">
        <v>7.14</v>
      </c>
      <c r="AB537" s="36" t="n">
        <v>7.01</v>
      </c>
      <c r="AC537" s="36" t="n">
        <v>7.58</v>
      </c>
      <c r="AD537" s="36" t="n">
        <v>29</v>
      </c>
      <c r="AE537" s="36" t="n">
        <v>11.69</v>
      </c>
      <c r="AF537" s="28" t="n">
        <v>16.87</v>
      </c>
      <c r="AG537" s="36" t="n">
        <v>10.55</v>
      </c>
      <c r="AH537" s="37" t="n">
        <v>7.08</v>
      </c>
      <c r="AI537" s="37" t="n">
        <v>7.33</v>
      </c>
      <c r="AJ537" s="37" t="n">
        <v>6.7</v>
      </c>
      <c r="AK537" s="37" t="n">
        <v>15.98</v>
      </c>
      <c r="AL537" s="37" t="n">
        <v>7.52</v>
      </c>
      <c r="AM537" s="37" t="n">
        <v>12</v>
      </c>
      <c r="AN537" s="37" t="n">
        <v>7.14</v>
      </c>
      <c r="AO537" s="37" t="n">
        <v>6.82</v>
      </c>
      <c r="AP537" s="37" t="n">
        <v>9.41</v>
      </c>
      <c r="AQ537" s="37" t="n">
        <v>9.539999999999999</v>
      </c>
      <c r="AR537" s="37" t="n">
        <v>7.45</v>
      </c>
      <c r="AS537" s="37" t="n">
        <v>4.17</v>
      </c>
      <c r="AT537" s="37" t="n">
        <v>8.779999999999999</v>
      </c>
      <c r="AU537" s="37" t="n">
        <v>14.66</v>
      </c>
      <c r="AV537" s="37" t="n">
        <v>15.16</v>
      </c>
      <c r="AW537" s="37" t="n">
        <v>6.95</v>
      </c>
      <c r="AX537" s="37" t="n">
        <v>6.44</v>
      </c>
      <c r="AY537" s="37" t="n">
        <v>7.27</v>
      </c>
      <c r="AZ537" s="37" t="n">
        <v>3.92</v>
      </c>
      <c r="BA537" s="37" t="n">
        <v>7.96</v>
      </c>
      <c r="BB537" s="37" t="n">
        <v>7.01</v>
      </c>
      <c r="BC537" s="37" t="n">
        <v>2.02</v>
      </c>
      <c r="BD537" s="37" t="n">
        <v>5.94</v>
      </c>
      <c r="BE537" s="37" t="n">
        <v>7.64</v>
      </c>
      <c r="BF537" s="37" t="n">
        <v>6.38</v>
      </c>
      <c r="BG537" s="37" t="n">
        <v>5.18</v>
      </c>
      <c r="BH537" s="37" t="n">
        <v>10.36</v>
      </c>
      <c r="BI537" s="37" t="n">
        <v>8.529999999999999</v>
      </c>
      <c r="BJ537" s="37" t="n">
        <v>40.37</v>
      </c>
      <c r="BK537" s="37" t="n">
        <v>17.82</v>
      </c>
      <c r="BL537" s="37" t="n">
        <v>9.789999999999999</v>
      </c>
      <c r="BM537" s="37" t="n">
        <v>6.89</v>
      </c>
      <c r="BN537" s="37" t="n">
        <v>5.31</v>
      </c>
      <c r="BO537" s="37" t="n">
        <v>11.88</v>
      </c>
      <c r="BP537" s="37" t="n">
        <v>16.74</v>
      </c>
      <c r="BQ537" s="37" t="n">
        <v>12.38</v>
      </c>
      <c r="BR537" s="37" t="n">
        <v>7.96</v>
      </c>
      <c r="BS537" s="37" t="n">
        <v>7.64</v>
      </c>
      <c r="BT537" s="37" t="n">
        <v>6.38</v>
      </c>
      <c r="BU537" s="37" t="n">
        <v>7.77</v>
      </c>
      <c r="BV537" s="37" t="n">
        <v>10.61</v>
      </c>
      <c r="BW537" s="37" t="n">
        <v>8.529999999999999</v>
      </c>
      <c r="BX537" s="37" t="n">
        <v>8.02</v>
      </c>
      <c r="BY537" s="37" t="n">
        <v>7.96</v>
      </c>
      <c r="BZ537" s="37" t="n">
        <v>13.9</v>
      </c>
      <c r="CA537" s="37" t="n">
        <v>7.9</v>
      </c>
      <c r="CB537" s="37" t="n">
        <v>4.93</v>
      </c>
      <c r="CC537" s="37" t="n">
        <v>668.3099999999997</v>
      </c>
    </row>
    <row r="538" ht="15.75" customHeight="1" s="57">
      <c r="A538" s="7" t="inlineStr">
        <is>
          <t>NTB</t>
        </is>
      </c>
      <c r="B538" s="7" t="inlineStr">
        <is>
          <t>Ninh Thuận</t>
        </is>
      </c>
      <c r="C538" s="7" t="n">
        <v>22357000</v>
      </c>
      <c r="D538" s="7" t="inlineStr">
        <is>
          <t>(NTH) Thuận Nam</t>
        </is>
      </c>
      <c r="E538" s="7" t="inlineStr">
        <is>
          <t>TTS</t>
        </is>
      </c>
      <c r="F538" s="36" t="n">
        <v>160</v>
      </c>
      <c r="G538" s="36" t="n">
        <v>177</v>
      </c>
      <c r="H538" s="36" t="n">
        <v>104</v>
      </c>
      <c r="I538" s="36" t="n">
        <v>84</v>
      </c>
      <c r="J538" s="36" t="n">
        <v>172</v>
      </c>
      <c r="K538" s="28" t="n">
        <v>132</v>
      </c>
      <c r="L538" s="36" t="n">
        <v>97</v>
      </c>
      <c r="M538" s="36" t="n">
        <v>139</v>
      </c>
      <c r="N538" s="36" t="n">
        <v>144</v>
      </c>
      <c r="O538" s="36" t="n">
        <v>96</v>
      </c>
      <c r="P538" s="36" t="n">
        <v>129</v>
      </c>
      <c r="Q538" s="36" t="n">
        <v>142</v>
      </c>
      <c r="R538" s="28" t="n">
        <v>124</v>
      </c>
      <c r="S538" s="36" t="n">
        <v>128</v>
      </c>
      <c r="T538" s="36" t="n">
        <v>129</v>
      </c>
      <c r="U538" s="36" t="n">
        <v>97.81999999999999</v>
      </c>
      <c r="V538" s="36" t="n">
        <v>95.76000000000001</v>
      </c>
      <c r="W538" s="36" t="n">
        <v>93.71000000000001</v>
      </c>
      <c r="X538" s="36" t="n">
        <v>75.5</v>
      </c>
      <c r="Y538" s="28" t="n">
        <v>110.32</v>
      </c>
      <c r="Z538" s="36" t="n">
        <v>93.71000000000001</v>
      </c>
      <c r="AA538" s="36" t="n">
        <v>104.07</v>
      </c>
      <c r="AB538" s="36" t="n">
        <v>115.17</v>
      </c>
      <c r="AC538" s="36" t="n">
        <v>121.7</v>
      </c>
      <c r="AD538" s="36" t="n">
        <v>126.3</v>
      </c>
      <c r="AE538" s="36" t="n">
        <v>87.83</v>
      </c>
      <c r="AF538" s="28" t="n">
        <v>113.59</v>
      </c>
      <c r="AG538" s="36" t="n">
        <v>95.67</v>
      </c>
      <c r="AH538" s="37" t="n">
        <v>94.36</v>
      </c>
      <c r="AI538" s="37" t="n">
        <v>108.36</v>
      </c>
      <c r="AJ538" s="37" t="n">
        <v>115.64</v>
      </c>
      <c r="AK538" s="37" t="n">
        <v>114.24</v>
      </c>
      <c r="AL538" s="37" t="n">
        <v>81.67</v>
      </c>
      <c r="AM538" s="37" t="n">
        <v>111.99</v>
      </c>
      <c r="AN538" s="37" t="n">
        <v>96.78</v>
      </c>
      <c r="AO538" s="37" t="n">
        <v>96.13000000000001</v>
      </c>
      <c r="AP538" s="37" t="n">
        <v>92.96000000000001</v>
      </c>
      <c r="AQ538" s="37" t="n">
        <v>93.99000000000001</v>
      </c>
      <c r="AR538" s="37" t="n">
        <v>92.22</v>
      </c>
      <c r="AS538" s="37" t="n">
        <v>75.59</v>
      </c>
      <c r="AT538" s="37" t="n">
        <v>121.61</v>
      </c>
      <c r="AU538" s="37" t="n">
        <v>109.95</v>
      </c>
      <c r="AV538" s="37" t="n">
        <v>97.53999999999999</v>
      </c>
      <c r="AW538" s="37" t="n">
        <v>91.85000000000001</v>
      </c>
      <c r="AX538" s="37" t="n">
        <v>91.56</v>
      </c>
      <c r="AY538" s="37" t="n">
        <v>91.28</v>
      </c>
      <c r="AZ538" s="37" t="n">
        <v>75.69</v>
      </c>
      <c r="BA538" s="37" t="n">
        <v>109.48</v>
      </c>
      <c r="BB538" s="37" t="n">
        <v>102.66</v>
      </c>
      <c r="BC538" s="37" t="n">
        <v>61.04</v>
      </c>
      <c r="BD538" s="37" t="n">
        <v>88.58</v>
      </c>
      <c r="BE538" s="37" t="n">
        <v>103.88</v>
      </c>
      <c r="BF538" s="37" t="n">
        <v>100.98</v>
      </c>
      <c r="BG538" s="37" t="n">
        <v>81.67</v>
      </c>
      <c r="BH538" s="37" t="n">
        <v>121.14</v>
      </c>
      <c r="BI538" s="37" t="n">
        <v>102.66</v>
      </c>
      <c r="BJ538" s="37" t="n">
        <v>95.96000000000001</v>
      </c>
      <c r="BK538" s="37" t="n">
        <v>103.7</v>
      </c>
      <c r="BL538" s="37" t="n">
        <v>103.88</v>
      </c>
      <c r="BM538" s="37" t="n">
        <v>100.98</v>
      </c>
      <c r="BN538" s="37" t="n">
        <v>81.67</v>
      </c>
      <c r="BO538" s="37" t="n">
        <v>121.14</v>
      </c>
      <c r="BP538" s="37" t="n">
        <v>102.66</v>
      </c>
      <c r="BQ538" s="37" t="n">
        <v>101.17</v>
      </c>
      <c r="BR538" s="37" t="n">
        <v>103.7</v>
      </c>
      <c r="BS538" s="37" t="n">
        <v>103.88</v>
      </c>
      <c r="BT538" s="37" t="n">
        <v>100.98</v>
      </c>
      <c r="BU538" s="37" t="n">
        <v>81.67</v>
      </c>
      <c r="BV538" s="37" t="n">
        <v>121.14</v>
      </c>
      <c r="BW538" s="37" t="n">
        <v>102.66</v>
      </c>
      <c r="BX538" s="37" t="n">
        <v>101.17</v>
      </c>
      <c r="BY538" s="37" t="n">
        <v>103.7</v>
      </c>
      <c r="BZ538" s="37" t="n">
        <v>103.88</v>
      </c>
      <c r="CA538" s="37" t="n">
        <v>100.98</v>
      </c>
      <c r="CB538" s="37" t="n">
        <v>81.67</v>
      </c>
      <c r="CC538" s="37" t="n">
        <v>7930.239999999999</v>
      </c>
    </row>
    <row r="539" ht="15.75" customHeight="1" s="57">
      <c r="A539" s="7" t="inlineStr">
        <is>
          <t>NTB</t>
        </is>
      </c>
      <c r="B539" s="7" t="inlineStr">
        <is>
          <t>Ninh Thuận</t>
        </is>
      </c>
      <c r="C539" s="7" t="n">
        <v>22357000</v>
      </c>
      <c r="D539" s="7" t="inlineStr">
        <is>
          <t>(NTH) Thuận Nam</t>
        </is>
      </c>
      <c r="E539" s="7" t="inlineStr">
        <is>
          <t>TTS-Bulky</t>
        </is>
      </c>
      <c r="F539" s="36" t="n">
        <v>3</v>
      </c>
      <c r="G539" s="36" t="n">
        <v>1</v>
      </c>
      <c r="H539" s="36" t="n">
        <v>4</v>
      </c>
      <c r="I539" s="36" t="n">
        <v>1</v>
      </c>
      <c r="J539" s="36" t="n">
        <v>2</v>
      </c>
      <c r="K539" s="28" t="n">
        <v>0</v>
      </c>
      <c r="L539" s="36" t="n">
        <v>0</v>
      </c>
      <c r="M539" s="36" t="n">
        <v>1</v>
      </c>
      <c r="N539" s="36" t="n">
        <v>0</v>
      </c>
      <c r="O539" s="36" t="n">
        <v>1</v>
      </c>
      <c r="P539" s="36" t="n">
        <v>1</v>
      </c>
      <c r="Q539" s="36" t="n">
        <v>1</v>
      </c>
      <c r="R539" s="28" t="n">
        <v>1</v>
      </c>
      <c r="S539" s="36" t="n">
        <v>1</v>
      </c>
      <c r="T539" s="36" t="n">
        <v>1</v>
      </c>
      <c r="U539" s="36" t="n">
        <v>5.25</v>
      </c>
      <c r="V539" s="36" t="n">
        <v>5.81</v>
      </c>
      <c r="W539" s="36" t="n">
        <v>2.72</v>
      </c>
      <c r="X539" s="36" t="n">
        <v>2.25</v>
      </c>
      <c r="Y539" s="28" t="n">
        <v>2.44</v>
      </c>
      <c r="Z539" s="36" t="n">
        <v>2.25</v>
      </c>
      <c r="AA539" s="36" t="n">
        <v>2.9</v>
      </c>
      <c r="AB539" s="36" t="n">
        <v>2.81</v>
      </c>
      <c r="AC539" s="36" t="n">
        <v>3.09</v>
      </c>
      <c r="AD539" s="36" t="n">
        <v>1.87</v>
      </c>
      <c r="AE539" s="36" t="n">
        <v>2.62</v>
      </c>
      <c r="AF539" s="28" t="n">
        <v>3</v>
      </c>
      <c r="AG539" s="36" t="n">
        <v>2.62</v>
      </c>
      <c r="AH539" s="37" t="n">
        <v>2.62</v>
      </c>
      <c r="AI539" s="37" t="n">
        <v>2.25</v>
      </c>
      <c r="AJ539" s="37" t="n">
        <v>3</v>
      </c>
      <c r="AK539" s="37" t="n">
        <v>2.72</v>
      </c>
      <c r="AL539" s="37" t="n">
        <v>2.25</v>
      </c>
      <c r="AM539" s="37" t="n">
        <v>2.9</v>
      </c>
      <c r="AN539" s="37" t="n">
        <v>2.62</v>
      </c>
      <c r="AO539" s="37" t="n">
        <v>2.72</v>
      </c>
      <c r="AP539" s="37" t="n">
        <v>2.72</v>
      </c>
      <c r="AQ539" s="37" t="n">
        <v>3</v>
      </c>
      <c r="AR539" s="37" t="n">
        <v>2.72</v>
      </c>
      <c r="AS539" s="37" t="n">
        <v>2.25</v>
      </c>
      <c r="AT539" s="37" t="n">
        <v>3</v>
      </c>
      <c r="AU539" s="37" t="n">
        <v>3</v>
      </c>
      <c r="AV539" s="37" t="n">
        <v>2.72</v>
      </c>
      <c r="AW539" s="37" t="n">
        <v>2.72</v>
      </c>
      <c r="AX539" s="37" t="n">
        <v>2.81</v>
      </c>
      <c r="AY539" s="37" t="n">
        <v>2.72</v>
      </c>
      <c r="AZ539" s="37" t="n">
        <v>2.25</v>
      </c>
      <c r="BA539" s="37" t="n">
        <v>2.81</v>
      </c>
      <c r="BB539" s="37" t="n">
        <v>0.75</v>
      </c>
      <c r="BC539" s="37" t="n">
        <v>0.19</v>
      </c>
      <c r="BD539" s="37" t="n">
        <v>0.66</v>
      </c>
      <c r="BE539" s="37" t="n">
        <v>0.75</v>
      </c>
      <c r="BF539" s="37" t="n">
        <v>0.75</v>
      </c>
      <c r="BG539" s="37" t="n">
        <v>0.66</v>
      </c>
      <c r="BH539" s="37" t="n">
        <v>0.75</v>
      </c>
      <c r="BI539" s="37" t="n">
        <v>0.75</v>
      </c>
      <c r="BJ539" s="37" t="n">
        <v>0.47</v>
      </c>
      <c r="BK539" s="37" t="n">
        <v>0.75</v>
      </c>
      <c r="BL539" s="37" t="n">
        <v>0.75</v>
      </c>
      <c r="BM539" s="37" t="n">
        <v>0.75</v>
      </c>
      <c r="BN539" s="37" t="n">
        <v>0.66</v>
      </c>
      <c r="BO539" s="37" t="n">
        <v>0.75</v>
      </c>
      <c r="BP539" s="37" t="n">
        <v>0.75</v>
      </c>
      <c r="BQ539" s="37" t="n">
        <v>0.75</v>
      </c>
      <c r="BR539" s="37" t="n">
        <v>0.75</v>
      </c>
      <c r="BS539" s="37" t="n">
        <v>0.75</v>
      </c>
      <c r="BT539" s="37" t="n">
        <v>0.75</v>
      </c>
      <c r="BU539" s="37" t="n">
        <v>0.5600000000000001</v>
      </c>
      <c r="BV539" s="37" t="n">
        <v>0.75</v>
      </c>
      <c r="BW539" s="37" t="n">
        <v>0.75</v>
      </c>
      <c r="BX539" s="37" t="n">
        <v>0.75</v>
      </c>
      <c r="BY539" s="37" t="n">
        <v>0.75</v>
      </c>
      <c r="BZ539" s="37" t="n">
        <v>0.75</v>
      </c>
      <c r="CA539" s="37" t="n">
        <v>0.75</v>
      </c>
      <c r="CB539" s="37" t="n">
        <v>0.5600000000000001</v>
      </c>
      <c r="CC539" s="37" t="n">
        <v>130.19</v>
      </c>
    </row>
    <row r="540" ht="15.75" customHeight="1" s="57">
      <c r="A540" s="7" t="inlineStr">
        <is>
          <t>NTB</t>
        </is>
      </c>
      <c r="B540" s="7" t="inlineStr">
        <is>
          <t>Ninh Thuận</t>
        </is>
      </c>
      <c r="C540" s="7" t="n">
        <v>22861000</v>
      </c>
      <c r="D540" s="7" t="inlineStr">
        <is>
          <t>(NTH) Phan Rang</t>
        </is>
      </c>
      <c r="E540" s="7" t="inlineStr">
        <is>
          <t>SME</t>
        </is>
      </c>
      <c r="F540" s="36" t="n">
        <v>378</v>
      </c>
      <c r="G540" s="36" t="n">
        <v>514</v>
      </c>
      <c r="H540" s="36" t="n">
        <v>458</v>
      </c>
      <c r="I540" s="36" t="n">
        <v>386</v>
      </c>
      <c r="J540" s="36" t="n">
        <v>483</v>
      </c>
      <c r="K540" s="28" t="n">
        <v>464</v>
      </c>
      <c r="L540" s="36" t="n">
        <v>314</v>
      </c>
      <c r="M540" s="36" t="n">
        <v>346</v>
      </c>
      <c r="N540" s="36" t="n">
        <v>410</v>
      </c>
      <c r="O540" s="36" t="n">
        <v>396</v>
      </c>
      <c r="P540" s="36" t="n">
        <v>315</v>
      </c>
      <c r="Q540" s="36" t="n">
        <v>381</v>
      </c>
      <c r="R540" s="28" t="n">
        <v>365</v>
      </c>
      <c r="S540" s="36" t="n">
        <v>322</v>
      </c>
      <c r="T540" s="36" t="n">
        <v>390</v>
      </c>
      <c r="U540" s="36" t="n">
        <v>457.35</v>
      </c>
      <c r="V540" s="36" t="n">
        <v>474.31</v>
      </c>
      <c r="W540" s="36" t="n">
        <v>461.78</v>
      </c>
      <c r="X540" s="36" t="n">
        <v>376.19</v>
      </c>
      <c r="Y540" s="28" t="n">
        <v>510.7</v>
      </c>
      <c r="Z540" s="36" t="n">
        <v>470.72</v>
      </c>
      <c r="AA540" s="36" t="n">
        <v>459.39</v>
      </c>
      <c r="AB540" s="36" t="n">
        <v>457.35</v>
      </c>
      <c r="AC540" s="36" t="n">
        <v>474.31</v>
      </c>
      <c r="AD540" s="36" t="n">
        <v>490.91</v>
      </c>
      <c r="AE540" s="36" t="n">
        <v>376.19</v>
      </c>
      <c r="AF540" s="28" t="n">
        <v>510.7</v>
      </c>
      <c r="AG540" s="36" t="n">
        <v>470.72</v>
      </c>
      <c r="AH540" s="37" t="n">
        <v>459.39</v>
      </c>
      <c r="AI540" s="37" t="n">
        <v>457.35</v>
      </c>
      <c r="AJ540" s="37" t="n">
        <v>474.31</v>
      </c>
      <c r="AK540" s="37" t="n">
        <v>461.78</v>
      </c>
      <c r="AL540" s="37" t="n">
        <v>376.19</v>
      </c>
      <c r="AM540" s="37" t="n">
        <v>510.7</v>
      </c>
      <c r="AN540" s="37" t="n">
        <v>470.72</v>
      </c>
      <c r="AO540" s="37" t="n">
        <v>459.39</v>
      </c>
      <c r="AP540" s="37" t="n">
        <v>457.35</v>
      </c>
      <c r="AQ540" s="37" t="n">
        <v>474.31</v>
      </c>
      <c r="AR540" s="37" t="n">
        <v>461.78</v>
      </c>
      <c r="AS540" s="37" t="n">
        <v>376.19</v>
      </c>
      <c r="AT540" s="37" t="n">
        <v>510.7</v>
      </c>
      <c r="AU540" s="37" t="n">
        <v>470.72</v>
      </c>
      <c r="AV540" s="37" t="n">
        <v>459.39</v>
      </c>
      <c r="AW540" s="37" t="n">
        <v>457.35</v>
      </c>
      <c r="AX540" s="37" t="n">
        <v>474.31</v>
      </c>
      <c r="AY540" s="37" t="n">
        <v>461.78</v>
      </c>
      <c r="AZ540" s="37" t="n">
        <v>376.19</v>
      </c>
      <c r="BA540" s="37" t="n">
        <v>459.86</v>
      </c>
      <c r="BB540" s="37" t="n">
        <v>412.93</v>
      </c>
      <c r="BC540" s="37" t="n">
        <v>260.15</v>
      </c>
      <c r="BD540" s="37" t="n">
        <v>258.96</v>
      </c>
      <c r="BE540" s="37" t="n">
        <v>440.03</v>
      </c>
      <c r="BF540" s="37" t="n">
        <v>427.96</v>
      </c>
      <c r="BG540" s="37" t="n">
        <v>388.35</v>
      </c>
      <c r="BH540" s="37" t="n">
        <v>526.4400000000001</v>
      </c>
      <c r="BI540" s="37" t="n">
        <v>485.51</v>
      </c>
      <c r="BJ540" s="37" t="n">
        <v>504.28</v>
      </c>
      <c r="BK540" s="37" t="n">
        <v>471.89</v>
      </c>
      <c r="BL540" s="37" t="n">
        <v>489.08</v>
      </c>
      <c r="BM540" s="37" t="n">
        <v>476.33</v>
      </c>
      <c r="BN540" s="37" t="n">
        <v>388.35</v>
      </c>
      <c r="BO540" s="37" t="n">
        <v>526.4400000000001</v>
      </c>
      <c r="BP540" s="37" t="n">
        <v>485.51</v>
      </c>
      <c r="BQ540" s="37" t="n">
        <v>473.94</v>
      </c>
      <c r="BR540" s="37" t="n">
        <v>471.89</v>
      </c>
      <c r="BS540" s="37" t="n">
        <v>489.08</v>
      </c>
      <c r="BT540" s="37" t="n">
        <v>476.33</v>
      </c>
      <c r="BU540" s="37" t="n">
        <v>388.35</v>
      </c>
      <c r="BV540" s="37" t="n">
        <v>526.4400000000001</v>
      </c>
      <c r="BW540" s="37" t="n">
        <v>485.51</v>
      </c>
      <c r="BX540" s="37" t="n">
        <v>473.94</v>
      </c>
      <c r="BY540" s="37" t="n">
        <v>471.89</v>
      </c>
      <c r="BZ540" s="37" t="n">
        <v>489.08</v>
      </c>
      <c r="CA540" s="37" t="n">
        <v>476.33</v>
      </c>
      <c r="CB540" s="37" t="n">
        <v>388.35</v>
      </c>
      <c r="CC540" s="37" t="n">
        <v>33175.71999999999</v>
      </c>
    </row>
    <row r="541" ht="15.75" customHeight="1" s="57">
      <c r="A541" s="7" t="inlineStr">
        <is>
          <t>NTB</t>
        </is>
      </c>
      <c r="B541" s="7" t="inlineStr">
        <is>
          <t>Ninh Thuận</t>
        </is>
      </c>
      <c r="C541" s="7" t="n">
        <v>22861000</v>
      </c>
      <c r="D541" s="7" t="inlineStr">
        <is>
          <t>(NTH) Phan Rang</t>
        </is>
      </c>
      <c r="E541" s="7" t="inlineStr">
        <is>
          <t>SME-Bulky</t>
        </is>
      </c>
      <c r="F541" s="36" t="n">
        <v>10</v>
      </c>
      <c r="G541" s="36" t="n">
        <v>21</v>
      </c>
      <c r="H541" s="36" t="n">
        <v>19</v>
      </c>
      <c r="I541" s="36" t="n">
        <v>20</v>
      </c>
      <c r="J541" s="36" t="n">
        <v>15</v>
      </c>
      <c r="K541" s="28" t="n">
        <v>20</v>
      </c>
      <c r="L541" s="36" t="n">
        <v>13</v>
      </c>
      <c r="M541" s="36" t="n">
        <v>33</v>
      </c>
      <c r="N541" s="36" t="n">
        <v>16</v>
      </c>
      <c r="O541" s="36" t="n">
        <v>21</v>
      </c>
      <c r="P541" s="36" t="n">
        <v>6</v>
      </c>
      <c r="Q541" s="36" t="n">
        <v>20</v>
      </c>
      <c r="R541" s="28" t="n">
        <v>14</v>
      </c>
      <c r="S541" s="36" t="n">
        <v>11</v>
      </c>
      <c r="T541" s="36" t="n">
        <v>17</v>
      </c>
      <c r="U541" s="36" t="n">
        <v>14.52</v>
      </c>
      <c r="V541" s="36" t="n">
        <v>14.64</v>
      </c>
      <c r="W541" s="36" t="n">
        <v>13.89</v>
      </c>
      <c r="X541" s="36" t="n">
        <v>8.26</v>
      </c>
      <c r="Y541" s="28" t="n">
        <v>16.52</v>
      </c>
      <c r="Z541" s="36" t="n">
        <v>15.52</v>
      </c>
      <c r="AA541" s="36" t="n">
        <v>15.14</v>
      </c>
      <c r="AB541" s="36" t="n">
        <v>14.52</v>
      </c>
      <c r="AC541" s="36" t="n">
        <v>14.64</v>
      </c>
      <c r="AD541" s="36" t="n">
        <v>14.02</v>
      </c>
      <c r="AE541" s="36" t="n">
        <v>8.26</v>
      </c>
      <c r="AF541" s="28" t="n">
        <v>16.52</v>
      </c>
      <c r="AG541" s="36" t="n">
        <v>15.52</v>
      </c>
      <c r="AH541" s="37" t="n">
        <v>15.14</v>
      </c>
      <c r="AI541" s="37" t="n">
        <v>14.52</v>
      </c>
      <c r="AJ541" s="37" t="n">
        <v>14.64</v>
      </c>
      <c r="AK541" s="37" t="n">
        <v>13.89</v>
      </c>
      <c r="AL541" s="37" t="n">
        <v>8.26</v>
      </c>
      <c r="AM541" s="37" t="n">
        <v>16.52</v>
      </c>
      <c r="AN541" s="37" t="n">
        <v>15.52</v>
      </c>
      <c r="AO541" s="37" t="n">
        <v>15.14</v>
      </c>
      <c r="AP541" s="37" t="n">
        <v>14.52</v>
      </c>
      <c r="AQ541" s="37" t="n">
        <v>14.64</v>
      </c>
      <c r="AR541" s="37" t="n">
        <v>13.89</v>
      </c>
      <c r="AS541" s="37" t="n">
        <v>8.26</v>
      </c>
      <c r="AT541" s="37" t="n">
        <v>16.52</v>
      </c>
      <c r="AU541" s="37" t="n">
        <v>15.52</v>
      </c>
      <c r="AV541" s="37" t="n">
        <v>15.14</v>
      </c>
      <c r="AW541" s="37" t="n">
        <v>14.52</v>
      </c>
      <c r="AX541" s="37" t="n">
        <v>14.64</v>
      </c>
      <c r="AY541" s="37" t="n">
        <v>13.89</v>
      </c>
      <c r="AZ541" s="37" t="n">
        <v>8.26</v>
      </c>
      <c r="BA541" s="37" t="n">
        <v>16.39</v>
      </c>
      <c r="BB541" s="37" t="n">
        <v>8.26</v>
      </c>
      <c r="BC541" s="37" t="n">
        <v>3.5</v>
      </c>
      <c r="BD541" s="37" t="n">
        <v>3.13</v>
      </c>
      <c r="BE541" s="37" t="n">
        <v>6.38</v>
      </c>
      <c r="BF541" s="37" t="n">
        <v>6.51</v>
      </c>
      <c r="BG541" s="37" t="n">
        <v>4.76</v>
      </c>
      <c r="BH541" s="37" t="n">
        <v>9.51</v>
      </c>
      <c r="BI541" s="37" t="n">
        <v>9.26</v>
      </c>
      <c r="BJ541" s="37" t="n">
        <v>9.390000000000001</v>
      </c>
      <c r="BK541" s="37" t="n">
        <v>8.380000000000001</v>
      </c>
      <c r="BL541" s="37" t="n">
        <v>8.640000000000001</v>
      </c>
      <c r="BM541" s="37" t="n">
        <v>8.130000000000001</v>
      </c>
      <c r="BN541" s="37" t="n">
        <v>4.76</v>
      </c>
      <c r="BO541" s="37" t="n">
        <v>9.51</v>
      </c>
      <c r="BP541" s="37" t="n">
        <v>9.26</v>
      </c>
      <c r="BQ541" s="37" t="n">
        <v>8.76</v>
      </c>
      <c r="BR541" s="37" t="n">
        <v>8.380000000000001</v>
      </c>
      <c r="BS541" s="37" t="n">
        <v>8.640000000000001</v>
      </c>
      <c r="BT541" s="37" t="n">
        <v>8.130000000000001</v>
      </c>
      <c r="BU541" s="37" t="n">
        <v>4.76</v>
      </c>
      <c r="BV541" s="37" t="n">
        <v>9.51</v>
      </c>
      <c r="BW541" s="37" t="n">
        <v>9.26</v>
      </c>
      <c r="BX541" s="37" t="n">
        <v>8.76</v>
      </c>
      <c r="BY541" s="37" t="n">
        <v>8.380000000000001</v>
      </c>
      <c r="BZ541" s="37" t="n">
        <v>8.640000000000001</v>
      </c>
      <c r="CA541" s="37" t="n">
        <v>8.130000000000001</v>
      </c>
      <c r="CB541" s="37" t="n">
        <v>4.76</v>
      </c>
      <c r="CC541" s="37" t="n">
        <v>923.2799999999993</v>
      </c>
    </row>
    <row r="542" ht="15.75" customHeight="1" s="57">
      <c r="A542" s="7" t="inlineStr">
        <is>
          <t>NTB</t>
        </is>
      </c>
      <c r="B542" s="7" t="inlineStr">
        <is>
          <t>Ninh Thuận</t>
        </is>
      </c>
      <c r="C542" s="7" t="n">
        <v>22861000</v>
      </c>
      <c r="D542" s="7" t="inlineStr">
        <is>
          <t>(NTH) Phan Rang</t>
        </is>
      </c>
      <c r="E542" s="7" t="inlineStr">
        <is>
          <t>Shopee</t>
        </is>
      </c>
      <c r="F542" s="36" t="n">
        <v>353</v>
      </c>
      <c r="G542" s="36" t="n">
        <v>473</v>
      </c>
      <c r="H542" s="36" t="n">
        <v>384</v>
      </c>
      <c r="I542" s="36" t="n">
        <v>437</v>
      </c>
      <c r="J542" s="36" t="n">
        <v>369</v>
      </c>
      <c r="K542" s="28" t="n">
        <v>285</v>
      </c>
      <c r="L542" s="36" t="n">
        <v>263</v>
      </c>
      <c r="M542" s="36" t="n">
        <v>409</v>
      </c>
      <c r="N542" s="36" t="n">
        <v>478</v>
      </c>
      <c r="O542" s="36" t="n">
        <v>451</v>
      </c>
      <c r="P542" s="36" t="n">
        <v>339</v>
      </c>
      <c r="Q542" s="36" t="n">
        <v>325</v>
      </c>
      <c r="R542" s="28" t="n">
        <v>317</v>
      </c>
      <c r="S542" s="36" t="n">
        <v>293</v>
      </c>
      <c r="T542" s="36" t="n">
        <v>429</v>
      </c>
      <c r="U542" s="36" t="n">
        <v>429.01</v>
      </c>
      <c r="V542" s="36" t="n">
        <v>430.39</v>
      </c>
      <c r="W542" s="36" t="n">
        <v>424.58</v>
      </c>
      <c r="X542" s="36" t="n">
        <v>347.13</v>
      </c>
      <c r="Y542" s="28" t="n">
        <v>578.92</v>
      </c>
      <c r="Z542" s="36" t="n">
        <v>458.6</v>
      </c>
      <c r="AA542" s="36" t="n">
        <v>630.9299999999999</v>
      </c>
      <c r="AB542" s="36" t="n">
        <v>437.3</v>
      </c>
      <c r="AC542" s="36" t="n">
        <v>354.6</v>
      </c>
      <c r="AD542" s="36" t="n">
        <v>921.63</v>
      </c>
      <c r="AE542" s="36" t="n">
        <v>370.37</v>
      </c>
      <c r="AF542" s="28" t="n">
        <v>659.41</v>
      </c>
      <c r="AG542" s="36" t="n">
        <v>481.84</v>
      </c>
      <c r="AH542" s="37" t="n">
        <v>509.5</v>
      </c>
      <c r="AI542" s="37" t="n">
        <v>429.01</v>
      </c>
      <c r="AJ542" s="37" t="n">
        <v>430.39</v>
      </c>
      <c r="AK542" s="37" t="n">
        <v>573.67</v>
      </c>
      <c r="AL542" s="37" t="n">
        <v>620.6900000000001</v>
      </c>
      <c r="AM542" s="37" t="n">
        <v>578.92</v>
      </c>
      <c r="AN542" s="37" t="n">
        <v>458.6</v>
      </c>
      <c r="AO542" s="37" t="n">
        <v>509.5</v>
      </c>
      <c r="AP542" s="37" t="n">
        <v>537.16</v>
      </c>
      <c r="AQ542" s="37" t="n">
        <v>347.13</v>
      </c>
      <c r="AR542" s="37" t="n">
        <v>424.58</v>
      </c>
      <c r="AS542" s="37" t="n">
        <v>347.13</v>
      </c>
      <c r="AT542" s="37" t="n">
        <v>578.92</v>
      </c>
      <c r="AU542" s="37" t="n">
        <v>468.01</v>
      </c>
      <c r="AV542" s="37" t="n">
        <v>518.63</v>
      </c>
      <c r="AW542" s="37" t="n">
        <v>429.01</v>
      </c>
      <c r="AX542" s="37" t="n">
        <v>430.39</v>
      </c>
      <c r="AY542" s="37" t="n">
        <v>424.58</v>
      </c>
      <c r="AZ542" s="37" t="n">
        <v>347.13</v>
      </c>
      <c r="BA542" s="37" t="n">
        <v>446.16</v>
      </c>
      <c r="BB542" s="37" t="n">
        <v>387.79</v>
      </c>
      <c r="BC542" s="37" t="n">
        <v>198.6</v>
      </c>
      <c r="BD542" s="37" t="n">
        <v>352.39</v>
      </c>
      <c r="BE542" s="37" t="n">
        <v>410.2</v>
      </c>
      <c r="BF542" s="37" t="n">
        <v>404.67</v>
      </c>
      <c r="BG542" s="37" t="n">
        <v>336.9</v>
      </c>
      <c r="BH542" s="37" t="n">
        <v>551.54</v>
      </c>
      <c r="BI542" s="37" t="n">
        <v>359.3</v>
      </c>
      <c r="BJ542" s="37" t="n">
        <v>1306.11</v>
      </c>
      <c r="BK542" s="37" t="n">
        <v>439.24</v>
      </c>
      <c r="BL542" s="37" t="n">
        <v>432.05</v>
      </c>
      <c r="BM542" s="37" t="n">
        <v>404.67</v>
      </c>
      <c r="BN542" s="37" t="n">
        <v>330.81</v>
      </c>
      <c r="BO542" s="37" t="n">
        <v>551.54</v>
      </c>
      <c r="BP542" s="37" t="n">
        <v>588.88</v>
      </c>
      <c r="BQ542" s="37" t="n">
        <v>869.63</v>
      </c>
      <c r="BR542" s="37" t="n">
        <v>409.09</v>
      </c>
      <c r="BS542" s="37" t="n">
        <v>410.2</v>
      </c>
      <c r="BT542" s="37" t="n">
        <v>404.67</v>
      </c>
      <c r="BU542" s="37" t="n">
        <v>410.75</v>
      </c>
      <c r="BV542" s="37" t="n">
        <v>443.11</v>
      </c>
      <c r="BW542" s="37" t="n">
        <v>437.3</v>
      </c>
      <c r="BX542" s="37" t="n">
        <v>485.43</v>
      </c>
      <c r="BY542" s="37" t="n">
        <v>409.09</v>
      </c>
      <c r="BZ542" s="37" t="n">
        <v>419.05</v>
      </c>
      <c r="CA542" s="37" t="n">
        <v>412.13</v>
      </c>
      <c r="CB542" s="37" t="n">
        <v>330.81</v>
      </c>
      <c r="CC542" s="37" t="n">
        <v>34034.77</v>
      </c>
    </row>
    <row r="543" ht="15.75" customHeight="1" s="57">
      <c r="A543" s="7" t="inlineStr">
        <is>
          <t>NTB</t>
        </is>
      </c>
      <c r="B543" s="7" t="inlineStr">
        <is>
          <t>Ninh Thuận</t>
        </is>
      </c>
      <c r="C543" s="7" t="n">
        <v>22861000</v>
      </c>
      <c r="D543" s="7" t="inlineStr">
        <is>
          <t>(NTH) Phan Rang</t>
        </is>
      </c>
      <c r="E543" s="7" t="inlineStr">
        <is>
          <t>Shopee-Bulky</t>
        </is>
      </c>
      <c r="F543" s="36" t="n">
        <v>23.55</v>
      </c>
      <c r="G543" s="36" t="n">
        <v>31.61</v>
      </c>
      <c r="H543" s="36" t="n">
        <v>39.04</v>
      </c>
      <c r="I543" s="36" t="n">
        <v>25.41</v>
      </c>
      <c r="J543" s="36" t="n">
        <v>19.83</v>
      </c>
      <c r="K543" s="28" t="n">
        <v>17.97</v>
      </c>
      <c r="L543" s="36" t="n">
        <v>13.63</v>
      </c>
      <c r="M543" s="36" t="n">
        <v>27.89</v>
      </c>
      <c r="N543" s="36" t="n">
        <v>17.35</v>
      </c>
      <c r="O543" s="36" t="n">
        <v>26.03</v>
      </c>
      <c r="P543" s="36" t="n">
        <v>12.39</v>
      </c>
      <c r="Q543" s="36" t="n">
        <v>19.83</v>
      </c>
      <c r="R543" s="28" t="n">
        <v>27.27</v>
      </c>
      <c r="S543" s="36" t="n">
        <v>16.73</v>
      </c>
      <c r="T543" s="36" t="n">
        <v>25.41</v>
      </c>
      <c r="U543" s="36" t="n">
        <v>19.57</v>
      </c>
      <c r="V543" s="36" t="n">
        <v>18.59</v>
      </c>
      <c r="W543" s="36" t="n">
        <v>25.61</v>
      </c>
      <c r="X543" s="36" t="n">
        <v>14.16</v>
      </c>
      <c r="Y543" s="28" t="n">
        <v>29.79</v>
      </c>
      <c r="Z543" s="36" t="n">
        <v>23.14</v>
      </c>
      <c r="AA543" s="36" t="n">
        <v>22.28</v>
      </c>
      <c r="AB543" s="36" t="n">
        <v>23.14</v>
      </c>
      <c r="AC543" s="36" t="n">
        <v>23.02</v>
      </c>
      <c r="AD543" s="36" t="n">
        <v>74.73</v>
      </c>
      <c r="AE543" s="36" t="n">
        <v>37.55</v>
      </c>
      <c r="AF543" s="28" t="n">
        <v>58.6</v>
      </c>
      <c r="AG543" s="36" t="n">
        <v>34.1</v>
      </c>
      <c r="AH543" s="37" t="n">
        <v>23.02</v>
      </c>
      <c r="AI543" s="37" t="n">
        <v>22.53</v>
      </c>
      <c r="AJ543" s="37" t="n">
        <v>20.68</v>
      </c>
      <c r="AK543" s="37" t="n">
        <v>49.12</v>
      </c>
      <c r="AL543" s="37" t="n">
        <v>24.25</v>
      </c>
      <c r="AM543" s="37" t="n">
        <v>37.06</v>
      </c>
      <c r="AN543" s="37" t="n">
        <v>22.65</v>
      </c>
      <c r="AO543" s="37" t="n">
        <v>21.3</v>
      </c>
      <c r="AP543" s="37" t="n">
        <v>30.78</v>
      </c>
      <c r="AQ543" s="37" t="n">
        <v>29.18</v>
      </c>
      <c r="AR543" s="37" t="n">
        <v>23.39</v>
      </c>
      <c r="AS543" s="37" t="n">
        <v>12.8</v>
      </c>
      <c r="AT543" s="37" t="n">
        <v>26.96</v>
      </c>
      <c r="AU543" s="37" t="n">
        <v>43.95</v>
      </c>
      <c r="AV543" s="37" t="n">
        <v>46.54</v>
      </c>
      <c r="AW543" s="37" t="n">
        <v>21.42</v>
      </c>
      <c r="AX543" s="37" t="n">
        <v>19.7</v>
      </c>
      <c r="AY543" s="37" t="n">
        <v>22.53</v>
      </c>
      <c r="AZ543" s="37" t="n">
        <v>11.94</v>
      </c>
      <c r="BA543" s="37" t="n">
        <v>24.75</v>
      </c>
      <c r="BB543" s="37" t="n">
        <v>22.04</v>
      </c>
      <c r="BC543" s="37" t="n">
        <v>6.77</v>
      </c>
      <c r="BD543" s="37" t="n">
        <v>19.45</v>
      </c>
      <c r="BE543" s="37" t="n">
        <v>23.27</v>
      </c>
      <c r="BF543" s="37" t="n">
        <v>20.31</v>
      </c>
      <c r="BG543" s="37" t="n">
        <v>16.62</v>
      </c>
      <c r="BH543" s="37" t="n">
        <v>32.38</v>
      </c>
      <c r="BI543" s="37" t="n">
        <v>27.08</v>
      </c>
      <c r="BJ543" s="37" t="n">
        <v>117.94</v>
      </c>
      <c r="BK543" s="37" t="n">
        <v>57.86</v>
      </c>
      <c r="BL543" s="37" t="n">
        <v>30.16</v>
      </c>
      <c r="BM543" s="37" t="n">
        <v>20.81</v>
      </c>
      <c r="BN543" s="37" t="n">
        <v>16.62</v>
      </c>
      <c r="BO543" s="37" t="n">
        <v>37.55</v>
      </c>
      <c r="BP543" s="37" t="n">
        <v>53.8</v>
      </c>
      <c r="BQ543" s="37" t="n">
        <v>39.64</v>
      </c>
      <c r="BR543" s="37" t="n">
        <v>24.87</v>
      </c>
      <c r="BS543" s="37" t="n">
        <v>23.27</v>
      </c>
      <c r="BT543" s="37" t="n">
        <v>20.31</v>
      </c>
      <c r="BU543" s="37" t="n">
        <v>24.25</v>
      </c>
      <c r="BV543" s="37" t="n">
        <v>33.98</v>
      </c>
      <c r="BW543" s="37" t="n">
        <v>27.08</v>
      </c>
      <c r="BX543" s="37" t="n">
        <v>25.36</v>
      </c>
      <c r="BY543" s="37" t="n">
        <v>24.87</v>
      </c>
      <c r="BZ543" s="37" t="n">
        <v>43.09</v>
      </c>
      <c r="CA543" s="37" t="n">
        <v>24.25</v>
      </c>
      <c r="CB543" s="37" t="n">
        <v>15.76</v>
      </c>
      <c r="CC543" s="37" t="n">
        <v>2112.159999999999</v>
      </c>
    </row>
    <row r="544" ht="15.75" customHeight="1" s="57">
      <c r="A544" s="7" t="inlineStr">
        <is>
          <t>NTB</t>
        </is>
      </c>
      <c r="B544" s="7" t="inlineStr">
        <is>
          <t>Ninh Thuận</t>
        </is>
      </c>
      <c r="C544" s="7" t="n">
        <v>22861000</v>
      </c>
      <c r="D544" s="7" t="inlineStr">
        <is>
          <t>(NTH) Phan Rang</t>
        </is>
      </c>
      <c r="E544" s="7" t="inlineStr">
        <is>
          <t>Shopee-Bulky (10-15kg)</t>
        </is>
      </c>
      <c r="F544" s="36" t="n">
        <v>14.45</v>
      </c>
      <c r="G544" s="36" t="n">
        <v>19.39</v>
      </c>
      <c r="H544" s="36" t="n">
        <v>23.96</v>
      </c>
      <c r="I544" s="36" t="n">
        <v>15.59</v>
      </c>
      <c r="J544" s="36" t="n">
        <v>12.17</v>
      </c>
      <c r="K544" s="28" t="n">
        <v>11.03</v>
      </c>
      <c r="L544" s="36" t="n">
        <v>8.369999999999999</v>
      </c>
      <c r="M544" s="36" t="n">
        <v>17.11</v>
      </c>
      <c r="N544" s="36" t="n">
        <v>10.65</v>
      </c>
      <c r="O544" s="36" t="n">
        <v>15.97</v>
      </c>
      <c r="P544" s="36" t="n">
        <v>7.61</v>
      </c>
      <c r="Q544" s="36" t="n">
        <v>12.17</v>
      </c>
      <c r="R544" s="28" t="n">
        <v>16.73</v>
      </c>
      <c r="S544" s="36" t="n">
        <v>10.27</v>
      </c>
      <c r="T544" s="36" t="n">
        <v>15.59</v>
      </c>
      <c r="U544" s="36" t="n">
        <v>12.93</v>
      </c>
      <c r="V544" s="36" t="n">
        <v>12.43</v>
      </c>
      <c r="W544" s="36" t="n">
        <v>15.76</v>
      </c>
      <c r="X544" s="36" t="n">
        <v>8.859999999999999</v>
      </c>
      <c r="Y544" s="28" t="n">
        <v>19.08</v>
      </c>
      <c r="Z544" s="36" t="n">
        <v>14.03</v>
      </c>
      <c r="AA544" s="36" t="n">
        <v>13.91</v>
      </c>
      <c r="AB544" s="36" t="n">
        <v>13.67</v>
      </c>
      <c r="AC544" s="36" t="n">
        <v>14.77</v>
      </c>
      <c r="AD544" s="36" t="n">
        <v>56.51</v>
      </c>
      <c r="AE544" s="36" t="n">
        <v>22.78</v>
      </c>
      <c r="AF544" s="28" t="n">
        <v>32.87</v>
      </c>
      <c r="AG544" s="36" t="n">
        <v>20.56</v>
      </c>
      <c r="AH544" s="37" t="n">
        <v>13.79</v>
      </c>
      <c r="AI544" s="37" t="n">
        <v>14.28</v>
      </c>
      <c r="AJ544" s="37" t="n">
        <v>13.05</v>
      </c>
      <c r="AK544" s="37" t="n">
        <v>31.15</v>
      </c>
      <c r="AL544" s="37" t="n">
        <v>14.65</v>
      </c>
      <c r="AM544" s="37" t="n">
        <v>23.39</v>
      </c>
      <c r="AN544" s="37" t="n">
        <v>13.91</v>
      </c>
      <c r="AO544" s="37" t="n">
        <v>13.3</v>
      </c>
      <c r="AP544" s="37" t="n">
        <v>18.34</v>
      </c>
      <c r="AQ544" s="37" t="n">
        <v>18.59</v>
      </c>
      <c r="AR544" s="37" t="n">
        <v>14.53</v>
      </c>
      <c r="AS544" s="37" t="n">
        <v>8.130000000000001</v>
      </c>
      <c r="AT544" s="37" t="n">
        <v>17.11</v>
      </c>
      <c r="AU544" s="37" t="n">
        <v>28.56</v>
      </c>
      <c r="AV544" s="37" t="n">
        <v>29.55</v>
      </c>
      <c r="AW544" s="37" t="n">
        <v>13.54</v>
      </c>
      <c r="AX544" s="37" t="n">
        <v>12.56</v>
      </c>
      <c r="AY544" s="37" t="n">
        <v>14.16</v>
      </c>
      <c r="AZ544" s="37" t="n">
        <v>7.63</v>
      </c>
      <c r="BA544" s="37" t="n">
        <v>15.51</v>
      </c>
      <c r="BB544" s="37" t="n">
        <v>13.67</v>
      </c>
      <c r="BC544" s="37" t="n">
        <v>3.94</v>
      </c>
      <c r="BD544" s="37" t="n">
        <v>11.57</v>
      </c>
      <c r="BE544" s="37" t="n">
        <v>14.9</v>
      </c>
      <c r="BF544" s="37" t="n">
        <v>12.43</v>
      </c>
      <c r="BG544" s="37" t="n">
        <v>10.1</v>
      </c>
      <c r="BH544" s="37" t="n">
        <v>20.19</v>
      </c>
      <c r="BI544" s="37" t="n">
        <v>16.62</v>
      </c>
      <c r="BJ544" s="37" t="n">
        <v>78.67</v>
      </c>
      <c r="BK544" s="37" t="n">
        <v>34.72</v>
      </c>
      <c r="BL544" s="37" t="n">
        <v>19.08</v>
      </c>
      <c r="BM544" s="37" t="n">
        <v>13.42</v>
      </c>
      <c r="BN544" s="37" t="n">
        <v>10.34</v>
      </c>
      <c r="BO544" s="37" t="n">
        <v>23.14</v>
      </c>
      <c r="BP544" s="37" t="n">
        <v>32.62</v>
      </c>
      <c r="BQ544" s="37" t="n">
        <v>24.13</v>
      </c>
      <c r="BR544" s="37" t="n">
        <v>15.51</v>
      </c>
      <c r="BS544" s="37" t="n">
        <v>14.9</v>
      </c>
      <c r="BT544" s="37" t="n">
        <v>12.43</v>
      </c>
      <c r="BU544" s="37" t="n">
        <v>15.14</v>
      </c>
      <c r="BV544" s="37" t="n">
        <v>20.68</v>
      </c>
      <c r="BW544" s="37" t="n">
        <v>16.62</v>
      </c>
      <c r="BX544" s="37" t="n">
        <v>15.63</v>
      </c>
      <c r="BY544" s="37" t="n">
        <v>15.51</v>
      </c>
      <c r="BZ544" s="37" t="n">
        <v>27.08</v>
      </c>
      <c r="CA544" s="37" t="n">
        <v>15.39</v>
      </c>
      <c r="CB544" s="37" t="n">
        <v>9.6</v>
      </c>
      <c r="CC544" s="37" t="n">
        <v>1322.98</v>
      </c>
    </row>
    <row r="545" ht="15.75" customHeight="1" s="57">
      <c r="A545" s="7" t="inlineStr">
        <is>
          <t>NTB</t>
        </is>
      </c>
      <c r="B545" s="7" t="inlineStr">
        <is>
          <t>Ninh Thuận</t>
        </is>
      </c>
      <c r="C545" s="7" t="n">
        <v>22861000</v>
      </c>
      <c r="D545" s="7" t="inlineStr">
        <is>
          <t>(NTH) Phan Rang</t>
        </is>
      </c>
      <c r="E545" s="7" t="inlineStr">
        <is>
          <t>TTS</t>
        </is>
      </c>
      <c r="F545" s="36" t="n">
        <v>318</v>
      </c>
      <c r="G545" s="36" t="n">
        <v>449</v>
      </c>
      <c r="H545" s="36" t="n">
        <v>351</v>
      </c>
      <c r="I545" s="36" t="n">
        <v>329</v>
      </c>
      <c r="J545" s="36" t="n">
        <v>328</v>
      </c>
      <c r="K545" s="28" t="n">
        <v>317</v>
      </c>
      <c r="L545" s="36" t="n">
        <v>285</v>
      </c>
      <c r="M545" s="36" t="n">
        <v>332</v>
      </c>
      <c r="N545" s="36" t="n">
        <v>348</v>
      </c>
      <c r="O545" s="36" t="n">
        <v>342</v>
      </c>
      <c r="P545" s="36" t="n">
        <v>290</v>
      </c>
      <c r="Q545" s="36" t="n">
        <v>312</v>
      </c>
      <c r="R545" s="28" t="n">
        <v>273</v>
      </c>
      <c r="S545" s="36" t="n">
        <v>266</v>
      </c>
      <c r="T545" s="36" t="n">
        <v>384</v>
      </c>
      <c r="U545" s="36" t="n">
        <v>242.33</v>
      </c>
      <c r="V545" s="36" t="n">
        <v>237.24</v>
      </c>
      <c r="W545" s="36" t="n">
        <v>232.14</v>
      </c>
      <c r="X545" s="36" t="n">
        <v>187.13</v>
      </c>
      <c r="Y545" s="28" t="n">
        <v>273.3</v>
      </c>
      <c r="Z545" s="36" t="n">
        <v>232.14</v>
      </c>
      <c r="AA545" s="36" t="n">
        <v>257.85</v>
      </c>
      <c r="AB545" s="36" t="n">
        <v>285.4</v>
      </c>
      <c r="AC545" s="36" t="n">
        <v>301.61</v>
      </c>
      <c r="AD545" s="36" t="n">
        <v>312.9</v>
      </c>
      <c r="AE545" s="36" t="n">
        <v>217.7</v>
      </c>
      <c r="AF545" s="28" t="n">
        <v>281.41</v>
      </c>
      <c r="AG545" s="36" t="n">
        <v>237</v>
      </c>
      <c r="AH545" s="37" t="n">
        <v>233.76</v>
      </c>
      <c r="AI545" s="37" t="n">
        <v>268.5</v>
      </c>
      <c r="AJ545" s="37" t="n">
        <v>286.56</v>
      </c>
      <c r="AK545" s="37" t="n">
        <v>283.09</v>
      </c>
      <c r="AL545" s="37" t="n">
        <v>202.41</v>
      </c>
      <c r="AM545" s="37" t="n">
        <v>277.47</v>
      </c>
      <c r="AN545" s="37" t="n">
        <v>239.78</v>
      </c>
      <c r="AO545" s="37" t="n">
        <v>238.16</v>
      </c>
      <c r="AP545" s="37" t="n">
        <v>230.29</v>
      </c>
      <c r="AQ545" s="37" t="n">
        <v>232.84</v>
      </c>
      <c r="AR545" s="37" t="n">
        <v>228.44</v>
      </c>
      <c r="AS545" s="37" t="n">
        <v>187.36</v>
      </c>
      <c r="AT545" s="37" t="n">
        <v>301.3200000000001</v>
      </c>
      <c r="AU545" s="37" t="n">
        <v>272.44</v>
      </c>
      <c r="AV545" s="37" t="n">
        <v>241.64</v>
      </c>
      <c r="AW545" s="37" t="n">
        <v>227.51</v>
      </c>
      <c r="AX545" s="37" t="n">
        <v>226.82</v>
      </c>
      <c r="AY545" s="37" t="n">
        <v>226.12</v>
      </c>
      <c r="AZ545" s="37" t="n">
        <v>187.59</v>
      </c>
      <c r="BA545" s="37" t="n">
        <v>271.22</v>
      </c>
      <c r="BB545" s="37" t="n">
        <v>254.37</v>
      </c>
      <c r="BC545" s="37" t="n">
        <v>151.23</v>
      </c>
      <c r="BD545" s="37" t="n">
        <v>219.41</v>
      </c>
      <c r="BE545" s="37" t="n">
        <v>257.38</v>
      </c>
      <c r="BF545" s="37" t="n">
        <v>250.2</v>
      </c>
      <c r="BG545" s="37" t="n">
        <v>202.41</v>
      </c>
      <c r="BH545" s="37" t="n">
        <v>300.16</v>
      </c>
      <c r="BI545" s="37" t="n">
        <v>254.37</v>
      </c>
      <c r="BJ545" s="37" t="n">
        <v>237.77</v>
      </c>
      <c r="BK545" s="37" t="n">
        <v>256.92</v>
      </c>
      <c r="BL545" s="37" t="n">
        <v>257.38</v>
      </c>
      <c r="BM545" s="37" t="n">
        <v>250.2</v>
      </c>
      <c r="BN545" s="37" t="n">
        <v>202.41</v>
      </c>
      <c r="BO545" s="37" t="n">
        <v>300.16</v>
      </c>
      <c r="BP545" s="37" t="n">
        <v>254.37</v>
      </c>
      <c r="BQ545" s="37" t="n">
        <v>250.67</v>
      </c>
      <c r="BR545" s="37" t="n">
        <v>256.92</v>
      </c>
      <c r="BS545" s="37" t="n">
        <v>257.38</v>
      </c>
      <c r="BT545" s="37" t="n">
        <v>250.2</v>
      </c>
      <c r="BU545" s="37" t="n">
        <v>202.41</v>
      </c>
      <c r="BV545" s="37" t="n">
        <v>300.16</v>
      </c>
      <c r="BW545" s="37" t="n">
        <v>254.37</v>
      </c>
      <c r="BX545" s="37" t="n">
        <v>250.67</v>
      </c>
      <c r="BY545" s="37" t="n">
        <v>256.92</v>
      </c>
      <c r="BZ545" s="37" t="n">
        <v>257.38</v>
      </c>
      <c r="CA545" s="37" t="n">
        <v>250.2</v>
      </c>
      <c r="CB545" s="37" t="n">
        <v>202.41</v>
      </c>
      <c r="CC545" s="37" t="n">
        <v>19723.9</v>
      </c>
    </row>
    <row r="546" ht="15.75" customHeight="1" s="57">
      <c r="A546" s="7" t="inlineStr">
        <is>
          <t>NTB</t>
        </is>
      </c>
      <c r="B546" s="7" t="inlineStr">
        <is>
          <t>Ninh Thuận</t>
        </is>
      </c>
      <c r="C546" s="7" t="n">
        <v>22861000</v>
      </c>
      <c r="D546" s="7" t="inlineStr">
        <is>
          <t>(NTH) Phan Rang</t>
        </is>
      </c>
      <c r="E546" s="7" t="inlineStr">
        <is>
          <t>TTS-Bulky</t>
        </is>
      </c>
      <c r="F546" s="36" t="n">
        <v>3</v>
      </c>
      <c r="G546" s="36" t="n">
        <v>4</v>
      </c>
      <c r="H546" s="36" t="n">
        <v>4</v>
      </c>
      <c r="I546" s="36" t="n">
        <v>4</v>
      </c>
      <c r="J546" s="36" t="n">
        <v>2</v>
      </c>
      <c r="K546" s="28" t="n">
        <v>4</v>
      </c>
      <c r="L546" s="36" t="n">
        <v>2</v>
      </c>
      <c r="M546" s="36" t="n">
        <v>1</v>
      </c>
      <c r="N546" s="36" t="n">
        <v>1</v>
      </c>
      <c r="O546" s="36" t="n">
        <v>4</v>
      </c>
      <c r="P546" s="36" t="n">
        <v>1</v>
      </c>
      <c r="Q546" s="36" t="n">
        <v>4</v>
      </c>
      <c r="R546" s="28" t="n">
        <v>2</v>
      </c>
      <c r="S546" s="36" t="n">
        <v>2</v>
      </c>
      <c r="T546" s="36" t="n">
        <v>2</v>
      </c>
      <c r="U546" s="36" t="n">
        <v>9.01</v>
      </c>
      <c r="V546" s="36" t="n">
        <v>9.98</v>
      </c>
      <c r="W546" s="36" t="n">
        <v>4.67</v>
      </c>
      <c r="X546" s="36" t="n">
        <v>3.86</v>
      </c>
      <c r="Y546" s="28" t="n">
        <v>4.18</v>
      </c>
      <c r="Z546" s="36" t="n">
        <v>3.86</v>
      </c>
      <c r="AA546" s="36" t="n">
        <v>4.99</v>
      </c>
      <c r="AB546" s="36" t="n">
        <v>4.83</v>
      </c>
      <c r="AC546" s="36" t="n">
        <v>5.31</v>
      </c>
      <c r="AD546" s="36" t="n">
        <v>3.22</v>
      </c>
      <c r="AE546" s="36" t="n">
        <v>4.51</v>
      </c>
      <c r="AF546" s="28" t="n">
        <v>5.15</v>
      </c>
      <c r="AG546" s="36" t="n">
        <v>4.51</v>
      </c>
      <c r="AH546" s="37" t="n">
        <v>4.51</v>
      </c>
      <c r="AI546" s="37" t="n">
        <v>3.86</v>
      </c>
      <c r="AJ546" s="37" t="n">
        <v>5.15</v>
      </c>
      <c r="AK546" s="37" t="n">
        <v>4.67</v>
      </c>
      <c r="AL546" s="37" t="n">
        <v>3.86</v>
      </c>
      <c r="AM546" s="37" t="n">
        <v>4.99</v>
      </c>
      <c r="AN546" s="37" t="n">
        <v>4.51</v>
      </c>
      <c r="AO546" s="37" t="n">
        <v>4.67</v>
      </c>
      <c r="AP546" s="37" t="n">
        <v>4.67</v>
      </c>
      <c r="AQ546" s="37" t="n">
        <v>5.15</v>
      </c>
      <c r="AR546" s="37" t="n">
        <v>4.67</v>
      </c>
      <c r="AS546" s="37" t="n">
        <v>3.86</v>
      </c>
      <c r="AT546" s="37" t="n">
        <v>5.15</v>
      </c>
      <c r="AU546" s="37" t="n">
        <v>5.15</v>
      </c>
      <c r="AV546" s="37" t="n">
        <v>4.67</v>
      </c>
      <c r="AW546" s="37" t="n">
        <v>4.67</v>
      </c>
      <c r="AX546" s="37" t="n">
        <v>4.83</v>
      </c>
      <c r="AY546" s="37" t="n">
        <v>4.67</v>
      </c>
      <c r="AZ546" s="37" t="n">
        <v>3.86</v>
      </c>
      <c r="BA546" s="37" t="n">
        <v>4.83</v>
      </c>
      <c r="BB546" s="37" t="n">
        <v>1.29</v>
      </c>
      <c r="BC546" s="37" t="n">
        <v>0.32</v>
      </c>
      <c r="BD546" s="37" t="n">
        <v>1.13</v>
      </c>
      <c r="BE546" s="37" t="n">
        <v>1.29</v>
      </c>
      <c r="BF546" s="37" t="n">
        <v>1.29</v>
      </c>
      <c r="BG546" s="37" t="n">
        <v>1.13</v>
      </c>
      <c r="BH546" s="37" t="n">
        <v>1.29</v>
      </c>
      <c r="BI546" s="37" t="n">
        <v>1.29</v>
      </c>
      <c r="BJ546" s="37" t="n">
        <v>0.8</v>
      </c>
      <c r="BK546" s="37" t="n">
        <v>1.29</v>
      </c>
      <c r="BL546" s="37" t="n">
        <v>1.29</v>
      </c>
      <c r="BM546" s="37" t="n">
        <v>1.29</v>
      </c>
      <c r="BN546" s="37" t="n">
        <v>1.13</v>
      </c>
      <c r="BO546" s="37" t="n">
        <v>1.29</v>
      </c>
      <c r="BP546" s="37" t="n">
        <v>1.29</v>
      </c>
      <c r="BQ546" s="37" t="n">
        <v>1.29</v>
      </c>
      <c r="BR546" s="37" t="n">
        <v>1.29</v>
      </c>
      <c r="BS546" s="37" t="n">
        <v>1.29</v>
      </c>
      <c r="BT546" s="37" t="n">
        <v>1.29</v>
      </c>
      <c r="BU546" s="37" t="n">
        <v>0.97</v>
      </c>
      <c r="BV546" s="37" t="n">
        <v>1.29</v>
      </c>
      <c r="BW546" s="37" t="n">
        <v>1.29</v>
      </c>
      <c r="BX546" s="37" t="n">
        <v>1.29</v>
      </c>
      <c r="BY546" s="37" t="n">
        <v>1.29</v>
      </c>
      <c r="BZ546" s="37" t="n">
        <v>1.29</v>
      </c>
      <c r="CA546" s="37" t="n">
        <v>1.29</v>
      </c>
      <c r="CB546" s="37" t="n">
        <v>0.97</v>
      </c>
      <c r="CC546" s="37" t="n">
        <v>232.7299999999998</v>
      </c>
    </row>
    <row r="547" ht="15.75" customHeight="1" s="57">
      <c r="A547" s="7" t="inlineStr">
        <is>
          <t>NTB</t>
        </is>
      </c>
      <c r="B547" s="7" t="inlineStr">
        <is>
          <t>Đắk Nông</t>
        </is>
      </c>
      <c r="C547" s="7" t="n">
        <v>2309</v>
      </c>
      <c r="D547" s="7" t="inlineStr">
        <is>
          <t>(DNO) Đức Lập</t>
        </is>
      </c>
      <c r="E547" s="7" t="inlineStr">
        <is>
          <t>SME</t>
        </is>
      </c>
      <c r="F547" s="36" t="n">
        <v>392</v>
      </c>
      <c r="G547" s="36" t="n">
        <v>387</v>
      </c>
      <c r="H547" s="36" t="n">
        <v>435</v>
      </c>
      <c r="I547" s="36" t="n">
        <v>403</v>
      </c>
      <c r="J547" s="36" t="n">
        <v>391</v>
      </c>
      <c r="K547" s="28" t="n">
        <v>309</v>
      </c>
      <c r="L547" s="36" t="n">
        <v>327</v>
      </c>
      <c r="M547" s="36" t="n">
        <v>207</v>
      </c>
      <c r="N547" s="36" t="n">
        <v>441</v>
      </c>
      <c r="O547" s="36" t="n">
        <v>324</v>
      </c>
      <c r="P547" s="36" t="n">
        <v>433</v>
      </c>
      <c r="Q547" s="36" t="n">
        <v>306</v>
      </c>
      <c r="R547" s="28" t="n">
        <v>391</v>
      </c>
      <c r="S547" s="36" t="n">
        <v>301</v>
      </c>
      <c r="T547" s="36" t="n">
        <v>333</v>
      </c>
      <c r="U547" s="36" t="n">
        <v>483.55</v>
      </c>
      <c r="V547" s="36" t="n">
        <v>499.25</v>
      </c>
      <c r="W547" s="36" t="n">
        <v>486.63</v>
      </c>
      <c r="X547" s="36" t="n">
        <v>397.17</v>
      </c>
      <c r="Y547" s="28" t="n">
        <v>538.67</v>
      </c>
      <c r="Z547" s="36" t="n">
        <v>495.41</v>
      </c>
      <c r="AA547" s="36" t="n">
        <v>485.2</v>
      </c>
      <c r="AB547" s="36" t="n">
        <v>483.55</v>
      </c>
      <c r="AC547" s="36" t="n">
        <v>499.25</v>
      </c>
      <c r="AD547" s="36" t="n">
        <v>504.43</v>
      </c>
      <c r="AE547" s="36" t="n">
        <v>397.17</v>
      </c>
      <c r="AF547" s="28" t="n">
        <v>538.67</v>
      </c>
      <c r="AG547" s="36" t="n">
        <v>495.41</v>
      </c>
      <c r="AH547" s="37" t="n">
        <v>485.2</v>
      </c>
      <c r="AI547" s="37" t="n">
        <v>483.55</v>
      </c>
      <c r="AJ547" s="37" t="n">
        <v>499.25</v>
      </c>
      <c r="AK547" s="37" t="n">
        <v>486.63</v>
      </c>
      <c r="AL547" s="37" t="n">
        <v>397.17</v>
      </c>
      <c r="AM547" s="37" t="n">
        <v>538.67</v>
      </c>
      <c r="AN547" s="37" t="n">
        <v>495.41</v>
      </c>
      <c r="AO547" s="37" t="n">
        <v>485.2</v>
      </c>
      <c r="AP547" s="37" t="n">
        <v>483.55</v>
      </c>
      <c r="AQ547" s="37" t="n">
        <v>499.25</v>
      </c>
      <c r="AR547" s="37" t="n">
        <v>486.63</v>
      </c>
      <c r="AS547" s="37" t="n">
        <v>397.17</v>
      </c>
      <c r="AT547" s="37" t="n">
        <v>538.67</v>
      </c>
      <c r="AU547" s="37" t="n">
        <v>495.41</v>
      </c>
      <c r="AV547" s="37" t="n">
        <v>485.2</v>
      </c>
      <c r="AW547" s="37" t="n">
        <v>483.55</v>
      </c>
      <c r="AX547" s="37" t="n">
        <v>499.25</v>
      </c>
      <c r="AY547" s="37" t="n">
        <v>486.63</v>
      </c>
      <c r="AZ547" s="37" t="n">
        <v>397.17</v>
      </c>
      <c r="BA547" s="37" t="n">
        <v>485.38</v>
      </c>
      <c r="BB547" s="37" t="n">
        <v>434.82</v>
      </c>
      <c r="BC547" s="37" t="n">
        <v>273.9</v>
      </c>
      <c r="BD547" s="37" t="n">
        <v>273.37</v>
      </c>
      <c r="BE547" s="37" t="n">
        <v>462.3</v>
      </c>
      <c r="BF547" s="37" t="n">
        <v>450.39</v>
      </c>
      <c r="BG547" s="37" t="n">
        <v>409.63</v>
      </c>
      <c r="BH547" s="37" t="n">
        <v>554.4399999999999</v>
      </c>
      <c r="BI547" s="37" t="n">
        <v>510.26</v>
      </c>
      <c r="BJ547" s="37" t="n">
        <v>517.03</v>
      </c>
      <c r="BK547" s="37" t="n">
        <v>497.85</v>
      </c>
      <c r="BL547" s="37" t="n">
        <v>514.27</v>
      </c>
      <c r="BM547" s="37" t="n">
        <v>501.49</v>
      </c>
      <c r="BN547" s="37" t="n">
        <v>409.63</v>
      </c>
      <c r="BO547" s="37" t="n">
        <v>554.4399999999999</v>
      </c>
      <c r="BP547" s="37" t="n">
        <v>510.26</v>
      </c>
      <c r="BQ547" s="37" t="n">
        <v>500.05</v>
      </c>
      <c r="BR547" s="37" t="n">
        <v>497.85</v>
      </c>
      <c r="BS547" s="37" t="n">
        <v>514.27</v>
      </c>
      <c r="BT547" s="37" t="n">
        <v>501.49</v>
      </c>
      <c r="BU547" s="37" t="n">
        <v>409.63</v>
      </c>
      <c r="BV547" s="37" t="n">
        <v>554.4399999999999</v>
      </c>
      <c r="BW547" s="37" t="n">
        <v>510.26</v>
      </c>
      <c r="BX547" s="37" t="n">
        <v>500.05</v>
      </c>
      <c r="BY547" s="37" t="n">
        <v>497.85</v>
      </c>
      <c r="BZ547" s="37" t="n">
        <v>514.27</v>
      </c>
      <c r="CA547" s="37" t="n">
        <v>501.49</v>
      </c>
      <c r="CB547" s="37" t="n">
        <v>409.63</v>
      </c>
      <c r="CC547" s="37" t="n">
        <v>34078.65999999998</v>
      </c>
    </row>
    <row r="548" ht="15.75" customHeight="1" s="57">
      <c r="A548" s="7" t="inlineStr">
        <is>
          <t>NTB</t>
        </is>
      </c>
      <c r="B548" s="7" t="inlineStr">
        <is>
          <t>Đắk Nông</t>
        </is>
      </c>
      <c r="C548" s="7" t="n">
        <v>2309</v>
      </c>
      <c r="D548" s="7" t="inlineStr">
        <is>
          <t>(DNO) Đức Lập</t>
        </is>
      </c>
      <c r="E548" s="7" t="inlineStr">
        <is>
          <t>SME-Bulky</t>
        </is>
      </c>
      <c r="F548" s="36" t="n">
        <v>18</v>
      </c>
      <c r="G548" s="36" t="n">
        <v>23</v>
      </c>
      <c r="H548" s="36" t="n">
        <v>44</v>
      </c>
      <c r="I548" s="36" t="n">
        <v>29</v>
      </c>
      <c r="J548" s="36" t="n">
        <v>28</v>
      </c>
      <c r="K548" s="28" t="n">
        <v>30</v>
      </c>
      <c r="L548" s="36" t="n">
        <v>34</v>
      </c>
      <c r="M548" s="36" t="n">
        <v>11</v>
      </c>
      <c r="N548" s="36" t="n">
        <v>27</v>
      </c>
      <c r="O548" s="36" t="n">
        <v>50</v>
      </c>
      <c r="P548" s="36" t="n">
        <v>21</v>
      </c>
      <c r="Q548" s="36" t="n">
        <v>33</v>
      </c>
      <c r="R548" s="28" t="n">
        <v>26</v>
      </c>
      <c r="S548" s="36" t="n">
        <v>9</v>
      </c>
      <c r="T548" s="36" t="n">
        <v>39</v>
      </c>
      <c r="U548" s="36" t="n">
        <v>32.21</v>
      </c>
      <c r="V548" s="36" t="n">
        <v>32.05</v>
      </c>
      <c r="W548" s="36" t="n">
        <v>29.9</v>
      </c>
      <c r="X548" s="36" t="n">
        <v>20.98</v>
      </c>
      <c r="Y548" s="28" t="n">
        <v>35.68</v>
      </c>
      <c r="Z548" s="36" t="n">
        <v>34.85</v>
      </c>
      <c r="AA548" s="36" t="n">
        <v>32.87</v>
      </c>
      <c r="AB548" s="36" t="n">
        <v>32.21</v>
      </c>
      <c r="AC548" s="36" t="n">
        <v>32.05</v>
      </c>
      <c r="AD548" s="36" t="n">
        <v>28.91</v>
      </c>
      <c r="AE548" s="36" t="n">
        <v>20.98</v>
      </c>
      <c r="AF548" s="28" t="n">
        <v>35.68</v>
      </c>
      <c r="AG548" s="36" t="n">
        <v>34.85</v>
      </c>
      <c r="AH548" s="37" t="n">
        <v>32.87</v>
      </c>
      <c r="AI548" s="37" t="n">
        <v>32.21</v>
      </c>
      <c r="AJ548" s="37" t="n">
        <v>32.05</v>
      </c>
      <c r="AK548" s="37" t="n">
        <v>29.9</v>
      </c>
      <c r="AL548" s="37" t="n">
        <v>20.98</v>
      </c>
      <c r="AM548" s="37" t="n">
        <v>35.68</v>
      </c>
      <c r="AN548" s="37" t="n">
        <v>34.85</v>
      </c>
      <c r="AO548" s="37" t="n">
        <v>32.87</v>
      </c>
      <c r="AP548" s="37" t="n">
        <v>32.21</v>
      </c>
      <c r="AQ548" s="37" t="n">
        <v>32.05</v>
      </c>
      <c r="AR548" s="37" t="n">
        <v>29.9</v>
      </c>
      <c r="AS548" s="37" t="n">
        <v>20.98</v>
      </c>
      <c r="AT548" s="37" t="n">
        <v>35.68</v>
      </c>
      <c r="AU548" s="37" t="n">
        <v>34.85</v>
      </c>
      <c r="AV548" s="37" t="n">
        <v>32.87</v>
      </c>
      <c r="AW548" s="37" t="n">
        <v>32.21</v>
      </c>
      <c r="AX548" s="37" t="n">
        <v>32.05</v>
      </c>
      <c r="AY548" s="37" t="n">
        <v>29.9</v>
      </c>
      <c r="AZ548" s="37" t="n">
        <v>20.98</v>
      </c>
      <c r="BA548" s="37" t="n">
        <v>35.35</v>
      </c>
      <c r="BB548" s="37" t="n">
        <v>19</v>
      </c>
      <c r="BC548" s="37" t="n">
        <v>9.75</v>
      </c>
      <c r="BD548" s="37" t="n">
        <v>8.76</v>
      </c>
      <c r="BE548" s="37" t="n">
        <v>16.52</v>
      </c>
      <c r="BF548" s="37" t="n">
        <v>15.53</v>
      </c>
      <c r="BG548" s="37" t="n">
        <v>12.39</v>
      </c>
      <c r="BH548" s="37" t="n">
        <v>20.48</v>
      </c>
      <c r="BI548" s="37" t="n">
        <v>20.32</v>
      </c>
      <c r="BJ548" s="37" t="n">
        <v>18.67</v>
      </c>
      <c r="BK548" s="37" t="n">
        <v>18.83</v>
      </c>
      <c r="BL548" s="37" t="n">
        <v>18.83</v>
      </c>
      <c r="BM548" s="37" t="n">
        <v>17.68</v>
      </c>
      <c r="BN548" s="37" t="n">
        <v>12.39</v>
      </c>
      <c r="BO548" s="37" t="n">
        <v>20.48</v>
      </c>
      <c r="BP548" s="37" t="n">
        <v>20.32</v>
      </c>
      <c r="BQ548" s="37" t="n">
        <v>19</v>
      </c>
      <c r="BR548" s="37" t="n">
        <v>18.83</v>
      </c>
      <c r="BS548" s="37" t="n">
        <v>18.83</v>
      </c>
      <c r="BT548" s="37" t="n">
        <v>17.68</v>
      </c>
      <c r="BU548" s="37" t="n">
        <v>12.39</v>
      </c>
      <c r="BV548" s="37" t="n">
        <v>20.48</v>
      </c>
      <c r="BW548" s="37" t="n">
        <v>20.32</v>
      </c>
      <c r="BX548" s="37" t="n">
        <v>19</v>
      </c>
      <c r="BY548" s="37" t="n">
        <v>18.83</v>
      </c>
      <c r="BZ548" s="37" t="n">
        <v>18.83</v>
      </c>
      <c r="CA548" s="37" t="n">
        <v>17.68</v>
      </c>
      <c r="CB548" s="37" t="n">
        <v>12.39</v>
      </c>
      <c r="CC548" s="37" t="n">
        <v>1909.87</v>
      </c>
    </row>
    <row r="549" ht="15.75" customHeight="1" s="57">
      <c r="A549" s="7" t="inlineStr">
        <is>
          <t>NTB</t>
        </is>
      </c>
      <c r="B549" s="7" t="inlineStr">
        <is>
          <t>Đắk Nông</t>
        </is>
      </c>
      <c r="C549" s="7" t="n">
        <v>2309</v>
      </c>
      <c r="D549" s="7" t="inlineStr">
        <is>
          <t>(DNO) Đức Lập</t>
        </is>
      </c>
      <c r="E549" s="7" t="inlineStr">
        <is>
          <t>Shopee</t>
        </is>
      </c>
      <c r="F549" s="36" t="n">
        <v>282</v>
      </c>
      <c r="G549" s="36" t="n">
        <v>236</v>
      </c>
      <c r="H549" s="36" t="n">
        <v>277</v>
      </c>
      <c r="I549" s="36" t="n">
        <v>266</v>
      </c>
      <c r="J549" s="36" t="n">
        <v>230</v>
      </c>
      <c r="K549" s="28" t="n">
        <v>188</v>
      </c>
      <c r="L549" s="36" t="n">
        <v>140</v>
      </c>
      <c r="M549" s="36" t="n">
        <v>120</v>
      </c>
      <c r="N549" s="36" t="n">
        <v>334</v>
      </c>
      <c r="O549" s="36" t="n">
        <v>183</v>
      </c>
      <c r="P549" s="36" t="n">
        <v>293</v>
      </c>
      <c r="Q549" s="36" t="n">
        <v>160</v>
      </c>
      <c r="R549" s="28" t="n">
        <v>174</v>
      </c>
      <c r="S549" s="36" t="n">
        <v>161</v>
      </c>
      <c r="T549" s="36" t="n">
        <v>152</v>
      </c>
      <c r="U549" s="36" t="n">
        <v>246.24</v>
      </c>
      <c r="V549" s="36" t="n">
        <v>246.88</v>
      </c>
      <c r="W549" s="36" t="n">
        <v>243.65</v>
      </c>
      <c r="X549" s="36" t="n">
        <v>198.24</v>
      </c>
      <c r="Y549" s="28" t="n">
        <v>331.04</v>
      </c>
      <c r="Z549" s="36" t="n">
        <v>262.59</v>
      </c>
      <c r="AA549" s="36" t="n">
        <v>360.96</v>
      </c>
      <c r="AB549" s="36" t="n">
        <v>250.97</v>
      </c>
      <c r="AC549" s="36" t="n">
        <v>202.76</v>
      </c>
      <c r="AD549" s="36" t="n">
        <v>462.55</v>
      </c>
      <c r="AE549" s="36" t="n">
        <v>212.66</v>
      </c>
      <c r="AF549" s="28" t="n">
        <v>378.61</v>
      </c>
      <c r="AG549" s="36" t="n">
        <v>275.08</v>
      </c>
      <c r="AH549" s="37" t="n">
        <v>290.79</v>
      </c>
      <c r="AI549" s="37" t="n">
        <v>246.24</v>
      </c>
      <c r="AJ549" s="37" t="n">
        <v>246.88</v>
      </c>
      <c r="AK549" s="37" t="n">
        <v>328.46</v>
      </c>
      <c r="AL549" s="37" t="n">
        <v>355.79</v>
      </c>
      <c r="AM549" s="37" t="n">
        <v>331.04</v>
      </c>
      <c r="AN549" s="37" t="n">
        <v>262.59</v>
      </c>
      <c r="AO549" s="37" t="n">
        <v>290.79</v>
      </c>
      <c r="AP549" s="37" t="n">
        <v>308.01</v>
      </c>
      <c r="AQ549" s="37" t="n">
        <v>198.24</v>
      </c>
      <c r="AR549" s="37" t="n">
        <v>243.65</v>
      </c>
      <c r="AS549" s="37" t="n">
        <v>198.24</v>
      </c>
      <c r="AT549" s="37" t="n">
        <v>331.04</v>
      </c>
      <c r="AU549" s="37" t="n">
        <v>267.54</v>
      </c>
      <c r="AV549" s="37" t="n">
        <v>296.82</v>
      </c>
      <c r="AW549" s="37" t="n">
        <v>246.24</v>
      </c>
      <c r="AX549" s="37" t="n">
        <v>246.88</v>
      </c>
      <c r="AY549" s="37" t="n">
        <v>243.65</v>
      </c>
      <c r="AZ549" s="37" t="n">
        <v>198.24</v>
      </c>
      <c r="BA549" s="37" t="n">
        <v>255.49</v>
      </c>
      <c r="BB549" s="37" t="n">
        <v>222.56</v>
      </c>
      <c r="BC549" s="37" t="n">
        <v>113.65</v>
      </c>
      <c r="BD549" s="37" t="n">
        <v>202.54</v>
      </c>
      <c r="BE549" s="37" t="n">
        <v>235.26</v>
      </c>
      <c r="BF549" s="37" t="n">
        <v>232.46</v>
      </c>
      <c r="BG549" s="37" t="n">
        <v>193.07</v>
      </c>
      <c r="BH549" s="37" t="n">
        <v>315.33</v>
      </c>
      <c r="BI549" s="37" t="n">
        <v>206.42</v>
      </c>
      <c r="BJ549" s="37" t="n">
        <v>657.5599999999999</v>
      </c>
      <c r="BK549" s="37" t="n">
        <v>250.97</v>
      </c>
      <c r="BL549" s="37" t="n">
        <v>247.31</v>
      </c>
      <c r="BM549" s="37" t="n">
        <v>232.46</v>
      </c>
      <c r="BN549" s="37" t="n">
        <v>189.41</v>
      </c>
      <c r="BO549" s="37" t="n">
        <v>315.33</v>
      </c>
      <c r="BP549" s="37" t="n">
        <v>338.14</v>
      </c>
      <c r="BQ549" s="37" t="n">
        <v>497.64</v>
      </c>
      <c r="BR549" s="37" t="n">
        <v>234.61</v>
      </c>
      <c r="BS549" s="37" t="n">
        <v>235.26</v>
      </c>
      <c r="BT549" s="37" t="n">
        <v>232.46</v>
      </c>
      <c r="BU549" s="37" t="n">
        <v>235.9</v>
      </c>
      <c r="BV549" s="37" t="n">
        <v>252.91</v>
      </c>
      <c r="BW549" s="37" t="n">
        <v>250.11</v>
      </c>
      <c r="BX549" s="37" t="n">
        <v>276.58</v>
      </c>
      <c r="BY549" s="37" t="n">
        <v>234.61</v>
      </c>
      <c r="BZ549" s="37" t="n">
        <v>240.42</v>
      </c>
      <c r="CA549" s="37" t="n">
        <v>236.76</v>
      </c>
      <c r="CB549" s="37" t="n">
        <v>189.41</v>
      </c>
      <c r="CC549" s="37" t="n">
        <v>19323.99</v>
      </c>
    </row>
    <row r="550" ht="15.75" customHeight="1" s="57">
      <c r="A550" s="7" t="inlineStr">
        <is>
          <t>NTB</t>
        </is>
      </c>
      <c r="B550" s="7" t="inlineStr">
        <is>
          <t>Đắk Nông</t>
        </is>
      </c>
      <c r="C550" s="7" t="n">
        <v>2309</v>
      </c>
      <c r="D550" s="7" t="inlineStr">
        <is>
          <t>(DNO) Đức Lập</t>
        </is>
      </c>
      <c r="E550" s="7" t="inlineStr">
        <is>
          <t>Shopee-Bulky</t>
        </is>
      </c>
      <c r="F550" s="36" t="n">
        <v>24.69</v>
      </c>
      <c r="G550" s="36" t="n">
        <v>42.88</v>
      </c>
      <c r="H550" s="36" t="n">
        <v>34.44</v>
      </c>
      <c r="I550" s="36" t="n">
        <v>40.28</v>
      </c>
      <c r="J550" s="36" t="n">
        <v>41.58</v>
      </c>
      <c r="K550" s="28" t="n">
        <v>24.69</v>
      </c>
      <c r="L550" s="36" t="n">
        <v>21.44</v>
      </c>
      <c r="M550" s="36" t="n">
        <v>16.89</v>
      </c>
      <c r="N550" s="36" t="n">
        <v>38.98</v>
      </c>
      <c r="O550" s="36" t="n">
        <v>46.78</v>
      </c>
      <c r="P550" s="36" t="n">
        <v>30.54</v>
      </c>
      <c r="Q550" s="36" t="n">
        <v>33.79</v>
      </c>
      <c r="R550" s="28" t="n">
        <v>44.83</v>
      </c>
      <c r="S550" s="36" t="n">
        <v>12.34</v>
      </c>
      <c r="T550" s="36" t="n">
        <v>40.28</v>
      </c>
      <c r="U550" s="36" t="n">
        <v>31.92</v>
      </c>
      <c r="V550" s="36" t="n">
        <v>29.63</v>
      </c>
      <c r="W550" s="36" t="n">
        <v>41.27999999999999</v>
      </c>
      <c r="X550" s="36" t="n">
        <v>23.32</v>
      </c>
      <c r="Y550" s="28" t="n">
        <v>46.83</v>
      </c>
      <c r="Z550" s="36" t="n">
        <v>37.08</v>
      </c>
      <c r="AA550" s="36" t="n">
        <v>35.74</v>
      </c>
      <c r="AB550" s="36" t="n">
        <v>36.7</v>
      </c>
      <c r="AC550" s="36" t="n">
        <v>36.13</v>
      </c>
      <c r="AD550" s="36" t="n">
        <v>84.57000000000001</v>
      </c>
      <c r="AE550" s="36" t="n">
        <v>61.16</v>
      </c>
      <c r="AF550" s="28" t="n">
        <v>92.31999999999999</v>
      </c>
      <c r="AG550" s="36" t="n">
        <v>52.56</v>
      </c>
      <c r="AH550" s="37" t="n">
        <v>37.08</v>
      </c>
      <c r="AI550" s="37" t="n">
        <v>36.12</v>
      </c>
      <c r="AJ550" s="37" t="n">
        <v>32.88</v>
      </c>
      <c r="AK550" s="37" t="n">
        <v>79.13000000000001</v>
      </c>
      <c r="AL550" s="37" t="n">
        <v>38.23</v>
      </c>
      <c r="AM550" s="37" t="n">
        <v>58.87</v>
      </c>
      <c r="AN550" s="37" t="n">
        <v>36.7</v>
      </c>
      <c r="AO550" s="37" t="n">
        <v>35.17</v>
      </c>
      <c r="AP550" s="37" t="n">
        <v>48.16</v>
      </c>
      <c r="AQ550" s="37" t="n">
        <v>46.45</v>
      </c>
      <c r="AR550" s="37" t="n">
        <v>38.03</v>
      </c>
      <c r="AS550" s="37" t="n">
        <v>21.4</v>
      </c>
      <c r="AT550" s="37" t="n">
        <v>42.44</v>
      </c>
      <c r="AU550" s="37" t="n">
        <v>72.05</v>
      </c>
      <c r="AV550" s="37" t="n">
        <v>74.34999999999999</v>
      </c>
      <c r="AW550" s="37" t="n">
        <v>35.17</v>
      </c>
      <c r="AX550" s="37" t="n">
        <v>31.54</v>
      </c>
      <c r="AY550" s="37" t="n">
        <v>36.7</v>
      </c>
      <c r="AZ550" s="37" t="n">
        <v>20.26</v>
      </c>
      <c r="BA550" s="37" t="n">
        <v>39.19</v>
      </c>
      <c r="BB550" s="37" t="n">
        <v>36.32</v>
      </c>
      <c r="BC550" s="37" t="n">
        <v>10.9</v>
      </c>
      <c r="BD550" s="37" t="n">
        <v>31.34</v>
      </c>
      <c r="BE550" s="37" t="n">
        <v>37.08</v>
      </c>
      <c r="BF550" s="37" t="n">
        <v>32.69</v>
      </c>
      <c r="BG550" s="37" t="n">
        <v>26.57</v>
      </c>
      <c r="BH550" s="37" t="n">
        <v>50.65</v>
      </c>
      <c r="BI550" s="37" t="n">
        <v>43.01000000000001</v>
      </c>
      <c r="BJ550" s="37" t="n">
        <v>135.46</v>
      </c>
      <c r="BK550" s="37" t="n">
        <v>91.73</v>
      </c>
      <c r="BL550" s="37" t="n">
        <v>47.4</v>
      </c>
      <c r="BM550" s="37" t="n">
        <v>35.17</v>
      </c>
      <c r="BN550" s="37" t="n">
        <v>26.76</v>
      </c>
      <c r="BO550" s="37" t="n">
        <v>56.77</v>
      </c>
      <c r="BP550" s="37" t="n">
        <v>87.15000000000001</v>
      </c>
      <c r="BQ550" s="37" t="n">
        <v>61.73</v>
      </c>
      <c r="BR550" s="37" t="n">
        <v>40.33</v>
      </c>
      <c r="BS550" s="37" t="n">
        <v>37.08</v>
      </c>
      <c r="BT550" s="37" t="n">
        <v>32.69</v>
      </c>
      <c r="BU550" s="37" t="n">
        <v>38.61</v>
      </c>
      <c r="BV550" s="37" t="n">
        <v>52.56</v>
      </c>
      <c r="BW550" s="37" t="n">
        <v>43.01000000000001</v>
      </c>
      <c r="BX550" s="37" t="n">
        <v>40.71</v>
      </c>
      <c r="BY550" s="37" t="n">
        <v>40.33</v>
      </c>
      <c r="BZ550" s="37" t="n">
        <v>70.14</v>
      </c>
      <c r="CA550" s="37" t="n">
        <v>38.04</v>
      </c>
      <c r="CB550" s="37" t="n">
        <v>25.43</v>
      </c>
      <c r="CC550" s="37" t="n">
        <v>3233.250000000001</v>
      </c>
    </row>
    <row r="551" ht="15.75" customHeight="1" s="57">
      <c r="A551" s="7" t="inlineStr">
        <is>
          <t>NTB</t>
        </is>
      </c>
      <c r="B551" s="7" t="inlineStr">
        <is>
          <t>Đắk Nông</t>
        </is>
      </c>
      <c r="C551" s="7" t="n">
        <v>2309</v>
      </c>
      <c r="D551" s="7" t="inlineStr">
        <is>
          <t>(DNO) Đức Lập</t>
        </is>
      </c>
      <c r="E551" s="7" t="inlineStr">
        <is>
          <t>Shopee-Bulky (10-15kg)</t>
        </is>
      </c>
      <c r="F551" s="36" t="n">
        <v>13.31</v>
      </c>
      <c r="G551" s="36" t="n">
        <v>23.12</v>
      </c>
      <c r="H551" s="36" t="n">
        <v>18.56</v>
      </c>
      <c r="I551" s="36" t="n">
        <v>21.72</v>
      </c>
      <c r="J551" s="36" t="n">
        <v>22.42</v>
      </c>
      <c r="K551" s="28" t="n">
        <v>13.31</v>
      </c>
      <c r="L551" s="36" t="n">
        <v>11.56</v>
      </c>
      <c r="M551" s="36" t="n">
        <v>9.109999999999999</v>
      </c>
      <c r="N551" s="36" t="n">
        <v>21.02</v>
      </c>
      <c r="O551" s="36" t="n">
        <v>25.22</v>
      </c>
      <c r="P551" s="36" t="n">
        <v>16.46</v>
      </c>
      <c r="Q551" s="36" t="n">
        <v>18.21</v>
      </c>
      <c r="R551" s="28" t="n">
        <v>24.17</v>
      </c>
      <c r="S551" s="36" t="n">
        <v>6.66</v>
      </c>
      <c r="T551" s="36" t="n">
        <v>21.72</v>
      </c>
      <c r="U551" s="36" t="n">
        <v>16.63</v>
      </c>
      <c r="V551" s="36" t="n">
        <v>16.06</v>
      </c>
      <c r="W551" s="36" t="n">
        <v>22.17</v>
      </c>
      <c r="X551" s="36" t="n">
        <v>12.99</v>
      </c>
      <c r="Y551" s="28" t="n">
        <v>24.08</v>
      </c>
      <c r="Z551" s="36" t="n">
        <v>18.54</v>
      </c>
      <c r="AA551" s="36" t="n">
        <v>18.15</v>
      </c>
      <c r="AB551" s="36" t="n">
        <v>18.54</v>
      </c>
      <c r="AC551" s="36" t="n">
        <v>18.92</v>
      </c>
      <c r="AD551" s="36" t="n">
        <v>77.97</v>
      </c>
      <c r="AE551" s="36" t="n">
        <v>32.68000000000001</v>
      </c>
      <c r="AF551" s="28" t="n">
        <v>47.77</v>
      </c>
      <c r="AG551" s="36" t="n">
        <v>26.76</v>
      </c>
      <c r="AH551" s="37" t="n">
        <v>18.54</v>
      </c>
      <c r="AI551" s="37" t="n">
        <v>18.73</v>
      </c>
      <c r="AJ551" s="37" t="n">
        <v>16.82</v>
      </c>
      <c r="AK551" s="37" t="n">
        <v>43.76</v>
      </c>
      <c r="AL551" s="37" t="n">
        <v>20.26</v>
      </c>
      <c r="AM551" s="37" t="n">
        <v>30.19</v>
      </c>
      <c r="AN551" s="37" t="n">
        <v>18.34</v>
      </c>
      <c r="AO551" s="37" t="n">
        <v>18.15</v>
      </c>
      <c r="AP551" s="37" t="n">
        <v>24.08</v>
      </c>
      <c r="AQ551" s="37" t="n">
        <v>24.27</v>
      </c>
      <c r="AR551" s="37" t="n">
        <v>20.45</v>
      </c>
      <c r="AS551" s="37" t="n">
        <v>11.85</v>
      </c>
      <c r="AT551" s="37" t="n">
        <v>21.98</v>
      </c>
      <c r="AU551" s="37" t="n">
        <v>40.12</v>
      </c>
      <c r="AV551" s="37" t="n">
        <v>38.98</v>
      </c>
      <c r="AW551" s="37" t="n">
        <v>17.2</v>
      </c>
      <c r="AX551" s="37" t="n">
        <v>16.25</v>
      </c>
      <c r="AY551" s="37" t="n">
        <v>19.87</v>
      </c>
      <c r="AZ551" s="37" t="n">
        <v>11.08</v>
      </c>
      <c r="BA551" s="37" t="n">
        <v>20.45</v>
      </c>
      <c r="BB551" s="37" t="n">
        <v>19.11</v>
      </c>
      <c r="BC551" s="37" t="n">
        <v>4.779999999999999</v>
      </c>
      <c r="BD551" s="37" t="n">
        <v>17.01</v>
      </c>
      <c r="BE551" s="37" t="n">
        <v>19.5</v>
      </c>
      <c r="BF551" s="37" t="n">
        <v>17.77</v>
      </c>
      <c r="BG551" s="37" t="n">
        <v>15.48</v>
      </c>
      <c r="BH551" s="37" t="n">
        <v>26.56</v>
      </c>
      <c r="BI551" s="37" t="n">
        <v>22.17</v>
      </c>
      <c r="BJ551" s="37" t="n">
        <v>108.75</v>
      </c>
      <c r="BK551" s="37" t="n">
        <v>50.06</v>
      </c>
      <c r="BL551" s="37" t="n">
        <v>24.27</v>
      </c>
      <c r="BM551" s="37" t="n">
        <v>18.34</v>
      </c>
      <c r="BN551" s="37" t="n">
        <v>15.1</v>
      </c>
      <c r="BO551" s="37" t="n">
        <v>29.82</v>
      </c>
      <c r="BP551" s="37" t="n">
        <v>46.62</v>
      </c>
      <c r="BQ551" s="37" t="n">
        <v>31.92</v>
      </c>
      <c r="BR551" s="37" t="n">
        <v>20.64</v>
      </c>
      <c r="BS551" s="37" t="n">
        <v>19.5</v>
      </c>
      <c r="BT551" s="37" t="n">
        <v>17.77</v>
      </c>
      <c r="BU551" s="37" t="n">
        <v>19.88</v>
      </c>
      <c r="BV551" s="37" t="n">
        <v>27.33</v>
      </c>
      <c r="BW551" s="37" t="n">
        <v>22.17</v>
      </c>
      <c r="BX551" s="37" t="n">
        <v>21.4</v>
      </c>
      <c r="BY551" s="37" t="n">
        <v>20.64</v>
      </c>
      <c r="BZ551" s="37" t="n">
        <v>37.83</v>
      </c>
      <c r="CA551" s="37" t="n">
        <v>20.45</v>
      </c>
      <c r="CB551" s="37" t="n">
        <v>14.71</v>
      </c>
      <c r="CC551" s="37" t="n">
        <v>1778.78</v>
      </c>
    </row>
    <row r="552" ht="15.75" customHeight="1" s="57">
      <c r="A552" s="7" t="inlineStr">
        <is>
          <t>NTB</t>
        </is>
      </c>
      <c r="B552" s="7" t="inlineStr">
        <is>
          <t>Đắk Nông</t>
        </is>
      </c>
      <c r="C552" s="7" t="n">
        <v>2309</v>
      </c>
      <c r="D552" s="7" t="inlineStr">
        <is>
          <t>(DNO) Đức Lập</t>
        </is>
      </c>
      <c r="E552" s="7" t="inlineStr">
        <is>
          <t>TTS</t>
        </is>
      </c>
      <c r="F552" s="36" t="n">
        <v>293</v>
      </c>
      <c r="G552" s="36" t="n">
        <v>302</v>
      </c>
      <c r="H552" s="36" t="n">
        <v>319</v>
      </c>
      <c r="I552" s="36" t="n">
        <v>275</v>
      </c>
      <c r="J552" s="36" t="n">
        <v>303</v>
      </c>
      <c r="K552" s="28" t="n">
        <v>255</v>
      </c>
      <c r="L552" s="36" t="n">
        <v>201</v>
      </c>
      <c r="M552" s="36" t="n">
        <v>163</v>
      </c>
      <c r="N552" s="36" t="n">
        <v>372</v>
      </c>
      <c r="O552" s="36" t="n">
        <v>228</v>
      </c>
      <c r="P552" s="36" t="n">
        <v>309</v>
      </c>
      <c r="Q552" s="36" t="n">
        <v>253</v>
      </c>
      <c r="R552" s="28" t="n">
        <v>237</v>
      </c>
      <c r="S552" s="36" t="n">
        <v>197</v>
      </c>
      <c r="T552" s="36" t="n">
        <v>248</v>
      </c>
      <c r="U552" s="36" t="n">
        <v>275.84</v>
      </c>
      <c r="V552" s="36" t="n">
        <v>271.79</v>
      </c>
      <c r="W552" s="36" t="n">
        <v>265.29</v>
      </c>
      <c r="X552" s="36" t="n">
        <v>213.96</v>
      </c>
      <c r="Y552" s="28" t="n">
        <v>313.08</v>
      </c>
      <c r="Z552" s="36" t="n">
        <v>266.51</v>
      </c>
      <c r="AA552" s="36" t="n">
        <v>293.78</v>
      </c>
      <c r="AB552" s="36" t="n">
        <v>326.31</v>
      </c>
      <c r="AC552" s="36" t="n">
        <v>344.77</v>
      </c>
      <c r="AD552" s="36" t="n">
        <v>378.72</v>
      </c>
      <c r="AE552" s="36" t="n">
        <v>248.6</v>
      </c>
      <c r="AF552" s="28" t="n">
        <v>322.92</v>
      </c>
      <c r="AG552" s="36" t="n">
        <v>270.73</v>
      </c>
      <c r="AH552" s="37" t="n">
        <v>267.4</v>
      </c>
      <c r="AI552" s="37" t="n">
        <v>305.91</v>
      </c>
      <c r="AJ552" s="37" t="n">
        <v>328.41</v>
      </c>
      <c r="AK552" s="37" t="n">
        <v>323.85</v>
      </c>
      <c r="AL552" s="37" t="n">
        <v>230.83</v>
      </c>
      <c r="AM552" s="37" t="n">
        <v>318</v>
      </c>
      <c r="AN552" s="37" t="n">
        <v>274.07</v>
      </c>
      <c r="AO552" s="37" t="n">
        <v>271.44</v>
      </c>
      <c r="AP552" s="37" t="n">
        <v>264.25</v>
      </c>
      <c r="AQ552" s="37" t="n">
        <v>267.22</v>
      </c>
      <c r="AR552" s="37" t="n">
        <v>262.3</v>
      </c>
      <c r="AS552" s="37" t="n">
        <v>214.66</v>
      </c>
      <c r="AT552" s="37" t="n">
        <v>343.33</v>
      </c>
      <c r="AU552" s="37" t="n">
        <v>310.83</v>
      </c>
      <c r="AV552" s="37" t="n">
        <v>276.01</v>
      </c>
      <c r="AW552" s="37" t="n">
        <v>260.56</v>
      </c>
      <c r="AX552" s="37" t="n">
        <v>259.49</v>
      </c>
      <c r="AY552" s="37" t="n">
        <v>258.61</v>
      </c>
      <c r="AZ552" s="37" t="n">
        <v>214.66</v>
      </c>
      <c r="BA552" s="37" t="n">
        <v>310.6199999999999</v>
      </c>
      <c r="BB552" s="37" t="n">
        <v>289.73</v>
      </c>
      <c r="BC552" s="37" t="n">
        <v>172.13</v>
      </c>
      <c r="BD552" s="37" t="n">
        <v>249.48</v>
      </c>
      <c r="BE552" s="37" t="n">
        <v>293.59</v>
      </c>
      <c r="BF552" s="37" t="n">
        <v>285.69</v>
      </c>
      <c r="BG552" s="37" t="n">
        <v>231.01</v>
      </c>
      <c r="BH552" s="37" t="n">
        <v>343.15</v>
      </c>
      <c r="BI552" s="37" t="n">
        <v>289.73</v>
      </c>
      <c r="BJ552" s="37" t="n">
        <v>287.28</v>
      </c>
      <c r="BK552" s="37" t="n">
        <v>292.9</v>
      </c>
      <c r="BL552" s="37" t="n">
        <v>293.59</v>
      </c>
      <c r="BM552" s="37" t="n">
        <v>285.69</v>
      </c>
      <c r="BN552" s="37" t="n">
        <v>231.01</v>
      </c>
      <c r="BO552" s="37" t="n">
        <v>343.15</v>
      </c>
      <c r="BP552" s="37" t="n">
        <v>289.73</v>
      </c>
      <c r="BQ552" s="37" t="n">
        <v>286.39</v>
      </c>
      <c r="BR552" s="37" t="n">
        <v>292.9</v>
      </c>
      <c r="BS552" s="37" t="n">
        <v>293.59</v>
      </c>
      <c r="BT552" s="37" t="n">
        <v>285.69</v>
      </c>
      <c r="BU552" s="37" t="n">
        <v>231.01</v>
      </c>
      <c r="BV552" s="37" t="n">
        <v>343.15</v>
      </c>
      <c r="BW552" s="37" t="n">
        <v>289.73</v>
      </c>
      <c r="BX552" s="37" t="n">
        <v>286.39</v>
      </c>
      <c r="BY552" s="37" t="n">
        <v>292.9</v>
      </c>
      <c r="BZ552" s="37" t="n">
        <v>293.59</v>
      </c>
      <c r="CA552" s="37" t="n">
        <v>285.69</v>
      </c>
      <c r="CB552" s="37" t="n">
        <v>231.01</v>
      </c>
      <c r="CC552" s="37" t="n">
        <v>20899.64999999999</v>
      </c>
    </row>
    <row r="553" ht="15.75" customHeight="1" s="57">
      <c r="A553" s="7" t="inlineStr">
        <is>
          <t>NTB</t>
        </is>
      </c>
      <c r="B553" s="7" t="inlineStr">
        <is>
          <t>Đắk Nông</t>
        </is>
      </c>
      <c r="C553" s="7" t="n">
        <v>2309</v>
      </c>
      <c r="D553" s="7" t="inlineStr">
        <is>
          <t>(DNO) Đức Lập</t>
        </is>
      </c>
      <c r="E553" s="7" t="inlineStr">
        <is>
          <t>TTS-Bulky</t>
        </is>
      </c>
      <c r="F553" s="36" t="n">
        <v>5</v>
      </c>
      <c r="G553" s="36" t="n">
        <v>4</v>
      </c>
      <c r="H553" s="36" t="n">
        <v>2</v>
      </c>
      <c r="I553" s="36" t="n">
        <v>8</v>
      </c>
      <c r="J553" s="36" t="n">
        <v>8</v>
      </c>
      <c r="K553" s="28" t="n">
        <v>4</v>
      </c>
      <c r="L553" s="36" t="n">
        <v>6</v>
      </c>
      <c r="M553" s="36" t="n">
        <v>3</v>
      </c>
      <c r="N553" s="36" t="n">
        <v>4</v>
      </c>
      <c r="O553" s="36" t="n">
        <v>1</v>
      </c>
      <c r="P553" s="36" t="n">
        <v>3</v>
      </c>
      <c r="Q553" s="36" t="n">
        <v>3</v>
      </c>
      <c r="R553" s="28" t="n">
        <v>3</v>
      </c>
      <c r="S553" s="36" t="n">
        <v>2</v>
      </c>
      <c r="T553" s="36" t="n">
        <v>2</v>
      </c>
      <c r="U553" s="36" t="n">
        <v>12.93</v>
      </c>
      <c r="V553" s="36" t="n">
        <v>13.92</v>
      </c>
      <c r="W553" s="36" t="n">
        <v>6.63</v>
      </c>
      <c r="X553" s="36" t="n">
        <v>3.98</v>
      </c>
      <c r="Y553" s="28" t="n">
        <v>8.449999999999999</v>
      </c>
      <c r="Z553" s="36" t="n">
        <v>6.46</v>
      </c>
      <c r="AA553" s="36" t="n">
        <v>6.96</v>
      </c>
      <c r="AB553" s="36" t="n">
        <v>7.46</v>
      </c>
      <c r="AC553" s="36" t="n">
        <v>7.62</v>
      </c>
      <c r="AD553" s="36" t="n">
        <v>6.63</v>
      </c>
      <c r="AE553" s="36" t="n">
        <v>4.81</v>
      </c>
      <c r="AF553" s="28" t="n">
        <v>8.949999999999999</v>
      </c>
      <c r="AG553" s="36" t="n">
        <v>6.63</v>
      </c>
      <c r="AH553" s="37" t="n">
        <v>6.46</v>
      </c>
      <c r="AI553" s="37" t="n">
        <v>6.96</v>
      </c>
      <c r="AJ553" s="37" t="n">
        <v>7.46</v>
      </c>
      <c r="AK553" s="37" t="n">
        <v>7.79</v>
      </c>
      <c r="AL553" s="37" t="n">
        <v>3.98</v>
      </c>
      <c r="AM553" s="37" t="n">
        <v>8.619999999999999</v>
      </c>
      <c r="AN553" s="37" t="n">
        <v>6.3</v>
      </c>
      <c r="AO553" s="37" t="n">
        <v>6.63</v>
      </c>
      <c r="AP553" s="37" t="n">
        <v>6.46</v>
      </c>
      <c r="AQ553" s="37" t="n">
        <v>7.13</v>
      </c>
      <c r="AR553" s="37" t="n">
        <v>6.63</v>
      </c>
      <c r="AS553" s="37" t="n">
        <v>3.98</v>
      </c>
      <c r="AT553" s="37" t="n">
        <v>9.119999999999999</v>
      </c>
      <c r="AU553" s="37" t="n">
        <v>7.29</v>
      </c>
      <c r="AV553" s="37" t="n">
        <v>6.63</v>
      </c>
      <c r="AW553" s="37" t="n">
        <v>6.3</v>
      </c>
      <c r="AX553" s="37" t="n">
        <v>7.13</v>
      </c>
      <c r="AY553" s="37" t="n">
        <v>6.63</v>
      </c>
      <c r="AZ553" s="37" t="n">
        <v>3.98</v>
      </c>
      <c r="BA553" s="37" t="n">
        <v>7.79</v>
      </c>
      <c r="BB553" s="37" t="n">
        <v>1.82</v>
      </c>
      <c r="BC553" s="37" t="n">
        <v>0.83</v>
      </c>
      <c r="BD553" s="37" t="n">
        <v>1.33</v>
      </c>
      <c r="BE553" s="37" t="n">
        <v>1.82</v>
      </c>
      <c r="BF553" s="37" t="n">
        <v>1.82</v>
      </c>
      <c r="BG553" s="37" t="n">
        <v>1.16</v>
      </c>
      <c r="BH553" s="37" t="n">
        <v>2.49</v>
      </c>
      <c r="BI553" s="37" t="n">
        <v>1.82</v>
      </c>
      <c r="BJ553" s="37" t="n">
        <v>1.66</v>
      </c>
      <c r="BK553" s="37" t="n">
        <v>1.82</v>
      </c>
      <c r="BL553" s="37" t="n">
        <v>1.82</v>
      </c>
      <c r="BM553" s="37" t="n">
        <v>1.82</v>
      </c>
      <c r="BN553" s="37" t="n">
        <v>1.33</v>
      </c>
      <c r="BO553" s="37" t="n">
        <v>2.65</v>
      </c>
      <c r="BP553" s="37" t="n">
        <v>2.15</v>
      </c>
      <c r="BQ553" s="37" t="n">
        <v>1.82</v>
      </c>
      <c r="BR553" s="37" t="n">
        <v>1.82</v>
      </c>
      <c r="BS553" s="37" t="n">
        <v>1.82</v>
      </c>
      <c r="BT553" s="37" t="n">
        <v>1.82</v>
      </c>
      <c r="BU553" s="37" t="n">
        <v>0.99</v>
      </c>
      <c r="BV553" s="37" t="n">
        <v>2.32</v>
      </c>
      <c r="BW553" s="37" t="n">
        <v>1.82</v>
      </c>
      <c r="BX553" s="37" t="n">
        <v>1.82</v>
      </c>
      <c r="BY553" s="37" t="n">
        <v>1.82</v>
      </c>
      <c r="BZ553" s="37" t="n">
        <v>1.82</v>
      </c>
      <c r="CA553" s="37" t="n">
        <v>1.82</v>
      </c>
      <c r="CB553" s="37" t="n">
        <v>0.99</v>
      </c>
      <c r="CC553" s="37" t="n">
        <v>339.7199999999999</v>
      </c>
    </row>
    <row r="554" ht="15.75" customHeight="1" s="57">
      <c r="A554" s="7" t="inlineStr">
        <is>
          <t>NTB</t>
        </is>
      </c>
      <c r="B554" s="7" t="inlineStr">
        <is>
          <t>Đắk Nông</t>
        </is>
      </c>
      <c r="C554" s="7" t="n">
        <v>20269000</v>
      </c>
      <c r="D554" s="7" t="inlineStr">
        <is>
          <t>(DNO) Kiến Đức</t>
        </is>
      </c>
      <c r="E554" s="7" t="inlineStr">
        <is>
          <t>SME</t>
        </is>
      </c>
      <c r="F554" s="36" t="n">
        <v>142</v>
      </c>
      <c r="G554" s="36" t="n">
        <v>183</v>
      </c>
      <c r="H554" s="36" t="n">
        <v>174</v>
      </c>
      <c r="I554" s="36" t="n">
        <v>173</v>
      </c>
      <c r="J554" s="36" t="n">
        <v>170</v>
      </c>
      <c r="K554" s="28" t="n">
        <v>133</v>
      </c>
      <c r="L554" s="36" t="n">
        <v>160</v>
      </c>
      <c r="M554" s="36" t="n">
        <v>136</v>
      </c>
      <c r="N554" s="36" t="n">
        <v>186</v>
      </c>
      <c r="O554" s="36" t="n">
        <v>120</v>
      </c>
      <c r="P554" s="36" t="n">
        <v>99</v>
      </c>
      <c r="Q554" s="36" t="n">
        <v>131</v>
      </c>
      <c r="R554" s="28" t="n">
        <v>137</v>
      </c>
      <c r="S554" s="36" t="n">
        <v>125</v>
      </c>
      <c r="T554" s="36" t="n">
        <v>122</v>
      </c>
      <c r="U554" s="36" t="n">
        <v>174.23</v>
      </c>
      <c r="V554" s="36" t="n">
        <v>179.86</v>
      </c>
      <c r="W554" s="36" t="n">
        <v>175.32</v>
      </c>
      <c r="X554" s="36" t="n">
        <v>143.12</v>
      </c>
      <c r="Y554" s="28" t="n">
        <v>194.05</v>
      </c>
      <c r="Z554" s="36" t="n">
        <v>178.49</v>
      </c>
      <c r="AA554" s="36" t="n">
        <v>174.83</v>
      </c>
      <c r="AB554" s="36" t="n">
        <v>174.23</v>
      </c>
      <c r="AC554" s="36" t="n">
        <v>179.86</v>
      </c>
      <c r="AD554" s="36" t="n">
        <v>181.37</v>
      </c>
      <c r="AE554" s="36" t="n">
        <v>143.12</v>
      </c>
      <c r="AF554" s="28" t="n">
        <v>194.05</v>
      </c>
      <c r="AG554" s="36" t="n">
        <v>178.49</v>
      </c>
      <c r="AH554" s="37" t="n">
        <v>174.83</v>
      </c>
      <c r="AI554" s="37" t="n">
        <v>174.23</v>
      </c>
      <c r="AJ554" s="37" t="n">
        <v>179.86</v>
      </c>
      <c r="AK554" s="37" t="n">
        <v>175.32</v>
      </c>
      <c r="AL554" s="37" t="n">
        <v>143.12</v>
      </c>
      <c r="AM554" s="37" t="n">
        <v>194.05</v>
      </c>
      <c r="AN554" s="37" t="n">
        <v>178.49</v>
      </c>
      <c r="AO554" s="37" t="n">
        <v>174.83</v>
      </c>
      <c r="AP554" s="37" t="n">
        <v>174.23</v>
      </c>
      <c r="AQ554" s="37" t="n">
        <v>179.86</v>
      </c>
      <c r="AR554" s="37" t="n">
        <v>175.32</v>
      </c>
      <c r="AS554" s="37" t="n">
        <v>143.12</v>
      </c>
      <c r="AT554" s="37" t="n">
        <v>194.05</v>
      </c>
      <c r="AU554" s="37" t="n">
        <v>178.49</v>
      </c>
      <c r="AV554" s="37" t="n">
        <v>174.83</v>
      </c>
      <c r="AW554" s="37" t="n">
        <v>174.23</v>
      </c>
      <c r="AX554" s="37" t="n">
        <v>179.86</v>
      </c>
      <c r="AY554" s="37" t="n">
        <v>175.32</v>
      </c>
      <c r="AZ554" s="37" t="n">
        <v>143.12</v>
      </c>
      <c r="BA554" s="37" t="n">
        <v>174.89</v>
      </c>
      <c r="BB554" s="37" t="n">
        <v>156.7</v>
      </c>
      <c r="BC554" s="37" t="n">
        <v>98.73</v>
      </c>
      <c r="BD554" s="37" t="n">
        <v>98.55</v>
      </c>
      <c r="BE554" s="37" t="n">
        <v>166.65</v>
      </c>
      <c r="BF554" s="37" t="n">
        <v>162.33</v>
      </c>
      <c r="BG554" s="37" t="n">
        <v>147.64</v>
      </c>
      <c r="BH554" s="37" t="n">
        <v>199.77</v>
      </c>
      <c r="BI554" s="37" t="n">
        <v>183.87</v>
      </c>
      <c r="BJ554" s="37" t="n">
        <v>185.92</v>
      </c>
      <c r="BK554" s="37" t="n">
        <v>179.42</v>
      </c>
      <c r="BL554" s="37" t="n">
        <v>185.32</v>
      </c>
      <c r="BM554" s="37" t="n">
        <v>180.71</v>
      </c>
      <c r="BN554" s="37" t="n">
        <v>147.64</v>
      </c>
      <c r="BO554" s="37" t="n">
        <v>199.77</v>
      </c>
      <c r="BP554" s="37" t="n">
        <v>183.87</v>
      </c>
      <c r="BQ554" s="37" t="n">
        <v>180.22</v>
      </c>
      <c r="BR554" s="37" t="n">
        <v>179.42</v>
      </c>
      <c r="BS554" s="37" t="n">
        <v>185.32</v>
      </c>
      <c r="BT554" s="37" t="n">
        <v>180.71</v>
      </c>
      <c r="BU554" s="37" t="n">
        <v>147.64</v>
      </c>
      <c r="BV554" s="37" t="n">
        <v>199.77</v>
      </c>
      <c r="BW554" s="37" t="n">
        <v>183.87</v>
      </c>
      <c r="BX554" s="37" t="n">
        <v>180.22</v>
      </c>
      <c r="BY554" s="37" t="n">
        <v>179.42</v>
      </c>
      <c r="BZ554" s="37" t="n">
        <v>185.32</v>
      </c>
      <c r="CA554" s="37" t="n">
        <v>180.71</v>
      </c>
      <c r="CB554" s="37" t="n">
        <v>147.64</v>
      </c>
      <c r="CC554" s="37" t="n">
        <v>12531.21999999999</v>
      </c>
    </row>
    <row r="555" ht="15.75" customHeight="1" s="57">
      <c r="A555" s="7" t="inlineStr">
        <is>
          <t>NTB</t>
        </is>
      </c>
      <c r="B555" s="7" t="inlineStr">
        <is>
          <t>Đắk Nông</t>
        </is>
      </c>
      <c r="C555" s="7" t="n">
        <v>20269000</v>
      </c>
      <c r="D555" s="7" t="inlineStr">
        <is>
          <t>(DNO) Kiến Đức</t>
        </is>
      </c>
      <c r="E555" s="7" t="inlineStr">
        <is>
          <t>SME-Bulky</t>
        </is>
      </c>
      <c r="F555" s="36" t="n">
        <v>10</v>
      </c>
      <c r="G555" s="36" t="n">
        <v>7</v>
      </c>
      <c r="H555" s="36" t="n">
        <v>4</v>
      </c>
      <c r="I555" s="36" t="n">
        <v>11</v>
      </c>
      <c r="J555" s="36" t="n">
        <v>5</v>
      </c>
      <c r="K555" s="28" t="n">
        <v>9</v>
      </c>
      <c r="L555" s="36" t="n">
        <v>13</v>
      </c>
      <c r="M555" s="36" t="n">
        <v>6</v>
      </c>
      <c r="N555" s="36" t="n">
        <v>11</v>
      </c>
      <c r="O555" s="36" t="n">
        <v>12</v>
      </c>
      <c r="P555" s="36" t="n">
        <v>8</v>
      </c>
      <c r="Q555" s="36" t="n">
        <v>4</v>
      </c>
      <c r="R555" s="28" t="n">
        <v>7</v>
      </c>
      <c r="S555" s="36" t="n">
        <v>7</v>
      </c>
      <c r="T555" s="36" t="n">
        <v>9</v>
      </c>
      <c r="U555" s="36" t="n">
        <v>9.109999999999999</v>
      </c>
      <c r="V555" s="36" t="n">
        <v>9.07</v>
      </c>
      <c r="W555" s="36" t="n">
        <v>8.460000000000001</v>
      </c>
      <c r="X555" s="36" t="n">
        <v>5.94</v>
      </c>
      <c r="Y555" s="28" t="n">
        <v>10.1</v>
      </c>
      <c r="Z555" s="36" t="n">
        <v>9.859999999999999</v>
      </c>
      <c r="AA555" s="36" t="n">
        <v>9.300000000000001</v>
      </c>
      <c r="AB555" s="36" t="n">
        <v>9.109999999999999</v>
      </c>
      <c r="AC555" s="36" t="n">
        <v>9.07</v>
      </c>
      <c r="AD555" s="36" t="n">
        <v>8.18</v>
      </c>
      <c r="AE555" s="36" t="n">
        <v>5.94</v>
      </c>
      <c r="AF555" s="28" t="n">
        <v>10.1</v>
      </c>
      <c r="AG555" s="36" t="n">
        <v>9.859999999999999</v>
      </c>
      <c r="AH555" s="37" t="n">
        <v>9.300000000000001</v>
      </c>
      <c r="AI555" s="37" t="n">
        <v>9.109999999999999</v>
      </c>
      <c r="AJ555" s="37" t="n">
        <v>9.07</v>
      </c>
      <c r="AK555" s="37" t="n">
        <v>8.460000000000001</v>
      </c>
      <c r="AL555" s="37" t="n">
        <v>5.94</v>
      </c>
      <c r="AM555" s="37" t="n">
        <v>10.1</v>
      </c>
      <c r="AN555" s="37" t="n">
        <v>9.859999999999999</v>
      </c>
      <c r="AO555" s="37" t="n">
        <v>9.300000000000001</v>
      </c>
      <c r="AP555" s="37" t="n">
        <v>9.109999999999999</v>
      </c>
      <c r="AQ555" s="37" t="n">
        <v>9.07</v>
      </c>
      <c r="AR555" s="37" t="n">
        <v>8.460000000000001</v>
      </c>
      <c r="AS555" s="37" t="n">
        <v>5.94</v>
      </c>
      <c r="AT555" s="37" t="n">
        <v>10.1</v>
      </c>
      <c r="AU555" s="37" t="n">
        <v>9.859999999999999</v>
      </c>
      <c r="AV555" s="37" t="n">
        <v>9.300000000000001</v>
      </c>
      <c r="AW555" s="37" t="n">
        <v>9.109999999999999</v>
      </c>
      <c r="AX555" s="37" t="n">
        <v>9.07</v>
      </c>
      <c r="AY555" s="37" t="n">
        <v>8.460000000000001</v>
      </c>
      <c r="AZ555" s="37" t="n">
        <v>5.94</v>
      </c>
      <c r="BA555" s="37" t="n">
        <v>10</v>
      </c>
      <c r="BB555" s="37" t="n">
        <v>5.37</v>
      </c>
      <c r="BC555" s="37" t="n">
        <v>2.76</v>
      </c>
      <c r="BD555" s="37" t="n">
        <v>2.48</v>
      </c>
      <c r="BE555" s="37" t="n">
        <v>4.67</v>
      </c>
      <c r="BF555" s="37" t="n">
        <v>4.39</v>
      </c>
      <c r="BG555" s="37" t="n">
        <v>3.51</v>
      </c>
      <c r="BH555" s="37" t="n">
        <v>5.8</v>
      </c>
      <c r="BI555" s="37" t="n">
        <v>5.75</v>
      </c>
      <c r="BJ555" s="37" t="n">
        <v>5.28</v>
      </c>
      <c r="BK555" s="37" t="n">
        <v>5.33</v>
      </c>
      <c r="BL555" s="37" t="n">
        <v>5.33</v>
      </c>
      <c r="BM555" s="37" t="n">
        <v>5</v>
      </c>
      <c r="BN555" s="37" t="n">
        <v>3.51</v>
      </c>
      <c r="BO555" s="37" t="n">
        <v>5.8</v>
      </c>
      <c r="BP555" s="37" t="n">
        <v>5.75</v>
      </c>
      <c r="BQ555" s="37" t="n">
        <v>5.37</v>
      </c>
      <c r="BR555" s="37" t="n">
        <v>5.33</v>
      </c>
      <c r="BS555" s="37" t="n">
        <v>5.33</v>
      </c>
      <c r="BT555" s="37" t="n">
        <v>5</v>
      </c>
      <c r="BU555" s="37" t="n">
        <v>3.51</v>
      </c>
      <c r="BV555" s="37" t="n">
        <v>5.8</v>
      </c>
      <c r="BW555" s="37" t="n">
        <v>5.75</v>
      </c>
      <c r="BX555" s="37" t="n">
        <v>5.37</v>
      </c>
      <c r="BY555" s="37" t="n">
        <v>5.33</v>
      </c>
      <c r="BZ555" s="37" t="n">
        <v>5.33</v>
      </c>
      <c r="CA555" s="37" t="n">
        <v>5</v>
      </c>
      <c r="CB555" s="37" t="n">
        <v>3.51</v>
      </c>
      <c r="CC555" s="37" t="n">
        <v>544.0200000000001</v>
      </c>
    </row>
    <row r="556" ht="15.75" customHeight="1" s="57">
      <c r="A556" s="7" t="inlineStr">
        <is>
          <t>NTB</t>
        </is>
      </c>
      <c r="B556" s="7" t="inlineStr">
        <is>
          <t>Đắk Nông</t>
        </is>
      </c>
      <c r="C556" s="7" t="n">
        <v>20269000</v>
      </c>
      <c r="D556" s="7" t="inlineStr">
        <is>
          <t>(DNO) Kiến Đức</t>
        </is>
      </c>
      <c r="E556" s="7" t="inlineStr">
        <is>
          <t>Shopee</t>
        </is>
      </c>
      <c r="F556" s="36" t="n">
        <v>105</v>
      </c>
      <c r="G556" s="36" t="n">
        <v>108</v>
      </c>
      <c r="H556" s="36" t="n">
        <v>141</v>
      </c>
      <c r="I556" s="36" t="n">
        <v>105</v>
      </c>
      <c r="J556" s="36" t="n">
        <v>111</v>
      </c>
      <c r="K556" s="28" t="n">
        <v>84</v>
      </c>
      <c r="L556" s="36" t="n">
        <v>80</v>
      </c>
      <c r="M556" s="36" t="n">
        <v>27</v>
      </c>
      <c r="N556" s="36" t="n">
        <v>43</v>
      </c>
      <c r="O556" s="36" t="n">
        <v>30</v>
      </c>
      <c r="P556" s="36" t="n">
        <v>35</v>
      </c>
      <c r="Q556" s="36" t="n">
        <v>16</v>
      </c>
      <c r="R556" s="28" t="n">
        <v>12</v>
      </c>
      <c r="S556" s="36" t="n">
        <v>55</v>
      </c>
      <c r="T556" s="36" t="n">
        <v>40</v>
      </c>
      <c r="U556" s="36" t="n">
        <v>38.92</v>
      </c>
      <c r="V556" s="36" t="n">
        <v>39.02</v>
      </c>
      <c r="W556" s="36" t="n">
        <v>38.51</v>
      </c>
      <c r="X556" s="36" t="n">
        <v>31.33</v>
      </c>
      <c r="Y556" s="28" t="n">
        <v>52.32</v>
      </c>
      <c r="Z556" s="36" t="n">
        <v>41.5</v>
      </c>
      <c r="AA556" s="36" t="n">
        <v>57.05</v>
      </c>
      <c r="AB556" s="36" t="n">
        <v>39.66</v>
      </c>
      <c r="AC556" s="36" t="n">
        <v>32.04</v>
      </c>
      <c r="AD556" s="36" t="n">
        <v>73.09999999999999</v>
      </c>
      <c r="AE556" s="36" t="n">
        <v>33.61</v>
      </c>
      <c r="AF556" s="28" t="n">
        <v>59.84</v>
      </c>
      <c r="AG556" s="36" t="n">
        <v>43.47</v>
      </c>
      <c r="AH556" s="37" t="n">
        <v>45.96</v>
      </c>
      <c r="AI556" s="37" t="n">
        <v>38.92</v>
      </c>
      <c r="AJ556" s="37" t="n">
        <v>39.02</v>
      </c>
      <c r="AK556" s="37" t="n">
        <v>51.91</v>
      </c>
      <c r="AL556" s="37" t="n">
        <v>56.23</v>
      </c>
      <c r="AM556" s="37" t="n">
        <v>52.32</v>
      </c>
      <c r="AN556" s="37" t="n">
        <v>41.5</v>
      </c>
      <c r="AO556" s="37" t="n">
        <v>45.96</v>
      </c>
      <c r="AP556" s="37" t="n">
        <v>48.68</v>
      </c>
      <c r="AQ556" s="37" t="n">
        <v>31.33</v>
      </c>
      <c r="AR556" s="37" t="n">
        <v>38.51</v>
      </c>
      <c r="AS556" s="37" t="n">
        <v>31.33</v>
      </c>
      <c r="AT556" s="37" t="n">
        <v>52.32</v>
      </c>
      <c r="AU556" s="37" t="n">
        <v>42.28</v>
      </c>
      <c r="AV556" s="37" t="n">
        <v>46.91</v>
      </c>
      <c r="AW556" s="37" t="n">
        <v>38.92</v>
      </c>
      <c r="AX556" s="37" t="n">
        <v>39.02</v>
      </c>
      <c r="AY556" s="37" t="n">
        <v>38.51</v>
      </c>
      <c r="AZ556" s="37" t="n">
        <v>31.33</v>
      </c>
      <c r="BA556" s="37" t="n">
        <v>40.38</v>
      </c>
      <c r="BB556" s="37" t="n">
        <v>35.17</v>
      </c>
      <c r="BC556" s="37" t="n">
        <v>17.96</v>
      </c>
      <c r="BD556" s="37" t="n">
        <v>32.01</v>
      </c>
      <c r="BE556" s="37" t="n">
        <v>37.18</v>
      </c>
      <c r="BF556" s="37" t="n">
        <v>36.74</v>
      </c>
      <c r="BG556" s="37" t="n">
        <v>30.51</v>
      </c>
      <c r="BH556" s="37" t="n">
        <v>49.83</v>
      </c>
      <c r="BI556" s="37" t="n">
        <v>32.62</v>
      </c>
      <c r="BJ556" s="37" t="n">
        <v>103.92</v>
      </c>
      <c r="BK556" s="37" t="n">
        <v>39.66</v>
      </c>
      <c r="BL556" s="37" t="n">
        <v>39.09</v>
      </c>
      <c r="BM556" s="37" t="n">
        <v>36.74</v>
      </c>
      <c r="BN556" s="37" t="n">
        <v>29.93</v>
      </c>
      <c r="BO556" s="37" t="n">
        <v>49.83</v>
      </c>
      <c r="BP556" s="37" t="n">
        <v>53.44</v>
      </c>
      <c r="BQ556" s="37" t="n">
        <v>78.65000000000001</v>
      </c>
      <c r="BR556" s="37" t="n">
        <v>37.08</v>
      </c>
      <c r="BS556" s="37" t="n">
        <v>37.18</v>
      </c>
      <c r="BT556" s="37" t="n">
        <v>36.74</v>
      </c>
      <c r="BU556" s="37" t="n">
        <v>37.28</v>
      </c>
      <c r="BV556" s="37" t="n">
        <v>39.97</v>
      </c>
      <c r="BW556" s="37" t="n">
        <v>39.53</v>
      </c>
      <c r="BX556" s="37" t="n">
        <v>43.71</v>
      </c>
      <c r="BY556" s="37" t="n">
        <v>37.08</v>
      </c>
      <c r="BZ556" s="37" t="n">
        <v>38</v>
      </c>
      <c r="CA556" s="37" t="n">
        <v>37.42</v>
      </c>
      <c r="CB556" s="37" t="n">
        <v>29.93</v>
      </c>
      <c r="CC556" s="37" t="n">
        <v>3540.91</v>
      </c>
    </row>
    <row r="557" ht="15.75" customHeight="1" s="57">
      <c r="A557" s="7" t="inlineStr">
        <is>
          <t>NTB</t>
        </is>
      </c>
      <c r="B557" s="7" t="inlineStr">
        <is>
          <t>Đắk Nông</t>
        </is>
      </c>
      <c r="C557" s="7" t="n">
        <v>20269000</v>
      </c>
      <c r="D557" s="7" t="inlineStr">
        <is>
          <t>(DNO) Kiến Đức</t>
        </is>
      </c>
      <c r="E557" s="7" t="inlineStr">
        <is>
          <t>Shopee-Bulky</t>
        </is>
      </c>
      <c r="F557" s="36" t="n">
        <v>11.69</v>
      </c>
      <c r="G557" s="36" t="n">
        <v>9.74</v>
      </c>
      <c r="H557" s="36" t="n">
        <v>5.85</v>
      </c>
      <c r="I557" s="36" t="n">
        <v>9.74</v>
      </c>
      <c r="J557" s="36" t="n">
        <v>16.89</v>
      </c>
      <c r="K557" s="28" t="n">
        <v>5.85</v>
      </c>
      <c r="L557" s="36" t="n">
        <v>5.85</v>
      </c>
      <c r="M557" s="36" t="n">
        <v>6.5</v>
      </c>
      <c r="N557" s="36" t="n">
        <v>12.34</v>
      </c>
      <c r="O557" s="36" t="n">
        <v>14.94</v>
      </c>
      <c r="P557" s="36" t="n">
        <v>11.04</v>
      </c>
      <c r="Q557" s="36" t="n">
        <v>9.1</v>
      </c>
      <c r="R557" s="28" t="n">
        <v>7.8</v>
      </c>
      <c r="S557" s="36" t="n">
        <v>11.69</v>
      </c>
      <c r="T557" s="36" t="n">
        <v>5.85</v>
      </c>
      <c r="U557" s="36" t="n">
        <v>9.300000000000001</v>
      </c>
      <c r="V557" s="36" t="n">
        <v>8.630000000000001</v>
      </c>
      <c r="W557" s="36" t="n">
        <v>12.02</v>
      </c>
      <c r="X557" s="36" t="n">
        <v>6.79</v>
      </c>
      <c r="Y557" s="28" t="n">
        <v>13.64</v>
      </c>
      <c r="Z557" s="36" t="n">
        <v>10.8</v>
      </c>
      <c r="AA557" s="36" t="n">
        <v>10.41</v>
      </c>
      <c r="AB557" s="36" t="n">
        <v>10.69</v>
      </c>
      <c r="AC557" s="36" t="n">
        <v>10.52</v>
      </c>
      <c r="AD557" s="36" t="n">
        <v>24.6</v>
      </c>
      <c r="AE557" s="36" t="n">
        <v>17.81</v>
      </c>
      <c r="AF557" s="28" t="n">
        <v>26.89</v>
      </c>
      <c r="AG557" s="36" t="n">
        <v>15.31</v>
      </c>
      <c r="AH557" s="37" t="n">
        <v>10.8</v>
      </c>
      <c r="AI557" s="37" t="n">
        <v>10.52</v>
      </c>
      <c r="AJ557" s="37" t="n">
        <v>9.57</v>
      </c>
      <c r="AK557" s="37" t="n">
        <v>23.05</v>
      </c>
      <c r="AL557" s="37" t="n">
        <v>11.13</v>
      </c>
      <c r="AM557" s="37" t="n">
        <v>17.15</v>
      </c>
      <c r="AN557" s="37" t="n">
        <v>10.69</v>
      </c>
      <c r="AO557" s="37" t="n">
        <v>10.24</v>
      </c>
      <c r="AP557" s="37" t="n">
        <v>14.03</v>
      </c>
      <c r="AQ557" s="37" t="n">
        <v>13.53</v>
      </c>
      <c r="AR557" s="37" t="n">
        <v>11.08</v>
      </c>
      <c r="AS557" s="37" t="n">
        <v>6.23</v>
      </c>
      <c r="AT557" s="37" t="n">
        <v>12.36</v>
      </c>
      <c r="AU557" s="37" t="n">
        <v>20.99</v>
      </c>
      <c r="AV557" s="37" t="n">
        <v>21.65</v>
      </c>
      <c r="AW557" s="37" t="n">
        <v>10.24</v>
      </c>
      <c r="AX557" s="37" t="n">
        <v>9.19</v>
      </c>
      <c r="AY557" s="37" t="n">
        <v>10.69</v>
      </c>
      <c r="AZ557" s="37" t="n">
        <v>5.9</v>
      </c>
      <c r="BA557" s="37" t="n">
        <v>11.41</v>
      </c>
      <c r="BB557" s="37" t="n">
        <v>10.58</v>
      </c>
      <c r="BC557" s="37" t="n">
        <v>3.17</v>
      </c>
      <c r="BD557" s="37" t="n">
        <v>9.130000000000001</v>
      </c>
      <c r="BE557" s="37" t="n">
        <v>10.8</v>
      </c>
      <c r="BF557" s="37" t="n">
        <v>9.52</v>
      </c>
      <c r="BG557" s="37" t="n">
        <v>7.74</v>
      </c>
      <c r="BH557" s="37" t="n">
        <v>14.75</v>
      </c>
      <c r="BI557" s="37" t="n">
        <v>12.53</v>
      </c>
      <c r="BJ557" s="37" t="n">
        <v>39.41</v>
      </c>
      <c r="BK557" s="37" t="n">
        <v>26.72</v>
      </c>
      <c r="BL557" s="37" t="n">
        <v>13.81</v>
      </c>
      <c r="BM557" s="37" t="n">
        <v>10.24</v>
      </c>
      <c r="BN557" s="37" t="n">
        <v>7.79</v>
      </c>
      <c r="BO557" s="37" t="n">
        <v>16.53</v>
      </c>
      <c r="BP557" s="37" t="n">
        <v>25.38</v>
      </c>
      <c r="BQ557" s="37" t="n">
        <v>17.98</v>
      </c>
      <c r="BR557" s="37" t="n">
        <v>11.75</v>
      </c>
      <c r="BS557" s="37" t="n">
        <v>10.8</v>
      </c>
      <c r="BT557" s="37" t="n">
        <v>9.52</v>
      </c>
      <c r="BU557" s="37" t="n">
        <v>11.24</v>
      </c>
      <c r="BV557" s="37" t="n">
        <v>15.31</v>
      </c>
      <c r="BW557" s="37" t="n">
        <v>12.53</v>
      </c>
      <c r="BX557" s="37" t="n">
        <v>11.86</v>
      </c>
      <c r="BY557" s="37" t="n">
        <v>11.75</v>
      </c>
      <c r="BZ557" s="37" t="n">
        <v>20.43</v>
      </c>
      <c r="CA557" s="37" t="n">
        <v>11.08</v>
      </c>
      <c r="CB557" s="37" t="n">
        <v>7.4</v>
      </c>
      <c r="CC557" s="37" t="n">
        <v>942.4799999999997</v>
      </c>
    </row>
    <row r="558" ht="15.75" customHeight="1" s="57">
      <c r="A558" s="7" t="inlineStr">
        <is>
          <t>NTB</t>
        </is>
      </c>
      <c r="B558" s="7" t="inlineStr">
        <is>
          <t>Đắk Nông</t>
        </is>
      </c>
      <c r="C558" s="7" t="n">
        <v>20269000</v>
      </c>
      <c r="D558" s="7" t="inlineStr">
        <is>
          <t>(DNO) Kiến Đức</t>
        </is>
      </c>
      <c r="E558" s="7" t="inlineStr">
        <is>
          <t>Shopee-Bulky (10-15kg)</t>
        </is>
      </c>
      <c r="F558" s="36" t="n">
        <v>6.31</v>
      </c>
      <c r="G558" s="36" t="n">
        <v>5.26</v>
      </c>
      <c r="H558" s="36" t="n">
        <v>3.15</v>
      </c>
      <c r="I558" s="36" t="n">
        <v>5.26</v>
      </c>
      <c r="J558" s="36" t="n">
        <v>9.109999999999999</v>
      </c>
      <c r="K558" s="28" t="n">
        <v>3.15</v>
      </c>
      <c r="L558" s="36" t="n">
        <v>3.15</v>
      </c>
      <c r="M558" s="36" t="n">
        <v>3.5</v>
      </c>
      <c r="N558" s="36" t="n">
        <v>6.66</v>
      </c>
      <c r="O558" s="36" t="n">
        <v>8.06</v>
      </c>
      <c r="P558" s="36" t="n">
        <v>5.96</v>
      </c>
      <c r="Q558" s="36" t="n">
        <v>4.9</v>
      </c>
      <c r="R558" s="28" t="n">
        <v>4.2</v>
      </c>
      <c r="S558" s="36" t="n">
        <v>6.31</v>
      </c>
      <c r="T558" s="36" t="n">
        <v>3.15</v>
      </c>
      <c r="U558" s="36" t="n">
        <v>4.84</v>
      </c>
      <c r="V558" s="36" t="n">
        <v>4.68</v>
      </c>
      <c r="W558" s="36" t="n">
        <v>6.46</v>
      </c>
      <c r="X558" s="36" t="n">
        <v>3.79</v>
      </c>
      <c r="Y558" s="28" t="n">
        <v>7.01</v>
      </c>
      <c r="Z558" s="36" t="n">
        <v>5.4</v>
      </c>
      <c r="AA558" s="36" t="n">
        <v>5.29</v>
      </c>
      <c r="AB558" s="36" t="n">
        <v>5.4</v>
      </c>
      <c r="AC558" s="36" t="n">
        <v>5.51</v>
      </c>
      <c r="AD558" s="36" t="n">
        <v>22.71</v>
      </c>
      <c r="AE558" s="36" t="n">
        <v>9.52</v>
      </c>
      <c r="AF558" s="28" t="n">
        <v>13.92</v>
      </c>
      <c r="AG558" s="36" t="n">
        <v>7.79</v>
      </c>
      <c r="AH558" s="37" t="n">
        <v>5.4</v>
      </c>
      <c r="AI558" s="37" t="n">
        <v>5.46</v>
      </c>
      <c r="AJ558" s="37" t="n">
        <v>4.9</v>
      </c>
      <c r="AK558" s="37" t="n">
        <v>12.75</v>
      </c>
      <c r="AL558" s="37" t="n">
        <v>5.9</v>
      </c>
      <c r="AM558" s="37" t="n">
        <v>8.800000000000001</v>
      </c>
      <c r="AN558" s="37" t="n">
        <v>5.34</v>
      </c>
      <c r="AO558" s="37" t="n">
        <v>5.29</v>
      </c>
      <c r="AP558" s="37" t="n">
        <v>7.01</v>
      </c>
      <c r="AQ558" s="37" t="n">
        <v>7.07</v>
      </c>
      <c r="AR558" s="37" t="n">
        <v>5.96</v>
      </c>
      <c r="AS558" s="37" t="n">
        <v>3.45</v>
      </c>
      <c r="AT558" s="37" t="n">
        <v>6.4</v>
      </c>
      <c r="AU558" s="37" t="n">
        <v>11.69</v>
      </c>
      <c r="AV558" s="37" t="n">
        <v>11.36</v>
      </c>
      <c r="AW558" s="37" t="n">
        <v>5.01</v>
      </c>
      <c r="AX558" s="37" t="n">
        <v>4.73</v>
      </c>
      <c r="AY558" s="37" t="n">
        <v>5.79</v>
      </c>
      <c r="AZ558" s="37" t="n">
        <v>3.23</v>
      </c>
      <c r="BA558" s="37" t="n">
        <v>5.96</v>
      </c>
      <c r="BB558" s="37" t="n">
        <v>5.57</v>
      </c>
      <c r="BC558" s="37" t="n">
        <v>1.39</v>
      </c>
      <c r="BD558" s="37" t="n">
        <v>4.95</v>
      </c>
      <c r="BE558" s="37" t="n">
        <v>5.68</v>
      </c>
      <c r="BF558" s="37" t="n">
        <v>5.18</v>
      </c>
      <c r="BG558" s="37" t="n">
        <v>4.51</v>
      </c>
      <c r="BH558" s="37" t="n">
        <v>7.74</v>
      </c>
      <c r="BI558" s="37" t="n">
        <v>6.46</v>
      </c>
      <c r="BJ558" s="37" t="n">
        <v>31.67</v>
      </c>
      <c r="BK558" s="37" t="n">
        <v>14.58</v>
      </c>
      <c r="BL558" s="37" t="n">
        <v>7.07</v>
      </c>
      <c r="BM558" s="37" t="n">
        <v>5.34</v>
      </c>
      <c r="BN558" s="37" t="n">
        <v>4.4</v>
      </c>
      <c r="BO558" s="37" t="n">
        <v>8.68</v>
      </c>
      <c r="BP558" s="37" t="n">
        <v>13.58</v>
      </c>
      <c r="BQ558" s="37" t="n">
        <v>9.300000000000001</v>
      </c>
      <c r="BR558" s="37" t="n">
        <v>6.01</v>
      </c>
      <c r="BS558" s="37" t="n">
        <v>5.68</v>
      </c>
      <c r="BT558" s="37" t="n">
        <v>5.18</v>
      </c>
      <c r="BU558" s="37" t="n">
        <v>5.79</v>
      </c>
      <c r="BV558" s="37" t="n">
        <v>7.96</v>
      </c>
      <c r="BW558" s="37" t="n">
        <v>6.46</v>
      </c>
      <c r="BX558" s="37" t="n">
        <v>6.23</v>
      </c>
      <c r="BY558" s="37" t="n">
        <v>6.01</v>
      </c>
      <c r="BZ558" s="37" t="n">
        <v>11.02</v>
      </c>
      <c r="CA558" s="37" t="n">
        <v>5.96</v>
      </c>
      <c r="CB558" s="37" t="n">
        <v>4.29</v>
      </c>
      <c r="CC558" s="37" t="n">
        <v>518.6399999999999</v>
      </c>
    </row>
    <row r="559" ht="15.75" customHeight="1" s="57">
      <c r="A559" s="7" t="inlineStr">
        <is>
          <t>NTB</t>
        </is>
      </c>
      <c r="B559" s="7" t="inlineStr">
        <is>
          <t>Đắk Nông</t>
        </is>
      </c>
      <c r="C559" s="7" t="n">
        <v>20269000</v>
      </c>
      <c r="D559" s="7" t="inlineStr">
        <is>
          <t>(DNO) Kiến Đức</t>
        </is>
      </c>
      <c r="E559" s="7" t="inlineStr">
        <is>
          <t>TTS</t>
        </is>
      </c>
      <c r="F559" s="36" t="n">
        <v>112</v>
      </c>
      <c r="G559" s="36" t="n">
        <v>93</v>
      </c>
      <c r="H559" s="36" t="n">
        <v>103</v>
      </c>
      <c r="I559" s="36" t="n">
        <v>116</v>
      </c>
      <c r="J559" s="36" t="n">
        <v>114</v>
      </c>
      <c r="K559" s="28" t="n">
        <v>86</v>
      </c>
      <c r="L559" s="36" t="n">
        <v>97</v>
      </c>
      <c r="M559" s="36" t="n">
        <v>96</v>
      </c>
      <c r="N559" s="36" t="n">
        <v>121</v>
      </c>
      <c r="O559" s="36" t="n">
        <v>96</v>
      </c>
      <c r="P559" s="36" t="n">
        <v>69</v>
      </c>
      <c r="Q559" s="36" t="n">
        <v>105</v>
      </c>
      <c r="R559" s="28" t="n">
        <v>104</v>
      </c>
      <c r="S559" s="36" t="n">
        <v>83</v>
      </c>
      <c r="T559" s="36" t="n">
        <v>107</v>
      </c>
      <c r="U559" s="36" t="n">
        <v>102.52</v>
      </c>
      <c r="V559" s="36" t="n">
        <v>101.02</v>
      </c>
      <c r="W559" s="36" t="n">
        <v>98.60000000000001</v>
      </c>
      <c r="X559" s="36" t="n">
        <v>79.52</v>
      </c>
      <c r="Y559" s="28" t="n">
        <v>116.37</v>
      </c>
      <c r="Z559" s="36" t="n">
        <v>99.06</v>
      </c>
      <c r="AA559" s="36" t="n">
        <v>109.18</v>
      </c>
      <c r="AB559" s="36" t="n">
        <v>121.27</v>
      </c>
      <c r="AC559" s="36" t="n">
        <v>128.13</v>
      </c>
      <c r="AD559" s="36" t="n">
        <v>140.74</v>
      </c>
      <c r="AE559" s="36" t="n">
        <v>92.39</v>
      </c>
      <c r="AF559" s="28" t="n">
        <v>120.03</v>
      </c>
      <c r="AG559" s="36" t="n">
        <v>100.63</v>
      </c>
      <c r="AH559" s="37" t="n">
        <v>99.38000000000001</v>
      </c>
      <c r="AI559" s="37" t="n">
        <v>113.69</v>
      </c>
      <c r="AJ559" s="37" t="n">
        <v>122.06</v>
      </c>
      <c r="AK559" s="37" t="n">
        <v>120.35</v>
      </c>
      <c r="AL559" s="37" t="n">
        <v>85.78999999999999</v>
      </c>
      <c r="AM559" s="37" t="n">
        <v>118.2</v>
      </c>
      <c r="AN559" s="37" t="n">
        <v>101.87</v>
      </c>
      <c r="AO559" s="37" t="n">
        <v>100.88</v>
      </c>
      <c r="AP559" s="37" t="n">
        <v>98.21000000000001</v>
      </c>
      <c r="AQ559" s="37" t="n">
        <v>99.31999999999999</v>
      </c>
      <c r="AR559" s="37" t="n">
        <v>97.49000000000001</v>
      </c>
      <c r="AS559" s="37" t="n">
        <v>79.77999999999999</v>
      </c>
      <c r="AT559" s="37" t="n">
        <v>127.61</v>
      </c>
      <c r="AU559" s="37" t="n">
        <v>115.52</v>
      </c>
      <c r="AV559" s="37" t="n">
        <v>102.58</v>
      </c>
      <c r="AW559" s="37" t="n">
        <v>96.84</v>
      </c>
      <c r="AX559" s="37" t="n">
        <v>96.44</v>
      </c>
      <c r="AY559" s="37" t="n">
        <v>96.11</v>
      </c>
      <c r="AZ559" s="37" t="n">
        <v>79.77999999999999</v>
      </c>
      <c r="BA559" s="37" t="n">
        <v>115.45</v>
      </c>
      <c r="BB559" s="37" t="n">
        <v>107.68</v>
      </c>
      <c r="BC559" s="37" t="n">
        <v>63.96</v>
      </c>
      <c r="BD559" s="37" t="n">
        <v>92.72</v>
      </c>
      <c r="BE559" s="37" t="n">
        <v>109.12</v>
      </c>
      <c r="BF559" s="37" t="n">
        <v>106.18</v>
      </c>
      <c r="BG559" s="37" t="n">
        <v>85.86</v>
      </c>
      <c r="BH559" s="37" t="n">
        <v>127.54</v>
      </c>
      <c r="BI559" s="37" t="n">
        <v>107.68</v>
      </c>
      <c r="BJ559" s="37" t="n">
        <v>106.77</v>
      </c>
      <c r="BK559" s="37" t="n">
        <v>108.85</v>
      </c>
      <c r="BL559" s="37" t="n">
        <v>109.12</v>
      </c>
      <c r="BM559" s="37" t="n">
        <v>106.18</v>
      </c>
      <c r="BN559" s="37" t="n">
        <v>85.86</v>
      </c>
      <c r="BO559" s="37" t="n">
        <v>127.54</v>
      </c>
      <c r="BP559" s="37" t="n">
        <v>107.68</v>
      </c>
      <c r="BQ559" s="37" t="n">
        <v>106.44</v>
      </c>
      <c r="BR559" s="37" t="n">
        <v>108.85</v>
      </c>
      <c r="BS559" s="37" t="n">
        <v>109.12</v>
      </c>
      <c r="BT559" s="37" t="n">
        <v>106.18</v>
      </c>
      <c r="BU559" s="37" t="n">
        <v>85.86</v>
      </c>
      <c r="BV559" s="37" t="n">
        <v>127.54</v>
      </c>
      <c r="BW559" s="37" t="n">
        <v>107.68</v>
      </c>
      <c r="BX559" s="37" t="n">
        <v>106.44</v>
      </c>
      <c r="BY559" s="37" t="n">
        <v>108.85</v>
      </c>
      <c r="BZ559" s="37" t="n">
        <v>109.12</v>
      </c>
      <c r="CA559" s="37" t="n">
        <v>106.18</v>
      </c>
      <c r="CB559" s="37" t="n">
        <v>85.86</v>
      </c>
      <c r="CC559" s="37" t="n">
        <v>7799.67</v>
      </c>
    </row>
    <row r="560" ht="15.75" customHeight="1" s="57">
      <c r="A560" s="7" t="inlineStr">
        <is>
          <t>NTB</t>
        </is>
      </c>
      <c r="B560" s="7" t="inlineStr">
        <is>
          <t>Đắk Nông</t>
        </is>
      </c>
      <c r="C560" s="7" t="n">
        <v>20269000</v>
      </c>
      <c r="D560" s="7" t="inlineStr">
        <is>
          <t>(DNO) Kiến Đức</t>
        </is>
      </c>
      <c r="E560" s="7" t="inlineStr">
        <is>
          <t>TTS-Bulky</t>
        </is>
      </c>
      <c r="F560" s="36" t="n">
        <v>1</v>
      </c>
      <c r="G560" s="36" t="n">
        <v>4</v>
      </c>
      <c r="H560" s="36" t="n">
        <v>0</v>
      </c>
      <c r="I560" s="36" t="n">
        <v>3</v>
      </c>
      <c r="J560" s="36" t="n">
        <v>0</v>
      </c>
      <c r="K560" s="28" t="n">
        <v>1</v>
      </c>
      <c r="L560" s="36" t="n">
        <v>1</v>
      </c>
      <c r="M560" s="36" t="n">
        <v>1</v>
      </c>
      <c r="N560" s="36" t="n">
        <v>2</v>
      </c>
      <c r="O560" s="36" t="n">
        <v>1</v>
      </c>
      <c r="P560" s="36" t="n">
        <v>1</v>
      </c>
      <c r="Q560" s="36" t="n">
        <v>2</v>
      </c>
      <c r="R560" s="28" t="n">
        <v>0</v>
      </c>
      <c r="S560" s="36" t="n">
        <v>1</v>
      </c>
      <c r="T560" s="36" t="n">
        <v>6</v>
      </c>
      <c r="U560" s="36" t="n">
        <v>5.13</v>
      </c>
      <c r="V560" s="36" t="n">
        <v>5.52</v>
      </c>
      <c r="W560" s="36" t="n">
        <v>2.63</v>
      </c>
      <c r="X560" s="36" t="n">
        <v>1.58</v>
      </c>
      <c r="Y560" s="28" t="n">
        <v>3.35</v>
      </c>
      <c r="Z560" s="36" t="n">
        <v>2.56</v>
      </c>
      <c r="AA560" s="36" t="n">
        <v>2.76</v>
      </c>
      <c r="AB560" s="36" t="n">
        <v>2.96</v>
      </c>
      <c r="AC560" s="36" t="n">
        <v>3.02</v>
      </c>
      <c r="AD560" s="36" t="n">
        <v>2.63</v>
      </c>
      <c r="AE560" s="36" t="n">
        <v>1.91</v>
      </c>
      <c r="AF560" s="28" t="n">
        <v>3.55</v>
      </c>
      <c r="AG560" s="36" t="n">
        <v>2.63</v>
      </c>
      <c r="AH560" s="37" t="n">
        <v>2.56</v>
      </c>
      <c r="AI560" s="37" t="n">
        <v>2.76</v>
      </c>
      <c r="AJ560" s="37" t="n">
        <v>2.96</v>
      </c>
      <c r="AK560" s="37" t="n">
        <v>3.09</v>
      </c>
      <c r="AL560" s="37" t="n">
        <v>1.58</v>
      </c>
      <c r="AM560" s="37" t="n">
        <v>3.42</v>
      </c>
      <c r="AN560" s="37" t="n">
        <v>2.5</v>
      </c>
      <c r="AO560" s="37" t="n">
        <v>2.63</v>
      </c>
      <c r="AP560" s="37" t="n">
        <v>2.56</v>
      </c>
      <c r="AQ560" s="37" t="n">
        <v>2.83</v>
      </c>
      <c r="AR560" s="37" t="n">
        <v>2.63</v>
      </c>
      <c r="AS560" s="37" t="n">
        <v>1.58</v>
      </c>
      <c r="AT560" s="37" t="n">
        <v>3.62</v>
      </c>
      <c r="AU560" s="37" t="n">
        <v>2.89</v>
      </c>
      <c r="AV560" s="37" t="n">
        <v>2.63</v>
      </c>
      <c r="AW560" s="37" t="n">
        <v>2.5</v>
      </c>
      <c r="AX560" s="37" t="n">
        <v>2.83</v>
      </c>
      <c r="AY560" s="37" t="n">
        <v>2.63</v>
      </c>
      <c r="AZ560" s="37" t="n">
        <v>1.58</v>
      </c>
      <c r="BA560" s="37" t="n">
        <v>3.09</v>
      </c>
      <c r="BB560" s="37" t="n">
        <v>0.72</v>
      </c>
      <c r="BC560" s="37" t="n">
        <v>0.33</v>
      </c>
      <c r="BD560" s="37" t="n">
        <v>0.53</v>
      </c>
      <c r="BE560" s="37" t="n">
        <v>0.72</v>
      </c>
      <c r="BF560" s="37" t="n">
        <v>0.72</v>
      </c>
      <c r="BG560" s="37" t="n">
        <v>0.46</v>
      </c>
      <c r="BH560" s="37" t="n">
        <v>0.99</v>
      </c>
      <c r="BI560" s="37" t="n">
        <v>0.72</v>
      </c>
      <c r="BJ560" s="37" t="n">
        <v>0.66</v>
      </c>
      <c r="BK560" s="37" t="n">
        <v>0.72</v>
      </c>
      <c r="BL560" s="37" t="n">
        <v>0.72</v>
      </c>
      <c r="BM560" s="37" t="n">
        <v>0.72</v>
      </c>
      <c r="BN560" s="37" t="n">
        <v>0.53</v>
      </c>
      <c r="BO560" s="37" t="n">
        <v>1.05</v>
      </c>
      <c r="BP560" s="37" t="n">
        <v>0.85</v>
      </c>
      <c r="BQ560" s="37" t="n">
        <v>0.72</v>
      </c>
      <c r="BR560" s="37" t="n">
        <v>0.72</v>
      </c>
      <c r="BS560" s="37" t="n">
        <v>0.72</v>
      </c>
      <c r="BT560" s="37" t="n">
        <v>0.72</v>
      </c>
      <c r="BU560" s="37" t="n">
        <v>0.39</v>
      </c>
      <c r="BV560" s="37" t="n">
        <v>0.92</v>
      </c>
      <c r="BW560" s="37" t="n">
        <v>0.72</v>
      </c>
      <c r="BX560" s="37" t="n">
        <v>0.72</v>
      </c>
      <c r="BY560" s="37" t="n">
        <v>0.72</v>
      </c>
      <c r="BZ560" s="37" t="n">
        <v>0.72</v>
      </c>
      <c r="CA560" s="37" t="n">
        <v>0.72</v>
      </c>
      <c r="CB560" s="37" t="n">
        <v>0.39</v>
      </c>
      <c r="CC560" s="37" t="n">
        <v>135.7199999999999</v>
      </c>
    </row>
    <row r="561" ht="15.75" customHeight="1" s="57">
      <c r="A561" s="7" t="inlineStr">
        <is>
          <t>NTB</t>
        </is>
      </c>
      <c r="B561" s="7" t="inlineStr">
        <is>
          <t>Đắk Nông</t>
        </is>
      </c>
      <c r="C561" s="7" t="n">
        <v>20269003</v>
      </c>
      <c r="D561" s="7" t="inlineStr">
        <is>
          <t>(DNO) Nhân Cơ</t>
        </is>
      </c>
      <c r="E561" s="7" t="inlineStr">
        <is>
          <t>SME</t>
        </is>
      </c>
      <c r="F561" s="36" t="n">
        <v>90</v>
      </c>
      <c r="G561" s="36" t="n">
        <v>138</v>
      </c>
      <c r="H561" s="36" t="n">
        <v>137</v>
      </c>
      <c r="I561" s="36" t="n">
        <v>133</v>
      </c>
      <c r="J561" s="36" t="n">
        <v>110</v>
      </c>
      <c r="K561" s="28" t="n">
        <v>97</v>
      </c>
      <c r="L561" s="36" t="n">
        <v>95</v>
      </c>
      <c r="M561" s="36" t="n">
        <v>47</v>
      </c>
      <c r="N561" s="36" t="n">
        <v>127</v>
      </c>
      <c r="O561" s="36" t="n">
        <v>141</v>
      </c>
      <c r="P561" s="36" t="n">
        <v>76</v>
      </c>
      <c r="Q561" s="36" t="n">
        <v>54</v>
      </c>
      <c r="R561" s="28" t="n">
        <v>105</v>
      </c>
      <c r="S561" s="36" t="n">
        <v>138</v>
      </c>
      <c r="T561" s="36" t="n">
        <v>91</v>
      </c>
      <c r="U561" s="36" t="n">
        <v>141.86</v>
      </c>
      <c r="V561" s="36" t="n">
        <v>146.47</v>
      </c>
      <c r="W561" s="36" t="n">
        <v>142.78</v>
      </c>
      <c r="X561" s="36" t="n">
        <v>116.49</v>
      </c>
      <c r="Y561" s="28" t="n">
        <v>158.07</v>
      </c>
      <c r="Z561" s="36" t="n">
        <v>145.35</v>
      </c>
      <c r="AA561" s="36" t="n">
        <v>142.33</v>
      </c>
      <c r="AB561" s="36" t="n">
        <v>141.86</v>
      </c>
      <c r="AC561" s="36" t="n">
        <v>146.47</v>
      </c>
      <c r="AD561" s="36" t="n">
        <v>148.39</v>
      </c>
      <c r="AE561" s="36" t="n">
        <v>116.49</v>
      </c>
      <c r="AF561" s="28" t="n">
        <v>158.07</v>
      </c>
      <c r="AG561" s="36" t="n">
        <v>145.35</v>
      </c>
      <c r="AH561" s="37" t="n">
        <v>142.33</v>
      </c>
      <c r="AI561" s="37" t="n">
        <v>141.86</v>
      </c>
      <c r="AJ561" s="37" t="n">
        <v>146.47</v>
      </c>
      <c r="AK561" s="37" t="n">
        <v>142.78</v>
      </c>
      <c r="AL561" s="37" t="n">
        <v>116.49</v>
      </c>
      <c r="AM561" s="37" t="n">
        <v>158.07</v>
      </c>
      <c r="AN561" s="37" t="n">
        <v>145.35</v>
      </c>
      <c r="AO561" s="37" t="n">
        <v>142.33</v>
      </c>
      <c r="AP561" s="37" t="n">
        <v>141.86</v>
      </c>
      <c r="AQ561" s="37" t="n">
        <v>146.47</v>
      </c>
      <c r="AR561" s="37" t="n">
        <v>142.78</v>
      </c>
      <c r="AS561" s="37" t="n">
        <v>116.49</v>
      </c>
      <c r="AT561" s="37" t="n">
        <v>158.07</v>
      </c>
      <c r="AU561" s="37" t="n">
        <v>145.35</v>
      </c>
      <c r="AV561" s="37" t="n">
        <v>142.33</v>
      </c>
      <c r="AW561" s="37" t="n">
        <v>141.86</v>
      </c>
      <c r="AX561" s="37" t="n">
        <v>146.47</v>
      </c>
      <c r="AY561" s="37" t="n">
        <v>142.78</v>
      </c>
      <c r="AZ561" s="37" t="n">
        <v>116.49</v>
      </c>
      <c r="BA561" s="37" t="n">
        <v>142.39</v>
      </c>
      <c r="BB561" s="37" t="n">
        <v>127.53</v>
      </c>
      <c r="BC561" s="37" t="n">
        <v>80.3</v>
      </c>
      <c r="BD561" s="37" t="n">
        <v>80.13</v>
      </c>
      <c r="BE561" s="37" t="n">
        <v>135.53</v>
      </c>
      <c r="BF561" s="37" t="n">
        <v>132.06</v>
      </c>
      <c r="BG561" s="37" t="n">
        <v>120.11</v>
      </c>
      <c r="BH561" s="37" t="n">
        <v>162.64</v>
      </c>
      <c r="BI561" s="37" t="n">
        <v>149.66</v>
      </c>
      <c r="BJ561" s="37" t="n">
        <v>152.09</v>
      </c>
      <c r="BK561" s="37" t="n">
        <v>146.01</v>
      </c>
      <c r="BL561" s="37" t="n">
        <v>150.84</v>
      </c>
      <c r="BM561" s="37" t="n">
        <v>147.09</v>
      </c>
      <c r="BN561" s="37" t="n">
        <v>120.11</v>
      </c>
      <c r="BO561" s="37" t="n">
        <v>162.64</v>
      </c>
      <c r="BP561" s="37" t="n">
        <v>149.66</v>
      </c>
      <c r="BQ561" s="37" t="n">
        <v>146.64</v>
      </c>
      <c r="BR561" s="37" t="n">
        <v>146.01</v>
      </c>
      <c r="BS561" s="37" t="n">
        <v>150.84</v>
      </c>
      <c r="BT561" s="37" t="n">
        <v>147.09</v>
      </c>
      <c r="BU561" s="37" t="n">
        <v>120.11</v>
      </c>
      <c r="BV561" s="37" t="n">
        <v>162.64</v>
      </c>
      <c r="BW561" s="37" t="n">
        <v>149.66</v>
      </c>
      <c r="BX561" s="37" t="n">
        <v>146.64</v>
      </c>
      <c r="BY561" s="37" t="n">
        <v>146.01</v>
      </c>
      <c r="BZ561" s="37" t="n">
        <v>150.84</v>
      </c>
      <c r="CA561" s="37" t="n">
        <v>147.09</v>
      </c>
      <c r="CB561" s="37" t="n">
        <v>120.11</v>
      </c>
      <c r="CC561" s="37" t="n">
        <v>9998.08</v>
      </c>
    </row>
    <row r="562" ht="15.75" customHeight="1" s="57">
      <c r="A562" s="7" t="inlineStr">
        <is>
          <t>NTB</t>
        </is>
      </c>
      <c r="B562" s="7" t="inlineStr">
        <is>
          <t>Đắk Nông</t>
        </is>
      </c>
      <c r="C562" s="7" t="n">
        <v>20269003</v>
      </c>
      <c r="D562" s="7" t="inlineStr">
        <is>
          <t>(DNO) Nhân Cơ</t>
        </is>
      </c>
      <c r="E562" s="7" t="inlineStr">
        <is>
          <t>SME-Bulky</t>
        </is>
      </c>
      <c r="F562" s="36" t="n">
        <v>4</v>
      </c>
      <c r="G562" s="36" t="n">
        <v>11</v>
      </c>
      <c r="H562" s="36" t="n">
        <v>8</v>
      </c>
      <c r="I562" s="36" t="n">
        <v>14</v>
      </c>
      <c r="J562" s="36" t="n">
        <v>6</v>
      </c>
      <c r="K562" s="28" t="n">
        <v>5</v>
      </c>
      <c r="L562" s="36" t="n">
        <v>4</v>
      </c>
      <c r="M562" s="36" t="n">
        <v>2</v>
      </c>
      <c r="N562" s="36" t="n">
        <v>4</v>
      </c>
      <c r="O562" s="36" t="n">
        <v>21</v>
      </c>
      <c r="P562" s="36" t="n">
        <v>6</v>
      </c>
      <c r="Q562" s="36" t="n">
        <v>13</v>
      </c>
      <c r="R562" s="28" t="n">
        <v>13</v>
      </c>
      <c r="S562" s="36" t="n">
        <v>12</v>
      </c>
      <c r="T562" s="36" t="n">
        <v>9</v>
      </c>
      <c r="U562" s="36" t="n">
        <v>12.26</v>
      </c>
      <c r="V562" s="36" t="n">
        <v>12.19</v>
      </c>
      <c r="W562" s="36" t="n">
        <v>11.38</v>
      </c>
      <c r="X562" s="36" t="n">
        <v>7.98</v>
      </c>
      <c r="Y562" s="28" t="n">
        <v>13.58</v>
      </c>
      <c r="Z562" s="36" t="n">
        <v>13.26</v>
      </c>
      <c r="AA562" s="36" t="n">
        <v>12.51</v>
      </c>
      <c r="AB562" s="36" t="n">
        <v>12.26</v>
      </c>
      <c r="AC562" s="36" t="n">
        <v>12.19</v>
      </c>
      <c r="AD562" s="36" t="n">
        <v>11</v>
      </c>
      <c r="AE562" s="36" t="n">
        <v>7.98</v>
      </c>
      <c r="AF562" s="28" t="n">
        <v>13.58</v>
      </c>
      <c r="AG562" s="36" t="n">
        <v>13.26</v>
      </c>
      <c r="AH562" s="37" t="n">
        <v>12.51</v>
      </c>
      <c r="AI562" s="37" t="n">
        <v>12.26</v>
      </c>
      <c r="AJ562" s="37" t="n">
        <v>12.19</v>
      </c>
      <c r="AK562" s="37" t="n">
        <v>11.38</v>
      </c>
      <c r="AL562" s="37" t="n">
        <v>7.98</v>
      </c>
      <c r="AM562" s="37" t="n">
        <v>13.58</v>
      </c>
      <c r="AN562" s="37" t="n">
        <v>13.26</v>
      </c>
      <c r="AO562" s="37" t="n">
        <v>12.51</v>
      </c>
      <c r="AP562" s="37" t="n">
        <v>12.26</v>
      </c>
      <c r="AQ562" s="37" t="n">
        <v>12.19</v>
      </c>
      <c r="AR562" s="37" t="n">
        <v>11.38</v>
      </c>
      <c r="AS562" s="37" t="n">
        <v>7.98</v>
      </c>
      <c r="AT562" s="37" t="n">
        <v>13.58</v>
      </c>
      <c r="AU562" s="37" t="n">
        <v>13.26</v>
      </c>
      <c r="AV562" s="37" t="n">
        <v>12.51</v>
      </c>
      <c r="AW562" s="37" t="n">
        <v>12.26</v>
      </c>
      <c r="AX562" s="37" t="n">
        <v>12.19</v>
      </c>
      <c r="AY562" s="37" t="n">
        <v>11.38</v>
      </c>
      <c r="AZ562" s="37" t="n">
        <v>7.98</v>
      </c>
      <c r="BA562" s="37" t="n">
        <v>13.45</v>
      </c>
      <c r="BB562" s="37" t="n">
        <v>7.23</v>
      </c>
      <c r="BC562" s="37" t="n">
        <v>3.71</v>
      </c>
      <c r="BD562" s="37" t="n">
        <v>3.33</v>
      </c>
      <c r="BE562" s="37" t="n">
        <v>6.29</v>
      </c>
      <c r="BF562" s="37" t="n">
        <v>5.91</v>
      </c>
      <c r="BG562" s="37" t="n">
        <v>4.71</v>
      </c>
      <c r="BH562" s="37" t="n">
        <v>7.79</v>
      </c>
      <c r="BI562" s="37" t="n">
        <v>7.73</v>
      </c>
      <c r="BJ562" s="37" t="n">
        <v>7.1</v>
      </c>
      <c r="BK562" s="37" t="n">
        <v>7.17</v>
      </c>
      <c r="BL562" s="37" t="n">
        <v>7.17</v>
      </c>
      <c r="BM562" s="37" t="n">
        <v>6.73</v>
      </c>
      <c r="BN562" s="37" t="n">
        <v>4.71</v>
      </c>
      <c r="BO562" s="37" t="n">
        <v>7.79</v>
      </c>
      <c r="BP562" s="37" t="n">
        <v>7.73</v>
      </c>
      <c r="BQ562" s="37" t="n">
        <v>7.23</v>
      </c>
      <c r="BR562" s="37" t="n">
        <v>7.17</v>
      </c>
      <c r="BS562" s="37" t="n">
        <v>7.17</v>
      </c>
      <c r="BT562" s="37" t="n">
        <v>6.73</v>
      </c>
      <c r="BU562" s="37" t="n">
        <v>4.71</v>
      </c>
      <c r="BV562" s="37" t="n">
        <v>7.79</v>
      </c>
      <c r="BW562" s="37" t="n">
        <v>7.73</v>
      </c>
      <c r="BX562" s="37" t="n">
        <v>7.23</v>
      </c>
      <c r="BY562" s="37" t="n">
        <v>7.17</v>
      </c>
      <c r="BZ562" s="37" t="n">
        <v>7.17</v>
      </c>
      <c r="CA562" s="37" t="n">
        <v>6.73</v>
      </c>
      <c r="CB562" s="37" t="n">
        <v>4.71</v>
      </c>
      <c r="CC562" s="37" t="n">
        <v>698.1599999999999</v>
      </c>
    </row>
    <row r="563" ht="15.75" customHeight="1" s="57">
      <c r="A563" s="7" t="inlineStr">
        <is>
          <t>NTB</t>
        </is>
      </c>
      <c r="B563" s="7" t="inlineStr">
        <is>
          <t>Đắk Nông</t>
        </is>
      </c>
      <c r="C563" s="7" t="n">
        <v>20269003</v>
      </c>
      <c r="D563" s="7" t="inlineStr">
        <is>
          <t>(DNO) Nhân Cơ</t>
        </is>
      </c>
      <c r="E563" s="7" t="inlineStr">
        <is>
          <t>Shopee</t>
        </is>
      </c>
      <c r="F563" s="36" t="n">
        <v>96</v>
      </c>
      <c r="G563" s="36" t="n">
        <v>112</v>
      </c>
      <c r="H563" s="36" t="n">
        <v>93</v>
      </c>
      <c r="I563" s="36" t="n">
        <v>92</v>
      </c>
      <c r="J563" s="36" t="n">
        <v>62</v>
      </c>
      <c r="K563" s="28" t="n">
        <v>46</v>
      </c>
      <c r="L563" s="36" t="n">
        <v>41</v>
      </c>
      <c r="M563" s="36" t="n">
        <v>33</v>
      </c>
      <c r="N563" s="36" t="n">
        <v>77</v>
      </c>
      <c r="O563" s="36" t="n">
        <v>163</v>
      </c>
      <c r="P563" s="36" t="n">
        <v>79</v>
      </c>
      <c r="Q563" s="36" t="n">
        <v>50</v>
      </c>
      <c r="R563" s="28" t="n">
        <v>82</v>
      </c>
      <c r="S563" s="36" t="n">
        <v>104</v>
      </c>
      <c r="T563" s="36" t="n">
        <v>52</v>
      </c>
      <c r="U563" s="36" t="n">
        <v>102.47</v>
      </c>
      <c r="V563" s="36" t="n">
        <v>102.74</v>
      </c>
      <c r="W563" s="36" t="n">
        <v>101.4</v>
      </c>
      <c r="X563" s="36" t="n">
        <v>82.5</v>
      </c>
      <c r="Y563" s="28" t="n">
        <v>137.76</v>
      </c>
      <c r="Z563" s="36" t="n">
        <v>109.28</v>
      </c>
      <c r="AA563" s="36" t="n">
        <v>150.21</v>
      </c>
      <c r="AB563" s="36" t="n">
        <v>104.44</v>
      </c>
      <c r="AC563" s="36" t="n">
        <v>84.38</v>
      </c>
      <c r="AD563" s="36" t="n">
        <v>192.49</v>
      </c>
      <c r="AE563" s="36" t="n">
        <v>88.5</v>
      </c>
      <c r="AF563" s="28" t="n">
        <v>157.56</v>
      </c>
      <c r="AG563" s="36" t="n">
        <v>114.47</v>
      </c>
      <c r="AH563" s="37" t="n">
        <v>121.01</v>
      </c>
      <c r="AI563" s="37" t="n">
        <v>102.47</v>
      </c>
      <c r="AJ563" s="37" t="n">
        <v>102.74</v>
      </c>
      <c r="AK563" s="37" t="n">
        <v>136.69</v>
      </c>
      <c r="AL563" s="37" t="n">
        <v>148.06</v>
      </c>
      <c r="AM563" s="37" t="n">
        <v>137.76</v>
      </c>
      <c r="AN563" s="37" t="n">
        <v>109.28</v>
      </c>
      <c r="AO563" s="37" t="n">
        <v>121.01</v>
      </c>
      <c r="AP563" s="37" t="n">
        <v>128.18</v>
      </c>
      <c r="AQ563" s="37" t="n">
        <v>82.5</v>
      </c>
      <c r="AR563" s="37" t="n">
        <v>101.4</v>
      </c>
      <c r="AS563" s="37" t="n">
        <v>82.5</v>
      </c>
      <c r="AT563" s="37" t="n">
        <v>137.76</v>
      </c>
      <c r="AU563" s="37" t="n">
        <v>111.34</v>
      </c>
      <c r="AV563" s="37" t="n">
        <v>123.52</v>
      </c>
      <c r="AW563" s="37" t="n">
        <v>102.47</v>
      </c>
      <c r="AX563" s="37" t="n">
        <v>102.74</v>
      </c>
      <c r="AY563" s="37" t="n">
        <v>101.4</v>
      </c>
      <c r="AZ563" s="37" t="n">
        <v>82.5</v>
      </c>
      <c r="BA563" s="37" t="n">
        <v>106.32</v>
      </c>
      <c r="BB563" s="37" t="n">
        <v>92.62</v>
      </c>
      <c r="BC563" s="37" t="n">
        <v>47.29</v>
      </c>
      <c r="BD563" s="37" t="n">
        <v>84.29000000000001</v>
      </c>
      <c r="BE563" s="37" t="n">
        <v>97.90000000000001</v>
      </c>
      <c r="BF563" s="37" t="n">
        <v>96.73999999999999</v>
      </c>
      <c r="BG563" s="37" t="n">
        <v>80.34999999999999</v>
      </c>
      <c r="BH563" s="37" t="n">
        <v>131.22</v>
      </c>
      <c r="BI563" s="37" t="n">
        <v>85.90000000000001</v>
      </c>
      <c r="BJ563" s="37" t="n">
        <v>273.64</v>
      </c>
      <c r="BK563" s="37" t="n">
        <v>104.44</v>
      </c>
      <c r="BL563" s="37" t="n">
        <v>102.92</v>
      </c>
      <c r="BM563" s="37" t="n">
        <v>96.73999999999999</v>
      </c>
      <c r="BN563" s="37" t="n">
        <v>78.81999999999999</v>
      </c>
      <c r="BO563" s="37" t="n">
        <v>131.22</v>
      </c>
      <c r="BP563" s="37" t="n">
        <v>140.72</v>
      </c>
      <c r="BQ563" s="37" t="n">
        <v>207.09</v>
      </c>
      <c r="BR563" s="37" t="n">
        <v>97.63</v>
      </c>
      <c r="BS563" s="37" t="n">
        <v>97.90000000000001</v>
      </c>
      <c r="BT563" s="37" t="n">
        <v>96.73999999999999</v>
      </c>
      <c r="BU563" s="37" t="n">
        <v>98.17</v>
      </c>
      <c r="BV563" s="37" t="n">
        <v>105.25</v>
      </c>
      <c r="BW563" s="37" t="n">
        <v>104.08</v>
      </c>
      <c r="BX563" s="37" t="n">
        <v>115.1</v>
      </c>
      <c r="BY563" s="37" t="n">
        <v>97.63</v>
      </c>
      <c r="BZ563" s="37" t="n">
        <v>100.05</v>
      </c>
      <c r="CA563" s="37" t="n">
        <v>98.53</v>
      </c>
      <c r="CB563" s="37" t="n">
        <v>78.81999999999999</v>
      </c>
      <c r="CC563" s="37" t="n">
        <v>7893.649999999999</v>
      </c>
    </row>
    <row r="564" ht="15.75" customHeight="1" s="57">
      <c r="A564" s="7" t="inlineStr">
        <is>
          <t>NTB</t>
        </is>
      </c>
      <c r="B564" s="7" t="inlineStr">
        <is>
          <t>Đắk Nông</t>
        </is>
      </c>
      <c r="C564" s="7" t="n">
        <v>20269003</v>
      </c>
      <c r="D564" s="7" t="inlineStr">
        <is>
          <t>(DNO) Nhân Cơ</t>
        </is>
      </c>
      <c r="E564" s="7" t="inlineStr">
        <is>
          <t>Shopee-Bulky</t>
        </is>
      </c>
      <c r="F564" s="36" t="n">
        <v>3.9</v>
      </c>
      <c r="G564" s="36" t="n">
        <v>5.2</v>
      </c>
      <c r="H564" s="36" t="n">
        <v>5.2</v>
      </c>
      <c r="I564" s="36" t="n">
        <v>5.2</v>
      </c>
      <c r="J564" s="36" t="n">
        <v>1.95</v>
      </c>
      <c r="K564" s="28" t="n">
        <v>1.95</v>
      </c>
      <c r="L564" s="36" t="n">
        <v>2.6</v>
      </c>
      <c r="M564" s="36" t="n">
        <v>2.6</v>
      </c>
      <c r="N564" s="36" t="n">
        <v>2.6</v>
      </c>
      <c r="O564" s="36" t="n">
        <v>9.75</v>
      </c>
      <c r="P564" s="36" t="n">
        <v>1.3</v>
      </c>
      <c r="Q564" s="36" t="n">
        <v>38.99</v>
      </c>
      <c r="R564" s="28" t="n">
        <v>13</v>
      </c>
      <c r="S564" s="36" t="n">
        <v>2.6</v>
      </c>
      <c r="T564" s="36" t="n">
        <v>5.85</v>
      </c>
      <c r="U564" s="36" t="n">
        <v>9.470000000000001</v>
      </c>
      <c r="V564" s="36" t="n">
        <v>8.800000000000001</v>
      </c>
      <c r="W564" s="36" t="n">
        <v>12.25</v>
      </c>
      <c r="X564" s="36" t="n">
        <v>6.92</v>
      </c>
      <c r="Y564" s="28" t="n">
        <v>13.9</v>
      </c>
      <c r="Z564" s="36" t="n">
        <v>11</v>
      </c>
      <c r="AA564" s="36" t="n">
        <v>10.6</v>
      </c>
      <c r="AB564" s="36" t="n">
        <v>10.88</v>
      </c>
      <c r="AC564" s="36" t="n">
        <v>10.73</v>
      </c>
      <c r="AD564" s="36" t="n">
        <v>25.17</v>
      </c>
      <c r="AE564" s="36" t="n">
        <v>18.15</v>
      </c>
      <c r="AF564" s="28" t="n">
        <v>27.39</v>
      </c>
      <c r="AG564" s="36" t="n">
        <v>15.6</v>
      </c>
      <c r="AH564" s="37" t="n">
        <v>11</v>
      </c>
      <c r="AI564" s="37" t="n">
        <v>10.72</v>
      </c>
      <c r="AJ564" s="37" t="n">
        <v>9.76</v>
      </c>
      <c r="AK564" s="37" t="n">
        <v>23.47</v>
      </c>
      <c r="AL564" s="37" t="n">
        <v>11.34</v>
      </c>
      <c r="AM564" s="37" t="n">
        <v>17.47</v>
      </c>
      <c r="AN564" s="37" t="n">
        <v>10.88</v>
      </c>
      <c r="AO564" s="37" t="n">
        <v>10.44</v>
      </c>
      <c r="AP564" s="37" t="n">
        <v>14.29</v>
      </c>
      <c r="AQ564" s="37" t="n">
        <v>13.78</v>
      </c>
      <c r="AR564" s="37" t="n">
        <v>11.29</v>
      </c>
      <c r="AS564" s="37" t="n">
        <v>6.35</v>
      </c>
      <c r="AT564" s="37" t="n">
        <v>12.59</v>
      </c>
      <c r="AU564" s="37" t="n">
        <v>21.38</v>
      </c>
      <c r="AV564" s="37" t="n">
        <v>22.06</v>
      </c>
      <c r="AW564" s="37" t="n">
        <v>10.44</v>
      </c>
      <c r="AX564" s="37" t="n">
        <v>9.359999999999999</v>
      </c>
      <c r="AY564" s="37" t="n">
        <v>10.89</v>
      </c>
      <c r="AZ564" s="37" t="n">
        <v>6.01</v>
      </c>
      <c r="BA564" s="37" t="n">
        <v>11.62</v>
      </c>
      <c r="BB564" s="37" t="n">
        <v>10.78</v>
      </c>
      <c r="BC564" s="37" t="n">
        <v>3.24</v>
      </c>
      <c r="BD564" s="37" t="n">
        <v>9.300000000000001</v>
      </c>
      <c r="BE564" s="37" t="n">
        <v>11.01</v>
      </c>
      <c r="BF564" s="37" t="n">
        <v>9.699999999999999</v>
      </c>
      <c r="BG564" s="37" t="n">
        <v>7.89</v>
      </c>
      <c r="BH564" s="37" t="n">
        <v>15.03</v>
      </c>
      <c r="BI564" s="37" t="n">
        <v>12.76</v>
      </c>
      <c r="BJ564" s="37" t="n">
        <v>40.31</v>
      </c>
      <c r="BK564" s="37" t="n">
        <v>27.22</v>
      </c>
      <c r="BL564" s="37" t="n">
        <v>14.06</v>
      </c>
      <c r="BM564" s="37" t="n">
        <v>10.44</v>
      </c>
      <c r="BN564" s="37" t="n">
        <v>7.94</v>
      </c>
      <c r="BO564" s="37" t="n">
        <v>16.85</v>
      </c>
      <c r="BP564" s="37" t="n">
        <v>25.85</v>
      </c>
      <c r="BQ564" s="37" t="n">
        <v>18.32</v>
      </c>
      <c r="BR564" s="37" t="n">
        <v>11.97</v>
      </c>
      <c r="BS564" s="37" t="n">
        <v>11.01</v>
      </c>
      <c r="BT564" s="37" t="n">
        <v>9.699999999999999</v>
      </c>
      <c r="BU564" s="37" t="n">
        <v>11.46</v>
      </c>
      <c r="BV564" s="37" t="n">
        <v>15.6</v>
      </c>
      <c r="BW564" s="37" t="n">
        <v>12.76</v>
      </c>
      <c r="BX564" s="37" t="n">
        <v>12.08</v>
      </c>
      <c r="BY564" s="37" t="n">
        <v>11.97</v>
      </c>
      <c r="BZ564" s="37" t="n">
        <v>20.81</v>
      </c>
      <c r="CA564" s="37" t="n">
        <v>11.29</v>
      </c>
      <c r="CB564" s="37" t="n">
        <v>7.55</v>
      </c>
      <c r="CC564" s="37" t="n">
        <v>915.59</v>
      </c>
    </row>
    <row r="565" ht="15.75" customHeight="1" s="57">
      <c r="A565" s="7" t="inlineStr">
        <is>
          <t>NTB</t>
        </is>
      </c>
      <c r="B565" s="7" t="inlineStr">
        <is>
          <t>Đắk Nông</t>
        </is>
      </c>
      <c r="C565" s="7" t="n">
        <v>20269003</v>
      </c>
      <c r="D565" s="7" t="inlineStr">
        <is>
          <t>(DNO) Nhân Cơ</t>
        </is>
      </c>
      <c r="E565" s="7" t="inlineStr">
        <is>
          <t>Shopee-Bulky (10-15kg)</t>
        </is>
      </c>
      <c r="F565" s="36" t="n">
        <v>2.1</v>
      </c>
      <c r="G565" s="36" t="n">
        <v>2.8</v>
      </c>
      <c r="H565" s="36" t="n">
        <v>2.8</v>
      </c>
      <c r="I565" s="36" t="n">
        <v>2.8</v>
      </c>
      <c r="J565" s="36" t="n">
        <v>1.05</v>
      </c>
      <c r="K565" s="28" t="n">
        <v>1.05</v>
      </c>
      <c r="L565" s="36" t="n">
        <v>1.4</v>
      </c>
      <c r="M565" s="36" t="n">
        <v>1.4</v>
      </c>
      <c r="N565" s="36" t="n">
        <v>1.4</v>
      </c>
      <c r="O565" s="36" t="n">
        <v>5.25</v>
      </c>
      <c r="P565" s="36" t="n">
        <v>0.7</v>
      </c>
      <c r="Q565" s="36" t="n">
        <v>21.01</v>
      </c>
      <c r="R565" s="28" t="n">
        <v>7</v>
      </c>
      <c r="S565" s="36" t="n">
        <v>1.4</v>
      </c>
      <c r="T565" s="36" t="n">
        <v>3.15</v>
      </c>
      <c r="U565" s="36" t="n">
        <v>4.94</v>
      </c>
      <c r="V565" s="36" t="n">
        <v>4.77</v>
      </c>
      <c r="W565" s="36" t="n">
        <v>6.579999999999999</v>
      </c>
      <c r="X565" s="36" t="n">
        <v>3.86</v>
      </c>
      <c r="Y565" s="28" t="n">
        <v>7.15</v>
      </c>
      <c r="Z565" s="36" t="n">
        <v>5.5</v>
      </c>
      <c r="AA565" s="36" t="n">
        <v>5.39</v>
      </c>
      <c r="AB565" s="36" t="n">
        <v>5.5</v>
      </c>
      <c r="AC565" s="36" t="n">
        <v>5.619999999999999</v>
      </c>
      <c r="AD565" s="36" t="n">
        <v>23.16</v>
      </c>
      <c r="AE565" s="36" t="n">
        <v>9.69</v>
      </c>
      <c r="AF565" s="28" t="n">
        <v>14.17</v>
      </c>
      <c r="AG565" s="36" t="n">
        <v>7.94</v>
      </c>
      <c r="AH565" s="37" t="n">
        <v>5.5</v>
      </c>
      <c r="AI565" s="37" t="n">
        <v>5.55</v>
      </c>
      <c r="AJ565" s="37" t="n">
        <v>4.99</v>
      </c>
      <c r="AK565" s="37" t="n">
        <v>12.98</v>
      </c>
      <c r="AL565" s="37" t="n">
        <v>6.01</v>
      </c>
      <c r="AM565" s="37" t="n">
        <v>8.949999999999999</v>
      </c>
      <c r="AN565" s="37" t="n">
        <v>5.44</v>
      </c>
      <c r="AO565" s="37" t="n">
        <v>5.39</v>
      </c>
      <c r="AP565" s="37" t="n">
        <v>7.15</v>
      </c>
      <c r="AQ565" s="37" t="n">
        <v>7.2</v>
      </c>
      <c r="AR565" s="37" t="n">
        <v>6.069999999999999</v>
      </c>
      <c r="AS565" s="37" t="n">
        <v>3.51</v>
      </c>
      <c r="AT565" s="37" t="n">
        <v>6.52</v>
      </c>
      <c r="AU565" s="37" t="n">
        <v>11.91</v>
      </c>
      <c r="AV565" s="37" t="n">
        <v>11.57</v>
      </c>
      <c r="AW565" s="37" t="n">
        <v>5.109999999999999</v>
      </c>
      <c r="AX565" s="37" t="n">
        <v>4.819999999999999</v>
      </c>
      <c r="AY565" s="37" t="n">
        <v>5.89</v>
      </c>
      <c r="AZ565" s="37" t="n">
        <v>3.29</v>
      </c>
      <c r="BA565" s="37" t="n">
        <v>6.069999999999999</v>
      </c>
      <c r="BB565" s="37" t="n">
        <v>5.68</v>
      </c>
      <c r="BC565" s="37" t="n">
        <v>1.42</v>
      </c>
      <c r="BD565" s="37" t="n">
        <v>5.05</v>
      </c>
      <c r="BE565" s="37" t="n">
        <v>5.79</v>
      </c>
      <c r="BF565" s="37" t="n">
        <v>5.27</v>
      </c>
      <c r="BG565" s="37" t="n">
        <v>4.59</v>
      </c>
      <c r="BH565" s="37" t="n">
        <v>7.88</v>
      </c>
      <c r="BI565" s="37" t="n">
        <v>6.59</v>
      </c>
      <c r="BJ565" s="37" t="n">
        <v>32.28</v>
      </c>
      <c r="BK565" s="37" t="n">
        <v>14.86</v>
      </c>
      <c r="BL565" s="37" t="n">
        <v>7.2</v>
      </c>
      <c r="BM565" s="37" t="n">
        <v>5.44</v>
      </c>
      <c r="BN565" s="37" t="n">
        <v>4.48</v>
      </c>
      <c r="BO565" s="37" t="n">
        <v>8.85</v>
      </c>
      <c r="BP565" s="37" t="n">
        <v>13.84</v>
      </c>
      <c r="BQ565" s="37" t="n">
        <v>9.470000000000001</v>
      </c>
      <c r="BR565" s="37" t="n">
        <v>6.13</v>
      </c>
      <c r="BS565" s="37" t="n">
        <v>5.79</v>
      </c>
      <c r="BT565" s="37" t="n">
        <v>5.27</v>
      </c>
      <c r="BU565" s="37" t="n">
        <v>5.899999999999999</v>
      </c>
      <c r="BV565" s="37" t="n">
        <v>8.109999999999999</v>
      </c>
      <c r="BW565" s="37" t="n">
        <v>6.59</v>
      </c>
      <c r="BX565" s="37" t="n">
        <v>6.35</v>
      </c>
      <c r="BY565" s="37" t="n">
        <v>6.13</v>
      </c>
      <c r="BZ565" s="37" t="n">
        <v>11.22</v>
      </c>
      <c r="CA565" s="37" t="n">
        <v>6.069999999999999</v>
      </c>
      <c r="CB565" s="37" t="n">
        <v>4.36</v>
      </c>
      <c r="CC565" s="37" t="n">
        <v>504.11</v>
      </c>
    </row>
    <row r="566" ht="15.75" customHeight="1" s="57">
      <c r="A566" s="7" t="inlineStr">
        <is>
          <t>NTB</t>
        </is>
      </c>
      <c r="B566" s="7" t="inlineStr">
        <is>
          <t>Đắk Nông</t>
        </is>
      </c>
      <c r="C566" s="7" t="n">
        <v>20269003</v>
      </c>
      <c r="D566" s="7" t="inlineStr">
        <is>
          <t>(DNO) Nhân Cơ</t>
        </is>
      </c>
      <c r="E566" s="7" t="inlineStr">
        <is>
          <t>TTS</t>
        </is>
      </c>
      <c r="F566" s="36" t="n">
        <v>78</v>
      </c>
      <c r="G566" s="36" t="n">
        <v>86</v>
      </c>
      <c r="H566" s="36" t="n">
        <v>88</v>
      </c>
      <c r="I566" s="36" t="n">
        <v>70</v>
      </c>
      <c r="J566" s="36" t="n">
        <v>65</v>
      </c>
      <c r="K566" s="28" t="n">
        <v>73</v>
      </c>
      <c r="L566" s="36" t="n">
        <v>61</v>
      </c>
      <c r="M566" s="36" t="n">
        <v>38</v>
      </c>
      <c r="N566" s="36" t="n">
        <v>71</v>
      </c>
      <c r="O566" s="36" t="n">
        <v>136</v>
      </c>
      <c r="P566" s="36" t="n">
        <v>74</v>
      </c>
      <c r="Q566" s="36" t="n">
        <v>43</v>
      </c>
      <c r="R566" s="28" t="n">
        <v>81</v>
      </c>
      <c r="S566" s="36" t="n">
        <v>109</v>
      </c>
      <c r="T566" s="36" t="n">
        <v>75</v>
      </c>
      <c r="U566" s="36" t="n">
        <v>88.12</v>
      </c>
      <c r="V566" s="36" t="n">
        <v>86.82000000000001</v>
      </c>
      <c r="W566" s="36" t="n">
        <v>84.75</v>
      </c>
      <c r="X566" s="36" t="n">
        <v>68.35000000000001</v>
      </c>
      <c r="Y566" s="28" t="n">
        <v>100.02</v>
      </c>
      <c r="Z566" s="36" t="n">
        <v>85.14</v>
      </c>
      <c r="AA566" s="36" t="n">
        <v>93.85000000000001</v>
      </c>
      <c r="AB566" s="36" t="n">
        <v>104.25</v>
      </c>
      <c r="AC566" s="36" t="n">
        <v>110.14</v>
      </c>
      <c r="AD566" s="36" t="n">
        <v>120.99</v>
      </c>
      <c r="AE566" s="36" t="n">
        <v>79.42</v>
      </c>
      <c r="AF566" s="28" t="n">
        <v>103.16</v>
      </c>
      <c r="AG566" s="36" t="n">
        <v>86.48999999999999</v>
      </c>
      <c r="AH566" s="37" t="n">
        <v>85.43000000000001</v>
      </c>
      <c r="AI566" s="37" t="n">
        <v>97.73</v>
      </c>
      <c r="AJ566" s="37" t="n">
        <v>104.91</v>
      </c>
      <c r="AK566" s="37" t="n">
        <v>103.46</v>
      </c>
      <c r="AL566" s="37" t="n">
        <v>73.74000000000001</v>
      </c>
      <c r="AM566" s="37" t="n">
        <v>101.59</v>
      </c>
      <c r="AN566" s="37" t="n">
        <v>87.55</v>
      </c>
      <c r="AO566" s="37" t="n">
        <v>86.72</v>
      </c>
      <c r="AP566" s="37" t="n">
        <v>84.42</v>
      </c>
      <c r="AQ566" s="37" t="n">
        <v>85.36</v>
      </c>
      <c r="AR566" s="37" t="n">
        <v>83.8</v>
      </c>
      <c r="AS566" s="37" t="n">
        <v>68.57000000000001</v>
      </c>
      <c r="AT566" s="37" t="n">
        <v>109.68</v>
      </c>
      <c r="AU566" s="37" t="n">
        <v>99.3</v>
      </c>
      <c r="AV566" s="37" t="n">
        <v>88.18000000000001</v>
      </c>
      <c r="AW566" s="37" t="n">
        <v>83.24000000000001</v>
      </c>
      <c r="AX566" s="37" t="n">
        <v>82.90000000000001</v>
      </c>
      <c r="AY566" s="37" t="n">
        <v>82.62</v>
      </c>
      <c r="AZ566" s="37" t="n">
        <v>68.57000000000001</v>
      </c>
      <c r="BA566" s="37" t="n">
        <v>99.23</v>
      </c>
      <c r="BB566" s="37" t="n">
        <v>92.55</v>
      </c>
      <c r="BC566" s="37" t="n">
        <v>54.99</v>
      </c>
      <c r="BD566" s="37" t="n">
        <v>79.7</v>
      </c>
      <c r="BE566" s="37" t="n">
        <v>93.79000000000001</v>
      </c>
      <c r="BF566" s="37" t="n">
        <v>91.27000000000001</v>
      </c>
      <c r="BG566" s="37" t="n">
        <v>73.80000000000001</v>
      </c>
      <c r="BH566" s="37" t="n">
        <v>109.62</v>
      </c>
      <c r="BI566" s="37" t="n">
        <v>92.55</v>
      </c>
      <c r="BJ566" s="37" t="n">
        <v>91.78</v>
      </c>
      <c r="BK566" s="37" t="n">
        <v>93.57000000000001</v>
      </c>
      <c r="BL566" s="37" t="n">
        <v>93.79000000000001</v>
      </c>
      <c r="BM566" s="37" t="n">
        <v>91.27000000000001</v>
      </c>
      <c r="BN566" s="37" t="n">
        <v>73.80000000000001</v>
      </c>
      <c r="BO566" s="37" t="n">
        <v>109.62</v>
      </c>
      <c r="BP566" s="37" t="n">
        <v>92.55</v>
      </c>
      <c r="BQ566" s="37" t="n">
        <v>91.49000000000001</v>
      </c>
      <c r="BR566" s="37" t="n">
        <v>93.57000000000001</v>
      </c>
      <c r="BS566" s="37" t="n">
        <v>93.79000000000001</v>
      </c>
      <c r="BT566" s="37" t="n">
        <v>91.27000000000001</v>
      </c>
      <c r="BU566" s="37" t="n">
        <v>73.80000000000001</v>
      </c>
      <c r="BV566" s="37" t="n">
        <v>109.62</v>
      </c>
      <c r="BW566" s="37" t="n">
        <v>92.55</v>
      </c>
      <c r="BX566" s="37" t="n">
        <v>91.49000000000001</v>
      </c>
      <c r="BY566" s="37" t="n">
        <v>93.57000000000001</v>
      </c>
      <c r="BZ566" s="37" t="n">
        <v>93.79000000000001</v>
      </c>
      <c r="CA566" s="37" t="n">
        <v>91.27000000000001</v>
      </c>
      <c r="CB566" s="37" t="n">
        <v>73.80000000000001</v>
      </c>
      <c r="CC566" s="37" t="n">
        <v>6561.160000000001</v>
      </c>
    </row>
    <row r="567" ht="15.75" customHeight="1" s="57">
      <c r="A567" s="7" t="inlineStr">
        <is>
          <t>NTB</t>
        </is>
      </c>
      <c r="B567" s="7" t="inlineStr">
        <is>
          <t>Đắk Nông</t>
        </is>
      </c>
      <c r="C567" s="7" t="n">
        <v>20269003</v>
      </c>
      <c r="D567" s="7" t="inlineStr">
        <is>
          <t>(DNO) Nhân Cơ</t>
        </is>
      </c>
      <c r="E567" s="7" t="inlineStr">
        <is>
          <t>TTS-Bulky</t>
        </is>
      </c>
      <c r="F567" s="36" t="n">
        <v>1</v>
      </c>
      <c r="G567" s="36" t="n">
        <v>2</v>
      </c>
      <c r="H567" s="36" t="n">
        <v>0</v>
      </c>
      <c r="I567" s="36" t="n">
        <v>2</v>
      </c>
      <c r="J567" s="36" t="n">
        <v>1</v>
      </c>
      <c r="K567" s="28" t="n">
        <v>1</v>
      </c>
      <c r="L567" s="36" t="n">
        <v>3</v>
      </c>
      <c r="M567" s="36" t="n">
        <v>0</v>
      </c>
      <c r="N567" s="36" t="n">
        <v>1</v>
      </c>
      <c r="O567" s="36" t="n">
        <v>0</v>
      </c>
      <c r="P567" s="36" t="n">
        <v>1</v>
      </c>
      <c r="Q567" s="36" t="n">
        <v>3</v>
      </c>
      <c r="R567" s="28" t="n">
        <v>2</v>
      </c>
      <c r="S567" s="36" t="n">
        <v>2</v>
      </c>
      <c r="T567" s="36" t="n">
        <v>0</v>
      </c>
      <c r="U567" s="36" t="n">
        <v>4.17</v>
      </c>
      <c r="V567" s="36" t="n">
        <v>4.49</v>
      </c>
      <c r="W567" s="36" t="n">
        <v>2.14</v>
      </c>
      <c r="X567" s="36" t="n">
        <v>1.28</v>
      </c>
      <c r="Y567" s="28" t="n">
        <v>2.72</v>
      </c>
      <c r="Z567" s="36" t="n">
        <v>2.08</v>
      </c>
      <c r="AA567" s="36" t="n">
        <v>2.24</v>
      </c>
      <c r="AB567" s="36" t="n">
        <v>2.4</v>
      </c>
      <c r="AC567" s="36" t="n">
        <v>2.46</v>
      </c>
      <c r="AD567" s="36" t="n">
        <v>2.14</v>
      </c>
      <c r="AE567" s="36" t="n">
        <v>1.55</v>
      </c>
      <c r="AF567" s="28" t="n">
        <v>2.88</v>
      </c>
      <c r="AG567" s="36" t="n">
        <v>2.14</v>
      </c>
      <c r="AH567" s="37" t="n">
        <v>2.08</v>
      </c>
      <c r="AI567" s="37" t="n">
        <v>2.24</v>
      </c>
      <c r="AJ567" s="37" t="n">
        <v>2.4</v>
      </c>
      <c r="AK567" s="37" t="n">
        <v>2.51</v>
      </c>
      <c r="AL567" s="37" t="n">
        <v>1.28</v>
      </c>
      <c r="AM567" s="37" t="n">
        <v>2.78</v>
      </c>
      <c r="AN567" s="37" t="n">
        <v>2.03</v>
      </c>
      <c r="AO567" s="37" t="n">
        <v>2.14</v>
      </c>
      <c r="AP567" s="37" t="n">
        <v>2.08</v>
      </c>
      <c r="AQ567" s="37" t="n">
        <v>2.3</v>
      </c>
      <c r="AR567" s="37" t="n">
        <v>2.14</v>
      </c>
      <c r="AS567" s="37" t="n">
        <v>1.28</v>
      </c>
      <c r="AT567" s="37" t="n">
        <v>2.94</v>
      </c>
      <c r="AU567" s="37" t="n">
        <v>2.35</v>
      </c>
      <c r="AV567" s="37" t="n">
        <v>2.14</v>
      </c>
      <c r="AW567" s="37" t="n">
        <v>2.03</v>
      </c>
      <c r="AX567" s="37" t="n">
        <v>2.3</v>
      </c>
      <c r="AY567" s="37" t="n">
        <v>2.14</v>
      </c>
      <c r="AZ567" s="37" t="n">
        <v>1.28</v>
      </c>
      <c r="BA567" s="37" t="n">
        <v>2.51</v>
      </c>
      <c r="BB567" s="37" t="n">
        <v>0.59</v>
      </c>
      <c r="BC567" s="37" t="n">
        <v>0.27</v>
      </c>
      <c r="BD567" s="37" t="n">
        <v>0.43</v>
      </c>
      <c r="BE567" s="37" t="n">
        <v>0.59</v>
      </c>
      <c r="BF567" s="37" t="n">
        <v>0.59</v>
      </c>
      <c r="BG567" s="37" t="n">
        <v>0.37</v>
      </c>
      <c r="BH567" s="37" t="n">
        <v>0.8</v>
      </c>
      <c r="BI567" s="37" t="n">
        <v>0.59</v>
      </c>
      <c r="BJ567" s="37" t="n">
        <v>0.53</v>
      </c>
      <c r="BK567" s="37" t="n">
        <v>0.59</v>
      </c>
      <c r="BL567" s="37" t="n">
        <v>0.59</v>
      </c>
      <c r="BM567" s="37" t="n">
        <v>0.59</v>
      </c>
      <c r="BN567" s="37" t="n">
        <v>0.43</v>
      </c>
      <c r="BO567" s="37" t="n">
        <v>0.85</v>
      </c>
      <c r="BP567" s="37" t="n">
        <v>0.6899999999999999</v>
      </c>
      <c r="BQ567" s="37" t="n">
        <v>0.59</v>
      </c>
      <c r="BR567" s="37" t="n">
        <v>0.59</v>
      </c>
      <c r="BS567" s="37" t="n">
        <v>0.59</v>
      </c>
      <c r="BT567" s="37" t="n">
        <v>0.59</v>
      </c>
      <c r="BU567" s="37" t="n">
        <v>0.32</v>
      </c>
      <c r="BV567" s="37" t="n">
        <v>0.75</v>
      </c>
      <c r="BW567" s="37" t="n">
        <v>0.59</v>
      </c>
      <c r="BX567" s="37" t="n">
        <v>0.59</v>
      </c>
      <c r="BY567" s="37" t="n">
        <v>0.59</v>
      </c>
      <c r="BZ567" s="37" t="n">
        <v>0.59</v>
      </c>
      <c r="CA567" s="37" t="n">
        <v>0.59</v>
      </c>
      <c r="CB567" s="37" t="n">
        <v>0.32</v>
      </c>
      <c r="CC567" s="37" t="n">
        <v>109.84</v>
      </c>
    </row>
    <row r="568" ht="15.75" customHeight="1" s="57">
      <c r="A568" s="7" t="inlineStr">
        <is>
          <t>NTB</t>
        </is>
      </c>
      <c r="B568" s="7" t="inlineStr">
        <is>
          <t>Đắk Nông</t>
        </is>
      </c>
      <c r="C568" s="7" t="n">
        <v>20590000</v>
      </c>
      <c r="D568" s="7" t="inlineStr">
        <is>
          <t>(DNO) Tuy Đức</t>
        </is>
      </c>
      <c r="E568" s="7" t="inlineStr">
        <is>
          <t>SME</t>
        </is>
      </c>
      <c r="F568" s="36" t="n">
        <v>169</v>
      </c>
      <c r="G568" s="36" t="n">
        <v>135</v>
      </c>
      <c r="H568" s="36" t="n">
        <v>147</v>
      </c>
      <c r="I568" s="36" t="n">
        <v>168</v>
      </c>
      <c r="J568" s="36" t="n">
        <v>159</v>
      </c>
      <c r="K568" s="28" t="n">
        <v>96</v>
      </c>
      <c r="L568" s="36" t="n">
        <v>92</v>
      </c>
      <c r="M568" s="36" t="n">
        <v>84</v>
      </c>
      <c r="N568" s="36" t="n">
        <v>132</v>
      </c>
      <c r="O568" s="36" t="n">
        <v>111</v>
      </c>
      <c r="P568" s="36" t="n">
        <v>95</v>
      </c>
      <c r="Q568" s="36" t="n">
        <v>91</v>
      </c>
      <c r="R568" s="28" t="n">
        <v>109</v>
      </c>
      <c r="S568" s="36" t="n">
        <v>109</v>
      </c>
      <c r="T568" s="36" t="n">
        <v>97</v>
      </c>
      <c r="U568" s="36" t="n">
        <v>143.54</v>
      </c>
      <c r="V568" s="36" t="n">
        <v>148.22</v>
      </c>
      <c r="W568" s="36" t="n">
        <v>144.47</v>
      </c>
      <c r="X568" s="36" t="n">
        <v>117.89</v>
      </c>
      <c r="Y568" s="28" t="n">
        <v>159.93</v>
      </c>
      <c r="Z568" s="36" t="n">
        <v>147.08</v>
      </c>
      <c r="AA568" s="36" t="n">
        <v>144.03</v>
      </c>
      <c r="AB568" s="36" t="n">
        <v>143.54</v>
      </c>
      <c r="AC568" s="36" t="n">
        <v>148.22</v>
      </c>
      <c r="AD568" s="36" t="n">
        <v>150.02</v>
      </c>
      <c r="AE568" s="36" t="n">
        <v>117.89</v>
      </c>
      <c r="AF568" s="28" t="n">
        <v>159.93</v>
      </c>
      <c r="AG568" s="36" t="n">
        <v>147.08</v>
      </c>
      <c r="AH568" s="37" t="n">
        <v>144.03</v>
      </c>
      <c r="AI568" s="37" t="n">
        <v>143.54</v>
      </c>
      <c r="AJ568" s="37" t="n">
        <v>148.22</v>
      </c>
      <c r="AK568" s="37" t="n">
        <v>144.47</v>
      </c>
      <c r="AL568" s="37" t="n">
        <v>117.89</v>
      </c>
      <c r="AM568" s="37" t="n">
        <v>159.93</v>
      </c>
      <c r="AN568" s="37" t="n">
        <v>147.08</v>
      </c>
      <c r="AO568" s="37" t="n">
        <v>144.03</v>
      </c>
      <c r="AP568" s="37" t="n">
        <v>143.54</v>
      </c>
      <c r="AQ568" s="37" t="n">
        <v>148.22</v>
      </c>
      <c r="AR568" s="37" t="n">
        <v>144.47</v>
      </c>
      <c r="AS568" s="37" t="n">
        <v>117.89</v>
      </c>
      <c r="AT568" s="37" t="n">
        <v>159.93</v>
      </c>
      <c r="AU568" s="37" t="n">
        <v>147.08</v>
      </c>
      <c r="AV568" s="37" t="n">
        <v>144.03</v>
      </c>
      <c r="AW568" s="37" t="n">
        <v>143.54</v>
      </c>
      <c r="AX568" s="37" t="n">
        <v>148.22</v>
      </c>
      <c r="AY568" s="37" t="n">
        <v>144.47</v>
      </c>
      <c r="AZ568" s="37" t="n">
        <v>117.89</v>
      </c>
      <c r="BA568" s="37" t="n">
        <v>144.08</v>
      </c>
      <c r="BB568" s="37" t="n">
        <v>129.05</v>
      </c>
      <c r="BC568" s="37" t="n">
        <v>81.27</v>
      </c>
      <c r="BD568" s="37" t="n">
        <v>81.09999999999999</v>
      </c>
      <c r="BE568" s="37" t="n">
        <v>137.17</v>
      </c>
      <c r="BF568" s="37" t="n">
        <v>133.66</v>
      </c>
      <c r="BG568" s="37" t="n">
        <v>121.56</v>
      </c>
      <c r="BH568" s="37" t="n">
        <v>164.58</v>
      </c>
      <c r="BI568" s="37" t="n">
        <v>151.46</v>
      </c>
      <c r="BJ568" s="37" t="n">
        <v>153.76</v>
      </c>
      <c r="BK568" s="37" t="n">
        <v>147.76</v>
      </c>
      <c r="BL568" s="37" t="n">
        <v>152.64</v>
      </c>
      <c r="BM568" s="37" t="n">
        <v>148.85</v>
      </c>
      <c r="BN568" s="37" t="n">
        <v>121.56</v>
      </c>
      <c r="BO568" s="37" t="n">
        <v>164.58</v>
      </c>
      <c r="BP568" s="37" t="n">
        <v>151.46</v>
      </c>
      <c r="BQ568" s="37" t="n">
        <v>148.41</v>
      </c>
      <c r="BR568" s="37" t="n">
        <v>147.76</v>
      </c>
      <c r="BS568" s="37" t="n">
        <v>152.64</v>
      </c>
      <c r="BT568" s="37" t="n">
        <v>148.85</v>
      </c>
      <c r="BU568" s="37" t="n">
        <v>121.56</v>
      </c>
      <c r="BV568" s="37" t="n">
        <v>164.58</v>
      </c>
      <c r="BW568" s="37" t="n">
        <v>151.46</v>
      </c>
      <c r="BX568" s="37" t="n">
        <v>148.41</v>
      </c>
      <c r="BY568" s="37" t="n">
        <v>147.76</v>
      </c>
      <c r="BZ568" s="37" t="n">
        <v>152.64</v>
      </c>
      <c r="CA568" s="37" t="n">
        <v>148.85</v>
      </c>
      <c r="CB568" s="37" t="n">
        <v>121.56</v>
      </c>
      <c r="CC568" s="37" t="n">
        <v>10313.33</v>
      </c>
    </row>
    <row r="569" ht="15.75" customHeight="1" s="57">
      <c r="A569" s="7" t="inlineStr">
        <is>
          <t>NTB</t>
        </is>
      </c>
      <c r="B569" s="7" t="inlineStr">
        <is>
          <t>Đắk Nông</t>
        </is>
      </c>
      <c r="C569" s="7" t="n">
        <v>20590000</v>
      </c>
      <c r="D569" s="7" t="inlineStr">
        <is>
          <t>(DNO) Tuy Đức</t>
        </is>
      </c>
      <c r="E569" s="7" t="inlineStr">
        <is>
          <t>SME-Bulky</t>
        </is>
      </c>
      <c r="F569" s="36" t="n">
        <v>8</v>
      </c>
      <c r="G569" s="36" t="n">
        <v>15</v>
      </c>
      <c r="H569" s="36" t="n">
        <v>8</v>
      </c>
      <c r="I569" s="36" t="n">
        <v>11</v>
      </c>
      <c r="J569" s="36" t="n">
        <v>11</v>
      </c>
      <c r="K569" s="28" t="n">
        <v>10</v>
      </c>
      <c r="L569" s="36" t="n">
        <v>7</v>
      </c>
      <c r="M569" s="36" t="n">
        <v>4</v>
      </c>
      <c r="N569" s="36" t="n">
        <v>16</v>
      </c>
      <c r="O569" s="36" t="n">
        <v>10</v>
      </c>
      <c r="P569" s="36" t="n">
        <v>7</v>
      </c>
      <c r="Q569" s="36" t="n">
        <v>16</v>
      </c>
      <c r="R569" s="28" t="n">
        <v>10</v>
      </c>
      <c r="S569" s="36" t="n">
        <v>3</v>
      </c>
      <c r="T569" s="36" t="n">
        <v>11</v>
      </c>
      <c r="U569" s="36" t="n">
        <v>11.47</v>
      </c>
      <c r="V569" s="36" t="n">
        <v>11.41</v>
      </c>
      <c r="W569" s="36" t="n">
        <v>10.65</v>
      </c>
      <c r="X569" s="36" t="n">
        <v>7.47</v>
      </c>
      <c r="Y569" s="28" t="n">
        <v>12.71</v>
      </c>
      <c r="Z569" s="36" t="n">
        <v>12.41</v>
      </c>
      <c r="AA569" s="36" t="n">
        <v>11.71</v>
      </c>
      <c r="AB569" s="36" t="n">
        <v>11.47</v>
      </c>
      <c r="AC569" s="36" t="n">
        <v>11.41</v>
      </c>
      <c r="AD569" s="36" t="n">
        <v>10.29</v>
      </c>
      <c r="AE569" s="36" t="n">
        <v>7.47</v>
      </c>
      <c r="AF569" s="28" t="n">
        <v>12.71</v>
      </c>
      <c r="AG569" s="36" t="n">
        <v>12.41</v>
      </c>
      <c r="AH569" s="37" t="n">
        <v>11.71</v>
      </c>
      <c r="AI569" s="37" t="n">
        <v>11.47</v>
      </c>
      <c r="AJ569" s="37" t="n">
        <v>11.41</v>
      </c>
      <c r="AK569" s="37" t="n">
        <v>10.65</v>
      </c>
      <c r="AL569" s="37" t="n">
        <v>7.47</v>
      </c>
      <c r="AM569" s="37" t="n">
        <v>12.71</v>
      </c>
      <c r="AN569" s="37" t="n">
        <v>12.41</v>
      </c>
      <c r="AO569" s="37" t="n">
        <v>11.71</v>
      </c>
      <c r="AP569" s="37" t="n">
        <v>11.47</v>
      </c>
      <c r="AQ569" s="37" t="n">
        <v>11.41</v>
      </c>
      <c r="AR569" s="37" t="n">
        <v>10.65</v>
      </c>
      <c r="AS569" s="37" t="n">
        <v>7.47</v>
      </c>
      <c r="AT569" s="37" t="n">
        <v>12.71</v>
      </c>
      <c r="AU569" s="37" t="n">
        <v>12.41</v>
      </c>
      <c r="AV569" s="37" t="n">
        <v>11.71</v>
      </c>
      <c r="AW569" s="37" t="n">
        <v>11.47</v>
      </c>
      <c r="AX569" s="37" t="n">
        <v>11.41</v>
      </c>
      <c r="AY569" s="37" t="n">
        <v>10.65</v>
      </c>
      <c r="AZ569" s="37" t="n">
        <v>7.47</v>
      </c>
      <c r="BA569" s="37" t="n">
        <v>12.59</v>
      </c>
      <c r="BB569" s="37" t="n">
        <v>6.76</v>
      </c>
      <c r="BC569" s="37" t="n">
        <v>3.47</v>
      </c>
      <c r="BD569" s="37" t="n">
        <v>3.12</v>
      </c>
      <c r="BE569" s="37" t="n">
        <v>5.88</v>
      </c>
      <c r="BF569" s="37" t="n">
        <v>5.53</v>
      </c>
      <c r="BG569" s="37" t="n">
        <v>4.41</v>
      </c>
      <c r="BH569" s="37" t="n">
        <v>7.29</v>
      </c>
      <c r="BI569" s="37" t="n">
        <v>7.24</v>
      </c>
      <c r="BJ569" s="37" t="n">
        <v>6.65</v>
      </c>
      <c r="BK569" s="37" t="n">
        <v>6.71</v>
      </c>
      <c r="BL569" s="37" t="n">
        <v>6.71</v>
      </c>
      <c r="BM569" s="37" t="n">
        <v>6.29</v>
      </c>
      <c r="BN569" s="37" t="n">
        <v>4.41</v>
      </c>
      <c r="BO569" s="37" t="n">
        <v>7.29</v>
      </c>
      <c r="BP569" s="37" t="n">
        <v>7.24</v>
      </c>
      <c r="BQ569" s="37" t="n">
        <v>6.76</v>
      </c>
      <c r="BR569" s="37" t="n">
        <v>6.71</v>
      </c>
      <c r="BS569" s="37" t="n">
        <v>6.71</v>
      </c>
      <c r="BT569" s="37" t="n">
        <v>6.29</v>
      </c>
      <c r="BU569" s="37" t="n">
        <v>4.41</v>
      </c>
      <c r="BV569" s="37" t="n">
        <v>7.29</v>
      </c>
      <c r="BW569" s="37" t="n">
        <v>7.24</v>
      </c>
      <c r="BX569" s="37" t="n">
        <v>6.76</v>
      </c>
      <c r="BY569" s="37" t="n">
        <v>6.71</v>
      </c>
      <c r="BZ569" s="37" t="n">
        <v>6.71</v>
      </c>
      <c r="CA569" s="37" t="n">
        <v>6.29</v>
      </c>
      <c r="CB569" s="37" t="n">
        <v>4.41</v>
      </c>
      <c r="CC569" s="37" t="n">
        <v>676.84</v>
      </c>
    </row>
    <row r="570" ht="15.75" customHeight="1" s="57">
      <c r="A570" s="7" t="inlineStr">
        <is>
          <t>NTB</t>
        </is>
      </c>
      <c r="B570" s="7" t="inlineStr">
        <is>
          <t>Đắk Nông</t>
        </is>
      </c>
      <c r="C570" s="7" t="n">
        <v>20590000</v>
      </c>
      <c r="D570" s="7" t="inlineStr">
        <is>
          <t>(DNO) Tuy Đức</t>
        </is>
      </c>
      <c r="E570" s="7" t="inlineStr">
        <is>
          <t>Shopee</t>
        </is>
      </c>
      <c r="F570" s="36" t="n">
        <v>91</v>
      </c>
      <c r="G570" s="36" t="n">
        <v>52</v>
      </c>
      <c r="H570" s="36" t="n">
        <v>83</v>
      </c>
      <c r="I570" s="36" t="n">
        <v>69</v>
      </c>
      <c r="J570" s="36" t="n">
        <v>64</v>
      </c>
      <c r="K570" s="28" t="n">
        <v>50</v>
      </c>
      <c r="L570" s="36" t="n">
        <v>27</v>
      </c>
      <c r="M570" s="36" t="n">
        <v>29</v>
      </c>
      <c r="N570" s="36" t="n">
        <v>84</v>
      </c>
      <c r="O570" s="36" t="n">
        <v>49</v>
      </c>
      <c r="P570" s="36" t="n">
        <v>45</v>
      </c>
      <c r="Q570" s="36" t="n">
        <v>41</v>
      </c>
      <c r="R570" s="28" t="n">
        <v>57</v>
      </c>
      <c r="S570" s="36" t="n">
        <v>55</v>
      </c>
      <c r="T570" s="36" t="n">
        <v>39</v>
      </c>
      <c r="U570" s="36" t="n">
        <v>62.88</v>
      </c>
      <c r="V570" s="36" t="n">
        <v>63.04</v>
      </c>
      <c r="W570" s="36" t="n">
        <v>62.22</v>
      </c>
      <c r="X570" s="36" t="n">
        <v>50.62</v>
      </c>
      <c r="Y570" s="28" t="n">
        <v>84.53</v>
      </c>
      <c r="Z570" s="36" t="n">
        <v>67.05</v>
      </c>
      <c r="AA570" s="36" t="n">
        <v>92.17</v>
      </c>
      <c r="AB570" s="36" t="n">
        <v>64.08</v>
      </c>
      <c r="AC570" s="36" t="n">
        <v>51.77</v>
      </c>
      <c r="AD570" s="36" t="n">
        <v>118.11</v>
      </c>
      <c r="AE570" s="36" t="n">
        <v>54.3</v>
      </c>
      <c r="AF570" s="28" t="n">
        <v>96.68000000000001</v>
      </c>
      <c r="AG570" s="36" t="n">
        <v>70.23999999999999</v>
      </c>
      <c r="AH570" s="37" t="n">
        <v>74.25</v>
      </c>
      <c r="AI570" s="37" t="n">
        <v>62.88</v>
      </c>
      <c r="AJ570" s="37" t="n">
        <v>63.04</v>
      </c>
      <c r="AK570" s="37" t="n">
        <v>83.87</v>
      </c>
      <c r="AL570" s="37" t="n">
        <v>90.84999999999999</v>
      </c>
      <c r="AM570" s="37" t="n">
        <v>84.53</v>
      </c>
      <c r="AN570" s="37" t="n">
        <v>67.05</v>
      </c>
      <c r="AO570" s="37" t="n">
        <v>74.25</v>
      </c>
      <c r="AP570" s="37" t="n">
        <v>78.65000000000001</v>
      </c>
      <c r="AQ570" s="37" t="n">
        <v>50.62</v>
      </c>
      <c r="AR570" s="37" t="n">
        <v>62.22</v>
      </c>
      <c r="AS570" s="37" t="n">
        <v>50.62</v>
      </c>
      <c r="AT570" s="37" t="n">
        <v>84.53</v>
      </c>
      <c r="AU570" s="37" t="n">
        <v>68.31999999999999</v>
      </c>
      <c r="AV570" s="37" t="n">
        <v>75.79000000000001</v>
      </c>
      <c r="AW570" s="37" t="n">
        <v>62.88</v>
      </c>
      <c r="AX570" s="37" t="n">
        <v>63.04</v>
      </c>
      <c r="AY570" s="37" t="n">
        <v>62.22</v>
      </c>
      <c r="AZ570" s="37" t="n">
        <v>50.62</v>
      </c>
      <c r="BA570" s="37" t="n">
        <v>65.23999999999999</v>
      </c>
      <c r="BB570" s="37" t="n">
        <v>56.83</v>
      </c>
      <c r="BC570" s="37" t="n">
        <v>29.02</v>
      </c>
      <c r="BD570" s="37" t="n">
        <v>51.72</v>
      </c>
      <c r="BE570" s="37" t="n">
        <v>60.07</v>
      </c>
      <c r="BF570" s="37" t="n">
        <v>59.36</v>
      </c>
      <c r="BG570" s="37" t="n">
        <v>49.3</v>
      </c>
      <c r="BH570" s="37" t="n">
        <v>80.52</v>
      </c>
      <c r="BI570" s="37" t="n">
        <v>52.71</v>
      </c>
      <c r="BJ570" s="37" t="n">
        <v>167.91</v>
      </c>
      <c r="BK570" s="37" t="n">
        <v>64.08</v>
      </c>
      <c r="BL570" s="37" t="n">
        <v>63.15</v>
      </c>
      <c r="BM570" s="37" t="n">
        <v>59.36</v>
      </c>
      <c r="BN570" s="37" t="n">
        <v>48.37</v>
      </c>
      <c r="BO570" s="37" t="n">
        <v>80.52</v>
      </c>
      <c r="BP570" s="37" t="n">
        <v>86.34</v>
      </c>
      <c r="BQ570" s="37" t="n">
        <v>127.07</v>
      </c>
      <c r="BR570" s="37" t="n">
        <v>59.91</v>
      </c>
      <c r="BS570" s="37" t="n">
        <v>60.07</v>
      </c>
      <c r="BT570" s="37" t="n">
        <v>59.36</v>
      </c>
      <c r="BU570" s="37" t="n">
        <v>60.24</v>
      </c>
      <c r="BV570" s="37" t="n">
        <v>64.58</v>
      </c>
      <c r="BW570" s="37" t="n">
        <v>63.87</v>
      </c>
      <c r="BX570" s="37" t="n">
        <v>70.63</v>
      </c>
      <c r="BY570" s="37" t="n">
        <v>59.91</v>
      </c>
      <c r="BZ570" s="37" t="n">
        <v>61.39</v>
      </c>
      <c r="CA570" s="37" t="n">
        <v>60.46</v>
      </c>
      <c r="CB570" s="37" t="n">
        <v>48.37</v>
      </c>
      <c r="CC570" s="37" t="n">
        <v>4953.279999999999</v>
      </c>
    </row>
    <row r="571" ht="15.75" customHeight="1" s="57">
      <c r="A571" s="7" t="inlineStr">
        <is>
          <t>NTB</t>
        </is>
      </c>
      <c r="B571" s="7" t="inlineStr">
        <is>
          <t>Đắk Nông</t>
        </is>
      </c>
      <c r="C571" s="7" t="n">
        <v>20590000</v>
      </c>
      <c r="D571" s="7" t="inlineStr">
        <is>
          <t>(DNO) Tuy Đức</t>
        </is>
      </c>
      <c r="E571" s="7" t="inlineStr">
        <is>
          <t>Shopee-Bulky</t>
        </is>
      </c>
      <c r="F571" s="36" t="n">
        <v>8.449999999999999</v>
      </c>
      <c r="G571" s="36" t="n">
        <v>7.8</v>
      </c>
      <c r="H571" s="36" t="n">
        <v>11.04</v>
      </c>
      <c r="I571" s="36" t="n">
        <v>11.69</v>
      </c>
      <c r="J571" s="36" t="n">
        <v>9.09</v>
      </c>
      <c r="K571" s="28" t="n">
        <v>9.74</v>
      </c>
      <c r="L571" s="36" t="n">
        <v>7.15</v>
      </c>
      <c r="M571" s="36" t="n">
        <v>3.9</v>
      </c>
      <c r="N571" s="36" t="n">
        <v>17.54</v>
      </c>
      <c r="O571" s="36" t="n">
        <v>9.74</v>
      </c>
      <c r="P571" s="36" t="n">
        <v>4.55</v>
      </c>
      <c r="Q571" s="36" t="n">
        <v>7.15</v>
      </c>
      <c r="R571" s="28" t="n">
        <v>7.8</v>
      </c>
      <c r="S571" s="36" t="n">
        <v>7.8</v>
      </c>
      <c r="T571" s="36" t="n">
        <v>11.69</v>
      </c>
      <c r="U571" s="36" t="n">
        <v>8.460000000000001</v>
      </c>
      <c r="V571" s="36" t="n">
        <v>7.85</v>
      </c>
      <c r="W571" s="36" t="n">
        <v>10.94</v>
      </c>
      <c r="X571" s="36" t="n">
        <v>6.18</v>
      </c>
      <c r="Y571" s="28" t="n">
        <v>12.41</v>
      </c>
      <c r="Z571" s="36" t="n">
        <v>9.83</v>
      </c>
      <c r="AA571" s="36" t="n">
        <v>9.470000000000001</v>
      </c>
      <c r="AB571" s="36" t="n">
        <v>9.73</v>
      </c>
      <c r="AC571" s="36" t="n">
        <v>9.57</v>
      </c>
      <c r="AD571" s="36" t="n">
        <v>22.39</v>
      </c>
      <c r="AE571" s="36" t="n">
        <v>16.21</v>
      </c>
      <c r="AF571" s="28" t="n">
        <v>24.46</v>
      </c>
      <c r="AG571" s="36" t="n">
        <v>13.93</v>
      </c>
      <c r="AH571" s="37" t="n">
        <v>9.83</v>
      </c>
      <c r="AI571" s="37" t="n">
        <v>9.57</v>
      </c>
      <c r="AJ571" s="37" t="n">
        <v>8.710000000000001</v>
      </c>
      <c r="AK571" s="37" t="n">
        <v>20.97</v>
      </c>
      <c r="AL571" s="37" t="n">
        <v>10.13</v>
      </c>
      <c r="AM571" s="37" t="n">
        <v>15.6</v>
      </c>
      <c r="AN571" s="37" t="n">
        <v>9.73</v>
      </c>
      <c r="AO571" s="37" t="n">
        <v>9.32</v>
      </c>
      <c r="AP571" s="37" t="n">
        <v>12.76</v>
      </c>
      <c r="AQ571" s="37" t="n">
        <v>12.31</v>
      </c>
      <c r="AR571" s="37" t="n">
        <v>10.08</v>
      </c>
      <c r="AS571" s="37" t="n">
        <v>5.67</v>
      </c>
      <c r="AT571" s="37" t="n">
        <v>11.24</v>
      </c>
      <c r="AU571" s="37" t="n">
        <v>19.1</v>
      </c>
      <c r="AV571" s="37" t="n">
        <v>19.7</v>
      </c>
      <c r="AW571" s="37" t="n">
        <v>9.32</v>
      </c>
      <c r="AX571" s="37" t="n">
        <v>8.359999999999999</v>
      </c>
      <c r="AY571" s="37" t="n">
        <v>9.73</v>
      </c>
      <c r="AZ571" s="37" t="n">
        <v>5.37</v>
      </c>
      <c r="BA571" s="37" t="n">
        <v>10.38</v>
      </c>
      <c r="BB571" s="37" t="n">
        <v>9.619999999999999</v>
      </c>
      <c r="BC571" s="37" t="n">
        <v>2.89</v>
      </c>
      <c r="BD571" s="37" t="n">
        <v>8.31</v>
      </c>
      <c r="BE571" s="37" t="n">
        <v>9.83</v>
      </c>
      <c r="BF571" s="37" t="n">
        <v>8.66</v>
      </c>
      <c r="BG571" s="37" t="n">
        <v>7.04</v>
      </c>
      <c r="BH571" s="37" t="n">
        <v>13.42</v>
      </c>
      <c r="BI571" s="37" t="n">
        <v>11.4</v>
      </c>
      <c r="BJ571" s="37" t="n">
        <v>35.86</v>
      </c>
      <c r="BK571" s="37" t="n">
        <v>24.31</v>
      </c>
      <c r="BL571" s="37" t="n">
        <v>12.56</v>
      </c>
      <c r="BM571" s="37" t="n">
        <v>9.32</v>
      </c>
      <c r="BN571" s="37" t="n">
        <v>7.09</v>
      </c>
      <c r="BO571" s="37" t="n">
        <v>15.04</v>
      </c>
      <c r="BP571" s="37" t="n">
        <v>23.1</v>
      </c>
      <c r="BQ571" s="37" t="n">
        <v>16.36</v>
      </c>
      <c r="BR571" s="37" t="n">
        <v>10.69</v>
      </c>
      <c r="BS571" s="37" t="n">
        <v>9.83</v>
      </c>
      <c r="BT571" s="37" t="n">
        <v>8.66</v>
      </c>
      <c r="BU571" s="37" t="n">
        <v>10.23</v>
      </c>
      <c r="BV571" s="37" t="n">
        <v>13.93</v>
      </c>
      <c r="BW571" s="37" t="n">
        <v>11.4</v>
      </c>
      <c r="BX571" s="37" t="n">
        <v>10.79</v>
      </c>
      <c r="BY571" s="37" t="n">
        <v>10.69</v>
      </c>
      <c r="BZ571" s="37" t="n">
        <v>18.59</v>
      </c>
      <c r="CA571" s="37" t="n">
        <v>10.08</v>
      </c>
      <c r="CB571" s="37" t="n">
        <v>6.74</v>
      </c>
      <c r="CC571" s="37" t="n">
        <v>860.8799999999999</v>
      </c>
    </row>
    <row r="572" ht="15.75" customHeight="1" s="57">
      <c r="A572" s="7" t="inlineStr">
        <is>
          <t>NTB</t>
        </is>
      </c>
      <c r="B572" s="7" t="inlineStr">
        <is>
          <t>Đắk Nông</t>
        </is>
      </c>
      <c r="C572" s="7" t="n">
        <v>20590000</v>
      </c>
      <c r="D572" s="7" t="inlineStr">
        <is>
          <t>(DNO) Tuy Đức</t>
        </is>
      </c>
      <c r="E572" s="7" t="inlineStr">
        <is>
          <t>Shopee-Bulky (10-15kg)</t>
        </is>
      </c>
      <c r="F572" s="36" t="n">
        <v>4.55</v>
      </c>
      <c r="G572" s="36" t="n">
        <v>4.2</v>
      </c>
      <c r="H572" s="36" t="n">
        <v>5.96</v>
      </c>
      <c r="I572" s="36" t="n">
        <v>6.31</v>
      </c>
      <c r="J572" s="36" t="n">
        <v>4.91</v>
      </c>
      <c r="K572" s="28" t="n">
        <v>5.26</v>
      </c>
      <c r="L572" s="36" t="n">
        <v>3.85</v>
      </c>
      <c r="M572" s="36" t="n">
        <v>2.1</v>
      </c>
      <c r="N572" s="36" t="n">
        <v>9.460000000000001</v>
      </c>
      <c r="O572" s="36" t="n">
        <v>5.26</v>
      </c>
      <c r="P572" s="36" t="n">
        <v>2.45</v>
      </c>
      <c r="Q572" s="36" t="n">
        <v>3.85</v>
      </c>
      <c r="R572" s="28" t="n">
        <v>4.2</v>
      </c>
      <c r="S572" s="36" t="n">
        <v>4.2</v>
      </c>
      <c r="T572" s="36" t="n">
        <v>6.31</v>
      </c>
      <c r="U572" s="36" t="n">
        <v>4.41</v>
      </c>
      <c r="V572" s="36" t="n">
        <v>4.25</v>
      </c>
      <c r="W572" s="36" t="n">
        <v>5.88</v>
      </c>
      <c r="X572" s="36" t="n">
        <v>3.44</v>
      </c>
      <c r="Y572" s="28" t="n">
        <v>6.38</v>
      </c>
      <c r="Z572" s="36" t="n">
        <v>4.91</v>
      </c>
      <c r="AA572" s="36" t="n">
        <v>4.81</v>
      </c>
      <c r="AB572" s="36" t="n">
        <v>4.91</v>
      </c>
      <c r="AC572" s="36" t="n">
        <v>5.01</v>
      </c>
      <c r="AD572" s="36" t="n">
        <v>20.67</v>
      </c>
      <c r="AE572" s="36" t="n">
        <v>8.66</v>
      </c>
      <c r="AF572" s="28" t="n">
        <v>12.66</v>
      </c>
      <c r="AG572" s="36" t="n">
        <v>7.09</v>
      </c>
      <c r="AH572" s="37" t="n">
        <v>4.91</v>
      </c>
      <c r="AI572" s="37" t="n">
        <v>4.96</v>
      </c>
      <c r="AJ572" s="37" t="n">
        <v>4.46</v>
      </c>
      <c r="AK572" s="37" t="n">
        <v>11.6</v>
      </c>
      <c r="AL572" s="37" t="n">
        <v>5.37</v>
      </c>
      <c r="AM572" s="37" t="n">
        <v>8</v>
      </c>
      <c r="AN572" s="37" t="n">
        <v>4.86</v>
      </c>
      <c r="AO572" s="37" t="n">
        <v>4.81</v>
      </c>
      <c r="AP572" s="37" t="n">
        <v>6.38</v>
      </c>
      <c r="AQ572" s="37" t="n">
        <v>6.43</v>
      </c>
      <c r="AR572" s="37" t="n">
        <v>5.42</v>
      </c>
      <c r="AS572" s="37" t="n">
        <v>3.14</v>
      </c>
      <c r="AT572" s="37" t="n">
        <v>5.82</v>
      </c>
      <c r="AU572" s="37" t="n">
        <v>10.64</v>
      </c>
      <c r="AV572" s="37" t="n">
        <v>10.33</v>
      </c>
      <c r="AW572" s="37" t="n">
        <v>4.56</v>
      </c>
      <c r="AX572" s="37" t="n">
        <v>4.31</v>
      </c>
      <c r="AY572" s="37" t="n">
        <v>5.27</v>
      </c>
      <c r="AZ572" s="37" t="n">
        <v>2.94</v>
      </c>
      <c r="BA572" s="37" t="n">
        <v>5.42</v>
      </c>
      <c r="BB572" s="37" t="n">
        <v>5.07</v>
      </c>
      <c r="BC572" s="37" t="n">
        <v>1.27</v>
      </c>
      <c r="BD572" s="37" t="n">
        <v>4.51</v>
      </c>
      <c r="BE572" s="37" t="n">
        <v>5.17</v>
      </c>
      <c r="BF572" s="37" t="n">
        <v>4.71</v>
      </c>
      <c r="BG572" s="37" t="n">
        <v>4.1</v>
      </c>
      <c r="BH572" s="37" t="n">
        <v>7.04</v>
      </c>
      <c r="BI572" s="37" t="n">
        <v>5.88</v>
      </c>
      <c r="BJ572" s="37" t="n">
        <v>28.82</v>
      </c>
      <c r="BK572" s="37" t="n">
        <v>13.27</v>
      </c>
      <c r="BL572" s="37" t="n">
        <v>6.43</v>
      </c>
      <c r="BM572" s="37" t="n">
        <v>4.86</v>
      </c>
      <c r="BN572" s="37" t="n">
        <v>4</v>
      </c>
      <c r="BO572" s="37" t="n">
        <v>7.9</v>
      </c>
      <c r="BP572" s="37" t="n">
        <v>12.36</v>
      </c>
      <c r="BQ572" s="37" t="n">
        <v>8.460000000000001</v>
      </c>
      <c r="BR572" s="37" t="n">
        <v>5.47</v>
      </c>
      <c r="BS572" s="37" t="n">
        <v>5.17</v>
      </c>
      <c r="BT572" s="37" t="n">
        <v>4.71</v>
      </c>
      <c r="BU572" s="37" t="n">
        <v>5.27</v>
      </c>
      <c r="BV572" s="37" t="n">
        <v>7.24</v>
      </c>
      <c r="BW572" s="37" t="n">
        <v>5.88</v>
      </c>
      <c r="BX572" s="37" t="n">
        <v>5.67</v>
      </c>
      <c r="BY572" s="37" t="n">
        <v>5.47</v>
      </c>
      <c r="BZ572" s="37" t="n">
        <v>10.03</v>
      </c>
      <c r="CA572" s="37" t="n">
        <v>5.42</v>
      </c>
      <c r="CB572" s="37" t="n">
        <v>3.9</v>
      </c>
      <c r="CC572" s="37" t="n">
        <v>473.66</v>
      </c>
    </row>
    <row r="573" ht="15.75" customHeight="1" s="57">
      <c r="A573" s="7" t="inlineStr">
        <is>
          <t>NTB</t>
        </is>
      </c>
      <c r="B573" s="7" t="inlineStr">
        <is>
          <t>Đắk Nông</t>
        </is>
      </c>
      <c r="C573" s="7" t="n">
        <v>20590000</v>
      </c>
      <c r="D573" s="7" t="inlineStr">
        <is>
          <t>(DNO) Tuy Đức</t>
        </is>
      </c>
      <c r="E573" s="7" t="inlineStr">
        <is>
          <t>TTS</t>
        </is>
      </c>
      <c r="F573" s="36" t="n">
        <v>104</v>
      </c>
      <c r="G573" s="36" t="n">
        <v>80</v>
      </c>
      <c r="H573" s="36" t="n">
        <v>106</v>
      </c>
      <c r="I573" s="36" t="n">
        <v>102</v>
      </c>
      <c r="J573" s="36" t="n">
        <v>134</v>
      </c>
      <c r="K573" s="28" t="n">
        <v>59</v>
      </c>
      <c r="L573" s="36" t="n">
        <v>44</v>
      </c>
      <c r="M573" s="36" t="n">
        <v>76</v>
      </c>
      <c r="N573" s="36" t="n">
        <v>118</v>
      </c>
      <c r="O573" s="36" t="n">
        <v>91</v>
      </c>
      <c r="P573" s="36" t="n">
        <v>84</v>
      </c>
      <c r="Q573" s="36" t="n">
        <v>64</v>
      </c>
      <c r="R573" s="28" t="n">
        <v>99</v>
      </c>
      <c r="S573" s="36" t="n">
        <v>74</v>
      </c>
      <c r="T573" s="36" t="n">
        <v>75</v>
      </c>
      <c r="U573" s="36" t="n">
        <v>90.56999999999999</v>
      </c>
      <c r="V573" s="36" t="n">
        <v>89.26000000000001</v>
      </c>
      <c r="W573" s="36" t="n">
        <v>87.11</v>
      </c>
      <c r="X573" s="36" t="n">
        <v>70.26000000000001</v>
      </c>
      <c r="Y573" s="28" t="n">
        <v>102.83</v>
      </c>
      <c r="Z573" s="36" t="n">
        <v>87.53</v>
      </c>
      <c r="AA573" s="36" t="n">
        <v>96.45999999999999</v>
      </c>
      <c r="AB573" s="36" t="n">
        <v>107.13</v>
      </c>
      <c r="AC573" s="36" t="n">
        <v>113.21</v>
      </c>
      <c r="AD573" s="36" t="n">
        <v>124.33</v>
      </c>
      <c r="AE573" s="36" t="n">
        <v>81.62</v>
      </c>
      <c r="AF573" s="28" t="n">
        <v>106.06</v>
      </c>
      <c r="AG573" s="36" t="n">
        <v>88.91000000000001</v>
      </c>
      <c r="AH573" s="37" t="n">
        <v>87.8</v>
      </c>
      <c r="AI573" s="37" t="n">
        <v>100.44</v>
      </c>
      <c r="AJ573" s="37" t="n">
        <v>107.84</v>
      </c>
      <c r="AK573" s="37" t="n">
        <v>106.33</v>
      </c>
      <c r="AL573" s="37" t="n">
        <v>75.80000000000001</v>
      </c>
      <c r="AM573" s="37" t="n">
        <v>104.44</v>
      </c>
      <c r="AN573" s="37" t="n">
        <v>90.01000000000001</v>
      </c>
      <c r="AO573" s="37" t="n">
        <v>89.13</v>
      </c>
      <c r="AP573" s="37" t="n">
        <v>86.75999999999999</v>
      </c>
      <c r="AQ573" s="37" t="n">
        <v>87.76000000000001</v>
      </c>
      <c r="AR573" s="37" t="n">
        <v>86.13</v>
      </c>
      <c r="AS573" s="37" t="n">
        <v>70.49000000000001</v>
      </c>
      <c r="AT573" s="37" t="n">
        <v>112.75</v>
      </c>
      <c r="AU573" s="37" t="n">
        <v>102.07</v>
      </c>
      <c r="AV573" s="37" t="n">
        <v>90.63</v>
      </c>
      <c r="AW573" s="37" t="n">
        <v>85.55</v>
      </c>
      <c r="AX573" s="37" t="n">
        <v>85.20999999999999</v>
      </c>
      <c r="AY573" s="37" t="n">
        <v>84.92</v>
      </c>
      <c r="AZ573" s="37" t="n">
        <v>70.49000000000001</v>
      </c>
      <c r="BA573" s="37" t="n">
        <v>102.02</v>
      </c>
      <c r="BB573" s="37" t="n">
        <v>95.14</v>
      </c>
      <c r="BC573" s="37" t="n">
        <v>56.51</v>
      </c>
      <c r="BD573" s="37" t="n">
        <v>81.91000000000001</v>
      </c>
      <c r="BE573" s="37" t="n">
        <v>96.41000000000001</v>
      </c>
      <c r="BF573" s="37" t="n">
        <v>93.8</v>
      </c>
      <c r="BG573" s="37" t="n">
        <v>75.85000000000001</v>
      </c>
      <c r="BH573" s="37" t="n">
        <v>112.69</v>
      </c>
      <c r="BI573" s="37" t="n">
        <v>95.14</v>
      </c>
      <c r="BJ573" s="37" t="n">
        <v>94.31999999999999</v>
      </c>
      <c r="BK573" s="37" t="n">
        <v>96.17</v>
      </c>
      <c r="BL573" s="37" t="n">
        <v>96.41000000000001</v>
      </c>
      <c r="BM573" s="37" t="n">
        <v>93.8</v>
      </c>
      <c r="BN573" s="37" t="n">
        <v>75.85000000000001</v>
      </c>
      <c r="BO573" s="37" t="n">
        <v>112.69</v>
      </c>
      <c r="BP573" s="37" t="n">
        <v>95.14</v>
      </c>
      <c r="BQ573" s="37" t="n">
        <v>94.03999999999999</v>
      </c>
      <c r="BR573" s="37" t="n">
        <v>96.17</v>
      </c>
      <c r="BS573" s="37" t="n">
        <v>96.41000000000001</v>
      </c>
      <c r="BT573" s="37" t="n">
        <v>93.8</v>
      </c>
      <c r="BU573" s="37" t="n">
        <v>75.85000000000001</v>
      </c>
      <c r="BV573" s="37" t="n">
        <v>112.69</v>
      </c>
      <c r="BW573" s="37" t="n">
        <v>95.14</v>
      </c>
      <c r="BX573" s="37" t="n">
        <v>94.03999999999999</v>
      </c>
      <c r="BY573" s="37" t="n">
        <v>96.17</v>
      </c>
      <c r="BZ573" s="37" t="n">
        <v>96.41000000000001</v>
      </c>
      <c r="CA573" s="37" t="n">
        <v>93.8</v>
      </c>
      <c r="CB573" s="37" t="n">
        <v>75.85000000000001</v>
      </c>
      <c r="CC573" s="37" t="n">
        <v>6874.050000000002</v>
      </c>
    </row>
    <row r="574" ht="15.75" customHeight="1" s="57">
      <c r="A574" s="7" t="inlineStr">
        <is>
          <t>NTB</t>
        </is>
      </c>
      <c r="B574" s="7" t="inlineStr">
        <is>
          <t>Đắk Nông</t>
        </is>
      </c>
      <c r="C574" s="7" t="n">
        <v>20590000</v>
      </c>
      <c r="D574" s="7" t="inlineStr">
        <is>
          <t>(DNO) Tuy Đức</t>
        </is>
      </c>
      <c r="E574" s="7" t="inlineStr">
        <is>
          <t>TTS-Bulky</t>
        </is>
      </c>
      <c r="F574" s="36" t="n">
        <v>2</v>
      </c>
      <c r="G574" s="36" t="n">
        <v>2</v>
      </c>
      <c r="H574" s="36" t="n">
        <v>2</v>
      </c>
      <c r="I574" s="36" t="n">
        <v>4</v>
      </c>
      <c r="J574" s="36" t="n">
        <v>2</v>
      </c>
      <c r="K574" s="28" t="n">
        <v>1</v>
      </c>
      <c r="L574" s="36" t="n">
        <v>0</v>
      </c>
      <c r="M574" s="36" t="n">
        <v>0</v>
      </c>
      <c r="N574" s="36" t="n">
        <v>0</v>
      </c>
      <c r="O574" s="36" t="n">
        <v>1</v>
      </c>
      <c r="P574" s="36" t="n">
        <v>0</v>
      </c>
      <c r="Q574" s="36" t="n">
        <v>1</v>
      </c>
      <c r="R574" s="28" t="n">
        <v>2</v>
      </c>
      <c r="S574" s="36" t="n">
        <v>2</v>
      </c>
      <c r="T574" s="36" t="n">
        <v>0</v>
      </c>
      <c r="U574" s="36" t="n">
        <v>4.81</v>
      </c>
      <c r="V574" s="36" t="n">
        <v>5.18</v>
      </c>
      <c r="W574" s="36" t="n">
        <v>2.47</v>
      </c>
      <c r="X574" s="36" t="n">
        <v>1.48</v>
      </c>
      <c r="Y574" s="28" t="n">
        <v>3.14</v>
      </c>
      <c r="Z574" s="36" t="n">
        <v>2.4</v>
      </c>
      <c r="AA574" s="36" t="n">
        <v>2.59</v>
      </c>
      <c r="AB574" s="36" t="n">
        <v>2.77</v>
      </c>
      <c r="AC574" s="36" t="n">
        <v>2.84</v>
      </c>
      <c r="AD574" s="36" t="n">
        <v>2.47</v>
      </c>
      <c r="AE574" s="36" t="n">
        <v>1.79</v>
      </c>
      <c r="AF574" s="28" t="n">
        <v>3.33</v>
      </c>
      <c r="AG574" s="36" t="n">
        <v>2.47</v>
      </c>
      <c r="AH574" s="37" t="n">
        <v>2.4</v>
      </c>
      <c r="AI574" s="37" t="n">
        <v>2.59</v>
      </c>
      <c r="AJ574" s="37" t="n">
        <v>2.77</v>
      </c>
      <c r="AK574" s="37" t="n">
        <v>2.9</v>
      </c>
      <c r="AL574" s="37" t="n">
        <v>1.48</v>
      </c>
      <c r="AM574" s="37" t="n">
        <v>3.21</v>
      </c>
      <c r="AN574" s="37" t="n">
        <v>2.34</v>
      </c>
      <c r="AO574" s="37" t="n">
        <v>2.47</v>
      </c>
      <c r="AP574" s="37" t="n">
        <v>2.4</v>
      </c>
      <c r="AQ574" s="37" t="n">
        <v>2.65</v>
      </c>
      <c r="AR574" s="37" t="n">
        <v>2.47</v>
      </c>
      <c r="AS574" s="37" t="n">
        <v>1.48</v>
      </c>
      <c r="AT574" s="37" t="n">
        <v>3.39</v>
      </c>
      <c r="AU574" s="37" t="n">
        <v>2.71</v>
      </c>
      <c r="AV574" s="37" t="n">
        <v>2.47</v>
      </c>
      <c r="AW574" s="37" t="n">
        <v>2.34</v>
      </c>
      <c r="AX574" s="37" t="n">
        <v>2.65</v>
      </c>
      <c r="AY574" s="37" t="n">
        <v>2.47</v>
      </c>
      <c r="AZ574" s="37" t="n">
        <v>1.48</v>
      </c>
      <c r="BA574" s="37" t="n">
        <v>2.9</v>
      </c>
      <c r="BB574" s="37" t="n">
        <v>0.68</v>
      </c>
      <c r="BC574" s="37" t="n">
        <v>0.31</v>
      </c>
      <c r="BD574" s="37" t="n">
        <v>0.49</v>
      </c>
      <c r="BE574" s="37" t="n">
        <v>0.68</v>
      </c>
      <c r="BF574" s="37" t="n">
        <v>0.68</v>
      </c>
      <c r="BG574" s="37" t="n">
        <v>0.43</v>
      </c>
      <c r="BH574" s="37" t="n">
        <v>0.92</v>
      </c>
      <c r="BI574" s="37" t="n">
        <v>0.68</v>
      </c>
      <c r="BJ574" s="37" t="n">
        <v>0.62</v>
      </c>
      <c r="BK574" s="37" t="n">
        <v>0.68</v>
      </c>
      <c r="BL574" s="37" t="n">
        <v>0.68</v>
      </c>
      <c r="BM574" s="37" t="n">
        <v>0.68</v>
      </c>
      <c r="BN574" s="37" t="n">
        <v>0.49</v>
      </c>
      <c r="BO574" s="37" t="n">
        <v>0.99</v>
      </c>
      <c r="BP574" s="37" t="n">
        <v>0.8</v>
      </c>
      <c r="BQ574" s="37" t="n">
        <v>0.68</v>
      </c>
      <c r="BR574" s="37" t="n">
        <v>0.68</v>
      </c>
      <c r="BS574" s="37" t="n">
        <v>0.68</v>
      </c>
      <c r="BT574" s="37" t="n">
        <v>0.68</v>
      </c>
      <c r="BU574" s="37" t="n">
        <v>0.37</v>
      </c>
      <c r="BV574" s="37" t="n">
        <v>0.86</v>
      </c>
      <c r="BW574" s="37" t="n">
        <v>0.68</v>
      </c>
      <c r="BX574" s="37" t="n">
        <v>0.68</v>
      </c>
      <c r="BY574" s="37" t="n">
        <v>0.68</v>
      </c>
      <c r="BZ574" s="37" t="n">
        <v>0.68</v>
      </c>
      <c r="CA574" s="37" t="n">
        <v>0.68</v>
      </c>
      <c r="CB574" s="37" t="n">
        <v>0.37</v>
      </c>
      <c r="CC574" s="37" t="n">
        <v>123.8400000000001</v>
      </c>
    </row>
    <row r="575" ht="15.75" customHeight="1" s="57">
      <c r="A575" s="7" t="inlineStr">
        <is>
          <t>NTB</t>
        </is>
      </c>
      <c r="B575" s="7" t="inlineStr">
        <is>
          <t>Đắk Nông</t>
        </is>
      </c>
      <c r="C575" s="7" t="n">
        <v>20591000</v>
      </c>
      <c r="D575" s="7" t="inlineStr">
        <is>
          <t>(DNO) Krông Nô</t>
        </is>
      </c>
      <c r="E575" s="7" t="inlineStr">
        <is>
          <t>SME</t>
        </is>
      </c>
      <c r="F575" s="36" t="n">
        <v>260</v>
      </c>
      <c r="G575" s="36" t="n">
        <v>285</v>
      </c>
      <c r="H575" s="36" t="n">
        <v>279</v>
      </c>
      <c r="I575" s="36" t="n">
        <v>263</v>
      </c>
      <c r="J575" s="36" t="n">
        <v>253</v>
      </c>
      <c r="K575" s="28" t="n">
        <v>204</v>
      </c>
      <c r="L575" s="36" t="n">
        <v>185</v>
      </c>
      <c r="M575" s="36" t="n">
        <v>212</v>
      </c>
      <c r="N575" s="36" t="n">
        <v>225</v>
      </c>
      <c r="O575" s="36" t="n">
        <v>203</v>
      </c>
      <c r="P575" s="36" t="n">
        <v>235</v>
      </c>
      <c r="Q575" s="36" t="n">
        <v>183</v>
      </c>
      <c r="R575" s="28" t="n">
        <v>222</v>
      </c>
      <c r="S575" s="36" t="n">
        <v>178</v>
      </c>
      <c r="T575" s="36" t="n">
        <v>201</v>
      </c>
      <c r="U575" s="36" t="n">
        <v>276.03</v>
      </c>
      <c r="V575" s="36" t="n">
        <v>284.99</v>
      </c>
      <c r="W575" s="36" t="n">
        <v>277.79</v>
      </c>
      <c r="X575" s="36" t="n">
        <v>226.73</v>
      </c>
      <c r="Y575" s="28" t="n">
        <v>307.48</v>
      </c>
      <c r="Z575" s="36" t="n">
        <v>282.8</v>
      </c>
      <c r="AA575" s="36" t="n">
        <v>276.98</v>
      </c>
      <c r="AB575" s="36" t="n">
        <v>276.03</v>
      </c>
      <c r="AC575" s="36" t="n">
        <v>284.99</v>
      </c>
      <c r="AD575" s="36" t="n">
        <v>287.8</v>
      </c>
      <c r="AE575" s="36" t="n">
        <v>226.73</v>
      </c>
      <c r="AF575" s="28" t="n">
        <v>307.48</v>
      </c>
      <c r="AG575" s="36" t="n">
        <v>282.8</v>
      </c>
      <c r="AH575" s="37" t="n">
        <v>276.98</v>
      </c>
      <c r="AI575" s="37" t="n">
        <v>276.03</v>
      </c>
      <c r="AJ575" s="37" t="n">
        <v>284.99</v>
      </c>
      <c r="AK575" s="37" t="n">
        <v>277.79</v>
      </c>
      <c r="AL575" s="37" t="n">
        <v>226.73</v>
      </c>
      <c r="AM575" s="37" t="n">
        <v>307.48</v>
      </c>
      <c r="AN575" s="37" t="n">
        <v>282.8</v>
      </c>
      <c r="AO575" s="37" t="n">
        <v>276.98</v>
      </c>
      <c r="AP575" s="37" t="n">
        <v>276.03</v>
      </c>
      <c r="AQ575" s="37" t="n">
        <v>284.99</v>
      </c>
      <c r="AR575" s="37" t="n">
        <v>277.79</v>
      </c>
      <c r="AS575" s="37" t="n">
        <v>226.73</v>
      </c>
      <c r="AT575" s="37" t="n">
        <v>307.48</v>
      </c>
      <c r="AU575" s="37" t="n">
        <v>282.8</v>
      </c>
      <c r="AV575" s="37" t="n">
        <v>276.98</v>
      </c>
      <c r="AW575" s="37" t="n">
        <v>276.03</v>
      </c>
      <c r="AX575" s="37" t="n">
        <v>284.99</v>
      </c>
      <c r="AY575" s="37" t="n">
        <v>277.79</v>
      </c>
      <c r="AZ575" s="37" t="n">
        <v>226.73</v>
      </c>
      <c r="BA575" s="37" t="n">
        <v>277.08</v>
      </c>
      <c r="BB575" s="37" t="n">
        <v>248.23</v>
      </c>
      <c r="BC575" s="37" t="n">
        <v>156.37</v>
      </c>
      <c r="BD575" s="37" t="n">
        <v>156.07</v>
      </c>
      <c r="BE575" s="37" t="n">
        <v>263.93</v>
      </c>
      <c r="BF575" s="37" t="n">
        <v>257.12</v>
      </c>
      <c r="BG575" s="37" t="n">
        <v>233.85</v>
      </c>
      <c r="BH575" s="37" t="n">
        <v>316.5</v>
      </c>
      <c r="BI575" s="37" t="n">
        <v>291.29</v>
      </c>
      <c r="BJ575" s="37" t="n">
        <v>295.01</v>
      </c>
      <c r="BK575" s="37" t="n">
        <v>284.21</v>
      </c>
      <c r="BL575" s="37" t="n">
        <v>293.59</v>
      </c>
      <c r="BM575" s="37" t="n">
        <v>286.28</v>
      </c>
      <c r="BN575" s="37" t="n">
        <v>233.85</v>
      </c>
      <c r="BO575" s="37" t="n">
        <v>316.5</v>
      </c>
      <c r="BP575" s="37" t="n">
        <v>291.29</v>
      </c>
      <c r="BQ575" s="37" t="n">
        <v>285.47</v>
      </c>
      <c r="BR575" s="37" t="n">
        <v>284.21</v>
      </c>
      <c r="BS575" s="37" t="n">
        <v>293.59</v>
      </c>
      <c r="BT575" s="37" t="n">
        <v>286.28</v>
      </c>
      <c r="BU575" s="37" t="n">
        <v>233.85</v>
      </c>
      <c r="BV575" s="37" t="n">
        <v>316.5</v>
      </c>
      <c r="BW575" s="37" t="n">
        <v>291.29</v>
      </c>
      <c r="BX575" s="37" t="n">
        <v>285.47</v>
      </c>
      <c r="BY575" s="37" t="n">
        <v>284.21</v>
      </c>
      <c r="BZ575" s="37" t="n">
        <v>293.59</v>
      </c>
      <c r="CA575" s="37" t="n">
        <v>286.28</v>
      </c>
      <c r="CB575" s="37" t="n">
        <v>233.85</v>
      </c>
      <c r="CC575" s="37" t="n">
        <v>19770.50999999999</v>
      </c>
    </row>
    <row r="576" ht="15.75" customHeight="1" s="57">
      <c r="A576" s="7" t="inlineStr">
        <is>
          <t>NTB</t>
        </is>
      </c>
      <c r="B576" s="7" t="inlineStr">
        <is>
          <t>Đắk Nông</t>
        </is>
      </c>
      <c r="C576" s="7" t="n">
        <v>20591000</v>
      </c>
      <c r="D576" s="7" t="inlineStr">
        <is>
          <t>(DNO) Krông Nô</t>
        </is>
      </c>
      <c r="E576" s="7" t="inlineStr">
        <is>
          <t>SME-Bulky</t>
        </is>
      </c>
      <c r="F576" s="36" t="n">
        <v>13</v>
      </c>
      <c r="G576" s="36" t="n">
        <v>11</v>
      </c>
      <c r="H576" s="36" t="n">
        <v>16</v>
      </c>
      <c r="I576" s="36" t="n">
        <v>10</v>
      </c>
      <c r="J576" s="36" t="n">
        <v>20</v>
      </c>
      <c r="K576" s="28" t="n">
        <v>15</v>
      </c>
      <c r="L576" s="36" t="n">
        <v>12</v>
      </c>
      <c r="M576" s="36" t="n">
        <v>17</v>
      </c>
      <c r="N576" s="36" t="n">
        <v>14</v>
      </c>
      <c r="O576" s="36" t="n">
        <v>15</v>
      </c>
      <c r="P576" s="36" t="n">
        <v>19</v>
      </c>
      <c r="Q576" s="36" t="n">
        <v>9</v>
      </c>
      <c r="R576" s="28" t="n">
        <v>28</v>
      </c>
      <c r="S576" s="36" t="n">
        <v>8</v>
      </c>
      <c r="T576" s="36" t="n">
        <v>18</v>
      </c>
      <c r="U576" s="36" t="n">
        <v>17.44</v>
      </c>
      <c r="V576" s="36" t="n">
        <v>17.35</v>
      </c>
      <c r="W576" s="36" t="n">
        <v>16.19</v>
      </c>
      <c r="X576" s="36" t="n">
        <v>11.36</v>
      </c>
      <c r="Y576" s="28" t="n">
        <v>19.32</v>
      </c>
      <c r="Z576" s="36" t="n">
        <v>18.87</v>
      </c>
      <c r="AA576" s="36" t="n">
        <v>17.8</v>
      </c>
      <c r="AB576" s="36" t="n">
        <v>17.44</v>
      </c>
      <c r="AC576" s="36" t="n">
        <v>17.35</v>
      </c>
      <c r="AD576" s="36" t="n">
        <v>15.65</v>
      </c>
      <c r="AE576" s="36" t="n">
        <v>11.36</v>
      </c>
      <c r="AF576" s="28" t="n">
        <v>19.32</v>
      </c>
      <c r="AG576" s="36" t="n">
        <v>18.87</v>
      </c>
      <c r="AH576" s="37" t="n">
        <v>17.8</v>
      </c>
      <c r="AI576" s="37" t="n">
        <v>17.44</v>
      </c>
      <c r="AJ576" s="37" t="n">
        <v>17.35</v>
      </c>
      <c r="AK576" s="37" t="n">
        <v>16.19</v>
      </c>
      <c r="AL576" s="37" t="n">
        <v>11.36</v>
      </c>
      <c r="AM576" s="37" t="n">
        <v>19.32</v>
      </c>
      <c r="AN576" s="37" t="n">
        <v>18.87</v>
      </c>
      <c r="AO576" s="37" t="n">
        <v>17.8</v>
      </c>
      <c r="AP576" s="37" t="n">
        <v>17.44</v>
      </c>
      <c r="AQ576" s="37" t="n">
        <v>17.35</v>
      </c>
      <c r="AR576" s="37" t="n">
        <v>16.19</v>
      </c>
      <c r="AS576" s="37" t="n">
        <v>11.36</v>
      </c>
      <c r="AT576" s="37" t="n">
        <v>19.32</v>
      </c>
      <c r="AU576" s="37" t="n">
        <v>18.87</v>
      </c>
      <c r="AV576" s="37" t="n">
        <v>17.8</v>
      </c>
      <c r="AW576" s="37" t="n">
        <v>17.44</v>
      </c>
      <c r="AX576" s="37" t="n">
        <v>17.35</v>
      </c>
      <c r="AY576" s="37" t="n">
        <v>16.19</v>
      </c>
      <c r="AZ576" s="37" t="n">
        <v>11.36</v>
      </c>
      <c r="BA576" s="37" t="n">
        <v>19.14</v>
      </c>
      <c r="BB576" s="37" t="n">
        <v>10.29</v>
      </c>
      <c r="BC576" s="37" t="n">
        <v>5.28</v>
      </c>
      <c r="BD576" s="37" t="n">
        <v>4.74</v>
      </c>
      <c r="BE576" s="37" t="n">
        <v>8.94</v>
      </c>
      <c r="BF576" s="37" t="n">
        <v>8.41</v>
      </c>
      <c r="BG576" s="37" t="n">
        <v>6.71</v>
      </c>
      <c r="BH576" s="37" t="n">
        <v>11.09</v>
      </c>
      <c r="BI576" s="37" t="n">
        <v>11</v>
      </c>
      <c r="BJ576" s="37" t="n">
        <v>10.11</v>
      </c>
      <c r="BK576" s="37" t="n">
        <v>10.2</v>
      </c>
      <c r="BL576" s="37" t="n">
        <v>10.2</v>
      </c>
      <c r="BM576" s="37" t="n">
        <v>9.57</v>
      </c>
      <c r="BN576" s="37" t="n">
        <v>6.71</v>
      </c>
      <c r="BO576" s="37" t="n">
        <v>11.09</v>
      </c>
      <c r="BP576" s="37" t="n">
        <v>11</v>
      </c>
      <c r="BQ576" s="37" t="n">
        <v>10.29</v>
      </c>
      <c r="BR576" s="37" t="n">
        <v>10.2</v>
      </c>
      <c r="BS576" s="37" t="n">
        <v>10.2</v>
      </c>
      <c r="BT576" s="37" t="n">
        <v>9.57</v>
      </c>
      <c r="BU576" s="37" t="n">
        <v>6.71</v>
      </c>
      <c r="BV576" s="37" t="n">
        <v>11.09</v>
      </c>
      <c r="BW576" s="37" t="n">
        <v>11</v>
      </c>
      <c r="BX576" s="37" t="n">
        <v>10.29</v>
      </c>
      <c r="BY576" s="37" t="n">
        <v>10.2</v>
      </c>
      <c r="BZ576" s="37" t="n">
        <v>10.2</v>
      </c>
      <c r="CA576" s="37" t="n">
        <v>9.57</v>
      </c>
      <c r="CB576" s="37" t="n">
        <v>6.71</v>
      </c>
      <c r="CC576" s="37" t="n">
        <v>1030.630000000001</v>
      </c>
    </row>
    <row r="577" ht="15.75" customHeight="1" s="57">
      <c r="A577" s="7" t="inlineStr">
        <is>
          <t>NTB</t>
        </is>
      </c>
      <c r="B577" s="7" t="inlineStr">
        <is>
          <t>Đắk Nông</t>
        </is>
      </c>
      <c r="C577" s="7" t="n">
        <v>20591000</v>
      </c>
      <c r="D577" s="7" t="inlineStr">
        <is>
          <t>(DNO) Krông Nô</t>
        </is>
      </c>
      <c r="E577" s="7" t="inlineStr">
        <is>
          <t>Shopee</t>
        </is>
      </c>
      <c r="F577" s="36" t="n">
        <v>147</v>
      </c>
      <c r="G577" s="36" t="n">
        <v>169</v>
      </c>
      <c r="H577" s="36" t="n">
        <v>173</v>
      </c>
      <c r="I577" s="36" t="n">
        <v>170</v>
      </c>
      <c r="J577" s="36" t="n">
        <v>182</v>
      </c>
      <c r="K577" s="28" t="n">
        <v>102</v>
      </c>
      <c r="L577" s="36" t="n">
        <v>91</v>
      </c>
      <c r="M577" s="36" t="n">
        <v>151</v>
      </c>
      <c r="N577" s="36" t="n">
        <v>183</v>
      </c>
      <c r="O577" s="36" t="n">
        <v>149</v>
      </c>
      <c r="P577" s="36" t="n">
        <v>104</v>
      </c>
      <c r="Q577" s="36" t="n">
        <v>78</v>
      </c>
      <c r="R577" s="28" t="n">
        <v>113</v>
      </c>
      <c r="S577" s="36" t="n">
        <v>75</v>
      </c>
      <c r="T577" s="36" t="n">
        <v>137</v>
      </c>
      <c r="U577" s="36" t="n">
        <v>141.9</v>
      </c>
      <c r="V577" s="36" t="n">
        <v>142.27</v>
      </c>
      <c r="W577" s="36" t="n">
        <v>140.41</v>
      </c>
      <c r="X577" s="36" t="n">
        <v>114.24</v>
      </c>
      <c r="Y577" s="28" t="n">
        <v>190.77</v>
      </c>
      <c r="Z577" s="36" t="n">
        <v>151.32</v>
      </c>
      <c r="AA577" s="36" t="n">
        <v>208.01</v>
      </c>
      <c r="AB577" s="36" t="n">
        <v>144.62</v>
      </c>
      <c r="AC577" s="36" t="n">
        <v>116.84</v>
      </c>
      <c r="AD577" s="36" t="n">
        <v>266.55</v>
      </c>
      <c r="AE577" s="36" t="n">
        <v>122.55</v>
      </c>
      <c r="AF577" s="28" t="n">
        <v>218.18</v>
      </c>
      <c r="AG577" s="36" t="n">
        <v>158.52</v>
      </c>
      <c r="AH577" s="37" t="n">
        <v>167.57</v>
      </c>
      <c r="AI577" s="37" t="n">
        <v>141.9</v>
      </c>
      <c r="AJ577" s="37" t="n">
        <v>142.27</v>
      </c>
      <c r="AK577" s="37" t="n">
        <v>189.28</v>
      </c>
      <c r="AL577" s="37" t="n">
        <v>205.03</v>
      </c>
      <c r="AM577" s="37" t="n">
        <v>190.77</v>
      </c>
      <c r="AN577" s="37" t="n">
        <v>151.32</v>
      </c>
      <c r="AO577" s="37" t="n">
        <v>167.57</v>
      </c>
      <c r="AP577" s="37" t="n">
        <v>177.49</v>
      </c>
      <c r="AQ577" s="37" t="n">
        <v>114.24</v>
      </c>
      <c r="AR577" s="37" t="n">
        <v>140.41</v>
      </c>
      <c r="AS577" s="37" t="n">
        <v>114.24</v>
      </c>
      <c r="AT577" s="37" t="n">
        <v>190.77</v>
      </c>
      <c r="AU577" s="37" t="n">
        <v>154.17</v>
      </c>
      <c r="AV577" s="37" t="n">
        <v>171.04</v>
      </c>
      <c r="AW577" s="37" t="n">
        <v>141.9</v>
      </c>
      <c r="AX577" s="37" t="n">
        <v>142.27</v>
      </c>
      <c r="AY577" s="37" t="n">
        <v>140.41</v>
      </c>
      <c r="AZ577" s="37" t="n">
        <v>114.24</v>
      </c>
      <c r="BA577" s="37" t="n">
        <v>147.23</v>
      </c>
      <c r="BB577" s="37" t="n">
        <v>128.25</v>
      </c>
      <c r="BC577" s="37" t="n">
        <v>65.48999999999999</v>
      </c>
      <c r="BD577" s="37" t="n">
        <v>116.72</v>
      </c>
      <c r="BE577" s="37" t="n">
        <v>135.57</v>
      </c>
      <c r="BF577" s="37" t="n">
        <v>133.96</v>
      </c>
      <c r="BG577" s="37" t="n">
        <v>111.26</v>
      </c>
      <c r="BH577" s="37" t="n">
        <v>181.71</v>
      </c>
      <c r="BI577" s="37" t="n">
        <v>118.95</v>
      </c>
      <c r="BJ577" s="37" t="n">
        <v>378.93</v>
      </c>
      <c r="BK577" s="37" t="n">
        <v>144.62</v>
      </c>
      <c r="BL577" s="37" t="n">
        <v>142.52</v>
      </c>
      <c r="BM577" s="37" t="n">
        <v>133.96</v>
      </c>
      <c r="BN577" s="37" t="n">
        <v>109.15</v>
      </c>
      <c r="BO577" s="37" t="n">
        <v>181.71</v>
      </c>
      <c r="BP577" s="37" t="n">
        <v>194.86</v>
      </c>
      <c r="BQ577" s="37" t="n">
        <v>286.77</v>
      </c>
      <c r="BR577" s="37" t="n">
        <v>135.2</v>
      </c>
      <c r="BS577" s="37" t="n">
        <v>135.57</v>
      </c>
      <c r="BT577" s="37" t="n">
        <v>133.96</v>
      </c>
      <c r="BU577" s="37" t="n">
        <v>135.94</v>
      </c>
      <c r="BV577" s="37" t="n">
        <v>145.74</v>
      </c>
      <c r="BW577" s="37" t="n">
        <v>144.13</v>
      </c>
      <c r="BX577" s="37" t="n">
        <v>159.38</v>
      </c>
      <c r="BY577" s="37" t="n">
        <v>135.2</v>
      </c>
      <c r="BZ577" s="37" t="n">
        <v>138.55</v>
      </c>
      <c r="CA577" s="37" t="n">
        <v>136.44</v>
      </c>
      <c r="CB577" s="37" t="n">
        <v>109.15</v>
      </c>
      <c r="CC577" s="37" t="n">
        <v>11317.99</v>
      </c>
    </row>
    <row r="578" ht="15.75" customHeight="1" s="57">
      <c r="A578" s="7" t="inlineStr">
        <is>
          <t>NTB</t>
        </is>
      </c>
      <c r="B578" s="7" t="inlineStr">
        <is>
          <t>Đắk Nông</t>
        </is>
      </c>
      <c r="C578" s="7" t="n">
        <v>20591000</v>
      </c>
      <c r="D578" s="7" t="inlineStr">
        <is>
          <t>(DNO) Krông Nô</t>
        </is>
      </c>
      <c r="E578" s="7" t="inlineStr">
        <is>
          <t>Shopee-Bulky</t>
        </is>
      </c>
      <c r="F578" s="36" t="n">
        <v>18.84</v>
      </c>
      <c r="G578" s="36" t="n">
        <v>13.64</v>
      </c>
      <c r="H578" s="36" t="n">
        <v>27.94</v>
      </c>
      <c r="I578" s="36" t="n">
        <v>21.44</v>
      </c>
      <c r="J578" s="36" t="n">
        <v>11.69</v>
      </c>
      <c r="K578" s="28" t="n">
        <v>9.1</v>
      </c>
      <c r="L578" s="36" t="n">
        <v>10.4</v>
      </c>
      <c r="M578" s="36" t="n">
        <v>16.89</v>
      </c>
      <c r="N578" s="36" t="n">
        <v>22.74</v>
      </c>
      <c r="O578" s="36" t="n">
        <v>12.99</v>
      </c>
      <c r="P578" s="36" t="n">
        <v>11.04</v>
      </c>
      <c r="Q578" s="36" t="n">
        <v>11.04</v>
      </c>
      <c r="R578" s="28" t="n">
        <v>18.19</v>
      </c>
      <c r="S578" s="36" t="n">
        <v>15.59</v>
      </c>
      <c r="T578" s="36" t="n">
        <v>13.64</v>
      </c>
      <c r="U578" s="36" t="n">
        <v>13.4</v>
      </c>
      <c r="V578" s="36" t="n">
        <v>12.44</v>
      </c>
      <c r="W578" s="36" t="n">
        <v>17.33</v>
      </c>
      <c r="X578" s="36" t="n">
        <v>9.789999999999999</v>
      </c>
      <c r="Y578" s="28" t="n">
        <v>19.66</v>
      </c>
      <c r="Z578" s="36" t="n">
        <v>15.57</v>
      </c>
      <c r="AA578" s="36" t="n">
        <v>15.01</v>
      </c>
      <c r="AB578" s="36" t="n">
        <v>15.41</v>
      </c>
      <c r="AC578" s="36" t="n">
        <v>15.17</v>
      </c>
      <c r="AD578" s="36" t="n">
        <v>35.47</v>
      </c>
      <c r="AE578" s="36" t="n">
        <v>25.68</v>
      </c>
      <c r="AF578" s="28" t="n">
        <v>38.76</v>
      </c>
      <c r="AG578" s="36" t="n">
        <v>22.07</v>
      </c>
      <c r="AH578" s="37" t="n">
        <v>15.57</v>
      </c>
      <c r="AI578" s="37" t="n">
        <v>15.17</v>
      </c>
      <c r="AJ578" s="37" t="n">
        <v>13.8</v>
      </c>
      <c r="AK578" s="37" t="n">
        <v>33.22</v>
      </c>
      <c r="AL578" s="37" t="n">
        <v>16.05</v>
      </c>
      <c r="AM578" s="37" t="n">
        <v>24.71</v>
      </c>
      <c r="AN578" s="37" t="n">
        <v>15.41</v>
      </c>
      <c r="AO578" s="37" t="n">
        <v>14.76</v>
      </c>
      <c r="AP578" s="37" t="n">
        <v>20.22</v>
      </c>
      <c r="AQ578" s="37" t="n">
        <v>19.5</v>
      </c>
      <c r="AR578" s="37" t="n">
        <v>15.97</v>
      </c>
      <c r="AS578" s="37" t="n">
        <v>8.99</v>
      </c>
      <c r="AT578" s="37" t="n">
        <v>17.81</v>
      </c>
      <c r="AU578" s="37" t="n">
        <v>30.25</v>
      </c>
      <c r="AV578" s="37" t="n">
        <v>31.21</v>
      </c>
      <c r="AW578" s="37" t="n">
        <v>14.76</v>
      </c>
      <c r="AX578" s="37" t="n">
        <v>13.24</v>
      </c>
      <c r="AY578" s="37" t="n">
        <v>15.41</v>
      </c>
      <c r="AZ578" s="37" t="n">
        <v>8.51</v>
      </c>
      <c r="BA578" s="37" t="n">
        <v>16.45</v>
      </c>
      <c r="BB578" s="37" t="n">
        <v>15.25</v>
      </c>
      <c r="BC578" s="37" t="n">
        <v>4.57</v>
      </c>
      <c r="BD578" s="37" t="n">
        <v>13.16</v>
      </c>
      <c r="BE578" s="37" t="n">
        <v>15.57</v>
      </c>
      <c r="BF578" s="37" t="n">
        <v>13.72</v>
      </c>
      <c r="BG578" s="37" t="n">
        <v>11.15</v>
      </c>
      <c r="BH578" s="37" t="n">
        <v>21.26</v>
      </c>
      <c r="BI578" s="37" t="n">
        <v>18.05</v>
      </c>
      <c r="BJ578" s="37" t="n">
        <v>56.81</v>
      </c>
      <c r="BK578" s="37" t="n">
        <v>38.52</v>
      </c>
      <c r="BL578" s="37" t="n">
        <v>19.9</v>
      </c>
      <c r="BM578" s="37" t="n">
        <v>14.76</v>
      </c>
      <c r="BN578" s="37" t="n">
        <v>11.23</v>
      </c>
      <c r="BO578" s="37" t="n">
        <v>23.83</v>
      </c>
      <c r="BP578" s="37" t="n">
        <v>36.59</v>
      </c>
      <c r="BQ578" s="37" t="n">
        <v>25.92</v>
      </c>
      <c r="BR578" s="37" t="n">
        <v>16.93</v>
      </c>
      <c r="BS578" s="37" t="n">
        <v>15.57</v>
      </c>
      <c r="BT578" s="37" t="n">
        <v>13.72</v>
      </c>
      <c r="BU578" s="37" t="n">
        <v>16.21</v>
      </c>
      <c r="BV578" s="37" t="n">
        <v>22.07</v>
      </c>
      <c r="BW578" s="37" t="n">
        <v>18.05</v>
      </c>
      <c r="BX578" s="37" t="n">
        <v>17.09</v>
      </c>
      <c r="BY578" s="37" t="n">
        <v>16.93</v>
      </c>
      <c r="BZ578" s="37" t="n">
        <v>29.45</v>
      </c>
      <c r="CA578" s="37" t="n">
        <v>15.97</v>
      </c>
      <c r="CB578" s="37" t="n">
        <v>10.67</v>
      </c>
      <c r="CC578" s="37" t="n">
        <v>1384.89</v>
      </c>
    </row>
    <row r="579" ht="15.75" customHeight="1" s="57">
      <c r="A579" s="7" t="inlineStr">
        <is>
          <t>NTB</t>
        </is>
      </c>
      <c r="B579" s="7" t="inlineStr">
        <is>
          <t>Đắk Nông</t>
        </is>
      </c>
      <c r="C579" s="7" t="n">
        <v>20591000</v>
      </c>
      <c r="D579" s="7" t="inlineStr">
        <is>
          <t>(DNO) Krông Nô</t>
        </is>
      </c>
      <c r="E579" s="7" t="inlineStr">
        <is>
          <t>Shopee-Bulky (10-15kg)</t>
        </is>
      </c>
      <c r="F579" s="36" t="n">
        <v>10.16</v>
      </c>
      <c r="G579" s="36" t="n">
        <v>7.36</v>
      </c>
      <c r="H579" s="36" t="n">
        <v>15.06</v>
      </c>
      <c r="I579" s="36" t="n">
        <v>11.56</v>
      </c>
      <c r="J579" s="36" t="n">
        <v>6.31</v>
      </c>
      <c r="K579" s="28" t="n">
        <v>4.9</v>
      </c>
      <c r="L579" s="36" t="n">
        <v>5.6</v>
      </c>
      <c r="M579" s="36" t="n">
        <v>9.109999999999999</v>
      </c>
      <c r="N579" s="36" t="n">
        <v>12.26</v>
      </c>
      <c r="O579" s="36" t="n">
        <v>7.01</v>
      </c>
      <c r="P579" s="36" t="n">
        <v>5.96</v>
      </c>
      <c r="Q579" s="36" t="n">
        <v>5.96</v>
      </c>
      <c r="R579" s="28" t="n">
        <v>9.81</v>
      </c>
      <c r="S579" s="36" t="n">
        <v>8.41</v>
      </c>
      <c r="T579" s="36" t="n">
        <v>7.36</v>
      </c>
      <c r="U579" s="36" t="n">
        <v>6.98</v>
      </c>
      <c r="V579" s="36" t="n">
        <v>6.74</v>
      </c>
      <c r="W579" s="36" t="n">
        <v>9.31</v>
      </c>
      <c r="X579" s="36" t="n">
        <v>5.46</v>
      </c>
      <c r="Y579" s="28" t="n">
        <v>10.11</v>
      </c>
      <c r="Z579" s="36" t="n">
        <v>7.78</v>
      </c>
      <c r="AA579" s="36" t="n">
        <v>7.62</v>
      </c>
      <c r="AB579" s="36" t="n">
        <v>7.78</v>
      </c>
      <c r="AC579" s="36" t="n">
        <v>7.94</v>
      </c>
      <c r="AD579" s="36" t="n">
        <v>32.74</v>
      </c>
      <c r="AE579" s="36" t="n">
        <v>13.72</v>
      </c>
      <c r="AF579" s="28" t="n">
        <v>20.06</v>
      </c>
      <c r="AG579" s="36" t="n">
        <v>11.23</v>
      </c>
      <c r="AH579" s="37" t="n">
        <v>7.78</v>
      </c>
      <c r="AI579" s="37" t="n">
        <v>7.86</v>
      </c>
      <c r="AJ579" s="37" t="n">
        <v>7.06</v>
      </c>
      <c r="AK579" s="37" t="n">
        <v>18.38</v>
      </c>
      <c r="AL579" s="37" t="n">
        <v>8.51</v>
      </c>
      <c r="AM579" s="37" t="n">
        <v>12.68</v>
      </c>
      <c r="AN579" s="37" t="n">
        <v>7.7</v>
      </c>
      <c r="AO579" s="37" t="n">
        <v>7.62</v>
      </c>
      <c r="AP579" s="37" t="n">
        <v>10.11</v>
      </c>
      <c r="AQ579" s="37" t="n">
        <v>10.19</v>
      </c>
      <c r="AR579" s="37" t="n">
        <v>8.59</v>
      </c>
      <c r="AS579" s="37" t="n">
        <v>4.97</v>
      </c>
      <c r="AT579" s="37" t="n">
        <v>9.23</v>
      </c>
      <c r="AU579" s="37" t="n">
        <v>16.85</v>
      </c>
      <c r="AV579" s="37" t="n">
        <v>16.37</v>
      </c>
      <c r="AW579" s="37" t="n">
        <v>7.22</v>
      </c>
      <c r="AX579" s="37" t="n">
        <v>6.82</v>
      </c>
      <c r="AY579" s="37" t="n">
        <v>8.35</v>
      </c>
      <c r="AZ579" s="37" t="n">
        <v>4.65</v>
      </c>
      <c r="BA579" s="37" t="n">
        <v>8.59</v>
      </c>
      <c r="BB579" s="37" t="n">
        <v>8.02</v>
      </c>
      <c r="BC579" s="37" t="n">
        <v>2.01</v>
      </c>
      <c r="BD579" s="37" t="n">
        <v>7.14</v>
      </c>
      <c r="BE579" s="37" t="n">
        <v>8.18</v>
      </c>
      <c r="BF579" s="37" t="n">
        <v>7.46</v>
      </c>
      <c r="BG579" s="37" t="n">
        <v>6.5</v>
      </c>
      <c r="BH579" s="37" t="n">
        <v>11.15</v>
      </c>
      <c r="BI579" s="37" t="n">
        <v>9.31</v>
      </c>
      <c r="BJ579" s="37" t="n">
        <v>45.66</v>
      </c>
      <c r="BK579" s="37" t="n">
        <v>21.02</v>
      </c>
      <c r="BL579" s="37" t="n">
        <v>10.19</v>
      </c>
      <c r="BM579" s="37" t="n">
        <v>7.7</v>
      </c>
      <c r="BN579" s="37" t="n">
        <v>6.34</v>
      </c>
      <c r="BO579" s="37" t="n">
        <v>12.52</v>
      </c>
      <c r="BP579" s="37" t="n">
        <v>19.58</v>
      </c>
      <c r="BQ579" s="37" t="n">
        <v>13.4</v>
      </c>
      <c r="BR579" s="37" t="n">
        <v>8.67</v>
      </c>
      <c r="BS579" s="37" t="n">
        <v>8.18</v>
      </c>
      <c r="BT579" s="37" t="n">
        <v>7.46</v>
      </c>
      <c r="BU579" s="37" t="n">
        <v>8.35</v>
      </c>
      <c r="BV579" s="37" t="n">
        <v>11.47</v>
      </c>
      <c r="BW579" s="37" t="n">
        <v>9.31</v>
      </c>
      <c r="BX579" s="37" t="n">
        <v>8.99</v>
      </c>
      <c r="BY579" s="37" t="n">
        <v>8.67</v>
      </c>
      <c r="BZ579" s="37" t="n">
        <v>15.89</v>
      </c>
      <c r="CA579" s="37" t="n">
        <v>8.59</v>
      </c>
      <c r="CB579" s="37" t="n">
        <v>6.18</v>
      </c>
      <c r="CC579" s="37" t="n">
        <v>761.7699999999999</v>
      </c>
    </row>
    <row r="580" ht="15.75" customHeight="1" s="57">
      <c r="A580" s="7" t="inlineStr">
        <is>
          <t>NTB</t>
        </is>
      </c>
      <c r="B580" s="7" t="inlineStr">
        <is>
          <t>Đắk Nông</t>
        </is>
      </c>
      <c r="C580" s="7" t="n">
        <v>20591000</v>
      </c>
      <c r="D580" s="7" t="inlineStr">
        <is>
          <t>(DNO) Krông Nô</t>
        </is>
      </c>
      <c r="E580" s="7" t="inlineStr">
        <is>
          <t>TTS</t>
        </is>
      </c>
      <c r="F580" s="36" t="n">
        <v>203</v>
      </c>
      <c r="G580" s="36" t="n">
        <v>229</v>
      </c>
      <c r="H580" s="36" t="n">
        <v>234</v>
      </c>
      <c r="I580" s="36" t="n">
        <v>189</v>
      </c>
      <c r="J580" s="36" t="n">
        <v>181</v>
      </c>
      <c r="K580" s="28" t="n">
        <v>137</v>
      </c>
      <c r="L580" s="36" t="n">
        <v>128</v>
      </c>
      <c r="M580" s="36" t="n">
        <v>177</v>
      </c>
      <c r="N580" s="36" t="n">
        <v>194</v>
      </c>
      <c r="O580" s="36" t="n">
        <v>177</v>
      </c>
      <c r="P580" s="36" t="n">
        <v>200</v>
      </c>
      <c r="Q580" s="36" t="n">
        <v>149</v>
      </c>
      <c r="R580" s="28" t="n">
        <v>165</v>
      </c>
      <c r="S580" s="36" t="n">
        <v>128</v>
      </c>
      <c r="T580" s="36" t="n">
        <v>188</v>
      </c>
      <c r="U580" s="36" t="n">
        <v>179.64</v>
      </c>
      <c r="V580" s="36" t="n">
        <v>177</v>
      </c>
      <c r="W580" s="36" t="n">
        <v>172.76</v>
      </c>
      <c r="X580" s="36" t="n">
        <v>139.34</v>
      </c>
      <c r="Y580" s="28" t="n">
        <v>203.89</v>
      </c>
      <c r="Z580" s="36" t="n">
        <v>173.56</v>
      </c>
      <c r="AA580" s="36" t="n">
        <v>191.32</v>
      </c>
      <c r="AB580" s="36" t="n">
        <v>212.51</v>
      </c>
      <c r="AC580" s="36" t="n">
        <v>224.54</v>
      </c>
      <c r="AD580" s="36" t="n">
        <v>246.68</v>
      </c>
      <c r="AE580" s="36" t="n">
        <v>161.91</v>
      </c>
      <c r="AF580" s="28" t="n">
        <v>210.31</v>
      </c>
      <c r="AG580" s="36" t="n">
        <v>176.31</v>
      </c>
      <c r="AH580" s="37" t="n">
        <v>174.14</v>
      </c>
      <c r="AI580" s="37" t="n">
        <v>199.23</v>
      </c>
      <c r="AJ580" s="37" t="n">
        <v>213.88</v>
      </c>
      <c r="AK580" s="37" t="n">
        <v>210.91</v>
      </c>
      <c r="AL580" s="37" t="n">
        <v>150.34</v>
      </c>
      <c r="AM580" s="37" t="n">
        <v>207.1</v>
      </c>
      <c r="AN580" s="37" t="n">
        <v>178.49</v>
      </c>
      <c r="AO580" s="37" t="n">
        <v>176.77</v>
      </c>
      <c r="AP580" s="37" t="n">
        <v>172.09</v>
      </c>
      <c r="AQ580" s="37" t="n">
        <v>174.02</v>
      </c>
      <c r="AR580" s="37" t="n">
        <v>170.82</v>
      </c>
      <c r="AS580" s="37" t="n">
        <v>139.8</v>
      </c>
      <c r="AT580" s="37" t="n">
        <v>223.6</v>
      </c>
      <c r="AU580" s="37" t="n">
        <v>202.43</v>
      </c>
      <c r="AV580" s="37" t="n">
        <v>179.75</v>
      </c>
      <c r="AW580" s="37" t="n">
        <v>169.68</v>
      </c>
      <c r="AX580" s="37" t="n">
        <v>168.98</v>
      </c>
      <c r="AY580" s="37" t="n">
        <v>168.41</v>
      </c>
      <c r="AZ580" s="37" t="n">
        <v>139.8</v>
      </c>
      <c r="BA580" s="37" t="n">
        <v>202.29</v>
      </c>
      <c r="BB580" s="37" t="n">
        <v>188.68</v>
      </c>
      <c r="BC580" s="37" t="n">
        <v>112.11</v>
      </c>
      <c r="BD580" s="37" t="n">
        <v>162.48</v>
      </c>
      <c r="BE580" s="37" t="n">
        <v>191.2</v>
      </c>
      <c r="BF580" s="37" t="n">
        <v>186.05</v>
      </c>
      <c r="BG580" s="37" t="n">
        <v>150.45</v>
      </c>
      <c r="BH580" s="37" t="n">
        <v>223.48</v>
      </c>
      <c r="BI580" s="37" t="n">
        <v>188.68</v>
      </c>
      <c r="BJ580" s="37" t="n">
        <v>187.11</v>
      </c>
      <c r="BK580" s="37" t="n">
        <v>190.75</v>
      </c>
      <c r="BL580" s="37" t="n">
        <v>191.2</v>
      </c>
      <c r="BM580" s="37" t="n">
        <v>186.05</v>
      </c>
      <c r="BN580" s="37" t="n">
        <v>150.45</v>
      </c>
      <c r="BO580" s="37" t="n">
        <v>223.48</v>
      </c>
      <c r="BP580" s="37" t="n">
        <v>188.68</v>
      </c>
      <c r="BQ580" s="37" t="n">
        <v>186.51</v>
      </c>
      <c r="BR580" s="37" t="n">
        <v>190.75</v>
      </c>
      <c r="BS580" s="37" t="n">
        <v>191.2</v>
      </c>
      <c r="BT580" s="37" t="n">
        <v>186.05</v>
      </c>
      <c r="BU580" s="37" t="n">
        <v>150.45</v>
      </c>
      <c r="BV580" s="37" t="n">
        <v>223.48</v>
      </c>
      <c r="BW580" s="37" t="n">
        <v>188.68</v>
      </c>
      <c r="BX580" s="37" t="n">
        <v>186.51</v>
      </c>
      <c r="BY580" s="37" t="n">
        <v>190.75</v>
      </c>
      <c r="BZ580" s="37" t="n">
        <v>191.2</v>
      </c>
      <c r="CA580" s="37" t="n">
        <v>186.05</v>
      </c>
      <c r="CB580" s="37" t="n">
        <v>150.45</v>
      </c>
      <c r="CC580" s="37" t="n">
        <v>13714.23000000001</v>
      </c>
    </row>
    <row r="581" ht="15.75" customHeight="1" s="57">
      <c r="A581" s="7" t="inlineStr">
        <is>
          <t>NTB</t>
        </is>
      </c>
      <c r="B581" s="7" t="inlineStr">
        <is>
          <t>Đắk Nông</t>
        </is>
      </c>
      <c r="C581" s="7" t="n">
        <v>20591000</v>
      </c>
      <c r="D581" s="7" t="inlineStr">
        <is>
          <t>(DNO) Krông Nô</t>
        </is>
      </c>
      <c r="E581" s="7" t="inlineStr">
        <is>
          <t>TTS-Bulky</t>
        </is>
      </c>
      <c r="F581" s="36" t="n">
        <v>2</v>
      </c>
      <c r="G581" s="36" t="n">
        <v>4</v>
      </c>
      <c r="H581" s="36" t="n">
        <v>7</v>
      </c>
      <c r="I581" s="36" t="n">
        <v>7</v>
      </c>
      <c r="J581" s="36" t="n">
        <v>2</v>
      </c>
      <c r="K581" s="28" t="n">
        <v>2</v>
      </c>
      <c r="L581" s="36" t="n">
        <v>3</v>
      </c>
      <c r="M581" s="36" t="n">
        <v>2</v>
      </c>
      <c r="N581" s="36" t="n">
        <v>2</v>
      </c>
      <c r="O581" s="36" t="n">
        <v>2</v>
      </c>
      <c r="P581" s="36" t="n">
        <v>2</v>
      </c>
      <c r="Q581" s="36" t="n">
        <v>0</v>
      </c>
      <c r="R581" s="28" t="n">
        <v>2</v>
      </c>
      <c r="S581" s="36" t="n">
        <v>1</v>
      </c>
      <c r="T581" s="36" t="n">
        <v>1</v>
      </c>
      <c r="U581" s="36" t="n">
        <v>8.129999999999999</v>
      </c>
      <c r="V581" s="36" t="n">
        <v>8.75</v>
      </c>
      <c r="W581" s="36" t="n">
        <v>4.17</v>
      </c>
      <c r="X581" s="36" t="n">
        <v>2.5</v>
      </c>
      <c r="Y581" s="28" t="n">
        <v>5.32</v>
      </c>
      <c r="Z581" s="36" t="n">
        <v>4.069999999999999</v>
      </c>
      <c r="AA581" s="36" t="n">
        <v>4.38</v>
      </c>
      <c r="AB581" s="36" t="n">
        <v>4.68</v>
      </c>
      <c r="AC581" s="36" t="n">
        <v>4.800000000000001</v>
      </c>
      <c r="AD581" s="36" t="n">
        <v>4.19</v>
      </c>
      <c r="AE581" s="36" t="n">
        <v>3.02</v>
      </c>
      <c r="AF581" s="28" t="n">
        <v>5.63</v>
      </c>
      <c r="AG581" s="36" t="n">
        <v>4.17</v>
      </c>
      <c r="AH581" s="37" t="n">
        <v>4.069999999999999</v>
      </c>
      <c r="AI581" s="37" t="n">
        <v>4.390000000000001</v>
      </c>
      <c r="AJ581" s="37" t="n">
        <v>4.69</v>
      </c>
      <c r="AK581" s="37" t="n">
        <v>4.9</v>
      </c>
      <c r="AL581" s="37" t="n">
        <v>2.5</v>
      </c>
      <c r="AM581" s="37" t="n">
        <v>5.42</v>
      </c>
      <c r="AN581" s="37" t="n">
        <v>3.96</v>
      </c>
      <c r="AO581" s="37" t="n">
        <v>4.17</v>
      </c>
      <c r="AP581" s="37" t="n">
        <v>4.069999999999999</v>
      </c>
      <c r="AQ581" s="37" t="n">
        <v>4.48</v>
      </c>
      <c r="AR581" s="37" t="n">
        <v>4.17</v>
      </c>
      <c r="AS581" s="37" t="n">
        <v>2.5</v>
      </c>
      <c r="AT581" s="37" t="n">
        <v>5.73</v>
      </c>
      <c r="AU581" s="37" t="n">
        <v>4.59</v>
      </c>
      <c r="AV581" s="37" t="n">
        <v>4.17</v>
      </c>
      <c r="AW581" s="37" t="n">
        <v>3.96</v>
      </c>
      <c r="AX581" s="37" t="n">
        <v>4.48</v>
      </c>
      <c r="AY581" s="37" t="n">
        <v>4.17</v>
      </c>
      <c r="AZ581" s="37" t="n">
        <v>2.5</v>
      </c>
      <c r="BA581" s="37" t="n">
        <v>4.9</v>
      </c>
      <c r="BB581" s="37" t="n">
        <v>1.15</v>
      </c>
      <c r="BC581" s="37" t="n">
        <v>0.52</v>
      </c>
      <c r="BD581" s="37" t="n">
        <v>0.83</v>
      </c>
      <c r="BE581" s="37" t="n">
        <v>1.15</v>
      </c>
      <c r="BF581" s="37" t="n">
        <v>1.15</v>
      </c>
      <c r="BG581" s="37" t="n">
        <v>0.73</v>
      </c>
      <c r="BH581" s="37" t="n">
        <v>1.56</v>
      </c>
      <c r="BI581" s="37" t="n">
        <v>1.15</v>
      </c>
      <c r="BJ581" s="37" t="n">
        <v>1.05</v>
      </c>
      <c r="BK581" s="37" t="n">
        <v>1.15</v>
      </c>
      <c r="BL581" s="37" t="n">
        <v>1.15</v>
      </c>
      <c r="BM581" s="37" t="n">
        <v>1.15</v>
      </c>
      <c r="BN581" s="37" t="n">
        <v>0.83</v>
      </c>
      <c r="BO581" s="37" t="n">
        <v>1.67</v>
      </c>
      <c r="BP581" s="37" t="n">
        <v>1.36</v>
      </c>
      <c r="BQ581" s="37" t="n">
        <v>1.15</v>
      </c>
      <c r="BR581" s="37" t="n">
        <v>1.15</v>
      </c>
      <c r="BS581" s="37" t="n">
        <v>1.15</v>
      </c>
      <c r="BT581" s="37" t="n">
        <v>1.15</v>
      </c>
      <c r="BU581" s="37" t="n">
        <v>0.63</v>
      </c>
      <c r="BV581" s="37" t="n">
        <v>1.46</v>
      </c>
      <c r="BW581" s="37" t="n">
        <v>1.15</v>
      </c>
      <c r="BX581" s="37" t="n">
        <v>1.15</v>
      </c>
      <c r="BY581" s="37" t="n">
        <v>1.15</v>
      </c>
      <c r="BZ581" s="37" t="n">
        <v>1.15</v>
      </c>
      <c r="CA581" s="37" t="n">
        <v>1.15</v>
      </c>
      <c r="CB581" s="37" t="n">
        <v>0.63</v>
      </c>
      <c r="CC581" s="37" t="n">
        <v>216.3</v>
      </c>
    </row>
    <row r="582" ht="15.75" customHeight="1" s="57">
      <c r="A582" s="7" t="inlineStr">
        <is>
          <t>NTB</t>
        </is>
      </c>
      <c r="B582" s="7" t="inlineStr">
        <is>
          <t>Đắk Nông</t>
        </is>
      </c>
      <c r="C582" s="7" t="n">
        <v>20673000</v>
      </c>
      <c r="D582" s="7" t="inlineStr">
        <is>
          <t>(DNO) Cư Jút</t>
        </is>
      </c>
      <c r="E582" s="7" t="inlineStr">
        <is>
          <t>SME</t>
        </is>
      </c>
      <c r="F582" s="36" t="n">
        <v>252</v>
      </c>
      <c r="G582" s="36" t="n">
        <v>266</v>
      </c>
      <c r="H582" s="36" t="n">
        <v>266</v>
      </c>
      <c r="I582" s="36" t="n">
        <v>219</v>
      </c>
      <c r="J582" s="36" t="n">
        <v>296</v>
      </c>
      <c r="K582" s="28" t="n">
        <v>233</v>
      </c>
      <c r="L582" s="36" t="n">
        <v>224</v>
      </c>
      <c r="M582" s="36" t="n">
        <v>180</v>
      </c>
      <c r="N582" s="36" t="n">
        <v>221</v>
      </c>
      <c r="O582" s="36" t="n">
        <v>229</v>
      </c>
      <c r="P582" s="36" t="n">
        <v>220</v>
      </c>
      <c r="Q582" s="36" t="n">
        <v>193</v>
      </c>
      <c r="R582" s="28" t="n">
        <v>221</v>
      </c>
      <c r="S582" s="36" t="n">
        <v>204</v>
      </c>
      <c r="T582" s="36" t="n">
        <v>205</v>
      </c>
      <c r="U582" s="36" t="n">
        <v>289.62</v>
      </c>
      <c r="V582" s="36" t="n">
        <v>299.05</v>
      </c>
      <c r="W582" s="36" t="n">
        <v>291.51</v>
      </c>
      <c r="X582" s="36" t="n">
        <v>237.83</v>
      </c>
      <c r="Y582" s="28" t="n">
        <v>322.72</v>
      </c>
      <c r="Z582" s="36" t="n">
        <v>296.75</v>
      </c>
      <c r="AA582" s="36" t="n">
        <v>290.6</v>
      </c>
      <c r="AB582" s="36" t="n">
        <v>289.62</v>
      </c>
      <c r="AC582" s="36" t="n">
        <v>299.05</v>
      </c>
      <c r="AD582" s="36" t="n">
        <v>303.03</v>
      </c>
      <c r="AE582" s="36" t="n">
        <v>237.83</v>
      </c>
      <c r="AF582" s="28" t="n">
        <v>322.72</v>
      </c>
      <c r="AG582" s="36" t="n">
        <v>296.75</v>
      </c>
      <c r="AH582" s="37" t="n">
        <v>290.6</v>
      </c>
      <c r="AI582" s="37" t="n">
        <v>289.62</v>
      </c>
      <c r="AJ582" s="37" t="n">
        <v>299.05</v>
      </c>
      <c r="AK582" s="37" t="n">
        <v>291.51</v>
      </c>
      <c r="AL582" s="37" t="n">
        <v>237.83</v>
      </c>
      <c r="AM582" s="37" t="n">
        <v>322.72</v>
      </c>
      <c r="AN582" s="37" t="n">
        <v>296.75</v>
      </c>
      <c r="AO582" s="37" t="n">
        <v>290.6</v>
      </c>
      <c r="AP582" s="37" t="n">
        <v>289.62</v>
      </c>
      <c r="AQ582" s="37" t="n">
        <v>299.05</v>
      </c>
      <c r="AR582" s="37" t="n">
        <v>291.51</v>
      </c>
      <c r="AS582" s="37" t="n">
        <v>237.83</v>
      </c>
      <c r="AT582" s="37" t="n">
        <v>322.72</v>
      </c>
      <c r="AU582" s="37" t="n">
        <v>296.75</v>
      </c>
      <c r="AV582" s="37" t="n">
        <v>290.6</v>
      </c>
      <c r="AW582" s="37" t="n">
        <v>289.62</v>
      </c>
      <c r="AX582" s="37" t="n">
        <v>299.05</v>
      </c>
      <c r="AY582" s="37" t="n">
        <v>291.51</v>
      </c>
      <c r="AZ582" s="37" t="n">
        <v>237.83</v>
      </c>
      <c r="BA582" s="37" t="n">
        <v>290.71</v>
      </c>
      <c r="BB582" s="37" t="n">
        <v>260.36</v>
      </c>
      <c r="BC582" s="37" t="n">
        <v>163.94</v>
      </c>
      <c r="BD582" s="37" t="n">
        <v>163.59</v>
      </c>
      <c r="BE582" s="37" t="n">
        <v>276.68</v>
      </c>
      <c r="BF582" s="37" t="n">
        <v>269.6</v>
      </c>
      <c r="BG582" s="37" t="n">
        <v>245.23</v>
      </c>
      <c r="BH582" s="37" t="n">
        <v>332.06</v>
      </c>
      <c r="BI582" s="37" t="n">
        <v>305.55</v>
      </c>
      <c r="BJ582" s="37" t="n">
        <v>310.58</v>
      </c>
      <c r="BK582" s="37" t="n">
        <v>298.09</v>
      </c>
      <c r="BL582" s="37" t="n">
        <v>307.96</v>
      </c>
      <c r="BM582" s="37" t="n">
        <v>300.3</v>
      </c>
      <c r="BN582" s="37" t="n">
        <v>245.23</v>
      </c>
      <c r="BO582" s="37" t="n">
        <v>332.06</v>
      </c>
      <c r="BP582" s="37" t="n">
        <v>305.55</v>
      </c>
      <c r="BQ582" s="37" t="n">
        <v>299.39</v>
      </c>
      <c r="BR582" s="37" t="n">
        <v>298.09</v>
      </c>
      <c r="BS582" s="37" t="n">
        <v>307.96</v>
      </c>
      <c r="BT582" s="37" t="n">
        <v>300.3</v>
      </c>
      <c r="BU582" s="37" t="n">
        <v>245.23</v>
      </c>
      <c r="BV582" s="37" t="n">
        <v>332.06</v>
      </c>
      <c r="BW582" s="37" t="n">
        <v>305.55</v>
      </c>
      <c r="BX582" s="37" t="n">
        <v>299.39</v>
      </c>
      <c r="BY582" s="37" t="n">
        <v>298.09</v>
      </c>
      <c r="BZ582" s="37" t="n">
        <v>307.96</v>
      </c>
      <c r="CA582" s="37" t="n">
        <v>300.3</v>
      </c>
      <c r="CB582" s="37" t="n">
        <v>245.23</v>
      </c>
      <c r="CC582" s="37" t="n">
        <v>20617.89</v>
      </c>
    </row>
    <row r="583" ht="15.75" customHeight="1" s="57">
      <c r="A583" s="7" t="inlineStr">
        <is>
          <t>NTB</t>
        </is>
      </c>
      <c r="B583" s="7" t="inlineStr">
        <is>
          <t>Đắk Nông</t>
        </is>
      </c>
      <c r="C583" s="7" t="n">
        <v>20673000</v>
      </c>
      <c r="D583" s="7" t="inlineStr">
        <is>
          <t>(DNO) Cư Jút</t>
        </is>
      </c>
      <c r="E583" s="7" t="inlineStr">
        <is>
          <t>SME-Bulky</t>
        </is>
      </c>
      <c r="F583" s="36" t="n">
        <v>21</v>
      </c>
      <c r="G583" s="36" t="n">
        <v>22</v>
      </c>
      <c r="H583" s="36" t="n">
        <v>15</v>
      </c>
      <c r="I583" s="36" t="n">
        <v>22</v>
      </c>
      <c r="J583" s="36" t="n">
        <v>14</v>
      </c>
      <c r="K583" s="28" t="n">
        <v>20</v>
      </c>
      <c r="L583" s="36" t="n">
        <v>7</v>
      </c>
      <c r="M583" s="36" t="n">
        <v>16</v>
      </c>
      <c r="N583" s="36" t="n">
        <v>20</v>
      </c>
      <c r="O583" s="36" t="n">
        <v>16</v>
      </c>
      <c r="P583" s="36" t="n">
        <v>20</v>
      </c>
      <c r="Q583" s="36" t="n">
        <v>41</v>
      </c>
      <c r="R583" s="28" t="n">
        <v>27</v>
      </c>
      <c r="S583" s="36" t="n">
        <v>12</v>
      </c>
      <c r="T583" s="36" t="n">
        <v>26</v>
      </c>
      <c r="U583" s="36" t="n">
        <v>25.46</v>
      </c>
      <c r="V583" s="36" t="n">
        <v>25.32</v>
      </c>
      <c r="W583" s="36" t="n">
        <v>23.63</v>
      </c>
      <c r="X583" s="36" t="n">
        <v>16.58</v>
      </c>
      <c r="Y583" s="28" t="n">
        <v>28.2</v>
      </c>
      <c r="Z583" s="36" t="n">
        <v>27.54</v>
      </c>
      <c r="AA583" s="36" t="n">
        <v>25.98</v>
      </c>
      <c r="AB583" s="36" t="n">
        <v>25.46</v>
      </c>
      <c r="AC583" s="36" t="n">
        <v>25.32</v>
      </c>
      <c r="AD583" s="36" t="n">
        <v>22.84</v>
      </c>
      <c r="AE583" s="36" t="n">
        <v>16.58</v>
      </c>
      <c r="AF583" s="28" t="n">
        <v>28.2</v>
      </c>
      <c r="AG583" s="36" t="n">
        <v>27.54</v>
      </c>
      <c r="AH583" s="37" t="n">
        <v>25.98</v>
      </c>
      <c r="AI583" s="37" t="n">
        <v>25.46</v>
      </c>
      <c r="AJ583" s="37" t="n">
        <v>25.32</v>
      </c>
      <c r="AK583" s="37" t="n">
        <v>23.63</v>
      </c>
      <c r="AL583" s="37" t="n">
        <v>16.58</v>
      </c>
      <c r="AM583" s="37" t="n">
        <v>28.2</v>
      </c>
      <c r="AN583" s="37" t="n">
        <v>27.54</v>
      </c>
      <c r="AO583" s="37" t="n">
        <v>25.98</v>
      </c>
      <c r="AP583" s="37" t="n">
        <v>25.46</v>
      </c>
      <c r="AQ583" s="37" t="n">
        <v>25.32</v>
      </c>
      <c r="AR583" s="37" t="n">
        <v>23.63</v>
      </c>
      <c r="AS583" s="37" t="n">
        <v>16.58</v>
      </c>
      <c r="AT583" s="37" t="n">
        <v>28.2</v>
      </c>
      <c r="AU583" s="37" t="n">
        <v>27.54</v>
      </c>
      <c r="AV583" s="37" t="n">
        <v>25.98</v>
      </c>
      <c r="AW583" s="37" t="n">
        <v>25.46</v>
      </c>
      <c r="AX583" s="37" t="n">
        <v>25.32</v>
      </c>
      <c r="AY583" s="37" t="n">
        <v>23.63</v>
      </c>
      <c r="AZ583" s="37" t="n">
        <v>16.58</v>
      </c>
      <c r="BA583" s="37" t="n">
        <v>27.94</v>
      </c>
      <c r="BB583" s="37" t="n">
        <v>15.01</v>
      </c>
      <c r="BC583" s="37" t="n">
        <v>7.7</v>
      </c>
      <c r="BD583" s="37" t="n">
        <v>6.92</v>
      </c>
      <c r="BE583" s="37" t="n">
        <v>13.05</v>
      </c>
      <c r="BF583" s="37" t="n">
        <v>12.27</v>
      </c>
      <c r="BG583" s="37" t="n">
        <v>9.789999999999999</v>
      </c>
      <c r="BH583" s="37" t="n">
        <v>16.19</v>
      </c>
      <c r="BI583" s="37" t="n">
        <v>16.06</v>
      </c>
      <c r="BJ583" s="37" t="n">
        <v>14.75</v>
      </c>
      <c r="BK583" s="37" t="n">
        <v>14.88</v>
      </c>
      <c r="BL583" s="37" t="n">
        <v>14.88</v>
      </c>
      <c r="BM583" s="37" t="n">
        <v>13.97</v>
      </c>
      <c r="BN583" s="37" t="n">
        <v>9.789999999999999</v>
      </c>
      <c r="BO583" s="37" t="n">
        <v>16.19</v>
      </c>
      <c r="BP583" s="37" t="n">
        <v>16.06</v>
      </c>
      <c r="BQ583" s="37" t="n">
        <v>15.01</v>
      </c>
      <c r="BR583" s="37" t="n">
        <v>14.88</v>
      </c>
      <c r="BS583" s="37" t="n">
        <v>14.88</v>
      </c>
      <c r="BT583" s="37" t="n">
        <v>13.97</v>
      </c>
      <c r="BU583" s="37" t="n">
        <v>9.789999999999999</v>
      </c>
      <c r="BV583" s="37" t="n">
        <v>16.19</v>
      </c>
      <c r="BW583" s="37" t="n">
        <v>16.06</v>
      </c>
      <c r="BX583" s="37" t="n">
        <v>15.01</v>
      </c>
      <c r="BY583" s="37" t="n">
        <v>14.88</v>
      </c>
      <c r="BZ583" s="37" t="n">
        <v>14.88</v>
      </c>
      <c r="CA583" s="37" t="n">
        <v>13.97</v>
      </c>
      <c r="CB583" s="37" t="n">
        <v>9.789999999999999</v>
      </c>
      <c r="CC583" s="37" t="n">
        <v>1474.800000000001</v>
      </c>
    </row>
    <row r="584" ht="15.75" customHeight="1" s="57">
      <c r="A584" s="7" t="inlineStr">
        <is>
          <t>NTB</t>
        </is>
      </c>
      <c r="B584" s="7" t="inlineStr">
        <is>
          <t>Đắk Nông</t>
        </is>
      </c>
      <c r="C584" s="7" t="n">
        <v>20673000</v>
      </c>
      <c r="D584" s="7" t="inlineStr">
        <is>
          <t>(DNO) Cư Jút</t>
        </is>
      </c>
      <c r="E584" s="7" t="inlineStr">
        <is>
          <t>Shopee</t>
        </is>
      </c>
      <c r="F584" s="36" t="n">
        <v>171</v>
      </c>
      <c r="G584" s="36" t="n">
        <v>176</v>
      </c>
      <c r="H584" s="36" t="n">
        <v>200</v>
      </c>
      <c r="I584" s="36" t="n">
        <v>155</v>
      </c>
      <c r="J584" s="36" t="n">
        <v>176</v>
      </c>
      <c r="K584" s="28" t="n">
        <v>118</v>
      </c>
      <c r="L584" s="36" t="n">
        <v>105</v>
      </c>
      <c r="M584" s="36" t="n">
        <v>132</v>
      </c>
      <c r="N584" s="36" t="n">
        <v>183</v>
      </c>
      <c r="O584" s="36" t="n">
        <v>169</v>
      </c>
      <c r="P584" s="36" t="n">
        <v>116</v>
      </c>
      <c r="Q584" s="36" t="n">
        <v>118</v>
      </c>
      <c r="R584" s="28" t="n">
        <v>141</v>
      </c>
      <c r="S584" s="36" t="n">
        <v>121</v>
      </c>
      <c r="T584" s="36" t="n">
        <v>141</v>
      </c>
      <c r="U584" s="36" t="n">
        <v>167.56</v>
      </c>
      <c r="V584" s="36" t="n">
        <v>167.99</v>
      </c>
      <c r="W584" s="36" t="n">
        <v>165.8</v>
      </c>
      <c r="X584" s="36" t="n">
        <v>134.89</v>
      </c>
      <c r="Y584" s="28" t="n">
        <v>225.26</v>
      </c>
      <c r="Z584" s="36" t="n">
        <v>178.69</v>
      </c>
      <c r="AA584" s="36" t="n">
        <v>245.62</v>
      </c>
      <c r="AB584" s="36" t="n">
        <v>170.78</v>
      </c>
      <c r="AC584" s="36" t="n">
        <v>137.97</v>
      </c>
      <c r="AD584" s="36" t="n">
        <v>314.75</v>
      </c>
      <c r="AE584" s="36" t="n">
        <v>144.71</v>
      </c>
      <c r="AF584" s="28" t="n">
        <v>257.63</v>
      </c>
      <c r="AG584" s="36" t="n">
        <v>187.18</v>
      </c>
      <c r="AH584" s="37" t="n">
        <v>197.87</v>
      </c>
      <c r="AI584" s="37" t="n">
        <v>167.56</v>
      </c>
      <c r="AJ584" s="37" t="n">
        <v>167.99</v>
      </c>
      <c r="AK584" s="37" t="n">
        <v>223.51</v>
      </c>
      <c r="AL584" s="37" t="n">
        <v>242.11</v>
      </c>
      <c r="AM584" s="37" t="n">
        <v>225.26</v>
      </c>
      <c r="AN584" s="37" t="n">
        <v>178.69</v>
      </c>
      <c r="AO584" s="37" t="n">
        <v>197.87</v>
      </c>
      <c r="AP584" s="37" t="n">
        <v>209.59</v>
      </c>
      <c r="AQ584" s="37" t="n">
        <v>134.89</v>
      </c>
      <c r="AR584" s="37" t="n">
        <v>165.8</v>
      </c>
      <c r="AS584" s="37" t="n">
        <v>134.89</v>
      </c>
      <c r="AT584" s="37" t="n">
        <v>225.26</v>
      </c>
      <c r="AU584" s="37" t="n">
        <v>182.06</v>
      </c>
      <c r="AV584" s="37" t="n">
        <v>201.97</v>
      </c>
      <c r="AW584" s="37" t="n">
        <v>167.56</v>
      </c>
      <c r="AX584" s="37" t="n">
        <v>167.99</v>
      </c>
      <c r="AY584" s="37" t="n">
        <v>165.8</v>
      </c>
      <c r="AZ584" s="37" t="n">
        <v>134.89</v>
      </c>
      <c r="BA584" s="37" t="n">
        <v>173.85</v>
      </c>
      <c r="BB584" s="37" t="n">
        <v>151.44</v>
      </c>
      <c r="BC584" s="37" t="n">
        <v>77.33</v>
      </c>
      <c r="BD584" s="37" t="n">
        <v>137.82</v>
      </c>
      <c r="BE584" s="37" t="n">
        <v>160.09</v>
      </c>
      <c r="BF584" s="37" t="n">
        <v>158.18</v>
      </c>
      <c r="BG584" s="37" t="n">
        <v>131.38</v>
      </c>
      <c r="BH584" s="37" t="n">
        <v>214.57</v>
      </c>
      <c r="BI584" s="37" t="n">
        <v>140.46</v>
      </c>
      <c r="BJ584" s="37" t="n">
        <v>447.45</v>
      </c>
      <c r="BK584" s="37" t="n">
        <v>170.78</v>
      </c>
      <c r="BL584" s="37" t="n">
        <v>168.29</v>
      </c>
      <c r="BM584" s="37" t="n">
        <v>158.18</v>
      </c>
      <c r="BN584" s="37" t="n">
        <v>128.89</v>
      </c>
      <c r="BO584" s="37" t="n">
        <v>214.57</v>
      </c>
      <c r="BP584" s="37" t="n">
        <v>230.1</v>
      </c>
      <c r="BQ584" s="37" t="n">
        <v>338.63</v>
      </c>
      <c r="BR584" s="37" t="n">
        <v>159.65</v>
      </c>
      <c r="BS584" s="37" t="n">
        <v>160.09</v>
      </c>
      <c r="BT584" s="37" t="n">
        <v>158.18</v>
      </c>
      <c r="BU584" s="37" t="n">
        <v>160.53</v>
      </c>
      <c r="BV584" s="37" t="n">
        <v>172.1</v>
      </c>
      <c r="BW584" s="37" t="n">
        <v>170.19</v>
      </c>
      <c r="BX584" s="37" t="n">
        <v>188.21</v>
      </c>
      <c r="BY584" s="37" t="n">
        <v>159.65</v>
      </c>
      <c r="BZ584" s="37" t="n">
        <v>163.6</v>
      </c>
      <c r="CA584" s="37" t="n">
        <v>161.11</v>
      </c>
      <c r="CB584" s="37" t="n">
        <v>128.89</v>
      </c>
      <c r="CC584" s="37" t="n">
        <v>13196.6</v>
      </c>
    </row>
    <row r="585" ht="15.75" customHeight="1" s="57">
      <c r="A585" s="7" t="inlineStr">
        <is>
          <t>NTB</t>
        </is>
      </c>
      <c r="B585" s="7" t="inlineStr">
        <is>
          <t>Đắk Nông</t>
        </is>
      </c>
      <c r="C585" s="7" t="n">
        <v>20673000</v>
      </c>
      <c r="D585" s="7" t="inlineStr">
        <is>
          <t>(DNO) Cư Jút</t>
        </is>
      </c>
      <c r="E585" s="7" t="inlineStr">
        <is>
          <t>Shopee-Bulky</t>
        </is>
      </c>
      <c r="F585" s="36" t="n">
        <v>20.79</v>
      </c>
      <c r="G585" s="36" t="n">
        <v>22.74</v>
      </c>
      <c r="H585" s="36" t="n">
        <v>42.23</v>
      </c>
      <c r="I585" s="36" t="n">
        <v>29.23</v>
      </c>
      <c r="J585" s="36" t="n">
        <v>20.14</v>
      </c>
      <c r="K585" s="28" t="n">
        <v>12.99</v>
      </c>
      <c r="L585" s="36" t="n">
        <v>13.64</v>
      </c>
      <c r="M585" s="36" t="n">
        <v>35.73</v>
      </c>
      <c r="N585" s="36" t="n">
        <v>26.64</v>
      </c>
      <c r="O585" s="36" t="n">
        <v>11.69</v>
      </c>
      <c r="P585" s="36" t="n">
        <v>14.94</v>
      </c>
      <c r="Q585" s="36" t="n">
        <v>16.89</v>
      </c>
      <c r="R585" s="28" t="n">
        <v>29.88</v>
      </c>
      <c r="S585" s="36" t="n">
        <v>14.94</v>
      </c>
      <c r="T585" s="36" t="n">
        <v>19.49</v>
      </c>
      <c r="U585" s="36" t="n">
        <v>17.17</v>
      </c>
      <c r="V585" s="36" t="n">
        <v>15.94</v>
      </c>
      <c r="W585" s="36" t="n">
        <v>22.21</v>
      </c>
      <c r="X585" s="36" t="n">
        <v>12.54</v>
      </c>
      <c r="Y585" s="28" t="n">
        <v>25.19</v>
      </c>
      <c r="Z585" s="36" t="n">
        <v>19.94</v>
      </c>
      <c r="AA585" s="36" t="n">
        <v>19.23</v>
      </c>
      <c r="AB585" s="36" t="n">
        <v>19.74</v>
      </c>
      <c r="AC585" s="36" t="n">
        <v>19.43</v>
      </c>
      <c r="AD585" s="36" t="n">
        <v>45.44</v>
      </c>
      <c r="AE585" s="36" t="n">
        <v>32.9</v>
      </c>
      <c r="AF585" s="28" t="n">
        <v>49.66</v>
      </c>
      <c r="AG585" s="36" t="n">
        <v>28.27</v>
      </c>
      <c r="AH585" s="37" t="n">
        <v>19.94</v>
      </c>
      <c r="AI585" s="37" t="n">
        <v>19.43</v>
      </c>
      <c r="AJ585" s="37" t="n">
        <v>17.68</v>
      </c>
      <c r="AK585" s="37" t="n">
        <v>42.56</v>
      </c>
      <c r="AL585" s="37" t="n">
        <v>20.56</v>
      </c>
      <c r="AM585" s="37" t="n">
        <v>31.66</v>
      </c>
      <c r="AN585" s="37" t="n">
        <v>19.74</v>
      </c>
      <c r="AO585" s="37" t="n">
        <v>18.92</v>
      </c>
      <c r="AP585" s="37" t="n">
        <v>25.91</v>
      </c>
      <c r="AQ585" s="37" t="n">
        <v>24.98</v>
      </c>
      <c r="AR585" s="37" t="n">
        <v>20.46</v>
      </c>
      <c r="AS585" s="37" t="n">
        <v>11.51</v>
      </c>
      <c r="AT585" s="37" t="n">
        <v>22.82</v>
      </c>
      <c r="AU585" s="37" t="n">
        <v>38.76</v>
      </c>
      <c r="AV585" s="37" t="n">
        <v>39.99</v>
      </c>
      <c r="AW585" s="37" t="n">
        <v>18.92</v>
      </c>
      <c r="AX585" s="37" t="n">
        <v>16.96</v>
      </c>
      <c r="AY585" s="37" t="n">
        <v>19.74</v>
      </c>
      <c r="AZ585" s="37" t="n">
        <v>10.9</v>
      </c>
      <c r="BA585" s="37" t="n">
        <v>21.08</v>
      </c>
      <c r="BB585" s="37" t="n">
        <v>19.53</v>
      </c>
      <c r="BC585" s="37" t="n">
        <v>5.86</v>
      </c>
      <c r="BD585" s="37" t="n">
        <v>16.86</v>
      </c>
      <c r="BE585" s="37" t="n">
        <v>19.94</v>
      </c>
      <c r="BF585" s="37" t="n">
        <v>17.58</v>
      </c>
      <c r="BG585" s="37" t="n">
        <v>14.29</v>
      </c>
      <c r="BH585" s="37" t="n">
        <v>27.24</v>
      </c>
      <c r="BI585" s="37" t="n">
        <v>23.13</v>
      </c>
      <c r="BJ585" s="37" t="n">
        <v>72.79000000000001</v>
      </c>
      <c r="BK585" s="37" t="n">
        <v>49.35</v>
      </c>
      <c r="BL585" s="37" t="n">
        <v>25.5</v>
      </c>
      <c r="BM585" s="37" t="n">
        <v>18.92</v>
      </c>
      <c r="BN585" s="37" t="n">
        <v>14.39</v>
      </c>
      <c r="BO585" s="37" t="n">
        <v>30.53</v>
      </c>
      <c r="BP585" s="37" t="n">
        <v>46.88</v>
      </c>
      <c r="BQ585" s="37" t="n">
        <v>33.21</v>
      </c>
      <c r="BR585" s="37" t="n">
        <v>21.69</v>
      </c>
      <c r="BS585" s="37" t="n">
        <v>19.94</v>
      </c>
      <c r="BT585" s="37" t="n">
        <v>17.58</v>
      </c>
      <c r="BU585" s="37" t="n">
        <v>20.77</v>
      </c>
      <c r="BV585" s="37" t="n">
        <v>28.27</v>
      </c>
      <c r="BW585" s="37" t="n">
        <v>23.13</v>
      </c>
      <c r="BX585" s="37" t="n">
        <v>21.9</v>
      </c>
      <c r="BY585" s="37" t="n">
        <v>21.69</v>
      </c>
      <c r="BZ585" s="37" t="n">
        <v>37.73</v>
      </c>
      <c r="CA585" s="37" t="n">
        <v>20.46</v>
      </c>
      <c r="CB585" s="37" t="n">
        <v>13.67</v>
      </c>
      <c r="CC585" s="37" t="n">
        <v>1804.97</v>
      </c>
    </row>
    <row r="586" ht="15.75" customHeight="1" s="57">
      <c r="A586" s="7" t="inlineStr">
        <is>
          <t>NTB</t>
        </is>
      </c>
      <c r="B586" s="7" t="inlineStr">
        <is>
          <t>Đắk Nông</t>
        </is>
      </c>
      <c r="C586" s="7" t="n">
        <v>20673000</v>
      </c>
      <c r="D586" s="7" t="inlineStr">
        <is>
          <t>(DNO) Cư Jút</t>
        </is>
      </c>
      <c r="E586" s="7" t="inlineStr">
        <is>
          <t>Shopee-Bulky (10-15kg)</t>
        </is>
      </c>
      <c r="F586" s="36" t="n">
        <v>11.21</v>
      </c>
      <c r="G586" s="36" t="n">
        <v>12.26</v>
      </c>
      <c r="H586" s="36" t="n">
        <v>22.77</v>
      </c>
      <c r="I586" s="36" t="n">
        <v>15.77</v>
      </c>
      <c r="J586" s="36" t="n">
        <v>10.86</v>
      </c>
      <c r="K586" s="28" t="n">
        <v>7.01</v>
      </c>
      <c r="L586" s="36" t="n">
        <v>7.36</v>
      </c>
      <c r="M586" s="36" t="n">
        <v>19.27</v>
      </c>
      <c r="N586" s="36" t="n">
        <v>14.36</v>
      </c>
      <c r="O586" s="36" t="n">
        <v>6.31</v>
      </c>
      <c r="P586" s="36" t="n">
        <v>8.06</v>
      </c>
      <c r="Q586" s="36" t="n">
        <v>9.109999999999999</v>
      </c>
      <c r="R586" s="28" t="n">
        <v>16.12</v>
      </c>
      <c r="S586" s="36" t="n">
        <v>8.06</v>
      </c>
      <c r="T586" s="36" t="n">
        <v>10.51</v>
      </c>
      <c r="U586" s="36" t="n">
        <v>8.94</v>
      </c>
      <c r="V586" s="36" t="n">
        <v>8.640000000000001</v>
      </c>
      <c r="W586" s="36" t="n">
        <v>11.93</v>
      </c>
      <c r="X586" s="36" t="n">
        <v>6.99</v>
      </c>
      <c r="Y586" s="28" t="n">
        <v>12.95</v>
      </c>
      <c r="Z586" s="36" t="n">
        <v>9.970000000000001</v>
      </c>
      <c r="AA586" s="36" t="n">
        <v>9.77</v>
      </c>
      <c r="AB586" s="36" t="n">
        <v>9.970000000000001</v>
      </c>
      <c r="AC586" s="36" t="n">
        <v>10.18</v>
      </c>
      <c r="AD586" s="36" t="n">
        <v>41.95</v>
      </c>
      <c r="AE586" s="36" t="n">
        <v>17.58</v>
      </c>
      <c r="AF586" s="28" t="n">
        <v>25.7</v>
      </c>
      <c r="AG586" s="36" t="n">
        <v>14.39</v>
      </c>
      <c r="AH586" s="37" t="n">
        <v>9.970000000000001</v>
      </c>
      <c r="AI586" s="37" t="n">
        <v>10.08</v>
      </c>
      <c r="AJ586" s="37" t="n">
        <v>9.050000000000001</v>
      </c>
      <c r="AK586" s="37" t="n">
        <v>23.54</v>
      </c>
      <c r="AL586" s="37" t="n">
        <v>10.9</v>
      </c>
      <c r="AM586" s="37" t="n">
        <v>16.24</v>
      </c>
      <c r="AN586" s="37" t="n">
        <v>9.869999999999999</v>
      </c>
      <c r="AO586" s="37" t="n">
        <v>9.77</v>
      </c>
      <c r="AP586" s="37" t="n">
        <v>12.95</v>
      </c>
      <c r="AQ586" s="37" t="n">
        <v>13.06</v>
      </c>
      <c r="AR586" s="37" t="n">
        <v>11</v>
      </c>
      <c r="AS586" s="37" t="n">
        <v>6.37</v>
      </c>
      <c r="AT586" s="37" t="n">
        <v>11.82</v>
      </c>
      <c r="AU586" s="37" t="n">
        <v>21.59</v>
      </c>
      <c r="AV586" s="37" t="n">
        <v>20.97</v>
      </c>
      <c r="AW586" s="37" t="n">
        <v>9.25</v>
      </c>
      <c r="AX586" s="37" t="n">
        <v>8.74</v>
      </c>
      <c r="AY586" s="37" t="n">
        <v>10.69</v>
      </c>
      <c r="AZ586" s="37" t="n">
        <v>5.96</v>
      </c>
      <c r="BA586" s="37" t="n">
        <v>11</v>
      </c>
      <c r="BB586" s="37" t="n">
        <v>10.28</v>
      </c>
      <c r="BC586" s="37" t="n">
        <v>2.57</v>
      </c>
      <c r="BD586" s="37" t="n">
        <v>9.15</v>
      </c>
      <c r="BE586" s="37" t="n">
        <v>10.49</v>
      </c>
      <c r="BF586" s="37" t="n">
        <v>9.56</v>
      </c>
      <c r="BG586" s="37" t="n">
        <v>8.33</v>
      </c>
      <c r="BH586" s="37" t="n">
        <v>14.29</v>
      </c>
      <c r="BI586" s="37" t="n">
        <v>11.93</v>
      </c>
      <c r="BJ586" s="37" t="n">
        <v>58.5</v>
      </c>
      <c r="BK586" s="37" t="n">
        <v>26.94</v>
      </c>
      <c r="BL586" s="37" t="n">
        <v>13.06</v>
      </c>
      <c r="BM586" s="37" t="n">
        <v>9.869999999999999</v>
      </c>
      <c r="BN586" s="37" t="n">
        <v>8.119999999999999</v>
      </c>
      <c r="BO586" s="37" t="n">
        <v>16.04</v>
      </c>
      <c r="BP586" s="37" t="n">
        <v>25.09</v>
      </c>
      <c r="BQ586" s="37" t="n">
        <v>17.17</v>
      </c>
      <c r="BR586" s="37" t="n">
        <v>11.1</v>
      </c>
      <c r="BS586" s="37" t="n">
        <v>10.49</v>
      </c>
      <c r="BT586" s="37" t="n">
        <v>9.56</v>
      </c>
      <c r="BU586" s="37" t="n">
        <v>10.69</v>
      </c>
      <c r="BV586" s="37" t="n">
        <v>14.7</v>
      </c>
      <c r="BW586" s="37" t="n">
        <v>11.93</v>
      </c>
      <c r="BX586" s="37" t="n">
        <v>11.51</v>
      </c>
      <c r="BY586" s="37" t="n">
        <v>11.1</v>
      </c>
      <c r="BZ586" s="37" t="n">
        <v>20.36</v>
      </c>
      <c r="CA586" s="37" t="n">
        <v>11</v>
      </c>
      <c r="CB586" s="37" t="n">
        <v>7.92</v>
      </c>
      <c r="CC586" s="37" t="n">
        <v>992.5700000000001</v>
      </c>
    </row>
    <row r="587" ht="15.75" customHeight="1" s="57">
      <c r="A587" s="7" t="inlineStr">
        <is>
          <t>NTB</t>
        </is>
      </c>
      <c r="B587" s="7" t="inlineStr">
        <is>
          <t>Đắk Nông</t>
        </is>
      </c>
      <c r="C587" s="7" t="n">
        <v>20673000</v>
      </c>
      <c r="D587" s="7" t="inlineStr">
        <is>
          <t>(DNO) Cư Jút</t>
        </is>
      </c>
      <c r="E587" s="7" t="inlineStr">
        <is>
          <t>TTS</t>
        </is>
      </c>
      <c r="F587" s="36" t="n">
        <v>183</v>
      </c>
      <c r="G587" s="36" t="n">
        <v>191</v>
      </c>
      <c r="H587" s="36" t="n">
        <v>168</v>
      </c>
      <c r="I587" s="36" t="n">
        <v>155</v>
      </c>
      <c r="J587" s="36" t="n">
        <v>204</v>
      </c>
      <c r="K587" s="28" t="n">
        <v>174</v>
      </c>
      <c r="L587" s="36" t="n">
        <v>126</v>
      </c>
      <c r="M587" s="36" t="n">
        <v>160</v>
      </c>
      <c r="N587" s="36" t="n">
        <v>166</v>
      </c>
      <c r="O587" s="36" t="n">
        <v>174</v>
      </c>
      <c r="P587" s="36" t="n">
        <v>158</v>
      </c>
      <c r="Q587" s="36" t="n">
        <v>155</v>
      </c>
      <c r="R587" s="28" t="n">
        <v>152</v>
      </c>
      <c r="S587" s="36" t="n">
        <v>166</v>
      </c>
      <c r="T587" s="36" t="n">
        <v>174</v>
      </c>
      <c r="U587" s="36" t="n">
        <v>171.16</v>
      </c>
      <c r="V587" s="36" t="n">
        <v>168.63</v>
      </c>
      <c r="W587" s="36" t="n">
        <v>164.61</v>
      </c>
      <c r="X587" s="36" t="n">
        <v>132.76</v>
      </c>
      <c r="Y587" s="28" t="n">
        <v>194.23</v>
      </c>
      <c r="Z587" s="36" t="n">
        <v>165.36</v>
      </c>
      <c r="AA587" s="36" t="n">
        <v>182.3</v>
      </c>
      <c r="AB587" s="36" t="n">
        <v>202.51</v>
      </c>
      <c r="AC587" s="36" t="n">
        <v>213.96</v>
      </c>
      <c r="AD587" s="36" t="n">
        <v>235.07</v>
      </c>
      <c r="AE587" s="36" t="n">
        <v>154.27</v>
      </c>
      <c r="AF587" s="28" t="n">
        <v>200.35</v>
      </c>
      <c r="AG587" s="36" t="n">
        <v>167.98</v>
      </c>
      <c r="AH587" s="37" t="n">
        <v>165.92</v>
      </c>
      <c r="AI587" s="37" t="n">
        <v>189.84</v>
      </c>
      <c r="AJ587" s="37" t="n">
        <v>203.8</v>
      </c>
      <c r="AK587" s="37" t="n">
        <v>200.98</v>
      </c>
      <c r="AL587" s="37" t="n">
        <v>143.24</v>
      </c>
      <c r="AM587" s="37" t="n">
        <v>197.29</v>
      </c>
      <c r="AN587" s="37" t="n">
        <v>170.05</v>
      </c>
      <c r="AO587" s="37" t="n">
        <v>168.43</v>
      </c>
      <c r="AP587" s="37" t="n">
        <v>163.97</v>
      </c>
      <c r="AQ587" s="37" t="n">
        <v>165.79</v>
      </c>
      <c r="AR587" s="37" t="n">
        <v>162.75</v>
      </c>
      <c r="AS587" s="37" t="n">
        <v>133.2</v>
      </c>
      <c r="AT587" s="37" t="n">
        <v>213.02</v>
      </c>
      <c r="AU587" s="37" t="n">
        <v>192.88</v>
      </c>
      <c r="AV587" s="37" t="n">
        <v>171.27</v>
      </c>
      <c r="AW587" s="37" t="n">
        <v>161.68</v>
      </c>
      <c r="AX587" s="37" t="n">
        <v>161.01</v>
      </c>
      <c r="AY587" s="37" t="n">
        <v>160.46</v>
      </c>
      <c r="AZ587" s="37" t="n">
        <v>133.2</v>
      </c>
      <c r="BA587" s="37" t="n">
        <v>192.7</v>
      </c>
      <c r="BB587" s="37" t="n">
        <v>179.77</v>
      </c>
      <c r="BC587" s="37" t="n">
        <v>106.83</v>
      </c>
      <c r="BD587" s="37" t="n">
        <v>154.82</v>
      </c>
      <c r="BE587" s="37" t="n">
        <v>182.18</v>
      </c>
      <c r="BF587" s="37" t="n">
        <v>177.28</v>
      </c>
      <c r="BG587" s="37" t="n">
        <v>143.35</v>
      </c>
      <c r="BH587" s="37" t="n">
        <v>212.91</v>
      </c>
      <c r="BI587" s="37" t="n">
        <v>179.77</v>
      </c>
      <c r="BJ587" s="37" t="n">
        <v>178.28</v>
      </c>
      <c r="BK587" s="37" t="n">
        <v>181.76</v>
      </c>
      <c r="BL587" s="37" t="n">
        <v>182.18</v>
      </c>
      <c r="BM587" s="37" t="n">
        <v>177.28</v>
      </c>
      <c r="BN587" s="37" t="n">
        <v>143.35</v>
      </c>
      <c r="BO587" s="37" t="n">
        <v>212.91</v>
      </c>
      <c r="BP587" s="37" t="n">
        <v>179.77</v>
      </c>
      <c r="BQ587" s="37" t="n">
        <v>177.72</v>
      </c>
      <c r="BR587" s="37" t="n">
        <v>181.76</v>
      </c>
      <c r="BS587" s="37" t="n">
        <v>182.18</v>
      </c>
      <c r="BT587" s="37" t="n">
        <v>177.28</v>
      </c>
      <c r="BU587" s="37" t="n">
        <v>143.35</v>
      </c>
      <c r="BV587" s="37" t="n">
        <v>212.91</v>
      </c>
      <c r="BW587" s="37" t="n">
        <v>179.77</v>
      </c>
      <c r="BX587" s="37" t="n">
        <v>177.72</v>
      </c>
      <c r="BY587" s="37" t="n">
        <v>181.76</v>
      </c>
      <c r="BZ587" s="37" t="n">
        <v>182.18</v>
      </c>
      <c r="CA587" s="37" t="n">
        <v>177.28</v>
      </c>
      <c r="CB587" s="37" t="n">
        <v>143.35</v>
      </c>
      <c r="CC587" s="37" t="n">
        <v>13020.37000000001</v>
      </c>
    </row>
    <row r="588" ht="15.75" customHeight="1" s="57">
      <c r="A588" s="7" t="inlineStr">
        <is>
          <t>NTB</t>
        </is>
      </c>
      <c r="B588" s="7" t="inlineStr">
        <is>
          <t>Đắk Nông</t>
        </is>
      </c>
      <c r="C588" s="7" t="n">
        <v>20673000</v>
      </c>
      <c r="D588" s="7" t="inlineStr">
        <is>
          <t>(DNO) Cư Jút</t>
        </is>
      </c>
      <c r="E588" s="7" t="inlineStr">
        <is>
          <t>TTS-Bulky</t>
        </is>
      </c>
      <c r="F588" s="36" t="n">
        <v>1</v>
      </c>
      <c r="G588" s="36" t="n">
        <v>1</v>
      </c>
      <c r="H588" s="36" t="n">
        <v>4</v>
      </c>
      <c r="I588" s="36" t="n">
        <v>2</v>
      </c>
      <c r="J588" s="36" t="n">
        <v>5</v>
      </c>
      <c r="K588" s="28" t="n">
        <v>2</v>
      </c>
      <c r="L588" s="36" t="n">
        <v>1</v>
      </c>
      <c r="M588" s="36" t="n">
        <v>1</v>
      </c>
      <c r="N588" s="36" t="n">
        <v>3</v>
      </c>
      <c r="O588" s="36" t="n">
        <v>0</v>
      </c>
      <c r="P588" s="36" t="n">
        <v>0</v>
      </c>
      <c r="Q588" s="36" t="n">
        <v>5</v>
      </c>
      <c r="R588" s="28" t="n">
        <v>1</v>
      </c>
      <c r="S588" s="36" t="n">
        <v>3</v>
      </c>
      <c r="T588" s="36" t="n">
        <v>1</v>
      </c>
      <c r="U588" s="36" t="n">
        <v>6.84</v>
      </c>
      <c r="V588" s="36" t="n">
        <v>7.36</v>
      </c>
      <c r="W588" s="36" t="n">
        <v>3.51</v>
      </c>
      <c r="X588" s="36" t="n">
        <v>2.1</v>
      </c>
      <c r="Y588" s="28" t="n">
        <v>4.47</v>
      </c>
      <c r="Z588" s="36" t="n">
        <v>3.42</v>
      </c>
      <c r="AA588" s="36" t="n">
        <v>3.68</v>
      </c>
      <c r="AB588" s="36" t="n">
        <v>3.95</v>
      </c>
      <c r="AC588" s="36" t="n">
        <v>4.03</v>
      </c>
      <c r="AD588" s="36" t="n">
        <v>3.51</v>
      </c>
      <c r="AE588" s="36" t="n">
        <v>2.54</v>
      </c>
      <c r="AF588" s="28" t="n">
        <v>4.73</v>
      </c>
      <c r="AG588" s="36" t="n">
        <v>3.51</v>
      </c>
      <c r="AH588" s="37" t="n">
        <v>3.42</v>
      </c>
      <c r="AI588" s="37" t="n">
        <v>3.68</v>
      </c>
      <c r="AJ588" s="37" t="n">
        <v>3.95</v>
      </c>
      <c r="AK588" s="37" t="n">
        <v>4.12</v>
      </c>
      <c r="AL588" s="37" t="n">
        <v>2.1</v>
      </c>
      <c r="AM588" s="37" t="n">
        <v>4.56</v>
      </c>
      <c r="AN588" s="37" t="n">
        <v>3.33</v>
      </c>
      <c r="AO588" s="37" t="n">
        <v>3.51</v>
      </c>
      <c r="AP588" s="37" t="n">
        <v>3.42</v>
      </c>
      <c r="AQ588" s="37" t="n">
        <v>3.77</v>
      </c>
      <c r="AR588" s="37" t="n">
        <v>3.51</v>
      </c>
      <c r="AS588" s="37" t="n">
        <v>2.1</v>
      </c>
      <c r="AT588" s="37" t="n">
        <v>4.82</v>
      </c>
      <c r="AU588" s="37" t="n">
        <v>3.86</v>
      </c>
      <c r="AV588" s="37" t="n">
        <v>3.51</v>
      </c>
      <c r="AW588" s="37" t="n">
        <v>3.33</v>
      </c>
      <c r="AX588" s="37" t="n">
        <v>3.77</v>
      </c>
      <c r="AY588" s="37" t="n">
        <v>3.51</v>
      </c>
      <c r="AZ588" s="37" t="n">
        <v>2.1</v>
      </c>
      <c r="BA588" s="37" t="n">
        <v>4.12</v>
      </c>
      <c r="BB588" s="37" t="n">
        <v>0.96</v>
      </c>
      <c r="BC588" s="37" t="n">
        <v>0.44</v>
      </c>
      <c r="BD588" s="37" t="n">
        <v>0.7</v>
      </c>
      <c r="BE588" s="37" t="n">
        <v>0.96</v>
      </c>
      <c r="BF588" s="37" t="n">
        <v>0.96</v>
      </c>
      <c r="BG588" s="37" t="n">
        <v>0.61</v>
      </c>
      <c r="BH588" s="37" t="n">
        <v>1.32</v>
      </c>
      <c r="BI588" s="37" t="n">
        <v>0.96</v>
      </c>
      <c r="BJ588" s="37" t="n">
        <v>0.88</v>
      </c>
      <c r="BK588" s="37" t="n">
        <v>0.96</v>
      </c>
      <c r="BL588" s="37" t="n">
        <v>0.96</v>
      </c>
      <c r="BM588" s="37" t="n">
        <v>0.96</v>
      </c>
      <c r="BN588" s="37" t="n">
        <v>0.7</v>
      </c>
      <c r="BO588" s="37" t="n">
        <v>1.4</v>
      </c>
      <c r="BP588" s="37" t="n">
        <v>1.14</v>
      </c>
      <c r="BQ588" s="37" t="n">
        <v>0.96</v>
      </c>
      <c r="BR588" s="37" t="n">
        <v>0.96</v>
      </c>
      <c r="BS588" s="37" t="n">
        <v>0.96</v>
      </c>
      <c r="BT588" s="37" t="n">
        <v>0.96</v>
      </c>
      <c r="BU588" s="37" t="n">
        <v>0.53</v>
      </c>
      <c r="BV588" s="37" t="n">
        <v>1.23</v>
      </c>
      <c r="BW588" s="37" t="n">
        <v>0.96</v>
      </c>
      <c r="BX588" s="37" t="n">
        <v>0.96</v>
      </c>
      <c r="BY588" s="37" t="n">
        <v>0.96</v>
      </c>
      <c r="BZ588" s="37" t="n">
        <v>0.96</v>
      </c>
      <c r="CA588" s="37" t="n">
        <v>0.96</v>
      </c>
      <c r="CB588" s="37" t="n">
        <v>0.53</v>
      </c>
      <c r="CC588" s="37" t="n">
        <v>178.9800000000001</v>
      </c>
    </row>
    <row r="589" ht="15.75" customHeight="1" s="57">
      <c r="A589" s="7" t="inlineStr">
        <is>
          <t>NTB</t>
        </is>
      </c>
      <c r="B589" s="7" t="inlineStr">
        <is>
          <t>Đắk Nông</t>
        </is>
      </c>
      <c r="C589" s="7" t="n">
        <v>21150000</v>
      </c>
      <c r="D589" s="7" t="inlineStr">
        <is>
          <t>(DNO) Quảng Sơn</t>
        </is>
      </c>
      <c r="E589" s="7" t="inlineStr">
        <is>
          <t>SME</t>
        </is>
      </c>
      <c r="F589" s="36" t="n">
        <v>127</v>
      </c>
      <c r="G589" s="36" t="n">
        <v>197</v>
      </c>
      <c r="H589" s="36" t="n">
        <v>162</v>
      </c>
      <c r="I589" s="36" t="n">
        <v>132</v>
      </c>
      <c r="J589" s="36" t="n">
        <v>184</v>
      </c>
      <c r="K589" s="28" t="n">
        <v>105</v>
      </c>
      <c r="L589" s="36" t="n">
        <v>99</v>
      </c>
      <c r="M589" s="36" t="n">
        <v>56</v>
      </c>
      <c r="N589" s="36" t="n">
        <v>159</v>
      </c>
      <c r="O589" s="36" t="n">
        <v>96</v>
      </c>
      <c r="P589" s="36" t="n">
        <v>145</v>
      </c>
      <c r="Q589" s="36" t="n">
        <v>111</v>
      </c>
      <c r="R589" s="28" t="n">
        <v>93</v>
      </c>
      <c r="S589" s="36" t="n">
        <v>109</v>
      </c>
      <c r="T589" s="36" t="n">
        <v>75</v>
      </c>
      <c r="U589" s="36" t="n">
        <v>150.47</v>
      </c>
      <c r="V589" s="36" t="n">
        <v>155.36</v>
      </c>
      <c r="W589" s="36" t="n">
        <v>151.43</v>
      </c>
      <c r="X589" s="36" t="n">
        <v>123.6</v>
      </c>
      <c r="Y589" s="28" t="n">
        <v>167.62</v>
      </c>
      <c r="Z589" s="36" t="n">
        <v>154.16</v>
      </c>
      <c r="AA589" s="36" t="n">
        <v>150.99</v>
      </c>
      <c r="AB589" s="36" t="n">
        <v>150.47</v>
      </c>
      <c r="AC589" s="36" t="n">
        <v>155.36</v>
      </c>
      <c r="AD589" s="36" t="n">
        <v>156.93</v>
      </c>
      <c r="AE589" s="36" t="n">
        <v>123.6</v>
      </c>
      <c r="AF589" s="28" t="n">
        <v>167.62</v>
      </c>
      <c r="AG589" s="36" t="n">
        <v>154.16</v>
      </c>
      <c r="AH589" s="37" t="n">
        <v>150.99</v>
      </c>
      <c r="AI589" s="37" t="n">
        <v>150.47</v>
      </c>
      <c r="AJ589" s="37" t="n">
        <v>155.36</v>
      </c>
      <c r="AK589" s="37" t="n">
        <v>151.43</v>
      </c>
      <c r="AL589" s="37" t="n">
        <v>123.6</v>
      </c>
      <c r="AM589" s="37" t="n">
        <v>167.62</v>
      </c>
      <c r="AN589" s="37" t="n">
        <v>154.16</v>
      </c>
      <c r="AO589" s="37" t="n">
        <v>150.99</v>
      </c>
      <c r="AP589" s="37" t="n">
        <v>150.47</v>
      </c>
      <c r="AQ589" s="37" t="n">
        <v>155.36</v>
      </c>
      <c r="AR589" s="37" t="n">
        <v>151.43</v>
      </c>
      <c r="AS589" s="37" t="n">
        <v>123.6</v>
      </c>
      <c r="AT589" s="37" t="n">
        <v>167.62</v>
      </c>
      <c r="AU589" s="37" t="n">
        <v>154.16</v>
      </c>
      <c r="AV589" s="37" t="n">
        <v>150.99</v>
      </c>
      <c r="AW589" s="37" t="n">
        <v>150.47</v>
      </c>
      <c r="AX589" s="37" t="n">
        <v>155.36</v>
      </c>
      <c r="AY589" s="37" t="n">
        <v>151.43</v>
      </c>
      <c r="AZ589" s="37" t="n">
        <v>123.6</v>
      </c>
      <c r="BA589" s="37" t="n">
        <v>151.04</v>
      </c>
      <c r="BB589" s="37" t="n">
        <v>135.32</v>
      </c>
      <c r="BC589" s="37" t="n">
        <v>85.24000000000001</v>
      </c>
      <c r="BD589" s="37" t="n">
        <v>85.08</v>
      </c>
      <c r="BE589" s="37" t="n">
        <v>143.88</v>
      </c>
      <c r="BF589" s="37" t="n">
        <v>140.17</v>
      </c>
      <c r="BG589" s="37" t="n">
        <v>127.49</v>
      </c>
      <c r="BH589" s="37" t="n">
        <v>172.53</v>
      </c>
      <c r="BI589" s="37" t="n">
        <v>158.79</v>
      </c>
      <c r="BJ589" s="37" t="n">
        <v>160.85</v>
      </c>
      <c r="BK589" s="37" t="n">
        <v>154.93</v>
      </c>
      <c r="BL589" s="37" t="n">
        <v>160.04</v>
      </c>
      <c r="BM589" s="37" t="n">
        <v>156.06</v>
      </c>
      <c r="BN589" s="37" t="n">
        <v>127.49</v>
      </c>
      <c r="BO589" s="37" t="n">
        <v>172.53</v>
      </c>
      <c r="BP589" s="37" t="n">
        <v>158.79</v>
      </c>
      <c r="BQ589" s="37" t="n">
        <v>155.61</v>
      </c>
      <c r="BR589" s="37" t="n">
        <v>154.93</v>
      </c>
      <c r="BS589" s="37" t="n">
        <v>160.04</v>
      </c>
      <c r="BT589" s="37" t="n">
        <v>156.06</v>
      </c>
      <c r="BU589" s="37" t="n">
        <v>127.49</v>
      </c>
      <c r="BV589" s="37" t="n">
        <v>172.53</v>
      </c>
      <c r="BW589" s="37" t="n">
        <v>158.79</v>
      </c>
      <c r="BX589" s="37" t="n">
        <v>155.61</v>
      </c>
      <c r="BY589" s="37" t="n">
        <v>154.93</v>
      </c>
      <c r="BZ589" s="37" t="n">
        <v>160.04</v>
      </c>
      <c r="CA589" s="37" t="n">
        <v>156.06</v>
      </c>
      <c r="CB589" s="37" t="n">
        <v>127.49</v>
      </c>
      <c r="CC589" s="37" t="n">
        <v>10780.69</v>
      </c>
    </row>
    <row r="590" ht="15.75" customHeight="1" s="57">
      <c r="A590" s="7" t="inlineStr">
        <is>
          <t>NTB</t>
        </is>
      </c>
      <c r="B590" s="7" t="inlineStr">
        <is>
          <t>Đắk Nông</t>
        </is>
      </c>
      <c r="C590" s="7" t="n">
        <v>21150000</v>
      </c>
      <c r="D590" s="7" t="inlineStr">
        <is>
          <t>(DNO) Quảng Sơn</t>
        </is>
      </c>
      <c r="E590" s="7" t="inlineStr">
        <is>
          <t>SME-Bulky</t>
        </is>
      </c>
      <c r="F590" s="36" t="n">
        <v>4</v>
      </c>
      <c r="G590" s="36" t="n">
        <v>7</v>
      </c>
      <c r="H590" s="36" t="n">
        <v>3</v>
      </c>
      <c r="I590" s="36" t="n">
        <v>12</v>
      </c>
      <c r="J590" s="36" t="n">
        <v>9</v>
      </c>
      <c r="K590" s="28" t="n">
        <v>16</v>
      </c>
      <c r="L590" s="36" t="n">
        <v>6</v>
      </c>
      <c r="M590" s="36" t="n">
        <v>3</v>
      </c>
      <c r="N590" s="36" t="n">
        <v>13</v>
      </c>
      <c r="O590" s="36" t="n">
        <v>12</v>
      </c>
      <c r="P590" s="36" t="n">
        <v>8</v>
      </c>
      <c r="Q590" s="36" t="n">
        <v>13</v>
      </c>
      <c r="R590" s="28" t="n">
        <v>6</v>
      </c>
      <c r="S590" s="36" t="n">
        <v>5</v>
      </c>
      <c r="T590" s="36" t="n">
        <v>5</v>
      </c>
      <c r="U590" s="36" t="n">
        <v>9.74</v>
      </c>
      <c r="V590" s="36" t="n">
        <v>9.69</v>
      </c>
      <c r="W590" s="36" t="n">
        <v>9.039999999999999</v>
      </c>
      <c r="X590" s="36" t="n">
        <v>6.34</v>
      </c>
      <c r="Y590" s="28" t="n">
        <v>10.79</v>
      </c>
      <c r="Z590" s="36" t="n">
        <v>10.54</v>
      </c>
      <c r="AA590" s="36" t="n">
        <v>9.94</v>
      </c>
      <c r="AB590" s="36" t="n">
        <v>9.74</v>
      </c>
      <c r="AC590" s="36" t="n">
        <v>9.69</v>
      </c>
      <c r="AD590" s="36" t="n">
        <v>8.74</v>
      </c>
      <c r="AE590" s="36" t="n">
        <v>6.34</v>
      </c>
      <c r="AF590" s="28" t="n">
        <v>10.79</v>
      </c>
      <c r="AG590" s="36" t="n">
        <v>10.54</v>
      </c>
      <c r="AH590" s="37" t="n">
        <v>9.94</v>
      </c>
      <c r="AI590" s="37" t="n">
        <v>9.74</v>
      </c>
      <c r="AJ590" s="37" t="n">
        <v>9.69</v>
      </c>
      <c r="AK590" s="37" t="n">
        <v>9.039999999999999</v>
      </c>
      <c r="AL590" s="37" t="n">
        <v>6.34</v>
      </c>
      <c r="AM590" s="37" t="n">
        <v>10.79</v>
      </c>
      <c r="AN590" s="37" t="n">
        <v>10.54</v>
      </c>
      <c r="AO590" s="37" t="n">
        <v>9.94</v>
      </c>
      <c r="AP590" s="37" t="n">
        <v>9.74</v>
      </c>
      <c r="AQ590" s="37" t="n">
        <v>9.69</v>
      </c>
      <c r="AR590" s="37" t="n">
        <v>9.039999999999999</v>
      </c>
      <c r="AS590" s="37" t="n">
        <v>6.34</v>
      </c>
      <c r="AT590" s="37" t="n">
        <v>10.79</v>
      </c>
      <c r="AU590" s="37" t="n">
        <v>10.54</v>
      </c>
      <c r="AV590" s="37" t="n">
        <v>9.94</v>
      </c>
      <c r="AW590" s="37" t="n">
        <v>9.74</v>
      </c>
      <c r="AX590" s="37" t="n">
        <v>9.69</v>
      </c>
      <c r="AY590" s="37" t="n">
        <v>9.039999999999999</v>
      </c>
      <c r="AZ590" s="37" t="n">
        <v>6.34</v>
      </c>
      <c r="BA590" s="37" t="n">
        <v>10.69</v>
      </c>
      <c r="BB590" s="37" t="n">
        <v>5.75</v>
      </c>
      <c r="BC590" s="37" t="n">
        <v>2.95</v>
      </c>
      <c r="BD590" s="37" t="n">
        <v>2.65</v>
      </c>
      <c r="BE590" s="37" t="n">
        <v>5</v>
      </c>
      <c r="BF590" s="37" t="n">
        <v>4.7</v>
      </c>
      <c r="BG590" s="37" t="n">
        <v>3.75</v>
      </c>
      <c r="BH590" s="37" t="n">
        <v>6.2</v>
      </c>
      <c r="BI590" s="37" t="n">
        <v>6.15</v>
      </c>
      <c r="BJ590" s="37" t="n">
        <v>5.65</v>
      </c>
      <c r="BK590" s="37" t="n">
        <v>5.7</v>
      </c>
      <c r="BL590" s="37" t="n">
        <v>5.7</v>
      </c>
      <c r="BM590" s="37" t="n">
        <v>5.35</v>
      </c>
      <c r="BN590" s="37" t="n">
        <v>3.75</v>
      </c>
      <c r="BO590" s="37" t="n">
        <v>6.2</v>
      </c>
      <c r="BP590" s="37" t="n">
        <v>6.15</v>
      </c>
      <c r="BQ590" s="37" t="n">
        <v>5.75</v>
      </c>
      <c r="BR590" s="37" t="n">
        <v>5.7</v>
      </c>
      <c r="BS590" s="37" t="n">
        <v>5.7</v>
      </c>
      <c r="BT590" s="37" t="n">
        <v>5.35</v>
      </c>
      <c r="BU590" s="37" t="n">
        <v>3.75</v>
      </c>
      <c r="BV590" s="37" t="n">
        <v>6.2</v>
      </c>
      <c r="BW590" s="37" t="n">
        <v>6.15</v>
      </c>
      <c r="BX590" s="37" t="n">
        <v>5.75</v>
      </c>
      <c r="BY590" s="37" t="n">
        <v>5.7</v>
      </c>
      <c r="BZ590" s="37" t="n">
        <v>5.7</v>
      </c>
      <c r="CA590" s="37" t="n">
        <v>5.35</v>
      </c>
      <c r="CB590" s="37" t="n">
        <v>3.75</v>
      </c>
      <c r="CC590" s="37" t="n">
        <v>572.0200000000001</v>
      </c>
    </row>
    <row r="591" ht="15.75" customHeight="1" s="57">
      <c r="A591" s="7" t="inlineStr">
        <is>
          <t>NTB</t>
        </is>
      </c>
      <c r="B591" s="7" t="inlineStr">
        <is>
          <t>Đắk Nông</t>
        </is>
      </c>
      <c r="C591" s="7" t="n">
        <v>21150000</v>
      </c>
      <c r="D591" s="7" t="inlineStr">
        <is>
          <t>(DNO) Quảng Sơn</t>
        </is>
      </c>
      <c r="E591" s="7" t="inlineStr">
        <is>
          <t>Shopee</t>
        </is>
      </c>
      <c r="F591" s="36" t="n">
        <v>80</v>
      </c>
      <c r="G591" s="36" t="n">
        <v>105</v>
      </c>
      <c r="H591" s="36" t="n">
        <v>129</v>
      </c>
      <c r="I591" s="36" t="n">
        <v>88</v>
      </c>
      <c r="J591" s="36" t="n">
        <v>95</v>
      </c>
      <c r="K591" s="28" t="n">
        <v>53</v>
      </c>
      <c r="L591" s="36" t="n">
        <v>59</v>
      </c>
      <c r="M591" s="36" t="n">
        <v>28</v>
      </c>
      <c r="N591" s="36" t="n">
        <v>83</v>
      </c>
      <c r="O591" s="36" t="n">
        <v>49</v>
      </c>
      <c r="P591" s="36" t="n">
        <v>53</v>
      </c>
      <c r="Q591" s="36" t="n">
        <v>31</v>
      </c>
      <c r="R591" s="28" t="n">
        <v>33</v>
      </c>
      <c r="S591" s="36" t="n">
        <v>37</v>
      </c>
      <c r="T591" s="36" t="n">
        <v>43</v>
      </c>
      <c r="U591" s="36" t="n">
        <v>55.57</v>
      </c>
      <c r="V591" s="36" t="n">
        <v>55.71</v>
      </c>
      <c r="W591" s="36" t="n">
        <v>54.99</v>
      </c>
      <c r="X591" s="36" t="n">
        <v>44.74</v>
      </c>
      <c r="Y591" s="28" t="n">
        <v>74.70999999999999</v>
      </c>
      <c r="Z591" s="36" t="n">
        <v>59.26</v>
      </c>
      <c r="AA591" s="36" t="n">
        <v>81.45999999999999</v>
      </c>
      <c r="AB591" s="36" t="n">
        <v>56.64</v>
      </c>
      <c r="AC591" s="36" t="n">
        <v>45.76</v>
      </c>
      <c r="AD591" s="36" t="n">
        <v>104.39</v>
      </c>
      <c r="AE591" s="36" t="n">
        <v>47.99</v>
      </c>
      <c r="AF591" s="28" t="n">
        <v>85.44</v>
      </c>
      <c r="AG591" s="36" t="n">
        <v>62.08</v>
      </c>
      <c r="AH591" s="37" t="n">
        <v>65.62</v>
      </c>
      <c r="AI591" s="37" t="n">
        <v>55.57</v>
      </c>
      <c r="AJ591" s="37" t="n">
        <v>55.71</v>
      </c>
      <c r="AK591" s="37" t="n">
        <v>74.12</v>
      </c>
      <c r="AL591" s="37" t="n">
        <v>80.29000000000001</v>
      </c>
      <c r="AM591" s="37" t="n">
        <v>74.70999999999999</v>
      </c>
      <c r="AN591" s="37" t="n">
        <v>59.26</v>
      </c>
      <c r="AO591" s="37" t="n">
        <v>65.62</v>
      </c>
      <c r="AP591" s="37" t="n">
        <v>69.51000000000001</v>
      </c>
      <c r="AQ591" s="37" t="n">
        <v>44.74</v>
      </c>
      <c r="AR591" s="37" t="n">
        <v>54.99</v>
      </c>
      <c r="AS591" s="37" t="n">
        <v>44.74</v>
      </c>
      <c r="AT591" s="37" t="n">
        <v>74.70999999999999</v>
      </c>
      <c r="AU591" s="37" t="n">
        <v>60.38</v>
      </c>
      <c r="AV591" s="37" t="n">
        <v>66.98</v>
      </c>
      <c r="AW591" s="37" t="n">
        <v>55.57</v>
      </c>
      <c r="AX591" s="37" t="n">
        <v>55.71</v>
      </c>
      <c r="AY591" s="37" t="n">
        <v>54.99</v>
      </c>
      <c r="AZ591" s="37" t="n">
        <v>44.74</v>
      </c>
      <c r="BA591" s="37" t="n">
        <v>57.66</v>
      </c>
      <c r="BB591" s="37" t="n">
        <v>50.23</v>
      </c>
      <c r="BC591" s="37" t="n">
        <v>25.65</v>
      </c>
      <c r="BD591" s="37" t="n">
        <v>45.71</v>
      </c>
      <c r="BE591" s="37" t="n">
        <v>53.09</v>
      </c>
      <c r="BF591" s="37" t="n">
        <v>52.46</v>
      </c>
      <c r="BG591" s="37" t="n">
        <v>43.57</v>
      </c>
      <c r="BH591" s="37" t="n">
        <v>71.16</v>
      </c>
      <c r="BI591" s="37" t="n">
        <v>46.58</v>
      </c>
      <c r="BJ591" s="37" t="n">
        <v>148.39</v>
      </c>
      <c r="BK591" s="37" t="n">
        <v>56.64</v>
      </c>
      <c r="BL591" s="37" t="n">
        <v>55.81</v>
      </c>
      <c r="BM591" s="37" t="n">
        <v>52.46</v>
      </c>
      <c r="BN591" s="37" t="n">
        <v>42.75</v>
      </c>
      <c r="BO591" s="37" t="n">
        <v>71.16</v>
      </c>
      <c r="BP591" s="37" t="n">
        <v>76.31</v>
      </c>
      <c r="BQ591" s="37" t="n">
        <v>112.3</v>
      </c>
      <c r="BR591" s="37" t="n">
        <v>52.95</v>
      </c>
      <c r="BS591" s="37" t="n">
        <v>53.09</v>
      </c>
      <c r="BT591" s="37" t="n">
        <v>52.46</v>
      </c>
      <c r="BU591" s="37" t="n">
        <v>53.24</v>
      </c>
      <c r="BV591" s="37" t="n">
        <v>57.07</v>
      </c>
      <c r="BW591" s="37" t="n">
        <v>56.44</v>
      </c>
      <c r="BX591" s="37" t="n">
        <v>62.42</v>
      </c>
      <c r="BY591" s="37" t="n">
        <v>52.95</v>
      </c>
      <c r="BZ591" s="37" t="n">
        <v>54.26</v>
      </c>
      <c r="CA591" s="37" t="n">
        <v>53.43</v>
      </c>
      <c r="CB591" s="37" t="n">
        <v>42.75</v>
      </c>
      <c r="CC591" s="37" t="n">
        <v>4605.689999999999</v>
      </c>
    </row>
    <row r="592" ht="15.75" customHeight="1" s="57">
      <c r="A592" s="7" t="inlineStr">
        <is>
          <t>NTB</t>
        </is>
      </c>
      <c r="B592" s="7" t="inlineStr">
        <is>
          <t>Đắk Nông</t>
        </is>
      </c>
      <c r="C592" s="7" t="n">
        <v>21150000</v>
      </c>
      <c r="D592" s="7" t="inlineStr">
        <is>
          <t>(DNO) Quảng Sơn</t>
        </is>
      </c>
      <c r="E592" s="7" t="inlineStr">
        <is>
          <t>Shopee-Bulky</t>
        </is>
      </c>
      <c r="F592" s="36" t="n">
        <v>6.5</v>
      </c>
      <c r="G592" s="36" t="n">
        <v>16.24</v>
      </c>
      <c r="H592" s="36" t="n">
        <v>14.29</v>
      </c>
      <c r="I592" s="36" t="n">
        <v>7.8</v>
      </c>
      <c r="J592" s="36" t="n">
        <v>10.39</v>
      </c>
      <c r="K592" s="28" t="n">
        <v>9.1</v>
      </c>
      <c r="L592" s="36" t="n">
        <v>10.39</v>
      </c>
      <c r="M592" s="36" t="n">
        <v>5.85</v>
      </c>
      <c r="N592" s="36" t="n">
        <v>16.24</v>
      </c>
      <c r="O592" s="36" t="n">
        <v>8.449999999999999</v>
      </c>
      <c r="P592" s="36" t="n">
        <v>14.94</v>
      </c>
      <c r="Q592" s="36" t="n">
        <v>7.8</v>
      </c>
      <c r="R592" s="28" t="n">
        <v>12.34</v>
      </c>
      <c r="S592" s="36" t="n">
        <v>7.15</v>
      </c>
      <c r="T592" s="36" t="n">
        <v>9.1</v>
      </c>
      <c r="U592" s="36" t="n">
        <v>9.720000000000001</v>
      </c>
      <c r="V592" s="36" t="n">
        <v>9.02</v>
      </c>
      <c r="W592" s="36" t="n">
        <v>12.57</v>
      </c>
      <c r="X592" s="36" t="n">
        <v>7.1</v>
      </c>
      <c r="Y592" s="28" t="n">
        <v>14.25</v>
      </c>
      <c r="Z592" s="36" t="n">
        <v>11.29</v>
      </c>
      <c r="AA592" s="36" t="n">
        <v>10.88</v>
      </c>
      <c r="AB592" s="36" t="n">
        <v>11.17</v>
      </c>
      <c r="AC592" s="36" t="n">
        <v>10.99</v>
      </c>
      <c r="AD592" s="36" t="n">
        <v>25.71</v>
      </c>
      <c r="AE592" s="36" t="n">
        <v>18.62</v>
      </c>
      <c r="AF592" s="28" t="n">
        <v>28.1</v>
      </c>
      <c r="AG592" s="36" t="n">
        <v>16</v>
      </c>
      <c r="AH592" s="37" t="n">
        <v>11.29</v>
      </c>
      <c r="AI592" s="37" t="n">
        <v>10.99</v>
      </c>
      <c r="AJ592" s="37" t="n">
        <v>10.01</v>
      </c>
      <c r="AK592" s="37" t="n">
        <v>24.08</v>
      </c>
      <c r="AL592" s="37" t="n">
        <v>11.63</v>
      </c>
      <c r="AM592" s="37" t="n">
        <v>17.92</v>
      </c>
      <c r="AN592" s="37" t="n">
        <v>11.17</v>
      </c>
      <c r="AO592" s="37" t="n">
        <v>10.7</v>
      </c>
      <c r="AP592" s="37" t="n">
        <v>14.66</v>
      </c>
      <c r="AQ592" s="37" t="n">
        <v>14.14</v>
      </c>
      <c r="AR592" s="37" t="n">
        <v>11.58</v>
      </c>
      <c r="AS592" s="37" t="n">
        <v>6.52</v>
      </c>
      <c r="AT592" s="37" t="n">
        <v>12.91</v>
      </c>
      <c r="AU592" s="37" t="n">
        <v>21.93</v>
      </c>
      <c r="AV592" s="37" t="n">
        <v>22.63</v>
      </c>
      <c r="AW592" s="37" t="n">
        <v>10.7</v>
      </c>
      <c r="AX592" s="37" t="n">
        <v>9.6</v>
      </c>
      <c r="AY592" s="37" t="n">
        <v>11.17</v>
      </c>
      <c r="AZ592" s="37" t="n">
        <v>6.17</v>
      </c>
      <c r="BA592" s="37" t="n">
        <v>11.93</v>
      </c>
      <c r="BB592" s="37" t="n">
        <v>11.05</v>
      </c>
      <c r="BC592" s="37" t="n">
        <v>3.32</v>
      </c>
      <c r="BD592" s="37" t="n">
        <v>9.539999999999999</v>
      </c>
      <c r="BE592" s="37" t="n">
        <v>11.29</v>
      </c>
      <c r="BF592" s="37" t="n">
        <v>9.949999999999999</v>
      </c>
      <c r="BG592" s="37" t="n">
        <v>8.09</v>
      </c>
      <c r="BH592" s="37" t="n">
        <v>15.42</v>
      </c>
      <c r="BI592" s="37" t="n">
        <v>13.09</v>
      </c>
      <c r="BJ592" s="37" t="n">
        <v>41.19</v>
      </c>
      <c r="BK592" s="37" t="n">
        <v>27.92</v>
      </c>
      <c r="BL592" s="37" t="n">
        <v>14.43</v>
      </c>
      <c r="BM592" s="37" t="n">
        <v>10.7</v>
      </c>
      <c r="BN592" s="37" t="n">
        <v>8.140000000000001</v>
      </c>
      <c r="BO592" s="37" t="n">
        <v>17.28</v>
      </c>
      <c r="BP592" s="37" t="n">
        <v>26.53</v>
      </c>
      <c r="BQ592" s="37" t="n">
        <v>18.79</v>
      </c>
      <c r="BR592" s="37" t="n">
        <v>12.27</v>
      </c>
      <c r="BS592" s="37" t="n">
        <v>11.29</v>
      </c>
      <c r="BT592" s="37" t="n">
        <v>9.949999999999999</v>
      </c>
      <c r="BU592" s="37" t="n">
        <v>11.75</v>
      </c>
      <c r="BV592" s="37" t="n">
        <v>16</v>
      </c>
      <c r="BW592" s="37" t="n">
        <v>13.09</v>
      </c>
      <c r="BX592" s="37" t="n">
        <v>12.39</v>
      </c>
      <c r="BY592" s="37" t="n">
        <v>12.27</v>
      </c>
      <c r="BZ592" s="37" t="n">
        <v>21.35</v>
      </c>
      <c r="CA592" s="37" t="n">
        <v>11.58</v>
      </c>
      <c r="CB592" s="37" t="n">
        <v>7.74</v>
      </c>
      <c r="CC592" s="37" t="n">
        <v>990.1399999999998</v>
      </c>
    </row>
    <row r="593" ht="15.75" customHeight="1" s="57">
      <c r="A593" s="7" t="inlineStr">
        <is>
          <t>NTB</t>
        </is>
      </c>
      <c r="B593" s="7" t="inlineStr">
        <is>
          <t>Đắk Nông</t>
        </is>
      </c>
      <c r="C593" s="7" t="n">
        <v>21150000</v>
      </c>
      <c r="D593" s="7" t="inlineStr">
        <is>
          <t>(DNO) Quảng Sơn</t>
        </is>
      </c>
      <c r="E593" s="7" t="inlineStr">
        <is>
          <t>Shopee-Bulky (10-15kg)</t>
        </is>
      </c>
      <c r="F593" s="36" t="n">
        <v>3.5</v>
      </c>
      <c r="G593" s="36" t="n">
        <v>8.76</v>
      </c>
      <c r="H593" s="36" t="n">
        <v>7.71</v>
      </c>
      <c r="I593" s="36" t="n">
        <v>4.2</v>
      </c>
      <c r="J593" s="36" t="n">
        <v>5.61</v>
      </c>
      <c r="K593" s="28" t="n">
        <v>4.9</v>
      </c>
      <c r="L593" s="36" t="n">
        <v>5.61</v>
      </c>
      <c r="M593" s="36" t="n">
        <v>3.15</v>
      </c>
      <c r="N593" s="36" t="n">
        <v>8.76</v>
      </c>
      <c r="O593" s="36" t="n">
        <v>4.55</v>
      </c>
      <c r="P593" s="36" t="n">
        <v>8.06</v>
      </c>
      <c r="Q593" s="36" t="n">
        <v>4.2</v>
      </c>
      <c r="R593" s="28" t="n">
        <v>6.66</v>
      </c>
      <c r="S593" s="36" t="n">
        <v>3.85</v>
      </c>
      <c r="T593" s="36" t="n">
        <v>4.9</v>
      </c>
      <c r="U593" s="36" t="n">
        <v>5.06</v>
      </c>
      <c r="V593" s="36" t="n">
        <v>4.89</v>
      </c>
      <c r="W593" s="36" t="n">
        <v>6.75</v>
      </c>
      <c r="X593" s="36" t="n">
        <v>3.96</v>
      </c>
      <c r="Y593" s="28" t="n">
        <v>7.33</v>
      </c>
      <c r="Z593" s="36" t="n">
        <v>5.64</v>
      </c>
      <c r="AA593" s="36" t="n">
        <v>5.53</v>
      </c>
      <c r="AB593" s="36" t="n">
        <v>5.64</v>
      </c>
      <c r="AC593" s="36" t="n">
        <v>5.76</v>
      </c>
      <c r="AD593" s="36" t="n">
        <v>23.74</v>
      </c>
      <c r="AE593" s="36" t="n">
        <v>9.949999999999999</v>
      </c>
      <c r="AF593" s="28" t="n">
        <v>14.54</v>
      </c>
      <c r="AG593" s="36" t="n">
        <v>8.140000000000001</v>
      </c>
      <c r="AH593" s="37" t="n">
        <v>5.64</v>
      </c>
      <c r="AI593" s="37" t="n">
        <v>5.7</v>
      </c>
      <c r="AJ593" s="37" t="n">
        <v>5.12</v>
      </c>
      <c r="AK593" s="37" t="n">
        <v>13.32</v>
      </c>
      <c r="AL593" s="37" t="n">
        <v>6.17</v>
      </c>
      <c r="AM593" s="37" t="n">
        <v>9.19</v>
      </c>
      <c r="AN593" s="37" t="n">
        <v>5.58</v>
      </c>
      <c r="AO593" s="37" t="n">
        <v>5.53</v>
      </c>
      <c r="AP593" s="37" t="n">
        <v>7.33</v>
      </c>
      <c r="AQ593" s="37" t="n">
        <v>7.39</v>
      </c>
      <c r="AR593" s="37" t="n">
        <v>6.22</v>
      </c>
      <c r="AS593" s="37" t="n">
        <v>3.61</v>
      </c>
      <c r="AT593" s="37" t="n">
        <v>6.69</v>
      </c>
      <c r="AU593" s="37" t="n">
        <v>12.22</v>
      </c>
      <c r="AV593" s="37" t="n">
        <v>11.87</v>
      </c>
      <c r="AW593" s="37" t="n">
        <v>5.24</v>
      </c>
      <c r="AX593" s="37" t="n">
        <v>4.94</v>
      </c>
      <c r="AY593" s="37" t="n">
        <v>6.05</v>
      </c>
      <c r="AZ593" s="37" t="n">
        <v>3.37</v>
      </c>
      <c r="BA593" s="37" t="n">
        <v>6.22</v>
      </c>
      <c r="BB593" s="37" t="n">
        <v>5.82</v>
      </c>
      <c r="BC593" s="37" t="n">
        <v>1.45</v>
      </c>
      <c r="BD593" s="37" t="n">
        <v>5.18</v>
      </c>
      <c r="BE593" s="37" t="n">
        <v>5.93</v>
      </c>
      <c r="BF593" s="37" t="n">
        <v>5.41</v>
      </c>
      <c r="BG593" s="37" t="n">
        <v>4.71</v>
      </c>
      <c r="BH593" s="37" t="n">
        <v>8.09</v>
      </c>
      <c r="BI593" s="37" t="n">
        <v>6.75</v>
      </c>
      <c r="BJ593" s="37" t="n">
        <v>33.1</v>
      </c>
      <c r="BK593" s="37" t="n">
        <v>15.24</v>
      </c>
      <c r="BL593" s="37" t="n">
        <v>7.39</v>
      </c>
      <c r="BM593" s="37" t="n">
        <v>5.58</v>
      </c>
      <c r="BN593" s="37" t="n">
        <v>4.6</v>
      </c>
      <c r="BO593" s="37" t="n">
        <v>9.08</v>
      </c>
      <c r="BP593" s="37" t="n">
        <v>14.19</v>
      </c>
      <c r="BQ593" s="37" t="n">
        <v>9.720000000000001</v>
      </c>
      <c r="BR593" s="37" t="n">
        <v>6.28</v>
      </c>
      <c r="BS593" s="37" t="n">
        <v>5.93</v>
      </c>
      <c r="BT593" s="37" t="n">
        <v>5.41</v>
      </c>
      <c r="BU593" s="37" t="n">
        <v>6.05</v>
      </c>
      <c r="BV593" s="37" t="n">
        <v>8.32</v>
      </c>
      <c r="BW593" s="37" t="n">
        <v>6.75</v>
      </c>
      <c r="BX593" s="37" t="n">
        <v>6.52</v>
      </c>
      <c r="BY593" s="37" t="n">
        <v>6.28</v>
      </c>
      <c r="BZ593" s="37" t="n">
        <v>11.52</v>
      </c>
      <c r="CA593" s="37" t="n">
        <v>6.22</v>
      </c>
      <c r="CB593" s="37" t="n">
        <v>4.48</v>
      </c>
      <c r="CC593" s="37" t="n">
        <v>544.7500000000001</v>
      </c>
    </row>
    <row r="594" ht="15.75" customHeight="1" s="57">
      <c r="A594" s="7" t="inlineStr">
        <is>
          <t>NTB</t>
        </is>
      </c>
      <c r="B594" s="7" t="inlineStr">
        <is>
          <t>Đắk Nông</t>
        </is>
      </c>
      <c r="C594" s="7" t="n">
        <v>21150000</v>
      </c>
      <c r="D594" s="7" t="inlineStr">
        <is>
          <t>(DNO) Quảng Sơn</t>
        </is>
      </c>
      <c r="E594" s="7" t="inlineStr">
        <is>
          <t>TTS</t>
        </is>
      </c>
      <c r="F594" s="36" t="n">
        <v>93</v>
      </c>
      <c r="G594" s="36" t="n">
        <v>115</v>
      </c>
      <c r="H594" s="36" t="n">
        <v>121</v>
      </c>
      <c r="I594" s="36" t="n">
        <v>85</v>
      </c>
      <c r="J594" s="36" t="n">
        <v>117</v>
      </c>
      <c r="K594" s="28" t="n">
        <v>44</v>
      </c>
      <c r="L594" s="36" t="n">
        <v>120</v>
      </c>
      <c r="M594" s="36" t="n">
        <v>32</v>
      </c>
      <c r="N594" s="36" t="n">
        <v>135</v>
      </c>
      <c r="O594" s="36" t="n">
        <v>61</v>
      </c>
      <c r="P594" s="36" t="n">
        <v>115</v>
      </c>
      <c r="Q594" s="36" t="n">
        <v>96</v>
      </c>
      <c r="R594" s="28" t="n">
        <v>62</v>
      </c>
      <c r="S594" s="36" t="n">
        <v>84</v>
      </c>
      <c r="T594" s="36" t="n">
        <v>54</v>
      </c>
      <c r="U594" s="36" t="n">
        <v>91.02</v>
      </c>
      <c r="V594" s="36" t="n">
        <v>89.71000000000001</v>
      </c>
      <c r="W594" s="36" t="n">
        <v>87.55</v>
      </c>
      <c r="X594" s="36" t="n">
        <v>70.61</v>
      </c>
      <c r="Y594" s="28" t="n">
        <v>103.38</v>
      </c>
      <c r="Z594" s="36" t="n">
        <v>87.97</v>
      </c>
      <c r="AA594" s="36" t="n">
        <v>96.93000000000001</v>
      </c>
      <c r="AB594" s="36" t="n">
        <v>107.64</v>
      </c>
      <c r="AC594" s="36" t="n">
        <v>113.74</v>
      </c>
      <c r="AD594" s="36" t="n">
        <v>124.87</v>
      </c>
      <c r="AE594" s="36" t="n">
        <v>82.00999999999999</v>
      </c>
      <c r="AF594" s="28" t="n">
        <v>106.63</v>
      </c>
      <c r="AG594" s="36" t="n">
        <v>89.36</v>
      </c>
      <c r="AH594" s="37" t="n">
        <v>88.24000000000001</v>
      </c>
      <c r="AI594" s="37" t="n">
        <v>100.92</v>
      </c>
      <c r="AJ594" s="37" t="n">
        <v>108.35</v>
      </c>
      <c r="AK594" s="37" t="n">
        <v>106.83</v>
      </c>
      <c r="AL594" s="37" t="n">
        <v>76.16</v>
      </c>
      <c r="AM594" s="37" t="n">
        <v>105</v>
      </c>
      <c r="AN594" s="37" t="n">
        <v>90.46000000000001</v>
      </c>
      <c r="AO594" s="37" t="n">
        <v>89.57000000000001</v>
      </c>
      <c r="AP594" s="37" t="n">
        <v>87.18000000000001</v>
      </c>
      <c r="AQ594" s="37" t="n">
        <v>88.21000000000001</v>
      </c>
      <c r="AR594" s="37" t="n">
        <v>86.56</v>
      </c>
      <c r="AS594" s="37" t="n">
        <v>70.84</v>
      </c>
      <c r="AT594" s="37" t="n">
        <v>113.34</v>
      </c>
      <c r="AU594" s="37" t="n">
        <v>102.56</v>
      </c>
      <c r="AV594" s="37" t="n">
        <v>91.08</v>
      </c>
      <c r="AW594" s="37" t="n">
        <v>85.96000000000001</v>
      </c>
      <c r="AX594" s="37" t="n">
        <v>85.64</v>
      </c>
      <c r="AY594" s="37" t="n">
        <v>85.35000000000001</v>
      </c>
      <c r="AZ594" s="37" t="n">
        <v>70.84</v>
      </c>
      <c r="BA594" s="37" t="n">
        <v>102.57</v>
      </c>
      <c r="BB594" s="37" t="n">
        <v>95.62</v>
      </c>
      <c r="BC594" s="37" t="n">
        <v>56.76000000000001</v>
      </c>
      <c r="BD594" s="37" t="n">
        <v>82.3</v>
      </c>
      <c r="BE594" s="37" t="n">
        <v>96.89</v>
      </c>
      <c r="BF594" s="37" t="n">
        <v>94.26000000000001</v>
      </c>
      <c r="BG594" s="37" t="n">
        <v>76.22</v>
      </c>
      <c r="BH594" s="37" t="n">
        <v>113.28</v>
      </c>
      <c r="BI594" s="37" t="n">
        <v>95.62</v>
      </c>
      <c r="BJ594" s="37" t="n">
        <v>94.76000000000001</v>
      </c>
      <c r="BK594" s="37" t="n">
        <v>96.64</v>
      </c>
      <c r="BL594" s="37" t="n">
        <v>96.89</v>
      </c>
      <c r="BM594" s="37" t="n">
        <v>94.26000000000001</v>
      </c>
      <c r="BN594" s="37" t="n">
        <v>76.22</v>
      </c>
      <c r="BO594" s="37" t="n">
        <v>113.28</v>
      </c>
      <c r="BP594" s="37" t="n">
        <v>95.62</v>
      </c>
      <c r="BQ594" s="37" t="n">
        <v>94.49000000000001</v>
      </c>
      <c r="BR594" s="37" t="n">
        <v>96.64</v>
      </c>
      <c r="BS594" s="37" t="n">
        <v>96.89</v>
      </c>
      <c r="BT594" s="37" t="n">
        <v>94.26000000000001</v>
      </c>
      <c r="BU594" s="37" t="n">
        <v>76.22</v>
      </c>
      <c r="BV594" s="37" t="n">
        <v>113.28</v>
      </c>
      <c r="BW594" s="37" t="n">
        <v>95.62</v>
      </c>
      <c r="BX594" s="37" t="n">
        <v>94.49000000000001</v>
      </c>
      <c r="BY594" s="37" t="n">
        <v>96.64</v>
      </c>
      <c r="BZ594" s="37" t="n">
        <v>96.89</v>
      </c>
      <c r="CA594" s="37" t="n">
        <v>94.26000000000001</v>
      </c>
      <c r="CB594" s="37" t="n">
        <v>76.22</v>
      </c>
      <c r="CC594" s="37" t="n">
        <v>6925.600000000003</v>
      </c>
    </row>
    <row r="595" ht="15.75" customHeight="1" s="57">
      <c r="A595" s="7" t="inlineStr">
        <is>
          <t>NTB</t>
        </is>
      </c>
      <c r="B595" s="7" t="inlineStr">
        <is>
          <t>Đắk Nông</t>
        </is>
      </c>
      <c r="C595" s="7" t="n">
        <v>21150000</v>
      </c>
      <c r="D595" s="7" t="inlineStr">
        <is>
          <t>(DNO) Quảng Sơn</t>
        </is>
      </c>
      <c r="E595" s="7" t="inlineStr">
        <is>
          <t>TTS-Bulky</t>
        </is>
      </c>
      <c r="F595" s="36" t="n">
        <v>2</v>
      </c>
      <c r="G595" s="36" t="n">
        <v>2</v>
      </c>
      <c r="H595" s="36" t="n">
        <v>1</v>
      </c>
      <c r="I595" s="36" t="n">
        <v>0</v>
      </c>
      <c r="J595" s="36" t="n">
        <v>4</v>
      </c>
      <c r="K595" s="28" t="n">
        <v>5</v>
      </c>
      <c r="L595" s="36" t="n">
        <v>1</v>
      </c>
      <c r="M595" s="36" t="n">
        <v>0</v>
      </c>
      <c r="N595" s="36" t="n">
        <v>1</v>
      </c>
      <c r="O595" s="36" t="n">
        <v>0</v>
      </c>
      <c r="P595" s="36" t="n">
        <v>0</v>
      </c>
      <c r="Q595" s="36" t="n">
        <v>1</v>
      </c>
      <c r="R595" s="28" t="n">
        <v>1</v>
      </c>
      <c r="S595" s="36" t="n">
        <v>1</v>
      </c>
      <c r="T595" s="36" t="n">
        <v>1</v>
      </c>
      <c r="U595" s="36" t="n">
        <v>6.09</v>
      </c>
      <c r="V595" s="36" t="n">
        <v>6.56</v>
      </c>
      <c r="W595" s="36" t="n">
        <v>3.12</v>
      </c>
      <c r="X595" s="36" t="n">
        <v>1.87</v>
      </c>
      <c r="Y595" s="28" t="n">
        <v>3.98</v>
      </c>
      <c r="Z595" s="36" t="n">
        <v>3.05</v>
      </c>
      <c r="AA595" s="36" t="n">
        <v>3.28</v>
      </c>
      <c r="AB595" s="36" t="n">
        <v>3.51</v>
      </c>
      <c r="AC595" s="36" t="n">
        <v>3.59</v>
      </c>
      <c r="AD595" s="36" t="n">
        <v>3.12</v>
      </c>
      <c r="AE595" s="36" t="n">
        <v>2.26</v>
      </c>
      <c r="AF595" s="28" t="n">
        <v>4.22</v>
      </c>
      <c r="AG595" s="36" t="n">
        <v>3.12</v>
      </c>
      <c r="AH595" s="37" t="n">
        <v>3.05</v>
      </c>
      <c r="AI595" s="37" t="n">
        <v>3.28</v>
      </c>
      <c r="AJ595" s="37" t="n">
        <v>3.51</v>
      </c>
      <c r="AK595" s="37" t="n">
        <v>3.67</v>
      </c>
      <c r="AL595" s="37" t="n">
        <v>1.87</v>
      </c>
      <c r="AM595" s="37" t="n">
        <v>4.06</v>
      </c>
      <c r="AN595" s="37" t="n">
        <v>2.97</v>
      </c>
      <c r="AO595" s="37" t="n">
        <v>3.12</v>
      </c>
      <c r="AP595" s="37" t="n">
        <v>3.05</v>
      </c>
      <c r="AQ595" s="37" t="n">
        <v>3.36</v>
      </c>
      <c r="AR595" s="37" t="n">
        <v>3.12</v>
      </c>
      <c r="AS595" s="37" t="n">
        <v>1.87</v>
      </c>
      <c r="AT595" s="37" t="n">
        <v>4.29</v>
      </c>
      <c r="AU595" s="37" t="n">
        <v>3.44</v>
      </c>
      <c r="AV595" s="37" t="n">
        <v>3.12</v>
      </c>
      <c r="AW595" s="37" t="n">
        <v>2.97</v>
      </c>
      <c r="AX595" s="37" t="n">
        <v>3.36</v>
      </c>
      <c r="AY595" s="37" t="n">
        <v>3.12</v>
      </c>
      <c r="AZ595" s="37" t="n">
        <v>1.87</v>
      </c>
      <c r="BA595" s="37" t="n">
        <v>3.67</v>
      </c>
      <c r="BB595" s="37" t="n">
        <v>0.86</v>
      </c>
      <c r="BC595" s="37" t="n">
        <v>0.39</v>
      </c>
      <c r="BD595" s="37" t="n">
        <v>0.62</v>
      </c>
      <c r="BE595" s="37" t="n">
        <v>0.86</v>
      </c>
      <c r="BF595" s="37" t="n">
        <v>0.86</v>
      </c>
      <c r="BG595" s="37" t="n">
        <v>0.55</v>
      </c>
      <c r="BH595" s="37" t="n">
        <v>1.17</v>
      </c>
      <c r="BI595" s="37" t="n">
        <v>0.86</v>
      </c>
      <c r="BJ595" s="37" t="n">
        <v>0.78</v>
      </c>
      <c r="BK595" s="37" t="n">
        <v>0.86</v>
      </c>
      <c r="BL595" s="37" t="n">
        <v>0.86</v>
      </c>
      <c r="BM595" s="37" t="n">
        <v>0.86</v>
      </c>
      <c r="BN595" s="37" t="n">
        <v>0.62</v>
      </c>
      <c r="BO595" s="37" t="n">
        <v>1.25</v>
      </c>
      <c r="BP595" s="37" t="n">
        <v>1.02</v>
      </c>
      <c r="BQ595" s="37" t="n">
        <v>0.86</v>
      </c>
      <c r="BR595" s="37" t="n">
        <v>0.86</v>
      </c>
      <c r="BS595" s="37" t="n">
        <v>0.86</v>
      </c>
      <c r="BT595" s="37" t="n">
        <v>0.86</v>
      </c>
      <c r="BU595" s="37" t="n">
        <v>0.47</v>
      </c>
      <c r="BV595" s="37" t="n">
        <v>1.09</v>
      </c>
      <c r="BW595" s="37" t="n">
        <v>0.86</v>
      </c>
      <c r="BX595" s="37" t="n">
        <v>0.86</v>
      </c>
      <c r="BY595" s="37" t="n">
        <v>0.86</v>
      </c>
      <c r="BZ595" s="37" t="n">
        <v>0.86</v>
      </c>
      <c r="CA595" s="37" t="n">
        <v>0.86</v>
      </c>
      <c r="CB595" s="37" t="n">
        <v>0.47</v>
      </c>
      <c r="CC595" s="37" t="n">
        <v>152.7300000000002</v>
      </c>
    </row>
    <row r="596" ht="15.75" customHeight="1" s="57">
      <c r="A596" s="7" t="inlineStr">
        <is>
          <t>NTB</t>
        </is>
      </c>
      <c r="B596" s="7" t="inlineStr">
        <is>
          <t>Đắk Nông</t>
        </is>
      </c>
      <c r="C596" s="7" t="n">
        <v>21364000</v>
      </c>
      <c r="D596" s="7" t="inlineStr">
        <is>
          <t>(DNO) Quảng Khê</t>
        </is>
      </c>
      <c r="E596" s="7" t="inlineStr">
        <is>
          <t>SME</t>
        </is>
      </c>
      <c r="F596" s="36" t="n">
        <v>70</v>
      </c>
      <c r="G596" s="36" t="n">
        <v>122</v>
      </c>
      <c r="H596" s="36" t="n">
        <v>139</v>
      </c>
      <c r="I596" s="36" t="n">
        <v>116</v>
      </c>
      <c r="J596" s="36" t="n">
        <v>90</v>
      </c>
      <c r="K596" s="28" t="n">
        <v>78</v>
      </c>
      <c r="L596" s="36" t="n">
        <v>58</v>
      </c>
      <c r="M596" s="36" t="n">
        <v>85</v>
      </c>
      <c r="N596" s="36" t="n">
        <v>115</v>
      </c>
      <c r="O596" s="36" t="n">
        <v>94</v>
      </c>
      <c r="P596" s="36" t="n">
        <v>47</v>
      </c>
      <c r="Q596" s="36" t="n">
        <v>118</v>
      </c>
      <c r="R596" s="28" t="n">
        <v>65</v>
      </c>
      <c r="S596" s="36" t="n">
        <v>88</v>
      </c>
      <c r="T596" s="36" t="n">
        <v>90</v>
      </c>
      <c r="U596" s="36" t="n">
        <v>118.98</v>
      </c>
      <c r="V596" s="36" t="n">
        <v>122.85</v>
      </c>
      <c r="W596" s="36" t="n">
        <v>119.76</v>
      </c>
      <c r="X596" s="36" t="n">
        <v>97.72</v>
      </c>
      <c r="Y596" s="28" t="n">
        <v>132.57</v>
      </c>
      <c r="Z596" s="36" t="n">
        <v>121.92</v>
      </c>
      <c r="AA596" s="36" t="n">
        <v>119.39</v>
      </c>
      <c r="AB596" s="36" t="n">
        <v>118.98</v>
      </c>
      <c r="AC596" s="36" t="n">
        <v>122.85</v>
      </c>
      <c r="AD596" s="36" t="n">
        <v>124.35</v>
      </c>
      <c r="AE596" s="36" t="n">
        <v>97.72</v>
      </c>
      <c r="AF596" s="28" t="n">
        <v>132.57</v>
      </c>
      <c r="AG596" s="36" t="n">
        <v>121.92</v>
      </c>
      <c r="AH596" s="37" t="n">
        <v>119.39</v>
      </c>
      <c r="AI596" s="37" t="n">
        <v>118.98</v>
      </c>
      <c r="AJ596" s="37" t="n">
        <v>122.85</v>
      </c>
      <c r="AK596" s="37" t="n">
        <v>119.76</v>
      </c>
      <c r="AL596" s="37" t="n">
        <v>97.72</v>
      </c>
      <c r="AM596" s="37" t="n">
        <v>132.57</v>
      </c>
      <c r="AN596" s="37" t="n">
        <v>121.92</v>
      </c>
      <c r="AO596" s="37" t="n">
        <v>119.39</v>
      </c>
      <c r="AP596" s="37" t="n">
        <v>118.98</v>
      </c>
      <c r="AQ596" s="37" t="n">
        <v>122.85</v>
      </c>
      <c r="AR596" s="37" t="n">
        <v>119.76</v>
      </c>
      <c r="AS596" s="37" t="n">
        <v>97.72</v>
      </c>
      <c r="AT596" s="37" t="n">
        <v>132.57</v>
      </c>
      <c r="AU596" s="37" t="n">
        <v>121.92</v>
      </c>
      <c r="AV596" s="37" t="n">
        <v>119.39</v>
      </c>
      <c r="AW596" s="37" t="n">
        <v>118.98</v>
      </c>
      <c r="AX596" s="37" t="n">
        <v>122.85</v>
      </c>
      <c r="AY596" s="37" t="n">
        <v>119.76</v>
      </c>
      <c r="AZ596" s="37" t="n">
        <v>97.72</v>
      </c>
      <c r="BA596" s="37" t="n">
        <v>119.43</v>
      </c>
      <c r="BB596" s="37" t="n">
        <v>106.98</v>
      </c>
      <c r="BC596" s="37" t="n">
        <v>67.37</v>
      </c>
      <c r="BD596" s="37" t="n">
        <v>67.23</v>
      </c>
      <c r="BE596" s="37" t="n">
        <v>113.7</v>
      </c>
      <c r="BF596" s="37" t="n">
        <v>110.79</v>
      </c>
      <c r="BG596" s="37" t="n">
        <v>100.77</v>
      </c>
      <c r="BH596" s="37" t="n">
        <v>136.42</v>
      </c>
      <c r="BI596" s="37" t="n">
        <v>125.54</v>
      </c>
      <c r="BJ596" s="37" t="n">
        <v>127.44</v>
      </c>
      <c r="BK596" s="37" t="n">
        <v>122.48</v>
      </c>
      <c r="BL596" s="37" t="n">
        <v>126.53</v>
      </c>
      <c r="BM596" s="37" t="n">
        <v>123.39</v>
      </c>
      <c r="BN596" s="37" t="n">
        <v>100.77</v>
      </c>
      <c r="BO596" s="37" t="n">
        <v>136.42</v>
      </c>
      <c r="BP596" s="37" t="n">
        <v>125.54</v>
      </c>
      <c r="BQ596" s="37" t="n">
        <v>123.02</v>
      </c>
      <c r="BR596" s="37" t="n">
        <v>122.48</v>
      </c>
      <c r="BS596" s="37" t="n">
        <v>126.53</v>
      </c>
      <c r="BT596" s="37" t="n">
        <v>123.39</v>
      </c>
      <c r="BU596" s="37" t="n">
        <v>100.77</v>
      </c>
      <c r="BV596" s="37" t="n">
        <v>136.42</v>
      </c>
      <c r="BW596" s="37" t="n">
        <v>125.54</v>
      </c>
      <c r="BX596" s="37" t="n">
        <v>123.02</v>
      </c>
      <c r="BY596" s="37" t="n">
        <v>122.48</v>
      </c>
      <c r="BZ596" s="37" t="n">
        <v>126.53</v>
      </c>
      <c r="CA596" s="37" t="n">
        <v>123.39</v>
      </c>
      <c r="CB596" s="37" t="n">
        <v>100.77</v>
      </c>
      <c r="CC596" s="37" t="n">
        <v>8436.800000000001</v>
      </c>
    </row>
    <row r="597" ht="15.75" customHeight="1" s="57">
      <c r="A597" s="7" t="inlineStr">
        <is>
          <t>NTB</t>
        </is>
      </c>
      <c r="B597" s="7" t="inlineStr">
        <is>
          <t>Đắk Nông</t>
        </is>
      </c>
      <c r="C597" s="7" t="n">
        <v>21364000</v>
      </c>
      <c r="D597" s="7" t="inlineStr">
        <is>
          <t>(DNO) Quảng Khê</t>
        </is>
      </c>
      <c r="E597" s="7" t="inlineStr">
        <is>
          <t>SME-Bulky</t>
        </is>
      </c>
      <c r="F597" s="36" t="n">
        <v>1</v>
      </c>
      <c r="G597" s="36" t="n">
        <v>12</v>
      </c>
      <c r="H597" s="36" t="n">
        <v>9</v>
      </c>
      <c r="I597" s="36" t="n">
        <v>8</v>
      </c>
      <c r="J597" s="36" t="n">
        <v>2</v>
      </c>
      <c r="K597" s="28" t="n">
        <v>4</v>
      </c>
      <c r="L597" s="36" t="n">
        <v>10</v>
      </c>
      <c r="M597" s="36" t="n">
        <v>3</v>
      </c>
      <c r="N597" s="36" t="n">
        <v>11</v>
      </c>
      <c r="O597" s="36" t="n">
        <v>4</v>
      </c>
      <c r="P597" s="36" t="n">
        <v>2</v>
      </c>
      <c r="Q597" s="36" t="n">
        <v>5</v>
      </c>
      <c r="R597" s="28" t="n">
        <v>14</v>
      </c>
      <c r="S597" s="36" t="n">
        <v>7</v>
      </c>
      <c r="T597" s="36" t="n">
        <v>17</v>
      </c>
      <c r="U597" s="36" t="n">
        <v>9.43</v>
      </c>
      <c r="V597" s="36" t="n">
        <v>9.380000000000001</v>
      </c>
      <c r="W597" s="36" t="n">
        <v>8.75</v>
      </c>
      <c r="X597" s="36" t="n">
        <v>6.14</v>
      </c>
      <c r="Y597" s="28" t="n">
        <v>10.44</v>
      </c>
      <c r="Z597" s="36" t="n">
        <v>10.2</v>
      </c>
      <c r="AA597" s="36" t="n">
        <v>9.619999999999999</v>
      </c>
      <c r="AB597" s="36" t="n">
        <v>9.43</v>
      </c>
      <c r="AC597" s="36" t="n">
        <v>9.380000000000001</v>
      </c>
      <c r="AD597" s="36" t="n">
        <v>8.460000000000001</v>
      </c>
      <c r="AE597" s="36" t="n">
        <v>6.14</v>
      </c>
      <c r="AF597" s="28" t="n">
        <v>10.44</v>
      </c>
      <c r="AG597" s="36" t="n">
        <v>10.2</v>
      </c>
      <c r="AH597" s="37" t="n">
        <v>9.619999999999999</v>
      </c>
      <c r="AI597" s="37" t="n">
        <v>9.43</v>
      </c>
      <c r="AJ597" s="37" t="n">
        <v>9.380000000000001</v>
      </c>
      <c r="AK597" s="37" t="n">
        <v>8.75</v>
      </c>
      <c r="AL597" s="37" t="n">
        <v>6.14</v>
      </c>
      <c r="AM597" s="37" t="n">
        <v>10.44</v>
      </c>
      <c r="AN597" s="37" t="n">
        <v>10.2</v>
      </c>
      <c r="AO597" s="37" t="n">
        <v>9.619999999999999</v>
      </c>
      <c r="AP597" s="37" t="n">
        <v>9.43</v>
      </c>
      <c r="AQ597" s="37" t="n">
        <v>9.380000000000001</v>
      </c>
      <c r="AR597" s="37" t="n">
        <v>8.75</v>
      </c>
      <c r="AS597" s="37" t="n">
        <v>6.14</v>
      </c>
      <c r="AT597" s="37" t="n">
        <v>10.44</v>
      </c>
      <c r="AU597" s="37" t="n">
        <v>10.2</v>
      </c>
      <c r="AV597" s="37" t="n">
        <v>9.619999999999999</v>
      </c>
      <c r="AW597" s="37" t="n">
        <v>9.43</v>
      </c>
      <c r="AX597" s="37" t="n">
        <v>9.380000000000001</v>
      </c>
      <c r="AY597" s="37" t="n">
        <v>8.75</v>
      </c>
      <c r="AZ597" s="37" t="n">
        <v>6.14</v>
      </c>
      <c r="BA597" s="37" t="n">
        <v>10.35</v>
      </c>
      <c r="BB597" s="37" t="n">
        <v>5.56</v>
      </c>
      <c r="BC597" s="37" t="n">
        <v>2.85</v>
      </c>
      <c r="BD597" s="37" t="n">
        <v>2.56</v>
      </c>
      <c r="BE597" s="37" t="n">
        <v>4.83</v>
      </c>
      <c r="BF597" s="37" t="n">
        <v>4.54</v>
      </c>
      <c r="BG597" s="37" t="n">
        <v>3.63</v>
      </c>
      <c r="BH597" s="37" t="n">
        <v>6</v>
      </c>
      <c r="BI597" s="37" t="n">
        <v>5.95</v>
      </c>
      <c r="BJ597" s="37" t="n">
        <v>5.46</v>
      </c>
      <c r="BK597" s="37" t="n">
        <v>5.51</v>
      </c>
      <c r="BL597" s="37" t="n">
        <v>5.51</v>
      </c>
      <c r="BM597" s="37" t="n">
        <v>5.17</v>
      </c>
      <c r="BN597" s="37" t="n">
        <v>3.63</v>
      </c>
      <c r="BO597" s="37" t="n">
        <v>6</v>
      </c>
      <c r="BP597" s="37" t="n">
        <v>5.95</v>
      </c>
      <c r="BQ597" s="37" t="n">
        <v>5.56</v>
      </c>
      <c r="BR597" s="37" t="n">
        <v>5.51</v>
      </c>
      <c r="BS597" s="37" t="n">
        <v>5.51</v>
      </c>
      <c r="BT597" s="37" t="n">
        <v>5.17</v>
      </c>
      <c r="BU597" s="37" t="n">
        <v>3.63</v>
      </c>
      <c r="BV597" s="37" t="n">
        <v>6</v>
      </c>
      <c r="BW597" s="37" t="n">
        <v>5.95</v>
      </c>
      <c r="BX597" s="37" t="n">
        <v>5.56</v>
      </c>
      <c r="BY597" s="37" t="n">
        <v>5.51</v>
      </c>
      <c r="BZ597" s="37" t="n">
        <v>5.51</v>
      </c>
      <c r="CA597" s="37" t="n">
        <v>5.17</v>
      </c>
      <c r="CB597" s="37" t="n">
        <v>3.63</v>
      </c>
      <c r="CC597" s="37" t="n">
        <v>544.4599999999998</v>
      </c>
    </row>
    <row r="598" ht="15.75" customHeight="1" s="57">
      <c r="A598" s="7" t="inlineStr">
        <is>
          <t>NTB</t>
        </is>
      </c>
      <c r="B598" s="7" t="inlineStr">
        <is>
          <t>Đắk Nông</t>
        </is>
      </c>
      <c r="C598" s="7" t="n">
        <v>21364000</v>
      </c>
      <c r="D598" s="7" t="inlineStr">
        <is>
          <t>(DNO) Quảng Khê</t>
        </is>
      </c>
      <c r="E598" s="7" t="inlineStr">
        <is>
          <t>Shopee</t>
        </is>
      </c>
      <c r="F598" s="36" t="n">
        <v>48</v>
      </c>
      <c r="G598" s="36" t="n">
        <v>88</v>
      </c>
      <c r="H598" s="36" t="n">
        <v>74</v>
      </c>
      <c r="I598" s="36" t="n">
        <v>58</v>
      </c>
      <c r="J598" s="36" t="n">
        <v>47</v>
      </c>
      <c r="K598" s="28" t="n">
        <v>29</v>
      </c>
      <c r="L598" s="36" t="n">
        <v>25</v>
      </c>
      <c r="M598" s="36" t="n">
        <v>23</v>
      </c>
      <c r="N598" s="36" t="n">
        <v>41</v>
      </c>
      <c r="O598" s="36" t="n">
        <v>17</v>
      </c>
      <c r="P598" s="36" t="n">
        <v>16</v>
      </c>
      <c r="Q598" s="36" t="n">
        <v>25</v>
      </c>
      <c r="R598" s="28" t="n">
        <v>11</v>
      </c>
      <c r="S598" s="36" t="n">
        <v>20</v>
      </c>
      <c r="T598" s="36" t="n">
        <v>42</v>
      </c>
      <c r="U598" s="36" t="n">
        <v>29.23</v>
      </c>
      <c r="V598" s="36" t="n">
        <v>29.31</v>
      </c>
      <c r="W598" s="36" t="n">
        <v>28.92</v>
      </c>
      <c r="X598" s="36" t="n">
        <v>23.53</v>
      </c>
      <c r="Y598" s="28" t="n">
        <v>39.3</v>
      </c>
      <c r="Z598" s="36" t="n">
        <v>31.17</v>
      </c>
      <c r="AA598" s="36" t="n">
        <v>42.85</v>
      </c>
      <c r="AB598" s="36" t="n">
        <v>29.79</v>
      </c>
      <c r="AC598" s="36" t="n">
        <v>24.07</v>
      </c>
      <c r="AD598" s="36" t="n">
        <v>54.91</v>
      </c>
      <c r="AE598" s="36" t="n">
        <v>25.24</v>
      </c>
      <c r="AF598" s="28" t="n">
        <v>44.94</v>
      </c>
      <c r="AG598" s="36" t="n">
        <v>32.65</v>
      </c>
      <c r="AH598" s="37" t="n">
        <v>34.52</v>
      </c>
      <c r="AI598" s="37" t="n">
        <v>29.23</v>
      </c>
      <c r="AJ598" s="37" t="n">
        <v>29.31</v>
      </c>
      <c r="AK598" s="37" t="n">
        <v>38.99</v>
      </c>
      <c r="AL598" s="37" t="n">
        <v>42.23</v>
      </c>
      <c r="AM598" s="37" t="n">
        <v>39.3</v>
      </c>
      <c r="AN598" s="37" t="n">
        <v>31.17</v>
      </c>
      <c r="AO598" s="37" t="n">
        <v>34.52</v>
      </c>
      <c r="AP598" s="37" t="n">
        <v>36.56</v>
      </c>
      <c r="AQ598" s="37" t="n">
        <v>23.53</v>
      </c>
      <c r="AR598" s="37" t="n">
        <v>28.92</v>
      </c>
      <c r="AS598" s="37" t="n">
        <v>23.53</v>
      </c>
      <c r="AT598" s="37" t="n">
        <v>39.3</v>
      </c>
      <c r="AU598" s="37" t="n">
        <v>31.76</v>
      </c>
      <c r="AV598" s="37" t="n">
        <v>35.23</v>
      </c>
      <c r="AW598" s="37" t="n">
        <v>29.23</v>
      </c>
      <c r="AX598" s="37" t="n">
        <v>29.31</v>
      </c>
      <c r="AY598" s="37" t="n">
        <v>28.92</v>
      </c>
      <c r="AZ598" s="37" t="n">
        <v>23.53</v>
      </c>
      <c r="BA598" s="37" t="n">
        <v>30.33</v>
      </c>
      <c r="BB598" s="37" t="n">
        <v>26.42</v>
      </c>
      <c r="BC598" s="37" t="n">
        <v>13.49</v>
      </c>
      <c r="BD598" s="37" t="n">
        <v>24.04</v>
      </c>
      <c r="BE598" s="37" t="n">
        <v>27.93</v>
      </c>
      <c r="BF598" s="37" t="n">
        <v>27.59</v>
      </c>
      <c r="BG598" s="37" t="n">
        <v>22.92</v>
      </c>
      <c r="BH598" s="37" t="n">
        <v>37.43</v>
      </c>
      <c r="BI598" s="37" t="n">
        <v>24.5</v>
      </c>
      <c r="BJ598" s="37" t="n">
        <v>78.05</v>
      </c>
      <c r="BK598" s="37" t="n">
        <v>29.79</v>
      </c>
      <c r="BL598" s="37" t="n">
        <v>29.36</v>
      </c>
      <c r="BM598" s="37" t="n">
        <v>27.59</v>
      </c>
      <c r="BN598" s="37" t="n">
        <v>22.48</v>
      </c>
      <c r="BO598" s="37" t="n">
        <v>37.43</v>
      </c>
      <c r="BP598" s="37" t="n">
        <v>40.14</v>
      </c>
      <c r="BQ598" s="37" t="n">
        <v>59.07</v>
      </c>
      <c r="BR598" s="37" t="n">
        <v>27.85</v>
      </c>
      <c r="BS598" s="37" t="n">
        <v>27.93</v>
      </c>
      <c r="BT598" s="37" t="n">
        <v>27.59</v>
      </c>
      <c r="BU598" s="37" t="n">
        <v>28</v>
      </c>
      <c r="BV598" s="37" t="n">
        <v>30.02</v>
      </c>
      <c r="BW598" s="37" t="n">
        <v>29.69</v>
      </c>
      <c r="BX598" s="37" t="n">
        <v>32.83</v>
      </c>
      <c r="BY598" s="37" t="n">
        <v>27.85</v>
      </c>
      <c r="BZ598" s="37" t="n">
        <v>28.54</v>
      </c>
      <c r="CA598" s="37" t="n">
        <v>28.1</v>
      </c>
      <c r="CB598" s="37" t="n">
        <v>22.48</v>
      </c>
      <c r="CC598" s="37" t="n">
        <v>2478.439999999999</v>
      </c>
    </row>
    <row r="599" ht="15.75" customHeight="1" s="57">
      <c r="A599" s="7" t="inlineStr">
        <is>
          <t>NTB</t>
        </is>
      </c>
      <c r="B599" s="7" t="inlineStr">
        <is>
          <t>Đắk Nông</t>
        </is>
      </c>
      <c r="C599" s="7" t="n">
        <v>21364000</v>
      </c>
      <c r="D599" s="7" t="inlineStr">
        <is>
          <t>(DNO) Quảng Khê</t>
        </is>
      </c>
      <c r="E599" s="7" t="inlineStr">
        <is>
          <t>Shopee-Bulky</t>
        </is>
      </c>
      <c r="F599" s="36" t="n">
        <v>5.85</v>
      </c>
      <c r="G599" s="36" t="n">
        <v>8.449999999999999</v>
      </c>
      <c r="H599" s="36" t="n">
        <v>9.74</v>
      </c>
      <c r="I599" s="36" t="n">
        <v>9.74</v>
      </c>
      <c r="J599" s="36" t="n">
        <v>5.2</v>
      </c>
      <c r="K599" s="28" t="n">
        <v>3.25</v>
      </c>
      <c r="L599" s="36" t="n">
        <v>6.5</v>
      </c>
      <c r="M599" s="36" t="n">
        <v>2.6</v>
      </c>
      <c r="N599" s="36" t="n">
        <v>8.449999999999999</v>
      </c>
      <c r="O599" s="36" t="n">
        <v>4.55</v>
      </c>
      <c r="P599" s="36" t="n">
        <v>8.449999999999999</v>
      </c>
      <c r="Q599" s="36" t="n">
        <v>7.8</v>
      </c>
      <c r="R599" s="28" t="n">
        <v>3.9</v>
      </c>
      <c r="S599" s="36" t="n">
        <v>4.55</v>
      </c>
      <c r="T599" s="36" t="n">
        <v>6.5</v>
      </c>
      <c r="U599" s="36" t="n">
        <v>5.7</v>
      </c>
      <c r="V599" s="36" t="n">
        <v>5.29</v>
      </c>
      <c r="W599" s="36" t="n">
        <v>7.37</v>
      </c>
      <c r="X599" s="36" t="n">
        <v>4.16</v>
      </c>
      <c r="Y599" s="28" t="n">
        <v>8.359999999999999</v>
      </c>
      <c r="Z599" s="36" t="n">
        <v>6.62</v>
      </c>
      <c r="AA599" s="36" t="n">
        <v>6.38</v>
      </c>
      <c r="AB599" s="36" t="n">
        <v>6.55</v>
      </c>
      <c r="AC599" s="36" t="n">
        <v>6.45</v>
      </c>
      <c r="AD599" s="36" t="n">
        <v>15.07</v>
      </c>
      <c r="AE599" s="36" t="n">
        <v>10.91</v>
      </c>
      <c r="AF599" s="28" t="n">
        <v>16.47</v>
      </c>
      <c r="AG599" s="36" t="n">
        <v>9.380000000000001</v>
      </c>
      <c r="AH599" s="37" t="n">
        <v>6.62</v>
      </c>
      <c r="AI599" s="37" t="n">
        <v>6.45</v>
      </c>
      <c r="AJ599" s="37" t="n">
        <v>5.87</v>
      </c>
      <c r="AK599" s="37" t="n">
        <v>14.12</v>
      </c>
      <c r="AL599" s="37" t="n">
        <v>6.82</v>
      </c>
      <c r="AM599" s="37" t="n">
        <v>10.5</v>
      </c>
      <c r="AN599" s="37" t="n">
        <v>6.55</v>
      </c>
      <c r="AO599" s="37" t="n">
        <v>6.27</v>
      </c>
      <c r="AP599" s="37" t="n">
        <v>8.59</v>
      </c>
      <c r="AQ599" s="37" t="n">
        <v>8.289999999999999</v>
      </c>
      <c r="AR599" s="37" t="n">
        <v>6.79</v>
      </c>
      <c r="AS599" s="37" t="n">
        <v>3.82</v>
      </c>
      <c r="AT599" s="37" t="n">
        <v>7.57</v>
      </c>
      <c r="AU599" s="37" t="n">
        <v>12.86</v>
      </c>
      <c r="AV599" s="37" t="n">
        <v>13.27</v>
      </c>
      <c r="AW599" s="37" t="n">
        <v>6.27</v>
      </c>
      <c r="AX599" s="37" t="n">
        <v>5.63</v>
      </c>
      <c r="AY599" s="37" t="n">
        <v>6.55</v>
      </c>
      <c r="AZ599" s="37" t="n">
        <v>3.61</v>
      </c>
      <c r="BA599" s="37" t="n">
        <v>6.99</v>
      </c>
      <c r="BB599" s="37" t="n">
        <v>6.48</v>
      </c>
      <c r="BC599" s="37" t="n">
        <v>1.94</v>
      </c>
      <c r="BD599" s="37" t="n">
        <v>5.59</v>
      </c>
      <c r="BE599" s="37" t="n">
        <v>6.62</v>
      </c>
      <c r="BF599" s="37" t="n">
        <v>5.83</v>
      </c>
      <c r="BG599" s="37" t="n">
        <v>4.74</v>
      </c>
      <c r="BH599" s="37" t="n">
        <v>9.039999999999999</v>
      </c>
      <c r="BI599" s="37" t="n">
        <v>7.67</v>
      </c>
      <c r="BJ599" s="37" t="n">
        <v>24.14</v>
      </c>
      <c r="BK599" s="37" t="n">
        <v>16.37</v>
      </c>
      <c r="BL599" s="37" t="n">
        <v>8.460000000000001</v>
      </c>
      <c r="BM599" s="37" t="n">
        <v>6.27</v>
      </c>
      <c r="BN599" s="37" t="n">
        <v>4.77</v>
      </c>
      <c r="BO599" s="37" t="n">
        <v>10.13</v>
      </c>
      <c r="BP599" s="37" t="n">
        <v>15.55</v>
      </c>
      <c r="BQ599" s="37" t="n">
        <v>11.02</v>
      </c>
      <c r="BR599" s="37" t="n">
        <v>7.2</v>
      </c>
      <c r="BS599" s="37" t="n">
        <v>6.62</v>
      </c>
      <c r="BT599" s="37" t="n">
        <v>5.83</v>
      </c>
      <c r="BU599" s="37" t="n">
        <v>6.89</v>
      </c>
      <c r="BV599" s="37" t="n">
        <v>9.380000000000001</v>
      </c>
      <c r="BW599" s="37" t="n">
        <v>7.67</v>
      </c>
      <c r="BX599" s="37" t="n">
        <v>7.26</v>
      </c>
      <c r="BY599" s="37" t="n">
        <v>7.2</v>
      </c>
      <c r="BZ599" s="37" t="n">
        <v>12.52</v>
      </c>
      <c r="CA599" s="37" t="n">
        <v>6.79</v>
      </c>
      <c r="CB599" s="37" t="n">
        <v>4.54</v>
      </c>
      <c r="CC599" s="37" t="n">
        <v>584.1999999999998</v>
      </c>
    </row>
    <row r="600" ht="15.75" customHeight="1" s="57">
      <c r="A600" s="7" t="inlineStr">
        <is>
          <t>NTB</t>
        </is>
      </c>
      <c r="B600" s="7" t="inlineStr">
        <is>
          <t>Đắk Nông</t>
        </is>
      </c>
      <c r="C600" s="7" t="n">
        <v>21364000</v>
      </c>
      <c r="D600" s="7" t="inlineStr">
        <is>
          <t>(DNO) Quảng Khê</t>
        </is>
      </c>
      <c r="E600" s="7" t="inlineStr">
        <is>
          <t>Shopee-Bulky (10-15kg)</t>
        </is>
      </c>
      <c r="F600" s="36" t="n">
        <v>3.15</v>
      </c>
      <c r="G600" s="36" t="n">
        <v>4.55</v>
      </c>
      <c r="H600" s="36" t="n">
        <v>5.26</v>
      </c>
      <c r="I600" s="36" t="n">
        <v>5.26</v>
      </c>
      <c r="J600" s="36" t="n">
        <v>2.8</v>
      </c>
      <c r="K600" s="28" t="n">
        <v>1.75</v>
      </c>
      <c r="L600" s="36" t="n">
        <v>3.5</v>
      </c>
      <c r="M600" s="36" t="n">
        <v>1.4</v>
      </c>
      <c r="N600" s="36" t="n">
        <v>4.55</v>
      </c>
      <c r="O600" s="36" t="n">
        <v>2.45</v>
      </c>
      <c r="P600" s="36" t="n">
        <v>4.55</v>
      </c>
      <c r="Q600" s="36" t="n">
        <v>4.2</v>
      </c>
      <c r="R600" s="28" t="n">
        <v>2.1</v>
      </c>
      <c r="S600" s="36" t="n">
        <v>2.45</v>
      </c>
      <c r="T600" s="36" t="n">
        <v>3.5</v>
      </c>
      <c r="U600" s="36" t="n">
        <v>2.97</v>
      </c>
      <c r="V600" s="36" t="n">
        <v>2.86</v>
      </c>
      <c r="W600" s="36" t="n">
        <v>3.96</v>
      </c>
      <c r="X600" s="36" t="n">
        <v>2.32</v>
      </c>
      <c r="Y600" s="28" t="n">
        <v>4.3</v>
      </c>
      <c r="Z600" s="36" t="n">
        <v>3.31</v>
      </c>
      <c r="AA600" s="36" t="n">
        <v>3.24</v>
      </c>
      <c r="AB600" s="36" t="n">
        <v>3.31</v>
      </c>
      <c r="AC600" s="36" t="n">
        <v>3.38</v>
      </c>
      <c r="AD600" s="36" t="n">
        <v>13.91</v>
      </c>
      <c r="AE600" s="36" t="n">
        <v>5.83</v>
      </c>
      <c r="AF600" s="28" t="n">
        <v>8.529999999999999</v>
      </c>
      <c r="AG600" s="36" t="n">
        <v>4.77</v>
      </c>
      <c r="AH600" s="37" t="n">
        <v>3.31</v>
      </c>
      <c r="AI600" s="37" t="n">
        <v>3.34</v>
      </c>
      <c r="AJ600" s="37" t="n">
        <v>3</v>
      </c>
      <c r="AK600" s="37" t="n">
        <v>7.81</v>
      </c>
      <c r="AL600" s="37" t="n">
        <v>3.61</v>
      </c>
      <c r="AM600" s="37" t="n">
        <v>5.39</v>
      </c>
      <c r="AN600" s="37" t="n">
        <v>3.27</v>
      </c>
      <c r="AO600" s="37" t="n">
        <v>3.24</v>
      </c>
      <c r="AP600" s="37" t="n">
        <v>4.3</v>
      </c>
      <c r="AQ600" s="37" t="n">
        <v>4.33</v>
      </c>
      <c r="AR600" s="37" t="n">
        <v>3.65</v>
      </c>
      <c r="AS600" s="37" t="n">
        <v>2.11</v>
      </c>
      <c r="AT600" s="37" t="n">
        <v>3.92</v>
      </c>
      <c r="AU600" s="37" t="n">
        <v>7.16</v>
      </c>
      <c r="AV600" s="37" t="n">
        <v>6.96</v>
      </c>
      <c r="AW600" s="37" t="n">
        <v>3.07</v>
      </c>
      <c r="AX600" s="37" t="n">
        <v>2.9</v>
      </c>
      <c r="AY600" s="37" t="n">
        <v>3.55</v>
      </c>
      <c r="AZ600" s="37" t="n">
        <v>1.98</v>
      </c>
      <c r="BA600" s="37" t="n">
        <v>3.65</v>
      </c>
      <c r="BB600" s="37" t="n">
        <v>3.41</v>
      </c>
      <c r="BC600" s="37" t="n">
        <v>0.85</v>
      </c>
      <c r="BD600" s="37" t="n">
        <v>3.04</v>
      </c>
      <c r="BE600" s="37" t="n">
        <v>3.48</v>
      </c>
      <c r="BF600" s="37" t="n">
        <v>3.17</v>
      </c>
      <c r="BG600" s="37" t="n">
        <v>2.76</v>
      </c>
      <c r="BH600" s="37" t="n">
        <v>4.74</v>
      </c>
      <c r="BI600" s="37" t="n">
        <v>3.96</v>
      </c>
      <c r="BJ600" s="37" t="n">
        <v>19.4</v>
      </c>
      <c r="BK600" s="37" t="n">
        <v>8.93</v>
      </c>
      <c r="BL600" s="37" t="n">
        <v>4.33</v>
      </c>
      <c r="BM600" s="37" t="n">
        <v>3.27</v>
      </c>
      <c r="BN600" s="37" t="n">
        <v>2.69</v>
      </c>
      <c r="BO600" s="37" t="n">
        <v>5.32</v>
      </c>
      <c r="BP600" s="37" t="n">
        <v>8.32</v>
      </c>
      <c r="BQ600" s="37" t="n">
        <v>5.7</v>
      </c>
      <c r="BR600" s="37" t="n">
        <v>3.68</v>
      </c>
      <c r="BS600" s="37" t="n">
        <v>3.48</v>
      </c>
      <c r="BT600" s="37" t="n">
        <v>3.17</v>
      </c>
      <c r="BU600" s="37" t="n">
        <v>3.55</v>
      </c>
      <c r="BV600" s="37" t="n">
        <v>4.88</v>
      </c>
      <c r="BW600" s="37" t="n">
        <v>3.96</v>
      </c>
      <c r="BX600" s="37" t="n">
        <v>3.82</v>
      </c>
      <c r="BY600" s="37" t="n">
        <v>3.68</v>
      </c>
      <c r="BZ600" s="37" t="n">
        <v>6.75</v>
      </c>
      <c r="CA600" s="37" t="n">
        <v>3.65</v>
      </c>
      <c r="CB600" s="37" t="n">
        <v>2.63</v>
      </c>
      <c r="CC600" s="37" t="n">
        <v>321.33</v>
      </c>
    </row>
    <row r="601" ht="15.75" customHeight="1" s="57">
      <c r="A601" s="7" t="inlineStr">
        <is>
          <t>NTB</t>
        </is>
      </c>
      <c r="B601" s="7" t="inlineStr">
        <is>
          <t>Đắk Nông</t>
        </is>
      </c>
      <c r="C601" s="7" t="n">
        <v>21364000</v>
      </c>
      <c r="D601" s="7" t="inlineStr">
        <is>
          <t>(DNO) Quảng Khê</t>
        </is>
      </c>
      <c r="E601" s="7" t="inlineStr">
        <is>
          <t>TTS</t>
        </is>
      </c>
      <c r="F601" s="36" t="n">
        <v>71</v>
      </c>
      <c r="G601" s="36" t="n">
        <v>115</v>
      </c>
      <c r="H601" s="36" t="n">
        <v>130</v>
      </c>
      <c r="I601" s="36" t="n">
        <v>76</v>
      </c>
      <c r="J601" s="36" t="n">
        <v>69</v>
      </c>
      <c r="K601" s="28" t="n">
        <v>47</v>
      </c>
      <c r="L601" s="36" t="n">
        <v>52</v>
      </c>
      <c r="M601" s="36" t="n">
        <v>54</v>
      </c>
      <c r="N601" s="36" t="n">
        <v>116</v>
      </c>
      <c r="O601" s="36" t="n">
        <v>88</v>
      </c>
      <c r="P601" s="36" t="n">
        <v>58</v>
      </c>
      <c r="Q601" s="36" t="n">
        <v>98</v>
      </c>
      <c r="R601" s="28" t="n">
        <v>46</v>
      </c>
      <c r="S601" s="36" t="n">
        <v>88</v>
      </c>
      <c r="T601" s="36" t="n">
        <v>61</v>
      </c>
      <c r="U601" s="36" t="n">
        <v>82.95999999999999</v>
      </c>
      <c r="V601" s="36" t="n">
        <v>81.73</v>
      </c>
      <c r="W601" s="36" t="n">
        <v>79.78999999999999</v>
      </c>
      <c r="X601" s="36" t="n">
        <v>64.34999999999999</v>
      </c>
      <c r="Y601" s="28" t="n">
        <v>94.14</v>
      </c>
      <c r="Z601" s="36" t="n">
        <v>80.14</v>
      </c>
      <c r="AA601" s="36" t="n">
        <v>88.36</v>
      </c>
      <c r="AB601" s="36" t="n">
        <v>98.16</v>
      </c>
      <c r="AC601" s="36" t="n">
        <v>103.7</v>
      </c>
      <c r="AD601" s="36" t="n">
        <v>113.94</v>
      </c>
      <c r="AE601" s="36" t="n">
        <v>74.78</v>
      </c>
      <c r="AF601" s="28" t="n">
        <v>97.11</v>
      </c>
      <c r="AG601" s="36" t="n">
        <v>81.41</v>
      </c>
      <c r="AH601" s="37" t="n">
        <v>80.42</v>
      </c>
      <c r="AI601" s="37" t="n">
        <v>92.02</v>
      </c>
      <c r="AJ601" s="37" t="n">
        <v>98.78</v>
      </c>
      <c r="AK601" s="37" t="n">
        <v>97.42</v>
      </c>
      <c r="AL601" s="37" t="n">
        <v>69.44</v>
      </c>
      <c r="AM601" s="37" t="n">
        <v>95.63</v>
      </c>
      <c r="AN601" s="37" t="n">
        <v>82.42</v>
      </c>
      <c r="AO601" s="37" t="n">
        <v>81.64</v>
      </c>
      <c r="AP601" s="37" t="n">
        <v>79.48</v>
      </c>
      <c r="AQ601" s="37" t="n">
        <v>80.36</v>
      </c>
      <c r="AR601" s="37" t="n">
        <v>78.89</v>
      </c>
      <c r="AS601" s="37" t="n">
        <v>64.56999999999999</v>
      </c>
      <c r="AT601" s="37" t="n">
        <v>103.25</v>
      </c>
      <c r="AU601" s="37" t="n">
        <v>93.48</v>
      </c>
      <c r="AV601" s="37" t="n">
        <v>83.02</v>
      </c>
      <c r="AW601" s="37" t="n">
        <v>78.37</v>
      </c>
      <c r="AX601" s="37" t="n">
        <v>78.03999999999999</v>
      </c>
      <c r="AY601" s="37" t="n">
        <v>77.78</v>
      </c>
      <c r="AZ601" s="37" t="n">
        <v>64.56999999999999</v>
      </c>
      <c r="BA601" s="37" t="n">
        <v>93.39999999999999</v>
      </c>
      <c r="BB601" s="37" t="n">
        <v>87.13</v>
      </c>
      <c r="BC601" s="37" t="n">
        <v>51.78</v>
      </c>
      <c r="BD601" s="37" t="n">
        <v>75.05</v>
      </c>
      <c r="BE601" s="37" t="n">
        <v>88.3</v>
      </c>
      <c r="BF601" s="37" t="n">
        <v>85.92999999999999</v>
      </c>
      <c r="BG601" s="37" t="n">
        <v>69.48999999999999</v>
      </c>
      <c r="BH601" s="37" t="n">
        <v>103.2</v>
      </c>
      <c r="BI601" s="37" t="n">
        <v>87.13</v>
      </c>
      <c r="BJ601" s="37" t="n">
        <v>86.42</v>
      </c>
      <c r="BK601" s="37" t="n">
        <v>88.09999999999999</v>
      </c>
      <c r="BL601" s="37" t="n">
        <v>88.3</v>
      </c>
      <c r="BM601" s="37" t="n">
        <v>85.92999999999999</v>
      </c>
      <c r="BN601" s="37" t="n">
        <v>69.48999999999999</v>
      </c>
      <c r="BO601" s="37" t="n">
        <v>103.2</v>
      </c>
      <c r="BP601" s="37" t="n">
        <v>87.13</v>
      </c>
      <c r="BQ601" s="37" t="n">
        <v>86.14</v>
      </c>
      <c r="BR601" s="37" t="n">
        <v>88.09999999999999</v>
      </c>
      <c r="BS601" s="37" t="n">
        <v>88.3</v>
      </c>
      <c r="BT601" s="37" t="n">
        <v>85.92999999999999</v>
      </c>
      <c r="BU601" s="37" t="n">
        <v>69.48999999999999</v>
      </c>
      <c r="BV601" s="37" t="n">
        <v>103.2</v>
      </c>
      <c r="BW601" s="37" t="n">
        <v>87.13</v>
      </c>
      <c r="BX601" s="37" t="n">
        <v>86.14</v>
      </c>
      <c r="BY601" s="37" t="n">
        <v>88.09999999999999</v>
      </c>
      <c r="BZ601" s="37" t="n">
        <v>88.3</v>
      </c>
      <c r="CA601" s="37" t="n">
        <v>85.92999999999999</v>
      </c>
      <c r="CB601" s="37" t="n">
        <v>69.48999999999999</v>
      </c>
      <c r="CC601" s="37" t="n">
        <v>6265.380000000004</v>
      </c>
    </row>
    <row r="602" ht="15.75" customHeight="1" s="57">
      <c r="A602" s="7" t="inlineStr">
        <is>
          <t>NTB</t>
        </is>
      </c>
      <c r="B602" s="7" t="inlineStr">
        <is>
          <t>Đắk Nông</t>
        </is>
      </c>
      <c r="C602" s="7" t="n">
        <v>21364000</v>
      </c>
      <c r="D602" s="7" t="inlineStr">
        <is>
          <t>(DNO) Quảng Khê</t>
        </is>
      </c>
      <c r="E602" s="7" t="inlineStr">
        <is>
          <t>TTS-Bulky</t>
        </is>
      </c>
      <c r="F602" s="36" t="n">
        <v>1</v>
      </c>
      <c r="G602" s="36" t="n">
        <v>0</v>
      </c>
      <c r="H602" s="36" t="n">
        <v>0</v>
      </c>
      <c r="I602" s="36" t="n">
        <v>1</v>
      </c>
      <c r="J602" s="36" t="n">
        <v>1</v>
      </c>
      <c r="K602" s="28" t="n">
        <v>1</v>
      </c>
      <c r="L602" s="36" t="n">
        <v>0</v>
      </c>
      <c r="M602" s="36" t="n">
        <v>2</v>
      </c>
      <c r="N602" s="36" t="n">
        <v>3</v>
      </c>
      <c r="O602" s="36" t="n">
        <v>3</v>
      </c>
      <c r="P602" s="36" t="n">
        <v>1</v>
      </c>
      <c r="Q602" s="36" t="n">
        <v>1</v>
      </c>
      <c r="R602" s="28" t="n">
        <v>1</v>
      </c>
      <c r="S602" s="36" t="n">
        <v>0</v>
      </c>
      <c r="T602" s="36" t="n">
        <v>0</v>
      </c>
      <c r="U602" s="36" t="n">
        <v>3.31</v>
      </c>
      <c r="V602" s="36" t="n">
        <v>3.57</v>
      </c>
      <c r="W602" s="36" t="n">
        <v>1.7</v>
      </c>
      <c r="X602" s="36" t="n">
        <v>1.02</v>
      </c>
      <c r="Y602" s="28" t="n">
        <v>2.17</v>
      </c>
      <c r="Z602" s="36" t="n">
        <v>1.66</v>
      </c>
      <c r="AA602" s="36" t="n">
        <v>1.78</v>
      </c>
      <c r="AB602" s="36" t="n">
        <v>1.91</v>
      </c>
      <c r="AC602" s="36" t="n">
        <v>1.95</v>
      </c>
      <c r="AD602" s="36" t="n">
        <v>1.7</v>
      </c>
      <c r="AE602" s="36" t="n">
        <v>1.23</v>
      </c>
      <c r="AF602" s="28" t="n">
        <v>2.29</v>
      </c>
      <c r="AG602" s="36" t="n">
        <v>1.7</v>
      </c>
      <c r="AH602" s="37" t="n">
        <v>1.66</v>
      </c>
      <c r="AI602" s="37" t="n">
        <v>1.78</v>
      </c>
      <c r="AJ602" s="37" t="n">
        <v>1.91</v>
      </c>
      <c r="AK602" s="37" t="n">
        <v>2</v>
      </c>
      <c r="AL602" s="37" t="n">
        <v>1.02</v>
      </c>
      <c r="AM602" s="37" t="n">
        <v>2.21</v>
      </c>
      <c r="AN602" s="37" t="n">
        <v>1.61</v>
      </c>
      <c r="AO602" s="37" t="n">
        <v>1.7</v>
      </c>
      <c r="AP602" s="37" t="n">
        <v>1.66</v>
      </c>
      <c r="AQ602" s="37" t="n">
        <v>1.83</v>
      </c>
      <c r="AR602" s="37" t="n">
        <v>1.7</v>
      </c>
      <c r="AS602" s="37" t="n">
        <v>1.02</v>
      </c>
      <c r="AT602" s="37" t="n">
        <v>2.34</v>
      </c>
      <c r="AU602" s="37" t="n">
        <v>1.87</v>
      </c>
      <c r="AV602" s="37" t="n">
        <v>1.7</v>
      </c>
      <c r="AW602" s="37" t="n">
        <v>1.61</v>
      </c>
      <c r="AX602" s="37" t="n">
        <v>1.83</v>
      </c>
      <c r="AY602" s="37" t="n">
        <v>1.7</v>
      </c>
      <c r="AZ602" s="37" t="n">
        <v>1.02</v>
      </c>
      <c r="BA602" s="37" t="n">
        <v>2</v>
      </c>
      <c r="BB602" s="37" t="n">
        <v>0.47</v>
      </c>
      <c r="BC602" s="37" t="n">
        <v>0.21</v>
      </c>
      <c r="BD602" s="37" t="n">
        <v>0.34</v>
      </c>
      <c r="BE602" s="37" t="n">
        <v>0.47</v>
      </c>
      <c r="BF602" s="37" t="n">
        <v>0.47</v>
      </c>
      <c r="BG602" s="37" t="n">
        <v>0.3</v>
      </c>
      <c r="BH602" s="37" t="n">
        <v>0.64</v>
      </c>
      <c r="BI602" s="37" t="n">
        <v>0.47</v>
      </c>
      <c r="BJ602" s="37" t="n">
        <v>0.42</v>
      </c>
      <c r="BK602" s="37" t="n">
        <v>0.47</v>
      </c>
      <c r="BL602" s="37" t="n">
        <v>0.47</v>
      </c>
      <c r="BM602" s="37" t="n">
        <v>0.47</v>
      </c>
      <c r="BN602" s="37" t="n">
        <v>0.34</v>
      </c>
      <c r="BO602" s="37" t="n">
        <v>0.68</v>
      </c>
      <c r="BP602" s="37" t="n">
        <v>0.55</v>
      </c>
      <c r="BQ602" s="37" t="n">
        <v>0.47</v>
      </c>
      <c r="BR602" s="37" t="n">
        <v>0.47</v>
      </c>
      <c r="BS602" s="37" t="n">
        <v>0.47</v>
      </c>
      <c r="BT602" s="37" t="n">
        <v>0.47</v>
      </c>
      <c r="BU602" s="37" t="n">
        <v>0.25</v>
      </c>
      <c r="BV602" s="37" t="n">
        <v>0.59</v>
      </c>
      <c r="BW602" s="37" t="n">
        <v>0.47</v>
      </c>
      <c r="BX602" s="37" t="n">
        <v>0.47</v>
      </c>
      <c r="BY602" s="37" t="n">
        <v>0.47</v>
      </c>
      <c r="BZ602" s="37" t="n">
        <v>0.47</v>
      </c>
      <c r="CA602" s="37" t="n">
        <v>0.47</v>
      </c>
      <c r="CB602" s="37" t="n">
        <v>0.25</v>
      </c>
      <c r="CC602" s="37" t="n">
        <v>87.25</v>
      </c>
    </row>
    <row r="603" ht="15.75" customHeight="1" s="57">
      <c r="A603" s="7" t="inlineStr">
        <is>
          <t>NTB</t>
        </is>
      </c>
      <c r="B603" s="7" t="inlineStr">
        <is>
          <t>Đắk Nông</t>
        </is>
      </c>
      <c r="C603" s="7" t="n">
        <v>21477000</v>
      </c>
      <c r="D603" s="7" t="inlineStr">
        <is>
          <t>(DNO) Đức An</t>
        </is>
      </c>
      <c r="E603" s="7" t="inlineStr">
        <is>
          <t>SME</t>
        </is>
      </c>
      <c r="F603" s="36" t="n">
        <v>166</v>
      </c>
      <c r="G603" s="36" t="n">
        <v>195</v>
      </c>
      <c r="H603" s="36" t="n">
        <v>184</v>
      </c>
      <c r="I603" s="36" t="n">
        <v>186</v>
      </c>
      <c r="J603" s="36" t="n">
        <v>183</v>
      </c>
      <c r="K603" s="28" t="n">
        <v>179</v>
      </c>
      <c r="L603" s="36" t="n">
        <v>104</v>
      </c>
      <c r="M603" s="36" t="n">
        <v>109</v>
      </c>
      <c r="N603" s="36" t="n">
        <v>181</v>
      </c>
      <c r="O603" s="36" t="n">
        <v>134</v>
      </c>
      <c r="P603" s="36" t="n">
        <v>188</v>
      </c>
      <c r="Q603" s="36" t="n">
        <v>129</v>
      </c>
      <c r="R603" s="28" t="n">
        <v>126</v>
      </c>
      <c r="S603" s="36" t="n">
        <v>103</v>
      </c>
      <c r="T603" s="36" t="n">
        <v>184</v>
      </c>
      <c r="U603" s="36" t="n">
        <v>200.96</v>
      </c>
      <c r="V603" s="36" t="n">
        <v>207.48</v>
      </c>
      <c r="W603" s="36" t="n">
        <v>202.24</v>
      </c>
      <c r="X603" s="36" t="n">
        <v>165.04</v>
      </c>
      <c r="Y603" s="28" t="n">
        <v>223.88</v>
      </c>
      <c r="Z603" s="36" t="n">
        <v>205.89</v>
      </c>
      <c r="AA603" s="36" t="n">
        <v>201.64</v>
      </c>
      <c r="AB603" s="36" t="n">
        <v>200.96</v>
      </c>
      <c r="AC603" s="36" t="n">
        <v>207.48</v>
      </c>
      <c r="AD603" s="36" t="n">
        <v>209.88</v>
      </c>
      <c r="AE603" s="36" t="n">
        <v>165.04</v>
      </c>
      <c r="AF603" s="28" t="n">
        <v>223.88</v>
      </c>
      <c r="AG603" s="36" t="n">
        <v>205.89</v>
      </c>
      <c r="AH603" s="37" t="n">
        <v>201.64</v>
      </c>
      <c r="AI603" s="37" t="n">
        <v>200.96</v>
      </c>
      <c r="AJ603" s="37" t="n">
        <v>207.48</v>
      </c>
      <c r="AK603" s="37" t="n">
        <v>202.24</v>
      </c>
      <c r="AL603" s="37" t="n">
        <v>165.04</v>
      </c>
      <c r="AM603" s="37" t="n">
        <v>223.88</v>
      </c>
      <c r="AN603" s="37" t="n">
        <v>205.89</v>
      </c>
      <c r="AO603" s="37" t="n">
        <v>201.64</v>
      </c>
      <c r="AP603" s="37" t="n">
        <v>200.96</v>
      </c>
      <c r="AQ603" s="37" t="n">
        <v>207.48</v>
      </c>
      <c r="AR603" s="37" t="n">
        <v>202.24</v>
      </c>
      <c r="AS603" s="37" t="n">
        <v>165.04</v>
      </c>
      <c r="AT603" s="37" t="n">
        <v>223.88</v>
      </c>
      <c r="AU603" s="37" t="n">
        <v>205.89</v>
      </c>
      <c r="AV603" s="37" t="n">
        <v>201.64</v>
      </c>
      <c r="AW603" s="37" t="n">
        <v>200.96</v>
      </c>
      <c r="AX603" s="37" t="n">
        <v>207.48</v>
      </c>
      <c r="AY603" s="37" t="n">
        <v>202.24</v>
      </c>
      <c r="AZ603" s="37" t="n">
        <v>165.04</v>
      </c>
      <c r="BA603" s="37" t="n">
        <v>201.72</v>
      </c>
      <c r="BB603" s="37" t="n">
        <v>180.68</v>
      </c>
      <c r="BC603" s="37" t="n">
        <v>113.79</v>
      </c>
      <c r="BD603" s="37" t="n">
        <v>113.56</v>
      </c>
      <c r="BE603" s="37" t="n">
        <v>192.06</v>
      </c>
      <c r="BF603" s="37" t="n">
        <v>187.13</v>
      </c>
      <c r="BG603" s="37" t="n">
        <v>170.2</v>
      </c>
      <c r="BH603" s="37" t="n">
        <v>230.41</v>
      </c>
      <c r="BI603" s="37" t="n">
        <v>212.03</v>
      </c>
      <c r="BJ603" s="37" t="n">
        <v>215.11</v>
      </c>
      <c r="BK603" s="37" t="n">
        <v>206.87</v>
      </c>
      <c r="BL603" s="37" t="n">
        <v>213.7</v>
      </c>
      <c r="BM603" s="37" t="n">
        <v>208.39</v>
      </c>
      <c r="BN603" s="37" t="n">
        <v>170.2</v>
      </c>
      <c r="BO603" s="37" t="n">
        <v>230.41</v>
      </c>
      <c r="BP603" s="37" t="n">
        <v>212.03</v>
      </c>
      <c r="BQ603" s="37" t="n">
        <v>207.78</v>
      </c>
      <c r="BR603" s="37" t="n">
        <v>206.87</v>
      </c>
      <c r="BS603" s="37" t="n">
        <v>213.7</v>
      </c>
      <c r="BT603" s="37" t="n">
        <v>208.39</v>
      </c>
      <c r="BU603" s="37" t="n">
        <v>170.2</v>
      </c>
      <c r="BV603" s="37" t="n">
        <v>230.41</v>
      </c>
      <c r="BW603" s="37" t="n">
        <v>212.03</v>
      </c>
      <c r="BX603" s="37" t="n">
        <v>207.78</v>
      </c>
      <c r="BY603" s="37" t="n">
        <v>206.87</v>
      </c>
      <c r="BZ603" s="37" t="n">
        <v>213.7</v>
      </c>
      <c r="CA603" s="37" t="n">
        <v>208.39</v>
      </c>
      <c r="CB603" s="37" t="n">
        <v>170.2</v>
      </c>
      <c r="CC603" s="37" t="n">
        <v>14277.49000000001</v>
      </c>
    </row>
    <row r="604" ht="15.75" customHeight="1" s="57">
      <c r="A604" s="7" t="inlineStr">
        <is>
          <t>NTB</t>
        </is>
      </c>
      <c r="B604" s="7" t="inlineStr">
        <is>
          <t>Đắk Nông</t>
        </is>
      </c>
      <c r="C604" s="7" t="n">
        <v>21477000</v>
      </c>
      <c r="D604" s="7" t="inlineStr">
        <is>
          <t>(DNO) Đức An</t>
        </is>
      </c>
      <c r="E604" s="7" t="inlineStr">
        <is>
          <t>SME-Bulky</t>
        </is>
      </c>
      <c r="F604" s="36" t="n">
        <v>12</v>
      </c>
      <c r="G604" s="36" t="n">
        <v>13</v>
      </c>
      <c r="H604" s="36" t="n">
        <v>18</v>
      </c>
      <c r="I604" s="36" t="n">
        <v>9</v>
      </c>
      <c r="J604" s="36" t="n">
        <v>18</v>
      </c>
      <c r="K604" s="28" t="n">
        <v>15</v>
      </c>
      <c r="L604" s="36" t="n">
        <v>6</v>
      </c>
      <c r="M604" s="36" t="n">
        <v>18</v>
      </c>
      <c r="N604" s="36" t="n">
        <v>13</v>
      </c>
      <c r="O604" s="36" t="n">
        <v>22</v>
      </c>
      <c r="P604" s="36" t="n">
        <v>14</v>
      </c>
      <c r="Q604" s="36" t="n">
        <v>15</v>
      </c>
      <c r="R604" s="28" t="n">
        <v>10</v>
      </c>
      <c r="S604" s="36" t="n">
        <v>5</v>
      </c>
      <c r="T604" s="36" t="n">
        <v>17</v>
      </c>
      <c r="U604" s="36" t="n">
        <v>15.08</v>
      </c>
      <c r="V604" s="36" t="n">
        <v>15.01</v>
      </c>
      <c r="W604" s="36" t="n">
        <v>14</v>
      </c>
      <c r="X604" s="36" t="n">
        <v>9.82</v>
      </c>
      <c r="Y604" s="28" t="n">
        <v>16.71</v>
      </c>
      <c r="Z604" s="36" t="n">
        <v>16.32</v>
      </c>
      <c r="AA604" s="36" t="n">
        <v>15.39</v>
      </c>
      <c r="AB604" s="36" t="n">
        <v>15.08</v>
      </c>
      <c r="AC604" s="36" t="n">
        <v>15.01</v>
      </c>
      <c r="AD604" s="36" t="n">
        <v>13.54</v>
      </c>
      <c r="AE604" s="36" t="n">
        <v>9.82</v>
      </c>
      <c r="AF604" s="28" t="n">
        <v>16.71</v>
      </c>
      <c r="AG604" s="36" t="n">
        <v>16.32</v>
      </c>
      <c r="AH604" s="37" t="n">
        <v>15.39</v>
      </c>
      <c r="AI604" s="37" t="n">
        <v>15.08</v>
      </c>
      <c r="AJ604" s="37" t="n">
        <v>15.01</v>
      </c>
      <c r="AK604" s="37" t="n">
        <v>14</v>
      </c>
      <c r="AL604" s="37" t="n">
        <v>9.82</v>
      </c>
      <c r="AM604" s="37" t="n">
        <v>16.71</v>
      </c>
      <c r="AN604" s="37" t="n">
        <v>16.32</v>
      </c>
      <c r="AO604" s="37" t="n">
        <v>15.39</v>
      </c>
      <c r="AP604" s="37" t="n">
        <v>15.08</v>
      </c>
      <c r="AQ604" s="37" t="n">
        <v>15.01</v>
      </c>
      <c r="AR604" s="37" t="n">
        <v>14</v>
      </c>
      <c r="AS604" s="37" t="n">
        <v>9.82</v>
      </c>
      <c r="AT604" s="37" t="n">
        <v>16.71</v>
      </c>
      <c r="AU604" s="37" t="n">
        <v>16.32</v>
      </c>
      <c r="AV604" s="37" t="n">
        <v>15.39</v>
      </c>
      <c r="AW604" s="37" t="n">
        <v>15.08</v>
      </c>
      <c r="AX604" s="37" t="n">
        <v>15.01</v>
      </c>
      <c r="AY604" s="37" t="n">
        <v>14</v>
      </c>
      <c r="AZ604" s="37" t="n">
        <v>9.82</v>
      </c>
      <c r="BA604" s="37" t="n">
        <v>16.55</v>
      </c>
      <c r="BB604" s="37" t="n">
        <v>8.9</v>
      </c>
      <c r="BC604" s="37" t="n">
        <v>4.56</v>
      </c>
      <c r="BD604" s="37" t="n">
        <v>4.1</v>
      </c>
      <c r="BE604" s="37" t="n">
        <v>7.74</v>
      </c>
      <c r="BF604" s="37" t="n">
        <v>7.27</v>
      </c>
      <c r="BG604" s="37" t="n">
        <v>5.8</v>
      </c>
      <c r="BH604" s="37" t="n">
        <v>9.59</v>
      </c>
      <c r="BI604" s="37" t="n">
        <v>9.51</v>
      </c>
      <c r="BJ604" s="37" t="n">
        <v>8.74</v>
      </c>
      <c r="BK604" s="37" t="n">
        <v>8.82</v>
      </c>
      <c r="BL604" s="37" t="n">
        <v>8.82</v>
      </c>
      <c r="BM604" s="37" t="n">
        <v>8.279999999999999</v>
      </c>
      <c r="BN604" s="37" t="n">
        <v>5.8</v>
      </c>
      <c r="BO604" s="37" t="n">
        <v>9.59</v>
      </c>
      <c r="BP604" s="37" t="n">
        <v>9.51</v>
      </c>
      <c r="BQ604" s="37" t="n">
        <v>8.9</v>
      </c>
      <c r="BR604" s="37" t="n">
        <v>8.82</v>
      </c>
      <c r="BS604" s="37" t="n">
        <v>8.82</v>
      </c>
      <c r="BT604" s="37" t="n">
        <v>8.279999999999999</v>
      </c>
      <c r="BU604" s="37" t="n">
        <v>5.8</v>
      </c>
      <c r="BV604" s="37" t="n">
        <v>9.59</v>
      </c>
      <c r="BW604" s="37" t="n">
        <v>9.51</v>
      </c>
      <c r="BX604" s="37" t="n">
        <v>8.9</v>
      </c>
      <c r="BY604" s="37" t="n">
        <v>8.82</v>
      </c>
      <c r="BZ604" s="37" t="n">
        <v>8.82</v>
      </c>
      <c r="CA604" s="37" t="n">
        <v>8.279999999999999</v>
      </c>
      <c r="CB604" s="37" t="n">
        <v>5.8</v>
      </c>
      <c r="CC604" s="37" t="n">
        <v>901.6900000000001</v>
      </c>
    </row>
    <row r="605" ht="15.75" customHeight="1" s="57">
      <c r="A605" s="7" t="inlineStr">
        <is>
          <t>NTB</t>
        </is>
      </c>
      <c r="B605" s="7" t="inlineStr">
        <is>
          <t>Đắk Nông</t>
        </is>
      </c>
      <c r="C605" s="7" t="n">
        <v>21477000</v>
      </c>
      <c r="D605" s="7" t="inlineStr">
        <is>
          <t>(DNO) Đức An</t>
        </is>
      </c>
      <c r="E605" s="7" t="inlineStr">
        <is>
          <t>Shopee</t>
        </is>
      </c>
      <c r="F605" s="36" t="n">
        <v>144</v>
      </c>
      <c r="G605" s="36" t="n">
        <v>105</v>
      </c>
      <c r="H605" s="36" t="n">
        <v>129</v>
      </c>
      <c r="I605" s="36" t="n">
        <v>107</v>
      </c>
      <c r="J605" s="36" t="n">
        <v>110</v>
      </c>
      <c r="K605" s="28" t="n">
        <v>79</v>
      </c>
      <c r="L605" s="36" t="n">
        <v>51</v>
      </c>
      <c r="M605" s="36" t="n">
        <v>65</v>
      </c>
      <c r="N605" s="36" t="n">
        <v>175</v>
      </c>
      <c r="O605" s="36" t="n">
        <v>96</v>
      </c>
      <c r="P605" s="36" t="n">
        <v>99</v>
      </c>
      <c r="Q605" s="36" t="n">
        <v>64</v>
      </c>
      <c r="R605" s="28" t="n">
        <v>54</v>
      </c>
      <c r="S605" s="36" t="n">
        <v>56</v>
      </c>
      <c r="T605" s="36" t="n">
        <v>86</v>
      </c>
      <c r="U605" s="36" t="n">
        <v>106.55</v>
      </c>
      <c r="V605" s="36" t="n">
        <v>106.83</v>
      </c>
      <c r="W605" s="36" t="n">
        <v>105.43</v>
      </c>
      <c r="X605" s="36" t="n">
        <v>85.78</v>
      </c>
      <c r="Y605" s="28" t="n">
        <v>143.25</v>
      </c>
      <c r="Z605" s="36" t="n">
        <v>113.63</v>
      </c>
      <c r="AA605" s="36" t="n">
        <v>156.19</v>
      </c>
      <c r="AB605" s="36" t="n">
        <v>108.6</v>
      </c>
      <c r="AC605" s="36" t="n">
        <v>87.73999999999999</v>
      </c>
      <c r="AD605" s="36" t="n">
        <v>200.15</v>
      </c>
      <c r="AE605" s="36" t="n">
        <v>92.02</v>
      </c>
      <c r="AF605" s="28" t="n">
        <v>163.83</v>
      </c>
      <c r="AG605" s="36" t="n">
        <v>119.03</v>
      </c>
      <c r="AH605" s="37" t="n">
        <v>125.83</v>
      </c>
      <c r="AI605" s="37" t="n">
        <v>106.55</v>
      </c>
      <c r="AJ605" s="37" t="n">
        <v>106.83</v>
      </c>
      <c r="AK605" s="37" t="n">
        <v>142.13</v>
      </c>
      <c r="AL605" s="37" t="n">
        <v>153.96</v>
      </c>
      <c r="AM605" s="37" t="n">
        <v>143.25</v>
      </c>
      <c r="AN605" s="37" t="n">
        <v>113.63</v>
      </c>
      <c r="AO605" s="37" t="n">
        <v>125.83</v>
      </c>
      <c r="AP605" s="37" t="n">
        <v>133.28</v>
      </c>
      <c r="AQ605" s="37" t="n">
        <v>85.78</v>
      </c>
      <c r="AR605" s="37" t="n">
        <v>105.43</v>
      </c>
      <c r="AS605" s="37" t="n">
        <v>85.78</v>
      </c>
      <c r="AT605" s="37" t="n">
        <v>143.25</v>
      </c>
      <c r="AU605" s="37" t="n">
        <v>115.77</v>
      </c>
      <c r="AV605" s="37" t="n">
        <v>128.44</v>
      </c>
      <c r="AW605" s="37" t="n">
        <v>106.55</v>
      </c>
      <c r="AX605" s="37" t="n">
        <v>106.83</v>
      </c>
      <c r="AY605" s="37" t="n">
        <v>105.43</v>
      </c>
      <c r="AZ605" s="37" t="n">
        <v>85.78</v>
      </c>
      <c r="BA605" s="37" t="n">
        <v>110.55</v>
      </c>
      <c r="BB605" s="37" t="n">
        <v>96.3</v>
      </c>
      <c r="BC605" s="37" t="n">
        <v>49.18</v>
      </c>
      <c r="BD605" s="37" t="n">
        <v>87.64</v>
      </c>
      <c r="BE605" s="37" t="n">
        <v>101.8</v>
      </c>
      <c r="BF605" s="37" t="n">
        <v>100.59</v>
      </c>
      <c r="BG605" s="37" t="n">
        <v>83.54000000000001</v>
      </c>
      <c r="BH605" s="37" t="n">
        <v>136.45</v>
      </c>
      <c r="BI605" s="37" t="n">
        <v>89.31999999999999</v>
      </c>
      <c r="BJ605" s="37" t="n">
        <v>284.53</v>
      </c>
      <c r="BK605" s="37" t="n">
        <v>108.6</v>
      </c>
      <c r="BL605" s="37" t="n">
        <v>107.01</v>
      </c>
      <c r="BM605" s="37" t="n">
        <v>100.59</v>
      </c>
      <c r="BN605" s="37" t="n">
        <v>81.95999999999999</v>
      </c>
      <c r="BO605" s="37" t="n">
        <v>136.45</v>
      </c>
      <c r="BP605" s="37" t="n">
        <v>146.32</v>
      </c>
      <c r="BQ605" s="37" t="n">
        <v>215.33</v>
      </c>
      <c r="BR605" s="37" t="n">
        <v>101.52</v>
      </c>
      <c r="BS605" s="37" t="n">
        <v>101.8</v>
      </c>
      <c r="BT605" s="37" t="n">
        <v>100.59</v>
      </c>
      <c r="BU605" s="37" t="n">
        <v>102.08</v>
      </c>
      <c r="BV605" s="37" t="n">
        <v>109.44</v>
      </c>
      <c r="BW605" s="37" t="n">
        <v>108.23</v>
      </c>
      <c r="BX605" s="37" t="n">
        <v>119.68</v>
      </c>
      <c r="BY605" s="37" t="n">
        <v>101.52</v>
      </c>
      <c r="BZ605" s="37" t="n">
        <v>104.03</v>
      </c>
      <c r="CA605" s="37" t="n">
        <v>102.45</v>
      </c>
      <c r="CB605" s="37" t="n">
        <v>81.95999999999999</v>
      </c>
      <c r="CC605" s="37" t="n">
        <v>8398.820000000002</v>
      </c>
    </row>
    <row r="606" ht="15.75" customHeight="1" s="57">
      <c r="A606" s="7" t="inlineStr">
        <is>
          <t>NTB</t>
        </is>
      </c>
      <c r="B606" s="7" t="inlineStr">
        <is>
          <t>Đắk Nông</t>
        </is>
      </c>
      <c r="C606" s="7" t="n">
        <v>21477000</v>
      </c>
      <c r="D606" s="7" t="inlineStr">
        <is>
          <t>(DNO) Đức An</t>
        </is>
      </c>
      <c r="E606" s="7" t="inlineStr">
        <is>
          <t>Shopee-Bulky</t>
        </is>
      </c>
      <c r="F606" s="36" t="n">
        <v>12.99</v>
      </c>
      <c r="G606" s="36" t="n">
        <v>9.1</v>
      </c>
      <c r="H606" s="36" t="n">
        <v>20.14</v>
      </c>
      <c r="I606" s="36" t="n">
        <v>18.19</v>
      </c>
      <c r="J606" s="36" t="n">
        <v>18.19</v>
      </c>
      <c r="K606" s="28" t="n">
        <v>11.04</v>
      </c>
      <c r="L606" s="36" t="n">
        <v>9.74</v>
      </c>
      <c r="M606" s="36" t="n">
        <v>7.15</v>
      </c>
      <c r="N606" s="36" t="n">
        <v>25.99</v>
      </c>
      <c r="O606" s="36" t="n">
        <v>12.99</v>
      </c>
      <c r="P606" s="36" t="n">
        <v>14.94</v>
      </c>
      <c r="Q606" s="36" t="n">
        <v>12.34</v>
      </c>
      <c r="R606" s="28" t="n">
        <v>2.6</v>
      </c>
      <c r="S606" s="36" t="n">
        <v>7.8</v>
      </c>
      <c r="T606" s="36" t="n">
        <v>16.89</v>
      </c>
      <c r="U606" s="36" t="n">
        <v>11.98</v>
      </c>
      <c r="V606" s="36" t="n">
        <v>11.12</v>
      </c>
      <c r="W606" s="36" t="n">
        <v>15.49</v>
      </c>
      <c r="X606" s="36" t="n">
        <v>8.75</v>
      </c>
      <c r="Y606" s="28" t="n">
        <v>17.57</v>
      </c>
      <c r="Z606" s="36" t="n">
        <v>13.91</v>
      </c>
      <c r="AA606" s="36" t="n">
        <v>13.41</v>
      </c>
      <c r="AB606" s="36" t="n">
        <v>13.77</v>
      </c>
      <c r="AC606" s="36" t="n">
        <v>13.55</v>
      </c>
      <c r="AD606" s="36" t="n">
        <v>31.7</v>
      </c>
      <c r="AE606" s="36" t="n">
        <v>22.95</v>
      </c>
      <c r="AF606" s="28" t="n">
        <v>34.64</v>
      </c>
      <c r="AG606" s="36" t="n">
        <v>19.72</v>
      </c>
      <c r="AH606" s="37" t="n">
        <v>13.91</v>
      </c>
      <c r="AI606" s="37" t="n">
        <v>13.55</v>
      </c>
      <c r="AJ606" s="37" t="n">
        <v>12.34</v>
      </c>
      <c r="AK606" s="37" t="n">
        <v>29.69</v>
      </c>
      <c r="AL606" s="37" t="n">
        <v>14.34</v>
      </c>
      <c r="AM606" s="37" t="n">
        <v>22.09</v>
      </c>
      <c r="AN606" s="37" t="n">
        <v>13.77</v>
      </c>
      <c r="AO606" s="37" t="n">
        <v>13.2</v>
      </c>
      <c r="AP606" s="37" t="n">
        <v>18.07</v>
      </c>
      <c r="AQ606" s="37" t="n">
        <v>17.43</v>
      </c>
      <c r="AR606" s="37" t="n">
        <v>14.27</v>
      </c>
      <c r="AS606" s="37" t="n">
        <v>8.029999999999999</v>
      </c>
      <c r="AT606" s="37" t="n">
        <v>15.92</v>
      </c>
      <c r="AU606" s="37" t="n">
        <v>27.04</v>
      </c>
      <c r="AV606" s="37" t="n">
        <v>27.9</v>
      </c>
      <c r="AW606" s="37" t="n">
        <v>13.2</v>
      </c>
      <c r="AX606" s="37" t="n">
        <v>11.83</v>
      </c>
      <c r="AY606" s="37" t="n">
        <v>13.77</v>
      </c>
      <c r="AZ606" s="37" t="n">
        <v>7.6</v>
      </c>
      <c r="BA606" s="37" t="n">
        <v>14.7</v>
      </c>
      <c r="BB606" s="37" t="n">
        <v>13.63</v>
      </c>
      <c r="BC606" s="37" t="n">
        <v>4.09</v>
      </c>
      <c r="BD606" s="37" t="n">
        <v>11.76</v>
      </c>
      <c r="BE606" s="37" t="n">
        <v>13.91</v>
      </c>
      <c r="BF606" s="37" t="n">
        <v>12.26</v>
      </c>
      <c r="BG606" s="37" t="n">
        <v>9.970000000000001</v>
      </c>
      <c r="BH606" s="37" t="n">
        <v>19</v>
      </c>
      <c r="BI606" s="37" t="n">
        <v>16.14</v>
      </c>
      <c r="BJ606" s="37" t="n">
        <v>50.77</v>
      </c>
      <c r="BK606" s="37" t="n">
        <v>34.42</v>
      </c>
      <c r="BL606" s="37" t="n">
        <v>17.79</v>
      </c>
      <c r="BM606" s="37" t="n">
        <v>13.2</v>
      </c>
      <c r="BN606" s="37" t="n">
        <v>10.04</v>
      </c>
      <c r="BO606" s="37" t="n">
        <v>21.3</v>
      </c>
      <c r="BP606" s="37" t="n">
        <v>32.7</v>
      </c>
      <c r="BQ606" s="37" t="n">
        <v>23.16</v>
      </c>
      <c r="BR606" s="37" t="n">
        <v>15.13</v>
      </c>
      <c r="BS606" s="37" t="n">
        <v>13.91</v>
      </c>
      <c r="BT606" s="37" t="n">
        <v>12.26</v>
      </c>
      <c r="BU606" s="37" t="n">
        <v>14.49</v>
      </c>
      <c r="BV606" s="37" t="n">
        <v>19.72</v>
      </c>
      <c r="BW606" s="37" t="n">
        <v>16.14</v>
      </c>
      <c r="BX606" s="37" t="n">
        <v>15.28</v>
      </c>
      <c r="BY606" s="37" t="n">
        <v>15.13</v>
      </c>
      <c r="BZ606" s="37" t="n">
        <v>26.32</v>
      </c>
      <c r="CA606" s="37" t="n">
        <v>14.27</v>
      </c>
      <c r="CB606" s="37" t="n">
        <v>9.539999999999999</v>
      </c>
      <c r="CC606" s="37" t="n">
        <v>1227.63</v>
      </c>
    </row>
    <row r="607" ht="15.75" customHeight="1" s="57">
      <c r="A607" s="7" t="inlineStr">
        <is>
          <t>NTB</t>
        </is>
      </c>
      <c r="B607" s="7" t="inlineStr">
        <is>
          <t>Đắk Nông</t>
        </is>
      </c>
      <c r="C607" s="7" t="n">
        <v>21477000</v>
      </c>
      <c r="D607" s="7" t="inlineStr">
        <is>
          <t>(DNO) Đức An</t>
        </is>
      </c>
      <c r="E607" s="7" t="inlineStr">
        <is>
          <t>Shopee-Bulky (10-15kg)</t>
        </is>
      </c>
      <c r="F607" s="36" t="n">
        <v>7.01</v>
      </c>
      <c r="G607" s="36" t="n">
        <v>4.9</v>
      </c>
      <c r="H607" s="36" t="n">
        <v>10.86</v>
      </c>
      <c r="I607" s="36" t="n">
        <v>9.81</v>
      </c>
      <c r="J607" s="36" t="n">
        <v>9.81</v>
      </c>
      <c r="K607" s="28" t="n">
        <v>5.96</v>
      </c>
      <c r="L607" s="36" t="n">
        <v>5.26</v>
      </c>
      <c r="M607" s="36" t="n">
        <v>3.85</v>
      </c>
      <c r="N607" s="36" t="n">
        <v>14.01</v>
      </c>
      <c r="O607" s="36" t="n">
        <v>7.01</v>
      </c>
      <c r="P607" s="36" t="n">
        <v>8.06</v>
      </c>
      <c r="Q607" s="36" t="n">
        <v>6.66</v>
      </c>
      <c r="R607" s="28" t="n">
        <v>1.4</v>
      </c>
      <c r="S607" s="36" t="n">
        <v>4.2</v>
      </c>
      <c r="T607" s="36" t="n">
        <v>9.109999999999999</v>
      </c>
      <c r="U607" s="36" t="n">
        <v>6.24</v>
      </c>
      <c r="V607" s="36" t="n">
        <v>6.02</v>
      </c>
      <c r="W607" s="36" t="n">
        <v>8.32</v>
      </c>
      <c r="X607" s="36" t="n">
        <v>4.88</v>
      </c>
      <c r="Y607" s="28" t="n">
        <v>9.039999999999999</v>
      </c>
      <c r="Z607" s="36" t="n">
        <v>6.96</v>
      </c>
      <c r="AA607" s="36" t="n">
        <v>6.81</v>
      </c>
      <c r="AB607" s="36" t="n">
        <v>6.96</v>
      </c>
      <c r="AC607" s="36" t="n">
        <v>7.1</v>
      </c>
      <c r="AD607" s="36" t="n">
        <v>29.26</v>
      </c>
      <c r="AE607" s="36" t="n">
        <v>12.26</v>
      </c>
      <c r="AF607" s="28" t="n">
        <v>17.93</v>
      </c>
      <c r="AG607" s="36" t="n">
        <v>10.04</v>
      </c>
      <c r="AH607" s="37" t="n">
        <v>6.96</v>
      </c>
      <c r="AI607" s="37" t="n">
        <v>7.03</v>
      </c>
      <c r="AJ607" s="37" t="n">
        <v>6.31</v>
      </c>
      <c r="AK607" s="37" t="n">
        <v>16.42</v>
      </c>
      <c r="AL607" s="37" t="n">
        <v>7.6</v>
      </c>
      <c r="AM607" s="37" t="n">
        <v>11.33</v>
      </c>
      <c r="AN607" s="37" t="n">
        <v>6.88</v>
      </c>
      <c r="AO607" s="37" t="n">
        <v>6.81</v>
      </c>
      <c r="AP607" s="37" t="n">
        <v>9.039999999999999</v>
      </c>
      <c r="AQ607" s="37" t="n">
        <v>9.109999999999999</v>
      </c>
      <c r="AR607" s="37" t="n">
        <v>7.67</v>
      </c>
      <c r="AS607" s="37" t="n">
        <v>4.45</v>
      </c>
      <c r="AT607" s="37" t="n">
        <v>8.25</v>
      </c>
      <c r="AU607" s="37" t="n">
        <v>15.06</v>
      </c>
      <c r="AV607" s="37" t="n">
        <v>14.63</v>
      </c>
      <c r="AW607" s="37" t="n">
        <v>6.45</v>
      </c>
      <c r="AX607" s="37" t="n">
        <v>6.1</v>
      </c>
      <c r="AY607" s="37" t="n">
        <v>7.46</v>
      </c>
      <c r="AZ607" s="37" t="n">
        <v>4.16</v>
      </c>
      <c r="BA607" s="37" t="n">
        <v>7.67</v>
      </c>
      <c r="BB607" s="37" t="n">
        <v>7.17</v>
      </c>
      <c r="BC607" s="37" t="n">
        <v>1.79</v>
      </c>
      <c r="BD607" s="37" t="n">
        <v>6.38</v>
      </c>
      <c r="BE607" s="37" t="n">
        <v>7.31</v>
      </c>
      <c r="BF607" s="37" t="n">
        <v>6.67</v>
      </c>
      <c r="BG607" s="37" t="n">
        <v>5.81</v>
      </c>
      <c r="BH607" s="37" t="n">
        <v>9.970000000000001</v>
      </c>
      <c r="BI607" s="37" t="n">
        <v>8.32</v>
      </c>
      <c r="BJ607" s="37" t="n">
        <v>40.81</v>
      </c>
      <c r="BK607" s="37" t="n">
        <v>18.79</v>
      </c>
      <c r="BL607" s="37" t="n">
        <v>9.109999999999999</v>
      </c>
      <c r="BM607" s="37" t="n">
        <v>6.88</v>
      </c>
      <c r="BN607" s="37" t="n">
        <v>5.67</v>
      </c>
      <c r="BO607" s="37" t="n">
        <v>11.19</v>
      </c>
      <c r="BP607" s="37" t="n">
        <v>17.5</v>
      </c>
      <c r="BQ607" s="37" t="n">
        <v>11.98</v>
      </c>
      <c r="BR607" s="37" t="n">
        <v>7.75</v>
      </c>
      <c r="BS607" s="37" t="n">
        <v>7.31</v>
      </c>
      <c r="BT607" s="37" t="n">
        <v>6.67</v>
      </c>
      <c r="BU607" s="37" t="n">
        <v>7.46</v>
      </c>
      <c r="BV607" s="37" t="n">
        <v>10.26</v>
      </c>
      <c r="BW607" s="37" t="n">
        <v>8.32</v>
      </c>
      <c r="BX607" s="37" t="n">
        <v>8.029999999999999</v>
      </c>
      <c r="BY607" s="37" t="n">
        <v>7.75</v>
      </c>
      <c r="BZ607" s="37" t="n">
        <v>14.2</v>
      </c>
      <c r="CA607" s="37" t="n">
        <v>7.67</v>
      </c>
      <c r="CB607" s="37" t="n">
        <v>5.52</v>
      </c>
      <c r="CC607" s="37" t="n">
        <v>675.4100000000001</v>
      </c>
    </row>
    <row r="608" ht="15.75" customHeight="1" s="57">
      <c r="A608" s="7" t="inlineStr">
        <is>
          <t>NTB</t>
        </is>
      </c>
      <c r="B608" s="7" t="inlineStr">
        <is>
          <t>Đắk Nông</t>
        </is>
      </c>
      <c r="C608" s="7" t="n">
        <v>21477000</v>
      </c>
      <c r="D608" s="7" t="inlineStr">
        <is>
          <t>(DNO) Đức An</t>
        </is>
      </c>
      <c r="E608" s="7" t="inlineStr">
        <is>
          <t>TTS</t>
        </is>
      </c>
      <c r="F608" s="36" t="n">
        <v>177</v>
      </c>
      <c r="G608" s="36" t="n">
        <v>130</v>
      </c>
      <c r="H608" s="36" t="n">
        <v>144</v>
      </c>
      <c r="I608" s="36" t="n">
        <v>130</v>
      </c>
      <c r="J608" s="36" t="n">
        <v>141</v>
      </c>
      <c r="K608" s="28" t="n">
        <v>130</v>
      </c>
      <c r="L608" s="36" t="n">
        <v>76</v>
      </c>
      <c r="M608" s="36" t="n">
        <v>90</v>
      </c>
      <c r="N608" s="36" t="n">
        <v>168</v>
      </c>
      <c r="O608" s="36" t="n">
        <v>109</v>
      </c>
      <c r="P608" s="36" t="n">
        <v>171</v>
      </c>
      <c r="Q608" s="36" t="n">
        <v>103</v>
      </c>
      <c r="R608" s="28" t="n">
        <v>86</v>
      </c>
      <c r="S608" s="36" t="n">
        <v>99</v>
      </c>
      <c r="T608" s="36" t="n">
        <v>132</v>
      </c>
      <c r="U608" s="36" t="n">
        <v>129.86</v>
      </c>
      <c r="V608" s="36" t="n">
        <v>127.95</v>
      </c>
      <c r="W608" s="36" t="n">
        <v>124.89</v>
      </c>
      <c r="X608" s="36" t="n">
        <v>100.73</v>
      </c>
      <c r="Y608" s="28" t="n">
        <v>147.4</v>
      </c>
      <c r="Z608" s="36" t="n">
        <v>125.47</v>
      </c>
      <c r="AA608" s="36" t="n">
        <v>138.3</v>
      </c>
      <c r="AB608" s="36" t="n">
        <v>153.62</v>
      </c>
      <c r="AC608" s="36" t="n">
        <v>162.31</v>
      </c>
      <c r="AD608" s="36" t="n">
        <v>178.29</v>
      </c>
      <c r="AE608" s="36" t="n">
        <v>117.04</v>
      </c>
      <c r="AF608" s="28" t="n">
        <v>152.03</v>
      </c>
      <c r="AG608" s="36" t="n">
        <v>127.45</v>
      </c>
      <c r="AH608" s="37" t="n">
        <v>125.88</v>
      </c>
      <c r="AI608" s="37" t="n">
        <v>144.01</v>
      </c>
      <c r="AJ608" s="37" t="n">
        <v>154.61</v>
      </c>
      <c r="AK608" s="37" t="n">
        <v>152.46</v>
      </c>
      <c r="AL608" s="37" t="n">
        <v>108.68</v>
      </c>
      <c r="AM608" s="37" t="n">
        <v>149.72</v>
      </c>
      <c r="AN608" s="37" t="n">
        <v>129.03</v>
      </c>
      <c r="AO608" s="37" t="n">
        <v>127.79</v>
      </c>
      <c r="AP608" s="37" t="n">
        <v>124.4</v>
      </c>
      <c r="AQ608" s="37" t="n">
        <v>125.8</v>
      </c>
      <c r="AR608" s="37" t="n">
        <v>123.48</v>
      </c>
      <c r="AS608" s="37" t="n">
        <v>101.06</v>
      </c>
      <c r="AT608" s="37" t="n">
        <v>161.64</v>
      </c>
      <c r="AU608" s="37" t="n">
        <v>146.33</v>
      </c>
      <c r="AV608" s="37" t="n">
        <v>129.94</v>
      </c>
      <c r="AW608" s="37" t="n">
        <v>122.66</v>
      </c>
      <c r="AX608" s="37" t="n">
        <v>122.16</v>
      </c>
      <c r="AY608" s="37" t="n">
        <v>121.74</v>
      </c>
      <c r="AZ608" s="37" t="n">
        <v>101.06</v>
      </c>
      <c r="BA608" s="37" t="n">
        <v>146.24</v>
      </c>
      <c r="BB608" s="37" t="n">
        <v>136.39</v>
      </c>
      <c r="BC608" s="37" t="n">
        <v>81.03</v>
      </c>
      <c r="BD608" s="37" t="n">
        <v>117.45</v>
      </c>
      <c r="BE608" s="37" t="n">
        <v>138.22</v>
      </c>
      <c r="BF608" s="37" t="n">
        <v>134.49</v>
      </c>
      <c r="BG608" s="37" t="n">
        <v>108.76</v>
      </c>
      <c r="BH608" s="37" t="n">
        <v>161.56</v>
      </c>
      <c r="BI608" s="37" t="n">
        <v>136.39</v>
      </c>
      <c r="BJ608" s="37" t="n">
        <v>135.24</v>
      </c>
      <c r="BK608" s="37" t="n">
        <v>137.89</v>
      </c>
      <c r="BL608" s="37" t="n">
        <v>138.22</v>
      </c>
      <c r="BM608" s="37" t="n">
        <v>134.49</v>
      </c>
      <c r="BN608" s="37" t="n">
        <v>108.76</v>
      </c>
      <c r="BO608" s="37" t="n">
        <v>161.56</v>
      </c>
      <c r="BP608" s="37" t="n">
        <v>136.39</v>
      </c>
      <c r="BQ608" s="37" t="n">
        <v>134.82</v>
      </c>
      <c r="BR608" s="37" t="n">
        <v>137.89</v>
      </c>
      <c r="BS608" s="37" t="n">
        <v>138.22</v>
      </c>
      <c r="BT608" s="37" t="n">
        <v>134.49</v>
      </c>
      <c r="BU608" s="37" t="n">
        <v>108.76</v>
      </c>
      <c r="BV608" s="37" t="n">
        <v>161.56</v>
      </c>
      <c r="BW608" s="37" t="n">
        <v>136.39</v>
      </c>
      <c r="BX608" s="37" t="n">
        <v>134.82</v>
      </c>
      <c r="BY608" s="37" t="n">
        <v>137.89</v>
      </c>
      <c r="BZ608" s="37" t="n">
        <v>138.22</v>
      </c>
      <c r="CA608" s="37" t="n">
        <v>134.49</v>
      </c>
      <c r="CB608" s="37" t="n">
        <v>108.76</v>
      </c>
      <c r="CC608" s="37" t="n">
        <v>9863.179999999997</v>
      </c>
    </row>
    <row r="609" ht="15.75" customHeight="1" s="57">
      <c r="A609" s="7" t="inlineStr">
        <is>
          <t>NTB</t>
        </is>
      </c>
      <c r="B609" s="7" t="inlineStr">
        <is>
          <t>Đắk Nông</t>
        </is>
      </c>
      <c r="C609" s="7" t="n">
        <v>21477000</v>
      </c>
      <c r="D609" s="7" t="inlineStr">
        <is>
          <t>(DNO) Đức An</t>
        </is>
      </c>
      <c r="E609" s="7" t="inlineStr">
        <is>
          <t>TTS-Bulky</t>
        </is>
      </c>
      <c r="F609" s="36" t="n">
        <v>1</v>
      </c>
      <c r="G609" s="36" t="n">
        <v>1</v>
      </c>
      <c r="H609" s="36" t="n">
        <v>2</v>
      </c>
      <c r="I609" s="36" t="n">
        <v>1</v>
      </c>
      <c r="J609" s="36" t="n">
        <v>3</v>
      </c>
      <c r="K609" s="28" t="n">
        <v>2</v>
      </c>
      <c r="L609" s="36" t="n">
        <v>1</v>
      </c>
      <c r="M609" s="36" t="n">
        <v>1</v>
      </c>
      <c r="N609" s="36" t="n">
        <v>2</v>
      </c>
      <c r="O609" s="36" t="n">
        <v>1</v>
      </c>
      <c r="P609" s="36" t="n">
        <v>1</v>
      </c>
      <c r="Q609" s="36" t="n">
        <v>2</v>
      </c>
      <c r="R609" s="28" t="n">
        <v>0</v>
      </c>
      <c r="S609" s="36" t="n">
        <v>1</v>
      </c>
      <c r="T609" s="36" t="n">
        <v>3</v>
      </c>
      <c r="U609" s="36" t="n">
        <v>6.09</v>
      </c>
      <c r="V609" s="36" t="n">
        <v>6.56</v>
      </c>
      <c r="W609" s="36" t="n">
        <v>3.12</v>
      </c>
      <c r="X609" s="36" t="n">
        <v>1.87</v>
      </c>
      <c r="Y609" s="28" t="n">
        <v>3.98</v>
      </c>
      <c r="Z609" s="36" t="n">
        <v>3.05</v>
      </c>
      <c r="AA609" s="36" t="n">
        <v>3.28</v>
      </c>
      <c r="AB609" s="36" t="n">
        <v>3.51</v>
      </c>
      <c r="AC609" s="36" t="n">
        <v>3.59</v>
      </c>
      <c r="AD609" s="36" t="n">
        <v>3.12</v>
      </c>
      <c r="AE609" s="36" t="n">
        <v>2.26</v>
      </c>
      <c r="AF609" s="28" t="n">
        <v>4.22</v>
      </c>
      <c r="AG609" s="36" t="n">
        <v>3.12</v>
      </c>
      <c r="AH609" s="37" t="n">
        <v>3.05</v>
      </c>
      <c r="AI609" s="37" t="n">
        <v>3.28</v>
      </c>
      <c r="AJ609" s="37" t="n">
        <v>3.51</v>
      </c>
      <c r="AK609" s="37" t="n">
        <v>3.67</v>
      </c>
      <c r="AL609" s="37" t="n">
        <v>1.87</v>
      </c>
      <c r="AM609" s="37" t="n">
        <v>4.06</v>
      </c>
      <c r="AN609" s="37" t="n">
        <v>2.97</v>
      </c>
      <c r="AO609" s="37" t="n">
        <v>3.12</v>
      </c>
      <c r="AP609" s="37" t="n">
        <v>3.05</v>
      </c>
      <c r="AQ609" s="37" t="n">
        <v>3.36</v>
      </c>
      <c r="AR609" s="37" t="n">
        <v>3.12</v>
      </c>
      <c r="AS609" s="37" t="n">
        <v>1.87</v>
      </c>
      <c r="AT609" s="37" t="n">
        <v>4.29</v>
      </c>
      <c r="AU609" s="37" t="n">
        <v>3.44</v>
      </c>
      <c r="AV609" s="37" t="n">
        <v>3.12</v>
      </c>
      <c r="AW609" s="37" t="n">
        <v>2.97</v>
      </c>
      <c r="AX609" s="37" t="n">
        <v>3.36</v>
      </c>
      <c r="AY609" s="37" t="n">
        <v>3.12</v>
      </c>
      <c r="AZ609" s="37" t="n">
        <v>1.87</v>
      </c>
      <c r="BA609" s="37" t="n">
        <v>3.67</v>
      </c>
      <c r="BB609" s="37" t="n">
        <v>0.86</v>
      </c>
      <c r="BC609" s="37" t="n">
        <v>0.39</v>
      </c>
      <c r="BD609" s="37" t="n">
        <v>0.62</v>
      </c>
      <c r="BE609" s="37" t="n">
        <v>0.86</v>
      </c>
      <c r="BF609" s="37" t="n">
        <v>0.86</v>
      </c>
      <c r="BG609" s="37" t="n">
        <v>0.55</v>
      </c>
      <c r="BH609" s="37" t="n">
        <v>1.17</v>
      </c>
      <c r="BI609" s="37" t="n">
        <v>0.86</v>
      </c>
      <c r="BJ609" s="37" t="n">
        <v>0.78</v>
      </c>
      <c r="BK609" s="37" t="n">
        <v>0.86</v>
      </c>
      <c r="BL609" s="37" t="n">
        <v>0.86</v>
      </c>
      <c r="BM609" s="37" t="n">
        <v>0.86</v>
      </c>
      <c r="BN609" s="37" t="n">
        <v>0.62</v>
      </c>
      <c r="BO609" s="37" t="n">
        <v>1.25</v>
      </c>
      <c r="BP609" s="37" t="n">
        <v>1.02</v>
      </c>
      <c r="BQ609" s="37" t="n">
        <v>0.86</v>
      </c>
      <c r="BR609" s="37" t="n">
        <v>0.86</v>
      </c>
      <c r="BS609" s="37" t="n">
        <v>0.86</v>
      </c>
      <c r="BT609" s="37" t="n">
        <v>0.86</v>
      </c>
      <c r="BU609" s="37" t="n">
        <v>0.47</v>
      </c>
      <c r="BV609" s="37" t="n">
        <v>1.09</v>
      </c>
      <c r="BW609" s="37" t="n">
        <v>0.86</v>
      </c>
      <c r="BX609" s="37" t="n">
        <v>0.86</v>
      </c>
      <c r="BY609" s="37" t="n">
        <v>0.86</v>
      </c>
      <c r="BZ609" s="37" t="n">
        <v>0.86</v>
      </c>
      <c r="CA609" s="37" t="n">
        <v>0.86</v>
      </c>
      <c r="CB609" s="37" t="n">
        <v>0.47</v>
      </c>
      <c r="CC609" s="37" t="n">
        <v>154.7300000000002</v>
      </c>
    </row>
    <row r="610" ht="15.75" customHeight="1" s="57">
      <c r="A610" s="7" t="inlineStr">
        <is>
          <t>NTB</t>
        </is>
      </c>
      <c r="B610" s="7" t="inlineStr">
        <is>
          <t>Đắk Nông</t>
        </is>
      </c>
      <c r="C610" s="7" t="n">
        <v>21525000</v>
      </c>
      <c r="D610" s="7" t="inlineStr">
        <is>
          <t>Kho Giao Hàng Nặng - Gia Nghĩa - Đắk Nông</t>
        </is>
      </c>
      <c r="E610" s="7" t="inlineStr">
        <is>
          <t>SME</t>
        </is>
      </c>
      <c r="F610" s="36" t="n">
        <v>0</v>
      </c>
      <c r="G610" s="36" t="n">
        <v>0</v>
      </c>
      <c r="H610" s="36" t="n">
        <v>0</v>
      </c>
      <c r="I610" s="36" t="n">
        <v>0</v>
      </c>
      <c r="J610" s="36" t="n">
        <v>1</v>
      </c>
      <c r="K610" s="28" t="n">
        <v>0</v>
      </c>
      <c r="L610" s="36" t="n">
        <v>0</v>
      </c>
      <c r="M610" s="36" t="n">
        <v>0</v>
      </c>
      <c r="N610" s="36" t="n">
        <v>0</v>
      </c>
      <c r="O610" s="36" t="n">
        <v>0</v>
      </c>
      <c r="P610" s="36" t="n">
        <v>0</v>
      </c>
      <c r="Q610" s="36" t="n">
        <v>0</v>
      </c>
      <c r="R610" s="28" t="n">
        <v>0</v>
      </c>
      <c r="S610" s="36" t="n">
        <v>0</v>
      </c>
      <c r="T610" s="36" t="n">
        <v>0</v>
      </c>
      <c r="U610" s="36" t="n">
        <v>11.27</v>
      </c>
      <c r="V610" s="36" t="n">
        <v>11.72</v>
      </c>
      <c r="W610" s="36" t="n">
        <v>11.45</v>
      </c>
      <c r="X610" s="36" t="n">
        <v>9.119999999999999</v>
      </c>
      <c r="Y610" s="28" t="n">
        <v>12.79</v>
      </c>
      <c r="Z610" s="36" t="n">
        <v>11.63</v>
      </c>
      <c r="AA610" s="36" t="n">
        <v>11.27</v>
      </c>
      <c r="AB610" s="36" t="n">
        <v>11.27</v>
      </c>
      <c r="AC610" s="36" t="n">
        <v>11.72</v>
      </c>
      <c r="AD610" s="36" t="n">
        <v>14.22</v>
      </c>
      <c r="AE610" s="36" t="n">
        <v>9.119999999999999</v>
      </c>
      <c r="AF610" s="28" t="n">
        <v>12.79</v>
      </c>
      <c r="AG610" s="36" t="n">
        <v>11.63</v>
      </c>
      <c r="AH610" s="37" t="n">
        <v>11.27</v>
      </c>
      <c r="AI610" s="37" t="n">
        <v>11.27</v>
      </c>
      <c r="AJ610" s="37" t="n">
        <v>11.72</v>
      </c>
      <c r="AK610" s="37" t="n">
        <v>11.45</v>
      </c>
      <c r="AL610" s="37" t="n">
        <v>9.119999999999999</v>
      </c>
      <c r="AM610" s="37" t="n">
        <v>12.79</v>
      </c>
      <c r="AN610" s="37" t="n">
        <v>11.63</v>
      </c>
      <c r="AO610" s="37" t="n">
        <v>11.27</v>
      </c>
      <c r="AP610" s="37" t="n">
        <v>11.27</v>
      </c>
      <c r="AQ610" s="37" t="n">
        <v>11.72</v>
      </c>
      <c r="AR610" s="37" t="n">
        <v>11.45</v>
      </c>
      <c r="AS610" s="37" t="n">
        <v>9.119999999999999</v>
      </c>
      <c r="AT610" s="37" t="n">
        <v>12.79</v>
      </c>
      <c r="AU610" s="37" t="n">
        <v>11.63</v>
      </c>
      <c r="AV610" s="37" t="n">
        <v>11.27</v>
      </c>
      <c r="AW610" s="37" t="n">
        <v>11.27</v>
      </c>
      <c r="AX610" s="37" t="n">
        <v>11.72</v>
      </c>
      <c r="AY610" s="37" t="n">
        <v>11.45</v>
      </c>
      <c r="AZ610" s="37" t="n">
        <v>9.119999999999999</v>
      </c>
      <c r="BA610" s="37" t="n">
        <v>11.27</v>
      </c>
      <c r="BB610" s="37" t="n">
        <v>9.93</v>
      </c>
      <c r="BC610" s="37" t="n">
        <v>6.08</v>
      </c>
      <c r="BD610" s="37" t="n">
        <v>5.99</v>
      </c>
      <c r="BE610" s="37" t="n">
        <v>10.2</v>
      </c>
      <c r="BF610" s="37" t="n">
        <v>10.11</v>
      </c>
      <c r="BG610" s="37" t="n">
        <v>9.210000000000001</v>
      </c>
      <c r="BH610" s="37" t="n">
        <v>12.88</v>
      </c>
      <c r="BI610" s="37" t="n">
        <v>11.72</v>
      </c>
      <c r="BJ610" s="37" t="n">
        <v>14.49</v>
      </c>
      <c r="BK610" s="37" t="n">
        <v>11.36</v>
      </c>
      <c r="BL610" s="37" t="n">
        <v>11.81</v>
      </c>
      <c r="BM610" s="37" t="n">
        <v>11.54</v>
      </c>
      <c r="BN610" s="37" t="n">
        <v>9.210000000000001</v>
      </c>
      <c r="BO610" s="37" t="n">
        <v>12.88</v>
      </c>
      <c r="BP610" s="37" t="n">
        <v>11.72</v>
      </c>
      <c r="BQ610" s="37" t="n">
        <v>11.36</v>
      </c>
      <c r="BR610" s="37" t="n">
        <v>11.36</v>
      </c>
      <c r="BS610" s="37" t="n">
        <v>11.81</v>
      </c>
      <c r="BT610" s="37" t="n">
        <v>11.54</v>
      </c>
      <c r="BU610" s="37" t="n">
        <v>9.210000000000001</v>
      </c>
      <c r="BV610" s="37" t="n">
        <v>12.88</v>
      </c>
      <c r="BW610" s="37" t="n">
        <v>11.72</v>
      </c>
      <c r="BX610" s="37" t="n">
        <v>11.36</v>
      </c>
      <c r="BY610" s="37" t="n">
        <v>11.36</v>
      </c>
      <c r="BZ610" s="37" t="n">
        <v>11.81</v>
      </c>
      <c r="CA610" s="37" t="n">
        <v>11.54</v>
      </c>
      <c r="CB610" s="37" t="n">
        <v>9.210000000000001</v>
      </c>
      <c r="CC610" s="37" t="n">
        <v>669.89</v>
      </c>
    </row>
    <row r="611" ht="15.75" customHeight="1" s="57">
      <c r="A611" s="7" t="inlineStr">
        <is>
          <t>NTB</t>
        </is>
      </c>
      <c r="B611" s="7" t="inlineStr">
        <is>
          <t>Đắk Nông</t>
        </is>
      </c>
      <c r="C611" s="7" t="n">
        <v>21525000</v>
      </c>
      <c r="D611" s="7" t="inlineStr">
        <is>
          <t>Kho Giao Hàng Nặng - Gia Nghĩa - Đắk Nông</t>
        </is>
      </c>
      <c r="E611" s="7" t="inlineStr">
        <is>
          <t>SME-Bulky</t>
        </is>
      </c>
      <c r="F611" s="36" t="n">
        <v>9</v>
      </c>
      <c r="G611" s="36" t="n">
        <v>9</v>
      </c>
      <c r="H611" s="36" t="n">
        <v>17</v>
      </c>
      <c r="I611" s="36" t="n">
        <v>7</v>
      </c>
      <c r="J611" s="36" t="n">
        <v>9</v>
      </c>
      <c r="K611" s="28" t="n">
        <v>8</v>
      </c>
      <c r="L611" s="36" t="n">
        <v>16</v>
      </c>
      <c r="M611" s="36" t="n">
        <v>11</v>
      </c>
      <c r="N611" s="36" t="n">
        <v>16</v>
      </c>
      <c r="O611" s="36" t="n">
        <v>15</v>
      </c>
      <c r="P611" s="36" t="n">
        <v>9</v>
      </c>
      <c r="Q611" s="36" t="n">
        <v>13</v>
      </c>
      <c r="R611" s="28" t="n">
        <v>14</v>
      </c>
      <c r="S611" s="36" t="n">
        <v>28</v>
      </c>
      <c r="T611" s="36" t="n">
        <v>16</v>
      </c>
      <c r="U611" s="36" t="n">
        <v>17.44</v>
      </c>
      <c r="V611" s="36" t="n">
        <v>17.35</v>
      </c>
      <c r="W611" s="36" t="n">
        <v>16.19</v>
      </c>
      <c r="X611" s="36" t="n">
        <v>11.36</v>
      </c>
      <c r="Y611" s="28" t="n">
        <v>19.32</v>
      </c>
      <c r="Z611" s="36" t="n">
        <v>18.87</v>
      </c>
      <c r="AA611" s="36" t="n">
        <v>17.8</v>
      </c>
      <c r="AB611" s="36" t="n">
        <v>17.44</v>
      </c>
      <c r="AC611" s="36" t="n">
        <v>17.35</v>
      </c>
      <c r="AD611" s="36" t="n">
        <v>15.65</v>
      </c>
      <c r="AE611" s="36" t="n">
        <v>11.36</v>
      </c>
      <c r="AF611" s="28" t="n">
        <v>19.32</v>
      </c>
      <c r="AG611" s="36" t="n">
        <v>18.87</v>
      </c>
      <c r="AH611" s="37" t="n">
        <v>17.8</v>
      </c>
      <c r="AI611" s="37" t="n">
        <v>17.44</v>
      </c>
      <c r="AJ611" s="37" t="n">
        <v>17.35</v>
      </c>
      <c r="AK611" s="37" t="n">
        <v>16.19</v>
      </c>
      <c r="AL611" s="37" t="n">
        <v>11.36</v>
      </c>
      <c r="AM611" s="37" t="n">
        <v>19.32</v>
      </c>
      <c r="AN611" s="37" t="n">
        <v>18.87</v>
      </c>
      <c r="AO611" s="37" t="n">
        <v>17.8</v>
      </c>
      <c r="AP611" s="37" t="n">
        <v>17.44</v>
      </c>
      <c r="AQ611" s="37" t="n">
        <v>17.35</v>
      </c>
      <c r="AR611" s="37" t="n">
        <v>16.19</v>
      </c>
      <c r="AS611" s="37" t="n">
        <v>11.36</v>
      </c>
      <c r="AT611" s="37" t="n">
        <v>19.32</v>
      </c>
      <c r="AU611" s="37" t="n">
        <v>18.87</v>
      </c>
      <c r="AV611" s="37" t="n">
        <v>17.8</v>
      </c>
      <c r="AW611" s="37" t="n">
        <v>17.44</v>
      </c>
      <c r="AX611" s="37" t="n">
        <v>17.35</v>
      </c>
      <c r="AY611" s="37" t="n">
        <v>16.19</v>
      </c>
      <c r="AZ611" s="37" t="n">
        <v>11.36</v>
      </c>
      <c r="BA611" s="37" t="n">
        <v>19.14</v>
      </c>
      <c r="BB611" s="37" t="n">
        <v>10.29</v>
      </c>
      <c r="BC611" s="37" t="n">
        <v>5.28</v>
      </c>
      <c r="BD611" s="37" t="n">
        <v>4.74</v>
      </c>
      <c r="BE611" s="37" t="n">
        <v>8.94</v>
      </c>
      <c r="BF611" s="37" t="n">
        <v>8.41</v>
      </c>
      <c r="BG611" s="37" t="n">
        <v>6.71</v>
      </c>
      <c r="BH611" s="37" t="n">
        <v>11.09</v>
      </c>
      <c r="BI611" s="37" t="n">
        <v>11</v>
      </c>
      <c r="BJ611" s="37" t="n">
        <v>10.11</v>
      </c>
      <c r="BK611" s="37" t="n">
        <v>10.2</v>
      </c>
      <c r="BL611" s="37" t="n">
        <v>10.2</v>
      </c>
      <c r="BM611" s="37" t="n">
        <v>9.57</v>
      </c>
      <c r="BN611" s="37" t="n">
        <v>6.71</v>
      </c>
      <c r="BO611" s="37" t="n">
        <v>11.09</v>
      </c>
      <c r="BP611" s="37" t="n">
        <v>11</v>
      </c>
      <c r="BQ611" s="37" t="n">
        <v>10.29</v>
      </c>
      <c r="BR611" s="37" t="n">
        <v>10.2</v>
      </c>
      <c r="BS611" s="37" t="n">
        <v>10.2</v>
      </c>
      <c r="BT611" s="37" t="n">
        <v>9.57</v>
      </c>
      <c r="BU611" s="37" t="n">
        <v>6.71</v>
      </c>
      <c r="BV611" s="37" t="n">
        <v>11.09</v>
      </c>
      <c r="BW611" s="37" t="n">
        <v>11</v>
      </c>
      <c r="BX611" s="37" t="n">
        <v>10.29</v>
      </c>
      <c r="BY611" s="37" t="n">
        <v>10.2</v>
      </c>
      <c r="BZ611" s="37" t="n">
        <v>10.2</v>
      </c>
      <c r="CA611" s="37" t="n">
        <v>9.57</v>
      </c>
      <c r="CB611" s="37" t="n">
        <v>6.71</v>
      </c>
      <c r="CC611" s="37" t="n">
        <v>1002.630000000001</v>
      </c>
    </row>
    <row r="612" ht="15.75" customHeight="1" s="57">
      <c r="A612" s="7" t="inlineStr">
        <is>
          <t>NTB</t>
        </is>
      </c>
      <c r="B612" s="7" t="inlineStr">
        <is>
          <t>Đắk Nông</t>
        </is>
      </c>
      <c r="C612" s="7" t="n">
        <v>21525000</v>
      </c>
      <c r="D612" s="7" t="inlineStr">
        <is>
          <t>Kho Giao Hàng Nặng - Gia Nghĩa - Đắk Nông</t>
        </is>
      </c>
      <c r="E612" s="7" t="inlineStr">
        <is>
          <t>Shopee-Bulky</t>
        </is>
      </c>
      <c r="F612" s="36" t="n">
        <v>26.64</v>
      </c>
      <c r="G612" s="36" t="n">
        <v>29.89</v>
      </c>
      <c r="H612" s="36" t="n">
        <v>25.34</v>
      </c>
      <c r="I612" s="36" t="n">
        <v>38.98</v>
      </c>
      <c r="J612" s="36" t="n">
        <v>27.94</v>
      </c>
      <c r="K612" s="28" t="n">
        <v>17.54</v>
      </c>
      <c r="L612" s="36" t="n">
        <v>22.09</v>
      </c>
      <c r="M612" s="36" t="n">
        <v>13.64</v>
      </c>
      <c r="N612" s="36" t="n">
        <v>27.94</v>
      </c>
      <c r="O612" s="36" t="n">
        <v>27.29</v>
      </c>
      <c r="P612" s="36" t="n">
        <v>18.84</v>
      </c>
      <c r="Q612" s="36" t="n">
        <v>23.39</v>
      </c>
      <c r="R612" s="28" t="n">
        <v>24.04</v>
      </c>
      <c r="S612" s="36" t="n">
        <v>19.49</v>
      </c>
      <c r="T612" s="36" t="n">
        <v>21.44</v>
      </c>
      <c r="U612" s="36" t="n">
        <v>20.94</v>
      </c>
      <c r="V612" s="36" t="n">
        <v>19.43</v>
      </c>
      <c r="W612" s="36" t="n">
        <v>27.08</v>
      </c>
      <c r="X612" s="36" t="n">
        <v>15.3</v>
      </c>
      <c r="Y612" s="28" t="n">
        <v>30.72</v>
      </c>
      <c r="Z612" s="36" t="n">
        <v>24.32</v>
      </c>
      <c r="AA612" s="36" t="n">
        <v>23.45</v>
      </c>
      <c r="AB612" s="36" t="n">
        <v>24.07</v>
      </c>
      <c r="AC612" s="36" t="n">
        <v>23.7</v>
      </c>
      <c r="AD612" s="36" t="n">
        <v>55.42</v>
      </c>
      <c r="AE612" s="36" t="n">
        <v>40.12</v>
      </c>
      <c r="AF612" s="28" t="n">
        <v>60.56</v>
      </c>
      <c r="AG612" s="36" t="n">
        <v>34.48</v>
      </c>
      <c r="AH612" s="37" t="n">
        <v>24.32</v>
      </c>
      <c r="AI612" s="37" t="n">
        <v>23.7</v>
      </c>
      <c r="AJ612" s="37" t="n">
        <v>21.56</v>
      </c>
      <c r="AK612" s="37" t="n">
        <v>51.91</v>
      </c>
      <c r="AL612" s="37" t="n">
        <v>25.08</v>
      </c>
      <c r="AM612" s="37" t="n">
        <v>38.62</v>
      </c>
      <c r="AN612" s="37" t="n">
        <v>24.07</v>
      </c>
      <c r="AO612" s="37" t="n">
        <v>23.07</v>
      </c>
      <c r="AP612" s="37" t="n">
        <v>31.59</v>
      </c>
      <c r="AQ612" s="37" t="n">
        <v>30.47</v>
      </c>
      <c r="AR612" s="37" t="n">
        <v>24.95</v>
      </c>
      <c r="AS612" s="37" t="n">
        <v>14.04</v>
      </c>
      <c r="AT612" s="37" t="n">
        <v>27.83</v>
      </c>
      <c r="AU612" s="37" t="n">
        <v>47.27</v>
      </c>
      <c r="AV612" s="37" t="n">
        <v>48.77</v>
      </c>
      <c r="AW612" s="37" t="n">
        <v>23.07</v>
      </c>
      <c r="AX612" s="37" t="n">
        <v>20.69</v>
      </c>
      <c r="AY612" s="37" t="n">
        <v>24.07</v>
      </c>
      <c r="AZ612" s="37" t="n">
        <v>13.29</v>
      </c>
      <c r="BA612" s="37" t="n">
        <v>25.7</v>
      </c>
      <c r="BB612" s="37" t="n">
        <v>23.82</v>
      </c>
      <c r="BC612" s="37" t="n">
        <v>7.15</v>
      </c>
      <c r="BD612" s="37" t="n">
        <v>20.56</v>
      </c>
      <c r="BE612" s="37" t="n">
        <v>24.32</v>
      </c>
      <c r="BF612" s="37" t="n">
        <v>21.44</v>
      </c>
      <c r="BG612" s="37" t="n">
        <v>17.43</v>
      </c>
      <c r="BH612" s="37" t="n">
        <v>33.22</v>
      </c>
      <c r="BI612" s="37" t="n">
        <v>28.21</v>
      </c>
      <c r="BJ612" s="37" t="n">
        <v>88.77</v>
      </c>
      <c r="BK612" s="37" t="n">
        <v>60.18</v>
      </c>
      <c r="BL612" s="37" t="n">
        <v>31.09</v>
      </c>
      <c r="BM612" s="37" t="n">
        <v>23.07</v>
      </c>
      <c r="BN612" s="37" t="n">
        <v>17.55</v>
      </c>
      <c r="BO612" s="37" t="n">
        <v>37.24</v>
      </c>
      <c r="BP612" s="37" t="n">
        <v>57.17</v>
      </c>
      <c r="BQ612" s="37" t="n">
        <v>40.5</v>
      </c>
      <c r="BR612" s="37" t="n">
        <v>26.45</v>
      </c>
      <c r="BS612" s="37" t="n">
        <v>24.32</v>
      </c>
      <c r="BT612" s="37" t="n">
        <v>21.44</v>
      </c>
      <c r="BU612" s="37" t="n">
        <v>25.33</v>
      </c>
      <c r="BV612" s="37" t="n">
        <v>34.48</v>
      </c>
      <c r="BW612" s="37" t="n">
        <v>28.21</v>
      </c>
      <c r="BX612" s="37" t="n">
        <v>26.71</v>
      </c>
      <c r="BY612" s="37" t="n">
        <v>26.45</v>
      </c>
      <c r="BZ612" s="37" t="n">
        <v>46.01</v>
      </c>
      <c r="CA612" s="37" t="n">
        <v>24.95</v>
      </c>
      <c r="CB612" s="37" t="n">
        <v>16.68</v>
      </c>
      <c r="CC612" s="37" t="n">
        <v>2160.9</v>
      </c>
    </row>
    <row r="613" ht="15.75" customHeight="1" s="57">
      <c r="A613" s="7" t="inlineStr">
        <is>
          <t>NTB</t>
        </is>
      </c>
      <c r="B613" s="7" t="inlineStr">
        <is>
          <t>Đắk Nông</t>
        </is>
      </c>
      <c r="C613" s="7" t="n">
        <v>21525000</v>
      </c>
      <c r="D613" s="7" t="inlineStr">
        <is>
          <t>Kho Giao Hàng Nặng - Gia Nghĩa - Đắk Nông</t>
        </is>
      </c>
      <c r="E613" s="7" t="inlineStr">
        <is>
          <t>Shopee-Bulky (10-15kg)</t>
        </is>
      </c>
      <c r="F613" s="36" t="n">
        <v>14.36</v>
      </c>
      <c r="G613" s="36" t="n">
        <v>16.11</v>
      </c>
      <c r="H613" s="36" t="n">
        <v>13.66</v>
      </c>
      <c r="I613" s="36" t="n">
        <v>21.02</v>
      </c>
      <c r="J613" s="36" t="n">
        <v>15.06</v>
      </c>
      <c r="K613" s="28" t="n">
        <v>9.460000000000001</v>
      </c>
      <c r="L613" s="36" t="n">
        <v>11.91</v>
      </c>
      <c r="M613" s="36" t="n">
        <v>7.36</v>
      </c>
      <c r="N613" s="36" t="n">
        <v>15.06</v>
      </c>
      <c r="O613" s="36" t="n">
        <v>14.71</v>
      </c>
      <c r="P613" s="36" t="n">
        <v>10.16</v>
      </c>
      <c r="Q613" s="36" t="n">
        <v>12.61</v>
      </c>
      <c r="R613" s="28" t="n">
        <v>12.96</v>
      </c>
      <c r="S613" s="36" t="n">
        <v>10.51</v>
      </c>
      <c r="T613" s="36" t="n">
        <v>11.56</v>
      </c>
      <c r="U613" s="36" t="n">
        <v>10.91</v>
      </c>
      <c r="V613" s="36" t="n">
        <v>10.53</v>
      </c>
      <c r="W613" s="36" t="n">
        <v>14.54</v>
      </c>
      <c r="X613" s="36" t="n">
        <v>8.529999999999999</v>
      </c>
      <c r="Y613" s="28" t="n">
        <v>15.8</v>
      </c>
      <c r="Z613" s="36" t="n">
        <v>12.16</v>
      </c>
      <c r="AA613" s="36" t="n">
        <v>11.91</v>
      </c>
      <c r="AB613" s="36" t="n">
        <v>12.16</v>
      </c>
      <c r="AC613" s="36" t="n">
        <v>12.41</v>
      </c>
      <c r="AD613" s="36" t="n">
        <v>51.15</v>
      </c>
      <c r="AE613" s="36" t="n">
        <v>21.44</v>
      </c>
      <c r="AF613" s="28" t="n">
        <v>31.34</v>
      </c>
      <c r="AG613" s="36" t="n">
        <v>17.55</v>
      </c>
      <c r="AH613" s="37" t="n">
        <v>12.16</v>
      </c>
      <c r="AI613" s="37" t="n">
        <v>12.29</v>
      </c>
      <c r="AJ613" s="37" t="n">
        <v>11.03</v>
      </c>
      <c r="AK613" s="37" t="n">
        <v>28.71</v>
      </c>
      <c r="AL613" s="37" t="n">
        <v>13.29</v>
      </c>
      <c r="AM613" s="37" t="n">
        <v>19.81</v>
      </c>
      <c r="AN613" s="37" t="n">
        <v>12.04</v>
      </c>
      <c r="AO613" s="37" t="n">
        <v>11.91</v>
      </c>
      <c r="AP613" s="37" t="n">
        <v>15.8</v>
      </c>
      <c r="AQ613" s="37" t="n">
        <v>15.92</v>
      </c>
      <c r="AR613" s="37" t="n">
        <v>13.42</v>
      </c>
      <c r="AS613" s="37" t="n">
        <v>7.77</v>
      </c>
      <c r="AT613" s="37" t="n">
        <v>14.42</v>
      </c>
      <c r="AU613" s="37" t="n">
        <v>26.33</v>
      </c>
      <c r="AV613" s="37" t="n">
        <v>25.58</v>
      </c>
      <c r="AW613" s="37" t="n">
        <v>11.28</v>
      </c>
      <c r="AX613" s="37" t="n">
        <v>10.66</v>
      </c>
      <c r="AY613" s="37" t="n">
        <v>13.04</v>
      </c>
      <c r="AZ613" s="37" t="n">
        <v>7.27</v>
      </c>
      <c r="BA613" s="37" t="n">
        <v>13.42</v>
      </c>
      <c r="BB613" s="37" t="n">
        <v>12.54</v>
      </c>
      <c r="BC613" s="37" t="n">
        <v>3.13</v>
      </c>
      <c r="BD613" s="37" t="n">
        <v>11.16</v>
      </c>
      <c r="BE613" s="37" t="n">
        <v>12.79</v>
      </c>
      <c r="BF613" s="37" t="n">
        <v>11.66</v>
      </c>
      <c r="BG613" s="37" t="n">
        <v>10.16</v>
      </c>
      <c r="BH613" s="37" t="n">
        <v>17.43</v>
      </c>
      <c r="BI613" s="37" t="n">
        <v>14.54</v>
      </c>
      <c r="BJ613" s="37" t="n">
        <v>71.34</v>
      </c>
      <c r="BK613" s="37" t="n">
        <v>32.85</v>
      </c>
      <c r="BL613" s="37" t="n">
        <v>15.92</v>
      </c>
      <c r="BM613" s="37" t="n">
        <v>12.04</v>
      </c>
      <c r="BN613" s="37" t="n">
        <v>9.9</v>
      </c>
      <c r="BO613" s="37" t="n">
        <v>19.56</v>
      </c>
      <c r="BP613" s="37" t="n">
        <v>30.59</v>
      </c>
      <c r="BQ613" s="37" t="n">
        <v>20.94</v>
      </c>
      <c r="BR613" s="37" t="n">
        <v>13.54</v>
      </c>
      <c r="BS613" s="37" t="n">
        <v>12.79</v>
      </c>
      <c r="BT613" s="37" t="n">
        <v>11.66</v>
      </c>
      <c r="BU613" s="37" t="n">
        <v>13.04</v>
      </c>
      <c r="BV613" s="37" t="n">
        <v>17.93</v>
      </c>
      <c r="BW613" s="37" t="n">
        <v>14.54</v>
      </c>
      <c r="BX613" s="37" t="n">
        <v>14.04</v>
      </c>
      <c r="BY613" s="37" t="n">
        <v>13.54</v>
      </c>
      <c r="BZ613" s="37" t="n">
        <v>24.82</v>
      </c>
      <c r="CA613" s="37" t="n">
        <v>13.42</v>
      </c>
      <c r="CB613" s="37" t="n">
        <v>9.65</v>
      </c>
      <c r="CC613" s="37" t="n">
        <v>1188.609999999999</v>
      </c>
    </row>
    <row r="614" ht="15.75" customHeight="1" s="57">
      <c r="A614" s="7" t="inlineStr">
        <is>
          <t>NTB</t>
        </is>
      </c>
      <c r="B614" s="7" t="inlineStr">
        <is>
          <t>Đắk Nông</t>
        </is>
      </c>
      <c r="C614" s="7" t="n">
        <v>21525000</v>
      </c>
      <c r="D614" s="7" t="inlineStr">
        <is>
          <t>Kho Giao Hàng Nặng - Gia Nghĩa - Đắk Nông</t>
        </is>
      </c>
      <c r="E614" s="7" t="inlineStr">
        <is>
          <t>TTS</t>
        </is>
      </c>
      <c r="F614" s="36" t="n">
        <v>0</v>
      </c>
      <c r="G614" s="36" t="n">
        <v>0</v>
      </c>
      <c r="H614" s="36" t="n">
        <v>0</v>
      </c>
      <c r="I614" s="36" t="n">
        <v>0</v>
      </c>
      <c r="J614" s="36" t="n">
        <v>0</v>
      </c>
      <c r="K614" s="28" t="n">
        <v>0</v>
      </c>
      <c r="L614" s="36" t="n">
        <v>0</v>
      </c>
      <c r="M614" s="36" t="n">
        <v>0</v>
      </c>
      <c r="N614" s="36" t="n">
        <v>0</v>
      </c>
      <c r="O614" s="36" t="n">
        <v>1</v>
      </c>
      <c r="P614" s="36" t="n">
        <v>2</v>
      </c>
      <c r="Q614" s="36" t="n">
        <v>2</v>
      </c>
      <c r="R614" s="28" t="n">
        <v>2</v>
      </c>
      <c r="S614" s="36" t="n">
        <v>1</v>
      </c>
      <c r="T614" s="36" t="n">
        <v>4</v>
      </c>
      <c r="U614" s="36" t="n">
        <v>2.25</v>
      </c>
      <c r="V614" s="36" t="n">
        <v>2.27</v>
      </c>
      <c r="W614" s="36" t="n">
        <v>2.18</v>
      </c>
      <c r="X614" s="36" t="n">
        <v>1.73</v>
      </c>
      <c r="Y614" s="28" t="n">
        <v>2.68</v>
      </c>
      <c r="Z614" s="36" t="n">
        <v>2.23</v>
      </c>
      <c r="AA614" s="36" t="n">
        <v>2.36</v>
      </c>
      <c r="AB614" s="36" t="n">
        <v>2.57</v>
      </c>
      <c r="AC614" s="36" t="n">
        <v>2.74</v>
      </c>
      <c r="AD614" s="36" t="n">
        <v>2.87</v>
      </c>
      <c r="AE614" s="36" t="n">
        <v>1.96</v>
      </c>
      <c r="AF614" s="28" t="n">
        <v>2.75</v>
      </c>
      <c r="AG614" s="36" t="n">
        <v>2.26</v>
      </c>
      <c r="AH614" s="37" t="n">
        <v>2.19</v>
      </c>
      <c r="AI614" s="37" t="n">
        <v>2.44</v>
      </c>
      <c r="AJ614" s="37" t="n">
        <v>2.64</v>
      </c>
      <c r="AK614" s="37" t="n">
        <v>2.56</v>
      </c>
      <c r="AL614" s="37" t="n">
        <v>1.84</v>
      </c>
      <c r="AM614" s="37" t="n">
        <v>2.72</v>
      </c>
      <c r="AN614" s="37" t="n">
        <v>2.28</v>
      </c>
      <c r="AO614" s="37" t="n">
        <v>2.22</v>
      </c>
      <c r="AP614" s="37" t="n">
        <v>2.12</v>
      </c>
      <c r="AQ614" s="37" t="n">
        <v>2.24</v>
      </c>
      <c r="AR614" s="37" t="n">
        <v>2.16</v>
      </c>
      <c r="AS614" s="37" t="n">
        <v>1.74</v>
      </c>
      <c r="AT614" s="37" t="n">
        <v>2.88</v>
      </c>
      <c r="AU614" s="37" t="n">
        <v>2.52</v>
      </c>
      <c r="AV614" s="37" t="n">
        <v>2.25</v>
      </c>
      <c r="AW614" s="37" t="n">
        <v>2.1</v>
      </c>
      <c r="AX614" s="37" t="n">
        <v>2.14</v>
      </c>
      <c r="AY614" s="37" t="n">
        <v>2.13</v>
      </c>
      <c r="AZ614" s="37" t="n">
        <v>1.74</v>
      </c>
      <c r="BA614" s="37" t="n">
        <v>2.67</v>
      </c>
      <c r="BB614" s="37" t="n">
        <v>2.38</v>
      </c>
      <c r="BC614" s="37" t="n">
        <v>1.32</v>
      </c>
      <c r="BD614" s="37" t="n">
        <v>1.97</v>
      </c>
      <c r="BE614" s="37" t="n">
        <v>2.41</v>
      </c>
      <c r="BF614" s="37" t="n">
        <v>2.31</v>
      </c>
      <c r="BG614" s="37" t="n">
        <v>1.85</v>
      </c>
      <c r="BH614" s="37" t="n">
        <v>2.88</v>
      </c>
      <c r="BI614" s="37" t="n">
        <v>2.38</v>
      </c>
      <c r="BJ614" s="37" t="n">
        <v>2.27</v>
      </c>
      <c r="BK614" s="37" t="n">
        <v>2.36</v>
      </c>
      <c r="BL614" s="37" t="n">
        <v>2.41</v>
      </c>
      <c r="BM614" s="37" t="n">
        <v>2.31</v>
      </c>
      <c r="BN614" s="37" t="n">
        <v>1.85</v>
      </c>
      <c r="BO614" s="37" t="n">
        <v>2.88</v>
      </c>
      <c r="BP614" s="37" t="n">
        <v>2.38</v>
      </c>
      <c r="BQ614" s="37" t="n">
        <v>2.31</v>
      </c>
      <c r="BR614" s="37" t="n">
        <v>2.36</v>
      </c>
      <c r="BS614" s="37" t="n">
        <v>2.41</v>
      </c>
      <c r="BT614" s="37" t="n">
        <v>2.31</v>
      </c>
      <c r="BU614" s="37" t="n">
        <v>1.85</v>
      </c>
      <c r="BV614" s="37" t="n">
        <v>2.88</v>
      </c>
      <c r="BW614" s="37" t="n">
        <v>2.38</v>
      </c>
      <c r="BX614" s="37" t="n">
        <v>2.31</v>
      </c>
      <c r="BY614" s="37" t="n">
        <v>2.36</v>
      </c>
      <c r="BZ614" s="37" t="n">
        <v>2.41</v>
      </c>
      <c r="CA614" s="37" t="n">
        <v>2.31</v>
      </c>
      <c r="CB614" s="37" t="n">
        <v>1.85</v>
      </c>
      <c r="CC614" s="37" t="n">
        <v>150.1299999999999</v>
      </c>
    </row>
    <row r="615" ht="15.75" customHeight="1" s="57">
      <c r="A615" s="7" t="inlineStr">
        <is>
          <t>NTB</t>
        </is>
      </c>
      <c r="B615" s="7" t="inlineStr">
        <is>
          <t>Đắk Nông</t>
        </is>
      </c>
      <c r="C615" s="7" t="n">
        <v>21525000</v>
      </c>
      <c r="D615" s="7" t="inlineStr">
        <is>
          <t>Kho Giao Hàng Nặng - Gia Nghĩa - Đắk Nông</t>
        </is>
      </c>
      <c r="E615" s="7" t="inlineStr">
        <is>
          <t>TTS-Bulky</t>
        </is>
      </c>
      <c r="F615" s="36" t="n">
        <v>1</v>
      </c>
      <c r="G615" s="36" t="n">
        <v>0</v>
      </c>
      <c r="H615" s="36" t="n">
        <v>0</v>
      </c>
      <c r="I615" s="36" t="n">
        <v>2</v>
      </c>
      <c r="J615" s="36" t="n">
        <v>1</v>
      </c>
      <c r="K615" s="28" t="n">
        <v>0</v>
      </c>
      <c r="L615" s="36" t="n">
        <v>0</v>
      </c>
      <c r="M615" s="36" t="n">
        <v>1</v>
      </c>
      <c r="N615" s="36" t="n">
        <v>2</v>
      </c>
      <c r="O615" s="36" t="n">
        <v>0</v>
      </c>
      <c r="P615" s="36" t="n">
        <v>1</v>
      </c>
      <c r="Q615" s="36" t="n">
        <v>2</v>
      </c>
      <c r="R615" s="28" t="n">
        <v>0</v>
      </c>
      <c r="S615" s="36" t="n">
        <v>1</v>
      </c>
      <c r="T615" s="36" t="n">
        <v>1</v>
      </c>
      <c r="U615" s="36" t="n">
        <v>3.95</v>
      </c>
      <c r="V615" s="36" t="n">
        <v>4.26</v>
      </c>
      <c r="W615" s="36" t="n">
        <v>2.03</v>
      </c>
      <c r="X615" s="36" t="n">
        <v>1.22</v>
      </c>
      <c r="Y615" s="28" t="n">
        <v>2.58</v>
      </c>
      <c r="Z615" s="36" t="n">
        <v>1.98</v>
      </c>
      <c r="AA615" s="36" t="n">
        <v>2.13</v>
      </c>
      <c r="AB615" s="36" t="n">
        <v>2.28</v>
      </c>
      <c r="AC615" s="36" t="n">
        <v>2.33</v>
      </c>
      <c r="AD615" s="36" t="n">
        <v>2.03</v>
      </c>
      <c r="AE615" s="36" t="n">
        <v>1.47</v>
      </c>
      <c r="AF615" s="28" t="n">
        <v>2.74</v>
      </c>
      <c r="AG615" s="36" t="n">
        <v>2.03</v>
      </c>
      <c r="AH615" s="37" t="n">
        <v>1.98</v>
      </c>
      <c r="AI615" s="37" t="n">
        <v>2.13</v>
      </c>
      <c r="AJ615" s="37" t="n">
        <v>2.28</v>
      </c>
      <c r="AK615" s="37" t="n">
        <v>2.38</v>
      </c>
      <c r="AL615" s="37" t="n">
        <v>1.22</v>
      </c>
      <c r="AM615" s="37" t="n">
        <v>2.64</v>
      </c>
      <c r="AN615" s="37" t="n">
        <v>1.93</v>
      </c>
      <c r="AO615" s="37" t="n">
        <v>2.03</v>
      </c>
      <c r="AP615" s="37" t="n">
        <v>1.98</v>
      </c>
      <c r="AQ615" s="37" t="n">
        <v>2.18</v>
      </c>
      <c r="AR615" s="37" t="n">
        <v>2.03</v>
      </c>
      <c r="AS615" s="37" t="n">
        <v>1.22</v>
      </c>
      <c r="AT615" s="37" t="n">
        <v>2.79</v>
      </c>
      <c r="AU615" s="37" t="n">
        <v>2.23</v>
      </c>
      <c r="AV615" s="37" t="n">
        <v>2.03</v>
      </c>
      <c r="AW615" s="37" t="n">
        <v>1.93</v>
      </c>
      <c r="AX615" s="37" t="n">
        <v>2.18</v>
      </c>
      <c r="AY615" s="37" t="n">
        <v>2.03</v>
      </c>
      <c r="AZ615" s="37" t="n">
        <v>1.22</v>
      </c>
      <c r="BA615" s="37" t="n">
        <v>2.38</v>
      </c>
      <c r="BB615" s="37" t="n">
        <v>0.5600000000000001</v>
      </c>
      <c r="BC615" s="37" t="n">
        <v>0.25</v>
      </c>
      <c r="BD615" s="37" t="n">
        <v>0.41</v>
      </c>
      <c r="BE615" s="37" t="n">
        <v>0.5600000000000001</v>
      </c>
      <c r="BF615" s="37" t="n">
        <v>0.5600000000000001</v>
      </c>
      <c r="BG615" s="37" t="n">
        <v>0.35</v>
      </c>
      <c r="BH615" s="37" t="n">
        <v>0.76</v>
      </c>
      <c r="BI615" s="37" t="n">
        <v>0.5600000000000001</v>
      </c>
      <c r="BJ615" s="37" t="n">
        <v>0.51</v>
      </c>
      <c r="BK615" s="37" t="n">
        <v>0.5600000000000001</v>
      </c>
      <c r="BL615" s="37" t="n">
        <v>0.5600000000000001</v>
      </c>
      <c r="BM615" s="37" t="n">
        <v>0.5600000000000001</v>
      </c>
      <c r="BN615" s="37" t="n">
        <v>0.41</v>
      </c>
      <c r="BO615" s="37" t="n">
        <v>0.8100000000000001</v>
      </c>
      <c r="BP615" s="37" t="n">
        <v>0.66</v>
      </c>
      <c r="BQ615" s="37" t="n">
        <v>0.5600000000000001</v>
      </c>
      <c r="BR615" s="37" t="n">
        <v>0.5600000000000001</v>
      </c>
      <c r="BS615" s="37" t="n">
        <v>0.5600000000000001</v>
      </c>
      <c r="BT615" s="37" t="n">
        <v>0.5600000000000001</v>
      </c>
      <c r="BU615" s="37" t="n">
        <v>0.3</v>
      </c>
      <c r="BV615" s="37" t="n">
        <v>0.71</v>
      </c>
      <c r="BW615" s="37" t="n">
        <v>0.5600000000000001</v>
      </c>
      <c r="BX615" s="37" t="n">
        <v>0.5600000000000001</v>
      </c>
      <c r="BY615" s="37" t="n">
        <v>0.5600000000000001</v>
      </c>
      <c r="BZ615" s="37" t="n">
        <v>0.5600000000000001</v>
      </c>
      <c r="CA615" s="37" t="n">
        <v>0.5600000000000001</v>
      </c>
      <c r="CB615" s="37" t="n">
        <v>0.3</v>
      </c>
      <c r="CC615" s="37" t="n">
        <v>98.25000000000004</v>
      </c>
    </row>
    <row r="616" ht="15.75" customHeight="1" s="57">
      <c r="A616" s="7" t="inlineStr">
        <is>
          <t>NTB</t>
        </is>
      </c>
      <c r="B616" s="7" t="inlineStr">
        <is>
          <t>Đắk Nông</t>
        </is>
      </c>
      <c r="C616" s="7" t="n">
        <v>22048000</v>
      </c>
      <c r="D616" s="7" t="inlineStr">
        <is>
          <t>(DNO) Đông Gia Nghĩa</t>
        </is>
      </c>
      <c r="E616" s="7" t="inlineStr">
        <is>
          <t>SME</t>
        </is>
      </c>
      <c r="F616" s="36" t="n">
        <v>206</v>
      </c>
      <c r="G616" s="36" t="n">
        <v>194</v>
      </c>
      <c r="H616" s="36" t="n">
        <v>235</v>
      </c>
      <c r="I616" s="36" t="n">
        <v>177</v>
      </c>
      <c r="J616" s="36" t="n">
        <v>201</v>
      </c>
      <c r="K616" s="28" t="n">
        <v>158</v>
      </c>
      <c r="L616" s="36" t="n">
        <v>98</v>
      </c>
      <c r="M616" s="36" t="n">
        <v>137</v>
      </c>
      <c r="N616" s="36" t="n">
        <v>181</v>
      </c>
      <c r="O616" s="36" t="n">
        <v>98</v>
      </c>
      <c r="P616" s="36" t="n">
        <v>174</v>
      </c>
      <c r="Q616" s="36" t="n">
        <v>94</v>
      </c>
      <c r="R616" s="28" t="n">
        <v>233</v>
      </c>
      <c r="S616" s="36" t="n">
        <v>117</v>
      </c>
      <c r="T616" s="36" t="n">
        <v>79</v>
      </c>
      <c r="U616" s="36" t="n">
        <v>183.04</v>
      </c>
      <c r="V616" s="36" t="n">
        <v>188.95</v>
      </c>
      <c r="W616" s="36" t="n">
        <v>184.17</v>
      </c>
      <c r="X616" s="36" t="n">
        <v>150.39</v>
      </c>
      <c r="Y616" s="28" t="n">
        <v>203.83</v>
      </c>
      <c r="Z616" s="36" t="n">
        <v>187.51</v>
      </c>
      <c r="AA616" s="36" t="n">
        <v>183.68</v>
      </c>
      <c r="AB616" s="36" t="n">
        <v>183.04</v>
      </c>
      <c r="AC616" s="36" t="n">
        <v>188.95</v>
      </c>
      <c r="AD616" s="36" t="n">
        <v>190.15</v>
      </c>
      <c r="AE616" s="36" t="n">
        <v>150.39</v>
      </c>
      <c r="AF616" s="28" t="n">
        <v>203.83</v>
      </c>
      <c r="AG616" s="36" t="n">
        <v>187.51</v>
      </c>
      <c r="AH616" s="37" t="n">
        <v>183.68</v>
      </c>
      <c r="AI616" s="37" t="n">
        <v>183.04</v>
      </c>
      <c r="AJ616" s="37" t="n">
        <v>188.95</v>
      </c>
      <c r="AK616" s="37" t="n">
        <v>184.17</v>
      </c>
      <c r="AL616" s="37" t="n">
        <v>150.39</v>
      </c>
      <c r="AM616" s="37" t="n">
        <v>203.83</v>
      </c>
      <c r="AN616" s="37" t="n">
        <v>187.51</v>
      </c>
      <c r="AO616" s="37" t="n">
        <v>183.68</v>
      </c>
      <c r="AP616" s="37" t="n">
        <v>183.04</v>
      </c>
      <c r="AQ616" s="37" t="n">
        <v>188.95</v>
      </c>
      <c r="AR616" s="37" t="n">
        <v>184.17</v>
      </c>
      <c r="AS616" s="37" t="n">
        <v>150.39</v>
      </c>
      <c r="AT616" s="37" t="n">
        <v>203.83</v>
      </c>
      <c r="AU616" s="37" t="n">
        <v>187.51</v>
      </c>
      <c r="AV616" s="37" t="n">
        <v>183.68</v>
      </c>
      <c r="AW616" s="37" t="n">
        <v>183.04</v>
      </c>
      <c r="AX616" s="37" t="n">
        <v>188.95</v>
      </c>
      <c r="AY616" s="37" t="n">
        <v>184.17</v>
      </c>
      <c r="AZ616" s="37" t="n">
        <v>150.39</v>
      </c>
      <c r="BA616" s="37" t="n">
        <v>183.75</v>
      </c>
      <c r="BB616" s="37" t="n">
        <v>164.67</v>
      </c>
      <c r="BC616" s="37" t="n">
        <v>103.77</v>
      </c>
      <c r="BD616" s="37" t="n">
        <v>103.6</v>
      </c>
      <c r="BE616" s="37" t="n">
        <v>175.18</v>
      </c>
      <c r="BF616" s="37" t="n">
        <v>170.61</v>
      </c>
      <c r="BG616" s="37" t="n">
        <v>155.17</v>
      </c>
      <c r="BH616" s="37" t="n">
        <v>209.89</v>
      </c>
      <c r="BI616" s="37" t="n">
        <v>193.2</v>
      </c>
      <c r="BJ616" s="37" t="n">
        <v>194.92</v>
      </c>
      <c r="BK616" s="37" t="n">
        <v>188.53</v>
      </c>
      <c r="BL616" s="37" t="n">
        <v>194.72</v>
      </c>
      <c r="BM616" s="37" t="n">
        <v>189.87</v>
      </c>
      <c r="BN616" s="37" t="n">
        <v>155.17</v>
      </c>
      <c r="BO616" s="37" t="n">
        <v>209.89</v>
      </c>
      <c r="BP616" s="37" t="n">
        <v>193.2</v>
      </c>
      <c r="BQ616" s="37" t="n">
        <v>189.38</v>
      </c>
      <c r="BR616" s="37" t="n">
        <v>188.53</v>
      </c>
      <c r="BS616" s="37" t="n">
        <v>194.72</v>
      </c>
      <c r="BT616" s="37" t="n">
        <v>189.87</v>
      </c>
      <c r="BU616" s="37" t="n">
        <v>155.17</v>
      </c>
      <c r="BV616" s="37" t="n">
        <v>209.89</v>
      </c>
      <c r="BW616" s="37" t="n">
        <v>193.2</v>
      </c>
      <c r="BX616" s="37" t="n">
        <v>189.38</v>
      </c>
      <c r="BY616" s="37" t="n">
        <v>188.53</v>
      </c>
      <c r="BZ616" s="37" t="n">
        <v>194.72</v>
      </c>
      <c r="CA616" s="37" t="n">
        <v>189.87</v>
      </c>
      <c r="CB616" s="37" t="n">
        <v>155.17</v>
      </c>
      <c r="CC616" s="37" t="n">
        <v>13245.38</v>
      </c>
    </row>
    <row r="617" ht="15.75" customHeight="1" s="57">
      <c r="A617" s="7" t="inlineStr">
        <is>
          <t>NTB</t>
        </is>
      </c>
      <c r="B617" s="7" t="inlineStr">
        <is>
          <t>Đắk Nông</t>
        </is>
      </c>
      <c r="C617" s="7" t="n">
        <v>22048000</v>
      </c>
      <c r="D617" s="7" t="inlineStr">
        <is>
          <t>(DNO) Đông Gia Nghĩa</t>
        </is>
      </c>
      <c r="E617" s="7" t="inlineStr">
        <is>
          <t>SME-Bulky</t>
        </is>
      </c>
      <c r="F617" s="36" t="n">
        <v>8</v>
      </c>
      <c r="G617" s="36" t="n">
        <v>7</v>
      </c>
      <c r="H617" s="36" t="n">
        <v>18</v>
      </c>
      <c r="I617" s="36" t="n">
        <v>4</v>
      </c>
      <c r="J617" s="36" t="n">
        <v>17</v>
      </c>
      <c r="K617" s="28" t="n">
        <v>8</v>
      </c>
      <c r="L617" s="36" t="n">
        <v>7</v>
      </c>
      <c r="M617" s="36" t="n">
        <v>8</v>
      </c>
      <c r="N617" s="36" t="n">
        <v>6</v>
      </c>
      <c r="O617" s="36" t="n">
        <v>4</v>
      </c>
      <c r="P617" s="36" t="n">
        <v>6</v>
      </c>
      <c r="Q617" s="36" t="n">
        <v>4</v>
      </c>
      <c r="R617" s="28" t="n">
        <v>13</v>
      </c>
      <c r="S617" s="36" t="n">
        <v>8</v>
      </c>
      <c r="T617" s="36" t="n">
        <v>3</v>
      </c>
      <c r="U617" s="36" t="n">
        <v>6.91</v>
      </c>
      <c r="V617" s="36" t="n">
        <v>6.88</v>
      </c>
      <c r="W617" s="36" t="n">
        <v>6.42</v>
      </c>
      <c r="X617" s="36" t="n">
        <v>4.5</v>
      </c>
      <c r="Y617" s="28" t="n">
        <v>7.66</v>
      </c>
      <c r="Z617" s="36" t="n">
        <v>7.48</v>
      </c>
      <c r="AA617" s="36" t="n">
        <v>7.06</v>
      </c>
      <c r="AB617" s="36" t="n">
        <v>6.91</v>
      </c>
      <c r="AC617" s="36" t="n">
        <v>6.88</v>
      </c>
      <c r="AD617" s="36" t="n">
        <v>6.2</v>
      </c>
      <c r="AE617" s="36" t="n">
        <v>4.5</v>
      </c>
      <c r="AF617" s="28" t="n">
        <v>7.66</v>
      </c>
      <c r="AG617" s="36" t="n">
        <v>7.48</v>
      </c>
      <c r="AH617" s="37" t="n">
        <v>7.06</v>
      </c>
      <c r="AI617" s="37" t="n">
        <v>6.91</v>
      </c>
      <c r="AJ617" s="37" t="n">
        <v>6.88</v>
      </c>
      <c r="AK617" s="37" t="n">
        <v>6.42</v>
      </c>
      <c r="AL617" s="37" t="n">
        <v>4.5</v>
      </c>
      <c r="AM617" s="37" t="n">
        <v>7.66</v>
      </c>
      <c r="AN617" s="37" t="n">
        <v>7.48</v>
      </c>
      <c r="AO617" s="37" t="n">
        <v>7.06</v>
      </c>
      <c r="AP617" s="37" t="n">
        <v>6.91</v>
      </c>
      <c r="AQ617" s="37" t="n">
        <v>6.88</v>
      </c>
      <c r="AR617" s="37" t="n">
        <v>6.42</v>
      </c>
      <c r="AS617" s="37" t="n">
        <v>4.5</v>
      </c>
      <c r="AT617" s="37" t="n">
        <v>7.66</v>
      </c>
      <c r="AU617" s="37" t="n">
        <v>7.48</v>
      </c>
      <c r="AV617" s="37" t="n">
        <v>7.06</v>
      </c>
      <c r="AW617" s="37" t="n">
        <v>6.91</v>
      </c>
      <c r="AX617" s="37" t="n">
        <v>6.88</v>
      </c>
      <c r="AY617" s="37" t="n">
        <v>6.42</v>
      </c>
      <c r="AZ617" s="37" t="n">
        <v>4.5</v>
      </c>
      <c r="BA617" s="37" t="n">
        <v>7.59</v>
      </c>
      <c r="BB617" s="37" t="n">
        <v>4.08</v>
      </c>
      <c r="BC617" s="37" t="n">
        <v>2.09</v>
      </c>
      <c r="BD617" s="37" t="n">
        <v>1.88</v>
      </c>
      <c r="BE617" s="37" t="n">
        <v>3.55</v>
      </c>
      <c r="BF617" s="37" t="n">
        <v>3.33</v>
      </c>
      <c r="BG617" s="37" t="n">
        <v>2.66</v>
      </c>
      <c r="BH617" s="37" t="n">
        <v>4.4</v>
      </c>
      <c r="BI617" s="37" t="n">
        <v>4.36</v>
      </c>
      <c r="BJ617" s="37" t="n">
        <v>4.01</v>
      </c>
      <c r="BK617" s="37" t="n">
        <v>4.04</v>
      </c>
      <c r="BL617" s="37" t="n">
        <v>4.04</v>
      </c>
      <c r="BM617" s="37" t="n">
        <v>3.79</v>
      </c>
      <c r="BN617" s="37" t="n">
        <v>2.66</v>
      </c>
      <c r="BO617" s="37" t="n">
        <v>4.4</v>
      </c>
      <c r="BP617" s="37" t="n">
        <v>4.36</v>
      </c>
      <c r="BQ617" s="37" t="n">
        <v>4.08</v>
      </c>
      <c r="BR617" s="37" t="n">
        <v>4.04</v>
      </c>
      <c r="BS617" s="37" t="n">
        <v>4.04</v>
      </c>
      <c r="BT617" s="37" t="n">
        <v>3.79</v>
      </c>
      <c r="BU617" s="37" t="n">
        <v>2.66</v>
      </c>
      <c r="BV617" s="37" t="n">
        <v>4.4</v>
      </c>
      <c r="BW617" s="37" t="n">
        <v>4.36</v>
      </c>
      <c r="BX617" s="37" t="n">
        <v>4.08</v>
      </c>
      <c r="BY617" s="37" t="n">
        <v>4.04</v>
      </c>
      <c r="BZ617" s="37" t="n">
        <v>4.04</v>
      </c>
      <c r="CA617" s="37" t="n">
        <v>3.79</v>
      </c>
      <c r="CB617" s="37" t="n">
        <v>2.66</v>
      </c>
      <c r="CC617" s="37" t="n">
        <v>440.3500000000001</v>
      </c>
    </row>
    <row r="618" ht="15.75" customHeight="1" s="57">
      <c r="A618" s="7" t="inlineStr">
        <is>
          <t>NTB</t>
        </is>
      </c>
      <c r="B618" s="7" t="inlineStr">
        <is>
          <t>Đắk Nông</t>
        </is>
      </c>
      <c r="C618" s="7" t="n">
        <v>22048000</v>
      </c>
      <c r="D618" s="7" t="inlineStr">
        <is>
          <t>(DNO) Đông Gia Nghĩa</t>
        </is>
      </c>
      <c r="E618" s="7" t="inlineStr">
        <is>
          <t>Shopee</t>
        </is>
      </c>
      <c r="F618" s="36" t="n">
        <v>142</v>
      </c>
      <c r="G618" s="36" t="n">
        <v>124</v>
      </c>
      <c r="H618" s="36" t="n">
        <v>190</v>
      </c>
      <c r="I618" s="36" t="n">
        <v>130</v>
      </c>
      <c r="J618" s="36" t="n">
        <v>131</v>
      </c>
      <c r="K618" s="28" t="n">
        <v>66</v>
      </c>
      <c r="L618" s="36" t="n">
        <v>48</v>
      </c>
      <c r="M618" s="36" t="n">
        <v>44</v>
      </c>
      <c r="N618" s="36" t="n">
        <v>68</v>
      </c>
      <c r="O618" s="36" t="n">
        <v>44</v>
      </c>
      <c r="P618" s="36" t="n">
        <v>69</v>
      </c>
      <c r="Q618" s="36" t="n">
        <v>40</v>
      </c>
      <c r="R618" s="28" t="n">
        <v>50</v>
      </c>
      <c r="S618" s="36" t="n">
        <v>52</v>
      </c>
      <c r="T618" s="36" t="n">
        <v>48</v>
      </c>
      <c r="U618" s="36" t="n">
        <v>62.37</v>
      </c>
      <c r="V618" s="36" t="n">
        <v>62.53</v>
      </c>
      <c r="W618" s="36" t="n">
        <v>61.71</v>
      </c>
      <c r="X618" s="36" t="n">
        <v>50.21</v>
      </c>
      <c r="Y618" s="28" t="n">
        <v>83.84999999999999</v>
      </c>
      <c r="Z618" s="36" t="n">
        <v>66.51000000000001</v>
      </c>
      <c r="AA618" s="36" t="n">
        <v>91.42</v>
      </c>
      <c r="AB618" s="36" t="n">
        <v>63.57</v>
      </c>
      <c r="AC618" s="36" t="n">
        <v>51.35</v>
      </c>
      <c r="AD618" s="36" t="n">
        <v>117.15</v>
      </c>
      <c r="AE618" s="36" t="n">
        <v>53.86</v>
      </c>
      <c r="AF618" s="28" t="n">
        <v>95.89</v>
      </c>
      <c r="AG618" s="36" t="n">
        <v>69.67</v>
      </c>
      <c r="AH618" s="37" t="n">
        <v>73.65000000000001</v>
      </c>
      <c r="AI618" s="37" t="n">
        <v>62.37</v>
      </c>
      <c r="AJ618" s="37" t="n">
        <v>62.53</v>
      </c>
      <c r="AK618" s="37" t="n">
        <v>83.19</v>
      </c>
      <c r="AL618" s="37" t="n">
        <v>90.11</v>
      </c>
      <c r="AM618" s="37" t="n">
        <v>83.84999999999999</v>
      </c>
      <c r="AN618" s="37" t="n">
        <v>66.51000000000001</v>
      </c>
      <c r="AO618" s="37" t="n">
        <v>73.65000000000001</v>
      </c>
      <c r="AP618" s="37" t="n">
        <v>78.01000000000001</v>
      </c>
      <c r="AQ618" s="37" t="n">
        <v>50.21</v>
      </c>
      <c r="AR618" s="37" t="n">
        <v>61.71</v>
      </c>
      <c r="AS618" s="37" t="n">
        <v>50.21</v>
      </c>
      <c r="AT618" s="37" t="n">
        <v>83.84999999999999</v>
      </c>
      <c r="AU618" s="37" t="n">
        <v>67.76000000000001</v>
      </c>
      <c r="AV618" s="37" t="n">
        <v>75.18000000000001</v>
      </c>
      <c r="AW618" s="37" t="n">
        <v>62.37</v>
      </c>
      <c r="AX618" s="37" t="n">
        <v>62.53</v>
      </c>
      <c r="AY618" s="37" t="n">
        <v>61.71</v>
      </c>
      <c r="AZ618" s="37" t="n">
        <v>50.21</v>
      </c>
      <c r="BA618" s="37" t="n">
        <v>64.70999999999999</v>
      </c>
      <c r="BB618" s="37" t="n">
        <v>56.37</v>
      </c>
      <c r="BC618" s="37" t="n">
        <v>28.78</v>
      </c>
      <c r="BD618" s="37" t="n">
        <v>51.3</v>
      </c>
      <c r="BE618" s="37" t="n">
        <v>59.59</v>
      </c>
      <c r="BF618" s="37" t="n">
        <v>58.88</v>
      </c>
      <c r="BG618" s="37" t="n">
        <v>48.9</v>
      </c>
      <c r="BH618" s="37" t="n">
        <v>79.87</v>
      </c>
      <c r="BI618" s="37" t="n">
        <v>52.28</v>
      </c>
      <c r="BJ618" s="37" t="n">
        <v>166.55</v>
      </c>
      <c r="BK618" s="37" t="n">
        <v>63.57</v>
      </c>
      <c r="BL618" s="37" t="n">
        <v>62.64</v>
      </c>
      <c r="BM618" s="37" t="n">
        <v>58.88</v>
      </c>
      <c r="BN618" s="37" t="n">
        <v>47.97</v>
      </c>
      <c r="BO618" s="37" t="n">
        <v>79.87</v>
      </c>
      <c r="BP618" s="37" t="n">
        <v>85.64</v>
      </c>
      <c r="BQ618" s="37" t="n">
        <v>126.04</v>
      </c>
      <c r="BR618" s="37" t="n">
        <v>59.42</v>
      </c>
      <c r="BS618" s="37" t="n">
        <v>59.59</v>
      </c>
      <c r="BT618" s="37" t="n">
        <v>58.88</v>
      </c>
      <c r="BU618" s="37" t="n">
        <v>59.75</v>
      </c>
      <c r="BV618" s="37" t="n">
        <v>64.06</v>
      </c>
      <c r="BW618" s="37" t="n">
        <v>63.35</v>
      </c>
      <c r="BX618" s="37" t="n">
        <v>70.05</v>
      </c>
      <c r="BY618" s="37" t="n">
        <v>59.42</v>
      </c>
      <c r="BZ618" s="37" t="n">
        <v>60.89</v>
      </c>
      <c r="CA618" s="37" t="n">
        <v>59.97</v>
      </c>
      <c r="CB618" s="37" t="n">
        <v>47.97</v>
      </c>
      <c r="CC618" s="37" t="n">
        <v>5330.890000000004</v>
      </c>
    </row>
    <row r="619" ht="15.75" customHeight="1" s="57">
      <c r="A619" s="7" t="inlineStr">
        <is>
          <t>NTB</t>
        </is>
      </c>
      <c r="B619" s="7" t="inlineStr">
        <is>
          <t>Đắk Nông</t>
        </is>
      </c>
      <c r="C619" s="7" t="n">
        <v>22048000</v>
      </c>
      <c r="D619" s="7" t="inlineStr">
        <is>
          <t>(DNO) Đông Gia Nghĩa</t>
        </is>
      </c>
      <c r="E619" s="7" t="inlineStr">
        <is>
          <t>Shopee-Bulky</t>
        </is>
      </c>
      <c r="F619" s="36" t="n">
        <v>9.75</v>
      </c>
      <c r="G619" s="36" t="n">
        <v>5.2</v>
      </c>
      <c r="H619" s="36" t="n">
        <v>14.94</v>
      </c>
      <c r="I619" s="36" t="n">
        <v>7.15</v>
      </c>
      <c r="J619" s="36" t="n">
        <v>11.04</v>
      </c>
      <c r="K619" s="28" t="n">
        <v>4.55</v>
      </c>
      <c r="L619" s="36" t="n">
        <v>4.55</v>
      </c>
      <c r="M619" s="36" t="n">
        <v>2.6</v>
      </c>
      <c r="N619" s="36" t="n">
        <v>7.8</v>
      </c>
      <c r="O619" s="36" t="n">
        <v>5.2</v>
      </c>
      <c r="P619" s="36" t="n">
        <v>7.15</v>
      </c>
      <c r="Q619" s="36" t="n">
        <v>4.55</v>
      </c>
      <c r="R619" s="28" t="n">
        <v>4.55</v>
      </c>
      <c r="S619" s="36" t="n">
        <v>9.75</v>
      </c>
      <c r="T619" s="36" t="n">
        <v>3.25</v>
      </c>
      <c r="U619" s="36" t="n">
        <v>5.44</v>
      </c>
      <c r="V619" s="36" t="n">
        <v>5.05</v>
      </c>
      <c r="W619" s="36" t="n">
        <v>7.04</v>
      </c>
      <c r="X619" s="36" t="n">
        <v>3.98</v>
      </c>
      <c r="Y619" s="28" t="n">
        <v>7.99</v>
      </c>
      <c r="Z619" s="36" t="n">
        <v>6.32</v>
      </c>
      <c r="AA619" s="36" t="n">
        <v>6.1</v>
      </c>
      <c r="AB619" s="36" t="n">
        <v>6.26</v>
      </c>
      <c r="AC619" s="36" t="n">
        <v>6.16</v>
      </c>
      <c r="AD619" s="36" t="n">
        <v>14.41</v>
      </c>
      <c r="AE619" s="36" t="n">
        <v>10.43</v>
      </c>
      <c r="AF619" s="28" t="n">
        <v>15.74</v>
      </c>
      <c r="AG619" s="36" t="n">
        <v>8.960000000000001</v>
      </c>
      <c r="AH619" s="37" t="n">
        <v>6.32</v>
      </c>
      <c r="AI619" s="37" t="n">
        <v>6.16</v>
      </c>
      <c r="AJ619" s="37" t="n">
        <v>5.61</v>
      </c>
      <c r="AK619" s="37" t="n">
        <v>13.5</v>
      </c>
      <c r="AL619" s="37" t="n">
        <v>6.52</v>
      </c>
      <c r="AM619" s="37" t="n">
        <v>10.04</v>
      </c>
      <c r="AN619" s="37" t="n">
        <v>6.26</v>
      </c>
      <c r="AO619" s="37" t="n">
        <v>6</v>
      </c>
      <c r="AP619" s="37" t="n">
        <v>8.210000000000001</v>
      </c>
      <c r="AQ619" s="37" t="n">
        <v>7.92</v>
      </c>
      <c r="AR619" s="37" t="n">
        <v>6.49</v>
      </c>
      <c r="AS619" s="37" t="n">
        <v>3.65</v>
      </c>
      <c r="AT619" s="37" t="n">
        <v>7.24</v>
      </c>
      <c r="AU619" s="37" t="n">
        <v>12.29</v>
      </c>
      <c r="AV619" s="37" t="n">
        <v>12.68</v>
      </c>
      <c r="AW619" s="37" t="n">
        <v>6</v>
      </c>
      <c r="AX619" s="37" t="n">
        <v>5.38</v>
      </c>
      <c r="AY619" s="37" t="n">
        <v>6.26</v>
      </c>
      <c r="AZ619" s="37" t="n">
        <v>3.46</v>
      </c>
      <c r="BA619" s="37" t="n">
        <v>6.68</v>
      </c>
      <c r="BB619" s="37" t="n">
        <v>6.19</v>
      </c>
      <c r="BC619" s="37" t="n">
        <v>1.86</v>
      </c>
      <c r="BD619" s="37" t="n">
        <v>5.35</v>
      </c>
      <c r="BE619" s="37" t="n">
        <v>6.32</v>
      </c>
      <c r="BF619" s="37" t="n">
        <v>5.57</v>
      </c>
      <c r="BG619" s="37" t="n">
        <v>4.53</v>
      </c>
      <c r="BH619" s="37" t="n">
        <v>8.640000000000001</v>
      </c>
      <c r="BI619" s="37" t="n">
        <v>7.33</v>
      </c>
      <c r="BJ619" s="37" t="n">
        <v>23.08</v>
      </c>
      <c r="BK619" s="37" t="n">
        <v>15.65</v>
      </c>
      <c r="BL619" s="37" t="n">
        <v>8.08</v>
      </c>
      <c r="BM619" s="37" t="n">
        <v>6</v>
      </c>
      <c r="BN619" s="37" t="n">
        <v>4.56</v>
      </c>
      <c r="BO619" s="37" t="n">
        <v>9.68</v>
      </c>
      <c r="BP619" s="37" t="n">
        <v>14.86</v>
      </c>
      <c r="BQ619" s="37" t="n">
        <v>10.53</v>
      </c>
      <c r="BR619" s="37" t="n">
        <v>6.88</v>
      </c>
      <c r="BS619" s="37" t="n">
        <v>6.32</v>
      </c>
      <c r="BT619" s="37" t="n">
        <v>5.57</v>
      </c>
      <c r="BU619" s="37" t="n">
        <v>6.58</v>
      </c>
      <c r="BV619" s="37" t="n">
        <v>8.960000000000001</v>
      </c>
      <c r="BW619" s="37" t="n">
        <v>7.33</v>
      </c>
      <c r="BX619" s="37" t="n">
        <v>6.94</v>
      </c>
      <c r="BY619" s="37" t="n">
        <v>6.88</v>
      </c>
      <c r="BZ619" s="37" t="n">
        <v>11.96</v>
      </c>
      <c r="CA619" s="37" t="n">
        <v>6.49</v>
      </c>
      <c r="CB619" s="37" t="n">
        <v>4.34</v>
      </c>
      <c r="CC619" s="37" t="n">
        <v>569.0600000000001</v>
      </c>
    </row>
    <row r="620" ht="15.75" customHeight="1" s="57">
      <c r="A620" s="7" t="inlineStr">
        <is>
          <t>NTB</t>
        </is>
      </c>
      <c r="B620" s="7" t="inlineStr">
        <is>
          <t>Đắk Nông</t>
        </is>
      </c>
      <c r="C620" s="7" t="n">
        <v>22048000</v>
      </c>
      <c r="D620" s="7" t="inlineStr">
        <is>
          <t>(DNO) Đông Gia Nghĩa</t>
        </is>
      </c>
      <c r="E620" s="7" t="inlineStr">
        <is>
          <t>Shopee-Bulky (10-15kg)</t>
        </is>
      </c>
      <c r="F620" s="36" t="n">
        <v>5.25</v>
      </c>
      <c r="G620" s="36" t="n">
        <v>2.8</v>
      </c>
      <c r="H620" s="36" t="n">
        <v>8.06</v>
      </c>
      <c r="I620" s="36" t="n">
        <v>3.85</v>
      </c>
      <c r="J620" s="36" t="n">
        <v>5.96</v>
      </c>
      <c r="K620" s="28" t="n">
        <v>2.45</v>
      </c>
      <c r="L620" s="36" t="n">
        <v>2.45</v>
      </c>
      <c r="M620" s="36" t="n">
        <v>1.4</v>
      </c>
      <c r="N620" s="36" t="n">
        <v>4.2</v>
      </c>
      <c r="O620" s="36" t="n">
        <v>2.8</v>
      </c>
      <c r="P620" s="36" t="n">
        <v>3.85</v>
      </c>
      <c r="Q620" s="36" t="n">
        <v>2.45</v>
      </c>
      <c r="R620" s="28" t="n">
        <v>2.45</v>
      </c>
      <c r="S620" s="36" t="n">
        <v>5.25</v>
      </c>
      <c r="T620" s="36" t="n">
        <v>1.75</v>
      </c>
      <c r="U620" s="36" t="n">
        <v>2.84</v>
      </c>
      <c r="V620" s="36" t="n">
        <v>2.74</v>
      </c>
      <c r="W620" s="36" t="n">
        <v>3.78</v>
      </c>
      <c r="X620" s="36" t="n">
        <v>2.22</v>
      </c>
      <c r="Y620" s="28" t="n">
        <v>4.11</v>
      </c>
      <c r="Z620" s="36" t="n">
        <v>3.16</v>
      </c>
      <c r="AA620" s="36" t="n">
        <v>3.1</v>
      </c>
      <c r="AB620" s="36" t="n">
        <v>3.16</v>
      </c>
      <c r="AC620" s="36" t="n">
        <v>3.23</v>
      </c>
      <c r="AD620" s="36" t="n">
        <v>13.3</v>
      </c>
      <c r="AE620" s="36" t="n">
        <v>5.57</v>
      </c>
      <c r="AF620" s="28" t="n">
        <v>8.15</v>
      </c>
      <c r="AG620" s="36" t="n">
        <v>4.56</v>
      </c>
      <c r="AH620" s="37" t="n">
        <v>3.16</v>
      </c>
      <c r="AI620" s="37" t="n">
        <v>3.19</v>
      </c>
      <c r="AJ620" s="37" t="n">
        <v>2.87</v>
      </c>
      <c r="AK620" s="37" t="n">
        <v>7.46</v>
      </c>
      <c r="AL620" s="37" t="n">
        <v>3.46</v>
      </c>
      <c r="AM620" s="37" t="n">
        <v>5.15</v>
      </c>
      <c r="AN620" s="37" t="n">
        <v>3.13</v>
      </c>
      <c r="AO620" s="37" t="n">
        <v>3.1</v>
      </c>
      <c r="AP620" s="37" t="n">
        <v>4.11</v>
      </c>
      <c r="AQ620" s="37" t="n">
        <v>4.14</v>
      </c>
      <c r="AR620" s="37" t="n">
        <v>3.49</v>
      </c>
      <c r="AS620" s="37" t="n">
        <v>2.02</v>
      </c>
      <c r="AT620" s="37" t="n">
        <v>3.75</v>
      </c>
      <c r="AU620" s="37" t="n">
        <v>6.85</v>
      </c>
      <c r="AV620" s="37" t="n">
        <v>6.65</v>
      </c>
      <c r="AW620" s="37" t="n">
        <v>2.93</v>
      </c>
      <c r="AX620" s="37" t="n">
        <v>2.77</v>
      </c>
      <c r="AY620" s="37" t="n">
        <v>3.39</v>
      </c>
      <c r="AZ620" s="37" t="n">
        <v>1.89</v>
      </c>
      <c r="BA620" s="37" t="n">
        <v>3.49</v>
      </c>
      <c r="BB620" s="37" t="n">
        <v>3.26</v>
      </c>
      <c r="BC620" s="37" t="n">
        <v>0.8100000000000001</v>
      </c>
      <c r="BD620" s="37" t="n">
        <v>2.9</v>
      </c>
      <c r="BE620" s="37" t="n">
        <v>3.32</v>
      </c>
      <c r="BF620" s="37" t="n">
        <v>3.03</v>
      </c>
      <c r="BG620" s="37" t="n">
        <v>2.64</v>
      </c>
      <c r="BH620" s="37" t="n">
        <v>4.53</v>
      </c>
      <c r="BI620" s="37" t="n">
        <v>3.78</v>
      </c>
      <c r="BJ620" s="37" t="n">
        <v>18.55</v>
      </c>
      <c r="BK620" s="37" t="n">
        <v>8.539999999999999</v>
      </c>
      <c r="BL620" s="37" t="n">
        <v>4.14</v>
      </c>
      <c r="BM620" s="37" t="n">
        <v>3.13</v>
      </c>
      <c r="BN620" s="37" t="n">
        <v>2.58</v>
      </c>
      <c r="BO620" s="37" t="n">
        <v>5.09</v>
      </c>
      <c r="BP620" s="37" t="n">
        <v>7.95</v>
      </c>
      <c r="BQ620" s="37" t="n">
        <v>5.44</v>
      </c>
      <c r="BR620" s="37" t="n">
        <v>3.52</v>
      </c>
      <c r="BS620" s="37" t="n">
        <v>3.32</v>
      </c>
      <c r="BT620" s="37" t="n">
        <v>3.03</v>
      </c>
      <c r="BU620" s="37" t="n">
        <v>3.39</v>
      </c>
      <c r="BV620" s="37" t="n">
        <v>4.66</v>
      </c>
      <c r="BW620" s="37" t="n">
        <v>3.78</v>
      </c>
      <c r="BX620" s="37" t="n">
        <v>3.65</v>
      </c>
      <c r="BY620" s="37" t="n">
        <v>3.52</v>
      </c>
      <c r="BZ620" s="37" t="n">
        <v>6.45</v>
      </c>
      <c r="CA620" s="37" t="n">
        <v>3.49</v>
      </c>
      <c r="CB620" s="37" t="n">
        <v>2.51</v>
      </c>
      <c r="CC620" s="37" t="n">
        <v>312.8999999999999</v>
      </c>
    </row>
    <row r="621" ht="15.75" customHeight="1" s="57">
      <c r="A621" s="7" t="inlineStr">
        <is>
          <t>NTB</t>
        </is>
      </c>
      <c r="B621" s="7" t="inlineStr">
        <is>
          <t>Đắk Nông</t>
        </is>
      </c>
      <c r="C621" s="7" t="n">
        <v>22048000</v>
      </c>
      <c r="D621" s="7" t="inlineStr">
        <is>
          <t>(DNO) Đông Gia Nghĩa</t>
        </is>
      </c>
      <c r="E621" s="7" t="inlineStr">
        <is>
          <t>TTS</t>
        </is>
      </c>
      <c r="F621" s="36" t="n">
        <v>94</v>
      </c>
      <c r="G621" s="36" t="n">
        <v>133</v>
      </c>
      <c r="H621" s="36" t="n">
        <v>121</v>
      </c>
      <c r="I621" s="36" t="n">
        <v>103</v>
      </c>
      <c r="J621" s="36" t="n">
        <v>100</v>
      </c>
      <c r="K621" s="28" t="n">
        <v>65</v>
      </c>
      <c r="L621" s="36" t="n">
        <v>76</v>
      </c>
      <c r="M621" s="36" t="n">
        <v>75</v>
      </c>
      <c r="N621" s="36" t="n">
        <v>120</v>
      </c>
      <c r="O621" s="36" t="n">
        <v>59</v>
      </c>
      <c r="P621" s="36" t="n">
        <v>121</v>
      </c>
      <c r="Q621" s="36" t="n">
        <v>58</v>
      </c>
      <c r="R621" s="28" t="n">
        <v>113</v>
      </c>
      <c r="S621" s="36" t="n">
        <v>59</v>
      </c>
      <c r="T621" s="36" t="n">
        <v>52</v>
      </c>
      <c r="U621" s="36" t="n">
        <v>87.04000000000001</v>
      </c>
      <c r="V621" s="36" t="n">
        <v>85.77000000000001</v>
      </c>
      <c r="W621" s="36" t="n">
        <v>83.72</v>
      </c>
      <c r="X621" s="36" t="n">
        <v>67.52</v>
      </c>
      <c r="Y621" s="28" t="n">
        <v>98.81</v>
      </c>
      <c r="Z621" s="36" t="n">
        <v>84.11</v>
      </c>
      <c r="AA621" s="36" t="n">
        <v>92.69999999999999</v>
      </c>
      <c r="AB621" s="36" t="n">
        <v>102.97</v>
      </c>
      <c r="AC621" s="36" t="n">
        <v>108.8</v>
      </c>
      <c r="AD621" s="36" t="n">
        <v>119.5</v>
      </c>
      <c r="AE621" s="36" t="n">
        <v>78.44</v>
      </c>
      <c r="AF621" s="28" t="n">
        <v>101.91</v>
      </c>
      <c r="AG621" s="36" t="n">
        <v>85.44000000000001</v>
      </c>
      <c r="AH621" s="37" t="n">
        <v>84.38000000000001</v>
      </c>
      <c r="AI621" s="37" t="n">
        <v>96.54000000000001</v>
      </c>
      <c r="AJ621" s="37" t="n">
        <v>103.64</v>
      </c>
      <c r="AK621" s="37" t="n">
        <v>102.19</v>
      </c>
      <c r="AL621" s="37" t="n">
        <v>72.84999999999999</v>
      </c>
      <c r="AM621" s="37" t="n">
        <v>100.36</v>
      </c>
      <c r="AN621" s="37" t="n">
        <v>86.49000000000001</v>
      </c>
      <c r="AO621" s="37" t="n">
        <v>85.66</v>
      </c>
      <c r="AP621" s="37" t="n">
        <v>83.39</v>
      </c>
      <c r="AQ621" s="37" t="n">
        <v>84.33000000000001</v>
      </c>
      <c r="AR621" s="37" t="n">
        <v>82.77000000000001</v>
      </c>
      <c r="AS621" s="37" t="n">
        <v>67.73999999999999</v>
      </c>
      <c r="AT621" s="37" t="n">
        <v>108.35</v>
      </c>
      <c r="AU621" s="37" t="n">
        <v>98.09</v>
      </c>
      <c r="AV621" s="37" t="n">
        <v>87.10000000000001</v>
      </c>
      <c r="AW621" s="37" t="n">
        <v>82.23</v>
      </c>
      <c r="AX621" s="37" t="n">
        <v>81.89</v>
      </c>
      <c r="AY621" s="37" t="n">
        <v>81.61</v>
      </c>
      <c r="AZ621" s="37" t="n">
        <v>67.73999999999999</v>
      </c>
      <c r="BA621" s="37" t="n">
        <v>98.03</v>
      </c>
      <c r="BB621" s="37" t="n">
        <v>91.42999999999999</v>
      </c>
      <c r="BC621" s="37" t="n">
        <v>54.32</v>
      </c>
      <c r="BD621" s="37" t="n">
        <v>78.72</v>
      </c>
      <c r="BE621" s="37" t="n">
        <v>92.64999999999999</v>
      </c>
      <c r="BF621" s="37" t="n">
        <v>90.16</v>
      </c>
      <c r="BG621" s="37" t="n">
        <v>72.90000000000001</v>
      </c>
      <c r="BH621" s="37" t="n">
        <v>108.3</v>
      </c>
      <c r="BI621" s="37" t="n">
        <v>91.42999999999999</v>
      </c>
      <c r="BJ621" s="37" t="n">
        <v>90.65000000000001</v>
      </c>
      <c r="BK621" s="37" t="n">
        <v>92.42999999999999</v>
      </c>
      <c r="BL621" s="37" t="n">
        <v>92.64999999999999</v>
      </c>
      <c r="BM621" s="37" t="n">
        <v>90.16</v>
      </c>
      <c r="BN621" s="37" t="n">
        <v>72.90000000000001</v>
      </c>
      <c r="BO621" s="37" t="n">
        <v>108.3</v>
      </c>
      <c r="BP621" s="37" t="n">
        <v>91.42999999999999</v>
      </c>
      <c r="BQ621" s="37" t="n">
        <v>90.38</v>
      </c>
      <c r="BR621" s="37" t="n">
        <v>92.42999999999999</v>
      </c>
      <c r="BS621" s="37" t="n">
        <v>92.64999999999999</v>
      </c>
      <c r="BT621" s="37" t="n">
        <v>90.16</v>
      </c>
      <c r="BU621" s="37" t="n">
        <v>72.90000000000001</v>
      </c>
      <c r="BV621" s="37" t="n">
        <v>108.3</v>
      </c>
      <c r="BW621" s="37" t="n">
        <v>91.42999999999999</v>
      </c>
      <c r="BX621" s="37" t="n">
        <v>90.38</v>
      </c>
      <c r="BY621" s="37" t="n">
        <v>92.42999999999999</v>
      </c>
      <c r="BZ621" s="37" t="n">
        <v>92.64999999999999</v>
      </c>
      <c r="CA621" s="37" t="n">
        <v>90.16</v>
      </c>
      <c r="CB621" s="37" t="n">
        <v>72.90000000000001</v>
      </c>
      <c r="CC621" s="37" t="n">
        <v>6696.309999999998</v>
      </c>
    </row>
    <row r="622" ht="15.75" customHeight="1" s="57">
      <c r="A622" s="7" t="inlineStr">
        <is>
          <t>NTB</t>
        </is>
      </c>
      <c r="B622" s="7" t="inlineStr">
        <is>
          <t>Đắk Nông</t>
        </is>
      </c>
      <c r="C622" s="7" t="n">
        <v>22048000</v>
      </c>
      <c r="D622" s="7" t="inlineStr">
        <is>
          <t>(DNO) Đông Gia Nghĩa</t>
        </is>
      </c>
      <c r="E622" s="7" t="inlineStr">
        <is>
          <t>TTS-Bulky</t>
        </is>
      </c>
      <c r="F622" s="36" t="n">
        <v>0</v>
      </c>
      <c r="G622" s="36" t="n">
        <v>1</v>
      </c>
      <c r="H622" s="36" t="n">
        <v>3</v>
      </c>
      <c r="I622" s="36" t="n">
        <v>4</v>
      </c>
      <c r="J622" s="36" t="n">
        <v>1</v>
      </c>
      <c r="K622" s="28" t="n">
        <v>2</v>
      </c>
      <c r="L622" s="36" t="n">
        <v>3</v>
      </c>
      <c r="M622" s="36" t="n">
        <v>1</v>
      </c>
      <c r="N622" s="36" t="n">
        <v>0</v>
      </c>
      <c r="O622" s="36" t="n">
        <v>4</v>
      </c>
      <c r="P622" s="36" t="n">
        <v>1</v>
      </c>
      <c r="Q622" s="36" t="n">
        <v>0</v>
      </c>
      <c r="R622" s="28" t="n">
        <v>0</v>
      </c>
      <c r="S622" s="36" t="n">
        <v>0</v>
      </c>
      <c r="T622" s="36" t="n">
        <v>0</v>
      </c>
      <c r="U622" s="36" t="n">
        <v>4.27</v>
      </c>
      <c r="V622" s="36" t="n">
        <v>4.6</v>
      </c>
      <c r="W622" s="36" t="n">
        <v>2.19</v>
      </c>
      <c r="X622" s="36" t="n">
        <v>1.32</v>
      </c>
      <c r="Y622" s="28" t="n">
        <v>2.79</v>
      </c>
      <c r="Z622" s="36" t="n">
        <v>2.14</v>
      </c>
      <c r="AA622" s="36" t="n">
        <v>2.3</v>
      </c>
      <c r="AB622" s="36" t="n">
        <v>2.47</v>
      </c>
      <c r="AC622" s="36" t="n">
        <v>2.52</v>
      </c>
      <c r="AD622" s="36" t="n">
        <v>2.19</v>
      </c>
      <c r="AE622" s="36" t="n">
        <v>1.59</v>
      </c>
      <c r="AF622" s="28" t="n">
        <v>2.96</v>
      </c>
      <c r="AG622" s="36" t="n">
        <v>2.19</v>
      </c>
      <c r="AH622" s="37" t="n">
        <v>2.14</v>
      </c>
      <c r="AI622" s="37" t="n">
        <v>2.3</v>
      </c>
      <c r="AJ622" s="37" t="n">
        <v>2.47</v>
      </c>
      <c r="AK622" s="37" t="n">
        <v>2.58</v>
      </c>
      <c r="AL622" s="37" t="n">
        <v>1.32</v>
      </c>
      <c r="AM622" s="37" t="n">
        <v>2.85</v>
      </c>
      <c r="AN622" s="37" t="n">
        <v>2.08</v>
      </c>
      <c r="AO622" s="37" t="n">
        <v>2.19</v>
      </c>
      <c r="AP622" s="37" t="n">
        <v>2.14</v>
      </c>
      <c r="AQ622" s="37" t="n">
        <v>2.36</v>
      </c>
      <c r="AR622" s="37" t="n">
        <v>2.19</v>
      </c>
      <c r="AS622" s="37" t="n">
        <v>1.32</v>
      </c>
      <c r="AT622" s="37" t="n">
        <v>3.01</v>
      </c>
      <c r="AU622" s="37" t="n">
        <v>2.41</v>
      </c>
      <c r="AV622" s="37" t="n">
        <v>2.19</v>
      </c>
      <c r="AW622" s="37" t="n">
        <v>2.08</v>
      </c>
      <c r="AX622" s="37" t="n">
        <v>2.36</v>
      </c>
      <c r="AY622" s="37" t="n">
        <v>2.19</v>
      </c>
      <c r="AZ622" s="37" t="n">
        <v>1.32</v>
      </c>
      <c r="BA622" s="37" t="n">
        <v>2.58</v>
      </c>
      <c r="BB622" s="37" t="n">
        <v>0.6</v>
      </c>
      <c r="BC622" s="37" t="n">
        <v>0.27</v>
      </c>
      <c r="BD622" s="37" t="n">
        <v>0.44</v>
      </c>
      <c r="BE622" s="37" t="n">
        <v>0.6</v>
      </c>
      <c r="BF622" s="37" t="n">
        <v>0.6</v>
      </c>
      <c r="BG622" s="37" t="n">
        <v>0.38</v>
      </c>
      <c r="BH622" s="37" t="n">
        <v>0.82</v>
      </c>
      <c r="BI622" s="37" t="n">
        <v>0.6</v>
      </c>
      <c r="BJ622" s="37" t="n">
        <v>0.55</v>
      </c>
      <c r="BK622" s="37" t="n">
        <v>0.6</v>
      </c>
      <c r="BL622" s="37" t="n">
        <v>0.6</v>
      </c>
      <c r="BM622" s="37" t="n">
        <v>0.6</v>
      </c>
      <c r="BN622" s="37" t="n">
        <v>0.44</v>
      </c>
      <c r="BO622" s="37" t="n">
        <v>0.88</v>
      </c>
      <c r="BP622" s="37" t="n">
        <v>0.71</v>
      </c>
      <c r="BQ622" s="37" t="n">
        <v>0.6</v>
      </c>
      <c r="BR622" s="37" t="n">
        <v>0.6</v>
      </c>
      <c r="BS622" s="37" t="n">
        <v>0.6</v>
      </c>
      <c r="BT622" s="37" t="n">
        <v>0.6</v>
      </c>
      <c r="BU622" s="37" t="n">
        <v>0.33</v>
      </c>
      <c r="BV622" s="37" t="n">
        <v>0.77</v>
      </c>
      <c r="BW622" s="37" t="n">
        <v>0.6</v>
      </c>
      <c r="BX622" s="37" t="n">
        <v>0.6</v>
      </c>
      <c r="BY622" s="37" t="n">
        <v>0.6</v>
      </c>
      <c r="BZ622" s="37" t="n">
        <v>0.6</v>
      </c>
      <c r="CA622" s="37" t="n">
        <v>0.6</v>
      </c>
      <c r="CB622" s="37" t="n">
        <v>0.33</v>
      </c>
      <c r="CC622" s="37" t="n">
        <v>113.1299999999998</v>
      </c>
    </row>
    <row r="623" ht="15.75" customHeight="1" s="57">
      <c r="A623" s="7" t="inlineStr">
        <is>
          <t>NTB</t>
        </is>
      </c>
      <c r="B623" s="7" t="inlineStr">
        <is>
          <t>Đắk Nông</t>
        </is>
      </c>
      <c r="C623" s="7" t="n">
        <v>22048001</v>
      </c>
      <c r="D623" s="7" t="inlineStr">
        <is>
          <t>(DNO) ĐL Nam Gia Nghĩa 2</t>
        </is>
      </c>
      <c r="E623" s="7" t="inlineStr">
        <is>
          <t>SME</t>
        </is>
      </c>
      <c r="F623" s="36" t="n">
        <v>1</v>
      </c>
      <c r="G623" s="36" t="n">
        <v>0</v>
      </c>
      <c r="H623" s="36" t="n">
        <v>0</v>
      </c>
      <c r="I623" s="36" t="n">
        <v>0</v>
      </c>
      <c r="J623" s="36" t="n">
        <v>0</v>
      </c>
      <c r="K623" s="28" t="n">
        <v>0</v>
      </c>
      <c r="L623" s="36" t="n">
        <v>0</v>
      </c>
      <c r="M623" s="36" t="n">
        <v>0</v>
      </c>
      <c r="N623" s="36" t="n">
        <v>0</v>
      </c>
      <c r="O623" s="36" t="n">
        <v>0</v>
      </c>
      <c r="P623" s="36" t="n">
        <v>0</v>
      </c>
      <c r="Q623" s="36" t="n">
        <v>0</v>
      </c>
      <c r="R623" s="28" t="n">
        <v>0</v>
      </c>
      <c r="S623" s="36" t="n">
        <v>0</v>
      </c>
      <c r="T623" s="36" t="n">
        <v>0</v>
      </c>
      <c r="U623" s="36" t="n">
        <v>0</v>
      </c>
      <c r="V623" s="36" t="n">
        <v>0</v>
      </c>
      <c r="W623" s="36" t="n">
        <v>0</v>
      </c>
      <c r="X623" s="36" t="n">
        <v>0</v>
      </c>
      <c r="Y623" s="28" t="n">
        <v>0</v>
      </c>
      <c r="Z623" s="36" t="n">
        <v>0</v>
      </c>
      <c r="AA623" s="36" t="n">
        <v>0</v>
      </c>
      <c r="AB623" s="36" t="n">
        <v>0</v>
      </c>
      <c r="AC623" s="36" t="n">
        <v>0</v>
      </c>
      <c r="AD623" s="36" t="n">
        <v>0</v>
      </c>
      <c r="AE623" s="36" t="n">
        <v>0</v>
      </c>
      <c r="AF623" s="28" t="n">
        <v>0</v>
      </c>
      <c r="AG623" s="36" t="n">
        <v>0</v>
      </c>
      <c r="AH623" s="37" t="n">
        <v>0</v>
      </c>
      <c r="AI623" s="37" t="n">
        <v>0</v>
      </c>
      <c r="AJ623" s="37" t="n">
        <v>0</v>
      </c>
      <c r="AK623" s="37" t="n">
        <v>0</v>
      </c>
      <c r="AL623" s="37" t="n">
        <v>0</v>
      </c>
      <c r="AM623" s="37" t="n">
        <v>0</v>
      </c>
      <c r="AN623" s="37" t="n">
        <v>0</v>
      </c>
      <c r="AO623" s="37" t="n">
        <v>0</v>
      </c>
      <c r="AP623" s="37" t="n">
        <v>0</v>
      </c>
      <c r="AQ623" s="37" t="n">
        <v>0</v>
      </c>
      <c r="AR623" s="37" t="n">
        <v>0</v>
      </c>
      <c r="AS623" s="37" t="n">
        <v>0</v>
      </c>
      <c r="AT623" s="37" t="n">
        <v>0</v>
      </c>
      <c r="AU623" s="37" t="n">
        <v>0</v>
      </c>
      <c r="AV623" s="37" t="n">
        <v>0</v>
      </c>
      <c r="AW623" s="37" t="n">
        <v>0</v>
      </c>
      <c r="AX623" s="37" t="n">
        <v>0</v>
      </c>
      <c r="AY623" s="37" t="n">
        <v>0</v>
      </c>
      <c r="AZ623" s="37" t="n">
        <v>0</v>
      </c>
      <c r="BA623" s="37" t="n">
        <v>0</v>
      </c>
      <c r="BB623" s="37" t="n">
        <v>0</v>
      </c>
      <c r="BC623" s="37" t="n">
        <v>0</v>
      </c>
      <c r="BD623" s="37" t="n">
        <v>0</v>
      </c>
      <c r="BE623" s="37" t="n">
        <v>0</v>
      </c>
      <c r="BF623" s="37" t="n">
        <v>0</v>
      </c>
      <c r="BG623" s="37" t="n">
        <v>0</v>
      </c>
      <c r="BH623" s="37" t="n">
        <v>0</v>
      </c>
      <c r="BI623" s="37" t="n">
        <v>0</v>
      </c>
      <c r="BJ623" s="37" t="n">
        <v>0</v>
      </c>
      <c r="BK623" s="37" t="n">
        <v>0</v>
      </c>
      <c r="BL623" s="37" t="n">
        <v>0</v>
      </c>
      <c r="BM623" s="37" t="n">
        <v>0</v>
      </c>
      <c r="BN623" s="37" t="n">
        <v>0</v>
      </c>
      <c r="BO623" s="37" t="n">
        <v>0</v>
      </c>
      <c r="BP623" s="37" t="n">
        <v>0</v>
      </c>
      <c r="BQ623" s="37" t="n">
        <v>0</v>
      </c>
      <c r="BR623" s="37" t="n">
        <v>0</v>
      </c>
      <c r="BS623" s="37" t="n">
        <v>0</v>
      </c>
      <c r="BT623" s="37" t="n">
        <v>0</v>
      </c>
      <c r="BU623" s="37" t="n">
        <v>0</v>
      </c>
      <c r="BV623" s="37" t="n">
        <v>0</v>
      </c>
      <c r="BW623" s="37" t="n">
        <v>0</v>
      </c>
      <c r="BX623" s="37" t="n">
        <v>0</v>
      </c>
      <c r="BY623" s="37" t="n">
        <v>0</v>
      </c>
      <c r="BZ623" s="37" t="n">
        <v>0</v>
      </c>
      <c r="CA623" s="37" t="n">
        <v>0</v>
      </c>
      <c r="CB623" s="37" t="n">
        <v>0</v>
      </c>
      <c r="CC623" s="37" t="n">
        <v>1</v>
      </c>
    </row>
    <row r="624" ht="15.75" customHeight="1" s="57">
      <c r="A624" s="7" t="inlineStr">
        <is>
          <t>NTB</t>
        </is>
      </c>
      <c r="B624" s="7" t="inlineStr">
        <is>
          <t>Đắk Nông</t>
        </is>
      </c>
      <c r="C624" s="7" t="n">
        <v>22086000</v>
      </c>
      <c r="D624" s="7" t="inlineStr">
        <is>
          <t>(DNO) Trường Xuân</t>
        </is>
      </c>
      <c r="E624" s="7" t="inlineStr">
        <is>
          <t>SME</t>
        </is>
      </c>
      <c r="F624" s="36" t="n">
        <v>108</v>
      </c>
      <c r="G624" s="36" t="n">
        <v>133</v>
      </c>
      <c r="H624" s="36" t="n">
        <v>133</v>
      </c>
      <c r="I624" s="36" t="n">
        <v>128</v>
      </c>
      <c r="J624" s="36" t="n">
        <v>171</v>
      </c>
      <c r="K624" s="28" t="n">
        <v>82</v>
      </c>
      <c r="L624" s="36" t="n">
        <v>64</v>
      </c>
      <c r="M624" s="36" t="n">
        <v>76</v>
      </c>
      <c r="N624" s="36" t="n">
        <v>161</v>
      </c>
      <c r="O624" s="36" t="n">
        <v>104</v>
      </c>
      <c r="P624" s="36" t="n">
        <v>179</v>
      </c>
      <c r="Q624" s="36" t="n">
        <v>103</v>
      </c>
      <c r="R624" s="28" t="n">
        <v>94</v>
      </c>
      <c r="S624" s="36" t="n">
        <v>83</v>
      </c>
      <c r="T624" s="36" t="n">
        <v>108</v>
      </c>
      <c r="U624" s="36" t="n">
        <v>157.61</v>
      </c>
      <c r="V624" s="36" t="n">
        <v>162.71</v>
      </c>
      <c r="W624" s="36" t="n">
        <v>158.61</v>
      </c>
      <c r="X624" s="36" t="n">
        <v>129.48</v>
      </c>
      <c r="Y624" s="28" t="n">
        <v>175.55</v>
      </c>
      <c r="Z624" s="36" t="n">
        <v>161.47</v>
      </c>
      <c r="AA624" s="36" t="n">
        <v>158.16</v>
      </c>
      <c r="AB624" s="36" t="n">
        <v>157.61</v>
      </c>
      <c r="AC624" s="36" t="n">
        <v>162.71</v>
      </c>
      <c r="AD624" s="36" t="n">
        <v>164.1</v>
      </c>
      <c r="AE624" s="36" t="n">
        <v>129.48</v>
      </c>
      <c r="AF624" s="28" t="n">
        <v>175.55</v>
      </c>
      <c r="AG624" s="36" t="n">
        <v>161.47</v>
      </c>
      <c r="AH624" s="37" t="n">
        <v>158.16</v>
      </c>
      <c r="AI624" s="37" t="n">
        <v>157.61</v>
      </c>
      <c r="AJ624" s="37" t="n">
        <v>162.71</v>
      </c>
      <c r="AK624" s="37" t="n">
        <v>158.61</v>
      </c>
      <c r="AL624" s="37" t="n">
        <v>129.48</v>
      </c>
      <c r="AM624" s="37" t="n">
        <v>175.55</v>
      </c>
      <c r="AN624" s="37" t="n">
        <v>161.47</v>
      </c>
      <c r="AO624" s="37" t="n">
        <v>158.16</v>
      </c>
      <c r="AP624" s="37" t="n">
        <v>157.61</v>
      </c>
      <c r="AQ624" s="37" t="n">
        <v>162.71</v>
      </c>
      <c r="AR624" s="37" t="n">
        <v>158.61</v>
      </c>
      <c r="AS624" s="37" t="n">
        <v>129.48</v>
      </c>
      <c r="AT624" s="37" t="n">
        <v>175.55</v>
      </c>
      <c r="AU624" s="37" t="n">
        <v>161.47</v>
      </c>
      <c r="AV624" s="37" t="n">
        <v>158.16</v>
      </c>
      <c r="AW624" s="37" t="n">
        <v>157.61</v>
      </c>
      <c r="AX624" s="37" t="n">
        <v>162.71</v>
      </c>
      <c r="AY624" s="37" t="n">
        <v>158.61</v>
      </c>
      <c r="AZ624" s="37" t="n">
        <v>129.48</v>
      </c>
      <c r="BA624" s="37" t="n">
        <v>158.22</v>
      </c>
      <c r="BB624" s="37" t="n">
        <v>141.76</v>
      </c>
      <c r="BC624" s="37" t="n">
        <v>89.31</v>
      </c>
      <c r="BD624" s="37" t="n">
        <v>89.15000000000001</v>
      </c>
      <c r="BE624" s="37" t="n">
        <v>150.76</v>
      </c>
      <c r="BF624" s="37" t="n">
        <v>146.86</v>
      </c>
      <c r="BG624" s="37" t="n">
        <v>133.57</v>
      </c>
      <c r="BH624" s="37" t="n">
        <v>180.73</v>
      </c>
      <c r="BI624" s="37" t="n">
        <v>166.34</v>
      </c>
      <c r="BJ624" s="37" t="n">
        <v>168.21</v>
      </c>
      <c r="BK624" s="37" t="n">
        <v>162.3</v>
      </c>
      <c r="BL624" s="37" t="n">
        <v>167.66</v>
      </c>
      <c r="BM624" s="37" t="n">
        <v>163.48</v>
      </c>
      <c r="BN624" s="37" t="n">
        <v>133.57</v>
      </c>
      <c r="BO624" s="37" t="n">
        <v>180.73</v>
      </c>
      <c r="BP624" s="37" t="n">
        <v>166.34</v>
      </c>
      <c r="BQ624" s="37" t="n">
        <v>163.03</v>
      </c>
      <c r="BR624" s="37" t="n">
        <v>162.3</v>
      </c>
      <c r="BS624" s="37" t="n">
        <v>167.66</v>
      </c>
      <c r="BT624" s="37" t="n">
        <v>163.48</v>
      </c>
      <c r="BU624" s="37" t="n">
        <v>133.57</v>
      </c>
      <c r="BV624" s="37" t="n">
        <v>180.73</v>
      </c>
      <c r="BW624" s="37" t="n">
        <v>166.34</v>
      </c>
      <c r="BX624" s="37" t="n">
        <v>163.03</v>
      </c>
      <c r="BY624" s="37" t="n">
        <v>162.3</v>
      </c>
      <c r="BZ624" s="37" t="n">
        <v>167.66</v>
      </c>
      <c r="CA624" s="37" t="n">
        <v>163.48</v>
      </c>
      <c r="CB624" s="37" t="n">
        <v>133.57</v>
      </c>
      <c r="CC624" s="37" t="n">
        <v>11081.39999999999</v>
      </c>
    </row>
    <row r="625" ht="15.75" customHeight="1" s="57">
      <c r="A625" s="7" t="inlineStr">
        <is>
          <t>NTB</t>
        </is>
      </c>
      <c r="B625" s="7" t="inlineStr">
        <is>
          <t>Đắk Nông</t>
        </is>
      </c>
      <c r="C625" s="7" t="n">
        <v>22086000</v>
      </c>
      <c r="D625" s="7" t="inlineStr">
        <is>
          <t>(DNO) Trường Xuân</t>
        </is>
      </c>
      <c r="E625" s="7" t="inlineStr">
        <is>
          <t>SME-Bulky</t>
        </is>
      </c>
      <c r="F625" s="36" t="n">
        <v>11</v>
      </c>
      <c r="G625" s="36" t="n">
        <v>10</v>
      </c>
      <c r="H625" s="36" t="n">
        <v>14</v>
      </c>
      <c r="I625" s="36" t="n">
        <v>6</v>
      </c>
      <c r="J625" s="36" t="n">
        <v>5</v>
      </c>
      <c r="K625" s="28" t="n">
        <v>11</v>
      </c>
      <c r="L625" s="36" t="n">
        <v>4</v>
      </c>
      <c r="M625" s="36" t="n">
        <v>2</v>
      </c>
      <c r="N625" s="36" t="n">
        <v>4</v>
      </c>
      <c r="O625" s="36" t="n">
        <v>5</v>
      </c>
      <c r="P625" s="36" t="n">
        <v>13</v>
      </c>
      <c r="Q625" s="36" t="n">
        <v>14</v>
      </c>
      <c r="R625" s="28" t="n">
        <v>3</v>
      </c>
      <c r="S625" s="36" t="n">
        <v>3</v>
      </c>
      <c r="T625" s="36" t="n">
        <v>11</v>
      </c>
      <c r="U625" s="36" t="n">
        <v>8.33</v>
      </c>
      <c r="V625" s="36" t="n">
        <v>8.289999999999999</v>
      </c>
      <c r="W625" s="36" t="n">
        <v>7.73</v>
      </c>
      <c r="X625" s="36" t="n">
        <v>5.42</v>
      </c>
      <c r="Y625" s="28" t="n">
        <v>9.220000000000001</v>
      </c>
      <c r="Z625" s="36" t="n">
        <v>9.01</v>
      </c>
      <c r="AA625" s="36" t="n">
        <v>8.5</v>
      </c>
      <c r="AB625" s="36" t="n">
        <v>8.33</v>
      </c>
      <c r="AC625" s="36" t="n">
        <v>8.289999999999999</v>
      </c>
      <c r="AD625" s="36" t="n">
        <v>7.47</v>
      </c>
      <c r="AE625" s="36" t="n">
        <v>5.42</v>
      </c>
      <c r="AF625" s="28" t="n">
        <v>9.220000000000001</v>
      </c>
      <c r="AG625" s="36" t="n">
        <v>9.01</v>
      </c>
      <c r="AH625" s="37" t="n">
        <v>8.5</v>
      </c>
      <c r="AI625" s="37" t="n">
        <v>8.33</v>
      </c>
      <c r="AJ625" s="37" t="n">
        <v>8.289999999999999</v>
      </c>
      <c r="AK625" s="37" t="n">
        <v>7.73</v>
      </c>
      <c r="AL625" s="37" t="n">
        <v>5.42</v>
      </c>
      <c r="AM625" s="37" t="n">
        <v>9.220000000000001</v>
      </c>
      <c r="AN625" s="37" t="n">
        <v>9.01</v>
      </c>
      <c r="AO625" s="37" t="n">
        <v>8.5</v>
      </c>
      <c r="AP625" s="37" t="n">
        <v>8.33</v>
      </c>
      <c r="AQ625" s="37" t="n">
        <v>8.289999999999999</v>
      </c>
      <c r="AR625" s="37" t="n">
        <v>7.73</v>
      </c>
      <c r="AS625" s="37" t="n">
        <v>5.42</v>
      </c>
      <c r="AT625" s="37" t="n">
        <v>9.220000000000001</v>
      </c>
      <c r="AU625" s="37" t="n">
        <v>9.01</v>
      </c>
      <c r="AV625" s="37" t="n">
        <v>8.5</v>
      </c>
      <c r="AW625" s="37" t="n">
        <v>8.33</v>
      </c>
      <c r="AX625" s="37" t="n">
        <v>8.289999999999999</v>
      </c>
      <c r="AY625" s="37" t="n">
        <v>7.73</v>
      </c>
      <c r="AZ625" s="37" t="n">
        <v>5.42</v>
      </c>
      <c r="BA625" s="37" t="n">
        <v>9.140000000000001</v>
      </c>
      <c r="BB625" s="37" t="n">
        <v>4.91</v>
      </c>
      <c r="BC625" s="37" t="n">
        <v>2.52</v>
      </c>
      <c r="BD625" s="37" t="n">
        <v>2.26</v>
      </c>
      <c r="BE625" s="37" t="n">
        <v>4.27</v>
      </c>
      <c r="BF625" s="37" t="n">
        <v>4.01</v>
      </c>
      <c r="BG625" s="37" t="n">
        <v>3.2</v>
      </c>
      <c r="BH625" s="37" t="n">
        <v>5.3</v>
      </c>
      <c r="BI625" s="37" t="n">
        <v>5.25</v>
      </c>
      <c r="BJ625" s="37" t="n">
        <v>4.83</v>
      </c>
      <c r="BK625" s="37" t="n">
        <v>4.87</v>
      </c>
      <c r="BL625" s="37" t="n">
        <v>4.87</v>
      </c>
      <c r="BM625" s="37" t="n">
        <v>4.57</v>
      </c>
      <c r="BN625" s="37" t="n">
        <v>3.2</v>
      </c>
      <c r="BO625" s="37" t="n">
        <v>5.3</v>
      </c>
      <c r="BP625" s="37" t="n">
        <v>5.25</v>
      </c>
      <c r="BQ625" s="37" t="n">
        <v>4.91</v>
      </c>
      <c r="BR625" s="37" t="n">
        <v>4.87</v>
      </c>
      <c r="BS625" s="37" t="n">
        <v>4.87</v>
      </c>
      <c r="BT625" s="37" t="n">
        <v>4.57</v>
      </c>
      <c r="BU625" s="37" t="n">
        <v>3.2</v>
      </c>
      <c r="BV625" s="37" t="n">
        <v>5.3</v>
      </c>
      <c r="BW625" s="37" t="n">
        <v>5.25</v>
      </c>
      <c r="BX625" s="37" t="n">
        <v>4.91</v>
      </c>
      <c r="BY625" s="37" t="n">
        <v>4.87</v>
      </c>
      <c r="BZ625" s="37" t="n">
        <v>4.87</v>
      </c>
      <c r="CA625" s="37" t="n">
        <v>4.57</v>
      </c>
      <c r="CB625" s="37" t="n">
        <v>3.2</v>
      </c>
      <c r="CC625" s="37" t="n">
        <v>500.65</v>
      </c>
    </row>
    <row r="626" ht="15.75" customHeight="1" s="57">
      <c r="A626" s="7" t="inlineStr">
        <is>
          <t>NTB</t>
        </is>
      </c>
      <c r="B626" s="7" t="inlineStr">
        <is>
          <t>Đắk Nông</t>
        </is>
      </c>
      <c r="C626" s="7" t="n">
        <v>22086000</v>
      </c>
      <c r="D626" s="7" t="inlineStr">
        <is>
          <t>(DNO) Trường Xuân</t>
        </is>
      </c>
      <c r="E626" s="7" t="inlineStr">
        <is>
          <t>Shopee</t>
        </is>
      </c>
      <c r="F626" s="36" t="n">
        <v>85</v>
      </c>
      <c r="G626" s="36" t="n">
        <v>80</v>
      </c>
      <c r="H626" s="36" t="n">
        <v>83</v>
      </c>
      <c r="I626" s="36" t="n">
        <v>72</v>
      </c>
      <c r="J626" s="36" t="n">
        <v>68</v>
      </c>
      <c r="K626" s="28" t="n">
        <v>36</v>
      </c>
      <c r="L626" s="36" t="n">
        <v>19</v>
      </c>
      <c r="M626" s="36" t="n">
        <v>18</v>
      </c>
      <c r="N626" s="36" t="n">
        <v>48</v>
      </c>
      <c r="O626" s="36" t="n">
        <v>27</v>
      </c>
      <c r="P626" s="36" t="n">
        <v>43</v>
      </c>
      <c r="Q626" s="36" t="n">
        <v>24</v>
      </c>
      <c r="R626" s="28" t="n">
        <v>24</v>
      </c>
      <c r="S626" s="36" t="n">
        <v>35</v>
      </c>
      <c r="T626" s="36" t="n">
        <v>52</v>
      </c>
      <c r="U626" s="36" t="n">
        <v>42.48</v>
      </c>
      <c r="V626" s="36" t="n">
        <v>42.6</v>
      </c>
      <c r="W626" s="36" t="n">
        <v>42.04</v>
      </c>
      <c r="X626" s="36" t="n">
        <v>34.2</v>
      </c>
      <c r="Y626" s="28" t="n">
        <v>57.12</v>
      </c>
      <c r="Z626" s="36" t="n">
        <v>45.31</v>
      </c>
      <c r="AA626" s="36" t="n">
        <v>62.28</v>
      </c>
      <c r="AB626" s="36" t="n">
        <v>43.3</v>
      </c>
      <c r="AC626" s="36" t="n">
        <v>34.98</v>
      </c>
      <c r="AD626" s="36" t="n">
        <v>79.81</v>
      </c>
      <c r="AE626" s="36" t="n">
        <v>36.69</v>
      </c>
      <c r="AF626" s="28" t="n">
        <v>65.31999999999999</v>
      </c>
      <c r="AG626" s="36" t="n">
        <v>47.46</v>
      </c>
      <c r="AH626" s="37" t="n">
        <v>50.17</v>
      </c>
      <c r="AI626" s="37" t="n">
        <v>42.48</v>
      </c>
      <c r="AJ626" s="37" t="n">
        <v>42.6</v>
      </c>
      <c r="AK626" s="37" t="n">
        <v>56.67</v>
      </c>
      <c r="AL626" s="37" t="n">
        <v>61.39</v>
      </c>
      <c r="AM626" s="37" t="n">
        <v>57.12</v>
      </c>
      <c r="AN626" s="37" t="n">
        <v>45.31</v>
      </c>
      <c r="AO626" s="37" t="n">
        <v>50.17</v>
      </c>
      <c r="AP626" s="37" t="n">
        <v>53.14</v>
      </c>
      <c r="AQ626" s="37" t="n">
        <v>34.2</v>
      </c>
      <c r="AR626" s="37" t="n">
        <v>42.04</v>
      </c>
      <c r="AS626" s="37" t="n">
        <v>34.2</v>
      </c>
      <c r="AT626" s="37" t="n">
        <v>57.12</v>
      </c>
      <c r="AU626" s="37" t="n">
        <v>46.16</v>
      </c>
      <c r="AV626" s="37" t="n">
        <v>51.21</v>
      </c>
      <c r="AW626" s="37" t="n">
        <v>42.48</v>
      </c>
      <c r="AX626" s="37" t="n">
        <v>42.6</v>
      </c>
      <c r="AY626" s="37" t="n">
        <v>42.04</v>
      </c>
      <c r="AZ626" s="37" t="n">
        <v>34.2</v>
      </c>
      <c r="BA626" s="37" t="n">
        <v>44.08</v>
      </c>
      <c r="BB626" s="37" t="n">
        <v>38.4</v>
      </c>
      <c r="BC626" s="37" t="n">
        <v>19.61</v>
      </c>
      <c r="BD626" s="37" t="n">
        <v>34.95</v>
      </c>
      <c r="BE626" s="37" t="n">
        <v>40.59</v>
      </c>
      <c r="BF626" s="37" t="n">
        <v>40.11</v>
      </c>
      <c r="BG626" s="37" t="n">
        <v>33.31</v>
      </c>
      <c r="BH626" s="37" t="n">
        <v>54.4</v>
      </c>
      <c r="BI626" s="37" t="n">
        <v>35.61</v>
      </c>
      <c r="BJ626" s="37" t="n">
        <v>113.45</v>
      </c>
      <c r="BK626" s="37" t="n">
        <v>43.3</v>
      </c>
      <c r="BL626" s="37" t="n">
        <v>42.67</v>
      </c>
      <c r="BM626" s="37" t="n">
        <v>40.11</v>
      </c>
      <c r="BN626" s="37" t="n">
        <v>32.68</v>
      </c>
      <c r="BO626" s="37" t="n">
        <v>54.4</v>
      </c>
      <c r="BP626" s="37" t="n">
        <v>58.34</v>
      </c>
      <c r="BQ626" s="37" t="n">
        <v>85.86</v>
      </c>
      <c r="BR626" s="37" t="n">
        <v>40.48</v>
      </c>
      <c r="BS626" s="37" t="n">
        <v>40.59</v>
      </c>
      <c r="BT626" s="37" t="n">
        <v>40.11</v>
      </c>
      <c r="BU626" s="37" t="n">
        <v>40.7</v>
      </c>
      <c r="BV626" s="37" t="n">
        <v>43.63</v>
      </c>
      <c r="BW626" s="37" t="n">
        <v>43.15</v>
      </c>
      <c r="BX626" s="37" t="n">
        <v>47.72</v>
      </c>
      <c r="BY626" s="37" t="n">
        <v>40.48</v>
      </c>
      <c r="BZ626" s="37" t="n">
        <v>41.48</v>
      </c>
      <c r="CA626" s="37" t="n">
        <v>40.85</v>
      </c>
      <c r="CB626" s="37" t="n">
        <v>32.68</v>
      </c>
      <c r="CC626" s="37" t="n">
        <v>3496.630000000001</v>
      </c>
    </row>
    <row r="627" ht="15.75" customHeight="1" s="57">
      <c r="A627" s="7" t="inlineStr">
        <is>
          <t>NTB</t>
        </is>
      </c>
      <c r="B627" s="7" t="inlineStr">
        <is>
          <t>Đắk Nông</t>
        </is>
      </c>
      <c r="C627" s="7" t="n">
        <v>22086000</v>
      </c>
      <c r="D627" s="7" t="inlineStr">
        <is>
          <t>(DNO) Trường Xuân</t>
        </is>
      </c>
      <c r="E627" s="7" t="inlineStr">
        <is>
          <t>Shopee-Bulky</t>
        </is>
      </c>
      <c r="F627" s="36" t="n">
        <v>5.85</v>
      </c>
      <c r="G627" s="36" t="n">
        <v>10.39</v>
      </c>
      <c r="H627" s="36" t="n">
        <v>12.99</v>
      </c>
      <c r="I627" s="36" t="n">
        <v>6.5</v>
      </c>
      <c r="J627" s="36" t="n">
        <v>7.8</v>
      </c>
      <c r="K627" s="28" t="n">
        <v>5.85</v>
      </c>
      <c r="L627" s="36" t="n">
        <v>7.8</v>
      </c>
      <c r="M627" s="36" t="n">
        <v>7.15</v>
      </c>
      <c r="N627" s="36" t="n">
        <v>13.64</v>
      </c>
      <c r="O627" s="36" t="n">
        <v>12.34</v>
      </c>
      <c r="P627" s="36" t="n">
        <v>10.39</v>
      </c>
      <c r="Q627" s="36" t="n">
        <v>18.19</v>
      </c>
      <c r="R627" s="28" t="n">
        <v>7.15</v>
      </c>
      <c r="S627" s="36" t="n">
        <v>6.5</v>
      </c>
      <c r="T627" s="36" t="n">
        <v>6.5</v>
      </c>
      <c r="U627" s="36" t="n">
        <v>9.630000000000001</v>
      </c>
      <c r="V627" s="36" t="n">
        <v>8.94</v>
      </c>
      <c r="W627" s="36" t="n">
        <v>12.46</v>
      </c>
      <c r="X627" s="36" t="n">
        <v>7.04</v>
      </c>
      <c r="Y627" s="28" t="n">
        <v>14.13</v>
      </c>
      <c r="Z627" s="36" t="n">
        <v>11.19</v>
      </c>
      <c r="AA627" s="36" t="n">
        <v>10.78</v>
      </c>
      <c r="AB627" s="36" t="n">
        <v>11.07</v>
      </c>
      <c r="AC627" s="36" t="n">
        <v>10.9</v>
      </c>
      <c r="AD627" s="36" t="n">
        <v>25.49</v>
      </c>
      <c r="AE627" s="36" t="n">
        <v>18.46</v>
      </c>
      <c r="AF627" s="28" t="n">
        <v>27.86</v>
      </c>
      <c r="AG627" s="36" t="n">
        <v>15.86</v>
      </c>
      <c r="AH627" s="37" t="n">
        <v>11.19</v>
      </c>
      <c r="AI627" s="37" t="n">
        <v>10.9</v>
      </c>
      <c r="AJ627" s="37" t="n">
        <v>9.92</v>
      </c>
      <c r="AK627" s="37" t="n">
        <v>23.88</v>
      </c>
      <c r="AL627" s="37" t="n">
        <v>11.53</v>
      </c>
      <c r="AM627" s="37" t="n">
        <v>17.76</v>
      </c>
      <c r="AN627" s="37" t="n">
        <v>11.07</v>
      </c>
      <c r="AO627" s="37" t="n">
        <v>10.61</v>
      </c>
      <c r="AP627" s="37" t="n">
        <v>14.53</v>
      </c>
      <c r="AQ627" s="37" t="n">
        <v>14.01</v>
      </c>
      <c r="AR627" s="37" t="n">
        <v>11.48</v>
      </c>
      <c r="AS627" s="37" t="n">
        <v>6.46</v>
      </c>
      <c r="AT627" s="37" t="n">
        <v>12.8</v>
      </c>
      <c r="AU627" s="37" t="n">
        <v>21.74</v>
      </c>
      <c r="AV627" s="37" t="n">
        <v>22.43</v>
      </c>
      <c r="AW627" s="37" t="n">
        <v>10.61</v>
      </c>
      <c r="AX627" s="37" t="n">
        <v>9.52</v>
      </c>
      <c r="AY627" s="37" t="n">
        <v>11.07</v>
      </c>
      <c r="AZ627" s="37" t="n">
        <v>6.11</v>
      </c>
      <c r="BA627" s="37" t="n">
        <v>11.82</v>
      </c>
      <c r="BB627" s="37" t="n">
        <v>10.96</v>
      </c>
      <c r="BC627" s="37" t="n">
        <v>3.29</v>
      </c>
      <c r="BD627" s="37" t="n">
        <v>9.460000000000001</v>
      </c>
      <c r="BE627" s="37" t="n">
        <v>11.19</v>
      </c>
      <c r="BF627" s="37" t="n">
        <v>9.859999999999999</v>
      </c>
      <c r="BG627" s="37" t="n">
        <v>8.02</v>
      </c>
      <c r="BH627" s="37" t="n">
        <v>15.28</v>
      </c>
      <c r="BI627" s="37" t="n">
        <v>12.98</v>
      </c>
      <c r="BJ627" s="37" t="n">
        <v>40.83</v>
      </c>
      <c r="BK627" s="37" t="n">
        <v>27.68</v>
      </c>
      <c r="BL627" s="37" t="n">
        <v>14.3</v>
      </c>
      <c r="BM627" s="37" t="n">
        <v>10.61</v>
      </c>
      <c r="BN627" s="37" t="n">
        <v>8.07</v>
      </c>
      <c r="BO627" s="37" t="n">
        <v>17.13</v>
      </c>
      <c r="BP627" s="37" t="n">
        <v>26.3</v>
      </c>
      <c r="BQ627" s="37" t="n">
        <v>18.63</v>
      </c>
      <c r="BR627" s="37" t="n">
        <v>12.17</v>
      </c>
      <c r="BS627" s="37" t="n">
        <v>11.19</v>
      </c>
      <c r="BT627" s="37" t="n">
        <v>9.859999999999999</v>
      </c>
      <c r="BU627" s="37" t="n">
        <v>11.65</v>
      </c>
      <c r="BV627" s="37" t="n">
        <v>15.86</v>
      </c>
      <c r="BW627" s="37" t="n">
        <v>12.98</v>
      </c>
      <c r="BX627" s="37" t="n">
        <v>12.28</v>
      </c>
      <c r="BY627" s="37" t="n">
        <v>12.17</v>
      </c>
      <c r="BZ627" s="37" t="n">
        <v>21.17</v>
      </c>
      <c r="CA627" s="37" t="n">
        <v>11.48</v>
      </c>
      <c r="CB627" s="37" t="n">
        <v>7.67</v>
      </c>
      <c r="CC627" s="37" t="n">
        <v>965.36</v>
      </c>
    </row>
    <row r="628" ht="15.75" customHeight="1" s="57">
      <c r="A628" s="7" t="inlineStr">
        <is>
          <t>NTB</t>
        </is>
      </c>
      <c r="B628" s="7" t="inlineStr">
        <is>
          <t>Đắk Nông</t>
        </is>
      </c>
      <c r="C628" s="7" t="n">
        <v>22086000</v>
      </c>
      <c r="D628" s="7" t="inlineStr">
        <is>
          <t>(DNO) Trường Xuân</t>
        </is>
      </c>
      <c r="E628" s="7" t="inlineStr">
        <is>
          <t>Shopee-Bulky (10-15kg)</t>
        </is>
      </c>
      <c r="F628" s="36" t="n">
        <v>3.15</v>
      </c>
      <c r="G628" s="36" t="n">
        <v>5.61</v>
      </c>
      <c r="H628" s="36" t="n">
        <v>7.01</v>
      </c>
      <c r="I628" s="36" t="n">
        <v>3.5</v>
      </c>
      <c r="J628" s="36" t="n">
        <v>4.2</v>
      </c>
      <c r="K628" s="28" t="n">
        <v>3.15</v>
      </c>
      <c r="L628" s="36" t="n">
        <v>4.2</v>
      </c>
      <c r="M628" s="36" t="n">
        <v>3.85</v>
      </c>
      <c r="N628" s="36" t="n">
        <v>7.36</v>
      </c>
      <c r="O628" s="36" t="n">
        <v>6.66</v>
      </c>
      <c r="P628" s="36" t="n">
        <v>5.61</v>
      </c>
      <c r="Q628" s="36" t="n">
        <v>9.81</v>
      </c>
      <c r="R628" s="28" t="n">
        <v>3.85</v>
      </c>
      <c r="S628" s="36" t="n">
        <v>3.5</v>
      </c>
      <c r="T628" s="36" t="n">
        <v>3.5</v>
      </c>
      <c r="U628" s="36" t="n">
        <v>5.02</v>
      </c>
      <c r="V628" s="36" t="n">
        <v>4.84</v>
      </c>
      <c r="W628" s="36" t="n">
        <v>6.69</v>
      </c>
      <c r="X628" s="36" t="n">
        <v>3.92</v>
      </c>
      <c r="Y628" s="28" t="n">
        <v>7.27</v>
      </c>
      <c r="Z628" s="36" t="n">
        <v>5.59</v>
      </c>
      <c r="AA628" s="36" t="n">
        <v>5.48</v>
      </c>
      <c r="AB628" s="36" t="n">
        <v>5.59</v>
      </c>
      <c r="AC628" s="36" t="n">
        <v>5.71</v>
      </c>
      <c r="AD628" s="36" t="n">
        <v>23.53</v>
      </c>
      <c r="AE628" s="36" t="n">
        <v>9.859999999999999</v>
      </c>
      <c r="AF628" s="28" t="n">
        <v>14.42</v>
      </c>
      <c r="AG628" s="36" t="n">
        <v>8.07</v>
      </c>
      <c r="AH628" s="37" t="n">
        <v>5.59</v>
      </c>
      <c r="AI628" s="37" t="n">
        <v>5.65</v>
      </c>
      <c r="AJ628" s="37" t="n">
        <v>5.08</v>
      </c>
      <c r="AK628" s="37" t="n">
        <v>13.21</v>
      </c>
      <c r="AL628" s="37" t="n">
        <v>6.11</v>
      </c>
      <c r="AM628" s="37" t="n">
        <v>9.109999999999999</v>
      </c>
      <c r="AN628" s="37" t="n">
        <v>5.54</v>
      </c>
      <c r="AO628" s="37" t="n">
        <v>5.48</v>
      </c>
      <c r="AP628" s="37" t="n">
        <v>7.27</v>
      </c>
      <c r="AQ628" s="37" t="n">
        <v>7.32</v>
      </c>
      <c r="AR628" s="37" t="n">
        <v>6.17</v>
      </c>
      <c r="AS628" s="37" t="n">
        <v>3.58</v>
      </c>
      <c r="AT628" s="37" t="n">
        <v>6.63</v>
      </c>
      <c r="AU628" s="37" t="n">
        <v>12.11</v>
      </c>
      <c r="AV628" s="37" t="n">
        <v>11.77</v>
      </c>
      <c r="AW628" s="37" t="n">
        <v>5.19</v>
      </c>
      <c r="AX628" s="37" t="n">
        <v>4.9</v>
      </c>
      <c r="AY628" s="37" t="n">
        <v>6</v>
      </c>
      <c r="AZ628" s="37" t="n">
        <v>3.35</v>
      </c>
      <c r="BA628" s="37" t="n">
        <v>6.17</v>
      </c>
      <c r="BB628" s="37" t="n">
        <v>5.77</v>
      </c>
      <c r="BC628" s="37" t="n">
        <v>1.44</v>
      </c>
      <c r="BD628" s="37" t="n">
        <v>5.13</v>
      </c>
      <c r="BE628" s="37" t="n">
        <v>5.88</v>
      </c>
      <c r="BF628" s="37" t="n">
        <v>5.36</v>
      </c>
      <c r="BG628" s="37" t="n">
        <v>4.67</v>
      </c>
      <c r="BH628" s="37" t="n">
        <v>8.02</v>
      </c>
      <c r="BI628" s="37" t="n">
        <v>6.69</v>
      </c>
      <c r="BJ628" s="37" t="n">
        <v>32.82</v>
      </c>
      <c r="BK628" s="37" t="n">
        <v>15.11</v>
      </c>
      <c r="BL628" s="37" t="n">
        <v>7.32</v>
      </c>
      <c r="BM628" s="37" t="n">
        <v>5.54</v>
      </c>
      <c r="BN628" s="37" t="n">
        <v>4.56</v>
      </c>
      <c r="BO628" s="37" t="n">
        <v>9</v>
      </c>
      <c r="BP628" s="37" t="n">
        <v>14.07</v>
      </c>
      <c r="BQ628" s="37" t="n">
        <v>9.630000000000001</v>
      </c>
      <c r="BR628" s="37" t="n">
        <v>6.23</v>
      </c>
      <c r="BS628" s="37" t="n">
        <v>5.88</v>
      </c>
      <c r="BT628" s="37" t="n">
        <v>5.36</v>
      </c>
      <c r="BU628" s="37" t="n">
        <v>6</v>
      </c>
      <c r="BV628" s="37" t="n">
        <v>8.25</v>
      </c>
      <c r="BW628" s="37" t="n">
        <v>6.69</v>
      </c>
      <c r="BX628" s="37" t="n">
        <v>6.46</v>
      </c>
      <c r="BY628" s="37" t="n">
        <v>6.23</v>
      </c>
      <c r="BZ628" s="37" t="n">
        <v>11.42</v>
      </c>
      <c r="CA628" s="37" t="n">
        <v>6.17</v>
      </c>
      <c r="CB628" s="37" t="n">
        <v>4.44</v>
      </c>
      <c r="CC628" s="37" t="n">
        <v>531.3199999999999</v>
      </c>
    </row>
    <row r="629" ht="15.75" customHeight="1" s="57">
      <c r="A629" s="7" t="inlineStr">
        <is>
          <t>NTB</t>
        </is>
      </c>
      <c r="B629" s="7" t="inlineStr">
        <is>
          <t>Đắk Nông</t>
        </is>
      </c>
      <c r="C629" s="7" t="n">
        <v>22086000</v>
      </c>
      <c r="D629" s="7" t="inlineStr">
        <is>
          <t>(DNO) Trường Xuân</t>
        </is>
      </c>
      <c r="E629" s="7" t="inlineStr">
        <is>
          <t>TTS</t>
        </is>
      </c>
      <c r="F629" s="36" t="n">
        <v>84</v>
      </c>
      <c r="G629" s="36" t="n">
        <v>91</v>
      </c>
      <c r="H629" s="36" t="n">
        <v>99</v>
      </c>
      <c r="I629" s="36" t="n">
        <v>79</v>
      </c>
      <c r="J629" s="36" t="n">
        <v>104</v>
      </c>
      <c r="K629" s="28" t="n">
        <v>47</v>
      </c>
      <c r="L629" s="36" t="n">
        <v>45</v>
      </c>
      <c r="M629" s="36" t="n">
        <v>49</v>
      </c>
      <c r="N629" s="36" t="n">
        <v>110</v>
      </c>
      <c r="O629" s="36" t="n">
        <v>65</v>
      </c>
      <c r="P629" s="36" t="n">
        <v>119</v>
      </c>
      <c r="Q629" s="36" t="n">
        <v>67</v>
      </c>
      <c r="R629" s="28" t="n">
        <v>47</v>
      </c>
      <c r="S629" s="36" t="n">
        <v>88</v>
      </c>
      <c r="T629" s="36" t="n">
        <v>77</v>
      </c>
      <c r="U629" s="36" t="n">
        <v>85.7</v>
      </c>
      <c r="V629" s="36" t="n">
        <v>84.44</v>
      </c>
      <c r="W629" s="36" t="n">
        <v>82.42</v>
      </c>
      <c r="X629" s="36" t="n">
        <v>66.47999999999999</v>
      </c>
      <c r="Y629" s="28" t="n">
        <v>97.27</v>
      </c>
      <c r="Z629" s="36" t="n">
        <v>82.8</v>
      </c>
      <c r="AA629" s="36" t="n">
        <v>91.28</v>
      </c>
      <c r="AB629" s="36" t="n">
        <v>101.39</v>
      </c>
      <c r="AC629" s="36" t="n">
        <v>107.12</v>
      </c>
      <c r="AD629" s="36" t="n">
        <v>117.68</v>
      </c>
      <c r="AE629" s="36" t="n">
        <v>77.25</v>
      </c>
      <c r="AF629" s="28" t="n">
        <v>100.33</v>
      </c>
      <c r="AG629" s="36" t="n">
        <v>84.11</v>
      </c>
      <c r="AH629" s="37" t="n">
        <v>83.08</v>
      </c>
      <c r="AI629" s="37" t="n">
        <v>95.05</v>
      </c>
      <c r="AJ629" s="37" t="n">
        <v>102.04</v>
      </c>
      <c r="AK629" s="37" t="n">
        <v>100.62</v>
      </c>
      <c r="AL629" s="37" t="n">
        <v>71.72999999999999</v>
      </c>
      <c r="AM629" s="37" t="n">
        <v>98.8</v>
      </c>
      <c r="AN629" s="37" t="n">
        <v>85.14999999999999</v>
      </c>
      <c r="AO629" s="37" t="n">
        <v>84.33</v>
      </c>
      <c r="AP629" s="37" t="n">
        <v>82.09999999999999</v>
      </c>
      <c r="AQ629" s="37" t="n">
        <v>83.02</v>
      </c>
      <c r="AR629" s="37" t="n">
        <v>81.48999999999999</v>
      </c>
      <c r="AS629" s="37" t="n">
        <v>66.69999999999999</v>
      </c>
      <c r="AT629" s="37" t="n">
        <v>106.67</v>
      </c>
      <c r="AU629" s="37" t="n">
        <v>96.56999999999999</v>
      </c>
      <c r="AV629" s="37" t="n">
        <v>85.75999999999999</v>
      </c>
      <c r="AW629" s="37" t="n">
        <v>80.95</v>
      </c>
      <c r="AX629" s="37" t="n">
        <v>80.62</v>
      </c>
      <c r="AY629" s="37" t="n">
        <v>80.34999999999999</v>
      </c>
      <c r="AZ629" s="37" t="n">
        <v>66.69999999999999</v>
      </c>
      <c r="BA629" s="37" t="n">
        <v>96.5</v>
      </c>
      <c r="BB629" s="37" t="n">
        <v>90.00999999999999</v>
      </c>
      <c r="BC629" s="37" t="n">
        <v>53.49</v>
      </c>
      <c r="BD629" s="37" t="n">
        <v>77.52</v>
      </c>
      <c r="BE629" s="37" t="n">
        <v>91.22</v>
      </c>
      <c r="BF629" s="37" t="n">
        <v>88.75999999999999</v>
      </c>
      <c r="BG629" s="37" t="n">
        <v>71.78</v>
      </c>
      <c r="BH629" s="37" t="n">
        <v>106.62</v>
      </c>
      <c r="BI629" s="37" t="n">
        <v>90.00999999999999</v>
      </c>
      <c r="BJ629" s="37" t="n">
        <v>89.26000000000001</v>
      </c>
      <c r="BK629" s="37" t="n">
        <v>91</v>
      </c>
      <c r="BL629" s="37" t="n">
        <v>91.22</v>
      </c>
      <c r="BM629" s="37" t="n">
        <v>88.75999999999999</v>
      </c>
      <c r="BN629" s="37" t="n">
        <v>71.78</v>
      </c>
      <c r="BO629" s="37" t="n">
        <v>106.62</v>
      </c>
      <c r="BP629" s="37" t="n">
        <v>90.00999999999999</v>
      </c>
      <c r="BQ629" s="37" t="n">
        <v>88.98</v>
      </c>
      <c r="BR629" s="37" t="n">
        <v>91</v>
      </c>
      <c r="BS629" s="37" t="n">
        <v>91.22</v>
      </c>
      <c r="BT629" s="37" t="n">
        <v>88.75999999999999</v>
      </c>
      <c r="BU629" s="37" t="n">
        <v>71.78</v>
      </c>
      <c r="BV629" s="37" t="n">
        <v>106.62</v>
      </c>
      <c r="BW629" s="37" t="n">
        <v>90.00999999999999</v>
      </c>
      <c r="BX629" s="37" t="n">
        <v>88.98</v>
      </c>
      <c r="BY629" s="37" t="n">
        <v>91</v>
      </c>
      <c r="BZ629" s="37" t="n">
        <v>91.22</v>
      </c>
      <c r="CA629" s="37" t="n">
        <v>88.75999999999999</v>
      </c>
      <c r="CB629" s="37" t="n">
        <v>71.78</v>
      </c>
      <c r="CC629" s="37" t="n">
        <v>6435.67</v>
      </c>
    </row>
    <row r="630" ht="15.75" customHeight="1" s="57">
      <c r="A630" s="7" t="inlineStr">
        <is>
          <t>NTB</t>
        </is>
      </c>
      <c r="B630" s="7" t="inlineStr">
        <is>
          <t>Đắk Nông</t>
        </is>
      </c>
      <c r="C630" s="7" t="n">
        <v>22086000</v>
      </c>
      <c r="D630" s="7" t="inlineStr">
        <is>
          <t>(DNO) Trường Xuân</t>
        </is>
      </c>
      <c r="E630" s="7" t="inlineStr">
        <is>
          <t>TTS-Bulky</t>
        </is>
      </c>
      <c r="F630" s="36" t="n">
        <v>1</v>
      </c>
      <c r="G630" s="36" t="n">
        <v>3</v>
      </c>
      <c r="H630" s="36" t="n">
        <v>1</v>
      </c>
      <c r="I630" s="36" t="n">
        <v>2</v>
      </c>
      <c r="J630" s="36" t="n">
        <v>3</v>
      </c>
      <c r="K630" s="28" t="n">
        <v>3</v>
      </c>
      <c r="L630" s="36" t="n">
        <v>2</v>
      </c>
      <c r="M630" s="36" t="n">
        <v>0</v>
      </c>
      <c r="N630" s="36" t="n">
        <v>0</v>
      </c>
      <c r="O630" s="36" t="n">
        <v>0</v>
      </c>
      <c r="P630" s="36" t="n">
        <v>0</v>
      </c>
      <c r="Q630" s="36" t="n">
        <v>1</v>
      </c>
      <c r="R630" s="28" t="n">
        <v>1</v>
      </c>
      <c r="S630" s="36" t="n">
        <v>1</v>
      </c>
      <c r="T630" s="36" t="n">
        <v>0</v>
      </c>
      <c r="U630" s="36" t="n">
        <v>3.85</v>
      </c>
      <c r="V630" s="36" t="n">
        <v>4.14</v>
      </c>
      <c r="W630" s="36" t="n">
        <v>1.97</v>
      </c>
      <c r="X630" s="36" t="n">
        <v>1.18</v>
      </c>
      <c r="Y630" s="28" t="n">
        <v>2.52</v>
      </c>
      <c r="Z630" s="36" t="n">
        <v>1.92</v>
      </c>
      <c r="AA630" s="36" t="n">
        <v>2.07</v>
      </c>
      <c r="AB630" s="36" t="n">
        <v>2.22</v>
      </c>
      <c r="AC630" s="36" t="n">
        <v>2.27</v>
      </c>
      <c r="AD630" s="36" t="n">
        <v>1.97</v>
      </c>
      <c r="AE630" s="36" t="n">
        <v>1.43</v>
      </c>
      <c r="AF630" s="28" t="n">
        <v>2.66</v>
      </c>
      <c r="AG630" s="36" t="n">
        <v>1.97</v>
      </c>
      <c r="AH630" s="37" t="n">
        <v>1.92</v>
      </c>
      <c r="AI630" s="37" t="n">
        <v>2.07</v>
      </c>
      <c r="AJ630" s="37" t="n">
        <v>2.22</v>
      </c>
      <c r="AK630" s="37" t="n">
        <v>2.32</v>
      </c>
      <c r="AL630" s="37" t="n">
        <v>1.18</v>
      </c>
      <c r="AM630" s="37" t="n">
        <v>2.56</v>
      </c>
      <c r="AN630" s="37" t="n">
        <v>1.87</v>
      </c>
      <c r="AO630" s="37" t="n">
        <v>1.97</v>
      </c>
      <c r="AP630" s="37" t="n">
        <v>1.92</v>
      </c>
      <c r="AQ630" s="37" t="n">
        <v>2.12</v>
      </c>
      <c r="AR630" s="37" t="n">
        <v>1.97</v>
      </c>
      <c r="AS630" s="37" t="n">
        <v>1.18</v>
      </c>
      <c r="AT630" s="37" t="n">
        <v>2.71</v>
      </c>
      <c r="AU630" s="37" t="n">
        <v>2.17</v>
      </c>
      <c r="AV630" s="37" t="n">
        <v>1.97</v>
      </c>
      <c r="AW630" s="37" t="n">
        <v>1.87</v>
      </c>
      <c r="AX630" s="37" t="n">
        <v>2.12</v>
      </c>
      <c r="AY630" s="37" t="n">
        <v>1.97</v>
      </c>
      <c r="AZ630" s="37" t="n">
        <v>1.18</v>
      </c>
      <c r="BA630" s="37" t="n">
        <v>2.32</v>
      </c>
      <c r="BB630" s="37" t="n">
        <v>0.54</v>
      </c>
      <c r="BC630" s="37" t="n">
        <v>0.25</v>
      </c>
      <c r="BD630" s="37" t="n">
        <v>0.39</v>
      </c>
      <c r="BE630" s="37" t="n">
        <v>0.54</v>
      </c>
      <c r="BF630" s="37" t="n">
        <v>0.54</v>
      </c>
      <c r="BG630" s="37" t="n">
        <v>0.35</v>
      </c>
      <c r="BH630" s="37" t="n">
        <v>0.74</v>
      </c>
      <c r="BI630" s="37" t="n">
        <v>0.54</v>
      </c>
      <c r="BJ630" s="37" t="n">
        <v>0.49</v>
      </c>
      <c r="BK630" s="37" t="n">
        <v>0.54</v>
      </c>
      <c r="BL630" s="37" t="n">
        <v>0.54</v>
      </c>
      <c r="BM630" s="37" t="n">
        <v>0.54</v>
      </c>
      <c r="BN630" s="37" t="n">
        <v>0.39</v>
      </c>
      <c r="BO630" s="37" t="n">
        <v>0.79</v>
      </c>
      <c r="BP630" s="37" t="n">
        <v>0.64</v>
      </c>
      <c r="BQ630" s="37" t="n">
        <v>0.54</v>
      </c>
      <c r="BR630" s="37" t="n">
        <v>0.54</v>
      </c>
      <c r="BS630" s="37" t="n">
        <v>0.54</v>
      </c>
      <c r="BT630" s="37" t="n">
        <v>0.54</v>
      </c>
      <c r="BU630" s="37" t="n">
        <v>0.3</v>
      </c>
      <c r="BV630" s="37" t="n">
        <v>0.6899999999999999</v>
      </c>
      <c r="BW630" s="37" t="n">
        <v>0.54</v>
      </c>
      <c r="BX630" s="37" t="n">
        <v>0.54</v>
      </c>
      <c r="BY630" s="37" t="n">
        <v>0.54</v>
      </c>
      <c r="BZ630" s="37" t="n">
        <v>0.54</v>
      </c>
      <c r="CA630" s="37" t="n">
        <v>0.54</v>
      </c>
      <c r="CB630" s="37" t="n">
        <v>0.3</v>
      </c>
      <c r="CC630" s="37" t="n">
        <v>101.7500000000001</v>
      </c>
    </row>
    <row r="631" ht="15.75" customHeight="1" s="57">
      <c r="A631" s="7" t="inlineStr">
        <is>
          <t>NTB</t>
        </is>
      </c>
      <c r="B631" s="7" t="inlineStr">
        <is>
          <t>Đắk Nông</t>
        </is>
      </c>
      <c r="C631" s="7" t="n">
        <v>22242000</v>
      </c>
      <c r="D631" s="7" t="inlineStr">
        <is>
          <t>(DNO) Bắc Gia Nghĩa</t>
        </is>
      </c>
      <c r="E631" s="7" t="inlineStr">
        <is>
          <t>SME</t>
        </is>
      </c>
      <c r="F631" s="36" t="n">
        <v>109</v>
      </c>
      <c r="G631" s="36" t="n">
        <v>152</v>
      </c>
      <c r="H631" s="36" t="n">
        <v>156</v>
      </c>
      <c r="I631" s="36" t="n">
        <v>146</v>
      </c>
      <c r="J631" s="36" t="n">
        <v>116</v>
      </c>
      <c r="K631" s="28" t="n">
        <v>126</v>
      </c>
      <c r="L631" s="36" t="n">
        <v>96</v>
      </c>
      <c r="M631" s="36" t="n">
        <v>90</v>
      </c>
      <c r="N631" s="36" t="n">
        <v>133</v>
      </c>
      <c r="O631" s="36" t="n">
        <v>95</v>
      </c>
      <c r="P631" s="36" t="n">
        <v>156</v>
      </c>
      <c r="Q631" s="36" t="n">
        <v>85</v>
      </c>
      <c r="R631" s="28" t="n">
        <v>92</v>
      </c>
      <c r="S631" s="36" t="n">
        <v>60</v>
      </c>
      <c r="T631" s="36" t="n">
        <v>106</v>
      </c>
      <c r="U631" s="36" t="n">
        <v>138.1</v>
      </c>
      <c r="V631" s="36" t="n">
        <v>142.58</v>
      </c>
      <c r="W631" s="36" t="n">
        <v>138.97</v>
      </c>
      <c r="X631" s="36" t="n">
        <v>113.44</v>
      </c>
      <c r="Y631" s="28" t="n">
        <v>153.82</v>
      </c>
      <c r="Z631" s="36" t="n">
        <v>141.48</v>
      </c>
      <c r="AA631" s="36" t="n">
        <v>138.58</v>
      </c>
      <c r="AB631" s="36" t="n">
        <v>138.1</v>
      </c>
      <c r="AC631" s="36" t="n">
        <v>142.58</v>
      </c>
      <c r="AD631" s="36" t="n">
        <v>143.86</v>
      </c>
      <c r="AE631" s="36" t="n">
        <v>113.44</v>
      </c>
      <c r="AF631" s="28" t="n">
        <v>153.82</v>
      </c>
      <c r="AG631" s="36" t="n">
        <v>141.48</v>
      </c>
      <c r="AH631" s="37" t="n">
        <v>138.58</v>
      </c>
      <c r="AI631" s="37" t="n">
        <v>138.1</v>
      </c>
      <c r="AJ631" s="37" t="n">
        <v>142.58</v>
      </c>
      <c r="AK631" s="37" t="n">
        <v>138.97</v>
      </c>
      <c r="AL631" s="37" t="n">
        <v>113.44</v>
      </c>
      <c r="AM631" s="37" t="n">
        <v>153.82</v>
      </c>
      <c r="AN631" s="37" t="n">
        <v>141.48</v>
      </c>
      <c r="AO631" s="37" t="n">
        <v>138.58</v>
      </c>
      <c r="AP631" s="37" t="n">
        <v>138.1</v>
      </c>
      <c r="AQ631" s="37" t="n">
        <v>142.58</v>
      </c>
      <c r="AR631" s="37" t="n">
        <v>138.97</v>
      </c>
      <c r="AS631" s="37" t="n">
        <v>113.44</v>
      </c>
      <c r="AT631" s="37" t="n">
        <v>153.82</v>
      </c>
      <c r="AU631" s="37" t="n">
        <v>141.48</v>
      </c>
      <c r="AV631" s="37" t="n">
        <v>138.58</v>
      </c>
      <c r="AW631" s="37" t="n">
        <v>138.1</v>
      </c>
      <c r="AX631" s="37" t="n">
        <v>142.58</v>
      </c>
      <c r="AY631" s="37" t="n">
        <v>138.97</v>
      </c>
      <c r="AZ631" s="37" t="n">
        <v>113.44</v>
      </c>
      <c r="BA631" s="37" t="n">
        <v>138.63</v>
      </c>
      <c r="BB631" s="37" t="n">
        <v>124.19</v>
      </c>
      <c r="BC631" s="37" t="n">
        <v>78.25</v>
      </c>
      <c r="BD631" s="37" t="n">
        <v>78.10000000000001</v>
      </c>
      <c r="BE631" s="37" t="n">
        <v>132.07</v>
      </c>
      <c r="BF631" s="37" t="n">
        <v>128.65</v>
      </c>
      <c r="BG631" s="37" t="n">
        <v>117.01</v>
      </c>
      <c r="BH631" s="37" t="n">
        <v>158.34</v>
      </c>
      <c r="BI631" s="37" t="n">
        <v>145.74</v>
      </c>
      <c r="BJ631" s="37" t="n">
        <v>147.47</v>
      </c>
      <c r="BK631" s="37" t="n">
        <v>142.2</v>
      </c>
      <c r="BL631" s="37" t="n">
        <v>146.89</v>
      </c>
      <c r="BM631" s="37" t="n">
        <v>143.23</v>
      </c>
      <c r="BN631" s="37" t="n">
        <v>117.01</v>
      </c>
      <c r="BO631" s="37" t="n">
        <v>158.34</v>
      </c>
      <c r="BP631" s="37" t="n">
        <v>145.74</v>
      </c>
      <c r="BQ631" s="37" t="n">
        <v>142.84</v>
      </c>
      <c r="BR631" s="37" t="n">
        <v>142.2</v>
      </c>
      <c r="BS631" s="37" t="n">
        <v>146.89</v>
      </c>
      <c r="BT631" s="37" t="n">
        <v>143.23</v>
      </c>
      <c r="BU631" s="37" t="n">
        <v>117.01</v>
      </c>
      <c r="BV631" s="37" t="n">
        <v>158.34</v>
      </c>
      <c r="BW631" s="37" t="n">
        <v>145.74</v>
      </c>
      <c r="BX631" s="37" t="n">
        <v>142.84</v>
      </c>
      <c r="BY631" s="37" t="n">
        <v>142.2</v>
      </c>
      <c r="BZ631" s="37" t="n">
        <v>146.89</v>
      </c>
      <c r="CA631" s="37" t="n">
        <v>143.23</v>
      </c>
      <c r="CB631" s="37" t="n">
        <v>117.01</v>
      </c>
      <c r="CC631" s="37" t="n">
        <v>9914.139999999998</v>
      </c>
    </row>
    <row r="632" ht="15.75" customHeight="1" s="57">
      <c r="A632" s="7" t="inlineStr">
        <is>
          <t>NTB</t>
        </is>
      </c>
      <c r="B632" s="7" t="inlineStr">
        <is>
          <t>Đắk Nông</t>
        </is>
      </c>
      <c r="C632" s="7" t="n">
        <v>22242000</v>
      </c>
      <c r="D632" s="7" t="inlineStr">
        <is>
          <t>(DNO) Bắc Gia Nghĩa</t>
        </is>
      </c>
      <c r="E632" s="7" t="inlineStr">
        <is>
          <t>SME-Bulky</t>
        </is>
      </c>
      <c r="F632" s="36" t="n">
        <v>4</v>
      </c>
      <c r="G632" s="36" t="n">
        <v>2</v>
      </c>
      <c r="H632" s="36" t="n">
        <v>4</v>
      </c>
      <c r="I632" s="36" t="n">
        <v>11</v>
      </c>
      <c r="J632" s="36" t="n">
        <v>15</v>
      </c>
      <c r="K632" s="28" t="n">
        <v>7</v>
      </c>
      <c r="L632" s="36" t="n">
        <v>9</v>
      </c>
      <c r="M632" s="36" t="n">
        <v>7</v>
      </c>
      <c r="N632" s="36" t="n">
        <v>10</v>
      </c>
      <c r="O632" s="36" t="n">
        <v>5</v>
      </c>
      <c r="P632" s="36" t="n">
        <v>6</v>
      </c>
      <c r="Q632" s="36" t="n">
        <v>8</v>
      </c>
      <c r="R632" s="28" t="n">
        <v>5</v>
      </c>
      <c r="S632" s="36" t="n">
        <v>8</v>
      </c>
      <c r="T632" s="36" t="n">
        <v>8</v>
      </c>
      <c r="U632" s="36" t="n">
        <v>7.86</v>
      </c>
      <c r="V632" s="36" t="n">
        <v>7.82</v>
      </c>
      <c r="W632" s="36" t="n">
        <v>7.29</v>
      </c>
      <c r="X632" s="36" t="n">
        <v>5.12</v>
      </c>
      <c r="Y632" s="28" t="n">
        <v>8.699999999999999</v>
      </c>
      <c r="Z632" s="36" t="n">
        <v>8.5</v>
      </c>
      <c r="AA632" s="36" t="n">
        <v>8.02</v>
      </c>
      <c r="AB632" s="36" t="n">
        <v>7.86</v>
      </c>
      <c r="AC632" s="36" t="n">
        <v>7.82</v>
      </c>
      <c r="AD632" s="36" t="n">
        <v>7.05</v>
      </c>
      <c r="AE632" s="36" t="n">
        <v>5.12</v>
      </c>
      <c r="AF632" s="28" t="n">
        <v>8.699999999999999</v>
      </c>
      <c r="AG632" s="36" t="n">
        <v>8.5</v>
      </c>
      <c r="AH632" s="37" t="n">
        <v>8.02</v>
      </c>
      <c r="AI632" s="37" t="n">
        <v>7.86</v>
      </c>
      <c r="AJ632" s="37" t="n">
        <v>7.82</v>
      </c>
      <c r="AK632" s="37" t="n">
        <v>7.29</v>
      </c>
      <c r="AL632" s="37" t="n">
        <v>5.12</v>
      </c>
      <c r="AM632" s="37" t="n">
        <v>8.699999999999999</v>
      </c>
      <c r="AN632" s="37" t="n">
        <v>8.5</v>
      </c>
      <c r="AO632" s="37" t="n">
        <v>8.02</v>
      </c>
      <c r="AP632" s="37" t="n">
        <v>7.86</v>
      </c>
      <c r="AQ632" s="37" t="n">
        <v>7.82</v>
      </c>
      <c r="AR632" s="37" t="n">
        <v>7.29</v>
      </c>
      <c r="AS632" s="37" t="n">
        <v>5.12</v>
      </c>
      <c r="AT632" s="37" t="n">
        <v>8.699999999999999</v>
      </c>
      <c r="AU632" s="37" t="n">
        <v>8.5</v>
      </c>
      <c r="AV632" s="37" t="n">
        <v>8.02</v>
      </c>
      <c r="AW632" s="37" t="n">
        <v>7.86</v>
      </c>
      <c r="AX632" s="37" t="n">
        <v>7.82</v>
      </c>
      <c r="AY632" s="37" t="n">
        <v>7.29</v>
      </c>
      <c r="AZ632" s="37" t="n">
        <v>5.12</v>
      </c>
      <c r="BA632" s="37" t="n">
        <v>8.619999999999999</v>
      </c>
      <c r="BB632" s="37" t="n">
        <v>4.63</v>
      </c>
      <c r="BC632" s="37" t="n">
        <v>2.38</v>
      </c>
      <c r="BD632" s="37" t="n">
        <v>2.14</v>
      </c>
      <c r="BE632" s="37" t="n">
        <v>4.03</v>
      </c>
      <c r="BF632" s="37" t="n">
        <v>3.79</v>
      </c>
      <c r="BG632" s="37" t="n">
        <v>3.02</v>
      </c>
      <c r="BH632" s="37" t="n">
        <v>5</v>
      </c>
      <c r="BI632" s="37" t="n">
        <v>4.96</v>
      </c>
      <c r="BJ632" s="37" t="n">
        <v>4.55</v>
      </c>
      <c r="BK632" s="37" t="n">
        <v>4.59</v>
      </c>
      <c r="BL632" s="37" t="n">
        <v>4.59</v>
      </c>
      <c r="BM632" s="37" t="n">
        <v>4.31</v>
      </c>
      <c r="BN632" s="37" t="n">
        <v>3.02</v>
      </c>
      <c r="BO632" s="37" t="n">
        <v>5</v>
      </c>
      <c r="BP632" s="37" t="n">
        <v>4.96</v>
      </c>
      <c r="BQ632" s="37" t="n">
        <v>4.63</v>
      </c>
      <c r="BR632" s="37" t="n">
        <v>4.59</v>
      </c>
      <c r="BS632" s="37" t="n">
        <v>4.59</v>
      </c>
      <c r="BT632" s="37" t="n">
        <v>4.31</v>
      </c>
      <c r="BU632" s="37" t="n">
        <v>3.02</v>
      </c>
      <c r="BV632" s="37" t="n">
        <v>5</v>
      </c>
      <c r="BW632" s="37" t="n">
        <v>4.96</v>
      </c>
      <c r="BX632" s="37" t="n">
        <v>4.63</v>
      </c>
      <c r="BY632" s="37" t="n">
        <v>4.59</v>
      </c>
      <c r="BZ632" s="37" t="n">
        <v>4.59</v>
      </c>
      <c r="CA632" s="37" t="n">
        <v>4.31</v>
      </c>
      <c r="CB632" s="37" t="n">
        <v>3.02</v>
      </c>
      <c r="CC632" s="37" t="n">
        <v>471.9199999999997</v>
      </c>
    </row>
    <row r="633" ht="15.75" customHeight="1" s="57">
      <c r="A633" s="7" t="inlineStr">
        <is>
          <t>NTB</t>
        </is>
      </c>
      <c r="B633" s="7" t="inlineStr">
        <is>
          <t>Đắk Nông</t>
        </is>
      </c>
      <c r="C633" s="7" t="n">
        <v>22242000</v>
      </c>
      <c r="D633" s="7" t="inlineStr">
        <is>
          <t>(DNO) Bắc Gia Nghĩa</t>
        </is>
      </c>
      <c r="E633" s="7" t="inlineStr">
        <is>
          <t>Shopee</t>
        </is>
      </c>
      <c r="F633" s="36" t="n">
        <v>94</v>
      </c>
      <c r="G633" s="36" t="n">
        <v>85</v>
      </c>
      <c r="H633" s="36" t="n">
        <v>118</v>
      </c>
      <c r="I633" s="36" t="n">
        <v>103</v>
      </c>
      <c r="J633" s="36" t="n">
        <v>68</v>
      </c>
      <c r="K633" s="28" t="n">
        <v>72</v>
      </c>
      <c r="L633" s="36" t="n">
        <v>42</v>
      </c>
      <c r="M633" s="36" t="n">
        <v>13</v>
      </c>
      <c r="N633" s="36" t="n">
        <v>75</v>
      </c>
      <c r="O633" s="36" t="n">
        <v>44</v>
      </c>
      <c r="P633" s="36" t="n">
        <v>73</v>
      </c>
      <c r="Q633" s="36" t="n">
        <v>14</v>
      </c>
      <c r="R633" s="28" t="n">
        <v>9</v>
      </c>
      <c r="S633" s="36" t="n">
        <v>28</v>
      </c>
      <c r="T633" s="36" t="n">
        <v>56</v>
      </c>
      <c r="U633" s="36" t="n">
        <v>50.47</v>
      </c>
      <c r="V633" s="36" t="n">
        <v>50.6</v>
      </c>
      <c r="W633" s="36" t="n">
        <v>49.94</v>
      </c>
      <c r="X633" s="36" t="n">
        <v>40.63</v>
      </c>
      <c r="Y633" s="28" t="n">
        <v>67.84999999999999</v>
      </c>
      <c r="Z633" s="36" t="n">
        <v>53.82</v>
      </c>
      <c r="AA633" s="36" t="n">
        <v>73.98999999999999</v>
      </c>
      <c r="AB633" s="36" t="n">
        <v>51.44</v>
      </c>
      <c r="AC633" s="36" t="n">
        <v>41.56</v>
      </c>
      <c r="AD633" s="36" t="n">
        <v>94.81</v>
      </c>
      <c r="AE633" s="36" t="n">
        <v>43.59</v>
      </c>
      <c r="AF633" s="28" t="n">
        <v>77.59999999999999</v>
      </c>
      <c r="AG633" s="36" t="n">
        <v>56.38</v>
      </c>
      <c r="AH633" s="37" t="n">
        <v>59.6</v>
      </c>
      <c r="AI633" s="37" t="n">
        <v>50.47</v>
      </c>
      <c r="AJ633" s="37" t="n">
        <v>50.6</v>
      </c>
      <c r="AK633" s="37" t="n">
        <v>67.31999999999999</v>
      </c>
      <c r="AL633" s="37" t="n">
        <v>72.93000000000001</v>
      </c>
      <c r="AM633" s="37" t="n">
        <v>67.84999999999999</v>
      </c>
      <c r="AN633" s="37" t="n">
        <v>53.82</v>
      </c>
      <c r="AO633" s="37" t="n">
        <v>59.6</v>
      </c>
      <c r="AP633" s="37" t="n">
        <v>63.13</v>
      </c>
      <c r="AQ633" s="37" t="n">
        <v>40.63</v>
      </c>
      <c r="AR633" s="37" t="n">
        <v>49.94</v>
      </c>
      <c r="AS633" s="37" t="n">
        <v>40.63</v>
      </c>
      <c r="AT633" s="37" t="n">
        <v>67.84999999999999</v>
      </c>
      <c r="AU633" s="37" t="n">
        <v>54.84</v>
      </c>
      <c r="AV633" s="37" t="n">
        <v>60.84</v>
      </c>
      <c r="AW633" s="37" t="n">
        <v>50.47</v>
      </c>
      <c r="AX633" s="37" t="n">
        <v>50.6</v>
      </c>
      <c r="AY633" s="37" t="n">
        <v>49.94</v>
      </c>
      <c r="AZ633" s="37" t="n">
        <v>40.63</v>
      </c>
      <c r="BA633" s="37" t="n">
        <v>52.37</v>
      </c>
      <c r="BB633" s="37" t="n">
        <v>45.62</v>
      </c>
      <c r="BC633" s="37" t="n">
        <v>23.29</v>
      </c>
      <c r="BD633" s="37" t="n">
        <v>41.51</v>
      </c>
      <c r="BE633" s="37" t="n">
        <v>48.22</v>
      </c>
      <c r="BF633" s="37" t="n">
        <v>47.65</v>
      </c>
      <c r="BG633" s="37" t="n">
        <v>39.57</v>
      </c>
      <c r="BH633" s="37" t="n">
        <v>64.63</v>
      </c>
      <c r="BI633" s="37" t="n">
        <v>42.31</v>
      </c>
      <c r="BJ633" s="37" t="n">
        <v>134.78</v>
      </c>
      <c r="BK633" s="37" t="n">
        <v>51.44</v>
      </c>
      <c r="BL633" s="37" t="n">
        <v>50.69</v>
      </c>
      <c r="BM633" s="37" t="n">
        <v>47.65</v>
      </c>
      <c r="BN633" s="37" t="n">
        <v>38.82</v>
      </c>
      <c r="BO633" s="37" t="n">
        <v>64.63</v>
      </c>
      <c r="BP633" s="37" t="n">
        <v>69.31</v>
      </c>
      <c r="BQ633" s="37" t="n">
        <v>102</v>
      </c>
      <c r="BR633" s="37" t="n">
        <v>48.09</v>
      </c>
      <c r="BS633" s="37" t="n">
        <v>48.22</v>
      </c>
      <c r="BT633" s="37" t="n">
        <v>47.65</v>
      </c>
      <c r="BU633" s="37" t="n">
        <v>48.35</v>
      </c>
      <c r="BV633" s="37" t="n">
        <v>51.84</v>
      </c>
      <c r="BW633" s="37" t="n">
        <v>51.26</v>
      </c>
      <c r="BX633" s="37" t="n">
        <v>56.69</v>
      </c>
      <c r="BY633" s="37" t="n">
        <v>48.09</v>
      </c>
      <c r="BZ633" s="37" t="n">
        <v>49.28</v>
      </c>
      <c r="CA633" s="37" t="n">
        <v>48.53</v>
      </c>
      <c r="CB633" s="37" t="n">
        <v>38.82</v>
      </c>
      <c r="CC633" s="37" t="n">
        <v>4199.68</v>
      </c>
    </row>
    <row r="634" ht="15.75" customHeight="1" s="57">
      <c r="A634" s="7" t="inlineStr">
        <is>
          <t>NTB</t>
        </is>
      </c>
      <c r="B634" s="7" t="inlineStr">
        <is>
          <t>Đắk Nông</t>
        </is>
      </c>
      <c r="C634" s="7" t="n">
        <v>22242000</v>
      </c>
      <c r="D634" s="7" t="inlineStr">
        <is>
          <t>(DNO) Bắc Gia Nghĩa</t>
        </is>
      </c>
      <c r="E634" s="7" t="inlineStr">
        <is>
          <t>Shopee-Bulky</t>
        </is>
      </c>
      <c r="F634" s="36" t="n">
        <v>7.8</v>
      </c>
      <c r="G634" s="36" t="n">
        <v>9.75</v>
      </c>
      <c r="H634" s="36" t="n">
        <v>11.04</v>
      </c>
      <c r="I634" s="36" t="n">
        <v>10.4</v>
      </c>
      <c r="J634" s="36" t="n">
        <v>6.5</v>
      </c>
      <c r="K634" s="28" t="n">
        <v>3.9</v>
      </c>
      <c r="L634" s="36" t="n">
        <v>3.9</v>
      </c>
      <c r="M634" s="36" t="n">
        <v>3.25</v>
      </c>
      <c r="N634" s="36" t="n">
        <v>6.5</v>
      </c>
      <c r="O634" s="36" t="n">
        <v>3.9</v>
      </c>
      <c r="P634" s="36" t="n">
        <v>6.5</v>
      </c>
      <c r="Q634" s="36" t="n">
        <v>5.2</v>
      </c>
      <c r="R634" s="28" t="n">
        <v>5.85</v>
      </c>
      <c r="S634" s="36" t="n">
        <v>5.2</v>
      </c>
      <c r="T634" s="36" t="n">
        <v>9.1</v>
      </c>
      <c r="U634" s="36" t="n">
        <v>5.28</v>
      </c>
      <c r="V634" s="36" t="n">
        <v>4.9</v>
      </c>
      <c r="W634" s="36" t="n">
        <v>6.82</v>
      </c>
      <c r="X634" s="36" t="n">
        <v>3.85</v>
      </c>
      <c r="Y634" s="28" t="n">
        <v>7.74</v>
      </c>
      <c r="Z634" s="36" t="n">
        <v>6.13</v>
      </c>
      <c r="AA634" s="36" t="n">
        <v>5.91</v>
      </c>
      <c r="AB634" s="36" t="n">
        <v>6.07</v>
      </c>
      <c r="AC634" s="36" t="n">
        <v>5.97</v>
      </c>
      <c r="AD634" s="36" t="n">
        <v>13.96</v>
      </c>
      <c r="AE634" s="36" t="n">
        <v>10.11</v>
      </c>
      <c r="AF634" s="28" t="n">
        <v>15.26</v>
      </c>
      <c r="AG634" s="36" t="n">
        <v>8.69</v>
      </c>
      <c r="AH634" s="37" t="n">
        <v>6.13</v>
      </c>
      <c r="AI634" s="37" t="n">
        <v>5.97</v>
      </c>
      <c r="AJ634" s="37" t="n">
        <v>5.43</v>
      </c>
      <c r="AK634" s="37" t="n">
        <v>13.08</v>
      </c>
      <c r="AL634" s="37" t="n">
        <v>6.32</v>
      </c>
      <c r="AM634" s="37" t="n">
        <v>9.73</v>
      </c>
      <c r="AN634" s="37" t="n">
        <v>6.07</v>
      </c>
      <c r="AO634" s="37" t="n">
        <v>5.81</v>
      </c>
      <c r="AP634" s="37" t="n">
        <v>7.96</v>
      </c>
      <c r="AQ634" s="37" t="n">
        <v>7.68</v>
      </c>
      <c r="AR634" s="37" t="n">
        <v>6.29</v>
      </c>
      <c r="AS634" s="37" t="n">
        <v>3.54</v>
      </c>
      <c r="AT634" s="37" t="n">
        <v>7.01</v>
      </c>
      <c r="AU634" s="37" t="n">
        <v>11.91</v>
      </c>
      <c r="AV634" s="37" t="n">
        <v>12.29</v>
      </c>
      <c r="AW634" s="37" t="n">
        <v>5.81</v>
      </c>
      <c r="AX634" s="37" t="n">
        <v>5.21</v>
      </c>
      <c r="AY634" s="37" t="n">
        <v>6.07</v>
      </c>
      <c r="AZ634" s="37" t="n">
        <v>3.35</v>
      </c>
      <c r="BA634" s="37" t="n">
        <v>6.48</v>
      </c>
      <c r="BB634" s="37" t="n">
        <v>6</v>
      </c>
      <c r="BC634" s="37" t="n">
        <v>1.8</v>
      </c>
      <c r="BD634" s="37" t="n">
        <v>5.18</v>
      </c>
      <c r="BE634" s="37" t="n">
        <v>6.13</v>
      </c>
      <c r="BF634" s="37" t="n">
        <v>5.4</v>
      </c>
      <c r="BG634" s="37" t="n">
        <v>4.39</v>
      </c>
      <c r="BH634" s="37" t="n">
        <v>8.369999999999999</v>
      </c>
      <c r="BI634" s="37" t="n">
        <v>7.11</v>
      </c>
      <c r="BJ634" s="37" t="n">
        <v>22.37</v>
      </c>
      <c r="BK634" s="37" t="n">
        <v>15.17</v>
      </c>
      <c r="BL634" s="37" t="n">
        <v>7.84</v>
      </c>
      <c r="BM634" s="37" t="n">
        <v>5.81</v>
      </c>
      <c r="BN634" s="37" t="n">
        <v>4.42</v>
      </c>
      <c r="BO634" s="37" t="n">
        <v>9.380000000000001</v>
      </c>
      <c r="BP634" s="37" t="n">
        <v>14.41</v>
      </c>
      <c r="BQ634" s="37" t="n">
        <v>10.21</v>
      </c>
      <c r="BR634" s="37" t="n">
        <v>6.67</v>
      </c>
      <c r="BS634" s="37" t="n">
        <v>6.13</v>
      </c>
      <c r="BT634" s="37" t="n">
        <v>5.4</v>
      </c>
      <c r="BU634" s="37" t="n">
        <v>6.38</v>
      </c>
      <c r="BV634" s="37" t="n">
        <v>8.69</v>
      </c>
      <c r="BW634" s="37" t="n">
        <v>7.11</v>
      </c>
      <c r="BX634" s="37" t="n">
        <v>6.73</v>
      </c>
      <c r="BY634" s="37" t="n">
        <v>6.67</v>
      </c>
      <c r="BZ634" s="37" t="n">
        <v>11.6</v>
      </c>
      <c r="CA634" s="37" t="n">
        <v>6.29</v>
      </c>
      <c r="CB634" s="37" t="n">
        <v>4.2</v>
      </c>
      <c r="CC634" s="37" t="n">
        <v>551.48</v>
      </c>
    </row>
    <row r="635" ht="15.75" customHeight="1" s="57">
      <c r="A635" s="7" t="inlineStr">
        <is>
          <t>NTB</t>
        </is>
      </c>
      <c r="B635" s="7" t="inlineStr">
        <is>
          <t>Đắk Nông</t>
        </is>
      </c>
      <c r="C635" s="7" t="n">
        <v>22242000</v>
      </c>
      <c r="D635" s="7" t="inlineStr">
        <is>
          <t>(DNO) Bắc Gia Nghĩa</t>
        </is>
      </c>
      <c r="E635" s="7" t="inlineStr">
        <is>
          <t>Shopee-Bulky (10-15kg)</t>
        </is>
      </c>
      <c r="F635" s="36" t="n">
        <v>4.2</v>
      </c>
      <c r="G635" s="36" t="n">
        <v>5.25</v>
      </c>
      <c r="H635" s="36" t="n">
        <v>5.96</v>
      </c>
      <c r="I635" s="36" t="n">
        <v>5.6</v>
      </c>
      <c r="J635" s="36" t="n">
        <v>3.5</v>
      </c>
      <c r="K635" s="28" t="n">
        <v>2.1</v>
      </c>
      <c r="L635" s="36" t="n">
        <v>2.1</v>
      </c>
      <c r="M635" s="36" t="n">
        <v>1.75</v>
      </c>
      <c r="N635" s="36" t="n">
        <v>3.5</v>
      </c>
      <c r="O635" s="36" t="n">
        <v>2.1</v>
      </c>
      <c r="P635" s="36" t="n">
        <v>3.5</v>
      </c>
      <c r="Q635" s="36" t="n">
        <v>2.8</v>
      </c>
      <c r="R635" s="28" t="n">
        <v>3.15</v>
      </c>
      <c r="S635" s="36" t="n">
        <v>2.8</v>
      </c>
      <c r="T635" s="36" t="n">
        <v>4.9</v>
      </c>
      <c r="U635" s="36" t="n">
        <v>2.75</v>
      </c>
      <c r="V635" s="36" t="n">
        <v>2.65</v>
      </c>
      <c r="W635" s="36" t="n">
        <v>3.66</v>
      </c>
      <c r="X635" s="36" t="n">
        <v>2.15</v>
      </c>
      <c r="Y635" s="28" t="n">
        <v>3.98</v>
      </c>
      <c r="Z635" s="36" t="n">
        <v>3.06</v>
      </c>
      <c r="AA635" s="36" t="n">
        <v>3</v>
      </c>
      <c r="AB635" s="36" t="n">
        <v>3.06</v>
      </c>
      <c r="AC635" s="36" t="n">
        <v>3.13</v>
      </c>
      <c r="AD635" s="36" t="n">
        <v>12.89</v>
      </c>
      <c r="AE635" s="36" t="n">
        <v>5.4</v>
      </c>
      <c r="AF635" s="28" t="n">
        <v>7.9</v>
      </c>
      <c r="AG635" s="36" t="n">
        <v>4.42</v>
      </c>
      <c r="AH635" s="37" t="n">
        <v>3.06</v>
      </c>
      <c r="AI635" s="37" t="n">
        <v>3.1</v>
      </c>
      <c r="AJ635" s="37" t="n">
        <v>2.78</v>
      </c>
      <c r="AK635" s="37" t="n">
        <v>7.24</v>
      </c>
      <c r="AL635" s="37" t="n">
        <v>3.35</v>
      </c>
      <c r="AM635" s="37" t="n">
        <v>4.99</v>
      </c>
      <c r="AN635" s="37" t="n">
        <v>3.03</v>
      </c>
      <c r="AO635" s="37" t="n">
        <v>3</v>
      </c>
      <c r="AP635" s="37" t="n">
        <v>3.98</v>
      </c>
      <c r="AQ635" s="37" t="n">
        <v>4.01</v>
      </c>
      <c r="AR635" s="37" t="n">
        <v>3.38</v>
      </c>
      <c r="AS635" s="37" t="n">
        <v>1.96</v>
      </c>
      <c r="AT635" s="37" t="n">
        <v>3.63</v>
      </c>
      <c r="AU635" s="37" t="n">
        <v>6.63</v>
      </c>
      <c r="AV635" s="37" t="n">
        <v>6.45</v>
      </c>
      <c r="AW635" s="37" t="n">
        <v>2.84</v>
      </c>
      <c r="AX635" s="37" t="n">
        <v>2.69</v>
      </c>
      <c r="AY635" s="37" t="n">
        <v>3.29</v>
      </c>
      <c r="AZ635" s="37" t="n">
        <v>1.83</v>
      </c>
      <c r="BA635" s="37" t="n">
        <v>3.38</v>
      </c>
      <c r="BB635" s="37" t="n">
        <v>3.16</v>
      </c>
      <c r="BC635" s="37" t="n">
        <v>0.79</v>
      </c>
      <c r="BD635" s="37" t="n">
        <v>2.81</v>
      </c>
      <c r="BE635" s="37" t="n">
        <v>3.22</v>
      </c>
      <c r="BF635" s="37" t="n">
        <v>2.94</v>
      </c>
      <c r="BG635" s="37" t="n">
        <v>2.56</v>
      </c>
      <c r="BH635" s="37" t="n">
        <v>4.39</v>
      </c>
      <c r="BI635" s="37" t="n">
        <v>3.66</v>
      </c>
      <c r="BJ635" s="37" t="n">
        <v>17.98</v>
      </c>
      <c r="BK635" s="37" t="n">
        <v>8.279999999999999</v>
      </c>
      <c r="BL635" s="37" t="n">
        <v>4.01</v>
      </c>
      <c r="BM635" s="37" t="n">
        <v>3.03</v>
      </c>
      <c r="BN635" s="37" t="n">
        <v>2.5</v>
      </c>
      <c r="BO635" s="37" t="n">
        <v>4.93</v>
      </c>
      <c r="BP635" s="37" t="n">
        <v>7.71</v>
      </c>
      <c r="BQ635" s="37" t="n">
        <v>5.28</v>
      </c>
      <c r="BR635" s="37" t="n">
        <v>3.41</v>
      </c>
      <c r="BS635" s="37" t="n">
        <v>3.22</v>
      </c>
      <c r="BT635" s="37" t="n">
        <v>2.94</v>
      </c>
      <c r="BU635" s="37" t="n">
        <v>3.29</v>
      </c>
      <c r="BV635" s="37" t="n">
        <v>4.52</v>
      </c>
      <c r="BW635" s="37" t="n">
        <v>3.66</v>
      </c>
      <c r="BX635" s="37" t="n">
        <v>3.54</v>
      </c>
      <c r="BY635" s="37" t="n">
        <v>3.41</v>
      </c>
      <c r="BZ635" s="37" t="n">
        <v>6.26</v>
      </c>
      <c r="CA635" s="37" t="n">
        <v>3.38</v>
      </c>
      <c r="CB635" s="37" t="n">
        <v>2.43</v>
      </c>
      <c r="CC635" s="37" t="n">
        <v>303.1900000000001</v>
      </c>
    </row>
    <row r="636" ht="15.75" customHeight="1" s="57">
      <c r="A636" s="7" t="inlineStr">
        <is>
          <t>NTB</t>
        </is>
      </c>
      <c r="B636" s="7" t="inlineStr">
        <is>
          <t>Đắk Nông</t>
        </is>
      </c>
      <c r="C636" s="7" t="n">
        <v>22242000</v>
      </c>
      <c r="D636" s="7" t="inlineStr">
        <is>
          <t>(DNO) Bắc Gia Nghĩa</t>
        </is>
      </c>
      <c r="E636" s="7" t="inlineStr">
        <is>
          <t>TTS</t>
        </is>
      </c>
      <c r="F636" s="36" t="n">
        <v>57</v>
      </c>
      <c r="G636" s="36" t="n">
        <v>96</v>
      </c>
      <c r="H636" s="36" t="n">
        <v>81</v>
      </c>
      <c r="I636" s="36" t="n">
        <v>70</v>
      </c>
      <c r="J636" s="36" t="n">
        <v>60</v>
      </c>
      <c r="K636" s="28" t="n">
        <v>64</v>
      </c>
      <c r="L636" s="36" t="n">
        <v>52</v>
      </c>
      <c r="M636" s="36" t="n">
        <v>36</v>
      </c>
      <c r="N636" s="36" t="n">
        <v>88</v>
      </c>
      <c r="O636" s="36" t="n">
        <v>59</v>
      </c>
      <c r="P636" s="36" t="n">
        <v>91</v>
      </c>
      <c r="Q636" s="36" t="n">
        <v>41</v>
      </c>
      <c r="R636" s="28" t="n">
        <v>38</v>
      </c>
      <c r="S636" s="36" t="n">
        <v>34</v>
      </c>
      <c r="T636" s="36" t="n">
        <v>57</v>
      </c>
      <c r="U636" s="36" t="n">
        <v>60.92</v>
      </c>
      <c r="V636" s="36" t="n">
        <v>60.01</v>
      </c>
      <c r="W636" s="36" t="n">
        <v>58.58</v>
      </c>
      <c r="X636" s="36" t="n">
        <v>47.25</v>
      </c>
      <c r="Y636" s="28" t="n">
        <v>69.09999999999999</v>
      </c>
      <c r="Z636" s="36" t="n">
        <v>58.84</v>
      </c>
      <c r="AA636" s="36" t="n">
        <v>64.89</v>
      </c>
      <c r="AB636" s="36" t="n">
        <v>72.08999999999999</v>
      </c>
      <c r="AC636" s="36" t="n">
        <v>76.16000000000001</v>
      </c>
      <c r="AD636" s="36" t="n">
        <v>83.7</v>
      </c>
      <c r="AE636" s="36" t="n">
        <v>54.91999999999999</v>
      </c>
      <c r="AF636" s="28" t="n">
        <v>71.28</v>
      </c>
      <c r="AG636" s="36" t="n">
        <v>59.77</v>
      </c>
      <c r="AH636" s="37" t="n">
        <v>59.05</v>
      </c>
      <c r="AI636" s="37" t="n">
        <v>67.56999999999999</v>
      </c>
      <c r="AJ636" s="37" t="n">
        <v>72.54000000000001</v>
      </c>
      <c r="AK636" s="37" t="n">
        <v>71.53999999999999</v>
      </c>
      <c r="AL636" s="37" t="n">
        <v>50.98</v>
      </c>
      <c r="AM636" s="37" t="n">
        <v>70.19</v>
      </c>
      <c r="AN636" s="37" t="n">
        <v>60.51</v>
      </c>
      <c r="AO636" s="37" t="n">
        <v>59.95</v>
      </c>
      <c r="AP636" s="37" t="n">
        <v>58.37</v>
      </c>
      <c r="AQ636" s="37" t="n">
        <v>58.98999999999999</v>
      </c>
      <c r="AR636" s="37" t="n">
        <v>57.92</v>
      </c>
      <c r="AS636" s="37" t="n">
        <v>47.4</v>
      </c>
      <c r="AT636" s="37" t="n">
        <v>75.8</v>
      </c>
      <c r="AU636" s="37" t="n">
        <v>68.65000000000001</v>
      </c>
      <c r="AV636" s="37" t="n">
        <v>60.96</v>
      </c>
      <c r="AW636" s="37" t="n">
        <v>57.55</v>
      </c>
      <c r="AX636" s="37" t="n">
        <v>57.3</v>
      </c>
      <c r="AY636" s="37" t="n">
        <v>57.11</v>
      </c>
      <c r="AZ636" s="37" t="n">
        <v>47.4</v>
      </c>
      <c r="BA636" s="37" t="n">
        <v>68.56</v>
      </c>
      <c r="BB636" s="37" t="n">
        <v>63.98</v>
      </c>
      <c r="BC636" s="37" t="n">
        <v>38.03</v>
      </c>
      <c r="BD636" s="37" t="n">
        <v>55.11</v>
      </c>
      <c r="BE636" s="37" t="n">
        <v>64.83</v>
      </c>
      <c r="BF636" s="37" t="n">
        <v>63.1</v>
      </c>
      <c r="BG636" s="37" t="n">
        <v>51.02</v>
      </c>
      <c r="BH636" s="37" t="n">
        <v>75.75999999999999</v>
      </c>
      <c r="BI636" s="37" t="n">
        <v>63.98</v>
      </c>
      <c r="BJ636" s="37" t="n">
        <v>63.47</v>
      </c>
      <c r="BK636" s="37" t="n">
        <v>64.69</v>
      </c>
      <c r="BL636" s="37" t="n">
        <v>64.83</v>
      </c>
      <c r="BM636" s="37" t="n">
        <v>63.1</v>
      </c>
      <c r="BN636" s="37" t="n">
        <v>51.02</v>
      </c>
      <c r="BO636" s="37" t="n">
        <v>75.75999999999999</v>
      </c>
      <c r="BP636" s="37" t="n">
        <v>63.98</v>
      </c>
      <c r="BQ636" s="37" t="n">
        <v>63.25</v>
      </c>
      <c r="BR636" s="37" t="n">
        <v>64.69</v>
      </c>
      <c r="BS636" s="37" t="n">
        <v>64.83</v>
      </c>
      <c r="BT636" s="37" t="n">
        <v>63.1</v>
      </c>
      <c r="BU636" s="37" t="n">
        <v>51.02</v>
      </c>
      <c r="BV636" s="37" t="n">
        <v>75.75999999999999</v>
      </c>
      <c r="BW636" s="37" t="n">
        <v>63.98</v>
      </c>
      <c r="BX636" s="37" t="n">
        <v>63.25</v>
      </c>
      <c r="BY636" s="37" t="n">
        <v>64.69</v>
      </c>
      <c r="BZ636" s="37" t="n">
        <v>64.83</v>
      </c>
      <c r="CA636" s="37" t="n">
        <v>63.1</v>
      </c>
      <c r="CB636" s="37" t="n">
        <v>51.02</v>
      </c>
      <c r="CC636" s="37" t="n">
        <v>4666.030000000001</v>
      </c>
    </row>
    <row r="637" ht="15.75" customHeight="1" s="57">
      <c r="A637" s="7" t="inlineStr">
        <is>
          <t>NTB</t>
        </is>
      </c>
      <c r="B637" s="7" t="inlineStr">
        <is>
          <t>Đắk Nông</t>
        </is>
      </c>
      <c r="C637" s="7" t="n">
        <v>22242000</v>
      </c>
      <c r="D637" s="7" t="inlineStr">
        <is>
          <t>(DNO) Bắc Gia Nghĩa</t>
        </is>
      </c>
      <c r="E637" s="7" t="inlineStr">
        <is>
          <t>TTS-Bulky</t>
        </is>
      </c>
      <c r="F637" s="36" t="n">
        <v>0</v>
      </c>
      <c r="G637" s="36" t="n">
        <v>1</v>
      </c>
      <c r="H637" s="36" t="n">
        <v>1</v>
      </c>
      <c r="I637" s="36" t="n">
        <v>1</v>
      </c>
      <c r="J637" s="36" t="n">
        <v>0</v>
      </c>
      <c r="K637" s="28" t="n">
        <v>2</v>
      </c>
      <c r="L637" s="36" t="n">
        <v>0</v>
      </c>
      <c r="M637" s="36" t="n">
        <v>0</v>
      </c>
      <c r="N637" s="36" t="n">
        <v>0</v>
      </c>
      <c r="O637" s="36" t="n">
        <v>1</v>
      </c>
      <c r="P637" s="36" t="n">
        <v>0</v>
      </c>
      <c r="Q637" s="36" t="n">
        <v>0</v>
      </c>
      <c r="R637" s="28" t="n">
        <v>1</v>
      </c>
      <c r="S637" s="36" t="n">
        <v>0</v>
      </c>
      <c r="T637" s="36" t="n">
        <v>0</v>
      </c>
      <c r="U637" s="36" t="n">
        <v>1.82</v>
      </c>
      <c r="V637" s="36" t="n">
        <v>1.96</v>
      </c>
      <c r="W637" s="36" t="n">
        <v>0.93</v>
      </c>
      <c r="X637" s="36" t="n">
        <v>0.5600000000000001</v>
      </c>
      <c r="Y637" s="28" t="n">
        <v>1.19</v>
      </c>
      <c r="Z637" s="36" t="n">
        <v>0.91</v>
      </c>
      <c r="AA637" s="36" t="n">
        <v>0.98</v>
      </c>
      <c r="AB637" s="36" t="n">
        <v>1.05</v>
      </c>
      <c r="AC637" s="36" t="n">
        <v>1.07</v>
      </c>
      <c r="AD637" s="36" t="n">
        <v>0.93</v>
      </c>
      <c r="AE637" s="36" t="n">
        <v>0.68</v>
      </c>
      <c r="AF637" s="28" t="n">
        <v>1.26</v>
      </c>
      <c r="AG637" s="36" t="n">
        <v>0.93</v>
      </c>
      <c r="AH637" s="37" t="n">
        <v>0.91</v>
      </c>
      <c r="AI637" s="37" t="n">
        <v>0.98</v>
      </c>
      <c r="AJ637" s="37" t="n">
        <v>1.05</v>
      </c>
      <c r="AK637" s="37" t="n">
        <v>1.09</v>
      </c>
      <c r="AL637" s="37" t="n">
        <v>0.5600000000000001</v>
      </c>
      <c r="AM637" s="37" t="n">
        <v>1.21</v>
      </c>
      <c r="AN637" s="37" t="n">
        <v>0.88</v>
      </c>
      <c r="AO637" s="37" t="n">
        <v>0.93</v>
      </c>
      <c r="AP637" s="37" t="n">
        <v>0.91</v>
      </c>
      <c r="AQ637" s="37" t="n">
        <v>1</v>
      </c>
      <c r="AR637" s="37" t="n">
        <v>0.93</v>
      </c>
      <c r="AS637" s="37" t="n">
        <v>0.5600000000000001</v>
      </c>
      <c r="AT637" s="37" t="n">
        <v>1.28</v>
      </c>
      <c r="AU637" s="37" t="n">
        <v>1.02</v>
      </c>
      <c r="AV637" s="37" t="n">
        <v>0.93</v>
      </c>
      <c r="AW637" s="37" t="n">
        <v>0.88</v>
      </c>
      <c r="AX637" s="37" t="n">
        <v>1</v>
      </c>
      <c r="AY637" s="37" t="n">
        <v>0.93</v>
      </c>
      <c r="AZ637" s="37" t="n">
        <v>0.5600000000000001</v>
      </c>
      <c r="BA637" s="37" t="n">
        <v>1.09</v>
      </c>
      <c r="BB637" s="37" t="n">
        <v>0.26</v>
      </c>
      <c r="BC637" s="37" t="n">
        <v>0.12</v>
      </c>
      <c r="BD637" s="37" t="n">
        <v>0.19</v>
      </c>
      <c r="BE637" s="37" t="n">
        <v>0.26</v>
      </c>
      <c r="BF637" s="37" t="n">
        <v>0.26</v>
      </c>
      <c r="BG637" s="37" t="n">
        <v>0.16</v>
      </c>
      <c r="BH637" s="37" t="n">
        <v>0.35</v>
      </c>
      <c r="BI637" s="37" t="n">
        <v>0.26</v>
      </c>
      <c r="BJ637" s="37" t="n">
        <v>0.23</v>
      </c>
      <c r="BK637" s="37" t="n">
        <v>0.26</v>
      </c>
      <c r="BL637" s="37" t="n">
        <v>0.26</v>
      </c>
      <c r="BM637" s="37" t="n">
        <v>0.26</v>
      </c>
      <c r="BN637" s="37" t="n">
        <v>0.19</v>
      </c>
      <c r="BO637" s="37" t="n">
        <v>0.37</v>
      </c>
      <c r="BP637" s="37" t="n">
        <v>0.3</v>
      </c>
      <c r="BQ637" s="37" t="n">
        <v>0.26</v>
      </c>
      <c r="BR637" s="37" t="n">
        <v>0.26</v>
      </c>
      <c r="BS637" s="37" t="n">
        <v>0.26</v>
      </c>
      <c r="BT637" s="37" t="n">
        <v>0.26</v>
      </c>
      <c r="BU637" s="37" t="n">
        <v>0.14</v>
      </c>
      <c r="BV637" s="37" t="n">
        <v>0.33</v>
      </c>
      <c r="BW637" s="37" t="n">
        <v>0.26</v>
      </c>
      <c r="BX637" s="37" t="n">
        <v>0.26</v>
      </c>
      <c r="BY637" s="37" t="n">
        <v>0.26</v>
      </c>
      <c r="BZ637" s="37" t="n">
        <v>0.26</v>
      </c>
      <c r="CA637" s="37" t="n">
        <v>0.26</v>
      </c>
      <c r="CB637" s="37" t="n">
        <v>0.14</v>
      </c>
      <c r="CC637" s="37" t="n">
        <v>46.64999999999996</v>
      </c>
    </row>
    <row r="638" ht="15.75" customHeight="1" s="57">
      <c r="A638" s="7" t="inlineStr">
        <is>
          <t>NTB</t>
        </is>
      </c>
      <c r="B638" s="7" t="inlineStr">
        <is>
          <t>Đắk Nông</t>
        </is>
      </c>
      <c r="C638" s="7" t="n">
        <v>22394000</v>
      </c>
      <c r="D638" s="7" t="inlineStr">
        <is>
          <t>(DNO) Quảng Tín</t>
        </is>
      </c>
      <c r="E638" s="7" t="inlineStr">
        <is>
          <t>SME</t>
        </is>
      </c>
      <c r="F638" s="36" t="n">
        <v>136</v>
      </c>
      <c r="G638" s="36" t="n">
        <v>196</v>
      </c>
      <c r="H638" s="36" t="n">
        <v>140</v>
      </c>
      <c r="I638" s="36" t="n">
        <v>215</v>
      </c>
      <c r="J638" s="36" t="n">
        <v>88</v>
      </c>
      <c r="K638" s="28" t="n">
        <v>151</v>
      </c>
      <c r="L638" s="36" t="n">
        <v>105</v>
      </c>
      <c r="M638" s="36" t="n">
        <v>119</v>
      </c>
      <c r="N638" s="36" t="n">
        <v>131</v>
      </c>
      <c r="O638" s="36" t="n">
        <v>47</v>
      </c>
      <c r="P638" s="36" t="n">
        <v>146</v>
      </c>
      <c r="Q638" s="36" t="n">
        <v>62</v>
      </c>
      <c r="R638" s="28" t="n">
        <v>197</v>
      </c>
      <c r="S638" s="36" t="n">
        <v>139</v>
      </c>
      <c r="T638" s="36" t="n">
        <v>114</v>
      </c>
      <c r="U638" s="36" t="n">
        <v>160.25</v>
      </c>
      <c r="V638" s="36" t="n">
        <v>165.46</v>
      </c>
      <c r="W638" s="36" t="n">
        <v>161.29</v>
      </c>
      <c r="X638" s="36" t="n">
        <v>131.63</v>
      </c>
      <c r="Y638" s="28" t="n">
        <v>178.53</v>
      </c>
      <c r="Z638" s="36" t="n">
        <v>164.19</v>
      </c>
      <c r="AA638" s="36" t="n">
        <v>160.81</v>
      </c>
      <c r="AB638" s="36" t="n">
        <v>160.25</v>
      </c>
      <c r="AC638" s="36" t="n">
        <v>165.46</v>
      </c>
      <c r="AD638" s="36" t="n">
        <v>167.26</v>
      </c>
      <c r="AE638" s="36" t="n">
        <v>131.63</v>
      </c>
      <c r="AF638" s="28" t="n">
        <v>178.53</v>
      </c>
      <c r="AG638" s="36" t="n">
        <v>164.19</v>
      </c>
      <c r="AH638" s="37" t="n">
        <v>160.81</v>
      </c>
      <c r="AI638" s="37" t="n">
        <v>160.25</v>
      </c>
      <c r="AJ638" s="37" t="n">
        <v>165.46</v>
      </c>
      <c r="AK638" s="37" t="n">
        <v>161.29</v>
      </c>
      <c r="AL638" s="37" t="n">
        <v>131.63</v>
      </c>
      <c r="AM638" s="37" t="n">
        <v>178.53</v>
      </c>
      <c r="AN638" s="37" t="n">
        <v>164.19</v>
      </c>
      <c r="AO638" s="37" t="n">
        <v>160.81</v>
      </c>
      <c r="AP638" s="37" t="n">
        <v>160.25</v>
      </c>
      <c r="AQ638" s="37" t="n">
        <v>165.46</v>
      </c>
      <c r="AR638" s="37" t="n">
        <v>161.29</v>
      </c>
      <c r="AS638" s="37" t="n">
        <v>131.63</v>
      </c>
      <c r="AT638" s="37" t="n">
        <v>178.53</v>
      </c>
      <c r="AU638" s="37" t="n">
        <v>164.19</v>
      </c>
      <c r="AV638" s="37" t="n">
        <v>160.81</v>
      </c>
      <c r="AW638" s="37" t="n">
        <v>160.25</v>
      </c>
      <c r="AX638" s="37" t="n">
        <v>165.46</v>
      </c>
      <c r="AY638" s="37" t="n">
        <v>161.29</v>
      </c>
      <c r="AZ638" s="37" t="n">
        <v>131.63</v>
      </c>
      <c r="BA638" s="37" t="n">
        <v>160.87</v>
      </c>
      <c r="BB638" s="37" t="n">
        <v>144.1</v>
      </c>
      <c r="BC638" s="37" t="n">
        <v>90.76000000000001</v>
      </c>
      <c r="BD638" s="37" t="n">
        <v>90.58</v>
      </c>
      <c r="BE638" s="37" t="n">
        <v>153.19</v>
      </c>
      <c r="BF638" s="37" t="n">
        <v>149.25</v>
      </c>
      <c r="BG638" s="37" t="n">
        <v>135.75</v>
      </c>
      <c r="BH638" s="37" t="n">
        <v>183.75</v>
      </c>
      <c r="BI638" s="37" t="n">
        <v>169.1</v>
      </c>
      <c r="BJ638" s="37" t="n">
        <v>171.45</v>
      </c>
      <c r="BK638" s="37" t="n">
        <v>164.99</v>
      </c>
      <c r="BL638" s="37" t="n">
        <v>170.44</v>
      </c>
      <c r="BM638" s="37" t="n">
        <v>166.19</v>
      </c>
      <c r="BN638" s="37" t="n">
        <v>135.75</v>
      </c>
      <c r="BO638" s="37" t="n">
        <v>183.75</v>
      </c>
      <c r="BP638" s="37" t="n">
        <v>169.1</v>
      </c>
      <c r="BQ638" s="37" t="n">
        <v>165.72</v>
      </c>
      <c r="BR638" s="37" t="n">
        <v>164.99</v>
      </c>
      <c r="BS638" s="37" t="n">
        <v>170.44</v>
      </c>
      <c r="BT638" s="37" t="n">
        <v>166.19</v>
      </c>
      <c r="BU638" s="37" t="n">
        <v>135.75</v>
      </c>
      <c r="BV638" s="37" t="n">
        <v>183.75</v>
      </c>
      <c r="BW638" s="37" t="n">
        <v>169.1</v>
      </c>
      <c r="BX638" s="37" t="n">
        <v>165.72</v>
      </c>
      <c r="BY638" s="37" t="n">
        <v>164.99</v>
      </c>
      <c r="BZ638" s="37" t="n">
        <v>170.44</v>
      </c>
      <c r="CA638" s="37" t="n">
        <v>166.19</v>
      </c>
      <c r="CB638" s="37" t="n">
        <v>135.75</v>
      </c>
      <c r="CC638" s="37" t="n">
        <v>11497.29</v>
      </c>
    </row>
    <row r="639" ht="15.75" customHeight="1" s="57">
      <c r="A639" s="7" t="inlineStr">
        <is>
          <t>NTB</t>
        </is>
      </c>
      <c r="B639" s="7" t="inlineStr">
        <is>
          <t>Đắk Nông</t>
        </is>
      </c>
      <c r="C639" s="7" t="n">
        <v>22394000</v>
      </c>
      <c r="D639" s="7" t="inlineStr">
        <is>
          <t>(DNO) Quảng Tín</t>
        </is>
      </c>
      <c r="E639" s="7" t="inlineStr">
        <is>
          <t>SME-Bulky</t>
        </is>
      </c>
      <c r="F639" s="36" t="n">
        <v>17</v>
      </c>
      <c r="G639" s="36" t="n">
        <v>8</v>
      </c>
      <c r="H639" s="36" t="n">
        <v>8</v>
      </c>
      <c r="I639" s="36" t="n">
        <v>10</v>
      </c>
      <c r="J639" s="36" t="n">
        <v>23</v>
      </c>
      <c r="K639" s="28" t="n">
        <v>11</v>
      </c>
      <c r="L639" s="36" t="n">
        <v>6</v>
      </c>
      <c r="M639" s="36" t="n">
        <v>6</v>
      </c>
      <c r="N639" s="36" t="n">
        <v>6</v>
      </c>
      <c r="O639" s="36" t="n">
        <v>1</v>
      </c>
      <c r="P639" s="36" t="n">
        <v>15</v>
      </c>
      <c r="Q639" s="36" t="n">
        <v>10</v>
      </c>
      <c r="R639" s="28" t="n">
        <v>16</v>
      </c>
      <c r="S639" s="36" t="n">
        <v>12</v>
      </c>
      <c r="T639" s="36" t="n">
        <v>12</v>
      </c>
      <c r="U639" s="36" t="n">
        <v>11.31</v>
      </c>
      <c r="V639" s="36" t="n">
        <v>11.26</v>
      </c>
      <c r="W639" s="36" t="n">
        <v>10.5</v>
      </c>
      <c r="X639" s="36" t="n">
        <v>7.37</v>
      </c>
      <c r="Y639" s="28" t="n">
        <v>12.53</v>
      </c>
      <c r="Z639" s="36" t="n">
        <v>12.24</v>
      </c>
      <c r="AA639" s="36" t="n">
        <v>11.55</v>
      </c>
      <c r="AB639" s="36" t="n">
        <v>11.31</v>
      </c>
      <c r="AC639" s="36" t="n">
        <v>11.26</v>
      </c>
      <c r="AD639" s="36" t="n">
        <v>10.15</v>
      </c>
      <c r="AE639" s="36" t="n">
        <v>7.37</v>
      </c>
      <c r="AF639" s="28" t="n">
        <v>12.53</v>
      </c>
      <c r="AG639" s="36" t="n">
        <v>12.24</v>
      </c>
      <c r="AH639" s="37" t="n">
        <v>11.55</v>
      </c>
      <c r="AI639" s="37" t="n">
        <v>11.31</v>
      </c>
      <c r="AJ639" s="37" t="n">
        <v>11.26</v>
      </c>
      <c r="AK639" s="37" t="n">
        <v>10.5</v>
      </c>
      <c r="AL639" s="37" t="n">
        <v>7.37</v>
      </c>
      <c r="AM639" s="37" t="n">
        <v>12.53</v>
      </c>
      <c r="AN639" s="37" t="n">
        <v>12.24</v>
      </c>
      <c r="AO639" s="37" t="n">
        <v>11.55</v>
      </c>
      <c r="AP639" s="37" t="n">
        <v>11.31</v>
      </c>
      <c r="AQ639" s="37" t="n">
        <v>11.26</v>
      </c>
      <c r="AR639" s="37" t="n">
        <v>10.5</v>
      </c>
      <c r="AS639" s="37" t="n">
        <v>7.37</v>
      </c>
      <c r="AT639" s="37" t="n">
        <v>12.53</v>
      </c>
      <c r="AU639" s="37" t="n">
        <v>12.24</v>
      </c>
      <c r="AV639" s="37" t="n">
        <v>11.55</v>
      </c>
      <c r="AW639" s="37" t="n">
        <v>11.31</v>
      </c>
      <c r="AX639" s="37" t="n">
        <v>11.26</v>
      </c>
      <c r="AY639" s="37" t="n">
        <v>10.5</v>
      </c>
      <c r="AZ639" s="37" t="n">
        <v>7.37</v>
      </c>
      <c r="BA639" s="37" t="n">
        <v>12.42</v>
      </c>
      <c r="BB639" s="37" t="n">
        <v>6.67</v>
      </c>
      <c r="BC639" s="37" t="n">
        <v>3.42</v>
      </c>
      <c r="BD639" s="37" t="n">
        <v>3.07</v>
      </c>
      <c r="BE639" s="37" t="n">
        <v>5.8</v>
      </c>
      <c r="BF639" s="37" t="n">
        <v>5.45</v>
      </c>
      <c r="BG639" s="37" t="n">
        <v>4.35</v>
      </c>
      <c r="BH639" s="37" t="n">
        <v>7.19</v>
      </c>
      <c r="BI639" s="37" t="n">
        <v>7.14</v>
      </c>
      <c r="BJ639" s="37" t="n">
        <v>6.56</v>
      </c>
      <c r="BK639" s="37" t="n">
        <v>6.61</v>
      </c>
      <c r="BL639" s="37" t="n">
        <v>6.61</v>
      </c>
      <c r="BM639" s="37" t="n">
        <v>6.21</v>
      </c>
      <c r="BN639" s="37" t="n">
        <v>4.35</v>
      </c>
      <c r="BO639" s="37" t="n">
        <v>7.19</v>
      </c>
      <c r="BP639" s="37" t="n">
        <v>7.14</v>
      </c>
      <c r="BQ639" s="37" t="n">
        <v>6.67</v>
      </c>
      <c r="BR639" s="37" t="n">
        <v>6.61</v>
      </c>
      <c r="BS639" s="37" t="n">
        <v>6.61</v>
      </c>
      <c r="BT639" s="37" t="n">
        <v>6.21</v>
      </c>
      <c r="BU639" s="37" t="n">
        <v>4.35</v>
      </c>
      <c r="BV639" s="37" t="n">
        <v>7.19</v>
      </c>
      <c r="BW639" s="37" t="n">
        <v>7.14</v>
      </c>
      <c r="BX639" s="37" t="n">
        <v>6.67</v>
      </c>
      <c r="BY639" s="37" t="n">
        <v>6.61</v>
      </c>
      <c r="BZ639" s="37" t="n">
        <v>6.61</v>
      </c>
      <c r="CA639" s="37" t="n">
        <v>6.21</v>
      </c>
      <c r="CB639" s="37" t="n">
        <v>4.35</v>
      </c>
      <c r="CC639" s="37" t="n">
        <v>683.5400000000002</v>
      </c>
    </row>
    <row r="640" ht="15.75" customHeight="1" s="57">
      <c r="A640" s="7" t="inlineStr">
        <is>
          <t>NTB</t>
        </is>
      </c>
      <c r="B640" s="7" t="inlineStr">
        <is>
          <t>Đắk Nông</t>
        </is>
      </c>
      <c r="C640" s="7" t="n">
        <v>22394000</v>
      </c>
      <c r="D640" s="7" t="inlineStr">
        <is>
          <t>(DNO) Quảng Tín</t>
        </is>
      </c>
      <c r="E640" s="7" t="inlineStr">
        <is>
          <t>Shopee</t>
        </is>
      </c>
      <c r="F640" s="36" t="n">
        <v>76</v>
      </c>
      <c r="G640" s="36" t="n">
        <v>119</v>
      </c>
      <c r="H640" s="36" t="n">
        <v>124</v>
      </c>
      <c r="I640" s="36" t="n">
        <v>150</v>
      </c>
      <c r="J640" s="36" t="n">
        <v>82</v>
      </c>
      <c r="K640" s="28" t="n">
        <v>99</v>
      </c>
      <c r="L640" s="36" t="n">
        <v>24</v>
      </c>
      <c r="M640" s="36" t="n">
        <v>44</v>
      </c>
      <c r="N640" s="36" t="n">
        <v>34</v>
      </c>
      <c r="O640" s="36" t="n">
        <v>13</v>
      </c>
      <c r="P640" s="36" t="n">
        <v>33</v>
      </c>
      <c r="Q640" s="36" t="n">
        <v>12</v>
      </c>
      <c r="R640" s="28" t="n">
        <v>17</v>
      </c>
      <c r="S640" s="36" t="n">
        <v>25</v>
      </c>
      <c r="T640" s="36" t="n">
        <v>43</v>
      </c>
      <c r="U640" s="36" t="n">
        <v>29.57</v>
      </c>
      <c r="V640" s="36" t="n">
        <v>29.65</v>
      </c>
      <c r="W640" s="36" t="n">
        <v>29.26</v>
      </c>
      <c r="X640" s="36" t="n">
        <v>23.8</v>
      </c>
      <c r="Y640" s="28" t="n">
        <v>39.75</v>
      </c>
      <c r="Z640" s="36" t="n">
        <v>31.53</v>
      </c>
      <c r="AA640" s="36" t="n">
        <v>43.34</v>
      </c>
      <c r="AB640" s="36" t="n">
        <v>30.14</v>
      </c>
      <c r="AC640" s="36" t="n">
        <v>24.35</v>
      </c>
      <c r="AD640" s="36" t="n">
        <v>55.54</v>
      </c>
      <c r="AE640" s="36" t="n">
        <v>25.54</v>
      </c>
      <c r="AF640" s="28" t="n">
        <v>45.46</v>
      </c>
      <c r="AG640" s="36" t="n">
        <v>33.03</v>
      </c>
      <c r="AH640" s="37" t="n">
        <v>34.92</v>
      </c>
      <c r="AI640" s="37" t="n">
        <v>29.57</v>
      </c>
      <c r="AJ640" s="37" t="n">
        <v>29.65</v>
      </c>
      <c r="AK640" s="37" t="n">
        <v>39.44</v>
      </c>
      <c r="AL640" s="37" t="n">
        <v>42.72</v>
      </c>
      <c r="AM640" s="37" t="n">
        <v>39.75</v>
      </c>
      <c r="AN640" s="37" t="n">
        <v>31.53</v>
      </c>
      <c r="AO640" s="37" t="n">
        <v>34.92</v>
      </c>
      <c r="AP640" s="37" t="n">
        <v>36.99</v>
      </c>
      <c r="AQ640" s="37" t="n">
        <v>23.8</v>
      </c>
      <c r="AR640" s="37" t="n">
        <v>29.26</v>
      </c>
      <c r="AS640" s="37" t="n">
        <v>23.8</v>
      </c>
      <c r="AT640" s="37" t="n">
        <v>39.75</v>
      </c>
      <c r="AU640" s="37" t="n">
        <v>32.13</v>
      </c>
      <c r="AV640" s="37" t="n">
        <v>35.64</v>
      </c>
      <c r="AW640" s="37" t="n">
        <v>29.57</v>
      </c>
      <c r="AX640" s="37" t="n">
        <v>29.65</v>
      </c>
      <c r="AY640" s="37" t="n">
        <v>29.26</v>
      </c>
      <c r="AZ640" s="37" t="n">
        <v>23.8</v>
      </c>
      <c r="BA640" s="37" t="n">
        <v>30.68</v>
      </c>
      <c r="BB640" s="37" t="n">
        <v>26.73</v>
      </c>
      <c r="BC640" s="37" t="n">
        <v>13.65</v>
      </c>
      <c r="BD640" s="37" t="n">
        <v>24.32</v>
      </c>
      <c r="BE640" s="37" t="n">
        <v>28.25</v>
      </c>
      <c r="BF640" s="37" t="n">
        <v>27.91</v>
      </c>
      <c r="BG640" s="37" t="n">
        <v>23.18</v>
      </c>
      <c r="BH640" s="37" t="n">
        <v>37.87</v>
      </c>
      <c r="BI640" s="37" t="n">
        <v>24.79</v>
      </c>
      <c r="BJ640" s="37" t="n">
        <v>78.95999999999999</v>
      </c>
      <c r="BK640" s="37" t="n">
        <v>30.14</v>
      </c>
      <c r="BL640" s="37" t="n">
        <v>29.7</v>
      </c>
      <c r="BM640" s="37" t="n">
        <v>27.91</v>
      </c>
      <c r="BN640" s="37" t="n">
        <v>22.75</v>
      </c>
      <c r="BO640" s="37" t="n">
        <v>37.87</v>
      </c>
      <c r="BP640" s="37" t="n">
        <v>40.61</v>
      </c>
      <c r="BQ640" s="37" t="n">
        <v>59.76</v>
      </c>
      <c r="BR640" s="37" t="n">
        <v>28.17</v>
      </c>
      <c r="BS640" s="37" t="n">
        <v>28.25</v>
      </c>
      <c r="BT640" s="37" t="n">
        <v>27.91</v>
      </c>
      <c r="BU640" s="37" t="n">
        <v>28.33</v>
      </c>
      <c r="BV640" s="37" t="n">
        <v>30.37</v>
      </c>
      <c r="BW640" s="37" t="n">
        <v>30.03</v>
      </c>
      <c r="BX640" s="37" t="n">
        <v>33.21</v>
      </c>
      <c r="BY640" s="37" t="n">
        <v>28.17</v>
      </c>
      <c r="BZ640" s="37" t="n">
        <v>28.87</v>
      </c>
      <c r="CA640" s="37" t="n">
        <v>28.43</v>
      </c>
      <c r="CB640" s="37" t="n">
        <v>22.75</v>
      </c>
      <c r="CC640" s="37" t="n">
        <v>2831.679999999999</v>
      </c>
    </row>
    <row r="641" ht="15.75" customHeight="1" s="57">
      <c r="A641" s="7" t="inlineStr">
        <is>
          <t>NTB</t>
        </is>
      </c>
      <c r="B641" s="7" t="inlineStr">
        <is>
          <t>Đắk Nông</t>
        </is>
      </c>
      <c r="C641" s="7" t="n">
        <v>22394000</v>
      </c>
      <c r="D641" s="7" t="inlineStr">
        <is>
          <t>(DNO) Quảng Tín</t>
        </is>
      </c>
      <c r="E641" s="7" t="inlineStr">
        <is>
          <t>Shopee-Bulky</t>
        </is>
      </c>
      <c r="F641" s="36" t="n">
        <v>15.59</v>
      </c>
      <c r="G641" s="36" t="n">
        <v>11.69</v>
      </c>
      <c r="H641" s="36" t="n">
        <v>11.05</v>
      </c>
      <c r="I641" s="36" t="n">
        <v>11.05</v>
      </c>
      <c r="J641" s="36" t="n">
        <v>24.04</v>
      </c>
      <c r="K641" s="28" t="n">
        <v>17.54</v>
      </c>
      <c r="L641" s="36" t="n">
        <v>10.4</v>
      </c>
      <c r="M641" s="36" t="n">
        <v>7.15</v>
      </c>
      <c r="N641" s="36" t="n">
        <v>12.34</v>
      </c>
      <c r="O641" s="36" t="n">
        <v>0.65</v>
      </c>
      <c r="P641" s="36" t="n">
        <v>8.449999999999999</v>
      </c>
      <c r="Q641" s="36" t="n">
        <v>12.34</v>
      </c>
      <c r="R641" s="28" t="n">
        <v>11.69</v>
      </c>
      <c r="S641" s="36" t="n">
        <v>7.15</v>
      </c>
      <c r="T641" s="36" t="n">
        <v>10.4</v>
      </c>
      <c r="U641" s="36" t="n">
        <v>7.96</v>
      </c>
      <c r="V641" s="36" t="n">
        <v>7.38</v>
      </c>
      <c r="W641" s="36" t="n">
        <v>10.29</v>
      </c>
      <c r="X641" s="36" t="n">
        <v>5.81</v>
      </c>
      <c r="Y641" s="28" t="n">
        <v>11.67</v>
      </c>
      <c r="Z641" s="36" t="n">
        <v>9.24</v>
      </c>
      <c r="AA641" s="36" t="n">
        <v>8.91</v>
      </c>
      <c r="AB641" s="36" t="n">
        <v>9.15</v>
      </c>
      <c r="AC641" s="36" t="n">
        <v>9</v>
      </c>
      <c r="AD641" s="36" t="n">
        <v>21.06</v>
      </c>
      <c r="AE641" s="36" t="n">
        <v>15.25</v>
      </c>
      <c r="AF641" s="28" t="n">
        <v>23.01</v>
      </c>
      <c r="AG641" s="36" t="n">
        <v>13.1</v>
      </c>
      <c r="AH641" s="37" t="n">
        <v>9.24</v>
      </c>
      <c r="AI641" s="37" t="n">
        <v>9</v>
      </c>
      <c r="AJ641" s="37" t="n">
        <v>8.19</v>
      </c>
      <c r="AK641" s="37" t="n">
        <v>19.72</v>
      </c>
      <c r="AL641" s="37" t="n">
        <v>9.529999999999999</v>
      </c>
      <c r="AM641" s="37" t="n">
        <v>14.67</v>
      </c>
      <c r="AN641" s="37" t="n">
        <v>9.15</v>
      </c>
      <c r="AO641" s="37" t="n">
        <v>8.77</v>
      </c>
      <c r="AP641" s="37" t="n">
        <v>12.01</v>
      </c>
      <c r="AQ641" s="37" t="n">
        <v>11.58</v>
      </c>
      <c r="AR641" s="37" t="n">
        <v>9.48</v>
      </c>
      <c r="AS641" s="37" t="n">
        <v>5.34</v>
      </c>
      <c r="AT641" s="37" t="n">
        <v>10.58</v>
      </c>
      <c r="AU641" s="37" t="n">
        <v>17.96</v>
      </c>
      <c r="AV641" s="37" t="n">
        <v>18.53</v>
      </c>
      <c r="AW641" s="37" t="n">
        <v>8.77</v>
      </c>
      <c r="AX641" s="37" t="n">
        <v>7.86</v>
      </c>
      <c r="AY641" s="37" t="n">
        <v>9.15</v>
      </c>
      <c r="AZ641" s="37" t="n">
        <v>5.05</v>
      </c>
      <c r="BA641" s="37" t="n">
        <v>9.77</v>
      </c>
      <c r="BB641" s="37" t="n">
        <v>9.050000000000001</v>
      </c>
      <c r="BC641" s="37" t="n">
        <v>2.72</v>
      </c>
      <c r="BD641" s="37" t="n">
        <v>7.81</v>
      </c>
      <c r="BE641" s="37" t="n">
        <v>9.24</v>
      </c>
      <c r="BF641" s="37" t="n">
        <v>8.15</v>
      </c>
      <c r="BG641" s="37" t="n">
        <v>6.62</v>
      </c>
      <c r="BH641" s="37" t="n">
        <v>12.63</v>
      </c>
      <c r="BI641" s="37" t="n">
        <v>10.72</v>
      </c>
      <c r="BJ641" s="37" t="n">
        <v>33.73</v>
      </c>
      <c r="BK641" s="37" t="n">
        <v>22.87</v>
      </c>
      <c r="BL641" s="37" t="n">
        <v>11.82</v>
      </c>
      <c r="BM641" s="37" t="n">
        <v>8.77</v>
      </c>
      <c r="BN641" s="37" t="n">
        <v>6.67</v>
      </c>
      <c r="BO641" s="37" t="n">
        <v>14.15</v>
      </c>
      <c r="BP641" s="37" t="n">
        <v>21.73</v>
      </c>
      <c r="BQ641" s="37" t="n">
        <v>15.39</v>
      </c>
      <c r="BR641" s="37" t="n">
        <v>10.05</v>
      </c>
      <c r="BS641" s="37" t="n">
        <v>9.24</v>
      </c>
      <c r="BT641" s="37" t="n">
        <v>8.15</v>
      </c>
      <c r="BU641" s="37" t="n">
        <v>9.619999999999999</v>
      </c>
      <c r="BV641" s="37" t="n">
        <v>13.1</v>
      </c>
      <c r="BW641" s="37" t="n">
        <v>10.72</v>
      </c>
      <c r="BX641" s="37" t="n">
        <v>10.15</v>
      </c>
      <c r="BY641" s="37" t="n">
        <v>10.05</v>
      </c>
      <c r="BZ641" s="37" t="n">
        <v>17.48</v>
      </c>
      <c r="CA641" s="37" t="n">
        <v>9.48</v>
      </c>
      <c r="CB641" s="37" t="n">
        <v>6.34</v>
      </c>
      <c r="CC641" s="37" t="n">
        <v>854.1599999999997</v>
      </c>
    </row>
    <row r="642" ht="15.75" customHeight="1" s="57">
      <c r="A642" s="7" t="inlineStr">
        <is>
          <t>NTB</t>
        </is>
      </c>
      <c r="B642" s="7" t="inlineStr">
        <is>
          <t>Đắk Nông</t>
        </is>
      </c>
      <c r="C642" s="7" t="n">
        <v>22394000</v>
      </c>
      <c r="D642" s="7" t="inlineStr">
        <is>
          <t>(DNO) Quảng Tín</t>
        </is>
      </c>
      <c r="E642" s="7" t="inlineStr">
        <is>
          <t>Shopee-Bulky (10-15kg)</t>
        </is>
      </c>
      <c r="F642" s="36" t="n">
        <v>8.41</v>
      </c>
      <c r="G642" s="36" t="n">
        <v>6.31</v>
      </c>
      <c r="H642" s="36" t="n">
        <v>5.95</v>
      </c>
      <c r="I642" s="36" t="n">
        <v>5.95</v>
      </c>
      <c r="J642" s="36" t="n">
        <v>12.96</v>
      </c>
      <c r="K642" s="28" t="n">
        <v>9.460000000000001</v>
      </c>
      <c r="L642" s="36" t="n">
        <v>5.6</v>
      </c>
      <c r="M642" s="36" t="n">
        <v>3.85</v>
      </c>
      <c r="N642" s="36" t="n">
        <v>6.66</v>
      </c>
      <c r="O642" s="36" t="n">
        <v>0.35</v>
      </c>
      <c r="P642" s="36" t="n">
        <v>4.55</v>
      </c>
      <c r="Q642" s="36" t="n">
        <v>6.66</v>
      </c>
      <c r="R642" s="28" t="n">
        <v>6.31</v>
      </c>
      <c r="S642" s="36" t="n">
        <v>3.85</v>
      </c>
      <c r="T642" s="36" t="n">
        <v>5.6</v>
      </c>
      <c r="U642" s="36" t="n">
        <v>4.14</v>
      </c>
      <c r="V642" s="36" t="n">
        <v>4</v>
      </c>
      <c r="W642" s="36" t="n">
        <v>5.53</v>
      </c>
      <c r="X642" s="36" t="n">
        <v>3.24</v>
      </c>
      <c r="Y642" s="28" t="n">
        <v>6</v>
      </c>
      <c r="Z642" s="36" t="n">
        <v>4.62</v>
      </c>
      <c r="AA642" s="36" t="n">
        <v>4.53</v>
      </c>
      <c r="AB642" s="36" t="n">
        <v>4.62</v>
      </c>
      <c r="AC642" s="36" t="n">
        <v>4.72</v>
      </c>
      <c r="AD642" s="36" t="n">
        <v>19.44</v>
      </c>
      <c r="AE642" s="36" t="n">
        <v>8.15</v>
      </c>
      <c r="AF642" s="28" t="n">
        <v>11.91</v>
      </c>
      <c r="AG642" s="36" t="n">
        <v>6.67</v>
      </c>
      <c r="AH642" s="37" t="n">
        <v>4.62</v>
      </c>
      <c r="AI642" s="37" t="n">
        <v>4.67</v>
      </c>
      <c r="AJ642" s="37" t="n">
        <v>4.19</v>
      </c>
      <c r="AK642" s="37" t="n">
        <v>10.91</v>
      </c>
      <c r="AL642" s="37" t="n">
        <v>5.05</v>
      </c>
      <c r="AM642" s="37" t="n">
        <v>7.53</v>
      </c>
      <c r="AN642" s="37" t="n">
        <v>4.57</v>
      </c>
      <c r="AO642" s="37" t="n">
        <v>4.53</v>
      </c>
      <c r="AP642" s="37" t="n">
        <v>6</v>
      </c>
      <c r="AQ642" s="37" t="n">
        <v>6.05</v>
      </c>
      <c r="AR642" s="37" t="n">
        <v>5.1</v>
      </c>
      <c r="AS642" s="37" t="n">
        <v>2.95</v>
      </c>
      <c r="AT642" s="37" t="n">
        <v>5.48</v>
      </c>
      <c r="AU642" s="37" t="n">
        <v>10.01</v>
      </c>
      <c r="AV642" s="37" t="n">
        <v>9.720000000000001</v>
      </c>
      <c r="AW642" s="37" t="n">
        <v>4.29</v>
      </c>
      <c r="AX642" s="37" t="n">
        <v>4.05</v>
      </c>
      <c r="AY642" s="37" t="n">
        <v>4.95</v>
      </c>
      <c r="AZ642" s="37" t="n">
        <v>2.76</v>
      </c>
      <c r="BA642" s="37" t="n">
        <v>5.1</v>
      </c>
      <c r="BB642" s="37" t="n">
        <v>4.76</v>
      </c>
      <c r="BC642" s="37" t="n">
        <v>1.19</v>
      </c>
      <c r="BD642" s="37" t="n">
        <v>4.24</v>
      </c>
      <c r="BE642" s="37" t="n">
        <v>4.86</v>
      </c>
      <c r="BF642" s="37" t="n">
        <v>4.43</v>
      </c>
      <c r="BG642" s="37" t="n">
        <v>3.86</v>
      </c>
      <c r="BH642" s="37" t="n">
        <v>6.62</v>
      </c>
      <c r="BI642" s="37" t="n">
        <v>5.53</v>
      </c>
      <c r="BJ642" s="37" t="n">
        <v>27.11</v>
      </c>
      <c r="BK642" s="37" t="n">
        <v>12.48</v>
      </c>
      <c r="BL642" s="37" t="n">
        <v>6.05</v>
      </c>
      <c r="BM642" s="37" t="n">
        <v>4.57</v>
      </c>
      <c r="BN642" s="37" t="n">
        <v>3.76</v>
      </c>
      <c r="BO642" s="37" t="n">
        <v>7.43</v>
      </c>
      <c r="BP642" s="37" t="n">
        <v>11.62</v>
      </c>
      <c r="BQ642" s="37" t="n">
        <v>7.96</v>
      </c>
      <c r="BR642" s="37" t="n">
        <v>5.15</v>
      </c>
      <c r="BS642" s="37" t="n">
        <v>4.86</v>
      </c>
      <c r="BT642" s="37" t="n">
        <v>4.43</v>
      </c>
      <c r="BU642" s="37" t="n">
        <v>4.95</v>
      </c>
      <c r="BV642" s="37" t="n">
        <v>6.81</v>
      </c>
      <c r="BW642" s="37" t="n">
        <v>5.53</v>
      </c>
      <c r="BX642" s="37" t="n">
        <v>5.34</v>
      </c>
      <c r="BY642" s="37" t="n">
        <v>5.15</v>
      </c>
      <c r="BZ642" s="37" t="n">
        <v>9.43</v>
      </c>
      <c r="CA642" s="37" t="n">
        <v>5.1</v>
      </c>
      <c r="CB642" s="37" t="n">
        <v>3.67</v>
      </c>
      <c r="CC642" s="37" t="n">
        <v>469.46</v>
      </c>
    </row>
    <row r="643" ht="15.75" customHeight="1" s="57">
      <c r="A643" s="7" t="inlineStr">
        <is>
          <t>NTB</t>
        </is>
      </c>
      <c r="B643" s="7" t="inlineStr">
        <is>
          <t>Đắk Nông</t>
        </is>
      </c>
      <c r="C643" s="7" t="n">
        <v>22394000</v>
      </c>
      <c r="D643" s="7" t="inlineStr">
        <is>
          <t>(DNO) Quảng Tín</t>
        </is>
      </c>
      <c r="E643" s="7" t="inlineStr">
        <is>
          <t>TTS</t>
        </is>
      </c>
      <c r="F643" s="36" t="n">
        <v>135</v>
      </c>
      <c r="G643" s="36" t="n">
        <v>126</v>
      </c>
      <c r="H643" s="36" t="n">
        <v>125</v>
      </c>
      <c r="I643" s="36" t="n">
        <v>189</v>
      </c>
      <c r="J643" s="36" t="n">
        <v>62</v>
      </c>
      <c r="K643" s="28" t="n">
        <v>121</v>
      </c>
      <c r="L643" s="36" t="n">
        <v>63</v>
      </c>
      <c r="M643" s="36" t="n">
        <v>65</v>
      </c>
      <c r="N643" s="36" t="n">
        <v>125</v>
      </c>
      <c r="O643" s="36" t="n">
        <v>28</v>
      </c>
      <c r="P643" s="36" t="n">
        <v>152</v>
      </c>
      <c r="Q643" s="36" t="n">
        <v>50</v>
      </c>
      <c r="R643" s="28" t="n">
        <v>139</v>
      </c>
      <c r="S643" s="36" t="n">
        <v>107</v>
      </c>
      <c r="T643" s="36" t="n">
        <v>107</v>
      </c>
      <c r="U643" s="36" t="n">
        <v>106.08</v>
      </c>
      <c r="V643" s="36" t="n">
        <v>104.54</v>
      </c>
      <c r="W643" s="36" t="n">
        <v>102.03</v>
      </c>
      <c r="X643" s="36" t="n">
        <v>82.27999999999999</v>
      </c>
      <c r="Y643" s="28" t="n">
        <v>120.45</v>
      </c>
      <c r="Z643" s="36" t="n">
        <v>102.51</v>
      </c>
      <c r="AA643" s="36" t="n">
        <v>112.97</v>
      </c>
      <c r="AB643" s="36" t="n">
        <v>125.46</v>
      </c>
      <c r="AC643" s="36" t="n">
        <v>132.56</v>
      </c>
      <c r="AD643" s="36" t="n">
        <v>145.57</v>
      </c>
      <c r="AE643" s="36" t="n">
        <v>95.58999999999999</v>
      </c>
      <c r="AF643" s="28" t="n">
        <v>124.23</v>
      </c>
      <c r="AG643" s="36" t="n">
        <v>104.13</v>
      </c>
      <c r="AH643" s="37" t="n">
        <v>102.84</v>
      </c>
      <c r="AI643" s="37" t="n">
        <v>117.63</v>
      </c>
      <c r="AJ643" s="37" t="n">
        <v>126.28</v>
      </c>
      <c r="AK643" s="37" t="n">
        <v>124.52</v>
      </c>
      <c r="AL643" s="37" t="n">
        <v>88.77</v>
      </c>
      <c r="AM643" s="37" t="n">
        <v>122.34</v>
      </c>
      <c r="AN643" s="37" t="n">
        <v>105.42</v>
      </c>
      <c r="AO643" s="37" t="n">
        <v>104.39</v>
      </c>
      <c r="AP643" s="37" t="n">
        <v>101.61</v>
      </c>
      <c r="AQ643" s="37" t="n">
        <v>102.78</v>
      </c>
      <c r="AR643" s="37" t="n">
        <v>100.88</v>
      </c>
      <c r="AS643" s="37" t="n">
        <v>82.55</v>
      </c>
      <c r="AT643" s="37" t="n">
        <v>132.06</v>
      </c>
      <c r="AU643" s="37" t="n">
        <v>119.53</v>
      </c>
      <c r="AV643" s="37" t="n">
        <v>106.15</v>
      </c>
      <c r="AW643" s="37" t="n">
        <v>100.19</v>
      </c>
      <c r="AX643" s="37" t="n">
        <v>99.8</v>
      </c>
      <c r="AY643" s="37" t="n">
        <v>99.46000000000001</v>
      </c>
      <c r="AZ643" s="37" t="n">
        <v>82.55</v>
      </c>
      <c r="BA643" s="37" t="n">
        <v>119.5</v>
      </c>
      <c r="BB643" s="37" t="n">
        <v>111.43</v>
      </c>
      <c r="BC643" s="37" t="n">
        <v>66.16</v>
      </c>
      <c r="BD643" s="37" t="n">
        <v>95.91999999999999</v>
      </c>
      <c r="BE643" s="37" t="n">
        <v>112.91</v>
      </c>
      <c r="BF643" s="37" t="n">
        <v>109.86</v>
      </c>
      <c r="BG643" s="37" t="n">
        <v>88.83</v>
      </c>
      <c r="BH643" s="37" t="n">
        <v>131.99</v>
      </c>
      <c r="BI643" s="37" t="n">
        <v>111.43</v>
      </c>
      <c r="BJ643" s="37" t="n">
        <v>110.46</v>
      </c>
      <c r="BK643" s="37" t="n">
        <v>112.63</v>
      </c>
      <c r="BL643" s="37" t="n">
        <v>112.91</v>
      </c>
      <c r="BM643" s="37" t="n">
        <v>109.86</v>
      </c>
      <c r="BN643" s="37" t="n">
        <v>88.83</v>
      </c>
      <c r="BO643" s="37" t="n">
        <v>131.99</v>
      </c>
      <c r="BP643" s="37" t="n">
        <v>111.43</v>
      </c>
      <c r="BQ643" s="37" t="n">
        <v>110.13</v>
      </c>
      <c r="BR643" s="37" t="n">
        <v>112.63</v>
      </c>
      <c r="BS643" s="37" t="n">
        <v>112.91</v>
      </c>
      <c r="BT643" s="37" t="n">
        <v>109.86</v>
      </c>
      <c r="BU643" s="37" t="n">
        <v>88.83</v>
      </c>
      <c r="BV643" s="37" t="n">
        <v>131.99</v>
      </c>
      <c r="BW643" s="37" t="n">
        <v>111.43</v>
      </c>
      <c r="BX643" s="37" t="n">
        <v>110.13</v>
      </c>
      <c r="BY643" s="37" t="n">
        <v>112.63</v>
      </c>
      <c r="BZ643" s="37" t="n">
        <v>112.91</v>
      </c>
      <c r="CA643" s="37" t="n">
        <v>109.86</v>
      </c>
      <c r="CB643" s="37" t="n">
        <v>88.83</v>
      </c>
      <c r="CC643" s="37" t="n">
        <v>8110.429999999999</v>
      </c>
    </row>
    <row r="644" ht="15.75" customHeight="1" s="57">
      <c r="A644" s="7" t="inlineStr">
        <is>
          <t>NTB</t>
        </is>
      </c>
      <c r="B644" s="7" t="inlineStr">
        <is>
          <t>Đắk Nông</t>
        </is>
      </c>
      <c r="C644" s="7" t="n">
        <v>22394000</v>
      </c>
      <c r="D644" s="7" t="inlineStr">
        <is>
          <t>(DNO) Quảng Tín</t>
        </is>
      </c>
      <c r="E644" s="7" t="inlineStr">
        <is>
          <t>TTS-Bulky</t>
        </is>
      </c>
      <c r="F644" s="36" t="n">
        <v>4</v>
      </c>
      <c r="G644" s="36" t="n">
        <v>2</v>
      </c>
      <c r="H644" s="36" t="n">
        <v>1</v>
      </c>
      <c r="I644" s="36" t="n">
        <v>2</v>
      </c>
      <c r="J644" s="36" t="n">
        <v>2</v>
      </c>
      <c r="K644" s="28" t="n">
        <v>2</v>
      </c>
      <c r="L644" s="36" t="n">
        <v>1</v>
      </c>
      <c r="M644" s="36" t="n">
        <v>1</v>
      </c>
      <c r="N644" s="36" t="n">
        <v>3</v>
      </c>
      <c r="O644" s="36" t="n">
        <v>0</v>
      </c>
      <c r="P644" s="36" t="n">
        <v>2</v>
      </c>
      <c r="Q644" s="36" t="n">
        <v>0</v>
      </c>
      <c r="R644" s="28" t="n">
        <v>2</v>
      </c>
      <c r="S644" s="36" t="n">
        <v>1</v>
      </c>
      <c r="T644" s="36" t="n">
        <v>5</v>
      </c>
      <c r="U644" s="36" t="n">
        <v>6.3</v>
      </c>
      <c r="V644" s="36" t="n">
        <v>6.79</v>
      </c>
      <c r="W644" s="36" t="n">
        <v>3.23</v>
      </c>
      <c r="X644" s="36" t="n">
        <v>1.94</v>
      </c>
      <c r="Y644" s="28" t="n">
        <v>4.12</v>
      </c>
      <c r="Z644" s="36" t="n">
        <v>3.15</v>
      </c>
      <c r="AA644" s="36" t="n">
        <v>3.39</v>
      </c>
      <c r="AB644" s="36" t="n">
        <v>3.64</v>
      </c>
      <c r="AC644" s="36" t="n">
        <v>3.72</v>
      </c>
      <c r="AD644" s="36" t="n">
        <v>3.23</v>
      </c>
      <c r="AE644" s="36" t="n">
        <v>2.34</v>
      </c>
      <c r="AF644" s="28" t="n">
        <v>4.36</v>
      </c>
      <c r="AG644" s="36" t="n">
        <v>3.23</v>
      </c>
      <c r="AH644" s="37" t="n">
        <v>3.15</v>
      </c>
      <c r="AI644" s="37" t="n">
        <v>3.39</v>
      </c>
      <c r="AJ644" s="37" t="n">
        <v>3.64</v>
      </c>
      <c r="AK644" s="37" t="n">
        <v>3.8</v>
      </c>
      <c r="AL644" s="37" t="n">
        <v>1.94</v>
      </c>
      <c r="AM644" s="37" t="n">
        <v>4.2</v>
      </c>
      <c r="AN644" s="37" t="n">
        <v>3.07</v>
      </c>
      <c r="AO644" s="37" t="n">
        <v>3.23</v>
      </c>
      <c r="AP644" s="37" t="n">
        <v>3.15</v>
      </c>
      <c r="AQ644" s="37" t="n">
        <v>3.48</v>
      </c>
      <c r="AR644" s="37" t="n">
        <v>3.23</v>
      </c>
      <c r="AS644" s="37" t="n">
        <v>1.94</v>
      </c>
      <c r="AT644" s="37" t="n">
        <v>4.45</v>
      </c>
      <c r="AU644" s="37" t="n">
        <v>3.56</v>
      </c>
      <c r="AV644" s="37" t="n">
        <v>3.23</v>
      </c>
      <c r="AW644" s="37" t="n">
        <v>3.07</v>
      </c>
      <c r="AX644" s="37" t="n">
        <v>3.48</v>
      </c>
      <c r="AY644" s="37" t="n">
        <v>3.23</v>
      </c>
      <c r="AZ644" s="37" t="n">
        <v>1.94</v>
      </c>
      <c r="BA644" s="37" t="n">
        <v>3.8</v>
      </c>
      <c r="BB644" s="37" t="n">
        <v>0.89</v>
      </c>
      <c r="BC644" s="37" t="n">
        <v>0.4</v>
      </c>
      <c r="BD644" s="37" t="n">
        <v>0.65</v>
      </c>
      <c r="BE644" s="37" t="n">
        <v>0.89</v>
      </c>
      <c r="BF644" s="37" t="n">
        <v>0.89</v>
      </c>
      <c r="BG644" s="37" t="n">
        <v>0.57</v>
      </c>
      <c r="BH644" s="37" t="n">
        <v>1.21</v>
      </c>
      <c r="BI644" s="37" t="n">
        <v>0.89</v>
      </c>
      <c r="BJ644" s="37" t="n">
        <v>0.8100000000000001</v>
      </c>
      <c r="BK644" s="37" t="n">
        <v>0.89</v>
      </c>
      <c r="BL644" s="37" t="n">
        <v>0.89</v>
      </c>
      <c r="BM644" s="37" t="n">
        <v>0.89</v>
      </c>
      <c r="BN644" s="37" t="n">
        <v>0.65</v>
      </c>
      <c r="BO644" s="37" t="n">
        <v>1.29</v>
      </c>
      <c r="BP644" s="37" t="n">
        <v>1.05</v>
      </c>
      <c r="BQ644" s="37" t="n">
        <v>0.89</v>
      </c>
      <c r="BR644" s="37" t="n">
        <v>0.89</v>
      </c>
      <c r="BS644" s="37" t="n">
        <v>0.89</v>
      </c>
      <c r="BT644" s="37" t="n">
        <v>0.89</v>
      </c>
      <c r="BU644" s="37" t="n">
        <v>0.48</v>
      </c>
      <c r="BV644" s="37" t="n">
        <v>1.13</v>
      </c>
      <c r="BW644" s="37" t="n">
        <v>0.89</v>
      </c>
      <c r="BX644" s="37" t="n">
        <v>0.89</v>
      </c>
      <c r="BY644" s="37" t="n">
        <v>0.89</v>
      </c>
      <c r="BZ644" s="37" t="n">
        <v>0.89</v>
      </c>
      <c r="CA644" s="37" t="n">
        <v>0.89</v>
      </c>
      <c r="CB644" s="37" t="n">
        <v>0.48</v>
      </c>
      <c r="CC644" s="37" t="n">
        <v>165.3799999999998</v>
      </c>
    </row>
    <row r="645" ht="15.75" customHeight="1" s="57">
      <c r="A645" s="56" t="inlineStr">
        <is>
          <t>TỔNG</t>
        </is>
      </c>
      <c r="B645" s="56" t="n"/>
      <c r="C645" s="56" t="n"/>
      <c r="D645" s="56" t="n"/>
      <c r="E645" s="56" t="n"/>
      <c r="F645" s="55" t="n">
        <v>53848</v>
      </c>
      <c r="G645" s="55" t="n">
        <v>59084</v>
      </c>
      <c r="H645" s="55" t="n">
        <v>59591</v>
      </c>
      <c r="I645" s="55" t="n">
        <v>55704</v>
      </c>
      <c r="J645" s="55" t="n">
        <v>51693</v>
      </c>
      <c r="K645" s="55" t="n">
        <v>46423</v>
      </c>
      <c r="L645" s="55" t="n">
        <v>40078</v>
      </c>
      <c r="M645" s="55" t="n">
        <v>43880</v>
      </c>
      <c r="N645" s="55" t="n">
        <v>52665</v>
      </c>
      <c r="O645" s="55" t="n">
        <v>47589</v>
      </c>
      <c r="P645" s="55" t="n">
        <v>45980</v>
      </c>
      <c r="Q645" s="55" t="n">
        <v>40842</v>
      </c>
      <c r="R645" s="55" t="n">
        <v>45046</v>
      </c>
      <c r="S645" s="55" t="n">
        <v>43641</v>
      </c>
      <c r="T645" s="55" t="n">
        <v>46959</v>
      </c>
      <c r="U645" s="55" t="n">
        <v>52588.22</v>
      </c>
      <c r="V645" s="55" t="n">
        <v>53138.25999999999</v>
      </c>
      <c r="W645" s="55" t="n">
        <v>52809</v>
      </c>
      <c r="X645" s="55" t="n">
        <v>41679.55</v>
      </c>
      <c r="Y645" s="55" t="n">
        <v>63043.06</v>
      </c>
      <c r="Z645" s="55" t="n">
        <v>54038.48</v>
      </c>
      <c r="AA645" s="55" t="n">
        <v>60260.92</v>
      </c>
      <c r="AB645" s="55" t="n">
        <v>54887.55</v>
      </c>
      <c r="AC645" s="55" t="n">
        <v>53627.34</v>
      </c>
      <c r="AD645" s="55" t="n">
        <v>83878.88</v>
      </c>
      <c r="AE645" s="55" t="n">
        <v>47576.78</v>
      </c>
      <c r="AF645" s="55" t="n">
        <v>70551.61</v>
      </c>
      <c r="AG645" s="55" t="n">
        <v>56586.22</v>
      </c>
      <c r="AH645" s="55" t="n">
        <v>55186.76</v>
      </c>
      <c r="AI645" s="55" t="n">
        <v>53714.74000000001</v>
      </c>
      <c r="AJ645" s="55" t="n">
        <v>55312.14</v>
      </c>
      <c r="AK645" s="55" t="n">
        <v>63829.7</v>
      </c>
      <c r="AL645" s="55" t="n">
        <v>53290.15</v>
      </c>
      <c r="AM645" s="55" t="n">
        <v>64325.5</v>
      </c>
      <c r="AN645" s="55" t="n">
        <v>54294.50999999999</v>
      </c>
      <c r="AO645" s="55" t="n">
        <v>55222.58</v>
      </c>
      <c r="AP645" s="55" t="n">
        <v>57006.89</v>
      </c>
      <c r="AQ645" s="55" t="n">
        <v>51411.94</v>
      </c>
      <c r="AR645" s="55" t="n">
        <v>52262.8</v>
      </c>
      <c r="AS645" s="55" t="n">
        <v>41429.23</v>
      </c>
      <c r="AT645" s="55" t="n">
        <v>63795.35</v>
      </c>
      <c r="AU645" s="55" t="n">
        <v>59566.1</v>
      </c>
      <c r="AV645" s="55" t="n">
        <v>59612.16</v>
      </c>
      <c r="AW645" s="55" t="n">
        <v>52002.14</v>
      </c>
      <c r="AX645" s="55" t="n">
        <v>52571.13</v>
      </c>
      <c r="AY645" s="55" t="n">
        <v>51983.79</v>
      </c>
      <c r="AZ645" s="55" t="n">
        <v>41341.28</v>
      </c>
      <c r="BA645" s="55" t="n">
        <v>55090.91</v>
      </c>
      <c r="BB645" s="55" t="n">
        <v>48758.99000000001</v>
      </c>
      <c r="BC645" s="55" t="n">
        <v>27569.68</v>
      </c>
      <c r="BD645" s="55" t="n">
        <v>37530.81</v>
      </c>
      <c r="BE645" s="55" t="n">
        <v>51059.12</v>
      </c>
      <c r="BF645" s="55" t="n">
        <v>49439.18</v>
      </c>
      <c r="BG645" s="55" t="n">
        <v>42392.03</v>
      </c>
      <c r="BH645" s="55" t="n">
        <v>63438.96999999999</v>
      </c>
      <c r="BI645" s="55" t="n">
        <v>52032.08</v>
      </c>
      <c r="BJ645" s="55" t="n">
        <v>100416.53</v>
      </c>
      <c r="BK645" s="55" t="n">
        <v>59040.13</v>
      </c>
      <c r="BL645" s="55" t="n">
        <v>55208.98</v>
      </c>
      <c r="BM645" s="55" t="n">
        <v>52043.35000000001</v>
      </c>
      <c r="BN645" s="55" t="n">
        <v>42114.78</v>
      </c>
      <c r="BO645" s="55" t="n">
        <v>64234.17</v>
      </c>
      <c r="BP645" s="55" t="n">
        <v>64212.23000000001</v>
      </c>
      <c r="BQ645" s="55" t="n">
        <v>70632.53999999999</v>
      </c>
      <c r="BR645" s="55" t="n">
        <v>52935.39</v>
      </c>
      <c r="BS645" s="55" t="n">
        <v>53603.14</v>
      </c>
      <c r="BT645" s="55" t="n">
        <v>51875.28999999999</v>
      </c>
      <c r="BU645" s="55" t="n">
        <v>46142.35</v>
      </c>
      <c r="BV645" s="55" t="n">
        <v>59955.23999999999</v>
      </c>
      <c r="BW645" s="55" t="n">
        <v>54690.36</v>
      </c>
      <c r="BX645" s="55" t="n">
        <v>55384.92</v>
      </c>
      <c r="BY645" s="55" t="n">
        <v>52935.39</v>
      </c>
      <c r="BZ645" s="55" t="n">
        <v>57054.72</v>
      </c>
      <c r="CA645" s="55" t="n">
        <v>52823</v>
      </c>
      <c r="CB645" s="55" t="n">
        <v>42031.64</v>
      </c>
      <c r="CC645" s="55" t="n">
        <v>4030493.68</v>
      </c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I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 outlineLevelCol="0"/>
  <cols>
    <col width="12.63" customWidth="1" style="57" min="1" max="6"/>
  </cols>
  <sheetData>
    <row r="1" ht="15.75" customHeight="1" s="57">
      <c r="A1" s="38" t="inlineStr">
        <is>
          <t>month</t>
        </is>
      </c>
      <c r="B1" s="38" t="inlineStr">
        <is>
          <t>type_order</t>
        </is>
      </c>
      <c r="C1" s="38" t="inlineStr">
        <is>
          <t>Clientname</t>
        </is>
      </c>
      <c r="D1" s="38" t="inlineStr">
        <is>
          <t>rank_weight</t>
        </is>
      </c>
      <c r="E1" s="38" t="inlineStr">
        <is>
          <t>FromProvince</t>
        </is>
      </c>
      <c r="F1" s="38" t="inlineStr">
        <is>
          <t>volume</t>
        </is>
      </c>
      <c r="G1" s="38" t="inlineStr">
        <is>
          <t>weight</t>
        </is>
      </c>
      <c r="H1" s="38" t="inlineStr">
        <is>
          <t>Revenue</t>
        </is>
      </c>
      <c r="I1" s="38" t="inlineStr">
        <is>
          <t>THÁNG</t>
        </is>
      </c>
    </row>
    <row r="2" ht="15.75" customHeight="1" s="57">
      <c r="A2" s="39" t="inlineStr">
        <is>
          <t>2026-07-01</t>
        </is>
      </c>
      <c r="B2" s="11" t="inlineStr">
        <is>
          <t>sme</t>
        </is>
      </c>
      <c r="C2" s="11" t="inlineStr">
        <is>
          <t>SME</t>
        </is>
      </c>
      <c r="D2" s="11" t="inlineStr">
        <is>
          <t>01.0-5kg</t>
        </is>
      </c>
      <c r="E2" s="11" t="inlineStr">
        <is>
          <t>Bình Thuận</t>
        </is>
      </c>
      <c r="F2" s="11" t="n">
        <v>26045.85</v>
      </c>
      <c r="G2" s="11" t="n">
        <v>18034.14</v>
      </c>
      <c r="H2" s="11" t="n">
        <v>0</v>
      </c>
      <c r="I2" s="11" t="n">
        <v>7</v>
      </c>
    </row>
    <row r="3" ht="15.75" customHeight="1" s="57">
      <c r="A3" s="39" t="inlineStr">
        <is>
          <t>2026-07-01</t>
        </is>
      </c>
      <c r="B3" s="11" t="inlineStr">
        <is>
          <t>sme</t>
        </is>
      </c>
      <c r="C3" s="11" t="inlineStr">
        <is>
          <t>SME</t>
        </is>
      </c>
      <c r="D3" s="11" t="inlineStr">
        <is>
          <t>01.0-5kg</t>
        </is>
      </c>
      <c r="E3" s="11" t="inlineStr">
        <is>
          <t>Khánh Hòa</t>
        </is>
      </c>
      <c r="F3" s="11" t="n">
        <v>61061.17</v>
      </c>
      <c r="G3" s="11" t="n">
        <v>42278.75</v>
      </c>
      <c r="H3" s="11" t="n">
        <v>0</v>
      </c>
      <c r="I3" s="11" t="n">
        <v>7</v>
      </c>
    </row>
    <row r="4" ht="15.75" customHeight="1" s="57">
      <c r="A4" s="39" t="inlineStr">
        <is>
          <t>2026-07-01</t>
        </is>
      </c>
      <c r="B4" s="11" t="inlineStr">
        <is>
          <t>sme</t>
        </is>
      </c>
      <c r="C4" s="11" t="inlineStr">
        <is>
          <t>SME</t>
        </is>
      </c>
      <c r="D4" s="11" t="inlineStr">
        <is>
          <t>01.0-5kg</t>
        </is>
      </c>
      <c r="E4" s="11" t="inlineStr">
        <is>
          <t>Lâm Đồng</t>
        </is>
      </c>
      <c r="F4" s="11" t="n">
        <v>51029.34</v>
      </c>
      <c r="G4" s="11" t="n">
        <v>35332.71</v>
      </c>
      <c r="H4" s="11" t="n">
        <v>0</v>
      </c>
      <c r="I4" s="11" t="n">
        <v>7</v>
      </c>
    </row>
    <row r="5" ht="15.75" customHeight="1" s="57">
      <c r="A5" s="39" t="inlineStr">
        <is>
          <t>2026-07-01</t>
        </is>
      </c>
      <c r="B5" s="11" t="inlineStr">
        <is>
          <t>sme</t>
        </is>
      </c>
      <c r="C5" s="11" t="inlineStr">
        <is>
          <t>SME</t>
        </is>
      </c>
      <c r="D5" s="11" t="inlineStr">
        <is>
          <t>01.0-5kg</t>
        </is>
      </c>
      <c r="E5" s="11" t="inlineStr">
        <is>
          <t>Ninh Thuận</t>
        </is>
      </c>
      <c r="F5" s="11" t="n">
        <v>20990.3</v>
      </c>
      <c r="G5" s="11" t="n">
        <v>14533.69</v>
      </c>
      <c r="H5" s="11" t="n">
        <v>0</v>
      </c>
      <c r="I5" s="11" t="n">
        <v>7</v>
      </c>
    </row>
    <row r="6" ht="15.75" customHeight="1" s="57">
      <c r="A6" s="39" t="inlineStr">
        <is>
          <t>2026-07-01</t>
        </is>
      </c>
      <c r="B6" s="11" t="inlineStr">
        <is>
          <t>sme</t>
        </is>
      </c>
      <c r="C6" s="11" t="inlineStr">
        <is>
          <t>SME</t>
        </is>
      </c>
      <c r="D6" s="11" t="inlineStr">
        <is>
          <t>01.0-5kg</t>
        </is>
      </c>
      <c r="E6" s="11" t="inlineStr">
        <is>
          <t>Đắk Nông</t>
        </is>
      </c>
      <c r="F6" s="11" t="n">
        <v>76718.53</v>
      </c>
      <c r="G6" s="11" t="n">
        <v>53119.91</v>
      </c>
      <c r="H6" s="11" t="n">
        <v>0</v>
      </c>
      <c r="I6" s="11" t="n">
        <v>7</v>
      </c>
    </row>
    <row r="7" ht="15.75" customHeight="1" s="57">
      <c r="A7" s="39" t="inlineStr">
        <is>
          <t>2026-07-01</t>
        </is>
      </c>
      <c r="B7" s="11" t="inlineStr">
        <is>
          <t>sme</t>
        </is>
      </c>
      <c r="C7" s="11" t="inlineStr">
        <is>
          <t>SME</t>
        </is>
      </c>
      <c r="D7" s="11" t="inlineStr">
        <is>
          <t>02.5-10kg</t>
        </is>
      </c>
      <c r="E7" s="11" t="inlineStr">
        <is>
          <t>Bình Thuận</t>
        </is>
      </c>
      <c r="F7" s="11" t="n">
        <v>2015.05</v>
      </c>
      <c r="G7" s="11" t="n">
        <v>12312.17</v>
      </c>
      <c r="H7" s="11" t="n">
        <v>0</v>
      </c>
      <c r="I7" s="11" t="n">
        <v>7</v>
      </c>
    </row>
    <row r="8" ht="15.75" customHeight="1" s="57">
      <c r="A8" s="39" t="inlineStr">
        <is>
          <t>2026-07-01</t>
        </is>
      </c>
      <c r="B8" s="11" t="inlineStr">
        <is>
          <t>sme</t>
        </is>
      </c>
      <c r="C8" s="11" t="inlineStr">
        <is>
          <t>SME</t>
        </is>
      </c>
      <c r="D8" s="11" t="inlineStr">
        <is>
          <t>02.5-10kg</t>
        </is>
      </c>
      <c r="E8" s="11" t="inlineStr">
        <is>
          <t>Khánh Hòa</t>
        </is>
      </c>
      <c r="F8" s="11" t="n">
        <v>4089.82</v>
      </c>
      <c r="G8" s="11" t="n">
        <v>24989.19</v>
      </c>
      <c r="H8" s="11" t="n">
        <v>0</v>
      </c>
      <c r="I8" s="11" t="n">
        <v>7</v>
      </c>
    </row>
    <row r="9" ht="15.75" customHeight="1" s="57">
      <c r="A9" s="39" t="inlineStr">
        <is>
          <t>2026-07-01</t>
        </is>
      </c>
      <c r="B9" s="11" t="inlineStr">
        <is>
          <t>sme</t>
        </is>
      </c>
      <c r="C9" s="11" t="inlineStr">
        <is>
          <t>SME</t>
        </is>
      </c>
      <c r="D9" s="11" t="inlineStr">
        <is>
          <t>02.5-10kg</t>
        </is>
      </c>
      <c r="E9" s="11" t="inlineStr">
        <is>
          <t>Lâm Đồng</t>
        </is>
      </c>
      <c r="F9" s="11" t="n">
        <v>6884.94</v>
      </c>
      <c r="G9" s="11" t="n">
        <v>42067.68</v>
      </c>
      <c r="H9" s="11" t="n">
        <v>0</v>
      </c>
      <c r="I9" s="11" t="n">
        <v>7</v>
      </c>
    </row>
    <row r="10" ht="15.75" customHeight="1" s="57">
      <c r="A10" s="39" t="inlineStr">
        <is>
          <t>2026-07-01</t>
        </is>
      </c>
      <c r="B10" s="11" t="inlineStr">
        <is>
          <t>sme</t>
        </is>
      </c>
      <c r="C10" s="11" t="inlineStr">
        <is>
          <t>SME</t>
        </is>
      </c>
      <c r="D10" s="11" t="inlineStr">
        <is>
          <t>02.5-10kg</t>
        </is>
      </c>
      <c r="E10" s="11" t="inlineStr">
        <is>
          <t>Ninh Thuận</t>
        </is>
      </c>
      <c r="F10" s="11" t="n">
        <v>1569.92</v>
      </c>
      <c r="G10" s="11" t="n">
        <v>9592.35</v>
      </c>
      <c r="H10" s="11" t="n">
        <v>0</v>
      </c>
      <c r="I10" s="11" t="n">
        <v>7</v>
      </c>
    </row>
    <row r="11" ht="15.75" customHeight="1" s="57">
      <c r="A11" s="39" t="inlineStr">
        <is>
          <t>2026-07-01</t>
        </is>
      </c>
      <c r="B11" s="11" t="inlineStr">
        <is>
          <t>sme</t>
        </is>
      </c>
      <c r="C11" s="11" t="inlineStr">
        <is>
          <t>SME</t>
        </is>
      </c>
      <c r="D11" s="11" t="inlineStr">
        <is>
          <t>02.5-10kg</t>
        </is>
      </c>
      <c r="E11" s="11" t="inlineStr">
        <is>
          <t>Đắk Nông</t>
        </is>
      </c>
      <c r="F11" s="11" t="n">
        <v>1260.49</v>
      </c>
      <c r="G11" s="11" t="n">
        <v>7701.74</v>
      </c>
      <c r="H11" s="11" t="n">
        <v>0</v>
      </c>
      <c r="I11" s="11" t="n">
        <v>7</v>
      </c>
    </row>
    <row r="12" ht="15.75" customHeight="1" s="57">
      <c r="A12" s="39" t="inlineStr">
        <is>
          <t>2026-07-01</t>
        </is>
      </c>
      <c r="B12" s="11" t="inlineStr">
        <is>
          <t>sme</t>
        </is>
      </c>
      <c r="C12" s="11" t="inlineStr">
        <is>
          <t>SME</t>
        </is>
      </c>
      <c r="D12" s="11" t="inlineStr">
        <is>
          <t>03.10-15kg</t>
        </is>
      </c>
      <c r="E12" s="11" t="inlineStr">
        <is>
          <t>Bình Thuận</t>
        </is>
      </c>
      <c r="F12" s="11" t="n">
        <v>870.73</v>
      </c>
      <c r="G12" s="11" t="n">
        <v>9834.870000000001</v>
      </c>
      <c r="H12" s="11" t="n">
        <v>0</v>
      </c>
      <c r="I12" s="11" t="n">
        <v>7</v>
      </c>
    </row>
    <row r="13" ht="15.75" customHeight="1" s="57">
      <c r="A13" s="39" t="inlineStr">
        <is>
          <t>2026-07-01</t>
        </is>
      </c>
      <c r="B13" s="11" t="inlineStr">
        <is>
          <t>sme</t>
        </is>
      </c>
      <c r="C13" s="11" t="inlineStr">
        <is>
          <t>SME</t>
        </is>
      </c>
      <c r="D13" s="11" t="inlineStr">
        <is>
          <t>03.10-15kg</t>
        </is>
      </c>
      <c r="E13" s="11" t="inlineStr">
        <is>
          <t>Khánh Hòa</t>
        </is>
      </c>
      <c r="F13" s="11" t="n">
        <v>2382.02</v>
      </c>
      <c r="G13" s="11" t="n">
        <v>26904.88</v>
      </c>
      <c r="H13" s="11" t="n">
        <v>0</v>
      </c>
      <c r="I13" s="11" t="n">
        <v>7</v>
      </c>
    </row>
    <row r="14" ht="15.75" customHeight="1" s="57">
      <c r="A14" s="39" t="inlineStr">
        <is>
          <t>2026-07-01</t>
        </is>
      </c>
      <c r="B14" s="11" t="inlineStr">
        <is>
          <t>sme</t>
        </is>
      </c>
      <c r="C14" s="11" t="inlineStr">
        <is>
          <t>SME</t>
        </is>
      </c>
      <c r="D14" s="11" t="inlineStr">
        <is>
          <t>03.10-15kg</t>
        </is>
      </c>
      <c r="E14" s="11" t="inlineStr">
        <is>
          <t>Lâm Đồng</t>
        </is>
      </c>
      <c r="F14" s="11" t="n">
        <v>2904.24</v>
      </c>
      <c r="G14" s="11" t="n">
        <v>32803.35</v>
      </c>
      <c r="H14" s="11" t="n">
        <v>0</v>
      </c>
      <c r="I14" s="11" t="n">
        <v>7</v>
      </c>
    </row>
    <row r="15" ht="15.75" customHeight="1" s="57">
      <c r="A15" s="39" t="inlineStr">
        <is>
          <t>2026-07-01</t>
        </is>
      </c>
      <c r="B15" s="11" t="inlineStr">
        <is>
          <t>sme</t>
        </is>
      </c>
      <c r="C15" s="11" t="inlineStr">
        <is>
          <t>SME</t>
        </is>
      </c>
      <c r="D15" s="11" t="inlineStr">
        <is>
          <t>03.10-15kg</t>
        </is>
      </c>
      <c r="E15" s="11" t="inlineStr">
        <is>
          <t>Ninh Thuận</t>
        </is>
      </c>
      <c r="F15" s="11" t="n">
        <v>712.22</v>
      </c>
      <c r="G15" s="11" t="n">
        <v>8044.49</v>
      </c>
      <c r="H15" s="11" t="n">
        <v>0</v>
      </c>
      <c r="I15" s="11" t="n">
        <v>7</v>
      </c>
    </row>
    <row r="16" ht="15.75" customHeight="1" s="57">
      <c r="A16" s="39" t="inlineStr">
        <is>
          <t>2026-07-01</t>
        </is>
      </c>
      <c r="B16" s="11" t="inlineStr">
        <is>
          <t>sme</t>
        </is>
      </c>
      <c r="C16" s="11" t="inlineStr">
        <is>
          <t>SME</t>
        </is>
      </c>
      <c r="D16" s="11" t="inlineStr">
        <is>
          <t>03.10-15kg</t>
        </is>
      </c>
      <c r="E16" s="11" t="inlineStr">
        <is>
          <t>Đắk Nông</t>
        </is>
      </c>
      <c r="F16" s="11" t="n">
        <v>566.1900000000001</v>
      </c>
      <c r="G16" s="11" t="n">
        <v>6395.12</v>
      </c>
      <c r="H16" s="11" t="n">
        <v>0</v>
      </c>
      <c r="I16" s="11" t="n">
        <v>7</v>
      </c>
    </row>
    <row r="17" ht="15.75" customHeight="1" s="57">
      <c r="A17" s="39" t="inlineStr">
        <is>
          <t>2026-07-01</t>
        </is>
      </c>
      <c r="B17" s="11" t="inlineStr">
        <is>
          <t>sme</t>
        </is>
      </c>
      <c r="C17" s="11" t="inlineStr">
        <is>
          <t>SME</t>
        </is>
      </c>
      <c r="D17" s="11" t="inlineStr">
        <is>
          <t>04.15-20kg</t>
        </is>
      </c>
      <c r="E17" s="11" t="inlineStr">
        <is>
          <t>Bình Thuận</t>
        </is>
      </c>
      <c r="F17" s="11" t="n">
        <v>313.22</v>
      </c>
      <c r="G17" s="11" t="n">
        <v>5339.11</v>
      </c>
      <c r="H17" s="11" t="n">
        <v>0</v>
      </c>
      <c r="I17" s="11" t="n">
        <v>7</v>
      </c>
    </row>
    <row r="18" ht="15.75" customHeight="1" s="57">
      <c r="A18" s="39" t="inlineStr">
        <is>
          <t>2026-07-01</t>
        </is>
      </c>
      <c r="B18" s="11" t="inlineStr">
        <is>
          <t>sme</t>
        </is>
      </c>
      <c r="C18" s="11" t="inlineStr">
        <is>
          <t>SME</t>
        </is>
      </c>
      <c r="D18" s="11" t="inlineStr">
        <is>
          <t>04.15-20kg</t>
        </is>
      </c>
      <c r="E18" s="11" t="inlineStr">
        <is>
          <t>Khánh Hòa</t>
        </is>
      </c>
      <c r="F18" s="11" t="n">
        <v>733.9299999999999</v>
      </c>
      <c r="G18" s="11" t="n">
        <v>12510.36</v>
      </c>
      <c r="H18" s="11" t="n">
        <v>0</v>
      </c>
      <c r="I18" s="11" t="n">
        <v>7</v>
      </c>
    </row>
    <row r="19" ht="15.75" customHeight="1" s="57">
      <c r="A19" s="39" t="inlineStr">
        <is>
          <t>2026-07-01</t>
        </is>
      </c>
      <c r="B19" s="11" t="inlineStr">
        <is>
          <t>sme</t>
        </is>
      </c>
      <c r="C19" s="11" t="inlineStr">
        <is>
          <t>SME</t>
        </is>
      </c>
      <c r="D19" s="11" t="inlineStr">
        <is>
          <t>04.15-20kg</t>
        </is>
      </c>
      <c r="E19" s="11" t="inlineStr">
        <is>
          <t>Lâm Đồng</t>
        </is>
      </c>
      <c r="F19" s="11" t="n">
        <v>965.73</v>
      </c>
      <c r="G19" s="11" t="n">
        <v>16461.49</v>
      </c>
      <c r="H19" s="11" t="n">
        <v>0</v>
      </c>
      <c r="I19" s="11" t="n">
        <v>7</v>
      </c>
    </row>
    <row r="20" ht="15.75" customHeight="1" s="57">
      <c r="A20" s="39" t="inlineStr">
        <is>
          <t>2026-07-01</t>
        </is>
      </c>
      <c r="B20" s="11" t="inlineStr">
        <is>
          <t>sme</t>
        </is>
      </c>
      <c r="C20" s="11" t="inlineStr">
        <is>
          <t>SME</t>
        </is>
      </c>
      <c r="D20" s="11" t="inlineStr">
        <is>
          <t>04.15-20kg</t>
        </is>
      </c>
      <c r="E20" s="11" t="inlineStr">
        <is>
          <t>Ninh Thuận</t>
        </is>
      </c>
      <c r="F20" s="11" t="n">
        <v>176.43</v>
      </c>
      <c r="G20" s="11" t="n">
        <v>3007.3</v>
      </c>
      <c r="H20" s="11" t="n">
        <v>0</v>
      </c>
      <c r="I20" s="11" t="n">
        <v>7</v>
      </c>
    </row>
    <row r="21" ht="15.75" customHeight="1" s="57">
      <c r="A21" s="39" t="inlineStr">
        <is>
          <t>2026-07-01</t>
        </is>
      </c>
      <c r="B21" s="11" t="inlineStr">
        <is>
          <t>sme</t>
        </is>
      </c>
      <c r="C21" s="11" t="inlineStr">
        <is>
          <t>SME</t>
        </is>
      </c>
      <c r="D21" s="11" t="inlineStr">
        <is>
          <t>04.15-20kg</t>
        </is>
      </c>
      <c r="E21" s="11" t="inlineStr">
        <is>
          <t>Đắk Nông</t>
        </is>
      </c>
      <c r="F21" s="11" t="n">
        <v>275.77</v>
      </c>
      <c r="G21" s="11" t="n">
        <v>4700.64</v>
      </c>
      <c r="H21" s="11" t="n">
        <v>0</v>
      </c>
      <c r="I21" s="11" t="n">
        <v>7</v>
      </c>
    </row>
    <row r="22" ht="15.75" customHeight="1" s="57">
      <c r="A22" s="39" t="inlineStr">
        <is>
          <t>2026-07-01</t>
        </is>
      </c>
      <c r="B22" s="11" t="inlineStr">
        <is>
          <t>sme</t>
        </is>
      </c>
      <c r="C22" s="11" t="inlineStr">
        <is>
          <t>SME</t>
        </is>
      </c>
      <c r="D22" s="11" t="inlineStr">
        <is>
          <t>05.&gt;=20kg</t>
        </is>
      </c>
      <c r="E22" s="11" t="inlineStr">
        <is>
          <t>Bình Thuận</t>
        </is>
      </c>
      <c r="F22" s="11" t="n">
        <v>680.73</v>
      </c>
      <c r="G22" s="11" t="n">
        <v>48803.13</v>
      </c>
      <c r="H22" s="11" t="n">
        <v>0</v>
      </c>
      <c r="I22" s="11" t="n">
        <v>7</v>
      </c>
    </row>
    <row r="23" ht="15.75" customHeight="1" s="57">
      <c r="A23" s="39" t="inlineStr">
        <is>
          <t>2026-07-01</t>
        </is>
      </c>
      <c r="B23" s="11" t="inlineStr">
        <is>
          <t>sme</t>
        </is>
      </c>
      <c r="C23" s="11" t="inlineStr">
        <is>
          <t>SME</t>
        </is>
      </c>
      <c r="D23" s="11" t="inlineStr">
        <is>
          <t>05.&gt;=20kg</t>
        </is>
      </c>
      <c r="E23" s="11" t="inlineStr">
        <is>
          <t>Khánh Hòa</t>
        </is>
      </c>
      <c r="F23" s="11" t="n">
        <v>1202.41</v>
      </c>
      <c r="G23" s="11" t="n">
        <v>86203.28999999999</v>
      </c>
      <c r="H23" s="11" t="n">
        <v>0</v>
      </c>
      <c r="I23" s="11" t="n">
        <v>7</v>
      </c>
    </row>
    <row r="24" ht="15.75" customHeight="1" s="57">
      <c r="A24" s="39" t="inlineStr">
        <is>
          <t>2026-07-01</t>
        </is>
      </c>
      <c r="B24" s="11" t="inlineStr">
        <is>
          <t>sme</t>
        </is>
      </c>
      <c r="C24" s="11" t="inlineStr">
        <is>
          <t>SME</t>
        </is>
      </c>
      <c r="D24" s="11" t="inlineStr">
        <is>
          <t>05.&gt;=20kg</t>
        </is>
      </c>
      <c r="E24" s="11" t="inlineStr">
        <is>
          <t>Lâm Đồng</t>
        </is>
      </c>
      <c r="F24" s="11" t="n">
        <v>1500.43</v>
      </c>
      <c r="G24" s="11" t="n">
        <v>107569.26</v>
      </c>
      <c r="H24" s="11" t="n">
        <v>0</v>
      </c>
      <c r="I24" s="11" t="n">
        <v>7</v>
      </c>
    </row>
    <row r="25" ht="15.75" customHeight="1" s="57">
      <c r="A25" s="39" t="inlineStr">
        <is>
          <t>2026-07-01</t>
        </is>
      </c>
      <c r="B25" s="11" t="inlineStr">
        <is>
          <t>sme</t>
        </is>
      </c>
      <c r="C25" s="11" t="inlineStr">
        <is>
          <t>SME</t>
        </is>
      </c>
      <c r="D25" s="11" t="inlineStr">
        <is>
          <t>05.&gt;=20kg</t>
        </is>
      </c>
      <c r="E25" s="11" t="inlineStr">
        <is>
          <t>Ninh Thuận</t>
        </is>
      </c>
      <c r="F25" s="11" t="n">
        <v>372.94</v>
      </c>
      <c r="G25" s="11" t="n">
        <v>26736.64</v>
      </c>
      <c r="H25" s="11" t="n">
        <v>0</v>
      </c>
      <c r="I25" s="11" t="n">
        <v>7</v>
      </c>
    </row>
    <row r="26" ht="15.75" customHeight="1" s="57">
      <c r="A26" s="39" t="inlineStr">
        <is>
          <t>2026-07-01</t>
        </is>
      </c>
      <c r="B26" s="11" t="inlineStr">
        <is>
          <t>sme</t>
        </is>
      </c>
      <c r="C26" s="11" t="inlineStr">
        <is>
          <t>SME</t>
        </is>
      </c>
      <c r="D26" s="11" t="inlineStr">
        <is>
          <t>05.&gt;=20kg</t>
        </is>
      </c>
      <c r="E26" s="11" t="inlineStr">
        <is>
          <t>Đắk Nông</t>
        </is>
      </c>
      <c r="F26" s="11" t="n">
        <v>357.19</v>
      </c>
      <c r="G26" s="11" t="n">
        <v>25608.02</v>
      </c>
      <c r="H26" s="11" t="n">
        <v>0</v>
      </c>
      <c r="I26" s="11" t="n">
        <v>7</v>
      </c>
    </row>
    <row r="27" ht="15.75" customHeight="1" s="57">
      <c r="A27" s="39" t="inlineStr">
        <is>
          <t>2026-07-01</t>
        </is>
      </c>
      <c r="B27" s="11" t="inlineStr">
        <is>
          <t>ecom</t>
        </is>
      </c>
      <c r="C27" s="11" t="inlineStr">
        <is>
          <t>Shopee Bulky</t>
        </is>
      </c>
      <c r="D27" s="11" t="inlineStr">
        <is>
          <t>01.0-5kg</t>
        </is>
      </c>
      <c r="E27" s="11" t="inlineStr">
        <is>
          <t>Bình Thuận</t>
        </is>
      </c>
      <c r="F27" s="11" t="n">
        <v>2.91</v>
      </c>
      <c r="G27" s="11" t="n">
        <v>6.95</v>
      </c>
      <c r="H27" s="11" t="n">
        <v>0</v>
      </c>
      <c r="I27" s="11" t="n">
        <v>7</v>
      </c>
    </row>
    <row r="28" ht="15.75" customHeight="1" s="57">
      <c r="A28" s="39" t="inlineStr">
        <is>
          <t>2026-07-01</t>
        </is>
      </c>
      <c r="B28" s="11" t="inlineStr">
        <is>
          <t>ecom</t>
        </is>
      </c>
      <c r="C28" s="11" t="inlineStr">
        <is>
          <t>Shopee Bulky</t>
        </is>
      </c>
      <c r="D28" s="11" t="inlineStr">
        <is>
          <t>01.0-5kg</t>
        </is>
      </c>
      <c r="E28" s="11" t="inlineStr">
        <is>
          <t>Khánh Hòa</t>
        </is>
      </c>
      <c r="F28" s="11" t="n">
        <v>5.24</v>
      </c>
      <c r="G28" s="11" t="n">
        <v>12.51</v>
      </c>
      <c r="H28" s="11" t="n">
        <v>0</v>
      </c>
      <c r="I28" s="11" t="n">
        <v>7</v>
      </c>
    </row>
    <row r="29" ht="15.75" customHeight="1" s="57">
      <c r="A29" s="39" t="inlineStr">
        <is>
          <t>2026-07-01</t>
        </is>
      </c>
      <c r="B29" s="11" t="inlineStr">
        <is>
          <t>ecom</t>
        </is>
      </c>
      <c r="C29" s="11" t="inlineStr">
        <is>
          <t>Shopee Bulky</t>
        </is>
      </c>
      <c r="D29" s="11" t="inlineStr">
        <is>
          <t>01.0-5kg</t>
        </is>
      </c>
      <c r="E29" s="11" t="inlineStr">
        <is>
          <t>Lâm Đồng</t>
        </is>
      </c>
      <c r="F29" s="11" t="n">
        <v>20.96</v>
      </c>
      <c r="G29" s="11" t="n">
        <v>50.06</v>
      </c>
      <c r="H29" s="11" t="n">
        <v>0</v>
      </c>
      <c r="I29" s="11" t="n">
        <v>7</v>
      </c>
    </row>
    <row r="30" ht="15.75" customHeight="1" s="57">
      <c r="A30" s="39" t="inlineStr">
        <is>
          <t>2026-07-01</t>
        </is>
      </c>
      <c r="B30" s="11" t="inlineStr">
        <is>
          <t>ecom</t>
        </is>
      </c>
      <c r="C30" s="11" t="inlineStr">
        <is>
          <t>Shopee Bulky</t>
        </is>
      </c>
      <c r="D30" s="11" t="inlineStr">
        <is>
          <t>02.5-10kg</t>
        </is>
      </c>
      <c r="E30" s="11" t="inlineStr">
        <is>
          <t>Bình Thuận</t>
        </is>
      </c>
      <c r="F30" s="11" t="n">
        <v>3.49</v>
      </c>
      <c r="G30" s="11" t="n">
        <v>28.09</v>
      </c>
      <c r="H30" s="11" t="n">
        <v>0</v>
      </c>
      <c r="I30" s="11" t="n">
        <v>7</v>
      </c>
    </row>
    <row r="31" ht="15.75" customHeight="1" s="57">
      <c r="A31" s="39" t="inlineStr">
        <is>
          <t>2026-07-01</t>
        </is>
      </c>
      <c r="B31" s="11" t="inlineStr">
        <is>
          <t>ecom</t>
        </is>
      </c>
      <c r="C31" s="11" t="inlineStr">
        <is>
          <t>Shopee Bulky</t>
        </is>
      </c>
      <c r="D31" s="11" t="inlineStr">
        <is>
          <t>02.5-10kg</t>
        </is>
      </c>
      <c r="E31" s="11" t="inlineStr">
        <is>
          <t>Khánh Hòa</t>
        </is>
      </c>
      <c r="F31" s="11" t="n">
        <v>23.29</v>
      </c>
      <c r="G31" s="11" t="n">
        <v>187.26</v>
      </c>
      <c r="H31" s="11" t="n">
        <v>0</v>
      </c>
      <c r="I31" s="11" t="n">
        <v>7</v>
      </c>
    </row>
    <row r="32" ht="15.75" customHeight="1" s="57">
      <c r="A32" s="39" t="inlineStr">
        <is>
          <t>2026-07-01</t>
        </is>
      </c>
      <c r="B32" s="11" t="inlineStr">
        <is>
          <t>ecom</t>
        </is>
      </c>
      <c r="C32" s="11" t="inlineStr">
        <is>
          <t>Shopee Bulky</t>
        </is>
      </c>
      <c r="D32" s="11" t="inlineStr">
        <is>
          <t>02.5-10kg</t>
        </is>
      </c>
      <c r="E32" s="11" t="inlineStr">
        <is>
          <t>Lâm Đồng</t>
        </is>
      </c>
      <c r="F32" s="11" t="n">
        <v>62.29</v>
      </c>
      <c r="G32" s="11" t="n">
        <v>500.93</v>
      </c>
      <c r="H32" s="11" t="n">
        <v>0</v>
      </c>
      <c r="I32" s="11" t="n">
        <v>7</v>
      </c>
    </row>
    <row r="33" ht="15.75" customHeight="1" s="57">
      <c r="A33" s="39" t="inlineStr">
        <is>
          <t>2026-07-01</t>
        </is>
      </c>
      <c r="B33" s="11" t="inlineStr">
        <is>
          <t>ecom</t>
        </is>
      </c>
      <c r="C33" s="11" t="inlineStr">
        <is>
          <t>Shopee Bulky</t>
        </is>
      </c>
      <c r="D33" s="11" t="inlineStr">
        <is>
          <t>02.5-10kg</t>
        </is>
      </c>
      <c r="E33" s="11" t="inlineStr">
        <is>
          <t>Ninh Thuận</t>
        </is>
      </c>
      <c r="F33" s="11" t="n">
        <v>2.91</v>
      </c>
      <c r="G33" s="11" t="n">
        <v>23.41</v>
      </c>
      <c r="H33" s="11" t="n">
        <v>0</v>
      </c>
      <c r="I33" s="11" t="n">
        <v>7</v>
      </c>
    </row>
    <row r="34" ht="15.75" customHeight="1" s="57">
      <c r="A34" s="39" t="inlineStr">
        <is>
          <t>2026-07-01</t>
        </is>
      </c>
      <c r="B34" s="11" t="inlineStr">
        <is>
          <t>ecom</t>
        </is>
      </c>
      <c r="C34" s="11" t="inlineStr">
        <is>
          <t>Shopee Bulky</t>
        </is>
      </c>
      <c r="D34" s="11" t="inlineStr">
        <is>
          <t>02.5-10kg</t>
        </is>
      </c>
      <c r="E34" s="11" t="inlineStr">
        <is>
          <t>Đắk Nông</t>
        </is>
      </c>
      <c r="F34" s="11" t="n">
        <v>1.75</v>
      </c>
      <c r="G34" s="11" t="n">
        <v>14.04</v>
      </c>
      <c r="H34" s="11" t="n">
        <v>0</v>
      </c>
      <c r="I34" s="11" t="n">
        <v>7</v>
      </c>
    </row>
    <row r="35" ht="15.75" customHeight="1" s="57">
      <c r="A35" s="39" t="inlineStr">
        <is>
          <t>2026-07-01</t>
        </is>
      </c>
      <c r="B35" s="11" t="inlineStr">
        <is>
          <t>ecom</t>
        </is>
      </c>
      <c r="C35" s="11" t="inlineStr">
        <is>
          <t>Shopee Bulky</t>
        </is>
      </c>
      <c r="D35" s="11" t="inlineStr">
        <is>
          <t>03.10-15kg</t>
        </is>
      </c>
      <c r="E35" s="11" t="inlineStr">
        <is>
          <t>Bình Thuận</t>
        </is>
      </c>
      <c r="F35" s="11" t="n">
        <v>633.97</v>
      </c>
      <c r="G35" s="11" t="n">
        <v>7557.37</v>
      </c>
      <c r="H35" s="11" t="n">
        <v>0</v>
      </c>
      <c r="I35" s="11" t="n">
        <v>7</v>
      </c>
    </row>
    <row r="36" ht="15.75" customHeight="1" s="57">
      <c r="A36" s="39" t="inlineStr">
        <is>
          <t>2026-07-01</t>
        </is>
      </c>
      <c r="B36" s="11" t="inlineStr">
        <is>
          <t>ecom</t>
        </is>
      </c>
      <c r="C36" s="11" t="inlineStr">
        <is>
          <t>Shopee Bulky</t>
        </is>
      </c>
      <c r="D36" s="11" t="inlineStr">
        <is>
          <t>03.10-15kg</t>
        </is>
      </c>
      <c r="E36" s="11" t="inlineStr">
        <is>
          <t>Khánh Hòa</t>
        </is>
      </c>
      <c r="F36" s="11" t="n">
        <v>781.84</v>
      </c>
      <c r="G36" s="11" t="n">
        <v>9320.07</v>
      </c>
      <c r="H36" s="11" t="n">
        <v>0</v>
      </c>
      <c r="I36" s="11" t="n">
        <v>7</v>
      </c>
    </row>
    <row r="37" ht="15.75" customHeight="1" s="57">
      <c r="A37" s="39" t="inlineStr">
        <is>
          <t>2026-07-01</t>
        </is>
      </c>
      <c r="B37" s="11" t="inlineStr">
        <is>
          <t>ecom</t>
        </is>
      </c>
      <c r="C37" s="11" t="inlineStr">
        <is>
          <t>Shopee Bulky</t>
        </is>
      </c>
      <c r="D37" s="11" t="inlineStr">
        <is>
          <t>03.10-15kg</t>
        </is>
      </c>
      <c r="E37" s="11" t="inlineStr">
        <is>
          <t>Lâm Đồng</t>
        </is>
      </c>
      <c r="F37" s="11" t="n">
        <v>930.87</v>
      </c>
      <c r="G37" s="11" t="n">
        <v>11096.64</v>
      </c>
      <c r="H37" s="11" t="n">
        <v>0</v>
      </c>
      <c r="I37" s="11" t="n">
        <v>7</v>
      </c>
    </row>
    <row r="38" ht="15.75" customHeight="1" s="57">
      <c r="A38" s="39" t="inlineStr">
        <is>
          <t>2026-07-01</t>
        </is>
      </c>
      <c r="B38" s="11" t="inlineStr">
        <is>
          <t>ecom</t>
        </is>
      </c>
      <c r="C38" s="11" t="inlineStr">
        <is>
          <t>Shopee Bulky</t>
        </is>
      </c>
      <c r="D38" s="11" t="inlineStr">
        <is>
          <t>03.10-15kg</t>
        </is>
      </c>
      <c r="E38" s="11" t="inlineStr">
        <is>
          <t>Ninh Thuận</t>
        </is>
      </c>
      <c r="F38" s="11" t="n">
        <v>686.95</v>
      </c>
      <c r="G38" s="11" t="n">
        <v>8188.89</v>
      </c>
      <c r="H38" s="11" t="n">
        <v>0</v>
      </c>
      <c r="I38" s="11" t="n">
        <v>7</v>
      </c>
    </row>
    <row r="39" ht="15.75" customHeight="1" s="57">
      <c r="A39" s="39" t="inlineStr">
        <is>
          <t>2026-07-01</t>
        </is>
      </c>
      <c r="B39" s="11" t="inlineStr">
        <is>
          <t>ecom</t>
        </is>
      </c>
      <c r="C39" s="11" t="inlineStr">
        <is>
          <t>Shopee Bulky</t>
        </is>
      </c>
      <c r="D39" s="11" t="inlineStr">
        <is>
          <t>03.10-15kg</t>
        </is>
      </c>
      <c r="E39" s="11" t="inlineStr">
        <is>
          <t>Đắk Nông</t>
        </is>
      </c>
      <c r="F39" s="11" t="n">
        <v>158.93</v>
      </c>
      <c r="G39" s="11" t="n">
        <v>1894.55</v>
      </c>
      <c r="H39" s="11" t="n">
        <v>0</v>
      </c>
      <c r="I39" s="11" t="n">
        <v>7</v>
      </c>
    </row>
    <row r="40" ht="15.75" customHeight="1" s="57">
      <c r="A40" s="39" t="inlineStr">
        <is>
          <t>2026-07-01</t>
        </is>
      </c>
      <c r="B40" s="11" t="inlineStr">
        <is>
          <t>ecom</t>
        </is>
      </c>
      <c r="C40" s="11" t="inlineStr">
        <is>
          <t>Shopee Bulky</t>
        </is>
      </c>
      <c r="D40" s="11" t="inlineStr">
        <is>
          <t>04.15-20kg</t>
        </is>
      </c>
      <c r="E40" s="11" t="inlineStr">
        <is>
          <t>Bình Thuận</t>
        </is>
      </c>
      <c r="F40" s="11" t="n">
        <v>590.89</v>
      </c>
      <c r="G40" s="11" t="n">
        <v>9984.4</v>
      </c>
      <c r="H40" s="11" t="n">
        <v>0</v>
      </c>
      <c r="I40" s="11" t="n">
        <v>7</v>
      </c>
    </row>
    <row r="41" ht="15.75" customHeight="1" s="57">
      <c r="A41" s="39" t="inlineStr">
        <is>
          <t>2026-07-01</t>
        </is>
      </c>
      <c r="B41" s="11" t="inlineStr">
        <is>
          <t>ecom</t>
        </is>
      </c>
      <c r="C41" s="11" t="inlineStr">
        <is>
          <t>Shopee Bulky</t>
        </is>
      </c>
      <c r="D41" s="11" t="inlineStr">
        <is>
          <t>04.15-20kg</t>
        </is>
      </c>
      <c r="E41" s="11" t="inlineStr">
        <is>
          <t>Khánh Hòa</t>
        </is>
      </c>
      <c r="F41" s="11" t="n">
        <v>349.88</v>
      </c>
      <c r="G41" s="11" t="n">
        <v>5911.95</v>
      </c>
      <c r="H41" s="11" t="n">
        <v>0</v>
      </c>
      <c r="I41" s="11" t="n">
        <v>7</v>
      </c>
    </row>
    <row r="42" ht="15.75" customHeight="1" s="57">
      <c r="A42" s="39" t="inlineStr">
        <is>
          <t>2026-07-01</t>
        </is>
      </c>
      <c r="B42" s="11" t="inlineStr">
        <is>
          <t>ecom</t>
        </is>
      </c>
      <c r="C42" s="11" t="inlineStr">
        <is>
          <t>Shopee Bulky</t>
        </is>
      </c>
      <c r="D42" s="11" t="inlineStr">
        <is>
          <t>04.15-20kg</t>
        </is>
      </c>
      <c r="E42" s="11" t="inlineStr">
        <is>
          <t>Lâm Đồng</t>
        </is>
      </c>
      <c r="F42" s="11" t="n">
        <v>498.91</v>
      </c>
      <c r="G42" s="11" t="n">
        <v>8430.18</v>
      </c>
      <c r="H42" s="11" t="n">
        <v>0</v>
      </c>
      <c r="I42" s="11" t="n">
        <v>7</v>
      </c>
    </row>
    <row r="43" ht="15.75" customHeight="1" s="57">
      <c r="A43" s="39" t="inlineStr">
        <is>
          <t>2026-07-01</t>
        </is>
      </c>
      <c r="B43" s="11" t="inlineStr">
        <is>
          <t>ecom</t>
        </is>
      </c>
      <c r="C43" s="11" t="inlineStr">
        <is>
          <t>Shopee Bulky</t>
        </is>
      </c>
      <c r="D43" s="11" t="inlineStr">
        <is>
          <t>04.15-20kg</t>
        </is>
      </c>
      <c r="E43" s="11" t="inlineStr">
        <is>
          <t>Ninh Thuận</t>
        </is>
      </c>
      <c r="F43" s="11" t="n">
        <v>159.51</v>
      </c>
      <c r="G43" s="11" t="n">
        <v>2695.3</v>
      </c>
      <c r="H43" s="11" t="n">
        <v>0</v>
      </c>
      <c r="I43" s="11" t="n">
        <v>7</v>
      </c>
    </row>
    <row r="44" ht="15.75" customHeight="1" s="57">
      <c r="A44" s="39" t="inlineStr">
        <is>
          <t>2026-07-01</t>
        </is>
      </c>
      <c r="B44" s="11" t="inlineStr">
        <is>
          <t>ecom</t>
        </is>
      </c>
      <c r="C44" s="11" t="inlineStr">
        <is>
          <t>Shopee Bulky</t>
        </is>
      </c>
      <c r="D44" s="11" t="inlineStr">
        <is>
          <t>04.15-20kg</t>
        </is>
      </c>
      <c r="E44" s="11" t="inlineStr">
        <is>
          <t>Đắk Nông</t>
        </is>
      </c>
      <c r="F44" s="11" t="n">
        <v>65.78</v>
      </c>
      <c r="G44" s="11" t="n">
        <v>1111.56</v>
      </c>
      <c r="H44" s="11" t="n">
        <v>0</v>
      </c>
      <c r="I44" s="11" t="n">
        <v>7</v>
      </c>
    </row>
    <row r="45" ht="15.75" customHeight="1" s="57">
      <c r="A45" s="39" t="inlineStr">
        <is>
          <t>2026-07-01</t>
        </is>
      </c>
      <c r="B45" s="11" t="inlineStr">
        <is>
          <t>ecom</t>
        </is>
      </c>
      <c r="C45" s="11" t="inlineStr">
        <is>
          <t>Shopee Bulky</t>
        </is>
      </c>
      <c r="D45" s="11" t="inlineStr">
        <is>
          <t>05.&gt;=20kg</t>
        </is>
      </c>
      <c r="E45" s="11" t="inlineStr">
        <is>
          <t>Bình Thuận</t>
        </is>
      </c>
      <c r="F45" s="11" t="n">
        <v>1155</v>
      </c>
      <c r="G45" s="11" t="n">
        <v>39233.94</v>
      </c>
      <c r="H45" s="11" t="n">
        <v>0</v>
      </c>
      <c r="I45" s="11" t="n">
        <v>7</v>
      </c>
    </row>
    <row r="46" ht="15.75" customHeight="1" s="57">
      <c r="A46" s="39" t="inlineStr">
        <is>
          <t>2026-07-01</t>
        </is>
      </c>
      <c r="B46" s="11" t="inlineStr">
        <is>
          <t>ecom</t>
        </is>
      </c>
      <c r="C46" s="11" t="inlineStr">
        <is>
          <t>Shopee Bulky</t>
        </is>
      </c>
      <c r="D46" s="11" t="inlineStr">
        <is>
          <t>05.&gt;=20kg</t>
        </is>
      </c>
      <c r="E46" s="11" t="inlineStr">
        <is>
          <t>Khánh Hòa</t>
        </is>
      </c>
      <c r="F46" s="11" t="n">
        <v>588.5599999999999</v>
      </c>
      <c r="G46" s="11" t="n">
        <v>19992.7</v>
      </c>
      <c r="H46" s="11" t="n">
        <v>0</v>
      </c>
      <c r="I46" s="11" t="n">
        <v>7</v>
      </c>
    </row>
    <row r="47" ht="15.75" customHeight="1" s="57">
      <c r="A47" s="39" t="inlineStr">
        <is>
          <t>2026-07-01</t>
        </is>
      </c>
      <c r="B47" s="11" t="inlineStr">
        <is>
          <t>ecom</t>
        </is>
      </c>
      <c r="C47" s="11" t="inlineStr">
        <is>
          <t>Shopee Bulky</t>
        </is>
      </c>
      <c r="D47" s="11" t="inlineStr">
        <is>
          <t>05.&gt;=20kg</t>
        </is>
      </c>
      <c r="E47" s="11" t="inlineStr">
        <is>
          <t>Lâm Đồng</t>
        </is>
      </c>
      <c r="F47" s="11" t="n">
        <v>1251.64</v>
      </c>
      <c r="G47" s="11" t="n">
        <v>42516.62</v>
      </c>
      <c r="H47" s="11" t="n">
        <v>0</v>
      </c>
      <c r="I47" s="11" t="n">
        <v>7</v>
      </c>
    </row>
    <row r="48" ht="15.75" customHeight="1" s="57">
      <c r="A48" s="39" t="inlineStr">
        <is>
          <t>2026-07-01</t>
        </is>
      </c>
      <c r="B48" s="11" t="inlineStr">
        <is>
          <t>ecom</t>
        </is>
      </c>
      <c r="C48" s="11" t="inlineStr">
        <is>
          <t>Shopee Bulky</t>
        </is>
      </c>
      <c r="D48" s="11" t="inlineStr">
        <is>
          <t>05.&gt;=20kg</t>
        </is>
      </c>
      <c r="E48" s="11" t="inlineStr">
        <is>
          <t>Ninh Thuận</t>
        </is>
      </c>
      <c r="F48" s="11" t="n">
        <v>245.09</v>
      </c>
      <c r="G48" s="11" t="n">
        <v>8325.35</v>
      </c>
      <c r="H48" s="11" t="n">
        <v>0</v>
      </c>
      <c r="I48" s="11" t="n">
        <v>7</v>
      </c>
    </row>
    <row r="49" ht="15.75" customHeight="1" s="57">
      <c r="A49" s="39" t="inlineStr">
        <is>
          <t>2026-07-01</t>
        </is>
      </c>
      <c r="B49" s="11" t="inlineStr">
        <is>
          <t>ecom</t>
        </is>
      </c>
      <c r="C49" s="11" t="inlineStr">
        <is>
          <t>Shopee Bulky</t>
        </is>
      </c>
      <c r="D49" s="11" t="inlineStr">
        <is>
          <t>05.&gt;=20kg</t>
        </is>
      </c>
      <c r="E49" s="11" t="inlineStr">
        <is>
          <t>Đắk Nông</t>
        </is>
      </c>
      <c r="F49" s="11" t="n">
        <v>157.76</v>
      </c>
      <c r="G49" s="11" t="n">
        <v>5359.07</v>
      </c>
      <c r="H49" s="11" t="n">
        <v>0</v>
      </c>
      <c r="I49" s="11" t="n">
        <v>7</v>
      </c>
    </row>
    <row r="50" ht="15.75" customHeight="1" s="57">
      <c r="A50" s="39" t="inlineStr">
        <is>
          <t>2026-07-01</t>
        </is>
      </c>
      <c r="B50" s="11" t="inlineStr">
        <is>
          <t>ecom</t>
        </is>
      </c>
      <c r="C50" s="11" t="inlineStr">
        <is>
          <t>Shopee Ecom</t>
        </is>
      </c>
      <c r="D50" s="11" t="inlineStr">
        <is>
          <t>01.0-5kg</t>
        </is>
      </c>
      <c r="E50" s="11" t="inlineStr">
        <is>
          <t>Bình Thuận</t>
        </is>
      </c>
      <c r="F50" s="11" t="n">
        <v>11044.95</v>
      </c>
      <c r="G50" s="11" t="n">
        <v>9452.27</v>
      </c>
      <c r="H50" s="11" t="n">
        <v>0</v>
      </c>
      <c r="I50" s="11" t="n">
        <v>7</v>
      </c>
    </row>
    <row r="51" ht="15.75" customHeight="1" s="57">
      <c r="A51" s="39" t="inlineStr">
        <is>
          <t>2026-07-01</t>
        </is>
      </c>
      <c r="B51" s="11" t="inlineStr">
        <is>
          <t>ecom</t>
        </is>
      </c>
      <c r="C51" s="11" t="inlineStr">
        <is>
          <t>Shopee Ecom</t>
        </is>
      </c>
      <c r="D51" s="11" t="inlineStr">
        <is>
          <t>01.0-5kg</t>
        </is>
      </c>
      <c r="E51" s="11" t="inlineStr">
        <is>
          <t>Khánh Hòa</t>
        </is>
      </c>
      <c r="F51" s="11" t="n">
        <v>16814.49</v>
      </c>
      <c r="G51" s="11" t="n">
        <v>14389.84</v>
      </c>
      <c r="H51" s="11" t="n">
        <v>0</v>
      </c>
      <c r="I51" s="11" t="n">
        <v>7</v>
      </c>
    </row>
    <row r="52" ht="15.75" customHeight="1" s="57">
      <c r="A52" s="39" t="inlineStr">
        <is>
          <t>2026-07-01</t>
        </is>
      </c>
      <c r="B52" s="11" t="inlineStr">
        <is>
          <t>ecom</t>
        </is>
      </c>
      <c r="C52" s="11" t="inlineStr">
        <is>
          <t>Shopee Ecom</t>
        </is>
      </c>
      <c r="D52" s="11" t="inlineStr">
        <is>
          <t>01.0-5kg</t>
        </is>
      </c>
      <c r="E52" s="11" t="inlineStr">
        <is>
          <t>Lâm Đồng</t>
        </is>
      </c>
      <c r="F52" s="11" t="n">
        <v>21349.42</v>
      </c>
      <c r="G52" s="11" t="n">
        <v>18270.83</v>
      </c>
      <c r="H52" s="11" t="n">
        <v>0</v>
      </c>
      <c r="I52" s="11" t="n">
        <v>7</v>
      </c>
    </row>
    <row r="53" ht="15.75" customHeight="1" s="57">
      <c r="A53" s="39" t="inlineStr">
        <is>
          <t>2026-07-01</t>
        </is>
      </c>
      <c r="B53" s="11" t="inlineStr">
        <is>
          <t>ecom</t>
        </is>
      </c>
      <c r="C53" s="11" t="inlineStr">
        <is>
          <t>Shopee Ecom</t>
        </is>
      </c>
      <c r="D53" s="11" t="inlineStr">
        <is>
          <t>01.0-5kg</t>
        </is>
      </c>
      <c r="E53" s="11" t="inlineStr">
        <is>
          <t>Ninh Thuận</t>
        </is>
      </c>
      <c r="F53" s="11" t="n">
        <v>7011.83</v>
      </c>
      <c r="G53" s="11" t="n">
        <v>6000.72</v>
      </c>
      <c r="H53" s="11" t="n">
        <v>0</v>
      </c>
      <c r="I53" s="11" t="n">
        <v>7</v>
      </c>
    </row>
    <row r="54" ht="15.75" customHeight="1" s="57">
      <c r="A54" s="39" t="inlineStr">
        <is>
          <t>2026-07-01</t>
        </is>
      </c>
      <c r="B54" s="11" t="inlineStr">
        <is>
          <t>ecom</t>
        </is>
      </c>
      <c r="C54" s="11" t="inlineStr">
        <is>
          <t>Shopee Ecom</t>
        </is>
      </c>
      <c r="D54" s="11" t="inlineStr">
        <is>
          <t>01.0-5kg</t>
        </is>
      </c>
      <c r="E54" s="11" t="inlineStr">
        <is>
          <t>Đắk Nông</t>
        </is>
      </c>
      <c r="F54" s="11" t="n">
        <v>3756.1</v>
      </c>
      <c r="G54" s="11" t="n">
        <v>3214.47</v>
      </c>
      <c r="H54" s="11" t="n">
        <v>0</v>
      </c>
      <c r="I54" s="11" t="n">
        <v>7</v>
      </c>
    </row>
    <row r="55" ht="15.75" customHeight="1" s="57">
      <c r="A55" s="39" t="inlineStr">
        <is>
          <t>2026-07-01</t>
        </is>
      </c>
      <c r="B55" s="11" t="inlineStr">
        <is>
          <t>ecom</t>
        </is>
      </c>
      <c r="C55" s="11" t="inlineStr">
        <is>
          <t>Shopee Ecom</t>
        </is>
      </c>
      <c r="D55" s="11" t="inlineStr">
        <is>
          <t>02.5-10kg</t>
        </is>
      </c>
      <c r="E55" s="11" t="inlineStr">
        <is>
          <t>Bình Thuận</t>
        </is>
      </c>
      <c r="F55" s="11" t="n">
        <v>860.78</v>
      </c>
      <c r="G55" s="11" t="n">
        <v>5927.26</v>
      </c>
      <c r="H55" s="11" t="n">
        <v>0</v>
      </c>
      <c r="I55" s="11" t="n">
        <v>7</v>
      </c>
    </row>
    <row r="56" ht="15.75" customHeight="1" s="57">
      <c r="A56" s="39" t="inlineStr">
        <is>
          <t>2026-07-01</t>
        </is>
      </c>
      <c r="B56" s="11" t="inlineStr">
        <is>
          <t>ecom</t>
        </is>
      </c>
      <c r="C56" s="11" t="inlineStr">
        <is>
          <t>Shopee Ecom</t>
        </is>
      </c>
      <c r="D56" s="11" t="inlineStr">
        <is>
          <t>02.5-10kg</t>
        </is>
      </c>
      <c r="E56" s="11" t="inlineStr">
        <is>
          <t>Khánh Hòa</t>
        </is>
      </c>
      <c r="F56" s="11" t="n">
        <v>1410.03</v>
      </c>
      <c r="G56" s="11" t="n">
        <v>9709.360000000001</v>
      </c>
      <c r="H56" s="11" t="n">
        <v>0</v>
      </c>
      <c r="I56" s="11" t="n">
        <v>7</v>
      </c>
    </row>
    <row r="57" ht="15.75" customHeight="1" s="57">
      <c r="A57" s="39" t="inlineStr">
        <is>
          <t>2026-07-01</t>
        </is>
      </c>
      <c r="B57" s="11" t="inlineStr">
        <is>
          <t>ecom</t>
        </is>
      </c>
      <c r="C57" s="11" t="inlineStr">
        <is>
          <t>Shopee Ecom</t>
        </is>
      </c>
      <c r="D57" s="11" t="inlineStr">
        <is>
          <t>02.5-10kg</t>
        </is>
      </c>
      <c r="E57" s="11" t="inlineStr">
        <is>
          <t>Lâm Đồng</t>
        </is>
      </c>
      <c r="F57" s="11" t="n">
        <v>1930.05</v>
      </c>
      <c r="G57" s="11" t="n">
        <v>13290.13</v>
      </c>
      <c r="H57" s="11" t="n">
        <v>0</v>
      </c>
      <c r="I57" s="11" t="n">
        <v>7</v>
      </c>
    </row>
    <row r="58" ht="15.75" customHeight="1" s="57">
      <c r="A58" s="39" t="inlineStr">
        <is>
          <t>2026-07-01</t>
        </is>
      </c>
      <c r="B58" s="11" t="inlineStr">
        <is>
          <t>ecom</t>
        </is>
      </c>
      <c r="C58" s="11" t="inlineStr">
        <is>
          <t>Shopee Ecom</t>
        </is>
      </c>
      <c r="D58" s="11" t="inlineStr">
        <is>
          <t>02.5-10kg</t>
        </is>
      </c>
      <c r="E58" s="11" t="inlineStr">
        <is>
          <t>Ninh Thuận</t>
        </is>
      </c>
      <c r="F58" s="11" t="n">
        <v>543.98</v>
      </c>
      <c r="G58" s="11" t="n">
        <v>3745.79</v>
      </c>
      <c r="H58" s="11" t="n">
        <v>0</v>
      </c>
      <c r="I58" s="11" t="n">
        <v>7</v>
      </c>
    </row>
    <row r="59" ht="15.75" customHeight="1" s="57">
      <c r="A59" s="39" t="inlineStr">
        <is>
          <t>2026-07-01</t>
        </is>
      </c>
      <c r="B59" s="11" t="inlineStr">
        <is>
          <t>ecom</t>
        </is>
      </c>
      <c r="C59" s="11" t="inlineStr">
        <is>
          <t>Shopee Ecom</t>
        </is>
      </c>
      <c r="D59" s="11" t="inlineStr">
        <is>
          <t>02.5-10kg</t>
        </is>
      </c>
      <c r="E59" s="11" t="inlineStr">
        <is>
          <t>Đắk Nông</t>
        </is>
      </c>
      <c r="F59" s="11" t="n">
        <v>528.16</v>
      </c>
      <c r="G59" s="11" t="n">
        <v>3636.88</v>
      </c>
      <c r="H59" s="11" t="n">
        <v>0</v>
      </c>
      <c r="I59" s="11" t="n">
        <v>7</v>
      </c>
    </row>
    <row r="60" ht="15.75" customHeight="1" s="57">
      <c r="A60" s="39" t="inlineStr">
        <is>
          <t>2026-07-01</t>
        </is>
      </c>
      <c r="B60" s="11" t="inlineStr">
        <is>
          <t>ecom</t>
        </is>
      </c>
      <c r="C60" s="11" t="inlineStr">
        <is>
          <t>Shopee Ecom</t>
        </is>
      </c>
      <c r="D60" s="11" t="inlineStr">
        <is>
          <t>03.10-15kg</t>
        </is>
      </c>
      <c r="E60" s="11" t="inlineStr">
        <is>
          <t>Bình Thuận</t>
        </is>
      </c>
      <c r="F60" s="11" t="n">
        <v>202.73</v>
      </c>
      <c r="G60" s="11" t="n">
        <v>2121.86</v>
      </c>
      <c r="H60" s="11" t="n">
        <v>0</v>
      </c>
      <c r="I60" s="11" t="n">
        <v>7</v>
      </c>
    </row>
    <row r="61" ht="15.75" customHeight="1" s="57">
      <c r="A61" s="39" t="inlineStr">
        <is>
          <t>2026-07-01</t>
        </is>
      </c>
      <c r="B61" s="11" t="inlineStr">
        <is>
          <t>ecom</t>
        </is>
      </c>
      <c r="C61" s="11" t="inlineStr">
        <is>
          <t>Shopee Ecom</t>
        </is>
      </c>
      <c r="D61" s="11" t="inlineStr">
        <is>
          <t>03.10-15kg</t>
        </is>
      </c>
      <c r="E61" s="11" t="inlineStr">
        <is>
          <t>Khánh Hòa</t>
        </is>
      </c>
      <c r="F61" s="11" t="n">
        <v>225.74</v>
      </c>
      <c r="G61" s="11" t="n">
        <v>2362.64</v>
      </c>
      <c r="H61" s="11" t="n">
        <v>0</v>
      </c>
      <c r="I61" s="11" t="n">
        <v>7</v>
      </c>
    </row>
    <row r="62" ht="15.75" customHeight="1" s="57">
      <c r="A62" s="39" t="inlineStr">
        <is>
          <t>2026-07-01</t>
        </is>
      </c>
      <c r="B62" s="11" t="inlineStr">
        <is>
          <t>ecom</t>
        </is>
      </c>
      <c r="C62" s="11" t="inlineStr">
        <is>
          <t>Shopee Ecom</t>
        </is>
      </c>
      <c r="D62" s="11" t="inlineStr">
        <is>
          <t>03.10-15kg</t>
        </is>
      </c>
      <c r="E62" s="11" t="inlineStr">
        <is>
          <t>Lâm Đồng</t>
        </is>
      </c>
      <c r="F62" s="11" t="n">
        <v>276.54</v>
      </c>
      <c r="G62" s="11" t="n">
        <v>2894.36</v>
      </c>
      <c r="H62" s="11" t="n">
        <v>0</v>
      </c>
      <c r="I62" s="11" t="n">
        <v>7</v>
      </c>
    </row>
    <row r="63" ht="15.75" customHeight="1" s="57">
      <c r="A63" s="39" t="inlineStr">
        <is>
          <t>2026-07-01</t>
        </is>
      </c>
      <c r="B63" s="11" t="inlineStr">
        <is>
          <t>ecom</t>
        </is>
      </c>
      <c r="C63" s="11" t="inlineStr">
        <is>
          <t>Shopee Ecom</t>
        </is>
      </c>
      <c r="D63" s="11" t="inlineStr">
        <is>
          <t>03.10-15kg</t>
        </is>
      </c>
      <c r="E63" s="11" t="inlineStr">
        <is>
          <t>Ninh Thuận</t>
        </is>
      </c>
      <c r="F63" s="11" t="n">
        <v>75.25</v>
      </c>
      <c r="G63" s="11" t="n">
        <v>787.55</v>
      </c>
      <c r="H63" s="11" t="n">
        <v>0</v>
      </c>
      <c r="I63" s="11" t="n">
        <v>7</v>
      </c>
    </row>
    <row r="64" ht="15.75" customHeight="1" s="57">
      <c r="A64" s="39" t="inlineStr">
        <is>
          <t>2026-07-01</t>
        </is>
      </c>
      <c r="B64" s="11" t="inlineStr">
        <is>
          <t>ecom</t>
        </is>
      </c>
      <c r="C64" s="11" t="inlineStr">
        <is>
          <t>Shopee Ecom</t>
        </is>
      </c>
      <c r="D64" s="11" t="inlineStr">
        <is>
          <t>03.10-15kg</t>
        </is>
      </c>
      <c r="E64" s="11" t="inlineStr">
        <is>
          <t>Đắk Nông</t>
        </is>
      </c>
      <c r="F64" s="11" t="n">
        <v>55.6</v>
      </c>
      <c r="G64" s="11" t="n">
        <v>581.88</v>
      </c>
      <c r="H64" s="11" t="n">
        <v>0</v>
      </c>
      <c r="I64" s="11" t="n">
        <v>7</v>
      </c>
    </row>
    <row r="65" ht="15.75" customHeight="1" s="57">
      <c r="A65" s="39" t="inlineStr">
        <is>
          <t>2026-07-01</t>
        </is>
      </c>
      <c r="B65" s="11" t="inlineStr">
        <is>
          <t>ecom</t>
        </is>
      </c>
      <c r="C65" s="11" t="inlineStr">
        <is>
          <t>Shopee Ecom</t>
        </is>
      </c>
      <c r="D65" s="11" t="inlineStr">
        <is>
          <t>04.15-20kg</t>
        </is>
      </c>
      <c r="E65" s="11" t="inlineStr">
        <is>
          <t>Bình Thuận</t>
        </is>
      </c>
      <c r="F65" s="11" t="n">
        <v>173.5</v>
      </c>
      <c r="G65" s="11" t="n">
        <v>2922.74</v>
      </c>
      <c r="H65" s="11" t="n">
        <v>0</v>
      </c>
      <c r="I65" s="11" t="n">
        <v>7</v>
      </c>
    </row>
    <row r="66" ht="15.75" customHeight="1" s="57">
      <c r="A66" s="39" t="inlineStr">
        <is>
          <t>2026-07-01</t>
        </is>
      </c>
      <c r="B66" s="11" t="inlineStr">
        <is>
          <t>ecom</t>
        </is>
      </c>
      <c r="C66" s="11" t="inlineStr">
        <is>
          <t>Shopee Ecom</t>
        </is>
      </c>
      <c r="D66" s="11" t="inlineStr">
        <is>
          <t>04.15-20kg</t>
        </is>
      </c>
      <c r="E66" s="11" t="inlineStr">
        <is>
          <t>Khánh Hòa</t>
        </is>
      </c>
      <c r="F66" s="11" t="n">
        <v>166.79</v>
      </c>
      <c r="G66" s="11" t="n">
        <v>2809.7</v>
      </c>
      <c r="H66" s="11" t="n">
        <v>0</v>
      </c>
      <c r="I66" s="11" t="n">
        <v>7</v>
      </c>
    </row>
    <row r="67" ht="15.75" customHeight="1" s="57">
      <c r="A67" s="39" t="inlineStr">
        <is>
          <t>2026-07-01</t>
        </is>
      </c>
      <c r="B67" s="11" t="inlineStr">
        <is>
          <t>ecom</t>
        </is>
      </c>
      <c r="C67" s="11" t="inlineStr">
        <is>
          <t>Shopee Ecom</t>
        </is>
      </c>
      <c r="D67" s="11" t="inlineStr">
        <is>
          <t>04.15-20kg</t>
        </is>
      </c>
      <c r="E67" s="11" t="inlineStr">
        <is>
          <t>Lâm Đồng</t>
        </is>
      </c>
      <c r="F67" s="11" t="n">
        <v>190.75</v>
      </c>
      <c r="G67" s="11" t="n">
        <v>3213.4</v>
      </c>
      <c r="H67" s="11" t="n">
        <v>0</v>
      </c>
      <c r="I67" s="11" t="n">
        <v>7</v>
      </c>
    </row>
    <row r="68" ht="15.75" customHeight="1" s="57">
      <c r="A68" s="39" t="inlineStr">
        <is>
          <t>2026-07-01</t>
        </is>
      </c>
      <c r="B68" s="11" t="inlineStr">
        <is>
          <t>ecom</t>
        </is>
      </c>
      <c r="C68" s="11" t="inlineStr">
        <is>
          <t>Shopee Ecom</t>
        </is>
      </c>
      <c r="D68" s="11" t="inlineStr">
        <is>
          <t>04.15-20kg</t>
        </is>
      </c>
      <c r="E68" s="11" t="inlineStr">
        <is>
          <t>Ninh Thuận</t>
        </is>
      </c>
      <c r="F68" s="11" t="n">
        <v>51.28</v>
      </c>
      <c r="G68" s="11" t="n">
        <v>863.9</v>
      </c>
      <c r="H68" s="11" t="n">
        <v>0</v>
      </c>
      <c r="I68" s="11" t="n">
        <v>7</v>
      </c>
    </row>
    <row r="69" ht="15.75" customHeight="1" s="57">
      <c r="A69" s="39" t="inlineStr">
        <is>
          <t>2026-07-01</t>
        </is>
      </c>
      <c r="B69" s="11" t="inlineStr">
        <is>
          <t>ecom</t>
        </is>
      </c>
      <c r="C69" s="11" t="inlineStr">
        <is>
          <t>Shopee Ecom</t>
        </is>
      </c>
      <c r="D69" s="11" t="inlineStr">
        <is>
          <t>04.15-20kg</t>
        </is>
      </c>
      <c r="E69" s="11" t="inlineStr">
        <is>
          <t>Đắk Nông</t>
        </is>
      </c>
      <c r="F69" s="11" t="n">
        <v>46.97</v>
      </c>
      <c r="G69" s="11" t="n">
        <v>791.24</v>
      </c>
      <c r="H69" s="11" t="n">
        <v>0</v>
      </c>
      <c r="I69" s="11" t="n">
        <v>7</v>
      </c>
    </row>
    <row r="70" ht="15.75" customHeight="1" s="57">
      <c r="A70" s="39" t="inlineStr">
        <is>
          <t>2026-07-01</t>
        </is>
      </c>
      <c r="B70" s="11" t="inlineStr">
        <is>
          <t>ecom</t>
        </is>
      </c>
      <c r="C70" s="11" t="inlineStr">
        <is>
          <t>Shopee Ecom</t>
        </is>
      </c>
      <c r="D70" s="11" t="inlineStr">
        <is>
          <t>05.&gt;=20kg</t>
        </is>
      </c>
      <c r="E70" s="11" t="inlineStr">
        <is>
          <t>Bình Thuận</t>
        </is>
      </c>
      <c r="F70" s="11" t="n">
        <v>268.4</v>
      </c>
      <c r="G70" s="11" t="n">
        <v>9453.1</v>
      </c>
      <c r="H70" s="11" t="n">
        <v>0</v>
      </c>
      <c r="I70" s="11" t="n">
        <v>7</v>
      </c>
    </row>
    <row r="71" ht="15.75" customHeight="1" s="57">
      <c r="A71" s="39" t="inlineStr">
        <is>
          <t>2026-07-01</t>
        </is>
      </c>
      <c r="B71" s="11" t="inlineStr">
        <is>
          <t>ecom</t>
        </is>
      </c>
      <c r="C71" s="11" t="inlineStr">
        <is>
          <t>Shopee Ecom</t>
        </is>
      </c>
      <c r="D71" s="11" t="inlineStr">
        <is>
          <t>05.&gt;=20kg</t>
        </is>
      </c>
      <c r="E71" s="11" t="inlineStr">
        <is>
          <t>Khánh Hòa</t>
        </is>
      </c>
      <c r="F71" s="11" t="n">
        <v>288.53</v>
      </c>
      <c r="G71" s="11" t="n">
        <v>10162.08</v>
      </c>
      <c r="H71" s="11" t="n">
        <v>0</v>
      </c>
      <c r="I71" s="11" t="n">
        <v>7</v>
      </c>
    </row>
    <row r="72" ht="15.75" customHeight="1" s="57">
      <c r="A72" s="39" t="inlineStr">
        <is>
          <t>2026-07-01</t>
        </is>
      </c>
      <c r="B72" s="11" t="inlineStr">
        <is>
          <t>ecom</t>
        </is>
      </c>
      <c r="C72" s="11" t="inlineStr">
        <is>
          <t>Shopee Ecom</t>
        </is>
      </c>
      <c r="D72" s="11" t="inlineStr">
        <is>
          <t>05.&gt;=20kg</t>
        </is>
      </c>
      <c r="E72" s="11" t="inlineStr">
        <is>
          <t>Lâm Đồng</t>
        </is>
      </c>
      <c r="F72" s="11" t="n">
        <v>311.53</v>
      </c>
      <c r="G72" s="11" t="n">
        <v>10972.35</v>
      </c>
      <c r="H72" s="11" t="n">
        <v>0</v>
      </c>
      <c r="I72" s="11" t="n">
        <v>7</v>
      </c>
    </row>
    <row r="73" ht="15.75" customHeight="1" s="57">
      <c r="A73" s="39" t="inlineStr">
        <is>
          <t>2026-07-01</t>
        </is>
      </c>
      <c r="B73" s="11" t="inlineStr">
        <is>
          <t>ecom</t>
        </is>
      </c>
      <c r="C73" s="11" t="inlineStr">
        <is>
          <t>Shopee Ecom</t>
        </is>
      </c>
      <c r="D73" s="11" t="inlineStr">
        <is>
          <t>05.&gt;=20kg</t>
        </is>
      </c>
      <c r="E73" s="11" t="inlineStr">
        <is>
          <t>Ninh Thuận</t>
        </is>
      </c>
      <c r="F73" s="11" t="n">
        <v>97.77</v>
      </c>
      <c r="G73" s="11" t="n">
        <v>3443.63</v>
      </c>
      <c r="H73" s="11" t="n">
        <v>0</v>
      </c>
      <c r="I73" s="11" t="n">
        <v>7</v>
      </c>
    </row>
    <row r="74" ht="15.75" customHeight="1" s="57">
      <c r="A74" s="39" t="inlineStr">
        <is>
          <t>2026-07-01</t>
        </is>
      </c>
      <c r="B74" s="11" t="inlineStr">
        <is>
          <t>ecom</t>
        </is>
      </c>
      <c r="C74" s="11" t="inlineStr">
        <is>
          <t>Shopee Ecom</t>
        </is>
      </c>
      <c r="D74" s="11" t="inlineStr">
        <is>
          <t>05.&gt;=20kg</t>
        </is>
      </c>
      <c r="E74" s="11" t="inlineStr">
        <is>
          <t>Đắk Nông</t>
        </is>
      </c>
      <c r="F74" s="11" t="n">
        <v>77.16</v>
      </c>
      <c r="G74" s="11" t="n">
        <v>2717.77</v>
      </c>
      <c r="H74" s="11" t="n">
        <v>0</v>
      </c>
      <c r="I74" s="11" t="n">
        <v>7</v>
      </c>
    </row>
    <row r="75" ht="15.75" customHeight="1" s="57">
      <c r="A75" s="39" t="inlineStr">
        <is>
          <t>2026-07-01</t>
        </is>
      </c>
      <c r="B75" s="11" t="inlineStr">
        <is>
          <t>ecom</t>
        </is>
      </c>
      <c r="C75" s="11" t="inlineStr">
        <is>
          <t>TTS</t>
        </is>
      </c>
      <c r="D75" s="11" t="inlineStr">
        <is>
          <t>01.0-5kg</t>
        </is>
      </c>
      <c r="E75" s="11" t="inlineStr">
        <is>
          <t>Bình Thuận</t>
        </is>
      </c>
      <c r="F75" s="11" t="n">
        <v>42109.8</v>
      </c>
      <c r="G75" s="11" t="n">
        <v>32277.16</v>
      </c>
      <c r="H75" s="11" t="n">
        <v>0</v>
      </c>
      <c r="I75" s="11" t="n">
        <v>7</v>
      </c>
    </row>
    <row r="76" ht="15.75" customHeight="1" s="57">
      <c r="A76" s="39" t="inlineStr">
        <is>
          <t>2026-07-01</t>
        </is>
      </c>
      <c r="B76" s="11" t="inlineStr">
        <is>
          <t>ecom</t>
        </is>
      </c>
      <c r="C76" s="11" t="inlineStr">
        <is>
          <t>TTS</t>
        </is>
      </c>
      <c r="D76" s="11" t="inlineStr">
        <is>
          <t>01.0-5kg</t>
        </is>
      </c>
      <c r="E76" s="11" t="inlineStr">
        <is>
          <t>Khánh Hòa</t>
        </is>
      </c>
      <c r="F76" s="11" t="n">
        <v>24025.79</v>
      </c>
      <c r="G76" s="11" t="n">
        <v>18415.77</v>
      </c>
      <c r="H76" s="11" t="n">
        <v>0</v>
      </c>
      <c r="I76" s="11" t="n">
        <v>7</v>
      </c>
    </row>
    <row r="77" ht="15.75" customHeight="1" s="57">
      <c r="A77" s="39" t="inlineStr">
        <is>
          <t>2026-07-01</t>
        </is>
      </c>
      <c r="B77" s="11" t="inlineStr">
        <is>
          <t>ecom</t>
        </is>
      </c>
      <c r="C77" s="11" t="inlineStr">
        <is>
          <t>TTS</t>
        </is>
      </c>
      <c r="D77" s="11" t="inlineStr">
        <is>
          <t>01.0-5kg</t>
        </is>
      </c>
      <c r="E77" s="11" t="inlineStr">
        <is>
          <t>Lâm Đồng</t>
        </is>
      </c>
      <c r="F77" s="11" t="n">
        <v>43938.14</v>
      </c>
      <c r="G77" s="11" t="n">
        <v>33678.59</v>
      </c>
      <c r="H77" s="11" t="n">
        <v>0</v>
      </c>
      <c r="I77" s="11" t="n">
        <v>7</v>
      </c>
    </row>
    <row r="78" ht="15.75" customHeight="1" s="57">
      <c r="A78" s="39" t="inlineStr">
        <is>
          <t>2026-07-01</t>
        </is>
      </c>
      <c r="B78" s="11" t="inlineStr">
        <is>
          <t>ecom</t>
        </is>
      </c>
      <c r="C78" s="11" t="inlineStr">
        <is>
          <t>TTS</t>
        </is>
      </c>
      <c r="D78" s="11" t="inlineStr">
        <is>
          <t>01.0-5kg</t>
        </is>
      </c>
      <c r="E78" s="11" t="inlineStr">
        <is>
          <t>Ninh Thuận</t>
        </is>
      </c>
      <c r="F78" s="11" t="n">
        <v>14672.33</v>
      </c>
      <c r="G78" s="11" t="n">
        <v>11246.34</v>
      </c>
      <c r="H78" s="11" t="n">
        <v>0</v>
      </c>
      <c r="I78" s="11" t="n">
        <v>7</v>
      </c>
    </row>
    <row r="79" ht="15.75" customHeight="1" s="57">
      <c r="A79" s="39" t="inlineStr">
        <is>
          <t>2026-07-01</t>
        </is>
      </c>
      <c r="B79" s="11" t="inlineStr">
        <is>
          <t>ecom</t>
        </is>
      </c>
      <c r="C79" s="11" t="inlineStr">
        <is>
          <t>TTS</t>
        </is>
      </c>
      <c r="D79" s="11" t="inlineStr">
        <is>
          <t>01.0-5kg</t>
        </is>
      </c>
      <c r="E79" s="11" t="inlineStr">
        <is>
          <t>Đắk Nông</t>
        </is>
      </c>
      <c r="F79" s="11" t="n">
        <v>9270.709999999999</v>
      </c>
      <c r="G79" s="11" t="n">
        <v>7106</v>
      </c>
      <c r="H79" s="11" t="n">
        <v>0</v>
      </c>
      <c r="I79" s="11" t="n">
        <v>7</v>
      </c>
    </row>
    <row r="80" ht="15.75" customHeight="1" s="57">
      <c r="A80" s="39" t="inlineStr">
        <is>
          <t>2026-07-01</t>
        </is>
      </c>
      <c r="B80" s="11" t="inlineStr">
        <is>
          <t>ecom</t>
        </is>
      </c>
      <c r="C80" s="11" t="inlineStr">
        <is>
          <t>TTS</t>
        </is>
      </c>
      <c r="D80" s="11" t="inlineStr">
        <is>
          <t>02.5-10kg</t>
        </is>
      </c>
      <c r="E80" s="11" t="inlineStr">
        <is>
          <t>Bình Thuận</t>
        </is>
      </c>
      <c r="F80" s="11" t="n">
        <v>1204.78</v>
      </c>
      <c r="G80" s="11" t="n">
        <v>7648.04</v>
      </c>
      <c r="H80" s="11" t="n">
        <v>0</v>
      </c>
      <c r="I80" s="11" t="n">
        <v>7</v>
      </c>
    </row>
    <row r="81" ht="15.75" customHeight="1" s="57">
      <c r="A81" s="39" t="inlineStr">
        <is>
          <t>2026-07-01</t>
        </is>
      </c>
      <c r="B81" s="11" t="inlineStr">
        <is>
          <t>ecom</t>
        </is>
      </c>
      <c r="C81" s="11" t="inlineStr">
        <is>
          <t>TTS</t>
        </is>
      </c>
      <c r="D81" s="11" t="inlineStr">
        <is>
          <t>02.5-10kg</t>
        </is>
      </c>
      <c r="E81" s="11" t="inlineStr">
        <is>
          <t>Khánh Hòa</t>
        </is>
      </c>
      <c r="F81" s="11" t="n">
        <v>793.63</v>
      </c>
      <c r="G81" s="11" t="n">
        <v>5038.02</v>
      </c>
      <c r="H81" s="11" t="n">
        <v>0</v>
      </c>
      <c r="I81" s="11" t="n">
        <v>7</v>
      </c>
    </row>
    <row r="82" ht="15.75" customHeight="1" s="57">
      <c r="A82" s="39" t="inlineStr">
        <is>
          <t>2026-07-01</t>
        </is>
      </c>
      <c r="B82" s="11" t="inlineStr">
        <is>
          <t>ecom</t>
        </is>
      </c>
      <c r="C82" s="11" t="inlineStr">
        <is>
          <t>TTS</t>
        </is>
      </c>
      <c r="D82" s="11" t="inlineStr">
        <is>
          <t>02.5-10kg</t>
        </is>
      </c>
      <c r="E82" s="11" t="inlineStr">
        <is>
          <t>Lâm Đồng</t>
        </is>
      </c>
      <c r="F82" s="11" t="n">
        <v>1729.3</v>
      </c>
      <c r="G82" s="11" t="n">
        <v>10977.76</v>
      </c>
      <c r="H82" s="11" t="n">
        <v>0</v>
      </c>
      <c r="I82" s="11" t="n">
        <v>7</v>
      </c>
    </row>
    <row r="83" ht="15.75" customHeight="1" s="57">
      <c r="A83" s="39" t="inlineStr">
        <is>
          <t>2026-07-01</t>
        </is>
      </c>
      <c r="B83" s="11" t="inlineStr">
        <is>
          <t>ecom</t>
        </is>
      </c>
      <c r="C83" s="11" t="inlineStr">
        <is>
          <t>TTS</t>
        </is>
      </c>
      <c r="D83" s="11" t="inlineStr">
        <is>
          <t>02.5-10kg</t>
        </is>
      </c>
      <c r="E83" s="11" t="inlineStr">
        <is>
          <t>Ninh Thuận</t>
        </is>
      </c>
      <c r="F83" s="11" t="n">
        <v>717.39</v>
      </c>
      <c r="G83" s="11" t="n">
        <v>4554.08</v>
      </c>
      <c r="H83" s="11" t="n">
        <v>0</v>
      </c>
      <c r="I83" s="11" t="n">
        <v>7</v>
      </c>
    </row>
    <row r="84" ht="15.75" customHeight="1" s="57">
      <c r="A84" s="39" t="inlineStr">
        <is>
          <t>2026-07-01</t>
        </is>
      </c>
      <c r="B84" s="11" t="inlineStr">
        <is>
          <t>ecom</t>
        </is>
      </c>
      <c r="C84" s="11" t="inlineStr">
        <is>
          <t>TTS</t>
        </is>
      </c>
      <c r="D84" s="11" t="inlineStr">
        <is>
          <t>02.5-10kg</t>
        </is>
      </c>
      <c r="E84" s="11" t="inlineStr">
        <is>
          <t>Đắk Nông</t>
        </is>
      </c>
      <c r="F84" s="11" t="n">
        <v>278.23</v>
      </c>
      <c r="G84" s="11" t="n">
        <v>1766.2</v>
      </c>
      <c r="H84" s="11" t="n">
        <v>0</v>
      </c>
      <c r="I84" s="11" t="n">
        <v>7</v>
      </c>
    </row>
    <row r="85" ht="15.75" customHeight="1" s="57">
      <c r="A85" s="39" t="inlineStr">
        <is>
          <t>2026-07-01</t>
        </is>
      </c>
      <c r="B85" s="11" t="inlineStr">
        <is>
          <t>ecom</t>
        </is>
      </c>
      <c r="C85" s="11" t="inlineStr">
        <is>
          <t>TTS</t>
        </is>
      </c>
      <c r="D85" s="11" t="inlineStr">
        <is>
          <t>03.10-15kg</t>
        </is>
      </c>
      <c r="E85" s="11" t="inlineStr">
        <is>
          <t>Bình Thuận</t>
        </is>
      </c>
      <c r="F85" s="11" t="n">
        <v>427.44</v>
      </c>
      <c r="G85" s="11" t="n">
        <v>4927.25</v>
      </c>
      <c r="H85" s="11" t="n">
        <v>0</v>
      </c>
      <c r="I85" s="11" t="n">
        <v>7</v>
      </c>
    </row>
    <row r="86" ht="15.75" customHeight="1" s="57">
      <c r="A86" s="39" t="inlineStr">
        <is>
          <t>2026-07-01</t>
        </is>
      </c>
      <c r="B86" s="11" t="inlineStr">
        <is>
          <t>ecom</t>
        </is>
      </c>
      <c r="C86" s="11" t="inlineStr">
        <is>
          <t>TTS</t>
        </is>
      </c>
      <c r="D86" s="11" t="inlineStr">
        <is>
          <t>03.10-15kg</t>
        </is>
      </c>
      <c r="E86" s="11" t="inlineStr">
        <is>
          <t>Khánh Hòa</t>
        </is>
      </c>
      <c r="F86" s="11" t="n">
        <v>192.22</v>
      </c>
      <c r="G86" s="11" t="n">
        <v>2215.76</v>
      </c>
      <c r="H86" s="11" t="n">
        <v>0</v>
      </c>
      <c r="I86" s="11" t="n">
        <v>7</v>
      </c>
    </row>
    <row r="87" ht="15.75" customHeight="1" s="57">
      <c r="A87" s="39" t="inlineStr">
        <is>
          <t>2026-07-01</t>
        </is>
      </c>
      <c r="B87" s="11" t="inlineStr">
        <is>
          <t>ecom</t>
        </is>
      </c>
      <c r="C87" s="11" t="inlineStr">
        <is>
          <t>TTS</t>
        </is>
      </c>
      <c r="D87" s="11" t="inlineStr">
        <is>
          <t>03.10-15kg</t>
        </is>
      </c>
      <c r="E87" s="11" t="inlineStr">
        <is>
          <t>Lâm Đồng</t>
        </is>
      </c>
      <c r="F87" s="11" t="n">
        <v>119.24</v>
      </c>
      <c r="G87" s="11" t="n">
        <v>1374.52</v>
      </c>
      <c r="H87" s="11" t="n">
        <v>0</v>
      </c>
      <c r="I87" s="11" t="n">
        <v>7</v>
      </c>
    </row>
    <row r="88" ht="15.75" customHeight="1" s="57">
      <c r="A88" s="39" t="inlineStr">
        <is>
          <t>2026-07-01</t>
        </is>
      </c>
      <c r="B88" s="11" t="inlineStr">
        <is>
          <t>ecom</t>
        </is>
      </c>
      <c r="C88" s="11" t="inlineStr">
        <is>
          <t>TTS</t>
        </is>
      </c>
      <c r="D88" s="11" t="inlineStr">
        <is>
          <t>03.10-15kg</t>
        </is>
      </c>
      <c r="E88" s="11" t="inlineStr">
        <is>
          <t>Ninh Thuận</t>
        </is>
      </c>
      <c r="F88" s="11" t="n">
        <v>108.16</v>
      </c>
      <c r="G88" s="11" t="n">
        <v>1246.83</v>
      </c>
      <c r="H88" s="11" t="n">
        <v>0</v>
      </c>
      <c r="I88" s="11" t="n">
        <v>7</v>
      </c>
    </row>
    <row r="89" ht="15.75" customHeight="1" s="57">
      <c r="A89" s="39" t="inlineStr">
        <is>
          <t>2026-07-01</t>
        </is>
      </c>
      <c r="B89" s="11" t="inlineStr">
        <is>
          <t>ecom</t>
        </is>
      </c>
      <c r="C89" s="11" t="inlineStr">
        <is>
          <t>TTS</t>
        </is>
      </c>
      <c r="D89" s="11" t="inlineStr">
        <is>
          <t>03.10-15kg</t>
        </is>
      </c>
      <c r="E89" s="11" t="inlineStr">
        <is>
          <t>Đắk Nông</t>
        </is>
      </c>
      <c r="F89" s="11" t="n">
        <v>83.40000000000001</v>
      </c>
      <c r="G89" s="11" t="n">
        <v>961.41</v>
      </c>
      <c r="H89" s="11" t="n">
        <v>0</v>
      </c>
      <c r="I89" s="11" t="n">
        <v>7</v>
      </c>
    </row>
    <row r="90" ht="15.75" customHeight="1" s="57">
      <c r="A90" s="39" t="inlineStr">
        <is>
          <t>2026-07-01</t>
        </is>
      </c>
      <c r="B90" s="11" t="inlineStr">
        <is>
          <t>ecom</t>
        </is>
      </c>
      <c r="C90" s="11" t="inlineStr">
        <is>
          <t>TTS</t>
        </is>
      </c>
      <c r="D90" s="11" t="inlineStr">
        <is>
          <t>04.15-20kg</t>
        </is>
      </c>
      <c r="E90" s="11" t="inlineStr">
        <is>
          <t>Bình Thuận</t>
        </is>
      </c>
      <c r="F90" s="11" t="n">
        <v>412.45</v>
      </c>
      <c r="G90" s="11" t="n">
        <v>6821.87</v>
      </c>
      <c r="H90" s="11" t="n">
        <v>0</v>
      </c>
      <c r="I90" s="11" t="n">
        <v>7</v>
      </c>
    </row>
    <row r="91" ht="15.75" customHeight="1" s="57">
      <c r="A91" s="39" t="inlineStr">
        <is>
          <t>2026-07-01</t>
        </is>
      </c>
      <c r="B91" s="11" t="inlineStr">
        <is>
          <t>ecom</t>
        </is>
      </c>
      <c r="C91" s="11" t="inlineStr">
        <is>
          <t>TTS</t>
        </is>
      </c>
      <c r="D91" s="11" t="inlineStr">
        <is>
          <t>04.15-20kg</t>
        </is>
      </c>
      <c r="E91" s="11" t="inlineStr">
        <is>
          <t>Khánh Hòa</t>
        </is>
      </c>
      <c r="F91" s="11" t="n">
        <v>31.28</v>
      </c>
      <c r="G91" s="11" t="n">
        <v>517.3</v>
      </c>
      <c r="H91" s="11" t="n">
        <v>0</v>
      </c>
      <c r="I91" s="11" t="n">
        <v>7</v>
      </c>
    </row>
    <row r="92" ht="15.75" customHeight="1" s="57">
      <c r="A92" s="39" t="inlineStr">
        <is>
          <t>2026-07-01</t>
        </is>
      </c>
      <c r="B92" s="11" t="inlineStr">
        <is>
          <t>ecom</t>
        </is>
      </c>
      <c r="C92" s="11" t="inlineStr">
        <is>
          <t>TTS</t>
        </is>
      </c>
      <c r="D92" s="11" t="inlineStr">
        <is>
          <t>04.15-20kg</t>
        </is>
      </c>
      <c r="E92" s="11" t="inlineStr">
        <is>
          <t>Lâm Đồng</t>
        </is>
      </c>
      <c r="F92" s="11" t="n">
        <v>406.59</v>
      </c>
      <c r="G92" s="11" t="n">
        <v>6724.87</v>
      </c>
      <c r="H92" s="11" t="n">
        <v>0</v>
      </c>
      <c r="I92" s="11" t="n">
        <v>7</v>
      </c>
    </row>
    <row r="93" ht="15.75" customHeight="1" s="57">
      <c r="A93" s="39" t="inlineStr">
        <is>
          <t>2026-07-01</t>
        </is>
      </c>
      <c r="B93" s="11" t="inlineStr">
        <is>
          <t>ecom</t>
        </is>
      </c>
      <c r="C93" s="11" t="inlineStr">
        <is>
          <t>TTS</t>
        </is>
      </c>
      <c r="D93" s="11" t="inlineStr">
        <is>
          <t>04.15-20kg</t>
        </is>
      </c>
      <c r="E93" s="11" t="inlineStr">
        <is>
          <t>Ninh Thuận</t>
        </is>
      </c>
      <c r="F93" s="11" t="n">
        <v>56.69</v>
      </c>
      <c r="G93" s="11" t="n">
        <v>937.6</v>
      </c>
      <c r="H93" s="11" t="n">
        <v>0</v>
      </c>
      <c r="I93" s="11" t="n">
        <v>7</v>
      </c>
    </row>
    <row r="94" ht="15.75" customHeight="1" s="57">
      <c r="A94" s="39" t="inlineStr">
        <is>
          <t>2026-07-01</t>
        </is>
      </c>
      <c r="B94" s="11" t="inlineStr">
        <is>
          <t>ecom</t>
        </is>
      </c>
      <c r="C94" s="11" t="inlineStr">
        <is>
          <t>TTS</t>
        </is>
      </c>
      <c r="D94" s="11" t="inlineStr">
        <is>
          <t>04.15-20kg</t>
        </is>
      </c>
      <c r="E94" s="11" t="inlineStr">
        <is>
          <t>Đắk Nông</t>
        </is>
      </c>
      <c r="F94" s="11" t="n">
        <v>5.21</v>
      </c>
      <c r="G94" s="11" t="n">
        <v>86.22</v>
      </c>
      <c r="H94" s="11" t="n">
        <v>0</v>
      </c>
      <c r="I94" s="11" t="n">
        <v>7</v>
      </c>
    </row>
    <row r="95" ht="15.75" customHeight="1" s="57">
      <c r="A95" s="39" t="inlineStr">
        <is>
          <t>2026-07-01</t>
        </is>
      </c>
      <c r="B95" s="11" t="inlineStr">
        <is>
          <t>ecom</t>
        </is>
      </c>
      <c r="C95" s="11" t="inlineStr">
        <is>
          <t>TTS</t>
        </is>
      </c>
      <c r="D95" s="11" t="inlineStr">
        <is>
          <t>05.&gt;=20kg</t>
        </is>
      </c>
      <c r="E95" s="11" t="inlineStr">
        <is>
          <t>Bình Thuận</t>
        </is>
      </c>
      <c r="F95" s="11" t="n">
        <v>92.52</v>
      </c>
      <c r="G95" s="11" t="n">
        <v>3320</v>
      </c>
      <c r="H95" s="11" t="n">
        <v>0</v>
      </c>
      <c r="I95" s="11" t="n">
        <v>7</v>
      </c>
    </row>
    <row r="96" ht="15.75" customHeight="1" s="57">
      <c r="A96" s="39" t="inlineStr">
        <is>
          <t>2026-07-01</t>
        </is>
      </c>
      <c r="B96" s="11" t="inlineStr">
        <is>
          <t>ecom</t>
        </is>
      </c>
      <c r="C96" s="11" t="inlineStr">
        <is>
          <t>TTS</t>
        </is>
      </c>
      <c r="D96" s="11" t="inlineStr">
        <is>
          <t>05.&gt;=20kg</t>
        </is>
      </c>
      <c r="E96" s="11" t="inlineStr">
        <is>
          <t>Khánh Hòa</t>
        </is>
      </c>
      <c r="F96" s="11" t="n">
        <v>285.39</v>
      </c>
      <c r="G96" s="11" t="n">
        <v>10240.56</v>
      </c>
      <c r="H96" s="11" t="n">
        <v>0</v>
      </c>
      <c r="I96" s="11" t="n">
        <v>7</v>
      </c>
    </row>
    <row r="97" ht="15.75" customHeight="1" s="57">
      <c r="A97" s="39" t="inlineStr">
        <is>
          <t>2026-07-01</t>
        </is>
      </c>
      <c r="B97" s="11" t="inlineStr">
        <is>
          <t>ecom</t>
        </is>
      </c>
      <c r="C97" s="11" t="inlineStr">
        <is>
          <t>TTS</t>
        </is>
      </c>
      <c r="D97" s="11" t="inlineStr">
        <is>
          <t>05.&gt;=20kg</t>
        </is>
      </c>
      <c r="E97" s="11" t="inlineStr">
        <is>
          <t>Lâm Đồng</t>
        </is>
      </c>
      <c r="F97" s="11" t="n">
        <v>912.87</v>
      </c>
      <c r="G97" s="11" t="n">
        <v>32755.76</v>
      </c>
      <c r="H97" s="11" t="n">
        <v>0</v>
      </c>
      <c r="I97" s="11" t="n">
        <v>7</v>
      </c>
    </row>
    <row r="98" ht="15.75" customHeight="1" s="57">
      <c r="A98" s="39" t="inlineStr">
        <is>
          <t>2026-07-01</t>
        </is>
      </c>
      <c r="B98" s="11" t="inlineStr">
        <is>
          <t>ecom</t>
        </is>
      </c>
      <c r="C98" s="11" t="inlineStr">
        <is>
          <t>TTS</t>
        </is>
      </c>
      <c r="D98" s="11" t="inlineStr">
        <is>
          <t>05.&gt;=20kg</t>
        </is>
      </c>
      <c r="E98" s="11" t="inlineStr">
        <is>
          <t>Ninh Thuận</t>
        </is>
      </c>
      <c r="F98" s="11" t="n">
        <v>13.03</v>
      </c>
      <c r="G98" s="11" t="n">
        <v>467.61</v>
      </c>
      <c r="H98" s="11" t="n">
        <v>0</v>
      </c>
      <c r="I98" s="11" t="n">
        <v>7</v>
      </c>
    </row>
    <row r="99" ht="15.75" customHeight="1" s="57">
      <c r="A99" s="39" t="inlineStr">
        <is>
          <t>2026-07-01</t>
        </is>
      </c>
      <c r="B99" s="11" t="inlineStr">
        <is>
          <t>ecom</t>
        </is>
      </c>
      <c r="C99" s="11" t="inlineStr">
        <is>
          <t>TTS</t>
        </is>
      </c>
      <c r="D99" s="11" t="inlineStr">
        <is>
          <t>05.&gt;=20kg</t>
        </is>
      </c>
      <c r="E99" s="11" t="inlineStr">
        <is>
          <t>Đắk Nông</t>
        </is>
      </c>
      <c r="F99" s="11" t="n">
        <v>11.08</v>
      </c>
      <c r="G99" s="11" t="n">
        <v>397.46</v>
      </c>
      <c r="H99" s="11" t="n">
        <v>0</v>
      </c>
      <c r="I99" s="11" t="n">
        <v>7</v>
      </c>
    </row>
    <row r="100" ht="15.75" customHeight="1" s="57">
      <c r="A100" s="39" t="inlineStr">
        <is>
          <t>2026-08-01</t>
        </is>
      </c>
      <c r="B100" s="11" t="inlineStr">
        <is>
          <t>sme</t>
        </is>
      </c>
      <c r="C100" s="11" t="inlineStr">
        <is>
          <t>SME</t>
        </is>
      </c>
      <c r="D100" s="11" t="inlineStr">
        <is>
          <t>01.0-5kg</t>
        </is>
      </c>
      <c r="E100" s="11" t="inlineStr">
        <is>
          <t>Bình Thuận</t>
        </is>
      </c>
      <c r="F100" s="11" t="n">
        <v>27694.49</v>
      </c>
      <c r="G100" s="11" t="n">
        <v>19175.66</v>
      </c>
      <c r="H100" s="11" t="n">
        <v>0</v>
      </c>
      <c r="I100" s="11" t="n">
        <v>8</v>
      </c>
    </row>
    <row r="101" ht="15.75" customHeight="1" s="57">
      <c r="A101" s="39" t="inlineStr">
        <is>
          <t>2026-08-01</t>
        </is>
      </c>
      <c r="B101" s="11" t="inlineStr">
        <is>
          <t>sme</t>
        </is>
      </c>
      <c r="C101" s="11" t="inlineStr">
        <is>
          <t>SME</t>
        </is>
      </c>
      <c r="D101" s="11" t="inlineStr">
        <is>
          <t>01.0-5kg</t>
        </is>
      </c>
      <c r="E101" s="11" t="inlineStr">
        <is>
          <t>Khánh Hòa</t>
        </is>
      </c>
      <c r="F101" s="11" t="n">
        <v>64926.2</v>
      </c>
      <c r="G101" s="11" t="n">
        <v>44954.9</v>
      </c>
      <c r="H101" s="11" t="n">
        <v>0</v>
      </c>
      <c r="I101" s="11" t="n">
        <v>8</v>
      </c>
    </row>
    <row r="102" ht="15.75" customHeight="1" s="57">
      <c r="A102" s="39" t="inlineStr">
        <is>
          <t>2026-08-01</t>
        </is>
      </c>
      <c r="B102" s="11" t="inlineStr">
        <is>
          <t>sme</t>
        </is>
      </c>
      <c r="C102" s="11" t="inlineStr">
        <is>
          <t>SME</t>
        </is>
      </c>
      <c r="D102" s="11" t="inlineStr">
        <is>
          <t>01.0-5kg</t>
        </is>
      </c>
      <c r="E102" s="11" t="inlineStr">
        <is>
          <t>Lâm Đồng</t>
        </is>
      </c>
      <c r="F102" s="11" t="n">
        <v>54259.38</v>
      </c>
      <c r="G102" s="11" t="n">
        <v>37569.19</v>
      </c>
      <c r="H102" s="11" t="n">
        <v>0</v>
      </c>
      <c r="I102" s="11" t="n">
        <v>8</v>
      </c>
    </row>
    <row r="103" ht="15.75" customHeight="1" s="57">
      <c r="A103" s="39" t="inlineStr">
        <is>
          <t>2026-08-01</t>
        </is>
      </c>
      <c r="B103" s="11" t="inlineStr">
        <is>
          <t>sme</t>
        </is>
      </c>
      <c r="C103" s="11" t="inlineStr">
        <is>
          <t>SME</t>
        </is>
      </c>
      <c r="D103" s="11" t="inlineStr">
        <is>
          <t>01.0-5kg</t>
        </is>
      </c>
      <c r="E103" s="11" t="inlineStr">
        <is>
          <t>Ninh Thuận</t>
        </is>
      </c>
      <c r="F103" s="11" t="n">
        <v>22318.94</v>
      </c>
      <c r="G103" s="11" t="n">
        <v>15453.63</v>
      </c>
      <c r="H103" s="11" t="n">
        <v>0</v>
      </c>
      <c r="I103" s="11" t="n">
        <v>8</v>
      </c>
    </row>
    <row r="104" ht="15.75" customHeight="1" s="57">
      <c r="A104" s="39" t="inlineStr">
        <is>
          <t>2026-08-01</t>
        </is>
      </c>
      <c r="B104" s="11" t="inlineStr">
        <is>
          <t>sme</t>
        </is>
      </c>
      <c r="C104" s="11" t="inlineStr">
        <is>
          <t>SME</t>
        </is>
      </c>
      <c r="D104" s="11" t="inlineStr">
        <is>
          <t>01.0-5kg</t>
        </is>
      </c>
      <c r="E104" s="11" t="inlineStr">
        <is>
          <t>Đắk Nông</t>
        </is>
      </c>
      <c r="F104" s="11" t="n">
        <v>81574.64</v>
      </c>
      <c r="G104" s="11" t="n">
        <v>56482.28</v>
      </c>
      <c r="H104" s="11" t="n">
        <v>0</v>
      </c>
      <c r="I104" s="11" t="n">
        <v>8</v>
      </c>
    </row>
    <row r="105" ht="15.75" customHeight="1" s="57">
      <c r="A105" s="39" t="inlineStr">
        <is>
          <t>2026-08-01</t>
        </is>
      </c>
      <c r="B105" s="11" t="inlineStr">
        <is>
          <t>sme</t>
        </is>
      </c>
      <c r="C105" s="11" t="inlineStr">
        <is>
          <t>SME</t>
        </is>
      </c>
      <c r="D105" s="11" t="inlineStr">
        <is>
          <t>02.5-10kg</t>
        </is>
      </c>
      <c r="E105" s="11" t="inlineStr">
        <is>
          <t>Bình Thuận</t>
        </is>
      </c>
      <c r="F105" s="11" t="n">
        <v>2142.6</v>
      </c>
      <c r="G105" s="11" t="n">
        <v>13091.5</v>
      </c>
      <c r="H105" s="11" t="n">
        <v>0</v>
      </c>
      <c r="I105" s="11" t="n">
        <v>8</v>
      </c>
    </row>
    <row r="106" ht="15.75" customHeight="1" s="57">
      <c r="A106" s="39" t="inlineStr">
        <is>
          <t>2026-08-01</t>
        </is>
      </c>
      <c r="B106" s="11" t="inlineStr">
        <is>
          <t>sme</t>
        </is>
      </c>
      <c r="C106" s="11" t="inlineStr">
        <is>
          <t>SME</t>
        </is>
      </c>
      <c r="D106" s="11" t="inlineStr">
        <is>
          <t>02.5-10kg</t>
        </is>
      </c>
      <c r="E106" s="11" t="inlineStr">
        <is>
          <t>Khánh Hòa</t>
        </is>
      </c>
      <c r="F106" s="11" t="n">
        <v>4348.69</v>
      </c>
      <c r="G106" s="11" t="n">
        <v>26570.95</v>
      </c>
      <c r="H106" s="11" t="n">
        <v>0</v>
      </c>
      <c r="I106" s="11" t="n">
        <v>8</v>
      </c>
    </row>
    <row r="107" ht="15.75" customHeight="1" s="57">
      <c r="A107" s="39" t="inlineStr">
        <is>
          <t>2026-08-01</t>
        </is>
      </c>
      <c r="B107" s="11" t="inlineStr">
        <is>
          <t>sme</t>
        </is>
      </c>
      <c r="C107" s="11" t="inlineStr">
        <is>
          <t>SME</t>
        </is>
      </c>
      <c r="D107" s="11" t="inlineStr">
        <is>
          <t>02.5-10kg</t>
        </is>
      </c>
      <c r="E107" s="11" t="inlineStr">
        <is>
          <t>Lâm Đồng</t>
        </is>
      </c>
      <c r="F107" s="11" t="n">
        <v>7320.74</v>
      </c>
      <c r="G107" s="11" t="n">
        <v>44730.46</v>
      </c>
      <c r="H107" s="11" t="n">
        <v>0</v>
      </c>
      <c r="I107" s="11" t="n">
        <v>8</v>
      </c>
    </row>
    <row r="108" ht="15.75" customHeight="1" s="57">
      <c r="A108" s="39" t="inlineStr">
        <is>
          <t>2026-08-01</t>
        </is>
      </c>
      <c r="B108" s="11" t="inlineStr">
        <is>
          <t>sme</t>
        </is>
      </c>
      <c r="C108" s="11" t="inlineStr">
        <is>
          <t>SME</t>
        </is>
      </c>
      <c r="D108" s="11" t="inlineStr">
        <is>
          <t>02.5-10kg</t>
        </is>
      </c>
      <c r="E108" s="11" t="inlineStr">
        <is>
          <t>Ninh Thuận</t>
        </is>
      </c>
      <c r="F108" s="11" t="n">
        <v>1669.29</v>
      </c>
      <c r="G108" s="11" t="n">
        <v>10199.52</v>
      </c>
      <c r="H108" s="11" t="n">
        <v>0</v>
      </c>
      <c r="I108" s="11" t="n">
        <v>8</v>
      </c>
    </row>
    <row r="109" ht="15.75" customHeight="1" s="57">
      <c r="A109" s="39" t="inlineStr">
        <is>
          <t>2026-08-01</t>
        </is>
      </c>
      <c r="B109" s="11" t="inlineStr">
        <is>
          <t>sme</t>
        </is>
      </c>
      <c r="C109" s="11" t="inlineStr">
        <is>
          <t>SME</t>
        </is>
      </c>
      <c r="D109" s="11" t="inlineStr">
        <is>
          <t>02.5-10kg</t>
        </is>
      </c>
      <c r="E109" s="11" t="inlineStr">
        <is>
          <t>Đắk Nông</t>
        </is>
      </c>
      <c r="F109" s="11" t="n">
        <v>1340.28</v>
      </c>
      <c r="G109" s="11" t="n">
        <v>8189.24</v>
      </c>
      <c r="H109" s="11" t="n">
        <v>0</v>
      </c>
      <c r="I109" s="11" t="n">
        <v>8</v>
      </c>
    </row>
    <row r="110" ht="15.75" customHeight="1" s="57">
      <c r="A110" s="39" t="inlineStr">
        <is>
          <t>2026-08-01</t>
        </is>
      </c>
      <c r="B110" s="11" t="inlineStr">
        <is>
          <t>sme</t>
        </is>
      </c>
      <c r="C110" s="11" t="inlineStr">
        <is>
          <t>SME</t>
        </is>
      </c>
      <c r="D110" s="11" t="inlineStr">
        <is>
          <t>03.10-15kg</t>
        </is>
      </c>
      <c r="E110" s="11" t="inlineStr">
        <is>
          <t>Bình Thuận</t>
        </is>
      </c>
      <c r="F110" s="11" t="n">
        <v>925.84</v>
      </c>
      <c r="G110" s="11" t="n">
        <v>10457.4</v>
      </c>
      <c r="H110" s="11" t="n">
        <v>0</v>
      </c>
      <c r="I110" s="11" t="n">
        <v>8</v>
      </c>
    </row>
    <row r="111" ht="15.75" customHeight="1" s="57">
      <c r="A111" s="39" t="inlineStr">
        <is>
          <t>2026-08-01</t>
        </is>
      </c>
      <c r="B111" s="11" t="inlineStr">
        <is>
          <t>sme</t>
        </is>
      </c>
      <c r="C111" s="11" t="inlineStr">
        <is>
          <t>SME</t>
        </is>
      </c>
      <c r="D111" s="11" t="inlineStr">
        <is>
          <t>03.10-15kg</t>
        </is>
      </c>
      <c r="E111" s="11" t="inlineStr">
        <is>
          <t>Khánh Hòa</t>
        </is>
      </c>
      <c r="F111" s="11" t="n">
        <v>2532.79</v>
      </c>
      <c r="G111" s="11" t="n">
        <v>28607.9</v>
      </c>
      <c r="H111" s="11" t="n">
        <v>0</v>
      </c>
      <c r="I111" s="11" t="n">
        <v>8</v>
      </c>
    </row>
    <row r="112" ht="15.75" customHeight="1" s="57">
      <c r="A112" s="39" t="inlineStr">
        <is>
          <t>2026-08-01</t>
        </is>
      </c>
      <c r="B112" s="11" t="inlineStr">
        <is>
          <t>sme</t>
        </is>
      </c>
      <c r="C112" s="11" t="inlineStr">
        <is>
          <t>SME</t>
        </is>
      </c>
      <c r="D112" s="11" t="inlineStr">
        <is>
          <t>03.10-15kg</t>
        </is>
      </c>
      <c r="E112" s="11" t="inlineStr">
        <is>
          <t>Lâm Đồng</t>
        </is>
      </c>
      <c r="F112" s="11" t="n">
        <v>3088.07</v>
      </c>
      <c r="G112" s="11" t="n">
        <v>34879.73</v>
      </c>
      <c r="H112" s="11" t="n">
        <v>0</v>
      </c>
      <c r="I112" s="11" t="n">
        <v>8</v>
      </c>
    </row>
    <row r="113" ht="15.75" customHeight="1" s="57">
      <c r="A113" s="39" t="inlineStr">
        <is>
          <t>2026-08-01</t>
        </is>
      </c>
      <c r="B113" s="11" t="inlineStr">
        <is>
          <t>sme</t>
        </is>
      </c>
      <c r="C113" s="11" t="inlineStr">
        <is>
          <t>SME</t>
        </is>
      </c>
      <c r="D113" s="11" t="inlineStr">
        <is>
          <t>03.10-15kg</t>
        </is>
      </c>
      <c r="E113" s="11" t="inlineStr">
        <is>
          <t>Ninh Thuận</t>
        </is>
      </c>
      <c r="F113" s="11" t="n">
        <v>757.3</v>
      </c>
      <c r="G113" s="11" t="n">
        <v>8553.68</v>
      </c>
      <c r="H113" s="11" t="n">
        <v>0</v>
      </c>
      <c r="I113" s="11" t="n">
        <v>8</v>
      </c>
    </row>
    <row r="114" ht="15.75" customHeight="1" s="57">
      <c r="A114" s="39" t="inlineStr">
        <is>
          <t>2026-08-01</t>
        </is>
      </c>
      <c r="B114" s="11" t="inlineStr">
        <is>
          <t>sme</t>
        </is>
      </c>
      <c r="C114" s="11" t="inlineStr">
        <is>
          <t>SME</t>
        </is>
      </c>
      <c r="D114" s="11" t="inlineStr">
        <is>
          <t>03.10-15kg</t>
        </is>
      </c>
      <c r="E114" s="11" t="inlineStr">
        <is>
          <t>Đắk Nông</t>
        </is>
      </c>
      <c r="F114" s="11" t="n">
        <v>602.03</v>
      </c>
      <c r="G114" s="11" t="n">
        <v>6799.92</v>
      </c>
      <c r="H114" s="11" t="n">
        <v>0</v>
      </c>
      <c r="I114" s="11" t="n">
        <v>8</v>
      </c>
    </row>
    <row r="115" ht="15.75" customHeight="1" s="57">
      <c r="A115" s="39" t="inlineStr">
        <is>
          <t>2026-08-01</t>
        </is>
      </c>
      <c r="B115" s="11" t="inlineStr">
        <is>
          <t>sme</t>
        </is>
      </c>
      <c r="C115" s="11" t="inlineStr">
        <is>
          <t>SME</t>
        </is>
      </c>
      <c r="D115" s="11" t="inlineStr">
        <is>
          <t>04.15-20kg</t>
        </is>
      </c>
      <c r="E115" s="11" t="inlineStr">
        <is>
          <t>Bình Thuận</t>
        </is>
      </c>
      <c r="F115" s="11" t="n">
        <v>333.05</v>
      </c>
      <c r="G115" s="11" t="n">
        <v>5677.06</v>
      </c>
      <c r="H115" s="11" t="n">
        <v>0</v>
      </c>
      <c r="I115" s="11" t="n">
        <v>8</v>
      </c>
    </row>
    <row r="116" ht="15.75" customHeight="1" s="57">
      <c r="A116" s="39" t="inlineStr">
        <is>
          <t>2026-08-01</t>
        </is>
      </c>
      <c r="B116" s="11" t="inlineStr">
        <is>
          <t>sme</t>
        </is>
      </c>
      <c r="C116" s="11" t="inlineStr">
        <is>
          <t>SME</t>
        </is>
      </c>
      <c r="D116" s="11" t="inlineStr">
        <is>
          <t>04.15-20kg</t>
        </is>
      </c>
      <c r="E116" s="11" t="inlineStr">
        <is>
          <t>Khánh Hòa</t>
        </is>
      </c>
      <c r="F116" s="11" t="n">
        <v>780.39</v>
      </c>
      <c r="G116" s="11" t="n">
        <v>13302.24</v>
      </c>
      <c r="H116" s="11" t="n">
        <v>0</v>
      </c>
      <c r="I116" s="11" t="n">
        <v>8</v>
      </c>
    </row>
    <row r="117" ht="15.75" customHeight="1" s="57">
      <c r="A117" s="39" t="inlineStr">
        <is>
          <t>2026-08-01</t>
        </is>
      </c>
      <c r="B117" s="11" t="inlineStr">
        <is>
          <t>sme</t>
        </is>
      </c>
      <c r="C117" s="11" t="inlineStr">
        <is>
          <t>SME</t>
        </is>
      </c>
      <c r="D117" s="11" t="inlineStr">
        <is>
          <t>04.15-20kg</t>
        </is>
      </c>
      <c r="E117" s="11" t="inlineStr">
        <is>
          <t>Lâm Đồng</t>
        </is>
      </c>
      <c r="F117" s="11" t="n">
        <v>1026.85</v>
      </c>
      <c r="G117" s="11" t="n">
        <v>17503.46</v>
      </c>
      <c r="H117" s="11" t="n">
        <v>0</v>
      </c>
      <c r="I117" s="11" t="n">
        <v>8</v>
      </c>
    </row>
    <row r="118" ht="15.75" customHeight="1" s="57">
      <c r="A118" s="39" t="inlineStr">
        <is>
          <t>2026-08-01</t>
        </is>
      </c>
      <c r="B118" s="11" t="inlineStr">
        <is>
          <t>sme</t>
        </is>
      </c>
      <c r="C118" s="11" t="inlineStr">
        <is>
          <t>SME</t>
        </is>
      </c>
      <c r="D118" s="11" t="inlineStr">
        <is>
          <t>04.15-20kg</t>
        </is>
      </c>
      <c r="E118" s="11" t="inlineStr">
        <is>
          <t>Ninh Thuận</t>
        </is>
      </c>
      <c r="F118" s="11" t="n">
        <v>187.59</v>
      </c>
      <c r="G118" s="11" t="n">
        <v>3197.65</v>
      </c>
      <c r="H118" s="11" t="n">
        <v>0</v>
      </c>
      <c r="I118" s="11" t="n">
        <v>8</v>
      </c>
    </row>
    <row r="119" ht="15.75" customHeight="1" s="57">
      <c r="A119" s="39" t="inlineStr">
        <is>
          <t>2026-08-01</t>
        </is>
      </c>
      <c r="B119" s="11" t="inlineStr">
        <is>
          <t>sme</t>
        </is>
      </c>
      <c r="C119" s="11" t="inlineStr">
        <is>
          <t>SME</t>
        </is>
      </c>
      <c r="D119" s="11" t="inlineStr">
        <is>
          <t>04.15-20kg</t>
        </is>
      </c>
      <c r="E119" s="11" t="inlineStr">
        <is>
          <t>Đắk Nông</t>
        </is>
      </c>
      <c r="F119" s="11" t="n">
        <v>293.22</v>
      </c>
      <c r="G119" s="11" t="n">
        <v>4998.18</v>
      </c>
      <c r="H119" s="11" t="n">
        <v>0</v>
      </c>
      <c r="I119" s="11" t="n">
        <v>8</v>
      </c>
    </row>
    <row r="120" ht="15.75" customHeight="1" s="57">
      <c r="A120" s="39" t="inlineStr">
        <is>
          <t>2026-08-01</t>
        </is>
      </c>
      <c r="B120" s="11" t="inlineStr">
        <is>
          <t>sme</t>
        </is>
      </c>
      <c r="C120" s="11" t="inlineStr">
        <is>
          <t>SME</t>
        </is>
      </c>
      <c r="D120" s="11" t="inlineStr">
        <is>
          <t>05.&gt;=20kg</t>
        </is>
      </c>
      <c r="E120" s="11" t="inlineStr">
        <is>
          <t>Bình Thuận</t>
        </is>
      </c>
      <c r="F120" s="11" t="n">
        <v>723.8200000000001</v>
      </c>
      <c r="G120" s="11" t="n">
        <v>51892.25</v>
      </c>
      <c r="H120" s="11" t="n">
        <v>0</v>
      </c>
      <c r="I120" s="11" t="n">
        <v>8</v>
      </c>
    </row>
    <row r="121" ht="15.75" customHeight="1" s="57">
      <c r="A121" s="39" t="inlineStr">
        <is>
          <t>2026-08-01</t>
        </is>
      </c>
      <c r="B121" s="11" t="inlineStr">
        <is>
          <t>sme</t>
        </is>
      </c>
      <c r="C121" s="11" t="inlineStr">
        <is>
          <t>SME</t>
        </is>
      </c>
      <c r="D121" s="11" t="inlineStr">
        <is>
          <t>05.&gt;=20kg</t>
        </is>
      </c>
      <c r="E121" s="11" t="inlineStr">
        <is>
          <t>Khánh Hòa</t>
        </is>
      </c>
      <c r="F121" s="11" t="n">
        <v>1278.52</v>
      </c>
      <c r="G121" s="11" t="n">
        <v>91659.75999999999</v>
      </c>
      <c r="H121" s="11" t="n">
        <v>0</v>
      </c>
      <c r="I121" s="11" t="n">
        <v>8</v>
      </c>
    </row>
    <row r="122" ht="15.75" customHeight="1" s="57">
      <c r="A122" s="39" t="inlineStr">
        <is>
          <t>2026-08-01</t>
        </is>
      </c>
      <c r="B122" s="11" t="inlineStr">
        <is>
          <t>sme</t>
        </is>
      </c>
      <c r="C122" s="11" t="inlineStr">
        <is>
          <t>SME</t>
        </is>
      </c>
      <c r="D122" s="11" t="inlineStr">
        <is>
          <t>05.&gt;=20kg</t>
        </is>
      </c>
      <c r="E122" s="11" t="inlineStr">
        <is>
          <t>Lâm Đồng</t>
        </is>
      </c>
      <c r="F122" s="11" t="n">
        <v>1595.41</v>
      </c>
      <c r="G122" s="11" t="n">
        <v>114378.14</v>
      </c>
      <c r="H122" s="11" t="n">
        <v>0</v>
      </c>
      <c r="I122" s="11" t="n">
        <v>8</v>
      </c>
    </row>
    <row r="123" ht="15.75" customHeight="1" s="57">
      <c r="A123" s="39" t="inlineStr">
        <is>
          <t>2026-08-01</t>
        </is>
      </c>
      <c r="B123" s="11" t="inlineStr">
        <is>
          <t>sme</t>
        </is>
      </c>
      <c r="C123" s="11" t="inlineStr">
        <is>
          <t>SME</t>
        </is>
      </c>
      <c r="D123" s="11" t="inlineStr">
        <is>
          <t>05.&gt;=20kg</t>
        </is>
      </c>
      <c r="E123" s="11" t="inlineStr">
        <is>
          <t>Ninh Thuận</t>
        </is>
      </c>
      <c r="F123" s="11" t="n">
        <v>396.54</v>
      </c>
      <c r="G123" s="11" t="n">
        <v>28429.01</v>
      </c>
      <c r="H123" s="11" t="n">
        <v>0</v>
      </c>
      <c r="I123" s="11" t="n">
        <v>8</v>
      </c>
    </row>
    <row r="124" ht="15.75" customHeight="1" s="57">
      <c r="A124" s="39" t="inlineStr">
        <is>
          <t>2026-08-01</t>
        </is>
      </c>
      <c r="B124" s="11" t="inlineStr">
        <is>
          <t>sme</t>
        </is>
      </c>
      <c r="C124" s="11" t="inlineStr">
        <is>
          <t>SME</t>
        </is>
      </c>
      <c r="D124" s="11" t="inlineStr">
        <is>
          <t>05.&gt;=20kg</t>
        </is>
      </c>
      <c r="E124" s="11" t="inlineStr">
        <is>
          <t>Đắk Nông</t>
        </is>
      </c>
      <c r="F124" s="11" t="n">
        <v>379.8</v>
      </c>
      <c r="G124" s="11" t="n">
        <v>27228.95</v>
      </c>
      <c r="H124" s="11" t="n">
        <v>0</v>
      </c>
      <c r="I124" s="11" t="n">
        <v>8</v>
      </c>
    </row>
    <row r="125" ht="15.75" customHeight="1" s="57">
      <c r="A125" s="39" t="inlineStr">
        <is>
          <t>2026-08-01</t>
        </is>
      </c>
      <c r="B125" s="11" t="inlineStr">
        <is>
          <t>ecom</t>
        </is>
      </c>
      <c r="C125" s="11" t="inlineStr">
        <is>
          <t>Shopee Bulky</t>
        </is>
      </c>
      <c r="D125" s="11" t="inlineStr">
        <is>
          <t>01.0-5kg</t>
        </is>
      </c>
      <c r="E125" s="11" t="inlineStr">
        <is>
          <t>Bình Thuận</t>
        </is>
      </c>
      <c r="F125" s="11" t="n">
        <v>3.73</v>
      </c>
      <c r="G125" s="11" t="n">
        <v>8.91</v>
      </c>
      <c r="H125" s="11" t="n">
        <v>0</v>
      </c>
      <c r="I125" s="11" t="n">
        <v>8</v>
      </c>
    </row>
    <row r="126" ht="15.75" customHeight="1" s="57">
      <c r="A126" s="39" t="inlineStr">
        <is>
          <t>2026-08-01</t>
        </is>
      </c>
      <c r="B126" s="11" t="inlineStr">
        <is>
          <t>ecom</t>
        </is>
      </c>
      <c r="C126" s="11" t="inlineStr">
        <is>
          <t>Shopee Bulky</t>
        </is>
      </c>
      <c r="D126" s="11" t="inlineStr">
        <is>
          <t>01.0-5kg</t>
        </is>
      </c>
      <c r="E126" s="11" t="inlineStr">
        <is>
          <t>Khánh Hòa</t>
        </is>
      </c>
      <c r="F126" s="11" t="n">
        <v>6.71</v>
      </c>
      <c r="G126" s="11" t="n">
        <v>16.04</v>
      </c>
      <c r="H126" s="11" t="n">
        <v>0</v>
      </c>
      <c r="I126" s="11" t="n">
        <v>8</v>
      </c>
    </row>
    <row r="127" ht="15.75" customHeight="1" s="57">
      <c r="A127" s="39" t="inlineStr">
        <is>
          <t>2026-08-01</t>
        </is>
      </c>
      <c r="B127" s="11" t="inlineStr">
        <is>
          <t>ecom</t>
        </is>
      </c>
      <c r="C127" s="11" t="inlineStr">
        <is>
          <t>Shopee Bulky</t>
        </is>
      </c>
      <c r="D127" s="11" t="inlineStr">
        <is>
          <t>01.0-5kg</t>
        </is>
      </c>
      <c r="E127" s="11" t="inlineStr">
        <is>
          <t>Lâm Đồng</t>
        </is>
      </c>
      <c r="F127" s="11" t="n">
        <v>26.86</v>
      </c>
      <c r="G127" s="11" t="n">
        <v>64.16</v>
      </c>
      <c r="H127" s="11" t="n">
        <v>0</v>
      </c>
      <c r="I127" s="11" t="n">
        <v>8</v>
      </c>
    </row>
    <row r="128" ht="15.75" customHeight="1" s="57">
      <c r="A128" s="39" t="inlineStr">
        <is>
          <t>2026-08-01</t>
        </is>
      </c>
      <c r="B128" s="11" t="inlineStr">
        <is>
          <t>ecom</t>
        </is>
      </c>
      <c r="C128" s="11" t="inlineStr">
        <is>
          <t>Shopee Bulky</t>
        </is>
      </c>
      <c r="D128" s="11" t="inlineStr">
        <is>
          <t>02.5-10kg</t>
        </is>
      </c>
      <c r="E128" s="11" t="inlineStr">
        <is>
          <t>Bình Thuận</t>
        </is>
      </c>
      <c r="F128" s="11" t="n">
        <v>4.48</v>
      </c>
      <c r="G128" s="11" t="n">
        <v>36</v>
      </c>
      <c r="H128" s="11" t="n">
        <v>0</v>
      </c>
      <c r="I128" s="11" t="n">
        <v>8</v>
      </c>
    </row>
    <row r="129" ht="15.75" customHeight="1" s="57">
      <c r="A129" s="39" t="inlineStr">
        <is>
          <t>2026-08-01</t>
        </is>
      </c>
      <c r="B129" s="11" t="inlineStr">
        <is>
          <t>ecom</t>
        </is>
      </c>
      <c r="C129" s="11" t="inlineStr">
        <is>
          <t>Shopee Bulky</t>
        </is>
      </c>
      <c r="D129" s="11" t="inlineStr">
        <is>
          <t>02.5-10kg</t>
        </is>
      </c>
      <c r="E129" s="11" t="inlineStr">
        <is>
          <t>Khánh Hòa</t>
        </is>
      </c>
      <c r="F129" s="11" t="n">
        <v>29.84</v>
      </c>
      <c r="G129" s="11" t="n">
        <v>239.99</v>
      </c>
      <c r="H129" s="11" t="n">
        <v>0</v>
      </c>
      <c r="I129" s="11" t="n">
        <v>8</v>
      </c>
    </row>
    <row r="130" ht="15.75" customHeight="1" s="57">
      <c r="A130" s="39" t="inlineStr">
        <is>
          <t>2026-08-01</t>
        </is>
      </c>
      <c r="B130" s="11" t="inlineStr">
        <is>
          <t>ecom</t>
        </is>
      </c>
      <c r="C130" s="11" t="inlineStr">
        <is>
          <t>Shopee Bulky</t>
        </is>
      </c>
      <c r="D130" s="11" t="inlineStr">
        <is>
          <t>02.5-10kg</t>
        </is>
      </c>
      <c r="E130" s="11" t="inlineStr">
        <is>
          <t>Lâm Đồng</t>
        </is>
      </c>
      <c r="F130" s="11" t="n">
        <v>79.83</v>
      </c>
      <c r="G130" s="11" t="n">
        <v>641.98</v>
      </c>
      <c r="H130" s="11" t="n">
        <v>0</v>
      </c>
      <c r="I130" s="11" t="n">
        <v>8</v>
      </c>
    </row>
    <row r="131" ht="15.75" customHeight="1" s="57">
      <c r="A131" s="39" t="inlineStr">
        <is>
          <t>2026-08-01</t>
        </is>
      </c>
      <c r="B131" s="11" t="inlineStr">
        <is>
          <t>ecom</t>
        </is>
      </c>
      <c r="C131" s="11" t="inlineStr">
        <is>
          <t>Shopee Bulky</t>
        </is>
      </c>
      <c r="D131" s="11" t="inlineStr">
        <is>
          <t>02.5-10kg</t>
        </is>
      </c>
      <c r="E131" s="11" t="inlineStr">
        <is>
          <t>Ninh Thuận</t>
        </is>
      </c>
      <c r="F131" s="11" t="n">
        <v>3.73</v>
      </c>
      <c r="G131" s="11" t="n">
        <v>30</v>
      </c>
      <c r="H131" s="11" t="n">
        <v>0</v>
      </c>
      <c r="I131" s="11" t="n">
        <v>8</v>
      </c>
    </row>
    <row r="132" ht="15.75" customHeight="1" s="57">
      <c r="A132" s="39" t="inlineStr">
        <is>
          <t>2026-08-01</t>
        </is>
      </c>
      <c r="B132" s="11" t="inlineStr">
        <is>
          <t>ecom</t>
        </is>
      </c>
      <c r="C132" s="11" t="inlineStr">
        <is>
          <t>Shopee Bulky</t>
        </is>
      </c>
      <c r="D132" s="11" t="inlineStr">
        <is>
          <t>02.5-10kg</t>
        </is>
      </c>
      <c r="E132" s="11" t="inlineStr">
        <is>
          <t>Đắk Nông</t>
        </is>
      </c>
      <c r="F132" s="11" t="n">
        <v>2.24</v>
      </c>
      <c r="G132" s="11" t="n">
        <v>18</v>
      </c>
      <c r="H132" s="11" t="n">
        <v>0</v>
      </c>
      <c r="I132" s="11" t="n">
        <v>8</v>
      </c>
    </row>
    <row r="133" ht="15.75" customHeight="1" s="57">
      <c r="A133" s="39" t="inlineStr">
        <is>
          <t>2026-08-01</t>
        </is>
      </c>
      <c r="B133" s="11" t="inlineStr">
        <is>
          <t>ecom</t>
        </is>
      </c>
      <c r="C133" s="11" t="inlineStr">
        <is>
          <t>Shopee Bulky</t>
        </is>
      </c>
      <c r="D133" s="11" t="inlineStr">
        <is>
          <t>03.10-15kg</t>
        </is>
      </c>
      <c r="E133" s="11" t="inlineStr">
        <is>
          <t>Bình Thuận</t>
        </is>
      </c>
      <c r="F133" s="11" t="n">
        <v>812.49</v>
      </c>
      <c r="G133" s="11" t="n">
        <v>9685.48</v>
      </c>
      <c r="H133" s="11" t="n">
        <v>0</v>
      </c>
      <c r="I133" s="11" t="n">
        <v>8</v>
      </c>
    </row>
    <row r="134" ht="15.75" customHeight="1" s="57">
      <c r="A134" s="39" t="inlineStr">
        <is>
          <t>2026-08-01</t>
        </is>
      </c>
      <c r="B134" s="11" t="inlineStr">
        <is>
          <t>ecom</t>
        </is>
      </c>
      <c r="C134" s="11" t="inlineStr">
        <is>
          <t>Shopee Bulky</t>
        </is>
      </c>
      <c r="D134" s="11" t="inlineStr">
        <is>
          <t>03.10-15kg</t>
        </is>
      </c>
      <c r="E134" s="11" t="inlineStr">
        <is>
          <t>Khánh Hòa</t>
        </is>
      </c>
      <c r="F134" s="11" t="n">
        <v>1002</v>
      </c>
      <c r="G134" s="11" t="n">
        <v>11944.54</v>
      </c>
      <c r="H134" s="11" t="n">
        <v>0</v>
      </c>
      <c r="I134" s="11" t="n">
        <v>8</v>
      </c>
    </row>
    <row r="135" ht="15.75" customHeight="1" s="57">
      <c r="A135" s="39" t="inlineStr">
        <is>
          <t>2026-08-01</t>
        </is>
      </c>
      <c r="B135" s="11" t="inlineStr">
        <is>
          <t>ecom</t>
        </is>
      </c>
      <c r="C135" s="11" t="inlineStr">
        <is>
          <t>Shopee Bulky</t>
        </is>
      </c>
      <c r="D135" s="11" t="inlineStr">
        <is>
          <t>03.10-15kg</t>
        </is>
      </c>
      <c r="E135" s="11" t="inlineStr">
        <is>
          <t>Lâm Đồng</t>
        </is>
      </c>
      <c r="F135" s="11" t="n">
        <v>1193</v>
      </c>
      <c r="G135" s="11" t="n">
        <v>14221.38</v>
      </c>
      <c r="H135" s="11" t="n">
        <v>0</v>
      </c>
      <c r="I135" s="11" t="n">
        <v>8</v>
      </c>
    </row>
    <row r="136" ht="15.75" customHeight="1" s="57">
      <c r="A136" s="39" t="inlineStr">
        <is>
          <t>2026-08-01</t>
        </is>
      </c>
      <c r="B136" s="11" t="inlineStr">
        <is>
          <t>ecom</t>
        </is>
      </c>
      <c r="C136" s="11" t="inlineStr">
        <is>
          <t>Shopee Bulky</t>
        </is>
      </c>
      <c r="D136" s="11" t="inlineStr">
        <is>
          <t>03.10-15kg</t>
        </is>
      </c>
      <c r="E136" s="11" t="inlineStr">
        <is>
          <t>Ninh Thuận</t>
        </is>
      </c>
      <c r="F136" s="11" t="n">
        <v>880.39</v>
      </c>
      <c r="G136" s="11" t="n">
        <v>10494.83</v>
      </c>
      <c r="H136" s="11" t="n">
        <v>0</v>
      </c>
      <c r="I136" s="11" t="n">
        <v>8</v>
      </c>
    </row>
    <row r="137" ht="15.75" customHeight="1" s="57">
      <c r="A137" s="39" t="inlineStr">
        <is>
          <t>2026-08-01</t>
        </is>
      </c>
      <c r="B137" s="11" t="inlineStr">
        <is>
          <t>ecom</t>
        </is>
      </c>
      <c r="C137" s="11" t="inlineStr">
        <is>
          <t>Shopee Bulky</t>
        </is>
      </c>
      <c r="D137" s="11" t="inlineStr">
        <is>
          <t>03.10-15kg</t>
        </is>
      </c>
      <c r="E137" s="11" t="inlineStr">
        <is>
          <t>Đắk Nông</t>
        </is>
      </c>
      <c r="F137" s="11" t="n">
        <v>203.68</v>
      </c>
      <c r="G137" s="11" t="n">
        <v>2428.04</v>
      </c>
      <c r="H137" s="11" t="n">
        <v>0</v>
      </c>
      <c r="I137" s="11" t="n">
        <v>8</v>
      </c>
    </row>
    <row r="138" ht="15.75" customHeight="1" s="57">
      <c r="A138" s="39" t="inlineStr">
        <is>
          <t>2026-08-01</t>
        </is>
      </c>
      <c r="B138" s="11" t="inlineStr">
        <is>
          <t>ecom</t>
        </is>
      </c>
      <c r="C138" s="11" t="inlineStr">
        <is>
          <t>Shopee Bulky</t>
        </is>
      </c>
      <c r="D138" s="11" t="inlineStr">
        <is>
          <t>04.15-20kg</t>
        </is>
      </c>
      <c r="E138" s="11" t="inlineStr">
        <is>
          <t>Bình Thuận</t>
        </is>
      </c>
      <c r="F138" s="11" t="n">
        <v>757.28</v>
      </c>
      <c r="G138" s="11" t="n">
        <v>12795.95</v>
      </c>
      <c r="H138" s="11" t="n">
        <v>0</v>
      </c>
      <c r="I138" s="11" t="n">
        <v>8</v>
      </c>
    </row>
    <row r="139" ht="15.75" customHeight="1" s="57">
      <c r="A139" s="39" t="inlineStr">
        <is>
          <t>2026-08-01</t>
        </is>
      </c>
      <c r="B139" s="11" t="inlineStr">
        <is>
          <t>ecom</t>
        </is>
      </c>
      <c r="C139" s="11" t="inlineStr">
        <is>
          <t>Shopee Bulky</t>
        </is>
      </c>
      <c r="D139" s="11" t="inlineStr">
        <is>
          <t>04.15-20kg</t>
        </is>
      </c>
      <c r="E139" s="11" t="inlineStr">
        <is>
          <t>Khánh Hòa</t>
        </is>
      </c>
      <c r="F139" s="11" t="n">
        <v>448.4</v>
      </c>
      <c r="G139" s="11" t="n">
        <v>7576.71</v>
      </c>
      <c r="H139" s="11" t="n">
        <v>0</v>
      </c>
      <c r="I139" s="11" t="n">
        <v>8</v>
      </c>
    </row>
    <row r="140" ht="15.75" customHeight="1" s="57">
      <c r="A140" s="39" t="inlineStr">
        <is>
          <t>2026-08-01</t>
        </is>
      </c>
      <c r="B140" s="11" t="inlineStr">
        <is>
          <t>ecom</t>
        </is>
      </c>
      <c r="C140" s="11" t="inlineStr">
        <is>
          <t>Shopee Bulky</t>
        </is>
      </c>
      <c r="D140" s="11" t="inlineStr">
        <is>
          <t>04.15-20kg</t>
        </is>
      </c>
      <c r="E140" s="11" t="inlineStr">
        <is>
          <t>Lâm Đồng</t>
        </is>
      </c>
      <c r="F140" s="11" t="n">
        <v>639.4</v>
      </c>
      <c r="G140" s="11" t="n">
        <v>10804.06</v>
      </c>
      <c r="H140" s="11" t="n">
        <v>0</v>
      </c>
      <c r="I140" s="11" t="n">
        <v>8</v>
      </c>
    </row>
    <row r="141" ht="15.75" customHeight="1" s="57">
      <c r="A141" s="39" t="inlineStr">
        <is>
          <t>2026-08-01</t>
        </is>
      </c>
      <c r="B141" s="11" t="inlineStr">
        <is>
          <t>ecom</t>
        </is>
      </c>
      <c r="C141" s="11" t="inlineStr">
        <is>
          <t>Shopee Bulky</t>
        </is>
      </c>
      <c r="D141" s="11" t="inlineStr">
        <is>
          <t>04.15-20kg</t>
        </is>
      </c>
      <c r="E141" s="11" t="inlineStr">
        <is>
          <t>Ninh Thuận</t>
        </is>
      </c>
      <c r="F141" s="11" t="n">
        <v>204.43</v>
      </c>
      <c r="G141" s="11" t="n">
        <v>3454.27</v>
      </c>
      <c r="H141" s="11" t="n">
        <v>0</v>
      </c>
      <c r="I141" s="11" t="n">
        <v>8</v>
      </c>
    </row>
    <row r="142" ht="15.75" customHeight="1" s="57">
      <c r="A142" s="39" t="inlineStr">
        <is>
          <t>2026-08-01</t>
        </is>
      </c>
      <c r="B142" s="11" t="inlineStr">
        <is>
          <t>ecom</t>
        </is>
      </c>
      <c r="C142" s="11" t="inlineStr">
        <is>
          <t>Shopee Bulky</t>
        </is>
      </c>
      <c r="D142" s="11" t="inlineStr">
        <is>
          <t>04.15-20kg</t>
        </is>
      </c>
      <c r="E142" s="11" t="inlineStr">
        <is>
          <t>Đắk Nông</t>
        </is>
      </c>
      <c r="F142" s="11" t="n">
        <v>84.31</v>
      </c>
      <c r="G142" s="11" t="n">
        <v>1424.57</v>
      </c>
      <c r="H142" s="11" t="n">
        <v>0</v>
      </c>
      <c r="I142" s="11" t="n">
        <v>8</v>
      </c>
    </row>
    <row r="143" ht="15.75" customHeight="1" s="57">
      <c r="A143" s="39" t="inlineStr">
        <is>
          <t>2026-08-01</t>
        </is>
      </c>
      <c r="B143" s="11" t="inlineStr">
        <is>
          <t>ecom</t>
        </is>
      </c>
      <c r="C143" s="11" t="inlineStr">
        <is>
          <t>Shopee Bulky</t>
        </is>
      </c>
      <c r="D143" s="11" t="inlineStr">
        <is>
          <t>05.&gt;=20kg</t>
        </is>
      </c>
      <c r="E143" s="11" t="inlineStr">
        <is>
          <t>Bình Thuận</t>
        </is>
      </c>
      <c r="F143" s="11" t="n">
        <v>1480.24</v>
      </c>
      <c r="G143" s="11" t="n">
        <v>50281.96</v>
      </c>
      <c r="H143" s="11" t="n">
        <v>0</v>
      </c>
      <c r="I143" s="11" t="n">
        <v>8</v>
      </c>
    </row>
    <row r="144" ht="15.75" customHeight="1" s="57">
      <c r="A144" s="39" t="inlineStr">
        <is>
          <t>2026-08-01</t>
        </is>
      </c>
      <c r="B144" s="11" t="inlineStr">
        <is>
          <t>ecom</t>
        </is>
      </c>
      <c r="C144" s="11" t="inlineStr">
        <is>
          <t>Shopee Bulky</t>
        </is>
      </c>
      <c r="D144" s="11" t="inlineStr">
        <is>
          <t>05.&gt;=20kg</t>
        </is>
      </c>
      <c r="E144" s="11" t="inlineStr">
        <is>
          <t>Khánh Hòa</t>
        </is>
      </c>
      <c r="F144" s="11" t="n">
        <v>754.3</v>
      </c>
      <c r="G144" s="11" t="n">
        <v>25622.51</v>
      </c>
      <c r="H144" s="11" t="n">
        <v>0</v>
      </c>
      <c r="I144" s="11" t="n">
        <v>8</v>
      </c>
    </row>
    <row r="145" ht="15.75" customHeight="1" s="57">
      <c r="A145" s="39" t="inlineStr">
        <is>
          <t>2026-08-01</t>
        </is>
      </c>
      <c r="B145" s="11" t="inlineStr">
        <is>
          <t>ecom</t>
        </is>
      </c>
      <c r="C145" s="11" t="inlineStr">
        <is>
          <t>Shopee Bulky</t>
        </is>
      </c>
      <c r="D145" s="11" t="inlineStr">
        <is>
          <t>05.&gt;=20kg</t>
        </is>
      </c>
      <c r="E145" s="11" t="inlineStr">
        <is>
          <t>Lâm Đồng</t>
        </is>
      </c>
      <c r="F145" s="11" t="n">
        <v>1604.09</v>
      </c>
      <c r="G145" s="11" t="n">
        <v>54489.02</v>
      </c>
      <c r="H145" s="11" t="n">
        <v>0</v>
      </c>
      <c r="I145" s="11" t="n">
        <v>8</v>
      </c>
    </row>
    <row r="146" ht="15.75" customHeight="1" s="57">
      <c r="A146" s="39" t="inlineStr">
        <is>
          <t>2026-08-01</t>
        </is>
      </c>
      <c r="B146" s="11" t="inlineStr">
        <is>
          <t>ecom</t>
        </is>
      </c>
      <c r="C146" s="11" t="inlineStr">
        <is>
          <t>Shopee Bulky</t>
        </is>
      </c>
      <c r="D146" s="11" t="inlineStr">
        <is>
          <t>05.&gt;=20kg</t>
        </is>
      </c>
      <c r="E146" s="11" t="inlineStr">
        <is>
          <t>Ninh Thuận</t>
        </is>
      </c>
      <c r="F146" s="11" t="n">
        <v>314.1</v>
      </c>
      <c r="G146" s="11" t="n">
        <v>10669.71</v>
      </c>
      <c r="H146" s="11" t="n">
        <v>0</v>
      </c>
      <c r="I146" s="11" t="n">
        <v>8</v>
      </c>
    </row>
    <row r="147" ht="15.75" customHeight="1" s="57">
      <c r="A147" s="39" t="inlineStr">
        <is>
          <t>2026-08-01</t>
        </is>
      </c>
      <c r="B147" s="11" t="inlineStr">
        <is>
          <t>ecom</t>
        </is>
      </c>
      <c r="C147" s="11" t="inlineStr">
        <is>
          <t>Shopee Bulky</t>
        </is>
      </c>
      <c r="D147" s="11" t="inlineStr">
        <is>
          <t>05.&gt;=20kg</t>
        </is>
      </c>
      <c r="E147" s="11" t="inlineStr">
        <is>
          <t>Đắk Nông</t>
        </is>
      </c>
      <c r="F147" s="11" t="n">
        <v>202.19</v>
      </c>
      <c r="G147" s="11" t="n">
        <v>6868.15</v>
      </c>
      <c r="H147" s="11" t="n">
        <v>0</v>
      </c>
      <c r="I147" s="11" t="n">
        <v>8</v>
      </c>
    </row>
    <row r="148" ht="15.75" customHeight="1" s="57">
      <c r="A148" s="39" t="inlineStr">
        <is>
          <t>2026-08-01</t>
        </is>
      </c>
      <c r="B148" s="11" t="inlineStr">
        <is>
          <t>ecom</t>
        </is>
      </c>
      <c r="C148" s="11" t="inlineStr">
        <is>
          <t>Shopee Ecom</t>
        </is>
      </c>
      <c r="D148" s="11" t="inlineStr">
        <is>
          <t>01.0-5kg</t>
        </is>
      </c>
      <c r="E148" s="11" t="inlineStr">
        <is>
          <t>Bình Thuận</t>
        </is>
      </c>
      <c r="F148" s="11" t="n">
        <v>11346.91</v>
      </c>
      <c r="G148" s="11" t="n">
        <v>9710.68</v>
      </c>
      <c r="H148" s="11" t="n">
        <v>0</v>
      </c>
      <c r="I148" s="11" t="n">
        <v>8</v>
      </c>
    </row>
    <row r="149" ht="15.75" customHeight="1" s="57">
      <c r="A149" s="39" t="inlineStr">
        <is>
          <t>2026-08-01</t>
        </is>
      </c>
      <c r="B149" s="11" t="inlineStr">
        <is>
          <t>ecom</t>
        </is>
      </c>
      <c r="C149" s="11" t="inlineStr">
        <is>
          <t>Shopee Ecom</t>
        </is>
      </c>
      <c r="D149" s="11" t="inlineStr">
        <is>
          <t>01.0-5kg</t>
        </is>
      </c>
      <c r="E149" s="11" t="inlineStr">
        <is>
          <t>Khánh Hòa</t>
        </is>
      </c>
      <c r="F149" s="11" t="n">
        <v>17274.18</v>
      </c>
      <c r="G149" s="11" t="n">
        <v>14783.25</v>
      </c>
      <c r="H149" s="11" t="n">
        <v>0</v>
      </c>
      <c r="I149" s="11" t="n">
        <v>8</v>
      </c>
    </row>
    <row r="150" ht="15.75" customHeight="1" s="57">
      <c r="A150" s="39" t="inlineStr">
        <is>
          <t>2026-08-01</t>
        </is>
      </c>
      <c r="B150" s="11" t="inlineStr">
        <is>
          <t>ecom</t>
        </is>
      </c>
      <c r="C150" s="11" t="inlineStr">
        <is>
          <t>Shopee Ecom</t>
        </is>
      </c>
      <c r="D150" s="11" t="inlineStr">
        <is>
          <t>01.0-5kg</t>
        </is>
      </c>
      <c r="E150" s="11" t="inlineStr">
        <is>
          <t>Lâm Đồng</t>
        </is>
      </c>
      <c r="F150" s="11" t="n">
        <v>21933.09</v>
      </c>
      <c r="G150" s="11" t="n">
        <v>18770.34</v>
      </c>
      <c r="H150" s="11" t="n">
        <v>0</v>
      </c>
      <c r="I150" s="11" t="n">
        <v>8</v>
      </c>
    </row>
    <row r="151" ht="15.75" customHeight="1" s="57">
      <c r="A151" s="39" t="inlineStr">
        <is>
          <t>2026-08-01</t>
        </is>
      </c>
      <c r="B151" s="11" t="inlineStr">
        <is>
          <t>ecom</t>
        </is>
      </c>
      <c r="C151" s="11" t="inlineStr">
        <is>
          <t>Shopee Ecom</t>
        </is>
      </c>
      <c r="D151" s="11" t="inlineStr">
        <is>
          <t>01.0-5kg</t>
        </is>
      </c>
      <c r="E151" s="11" t="inlineStr">
        <is>
          <t>Ninh Thuận</t>
        </is>
      </c>
      <c r="F151" s="11" t="n">
        <v>7203.53</v>
      </c>
      <c r="G151" s="11" t="n">
        <v>6164.78</v>
      </c>
      <c r="H151" s="11" t="n">
        <v>0</v>
      </c>
      <c r="I151" s="11" t="n">
        <v>8</v>
      </c>
    </row>
    <row r="152" ht="15.75" customHeight="1" s="57">
      <c r="A152" s="39" t="inlineStr">
        <is>
          <t>2026-08-01</t>
        </is>
      </c>
      <c r="B152" s="11" t="inlineStr">
        <is>
          <t>ecom</t>
        </is>
      </c>
      <c r="C152" s="11" t="inlineStr">
        <is>
          <t>Shopee Ecom</t>
        </is>
      </c>
      <c r="D152" s="11" t="inlineStr">
        <is>
          <t>01.0-5kg</t>
        </is>
      </c>
      <c r="E152" s="11" t="inlineStr">
        <is>
          <t>Đắk Nông</t>
        </is>
      </c>
      <c r="F152" s="11" t="n">
        <v>3858.79</v>
      </c>
      <c r="G152" s="11" t="n">
        <v>3302.35</v>
      </c>
      <c r="H152" s="11" t="n">
        <v>0</v>
      </c>
      <c r="I152" s="11" t="n">
        <v>8</v>
      </c>
    </row>
    <row r="153" ht="15.75" customHeight="1" s="57">
      <c r="A153" s="39" t="inlineStr">
        <is>
          <t>2026-08-01</t>
        </is>
      </c>
      <c r="B153" s="11" t="inlineStr">
        <is>
          <t>ecom</t>
        </is>
      </c>
      <c r="C153" s="11" t="inlineStr">
        <is>
          <t>Shopee Ecom</t>
        </is>
      </c>
      <c r="D153" s="11" t="inlineStr">
        <is>
          <t>02.5-10kg</t>
        </is>
      </c>
      <c r="E153" s="11" t="inlineStr">
        <is>
          <t>Bình Thuận</t>
        </is>
      </c>
      <c r="F153" s="11" t="n">
        <v>884.3200000000001</v>
      </c>
      <c r="G153" s="11" t="n">
        <v>6089.31</v>
      </c>
      <c r="H153" s="11" t="n">
        <v>0</v>
      </c>
      <c r="I153" s="11" t="n">
        <v>8</v>
      </c>
    </row>
    <row r="154" ht="15.75" customHeight="1" s="57">
      <c r="A154" s="39" t="inlineStr">
        <is>
          <t>2026-08-01</t>
        </is>
      </c>
      <c r="B154" s="11" t="inlineStr">
        <is>
          <t>ecom</t>
        </is>
      </c>
      <c r="C154" s="11" t="inlineStr">
        <is>
          <t>Shopee Ecom</t>
        </is>
      </c>
      <c r="D154" s="11" t="inlineStr">
        <is>
          <t>02.5-10kg</t>
        </is>
      </c>
      <c r="E154" s="11" t="inlineStr">
        <is>
          <t>Khánh Hòa</t>
        </is>
      </c>
      <c r="F154" s="11" t="n">
        <v>1448.58</v>
      </c>
      <c r="G154" s="11" t="n">
        <v>9974.799999999999</v>
      </c>
      <c r="H154" s="11" t="n">
        <v>0</v>
      </c>
      <c r="I154" s="11" t="n">
        <v>8</v>
      </c>
    </row>
    <row r="155" ht="15.75" customHeight="1" s="57">
      <c r="A155" s="39" t="inlineStr">
        <is>
          <t>2026-08-01</t>
        </is>
      </c>
      <c r="B155" s="11" t="inlineStr">
        <is>
          <t>ecom</t>
        </is>
      </c>
      <c r="C155" s="11" t="inlineStr">
        <is>
          <t>Shopee Ecom</t>
        </is>
      </c>
      <c r="D155" s="11" t="inlineStr">
        <is>
          <t>02.5-10kg</t>
        </is>
      </c>
      <c r="E155" s="11" t="inlineStr">
        <is>
          <t>Lâm Đồng</t>
        </is>
      </c>
      <c r="F155" s="11" t="n">
        <v>1982.82</v>
      </c>
      <c r="G155" s="11" t="n">
        <v>13653.47</v>
      </c>
      <c r="H155" s="11" t="n">
        <v>0</v>
      </c>
      <c r="I155" s="11" t="n">
        <v>8</v>
      </c>
    </row>
    <row r="156" ht="15.75" customHeight="1" s="57">
      <c r="A156" s="39" t="inlineStr">
        <is>
          <t>2026-08-01</t>
        </is>
      </c>
      <c r="B156" s="11" t="inlineStr">
        <is>
          <t>ecom</t>
        </is>
      </c>
      <c r="C156" s="11" t="inlineStr">
        <is>
          <t>Shopee Ecom</t>
        </is>
      </c>
      <c r="D156" s="11" t="inlineStr">
        <is>
          <t>02.5-10kg</t>
        </is>
      </c>
      <c r="E156" s="11" t="inlineStr">
        <is>
          <t>Ninh Thuận</t>
        </is>
      </c>
      <c r="F156" s="11" t="n">
        <v>558.85</v>
      </c>
      <c r="G156" s="11" t="n">
        <v>3848.2</v>
      </c>
      <c r="H156" s="11" t="n">
        <v>0</v>
      </c>
      <c r="I156" s="11" t="n">
        <v>8</v>
      </c>
    </row>
    <row r="157" ht="15.75" customHeight="1" s="57">
      <c r="A157" s="39" t="inlineStr">
        <is>
          <t>2026-08-01</t>
        </is>
      </c>
      <c r="B157" s="11" t="inlineStr">
        <is>
          <t>ecom</t>
        </is>
      </c>
      <c r="C157" s="11" t="inlineStr">
        <is>
          <t>Shopee Ecom</t>
        </is>
      </c>
      <c r="D157" s="11" t="inlineStr">
        <is>
          <t>02.5-10kg</t>
        </is>
      </c>
      <c r="E157" s="11" t="inlineStr">
        <is>
          <t>Đắk Nông</t>
        </is>
      </c>
      <c r="F157" s="11" t="n">
        <v>542.6</v>
      </c>
      <c r="G157" s="11" t="n">
        <v>3736.31</v>
      </c>
      <c r="H157" s="11" t="n">
        <v>0</v>
      </c>
      <c r="I157" s="11" t="n">
        <v>8</v>
      </c>
    </row>
    <row r="158" ht="15.75" customHeight="1" s="57">
      <c r="A158" s="39" t="inlineStr">
        <is>
          <t>2026-08-01</t>
        </is>
      </c>
      <c r="B158" s="11" t="inlineStr">
        <is>
          <t>ecom</t>
        </is>
      </c>
      <c r="C158" s="11" t="inlineStr">
        <is>
          <t>Shopee Ecom</t>
        </is>
      </c>
      <c r="D158" s="11" t="inlineStr">
        <is>
          <t>03.10-15kg</t>
        </is>
      </c>
      <c r="E158" s="11" t="inlineStr">
        <is>
          <t>Bình Thuận</t>
        </is>
      </c>
      <c r="F158" s="11" t="n">
        <v>208.28</v>
      </c>
      <c r="G158" s="11" t="n">
        <v>2179.87</v>
      </c>
      <c r="H158" s="11" t="n">
        <v>0</v>
      </c>
      <c r="I158" s="11" t="n">
        <v>8</v>
      </c>
    </row>
    <row r="159" ht="15.75" customHeight="1" s="57">
      <c r="A159" s="39" t="inlineStr">
        <is>
          <t>2026-08-01</t>
        </is>
      </c>
      <c r="B159" s="11" t="inlineStr">
        <is>
          <t>ecom</t>
        </is>
      </c>
      <c r="C159" s="11" t="inlineStr">
        <is>
          <t>Shopee Ecom</t>
        </is>
      </c>
      <c r="D159" s="11" t="inlineStr">
        <is>
          <t>03.10-15kg</t>
        </is>
      </c>
      <c r="E159" s="11" t="inlineStr">
        <is>
          <t>Khánh Hòa</t>
        </is>
      </c>
      <c r="F159" s="11" t="n">
        <v>231.91</v>
      </c>
      <c r="G159" s="11" t="n">
        <v>2427.23</v>
      </c>
      <c r="H159" s="11" t="n">
        <v>0</v>
      </c>
      <c r="I159" s="11" t="n">
        <v>8</v>
      </c>
    </row>
    <row r="160" ht="15.75" customHeight="1" s="57">
      <c r="A160" s="39" t="inlineStr">
        <is>
          <t>2026-08-01</t>
        </is>
      </c>
      <c r="B160" s="11" t="inlineStr">
        <is>
          <t>ecom</t>
        </is>
      </c>
      <c r="C160" s="11" t="inlineStr">
        <is>
          <t>Shopee Ecom</t>
        </is>
      </c>
      <c r="D160" s="11" t="inlineStr">
        <is>
          <t>03.10-15kg</t>
        </is>
      </c>
      <c r="E160" s="11" t="inlineStr">
        <is>
          <t>Lâm Đồng</t>
        </is>
      </c>
      <c r="F160" s="11" t="n">
        <v>284.1</v>
      </c>
      <c r="G160" s="11" t="n">
        <v>2973.48</v>
      </c>
      <c r="H160" s="11" t="n">
        <v>0</v>
      </c>
      <c r="I160" s="11" t="n">
        <v>8</v>
      </c>
    </row>
    <row r="161" ht="15.75" customHeight="1" s="57">
      <c r="A161" s="39" t="inlineStr">
        <is>
          <t>2026-08-01</t>
        </is>
      </c>
      <c r="B161" s="11" t="inlineStr">
        <is>
          <t>ecom</t>
        </is>
      </c>
      <c r="C161" s="11" t="inlineStr">
        <is>
          <t>Shopee Ecom</t>
        </is>
      </c>
      <c r="D161" s="11" t="inlineStr">
        <is>
          <t>03.10-15kg</t>
        </is>
      </c>
      <c r="E161" s="11" t="inlineStr">
        <is>
          <t>Ninh Thuận</t>
        </is>
      </c>
      <c r="F161" s="11" t="n">
        <v>77.3</v>
      </c>
      <c r="G161" s="11" t="n">
        <v>809.08</v>
      </c>
      <c r="H161" s="11" t="n">
        <v>0</v>
      </c>
      <c r="I161" s="11" t="n">
        <v>8</v>
      </c>
    </row>
    <row r="162" ht="15.75" customHeight="1" s="57">
      <c r="A162" s="39" t="inlineStr">
        <is>
          <t>2026-08-01</t>
        </is>
      </c>
      <c r="B162" s="11" t="inlineStr">
        <is>
          <t>ecom</t>
        </is>
      </c>
      <c r="C162" s="11" t="inlineStr">
        <is>
          <t>Shopee Ecom</t>
        </is>
      </c>
      <c r="D162" s="11" t="inlineStr">
        <is>
          <t>03.10-15kg</t>
        </is>
      </c>
      <c r="E162" s="11" t="inlineStr">
        <is>
          <t>Đắk Nông</t>
        </is>
      </c>
      <c r="F162" s="11" t="n">
        <v>57.12</v>
      </c>
      <c r="G162" s="11" t="n">
        <v>597.79</v>
      </c>
      <c r="H162" s="11" t="n">
        <v>0</v>
      </c>
      <c r="I162" s="11" t="n">
        <v>8</v>
      </c>
    </row>
    <row r="163" ht="15.75" customHeight="1" s="57">
      <c r="A163" s="39" t="inlineStr">
        <is>
          <t>2026-08-01</t>
        </is>
      </c>
      <c r="B163" s="11" t="inlineStr">
        <is>
          <t>ecom</t>
        </is>
      </c>
      <c r="C163" s="11" t="inlineStr">
        <is>
          <t>Shopee Ecom</t>
        </is>
      </c>
      <c r="D163" s="11" t="inlineStr">
        <is>
          <t>04.15-20kg</t>
        </is>
      </c>
      <c r="E163" s="11" t="inlineStr">
        <is>
          <t>Bình Thuận</t>
        </is>
      </c>
      <c r="F163" s="11" t="n">
        <v>178.24</v>
      </c>
      <c r="G163" s="11" t="n">
        <v>3002.64</v>
      </c>
      <c r="H163" s="11" t="n">
        <v>0</v>
      </c>
      <c r="I163" s="11" t="n">
        <v>8</v>
      </c>
    </row>
    <row r="164" ht="15.75" customHeight="1" s="57">
      <c r="A164" s="39" t="inlineStr">
        <is>
          <t>2026-08-01</t>
        </is>
      </c>
      <c r="B164" s="11" t="inlineStr">
        <is>
          <t>ecom</t>
        </is>
      </c>
      <c r="C164" s="11" t="inlineStr">
        <is>
          <t>Shopee Ecom</t>
        </is>
      </c>
      <c r="D164" s="11" t="inlineStr">
        <is>
          <t>04.15-20kg</t>
        </is>
      </c>
      <c r="E164" s="11" t="inlineStr">
        <is>
          <t>Khánh Hòa</t>
        </is>
      </c>
      <c r="F164" s="11" t="n">
        <v>171.35</v>
      </c>
      <c r="G164" s="11" t="n">
        <v>2886.52</v>
      </c>
      <c r="H164" s="11" t="n">
        <v>0</v>
      </c>
      <c r="I164" s="11" t="n">
        <v>8</v>
      </c>
    </row>
    <row r="165" ht="15.75" customHeight="1" s="57">
      <c r="A165" s="39" t="inlineStr">
        <is>
          <t>2026-08-01</t>
        </is>
      </c>
      <c r="B165" s="11" t="inlineStr">
        <is>
          <t>ecom</t>
        </is>
      </c>
      <c r="C165" s="11" t="inlineStr">
        <is>
          <t>Shopee Ecom</t>
        </is>
      </c>
      <c r="D165" s="11" t="inlineStr">
        <is>
          <t>04.15-20kg</t>
        </is>
      </c>
      <c r="E165" s="11" t="inlineStr">
        <is>
          <t>Lâm Đồng</t>
        </is>
      </c>
      <c r="F165" s="11" t="n">
        <v>195.97</v>
      </c>
      <c r="G165" s="11" t="n">
        <v>3301.25</v>
      </c>
      <c r="H165" s="11" t="n">
        <v>0</v>
      </c>
      <c r="I165" s="11" t="n">
        <v>8</v>
      </c>
    </row>
    <row r="166" ht="15.75" customHeight="1" s="57">
      <c r="A166" s="39" t="inlineStr">
        <is>
          <t>2026-08-01</t>
        </is>
      </c>
      <c r="B166" s="11" t="inlineStr">
        <is>
          <t>ecom</t>
        </is>
      </c>
      <c r="C166" s="11" t="inlineStr">
        <is>
          <t>Shopee Ecom</t>
        </is>
      </c>
      <c r="D166" s="11" t="inlineStr">
        <is>
          <t>04.15-20kg</t>
        </is>
      </c>
      <c r="E166" s="11" t="inlineStr">
        <is>
          <t>Ninh Thuận</t>
        </is>
      </c>
      <c r="F166" s="11" t="n">
        <v>52.68</v>
      </c>
      <c r="G166" s="11" t="n">
        <v>887.52</v>
      </c>
      <c r="H166" s="11" t="n">
        <v>0</v>
      </c>
      <c r="I166" s="11" t="n">
        <v>8</v>
      </c>
    </row>
    <row r="167" ht="15.75" customHeight="1" s="57">
      <c r="A167" s="39" t="inlineStr">
        <is>
          <t>2026-08-01</t>
        </is>
      </c>
      <c r="B167" s="11" t="inlineStr">
        <is>
          <t>ecom</t>
        </is>
      </c>
      <c r="C167" s="11" t="inlineStr">
        <is>
          <t>Shopee Ecom</t>
        </is>
      </c>
      <c r="D167" s="11" t="inlineStr">
        <is>
          <t>04.15-20kg</t>
        </is>
      </c>
      <c r="E167" s="11" t="inlineStr">
        <is>
          <t>Đắk Nông</t>
        </is>
      </c>
      <c r="F167" s="11" t="n">
        <v>48.25</v>
      </c>
      <c r="G167" s="11" t="n">
        <v>812.87</v>
      </c>
      <c r="H167" s="11" t="n">
        <v>0</v>
      </c>
      <c r="I167" s="11" t="n">
        <v>8</v>
      </c>
    </row>
    <row r="168" ht="15.75" customHeight="1" s="57">
      <c r="A168" s="39" t="inlineStr">
        <is>
          <t>2026-08-01</t>
        </is>
      </c>
      <c r="B168" s="11" t="inlineStr">
        <is>
          <t>ecom</t>
        </is>
      </c>
      <c r="C168" s="11" t="inlineStr">
        <is>
          <t>Shopee Ecom</t>
        </is>
      </c>
      <c r="D168" s="11" t="inlineStr">
        <is>
          <t>05.&gt;=20kg</t>
        </is>
      </c>
      <c r="E168" s="11" t="inlineStr">
        <is>
          <t>Bình Thuận</t>
        </is>
      </c>
      <c r="F168" s="11" t="n">
        <v>275.73</v>
      </c>
      <c r="G168" s="11" t="n">
        <v>9711.540000000001</v>
      </c>
      <c r="H168" s="11" t="n">
        <v>0</v>
      </c>
      <c r="I168" s="11" t="n">
        <v>8</v>
      </c>
    </row>
    <row r="169" ht="15.75" customHeight="1" s="57">
      <c r="A169" s="39" t="inlineStr">
        <is>
          <t>2026-08-01</t>
        </is>
      </c>
      <c r="B169" s="11" t="inlineStr">
        <is>
          <t>ecom</t>
        </is>
      </c>
      <c r="C169" s="11" t="inlineStr">
        <is>
          <t>Shopee Ecom</t>
        </is>
      </c>
      <c r="D169" s="11" t="inlineStr">
        <is>
          <t>05.&gt;=20kg</t>
        </is>
      </c>
      <c r="E169" s="11" t="inlineStr">
        <is>
          <t>Khánh Hòa</t>
        </is>
      </c>
      <c r="F169" s="11" t="n">
        <v>296.41</v>
      </c>
      <c r="G169" s="11" t="n">
        <v>10439.9</v>
      </c>
      <c r="H169" s="11" t="n">
        <v>0</v>
      </c>
      <c r="I169" s="11" t="n">
        <v>8</v>
      </c>
    </row>
    <row r="170" ht="15.75" customHeight="1" s="57">
      <c r="A170" s="39" t="inlineStr">
        <is>
          <t>2026-08-01</t>
        </is>
      </c>
      <c r="B170" s="11" t="inlineStr">
        <is>
          <t>ecom</t>
        </is>
      </c>
      <c r="C170" s="11" t="inlineStr">
        <is>
          <t>Shopee Ecom</t>
        </is>
      </c>
      <c r="D170" s="11" t="inlineStr">
        <is>
          <t>05.&gt;=20kg</t>
        </is>
      </c>
      <c r="E170" s="11" t="inlineStr">
        <is>
          <t>Lâm Đồng</t>
        </is>
      </c>
      <c r="F170" s="11" t="n">
        <v>320.05</v>
      </c>
      <c r="G170" s="11" t="n">
        <v>11272.32</v>
      </c>
      <c r="H170" s="11" t="n">
        <v>0</v>
      </c>
      <c r="I170" s="11" t="n">
        <v>8</v>
      </c>
    </row>
    <row r="171" ht="15.75" customHeight="1" s="57">
      <c r="A171" s="39" t="inlineStr">
        <is>
          <t>2026-08-01</t>
        </is>
      </c>
      <c r="B171" s="11" t="inlineStr">
        <is>
          <t>ecom</t>
        </is>
      </c>
      <c r="C171" s="11" t="inlineStr">
        <is>
          <t>Shopee Ecom</t>
        </is>
      </c>
      <c r="D171" s="11" t="inlineStr">
        <is>
          <t>05.&gt;=20kg</t>
        </is>
      </c>
      <c r="E171" s="11" t="inlineStr">
        <is>
          <t>Ninh Thuận</t>
        </is>
      </c>
      <c r="F171" s="11" t="n">
        <v>100.45</v>
      </c>
      <c r="G171" s="11" t="n">
        <v>3537.77</v>
      </c>
      <c r="H171" s="11" t="n">
        <v>0</v>
      </c>
      <c r="I171" s="11" t="n">
        <v>8</v>
      </c>
    </row>
    <row r="172" ht="15.75" customHeight="1" s="57">
      <c r="A172" s="39" t="inlineStr">
        <is>
          <t>2026-08-01</t>
        </is>
      </c>
      <c r="B172" s="11" t="inlineStr">
        <is>
          <t>ecom</t>
        </is>
      </c>
      <c r="C172" s="11" t="inlineStr">
        <is>
          <t>Shopee Ecom</t>
        </is>
      </c>
      <c r="D172" s="11" t="inlineStr">
        <is>
          <t>05.&gt;=20kg</t>
        </is>
      </c>
      <c r="E172" s="11" t="inlineStr">
        <is>
          <t>Đắk Nông</t>
        </is>
      </c>
      <c r="F172" s="11" t="n">
        <v>79.27</v>
      </c>
      <c r="G172" s="11" t="n">
        <v>2792.07</v>
      </c>
      <c r="H172" s="11" t="n">
        <v>0</v>
      </c>
      <c r="I172" s="11" t="n">
        <v>8</v>
      </c>
    </row>
    <row r="173" ht="15.75" customHeight="1" s="57">
      <c r="A173" s="39" t="inlineStr">
        <is>
          <t>2026-08-01</t>
        </is>
      </c>
      <c r="B173" s="11" t="inlineStr">
        <is>
          <t>ecom</t>
        </is>
      </c>
      <c r="C173" s="11" t="inlineStr">
        <is>
          <t>TTS</t>
        </is>
      </c>
      <c r="D173" s="11" t="inlineStr">
        <is>
          <t>01.0-5kg</t>
        </is>
      </c>
      <c r="E173" s="11" t="inlineStr">
        <is>
          <t>Bình Thuận</t>
        </is>
      </c>
      <c r="F173" s="11" t="n">
        <v>49631.34</v>
      </c>
      <c r="G173" s="11" t="n">
        <v>38042.43</v>
      </c>
      <c r="H173" s="11" t="n">
        <v>0</v>
      </c>
      <c r="I173" s="11" t="n">
        <v>8</v>
      </c>
    </row>
    <row r="174" ht="15.75" customHeight="1" s="57">
      <c r="A174" s="39" t="inlineStr">
        <is>
          <t>2026-08-01</t>
        </is>
      </c>
      <c r="B174" s="11" t="inlineStr">
        <is>
          <t>ecom</t>
        </is>
      </c>
      <c r="C174" s="11" t="inlineStr">
        <is>
          <t>TTS</t>
        </is>
      </c>
      <c r="D174" s="11" t="inlineStr">
        <is>
          <t>01.0-5kg</t>
        </is>
      </c>
      <c r="E174" s="11" t="inlineStr">
        <is>
          <t>Khánh Hòa</t>
        </is>
      </c>
      <c r="F174" s="11" t="n">
        <v>28317.21</v>
      </c>
      <c r="G174" s="11" t="n">
        <v>21705.14</v>
      </c>
      <c r="H174" s="11" t="n">
        <v>0</v>
      </c>
      <c r="I174" s="11" t="n">
        <v>8</v>
      </c>
    </row>
    <row r="175" ht="15.75" customHeight="1" s="57">
      <c r="A175" s="39" t="inlineStr">
        <is>
          <t>2026-08-01</t>
        </is>
      </c>
      <c r="B175" s="11" t="inlineStr">
        <is>
          <t>ecom</t>
        </is>
      </c>
      <c r="C175" s="11" t="inlineStr">
        <is>
          <t>TTS</t>
        </is>
      </c>
      <c r="D175" s="11" t="inlineStr">
        <is>
          <t>01.0-5kg</t>
        </is>
      </c>
      <c r="E175" s="11" t="inlineStr">
        <is>
          <t>Lâm Đồng</t>
        </is>
      </c>
      <c r="F175" s="11" t="n">
        <v>51786.26</v>
      </c>
      <c r="G175" s="11" t="n">
        <v>39694.17</v>
      </c>
      <c r="H175" s="11" t="n">
        <v>0</v>
      </c>
      <c r="I175" s="11" t="n">
        <v>8</v>
      </c>
    </row>
    <row r="176" ht="15.75" customHeight="1" s="57">
      <c r="A176" s="39" t="inlineStr">
        <is>
          <t>2026-08-01</t>
        </is>
      </c>
      <c r="B176" s="11" t="inlineStr">
        <is>
          <t>ecom</t>
        </is>
      </c>
      <c r="C176" s="11" t="inlineStr">
        <is>
          <t>TTS</t>
        </is>
      </c>
      <c r="D176" s="11" t="inlineStr">
        <is>
          <t>01.0-5kg</t>
        </is>
      </c>
      <c r="E176" s="11" t="inlineStr">
        <is>
          <t>Ninh Thuận</t>
        </is>
      </c>
      <c r="F176" s="11" t="n">
        <v>17293.06</v>
      </c>
      <c r="G176" s="11" t="n">
        <v>13255.13</v>
      </c>
      <c r="H176" s="11" t="n">
        <v>0</v>
      </c>
      <c r="I176" s="11" t="n">
        <v>8</v>
      </c>
    </row>
    <row r="177" ht="15.75" customHeight="1" s="57">
      <c r="A177" s="39" t="inlineStr">
        <is>
          <t>2026-08-01</t>
        </is>
      </c>
      <c r="B177" s="11" t="inlineStr">
        <is>
          <t>ecom</t>
        </is>
      </c>
      <c r="C177" s="11" t="inlineStr">
        <is>
          <t>TTS</t>
        </is>
      </c>
      <c r="D177" s="11" t="inlineStr">
        <is>
          <t>01.0-5kg</t>
        </is>
      </c>
      <c r="E177" s="11" t="inlineStr">
        <is>
          <t>Đắk Nông</t>
        </is>
      </c>
      <c r="F177" s="11" t="n">
        <v>10926.62</v>
      </c>
      <c r="G177" s="11" t="n">
        <v>8375.26</v>
      </c>
      <c r="H177" s="11" t="n">
        <v>0</v>
      </c>
      <c r="I177" s="11" t="n">
        <v>8</v>
      </c>
    </row>
    <row r="178" ht="15.75" customHeight="1" s="57">
      <c r="A178" s="39" t="inlineStr">
        <is>
          <t>2026-08-01</t>
        </is>
      </c>
      <c r="B178" s="11" t="inlineStr">
        <is>
          <t>ecom</t>
        </is>
      </c>
      <c r="C178" s="11" t="inlineStr">
        <is>
          <t>TTS</t>
        </is>
      </c>
      <c r="D178" s="11" t="inlineStr">
        <is>
          <t>02.5-10kg</t>
        </is>
      </c>
      <c r="E178" s="11" t="inlineStr">
        <is>
          <t>Bình Thuận</t>
        </is>
      </c>
      <c r="F178" s="11" t="n">
        <v>1419.97</v>
      </c>
      <c r="G178" s="11" t="n">
        <v>9014.110000000001</v>
      </c>
      <c r="H178" s="11" t="n">
        <v>0</v>
      </c>
      <c r="I178" s="11" t="n">
        <v>8</v>
      </c>
    </row>
    <row r="179" ht="15.75" customHeight="1" s="57">
      <c r="A179" s="39" t="inlineStr">
        <is>
          <t>2026-08-01</t>
        </is>
      </c>
      <c r="B179" s="11" t="inlineStr">
        <is>
          <t>ecom</t>
        </is>
      </c>
      <c r="C179" s="11" t="inlineStr">
        <is>
          <t>TTS</t>
        </is>
      </c>
      <c r="D179" s="11" t="inlineStr">
        <is>
          <t>02.5-10kg</t>
        </is>
      </c>
      <c r="E179" s="11" t="inlineStr">
        <is>
          <t>Khánh Hòa</t>
        </is>
      </c>
      <c r="F179" s="11" t="n">
        <v>935.38</v>
      </c>
      <c r="G179" s="11" t="n">
        <v>5937.9</v>
      </c>
      <c r="H179" s="11" t="n">
        <v>0</v>
      </c>
      <c r="I179" s="11" t="n">
        <v>8</v>
      </c>
    </row>
    <row r="180" ht="15.75" customHeight="1" s="57">
      <c r="A180" s="39" t="inlineStr">
        <is>
          <t>2026-08-01</t>
        </is>
      </c>
      <c r="B180" s="11" t="inlineStr">
        <is>
          <t>ecom</t>
        </is>
      </c>
      <c r="C180" s="11" t="inlineStr">
        <is>
          <t>TTS</t>
        </is>
      </c>
      <c r="D180" s="11" t="inlineStr">
        <is>
          <t>02.5-10kg</t>
        </is>
      </c>
      <c r="E180" s="11" t="inlineStr">
        <is>
          <t>Lâm Đồng</t>
        </is>
      </c>
      <c r="F180" s="11" t="n">
        <v>2038.18</v>
      </c>
      <c r="G180" s="11" t="n">
        <v>12938.58</v>
      </c>
      <c r="H180" s="11" t="n">
        <v>0</v>
      </c>
      <c r="I180" s="11" t="n">
        <v>8</v>
      </c>
    </row>
    <row r="181" ht="15.75" customHeight="1" s="57">
      <c r="A181" s="39" t="inlineStr">
        <is>
          <t>2026-08-01</t>
        </is>
      </c>
      <c r="B181" s="11" t="inlineStr">
        <is>
          <t>ecom</t>
        </is>
      </c>
      <c r="C181" s="11" t="inlineStr">
        <is>
          <t>TTS</t>
        </is>
      </c>
      <c r="D181" s="11" t="inlineStr">
        <is>
          <t>02.5-10kg</t>
        </is>
      </c>
      <c r="E181" s="11" t="inlineStr">
        <is>
          <t>Ninh Thuận</t>
        </is>
      </c>
      <c r="F181" s="11" t="n">
        <v>845.53</v>
      </c>
      <c r="G181" s="11" t="n">
        <v>5367.51</v>
      </c>
      <c r="H181" s="11" t="n">
        <v>0</v>
      </c>
      <c r="I181" s="11" t="n">
        <v>8</v>
      </c>
    </row>
    <row r="182" ht="15.75" customHeight="1" s="57">
      <c r="A182" s="39" t="inlineStr">
        <is>
          <t>2026-08-01</t>
        </is>
      </c>
      <c r="B182" s="11" t="inlineStr">
        <is>
          <t>ecom</t>
        </is>
      </c>
      <c r="C182" s="11" t="inlineStr">
        <is>
          <t>TTS</t>
        </is>
      </c>
      <c r="D182" s="11" t="inlineStr">
        <is>
          <t>02.5-10kg</t>
        </is>
      </c>
      <c r="E182" s="11" t="inlineStr">
        <is>
          <t>Đắk Nông</t>
        </is>
      </c>
      <c r="F182" s="11" t="n">
        <v>327.92</v>
      </c>
      <c r="G182" s="11" t="n">
        <v>2081.68</v>
      </c>
      <c r="H182" s="11" t="n">
        <v>0</v>
      </c>
      <c r="I182" s="11" t="n">
        <v>8</v>
      </c>
    </row>
    <row r="183" ht="15.75" customHeight="1" s="57">
      <c r="A183" s="39" t="inlineStr">
        <is>
          <t>2026-08-01</t>
        </is>
      </c>
      <c r="B183" s="11" t="inlineStr">
        <is>
          <t>ecom</t>
        </is>
      </c>
      <c r="C183" s="11" t="inlineStr">
        <is>
          <t>TTS</t>
        </is>
      </c>
      <c r="D183" s="11" t="inlineStr">
        <is>
          <t>03.10-15kg</t>
        </is>
      </c>
      <c r="E183" s="11" t="inlineStr">
        <is>
          <t>Bình Thuận</t>
        </is>
      </c>
      <c r="F183" s="11" t="n">
        <v>503.79</v>
      </c>
      <c r="G183" s="11" t="n">
        <v>5807.34</v>
      </c>
      <c r="H183" s="11" t="n">
        <v>0</v>
      </c>
      <c r="I183" s="11" t="n">
        <v>8</v>
      </c>
    </row>
    <row r="184" ht="15.75" customHeight="1" s="57">
      <c r="A184" s="39" t="inlineStr">
        <is>
          <t>2026-08-01</t>
        </is>
      </c>
      <c r="B184" s="11" t="inlineStr">
        <is>
          <t>ecom</t>
        </is>
      </c>
      <c r="C184" s="11" t="inlineStr">
        <is>
          <t>TTS</t>
        </is>
      </c>
      <c r="D184" s="11" t="inlineStr">
        <is>
          <t>03.10-15kg</t>
        </is>
      </c>
      <c r="E184" s="11" t="inlineStr">
        <is>
          <t>Khánh Hòa</t>
        </is>
      </c>
      <c r="F184" s="11" t="n">
        <v>226.55</v>
      </c>
      <c r="G184" s="11" t="n">
        <v>2611.53</v>
      </c>
      <c r="H184" s="11" t="n">
        <v>0</v>
      </c>
      <c r="I184" s="11" t="n">
        <v>8</v>
      </c>
    </row>
    <row r="185" ht="15.75" customHeight="1" s="57">
      <c r="A185" s="39" t="inlineStr">
        <is>
          <t>2026-08-01</t>
        </is>
      </c>
      <c r="B185" s="11" t="inlineStr">
        <is>
          <t>ecom</t>
        </is>
      </c>
      <c r="C185" s="11" t="inlineStr">
        <is>
          <t>TTS</t>
        </is>
      </c>
      <c r="D185" s="11" t="inlineStr">
        <is>
          <t>03.10-15kg</t>
        </is>
      </c>
      <c r="E185" s="11" t="inlineStr">
        <is>
          <t>Lâm Đồng</t>
        </is>
      </c>
      <c r="F185" s="11" t="n">
        <v>140.54</v>
      </c>
      <c r="G185" s="11" t="n">
        <v>1620.04</v>
      </c>
      <c r="H185" s="11" t="n">
        <v>0</v>
      </c>
      <c r="I185" s="11" t="n">
        <v>8</v>
      </c>
    </row>
    <row r="186" ht="15.75" customHeight="1" s="57">
      <c r="A186" s="39" t="inlineStr">
        <is>
          <t>2026-08-01</t>
        </is>
      </c>
      <c r="B186" s="11" t="inlineStr">
        <is>
          <t>ecom</t>
        </is>
      </c>
      <c r="C186" s="11" t="inlineStr">
        <is>
          <t>TTS</t>
        </is>
      </c>
      <c r="D186" s="11" t="inlineStr">
        <is>
          <t>03.10-15kg</t>
        </is>
      </c>
      <c r="E186" s="11" t="inlineStr">
        <is>
          <t>Ninh Thuận</t>
        </is>
      </c>
      <c r="F186" s="11" t="n">
        <v>127.48</v>
      </c>
      <c r="G186" s="11" t="n">
        <v>1469.54</v>
      </c>
      <c r="H186" s="11" t="n">
        <v>0</v>
      </c>
      <c r="I186" s="11" t="n">
        <v>8</v>
      </c>
    </row>
    <row r="187" ht="15.75" customHeight="1" s="57">
      <c r="A187" s="39" t="inlineStr">
        <is>
          <t>2026-08-01</t>
        </is>
      </c>
      <c r="B187" s="11" t="inlineStr">
        <is>
          <t>ecom</t>
        </is>
      </c>
      <c r="C187" s="11" t="inlineStr">
        <is>
          <t>TTS</t>
        </is>
      </c>
      <c r="D187" s="11" t="inlineStr">
        <is>
          <t>03.10-15kg</t>
        </is>
      </c>
      <c r="E187" s="11" t="inlineStr">
        <is>
          <t>Đắk Nông</t>
        </is>
      </c>
      <c r="F187" s="11" t="n">
        <v>98.3</v>
      </c>
      <c r="G187" s="11" t="n">
        <v>1133.14</v>
      </c>
      <c r="H187" s="11" t="n">
        <v>0</v>
      </c>
      <c r="I187" s="11" t="n">
        <v>8</v>
      </c>
    </row>
    <row r="188" ht="15.75" customHeight="1" s="57">
      <c r="A188" s="39" t="inlineStr">
        <is>
          <t>2026-08-01</t>
        </is>
      </c>
      <c r="B188" s="11" t="inlineStr">
        <is>
          <t>ecom</t>
        </is>
      </c>
      <c r="C188" s="11" t="inlineStr">
        <is>
          <t>TTS</t>
        </is>
      </c>
      <c r="D188" s="11" t="inlineStr">
        <is>
          <t>04.15-20kg</t>
        </is>
      </c>
      <c r="E188" s="11" t="inlineStr">
        <is>
          <t>Bình Thuận</t>
        </is>
      </c>
      <c r="F188" s="11" t="n">
        <v>486.12</v>
      </c>
      <c r="G188" s="11" t="n">
        <v>8040.37</v>
      </c>
      <c r="H188" s="11" t="n">
        <v>0</v>
      </c>
      <c r="I188" s="11" t="n">
        <v>8</v>
      </c>
    </row>
    <row r="189" ht="15.75" customHeight="1" s="57">
      <c r="A189" s="39" t="inlineStr">
        <is>
          <t>2026-08-01</t>
        </is>
      </c>
      <c r="B189" s="11" t="inlineStr">
        <is>
          <t>ecom</t>
        </is>
      </c>
      <c r="C189" s="11" t="inlineStr">
        <is>
          <t>TTS</t>
        </is>
      </c>
      <c r="D189" s="11" t="inlineStr">
        <is>
          <t>04.15-20kg</t>
        </is>
      </c>
      <c r="E189" s="11" t="inlineStr">
        <is>
          <t>Khánh Hòa</t>
        </is>
      </c>
      <c r="F189" s="11" t="n">
        <v>36.86</v>
      </c>
      <c r="G189" s="11" t="n">
        <v>609.7</v>
      </c>
      <c r="H189" s="11" t="n">
        <v>0</v>
      </c>
      <c r="I189" s="11" t="n">
        <v>8</v>
      </c>
    </row>
    <row r="190" ht="15.75" customHeight="1" s="57">
      <c r="A190" s="39" t="inlineStr">
        <is>
          <t>2026-08-01</t>
        </is>
      </c>
      <c r="B190" s="11" t="inlineStr">
        <is>
          <t>ecom</t>
        </is>
      </c>
      <c r="C190" s="11" t="inlineStr">
        <is>
          <t>TTS</t>
        </is>
      </c>
      <c r="D190" s="11" t="inlineStr">
        <is>
          <t>04.15-20kg</t>
        </is>
      </c>
      <c r="E190" s="11" t="inlineStr">
        <is>
          <t>Lâm Đồng</t>
        </is>
      </c>
      <c r="F190" s="11" t="n">
        <v>479.21</v>
      </c>
      <c r="G190" s="11" t="n">
        <v>7926.05</v>
      </c>
      <c r="H190" s="11" t="n">
        <v>0</v>
      </c>
      <c r="I190" s="11" t="n">
        <v>8</v>
      </c>
    </row>
    <row r="191" ht="15.75" customHeight="1" s="57">
      <c r="A191" s="39" t="inlineStr">
        <is>
          <t>2026-08-01</t>
        </is>
      </c>
      <c r="B191" s="11" t="inlineStr">
        <is>
          <t>ecom</t>
        </is>
      </c>
      <c r="C191" s="11" t="inlineStr">
        <is>
          <t>TTS</t>
        </is>
      </c>
      <c r="D191" s="11" t="inlineStr">
        <is>
          <t>04.15-20kg</t>
        </is>
      </c>
      <c r="E191" s="11" t="inlineStr">
        <is>
          <t>Ninh Thuận</t>
        </is>
      </c>
      <c r="F191" s="11" t="n">
        <v>66.81</v>
      </c>
      <c r="G191" s="11" t="n">
        <v>1105.07</v>
      </c>
      <c r="H191" s="11" t="n">
        <v>0</v>
      </c>
      <c r="I191" s="11" t="n">
        <v>8</v>
      </c>
    </row>
    <row r="192" ht="15.75" customHeight="1" s="57">
      <c r="A192" s="39" t="inlineStr">
        <is>
          <t>2026-08-01</t>
        </is>
      </c>
      <c r="B192" s="11" t="inlineStr">
        <is>
          <t>ecom</t>
        </is>
      </c>
      <c r="C192" s="11" t="inlineStr">
        <is>
          <t>TTS</t>
        </is>
      </c>
      <c r="D192" s="11" t="inlineStr">
        <is>
          <t>04.15-20kg</t>
        </is>
      </c>
      <c r="E192" s="11" t="inlineStr">
        <is>
          <t>Đắk Nông</t>
        </is>
      </c>
      <c r="F192" s="11" t="n">
        <v>6.14</v>
      </c>
      <c r="G192" s="11" t="n">
        <v>101.62</v>
      </c>
      <c r="H192" s="11" t="n">
        <v>0</v>
      </c>
      <c r="I192" s="11" t="n">
        <v>8</v>
      </c>
    </row>
    <row r="193" ht="15.75" customHeight="1" s="57">
      <c r="A193" s="39" t="inlineStr">
        <is>
          <t>2026-08-01</t>
        </is>
      </c>
      <c r="B193" s="11" t="inlineStr">
        <is>
          <t>ecom</t>
        </is>
      </c>
      <c r="C193" s="11" t="inlineStr">
        <is>
          <t>TTS</t>
        </is>
      </c>
      <c r="D193" s="11" t="inlineStr">
        <is>
          <t>05.&gt;=20kg</t>
        </is>
      </c>
      <c r="E193" s="11" t="inlineStr">
        <is>
          <t>Bình Thuận</t>
        </is>
      </c>
      <c r="F193" s="11" t="n">
        <v>109.05</v>
      </c>
      <c r="G193" s="11" t="n">
        <v>3913.01</v>
      </c>
      <c r="H193" s="11" t="n">
        <v>0</v>
      </c>
      <c r="I193" s="11" t="n">
        <v>8</v>
      </c>
    </row>
    <row r="194" ht="15.75" customHeight="1" s="57">
      <c r="A194" s="39" t="inlineStr">
        <is>
          <t>2026-08-01</t>
        </is>
      </c>
      <c r="B194" s="11" t="inlineStr">
        <is>
          <t>ecom</t>
        </is>
      </c>
      <c r="C194" s="11" t="inlineStr">
        <is>
          <t>TTS</t>
        </is>
      </c>
      <c r="D194" s="11" t="inlineStr">
        <is>
          <t>05.&gt;=20kg</t>
        </is>
      </c>
      <c r="E194" s="11" t="inlineStr">
        <is>
          <t>Khánh Hòa</t>
        </is>
      </c>
      <c r="F194" s="11" t="n">
        <v>336.37</v>
      </c>
      <c r="G194" s="11" t="n">
        <v>12069.7</v>
      </c>
      <c r="H194" s="11" t="n">
        <v>0</v>
      </c>
      <c r="I194" s="11" t="n">
        <v>8</v>
      </c>
    </row>
    <row r="195" ht="15.75" customHeight="1" s="57">
      <c r="A195" s="39" t="inlineStr">
        <is>
          <t>2026-08-01</t>
        </is>
      </c>
      <c r="B195" s="11" t="inlineStr">
        <is>
          <t>ecom</t>
        </is>
      </c>
      <c r="C195" s="11" t="inlineStr">
        <is>
          <t>TTS</t>
        </is>
      </c>
      <c r="D195" s="11" t="inlineStr">
        <is>
          <t>05.&gt;=20kg</t>
        </is>
      </c>
      <c r="E195" s="11" t="inlineStr">
        <is>
          <t>Lâm Đồng</t>
        </is>
      </c>
      <c r="F195" s="11" t="n">
        <v>1075.92</v>
      </c>
      <c r="G195" s="11" t="n">
        <v>38606.5</v>
      </c>
      <c r="H195" s="11" t="n">
        <v>0</v>
      </c>
      <c r="I195" s="11" t="n">
        <v>8</v>
      </c>
    </row>
    <row r="196" ht="15.75" customHeight="1" s="57">
      <c r="A196" s="39" t="inlineStr">
        <is>
          <t>2026-08-01</t>
        </is>
      </c>
      <c r="B196" s="11" t="inlineStr">
        <is>
          <t>ecom</t>
        </is>
      </c>
      <c r="C196" s="11" t="inlineStr">
        <is>
          <t>TTS</t>
        </is>
      </c>
      <c r="D196" s="11" t="inlineStr">
        <is>
          <t>05.&gt;=20kg</t>
        </is>
      </c>
      <c r="E196" s="11" t="inlineStr">
        <is>
          <t>Ninh Thuận</t>
        </is>
      </c>
      <c r="F196" s="11" t="n">
        <v>15.36</v>
      </c>
      <c r="G196" s="11" t="n">
        <v>551.13</v>
      </c>
      <c r="H196" s="11" t="n">
        <v>0</v>
      </c>
      <c r="I196" s="11" t="n">
        <v>8</v>
      </c>
    </row>
    <row r="197" ht="15.75" customHeight="1" s="57">
      <c r="A197" s="39" t="inlineStr">
        <is>
          <t>2026-08-01</t>
        </is>
      </c>
      <c r="B197" s="11" t="inlineStr">
        <is>
          <t>ecom</t>
        </is>
      </c>
      <c r="C197" s="11" t="inlineStr">
        <is>
          <t>TTS</t>
        </is>
      </c>
      <c r="D197" s="11" t="inlineStr">
        <is>
          <t>05.&gt;=20kg</t>
        </is>
      </c>
      <c r="E197" s="11" t="inlineStr">
        <is>
          <t>Đắk Nông</t>
        </is>
      </c>
      <c r="F197" s="11" t="n">
        <v>13.06</v>
      </c>
      <c r="G197" s="11" t="n">
        <v>468.46</v>
      </c>
      <c r="H197" s="11" t="n">
        <v>0</v>
      </c>
      <c r="I197" s="11" t="n">
        <v>8</v>
      </c>
    </row>
    <row r="198" ht="15.75" customHeight="1" s="57">
      <c r="A198" s="39" t="inlineStr">
        <is>
          <t>2026-09-01</t>
        </is>
      </c>
      <c r="B198" s="11" t="inlineStr">
        <is>
          <t>sme</t>
        </is>
      </c>
      <c r="C198" s="11" t="inlineStr">
        <is>
          <t>SME</t>
        </is>
      </c>
      <c r="D198" s="11" t="inlineStr">
        <is>
          <t>01.0-5kg</t>
        </is>
      </c>
      <c r="E198" s="11" t="inlineStr">
        <is>
          <t>Bình Thuận</t>
        </is>
      </c>
      <c r="F198" s="11" t="n">
        <v>28526.91</v>
      </c>
      <c r="G198" s="11" t="n">
        <v>19752.03</v>
      </c>
      <c r="H198" s="11" t="n">
        <v>0</v>
      </c>
      <c r="I198" s="11" t="n">
        <v>9</v>
      </c>
    </row>
    <row r="199" ht="15.75" customHeight="1" s="57">
      <c r="A199" s="39" t="inlineStr">
        <is>
          <t>2026-09-01</t>
        </is>
      </c>
      <c r="B199" s="11" t="inlineStr">
        <is>
          <t>sme</t>
        </is>
      </c>
      <c r="C199" s="11" t="inlineStr">
        <is>
          <t>SME</t>
        </is>
      </c>
      <c r="D199" s="11" t="inlineStr">
        <is>
          <t>01.0-5kg</t>
        </is>
      </c>
      <c r="E199" s="11" t="inlineStr">
        <is>
          <t>Khánh Hòa</t>
        </is>
      </c>
      <c r="F199" s="11" t="n">
        <v>66877.71000000001</v>
      </c>
      <c r="G199" s="11" t="n">
        <v>46306.13</v>
      </c>
      <c r="H199" s="11" t="n">
        <v>0</v>
      </c>
      <c r="I199" s="11" t="n">
        <v>9</v>
      </c>
    </row>
    <row r="200" ht="15.75" customHeight="1" s="57">
      <c r="A200" s="39" t="inlineStr">
        <is>
          <t>2026-09-01</t>
        </is>
      </c>
      <c r="B200" s="11" t="inlineStr">
        <is>
          <t>sme</t>
        </is>
      </c>
      <c r="C200" s="11" t="inlineStr">
        <is>
          <t>SME</t>
        </is>
      </c>
      <c r="D200" s="11" t="inlineStr">
        <is>
          <t>01.0-5kg</t>
        </is>
      </c>
      <c r="E200" s="11" t="inlineStr">
        <is>
          <t>Lâm Đồng</t>
        </is>
      </c>
      <c r="F200" s="11" t="n">
        <v>55890.27</v>
      </c>
      <c r="G200" s="11" t="n">
        <v>38698.43</v>
      </c>
      <c r="H200" s="11" t="n">
        <v>0</v>
      </c>
      <c r="I200" s="11" t="n">
        <v>9</v>
      </c>
    </row>
    <row r="201" ht="15.75" customHeight="1" s="57">
      <c r="A201" s="39" t="inlineStr">
        <is>
          <t>2026-09-01</t>
        </is>
      </c>
      <c r="B201" s="11" t="inlineStr">
        <is>
          <t>sme</t>
        </is>
      </c>
      <c r="C201" s="11" t="inlineStr">
        <is>
          <t>SME</t>
        </is>
      </c>
      <c r="D201" s="11" t="inlineStr">
        <is>
          <t>01.0-5kg</t>
        </is>
      </c>
      <c r="E201" s="11" t="inlineStr">
        <is>
          <t>Ninh Thuận</t>
        </is>
      </c>
      <c r="F201" s="11" t="n">
        <v>22989.79</v>
      </c>
      <c r="G201" s="11" t="n">
        <v>15918.13</v>
      </c>
      <c r="H201" s="11" t="n">
        <v>0</v>
      </c>
      <c r="I201" s="11" t="n">
        <v>9</v>
      </c>
    </row>
    <row r="202" ht="15.75" customHeight="1" s="57">
      <c r="A202" s="39" t="inlineStr">
        <is>
          <t>2026-09-01</t>
        </is>
      </c>
      <c r="B202" s="11" t="inlineStr">
        <is>
          <t>sme</t>
        </is>
      </c>
      <c r="C202" s="11" t="inlineStr">
        <is>
          <t>SME</t>
        </is>
      </c>
      <c r="D202" s="11" t="inlineStr">
        <is>
          <t>01.0-5kg</t>
        </is>
      </c>
      <c r="E202" s="11" t="inlineStr">
        <is>
          <t>Đắk Nông</t>
        </is>
      </c>
      <c r="F202" s="11" t="n">
        <v>84026.56</v>
      </c>
      <c r="G202" s="11" t="n">
        <v>58179.99</v>
      </c>
      <c r="H202" s="11" t="n">
        <v>0</v>
      </c>
      <c r="I202" s="11" t="n">
        <v>9</v>
      </c>
    </row>
    <row r="203" ht="15.75" customHeight="1" s="57">
      <c r="A203" s="39" t="inlineStr">
        <is>
          <t>2026-09-01</t>
        </is>
      </c>
      <c r="B203" s="11" t="inlineStr">
        <is>
          <t>sme</t>
        </is>
      </c>
      <c r="C203" s="11" t="inlineStr">
        <is>
          <t>SME</t>
        </is>
      </c>
      <c r="D203" s="11" t="inlineStr">
        <is>
          <t>02.5-10kg</t>
        </is>
      </c>
      <c r="E203" s="11" t="inlineStr">
        <is>
          <t>Bình Thuận</t>
        </is>
      </c>
      <c r="F203" s="11" t="n">
        <v>2207</v>
      </c>
      <c r="G203" s="11" t="n">
        <v>13485</v>
      </c>
      <c r="H203" s="11" t="n">
        <v>0</v>
      </c>
      <c r="I203" s="11" t="n">
        <v>9</v>
      </c>
    </row>
    <row r="204" ht="15.75" customHeight="1" s="57">
      <c r="A204" s="39" t="inlineStr">
        <is>
          <t>2026-09-01</t>
        </is>
      </c>
      <c r="B204" s="11" t="inlineStr">
        <is>
          <t>sme</t>
        </is>
      </c>
      <c r="C204" s="11" t="inlineStr">
        <is>
          <t>SME</t>
        </is>
      </c>
      <c r="D204" s="11" t="inlineStr">
        <is>
          <t>02.5-10kg</t>
        </is>
      </c>
      <c r="E204" s="11" t="inlineStr">
        <is>
          <t>Khánh Hòa</t>
        </is>
      </c>
      <c r="F204" s="11" t="n">
        <v>4479.4</v>
      </c>
      <c r="G204" s="11" t="n">
        <v>27369.6</v>
      </c>
      <c r="H204" s="11" t="n">
        <v>0</v>
      </c>
      <c r="I204" s="11" t="n">
        <v>9</v>
      </c>
    </row>
    <row r="205" ht="15.75" customHeight="1" s="57">
      <c r="A205" s="39" t="inlineStr">
        <is>
          <t>2026-09-01</t>
        </is>
      </c>
      <c r="B205" s="11" t="inlineStr">
        <is>
          <t>sme</t>
        </is>
      </c>
      <c r="C205" s="11" t="inlineStr">
        <is>
          <t>SME</t>
        </is>
      </c>
      <c r="D205" s="11" t="inlineStr">
        <is>
          <t>02.5-10kg</t>
        </is>
      </c>
      <c r="E205" s="11" t="inlineStr">
        <is>
          <t>Lâm Đồng</t>
        </is>
      </c>
      <c r="F205" s="11" t="n">
        <v>7540.78</v>
      </c>
      <c r="G205" s="11" t="n">
        <v>46074.95</v>
      </c>
      <c r="H205" s="11" t="n">
        <v>0</v>
      </c>
      <c r="I205" s="11" t="n">
        <v>9</v>
      </c>
    </row>
    <row r="206" ht="15.75" customHeight="1" s="57">
      <c r="A206" s="39" t="inlineStr">
        <is>
          <t>2026-09-01</t>
        </is>
      </c>
      <c r="B206" s="11" t="inlineStr">
        <is>
          <t>sme</t>
        </is>
      </c>
      <c r="C206" s="11" t="inlineStr">
        <is>
          <t>SME</t>
        </is>
      </c>
      <c r="D206" s="11" t="inlineStr">
        <is>
          <t>02.5-10kg</t>
        </is>
      </c>
      <c r="E206" s="11" t="inlineStr">
        <is>
          <t>Ninh Thuận</t>
        </is>
      </c>
      <c r="F206" s="11" t="n">
        <v>1719.46</v>
      </c>
      <c r="G206" s="11" t="n">
        <v>10506.09</v>
      </c>
      <c r="H206" s="11" t="n">
        <v>0</v>
      </c>
      <c r="I206" s="11" t="n">
        <v>9</v>
      </c>
    </row>
    <row r="207" ht="15.75" customHeight="1" s="57">
      <c r="A207" s="39" t="inlineStr">
        <is>
          <t>2026-09-01</t>
        </is>
      </c>
      <c r="B207" s="11" t="inlineStr">
        <is>
          <t>sme</t>
        </is>
      </c>
      <c r="C207" s="11" t="inlineStr">
        <is>
          <t>SME</t>
        </is>
      </c>
      <c r="D207" s="11" t="inlineStr">
        <is>
          <t>02.5-10kg</t>
        </is>
      </c>
      <c r="E207" s="11" t="inlineStr">
        <is>
          <t>Đắk Nông</t>
        </is>
      </c>
      <c r="F207" s="11" t="n">
        <v>1380.56</v>
      </c>
      <c r="G207" s="11" t="n">
        <v>8435.389999999999</v>
      </c>
      <c r="H207" s="11" t="n">
        <v>0</v>
      </c>
      <c r="I207" s="11" t="n">
        <v>9</v>
      </c>
    </row>
    <row r="208" ht="15.75" customHeight="1" s="57">
      <c r="A208" s="39" t="inlineStr">
        <is>
          <t>2026-09-01</t>
        </is>
      </c>
      <c r="B208" s="11" t="inlineStr">
        <is>
          <t>sme</t>
        </is>
      </c>
      <c r="C208" s="11" t="inlineStr">
        <is>
          <t>SME</t>
        </is>
      </c>
      <c r="D208" s="11" t="inlineStr">
        <is>
          <t>03.10-15kg</t>
        </is>
      </c>
      <c r="E208" s="11" t="inlineStr">
        <is>
          <t>Bình Thuận</t>
        </is>
      </c>
      <c r="F208" s="11" t="n">
        <v>953.67</v>
      </c>
      <c r="G208" s="11" t="n">
        <v>10771.72</v>
      </c>
      <c r="H208" s="11" t="n">
        <v>0</v>
      </c>
      <c r="I208" s="11" t="n">
        <v>9</v>
      </c>
    </row>
    <row r="209" ht="15.75" customHeight="1" s="57">
      <c r="A209" s="39" t="inlineStr">
        <is>
          <t>2026-09-01</t>
        </is>
      </c>
      <c r="B209" s="11" t="inlineStr">
        <is>
          <t>sme</t>
        </is>
      </c>
      <c r="C209" s="11" t="inlineStr">
        <is>
          <t>SME</t>
        </is>
      </c>
      <c r="D209" s="11" t="inlineStr">
        <is>
          <t>03.10-15kg</t>
        </is>
      </c>
      <c r="E209" s="11" t="inlineStr">
        <is>
          <t>Khánh Hòa</t>
        </is>
      </c>
      <c r="F209" s="11" t="n">
        <v>2608.92</v>
      </c>
      <c r="G209" s="11" t="n">
        <v>29467.78</v>
      </c>
      <c r="H209" s="11" t="n">
        <v>0</v>
      </c>
      <c r="I209" s="11" t="n">
        <v>9</v>
      </c>
    </row>
    <row r="210" ht="15.75" customHeight="1" s="57">
      <c r="A210" s="39" t="inlineStr">
        <is>
          <t>2026-09-01</t>
        </is>
      </c>
      <c r="B210" s="11" t="inlineStr">
        <is>
          <t>sme</t>
        </is>
      </c>
      <c r="C210" s="11" t="inlineStr">
        <is>
          <t>SME</t>
        </is>
      </c>
      <c r="D210" s="11" t="inlineStr">
        <is>
          <t>03.10-15kg</t>
        </is>
      </c>
      <c r="E210" s="11" t="inlineStr">
        <is>
          <t>Lâm Đồng</t>
        </is>
      </c>
      <c r="F210" s="11" t="n">
        <v>3180.89</v>
      </c>
      <c r="G210" s="11" t="n">
        <v>35928.12</v>
      </c>
      <c r="H210" s="11" t="n">
        <v>0</v>
      </c>
      <c r="I210" s="11" t="n">
        <v>9</v>
      </c>
    </row>
    <row r="211" ht="15.75" customHeight="1" s="57">
      <c r="A211" s="39" t="inlineStr">
        <is>
          <t>2026-09-01</t>
        </is>
      </c>
      <c r="B211" s="11" t="inlineStr">
        <is>
          <t>sme</t>
        </is>
      </c>
      <c r="C211" s="11" t="inlineStr">
        <is>
          <t>SME</t>
        </is>
      </c>
      <c r="D211" s="11" t="inlineStr">
        <is>
          <t>03.10-15kg</t>
        </is>
      </c>
      <c r="E211" s="11" t="inlineStr">
        <is>
          <t>Ninh Thuận</t>
        </is>
      </c>
      <c r="F211" s="11" t="n">
        <v>780.0599999999999</v>
      </c>
      <c r="G211" s="11" t="n">
        <v>8810.780000000001</v>
      </c>
      <c r="H211" s="11" t="n">
        <v>0</v>
      </c>
      <c r="I211" s="11" t="n">
        <v>9</v>
      </c>
    </row>
    <row r="212" ht="15.75" customHeight="1" s="57">
      <c r="A212" s="39" t="inlineStr">
        <is>
          <t>2026-09-01</t>
        </is>
      </c>
      <c r="B212" s="11" t="inlineStr">
        <is>
          <t>sme</t>
        </is>
      </c>
      <c r="C212" s="11" t="inlineStr">
        <is>
          <t>SME</t>
        </is>
      </c>
      <c r="D212" s="11" t="inlineStr">
        <is>
          <t>03.10-15kg</t>
        </is>
      </c>
      <c r="E212" s="11" t="inlineStr">
        <is>
          <t>Đắk Nông</t>
        </is>
      </c>
      <c r="F212" s="11" t="n">
        <v>620.12</v>
      </c>
      <c r="G212" s="11" t="n">
        <v>7004.31</v>
      </c>
      <c r="H212" s="11" t="n">
        <v>0</v>
      </c>
      <c r="I212" s="11" t="n">
        <v>9</v>
      </c>
    </row>
    <row r="213" ht="15.75" customHeight="1" s="57">
      <c r="A213" s="39" t="inlineStr">
        <is>
          <t>2026-09-01</t>
        </is>
      </c>
      <c r="B213" s="11" t="inlineStr">
        <is>
          <t>sme</t>
        </is>
      </c>
      <c r="C213" s="11" t="inlineStr">
        <is>
          <t>SME</t>
        </is>
      </c>
      <c r="D213" s="11" t="inlineStr">
        <is>
          <t>04.15-20kg</t>
        </is>
      </c>
      <c r="E213" s="11" t="inlineStr">
        <is>
          <t>Bình Thuận</t>
        </is>
      </c>
      <c r="F213" s="11" t="n">
        <v>343.06</v>
      </c>
      <c r="G213" s="11" t="n">
        <v>5847.7</v>
      </c>
      <c r="H213" s="11" t="n">
        <v>0</v>
      </c>
      <c r="I213" s="11" t="n">
        <v>9</v>
      </c>
    </row>
    <row r="214" ht="15.75" customHeight="1" s="57">
      <c r="A214" s="39" t="inlineStr">
        <is>
          <t>2026-09-01</t>
        </is>
      </c>
      <c r="B214" s="11" t="inlineStr">
        <is>
          <t>sme</t>
        </is>
      </c>
      <c r="C214" s="11" t="inlineStr">
        <is>
          <t>SME</t>
        </is>
      </c>
      <c r="D214" s="11" t="inlineStr">
        <is>
          <t>04.15-20kg</t>
        </is>
      </c>
      <c r="E214" s="11" t="inlineStr">
        <is>
          <t>Khánh Hòa</t>
        </is>
      </c>
      <c r="F214" s="11" t="n">
        <v>803.84</v>
      </c>
      <c r="G214" s="11" t="n">
        <v>13702.07</v>
      </c>
      <c r="H214" s="11" t="n">
        <v>0</v>
      </c>
      <c r="I214" s="11" t="n">
        <v>9</v>
      </c>
    </row>
    <row r="215" ht="15.75" customHeight="1" s="57">
      <c r="A215" s="39" t="inlineStr">
        <is>
          <t>2026-09-01</t>
        </is>
      </c>
      <c r="B215" s="11" t="inlineStr">
        <is>
          <t>sme</t>
        </is>
      </c>
      <c r="C215" s="11" t="inlineStr">
        <is>
          <t>SME</t>
        </is>
      </c>
      <c r="D215" s="11" t="inlineStr">
        <is>
          <t>04.15-20kg</t>
        </is>
      </c>
      <c r="E215" s="11" t="inlineStr">
        <is>
          <t>Lâm Đồng</t>
        </is>
      </c>
      <c r="F215" s="11" t="n">
        <v>1057.72</v>
      </c>
      <c r="G215" s="11" t="n">
        <v>18029.57</v>
      </c>
      <c r="H215" s="11" t="n">
        <v>0</v>
      </c>
      <c r="I215" s="11" t="n">
        <v>9</v>
      </c>
    </row>
    <row r="216" ht="15.75" customHeight="1" s="57">
      <c r="A216" s="39" t="inlineStr">
        <is>
          <t>2026-09-01</t>
        </is>
      </c>
      <c r="B216" s="11" t="inlineStr">
        <is>
          <t>sme</t>
        </is>
      </c>
      <c r="C216" s="11" t="inlineStr">
        <is>
          <t>SME</t>
        </is>
      </c>
      <c r="D216" s="11" t="inlineStr">
        <is>
          <t>04.15-20kg</t>
        </is>
      </c>
      <c r="E216" s="11" t="inlineStr">
        <is>
          <t>Ninh Thuận</t>
        </is>
      </c>
      <c r="F216" s="11" t="n">
        <v>193.23</v>
      </c>
      <c r="G216" s="11" t="n">
        <v>3293.77</v>
      </c>
      <c r="H216" s="11" t="n">
        <v>0</v>
      </c>
      <c r="I216" s="11" t="n">
        <v>9</v>
      </c>
    </row>
    <row r="217" ht="15.75" customHeight="1" s="57">
      <c r="A217" s="39" t="inlineStr">
        <is>
          <t>2026-09-01</t>
        </is>
      </c>
      <c r="B217" s="11" t="inlineStr">
        <is>
          <t>sme</t>
        </is>
      </c>
      <c r="C217" s="11" t="inlineStr">
        <is>
          <t>SME</t>
        </is>
      </c>
      <c r="D217" s="11" t="inlineStr">
        <is>
          <t>04.15-20kg</t>
        </is>
      </c>
      <c r="E217" s="11" t="inlineStr">
        <is>
          <t>Đắk Nông</t>
        </is>
      </c>
      <c r="F217" s="11" t="n">
        <v>302.04</v>
      </c>
      <c r="G217" s="11" t="n">
        <v>5148.41</v>
      </c>
      <c r="H217" s="11" t="n">
        <v>0</v>
      </c>
      <c r="I217" s="11" t="n">
        <v>9</v>
      </c>
    </row>
    <row r="218" ht="15.75" customHeight="1" s="57">
      <c r="A218" s="39" t="inlineStr">
        <is>
          <t>2026-09-01</t>
        </is>
      </c>
      <c r="B218" s="11" t="inlineStr">
        <is>
          <t>sme</t>
        </is>
      </c>
      <c r="C218" s="11" t="inlineStr">
        <is>
          <t>SME</t>
        </is>
      </c>
      <c r="D218" s="11" t="inlineStr">
        <is>
          <t>05.&gt;=20kg</t>
        </is>
      </c>
      <c r="E218" s="11" t="inlineStr">
        <is>
          <t>Bình Thuận</t>
        </is>
      </c>
      <c r="F218" s="11" t="n">
        <v>745.58</v>
      </c>
      <c r="G218" s="11" t="n">
        <v>53452</v>
      </c>
      <c r="H218" s="11" t="n">
        <v>0</v>
      </c>
      <c r="I218" s="11" t="n">
        <v>9</v>
      </c>
    </row>
    <row r="219" ht="15.75" customHeight="1" s="57">
      <c r="A219" s="39" t="inlineStr">
        <is>
          <t>2026-09-01</t>
        </is>
      </c>
      <c r="B219" s="11" t="inlineStr">
        <is>
          <t>sme</t>
        </is>
      </c>
      <c r="C219" s="11" t="inlineStr">
        <is>
          <t>SME</t>
        </is>
      </c>
      <c r="D219" s="11" t="inlineStr">
        <is>
          <t>05.&gt;=20kg</t>
        </is>
      </c>
      <c r="E219" s="11" t="inlineStr">
        <is>
          <t>Khánh Hòa</t>
        </is>
      </c>
      <c r="F219" s="11" t="n">
        <v>1316.95</v>
      </c>
      <c r="G219" s="11" t="n">
        <v>94414.82000000001</v>
      </c>
      <c r="H219" s="11" t="n">
        <v>0</v>
      </c>
      <c r="I219" s="11" t="n">
        <v>9</v>
      </c>
    </row>
    <row r="220" ht="15.75" customHeight="1" s="57">
      <c r="A220" s="39" t="inlineStr">
        <is>
          <t>2026-09-01</t>
        </is>
      </c>
      <c r="B220" s="11" t="inlineStr">
        <is>
          <t>sme</t>
        </is>
      </c>
      <c r="C220" s="11" t="inlineStr">
        <is>
          <t>SME</t>
        </is>
      </c>
      <c r="D220" s="11" t="inlineStr">
        <is>
          <t>05.&gt;=20kg</t>
        </is>
      </c>
      <c r="E220" s="11" t="inlineStr">
        <is>
          <t>Lâm Đồng</t>
        </is>
      </c>
      <c r="F220" s="11" t="n">
        <v>1643.36</v>
      </c>
      <c r="G220" s="11" t="n">
        <v>117816.05</v>
      </c>
      <c r="H220" s="11" t="n">
        <v>0</v>
      </c>
      <c r="I220" s="11" t="n">
        <v>9</v>
      </c>
    </row>
    <row r="221" ht="15.75" customHeight="1" s="57">
      <c r="A221" s="39" t="inlineStr">
        <is>
          <t>2026-09-01</t>
        </is>
      </c>
      <c r="B221" s="11" t="inlineStr">
        <is>
          <t>sme</t>
        </is>
      </c>
      <c r="C221" s="11" t="inlineStr">
        <is>
          <t>SME</t>
        </is>
      </c>
      <c r="D221" s="11" t="inlineStr">
        <is>
          <t>05.&gt;=20kg</t>
        </is>
      </c>
      <c r="E221" s="11" t="inlineStr">
        <is>
          <t>Ninh Thuận</t>
        </is>
      </c>
      <c r="F221" s="11" t="n">
        <v>408.46</v>
      </c>
      <c r="G221" s="11" t="n">
        <v>29283.51</v>
      </c>
      <c r="H221" s="11" t="n">
        <v>0</v>
      </c>
      <c r="I221" s="11" t="n">
        <v>9</v>
      </c>
    </row>
    <row r="222" ht="15.75" customHeight="1" s="57">
      <c r="A222" s="39" t="inlineStr">
        <is>
          <t>2026-09-01</t>
        </is>
      </c>
      <c r="B222" s="11" t="inlineStr">
        <is>
          <t>sme</t>
        </is>
      </c>
      <c r="C222" s="11" t="inlineStr">
        <is>
          <t>SME</t>
        </is>
      </c>
      <c r="D222" s="11" t="inlineStr">
        <is>
          <t>05.&gt;=20kg</t>
        </is>
      </c>
      <c r="E222" s="11" t="inlineStr">
        <is>
          <t>Đắk Nông</t>
        </is>
      </c>
      <c r="F222" s="11" t="n">
        <v>391.22</v>
      </c>
      <c r="G222" s="11" t="n">
        <v>28047.38</v>
      </c>
      <c r="H222" s="11" t="n">
        <v>0</v>
      </c>
      <c r="I222" s="11" t="n">
        <v>9</v>
      </c>
    </row>
    <row r="223" ht="15.75" customHeight="1" s="57">
      <c r="A223" s="39" t="inlineStr">
        <is>
          <t>2026-09-01</t>
        </is>
      </c>
      <c r="B223" s="11" t="inlineStr">
        <is>
          <t>ecom</t>
        </is>
      </c>
      <c r="C223" s="11" t="inlineStr">
        <is>
          <t>Shopee Bulky</t>
        </is>
      </c>
      <c r="D223" s="11" t="inlineStr">
        <is>
          <t>01.0-5kg</t>
        </is>
      </c>
      <c r="E223" s="11" t="inlineStr">
        <is>
          <t>Bình Thuận</t>
        </is>
      </c>
      <c r="F223" s="11" t="n">
        <v>4.15</v>
      </c>
      <c r="G223" s="11" t="n">
        <v>9.91</v>
      </c>
      <c r="H223" s="11" t="n">
        <v>0</v>
      </c>
      <c r="I223" s="11" t="n">
        <v>9</v>
      </c>
    </row>
    <row r="224" ht="15.75" customHeight="1" s="57">
      <c r="A224" s="39" t="inlineStr">
        <is>
          <t>2026-09-01</t>
        </is>
      </c>
      <c r="B224" s="11" t="inlineStr">
        <is>
          <t>ecom</t>
        </is>
      </c>
      <c r="C224" s="11" t="inlineStr">
        <is>
          <t>Shopee Bulky</t>
        </is>
      </c>
      <c r="D224" s="11" t="inlineStr">
        <is>
          <t>01.0-5kg</t>
        </is>
      </c>
      <c r="E224" s="11" t="inlineStr">
        <is>
          <t>Khánh Hòa</t>
        </is>
      </c>
      <c r="F224" s="11" t="n">
        <v>7.47</v>
      </c>
      <c r="G224" s="11" t="n">
        <v>17.84</v>
      </c>
      <c r="H224" s="11" t="n">
        <v>0</v>
      </c>
      <c r="I224" s="11" t="n">
        <v>9</v>
      </c>
    </row>
    <row r="225" ht="15.75" customHeight="1" s="57">
      <c r="A225" s="39" t="inlineStr">
        <is>
          <t>2026-09-01</t>
        </is>
      </c>
      <c r="B225" s="11" t="inlineStr">
        <is>
          <t>ecom</t>
        </is>
      </c>
      <c r="C225" s="11" t="inlineStr">
        <is>
          <t>Shopee Bulky</t>
        </is>
      </c>
      <c r="D225" s="11" t="inlineStr">
        <is>
          <t>01.0-5kg</t>
        </is>
      </c>
      <c r="E225" s="11" t="inlineStr">
        <is>
          <t>Lâm Đồng</t>
        </is>
      </c>
      <c r="F225" s="11" t="n">
        <v>29.88</v>
      </c>
      <c r="G225" s="11" t="n">
        <v>71.36</v>
      </c>
      <c r="H225" s="11" t="n">
        <v>0</v>
      </c>
      <c r="I225" s="11" t="n">
        <v>9</v>
      </c>
    </row>
    <row r="226" ht="15.75" customHeight="1" s="57">
      <c r="A226" s="39" t="inlineStr">
        <is>
          <t>2026-09-01</t>
        </is>
      </c>
      <c r="B226" s="11" t="inlineStr">
        <is>
          <t>ecom</t>
        </is>
      </c>
      <c r="C226" s="11" t="inlineStr">
        <is>
          <t>Shopee Bulky</t>
        </is>
      </c>
      <c r="D226" s="11" t="inlineStr">
        <is>
          <t>02.5-10kg</t>
        </is>
      </c>
      <c r="E226" s="11" t="inlineStr">
        <is>
          <t>Bình Thuận</t>
        </is>
      </c>
      <c r="F226" s="11" t="n">
        <v>4.98</v>
      </c>
      <c r="G226" s="11" t="n">
        <v>40.04</v>
      </c>
      <c r="H226" s="11" t="n">
        <v>0</v>
      </c>
      <c r="I226" s="11" t="n">
        <v>9</v>
      </c>
    </row>
    <row r="227" ht="15.75" customHeight="1" s="57">
      <c r="A227" s="39" t="inlineStr">
        <is>
          <t>2026-09-01</t>
        </is>
      </c>
      <c r="B227" s="11" t="inlineStr">
        <is>
          <t>ecom</t>
        </is>
      </c>
      <c r="C227" s="11" t="inlineStr">
        <is>
          <t>Shopee Bulky</t>
        </is>
      </c>
      <c r="D227" s="11" t="inlineStr">
        <is>
          <t>02.5-10kg</t>
        </is>
      </c>
      <c r="E227" s="11" t="inlineStr">
        <is>
          <t>Khánh Hòa</t>
        </is>
      </c>
      <c r="F227" s="11" t="n">
        <v>33.2</v>
      </c>
      <c r="G227" s="11" t="n">
        <v>266.95</v>
      </c>
      <c r="H227" s="11" t="n">
        <v>0</v>
      </c>
      <c r="I227" s="11" t="n">
        <v>9</v>
      </c>
    </row>
    <row r="228" ht="15.75" customHeight="1" s="57">
      <c r="A228" s="39" t="inlineStr">
        <is>
          <t>2026-09-01</t>
        </is>
      </c>
      <c r="B228" s="11" t="inlineStr">
        <is>
          <t>ecom</t>
        </is>
      </c>
      <c r="C228" s="11" t="inlineStr">
        <is>
          <t>Shopee Bulky</t>
        </is>
      </c>
      <c r="D228" s="11" t="inlineStr">
        <is>
          <t>02.5-10kg</t>
        </is>
      </c>
      <c r="E228" s="11" t="inlineStr">
        <is>
          <t>Lâm Đồng</t>
        </is>
      </c>
      <c r="F228" s="11" t="n">
        <v>88.8</v>
      </c>
      <c r="G228" s="11" t="n">
        <v>714.1</v>
      </c>
      <c r="H228" s="11" t="n">
        <v>0</v>
      </c>
      <c r="I228" s="11" t="n">
        <v>9</v>
      </c>
    </row>
    <row r="229" ht="15.75" customHeight="1" s="57">
      <c r="A229" s="39" t="inlineStr">
        <is>
          <t>2026-09-01</t>
        </is>
      </c>
      <c r="B229" s="11" t="inlineStr">
        <is>
          <t>ecom</t>
        </is>
      </c>
      <c r="C229" s="11" t="inlineStr">
        <is>
          <t>Shopee Bulky</t>
        </is>
      </c>
      <c r="D229" s="11" t="inlineStr">
        <is>
          <t>02.5-10kg</t>
        </is>
      </c>
      <c r="E229" s="11" t="inlineStr">
        <is>
          <t>Ninh Thuận</t>
        </is>
      </c>
      <c r="F229" s="11" t="n">
        <v>4.15</v>
      </c>
      <c r="G229" s="11" t="n">
        <v>33.37</v>
      </c>
      <c r="H229" s="11" t="n">
        <v>0</v>
      </c>
      <c r="I229" s="11" t="n">
        <v>9</v>
      </c>
    </row>
    <row r="230" ht="15.75" customHeight="1" s="57">
      <c r="A230" s="39" t="inlineStr">
        <is>
          <t>2026-09-01</t>
        </is>
      </c>
      <c r="B230" s="11" t="inlineStr">
        <is>
          <t>ecom</t>
        </is>
      </c>
      <c r="C230" s="11" t="inlineStr">
        <is>
          <t>Shopee Bulky</t>
        </is>
      </c>
      <c r="D230" s="11" t="inlineStr">
        <is>
          <t>02.5-10kg</t>
        </is>
      </c>
      <c r="E230" s="11" t="inlineStr">
        <is>
          <t>Đắk Nông</t>
        </is>
      </c>
      <c r="F230" s="11" t="n">
        <v>2.49</v>
      </c>
      <c r="G230" s="11" t="n">
        <v>20.02</v>
      </c>
      <c r="H230" s="11" t="n">
        <v>0</v>
      </c>
      <c r="I230" s="11" t="n">
        <v>9</v>
      </c>
    </row>
    <row r="231" ht="15.75" customHeight="1" s="57">
      <c r="A231" s="39" t="inlineStr">
        <is>
          <t>2026-09-01</t>
        </is>
      </c>
      <c r="B231" s="11" t="inlineStr">
        <is>
          <t>ecom</t>
        </is>
      </c>
      <c r="C231" s="11" t="inlineStr">
        <is>
          <t>Shopee Bulky</t>
        </is>
      </c>
      <c r="D231" s="11" t="inlineStr">
        <is>
          <t>03.10-15kg</t>
        </is>
      </c>
      <c r="E231" s="11" t="inlineStr">
        <is>
          <t>Bình Thuận</t>
        </is>
      </c>
      <c r="F231" s="11" t="n">
        <v>903.77</v>
      </c>
      <c r="G231" s="11" t="n">
        <v>10773.52</v>
      </c>
      <c r="H231" s="11" t="n">
        <v>0</v>
      </c>
      <c r="I231" s="11" t="n">
        <v>9</v>
      </c>
    </row>
    <row r="232" ht="15.75" customHeight="1" s="57">
      <c r="A232" s="39" t="inlineStr">
        <is>
          <t>2026-09-01</t>
        </is>
      </c>
      <c r="B232" s="11" t="inlineStr">
        <is>
          <t>ecom</t>
        </is>
      </c>
      <c r="C232" s="11" t="inlineStr">
        <is>
          <t>Shopee Bulky</t>
        </is>
      </c>
      <c r="D232" s="11" t="inlineStr">
        <is>
          <t>03.10-15kg</t>
        </is>
      </c>
      <c r="E232" s="11" t="inlineStr">
        <is>
          <t>Khánh Hòa</t>
        </is>
      </c>
      <c r="F232" s="11" t="n">
        <v>1114.56</v>
      </c>
      <c r="G232" s="11" t="n">
        <v>13286.36</v>
      </c>
      <c r="H232" s="11" t="n">
        <v>0</v>
      </c>
      <c r="I232" s="11" t="n">
        <v>9</v>
      </c>
    </row>
    <row r="233" ht="15.75" customHeight="1" s="57">
      <c r="A233" s="39" t="inlineStr">
        <is>
          <t>2026-09-01</t>
        </is>
      </c>
      <c r="B233" s="11" t="inlineStr">
        <is>
          <t>ecom</t>
        </is>
      </c>
      <c r="C233" s="11" t="inlineStr">
        <is>
          <t>Shopee Bulky</t>
        </is>
      </c>
      <c r="D233" s="11" t="inlineStr">
        <is>
          <t>03.10-15kg</t>
        </is>
      </c>
      <c r="E233" s="11" t="inlineStr">
        <is>
          <t>Lâm Đồng</t>
        </is>
      </c>
      <c r="F233" s="11" t="n">
        <v>1327.02</v>
      </c>
      <c r="G233" s="11" t="n">
        <v>15818.97</v>
      </c>
      <c r="H233" s="11" t="n">
        <v>0</v>
      </c>
      <c r="I233" s="11" t="n">
        <v>9</v>
      </c>
    </row>
    <row r="234" ht="15.75" customHeight="1" s="57">
      <c r="A234" s="39" t="inlineStr">
        <is>
          <t>2026-09-01</t>
        </is>
      </c>
      <c r="B234" s="11" t="inlineStr">
        <is>
          <t>ecom</t>
        </is>
      </c>
      <c r="C234" s="11" t="inlineStr">
        <is>
          <t>Shopee Bulky</t>
        </is>
      </c>
      <c r="D234" s="11" t="inlineStr">
        <is>
          <t>03.10-15kg</t>
        </is>
      </c>
      <c r="E234" s="11" t="inlineStr">
        <is>
          <t>Ninh Thuận</t>
        </is>
      </c>
      <c r="F234" s="11" t="n">
        <v>979.29</v>
      </c>
      <c r="G234" s="11" t="n">
        <v>11673.79</v>
      </c>
      <c r="H234" s="11" t="n">
        <v>0</v>
      </c>
      <c r="I234" s="11" t="n">
        <v>9</v>
      </c>
    </row>
    <row r="235" ht="15.75" customHeight="1" s="57">
      <c r="A235" s="39" t="inlineStr">
        <is>
          <t>2026-09-01</t>
        </is>
      </c>
      <c r="B235" s="11" t="inlineStr">
        <is>
          <t>ecom</t>
        </is>
      </c>
      <c r="C235" s="11" t="inlineStr">
        <is>
          <t>Shopee Bulky</t>
        </is>
      </c>
      <c r="D235" s="11" t="inlineStr">
        <is>
          <t>03.10-15kg</t>
        </is>
      </c>
      <c r="E235" s="11" t="inlineStr">
        <is>
          <t>Đắk Nông</t>
        </is>
      </c>
      <c r="F235" s="11" t="n">
        <v>226.56</v>
      </c>
      <c r="G235" s="11" t="n">
        <v>2700.8</v>
      </c>
      <c r="H235" s="11" t="n">
        <v>0</v>
      </c>
      <c r="I235" s="11" t="n">
        <v>9</v>
      </c>
    </row>
    <row r="236" ht="15.75" customHeight="1" s="57">
      <c r="A236" s="39" t="inlineStr">
        <is>
          <t>2026-09-01</t>
        </is>
      </c>
      <c r="B236" s="11" t="inlineStr">
        <is>
          <t>ecom</t>
        </is>
      </c>
      <c r="C236" s="11" t="inlineStr">
        <is>
          <t>Shopee Bulky</t>
        </is>
      </c>
      <c r="D236" s="11" t="inlineStr">
        <is>
          <t>04.15-20kg</t>
        </is>
      </c>
      <c r="E236" s="11" t="inlineStr">
        <is>
          <t>Bình Thuận</t>
        </is>
      </c>
      <c r="F236" s="11" t="n">
        <v>842.35</v>
      </c>
      <c r="G236" s="11" t="n">
        <v>14233.41</v>
      </c>
      <c r="H236" s="11" t="n">
        <v>0</v>
      </c>
      <c r="I236" s="11" t="n">
        <v>9</v>
      </c>
    </row>
    <row r="237" ht="15.75" customHeight="1" s="57">
      <c r="A237" s="39" t="inlineStr">
        <is>
          <t>2026-09-01</t>
        </is>
      </c>
      <c r="B237" s="11" t="inlineStr">
        <is>
          <t>ecom</t>
        </is>
      </c>
      <c r="C237" s="11" t="inlineStr">
        <is>
          <t>Shopee Bulky</t>
        </is>
      </c>
      <c r="D237" s="11" t="inlineStr">
        <is>
          <t>04.15-20kg</t>
        </is>
      </c>
      <c r="E237" s="11" t="inlineStr">
        <is>
          <t>Khánh Hòa</t>
        </is>
      </c>
      <c r="F237" s="11" t="n">
        <v>498.77</v>
      </c>
      <c r="G237" s="11" t="n">
        <v>8427.860000000001</v>
      </c>
      <c r="H237" s="11" t="n">
        <v>0</v>
      </c>
      <c r="I237" s="11" t="n">
        <v>9</v>
      </c>
    </row>
    <row r="238" ht="15.75" customHeight="1" s="57">
      <c r="A238" s="39" t="inlineStr">
        <is>
          <t>2026-09-01</t>
        </is>
      </c>
      <c r="B238" s="11" t="inlineStr">
        <is>
          <t>ecom</t>
        </is>
      </c>
      <c r="C238" s="11" t="inlineStr">
        <is>
          <t>Shopee Bulky</t>
        </is>
      </c>
      <c r="D238" s="11" t="inlineStr">
        <is>
          <t>04.15-20kg</t>
        </is>
      </c>
      <c r="E238" s="11" t="inlineStr">
        <is>
          <t>Lâm Đồng</t>
        </is>
      </c>
      <c r="F238" s="11" t="n">
        <v>711.23</v>
      </c>
      <c r="G238" s="11" t="n">
        <v>12017.76</v>
      </c>
      <c r="H238" s="11" t="n">
        <v>0</v>
      </c>
      <c r="I238" s="11" t="n">
        <v>9</v>
      </c>
    </row>
    <row r="239" ht="15.75" customHeight="1" s="57">
      <c r="A239" s="39" t="inlineStr">
        <is>
          <t>2026-09-01</t>
        </is>
      </c>
      <c r="B239" s="11" t="inlineStr">
        <is>
          <t>ecom</t>
        </is>
      </c>
      <c r="C239" s="11" t="inlineStr">
        <is>
          <t>Shopee Bulky</t>
        </is>
      </c>
      <c r="D239" s="11" t="inlineStr">
        <is>
          <t>04.15-20kg</t>
        </is>
      </c>
      <c r="E239" s="11" t="inlineStr">
        <is>
          <t>Ninh Thuận</t>
        </is>
      </c>
      <c r="F239" s="11" t="n">
        <v>227.39</v>
      </c>
      <c r="G239" s="11" t="n">
        <v>3842.32</v>
      </c>
      <c r="H239" s="11" t="n">
        <v>0</v>
      </c>
      <c r="I239" s="11" t="n">
        <v>9</v>
      </c>
    </row>
    <row r="240" ht="15.75" customHeight="1" s="57">
      <c r="A240" s="39" t="inlineStr">
        <is>
          <t>2026-09-01</t>
        </is>
      </c>
      <c r="B240" s="11" t="inlineStr">
        <is>
          <t>ecom</t>
        </is>
      </c>
      <c r="C240" s="11" t="inlineStr">
        <is>
          <t>Shopee Bulky</t>
        </is>
      </c>
      <c r="D240" s="11" t="inlineStr">
        <is>
          <t>04.15-20kg</t>
        </is>
      </c>
      <c r="E240" s="11" t="inlineStr">
        <is>
          <t>Đắk Nông</t>
        </is>
      </c>
      <c r="F240" s="11" t="n">
        <v>93.78</v>
      </c>
      <c r="G240" s="11" t="n">
        <v>1584.61</v>
      </c>
      <c r="H240" s="11" t="n">
        <v>0</v>
      </c>
      <c r="I240" s="11" t="n">
        <v>9</v>
      </c>
    </row>
    <row r="241" ht="15.75" customHeight="1" s="57">
      <c r="A241" s="39" t="inlineStr">
        <is>
          <t>2026-09-01</t>
        </is>
      </c>
      <c r="B241" s="11" t="inlineStr">
        <is>
          <t>ecom</t>
        </is>
      </c>
      <c r="C241" s="11" t="inlineStr">
        <is>
          <t>Shopee Bulky</t>
        </is>
      </c>
      <c r="D241" s="11" t="inlineStr">
        <is>
          <t>05.&gt;=20kg</t>
        </is>
      </c>
      <c r="E241" s="11" t="inlineStr">
        <is>
          <t>Bình Thuận</t>
        </is>
      </c>
      <c r="F241" s="11" t="n">
        <v>1646.53</v>
      </c>
      <c r="G241" s="11" t="n">
        <v>55930.5</v>
      </c>
      <c r="H241" s="11" t="n">
        <v>0</v>
      </c>
      <c r="I241" s="11" t="n">
        <v>9</v>
      </c>
    </row>
    <row r="242" ht="15.75" customHeight="1" s="57">
      <c r="A242" s="39" t="inlineStr">
        <is>
          <t>2026-09-01</t>
        </is>
      </c>
      <c r="B242" s="11" t="inlineStr">
        <is>
          <t>ecom</t>
        </is>
      </c>
      <c r="C242" s="11" t="inlineStr">
        <is>
          <t>Shopee Bulky</t>
        </is>
      </c>
      <c r="D242" s="11" t="inlineStr">
        <is>
          <t>05.&gt;=20kg</t>
        </is>
      </c>
      <c r="E242" s="11" t="inlineStr">
        <is>
          <t>Khánh Hòa</t>
        </is>
      </c>
      <c r="F242" s="11" t="n">
        <v>839.03</v>
      </c>
      <c r="G242" s="11" t="n">
        <v>28500.87</v>
      </c>
      <c r="H242" s="11" t="n">
        <v>0</v>
      </c>
      <c r="I242" s="11" t="n">
        <v>9</v>
      </c>
    </row>
    <row r="243" ht="15.75" customHeight="1" s="57">
      <c r="A243" s="39" t="inlineStr">
        <is>
          <t>2026-09-01</t>
        </is>
      </c>
      <c r="B243" s="11" t="inlineStr">
        <is>
          <t>ecom</t>
        </is>
      </c>
      <c r="C243" s="11" t="inlineStr">
        <is>
          <t>Shopee Bulky</t>
        </is>
      </c>
      <c r="D243" s="11" t="inlineStr">
        <is>
          <t>05.&gt;=20kg</t>
        </is>
      </c>
      <c r="E243" s="11" t="inlineStr">
        <is>
          <t>Lâm Đồng</t>
        </is>
      </c>
      <c r="F243" s="11" t="n">
        <v>1784.29</v>
      </c>
      <c r="G243" s="11" t="n">
        <v>60610.17</v>
      </c>
      <c r="H243" s="11" t="n">
        <v>0</v>
      </c>
      <c r="I243" s="11" t="n">
        <v>9</v>
      </c>
    </row>
    <row r="244" ht="15.75" customHeight="1" s="57">
      <c r="A244" s="39" t="inlineStr">
        <is>
          <t>2026-09-01</t>
        </is>
      </c>
      <c r="B244" s="11" t="inlineStr">
        <is>
          <t>ecom</t>
        </is>
      </c>
      <c r="C244" s="11" t="inlineStr">
        <is>
          <t>Shopee Bulky</t>
        </is>
      </c>
      <c r="D244" s="11" t="inlineStr">
        <is>
          <t>05.&gt;=20kg</t>
        </is>
      </c>
      <c r="E244" s="11" t="inlineStr">
        <is>
          <t>Ninh Thuận</t>
        </is>
      </c>
      <c r="F244" s="11" t="n">
        <v>349.39</v>
      </c>
      <c r="G244" s="11" t="n">
        <v>11868.32</v>
      </c>
      <c r="H244" s="11" t="n">
        <v>0</v>
      </c>
      <c r="I244" s="11" t="n">
        <v>9</v>
      </c>
    </row>
    <row r="245" ht="15.75" customHeight="1" s="57">
      <c r="A245" s="39" t="inlineStr">
        <is>
          <t>2026-09-01</t>
        </is>
      </c>
      <c r="B245" s="11" t="inlineStr">
        <is>
          <t>ecom</t>
        </is>
      </c>
      <c r="C245" s="11" t="inlineStr">
        <is>
          <t>Shopee Bulky</t>
        </is>
      </c>
      <c r="D245" s="11" t="inlineStr">
        <is>
          <t>05.&gt;=20kg</t>
        </is>
      </c>
      <c r="E245" s="11" t="inlineStr">
        <is>
          <t>Đắk Nông</t>
        </is>
      </c>
      <c r="F245" s="11" t="n">
        <v>224.9</v>
      </c>
      <c r="G245" s="11" t="n">
        <v>7639.7</v>
      </c>
      <c r="H245" s="11" t="n">
        <v>0</v>
      </c>
      <c r="I245" s="11" t="n">
        <v>9</v>
      </c>
    </row>
    <row r="246" ht="15.75" customHeight="1" s="57">
      <c r="A246" s="39" t="inlineStr">
        <is>
          <t>2026-09-01</t>
        </is>
      </c>
      <c r="B246" s="11" t="inlineStr">
        <is>
          <t>ecom</t>
        </is>
      </c>
      <c r="C246" s="11" t="inlineStr">
        <is>
          <t>Shopee Ecom</t>
        </is>
      </c>
      <c r="D246" s="11" t="inlineStr">
        <is>
          <t>01.0-5kg</t>
        </is>
      </c>
      <c r="E246" s="11" t="inlineStr">
        <is>
          <t>Bình Thuận</t>
        </is>
      </c>
      <c r="F246" s="11" t="n">
        <v>10980.88</v>
      </c>
      <c r="G246" s="11" t="n">
        <v>9397.440000000001</v>
      </c>
      <c r="H246" s="11" t="n">
        <v>0</v>
      </c>
      <c r="I246" s="11" t="n">
        <v>9</v>
      </c>
    </row>
    <row r="247" ht="15.75" customHeight="1" s="57">
      <c r="A247" s="39" t="inlineStr">
        <is>
          <t>2026-09-01</t>
        </is>
      </c>
      <c r="B247" s="11" t="inlineStr">
        <is>
          <t>ecom</t>
        </is>
      </c>
      <c r="C247" s="11" t="inlineStr">
        <is>
          <t>Shopee Ecom</t>
        </is>
      </c>
      <c r="D247" s="11" t="inlineStr">
        <is>
          <t>01.0-5kg</t>
        </is>
      </c>
      <c r="E247" s="11" t="inlineStr">
        <is>
          <t>Khánh Hòa</t>
        </is>
      </c>
      <c r="F247" s="11" t="n">
        <v>16716.95</v>
      </c>
      <c r="G247" s="11" t="n">
        <v>14306.37</v>
      </c>
      <c r="H247" s="11" t="n">
        <v>0</v>
      </c>
      <c r="I247" s="11" t="n">
        <v>9</v>
      </c>
    </row>
    <row r="248" ht="15.75" customHeight="1" s="57">
      <c r="A248" s="39" t="inlineStr">
        <is>
          <t>2026-09-01</t>
        </is>
      </c>
      <c r="B248" s="11" t="inlineStr">
        <is>
          <t>ecom</t>
        </is>
      </c>
      <c r="C248" s="11" t="inlineStr">
        <is>
          <t>Shopee Ecom</t>
        </is>
      </c>
      <c r="D248" s="11" t="inlineStr">
        <is>
          <t>01.0-5kg</t>
        </is>
      </c>
      <c r="E248" s="11" t="inlineStr">
        <is>
          <t>Lâm Đồng</t>
        </is>
      </c>
      <c r="F248" s="11" t="n">
        <v>21225.57</v>
      </c>
      <c r="G248" s="11" t="n">
        <v>18164.84</v>
      </c>
      <c r="H248" s="11" t="n">
        <v>0</v>
      </c>
      <c r="I248" s="11" t="n">
        <v>9</v>
      </c>
    </row>
    <row r="249" ht="15.75" customHeight="1" s="57">
      <c r="A249" s="39" t="inlineStr">
        <is>
          <t>2026-09-01</t>
        </is>
      </c>
      <c r="B249" s="11" t="inlineStr">
        <is>
          <t>ecom</t>
        </is>
      </c>
      <c r="C249" s="11" t="inlineStr">
        <is>
          <t>Shopee Ecom</t>
        </is>
      </c>
      <c r="D249" s="11" t="inlineStr">
        <is>
          <t>01.0-5kg</t>
        </is>
      </c>
      <c r="E249" s="11" t="inlineStr">
        <is>
          <t>Ninh Thuận</t>
        </is>
      </c>
      <c r="F249" s="11" t="n">
        <v>6971.15</v>
      </c>
      <c r="G249" s="11" t="n">
        <v>5965.91</v>
      </c>
      <c r="H249" s="11" t="n">
        <v>0</v>
      </c>
      <c r="I249" s="11" t="n">
        <v>9</v>
      </c>
    </row>
    <row r="250" ht="15.75" customHeight="1" s="57">
      <c r="A250" s="39" t="inlineStr">
        <is>
          <t>2026-09-01</t>
        </is>
      </c>
      <c r="B250" s="11" t="inlineStr">
        <is>
          <t>ecom</t>
        </is>
      </c>
      <c r="C250" s="11" t="inlineStr">
        <is>
          <t>Shopee Ecom</t>
        </is>
      </c>
      <c r="D250" s="11" t="inlineStr">
        <is>
          <t>01.0-5kg</t>
        </is>
      </c>
      <c r="E250" s="11" t="inlineStr">
        <is>
          <t>Đắk Nông</t>
        </is>
      </c>
      <c r="F250" s="11" t="n">
        <v>3734.31</v>
      </c>
      <c r="G250" s="11" t="n">
        <v>3195.82</v>
      </c>
      <c r="H250" s="11" t="n">
        <v>0</v>
      </c>
      <c r="I250" s="11" t="n">
        <v>9</v>
      </c>
    </row>
    <row r="251" ht="15.75" customHeight="1" s="57">
      <c r="A251" s="39" t="inlineStr">
        <is>
          <t>2026-09-01</t>
        </is>
      </c>
      <c r="B251" s="11" t="inlineStr">
        <is>
          <t>ecom</t>
        </is>
      </c>
      <c r="C251" s="11" t="inlineStr">
        <is>
          <t>Shopee Ecom</t>
        </is>
      </c>
      <c r="D251" s="11" t="inlineStr">
        <is>
          <t>02.5-10kg</t>
        </is>
      </c>
      <c r="E251" s="11" t="inlineStr">
        <is>
          <t>Bình Thuận</t>
        </is>
      </c>
      <c r="F251" s="11" t="n">
        <v>855.79</v>
      </c>
      <c r="G251" s="11" t="n">
        <v>5892.88</v>
      </c>
      <c r="H251" s="11" t="n">
        <v>0</v>
      </c>
      <c r="I251" s="11" t="n">
        <v>9</v>
      </c>
    </row>
    <row r="252" ht="15.75" customHeight="1" s="57">
      <c r="A252" s="39" t="inlineStr">
        <is>
          <t>2026-09-01</t>
        </is>
      </c>
      <c r="B252" s="11" t="inlineStr">
        <is>
          <t>ecom</t>
        </is>
      </c>
      <c r="C252" s="11" t="inlineStr">
        <is>
          <t>Shopee Ecom</t>
        </is>
      </c>
      <c r="D252" s="11" t="inlineStr">
        <is>
          <t>02.5-10kg</t>
        </is>
      </c>
      <c r="E252" s="11" t="inlineStr">
        <is>
          <t>Khánh Hòa</t>
        </is>
      </c>
      <c r="F252" s="11" t="n">
        <v>1401.85</v>
      </c>
      <c r="G252" s="11" t="n">
        <v>9653.030000000001</v>
      </c>
      <c r="H252" s="11" t="n">
        <v>0</v>
      </c>
      <c r="I252" s="11" t="n">
        <v>9</v>
      </c>
    </row>
    <row r="253" ht="15.75" customHeight="1" s="57">
      <c r="A253" s="39" t="inlineStr">
        <is>
          <t>2026-09-01</t>
        </is>
      </c>
      <c r="B253" s="11" t="inlineStr">
        <is>
          <t>ecom</t>
        </is>
      </c>
      <c r="C253" s="11" t="inlineStr">
        <is>
          <t>Shopee Ecom</t>
        </is>
      </c>
      <c r="D253" s="11" t="inlineStr">
        <is>
          <t>02.5-10kg</t>
        </is>
      </c>
      <c r="E253" s="11" t="inlineStr">
        <is>
          <t>Lâm Đồng</t>
        </is>
      </c>
      <c r="F253" s="11" t="n">
        <v>1918.85</v>
      </c>
      <c r="G253" s="11" t="n">
        <v>13213.04</v>
      </c>
      <c r="H253" s="11" t="n">
        <v>0</v>
      </c>
      <c r="I253" s="11" t="n">
        <v>9</v>
      </c>
    </row>
    <row r="254" ht="15.75" customHeight="1" s="57">
      <c r="A254" s="39" t="inlineStr">
        <is>
          <t>2026-09-01</t>
        </is>
      </c>
      <c r="B254" s="11" t="inlineStr">
        <is>
          <t>ecom</t>
        </is>
      </c>
      <c r="C254" s="11" t="inlineStr">
        <is>
          <t>Shopee Ecom</t>
        </is>
      </c>
      <c r="D254" s="11" t="inlineStr">
        <is>
          <t>02.5-10kg</t>
        </is>
      </c>
      <c r="E254" s="11" t="inlineStr">
        <is>
          <t>Ninh Thuận</t>
        </is>
      </c>
      <c r="F254" s="11" t="n">
        <v>540.8200000000001</v>
      </c>
      <c r="G254" s="11" t="n">
        <v>3724.06</v>
      </c>
      <c r="H254" s="11" t="n">
        <v>0</v>
      </c>
      <c r="I254" s="11" t="n">
        <v>9</v>
      </c>
    </row>
    <row r="255" ht="15.75" customHeight="1" s="57">
      <c r="A255" s="39" t="inlineStr">
        <is>
          <t>2026-09-01</t>
        </is>
      </c>
      <c r="B255" s="11" t="inlineStr">
        <is>
          <t>ecom</t>
        </is>
      </c>
      <c r="C255" s="11" t="inlineStr">
        <is>
          <t>Shopee Ecom</t>
        </is>
      </c>
      <c r="D255" s="11" t="inlineStr">
        <is>
          <t>02.5-10kg</t>
        </is>
      </c>
      <c r="E255" s="11" t="inlineStr">
        <is>
          <t>Đắk Nông</t>
        </is>
      </c>
      <c r="F255" s="11" t="n">
        <v>525.1</v>
      </c>
      <c r="G255" s="11" t="n">
        <v>3615.79</v>
      </c>
      <c r="H255" s="11" t="n">
        <v>0</v>
      </c>
      <c r="I255" s="11" t="n">
        <v>9</v>
      </c>
    </row>
    <row r="256" ht="15.75" customHeight="1" s="57">
      <c r="A256" s="39" t="inlineStr">
        <is>
          <t>2026-09-01</t>
        </is>
      </c>
      <c r="B256" s="11" t="inlineStr">
        <is>
          <t>ecom</t>
        </is>
      </c>
      <c r="C256" s="11" t="inlineStr">
        <is>
          <t>Shopee Ecom</t>
        </is>
      </c>
      <c r="D256" s="11" t="inlineStr">
        <is>
          <t>03.10-15kg</t>
        </is>
      </c>
      <c r="E256" s="11" t="inlineStr">
        <is>
          <t>Bình Thuận</t>
        </is>
      </c>
      <c r="F256" s="11" t="n">
        <v>201.56</v>
      </c>
      <c r="G256" s="11" t="n">
        <v>2109.55</v>
      </c>
      <c r="H256" s="11" t="n">
        <v>0</v>
      </c>
      <c r="I256" s="11" t="n">
        <v>9</v>
      </c>
    </row>
    <row r="257" ht="15.75" customHeight="1" s="57">
      <c r="A257" s="39" t="inlineStr">
        <is>
          <t>2026-09-01</t>
        </is>
      </c>
      <c r="B257" s="11" t="inlineStr">
        <is>
          <t>ecom</t>
        </is>
      </c>
      <c r="C257" s="11" t="inlineStr">
        <is>
          <t>Shopee Ecom</t>
        </is>
      </c>
      <c r="D257" s="11" t="inlineStr">
        <is>
          <t>03.10-15kg</t>
        </is>
      </c>
      <c r="E257" s="11" t="inlineStr">
        <is>
          <t>Khánh Hòa</t>
        </is>
      </c>
      <c r="F257" s="11" t="n">
        <v>224.43</v>
      </c>
      <c r="G257" s="11" t="n">
        <v>2348.93</v>
      </c>
      <c r="H257" s="11" t="n">
        <v>0</v>
      </c>
      <c r="I257" s="11" t="n">
        <v>9</v>
      </c>
    </row>
    <row r="258" ht="15.75" customHeight="1" s="57">
      <c r="A258" s="39" t="inlineStr">
        <is>
          <t>2026-09-01</t>
        </is>
      </c>
      <c r="B258" s="11" t="inlineStr">
        <is>
          <t>ecom</t>
        </is>
      </c>
      <c r="C258" s="11" t="inlineStr">
        <is>
          <t>Shopee Ecom</t>
        </is>
      </c>
      <c r="D258" s="11" t="inlineStr">
        <is>
          <t>03.10-15kg</t>
        </is>
      </c>
      <c r="E258" s="11" t="inlineStr">
        <is>
          <t>Lâm Đồng</t>
        </is>
      </c>
      <c r="F258" s="11" t="n">
        <v>274.94</v>
      </c>
      <c r="G258" s="11" t="n">
        <v>2877.57</v>
      </c>
      <c r="H258" s="11" t="n">
        <v>0</v>
      </c>
      <c r="I258" s="11" t="n">
        <v>9</v>
      </c>
    </row>
    <row r="259" ht="15.75" customHeight="1" s="57">
      <c r="A259" s="39" t="inlineStr">
        <is>
          <t>2026-09-01</t>
        </is>
      </c>
      <c r="B259" s="11" t="inlineStr">
        <is>
          <t>ecom</t>
        </is>
      </c>
      <c r="C259" s="11" t="inlineStr">
        <is>
          <t>Shopee Ecom</t>
        </is>
      </c>
      <c r="D259" s="11" t="inlineStr">
        <is>
          <t>03.10-15kg</t>
        </is>
      </c>
      <c r="E259" s="11" t="inlineStr">
        <is>
          <t>Ninh Thuận</t>
        </is>
      </c>
      <c r="F259" s="11" t="n">
        <v>74.81</v>
      </c>
      <c r="G259" s="11" t="n">
        <v>782.98</v>
      </c>
      <c r="H259" s="11" t="n">
        <v>0</v>
      </c>
      <c r="I259" s="11" t="n">
        <v>9</v>
      </c>
    </row>
    <row r="260" ht="15.75" customHeight="1" s="57">
      <c r="A260" s="39" t="inlineStr">
        <is>
          <t>2026-09-01</t>
        </is>
      </c>
      <c r="B260" s="11" t="inlineStr">
        <is>
          <t>ecom</t>
        </is>
      </c>
      <c r="C260" s="11" t="inlineStr">
        <is>
          <t>Shopee Ecom</t>
        </is>
      </c>
      <c r="D260" s="11" t="inlineStr">
        <is>
          <t>03.10-15kg</t>
        </is>
      </c>
      <c r="E260" s="11" t="inlineStr">
        <is>
          <t>Đắk Nông</t>
        </is>
      </c>
      <c r="F260" s="11" t="n">
        <v>55.27</v>
      </c>
      <c r="G260" s="11" t="n">
        <v>578.51</v>
      </c>
      <c r="H260" s="11" t="n">
        <v>0</v>
      </c>
      <c r="I260" s="11" t="n">
        <v>9</v>
      </c>
    </row>
    <row r="261" ht="15.75" customHeight="1" s="57">
      <c r="A261" s="39" t="inlineStr">
        <is>
          <t>2026-09-01</t>
        </is>
      </c>
      <c r="B261" s="11" t="inlineStr">
        <is>
          <t>ecom</t>
        </is>
      </c>
      <c r="C261" s="11" t="inlineStr">
        <is>
          <t>Shopee Ecom</t>
        </is>
      </c>
      <c r="D261" s="11" t="inlineStr">
        <is>
          <t>04.15-20kg</t>
        </is>
      </c>
      <c r="E261" s="11" t="inlineStr">
        <is>
          <t>Bình Thuận</t>
        </is>
      </c>
      <c r="F261" s="11" t="n">
        <v>172.49</v>
      </c>
      <c r="G261" s="11" t="n">
        <v>2905.78</v>
      </c>
      <c r="H261" s="11" t="n">
        <v>0</v>
      </c>
      <c r="I261" s="11" t="n">
        <v>9</v>
      </c>
    </row>
    <row r="262" ht="15.75" customHeight="1" s="57">
      <c r="A262" s="39" t="inlineStr">
        <is>
          <t>2026-09-01</t>
        </is>
      </c>
      <c r="B262" s="11" t="inlineStr">
        <is>
          <t>ecom</t>
        </is>
      </c>
      <c r="C262" s="11" t="inlineStr">
        <is>
          <t>Shopee Ecom</t>
        </is>
      </c>
      <c r="D262" s="11" t="inlineStr">
        <is>
          <t>04.15-20kg</t>
        </is>
      </c>
      <c r="E262" s="11" t="inlineStr">
        <is>
          <t>Khánh Hòa</t>
        </is>
      </c>
      <c r="F262" s="11" t="n">
        <v>165.82</v>
      </c>
      <c r="G262" s="11" t="n">
        <v>2793.4</v>
      </c>
      <c r="H262" s="11" t="n">
        <v>0</v>
      </c>
      <c r="I262" s="11" t="n">
        <v>9</v>
      </c>
    </row>
    <row r="263" ht="15.75" customHeight="1" s="57">
      <c r="A263" s="39" t="inlineStr">
        <is>
          <t>2026-09-01</t>
        </is>
      </c>
      <c r="B263" s="11" t="inlineStr">
        <is>
          <t>ecom</t>
        </is>
      </c>
      <c r="C263" s="11" t="inlineStr">
        <is>
          <t>Shopee Ecom</t>
        </is>
      </c>
      <c r="D263" s="11" t="inlineStr">
        <is>
          <t>04.15-20kg</t>
        </is>
      </c>
      <c r="E263" s="11" t="inlineStr">
        <is>
          <t>Lâm Đồng</t>
        </is>
      </c>
      <c r="F263" s="11" t="n">
        <v>189.65</v>
      </c>
      <c r="G263" s="11" t="n">
        <v>3194.76</v>
      </c>
      <c r="H263" s="11" t="n">
        <v>0</v>
      </c>
      <c r="I263" s="11" t="n">
        <v>9</v>
      </c>
    </row>
    <row r="264" ht="15.75" customHeight="1" s="57">
      <c r="A264" s="39" t="inlineStr">
        <is>
          <t>2026-09-01</t>
        </is>
      </c>
      <c r="B264" s="11" t="inlineStr">
        <is>
          <t>ecom</t>
        </is>
      </c>
      <c r="C264" s="11" t="inlineStr">
        <is>
          <t>Shopee Ecom</t>
        </is>
      </c>
      <c r="D264" s="11" t="inlineStr">
        <is>
          <t>04.15-20kg</t>
        </is>
      </c>
      <c r="E264" s="11" t="inlineStr">
        <is>
          <t>Ninh Thuận</t>
        </is>
      </c>
      <c r="F264" s="11" t="n">
        <v>50.99</v>
      </c>
      <c r="G264" s="11" t="n">
        <v>858.89</v>
      </c>
      <c r="H264" s="11" t="n">
        <v>0</v>
      </c>
      <c r="I264" s="11" t="n">
        <v>9</v>
      </c>
    </row>
    <row r="265" ht="15.75" customHeight="1" s="57">
      <c r="A265" s="39" t="inlineStr">
        <is>
          <t>2026-09-01</t>
        </is>
      </c>
      <c r="B265" s="11" t="inlineStr">
        <is>
          <t>ecom</t>
        </is>
      </c>
      <c r="C265" s="11" t="inlineStr">
        <is>
          <t>Shopee Ecom</t>
        </is>
      </c>
      <c r="D265" s="11" t="inlineStr">
        <is>
          <t>04.15-20kg</t>
        </is>
      </c>
      <c r="E265" s="11" t="inlineStr">
        <is>
          <t>Đắk Nông</t>
        </is>
      </c>
      <c r="F265" s="11" t="n">
        <v>46.7</v>
      </c>
      <c r="G265" s="11" t="n">
        <v>786.65</v>
      </c>
      <c r="H265" s="11" t="n">
        <v>0</v>
      </c>
      <c r="I265" s="11" t="n">
        <v>9</v>
      </c>
    </row>
    <row r="266" ht="15.75" customHeight="1" s="57">
      <c r="A266" s="39" t="inlineStr">
        <is>
          <t>2026-09-01</t>
        </is>
      </c>
      <c r="B266" s="11" t="inlineStr">
        <is>
          <t>ecom</t>
        </is>
      </c>
      <c r="C266" s="11" t="inlineStr">
        <is>
          <t>Shopee Ecom</t>
        </is>
      </c>
      <c r="D266" s="11" t="inlineStr">
        <is>
          <t>05.&gt;=20kg</t>
        </is>
      </c>
      <c r="E266" s="11" t="inlineStr">
        <is>
          <t>Bình Thuận</t>
        </is>
      </c>
      <c r="F266" s="11" t="n">
        <v>266.84</v>
      </c>
      <c r="G266" s="11" t="n">
        <v>9398.26</v>
      </c>
      <c r="H266" s="11" t="n">
        <v>0</v>
      </c>
      <c r="I266" s="11" t="n">
        <v>9</v>
      </c>
    </row>
    <row r="267" ht="15.75" customHeight="1" s="57">
      <c r="A267" s="39" t="inlineStr">
        <is>
          <t>2026-09-01</t>
        </is>
      </c>
      <c r="B267" s="11" t="inlineStr">
        <is>
          <t>ecom</t>
        </is>
      </c>
      <c r="C267" s="11" t="inlineStr">
        <is>
          <t>Shopee Ecom</t>
        </is>
      </c>
      <c r="D267" s="11" t="inlineStr">
        <is>
          <t>05.&gt;=20kg</t>
        </is>
      </c>
      <c r="E267" s="11" t="inlineStr">
        <is>
          <t>Khánh Hòa</t>
        </is>
      </c>
      <c r="F267" s="11" t="n">
        <v>286.85</v>
      </c>
      <c r="G267" s="11" t="n">
        <v>10103.13</v>
      </c>
      <c r="H267" s="11" t="n">
        <v>0</v>
      </c>
      <c r="I267" s="11" t="n">
        <v>9</v>
      </c>
    </row>
    <row r="268" ht="15.75" customHeight="1" s="57">
      <c r="A268" s="39" t="inlineStr">
        <is>
          <t>2026-09-01</t>
        </is>
      </c>
      <c r="B268" s="11" t="inlineStr">
        <is>
          <t>ecom</t>
        </is>
      </c>
      <c r="C268" s="11" t="inlineStr">
        <is>
          <t>Shopee Ecom</t>
        </is>
      </c>
      <c r="D268" s="11" t="inlineStr">
        <is>
          <t>05.&gt;=20kg</t>
        </is>
      </c>
      <c r="E268" s="11" t="inlineStr">
        <is>
          <t>Lâm Đồng</t>
        </is>
      </c>
      <c r="F268" s="11" t="n">
        <v>309.72</v>
      </c>
      <c r="G268" s="11" t="n">
        <v>10908.7</v>
      </c>
      <c r="H268" s="11" t="n">
        <v>0</v>
      </c>
      <c r="I268" s="11" t="n">
        <v>9</v>
      </c>
    </row>
    <row r="269" ht="15.75" customHeight="1" s="57">
      <c r="A269" s="39" t="inlineStr">
        <is>
          <t>2026-09-01</t>
        </is>
      </c>
      <c r="B269" s="11" t="inlineStr">
        <is>
          <t>ecom</t>
        </is>
      </c>
      <c r="C269" s="11" t="inlineStr">
        <is>
          <t>Shopee Ecom</t>
        </is>
      </c>
      <c r="D269" s="11" t="inlineStr">
        <is>
          <t>05.&gt;=20kg</t>
        </is>
      </c>
      <c r="E269" s="11" t="inlineStr">
        <is>
          <t>Ninh Thuận</t>
        </is>
      </c>
      <c r="F269" s="11" t="n">
        <v>97.20999999999999</v>
      </c>
      <c r="G269" s="11" t="n">
        <v>3423.65</v>
      </c>
      <c r="H269" s="11" t="n">
        <v>0</v>
      </c>
      <c r="I269" s="11" t="n">
        <v>9</v>
      </c>
    </row>
    <row r="270" ht="15.75" customHeight="1" s="57">
      <c r="A270" s="39" t="inlineStr">
        <is>
          <t>2026-09-01</t>
        </is>
      </c>
      <c r="B270" s="11" t="inlineStr">
        <is>
          <t>ecom</t>
        </is>
      </c>
      <c r="C270" s="11" t="inlineStr">
        <is>
          <t>Shopee Ecom</t>
        </is>
      </c>
      <c r="D270" s="11" t="inlineStr">
        <is>
          <t>05.&gt;=20kg</t>
        </is>
      </c>
      <c r="E270" s="11" t="inlineStr">
        <is>
          <t>Đắk Nông</t>
        </is>
      </c>
      <c r="F270" s="11" t="n">
        <v>76.72</v>
      </c>
      <c r="G270" s="11" t="n">
        <v>2702</v>
      </c>
      <c r="H270" s="11" t="n">
        <v>0</v>
      </c>
      <c r="I270" s="11" t="n">
        <v>9</v>
      </c>
    </row>
    <row r="271" ht="15.75" customHeight="1" s="57">
      <c r="A271" s="39" t="inlineStr">
        <is>
          <t>2026-09-01</t>
        </is>
      </c>
      <c r="B271" s="11" t="inlineStr">
        <is>
          <t>ecom</t>
        </is>
      </c>
      <c r="C271" s="11" t="inlineStr">
        <is>
          <t>TTS</t>
        </is>
      </c>
      <c r="D271" s="11" t="inlineStr">
        <is>
          <t>01.0-5kg</t>
        </is>
      </c>
      <c r="E271" s="11" t="inlineStr">
        <is>
          <t>Bình Thuận</t>
        </is>
      </c>
      <c r="F271" s="11" t="n">
        <v>48213.43</v>
      </c>
      <c r="G271" s="11" t="n">
        <v>36955.6</v>
      </c>
      <c r="H271" s="11" t="n">
        <v>0</v>
      </c>
      <c r="I271" s="11" t="n">
        <v>9</v>
      </c>
    </row>
    <row r="272" ht="15.75" customHeight="1" s="57">
      <c r="A272" s="39" t="inlineStr">
        <is>
          <t>2026-09-01</t>
        </is>
      </c>
      <c r="B272" s="11" t="inlineStr">
        <is>
          <t>ecom</t>
        </is>
      </c>
      <c r="C272" s="11" t="inlineStr">
        <is>
          <t>TTS</t>
        </is>
      </c>
      <c r="D272" s="11" t="inlineStr">
        <is>
          <t>01.0-5kg</t>
        </is>
      </c>
      <c r="E272" s="11" t="inlineStr">
        <is>
          <t>Khánh Hòa</t>
        </is>
      </c>
      <c r="F272" s="11" t="n">
        <v>27508.22</v>
      </c>
      <c r="G272" s="11" t="n">
        <v>21085.05</v>
      </c>
      <c r="H272" s="11" t="n">
        <v>0</v>
      </c>
      <c r="I272" s="11" t="n">
        <v>9</v>
      </c>
    </row>
    <row r="273" ht="15.75" customHeight="1" s="57">
      <c r="A273" s="39" t="inlineStr">
        <is>
          <t>2026-09-01</t>
        </is>
      </c>
      <c r="B273" s="11" t="inlineStr">
        <is>
          <t>ecom</t>
        </is>
      </c>
      <c r="C273" s="11" t="inlineStr">
        <is>
          <t>TTS</t>
        </is>
      </c>
      <c r="D273" s="11" t="inlineStr">
        <is>
          <t>01.0-5kg</t>
        </is>
      </c>
      <c r="E273" s="11" t="inlineStr">
        <is>
          <t>Lâm Đồng</t>
        </is>
      </c>
      <c r="F273" s="11" t="n">
        <v>50306.78</v>
      </c>
      <c r="G273" s="11" t="n">
        <v>38560.15</v>
      </c>
      <c r="H273" s="11" t="n">
        <v>0</v>
      </c>
      <c r="I273" s="11" t="n">
        <v>9</v>
      </c>
    </row>
    <row r="274" ht="15.75" customHeight="1" s="57">
      <c r="A274" s="39" t="inlineStr">
        <is>
          <t>2026-09-01</t>
        </is>
      </c>
      <c r="B274" s="11" t="inlineStr">
        <is>
          <t>ecom</t>
        </is>
      </c>
      <c r="C274" s="11" t="inlineStr">
        <is>
          <t>TTS</t>
        </is>
      </c>
      <c r="D274" s="11" t="inlineStr">
        <is>
          <t>01.0-5kg</t>
        </is>
      </c>
      <c r="E274" s="11" t="inlineStr">
        <is>
          <t>Ninh Thuận</t>
        </is>
      </c>
      <c r="F274" s="11" t="n">
        <v>16799.02</v>
      </c>
      <c r="G274" s="11" t="n">
        <v>12876.45</v>
      </c>
      <c r="H274" s="11" t="n">
        <v>0</v>
      </c>
      <c r="I274" s="11" t="n">
        <v>9</v>
      </c>
    </row>
    <row r="275" ht="15.75" customHeight="1" s="57">
      <c r="A275" s="39" t="inlineStr">
        <is>
          <t>2026-09-01</t>
        </is>
      </c>
      <c r="B275" s="11" t="inlineStr">
        <is>
          <t>ecom</t>
        </is>
      </c>
      <c r="C275" s="11" t="inlineStr">
        <is>
          <t>TTS</t>
        </is>
      </c>
      <c r="D275" s="11" t="inlineStr">
        <is>
          <t>01.0-5kg</t>
        </is>
      </c>
      <c r="E275" s="11" t="inlineStr">
        <is>
          <t>Đắk Nông</t>
        </is>
      </c>
      <c r="F275" s="11" t="n">
        <v>10614.46</v>
      </c>
      <c r="G275" s="11" t="n">
        <v>8135.98</v>
      </c>
      <c r="H275" s="11" t="n">
        <v>0</v>
      </c>
      <c r="I275" s="11" t="n">
        <v>9</v>
      </c>
    </row>
    <row r="276" ht="15.75" customHeight="1" s="57">
      <c r="A276" s="39" t="inlineStr">
        <is>
          <t>2026-09-01</t>
        </is>
      </c>
      <c r="B276" s="11" t="inlineStr">
        <is>
          <t>ecom</t>
        </is>
      </c>
      <c r="C276" s="11" t="inlineStr">
        <is>
          <t>TTS</t>
        </is>
      </c>
      <c r="D276" s="11" t="inlineStr">
        <is>
          <t>02.5-10kg</t>
        </is>
      </c>
      <c r="E276" s="11" t="inlineStr">
        <is>
          <t>Bình Thuận</t>
        </is>
      </c>
      <c r="F276" s="11" t="n">
        <v>1379.4</v>
      </c>
      <c r="G276" s="11" t="n">
        <v>8756.58</v>
      </c>
      <c r="H276" s="11" t="n">
        <v>0</v>
      </c>
      <c r="I276" s="11" t="n">
        <v>9</v>
      </c>
    </row>
    <row r="277" ht="15.75" customHeight="1" s="57">
      <c r="A277" s="39" t="inlineStr">
        <is>
          <t>2026-09-01</t>
        </is>
      </c>
      <c r="B277" s="11" t="inlineStr">
        <is>
          <t>ecom</t>
        </is>
      </c>
      <c r="C277" s="11" t="inlineStr">
        <is>
          <t>TTS</t>
        </is>
      </c>
      <c r="D277" s="11" t="inlineStr">
        <is>
          <t>02.5-10kg</t>
        </is>
      </c>
      <c r="E277" s="11" t="inlineStr">
        <is>
          <t>Khánh Hòa</t>
        </is>
      </c>
      <c r="F277" s="11" t="n">
        <v>908.66</v>
      </c>
      <c r="G277" s="11" t="n">
        <v>5768.26</v>
      </c>
      <c r="H277" s="11" t="n">
        <v>0</v>
      </c>
      <c r="I277" s="11" t="n">
        <v>9</v>
      </c>
    </row>
    <row r="278" ht="15.75" customHeight="1" s="57">
      <c r="A278" s="39" t="inlineStr">
        <is>
          <t>2026-09-01</t>
        </is>
      </c>
      <c r="B278" s="11" t="inlineStr">
        <is>
          <t>ecom</t>
        </is>
      </c>
      <c r="C278" s="11" t="inlineStr">
        <is>
          <t>TTS</t>
        </is>
      </c>
      <c r="D278" s="11" t="inlineStr">
        <is>
          <t>02.5-10kg</t>
        </is>
      </c>
      <c r="E278" s="11" t="inlineStr">
        <is>
          <t>Lâm Đồng</t>
        </is>
      </c>
      <c r="F278" s="11" t="n">
        <v>1979.95</v>
      </c>
      <c r="G278" s="11" t="n">
        <v>12568.94</v>
      </c>
      <c r="H278" s="11" t="n">
        <v>0</v>
      </c>
      <c r="I278" s="11" t="n">
        <v>9</v>
      </c>
    </row>
    <row r="279" ht="15.75" customHeight="1" s="57">
      <c r="A279" s="39" t="inlineStr">
        <is>
          <t>2026-09-01</t>
        </is>
      </c>
      <c r="B279" s="11" t="inlineStr">
        <is>
          <t>ecom</t>
        </is>
      </c>
      <c r="C279" s="11" t="inlineStr">
        <is>
          <t>TTS</t>
        </is>
      </c>
      <c r="D279" s="11" t="inlineStr">
        <is>
          <t>02.5-10kg</t>
        </is>
      </c>
      <c r="E279" s="11" t="inlineStr">
        <is>
          <t>Ninh Thuận</t>
        </is>
      </c>
      <c r="F279" s="11" t="n">
        <v>821.37</v>
      </c>
      <c r="G279" s="11" t="n">
        <v>5214.17</v>
      </c>
      <c r="H279" s="11" t="n">
        <v>0</v>
      </c>
      <c r="I279" s="11" t="n">
        <v>9</v>
      </c>
    </row>
    <row r="280" ht="15.75" customHeight="1" s="57">
      <c r="A280" s="39" t="inlineStr">
        <is>
          <t>2026-09-01</t>
        </is>
      </c>
      <c r="B280" s="11" t="inlineStr">
        <is>
          <t>ecom</t>
        </is>
      </c>
      <c r="C280" s="11" t="inlineStr">
        <is>
          <t>TTS</t>
        </is>
      </c>
      <c r="D280" s="11" t="inlineStr">
        <is>
          <t>02.5-10kg</t>
        </is>
      </c>
      <c r="E280" s="11" t="inlineStr">
        <is>
          <t>Đắk Nông</t>
        </is>
      </c>
      <c r="F280" s="11" t="n">
        <v>318.55</v>
      </c>
      <c r="G280" s="11" t="n">
        <v>2022.21</v>
      </c>
      <c r="H280" s="11" t="n">
        <v>0</v>
      </c>
      <c r="I280" s="11" t="n">
        <v>9</v>
      </c>
    </row>
    <row r="281" ht="15.75" customHeight="1" s="57">
      <c r="A281" s="39" t="inlineStr">
        <is>
          <t>2026-09-01</t>
        </is>
      </c>
      <c r="B281" s="11" t="inlineStr">
        <is>
          <t>ecom</t>
        </is>
      </c>
      <c r="C281" s="11" t="inlineStr">
        <is>
          <t>TTS</t>
        </is>
      </c>
      <c r="D281" s="11" t="inlineStr">
        <is>
          <t>03.10-15kg</t>
        </is>
      </c>
      <c r="E281" s="11" t="inlineStr">
        <is>
          <t>Bình Thuận</t>
        </is>
      </c>
      <c r="F281" s="11" t="n">
        <v>489.39</v>
      </c>
      <c r="G281" s="11" t="n">
        <v>5641.43</v>
      </c>
      <c r="H281" s="11" t="n">
        <v>0</v>
      </c>
      <c r="I281" s="11" t="n">
        <v>9</v>
      </c>
    </row>
    <row r="282" ht="15.75" customHeight="1" s="57">
      <c r="A282" s="39" t="inlineStr">
        <is>
          <t>2026-09-01</t>
        </is>
      </c>
      <c r="B282" s="11" t="inlineStr">
        <is>
          <t>ecom</t>
        </is>
      </c>
      <c r="C282" s="11" t="inlineStr">
        <is>
          <t>TTS</t>
        </is>
      </c>
      <c r="D282" s="11" t="inlineStr">
        <is>
          <t>03.10-15kg</t>
        </is>
      </c>
      <c r="E282" s="11" t="inlineStr">
        <is>
          <t>Khánh Hòa</t>
        </is>
      </c>
      <c r="F282" s="11" t="n">
        <v>220.08</v>
      </c>
      <c r="G282" s="11" t="n">
        <v>2536.92</v>
      </c>
      <c r="H282" s="11" t="n">
        <v>0</v>
      </c>
      <c r="I282" s="11" t="n">
        <v>9</v>
      </c>
    </row>
    <row r="283" ht="15.75" customHeight="1" s="57">
      <c r="A283" s="39" t="inlineStr">
        <is>
          <t>2026-09-01</t>
        </is>
      </c>
      <c r="B283" s="11" t="inlineStr">
        <is>
          <t>ecom</t>
        </is>
      </c>
      <c r="C283" s="11" t="inlineStr">
        <is>
          <t>TTS</t>
        </is>
      </c>
      <c r="D283" s="11" t="inlineStr">
        <is>
          <t>03.10-15kg</t>
        </is>
      </c>
      <c r="E283" s="11" t="inlineStr">
        <is>
          <t>Lâm Đồng</t>
        </is>
      </c>
      <c r="F283" s="11" t="n">
        <v>136.52</v>
      </c>
      <c r="G283" s="11" t="n">
        <v>1573.75</v>
      </c>
      <c r="H283" s="11" t="n">
        <v>0</v>
      </c>
      <c r="I283" s="11" t="n">
        <v>9</v>
      </c>
    </row>
    <row r="284" ht="15.75" customHeight="1" s="57">
      <c r="A284" s="39" t="inlineStr">
        <is>
          <t>2026-09-01</t>
        </is>
      </c>
      <c r="B284" s="11" t="inlineStr">
        <is>
          <t>ecom</t>
        </is>
      </c>
      <c r="C284" s="11" t="inlineStr">
        <is>
          <t>TTS</t>
        </is>
      </c>
      <c r="D284" s="11" t="inlineStr">
        <is>
          <t>03.10-15kg</t>
        </is>
      </c>
      <c r="E284" s="11" t="inlineStr">
        <is>
          <t>Ninh Thuận</t>
        </is>
      </c>
      <c r="F284" s="11" t="n">
        <v>123.84</v>
      </c>
      <c r="G284" s="11" t="n">
        <v>1427.56</v>
      </c>
      <c r="H284" s="11" t="n">
        <v>0</v>
      </c>
      <c r="I284" s="11" t="n">
        <v>9</v>
      </c>
    </row>
    <row r="285" ht="15.75" customHeight="1" s="57">
      <c r="A285" s="39" t="inlineStr">
        <is>
          <t>2026-09-01</t>
        </is>
      </c>
      <c r="B285" s="11" t="inlineStr">
        <is>
          <t>ecom</t>
        </is>
      </c>
      <c r="C285" s="11" t="inlineStr">
        <is>
          <t>TTS</t>
        </is>
      </c>
      <c r="D285" s="11" t="inlineStr">
        <is>
          <t>03.10-15kg</t>
        </is>
      </c>
      <c r="E285" s="11" t="inlineStr">
        <is>
          <t>Đắk Nông</t>
        </is>
      </c>
      <c r="F285" s="11" t="n">
        <v>95.48999999999999</v>
      </c>
      <c r="G285" s="11" t="n">
        <v>1100.77</v>
      </c>
      <c r="H285" s="11" t="n">
        <v>0</v>
      </c>
      <c r="I285" s="11" t="n">
        <v>9</v>
      </c>
    </row>
    <row r="286" ht="15.75" customHeight="1" s="57">
      <c r="A286" s="39" t="inlineStr">
        <is>
          <t>2026-09-01</t>
        </is>
      </c>
      <c r="B286" s="11" t="inlineStr">
        <is>
          <t>ecom</t>
        </is>
      </c>
      <c r="C286" s="11" t="inlineStr">
        <is>
          <t>TTS</t>
        </is>
      </c>
      <c r="D286" s="11" t="inlineStr">
        <is>
          <t>04.15-20kg</t>
        </is>
      </c>
      <c r="E286" s="11" t="inlineStr">
        <is>
          <t>Bình Thuận</t>
        </is>
      </c>
      <c r="F286" s="11" t="n">
        <v>472.23</v>
      </c>
      <c r="G286" s="11" t="n">
        <v>7810.67</v>
      </c>
      <c r="H286" s="11" t="n">
        <v>0</v>
      </c>
      <c r="I286" s="11" t="n">
        <v>9</v>
      </c>
    </row>
    <row r="287" ht="15.75" customHeight="1" s="57">
      <c r="A287" s="39" t="inlineStr">
        <is>
          <t>2026-09-01</t>
        </is>
      </c>
      <c r="B287" s="11" t="inlineStr">
        <is>
          <t>ecom</t>
        </is>
      </c>
      <c r="C287" s="11" t="inlineStr">
        <is>
          <t>TTS</t>
        </is>
      </c>
      <c r="D287" s="11" t="inlineStr">
        <is>
          <t>04.15-20kg</t>
        </is>
      </c>
      <c r="E287" s="11" t="inlineStr">
        <is>
          <t>Khánh Hòa</t>
        </is>
      </c>
      <c r="F287" s="11" t="n">
        <v>35.81</v>
      </c>
      <c r="G287" s="11" t="n">
        <v>592.28</v>
      </c>
      <c r="H287" s="11" t="n">
        <v>0</v>
      </c>
      <c r="I287" s="11" t="n">
        <v>9</v>
      </c>
    </row>
    <row r="288" ht="15.75" customHeight="1" s="57">
      <c r="A288" s="39" t="inlineStr">
        <is>
          <t>2026-09-01</t>
        </is>
      </c>
      <c r="B288" s="11" t="inlineStr">
        <is>
          <t>ecom</t>
        </is>
      </c>
      <c r="C288" s="11" t="inlineStr">
        <is>
          <t>TTS</t>
        </is>
      </c>
      <c r="D288" s="11" t="inlineStr">
        <is>
          <t>04.15-20kg</t>
        </is>
      </c>
      <c r="E288" s="11" t="inlineStr">
        <is>
          <t>Lâm Đồng</t>
        </is>
      </c>
      <c r="F288" s="11" t="n">
        <v>465.52</v>
      </c>
      <c r="G288" s="11" t="n">
        <v>7699.61</v>
      </c>
      <c r="H288" s="11" t="n">
        <v>0</v>
      </c>
      <c r="I288" s="11" t="n">
        <v>9</v>
      </c>
    </row>
    <row r="289" ht="15.75" customHeight="1" s="57">
      <c r="A289" s="39" t="inlineStr">
        <is>
          <t>2026-09-01</t>
        </is>
      </c>
      <c r="B289" s="11" t="inlineStr">
        <is>
          <t>ecom</t>
        </is>
      </c>
      <c r="C289" s="11" t="inlineStr">
        <is>
          <t>TTS</t>
        </is>
      </c>
      <c r="D289" s="11" t="inlineStr">
        <is>
          <t>04.15-20kg</t>
        </is>
      </c>
      <c r="E289" s="11" t="inlineStr">
        <is>
          <t>Ninh Thuận</t>
        </is>
      </c>
      <c r="F289" s="11" t="n">
        <v>64.90000000000001</v>
      </c>
      <c r="G289" s="11" t="n">
        <v>1073.5</v>
      </c>
      <c r="H289" s="11" t="n">
        <v>0</v>
      </c>
      <c r="I289" s="11" t="n">
        <v>9</v>
      </c>
    </row>
    <row r="290" ht="15.75" customHeight="1" s="57">
      <c r="A290" s="39" t="inlineStr">
        <is>
          <t>2026-09-01</t>
        </is>
      </c>
      <c r="B290" s="11" t="inlineStr">
        <is>
          <t>ecom</t>
        </is>
      </c>
      <c r="C290" s="11" t="inlineStr">
        <is>
          <t>TTS</t>
        </is>
      </c>
      <c r="D290" s="11" t="inlineStr">
        <is>
          <t>04.15-20kg</t>
        </is>
      </c>
      <c r="E290" s="11" t="inlineStr">
        <is>
          <t>Đắk Nông</t>
        </is>
      </c>
      <c r="F290" s="11" t="n">
        <v>5.97</v>
      </c>
      <c r="G290" s="11" t="n">
        <v>98.70999999999999</v>
      </c>
      <c r="H290" s="11" t="n">
        <v>0</v>
      </c>
      <c r="I290" s="11" t="n">
        <v>9</v>
      </c>
    </row>
    <row r="291" ht="15.75" customHeight="1" s="57">
      <c r="A291" s="39" t="inlineStr">
        <is>
          <t>2026-09-01</t>
        </is>
      </c>
      <c r="B291" s="11" t="inlineStr">
        <is>
          <t>ecom</t>
        </is>
      </c>
      <c r="C291" s="11" t="inlineStr">
        <is>
          <t>TTS</t>
        </is>
      </c>
      <c r="D291" s="11" t="inlineStr">
        <is>
          <t>05.&gt;=20kg</t>
        </is>
      </c>
      <c r="E291" s="11" t="inlineStr">
        <is>
          <t>Bình Thuận</t>
        </is>
      </c>
      <c r="F291" s="11" t="n">
        <v>105.94</v>
      </c>
      <c r="G291" s="11" t="n">
        <v>3801.22</v>
      </c>
      <c r="H291" s="11" t="n">
        <v>0</v>
      </c>
      <c r="I291" s="11" t="n">
        <v>9</v>
      </c>
    </row>
    <row r="292" ht="15.75" customHeight="1" s="57">
      <c r="A292" s="39" t="inlineStr">
        <is>
          <t>2026-09-01</t>
        </is>
      </c>
      <c r="B292" s="11" t="inlineStr">
        <is>
          <t>ecom</t>
        </is>
      </c>
      <c r="C292" s="11" t="inlineStr">
        <is>
          <t>TTS</t>
        </is>
      </c>
      <c r="D292" s="11" t="inlineStr">
        <is>
          <t>05.&gt;=20kg</t>
        </is>
      </c>
      <c r="E292" s="11" t="inlineStr">
        <is>
          <t>Khánh Hòa</t>
        </is>
      </c>
      <c r="F292" s="11" t="n">
        <v>326.76</v>
      </c>
      <c r="G292" s="11" t="n">
        <v>11724.88</v>
      </c>
      <c r="H292" s="11" t="n">
        <v>0</v>
      </c>
      <c r="I292" s="11" t="n">
        <v>9</v>
      </c>
    </row>
    <row r="293" ht="15.75" customHeight="1" s="57">
      <c r="A293" s="39" t="inlineStr">
        <is>
          <t>2026-09-01</t>
        </is>
      </c>
      <c r="B293" s="11" t="inlineStr">
        <is>
          <t>ecom</t>
        </is>
      </c>
      <c r="C293" s="11" t="inlineStr">
        <is>
          <t>TTS</t>
        </is>
      </c>
      <c r="D293" s="11" t="inlineStr">
        <is>
          <t>05.&gt;=20kg</t>
        </is>
      </c>
      <c r="E293" s="11" t="inlineStr">
        <is>
          <t>Lâm Đồng</t>
        </is>
      </c>
      <c r="F293" s="11" t="n">
        <v>1045.18</v>
      </c>
      <c r="G293" s="11" t="n">
        <v>37503.56</v>
      </c>
      <c r="H293" s="11" t="n">
        <v>0</v>
      </c>
      <c r="I293" s="11" t="n">
        <v>9</v>
      </c>
    </row>
    <row r="294" ht="15.75" customHeight="1" s="57">
      <c r="A294" s="39" t="inlineStr">
        <is>
          <t>2026-09-01</t>
        </is>
      </c>
      <c r="B294" s="11" t="inlineStr">
        <is>
          <t>ecom</t>
        </is>
      </c>
      <c r="C294" s="11" t="inlineStr">
        <is>
          <t>TTS</t>
        </is>
      </c>
      <c r="D294" s="11" t="inlineStr">
        <is>
          <t>05.&gt;=20kg</t>
        </is>
      </c>
      <c r="E294" s="11" t="inlineStr">
        <is>
          <t>Ninh Thuận</t>
        </is>
      </c>
      <c r="F294" s="11" t="n">
        <v>14.92</v>
      </c>
      <c r="G294" s="11" t="n">
        <v>535.38</v>
      </c>
      <c r="H294" s="11" t="n">
        <v>0</v>
      </c>
      <c r="I294" s="11" t="n">
        <v>9</v>
      </c>
    </row>
    <row r="295" ht="15.75" customHeight="1" s="57">
      <c r="A295" s="39" t="inlineStr">
        <is>
          <t>2026-09-01</t>
        </is>
      </c>
      <c r="B295" s="11" t="inlineStr">
        <is>
          <t>ecom</t>
        </is>
      </c>
      <c r="C295" s="11" t="inlineStr">
        <is>
          <t>TTS</t>
        </is>
      </c>
      <c r="D295" s="11" t="inlineStr">
        <is>
          <t>05.&gt;=20kg</t>
        </is>
      </c>
      <c r="E295" s="11" t="inlineStr">
        <is>
          <t>Đắk Nông</t>
        </is>
      </c>
      <c r="F295" s="11" t="n">
        <v>12.68</v>
      </c>
      <c r="G295" s="11" t="n">
        <v>455.08</v>
      </c>
      <c r="H295" s="11" t="n">
        <v>0</v>
      </c>
      <c r="I295" s="11" t="n">
        <v>9</v>
      </c>
    </row>
    <row r="296" ht="15.75" customHeight="1" s="57">
      <c r="A296" s="39" t="inlineStr">
        <is>
          <t>2026-10-01</t>
        </is>
      </c>
      <c r="B296" s="11" t="inlineStr">
        <is>
          <t>sme</t>
        </is>
      </c>
      <c r="C296" s="11" t="inlineStr">
        <is>
          <t>SME</t>
        </is>
      </c>
      <c r="D296" s="11" t="inlineStr">
        <is>
          <t>01.0-5kg</t>
        </is>
      </c>
      <c r="E296" s="11" t="inlineStr">
        <is>
          <t>Bình Thuận</t>
        </is>
      </c>
      <c r="F296" s="11" t="n">
        <v>31813.01</v>
      </c>
      <c r="G296" s="11" t="n">
        <v>22027.33</v>
      </c>
      <c r="H296" s="11" t="n">
        <v>0</v>
      </c>
      <c r="I296" s="11" t="n">
        <v>10</v>
      </c>
    </row>
    <row r="297" ht="15.75" customHeight="1" s="57">
      <c r="A297" s="39" t="inlineStr">
        <is>
          <t>2026-10-01</t>
        </is>
      </c>
      <c r="B297" s="11" t="inlineStr">
        <is>
          <t>sme</t>
        </is>
      </c>
      <c r="C297" s="11" t="inlineStr">
        <is>
          <t>SME</t>
        </is>
      </c>
      <c r="D297" s="11" t="inlineStr">
        <is>
          <t>01.0-5kg</t>
        </is>
      </c>
      <c r="E297" s="11" t="inlineStr">
        <is>
          <t>Khánh Hòa</t>
        </is>
      </c>
      <c r="F297" s="11" t="n">
        <v>74581.56</v>
      </c>
      <c r="G297" s="11" t="n">
        <v>51640.27</v>
      </c>
      <c r="H297" s="11" t="n">
        <v>0</v>
      </c>
      <c r="I297" s="11" t="n">
        <v>10</v>
      </c>
    </row>
    <row r="298" ht="15.75" customHeight="1" s="57">
      <c r="A298" s="39" t="inlineStr">
        <is>
          <t>2026-10-01</t>
        </is>
      </c>
      <c r="B298" s="11" t="inlineStr">
        <is>
          <t>sme</t>
        </is>
      </c>
      <c r="C298" s="11" t="inlineStr">
        <is>
          <t>SME</t>
        </is>
      </c>
      <c r="D298" s="11" t="inlineStr">
        <is>
          <t>01.0-5kg</t>
        </is>
      </c>
      <c r="E298" s="11" t="inlineStr">
        <is>
          <t>Lâm Đồng</t>
        </is>
      </c>
      <c r="F298" s="11" t="n">
        <v>62328.44</v>
      </c>
      <c r="G298" s="11" t="n">
        <v>43156.21</v>
      </c>
      <c r="H298" s="11" t="n">
        <v>0</v>
      </c>
      <c r="I298" s="11" t="n">
        <v>10</v>
      </c>
    </row>
    <row r="299" ht="15.75" customHeight="1" s="57">
      <c r="A299" s="39" t="inlineStr">
        <is>
          <t>2026-10-01</t>
        </is>
      </c>
      <c r="B299" s="11" t="inlineStr">
        <is>
          <t>sme</t>
        </is>
      </c>
      <c r="C299" s="11" t="inlineStr">
        <is>
          <t>SME</t>
        </is>
      </c>
      <c r="D299" s="11" t="inlineStr">
        <is>
          <t>01.0-5kg</t>
        </is>
      </c>
      <c r="E299" s="11" t="inlineStr">
        <is>
          <t>Ninh Thuận</t>
        </is>
      </c>
      <c r="F299" s="11" t="n">
        <v>25638.05</v>
      </c>
      <c r="G299" s="11" t="n">
        <v>17751.79</v>
      </c>
      <c r="H299" s="11" t="n">
        <v>0</v>
      </c>
      <c r="I299" s="11" t="n">
        <v>10</v>
      </c>
    </row>
    <row r="300" ht="15.75" customHeight="1" s="57">
      <c r="A300" s="39" t="inlineStr">
        <is>
          <t>2026-10-01</t>
        </is>
      </c>
      <c r="B300" s="11" t="inlineStr">
        <is>
          <t>sme</t>
        </is>
      </c>
      <c r="C300" s="11" t="inlineStr">
        <is>
          <t>SME</t>
        </is>
      </c>
      <c r="D300" s="11" t="inlineStr">
        <is>
          <t>01.0-5kg</t>
        </is>
      </c>
      <c r="E300" s="11" t="inlineStr">
        <is>
          <t>Đắk Nông</t>
        </is>
      </c>
      <c r="F300" s="11" t="n">
        <v>93705.83</v>
      </c>
      <c r="G300" s="11" t="n">
        <v>64881.92</v>
      </c>
      <c r="H300" s="11" t="n">
        <v>0</v>
      </c>
      <c r="I300" s="11" t="n">
        <v>10</v>
      </c>
    </row>
    <row r="301" ht="15.75" customHeight="1" s="57">
      <c r="A301" s="39" t="inlineStr">
        <is>
          <t>2026-10-01</t>
        </is>
      </c>
      <c r="B301" s="11" t="inlineStr">
        <is>
          <t>sme</t>
        </is>
      </c>
      <c r="C301" s="11" t="inlineStr">
        <is>
          <t>SME</t>
        </is>
      </c>
      <c r="D301" s="11" t="inlineStr">
        <is>
          <t>02.5-10kg</t>
        </is>
      </c>
      <c r="E301" s="11" t="inlineStr">
        <is>
          <t>Bình Thuận</t>
        </is>
      </c>
      <c r="F301" s="11" t="n">
        <v>2461.23</v>
      </c>
      <c r="G301" s="11" t="n">
        <v>15038.37</v>
      </c>
      <c r="H301" s="11" t="n">
        <v>0</v>
      </c>
      <c r="I301" s="11" t="n">
        <v>10</v>
      </c>
    </row>
    <row r="302" ht="15.75" customHeight="1" s="57">
      <c r="A302" s="39" t="inlineStr">
        <is>
          <t>2026-10-01</t>
        </is>
      </c>
      <c r="B302" s="11" t="inlineStr">
        <is>
          <t>sme</t>
        </is>
      </c>
      <c r="C302" s="11" t="inlineStr">
        <is>
          <t>SME</t>
        </is>
      </c>
      <c r="D302" s="11" t="inlineStr">
        <is>
          <t>02.5-10kg</t>
        </is>
      </c>
      <c r="E302" s="11" t="inlineStr">
        <is>
          <t>Khánh Hòa</t>
        </is>
      </c>
      <c r="F302" s="11" t="n">
        <v>4995.4</v>
      </c>
      <c r="G302" s="11" t="n">
        <v>30522.39</v>
      </c>
      <c r="H302" s="11" t="n">
        <v>0</v>
      </c>
      <c r="I302" s="11" t="n">
        <v>10</v>
      </c>
    </row>
    <row r="303" ht="15.75" customHeight="1" s="57">
      <c r="A303" s="39" t="inlineStr">
        <is>
          <t>2026-10-01</t>
        </is>
      </c>
      <c r="B303" s="11" t="inlineStr">
        <is>
          <t>sme</t>
        </is>
      </c>
      <c r="C303" s="11" t="inlineStr">
        <is>
          <t>SME</t>
        </is>
      </c>
      <c r="D303" s="11" t="inlineStr">
        <is>
          <t>02.5-10kg</t>
        </is>
      </c>
      <c r="E303" s="11" t="inlineStr">
        <is>
          <t>Lâm Đồng</t>
        </is>
      </c>
      <c r="F303" s="11" t="n">
        <v>8409.43</v>
      </c>
      <c r="G303" s="11" t="n">
        <v>51382.46</v>
      </c>
      <c r="H303" s="11" t="n">
        <v>0</v>
      </c>
      <c r="I303" s="11" t="n">
        <v>10</v>
      </c>
    </row>
    <row r="304" ht="15.75" customHeight="1" s="57">
      <c r="A304" s="39" t="inlineStr">
        <is>
          <t>2026-10-01</t>
        </is>
      </c>
      <c r="B304" s="11" t="inlineStr">
        <is>
          <t>sme</t>
        </is>
      </c>
      <c r="C304" s="11" t="inlineStr">
        <is>
          <t>SME</t>
        </is>
      </c>
      <c r="D304" s="11" t="inlineStr">
        <is>
          <t>02.5-10kg</t>
        </is>
      </c>
      <c r="E304" s="11" t="inlineStr">
        <is>
          <t>Ninh Thuận</t>
        </is>
      </c>
      <c r="F304" s="11" t="n">
        <v>1917.53</v>
      </c>
      <c r="G304" s="11" t="n">
        <v>11716.32</v>
      </c>
      <c r="H304" s="11" t="n">
        <v>0</v>
      </c>
      <c r="I304" s="11" t="n">
        <v>10</v>
      </c>
    </row>
    <row r="305" ht="15.75" customHeight="1" s="57">
      <c r="A305" s="39" t="inlineStr">
        <is>
          <t>2026-10-01</t>
        </is>
      </c>
      <c r="B305" s="11" t="inlineStr">
        <is>
          <t>sme</t>
        </is>
      </c>
      <c r="C305" s="11" t="inlineStr">
        <is>
          <t>SME</t>
        </is>
      </c>
      <c r="D305" s="11" t="inlineStr">
        <is>
          <t>02.5-10kg</t>
        </is>
      </c>
      <c r="E305" s="11" t="inlineStr">
        <is>
          <t>Đắk Nông</t>
        </is>
      </c>
      <c r="F305" s="11" t="n">
        <v>1539.6</v>
      </c>
      <c r="G305" s="11" t="n">
        <v>9407.09</v>
      </c>
      <c r="H305" s="11" t="n">
        <v>0</v>
      </c>
      <c r="I305" s="11" t="n">
        <v>10</v>
      </c>
    </row>
    <row r="306" ht="15.75" customHeight="1" s="57">
      <c r="A306" s="39" t="inlineStr">
        <is>
          <t>2026-10-01</t>
        </is>
      </c>
      <c r="B306" s="11" t="inlineStr">
        <is>
          <t>sme</t>
        </is>
      </c>
      <c r="C306" s="11" t="inlineStr">
        <is>
          <t>SME</t>
        </is>
      </c>
      <c r="D306" s="11" t="inlineStr">
        <is>
          <t>03.10-15kg</t>
        </is>
      </c>
      <c r="E306" s="11" t="inlineStr">
        <is>
          <t>Bình Thuận</t>
        </is>
      </c>
      <c r="F306" s="11" t="n">
        <v>1063.53</v>
      </c>
      <c r="G306" s="11" t="n">
        <v>12012.55</v>
      </c>
      <c r="H306" s="11" t="n">
        <v>0</v>
      </c>
      <c r="I306" s="11" t="n">
        <v>10</v>
      </c>
    </row>
    <row r="307" ht="15.75" customHeight="1" s="57">
      <c r="A307" s="39" t="inlineStr">
        <is>
          <t>2026-10-01</t>
        </is>
      </c>
      <c r="B307" s="11" t="inlineStr">
        <is>
          <t>sme</t>
        </is>
      </c>
      <c r="C307" s="11" t="inlineStr">
        <is>
          <t>SME</t>
        </is>
      </c>
      <c r="D307" s="11" t="inlineStr">
        <is>
          <t>03.10-15kg</t>
        </is>
      </c>
      <c r="E307" s="11" t="inlineStr">
        <is>
          <t>Khánh Hòa</t>
        </is>
      </c>
      <c r="F307" s="11" t="n">
        <v>2909.45</v>
      </c>
      <c r="G307" s="11" t="n">
        <v>32862.26</v>
      </c>
      <c r="H307" s="11" t="n">
        <v>0</v>
      </c>
      <c r="I307" s="11" t="n">
        <v>10</v>
      </c>
    </row>
    <row r="308" ht="15.75" customHeight="1" s="57">
      <c r="A308" s="39" t="inlineStr">
        <is>
          <t>2026-10-01</t>
        </is>
      </c>
      <c r="B308" s="11" t="inlineStr">
        <is>
          <t>sme</t>
        </is>
      </c>
      <c r="C308" s="11" t="inlineStr">
        <is>
          <t>SME</t>
        </is>
      </c>
      <c r="D308" s="11" t="inlineStr">
        <is>
          <t>03.10-15kg</t>
        </is>
      </c>
      <c r="E308" s="11" t="inlineStr">
        <is>
          <t>Lâm Đồng</t>
        </is>
      </c>
      <c r="F308" s="11" t="n">
        <v>3547.3</v>
      </c>
      <c r="G308" s="11" t="n">
        <v>40066.79</v>
      </c>
      <c r="H308" s="11" t="n">
        <v>0</v>
      </c>
      <c r="I308" s="11" t="n">
        <v>10</v>
      </c>
    </row>
    <row r="309" ht="15.75" customHeight="1" s="57">
      <c r="A309" s="39" t="inlineStr">
        <is>
          <t>2026-10-01</t>
        </is>
      </c>
      <c r="B309" s="11" t="inlineStr">
        <is>
          <t>sme</t>
        </is>
      </c>
      <c r="C309" s="11" t="inlineStr">
        <is>
          <t>SME</t>
        </is>
      </c>
      <c r="D309" s="11" t="inlineStr">
        <is>
          <t>03.10-15kg</t>
        </is>
      </c>
      <c r="E309" s="11" t="inlineStr">
        <is>
          <t>Ninh Thuận</t>
        </is>
      </c>
      <c r="F309" s="11" t="n">
        <v>869.92</v>
      </c>
      <c r="G309" s="11" t="n">
        <v>9825.73</v>
      </c>
      <c r="H309" s="11" t="n">
        <v>0</v>
      </c>
      <c r="I309" s="11" t="n">
        <v>10</v>
      </c>
    </row>
    <row r="310" ht="15.75" customHeight="1" s="57">
      <c r="A310" s="39" t="inlineStr">
        <is>
          <t>2026-10-01</t>
        </is>
      </c>
      <c r="B310" s="11" t="inlineStr">
        <is>
          <t>sme</t>
        </is>
      </c>
      <c r="C310" s="11" t="inlineStr">
        <is>
          <t>SME</t>
        </is>
      </c>
      <c r="D310" s="11" t="inlineStr">
        <is>
          <t>03.10-15kg</t>
        </is>
      </c>
      <c r="E310" s="11" t="inlineStr">
        <is>
          <t>Đắk Nông</t>
        </is>
      </c>
      <c r="F310" s="11" t="n">
        <v>691.5599999999999</v>
      </c>
      <c r="G310" s="11" t="n">
        <v>7811.15</v>
      </c>
      <c r="H310" s="11" t="n">
        <v>0</v>
      </c>
      <c r="I310" s="11" t="n">
        <v>10</v>
      </c>
    </row>
    <row r="311" ht="15.75" customHeight="1" s="57">
      <c r="A311" s="39" t="inlineStr">
        <is>
          <t>2026-10-01</t>
        </is>
      </c>
      <c r="B311" s="11" t="inlineStr">
        <is>
          <t>sme</t>
        </is>
      </c>
      <c r="C311" s="11" t="inlineStr">
        <is>
          <t>SME</t>
        </is>
      </c>
      <c r="D311" s="11" t="inlineStr">
        <is>
          <t>04.15-20kg</t>
        </is>
      </c>
      <c r="E311" s="11" t="inlineStr">
        <is>
          <t>Bình Thuận</t>
        </is>
      </c>
      <c r="F311" s="11" t="n">
        <v>382.58</v>
      </c>
      <c r="G311" s="11" t="n">
        <v>6521.32</v>
      </c>
      <c r="H311" s="11" t="n">
        <v>0</v>
      </c>
      <c r="I311" s="11" t="n">
        <v>10</v>
      </c>
    </row>
    <row r="312" ht="15.75" customHeight="1" s="57">
      <c r="A312" s="39" t="inlineStr">
        <is>
          <t>2026-10-01</t>
        </is>
      </c>
      <c r="B312" s="11" t="inlineStr">
        <is>
          <t>sme</t>
        </is>
      </c>
      <c r="C312" s="11" t="inlineStr">
        <is>
          <t>SME</t>
        </is>
      </c>
      <c r="D312" s="11" t="inlineStr">
        <is>
          <t>04.15-20kg</t>
        </is>
      </c>
      <c r="E312" s="11" t="inlineStr">
        <is>
          <t>Khánh Hòa</t>
        </is>
      </c>
      <c r="F312" s="11" t="n">
        <v>896.4400000000001</v>
      </c>
      <c r="G312" s="11" t="n">
        <v>15280.45</v>
      </c>
      <c r="H312" s="11" t="n">
        <v>0</v>
      </c>
      <c r="I312" s="11" t="n">
        <v>10</v>
      </c>
    </row>
    <row r="313" ht="15.75" customHeight="1" s="57">
      <c r="A313" s="39" t="inlineStr">
        <is>
          <t>2026-10-01</t>
        </is>
      </c>
      <c r="B313" s="11" t="inlineStr">
        <is>
          <t>sme</t>
        </is>
      </c>
      <c r="C313" s="11" t="inlineStr">
        <is>
          <t>SME</t>
        </is>
      </c>
      <c r="D313" s="11" t="inlineStr">
        <is>
          <t>04.15-20kg</t>
        </is>
      </c>
      <c r="E313" s="11" t="inlineStr">
        <is>
          <t>Lâm Đồng</t>
        </is>
      </c>
      <c r="F313" s="11" t="n">
        <v>1179.56</v>
      </c>
      <c r="G313" s="11" t="n">
        <v>20106.45</v>
      </c>
      <c r="H313" s="11" t="n">
        <v>0</v>
      </c>
      <c r="I313" s="11" t="n">
        <v>10</v>
      </c>
    </row>
    <row r="314" ht="15.75" customHeight="1" s="57">
      <c r="A314" s="39" t="inlineStr">
        <is>
          <t>2026-10-01</t>
        </is>
      </c>
      <c r="B314" s="11" t="inlineStr">
        <is>
          <t>sme</t>
        </is>
      </c>
      <c r="C314" s="11" t="inlineStr">
        <is>
          <t>SME</t>
        </is>
      </c>
      <c r="D314" s="11" t="inlineStr">
        <is>
          <t>04.15-20kg</t>
        </is>
      </c>
      <c r="E314" s="11" t="inlineStr">
        <is>
          <t>Ninh Thuận</t>
        </is>
      </c>
      <c r="F314" s="11" t="n">
        <v>215.49</v>
      </c>
      <c r="G314" s="11" t="n">
        <v>3673.18</v>
      </c>
      <c r="H314" s="11" t="n">
        <v>0</v>
      </c>
      <c r="I314" s="11" t="n">
        <v>10</v>
      </c>
    </row>
    <row r="315" ht="15.75" customHeight="1" s="57">
      <c r="A315" s="39" t="inlineStr">
        <is>
          <t>2026-10-01</t>
        </is>
      </c>
      <c r="B315" s="11" t="inlineStr">
        <is>
          <t>sme</t>
        </is>
      </c>
      <c r="C315" s="11" t="inlineStr">
        <is>
          <t>SME</t>
        </is>
      </c>
      <c r="D315" s="11" t="inlineStr">
        <is>
          <t>04.15-20kg</t>
        </is>
      </c>
      <c r="E315" s="11" t="inlineStr">
        <is>
          <t>Đắk Nông</t>
        </is>
      </c>
      <c r="F315" s="11" t="n">
        <v>336.83</v>
      </c>
      <c r="G315" s="11" t="n">
        <v>5741.47</v>
      </c>
      <c r="H315" s="11" t="n">
        <v>0</v>
      </c>
      <c r="I315" s="11" t="n">
        <v>10</v>
      </c>
    </row>
    <row r="316" ht="15.75" customHeight="1" s="57">
      <c r="A316" s="39" t="inlineStr">
        <is>
          <t>2026-10-01</t>
        </is>
      </c>
      <c r="B316" s="11" t="inlineStr">
        <is>
          <t>sme</t>
        </is>
      </c>
      <c r="C316" s="11" t="inlineStr">
        <is>
          <t>SME</t>
        </is>
      </c>
      <c r="D316" s="11" t="inlineStr">
        <is>
          <t>05.&gt;=20kg</t>
        </is>
      </c>
      <c r="E316" s="11" t="inlineStr">
        <is>
          <t>Bình Thuận</t>
        </is>
      </c>
      <c r="F316" s="11" t="n">
        <v>831.46</v>
      </c>
      <c r="G316" s="11" t="n">
        <v>59609.3</v>
      </c>
      <c r="H316" s="11" t="n">
        <v>0</v>
      </c>
      <c r="I316" s="11" t="n">
        <v>10</v>
      </c>
    </row>
    <row r="317" ht="15.75" customHeight="1" s="57">
      <c r="A317" s="39" t="inlineStr">
        <is>
          <t>2026-10-01</t>
        </is>
      </c>
      <c r="B317" s="11" t="inlineStr">
        <is>
          <t>sme</t>
        </is>
      </c>
      <c r="C317" s="11" t="inlineStr">
        <is>
          <t>SME</t>
        </is>
      </c>
      <c r="D317" s="11" t="inlineStr">
        <is>
          <t>05.&gt;=20kg</t>
        </is>
      </c>
      <c r="E317" s="11" t="inlineStr">
        <is>
          <t>Khánh Hòa</t>
        </is>
      </c>
      <c r="F317" s="11" t="n">
        <v>1468.65</v>
      </c>
      <c r="G317" s="11" t="n">
        <v>105290.75</v>
      </c>
      <c r="H317" s="11" t="n">
        <v>0</v>
      </c>
      <c r="I317" s="11" t="n">
        <v>10</v>
      </c>
    </row>
    <row r="318" ht="15.75" customHeight="1" s="57">
      <c r="A318" s="39" t="inlineStr">
        <is>
          <t>2026-10-01</t>
        </is>
      </c>
      <c r="B318" s="11" t="inlineStr">
        <is>
          <t>sme</t>
        </is>
      </c>
      <c r="C318" s="11" t="inlineStr">
        <is>
          <t>SME</t>
        </is>
      </c>
      <c r="D318" s="11" t="inlineStr">
        <is>
          <t>05.&gt;=20kg</t>
        </is>
      </c>
      <c r="E318" s="11" t="inlineStr">
        <is>
          <t>Lâm Đồng</t>
        </is>
      </c>
      <c r="F318" s="11" t="n">
        <v>1832.66</v>
      </c>
      <c r="G318" s="11" t="n">
        <v>131387.64</v>
      </c>
      <c r="H318" s="11" t="n">
        <v>0</v>
      </c>
      <c r="I318" s="11" t="n">
        <v>10</v>
      </c>
    </row>
    <row r="319" ht="15.75" customHeight="1" s="57">
      <c r="A319" s="39" t="inlineStr">
        <is>
          <t>2026-10-01</t>
        </is>
      </c>
      <c r="B319" s="11" t="inlineStr">
        <is>
          <t>sme</t>
        </is>
      </c>
      <c r="C319" s="11" t="inlineStr">
        <is>
          <t>SME</t>
        </is>
      </c>
      <c r="D319" s="11" t="inlineStr">
        <is>
          <t>05.&gt;=20kg</t>
        </is>
      </c>
      <c r="E319" s="11" t="inlineStr">
        <is>
          <t>Ninh Thuận</t>
        </is>
      </c>
      <c r="F319" s="11" t="n">
        <v>455.51</v>
      </c>
      <c r="G319" s="11" t="n">
        <v>32656.77</v>
      </c>
      <c r="H319" s="11" t="n">
        <v>0</v>
      </c>
      <c r="I319" s="11" t="n">
        <v>10</v>
      </c>
    </row>
    <row r="320" ht="15.75" customHeight="1" s="57">
      <c r="A320" s="39" t="inlineStr">
        <is>
          <t>2026-10-01</t>
        </is>
      </c>
      <c r="B320" s="11" t="inlineStr">
        <is>
          <t>sme</t>
        </is>
      </c>
      <c r="C320" s="11" t="inlineStr">
        <is>
          <t>SME</t>
        </is>
      </c>
      <c r="D320" s="11" t="inlineStr">
        <is>
          <t>05.&gt;=20kg</t>
        </is>
      </c>
      <c r="E320" s="11" t="inlineStr">
        <is>
          <t>Đắk Nông</t>
        </is>
      </c>
      <c r="F320" s="11" t="n">
        <v>436.29</v>
      </c>
      <c r="G320" s="11" t="n">
        <v>31278.24</v>
      </c>
      <c r="H320" s="11" t="n">
        <v>0</v>
      </c>
      <c r="I320" s="11" t="n">
        <v>10</v>
      </c>
    </row>
    <row r="321" ht="15.75" customHeight="1" s="57">
      <c r="A321" s="39" t="inlineStr">
        <is>
          <t>2026-10-01</t>
        </is>
      </c>
      <c r="B321" s="11" t="inlineStr">
        <is>
          <t>ecom</t>
        </is>
      </c>
      <c r="C321" s="11" t="inlineStr">
        <is>
          <t>Shopee Bulky</t>
        </is>
      </c>
      <c r="D321" s="11" t="inlineStr">
        <is>
          <t>01.0-5kg</t>
        </is>
      </c>
      <c r="E321" s="11" t="inlineStr">
        <is>
          <t>Bình Thuận</t>
        </is>
      </c>
      <c r="F321" s="11" t="n">
        <v>4.89</v>
      </c>
      <c r="G321" s="11" t="n">
        <v>11.67</v>
      </c>
      <c r="H321" s="11" t="n">
        <v>0</v>
      </c>
      <c r="I321" s="11" t="n">
        <v>10</v>
      </c>
    </row>
    <row r="322" ht="15.75" customHeight="1" s="57">
      <c r="A322" s="39" t="inlineStr">
        <is>
          <t>2026-10-01</t>
        </is>
      </c>
      <c r="B322" s="11" t="inlineStr">
        <is>
          <t>ecom</t>
        </is>
      </c>
      <c r="C322" s="11" t="inlineStr">
        <is>
          <t>Shopee Bulky</t>
        </is>
      </c>
      <c r="D322" s="11" t="inlineStr">
        <is>
          <t>01.0-5kg</t>
        </is>
      </c>
      <c r="E322" s="11" t="inlineStr">
        <is>
          <t>Khánh Hòa</t>
        </is>
      </c>
      <c r="F322" s="11" t="n">
        <v>8.789999999999999</v>
      </c>
      <c r="G322" s="11" t="n">
        <v>21.01</v>
      </c>
      <c r="H322" s="11" t="n">
        <v>0</v>
      </c>
      <c r="I322" s="11" t="n">
        <v>10</v>
      </c>
    </row>
    <row r="323" ht="15.75" customHeight="1" s="57">
      <c r="A323" s="39" t="inlineStr">
        <is>
          <t>2026-10-01</t>
        </is>
      </c>
      <c r="B323" s="11" t="inlineStr">
        <is>
          <t>ecom</t>
        </is>
      </c>
      <c r="C323" s="11" t="inlineStr">
        <is>
          <t>Shopee Bulky</t>
        </is>
      </c>
      <c r="D323" s="11" t="inlineStr">
        <is>
          <t>01.0-5kg</t>
        </is>
      </c>
      <c r="E323" s="11" t="inlineStr">
        <is>
          <t>Lâm Đồng</t>
        </is>
      </c>
      <c r="F323" s="11" t="n">
        <v>35.18</v>
      </c>
      <c r="G323" s="11" t="n">
        <v>84.03</v>
      </c>
      <c r="H323" s="11" t="n">
        <v>0</v>
      </c>
      <c r="I323" s="11" t="n">
        <v>10</v>
      </c>
    </row>
    <row r="324" ht="15.75" customHeight="1" s="57">
      <c r="A324" s="39" t="inlineStr">
        <is>
          <t>2026-10-01</t>
        </is>
      </c>
      <c r="B324" s="11" t="inlineStr">
        <is>
          <t>ecom</t>
        </is>
      </c>
      <c r="C324" s="11" t="inlineStr">
        <is>
          <t>Shopee Bulky</t>
        </is>
      </c>
      <c r="D324" s="11" t="inlineStr">
        <is>
          <t>02.5-10kg</t>
        </is>
      </c>
      <c r="E324" s="11" t="inlineStr">
        <is>
          <t>Bình Thuận</t>
        </is>
      </c>
      <c r="F324" s="11" t="n">
        <v>5.86</v>
      </c>
      <c r="G324" s="11" t="n">
        <v>47.15</v>
      </c>
      <c r="H324" s="11" t="n">
        <v>0</v>
      </c>
      <c r="I324" s="11" t="n">
        <v>10</v>
      </c>
    </row>
    <row r="325" ht="15.75" customHeight="1" s="57">
      <c r="A325" s="39" t="inlineStr">
        <is>
          <t>2026-10-01</t>
        </is>
      </c>
      <c r="B325" s="11" t="inlineStr">
        <is>
          <t>ecom</t>
        </is>
      </c>
      <c r="C325" s="11" t="inlineStr">
        <is>
          <t>Shopee Bulky</t>
        </is>
      </c>
      <c r="D325" s="11" t="inlineStr">
        <is>
          <t>02.5-10kg</t>
        </is>
      </c>
      <c r="E325" s="11" t="inlineStr">
        <is>
          <t>Khánh Hòa</t>
        </is>
      </c>
      <c r="F325" s="11" t="n">
        <v>39.09</v>
      </c>
      <c r="G325" s="11" t="n">
        <v>314.33</v>
      </c>
      <c r="H325" s="11" t="n">
        <v>0</v>
      </c>
      <c r="I325" s="11" t="n">
        <v>10</v>
      </c>
    </row>
    <row r="326" ht="15.75" customHeight="1" s="57">
      <c r="A326" s="39" t="inlineStr">
        <is>
          <t>2026-10-01</t>
        </is>
      </c>
      <c r="B326" s="11" t="inlineStr">
        <is>
          <t>ecom</t>
        </is>
      </c>
      <c r="C326" s="11" t="inlineStr">
        <is>
          <t>Shopee Bulky</t>
        </is>
      </c>
      <c r="D326" s="11" t="inlineStr">
        <is>
          <t>02.5-10kg</t>
        </is>
      </c>
      <c r="E326" s="11" t="inlineStr">
        <is>
          <t>Lâm Đồng</t>
        </is>
      </c>
      <c r="F326" s="11" t="n">
        <v>104.56</v>
      </c>
      <c r="G326" s="11" t="n">
        <v>840.83</v>
      </c>
      <c r="H326" s="11" t="n">
        <v>0</v>
      </c>
      <c r="I326" s="11" t="n">
        <v>10</v>
      </c>
    </row>
    <row r="327" ht="15.75" customHeight="1" s="57">
      <c r="A327" s="39" t="inlineStr">
        <is>
          <t>2026-10-01</t>
        </is>
      </c>
      <c r="B327" s="11" t="inlineStr">
        <is>
          <t>ecom</t>
        </is>
      </c>
      <c r="C327" s="11" t="inlineStr">
        <is>
          <t>Shopee Bulky</t>
        </is>
      </c>
      <c r="D327" s="11" t="inlineStr">
        <is>
          <t>02.5-10kg</t>
        </is>
      </c>
      <c r="E327" s="11" t="inlineStr">
        <is>
          <t>Ninh Thuận</t>
        </is>
      </c>
      <c r="F327" s="11" t="n">
        <v>4.89</v>
      </c>
      <c r="G327" s="11" t="n">
        <v>39.29</v>
      </c>
      <c r="H327" s="11" t="n">
        <v>0</v>
      </c>
      <c r="I327" s="11" t="n">
        <v>10</v>
      </c>
    </row>
    <row r="328" ht="15.75" customHeight="1" s="57">
      <c r="A328" s="39" t="inlineStr">
        <is>
          <t>2026-10-01</t>
        </is>
      </c>
      <c r="B328" s="11" t="inlineStr">
        <is>
          <t>ecom</t>
        </is>
      </c>
      <c r="C328" s="11" t="inlineStr">
        <is>
          <t>Shopee Bulky</t>
        </is>
      </c>
      <c r="D328" s="11" t="inlineStr">
        <is>
          <t>02.5-10kg</t>
        </is>
      </c>
      <c r="E328" s="11" t="inlineStr">
        <is>
          <t>Đắk Nông</t>
        </is>
      </c>
      <c r="F328" s="11" t="n">
        <v>2.93</v>
      </c>
      <c r="G328" s="11" t="n">
        <v>23.57</v>
      </c>
      <c r="H328" s="11" t="n">
        <v>0</v>
      </c>
      <c r="I328" s="11" t="n">
        <v>10</v>
      </c>
    </row>
    <row r="329" ht="15.75" customHeight="1" s="57">
      <c r="A329" s="39" t="inlineStr">
        <is>
          <t>2026-10-01</t>
        </is>
      </c>
      <c r="B329" s="11" t="inlineStr">
        <is>
          <t>ecom</t>
        </is>
      </c>
      <c r="C329" s="11" t="inlineStr">
        <is>
          <t>Shopee Bulky</t>
        </is>
      </c>
      <c r="D329" s="11" t="inlineStr">
        <is>
          <t>03.10-15kg</t>
        </is>
      </c>
      <c r="E329" s="11" t="inlineStr">
        <is>
          <t>Bình Thuận</t>
        </is>
      </c>
      <c r="F329" s="11" t="n">
        <v>1064.15</v>
      </c>
      <c r="G329" s="11" t="n">
        <v>12685.42</v>
      </c>
      <c r="H329" s="11" t="n">
        <v>0</v>
      </c>
      <c r="I329" s="11" t="n">
        <v>10</v>
      </c>
    </row>
    <row r="330" ht="15.75" customHeight="1" s="57">
      <c r="A330" s="39" t="inlineStr">
        <is>
          <t>2026-10-01</t>
        </is>
      </c>
      <c r="B330" s="11" t="inlineStr">
        <is>
          <t>ecom</t>
        </is>
      </c>
      <c r="C330" s="11" t="inlineStr">
        <is>
          <t>Shopee Bulky</t>
        </is>
      </c>
      <c r="D330" s="11" t="inlineStr">
        <is>
          <t>03.10-15kg</t>
        </is>
      </c>
      <c r="E330" s="11" t="inlineStr">
        <is>
          <t>Khánh Hòa</t>
        </is>
      </c>
      <c r="F330" s="11" t="n">
        <v>1312.35</v>
      </c>
      <c r="G330" s="11" t="n">
        <v>15644.18</v>
      </c>
      <c r="H330" s="11" t="n">
        <v>0</v>
      </c>
      <c r="I330" s="11" t="n">
        <v>10</v>
      </c>
    </row>
    <row r="331" ht="15.75" customHeight="1" s="57">
      <c r="A331" s="39" t="inlineStr">
        <is>
          <t>2026-10-01</t>
        </is>
      </c>
      <c r="B331" s="11" t="inlineStr">
        <is>
          <t>ecom</t>
        </is>
      </c>
      <c r="C331" s="11" t="inlineStr">
        <is>
          <t>Shopee Bulky</t>
        </is>
      </c>
      <c r="D331" s="11" t="inlineStr">
        <is>
          <t>03.10-15kg</t>
        </is>
      </c>
      <c r="E331" s="11" t="inlineStr">
        <is>
          <t>Lâm Đồng</t>
        </is>
      </c>
      <c r="F331" s="11" t="n">
        <v>1562.51</v>
      </c>
      <c r="G331" s="11" t="n">
        <v>18626.24</v>
      </c>
      <c r="H331" s="11" t="n">
        <v>0</v>
      </c>
      <c r="I331" s="11" t="n">
        <v>10</v>
      </c>
    </row>
    <row r="332" ht="15.75" customHeight="1" s="57">
      <c r="A332" s="39" t="inlineStr">
        <is>
          <t>2026-10-01</t>
        </is>
      </c>
      <c r="B332" s="11" t="inlineStr">
        <is>
          <t>ecom</t>
        </is>
      </c>
      <c r="C332" s="11" t="inlineStr">
        <is>
          <t>Shopee Bulky</t>
        </is>
      </c>
      <c r="D332" s="11" t="inlineStr">
        <is>
          <t>03.10-15kg</t>
        </is>
      </c>
      <c r="E332" s="11" t="inlineStr">
        <is>
          <t>Ninh Thuận</t>
        </is>
      </c>
      <c r="F332" s="11" t="n">
        <v>1153.07</v>
      </c>
      <c r="G332" s="11" t="n">
        <v>13745.45</v>
      </c>
      <c r="H332" s="11" t="n">
        <v>0</v>
      </c>
      <c r="I332" s="11" t="n">
        <v>10</v>
      </c>
    </row>
    <row r="333" ht="15.75" customHeight="1" s="57">
      <c r="A333" s="39" t="inlineStr">
        <is>
          <t>2026-10-01</t>
        </is>
      </c>
      <c r="B333" s="11" t="inlineStr">
        <is>
          <t>ecom</t>
        </is>
      </c>
      <c r="C333" s="11" t="inlineStr">
        <is>
          <t>Shopee Bulky</t>
        </is>
      </c>
      <c r="D333" s="11" t="inlineStr">
        <is>
          <t>03.10-15kg</t>
        </is>
      </c>
      <c r="E333" s="11" t="inlineStr">
        <is>
          <t>Đắk Nông</t>
        </is>
      </c>
      <c r="F333" s="11" t="n">
        <v>266.77</v>
      </c>
      <c r="G333" s="11" t="n">
        <v>3180.09</v>
      </c>
      <c r="H333" s="11" t="n">
        <v>0</v>
      </c>
      <c r="I333" s="11" t="n">
        <v>10</v>
      </c>
    </row>
    <row r="334" ht="15.75" customHeight="1" s="57">
      <c r="A334" s="39" t="inlineStr">
        <is>
          <t>2026-10-01</t>
        </is>
      </c>
      <c r="B334" s="11" t="inlineStr">
        <is>
          <t>ecom</t>
        </is>
      </c>
      <c r="C334" s="11" t="inlineStr">
        <is>
          <t>Shopee Bulky</t>
        </is>
      </c>
      <c r="D334" s="11" t="inlineStr">
        <is>
          <t>04.15-20kg</t>
        </is>
      </c>
      <c r="E334" s="11" t="inlineStr">
        <is>
          <t>Bình Thuận</t>
        </is>
      </c>
      <c r="F334" s="11" t="n">
        <v>991.84</v>
      </c>
      <c r="G334" s="11" t="n">
        <v>16759.3</v>
      </c>
      <c r="H334" s="11" t="n">
        <v>0</v>
      </c>
      <c r="I334" s="11" t="n">
        <v>10</v>
      </c>
    </row>
    <row r="335" ht="15.75" customHeight="1" s="57">
      <c r="A335" s="39" t="inlineStr">
        <is>
          <t>2026-10-01</t>
        </is>
      </c>
      <c r="B335" s="11" t="inlineStr">
        <is>
          <t>ecom</t>
        </is>
      </c>
      <c r="C335" s="11" t="inlineStr">
        <is>
          <t>Shopee Bulky</t>
        </is>
      </c>
      <c r="D335" s="11" t="inlineStr">
        <is>
          <t>04.15-20kg</t>
        </is>
      </c>
      <c r="E335" s="11" t="inlineStr">
        <is>
          <t>Khánh Hòa</t>
        </is>
      </c>
      <c r="F335" s="11" t="n">
        <v>587.29</v>
      </c>
      <c r="G335" s="11" t="n">
        <v>9923.49</v>
      </c>
      <c r="H335" s="11" t="n">
        <v>0</v>
      </c>
      <c r="I335" s="11" t="n">
        <v>10</v>
      </c>
    </row>
    <row r="336" ht="15.75" customHeight="1" s="57">
      <c r="A336" s="39" t="inlineStr">
        <is>
          <t>2026-10-01</t>
        </is>
      </c>
      <c r="B336" s="11" t="inlineStr">
        <is>
          <t>ecom</t>
        </is>
      </c>
      <c r="C336" s="11" t="inlineStr">
        <is>
          <t>Shopee Bulky</t>
        </is>
      </c>
      <c r="D336" s="11" t="inlineStr">
        <is>
          <t>04.15-20kg</t>
        </is>
      </c>
      <c r="E336" s="11" t="inlineStr">
        <is>
          <t>Lâm Đồng</t>
        </is>
      </c>
      <c r="F336" s="11" t="n">
        <v>837.4400000000001</v>
      </c>
      <c r="G336" s="11" t="n">
        <v>14150.46</v>
      </c>
      <c r="H336" s="11" t="n">
        <v>0</v>
      </c>
      <c r="I336" s="11" t="n">
        <v>10</v>
      </c>
    </row>
    <row r="337" ht="15.75" customHeight="1" s="57">
      <c r="A337" s="39" t="inlineStr">
        <is>
          <t>2026-10-01</t>
        </is>
      </c>
      <c r="B337" s="11" t="inlineStr">
        <is>
          <t>ecom</t>
        </is>
      </c>
      <c r="C337" s="11" t="inlineStr">
        <is>
          <t>Shopee Bulky</t>
        </is>
      </c>
      <c r="D337" s="11" t="inlineStr">
        <is>
          <t>04.15-20kg</t>
        </is>
      </c>
      <c r="E337" s="11" t="inlineStr">
        <is>
          <t>Ninh Thuận</t>
        </is>
      </c>
      <c r="F337" s="11" t="n">
        <v>267.75</v>
      </c>
      <c r="G337" s="11" t="n">
        <v>4524.19</v>
      </c>
      <c r="H337" s="11" t="n">
        <v>0</v>
      </c>
      <c r="I337" s="11" t="n">
        <v>10</v>
      </c>
    </row>
    <row r="338" ht="15.75" customHeight="1" s="57">
      <c r="A338" s="39" t="inlineStr">
        <is>
          <t>2026-10-01</t>
        </is>
      </c>
      <c r="B338" s="11" t="inlineStr">
        <is>
          <t>ecom</t>
        </is>
      </c>
      <c r="C338" s="11" t="inlineStr">
        <is>
          <t>Shopee Bulky</t>
        </is>
      </c>
      <c r="D338" s="11" t="inlineStr">
        <is>
          <t>04.15-20kg</t>
        </is>
      </c>
      <c r="E338" s="11" t="inlineStr">
        <is>
          <t>Đắk Nông</t>
        </is>
      </c>
      <c r="F338" s="11" t="n">
        <v>110.42</v>
      </c>
      <c r="G338" s="11" t="n">
        <v>1865.81</v>
      </c>
      <c r="H338" s="11" t="n">
        <v>0</v>
      </c>
      <c r="I338" s="11" t="n">
        <v>10</v>
      </c>
    </row>
    <row r="339" ht="15.75" customHeight="1" s="57">
      <c r="A339" s="39" t="inlineStr">
        <is>
          <t>2026-10-01</t>
        </is>
      </c>
      <c r="B339" s="11" t="inlineStr">
        <is>
          <t>ecom</t>
        </is>
      </c>
      <c r="C339" s="11" t="inlineStr">
        <is>
          <t>Shopee Bulky</t>
        </is>
      </c>
      <c r="D339" s="11" t="inlineStr">
        <is>
          <t>05.&gt;=20kg</t>
        </is>
      </c>
      <c r="E339" s="11" t="inlineStr">
        <is>
          <t>Bình Thuận</t>
        </is>
      </c>
      <c r="F339" s="11" t="n">
        <v>1938.73</v>
      </c>
      <c r="G339" s="11" t="n">
        <v>65856.05</v>
      </c>
      <c r="H339" s="11" t="n">
        <v>0</v>
      </c>
      <c r="I339" s="11" t="n">
        <v>10</v>
      </c>
    </row>
    <row r="340" ht="15.75" customHeight="1" s="57">
      <c r="A340" s="39" t="inlineStr">
        <is>
          <t>2026-10-01</t>
        </is>
      </c>
      <c r="B340" s="11" t="inlineStr">
        <is>
          <t>ecom</t>
        </is>
      </c>
      <c r="C340" s="11" t="inlineStr">
        <is>
          <t>Shopee Bulky</t>
        </is>
      </c>
      <c r="D340" s="11" t="inlineStr">
        <is>
          <t>05.&gt;=20kg</t>
        </is>
      </c>
      <c r="E340" s="11" t="inlineStr">
        <is>
          <t>Khánh Hòa</t>
        </is>
      </c>
      <c r="F340" s="11" t="n">
        <v>987.9299999999999</v>
      </c>
      <c r="G340" s="11" t="n">
        <v>33558.7</v>
      </c>
      <c r="H340" s="11" t="n">
        <v>0</v>
      </c>
      <c r="I340" s="11" t="n">
        <v>10</v>
      </c>
    </row>
    <row r="341" ht="15.75" customHeight="1" s="57">
      <c r="A341" s="39" t="inlineStr">
        <is>
          <t>2026-10-01</t>
        </is>
      </c>
      <c r="B341" s="11" t="inlineStr">
        <is>
          <t>ecom</t>
        </is>
      </c>
      <c r="C341" s="11" t="inlineStr">
        <is>
          <t>Shopee Bulky</t>
        </is>
      </c>
      <c r="D341" s="11" t="inlineStr">
        <is>
          <t>05.&gt;=20kg</t>
        </is>
      </c>
      <c r="E341" s="11" t="inlineStr">
        <is>
          <t>Lâm Đồng</t>
        </is>
      </c>
      <c r="F341" s="11" t="n">
        <v>2100.94</v>
      </c>
      <c r="G341" s="11" t="n">
        <v>71366.17999999999</v>
      </c>
      <c r="H341" s="11" t="n">
        <v>0</v>
      </c>
      <c r="I341" s="11" t="n">
        <v>10</v>
      </c>
    </row>
    <row r="342" ht="15.75" customHeight="1" s="57">
      <c r="A342" s="39" t="inlineStr">
        <is>
          <t>2026-10-01</t>
        </is>
      </c>
      <c r="B342" s="11" t="inlineStr">
        <is>
          <t>ecom</t>
        </is>
      </c>
      <c r="C342" s="11" t="inlineStr">
        <is>
          <t>Shopee Bulky</t>
        </is>
      </c>
      <c r="D342" s="11" t="inlineStr">
        <is>
          <t>05.&gt;=20kg</t>
        </is>
      </c>
      <c r="E342" s="11" t="inlineStr">
        <is>
          <t>Ninh Thuận</t>
        </is>
      </c>
      <c r="F342" s="11" t="n">
        <v>411.39</v>
      </c>
      <c r="G342" s="11" t="n">
        <v>13974.49</v>
      </c>
      <c r="H342" s="11" t="n">
        <v>0</v>
      </c>
      <c r="I342" s="11" t="n">
        <v>10</v>
      </c>
    </row>
    <row r="343" ht="15.75" customHeight="1" s="57">
      <c r="A343" s="39" t="inlineStr">
        <is>
          <t>2026-10-01</t>
        </is>
      </c>
      <c r="B343" s="11" t="inlineStr">
        <is>
          <t>ecom</t>
        </is>
      </c>
      <c r="C343" s="11" t="inlineStr">
        <is>
          <t>Shopee Bulky</t>
        </is>
      </c>
      <c r="D343" s="11" t="inlineStr">
        <is>
          <t>05.&gt;=20kg</t>
        </is>
      </c>
      <c r="E343" s="11" t="inlineStr">
        <is>
          <t>Đắk Nông</t>
        </is>
      </c>
      <c r="F343" s="11" t="n">
        <v>264.82</v>
      </c>
      <c r="G343" s="11" t="n">
        <v>8995.459999999999</v>
      </c>
      <c r="H343" s="11" t="n">
        <v>0</v>
      </c>
      <c r="I343" s="11" t="n">
        <v>10</v>
      </c>
    </row>
    <row r="344" ht="15.75" customHeight="1" s="57">
      <c r="A344" s="39" t="inlineStr">
        <is>
          <t>2026-10-01</t>
        </is>
      </c>
      <c r="B344" s="11" t="inlineStr">
        <is>
          <t>ecom</t>
        </is>
      </c>
      <c r="C344" s="11" t="inlineStr">
        <is>
          <t>Shopee Ecom</t>
        </is>
      </c>
      <c r="D344" s="11" t="inlineStr">
        <is>
          <t>01.0-5kg</t>
        </is>
      </c>
      <c r="E344" s="11" t="inlineStr">
        <is>
          <t>Bình Thuận</t>
        </is>
      </c>
      <c r="F344" s="11" t="n">
        <v>11346.91</v>
      </c>
      <c r="G344" s="11" t="n">
        <v>9710.68</v>
      </c>
      <c r="H344" s="11" t="n">
        <v>0</v>
      </c>
      <c r="I344" s="11" t="n">
        <v>10</v>
      </c>
    </row>
    <row r="345" ht="15.75" customHeight="1" s="57">
      <c r="A345" s="39" t="inlineStr">
        <is>
          <t>2026-10-01</t>
        </is>
      </c>
      <c r="B345" s="11" t="inlineStr">
        <is>
          <t>ecom</t>
        </is>
      </c>
      <c r="C345" s="11" t="inlineStr">
        <is>
          <t>Shopee Ecom</t>
        </is>
      </c>
      <c r="D345" s="11" t="inlineStr">
        <is>
          <t>01.0-5kg</t>
        </is>
      </c>
      <c r="E345" s="11" t="inlineStr">
        <is>
          <t>Khánh Hòa</t>
        </is>
      </c>
      <c r="F345" s="11" t="n">
        <v>17274.18</v>
      </c>
      <c r="G345" s="11" t="n">
        <v>14783.25</v>
      </c>
      <c r="H345" s="11" t="n">
        <v>0</v>
      </c>
      <c r="I345" s="11" t="n">
        <v>10</v>
      </c>
    </row>
    <row r="346" ht="15.75" customHeight="1" s="57">
      <c r="A346" s="39" t="inlineStr">
        <is>
          <t>2026-10-01</t>
        </is>
      </c>
      <c r="B346" s="11" t="inlineStr">
        <is>
          <t>ecom</t>
        </is>
      </c>
      <c r="C346" s="11" t="inlineStr">
        <is>
          <t>Shopee Ecom</t>
        </is>
      </c>
      <c r="D346" s="11" t="inlineStr">
        <is>
          <t>01.0-5kg</t>
        </is>
      </c>
      <c r="E346" s="11" t="inlineStr">
        <is>
          <t>Lâm Đồng</t>
        </is>
      </c>
      <c r="F346" s="11" t="n">
        <v>21933.09</v>
      </c>
      <c r="G346" s="11" t="n">
        <v>18770.34</v>
      </c>
      <c r="H346" s="11" t="n">
        <v>0</v>
      </c>
      <c r="I346" s="11" t="n">
        <v>10</v>
      </c>
    </row>
    <row r="347" ht="15.75" customHeight="1" s="57">
      <c r="A347" s="39" t="inlineStr">
        <is>
          <t>2026-10-01</t>
        </is>
      </c>
      <c r="B347" s="11" t="inlineStr">
        <is>
          <t>ecom</t>
        </is>
      </c>
      <c r="C347" s="11" t="inlineStr">
        <is>
          <t>Shopee Ecom</t>
        </is>
      </c>
      <c r="D347" s="11" t="inlineStr">
        <is>
          <t>01.0-5kg</t>
        </is>
      </c>
      <c r="E347" s="11" t="inlineStr">
        <is>
          <t>Ninh Thuận</t>
        </is>
      </c>
      <c r="F347" s="11" t="n">
        <v>7203.53</v>
      </c>
      <c r="G347" s="11" t="n">
        <v>6164.78</v>
      </c>
      <c r="H347" s="11" t="n">
        <v>0</v>
      </c>
      <c r="I347" s="11" t="n">
        <v>10</v>
      </c>
    </row>
    <row r="348" ht="15.75" customHeight="1" s="57">
      <c r="A348" s="39" t="inlineStr">
        <is>
          <t>2026-10-01</t>
        </is>
      </c>
      <c r="B348" s="11" t="inlineStr">
        <is>
          <t>ecom</t>
        </is>
      </c>
      <c r="C348" s="11" t="inlineStr">
        <is>
          <t>Shopee Ecom</t>
        </is>
      </c>
      <c r="D348" s="11" t="inlineStr">
        <is>
          <t>01.0-5kg</t>
        </is>
      </c>
      <c r="E348" s="11" t="inlineStr">
        <is>
          <t>Đắk Nông</t>
        </is>
      </c>
      <c r="F348" s="11" t="n">
        <v>3858.79</v>
      </c>
      <c r="G348" s="11" t="n">
        <v>3302.35</v>
      </c>
      <c r="H348" s="11" t="n">
        <v>0</v>
      </c>
      <c r="I348" s="11" t="n">
        <v>10</v>
      </c>
    </row>
    <row r="349" ht="15.75" customHeight="1" s="57">
      <c r="A349" s="39" t="inlineStr">
        <is>
          <t>2026-10-01</t>
        </is>
      </c>
      <c r="B349" s="11" t="inlineStr">
        <is>
          <t>ecom</t>
        </is>
      </c>
      <c r="C349" s="11" t="inlineStr">
        <is>
          <t>Shopee Ecom</t>
        </is>
      </c>
      <c r="D349" s="11" t="inlineStr">
        <is>
          <t>02.5-10kg</t>
        </is>
      </c>
      <c r="E349" s="11" t="inlineStr">
        <is>
          <t>Bình Thuận</t>
        </is>
      </c>
      <c r="F349" s="11" t="n">
        <v>884.3200000000001</v>
      </c>
      <c r="G349" s="11" t="n">
        <v>6089.31</v>
      </c>
      <c r="H349" s="11" t="n">
        <v>0</v>
      </c>
      <c r="I349" s="11" t="n">
        <v>10</v>
      </c>
    </row>
    <row r="350" ht="15.75" customHeight="1" s="57">
      <c r="A350" s="39" t="inlineStr">
        <is>
          <t>2026-10-01</t>
        </is>
      </c>
      <c r="B350" s="11" t="inlineStr">
        <is>
          <t>ecom</t>
        </is>
      </c>
      <c r="C350" s="11" t="inlineStr">
        <is>
          <t>Shopee Ecom</t>
        </is>
      </c>
      <c r="D350" s="11" t="inlineStr">
        <is>
          <t>02.5-10kg</t>
        </is>
      </c>
      <c r="E350" s="11" t="inlineStr">
        <is>
          <t>Khánh Hòa</t>
        </is>
      </c>
      <c r="F350" s="11" t="n">
        <v>1448.58</v>
      </c>
      <c r="G350" s="11" t="n">
        <v>9974.799999999999</v>
      </c>
      <c r="H350" s="11" t="n">
        <v>0</v>
      </c>
      <c r="I350" s="11" t="n">
        <v>10</v>
      </c>
    </row>
    <row r="351" ht="15.75" customHeight="1" s="57">
      <c r="A351" s="39" t="inlineStr">
        <is>
          <t>2026-10-01</t>
        </is>
      </c>
      <c r="B351" s="11" t="inlineStr">
        <is>
          <t>ecom</t>
        </is>
      </c>
      <c r="C351" s="11" t="inlineStr">
        <is>
          <t>Shopee Ecom</t>
        </is>
      </c>
      <c r="D351" s="11" t="inlineStr">
        <is>
          <t>02.5-10kg</t>
        </is>
      </c>
      <c r="E351" s="11" t="inlineStr">
        <is>
          <t>Lâm Đồng</t>
        </is>
      </c>
      <c r="F351" s="11" t="n">
        <v>1982.82</v>
      </c>
      <c r="G351" s="11" t="n">
        <v>13653.47</v>
      </c>
      <c r="H351" s="11" t="n">
        <v>0</v>
      </c>
      <c r="I351" s="11" t="n">
        <v>10</v>
      </c>
    </row>
    <row r="352" ht="15.75" customHeight="1" s="57">
      <c r="A352" s="39" t="inlineStr">
        <is>
          <t>2026-10-01</t>
        </is>
      </c>
      <c r="B352" s="11" t="inlineStr">
        <is>
          <t>ecom</t>
        </is>
      </c>
      <c r="C352" s="11" t="inlineStr">
        <is>
          <t>Shopee Ecom</t>
        </is>
      </c>
      <c r="D352" s="11" t="inlineStr">
        <is>
          <t>02.5-10kg</t>
        </is>
      </c>
      <c r="E352" s="11" t="inlineStr">
        <is>
          <t>Ninh Thuận</t>
        </is>
      </c>
      <c r="F352" s="11" t="n">
        <v>558.85</v>
      </c>
      <c r="G352" s="11" t="n">
        <v>3848.2</v>
      </c>
      <c r="H352" s="11" t="n">
        <v>0</v>
      </c>
      <c r="I352" s="11" t="n">
        <v>10</v>
      </c>
    </row>
    <row r="353" ht="15.75" customHeight="1" s="57">
      <c r="A353" s="39" t="inlineStr">
        <is>
          <t>2026-10-01</t>
        </is>
      </c>
      <c r="B353" s="11" t="inlineStr">
        <is>
          <t>ecom</t>
        </is>
      </c>
      <c r="C353" s="11" t="inlineStr">
        <is>
          <t>Shopee Ecom</t>
        </is>
      </c>
      <c r="D353" s="11" t="inlineStr">
        <is>
          <t>02.5-10kg</t>
        </is>
      </c>
      <c r="E353" s="11" t="inlineStr">
        <is>
          <t>Đắk Nông</t>
        </is>
      </c>
      <c r="F353" s="11" t="n">
        <v>542.6</v>
      </c>
      <c r="G353" s="11" t="n">
        <v>3736.31</v>
      </c>
      <c r="H353" s="11" t="n">
        <v>0</v>
      </c>
      <c r="I353" s="11" t="n">
        <v>10</v>
      </c>
    </row>
    <row r="354" ht="15.75" customHeight="1" s="57">
      <c r="A354" s="39" t="inlineStr">
        <is>
          <t>2026-10-01</t>
        </is>
      </c>
      <c r="B354" s="11" t="inlineStr">
        <is>
          <t>ecom</t>
        </is>
      </c>
      <c r="C354" s="11" t="inlineStr">
        <is>
          <t>Shopee Ecom</t>
        </is>
      </c>
      <c r="D354" s="11" t="inlineStr">
        <is>
          <t>03.10-15kg</t>
        </is>
      </c>
      <c r="E354" s="11" t="inlineStr">
        <is>
          <t>Bình Thuận</t>
        </is>
      </c>
      <c r="F354" s="11" t="n">
        <v>208.28</v>
      </c>
      <c r="G354" s="11" t="n">
        <v>2179.87</v>
      </c>
      <c r="H354" s="11" t="n">
        <v>0</v>
      </c>
      <c r="I354" s="11" t="n">
        <v>10</v>
      </c>
    </row>
    <row r="355" ht="15.75" customHeight="1" s="57">
      <c r="A355" s="39" t="inlineStr">
        <is>
          <t>2026-10-01</t>
        </is>
      </c>
      <c r="B355" s="11" t="inlineStr">
        <is>
          <t>ecom</t>
        </is>
      </c>
      <c r="C355" s="11" t="inlineStr">
        <is>
          <t>Shopee Ecom</t>
        </is>
      </c>
      <c r="D355" s="11" t="inlineStr">
        <is>
          <t>03.10-15kg</t>
        </is>
      </c>
      <c r="E355" s="11" t="inlineStr">
        <is>
          <t>Khánh Hòa</t>
        </is>
      </c>
      <c r="F355" s="11" t="n">
        <v>231.91</v>
      </c>
      <c r="G355" s="11" t="n">
        <v>2427.23</v>
      </c>
      <c r="H355" s="11" t="n">
        <v>0</v>
      </c>
      <c r="I355" s="11" t="n">
        <v>10</v>
      </c>
    </row>
    <row r="356" ht="15.75" customHeight="1" s="57">
      <c r="A356" s="39" t="inlineStr">
        <is>
          <t>2026-10-01</t>
        </is>
      </c>
      <c r="B356" s="11" t="inlineStr">
        <is>
          <t>ecom</t>
        </is>
      </c>
      <c r="C356" s="11" t="inlineStr">
        <is>
          <t>Shopee Ecom</t>
        </is>
      </c>
      <c r="D356" s="11" t="inlineStr">
        <is>
          <t>03.10-15kg</t>
        </is>
      </c>
      <c r="E356" s="11" t="inlineStr">
        <is>
          <t>Lâm Đồng</t>
        </is>
      </c>
      <c r="F356" s="11" t="n">
        <v>284.1</v>
      </c>
      <c r="G356" s="11" t="n">
        <v>2973.48</v>
      </c>
      <c r="H356" s="11" t="n">
        <v>0</v>
      </c>
      <c r="I356" s="11" t="n">
        <v>10</v>
      </c>
    </row>
    <row r="357" ht="15.75" customHeight="1" s="57">
      <c r="A357" s="39" t="inlineStr">
        <is>
          <t>2026-10-01</t>
        </is>
      </c>
      <c r="B357" s="11" t="inlineStr">
        <is>
          <t>ecom</t>
        </is>
      </c>
      <c r="C357" s="11" t="inlineStr">
        <is>
          <t>Shopee Ecom</t>
        </is>
      </c>
      <c r="D357" s="11" t="inlineStr">
        <is>
          <t>03.10-15kg</t>
        </is>
      </c>
      <c r="E357" s="11" t="inlineStr">
        <is>
          <t>Ninh Thuận</t>
        </is>
      </c>
      <c r="F357" s="11" t="n">
        <v>77.3</v>
      </c>
      <c r="G357" s="11" t="n">
        <v>809.08</v>
      </c>
      <c r="H357" s="11" t="n">
        <v>0</v>
      </c>
      <c r="I357" s="11" t="n">
        <v>10</v>
      </c>
    </row>
    <row r="358" ht="15.75" customHeight="1" s="57">
      <c r="A358" s="39" t="inlineStr">
        <is>
          <t>2026-10-01</t>
        </is>
      </c>
      <c r="B358" s="11" t="inlineStr">
        <is>
          <t>ecom</t>
        </is>
      </c>
      <c r="C358" s="11" t="inlineStr">
        <is>
          <t>Shopee Ecom</t>
        </is>
      </c>
      <c r="D358" s="11" t="inlineStr">
        <is>
          <t>03.10-15kg</t>
        </is>
      </c>
      <c r="E358" s="11" t="inlineStr">
        <is>
          <t>Đắk Nông</t>
        </is>
      </c>
      <c r="F358" s="11" t="n">
        <v>57.12</v>
      </c>
      <c r="G358" s="11" t="n">
        <v>597.79</v>
      </c>
      <c r="H358" s="11" t="n">
        <v>0</v>
      </c>
      <c r="I358" s="11" t="n">
        <v>10</v>
      </c>
    </row>
    <row r="359" ht="15.75" customHeight="1" s="57">
      <c r="A359" s="39" t="inlineStr">
        <is>
          <t>2026-10-01</t>
        </is>
      </c>
      <c r="B359" s="11" t="inlineStr">
        <is>
          <t>ecom</t>
        </is>
      </c>
      <c r="C359" s="11" t="inlineStr">
        <is>
          <t>Shopee Ecom</t>
        </is>
      </c>
      <c r="D359" s="11" t="inlineStr">
        <is>
          <t>04.15-20kg</t>
        </is>
      </c>
      <c r="E359" s="11" t="inlineStr">
        <is>
          <t>Bình Thuận</t>
        </is>
      </c>
      <c r="F359" s="11" t="n">
        <v>178.24</v>
      </c>
      <c r="G359" s="11" t="n">
        <v>3002.64</v>
      </c>
      <c r="H359" s="11" t="n">
        <v>0</v>
      </c>
      <c r="I359" s="11" t="n">
        <v>10</v>
      </c>
    </row>
    <row r="360" ht="15.75" customHeight="1" s="57">
      <c r="A360" s="39" t="inlineStr">
        <is>
          <t>2026-10-01</t>
        </is>
      </c>
      <c r="B360" s="11" t="inlineStr">
        <is>
          <t>ecom</t>
        </is>
      </c>
      <c r="C360" s="11" t="inlineStr">
        <is>
          <t>Shopee Ecom</t>
        </is>
      </c>
      <c r="D360" s="11" t="inlineStr">
        <is>
          <t>04.15-20kg</t>
        </is>
      </c>
      <c r="E360" s="11" t="inlineStr">
        <is>
          <t>Khánh Hòa</t>
        </is>
      </c>
      <c r="F360" s="11" t="n">
        <v>171.35</v>
      </c>
      <c r="G360" s="11" t="n">
        <v>2886.52</v>
      </c>
      <c r="H360" s="11" t="n">
        <v>0</v>
      </c>
      <c r="I360" s="11" t="n">
        <v>10</v>
      </c>
    </row>
    <row r="361" ht="15.75" customHeight="1" s="57">
      <c r="A361" s="39" t="inlineStr">
        <is>
          <t>2026-10-01</t>
        </is>
      </c>
      <c r="B361" s="11" t="inlineStr">
        <is>
          <t>ecom</t>
        </is>
      </c>
      <c r="C361" s="11" t="inlineStr">
        <is>
          <t>Shopee Ecom</t>
        </is>
      </c>
      <c r="D361" s="11" t="inlineStr">
        <is>
          <t>04.15-20kg</t>
        </is>
      </c>
      <c r="E361" s="11" t="inlineStr">
        <is>
          <t>Lâm Đồng</t>
        </is>
      </c>
      <c r="F361" s="11" t="n">
        <v>195.97</v>
      </c>
      <c r="G361" s="11" t="n">
        <v>3301.25</v>
      </c>
      <c r="H361" s="11" t="n">
        <v>0</v>
      </c>
      <c r="I361" s="11" t="n">
        <v>10</v>
      </c>
    </row>
    <row r="362" ht="15.75" customHeight="1" s="57">
      <c r="A362" s="39" t="inlineStr">
        <is>
          <t>2026-10-01</t>
        </is>
      </c>
      <c r="B362" s="11" t="inlineStr">
        <is>
          <t>ecom</t>
        </is>
      </c>
      <c r="C362" s="11" t="inlineStr">
        <is>
          <t>Shopee Ecom</t>
        </is>
      </c>
      <c r="D362" s="11" t="inlineStr">
        <is>
          <t>04.15-20kg</t>
        </is>
      </c>
      <c r="E362" s="11" t="inlineStr">
        <is>
          <t>Ninh Thuận</t>
        </is>
      </c>
      <c r="F362" s="11" t="n">
        <v>52.68</v>
      </c>
      <c r="G362" s="11" t="n">
        <v>887.52</v>
      </c>
      <c r="H362" s="11" t="n">
        <v>0</v>
      </c>
      <c r="I362" s="11" t="n">
        <v>10</v>
      </c>
    </row>
    <row r="363" ht="15.75" customHeight="1" s="57">
      <c r="A363" s="39" t="inlineStr">
        <is>
          <t>2026-10-01</t>
        </is>
      </c>
      <c r="B363" s="11" t="inlineStr">
        <is>
          <t>ecom</t>
        </is>
      </c>
      <c r="C363" s="11" t="inlineStr">
        <is>
          <t>Shopee Ecom</t>
        </is>
      </c>
      <c r="D363" s="11" t="inlineStr">
        <is>
          <t>04.15-20kg</t>
        </is>
      </c>
      <c r="E363" s="11" t="inlineStr">
        <is>
          <t>Đắk Nông</t>
        </is>
      </c>
      <c r="F363" s="11" t="n">
        <v>48.25</v>
      </c>
      <c r="G363" s="11" t="n">
        <v>812.87</v>
      </c>
      <c r="H363" s="11" t="n">
        <v>0</v>
      </c>
      <c r="I363" s="11" t="n">
        <v>10</v>
      </c>
    </row>
    <row r="364" ht="15.75" customHeight="1" s="57">
      <c r="A364" s="39" t="inlineStr">
        <is>
          <t>2026-10-01</t>
        </is>
      </c>
      <c r="B364" s="11" t="inlineStr">
        <is>
          <t>ecom</t>
        </is>
      </c>
      <c r="C364" s="11" t="inlineStr">
        <is>
          <t>Shopee Ecom</t>
        </is>
      </c>
      <c r="D364" s="11" t="inlineStr">
        <is>
          <t>05.&gt;=20kg</t>
        </is>
      </c>
      <c r="E364" s="11" t="inlineStr">
        <is>
          <t>Bình Thuận</t>
        </is>
      </c>
      <c r="F364" s="11" t="n">
        <v>275.73</v>
      </c>
      <c r="G364" s="11" t="n">
        <v>9711.540000000001</v>
      </c>
      <c r="H364" s="11" t="n">
        <v>0</v>
      </c>
      <c r="I364" s="11" t="n">
        <v>10</v>
      </c>
    </row>
    <row r="365" ht="15.75" customHeight="1" s="57">
      <c r="A365" s="39" t="inlineStr">
        <is>
          <t>2026-10-01</t>
        </is>
      </c>
      <c r="B365" s="11" t="inlineStr">
        <is>
          <t>ecom</t>
        </is>
      </c>
      <c r="C365" s="11" t="inlineStr">
        <is>
          <t>Shopee Ecom</t>
        </is>
      </c>
      <c r="D365" s="11" t="inlineStr">
        <is>
          <t>05.&gt;=20kg</t>
        </is>
      </c>
      <c r="E365" s="11" t="inlineStr">
        <is>
          <t>Khánh Hòa</t>
        </is>
      </c>
      <c r="F365" s="11" t="n">
        <v>296.41</v>
      </c>
      <c r="G365" s="11" t="n">
        <v>10439.9</v>
      </c>
      <c r="H365" s="11" t="n">
        <v>0</v>
      </c>
      <c r="I365" s="11" t="n">
        <v>10</v>
      </c>
    </row>
    <row r="366" ht="15.75" customHeight="1" s="57">
      <c r="A366" s="39" t="inlineStr">
        <is>
          <t>2026-10-01</t>
        </is>
      </c>
      <c r="B366" s="11" t="inlineStr">
        <is>
          <t>ecom</t>
        </is>
      </c>
      <c r="C366" s="11" t="inlineStr">
        <is>
          <t>Shopee Ecom</t>
        </is>
      </c>
      <c r="D366" s="11" t="inlineStr">
        <is>
          <t>05.&gt;=20kg</t>
        </is>
      </c>
      <c r="E366" s="11" t="inlineStr">
        <is>
          <t>Lâm Đồng</t>
        </is>
      </c>
      <c r="F366" s="11" t="n">
        <v>320.05</v>
      </c>
      <c r="G366" s="11" t="n">
        <v>11272.32</v>
      </c>
      <c r="H366" s="11" t="n">
        <v>0</v>
      </c>
      <c r="I366" s="11" t="n">
        <v>10</v>
      </c>
    </row>
    <row r="367" ht="15.75" customHeight="1" s="57">
      <c r="A367" s="39" t="inlineStr">
        <is>
          <t>2026-10-01</t>
        </is>
      </c>
      <c r="B367" s="11" t="inlineStr">
        <is>
          <t>ecom</t>
        </is>
      </c>
      <c r="C367" s="11" t="inlineStr">
        <is>
          <t>Shopee Ecom</t>
        </is>
      </c>
      <c r="D367" s="11" t="inlineStr">
        <is>
          <t>05.&gt;=20kg</t>
        </is>
      </c>
      <c r="E367" s="11" t="inlineStr">
        <is>
          <t>Ninh Thuận</t>
        </is>
      </c>
      <c r="F367" s="11" t="n">
        <v>100.45</v>
      </c>
      <c r="G367" s="11" t="n">
        <v>3537.77</v>
      </c>
      <c r="H367" s="11" t="n">
        <v>0</v>
      </c>
      <c r="I367" s="11" t="n">
        <v>10</v>
      </c>
    </row>
    <row r="368" ht="15.75" customHeight="1" s="57">
      <c r="A368" s="39" t="inlineStr">
        <is>
          <t>2026-10-01</t>
        </is>
      </c>
      <c r="B368" s="11" t="inlineStr">
        <is>
          <t>ecom</t>
        </is>
      </c>
      <c r="C368" s="11" t="inlineStr">
        <is>
          <t>Shopee Ecom</t>
        </is>
      </c>
      <c r="D368" s="11" t="inlineStr">
        <is>
          <t>05.&gt;=20kg</t>
        </is>
      </c>
      <c r="E368" s="11" t="inlineStr">
        <is>
          <t>Đắk Nông</t>
        </is>
      </c>
      <c r="F368" s="11" t="n">
        <v>79.27</v>
      </c>
      <c r="G368" s="11" t="n">
        <v>2792.07</v>
      </c>
      <c r="H368" s="11" t="n">
        <v>0</v>
      </c>
      <c r="I368" s="11" t="n">
        <v>10</v>
      </c>
    </row>
    <row r="369" ht="15.75" customHeight="1" s="57">
      <c r="A369" s="39" t="inlineStr">
        <is>
          <t>2026-10-01</t>
        </is>
      </c>
      <c r="B369" s="11" t="inlineStr">
        <is>
          <t>ecom</t>
        </is>
      </c>
      <c r="C369" s="11" t="inlineStr">
        <is>
          <t>TTS</t>
        </is>
      </c>
      <c r="D369" s="11" t="inlineStr">
        <is>
          <t>01.0-5kg</t>
        </is>
      </c>
      <c r="E369" s="11" t="inlineStr">
        <is>
          <t>Bình Thuận</t>
        </is>
      </c>
      <c r="F369" s="11" t="n">
        <v>50041.91</v>
      </c>
      <c r="G369" s="11" t="n">
        <v>38357.13</v>
      </c>
      <c r="H369" s="11" t="n">
        <v>0</v>
      </c>
      <c r="I369" s="11" t="n">
        <v>10</v>
      </c>
    </row>
    <row r="370" ht="15.75" customHeight="1" s="57">
      <c r="A370" s="39" t="inlineStr">
        <is>
          <t>2026-10-01</t>
        </is>
      </c>
      <c r="B370" s="11" t="inlineStr">
        <is>
          <t>ecom</t>
        </is>
      </c>
      <c r="C370" s="11" t="inlineStr">
        <is>
          <t>TTS</t>
        </is>
      </c>
      <c r="D370" s="11" t="inlineStr">
        <is>
          <t>01.0-5kg</t>
        </is>
      </c>
      <c r="E370" s="11" t="inlineStr">
        <is>
          <t>Khánh Hòa</t>
        </is>
      </c>
      <c r="F370" s="11" t="n">
        <v>28551.46</v>
      </c>
      <c r="G370" s="11" t="n">
        <v>21884.7</v>
      </c>
      <c r="H370" s="11" t="n">
        <v>0</v>
      </c>
      <c r="I370" s="11" t="n">
        <v>10</v>
      </c>
    </row>
    <row r="371" ht="15.75" customHeight="1" s="57">
      <c r="A371" s="39" t="inlineStr">
        <is>
          <t>2026-10-01</t>
        </is>
      </c>
      <c r="B371" s="11" t="inlineStr">
        <is>
          <t>ecom</t>
        </is>
      </c>
      <c r="C371" s="11" t="inlineStr">
        <is>
          <t>TTS</t>
        </is>
      </c>
      <c r="D371" s="11" t="inlineStr">
        <is>
          <t>01.0-5kg</t>
        </is>
      </c>
      <c r="E371" s="11" t="inlineStr">
        <is>
          <t>Lâm Đồng</t>
        </is>
      </c>
      <c r="F371" s="11" t="n">
        <v>52214.65</v>
      </c>
      <c r="G371" s="11" t="n">
        <v>40022.53</v>
      </c>
      <c r="H371" s="11" t="n">
        <v>0</v>
      </c>
      <c r="I371" s="11" t="n">
        <v>10</v>
      </c>
    </row>
    <row r="372" ht="15.75" customHeight="1" s="57">
      <c r="A372" s="39" t="inlineStr">
        <is>
          <t>2026-10-01</t>
        </is>
      </c>
      <c r="B372" s="11" t="inlineStr">
        <is>
          <t>ecom</t>
        </is>
      </c>
      <c r="C372" s="11" t="inlineStr">
        <is>
          <t>TTS</t>
        </is>
      </c>
      <c r="D372" s="11" t="inlineStr">
        <is>
          <t>01.0-5kg</t>
        </is>
      </c>
      <c r="E372" s="11" t="inlineStr">
        <is>
          <t>Ninh Thuận</t>
        </is>
      </c>
      <c r="F372" s="11" t="n">
        <v>17436.12</v>
      </c>
      <c r="G372" s="11" t="n">
        <v>13364.78</v>
      </c>
      <c r="H372" s="11" t="n">
        <v>0</v>
      </c>
      <c r="I372" s="11" t="n">
        <v>10</v>
      </c>
    </row>
    <row r="373" ht="15.75" customHeight="1" s="57">
      <c r="A373" s="39" t="inlineStr">
        <is>
          <t>2026-10-01</t>
        </is>
      </c>
      <c r="B373" s="11" t="inlineStr">
        <is>
          <t>ecom</t>
        </is>
      </c>
      <c r="C373" s="11" t="inlineStr">
        <is>
          <t>TTS</t>
        </is>
      </c>
      <c r="D373" s="11" t="inlineStr">
        <is>
          <t>01.0-5kg</t>
        </is>
      </c>
      <c r="E373" s="11" t="inlineStr">
        <is>
          <t>Đắk Nông</t>
        </is>
      </c>
      <c r="F373" s="11" t="n">
        <v>11017.01</v>
      </c>
      <c r="G373" s="11" t="n">
        <v>8444.540000000001</v>
      </c>
      <c r="H373" s="11" t="n">
        <v>0</v>
      </c>
      <c r="I373" s="11" t="n">
        <v>10</v>
      </c>
    </row>
    <row r="374" ht="15.75" customHeight="1" s="57">
      <c r="A374" s="39" t="inlineStr">
        <is>
          <t>2026-10-01</t>
        </is>
      </c>
      <c r="B374" s="11" t="inlineStr">
        <is>
          <t>ecom</t>
        </is>
      </c>
      <c r="C374" s="11" t="inlineStr">
        <is>
          <t>TTS</t>
        </is>
      </c>
      <c r="D374" s="11" t="inlineStr">
        <is>
          <t>02.5-10kg</t>
        </is>
      </c>
      <c r="E374" s="11" t="inlineStr">
        <is>
          <t>Bình Thuận</t>
        </is>
      </c>
      <c r="F374" s="11" t="n">
        <v>1431.72</v>
      </c>
      <c r="G374" s="11" t="n">
        <v>9088.68</v>
      </c>
      <c r="H374" s="11" t="n">
        <v>0</v>
      </c>
      <c r="I374" s="11" t="n">
        <v>10</v>
      </c>
    </row>
    <row r="375" ht="15.75" customHeight="1" s="57">
      <c r="A375" s="39" t="inlineStr">
        <is>
          <t>2026-10-01</t>
        </is>
      </c>
      <c r="B375" s="11" t="inlineStr">
        <is>
          <t>ecom</t>
        </is>
      </c>
      <c r="C375" s="11" t="inlineStr">
        <is>
          <t>TTS</t>
        </is>
      </c>
      <c r="D375" s="11" t="inlineStr">
        <is>
          <t>02.5-10kg</t>
        </is>
      </c>
      <c r="E375" s="11" t="inlineStr">
        <is>
          <t>Khánh Hòa</t>
        </is>
      </c>
      <c r="F375" s="11" t="n">
        <v>943.12</v>
      </c>
      <c r="G375" s="11" t="n">
        <v>5987.02</v>
      </c>
      <c r="H375" s="11" t="n">
        <v>0</v>
      </c>
      <c r="I375" s="11" t="n">
        <v>10</v>
      </c>
    </row>
    <row r="376" ht="15.75" customHeight="1" s="57">
      <c r="A376" s="39" t="inlineStr">
        <is>
          <t>2026-10-01</t>
        </is>
      </c>
      <c r="B376" s="11" t="inlineStr">
        <is>
          <t>ecom</t>
        </is>
      </c>
      <c r="C376" s="11" t="inlineStr">
        <is>
          <t>TTS</t>
        </is>
      </c>
      <c r="D376" s="11" t="inlineStr">
        <is>
          <t>02.5-10kg</t>
        </is>
      </c>
      <c r="E376" s="11" t="inlineStr">
        <is>
          <t>Lâm Đồng</t>
        </is>
      </c>
      <c r="F376" s="11" t="n">
        <v>2055.04</v>
      </c>
      <c r="G376" s="11" t="n">
        <v>13045.62</v>
      </c>
      <c r="H376" s="11" t="n">
        <v>0</v>
      </c>
      <c r="I376" s="11" t="n">
        <v>10</v>
      </c>
    </row>
    <row r="377" ht="15.75" customHeight="1" s="57">
      <c r="A377" s="39" t="inlineStr">
        <is>
          <t>2026-10-01</t>
        </is>
      </c>
      <c r="B377" s="11" t="inlineStr">
        <is>
          <t>ecom</t>
        </is>
      </c>
      <c r="C377" s="11" t="inlineStr">
        <is>
          <t>TTS</t>
        </is>
      </c>
      <c r="D377" s="11" t="inlineStr">
        <is>
          <t>02.5-10kg</t>
        </is>
      </c>
      <c r="E377" s="11" t="inlineStr">
        <is>
          <t>Ninh Thuận</t>
        </is>
      </c>
      <c r="F377" s="11" t="n">
        <v>852.53</v>
      </c>
      <c r="G377" s="11" t="n">
        <v>5411.92</v>
      </c>
      <c r="H377" s="11" t="n">
        <v>0</v>
      </c>
      <c r="I377" s="11" t="n">
        <v>10</v>
      </c>
    </row>
    <row r="378" ht="15.75" customHeight="1" s="57">
      <c r="A378" s="39" t="inlineStr">
        <is>
          <t>2026-10-01</t>
        </is>
      </c>
      <c r="B378" s="11" t="inlineStr">
        <is>
          <t>ecom</t>
        </is>
      </c>
      <c r="C378" s="11" t="inlineStr">
        <is>
          <t>TTS</t>
        </is>
      </c>
      <c r="D378" s="11" t="inlineStr">
        <is>
          <t>02.5-10kg</t>
        </is>
      </c>
      <c r="E378" s="11" t="inlineStr">
        <is>
          <t>Đắk Nông</t>
        </is>
      </c>
      <c r="F378" s="11" t="n">
        <v>330.63</v>
      </c>
      <c r="G378" s="11" t="n">
        <v>2098.9</v>
      </c>
      <c r="H378" s="11" t="n">
        <v>0</v>
      </c>
      <c r="I378" s="11" t="n">
        <v>10</v>
      </c>
    </row>
    <row r="379" ht="15.75" customHeight="1" s="57">
      <c r="A379" s="39" t="inlineStr">
        <is>
          <t>2026-10-01</t>
        </is>
      </c>
      <c r="B379" s="11" t="inlineStr">
        <is>
          <t>ecom</t>
        </is>
      </c>
      <c r="C379" s="11" t="inlineStr">
        <is>
          <t>TTS</t>
        </is>
      </c>
      <c r="D379" s="11" t="inlineStr">
        <is>
          <t>03.10-15kg</t>
        </is>
      </c>
      <c r="E379" s="11" t="inlineStr">
        <is>
          <t>Bình Thuận</t>
        </is>
      </c>
      <c r="F379" s="11" t="n">
        <v>507.95</v>
      </c>
      <c r="G379" s="11" t="n">
        <v>5855.38</v>
      </c>
      <c r="H379" s="11" t="n">
        <v>0</v>
      </c>
      <c r="I379" s="11" t="n">
        <v>10</v>
      </c>
    </row>
    <row r="380" ht="15.75" customHeight="1" s="57">
      <c r="A380" s="39" t="inlineStr">
        <is>
          <t>2026-10-01</t>
        </is>
      </c>
      <c r="B380" s="11" t="inlineStr">
        <is>
          <t>ecom</t>
        </is>
      </c>
      <c r="C380" s="11" t="inlineStr">
        <is>
          <t>TTS</t>
        </is>
      </c>
      <c r="D380" s="11" t="inlineStr">
        <is>
          <t>03.10-15kg</t>
        </is>
      </c>
      <c r="E380" s="11" t="inlineStr">
        <is>
          <t>Khánh Hòa</t>
        </is>
      </c>
      <c r="F380" s="11" t="n">
        <v>228.42</v>
      </c>
      <c r="G380" s="11" t="n">
        <v>2633.14</v>
      </c>
      <c r="H380" s="11" t="n">
        <v>0</v>
      </c>
      <c r="I380" s="11" t="n">
        <v>10</v>
      </c>
    </row>
    <row r="381" ht="15.75" customHeight="1" s="57">
      <c r="A381" s="39" t="inlineStr">
        <is>
          <t>2026-10-01</t>
        </is>
      </c>
      <c r="B381" s="11" t="inlineStr">
        <is>
          <t>ecom</t>
        </is>
      </c>
      <c r="C381" s="11" t="inlineStr">
        <is>
          <t>TTS</t>
        </is>
      </c>
      <c r="D381" s="11" t="inlineStr">
        <is>
          <t>03.10-15kg</t>
        </is>
      </c>
      <c r="E381" s="11" t="inlineStr">
        <is>
          <t>Lâm Đồng</t>
        </is>
      </c>
      <c r="F381" s="11" t="n">
        <v>141.7</v>
      </c>
      <c r="G381" s="11" t="n">
        <v>1633.44</v>
      </c>
      <c r="H381" s="11" t="n">
        <v>0</v>
      </c>
      <c r="I381" s="11" t="n">
        <v>10</v>
      </c>
    </row>
    <row r="382" ht="15.75" customHeight="1" s="57">
      <c r="A382" s="39" t="inlineStr">
        <is>
          <t>2026-10-01</t>
        </is>
      </c>
      <c r="B382" s="11" t="inlineStr">
        <is>
          <t>ecom</t>
        </is>
      </c>
      <c r="C382" s="11" t="inlineStr">
        <is>
          <t>TTS</t>
        </is>
      </c>
      <c r="D382" s="11" t="inlineStr">
        <is>
          <t>03.10-15kg</t>
        </is>
      </c>
      <c r="E382" s="11" t="inlineStr">
        <is>
          <t>Ninh Thuận</t>
        </is>
      </c>
      <c r="F382" s="11" t="n">
        <v>128.54</v>
      </c>
      <c r="G382" s="11" t="n">
        <v>1481.7</v>
      </c>
      <c r="H382" s="11" t="n">
        <v>0</v>
      </c>
      <c r="I382" s="11" t="n">
        <v>10</v>
      </c>
    </row>
    <row r="383" ht="15.75" customHeight="1" s="57">
      <c r="A383" s="39" t="inlineStr">
        <is>
          <t>2026-10-01</t>
        </is>
      </c>
      <c r="B383" s="11" t="inlineStr">
        <is>
          <t>ecom</t>
        </is>
      </c>
      <c r="C383" s="11" t="inlineStr">
        <is>
          <t>TTS</t>
        </is>
      </c>
      <c r="D383" s="11" t="inlineStr">
        <is>
          <t>03.10-15kg</t>
        </is>
      </c>
      <c r="E383" s="11" t="inlineStr">
        <is>
          <t>Đắk Nông</t>
        </is>
      </c>
      <c r="F383" s="11" t="n">
        <v>99.11</v>
      </c>
      <c r="G383" s="11" t="n">
        <v>1142.51</v>
      </c>
      <c r="H383" s="11" t="n">
        <v>0</v>
      </c>
      <c r="I383" s="11" t="n">
        <v>10</v>
      </c>
    </row>
    <row r="384" ht="15.75" customHeight="1" s="57">
      <c r="A384" s="39" t="inlineStr">
        <is>
          <t>2026-10-01</t>
        </is>
      </c>
      <c r="B384" s="11" t="inlineStr">
        <is>
          <t>ecom</t>
        </is>
      </c>
      <c r="C384" s="11" t="inlineStr">
        <is>
          <t>TTS</t>
        </is>
      </c>
      <c r="D384" s="11" t="inlineStr">
        <is>
          <t>04.15-20kg</t>
        </is>
      </c>
      <c r="E384" s="11" t="inlineStr">
        <is>
          <t>Bình Thuận</t>
        </is>
      </c>
      <c r="F384" s="11" t="n">
        <v>490.14</v>
      </c>
      <c r="G384" s="11" t="n">
        <v>8106.88</v>
      </c>
      <c r="H384" s="11" t="n">
        <v>0</v>
      </c>
      <c r="I384" s="11" t="n">
        <v>10</v>
      </c>
    </row>
    <row r="385" ht="15.75" customHeight="1" s="57">
      <c r="A385" s="39" t="inlineStr">
        <is>
          <t>2026-10-01</t>
        </is>
      </c>
      <c r="B385" s="11" t="inlineStr">
        <is>
          <t>ecom</t>
        </is>
      </c>
      <c r="C385" s="11" t="inlineStr">
        <is>
          <t>TTS</t>
        </is>
      </c>
      <c r="D385" s="11" t="inlineStr">
        <is>
          <t>04.15-20kg</t>
        </is>
      </c>
      <c r="E385" s="11" t="inlineStr">
        <is>
          <t>Khánh Hòa</t>
        </is>
      </c>
      <c r="F385" s="11" t="n">
        <v>37.17</v>
      </c>
      <c r="G385" s="11" t="n">
        <v>614.74</v>
      </c>
      <c r="H385" s="11" t="n">
        <v>0</v>
      </c>
      <c r="I385" s="11" t="n">
        <v>10</v>
      </c>
    </row>
    <row r="386" ht="15.75" customHeight="1" s="57">
      <c r="A386" s="39" t="inlineStr">
        <is>
          <t>2026-10-01</t>
        </is>
      </c>
      <c r="B386" s="11" t="inlineStr">
        <is>
          <t>ecom</t>
        </is>
      </c>
      <c r="C386" s="11" t="inlineStr">
        <is>
          <t>TTS</t>
        </is>
      </c>
      <c r="D386" s="11" t="inlineStr">
        <is>
          <t>04.15-20kg</t>
        </is>
      </c>
      <c r="E386" s="11" t="inlineStr">
        <is>
          <t>Lâm Đồng</t>
        </is>
      </c>
      <c r="F386" s="11" t="n">
        <v>483.18</v>
      </c>
      <c r="G386" s="11" t="n">
        <v>7991.62</v>
      </c>
      <c r="H386" s="11" t="n">
        <v>0</v>
      </c>
      <c r="I386" s="11" t="n">
        <v>10</v>
      </c>
    </row>
    <row r="387" ht="15.75" customHeight="1" s="57">
      <c r="A387" s="39" t="inlineStr">
        <is>
          <t>2026-10-01</t>
        </is>
      </c>
      <c r="B387" s="11" t="inlineStr">
        <is>
          <t>ecom</t>
        </is>
      </c>
      <c r="C387" s="11" t="inlineStr">
        <is>
          <t>TTS</t>
        </is>
      </c>
      <c r="D387" s="11" t="inlineStr">
        <is>
          <t>04.15-20kg</t>
        </is>
      </c>
      <c r="E387" s="11" t="inlineStr">
        <is>
          <t>Ninh Thuận</t>
        </is>
      </c>
      <c r="F387" s="11" t="n">
        <v>67.37</v>
      </c>
      <c r="G387" s="11" t="n">
        <v>1114.22</v>
      </c>
      <c r="H387" s="11" t="n">
        <v>0</v>
      </c>
      <c r="I387" s="11" t="n">
        <v>10</v>
      </c>
    </row>
    <row r="388" ht="15.75" customHeight="1" s="57">
      <c r="A388" s="39" t="inlineStr">
        <is>
          <t>2026-10-01</t>
        </is>
      </c>
      <c r="B388" s="11" t="inlineStr">
        <is>
          <t>ecom</t>
        </is>
      </c>
      <c r="C388" s="11" t="inlineStr">
        <is>
          <t>TTS</t>
        </is>
      </c>
      <c r="D388" s="11" t="inlineStr">
        <is>
          <t>04.15-20kg</t>
        </is>
      </c>
      <c r="E388" s="11" t="inlineStr">
        <is>
          <t>Đắk Nông</t>
        </is>
      </c>
      <c r="F388" s="11" t="n">
        <v>6.19</v>
      </c>
      <c r="G388" s="11" t="n">
        <v>102.46</v>
      </c>
      <c r="H388" s="11" t="n">
        <v>0</v>
      </c>
      <c r="I388" s="11" t="n">
        <v>10</v>
      </c>
    </row>
    <row r="389" ht="15.75" customHeight="1" s="57">
      <c r="A389" s="39" t="inlineStr">
        <is>
          <t>2026-10-01</t>
        </is>
      </c>
      <c r="B389" s="11" t="inlineStr">
        <is>
          <t>ecom</t>
        </is>
      </c>
      <c r="C389" s="11" t="inlineStr">
        <is>
          <t>TTS</t>
        </is>
      </c>
      <c r="D389" s="11" t="inlineStr">
        <is>
          <t>05.&gt;=20kg</t>
        </is>
      </c>
      <c r="E389" s="11" t="inlineStr">
        <is>
          <t>Bình Thuận</t>
        </is>
      </c>
      <c r="F389" s="11" t="n">
        <v>109.95</v>
      </c>
      <c r="G389" s="11" t="n">
        <v>3945.38</v>
      </c>
      <c r="H389" s="11" t="n">
        <v>0</v>
      </c>
      <c r="I389" s="11" t="n">
        <v>10</v>
      </c>
    </row>
    <row r="390" ht="15.75" customHeight="1" s="57">
      <c r="A390" s="39" t="inlineStr">
        <is>
          <t>2026-10-01</t>
        </is>
      </c>
      <c r="B390" s="11" t="inlineStr">
        <is>
          <t>ecom</t>
        </is>
      </c>
      <c r="C390" s="11" t="inlineStr">
        <is>
          <t>TTS</t>
        </is>
      </c>
      <c r="D390" s="11" t="inlineStr">
        <is>
          <t>05.&gt;=20kg</t>
        </is>
      </c>
      <c r="E390" s="11" t="inlineStr">
        <is>
          <t>Khánh Hòa</t>
        </is>
      </c>
      <c r="F390" s="11" t="n">
        <v>339.15</v>
      </c>
      <c r="G390" s="11" t="n">
        <v>12169.54</v>
      </c>
      <c r="H390" s="11" t="n">
        <v>0</v>
      </c>
      <c r="I390" s="11" t="n">
        <v>10</v>
      </c>
    </row>
    <row r="391" ht="15.75" customHeight="1" s="57">
      <c r="A391" s="39" t="inlineStr">
        <is>
          <t>2026-10-01</t>
        </is>
      </c>
      <c r="B391" s="11" t="inlineStr">
        <is>
          <t>ecom</t>
        </is>
      </c>
      <c r="C391" s="11" t="inlineStr">
        <is>
          <t>TTS</t>
        </is>
      </c>
      <c r="D391" s="11" t="inlineStr">
        <is>
          <t>05.&gt;=20kg</t>
        </is>
      </c>
      <c r="E391" s="11" t="inlineStr">
        <is>
          <t>Lâm Đồng</t>
        </is>
      </c>
      <c r="F391" s="11" t="n">
        <v>1084.82</v>
      </c>
      <c r="G391" s="11" t="n">
        <v>38925.87</v>
      </c>
      <c r="H391" s="11" t="n">
        <v>0</v>
      </c>
      <c r="I391" s="11" t="n">
        <v>10</v>
      </c>
    </row>
    <row r="392" ht="15.75" customHeight="1" s="57">
      <c r="A392" s="39" t="inlineStr">
        <is>
          <t>2026-10-01</t>
        </is>
      </c>
      <c r="B392" s="11" t="inlineStr">
        <is>
          <t>ecom</t>
        </is>
      </c>
      <c r="C392" s="11" t="inlineStr">
        <is>
          <t>TTS</t>
        </is>
      </c>
      <c r="D392" s="11" t="inlineStr">
        <is>
          <t>05.&gt;=20kg</t>
        </is>
      </c>
      <c r="E392" s="11" t="inlineStr">
        <is>
          <t>Ninh Thuận</t>
        </is>
      </c>
      <c r="F392" s="11" t="n">
        <v>15.49</v>
      </c>
      <c r="G392" s="11" t="n">
        <v>555.6900000000001</v>
      </c>
      <c r="H392" s="11" t="n">
        <v>0</v>
      </c>
      <c r="I392" s="11" t="n">
        <v>10</v>
      </c>
    </row>
    <row r="393" ht="15.75" customHeight="1" s="57">
      <c r="A393" s="39" t="inlineStr">
        <is>
          <t>2026-10-01</t>
        </is>
      </c>
      <c r="B393" s="11" t="inlineStr">
        <is>
          <t>ecom</t>
        </is>
      </c>
      <c r="C393" s="11" t="inlineStr">
        <is>
          <t>TTS</t>
        </is>
      </c>
      <c r="D393" s="11" t="inlineStr">
        <is>
          <t>05.&gt;=20kg</t>
        </is>
      </c>
      <c r="E393" s="11" t="inlineStr">
        <is>
          <t>Đắk Nông</t>
        </is>
      </c>
      <c r="F393" s="11" t="n">
        <v>13.16</v>
      </c>
      <c r="G393" s="11" t="n">
        <v>472.33</v>
      </c>
      <c r="H393" s="11" t="n">
        <v>0</v>
      </c>
      <c r="I393" s="11" t="n">
        <v>10</v>
      </c>
    </row>
    <row r="394" ht="15.75" customHeight="1" s="57">
      <c r="A394" s="39" t="inlineStr">
        <is>
          <t>2026-11-01</t>
        </is>
      </c>
      <c r="B394" s="11" t="inlineStr">
        <is>
          <t>sme</t>
        </is>
      </c>
      <c r="C394" s="11" t="inlineStr">
        <is>
          <t>SME</t>
        </is>
      </c>
      <c r="D394" s="11" t="inlineStr">
        <is>
          <t>01.0-5kg</t>
        </is>
      </c>
      <c r="E394" s="11" t="inlineStr">
        <is>
          <t>Bình Thuận</t>
        </is>
      </c>
      <c r="F394" s="11" t="n">
        <v>35362.92</v>
      </c>
      <c r="G394" s="11" t="n">
        <v>24485.28</v>
      </c>
      <c r="H394" s="11" t="n">
        <v>0</v>
      </c>
      <c r="I394" s="11" t="n">
        <v>11</v>
      </c>
    </row>
    <row r="395" ht="15.75" customHeight="1" s="57">
      <c r="A395" s="39" t="inlineStr">
        <is>
          <t>2026-11-01</t>
        </is>
      </c>
      <c r="B395" s="11" t="inlineStr">
        <is>
          <t>sme</t>
        </is>
      </c>
      <c r="C395" s="11" t="inlineStr">
        <is>
          <t>SME</t>
        </is>
      </c>
      <c r="D395" s="11" t="inlineStr">
        <is>
          <t>01.0-5kg</t>
        </is>
      </c>
      <c r="E395" s="11" t="inlineStr">
        <is>
          <t>Khánh Hòa</t>
        </is>
      </c>
      <c r="F395" s="11" t="n">
        <v>82903.85000000001</v>
      </c>
      <c r="G395" s="11" t="n">
        <v>57402.63</v>
      </c>
      <c r="H395" s="11" t="n">
        <v>0</v>
      </c>
      <c r="I395" s="11" t="n">
        <v>11</v>
      </c>
    </row>
    <row r="396" ht="15.75" customHeight="1" s="57">
      <c r="A396" s="39" t="inlineStr">
        <is>
          <t>2026-11-01</t>
        </is>
      </c>
      <c r="B396" s="11" t="inlineStr">
        <is>
          <t>sme</t>
        </is>
      </c>
      <c r="C396" s="11" t="inlineStr">
        <is>
          <t>SME</t>
        </is>
      </c>
      <c r="D396" s="11" t="inlineStr">
        <is>
          <t>01.0-5kg</t>
        </is>
      </c>
      <c r="E396" s="11" t="inlineStr">
        <is>
          <t>Lâm Đồng</t>
        </is>
      </c>
      <c r="F396" s="11" t="n">
        <v>69283.46000000001</v>
      </c>
      <c r="G396" s="11" t="n">
        <v>47971.87</v>
      </c>
      <c r="H396" s="11" t="n">
        <v>0</v>
      </c>
      <c r="I396" s="11" t="n">
        <v>11</v>
      </c>
    </row>
    <row r="397" ht="15.75" customHeight="1" s="57">
      <c r="A397" s="39" t="inlineStr">
        <is>
          <t>2026-11-01</t>
        </is>
      </c>
      <c r="B397" s="11" t="inlineStr">
        <is>
          <t>sme</t>
        </is>
      </c>
      <c r="C397" s="11" t="inlineStr">
        <is>
          <t>SME</t>
        </is>
      </c>
      <c r="D397" s="11" t="inlineStr">
        <is>
          <t>01.0-5kg</t>
        </is>
      </c>
      <c r="E397" s="11" t="inlineStr">
        <is>
          <t>Ninh Thuận</t>
        </is>
      </c>
      <c r="F397" s="11" t="n">
        <v>28498.91</v>
      </c>
      <c r="G397" s="11" t="n">
        <v>19732.65</v>
      </c>
      <c r="H397" s="11" t="n">
        <v>0</v>
      </c>
      <c r="I397" s="11" t="n">
        <v>11</v>
      </c>
    </row>
    <row r="398" ht="15.75" customHeight="1" s="57">
      <c r="A398" s="39" t="inlineStr">
        <is>
          <t>2026-11-01</t>
        </is>
      </c>
      <c r="B398" s="11" t="inlineStr">
        <is>
          <t>sme</t>
        </is>
      </c>
      <c r="C398" s="11" t="inlineStr">
        <is>
          <t>SME</t>
        </is>
      </c>
      <c r="D398" s="11" t="inlineStr">
        <is>
          <t>01.0-5kg</t>
        </is>
      </c>
      <c r="E398" s="11" t="inlineStr">
        <is>
          <t>Đắk Nông</t>
        </is>
      </c>
      <c r="F398" s="11" t="n">
        <v>104162.14</v>
      </c>
      <c r="G398" s="11" t="n">
        <v>72121.87</v>
      </c>
      <c r="H398" s="11" t="n">
        <v>0</v>
      </c>
      <c r="I398" s="11" t="n">
        <v>11</v>
      </c>
    </row>
    <row r="399" ht="15.75" customHeight="1" s="57">
      <c r="A399" s="39" t="inlineStr">
        <is>
          <t>2026-11-01</t>
        </is>
      </c>
      <c r="B399" s="11" t="inlineStr">
        <is>
          <t>sme</t>
        </is>
      </c>
      <c r="C399" s="11" t="inlineStr">
        <is>
          <t>SME</t>
        </is>
      </c>
      <c r="D399" s="11" t="inlineStr">
        <is>
          <t>02.5-10kg</t>
        </is>
      </c>
      <c r="E399" s="11" t="inlineStr">
        <is>
          <t>Bình Thuận</t>
        </is>
      </c>
      <c r="F399" s="11" t="n">
        <v>2735.87</v>
      </c>
      <c r="G399" s="11" t="n">
        <v>16716.45</v>
      </c>
      <c r="H399" s="11" t="n">
        <v>0</v>
      </c>
      <c r="I399" s="11" t="n">
        <v>11</v>
      </c>
    </row>
    <row r="400" ht="15.75" customHeight="1" s="57">
      <c r="A400" s="39" t="inlineStr">
        <is>
          <t>2026-11-01</t>
        </is>
      </c>
      <c r="B400" s="11" t="inlineStr">
        <is>
          <t>sme</t>
        </is>
      </c>
      <c r="C400" s="11" t="inlineStr">
        <is>
          <t>SME</t>
        </is>
      </c>
      <c r="D400" s="11" t="inlineStr">
        <is>
          <t>02.5-10kg</t>
        </is>
      </c>
      <c r="E400" s="11" t="inlineStr">
        <is>
          <t>Khánh Hòa</t>
        </is>
      </c>
      <c r="F400" s="11" t="n">
        <v>5552.82</v>
      </c>
      <c r="G400" s="11" t="n">
        <v>33928.27</v>
      </c>
      <c r="H400" s="11" t="n">
        <v>0</v>
      </c>
      <c r="I400" s="11" t="n">
        <v>11</v>
      </c>
    </row>
    <row r="401" ht="15.75" customHeight="1" s="57">
      <c r="A401" s="39" t="inlineStr">
        <is>
          <t>2026-11-01</t>
        </is>
      </c>
      <c r="B401" s="11" t="inlineStr">
        <is>
          <t>sme</t>
        </is>
      </c>
      <c r="C401" s="11" t="inlineStr">
        <is>
          <t>SME</t>
        </is>
      </c>
      <c r="D401" s="11" t="inlineStr">
        <is>
          <t>02.5-10kg</t>
        </is>
      </c>
      <c r="E401" s="11" t="inlineStr">
        <is>
          <t>Lâm Đồng</t>
        </is>
      </c>
      <c r="F401" s="11" t="n">
        <v>9347.809999999999</v>
      </c>
      <c r="G401" s="11" t="n">
        <v>57116.05</v>
      </c>
      <c r="H401" s="11" t="n">
        <v>0</v>
      </c>
      <c r="I401" s="11" t="n">
        <v>11</v>
      </c>
    </row>
    <row r="402" ht="15.75" customHeight="1" s="57">
      <c r="A402" s="39" t="inlineStr">
        <is>
          <t>2026-11-01</t>
        </is>
      </c>
      <c r="B402" s="11" t="inlineStr">
        <is>
          <t>sme</t>
        </is>
      </c>
      <c r="C402" s="11" t="inlineStr">
        <is>
          <t>SME</t>
        </is>
      </c>
      <c r="D402" s="11" t="inlineStr">
        <is>
          <t>02.5-10kg</t>
        </is>
      </c>
      <c r="E402" s="11" t="inlineStr">
        <is>
          <t>Ninh Thuận</t>
        </is>
      </c>
      <c r="F402" s="11" t="n">
        <v>2131.5</v>
      </c>
      <c r="G402" s="11" t="n">
        <v>13023.7</v>
      </c>
      <c r="H402" s="11" t="n">
        <v>0</v>
      </c>
      <c r="I402" s="11" t="n">
        <v>11</v>
      </c>
    </row>
    <row r="403" ht="15.75" customHeight="1" s="57">
      <c r="A403" s="39" t="inlineStr">
        <is>
          <t>2026-11-01</t>
        </is>
      </c>
      <c r="B403" s="11" t="inlineStr">
        <is>
          <t>sme</t>
        </is>
      </c>
      <c r="C403" s="11" t="inlineStr">
        <is>
          <t>SME</t>
        </is>
      </c>
      <c r="D403" s="11" t="inlineStr">
        <is>
          <t>02.5-10kg</t>
        </is>
      </c>
      <c r="E403" s="11" t="inlineStr">
        <is>
          <t>Đắk Nông</t>
        </is>
      </c>
      <c r="F403" s="11" t="n">
        <v>1711.39</v>
      </c>
      <c r="G403" s="11" t="n">
        <v>10456.79</v>
      </c>
      <c r="H403" s="11" t="n">
        <v>0</v>
      </c>
      <c r="I403" s="11" t="n">
        <v>11</v>
      </c>
    </row>
    <row r="404" ht="15.75" customHeight="1" s="57">
      <c r="A404" s="39" t="inlineStr">
        <is>
          <t>2026-11-01</t>
        </is>
      </c>
      <c r="B404" s="11" t="inlineStr">
        <is>
          <t>sme</t>
        </is>
      </c>
      <c r="C404" s="11" t="inlineStr">
        <is>
          <t>SME</t>
        </is>
      </c>
      <c r="D404" s="11" t="inlineStr">
        <is>
          <t>03.10-15kg</t>
        </is>
      </c>
      <c r="E404" s="11" t="inlineStr">
        <is>
          <t>Bình Thuận</t>
        </is>
      </c>
      <c r="F404" s="11" t="n">
        <v>1182.2</v>
      </c>
      <c r="G404" s="11" t="n">
        <v>13352.99</v>
      </c>
      <c r="H404" s="11" t="n">
        <v>0</v>
      </c>
      <c r="I404" s="11" t="n">
        <v>11</v>
      </c>
    </row>
    <row r="405" ht="15.75" customHeight="1" s="57">
      <c r="A405" s="39" t="inlineStr">
        <is>
          <t>2026-11-01</t>
        </is>
      </c>
      <c r="B405" s="11" t="inlineStr">
        <is>
          <t>sme</t>
        </is>
      </c>
      <c r="C405" s="11" t="inlineStr">
        <is>
          <t>SME</t>
        </is>
      </c>
      <c r="D405" s="11" t="inlineStr">
        <is>
          <t>03.10-15kg</t>
        </is>
      </c>
      <c r="E405" s="11" t="inlineStr">
        <is>
          <t>Khánh Hòa</t>
        </is>
      </c>
      <c r="F405" s="11" t="n">
        <v>3234.11</v>
      </c>
      <c r="G405" s="11" t="n">
        <v>36529.24</v>
      </c>
      <c r="H405" s="11" t="n">
        <v>0</v>
      </c>
      <c r="I405" s="11" t="n">
        <v>11</v>
      </c>
    </row>
    <row r="406" ht="15.75" customHeight="1" s="57">
      <c r="A406" s="39" t="inlineStr">
        <is>
          <t>2026-11-01</t>
        </is>
      </c>
      <c r="B406" s="11" t="inlineStr">
        <is>
          <t>sme</t>
        </is>
      </c>
      <c r="C406" s="11" t="inlineStr">
        <is>
          <t>SME</t>
        </is>
      </c>
      <c r="D406" s="11" t="inlineStr">
        <is>
          <t>03.10-15kg</t>
        </is>
      </c>
      <c r="E406" s="11" t="inlineStr">
        <is>
          <t>Lâm Đồng</t>
        </is>
      </c>
      <c r="F406" s="11" t="n">
        <v>3943.13</v>
      </c>
      <c r="G406" s="11" t="n">
        <v>44537.71</v>
      </c>
      <c r="H406" s="11" t="n">
        <v>0</v>
      </c>
      <c r="I406" s="11" t="n">
        <v>11</v>
      </c>
    </row>
    <row r="407" ht="15.75" customHeight="1" s="57">
      <c r="A407" s="39" t="inlineStr">
        <is>
          <t>2026-11-01</t>
        </is>
      </c>
      <c r="B407" s="11" t="inlineStr">
        <is>
          <t>sme</t>
        </is>
      </c>
      <c r="C407" s="11" t="inlineStr">
        <is>
          <t>SME</t>
        </is>
      </c>
      <c r="D407" s="11" t="inlineStr">
        <is>
          <t>03.10-15kg</t>
        </is>
      </c>
      <c r="E407" s="11" t="inlineStr">
        <is>
          <t>Ninh Thuận</t>
        </is>
      </c>
      <c r="F407" s="11" t="n">
        <v>966.99</v>
      </c>
      <c r="G407" s="11" t="n">
        <v>10922.14</v>
      </c>
      <c r="H407" s="11" t="n">
        <v>0</v>
      </c>
      <c r="I407" s="11" t="n">
        <v>11</v>
      </c>
    </row>
    <row r="408" ht="15.75" customHeight="1" s="57">
      <c r="A408" s="39" t="inlineStr">
        <is>
          <t>2026-11-01</t>
        </is>
      </c>
      <c r="B408" s="11" t="inlineStr">
        <is>
          <t>sme</t>
        </is>
      </c>
      <c r="C408" s="11" t="inlineStr">
        <is>
          <t>SME</t>
        </is>
      </c>
      <c r="D408" s="11" t="inlineStr">
        <is>
          <t>03.10-15kg</t>
        </is>
      </c>
      <c r="E408" s="11" t="inlineStr">
        <is>
          <t>Đắk Nông</t>
        </is>
      </c>
      <c r="F408" s="11" t="n">
        <v>768.73</v>
      </c>
      <c r="G408" s="11" t="n">
        <v>8682.77</v>
      </c>
      <c r="H408" s="11" t="n">
        <v>0</v>
      </c>
      <c r="I408" s="11" t="n">
        <v>11</v>
      </c>
    </row>
    <row r="409" ht="15.75" customHeight="1" s="57">
      <c r="A409" s="39" t="inlineStr">
        <is>
          <t>2026-11-01</t>
        </is>
      </c>
      <c r="B409" s="11" t="inlineStr">
        <is>
          <t>sme</t>
        </is>
      </c>
      <c r="C409" s="11" t="inlineStr">
        <is>
          <t>SME</t>
        </is>
      </c>
      <c r="D409" s="11" t="inlineStr">
        <is>
          <t>04.15-20kg</t>
        </is>
      </c>
      <c r="E409" s="11" t="inlineStr">
        <is>
          <t>Bình Thuận</t>
        </is>
      </c>
      <c r="F409" s="11" t="n">
        <v>425.27</v>
      </c>
      <c r="G409" s="11" t="n">
        <v>7249.01</v>
      </c>
      <c r="H409" s="11" t="n">
        <v>0</v>
      </c>
      <c r="I409" s="11" t="n">
        <v>11</v>
      </c>
    </row>
    <row r="410" ht="15.75" customHeight="1" s="57">
      <c r="A410" s="39" t="inlineStr">
        <is>
          <t>2026-11-01</t>
        </is>
      </c>
      <c r="B410" s="11" t="inlineStr">
        <is>
          <t>sme</t>
        </is>
      </c>
      <c r="C410" s="11" t="inlineStr">
        <is>
          <t>SME</t>
        </is>
      </c>
      <c r="D410" s="11" t="inlineStr">
        <is>
          <t>04.15-20kg</t>
        </is>
      </c>
      <c r="E410" s="11" t="inlineStr">
        <is>
          <t>Khánh Hòa</t>
        </is>
      </c>
      <c r="F410" s="11" t="n">
        <v>996.47</v>
      </c>
      <c r="G410" s="11" t="n">
        <v>16985.54</v>
      </c>
      <c r="H410" s="11" t="n">
        <v>0</v>
      </c>
      <c r="I410" s="11" t="n">
        <v>11</v>
      </c>
    </row>
    <row r="411" ht="15.75" customHeight="1" s="57">
      <c r="A411" s="39" t="inlineStr">
        <is>
          <t>2026-11-01</t>
        </is>
      </c>
      <c r="B411" s="11" t="inlineStr">
        <is>
          <t>sme</t>
        </is>
      </c>
      <c r="C411" s="11" t="inlineStr">
        <is>
          <t>SME</t>
        </is>
      </c>
      <c r="D411" s="11" t="inlineStr">
        <is>
          <t>04.15-20kg</t>
        </is>
      </c>
      <c r="E411" s="11" t="inlineStr">
        <is>
          <t>Lâm Đồng</t>
        </is>
      </c>
      <c r="F411" s="11" t="n">
        <v>1311.18</v>
      </c>
      <c r="G411" s="11" t="n">
        <v>22350.06</v>
      </c>
      <c r="H411" s="11" t="n">
        <v>0</v>
      </c>
      <c r="I411" s="11" t="n">
        <v>11</v>
      </c>
    </row>
    <row r="412" ht="15.75" customHeight="1" s="57">
      <c r="A412" s="39" t="inlineStr">
        <is>
          <t>2026-11-01</t>
        </is>
      </c>
      <c r="B412" s="11" t="inlineStr">
        <is>
          <t>sme</t>
        </is>
      </c>
      <c r="C412" s="11" t="inlineStr">
        <is>
          <t>SME</t>
        </is>
      </c>
      <c r="D412" s="11" t="inlineStr">
        <is>
          <t>04.15-20kg</t>
        </is>
      </c>
      <c r="E412" s="11" t="inlineStr">
        <is>
          <t>Ninh Thuận</t>
        </is>
      </c>
      <c r="F412" s="11" t="n">
        <v>239.54</v>
      </c>
      <c r="G412" s="11" t="n">
        <v>4083.06</v>
      </c>
      <c r="H412" s="11" t="n">
        <v>0</v>
      </c>
      <c r="I412" s="11" t="n">
        <v>11</v>
      </c>
    </row>
    <row r="413" ht="15.75" customHeight="1" s="57">
      <c r="A413" s="39" t="inlineStr">
        <is>
          <t>2026-11-01</t>
        </is>
      </c>
      <c r="B413" s="11" t="inlineStr">
        <is>
          <t>sme</t>
        </is>
      </c>
      <c r="C413" s="11" t="inlineStr">
        <is>
          <t>SME</t>
        </is>
      </c>
      <c r="D413" s="11" t="inlineStr">
        <is>
          <t>04.15-20kg</t>
        </is>
      </c>
      <c r="E413" s="11" t="inlineStr">
        <is>
          <t>Đắk Nông</t>
        </is>
      </c>
      <c r="F413" s="11" t="n">
        <v>374.41</v>
      </c>
      <c r="G413" s="11" t="n">
        <v>6382.14</v>
      </c>
      <c r="H413" s="11" t="n">
        <v>0</v>
      </c>
      <c r="I413" s="11" t="n">
        <v>11</v>
      </c>
    </row>
    <row r="414" ht="15.75" customHeight="1" s="57">
      <c r="A414" s="39" t="inlineStr">
        <is>
          <t>2026-11-01</t>
        </is>
      </c>
      <c r="B414" s="11" t="inlineStr">
        <is>
          <t>sme</t>
        </is>
      </c>
      <c r="C414" s="11" t="inlineStr">
        <is>
          <t>SME</t>
        </is>
      </c>
      <c r="D414" s="11" t="inlineStr">
        <is>
          <t>05.&gt;=20kg</t>
        </is>
      </c>
      <c r="E414" s="11" t="inlineStr">
        <is>
          <t>Bình Thuận</t>
        </is>
      </c>
      <c r="F414" s="11" t="n">
        <v>924.24</v>
      </c>
      <c r="G414" s="11" t="n">
        <v>66260.89</v>
      </c>
      <c r="H414" s="11" t="n">
        <v>0</v>
      </c>
      <c r="I414" s="11" t="n">
        <v>11</v>
      </c>
    </row>
    <row r="415" ht="15.75" customHeight="1" s="57">
      <c r="A415" s="39" t="inlineStr">
        <is>
          <t>2026-11-01</t>
        </is>
      </c>
      <c r="B415" s="11" t="inlineStr">
        <is>
          <t>sme</t>
        </is>
      </c>
      <c r="C415" s="11" t="inlineStr">
        <is>
          <t>SME</t>
        </is>
      </c>
      <c r="D415" s="11" t="inlineStr">
        <is>
          <t>05.&gt;=20kg</t>
        </is>
      </c>
      <c r="E415" s="11" t="inlineStr">
        <is>
          <t>Khánh Hòa</t>
        </is>
      </c>
      <c r="F415" s="11" t="n">
        <v>1632.53</v>
      </c>
      <c r="G415" s="11" t="n">
        <v>117039.77</v>
      </c>
      <c r="H415" s="11" t="n">
        <v>0</v>
      </c>
      <c r="I415" s="11" t="n">
        <v>11</v>
      </c>
    </row>
    <row r="416" ht="15.75" customHeight="1" s="57">
      <c r="A416" s="39" t="inlineStr">
        <is>
          <t>2026-11-01</t>
        </is>
      </c>
      <c r="B416" s="11" t="inlineStr">
        <is>
          <t>sme</t>
        </is>
      </c>
      <c r="C416" s="11" t="inlineStr">
        <is>
          <t>SME</t>
        </is>
      </c>
      <c r="D416" s="11" t="inlineStr">
        <is>
          <t>05.&gt;=20kg</t>
        </is>
      </c>
      <c r="E416" s="11" t="inlineStr">
        <is>
          <t>Lâm Đồng</t>
        </is>
      </c>
      <c r="F416" s="11" t="n">
        <v>2037.16</v>
      </c>
      <c r="G416" s="11" t="n">
        <v>146048.73</v>
      </c>
      <c r="H416" s="11" t="n">
        <v>0</v>
      </c>
      <c r="I416" s="11" t="n">
        <v>11</v>
      </c>
    </row>
    <row r="417" ht="15.75" customHeight="1" s="57">
      <c r="A417" s="39" t="inlineStr">
        <is>
          <t>2026-11-01</t>
        </is>
      </c>
      <c r="B417" s="11" t="inlineStr">
        <is>
          <t>sme</t>
        </is>
      </c>
      <c r="C417" s="11" t="inlineStr">
        <is>
          <t>SME</t>
        </is>
      </c>
      <c r="D417" s="11" t="inlineStr">
        <is>
          <t>05.&gt;=20kg</t>
        </is>
      </c>
      <c r="E417" s="11" t="inlineStr">
        <is>
          <t>Ninh Thuận</t>
        </is>
      </c>
      <c r="F417" s="11" t="n">
        <v>506.34</v>
      </c>
      <c r="G417" s="11" t="n">
        <v>36300.82</v>
      </c>
      <c r="H417" s="11" t="n">
        <v>0</v>
      </c>
      <c r="I417" s="11" t="n">
        <v>11</v>
      </c>
    </row>
    <row r="418" ht="15.75" customHeight="1" s="57">
      <c r="A418" s="39" t="inlineStr">
        <is>
          <t>2026-11-01</t>
        </is>
      </c>
      <c r="B418" s="11" t="inlineStr">
        <is>
          <t>sme</t>
        </is>
      </c>
      <c r="C418" s="11" t="inlineStr">
        <is>
          <t>SME</t>
        </is>
      </c>
      <c r="D418" s="11" t="inlineStr">
        <is>
          <t>05.&gt;=20kg</t>
        </is>
      </c>
      <c r="E418" s="11" t="inlineStr">
        <is>
          <t>Đắk Nông</t>
        </is>
      </c>
      <c r="F418" s="11" t="n">
        <v>484.97</v>
      </c>
      <c r="G418" s="11" t="n">
        <v>34768.47</v>
      </c>
      <c r="H418" s="11" t="n">
        <v>0</v>
      </c>
      <c r="I418" s="11" t="n">
        <v>11</v>
      </c>
    </row>
    <row r="419" ht="15.75" customHeight="1" s="57">
      <c r="A419" s="39" t="inlineStr">
        <is>
          <t>2026-11-01</t>
        </is>
      </c>
      <c r="B419" s="11" t="inlineStr">
        <is>
          <t>ecom</t>
        </is>
      </c>
      <c r="C419" s="11" t="inlineStr">
        <is>
          <t>Shopee Bulky</t>
        </is>
      </c>
      <c r="D419" s="11" t="inlineStr">
        <is>
          <t>01.0-5kg</t>
        </is>
      </c>
      <c r="E419" s="11" t="inlineStr">
        <is>
          <t>Bình Thuận</t>
        </is>
      </c>
      <c r="F419" s="11" t="n">
        <v>5.1</v>
      </c>
      <c r="G419" s="11" t="n">
        <v>12.19</v>
      </c>
      <c r="H419" s="11" t="n">
        <v>0</v>
      </c>
      <c r="I419" s="11" t="n">
        <v>11</v>
      </c>
    </row>
    <row r="420" ht="15.75" customHeight="1" s="57">
      <c r="A420" s="39" t="inlineStr">
        <is>
          <t>2026-11-01</t>
        </is>
      </c>
      <c r="B420" s="11" t="inlineStr">
        <is>
          <t>ecom</t>
        </is>
      </c>
      <c r="C420" s="11" t="inlineStr">
        <is>
          <t>Shopee Bulky</t>
        </is>
      </c>
      <c r="D420" s="11" t="inlineStr">
        <is>
          <t>01.0-5kg</t>
        </is>
      </c>
      <c r="E420" s="11" t="inlineStr">
        <is>
          <t>Khánh Hòa</t>
        </is>
      </c>
      <c r="F420" s="11" t="n">
        <v>9.19</v>
      </c>
      <c r="G420" s="11" t="n">
        <v>21.95</v>
      </c>
      <c r="H420" s="11" t="n">
        <v>0</v>
      </c>
      <c r="I420" s="11" t="n">
        <v>11</v>
      </c>
    </row>
    <row r="421" ht="15.75" customHeight="1" s="57">
      <c r="A421" s="39" t="inlineStr">
        <is>
          <t>2026-11-01</t>
        </is>
      </c>
      <c r="B421" s="11" t="inlineStr">
        <is>
          <t>ecom</t>
        </is>
      </c>
      <c r="C421" s="11" t="inlineStr">
        <is>
          <t>Shopee Bulky</t>
        </is>
      </c>
      <c r="D421" s="11" t="inlineStr">
        <is>
          <t>01.0-5kg</t>
        </is>
      </c>
      <c r="E421" s="11" t="inlineStr">
        <is>
          <t>Lâm Đồng</t>
        </is>
      </c>
      <c r="F421" s="11" t="n">
        <v>36.75</v>
      </c>
      <c r="G421" s="11" t="n">
        <v>87.79000000000001</v>
      </c>
      <c r="H421" s="11" t="n">
        <v>0</v>
      </c>
      <c r="I421" s="11" t="n">
        <v>11</v>
      </c>
    </row>
    <row r="422" ht="15.75" customHeight="1" s="57">
      <c r="A422" s="39" t="inlineStr">
        <is>
          <t>2026-11-01</t>
        </is>
      </c>
      <c r="B422" s="11" t="inlineStr">
        <is>
          <t>ecom</t>
        </is>
      </c>
      <c r="C422" s="11" t="inlineStr">
        <is>
          <t>Shopee Bulky</t>
        </is>
      </c>
      <c r="D422" s="11" t="inlineStr">
        <is>
          <t>02.5-10kg</t>
        </is>
      </c>
      <c r="E422" s="11" t="inlineStr">
        <is>
          <t>Bình Thuận</t>
        </is>
      </c>
      <c r="F422" s="11" t="n">
        <v>6.13</v>
      </c>
      <c r="G422" s="11" t="n">
        <v>49.26</v>
      </c>
      <c r="H422" s="11" t="n">
        <v>0</v>
      </c>
      <c r="I422" s="11" t="n">
        <v>11</v>
      </c>
    </row>
    <row r="423" ht="15.75" customHeight="1" s="57">
      <c r="A423" s="39" t="inlineStr">
        <is>
          <t>2026-11-01</t>
        </is>
      </c>
      <c r="B423" s="11" t="inlineStr">
        <is>
          <t>ecom</t>
        </is>
      </c>
      <c r="C423" s="11" t="inlineStr">
        <is>
          <t>Shopee Bulky</t>
        </is>
      </c>
      <c r="D423" s="11" t="inlineStr">
        <is>
          <t>02.5-10kg</t>
        </is>
      </c>
      <c r="E423" s="11" t="inlineStr">
        <is>
          <t>Khánh Hòa</t>
        </is>
      </c>
      <c r="F423" s="11" t="n">
        <v>40.84</v>
      </c>
      <c r="G423" s="11" t="n">
        <v>328.4</v>
      </c>
      <c r="H423" s="11" t="n">
        <v>0</v>
      </c>
      <c r="I423" s="11" t="n">
        <v>11</v>
      </c>
    </row>
    <row r="424" ht="15.75" customHeight="1" s="57">
      <c r="A424" s="39" t="inlineStr">
        <is>
          <t>2026-11-01</t>
        </is>
      </c>
      <c r="B424" s="11" t="inlineStr">
        <is>
          <t>ecom</t>
        </is>
      </c>
      <c r="C424" s="11" t="inlineStr">
        <is>
          <t>Shopee Bulky</t>
        </is>
      </c>
      <c r="D424" s="11" t="inlineStr">
        <is>
          <t>02.5-10kg</t>
        </is>
      </c>
      <c r="E424" s="11" t="inlineStr">
        <is>
          <t>Lâm Đồng</t>
        </is>
      </c>
      <c r="F424" s="11" t="n">
        <v>109.24</v>
      </c>
      <c r="G424" s="11" t="n">
        <v>878.47</v>
      </c>
      <c r="H424" s="11" t="n">
        <v>0</v>
      </c>
      <c r="I424" s="11" t="n">
        <v>11</v>
      </c>
    </row>
    <row r="425" ht="15.75" customHeight="1" s="57">
      <c r="A425" s="39" t="inlineStr">
        <is>
          <t>2026-11-01</t>
        </is>
      </c>
      <c r="B425" s="11" t="inlineStr">
        <is>
          <t>ecom</t>
        </is>
      </c>
      <c r="C425" s="11" t="inlineStr">
        <is>
          <t>Shopee Bulky</t>
        </is>
      </c>
      <c r="D425" s="11" t="inlineStr">
        <is>
          <t>02.5-10kg</t>
        </is>
      </c>
      <c r="E425" s="11" t="inlineStr">
        <is>
          <t>Ninh Thuận</t>
        </is>
      </c>
      <c r="F425" s="11" t="n">
        <v>5.1</v>
      </c>
      <c r="G425" s="11" t="n">
        <v>41.05</v>
      </c>
      <c r="H425" s="11" t="n">
        <v>0</v>
      </c>
      <c r="I425" s="11" t="n">
        <v>11</v>
      </c>
    </row>
    <row r="426" ht="15.75" customHeight="1" s="57">
      <c r="A426" s="39" t="inlineStr">
        <is>
          <t>2026-11-01</t>
        </is>
      </c>
      <c r="B426" s="11" t="inlineStr">
        <is>
          <t>ecom</t>
        </is>
      </c>
      <c r="C426" s="11" t="inlineStr">
        <is>
          <t>Shopee Bulky</t>
        </is>
      </c>
      <c r="D426" s="11" t="inlineStr">
        <is>
          <t>02.5-10kg</t>
        </is>
      </c>
      <c r="E426" s="11" t="inlineStr">
        <is>
          <t>Đắk Nông</t>
        </is>
      </c>
      <c r="F426" s="11" t="n">
        <v>3.06</v>
      </c>
      <c r="G426" s="11" t="n">
        <v>24.63</v>
      </c>
      <c r="H426" s="11" t="n">
        <v>0</v>
      </c>
      <c r="I426" s="11" t="n">
        <v>11</v>
      </c>
    </row>
    <row r="427" ht="15.75" customHeight="1" s="57">
      <c r="A427" s="39" t="inlineStr">
        <is>
          <t>2026-11-01</t>
        </is>
      </c>
      <c r="B427" s="11" t="inlineStr">
        <is>
          <t>ecom</t>
        </is>
      </c>
      <c r="C427" s="11" t="inlineStr">
        <is>
          <t>Shopee Bulky</t>
        </is>
      </c>
      <c r="D427" s="11" t="inlineStr">
        <is>
          <t>03.10-15kg</t>
        </is>
      </c>
      <c r="E427" s="11" t="inlineStr">
        <is>
          <t>Bình Thuận</t>
        </is>
      </c>
      <c r="F427" s="11" t="n">
        <v>1111.79</v>
      </c>
      <c r="G427" s="11" t="n">
        <v>13253.35</v>
      </c>
      <c r="H427" s="11" t="n">
        <v>0</v>
      </c>
      <c r="I427" s="11" t="n">
        <v>11</v>
      </c>
    </row>
    <row r="428" ht="15.75" customHeight="1" s="57">
      <c r="A428" s="39" t="inlineStr">
        <is>
          <t>2026-11-01</t>
        </is>
      </c>
      <c r="B428" s="11" t="inlineStr">
        <is>
          <t>ecom</t>
        </is>
      </c>
      <c r="C428" s="11" t="inlineStr">
        <is>
          <t>Shopee Bulky</t>
        </is>
      </c>
      <c r="D428" s="11" t="inlineStr">
        <is>
          <t>03.10-15kg</t>
        </is>
      </c>
      <c r="E428" s="11" t="inlineStr">
        <is>
          <t>Khánh Hòa</t>
        </is>
      </c>
      <c r="F428" s="11" t="n">
        <v>1371.11</v>
      </c>
      <c r="G428" s="11" t="n">
        <v>16344.58</v>
      </c>
      <c r="H428" s="11" t="n">
        <v>0</v>
      </c>
      <c r="I428" s="11" t="n">
        <v>11</v>
      </c>
    </row>
    <row r="429" ht="15.75" customHeight="1" s="57">
      <c r="A429" s="39" t="inlineStr">
        <is>
          <t>2026-11-01</t>
        </is>
      </c>
      <c r="B429" s="11" t="inlineStr">
        <is>
          <t>ecom</t>
        </is>
      </c>
      <c r="C429" s="11" t="inlineStr">
        <is>
          <t>Shopee Bulky</t>
        </is>
      </c>
      <c r="D429" s="11" t="inlineStr">
        <is>
          <t>03.10-15kg</t>
        </is>
      </c>
      <c r="E429" s="11" t="inlineStr">
        <is>
          <t>Lâm Đồng</t>
        </is>
      </c>
      <c r="F429" s="11" t="n">
        <v>1632.47</v>
      </c>
      <c r="G429" s="11" t="n">
        <v>19460.15</v>
      </c>
      <c r="H429" s="11" t="n">
        <v>0</v>
      </c>
      <c r="I429" s="11" t="n">
        <v>11</v>
      </c>
    </row>
    <row r="430" ht="15.75" customHeight="1" s="57">
      <c r="A430" s="39" t="inlineStr">
        <is>
          <t>2026-11-01</t>
        </is>
      </c>
      <c r="B430" s="11" t="inlineStr">
        <is>
          <t>ecom</t>
        </is>
      </c>
      <c r="C430" s="11" t="inlineStr">
        <is>
          <t>Shopee Bulky</t>
        </is>
      </c>
      <c r="D430" s="11" t="inlineStr">
        <is>
          <t>03.10-15kg</t>
        </is>
      </c>
      <c r="E430" s="11" t="inlineStr">
        <is>
          <t>Ninh Thuận</t>
        </is>
      </c>
      <c r="F430" s="11" t="n">
        <v>1204.7</v>
      </c>
      <c r="G430" s="11" t="n">
        <v>14360.83</v>
      </c>
      <c r="H430" s="11" t="n">
        <v>0</v>
      </c>
      <c r="I430" s="11" t="n">
        <v>11</v>
      </c>
    </row>
    <row r="431" ht="15.75" customHeight="1" s="57">
      <c r="A431" s="39" t="inlineStr">
        <is>
          <t>2026-11-01</t>
        </is>
      </c>
      <c r="B431" s="11" t="inlineStr">
        <is>
          <t>ecom</t>
        </is>
      </c>
      <c r="C431" s="11" t="inlineStr">
        <is>
          <t>Shopee Bulky</t>
        </is>
      </c>
      <c r="D431" s="11" t="inlineStr">
        <is>
          <t>03.10-15kg</t>
        </is>
      </c>
      <c r="E431" s="11" t="inlineStr">
        <is>
          <t>Đắk Nông</t>
        </is>
      </c>
      <c r="F431" s="11" t="n">
        <v>278.71</v>
      </c>
      <c r="G431" s="11" t="n">
        <v>3322.46</v>
      </c>
      <c r="H431" s="11" t="n">
        <v>0</v>
      </c>
      <c r="I431" s="11" t="n">
        <v>11</v>
      </c>
    </row>
    <row r="432" ht="15.75" customHeight="1" s="57">
      <c r="A432" s="39" t="inlineStr">
        <is>
          <t>2026-11-01</t>
        </is>
      </c>
      <c r="B432" s="11" t="inlineStr">
        <is>
          <t>ecom</t>
        </is>
      </c>
      <c r="C432" s="11" t="inlineStr">
        <is>
          <t>Shopee Bulky</t>
        </is>
      </c>
      <c r="D432" s="11" t="inlineStr">
        <is>
          <t>04.15-20kg</t>
        </is>
      </c>
      <c r="E432" s="11" t="inlineStr">
        <is>
          <t>Bình Thuận</t>
        </is>
      </c>
      <c r="F432" s="11" t="n">
        <v>1036.24</v>
      </c>
      <c r="G432" s="11" t="n">
        <v>17509.62</v>
      </c>
      <c r="H432" s="11" t="n">
        <v>0</v>
      </c>
      <c r="I432" s="11" t="n">
        <v>11</v>
      </c>
    </row>
    <row r="433" ht="15.75" customHeight="1" s="57">
      <c r="A433" s="39" t="inlineStr">
        <is>
          <t>2026-11-01</t>
        </is>
      </c>
      <c r="B433" s="11" t="inlineStr">
        <is>
          <t>ecom</t>
        </is>
      </c>
      <c r="C433" s="11" t="inlineStr">
        <is>
          <t>Shopee Bulky</t>
        </is>
      </c>
      <c r="D433" s="11" t="inlineStr">
        <is>
          <t>04.15-20kg</t>
        </is>
      </c>
      <c r="E433" s="11" t="inlineStr">
        <is>
          <t>Khánh Hòa</t>
        </is>
      </c>
      <c r="F433" s="11" t="n">
        <v>613.58</v>
      </c>
      <c r="G433" s="11" t="n">
        <v>10367.76</v>
      </c>
      <c r="H433" s="11" t="n">
        <v>0</v>
      </c>
      <c r="I433" s="11" t="n">
        <v>11</v>
      </c>
    </row>
    <row r="434" ht="15.75" customHeight="1" s="57">
      <c r="A434" s="39" t="inlineStr">
        <is>
          <t>2026-11-01</t>
        </is>
      </c>
      <c r="B434" s="11" t="inlineStr">
        <is>
          <t>ecom</t>
        </is>
      </c>
      <c r="C434" s="11" t="inlineStr">
        <is>
          <t>Shopee Bulky</t>
        </is>
      </c>
      <c r="D434" s="11" t="inlineStr">
        <is>
          <t>04.15-20kg</t>
        </is>
      </c>
      <c r="E434" s="11" t="inlineStr">
        <is>
          <t>Lâm Đồng</t>
        </is>
      </c>
      <c r="F434" s="11" t="n">
        <v>874.9400000000001</v>
      </c>
      <c r="G434" s="11" t="n">
        <v>14783.98</v>
      </c>
      <c r="H434" s="11" t="n">
        <v>0</v>
      </c>
      <c r="I434" s="11" t="n">
        <v>11</v>
      </c>
    </row>
    <row r="435" ht="15.75" customHeight="1" s="57">
      <c r="A435" s="39" t="inlineStr">
        <is>
          <t>2026-11-01</t>
        </is>
      </c>
      <c r="B435" s="11" t="inlineStr">
        <is>
          <t>ecom</t>
        </is>
      </c>
      <c r="C435" s="11" t="inlineStr">
        <is>
          <t>Shopee Bulky</t>
        </is>
      </c>
      <c r="D435" s="11" t="inlineStr">
        <is>
          <t>04.15-20kg</t>
        </is>
      </c>
      <c r="E435" s="11" t="inlineStr">
        <is>
          <t>Ninh Thuận</t>
        </is>
      </c>
      <c r="F435" s="11" t="n">
        <v>279.73</v>
      </c>
      <c r="G435" s="11" t="n">
        <v>4726.73</v>
      </c>
      <c r="H435" s="11" t="n">
        <v>0</v>
      </c>
      <c r="I435" s="11" t="n">
        <v>11</v>
      </c>
    </row>
    <row r="436" ht="15.75" customHeight="1" s="57">
      <c r="A436" s="39" t="inlineStr">
        <is>
          <t>2026-11-01</t>
        </is>
      </c>
      <c r="B436" s="11" t="inlineStr">
        <is>
          <t>ecom</t>
        </is>
      </c>
      <c r="C436" s="11" t="inlineStr">
        <is>
          <t>Shopee Bulky</t>
        </is>
      </c>
      <c r="D436" s="11" t="inlineStr">
        <is>
          <t>04.15-20kg</t>
        </is>
      </c>
      <c r="E436" s="11" t="inlineStr">
        <is>
          <t>Đắk Nông</t>
        </is>
      </c>
      <c r="F436" s="11" t="n">
        <v>115.37</v>
      </c>
      <c r="G436" s="11" t="n">
        <v>1949.35</v>
      </c>
      <c r="H436" s="11" t="n">
        <v>0</v>
      </c>
      <c r="I436" s="11" t="n">
        <v>11</v>
      </c>
    </row>
    <row r="437" ht="15.75" customHeight="1" s="57">
      <c r="A437" s="39" t="inlineStr">
        <is>
          <t>2026-11-01</t>
        </is>
      </c>
      <c r="B437" s="11" t="inlineStr">
        <is>
          <t>ecom</t>
        </is>
      </c>
      <c r="C437" s="11" t="inlineStr">
        <is>
          <t>Shopee Bulky</t>
        </is>
      </c>
      <c r="D437" s="11" t="inlineStr">
        <is>
          <t>05.&gt;=20kg</t>
        </is>
      </c>
      <c r="E437" s="11" t="inlineStr">
        <is>
          <t>Bình Thuận</t>
        </is>
      </c>
      <c r="F437" s="11" t="n">
        <v>2025.52</v>
      </c>
      <c r="G437" s="11" t="n">
        <v>68804.44</v>
      </c>
      <c r="H437" s="11" t="n">
        <v>0</v>
      </c>
      <c r="I437" s="11" t="n">
        <v>11</v>
      </c>
    </row>
    <row r="438" ht="15.75" customHeight="1" s="57">
      <c r="A438" s="39" t="inlineStr">
        <is>
          <t>2026-11-01</t>
        </is>
      </c>
      <c r="B438" s="11" t="inlineStr">
        <is>
          <t>ecom</t>
        </is>
      </c>
      <c r="C438" s="11" t="inlineStr">
        <is>
          <t>Shopee Bulky</t>
        </is>
      </c>
      <c r="D438" s="11" t="inlineStr">
        <is>
          <t>05.&gt;=20kg</t>
        </is>
      </c>
      <c r="E438" s="11" t="inlineStr">
        <is>
          <t>Khánh Hòa</t>
        </is>
      </c>
      <c r="F438" s="11" t="n">
        <v>1032.16</v>
      </c>
      <c r="G438" s="11" t="n">
        <v>35061.13</v>
      </c>
      <c r="H438" s="11" t="n">
        <v>0</v>
      </c>
      <c r="I438" s="11" t="n">
        <v>11</v>
      </c>
    </row>
    <row r="439" ht="15.75" customHeight="1" s="57">
      <c r="A439" s="39" t="inlineStr">
        <is>
          <t>2026-11-01</t>
        </is>
      </c>
      <c r="B439" s="11" t="inlineStr">
        <is>
          <t>ecom</t>
        </is>
      </c>
      <c r="C439" s="11" t="inlineStr">
        <is>
          <t>Shopee Bulky</t>
        </is>
      </c>
      <c r="D439" s="11" t="inlineStr">
        <is>
          <t>05.&gt;=20kg</t>
        </is>
      </c>
      <c r="E439" s="11" t="inlineStr">
        <is>
          <t>Lâm Đồng</t>
        </is>
      </c>
      <c r="F439" s="11" t="n">
        <v>2195</v>
      </c>
      <c r="G439" s="11" t="n">
        <v>74561.25999999999</v>
      </c>
      <c r="H439" s="11" t="n">
        <v>0</v>
      </c>
      <c r="I439" s="11" t="n">
        <v>11</v>
      </c>
    </row>
    <row r="440" ht="15.75" customHeight="1" s="57">
      <c r="A440" s="39" t="inlineStr">
        <is>
          <t>2026-11-01</t>
        </is>
      </c>
      <c r="B440" s="11" t="inlineStr">
        <is>
          <t>ecom</t>
        </is>
      </c>
      <c r="C440" s="11" t="inlineStr">
        <is>
          <t>Shopee Bulky</t>
        </is>
      </c>
      <c r="D440" s="11" t="inlineStr">
        <is>
          <t>05.&gt;=20kg</t>
        </is>
      </c>
      <c r="E440" s="11" t="inlineStr">
        <is>
          <t>Ninh Thuận</t>
        </is>
      </c>
      <c r="F440" s="11" t="n">
        <v>429.81</v>
      </c>
      <c r="G440" s="11" t="n">
        <v>14600.14</v>
      </c>
      <c r="H440" s="11" t="n">
        <v>0</v>
      </c>
      <c r="I440" s="11" t="n">
        <v>11</v>
      </c>
    </row>
    <row r="441" ht="15.75" customHeight="1" s="57">
      <c r="A441" s="39" t="inlineStr">
        <is>
          <t>2026-11-01</t>
        </is>
      </c>
      <c r="B441" s="11" t="inlineStr">
        <is>
          <t>ecom</t>
        </is>
      </c>
      <c r="C441" s="11" t="inlineStr">
        <is>
          <t>Shopee Bulky</t>
        </is>
      </c>
      <c r="D441" s="11" t="inlineStr">
        <is>
          <t>05.&gt;=20kg</t>
        </is>
      </c>
      <c r="E441" s="11" t="inlineStr">
        <is>
          <t>Đắk Nông</t>
        </is>
      </c>
      <c r="F441" s="11" t="n">
        <v>276.67</v>
      </c>
      <c r="G441" s="11" t="n">
        <v>9398.190000000001</v>
      </c>
      <c r="H441" s="11" t="n">
        <v>0</v>
      </c>
      <c r="I441" s="11" t="n">
        <v>11</v>
      </c>
    </row>
    <row r="442" ht="15.75" customHeight="1" s="57">
      <c r="A442" s="39" t="inlineStr">
        <is>
          <t>2026-11-01</t>
        </is>
      </c>
      <c r="B442" s="11" t="inlineStr">
        <is>
          <t>ecom</t>
        </is>
      </c>
      <c r="C442" s="11" t="inlineStr">
        <is>
          <t>Shopee Ecom</t>
        </is>
      </c>
      <c r="D442" s="11" t="inlineStr">
        <is>
          <t>01.0-5kg</t>
        </is>
      </c>
      <c r="E442" s="11" t="inlineStr">
        <is>
          <t>Bình Thuận</t>
        </is>
      </c>
      <c r="F442" s="11" t="n">
        <v>10980.88</v>
      </c>
      <c r="G442" s="11" t="n">
        <v>9397.440000000001</v>
      </c>
      <c r="H442" s="11" t="n">
        <v>0</v>
      </c>
      <c r="I442" s="11" t="n">
        <v>11</v>
      </c>
    </row>
    <row r="443" ht="15.75" customHeight="1" s="57">
      <c r="A443" s="39" t="inlineStr">
        <is>
          <t>2026-11-01</t>
        </is>
      </c>
      <c r="B443" s="11" t="inlineStr">
        <is>
          <t>ecom</t>
        </is>
      </c>
      <c r="C443" s="11" t="inlineStr">
        <is>
          <t>Shopee Ecom</t>
        </is>
      </c>
      <c r="D443" s="11" t="inlineStr">
        <is>
          <t>01.0-5kg</t>
        </is>
      </c>
      <c r="E443" s="11" t="inlineStr">
        <is>
          <t>Khánh Hòa</t>
        </is>
      </c>
      <c r="F443" s="11" t="n">
        <v>16716.95</v>
      </c>
      <c r="G443" s="11" t="n">
        <v>14306.37</v>
      </c>
      <c r="H443" s="11" t="n">
        <v>0</v>
      </c>
      <c r="I443" s="11" t="n">
        <v>11</v>
      </c>
    </row>
    <row r="444" ht="15.75" customHeight="1" s="57">
      <c r="A444" s="39" t="inlineStr">
        <is>
          <t>2026-11-01</t>
        </is>
      </c>
      <c r="B444" s="11" t="inlineStr">
        <is>
          <t>ecom</t>
        </is>
      </c>
      <c r="C444" s="11" t="inlineStr">
        <is>
          <t>Shopee Ecom</t>
        </is>
      </c>
      <c r="D444" s="11" t="inlineStr">
        <is>
          <t>01.0-5kg</t>
        </is>
      </c>
      <c r="E444" s="11" t="inlineStr">
        <is>
          <t>Lâm Đồng</t>
        </is>
      </c>
      <c r="F444" s="11" t="n">
        <v>21225.57</v>
      </c>
      <c r="G444" s="11" t="n">
        <v>18164.84</v>
      </c>
      <c r="H444" s="11" t="n">
        <v>0</v>
      </c>
      <c r="I444" s="11" t="n">
        <v>11</v>
      </c>
    </row>
    <row r="445" ht="15.75" customHeight="1" s="57">
      <c r="A445" s="39" t="inlineStr">
        <is>
          <t>2026-11-01</t>
        </is>
      </c>
      <c r="B445" s="11" t="inlineStr">
        <is>
          <t>ecom</t>
        </is>
      </c>
      <c r="C445" s="11" t="inlineStr">
        <is>
          <t>Shopee Ecom</t>
        </is>
      </c>
      <c r="D445" s="11" t="inlineStr">
        <is>
          <t>01.0-5kg</t>
        </is>
      </c>
      <c r="E445" s="11" t="inlineStr">
        <is>
          <t>Ninh Thuận</t>
        </is>
      </c>
      <c r="F445" s="11" t="n">
        <v>6971.15</v>
      </c>
      <c r="G445" s="11" t="n">
        <v>5965.91</v>
      </c>
      <c r="H445" s="11" t="n">
        <v>0</v>
      </c>
      <c r="I445" s="11" t="n">
        <v>11</v>
      </c>
    </row>
    <row r="446" ht="15.75" customHeight="1" s="57">
      <c r="A446" s="39" t="inlineStr">
        <is>
          <t>2026-11-01</t>
        </is>
      </c>
      <c r="B446" s="11" t="inlineStr">
        <is>
          <t>ecom</t>
        </is>
      </c>
      <c r="C446" s="11" t="inlineStr">
        <is>
          <t>Shopee Ecom</t>
        </is>
      </c>
      <c r="D446" s="11" t="inlineStr">
        <is>
          <t>01.0-5kg</t>
        </is>
      </c>
      <c r="E446" s="11" t="inlineStr">
        <is>
          <t>Đắk Nông</t>
        </is>
      </c>
      <c r="F446" s="11" t="n">
        <v>3734.31</v>
      </c>
      <c r="G446" s="11" t="n">
        <v>3195.82</v>
      </c>
      <c r="H446" s="11" t="n">
        <v>0</v>
      </c>
      <c r="I446" s="11" t="n">
        <v>11</v>
      </c>
    </row>
    <row r="447" ht="15.75" customHeight="1" s="57">
      <c r="A447" s="39" t="inlineStr">
        <is>
          <t>2026-11-01</t>
        </is>
      </c>
      <c r="B447" s="11" t="inlineStr">
        <is>
          <t>ecom</t>
        </is>
      </c>
      <c r="C447" s="11" t="inlineStr">
        <is>
          <t>Shopee Ecom</t>
        </is>
      </c>
      <c r="D447" s="11" t="inlineStr">
        <is>
          <t>02.5-10kg</t>
        </is>
      </c>
      <c r="E447" s="11" t="inlineStr">
        <is>
          <t>Bình Thuận</t>
        </is>
      </c>
      <c r="F447" s="11" t="n">
        <v>855.79</v>
      </c>
      <c r="G447" s="11" t="n">
        <v>5892.88</v>
      </c>
      <c r="H447" s="11" t="n">
        <v>0</v>
      </c>
      <c r="I447" s="11" t="n">
        <v>11</v>
      </c>
    </row>
    <row r="448" ht="15.75" customHeight="1" s="57">
      <c r="A448" s="39" t="inlineStr">
        <is>
          <t>2026-11-01</t>
        </is>
      </c>
      <c r="B448" s="11" t="inlineStr">
        <is>
          <t>ecom</t>
        </is>
      </c>
      <c r="C448" s="11" t="inlineStr">
        <is>
          <t>Shopee Ecom</t>
        </is>
      </c>
      <c r="D448" s="11" t="inlineStr">
        <is>
          <t>02.5-10kg</t>
        </is>
      </c>
      <c r="E448" s="11" t="inlineStr">
        <is>
          <t>Khánh Hòa</t>
        </is>
      </c>
      <c r="F448" s="11" t="n">
        <v>1401.85</v>
      </c>
      <c r="G448" s="11" t="n">
        <v>9653.030000000001</v>
      </c>
      <c r="H448" s="11" t="n">
        <v>0</v>
      </c>
      <c r="I448" s="11" t="n">
        <v>11</v>
      </c>
    </row>
    <row r="449" ht="15.75" customHeight="1" s="57">
      <c r="A449" s="39" t="inlineStr">
        <is>
          <t>2026-11-01</t>
        </is>
      </c>
      <c r="B449" s="11" t="inlineStr">
        <is>
          <t>ecom</t>
        </is>
      </c>
      <c r="C449" s="11" t="inlineStr">
        <is>
          <t>Shopee Ecom</t>
        </is>
      </c>
      <c r="D449" s="11" t="inlineStr">
        <is>
          <t>02.5-10kg</t>
        </is>
      </c>
      <c r="E449" s="11" t="inlineStr">
        <is>
          <t>Lâm Đồng</t>
        </is>
      </c>
      <c r="F449" s="11" t="n">
        <v>1918.85</v>
      </c>
      <c r="G449" s="11" t="n">
        <v>13213.04</v>
      </c>
      <c r="H449" s="11" t="n">
        <v>0</v>
      </c>
      <c r="I449" s="11" t="n">
        <v>11</v>
      </c>
    </row>
    <row r="450" ht="15.75" customHeight="1" s="57">
      <c r="A450" s="39" t="inlineStr">
        <is>
          <t>2026-11-01</t>
        </is>
      </c>
      <c r="B450" s="11" t="inlineStr">
        <is>
          <t>ecom</t>
        </is>
      </c>
      <c r="C450" s="11" t="inlineStr">
        <is>
          <t>Shopee Ecom</t>
        </is>
      </c>
      <c r="D450" s="11" t="inlineStr">
        <is>
          <t>02.5-10kg</t>
        </is>
      </c>
      <c r="E450" s="11" t="inlineStr">
        <is>
          <t>Ninh Thuận</t>
        </is>
      </c>
      <c r="F450" s="11" t="n">
        <v>540.8200000000001</v>
      </c>
      <c r="G450" s="11" t="n">
        <v>3724.06</v>
      </c>
      <c r="H450" s="11" t="n">
        <v>0</v>
      </c>
      <c r="I450" s="11" t="n">
        <v>11</v>
      </c>
    </row>
    <row r="451" ht="15.75" customHeight="1" s="57">
      <c r="A451" s="39" t="inlineStr">
        <is>
          <t>2026-11-01</t>
        </is>
      </c>
      <c r="B451" s="11" t="inlineStr">
        <is>
          <t>ecom</t>
        </is>
      </c>
      <c r="C451" s="11" t="inlineStr">
        <is>
          <t>Shopee Ecom</t>
        </is>
      </c>
      <c r="D451" s="11" t="inlineStr">
        <is>
          <t>02.5-10kg</t>
        </is>
      </c>
      <c r="E451" s="11" t="inlineStr">
        <is>
          <t>Đắk Nông</t>
        </is>
      </c>
      <c r="F451" s="11" t="n">
        <v>525.1</v>
      </c>
      <c r="G451" s="11" t="n">
        <v>3615.79</v>
      </c>
      <c r="H451" s="11" t="n">
        <v>0</v>
      </c>
      <c r="I451" s="11" t="n">
        <v>11</v>
      </c>
    </row>
    <row r="452" ht="15.75" customHeight="1" s="57">
      <c r="A452" s="39" t="inlineStr">
        <is>
          <t>2026-11-01</t>
        </is>
      </c>
      <c r="B452" s="11" t="inlineStr">
        <is>
          <t>ecom</t>
        </is>
      </c>
      <c r="C452" s="11" t="inlineStr">
        <is>
          <t>Shopee Ecom</t>
        </is>
      </c>
      <c r="D452" s="11" t="inlineStr">
        <is>
          <t>03.10-15kg</t>
        </is>
      </c>
      <c r="E452" s="11" t="inlineStr">
        <is>
          <t>Bình Thuận</t>
        </is>
      </c>
      <c r="F452" s="11" t="n">
        <v>201.56</v>
      </c>
      <c r="G452" s="11" t="n">
        <v>2109.55</v>
      </c>
      <c r="H452" s="11" t="n">
        <v>0</v>
      </c>
      <c r="I452" s="11" t="n">
        <v>11</v>
      </c>
    </row>
    <row r="453" ht="15.75" customHeight="1" s="57">
      <c r="A453" s="39" t="inlineStr">
        <is>
          <t>2026-11-01</t>
        </is>
      </c>
      <c r="B453" s="11" t="inlineStr">
        <is>
          <t>ecom</t>
        </is>
      </c>
      <c r="C453" s="11" t="inlineStr">
        <is>
          <t>Shopee Ecom</t>
        </is>
      </c>
      <c r="D453" s="11" t="inlineStr">
        <is>
          <t>03.10-15kg</t>
        </is>
      </c>
      <c r="E453" s="11" t="inlineStr">
        <is>
          <t>Khánh Hòa</t>
        </is>
      </c>
      <c r="F453" s="11" t="n">
        <v>224.43</v>
      </c>
      <c r="G453" s="11" t="n">
        <v>2348.93</v>
      </c>
      <c r="H453" s="11" t="n">
        <v>0</v>
      </c>
      <c r="I453" s="11" t="n">
        <v>11</v>
      </c>
    </row>
    <row r="454" ht="15.75" customHeight="1" s="57">
      <c r="A454" s="39" t="inlineStr">
        <is>
          <t>2026-11-01</t>
        </is>
      </c>
      <c r="B454" s="11" t="inlineStr">
        <is>
          <t>ecom</t>
        </is>
      </c>
      <c r="C454" s="11" t="inlineStr">
        <is>
          <t>Shopee Ecom</t>
        </is>
      </c>
      <c r="D454" s="11" t="inlineStr">
        <is>
          <t>03.10-15kg</t>
        </is>
      </c>
      <c r="E454" s="11" t="inlineStr">
        <is>
          <t>Lâm Đồng</t>
        </is>
      </c>
      <c r="F454" s="11" t="n">
        <v>274.94</v>
      </c>
      <c r="G454" s="11" t="n">
        <v>2877.57</v>
      </c>
      <c r="H454" s="11" t="n">
        <v>0</v>
      </c>
      <c r="I454" s="11" t="n">
        <v>11</v>
      </c>
    </row>
    <row r="455" ht="15.75" customHeight="1" s="57">
      <c r="A455" s="39" t="inlineStr">
        <is>
          <t>2026-11-01</t>
        </is>
      </c>
      <c r="B455" s="11" t="inlineStr">
        <is>
          <t>ecom</t>
        </is>
      </c>
      <c r="C455" s="11" t="inlineStr">
        <is>
          <t>Shopee Ecom</t>
        </is>
      </c>
      <c r="D455" s="11" t="inlineStr">
        <is>
          <t>03.10-15kg</t>
        </is>
      </c>
      <c r="E455" s="11" t="inlineStr">
        <is>
          <t>Ninh Thuận</t>
        </is>
      </c>
      <c r="F455" s="11" t="n">
        <v>74.81</v>
      </c>
      <c r="G455" s="11" t="n">
        <v>782.98</v>
      </c>
      <c r="H455" s="11" t="n">
        <v>0</v>
      </c>
      <c r="I455" s="11" t="n">
        <v>11</v>
      </c>
    </row>
    <row r="456" ht="15.75" customHeight="1" s="57">
      <c r="A456" s="39" t="inlineStr">
        <is>
          <t>2026-11-01</t>
        </is>
      </c>
      <c r="B456" s="11" t="inlineStr">
        <is>
          <t>ecom</t>
        </is>
      </c>
      <c r="C456" s="11" t="inlineStr">
        <is>
          <t>Shopee Ecom</t>
        </is>
      </c>
      <c r="D456" s="11" t="inlineStr">
        <is>
          <t>03.10-15kg</t>
        </is>
      </c>
      <c r="E456" s="11" t="inlineStr">
        <is>
          <t>Đắk Nông</t>
        </is>
      </c>
      <c r="F456" s="11" t="n">
        <v>55.27</v>
      </c>
      <c r="G456" s="11" t="n">
        <v>578.51</v>
      </c>
      <c r="H456" s="11" t="n">
        <v>0</v>
      </c>
      <c r="I456" s="11" t="n">
        <v>11</v>
      </c>
    </row>
    <row r="457" ht="15.75" customHeight="1" s="57">
      <c r="A457" s="39" t="inlineStr">
        <is>
          <t>2026-11-01</t>
        </is>
      </c>
      <c r="B457" s="11" t="inlineStr">
        <is>
          <t>ecom</t>
        </is>
      </c>
      <c r="C457" s="11" t="inlineStr">
        <is>
          <t>Shopee Ecom</t>
        </is>
      </c>
      <c r="D457" s="11" t="inlineStr">
        <is>
          <t>04.15-20kg</t>
        </is>
      </c>
      <c r="E457" s="11" t="inlineStr">
        <is>
          <t>Bình Thuận</t>
        </is>
      </c>
      <c r="F457" s="11" t="n">
        <v>172.49</v>
      </c>
      <c r="G457" s="11" t="n">
        <v>2905.78</v>
      </c>
      <c r="H457" s="11" t="n">
        <v>0</v>
      </c>
      <c r="I457" s="11" t="n">
        <v>11</v>
      </c>
    </row>
    <row r="458" ht="15.75" customHeight="1" s="57">
      <c r="A458" s="39" t="inlineStr">
        <is>
          <t>2026-11-01</t>
        </is>
      </c>
      <c r="B458" s="11" t="inlineStr">
        <is>
          <t>ecom</t>
        </is>
      </c>
      <c r="C458" s="11" t="inlineStr">
        <is>
          <t>Shopee Ecom</t>
        </is>
      </c>
      <c r="D458" s="11" t="inlineStr">
        <is>
          <t>04.15-20kg</t>
        </is>
      </c>
      <c r="E458" s="11" t="inlineStr">
        <is>
          <t>Khánh Hòa</t>
        </is>
      </c>
      <c r="F458" s="11" t="n">
        <v>165.82</v>
      </c>
      <c r="G458" s="11" t="n">
        <v>2793.4</v>
      </c>
      <c r="H458" s="11" t="n">
        <v>0</v>
      </c>
      <c r="I458" s="11" t="n">
        <v>11</v>
      </c>
    </row>
    <row r="459" ht="15.75" customHeight="1" s="57">
      <c r="A459" s="39" t="inlineStr">
        <is>
          <t>2026-11-01</t>
        </is>
      </c>
      <c r="B459" s="11" t="inlineStr">
        <is>
          <t>ecom</t>
        </is>
      </c>
      <c r="C459" s="11" t="inlineStr">
        <is>
          <t>Shopee Ecom</t>
        </is>
      </c>
      <c r="D459" s="11" t="inlineStr">
        <is>
          <t>04.15-20kg</t>
        </is>
      </c>
      <c r="E459" s="11" t="inlineStr">
        <is>
          <t>Lâm Đồng</t>
        </is>
      </c>
      <c r="F459" s="11" t="n">
        <v>189.65</v>
      </c>
      <c r="G459" s="11" t="n">
        <v>3194.76</v>
      </c>
      <c r="H459" s="11" t="n">
        <v>0</v>
      </c>
      <c r="I459" s="11" t="n">
        <v>11</v>
      </c>
    </row>
    <row r="460" ht="15.75" customHeight="1" s="57">
      <c r="A460" s="39" t="inlineStr">
        <is>
          <t>2026-11-01</t>
        </is>
      </c>
      <c r="B460" s="11" t="inlineStr">
        <is>
          <t>ecom</t>
        </is>
      </c>
      <c r="C460" s="11" t="inlineStr">
        <is>
          <t>Shopee Ecom</t>
        </is>
      </c>
      <c r="D460" s="11" t="inlineStr">
        <is>
          <t>04.15-20kg</t>
        </is>
      </c>
      <c r="E460" s="11" t="inlineStr">
        <is>
          <t>Ninh Thuận</t>
        </is>
      </c>
      <c r="F460" s="11" t="n">
        <v>50.99</v>
      </c>
      <c r="G460" s="11" t="n">
        <v>858.89</v>
      </c>
      <c r="H460" s="11" t="n">
        <v>0</v>
      </c>
      <c r="I460" s="11" t="n">
        <v>11</v>
      </c>
    </row>
    <row r="461" ht="15.75" customHeight="1" s="57">
      <c r="A461" s="39" t="inlineStr">
        <is>
          <t>2026-11-01</t>
        </is>
      </c>
      <c r="B461" s="11" t="inlineStr">
        <is>
          <t>ecom</t>
        </is>
      </c>
      <c r="C461" s="11" t="inlineStr">
        <is>
          <t>Shopee Ecom</t>
        </is>
      </c>
      <c r="D461" s="11" t="inlineStr">
        <is>
          <t>04.15-20kg</t>
        </is>
      </c>
      <c r="E461" s="11" t="inlineStr">
        <is>
          <t>Đắk Nông</t>
        </is>
      </c>
      <c r="F461" s="11" t="n">
        <v>46.7</v>
      </c>
      <c r="G461" s="11" t="n">
        <v>786.65</v>
      </c>
      <c r="H461" s="11" t="n">
        <v>0</v>
      </c>
      <c r="I461" s="11" t="n">
        <v>11</v>
      </c>
    </row>
    <row r="462" ht="15.75" customHeight="1" s="57">
      <c r="A462" s="39" t="inlineStr">
        <is>
          <t>2026-11-01</t>
        </is>
      </c>
      <c r="B462" s="11" t="inlineStr">
        <is>
          <t>ecom</t>
        </is>
      </c>
      <c r="C462" s="11" t="inlineStr">
        <is>
          <t>Shopee Ecom</t>
        </is>
      </c>
      <c r="D462" s="11" t="inlineStr">
        <is>
          <t>05.&gt;=20kg</t>
        </is>
      </c>
      <c r="E462" s="11" t="inlineStr">
        <is>
          <t>Bình Thuận</t>
        </is>
      </c>
      <c r="F462" s="11" t="n">
        <v>266.84</v>
      </c>
      <c r="G462" s="11" t="n">
        <v>9398.26</v>
      </c>
      <c r="H462" s="11" t="n">
        <v>0</v>
      </c>
      <c r="I462" s="11" t="n">
        <v>11</v>
      </c>
    </row>
    <row r="463" ht="15.75" customHeight="1" s="57">
      <c r="A463" s="39" t="inlineStr">
        <is>
          <t>2026-11-01</t>
        </is>
      </c>
      <c r="B463" s="11" t="inlineStr">
        <is>
          <t>ecom</t>
        </is>
      </c>
      <c r="C463" s="11" t="inlineStr">
        <is>
          <t>Shopee Ecom</t>
        </is>
      </c>
      <c r="D463" s="11" t="inlineStr">
        <is>
          <t>05.&gt;=20kg</t>
        </is>
      </c>
      <c r="E463" s="11" t="inlineStr">
        <is>
          <t>Khánh Hòa</t>
        </is>
      </c>
      <c r="F463" s="11" t="n">
        <v>286.85</v>
      </c>
      <c r="G463" s="11" t="n">
        <v>10103.13</v>
      </c>
      <c r="H463" s="11" t="n">
        <v>0</v>
      </c>
      <c r="I463" s="11" t="n">
        <v>11</v>
      </c>
    </row>
    <row r="464" ht="15.75" customHeight="1" s="57">
      <c r="A464" s="39" t="inlineStr">
        <is>
          <t>2026-11-01</t>
        </is>
      </c>
      <c r="B464" s="11" t="inlineStr">
        <is>
          <t>ecom</t>
        </is>
      </c>
      <c r="C464" s="11" t="inlineStr">
        <is>
          <t>Shopee Ecom</t>
        </is>
      </c>
      <c r="D464" s="11" t="inlineStr">
        <is>
          <t>05.&gt;=20kg</t>
        </is>
      </c>
      <c r="E464" s="11" t="inlineStr">
        <is>
          <t>Lâm Đồng</t>
        </is>
      </c>
      <c r="F464" s="11" t="n">
        <v>309.72</v>
      </c>
      <c r="G464" s="11" t="n">
        <v>10908.7</v>
      </c>
      <c r="H464" s="11" t="n">
        <v>0</v>
      </c>
      <c r="I464" s="11" t="n">
        <v>11</v>
      </c>
    </row>
    <row r="465" ht="15.75" customHeight="1" s="57">
      <c r="A465" s="39" t="inlineStr">
        <is>
          <t>2026-11-01</t>
        </is>
      </c>
      <c r="B465" s="11" t="inlineStr">
        <is>
          <t>ecom</t>
        </is>
      </c>
      <c r="C465" s="11" t="inlineStr">
        <is>
          <t>Shopee Ecom</t>
        </is>
      </c>
      <c r="D465" s="11" t="inlineStr">
        <is>
          <t>05.&gt;=20kg</t>
        </is>
      </c>
      <c r="E465" s="11" t="inlineStr">
        <is>
          <t>Ninh Thuận</t>
        </is>
      </c>
      <c r="F465" s="11" t="n">
        <v>97.20999999999999</v>
      </c>
      <c r="G465" s="11" t="n">
        <v>3423.65</v>
      </c>
      <c r="H465" s="11" t="n">
        <v>0</v>
      </c>
      <c r="I465" s="11" t="n">
        <v>11</v>
      </c>
    </row>
    <row r="466" ht="15.75" customHeight="1" s="57">
      <c r="A466" s="39" t="inlineStr">
        <is>
          <t>2026-11-01</t>
        </is>
      </c>
      <c r="B466" s="11" t="inlineStr">
        <is>
          <t>ecom</t>
        </is>
      </c>
      <c r="C466" s="11" t="inlineStr">
        <is>
          <t>Shopee Ecom</t>
        </is>
      </c>
      <c r="D466" s="11" t="inlineStr">
        <is>
          <t>05.&gt;=20kg</t>
        </is>
      </c>
      <c r="E466" s="11" t="inlineStr">
        <is>
          <t>Đắk Nông</t>
        </is>
      </c>
      <c r="F466" s="11" t="n">
        <v>76.72</v>
      </c>
      <c r="G466" s="11" t="n">
        <v>2702</v>
      </c>
      <c r="H466" s="11" t="n">
        <v>0</v>
      </c>
      <c r="I466" s="11" t="n">
        <v>11</v>
      </c>
    </row>
    <row r="467" ht="15.75" customHeight="1" s="57">
      <c r="A467" s="39" t="inlineStr">
        <is>
          <t>2026-11-01</t>
        </is>
      </c>
      <c r="B467" s="11" t="inlineStr">
        <is>
          <t>ecom</t>
        </is>
      </c>
      <c r="C467" s="11" t="inlineStr">
        <is>
          <t>TTS</t>
        </is>
      </c>
      <c r="D467" s="11" t="inlineStr">
        <is>
          <t>01.0-5kg</t>
        </is>
      </c>
      <c r="E467" s="11" t="inlineStr">
        <is>
          <t>Bình Thuận</t>
        </is>
      </c>
      <c r="F467" s="11" t="n">
        <v>56190.83</v>
      </c>
      <c r="G467" s="11" t="n">
        <v>43070.27</v>
      </c>
      <c r="H467" s="11" t="n">
        <v>0</v>
      </c>
      <c r="I467" s="11" t="n">
        <v>11</v>
      </c>
    </row>
    <row r="468" ht="15.75" customHeight="1" s="57">
      <c r="A468" s="39" t="inlineStr">
        <is>
          <t>2026-11-01</t>
        </is>
      </c>
      <c r="B468" s="11" t="inlineStr">
        <is>
          <t>ecom</t>
        </is>
      </c>
      <c r="C468" s="11" t="inlineStr">
        <is>
          <t>TTS</t>
        </is>
      </c>
      <c r="D468" s="11" t="inlineStr">
        <is>
          <t>01.0-5kg</t>
        </is>
      </c>
      <c r="E468" s="11" t="inlineStr">
        <is>
          <t>Khánh Hòa</t>
        </is>
      </c>
      <c r="F468" s="11" t="n">
        <v>32059.73</v>
      </c>
      <c r="G468" s="11" t="n">
        <v>24573.79</v>
      </c>
      <c r="H468" s="11" t="n">
        <v>0</v>
      </c>
      <c r="I468" s="11" t="n">
        <v>11</v>
      </c>
    </row>
    <row r="469" ht="15.75" customHeight="1" s="57">
      <c r="A469" s="39" t="inlineStr">
        <is>
          <t>2026-11-01</t>
        </is>
      </c>
      <c r="B469" s="11" t="inlineStr">
        <is>
          <t>ecom</t>
        </is>
      </c>
      <c r="C469" s="11" t="inlineStr">
        <is>
          <t>TTS</t>
        </is>
      </c>
      <c r="D469" s="11" t="inlineStr">
        <is>
          <t>01.0-5kg</t>
        </is>
      </c>
      <c r="E469" s="11" t="inlineStr">
        <is>
          <t>Lâm Đồng</t>
        </is>
      </c>
      <c r="F469" s="11" t="n">
        <v>58630.55</v>
      </c>
      <c r="G469" s="11" t="n">
        <v>44940.31</v>
      </c>
      <c r="H469" s="11" t="n">
        <v>0</v>
      </c>
      <c r="I469" s="11" t="n">
        <v>11</v>
      </c>
    </row>
    <row r="470" ht="15.75" customHeight="1" s="57">
      <c r="A470" s="39" t="inlineStr">
        <is>
          <t>2026-11-01</t>
        </is>
      </c>
      <c r="B470" s="11" t="inlineStr">
        <is>
          <t>ecom</t>
        </is>
      </c>
      <c r="C470" s="11" t="inlineStr">
        <is>
          <t>TTS</t>
        </is>
      </c>
      <c r="D470" s="11" t="inlineStr">
        <is>
          <t>01.0-5kg</t>
        </is>
      </c>
      <c r="E470" s="11" t="inlineStr">
        <is>
          <t>Ninh Thuận</t>
        </is>
      </c>
      <c r="F470" s="11" t="n">
        <v>19578.58</v>
      </c>
      <c r="G470" s="11" t="n">
        <v>15006.98</v>
      </c>
      <c r="H470" s="11" t="n">
        <v>0</v>
      </c>
      <c r="I470" s="11" t="n">
        <v>11</v>
      </c>
    </row>
    <row r="471" ht="15.75" customHeight="1" s="57">
      <c r="A471" s="39" t="inlineStr">
        <is>
          <t>2026-11-01</t>
        </is>
      </c>
      <c r="B471" s="11" t="inlineStr">
        <is>
          <t>ecom</t>
        </is>
      </c>
      <c r="C471" s="11" t="inlineStr">
        <is>
          <t>TTS</t>
        </is>
      </c>
      <c r="D471" s="11" t="inlineStr">
        <is>
          <t>01.0-5kg</t>
        </is>
      </c>
      <c r="E471" s="11" t="inlineStr">
        <is>
          <t>Đắk Nông</t>
        </is>
      </c>
      <c r="F471" s="11" t="n">
        <v>12370.73</v>
      </c>
      <c r="G471" s="11" t="n">
        <v>9482.16</v>
      </c>
      <c r="H471" s="11" t="n">
        <v>0</v>
      </c>
      <c r="I471" s="11" t="n">
        <v>11</v>
      </c>
    </row>
    <row r="472" ht="15.75" customHeight="1" s="57">
      <c r="A472" s="39" t="inlineStr">
        <is>
          <t>2026-11-01</t>
        </is>
      </c>
      <c r="B472" s="11" t="inlineStr">
        <is>
          <t>ecom</t>
        </is>
      </c>
      <c r="C472" s="11" t="inlineStr">
        <is>
          <t>TTS</t>
        </is>
      </c>
      <c r="D472" s="11" t="inlineStr">
        <is>
          <t>02.5-10kg</t>
        </is>
      </c>
      <c r="E472" s="11" t="inlineStr">
        <is>
          <t>Bình Thuận</t>
        </is>
      </c>
      <c r="F472" s="11" t="n">
        <v>1607.64</v>
      </c>
      <c r="G472" s="11" t="n">
        <v>10205.45</v>
      </c>
      <c r="H472" s="11" t="n">
        <v>0</v>
      </c>
      <c r="I472" s="11" t="n">
        <v>11</v>
      </c>
    </row>
    <row r="473" ht="15.75" customHeight="1" s="57">
      <c r="A473" s="39" t="inlineStr">
        <is>
          <t>2026-11-01</t>
        </is>
      </c>
      <c r="B473" s="11" t="inlineStr">
        <is>
          <t>ecom</t>
        </is>
      </c>
      <c r="C473" s="11" t="inlineStr">
        <is>
          <t>TTS</t>
        </is>
      </c>
      <c r="D473" s="11" t="inlineStr">
        <is>
          <t>02.5-10kg</t>
        </is>
      </c>
      <c r="E473" s="11" t="inlineStr">
        <is>
          <t>Khánh Hòa</t>
        </is>
      </c>
      <c r="F473" s="11" t="n">
        <v>1059.01</v>
      </c>
      <c r="G473" s="11" t="n">
        <v>6722.68</v>
      </c>
      <c r="H473" s="11" t="n">
        <v>0</v>
      </c>
      <c r="I473" s="11" t="n">
        <v>11</v>
      </c>
    </row>
    <row r="474" ht="15.75" customHeight="1" s="57">
      <c r="A474" s="39" t="inlineStr">
        <is>
          <t>2026-11-01</t>
        </is>
      </c>
      <c r="B474" s="11" t="inlineStr">
        <is>
          <t>ecom</t>
        </is>
      </c>
      <c r="C474" s="11" t="inlineStr">
        <is>
          <t>TTS</t>
        </is>
      </c>
      <c r="D474" s="11" t="inlineStr">
        <is>
          <t>02.5-10kg</t>
        </is>
      </c>
      <c r="E474" s="11" t="inlineStr">
        <is>
          <t>Lâm Đồng</t>
        </is>
      </c>
      <c r="F474" s="11" t="n">
        <v>2307.56</v>
      </c>
      <c r="G474" s="11" t="n">
        <v>14648.6</v>
      </c>
      <c r="H474" s="11" t="n">
        <v>0</v>
      </c>
      <c r="I474" s="11" t="n">
        <v>11</v>
      </c>
    </row>
    <row r="475" ht="15.75" customHeight="1" s="57">
      <c r="A475" s="39" t="inlineStr">
        <is>
          <t>2026-11-01</t>
        </is>
      </c>
      <c r="B475" s="11" t="inlineStr">
        <is>
          <t>ecom</t>
        </is>
      </c>
      <c r="C475" s="11" t="inlineStr">
        <is>
          <t>TTS</t>
        </is>
      </c>
      <c r="D475" s="11" t="inlineStr">
        <is>
          <t>02.5-10kg</t>
        </is>
      </c>
      <c r="E475" s="11" t="inlineStr">
        <is>
          <t>Ninh Thuận</t>
        </is>
      </c>
      <c r="F475" s="11" t="n">
        <v>957.28</v>
      </c>
      <c r="G475" s="11" t="n">
        <v>6076.91</v>
      </c>
      <c r="H475" s="11" t="n">
        <v>0</v>
      </c>
      <c r="I475" s="11" t="n">
        <v>11</v>
      </c>
    </row>
    <row r="476" ht="15.75" customHeight="1" s="57">
      <c r="A476" s="39" t="inlineStr">
        <is>
          <t>2026-11-01</t>
        </is>
      </c>
      <c r="B476" s="11" t="inlineStr">
        <is>
          <t>ecom</t>
        </is>
      </c>
      <c r="C476" s="11" t="inlineStr">
        <is>
          <t>TTS</t>
        </is>
      </c>
      <c r="D476" s="11" t="inlineStr">
        <is>
          <t>02.5-10kg</t>
        </is>
      </c>
      <c r="E476" s="11" t="inlineStr">
        <is>
          <t>Đắk Nông</t>
        </is>
      </c>
      <c r="F476" s="11" t="n">
        <v>371.26</v>
      </c>
      <c r="G476" s="11" t="n">
        <v>2356.8</v>
      </c>
      <c r="H476" s="11" t="n">
        <v>0</v>
      </c>
      <c r="I476" s="11" t="n">
        <v>11</v>
      </c>
    </row>
    <row r="477" ht="15.75" customHeight="1" s="57">
      <c r="A477" s="39" t="inlineStr">
        <is>
          <t>2026-11-01</t>
        </is>
      </c>
      <c r="B477" s="11" t="inlineStr">
        <is>
          <t>ecom</t>
        </is>
      </c>
      <c r="C477" s="11" t="inlineStr">
        <is>
          <t>TTS</t>
        </is>
      </c>
      <c r="D477" s="11" t="inlineStr">
        <is>
          <t>03.10-15kg</t>
        </is>
      </c>
      <c r="E477" s="11" t="inlineStr">
        <is>
          <t>Bình Thuận</t>
        </is>
      </c>
      <c r="F477" s="11" t="n">
        <v>570.37</v>
      </c>
      <c r="G477" s="11" t="n">
        <v>6574.86</v>
      </c>
      <c r="H477" s="11" t="n">
        <v>0</v>
      </c>
      <c r="I477" s="11" t="n">
        <v>11</v>
      </c>
    </row>
    <row r="478" ht="15.75" customHeight="1" s="57">
      <c r="A478" s="39" t="inlineStr">
        <is>
          <t>2026-11-01</t>
        </is>
      </c>
      <c r="B478" s="11" t="inlineStr">
        <is>
          <t>ecom</t>
        </is>
      </c>
      <c r="C478" s="11" t="inlineStr">
        <is>
          <t>TTS</t>
        </is>
      </c>
      <c r="D478" s="11" t="inlineStr">
        <is>
          <t>03.10-15kg</t>
        </is>
      </c>
      <c r="E478" s="11" t="inlineStr">
        <is>
          <t>Khánh Hòa</t>
        </is>
      </c>
      <c r="F478" s="11" t="n">
        <v>256.49</v>
      </c>
      <c r="G478" s="11" t="n">
        <v>2956.68</v>
      </c>
      <c r="H478" s="11" t="n">
        <v>0</v>
      </c>
      <c r="I478" s="11" t="n">
        <v>11</v>
      </c>
    </row>
    <row r="479" ht="15.75" customHeight="1" s="57">
      <c r="A479" s="39" t="inlineStr">
        <is>
          <t>2026-11-01</t>
        </is>
      </c>
      <c r="B479" s="11" t="inlineStr">
        <is>
          <t>ecom</t>
        </is>
      </c>
      <c r="C479" s="11" t="inlineStr">
        <is>
          <t>TTS</t>
        </is>
      </c>
      <c r="D479" s="11" t="inlineStr">
        <is>
          <t>03.10-15kg</t>
        </is>
      </c>
      <c r="E479" s="11" t="inlineStr">
        <is>
          <t>Lâm Đồng</t>
        </is>
      </c>
      <c r="F479" s="11" t="n">
        <v>159.11</v>
      </c>
      <c r="G479" s="11" t="n">
        <v>1834.15</v>
      </c>
      <c r="H479" s="11" t="n">
        <v>0</v>
      </c>
      <c r="I479" s="11" t="n">
        <v>11</v>
      </c>
    </row>
    <row r="480" ht="15.75" customHeight="1" s="57">
      <c r="A480" s="39" t="inlineStr">
        <is>
          <t>2026-11-01</t>
        </is>
      </c>
      <c r="B480" s="11" t="inlineStr">
        <is>
          <t>ecom</t>
        </is>
      </c>
      <c r="C480" s="11" t="inlineStr">
        <is>
          <t>TTS</t>
        </is>
      </c>
      <c r="D480" s="11" t="inlineStr">
        <is>
          <t>03.10-15kg</t>
        </is>
      </c>
      <c r="E480" s="11" t="inlineStr">
        <is>
          <t>Ninh Thuận</t>
        </is>
      </c>
      <c r="F480" s="11" t="n">
        <v>144.33</v>
      </c>
      <c r="G480" s="11" t="n">
        <v>1663.76</v>
      </c>
      <c r="H480" s="11" t="n">
        <v>0</v>
      </c>
      <c r="I480" s="11" t="n">
        <v>11</v>
      </c>
    </row>
    <row r="481" ht="15.75" customHeight="1" s="57">
      <c r="A481" s="39" t="inlineStr">
        <is>
          <t>2026-11-01</t>
        </is>
      </c>
      <c r="B481" s="11" t="inlineStr">
        <is>
          <t>ecom</t>
        </is>
      </c>
      <c r="C481" s="11" t="inlineStr">
        <is>
          <t>TTS</t>
        </is>
      </c>
      <c r="D481" s="11" t="inlineStr">
        <is>
          <t>03.10-15kg</t>
        </is>
      </c>
      <c r="E481" s="11" t="inlineStr">
        <is>
          <t>Đắk Nông</t>
        </is>
      </c>
      <c r="F481" s="11" t="n">
        <v>111.29</v>
      </c>
      <c r="G481" s="11" t="n">
        <v>1282.9</v>
      </c>
      <c r="H481" s="11" t="n">
        <v>0</v>
      </c>
      <c r="I481" s="11" t="n">
        <v>11</v>
      </c>
    </row>
    <row r="482" ht="15.75" customHeight="1" s="57">
      <c r="A482" s="39" t="inlineStr">
        <is>
          <t>2026-11-01</t>
        </is>
      </c>
      <c r="B482" s="11" t="inlineStr">
        <is>
          <t>ecom</t>
        </is>
      </c>
      <c r="C482" s="11" t="inlineStr">
        <is>
          <t>TTS</t>
        </is>
      </c>
      <c r="D482" s="11" t="inlineStr">
        <is>
          <t>04.15-20kg</t>
        </is>
      </c>
      <c r="E482" s="11" t="inlineStr">
        <is>
          <t>Bình Thuận</t>
        </is>
      </c>
      <c r="F482" s="11" t="n">
        <v>550.37</v>
      </c>
      <c r="G482" s="11" t="n">
        <v>9103.02</v>
      </c>
      <c r="H482" s="11" t="n">
        <v>0</v>
      </c>
      <c r="I482" s="11" t="n">
        <v>11</v>
      </c>
    </row>
    <row r="483" ht="15.75" customHeight="1" s="57">
      <c r="A483" s="39" t="inlineStr">
        <is>
          <t>2026-11-01</t>
        </is>
      </c>
      <c r="B483" s="11" t="inlineStr">
        <is>
          <t>ecom</t>
        </is>
      </c>
      <c r="C483" s="11" t="inlineStr">
        <is>
          <t>TTS</t>
        </is>
      </c>
      <c r="D483" s="11" t="inlineStr">
        <is>
          <t>04.15-20kg</t>
        </is>
      </c>
      <c r="E483" s="11" t="inlineStr">
        <is>
          <t>Khánh Hòa</t>
        </is>
      </c>
      <c r="F483" s="11" t="n">
        <v>41.73</v>
      </c>
      <c r="G483" s="11" t="n">
        <v>690.28</v>
      </c>
      <c r="H483" s="11" t="n">
        <v>0</v>
      </c>
      <c r="I483" s="11" t="n">
        <v>11</v>
      </c>
    </row>
    <row r="484" ht="15.75" customHeight="1" s="57">
      <c r="A484" s="39" t="inlineStr">
        <is>
          <t>2026-11-01</t>
        </is>
      </c>
      <c r="B484" s="11" t="inlineStr">
        <is>
          <t>ecom</t>
        </is>
      </c>
      <c r="C484" s="11" t="inlineStr">
        <is>
          <t>TTS</t>
        </is>
      </c>
      <c r="D484" s="11" t="inlineStr">
        <is>
          <t>04.15-20kg</t>
        </is>
      </c>
      <c r="E484" s="11" t="inlineStr">
        <is>
          <t>Lâm Đồng</t>
        </is>
      </c>
      <c r="F484" s="11" t="n">
        <v>542.55</v>
      </c>
      <c r="G484" s="11" t="n">
        <v>8973.59</v>
      </c>
      <c r="H484" s="11" t="n">
        <v>0</v>
      </c>
      <c r="I484" s="11" t="n">
        <v>11</v>
      </c>
    </row>
    <row r="485" ht="15.75" customHeight="1" s="57">
      <c r="A485" s="39" t="inlineStr">
        <is>
          <t>2026-11-01</t>
        </is>
      </c>
      <c r="B485" s="11" t="inlineStr">
        <is>
          <t>ecom</t>
        </is>
      </c>
      <c r="C485" s="11" t="inlineStr">
        <is>
          <t>TTS</t>
        </is>
      </c>
      <c r="D485" s="11" t="inlineStr">
        <is>
          <t>04.15-20kg</t>
        </is>
      </c>
      <c r="E485" s="11" t="inlineStr">
        <is>
          <t>Ninh Thuận</t>
        </is>
      </c>
      <c r="F485" s="11" t="n">
        <v>75.64</v>
      </c>
      <c r="G485" s="11" t="n">
        <v>1251.13</v>
      </c>
      <c r="H485" s="11" t="n">
        <v>0</v>
      </c>
      <c r="I485" s="11" t="n">
        <v>11</v>
      </c>
    </row>
    <row r="486" ht="15.75" customHeight="1" s="57">
      <c r="A486" s="39" t="inlineStr">
        <is>
          <t>2026-11-01</t>
        </is>
      </c>
      <c r="B486" s="11" t="inlineStr">
        <is>
          <t>ecom</t>
        </is>
      </c>
      <c r="C486" s="11" t="inlineStr">
        <is>
          <t>TTS</t>
        </is>
      </c>
      <c r="D486" s="11" t="inlineStr">
        <is>
          <t>04.15-20kg</t>
        </is>
      </c>
      <c r="E486" s="11" t="inlineStr">
        <is>
          <t>Đắk Nông</t>
        </is>
      </c>
      <c r="F486" s="11" t="n">
        <v>6.96</v>
      </c>
      <c r="G486" s="11" t="n">
        <v>115.05</v>
      </c>
      <c r="H486" s="11" t="n">
        <v>0</v>
      </c>
      <c r="I486" s="11" t="n">
        <v>11</v>
      </c>
    </row>
    <row r="487" ht="15.75" customHeight="1" s="57">
      <c r="A487" s="39" t="inlineStr">
        <is>
          <t>2026-11-01</t>
        </is>
      </c>
      <c r="B487" s="11" t="inlineStr">
        <is>
          <t>ecom</t>
        </is>
      </c>
      <c r="C487" s="11" t="inlineStr">
        <is>
          <t>TTS</t>
        </is>
      </c>
      <c r="D487" s="11" t="inlineStr">
        <is>
          <t>05.&gt;=20kg</t>
        </is>
      </c>
      <c r="E487" s="11" t="inlineStr">
        <is>
          <t>Bình Thuận</t>
        </is>
      </c>
      <c r="F487" s="11" t="n">
        <v>123.46</v>
      </c>
      <c r="G487" s="11" t="n">
        <v>4430.17</v>
      </c>
      <c r="H487" s="11" t="n">
        <v>0</v>
      </c>
      <c r="I487" s="11" t="n">
        <v>11</v>
      </c>
    </row>
    <row r="488" ht="15.75" customHeight="1" s="57">
      <c r="A488" s="39" t="inlineStr">
        <is>
          <t>2026-11-01</t>
        </is>
      </c>
      <c r="B488" s="11" t="inlineStr">
        <is>
          <t>ecom</t>
        </is>
      </c>
      <c r="C488" s="11" t="inlineStr">
        <is>
          <t>TTS</t>
        </is>
      </c>
      <c r="D488" s="11" t="inlineStr">
        <is>
          <t>05.&gt;=20kg</t>
        </is>
      </c>
      <c r="E488" s="11" t="inlineStr">
        <is>
          <t>Khánh Hòa</t>
        </is>
      </c>
      <c r="F488" s="11" t="n">
        <v>380.83</v>
      </c>
      <c r="G488" s="11" t="n">
        <v>13664.88</v>
      </c>
      <c r="H488" s="11" t="n">
        <v>0</v>
      </c>
      <c r="I488" s="11" t="n">
        <v>11</v>
      </c>
    </row>
    <row r="489" ht="15.75" customHeight="1" s="57">
      <c r="A489" s="39" t="inlineStr">
        <is>
          <t>2026-11-01</t>
        </is>
      </c>
      <c r="B489" s="11" t="inlineStr">
        <is>
          <t>ecom</t>
        </is>
      </c>
      <c r="C489" s="11" t="inlineStr">
        <is>
          <t>TTS</t>
        </is>
      </c>
      <c r="D489" s="11" t="inlineStr">
        <is>
          <t>05.&gt;=20kg</t>
        </is>
      </c>
      <c r="E489" s="11" t="inlineStr">
        <is>
          <t>Lâm Đồng</t>
        </is>
      </c>
      <c r="F489" s="11" t="n">
        <v>1218.12</v>
      </c>
      <c r="G489" s="11" t="n">
        <v>43708.9</v>
      </c>
      <c r="H489" s="11" t="n">
        <v>0</v>
      </c>
      <c r="I489" s="11" t="n">
        <v>11</v>
      </c>
    </row>
    <row r="490" ht="15.75" customHeight="1" s="57">
      <c r="A490" s="39" t="inlineStr">
        <is>
          <t>2026-11-01</t>
        </is>
      </c>
      <c r="B490" s="11" t="inlineStr">
        <is>
          <t>ecom</t>
        </is>
      </c>
      <c r="C490" s="11" t="inlineStr">
        <is>
          <t>TTS</t>
        </is>
      </c>
      <c r="D490" s="11" t="inlineStr">
        <is>
          <t>05.&gt;=20kg</t>
        </is>
      </c>
      <c r="E490" s="11" t="inlineStr">
        <is>
          <t>Ninh Thuận</t>
        </is>
      </c>
      <c r="F490" s="11" t="n">
        <v>17.39</v>
      </c>
      <c r="G490" s="11" t="n">
        <v>623.97</v>
      </c>
      <c r="H490" s="11" t="n">
        <v>0</v>
      </c>
      <c r="I490" s="11" t="n">
        <v>11</v>
      </c>
    </row>
    <row r="491" ht="15.75" customHeight="1" s="57">
      <c r="A491" s="39" t="inlineStr">
        <is>
          <t>2026-11-01</t>
        </is>
      </c>
      <c r="B491" s="11" t="inlineStr">
        <is>
          <t>ecom</t>
        </is>
      </c>
      <c r="C491" s="11" t="inlineStr">
        <is>
          <t>TTS</t>
        </is>
      </c>
      <c r="D491" s="11" t="inlineStr">
        <is>
          <t>05.&gt;=20kg</t>
        </is>
      </c>
      <c r="E491" s="11" t="inlineStr">
        <is>
          <t>Đắk Nông</t>
        </is>
      </c>
      <c r="F491" s="11" t="n">
        <v>14.78</v>
      </c>
      <c r="G491" s="11" t="n">
        <v>530.37</v>
      </c>
      <c r="H491" s="11" t="n">
        <v>0</v>
      </c>
      <c r="I491" s="11" t="n">
        <v>11</v>
      </c>
    </row>
    <row r="492" ht="15.75" customHeight="1" s="57">
      <c r="A492" s="39" t="inlineStr">
        <is>
          <t>2026-12-01</t>
        </is>
      </c>
      <c r="B492" s="11" t="inlineStr">
        <is>
          <t>sme</t>
        </is>
      </c>
      <c r="C492" s="11" t="inlineStr">
        <is>
          <t>SME</t>
        </is>
      </c>
      <c r="D492" s="11" t="inlineStr">
        <is>
          <t>01.0-5kg</t>
        </is>
      </c>
      <c r="E492" s="11" t="inlineStr">
        <is>
          <t>Bình Thuận</t>
        </is>
      </c>
      <c r="F492" s="11" t="n">
        <v>39628.88</v>
      </c>
      <c r="G492" s="11" t="n">
        <v>27439.04</v>
      </c>
      <c r="H492" s="11" t="n">
        <v>0</v>
      </c>
      <c r="I492" s="11" t="n">
        <v>12</v>
      </c>
    </row>
    <row r="493" ht="15.75" customHeight="1" s="57">
      <c r="A493" s="39" t="inlineStr">
        <is>
          <t>2026-12-01</t>
        </is>
      </c>
      <c r="B493" s="11" t="inlineStr">
        <is>
          <t>sme</t>
        </is>
      </c>
      <c r="C493" s="11" t="inlineStr">
        <is>
          <t>SME</t>
        </is>
      </c>
      <c r="D493" s="11" t="inlineStr">
        <is>
          <t>01.0-5kg</t>
        </is>
      </c>
      <c r="E493" s="11" t="inlineStr">
        <is>
          <t>Khánh Hòa</t>
        </is>
      </c>
      <c r="F493" s="11" t="n">
        <v>92904.87</v>
      </c>
      <c r="G493" s="11" t="n">
        <v>64327.33</v>
      </c>
      <c r="H493" s="11" t="n">
        <v>0</v>
      </c>
      <c r="I493" s="11" t="n">
        <v>12</v>
      </c>
    </row>
    <row r="494" ht="15.75" customHeight="1" s="57">
      <c r="A494" s="39" t="inlineStr">
        <is>
          <t>2026-12-01</t>
        </is>
      </c>
      <c r="B494" s="11" t="inlineStr">
        <is>
          <t>sme</t>
        </is>
      </c>
      <c r="C494" s="11" t="inlineStr">
        <is>
          <t>SME</t>
        </is>
      </c>
      <c r="D494" s="11" t="inlineStr">
        <is>
          <t>01.0-5kg</t>
        </is>
      </c>
      <c r="E494" s="11" t="inlineStr">
        <is>
          <t>Lâm Đồng</t>
        </is>
      </c>
      <c r="F494" s="11" t="n">
        <v>77641.39</v>
      </c>
      <c r="G494" s="11" t="n">
        <v>53758.9</v>
      </c>
      <c r="H494" s="11" t="n">
        <v>0</v>
      </c>
      <c r="I494" s="11" t="n">
        <v>12</v>
      </c>
    </row>
    <row r="495" ht="15.75" customHeight="1" s="57">
      <c r="A495" s="39" t="inlineStr">
        <is>
          <t>2026-12-01</t>
        </is>
      </c>
      <c r="B495" s="11" t="inlineStr">
        <is>
          <t>sme</t>
        </is>
      </c>
      <c r="C495" s="11" t="inlineStr">
        <is>
          <t>SME</t>
        </is>
      </c>
      <c r="D495" s="11" t="inlineStr">
        <is>
          <t>01.0-5kg</t>
        </is>
      </c>
      <c r="E495" s="11" t="inlineStr">
        <is>
          <t>Ninh Thuận</t>
        </is>
      </c>
      <c r="F495" s="11" t="n">
        <v>31936.85</v>
      </c>
      <c r="G495" s="11" t="n">
        <v>22113.08</v>
      </c>
      <c r="H495" s="11" t="n">
        <v>0</v>
      </c>
      <c r="I495" s="11" t="n">
        <v>12</v>
      </c>
    </row>
    <row r="496" ht="15.75" customHeight="1" s="57">
      <c r="A496" s="39" t="inlineStr">
        <is>
          <t>2026-12-01</t>
        </is>
      </c>
      <c r="B496" s="11" t="inlineStr">
        <is>
          <t>sme</t>
        </is>
      </c>
      <c r="C496" s="11" t="inlineStr">
        <is>
          <t>SME</t>
        </is>
      </c>
      <c r="D496" s="11" t="inlineStr">
        <is>
          <t>01.0-5kg</t>
        </is>
      </c>
      <c r="E496" s="11" t="inlineStr">
        <is>
          <t>Đắk Nông</t>
        </is>
      </c>
      <c r="F496" s="11" t="n">
        <v>116727.63</v>
      </c>
      <c r="G496" s="11" t="n">
        <v>80822.21000000001</v>
      </c>
      <c r="H496" s="11" t="n">
        <v>0</v>
      </c>
      <c r="I496" s="11" t="n">
        <v>12</v>
      </c>
    </row>
    <row r="497" ht="15.75" customHeight="1" s="57">
      <c r="A497" s="39" t="inlineStr">
        <is>
          <t>2026-12-01</t>
        </is>
      </c>
      <c r="B497" s="11" t="inlineStr">
        <is>
          <t>sme</t>
        </is>
      </c>
      <c r="C497" s="11" t="inlineStr">
        <is>
          <t>SME</t>
        </is>
      </c>
      <c r="D497" s="11" t="inlineStr">
        <is>
          <t>02.5-10kg</t>
        </is>
      </c>
      <c r="E497" s="11" t="inlineStr">
        <is>
          <t>Bình Thuận</t>
        </is>
      </c>
      <c r="F497" s="11" t="n">
        <v>3065.91</v>
      </c>
      <c r="G497" s="11" t="n">
        <v>18733.02</v>
      </c>
      <c r="H497" s="11" t="n">
        <v>0</v>
      </c>
      <c r="I497" s="11" t="n">
        <v>12</v>
      </c>
    </row>
    <row r="498" ht="15.75" customHeight="1" s="57">
      <c r="A498" s="39" t="inlineStr">
        <is>
          <t>2026-12-01</t>
        </is>
      </c>
      <c r="B498" s="11" t="inlineStr">
        <is>
          <t>sme</t>
        </is>
      </c>
      <c r="C498" s="11" t="inlineStr">
        <is>
          <t>SME</t>
        </is>
      </c>
      <c r="D498" s="11" t="inlineStr">
        <is>
          <t>02.5-10kg</t>
        </is>
      </c>
      <c r="E498" s="11" t="inlineStr">
        <is>
          <t>Khánh Hòa</t>
        </is>
      </c>
      <c r="F498" s="11" t="n">
        <v>6222.68</v>
      </c>
      <c r="G498" s="11" t="n">
        <v>38021.18</v>
      </c>
      <c r="H498" s="11" t="n">
        <v>0</v>
      </c>
      <c r="I498" s="11" t="n">
        <v>12</v>
      </c>
    </row>
    <row r="499" ht="15.75" customHeight="1" s="57">
      <c r="A499" s="39" t="inlineStr">
        <is>
          <t>2026-12-01</t>
        </is>
      </c>
      <c r="B499" s="11" t="inlineStr">
        <is>
          <t>sme</t>
        </is>
      </c>
      <c r="C499" s="11" t="inlineStr">
        <is>
          <t>SME</t>
        </is>
      </c>
      <c r="D499" s="11" t="inlineStr">
        <is>
          <t>02.5-10kg</t>
        </is>
      </c>
      <c r="E499" s="11" t="inlineStr">
        <is>
          <t>Lâm Đồng</t>
        </is>
      </c>
      <c r="F499" s="11" t="n">
        <v>10475.47</v>
      </c>
      <c r="G499" s="11" t="n">
        <v>64006.18</v>
      </c>
      <c r="H499" s="11" t="n">
        <v>0</v>
      </c>
      <c r="I499" s="11" t="n">
        <v>12</v>
      </c>
    </row>
    <row r="500" ht="15.75" customHeight="1" s="57">
      <c r="A500" s="39" t="inlineStr">
        <is>
          <t>2026-12-01</t>
        </is>
      </c>
      <c r="B500" s="11" t="inlineStr">
        <is>
          <t>sme</t>
        </is>
      </c>
      <c r="C500" s="11" t="inlineStr">
        <is>
          <t>SME</t>
        </is>
      </c>
      <c r="D500" s="11" t="inlineStr">
        <is>
          <t>02.5-10kg</t>
        </is>
      </c>
      <c r="E500" s="11" t="inlineStr">
        <is>
          <t>Ninh Thuận</t>
        </is>
      </c>
      <c r="F500" s="11" t="n">
        <v>2388.64</v>
      </c>
      <c r="G500" s="11" t="n">
        <v>14594.8</v>
      </c>
      <c r="H500" s="11" t="n">
        <v>0</v>
      </c>
      <c r="I500" s="11" t="n">
        <v>12</v>
      </c>
    </row>
    <row r="501" ht="15.75" customHeight="1" s="57">
      <c r="A501" s="39" t="inlineStr">
        <is>
          <t>2026-12-01</t>
        </is>
      </c>
      <c r="B501" s="11" t="inlineStr">
        <is>
          <t>sme</t>
        </is>
      </c>
      <c r="C501" s="11" t="inlineStr">
        <is>
          <t>SME</t>
        </is>
      </c>
      <c r="D501" s="11" t="inlineStr">
        <is>
          <t>02.5-10kg</t>
        </is>
      </c>
      <c r="E501" s="11" t="inlineStr">
        <is>
          <t>Đắk Nông</t>
        </is>
      </c>
      <c r="F501" s="11" t="n">
        <v>1917.85</v>
      </c>
      <c r="G501" s="11" t="n">
        <v>11718.23</v>
      </c>
      <c r="H501" s="11" t="n">
        <v>0</v>
      </c>
      <c r="I501" s="11" t="n">
        <v>12</v>
      </c>
    </row>
    <row r="502" ht="15.75" customHeight="1" s="57">
      <c r="A502" s="39" t="inlineStr">
        <is>
          <t>2026-12-01</t>
        </is>
      </c>
      <c r="B502" s="11" t="inlineStr">
        <is>
          <t>sme</t>
        </is>
      </c>
      <c r="C502" s="11" t="inlineStr">
        <is>
          <t>SME</t>
        </is>
      </c>
      <c r="D502" s="11" t="inlineStr">
        <is>
          <t>03.10-15kg</t>
        </is>
      </c>
      <c r="E502" s="11" t="inlineStr">
        <is>
          <t>Bình Thuận</t>
        </is>
      </c>
      <c r="F502" s="11" t="n">
        <v>1324.82</v>
      </c>
      <c r="G502" s="11" t="n">
        <v>14963.81</v>
      </c>
      <c r="H502" s="11" t="n">
        <v>0</v>
      </c>
      <c r="I502" s="11" t="n">
        <v>12</v>
      </c>
    </row>
    <row r="503" ht="15.75" customHeight="1" s="57">
      <c r="A503" s="39" t="inlineStr">
        <is>
          <t>2026-12-01</t>
        </is>
      </c>
      <c r="B503" s="11" t="inlineStr">
        <is>
          <t>sme</t>
        </is>
      </c>
      <c r="C503" s="11" t="inlineStr">
        <is>
          <t>SME</t>
        </is>
      </c>
      <c r="D503" s="11" t="inlineStr">
        <is>
          <t>03.10-15kg</t>
        </is>
      </c>
      <c r="E503" s="11" t="inlineStr">
        <is>
          <t>Khánh Hòa</t>
        </is>
      </c>
      <c r="F503" s="11" t="n">
        <v>3624.25</v>
      </c>
      <c r="G503" s="11" t="n">
        <v>40935.91</v>
      </c>
      <c r="H503" s="11" t="n">
        <v>0</v>
      </c>
      <c r="I503" s="11" t="n">
        <v>12</v>
      </c>
    </row>
    <row r="504" ht="15.75" customHeight="1" s="57">
      <c r="A504" s="39" t="inlineStr">
        <is>
          <t>2026-12-01</t>
        </is>
      </c>
      <c r="B504" s="11" t="inlineStr">
        <is>
          <t>sme</t>
        </is>
      </c>
      <c r="C504" s="11" t="inlineStr">
        <is>
          <t>SME</t>
        </is>
      </c>
      <c r="D504" s="11" t="inlineStr">
        <is>
          <t>03.10-15kg</t>
        </is>
      </c>
      <c r="E504" s="11" t="inlineStr">
        <is>
          <t>Lâm Đồng</t>
        </is>
      </c>
      <c r="F504" s="11" t="n">
        <v>4418.81</v>
      </c>
      <c r="G504" s="11" t="n">
        <v>49910.47</v>
      </c>
      <c r="H504" s="11" t="n">
        <v>0</v>
      </c>
      <c r="I504" s="11" t="n">
        <v>12</v>
      </c>
    </row>
    <row r="505" ht="15.75" customHeight="1" s="57">
      <c r="A505" s="39" t="inlineStr">
        <is>
          <t>2026-12-01</t>
        </is>
      </c>
      <c r="B505" s="11" t="inlineStr">
        <is>
          <t>sme</t>
        </is>
      </c>
      <c r="C505" s="11" t="inlineStr">
        <is>
          <t>SME</t>
        </is>
      </c>
      <c r="D505" s="11" t="inlineStr">
        <is>
          <t>03.10-15kg</t>
        </is>
      </c>
      <c r="E505" s="11" t="inlineStr">
        <is>
          <t>Ninh Thuận</t>
        </is>
      </c>
      <c r="F505" s="11" t="n">
        <v>1083.64</v>
      </c>
      <c r="G505" s="11" t="n">
        <v>12239.73</v>
      </c>
      <c r="H505" s="11" t="n">
        <v>0</v>
      </c>
      <c r="I505" s="11" t="n">
        <v>12</v>
      </c>
    </row>
    <row r="506" ht="15.75" customHeight="1" s="57">
      <c r="A506" s="39" t="inlineStr">
        <is>
          <t>2026-12-01</t>
        </is>
      </c>
      <c r="B506" s="11" t="inlineStr">
        <is>
          <t>sme</t>
        </is>
      </c>
      <c r="C506" s="11" t="inlineStr">
        <is>
          <t>SME</t>
        </is>
      </c>
      <c r="D506" s="11" t="inlineStr">
        <is>
          <t>03.10-15kg</t>
        </is>
      </c>
      <c r="E506" s="11" t="inlineStr">
        <is>
          <t>Đắk Nông</t>
        </is>
      </c>
      <c r="F506" s="11" t="n">
        <v>861.46</v>
      </c>
      <c r="G506" s="11" t="n">
        <v>9730.209999999999</v>
      </c>
      <c r="H506" s="11" t="n">
        <v>0</v>
      </c>
      <c r="I506" s="11" t="n">
        <v>12</v>
      </c>
    </row>
    <row r="507" ht="15.75" customHeight="1" s="57">
      <c r="A507" s="39" t="inlineStr">
        <is>
          <t>2026-12-01</t>
        </is>
      </c>
      <c r="B507" s="11" t="inlineStr">
        <is>
          <t>sme</t>
        </is>
      </c>
      <c r="C507" s="11" t="inlineStr">
        <is>
          <t>SME</t>
        </is>
      </c>
      <c r="D507" s="11" t="inlineStr">
        <is>
          <t>04.15-20kg</t>
        </is>
      </c>
      <c r="E507" s="11" t="inlineStr">
        <is>
          <t>Bình Thuận</t>
        </is>
      </c>
      <c r="F507" s="11" t="n">
        <v>476.57</v>
      </c>
      <c r="G507" s="11" t="n">
        <v>8123.48</v>
      </c>
      <c r="H507" s="11" t="n">
        <v>0</v>
      </c>
      <c r="I507" s="11" t="n">
        <v>12</v>
      </c>
    </row>
    <row r="508" ht="15.75" customHeight="1" s="57">
      <c r="A508" s="39" t="inlineStr">
        <is>
          <t>2026-12-01</t>
        </is>
      </c>
      <c r="B508" s="11" t="inlineStr">
        <is>
          <t>sme</t>
        </is>
      </c>
      <c r="C508" s="11" t="inlineStr">
        <is>
          <t>SME</t>
        </is>
      </c>
      <c r="D508" s="11" t="inlineStr">
        <is>
          <t>04.15-20kg</t>
        </is>
      </c>
      <c r="E508" s="11" t="inlineStr">
        <is>
          <t>Khánh Hòa</t>
        </is>
      </c>
      <c r="F508" s="11" t="n">
        <v>1116.68</v>
      </c>
      <c r="G508" s="11" t="n">
        <v>19034.57</v>
      </c>
      <c r="H508" s="11" t="n">
        <v>0</v>
      </c>
      <c r="I508" s="11" t="n">
        <v>12</v>
      </c>
    </row>
    <row r="509" ht="15.75" customHeight="1" s="57">
      <c r="A509" s="39" t="inlineStr">
        <is>
          <t>2026-12-01</t>
        </is>
      </c>
      <c r="B509" s="11" t="inlineStr">
        <is>
          <t>sme</t>
        </is>
      </c>
      <c r="C509" s="11" t="inlineStr">
        <is>
          <t>SME</t>
        </is>
      </c>
      <c r="D509" s="11" t="inlineStr">
        <is>
          <t>04.15-20kg</t>
        </is>
      </c>
      <c r="E509" s="11" t="inlineStr">
        <is>
          <t>Lâm Đồng</t>
        </is>
      </c>
      <c r="F509" s="11" t="n">
        <v>1469.36</v>
      </c>
      <c r="G509" s="11" t="n">
        <v>25046.23</v>
      </c>
      <c r="H509" s="11" t="n">
        <v>0</v>
      </c>
      <c r="I509" s="11" t="n">
        <v>12</v>
      </c>
    </row>
    <row r="510" ht="15.75" customHeight="1" s="57">
      <c r="A510" s="39" t="inlineStr">
        <is>
          <t>2026-12-01</t>
        </is>
      </c>
      <c r="B510" s="11" t="inlineStr">
        <is>
          <t>sme</t>
        </is>
      </c>
      <c r="C510" s="11" t="inlineStr">
        <is>
          <t>SME</t>
        </is>
      </c>
      <c r="D510" s="11" t="inlineStr">
        <is>
          <t>04.15-20kg</t>
        </is>
      </c>
      <c r="E510" s="11" t="inlineStr">
        <is>
          <t>Ninh Thuận</t>
        </is>
      </c>
      <c r="F510" s="11" t="n">
        <v>268.43</v>
      </c>
      <c r="G510" s="11" t="n">
        <v>4575.62</v>
      </c>
      <c r="H510" s="11" t="n">
        <v>0</v>
      </c>
      <c r="I510" s="11" t="n">
        <v>12</v>
      </c>
    </row>
    <row r="511" ht="15.75" customHeight="1" s="57">
      <c r="A511" s="39" t="inlineStr">
        <is>
          <t>2026-12-01</t>
        </is>
      </c>
      <c r="B511" s="11" t="inlineStr">
        <is>
          <t>sme</t>
        </is>
      </c>
      <c r="C511" s="11" t="inlineStr">
        <is>
          <t>SME</t>
        </is>
      </c>
      <c r="D511" s="11" t="inlineStr">
        <is>
          <t>04.15-20kg</t>
        </is>
      </c>
      <c r="E511" s="11" t="inlineStr">
        <is>
          <t>Đắk Nông</t>
        </is>
      </c>
      <c r="F511" s="11" t="n">
        <v>419.58</v>
      </c>
      <c r="G511" s="11" t="n">
        <v>7152.04</v>
      </c>
      <c r="H511" s="11" t="n">
        <v>0</v>
      </c>
      <c r="I511" s="11" t="n">
        <v>12</v>
      </c>
    </row>
    <row r="512" ht="15.75" customHeight="1" s="57">
      <c r="A512" s="39" t="inlineStr">
        <is>
          <t>2026-12-01</t>
        </is>
      </c>
      <c r="B512" s="11" t="inlineStr">
        <is>
          <t>sme</t>
        </is>
      </c>
      <c r="C512" s="11" t="inlineStr">
        <is>
          <t>SME</t>
        </is>
      </c>
      <c r="D512" s="11" t="inlineStr">
        <is>
          <t>05.&gt;=20kg</t>
        </is>
      </c>
      <c r="E512" s="11" t="inlineStr">
        <is>
          <t>Bình Thuận</t>
        </is>
      </c>
      <c r="F512" s="11" t="n">
        <v>1035.74</v>
      </c>
      <c r="G512" s="11" t="n">
        <v>74254.2</v>
      </c>
      <c r="H512" s="11" t="n">
        <v>0</v>
      </c>
      <c r="I512" s="11" t="n">
        <v>12</v>
      </c>
    </row>
    <row r="513" ht="15.75" customHeight="1" s="57">
      <c r="A513" s="39" t="inlineStr">
        <is>
          <t>2026-12-01</t>
        </is>
      </c>
      <c r="B513" s="11" t="inlineStr">
        <is>
          <t>sme</t>
        </is>
      </c>
      <c r="C513" s="11" t="inlineStr">
        <is>
          <t>SME</t>
        </is>
      </c>
      <c r="D513" s="11" t="inlineStr">
        <is>
          <t>05.&gt;=20kg</t>
        </is>
      </c>
      <c r="E513" s="11" t="inlineStr">
        <is>
          <t>Khánh Hòa</t>
        </is>
      </c>
      <c r="F513" s="11" t="n">
        <v>1829.47</v>
      </c>
      <c r="G513" s="11" t="n">
        <v>131158.74</v>
      </c>
      <c r="H513" s="11" t="n">
        <v>0</v>
      </c>
      <c r="I513" s="11" t="n">
        <v>12</v>
      </c>
    </row>
    <row r="514" ht="15.75" customHeight="1" s="57">
      <c r="A514" s="39" t="inlineStr">
        <is>
          <t>2026-12-01</t>
        </is>
      </c>
      <c r="B514" s="11" t="inlineStr">
        <is>
          <t>sme</t>
        </is>
      </c>
      <c r="C514" s="11" t="inlineStr">
        <is>
          <t>SME</t>
        </is>
      </c>
      <c r="D514" s="11" t="inlineStr">
        <is>
          <t>05.&gt;=20kg</t>
        </is>
      </c>
      <c r="E514" s="11" t="inlineStr">
        <is>
          <t>Lâm Đồng</t>
        </is>
      </c>
      <c r="F514" s="11" t="n">
        <v>2282.91</v>
      </c>
      <c r="G514" s="11" t="n">
        <v>163667.16</v>
      </c>
      <c r="H514" s="11" t="n">
        <v>0</v>
      </c>
      <c r="I514" s="11" t="n">
        <v>12</v>
      </c>
    </row>
    <row r="515" ht="15.75" customHeight="1" s="57">
      <c r="A515" s="39" t="inlineStr">
        <is>
          <t>2026-12-01</t>
        </is>
      </c>
      <c r="B515" s="11" t="inlineStr">
        <is>
          <t>sme</t>
        </is>
      </c>
      <c r="C515" s="11" t="inlineStr">
        <is>
          <t>SME</t>
        </is>
      </c>
      <c r="D515" s="11" t="inlineStr">
        <is>
          <t>05.&gt;=20kg</t>
        </is>
      </c>
      <c r="E515" s="11" t="inlineStr">
        <is>
          <t>Ninh Thuận</t>
        </is>
      </c>
      <c r="F515" s="11" t="n">
        <v>567.42</v>
      </c>
      <c r="G515" s="11" t="n">
        <v>40679.94</v>
      </c>
      <c r="H515" s="11" t="n">
        <v>0</v>
      </c>
      <c r="I515" s="11" t="n">
        <v>12</v>
      </c>
    </row>
    <row r="516" ht="15.75" customHeight="1" s="57">
      <c r="A516" s="39" t="inlineStr">
        <is>
          <t>2026-12-01</t>
        </is>
      </c>
      <c r="B516" s="11" t="inlineStr">
        <is>
          <t>sme</t>
        </is>
      </c>
      <c r="C516" s="11" t="inlineStr">
        <is>
          <t>SME</t>
        </is>
      </c>
      <c r="D516" s="11" t="inlineStr">
        <is>
          <t>05.&gt;=20kg</t>
        </is>
      </c>
      <c r="E516" s="11" t="inlineStr">
        <is>
          <t>Đắk Nông</t>
        </is>
      </c>
      <c r="F516" s="11" t="n">
        <v>543.47</v>
      </c>
      <c r="G516" s="11" t="n">
        <v>38962.73</v>
      </c>
      <c r="H516" s="11" t="n">
        <v>0</v>
      </c>
      <c r="I516" s="11" t="n">
        <v>12</v>
      </c>
    </row>
    <row r="517" ht="15.75" customHeight="1" s="57">
      <c r="A517" s="39" t="inlineStr">
        <is>
          <t>2026-12-01</t>
        </is>
      </c>
      <c r="B517" s="11" t="inlineStr">
        <is>
          <t>ecom</t>
        </is>
      </c>
      <c r="C517" s="11" t="inlineStr">
        <is>
          <t>Shopee Bulky</t>
        </is>
      </c>
      <c r="D517" s="11" t="inlineStr">
        <is>
          <t>01.0-5kg</t>
        </is>
      </c>
      <c r="E517" s="11" t="inlineStr">
        <is>
          <t>Bình Thuận</t>
        </is>
      </c>
      <c r="F517" s="11" t="n">
        <v>5.34</v>
      </c>
      <c r="G517" s="11" t="n">
        <v>12.76</v>
      </c>
      <c r="H517" s="11" t="n">
        <v>0</v>
      </c>
      <c r="I517" s="11" t="n">
        <v>12</v>
      </c>
    </row>
    <row r="518" ht="15.75" customHeight="1" s="57">
      <c r="A518" s="39" t="inlineStr">
        <is>
          <t>2026-12-01</t>
        </is>
      </c>
      <c r="B518" s="11" t="inlineStr">
        <is>
          <t>ecom</t>
        </is>
      </c>
      <c r="C518" s="11" t="inlineStr">
        <is>
          <t>Shopee Bulky</t>
        </is>
      </c>
      <c r="D518" s="11" t="inlineStr">
        <is>
          <t>01.0-5kg</t>
        </is>
      </c>
      <c r="E518" s="11" t="inlineStr">
        <is>
          <t>Khánh Hòa</t>
        </is>
      </c>
      <c r="F518" s="11" t="n">
        <v>9.619999999999999</v>
      </c>
      <c r="G518" s="11" t="n">
        <v>22.97</v>
      </c>
      <c r="H518" s="11" t="n">
        <v>0</v>
      </c>
      <c r="I518" s="11" t="n">
        <v>12</v>
      </c>
    </row>
    <row r="519" ht="15.75" customHeight="1" s="57">
      <c r="A519" s="39" t="inlineStr">
        <is>
          <t>2026-12-01</t>
        </is>
      </c>
      <c r="B519" s="11" t="inlineStr">
        <is>
          <t>ecom</t>
        </is>
      </c>
      <c r="C519" s="11" t="inlineStr">
        <is>
          <t>Shopee Bulky</t>
        </is>
      </c>
      <c r="D519" s="11" t="inlineStr">
        <is>
          <t>01.0-5kg</t>
        </is>
      </c>
      <c r="E519" s="11" t="inlineStr">
        <is>
          <t>Lâm Đồng</t>
        </is>
      </c>
      <c r="F519" s="11" t="n">
        <v>38.46</v>
      </c>
      <c r="G519" s="11" t="n">
        <v>91.87</v>
      </c>
      <c r="H519" s="11" t="n">
        <v>0</v>
      </c>
      <c r="I519" s="11" t="n">
        <v>12</v>
      </c>
    </row>
    <row r="520" ht="15.75" customHeight="1" s="57">
      <c r="A520" s="39" t="inlineStr">
        <is>
          <t>2026-12-01</t>
        </is>
      </c>
      <c r="B520" s="11" t="inlineStr">
        <is>
          <t>ecom</t>
        </is>
      </c>
      <c r="C520" s="11" t="inlineStr">
        <is>
          <t>Shopee Bulky</t>
        </is>
      </c>
      <c r="D520" s="11" t="inlineStr">
        <is>
          <t>02.5-10kg</t>
        </is>
      </c>
      <c r="E520" s="11" t="inlineStr">
        <is>
          <t>Bình Thuận</t>
        </is>
      </c>
      <c r="F520" s="11" t="n">
        <v>6.41</v>
      </c>
      <c r="G520" s="11" t="n">
        <v>51.55</v>
      </c>
      <c r="H520" s="11" t="n">
        <v>0</v>
      </c>
      <c r="I520" s="11" t="n">
        <v>12</v>
      </c>
    </row>
    <row r="521" ht="15.75" customHeight="1" s="57">
      <c r="A521" s="39" t="inlineStr">
        <is>
          <t>2026-12-01</t>
        </is>
      </c>
      <c r="B521" s="11" t="inlineStr">
        <is>
          <t>ecom</t>
        </is>
      </c>
      <c r="C521" s="11" t="inlineStr">
        <is>
          <t>Shopee Bulky</t>
        </is>
      </c>
      <c r="D521" s="11" t="inlineStr">
        <is>
          <t>02.5-10kg</t>
        </is>
      </c>
      <c r="E521" s="11" t="inlineStr">
        <is>
          <t>Khánh Hòa</t>
        </is>
      </c>
      <c r="F521" s="11" t="n">
        <v>42.74</v>
      </c>
      <c r="G521" s="11" t="n">
        <v>343.68</v>
      </c>
      <c r="H521" s="11" t="n">
        <v>0</v>
      </c>
      <c r="I521" s="11" t="n">
        <v>12</v>
      </c>
    </row>
    <row r="522" ht="15.75" customHeight="1" s="57">
      <c r="A522" s="39" t="inlineStr">
        <is>
          <t>2026-12-01</t>
        </is>
      </c>
      <c r="B522" s="11" t="inlineStr">
        <is>
          <t>ecom</t>
        </is>
      </c>
      <c r="C522" s="11" t="inlineStr">
        <is>
          <t>Shopee Bulky</t>
        </is>
      </c>
      <c r="D522" s="11" t="inlineStr">
        <is>
          <t>02.5-10kg</t>
        </is>
      </c>
      <c r="E522" s="11" t="inlineStr">
        <is>
          <t>Lâm Đồng</t>
        </is>
      </c>
      <c r="F522" s="11" t="n">
        <v>114.32</v>
      </c>
      <c r="G522" s="11" t="n">
        <v>919.33</v>
      </c>
      <c r="H522" s="11" t="n">
        <v>0</v>
      </c>
      <c r="I522" s="11" t="n">
        <v>12</v>
      </c>
    </row>
    <row r="523" ht="15.75" customHeight="1" s="57">
      <c r="A523" s="39" t="inlineStr">
        <is>
          <t>2026-12-01</t>
        </is>
      </c>
      <c r="B523" s="11" t="inlineStr">
        <is>
          <t>ecom</t>
        </is>
      </c>
      <c r="C523" s="11" t="inlineStr">
        <is>
          <t>Shopee Bulky</t>
        </is>
      </c>
      <c r="D523" s="11" t="inlineStr">
        <is>
          <t>02.5-10kg</t>
        </is>
      </c>
      <c r="E523" s="11" t="inlineStr">
        <is>
          <t>Ninh Thuận</t>
        </is>
      </c>
      <c r="F523" s="11" t="n">
        <v>5.34</v>
      </c>
      <c r="G523" s="11" t="n">
        <v>42.96</v>
      </c>
      <c r="H523" s="11" t="n">
        <v>0</v>
      </c>
      <c r="I523" s="11" t="n">
        <v>12</v>
      </c>
    </row>
    <row r="524" ht="15.75" customHeight="1" s="57">
      <c r="A524" s="39" t="inlineStr">
        <is>
          <t>2026-12-01</t>
        </is>
      </c>
      <c r="B524" s="11" t="inlineStr">
        <is>
          <t>ecom</t>
        </is>
      </c>
      <c r="C524" s="11" t="inlineStr">
        <is>
          <t>Shopee Bulky</t>
        </is>
      </c>
      <c r="D524" s="11" t="inlineStr">
        <is>
          <t>02.5-10kg</t>
        </is>
      </c>
      <c r="E524" s="11" t="inlineStr">
        <is>
          <t>Đắk Nông</t>
        </is>
      </c>
      <c r="F524" s="11" t="n">
        <v>3.21</v>
      </c>
      <c r="G524" s="11" t="n">
        <v>25.78</v>
      </c>
      <c r="H524" s="11" t="n">
        <v>0</v>
      </c>
      <c r="I524" s="11" t="n">
        <v>12</v>
      </c>
    </row>
    <row r="525" ht="15.75" customHeight="1" s="57">
      <c r="A525" s="39" t="inlineStr">
        <is>
          <t>2026-12-01</t>
        </is>
      </c>
      <c r="B525" s="11" t="inlineStr">
        <is>
          <t>ecom</t>
        </is>
      </c>
      <c r="C525" s="11" t="inlineStr">
        <is>
          <t>Shopee Bulky</t>
        </is>
      </c>
      <c r="D525" s="11" t="inlineStr">
        <is>
          <t>03.10-15kg</t>
        </is>
      </c>
      <c r="E525" s="11" t="inlineStr">
        <is>
          <t>Bình Thuận</t>
        </is>
      </c>
      <c r="F525" s="11" t="n">
        <v>1163.51</v>
      </c>
      <c r="G525" s="11" t="n">
        <v>13869.8</v>
      </c>
      <c r="H525" s="11" t="n">
        <v>0</v>
      </c>
      <c r="I525" s="11" t="n">
        <v>12</v>
      </c>
    </row>
    <row r="526" ht="15.75" customHeight="1" s="57">
      <c r="A526" s="39" t="inlineStr">
        <is>
          <t>2026-12-01</t>
        </is>
      </c>
      <c r="B526" s="11" t="inlineStr">
        <is>
          <t>ecom</t>
        </is>
      </c>
      <c r="C526" s="11" t="inlineStr">
        <is>
          <t>Shopee Bulky</t>
        </is>
      </c>
      <c r="D526" s="11" t="inlineStr">
        <is>
          <t>03.10-15kg</t>
        </is>
      </c>
      <c r="E526" s="11" t="inlineStr">
        <is>
          <t>Khánh Hòa</t>
        </is>
      </c>
      <c r="F526" s="11" t="n">
        <v>1434.88</v>
      </c>
      <c r="G526" s="11" t="n">
        <v>17104.82</v>
      </c>
      <c r="H526" s="11" t="n">
        <v>0</v>
      </c>
      <c r="I526" s="11" t="n">
        <v>12</v>
      </c>
    </row>
    <row r="527" ht="15.75" customHeight="1" s="57">
      <c r="A527" s="39" t="inlineStr">
        <is>
          <t>2026-12-01</t>
        </is>
      </c>
      <c r="B527" s="11" t="inlineStr">
        <is>
          <t>ecom</t>
        </is>
      </c>
      <c r="C527" s="11" t="inlineStr">
        <is>
          <t>Shopee Bulky</t>
        </is>
      </c>
      <c r="D527" s="11" t="inlineStr">
        <is>
          <t>03.10-15kg</t>
        </is>
      </c>
      <c r="E527" s="11" t="inlineStr">
        <is>
          <t>Lâm Đồng</t>
        </is>
      </c>
      <c r="F527" s="11" t="n">
        <v>1708.4</v>
      </c>
      <c r="G527" s="11" t="n">
        <v>20365.3</v>
      </c>
      <c r="H527" s="11" t="n">
        <v>0</v>
      </c>
      <c r="I527" s="11" t="n">
        <v>12</v>
      </c>
    </row>
    <row r="528" ht="15.75" customHeight="1" s="57">
      <c r="A528" s="39" t="inlineStr">
        <is>
          <t>2026-12-01</t>
        </is>
      </c>
      <c r="B528" s="11" t="inlineStr">
        <is>
          <t>ecom</t>
        </is>
      </c>
      <c r="C528" s="11" t="inlineStr">
        <is>
          <t>Shopee Bulky</t>
        </is>
      </c>
      <c r="D528" s="11" t="inlineStr">
        <is>
          <t>03.10-15kg</t>
        </is>
      </c>
      <c r="E528" s="11" t="inlineStr">
        <is>
          <t>Ninh Thuận</t>
        </is>
      </c>
      <c r="F528" s="11" t="n">
        <v>1260.73</v>
      </c>
      <c r="G528" s="11" t="n">
        <v>15028.81</v>
      </c>
      <c r="H528" s="11" t="n">
        <v>0</v>
      </c>
      <c r="I528" s="11" t="n">
        <v>12</v>
      </c>
    </row>
    <row r="529" ht="15.75" customHeight="1" s="57">
      <c r="A529" s="39" t="inlineStr">
        <is>
          <t>2026-12-01</t>
        </is>
      </c>
      <c r="B529" s="11" t="inlineStr">
        <is>
          <t>ecom</t>
        </is>
      </c>
      <c r="C529" s="11" t="inlineStr">
        <is>
          <t>Shopee Bulky</t>
        </is>
      </c>
      <c r="D529" s="11" t="inlineStr">
        <is>
          <t>03.10-15kg</t>
        </is>
      </c>
      <c r="E529" s="11" t="inlineStr">
        <is>
          <t>Đắk Nông</t>
        </is>
      </c>
      <c r="F529" s="11" t="n">
        <v>291.68</v>
      </c>
      <c r="G529" s="11" t="n">
        <v>3477</v>
      </c>
      <c r="H529" s="11" t="n">
        <v>0</v>
      </c>
      <c r="I529" s="11" t="n">
        <v>12</v>
      </c>
    </row>
    <row r="530" ht="15.75" customHeight="1" s="57">
      <c r="A530" s="39" t="inlineStr">
        <is>
          <t>2026-12-01</t>
        </is>
      </c>
      <c r="B530" s="11" t="inlineStr">
        <is>
          <t>ecom</t>
        </is>
      </c>
      <c r="C530" s="11" t="inlineStr">
        <is>
          <t>Shopee Bulky</t>
        </is>
      </c>
      <c r="D530" s="11" t="inlineStr">
        <is>
          <t>04.15-20kg</t>
        </is>
      </c>
      <c r="E530" s="11" t="inlineStr">
        <is>
          <t>Bình Thuận</t>
        </is>
      </c>
      <c r="F530" s="11" t="n">
        <v>1084.44</v>
      </c>
      <c r="G530" s="11" t="n">
        <v>18324.05</v>
      </c>
      <c r="H530" s="11" t="n">
        <v>0</v>
      </c>
      <c r="I530" s="11" t="n">
        <v>12</v>
      </c>
    </row>
    <row r="531" ht="15.75" customHeight="1" s="57">
      <c r="A531" s="39" t="inlineStr">
        <is>
          <t>2026-12-01</t>
        </is>
      </c>
      <c r="B531" s="11" t="inlineStr">
        <is>
          <t>ecom</t>
        </is>
      </c>
      <c r="C531" s="11" t="inlineStr">
        <is>
          <t>Shopee Bulky</t>
        </is>
      </c>
      <c r="D531" s="11" t="inlineStr">
        <is>
          <t>04.15-20kg</t>
        </is>
      </c>
      <c r="E531" s="11" t="inlineStr">
        <is>
          <t>Khánh Hòa</t>
        </is>
      </c>
      <c r="F531" s="11" t="n">
        <v>642.12</v>
      </c>
      <c r="G531" s="11" t="n">
        <v>10850</v>
      </c>
      <c r="H531" s="11" t="n">
        <v>0</v>
      </c>
      <c r="I531" s="11" t="n">
        <v>12</v>
      </c>
    </row>
    <row r="532" ht="15.75" customHeight="1" s="57">
      <c r="A532" s="39" t="inlineStr">
        <is>
          <t>2026-12-01</t>
        </is>
      </c>
      <c r="B532" s="11" t="inlineStr">
        <is>
          <t>ecom</t>
        </is>
      </c>
      <c r="C532" s="11" t="inlineStr">
        <is>
          <t>Shopee Bulky</t>
        </is>
      </c>
      <c r="D532" s="11" t="inlineStr">
        <is>
          <t>04.15-20kg</t>
        </is>
      </c>
      <c r="E532" s="11" t="inlineStr">
        <is>
          <t>Lâm Đồng</t>
        </is>
      </c>
      <c r="F532" s="11" t="n">
        <v>915.63</v>
      </c>
      <c r="G532" s="11" t="n">
        <v>15471.64</v>
      </c>
      <c r="H532" s="11" t="n">
        <v>0</v>
      </c>
      <c r="I532" s="11" t="n">
        <v>12</v>
      </c>
    </row>
    <row r="533" ht="15.75" customHeight="1" s="57">
      <c r="A533" s="39" t="inlineStr">
        <is>
          <t>2026-12-01</t>
        </is>
      </c>
      <c r="B533" s="11" t="inlineStr">
        <is>
          <t>ecom</t>
        </is>
      </c>
      <c r="C533" s="11" t="inlineStr">
        <is>
          <t>Shopee Bulky</t>
        </is>
      </c>
      <c r="D533" s="11" t="inlineStr">
        <is>
          <t>04.15-20kg</t>
        </is>
      </c>
      <c r="E533" s="11" t="inlineStr">
        <is>
          <t>Ninh Thuận</t>
        </is>
      </c>
      <c r="F533" s="11" t="n">
        <v>292.75</v>
      </c>
      <c r="G533" s="11" t="n">
        <v>4946.59</v>
      </c>
      <c r="H533" s="11" t="n">
        <v>0</v>
      </c>
      <c r="I533" s="11" t="n">
        <v>12</v>
      </c>
    </row>
    <row r="534" ht="15.75" customHeight="1" s="57">
      <c r="A534" s="39" t="inlineStr">
        <is>
          <t>2026-12-01</t>
        </is>
      </c>
      <c r="B534" s="11" t="inlineStr">
        <is>
          <t>ecom</t>
        </is>
      </c>
      <c r="C534" s="11" t="inlineStr">
        <is>
          <t>Shopee Bulky</t>
        </is>
      </c>
      <c r="D534" s="11" t="inlineStr">
        <is>
          <t>04.15-20kg</t>
        </is>
      </c>
      <c r="E534" s="11" t="inlineStr">
        <is>
          <t>Đắk Nông</t>
        </is>
      </c>
      <c r="F534" s="11" t="n">
        <v>120.73</v>
      </c>
      <c r="G534" s="11" t="n">
        <v>2040.02</v>
      </c>
      <c r="H534" s="11" t="n">
        <v>0</v>
      </c>
      <c r="I534" s="11" t="n">
        <v>12</v>
      </c>
    </row>
    <row r="535" ht="15.75" customHeight="1" s="57">
      <c r="A535" s="39" t="inlineStr">
        <is>
          <t>2026-12-01</t>
        </is>
      </c>
      <c r="B535" s="11" t="inlineStr">
        <is>
          <t>ecom</t>
        </is>
      </c>
      <c r="C535" s="11" t="inlineStr">
        <is>
          <t>Shopee Bulky</t>
        </is>
      </c>
      <c r="D535" s="11" t="inlineStr">
        <is>
          <t>05.&gt;=20kg</t>
        </is>
      </c>
      <c r="E535" s="11" t="inlineStr">
        <is>
          <t>Bình Thuận</t>
        </is>
      </c>
      <c r="F535" s="11" t="n">
        <v>2119.74</v>
      </c>
      <c r="G535" s="11" t="n">
        <v>72004.77</v>
      </c>
      <c r="H535" s="11" t="n">
        <v>0</v>
      </c>
      <c r="I535" s="11" t="n">
        <v>12</v>
      </c>
    </row>
    <row r="536" ht="15.75" customHeight="1" s="57">
      <c r="A536" s="39" t="inlineStr">
        <is>
          <t>2026-12-01</t>
        </is>
      </c>
      <c r="B536" s="11" t="inlineStr">
        <is>
          <t>ecom</t>
        </is>
      </c>
      <c r="C536" s="11" t="inlineStr">
        <is>
          <t>Shopee Bulky</t>
        </is>
      </c>
      <c r="D536" s="11" t="inlineStr">
        <is>
          <t>05.&gt;=20kg</t>
        </is>
      </c>
      <c r="E536" s="11" t="inlineStr">
        <is>
          <t>Khánh Hòa</t>
        </is>
      </c>
      <c r="F536" s="11" t="n">
        <v>1080.17</v>
      </c>
      <c r="G536" s="11" t="n">
        <v>36691.95</v>
      </c>
      <c r="H536" s="11" t="n">
        <v>0</v>
      </c>
      <c r="I536" s="11" t="n">
        <v>12</v>
      </c>
    </row>
    <row r="537" ht="15.75" customHeight="1" s="57">
      <c r="A537" s="39" t="inlineStr">
        <is>
          <t>2026-12-01</t>
        </is>
      </c>
      <c r="B537" s="11" t="inlineStr">
        <is>
          <t>ecom</t>
        </is>
      </c>
      <c r="C537" s="11" t="inlineStr">
        <is>
          <t>Shopee Bulky</t>
        </is>
      </c>
      <c r="D537" s="11" t="inlineStr">
        <is>
          <t>05.&gt;=20kg</t>
        </is>
      </c>
      <c r="E537" s="11" t="inlineStr">
        <is>
          <t>Lâm Đồng</t>
        </is>
      </c>
      <c r="F537" s="11" t="n">
        <v>2297.1</v>
      </c>
      <c r="G537" s="11" t="n">
        <v>78029.37</v>
      </c>
      <c r="H537" s="11" t="n">
        <v>0</v>
      </c>
      <c r="I537" s="11" t="n">
        <v>12</v>
      </c>
    </row>
    <row r="538" ht="15.75" customHeight="1" s="57">
      <c r="A538" s="39" t="inlineStr">
        <is>
          <t>2026-12-01</t>
        </is>
      </c>
      <c r="B538" s="11" t="inlineStr">
        <is>
          <t>ecom</t>
        </is>
      </c>
      <c r="C538" s="11" t="inlineStr">
        <is>
          <t>Shopee Bulky</t>
        </is>
      </c>
      <c r="D538" s="11" t="inlineStr">
        <is>
          <t>05.&gt;=20kg</t>
        </is>
      </c>
      <c r="E538" s="11" t="inlineStr">
        <is>
          <t>Ninh Thuận</t>
        </is>
      </c>
      <c r="F538" s="11" t="n">
        <v>449.8</v>
      </c>
      <c r="G538" s="11" t="n">
        <v>15279.24</v>
      </c>
      <c r="H538" s="11" t="n">
        <v>0</v>
      </c>
      <c r="I538" s="11" t="n">
        <v>12</v>
      </c>
    </row>
    <row r="539" ht="15.75" customHeight="1" s="57">
      <c r="A539" s="39" t="inlineStr">
        <is>
          <t>2026-12-01</t>
        </is>
      </c>
      <c r="B539" s="11" t="inlineStr">
        <is>
          <t>ecom</t>
        </is>
      </c>
      <c r="C539" s="11" t="inlineStr">
        <is>
          <t>Shopee Bulky</t>
        </is>
      </c>
      <c r="D539" s="11" t="inlineStr">
        <is>
          <t>05.&gt;=20kg</t>
        </is>
      </c>
      <c r="E539" s="11" t="inlineStr">
        <is>
          <t>Đắk Nông</t>
        </is>
      </c>
      <c r="F539" s="11" t="n">
        <v>289.54</v>
      </c>
      <c r="G539" s="11" t="n">
        <v>9835.33</v>
      </c>
      <c r="H539" s="11" t="n">
        <v>0</v>
      </c>
      <c r="I539" s="11" t="n">
        <v>12</v>
      </c>
    </row>
    <row r="540" ht="15.75" customHeight="1" s="57">
      <c r="A540" s="39" t="inlineStr">
        <is>
          <t>2026-12-01</t>
        </is>
      </c>
      <c r="B540" s="11" t="inlineStr">
        <is>
          <t>ecom</t>
        </is>
      </c>
      <c r="C540" s="11" t="inlineStr">
        <is>
          <t>Shopee Ecom</t>
        </is>
      </c>
      <c r="D540" s="11" t="inlineStr">
        <is>
          <t>01.0-5kg</t>
        </is>
      </c>
      <c r="E540" s="11" t="inlineStr">
        <is>
          <t>Bình Thuận</t>
        </is>
      </c>
      <c r="F540" s="11" t="n">
        <v>11346.91</v>
      </c>
      <c r="G540" s="11" t="n">
        <v>9710.68</v>
      </c>
      <c r="H540" s="11" t="n">
        <v>0</v>
      </c>
      <c r="I540" s="11" t="n">
        <v>12</v>
      </c>
    </row>
    <row r="541" ht="15.75" customHeight="1" s="57">
      <c r="A541" s="39" t="inlineStr">
        <is>
          <t>2026-12-01</t>
        </is>
      </c>
      <c r="B541" s="11" t="inlineStr">
        <is>
          <t>ecom</t>
        </is>
      </c>
      <c r="C541" s="11" t="inlineStr">
        <is>
          <t>Shopee Ecom</t>
        </is>
      </c>
      <c r="D541" s="11" t="inlineStr">
        <is>
          <t>01.0-5kg</t>
        </is>
      </c>
      <c r="E541" s="11" t="inlineStr">
        <is>
          <t>Khánh Hòa</t>
        </is>
      </c>
      <c r="F541" s="11" t="n">
        <v>17274.18</v>
      </c>
      <c r="G541" s="11" t="n">
        <v>14783.25</v>
      </c>
      <c r="H541" s="11" t="n">
        <v>0</v>
      </c>
      <c r="I541" s="11" t="n">
        <v>12</v>
      </c>
    </row>
    <row r="542" ht="15.75" customHeight="1" s="57">
      <c r="A542" s="39" t="inlineStr">
        <is>
          <t>2026-12-01</t>
        </is>
      </c>
      <c r="B542" s="11" t="inlineStr">
        <is>
          <t>ecom</t>
        </is>
      </c>
      <c r="C542" s="11" t="inlineStr">
        <is>
          <t>Shopee Ecom</t>
        </is>
      </c>
      <c r="D542" s="11" t="inlineStr">
        <is>
          <t>01.0-5kg</t>
        </is>
      </c>
      <c r="E542" s="11" t="inlineStr">
        <is>
          <t>Lâm Đồng</t>
        </is>
      </c>
      <c r="F542" s="11" t="n">
        <v>21933.09</v>
      </c>
      <c r="G542" s="11" t="n">
        <v>18770.34</v>
      </c>
      <c r="H542" s="11" t="n">
        <v>0</v>
      </c>
      <c r="I542" s="11" t="n">
        <v>12</v>
      </c>
    </row>
    <row r="543" ht="15.75" customHeight="1" s="57">
      <c r="A543" s="39" t="inlineStr">
        <is>
          <t>2026-12-01</t>
        </is>
      </c>
      <c r="B543" s="11" t="inlineStr">
        <is>
          <t>ecom</t>
        </is>
      </c>
      <c r="C543" s="11" t="inlineStr">
        <is>
          <t>Shopee Ecom</t>
        </is>
      </c>
      <c r="D543" s="11" t="inlineStr">
        <is>
          <t>01.0-5kg</t>
        </is>
      </c>
      <c r="E543" s="11" t="inlineStr">
        <is>
          <t>Ninh Thuận</t>
        </is>
      </c>
      <c r="F543" s="11" t="n">
        <v>7203.53</v>
      </c>
      <c r="G543" s="11" t="n">
        <v>6164.78</v>
      </c>
      <c r="H543" s="11" t="n">
        <v>0</v>
      </c>
      <c r="I543" s="11" t="n">
        <v>12</v>
      </c>
    </row>
    <row r="544" ht="15.75" customHeight="1" s="57">
      <c r="A544" s="39" t="inlineStr">
        <is>
          <t>2026-12-01</t>
        </is>
      </c>
      <c r="B544" s="11" t="inlineStr">
        <is>
          <t>ecom</t>
        </is>
      </c>
      <c r="C544" s="11" t="inlineStr">
        <is>
          <t>Shopee Ecom</t>
        </is>
      </c>
      <c r="D544" s="11" t="inlineStr">
        <is>
          <t>01.0-5kg</t>
        </is>
      </c>
      <c r="E544" s="11" t="inlineStr">
        <is>
          <t>Đắk Nông</t>
        </is>
      </c>
      <c r="F544" s="11" t="n">
        <v>3858.79</v>
      </c>
      <c r="G544" s="11" t="n">
        <v>3302.35</v>
      </c>
      <c r="H544" s="11" t="n">
        <v>0</v>
      </c>
      <c r="I544" s="11" t="n">
        <v>12</v>
      </c>
    </row>
    <row r="545" ht="15.75" customHeight="1" s="57">
      <c r="A545" s="39" t="inlineStr">
        <is>
          <t>2026-12-01</t>
        </is>
      </c>
      <c r="B545" s="11" t="inlineStr">
        <is>
          <t>ecom</t>
        </is>
      </c>
      <c r="C545" s="11" t="inlineStr">
        <is>
          <t>Shopee Ecom</t>
        </is>
      </c>
      <c r="D545" s="11" t="inlineStr">
        <is>
          <t>02.5-10kg</t>
        </is>
      </c>
      <c r="E545" s="11" t="inlineStr">
        <is>
          <t>Bình Thuận</t>
        </is>
      </c>
      <c r="F545" s="11" t="n">
        <v>884.3200000000001</v>
      </c>
      <c r="G545" s="11" t="n">
        <v>6089.31</v>
      </c>
      <c r="H545" s="11" t="n">
        <v>0</v>
      </c>
      <c r="I545" s="11" t="n">
        <v>12</v>
      </c>
    </row>
    <row r="546" ht="15.75" customHeight="1" s="57">
      <c r="A546" s="39" t="inlineStr">
        <is>
          <t>2026-12-01</t>
        </is>
      </c>
      <c r="B546" s="11" t="inlineStr">
        <is>
          <t>ecom</t>
        </is>
      </c>
      <c r="C546" s="11" t="inlineStr">
        <is>
          <t>Shopee Ecom</t>
        </is>
      </c>
      <c r="D546" s="11" t="inlineStr">
        <is>
          <t>02.5-10kg</t>
        </is>
      </c>
      <c r="E546" s="11" t="inlineStr">
        <is>
          <t>Khánh Hòa</t>
        </is>
      </c>
      <c r="F546" s="11" t="n">
        <v>1448.58</v>
      </c>
      <c r="G546" s="11" t="n">
        <v>9974.799999999999</v>
      </c>
      <c r="H546" s="11" t="n">
        <v>0</v>
      </c>
      <c r="I546" s="11" t="n">
        <v>12</v>
      </c>
    </row>
    <row r="547" ht="15.75" customHeight="1" s="57">
      <c r="A547" s="39" t="inlineStr">
        <is>
          <t>2026-12-01</t>
        </is>
      </c>
      <c r="B547" s="11" t="inlineStr">
        <is>
          <t>ecom</t>
        </is>
      </c>
      <c r="C547" s="11" t="inlineStr">
        <is>
          <t>Shopee Ecom</t>
        </is>
      </c>
      <c r="D547" s="11" t="inlineStr">
        <is>
          <t>02.5-10kg</t>
        </is>
      </c>
      <c r="E547" s="11" t="inlineStr">
        <is>
          <t>Lâm Đồng</t>
        </is>
      </c>
      <c r="F547" s="11" t="n">
        <v>1982.82</v>
      </c>
      <c r="G547" s="11" t="n">
        <v>13653.47</v>
      </c>
      <c r="H547" s="11" t="n">
        <v>0</v>
      </c>
      <c r="I547" s="11" t="n">
        <v>12</v>
      </c>
    </row>
    <row r="548" ht="15.75" customHeight="1" s="57">
      <c r="A548" s="39" t="inlineStr">
        <is>
          <t>2026-12-01</t>
        </is>
      </c>
      <c r="B548" s="11" t="inlineStr">
        <is>
          <t>ecom</t>
        </is>
      </c>
      <c r="C548" s="11" t="inlineStr">
        <is>
          <t>Shopee Ecom</t>
        </is>
      </c>
      <c r="D548" s="11" t="inlineStr">
        <is>
          <t>02.5-10kg</t>
        </is>
      </c>
      <c r="E548" s="11" t="inlineStr">
        <is>
          <t>Ninh Thuận</t>
        </is>
      </c>
      <c r="F548" s="11" t="n">
        <v>558.85</v>
      </c>
      <c r="G548" s="11" t="n">
        <v>3848.2</v>
      </c>
      <c r="H548" s="11" t="n">
        <v>0</v>
      </c>
      <c r="I548" s="11" t="n">
        <v>12</v>
      </c>
    </row>
    <row r="549" ht="15.75" customHeight="1" s="57">
      <c r="A549" s="39" t="inlineStr">
        <is>
          <t>2026-12-01</t>
        </is>
      </c>
      <c r="B549" s="11" t="inlineStr">
        <is>
          <t>ecom</t>
        </is>
      </c>
      <c r="C549" s="11" t="inlineStr">
        <is>
          <t>Shopee Ecom</t>
        </is>
      </c>
      <c r="D549" s="11" t="inlineStr">
        <is>
          <t>02.5-10kg</t>
        </is>
      </c>
      <c r="E549" s="11" t="inlineStr">
        <is>
          <t>Đắk Nông</t>
        </is>
      </c>
      <c r="F549" s="11" t="n">
        <v>542.6</v>
      </c>
      <c r="G549" s="11" t="n">
        <v>3736.31</v>
      </c>
      <c r="H549" s="11" t="n">
        <v>0</v>
      </c>
      <c r="I549" s="11" t="n">
        <v>12</v>
      </c>
    </row>
    <row r="550" ht="15.75" customHeight="1" s="57">
      <c r="A550" s="39" t="inlineStr">
        <is>
          <t>2026-12-01</t>
        </is>
      </c>
      <c r="B550" s="11" t="inlineStr">
        <is>
          <t>ecom</t>
        </is>
      </c>
      <c r="C550" s="11" t="inlineStr">
        <is>
          <t>Shopee Ecom</t>
        </is>
      </c>
      <c r="D550" s="11" t="inlineStr">
        <is>
          <t>03.10-15kg</t>
        </is>
      </c>
      <c r="E550" s="11" t="inlineStr">
        <is>
          <t>Bình Thuận</t>
        </is>
      </c>
      <c r="F550" s="11" t="n">
        <v>208.28</v>
      </c>
      <c r="G550" s="11" t="n">
        <v>2179.87</v>
      </c>
      <c r="H550" s="11" t="n">
        <v>0</v>
      </c>
      <c r="I550" s="11" t="n">
        <v>12</v>
      </c>
    </row>
    <row r="551" ht="15.75" customHeight="1" s="57">
      <c r="A551" s="39" t="inlineStr">
        <is>
          <t>2026-12-01</t>
        </is>
      </c>
      <c r="B551" s="11" t="inlineStr">
        <is>
          <t>ecom</t>
        </is>
      </c>
      <c r="C551" s="11" t="inlineStr">
        <is>
          <t>Shopee Ecom</t>
        </is>
      </c>
      <c r="D551" s="11" t="inlineStr">
        <is>
          <t>03.10-15kg</t>
        </is>
      </c>
      <c r="E551" s="11" t="inlineStr">
        <is>
          <t>Khánh Hòa</t>
        </is>
      </c>
      <c r="F551" s="11" t="n">
        <v>231.91</v>
      </c>
      <c r="G551" s="11" t="n">
        <v>2427.23</v>
      </c>
      <c r="H551" s="11" t="n">
        <v>0</v>
      </c>
      <c r="I551" s="11" t="n">
        <v>12</v>
      </c>
    </row>
    <row r="552" ht="15.75" customHeight="1" s="57">
      <c r="A552" s="39" t="inlineStr">
        <is>
          <t>2026-12-01</t>
        </is>
      </c>
      <c r="B552" s="11" t="inlineStr">
        <is>
          <t>ecom</t>
        </is>
      </c>
      <c r="C552" s="11" t="inlineStr">
        <is>
          <t>Shopee Ecom</t>
        </is>
      </c>
      <c r="D552" s="11" t="inlineStr">
        <is>
          <t>03.10-15kg</t>
        </is>
      </c>
      <c r="E552" s="11" t="inlineStr">
        <is>
          <t>Lâm Đồng</t>
        </is>
      </c>
      <c r="F552" s="11" t="n">
        <v>284.1</v>
      </c>
      <c r="G552" s="11" t="n">
        <v>2973.48</v>
      </c>
      <c r="H552" s="11" t="n">
        <v>0</v>
      </c>
      <c r="I552" s="11" t="n">
        <v>12</v>
      </c>
    </row>
    <row r="553" ht="15.75" customHeight="1" s="57">
      <c r="A553" s="39" t="inlineStr">
        <is>
          <t>2026-12-01</t>
        </is>
      </c>
      <c r="B553" s="11" t="inlineStr">
        <is>
          <t>ecom</t>
        </is>
      </c>
      <c r="C553" s="11" t="inlineStr">
        <is>
          <t>Shopee Ecom</t>
        </is>
      </c>
      <c r="D553" s="11" t="inlineStr">
        <is>
          <t>03.10-15kg</t>
        </is>
      </c>
      <c r="E553" s="11" t="inlineStr">
        <is>
          <t>Ninh Thuận</t>
        </is>
      </c>
      <c r="F553" s="11" t="n">
        <v>77.3</v>
      </c>
      <c r="G553" s="11" t="n">
        <v>809.08</v>
      </c>
      <c r="H553" s="11" t="n">
        <v>0</v>
      </c>
      <c r="I553" s="11" t="n">
        <v>12</v>
      </c>
    </row>
    <row r="554" ht="15.75" customHeight="1" s="57">
      <c r="A554" s="39" t="inlineStr">
        <is>
          <t>2026-12-01</t>
        </is>
      </c>
      <c r="B554" s="11" t="inlineStr">
        <is>
          <t>ecom</t>
        </is>
      </c>
      <c r="C554" s="11" t="inlineStr">
        <is>
          <t>Shopee Ecom</t>
        </is>
      </c>
      <c r="D554" s="11" t="inlineStr">
        <is>
          <t>03.10-15kg</t>
        </is>
      </c>
      <c r="E554" s="11" t="inlineStr">
        <is>
          <t>Đắk Nông</t>
        </is>
      </c>
      <c r="F554" s="11" t="n">
        <v>57.12</v>
      </c>
      <c r="G554" s="11" t="n">
        <v>597.79</v>
      </c>
      <c r="H554" s="11" t="n">
        <v>0</v>
      </c>
      <c r="I554" s="11" t="n">
        <v>12</v>
      </c>
    </row>
    <row r="555" ht="15.75" customHeight="1" s="57">
      <c r="A555" s="39" t="inlineStr">
        <is>
          <t>2026-12-01</t>
        </is>
      </c>
      <c r="B555" s="11" t="inlineStr">
        <is>
          <t>ecom</t>
        </is>
      </c>
      <c r="C555" s="11" t="inlineStr">
        <is>
          <t>Shopee Ecom</t>
        </is>
      </c>
      <c r="D555" s="11" t="inlineStr">
        <is>
          <t>04.15-20kg</t>
        </is>
      </c>
      <c r="E555" s="11" t="inlineStr">
        <is>
          <t>Bình Thuận</t>
        </is>
      </c>
      <c r="F555" s="11" t="n">
        <v>178.24</v>
      </c>
      <c r="G555" s="11" t="n">
        <v>3002.64</v>
      </c>
      <c r="H555" s="11" t="n">
        <v>0</v>
      </c>
      <c r="I555" s="11" t="n">
        <v>12</v>
      </c>
    </row>
    <row r="556" ht="15.75" customHeight="1" s="57">
      <c r="A556" s="39" t="inlineStr">
        <is>
          <t>2026-12-01</t>
        </is>
      </c>
      <c r="B556" s="11" t="inlineStr">
        <is>
          <t>ecom</t>
        </is>
      </c>
      <c r="C556" s="11" t="inlineStr">
        <is>
          <t>Shopee Ecom</t>
        </is>
      </c>
      <c r="D556" s="11" t="inlineStr">
        <is>
          <t>04.15-20kg</t>
        </is>
      </c>
      <c r="E556" s="11" t="inlineStr">
        <is>
          <t>Khánh Hòa</t>
        </is>
      </c>
      <c r="F556" s="11" t="n">
        <v>171.35</v>
      </c>
      <c r="G556" s="11" t="n">
        <v>2886.52</v>
      </c>
      <c r="H556" s="11" t="n">
        <v>0</v>
      </c>
      <c r="I556" s="11" t="n">
        <v>12</v>
      </c>
    </row>
    <row r="557" ht="15.75" customHeight="1" s="57">
      <c r="A557" s="39" t="inlineStr">
        <is>
          <t>2026-12-01</t>
        </is>
      </c>
      <c r="B557" s="11" t="inlineStr">
        <is>
          <t>ecom</t>
        </is>
      </c>
      <c r="C557" s="11" t="inlineStr">
        <is>
          <t>Shopee Ecom</t>
        </is>
      </c>
      <c r="D557" s="11" t="inlineStr">
        <is>
          <t>04.15-20kg</t>
        </is>
      </c>
      <c r="E557" s="11" t="inlineStr">
        <is>
          <t>Lâm Đồng</t>
        </is>
      </c>
      <c r="F557" s="11" t="n">
        <v>195.97</v>
      </c>
      <c r="G557" s="11" t="n">
        <v>3301.25</v>
      </c>
      <c r="H557" s="11" t="n">
        <v>0</v>
      </c>
      <c r="I557" s="11" t="n">
        <v>12</v>
      </c>
    </row>
    <row r="558" ht="15.75" customHeight="1" s="57">
      <c r="A558" s="39" t="inlineStr">
        <is>
          <t>2026-12-01</t>
        </is>
      </c>
      <c r="B558" s="11" t="inlineStr">
        <is>
          <t>ecom</t>
        </is>
      </c>
      <c r="C558" s="11" t="inlineStr">
        <is>
          <t>Shopee Ecom</t>
        </is>
      </c>
      <c r="D558" s="11" t="inlineStr">
        <is>
          <t>04.15-20kg</t>
        </is>
      </c>
      <c r="E558" s="11" t="inlineStr">
        <is>
          <t>Ninh Thuận</t>
        </is>
      </c>
      <c r="F558" s="11" t="n">
        <v>52.68</v>
      </c>
      <c r="G558" s="11" t="n">
        <v>887.52</v>
      </c>
      <c r="H558" s="11" t="n">
        <v>0</v>
      </c>
      <c r="I558" s="11" t="n">
        <v>12</v>
      </c>
    </row>
    <row r="559" ht="15.75" customHeight="1" s="57">
      <c r="A559" s="39" t="inlineStr">
        <is>
          <t>2026-12-01</t>
        </is>
      </c>
      <c r="B559" s="11" t="inlineStr">
        <is>
          <t>ecom</t>
        </is>
      </c>
      <c r="C559" s="11" t="inlineStr">
        <is>
          <t>Shopee Ecom</t>
        </is>
      </c>
      <c r="D559" s="11" t="inlineStr">
        <is>
          <t>04.15-20kg</t>
        </is>
      </c>
      <c r="E559" s="11" t="inlineStr">
        <is>
          <t>Đắk Nông</t>
        </is>
      </c>
      <c r="F559" s="11" t="n">
        <v>48.25</v>
      </c>
      <c r="G559" s="11" t="n">
        <v>812.87</v>
      </c>
      <c r="H559" s="11" t="n">
        <v>0</v>
      </c>
      <c r="I559" s="11" t="n">
        <v>12</v>
      </c>
    </row>
    <row r="560" ht="15.75" customHeight="1" s="57">
      <c r="A560" s="39" t="inlineStr">
        <is>
          <t>2026-12-01</t>
        </is>
      </c>
      <c r="B560" s="11" t="inlineStr">
        <is>
          <t>ecom</t>
        </is>
      </c>
      <c r="C560" s="11" t="inlineStr">
        <is>
          <t>Shopee Ecom</t>
        </is>
      </c>
      <c r="D560" s="11" t="inlineStr">
        <is>
          <t>05.&gt;=20kg</t>
        </is>
      </c>
      <c r="E560" s="11" t="inlineStr">
        <is>
          <t>Bình Thuận</t>
        </is>
      </c>
      <c r="F560" s="11" t="n">
        <v>275.73</v>
      </c>
      <c r="G560" s="11" t="n">
        <v>9711.540000000001</v>
      </c>
      <c r="H560" s="11" t="n">
        <v>0</v>
      </c>
      <c r="I560" s="11" t="n">
        <v>12</v>
      </c>
    </row>
    <row r="561" ht="15.75" customHeight="1" s="57">
      <c r="A561" s="39" t="inlineStr">
        <is>
          <t>2026-12-01</t>
        </is>
      </c>
      <c r="B561" s="11" t="inlineStr">
        <is>
          <t>ecom</t>
        </is>
      </c>
      <c r="C561" s="11" t="inlineStr">
        <is>
          <t>Shopee Ecom</t>
        </is>
      </c>
      <c r="D561" s="11" t="inlineStr">
        <is>
          <t>05.&gt;=20kg</t>
        </is>
      </c>
      <c r="E561" s="11" t="inlineStr">
        <is>
          <t>Khánh Hòa</t>
        </is>
      </c>
      <c r="F561" s="11" t="n">
        <v>296.41</v>
      </c>
      <c r="G561" s="11" t="n">
        <v>10439.9</v>
      </c>
      <c r="H561" s="11" t="n">
        <v>0</v>
      </c>
      <c r="I561" s="11" t="n">
        <v>12</v>
      </c>
    </row>
    <row r="562" ht="15.75" customHeight="1" s="57">
      <c r="A562" s="39" t="inlineStr">
        <is>
          <t>2026-12-01</t>
        </is>
      </c>
      <c r="B562" s="11" t="inlineStr">
        <is>
          <t>ecom</t>
        </is>
      </c>
      <c r="C562" s="11" t="inlineStr">
        <is>
          <t>Shopee Ecom</t>
        </is>
      </c>
      <c r="D562" s="11" t="inlineStr">
        <is>
          <t>05.&gt;=20kg</t>
        </is>
      </c>
      <c r="E562" s="11" t="inlineStr">
        <is>
          <t>Lâm Đồng</t>
        </is>
      </c>
      <c r="F562" s="11" t="n">
        <v>320.05</v>
      </c>
      <c r="G562" s="11" t="n">
        <v>11272.32</v>
      </c>
      <c r="H562" s="11" t="n">
        <v>0</v>
      </c>
      <c r="I562" s="11" t="n">
        <v>12</v>
      </c>
    </row>
    <row r="563" ht="15.75" customHeight="1" s="57">
      <c r="A563" s="39" t="inlineStr">
        <is>
          <t>2026-12-01</t>
        </is>
      </c>
      <c r="B563" s="11" t="inlineStr">
        <is>
          <t>ecom</t>
        </is>
      </c>
      <c r="C563" s="11" t="inlineStr">
        <is>
          <t>Shopee Ecom</t>
        </is>
      </c>
      <c r="D563" s="11" t="inlineStr">
        <is>
          <t>05.&gt;=20kg</t>
        </is>
      </c>
      <c r="E563" s="11" t="inlineStr">
        <is>
          <t>Ninh Thuận</t>
        </is>
      </c>
      <c r="F563" s="11" t="n">
        <v>100.45</v>
      </c>
      <c r="G563" s="11" t="n">
        <v>3537.77</v>
      </c>
      <c r="H563" s="11" t="n">
        <v>0</v>
      </c>
      <c r="I563" s="11" t="n">
        <v>12</v>
      </c>
    </row>
    <row r="564" ht="15.75" customHeight="1" s="57">
      <c r="A564" s="39" t="inlineStr">
        <is>
          <t>2026-12-01</t>
        </is>
      </c>
      <c r="B564" s="11" t="inlineStr">
        <is>
          <t>ecom</t>
        </is>
      </c>
      <c r="C564" s="11" t="inlineStr">
        <is>
          <t>Shopee Ecom</t>
        </is>
      </c>
      <c r="D564" s="11" t="inlineStr">
        <is>
          <t>05.&gt;=20kg</t>
        </is>
      </c>
      <c r="E564" s="11" t="inlineStr">
        <is>
          <t>Đắk Nông</t>
        </is>
      </c>
      <c r="F564" s="11" t="n">
        <v>79.27</v>
      </c>
      <c r="G564" s="11" t="n">
        <v>2792.07</v>
      </c>
      <c r="H564" s="11" t="n">
        <v>0</v>
      </c>
      <c r="I564" s="11" t="n">
        <v>12</v>
      </c>
    </row>
    <row r="565" ht="15.75" customHeight="1" s="57">
      <c r="A565" s="39" t="inlineStr">
        <is>
          <t>2026-12-01</t>
        </is>
      </c>
      <c r="B565" s="11" t="inlineStr">
        <is>
          <t>ecom</t>
        </is>
      </c>
      <c r="C565" s="11" t="inlineStr">
        <is>
          <t>TTS</t>
        </is>
      </c>
      <c r="D565" s="11" t="inlineStr">
        <is>
          <t>01.0-5kg</t>
        </is>
      </c>
      <c r="E565" s="11" t="inlineStr">
        <is>
          <t>Bình Thuận</t>
        </is>
      </c>
      <c r="F565" s="11" t="n">
        <v>64836.01</v>
      </c>
      <c r="G565" s="11" t="n">
        <v>49696.8</v>
      </c>
      <c r="H565" s="11" t="n">
        <v>0</v>
      </c>
      <c r="I565" s="11" t="n">
        <v>12</v>
      </c>
    </row>
    <row r="566" ht="15.75" customHeight="1" s="57">
      <c r="A566" s="39" t="inlineStr">
        <is>
          <t>2026-12-01</t>
        </is>
      </c>
      <c r="B566" s="11" t="inlineStr">
        <is>
          <t>ecom</t>
        </is>
      </c>
      <c r="C566" s="11" t="inlineStr">
        <is>
          <t>TTS</t>
        </is>
      </c>
      <c r="D566" s="11" t="inlineStr">
        <is>
          <t>01.0-5kg</t>
        </is>
      </c>
      <c r="E566" s="11" t="inlineStr">
        <is>
          <t>Khánh Hòa</t>
        </is>
      </c>
      <c r="F566" s="11" t="n">
        <v>36992.25</v>
      </c>
      <c r="G566" s="11" t="n">
        <v>28354.56</v>
      </c>
      <c r="H566" s="11" t="n">
        <v>0</v>
      </c>
      <c r="I566" s="11" t="n">
        <v>12</v>
      </c>
    </row>
    <row r="567" ht="15.75" customHeight="1" s="57">
      <c r="A567" s="39" t="inlineStr">
        <is>
          <t>2026-12-01</t>
        </is>
      </c>
      <c r="B567" s="11" t="inlineStr">
        <is>
          <t>ecom</t>
        </is>
      </c>
      <c r="C567" s="11" t="inlineStr">
        <is>
          <t>TTS</t>
        </is>
      </c>
      <c r="D567" s="11" t="inlineStr">
        <is>
          <t>01.0-5kg</t>
        </is>
      </c>
      <c r="E567" s="11" t="inlineStr">
        <is>
          <t>Lâm Đồng</t>
        </is>
      </c>
      <c r="F567" s="11" t="n">
        <v>67651.08</v>
      </c>
      <c r="G567" s="11" t="n">
        <v>51854.55</v>
      </c>
      <c r="H567" s="11" t="n">
        <v>0</v>
      </c>
      <c r="I567" s="11" t="n">
        <v>12</v>
      </c>
    </row>
    <row r="568" ht="15.75" customHeight="1" s="57">
      <c r="A568" s="39" t="inlineStr">
        <is>
          <t>2026-12-01</t>
        </is>
      </c>
      <c r="B568" s="11" t="inlineStr">
        <is>
          <t>ecom</t>
        </is>
      </c>
      <c r="C568" s="11" t="inlineStr">
        <is>
          <t>TTS</t>
        </is>
      </c>
      <c r="D568" s="11" t="inlineStr">
        <is>
          <t>01.0-5kg</t>
        </is>
      </c>
      <c r="E568" s="11" t="inlineStr">
        <is>
          <t>Ninh Thuận</t>
        </is>
      </c>
      <c r="F568" s="11" t="n">
        <v>22590.82</v>
      </c>
      <c r="G568" s="11" t="n">
        <v>17315.87</v>
      </c>
      <c r="H568" s="11" t="n">
        <v>0</v>
      </c>
      <c r="I568" s="11" t="n">
        <v>12</v>
      </c>
    </row>
    <row r="569" ht="15.75" customHeight="1" s="57">
      <c r="A569" s="39" t="inlineStr">
        <is>
          <t>2026-12-01</t>
        </is>
      </c>
      <c r="B569" s="11" t="inlineStr">
        <is>
          <t>ecom</t>
        </is>
      </c>
      <c r="C569" s="11" t="inlineStr">
        <is>
          <t>TTS</t>
        </is>
      </c>
      <c r="D569" s="11" t="inlineStr">
        <is>
          <t>01.0-5kg</t>
        </is>
      </c>
      <c r="E569" s="11" t="inlineStr">
        <is>
          <t>Đắk Nông</t>
        </is>
      </c>
      <c r="F569" s="11" t="n">
        <v>14274.01</v>
      </c>
      <c r="G569" s="11" t="n">
        <v>10941.03</v>
      </c>
      <c r="H569" s="11" t="n">
        <v>0</v>
      </c>
      <c r="I569" s="11" t="n">
        <v>12</v>
      </c>
    </row>
    <row r="570" ht="15.75" customHeight="1" s="57">
      <c r="A570" s="39" t="inlineStr">
        <is>
          <t>2026-12-01</t>
        </is>
      </c>
      <c r="B570" s="11" t="inlineStr">
        <is>
          <t>ecom</t>
        </is>
      </c>
      <c r="C570" s="11" t="inlineStr">
        <is>
          <t>TTS</t>
        </is>
      </c>
      <c r="D570" s="11" t="inlineStr">
        <is>
          <t>02.5-10kg</t>
        </is>
      </c>
      <c r="E570" s="11" t="inlineStr">
        <is>
          <t>Bình Thuận</t>
        </is>
      </c>
      <c r="F570" s="11" t="n">
        <v>1854.98</v>
      </c>
      <c r="G570" s="11" t="n">
        <v>11775.6</v>
      </c>
      <c r="H570" s="11" t="n">
        <v>0</v>
      </c>
      <c r="I570" s="11" t="n">
        <v>12</v>
      </c>
    </row>
    <row r="571" ht="15.75" customHeight="1" s="57">
      <c r="A571" s="39" t="inlineStr">
        <is>
          <t>2026-12-01</t>
        </is>
      </c>
      <c r="B571" s="11" t="inlineStr">
        <is>
          <t>ecom</t>
        </is>
      </c>
      <c r="C571" s="11" t="inlineStr">
        <is>
          <t>TTS</t>
        </is>
      </c>
      <c r="D571" s="11" t="inlineStr">
        <is>
          <t>02.5-10kg</t>
        </is>
      </c>
      <c r="E571" s="11" t="inlineStr">
        <is>
          <t>Khánh Hòa</t>
        </is>
      </c>
      <c r="F571" s="11" t="n">
        <v>1221.94</v>
      </c>
      <c r="G571" s="11" t="n">
        <v>7756.99</v>
      </c>
      <c r="H571" s="11" t="n">
        <v>0</v>
      </c>
      <c r="I571" s="11" t="n">
        <v>12</v>
      </c>
    </row>
    <row r="572" ht="15.75" customHeight="1" s="57">
      <c r="A572" s="39" t="inlineStr">
        <is>
          <t>2026-12-01</t>
        </is>
      </c>
      <c r="B572" s="11" t="inlineStr">
        <is>
          <t>ecom</t>
        </is>
      </c>
      <c r="C572" s="11" t="inlineStr">
        <is>
          <t>TTS</t>
        </is>
      </c>
      <c r="D572" s="11" t="inlineStr">
        <is>
          <t>02.5-10kg</t>
        </is>
      </c>
      <c r="E572" s="11" t="inlineStr">
        <is>
          <t>Lâm Đồng</t>
        </is>
      </c>
      <c r="F572" s="11" t="n">
        <v>2662.58</v>
      </c>
      <c r="G572" s="11" t="n">
        <v>16902.34</v>
      </c>
      <c r="H572" s="11" t="n">
        <v>0</v>
      </c>
      <c r="I572" s="11" t="n">
        <v>12</v>
      </c>
    </row>
    <row r="573" ht="15.75" customHeight="1" s="57">
      <c r="A573" s="39" t="inlineStr">
        <is>
          <t>2026-12-01</t>
        </is>
      </c>
      <c r="B573" s="11" t="inlineStr">
        <is>
          <t>ecom</t>
        </is>
      </c>
      <c r="C573" s="11" t="inlineStr">
        <is>
          <t>TTS</t>
        </is>
      </c>
      <c r="D573" s="11" t="inlineStr">
        <is>
          <t>02.5-10kg</t>
        </is>
      </c>
      <c r="E573" s="11" t="inlineStr">
        <is>
          <t>Ninh Thuận</t>
        </is>
      </c>
      <c r="F573" s="11" t="n">
        <v>1104.56</v>
      </c>
      <c r="G573" s="11" t="n">
        <v>7011.86</v>
      </c>
      <c r="H573" s="11" t="n">
        <v>0</v>
      </c>
      <c r="I573" s="11" t="n">
        <v>12</v>
      </c>
    </row>
    <row r="574" ht="15.75" customHeight="1" s="57">
      <c r="A574" s="39" t="inlineStr">
        <is>
          <t>2026-12-01</t>
        </is>
      </c>
      <c r="B574" s="11" t="inlineStr">
        <is>
          <t>ecom</t>
        </is>
      </c>
      <c r="C574" s="11" t="inlineStr">
        <is>
          <t>TTS</t>
        </is>
      </c>
      <c r="D574" s="11" t="inlineStr">
        <is>
          <t>02.5-10kg</t>
        </is>
      </c>
      <c r="E574" s="11" t="inlineStr">
        <is>
          <t>Đắk Nông</t>
        </is>
      </c>
      <c r="F574" s="11" t="n">
        <v>428.38</v>
      </c>
      <c r="G574" s="11" t="n">
        <v>2719.41</v>
      </c>
      <c r="H574" s="11" t="n">
        <v>0</v>
      </c>
      <c r="I574" s="11" t="n">
        <v>12</v>
      </c>
    </row>
    <row r="575" ht="15.75" customHeight="1" s="57">
      <c r="A575" s="39" t="inlineStr">
        <is>
          <t>2026-12-01</t>
        </is>
      </c>
      <c r="B575" s="11" t="inlineStr">
        <is>
          <t>ecom</t>
        </is>
      </c>
      <c r="C575" s="11" t="inlineStr">
        <is>
          <t>TTS</t>
        </is>
      </c>
      <c r="D575" s="11" t="inlineStr">
        <is>
          <t>03.10-15kg</t>
        </is>
      </c>
      <c r="E575" s="11" t="inlineStr">
        <is>
          <t>Bình Thuận</t>
        </is>
      </c>
      <c r="F575" s="11" t="n">
        <v>658.12</v>
      </c>
      <c r="G575" s="11" t="n">
        <v>7586.43</v>
      </c>
      <c r="H575" s="11" t="n">
        <v>0</v>
      </c>
      <c r="I575" s="11" t="n">
        <v>12</v>
      </c>
    </row>
    <row r="576" ht="15.75" customHeight="1" s="57">
      <c r="A576" s="39" t="inlineStr">
        <is>
          <t>2026-12-01</t>
        </is>
      </c>
      <c r="B576" s="11" t="inlineStr">
        <is>
          <t>ecom</t>
        </is>
      </c>
      <c r="C576" s="11" t="inlineStr">
        <is>
          <t>TTS</t>
        </is>
      </c>
      <c r="D576" s="11" t="inlineStr">
        <is>
          <t>03.10-15kg</t>
        </is>
      </c>
      <c r="E576" s="11" t="inlineStr">
        <is>
          <t>Khánh Hòa</t>
        </is>
      </c>
      <c r="F576" s="11" t="n">
        <v>295.95</v>
      </c>
      <c r="G576" s="11" t="n">
        <v>3411.58</v>
      </c>
      <c r="H576" s="11" t="n">
        <v>0</v>
      </c>
      <c r="I576" s="11" t="n">
        <v>12</v>
      </c>
    </row>
    <row r="577" ht="15.75" customHeight="1" s="57">
      <c r="A577" s="39" t="inlineStr">
        <is>
          <t>2026-12-01</t>
        </is>
      </c>
      <c r="B577" s="11" t="inlineStr">
        <is>
          <t>ecom</t>
        </is>
      </c>
      <c r="C577" s="11" t="inlineStr">
        <is>
          <t>TTS</t>
        </is>
      </c>
      <c r="D577" s="11" t="inlineStr">
        <is>
          <t>03.10-15kg</t>
        </is>
      </c>
      <c r="E577" s="11" t="inlineStr">
        <is>
          <t>Lâm Đồng</t>
        </is>
      </c>
      <c r="F577" s="11" t="n">
        <v>183.59</v>
      </c>
      <c r="G577" s="11" t="n">
        <v>2116.34</v>
      </c>
      <c r="H577" s="11" t="n">
        <v>0</v>
      </c>
      <c r="I577" s="11" t="n">
        <v>12</v>
      </c>
    </row>
    <row r="578" ht="15.75" customHeight="1" s="57">
      <c r="A578" s="39" t="inlineStr">
        <is>
          <t>2026-12-01</t>
        </is>
      </c>
      <c r="B578" s="11" t="inlineStr">
        <is>
          <t>ecom</t>
        </is>
      </c>
      <c r="C578" s="11" t="inlineStr">
        <is>
          <t>TTS</t>
        </is>
      </c>
      <c r="D578" s="11" t="inlineStr">
        <is>
          <t>03.10-15kg</t>
        </is>
      </c>
      <c r="E578" s="11" t="inlineStr">
        <is>
          <t>Ninh Thuận</t>
        </is>
      </c>
      <c r="F578" s="11" t="n">
        <v>166.54</v>
      </c>
      <c r="G578" s="11" t="n">
        <v>1919.74</v>
      </c>
      <c r="H578" s="11" t="n">
        <v>0</v>
      </c>
      <c r="I578" s="11" t="n">
        <v>12</v>
      </c>
    </row>
    <row r="579" ht="15.75" customHeight="1" s="57">
      <c r="A579" s="39" t="inlineStr">
        <is>
          <t>2026-12-01</t>
        </is>
      </c>
      <c r="B579" s="11" t="inlineStr">
        <is>
          <t>ecom</t>
        </is>
      </c>
      <c r="C579" s="11" t="inlineStr">
        <is>
          <t>TTS</t>
        </is>
      </c>
      <c r="D579" s="11" t="inlineStr">
        <is>
          <t>03.10-15kg</t>
        </is>
      </c>
      <c r="E579" s="11" t="inlineStr">
        <is>
          <t>Đắk Nông</t>
        </is>
      </c>
      <c r="F579" s="11" t="n">
        <v>128.41</v>
      </c>
      <c r="G579" s="11" t="n">
        <v>1480.28</v>
      </c>
      <c r="H579" s="11" t="n">
        <v>0</v>
      </c>
      <c r="I579" s="11" t="n">
        <v>12</v>
      </c>
    </row>
    <row r="580" ht="15.75" customHeight="1" s="57">
      <c r="A580" s="39" t="inlineStr">
        <is>
          <t>2026-12-01</t>
        </is>
      </c>
      <c r="B580" s="11" t="inlineStr">
        <is>
          <t>ecom</t>
        </is>
      </c>
      <c r="C580" s="11" t="inlineStr">
        <is>
          <t>TTS</t>
        </is>
      </c>
      <c r="D580" s="11" t="inlineStr">
        <is>
          <t>04.15-20kg</t>
        </is>
      </c>
      <c r="E580" s="11" t="inlineStr">
        <is>
          <t>Bình Thuận</t>
        </is>
      </c>
      <c r="F580" s="11" t="n">
        <v>635.05</v>
      </c>
      <c r="G580" s="11" t="n">
        <v>10503.55</v>
      </c>
      <c r="H580" s="11" t="n">
        <v>0</v>
      </c>
      <c r="I580" s="11" t="n">
        <v>12</v>
      </c>
    </row>
    <row r="581" ht="15.75" customHeight="1" s="57">
      <c r="A581" s="39" t="inlineStr">
        <is>
          <t>2026-12-01</t>
        </is>
      </c>
      <c r="B581" s="11" t="inlineStr">
        <is>
          <t>ecom</t>
        </is>
      </c>
      <c r="C581" s="11" t="inlineStr">
        <is>
          <t>TTS</t>
        </is>
      </c>
      <c r="D581" s="11" t="inlineStr">
        <is>
          <t>04.15-20kg</t>
        </is>
      </c>
      <c r="E581" s="11" t="inlineStr">
        <is>
          <t>Khánh Hòa</t>
        </is>
      </c>
      <c r="F581" s="11" t="n">
        <v>48.16</v>
      </c>
      <c r="G581" s="11" t="n">
        <v>796.48</v>
      </c>
      <c r="H581" s="11" t="n">
        <v>0</v>
      </c>
      <c r="I581" s="11" t="n">
        <v>12</v>
      </c>
    </row>
    <row r="582" ht="15.75" customHeight="1" s="57">
      <c r="A582" s="39" t="inlineStr">
        <is>
          <t>2026-12-01</t>
        </is>
      </c>
      <c r="B582" s="11" t="inlineStr">
        <is>
          <t>ecom</t>
        </is>
      </c>
      <c r="C582" s="11" t="inlineStr">
        <is>
          <t>TTS</t>
        </is>
      </c>
      <c r="D582" s="11" t="inlineStr">
        <is>
          <t>04.15-20kg</t>
        </is>
      </c>
      <c r="E582" s="11" t="inlineStr">
        <is>
          <t>Lâm Đồng</t>
        </is>
      </c>
      <c r="F582" s="11" t="n">
        <v>626.02</v>
      </c>
      <c r="G582" s="11" t="n">
        <v>10354.21</v>
      </c>
      <c r="H582" s="11" t="n">
        <v>0</v>
      </c>
      <c r="I582" s="11" t="n">
        <v>12</v>
      </c>
    </row>
    <row r="583" ht="15.75" customHeight="1" s="57">
      <c r="A583" s="39" t="inlineStr">
        <is>
          <t>2026-12-01</t>
        </is>
      </c>
      <c r="B583" s="11" t="inlineStr">
        <is>
          <t>ecom</t>
        </is>
      </c>
      <c r="C583" s="11" t="inlineStr">
        <is>
          <t>TTS</t>
        </is>
      </c>
      <c r="D583" s="11" t="inlineStr">
        <is>
          <t>04.15-20kg</t>
        </is>
      </c>
      <c r="E583" s="11" t="inlineStr">
        <is>
          <t>Ninh Thuận</t>
        </is>
      </c>
      <c r="F583" s="11" t="n">
        <v>87.28</v>
      </c>
      <c r="G583" s="11" t="n">
        <v>1443.62</v>
      </c>
      <c r="H583" s="11" t="n">
        <v>0</v>
      </c>
      <c r="I583" s="11" t="n">
        <v>12</v>
      </c>
    </row>
    <row r="584" ht="15.75" customHeight="1" s="57">
      <c r="A584" s="39" t="inlineStr">
        <is>
          <t>2026-12-01</t>
        </is>
      </c>
      <c r="B584" s="11" t="inlineStr">
        <is>
          <t>ecom</t>
        </is>
      </c>
      <c r="C584" s="11" t="inlineStr">
        <is>
          <t>TTS</t>
        </is>
      </c>
      <c r="D584" s="11" t="inlineStr">
        <is>
          <t>04.15-20kg</t>
        </is>
      </c>
      <c r="E584" s="11" t="inlineStr">
        <is>
          <t>Đắk Nông</t>
        </is>
      </c>
      <c r="F584" s="11" t="n">
        <v>8.029999999999999</v>
      </c>
      <c r="G584" s="11" t="n">
        <v>132.75</v>
      </c>
      <c r="H584" s="11" t="n">
        <v>0</v>
      </c>
      <c r="I584" s="11" t="n">
        <v>12</v>
      </c>
    </row>
    <row r="585" ht="15.75" customHeight="1" s="57">
      <c r="A585" s="39" t="inlineStr">
        <is>
          <t>2026-12-01</t>
        </is>
      </c>
      <c r="B585" s="11" t="inlineStr">
        <is>
          <t>ecom</t>
        </is>
      </c>
      <c r="C585" s="11" t="inlineStr">
        <is>
          <t>TTS</t>
        </is>
      </c>
      <c r="D585" s="11" t="inlineStr">
        <is>
          <t>05.&gt;=20kg</t>
        </is>
      </c>
      <c r="E585" s="11" t="inlineStr">
        <is>
          <t>Bình Thuận</t>
        </is>
      </c>
      <c r="F585" s="11" t="n">
        <v>142.46</v>
      </c>
      <c r="G585" s="11" t="n">
        <v>5111.77</v>
      </c>
      <c r="H585" s="11" t="n">
        <v>0</v>
      </c>
      <c r="I585" s="11" t="n">
        <v>12</v>
      </c>
    </row>
    <row r="586" ht="15.75" customHeight="1" s="57">
      <c r="A586" s="39" t="inlineStr">
        <is>
          <t>2026-12-01</t>
        </is>
      </c>
      <c r="B586" s="11" t="inlineStr">
        <is>
          <t>ecom</t>
        </is>
      </c>
      <c r="C586" s="11" t="inlineStr">
        <is>
          <t>TTS</t>
        </is>
      </c>
      <c r="D586" s="11" t="inlineStr">
        <is>
          <t>05.&gt;=20kg</t>
        </is>
      </c>
      <c r="E586" s="11" t="inlineStr">
        <is>
          <t>Khánh Hòa</t>
        </is>
      </c>
      <c r="F586" s="11" t="n">
        <v>439.42</v>
      </c>
      <c r="G586" s="11" t="n">
        <v>15767.28</v>
      </c>
      <c r="H586" s="11" t="n">
        <v>0</v>
      </c>
      <c r="I586" s="11" t="n">
        <v>12</v>
      </c>
    </row>
    <row r="587" ht="15.75" customHeight="1" s="57">
      <c r="A587" s="39" t="inlineStr">
        <is>
          <t>2026-12-01</t>
        </is>
      </c>
      <c r="B587" s="11" t="inlineStr">
        <is>
          <t>ecom</t>
        </is>
      </c>
      <c r="C587" s="11" t="inlineStr">
        <is>
          <t>TTS</t>
        </is>
      </c>
      <c r="D587" s="11" t="inlineStr">
        <is>
          <t>05.&gt;=20kg</t>
        </is>
      </c>
      <c r="E587" s="11" t="inlineStr">
        <is>
          <t>Lâm Đồng</t>
        </is>
      </c>
      <c r="F587" s="11" t="n">
        <v>1405.53</v>
      </c>
      <c r="G587" s="11" t="n">
        <v>50433.68</v>
      </c>
      <c r="H587" s="11" t="n">
        <v>0</v>
      </c>
      <c r="I587" s="11" t="n">
        <v>12</v>
      </c>
    </row>
    <row r="588" ht="15.75" customHeight="1" s="57">
      <c r="A588" s="39" t="inlineStr">
        <is>
          <t>2026-12-01</t>
        </is>
      </c>
      <c r="B588" s="11" t="inlineStr">
        <is>
          <t>ecom</t>
        </is>
      </c>
      <c r="C588" s="11" t="inlineStr">
        <is>
          <t>TTS</t>
        </is>
      </c>
      <c r="D588" s="11" t="inlineStr">
        <is>
          <t>05.&gt;=20kg</t>
        </is>
      </c>
      <c r="E588" s="11" t="inlineStr">
        <is>
          <t>Ninh Thuận</t>
        </is>
      </c>
      <c r="F588" s="11" t="n">
        <v>20.06</v>
      </c>
      <c r="G588" s="11" t="n">
        <v>719.97</v>
      </c>
      <c r="H588" s="11" t="n">
        <v>0</v>
      </c>
      <c r="I588" s="11" t="n">
        <v>12</v>
      </c>
    </row>
    <row r="589" ht="15.75" customHeight="1" s="57">
      <c r="A589" s="39" t="inlineStr">
        <is>
          <t>2026-12-01</t>
        </is>
      </c>
      <c r="B589" s="11" t="inlineStr">
        <is>
          <t>ecom</t>
        </is>
      </c>
      <c r="C589" s="11" t="inlineStr">
        <is>
          <t>TTS</t>
        </is>
      </c>
      <c r="D589" s="11" t="inlineStr">
        <is>
          <t>05.&gt;=20kg</t>
        </is>
      </c>
      <c r="E589" s="11" t="inlineStr">
        <is>
          <t>Đắk Nông</t>
        </is>
      </c>
      <c r="F589" s="11" t="n">
        <v>17.05</v>
      </c>
      <c r="G589" s="11" t="n">
        <v>611.97</v>
      </c>
      <c r="H589" s="11" t="n">
        <v>0</v>
      </c>
      <c r="I589" s="11" t="n">
        <v>12</v>
      </c>
    </row>
    <row r="590" ht="15.75" customHeight="1" s="57">
      <c r="A590" s="49" t="n"/>
      <c r="B590" s="49" t="n"/>
      <c r="C590" s="49" t="n"/>
      <c r="D590" s="49" t="n"/>
      <c r="E590" s="49" t="n"/>
      <c r="F590" s="49" t="n"/>
    </row>
    <row r="591" ht="15.75" customHeight="1" s="57">
      <c r="A591" s="49" t="n"/>
      <c r="B591" s="49" t="n"/>
      <c r="C591" s="49" t="n"/>
      <c r="D591" s="49" t="n"/>
      <c r="E591" s="49" t="n"/>
      <c r="F591" s="49" t="n"/>
    </row>
    <row r="592" ht="15.75" customHeight="1" s="57">
      <c r="A592" s="49" t="n"/>
      <c r="B592" s="49" t="n"/>
      <c r="C592" s="49" t="n"/>
      <c r="D592" s="49" t="n"/>
      <c r="E592" s="49" t="n"/>
      <c r="F592" s="49" t="n"/>
    </row>
    <row r="593" ht="15.75" customHeight="1" s="57">
      <c r="A593" s="49" t="n"/>
      <c r="B593" s="49" t="n"/>
      <c r="C593" s="49" t="n"/>
      <c r="D593" s="49" t="n"/>
      <c r="E593" s="49" t="n"/>
      <c r="F593" s="49" t="n"/>
    </row>
    <row r="594" ht="15.75" customHeight="1" s="57">
      <c r="A594" s="49" t="n"/>
      <c r="B594" s="49" t="n"/>
      <c r="C594" s="49" t="n"/>
      <c r="D594" s="49" t="n"/>
      <c r="E594" s="49" t="n"/>
      <c r="F594" s="49" t="n"/>
    </row>
    <row r="595" ht="15.75" customHeight="1" s="57">
      <c r="A595" s="49" t="n"/>
      <c r="B595" s="49" t="n"/>
      <c r="C595" s="49" t="n"/>
      <c r="D595" s="49" t="n"/>
      <c r="E595" s="49" t="n"/>
      <c r="F595" s="49" t="n"/>
    </row>
    <row r="596" ht="15.75" customHeight="1" s="57">
      <c r="A596" s="49" t="n"/>
      <c r="B596" s="49" t="n"/>
      <c r="C596" s="49" t="n"/>
      <c r="D596" s="49" t="n"/>
      <c r="E596" s="49" t="n"/>
      <c r="F596" s="49" t="n"/>
    </row>
    <row r="597" ht="15.75" customHeight="1" s="57">
      <c r="A597" s="49" t="n"/>
      <c r="B597" s="49" t="n"/>
      <c r="C597" s="49" t="n"/>
      <c r="D597" s="49" t="n"/>
      <c r="E597" s="49" t="n"/>
      <c r="F597" s="49" t="n"/>
    </row>
    <row r="598" ht="15.75" customHeight="1" s="57">
      <c r="A598" s="49" t="n"/>
      <c r="B598" s="49" t="n"/>
      <c r="C598" s="49" t="n"/>
      <c r="D598" s="49" t="n"/>
      <c r="E598" s="49" t="n"/>
      <c r="F598" s="49" t="n"/>
    </row>
    <row r="599" ht="15.75" customHeight="1" s="57">
      <c r="A599" s="49" t="n"/>
      <c r="B599" s="49" t="n"/>
      <c r="C599" s="49" t="n"/>
      <c r="D599" s="49" t="n"/>
      <c r="E599" s="49" t="n"/>
      <c r="F599" s="49" t="n"/>
    </row>
    <row r="600" ht="15.75" customHeight="1" s="57">
      <c r="A600" s="49" t="n"/>
      <c r="B600" s="49" t="n"/>
      <c r="C600" s="49" t="n"/>
      <c r="D600" s="49" t="n"/>
      <c r="E600" s="49" t="n"/>
      <c r="F600" s="49" t="n"/>
    </row>
    <row r="601" ht="15.75" customHeight="1" s="57">
      <c r="A601" s="49" t="n"/>
      <c r="B601" s="49" t="n"/>
      <c r="C601" s="49" t="n"/>
      <c r="D601" s="49" t="n"/>
      <c r="E601" s="49" t="n"/>
      <c r="F601" s="49" t="n"/>
    </row>
    <row r="602" ht="15.75" customHeight="1" s="57">
      <c r="A602" s="49" t="n"/>
      <c r="B602" s="49" t="n"/>
      <c r="C602" s="49" t="n"/>
      <c r="D602" s="49" t="n"/>
      <c r="E602" s="49" t="n"/>
      <c r="F602" s="49" t="n"/>
    </row>
    <row r="603" ht="15.75" customHeight="1" s="57">
      <c r="A603" s="49" t="n"/>
      <c r="B603" s="49" t="n"/>
      <c r="C603" s="49" t="n"/>
      <c r="D603" s="49" t="n"/>
      <c r="E603" s="49" t="n"/>
      <c r="F603" s="49" t="n"/>
    </row>
    <row r="604" ht="15.75" customHeight="1" s="57">
      <c r="A604" s="49" t="n"/>
      <c r="B604" s="49" t="n"/>
      <c r="C604" s="49" t="n"/>
      <c r="D604" s="49" t="n"/>
      <c r="E604" s="49" t="n"/>
      <c r="F604" s="49" t="n"/>
    </row>
    <row r="605" ht="15.75" customHeight="1" s="57">
      <c r="A605" s="49" t="n"/>
      <c r="B605" s="49" t="n"/>
      <c r="C605" s="49" t="n"/>
      <c r="D605" s="49" t="n"/>
      <c r="E605" s="49" t="n"/>
      <c r="F605" s="49" t="n"/>
    </row>
    <row r="606" ht="15.75" customHeight="1" s="57">
      <c r="A606" s="49" t="n"/>
      <c r="B606" s="49" t="n"/>
      <c r="C606" s="49" t="n"/>
      <c r="D606" s="49" t="n"/>
      <c r="E606" s="49" t="n"/>
      <c r="F606" s="49" t="n"/>
    </row>
    <row r="607" ht="15.75" customHeight="1" s="57">
      <c r="A607" s="49" t="n"/>
      <c r="B607" s="49" t="n"/>
      <c r="C607" s="49" t="n"/>
      <c r="D607" s="49" t="n"/>
      <c r="E607" s="49" t="n"/>
      <c r="F607" s="49" t="n"/>
    </row>
    <row r="608" ht="15.75" customHeight="1" s="57">
      <c r="A608" s="49" t="n"/>
      <c r="B608" s="49" t="n"/>
      <c r="C608" s="49" t="n"/>
      <c r="D608" s="49" t="n"/>
      <c r="E608" s="49" t="n"/>
      <c r="F608" s="49" t="n"/>
    </row>
    <row r="609" ht="15.75" customHeight="1" s="57">
      <c r="A609" s="49" t="n"/>
      <c r="B609" s="49" t="n"/>
      <c r="C609" s="49" t="n"/>
      <c r="D609" s="49" t="n"/>
      <c r="E609" s="49" t="n"/>
      <c r="F609" s="49" t="n"/>
    </row>
    <row r="610" ht="15.75" customHeight="1" s="57">
      <c r="A610" s="49" t="n"/>
      <c r="B610" s="49" t="n"/>
      <c r="C610" s="49" t="n"/>
      <c r="D610" s="49" t="n"/>
      <c r="E610" s="49" t="n"/>
      <c r="F610" s="49" t="n"/>
    </row>
    <row r="611" ht="15.75" customHeight="1" s="57">
      <c r="A611" s="49" t="n"/>
      <c r="B611" s="49" t="n"/>
      <c r="C611" s="49" t="n"/>
      <c r="D611" s="49" t="n"/>
      <c r="E611" s="49" t="n"/>
      <c r="F611" s="49" t="n"/>
    </row>
    <row r="612" ht="15.75" customHeight="1" s="57">
      <c r="A612" s="49" t="n"/>
      <c r="B612" s="49" t="n"/>
      <c r="C612" s="49" t="n"/>
      <c r="D612" s="49" t="n"/>
      <c r="E612" s="49" t="n"/>
      <c r="F612" s="49" t="n"/>
    </row>
    <row r="613" ht="15.75" customHeight="1" s="57">
      <c r="A613" s="49" t="n"/>
      <c r="B613" s="49" t="n"/>
      <c r="C613" s="49" t="n"/>
      <c r="D613" s="49" t="n"/>
      <c r="E613" s="49" t="n"/>
      <c r="F613" s="49" t="n"/>
    </row>
    <row r="614" ht="15.75" customHeight="1" s="57">
      <c r="A614" s="49" t="n"/>
      <c r="B614" s="49" t="n"/>
      <c r="C614" s="49" t="n"/>
      <c r="D614" s="49" t="n"/>
      <c r="E614" s="49" t="n"/>
      <c r="F614" s="49" t="n"/>
    </row>
    <row r="615" ht="15.75" customHeight="1" s="57">
      <c r="A615" s="49" t="n"/>
      <c r="B615" s="49" t="n"/>
      <c r="C615" s="49" t="n"/>
      <c r="D615" s="49" t="n"/>
      <c r="E615" s="49" t="n"/>
      <c r="F615" s="49" t="n"/>
    </row>
    <row r="616" ht="15.75" customHeight="1" s="57">
      <c r="A616" s="49" t="n"/>
      <c r="B616" s="49" t="n"/>
      <c r="C616" s="49" t="n"/>
      <c r="D616" s="49" t="n"/>
      <c r="E616" s="49" t="n"/>
      <c r="F616" s="49" t="n"/>
    </row>
    <row r="617" ht="15.75" customHeight="1" s="57">
      <c r="A617" s="49" t="n"/>
      <c r="B617" s="49" t="n"/>
      <c r="C617" s="49" t="n"/>
      <c r="D617" s="49" t="n"/>
      <c r="E617" s="49" t="n"/>
      <c r="F617" s="49" t="n"/>
    </row>
    <row r="618" ht="15.75" customHeight="1" s="57">
      <c r="A618" s="49" t="n"/>
      <c r="B618" s="49" t="n"/>
      <c r="C618" s="49" t="n"/>
      <c r="D618" s="49" t="n"/>
      <c r="E618" s="49" t="n"/>
      <c r="F618" s="49" t="n"/>
    </row>
    <row r="619" ht="15.75" customHeight="1" s="57">
      <c r="A619" s="49" t="n"/>
      <c r="B619" s="49" t="n"/>
      <c r="C619" s="49" t="n"/>
      <c r="D619" s="49" t="n"/>
      <c r="E619" s="49" t="n"/>
      <c r="F619" s="49" t="n"/>
    </row>
    <row r="620" ht="15.75" customHeight="1" s="57">
      <c r="A620" s="49" t="n"/>
      <c r="B620" s="49" t="n"/>
      <c r="C620" s="49" t="n"/>
      <c r="D620" s="49" t="n"/>
      <c r="E620" s="49" t="n"/>
      <c r="F620" s="49" t="n"/>
    </row>
    <row r="621" ht="15.75" customHeight="1" s="57">
      <c r="A621" s="49" t="n"/>
      <c r="B621" s="49" t="n"/>
      <c r="C621" s="49" t="n"/>
      <c r="D621" s="49" t="n"/>
      <c r="E621" s="49" t="n"/>
      <c r="F621" s="49" t="n"/>
    </row>
    <row r="622" ht="15.75" customHeight="1" s="57">
      <c r="A622" s="49" t="n"/>
      <c r="B622" s="49" t="n"/>
      <c r="C622" s="49" t="n"/>
      <c r="D622" s="49" t="n"/>
      <c r="E622" s="49" t="n"/>
      <c r="F622" s="49" t="n"/>
    </row>
    <row r="623" ht="15.75" customHeight="1" s="57">
      <c r="A623" s="49" t="n"/>
      <c r="B623" s="49" t="n"/>
      <c r="C623" s="49" t="n"/>
      <c r="D623" s="49" t="n"/>
      <c r="E623" s="49" t="n"/>
      <c r="F623" s="49" t="n"/>
    </row>
    <row r="624" ht="15.75" customHeight="1" s="57">
      <c r="A624" s="49" t="n"/>
      <c r="B624" s="49" t="n"/>
      <c r="C624" s="49" t="n"/>
      <c r="D624" s="49" t="n"/>
      <c r="E624" s="49" t="n"/>
      <c r="F624" s="49" t="n"/>
    </row>
    <row r="625" ht="15.75" customHeight="1" s="57">
      <c r="A625" s="49" t="n"/>
      <c r="B625" s="49" t="n"/>
      <c r="C625" s="49" t="n"/>
      <c r="D625" s="49" t="n"/>
      <c r="E625" s="49" t="n"/>
      <c r="F625" s="49" t="n"/>
    </row>
    <row r="626" ht="15.75" customHeight="1" s="57">
      <c r="A626" s="49" t="n"/>
      <c r="B626" s="49" t="n"/>
      <c r="C626" s="49" t="n"/>
      <c r="D626" s="49" t="n"/>
      <c r="E626" s="49" t="n"/>
      <c r="F626" s="49" t="n"/>
    </row>
    <row r="627" ht="15.75" customHeight="1" s="57">
      <c r="A627" s="49" t="n"/>
      <c r="B627" s="49" t="n"/>
      <c r="C627" s="49" t="n"/>
      <c r="D627" s="49" t="n"/>
      <c r="E627" s="49" t="n"/>
      <c r="F627" s="49" t="n"/>
    </row>
    <row r="628" ht="15.75" customHeight="1" s="57">
      <c r="A628" s="49" t="n"/>
      <c r="B628" s="49" t="n"/>
      <c r="C628" s="49" t="n"/>
      <c r="D628" s="49" t="n"/>
      <c r="E628" s="49" t="n"/>
      <c r="F628" s="49" t="n"/>
    </row>
    <row r="629" ht="15.75" customHeight="1" s="57">
      <c r="A629" s="49" t="n"/>
      <c r="B629" s="49" t="n"/>
      <c r="C629" s="49" t="n"/>
      <c r="D629" s="49" t="n"/>
      <c r="E629" s="49" t="n"/>
      <c r="F629" s="49" t="n"/>
    </row>
    <row r="630" ht="15.75" customHeight="1" s="57">
      <c r="A630" s="49" t="n"/>
      <c r="B630" s="49" t="n"/>
      <c r="C630" s="49" t="n"/>
      <c r="D630" s="49" t="n"/>
      <c r="E630" s="49" t="n"/>
      <c r="F630" s="49" t="n"/>
    </row>
    <row r="631" ht="15.75" customHeight="1" s="57">
      <c r="A631" s="49" t="n"/>
      <c r="B631" s="49" t="n"/>
      <c r="C631" s="49" t="n"/>
      <c r="D631" s="49" t="n"/>
      <c r="E631" s="49" t="n"/>
      <c r="F631" s="49" t="n"/>
    </row>
    <row r="632" ht="15.75" customHeight="1" s="57">
      <c r="A632" s="49" t="n"/>
      <c r="B632" s="49" t="n"/>
      <c r="C632" s="49" t="n"/>
      <c r="D632" s="49" t="n"/>
      <c r="E632" s="49" t="n"/>
      <c r="F632" s="49" t="n"/>
    </row>
    <row r="633" ht="15.75" customHeight="1" s="57">
      <c r="A633" s="49" t="n"/>
      <c r="B633" s="49" t="n"/>
      <c r="C633" s="49" t="n"/>
      <c r="D633" s="49" t="n"/>
      <c r="E633" s="49" t="n"/>
      <c r="F633" s="49" t="n"/>
    </row>
    <row r="634" ht="15.75" customHeight="1" s="57">
      <c r="A634" s="49" t="n"/>
      <c r="B634" s="49" t="n"/>
      <c r="C634" s="49" t="n"/>
      <c r="D634" s="49" t="n"/>
      <c r="E634" s="49" t="n"/>
      <c r="F634" s="49" t="n"/>
    </row>
    <row r="635" ht="15.75" customHeight="1" s="57">
      <c r="A635" s="49" t="n"/>
      <c r="B635" s="49" t="n"/>
      <c r="C635" s="49" t="n"/>
      <c r="D635" s="49" t="n"/>
      <c r="E635" s="49" t="n"/>
      <c r="F635" s="49" t="n"/>
    </row>
    <row r="636" ht="15.75" customHeight="1" s="57">
      <c r="A636" s="49" t="n"/>
      <c r="B636" s="49" t="n"/>
      <c r="C636" s="49" t="n"/>
      <c r="D636" s="49" t="n"/>
      <c r="E636" s="49" t="n"/>
      <c r="F636" s="49" t="n"/>
    </row>
    <row r="637" ht="15.75" customHeight="1" s="57">
      <c r="A637" s="49" t="n"/>
      <c r="B637" s="49" t="n"/>
      <c r="C637" s="49" t="n"/>
      <c r="D637" s="49" t="n"/>
      <c r="E637" s="49" t="n"/>
      <c r="F637" s="49" t="n"/>
    </row>
    <row r="638" ht="15.75" customHeight="1" s="57">
      <c r="A638" s="49" t="n"/>
      <c r="B638" s="49" t="n"/>
      <c r="C638" s="49" t="n"/>
      <c r="D638" s="49" t="n"/>
      <c r="E638" s="49" t="n"/>
      <c r="F638" s="49" t="n"/>
    </row>
    <row r="639" ht="15.75" customHeight="1" s="57">
      <c r="A639" s="49" t="n"/>
      <c r="B639" s="49" t="n"/>
      <c r="C639" s="49" t="n"/>
      <c r="D639" s="49" t="n"/>
      <c r="E639" s="49" t="n"/>
      <c r="F639" s="49" t="n"/>
    </row>
    <row r="640" ht="15.75" customHeight="1" s="57">
      <c r="A640" s="49" t="n"/>
      <c r="B640" s="49" t="n"/>
      <c r="C640" s="49" t="n"/>
      <c r="D640" s="49" t="n"/>
      <c r="E640" s="49" t="n"/>
      <c r="F640" s="49" t="n"/>
    </row>
    <row r="641" ht="15.75" customHeight="1" s="57">
      <c r="A641" s="49" t="n"/>
      <c r="B641" s="49" t="n"/>
      <c r="C641" s="49" t="n"/>
      <c r="D641" s="49" t="n"/>
      <c r="E641" s="49" t="n"/>
      <c r="F641" s="49" t="n"/>
    </row>
    <row r="642" ht="15.75" customHeight="1" s="57">
      <c r="A642" s="49" t="n"/>
      <c r="B642" s="49" t="n"/>
      <c r="C642" s="49" t="n"/>
      <c r="D642" s="49" t="n"/>
      <c r="E642" s="49" t="n"/>
      <c r="F642" s="49" t="n"/>
    </row>
    <row r="643" ht="15.75" customHeight="1" s="57">
      <c r="A643" s="49" t="n"/>
      <c r="B643" s="49" t="n"/>
      <c r="C643" s="49" t="n"/>
      <c r="D643" s="49" t="n"/>
      <c r="E643" s="49" t="n"/>
      <c r="F643" s="49" t="n"/>
    </row>
    <row r="644" ht="15.75" customHeight="1" s="57">
      <c r="A644" s="49" t="n"/>
      <c r="B644" s="49" t="n"/>
      <c r="C644" s="49" t="n"/>
      <c r="D644" s="49" t="n"/>
      <c r="E644" s="49" t="n"/>
      <c r="F644" s="49" t="n"/>
    </row>
    <row r="645" ht="15.75" customHeight="1" s="57">
      <c r="A645" s="49" t="n"/>
      <c r="B645" s="49" t="n"/>
      <c r="C645" s="49" t="n"/>
      <c r="D645" s="49" t="n"/>
      <c r="E645" s="49" t="n"/>
      <c r="F645" s="49" t="n"/>
    </row>
    <row r="646" ht="15.75" customHeight="1" s="57">
      <c r="A646" s="49" t="n"/>
      <c r="B646" s="49" t="n"/>
      <c r="C646" s="49" t="n"/>
      <c r="D646" s="49" t="n"/>
      <c r="E646" s="49" t="n"/>
      <c r="F646" s="49" t="n"/>
    </row>
    <row r="647" ht="15.75" customHeight="1" s="57">
      <c r="A647" s="49" t="n"/>
      <c r="B647" s="49" t="n"/>
      <c r="C647" s="49" t="n"/>
      <c r="D647" s="49" t="n"/>
      <c r="E647" s="49" t="n"/>
      <c r="F647" s="49" t="n"/>
    </row>
    <row r="648" ht="15.75" customHeight="1" s="57">
      <c r="A648" s="49" t="n"/>
      <c r="B648" s="49" t="n"/>
      <c r="C648" s="49" t="n"/>
      <c r="D648" s="49" t="n"/>
      <c r="E648" s="49" t="n"/>
      <c r="F648" s="49" t="n"/>
    </row>
    <row r="649" ht="15.75" customHeight="1" s="57">
      <c r="A649" s="49" t="n"/>
      <c r="B649" s="49" t="n"/>
      <c r="C649" s="49" t="n"/>
      <c r="D649" s="49" t="n"/>
      <c r="E649" s="49" t="n"/>
      <c r="F649" s="49" t="n"/>
    </row>
    <row r="650" ht="15.75" customHeight="1" s="57">
      <c r="A650" s="49" t="n"/>
      <c r="B650" s="49" t="n"/>
      <c r="C650" s="49" t="n"/>
      <c r="D650" s="49" t="n"/>
      <c r="E650" s="49" t="n"/>
      <c r="F650" s="49" t="n"/>
    </row>
    <row r="651" ht="15.75" customHeight="1" s="57">
      <c r="A651" s="49" t="n"/>
      <c r="B651" s="49" t="n"/>
      <c r="C651" s="49" t="n"/>
      <c r="D651" s="49" t="n"/>
      <c r="E651" s="49" t="n"/>
      <c r="F651" s="49" t="n"/>
    </row>
    <row r="652" ht="15.75" customHeight="1" s="57">
      <c r="A652" s="49" t="n"/>
      <c r="B652" s="49" t="n"/>
      <c r="C652" s="49" t="n"/>
      <c r="D652" s="49" t="n"/>
      <c r="E652" s="49" t="n"/>
      <c r="F652" s="49" t="n"/>
    </row>
    <row r="653" ht="15.75" customHeight="1" s="57">
      <c r="A653" s="49" t="n"/>
      <c r="B653" s="49" t="n"/>
      <c r="C653" s="49" t="n"/>
      <c r="D653" s="49" t="n"/>
      <c r="E653" s="49" t="n"/>
      <c r="F653" s="49" t="n"/>
    </row>
    <row r="654" ht="15.75" customHeight="1" s="57">
      <c r="A654" s="49" t="n"/>
      <c r="B654" s="49" t="n"/>
      <c r="C654" s="49" t="n"/>
      <c r="D654" s="49" t="n"/>
      <c r="E654" s="49" t="n"/>
      <c r="F654" s="49" t="n"/>
    </row>
    <row r="655" ht="15.75" customHeight="1" s="57">
      <c r="A655" s="49" t="n"/>
      <c r="B655" s="49" t="n"/>
      <c r="C655" s="49" t="n"/>
      <c r="D655" s="49" t="n"/>
      <c r="E655" s="49" t="n"/>
      <c r="F655" s="49" t="n"/>
    </row>
    <row r="656" ht="15.75" customHeight="1" s="57">
      <c r="A656" s="49" t="n"/>
      <c r="B656" s="49" t="n"/>
      <c r="C656" s="49" t="n"/>
      <c r="D656" s="49" t="n"/>
      <c r="E656" s="49" t="n"/>
      <c r="F656" s="49" t="n"/>
    </row>
    <row r="657" ht="15.75" customHeight="1" s="57">
      <c r="A657" s="49" t="n"/>
      <c r="B657" s="49" t="n"/>
      <c r="C657" s="49" t="n"/>
      <c r="D657" s="49" t="n"/>
      <c r="E657" s="49" t="n"/>
      <c r="F657" s="49" t="n"/>
    </row>
    <row r="658" ht="15.75" customHeight="1" s="57">
      <c r="A658" s="49" t="n"/>
      <c r="B658" s="49" t="n"/>
      <c r="C658" s="49" t="n"/>
      <c r="D658" s="49" t="n"/>
      <c r="E658" s="49" t="n"/>
      <c r="F658" s="49" t="n"/>
    </row>
    <row r="659" ht="15.75" customHeight="1" s="57">
      <c r="A659" s="49" t="n"/>
      <c r="B659" s="49" t="n"/>
      <c r="C659" s="49" t="n"/>
      <c r="D659" s="49" t="n"/>
      <c r="E659" s="49" t="n"/>
      <c r="F659" s="49" t="n"/>
    </row>
    <row r="660" ht="15.75" customHeight="1" s="57">
      <c r="A660" s="49" t="n"/>
      <c r="B660" s="49" t="n"/>
      <c r="C660" s="49" t="n"/>
      <c r="D660" s="49" t="n"/>
      <c r="E660" s="49" t="n"/>
      <c r="F660" s="49" t="n"/>
    </row>
    <row r="661" ht="15.75" customHeight="1" s="57">
      <c r="A661" s="49" t="n"/>
      <c r="B661" s="49" t="n"/>
      <c r="C661" s="49" t="n"/>
      <c r="D661" s="49" t="n"/>
      <c r="E661" s="49" t="n"/>
      <c r="F661" s="49" t="n"/>
    </row>
    <row r="662" ht="15.75" customHeight="1" s="57">
      <c r="A662" s="49" t="n"/>
      <c r="B662" s="49" t="n"/>
      <c r="C662" s="49" t="n"/>
      <c r="D662" s="49" t="n"/>
      <c r="E662" s="49" t="n"/>
      <c r="F662" s="49" t="n"/>
    </row>
    <row r="663" ht="15.75" customHeight="1" s="57">
      <c r="A663" s="49" t="n"/>
      <c r="B663" s="49" t="n"/>
      <c r="C663" s="49" t="n"/>
      <c r="D663" s="49" t="n"/>
      <c r="E663" s="49" t="n"/>
      <c r="F663" s="49" t="n"/>
    </row>
    <row r="664" ht="15.75" customHeight="1" s="57">
      <c r="A664" s="49" t="n"/>
      <c r="B664" s="49" t="n"/>
      <c r="C664" s="49" t="n"/>
      <c r="D664" s="49" t="n"/>
      <c r="E664" s="49" t="n"/>
      <c r="F664" s="49" t="n"/>
    </row>
    <row r="665" ht="15.75" customHeight="1" s="57">
      <c r="A665" s="49" t="n"/>
      <c r="B665" s="49" t="n"/>
      <c r="C665" s="49" t="n"/>
      <c r="D665" s="49" t="n"/>
      <c r="E665" s="49" t="n"/>
      <c r="F665" s="49" t="n"/>
    </row>
    <row r="666" ht="15.75" customHeight="1" s="57">
      <c r="A666" s="49" t="n"/>
      <c r="B666" s="49" t="n"/>
      <c r="C666" s="49" t="n"/>
      <c r="D666" s="49" t="n"/>
      <c r="E666" s="49" t="n"/>
      <c r="F666" s="49" t="n"/>
    </row>
    <row r="667" ht="15.75" customHeight="1" s="57">
      <c r="A667" s="49" t="n"/>
      <c r="B667" s="49" t="n"/>
      <c r="C667" s="49" t="n"/>
      <c r="D667" s="49" t="n"/>
      <c r="E667" s="49" t="n"/>
      <c r="F667" s="49" t="n"/>
    </row>
    <row r="668" ht="15.75" customHeight="1" s="57">
      <c r="A668" s="49" t="n"/>
      <c r="B668" s="49" t="n"/>
      <c r="C668" s="49" t="n"/>
      <c r="D668" s="49" t="n"/>
      <c r="E668" s="49" t="n"/>
      <c r="F668" s="49" t="n"/>
    </row>
    <row r="669" ht="15.75" customHeight="1" s="57">
      <c r="A669" s="49" t="n"/>
      <c r="B669" s="49" t="n"/>
      <c r="C669" s="49" t="n"/>
      <c r="D669" s="49" t="n"/>
      <c r="E669" s="49" t="n"/>
      <c r="F669" s="49" t="n"/>
    </row>
    <row r="670" ht="15.75" customHeight="1" s="57">
      <c r="A670" s="49" t="n"/>
      <c r="B670" s="49" t="n"/>
      <c r="C670" s="49" t="n"/>
      <c r="D670" s="49" t="n"/>
      <c r="E670" s="49" t="n"/>
      <c r="F670" s="49" t="n"/>
    </row>
    <row r="671" ht="15.75" customHeight="1" s="57">
      <c r="A671" s="49" t="n"/>
      <c r="B671" s="49" t="n"/>
      <c r="C671" s="49" t="n"/>
      <c r="D671" s="49" t="n"/>
      <c r="E671" s="49" t="n"/>
      <c r="F671" s="49" t="n"/>
    </row>
    <row r="672" ht="15.75" customHeight="1" s="57">
      <c r="A672" s="49" t="n"/>
      <c r="B672" s="49" t="n"/>
      <c r="C672" s="49" t="n"/>
      <c r="D672" s="49" t="n"/>
      <c r="E672" s="49" t="n"/>
      <c r="F672" s="49" t="n"/>
    </row>
    <row r="673" ht="15.75" customHeight="1" s="57">
      <c r="A673" s="49" t="n"/>
      <c r="B673" s="49" t="n"/>
      <c r="C673" s="49" t="n"/>
      <c r="D673" s="49" t="n"/>
      <c r="E673" s="49" t="n"/>
      <c r="F673" s="49" t="n"/>
    </row>
    <row r="674" ht="15.75" customHeight="1" s="57">
      <c r="A674" s="49" t="n"/>
      <c r="B674" s="49" t="n"/>
      <c r="C674" s="49" t="n"/>
      <c r="D674" s="49" t="n"/>
      <c r="E674" s="49" t="n"/>
      <c r="F674" s="49" t="n"/>
    </row>
    <row r="675" ht="15.75" customHeight="1" s="57">
      <c r="A675" s="49" t="n"/>
      <c r="B675" s="49" t="n"/>
      <c r="C675" s="49" t="n"/>
      <c r="D675" s="49" t="n"/>
      <c r="E675" s="49" t="n"/>
      <c r="F675" s="49" t="n"/>
    </row>
    <row r="676" ht="15.75" customHeight="1" s="57">
      <c r="A676" s="49" t="n"/>
      <c r="B676" s="49" t="n"/>
      <c r="C676" s="49" t="n"/>
      <c r="D676" s="49" t="n"/>
      <c r="E676" s="49" t="n"/>
      <c r="F676" s="49" t="n"/>
    </row>
    <row r="677" ht="15.75" customHeight="1" s="57">
      <c r="A677" s="49" t="n"/>
      <c r="B677" s="49" t="n"/>
      <c r="C677" s="49" t="n"/>
      <c r="D677" s="49" t="n"/>
      <c r="E677" s="49" t="n"/>
      <c r="F677" s="49" t="n"/>
    </row>
    <row r="678" ht="15.75" customHeight="1" s="57">
      <c r="A678" s="49" t="n"/>
      <c r="B678" s="49" t="n"/>
      <c r="C678" s="49" t="n"/>
      <c r="D678" s="49" t="n"/>
      <c r="E678" s="49" t="n"/>
      <c r="F678" s="49" t="n"/>
    </row>
    <row r="679" ht="15.75" customHeight="1" s="57">
      <c r="A679" s="49" t="n"/>
      <c r="B679" s="49" t="n"/>
      <c r="C679" s="49" t="n"/>
      <c r="D679" s="49" t="n"/>
      <c r="E679" s="49" t="n"/>
      <c r="F679" s="49" t="n"/>
    </row>
    <row r="680" ht="15.75" customHeight="1" s="57">
      <c r="A680" s="49" t="n"/>
      <c r="B680" s="49" t="n"/>
      <c r="C680" s="49" t="n"/>
      <c r="D680" s="49" t="n"/>
      <c r="E680" s="49" t="n"/>
      <c r="F680" s="49" t="n"/>
    </row>
    <row r="681" ht="15.75" customHeight="1" s="57">
      <c r="A681" s="49" t="n"/>
      <c r="B681" s="49" t="n"/>
      <c r="C681" s="49" t="n"/>
      <c r="D681" s="49" t="n"/>
      <c r="E681" s="49" t="n"/>
      <c r="F681" s="49" t="n"/>
    </row>
    <row r="682" ht="15.75" customHeight="1" s="57">
      <c r="A682" s="49" t="n"/>
      <c r="B682" s="49" t="n"/>
      <c r="C682" s="49" t="n"/>
      <c r="D682" s="49" t="n"/>
      <c r="E682" s="49" t="n"/>
      <c r="F682" s="49" t="n"/>
    </row>
    <row r="683" ht="15.75" customHeight="1" s="57">
      <c r="A683" s="49" t="n"/>
      <c r="B683" s="49" t="n"/>
      <c r="C683" s="49" t="n"/>
      <c r="D683" s="49" t="n"/>
      <c r="E683" s="49" t="n"/>
      <c r="F683" s="49" t="n"/>
    </row>
    <row r="684" ht="15.75" customHeight="1" s="57">
      <c r="A684" s="49" t="n"/>
      <c r="B684" s="49" t="n"/>
      <c r="C684" s="49" t="n"/>
      <c r="D684" s="49" t="n"/>
      <c r="E684" s="49" t="n"/>
      <c r="F684" s="49" t="n"/>
    </row>
    <row r="685" ht="15.75" customHeight="1" s="57">
      <c r="A685" s="49" t="n"/>
      <c r="B685" s="49" t="n"/>
      <c r="C685" s="49" t="n"/>
      <c r="D685" s="49" t="n"/>
      <c r="E685" s="49" t="n"/>
      <c r="F685" s="49" t="n"/>
    </row>
    <row r="686" ht="15.75" customHeight="1" s="57">
      <c r="A686" s="49" t="n"/>
      <c r="B686" s="49" t="n"/>
      <c r="C686" s="49" t="n"/>
      <c r="D686" s="49" t="n"/>
      <c r="E686" s="49" t="n"/>
      <c r="F686" s="49" t="n"/>
    </row>
    <row r="687" ht="15.75" customHeight="1" s="57">
      <c r="A687" s="49" t="n"/>
      <c r="B687" s="49" t="n"/>
      <c r="C687" s="49" t="n"/>
      <c r="D687" s="49" t="n"/>
      <c r="E687" s="49" t="n"/>
      <c r="F687" s="49" t="n"/>
    </row>
    <row r="688" ht="15.75" customHeight="1" s="57">
      <c r="A688" s="49" t="n"/>
      <c r="B688" s="49" t="n"/>
      <c r="C688" s="49" t="n"/>
      <c r="D688" s="49" t="n"/>
      <c r="E688" s="49" t="n"/>
      <c r="F688" s="49" t="n"/>
    </row>
    <row r="689" ht="15.75" customHeight="1" s="57">
      <c r="A689" s="49" t="n"/>
      <c r="B689" s="49" t="n"/>
      <c r="C689" s="49" t="n"/>
      <c r="D689" s="49" t="n"/>
      <c r="E689" s="49" t="n"/>
      <c r="F689" s="49" t="n"/>
    </row>
    <row r="690" ht="15.75" customHeight="1" s="57">
      <c r="A690" s="49" t="n"/>
      <c r="B690" s="49" t="n"/>
      <c r="C690" s="49" t="n"/>
      <c r="D690" s="49" t="n"/>
      <c r="E690" s="49" t="n"/>
      <c r="F690" s="49" t="n"/>
    </row>
    <row r="691" ht="15.75" customHeight="1" s="57">
      <c r="A691" s="49" t="n"/>
      <c r="B691" s="49" t="n"/>
      <c r="C691" s="49" t="n"/>
      <c r="D691" s="49" t="n"/>
      <c r="E691" s="49" t="n"/>
      <c r="F691" s="49" t="n"/>
    </row>
    <row r="692" ht="15.75" customHeight="1" s="57">
      <c r="A692" s="49" t="n"/>
      <c r="B692" s="49" t="n"/>
      <c r="C692" s="49" t="n"/>
      <c r="D692" s="49" t="n"/>
      <c r="E692" s="49" t="n"/>
      <c r="F692" s="49" t="n"/>
    </row>
    <row r="693" ht="15.75" customHeight="1" s="57">
      <c r="A693" s="49" t="n"/>
      <c r="B693" s="49" t="n"/>
      <c r="C693" s="49" t="n"/>
      <c r="D693" s="49" t="n"/>
      <c r="E693" s="49" t="n"/>
      <c r="F693" s="49" t="n"/>
    </row>
    <row r="694" ht="15.75" customHeight="1" s="57">
      <c r="A694" s="49" t="n"/>
      <c r="B694" s="49" t="n"/>
      <c r="C694" s="49" t="n"/>
      <c r="D694" s="49" t="n"/>
      <c r="E694" s="49" t="n"/>
      <c r="F694" s="49" t="n"/>
    </row>
    <row r="695" ht="15.75" customHeight="1" s="57">
      <c r="A695" s="49" t="n"/>
      <c r="B695" s="49" t="n"/>
      <c r="C695" s="49" t="n"/>
      <c r="D695" s="49" t="n"/>
      <c r="E695" s="49" t="n"/>
      <c r="F695" s="49" t="n"/>
    </row>
    <row r="696" ht="15.75" customHeight="1" s="57">
      <c r="A696" s="49" t="n"/>
      <c r="B696" s="49" t="n"/>
      <c r="C696" s="49" t="n"/>
      <c r="D696" s="49" t="n"/>
      <c r="E696" s="49" t="n"/>
      <c r="F696" s="49" t="n"/>
    </row>
    <row r="697" ht="15.75" customHeight="1" s="57">
      <c r="A697" s="49" t="n"/>
      <c r="B697" s="49" t="n"/>
      <c r="C697" s="49" t="n"/>
      <c r="D697" s="49" t="n"/>
      <c r="E697" s="49" t="n"/>
      <c r="F697" s="49" t="n"/>
    </row>
    <row r="698" ht="15.75" customHeight="1" s="57">
      <c r="A698" s="49" t="n"/>
      <c r="B698" s="49" t="n"/>
      <c r="C698" s="49" t="n"/>
      <c r="D698" s="49" t="n"/>
      <c r="E698" s="49" t="n"/>
      <c r="F698" s="49" t="n"/>
    </row>
    <row r="699" ht="15.75" customHeight="1" s="57">
      <c r="A699" s="49" t="n"/>
      <c r="B699" s="49" t="n"/>
      <c r="C699" s="49" t="n"/>
      <c r="D699" s="49" t="n"/>
      <c r="E699" s="49" t="n"/>
      <c r="F699" s="49" t="n"/>
    </row>
    <row r="700" ht="15.75" customHeight="1" s="57">
      <c r="A700" s="49" t="n"/>
      <c r="B700" s="49" t="n"/>
      <c r="C700" s="49" t="n"/>
      <c r="D700" s="49" t="n"/>
      <c r="E700" s="49" t="n"/>
      <c r="F700" s="49" t="n"/>
    </row>
    <row r="701" ht="15.75" customHeight="1" s="57">
      <c r="A701" s="49" t="n"/>
      <c r="B701" s="49" t="n"/>
      <c r="C701" s="49" t="n"/>
      <c r="D701" s="49" t="n"/>
      <c r="E701" s="49" t="n"/>
      <c r="F701" s="49" t="n"/>
    </row>
    <row r="702" ht="15.75" customHeight="1" s="57">
      <c r="A702" s="49" t="n"/>
      <c r="B702" s="49" t="n"/>
      <c r="C702" s="49" t="n"/>
      <c r="D702" s="49" t="n"/>
      <c r="E702" s="49" t="n"/>
      <c r="F702" s="49" t="n"/>
    </row>
    <row r="703" ht="15.75" customHeight="1" s="57">
      <c r="A703" s="49" t="n"/>
      <c r="B703" s="49" t="n"/>
      <c r="C703" s="49" t="n"/>
      <c r="D703" s="49" t="n"/>
      <c r="E703" s="49" t="n"/>
      <c r="F703" s="49" t="n"/>
    </row>
    <row r="704" ht="15.75" customHeight="1" s="57">
      <c r="A704" s="49" t="n"/>
      <c r="B704" s="49" t="n"/>
      <c r="C704" s="49" t="n"/>
      <c r="D704" s="49" t="n"/>
      <c r="E704" s="49" t="n"/>
      <c r="F704" s="49" t="n"/>
    </row>
    <row r="705" ht="15.75" customHeight="1" s="57">
      <c r="A705" s="49" t="n"/>
      <c r="B705" s="49" t="n"/>
      <c r="C705" s="49" t="n"/>
      <c r="D705" s="49" t="n"/>
      <c r="E705" s="49" t="n"/>
      <c r="F705" s="49" t="n"/>
    </row>
    <row r="706" ht="15.75" customHeight="1" s="57">
      <c r="A706" s="49" t="n"/>
      <c r="B706" s="49" t="n"/>
      <c r="C706" s="49" t="n"/>
      <c r="D706" s="49" t="n"/>
      <c r="E706" s="49" t="n"/>
      <c r="F706" s="49" t="n"/>
    </row>
    <row r="707" ht="15.75" customHeight="1" s="57">
      <c r="A707" s="49" t="n"/>
      <c r="B707" s="49" t="n"/>
      <c r="C707" s="49" t="n"/>
      <c r="D707" s="49" t="n"/>
      <c r="E707" s="49" t="n"/>
      <c r="F707" s="49" t="n"/>
    </row>
    <row r="708" ht="15.75" customHeight="1" s="57">
      <c r="A708" s="49" t="n"/>
      <c r="B708" s="49" t="n"/>
      <c r="C708" s="49" t="n"/>
      <c r="D708" s="49" t="n"/>
      <c r="E708" s="49" t="n"/>
      <c r="F708" s="49" t="n"/>
    </row>
    <row r="709" ht="15.75" customHeight="1" s="57">
      <c r="A709" s="49" t="n"/>
      <c r="B709" s="49" t="n"/>
      <c r="C709" s="49" t="n"/>
      <c r="D709" s="49" t="n"/>
      <c r="E709" s="49" t="n"/>
      <c r="F709" s="49" t="n"/>
    </row>
    <row r="710" ht="15.75" customHeight="1" s="57">
      <c r="A710" s="49" t="n"/>
      <c r="B710" s="49" t="n"/>
      <c r="C710" s="49" t="n"/>
      <c r="D710" s="49" t="n"/>
      <c r="E710" s="49" t="n"/>
      <c r="F710" s="49" t="n"/>
    </row>
    <row r="711" ht="15.75" customHeight="1" s="57">
      <c r="A711" s="49" t="n"/>
      <c r="B711" s="49" t="n"/>
      <c r="C711" s="49" t="n"/>
      <c r="D711" s="49" t="n"/>
      <c r="E711" s="49" t="n"/>
      <c r="F711" s="49" t="n"/>
    </row>
    <row r="712" ht="15.75" customHeight="1" s="57">
      <c r="A712" s="49" t="n"/>
      <c r="B712" s="49" t="n"/>
      <c r="C712" s="49" t="n"/>
      <c r="D712" s="49" t="n"/>
      <c r="E712" s="49" t="n"/>
      <c r="F712" s="49" t="n"/>
    </row>
    <row r="713" ht="15.75" customHeight="1" s="57">
      <c r="A713" s="49" t="n"/>
      <c r="B713" s="49" t="n"/>
      <c r="C713" s="49" t="n"/>
      <c r="D713" s="49" t="n"/>
      <c r="E713" s="49" t="n"/>
      <c r="F713" s="49" t="n"/>
    </row>
    <row r="714" ht="15.75" customHeight="1" s="57">
      <c r="A714" s="49" t="n"/>
      <c r="B714" s="49" t="n"/>
      <c r="C714" s="49" t="n"/>
      <c r="D714" s="49" t="n"/>
      <c r="E714" s="49" t="n"/>
      <c r="F714" s="49" t="n"/>
    </row>
    <row r="715" ht="15.75" customHeight="1" s="57">
      <c r="A715" s="49" t="n"/>
      <c r="B715" s="49" t="n"/>
      <c r="C715" s="49" t="n"/>
      <c r="D715" s="49" t="n"/>
      <c r="E715" s="49" t="n"/>
      <c r="F715" s="49" t="n"/>
    </row>
    <row r="716" ht="15.75" customHeight="1" s="57">
      <c r="A716" s="49" t="n"/>
      <c r="B716" s="49" t="n"/>
      <c r="C716" s="49" t="n"/>
      <c r="D716" s="49" t="n"/>
      <c r="E716" s="49" t="n"/>
      <c r="F716" s="49" t="n"/>
    </row>
    <row r="717" ht="15.75" customHeight="1" s="57">
      <c r="A717" s="49" t="n"/>
      <c r="B717" s="49" t="n"/>
      <c r="C717" s="49" t="n"/>
      <c r="D717" s="49" t="n"/>
      <c r="E717" s="49" t="n"/>
      <c r="F717" s="49" t="n"/>
    </row>
    <row r="718" ht="15.75" customHeight="1" s="57">
      <c r="A718" s="49" t="n"/>
      <c r="B718" s="49" t="n"/>
      <c r="C718" s="49" t="n"/>
      <c r="D718" s="49" t="n"/>
      <c r="E718" s="49" t="n"/>
      <c r="F718" s="49" t="n"/>
    </row>
    <row r="719" ht="15.75" customHeight="1" s="57">
      <c r="A719" s="49" t="n"/>
      <c r="B719" s="49" t="n"/>
      <c r="C719" s="49" t="n"/>
      <c r="D719" s="49" t="n"/>
      <c r="E719" s="49" t="n"/>
      <c r="F719" s="49" t="n"/>
    </row>
    <row r="720" ht="15.75" customHeight="1" s="57">
      <c r="A720" s="49" t="n"/>
      <c r="B720" s="49" t="n"/>
      <c r="C720" s="49" t="n"/>
      <c r="D720" s="49" t="n"/>
      <c r="E720" s="49" t="n"/>
      <c r="F720" s="49" t="n"/>
    </row>
    <row r="721" ht="15.75" customHeight="1" s="57">
      <c r="A721" s="49" t="n"/>
      <c r="B721" s="49" t="n"/>
      <c r="C721" s="49" t="n"/>
      <c r="D721" s="49" t="n"/>
      <c r="E721" s="49" t="n"/>
      <c r="F721" s="49" t="n"/>
    </row>
    <row r="722" ht="15.75" customHeight="1" s="57">
      <c r="A722" s="49" t="n"/>
      <c r="B722" s="49" t="n"/>
      <c r="C722" s="49" t="n"/>
      <c r="D722" s="49" t="n"/>
      <c r="E722" s="49" t="n"/>
      <c r="F722" s="49" t="n"/>
    </row>
    <row r="723" ht="15.75" customHeight="1" s="57">
      <c r="A723" s="49" t="n"/>
      <c r="B723" s="49" t="n"/>
      <c r="C723" s="49" t="n"/>
      <c r="D723" s="49" t="n"/>
      <c r="E723" s="49" t="n"/>
      <c r="F723" s="49" t="n"/>
    </row>
    <row r="724" ht="15.75" customHeight="1" s="57">
      <c r="A724" s="49" t="n"/>
      <c r="B724" s="49" t="n"/>
      <c r="C724" s="49" t="n"/>
      <c r="D724" s="49" t="n"/>
      <c r="E724" s="49" t="n"/>
      <c r="F724" s="49" t="n"/>
    </row>
    <row r="725" ht="15.75" customHeight="1" s="57">
      <c r="A725" s="49" t="n"/>
      <c r="B725" s="49" t="n"/>
      <c r="C725" s="49" t="n"/>
      <c r="D725" s="49" t="n"/>
      <c r="E725" s="49" t="n"/>
      <c r="F725" s="49" t="n"/>
    </row>
    <row r="726" ht="15.75" customHeight="1" s="57">
      <c r="A726" s="49" t="n"/>
      <c r="B726" s="49" t="n"/>
      <c r="C726" s="49" t="n"/>
      <c r="D726" s="49" t="n"/>
      <c r="E726" s="49" t="n"/>
      <c r="F726" s="49" t="n"/>
    </row>
    <row r="727" ht="15.75" customHeight="1" s="57">
      <c r="A727" s="49" t="n"/>
      <c r="B727" s="49" t="n"/>
      <c r="C727" s="49" t="n"/>
      <c r="D727" s="49" t="n"/>
      <c r="E727" s="49" t="n"/>
      <c r="F727" s="49" t="n"/>
    </row>
    <row r="728" ht="15.75" customHeight="1" s="57">
      <c r="A728" s="49" t="n"/>
      <c r="B728" s="49" t="n"/>
      <c r="C728" s="49" t="n"/>
      <c r="D728" s="49" t="n"/>
      <c r="E728" s="49" t="n"/>
      <c r="F728" s="49" t="n"/>
    </row>
    <row r="729" ht="15.75" customHeight="1" s="57">
      <c r="A729" s="49" t="n"/>
      <c r="B729" s="49" t="n"/>
      <c r="C729" s="49" t="n"/>
      <c r="D729" s="49" t="n"/>
      <c r="E729" s="49" t="n"/>
      <c r="F729" s="49" t="n"/>
    </row>
    <row r="730" ht="15.75" customHeight="1" s="57">
      <c r="A730" s="49" t="n"/>
      <c r="B730" s="49" t="n"/>
      <c r="C730" s="49" t="n"/>
      <c r="D730" s="49" t="n"/>
      <c r="E730" s="49" t="n"/>
      <c r="F730" s="49" t="n"/>
    </row>
    <row r="731" ht="15.75" customHeight="1" s="57">
      <c r="A731" s="49" t="n"/>
      <c r="B731" s="49" t="n"/>
      <c r="C731" s="49" t="n"/>
      <c r="D731" s="49" t="n"/>
      <c r="E731" s="49" t="n"/>
      <c r="F731" s="49" t="n"/>
    </row>
    <row r="732" ht="15.75" customHeight="1" s="57">
      <c r="A732" s="49" t="n"/>
      <c r="B732" s="49" t="n"/>
      <c r="C732" s="49" t="n"/>
      <c r="D732" s="49" t="n"/>
      <c r="E732" s="49" t="n"/>
      <c r="F732" s="49" t="n"/>
    </row>
    <row r="733" ht="15.75" customHeight="1" s="57">
      <c r="A733" s="49" t="n"/>
      <c r="B733" s="49" t="n"/>
      <c r="C733" s="49" t="n"/>
      <c r="D733" s="49" t="n"/>
      <c r="E733" s="49" t="n"/>
      <c r="F733" s="49" t="n"/>
    </row>
    <row r="734" ht="15.75" customHeight="1" s="57">
      <c r="A734" s="49" t="n"/>
      <c r="B734" s="49" t="n"/>
      <c r="C734" s="49" t="n"/>
      <c r="D734" s="49" t="n"/>
      <c r="E734" s="49" t="n"/>
      <c r="F734" s="49" t="n"/>
    </row>
    <row r="735" ht="15.75" customHeight="1" s="57">
      <c r="A735" s="49" t="n"/>
      <c r="B735" s="49" t="n"/>
      <c r="C735" s="49" t="n"/>
      <c r="D735" s="49" t="n"/>
      <c r="E735" s="49" t="n"/>
      <c r="F735" s="49" t="n"/>
    </row>
    <row r="736" ht="15.75" customHeight="1" s="57">
      <c r="A736" s="49" t="n"/>
      <c r="B736" s="49" t="n"/>
      <c r="C736" s="49" t="n"/>
      <c r="D736" s="49" t="n"/>
      <c r="E736" s="49" t="n"/>
      <c r="F736" s="49" t="n"/>
    </row>
    <row r="737" ht="15.75" customHeight="1" s="57">
      <c r="A737" s="49" t="n"/>
      <c r="B737" s="49" t="n"/>
      <c r="C737" s="49" t="n"/>
      <c r="D737" s="49" t="n"/>
      <c r="E737" s="49" t="n"/>
      <c r="F737" s="49" t="n"/>
    </row>
    <row r="738" ht="15.75" customHeight="1" s="57">
      <c r="A738" s="49" t="n"/>
      <c r="B738" s="49" t="n"/>
      <c r="C738" s="49" t="n"/>
      <c r="D738" s="49" t="n"/>
      <c r="E738" s="49" t="n"/>
      <c r="F738" s="49" t="n"/>
    </row>
    <row r="739" ht="15.75" customHeight="1" s="57">
      <c r="A739" s="49" t="n"/>
      <c r="B739" s="49" t="n"/>
      <c r="C739" s="49" t="n"/>
      <c r="D739" s="49" t="n"/>
      <c r="E739" s="49" t="n"/>
      <c r="F739" s="49" t="n"/>
    </row>
    <row r="740" ht="15.75" customHeight="1" s="57">
      <c r="A740" s="49" t="n"/>
      <c r="B740" s="49" t="n"/>
      <c r="C740" s="49" t="n"/>
      <c r="D740" s="49" t="n"/>
      <c r="E740" s="49" t="n"/>
      <c r="F740" s="49" t="n"/>
    </row>
    <row r="741" ht="15.75" customHeight="1" s="57">
      <c r="A741" s="49" t="n"/>
      <c r="B741" s="49" t="n"/>
      <c r="C741" s="49" t="n"/>
      <c r="D741" s="49" t="n"/>
      <c r="E741" s="49" t="n"/>
      <c r="F741" s="49" t="n"/>
    </row>
    <row r="742" ht="15.75" customHeight="1" s="57">
      <c r="A742" s="49" t="n"/>
      <c r="B742" s="49" t="n"/>
      <c r="C742" s="49" t="n"/>
      <c r="D742" s="49" t="n"/>
      <c r="E742" s="49" t="n"/>
      <c r="F742" s="49" t="n"/>
    </row>
    <row r="743" ht="15.75" customHeight="1" s="57">
      <c r="A743" s="49" t="n"/>
      <c r="B743" s="49" t="n"/>
      <c r="C743" s="49" t="n"/>
      <c r="D743" s="49" t="n"/>
      <c r="E743" s="49" t="n"/>
      <c r="F743" s="49" t="n"/>
    </row>
    <row r="744" ht="15.75" customHeight="1" s="57">
      <c r="A744" s="49" t="n"/>
      <c r="B744" s="49" t="n"/>
      <c r="C744" s="49" t="n"/>
      <c r="D744" s="49" t="n"/>
      <c r="E744" s="49" t="n"/>
      <c r="F744" s="49" t="n"/>
    </row>
    <row r="745" ht="15.75" customHeight="1" s="57">
      <c r="A745" s="49" t="n"/>
      <c r="B745" s="49" t="n"/>
      <c r="C745" s="49" t="n"/>
      <c r="D745" s="49" t="n"/>
      <c r="E745" s="49" t="n"/>
      <c r="F745" s="49" t="n"/>
    </row>
    <row r="746" ht="15.75" customHeight="1" s="57">
      <c r="A746" s="49" t="n"/>
      <c r="B746" s="49" t="n"/>
      <c r="C746" s="49" t="n"/>
      <c r="D746" s="49" t="n"/>
      <c r="E746" s="49" t="n"/>
      <c r="F746" s="49" t="n"/>
    </row>
    <row r="747" ht="15.75" customHeight="1" s="57">
      <c r="A747" s="49" t="n"/>
      <c r="B747" s="49" t="n"/>
      <c r="C747" s="49" t="n"/>
      <c r="D747" s="49" t="n"/>
      <c r="E747" s="49" t="n"/>
      <c r="F747" s="49" t="n"/>
    </row>
    <row r="748" ht="15.75" customHeight="1" s="57">
      <c r="A748" s="49" t="n"/>
      <c r="B748" s="49" t="n"/>
      <c r="C748" s="49" t="n"/>
      <c r="D748" s="49" t="n"/>
      <c r="E748" s="49" t="n"/>
      <c r="F748" s="49" t="n"/>
    </row>
    <row r="749" ht="15.75" customHeight="1" s="57">
      <c r="A749" s="49" t="n"/>
      <c r="B749" s="49" t="n"/>
      <c r="C749" s="49" t="n"/>
      <c r="D749" s="49" t="n"/>
      <c r="E749" s="49" t="n"/>
      <c r="F749" s="49" t="n"/>
    </row>
    <row r="750" ht="15.75" customHeight="1" s="57">
      <c r="A750" s="49" t="n"/>
      <c r="B750" s="49" t="n"/>
      <c r="C750" s="49" t="n"/>
      <c r="D750" s="49" t="n"/>
      <c r="E750" s="49" t="n"/>
      <c r="F750" s="49" t="n"/>
    </row>
    <row r="751" ht="15.75" customHeight="1" s="57">
      <c r="A751" s="49" t="n"/>
      <c r="B751" s="49" t="n"/>
      <c r="C751" s="49" t="n"/>
      <c r="D751" s="49" t="n"/>
      <c r="E751" s="49" t="n"/>
      <c r="F751" s="49" t="n"/>
    </row>
    <row r="752" ht="15.75" customHeight="1" s="57">
      <c r="A752" s="49" t="n"/>
      <c r="B752" s="49" t="n"/>
      <c r="C752" s="49" t="n"/>
      <c r="D752" s="49" t="n"/>
      <c r="E752" s="49" t="n"/>
      <c r="F752" s="49" t="n"/>
    </row>
    <row r="753" ht="15.75" customHeight="1" s="57">
      <c r="A753" s="49" t="n"/>
      <c r="B753" s="49" t="n"/>
      <c r="C753" s="49" t="n"/>
      <c r="D753" s="49" t="n"/>
      <c r="E753" s="49" t="n"/>
      <c r="F753" s="49" t="n"/>
    </row>
    <row r="754" ht="15.75" customHeight="1" s="57">
      <c r="A754" s="49" t="n"/>
      <c r="B754" s="49" t="n"/>
      <c r="C754" s="49" t="n"/>
      <c r="D754" s="49" t="n"/>
      <c r="E754" s="49" t="n"/>
      <c r="F754" s="49" t="n"/>
    </row>
    <row r="755" ht="15.75" customHeight="1" s="57">
      <c r="A755" s="49" t="n"/>
      <c r="B755" s="49" t="n"/>
      <c r="C755" s="49" t="n"/>
      <c r="D755" s="49" t="n"/>
      <c r="E755" s="49" t="n"/>
      <c r="F755" s="49" t="n"/>
    </row>
    <row r="756" ht="15.75" customHeight="1" s="57">
      <c r="A756" s="49" t="n"/>
      <c r="B756" s="49" t="n"/>
      <c r="C756" s="49" t="n"/>
      <c r="D756" s="49" t="n"/>
      <c r="E756" s="49" t="n"/>
      <c r="F756" s="49" t="n"/>
    </row>
    <row r="757" ht="15.75" customHeight="1" s="57">
      <c r="A757" s="49" t="n"/>
      <c r="B757" s="49" t="n"/>
      <c r="C757" s="49" t="n"/>
      <c r="D757" s="49" t="n"/>
      <c r="E757" s="49" t="n"/>
      <c r="F757" s="49" t="n"/>
    </row>
    <row r="758" ht="15.75" customHeight="1" s="57">
      <c r="A758" s="49" t="n"/>
      <c r="B758" s="49" t="n"/>
      <c r="C758" s="49" t="n"/>
      <c r="D758" s="49" t="n"/>
      <c r="E758" s="49" t="n"/>
      <c r="F758" s="49" t="n"/>
    </row>
    <row r="759" ht="15.75" customHeight="1" s="57">
      <c r="A759" s="49" t="n"/>
      <c r="B759" s="49" t="n"/>
      <c r="C759" s="49" t="n"/>
      <c r="D759" s="49" t="n"/>
      <c r="E759" s="49" t="n"/>
      <c r="F759" s="49" t="n"/>
    </row>
    <row r="760" ht="15.75" customHeight="1" s="57">
      <c r="A760" s="49" t="n"/>
      <c r="B760" s="49" t="n"/>
      <c r="C760" s="49" t="n"/>
      <c r="D760" s="49" t="n"/>
      <c r="E760" s="49" t="n"/>
      <c r="F760" s="49" t="n"/>
    </row>
    <row r="761" ht="15.75" customHeight="1" s="57">
      <c r="A761" s="49" t="n"/>
      <c r="B761" s="49" t="n"/>
      <c r="C761" s="49" t="n"/>
      <c r="D761" s="49" t="n"/>
      <c r="E761" s="49" t="n"/>
      <c r="F761" s="49" t="n"/>
    </row>
    <row r="762" ht="15.75" customHeight="1" s="57">
      <c r="A762" s="49" t="n"/>
      <c r="B762" s="49" t="n"/>
      <c r="C762" s="49" t="n"/>
      <c r="D762" s="49" t="n"/>
      <c r="E762" s="49" t="n"/>
      <c r="F762" s="49" t="n"/>
    </row>
    <row r="763" ht="15.75" customHeight="1" s="57">
      <c r="A763" s="49" t="n"/>
      <c r="B763" s="49" t="n"/>
      <c r="C763" s="49" t="n"/>
      <c r="D763" s="49" t="n"/>
      <c r="E763" s="49" t="n"/>
      <c r="F763" s="49" t="n"/>
    </row>
    <row r="764" ht="15.75" customHeight="1" s="57">
      <c r="A764" s="49" t="n"/>
      <c r="B764" s="49" t="n"/>
      <c r="C764" s="49" t="n"/>
      <c r="D764" s="49" t="n"/>
      <c r="E764" s="49" t="n"/>
      <c r="F764" s="49" t="n"/>
    </row>
    <row r="765" ht="15.75" customHeight="1" s="57">
      <c r="A765" s="49" t="n"/>
      <c r="B765" s="49" t="n"/>
      <c r="C765" s="49" t="n"/>
      <c r="D765" s="49" t="n"/>
      <c r="E765" s="49" t="n"/>
      <c r="F765" s="49" t="n"/>
    </row>
    <row r="766" ht="15.75" customHeight="1" s="57">
      <c r="A766" s="49" t="n"/>
      <c r="B766" s="49" t="n"/>
      <c r="C766" s="49" t="n"/>
      <c r="D766" s="49" t="n"/>
      <c r="E766" s="49" t="n"/>
      <c r="F766" s="49" t="n"/>
    </row>
    <row r="767" ht="15.75" customHeight="1" s="57">
      <c r="A767" s="49" t="n"/>
      <c r="B767" s="49" t="n"/>
      <c r="C767" s="49" t="n"/>
      <c r="D767" s="49" t="n"/>
      <c r="E767" s="49" t="n"/>
      <c r="F767" s="49" t="n"/>
    </row>
    <row r="768" ht="15.75" customHeight="1" s="57">
      <c r="A768" s="49" t="n"/>
      <c r="B768" s="49" t="n"/>
      <c r="C768" s="49" t="n"/>
      <c r="D768" s="49" t="n"/>
      <c r="E768" s="49" t="n"/>
      <c r="F768" s="49" t="n"/>
    </row>
    <row r="769" ht="15.75" customHeight="1" s="57">
      <c r="A769" s="49" t="n"/>
      <c r="B769" s="49" t="n"/>
      <c r="C769" s="49" t="n"/>
      <c r="D769" s="49" t="n"/>
      <c r="E769" s="49" t="n"/>
      <c r="F769" s="49" t="n"/>
    </row>
    <row r="770" ht="15.75" customHeight="1" s="57">
      <c r="A770" s="49" t="n"/>
      <c r="B770" s="49" t="n"/>
      <c r="C770" s="49" t="n"/>
      <c r="D770" s="49" t="n"/>
      <c r="E770" s="49" t="n"/>
      <c r="F770" s="49" t="n"/>
    </row>
    <row r="771" ht="15.75" customHeight="1" s="57">
      <c r="A771" s="49" t="n"/>
      <c r="B771" s="49" t="n"/>
      <c r="C771" s="49" t="n"/>
      <c r="D771" s="49" t="n"/>
      <c r="E771" s="49" t="n"/>
      <c r="F771" s="49" t="n"/>
    </row>
    <row r="772" ht="15.75" customHeight="1" s="57">
      <c r="A772" s="49" t="n"/>
      <c r="B772" s="49" t="n"/>
      <c r="C772" s="49" t="n"/>
      <c r="D772" s="49" t="n"/>
      <c r="E772" s="49" t="n"/>
      <c r="F772" s="49" t="n"/>
    </row>
    <row r="773" ht="15.75" customHeight="1" s="57">
      <c r="A773" s="49" t="n"/>
      <c r="B773" s="49" t="n"/>
      <c r="C773" s="49" t="n"/>
      <c r="D773" s="49" t="n"/>
      <c r="E773" s="49" t="n"/>
      <c r="F773" s="49" t="n"/>
    </row>
    <row r="774" ht="15.75" customHeight="1" s="57">
      <c r="A774" s="49" t="n"/>
      <c r="B774" s="49" t="n"/>
      <c r="C774" s="49" t="n"/>
      <c r="D774" s="49" t="n"/>
      <c r="E774" s="49" t="n"/>
      <c r="F774" s="49" t="n"/>
    </row>
    <row r="775" ht="15.75" customHeight="1" s="57">
      <c r="A775" s="49" t="n"/>
      <c r="B775" s="49" t="n"/>
      <c r="C775" s="49" t="n"/>
      <c r="D775" s="49" t="n"/>
      <c r="E775" s="49" t="n"/>
      <c r="F775" s="49" t="n"/>
    </row>
    <row r="776" ht="15.75" customHeight="1" s="57">
      <c r="A776" s="49" t="n"/>
      <c r="B776" s="49" t="n"/>
      <c r="C776" s="49" t="n"/>
      <c r="D776" s="49" t="n"/>
      <c r="E776" s="49" t="n"/>
      <c r="F776" s="49" t="n"/>
    </row>
    <row r="777" ht="15.75" customHeight="1" s="57">
      <c r="A777" s="49" t="n"/>
      <c r="B777" s="49" t="n"/>
      <c r="C777" s="49" t="n"/>
      <c r="D777" s="49" t="n"/>
      <c r="E777" s="49" t="n"/>
      <c r="F777" s="49" t="n"/>
    </row>
    <row r="778" ht="15.75" customHeight="1" s="57">
      <c r="A778" s="49" t="n"/>
      <c r="B778" s="49" t="n"/>
      <c r="C778" s="49" t="n"/>
      <c r="D778" s="49" t="n"/>
      <c r="E778" s="49" t="n"/>
      <c r="F778" s="49" t="n"/>
    </row>
    <row r="779" ht="15.75" customHeight="1" s="57">
      <c r="A779" s="49" t="n"/>
      <c r="B779" s="49" t="n"/>
      <c r="C779" s="49" t="n"/>
      <c r="D779" s="49" t="n"/>
      <c r="E779" s="49" t="n"/>
      <c r="F779" s="49" t="n"/>
    </row>
    <row r="780" ht="15.75" customHeight="1" s="57">
      <c r="A780" s="49" t="n"/>
      <c r="B780" s="49" t="n"/>
      <c r="C780" s="49" t="n"/>
      <c r="D780" s="49" t="n"/>
      <c r="E780" s="49" t="n"/>
      <c r="F780" s="49" t="n"/>
    </row>
    <row r="781" ht="15.75" customHeight="1" s="57">
      <c r="A781" s="49" t="n"/>
      <c r="B781" s="49" t="n"/>
      <c r="C781" s="49" t="n"/>
      <c r="D781" s="49" t="n"/>
      <c r="E781" s="49" t="n"/>
      <c r="F781" s="49" t="n"/>
    </row>
    <row r="782" ht="15.75" customHeight="1" s="57">
      <c r="A782" s="49" t="n"/>
      <c r="B782" s="49" t="n"/>
      <c r="C782" s="49" t="n"/>
      <c r="D782" s="49" t="n"/>
      <c r="E782" s="49" t="n"/>
      <c r="F782" s="49" t="n"/>
    </row>
    <row r="783" ht="15.75" customHeight="1" s="57">
      <c r="A783" s="49" t="n"/>
      <c r="B783" s="49" t="n"/>
      <c r="C783" s="49" t="n"/>
      <c r="D783" s="49" t="n"/>
      <c r="E783" s="49" t="n"/>
      <c r="F783" s="49" t="n"/>
    </row>
    <row r="784" ht="15.75" customHeight="1" s="57">
      <c r="A784" s="49" t="n"/>
      <c r="B784" s="49" t="n"/>
      <c r="C784" s="49" t="n"/>
      <c r="D784" s="49" t="n"/>
      <c r="E784" s="49" t="n"/>
      <c r="F784" s="49" t="n"/>
    </row>
    <row r="785" ht="15.75" customHeight="1" s="57">
      <c r="A785" s="49" t="n"/>
      <c r="B785" s="49" t="n"/>
      <c r="C785" s="49" t="n"/>
      <c r="D785" s="49" t="n"/>
      <c r="E785" s="49" t="n"/>
      <c r="F785" s="49" t="n"/>
    </row>
    <row r="786" ht="15.75" customHeight="1" s="57">
      <c r="A786" s="49" t="n"/>
      <c r="B786" s="49" t="n"/>
      <c r="C786" s="49" t="n"/>
      <c r="D786" s="49" t="n"/>
      <c r="E786" s="49" t="n"/>
      <c r="F786" s="49" t="n"/>
    </row>
    <row r="787" ht="15.75" customHeight="1" s="57">
      <c r="A787" s="49" t="n"/>
      <c r="B787" s="49" t="n"/>
      <c r="C787" s="49" t="n"/>
      <c r="D787" s="49" t="n"/>
      <c r="E787" s="49" t="n"/>
      <c r="F787" s="49" t="n"/>
    </row>
    <row r="788" ht="15.75" customHeight="1" s="57">
      <c r="A788" s="49" t="n"/>
      <c r="B788" s="49" t="n"/>
      <c r="C788" s="49" t="n"/>
      <c r="D788" s="49" t="n"/>
      <c r="E788" s="49" t="n"/>
      <c r="F788" s="49" t="n"/>
    </row>
    <row r="789" ht="15.75" customHeight="1" s="57">
      <c r="A789" s="49" t="n"/>
      <c r="B789" s="49" t="n"/>
      <c r="C789" s="49" t="n"/>
      <c r="D789" s="49" t="n"/>
      <c r="E789" s="49" t="n"/>
      <c r="F789" s="49" t="n"/>
    </row>
    <row r="790" ht="15.75" customHeight="1" s="57">
      <c r="A790" s="49" t="n"/>
      <c r="B790" s="49" t="n"/>
      <c r="C790" s="49" t="n"/>
      <c r="D790" s="49" t="n"/>
      <c r="E790" s="49" t="n"/>
      <c r="F790" s="49" t="n"/>
    </row>
    <row r="791" ht="15.75" customHeight="1" s="57">
      <c r="A791" s="49" t="n"/>
      <c r="B791" s="49" t="n"/>
      <c r="C791" s="49" t="n"/>
      <c r="D791" s="49" t="n"/>
      <c r="E791" s="49" t="n"/>
      <c r="F791" s="49" t="n"/>
    </row>
    <row r="792" ht="15.75" customHeight="1" s="57">
      <c r="A792" s="49" t="n"/>
      <c r="B792" s="49" t="n"/>
      <c r="C792" s="49" t="n"/>
      <c r="D792" s="49" t="n"/>
      <c r="E792" s="49" t="n"/>
      <c r="F792" s="49" t="n"/>
    </row>
    <row r="793" ht="15.75" customHeight="1" s="57">
      <c r="A793" s="49" t="n"/>
      <c r="B793" s="49" t="n"/>
      <c r="C793" s="49" t="n"/>
      <c r="D793" s="49" t="n"/>
      <c r="E793" s="49" t="n"/>
      <c r="F793" s="49" t="n"/>
    </row>
    <row r="794" ht="15.75" customHeight="1" s="57">
      <c r="A794" s="49" t="n"/>
      <c r="B794" s="49" t="n"/>
      <c r="C794" s="49" t="n"/>
      <c r="D794" s="49" t="n"/>
      <c r="E794" s="49" t="n"/>
      <c r="F794" s="49" t="n"/>
    </row>
    <row r="795" ht="15.75" customHeight="1" s="57">
      <c r="A795" s="49" t="n"/>
      <c r="B795" s="49" t="n"/>
      <c r="C795" s="49" t="n"/>
      <c r="D795" s="49" t="n"/>
      <c r="E795" s="49" t="n"/>
      <c r="F795" s="49" t="n"/>
    </row>
    <row r="796" ht="15.75" customHeight="1" s="57">
      <c r="A796" s="49" t="n"/>
      <c r="B796" s="49" t="n"/>
      <c r="C796" s="49" t="n"/>
      <c r="D796" s="49" t="n"/>
      <c r="E796" s="49" t="n"/>
      <c r="F796" s="49" t="n"/>
    </row>
    <row r="797" ht="15.75" customHeight="1" s="57">
      <c r="A797" s="49" t="n"/>
      <c r="B797" s="49" t="n"/>
      <c r="C797" s="49" t="n"/>
      <c r="D797" s="49" t="n"/>
      <c r="E797" s="49" t="n"/>
      <c r="F797" s="49" t="n"/>
    </row>
    <row r="798" ht="15.75" customHeight="1" s="57">
      <c r="A798" s="49" t="n"/>
      <c r="B798" s="49" t="n"/>
      <c r="C798" s="49" t="n"/>
      <c r="D798" s="49" t="n"/>
      <c r="E798" s="49" t="n"/>
      <c r="F798" s="49" t="n"/>
    </row>
    <row r="799" ht="15.75" customHeight="1" s="57">
      <c r="A799" s="49" t="n"/>
      <c r="B799" s="49" t="n"/>
      <c r="C799" s="49" t="n"/>
      <c r="D799" s="49" t="n"/>
      <c r="E799" s="49" t="n"/>
      <c r="F799" s="49" t="n"/>
    </row>
    <row r="800" ht="15.75" customHeight="1" s="57">
      <c r="A800" s="49" t="n"/>
      <c r="B800" s="49" t="n"/>
      <c r="C800" s="49" t="n"/>
      <c r="D800" s="49" t="n"/>
      <c r="E800" s="49" t="n"/>
      <c r="F800" s="49" t="n"/>
    </row>
    <row r="801" ht="15.75" customHeight="1" s="57">
      <c r="A801" s="49" t="n"/>
      <c r="B801" s="49" t="n"/>
      <c r="C801" s="49" t="n"/>
      <c r="D801" s="49" t="n"/>
      <c r="E801" s="49" t="n"/>
      <c r="F801" s="49" t="n"/>
    </row>
    <row r="802" ht="15.75" customHeight="1" s="57">
      <c r="A802" s="49" t="n"/>
      <c r="B802" s="49" t="n"/>
      <c r="C802" s="49" t="n"/>
      <c r="D802" s="49" t="n"/>
      <c r="E802" s="49" t="n"/>
      <c r="F802" s="49" t="n"/>
    </row>
    <row r="803" ht="15.75" customHeight="1" s="57">
      <c r="A803" s="49" t="n"/>
      <c r="B803" s="49" t="n"/>
      <c r="C803" s="49" t="n"/>
      <c r="D803" s="49" t="n"/>
      <c r="E803" s="49" t="n"/>
      <c r="F803" s="49" t="n"/>
    </row>
    <row r="804" ht="15.75" customHeight="1" s="57">
      <c r="A804" s="49" t="n"/>
      <c r="B804" s="49" t="n"/>
      <c r="C804" s="49" t="n"/>
      <c r="D804" s="49" t="n"/>
      <c r="E804" s="49" t="n"/>
      <c r="F804" s="49" t="n"/>
    </row>
    <row r="805" ht="15.75" customHeight="1" s="57">
      <c r="A805" s="49" t="n"/>
      <c r="B805" s="49" t="n"/>
      <c r="C805" s="49" t="n"/>
      <c r="D805" s="49" t="n"/>
      <c r="E805" s="49" t="n"/>
      <c r="F805" s="49" t="n"/>
    </row>
    <row r="806" ht="15.75" customHeight="1" s="57">
      <c r="A806" s="49" t="n"/>
      <c r="B806" s="49" t="n"/>
      <c r="C806" s="49" t="n"/>
      <c r="D806" s="49" t="n"/>
      <c r="E806" s="49" t="n"/>
      <c r="F806" s="49" t="n"/>
    </row>
    <row r="807" ht="15.75" customHeight="1" s="57">
      <c r="A807" s="49" t="n"/>
      <c r="B807" s="49" t="n"/>
      <c r="C807" s="49" t="n"/>
      <c r="D807" s="49" t="n"/>
      <c r="E807" s="49" t="n"/>
      <c r="F807" s="49" t="n"/>
    </row>
    <row r="808" ht="15.75" customHeight="1" s="57">
      <c r="A808" s="49" t="n"/>
      <c r="B808" s="49" t="n"/>
      <c r="C808" s="49" t="n"/>
      <c r="D808" s="49" t="n"/>
      <c r="E808" s="49" t="n"/>
      <c r="F808" s="49" t="n"/>
    </row>
    <row r="809" ht="15.75" customHeight="1" s="57">
      <c r="A809" s="49" t="n"/>
      <c r="B809" s="49" t="n"/>
      <c r="C809" s="49" t="n"/>
      <c r="D809" s="49" t="n"/>
      <c r="E809" s="49" t="n"/>
      <c r="F809" s="49" t="n"/>
    </row>
    <row r="810" ht="15.75" customHeight="1" s="57">
      <c r="A810" s="49" t="n"/>
      <c r="B810" s="49" t="n"/>
      <c r="C810" s="49" t="n"/>
      <c r="D810" s="49" t="n"/>
      <c r="E810" s="49" t="n"/>
      <c r="F810" s="49" t="n"/>
    </row>
    <row r="811" ht="15.75" customHeight="1" s="57">
      <c r="A811" s="49" t="n"/>
      <c r="B811" s="49" t="n"/>
      <c r="C811" s="49" t="n"/>
      <c r="D811" s="49" t="n"/>
      <c r="E811" s="49" t="n"/>
      <c r="F811" s="49" t="n"/>
    </row>
    <row r="812" ht="15.75" customHeight="1" s="57">
      <c r="A812" s="49" t="n"/>
      <c r="B812" s="49" t="n"/>
      <c r="C812" s="49" t="n"/>
      <c r="D812" s="49" t="n"/>
      <c r="E812" s="49" t="n"/>
      <c r="F812" s="49" t="n"/>
    </row>
    <row r="813" ht="15.75" customHeight="1" s="57">
      <c r="A813" s="49" t="n"/>
      <c r="B813" s="49" t="n"/>
      <c r="C813" s="49" t="n"/>
      <c r="D813" s="49" t="n"/>
      <c r="E813" s="49" t="n"/>
      <c r="F813" s="49" t="n"/>
    </row>
    <row r="814" ht="15.75" customHeight="1" s="57">
      <c r="A814" s="49" t="n"/>
      <c r="B814" s="49" t="n"/>
      <c r="C814" s="49" t="n"/>
      <c r="D814" s="49" t="n"/>
      <c r="E814" s="49" t="n"/>
      <c r="F814" s="49" t="n"/>
    </row>
    <row r="815" ht="15.75" customHeight="1" s="57">
      <c r="A815" s="49" t="n"/>
      <c r="B815" s="49" t="n"/>
      <c r="C815" s="49" t="n"/>
      <c r="D815" s="49" t="n"/>
      <c r="E815" s="49" t="n"/>
      <c r="F815" s="49" t="n"/>
    </row>
    <row r="816" ht="15.75" customHeight="1" s="57">
      <c r="A816" s="49" t="n"/>
      <c r="B816" s="49" t="n"/>
      <c r="C816" s="49" t="n"/>
      <c r="D816" s="49" t="n"/>
      <c r="E816" s="49" t="n"/>
      <c r="F816" s="49" t="n"/>
    </row>
    <row r="817" ht="15.75" customHeight="1" s="57">
      <c r="A817" s="49" t="n"/>
      <c r="B817" s="49" t="n"/>
      <c r="C817" s="49" t="n"/>
      <c r="D817" s="49" t="n"/>
      <c r="E817" s="49" t="n"/>
      <c r="F817" s="49" t="n"/>
    </row>
    <row r="818" ht="15.75" customHeight="1" s="57">
      <c r="A818" s="49" t="n"/>
      <c r="B818" s="49" t="n"/>
      <c r="C818" s="49" t="n"/>
      <c r="D818" s="49" t="n"/>
      <c r="E818" s="49" t="n"/>
      <c r="F818" s="49" t="n"/>
    </row>
    <row r="819" ht="15.75" customHeight="1" s="57">
      <c r="A819" s="49" t="n"/>
      <c r="B819" s="49" t="n"/>
      <c r="C819" s="49" t="n"/>
      <c r="D819" s="49" t="n"/>
      <c r="E819" s="49" t="n"/>
      <c r="F819" s="49" t="n"/>
    </row>
    <row r="820" ht="15.75" customHeight="1" s="57">
      <c r="A820" s="49" t="n"/>
      <c r="B820" s="49" t="n"/>
      <c r="C820" s="49" t="n"/>
      <c r="D820" s="49" t="n"/>
      <c r="E820" s="49" t="n"/>
      <c r="F820" s="49" t="n"/>
    </row>
    <row r="821" ht="15.75" customHeight="1" s="57">
      <c r="A821" s="49" t="n"/>
      <c r="B821" s="49" t="n"/>
      <c r="C821" s="49" t="n"/>
      <c r="D821" s="49" t="n"/>
      <c r="E821" s="49" t="n"/>
      <c r="F821" s="49" t="n"/>
    </row>
    <row r="822" ht="15.75" customHeight="1" s="57">
      <c r="A822" s="49" t="n"/>
      <c r="B822" s="49" t="n"/>
      <c r="C822" s="49" t="n"/>
      <c r="D822" s="49" t="n"/>
      <c r="E822" s="49" t="n"/>
      <c r="F822" s="49" t="n"/>
    </row>
    <row r="823" ht="15.75" customHeight="1" s="57">
      <c r="A823" s="49" t="n"/>
      <c r="B823" s="49" t="n"/>
      <c r="C823" s="49" t="n"/>
      <c r="D823" s="49" t="n"/>
      <c r="E823" s="49" t="n"/>
      <c r="F823" s="49" t="n"/>
    </row>
    <row r="824" ht="15.75" customHeight="1" s="57">
      <c r="A824" s="49" t="n"/>
      <c r="B824" s="49" t="n"/>
      <c r="C824" s="49" t="n"/>
      <c r="D824" s="49" t="n"/>
      <c r="E824" s="49" t="n"/>
      <c r="F824" s="49" t="n"/>
    </row>
    <row r="825" ht="15.75" customHeight="1" s="57">
      <c r="A825" s="49" t="n"/>
      <c r="B825" s="49" t="n"/>
      <c r="C825" s="49" t="n"/>
      <c r="D825" s="49" t="n"/>
      <c r="E825" s="49" t="n"/>
      <c r="F825" s="49" t="n"/>
    </row>
    <row r="826" ht="15.75" customHeight="1" s="57">
      <c r="A826" s="49" t="n"/>
      <c r="B826" s="49" t="n"/>
      <c r="C826" s="49" t="n"/>
      <c r="D826" s="49" t="n"/>
      <c r="E826" s="49" t="n"/>
      <c r="F826" s="49" t="n"/>
    </row>
    <row r="827" ht="15.75" customHeight="1" s="57">
      <c r="A827" s="49" t="n"/>
      <c r="B827" s="49" t="n"/>
      <c r="C827" s="49" t="n"/>
      <c r="D827" s="49" t="n"/>
      <c r="E827" s="49" t="n"/>
      <c r="F827" s="49" t="n"/>
    </row>
    <row r="828" ht="15.75" customHeight="1" s="57">
      <c r="A828" s="49" t="n"/>
      <c r="B828" s="49" t="n"/>
      <c r="C828" s="49" t="n"/>
      <c r="D828" s="49" t="n"/>
      <c r="E828" s="49" t="n"/>
      <c r="F828" s="49" t="n"/>
    </row>
    <row r="829" ht="15.75" customHeight="1" s="57">
      <c r="A829" s="49" t="n"/>
      <c r="B829" s="49" t="n"/>
      <c r="C829" s="49" t="n"/>
      <c r="D829" s="49" t="n"/>
      <c r="E829" s="49" t="n"/>
      <c r="F829" s="49" t="n"/>
    </row>
    <row r="830" ht="15.75" customHeight="1" s="57">
      <c r="A830" s="49" t="n"/>
      <c r="B830" s="49" t="n"/>
      <c r="C830" s="49" t="n"/>
      <c r="D830" s="49" t="n"/>
      <c r="E830" s="49" t="n"/>
      <c r="F830" s="49" t="n"/>
    </row>
    <row r="831" ht="15.75" customHeight="1" s="57">
      <c r="A831" s="49" t="n"/>
      <c r="B831" s="49" t="n"/>
      <c r="C831" s="49" t="n"/>
      <c r="D831" s="49" t="n"/>
      <c r="E831" s="49" t="n"/>
      <c r="F831" s="49" t="n"/>
    </row>
    <row r="832" ht="15.75" customHeight="1" s="57">
      <c r="A832" s="49" t="n"/>
      <c r="B832" s="49" t="n"/>
      <c r="C832" s="49" t="n"/>
      <c r="D832" s="49" t="n"/>
      <c r="E832" s="49" t="n"/>
      <c r="F832" s="49" t="n"/>
    </row>
    <row r="833" ht="15.75" customHeight="1" s="57">
      <c r="A833" s="49" t="n"/>
      <c r="B833" s="49" t="n"/>
      <c r="C833" s="49" t="n"/>
      <c r="D833" s="49" t="n"/>
      <c r="E833" s="49" t="n"/>
      <c r="F833" s="49" t="n"/>
    </row>
    <row r="834" ht="15.75" customHeight="1" s="57">
      <c r="A834" s="49" t="n"/>
      <c r="B834" s="49" t="n"/>
      <c r="C834" s="49" t="n"/>
      <c r="D834" s="49" t="n"/>
      <c r="E834" s="49" t="n"/>
      <c r="F834" s="49" t="n"/>
    </row>
    <row r="835" ht="15.75" customHeight="1" s="57">
      <c r="A835" s="49" t="n"/>
      <c r="B835" s="49" t="n"/>
      <c r="C835" s="49" t="n"/>
      <c r="D835" s="49" t="n"/>
      <c r="E835" s="49" t="n"/>
      <c r="F835" s="49" t="n"/>
    </row>
    <row r="836" ht="15.75" customHeight="1" s="57">
      <c r="A836" s="49" t="n"/>
      <c r="B836" s="49" t="n"/>
      <c r="C836" s="49" t="n"/>
      <c r="D836" s="49" t="n"/>
      <c r="E836" s="49" t="n"/>
      <c r="F836" s="49" t="n"/>
    </row>
    <row r="837" ht="15.75" customHeight="1" s="57">
      <c r="A837" s="49" t="n"/>
      <c r="B837" s="49" t="n"/>
      <c r="C837" s="49" t="n"/>
      <c r="D837" s="49" t="n"/>
      <c r="E837" s="49" t="n"/>
      <c r="F837" s="49" t="n"/>
    </row>
    <row r="838" ht="15.75" customHeight="1" s="57">
      <c r="A838" s="49" t="n"/>
      <c r="B838" s="49" t="n"/>
      <c r="C838" s="49" t="n"/>
      <c r="D838" s="49" t="n"/>
      <c r="E838" s="49" t="n"/>
      <c r="F838" s="49" t="n"/>
    </row>
    <row r="839" ht="15.75" customHeight="1" s="57">
      <c r="A839" s="49" t="n"/>
      <c r="B839" s="49" t="n"/>
      <c r="C839" s="49" t="n"/>
      <c r="D839" s="49" t="n"/>
      <c r="E839" s="49" t="n"/>
      <c r="F839" s="49" t="n"/>
    </row>
    <row r="840" ht="15.75" customHeight="1" s="57">
      <c r="A840" s="49" t="n"/>
      <c r="B840" s="49" t="n"/>
      <c r="C840" s="49" t="n"/>
      <c r="D840" s="49" t="n"/>
      <c r="E840" s="49" t="n"/>
      <c r="F840" s="49" t="n"/>
    </row>
    <row r="841" ht="15.75" customHeight="1" s="57">
      <c r="A841" s="49" t="n"/>
      <c r="B841" s="49" t="n"/>
      <c r="C841" s="49" t="n"/>
      <c r="D841" s="49" t="n"/>
      <c r="E841" s="49" t="n"/>
      <c r="F841" s="49" t="n"/>
    </row>
    <row r="842" ht="15.75" customHeight="1" s="57">
      <c r="A842" s="49" t="n"/>
      <c r="B842" s="49" t="n"/>
      <c r="C842" s="49" t="n"/>
      <c r="D842" s="49" t="n"/>
      <c r="E842" s="49" t="n"/>
      <c r="F842" s="49" t="n"/>
    </row>
    <row r="843" ht="15.75" customHeight="1" s="57">
      <c r="A843" s="49" t="n"/>
      <c r="B843" s="49" t="n"/>
      <c r="C843" s="49" t="n"/>
      <c r="D843" s="49" t="n"/>
      <c r="E843" s="49" t="n"/>
      <c r="F843" s="49" t="n"/>
    </row>
    <row r="844" ht="15.75" customHeight="1" s="57">
      <c r="A844" s="49" t="n"/>
      <c r="B844" s="49" t="n"/>
      <c r="C844" s="49" t="n"/>
      <c r="D844" s="49" t="n"/>
      <c r="E844" s="49" t="n"/>
      <c r="F844" s="49" t="n"/>
    </row>
    <row r="845" ht="15.75" customHeight="1" s="57">
      <c r="A845" s="49" t="n"/>
      <c r="B845" s="49" t="n"/>
      <c r="C845" s="49" t="n"/>
      <c r="D845" s="49" t="n"/>
      <c r="E845" s="49" t="n"/>
      <c r="F845" s="49" t="n"/>
    </row>
    <row r="846" ht="15.75" customHeight="1" s="57">
      <c r="A846" s="49" t="n"/>
      <c r="B846" s="49" t="n"/>
      <c r="C846" s="49" t="n"/>
      <c r="D846" s="49" t="n"/>
      <c r="E846" s="49" t="n"/>
      <c r="F846" s="49" t="n"/>
    </row>
    <row r="847" ht="15.75" customHeight="1" s="57">
      <c r="A847" s="49" t="n"/>
      <c r="B847" s="49" t="n"/>
      <c r="C847" s="49" t="n"/>
      <c r="D847" s="49" t="n"/>
      <c r="E847" s="49" t="n"/>
      <c r="F847" s="49" t="n"/>
    </row>
    <row r="848" ht="15.75" customHeight="1" s="57">
      <c r="A848" s="49" t="n"/>
      <c r="B848" s="49" t="n"/>
      <c r="C848" s="49" t="n"/>
      <c r="D848" s="49" t="n"/>
      <c r="E848" s="49" t="n"/>
      <c r="F848" s="49" t="n"/>
    </row>
    <row r="849" ht="15.75" customHeight="1" s="57">
      <c r="A849" s="49" t="n"/>
      <c r="B849" s="49" t="n"/>
      <c r="C849" s="49" t="n"/>
      <c r="D849" s="49" t="n"/>
      <c r="E849" s="49" t="n"/>
      <c r="F849" s="49" t="n"/>
    </row>
    <row r="850" ht="15.75" customHeight="1" s="57">
      <c r="A850" s="49" t="n"/>
      <c r="B850" s="49" t="n"/>
      <c r="C850" s="49" t="n"/>
      <c r="D850" s="49" t="n"/>
      <c r="E850" s="49" t="n"/>
      <c r="F850" s="49" t="n"/>
    </row>
    <row r="851" ht="15.75" customHeight="1" s="57">
      <c r="A851" s="49" t="n"/>
      <c r="B851" s="49" t="n"/>
      <c r="C851" s="49" t="n"/>
      <c r="D851" s="49" t="n"/>
      <c r="E851" s="49" t="n"/>
      <c r="F851" s="49" t="n"/>
    </row>
    <row r="852" ht="15.75" customHeight="1" s="57">
      <c r="A852" s="49" t="n"/>
      <c r="B852" s="49" t="n"/>
      <c r="C852" s="49" t="n"/>
      <c r="D852" s="49" t="n"/>
      <c r="E852" s="49" t="n"/>
      <c r="F852" s="49" t="n"/>
    </row>
    <row r="853" ht="15.75" customHeight="1" s="57">
      <c r="A853" s="49" t="n"/>
      <c r="B853" s="49" t="n"/>
      <c r="C853" s="49" t="n"/>
      <c r="D853" s="49" t="n"/>
      <c r="E853" s="49" t="n"/>
      <c r="F853" s="49" t="n"/>
    </row>
    <row r="854" ht="15.75" customHeight="1" s="57">
      <c r="A854" s="49" t="n"/>
      <c r="B854" s="49" t="n"/>
      <c r="C854" s="49" t="n"/>
      <c r="D854" s="49" t="n"/>
      <c r="E854" s="49" t="n"/>
      <c r="F854" s="49" t="n"/>
    </row>
    <row r="855" ht="15.75" customHeight="1" s="57">
      <c r="A855" s="49" t="n"/>
      <c r="B855" s="49" t="n"/>
      <c r="C855" s="49" t="n"/>
      <c r="D855" s="49" t="n"/>
      <c r="E855" s="49" t="n"/>
      <c r="F855" s="49" t="n"/>
    </row>
    <row r="856" ht="15.75" customHeight="1" s="57">
      <c r="A856" s="49" t="n"/>
      <c r="B856" s="49" t="n"/>
      <c r="C856" s="49" t="n"/>
      <c r="D856" s="49" t="n"/>
      <c r="E856" s="49" t="n"/>
      <c r="F856" s="49" t="n"/>
    </row>
    <row r="857" ht="15.75" customHeight="1" s="57">
      <c r="A857" s="49" t="n"/>
      <c r="B857" s="49" t="n"/>
      <c r="C857" s="49" t="n"/>
      <c r="D857" s="49" t="n"/>
      <c r="E857" s="49" t="n"/>
      <c r="F857" s="49" t="n"/>
    </row>
    <row r="858" ht="15.75" customHeight="1" s="57">
      <c r="A858" s="49" t="n"/>
      <c r="B858" s="49" t="n"/>
      <c r="C858" s="49" t="n"/>
      <c r="D858" s="49" t="n"/>
      <c r="E858" s="49" t="n"/>
      <c r="F858" s="49" t="n"/>
    </row>
    <row r="859" ht="15.75" customHeight="1" s="57">
      <c r="A859" s="49" t="n"/>
      <c r="B859" s="49" t="n"/>
      <c r="C859" s="49" t="n"/>
      <c r="D859" s="49" t="n"/>
      <c r="E859" s="49" t="n"/>
      <c r="F859" s="49" t="n"/>
    </row>
    <row r="860" ht="15.75" customHeight="1" s="57">
      <c r="A860" s="49" t="n"/>
      <c r="B860" s="49" t="n"/>
      <c r="C860" s="49" t="n"/>
      <c r="D860" s="49" t="n"/>
      <c r="E860" s="49" t="n"/>
      <c r="F860" s="49" t="n"/>
    </row>
    <row r="861" ht="15.75" customHeight="1" s="57">
      <c r="A861" s="49" t="n"/>
      <c r="B861" s="49" t="n"/>
      <c r="C861" s="49" t="n"/>
      <c r="D861" s="49" t="n"/>
      <c r="E861" s="49" t="n"/>
      <c r="F861" s="49" t="n"/>
    </row>
    <row r="862" ht="15.75" customHeight="1" s="57">
      <c r="A862" s="49" t="n"/>
      <c r="B862" s="49" t="n"/>
      <c r="C862" s="49" t="n"/>
      <c r="D862" s="49" t="n"/>
      <c r="E862" s="49" t="n"/>
      <c r="F862" s="49" t="n"/>
    </row>
    <row r="863" ht="15.75" customHeight="1" s="57">
      <c r="A863" s="49" t="n"/>
      <c r="B863" s="49" t="n"/>
      <c r="C863" s="49" t="n"/>
      <c r="D863" s="49" t="n"/>
      <c r="E863" s="49" t="n"/>
      <c r="F863" s="49" t="n"/>
    </row>
    <row r="864" ht="15.75" customHeight="1" s="57">
      <c r="A864" s="49" t="n"/>
      <c r="B864" s="49" t="n"/>
      <c r="C864" s="49" t="n"/>
      <c r="D864" s="49" t="n"/>
      <c r="E864" s="49" t="n"/>
      <c r="F864" s="49" t="n"/>
    </row>
    <row r="865" ht="15.75" customHeight="1" s="57">
      <c r="A865" s="49" t="n"/>
      <c r="B865" s="49" t="n"/>
      <c r="C865" s="49" t="n"/>
      <c r="D865" s="49" t="n"/>
      <c r="E865" s="49" t="n"/>
      <c r="F865" s="49" t="n"/>
    </row>
    <row r="866" ht="15.75" customHeight="1" s="57">
      <c r="A866" s="49" t="n"/>
      <c r="B866" s="49" t="n"/>
      <c r="C866" s="49" t="n"/>
      <c r="D866" s="49" t="n"/>
      <c r="E866" s="49" t="n"/>
      <c r="F866" s="49" t="n"/>
    </row>
    <row r="867" ht="15.75" customHeight="1" s="57">
      <c r="A867" s="49" t="n"/>
      <c r="B867" s="49" t="n"/>
      <c r="C867" s="49" t="n"/>
      <c r="D867" s="49" t="n"/>
      <c r="E867" s="49" t="n"/>
      <c r="F867" s="49" t="n"/>
    </row>
    <row r="868" ht="15.75" customHeight="1" s="57">
      <c r="A868" s="49" t="n"/>
      <c r="B868" s="49" t="n"/>
      <c r="C868" s="49" t="n"/>
      <c r="D868" s="49" t="n"/>
      <c r="E868" s="49" t="n"/>
      <c r="F868" s="49" t="n"/>
    </row>
    <row r="869" ht="15.75" customHeight="1" s="57">
      <c r="A869" s="49" t="n"/>
      <c r="B869" s="49" t="n"/>
      <c r="C869" s="49" t="n"/>
      <c r="D869" s="49" t="n"/>
      <c r="E869" s="49" t="n"/>
      <c r="F869" s="49" t="n"/>
    </row>
    <row r="870" ht="15.75" customHeight="1" s="57">
      <c r="A870" s="49" t="n"/>
      <c r="B870" s="49" t="n"/>
      <c r="C870" s="49" t="n"/>
      <c r="D870" s="49" t="n"/>
      <c r="E870" s="49" t="n"/>
      <c r="F870" s="49" t="n"/>
    </row>
    <row r="871" ht="15.75" customHeight="1" s="57">
      <c r="A871" s="49" t="n"/>
      <c r="B871" s="49" t="n"/>
      <c r="C871" s="49" t="n"/>
      <c r="D871" s="49" t="n"/>
      <c r="E871" s="49" t="n"/>
      <c r="F871" s="49" t="n"/>
    </row>
    <row r="872" ht="15.75" customHeight="1" s="57">
      <c r="A872" s="49" t="n"/>
      <c r="B872" s="49" t="n"/>
      <c r="C872" s="49" t="n"/>
      <c r="D872" s="49" t="n"/>
      <c r="E872" s="49" t="n"/>
      <c r="F872" s="49" t="n"/>
    </row>
    <row r="873" ht="15.75" customHeight="1" s="57">
      <c r="A873" s="49" t="n"/>
      <c r="B873" s="49" t="n"/>
      <c r="C873" s="49" t="n"/>
      <c r="D873" s="49" t="n"/>
      <c r="E873" s="49" t="n"/>
      <c r="F873" s="49" t="n"/>
    </row>
    <row r="874" ht="15.75" customHeight="1" s="57">
      <c r="A874" s="49" t="n"/>
      <c r="B874" s="49" t="n"/>
      <c r="C874" s="49" t="n"/>
      <c r="D874" s="49" t="n"/>
      <c r="E874" s="49" t="n"/>
      <c r="F874" s="49" t="n"/>
    </row>
    <row r="875" ht="15.75" customHeight="1" s="57">
      <c r="A875" s="49" t="n"/>
      <c r="B875" s="49" t="n"/>
      <c r="C875" s="49" t="n"/>
      <c r="D875" s="49" t="n"/>
      <c r="E875" s="49" t="n"/>
      <c r="F875" s="49" t="n"/>
    </row>
    <row r="876" ht="15.75" customHeight="1" s="57">
      <c r="A876" s="49" t="n"/>
      <c r="B876" s="49" t="n"/>
      <c r="C876" s="49" t="n"/>
      <c r="D876" s="49" t="n"/>
      <c r="E876" s="49" t="n"/>
      <c r="F876" s="49" t="n"/>
    </row>
    <row r="877" ht="15.75" customHeight="1" s="57">
      <c r="A877" s="49" t="n"/>
      <c r="B877" s="49" t="n"/>
      <c r="C877" s="49" t="n"/>
      <c r="D877" s="49" t="n"/>
      <c r="E877" s="49" t="n"/>
      <c r="F877" s="49" t="n"/>
    </row>
    <row r="878" ht="15.75" customHeight="1" s="57">
      <c r="A878" s="49" t="n"/>
      <c r="B878" s="49" t="n"/>
      <c r="C878" s="49" t="n"/>
      <c r="D878" s="49" t="n"/>
      <c r="E878" s="49" t="n"/>
      <c r="F878" s="49" t="n"/>
    </row>
    <row r="879" ht="15.75" customHeight="1" s="57">
      <c r="A879" s="49" t="n"/>
      <c r="B879" s="49" t="n"/>
      <c r="C879" s="49" t="n"/>
      <c r="D879" s="49" t="n"/>
      <c r="E879" s="49" t="n"/>
      <c r="F879" s="49" t="n"/>
    </row>
    <row r="880" ht="15.75" customHeight="1" s="57">
      <c r="A880" s="49" t="n"/>
      <c r="B880" s="49" t="n"/>
      <c r="C880" s="49" t="n"/>
      <c r="D880" s="49" t="n"/>
      <c r="E880" s="49" t="n"/>
      <c r="F880" s="49" t="n"/>
    </row>
    <row r="881" ht="15.75" customHeight="1" s="57">
      <c r="A881" s="49" t="n"/>
      <c r="B881" s="49" t="n"/>
      <c r="C881" s="49" t="n"/>
      <c r="D881" s="49" t="n"/>
      <c r="E881" s="49" t="n"/>
      <c r="F881" s="49" t="n"/>
    </row>
    <row r="882" ht="15.75" customHeight="1" s="57">
      <c r="A882" s="49" t="n"/>
      <c r="B882" s="49" t="n"/>
      <c r="C882" s="49" t="n"/>
      <c r="D882" s="49" t="n"/>
      <c r="E882" s="49" t="n"/>
      <c r="F882" s="49" t="n"/>
    </row>
    <row r="883" ht="15.75" customHeight="1" s="57">
      <c r="A883" s="49" t="n"/>
      <c r="B883" s="49" t="n"/>
      <c r="C883" s="49" t="n"/>
      <c r="D883" s="49" t="n"/>
      <c r="E883" s="49" t="n"/>
      <c r="F883" s="49" t="n"/>
    </row>
    <row r="884" ht="15.75" customHeight="1" s="57">
      <c r="A884" s="49" t="n"/>
      <c r="B884" s="49" t="n"/>
      <c r="C884" s="49" t="n"/>
      <c r="D884" s="49" t="n"/>
      <c r="E884" s="49" t="n"/>
      <c r="F884" s="49" t="n"/>
    </row>
    <row r="885" ht="15.75" customHeight="1" s="57">
      <c r="A885" s="49" t="n"/>
      <c r="B885" s="49" t="n"/>
      <c r="C885" s="49" t="n"/>
      <c r="D885" s="49" t="n"/>
      <c r="E885" s="49" t="n"/>
      <c r="F885" s="49" t="n"/>
    </row>
    <row r="886" ht="15.75" customHeight="1" s="57">
      <c r="A886" s="49" t="n"/>
      <c r="B886" s="49" t="n"/>
      <c r="C886" s="49" t="n"/>
      <c r="D886" s="49" t="n"/>
      <c r="E886" s="49" t="n"/>
      <c r="F886" s="49" t="n"/>
    </row>
    <row r="887" ht="15.75" customHeight="1" s="57">
      <c r="A887" s="49" t="n"/>
      <c r="B887" s="49" t="n"/>
      <c r="C887" s="49" t="n"/>
      <c r="D887" s="49" t="n"/>
      <c r="E887" s="49" t="n"/>
      <c r="F887" s="49" t="n"/>
    </row>
    <row r="888" ht="15.75" customHeight="1" s="57">
      <c r="A888" s="49" t="n"/>
      <c r="B888" s="49" t="n"/>
      <c r="C888" s="49" t="n"/>
      <c r="D888" s="49" t="n"/>
      <c r="E888" s="49" t="n"/>
      <c r="F888" s="49" t="n"/>
    </row>
    <row r="889" ht="15.75" customHeight="1" s="57">
      <c r="A889" s="49" t="n"/>
      <c r="B889" s="49" t="n"/>
      <c r="C889" s="49" t="n"/>
      <c r="D889" s="49" t="n"/>
      <c r="E889" s="49" t="n"/>
      <c r="F889" s="49" t="n"/>
    </row>
    <row r="890" ht="15.75" customHeight="1" s="57">
      <c r="A890" s="49" t="n"/>
      <c r="B890" s="49" t="n"/>
      <c r="C890" s="49" t="n"/>
      <c r="D890" s="49" t="n"/>
      <c r="E890" s="49" t="n"/>
      <c r="F890" s="49" t="n"/>
    </row>
    <row r="891" ht="15.75" customHeight="1" s="57">
      <c r="A891" s="49" t="n"/>
      <c r="B891" s="49" t="n"/>
      <c r="C891" s="49" t="n"/>
      <c r="D891" s="49" t="n"/>
      <c r="E891" s="49" t="n"/>
      <c r="F891" s="49" t="n"/>
    </row>
    <row r="892" ht="15.75" customHeight="1" s="57">
      <c r="A892" s="49" t="n"/>
      <c r="B892" s="49" t="n"/>
      <c r="C892" s="49" t="n"/>
      <c r="D892" s="49" t="n"/>
      <c r="E892" s="49" t="n"/>
      <c r="F892" s="49" t="n"/>
    </row>
    <row r="893" ht="15.75" customHeight="1" s="57">
      <c r="A893" s="49" t="n"/>
      <c r="B893" s="49" t="n"/>
      <c r="C893" s="49" t="n"/>
      <c r="D893" s="49" t="n"/>
      <c r="E893" s="49" t="n"/>
      <c r="F893" s="49" t="n"/>
    </row>
    <row r="894" ht="15.75" customHeight="1" s="57">
      <c r="A894" s="49" t="n"/>
      <c r="B894" s="49" t="n"/>
      <c r="C894" s="49" t="n"/>
      <c r="D894" s="49" t="n"/>
      <c r="E894" s="49" t="n"/>
      <c r="F894" s="49" t="n"/>
    </row>
    <row r="895" ht="15.75" customHeight="1" s="57">
      <c r="A895" s="49" t="n"/>
      <c r="B895" s="49" t="n"/>
      <c r="C895" s="49" t="n"/>
      <c r="D895" s="49" t="n"/>
      <c r="E895" s="49" t="n"/>
      <c r="F895" s="49" t="n"/>
    </row>
    <row r="896" ht="15.75" customHeight="1" s="57">
      <c r="A896" s="49" t="n"/>
      <c r="B896" s="49" t="n"/>
      <c r="C896" s="49" t="n"/>
      <c r="D896" s="49" t="n"/>
      <c r="E896" s="49" t="n"/>
      <c r="F896" s="49" t="n"/>
    </row>
    <row r="897" ht="15.75" customHeight="1" s="57">
      <c r="A897" s="49" t="n"/>
      <c r="B897" s="49" t="n"/>
      <c r="C897" s="49" t="n"/>
      <c r="D897" s="49" t="n"/>
      <c r="E897" s="49" t="n"/>
      <c r="F897" s="49" t="n"/>
    </row>
    <row r="898" ht="15.75" customHeight="1" s="57">
      <c r="A898" s="49" t="n"/>
      <c r="B898" s="49" t="n"/>
      <c r="C898" s="49" t="n"/>
      <c r="D898" s="49" t="n"/>
      <c r="E898" s="49" t="n"/>
      <c r="F898" s="49" t="n"/>
    </row>
    <row r="899" ht="15.75" customHeight="1" s="57">
      <c r="A899" s="49" t="n"/>
      <c r="B899" s="49" t="n"/>
      <c r="C899" s="49" t="n"/>
      <c r="D899" s="49" t="n"/>
      <c r="E899" s="49" t="n"/>
      <c r="F899" s="49" t="n"/>
    </row>
    <row r="900" ht="15.75" customHeight="1" s="57">
      <c r="A900" s="49" t="n"/>
      <c r="B900" s="49" t="n"/>
      <c r="C900" s="49" t="n"/>
      <c r="D900" s="49" t="n"/>
      <c r="E900" s="49" t="n"/>
      <c r="F900" s="49" t="n"/>
    </row>
    <row r="901" ht="15.75" customHeight="1" s="57">
      <c r="A901" s="49" t="n"/>
      <c r="B901" s="49" t="n"/>
      <c r="C901" s="49" t="n"/>
      <c r="D901" s="49" t="n"/>
      <c r="E901" s="49" t="n"/>
      <c r="F901" s="49" t="n"/>
    </row>
    <row r="902" ht="15.75" customHeight="1" s="57">
      <c r="A902" s="49" t="n"/>
      <c r="B902" s="49" t="n"/>
      <c r="C902" s="49" t="n"/>
      <c r="D902" s="49" t="n"/>
      <c r="E902" s="49" t="n"/>
      <c r="F902" s="49" t="n"/>
    </row>
    <row r="903" ht="15.75" customHeight="1" s="57">
      <c r="A903" s="49" t="n"/>
      <c r="B903" s="49" t="n"/>
      <c r="C903" s="49" t="n"/>
      <c r="D903" s="49" t="n"/>
      <c r="E903" s="49" t="n"/>
      <c r="F903" s="49" t="n"/>
    </row>
    <row r="904" ht="15.75" customHeight="1" s="57">
      <c r="A904" s="49" t="n"/>
      <c r="B904" s="49" t="n"/>
      <c r="C904" s="49" t="n"/>
      <c r="D904" s="49" t="n"/>
      <c r="E904" s="49" t="n"/>
      <c r="F904" s="49" t="n"/>
    </row>
    <row r="905" ht="15.75" customHeight="1" s="57">
      <c r="A905" s="49" t="n"/>
      <c r="B905" s="49" t="n"/>
      <c r="C905" s="49" t="n"/>
      <c r="D905" s="49" t="n"/>
      <c r="E905" s="49" t="n"/>
      <c r="F905" s="49" t="n"/>
    </row>
    <row r="906" ht="15.75" customHeight="1" s="57">
      <c r="A906" s="49" t="n"/>
      <c r="B906" s="49" t="n"/>
      <c r="C906" s="49" t="n"/>
      <c r="D906" s="49" t="n"/>
      <c r="E906" s="49" t="n"/>
      <c r="F906" s="49" t="n"/>
    </row>
    <row r="907" ht="15.75" customHeight="1" s="57">
      <c r="A907" s="49" t="n"/>
      <c r="B907" s="49" t="n"/>
      <c r="C907" s="49" t="n"/>
      <c r="D907" s="49" t="n"/>
      <c r="E907" s="49" t="n"/>
      <c r="F907" s="49" t="n"/>
    </row>
    <row r="908" ht="15.75" customHeight="1" s="57">
      <c r="A908" s="49" t="n"/>
      <c r="B908" s="49" t="n"/>
      <c r="C908" s="49" t="n"/>
      <c r="D908" s="49" t="n"/>
      <c r="E908" s="49" t="n"/>
      <c r="F908" s="49" t="n"/>
    </row>
    <row r="909" ht="15.75" customHeight="1" s="57">
      <c r="A909" s="49" t="n"/>
      <c r="B909" s="49" t="n"/>
      <c r="C909" s="49" t="n"/>
      <c r="D909" s="49" t="n"/>
      <c r="E909" s="49" t="n"/>
      <c r="F909" s="49" t="n"/>
    </row>
    <row r="910" ht="15.75" customHeight="1" s="57">
      <c r="A910" s="49" t="n"/>
      <c r="B910" s="49" t="n"/>
      <c r="C910" s="49" t="n"/>
      <c r="D910" s="49" t="n"/>
      <c r="E910" s="49" t="n"/>
      <c r="F910" s="49" t="n"/>
    </row>
    <row r="911" ht="15.75" customHeight="1" s="57">
      <c r="A911" s="49" t="n"/>
      <c r="B911" s="49" t="n"/>
      <c r="C911" s="49" t="n"/>
      <c r="D911" s="49" t="n"/>
      <c r="E911" s="49" t="n"/>
      <c r="F911" s="49" t="n"/>
    </row>
    <row r="912" ht="15.75" customHeight="1" s="57">
      <c r="A912" s="49" t="n"/>
      <c r="B912" s="49" t="n"/>
      <c r="C912" s="49" t="n"/>
      <c r="D912" s="49" t="n"/>
      <c r="E912" s="49" t="n"/>
      <c r="F912" s="49" t="n"/>
    </row>
    <row r="913" ht="15.75" customHeight="1" s="57">
      <c r="A913" s="49" t="n"/>
      <c r="B913" s="49" t="n"/>
      <c r="C913" s="49" t="n"/>
      <c r="D913" s="49" t="n"/>
      <c r="E913" s="49" t="n"/>
      <c r="F913" s="49" t="n"/>
    </row>
    <row r="914" ht="15.75" customHeight="1" s="57">
      <c r="A914" s="49" t="n"/>
      <c r="B914" s="49" t="n"/>
      <c r="C914" s="49" t="n"/>
      <c r="D914" s="49" t="n"/>
      <c r="E914" s="49" t="n"/>
      <c r="F914" s="49" t="n"/>
    </row>
    <row r="915" ht="15.75" customHeight="1" s="57">
      <c r="A915" s="49" t="n"/>
      <c r="B915" s="49" t="n"/>
      <c r="C915" s="49" t="n"/>
      <c r="D915" s="49" t="n"/>
      <c r="E915" s="49" t="n"/>
      <c r="F915" s="49" t="n"/>
    </row>
    <row r="916" ht="15.75" customHeight="1" s="57">
      <c r="A916" s="49" t="n"/>
      <c r="B916" s="49" t="n"/>
      <c r="C916" s="49" t="n"/>
      <c r="D916" s="49" t="n"/>
      <c r="E916" s="49" t="n"/>
      <c r="F916" s="49" t="n"/>
    </row>
    <row r="917" ht="15.75" customHeight="1" s="57">
      <c r="A917" s="49" t="n"/>
      <c r="B917" s="49" t="n"/>
      <c r="C917" s="49" t="n"/>
      <c r="D917" s="49" t="n"/>
      <c r="E917" s="49" t="n"/>
      <c r="F917" s="49" t="n"/>
    </row>
    <row r="918" ht="15.75" customHeight="1" s="57">
      <c r="A918" s="49" t="n"/>
      <c r="B918" s="49" t="n"/>
      <c r="C918" s="49" t="n"/>
      <c r="D918" s="49" t="n"/>
      <c r="E918" s="49" t="n"/>
      <c r="F918" s="49" t="n"/>
    </row>
    <row r="919" ht="15.75" customHeight="1" s="57">
      <c r="A919" s="49" t="n"/>
      <c r="B919" s="49" t="n"/>
      <c r="C919" s="49" t="n"/>
      <c r="D919" s="49" t="n"/>
      <c r="E919" s="49" t="n"/>
      <c r="F919" s="49" t="n"/>
    </row>
    <row r="920" ht="15.75" customHeight="1" s="57">
      <c r="A920" s="49" t="n"/>
      <c r="B920" s="49" t="n"/>
      <c r="C920" s="49" t="n"/>
      <c r="D920" s="49" t="n"/>
      <c r="E920" s="49" t="n"/>
      <c r="F920" s="49" t="n"/>
    </row>
    <row r="921" ht="15.75" customHeight="1" s="57">
      <c r="A921" s="49" t="n"/>
      <c r="B921" s="49" t="n"/>
      <c r="C921" s="49" t="n"/>
      <c r="D921" s="49" t="n"/>
      <c r="E921" s="49" t="n"/>
      <c r="F921" s="49" t="n"/>
    </row>
    <row r="922" ht="15.75" customHeight="1" s="57">
      <c r="A922" s="49" t="n"/>
      <c r="B922" s="49" t="n"/>
      <c r="C922" s="49" t="n"/>
      <c r="D922" s="49" t="n"/>
      <c r="E922" s="49" t="n"/>
      <c r="F922" s="49" t="n"/>
    </row>
    <row r="923" ht="15.75" customHeight="1" s="57">
      <c r="A923" s="49" t="n"/>
      <c r="B923" s="49" t="n"/>
      <c r="C923" s="49" t="n"/>
      <c r="D923" s="49" t="n"/>
      <c r="E923" s="49" t="n"/>
      <c r="F923" s="49" t="n"/>
    </row>
    <row r="924" ht="15.75" customHeight="1" s="57">
      <c r="A924" s="49" t="n"/>
      <c r="B924" s="49" t="n"/>
      <c r="C924" s="49" t="n"/>
      <c r="D924" s="49" t="n"/>
      <c r="E924" s="49" t="n"/>
      <c r="F924" s="49" t="n"/>
    </row>
    <row r="925" ht="15.75" customHeight="1" s="57">
      <c r="A925" s="49" t="n"/>
      <c r="B925" s="49" t="n"/>
      <c r="C925" s="49" t="n"/>
      <c r="D925" s="49" t="n"/>
      <c r="E925" s="49" t="n"/>
      <c r="F925" s="49" t="n"/>
    </row>
    <row r="926" ht="15.75" customHeight="1" s="57">
      <c r="A926" s="49" t="n"/>
      <c r="B926" s="49" t="n"/>
      <c r="C926" s="49" t="n"/>
      <c r="D926" s="49" t="n"/>
      <c r="E926" s="49" t="n"/>
      <c r="F926" s="49" t="n"/>
    </row>
    <row r="927" ht="15.75" customHeight="1" s="57">
      <c r="A927" s="49" t="n"/>
      <c r="B927" s="49" t="n"/>
      <c r="C927" s="49" t="n"/>
      <c r="D927" s="49" t="n"/>
      <c r="E927" s="49" t="n"/>
      <c r="F927" s="49" t="n"/>
    </row>
    <row r="928" ht="15.75" customHeight="1" s="57">
      <c r="A928" s="49" t="n"/>
      <c r="B928" s="49" t="n"/>
      <c r="C928" s="49" t="n"/>
      <c r="D928" s="49" t="n"/>
      <c r="E928" s="49" t="n"/>
      <c r="F928" s="49" t="n"/>
    </row>
    <row r="929" ht="15.75" customHeight="1" s="57">
      <c r="A929" s="49" t="n"/>
      <c r="B929" s="49" t="n"/>
      <c r="C929" s="49" t="n"/>
      <c r="D929" s="49" t="n"/>
      <c r="E929" s="49" t="n"/>
      <c r="F929" s="49" t="n"/>
    </row>
    <row r="930" ht="15.75" customHeight="1" s="57">
      <c r="A930" s="49" t="n"/>
      <c r="B930" s="49" t="n"/>
      <c r="C930" s="49" t="n"/>
      <c r="D930" s="49" t="n"/>
      <c r="E930" s="49" t="n"/>
      <c r="F930" s="49" t="n"/>
    </row>
    <row r="931" ht="15.75" customHeight="1" s="57">
      <c r="A931" s="49" t="n"/>
      <c r="B931" s="49" t="n"/>
      <c r="C931" s="49" t="n"/>
      <c r="D931" s="49" t="n"/>
      <c r="E931" s="49" t="n"/>
      <c r="F931" s="49" t="n"/>
    </row>
    <row r="932" ht="15.75" customHeight="1" s="57">
      <c r="A932" s="49" t="n"/>
      <c r="B932" s="49" t="n"/>
      <c r="C932" s="49" t="n"/>
      <c r="D932" s="49" t="n"/>
      <c r="E932" s="49" t="n"/>
      <c r="F932" s="49" t="n"/>
    </row>
    <row r="933" ht="15.75" customHeight="1" s="57">
      <c r="A933" s="49" t="n"/>
      <c r="B933" s="49" t="n"/>
      <c r="C933" s="49" t="n"/>
      <c r="D933" s="49" t="n"/>
      <c r="E933" s="49" t="n"/>
      <c r="F933" s="49" t="n"/>
    </row>
    <row r="934" ht="15.75" customHeight="1" s="57">
      <c r="A934" s="49" t="n"/>
      <c r="B934" s="49" t="n"/>
      <c r="C934" s="49" t="n"/>
      <c r="D934" s="49" t="n"/>
      <c r="E934" s="49" t="n"/>
      <c r="F934" s="49" t="n"/>
    </row>
    <row r="935" ht="15.75" customHeight="1" s="57">
      <c r="A935" s="49" t="n"/>
      <c r="B935" s="49" t="n"/>
      <c r="C935" s="49" t="n"/>
      <c r="D935" s="49" t="n"/>
      <c r="E935" s="49" t="n"/>
      <c r="F935" s="49" t="n"/>
    </row>
    <row r="936" ht="15.75" customHeight="1" s="57">
      <c r="A936" s="49" t="n"/>
      <c r="B936" s="49" t="n"/>
      <c r="C936" s="49" t="n"/>
      <c r="D936" s="49" t="n"/>
      <c r="E936" s="49" t="n"/>
      <c r="F936" s="49" t="n"/>
    </row>
    <row r="937" ht="15.75" customHeight="1" s="57">
      <c r="A937" s="49" t="n"/>
      <c r="B937" s="49" t="n"/>
      <c r="C937" s="49" t="n"/>
      <c r="D937" s="49" t="n"/>
      <c r="E937" s="49" t="n"/>
      <c r="F937" s="49" t="n"/>
    </row>
    <row r="938" ht="15.75" customHeight="1" s="57">
      <c r="A938" s="49" t="n"/>
      <c r="B938" s="49" t="n"/>
      <c r="C938" s="49" t="n"/>
      <c r="D938" s="49" t="n"/>
      <c r="E938" s="49" t="n"/>
      <c r="F938" s="49" t="n"/>
    </row>
    <row r="939" ht="15.75" customHeight="1" s="57">
      <c r="A939" s="49" t="n"/>
      <c r="B939" s="49" t="n"/>
      <c r="C939" s="49" t="n"/>
      <c r="D939" s="49" t="n"/>
      <c r="E939" s="49" t="n"/>
      <c r="F939" s="49" t="n"/>
    </row>
    <row r="940" ht="15.75" customHeight="1" s="57">
      <c r="A940" s="49" t="n"/>
      <c r="B940" s="49" t="n"/>
      <c r="C940" s="49" t="n"/>
      <c r="D940" s="49" t="n"/>
      <c r="E940" s="49" t="n"/>
      <c r="F940" s="49" t="n"/>
    </row>
    <row r="941" ht="15.75" customHeight="1" s="57">
      <c r="A941" s="49" t="n"/>
      <c r="B941" s="49" t="n"/>
      <c r="C941" s="49" t="n"/>
      <c r="D941" s="49" t="n"/>
      <c r="E941" s="49" t="n"/>
      <c r="F941" s="49" t="n"/>
    </row>
    <row r="942" ht="15.75" customHeight="1" s="57">
      <c r="A942" s="49" t="n"/>
      <c r="B942" s="49" t="n"/>
      <c r="C942" s="49" t="n"/>
      <c r="D942" s="49" t="n"/>
      <c r="E942" s="49" t="n"/>
      <c r="F942" s="49" t="n"/>
    </row>
    <row r="943" ht="15.75" customHeight="1" s="57">
      <c r="A943" s="49" t="n"/>
      <c r="B943" s="49" t="n"/>
      <c r="C943" s="49" t="n"/>
      <c r="D943" s="49" t="n"/>
      <c r="E943" s="49" t="n"/>
      <c r="F943" s="49" t="n"/>
    </row>
    <row r="944" ht="15.75" customHeight="1" s="57">
      <c r="A944" s="49" t="n"/>
      <c r="B944" s="49" t="n"/>
      <c r="C944" s="49" t="n"/>
      <c r="D944" s="49" t="n"/>
      <c r="E944" s="49" t="n"/>
      <c r="F944" s="49" t="n"/>
    </row>
    <row r="945" ht="15.75" customHeight="1" s="57">
      <c r="A945" s="49" t="n"/>
      <c r="B945" s="49" t="n"/>
      <c r="C945" s="49" t="n"/>
      <c r="D945" s="49" t="n"/>
      <c r="E945" s="49" t="n"/>
      <c r="F945" s="49" t="n"/>
    </row>
    <row r="946" ht="15.75" customHeight="1" s="57">
      <c r="A946" s="49" t="n"/>
      <c r="B946" s="49" t="n"/>
      <c r="C946" s="49" t="n"/>
      <c r="D946" s="49" t="n"/>
      <c r="E946" s="49" t="n"/>
      <c r="F946" s="49" t="n"/>
    </row>
    <row r="947" ht="15.75" customHeight="1" s="57">
      <c r="A947" s="49" t="n"/>
      <c r="B947" s="49" t="n"/>
      <c r="C947" s="49" t="n"/>
      <c r="D947" s="49" t="n"/>
      <c r="E947" s="49" t="n"/>
      <c r="F947" s="49" t="n"/>
    </row>
    <row r="948" ht="15.75" customHeight="1" s="57">
      <c r="A948" s="49" t="n"/>
      <c r="B948" s="49" t="n"/>
      <c r="C948" s="49" t="n"/>
      <c r="D948" s="49" t="n"/>
      <c r="E948" s="49" t="n"/>
      <c r="F948" s="49" t="n"/>
    </row>
    <row r="949" ht="15.75" customHeight="1" s="57">
      <c r="A949" s="49" t="n"/>
      <c r="B949" s="49" t="n"/>
      <c r="C949" s="49" t="n"/>
      <c r="D949" s="49" t="n"/>
      <c r="E949" s="49" t="n"/>
      <c r="F949" s="49" t="n"/>
    </row>
    <row r="950" ht="15.75" customHeight="1" s="57">
      <c r="A950" s="49" t="n"/>
      <c r="B950" s="49" t="n"/>
      <c r="C950" s="49" t="n"/>
      <c r="D950" s="49" t="n"/>
      <c r="E950" s="49" t="n"/>
      <c r="F950" s="49" t="n"/>
    </row>
    <row r="951" ht="15.75" customHeight="1" s="57">
      <c r="A951" s="49" t="n"/>
      <c r="B951" s="49" t="n"/>
      <c r="C951" s="49" t="n"/>
      <c r="D951" s="49" t="n"/>
      <c r="E951" s="49" t="n"/>
      <c r="F951" s="49" t="n"/>
    </row>
    <row r="952" ht="15.75" customHeight="1" s="57">
      <c r="A952" s="49" t="n"/>
      <c r="B952" s="49" t="n"/>
      <c r="C952" s="49" t="n"/>
      <c r="D952" s="49" t="n"/>
      <c r="E952" s="49" t="n"/>
      <c r="F952" s="49" t="n"/>
    </row>
    <row r="953" ht="15.75" customHeight="1" s="57">
      <c r="A953" s="49" t="n"/>
      <c r="B953" s="49" t="n"/>
      <c r="C953" s="49" t="n"/>
      <c r="D953" s="49" t="n"/>
      <c r="E953" s="49" t="n"/>
      <c r="F953" s="49" t="n"/>
    </row>
    <row r="954" ht="15.75" customHeight="1" s="57">
      <c r="A954" s="49" t="n"/>
      <c r="B954" s="49" t="n"/>
      <c r="C954" s="49" t="n"/>
      <c r="D954" s="49" t="n"/>
      <c r="E954" s="49" t="n"/>
      <c r="F954" s="49" t="n"/>
    </row>
    <row r="955" ht="15.75" customHeight="1" s="57">
      <c r="A955" s="49" t="n"/>
      <c r="B955" s="49" t="n"/>
      <c r="C955" s="49" t="n"/>
      <c r="D955" s="49" t="n"/>
      <c r="E955" s="49" t="n"/>
      <c r="F955" s="49" t="n"/>
    </row>
    <row r="956" ht="15.75" customHeight="1" s="57">
      <c r="A956" s="49" t="n"/>
      <c r="B956" s="49" t="n"/>
      <c r="C956" s="49" t="n"/>
      <c r="D956" s="49" t="n"/>
      <c r="E956" s="49" t="n"/>
      <c r="F956" s="49" t="n"/>
    </row>
    <row r="957" ht="15.75" customHeight="1" s="57">
      <c r="A957" s="49" t="n"/>
      <c r="B957" s="49" t="n"/>
      <c r="C957" s="49" t="n"/>
      <c r="D957" s="49" t="n"/>
      <c r="E957" s="49" t="n"/>
      <c r="F957" s="49" t="n"/>
    </row>
    <row r="958" ht="15.75" customHeight="1" s="57">
      <c r="A958" s="49" t="n"/>
      <c r="B958" s="49" t="n"/>
      <c r="C958" s="49" t="n"/>
      <c r="D958" s="49" t="n"/>
      <c r="E958" s="49" t="n"/>
      <c r="F958" s="49" t="n"/>
    </row>
    <row r="959" ht="15.75" customHeight="1" s="57">
      <c r="A959" s="49" t="n"/>
      <c r="B959" s="49" t="n"/>
      <c r="C959" s="49" t="n"/>
      <c r="D959" s="49" t="n"/>
      <c r="E959" s="49" t="n"/>
      <c r="F959" s="49" t="n"/>
    </row>
    <row r="960" ht="15.75" customHeight="1" s="57">
      <c r="A960" s="49" t="n"/>
      <c r="B960" s="49" t="n"/>
      <c r="C960" s="49" t="n"/>
      <c r="D960" s="49" t="n"/>
      <c r="E960" s="49" t="n"/>
      <c r="F960" s="49" t="n"/>
    </row>
    <row r="961" ht="15.75" customHeight="1" s="57">
      <c r="A961" s="49" t="n"/>
      <c r="B961" s="49" t="n"/>
      <c r="C961" s="49" t="n"/>
      <c r="D961" s="49" t="n"/>
      <c r="E961" s="49" t="n"/>
      <c r="F961" s="49" t="n"/>
    </row>
    <row r="962" ht="15.75" customHeight="1" s="57">
      <c r="A962" s="49" t="n"/>
      <c r="B962" s="49" t="n"/>
      <c r="C962" s="49" t="n"/>
      <c r="D962" s="49" t="n"/>
      <c r="E962" s="49" t="n"/>
      <c r="F962" s="49" t="n"/>
    </row>
    <row r="963" ht="15.75" customHeight="1" s="57">
      <c r="A963" s="49" t="n"/>
      <c r="B963" s="49" t="n"/>
      <c r="C963" s="49" t="n"/>
      <c r="D963" s="49" t="n"/>
      <c r="E963" s="49" t="n"/>
      <c r="F963" s="49" t="n"/>
    </row>
    <row r="964" ht="15.75" customHeight="1" s="57">
      <c r="A964" s="49" t="n"/>
      <c r="B964" s="49" t="n"/>
      <c r="C964" s="49" t="n"/>
      <c r="D964" s="49" t="n"/>
      <c r="E964" s="49" t="n"/>
      <c r="F964" s="49" t="n"/>
    </row>
    <row r="965" ht="15.75" customHeight="1" s="57">
      <c r="A965" s="49" t="n"/>
      <c r="B965" s="49" t="n"/>
      <c r="C965" s="49" t="n"/>
      <c r="D965" s="49" t="n"/>
      <c r="E965" s="49" t="n"/>
      <c r="F965" s="49" t="n"/>
    </row>
    <row r="966" ht="15.75" customHeight="1" s="57">
      <c r="A966" s="49" t="n"/>
      <c r="B966" s="49" t="n"/>
      <c r="C966" s="49" t="n"/>
      <c r="D966" s="49" t="n"/>
      <c r="E966" s="49" t="n"/>
      <c r="F966" s="49" t="n"/>
    </row>
    <row r="967" ht="15.75" customHeight="1" s="57">
      <c r="A967" s="49" t="n"/>
      <c r="B967" s="49" t="n"/>
      <c r="C967" s="49" t="n"/>
      <c r="D967" s="49" t="n"/>
      <c r="E967" s="49" t="n"/>
      <c r="F967" s="49" t="n"/>
    </row>
    <row r="968" ht="15.75" customHeight="1" s="57">
      <c r="A968" s="49" t="n"/>
      <c r="B968" s="49" t="n"/>
      <c r="C968" s="49" t="n"/>
      <c r="D968" s="49" t="n"/>
      <c r="E968" s="49" t="n"/>
      <c r="F968" s="49" t="n"/>
    </row>
    <row r="969" ht="15.75" customHeight="1" s="57">
      <c r="A969" s="49" t="n"/>
      <c r="B969" s="49" t="n"/>
      <c r="C969" s="49" t="n"/>
      <c r="D969" s="49" t="n"/>
      <c r="E969" s="49" t="n"/>
      <c r="F969" s="49" t="n"/>
    </row>
    <row r="970" ht="15.75" customHeight="1" s="57">
      <c r="A970" s="49" t="n"/>
      <c r="B970" s="49" t="n"/>
      <c r="C970" s="49" t="n"/>
      <c r="D970" s="49" t="n"/>
      <c r="E970" s="49" t="n"/>
      <c r="F970" s="49" t="n"/>
    </row>
    <row r="971" ht="15.75" customHeight="1" s="57">
      <c r="A971" s="49" t="n"/>
      <c r="B971" s="49" t="n"/>
      <c r="C971" s="49" t="n"/>
      <c r="D971" s="49" t="n"/>
      <c r="E971" s="49" t="n"/>
      <c r="F971" s="49" t="n"/>
    </row>
    <row r="972" ht="15.75" customHeight="1" s="57">
      <c r="A972" s="49" t="n"/>
      <c r="B972" s="49" t="n"/>
      <c r="C972" s="49" t="n"/>
      <c r="D972" s="49" t="n"/>
      <c r="E972" s="49" t="n"/>
      <c r="F972" s="49" t="n"/>
    </row>
    <row r="973" ht="15.75" customHeight="1" s="57">
      <c r="A973" s="49" t="n"/>
      <c r="B973" s="49" t="n"/>
      <c r="C973" s="49" t="n"/>
      <c r="D973" s="49" t="n"/>
      <c r="E973" s="49" t="n"/>
      <c r="F973" s="49" t="n"/>
    </row>
    <row r="974" ht="15.75" customHeight="1" s="57">
      <c r="A974" s="49" t="n"/>
      <c r="B974" s="49" t="n"/>
      <c r="C974" s="49" t="n"/>
      <c r="D974" s="49" t="n"/>
      <c r="E974" s="49" t="n"/>
      <c r="F974" s="49" t="n"/>
    </row>
    <row r="975" ht="15.75" customHeight="1" s="57">
      <c r="A975" s="49" t="n"/>
      <c r="B975" s="49" t="n"/>
      <c r="C975" s="49" t="n"/>
      <c r="D975" s="49" t="n"/>
      <c r="E975" s="49" t="n"/>
      <c r="F975" s="49" t="n"/>
    </row>
    <row r="976" ht="15.75" customHeight="1" s="57">
      <c r="A976" s="49" t="n"/>
      <c r="B976" s="49" t="n"/>
      <c r="C976" s="49" t="n"/>
      <c r="D976" s="49" t="n"/>
      <c r="E976" s="49" t="n"/>
      <c r="F976" s="49" t="n"/>
    </row>
    <row r="977" ht="15.75" customHeight="1" s="57">
      <c r="A977" s="49" t="n"/>
      <c r="B977" s="49" t="n"/>
      <c r="C977" s="49" t="n"/>
      <c r="D977" s="49" t="n"/>
      <c r="E977" s="49" t="n"/>
      <c r="F977" s="49" t="n"/>
    </row>
    <row r="978" ht="15.75" customHeight="1" s="57">
      <c r="A978" s="49" t="n"/>
      <c r="B978" s="49" t="n"/>
      <c r="C978" s="49" t="n"/>
      <c r="D978" s="49" t="n"/>
      <c r="E978" s="49" t="n"/>
      <c r="F978" s="49" t="n"/>
    </row>
    <row r="979" ht="15.75" customHeight="1" s="57">
      <c r="A979" s="49" t="n"/>
      <c r="B979" s="49" t="n"/>
      <c r="C979" s="49" t="n"/>
      <c r="D979" s="49" t="n"/>
      <c r="E979" s="49" t="n"/>
      <c r="F979" s="49" t="n"/>
    </row>
    <row r="980" ht="15.75" customHeight="1" s="57">
      <c r="A980" s="49" t="n"/>
      <c r="B980" s="49" t="n"/>
      <c r="C980" s="49" t="n"/>
      <c r="D980" s="49" t="n"/>
      <c r="E980" s="49" t="n"/>
      <c r="F980" s="49" t="n"/>
    </row>
    <row r="981" ht="15.75" customHeight="1" s="57">
      <c r="A981" s="49" t="n"/>
      <c r="B981" s="49" t="n"/>
      <c r="C981" s="49" t="n"/>
      <c r="D981" s="49" t="n"/>
      <c r="E981" s="49" t="n"/>
      <c r="F981" s="49" t="n"/>
    </row>
    <row r="982" ht="15.75" customHeight="1" s="57">
      <c r="A982" s="49" t="n"/>
      <c r="B982" s="49" t="n"/>
      <c r="C982" s="49" t="n"/>
      <c r="D982" s="49" t="n"/>
      <c r="E982" s="49" t="n"/>
      <c r="F982" s="49" t="n"/>
    </row>
    <row r="983" ht="15.75" customHeight="1" s="57">
      <c r="A983" s="49" t="n"/>
      <c r="B983" s="49" t="n"/>
      <c r="C983" s="49" t="n"/>
      <c r="D983" s="49" t="n"/>
      <c r="E983" s="49" t="n"/>
      <c r="F983" s="49" t="n"/>
    </row>
    <row r="984" ht="15.75" customHeight="1" s="57">
      <c r="A984" s="49" t="n"/>
      <c r="B984" s="49" t="n"/>
      <c r="C984" s="49" t="n"/>
      <c r="D984" s="49" t="n"/>
      <c r="E984" s="49" t="n"/>
      <c r="F984" s="49" t="n"/>
    </row>
    <row r="985" ht="15.75" customHeight="1" s="57">
      <c r="A985" s="49" t="n"/>
      <c r="B985" s="49" t="n"/>
      <c r="C985" s="49" t="n"/>
      <c r="D985" s="49" t="n"/>
      <c r="E985" s="49" t="n"/>
      <c r="F985" s="49" t="n"/>
    </row>
    <row r="986" ht="15.75" customHeight="1" s="57">
      <c r="A986" s="49" t="n"/>
      <c r="B986" s="49" t="n"/>
      <c r="C986" s="49" t="n"/>
      <c r="D986" s="49" t="n"/>
      <c r="E986" s="49" t="n"/>
      <c r="F986" s="49" t="n"/>
    </row>
    <row r="987" ht="15.75" customHeight="1" s="57">
      <c r="A987" s="49" t="n"/>
      <c r="B987" s="49" t="n"/>
      <c r="C987" s="49" t="n"/>
      <c r="D987" s="49" t="n"/>
      <c r="E987" s="49" t="n"/>
      <c r="F987" s="49" t="n"/>
    </row>
    <row r="988" ht="15.75" customHeight="1" s="57">
      <c r="A988" s="49" t="n"/>
      <c r="B988" s="49" t="n"/>
      <c r="C988" s="49" t="n"/>
      <c r="D988" s="49" t="n"/>
      <c r="E988" s="49" t="n"/>
      <c r="F988" s="49" t="n"/>
    </row>
    <row r="989" ht="15.75" customHeight="1" s="57">
      <c r="A989" s="49" t="n"/>
      <c r="B989" s="49" t="n"/>
      <c r="C989" s="49" t="n"/>
      <c r="D989" s="49" t="n"/>
      <c r="E989" s="49" t="n"/>
      <c r="F989" s="49" t="n"/>
    </row>
    <row r="990" ht="15.75" customHeight="1" s="57">
      <c r="A990" s="49" t="n"/>
      <c r="B990" s="49" t="n"/>
      <c r="C990" s="49" t="n"/>
      <c r="D990" s="49" t="n"/>
      <c r="E990" s="49" t="n"/>
      <c r="F990" s="49" t="n"/>
    </row>
    <row r="991" ht="15.75" customHeight="1" s="57">
      <c r="A991" s="49" t="n"/>
      <c r="B991" s="49" t="n"/>
      <c r="C991" s="49" t="n"/>
      <c r="D991" s="49" t="n"/>
      <c r="E991" s="49" t="n"/>
      <c r="F991" s="49" t="n"/>
    </row>
    <row r="992" ht="15.75" customHeight="1" s="57">
      <c r="A992" s="49" t="n"/>
      <c r="B992" s="49" t="n"/>
      <c r="C992" s="49" t="n"/>
      <c r="D992" s="49" t="n"/>
      <c r="E992" s="49" t="n"/>
      <c r="F992" s="49" t="n"/>
    </row>
    <row r="993" ht="15.75" customHeight="1" s="57">
      <c r="A993" s="49" t="n"/>
      <c r="B993" s="49" t="n"/>
      <c r="C993" s="49" t="n"/>
      <c r="D993" s="49" t="n"/>
      <c r="E993" s="49" t="n"/>
      <c r="F993" s="49" t="n"/>
    </row>
    <row r="994" ht="15.75" customHeight="1" s="57">
      <c r="A994" s="49" t="n"/>
      <c r="B994" s="49" t="n"/>
      <c r="C994" s="49" t="n"/>
      <c r="D994" s="49" t="n"/>
      <c r="E994" s="49" t="n"/>
      <c r="F994" s="49" t="n"/>
    </row>
    <row r="995" ht="15.75" customHeight="1" s="57">
      <c r="A995" s="49" t="n"/>
      <c r="B995" s="49" t="n"/>
      <c r="C995" s="49" t="n"/>
      <c r="D995" s="49" t="n"/>
      <c r="E995" s="49" t="n"/>
      <c r="F995" s="49" t="n"/>
    </row>
    <row r="996" ht="15.75" customHeight="1" s="57">
      <c r="A996" s="49" t="n"/>
      <c r="B996" s="49" t="n"/>
      <c r="C996" s="49" t="n"/>
      <c r="D996" s="49" t="n"/>
      <c r="E996" s="49" t="n"/>
      <c r="F996" s="49" t="n"/>
    </row>
    <row r="997" ht="15.75" customHeight="1" s="57">
      <c r="A997" s="49" t="n"/>
      <c r="B997" s="49" t="n"/>
      <c r="C997" s="49" t="n"/>
      <c r="D997" s="49" t="n"/>
      <c r="E997" s="49" t="n"/>
      <c r="F997" s="49" t="n"/>
    </row>
    <row r="998" ht="15.75" customHeight="1" s="57">
      <c r="A998" s="49" t="n"/>
      <c r="B998" s="49" t="n"/>
      <c r="C998" s="49" t="n"/>
      <c r="D998" s="49" t="n"/>
      <c r="E998" s="49" t="n"/>
      <c r="F998" s="49" t="n"/>
    </row>
    <row r="999" ht="15.75" customHeight="1" s="57">
      <c r="A999" s="49" t="n"/>
      <c r="B999" s="49" t="n"/>
      <c r="C999" s="49" t="n"/>
      <c r="D999" s="49" t="n"/>
      <c r="E999" s="49" t="n"/>
      <c r="F999" s="49" t="n"/>
    </row>
    <row r="1000" ht="15.75" customHeight="1" s="57">
      <c r="A1000" s="49" t="n"/>
      <c r="B1000" s="49" t="n"/>
      <c r="C1000" s="49" t="n"/>
      <c r="D1000" s="49" t="n"/>
      <c r="E1000" s="49" t="n"/>
      <c r="F1000" s="49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I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 outlineLevelCol="0"/>
  <cols>
    <col width="12.63" customWidth="1" style="57" min="1" max="6"/>
  </cols>
  <sheetData>
    <row r="1" ht="15.75" customHeight="1" s="57">
      <c r="A1" s="38" t="inlineStr">
        <is>
          <t>month</t>
        </is>
      </c>
      <c r="B1" s="38" t="inlineStr">
        <is>
          <t>type_order</t>
        </is>
      </c>
      <c r="C1" s="38" t="inlineStr">
        <is>
          <t>Clientname</t>
        </is>
      </c>
      <c r="D1" s="38" t="inlineStr">
        <is>
          <t>rank_weight</t>
        </is>
      </c>
      <c r="E1" s="38" t="inlineStr">
        <is>
          <t>ToProvince</t>
        </is>
      </c>
      <c r="F1" s="38" t="inlineStr">
        <is>
          <t>volume</t>
        </is>
      </c>
      <c r="G1" s="38" t="inlineStr">
        <is>
          <t>weight</t>
        </is>
      </c>
      <c r="H1" s="38" t="inlineStr">
        <is>
          <t>Revenue</t>
        </is>
      </c>
      <c r="I1" s="38" t="inlineStr">
        <is>
          <t>THÁNG</t>
        </is>
      </c>
    </row>
    <row r="2" ht="15.75" customHeight="1" s="57">
      <c r="A2" s="39" t="inlineStr">
        <is>
          <t>2026-07-01</t>
        </is>
      </c>
      <c r="B2" s="11" t="inlineStr">
        <is>
          <t>sme</t>
        </is>
      </c>
      <c r="C2" s="11" t="inlineStr">
        <is>
          <t>SME</t>
        </is>
      </c>
      <c r="D2" s="11" t="inlineStr">
        <is>
          <t>01.0-5kg</t>
        </is>
      </c>
      <c r="E2" s="11" t="inlineStr">
        <is>
          <t>Bình Thuận</t>
        </is>
      </c>
      <c r="F2" s="11" t="n">
        <v>136036.48</v>
      </c>
      <c r="G2" s="11" t="n">
        <v>94191.66</v>
      </c>
      <c r="H2" s="11" t="n">
        <v>0</v>
      </c>
      <c r="I2" s="11" t="n">
        <v>7</v>
      </c>
    </row>
    <row r="3" ht="15.75" customHeight="1" s="57">
      <c r="A3" s="39" t="inlineStr">
        <is>
          <t>2026-07-01</t>
        </is>
      </c>
      <c r="B3" s="11" t="inlineStr">
        <is>
          <t>sme</t>
        </is>
      </c>
      <c r="C3" s="11" t="inlineStr">
        <is>
          <t>SME</t>
        </is>
      </c>
      <c r="D3" s="11" t="inlineStr">
        <is>
          <t>01.0-5kg</t>
        </is>
      </c>
      <c r="E3" s="11" t="inlineStr">
        <is>
          <t>Khánh Hòa</t>
        </is>
      </c>
      <c r="F3" s="11" t="n">
        <v>167537.34</v>
      </c>
      <c r="G3" s="11" t="n">
        <v>116002.85</v>
      </c>
      <c r="H3" s="11" t="n">
        <v>0</v>
      </c>
      <c r="I3" s="11" t="n">
        <v>7</v>
      </c>
    </row>
    <row r="4" ht="15.75" customHeight="1" s="57">
      <c r="A4" s="39" t="inlineStr">
        <is>
          <t>2026-07-01</t>
        </is>
      </c>
      <c r="B4" s="11" t="inlineStr">
        <is>
          <t>sme</t>
        </is>
      </c>
      <c r="C4" s="11" t="inlineStr">
        <is>
          <t>SME</t>
        </is>
      </c>
      <c r="D4" s="11" t="inlineStr">
        <is>
          <t>01.0-5kg</t>
        </is>
      </c>
      <c r="E4" s="11" t="inlineStr">
        <is>
          <t>Lâm Đồng</t>
        </is>
      </c>
      <c r="F4" s="11" t="n">
        <v>181795.41</v>
      </c>
      <c r="G4" s="11" t="n">
        <v>125875.14</v>
      </c>
      <c r="H4" s="11" t="n">
        <v>0</v>
      </c>
      <c r="I4" s="11" t="n">
        <v>7</v>
      </c>
    </row>
    <row r="5" ht="15.75" customHeight="1" s="57">
      <c r="A5" s="39" t="inlineStr">
        <is>
          <t>2026-07-01</t>
        </is>
      </c>
      <c r="B5" s="11" t="inlineStr">
        <is>
          <t>sme</t>
        </is>
      </c>
      <c r="C5" s="11" t="inlineStr">
        <is>
          <t>SME</t>
        </is>
      </c>
      <c r="D5" s="11" t="inlineStr">
        <is>
          <t>01.0-5kg</t>
        </is>
      </c>
      <c r="E5" s="11" t="inlineStr">
        <is>
          <t>Ninh Thuận</t>
        </is>
      </c>
      <c r="F5" s="11" t="n">
        <v>54292.58</v>
      </c>
      <c r="G5" s="11" t="n">
        <v>37592.18</v>
      </c>
      <c r="H5" s="11" t="n">
        <v>0</v>
      </c>
      <c r="I5" s="11" t="n">
        <v>7</v>
      </c>
    </row>
    <row r="6" ht="15.75" customHeight="1" s="57">
      <c r="A6" s="39" t="inlineStr">
        <is>
          <t>2026-07-01</t>
        </is>
      </c>
      <c r="B6" s="11" t="inlineStr">
        <is>
          <t>sme</t>
        </is>
      </c>
      <c r="C6" s="11" t="inlineStr">
        <is>
          <t>SME</t>
        </is>
      </c>
      <c r="D6" s="11" t="inlineStr">
        <is>
          <t>01.0-5kg</t>
        </is>
      </c>
      <c r="E6" s="11" t="inlineStr">
        <is>
          <t>Đắk Nông</t>
        </is>
      </c>
      <c r="F6" s="11" t="n">
        <v>71534.28999999999</v>
      </c>
      <c r="G6" s="11" t="n">
        <v>49530.34</v>
      </c>
      <c r="H6" s="11" t="n">
        <v>0</v>
      </c>
      <c r="I6" s="11" t="n">
        <v>7</v>
      </c>
    </row>
    <row r="7" ht="15.75" customHeight="1" s="57">
      <c r="A7" s="39" t="inlineStr">
        <is>
          <t>2026-07-01</t>
        </is>
      </c>
      <c r="B7" s="11" t="inlineStr">
        <is>
          <t>sme</t>
        </is>
      </c>
      <c r="C7" s="11" t="inlineStr">
        <is>
          <t>SME</t>
        </is>
      </c>
      <c r="D7" s="11" t="inlineStr">
        <is>
          <t>02.5-10kg</t>
        </is>
      </c>
      <c r="E7" s="11" t="inlineStr">
        <is>
          <t>Bình Thuận</t>
        </is>
      </c>
      <c r="F7" s="11" t="n">
        <v>8904.809999999999</v>
      </c>
      <c r="G7" s="11" t="n">
        <v>54409.26</v>
      </c>
      <c r="H7" s="11" t="n">
        <v>0</v>
      </c>
      <c r="I7" s="11" t="n">
        <v>7</v>
      </c>
    </row>
    <row r="8" ht="15.75" customHeight="1" s="57">
      <c r="A8" s="39" t="inlineStr">
        <is>
          <t>2026-07-01</t>
        </is>
      </c>
      <c r="B8" s="11" t="inlineStr">
        <is>
          <t>sme</t>
        </is>
      </c>
      <c r="C8" s="11" t="inlineStr">
        <is>
          <t>SME</t>
        </is>
      </c>
      <c r="D8" s="11" t="inlineStr">
        <is>
          <t>02.5-10kg</t>
        </is>
      </c>
      <c r="E8" s="11" t="inlineStr">
        <is>
          <t>Khánh Hòa</t>
        </is>
      </c>
      <c r="F8" s="11" t="n">
        <v>8980.84</v>
      </c>
      <c r="G8" s="11" t="n">
        <v>54873.82</v>
      </c>
      <c r="H8" s="11" t="n">
        <v>0</v>
      </c>
      <c r="I8" s="11" t="n">
        <v>7</v>
      </c>
    </row>
    <row r="9" ht="15.75" customHeight="1" s="57">
      <c r="A9" s="39" t="inlineStr">
        <is>
          <t>2026-07-01</t>
        </is>
      </c>
      <c r="B9" s="11" t="inlineStr">
        <is>
          <t>sme</t>
        </is>
      </c>
      <c r="C9" s="11" t="inlineStr">
        <is>
          <t>SME</t>
        </is>
      </c>
      <c r="D9" s="11" t="inlineStr">
        <is>
          <t>02.5-10kg</t>
        </is>
      </c>
      <c r="E9" s="11" t="inlineStr">
        <is>
          <t>Lâm Đồng</t>
        </is>
      </c>
      <c r="F9" s="11" t="n">
        <v>11904.3</v>
      </c>
      <c r="G9" s="11" t="n">
        <v>72736.49000000001</v>
      </c>
      <c r="H9" s="11" t="n">
        <v>0</v>
      </c>
      <c r="I9" s="11" t="n">
        <v>7</v>
      </c>
    </row>
    <row r="10" ht="15.75" customHeight="1" s="57">
      <c r="A10" s="39" t="inlineStr">
        <is>
          <t>2026-07-01</t>
        </is>
      </c>
      <c r="B10" s="11" t="inlineStr">
        <is>
          <t>sme</t>
        </is>
      </c>
      <c r="C10" s="11" t="inlineStr">
        <is>
          <t>SME</t>
        </is>
      </c>
      <c r="D10" s="11" t="inlineStr">
        <is>
          <t>02.5-10kg</t>
        </is>
      </c>
      <c r="E10" s="11" t="inlineStr">
        <is>
          <t>Ninh Thuận</t>
        </is>
      </c>
      <c r="F10" s="11" t="n">
        <v>3238.05</v>
      </c>
      <c r="G10" s="11" t="n">
        <v>19784.78</v>
      </c>
      <c r="H10" s="11" t="n">
        <v>0</v>
      </c>
      <c r="I10" s="11" t="n">
        <v>7</v>
      </c>
    </row>
    <row r="11" ht="15.75" customHeight="1" s="57">
      <c r="A11" s="39" t="inlineStr">
        <is>
          <t>2026-07-01</t>
        </is>
      </c>
      <c r="B11" s="11" t="inlineStr">
        <is>
          <t>sme</t>
        </is>
      </c>
      <c r="C11" s="11" t="inlineStr">
        <is>
          <t>SME</t>
        </is>
      </c>
      <c r="D11" s="11" t="inlineStr">
        <is>
          <t>02.5-10kg</t>
        </is>
      </c>
      <c r="E11" s="11" t="inlineStr">
        <is>
          <t>Đắk Nông</t>
        </is>
      </c>
      <c r="F11" s="11" t="n">
        <v>4723.38</v>
      </c>
      <c r="G11" s="11" t="n">
        <v>28860.33</v>
      </c>
      <c r="H11" s="11" t="n">
        <v>0</v>
      </c>
      <c r="I11" s="11" t="n">
        <v>7</v>
      </c>
    </row>
    <row r="12" ht="15.75" customHeight="1" s="57">
      <c r="A12" s="39" t="inlineStr">
        <is>
          <t>2026-07-01</t>
        </is>
      </c>
      <c r="B12" s="11" t="inlineStr">
        <is>
          <t>sme</t>
        </is>
      </c>
      <c r="C12" s="11" t="inlineStr">
        <is>
          <t>SME</t>
        </is>
      </c>
      <c r="D12" s="11" t="inlineStr">
        <is>
          <t>03.10-15kg</t>
        </is>
      </c>
      <c r="E12" s="11" t="inlineStr">
        <is>
          <t>Bình Thuận</t>
        </is>
      </c>
      <c r="F12" s="11" t="n">
        <v>4493.84</v>
      </c>
      <c r="G12" s="11" t="n">
        <v>50757.95</v>
      </c>
      <c r="H12" s="11" t="n">
        <v>0</v>
      </c>
      <c r="I12" s="11" t="n">
        <v>7</v>
      </c>
    </row>
    <row r="13" ht="15.75" customHeight="1" s="57">
      <c r="A13" s="39" t="inlineStr">
        <is>
          <t>2026-07-01</t>
        </is>
      </c>
      <c r="B13" s="11" t="inlineStr">
        <is>
          <t>sme</t>
        </is>
      </c>
      <c r="C13" s="11" t="inlineStr">
        <is>
          <t>SME</t>
        </is>
      </c>
      <c r="D13" s="11" t="inlineStr">
        <is>
          <t>03.10-15kg</t>
        </is>
      </c>
      <c r="E13" s="11" t="inlineStr">
        <is>
          <t>Khánh Hòa</t>
        </is>
      </c>
      <c r="F13" s="11" t="n">
        <v>4645.91</v>
      </c>
      <c r="G13" s="11" t="n">
        <v>52475.52</v>
      </c>
      <c r="H13" s="11" t="n">
        <v>0</v>
      </c>
      <c r="I13" s="11" t="n">
        <v>7</v>
      </c>
    </row>
    <row r="14" ht="15.75" customHeight="1" s="57">
      <c r="A14" s="39" t="inlineStr">
        <is>
          <t>2026-07-01</t>
        </is>
      </c>
      <c r="B14" s="11" t="inlineStr">
        <is>
          <t>sme</t>
        </is>
      </c>
      <c r="C14" s="11" t="inlineStr">
        <is>
          <t>SME</t>
        </is>
      </c>
      <c r="D14" s="11" t="inlineStr">
        <is>
          <t>03.10-15kg</t>
        </is>
      </c>
      <c r="E14" s="11" t="inlineStr">
        <is>
          <t>Lâm Đồng</t>
        </is>
      </c>
      <c r="F14" s="11" t="n">
        <v>6791.39</v>
      </c>
      <c r="G14" s="11" t="n">
        <v>76708.77</v>
      </c>
      <c r="H14" s="11" t="n">
        <v>0</v>
      </c>
      <c r="I14" s="11" t="n">
        <v>7</v>
      </c>
    </row>
    <row r="15" ht="15.75" customHeight="1" s="57">
      <c r="A15" s="39" t="inlineStr">
        <is>
          <t>2026-07-01</t>
        </is>
      </c>
      <c r="B15" s="11" t="inlineStr">
        <is>
          <t>sme</t>
        </is>
      </c>
      <c r="C15" s="11" t="inlineStr">
        <is>
          <t>SME</t>
        </is>
      </c>
      <c r="D15" s="11" t="inlineStr">
        <is>
          <t>03.10-15kg</t>
        </is>
      </c>
      <c r="E15" s="11" t="inlineStr">
        <is>
          <t>Ninh Thuận</t>
        </is>
      </c>
      <c r="F15" s="11" t="n">
        <v>1806.76</v>
      </c>
      <c r="G15" s="11" t="n">
        <v>20407.37</v>
      </c>
      <c r="H15" s="11" t="n">
        <v>0</v>
      </c>
      <c r="I15" s="11" t="n">
        <v>7</v>
      </c>
    </row>
    <row r="16" ht="15.75" customHeight="1" s="57">
      <c r="A16" s="39" t="inlineStr">
        <is>
          <t>2026-07-01</t>
        </is>
      </c>
      <c r="B16" s="11" t="inlineStr">
        <is>
          <t>sme</t>
        </is>
      </c>
      <c r="C16" s="11" t="inlineStr">
        <is>
          <t>SME</t>
        </is>
      </c>
      <c r="D16" s="11" t="inlineStr">
        <is>
          <t>03.10-15kg</t>
        </is>
      </c>
      <c r="E16" s="11" t="inlineStr">
        <is>
          <t>Đắk Nông</t>
        </is>
      </c>
      <c r="F16" s="11" t="n">
        <v>2479.88</v>
      </c>
      <c r="G16" s="11" t="n">
        <v>28010.28</v>
      </c>
      <c r="H16" s="11" t="n">
        <v>0</v>
      </c>
      <c r="I16" s="11" t="n">
        <v>7</v>
      </c>
    </row>
    <row r="17" ht="15.75" customHeight="1" s="57">
      <c r="A17" s="39" t="inlineStr">
        <is>
          <t>2026-07-01</t>
        </is>
      </c>
      <c r="B17" s="11" t="inlineStr">
        <is>
          <t>sme</t>
        </is>
      </c>
      <c r="C17" s="11" t="inlineStr">
        <is>
          <t>SME</t>
        </is>
      </c>
      <c r="D17" s="11" t="inlineStr">
        <is>
          <t>04.15-20kg</t>
        </is>
      </c>
      <c r="E17" s="11" t="inlineStr">
        <is>
          <t>Bình Thuận</t>
        </is>
      </c>
      <c r="F17" s="11" t="n">
        <v>1749.47</v>
      </c>
      <c r="G17" s="11" t="n">
        <v>29820.89</v>
      </c>
      <c r="H17" s="11" t="n">
        <v>0</v>
      </c>
      <c r="I17" s="11" t="n">
        <v>7</v>
      </c>
    </row>
    <row r="18" ht="15.75" customHeight="1" s="57">
      <c r="A18" s="39" t="inlineStr">
        <is>
          <t>2026-07-01</t>
        </is>
      </c>
      <c r="B18" s="11" t="inlineStr">
        <is>
          <t>sme</t>
        </is>
      </c>
      <c r="C18" s="11" t="inlineStr">
        <is>
          <t>SME</t>
        </is>
      </c>
      <c r="D18" s="11" t="inlineStr">
        <is>
          <t>04.15-20kg</t>
        </is>
      </c>
      <c r="E18" s="11" t="inlineStr">
        <is>
          <t>Khánh Hòa</t>
        </is>
      </c>
      <c r="F18" s="11" t="n">
        <v>2177.92</v>
      </c>
      <c r="G18" s="11" t="n">
        <v>37124.09</v>
      </c>
      <c r="H18" s="11" t="n">
        <v>0</v>
      </c>
      <c r="I18" s="11" t="n">
        <v>7</v>
      </c>
    </row>
    <row r="19" ht="15.75" customHeight="1" s="57">
      <c r="A19" s="39" t="inlineStr">
        <is>
          <t>2026-07-01</t>
        </is>
      </c>
      <c r="B19" s="11" t="inlineStr">
        <is>
          <t>sme</t>
        </is>
      </c>
      <c r="C19" s="11" t="inlineStr">
        <is>
          <t>SME</t>
        </is>
      </c>
      <c r="D19" s="11" t="inlineStr">
        <is>
          <t>04.15-20kg</t>
        </is>
      </c>
      <c r="E19" s="11" t="inlineStr">
        <is>
          <t>Lâm Đồng</t>
        </is>
      </c>
      <c r="F19" s="11" t="n">
        <v>2629.43</v>
      </c>
      <c r="G19" s="11" t="n">
        <v>44820.4</v>
      </c>
      <c r="H19" s="11" t="n">
        <v>0</v>
      </c>
      <c r="I19" s="11" t="n">
        <v>7</v>
      </c>
    </row>
    <row r="20" ht="15.75" customHeight="1" s="57">
      <c r="A20" s="39" t="inlineStr">
        <is>
          <t>2026-07-01</t>
        </is>
      </c>
      <c r="B20" s="11" t="inlineStr">
        <is>
          <t>sme</t>
        </is>
      </c>
      <c r="C20" s="11" t="inlineStr">
        <is>
          <t>SME</t>
        </is>
      </c>
      <c r="D20" s="11" t="inlineStr">
        <is>
          <t>04.15-20kg</t>
        </is>
      </c>
      <c r="E20" s="11" t="inlineStr">
        <is>
          <t>Ninh Thuận</t>
        </is>
      </c>
      <c r="F20" s="11" t="n">
        <v>678.17</v>
      </c>
      <c r="G20" s="11" t="n">
        <v>11559.82</v>
      </c>
      <c r="H20" s="11" t="n">
        <v>0</v>
      </c>
      <c r="I20" s="11" t="n">
        <v>7</v>
      </c>
    </row>
    <row r="21" ht="15.75" customHeight="1" s="57">
      <c r="A21" s="39" t="inlineStr">
        <is>
          <t>2026-07-01</t>
        </is>
      </c>
      <c r="B21" s="11" t="inlineStr">
        <is>
          <t>sme</t>
        </is>
      </c>
      <c r="C21" s="11" t="inlineStr">
        <is>
          <t>SME</t>
        </is>
      </c>
      <c r="D21" s="11" t="inlineStr">
        <is>
          <t>04.15-20kg</t>
        </is>
      </c>
      <c r="E21" s="11" t="inlineStr">
        <is>
          <t>Đắk Nông</t>
        </is>
      </c>
      <c r="F21" s="11" t="n">
        <v>1056.53</v>
      </c>
      <c r="G21" s="11" t="n">
        <v>18009.24</v>
      </c>
      <c r="H21" s="11" t="n">
        <v>0</v>
      </c>
      <c r="I21" s="11" t="n">
        <v>7</v>
      </c>
    </row>
    <row r="22" ht="15.75" customHeight="1" s="57">
      <c r="A22" s="39" t="inlineStr">
        <is>
          <t>2026-07-01</t>
        </is>
      </c>
      <c r="B22" s="11" t="inlineStr">
        <is>
          <t>sme</t>
        </is>
      </c>
      <c r="C22" s="11" t="inlineStr">
        <is>
          <t>SME</t>
        </is>
      </c>
      <c r="D22" s="11" t="inlineStr">
        <is>
          <t>05.&gt;=20kg</t>
        </is>
      </c>
      <c r="E22" s="11" t="inlineStr">
        <is>
          <t>Bình Thuận</t>
        </is>
      </c>
      <c r="F22" s="11" t="n">
        <v>3077.33</v>
      </c>
      <c r="G22" s="11" t="n">
        <v>220620.75</v>
      </c>
      <c r="H22" s="11" t="n">
        <v>0</v>
      </c>
      <c r="I22" s="11" t="n">
        <v>7</v>
      </c>
    </row>
    <row r="23" ht="15.75" customHeight="1" s="57">
      <c r="A23" s="39" t="inlineStr">
        <is>
          <t>2026-07-01</t>
        </is>
      </c>
      <c r="B23" s="11" t="inlineStr">
        <is>
          <t>sme</t>
        </is>
      </c>
      <c r="C23" s="11" t="inlineStr">
        <is>
          <t>SME</t>
        </is>
      </c>
      <c r="D23" s="11" t="inlineStr">
        <is>
          <t>05.&gt;=20kg</t>
        </is>
      </c>
      <c r="E23" s="11" t="inlineStr">
        <is>
          <t>Khánh Hòa</t>
        </is>
      </c>
      <c r="F23" s="11" t="n">
        <v>3964.14</v>
      </c>
      <c r="G23" s="11" t="n">
        <v>284197.75</v>
      </c>
      <c r="H23" s="11" t="n">
        <v>0</v>
      </c>
      <c r="I23" s="11" t="n">
        <v>7</v>
      </c>
    </row>
    <row r="24" ht="15.75" customHeight="1" s="57">
      <c r="A24" s="39" t="inlineStr">
        <is>
          <t>2026-07-01</t>
        </is>
      </c>
      <c r="B24" s="11" t="inlineStr">
        <is>
          <t>sme</t>
        </is>
      </c>
      <c r="C24" s="11" t="inlineStr">
        <is>
          <t>SME</t>
        </is>
      </c>
      <c r="D24" s="11" t="inlineStr">
        <is>
          <t>05.&gt;=20kg</t>
        </is>
      </c>
      <c r="E24" s="11" t="inlineStr">
        <is>
          <t>Lâm Đồng</t>
        </is>
      </c>
      <c r="F24" s="11" t="n">
        <v>4721.58</v>
      </c>
      <c r="G24" s="11" t="n">
        <v>338500.42</v>
      </c>
      <c r="H24" s="11" t="n">
        <v>0</v>
      </c>
      <c r="I24" s="11" t="n">
        <v>7</v>
      </c>
    </row>
    <row r="25" ht="15.75" customHeight="1" s="57">
      <c r="A25" s="39" t="inlineStr">
        <is>
          <t>2026-07-01</t>
        </is>
      </c>
      <c r="B25" s="11" t="inlineStr">
        <is>
          <t>sme</t>
        </is>
      </c>
      <c r="C25" s="11" t="inlineStr">
        <is>
          <t>SME</t>
        </is>
      </c>
      <c r="D25" s="11" t="inlineStr">
        <is>
          <t>05.&gt;=20kg</t>
        </is>
      </c>
      <c r="E25" s="11" t="inlineStr">
        <is>
          <t>Ninh Thuận</t>
        </is>
      </c>
      <c r="F25" s="11" t="n">
        <v>1218.32</v>
      </c>
      <c r="G25" s="11" t="n">
        <v>87344.11</v>
      </c>
      <c r="H25" s="11" t="n">
        <v>0</v>
      </c>
      <c r="I25" s="11" t="n">
        <v>7</v>
      </c>
    </row>
    <row r="26" ht="15.75" customHeight="1" s="57">
      <c r="A26" s="39" t="inlineStr">
        <is>
          <t>2026-07-01</t>
        </is>
      </c>
      <c r="B26" s="11" t="inlineStr">
        <is>
          <t>sme</t>
        </is>
      </c>
      <c r="C26" s="11" t="inlineStr">
        <is>
          <t>SME</t>
        </is>
      </c>
      <c r="D26" s="11" t="inlineStr">
        <is>
          <t>05.&gt;=20kg</t>
        </is>
      </c>
      <c r="E26" s="11" t="inlineStr">
        <is>
          <t>Đắk Nông</t>
        </is>
      </c>
      <c r="F26" s="11" t="n">
        <v>1864.42</v>
      </c>
      <c r="G26" s="11" t="n">
        <v>133664.14</v>
      </c>
      <c r="H26" s="11" t="n">
        <v>0</v>
      </c>
      <c r="I26" s="11" t="n">
        <v>7</v>
      </c>
    </row>
    <row r="27" ht="15.75" customHeight="1" s="57">
      <c r="A27" s="39" t="inlineStr">
        <is>
          <t>2026-07-01</t>
        </is>
      </c>
      <c r="B27" s="11" t="inlineStr">
        <is>
          <t>ecom</t>
        </is>
      </c>
      <c r="C27" s="11" t="inlineStr">
        <is>
          <t>Shopee Bulky</t>
        </is>
      </c>
      <c r="D27" s="11" t="inlineStr">
        <is>
          <t>01.0-5kg</t>
        </is>
      </c>
      <c r="E27" s="11" t="inlineStr">
        <is>
          <t>Bình Thuận</t>
        </is>
      </c>
      <c r="F27" s="11" t="n">
        <v>40.17</v>
      </c>
      <c r="G27" s="11" t="n">
        <v>95.95</v>
      </c>
      <c r="H27" s="11" t="n">
        <v>0</v>
      </c>
      <c r="I27" s="11" t="n">
        <v>7</v>
      </c>
    </row>
    <row r="28" ht="15.75" customHeight="1" s="57">
      <c r="A28" s="39" t="inlineStr">
        <is>
          <t>2026-07-01</t>
        </is>
      </c>
      <c r="B28" s="11" t="inlineStr">
        <is>
          <t>ecom</t>
        </is>
      </c>
      <c r="C28" s="11" t="inlineStr">
        <is>
          <t>Shopee Bulky</t>
        </is>
      </c>
      <c r="D28" s="11" t="inlineStr">
        <is>
          <t>01.0-5kg</t>
        </is>
      </c>
      <c r="E28" s="11" t="inlineStr">
        <is>
          <t>Khánh Hòa</t>
        </is>
      </c>
      <c r="F28" s="11" t="n">
        <v>65.2</v>
      </c>
      <c r="G28" s="11" t="n">
        <v>155.74</v>
      </c>
      <c r="H28" s="11" t="n">
        <v>0</v>
      </c>
      <c r="I28" s="11" t="n">
        <v>7</v>
      </c>
    </row>
    <row r="29" ht="15.75" customHeight="1" s="57">
      <c r="A29" s="39" t="inlineStr">
        <is>
          <t>2026-07-01</t>
        </is>
      </c>
      <c r="B29" s="11" t="inlineStr">
        <is>
          <t>ecom</t>
        </is>
      </c>
      <c r="C29" s="11" t="inlineStr">
        <is>
          <t>Shopee Bulky</t>
        </is>
      </c>
      <c r="D29" s="11" t="inlineStr">
        <is>
          <t>01.0-5kg</t>
        </is>
      </c>
      <c r="E29" s="11" t="inlineStr">
        <is>
          <t>Lâm Đồng</t>
        </is>
      </c>
      <c r="F29" s="11" t="n">
        <v>65.2</v>
      </c>
      <c r="G29" s="11" t="n">
        <v>155.74</v>
      </c>
      <c r="H29" s="11" t="n">
        <v>0</v>
      </c>
      <c r="I29" s="11" t="n">
        <v>7</v>
      </c>
    </row>
    <row r="30" ht="15.75" customHeight="1" s="57">
      <c r="A30" s="39" t="inlineStr">
        <is>
          <t>2026-07-01</t>
        </is>
      </c>
      <c r="B30" s="11" t="inlineStr">
        <is>
          <t>ecom</t>
        </is>
      </c>
      <c r="C30" s="11" t="inlineStr">
        <is>
          <t>Shopee Bulky</t>
        </is>
      </c>
      <c r="D30" s="11" t="inlineStr">
        <is>
          <t>01.0-5kg</t>
        </is>
      </c>
      <c r="E30" s="11" t="inlineStr">
        <is>
          <t>Ninh Thuận</t>
        </is>
      </c>
      <c r="F30" s="11" t="n">
        <v>13.97</v>
      </c>
      <c r="G30" s="11" t="n">
        <v>33.37</v>
      </c>
      <c r="H30" s="11" t="n">
        <v>0</v>
      </c>
      <c r="I30" s="11" t="n">
        <v>7</v>
      </c>
    </row>
    <row r="31" ht="15.75" customHeight="1" s="57">
      <c r="A31" s="39" t="inlineStr">
        <is>
          <t>2026-07-01</t>
        </is>
      </c>
      <c r="B31" s="11" t="inlineStr">
        <is>
          <t>ecom</t>
        </is>
      </c>
      <c r="C31" s="11" t="inlineStr">
        <is>
          <t>Shopee Bulky</t>
        </is>
      </c>
      <c r="D31" s="11" t="inlineStr">
        <is>
          <t>01.0-5kg</t>
        </is>
      </c>
      <c r="E31" s="11" t="inlineStr">
        <is>
          <t>Đắk Nông</t>
        </is>
      </c>
      <c r="F31" s="11" t="n">
        <v>13.39</v>
      </c>
      <c r="G31" s="11" t="n">
        <v>31.98</v>
      </c>
      <c r="H31" s="11" t="n">
        <v>0</v>
      </c>
      <c r="I31" s="11" t="n">
        <v>7</v>
      </c>
    </row>
    <row r="32" ht="15.75" customHeight="1" s="57">
      <c r="A32" s="39" t="inlineStr">
        <is>
          <t>2026-07-01</t>
        </is>
      </c>
      <c r="B32" s="11" t="inlineStr">
        <is>
          <t>ecom</t>
        </is>
      </c>
      <c r="C32" s="11" t="inlineStr">
        <is>
          <t>Shopee Bulky</t>
        </is>
      </c>
      <c r="D32" s="11" t="inlineStr">
        <is>
          <t>02.5-10kg</t>
        </is>
      </c>
      <c r="E32" s="11" t="inlineStr">
        <is>
          <t>Bình Thuận</t>
        </is>
      </c>
      <c r="F32" s="11" t="n">
        <v>150.78</v>
      </c>
      <c r="G32" s="11" t="n">
        <v>1212.52</v>
      </c>
      <c r="H32" s="11" t="n">
        <v>0</v>
      </c>
      <c r="I32" s="11" t="n">
        <v>7</v>
      </c>
    </row>
    <row r="33" ht="15.75" customHeight="1" s="57">
      <c r="A33" s="39" t="inlineStr">
        <is>
          <t>2026-07-01</t>
        </is>
      </c>
      <c r="B33" s="11" t="inlineStr">
        <is>
          <t>ecom</t>
        </is>
      </c>
      <c r="C33" s="11" t="inlineStr">
        <is>
          <t>Shopee Bulky</t>
        </is>
      </c>
      <c r="D33" s="11" t="inlineStr">
        <is>
          <t>02.5-10kg</t>
        </is>
      </c>
      <c r="E33" s="11" t="inlineStr">
        <is>
          <t>Khánh Hòa</t>
        </is>
      </c>
      <c r="F33" s="11" t="n">
        <v>172.9</v>
      </c>
      <c r="G33" s="11" t="n">
        <v>1390.42</v>
      </c>
      <c r="H33" s="11" t="n">
        <v>0</v>
      </c>
      <c r="I33" s="11" t="n">
        <v>7</v>
      </c>
    </row>
    <row r="34" ht="15.75" customHeight="1" s="57">
      <c r="A34" s="39" t="inlineStr">
        <is>
          <t>2026-07-01</t>
        </is>
      </c>
      <c r="B34" s="11" t="inlineStr">
        <is>
          <t>ecom</t>
        </is>
      </c>
      <c r="C34" s="11" t="inlineStr">
        <is>
          <t>Shopee Bulky</t>
        </is>
      </c>
      <c r="D34" s="11" t="inlineStr">
        <is>
          <t>02.5-10kg</t>
        </is>
      </c>
      <c r="E34" s="11" t="inlineStr">
        <is>
          <t>Lâm Đồng</t>
        </is>
      </c>
      <c r="F34" s="11" t="n">
        <v>221.22</v>
      </c>
      <c r="G34" s="11" t="n">
        <v>1778.99</v>
      </c>
      <c r="H34" s="11" t="n">
        <v>0</v>
      </c>
      <c r="I34" s="11" t="n">
        <v>7</v>
      </c>
    </row>
    <row r="35" ht="15.75" customHeight="1" s="57">
      <c r="A35" s="39" t="inlineStr">
        <is>
          <t>2026-07-01</t>
        </is>
      </c>
      <c r="B35" s="11" t="inlineStr">
        <is>
          <t>ecom</t>
        </is>
      </c>
      <c r="C35" s="11" t="inlineStr">
        <is>
          <t>Shopee Bulky</t>
        </is>
      </c>
      <c r="D35" s="11" t="inlineStr">
        <is>
          <t>02.5-10kg</t>
        </is>
      </c>
      <c r="E35" s="11" t="inlineStr">
        <is>
          <t>Ninh Thuận</t>
        </is>
      </c>
      <c r="F35" s="11" t="n">
        <v>51.23</v>
      </c>
      <c r="G35" s="11" t="n">
        <v>411.98</v>
      </c>
      <c r="H35" s="11" t="n">
        <v>0</v>
      </c>
      <c r="I35" s="11" t="n">
        <v>7</v>
      </c>
    </row>
    <row r="36" ht="15.75" customHeight="1" s="57">
      <c r="A36" s="39" t="inlineStr">
        <is>
          <t>2026-07-01</t>
        </is>
      </c>
      <c r="B36" s="11" t="inlineStr">
        <is>
          <t>ecom</t>
        </is>
      </c>
      <c r="C36" s="11" t="inlineStr">
        <is>
          <t>Shopee Bulky</t>
        </is>
      </c>
      <c r="D36" s="11" t="inlineStr">
        <is>
          <t>02.5-10kg</t>
        </is>
      </c>
      <c r="E36" s="11" t="inlineStr">
        <is>
          <t>Đắk Nông</t>
        </is>
      </c>
      <c r="F36" s="11" t="n">
        <v>51.23</v>
      </c>
      <c r="G36" s="11" t="n">
        <v>411.98</v>
      </c>
      <c r="H36" s="11" t="n">
        <v>0</v>
      </c>
      <c r="I36" s="11" t="n">
        <v>7</v>
      </c>
    </row>
    <row r="37" ht="15.75" customHeight="1" s="57">
      <c r="A37" s="39" t="inlineStr">
        <is>
          <t>2026-07-01</t>
        </is>
      </c>
      <c r="B37" s="11" t="inlineStr">
        <is>
          <t>ecom</t>
        </is>
      </c>
      <c r="C37" s="11" t="inlineStr">
        <is>
          <t>Shopee Bulky</t>
        </is>
      </c>
      <c r="D37" s="11" t="inlineStr">
        <is>
          <t>03.10-15kg</t>
        </is>
      </c>
      <c r="E37" s="11" t="inlineStr">
        <is>
          <t>Bình Thuận</t>
        </is>
      </c>
      <c r="F37" s="11" t="n">
        <v>11205.97</v>
      </c>
      <c r="G37" s="11" t="n">
        <v>133583.01</v>
      </c>
      <c r="H37" s="11" t="n">
        <v>0</v>
      </c>
      <c r="I37" s="11" t="n">
        <v>7</v>
      </c>
    </row>
    <row r="38" ht="15.75" customHeight="1" s="57">
      <c r="A38" s="39" t="inlineStr">
        <is>
          <t>2026-07-01</t>
        </is>
      </c>
      <c r="B38" s="11" t="inlineStr">
        <is>
          <t>ecom</t>
        </is>
      </c>
      <c r="C38" s="11" t="inlineStr">
        <is>
          <t>Shopee Bulky</t>
        </is>
      </c>
      <c r="D38" s="11" t="inlineStr">
        <is>
          <t>03.10-15kg</t>
        </is>
      </c>
      <c r="E38" s="11" t="inlineStr">
        <is>
          <t>Khánh Hòa</t>
        </is>
      </c>
      <c r="F38" s="11" t="n">
        <v>12567.64</v>
      </c>
      <c r="G38" s="11" t="n">
        <v>149815.06</v>
      </c>
      <c r="H38" s="11" t="n">
        <v>0</v>
      </c>
      <c r="I38" s="11" t="n">
        <v>7</v>
      </c>
    </row>
    <row r="39" ht="15.75" customHeight="1" s="57">
      <c r="A39" s="39" t="inlineStr">
        <is>
          <t>2026-07-01</t>
        </is>
      </c>
      <c r="B39" s="11" t="inlineStr">
        <is>
          <t>ecom</t>
        </is>
      </c>
      <c r="C39" s="11" t="inlineStr">
        <is>
          <t>Shopee Bulky</t>
        </is>
      </c>
      <c r="D39" s="11" t="inlineStr">
        <is>
          <t>03.10-15kg</t>
        </is>
      </c>
      <c r="E39" s="11" t="inlineStr">
        <is>
          <t>Lâm Đồng</t>
        </is>
      </c>
      <c r="F39" s="11" t="n">
        <v>15671.13</v>
      </c>
      <c r="G39" s="11" t="n">
        <v>186810.8</v>
      </c>
      <c r="H39" s="11" t="n">
        <v>0</v>
      </c>
      <c r="I39" s="11" t="n">
        <v>7</v>
      </c>
    </row>
    <row r="40" ht="15.75" customHeight="1" s="57">
      <c r="A40" s="39" t="inlineStr">
        <is>
          <t>2026-07-01</t>
        </is>
      </c>
      <c r="B40" s="11" t="inlineStr">
        <is>
          <t>ecom</t>
        </is>
      </c>
      <c r="C40" s="11" t="inlineStr">
        <is>
          <t>Shopee Bulky</t>
        </is>
      </c>
      <c r="D40" s="11" t="inlineStr">
        <is>
          <t>03.10-15kg</t>
        </is>
      </c>
      <c r="E40" s="11" t="inlineStr">
        <is>
          <t>Ninh Thuận</t>
        </is>
      </c>
      <c r="F40" s="11" t="n">
        <v>4253.25</v>
      </c>
      <c r="G40" s="11" t="n">
        <v>50701.72</v>
      </c>
      <c r="H40" s="11" t="n">
        <v>0</v>
      </c>
      <c r="I40" s="11" t="n">
        <v>7</v>
      </c>
    </row>
    <row r="41" ht="15.75" customHeight="1" s="57">
      <c r="A41" s="39" t="inlineStr">
        <is>
          <t>2026-07-01</t>
        </is>
      </c>
      <c r="B41" s="11" t="inlineStr">
        <is>
          <t>ecom</t>
        </is>
      </c>
      <c r="C41" s="11" t="inlineStr">
        <is>
          <t>Shopee Bulky</t>
        </is>
      </c>
      <c r="D41" s="11" t="inlineStr">
        <is>
          <t>03.10-15kg</t>
        </is>
      </c>
      <c r="E41" s="11" t="inlineStr">
        <is>
          <t>Đắk Nông</t>
        </is>
      </c>
      <c r="F41" s="11" t="n">
        <v>3708.35</v>
      </c>
      <c r="G41" s="11" t="n">
        <v>44206.13</v>
      </c>
      <c r="H41" s="11" t="n">
        <v>0</v>
      </c>
      <c r="I41" s="11" t="n">
        <v>7</v>
      </c>
    </row>
    <row r="42" ht="15.75" customHeight="1" s="57">
      <c r="A42" s="39" t="inlineStr">
        <is>
          <t>2026-07-01</t>
        </is>
      </c>
      <c r="B42" s="11" t="inlineStr">
        <is>
          <t>ecom</t>
        </is>
      </c>
      <c r="C42" s="11" t="inlineStr">
        <is>
          <t>Shopee Bulky</t>
        </is>
      </c>
      <c r="D42" s="11" t="inlineStr">
        <is>
          <t>04.15-20kg</t>
        </is>
      </c>
      <c r="E42" s="11" t="inlineStr">
        <is>
          <t>Bình Thuận</t>
        </is>
      </c>
      <c r="F42" s="11" t="n">
        <v>7363.14</v>
      </c>
      <c r="G42" s="11" t="n">
        <v>124416.48</v>
      </c>
      <c r="H42" s="11" t="n">
        <v>0</v>
      </c>
      <c r="I42" s="11" t="n">
        <v>7</v>
      </c>
    </row>
    <row r="43" ht="15.75" customHeight="1" s="57">
      <c r="A43" s="39" t="inlineStr">
        <is>
          <t>2026-07-01</t>
        </is>
      </c>
      <c r="B43" s="11" t="inlineStr">
        <is>
          <t>ecom</t>
        </is>
      </c>
      <c r="C43" s="11" t="inlineStr">
        <is>
          <t>Shopee Bulky</t>
        </is>
      </c>
      <c r="D43" s="11" t="inlineStr">
        <is>
          <t>04.15-20kg</t>
        </is>
      </c>
      <c r="E43" s="11" t="inlineStr">
        <is>
          <t>Khánh Hòa</t>
        </is>
      </c>
      <c r="F43" s="11" t="n">
        <v>7552.34</v>
      </c>
      <c r="G43" s="11" t="n">
        <v>127613.45</v>
      </c>
      <c r="H43" s="11" t="n">
        <v>0</v>
      </c>
      <c r="I43" s="11" t="n">
        <v>7</v>
      </c>
    </row>
    <row r="44" ht="15.75" customHeight="1" s="57">
      <c r="A44" s="39" t="inlineStr">
        <is>
          <t>2026-07-01</t>
        </is>
      </c>
      <c r="B44" s="11" t="inlineStr">
        <is>
          <t>ecom</t>
        </is>
      </c>
      <c r="C44" s="11" t="inlineStr">
        <is>
          <t>Shopee Bulky</t>
        </is>
      </c>
      <c r="D44" s="11" t="inlineStr">
        <is>
          <t>04.15-20kg</t>
        </is>
      </c>
      <c r="E44" s="11" t="inlineStr">
        <is>
          <t>Lâm Đồng</t>
        </is>
      </c>
      <c r="F44" s="11" t="n">
        <v>8812.719999999999</v>
      </c>
      <c r="G44" s="11" t="n">
        <v>148910.23</v>
      </c>
      <c r="H44" s="11" t="n">
        <v>0</v>
      </c>
      <c r="I44" s="11" t="n">
        <v>7</v>
      </c>
    </row>
    <row r="45" ht="15.75" customHeight="1" s="57">
      <c r="A45" s="39" t="inlineStr">
        <is>
          <t>2026-07-01</t>
        </is>
      </c>
      <c r="B45" s="11" t="inlineStr">
        <is>
          <t>ecom</t>
        </is>
      </c>
      <c r="C45" s="11" t="inlineStr">
        <is>
          <t>Shopee Bulky</t>
        </is>
      </c>
      <c r="D45" s="11" t="inlineStr">
        <is>
          <t>04.15-20kg</t>
        </is>
      </c>
      <c r="E45" s="11" t="inlineStr">
        <is>
          <t>Ninh Thuận</t>
        </is>
      </c>
      <c r="F45" s="11" t="n">
        <v>2420.03</v>
      </c>
      <c r="G45" s="11" t="n">
        <v>40891.78</v>
      </c>
      <c r="H45" s="11" t="n">
        <v>0</v>
      </c>
      <c r="I45" s="11" t="n">
        <v>7</v>
      </c>
    </row>
    <row r="46" ht="15.75" customHeight="1" s="57">
      <c r="A46" s="39" t="inlineStr">
        <is>
          <t>2026-07-01</t>
        </is>
      </c>
      <c r="B46" s="11" t="inlineStr">
        <is>
          <t>ecom</t>
        </is>
      </c>
      <c r="C46" s="11" t="inlineStr">
        <is>
          <t>Shopee Bulky</t>
        </is>
      </c>
      <c r="D46" s="11" t="inlineStr">
        <is>
          <t>04.15-20kg</t>
        </is>
      </c>
      <c r="E46" s="11" t="inlineStr">
        <is>
          <t>Đắk Nông</t>
        </is>
      </c>
      <c r="F46" s="11" t="n">
        <v>2295.45</v>
      </c>
      <c r="G46" s="11" t="n">
        <v>38786.7</v>
      </c>
      <c r="H46" s="11" t="n">
        <v>0</v>
      </c>
      <c r="I46" s="11" t="n">
        <v>7</v>
      </c>
    </row>
    <row r="47" ht="15.75" customHeight="1" s="57">
      <c r="A47" s="39" t="inlineStr">
        <is>
          <t>2026-07-01</t>
        </is>
      </c>
      <c r="B47" s="11" t="inlineStr">
        <is>
          <t>ecom</t>
        </is>
      </c>
      <c r="C47" s="11" t="inlineStr">
        <is>
          <t>Shopee Bulky</t>
        </is>
      </c>
      <c r="D47" s="11" t="inlineStr">
        <is>
          <t>05.&gt;=20kg</t>
        </is>
      </c>
      <c r="E47" s="11" t="inlineStr">
        <is>
          <t>Bình Thuận</t>
        </is>
      </c>
      <c r="F47" s="11" t="n">
        <v>13110.21</v>
      </c>
      <c r="G47" s="11" t="n">
        <v>445336.82</v>
      </c>
      <c r="H47" s="11" t="n">
        <v>0</v>
      </c>
      <c r="I47" s="11" t="n">
        <v>7</v>
      </c>
    </row>
    <row r="48" ht="15.75" customHeight="1" s="57">
      <c r="A48" s="39" t="inlineStr">
        <is>
          <t>2026-07-01</t>
        </is>
      </c>
      <c r="B48" s="11" t="inlineStr">
        <is>
          <t>ecom</t>
        </is>
      </c>
      <c r="C48" s="11" t="inlineStr">
        <is>
          <t>Shopee Bulky</t>
        </is>
      </c>
      <c r="D48" s="11" t="inlineStr">
        <is>
          <t>05.&gt;=20kg</t>
        </is>
      </c>
      <c r="E48" s="11" t="inlineStr">
        <is>
          <t>Khánh Hòa</t>
        </is>
      </c>
      <c r="F48" s="11" t="n">
        <v>14463.15</v>
      </c>
      <c r="G48" s="11" t="n">
        <v>491294.32</v>
      </c>
      <c r="H48" s="11" t="n">
        <v>0</v>
      </c>
      <c r="I48" s="11" t="n">
        <v>7</v>
      </c>
    </row>
    <row r="49" ht="15.75" customHeight="1" s="57">
      <c r="A49" s="39" t="inlineStr">
        <is>
          <t>2026-07-01</t>
        </is>
      </c>
      <c r="B49" s="11" t="inlineStr">
        <is>
          <t>ecom</t>
        </is>
      </c>
      <c r="C49" s="11" t="inlineStr">
        <is>
          <t>Shopee Bulky</t>
        </is>
      </c>
      <c r="D49" s="11" t="inlineStr">
        <is>
          <t>05.&gt;=20kg</t>
        </is>
      </c>
      <c r="E49" s="11" t="inlineStr">
        <is>
          <t>Lâm Đồng</t>
        </is>
      </c>
      <c r="F49" s="11" t="n">
        <v>17152.72</v>
      </c>
      <c r="G49" s="11" t="n">
        <v>582655.6</v>
      </c>
      <c r="H49" s="11" t="n">
        <v>0</v>
      </c>
      <c r="I49" s="11" t="n">
        <v>7</v>
      </c>
    </row>
    <row r="50" ht="15.75" customHeight="1" s="57">
      <c r="A50" s="39" t="inlineStr">
        <is>
          <t>2026-07-01</t>
        </is>
      </c>
      <c r="B50" s="11" t="inlineStr">
        <is>
          <t>ecom</t>
        </is>
      </c>
      <c r="C50" s="11" t="inlineStr">
        <is>
          <t>Shopee Bulky</t>
        </is>
      </c>
      <c r="D50" s="11" t="inlineStr">
        <is>
          <t>05.&gt;=20kg</t>
        </is>
      </c>
      <c r="E50" s="11" t="inlineStr">
        <is>
          <t>Ninh Thuận</t>
        </is>
      </c>
      <c r="F50" s="11" t="n">
        <v>4317.87</v>
      </c>
      <c r="G50" s="11" t="n">
        <v>146672.43</v>
      </c>
      <c r="H50" s="11" t="n">
        <v>0</v>
      </c>
      <c r="I50" s="11" t="n">
        <v>7</v>
      </c>
    </row>
    <row r="51" ht="15.75" customHeight="1" s="57">
      <c r="A51" s="39" t="inlineStr">
        <is>
          <t>2026-07-01</t>
        </is>
      </c>
      <c r="B51" s="11" t="inlineStr">
        <is>
          <t>ecom</t>
        </is>
      </c>
      <c r="C51" s="11" t="inlineStr">
        <is>
          <t>Shopee Bulky</t>
        </is>
      </c>
      <c r="D51" s="11" t="inlineStr">
        <is>
          <t>05.&gt;=20kg</t>
        </is>
      </c>
      <c r="E51" s="11" t="inlineStr">
        <is>
          <t>Đắk Nông</t>
        </is>
      </c>
      <c r="F51" s="11" t="n">
        <v>4288.76</v>
      </c>
      <c r="G51" s="11" t="n">
        <v>145683.68</v>
      </c>
      <c r="H51" s="11" t="n">
        <v>0</v>
      </c>
      <c r="I51" s="11" t="n">
        <v>7</v>
      </c>
    </row>
    <row r="52" ht="15.75" customHeight="1" s="57">
      <c r="A52" s="39" t="inlineStr">
        <is>
          <t>2026-07-01</t>
        </is>
      </c>
      <c r="B52" s="11" t="inlineStr">
        <is>
          <t>ecom</t>
        </is>
      </c>
      <c r="C52" s="11" t="inlineStr">
        <is>
          <t>Shopee Ecom</t>
        </is>
      </c>
      <c r="D52" s="11" t="inlineStr">
        <is>
          <t>01.0-5kg</t>
        </is>
      </c>
      <c r="E52" s="11" t="inlineStr">
        <is>
          <t>Bình Thuận</t>
        </is>
      </c>
      <c r="F52" s="11" t="n">
        <v>122698.87</v>
      </c>
      <c r="G52" s="11" t="n">
        <v>105005.69</v>
      </c>
      <c r="H52" s="11" t="n">
        <v>0</v>
      </c>
      <c r="I52" s="11" t="n">
        <v>7</v>
      </c>
    </row>
    <row r="53" ht="15.75" customHeight="1" s="57">
      <c r="A53" s="39" t="inlineStr">
        <is>
          <t>2026-07-01</t>
        </is>
      </c>
      <c r="B53" s="11" t="inlineStr">
        <is>
          <t>ecom</t>
        </is>
      </c>
      <c r="C53" s="11" t="inlineStr">
        <is>
          <t>Shopee Ecom</t>
        </is>
      </c>
      <c r="D53" s="11" t="inlineStr">
        <is>
          <t>01.0-5kg</t>
        </is>
      </c>
      <c r="E53" s="11" t="inlineStr">
        <is>
          <t>Khánh Hòa</t>
        </is>
      </c>
      <c r="F53" s="11" t="n">
        <v>102940.66</v>
      </c>
      <c r="G53" s="11" t="n">
        <v>88096.61</v>
      </c>
      <c r="H53" s="11" t="n">
        <v>0</v>
      </c>
      <c r="I53" s="11" t="n">
        <v>7</v>
      </c>
    </row>
    <row r="54" ht="15.75" customHeight="1" s="57">
      <c r="A54" s="39" t="inlineStr">
        <is>
          <t>2026-07-01</t>
        </is>
      </c>
      <c r="B54" s="11" t="inlineStr">
        <is>
          <t>ecom</t>
        </is>
      </c>
      <c r="C54" s="11" t="inlineStr">
        <is>
          <t>Shopee Ecom</t>
        </is>
      </c>
      <c r="D54" s="11" t="inlineStr">
        <is>
          <t>01.0-5kg</t>
        </is>
      </c>
      <c r="E54" s="11" t="inlineStr">
        <is>
          <t>Lâm Đồng</t>
        </is>
      </c>
      <c r="F54" s="11" t="n">
        <v>123425.94</v>
      </c>
      <c r="G54" s="11" t="n">
        <v>105627.92</v>
      </c>
      <c r="H54" s="11" t="n">
        <v>0</v>
      </c>
      <c r="I54" s="11" t="n">
        <v>7</v>
      </c>
    </row>
    <row r="55" ht="15.75" customHeight="1" s="57">
      <c r="A55" s="39" t="inlineStr">
        <is>
          <t>2026-07-01</t>
        </is>
      </c>
      <c r="B55" s="11" t="inlineStr">
        <is>
          <t>ecom</t>
        </is>
      </c>
      <c r="C55" s="11" t="inlineStr">
        <is>
          <t>Shopee Ecom</t>
        </is>
      </c>
      <c r="D55" s="11" t="inlineStr">
        <is>
          <t>01.0-5kg</t>
        </is>
      </c>
      <c r="E55" s="11" t="inlineStr">
        <is>
          <t>Ninh Thuận</t>
        </is>
      </c>
      <c r="F55" s="11" t="n">
        <v>49129.3</v>
      </c>
      <c r="G55" s="11" t="n">
        <v>42044.85</v>
      </c>
      <c r="H55" s="11" t="n">
        <v>0</v>
      </c>
      <c r="I55" s="11" t="n">
        <v>7</v>
      </c>
    </row>
    <row r="56" ht="15.75" customHeight="1" s="57">
      <c r="A56" s="39" t="inlineStr">
        <is>
          <t>2026-07-01</t>
        </is>
      </c>
      <c r="B56" s="11" t="inlineStr">
        <is>
          <t>ecom</t>
        </is>
      </c>
      <c r="C56" s="11" t="inlineStr">
        <is>
          <t>Shopee Ecom</t>
        </is>
      </c>
      <c r="D56" s="11" t="inlineStr">
        <is>
          <t>01.0-5kg</t>
        </is>
      </c>
      <c r="E56" s="11" t="inlineStr">
        <is>
          <t>Đắk Nông</t>
        </is>
      </c>
      <c r="F56" s="11" t="n">
        <v>35019.37</v>
      </c>
      <c r="G56" s="11" t="n">
        <v>29969.58</v>
      </c>
      <c r="H56" s="11" t="n">
        <v>0</v>
      </c>
      <c r="I56" s="11" t="n">
        <v>7</v>
      </c>
    </row>
    <row r="57" ht="15.75" customHeight="1" s="57">
      <c r="A57" s="39" t="inlineStr">
        <is>
          <t>2026-07-01</t>
        </is>
      </c>
      <c r="B57" s="11" t="inlineStr">
        <is>
          <t>ecom</t>
        </is>
      </c>
      <c r="C57" s="11" t="inlineStr">
        <is>
          <t>Shopee Ecom</t>
        </is>
      </c>
      <c r="D57" s="11" t="inlineStr">
        <is>
          <t>02.5-10kg</t>
        </is>
      </c>
      <c r="E57" s="11" t="inlineStr">
        <is>
          <t>Bình Thuận</t>
        </is>
      </c>
      <c r="F57" s="11" t="n">
        <v>9588.43</v>
      </c>
      <c r="G57" s="11" t="n">
        <v>66024.94</v>
      </c>
      <c r="H57" s="11" t="n">
        <v>0</v>
      </c>
      <c r="I57" s="11" t="n">
        <v>7</v>
      </c>
    </row>
    <row r="58" ht="15.75" customHeight="1" s="57">
      <c r="A58" s="39" t="inlineStr">
        <is>
          <t>2026-07-01</t>
        </is>
      </c>
      <c r="B58" s="11" t="inlineStr">
        <is>
          <t>ecom</t>
        </is>
      </c>
      <c r="C58" s="11" t="inlineStr">
        <is>
          <t>Shopee Ecom</t>
        </is>
      </c>
      <c r="D58" s="11" t="inlineStr">
        <is>
          <t>02.5-10kg</t>
        </is>
      </c>
      <c r="E58" s="11" t="inlineStr">
        <is>
          <t>Khánh Hòa</t>
        </is>
      </c>
      <c r="F58" s="11" t="n">
        <v>9143.18</v>
      </c>
      <c r="G58" s="11" t="n">
        <v>62959</v>
      </c>
      <c r="H58" s="11" t="n">
        <v>0</v>
      </c>
      <c r="I58" s="11" t="n">
        <v>7</v>
      </c>
    </row>
    <row r="59" ht="15.75" customHeight="1" s="57">
      <c r="A59" s="39" t="inlineStr">
        <is>
          <t>2026-07-01</t>
        </is>
      </c>
      <c r="B59" s="11" t="inlineStr">
        <is>
          <t>ecom</t>
        </is>
      </c>
      <c r="C59" s="11" t="inlineStr">
        <is>
          <t>Shopee Ecom</t>
        </is>
      </c>
      <c r="D59" s="11" t="inlineStr">
        <is>
          <t>02.5-10kg</t>
        </is>
      </c>
      <c r="E59" s="11" t="inlineStr">
        <is>
          <t>Lâm Đồng</t>
        </is>
      </c>
      <c r="F59" s="11" t="n">
        <v>11447.54</v>
      </c>
      <c r="G59" s="11" t="n">
        <v>78826.64</v>
      </c>
      <c r="H59" s="11" t="n">
        <v>0</v>
      </c>
      <c r="I59" s="11" t="n">
        <v>7</v>
      </c>
    </row>
    <row r="60" ht="15.75" customHeight="1" s="57">
      <c r="A60" s="39" t="inlineStr">
        <is>
          <t>2026-07-01</t>
        </is>
      </c>
      <c r="B60" s="11" t="inlineStr">
        <is>
          <t>ecom</t>
        </is>
      </c>
      <c r="C60" s="11" t="inlineStr">
        <is>
          <t>Shopee Ecom</t>
        </is>
      </c>
      <c r="D60" s="11" t="inlineStr">
        <is>
          <t>02.5-10kg</t>
        </is>
      </c>
      <c r="E60" s="11" t="inlineStr">
        <is>
          <t>Ninh Thuận</t>
        </is>
      </c>
      <c r="F60" s="11" t="n">
        <v>3715.36</v>
      </c>
      <c r="G60" s="11" t="n">
        <v>25583.59</v>
      </c>
      <c r="H60" s="11" t="n">
        <v>0</v>
      </c>
      <c r="I60" s="11" t="n">
        <v>7</v>
      </c>
    </row>
    <row r="61" ht="15.75" customHeight="1" s="57">
      <c r="A61" s="39" t="inlineStr">
        <is>
          <t>2026-07-01</t>
        </is>
      </c>
      <c r="B61" s="11" t="inlineStr">
        <is>
          <t>ecom</t>
        </is>
      </c>
      <c r="C61" s="11" t="inlineStr">
        <is>
          <t>Shopee Ecom</t>
        </is>
      </c>
      <c r="D61" s="11" t="inlineStr">
        <is>
          <t>02.5-10kg</t>
        </is>
      </c>
      <c r="E61" s="11" t="inlineStr">
        <is>
          <t>Đắk Nông</t>
        </is>
      </c>
      <c r="F61" s="11" t="n">
        <v>2751.05</v>
      </c>
      <c r="G61" s="11" t="n">
        <v>18943.47</v>
      </c>
      <c r="H61" s="11" t="n">
        <v>0</v>
      </c>
      <c r="I61" s="11" t="n">
        <v>7</v>
      </c>
    </row>
    <row r="62" ht="15.75" customHeight="1" s="57">
      <c r="A62" s="39" t="inlineStr">
        <is>
          <t>2026-07-01</t>
        </is>
      </c>
      <c r="B62" s="11" t="inlineStr">
        <is>
          <t>ecom</t>
        </is>
      </c>
      <c r="C62" s="11" t="inlineStr">
        <is>
          <t>Shopee Ecom</t>
        </is>
      </c>
      <c r="D62" s="11" t="inlineStr">
        <is>
          <t>03.10-15kg</t>
        </is>
      </c>
      <c r="E62" s="11" t="inlineStr">
        <is>
          <t>Bình Thuận</t>
        </is>
      </c>
      <c r="F62" s="11" t="n">
        <v>678.66</v>
      </c>
      <c r="G62" s="11" t="n">
        <v>7102.96</v>
      </c>
      <c r="H62" s="11" t="n">
        <v>0</v>
      </c>
      <c r="I62" s="11" t="n">
        <v>7</v>
      </c>
    </row>
    <row r="63" ht="15.75" customHeight="1" s="57">
      <c r="A63" s="39" t="inlineStr">
        <is>
          <t>2026-07-01</t>
        </is>
      </c>
      <c r="B63" s="11" t="inlineStr">
        <is>
          <t>ecom</t>
        </is>
      </c>
      <c r="C63" s="11" t="inlineStr">
        <is>
          <t>Shopee Ecom</t>
        </is>
      </c>
      <c r="D63" s="11" t="inlineStr">
        <is>
          <t>03.10-15kg</t>
        </is>
      </c>
      <c r="E63" s="11" t="inlineStr">
        <is>
          <t>Khánh Hòa</t>
        </is>
      </c>
      <c r="F63" s="11" t="n">
        <v>689.6799999999999</v>
      </c>
      <c r="G63" s="11" t="n">
        <v>7218.33</v>
      </c>
      <c r="H63" s="11" t="n">
        <v>0</v>
      </c>
      <c r="I63" s="11" t="n">
        <v>7</v>
      </c>
    </row>
    <row r="64" ht="15.75" customHeight="1" s="57">
      <c r="A64" s="39" t="inlineStr">
        <is>
          <t>2026-07-01</t>
        </is>
      </c>
      <c r="B64" s="11" t="inlineStr">
        <is>
          <t>ecom</t>
        </is>
      </c>
      <c r="C64" s="11" t="inlineStr">
        <is>
          <t>Shopee Ecom</t>
        </is>
      </c>
      <c r="D64" s="11" t="inlineStr">
        <is>
          <t>03.10-15kg</t>
        </is>
      </c>
      <c r="E64" s="11" t="inlineStr">
        <is>
          <t>Lâm Đồng</t>
        </is>
      </c>
      <c r="F64" s="11" t="n">
        <v>737.13</v>
      </c>
      <c r="G64" s="11" t="n">
        <v>7714.94</v>
      </c>
      <c r="H64" s="11" t="n">
        <v>0</v>
      </c>
      <c r="I64" s="11" t="n">
        <v>7</v>
      </c>
    </row>
    <row r="65" ht="15.75" customHeight="1" s="57">
      <c r="A65" s="39" t="inlineStr">
        <is>
          <t>2026-07-01</t>
        </is>
      </c>
      <c r="B65" s="11" t="inlineStr">
        <is>
          <t>ecom</t>
        </is>
      </c>
      <c r="C65" s="11" t="inlineStr">
        <is>
          <t>Shopee Ecom</t>
        </is>
      </c>
      <c r="D65" s="11" t="inlineStr">
        <is>
          <t>03.10-15kg</t>
        </is>
      </c>
      <c r="E65" s="11" t="inlineStr">
        <is>
          <t>Ninh Thuận</t>
        </is>
      </c>
      <c r="F65" s="11" t="n">
        <v>236.76</v>
      </c>
      <c r="G65" s="11" t="n">
        <v>2478.01</v>
      </c>
      <c r="H65" s="11" t="n">
        <v>0</v>
      </c>
      <c r="I65" s="11" t="n">
        <v>7</v>
      </c>
    </row>
    <row r="66" ht="15.75" customHeight="1" s="57">
      <c r="A66" s="39" t="inlineStr">
        <is>
          <t>2026-07-01</t>
        </is>
      </c>
      <c r="B66" s="11" t="inlineStr">
        <is>
          <t>ecom</t>
        </is>
      </c>
      <c r="C66" s="11" t="inlineStr">
        <is>
          <t>Shopee Ecom</t>
        </is>
      </c>
      <c r="D66" s="11" t="inlineStr">
        <is>
          <t>03.10-15kg</t>
        </is>
      </c>
      <c r="E66" s="11" t="inlineStr">
        <is>
          <t>Đắk Nông</t>
        </is>
      </c>
      <c r="F66" s="11" t="n">
        <v>200.82</v>
      </c>
      <c r="G66" s="11" t="n">
        <v>2101.79</v>
      </c>
      <c r="H66" s="11" t="n">
        <v>0</v>
      </c>
      <c r="I66" s="11" t="n">
        <v>7</v>
      </c>
    </row>
    <row r="67" ht="15.75" customHeight="1" s="57">
      <c r="A67" s="39" t="inlineStr">
        <is>
          <t>2026-07-01</t>
        </is>
      </c>
      <c r="B67" s="11" t="inlineStr">
        <is>
          <t>ecom</t>
        </is>
      </c>
      <c r="C67" s="11" t="inlineStr">
        <is>
          <t>Shopee Ecom</t>
        </is>
      </c>
      <c r="D67" s="11" t="inlineStr">
        <is>
          <t>04.15-20kg</t>
        </is>
      </c>
      <c r="E67" s="11" t="inlineStr">
        <is>
          <t>Bình Thuận</t>
        </is>
      </c>
      <c r="F67" s="11" t="n">
        <v>15.34</v>
      </c>
      <c r="G67" s="11" t="n">
        <v>258.36</v>
      </c>
      <c r="H67" s="11" t="n">
        <v>0</v>
      </c>
      <c r="I67" s="11" t="n">
        <v>7</v>
      </c>
    </row>
    <row r="68" ht="15.75" customHeight="1" s="57">
      <c r="A68" s="39" t="inlineStr">
        <is>
          <t>2026-07-01</t>
        </is>
      </c>
      <c r="B68" s="11" t="inlineStr">
        <is>
          <t>ecom</t>
        </is>
      </c>
      <c r="C68" s="11" t="inlineStr">
        <is>
          <t>Shopee Ecom</t>
        </is>
      </c>
      <c r="D68" s="11" t="inlineStr">
        <is>
          <t>04.15-20kg</t>
        </is>
      </c>
      <c r="E68" s="11" t="inlineStr">
        <is>
          <t>Khánh Hòa</t>
        </is>
      </c>
      <c r="F68" s="11" t="n">
        <v>20.61</v>
      </c>
      <c r="G68" s="11" t="n">
        <v>347.18</v>
      </c>
      <c r="H68" s="11" t="n">
        <v>0</v>
      </c>
      <c r="I68" s="11" t="n">
        <v>7</v>
      </c>
    </row>
    <row r="69" ht="15.75" customHeight="1" s="57">
      <c r="A69" s="39" t="inlineStr">
        <is>
          <t>2026-07-01</t>
        </is>
      </c>
      <c r="B69" s="11" t="inlineStr">
        <is>
          <t>ecom</t>
        </is>
      </c>
      <c r="C69" s="11" t="inlineStr">
        <is>
          <t>Shopee Ecom</t>
        </is>
      </c>
      <c r="D69" s="11" t="inlineStr">
        <is>
          <t>04.15-20kg</t>
        </is>
      </c>
      <c r="E69" s="11" t="inlineStr">
        <is>
          <t>Lâm Đồng</t>
        </is>
      </c>
      <c r="F69" s="11" t="n">
        <v>25.4</v>
      </c>
      <c r="G69" s="11" t="n">
        <v>427.91</v>
      </c>
      <c r="H69" s="11" t="n">
        <v>0</v>
      </c>
      <c r="I69" s="11" t="n">
        <v>7</v>
      </c>
    </row>
    <row r="70" ht="15.75" customHeight="1" s="57">
      <c r="A70" s="39" t="inlineStr">
        <is>
          <t>2026-07-01</t>
        </is>
      </c>
      <c r="B70" s="11" t="inlineStr">
        <is>
          <t>ecom</t>
        </is>
      </c>
      <c r="C70" s="11" t="inlineStr">
        <is>
          <t>Shopee Ecom</t>
        </is>
      </c>
      <c r="D70" s="11" t="inlineStr">
        <is>
          <t>04.15-20kg</t>
        </is>
      </c>
      <c r="E70" s="11" t="inlineStr">
        <is>
          <t>Ninh Thuận</t>
        </is>
      </c>
      <c r="F70" s="11" t="n">
        <v>6.71</v>
      </c>
      <c r="G70" s="11" t="n">
        <v>113.03</v>
      </c>
      <c r="H70" s="11" t="n">
        <v>0</v>
      </c>
      <c r="I70" s="11" t="n">
        <v>7</v>
      </c>
    </row>
    <row r="71" ht="15.75" customHeight="1" s="57">
      <c r="A71" s="39" t="inlineStr">
        <is>
          <t>2026-07-01</t>
        </is>
      </c>
      <c r="B71" s="11" t="inlineStr">
        <is>
          <t>ecom</t>
        </is>
      </c>
      <c r="C71" s="11" t="inlineStr">
        <is>
          <t>Shopee Ecom</t>
        </is>
      </c>
      <c r="D71" s="11" t="inlineStr">
        <is>
          <t>04.15-20kg</t>
        </is>
      </c>
      <c r="E71" s="11" t="inlineStr">
        <is>
          <t>Đắk Nông</t>
        </is>
      </c>
      <c r="F71" s="11" t="n">
        <v>7.67</v>
      </c>
      <c r="G71" s="11" t="n">
        <v>129.18</v>
      </c>
      <c r="H71" s="11" t="n">
        <v>0</v>
      </c>
      <c r="I71" s="11" t="n">
        <v>7</v>
      </c>
    </row>
    <row r="72" ht="15.75" customHeight="1" s="57">
      <c r="A72" s="39" t="inlineStr">
        <is>
          <t>2026-07-01</t>
        </is>
      </c>
      <c r="B72" s="11" t="inlineStr">
        <is>
          <t>ecom</t>
        </is>
      </c>
      <c r="C72" s="11" t="inlineStr">
        <is>
          <t>Shopee Ecom</t>
        </is>
      </c>
      <c r="D72" s="11" t="inlineStr">
        <is>
          <t>05.&gt;=20kg</t>
        </is>
      </c>
      <c r="E72" s="11" t="inlineStr">
        <is>
          <t>Bình Thuận</t>
        </is>
      </c>
      <c r="F72" s="11" t="n">
        <v>15.34</v>
      </c>
      <c r="G72" s="11" t="n">
        <v>540.1799999999999</v>
      </c>
      <c r="H72" s="11" t="n">
        <v>0</v>
      </c>
      <c r="I72" s="11" t="n">
        <v>7</v>
      </c>
    </row>
    <row r="73" ht="15.75" customHeight="1" s="57">
      <c r="A73" s="39" t="inlineStr">
        <is>
          <t>2026-07-01</t>
        </is>
      </c>
      <c r="B73" s="11" t="inlineStr">
        <is>
          <t>ecom</t>
        </is>
      </c>
      <c r="C73" s="11" t="inlineStr">
        <is>
          <t>Shopee Ecom</t>
        </is>
      </c>
      <c r="D73" s="11" t="inlineStr">
        <is>
          <t>05.&gt;=20kg</t>
        </is>
      </c>
      <c r="E73" s="11" t="inlineStr">
        <is>
          <t>Khánh Hòa</t>
        </is>
      </c>
      <c r="F73" s="11" t="n">
        <v>11.98</v>
      </c>
      <c r="G73" s="11" t="n">
        <v>422.01</v>
      </c>
      <c r="H73" s="11" t="n">
        <v>0</v>
      </c>
      <c r="I73" s="11" t="n">
        <v>7</v>
      </c>
    </row>
    <row r="74" ht="15.75" customHeight="1" s="57">
      <c r="A74" s="39" t="inlineStr">
        <is>
          <t>2026-07-01</t>
        </is>
      </c>
      <c r="B74" s="11" t="inlineStr">
        <is>
          <t>ecom</t>
        </is>
      </c>
      <c r="C74" s="11" t="inlineStr">
        <is>
          <t>Shopee Ecom</t>
        </is>
      </c>
      <c r="D74" s="11" t="inlineStr">
        <is>
          <t>05.&gt;=20kg</t>
        </is>
      </c>
      <c r="E74" s="11" t="inlineStr">
        <is>
          <t>Lâm Đồng</t>
        </is>
      </c>
      <c r="F74" s="11" t="n">
        <v>23.48</v>
      </c>
      <c r="G74" s="11" t="n">
        <v>827.15</v>
      </c>
      <c r="H74" s="11" t="n">
        <v>0</v>
      </c>
      <c r="I74" s="11" t="n">
        <v>7</v>
      </c>
    </row>
    <row r="75" ht="15.75" customHeight="1" s="57">
      <c r="A75" s="39" t="inlineStr">
        <is>
          <t>2026-07-01</t>
        </is>
      </c>
      <c r="B75" s="11" t="inlineStr">
        <is>
          <t>ecom</t>
        </is>
      </c>
      <c r="C75" s="11" t="inlineStr">
        <is>
          <t>Shopee Ecom</t>
        </is>
      </c>
      <c r="D75" s="11" t="inlineStr">
        <is>
          <t>05.&gt;=20kg</t>
        </is>
      </c>
      <c r="E75" s="11" t="inlineStr">
        <is>
          <t>Ninh Thuận</t>
        </is>
      </c>
      <c r="F75" s="11" t="n">
        <v>2.4</v>
      </c>
      <c r="G75" s="11" t="n">
        <v>84.40000000000001</v>
      </c>
      <c r="H75" s="11" t="n">
        <v>0</v>
      </c>
      <c r="I75" s="11" t="n">
        <v>7</v>
      </c>
    </row>
    <row r="76" ht="15.75" customHeight="1" s="57">
      <c r="A76" s="39" t="inlineStr">
        <is>
          <t>2026-07-01</t>
        </is>
      </c>
      <c r="B76" s="11" t="inlineStr">
        <is>
          <t>ecom</t>
        </is>
      </c>
      <c r="C76" s="11" t="inlineStr">
        <is>
          <t>Shopee Ecom</t>
        </is>
      </c>
      <c r="D76" s="11" t="inlineStr">
        <is>
          <t>05.&gt;=20kg</t>
        </is>
      </c>
      <c r="E76" s="11" t="inlineStr">
        <is>
          <t>Đắk Nông</t>
        </is>
      </c>
      <c r="F76" s="11" t="n">
        <v>9.109999999999999</v>
      </c>
      <c r="G76" s="11" t="n">
        <v>320.73</v>
      </c>
      <c r="H76" s="11" t="n">
        <v>0</v>
      </c>
      <c r="I76" s="11" t="n">
        <v>7</v>
      </c>
    </row>
    <row r="77" ht="15.75" customHeight="1" s="57">
      <c r="A77" s="39" t="inlineStr">
        <is>
          <t>2026-07-01</t>
        </is>
      </c>
      <c r="B77" s="11" t="inlineStr">
        <is>
          <t>ecom</t>
        </is>
      </c>
      <c r="C77" s="11" t="inlineStr">
        <is>
          <t>TTS</t>
        </is>
      </c>
      <c r="D77" s="11" t="inlineStr">
        <is>
          <t>01.0-5kg</t>
        </is>
      </c>
      <c r="E77" s="11" t="inlineStr">
        <is>
          <t>Bình Thuận</t>
        </is>
      </c>
      <c r="F77" s="11" t="n">
        <v>97389.71000000001</v>
      </c>
      <c r="G77" s="11" t="n">
        <v>74649.22</v>
      </c>
      <c r="H77" s="11" t="n">
        <v>0</v>
      </c>
      <c r="I77" s="11" t="n">
        <v>7</v>
      </c>
    </row>
    <row r="78" ht="15.75" customHeight="1" s="57">
      <c r="A78" s="39" t="inlineStr">
        <is>
          <t>2026-07-01</t>
        </is>
      </c>
      <c r="B78" s="11" t="inlineStr">
        <is>
          <t>ecom</t>
        </is>
      </c>
      <c r="C78" s="11" t="inlineStr">
        <is>
          <t>TTS</t>
        </is>
      </c>
      <c r="D78" s="11" t="inlineStr">
        <is>
          <t>01.0-5kg</t>
        </is>
      </c>
      <c r="E78" s="11" t="inlineStr">
        <is>
          <t>Khánh Hòa</t>
        </is>
      </c>
      <c r="F78" s="11" t="n">
        <v>113880.3</v>
      </c>
      <c r="G78" s="11" t="n">
        <v>87289.25</v>
      </c>
      <c r="H78" s="11" t="n">
        <v>0</v>
      </c>
      <c r="I78" s="11" t="n">
        <v>7</v>
      </c>
    </row>
    <row r="79" ht="15.75" customHeight="1" s="57">
      <c r="A79" s="39" t="inlineStr">
        <is>
          <t>2026-07-01</t>
        </is>
      </c>
      <c r="B79" s="11" t="inlineStr">
        <is>
          <t>ecom</t>
        </is>
      </c>
      <c r="C79" s="11" t="inlineStr">
        <is>
          <t>TTS</t>
        </is>
      </c>
      <c r="D79" s="11" t="inlineStr">
        <is>
          <t>01.0-5kg</t>
        </is>
      </c>
      <c r="E79" s="11" t="inlineStr">
        <is>
          <t>Lâm Đồng</t>
        </is>
      </c>
      <c r="F79" s="11" t="n">
        <v>104820.25</v>
      </c>
      <c r="G79" s="11" t="n">
        <v>80344.72</v>
      </c>
      <c r="H79" s="11" t="n">
        <v>0</v>
      </c>
      <c r="I79" s="11" t="n">
        <v>7</v>
      </c>
    </row>
    <row r="80" ht="15.75" customHeight="1" s="57">
      <c r="A80" s="39" t="inlineStr">
        <is>
          <t>2026-07-01</t>
        </is>
      </c>
      <c r="B80" s="11" t="inlineStr">
        <is>
          <t>ecom</t>
        </is>
      </c>
      <c r="C80" s="11" t="inlineStr">
        <is>
          <t>TTS</t>
        </is>
      </c>
      <c r="D80" s="11" t="inlineStr">
        <is>
          <t>01.0-5kg</t>
        </is>
      </c>
      <c r="E80" s="11" t="inlineStr">
        <is>
          <t>Ninh Thuận</t>
        </is>
      </c>
      <c r="F80" s="11" t="n">
        <v>44055.14</v>
      </c>
      <c r="G80" s="11" t="n">
        <v>33768.26</v>
      </c>
      <c r="H80" s="11" t="n">
        <v>0</v>
      </c>
      <c r="I80" s="11" t="n">
        <v>7</v>
      </c>
    </row>
    <row r="81" ht="15.75" customHeight="1" s="57">
      <c r="A81" s="39" t="inlineStr">
        <is>
          <t>2026-07-01</t>
        </is>
      </c>
      <c r="B81" s="11" t="inlineStr">
        <is>
          <t>ecom</t>
        </is>
      </c>
      <c r="C81" s="11" t="inlineStr">
        <is>
          <t>TTS</t>
        </is>
      </c>
      <c r="D81" s="11" t="inlineStr">
        <is>
          <t>01.0-5kg</t>
        </is>
      </c>
      <c r="E81" s="11" t="inlineStr">
        <is>
          <t>Đắk Nông</t>
        </is>
      </c>
      <c r="F81" s="11" t="n">
        <v>64893.08</v>
      </c>
      <c r="G81" s="11" t="n">
        <v>49740.55</v>
      </c>
      <c r="H81" s="11" t="n">
        <v>0</v>
      </c>
      <c r="I81" s="11" t="n">
        <v>7</v>
      </c>
    </row>
    <row r="82" ht="15.75" customHeight="1" s="57">
      <c r="A82" s="39" t="inlineStr">
        <is>
          <t>2026-07-01</t>
        </is>
      </c>
      <c r="B82" s="11" t="inlineStr">
        <is>
          <t>ecom</t>
        </is>
      </c>
      <c r="C82" s="11" t="inlineStr">
        <is>
          <t>TTS</t>
        </is>
      </c>
      <c r="D82" s="11" t="inlineStr">
        <is>
          <t>02.5-10kg</t>
        </is>
      </c>
      <c r="E82" s="11" t="inlineStr">
        <is>
          <t>Bình Thuận</t>
        </is>
      </c>
      <c r="F82" s="11" t="n">
        <v>4345.55</v>
      </c>
      <c r="G82" s="11" t="n">
        <v>27585.96</v>
      </c>
      <c r="H82" s="11" t="n">
        <v>0</v>
      </c>
      <c r="I82" s="11" t="n">
        <v>7</v>
      </c>
    </row>
    <row r="83" ht="15.75" customHeight="1" s="57">
      <c r="A83" s="39" t="inlineStr">
        <is>
          <t>2026-07-01</t>
        </is>
      </c>
      <c r="B83" s="11" t="inlineStr">
        <is>
          <t>ecom</t>
        </is>
      </c>
      <c r="C83" s="11" t="inlineStr">
        <is>
          <t>TTS</t>
        </is>
      </c>
      <c r="D83" s="11" t="inlineStr">
        <is>
          <t>02.5-10kg</t>
        </is>
      </c>
      <c r="E83" s="11" t="inlineStr">
        <is>
          <t>Khánh Hòa</t>
        </is>
      </c>
      <c r="F83" s="11" t="n">
        <v>4538.64</v>
      </c>
      <c r="G83" s="11" t="n">
        <v>28811.74</v>
      </c>
      <c r="H83" s="11" t="n">
        <v>0</v>
      </c>
      <c r="I83" s="11" t="n">
        <v>7</v>
      </c>
    </row>
    <row r="84" ht="15.75" customHeight="1" s="57">
      <c r="A84" s="39" t="inlineStr">
        <is>
          <t>2026-07-01</t>
        </is>
      </c>
      <c r="B84" s="11" t="inlineStr">
        <is>
          <t>ecom</t>
        </is>
      </c>
      <c r="C84" s="11" t="inlineStr">
        <is>
          <t>TTS</t>
        </is>
      </c>
      <c r="D84" s="11" t="inlineStr">
        <is>
          <t>02.5-10kg</t>
        </is>
      </c>
      <c r="E84" s="11" t="inlineStr">
        <is>
          <t>Lâm Đồng</t>
        </is>
      </c>
      <c r="F84" s="11" t="n">
        <v>5531.31</v>
      </c>
      <c r="G84" s="11" t="n">
        <v>35113.32</v>
      </c>
      <c r="H84" s="11" t="n">
        <v>0</v>
      </c>
      <c r="I84" s="11" t="n">
        <v>7</v>
      </c>
    </row>
    <row r="85" ht="15.75" customHeight="1" s="57">
      <c r="A85" s="39" t="inlineStr">
        <is>
          <t>2026-07-01</t>
        </is>
      </c>
      <c r="B85" s="11" t="inlineStr">
        <is>
          <t>ecom</t>
        </is>
      </c>
      <c r="C85" s="11" t="inlineStr">
        <is>
          <t>TTS</t>
        </is>
      </c>
      <c r="D85" s="11" t="inlineStr">
        <is>
          <t>02.5-10kg</t>
        </is>
      </c>
      <c r="E85" s="11" t="inlineStr">
        <is>
          <t>Ninh Thuận</t>
        </is>
      </c>
      <c r="F85" s="11" t="n">
        <v>1731.96</v>
      </c>
      <c r="G85" s="11" t="n">
        <v>10994.67</v>
      </c>
      <c r="H85" s="11" t="n">
        <v>0</v>
      </c>
      <c r="I85" s="11" t="n">
        <v>7</v>
      </c>
    </row>
    <row r="86" ht="15.75" customHeight="1" s="57">
      <c r="A86" s="39" t="inlineStr">
        <is>
          <t>2026-07-01</t>
        </is>
      </c>
      <c r="B86" s="11" t="inlineStr">
        <is>
          <t>ecom</t>
        </is>
      </c>
      <c r="C86" s="11" t="inlineStr">
        <is>
          <t>TTS</t>
        </is>
      </c>
      <c r="D86" s="11" t="inlineStr">
        <is>
          <t>02.5-10kg</t>
        </is>
      </c>
      <c r="E86" s="11" t="inlineStr">
        <is>
          <t>Đắk Nông</t>
        </is>
      </c>
      <c r="F86" s="11" t="n">
        <v>2941.3</v>
      </c>
      <c r="G86" s="11" t="n">
        <v>18671.67</v>
      </c>
      <c r="H86" s="11" t="n">
        <v>0</v>
      </c>
      <c r="I86" s="11" t="n">
        <v>7</v>
      </c>
    </row>
    <row r="87" ht="15.75" customHeight="1" s="57">
      <c r="A87" s="39" t="inlineStr">
        <is>
          <t>2026-07-01</t>
        </is>
      </c>
      <c r="B87" s="11" t="inlineStr">
        <is>
          <t>ecom</t>
        </is>
      </c>
      <c r="C87" s="11" t="inlineStr">
        <is>
          <t>TTS</t>
        </is>
      </c>
      <c r="D87" s="11" t="inlineStr">
        <is>
          <t>03.10-15kg</t>
        </is>
      </c>
      <c r="E87" s="11" t="inlineStr">
        <is>
          <t>Bình Thuận</t>
        </is>
      </c>
      <c r="F87" s="11" t="n">
        <v>1649.92</v>
      </c>
      <c r="G87" s="11" t="n">
        <v>19019.29</v>
      </c>
      <c r="H87" s="11" t="n">
        <v>0</v>
      </c>
      <c r="I87" s="11" t="n">
        <v>7</v>
      </c>
    </row>
    <row r="88" ht="15.75" customHeight="1" s="57">
      <c r="A88" s="39" t="inlineStr">
        <is>
          <t>2026-07-01</t>
        </is>
      </c>
      <c r="B88" s="11" t="inlineStr">
        <is>
          <t>ecom</t>
        </is>
      </c>
      <c r="C88" s="11" t="inlineStr">
        <is>
          <t>TTS</t>
        </is>
      </c>
      <c r="D88" s="11" t="inlineStr">
        <is>
          <t>03.10-15kg</t>
        </is>
      </c>
      <c r="E88" s="11" t="inlineStr">
        <is>
          <t>Khánh Hòa</t>
        </is>
      </c>
      <c r="F88" s="11" t="n">
        <v>1954.97</v>
      </c>
      <c r="G88" s="11" t="n">
        <v>22535.77</v>
      </c>
      <c r="H88" s="11" t="n">
        <v>0</v>
      </c>
      <c r="I88" s="11" t="n">
        <v>7</v>
      </c>
    </row>
    <row r="89" ht="15.75" customHeight="1" s="57">
      <c r="A89" s="39" t="inlineStr">
        <is>
          <t>2026-07-01</t>
        </is>
      </c>
      <c r="B89" s="11" t="inlineStr">
        <is>
          <t>ecom</t>
        </is>
      </c>
      <c r="C89" s="11" t="inlineStr">
        <is>
          <t>TTS</t>
        </is>
      </c>
      <c r="D89" s="11" t="inlineStr">
        <is>
          <t>03.10-15kg</t>
        </is>
      </c>
      <c r="E89" s="11" t="inlineStr">
        <is>
          <t>Lâm Đồng</t>
        </is>
      </c>
      <c r="F89" s="11" t="n">
        <v>2183.88</v>
      </c>
      <c r="G89" s="11" t="n">
        <v>25174.43</v>
      </c>
      <c r="H89" s="11" t="n">
        <v>0</v>
      </c>
      <c r="I89" s="11" t="n">
        <v>7</v>
      </c>
    </row>
    <row r="90" ht="15.75" customHeight="1" s="57">
      <c r="A90" s="39" t="inlineStr">
        <is>
          <t>2026-07-01</t>
        </is>
      </c>
      <c r="B90" s="11" t="inlineStr">
        <is>
          <t>ecom</t>
        </is>
      </c>
      <c r="C90" s="11" t="inlineStr">
        <is>
          <t>TTS</t>
        </is>
      </c>
      <c r="D90" s="11" t="inlineStr">
        <is>
          <t>03.10-15kg</t>
        </is>
      </c>
      <c r="E90" s="11" t="inlineStr">
        <is>
          <t>Ninh Thuận</t>
        </is>
      </c>
      <c r="F90" s="11" t="n">
        <v>728.41</v>
      </c>
      <c r="G90" s="11" t="n">
        <v>8396.700000000001</v>
      </c>
      <c r="H90" s="11" t="n">
        <v>0</v>
      </c>
      <c r="I90" s="11" t="n">
        <v>7</v>
      </c>
    </row>
    <row r="91" ht="15.75" customHeight="1" s="57">
      <c r="A91" s="39" t="inlineStr">
        <is>
          <t>2026-07-01</t>
        </is>
      </c>
      <c r="B91" s="11" t="inlineStr">
        <is>
          <t>ecom</t>
        </is>
      </c>
      <c r="C91" s="11" t="inlineStr">
        <is>
          <t>TTS</t>
        </is>
      </c>
      <c r="D91" s="11" t="inlineStr">
        <is>
          <t>03.10-15kg</t>
        </is>
      </c>
      <c r="E91" s="11" t="inlineStr">
        <is>
          <t>Đắk Nông</t>
        </is>
      </c>
      <c r="F91" s="11" t="n">
        <v>1081.06</v>
      </c>
      <c r="G91" s="11" t="n">
        <v>12461.82</v>
      </c>
      <c r="H91" s="11" t="n">
        <v>0</v>
      </c>
      <c r="I91" s="11" t="n">
        <v>7</v>
      </c>
    </row>
    <row r="92" ht="15.75" customHeight="1" s="57">
      <c r="A92" s="39" t="inlineStr">
        <is>
          <t>2026-07-01</t>
        </is>
      </c>
      <c r="B92" s="11" t="inlineStr">
        <is>
          <t>ecom</t>
        </is>
      </c>
      <c r="C92" s="11" t="inlineStr">
        <is>
          <t>TTS</t>
        </is>
      </c>
      <c r="D92" s="11" t="inlineStr">
        <is>
          <t>04.15-20kg</t>
        </is>
      </c>
      <c r="E92" s="11" t="inlineStr">
        <is>
          <t>Bình Thuận</t>
        </is>
      </c>
      <c r="F92" s="11" t="n">
        <v>582.91</v>
      </c>
      <c r="G92" s="11" t="n">
        <v>9641.24</v>
      </c>
      <c r="H92" s="11" t="n">
        <v>0</v>
      </c>
      <c r="I92" s="11" t="n">
        <v>7</v>
      </c>
    </row>
    <row r="93" ht="15.75" customHeight="1" s="57">
      <c r="A93" s="39" t="inlineStr">
        <is>
          <t>2026-07-01</t>
        </is>
      </c>
      <c r="B93" s="11" t="inlineStr">
        <is>
          <t>ecom</t>
        </is>
      </c>
      <c r="C93" s="11" t="inlineStr">
        <is>
          <t>TTS</t>
        </is>
      </c>
      <c r="D93" s="11" t="inlineStr">
        <is>
          <t>04.15-20kg</t>
        </is>
      </c>
      <c r="E93" s="11" t="inlineStr">
        <is>
          <t>Khánh Hòa</t>
        </is>
      </c>
      <c r="F93" s="11" t="n">
        <v>789.15</v>
      </c>
      <c r="G93" s="11" t="n">
        <v>13052.41</v>
      </c>
      <c r="H93" s="11" t="n">
        <v>0</v>
      </c>
      <c r="I93" s="11" t="n">
        <v>7</v>
      </c>
    </row>
    <row r="94" ht="15.75" customHeight="1" s="57">
      <c r="A94" s="39" t="inlineStr">
        <is>
          <t>2026-07-01</t>
        </is>
      </c>
      <c r="B94" s="11" t="inlineStr">
        <is>
          <t>ecom</t>
        </is>
      </c>
      <c r="C94" s="11" t="inlineStr">
        <is>
          <t>TTS</t>
        </is>
      </c>
      <c r="D94" s="11" t="inlineStr">
        <is>
          <t>04.15-20kg</t>
        </is>
      </c>
      <c r="E94" s="11" t="inlineStr">
        <is>
          <t>Lâm Đồng</t>
        </is>
      </c>
      <c r="F94" s="11" t="n">
        <v>881.17</v>
      </c>
      <c r="G94" s="11" t="n">
        <v>14574.31</v>
      </c>
      <c r="H94" s="11" t="n">
        <v>0</v>
      </c>
      <c r="I94" s="11" t="n">
        <v>7</v>
      </c>
    </row>
    <row r="95" ht="15.75" customHeight="1" s="57">
      <c r="A95" s="39" t="inlineStr">
        <is>
          <t>2026-07-01</t>
        </is>
      </c>
      <c r="B95" s="11" t="inlineStr">
        <is>
          <t>ecom</t>
        </is>
      </c>
      <c r="C95" s="11" t="inlineStr">
        <is>
          <t>TTS</t>
        </is>
      </c>
      <c r="D95" s="11" t="inlineStr">
        <is>
          <t>04.15-20kg</t>
        </is>
      </c>
      <c r="E95" s="11" t="inlineStr">
        <is>
          <t>Ninh Thuận</t>
        </is>
      </c>
      <c r="F95" s="11" t="n">
        <v>247.94</v>
      </c>
      <c r="G95" s="11" t="n">
        <v>4100.9</v>
      </c>
      <c r="H95" s="11" t="n">
        <v>0</v>
      </c>
      <c r="I95" s="11" t="n">
        <v>7</v>
      </c>
    </row>
    <row r="96" ht="15.75" customHeight="1" s="57">
      <c r="A96" s="39" t="inlineStr">
        <is>
          <t>2026-07-01</t>
        </is>
      </c>
      <c r="B96" s="11" t="inlineStr">
        <is>
          <t>ecom</t>
        </is>
      </c>
      <c r="C96" s="11" t="inlineStr">
        <is>
          <t>TTS</t>
        </is>
      </c>
      <c r="D96" s="11" t="inlineStr">
        <is>
          <t>04.15-20kg</t>
        </is>
      </c>
      <c r="E96" s="11" t="inlineStr">
        <is>
          <t>Đắk Nông</t>
        </is>
      </c>
      <c r="F96" s="11" t="n">
        <v>445.12</v>
      </c>
      <c r="G96" s="11" t="n">
        <v>7362.13</v>
      </c>
      <c r="H96" s="11" t="n">
        <v>0</v>
      </c>
      <c r="I96" s="11" t="n">
        <v>7</v>
      </c>
    </row>
    <row r="97" ht="15.75" customHeight="1" s="57">
      <c r="A97" s="39" t="inlineStr">
        <is>
          <t>2026-07-01</t>
        </is>
      </c>
      <c r="B97" s="11" t="inlineStr">
        <is>
          <t>ecom</t>
        </is>
      </c>
      <c r="C97" s="11" t="inlineStr">
        <is>
          <t>TTS</t>
        </is>
      </c>
      <c r="D97" s="11" t="inlineStr">
        <is>
          <t>05.&gt;=20kg</t>
        </is>
      </c>
      <c r="E97" s="11" t="inlineStr">
        <is>
          <t>Bình Thuận</t>
        </is>
      </c>
      <c r="F97" s="11" t="n">
        <v>586.08</v>
      </c>
      <c r="G97" s="11" t="n">
        <v>21030.05</v>
      </c>
      <c r="H97" s="11" t="n">
        <v>0</v>
      </c>
      <c r="I97" s="11" t="n">
        <v>7</v>
      </c>
    </row>
    <row r="98" ht="15.75" customHeight="1" s="57">
      <c r="A98" s="39" t="inlineStr">
        <is>
          <t>2026-07-01</t>
        </is>
      </c>
      <c r="B98" s="11" t="inlineStr">
        <is>
          <t>ecom</t>
        </is>
      </c>
      <c r="C98" s="11" t="inlineStr">
        <is>
          <t>TTS</t>
        </is>
      </c>
      <c r="D98" s="11" t="inlineStr">
        <is>
          <t>05.&gt;=20kg</t>
        </is>
      </c>
      <c r="E98" s="11" t="inlineStr">
        <is>
          <t>Khánh Hòa</t>
        </is>
      </c>
      <c r="F98" s="11" t="n">
        <v>813.63</v>
      </c>
      <c r="G98" s="11" t="n">
        <v>29194.85</v>
      </c>
      <c r="H98" s="11" t="n">
        <v>0</v>
      </c>
      <c r="I98" s="11" t="n">
        <v>7</v>
      </c>
    </row>
    <row r="99" ht="15.75" customHeight="1" s="57">
      <c r="A99" s="39" t="inlineStr">
        <is>
          <t>2026-07-01</t>
        </is>
      </c>
      <c r="B99" s="11" t="inlineStr">
        <is>
          <t>ecom</t>
        </is>
      </c>
      <c r="C99" s="11" t="inlineStr">
        <is>
          <t>TTS</t>
        </is>
      </c>
      <c r="D99" s="11" t="inlineStr">
        <is>
          <t>05.&gt;=20kg</t>
        </is>
      </c>
      <c r="E99" s="11" t="inlineStr">
        <is>
          <t>Lâm Đồng</t>
        </is>
      </c>
      <c r="F99" s="11" t="n">
        <v>805.92</v>
      </c>
      <c r="G99" s="11" t="n">
        <v>28918.36</v>
      </c>
      <c r="H99" s="11" t="n">
        <v>0</v>
      </c>
      <c r="I99" s="11" t="n">
        <v>7</v>
      </c>
    </row>
    <row r="100" ht="15.75" customHeight="1" s="57">
      <c r="A100" s="39" t="inlineStr">
        <is>
          <t>2026-07-01</t>
        </is>
      </c>
      <c r="B100" s="11" t="inlineStr">
        <is>
          <t>ecom</t>
        </is>
      </c>
      <c r="C100" s="11" t="inlineStr">
        <is>
          <t>TTS</t>
        </is>
      </c>
      <c r="D100" s="11" t="inlineStr">
        <is>
          <t>05.&gt;=20kg</t>
        </is>
      </c>
      <c r="E100" s="11" t="inlineStr">
        <is>
          <t>Ninh Thuận</t>
        </is>
      </c>
      <c r="F100" s="11" t="n">
        <v>253.38</v>
      </c>
      <c r="G100" s="11" t="n">
        <v>9091.879999999999</v>
      </c>
      <c r="H100" s="11" t="n">
        <v>0</v>
      </c>
      <c r="I100" s="11" t="n">
        <v>7</v>
      </c>
    </row>
    <row r="101" ht="15.75" customHeight="1" s="57">
      <c r="A101" s="39" t="inlineStr">
        <is>
          <t>2026-07-01</t>
        </is>
      </c>
      <c r="B101" s="11" t="inlineStr">
        <is>
          <t>ecom</t>
        </is>
      </c>
      <c r="C101" s="11" t="inlineStr">
        <is>
          <t>TTS</t>
        </is>
      </c>
      <c r="D101" s="11" t="inlineStr">
        <is>
          <t>05.&gt;=20kg</t>
        </is>
      </c>
      <c r="E101" s="11" t="inlineStr">
        <is>
          <t>Đắk Nông</t>
        </is>
      </c>
      <c r="F101" s="11" t="n">
        <v>373.05</v>
      </c>
      <c r="G101" s="11" t="n">
        <v>13385.72</v>
      </c>
      <c r="H101" s="11" t="n">
        <v>0</v>
      </c>
      <c r="I101" s="11" t="n">
        <v>7</v>
      </c>
    </row>
    <row r="102" ht="15.75" customHeight="1" s="57">
      <c r="A102" s="39" t="inlineStr">
        <is>
          <t>2026-08-01</t>
        </is>
      </c>
      <c r="B102" s="11" t="inlineStr">
        <is>
          <t>sme</t>
        </is>
      </c>
      <c r="C102" s="11" t="inlineStr">
        <is>
          <t>SME</t>
        </is>
      </c>
      <c r="D102" s="11" t="inlineStr">
        <is>
          <t>01.0-5kg</t>
        </is>
      </c>
      <c r="E102" s="11" t="inlineStr">
        <is>
          <t>Bình Thuận</t>
        </is>
      </c>
      <c r="F102" s="11" t="n">
        <v>144647.28</v>
      </c>
      <c r="G102" s="11" t="n">
        <v>100153.77</v>
      </c>
      <c r="H102" s="11" t="n">
        <v>0</v>
      </c>
      <c r="I102" s="11" t="n">
        <v>8</v>
      </c>
    </row>
    <row r="103" ht="15.75" customHeight="1" s="57">
      <c r="A103" s="39" t="inlineStr">
        <is>
          <t>2026-08-01</t>
        </is>
      </c>
      <c r="B103" s="11" t="inlineStr">
        <is>
          <t>sme</t>
        </is>
      </c>
      <c r="C103" s="11" t="inlineStr">
        <is>
          <t>SME</t>
        </is>
      </c>
      <c r="D103" s="11" t="inlineStr">
        <is>
          <t>01.0-5kg</t>
        </is>
      </c>
      <c r="E103" s="11" t="inlineStr">
        <is>
          <t>Khánh Hòa</t>
        </is>
      </c>
      <c r="F103" s="11" t="n">
        <v>178142.07</v>
      </c>
      <c r="G103" s="11" t="n">
        <v>123345.57</v>
      </c>
      <c r="H103" s="11" t="n">
        <v>0</v>
      </c>
      <c r="I103" s="11" t="n">
        <v>8</v>
      </c>
    </row>
    <row r="104" ht="15.75" customHeight="1" s="57">
      <c r="A104" s="39" t="inlineStr">
        <is>
          <t>2026-08-01</t>
        </is>
      </c>
      <c r="B104" s="11" t="inlineStr">
        <is>
          <t>sme</t>
        </is>
      </c>
      <c r="C104" s="11" t="inlineStr">
        <is>
          <t>SME</t>
        </is>
      </c>
      <c r="D104" s="11" t="inlineStr">
        <is>
          <t>01.0-5kg</t>
        </is>
      </c>
      <c r="E104" s="11" t="inlineStr">
        <is>
          <t>Lâm Đồng</t>
        </is>
      </c>
      <c r="F104" s="11" t="n">
        <v>193302.64</v>
      </c>
      <c r="G104" s="11" t="n">
        <v>133842.75</v>
      </c>
      <c r="H104" s="11" t="n">
        <v>0</v>
      </c>
      <c r="I104" s="11" t="n">
        <v>8</v>
      </c>
    </row>
    <row r="105" ht="15.75" customHeight="1" s="57">
      <c r="A105" s="39" t="inlineStr">
        <is>
          <t>2026-08-01</t>
        </is>
      </c>
      <c r="B105" s="11" t="inlineStr">
        <is>
          <t>sme</t>
        </is>
      </c>
      <c r="C105" s="11" t="inlineStr">
        <is>
          <t>SME</t>
        </is>
      </c>
      <c r="D105" s="11" t="inlineStr">
        <is>
          <t>01.0-5kg</t>
        </is>
      </c>
      <c r="E105" s="11" t="inlineStr">
        <is>
          <t>Ninh Thuận</t>
        </is>
      </c>
      <c r="F105" s="11" t="n">
        <v>57729.17</v>
      </c>
      <c r="G105" s="11" t="n">
        <v>39971.68</v>
      </c>
      <c r="H105" s="11" t="n">
        <v>0</v>
      </c>
      <c r="I105" s="11" t="n">
        <v>8</v>
      </c>
    </row>
    <row r="106" ht="15.75" customHeight="1" s="57">
      <c r="A106" s="39" t="inlineStr">
        <is>
          <t>2026-08-01</t>
        </is>
      </c>
      <c r="B106" s="11" t="inlineStr">
        <is>
          <t>sme</t>
        </is>
      </c>
      <c r="C106" s="11" t="inlineStr">
        <is>
          <t>SME</t>
        </is>
      </c>
      <c r="D106" s="11" t="inlineStr">
        <is>
          <t>01.0-5kg</t>
        </is>
      </c>
      <c r="E106" s="11" t="inlineStr">
        <is>
          <t>Đắk Nông</t>
        </is>
      </c>
      <c r="F106" s="11" t="n">
        <v>76062.25</v>
      </c>
      <c r="G106" s="11" t="n">
        <v>52665.5</v>
      </c>
      <c r="H106" s="11" t="n">
        <v>0</v>
      </c>
      <c r="I106" s="11" t="n">
        <v>8</v>
      </c>
    </row>
    <row r="107" ht="15.75" customHeight="1" s="57">
      <c r="A107" s="39" t="inlineStr">
        <is>
          <t>2026-08-01</t>
        </is>
      </c>
      <c r="B107" s="11" t="inlineStr">
        <is>
          <t>sme</t>
        </is>
      </c>
      <c r="C107" s="11" t="inlineStr">
        <is>
          <t>SME</t>
        </is>
      </c>
      <c r="D107" s="11" t="inlineStr">
        <is>
          <t>02.5-10kg</t>
        </is>
      </c>
      <c r="E107" s="11" t="inlineStr">
        <is>
          <t>Bình Thuận</t>
        </is>
      </c>
      <c r="F107" s="11" t="n">
        <v>9468.459999999999</v>
      </c>
      <c r="G107" s="11" t="n">
        <v>57853.24</v>
      </c>
      <c r="H107" s="11" t="n">
        <v>0</v>
      </c>
      <c r="I107" s="11" t="n">
        <v>8</v>
      </c>
    </row>
    <row r="108" ht="15.75" customHeight="1" s="57">
      <c r="A108" s="39" t="inlineStr">
        <is>
          <t>2026-08-01</t>
        </is>
      </c>
      <c r="B108" s="11" t="inlineStr">
        <is>
          <t>sme</t>
        </is>
      </c>
      <c r="C108" s="11" t="inlineStr">
        <is>
          <t>SME</t>
        </is>
      </c>
      <c r="D108" s="11" t="inlineStr">
        <is>
          <t>02.5-10kg</t>
        </is>
      </c>
      <c r="E108" s="11" t="inlineStr">
        <is>
          <t>Khánh Hòa</t>
        </is>
      </c>
      <c r="F108" s="11" t="n">
        <v>9549.299999999999</v>
      </c>
      <c r="G108" s="11" t="n">
        <v>58347.21</v>
      </c>
      <c r="H108" s="11" t="n">
        <v>0</v>
      </c>
      <c r="I108" s="11" t="n">
        <v>8</v>
      </c>
    </row>
    <row r="109" ht="15.75" customHeight="1" s="57">
      <c r="A109" s="39" t="inlineStr">
        <is>
          <t>2026-08-01</t>
        </is>
      </c>
      <c r="B109" s="11" t="inlineStr">
        <is>
          <t>sme</t>
        </is>
      </c>
      <c r="C109" s="11" t="inlineStr">
        <is>
          <t>SME</t>
        </is>
      </c>
      <c r="D109" s="11" t="inlineStr">
        <is>
          <t>02.5-10kg</t>
        </is>
      </c>
      <c r="E109" s="11" t="inlineStr">
        <is>
          <t>Lâm Đồng</t>
        </is>
      </c>
      <c r="F109" s="11" t="n">
        <v>12657.82</v>
      </c>
      <c r="G109" s="11" t="n">
        <v>77340.53999999999</v>
      </c>
      <c r="H109" s="11" t="n">
        <v>0</v>
      </c>
      <c r="I109" s="11" t="n">
        <v>8</v>
      </c>
    </row>
    <row r="110" ht="15.75" customHeight="1" s="57">
      <c r="A110" s="39" t="inlineStr">
        <is>
          <t>2026-08-01</t>
        </is>
      </c>
      <c r="B110" s="11" t="inlineStr">
        <is>
          <t>sme</t>
        </is>
      </c>
      <c r="C110" s="11" t="inlineStr">
        <is>
          <t>SME</t>
        </is>
      </c>
      <c r="D110" s="11" t="inlineStr">
        <is>
          <t>02.5-10kg</t>
        </is>
      </c>
      <c r="E110" s="11" t="inlineStr">
        <is>
          <t>Ninh Thuận</t>
        </is>
      </c>
      <c r="F110" s="11" t="n">
        <v>3443.01</v>
      </c>
      <c r="G110" s="11" t="n">
        <v>21037.11</v>
      </c>
      <c r="H110" s="11" t="n">
        <v>0</v>
      </c>
      <c r="I110" s="11" t="n">
        <v>8</v>
      </c>
    </row>
    <row r="111" ht="15.75" customHeight="1" s="57">
      <c r="A111" s="39" t="inlineStr">
        <is>
          <t>2026-08-01</t>
        </is>
      </c>
      <c r="B111" s="11" t="inlineStr">
        <is>
          <t>sme</t>
        </is>
      </c>
      <c r="C111" s="11" t="inlineStr">
        <is>
          <t>SME</t>
        </is>
      </c>
      <c r="D111" s="11" t="inlineStr">
        <is>
          <t>02.5-10kg</t>
        </is>
      </c>
      <c r="E111" s="11" t="inlineStr">
        <is>
          <t>Đắk Nông</t>
        </is>
      </c>
      <c r="F111" s="11" t="n">
        <v>5022.36</v>
      </c>
      <c r="G111" s="11" t="n">
        <v>30687.12</v>
      </c>
      <c r="H111" s="11" t="n">
        <v>0</v>
      </c>
      <c r="I111" s="11" t="n">
        <v>8</v>
      </c>
    </row>
    <row r="112" ht="15.75" customHeight="1" s="57">
      <c r="A112" s="39" t="inlineStr">
        <is>
          <t>2026-08-01</t>
        </is>
      </c>
      <c r="B112" s="11" t="inlineStr">
        <is>
          <t>sme</t>
        </is>
      </c>
      <c r="C112" s="11" t="inlineStr">
        <is>
          <t>SME</t>
        </is>
      </c>
      <c r="D112" s="11" t="inlineStr">
        <is>
          <t>03.10-15kg</t>
        </is>
      </c>
      <c r="E112" s="11" t="inlineStr">
        <is>
          <t>Bình Thuận</t>
        </is>
      </c>
      <c r="F112" s="11" t="n">
        <v>4778.29</v>
      </c>
      <c r="G112" s="11" t="n">
        <v>53970.81</v>
      </c>
      <c r="H112" s="11" t="n">
        <v>0</v>
      </c>
      <c r="I112" s="11" t="n">
        <v>8</v>
      </c>
    </row>
    <row r="113" ht="15.75" customHeight="1" s="57">
      <c r="A113" s="39" t="inlineStr">
        <is>
          <t>2026-08-01</t>
        </is>
      </c>
      <c r="B113" s="11" t="inlineStr">
        <is>
          <t>sme</t>
        </is>
      </c>
      <c r="C113" s="11" t="inlineStr">
        <is>
          <t>SME</t>
        </is>
      </c>
      <c r="D113" s="11" t="inlineStr">
        <is>
          <t>03.10-15kg</t>
        </is>
      </c>
      <c r="E113" s="11" t="inlineStr">
        <is>
          <t>Khánh Hòa</t>
        </is>
      </c>
      <c r="F113" s="11" t="n">
        <v>4939.98</v>
      </c>
      <c r="G113" s="11" t="n">
        <v>55797.1</v>
      </c>
      <c r="H113" s="11" t="n">
        <v>0</v>
      </c>
      <c r="I113" s="11" t="n">
        <v>8</v>
      </c>
    </row>
    <row r="114" ht="15.75" customHeight="1" s="57">
      <c r="A114" s="39" t="inlineStr">
        <is>
          <t>2026-08-01</t>
        </is>
      </c>
      <c r="B114" s="11" t="inlineStr">
        <is>
          <t>sme</t>
        </is>
      </c>
      <c r="C114" s="11" t="inlineStr">
        <is>
          <t>SME</t>
        </is>
      </c>
      <c r="D114" s="11" t="inlineStr">
        <is>
          <t>03.10-15kg</t>
        </is>
      </c>
      <c r="E114" s="11" t="inlineStr">
        <is>
          <t>Lâm Đồng</t>
        </is>
      </c>
      <c r="F114" s="11" t="n">
        <v>7221.27</v>
      </c>
      <c r="G114" s="11" t="n">
        <v>81564.25999999999</v>
      </c>
      <c r="H114" s="11" t="n">
        <v>0</v>
      </c>
      <c r="I114" s="11" t="n">
        <v>8</v>
      </c>
    </row>
    <row r="115" ht="15.75" customHeight="1" s="57">
      <c r="A115" s="39" t="inlineStr">
        <is>
          <t>2026-08-01</t>
        </is>
      </c>
      <c r="B115" s="11" t="inlineStr">
        <is>
          <t>sme</t>
        </is>
      </c>
      <c r="C115" s="11" t="inlineStr">
        <is>
          <t>SME</t>
        </is>
      </c>
      <c r="D115" s="11" t="inlineStr">
        <is>
          <t>03.10-15kg</t>
        </is>
      </c>
      <c r="E115" s="11" t="inlineStr">
        <is>
          <t>Ninh Thuận</t>
        </is>
      </c>
      <c r="F115" s="11" t="n">
        <v>1921.13</v>
      </c>
      <c r="G115" s="11" t="n">
        <v>21699.11</v>
      </c>
      <c r="H115" s="11" t="n">
        <v>0</v>
      </c>
      <c r="I115" s="11" t="n">
        <v>8</v>
      </c>
    </row>
    <row r="116" ht="15.75" customHeight="1" s="57">
      <c r="A116" s="39" t="inlineStr">
        <is>
          <t>2026-08-01</t>
        </is>
      </c>
      <c r="B116" s="11" t="inlineStr">
        <is>
          <t>sme</t>
        </is>
      </c>
      <c r="C116" s="11" t="inlineStr">
        <is>
          <t>SME</t>
        </is>
      </c>
      <c r="D116" s="11" t="inlineStr">
        <is>
          <t>03.10-15kg</t>
        </is>
      </c>
      <c r="E116" s="11" t="inlineStr">
        <is>
          <t>Đắk Nông</t>
        </is>
      </c>
      <c r="F116" s="11" t="n">
        <v>2636.85</v>
      </c>
      <c r="G116" s="11" t="n">
        <v>29783.27</v>
      </c>
      <c r="H116" s="11" t="n">
        <v>0</v>
      </c>
      <c r="I116" s="11" t="n">
        <v>8</v>
      </c>
    </row>
    <row r="117" ht="15.75" customHeight="1" s="57">
      <c r="A117" s="39" t="inlineStr">
        <is>
          <t>2026-08-01</t>
        </is>
      </c>
      <c r="B117" s="11" t="inlineStr">
        <is>
          <t>sme</t>
        </is>
      </c>
      <c r="C117" s="11" t="inlineStr">
        <is>
          <t>SME</t>
        </is>
      </c>
      <c r="D117" s="11" t="inlineStr">
        <is>
          <t>04.15-20kg</t>
        </is>
      </c>
      <c r="E117" s="11" t="inlineStr">
        <is>
          <t>Bình Thuận</t>
        </is>
      </c>
      <c r="F117" s="11" t="n">
        <v>1860.2</v>
      </c>
      <c r="G117" s="11" t="n">
        <v>31708.49</v>
      </c>
      <c r="H117" s="11" t="n">
        <v>0</v>
      </c>
      <c r="I117" s="11" t="n">
        <v>8</v>
      </c>
    </row>
    <row r="118" ht="15.75" customHeight="1" s="57">
      <c r="A118" s="39" t="inlineStr">
        <is>
          <t>2026-08-01</t>
        </is>
      </c>
      <c r="B118" s="11" t="inlineStr">
        <is>
          <t>sme</t>
        </is>
      </c>
      <c r="C118" s="11" t="inlineStr">
        <is>
          <t>SME</t>
        </is>
      </c>
      <c r="D118" s="11" t="inlineStr">
        <is>
          <t>04.15-20kg</t>
        </is>
      </c>
      <c r="E118" s="11" t="inlineStr">
        <is>
          <t>Khánh Hòa</t>
        </is>
      </c>
      <c r="F118" s="11" t="n">
        <v>2315.77</v>
      </c>
      <c r="G118" s="11" t="n">
        <v>39473.96</v>
      </c>
      <c r="H118" s="11" t="n">
        <v>0</v>
      </c>
      <c r="I118" s="11" t="n">
        <v>8</v>
      </c>
    </row>
    <row r="119" ht="15.75" customHeight="1" s="57">
      <c r="A119" s="39" t="inlineStr">
        <is>
          <t>2026-08-01</t>
        </is>
      </c>
      <c r="B119" s="11" t="inlineStr">
        <is>
          <t>sme</t>
        </is>
      </c>
      <c r="C119" s="11" t="inlineStr">
        <is>
          <t>SME</t>
        </is>
      </c>
      <c r="D119" s="11" t="inlineStr">
        <is>
          <t>04.15-20kg</t>
        </is>
      </c>
      <c r="E119" s="11" t="inlineStr">
        <is>
          <t>Lâm Đồng</t>
        </is>
      </c>
      <c r="F119" s="11" t="n">
        <v>2795.86</v>
      </c>
      <c r="G119" s="11" t="n">
        <v>47657.43</v>
      </c>
      <c r="H119" s="11" t="n">
        <v>0</v>
      </c>
      <c r="I119" s="11" t="n">
        <v>8</v>
      </c>
    </row>
    <row r="120" ht="15.75" customHeight="1" s="57">
      <c r="A120" s="39" t="inlineStr">
        <is>
          <t>2026-08-01</t>
        </is>
      </c>
      <c r="B120" s="11" t="inlineStr">
        <is>
          <t>sme</t>
        </is>
      </c>
      <c r="C120" s="11" t="inlineStr">
        <is>
          <t>SME</t>
        </is>
      </c>
      <c r="D120" s="11" t="inlineStr">
        <is>
          <t>04.15-20kg</t>
        </is>
      </c>
      <c r="E120" s="11" t="inlineStr">
        <is>
          <t>Ninh Thuận</t>
        </is>
      </c>
      <c r="F120" s="11" t="n">
        <v>721.09</v>
      </c>
      <c r="G120" s="11" t="n">
        <v>12291.53</v>
      </c>
      <c r="H120" s="11" t="n">
        <v>0</v>
      </c>
      <c r="I120" s="11" t="n">
        <v>8</v>
      </c>
    </row>
    <row r="121" ht="15.75" customHeight="1" s="57">
      <c r="A121" s="39" t="inlineStr">
        <is>
          <t>2026-08-01</t>
        </is>
      </c>
      <c r="B121" s="11" t="inlineStr">
        <is>
          <t>sme</t>
        </is>
      </c>
      <c r="C121" s="11" t="inlineStr">
        <is>
          <t>SME</t>
        </is>
      </c>
      <c r="D121" s="11" t="inlineStr">
        <is>
          <t>04.15-20kg</t>
        </is>
      </c>
      <c r="E121" s="11" t="inlineStr">
        <is>
          <t>Đắk Nông</t>
        </is>
      </c>
      <c r="F121" s="11" t="n">
        <v>1123.4</v>
      </c>
      <c r="G121" s="11" t="n">
        <v>19149.18</v>
      </c>
      <c r="H121" s="11" t="n">
        <v>0</v>
      </c>
      <c r="I121" s="11" t="n">
        <v>8</v>
      </c>
    </row>
    <row r="122" ht="15.75" customHeight="1" s="57">
      <c r="A122" s="39" t="inlineStr">
        <is>
          <t>2026-08-01</t>
        </is>
      </c>
      <c r="B122" s="11" t="inlineStr">
        <is>
          <t>sme</t>
        </is>
      </c>
      <c r="C122" s="11" t="inlineStr">
        <is>
          <t>SME</t>
        </is>
      </c>
      <c r="D122" s="11" t="inlineStr">
        <is>
          <t>05.&gt;=20kg</t>
        </is>
      </c>
      <c r="E122" s="11" t="inlineStr">
        <is>
          <t>Bình Thuận</t>
        </is>
      </c>
      <c r="F122" s="11" t="n">
        <v>3272.12</v>
      </c>
      <c r="G122" s="11" t="n">
        <v>234585.53</v>
      </c>
      <c r="H122" s="11" t="n">
        <v>0</v>
      </c>
      <c r="I122" s="11" t="n">
        <v>8</v>
      </c>
    </row>
    <row r="123" ht="15.75" customHeight="1" s="57">
      <c r="A123" s="39" t="inlineStr">
        <is>
          <t>2026-08-01</t>
        </is>
      </c>
      <c r="B123" s="11" t="inlineStr">
        <is>
          <t>sme</t>
        </is>
      </c>
      <c r="C123" s="11" t="inlineStr">
        <is>
          <t>SME</t>
        </is>
      </c>
      <c r="D123" s="11" t="inlineStr">
        <is>
          <t>05.&gt;=20kg</t>
        </is>
      </c>
      <c r="E123" s="11" t="inlineStr">
        <is>
          <t>Khánh Hòa</t>
        </is>
      </c>
      <c r="F123" s="11" t="n">
        <v>4215.06</v>
      </c>
      <c r="G123" s="11" t="n">
        <v>302186.82</v>
      </c>
      <c r="H123" s="11" t="n">
        <v>0</v>
      </c>
      <c r="I123" s="11" t="n">
        <v>8</v>
      </c>
    </row>
    <row r="124" ht="15.75" customHeight="1" s="57">
      <c r="A124" s="39" t="inlineStr">
        <is>
          <t>2026-08-01</t>
        </is>
      </c>
      <c r="B124" s="11" t="inlineStr">
        <is>
          <t>sme</t>
        </is>
      </c>
      <c r="C124" s="11" t="inlineStr">
        <is>
          <t>SME</t>
        </is>
      </c>
      <c r="D124" s="11" t="inlineStr">
        <is>
          <t>05.&gt;=20kg</t>
        </is>
      </c>
      <c r="E124" s="11" t="inlineStr">
        <is>
          <t>Lâm Đồng</t>
        </is>
      </c>
      <c r="F124" s="11" t="n">
        <v>5020.44</v>
      </c>
      <c r="G124" s="11" t="n">
        <v>359926.72</v>
      </c>
      <c r="H124" s="11" t="n">
        <v>0</v>
      </c>
      <c r="I124" s="11" t="n">
        <v>8</v>
      </c>
    </row>
    <row r="125" ht="15.75" customHeight="1" s="57">
      <c r="A125" s="39" t="inlineStr">
        <is>
          <t>2026-08-01</t>
        </is>
      </c>
      <c r="B125" s="11" t="inlineStr">
        <is>
          <t>sme</t>
        </is>
      </c>
      <c r="C125" s="11" t="inlineStr">
        <is>
          <t>SME</t>
        </is>
      </c>
      <c r="D125" s="11" t="inlineStr">
        <is>
          <t>05.&gt;=20kg</t>
        </is>
      </c>
      <c r="E125" s="11" t="inlineStr">
        <is>
          <t>Ninh Thuận</t>
        </is>
      </c>
      <c r="F125" s="11" t="n">
        <v>1295.44</v>
      </c>
      <c r="G125" s="11" t="n">
        <v>92872.8</v>
      </c>
      <c r="H125" s="11" t="n">
        <v>0</v>
      </c>
      <c r="I125" s="11" t="n">
        <v>8</v>
      </c>
    </row>
    <row r="126" ht="15.75" customHeight="1" s="57">
      <c r="A126" s="39" t="inlineStr">
        <is>
          <t>2026-08-01</t>
        </is>
      </c>
      <c r="B126" s="11" t="inlineStr">
        <is>
          <t>sme</t>
        </is>
      </c>
      <c r="C126" s="11" t="inlineStr">
        <is>
          <t>SME</t>
        </is>
      </c>
      <c r="D126" s="11" t="inlineStr">
        <is>
          <t>05.&gt;=20kg</t>
        </is>
      </c>
      <c r="E126" s="11" t="inlineStr">
        <is>
          <t>Đắk Nông</t>
        </is>
      </c>
      <c r="F126" s="11" t="n">
        <v>1982.43</v>
      </c>
      <c r="G126" s="11" t="n">
        <v>142124.77</v>
      </c>
      <c r="H126" s="11" t="n">
        <v>0</v>
      </c>
      <c r="I126" s="11" t="n">
        <v>8</v>
      </c>
    </row>
    <row r="127" ht="15.75" customHeight="1" s="57">
      <c r="A127" s="39" t="inlineStr">
        <is>
          <t>2026-08-01</t>
        </is>
      </c>
      <c r="B127" s="11" t="inlineStr">
        <is>
          <t>ecom</t>
        </is>
      </c>
      <c r="C127" s="11" t="inlineStr">
        <is>
          <t>Shopee Bulky</t>
        </is>
      </c>
      <c r="D127" s="11" t="inlineStr">
        <is>
          <t>01.0-5kg</t>
        </is>
      </c>
      <c r="E127" s="11" t="inlineStr">
        <is>
          <t>Bình Thuận</t>
        </is>
      </c>
      <c r="F127" s="11" t="n">
        <v>51.48</v>
      </c>
      <c r="G127" s="11" t="n">
        <v>122.97</v>
      </c>
      <c r="H127" s="11" t="n">
        <v>0</v>
      </c>
      <c r="I127" s="11" t="n">
        <v>8</v>
      </c>
    </row>
    <row r="128" ht="15.75" customHeight="1" s="57">
      <c r="A128" s="39" t="inlineStr">
        <is>
          <t>2026-08-01</t>
        </is>
      </c>
      <c r="B128" s="11" t="inlineStr">
        <is>
          <t>ecom</t>
        </is>
      </c>
      <c r="C128" s="11" t="inlineStr">
        <is>
          <t>Shopee Bulky</t>
        </is>
      </c>
      <c r="D128" s="11" t="inlineStr">
        <is>
          <t>01.0-5kg</t>
        </is>
      </c>
      <c r="E128" s="11" t="inlineStr">
        <is>
          <t>Khánh Hòa</t>
        </is>
      </c>
      <c r="F128" s="11" t="n">
        <v>83.56</v>
      </c>
      <c r="G128" s="11" t="n">
        <v>199.6</v>
      </c>
      <c r="H128" s="11" t="n">
        <v>0</v>
      </c>
      <c r="I128" s="11" t="n">
        <v>8</v>
      </c>
    </row>
    <row r="129" ht="15.75" customHeight="1" s="57">
      <c r="A129" s="39" t="inlineStr">
        <is>
          <t>2026-08-01</t>
        </is>
      </c>
      <c r="B129" s="11" t="inlineStr">
        <is>
          <t>ecom</t>
        </is>
      </c>
      <c r="C129" s="11" t="inlineStr">
        <is>
          <t>Shopee Bulky</t>
        </is>
      </c>
      <c r="D129" s="11" t="inlineStr">
        <is>
          <t>01.0-5kg</t>
        </is>
      </c>
      <c r="E129" s="11" t="inlineStr">
        <is>
          <t>Lâm Đồng</t>
        </is>
      </c>
      <c r="F129" s="11" t="n">
        <v>83.56</v>
      </c>
      <c r="G129" s="11" t="n">
        <v>199.6</v>
      </c>
      <c r="H129" s="11" t="n">
        <v>0</v>
      </c>
      <c r="I129" s="11" t="n">
        <v>8</v>
      </c>
    </row>
    <row r="130" ht="15.75" customHeight="1" s="57">
      <c r="A130" s="39" t="inlineStr">
        <is>
          <t>2026-08-01</t>
        </is>
      </c>
      <c r="B130" s="11" t="inlineStr">
        <is>
          <t>ecom</t>
        </is>
      </c>
      <c r="C130" s="11" t="inlineStr">
        <is>
          <t>Shopee Bulky</t>
        </is>
      </c>
      <c r="D130" s="11" t="inlineStr">
        <is>
          <t>01.0-5kg</t>
        </is>
      </c>
      <c r="E130" s="11" t="inlineStr">
        <is>
          <t>Ninh Thuận</t>
        </is>
      </c>
      <c r="F130" s="11" t="n">
        <v>17.91</v>
      </c>
      <c r="G130" s="11" t="n">
        <v>42.77</v>
      </c>
      <c r="H130" s="11" t="n">
        <v>0</v>
      </c>
      <c r="I130" s="11" t="n">
        <v>8</v>
      </c>
    </row>
    <row r="131" ht="15.75" customHeight="1" s="57">
      <c r="A131" s="39" t="inlineStr">
        <is>
          <t>2026-08-01</t>
        </is>
      </c>
      <c r="B131" s="11" t="inlineStr">
        <is>
          <t>ecom</t>
        </is>
      </c>
      <c r="C131" s="11" t="inlineStr">
        <is>
          <t>Shopee Bulky</t>
        </is>
      </c>
      <c r="D131" s="11" t="inlineStr">
        <is>
          <t>01.0-5kg</t>
        </is>
      </c>
      <c r="E131" s="11" t="inlineStr">
        <is>
          <t>Đắk Nông</t>
        </is>
      </c>
      <c r="F131" s="11" t="n">
        <v>17.16</v>
      </c>
      <c r="G131" s="11" t="n">
        <v>40.99</v>
      </c>
      <c r="H131" s="11" t="n">
        <v>0</v>
      </c>
      <c r="I131" s="11" t="n">
        <v>8</v>
      </c>
    </row>
    <row r="132" ht="15.75" customHeight="1" s="57">
      <c r="A132" s="39" t="inlineStr">
        <is>
          <t>2026-08-01</t>
        </is>
      </c>
      <c r="B132" s="11" t="inlineStr">
        <is>
          <t>ecom</t>
        </is>
      </c>
      <c r="C132" s="11" t="inlineStr">
        <is>
          <t>Shopee Bulky</t>
        </is>
      </c>
      <c r="D132" s="11" t="inlineStr">
        <is>
          <t>02.5-10kg</t>
        </is>
      </c>
      <c r="E132" s="11" t="inlineStr">
        <is>
          <t>Bình Thuận</t>
        </is>
      </c>
      <c r="F132" s="11" t="n">
        <v>193.24</v>
      </c>
      <c r="G132" s="11" t="n">
        <v>1553.96</v>
      </c>
      <c r="H132" s="11" t="n">
        <v>0</v>
      </c>
      <c r="I132" s="11" t="n">
        <v>8</v>
      </c>
    </row>
    <row r="133" ht="15.75" customHeight="1" s="57">
      <c r="A133" s="39" t="inlineStr">
        <is>
          <t>2026-08-01</t>
        </is>
      </c>
      <c r="B133" s="11" t="inlineStr">
        <is>
          <t>ecom</t>
        </is>
      </c>
      <c r="C133" s="11" t="inlineStr">
        <is>
          <t>Shopee Bulky</t>
        </is>
      </c>
      <c r="D133" s="11" t="inlineStr">
        <is>
          <t>02.5-10kg</t>
        </is>
      </c>
      <c r="E133" s="11" t="inlineStr">
        <is>
          <t>Khánh Hòa</t>
        </is>
      </c>
      <c r="F133" s="11" t="n">
        <v>221.59</v>
      </c>
      <c r="G133" s="11" t="n">
        <v>1781.95</v>
      </c>
      <c r="H133" s="11" t="n">
        <v>0</v>
      </c>
      <c r="I133" s="11" t="n">
        <v>8</v>
      </c>
    </row>
    <row r="134" ht="15.75" customHeight="1" s="57">
      <c r="A134" s="39" t="inlineStr">
        <is>
          <t>2026-08-01</t>
        </is>
      </c>
      <c r="B134" s="11" t="inlineStr">
        <is>
          <t>ecom</t>
        </is>
      </c>
      <c r="C134" s="11" t="inlineStr">
        <is>
          <t>Shopee Bulky</t>
        </is>
      </c>
      <c r="D134" s="11" t="inlineStr">
        <is>
          <t>02.5-10kg</t>
        </is>
      </c>
      <c r="E134" s="11" t="inlineStr">
        <is>
          <t>Lâm Đồng</t>
        </is>
      </c>
      <c r="F134" s="11" t="n">
        <v>283.51</v>
      </c>
      <c r="G134" s="11" t="n">
        <v>2279.94</v>
      </c>
      <c r="H134" s="11" t="n">
        <v>0</v>
      </c>
      <c r="I134" s="11" t="n">
        <v>8</v>
      </c>
    </row>
    <row r="135" ht="15.75" customHeight="1" s="57">
      <c r="A135" s="39" t="inlineStr">
        <is>
          <t>2026-08-01</t>
        </is>
      </c>
      <c r="B135" s="11" t="inlineStr">
        <is>
          <t>ecom</t>
        </is>
      </c>
      <c r="C135" s="11" t="inlineStr">
        <is>
          <t>Shopee Bulky</t>
        </is>
      </c>
      <c r="D135" s="11" t="inlineStr">
        <is>
          <t>02.5-10kg</t>
        </is>
      </c>
      <c r="E135" s="11" t="inlineStr">
        <is>
          <t>Ninh Thuận</t>
        </is>
      </c>
      <c r="F135" s="11" t="n">
        <v>65.66</v>
      </c>
      <c r="G135" s="11" t="n">
        <v>527.99</v>
      </c>
      <c r="H135" s="11" t="n">
        <v>0</v>
      </c>
      <c r="I135" s="11" t="n">
        <v>8</v>
      </c>
    </row>
    <row r="136" ht="15.75" customHeight="1" s="57">
      <c r="A136" s="39" t="inlineStr">
        <is>
          <t>2026-08-01</t>
        </is>
      </c>
      <c r="B136" s="11" t="inlineStr">
        <is>
          <t>ecom</t>
        </is>
      </c>
      <c r="C136" s="11" t="inlineStr">
        <is>
          <t>Shopee Bulky</t>
        </is>
      </c>
      <c r="D136" s="11" t="inlineStr">
        <is>
          <t>02.5-10kg</t>
        </is>
      </c>
      <c r="E136" s="11" t="inlineStr">
        <is>
          <t>Đắk Nông</t>
        </is>
      </c>
      <c r="F136" s="11" t="n">
        <v>65.66</v>
      </c>
      <c r="G136" s="11" t="n">
        <v>527.99</v>
      </c>
      <c r="H136" s="11" t="n">
        <v>0</v>
      </c>
      <c r="I136" s="11" t="n">
        <v>8</v>
      </c>
    </row>
    <row r="137" ht="15.75" customHeight="1" s="57">
      <c r="A137" s="39" t="inlineStr">
        <is>
          <t>2026-08-01</t>
        </is>
      </c>
      <c r="B137" s="11" t="inlineStr">
        <is>
          <t>ecom</t>
        </is>
      </c>
      <c r="C137" s="11" t="inlineStr">
        <is>
          <t>Shopee Bulky</t>
        </is>
      </c>
      <c r="D137" s="11" t="inlineStr">
        <is>
          <t>03.10-15kg</t>
        </is>
      </c>
      <c r="E137" s="11" t="inlineStr">
        <is>
          <t>Bình Thuận</t>
        </is>
      </c>
      <c r="F137" s="11" t="n">
        <v>14361.5</v>
      </c>
      <c r="G137" s="11" t="n">
        <v>171199.12</v>
      </c>
      <c r="H137" s="11" t="n">
        <v>0</v>
      </c>
      <c r="I137" s="11" t="n">
        <v>8</v>
      </c>
    </row>
    <row r="138" ht="15.75" customHeight="1" s="57">
      <c r="A138" s="39" t="inlineStr">
        <is>
          <t>2026-08-01</t>
        </is>
      </c>
      <c r="B138" s="11" t="inlineStr">
        <is>
          <t>ecom</t>
        </is>
      </c>
      <c r="C138" s="11" t="inlineStr">
        <is>
          <t>Shopee Bulky</t>
        </is>
      </c>
      <c r="D138" s="11" t="inlineStr">
        <is>
          <t>03.10-15kg</t>
        </is>
      </c>
      <c r="E138" s="11" t="inlineStr">
        <is>
          <t>Khánh Hòa</t>
        </is>
      </c>
      <c r="F138" s="11" t="n">
        <v>16106.6</v>
      </c>
      <c r="G138" s="11" t="n">
        <v>192002</v>
      </c>
      <c r="H138" s="11" t="n">
        <v>0</v>
      </c>
      <c r="I138" s="11" t="n">
        <v>8</v>
      </c>
    </row>
    <row r="139" ht="15.75" customHeight="1" s="57">
      <c r="A139" s="39" t="inlineStr">
        <is>
          <t>2026-08-01</t>
        </is>
      </c>
      <c r="B139" s="11" t="inlineStr">
        <is>
          <t>ecom</t>
        </is>
      </c>
      <c r="C139" s="11" t="inlineStr">
        <is>
          <t>Shopee Bulky</t>
        </is>
      </c>
      <c r="D139" s="11" t="inlineStr">
        <is>
          <t>03.10-15kg</t>
        </is>
      </c>
      <c r="E139" s="11" t="inlineStr">
        <is>
          <t>Lâm Đồng</t>
        </is>
      </c>
      <c r="F139" s="11" t="n">
        <v>20084.01</v>
      </c>
      <c r="G139" s="11" t="n">
        <v>239415.5</v>
      </c>
      <c r="H139" s="11" t="n">
        <v>0</v>
      </c>
      <c r="I139" s="11" t="n">
        <v>8</v>
      </c>
    </row>
    <row r="140" ht="15.75" customHeight="1" s="57">
      <c r="A140" s="39" t="inlineStr">
        <is>
          <t>2026-08-01</t>
        </is>
      </c>
      <c r="B140" s="11" t="inlineStr">
        <is>
          <t>ecom</t>
        </is>
      </c>
      <c r="C140" s="11" t="inlineStr">
        <is>
          <t>Shopee Bulky</t>
        </is>
      </c>
      <c r="D140" s="11" t="inlineStr">
        <is>
          <t>03.10-15kg</t>
        </is>
      </c>
      <c r="E140" s="11" t="inlineStr">
        <is>
          <t>Ninh Thuận</t>
        </is>
      </c>
      <c r="F140" s="11" t="n">
        <v>5450.94</v>
      </c>
      <c r="G140" s="11" t="n">
        <v>64979</v>
      </c>
      <c r="H140" s="11" t="n">
        <v>0</v>
      </c>
      <c r="I140" s="11" t="n">
        <v>8</v>
      </c>
    </row>
    <row r="141" ht="15.75" customHeight="1" s="57">
      <c r="A141" s="39" t="inlineStr">
        <is>
          <t>2026-08-01</t>
        </is>
      </c>
      <c r="B141" s="11" t="inlineStr">
        <is>
          <t>ecom</t>
        </is>
      </c>
      <c r="C141" s="11" t="inlineStr">
        <is>
          <t>Shopee Bulky</t>
        </is>
      </c>
      <c r="D141" s="11" t="inlineStr">
        <is>
          <t>03.10-15kg</t>
        </is>
      </c>
      <c r="E141" s="11" t="inlineStr">
        <is>
          <t>Đắk Nông</t>
        </is>
      </c>
      <c r="F141" s="11" t="n">
        <v>4752.6</v>
      </c>
      <c r="G141" s="11" t="n">
        <v>56654.29</v>
      </c>
      <c r="H141" s="11" t="n">
        <v>0</v>
      </c>
      <c r="I141" s="11" t="n">
        <v>8</v>
      </c>
    </row>
    <row r="142" ht="15.75" customHeight="1" s="57">
      <c r="A142" s="39" t="inlineStr">
        <is>
          <t>2026-08-01</t>
        </is>
      </c>
      <c r="B142" s="11" t="inlineStr">
        <is>
          <t>ecom</t>
        </is>
      </c>
      <c r="C142" s="11" t="inlineStr">
        <is>
          <t>Shopee Bulky</t>
        </is>
      </c>
      <c r="D142" s="11" t="inlineStr">
        <is>
          <t>04.15-20kg</t>
        </is>
      </c>
      <c r="E142" s="11" t="inlineStr">
        <is>
          <t>Bình Thuận</t>
        </is>
      </c>
      <c r="F142" s="11" t="n">
        <v>9436.549999999999</v>
      </c>
      <c r="G142" s="11" t="n">
        <v>159451.35</v>
      </c>
      <c r="H142" s="11" t="n">
        <v>0</v>
      </c>
      <c r="I142" s="11" t="n">
        <v>8</v>
      </c>
    </row>
    <row r="143" ht="15.75" customHeight="1" s="57">
      <c r="A143" s="39" t="inlineStr">
        <is>
          <t>2026-08-01</t>
        </is>
      </c>
      <c r="B143" s="11" t="inlineStr">
        <is>
          <t>ecom</t>
        </is>
      </c>
      <c r="C143" s="11" t="inlineStr">
        <is>
          <t>Shopee Bulky</t>
        </is>
      </c>
      <c r="D143" s="11" t="inlineStr">
        <is>
          <t>04.15-20kg</t>
        </is>
      </c>
      <c r="E143" s="11" t="inlineStr">
        <is>
          <t>Khánh Hòa</t>
        </is>
      </c>
      <c r="F143" s="11" t="n">
        <v>9679.030000000001</v>
      </c>
      <c r="G143" s="11" t="n">
        <v>163548.57</v>
      </c>
      <c r="H143" s="11" t="n">
        <v>0</v>
      </c>
      <c r="I143" s="11" t="n">
        <v>8</v>
      </c>
    </row>
    <row r="144" ht="15.75" customHeight="1" s="57">
      <c r="A144" s="39" t="inlineStr">
        <is>
          <t>2026-08-01</t>
        </is>
      </c>
      <c r="B144" s="11" t="inlineStr">
        <is>
          <t>ecom</t>
        </is>
      </c>
      <c r="C144" s="11" t="inlineStr">
        <is>
          <t>Shopee Bulky</t>
        </is>
      </c>
      <c r="D144" s="11" t="inlineStr">
        <is>
          <t>04.15-20kg</t>
        </is>
      </c>
      <c r="E144" s="11" t="inlineStr">
        <is>
          <t>Lâm Đồng</t>
        </is>
      </c>
      <c r="F144" s="11" t="n">
        <v>11294.32</v>
      </c>
      <c r="G144" s="11" t="n">
        <v>190842.38</v>
      </c>
      <c r="H144" s="11" t="n">
        <v>0</v>
      </c>
      <c r="I144" s="11" t="n">
        <v>8</v>
      </c>
    </row>
    <row r="145" ht="15.75" customHeight="1" s="57">
      <c r="A145" s="39" t="inlineStr">
        <is>
          <t>2026-08-01</t>
        </is>
      </c>
      <c r="B145" s="11" t="inlineStr">
        <is>
          <t>ecom</t>
        </is>
      </c>
      <c r="C145" s="11" t="inlineStr">
        <is>
          <t>Shopee Bulky</t>
        </is>
      </c>
      <c r="D145" s="11" t="inlineStr">
        <is>
          <t>04.15-20kg</t>
        </is>
      </c>
      <c r="E145" s="11" t="inlineStr">
        <is>
          <t>Ninh Thuận</t>
        </is>
      </c>
      <c r="F145" s="11" t="n">
        <v>3101.5</v>
      </c>
      <c r="G145" s="11" t="n">
        <v>52406.65</v>
      </c>
      <c r="H145" s="11" t="n">
        <v>0</v>
      </c>
      <c r="I145" s="11" t="n">
        <v>8</v>
      </c>
    </row>
    <row r="146" ht="15.75" customHeight="1" s="57">
      <c r="A146" s="39" t="inlineStr">
        <is>
          <t>2026-08-01</t>
        </is>
      </c>
      <c r="B146" s="11" t="inlineStr">
        <is>
          <t>ecom</t>
        </is>
      </c>
      <c r="C146" s="11" t="inlineStr">
        <is>
          <t>Shopee Bulky</t>
        </is>
      </c>
      <c r="D146" s="11" t="inlineStr">
        <is>
          <t>04.15-20kg</t>
        </is>
      </c>
      <c r="E146" s="11" t="inlineStr">
        <is>
          <t>Đắk Nông</t>
        </is>
      </c>
      <c r="F146" s="11" t="n">
        <v>2941.84</v>
      </c>
      <c r="G146" s="11" t="n">
        <v>49708.78</v>
      </c>
      <c r="H146" s="11" t="n">
        <v>0</v>
      </c>
      <c r="I146" s="11" t="n">
        <v>8</v>
      </c>
    </row>
    <row r="147" ht="15.75" customHeight="1" s="57">
      <c r="A147" s="39" t="inlineStr">
        <is>
          <t>2026-08-01</t>
        </is>
      </c>
      <c r="B147" s="11" t="inlineStr">
        <is>
          <t>ecom</t>
        </is>
      </c>
      <c r="C147" s="11" t="inlineStr">
        <is>
          <t>Shopee Bulky</t>
        </is>
      </c>
      <c r="D147" s="11" t="inlineStr">
        <is>
          <t>05.&gt;=20kg</t>
        </is>
      </c>
      <c r="E147" s="11" t="inlineStr">
        <is>
          <t>Bình Thuận</t>
        </is>
      </c>
      <c r="F147" s="11" t="n">
        <v>16801.96</v>
      </c>
      <c r="G147" s="11" t="n">
        <v>570740.78</v>
      </c>
      <c r="H147" s="11" t="n">
        <v>0</v>
      </c>
      <c r="I147" s="11" t="n">
        <v>8</v>
      </c>
    </row>
    <row r="148" ht="15.75" customHeight="1" s="57">
      <c r="A148" s="39" t="inlineStr">
        <is>
          <t>2026-08-01</t>
        </is>
      </c>
      <c r="B148" s="11" t="inlineStr">
        <is>
          <t>ecom</t>
        </is>
      </c>
      <c r="C148" s="11" t="inlineStr">
        <is>
          <t>Shopee Bulky</t>
        </is>
      </c>
      <c r="D148" s="11" t="inlineStr">
        <is>
          <t>05.&gt;=20kg</t>
        </is>
      </c>
      <c r="E148" s="11" t="inlineStr">
        <is>
          <t>Khánh Hòa</t>
        </is>
      </c>
      <c r="F148" s="11" t="n">
        <v>18535.88</v>
      </c>
      <c r="G148" s="11" t="n">
        <v>629639.6</v>
      </c>
      <c r="H148" s="11" t="n">
        <v>0</v>
      </c>
      <c r="I148" s="11" t="n">
        <v>8</v>
      </c>
    </row>
    <row r="149" ht="15.75" customHeight="1" s="57">
      <c r="A149" s="39" t="inlineStr">
        <is>
          <t>2026-08-01</t>
        </is>
      </c>
      <c r="B149" s="11" t="inlineStr">
        <is>
          <t>ecom</t>
        </is>
      </c>
      <c r="C149" s="11" t="inlineStr">
        <is>
          <t>Shopee Bulky</t>
        </is>
      </c>
      <c r="D149" s="11" t="inlineStr">
        <is>
          <t>05.&gt;=20kg</t>
        </is>
      </c>
      <c r="E149" s="11" t="inlineStr">
        <is>
          <t>Lâm Đồng</t>
        </is>
      </c>
      <c r="F149" s="11" t="n">
        <v>21982.81</v>
      </c>
      <c r="G149" s="11" t="n">
        <v>746727.63</v>
      </c>
      <c r="H149" s="11" t="n">
        <v>0</v>
      </c>
      <c r="I149" s="11" t="n">
        <v>8</v>
      </c>
    </row>
    <row r="150" ht="15.75" customHeight="1" s="57">
      <c r="A150" s="39" t="inlineStr">
        <is>
          <t>2026-08-01</t>
        </is>
      </c>
      <c r="B150" s="11" t="inlineStr">
        <is>
          <t>ecom</t>
        </is>
      </c>
      <c r="C150" s="11" t="inlineStr">
        <is>
          <t>Shopee Bulky</t>
        </is>
      </c>
      <c r="D150" s="11" t="inlineStr">
        <is>
          <t>05.&gt;=20kg</t>
        </is>
      </c>
      <c r="E150" s="11" t="inlineStr">
        <is>
          <t>Ninh Thuận</t>
        </is>
      </c>
      <c r="F150" s="11" t="n">
        <v>5533.75</v>
      </c>
      <c r="G150" s="11" t="n">
        <v>187974.44</v>
      </c>
      <c r="H150" s="11" t="n">
        <v>0</v>
      </c>
      <c r="I150" s="11" t="n">
        <v>8</v>
      </c>
    </row>
    <row r="151" ht="15.75" customHeight="1" s="57">
      <c r="A151" s="39" t="inlineStr">
        <is>
          <t>2026-08-01</t>
        </is>
      </c>
      <c r="B151" s="11" t="inlineStr">
        <is>
          <t>ecom</t>
        </is>
      </c>
      <c r="C151" s="11" t="inlineStr">
        <is>
          <t>Shopee Bulky</t>
        </is>
      </c>
      <c r="D151" s="11" t="inlineStr">
        <is>
          <t>05.&gt;=20kg</t>
        </is>
      </c>
      <c r="E151" s="11" t="inlineStr">
        <is>
          <t>Đắk Nông</t>
        </is>
      </c>
      <c r="F151" s="11" t="n">
        <v>5496.45</v>
      </c>
      <c r="G151" s="11" t="n">
        <v>186707.25</v>
      </c>
      <c r="H151" s="11" t="n">
        <v>0</v>
      </c>
      <c r="I151" s="11" t="n">
        <v>8</v>
      </c>
    </row>
    <row r="152" ht="15.75" customHeight="1" s="57">
      <c r="A152" s="39" t="inlineStr">
        <is>
          <t>2026-08-01</t>
        </is>
      </c>
      <c r="B152" s="11" t="inlineStr">
        <is>
          <t>ecom</t>
        </is>
      </c>
      <c r="C152" s="11" t="inlineStr">
        <is>
          <t>Shopee Ecom</t>
        </is>
      </c>
      <c r="D152" s="11" t="inlineStr">
        <is>
          <t>01.0-5kg</t>
        </is>
      </c>
      <c r="E152" s="11" t="inlineStr">
        <is>
          <t>Bình Thuận</t>
        </is>
      </c>
      <c r="F152" s="11" t="n">
        <v>126053.33</v>
      </c>
      <c r="G152" s="11" t="n">
        <v>107876.44</v>
      </c>
      <c r="H152" s="11" t="n">
        <v>0</v>
      </c>
      <c r="I152" s="11" t="n">
        <v>8</v>
      </c>
    </row>
    <row r="153" ht="15.75" customHeight="1" s="57">
      <c r="A153" s="39" t="inlineStr">
        <is>
          <t>2026-08-01</t>
        </is>
      </c>
      <c r="B153" s="11" t="inlineStr">
        <is>
          <t>ecom</t>
        </is>
      </c>
      <c r="C153" s="11" t="inlineStr">
        <is>
          <t>Shopee Ecom</t>
        </is>
      </c>
      <c r="D153" s="11" t="inlineStr">
        <is>
          <t>01.0-5kg</t>
        </is>
      </c>
      <c r="E153" s="11" t="inlineStr">
        <is>
          <t>Khánh Hòa</t>
        </is>
      </c>
      <c r="F153" s="11" t="n">
        <v>105754.95</v>
      </c>
      <c r="G153" s="11" t="n">
        <v>90505.09</v>
      </c>
      <c r="H153" s="11" t="n">
        <v>0</v>
      </c>
      <c r="I153" s="11" t="n">
        <v>8</v>
      </c>
    </row>
    <row r="154" ht="15.75" customHeight="1" s="57">
      <c r="A154" s="39" t="inlineStr">
        <is>
          <t>2026-08-01</t>
        </is>
      </c>
      <c r="B154" s="11" t="inlineStr">
        <is>
          <t>ecom</t>
        </is>
      </c>
      <c r="C154" s="11" t="inlineStr">
        <is>
          <t>Shopee Ecom</t>
        </is>
      </c>
      <c r="D154" s="11" t="inlineStr">
        <is>
          <t>01.0-5kg</t>
        </is>
      </c>
      <c r="E154" s="11" t="inlineStr">
        <is>
          <t>Lâm Đồng</t>
        </is>
      </c>
      <c r="F154" s="11" t="n">
        <v>126800.28</v>
      </c>
      <c r="G154" s="11" t="n">
        <v>108515.68</v>
      </c>
      <c r="H154" s="11" t="n">
        <v>0</v>
      </c>
      <c r="I154" s="11" t="n">
        <v>8</v>
      </c>
    </row>
    <row r="155" ht="15.75" customHeight="1" s="57">
      <c r="A155" s="39" t="inlineStr">
        <is>
          <t>2026-08-01</t>
        </is>
      </c>
      <c r="B155" s="11" t="inlineStr">
        <is>
          <t>ecom</t>
        </is>
      </c>
      <c r="C155" s="11" t="inlineStr">
        <is>
          <t>Shopee Ecom</t>
        </is>
      </c>
      <c r="D155" s="11" t="inlineStr">
        <is>
          <t>01.0-5kg</t>
        </is>
      </c>
      <c r="E155" s="11" t="inlineStr">
        <is>
          <t>Ninh Thuận</t>
        </is>
      </c>
      <c r="F155" s="11" t="n">
        <v>50472.44</v>
      </c>
      <c r="G155" s="11" t="n">
        <v>43194.32</v>
      </c>
      <c r="H155" s="11" t="n">
        <v>0</v>
      </c>
      <c r="I155" s="11" t="n">
        <v>8</v>
      </c>
    </row>
    <row r="156" ht="15.75" customHeight="1" s="57">
      <c r="A156" s="39" t="inlineStr">
        <is>
          <t>2026-08-01</t>
        </is>
      </c>
      <c r="B156" s="11" t="inlineStr">
        <is>
          <t>ecom</t>
        </is>
      </c>
      <c r="C156" s="11" t="inlineStr">
        <is>
          <t>Shopee Ecom</t>
        </is>
      </c>
      <c r="D156" s="11" t="inlineStr">
        <is>
          <t>01.0-5kg</t>
        </is>
      </c>
      <c r="E156" s="11" t="inlineStr">
        <is>
          <t>Đắk Nông</t>
        </is>
      </c>
      <c r="F156" s="11" t="n">
        <v>35976.76</v>
      </c>
      <c r="G156" s="11" t="n">
        <v>30788.91</v>
      </c>
      <c r="H156" s="11" t="n">
        <v>0</v>
      </c>
      <c r="I156" s="11" t="n">
        <v>8</v>
      </c>
    </row>
    <row r="157" ht="15.75" customHeight="1" s="57">
      <c r="A157" s="39" t="inlineStr">
        <is>
          <t>2026-08-01</t>
        </is>
      </c>
      <c r="B157" s="11" t="inlineStr">
        <is>
          <t>ecom</t>
        </is>
      </c>
      <c r="C157" s="11" t="inlineStr">
        <is>
          <t>Shopee Ecom</t>
        </is>
      </c>
      <c r="D157" s="11" t="inlineStr">
        <is>
          <t>02.5-10kg</t>
        </is>
      </c>
      <c r="E157" s="11" t="inlineStr">
        <is>
          <t>Bình Thuận</t>
        </is>
      </c>
      <c r="F157" s="11" t="n">
        <v>9850.559999999999</v>
      </c>
      <c r="G157" s="11" t="n">
        <v>67829.99000000001</v>
      </c>
      <c r="H157" s="11" t="n">
        <v>0</v>
      </c>
      <c r="I157" s="11" t="n">
        <v>8</v>
      </c>
    </row>
    <row r="158" ht="15.75" customHeight="1" s="57">
      <c r="A158" s="39" t="inlineStr">
        <is>
          <t>2026-08-01</t>
        </is>
      </c>
      <c r="B158" s="11" t="inlineStr">
        <is>
          <t>ecom</t>
        </is>
      </c>
      <c r="C158" s="11" t="inlineStr">
        <is>
          <t>Shopee Ecom</t>
        </is>
      </c>
      <c r="D158" s="11" t="inlineStr">
        <is>
          <t>02.5-10kg</t>
        </is>
      </c>
      <c r="E158" s="11" t="inlineStr">
        <is>
          <t>Khánh Hòa</t>
        </is>
      </c>
      <c r="F158" s="11" t="n">
        <v>9393.139999999999</v>
      </c>
      <c r="G158" s="11" t="n">
        <v>64680.24</v>
      </c>
      <c r="H158" s="11" t="n">
        <v>0</v>
      </c>
      <c r="I158" s="11" t="n">
        <v>8</v>
      </c>
    </row>
    <row r="159" ht="15.75" customHeight="1" s="57">
      <c r="A159" s="39" t="inlineStr">
        <is>
          <t>2026-08-01</t>
        </is>
      </c>
      <c r="B159" s="11" t="inlineStr">
        <is>
          <t>ecom</t>
        </is>
      </c>
      <c r="C159" s="11" t="inlineStr">
        <is>
          <t>Shopee Ecom</t>
        </is>
      </c>
      <c r="D159" s="11" t="inlineStr">
        <is>
          <t>02.5-10kg</t>
        </is>
      </c>
      <c r="E159" s="11" t="inlineStr">
        <is>
          <t>Lâm Đồng</t>
        </is>
      </c>
      <c r="F159" s="11" t="n">
        <v>11760.51</v>
      </c>
      <c r="G159" s="11" t="n">
        <v>80981.67999999999</v>
      </c>
      <c r="H159" s="11" t="n">
        <v>0</v>
      </c>
      <c r="I159" s="11" t="n">
        <v>8</v>
      </c>
    </row>
    <row r="160" ht="15.75" customHeight="1" s="57">
      <c r="A160" s="39" t="inlineStr">
        <is>
          <t>2026-08-01</t>
        </is>
      </c>
      <c r="B160" s="11" t="inlineStr">
        <is>
          <t>ecom</t>
        </is>
      </c>
      <c r="C160" s="11" t="inlineStr">
        <is>
          <t>Shopee Ecom</t>
        </is>
      </c>
      <c r="D160" s="11" t="inlineStr">
        <is>
          <t>02.5-10kg</t>
        </is>
      </c>
      <c r="E160" s="11" t="inlineStr">
        <is>
          <t>Ninh Thuận</t>
        </is>
      </c>
      <c r="F160" s="11" t="n">
        <v>3816.93</v>
      </c>
      <c r="G160" s="11" t="n">
        <v>26283.02</v>
      </c>
      <c r="H160" s="11" t="n">
        <v>0</v>
      </c>
      <c r="I160" s="11" t="n">
        <v>8</v>
      </c>
    </row>
    <row r="161" ht="15.75" customHeight="1" s="57">
      <c r="A161" s="39" t="inlineStr">
        <is>
          <t>2026-08-01</t>
        </is>
      </c>
      <c r="B161" s="11" t="inlineStr">
        <is>
          <t>ecom</t>
        </is>
      </c>
      <c r="C161" s="11" t="inlineStr">
        <is>
          <t>Shopee Ecom</t>
        </is>
      </c>
      <c r="D161" s="11" t="inlineStr">
        <is>
          <t>02.5-10kg</t>
        </is>
      </c>
      <c r="E161" s="11" t="inlineStr">
        <is>
          <t>Đắk Nông</t>
        </is>
      </c>
      <c r="F161" s="11" t="n">
        <v>2826.26</v>
      </c>
      <c r="G161" s="11" t="n">
        <v>19461.37</v>
      </c>
      <c r="H161" s="11" t="n">
        <v>0</v>
      </c>
      <c r="I161" s="11" t="n">
        <v>8</v>
      </c>
    </row>
    <row r="162" ht="15.75" customHeight="1" s="57">
      <c r="A162" s="39" t="inlineStr">
        <is>
          <t>2026-08-01</t>
        </is>
      </c>
      <c r="B162" s="11" t="inlineStr">
        <is>
          <t>ecom</t>
        </is>
      </c>
      <c r="C162" s="11" t="inlineStr">
        <is>
          <t>Shopee Ecom</t>
        </is>
      </c>
      <c r="D162" s="11" t="inlineStr">
        <is>
          <t>03.10-15kg</t>
        </is>
      </c>
      <c r="E162" s="11" t="inlineStr">
        <is>
          <t>Bình Thuận</t>
        </is>
      </c>
      <c r="F162" s="11" t="n">
        <v>697.21</v>
      </c>
      <c r="G162" s="11" t="n">
        <v>7297.15</v>
      </c>
      <c r="H162" s="11" t="n">
        <v>0</v>
      </c>
      <c r="I162" s="11" t="n">
        <v>8</v>
      </c>
    </row>
    <row r="163" ht="15.75" customHeight="1" s="57">
      <c r="A163" s="39" t="inlineStr">
        <is>
          <t>2026-08-01</t>
        </is>
      </c>
      <c r="B163" s="11" t="inlineStr">
        <is>
          <t>ecom</t>
        </is>
      </c>
      <c r="C163" s="11" t="inlineStr">
        <is>
          <t>Shopee Ecom</t>
        </is>
      </c>
      <c r="D163" s="11" t="inlineStr">
        <is>
          <t>03.10-15kg</t>
        </is>
      </c>
      <c r="E163" s="11" t="inlineStr">
        <is>
          <t>Khánh Hòa</t>
        </is>
      </c>
      <c r="F163" s="11" t="n">
        <v>708.54</v>
      </c>
      <c r="G163" s="11" t="n">
        <v>7415.67</v>
      </c>
      <c r="H163" s="11" t="n">
        <v>0</v>
      </c>
      <c r="I163" s="11" t="n">
        <v>8</v>
      </c>
    </row>
    <row r="164" ht="15.75" customHeight="1" s="57">
      <c r="A164" s="39" t="inlineStr">
        <is>
          <t>2026-08-01</t>
        </is>
      </c>
      <c r="B164" s="11" t="inlineStr">
        <is>
          <t>ecom</t>
        </is>
      </c>
      <c r="C164" s="11" t="inlineStr">
        <is>
          <t>Shopee Ecom</t>
        </is>
      </c>
      <c r="D164" s="11" t="inlineStr">
        <is>
          <t>03.10-15kg</t>
        </is>
      </c>
      <c r="E164" s="11" t="inlineStr">
        <is>
          <t>Lâm Đồng</t>
        </is>
      </c>
      <c r="F164" s="11" t="n">
        <v>757.28</v>
      </c>
      <c r="G164" s="11" t="n">
        <v>7925.86</v>
      </c>
      <c r="H164" s="11" t="n">
        <v>0</v>
      </c>
      <c r="I164" s="11" t="n">
        <v>8</v>
      </c>
    </row>
    <row r="165" ht="15.75" customHeight="1" s="57">
      <c r="A165" s="39" t="inlineStr">
        <is>
          <t>2026-08-01</t>
        </is>
      </c>
      <c r="B165" s="11" t="inlineStr">
        <is>
          <t>ecom</t>
        </is>
      </c>
      <c r="C165" s="11" t="inlineStr">
        <is>
          <t>Shopee Ecom</t>
        </is>
      </c>
      <c r="D165" s="11" t="inlineStr">
        <is>
          <t>03.10-15kg</t>
        </is>
      </c>
      <c r="E165" s="11" t="inlineStr">
        <is>
          <t>Ninh Thuận</t>
        </is>
      </c>
      <c r="F165" s="11" t="n">
        <v>243.24</v>
      </c>
      <c r="G165" s="11" t="n">
        <v>2545.76</v>
      </c>
      <c r="H165" s="11" t="n">
        <v>0</v>
      </c>
      <c r="I165" s="11" t="n">
        <v>8</v>
      </c>
    </row>
    <row r="166" ht="15.75" customHeight="1" s="57">
      <c r="A166" s="39" t="inlineStr">
        <is>
          <t>2026-08-01</t>
        </is>
      </c>
      <c r="B166" s="11" t="inlineStr">
        <is>
          <t>ecom</t>
        </is>
      </c>
      <c r="C166" s="11" t="inlineStr">
        <is>
          <t>Shopee Ecom</t>
        </is>
      </c>
      <c r="D166" s="11" t="inlineStr">
        <is>
          <t>03.10-15kg</t>
        </is>
      </c>
      <c r="E166" s="11" t="inlineStr">
        <is>
          <t>Đắk Nông</t>
        </is>
      </c>
      <c r="F166" s="11" t="n">
        <v>206.31</v>
      </c>
      <c r="G166" s="11" t="n">
        <v>2159.25</v>
      </c>
      <c r="H166" s="11" t="n">
        <v>0</v>
      </c>
      <c r="I166" s="11" t="n">
        <v>8</v>
      </c>
    </row>
    <row r="167" ht="15.75" customHeight="1" s="57">
      <c r="A167" s="39" t="inlineStr">
        <is>
          <t>2026-08-01</t>
        </is>
      </c>
      <c r="B167" s="11" t="inlineStr">
        <is>
          <t>ecom</t>
        </is>
      </c>
      <c r="C167" s="11" t="inlineStr">
        <is>
          <t>Shopee Ecom</t>
        </is>
      </c>
      <c r="D167" s="11" t="inlineStr">
        <is>
          <t>04.15-20kg</t>
        </is>
      </c>
      <c r="E167" s="11" t="inlineStr">
        <is>
          <t>Bình Thuận</t>
        </is>
      </c>
      <c r="F167" s="11" t="n">
        <v>15.76</v>
      </c>
      <c r="G167" s="11" t="n">
        <v>265.43</v>
      </c>
      <c r="H167" s="11" t="n">
        <v>0</v>
      </c>
      <c r="I167" s="11" t="n">
        <v>8</v>
      </c>
    </row>
    <row r="168" ht="15.75" customHeight="1" s="57">
      <c r="A168" s="39" t="inlineStr">
        <is>
          <t>2026-08-01</t>
        </is>
      </c>
      <c r="B168" s="11" t="inlineStr">
        <is>
          <t>ecom</t>
        </is>
      </c>
      <c r="C168" s="11" t="inlineStr">
        <is>
          <t>Shopee Ecom</t>
        </is>
      </c>
      <c r="D168" s="11" t="inlineStr">
        <is>
          <t>04.15-20kg</t>
        </is>
      </c>
      <c r="E168" s="11" t="inlineStr">
        <is>
          <t>Khánh Hòa</t>
        </is>
      </c>
      <c r="F168" s="11" t="n">
        <v>21.17</v>
      </c>
      <c r="G168" s="11" t="n">
        <v>356.67</v>
      </c>
      <c r="H168" s="11" t="n">
        <v>0</v>
      </c>
      <c r="I168" s="11" t="n">
        <v>8</v>
      </c>
    </row>
    <row r="169" ht="15.75" customHeight="1" s="57">
      <c r="A169" s="39" t="inlineStr">
        <is>
          <t>2026-08-01</t>
        </is>
      </c>
      <c r="B169" s="11" t="inlineStr">
        <is>
          <t>ecom</t>
        </is>
      </c>
      <c r="C169" s="11" t="inlineStr">
        <is>
          <t>Shopee Ecom</t>
        </is>
      </c>
      <c r="D169" s="11" t="inlineStr">
        <is>
          <t>04.15-20kg</t>
        </is>
      </c>
      <c r="E169" s="11" t="inlineStr">
        <is>
          <t>Lâm Đồng</t>
        </is>
      </c>
      <c r="F169" s="11" t="n">
        <v>26.1</v>
      </c>
      <c r="G169" s="11" t="n">
        <v>439.61</v>
      </c>
      <c r="H169" s="11" t="n">
        <v>0</v>
      </c>
      <c r="I169" s="11" t="n">
        <v>8</v>
      </c>
    </row>
    <row r="170" ht="15.75" customHeight="1" s="57">
      <c r="A170" s="39" t="inlineStr">
        <is>
          <t>2026-08-01</t>
        </is>
      </c>
      <c r="B170" s="11" t="inlineStr">
        <is>
          <t>ecom</t>
        </is>
      </c>
      <c r="C170" s="11" t="inlineStr">
        <is>
          <t>Shopee Ecom</t>
        </is>
      </c>
      <c r="D170" s="11" t="inlineStr">
        <is>
          <t>04.15-20kg</t>
        </is>
      </c>
      <c r="E170" s="11" t="inlineStr">
        <is>
          <t>Ninh Thuận</t>
        </is>
      </c>
      <c r="F170" s="11" t="n">
        <v>6.89</v>
      </c>
      <c r="G170" s="11" t="n">
        <v>116.12</v>
      </c>
      <c r="H170" s="11" t="n">
        <v>0</v>
      </c>
      <c r="I170" s="11" t="n">
        <v>8</v>
      </c>
    </row>
    <row r="171" ht="15.75" customHeight="1" s="57">
      <c r="A171" s="39" t="inlineStr">
        <is>
          <t>2026-08-01</t>
        </is>
      </c>
      <c r="B171" s="11" t="inlineStr">
        <is>
          <t>ecom</t>
        </is>
      </c>
      <c r="C171" s="11" t="inlineStr">
        <is>
          <t>Shopee Ecom</t>
        </is>
      </c>
      <c r="D171" s="11" t="inlineStr">
        <is>
          <t>04.15-20kg</t>
        </is>
      </c>
      <c r="E171" s="11" t="inlineStr">
        <is>
          <t>Đắk Nông</t>
        </is>
      </c>
      <c r="F171" s="11" t="n">
        <v>7.88</v>
      </c>
      <c r="G171" s="11" t="n">
        <v>132.71</v>
      </c>
      <c r="H171" s="11" t="n">
        <v>0</v>
      </c>
      <c r="I171" s="11" t="n">
        <v>8</v>
      </c>
    </row>
    <row r="172" ht="15.75" customHeight="1" s="57">
      <c r="A172" s="39" t="inlineStr">
        <is>
          <t>2026-08-01</t>
        </is>
      </c>
      <c r="B172" s="11" t="inlineStr">
        <is>
          <t>ecom</t>
        </is>
      </c>
      <c r="C172" s="11" t="inlineStr">
        <is>
          <t>Shopee Ecom</t>
        </is>
      </c>
      <c r="D172" s="11" t="inlineStr">
        <is>
          <t>05.&gt;=20kg</t>
        </is>
      </c>
      <c r="E172" s="11" t="inlineStr">
        <is>
          <t>Bình Thuận</t>
        </is>
      </c>
      <c r="F172" s="11" t="n">
        <v>15.76</v>
      </c>
      <c r="G172" s="11" t="n">
        <v>554.95</v>
      </c>
      <c r="H172" s="11" t="n">
        <v>0</v>
      </c>
      <c r="I172" s="11" t="n">
        <v>8</v>
      </c>
    </row>
    <row r="173" ht="15.75" customHeight="1" s="57">
      <c r="A173" s="39" t="inlineStr">
        <is>
          <t>2026-08-01</t>
        </is>
      </c>
      <c r="B173" s="11" t="inlineStr">
        <is>
          <t>ecom</t>
        </is>
      </c>
      <c r="C173" s="11" t="inlineStr">
        <is>
          <t>Shopee Ecom</t>
        </is>
      </c>
      <c r="D173" s="11" t="inlineStr">
        <is>
          <t>05.&gt;=20kg</t>
        </is>
      </c>
      <c r="E173" s="11" t="inlineStr">
        <is>
          <t>Khánh Hòa</t>
        </is>
      </c>
      <c r="F173" s="11" t="n">
        <v>12.31</v>
      </c>
      <c r="G173" s="11" t="n">
        <v>433.55</v>
      </c>
      <c r="H173" s="11" t="n">
        <v>0</v>
      </c>
      <c r="I173" s="11" t="n">
        <v>8</v>
      </c>
    </row>
    <row r="174" ht="15.75" customHeight="1" s="57">
      <c r="A174" s="39" t="inlineStr">
        <is>
          <t>2026-08-01</t>
        </is>
      </c>
      <c r="B174" s="11" t="inlineStr">
        <is>
          <t>ecom</t>
        </is>
      </c>
      <c r="C174" s="11" t="inlineStr">
        <is>
          <t>Shopee Ecom</t>
        </is>
      </c>
      <c r="D174" s="11" t="inlineStr">
        <is>
          <t>05.&gt;=20kg</t>
        </is>
      </c>
      <c r="E174" s="11" t="inlineStr">
        <is>
          <t>Lâm Đồng</t>
        </is>
      </c>
      <c r="F174" s="11" t="n">
        <v>24.13</v>
      </c>
      <c r="G174" s="11" t="n">
        <v>849.76</v>
      </c>
      <c r="H174" s="11" t="n">
        <v>0</v>
      </c>
      <c r="I174" s="11" t="n">
        <v>8</v>
      </c>
    </row>
    <row r="175" ht="15.75" customHeight="1" s="57">
      <c r="A175" s="39" t="inlineStr">
        <is>
          <t>2026-08-01</t>
        </is>
      </c>
      <c r="B175" s="11" t="inlineStr">
        <is>
          <t>ecom</t>
        </is>
      </c>
      <c r="C175" s="11" t="inlineStr">
        <is>
          <t>Shopee Ecom</t>
        </is>
      </c>
      <c r="D175" s="11" t="inlineStr">
        <is>
          <t>05.&gt;=20kg</t>
        </is>
      </c>
      <c r="E175" s="11" t="inlineStr">
        <is>
          <t>Ninh Thuận</t>
        </is>
      </c>
      <c r="F175" s="11" t="n">
        <v>2.46</v>
      </c>
      <c r="G175" s="11" t="n">
        <v>86.70999999999999</v>
      </c>
      <c r="H175" s="11" t="n">
        <v>0</v>
      </c>
      <c r="I175" s="11" t="n">
        <v>8</v>
      </c>
    </row>
    <row r="176" ht="15.75" customHeight="1" s="57">
      <c r="A176" s="39" t="inlineStr">
        <is>
          <t>2026-08-01</t>
        </is>
      </c>
      <c r="B176" s="11" t="inlineStr">
        <is>
          <t>ecom</t>
        </is>
      </c>
      <c r="C176" s="11" t="inlineStr">
        <is>
          <t>Shopee Ecom</t>
        </is>
      </c>
      <c r="D176" s="11" t="inlineStr">
        <is>
          <t>05.&gt;=20kg</t>
        </is>
      </c>
      <c r="E176" s="11" t="inlineStr">
        <is>
          <t>Đắk Nông</t>
        </is>
      </c>
      <c r="F176" s="11" t="n">
        <v>9.359999999999999</v>
      </c>
      <c r="G176" s="11" t="n">
        <v>329.5</v>
      </c>
      <c r="H176" s="11" t="n">
        <v>0</v>
      </c>
      <c r="I176" s="11" t="n">
        <v>8</v>
      </c>
    </row>
    <row r="177" ht="15.75" customHeight="1" s="57">
      <c r="A177" s="39" t="inlineStr">
        <is>
          <t>2026-08-01</t>
        </is>
      </c>
      <c r="B177" s="11" t="inlineStr">
        <is>
          <t>ecom</t>
        </is>
      </c>
      <c r="C177" s="11" t="inlineStr">
        <is>
          <t>TTS</t>
        </is>
      </c>
      <c r="D177" s="11" t="inlineStr">
        <is>
          <t>01.0-5kg</t>
        </is>
      </c>
      <c r="E177" s="11" t="inlineStr">
        <is>
          <t>Bình Thuận</t>
        </is>
      </c>
      <c r="F177" s="11" t="n">
        <v>114785.21</v>
      </c>
      <c r="G177" s="11" t="n">
        <v>87982.86</v>
      </c>
      <c r="H177" s="11" t="n">
        <v>0</v>
      </c>
      <c r="I177" s="11" t="n">
        <v>8</v>
      </c>
    </row>
    <row r="178" ht="15.75" customHeight="1" s="57">
      <c r="A178" s="39" t="inlineStr">
        <is>
          <t>2026-08-01</t>
        </is>
      </c>
      <c r="B178" s="11" t="inlineStr">
        <is>
          <t>ecom</t>
        </is>
      </c>
      <c r="C178" s="11" t="inlineStr">
        <is>
          <t>TTS</t>
        </is>
      </c>
      <c r="D178" s="11" t="inlineStr">
        <is>
          <t>01.0-5kg</t>
        </is>
      </c>
      <c r="E178" s="11" t="inlineStr">
        <is>
          <t>Khánh Hòa</t>
        </is>
      </c>
      <c r="F178" s="11" t="n">
        <v>134221.3</v>
      </c>
      <c r="G178" s="11" t="n">
        <v>102880.63</v>
      </c>
      <c r="H178" s="11" t="n">
        <v>0</v>
      </c>
      <c r="I178" s="11" t="n">
        <v>8</v>
      </c>
    </row>
    <row r="179" ht="15.75" customHeight="1" s="57">
      <c r="A179" s="39" t="inlineStr">
        <is>
          <t>2026-08-01</t>
        </is>
      </c>
      <c r="B179" s="11" t="inlineStr">
        <is>
          <t>ecom</t>
        </is>
      </c>
      <c r="C179" s="11" t="inlineStr">
        <is>
          <t>TTS</t>
        </is>
      </c>
      <c r="D179" s="11" t="inlineStr">
        <is>
          <t>01.0-5kg</t>
        </is>
      </c>
      <c r="E179" s="11" t="inlineStr">
        <is>
          <t>Lâm Đồng</t>
        </is>
      </c>
      <c r="F179" s="11" t="n">
        <v>123542.96</v>
      </c>
      <c r="G179" s="11" t="n">
        <v>94695.67999999999</v>
      </c>
      <c r="H179" s="11" t="n">
        <v>0</v>
      </c>
      <c r="I179" s="11" t="n">
        <v>8</v>
      </c>
    </row>
    <row r="180" ht="15.75" customHeight="1" s="57">
      <c r="A180" s="39" t="inlineStr">
        <is>
          <t>2026-08-01</t>
        </is>
      </c>
      <c r="B180" s="11" t="inlineStr">
        <is>
          <t>ecom</t>
        </is>
      </c>
      <c r="C180" s="11" t="inlineStr">
        <is>
          <t>TTS</t>
        </is>
      </c>
      <c r="D180" s="11" t="inlineStr">
        <is>
          <t>01.0-5kg</t>
        </is>
      </c>
      <c r="E180" s="11" t="inlineStr">
        <is>
          <t>Ninh Thuận</t>
        </is>
      </c>
      <c r="F180" s="11" t="n">
        <v>51924.15</v>
      </c>
      <c r="G180" s="11" t="n">
        <v>39799.86</v>
      </c>
      <c r="H180" s="11" t="n">
        <v>0</v>
      </c>
      <c r="I180" s="11" t="n">
        <v>8</v>
      </c>
    </row>
    <row r="181" ht="15.75" customHeight="1" s="57">
      <c r="A181" s="39" t="inlineStr">
        <is>
          <t>2026-08-01</t>
        </is>
      </c>
      <c r="B181" s="11" t="inlineStr">
        <is>
          <t>ecom</t>
        </is>
      </c>
      <c r="C181" s="11" t="inlineStr">
        <is>
          <t>TTS</t>
        </is>
      </c>
      <c r="D181" s="11" t="inlineStr">
        <is>
          <t>01.0-5kg</t>
        </is>
      </c>
      <c r="E181" s="11" t="inlineStr">
        <is>
          <t>Đắk Nông</t>
        </is>
      </c>
      <c r="F181" s="11" t="n">
        <v>76484.12</v>
      </c>
      <c r="G181" s="11" t="n">
        <v>58625.07</v>
      </c>
      <c r="H181" s="11" t="n">
        <v>0</v>
      </c>
      <c r="I181" s="11" t="n">
        <v>8</v>
      </c>
    </row>
    <row r="182" ht="15.75" customHeight="1" s="57">
      <c r="A182" s="39" t="inlineStr">
        <is>
          <t>2026-08-01</t>
        </is>
      </c>
      <c r="B182" s="11" t="inlineStr">
        <is>
          <t>ecom</t>
        </is>
      </c>
      <c r="C182" s="11" t="inlineStr">
        <is>
          <t>TTS</t>
        </is>
      </c>
      <c r="D182" s="11" t="inlineStr">
        <is>
          <t>02.5-10kg</t>
        </is>
      </c>
      <c r="E182" s="11" t="inlineStr">
        <is>
          <t>Bình Thuận</t>
        </is>
      </c>
      <c r="F182" s="11" t="n">
        <v>5121.74</v>
      </c>
      <c r="G182" s="11" t="n">
        <v>32513.29</v>
      </c>
      <c r="H182" s="11" t="n">
        <v>0</v>
      </c>
      <c r="I182" s="11" t="n">
        <v>8</v>
      </c>
    </row>
    <row r="183" ht="15.75" customHeight="1" s="57">
      <c r="A183" s="39" t="inlineStr">
        <is>
          <t>2026-08-01</t>
        </is>
      </c>
      <c r="B183" s="11" t="inlineStr">
        <is>
          <t>ecom</t>
        </is>
      </c>
      <c r="C183" s="11" t="inlineStr">
        <is>
          <t>TTS</t>
        </is>
      </c>
      <c r="D183" s="11" t="inlineStr">
        <is>
          <t>02.5-10kg</t>
        </is>
      </c>
      <c r="E183" s="11" t="inlineStr">
        <is>
          <t>Khánh Hòa</t>
        </is>
      </c>
      <c r="F183" s="11" t="n">
        <v>5349.32</v>
      </c>
      <c r="G183" s="11" t="n">
        <v>33958.02</v>
      </c>
      <c r="H183" s="11" t="n">
        <v>0</v>
      </c>
      <c r="I183" s="11" t="n">
        <v>8</v>
      </c>
    </row>
    <row r="184" ht="15.75" customHeight="1" s="57">
      <c r="A184" s="39" t="inlineStr">
        <is>
          <t>2026-08-01</t>
        </is>
      </c>
      <c r="B184" s="11" t="inlineStr">
        <is>
          <t>ecom</t>
        </is>
      </c>
      <c r="C184" s="11" t="inlineStr">
        <is>
          <t>TTS</t>
        </is>
      </c>
      <c r="D184" s="11" t="inlineStr">
        <is>
          <t>02.5-10kg</t>
        </is>
      </c>
      <c r="E184" s="11" t="inlineStr">
        <is>
          <t>Lâm Đồng</t>
        </is>
      </c>
      <c r="F184" s="11" t="n">
        <v>6519.3</v>
      </c>
      <c r="G184" s="11" t="n">
        <v>41385.17</v>
      </c>
      <c r="H184" s="11" t="n">
        <v>0</v>
      </c>
      <c r="I184" s="11" t="n">
        <v>8</v>
      </c>
    </row>
    <row r="185" ht="15.75" customHeight="1" s="57">
      <c r="A185" s="39" t="inlineStr">
        <is>
          <t>2026-08-01</t>
        </is>
      </c>
      <c r="B185" s="11" t="inlineStr">
        <is>
          <t>ecom</t>
        </is>
      </c>
      <c r="C185" s="11" t="inlineStr">
        <is>
          <t>TTS</t>
        </is>
      </c>
      <c r="D185" s="11" t="inlineStr">
        <is>
          <t>02.5-10kg</t>
        </is>
      </c>
      <c r="E185" s="11" t="inlineStr">
        <is>
          <t>Ninh Thuận</t>
        </is>
      </c>
      <c r="F185" s="11" t="n">
        <v>2041.32</v>
      </c>
      <c r="G185" s="11" t="n">
        <v>12958.51</v>
      </c>
      <c r="H185" s="11" t="n">
        <v>0</v>
      </c>
      <c r="I185" s="11" t="n">
        <v>8</v>
      </c>
    </row>
    <row r="186" ht="15.75" customHeight="1" s="57">
      <c r="A186" s="39" t="inlineStr">
        <is>
          <t>2026-08-01</t>
        </is>
      </c>
      <c r="B186" s="11" t="inlineStr">
        <is>
          <t>ecom</t>
        </is>
      </c>
      <c r="C186" s="11" t="inlineStr">
        <is>
          <t>TTS</t>
        </is>
      </c>
      <c r="D186" s="11" t="inlineStr">
        <is>
          <t>02.5-10kg</t>
        </is>
      </c>
      <c r="E186" s="11" t="inlineStr">
        <is>
          <t>Đắk Nông</t>
        </is>
      </c>
      <c r="F186" s="11" t="n">
        <v>3466.67</v>
      </c>
      <c r="G186" s="11" t="n">
        <v>22006.75</v>
      </c>
      <c r="H186" s="11" t="n">
        <v>0</v>
      </c>
      <c r="I186" s="11" t="n">
        <v>8</v>
      </c>
    </row>
    <row r="187" ht="15.75" customHeight="1" s="57">
      <c r="A187" s="39" t="inlineStr">
        <is>
          <t>2026-08-01</t>
        </is>
      </c>
      <c r="B187" s="11" t="inlineStr">
        <is>
          <t>ecom</t>
        </is>
      </c>
      <c r="C187" s="11" t="inlineStr">
        <is>
          <t>TTS</t>
        </is>
      </c>
      <c r="D187" s="11" t="inlineStr">
        <is>
          <t>03.10-15kg</t>
        </is>
      </c>
      <c r="E187" s="11" t="inlineStr">
        <is>
          <t>Bình Thuận</t>
        </is>
      </c>
      <c r="F187" s="11" t="n">
        <v>1944.62</v>
      </c>
      <c r="G187" s="11" t="n">
        <v>22416.47</v>
      </c>
      <c r="H187" s="11" t="n">
        <v>0</v>
      </c>
      <c r="I187" s="11" t="n">
        <v>8</v>
      </c>
    </row>
    <row r="188" ht="15.75" customHeight="1" s="57">
      <c r="A188" s="39" t="inlineStr">
        <is>
          <t>2026-08-01</t>
        </is>
      </c>
      <c r="B188" s="11" t="inlineStr">
        <is>
          <t>ecom</t>
        </is>
      </c>
      <c r="C188" s="11" t="inlineStr">
        <is>
          <t>TTS</t>
        </is>
      </c>
      <c r="D188" s="11" t="inlineStr">
        <is>
          <t>03.10-15kg</t>
        </is>
      </c>
      <c r="E188" s="11" t="inlineStr">
        <is>
          <t>Khánh Hòa</t>
        </is>
      </c>
      <c r="F188" s="11" t="n">
        <v>2304.17</v>
      </c>
      <c r="G188" s="11" t="n">
        <v>26561.05</v>
      </c>
      <c r="H188" s="11" t="n">
        <v>0</v>
      </c>
      <c r="I188" s="11" t="n">
        <v>8</v>
      </c>
    </row>
    <row r="189" ht="15.75" customHeight="1" s="57">
      <c r="A189" s="39" t="inlineStr">
        <is>
          <t>2026-08-01</t>
        </is>
      </c>
      <c r="B189" s="11" t="inlineStr">
        <is>
          <t>ecom</t>
        </is>
      </c>
      <c r="C189" s="11" t="inlineStr">
        <is>
          <t>TTS</t>
        </is>
      </c>
      <c r="D189" s="11" t="inlineStr">
        <is>
          <t>03.10-15kg</t>
        </is>
      </c>
      <c r="E189" s="11" t="inlineStr">
        <is>
          <t>Lâm Đồng</t>
        </is>
      </c>
      <c r="F189" s="11" t="n">
        <v>2573.96</v>
      </c>
      <c r="G189" s="11" t="n">
        <v>29671.03</v>
      </c>
      <c r="H189" s="11" t="n">
        <v>0</v>
      </c>
      <c r="I189" s="11" t="n">
        <v>8</v>
      </c>
    </row>
    <row r="190" ht="15.75" customHeight="1" s="57">
      <c r="A190" s="39" t="inlineStr">
        <is>
          <t>2026-08-01</t>
        </is>
      </c>
      <c r="B190" s="11" t="inlineStr">
        <is>
          <t>ecom</t>
        </is>
      </c>
      <c r="C190" s="11" t="inlineStr">
        <is>
          <t>TTS</t>
        </is>
      </c>
      <c r="D190" s="11" t="inlineStr">
        <is>
          <t>03.10-15kg</t>
        </is>
      </c>
      <c r="E190" s="11" t="inlineStr">
        <is>
          <t>Ninh Thuận</t>
        </is>
      </c>
      <c r="F190" s="11" t="n">
        <v>858.52</v>
      </c>
      <c r="G190" s="11" t="n">
        <v>9896.5</v>
      </c>
      <c r="H190" s="11" t="n">
        <v>0</v>
      </c>
      <c r="I190" s="11" t="n">
        <v>8</v>
      </c>
    </row>
    <row r="191" ht="15.75" customHeight="1" s="57">
      <c r="A191" s="39" t="inlineStr">
        <is>
          <t>2026-08-01</t>
        </is>
      </c>
      <c r="B191" s="11" t="inlineStr">
        <is>
          <t>ecom</t>
        </is>
      </c>
      <c r="C191" s="11" t="inlineStr">
        <is>
          <t>TTS</t>
        </is>
      </c>
      <c r="D191" s="11" t="inlineStr">
        <is>
          <t>03.10-15kg</t>
        </is>
      </c>
      <c r="E191" s="11" t="inlineStr">
        <is>
          <t>Đắk Nông</t>
        </is>
      </c>
      <c r="F191" s="11" t="n">
        <v>1274.16</v>
      </c>
      <c r="G191" s="11" t="n">
        <v>14687.71</v>
      </c>
      <c r="H191" s="11" t="n">
        <v>0</v>
      </c>
      <c r="I191" s="11" t="n">
        <v>8</v>
      </c>
    </row>
    <row r="192" ht="15.75" customHeight="1" s="57">
      <c r="A192" s="39" t="inlineStr">
        <is>
          <t>2026-08-01</t>
        </is>
      </c>
      <c r="B192" s="11" t="inlineStr">
        <is>
          <t>ecom</t>
        </is>
      </c>
      <c r="C192" s="11" t="inlineStr">
        <is>
          <t>TTS</t>
        </is>
      </c>
      <c r="D192" s="11" t="inlineStr">
        <is>
          <t>04.15-20kg</t>
        </is>
      </c>
      <c r="E192" s="11" t="inlineStr">
        <is>
          <t>Bình Thuận</t>
        </is>
      </c>
      <c r="F192" s="11" t="n">
        <v>687.03</v>
      </c>
      <c r="G192" s="11" t="n">
        <v>11363.33</v>
      </c>
      <c r="H192" s="11" t="n">
        <v>0</v>
      </c>
      <c r="I192" s="11" t="n">
        <v>8</v>
      </c>
    </row>
    <row r="193" ht="15.75" customHeight="1" s="57">
      <c r="A193" s="39" t="inlineStr">
        <is>
          <t>2026-08-01</t>
        </is>
      </c>
      <c r="B193" s="11" t="inlineStr">
        <is>
          <t>ecom</t>
        </is>
      </c>
      <c r="C193" s="11" t="inlineStr">
        <is>
          <t>TTS</t>
        </is>
      </c>
      <c r="D193" s="11" t="inlineStr">
        <is>
          <t>04.15-20kg</t>
        </is>
      </c>
      <c r="E193" s="11" t="inlineStr">
        <is>
          <t>Khánh Hòa</t>
        </is>
      </c>
      <c r="F193" s="11" t="n">
        <v>930.11</v>
      </c>
      <c r="G193" s="11" t="n">
        <v>15383.79</v>
      </c>
      <c r="H193" s="11" t="n">
        <v>0</v>
      </c>
      <c r="I193" s="11" t="n">
        <v>8</v>
      </c>
    </row>
    <row r="194" ht="15.75" customHeight="1" s="57">
      <c r="A194" s="39" t="inlineStr">
        <is>
          <t>2026-08-01</t>
        </is>
      </c>
      <c r="B194" s="11" t="inlineStr">
        <is>
          <t>ecom</t>
        </is>
      </c>
      <c r="C194" s="11" t="inlineStr">
        <is>
          <t>TTS</t>
        </is>
      </c>
      <c r="D194" s="11" t="inlineStr">
        <is>
          <t>04.15-20kg</t>
        </is>
      </c>
      <c r="E194" s="11" t="inlineStr">
        <is>
          <t>Lâm Đồng</t>
        </is>
      </c>
      <c r="F194" s="11" t="n">
        <v>1038.56</v>
      </c>
      <c r="G194" s="11" t="n">
        <v>17177.54</v>
      </c>
      <c r="H194" s="11" t="n">
        <v>0</v>
      </c>
      <c r="I194" s="11" t="n">
        <v>8</v>
      </c>
    </row>
    <row r="195" ht="15.75" customHeight="1" s="57">
      <c r="A195" s="39" t="inlineStr">
        <is>
          <t>2026-08-01</t>
        </is>
      </c>
      <c r="B195" s="11" t="inlineStr">
        <is>
          <t>ecom</t>
        </is>
      </c>
      <c r="C195" s="11" t="inlineStr">
        <is>
          <t>TTS</t>
        </is>
      </c>
      <c r="D195" s="11" t="inlineStr">
        <is>
          <t>04.15-20kg</t>
        </is>
      </c>
      <c r="E195" s="11" t="inlineStr">
        <is>
          <t>Ninh Thuận</t>
        </is>
      </c>
      <c r="F195" s="11" t="n">
        <v>292.23</v>
      </c>
      <c r="G195" s="11" t="n">
        <v>4833.39</v>
      </c>
      <c r="H195" s="11" t="n">
        <v>0</v>
      </c>
      <c r="I195" s="11" t="n">
        <v>8</v>
      </c>
    </row>
    <row r="196" ht="15.75" customHeight="1" s="57">
      <c r="A196" s="39" t="inlineStr">
        <is>
          <t>2026-08-01</t>
        </is>
      </c>
      <c r="B196" s="11" t="inlineStr">
        <is>
          <t>ecom</t>
        </is>
      </c>
      <c r="C196" s="11" t="inlineStr">
        <is>
          <t>TTS</t>
        </is>
      </c>
      <c r="D196" s="11" t="inlineStr">
        <is>
          <t>04.15-20kg</t>
        </is>
      </c>
      <c r="E196" s="11" t="inlineStr">
        <is>
          <t>Đắk Nông</t>
        </is>
      </c>
      <c r="F196" s="11" t="n">
        <v>524.62</v>
      </c>
      <c r="G196" s="11" t="n">
        <v>8677.129999999999</v>
      </c>
      <c r="H196" s="11" t="n">
        <v>0</v>
      </c>
      <c r="I196" s="11" t="n">
        <v>8</v>
      </c>
    </row>
    <row r="197" ht="15.75" customHeight="1" s="57">
      <c r="A197" s="39" t="inlineStr">
        <is>
          <t>2026-08-01</t>
        </is>
      </c>
      <c r="B197" s="11" t="inlineStr">
        <is>
          <t>ecom</t>
        </is>
      </c>
      <c r="C197" s="11" t="inlineStr">
        <is>
          <t>TTS</t>
        </is>
      </c>
      <c r="D197" s="11" t="inlineStr">
        <is>
          <t>05.&gt;=20kg</t>
        </is>
      </c>
      <c r="E197" s="11" t="inlineStr">
        <is>
          <t>Bình Thuận</t>
        </is>
      </c>
      <c r="F197" s="11" t="n">
        <v>690.77</v>
      </c>
      <c r="G197" s="11" t="n">
        <v>24786.38</v>
      </c>
      <c r="H197" s="11" t="n">
        <v>0</v>
      </c>
      <c r="I197" s="11" t="n">
        <v>8</v>
      </c>
    </row>
    <row r="198" ht="15.75" customHeight="1" s="57">
      <c r="A198" s="39" t="inlineStr">
        <is>
          <t>2026-08-01</t>
        </is>
      </c>
      <c r="B198" s="11" t="inlineStr">
        <is>
          <t>ecom</t>
        </is>
      </c>
      <c r="C198" s="11" t="inlineStr">
        <is>
          <t>TTS</t>
        </is>
      </c>
      <c r="D198" s="11" t="inlineStr">
        <is>
          <t>05.&gt;=20kg</t>
        </is>
      </c>
      <c r="E198" s="11" t="inlineStr">
        <is>
          <t>Khánh Hòa</t>
        </is>
      </c>
      <c r="F198" s="11" t="n">
        <v>958.96</v>
      </c>
      <c r="G198" s="11" t="n">
        <v>34409.56</v>
      </c>
      <c r="H198" s="11" t="n">
        <v>0</v>
      </c>
      <c r="I198" s="11" t="n">
        <v>8</v>
      </c>
    </row>
    <row r="199" ht="15.75" customHeight="1" s="57">
      <c r="A199" s="39" t="inlineStr">
        <is>
          <t>2026-08-01</t>
        </is>
      </c>
      <c r="B199" s="11" t="inlineStr">
        <is>
          <t>ecom</t>
        </is>
      </c>
      <c r="C199" s="11" t="inlineStr">
        <is>
          <t>TTS</t>
        </is>
      </c>
      <c r="D199" s="11" t="inlineStr">
        <is>
          <t>05.&gt;=20kg</t>
        </is>
      </c>
      <c r="E199" s="11" t="inlineStr">
        <is>
          <t>Lâm Đồng</t>
        </is>
      </c>
      <c r="F199" s="11" t="n">
        <v>949.87</v>
      </c>
      <c r="G199" s="11" t="n">
        <v>34083.68</v>
      </c>
      <c r="H199" s="11" t="n">
        <v>0</v>
      </c>
      <c r="I199" s="11" t="n">
        <v>8</v>
      </c>
    </row>
    <row r="200" ht="15.75" customHeight="1" s="57">
      <c r="A200" s="39" t="inlineStr">
        <is>
          <t>2026-08-01</t>
        </is>
      </c>
      <c r="B200" s="11" t="inlineStr">
        <is>
          <t>ecom</t>
        </is>
      </c>
      <c r="C200" s="11" t="inlineStr">
        <is>
          <t>TTS</t>
        </is>
      </c>
      <c r="D200" s="11" t="inlineStr">
        <is>
          <t>05.&gt;=20kg</t>
        </is>
      </c>
      <c r="E200" s="11" t="inlineStr">
        <is>
          <t>Ninh Thuận</t>
        </is>
      </c>
      <c r="F200" s="11" t="n">
        <v>298.64</v>
      </c>
      <c r="G200" s="11" t="n">
        <v>10715.85</v>
      </c>
      <c r="H200" s="11" t="n">
        <v>0</v>
      </c>
      <c r="I200" s="11" t="n">
        <v>8</v>
      </c>
    </row>
    <row r="201" ht="15.75" customHeight="1" s="57">
      <c r="A201" s="39" t="inlineStr">
        <is>
          <t>2026-08-01</t>
        </is>
      </c>
      <c r="B201" s="11" t="inlineStr">
        <is>
          <t>ecom</t>
        </is>
      </c>
      <c r="C201" s="11" t="inlineStr">
        <is>
          <t>TTS</t>
        </is>
      </c>
      <c r="D201" s="11" t="inlineStr">
        <is>
          <t>05.&gt;=20kg</t>
        </is>
      </c>
      <c r="E201" s="11" t="inlineStr">
        <is>
          <t>Đắk Nông</t>
        </is>
      </c>
      <c r="F201" s="11" t="n">
        <v>439.68</v>
      </c>
      <c r="G201" s="11" t="n">
        <v>15776.64</v>
      </c>
      <c r="H201" s="11" t="n">
        <v>0</v>
      </c>
      <c r="I201" s="11" t="n">
        <v>8</v>
      </c>
    </row>
    <row r="202" ht="15.75" customHeight="1" s="57">
      <c r="A202" s="39" t="inlineStr">
        <is>
          <t>2026-09-01</t>
        </is>
      </c>
      <c r="B202" s="11" t="inlineStr">
        <is>
          <t>sme</t>
        </is>
      </c>
      <c r="C202" s="11" t="inlineStr">
        <is>
          <t>SME</t>
        </is>
      </c>
      <c r="D202" s="11" t="inlineStr">
        <is>
          <t>01.0-5kg</t>
        </is>
      </c>
      <c r="E202" s="11" t="inlineStr">
        <is>
          <t>Bình Thuận</t>
        </is>
      </c>
      <c r="F202" s="11" t="n">
        <v>148995</v>
      </c>
      <c r="G202" s="11" t="n">
        <v>103164.14</v>
      </c>
      <c r="H202" s="11" t="n">
        <v>0</v>
      </c>
      <c r="I202" s="11" t="n">
        <v>9</v>
      </c>
    </row>
    <row r="203" ht="15.75" customHeight="1" s="57">
      <c r="A203" s="39" t="inlineStr">
        <is>
          <t>2026-09-01</t>
        </is>
      </c>
      <c r="B203" s="11" t="inlineStr">
        <is>
          <t>sme</t>
        </is>
      </c>
      <c r="C203" s="11" t="inlineStr">
        <is>
          <t>SME</t>
        </is>
      </c>
      <c r="D203" s="11" t="inlineStr">
        <is>
          <t>01.0-5kg</t>
        </is>
      </c>
      <c r="E203" s="11" t="inlineStr">
        <is>
          <t>Khánh Hòa</t>
        </is>
      </c>
      <c r="F203" s="11" t="n">
        <v>183496.55</v>
      </c>
      <c r="G203" s="11" t="n">
        <v>127053.01</v>
      </c>
      <c r="H203" s="11" t="n">
        <v>0</v>
      </c>
      <c r="I203" s="11" t="n">
        <v>9</v>
      </c>
    </row>
    <row r="204" ht="15.75" customHeight="1" s="57">
      <c r="A204" s="39" t="inlineStr">
        <is>
          <t>2026-09-01</t>
        </is>
      </c>
      <c r="B204" s="11" t="inlineStr">
        <is>
          <t>sme</t>
        </is>
      </c>
      <c r="C204" s="11" t="inlineStr">
        <is>
          <t>SME</t>
        </is>
      </c>
      <c r="D204" s="11" t="inlineStr">
        <is>
          <t>01.0-5kg</t>
        </is>
      </c>
      <c r="E204" s="11" t="inlineStr">
        <is>
          <t>Lâm Đồng</t>
        </is>
      </c>
      <c r="F204" s="11" t="n">
        <v>199112.81</v>
      </c>
      <c r="G204" s="11" t="n">
        <v>137865.71</v>
      </c>
      <c r="H204" s="11" t="n">
        <v>0</v>
      </c>
      <c r="I204" s="11" t="n">
        <v>9</v>
      </c>
    </row>
    <row r="205" ht="15.75" customHeight="1" s="57">
      <c r="A205" s="39" t="inlineStr">
        <is>
          <t>2026-09-01</t>
        </is>
      </c>
      <c r="B205" s="11" t="inlineStr">
        <is>
          <t>sme</t>
        </is>
      </c>
      <c r="C205" s="11" t="inlineStr">
        <is>
          <t>SME</t>
        </is>
      </c>
      <c r="D205" s="11" t="inlineStr">
        <is>
          <t>01.0-5kg</t>
        </is>
      </c>
      <c r="E205" s="11" t="inlineStr">
        <is>
          <t>Ninh Thuận</t>
        </is>
      </c>
      <c r="F205" s="11" t="n">
        <v>59464.36</v>
      </c>
      <c r="G205" s="11" t="n">
        <v>41173.13</v>
      </c>
      <c r="H205" s="11" t="n">
        <v>0</v>
      </c>
      <c r="I205" s="11" t="n">
        <v>9</v>
      </c>
    </row>
    <row r="206" ht="15.75" customHeight="1" s="57">
      <c r="A206" s="39" t="inlineStr">
        <is>
          <t>2026-09-01</t>
        </is>
      </c>
      <c r="B206" s="11" t="inlineStr">
        <is>
          <t>sme</t>
        </is>
      </c>
      <c r="C206" s="11" t="inlineStr">
        <is>
          <t>SME</t>
        </is>
      </c>
      <c r="D206" s="11" t="inlineStr">
        <is>
          <t>01.0-5kg</t>
        </is>
      </c>
      <c r="E206" s="11" t="inlineStr">
        <is>
          <t>Đắk Nông</t>
        </is>
      </c>
      <c r="F206" s="11" t="n">
        <v>78348.48</v>
      </c>
      <c r="G206" s="11" t="n">
        <v>54248.49</v>
      </c>
      <c r="H206" s="11" t="n">
        <v>0</v>
      </c>
      <c r="I206" s="11" t="n">
        <v>9</v>
      </c>
    </row>
    <row r="207" ht="15.75" customHeight="1" s="57">
      <c r="A207" s="39" t="inlineStr">
        <is>
          <t>2026-09-01</t>
        </is>
      </c>
      <c r="B207" s="11" t="inlineStr">
        <is>
          <t>sme</t>
        </is>
      </c>
      <c r="C207" s="11" t="inlineStr">
        <is>
          <t>SME</t>
        </is>
      </c>
      <c r="D207" s="11" t="inlineStr">
        <is>
          <t>02.5-10kg</t>
        </is>
      </c>
      <c r="E207" s="11" t="inlineStr">
        <is>
          <t>Bình Thuận</t>
        </is>
      </c>
      <c r="F207" s="11" t="n">
        <v>9753.059999999999</v>
      </c>
      <c r="G207" s="11" t="n">
        <v>59592.15</v>
      </c>
      <c r="H207" s="11" t="n">
        <v>0</v>
      </c>
      <c r="I207" s="11" t="n">
        <v>9</v>
      </c>
    </row>
    <row r="208" ht="15.75" customHeight="1" s="57">
      <c r="A208" s="39" t="inlineStr">
        <is>
          <t>2026-09-01</t>
        </is>
      </c>
      <c r="B208" s="11" t="inlineStr">
        <is>
          <t>sme</t>
        </is>
      </c>
      <c r="C208" s="11" t="inlineStr">
        <is>
          <t>SME</t>
        </is>
      </c>
      <c r="D208" s="11" t="inlineStr">
        <is>
          <t>02.5-10kg</t>
        </is>
      </c>
      <c r="E208" s="11" t="inlineStr">
        <is>
          <t>Khánh Hòa</t>
        </is>
      </c>
      <c r="F208" s="11" t="n">
        <v>9836.33</v>
      </c>
      <c r="G208" s="11" t="n">
        <v>60100.97</v>
      </c>
      <c r="H208" s="11" t="n">
        <v>0</v>
      </c>
      <c r="I208" s="11" t="n">
        <v>9</v>
      </c>
    </row>
    <row r="209" ht="15.75" customHeight="1" s="57">
      <c r="A209" s="39" t="inlineStr">
        <is>
          <t>2026-09-01</t>
        </is>
      </c>
      <c r="B209" s="11" t="inlineStr">
        <is>
          <t>sme</t>
        </is>
      </c>
      <c r="C209" s="11" t="inlineStr">
        <is>
          <t>SME</t>
        </is>
      </c>
      <c r="D209" s="11" t="inlineStr">
        <is>
          <t>02.5-10kg</t>
        </is>
      </c>
      <c r="E209" s="11" t="inlineStr">
        <is>
          <t>Lâm Đồng</t>
        </is>
      </c>
      <c r="F209" s="11" t="n">
        <v>13038.28</v>
      </c>
      <c r="G209" s="11" t="n">
        <v>79665.2</v>
      </c>
      <c r="H209" s="11" t="n">
        <v>0</v>
      </c>
      <c r="I209" s="11" t="n">
        <v>9</v>
      </c>
    </row>
    <row r="210" ht="15.75" customHeight="1" s="57">
      <c r="A210" s="39" t="inlineStr">
        <is>
          <t>2026-09-01</t>
        </is>
      </c>
      <c r="B210" s="11" t="inlineStr">
        <is>
          <t>sme</t>
        </is>
      </c>
      <c r="C210" s="11" t="inlineStr">
        <is>
          <t>SME</t>
        </is>
      </c>
      <c r="D210" s="11" t="inlineStr">
        <is>
          <t>02.5-10kg</t>
        </is>
      </c>
      <c r="E210" s="11" t="inlineStr">
        <is>
          <t>Ninh Thuận</t>
        </is>
      </c>
      <c r="F210" s="11" t="n">
        <v>3546.49</v>
      </c>
      <c r="G210" s="11" t="n">
        <v>21669.44</v>
      </c>
      <c r="H210" s="11" t="n">
        <v>0</v>
      </c>
      <c r="I210" s="11" t="n">
        <v>9</v>
      </c>
    </row>
    <row r="211" ht="15.75" customHeight="1" s="57">
      <c r="A211" s="39" t="inlineStr">
        <is>
          <t>2026-09-01</t>
        </is>
      </c>
      <c r="B211" s="11" t="inlineStr">
        <is>
          <t>sme</t>
        </is>
      </c>
      <c r="C211" s="11" t="inlineStr">
        <is>
          <t>SME</t>
        </is>
      </c>
      <c r="D211" s="11" t="inlineStr">
        <is>
          <t>02.5-10kg</t>
        </is>
      </c>
      <c r="E211" s="11" t="inlineStr">
        <is>
          <t>Đắk Nông</t>
        </is>
      </c>
      <c r="F211" s="11" t="n">
        <v>5173.32</v>
      </c>
      <c r="G211" s="11" t="n">
        <v>31609.5</v>
      </c>
      <c r="H211" s="11" t="n">
        <v>0</v>
      </c>
      <c r="I211" s="11" t="n">
        <v>9</v>
      </c>
    </row>
    <row r="212" ht="15.75" customHeight="1" s="57">
      <c r="A212" s="39" t="inlineStr">
        <is>
          <t>2026-09-01</t>
        </is>
      </c>
      <c r="B212" s="11" t="inlineStr">
        <is>
          <t>sme</t>
        </is>
      </c>
      <c r="C212" s="11" t="inlineStr">
        <is>
          <t>SME</t>
        </is>
      </c>
      <c r="D212" s="11" t="inlineStr">
        <is>
          <t>03.10-15kg</t>
        </is>
      </c>
      <c r="E212" s="11" t="inlineStr">
        <is>
          <t>Bình Thuận</t>
        </is>
      </c>
      <c r="F212" s="11" t="n">
        <v>4921.92</v>
      </c>
      <c r="G212" s="11" t="n">
        <v>55593.04</v>
      </c>
      <c r="H212" s="11" t="n">
        <v>0</v>
      </c>
      <c r="I212" s="11" t="n">
        <v>9</v>
      </c>
    </row>
    <row r="213" ht="15.75" customHeight="1" s="57">
      <c r="A213" s="39" t="inlineStr">
        <is>
          <t>2026-09-01</t>
        </is>
      </c>
      <c r="B213" s="11" t="inlineStr">
        <is>
          <t>sme</t>
        </is>
      </c>
      <c r="C213" s="11" t="inlineStr">
        <is>
          <t>SME</t>
        </is>
      </c>
      <c r="D213" s="11" t="inlineStr">
        <is>
          <t>03.10-15kg</t>
        </is>
      </c>
      <c r="E213" s="11" t="inlineStr">
        <is>
          <t>Khánh Hòa</t>
        </is>
      </c>
      <c r="F213" s="11" t="n">
        <v>5088.47</v>
      </c>
      <c r="G213" s="11" t="n">
        <v>57474.22</v>
      </c>
      <c r="H213" s="11" t="n">
        <v>0</v>
      </c>
      <c r="I213" s="11" t="n">
        <v>9</v>
      </c>
    </row>
    <row r="214" ht="15.75" customHeight="1" s="57">
      <c r="A214" s="39" t="inlineStr">
        <is>
          <t>2026-09-01</t>
        </is>
      </c>
      <c r="B214" s="11" t="inlineStr">
        <is>
          <t>sme</t>
        </is>
      </c>
      <c r="C214" s="11" t="inlineStr">
        <is>
          <t>SME</t>
        </is>
      </c>
      <c r="D214" s="11" t="inlineStr">
        <is>
          <t>03.10-15kg</t>
        </is>
      </c>
      <c r="E214" s="11" t="inlineStr">
        <is>
          <t>Lâm Đồng</t>
        </is>
      </c>
      <c r="F214" s="11" t="n">
        <v>7438.32</v>
      </c>
      <c r="G214" s="11" t="n">
        <v>84015.87</v>
      </c>
      <c r="H214" s="11" t="n">
        <v>0</v>
      </c>
      <c r="I214" s="11" t="n">
        <v>9</v>
      </c>
    </row>
    <row r="215" ht="15.75" customHeight="1" s="57">
      <c r="A215" s="39" t="inlineStr">
        <is>
          <t>2026-09-01</t>
        </is>
      </c>
      <c r="B215" s="11" t="inlineStr">
        <is>
          <t>sme</t>
        </is>
      </c>
      <c r="C215" s="11" t="inlineStr">
        <is>
          <t>SME</t>
        </is>
      </c>
      <c r="D215" s="11" t="inlineStr">
        <is>
          <t>03.10-15kg</t>
        </is>
      </c>
      <c r="E215" s="11" t="inlineStr">
        <is>
          <t>Ninh Thuận</t>
        </is>
      </c>
      <c r="F215" s="11" t="n">
        <v>1978.87</v>
      </c>
      <c r="G215" s="11" t="n">
        <v>22351.33</v>
      </c>
      <c r="H215" s="11" t="n">
        <v>0</v>
      </c>
      <c r="I215" s="11" t="n">
        <v>9</v>
      </c>
    </row>
    <row r="216" ht="15.75" customHeight="1" s="57">
      <c r="A216" s="39" t="inlineStr">
        <is>
          <t>2026-09-01</t>
        </is>
      </c>
      <c r="B216" s="11" t="inlineStr">
        <is>
          <t>sme</t>
        </is>
      </c>
      <c r="C216" s="11" t="inlineStr">
        <is>
          <t>SME</t>
        </is>
      </c>
      <c r="D216" s="11" t="inlineStr">
        <is>
          <t>03.10-15kg</t>
        </is>
      </c>
      <c r="E216" s="11" t="inlineStr">
        <is>
          <t>Đắk Nông</t>
        </is>
      </c>
      <c r="F216" s="11" t="n">
        <v>2716.11</v>
      </c>
      <c r="G216" s="11" t="n">
        <v>30678.48</v>
      </c>
      <c r="H216" s="11" t="n">
        <v>0</v>
      </c>
      <c r="I216" s="11" t="n">
        <v>9</v>
      </c>
    </row>
    <row r="217" ht="15.75" customHeight="1" s="57">
      <c r="A217" s="39" t="inlineStr">
        <is>
          <t>2026-09-01</t>
        </is>
      </c>
      <c r="B217" s="11" t="inlineStr">
        <is>
          <t>sme</t>
        </is>
      </c>
      <c r="C217" s="11" t="inlineStr">
        <is>
          <t>SME</t>
        </is>
      </c>
      <c r="D217" s="11" t="inlineStr">
        <is>
          <t>04.15-20kg</t>
        </is>
      </c>
      <c r="E217" s="11" t="inlineStr">
        <is>
          <t>Bình Thuận</t>
        </is>
      </c>
      <c r="F217" s="11" t="n">
        <v>1916.12</v>
      </c>
      <c r="G217" s="11" t="n">
        <v>32661.56</v>
      </c>
      <c r="H217" s="11" t="n">
        <v>0</v>
      </c>
      <c r="I217" s="11" t="n">
        <v>9</v>
      </c>
    </row>
    <row r="218" ht="15.75" customHeight="1" s="57">
      <c r="A218" s="39" t="inlineStr">
        <is>
          <t>2026-09-01</t>
        </is>
      </c>
      <c r="B218" s="11" t="inlineStr">
        <is>
          <t>sme</t>
        </is>
      </c>
      <c r="C218" s="11" t="inlineStr">
        <is>
          <t>SME</t>
        </is>
      </c>
      <c r="D218" s="11" t="inlineStr">
        <is>
          <t>04.15-20kg</t>
        </is>
      </c>
      <c r="E218" s="11" t="inlineStr">
        <is>
          <t>Khánh Hòa</t>
        </is>
      </c>
      <c r="F218" s="11" t="n">
        <v>2385.38</v>
      </c>
      <c r="G218" s="11" t="n">
        <v>40660.45</v>
      </c>
      <c r="H218" s="11" t="n">
        <v>0</v>
      </c>
      <c r="I218" s="11" t="n">
        <v>9</v>
      </c>
    </row>
    <row r="219" ht="15.75" customHeight="1" s="57">
      <c r="A219" s="39" t="inlineStr">
        <is>
          <t>2026-09-01</t>
        </is>
      </c>
      <c r="B219" s="11" t="inlineStr">
        <is>
          <t>sme</t>
        </is>
      </c>
      <c r="C219" s="11" t="inlineStr">
        <is>
          <t>SME</t>
        </is>
      </c>
      <c r="D219" s="11" t="inlineStr">
        <is>
          <t>04.15-20kg</t>
        </is>
      </c>
      <c r="E219" s="11" t="inlineStr">
        <is>
          <t>Lâm Đồng</t>
        </is>
      </c>
      <c r="F219" s="11" t="n">
        <v>2879.9</v>
      </c>
      <c r="G219" s="11" t="n">
        <v>49089.89</v>
      </c>
      <c r="H219" s="11" t="n">
        <v>0</v>
      </c>
      <c r="I219" s="11" t="n">
        <v>9</v>
      </c>
    </row>
    <row r="220" ht="15.75" customHeight="1" s="57">
      <c r="A220" s="39" t="inlineStr">
        <is>
          <t>2026-09-01</t>
        </is>
      </c>
      <c r="B220" s="11" t="inlineStr">
        <is>
          <t>sme</t>
        </is>
      </c>
      <c r="C220" s="11" t="inlineStr">
        <is>
          <t>SME</t>
        </is>
      </c>
      <c r="D220" s="11" t="inlineStr">
        <is>
          <t>04.15-20kg</t>
        </is>
      </c>
      <c r="E220" s="11" t="inlineStr">
        <is>
          <t>Ninh Thuận</t>
        </is>
      </c>
      <c r="F220" s="11" t="n">
        <v>742.77</v>
      </c>
      <c r="G220" s="11" t="n">
        <v>12660.98</v>
      </c>
      <c r="H220" s="11" t="n">
        <v>0</v>
      </c>
      <c r="I220" s="11" t="n">
        <v>9</v>
      </c>
    </row>
    <row r="221" ht="15.75" customHeight="1" s="57">
      <c r="A221" s="39" t="inlineStr">
        <is>
          <t>2026-09-01</t>
        </is>
      </c>
      <c r="B221" s="11" t="inlineStr">
        <is>
          <t>sme</t>
        </is>
      </c>
      <c r="C221" s="11" t="inlineStr">
        <is>
          <t>SME</t>
        </is>
      </c>
      <c r="D221" s="11" t="inlineStr">
        <is>
          <t>04.15-20kg</t>
        </is>
      </c>
      <c r="E221" s="11" t="inlineStr">
        <is>
          <t>Đắk Nông</t>
        </is>
      </c>
      <c r="F221" s="11" t="n">
        <v>1157.17</v>
      </c>
      <c r="G221" s="11" t="n">
        <v>19724.76</v>
      </c>
      <c r="H221" s="11" t="n">
        <v>0</v>
      </c>
      <c r="I221" s="11" t="n">
        <v>9</v>
      </c>
    </row>
    <row r="222" ht="15.75" customHeight="1" s="57">
      <c r="A222" s="39" t="inlineStr">
        <is>
          <t>2026-09-01</t>
        </is>
      </c>
      <c r="B222" s="11" t="inlineStr">
        <is>
          <t>sme</t>
        </is>
      </c>
      <c r="C222" s="11" t="inlineStr">
        <is>
          <t>SME</t>
        </is>
      </c>
      <c r="D222" s="11" t="inlineStr">
        <is>
          <t>05.&gt;=20kg</t>
        </is>
      </c>
      <c r="E222" s="11" t="inlineStr">
        <is>
          <t>Bình Thuận</t>
        </is>
      </c>
      <c r="F222" s="11" t="n">
        <v>3370.47</v>
      </c>
      <c r="G222" s="11" t="n">
        <v>241636.56</v>
      </c>
      <c r="H222" s="11" t="n">
        <v>0</v>
      </c>
      <c r="I222" s="11" t="n">
        <v>9</v>
      </c>
    </row>
    <row r="223" ht="15.75" customHeight="1" s="57">
      <c r="A223" s="39" t="inlineStr">
        <is>
          <t>2026-09-01</t>
        </is>
      </c>
      <c r="B223" s="11" t="inlineStr">
        <is>
          <t>sme</t>
        </is>
      </c>
      <c r="C223" s="11" t="inlineStr">
        <is>
          <t>SME</t>
        </is>
      </c>
      <c r="D223" s="11" t="inlineStr">
        <is>
          <t>05.&gt;=20kg</t>
        </is>
      </c>
      <c r="E223" s="11" t="inlineStr">
        <is>
          <t>Khánh Hòa</t>
        </is>
      </c>
      <c r="F223" s="11" t="n">
        <v>4341.75</v>
      </c>
      <c r="G223" s="11" t="n">
        <v>311269.77</v>
      </c>
      <c r="H223" s="11" t="n">
        <v>0</v>
      </c>
      <c r="I223" s="11" t="n">
        <v>9</v>
      </c>
    </row>
    <row r="224" ht="15.75" customHeight="1" s="57">
      <c r="A224" s="39" t="inlineStr">
        <is>
          <t>2026-09-01</t>
        </is>
      </c>
      <c r="B224" s="11" t="inlineStr">
        <is>
          <t>sme</t>
        </is>
      </c>
      <c r="C224" s="11" t="inlineStr">
        <is>
          <t>SME</t>
        </is>
      </c>
      <c r="D224" s="11" t="inlineStr">
        <is>
          <t>05.&gt;=20kg</t>
        </is>
      </c>
      <c r="E224" s="11" t="inlineStr">
        <is>
          <t>Lâm Đồng</t>
        </is>
      </c>
      <c r="F224" s="11" t="n">
        <v>5171.35</v>
      </c>
      <c r="G224" s="11" t="n">
        <v>370745.18</v>
      </c>
      <c r="H224" s="11" t="n">
        <v>0</v>
      </c>
      <c r="I224" s="11" t="n">
        <v>9</v>
      </c>
    </row>
    <row r="225" ht="15.75" customHeight="1" s="57">
      <c r="A225" s="39" t="inlineStr">
        <is>
          <t>2026-09-01</t>
        </is>
      </c>
      <c r="B225" s="11" t="inlineStr">
        <is>
          <t>sme</t>
        </is>
      </c>
      <c r="C225" s="11" t="inlineStr">
        <is>
          <t>SME</t>
        </is>
      </c>
      <c r="D225" s="11" t="inlineStr">
        <is>
          <t>05.&gt;=20kg</t>
        </is>
      </c>
      <c r="E225" s="11" t="inlineStr">
        <is>
          <t>Ninh Thuận</t>
        </is>
      </c>
      <c r="F225" s="11" t="n">
        <v>1334.38</v>
      </c>
      <c r="G225" s="11" t="n">
        <v>95664.31</v>
      </c>
      <c r="H225" s="11" t="n">
        <v>0</v>
      </c>
      <c r="I225" s="11" t="n">
        <v>9</v>
      </c>
    </row>
    <row r="226" ht="15.75" customHeight="1" s="57">
      <c r="A226" s="39" t="inlineStr">
        <is>
          <t>2026-09-01</t>
        </is>
      </c>
      <c r="B226" s="11" t="inlineStr">
        <is>
          <t>sme</t>
        </is>
      </c>
      <c r="C226" s="11" t="inlineStr">
        <is>
          <t>SME</t>
        </is>
      </c>
      <c r="D226" s="11" t="inlineStr">
        <is>
          <t>05.&gt;=20kg</t>
        </is>
      </c>
      <c r="E226" s="11" t="inlineStr">
        <is>
          <t>Đắk Nông</t>
        </is>
      </c>
      <c r="F226" s="11" t="n">
        <v>2042.02</v>
      </c>
      <c r="G226" s="11" t="n">
        <v>146396.67</v>
      </c>
      <c r="H226" s="11" t="n">
        <v>0</v>
      </c>
      <c r="I226" s="11" t="n">
        <v>9</v>
      </c>
    </row>
    <row r="227" ht="15.75" customHeight="1" s="57">
      <c r="A227" s="39" t="inlineStr">
        <is>
          <t>2026-09-01</t>
        </is>
      </c>
      <c r="B227" s="11" t="inlineStr">
        <is>
          <t>ecom</t>
        </is>
      </c>
      <c r="C227" s="11" t="inlineStr">
        <is>
          <t>Shopee Bulky</t>
        </is>
      </c>
      <c r="D227" s="11" t="inlineStr">
        <is>
          <t>01.0-5kg</t>
        </is>
      </c>
      <c r="E227" s="11" t="inlineStr">
        <is>
          <t>Bình Thuận</t>
        </is>
      </c>
      <c r="F227" s="11" t="n">
        <v>57.26</v>
      </c>
      <c r="G227" s="11" t="n">
        <v>136.78</v>
      </c>
      <c r="H227" s="11" t="n">
        <v>0</v>
      </c>
      <c r="I227" s="11" t="n">
        <v>9</v>
      </c>
    </row>
    <row r="228" ht="15.75" customHeight="1" s="57">
      <c r="A228" s="39" t="inlineStr">
        <is>
          <t>2026-09-01</t>
        </is>
      </c>
      <c r="B228" s="11" t="inlineStr">
        <is>
          <t>ecom</t>
        </is>
      </c>
      <c r="C228" s="11" t="inlineStr">
        <is>
          <t>Shopee Bulky</t>
        </is>
      </c>
      <c r="D228" s="11" t="inlineStr">
        <is>
          <t>01.0-5kg</t>
        </is>
      </c>
      <c r="E228" s="11" t="inlineStr">
        <is>
          <t>Khánh Hòa</t>
        </is>
      </c>
      <c r="F228" s="11" t="n">
        <v>92.95</v>
      </c>
      <c r="G228" s="11" t="n">
        <v>222.02</v>
      </c>
      <c r="H228" s="11" t="n">
        <v>0</v>
      </c>
      <c r="I228" s="11" t="n">
        <v>9</v>
      </c>
    </row>
    <row r="229" ht="15.75" customHeight="1" s="57">
      <c r="A229" s="39" t="inlineStr">
        <is>
          <t>2026-09-01</t>
        </is>
      </c>
      <c r="B229" s="11" t="inlineStr">
        <is>
          <t>ecom</t>
        </is>
      </c>
      <c r="C229" s="11" t="inlineStr">
        <is>
          <t>Shopee Bulky</t>
        </is>
      </c>
      <c r="D229" s="11" t="inlineStr">
        <is>
          <t>01.0-5kg</t>
        </is>
      </c>
      <c r="E229" s="11" t="inlineStr">
        <is>
          <t>Lâm Đồng</t>
        </is>
      </c>
      <c r="F229" s="11" t="n">
        <v>92.95</v>
      </c>
      <c r="G229" s="11" t="n">
        <v>222.02</v>
      </c>
      <c r="H229" s="11" t="n">
        <v>0</v>
      </c>
      <c r="I229" s="11" t="n">
        <v>9</v>
      </c>
    </row>
    <row r="230" ht="15.75" customHeight="1" s="57">
      <c r="A230" s="39" t="inlineStr">
        <is>
          <t>2026-09-01</t>
        </is>
      </c>
      <c r="B230" s="11" t="inlineStr">
        <is>
          <t>ecom</t>
        </is>
      </c>
      <c r="C230" s="11" t="inlineStr">
        <is>
          <t>Shopee Bulky</t>
        </is>
      </c>
      <c r="D230" s="11" t="inlineStr">
        <is>
          <t>01.0-5kg</t>
        </is>
      </c>
      <c r="E230" s="11" t="inlineStr">
        <is>
          <t>Ninh Thuận</t>
        </is>
      </c>
      <c r="F230" s="11" t="n">
        <v>19.92</v>
      </c>
      <c r="G230" s="11" t="n">
        <v>47.58</v>
      </c>
      <c r="H230" s="11" t="n">
        <v>0</v>
      </c>
      <c r="I230" s="11" t="n">
        <v>9</v>
      </c>
    </row>
    <row r="231" ht="15.75" customHeight="1" s="57">
      <c r="A231" s="39" t="inlineStr">
        <is>
          <t>2026-09-01</t>
        </is>
      </c>
      <c r="B231" s="11" t="inlineStr">
        <is>
          <t>ecom</t>
        </is>
      </c>
      <c r="C231" s="11" t="inlineStr">
        <is>
          <t>Shopee Bulky</t>
        </is>
      </c>
      <c r="D231" s="11" t="inlineStr">
        <is>
          <t>01.0-5kg</t>
        </is>
      </c>
      <c r="E231" s="11" t="inlineStr">
        <is>
          <t>Đắk Nông</t>
        </is>
      </c>
      <c r="F231" s="11" t="n">
        <v>19.09</v>
      </c>
      <c r="G231" s="11" t="n">
        <v>45.59</v>
      </c>
      <c r="H231" s="11" t="n">
        <v>0</v>
      </c>
      <c r="I231" s="11" t="n">
        <v>9</v>
      </c>
    </row>
    <row r="232" ht="15.75" customHeight="1" s="57">
      <c r="A232" s="39" t="inlineStr">
        <is>
          <t>2026-09-01</t>
        </is>
      </c>
      <c r="B232" s="11" t="inlineStr">
        <is>
          <t>ecom</t>
        </is>
      </c>
      <c r="C232" s="11" t="inlineStr">
        <is>
          <t>Shopee Bulky</t>
        </is>
      </c>
      <c r="D232" s="11" t="inlineStr">
        <is>
          <t>02.5-10kg</t>
        </is>
      </c>
      <c r="E232" s="11" t="inlineStr">
        <is>
          <t>Bình Thuận</t>
        </is>
      </c>
      <c r="F232" s="11" t="n">
        <v>214.95</v>
      </c>
      <c r="G232" s="11" t="n">
        <v>1728.53</v>
      </c>
      <c r="H232" s="11" t="n">
        <v>0</v>
      </c>
      <c r="I232" s="11" t="n">
        <v>9</v>
      </c>
    </row>
    <row r="233" ht="15.75" customHeight="1" s="57">
      <c r="A233" s="39" t="inlineStr">
        <is>
          <t>2026-09-01</t>
        </is>
      </c>
      <c r="B233" s="11" t="inlineStr">
        <is>
          <t>ecom</t>
        </is>
      </c>
      <c r="C233" s="11" t="inlineStr">
        <is>
          <t>Shopee Bulky</t>
        </is>
      </c>
      <c r="D233" s="11" t="inlineStr">
        <is>
          <t>02.5-10kg</t>
        </is>
      </c>
      <c r="E233" s="11" t="inlineStr">
        <is>
          <t>Khánh Hòa</t>
        </is>
      </c>
      <c r="F233" s="11" t="n">
        <v>246.48</v>
      </c>
      <c r="G233" s="11" t="n">
        <v>1982.13</v>
      </c>
      <c r="H233" s="11" t="n">
        <v>0</v>
      </c>
      <c r="I233" s="11" t="n">
        <v>9</v>
      </c>
    </row>
    <row r="234" ht="15.75" customHeight="1" s="57">
      <c r="A234" s="39" t="inlineStr">
        <is>
          <t>2026-09-01</t>
        </is>
      </c>
      <c r="B234" s="11" t="inlineStr">
        <is>
          <t>ecom</t>
        </is>
      </c>
      <c r="C234" s="11" t="inlineStr">
        <is>
          <t>Shopee Bulky</t>
        </is>
      </c>
      <c r="D234" s="11" t="inlineStr">
        <is>
          <t>02.5-10kg</t>
        </is>
      </c>
      <c r="E234" s="11" t="inlineStr">
        <is>
          <t>Lâm Đồng</t>
        </is>
      </c>
      <c r="F234" s="11" t="n">
        <v>315.36</v>
      </c>
      <c r="G234" s="11" t="n">
        <v>2536.06</v>
      </c>
      <c r="H234" s="11" t="n">
        <v>0</v>
      </c>
      <c r="I234" s="11" t="n">
        <v>9</v>
      </c>
    </row>
    <row r="235" ht="15.75" customHeight="1" s="57">
      <c r="A235" s="39" t="inlineStr">
        <is>
          <t>2026-09-01</t>
        </is>
      </c>
      <c r="B235" s="11" t="inlineStr">
        <is>
          <t>ecom</t>
        </is>
      </c>
      <c r="C235" s="11" t="inlineStr">
        <is>
          <t>Shopee Bulky</t>
        </is>
      </c>
      <c r="D235" s="11" t="inlineStr">
        <is>
          <t>02.5-10kg</t>
        </is>
      </c>
      <c r="E235" s="11" t="inlineStr">
        <is>
          <t>Ninh Thuận</t>
        </is>
      </c>
      <c r="F235" s="11" t="n">
        <v>73.03</v>
      </c>
      <c r="G235" s="11" t="n">
        <v>587.3</v>
      </c>
      <c r="H235" s="11" t="n">
        <v>0</v>
      </c>
      <c r="I235" s="11" t="n">
        <v>9</v>
      </c>
    </row>
    <row r="236" ht="15.75" customHeight="1" s="57">
      <c r="A236" s="39" t="inlineStr">
        <is>
          <t>2026-09-01</t>
        </is>
      </c>
      <c r="B236" s="11" t="inlineStr">
        <is>
          <t>ecom</t>
        </is>
      </c>
      <c r="C236" s="11" t="inlineStr">
        <is>
          <t>Shopee Bulky</t>
        </is>
      </c>
      <c r="D236" s="11" t="inlineStr">
        <is>
          <t>02.5-10kg</t>
        </is>
      </c>
      <c r="E236" s="11" t="inlineStr">
        <is>
          <t>Đắk Nông</t>
        </is>
      </c>
      <c r="F236" s="11" t="n">
        <v>73.03</v>
      </c>
      <c r="G236" s="11" t="n">
        <v>587.3</v>
      </c>
      <c r="H236" s="11" t="n">
        <v>0</v>
      </c>
      <c r="I236" s="11" t="n">
        <v>9</v>
      </c>
    </row>
    <row r="237" ht="15.75" customHeight="1" s="57">
      <c r="A237" s="39" t="inlineStr">
        <is>
          <t>2026-09-01</t>
        </is>
      </c>
      <c r="B237" s="11" t="inlineStr">
        <is>
          <t>ecom</t>
        </is>
      </c>
      <c r="C237" s="11" t="inlineStr">
        <is>
          <t>Shopee Bulky</t>
        </is>
      </c>
      <c r="D237" s="11" t="inlineStr">
        <is>
          <t>03.10-15kg</t>
        </is>
      </c>
      <c r="E237" s="11" t="inlineStr">
        <is>
          <t>Bình Thuận</t>
        </is>
      </c>
      <c r="F237" s="11" t="n">
        <v>15974.83</v>
      </c>
      <c r="G237" s="11" t="n">
        <v>190431.16</v>
      </c>
      <c r="H237" s="11" t="n">
        <v>0</v>
      </c>
      <c r="I237" s="11" t="n">
        <v>9</v>
      </c>
    </row>
    <row r="238" ht="15.75" customHeight="1" s="57">
      <c r="A238" s="39" t="inlineStr">
        <is>
          <t>2026-09-01</t>
        </is>
      </c>
      <c r="B238" s="11" t="inlineStr">
        <is>
          <t>ecom</t>
        </is>
      </c>
      <c r="C238" s="11" t="inlineStr">
        <is>
          <t>Shopee Bulky</t>
        </is>
      </c>
      <c r="D238" s="11" t="inlineStr">
        <is>
          <t>03.10-15kg</t>
        </is>
      </c>
      <c r="E238" s="11" t="inlineStr">
        <is>
          <t>Khánh Hòa</t>
        </is>
      </c>
      <c r="F238" s="11" t="n">
        <v>17915.98</v>
      </c>
      <c r="G238" s="11" t="n">
        <v>213570.99</v>
      </c>
      <c r="H238" s="11" t="n">
        <v>0</v>
      </c>
      <c r="I238" s="11" t="n">
        <v>9</v>
      </c>
    </row>
    <row r="239" ht="15.75" customHeight="1" s="57">
      <c r="A239" s="39" t="inlineStr">
        <is>
          <t>2026-09-01</t>
        </is>
      </c>
      <c r="B239" s="11" t="inlineStr">
        <is>
          <t>ecom</t>
        </is>
      </c>
      <c r="C239" s="11" t="inlineStr">
        <is>
          <t>Shopee Bulky</t>
        </is>
      </c>
      <c r="D239" s="11" t="inlineStr">
        <is>
          <t>03.10-15kg</t>
        </is>
      </c>
      <c r="E239" s="11" t="inlineStr">
        <is>
          <t>Lâm Đồng</t>
        </is>
      </c>
      <c r="F239" s="11" t="n">
        <v>22340.2</v>
      </c>
      <c r="G239" s="11" t="n">
        <v>266310.79</v>
      </c>
      <c r="H239" s="11" t="n">
        <v>0</v>
      </c>
      <c r="I239" s="11" t="n">
        <v>9</v>
      </c>
    </row>
    <row r="240" ht="15.75" customHeight="1" s="57">
      <c r="A240" s="39" t="inlineStr">
        <is>
          <t>2026-09-01</t>
        </is>
      </c>
      <c r="B240" s="11" t="inlineStr">
        <is>
          <t>ecom</t>
        </is>
      </c>
      <c r="C240" s="11" t="inlineStr">
        <is>
          <t>Shopee Bulky</t>
        </is>
      </c>
      <c r="D240" s="11" t="inlineStr">
        <is>
          <t>03.10-15kg</t>
        </is>
      </c>
      <c r="E240" s="11" t="inlineStr">
        <is>
          <t>Ninh Thuận</t>
        </is>
      </c>
      <c r="F240" s="11" t="n">
        <v>6063.28</v>
      </c>
      <c r="G240" s="11" t="n">
        <v>72278.56</v>
      </c>
      <c r="H240" s="11" t="n">
        <v>0</v>
      </c>
      <c r="I240" s="11" t="n">
        <v>9</v>
      </c>
    </row>
    <row r="241" ht="15.75" customHeight="1" s="57">
      <c r="A241" s="39" t="inlineStr">
        <is>
          <t>2026-09-01</t>
        </is>
      </c>
      <c r="B241" s="11" t="inlineStr">
        <is>
          <t>ecom</t>
        </is>
      </c>
      <c r="C241" s="11" t="inlineStr">
        <is>
          <t>Shopee Bulky</t>
        </is>
      </c>
      <c r="D241" s="11" t="inlineStr">
        <is>
          <t>03.10-15kg</t>
        </is>
      </c>
      <c r="E241" s="11" t="inlineStr">
        <is>
          <t>Đắk Nông</t>
        </is>
      </c>
      <c r="F241" s="11" t="n">
        <v>5286.49</v>
      </c>
      <c r="G241" s="11" t="n">
        <v>63018.68</v>
      </c>
      <c r="H241" s="11" t="n">
        <v>0</v>
      </c>
      <c r="I241" s="11" t="n">
        <v>9</v>
      </c>
    </row>
    <row r="242" ht="15.75" customHeight="1" s="57">
      <c r="A242" s="39" t="inlineStr">
        <is>
          <t>2026-09-01</t>
        </is>
      </c>
      <c r="B242" s="11" t="inlineStr">
        <is>
          <t>ecom</t>
        </is>
      </c>
      <c r="C242" s="11" t="inlineStr">
        <is>
          <t>Shopee Bulky</t>
        </is>
      </c>
      <c r="D242" s="11" t="inlineStr">
        <is>
          <t>04.15-20kg</t>
        </is>
      </c>
      <c r="E242" s="11" t="inlineStr">
        <is>
          <t>Bình Thuận</t>
        </is>
      </c>
      <c r="F242" s="11" t="n">
        <v>10496.63</v>
      </c>
      <c r="G242" s="11" t="n">
        <v>177363.68</v>
      </c>
      <c r="H242" s="11" t="n">
        <v>0</v>
      </c>
      <c r="I242" s="11" t="n">
        <v>9</v>
      </c>
    </row>
    <row r="243" ht="15.75" customHeight="1" s="57">
      <c r="A243" s="39" t="inlineStr">
        <is>
          <t>2026-09-01</t>
        </is>
      </c>
      <c r="B243" s="11" t="inlineStr">
        <is>
          <t>ecom</t>
        </is>
      </c>
      <c r="C243" s="11" t="inlineStr">
        <is>
          <t>Shopee Bulky</t>
        </is>
      </c>
      <c r="D243" s="11" t="inlineStr">
        <is>
          <t>04.15-20kg</t>
        </is>
      </c>
      <c r="E243" s="11" t="inlineStr">
        <is>
          <t>Khánh Hòa</t>
        </is>
      </c>
      <c r="F243" s="11" t="n">
        <v>10766.35</v>
      </c>
      <c r="G243" s="11" t="n">
        <v>181921.17</v>
      </c>
      <c r="H243" s="11" t="n">
        <v>0</v>
      </c>
      <c r="I243" s="11" t="n">
        <v>9</v>
      </c>
    </row>
    <row r="244" ht="15.75" customHeight="1" s="57">
      <c r="A244" s="39" t="inlineStr">
        <is>
          <t>2026-09-01</t>
        </is>
      </c>
      <c r="B244" s="11" t="inlineStr">
        <is>
          <t>ecom</t>
        </is>
      </c>
      <c r="C244" s="11" t="inlineStr">
        <is>
          <t>Shopee Bulky</t>
        </is>
      </c>
      <c r="D244" s="11" t="inlineStr">
        <is>
          <t>04.15-20kg</t>
        </is>
      </c>
      <c r="E244" s="11" t="inlineStr">
        <is>
          <t>Lâm Đồng</t>
        </is>
      </c>
      <c r="F244" s="11" t="n">
        <v>12563.09</v>
      </c>
      <c r="G244" s="11" t="n">
        <v>212281.1</v>
      </c>
      <c r="H244" s="11" t="n">
        <v>0</v>
      </c>
      <c r="I244" s="11" t="n">
        <v>9</v>
      </c>
    </row>
    <row r="245" ht="15.75" customHeight="1" s="57">
      <c r="A245" s="39" t="inlineStr">
        <is>
          <t>2026-09-01</t>
        </is>
      </c>
      <c r="B245" s="11" t="inlineStr">
        <is>
          <t>ecom</t>
        </is>
      </c>
      <c r="C245" s="11" t="inlineStr">
        <is>
          <t>Shopee Bulky</t>
        </is>
      </c>
      <c r="D245" s="11" t="inlineStr">
        <is>
          <t>04.15-20kg</t>
        </is>
      </c>
      <c r="E245" s="11" t="inlineStr">
        <is>
          <t>Ninh Thuận</t>
        </is>
      </c>
      <c r="F245" s="11" t="n">
        <v>3449.91</v>
      </c>
      <c r="G245" s="11" t="n">
        <v>58293.87</v>
      </c>
      <c r="H245" s="11" t="n">
        <v>0</v>
      </c>
      <c r="I245" s="11" t="n">
        <v>9</v>
      </c>
    </row>
    <row r="246" ht="15.75" customHeight="1" s="57">
      <c r="A246" s="39" t="inlineStr">
        <is>
          <t>2026-09-01</t>
        </is>
      </c>
      <c r="B246" s="11" t="inlineStr">
        <is>
          <t>ecom</t>
        </is>
      </c>
      <c r="C246" s="11" t="inlineStr">
        <is>
          <t>Shopee Bulky</t>
        </is>
      </c>
      <c r="D246" s="11" t="inlineStr">
        <is>
          <t>04.15-20kg</t>
        </is>
      </c>
      <c r="E246" s="11" t="inlineStr">
        <is>
          <t>Đắk Nông</t>
        </is>
      </c>
      <c r="F246" s="11" t="n">
        <v>3272.31</v>
      </c>
      <c r="G246" s="11" t="n">
        <v>55292.93</v>
      </c>
      <c r="H246" s="11" t="n">
        <v>0</v>
      </c>
      <c r="I246" s="11" t="n">
        <v>9</v>
      </c>
    </row>
    <row r="247" ht="15.75" customHeight="1" s="57">
      <c r="A247" s="39" t="inlineStr">
        <is>
          <t>2026-09-01</t>
        </is>
      </c>
      <c r="B247" s="11" t="inlineStr">
        <is>
          <t>ecom</t>
        </is>
      </c>
      <c r="C247" s="11" t="inlineStr">
        <is>
          <t>Shopee Bulky</t>
        </is>
      </c>
      <c r="D247" s="11" t="inlineStr">
        <is>
          <t>05.&gt;=20kg</t>
        </is>
      </c>
      <c r="E247" s="11" t="inlineStr">
        <is>
          <t>Bình Thuận</t>
        </is>
      </c>
      <c r="F247" s="11" t="n">
        <v>18689.45</v>
      </c>
      <c r="G247" s="11" t="n">
        <v>634856.25</v>
      </c>
      <c r="H247" s="11" t="n">
        <v>0</v>
      </c>
      <c r="I247" s="11" t="n">
        <v>9</v>
      </c>
    </row>
    <row r="248" ht="15.75" customHeight="1" s="57">
      <c r="A248" s="39" t="inlineStr">
        <is>
          <t>2026-09-01</t>
        </is>
      </c>
      <c r="B248" s="11" t="inlineStr">
        <is>
          <t>ecom</t>
        </is>
      </c>
      <c r="C248" s="11" t="inlineStr">
        <is>
          <t>Shopee Bulky</t>
        </is>
      </c>
      <c r="D248" s="11" t="inlineStr">
        <is>
          <t>05.&gt;=20kg</t>
        </is>
      </c>
      <c r="E248" s="11" t="inlineStr">
        <is>
          <t>Khánh Hòa</t>
        </is>
      </c>
      <c r="F248" s="11" t="n">
        <v>20618.15</v>
      </c>
      <c r="G248" s="11" t="n">
        <v>700371.61</v>
      </c>
      <c r="H248" s="11" t="n">
        <v>0</v>
      </c>
      <c r="I248" s="11" t="n">
        <v>9</v>
      </c>
    </row>
    <row r="249" ht="15.75" customHeight="1" s="57">
      <c r="A249" s="39" t="inlineStr">
        <is>
          <t>2026-09-01</t>
        </is>
      </c>
      <c r="B249" s="11" t="inlineStr">
        <is>
          <t>ecom</t>
        </is>
      </c>
      <c r="C249" s="11" t="inlineStr">
        <is>
          <t>Shopee Bulky</t>
        </is>
      </c>
      <c r="D249" s="11" t="inlineStr">
        <is>
          <t>05.&gt;=20kg</t>
        </is>
      </c>
      <c r="E249" s="11" t="inlineStr">
        <is>
          <t>Lâm Đồng</t>
        </is>
      </c>
      <c r="F249" s="11" t="n">
        <v>24452.3</v>
      </c>
      <c r="G249" s="11" t="n">
        <v>830612.99</v>
      </c>
      <c r="H249" s="11" t="n">
        <v>0</v>
      </c>
      <c r="I249" s="11" t="n">
        <v>9</v>
      </c>
    </row>
    <row r="250" ht="15.75" customHeight="1" s="57">
      <c r="A250" s="39" t="inlineStr">
        <is>
          <t>2026-09-01</t>
        </is>
      </c>
      <c r="B250" s="11" t="inlineStr">
        <is>
          <t>ecom</t>
        </is>
      </c>
      <c r="C250" s="11" t="inlineStr">
        <is>
          <t>Shopee Bulky</t>
        </is>
      </c>
      <c r="D250" s="11" t="inlineStr">
        <is>
          <t>05.&gt;=20kg</t>
        </is>
      </c>
      <c r="E250" s="11" t="inlineStr">
        <is>
          <t>Ninh Thuận</t>
        </is>
      </c>
      <c r="F250" s="11" t="n">
        <v>6155.4</v>
      </c>
      <c r="G250" s="11" t="n">
        <v>209090.98</v>
      </c>
      <c r="H250" s="11" t="n">
        <v>0</v>
      </c>
      <c r="I250" s="11" t="n">
        <v>9</v>
      </c>
    </row>
    <row r="251" ht="15.75" customHeight="1" s="57">
      <c r="A251" s="39" t="inlineStr">
        <is>
          <t>2026-09-01</t>
        </is>
      </c>
      <c r="B251" s="11" t="inlineStr">
        <is>
          <t>ecom</t>
        </is>
      </c>
      <c r="C251" s="11" t="inlineStr">
        <is>
          <t>Shopee Bulky</t>
        </is>
      </c>
      <c r="D251" s="11" t="inlineStr">
        <is>
          <t>05.&gt;=20kg</t>
        </is>
      </c>
      <c r="E251" s="11" t="inlineStr">
        <is>
          <t>Đắk Nông</t>
        </is>
      </c>
      <c r="F251" s="11" t="n">
        <v>6113.91</v>
      </c>
      <c r="G251" s="11" t="n">
        <v>207681.44</v>
      </c>
      <c r="H251" s="11" t="n">
        <v>0</v>
      </c>
      <c r="I251" s="11" t="n">
        <v>9</v>
      </c>
    </row>
    <row r="252" ht="15.75" customHeight="1" s="57">
      <c r="A252" s="39" t="inlineStr">
        <is>
          <t>2026-09-01</t>
        </is>
      </c>
      <c r="B252" s="11" t="inlineStr">
        <is>
          <t>ecom</t>
        </is>
      </c>
      <c r="C252" s="11" t="inlineStr">
        <is>
          <t>Shopee Ecom</t>
        </is>
      </c>
      <c r="D252" s="11" t="inlineStr">
        <is>
          <t>01.0-5kg</t>
        </is>
      </c>
      <c r="E252" s="11" t="inlineStr">
        <is>
          <t>Bình Thuận</t>
        </is>
      </c>
      <c r="F252" s="11" t="n">
        <v>121987.1</v>
      </c>
      <c r="G252" s="11" t="n">
        <v>104396.56</v>
      </c>
      <c r="H252" s="11" t="n">
        <v>0</v>
      </c>
      <c r="I252" s="11" t="n">
        <v>9</v>
      </c>
    </row>
    <row r="253" ht="15.75" customHeight="1" s="57">
      <c r="A253" s="39" t="inlineStr">
        <is>
          <t>2026-09-01</t>
        </is>
      </c>
      <c r="B253" s="11" t="inlineStr">
        <is>
          <t>ecom</t>
        </is>
      </c>
      <c r="C253" s="11" t="inlineStr">
        <is>
          <t>Shopee Ecom</t>
        </is>
      </c>
      <c r="D253" s="11" t="inlineStr">
        <is>
          <t>01.0-5kg</t>
        </is>
      </c>
      <c r="E253" s="11" t="inlineStr">
        <is>
          <t>Khánh Hòa</t>
        </is>
      </c>
      <c r="F253" s="11" t="n">
        <v>102343.5</v>
      </c>
      <c r="G253" s="11" t="n">
        <v>87585.57000000001</v>
      </c>
      <c r="H253" s="11" t="n">
        <v>0</v>
      </c>
      <c r="I253" s="11" t="n">
        <v>9</v>
      </c>
    </row>
    <row r="254" ht="15.75" customHeight="1" s="57">
      <c r="A254" s="39" t="inlineStr">
        <is>
          <t>2026-09-01</t>
        </is>
      </c>
      <c r="B254" s="11" t="inlineStr">
        <is>
          <t>ecom</t>
        </is>
      </c>
      <c r="C254" s="11" t="inlineStr">
        <is>
          <t>Shopee Ecom</t>
        </is>
      </c>
      <c r="D254" s="11" t="inlineStr">
        <is>
          <t>01.0-5kg</t>
        </is>
      </c>
      <c r="E254" s="11" t="inlineStr">
        <is>
          <t>Lâm Đồng</t>
        </is>
      </c>
      <c r="F254" s="11" t="n">
        <v>122709.94</v>
      </c>
      <c r="G254" s="11" t="n">
        <v>105015.17</v>
      </c>
      <c r="H254" s="11" t="n">
        <v>0</v>
      </c>
      <c r="I254" s="11" t="n">
        <v>9</v>
      </c>
    </row>
    <row r="255" ht="15.75" customHeight="1" s="57">
      <c r="A255" s="39" t="inlineStr">
        <is>
          <t>2026-09-01</t>
        </is>
      </c>
      <c r="B255" s="11" t="inlineStr">
        <is>
          <t>ecom</t>
        </is>
      </c>
      <c r="C255" s="11" t="inlineStr">
        <is>
          <t>Shopee Ecom</t>
        </is>
      </c>
      <c r="D255" s="11" t="inlineStr">
        <is>
          <t>01.0-5kg</t>
        </is>
      </c>
      <c r="E255" s="11" t="inlineStr">
        <is>
          <t>Ninh Thuận</t>
        </is>
      </c>
      <c r="F255" s="11" t="n">
        <v>48844.3</v>
      </c>
      <c r="G255" s="11" t="n">
        <v>41800.95</v>
      </c>
      <c r="H255" s="11" t="n">
        <v>0</v>
      </c>
      <c r="I255" s="11" t="n">
        <v>9</v>
      </c>
    </row>
    <row r="256" ht="15.75" customHeight="1" s="57">
      <c r="A256" s="39" t="inlineStr">
        <is>
          <t>2026-09-01</t>
        </is>
      </c>
      <c r="B256" s="11" t="inlineStr">
        <is>
          <t>ecom</t>
        </is>
      </c>
      <c r="C256" s="11" t="inlineStr">
        <is>
          <t>Shopee Ecom</t>
        </is>
      </c>
      <c r="D256" s="11" t="inlineStr">
        <is>
          <t>01.0-5kg</t>
        </is>
      </c>
      <c r="E256" s="11" t="inlineStr">
        <is>
          <t>Đắk Nông</t>
        </is>
      </c>
      <c r="F256" s="11" t="n">
        <v>34816.22</v>
      </c>
      <c r="G256" s="11" t="n">
        <v>29795.72</v>
      </c>
      <c r="H256" s="11" t="n">
        <v>0</v>
      </c>
      <c r="I256" s="11" t="n">
        <v>9</v>
      </c>
    </row>
    <row r="257" ht="15.75" customHeight="1" s="57">
      <c r="A257" s="39" t="inlineStr">
        <is>
          <t>2026-09-01</t>
        </is>
      </c>
      <c r="B257" s="11" t="inlineStr">
        <is>
          <t>ecom</t>
        </is>
      </c>
      <c r="C257" s="11" t="inlineStr">
        <is>
          <t>Shopee Ecom</t>
        </is>
      </c>
      <c r="D257" s="11" t="inlineStr">
        <is>
          <t>02.5-10kg</t>
        </is>
      </c>
      <c r="E257" s="11" t="inlineStr">
        <is>
          <t>Bình Thuận</t>
        </is>
      </c>
      <c r="F257" s="11" t="n">
        <v>9532.799999999999</v>
      </c>
      <c r="G257" s="11" t="n">
        <v>65641.92999999999</v>
      </c>
      <c r="H257" s="11" t="n">
        <v>0</v>
      </c>
      <c r="I257" s="11" t="n">
        <v>9</v>
      </c>
    </row>
    <row r="258" ht="15.75" customHeight="1" s="57">
      <c r="A258" s="39" t="inlineStr">
        <is>
          <t>2026-09-01</t>
        </is>
      </c>
      <c r="B258" s="11" t="inlineStr">
        <is>
          <t>ecom</t>
        </is>
      </c>
      <c r="C258" s="11" t="inlineStr">
        <is>
          <t>Shopee Ecom</t>
        </is>
      </c>
      <c r="D258" s="11" t="inlineStr">
        <is>
          <t>02.5-10kg</t>
        </is>
      </c>
      <c r="E258" s="11" t="inlineStr">
        <is>
          <t>Khánh Hòa</t>
        </is>
      </c>
      <c r="F258" s="11" t="n">
        <v>9090.139999999999</v>
      </c>
      <c r="G258" s="11" t="n">
        <v>62593.78</v>
      </c>
      <c r="H258" s="11" t="n">
        <v>0</v>
      </c>
      <c r="I258" s="11" t="n">
        <v>9</v>
      </c>
    </row>
    <row r="259" ht="15.75" customHeight="1" s="57">
      <c r="A259" s="39" t="inlineStr">
        <is>
          <t>2026-09-01</t>
        </is>
      </c>
      <c r="B259" s="11" t="inlineStr">
        <is>
          <t>ecom</t>
        </is>
      </c>
      <c r="C259" s="11" t="inlineStr">
        <is>
          <t>Shopee Ecom</t>
        </is>
      </c>
      <c r="D259" s="11" t="inlineStr">
        <is>
          <t>02.5-10kg</t>
        </is>
      </c>
      <c r="E259" s="11" t="inlineStr">
        <is>
          <t>Lâm Đồng</t>
        </is>
      </c>
      <c r="F259" s="11" t="n">
        <v>11381.14</v>
      </c>
      <c r="G259" s="11" t="n">
        <v>78369.36</v>
      </c>
      <c r="H259" s="11" t="n">
        <v>0</v>
      </c>
      <c r="I259" s="11" t="n">
        <v>9</v>
      </c>
    </row>
    <row r="260" ht="15.75" customHeight="1" s="57">
      <c r="A260" s="39" t="inlineStr">
        <is>
          <t>2026-09-01</t>
        </is>
      </c>
      <c r="B260" s="11" t="inlineStr">
        <is>
          <t>ecom</t>
        </is>
      </c>
      <c r="C260" s="11" t="inlineStr">
        <is>
          <t>Shopee Ecom</t>
        </is>
      </c>
      <c r="D260" s="11" t="inlineStr">
        <is>
          <t>02.5-10kg</t>
        </is>
      </c>
      <c r="E260" s="11" t="inlineStr">
        <is>
          <t>Ninh Thuận</t>
        </is>
      </c>
      <c r="F260" s="11" t="n">
        <v>3693.81</v>
      </c>
      <c r="G260" s="11" t="n">
        <v>25435.18</v>
      </c>
      <c r="H260" s="11" t="n">
        <v>0</v>
      </c>
      <c r="I260" s="11" t="n">
        <v>9</v>
      </c>
    </row>
    <row r="261" ht="15.75" customHeight="1" s="57">
      <c r="A261" s="39" t="inlineStr">
        <is>
          <t>2026-09-01</t>
        </is>
      </c>
      <c r="B261" s="11" t="inlineStr">
        <is>
          <t>ecom</t>
        </is>
      </c>
      <c r="C261" s="11" t="inlineStr">
        <is>
          <t>Shopee Ecom</t>
        </is>
      </c>
      <c r="D261" s="11" t="inlineStr">
        <is>
          <t>02.5-10kg</t>
        </is>
      </c>
      <c r="E261" s="11" t="inlineStr">
        <is>
          <t>Đắk Nông</t>
        </is>
      </c>
      <c r="F261" s="11" t="n">
        <v>2735.09</v>
      </c>
      <c r="G261" s="11" t="n">
        <v>18833.58</v>
      </c>
      <c r="H261" s="11" t="n">
        <v>0</v>
      </c>
      <c r="I261" s="11" t="n">
        <v>9</v>
      </c>
    </row>
    <row r="262" ht="15.75" customHeight="1" s="57">
      <c r="A262" s="39" t="inlineStr">
        <is>
          <t>2026-09-01</t>
        </is>
      </c>
      <c r="B262" s="11" t="inlineStr">
        <is>
          <t>ecom</t>
        </is>
      </c>
      <c r="C262" s="11" t="inlineStr">
        <is>
          <t>Shopee Ecom</t>
        </is>
      </c>
      <c r="D262" s="11" t="inlineStr">
        <is>
          <t>03.10-15kg</t>
        </is>
      </c>
      <c r="E262" s="11" t="inlineStr">
        <is>
          <t>Bình Thuận</t>
        </is>
      </c>
      <c r="F262" s="11" t="n">
        <v>674.72</v>
      </c>
      <c r="G262" s="11" t="n">
        <v>7061.75</v>
      </c>
      <c r="H262" s="11" t="n">
        <v>0</v>
      </c>
      <c r="I262" s="11" t="n">
        <v>9</v>
      </c>
    </row>
    <row r="263" ht="15.75" customHeight="1" s="57">
      <c r="A263" s="39" t="inlineStr">
        <is>
          <t>2026-09-01</t>
        </is>
      </c>
      <c r="B263" s="11" t="inlineStr">
        <is>
          <t>ecom</t>
        </is>
      </c>
      <c r="C263" s="11" t="inlineStr">
        <is>
          <t>Shopee Ecom</t>
        </is>
      </c>
      <c r="D263" s="11" t="inlineStr">
        <is>
          <t>03.10-15kg</t>
        </is>
      </c>
      <c r="E263" s="11" t="inlineStr">
        <is>
          <t>Khánh Hòa</t>
        </is>
      </c>
      <c r="F263" s="11" t="n">
        <v>685.6799999999999</v>
      </c>
      <c r="G263" s="11" t="n">
        <v>7176.46</v>
      </c>
      <c r="H263" s="11" t="n">
        <v>0</v>
      </c>
      <c r="I263" s="11" t="n">
        <v>9</v>
      </c>
    </row>
    <row r="264" ht="15.75" customHeight="1" s="57">
      <c r="A264" s="39" t="inlineStr">
        <is>
          <t>2026-09-01</t>
        </is>
      </c>
      <c r="B264" s="11" t="inlineStr">
        <is>
          <t>ecom</t>
        </is>
      </c>
      <c r="C264" s="11" t="inlineStr">
        <is>
          <t>Shopee Ecom</t>
        </is>
      </c>
      <c r="D264" s="11" t="inlineStr">
        <is>
          <t>03.10-15kg</t>
        </is>
      </c>
      <c r="E264" s="11" t="inlineStr">
        <is>
          <t>Lâm Đồng</t>
        </is>
      </c>
      <c r="F264" s="11" t="n">
        <v>732.85</v>
      </c>
      <c r="G264" s="11" t="n">
        <v>7670.18</v>
      </c>
      <c r="H264" s="11" t="n">
        <v>0</v>
      </c>
      <c r="I264" s="11" t="n">
        <v>9</v>
      </c>
    </row>
    <row r="265" ht="15.75" customHeight="1" s="57">
      <c r="A265" s="39" t="inlineStr">
        <is>
          <t>2026-09-01</t>
        </is>
      </c>
      <c r="B265" s="11" t="inlineStr">
        <is>
          <t>ecom</t>
        </is>
      </c>
      <c r="C265" s="11" t="inlineStr">
        <is>
          <t>Shopee Ecom</t>
        </is>
      </c>
      <c r="D265" s="11" t="inlineStr">
        <is>
          <t>03.10-15kg</t>
        </is>
      </c>
      <c r="E265" s="11" t="inlineStr">
        <is>
          <t>Ninh Thuận</t>
        </is>
      </c>
      <c r="F265" s="11" t="n">
        <v>235.39</v>
      </c>
      <c r="G265" s="11" t="n">
        <v>2463.63</v>
      </c>
      <c r="H265" s="11" t="n">
        <v>0</v>
      </c>
      <c r="I265" s="11" t="n">
        <v>9</v>
      </c>
    </row>
    <row r="266" ht="15.75" customHeight="1" s="57">
      <c r="A266" s="39" t="inlineStr">
        <is>
          <t>2026-09-01</t>
        </is>
      </c>
      <c r="B266" s="11" t="inlineStr">
        <is>
          <t>ecom</t>
        </is>
      </c>
      <c r="C266" s="11" t="inlineStr">
        <is>
          <t>Shopee Ecom</t>
        </is>
      </c>
      <c r="D266" s="11" t="inlineStr">
        <is>
          <t>03.10-15kg</t>
        </is>
      </c>
      <c r="E266" s="11" t="inlineStr">
        <is>
          <t>Đắk Nông</t>
        </is>
      </c>
      <c r="F266" s="11" t="n">
        <v>199.65</v>
      </c>
      <c r="G266" s="11" t="n">
        <v>2089.6</v>
      </c>
      <c r="H266" s="11" t="n">
        <v>0</v>
      </c>
      <c r="I266" s="11" t="n">
        <v>9</v>
      </c>
    </row>
    <row r="267" ht="15.75" customHeight="1" s="57">
      <c r="A267" s="39" t="inlineStr">
        <is>
          <t>2026-09-01</t>
        </is>
      </c>
      <c r="B267" s="11" t="inlineStr">
        <is>
          <t>ecom</t>
        </is>
      </c>
      <c r="C267" s="11" t="inlineStr">
        <is>
          <t>Shopee Ecom</t>
        </is>
      </c>
      <c r="D267" s="11" t="inlineStr">
        <is>
          <t>04.15-20kg</t>
        </is>
      </c>
      <c r="E267" s="11" t="inlineStr">
        <is>
          <t>Bình Thuận</t>
        </is>
      </c>
      <c r="F267" s="11" t="n">
        <v>15.25</v>
      </c>
      <c r="G267" s="11" t="n">
        <v>256.86</v>
      </c>
      <c r="H267" s="11" t="n">
        <v>0</v>
      </c>
      <c r="I267" s="11" t="n">
        <v>9</v>
      </c>
    </row>
    <row r="268" ht="15.75" customHeight="1" s="57">
      <c r="A268" s="39" t="inlineStr">
        <is>
          <t>2026-09-01</t>
        </is>
      </c>
      <c r="B268" s="11" t="inlineStr">
        <is>
          <t>ecom</t>
        </is>
      </c>
      <c r="C268" s="11" t="inlineStr">
        <is>
          <t>Shopee Ecom</t>
        </is>
      </c>
      <c r="D268" s="11" t="inlineStr">
        <is>
          <t>04.15-20kg</t>
        </is>
      </c>
      <c r="E268" s="11" t="inlineStr">
        <is>
          <t>Khánh Hòa</t>
        </is>
      </c>
      <c r="F268" s="11" t="n">
        <v>20.49</v>
      </c>
      <c r="G268" s="11" t="n">
        <v>345.16</v>
      </c>
      <c r="H268" s="11" t="n">
        <v>0</v>
      </c>
      <c r="I268" s="11" t="n">
        <v>9</v>
      </c>
    </row>
    <row r="269" ht="15.75" customHeight="1" s="57">
      <c r="A269" s="39" t="inlineStr">
        <is>
          <t>2026-09-01</t>
        </is>
      </c>
      <c r="B269" s="11" t="inlineStr">
        <is>
          <t>ecom</t>
        </is>
      </c>
      <c r="C269" s="11" t="inlineStr">
        <is>
          <t>Shopee Ecom</t>
        </is>
      </c>
      <c r="D269" s="11" t="inlineStr">
        <is>
          <t>04.15-20kg</t>
        </is>
      </c>
      <c r="E269" s="11" t="inlineStr">
        <is>
          <t>Lâm Đồng</t>
        </is>
      </c>
      <c r="F269" s="11" t="n">
        <v>25.25</v>
      </c>
      <c r="G269" s="11" t="n">
        <v>425.43</v>
      </c>
      <c r="H269" s="11" t="n">
        <v>0</v>
      </c>
      <c r="I269" s="11" t="n">
        <v>9</v>
      </c>
    </row>
    <row r="270" ht="15.75" customHeight="1" s="57">
      <c r="A270" s="39" t="inlineStr">
        <is>
          <t>2026-09-01</t>
        </is>
      </c>
      <c r="B270" s="11" t="inlineStr">
        <is>
          <t>ecom</t>
        </is>
      </c>
      <c r="C270" s="11" t="inlineStr">
        <is>
          <t>Shopee Ecom</t>
        </is>
      </c>
      <c r="D270" s="11" t="inlineStr">
        <is>
          <t>04.15-20kg</t>
        </is>
      </c>
      <c r="E270" s="11" t="inlineStr">
        <is>
          <t>Ninh Thuận</t>
        </is>
      </c>
      <c r="F270" s="11" t="n">
        <v>6.67</v>
      </c>
      <c r="G270" s="11" t="n">
        <v>112.38</v>
      </c>
      <c r="H270" s="11" t="n">
        <v>0</v>
      </c>
      <c r="I270" s="11" t="n">
        <v>9</v>
      </c>
    </row>
    <row r="271" ht="15.75" customHeight="1" s="57">
      <c r="A271" s="39" t="inlineStr">
        <is>
          <t>2026-09-01</t>
        </is>
      </c>
      <c r="B271" s="11" t="inlineStr">
        <is>
          <t>ecom</t>
        </is>
      </c>
      <c r="C271" s="11" t="inlineStr">
        <is>
          <t>Shopee Ecom</t>
        </is>
      </c>
      <c r="D271" s="11" t="inlineStr">
        <is>
          <t>04.15-20kg</t>
        </is>
      </c>
      <c r="E271" s="11" t="inlineStr">
        <is>
          <t>Đắk Nông</t>
        </is>
      </c>
      <c r="F271" s="11" t="n">
        <v>7.62</v>
      </c>
      <c r="G271" s="11" t="n">
        <v>128.43</v>
      </c>
      <c r="H271" s="11" t="n">
        <v>0</v>
      </c>
      <c r="I271" s="11" t="n">
        <v>9</v>
      </c>
    </row>
    <row r="272" ht="15.75" customHeight="1" s="57">
      <c r="A272" s="39" t="inlineStr">
        <is>
          <t>2026-09-01</t>
        </is>
      </c>
      <c r="B272" s="11" t="inlineStr">
        <is>
          <t>ecom</t>
        </is>
      </c>
      <c r="C272" s="11" t="inlineStr">
        <is>
          <t>Shopee Ecom</t>
        </is>
      </c>
      <c r="D272" s="11" t="inlineStr">
        <is>
          <t>05.&gt;=20kg</t>
        </is>
      </c>
      <c r="E272" s="11" t="inlineStr">
        <is>
          <t>Bình Thuận</t>
        </is>
      </c>
      <c r="F272" s="11" t="n">
        <v>15.25</v>
      </c>
      <c r="G272" s="11" t="n">
        <v>537.04</v>
      </c>
      <c r="H272" s="11" t="n">
        <v>0</v>
      </c>
      <c r="I272" s="11" t="n">
        <v>9</v>
      </c>
    </row>
    <row r="273" ht="15.75" customHeight="1" s="57">
      <c r="A273" s="39" t="inlineStr">
        <is>
          <t>2026-09-01</t>
        </is>
      </c>
      <c r="B273" s="11" t="inlineStr">
        <is>
          <t>ecom</t>
        </is>
      </c>
      <c r="C273" s="11" t="inlineStr">
        <is>
          <t>Shopee Ecom</t>
        </is>
      </c>
      <c r="D273" s="11" t="inlineStr">
        <is>
          <t>05.&gt;=20kg</t>
        </is>
      </c>
      <c r="E273" s="11" t="inlineStr">
        <is>
          <t>Khánh Hòa</t>
        </is>
      </c>
      <c r="F273" s="11" t="n">
        <v>11.91</v>
      </c>
      <c r="G273" s="11" t="n">
        <v>419.57</v>
      </c>
      <c r="H273" s="11" t="n">
        <v>0</v>
      </c>
      <c r="I273" s="11" t="n">
        <v>9</v>
      </c>
    </row>
    <row r="274" ht="15.75" customHeight="1" s="57">
      <c r="A274" s="39" t="inlineStr">
        <is>
          <t>2026-09-01</t>
        </is>
      </c>
      <c r="B274" s="11" t="inlineStr">
        <is>
          <t>ecom</t>
        </is>
      </c>
      <c r="C274" s="11" t="inlineStr">
        <is>
          <t>Shopee Ecom</t>
        </is>
      </c>
      <c r="D274" s="11" t="inlineStr">
        <is>
          <t>05.&gt;=20kg</t>
        </is>
      </c>
      <c r="E274" s="11" t="inlineStr">
        <is>
          <t>Lâm Đồng</t>
        </is>
      </c>
      <c r="F274" s="11" t="n">
        <v>23.35</v>
      </c>
      <c r="G274" s="11" t="n">
        <v>822.35</v>
      </c>
      <c r="H274" s="11" t="n">
        <v>0</v>
      </c>
      <c r="I274" s="11" t="n">
        <v>9</v>
      </c>
    </row>
    <row r="275" ht="15.75" customHeight="1" s="57">
      <c r="A275" s="39" t="inlineStr">
        <is>
          <t>2026-09-01</t>
        </is>
      </c>
      <c r="B275" s="11" t="inlineStr">
        <is>
          <t>ecom</t>
        </is>
      </c>
      <c r="C275" s="11" t="inlineStr">
        <is>
          <t>Shopee Ecom</t>
        </is>
      </c>
      <c r="D275" s="11" t="inlineStr">
        <is>
          <t>05.&gt;=20kg</t>
        </is>
      </c>
      <c r="E275" s="11" t="inlineStr">
        <is>
          <t>Ninh Thuận</t>
        </is>
      </c>
      <c r="F275" s="11" t="n">
        <v>2.38</v>
      </c>
      <c r="G275" s="11" t="n">
        <v>83.91</v>
      </c>
      <c r="H275" s="11" t="n">
        <v>0</v>
      </c>
      <c r="I275" s="11" t="n">
        <v>9</v>
      </c>
    </row>
    <row r="276" ht="15.75" customHeight="1" s="57">
      <c r="A276" s="39" t="inlineStr">
        <is>
          <t>2026-09-01</t>
        </is>
      </c>
      <c r="B276" s="11" t="inlineStr">
        <is>
          <t>ecom</t>
        </is>
      </c>
      <c r="C276" s="11" t="inlineStr">
        <is>
          <t>Shopee Ecom</t>
        </is>
      </c>
      <c r="D276" s="11" t="inlineStr">
        <is>
          <t>05.&gt;=20kg</t>
        </is>
      </c>
      <c r="E276" s="11" t="inlineStr">
        <is>
          <t>Đắk Nông</t>
        </is>
      </c>
      <c r="F276" s="11" t="n">
        <v>9.050000000000001</v>
      </c>
      <c r="G276" s="11" t="n">
        <v>318.87</v>
      </c>
      <c r="H276" s="11" t="n">
        <v>0</v>
      </c>
      <c r="I276" s="11" t="n">
        <v>9</v>
      </c>
    </row>
    <row r="277" ht="15.75" customHeight="1" s="57">
      <c r="A277" s="39" t="inlineStr">
        <is>
          <t>2026-09-01</t>
        </is>
      </c>
      <c r="B277" s="11" t="inlineStr">
        <is>
          <t>ecom</t>
        </is>
      </c>
      <c r="C277" s="11" t="inlineStr">
        <is>
          <t>TTS</t>
        </is>
      </c>
      <c r="D277" s="11" t="inlineStr">
        <is>
          <t>01.0-5kg</t>
        </is>
      </c>
      <c r="E277" s="11" t="inlineStr">
        <is>
          <t>Bình Thuận</t>
        </is>
      </c>
      <c r="F277" s="11" t="n">
        <v>111505.92</v>
      </c>
      <c r="G277" s="11" t="n">
        <v>85469.28999999999</v>
      </c>
      <c r="H277" s="11" t="n">
        <v>0</v>
      </c>
      <c r="I277" s="11" t="n">
        <v>9</v>
      </c>
    </row>
    <row r="278" ht="15.75" customHeight="1" s="57">
      <c r="A278" s="39" t="inlineStr">
        <is>
          <t>2026-09-01</t>
        </is>
      </c>
      <c r="B278" s="11" t="inlineStr">
        <is>
          <t>ecom</t>
        </is>
      </c>
      <c r="C278" s="11" t="inlineStr">
        <is>
          <t>TTS</t>
        </is>
      </c>
      <c r="D278" s="11" t="inlineStr">
        <is>
          <t>01.0-5kg</t>
        </is>
      </c>
      <c r="E278" s="11" t="inlineStr">
        <is>
          <t>Khánh Hòa</t>
        </is>
      </c>
      <c r="F278" s="11" t="n">
        <v>130386.75</v>
      </c>
      <c r="G278" s="11" t="n">
        <v>99941.44</v>
      </c>
      <c r="H278" s="11" t="n">
        <v>0</v>
      </c>
      <c r="I278" s="11" t="n">
        <v>9</v>
      </c>
    </row>
    <row r="279" ht="15.75" customHeight="1" s="57">
      <c r="A279" s="39" t="inlineStr">
        <is>
          <t>2026-09-01</t>
        </is>
      </c>
      <c r="B279" s="11" t="inlineStr">
        <is>
          <t>ecom</t>
        </is>
      </c>
      <c r="C279" s="11" t="inlineStr">
        <is>
          <t>TTS</t>
        </is>
      </c>
      <c r="D279" s="11" t="inlineStr">
        <is>
          <t>01.0-5kg</t>
        </is>
      </c>
      <c r="E279" s="11" t="inlineStr">
        <is>
          <t>Lâm Đồng</t>
        </is>
      </c>
      <c r="F279" s="11" t="n">
        <v>120013.48</v>
      </c>
      <c r="G279" s="11" t="n">
        <v>91990.33</v>
      </c>
      <c r="H279" s="11" t="n">
        <v>0</v>
      </c>
      <c r="I279" s="11" t="n">
        <v>9</v>
      </c>
    </row>
    <row r="280" ht="15.75" customHeight="1" s="57">
      <c r="A280" s="39" t="inlineStr">
        <is>
          <t>2026-09-01</t>
        </is>
      </c>
      <c r="B280" s="11" t="inlineStr">
        <is>
          <t>ecom</t>
        </is>
      </c>
      <c r="C280" s="11" t="inlineStr">
        <is>
          <t>TTS</t>
        </is>
      </c>
      <c r="D280" s="11" t="inlineStr">
        <is>
          <t>01.0-5kg</t>
        </is>
      </c>
      <c r="E280" s="11" t="inlineStr">
        <is>
          <t>Ninh Thuận</t>
        </is>
      </c>
      <c r="F280" s="11" t="n">
        <v>50440.73</v>
      </c>
      <c r="G280" s="11" t="n">
        <v>38662.82</v>
      </c>
      <c r="H280" s="11" t="n">
        <v>0</v>
      </c>
      <c r="I280" s="11" t="n">
        <v>9</v>
      </c>
    </row>
    <row r="281" ht="15.75" customHeight="1" s="57">
      <c r="A281" s="39" t="inlineStr">
        <is>
          <t>2026-09-01</t>
        </is>
      </c>
      <c r="B281" s="11" t="inlineStr">
        <is>
          <t>ecom</t>
        </is>
      </c>
      <c r="C281" s="11" t="inlineStr">
        <is>
          <t>TTS</t>
        </is>
      </c>
      <c r="D281" s="11" t="inlineStr">
        <is>
          <t>01.0-5kg</t>
        </is>
      </c>
      <c r="E281" s="11" t="inlineStr">
        <is>
          <t>Đắk Nông</t>
        </is>
      </c>
      <c r="F281" s="11" t="n">
        <v>74299.05</v>
      </c>
      <c r="G281" s="11" t="n">
        <v>56950.22</v>
      </c>
      <c r="H281" s="11" t="n">
        <v>0</v>
      </c>
      <c r="I281" s="11" t="n">
        <v>9</v>
      </c>
    </row>
    <row r="282" ht="15.75" customHeight="1" s="57">
      <c r="A282" s="39" t="inlineStr">
        <is>
          <t>2026-09-01</t>
        </is>
      </c>
      <c r="B282" s="11" t="inlineStr">
        <is>
          <t>ecom</t>
        </is>
      </c>
      <c r="C282" s="11" t="inlineStr">
        <is>
          <t>TTS</t>
        </is>
      </c>
      <c r="D282" s="11" t="inlineStr">
        <is>
          <t>02.5-10kg</t>
        </is>
      </c>
      <c r="E282" s="11" t="inlineStr">
        <is>
          <t>Bình Thuận</t>
        </is>
      </c>
      <c r="F282" s="11" t="n">
        <v>4975.41</v>
      </c>
      <c r="G282" s="11" t="n">
        <v>31584.42</v>
      </c>
      <c r="H282" s="11" t="n">
        <v>0</v>
      </c>
      <c r="I282" s="11" t="n">
        <v>9</v>
      </c>
    </row>
    <row r="283" ht="15.75" customHeight="1" s="57">
      <c r="A283" s="39" t="inlineStr">
        <is>
          <t>2026-09-01</t>
        </is>
      </c>
      <c r="B283" s="11" t="inlineStr">
        <is>
          <t>ecom</t>
        </is>
      </c>
      <c r="C283" s="11" t="inlineStr">
        <is>
          <t>TTS</t>
        </is>
      </c>
      <c r="D283" s="11" t="inlineStr">
        <is>
          <t>02.5-10kg</t>
        </is>
      </c>
      <c r="E283" s="11" t="inlineStr">
        <is>
          <t>Khánh Hòa</t>
        </is>
      </c>
      <c r="F283" s="11" t="n">
        <v>5196.5</v>
      </c>
      <c r="G283" s="11" t="n">
        <v>32987.88</v>
      </c>
      <c r="H283" s="11" t="n">
        <v>0</v>
      </c>
      <c r="I283" s="11" t="n">
        <v>9</v>
      </c>
    </row>
    <row r="284" ht="15.75" customHeight="1" s="57">
      <c r="A284" s="39" t="inlineStr">
        <is>
          <t>2026-09-01</t>
        </is>
      </c>
      <c r="B284" s="11" t="inlineStr">
        <is>
          <t>ecom</t>
        </is>
      </c>
      <c r="C284" s="11" t="inlineStr">
        <is>
          <t>TTS</t>
        </is>
      </c>
      <c r="D284" s="11" t="inlineStr">
        <is>
          <t>02.5-10kg</t>
        </is>
      </c>
      <c r="E284" s="11" t="inlineStr">
        <is>
          <t>Lâm Đồng</t>
        </is>
      </c>
      <c r="F284" s="11" t="n">
        <v>6333.05</v>
      </c>
      <c r="G284" s="11" t="n">
        <v>40202.84</v>
      </c>
      <c r="H284" s="11" t="n">
        <v>0</v>
      </c>
      <c r="I284" s="11" t="n">
        <v>9</v>
      </c>
    </row>
    <row r="285" ht="15.75" customHeight="1" s="57">
      <c r="A285" s="39" t="inlineStr">
        <is>
          <t>2026-09-01</t>
        </is>
      </c>
      <c r="B285" s="11" t="inlineStr">
        <is>
          <t>ecom</t>
        </is>
      </c>
      <c r="C285" s="11" t="inlineStr">
        <is>
          <t>TTS</t>
        </is>
      </c>
      <c r="D285" s="11" t="inlineStr">
        <is>
          <t>02.5-10kg</t>
        </is>
      </c>
      <c r="E285" s="11" t="inlineStr">
        <is>
          <t>Ninh Thuận</t>
        </is>
      </c>
      <c r="F285" s="11" t="n">
        <v>1983</v>
      </c>
      <c r="G285" s="11" t="n">
        <v>12588.3</v>
      </c>
      <c r="H285" s="11" t="n">
        <v>0</v>
      </c>
      <c r="I285" s="11" t="n">
        <v>9</v>
      </c>
    </row>
    <row r="286" ht="15.75" customHeight="1" s="57">
      <c r="A286" s="39" t="inlineStr">
        <is>
          <t>2026-09-01</t>
        </is>
      </c>
      <c r="B286" s="11" t="inlineStr">
        <is>
          <t>ecom</t>
        </is>
      </c>
      <c r="C286" s="11" t="inlineStr">
        <is>
          <t>TTS</t>
        </is>
      </c>
      <c r="D286" s="11" t="inlineStr">
        <is>
          <t>02.5-10kg</t>
        </is>
      </c>
      <c r="E286" s="11" t="inlineStr">
        <is>
          <t>Đắk Nông</t>
        </is>
      </c>
      <c r="F286" s="11" t="n">
        <v>3367.63</v>
      </c>
      <c r="G286" s="11" t="n">
        <v>21378.04</v>
      </c>
      <c r="H286" s="11" t="n">
        <v>0</v>
      </c>
      <c r="I286" s="11" t="n">
        <v>9</v>
      </c>
    </row>
    <row r="287" ht="15.75" customHeight="1" s="57">
      <c r="A287" s="39" t="inlineStr">
        <is>
          <t>2026-09-01</t>
        </is>
      </c>
      <c r="B287" s="11" t="inlineStr">
        <is>
          <t>ecom</t>
        </is>
      </c>
      <c r="C287" s="11" t="inlineStr">
        <is>
          <t>TTS</t>
        </is>
      </c>
      <c r="D287" s="11" t="inlineStr">
        <is>
          <t>03.10-15kg</t>
        </is>
      </c>
      <c r="E287" s="11" t="inlineStr">
        <is>
          <t>Bình Thuận</t>
        </is>
      </c>
      <c r="F287" s="11" t="n">
        <v>1889.07</v>
      </c>
      <c r="G287" s="11" t="n">
        <v>21776.05</v>
      </c>
      <c r="H287" s="11" t="n">
        <v>0</v>
      </c>
      <c r="I287" s="11" t="n">
        <v>9</v>
      </c>
    </row>
    <row r="288" ht="15.75" customHeight="1" s="57">
      <c r="A288" s="39" t="inlineStr">
        <is>
          <t>2026-09-01</t>
        </is>
      </c>
      <c r="B288" s="11" t="inlineStr">
        <is>
          <t>ecom</t>
        </is>
      </c>
      <c r="C288" s="11" t="inlineStr">
        <is>
          <t>TTS</t>
        </is>
      </c>
      <c r="D288" s="11" t="inlineStr">
        <is>
          <t>03.10-15kg</t>
        </is>
      </c>
      <c r="E288" s="11" t="inlineStr">
        <is>
          <t>Khánh Hòa</t>
        </is>
      </c>
      <c r="F288" s="11" t="n">
        <v>2238.34</v>
      </c>
      <c r="G288" s="11" t="n">
        <v>25802.23</v>
      </c>
      <c r="H288" s="11" t="n">
        <v>0</v>
      </c>
      <c r="I288" s="11" t="n">
        <v>9</v>
      </c>
    </row>
    <row r="289" ht="15.75" customHeight="1" s="57">
      <c r="A289" s="39" t="inlineStr">
        <is>
          <t>2026-09-01</t>
        </is>
      </c>
      <c r="B289" s="11" t="inlineStr">
        <is>
          <t>ecom</t>
        </is>
      </c>
      <c r="C289" s="11" t="inlineStr">
        <is>
          <t>TTS</t>
        </is>
      </c>
      <c r="D289" s="11" t="inlineStr">
        <is>
          <t>03.10-15kg</t>
        </is>
      </c>
      <c r="E289" s="11" t="inlineStr">
        <is>
          <t>Lâm Đồng</t>
        </is>
      </c>
      <c r="F289" s="11" t="n">
        <v>2500.42</v>
      </c>
      <c r="G289" s="11" t="n">
        <v>28823.36</v>
      </c>
      <c r="H289" s="11" t="n">
        <v>0</v>
      </c>
      <c r="I289" s="11" t="n">
        <v>9</v>
      </c>
    </row>
    <row r="290" ht="15.75" customHeight="1" s="57">
      <c r="A290" s="39" t="inlineStr">
        <is>
          <t>2026-09-01</t>
        </is>
      </c>
      <c r="B290" s="11" t="inlineStr">
        <is>
          <t>ecom</t>
        </is>
      </c>
      <c r="C290" s="11" t="inlineStr">
        <is>
          <t>TTS</t>
        </is>
      </c>
      <c r="D290" s="11" t="inlineStr">
        <is>
          <t>03.10-15kg</t>
        </is>
      </c>
      <c r="E290" s="11" t="inlineStr">
        <is>
          <t>Ninh Thuận</t>
        </is>
      </c>
      <c r="F290" s="11" t="n">
        <v>833.99</v>
      </c>
      <c r="G290" s="11" t="n">
        <v>9613.77</v>
      </c>
      <c r="H290" s="11" t="n">
        <v>0</v>
      </c>
      <c r="I290" s="11" t="n">
        <v>9</v>
      </c>
    </row>
    <row r="291" ht="15.75" customHeight="1" s="57">
      <c r="A291" s="39" t="inlineStr">
        <is>
          <t>2026-09-01</t>
        </is>
      </c>
      <c r="B291" s="11" t="inlineStr">
        <is>
          <t>ecom</t>
        </is>
      </c>
      <c r="C291" s="11" t="inlineStr">
        <is>
          <t>TTS</t>
        </is>
      </c>
      <c r="D291" s="11" t="inlineStr">
        <is>
          <t>03.10-15kg</t>
        </is>
      </c>
      <c r="E291" s="11" t="inlineStr">
        <is>
          <t>Đắk Nông</t>
        </is>
      </c>
      <c r="F291" s="11" t="n">
        <v>1237.76</v>
      </c>
      <c r="G291" s="11" t="n">
        <v>14268.1</v>
      </c>
      <c r="H291" s="11" t="n">
        <v>0</v>
      </c>
      <c r="I291" s="11" t="n">
        <v>9</v>
      </c>
    </row>
    <row r="292" ht="15.75" customHeight="1" s="57">
      <c r="A292" s="39" t="inlineStr">
        <is>
          <t>2026-09-01</t>
        </is>
      </c>
      <c r="B292" s="11" t="inlineStr">
        <is>
          <t>ecom</t>
        </is>
      </c>
      <c r="C292" s="11" t="inlineStr">
        <is>
          <t>TTS</t>
        </is>
      </c>
      <c r="D292" s="11" t="inlineStr">
        <is>
          <t>04.15-20kg</t>
        </is>
      </c>
      <c r="E292" s="11" t="inlineStr">
        <is>
          <t>Bình Thuận</t>
        </is>
      </c>
      <c r="F292" s="11" t="n">
        <v>667.4</v>
      </c>
      <c r="G292" s="11" t="n">
        <v>11038.69</v>
      </c>
      <c r="H292" s="11" t="n">
        <v>0</v>
      </c>
      <c r="I292" s="11" t="n">
        <v>9</v>
      </c>
    </row>
    <row r="293" ht="15.75" customHeight="1" s="57">
      <c r="A293" s="39" t="inlineStr">
        <is>
          <t>2026-09-01</t>
        </is>
      </c>
      <c r="B293" s="11" t="inlineStr">
        <is>
          <t>ecom</t>
        </is>
      </c>
      <c r="C293" s="11" t="inlineStr">
        <is>
          <t>TTS</t>
        </is>
      </c>
      <c r="D293" s="11" t="inlineStr">
        <is>
          <t>04.15-20kg</t>
        </is>
      </c>
      <c r="E293" s="11" t="inlineStr">
        <is>
          <t>Khánh Hòa</t>
        </is>
      </c>
      <c r="F293" s="11" t="n">
        <v>903.54</v>
      </c>
      <c r="G293" s="11" t="n">
        <v>14944.29</v>
      </c>
      <c r="H293" s="11" t="n">
        <v>0</v>
      </c>
      <c r="I293" s="11" t="n">
        <v>9</v>
      </c>
    </row>
    <row r="294" ht="15.75" customHeight="1" s="57">
      <c r="A294" s="39" t="inlineStr">
        <is>
          <t>2026-09-01</t>
        </is>
      </c>
      <c r="B294" s="11" t="inlineStr">
        <is>
          <t>ecom</t>
        </is>
      </c>
      <c r="C294" s="11" t="inlineStr">
        <is>
          <t>TTS</t>
        </is>
      </c>
      <c r="D294" s="11" t="inlineStr">
        <is>
          <t>04.15-20kg</t>
        </is>
      </c>
      <c r="E294" s="11" t="inlineStr">
        <is>
          <t>Lâm Đồng</t>
        </is>
      </c>
      <c r="F294" s="11" t="n">
        <v>1008.89</v>
      </c>
      <c r="G294" s="11" t="n">
        <v>16686.79</v>
      </c>
      <c r="H294" s="11" t="n">
        <v>0</v>
      </c>
      <c r="I294" s="11" t="n">
        <v>9</v>
      </c>
    </row>
    <row r="295" ht="15.75" customHeight="1" s="57">
      <c r="A295" s="39" t="inlineStr">
        <is>
          <t>2026-09-01</t>
        </is>
      </c>
      <c r="B295" s="11" t="inlineStr">
        <is>
          <t>ecom</t>
        </is>
      </c>
      <c r="C295" s="11" t="inlineStr">
        <is>
          <t>TTS</t>
        </is>
      </c>
      <c r="D295" s="11" t="inlineStr">
        <is>
          <t>04.15-20kg</t>
        </is>
      </c>
      <c r="E295" s="11" t="inlineStr">
        <is>
          <t>Ninh Thuận</t>
        </is>
      </c>
      <c r="F295" s="11" t="n">
        <v>283.88</v>
      </c>
      <c r="G295" s="11" t="n">
        <v>4695.31</v>
      </c>
      <c r="H295" s="11" t="n">
        <v>0</v>
      </c>
      <c r="I295" s="11" t="n">
        <v>9</v>
      </c>
    </row>
    <row r="296" ht="15.75" customHeight="1" s="57">
      <c r="A296" s="39" t="inlineStr">
        <is>
          <t>2026-09-01</t>
        </is>
      </c>
      <c r="B296" s="11" t="inlineStr">
        <is>
          <t>ecom</t>
        </is>
      </c>
      <c r="C296" s="11" t="inlineStr">
        <is>
          <t>TTS</t>
        </is>
      </c>
      <c r="D296" s="11" t="inlineStr">
        <is>
          <t>04.15-20kg</t>
        </is>
      </c>
      <c r="E296" s="11" t="inlineStr">
        <is>
          <t>Đắk Nông</t>
        </is>
      </c>
      <c r="F296" s="11" t="n">
        <v>509.63</v>
      </c>
      <c r="G296" s="11" t="n">
        <v>8429.23</v>
      </c>
      <c r="H296" s="11" t="n">
        <v>0</v>
      </c>
      <c r="I296" s="11" t="n">
        <v>9</v>
      </c>
    </row>
    <row r="297" ht="15.75" customHeight="1" s="57">
      <c r="A297" s="39" t="inlineStr">
        <is>
          <t>2026-09-01</t>
        </is>
      </c>
      <c r="B297" s="11" t="inlineStr">
        <is>
          <t>ecom</t>
        </is>
      </c>
      <c r="C297" s="11" t="inlineStr">
        <is>
          <t>TTS</t>
        </is>
      </c>
      <c r="D297" s="11" t="inlineStr">
        <is>
          <t>05.&gt;=20kg</t>
        </is>
      </c>
      <c r="E297" s="11" t="inlineStr">
        <is>
          <t>Bình Thuận</t>
        </is>
      </c>
      <c r="F297" s="11" t="n">
        <v>671.03</v>
      </c>
      <c r="G297" s="11" t="n">
        <v>24078.27</v>
      </c>
      <c r="H297" s="11" t="n">
        <v>0</v>
      </c>
      <c r="I297" s="11" t="n">
        <v>9</v>
      </c>
    </row>
    <row r="298" ht="15.75" customHeight="1" s="57">
      <c r="A298" s="39" t="inlineStr">
        <is>
          <t>2026-09-01</t>
        </is>
      </c>
      <c r="B298" s="11" t="inlineStr">
        <is>
          <t>ecom</t>
        </is>
      </c>
      <c r="C298" s="11" t="inlineStr">
        <is>
          <t>TTS</t>
        </is>
      </c>
      <c r="D298" s="11" t="inlineStr">
        <is>
          <t>05.&gt;=20kg</t>
        </is>
      </c>
      <c r="E298" s="11" t="inlineStr">
        <is>
          <t>Khánh Hòa</t>
        </is>
      </c>
      <c r="F298" s="11" t="n">
        <v>931.5599999999999</v>
      </c>
      <c r="G298" s="11" t="n">
        <v>33426.52</v>
      </c>
      <c r="H298" s="11" t="n">
        <v>0</v>
      </c>
      <c r="I298" s="11" t="n">
        <v>9</v>
      </c>
    </row>
    <row r="299" ht="15.75" customHeight="1" s="57">
      <c r="A299" s="39" t="inlineStr">
        <is>
          <t>2026-09-01</t>
        </is>
      </c>
      <c r="B299" s="11" t="inlineStr">
        <is>
          <t>ecom</t>
        </is>
      </c>
      <c r="C299" s="11" t="inlineStr">
        <is>
          <t>TTS</t>
        </is>
      </c>
      <c r="D299" s="11" t="inlineStr">
        <is>
          <t>05.&gt;=20kg</t>
        </is>
      </c>
      <c r="E299" s="11" t="inlineStr">
        <is>
          <t>Lâm Đồng</t>
        </is>
      </c>
      <c r="F299" s="11" t="n">
        <v>922.74</v>
      </c>
      <c r="G299" s="11" t="n">
        <v>33109.94</v>
      </c>
      <c r="H299" s="11" t="n">
        <v>0</v>
      </c>
      <c r="I299" s="11" t="n">
        <v>9</v>
      </c>
    </row>
    <row r="300" ht="15.75" customHeight="1" s="57">
      <c r="A300" s="39" t="inlineStr">
        <is>
          <t>2026-09-01</t>
        </is>
      </c>
      <c r="B300" s="11" t="inlineStr">
        <is>
          <t>ecom</t>
        </is>
      </c>
      <c r="C300" s="11" t="inlineStr">
        <is>
          <t>TTS</t>
        </is>
      </c>
      <c r="D300" s="11" t="inlineStr">
        <is>
          <t>05.&gt;=20kg</t>
        </is>
      </c>
      <c r="E300" s="11" t="inlineStr">
        <is>
          <t>Ninh Thuận</t>
        </is>
      </c>
      <c r="F300" s="11" t="n">
        <v>290.11</v>
      </c>
      <c r="G300" s="11" t="n">
        <v>10409.71</v>
      </c>
      <c r="H300" s="11" t="n">
        <v>0</v>
      </c>
      <c r="I300" s="11" t="n">
        <v>9</v>
      </c>
    </row>
    <row r="301" ht="15.75" customHeight="1" s="57">
      <c r="A301" s="39" t="inlineStr">
        <is>
          <t>2026-09-01</t>
        </is>
      </c>
      <c r="B301" s="11" t="inlineStr">
        <is>
          <t>ecom</t>
        </is>
      </c>
      <c r="C301" s="11" t="inlineStr">
        <is>
          <t>TTS</t>
        </is>
      </c>
      <c r="D301" s="11" t="inlineStr">
        <is>
          <t>05.&gt;=20kg</t>
        </is>
      </c>
      <c r="E301" s="11" t="inlineStr">
        <is>
          <t>Đắk Nông</t>
        </is>
      </c>
      <c r="F301" s="11" t="n">
        <v>427.12</v>
      </c>
      <c r="G301" s="11" t="n">
        <v>15325.92</v>
      </c>
      <c r="H301" s="11" t="n">
        <v>0</v>
      </c>
      <c r="I301" s="11" t="n">
        <v>9</v>
      </c>
    </row>
    <row r="302" ht="15.75" customHeight="1" s="57">
      <c r="A302" s="39" t="inlineStr">
        <is>
          <t>2026-10-01</t>
        </is>
      </c>
      <c r="B302" s="11" t="inlineStr">
        <is>
          <t>sme</t>
        </is>
      </c>
      <c r="C302" s="11" t="inlineStr">
        <is>
          <t>SME</t>
        </is>
      </c>
      <c r="D302" s="11" t="inlineStr">
        <is>
          <t>01.0-5kg</t>
        </is>
      </c>
      <c r="E302" s="11" t="inlineStr">
        <is>
          <t>Bình Thuận</t>
        </is>
      </c>
      <c r="F302" s="11" t="n">
        <v>166158.18</v>
      </c>
      <c r="G302" s="11" t="n">
        <v>115047.92</v>
      </c>
      <c r="H302" s="11" t="n">
        <v>0</v>
      </c>
      <c r="I302" s="11" t="n">
        <v>10</v>
      </c>
    </row>
    <row r="303" ht="15.75" customHeight="1" s="57">
      <c r="A303" s="39" t="inlineStr">
        <is>
          <t>2026-10-01</t>
        </is>
      </c>
      <c r="B303" s="11" t="inlineStr">
        <is>
          <t>sme</t>
        </is>
      </c>
      <c r="C303" s="11" t="inlineStr">
        <is>
          <t>SME</t>
        </is>
      </c>
      <c r="D303" s="11" t="inlineStr">
        <is>
          <t>01.0-5kg</t>
        </is>
      </c>
      <c r="E303" s="11" t="inlineStr">
        <is>
          <t>Khánh Hòa</t>
        </is>
      </c>
      <c r="F303" s="11" t="n">
        <v>204634.08</v>
      </c>
      <c r="G303" s="11" t="n">
        <v>141688.63</v>
      </c>
      <c r="H303" s="11" t="n">
        <v>0</v>
      </c>
      <c r="I303" s="11" t="n">
        <v>10</v>
      </c>
    </row>
    <row r="304" ht="15.75" customHeight="1" s="57">
      <c r="A304" s="39" t="inlineStr">
        <is>
          <t>2026-10-01</t>
        </is>
      </c>
      <c r="B304" s="11" t="inlineStr">
        <is>
          <t>sme</t>
        </is>
      </c>
      <c r="C304" s="11" t="inlineStr">
        <is>
          <t>SME</t>
        </is>
      </c>
      <c r="D304" s="11" t="inlineStr">
        <is>
          <t>01.0-5kg</t>
        </is>
      </c>
      <c r="E304" s="11" t="inlineStr">
        <is>
          <t>Lâm Đồng</t>
        </is>
      </c>
      <c r="F304" s="11" t="n">
        <v>222049.22</v>
      </c>
      <c r="G304" s="11" t="n">
        <v>153746.88</v>
      </c>
      <c r="H304" s="11" t="n">
        <v>0</v>
      </c>
      <c r="I304" s="11" t="n">
        <v>10</v>
      </c>
    </row>
    <row r="305" ht="15.75" customHeight="1" s="57">
      <c r="A305" s="39" t="inlineStr">
        <is>
          <t>2026-10-01</t>
        </is>
      </c>
      <c r="B305" s="11" t="inlineStr">
        <is>
          <t>sme</t>
        </is>
      </c>
      <c r="C305" s="11" t="inlineStr">
        <is>
          <t>SME</t>
        </is>
      </c>
      <c r="D305" s="11" t="inlineStr">
        <is>
          <t>01.0-5kg</t>
        </is>
      </c>
      <c r="E305" s="11" t="inlineStr">
        <is>
          <t>Ninh Thuận</t>
        </is>
      </c>
      <c r="F305" s="11" t="n">
        <v>66314.24000000001</v>
      </c>
      <c r="G305" s="11" t="n">
        <v>45915.98</v>
      </c>
      <c r="H305" s="11" t="n">
        <v>0</v>
      </c>
      <c r="I305" s="11" t="n">
        <v>10</v>
      </c>
    </row>
    <row r="306" ht="15.75" customHeight="1" s="57">
      <c r="A306" s="39" t="inlineStr">
        <is>
          <t>2026-10-01</t>
        </is>
      </c>
      <c r="B306" s="11" t="inlineStr">
        <is>
          <t>sme</t>
        </is>
      </c>
      <c r="C306" s="11" t="inlineStr">
        <is>
          <t>SME</t>
        </is>
      </c>
      <c r="D306" s="11" t="inlineStr">
        <is>
          <t>01.0-5kg</t>
        </is>
      </c>
      <c r="E306" s="11" t="inlineStr">
        <is>
          <t>Đắk Nông</t>
        </is>
      </c>
      <c r="F306" s="11" t="n">
        <v>87373.67999999999</v>
      </c>
      <c r="G306" s="11" t="n">
        <v>60497.53</v>
      </c>
      <c r="H306" s="11" t="n">
        <v>0</v>
      </c>
      <c r="I306" s="11" t="n">
        <v>10</v>
      </c>
    </row>
    <row r="307" ht="15.75" customHeight="1" s="57">
      <c r="A307" s="39" t="inlineStr">
        <is>
          <t>2026-10-01</t>
        </is>
      </c>
      <c r="B307" s="11" t="inlineStr">
        <is>
          <t>sme</t>
        </is>
      </c>
      <c r="C307" s="11" t="inlineStr">
        <is>
          <t>SME</t>
        </is>
      </c>
      <c r="D307" s="11" t="inlineStr">
        <is>
          <t>02.5-10kg</t>
        </is>
      </c>
      <c r="E307" s="11" t="inlineStr">
        <is>
          <t>Bình Thuận</t>
        </is>
      </c>
      <c r="F307" s="11" t="n">
        <v>10876.54</v>
      </c>
      <c r="G307" s="11" t="n">
        <v>66456.75</v>
      </c>
      <c r="H307" s="11" t="n">
        <v>0</v>
      </c>
      <c r="I307" s="11" t="n">
        <v>10</v>
      </c>
    </row>
    <row r="308" ht="15.75" customHeight="1" s="57">
      <c r="A308" s="39" t="inlineStr">
        <is>
          <t>2026-10-01</t>
        </is>
      </c>
      <c r="B308" s="11" t="inlineStr">
        <is>
          <t>sme</t>
        </is>
      </c>
      <c r="C308" s="11" t="inlineStr">
        <is>
          <t>SME</t>
        </is>
      </c>
      <c r="D308" s="11" t="inlineStr">
        <is>
          <t>02.5-10kg</t>
        </is>
      </c>
      <c r="E308" s="11" t="inlineStr">
        <is>
          <t>Khánh Hòa</t>
        </is>
      </c>
      <c r="F308" s="11" t="n">
        <v>10969.41</v>
      </c>
      <c r="G308" s="11" t="n">
        <v>67024.19</v>
      </c>
      <c r="H308" s="11" t="n">
        <v>0</v>
      </c>
      <c r="I308" s="11" t="n">
        <v>10</v>
      </c>
    </row>
    <row r="309" ht="15.75" customHeight="1" s="57">
      <c r="A309" s="39" t="inlineStr">
        <is>
          <t>2026-10-01</t>
        </is>
      </c>
      <c r="B309" s="11" t="inlineStr">
        <is>
          <t>sme</t>
        </is>
      </c>
      <c r="C309" s="11" t="inlineStr">
        <is>
          <t>SME</t>
        </is>
      </c>
      <c r="D309" s="11" t="inlineStr">
        <is>
          <t>02.5-10kg</t>
        </is>
      </c>
      <c r="E309" s="11" t="inlineStr">
        <is>
          <t>Lâm Đồng</t>
        </is>
      </c>
      <c r="F309" s="11" t="n">
        <v>14540.2</v>
      </c>
      <c r="G309" s="11" t="n">
        <v>88842.07000000001</v>
      </c>
      <c r="H309" s="11" t="n">
        <v>0</v>
      </c>
      <c r="I309" s="11" t="n">
        <v>10</v>
      </c>
    </row>
    <row r="310" ht="15.75" customHeight="1" s="57">
      <c r="A310" s="39" t="inlineStr">
        <is>
          <t>2026-10-01</t>
        </is>
      </c>
      <c r="B310" s="11" t="inlineStr">
        <is>
          <t>sme</t>
        </is>
      </c>
      <c r="C310" s="11" t="inlineStr">
        <is>
          <t>SME</t>
        </is>
      </c>
      <c r="D310" s="11" t="inlineStr">
        <is>
          <t>02.5-10kg</t>
        </is>
      </c>
      <c r="E310" s="11" t="inlineStr">
        <is>
          <t>Ninh Thuận</t>
        </is>
      </c>
      <c r="F310" s="11" t="n">
        <v>3955.03</v>
      </c>
      <c r="G310" s="11" t="n">
        <v>24165.6</v>
      </c>
      <c r="H310" s="11" t="n">
        <v>0</v>
      </c>
      <c r="I310" s="11" t="n">
        <v>10</v>
      </c>
    </row>
    <row r="311" ht="15.75" customHeight="1" s="57">
      <c r="A311" s="39" t="inlineStr">
        <is>
          <t>2026-10-01</t>
        </is>
      </c>
      <c r="B311" s="11" t="inlineStr">
        <is>
          <t>sme</t>
        </is>
      </c>
      <c r="C311" s="11" t="inlineStr">
        <is>
          <t>SME</t>
        </is>
      </c>
      <c r="D311" s="11" t="inlineStr">
        <is>
          <t>02.5-10kg</t>
        </is>
      </c>
      <c r="E311" s="11" t="inlineStr">
        <is>
          <t>Đắk Nông</t>
        </is>
      </c>
      <c r="F311" s="11" t="n">
        <v>5769.25</v>
      </c>
      <c r="G311" s="11" t="n">
        <v>35250.69</v>
      </c>
      <c r="H311" s="11" t="n">
        <v>0</v>
      </c>
      <c r="I311" s="11" t="n">
        <v>10</v>
      </c>
    </row>
    <row r="312" ht="15.75" customHeight="1" s="57">
      <c r="A312" s="39" t="inlineStr">
        <is>
          <t>2026-10-01</t>
        </is>
      </c>
      <c r="B312" s="11" t="inlineStr">
        <is>
          <t>sme</t>
        </is>
      </c>
      <c r="C312" s="11" t="inlineStr">
        <is>
          <t>SME</t>
        </is>
      </c>
      <c r="D312" s="11" t="inlineStr">
        <is>
          <t>03.10-15kg</t>
        </is>
      </c>
      <c r="E312" s="11" t="inlineStr">
        <is>
          <t>Bình Thuận</t>
        </is>
      </c>
      <c r="F312" s="11" t="n">
        <v>5488.89</v>
      </c>
      <c r="G312" s="11" t="n">
        <v>61996.96</v>
      </c>
      <c r="H312" s="11" t="n">
        <v>0</v>
      </c>
      <c r="I312" s="11" t="n">
        <v>10</v>
      </c>
    </row>
    <row r="313" ht="15.75" customHeight="1" s="57">
      <c r="A313" s="39" t="inlineStr">
        <is>
          <t>2026-10-01</t>
        </is>
      </c>
      <c r="B313" s="11" t="inlineStr">
        <is>
          <t>sme</t>
        </is>
      </c>
      <c r="C313" s="11" t="inlineStr">
        <is>
          <t>SME</t>
        </is>
      </c>
      <c r="D313" s="11" t="inlineStr">
        <is>
          <t>03.10-15kg</t>
        </is>
      </c>
      <c r="E313" s="11" t="inlineStr">
        <is>
          <t>Khánh Hòa</t>
        </is>
      </c>
      <c r="F313" s="11" t="n">
        <v>5674.62</v>
      </c>
      <c r="G313" s="11" t="n">
        <v>64094.85</v>
      </c>
      <c r="H313" s="11" t="n">
        <v>0</v>
      </c>
      <c r="I313" s="11" t="n">
        <v>10</v>
      </c>
    </row>
    <row r="314" ht="15.75" customHeight="1" s="57">
      <c r="A314" s="39" t="inlineStr">
        <is>
          <t>2026-10-01</t>
        </is>
      </c>
      <c r="B314" s="11" t="inlineStr">
        <is>
          <t>sme</t>
        </is>
      </c>
      <c r="C314" s="11" t="inlineStr">
        <is>
          <t>SME</t>
        </is>
      </c>
      <c r="D314" s="11" t="inlineStr">
        <is>
          <t>03.10-15kg</t>
        </is>
      </c>
      <c r="E314" s="11" t="inlineStr">
        <is>
          <t>Lâm Đồng</t>
        </is>
      </c>
      <c r="F314" s="11" t="n">
        <v>8295.17</v>
      </c>
      <c r="G314" s="11" t="n">
        <v>93693.91</v>
      </c>
      <c r="H314" s="11" t="n">
        <v>0</v>
      </c>
      <c r="I314" s="11" t="n">
        <v>10</v>
      </c>
    </row>
    <row r="315" ht="15.75" customHeight="1" s="57">
      <c r="A315" s="39" t="inlineStr">
        <is>
          <t>2026-10-01</t>
        </is>
      </c>
      <c r="B315" s="11" t="inlineStr">
        <is>
          <t>sme</t>
        </is>
      </c>
      <c r="C315" s="11" t="inlineStr">
        <is>
          <t>SME</t>
        </is>
      </c>
      <c r="D315" s="11" t="inlineStr">
        <is>
          <t>03.10-15kg</t>
        </is>
      </c>
      <c r="E315" s="11" t="inlineStr">
        <is>
          <t>Ninh Thuận</t>
        </is>
      </c>
      <c r="F315" s="11" t="n">
        <v>2206.82</v>
      </c>
      <c r="G315" s="11" t="n">
        <v>24926.05</v>
      </c>
      <c r="H315" s="11" t="n">
        <v>0</v>
      </c>
      <c r="I315" s="11" t="n">
        <v>10</v>
      </c>
    </row>
    <row r="316" ht="15.75" customHeight="1" s="57">
      <c r="A316" s="39" t="inlineStr">
        <is>
          <t>2026-10-01</t>
        </is>
      </c>
      <c r="B316" s="11" t="inlineStr">
        <is>
          <t>sme</t>
        </is>
      </c>
      <c r="C316" s="11" t="inlineStr">
        <is>
          <t>SME</t>
        </is>
      </c>
      <c r="D316" s="11" t="inlineStr">
        <is>
          <t>03.10-15kg</t>
        </is>
      </c>
      <c r="E316" s="11" t="inlineStr">
        <is>
          <t>Đắk Nông</t>
        </is>
      </c>
      <c r="F316" s="11" t="n">
        <v>3028.99</v>
      </c>
      <c r="G316" s="11" t="n">
        <v>34212.42</v>
      </c>
      <c r="H316" s="11" t="n">
        <v>0</v>
      </c>
      <c r="I316" s="11" t="n">
        <v>10</v>
      </c>
    </row>
    <row r="317" ht="15.75" customHeight="1" s="57">
      <c r="A317" s="39" t="inlineStr">
        <is>
          <t>2026-10-01</t>
        </is>
      </c>
      <c r="B317" s="11" t="inlineStr">
        <is>
          <t>sme</t>
        </is>
      </c>
      <c r="C317" s="11" t="inlineStr">
        <is>
          <t>SME</t>
        </is>
      </c>
      <c r="D317" s="11" t="inlineStr">
        <is>
          <t>04.15-20kg</t>
        </is>
      </c>
      <c r="E317" s="11" t="inlineStr">
        <is>
          <t>Bình Thuận</t>
        </is>
      </c>
      <c r="F317" s="11" t="n">
        <v>2136.84</v>
      </c>
      <c r="G317" s="11" t="n">
        <v>36423.95</v>
      </c>
      <c r="H317" s="11" t="n">
        <v>0</v>
      </c>
      <c r="I317" s="11" t="n">
        <v>10</v>
      </c>
    </row>
    <row r="318" ht="15.75" customHeight="1" s="57">
      <c r="A318" s="39" t="inlineStr">
        <is>
          <t>2026-10-01</t>
        </is>
      </c>
      <c r="B318" s="11" t="inlineStr">
        <is>
          <t>sme</t>
        </is>
      </c>
      <c r="C318" s="11" t="inlineStr">
        <is>
          <t>SME</t>
        </is>
      </c>
      <c r="D318" s="11" t="inlineStr">
        <is>
          <t>04.15-20kg</t>
        </is>
      </c>
      <c r="E318" s="11" t="inlineStr">
        <is>
          <t>Khánh Hòa</t>
        </is>
      </c>
      <c r="F318" s="11" t="n">
        <v>2660.16</v>
      </c>
      <c r="G318" s="11" t="n">
        <v>45344.25</v>
      </c>
      <c r="H318" s="11" t="n">
        <v>0</v>
      </c>
      <c r="I318" s="11" t="n">
        <v>10</v>
      </c>
    </row>
    <row r="319" ht="15.75" customHeight="1" s="57">
      <c r="A319" s="39" t="inlineStr">
        <is>
          <t>2026-10-01</t>
        </is>
      </c>
      <c r="B319" s="11" t="inlineStr">
        <is>
          <t>sme</t>
        </is>
      </c>
      <c r="C319" s="11" t="inlineStr">
        <is>
          <t>SME</t>
        </is>
      </c>
      <c r="D319" s="11" t="inlineStr">
        <is>
          <t>04.15-20kg</t>
        </is>
      </c>
      <c r="E319" s="11" t="inlineStr">
        <is>
          <t>Lâm Đồng</t>
        </is>
      </c>
      <c r="F319" s="11" t="n">
        <v>3211.64</v>
      </c>
      <c r="G319" s="11" t="n">
        <v>54744.7</v>
      </c>
      <c r="H319" s="11" t="n">
        <v>0</v>
      </c>
      <c r="I319" s="11" t="n">
        <v>10</v>
      </c>
    </row>
    <row r="320" ht="15.75" customHeight="1" s="57">
      <c r="A320" s="39" t="inlineStr">
        <is>
          <t>2026-10-01</t>
        </is>
      </c>
      <c r="B320" s="11" t="inlineStr">
        <is>
          <t>sme</t>
        </is>
      </c>
      <c r="C320" s="11" t="inlineStr">
        <is>
          <t>SME</t>
        </is>
      </c>
      <c r="D320" s="11" t="inlineStr">
        <is>
          <t>04.15-20kg</t>
        </is>
      </c>
      <c r="E320" s="11" t="inlineStr">
        <is>
          <t>Ninh Thuận</t>
        </is>
      </c>
      <c r="F320" s="11" t="n">
        <v>828.33</v>
      </c>
      <c r="G320" s="11" t="n">
        <v>14119.44</v>
      </c>
      <c r="H320" s="11" t="n">
        <v>0</v>
      </c>
      <c r="I320" s="11" t="n">
        <v>10</v>
      </c>
    </row>
    <row r="321" ht="15.75" customHeight="1" s="57">
      <c r="A321" s="39" t="inlineStr">
        <is>
          <t>2026-10-01</t>
        </is>
      </c>
      <c r="B321" s="11" t="inlineStr">
        <is>
          <t>sme</t>
        </is>
      </c>
      <c r="C321" s="11" t="inlineStr">
        <is>
          <t>SME</t>
        </is>
      </c>
      <c r="D321" s="11" t="inlineStr">
        <is>
          <t>04.15-20kg</t>
        </is>
      </c>
      <c r="E321" s="11" t="inlineStr">
        <is>
          <t>Đắk Nông</t>
        </is>
      </c>
      <c r="F321" s="11" t="n">
        <v>1290.47</v>
      </c>
      <c r="G321" s="11" t="n">
        <v>21996.91</v>
      </c>
      <c r="H321" s="11" t="n">
        <v>0</v>
      </c>
      <c r="I321" s="11" t="n">
        <v>10</v>
      </c>
    </row>
    <row r="322" ht="15.75" customHeight="1" s="57">
      <c r="A322" s="39" t="inlineStr">
        <is>
          <t>2026-10-01</t>
        </is>
      </c>
      <c r="B322" s="11" t="inlineStr">
        <is>
          <t>sme</t>
        </is>
      </c>
      <c r="C322" s="11" t="inlineStr">
        <is>
          <t>SME</t>
        </is>
      </c>
      <c r="D322" s="11" t="inlineStr">
        <is>
          <t>05.&gt;=20kg</t>
        </is>
      </c>
      <c r="E322" s="11" t="inlineStr">
        <is>
          <t>Bình Thuận</t>
        </is>
      </c>
      <c r="F322" s="11" t="n">
        <v>3758.73</v>
      </c>
      <c r="G322" s="11" t="n">
        <v>269471.41</v>
      </c>
      <c r="H322" s="11" t="n">
        <v>0</v>
      </c>
      <c r="I322" s="11" t="n">
        <v>10</v>
      </c>
    </row>
    <row r="323" ht="15.75" customHeight="1" s="57">
      <c r="A323" s="39" t="inlineStr">
        <is>
          <t>2026-10-01</t>
        </is>
      </c>
      <c r="B323" s="11" t="inlineStr">
        <is>
          <t>sme</t>
        </is>
      </c>
      <c r="C323" s="11" t="inlineStr">
        <is>
          <t>SME</t>
        </is>
      </c>
      <c r="D323" s="11" t="inlineStr">
        <is>
          <t>05.&gt;=20kg</t>
        </is>
      </c>
      <c r="E323" s="11" t="inlineStr">
        <is>
          <t>Khánh Hòa</t>
        </is>
      </c>
      <c r="F323" s="11" t="n">
        <v>4841.89</v>
      </c>
      <c r="G323" s="11" t="n">
        <v>347125.87</v>
      </c>
      <c r="H323" s="11" t="n">
        <v>0</v>
      </c>
      <c r="I323" s="11" t="n">
        <v>10</v>
      </c>
    </row>
    <row r="324" ht="15.75" customHeight="1" s="57">
      <c r="A324" s="39" t="inlineStr">
        <is>
          <t>2026-10-01</t>
        </is>
      </c>
      <c r="B324" s="11" t="inlineStr">
        <is>
          <t>sme</t>
        </is>
      </c>
      <c r="C324" s="11" t="inlineStr">
        <is>
          <t>SME</t>
        </is>
      </c>
      <c r="D324" s="11" t="inlineStr">
        <is>
          <t>05.&gt;=20kg</t>
        </is>
      </c>
      <c r="E324" s="11" t="inlineStr">
        <is>
          <t>Lâm Đồng</t>
        </is>
      </c>
      <c r="F324" s="11" t="n">
        <v>5767.05</v>
      </c>
      <c r="G324" s="11" t="n">
        <v>413452.44</v>
      </c>
      <c r="H324" s="11" t="n">
        <v>0</v>
      </c>
      <c r="I324" s="11" t="n">
        <v>10</v>
      </c>
    </row>
    <row r="325" ht="15.75" customHeight="1" s="57">
      <c r="A325" s="39" t="inlineStr">
        <is>
          <t>2026-10-01</t>
        </is>
      </c>
      <c r="B325" s="11" t="inlineStr">
        <is>
          <t>sme</t>
        </is>
      </c>
      <c r="C325" s="11" t="inlineStr">
        <is>
          <t>SME</t>
        </is>
      </c>
      <c r="D325" s="11" t="inlineStr">
        <is>
          <t>05.&gt;=20kg</t>
        </is>
      </c>
      <c r="E325" s="11" t="inlineStr">
        <is>
          <t>Ninh Thuận</t>
        </is>
      </c>
      <c r="F325" s="11" t="n">
        <v>1488.09</v>
      </c>
      <c r="G325" s="11" t="n">
        <v>106684.17</v>
      </c>
      <c r="H325" s="11" t="n">
        <v>0</v>
      </c>
      <c r="I325" s="11" t="n">
        <v>10</v>
      </c>
    </row>
    <row r="326" ht="15.75" customHeight="1" s="57">
      <c r="A326" s="39" t="inlineStr">
        <is>
          <t>2026-10-01</t>
        </is>
      </c>
      <c r="B326" s="11" t="inlineStr">
        <is>
          <t>sme</t>
        </is>
      </c>
      <c r="C326" s="11" t="inlineStr">
        <is>
          <t>SME</t>
        </is>
      </c>
      <c r="D326" s="11" t="inlineStr">
        <is>
          <t>05.&gt;=20kg</t>
        </is>
      </c>
      <c r="E326" s="11" t="inlineStr">
        <is>
          <t>Đắk Nông</t>
        </is>
      </c>
      <c r="F326" s="11" t="n">
        <v>2277.24</v>
      </c>
      <c r="G326" s="11" t="n">
        <v>163260.55</v>
      </c>
      <c r="H326" s="11" t="n">
        <v>0</v>
      </c>
      <c r="I326" s="11" t="n">
        <v>10</v>
      </c>
    </row>
    <row r="327" ht="15.75" customHeight="1" s="57">
      <c r="A327" s="39" t="inlineStr">
        <is>
          <t>2026-10-01</t>
        </is>
      </c>
      <c r="B327" s="11" t="inlineStr">
        <is>
          <t>ecom</t>
        </is>
      </c>
      <c r="C327" s="11" t="inlineStr">
        <is>
          <t>Shopee Bulky</t>
        </is>
      </c>
      <c r="D327" s="11" t="inlineStr">
        <is>
          <t>01.0-5kg</t>
        </is>
      </c>
      <c r="E327" s="11" t="inlineStr">
        <is>
          <t>Bình Thuận</t>
        </is>
      </c>
      <c r="F327" s="11" t="n">
        <v>67.43000000000001</v>
      </c>
      <c r="G327" s="11" t="n">
        <v>161.05</v>
      </c>
      <c r="H327" s="11" t="n">
        <v>0</v>
      </c>
      <c r="I327" s="11" t="n">
        <v>10</v>
      </c>
    </row>
    <row r="328" ht="15.75" customHeight="1" s="57">
      <c r="A328" s="39" t="inlineStr">
        <is>
          <t>2026-10-01</t>
        </is>
      </c>
      <c r="B328" s="11" t="inlineStr">
        <is>
          <t>ecom</t>
        </is>
      </c>
      <c r="C328" s="11" t="inlineStr">
        <is>
          <t>Shopee Bulky</t>
        </is>
      </c>
      <c r="D328" s="11" t="inlineStr">
        <is>
          <t>01.0-5kg</t>
        </is>
      </c>
      <c r="E328" s="11" t="inlineStr">
        <is>
          <t>Khánh Hòa</t>
        </is>
      </c>
      <c r="F328" s="11" t="n">
        <v>109.44</v>
      </c>
      <c r="G328" s="11" t="n">
        <v>261.42</v>
      </c>
      <c r="H328" s="11" t="n">
        <v>0</v>
      </c>
      <c r="I328" s="11" t="n">
        <v>10</v>
      </c>
    </row>
    <row r="329" ht="15.75" customHeight="1" s="57">
      <c r="A329" s="39" t="inlineStr">
        <is>
          <t>2026-10-01</t>
        </is>
      </c>
      <c r="B329" s="11" t="inlineStr">
        <is>
          <t>ecom</t>
        </is>
      </c>
      <c r="C329" s="11" t="inlineStr">
        <is>
          <t>Shopee Bulky</t>
        </is>
      </c>
      <c r="D329" s="11" t="inlineStr">
        <is>
          <t>01.0-5kg</t>
        </is>
      </c>
      <c r="E329" s="11" t="inlineStr">
        <is>
          <t>Lâm Đồng</t>
        </is>
      </c>
      <c r="F329" s="11" t="n">
        <v>109.44</v>
      </c>
      <c r="G329" s="11" t="n">
        <v>261.42</v>
      </c>
      <c r="H329" s="11" t="n">
        <v>0</v>
      </c>
      <c r="I329" s="11" t="n">
        <v>10</v>
      </c>
    </row>
    <row r="330" ht="15.75" customHeight="1" s="57">
      <c r="A330" s="39" t="inlineStr">
        <is>
          <t>2026-10-01</t>
        </is>
      </c>
      <c r="B330" s="11" t="inlineStr">
        <is>
          <t>ecom</t>
        </is>
      </c>
      <c r="C330" s="11" t="inlineStr">
        <is>
          <t>Shopee Bulky</t>
        </is>
      </c>
      <c r="D330" s="11" t="inlineStr">
        <is>
          <t>01.0-5kg</t>
        </is>
      </c>
      <c r="E330" s="11" t="inlineStr">
        <is>
          <t>Ninh Thuận</t>
        </is>
      </c>
      <c r="F330" s="11" t="n">
        <v>23.45</v>
      </c>
      <c r="G330" s="11" t="n">
        <v>56.02</v>
      </c>
      <c r="H330" s="11" t="n">
        <v>0</v>
      </c>
      <c r="I330" s="11" t="n">
        <v>10</v>
      </c>
    </row>
    <row r="331" ht="15.75" customHeight="1" s="57">
      <c r="A331" s="39" t="inlineStr">
        <is>
          <t>2026-10-01</t>
        </is>
      </c>
      <c r="B331" s="11" t="inlineStr">
        <is>
          <t>ecom</t>
        </is>
      </c>
      <c r="C331" s="11" t="inlineStr">
        <is>
          <t>Shopee Bulky</t>
        </is>
      </c>
      <c r="D331" s="11" t="inlineStr">
        <is>
          <t>01.0-5kg</t>
        </is>
      </c>
      <c r="E331" s="11" t="inlineStr">
        <is>
          <t>Đắk Nông</t>
        </is>
      </c>
      <c r="F331" s="11" t="n">
        <v>22.48</v>
      </c>
      <c r="G331" s="11" t="n">
        <v>53.68</v>
      </c>
      <c r="H331" s="11" t="n">
        <v>0</v>
      </c>
      <c r="I331" s="11" t="n">
        <v>10</v>
      </c>
    </row>
    <row r="332" ht="15.75" customHeight="1" s="57">
      <c r="A332" s="39" t="inlineStr">
        <is>
          <t>2026-10-01</t>
        </is>
      </c>
      <c r="B332" s="11" t="inlineStr">
        <is>
          <t>ecom</t>
        </is>
      </c>
      <c r="C332" s="11" t="inlineStr">
        <is>
          <t>Shopee Bulky</t>
        </is>
      </c>
      <c r="D332" s="11" t="inlineStr">
        <is>
          <t>02.5-10kg</t>
        </is>
      </c>
      <c r="E332" s="11" t="inlineStr">
        <is>
          <t>Bình Thuận</t>
        </is>
      </c>
      <c r="F332" s="11" t="n">
        <v>253.09</v>
      </c>
      <c r="G332" s="11" t="n">
        <v>2035.27</v>
      </c>
      <c r="H332" s="11" t="n">
        <v>0</v>
      </c>
      <c r="I332" s="11" t="n">
        <v>10</v>
      </c>
    </row>
    <row r="333" ht="15.75" customHeight="1" s="57">
      <c r="A333" s="39" t="inlineStr">
        <is>
          <t>2026-10-01</t>
        </is>
      </c>
      <c r="B333" s="11" t="inlineStr">
        <is>
          <t>ecom</t>
        </is>
      </c>
      <c r="C333" s="11" t="inlineStr">
        <is>
          <t>Shopee Bulky</t>
        </is>
      </c>
      <c r="D333" s="11" t="inlineStr">
        <is>
          <t>02.5-10kg</t>
        </is>
      </c>
      <c r="E333" s="11" t="inlineStr">
        <is>
          <t>Khánh Hòa</t>
        </is>
      </c>
      <c r="F333" s="11" t="n">
        <v>290.22</v>
      </c>
      <c r="G333" s="11" t="n">
        <v>2333.88</v>
      </c>
      <c r="H333" s="11" t="n">
        <v>0</v>
      </c>
      <c r="I333" s="11" t="n">
        <v>10</v>
      </c>
    </row>
    <row r="334" ht="15.75" customHeight="1" s="57">
      <c r="A334" s="39" t="inlineStr">
        <is>
          <t>2026-10-01</t>
        </is>
      </c>
      <c r="B334" s="11" t="inlineStr">
        <is>
          <t>ecom</t>
        </is>
      </c>
      <c r="C334" s="11" t="inlineStr">
        <is>
          <t>Shopee Bulky</t>
        </is>
      </c>
      <c r="D334" s="11" t="inlineStr">
        <is>
          <t>02.5-10kg</t>
        </is>
      </c>
      <c r="E334" s="11" t="inlineStr">
        <is>
          <t>Lâm Đồng</t>
        </is>
      </c>
      <c r="F334" s="11" t="n">
        <v>371.33</v>
      </c>
      <c r="G334" s="11" t="n">
        <v>2986.12</v>
      </c>
      <c r="H334" s="11" t="n">
        <v>0</v>
      </c>
      <c r="I334" s="11" t="n">
        <v>10</v>
      </c>
    </row>
    <row r="335" ht="15.75" customHeight="1" s="57">
      <c r="A335" s="39" t="inlineStr">
        <is>
          <t>2026-10-01</t>
        </is>
      </c>
      <c r="B335" s="11" t="inlineStr">
        <is>
          <t>ecom</t>
        </is>
      </c>
      <c r="C335" s="11" t="inlineStr">
        <is>
          <t>Shopee Bulky</t>
        </is>
      </c>
      <c r="D335" s="11" t="inlineStr">
        <is>
          <t>02.5-10kg</t>
        </is>
      </c>
      <c r="E335" s="11" t="inlineStr">
        <is>
          <t>Ninh Thuận</t>
        </is>
      </c>
      <c r="F335" s="11" t="n">
        <v>85.98999999999999</v>
      </c>
      <c r="G335" s="11" t="n">
        <v>691.52</v>
      </c>
      <c r="H335" s="11" t="n">
        <v>0</v>
      </c>
      <c r="I335" s="11" t="n">
        <v>10</v>
      </c>
    </row>
    <row r="336" ht="15.75" customHeight="1" s="57">
      <c r="A336" s="39" t="inlineStr">
        <is>
          <t>2026-10-01</t>
        </is>
      </c>
      <c r="B336" s="11" t="inlineStr">
        <is>
          <t>ecom</t>
        </is>
      </c>
      <c r="C336" s="11" t="inlineStr">
        <is>
          <t>Shopee Bulky</t>
        </is>
      </c>
      <c r="D336" s="11" t="inlineStr">
        <is>
          <t>02.5-10kg</t>
        </is>
      </c>
      <c r="E336" s="11" t="inlineStr">
        <is>
          <t>Đắk Nông</t>
        </is>
      </c>
      <c r="F336" s="11" t="n">
        <v>85.98999999999999</v>
      </c>
      <c r="G336" s="11" t="n">
        <v>691.52</v>
      </c>
      <c r="H336" s="11" t="n">
        <v>0</v>
      </c>
      <c r="I336" s="11" t="n">
        <v>10</v>
      </c>
    </row>
    <row r="337" ht="15.75" customHeight="1" s="57">
      <c r="A337" s="39" t="inlineStr">
        <is>
          <t>2026-10-01</t>
        </is>
      </c>
      <c r="B337" s="11" t="inlineStr">
        <is>
          <t>ecom</t>
        </is>
      </c>
      <c r="C337" s="11" t="inlineStr">
        <is>
          <t>Shopee Bulky</t>
        </is>
      </c>
      <c r="D337" s="11" t="inlineStr">
        <is>
          <t>03.10-15kg</t>
        </is>
      </c>
      <c r="E337" s="11" t="inlineStr">
        <is>
          <t>Bình Thuận</t>
        </is>
      </c>
      <c r="F337" s="11" t="n">
        <v>18809.76</v>
      </c>
      <c r="G337" s="11" t="n">
        <v>224225.5</v>
      </c>
      <c r="H337" s="11" t="n">
        <v>0</v>
      </c>
      <c r="I337" s="11" t="n">
        <v>10</v>
      </c>
    </row>
    <row r="338" ht="15.75" customHeight="1" s="57">
      <c r="A338" s="39" t="inlineStr">
        <is>
          <t>2026-10-01</t>
        </is>
      </c>
      <c r="B338" s="11" t="inlineStr">
        <is>
          <t>ecom</t>
        </is>
      </c>
      <c r="C338" s="11" t="inlineStr">
        <is>
          <t>Shopee Bulky</t>
        </is>
      </c>
      <c r="D338" s="11" t="inlineStr">
        <is>
          <t>03.10-15kg</t>
        </is>
      </c>
      <c r="E338" s="11" t="inlineStr">
        <is>
          <t>Khánh Hòa</t>
        </is>
      </c>
      <c r="F338" s="11" t="n">
        <v>21095.39</v>
      </c>
      <c r="G338" s="11" t="n">
        <v>251471.77</v>
      </c>
      <c r="H338" s="11" t="n">
        <v>0</v>
      </c>
      <c r="I338" s="11" t="n">
        <v>10</v>
      </c>
    </row>
    <row r="339" ht="15.75" customHeight="1" s="57">
      <c r="A339" s="39" t="inlineStr">
        <is>
          <t>2026-10-01</t>
        </is>
      </c>
      <c r="B339" s="11" t="inlineStr">
        <is>
          <t>ecom</t>
        </is>
      </c>
      <c r="C339" s="11" t="inlineStr">
        <is>
          <t>Shopee Bulky</t>
        </is>
      </c>
      <c r="D339" s="11" t="inlineStr">
        <is>
          <t>03.10-15kg</t>
        </is>
      </c>
      <c r="E339" s="11" t="inlineStr">
        <is>
          <t>Lâm Đồng</t>
        </is>
      </c>
      <c r="F339" s="11" t="n">
        <v>26304.74</v>
      </c>
      <c r="G339" s="11" t="n">
        <v>313570.9</v>
      </c>
      <c r="H339" s="11" t="n">
        <v>0</v>
      </c>
      <c r="I339" s="11" t="n">
        <v>10</v>
      </c>
    </row>
    <row r="340" ht="15.75" customHeight="1" s="57">
      <c r="A340" s="39" t="inlineStr">
        <is>
          <t>2026-10-01</t>
        </is>
      </c>
      <c r="B340" s="11" t="inlineStr">
        <is>
          <t>ecom</t>
        </is>
      </c>
      <c r="C340" s="11" t="inlineStr">
        <is>
          <t>Shopee Bulky</t>
        </is>
      </c>
      <c r="D340" s="11" t="inlineStr">
        <is>
          <t>03.10-15kg</t>
        </is>
      </c>
      <c r="E340" s="11" t="inlineStr">
        <is>
          <t>Ninh Thuận</t>
        </is>
      </c>
      <c r="F340" s="11" t="n">
        <v>7139.29</v>
      </c>
      <c r="G340" s="11" t="n">
        <v>85105.28</v>
      </c>
      <c r="H340" s="11" t="n">
        <v>0</v>
      </c>
      <c r="I340" s="11" t="n">
        <v>10</v>
      </c>
    </row>
    <row r="341" ht="15.75" customHeight="1" s="57">
      <c r="A341" s="39" t="inlineStr">
        <is>
          <t>2026-10-01</t>
        </is>
      </c>
      <c r="B341" s="11" t="inlineStr">
        <is>
          <t>ecom</t>
        </is>
      </c>
      <c r="C341" s="11" t="inlineStr">
        <is>
          <t>Shopee Bulky</t>
        </is>
      </c>
      <c r="D341" s="11" t="inlineStr">
        <is>
          <t>03.10-15kg</t>
        </is>
      </c>
      <c r="E341" s="11" t="inlineStr">
        <is>
          <t>Đắk Nông</t>
        </is>
      </c>
      <c r="F341" s="11" t="n">
        <v>6224.64</v>
      </c>
      <c r="G341" s="11" t="n">
        <v>74202.11</v>
      </c>
      <c r="H341" s="11" t="n">
        <v>0</v>
      </c>
      <c r="I341" s="11" t="n">
        <v>10</v>
      </c>
    </row>
    <row r="342" ht="15.75" customHeight="1" s="57">
      <c r="A342" s="39" t="inlineStr">
        <is>
          <t>2026-10-01</t>
        </is>
      </c>
      <c r="B342" s="11" t="inlineStr">
        <is>
          <t>ecom</t>
        </is>
      </c>
      <c r="C342" s="11" t="inlineStr">
        <is>
          <t>Shopee Bulky</t>
        </is>
      </c>
      <c r="D342" s="11" t="inlineStr">
        <is>
          <t>04.15-20kg</t>
        </is>
      </c>
      <c r="E342" s="11" t="inlineStr">
        <is>
          <t>Bình Thuận</t>
        </is>
      </c>
      <c r="F342" s="11" t="n">
        <v>12359.39</v>
      </c>
      <c r="G342" s="11" t="n">
        <v>208839.03</v>
      </c>
      <c r="H342" s="11" t="n">
        <v>0</v>
      </c>
      <c r="I342" s="11" t="n">
        <v>10</v>
      </c>
    </row>
    <row r="343" ht="15.75" customHeight="1" s="57">
      <c r="A343" s="39" t="inlineStr">
        <is>
          <t>2026-10-01</t>
        </is>
      </c>
      <c r="B343" s="11" t="inlineStr">
        <is>
          <t>ecom</t>
        </is>
      </c>
      <c r="C343" s="11" t="inlineStr">
        <is>
          <t>Shopee Bulky</t>
        </is>
      </c>
      <c r="D343" s="11" t="inlineStr">
        <is>
          <t>04.15-20kg</t>
        </is>
      </c>
      <c r="E343" s="11" t="inlineStr">
        <is>
          <t>Khánh Hòa</t>
        </is>
      </c>
      <c r="F343" s="11" t="n">
        <v>12676.97</v>
      </c>
      <c r="G343" s="11" t="n">
        <v>214205.31</v>
      </c>
      <c r="H343" s="11" t="n">
        <v>0</v>
      </c>
      <c r="I343" s="11" t="n">
        <v>10</v>
      </c>
    </row>
    <row r="344" ht="15.75" customHeight="1" s="57">
      <c r="A344" s="39" t="inlineStr">
        <is>
          <t>2026-10-01</t>
        </is>
      </c>
      <c r="B344" s="11" t="inlineStr">
        <is>
          <t>ecom</t>
        </is>
      </c>
      <c r="C344" s="11" t="inlineStr">
        <is>
          <t>Shopee Bulky</t>
        </is>
      </c>
      <c r="D344" s="11" t="inlineStr">
        <is>
          <t>04.15-20kg</t>
        </is>
      </c>
      <c r="E344" s="11" t="inlineStr">
        <is>
          <t>Lâm Đồng</t>
        </is>
      </c>
      <c r="F344" s="11" t="n">
        <v>14792.57</v>
      </c>
      <c r="G344" s="11" t="n">
        <v>249952.98</v>
      </c>
      <c r="H344" s="11" t="n">
        <v>0</v>
      </c>
      <c r="I344" s="11" t="n">
        <v>10</v>
      </c>
    </row>
    <row r="345" ht="15.75" customHeight="1" s="57">
      <c r="A345" s="39" t="inlineStr">
        <is>
          <t>2026-10-01</t>
        </is>
      </c>
      <c r="B345" s="11" t="inlineStr">
        <is>
          <t>ecom</t>
        </is>
      </c>
      <c r="C345" s="11" t="inlineStr">
        <is>
          <t>Shopee Bulky</t>
        </is>
      </c>
      <c r="D345" s="11" t="inlineStr">
        <is>
          <t>04.15-20kg</t>
        </is>
      </c>
      <c r="E345" s="11" t="inlineStr">
        <is>
          <t>Ninh Thuận</t>
        </is>
      </c>
      <c r="F345" s="11" t="n">
        <v>4062.14</v>
      </c>
      <c r="G345" s="11" t="n">
        <v>68638.82000000001</v>
      </c>
      <c r="H345" s="11" t="n">
        <v>0</v>
      </c>
      <c r="I345" s="11" t="n">
        <v>10</v>
      </c>
    </row>
    <row r="346" ht="15.75" customHeight="1" s="57">
      <c r="A346" s="39" t="inlineStr">
        <is>
          <t>2026-10-01</t>
        </is>
      </c>
      <c r="B346" s="11" t="inlineStr">
        <is>
          <t>ecom</t>
        </is>
      </c>
      <c r="C346" s="11" t="inlineStr">
        <is>
          <t>Shopee Bulky</t>
        </is>
      </c>
      <c r="D346" s="11" t="inlineStr">
        <is>
          <t>04.15-20kg</t>
        </is>
      </c>
      <c r="E346" s="11" t="inlineStr">
        <is>
          <t>Đắk Nông</t>
        </is>
      </c>
      <c r="F346" s="11" t="n">
        <v>3853.03</v>
      </c>
      <c r="G346" s="11" t="n">
        <v>65105.34</v>
      </c>
      <c r="H346" s="11" t="n">
        <v>0</v>
      </c>
      <c r="I346" s="11" t="n">
        <v>10</v>
      </c>
    </row>
    <row r="347" ht="15.75" customHeight="1" s="57">
      <c r="A347" s="39" t="inlineStr">
        <is>
          <t>2026-10-01</t>
        </is>
      </c>
      <c r="B347" s="11" t="inlineStr">
        <is>
          <t>ecom</t>
        </is>
      </c>
      <c r="C347" s="11" t="inlineStr">
        <is>
          <t>Shopee Bulky</t>
        </is>
      </c>
      <c r="D347" s="11" t="inlineStr">
        <is>
          <t>05.&gt;=20kg</t>
        </is>
      </c>
      <c r="E347" s="11" t="inlineStr">
        <is>
          <t>Bình Thuận</t>
        </is>
      </c>
      <c r="F347" s="11" t="n">
        <v>22006.12</v>
      </c>
      <c r="G347" s="11" t="n">
        <v>747519.25</v>
      </c>
      <c r="H347" s="11" t="n">
        <v>0</v>
      </c>
      <c r="I347" s="11" t="n">
        <v>10</v>
      </c>
    </row>
    <row r="348" ht="15.75" customHeight="1" s="57">
      <c r="A348" s="39" t="inlineStr">
        <is>
          <t>2026-10-01</t>
        </is>
      </c>
      <c r="B348" s="11" t="inlineStr">
        <is>
          <t>ecom</t>
        </is>
      </c>
      <c r="C348" s="11" t="inlineStr">
        <is>
          <t>Shopee Bulky</t>
        </is>
      </c>
      <c r="D348" s="11" t="inlineStr">
        <is>
          <t>05.&gt;=20kg</t>
        </is>
      </c>
      <c r="E348" s="11" t="inlineStr">
        <is>
          <t>Khánh Hòa</t>
        </is>
      </c>
      <c r="F348" s="11" t="n">
        <v>24277.09</v>
      </c>
      <c r="G348" s="11" t="n">
        <v>824661.11</v>
      </c>
      <c r="H348" s="11" t="n">
        <v>0</v>
      </c>
      <c r="I348" s="11" t="n">
        <v>10</v>
      </c>
    </row>
    <row r="349" ht="15.75" customHeight="1" s="57">
      <c r="A349" s="39" t="inlineStr">
        <is>
          <t>2026-10-01</t>
        </is>
      </c>
      <c r="B349" s="11" t="inlineStr">
        <is>
          <t>ecom</t>
        </is>
      </c>
      <c r="C349" s="11" t="inlineStr">
        <is>
          <t>Shopee Bulky</t>
        </is>
      </c>
      <c r="D349" s="11" t="inlineStr">
        <is>
          <t>05.&gt;=20kg</t>
        </is>
      </c>
      <c r="E349" s="11" t="inlineStr">
        <is>
          <t>Lâm Đồng</t>
        </is>
      </c>
      <c r="F349" s="11" t="n">
        <v>28791.66</v>
      </c>
      <c r="G349" s="11" t="n">
        <v>978015.41</v>
      </c>
      <c r="H349" s="11" t="n">
        <v>0</v>
      </c>
      <c r="I349" s="11" t="n">
        <v>10</v>
      </c>
    </row>
    <row r="350" ht="15.75" customHeight="1" s="57">
      <c r="A350" s="39" t="inlineStr">
        <is>
          <t>2026-10-01</t>
        </is>
      </c>
      <c r="B350" s="11" t="inlineStr">
        <is>
          <t>ecom</t>
        </is>
      </c>
      <c r="C350" s="11" t="inlineStr">
        <is>
          <t>Shopee Bulky</t>
        </is>
      </c>
      <c r="D350" s="11" t="inlineStr">
        <is>
          <t>05.&gt;=20kg</t>
        </is>
      </c>
      <c r="E350" s="11" t="inlineStr">
        <is>
          <t>Ninh Thuận</t>
        </is>
      </c>
      <c r="F350" s="11" t="n">
        <v>7247.75</v>
      </c>
      <c r="G350" s="11" t="n">
        <v>246196.73</v>
      </c>
      <c r="H350" s="11" t="n">
        <v>0</v>
      </c>
      <c r="I350" s="11" t="n">
        <v>10</v>
      </c>
    </row>
    <row r="351" ht="15.75" customHeight="1" s="57">
      <c r="A351" s="39" t="inlineStr">
        <is>
          <t>2026-10-01</t>
        </is>
      </c>
      <c r="B351" s="11" t="inlineStr">
        <is>
          <t>ecom</t>
        </is>
      </c>
      <c r="C351" s="11" t="inlineStr">
        <is>
          <t>Shopee Bulky</t>
        </is>
      </c>
      <c r="D351" s="11" t="inlineStr">
        <is>
          <t>05.&gt;=20kg</t>
        </is>
      </c>
      <c r="E351" s="11" t="inlineStr">
        <is>
          <t>Đắk Nông</t>
        </is>
      </c>
      <c r="F351" s="11" t="n">
        <v>7198.89</v>
      </c>
      <c r="G351" s="11" t="n">
        <v>244537.05</v>
      </c>
      <c r="H351" s="11" t="n">
        <v>0</v>
      </c>
      <c r="I351" s="11" t="n">
        <v>10</v>
      </c>
    </row>
    <row r="352" ht="15.75" customHeight="1" s="57">
      <c r="A352" s="39" t="inlineStr">
        <is>
          <t>2026-10-01</t>
        </is>
      </c>
      <c r="B352" s="11" t="inlineStr">
        <is>
          <t>ecom</t>
        </is>
      </c>
      <c r="C352" s="11" t="inlineStr">
        <is>
          <t>Shopee Ecom</t>
        </is>
      </c>
      <c r="D352" s="11" t="inlineStr">
        <is>
          <t>01.0-5kg</t>
        </is>
      </c>
      <c r="E352" s="11" t="inlineStr">
        <is>
          <t>Bình Thuận</t>
        </is>
      </c>
      <c r="F352" s="11" t="n">
        <v>126053.33</v>
      </c>
      <c r="G352" s="11" t="n">
        <v>107876.44</v>
      </c>
      <c r="H352" s="11" t="n">
        <v>0</v>
      </c>
      <c r="I352" s="11" t="n">
        <v>10</v>
      </c>
    </row>
    <row r="353" ht="15.75" customHeight="1" s="57">
      <c r="A353" s="39" t="inlineStr">
        <is>
          <t>2026-10-01</t>
        </is>
      </c>
      <c r="B353" s="11" t="inlineStr">
        <is>
          <t>ecom</t>
        </is>
      </c>
      <c r="C353" s="11" t="inlineStr">
        <is>
          <t>Shopee Ecom</t>
        </is>
      </c>
      <c r="D353" s="11" t="inlineStr">
        <is>
          <t>01.0-5kg</t>
        </is>
      </c>
      <c r="E353" s="11" t="inlineStr">
        <is>
          <t>Khánh Hòa</t>
        </is>
      </c>
      <c r="F353" s="11" t="n">
        <v>105754.95</v>
      </c>
      <c r="G353" s="11" t="n">
        <v>90505.09</v>
      </c>
      <c r="H353" s="11" t="n">
        <v>0</v>
      </c>
      <c r="I353" s="11" t="n">
        <v>10</v>
      </c>
    </row>
    <row r="354" ht="15.75" customHeight="1" s="57">
      <c r="A354" s="39" t="inlineStr">
        <is>
          <t>2026-10-01</t>
        </is>
      </c>
      <c r="B354" s="11" t="inlineStr">
        <is>
          <t>ecom</t>
        </is>
      </c>
      <c r="C354" s="11" t="inlineStr">
        <is>
          <t>Shopee Ecom</t>
        </is>
      </c>
      <c r="D354" s="11" t="inlineStr">
        <is>
          <t>01.0-5kg</t>
        </is>
      </c>
      <c r="E354" s="11" t="inlineStr">
        <is>
          <t>Lâm Đồng</t>
        </is>
      </c>
      <c r="F354" s="11" t="n">
        <v>126800.28</v>
      </c>
      <c r="G354" s="11" t="n">
        <v>108515.68</v>
      </c>
      <c r="H354" s="11" t="n">
        <v>0</v>
      </c>
      <c r="I354" s="11" t="n">
        <v>10</v>
      </c>
    </row>
    <row r="355" ht="15.75" customHeight="1" s="57">
      <c r="A355" s="39" t="inlineStr">
        <is>
          <t>2026-10-01</t>
        </is>
      </c>
      <c r="B355" s="11" t="inlineStr">
        <is>
          <t>ecom</t>
        </is>
      </c>
      <c r="C355" s="11" t="inlineStr">
        <is>
          <t>Shopee Ecom</t>
        </is>
      </c>
      <c r="D355" s="11" t="inlineStr">
        <is>
          <t>01.0-5kg</t>
        </is>
      </c>
      <c r="E355" s="11" t="inlineStr">
        <is>
          <t>Ninh Thuận</t>
        </is>
      </c>
      <c r="F355" s="11" t="n">
        <v>50472.44</v>
      </c>
      <c r="G355" s="11" t="n">
        <v>43194.32</v>
      </c>
      <c r="H355" s="11" t="n">
        <v>0</v>
      </c>
      <c r="I355" s="11" t="n">
        <v>10</v>
      </c>
    </row>
    <row r="356" ht="15.75" customHeight="1" s="57">
      <c r="A356" s="39" t="inlineStr">
        <is>
          <t>2026-10-01</t>
        </is>
      </c>
      <c r="B356" s="11" t="inlineStr">
        <is>
          <t>ecom</t>
        </is>
      </c>
      <c r="C356" s="11" t="inlineStr">
        <is>
          <t>Shopee Ecom</t>
        </is>
      </c>
      <c r="D356" s="11" t="inlineStr">
        <is>
          <t>01.0-5kg</t>
        </is>
      </c>
      <c r="E356" s="11" t="inlineStr">
        <is>
          <t>Đắk Nông</t>
        </is>
      </c>
      <c r="F356" s="11" t="n">
        <v>35976.76</v>
      </c>
      <c r="G356" s="11" t="n">
        <v>30788.91</v>
      </c>
      <c r="H356" s="11" t="n">
        <v>0</v>
      </c>
      <c r="I356" s="11" t="n">
        <v>10</v>
      </c>
    </row>
    <row r="357" ht="15.75" customHeight="1" s="57">
      <c r="A357" s="39" t="inlineStr">
        <is>
          <t>2026-10-01</t>
        </is>
      </c>
      <c r="B357" s="11" t="inlineStr">
        <is>
          <t>ecom</t>
        </is>
      </c>
      <c r="C357" s="11" t="inlineStr">
        <is>
          <t>Shopee Ecom</t>
        </is>
      </c>
      <c r="D357" s="11" t="inlineStr">
        <is>
          <t>02.5-10kg</t>
        </is>
      </c>
      <c r="E357" s="11" t="inlineStr">
        <is>
          <t>Bình Thuận</t>
        </is>
      </c>
      <c r="F357" s="11" t="n">
        <v>9850.559999999999</v>
      </c>
      <c r="G357" s="11" t="n">
        <v>67829.99000000001</v>
      </c>
      <c r="H357" s="11" t="n">
        <v>0</v>
      </c>
      <c r="I357" s="11" t="n">
        <v>10</v>
      </c>
    </row>
    <row r="358" ht="15.75" customHeight="1" s="57">
      <c r="A358" s="39" t="inlineStr">
        <is>
          <t>2026-10-01</t>
        </is>
      </c>
      <c r="B358" s="11" t="inlineStr">
        <is>
          <t>ecom</t>
        </is>
      </c>
      <c r="C358" s="11" t="inlineStr">
        <is>
          <t>Shopee Ecom</t>
        </is>
      </c>
      <c r="D358" s="11" t="inlineStr">
        <is>
          <t>02.5-10kg</t>
        </is>
      </c>
      <c r="E358" s="11" t="inlineStr">
        <is>
          <t>Khánh Hòa</t>
        </is>
      </c>
      <c r="F358" s="11" t="n">
        <v>9393.139999999999</v>
      </c>
      <c r="G358" s="11" t="n">
        <v>64680.24</v>
      </c>
      <c r="H358" s="11" t="n">
        <v>0</v>
      </c>
      <c r="I358" s="11" t="n">
        <v>10</v>
      </c>
    </row>
    <row r="359" ht="15.75" customHeight="1" s="57">
      <c r="A359" s="39" t="inlineStr">
        <is>
          <t>2026-10-01</t>
        </is>
      </c>
      <c r="B359" s="11" t="inlineStr">
        <is>
          <t>ecom</t>
        </is>
      </c>
      <c r="C359" s="11" t="inlineStr">
        <is>
          <t>Shopee Ecom</t>
        </is>
      </c>
      <c r="D359" s="11" t="inlineStr">
        <is>
          <t>02.5-10kg</t>
        </is>
      </c>
      <c r="E359" s="11" t="inlineStr">
        <is>
          <t>Lâm Đồng</t>
        </is>
      </c>
      <c r="F359" s="11" t="n">
        <v>11760.51</v>
      </c>
      <c r="G359" s="11" t="n">
        <v>80981.67999999999</v>
      </c>
      <c r="H359" s="11" t="n">
        <v>0</v>
      </c>
      <c r="I359" s="11" t="n">
        <v>10</v>
      </c>
    </row>
    <row r="360" ht="15.75" customHeight="1" s="57">
      <c r="A360" s="39" t="inlineStr">
        <is>
          <t>2026-10-01</t>
        </is>
      </c>
      <c r="B360" s="11" t="inlineStr">
        <is>
          <t>ecom</t>
        </is>
      </c>
      <c r="C360" s="11" t="inlineStr">
        <is>
          <t>Shopee Ecom</t>
        </is>
      </c>
      <c r="D360" s="11" t="inlineStr">
        <is>
          <t>02.5-10kg</t>
        </is>
      </c>
      <c r="E360" s="11" t="inlineStr">
        <is>
          <t>Ninh Thuận</t>
        </is>
      </c>
      <c r="F360" s="11" t="n">
        <v>3816.93</v>
      </c>
      <c r="G360" s="11" t="n">
        <v>26283.02</v>
      </c>
      <c r="H360" s="11" t="n">
        <v>0</v>
      </c>
      <c r="I360" s="11" t="n">
        <v>10</v>
      </c>
    </row>
    <row r="361" ht="15.75" customHeight="1" s="57">
      <c r="A361" s="39" t="inlineStr">
        <is>
          <t>2026-10-01</t>
        </is>
      </c>
      <c r="B361" s="11" t="inlineStr">
        <is>
          <t>ecom</t>
        </is>
      </c>
      <c r="C361" s="11" t="inlineStr">
        <is>
          <t>Shopee Ecom</t>
        </is>
      </c>
      <c r="D361" s="11" t="inlineStr">
        <is>
          <t>02.5-10kg</t>
        </is>
      </c>
      <c r="E361" s="11" t="inlineStr">
        <is>
          <t>Đắk Nông</t>
        </is>
      </c>
      <c r="F361" s="11" t="n">
        <v>2826.26</v>
      </c>
      <c r="G361" s="11" t="n">
        <v>19461.37</v>
      </c>
      <c r="H361" s="11" t="n">
        <v>0</v>
      </c>
      <c r="I361" s="11" t="n">
        <v>10</v>
      </c>
    </row>
    <row r="362" ht="15.75" customHeight="1" s="57">
      <c r="A362" s="39" t="inlineStr">
        <is>
          <t>2026-10-01</t>
        </is>
      </c>
      <c r="B362" s="11" t="inlineStr">
        <is>
          <t>ecom</t>
        </is>
      </c>
      <c r="C362" s="11" t="inlineStr">
        <is>
          <t>Shopee Ecom</t>
        </is>
      </c>
      <c r="D362" s="11" t="inlineStr">
        <is>
          <t>03.10-15kg</t>
        </is>
      </c>
      <c r="E362" s="11" t="inlineStr">
        <is>
          <t>Bình Thuận</t>
        </is>
      </c>
      <c r="F362" s="11" t="n">
        <v>697.21</v>
      </c>
      <c r="G362" s="11" t="n">
        <v>7297.15</v>
      </c>
      <c r="H362" s="11" t="n">
        <v>0</v>
      </c>
      <c r="I362" s="11" t="n">
        <v>10</v>
      </c>
    </row>
    <row r="363" ht="15.75" customHeight="1" s="57">
      <c r="A363" s="39" t="inlineStr">
        <is>
          <t>2026-10-01</t>
        </is>
      </c>
      <c r="B363" s="11" t="inlineStr">
        <is>
          <t>ecom</t>
        </is>
      </c>
      <c r="C363" s="11" t="inlineStr">
        <is>
          <t>Shopee Ecom</t>
        </is>
      </c>
      <c r="D363" s="11" t="inlineStr">
        <is>
          <t>03.10-15kg</t>
        </is>
      </c>
      <c r="E363" s="11" t="inlineStr">
        <is>
          <t>Khánh Hòa</t>
        </is>
      </c>
      <c r="F363" s="11" t="n">
        <v>708.54</v>
      </c>
      <c r="G363" s="11" t="n">
        <v>7415.67</v>
      </c>
      <c r="H363" s="11" t="n">
        <v>0</v>
      </c>
      <c r="I363" s="11" t="n">
        <v>10</v>
      </c>
    </row>
    <row r="364" ht="15.75" customHeight="1" s="57">
      <c r="A364" s="39" t="inlineStr">
        <is>
          <t>2026-10-01</t>
        </is>
      </c>
      <c r="B364" s="11" t="inlineStr">
        <is>
          <t>ecom</t>
        </is>
      </c>
      <c r="C364" s="11" t="inlineStr">
        <is>
          <t>Shopee Ecom</t>
        </is>
      </c>
      <c r="D364" s="11" t="inlineStr">
        <is>
          <t>03.10-15kg</t>
        </is>
      </c>
      <c r="E364" s="11" t="inlineStr">
        <is>
          <t>Lâm Đồng</t>
        </is>
      </c>
      <c r="F364" s="11" t="n">
        <v>757.28</v>
      </c>
      <c r="G364" s="11" t="n">
        <v>7925.86</v>
      </c>
      <c r="H364" s="11" t="n">
        <v>0</v>
      </c>
      <c r="I364" s="11" t="n">
        <v>10</v>
      </c>
    </row>
    <row r="365" ht="15.75" customHeight="1" s="57">
      <c r="A365" s="39" t="inlineStr">
        <is>
          <t>2026-10-01</t>
        </is>
      </c>
      <c r="B365" s="11" t="inlineStr">
        <is>
          <t>ecom</t>
        </is>
      </c>
      <c r="C365" s="11" t="inlineStr">
        <is>
          <t>Shopee Ecom</t>
        </is>
      </c>
      <c r="D365" s="11" t="inlineStr">
        <is>
          <t>03.10-15kg</t>
        </is>
      </c>
      <c r="E365" s="11" t="inlineStr">
        <is>
          <t>Ninh Thuận</t>
        </is>
      </c>
      <c r="F365" s="11" t="n">
        <v>243.24</v>
      </c>
      <c r="G365" s="11" t="n">
        <v>2545.76</v>
      </c>
      <c r="H365" s="11" t="n">
        <v>0</v>
      </c>
      <c r="I365" s="11" t="n">
        <v>10</v>
      </c>
    </row>
    <row r="366" ht="15.75" customHeight="1" s="57">
      <c r="A366" s="39" t="inlineStr">
        <is>
          <t>2026-10-01</t>
        </is>
      </c>
      <c r="B366" s="11" t="inlineStr">
        <is>
          <t>ecom</t>
        </is>
      </c>
      <c r="C366" s="11" t="inlineStr">
        <is>
          <t>Shopee Ecom</t>
        </is>
      </c>
      <c r="D366" s="11" t="inlineStr">
        <is>
          <t>03.10-15kg</t>
        </is>
      </c>
      <c r="E366" s="11" t="inlineStr">
        <is>
          <t>Đắk Nông</t>
        </is>
      </c>
      <c r="F366" s="11" t="n">
        <v>206.31</v>
      </c>
      <c r="G366" s="11" t="n">
        <v>2159.25</v>
      </c>
      <c r="H366" s="11" t="n">
        <v>0</v>
      </c>
      <c r="I366" s="11" t="n">
        <v>10</v>
      </c>
    </row>
    <row r="367" ht="15.75" customHeight="1" s="57">
      <c r="A367" s="39" t="inlineStr">
        <is>
          <t>2026-10-01</t>
        </is>
      </c>
      <c r="B367" s="11" t="inlineStr">
        <is>
          <t>ecom</t>
        </is>
      </c>
      <c r="C367" s="11" t="inlineStr">
        <is>
          <t>Shopee Ecom</t>
        </is>
      </c>
      <c r="D367" s="11" t="inlineStr">
        <is>
          <t>04.15-20kg</t>
        </is>
      </c>
      <c r="E367" s="11" t="inlineStr">
        <is>
          <t>Bình Thuận</t>
        </is>
      </c>
      <c r="F367" s="11" t="n">
        <v>15.76</v>
      </c>
      <c r="G367" s="11" t="n">
        <v>265.43</v>
      </c>
      <c r="H367" s="11" t="n">
        <v>0</v>
      </c>
      <c r="I367" s="11" t="n">
        <v>10</v>
      </c>
    </row>
    <row r="368" ht="15.75" customHeight="1" s="57">
      <c r="A368" s="39" t="inlineStr">
        <is>
          <t>2026-10-01</t>
        </is>
      </c>
      <c r="B368" s="11" t="inlineStr">
        <is>
          <t>ecom</t>
        </is>
      </c>
      <c r="C368" s="11" t="inlineStr">
        <is>
          <t>Shopee Ecom</t>
        </is>
      </c>
      <c r="D368" s="11" t="inlineStr">
        <is>
          <t>04.15-20kg</t>
        </is>
      </c>
      <c r="E368" s="11" t="inlineStr">
        <is>
          <t>Khánh Hòa</t>
        </is>
      </c>
      <c r="F368" s="11" t="n">
        <v>21.17</v>
      </c>
      <c r="G368" s="11" t="n">
        <v>356.67</v>
      </c>
      <c r="H368" s="11" t="n">
        <v>0</v>
      </c>
      <c r="I368" s="11" t="n">
        <v>10</v>
      </c>
    </row>
    <row r="369" ht="15.75" customHeight="1" s="57">
      <c r="A369" s="39" t="inlineStr">
        <is>
          <t>2026-10-01</t>
        </is>
      </c>
      <c r="B369" s="11" t="inlineStr">
        <is>
          <t>ecom</t>
        </is>
      </c>
      <c r="C369" s="11" t="inlineStr">
        <is>
          <t>Shopee Ecom</t>
        </is>
      </c>
      <c r="D369" s="11" t="inlineStr">
        <is>
          <t>04.15-20kg</t>
        </is>
      </c>
      <c r="E369" s="11" t="inlineStr">
        <is>
          <t>Lâm Đồng</t>
        </is>
      </c>
      <c r="F369" s="11" t="n">
        <v>26.1</v>
      </c>
      <c r="G369" s="11" t="n">
        <v>439.61</v>
      </c>
      <c r="H369" s="11" t="n">
        <v>0</v>
      </c>
      <c r="I369" s="11" t="n">
        <v>10</v>
      </c>
    </row>
    <row r="370" ht="15.75" customHeight="1" s="57">
      <c r="A370" s="39" t="inlineStr">
        <is>
          <t>2026-10-01</t>
        </is>
      </c>
      <c r="B370" s="11" t="inlineStr">
        <is>
          <t>ecom</t>
        </is>
      </c>
      <c r="C370" s="11" t="inlineStr">
        <is>
          <t>Shopee Ecom</t>
        </is>
      </c>
      <c r="D370" s="11" t="inlineStr">
        <is>
          <t>04.15-20kg</t>
        </is>
      </c>
      <c r="E370" s="11" t="inlineStr">
        <is>
          <t>Ninh Thuận</t>
        </is>
      </c>
      <c r="F370" s="11" t="n">
        <v>6.89</v>
      </c>
      <c r="G370" s="11" t="n">
        <v>116.12</v>
      </c>
      <c r="H370" s="11" t="n">
        <v>0</v>
      </c>
      <c r="I370" s="11" t="n">
        <v>10</v>
      </c>
    </row>
    <row r="371" ht="15.75" customHeight="1" s="57">
      <c r="A371" s="39" t="inlineStr">
        <is>
          <t>2026-10-01</t>
        </is>
      </c>
      <c r="B371" s="11" t="inlineStr">
        <is>
          <t>ecom</t>
        </is>
      </c>
      <c r="C371" s="11" t="inlineStr">
        <is>
          <t>Shopee Ecom</t>
        </is>
      </c>
      <c r="D371" s="11" t="inlineStr">
        <is>
          <t>04.15-20kg</t>
        </is>
      </c>
      <c r="E371" s="11" t="inlineStr">
        <is>
          <t>Đắk Nông</t>
        </is>
      </c>
      <c r="F371" s="11" t="n">
        <v>7.88</v>
      </c>
      <c r="G371" s="11" t="n">
        <v>132.71</v>
      </c>
      <c r="H371" s="11" t="n">
        <v>0</v>
      </c>
      <c r="I371" s="11" t="n">
        <v>10</v>
      </c>
    </row>
    <row r="372" ht="15.75" customHeight="1" s="57">
      <c r="A372" s="39" t="inlineStr">
        <is>
          <t>2026-10-01</t>
        </is>
      </c>
      <c r="B372" s="11" t="inlineStr">
        <is>
          <t>ecom</t>
        </is>
      </c>
      <c r="C372" s="11" t="inlineStr">
        <is>
          <t>Shopee Ecom</t>
        </is>
      </c>
      <c r="D372" s="11" t="inlineStr">
        <is>
          <t>05.&gt;=20kg</t>
        </is>
      </c>
      <c r="E372" s="11" t="inlineStr">
        <is>
          <t>Bình Thuận</t>
        </is>
      </c>
      <c r="F372" s="11" t="n">
        <v>15.76</v>
      </c>
      <c r="G372" s="11" t="n">
        <v>554.95</v>
      </c>
      <c r="H372" s="11" t="n">
        <v>0</v>
      </c>
      <c r="I372" s="11" t="n">
        <v>10</v>
      </c>
    </row>
    <row r="373" ht="15.75" customHeight="1" s="57">
      <c r="A373" s="39" t="inlineStr">
        <is>
          <t>2026-10-01</t>
        </is>
      </c>
      <c r="B373" s="11" t="inlineStr">
        <is>
          <t>ecom</t>
        </is>
      </c>
      <c r="C373" s="11" t="inlineStr">
        <is>
          <t>Shopee Ecom</t>
        </is>
      </c>
      <c r="D373" s="11" t="inlineStr">
        <is>
          <t>05.&gt;=20kg</t>
        </is>
      </c>
      <c r="E373" s="11" t="inlineStr">
        <is>
          <t>Khánh Hòa</t>
        </is>
      </c>
      <c r="F373" s="11" t="n">
        <v>12.31</v>
      </c>
      <c r="G373" s="11" t="n">
        <v>433.55</v>
      </c>
      <c r="H373" s="11" t="n">
        <v>0</v>
      </c>
      <c r="I373" s="11" t="n">
        <v>10</v>
      </c>
    </row>
    <row r="374" ht="15.75" customHeight="1" s="57">
      <c r="A374" s="39" t="inlineStr">
        <is>
          <t>2026-10-01</t>
        </is>
      </c>
      <c r="B374" s="11" t="inlineStr">
        <is>
          <t>ecom</t>
        </is>
      </c>
      <c r="C374" s="11" t="inlineStr">
        <is>
          <t>Shopee Ecom</t>
        </is>
      </c>
      <c r="D374" s="11" t="inlineStr">
        <is>
          <t>05.&gt;=20kg</t>
        </is>
      </c>
      <c r="E374" s="11" t="inlineStr">
        <is>
          <t>Lâm Đồng</t>
        </is>
      </c>
      <c r="F374" s="11" t="n">
        <v>24.13</v>
      </c>
      <c r="G374" s="11" t="n">
        <v>849.76</v>
      </c>
      <c r="H374" s="11" t="n">
        <v>0</v>
      </c>
      <c r="I374" s="11" t="n">
        <v>10</v>
      </c>
    </row>
    <row r="375" ht="15.75" customHeight="1" s="57">
      <c r="A375" s="39" t="inlineStr">
        <is>
          <t>2026-10-01</t>
        </is>
      </c>
      <c r="B375" s="11" t="inlineStr">
        <is>
          <t>ecom</t>
        </is>
      </c>
      <c r="C375" s="11" t="inlineStr">
        <is>
          <t>Shopee Ecom</t>
        </is>
      </c>
      <c r="D375" s="11" t="inlineStr">
        <is>
          <t>05.&gt;=20kg</t>
        </is>
      </c>
      <c r="E375" s="11" t="inlineStr">
        <is>
          <t>Ninh Thuận</t>
        </is>
      </c>
      <c r="F375" s="11" t="n">
        <v>2.46</v>
      </c>
      <c r="G375" s="11" t="n">
        <v>86.70999999999999</v>
      </c>
      <c r="H375" s="11" t="n">
        <v>0</v>
      </c>
      <c r="I375" s="11" t="n">
        <v>10</v>
      </c>
    </row>
    <row r="376" ht="15.75" customHeight="1" s="57">
      <c r="A376" s="39" t="inlineStr">
        <is>
          <t>2026-10-01</t>
        </is>
      </c>
      <c r="B376" s="11" t="inlineStr">
        <is>
          <t>ecom</t>
        </is>
      </c>
      <c r="C376" s="11" t="inlineStr">
        <is>
          <t>Shopee Ecom</t>
        </is>
      </c>
      <c r="D376" s="11" t="inlineStr">
        <is>
          <t>05.&gt;=20kg</t>
        </is>
      </c>
      <c r="E376" s="11" t="inlineStr">
        <is>
          <t>Đắk Nông</t>
        </is>
      </c>
      <c r="F376" s="11" t="n">
        <v>9.359999999999999</v>
      </c>
      <c r="G376" s="11" t="n">
        <v>329.5</v>
      </c>
      <c r="H376" s="11" t="n">
        <v>0</v>
      </c>
      <c r="I376" s="11" t="n">
        <v>10</v>
      </c>
    </row>
    <row r="377" ht="15.75" customHeight="1" s="57">
      <c r="A377" s="39" t="inlineStr">
        <is>
          <t>2026-10-01</t>
        </is>
      </c>
      <c r="B377" s="11" t="inlineStr">
        <is>
          <t>ecom</t>
        </is>
      </c>
      <c r="C377" s="11" t="inlineStr">
        <is>
          <t>TTS</t>
        </is>
      </c>
      <c r="D377" s="11" t="inlineStr">
        <is>
          <t>01.0-5kg</t>
        </is>
      </c>
      <c r="E377" s="11" t="inlineStr">
        <is>
          <t>Bình Thuận</t>
        </is>
      </c>
      <c r="F377" s="11" t="n">
        <v>115734.76</v>
      </c>
      <c r="G377" s="11" t="n">
        <v>88710.69</v>
      </c>
      <c r="H377" s="11" t="n">
        <v>0</v>
      </c>
      <c r="I377" s="11" t="n">
        <v>10</v>
      </c>
    </row>
    <row r="378" ht="15.75" customHeight="1" s="57">
      <c r="A378" s="39" t="inlineStr">
        <is>
          <t>2026-10-01</t>
        </is>
      </c>
      <c r="B378" s="11" t="inlineStr">
        <is>
          <t>ecom</t>
        </is>
      </c>
      <c r="C378" s="11" t="inlineStr">
        <is>
          <t>TTS</t>
        </is>
      </c>
      <c r="D378" s="11" t="inlineStr">
        <is>
          <t>01.0-5kg</t>
        </is>
      </c>
      <c r="E378" s="11" t="inlineStr">
        <is>
          <t>Khánh Hòa</t>
        </is>
      </c>
      <c r="F378" s="11" t="n">
        <v>135331.63</v>
      </c>
      <c r="G378" s="11" t="n">
        <v>103731.7</v>
      </c>
      <c r="H378" s="11" t="n">
        <v>0</v>
      </c>
      <c r="I378" s="11" t="n">
        <v>10</v>
      </c>
    </row>
    <row r="379" ht="15.75" customHeight="1" s="57">
      <c r="A379" s="39" t="inlineStr">
        <is>
          <t>2026-10-01</t>
        </is>
      </c>
      <c r="B379" s="11" t="inlineStr">
        <is>
          <t>ecom</t>
        </is>
      </c>
      <c r="C379" s="11" t="inlineStr">
        <is>
          <t>TTS</t>
        </is>
      </c>
      <c r="D379" s="11" t="inlineStr">
        <is>
          <t>01.0-5kg</t>
        </is>
      </c>
      <c r="E379" s="11" t="inlineStr">
        <is>
          <t>Lâm Đồng</t>
        </is>
      </c>
      <c r="F379" s="11" t="n">
        <v>124564.96</v>
      </c>
      <c r="G379" s="11" t="n">
        <v>95479.03999999999</v>
      </c>
      <c r="H379" s="11" t="n">
        <v>0</v>
      </c>
      <c r="I379" s="11" t="n">
        <v>10</v>
      </c>
    </row>
    <row r="380" ht="15.75" customHeight="1" s="57">
      <c r="A380" s="39" t="inlineStr">
        <is>
          <t>2026-10-01</t>
        </is>
      </c>
      <c r="B380" s="11" t="inlineStr">
        <is>
          <t>ecom</t>
        </is>
      </c>
      <c r="C380" s="11" t="inlineStr">
        <is>
          <t>TTS</t>
        </is>
      </c>
      <c r="D380" s="11" t="inlineStr">
        <is>
          <t>01.0-5kg</t>
        </is>
      </c>
      <c r="E380" s="11" t="inlineStr">
        <is>
          <t>Ninh Thuận</t>
        </is>
      </c>
      <c r="F380" s="11" t="n">
        <v>52353.69</v>
      </c>
      <c r="G380" s="11" t="n">
        <v>40129.1</v>
      </c>
      <c r="H380" s="11" t="n">
        <v>0</v>
      </c>
      <c r="I380" s="11" t="n">
        <v>10</v>
      </c>
    </row>
    <row r="381" ht="15.75" customHeight="1" s="57">
      <c r="A381" s="39" t="inlineStr">
        <is>
          <t>2026-10-01</t>
        </is>
      </c>
      <c r="B381" s="11" t="inlineStr">
        <is>
          <t>ecom</t>
        </is>
      </c>
      <c r="C381" s="11" t="inlineStr">
        <is>
          <t>TTS</t>
        </is>
      </c>
      <c r="D381" s="11" t="inlineStr">
        <is>
          <t>01.0-5kg</t>
        </is>
      </c>
      <c r="E381" s="11" t="inlineStr">
        <is>
          <t>Đắk Nông</t>
        </is>
      </c>
      <c r="F381" s="11" t="n">
        <v>77116.82000000001</v>
      </c>
      <c r="G381" s="11" t="n">
        <v>59110.04</v>
      </c>
      <c r="H381" s="11" t="n">
        <v>0</v>
      </c>
      <c r="I381" s="11" t="n">
        <v>10</v>
      </c>
    </row>
    <row r="382" ht="15.75" customHeight="1" s="57">
      <c r="A382" s="39" t="inlineStr">
        <is>
          <t>2026-10-01</t>
        </is>
      </c>
      <c r="B382" s="11" t="inlineStr">
        <is>
          <t>ecom</t>
        </is>
      </c>
      <c r="C382" s="11" t="inlineStr">
        <is>
          <t>TTS</t>
        </is>
      </c>
      <c r="D382" s="11" t="inlineStr">
        <is>
          <t>02.5-10kg</t>
        </is>
      </c>
      <c r="E382" s="11" t="inlineStr">
        <is>
          <t>Bình Thuận</t>
        </is>
      </c>
      <c r="F382" s="11" t="n">
        <v>5164.1</v>
      </c>
      <c r="G382" s="11" t="n">
        <v>32782.25</v>
      </c>
      <c r="H382" s="11" t="n">
        <v>0</v>
      </c>
      <c r="I382" s="11" t="n">
        <v>10</v>
      </c>
    </row>
    <row r="383" ht="15.75" customHeight="1" s="57">
      <c r="A383" s="39" t="inlineStr">
        <is>
          <t>2026-10-01</t>
        </is>
      </c>
      <c r="B383" s="11" t="inlineStr">
        <is>
          <t>ecom</t>
        </is>
      </c>
      <c r="C383" s="11" t="inlineStr">
        <is>
          <t>TTS</t>
        </is>
      </c>
      <c r="D383" s="11" t="inlineStr">
        <is>
          <t>02.5-10kg</t>
        </is>
      </c>
      <c r="E383" s="11" t="inlineStr">
        <is>
          <t>Khánh Hòa</t>
        </is>
      </c>
      <c r="F383" s="11" t="n">
        <v>5393.57</v>
      </c>
      <c r="G383" s="11" t="n">
        <v>34238.93</v>
      </c>
      <c r="H383" s="11" t="n">
        <v>0</v>
      </c>
      <c r="I383" s="11" t="n">
        <v>10</v>
      </c>
    </row>
    <row r="384" ht="15.75" customHeight="1" s="57">
      <c r="A384" s="39" t="inlineStr">
        <is>
          <t>2026-10-01</t>
        </is>
      </c>
      <c r="B384" s="11" t="inlineStr">
        <is>
          <t>ecom</t>
        </is>
      </c>
      <c r="C384" s="11" t="inlineStr">
        <is>
          <t>TTS</t>
        </is>
      </c>
      <c r="D384" s="11" t="inlineStr">
        <is>
          <t>02.5-10kg</t>
        </is>
      </c>
      <c r="E384" s="11" t="inlineStr">
        <is>
          <t>Lâm Đồng</t>
        </is>
      </c>
      <c r="F384" s="11" t="n">
        <v>6573.23</v>
      </c>
      <c r="G384" s="11" t="n">
        <v>41727.53</v>
      </c>
      <c r="H384" s="11" t="n">
        <v>0</v>
      </c>
      <c r="I384" s="11" t="n">
        <v>10</v>
      </c>
    </row>
    <row r="385" ht="15.75" customHeight="1" s="57">
      <c r="A385" s="39" t="inlineStr">
        <is>
          <t>2026-10-01</t>
        </is>
      </c>
      <c r="B385" s="11" t="inlineStr">
        <is>
          <t>ecom</t>
        </is>
      </c>
      <c r="C385" s="11" t="inlineStr">
        <is>
          <t>TTS</t>
        </is>
      </c>
      <c r="D385" s="11" t="inlineStr">
        <is>
          <t>02.5-10kg</t>
        </is>
      </c>
      <c r="E385" s="11" t="inlineStr">
        <is>
          <t>Ninh Thuận</t>
        </is>
      </c>
      <c r="F385" s="11" t="n">
        <v>2058.21</v>
      </c>
      <c r="G385" s="11" t="n">
        <v>13065.71</v>
      </c>
      <c r="H385" s="11" t="n">
        <v>0</v>
      </c>
      <c r="I385" s="11" t="n">
        <v>10</v>
      </c>
    </row>
    <row r="386" ht="15.75" customHeight="1" s="57">
      <c r="A386" s="39" t="inlineStr">
        <is>
          <t>2026-10-01</t>
        </is>
      </c>
      <c r="B386" s="11" t="inlineStr">
        <is>
          <t>ecom</t>
        </is>
      </c>
      <c r="C386" s="11" t="inlineStr">
        <is>
          <t>TTS</t>
        </is>
      </c>
      <c r="D386" s="11" t="inlineStr">
        <is>
          <t>02.5-10kg</t>
        </is>
      </c>
      <c r="E386" s="11" t="inlineStr">
        <is>
          <t>Đắk Nông</t>
        </is>
      </c>
      <c r="F386" s="11" t="n">
        <v>3495.34</v>
      </c>
      <c r="G386" s="11" t="n">
        <v>22188.8</v>
      </c>
      <c r="H386" s="11" t="n">
        <v>0</v>
      </c>
      <c r="I386" s="11" t="n">
        <v>10</v>
      </c>
    </row>
    <row r="387" ht="15.75" customHeight="1" s="57">
      <c r="A387" s="39" t="inlineStr">
        <is>
          <t>2026-10-01</t>
        </is>
      </c>
      <c r="B387" s="11" t="inlineStr">
        <is>
          <t>ecom</t>
        </is>
      </c>
      <c r="C387" s="11" t="inlineStr">
        <is>
          <t>TTS</t>
        </is>
      </c>
      <c r="D387" s="11" t="inlineStr">
        <is>
          <t>03.10-15kg</t>
        </is>
      </c>
      <c r="E387" s="11" t="inlineStr">
        <is>
          <t>Bình Thuận</t>
        </is>
      </c>
      <c r="F387" s="11" t="n">
        <v>1960.71</v>
      </c>
      <c r="G387" s="11" t="n">
        <v>22601.9</v>
      </c>
      <c r="H387" s="11" t="n">
        <v>0</v>
      </c>
      <c r="I387" s="11" t="n">
        <v>10</v>
      </c>
    </row>
    <row r="388" ht="15.75" customHeight="1" s="57">
      <c r="A388" s="39" t="inlineStr">
        <is>
          <t>2026-10-01</t>
        </is>
      </c>
      <c r="B388" s="11" t="inlineStr">
        <is>
          <t>ecom</t>
        </is>
      </c>
      <c r="C388" s="11" t="inlineStr">
        <is>
          <t>TTS</t>
        </is>
      </c>
      <c r="D388" s="11" t="inlineStr">
        <is>
          <t>03.10-15kg</t>
        </is>
      </c>
      <c r="E388" s="11" t="inlineStr">
        <is>
          <t>Khánh Hòa</t>
        </is>
      </c>
      <c r="F388" s="11" t="n">
        <v>2323.23</v>
      </c>
      <c r="G388" s="11" t="n">
        <v>26780.77</v>
      </c>
      <c r="H388" s="11" t="n">
        <v>0</v>
      </c>
      <c r="I388" s="11" t="n">
        <v>10</v>
      </c>
    </row>
    <row r="389" ht="15.75" customHeight="1" s="57">
      <c r="A389" s="39" t="inlineStr">
        <is>
          <t>2026-10-01</t>
        </is>
      </c>
      <c r="B389" s="11" t="inlineStr">
        <is>
          <t>ecom</t>
        </is>
      </c>
      <c r="C389" s="11" t="inlineStr">
        <is>
          <t>TTS</t>
        </is>
      </c>
      <c r="D389" s="11" t="inlineStr">
        <is>
          <t>03.10-15kg</t>
        </is>
      </c>
      <c r="E389" s="11" t="inlineStr">
        <is>
          <t>Lâm Đồng</t>
        </is>
      </c>
      <c r="F389" s="11" t="n">
        <v>2595.25</v>
      </c>
      <c r="G389" s="11" t="n">
        <v>29916.48</v>
      </c>
      <c r="H389" s="11" t="n">
        <v>0</v>
      </c>
      <c r="I389" s="11" t="n">
        <v>10</v>
      </c>
    </row>
    <row r="390" ht="15.75" customHeight="1" s="57">
      <c r="A390" s="39" t="inlineStr">
        <is>
          <t>2026-10-01</t>
        </is>
      </c>
      <c r="B390" s="11" t="inlineStr">
        <is>
          <t>ecom</t>
        </is>
      </c>
      <c r="C390" s="11" t="inlineStr">
        <is>
          <t>TTS</t>
        </is>
      </c>
      <c r="D390" s="11" t="inlineStr">
        <is>
          <t>03.10-15kg</t>
        </is>
      </c>
      <c r="E390" s="11" t="inlineStr">
        <is>
          <t>Ninh Thuận</t>
        </is>
      </c>
      <c r="F390" s="11" t="n">
        <v>865.62</v>
      </c>
      <c r="G390" s="11" t="n">
        <v>9978.370000000001</v>
      </c>
      <c r="H390" s="11" t="n">
        <v>0</v>
      </c>
      <c r="I390" s="11" t="n">
        <v>10</v>
      </c>
    </row>
    <row r="391" ht="15.75" customHeight="1" s="57">
      <c r="A391" s="39" t="inlineStr">
        <is>
          <t>2026-10-01</t>
        </is>
      </c>
      <c r="B391" s="11" t="inlineStr">
        <is>
          <t>ecom</t>
        </is>
      </c>
      <c r="C391" s="11" t="inlineStr">
        <is>
          <t>TTS</t>
        </is>
      </c>
      <c r="D391" s="11" t="inlineStr">
        <is>
          <t>03.10-15kg</t>
        </is>
      </c>
      <c r="E391" s="11" t="inlineStr">
        <is>
          <t>Đắk Nông</t>
        </is>
      </c>
      <c r="F391" s="11" t="n">
        <v>1284.7</v>
      </c>
      <c r="G391" s="11" t="n">
        <v>14809.21</v>
      </c>
      <c r="H391" s="11" t="n">
        <v>0</v>
      </c>
      <c r="I391" s="11" t="n">
        <v>10</v>
      </c>
    </row>
    <row r="392" ht="15.75" customHeight="1" s="57">
      <c r="A392" s="39" t="inlineStr">
        <is>
          <t>2026-10-01</t>
        </is>
      </c>
      <c r="B392" s="11" t="inlineStr">
        <is>
          <t>ecom</t>
        </is>
      </c>
      <c r="C392" s="11" t="inlineStr">
        <is>
          <t>TTS</t>
        </is>
      </c>
      <c r="D392" s="11" t="inlineStr">
        <is>
          <t>04.15-20kg</t>
        </is>
      </c>
      <c r="E392" s="11" t="inlineStr">
        <is>
          <t>Bình Thuận</t>
        </is>
      </c>
      <c r="F392" s="11" t="n">
        <v>692.71</v>
      </c>
      <c r="G392" s="11" t="n">
        <v>11457.33</v>
      </c>
      <c r="H392" s="11" t="n">
        <v>0</v>
      </c>
      <c r="I392" s="11" t="n">
        <v>10</v>
      </c>
    </row>
    <row r="393" ht="15.75" customHeight="1" s="57">
      <c r="A393" s="39" t="inlineStr">
        <is>
          <t>2026-10-01</t>
        </is>
      </c>
      <c r="B393" s="11" t="inlineStr">
        <is>
          <t>ecom</t>
        </is>
      </c>
      <c r="C393" s="11" t="inlineStr">
        <is>
          <t>TTS</t>
        </is>
      </c>
      <c r="D393" s="11" t="inlineStr">
        <is>
          <t>04.15-20kg</t>
        </is>
      </c>
      <c r="E393" s="11" t="inlineStr">
        <is>
          <t>Khánh Hòa</t>
        </is>
      </c>
      <c r="F393" s="11" t="n">
        <v>937.8</v>
      </c>
      <c r="G393" s="11" t="n">
        <v>15511.05</v>
      </c>
      <c r="H393" s="11" t="n">
        <v>0</v>
      </c>
      <c r="I393" s="11" t="n">
        <v>10</v>
      </c>
    </row>
    <row r="394" ht="15.75" customHeight="1" s="57">
      <c r="A394" s="39" t="inlineStr">
        <is>
          <t>2026-10-01</t>
        </is>
      </c>
      <c r="B394" s="11" t="inlineStr">
        <is>
          <t>ecom</t>
        </is>
      </c>
      <c r="C394" s="11" t="inlineStr">
        <is>
          <t>TTS</t>
        </is>
      </c>
      <c r="D394" s="11" t="inlineStr">
        <is>
          <t>04.15-20kg</t>
        </is>
      </c>
      <c r="E394" s="11" t="inlineStr">
        <is>
          <t>Lâm Đồng</t>
        </is>
      </c>
      <c r="F394" s="11" t="n">
        <v>1047.15</v>
      </c>
      <c r="G394" s="11" t="n">
        <v>17319.64</v>
      </c>
      <c r="H394" s="11" t="n">
        <v>0</v>
      </c>
      <c r="I394" s="11" t="n">
        <v>10</v>
      </c>
    </row>
    <row r="395" ht="15.75" customHeight="1" s="57">
      <c r="A395" s="39" t="inlineStr">
        <is>
          <t>2026-10-01</t>
        </is>
      </c>
      <c r="B395" s="11" t="inlineStr">
        <is>
          <t>ecom</t>
        </is>
      </c>
      <c r="C395" s="11" t="inlineStr">
        <is>
          <t>TTS</t>
        </is>
      </c>
      <c r="D395" s="11" t="inlineStr">
        <is>
          <t>04.15-20kg</t>
        </is>
      </c>
      <c r="E395" s="11" t="inlineStr">
        <is>
          <t>Ninh Thuận</t>
        </is>
      </c>
      <c r="F395" s="11" t="n">
        <v>294.65</v>
      </c>
      <c r="G395" s="11" t="n">
        <v>4873.38</v>
      </c>
      <c r="H395" s="11" t="n">
        <v>0</v>
      </c>
      <c r="I395" s="11" t="n">
        <v>10</v>
      </c>
    </row>
    <row r="396" ht="15.75" customHeight="1" s="57">
      <c r="A396" s="39" t="inlineStr">
        <is>
          <t>2026-10-01</t>
        </is>
      </c>
      <c r="B396" s="11" t="inlineStr">
        <is>
          <t>ecom</t>
        </is>
      </c>
      <c r="C396" s="11" t="inlineStr">
        <is>
          <t>TTS</t>
        </is>
      </c>
      <c r="D396" s="11" t="inlineStr">
        <is>
          <t>04.15-20kg</t>
        </is>
      </c>
      <c r="E396" s="11" t="inlineStr">
        <is>
          <t>Đắk Nông</t>
        </is>
      </c>
      <c r="F396" s="11" t="n">
        <v>528.96</v>
      </c>
      <c r="G396" s="11" t="n">
        <v>8748.91</v>
      </c>
      <c r="H396" s="11" t="n">
        <v>0</v>
      </c>
      <c r="I396" s="11" t="n">
        <v>10</v>
      </c>
    </row>
    <row r="397" ht="15.75" customHeight="1" s="57">
      <c r="A397" s="39" t="inlineStr">
        <is>
          <t>2026-10-01</t>
        </is>
      </c>
      <c r="B397" s="11" t="inlineStr">
        <is>
          <t>ecom</t>
        </is>
      </c>
      <c r="C397" s="11" t="inlineStr">
        <is>
          <t>TTS</t>
        </is>
      </c>
      <c r="D397" s="11" t="inlineStr">
        <is>
          <t>05.&gt;=20kg</t>
        </is>
      </c>
      <c r="E397" s="11" t="inlineStr">
        <is>
          <t>Bình Thuận</t>
        </is>
      </c>
      <c r="F397" s="11" t="n">
        <v>696.48</v>
      </c>
      <c r="G397" s="11" t="n">
        <v>24991.43</v>
      </c>
      <c r="H397" s="11" t="n">
        <v>0</v>
      </c>
      <c r="I397" s="11" t="n">
        <v>10</v>
      </c>
    </row>
    <row r="398" ht="15.75" customHeight="1" s="57">
      <c r="A398" s="39" t="inlineStr">
        <is>
          <t>2026-10-01</t>
        </is>
      </c>
      <c r="B398" s="11" t="inlineStr">
        <is>
          <t>ecom</t>
        </is>
      </c>
      <c r="C398" s="11" t="inlineStr">
        <is>
          <t>TTS</t>
        </is>
      </c>
      <c r="D398" s="11" t="inlineStr">
        <is>
          <t>05.&gt;=20kg</t>
        </is>
      </c>
      <c r="E398" s="11" t="inlineStr">
        <is>
          <t>Khánh Hòa</t>
        </is>
      </c>
      <c r="F398" s="11" t="n">
        <v>966.89</v>
      </c>
      <c r="G398" s="11" t="n">
        <v>34694.21</v>
      </c>
      <c r="H398" s="11" t="n">
        <v>0</v>
      </c>
      <c r="I398" s="11" t="n">
        <v>10</v>
      </c>
    </row>
    <row r="399" ht="15.75" customHeight="1" s="57">
      <c r="A399" s="39" t="inlineStr">
        <is>
          <t>2026-10-01</t>
        </is>
      </c>
      <c r="B399" s="11" t="inlineStr">
        <is>
          <t>ecom</t>
        </is>
      </c>
      <c r="C399" s="11" t="inlineStr">
        <is>
          <t>TTS</t>
        </is>
      </c>
      <c r="D399" s="11" t="inlineStr">
        <is>
          <t>05.&gt;=20kg</t>
        </is>
      </c>
      <c r="E399" s="11" t="inlineStr">
        <is>
          <t>Lâm Đồng</t>
        </is>
      </c>
      <c r="F399" s="11" t="n">
        <v>957.73</v>
      </c>
      <c r="G399" s="11" t="n">
        <v>34365.63</v>
      </c>
      <c r="H399" s="11" t="n">
        <v>0</v>
      </c>
      <c r="I399" s="11" t="n">
        <v>10</v>
      </c>
    </row>
    <row r="400" ht="15.75" customHeight="1" s="57">
      <c r="A400" s="39" t="inlineStr">
        <is>
          <t>2026-10-01</t>
        </is>
      </c>
      <c r="B400" s="11" t="inlineStr">
        <is>
          <t>ecom</t>
        </is>
      </c>
      <c r="C400" s="11" t="inlineStr">
        <is>
          <t>TTS</t>
        </is>
      </c>
      <c r="D400" s="11" t="inlineStr">
        <is>
          <t>05.&gt;=20kg</t>
        </is>
      </c>
      <c r="E400" s="11" t="inlineStr">
        <is>
          <t>Ninh Thuận</t>
        </is>
      </c>
      <c r="F400" s="11" t="n">
        <v>301.11</v>
      </c>
      <c r="G400" s="11" t="n">
        <v>10804.49</v>
      </c>
      <c r="H400" s="11" t="n">
        <v>0</v>
      </c>
      <c r="I400" s="11" t="n">
        <v>10</v>
      </c>
    </row>
    <row r="401" ht="15.75" customHeight="1" s="57">
      <c r="A401" s="39" t="inlineStr">
        <is>
          <t>2026-10-01</t>
        </is>
      </c>
      <c r="B401" s="11" t="inlineStr">
        <is>
          <t>ecom</t>
        </is>
      </c>
      <c r="C401" s="11" t="inlineStr">
        <is>
          <t>TTS</t>
        </is>
      </c>
      <c r="D401" s="11" t="inlineStr">
        <is>
          <t>05.&gt;=20kg</t>
        </is>
      </c>
      <c r="E401" s="11" t="inlineStr">
        <is>
          <t>Đắk Nông</t>
        </is>
      </c>
      <c r="F401" s="11" t="n">
        <v>443.31</v>
      </c>
      <c r="G401" s="11" t="n">
        <v>15907.15</v>
      </c>
      <c r="H401" s="11" t="n">
        <v>0</v>
      </c>
      <c r="I401" s="11" t="n">
        <v>10</v>
      </c>
    </row>
    <row r="402" ht="15.75" customHeight="1" s="57">
      <c r="A402" s="39" t="inlineStr">
        <is>
          <t>2026-11-01</t>
        </is>
      </c>
      <c r="B402" s="11" t="inlineStr">
        <is>
          <t>sme</t>
        </is>
      </c>
      <c r="C402" s="11" t="inlineStr">
        <is>
          <t>SME</t>
        </is>
      </c>
      <c r="D402" s="11" t="inlineStr">
        <is>
          <t>01.0-5kg</t>
        </is>
      </c>
      <c r="E402" s="11" t="inlineStr">
        <is>
          <t>Bình Thuận</t>
        </is>
      </c>
      <c r="F402" s="11" t="n">
        <v>184699.19</v>
      </c>
      <c r="G402" s="11" t="n">
        <v>127885.72</v>
      </c>
      <c r="H402" s="11" t="n">
        <v>0</v>
      </c>
      <c r="I402" s="11" t="n">
        <v>11</v>
      </c>
    </row>
    <row r="403" ht="15.75" customHeight="1" s="57">
      <c r="A403" s="39" t="inlineStr">
        <is>
          <t>2026-11-01</t>
        </is>
      </c>
      <c r="B403" s="11" t="inlineStr">
        <is>
          <t>sme</t>
        </is>
      </c>
      <c r="C403" s="11" t="inlineStr">
        <is>
          <t>SME</t>
        </is>
      </c>
      <c r="D403" s="11" t="inlineStr">
        <is>
          <t>01.0-5kg</t>
        </is>
      </c>
      <c r="E403" s="11" t="inlineStr">
        <is>
          <t>Khánh Hòa</t>
        </is>
      </c>
      <c r="F403" s="11" t="n">
        <v>227468.48</v>
      </c>
      <c r="G403" s="11" t="n">
        <v>157499.17</v>
      </c>
      <c r="H403" s="11" t="n">
        <v>0</v>
      </c>
      <c r="I403" s="11" t="n">
        <v>11</v>
      </c>
    </row>
    <row r="404" ht="15.75" customHeight="1" s="57">
      <c r="A404" s="39" t="inlineStr">
        <is>
          <t>2026-11-01</t>
        </is>
      </c>
      <c r="B404" s="11" t="inlineStr">
        <is>
          <t>sme</t>
        </is>
      </c>
      <c r="C404" s="11" t="inlineStr">
        <is>
          <t>SME</t>
        </is>
      </c>
      <c r="D404" s="11" t="inlineStr">
        <is>
          <t>01.0-5kg</t>
        </is>
      </c>
      <c r="E404" s="11" t="inlineStr">
        <is>
          <t>Lâm Đồng</t>
        </is>
      </c>
      <c r="F404" s="11" t="n">
        <v>246826.92</v>
      </c>
      <c r="G404" s="11" t="n">
        <v>170902.96</v>
      </c>
      <c r="H404" s="11" t="n">
        <v>0</v>
      </c>
      <c r="I404" s="11" t="n">
        <v>11</v>
      </c>
    </row>
    <row r="405" ht="15.75" customHeight="1" s="57">
      <c r="A405" s="39" t="inlineStr">
        <is>
          <t>2026-11-01</t>
        </is>
      </c>
      <c r="B405" s="11" t="inlineStr">
        <is>
          <t>sme</t>
        </is>
      </c>
      <c r="C405" s="11" t="inlineStr">
        <is>
          <t>SME</t>
        </is>
      </c>
      <c r="D405" s="11" t="inlineStr">
        <is>
          <t>01.0-5kg</t>
        </is>
      </c>
      <c r="E405" s="11" t="inlineStr">
        <is>
          <t>Ninh Thuận</t>
        </is>
      </c>
      <c r="F405" s="11" t="n">
        <v>73714.02</v>
      </c>
      <c r="G405" s="11" t="n">
        <v>51039.59</v>
      </c>
      <c r="H405" s="11" t="n">
        <v>0</v>
      </c>
      <c r="I405" s="11" t="n">
        <v>11</v>
      </c>
    </row>
    <row r="406" ht="15.75" customHeight="1" s="57">
      <c r="A406" s="39" t="inlineStr">
        <is>
          <t>2026-11-01</t>
        </is>
      </c>
      <c r="B406" s="11" t="inlineStr">
        <is>
          <t>sme</t>
        </is>
      </c>
      <c r="C406" s="11" t="inlineStr">
        <is>
          <t>SME</t>
        </is>
      </c>
      <c r="D406" s="11" t="inlineStr">
        <is>
          <t>01.0-5kg</t>
        </is>
      </c>
      <c r="E406" s="11" t="inlineStr">
        <is>
          <t>Đắk Nông</t>
        </is>
      </c>
      <c r="F406" s="11" t="n">
        <v>97123.39999999999</v>
      </c>
      <c r="G406" s="11" t="n">
        <v>67248.24000000001</v>
      </c>
      <c r="H406" s="11" t="n">
        <v>0</v>
      </c>
      <c r="I406" s="11" t="n">
        <v>11</v>
      </c>
    </row>
    <row r="407" ht="15.75" customHeight="1" s="57">
      <c r="A407" s="39" t="inlineStr">
        <is>
          <t>2026-11-01</t>
        </is>
      </c>
      <c r="B407" s="11" t="inlineStr">
        <is>
          <t>sme</t>
        </is>
      </c>
      <c r="C407" s="11" t="inlineStr">
        <is>
          <t>SME</t>
        </is>
      </c>
      <c r="D407" s="11" t="inlineStr">
        <is>
          <t>02.5-10kg</t>
        </is>
      </c>
      <c r="E407" s="11" t="inlineStr">
        <is>
          <t>Bình Thuận</t>
        </is>
      </c>
      <c r="F407" s="11" t="n">
        <v>12090.22</v>
      </c>
      <c r="G407" s="11" t="n">
        <v>73872.42999999999</v>
      </c>
      <c r="H407" s="11" t="n">
        <v>0</v>
      </c>
      <c r="I407" s="11" t="n">
        <v>11</v>
      </c>
    </row>
    <row r="408" ht="15.75" customHeight="1" s="57">
      <c r="A408" s="39" t="inlineStr">
        <is>
          <t>2026-11-01</t>
        </is>
      </c>
      <c r="B408" s="11" t="inlineStr">
        <is>
          <t>sme</t>
        </is>
      </c>
      <c r="C408" s="11" t="inlineStr">
        <is>
          <t>SME</t>
        </is>
      </c>
      <c r="D408" s="11" t="inlineStr">
        <is>
          <t>02.5-10kg</t>
        </is>
      </c>
      <c r="E408" s="11" t="inlineStr">
        <is>
          <t>Khánh Hòa</t>
        </is>
      </c>
      <c r="F408" s="11" t="n">
        <v>12193.45</v>
      </c>
      <c r="G408" s="11" t="n">
        <v>74503.17999999999</v>
      </c>
      <c r="H408" s="11" t="n">
        <v>0</v>
      </c>
      <c r="I408" s="11" t="n">
        <v>11</v>
      </c>
    </row>
    <row r="409" ht="15.75" customHeight="1" s="57">
      <c r="A409" s="39" t="inlineStr">
        <is>
          <t>2026-11-01</t>
        </is>
      </c>
      <c r="B409" s="11" t="inlineStr">
        <is>
          <t>sme</t>
        </is>
      </c>
      <c r="C409" s="11" t="inlineStr">
        <is>
          <t>SME</t>
        </is>
      </c>
      <c r="D409" s="11" t="inlineStr">
        <is>
          <t>02.5-10kg</t>
        </is>
      </c>
      <c r="E409" s="11" t="inlineStr">
        <is>
          <t>Lâm Đồng</t>
        </is>
      </c>
      <c r="F409" s="11" t="n">
        <v>16162.69</v>
      </c>
      <c r="G409" s="11" t="n">
        <v>98755.64999999999</v>
      </c>
      <c r="H409" s="11" t="n">
        <v>0</v>
      </c>
      <c r="I409" s="11" t="n">
        <v>11</v>
      </c>
    </row>
    <row r="410" ht="15.75" customHeight="1" s="57">
      <c r="A410" s="39" t="inlineStr">
        <is>
          <t>2026-11-01</t>
        </is>
      </c>
      <c r="B410" s="11" t="inlineStr">
        <is>
          <t>sme</t>
        </is>
      </c>
      <c r="C410" s="11" t="inlineStr">
        <is>
          <t>SME</t>
        </is>
      </c>
      <c r="D410" s="11" t="inlineStr">
        <is>
          <t>02.5-10kg</t>
        </is>
      </c>
      <c r="E410" s="11" t="inlineStr">
        <is>
          <t>Ninh Thuận</t>
        </is>
      </c>
      <c r="F410" s="11" t="n">
        <v>4396.35</v>
      </c>
      <c r="G410" s="11" t="n">
        <v>26862.16</v>
      </c>
      <c r="H410" s="11" t="n">
        <v>0</v>
      </c>
      <c r="I410" s="11" t="n">
        <v>11</v>
      </c>
    </row>
    <row r="411" ht="15.75" customHeight="1" s="57">
      <c r="A411" s="39" t="inlineStr">
        <is>
          <t>2026-11-01</t>
        </is>
      </c>
      <c r="B411" s="11" t="inlineStr">
        <is>
          <t>sme</t>
        </is>
      </c>
      <c r="C411" s="11" t="inlineStr">
        <is>
          <t>SME</t>
        </is>
      </c>
      <c r="D411" s="11" t="inlineStr">
        <is>
          <t>02.5-10kg</t>
        </is>
      </c>
      <c r="E411" s="11" t="inlineStr">
        <is>
          <t>Đắk Nông</t>
        </is>
      </c>
      <c r="F411" s="11" t="n">
        <v>6413.02</v>
      </c>
      <c r="G411" s="11" t="n">
        <v>39184.2</v>
      </c>
      <c r="H411" s="11" t="n">
        <v>0</v>
      </c>
      <c r="I411" s="11" t="n">
        <v>11</v>
      </c>
    </row>
    <row r="412" ht="15.75" customHeight="1" s="57">
      <c r="A412" s="39" t="inlineStr">
        <is>
          <t>2026-11-01</t>
        </is>
      </c>
      <c r="B412" s="11" t="inlineStr">
        <is>
          <t>sme</t>
        </is>
      </c>
      <c r="C412" s="11" t="inlineStr">
        <is>
          <t>SME</t>
        </is>
      </c>
      <c r="D412" s="11" t="inlineStr">
        <is>
          <t>03.10-15kg</t>
        </is>
      </c>
      <c r="E412" s="11" t="inlineStr">
        <is>
          <t>Bình Thuận</t>
        </is>
      </c>
      <c r="F412" s="11" t="n">
        <v>6101.37</v>
      </c>
      <c r="G412" s="11" t="n">
        <v>68914.99000000001</v>
      </c>
      <c r="H412" s="11" t="n">
        <v>0</v>
      </c>
      <c r="I412" s="11" t="n">
        <v>11</v>
      </c>
    </row>
    <row r="413" ht="15.75" customHeight="1" s="57">
      <c r="A413" s="39" t="inlineStr">
        <is>
          <t>2026-11-01</t>
        </is>
      </c>
      <c r="B413" s="11" t="inlineStr">
        <is>
          <t>sme</t>
        </is>
      </c>
      <c r="C413" s="11" t="inlineStr">
        <is>
          <t>SME</t>
        </is>
      </c>
      <c r="D413" s="11" t="inlineStr">
        <is>
          <t>03.10-15kg</t>
        </is>
      </c>
      <c r="E413" s="11" t="inlineStr">
        <is>
          <t>Khánh Hòa</t>
        </is>
      </c>
      <c r="F413" s="11" t="n">
        <v>6307.83</v>
      </c>
      <c r="G413" s="11" t="n">
        <v>71246.97</v>
      </c>
      <c r="H413" s="11" t="n">
        <v>0</v>
      </c>
      <c r="I413" s="11" t="n">
        <v>11</v>
      </c>
    </row>
    <row r="414" ht="15.75" customHeight="1" s="57">
      <c r="A414" s="39" t="inlineStr">
        <is>
          <t>2026-11-01</t>
        </is>
      </c>
      <c r="B414" s="11" t="inlineStr">
        <is>
          <t>sme</t>
        </is>
      </c>
      <c r="C414" s="11" t="inlineStr">
        <is>
          <t>SME</t>
        </is>
      </c>
      <c r="D414" s="11" t="inlineStr">
        <is>
          <t>03.10-15kg</t>
        </is>
      </c>
      <c r="E414" s="11" t="inlineStr">
        <is>
          <t>Lâm Đồng</t>
        </is>
      </c>
      <c r="F414" s="11" t="n">
        <v>9220.799999999999</v>
      </c>
      <c r="G414" s="11" t="n">
        <v>104148.89</v>
      </c>
      <c r="H414" s="11" t="n">
        <v>0</v>
      </c>
      <c r="I414" s="11" t="n">
        <v>11</v>
      </c>
    </row>
    <row r="415" ht="15.75" customHeight="1" s="57">
      <c r="A415" s="39" t="inlineStr">
        <is>
          <t>2026-11-01</t>
        </is>
      </c>
      <c r="B415" s="11" t="inlineStr">
        <is>
          <t>sme</t>
        </is>
      </c>
      <c r="C415" s="11" t="inlineStr">
        <is>
          <t>SME</t>
        </is>
      </c>
      <c r="D415" s="11" t="inlineStr">
        <is>
          <t>03.10-15kg</t>
        </is>
      </c>
      <c r="E415" s="11" t="inlineStr">
        <is>
          <t>Ninh Thuận</t>
        </is>
      </c>
      <c r="F415" s="11" t="n">
        <v>2453.07</v>
      </c>
      <c r="G415" s="11" t="n">
        <v>27707.46</v>
      </c>
      <c r="H415" s="11" t="n">
        <v>0</v>
      </c>
      <c r="I415" s="11" t="n">
        <v>11</v>
      </c>
    </row>
    <row r="416" ht="15.75" customHeight="1" s="57">
      <c r="A416" s="39" t="inlineStr">
        <is>
          <t>2026-11-01</t>
        </is>
      </c>
      <c r="B416" s="11" t="inlineStr">
        <is>
          <t>sme</t>
        </is>
      </c>
      <c r="C416" s="11" t="inlineStr">
        <is>
          <t>SME</t>
        </is>
      </c>
      <c r="D416" s="11" t="inlineStr">
        <is>
          <t>03.10-15kg</t>
        </is>
      </c>
      <c r="E416" s="11" t="inlineStr">
        <is>
          <t>Đắk Nông</t>
        </is>
      </c>
      <c r="F416" s="11" t="n">
        <v>3366.98</v>
      </c>
      <c r="G416" s="11" t="n">
        <v>38030.07</v>
      </c>
      <c r="H416" s="11" t="n">
        <v>0</v>
      </c>
      <c r="I416" s="11" t="n">
        <v>11</v>
      </c>
    </row>
    <row r="417" ht="15.75" customHeight="1" s="57">
      <c r="A417" s="39" t="inlineStr">
        <is>
          <t>2026-11-01</t>
        </is>
      </c>
      <c r="B417" s="11" t="inlineStr">
        <is>
          <t>sme</t>
        </is>
      </c>
      <c r="C417" s="11" t="inlineStr">
        <is>
          <t>SME</t>
        </is>
      </c>
      <c r="D417" s="11" t="inlineStr">
        <is>
          <t>04.15-20kg</t>
        </is>
      </c>
      <c r="E417" s="11" t="inlineStr">
        <is>
          <t>Bình Thuận</t>
        </is>
      </c>
      <c r="F417" s="11" t="n">
        <v>2375.28</v>
      </c>
      <c r="G417" s="11" t="n">
        <v>40488.37</v>
      </c>
      <c r="H417" s="11" t="n">
        <v>0</v>
      </c>
      <c r="I417" s="11" t="n">
        <v>11</v>
      </c>
    </row>
    <row r="418" ht="15.75" customHeight="1" s="57">
      <c r="A418" s="39" t="inlineStr">
        <is>
          <t>2026-11-01</t>
        </is>
      </c>
      <c r="B418" s="11" t="inlineStr">
        <is>
          <t>sme</t>
        </is>
      </c>
      <c r="C418" s="11" t="inlineStr">
        <is>
          <t>SME</t>
        </is>
      </c>
      <c r="D418" s="11" t="inlineStr">
        <is>
          <t>04.15-20kg</t>
        </is>
      </c>
      <c r="E418" s="11" t="inlineStr">
        <is>
          <t>Khánh Hòa</t>
        </is>
      </c>
      <c r="F418" s="11" t="n">
        <v>2957</v>
      </c>
      <c r="G418" s="11" t="n">
        <v>50404.05</v>
      </c>
      <c r="H418" s="11" t="n">
        <v>0</v>
      </c>
      <c r="I418" s="11" t="n">
        <v>11</v>
      </c>
    </row>
    <row r="419" ht="15.75" customHeight="1" s="57">
      <c r="A419" s="39" t="inlineStr">
        <is>
          <t>2026-11-01</t>
        </is>
      </c>
      <c r="B419" s="11" t="inlineStr">
        <is>
          <t>sme</t>
        </is>
      </c>
      <c r="C419" s="11" t="inlineStr">
        <is>
          <t>SME</t>
        </is>
      </c>
      <c r="D419" s="11" t="inlineStr">
        <is>
          <t>04.15-20kg</t>
        </is>
      </c>
      <c r="E419" s="11" t="inlineStr">
        <is>
          <t>Lâm Đồng</t>
        </is>
      </c>
      <c r="F419" s="11" t="n">
        <v>3570.02</v>
      </c>
      <c r="G419" s="11" t="n">
        <v>60853.47</v>
      </c>
      <c r="H419" s="11" t="n">
        <v>0</v>
      </c>
      <c r="I419" s="11" t="n">
        <v>11</v>
      </c>
    </row>
    <row r="420" ht="15.75" customHeight="1" s="57">
      <c r="A420" s="39" t="inlineStr">
        <is>
          <t>2026-11-01</t>
        </is>
      </c>
      <c r="B420" s="11" t="inlineStr">
        <is>
          <t>sme</t>
        </is>
      </c>
      <c r="C420" s="11" t="inlineStr">
        <is>
          <t>SME</t>
        </is>
      </c>
      <c r="D420" s="11" t="inlineStr">
        <is>
          <t>04.15-20kg</t>
        </is>
      </c>
      <c r="E420" s="11" t="inlineStr">
        <is>
          <t>Ninh Thuận</t>
        </is>
      </c>
      <c r="F420" s="11" t="n">
        <v>920.76</v>
      </c>
      <c r="G420" s="11" t="n">
        <v>15694.98</v>
      </c>
      <c r="H420" s="11" t="n">
        <v>0</v>
      </c>
      <c r="I420" s="11" t="n">
        <v>11</v>
      </c>
    </row>
    <row r="421" ht="15.75" customHeight="1" s="57">
      <c r="A421" s="39" t="inlineStr">
        <is>
          <t>2026-11-01</t>
        </is>
      </c>
      <c r="B421" s="11" t="inlineStr">
        <is>
          <t>sme</t>
        </is>
      </c>
      <c r="C421" s="11" t="inlineStr">
        <is>
          <t>SME</t>
        </is>
      </c>
      <c r="D421" s="11" t="inlineStr">
        <is>
          <t>04.15-20kg</t>
        </is>
      </c>
      <c r="E421" s="11" t="inlineStr">
        <is>
          <t>Đắk Nông</t>
        </is>
      </c>
      <c r="F421" s="11" t="n">
        <v>1434.47</v>
      </c>
      <c r="G421" s="11" t="n">
        <v>24451.47</v>
      </c>
      <c r="H421" s="11" t="n">
        <v>0</v>
      </c>
      <c r="I421" s="11" t="n">
        <v>11</v>
      </c>
    </row>
    <row r="422" ht="15.75" customHeight="1" s="57">
      <c r="A422" s="39" t="inlineStr">
        <is>
          <t>2026-11-01</t>
        </is>
      </c>
      <c r="B422" s="11" t="inlineStr">
        <is>
          <t>sme</t>
        </is>
      </c>
      <c r="C422" s="11" t="inlineStr">
        <is>
          <t>SME</t>
        </is>
      </c>
      <c r="D422" s="11" t="inlineStr">
        <is>
          <t>05.&gt;=20kg</t>
        </is>
      </c>
      <c r="E422" s="11" t="inlineStr">
        <is>
          <t>Bình Thuận</t>
        </is>
      </c>
      <c r="F422" s="11" t="n">
        <v>4178.15</v>
      </c>
      <c r="G422" s="11" t="n">
        <v>299540.78</v>
      </c>
      <c r="H422" s="11" t="n">
        <v>0</v>
      </c>
      <c r="I422" s="11" t="n">
        <v>11</v>
      </c>
    </row>
    <row r="423" ht="15.75" customHeight="1" s="57">
      <c r="A423" s="39" t="inlineStr">
        <is>
          <t>2026-11-01</t>
        </is>
      </c>
      <c r="B423" s="11" t="inlineStr">
        <is>
          <t>sme</t>
        </is>
      </c>
      <c r="C423" s="11" t="inlineStr">
        <is>
          <t>SME</t>
        </is>
      </c>
      <c r="D423" s="11" t="inlineStr">
        <is>
          <t>05.&gt;=20kg</t>
        </is>
      </c>
      <c r="E423" s="11" t="inlineStr">
        <is>
          <t>Khánh Hòa</t>
        </is>
      </c>
      <c r="F423" s="11" t="n">
        <v>5382.18</v>
      </c>
      <c r="G423" s="11" t="n">
        <v>385860.44</v>
      </c>
      <c r="H423" s="11" t="n">
        <v>0</v>
      </c>
      <c r="I423" s="11" t="n">
        <v>11</v>
      </c>
    </row>
    <row r="424" ht="15.75" customHeight="1" s="57">
      <c r="A424" s="39" t="inlineStr">
        <is>
          <t>2026-11-01</t>
        </is>
      </c>
      <c r="B424" s="11" t="inlineStr">
        <is>
          <t>sme</t>
        </is>
      </c>
      <c r="C424" s="11" t="inlineStr">
        <is>
          <t>SME</t>
        </is>
      </c>
      <c r="D424" s="11" t="inlineStr">
        <is>
          <t>05.&gt;=20kg</t>
        </is>
      </c>
      <c r="E424" s="11" t="inlineStr">
        <is>
          <t>Lâm Đồng</t>
        </is>
      </c>
      <c r="F424" s="11" t="n">
        <v>6410.57</v>
      </c>
      <c r="G424" s="11" t="n">
        <v>459588.16</v>
      </c>
      <c r="H424" s="11" t="n">
        <v>0</v>
      </c>
      <c r="I424" s="11" t="n">
        <v>11</v>
      </c>
    </row>
    <row r="425" ht="15.75" customHeight="1" s="57">
      <c r="A425" s="39" t="inlineStr">
        <is>
          <t>2026-11-01</t>
        </is>
      </c>
      <c r="B425" s="11" t="inlineStr">
        <is>
          <t>sme</t>
        </is>
      </c>
      <c r="C425" s="11" t="inlineStr">
        <is>
          <t>SME</t>
        </is>
      </c>
      <c r="D425" s="11" t="inlineStr">
        <is>
          <t>05.&gt;=20kg</t>
        </is>
      </c>
      <c r="E425" s="11" t="inlineStr">
        <is>
          <t>Ninh Thuận</t>
        </is>
      </c>
      <c r="F425" s="11" t="n">
        <v>1654.14</v>
      </c>
      <c r="G425" s="11" t="n">
        <v>118588.69</v>
      </c>
      <c r="H425" s="11" t="n">
        <v>0</v>
      </c>
      <c r="I425" s="11" t="n">
        <v>11</v>
      </c>
    </row>
    <row r="426" ht="15.75" customHeight="1" s="57">
      <c r="A426" s="39" t="inlineStr">
        <is>
          <t>2026-11-01</t>
        </is>
      </c>
      <c r="B426" s="11" t="inlineStr">
        <is>
          <t>sme</t>
        </is>
      </c>
      <c r="C426" s="11" t="inlineStr">
        <is>
          <t>SME</t>
        </is>
      </c>
      <c r="D426" s="11" t="inlineStr">
        <is>
          <t>05.&gt;=20kg</t>
        </is>
      </c>
      <c r="E426" s="11" t="inlineStr">
        <is>
          <t>Đắk Nông</t>
        </is>
      </c>
      <c r="F426" s="11" t="n">
        <v>2531.35</v>
      </c>
      <c r="G426" s="11" t="n">
        <v>181478.22</v>
      </c>
      <c r="H426" s="11" t="n">
        <v>0</v>
      </c>
      <c r="I426" s="11" t="n">
        <v>11</v>
      </c>
    </row>
    <row r="427" ht="15.75" customHeight="1" s="57">
      <c r="A427" s="39" t="inlineStr">
        <is>
          <t>2026-11-01</t>
        </is>
      </c>
      <c r="B427" s="11" t="inlineStr">
        <is>
          <t>ecom</t>
        </is>
      </c>
      <c r="C427" s="11" t="inlineStr">
        <is>
          <t>Shopee Bulky</t>
        </is>
      </c>
      <c r="D427" s="11" t="inlineStr">
        <is>
          <t>01.0-5kg</t>
        </is>
      </c>
      <c r="E427" s="11" t="inlineStr">
        <is>
          <t>Bình Thuận</t>
        </is>
      </c>
      <c r="F427" s="11" t="n">
        <v>70.44</v>
      </c>
      <c r="G427" s="11" t="n">
        <v>168.26</v>
      </c>
      <c r="H427" s="11" t="n">
        <v>0</v>
      </c>
      <c r="I427" s="11" t="n">
        <v>11</v>
      </c>
    </row>
    <row r="428" ht="15.75" customHeight="1" s="57">
      <c r="A428" s="39" t="inlineStr">
        <is>
          <t>2026-11-01</t>
        </is>
      </c>
      <c r="B428" s="11" t="inlineStr">
        <is>
          <t>ecom</t>
        </is>
      </c>
      <c r="C428" s="11" t="inlineStr">
        <is>
          <t>Shopee Bulky</t>
        </is>
      </c>
      <c r="D428" s="11" t="inlineStr">
        <is>
          <t>01.0-5kg</t>
        </is>
      </c>
      <c r="E428" s="11" t="inlineStr">
        <is>
          <t>Khánh Hòa</t>
        </is>
      </c>
      <c r="F428" s="11" t="n">
        <v>114.34</v>
      </c>
      <c r="G428" s="11" t="n">
        <v>273.12</v>
      </c>
      <c r="H428" s="11" t="n">
        <v>0</v>
      </c>
      <c r="I428" s="11" t="n">
        <v>11</v>
      </c>
    </row>
    <row r="429" ht="15.75" customHeight="1" s="57">
      <c r="A429" s="39" t="inlineStr">
        <is>
          <t>2026-11-01</t>
        </is>
      </c>
      <c r="B429" s="11" t="inlineStr">
        <is>
          <t>ecom</t>
        </is>
      </c>
      <c r="C429" s="11" t="inlineStr">
        <is>
          <t>Shopee Bulky</t>
        </is>
      </c>
      <c r="D429" s="11" t="inlineStr">
        <is>
          <t>01.0-5kg</t>
        </is>
      </c>
      <c r="E429" s="11" t="inlineStr">
        <is>
          <t>Lâm Đồng</t>
        </is>
      </c>
      <c r="F429" s="11" t="n">
        <v>114.34</v>
      </c>
      <c r="G429" s="11" t="n">
        <v>273.12</v>
      </c>
      <c r="H429" s="11" t="n">
        <v>0</v>
      </c>
      <c r="I429" s="11" t="n">
        <v>11</v>
      </c>
    </row>
    <row r="430" ht="15.75" customHeight="1" s="57">
      <c r="A430" s="39" t="inlineStr">
        <is>
          <t>2026-11-01</t>
        </is>
      </c>
      <c r="B430" s="11" t="inlineStr">
        <is>
          <t>ecom</t>
        </is>
      </c>
      <c r="C430" s="11" t="inlineStr">
        <is>
          <t>Shopee Bulky</t>
        </is>
      </c>
      <c r="D430" s="11" t="inlineStr">
        <is>
          <t>01.0-5kg</t>
        </is>
      </c>
      <c r="E430" s="11" t="inlineStr">
        <is>
          <t>Ninh Thuận</t>
        </is>
      </c>
      <c r="F430" s="11" t="n">
        <v>24.5</v>
      </c>
      <c r="G430" s="11" t="n">
        <v>58.53</v>
      </c>
      <c r="H430" s="11" t="n">
        <v>0</v>
      </c>
      <c r="I430" s="11" t="n">
        <v>11</v>
      </c>
    </row>
    <row r="431" ht="15.75" customHeight="1" s="57">
      <c r="A431" s="39" t="inlineStr">
        <is>
          <t>2026-11-01</t>
        </is>
      </c>
      <c r="B431" s="11" t="inlineStr">
        <is>
          <t>ecom</t>
        </is>
      </c>
      <c r="C431" s="11" t="inlineStr">
        <is>
          <t>Shopee Bulky</t>
        </is>
      </c>
      <c r="D431" s="11" t="inlineStr">
        <is>
          <t>01.0-5kg</t>
        </is>
      </c>
      <c r="E431" s="11" t="inlineStr">
        <is>
          <t>Đắk Nông</t>
        </is>
      </c>
      <c r="F431" s="11" t="n">
        <v>23.48</v>
      </c>
      <c r="G431" s="11" t="n">
        <v>56.09</v>
      </c>
      <c r="H431" s="11" t="n">
        <v>0</v>
      </c>
      <c r="I431" s="11" t="n">
        <v>11</v>
      </c>
    </row>
    <row r="432" ht="15.75" customHeight="1" s="57">
      <c r="A432" s="39" t="inlineStr">
        <is>
          <t>2026-11-01</t>
        </is>
      </c>
      <c r="B432" s="11" t="inlineStr">
        <is>
          <t>ecom</t>
        </is>
      </c>
      <c r="C432" s="11" t="inlineStr">
        <is>
          <t>Shopee Bulky</t>
        </is>
      </c>
      <c r="D432" s="11" t="inlineStr">
        <is>
          <t>02.5-10kg</t>
        </is>
      </c>
      <c r="E432" s="11" t="inlineStr">
        <is>
          <t>Bình Thuận</t>
        </is>
      </c>
      <c r="F432" s="11" t="n">
        <v>264.42</v>
      </c>
      <c r="G432" s="11" t="n">
        <v>2126.39</v>
      </c>
      <c r="H432" s="11" t="n">
        <v>0</v>
      </c>
      <c r="I432" s="11" t="n">
        <v>11</v>
      </c>
    </row>
    <row r="433" ht="15.75" customHeight="1" s="57">
      <c r="A433" s="39" t="inlineStr">
        <is>
          <t>2026-11-01</t>
        </is>
      </c>
      <c r="B433" s="11" t="inlineStr">
        <is>
          <t>ecom</t>
        </is>
      </c>
      <c r="C433" s="11" t="inlineStr">
        <is>
          <t>Shopee Bulky</t>
        </is>
      </c>
      <c r="D433" s="11" t="inlineStr">
        <is>
          <t>02.5-10kg</t>
        </is>
      </c>
      <c r="E433" s="11" t="inlineStr">
        <is>
          <t>Khánh Hòa</t>
        </is>
      </c>
      <c r="F433" s="11" t="n">
        <v>303.22</v>
      </c>
      <c r="G433" s="11" t="n">
        <v>2438.37</v>
      </c>
      <c r="H433" s="11" t="n">
        <v>0</v>
      </c>
      <c r="I433" s="11" t="n">
        <v>11</v>
      </c>
    </row>
    <row r="434" ht="15.75" customHeight="1" s="57">
      <c r="A434" s="39" t="inlineStr">
        <is>
          <t>2026-11-01</t>
        </is>
      </c>
      <c r="B434" s="11" t="inlineStr">
        <is>
          <t>ecom</t>
        </is>
      </c>
      <c r="C434" s="11" t="inlineStr">
        <is>
          <t>Shopee Bulky</t>
        </is>
      </c>
      <c r="D434" s="11" t="inlineStr">
        <is>
          <t>02.5-10kg</t>
        </is>
      </c>
      <c r="E434" s="11" t="inlineStr">
        <is>
          <t>Lâm Đồng</t>
        </is>
      </c>
      <c r="F434" s="11" t="n">
        <v>387.95</v>
      </c>
      <c r="G434" s="11" t="n">
        <v>3119.8</v>
      </c>
      <c r="H434" s="11" t="n">
        <v>0</v>
      </c>
      <c r="I434" s="11" t="n">
        <v>11</v>
      </c>
    </row>
    <row r="435" ht="15.75" customHeight="1" s="57">
      <c r="A435" s="39" t="inlineStr">
        <is>
          <t>2026-11-01</t>
        </is>
      </c>
      <c r="B435" s="11" t="inlineStr">
        <is>
          <t>ecom</t>
        </is>
      </c>
      <c r="C435" s="11" t="inlineStr">
        <is>
          <t>Shopee Bulky</t>
        </is>
      </c>
      <c r="D435" s="11" t="inlineStr">
        <is>
          <t>02.5-10kg</t>
        </is>
      </c>
      <c r="E435" s="11" t="inlineStr">
        <is>
          <t>Ninh Thuận</t>
        </is>
      </c>
      <c r="F435" s="11" t="n">
        <v>89.84</v>
      </c>
      <c r="G435" s="11" t="n">
        <v>722.48</v>
      </c>
      <c r="H435" s="11" t="n">
        <v>0</v>
      </c>
      <c r="I435" s="11" t="n">
        <v>11</v>
      </c>
    </row>
    <row r="436" ht="15.75" customHeight="1" s="57">
      <c r="A436" s="39" t="inlineStr">
        <is>
          <t>2026-11-01</t>
        </is>
      </c>
      <c r="B436" s="11" t="inlineStr">
        <is>
          <t>ecom</t>
        </is>
      </c>
      <c r="C436" s="11" t="inlineStr">
        <is>
          <t>Shopee Bulky</t>
        </is>
      </c>
      <c r="D436" s="11" t="inlineStr">
        <is>
          <t>02.5-10kg</t>
        </is>
      </c>
      <c r="E436" s="11" t="inlineStr">
        <is>
          <t>Đắk Nông</t>
        </is>
      </c>
      <c r="F436" s="11" t="n">
        <v>89.84</v>
      </c>
      <c r="G436" s="11" t="n">
        <v>722.48</v>
      </c>
      <c r="H436" s="11" t="n">
        <v>0</v>
      </c>
      <c r="I436" s="11" t="n">
        <v>11</v>
      </c>
    </row>
    <row r="437" ht="15.75" customHeight="1" s="57">
      <c r="A437" s="39" t="inlineStr">
        <is>
          <t>2026-11-01</t>
        </is>
      </c>
      <c r="B437" s="11" t="inlineStr">
        <is>
          <t>ecom</t>
        </is>
      </c>
      <c r="C437" s="11" t="inlineStr">
        <is>
          <t>Shopee Bulky</t>
        </is>
      </c>
      <c r="D437" s="11" t="inlineStr">
        <is>
          <t>03.10-15kg</t>
        </is>
      </c>
      <c r="E437" s="11" t="inlineStr">
        <is>
          <t>Bình Thuận</t>
        </is>
      </c>
      <c r="F437" s="11" t="n">
        <v>19651.88</v>
      </c>
      <c r="G437" s="11" t="n">
        <v>234264.13</v>
      </c>
      <c r="H437" s="11" t="n">
        <v>0</v>
      </c>
      <c r="I437" s="11" t="n">
        <v>11</v>
      </c>
    </row>
    <row r="438" ht="15.75" customHeight="1" s="57">
      <c r="A438" s="39" t="inlineStr">
        <is>
          <t>2026-11-01</t>
        </is>
      </c>
      <c r="B438" s="11" t="inlineStr">
        <is>
          <t>ecom</t>
        </is>
      </c>
      <c r="C438" s="11" t="inlineStr">
        <is>
          <t>Shopee Bulky</t>
        </is>
      </c>
      <c r="D438" s="11" t="inlineStr">
        <is>
          <t>03.10-15kg</t>
        </is>
      </c>
      <c r="E438" s="11" t="inlineStr">
        <is>
          <t>Khánh Hòa</t>
        </is>
      </c>
      <c r="F438" s="11" t="n">
        <v>22039.83</v>
      </c>
      <c r="G438" s="11" t="n">
        <v>262730.23</v>
      </c>
      <c r="H438" s="11" t="n">
        <v>0</v>
      </c>
      <c r="I438" s="11" t="n">
        <v>11</v>
      </c>
    </row>
    <row r="439" ht="15.75" customHeight="1" s="57">
      <c r="A439" s="39" t="inlineStr">
        <is>
          <t>2026-11-01</t>
        </is>
      </c>
      <c r="B439" s="11" t="inlineStr">
        <is>
          <t>ecom</t>
        </is>
      </c>
      <c r="C439" s="11" t="inlineStr">
        <is>
          <t>Shopee Bulky</t>
        </is>
      </c>
      <c r="D439" s="11" t="inlineStr">
        <is>
          <t>03.10-15kg</t>
        </is>
      </c>
      <c r="E439" s="11" t="inlineStr">
        <is>
          <t>Lâm Đồng</t>
        </is>
      </c>
      <c r="F439" s="11" t="n">
        <v>27482.41</v>
      </c>
      <c r="G439" s="11" t="n">
        <v>327609.55</v>
      </c>
      <c r="H439" s="11" t="n">
        <v>0</v>
      </c>
      <c r="I439" s="11" t="n">
        <v>11</v>
      </c>
    </row>
    <row r="440" ht="15.75" customHeight="1" s="57">
      <c r="A440" s="39" t="inlineStr">
        <is>
          <t>2026-11-01</t>
        </is>
      </c>
      <c r="B440" s="11" t="inlineStr">
        <is>
          <t>ecom</t>
        </is>
      </c>
      <c r="C440" s="11" t="inlineStr">
        <is>
          <t>Shopee Bulky</t>
        </is>
      </c>
      <c r="D440" s="11" t="inlineStr">
        <is>
          <t>03.10-15kg</t>
        </is>
      </c>
      <c r="E440" s="11" t="inlineStr">
        <is>
          <t>Ninh Thuận</t>
        </is>
      </c>
      <c r="F440" s="11" t="n">
        <v>7458.91</v>
      </c>
      <c r="G440" s="11" t="n">
        <v>88915.46000000001</v>
      </c>
      <c r="H440" s="11" t="n">
        <v>0</v>
      </c>
      <c r="I440" s="11" t="n">
        <v>11</v>
      </c>
    </row>
    <row r="441" ht="15.75" customHeight="1" s="57">
      <c r="A441" s="39" t="inlineStr">
        <is>
          <t>2026-11-01</t>
        </is>
      </c>
      <c r="B441" s="11" t="inlineStr">
        <is>
          <t>ecom</t>
        </is>
      </c>
      <c r="C441" s="11" t="inlineStr">
        <is>
          <t>Shopee Bulky</t>
        </is>
      </c>
      <c r="D441" s="11" t="inlineStr">
        <is>
          <t>03.10-15kg</t>
        </is>
      </c>
      <c r="E441" s="11" t="inlineStr">
        <is>
          <t>Đắk Nông</t>
        </is>
      </c>
      <c r="F441" s="11" t="n">
        <v>6503.32</v>
      </c>
      <c r="G441" s="11" t="n">
        <v>77524.16</v>
      </c>
      <c r="H441" s="11" t="n">
        <v>0</v>
      </c>
      <c r="I441" s="11" t="n">
        <v>11</v>
      </c>
    </row>
    <row r="442" ht="15.75" customHeight="1" s="57">
      <c r="A442" s="39" t="inlineStr">
        <is>
          <t>2026-11-01</t>
        </is>
      </c>
      <c r="B442" s="11" t="inlineStr">
        <is>
          <t>ecom</t>
        </is>
      </c>
      <c r="C442" s="11" t="inlineStr">
        <is>
          <t>Shopee Bulky</t>
        </is>
      </c>
      <c r="D442" s="11" t="inlineStr">
        <is>
          <t>04.15-20kg</t>
        </is>
      </c>
      <c r="E442" s="11" t="inlineStr">
        <is>
          <t>Bình Thuận</t>
        </is>
      </c>
      <c r="F442" s="11" t="n">
        <v>12912.72</v>
      </c>
      <c r="G442" s="11" t="n">
        <v>218188.81</v>
      </c>
      <c r="H442" s="11" t="n">
        <v>0</v>
      </c>
      <c r="I442" s="11" t="n">
        <v>11</v>
      </c>
    </row>
    <row r="443" ht="15.75" customHeight="1" s="57">
      <c r="A443" s="39" t="inlineStr">
        <is>
          <t>2026-11-01</t>
        </is>
      </c>
      <c r="B443" s="11" t="inlineStr">
        <is>
          <t>ecom</t>
        </is>
      </c>
      <c r="C443" s="11" t="inlineStr">
        <is>
          <t>Shopee Bulky</t>
        </is>
      </c>
      <c r="D443" s="11" t="inlineStr">
        <is>
          <t>04.15-20kg</t>
        </is>
      </c>
      <c r="E443" s="11" t="inlineStr">
        <is>
          <t>Khánh Hòa</t>
        </is>
      </c>
      <c r="F443" s="11" t="n">
        <v>13244.52</v>
      </c>
      <c r="G443" s="11" t="n">
        <v>223795.34</v>
      </c>
      <c r="H443" s="11" t="n">
        <v>0</v>
      </c>
      <c r="I443" s="11" t="n">
        <v>11</v>
      </c>
    </row>
    <row r="444" ht="15.75" customHeight="1" s="57">
      <c r="A444" s="39" t="inlineStr">
        <is>
          <t>2026-11-01</t>
        </is>
      </c>
      <c r="B444" s="11" t="inlineStr">
        <is>
          <t>ecom</t>
        </is>
      </c>
      <c r="C444" s="11" t="inlineStr">
        <is>
          <t>Shopee Bulky</t>
        </is>
      </c>
      <c r="D444" s="11" t="inlineStr">
        <is>
          <t>04.15-20kg</t>
        </is>
      </c>
      <c r="E444" s="11" t="inlineStr">
        <is>
          <t>Lâm Đồng</t>
        </is>
      </c>
      <c r="F444" s="11" t="n">
        <v>15454.84</v>
      </c>
      <c r="G444" s="11" t="n">
        <v>261143.44</v>
      </c>
      <c r="H444" s="11" t="n">
        <v>0</v>
      </c>
      <c r="I444" s="11" t="n">
        <v>11</v>
      </c>
    </row>
    <row r="445" ht="15.75" customHeight="1" s="57">
      <c r="A445" s="39" t="inlineStr">
        <is>
          <t>2026-11-01</t>
        </is>
      </c>
      <c r="B445" s="11" t="inlineStr">
        <is>
          <t>ecom</t>
        </is>
      </c>
      <c r="C445" s="11" t="inlineStr">
        <is>
          <t>Shopee Bulky</t>
        </is>
      </c>
      <c r="D445" s="11" t="inlineStr">
        <is>
          <t>04.15-20kg</t>
        </is>
      </c>
      <c r="E445" s="11" t="inlineStr">
        <is>
          <t>Ninh Thuận</t>
        </is>
      </c>
      <c r="F445" s="11" t="n">
        <v>4244.01</v>
      </c>
      <c r="G445" s="11" t="n">
        <v>71711.8</v>
      </c>
      <c r="H445" s="11" t="n">
        <v>0</v>
      </c>
      <c r="I445" s="11" t="n">
        <v>11</v>
      </c>
    </row>
    <row r="446" ht="15.75" customHeight="1" s="57">
      <c r="A446" s="39" t="inlineStr">
        <is>
          <t>2026-11-01</t>
        </is>
      </c>
      <c r="B446" s="11" t="inlineStr">
        <is>
          <t>ecom</t>
        </is>
      </c>
      <c r="C446" s="11" t="inlineStr">
        <is>
          <t>Shopee Bulky</t>
        </is>
      </c>
      <c r="D446" s="11" t="inlineStr">
        <is>
          <t>04.15-20kg</t>
        </is>
      </c>
      <c r="E446" s="11" t="inlineStr">
        <is>
          <t>Đắk Nông</t>
        </is>
      </c>
      <c r="F446" s="11" t="n">
        <v>4025.53</v>
      </c>
      <c r="G446" s="11" t="n">
        <v>68020.12</v>
      </c>
      <c r="H446" s="11" t="n">
        <v>0</v>
      </c>
      <c r="I446" s="11" t="n">
        <v>11</v>
      </c>
    </row>
    <row r="447" ht="15.75" customHeight="1" s="57">
      <c r="A447" s="39" t="inlineStr">
        <is>
          <t>2026-11-01</t>
        </is>
      </c>
      <c r="B447" s="11" t="inlineStr">
        <is>
          <t>ecom</t>
        </is>
      </c>
      <c r="C447" s="11" t="inlineStr">
        <is>
          <t>Shopee Bulky</t>
        </is>
      </c>
      <c r="D447" s="11" t="inlineStr">
        <is>
          <t>05.&gt;=20kg</t>
        </is>
      </c>
      <c r="E447" s="11" t="inlineStr">
        <is>
          <t>Bình Thuận</t>
        </is>
      </c>
      <c r="F447" s="11" t="n">
        <v>22991.34</v>
      </c>
      <c r="G447" s="11" t="n">
        <v>780985.89</v>
      </c>
      <c r="H447" s="11" t="n">
        <v>0</v>
      </c>
      <c r="I447" s="11" t="n">
        <v>11</v>
      </c>
    </row>
    <row r="448" ht="15.75" customHeight="1" s="57">
      <c r="A448" s="39" t="inlineStr">
        <is>
          <t>2026-11-01</t>
        </is>
      </c>
      <c r="B448" s="11" t="inlineStr">
        <is>
          <t>ecom</t>
        </is>
      </c>
      <c r="C448" s="11" t="inlineStr">
        <is>
          <t>Shopee Bulky</t>
        </is>
      </c>
      <c r="D448" s="11" t="inlineStr">
        <is>
          <t>05.&gt;=20kg</t>
        </is>
      </c>
      <c r="E448" s="11" t="inlineStr">
        <is>
          <t>Khánh Hòa</t>
        </is>
      </c>
      <c r="F448" s="11" t="n">
        <v>25363.98</v>
      </c>
      <c r="G448" s="11" t="n">
        <v>861581.41</v>
      </c>
      <c r="H448" s="11" t="n">
        <v>0</v>
      </c>
      <c r="I448" s="11" t="n">
        <v>11</v>
      </c>
    </row>
    <row r="449" ht="15.75" customHeight="1" s="57">
      <c r="A449" s="39" t="inlineStr">
        <is>
          <t>2026-11-01</t>
        </is>
      </c>
      <c r="B449" s="11" t="inlineStr">
        <is>
          <t>ecom</t>
        </is>
      </c>
      <c r="C449" s="11" t="inlineStr">
        <is>
          <t>Shopee Bulky</t>
        </is>
      </c>
      <c r="D449" s="11" t="inlineStr">
        <is>
          <t>05.&gt;=20kg</t>
        </is>
      </c>
      <c r="E449" s="11" t="inlineStr">
        <is>
          <t>Lâm Đồng</t>
        </is>
      </c>
      <c r="F449" s="11" t="n">
        <v>30080.68</v>
      </c>
      <c r="G449" s="11" t="n">
        <v>1021801.43</v>
      </c>
      <c r="H449" s="11" t="n">
        <v>0</v>
      </c>
      <c r="I449" s="11" t="n">
        <v>11</v>
      </c>
    </row>
    <row r="450" ht="15.75" customHeight="1" s="57">
      <c r="A450" s="39" t="inlineStr">
        <is>
          <t>2026-11-01</t>
        </is>
      </c>
      <c r="B450" s="11" t="inlineStr">
        <is>
          <t>ecom</t>
        </is>
      </c>
      <c r="C450" s="11" t="inlineStr">
        <is>
          <t>Shopee Bulky</t>
        </is>
      </c>
      <c r="D450" s="11" t="inlineStr">
        <is>
          <t>05.&gt;=20kg</t>
        </is>
      </c>
      <c r="E450" s="11" t="inlineStr">
        <is>
          <t>Ninh Thuận</t>
        </is>
      </c>
      <c r="F450" s="11" t="n">
        <v>7572.24</v>
      </c>
      <c r="G450" s="11" t="n">
        <v>257219.02</v>
      </c>
      <c r="H450" s="11" t="n">
        <v>0</v>
      </c>
      <c r="I450" s="11" t="n">
        <v>11</v>
      </c>
    </row>
    <row r="451" ht="15.75" customHeight="1" s="57">
      <c r="A451" s="39" t="inlineStr">
        <is>
          <t>2026-11-01</t>
        </is>
      </c>
      <c r="B451" s="11" t="inlineStr">
        <is>
          <t>ecom</t>
        </is>
      </c>
      <c r="C451" s="11" t="inlineStr">
        <is>
          <t>Shopee Bulky</t>
        </is>
      </c>
      <c r="D451" s="11" t="inlineStr">
        <is>
          <t>05.&gt;=20kg</t>
        </is>
      </c>
      <c r="E451" s="11" t="inlineStr">
        <is>
          <t>Đắk Nông</t>
        </is>
      </c>
      <c r="F451" s="11" t="n">
        <v>7521.19</v>
      </c>
      <c r="G451" s="11" t="n">
        <v>255485.04</v>
      </c>
      <c r="H451" s="11" t="n">
        <v>0</v>
      </c>
      <c r="I451" s="11" t="n">
        <v>11</v>
      </c>
    </row>
    <row r="452" ht="15.75" customHeight="1" s="57">
      <c r="A452" s="39" t="inlineStr">
        <is>
          <t>2026-11-01</t>
        </is>
      </c>
      <c r="B452" s="11" t="inlineStr">
        <is>
          <t>ecom</t>
        </is>
      </c>
      <c r="C452" s="11" t="inlineStr">
        <is>
          <t>Shopee Ecom</t>
        </is>
      </c>
      <c r="D452" s="11" t="inlineStr">
        <is>
          <t>01.0-5kg</t>
        </is>
      </c>
      <c r="E452" s="11" t="inlineStr">
        <is>
          <t>Bình Thuận</t>
        </is>
      </c>
      <c r="F452" s="11" t="n">
        <v>121987.1</v>
      </c>
      <c r="G452" s="11" t="n">
        <v>104396.56</v>
      </c>
      <c r="H452" s="11" t="n">
        <v>0</v>
      </c>
      <c r="I452" s="11" t="n">
        <v>11</v>
      </c>
    </row>
    <row r="453" ht="15.75" customHeight="1" s="57">
      <c r="A453" s="39" t="inlineStr">
        <is>
          <t>2026-11-01</t>
        </is>
      </c>
      <c r="B453" s="11" t="inlineStr">
        <is>
          <t>ecom</t>
        </is>
      </c>
      <c r="C453" s="11" t="inlineStr">
        <is>
          <t>Shopee Ecom</t>
        </is>
      </c>
      <c r="D453" s="11" t="inlineStr">
        <is>
          <t>01.0-5kg</t>
        </is>
      </c>
      <c r="E453" s="11" t="inlineStr">
        <is>
          <t>Khánh Hòa</t>
        </is>
      </c>
      <c r="F453" s="11" t="n">
        <v>102343.5</v>
      </c>
      <c r="G453" s="11" t="n">
        <v>87585.57000000001</v>
      </c>
      <c r="H453" s="11" t="n">
        <v>0</v>
      </c>
      <c r="I453" s="11" t="n">
        <v>11</v>
      </c>
    </row>
    <row r="454" ht="15.75" customHeight="1" s="57">
      <c r="A454" s="39" t="inlineStr">
        <is>
          <t>2026-11-01</t>
        </is>
      </c>
      <c r="B454" s="11" t="inlineStr">
        <is>
          <t>ecom</t>
        </is>
      </c>
      <c r="C454" s="11" t="inlineStr">
        <is>
          <t>Shopee Ecom</t>
        </is>
      </c>
      <c r="D454" s="11" t="inlineStr">
        <is>
          <t>01.0-5kg</t>
        </is>
      </c>
      <c r="E454" s="11" t="inlineStr">
        <is>
          <t>Lâm Đồng</t>
        </is>
      </c>
      <c r="F454" s="11" t="n">
        <v>122709.94</v>
      </c>
      <c r="G454" s="11" t="n">
        <v>105015.17</v>
      </c>
      <c r="H454" s="11" t="n">
        <v>0</v>
      </c>
      <c r="I454" s="11" t="n">
        <v>11</v>
      </c>
    </row>
    <row r="455" ht="15.75" customHeight="1" s="57">
      <c r="A455" s="39" t="inlineStr">
        <is>
          <t>2026-11-01</t>
        </is>
      </c>
      <c r="B455" s="11" t="inlineStr">
        <is>
          <t>ecom</t>
        </is>
      </c>
      <c r="C455" s="11" t="inlineStr">
        <is>
          <t>Shopee Ecom</t>
        </is>
      </c>
      <c r="D455" s="11" t="inlineStr">
        <is>
          <t>01.0-5kg</t>
        </is>
      </c>
      <c r="E455" s="11" t="inlineStr">
        <is>
          <t>Ninh Thuận</t>
        </is>
      </c>
      <c r="F455" s="11" t="n">
        <v>48844.3</v>
      </c>
      <c r="G455" s="11" t="n">
        <v>41800.95</v>
      </c>
      <c r="H455" s="11" t="n">
        <v>0</v>
      </c>
      <c r="I455" s="11" t="n">
        <v>11</v>
      </c>
    </row>
    <row r="456" ht="15.75" customHeight="1" s="57">
      <c r="A456" s="39" t="inlineStr">
        <is>
          <t>2026-11-01</t>
        </is>
      </c>
      <c r="B456" s="11" t="inlineStr">
        <is>
          <t>ecom</t>
        </is>
      </c>
      <c r="C456" s="11" t="inlineStr">
        <is>
          <t>Shopee Ecom</t>
        </is>
      </c>
      <c r="D456" s="11" t="inlineStr">
        <is>
          <t>01.0-5kg</t>
        </is>
      </c>
      <c r="E456" s="11" t="inlineStr">
        <is>
          <t>Đắk Nông</t>
        </is>
      </c>
      <c r="F456" s="11" t="n">
        <v>34816.22</v>
      </c>
      <c r="G456" s="11" t="n">
        <v>29795.72</v>
      </c>
      <c r="H456" s="11" t="n">
        <v>0</v>
      </c>
      <c r="I456" s="11" t="n">
        <v>11</v>
      </c>
    </row>
    <row r="457" ht="15.75" customHeight="1" s="57">
      <c r="A457" s="39" t="inlineStr">
        <is>
          <t>2026-11-01</t>
        </is>
      </c>
      <c r="B457" s="11" t="inlineStr">
        <is>
          <t>ecom</t>
        </is>
      </c>
      <c r="C457" s="11" t="inlineStr">
        <is>
          <t>Shopee Ecom</t>
        </is>
      </c>
      <c r="D457" s="11" t="inlineStr">
        <is>
          <t>02.5-10kg</t>
        </is>
      </c>
      <c r="E457" s="11" t="inlineStr">
        <is>
          <t>Bình Thuận</t>
        </is>
      </c>
      <c r="F457" s="11" t="n">
        <v>9532.799999999999</v>
      </c>
      <c r="G457" s="11" t="n">
        <v>65641.92999999999</v>
      </c>
      <c r="H457" s="11" t="n">
        <v>0</v>
      </c>
      <c r="I457" s="11" t="n">
        <v>11</v>
      </c>
    </row>
    <row r="458" ht="15.75" customHeight="1" s="57">
      <c r="A458" s="39" t="inlineStr">
        <is>
          <t>2026-11-01</t>
        </is>
      </c>
      <c r="B458" s="11" t="inlineStr">
        <is>
          <t>ecom</t>
        </is>
      </c>
      <c r="C458" s="11" t="inlineStr">
        <is>
          <t>Shopee Ecom</t>
        </is>
      </c>
      <c r="D458" s="11" t="inlineStr">
        <is>
          <t>02.5-10kg</t>
        </is>
      </c>
      <c r="E458" s="11" t="inlineStr">
        <is>
          <t>Khánh Hòa</t>
        </is>
      </c>
      <c r="F458" s="11" t="n">
        <v>9090.139999999999</v>
      </c>
      <c r="G458" s="11" t="n">
        <v>62593.78</v>
      </c>
      <c r="H458" s="11" t="n">
        <v>0</v>
      </c>
      <c r="I458" s="11" t="n">
        <v>11</v>
      </c>
    </row>
    <row r="459" ht="15.75" customHeight="1" s="57">
      <c r="A459" s="39" t="inlineStr">
        <is>
          <t>2026-11-01</t>
        </is>
      </c>
      <c r="B459" s="11" t="inlineStr">
        <is>
          <t>ecom</t>
        </is>
      </c>
      <c r="C459" s="11" t="inlineStr">
        <is>
          <t>Shopee Ecom</t>
        </is>
      </c>
      <c r="D459" s="11" t="inlineStr">
        <is>
          <t>02.5-10kg</t>
        </is>
      </c>
      <c r="E459" s="11" t="inlineStr">
        <is>
          <t>Lâm Đồng</t>
        </is>
      </c>
      <c r="F459" s="11" t="n">
        <v>11381.14</v>
      </c>
      <c r="G459" s="11" t="n">
        <v>78369.36</v>
      </c>
      <c r="H459" s="11" t="n">
        <v>0</v>
      </c>
      <c r="I459" s="11" t="n">
        <v>11</v>
      </c>
    </row>
    <row r="460" ht="15.75" customHeight="1" s="57">
      <c r="A460" s="39" t="inlineStr">
        <is>
          <t>2026-11-01</t>
        </is>
      </c>
      <c r="B460" s="11" t="inlineStr">
        <is>
          <t>ecom</t>
        </is>
      </c>
      <c r="C460" s="11" t="inlineStr">
        <is>
          <t>Shopee Ecom</t>
        </is>
      </c>
      <c r="D460" s="11" t="inlineStr">
        <is>
          <t>02.5-10kg</t>
        </is>
      </c>
      <c r="E460" s="11" t="inlineStr">
        <is>
          <t>Ninh Thuận</t>
        </is>
      </c>
      <c r="F460" s="11" t="n">
        <v>3693.81</v>
      </c>
      <c r="G460" s="11" t="n">
        <v>25435.18</v>
      </c>
      <c r="H460" s="11" t="n">
        <v>0</v>
      </c>
      <c r="I460" s="11" t="n">
        <v>11</v>
      </c>
    </row>
    <row r="461" ht="15.75" customHeight="1" s="57">
      <c r="A461" s="39" t="inlineStr">
        <is>
          <t>2026-11-01</t>
        </is>
      </c>
      <c r="B461" s="11" t="inlineStr">
        <is>
          <t>ecom</t>
        </is>
      </c>
      <c r="C461" s="11" t="inlineStr">
        <is>
          <t>Shopee Ecom</t>
        </is>
      </c>
      <c r="D461" s="11" t="inlineStr">
        <is>
          <t>02.5-10kg</t>
        </is>
      </c>
      <c r="E461" s="11" t="inlineStr">
        <is>
          <t>Đắk Nông</t>
        </is>
      </c>
      <c r="F461" s="11" t="n">
        <v>2735.09</v>
      </c>
      <c r="G461" s="11" t="n">
        <v>18833.58</v>
      </c>
      <c r="H461" s="11" t="n">
        <v>0</v>
      </c>
      <c r="I461" s="11" t="n">
        <v>11</v>
      </c>
    </row>
    <row r="462" ht="15.75" customHeight="1" s="57">
      <c r="A462" s="39" t="inlineStr">
        <is>
          <t>2026-11-01</t>
        </is>
      </c>
      <c r="B462" s="11" t="inlineStr">
        <is>
          <t>ecom</t>
        </is>
      </c>
      <c r="C462" s="11" t="inlineStr">
        <is>
          <t>Shopee Ecom</t>
        </is>
      </c>
      <c r="D462" s="11" t="inlineStr">
        <is>
          <t>03.10-15kg</t>
        </is>
      </c>
      <c r="E462" s="11" t="inlineStr">
        <is>
          <t>Bình Thuận</t>
        </is>
      </c>
      <c r="F462" s="11" t="n">
        <v>674.72</v>
      </c>
      <c r="G462" s="11" t="n">
        <v>7061.75</v>
      </c>
      <c r="H462" s="11" t="n">
        <v>0</v>
      </c>
      <c r="I462" s="11" t="n">
        <v>11</v>
      </c>
    </row>
    <row r="463" ht="15.75" customHeight="1" s="57">
      <c r="A463" s="39" t="inlineStr">
        <is>
          <t>2026-11-01</t>
        </is>
      </c>
      <c r="B463" s="11" t="inlineStr">
        <is>
          <t>ecom</t>
        </is>
      </c>
      <c r="C463" s="11" t="inlineStr">
        <is>
          <t>Shopee Ecom</t>
        </is>
      </c>
      <c r="D463" s="11" t="inlineStr">
        <is>
          <t>03.10-15kg</t>
        </is>
      </c>
      <c r="E463" s="11" t="inlineStr">
        <is>
          <t>Khánh Hòa</t>
        </is>
      </c>
      <c r="F463" s="11" t="n">
        <v>685.6799999999999</v>
      </c>
      <c r="G463" s="11" t="n">
        <v>7176.46</v>
      </c>
      <c r="H463" s="11" t="n">
        <v>0</v>
      </c>
      <c r="I463" s="11" t="n">
        <v>11</v>
      </c>
    </row>
    <row r="464" ht="15.75" customHeight="1" s="57">
      <c r="A464" s="39" t="inlineStr">
        <is>
          <t>2026-11-01</t>
        </is>
      </c>
      <c r="B464" s="11" t="inlineStr">
        <is>
          <t>ecom</t>
        </is>
      </c>
      <c r="C464" s="11" t="inlineStr">
        <is>
          <t>Shopee Ecom</t>
        </is>
      </c>
      <c r="D464" s="11" t="inlineStr">
        <is>
          <t>03.10-15kg</t>
        </is>
      </c>
      <c r="E464" s="11" t="inlineStr">
        <is>
          <t>Lâm Đồng</t>
        </is>
      </c>
      <c r="F464" s="11" t="n">
        <v>732.85</v>
      </c>
      <c r="G464" s="11" t="n">
        <v>7670.18</v>
      </c>
      <c r="H464" s="11" t="n">
        <v>0</v>
      </c>
      <c r="I464" s="11" t="n">
        <v>11</v>
      </c>
    </row>
    <row r="465" ht="15.75" customHeight="1" s="57">
      <c r="A465" s="39" t="inlineStr">
        <is>
          <t>2026-11-01</t>
        </is>
      </c>
      <c r="B465" s="11" t="inlineStr">
        <is>
          <t>ecom</t>
        </is>
      </c>
      <c r="C465" s="11" t="inlineStr">
        <is>
          <t>Shopee Ecom</t>
        </is>
      </c>
      <c r="D465" s="11" t="inlineStr">
        <is>
          <t>03.10-15kg</t>
        </is>
      </c>
      <c r="E465" s="11" t="inlineStr">
        <is>
          <t>Ninh Thuận</t>
        </is>
      </c>
      <c r="F465" s="11" t="n">
        <v>235.39</v>
      </c>
      <c r="G465" s="11" t="n">
        <v>2463.63</v>
      </c>
      <c r="H465" s="11" t="n">
        <v>0</v>
      </c>
      <c r="I465" s="11" t="n">
        <v>11</v>
      </c>
    </row>
    <row r="466" ht="15.75" customHeight="1" s="57">
      <c r="A466" s="39" t="inlineStr">
        <is>
          <t>2026-11-01</t>
        </is>
      </c>
      <c r="B466" s="11" t="inlineStr">
        <is>
          <t>ecom</t>
        </is>
      </c>
      <c r="C466" s="11" t="inlineStr">
        <is>
          <t>Shopee Ecom</t>
        </is>
      </c>
      <c r="D466" s="11" t="inlineStr">
        <is>
          <t>03.10-15kg</t>
        </is>
      </c>
      <c r="E466" s="11" t="inlineStr">
        <is>
          <t>Đắk Nông</t>
        </is>
      </c>
      <c r="F466" s="11" t="n">
        <v>199.65</v>
      </c>
      <c r="G466" s="11" t="n">
        <v>2089.6</v>
      </c>
      <c r="H466" s="11" t="n">
        <v>0</v>
      </c>
      <c r="I466" s="11" t="n">
        <v>11</v>
      </c>
    </row>
    <row r="467" ht="15.75" customHeight="1" s="57">
      <c r="A467" s="39" t="inlineStr">
        <is>
          <t>2026-11-01</t>
        </is>
      </c>
      <c r="B467" s="11" t="inlineStr">
        <is>
          <t>ecom</t>
        </is>
      </c>
      <c r="C467" s="11" t="inlineStr">
        <is>
          <t>Shopee Ecom</t>
        </is>
      </c>
      <c r="D467" s="11" t="inlineStr">
        <is>
          <t>04.15-20kg</t>
        </is>
      </c>
      <c r="E467" s="11" t="inlineStr">
        <is>
          <t>Bình Thuận</t>
        </is>
      </c>
      <c r="F467" s="11" t="n">
        <v>15.25</v>
      </c>
      <c r="G467" s="11" t="n">
        <v>256.86</v>
      </c>
      <c r="H467" s="11" t="n">
        <v>0</v>
      </c>
      <c r="I467" s="11" t="n">
        <v>11</v>
      </c>
    </row>
    <row r="468" ht="15.75" customHeight="1" s="57">
      <c r="A468" s="39" t="inlineStr">
        <is>
          <t>2026-11-01</t>
        </is>
      </c>
      <c r="B468" s="11" t="inlineStr">
        <is>
          <t>ecom</t>
        </is>
      </c>
      <c r="C468" s="11" t="inlineStr">
        <is>
          <t>Shopee Ecom</t>
        </is>
      </c>
      <c r="D468" s="11" t="inlineStr">
        <is>
          <t>04.15-20kg</t>
        </is>
      </c>
      <c r="E468" s="11" t="inlineStr">
        <is>
          <t>Khánh Hòa</t>
        </is>
      </c>
      <c r="F468" s="11" t="n">
        <v>20.49</v>
      </c>
      <c r="G468" s="11" t="n">
        <v>345.16</v>
      </c>
      <c r="H468" s="11" t="n">
        <v>0</v>
      </c>
      <c r="I468" s="11" t="n">
        <v>11</v>
      </c>
    </row>
    <row r="469" ht="15.75" customHeight="1" s="57">
      <c r="A469" s="39" t="inlineStr">
        <is>
          <t>2026-11-01</t>
        </is>
      </c>
      <c r="B469" s="11" t="inlineStr">
        <is>
          <t>ecom</t>
        </is>
      </c>
      <c r="C469" s="11" t="inlineStr">
        <is>
          <t>Shopee Ecom</t>
        </is>
      </c>
      <c r="D469" s="11" t="inlineStr">
        <is>
          <t>04.15-20kg</t>
        </is>
      </c>
      <c r="E469" s="11" t="inlineStr">
        <is>
          <t>Lâm Đồng</t>
        </is>
      </c>
      <c r="F469" s="11" t="n">
        <v>25.25</v>
      </c>
      <c r="G469" s="11" t="n">
        <v>425.43</v>
      </c>
      <c r="H469" s="11" t="n">
        <v>0</v>
      </c>
      <c r="I469" s="11" t="n">
        <v>11</v>
      </c>
    </row>
    <row r="470" ht="15.75" customHeight="1" s="57">
      <c r="A470" s="39" t="inlineStr">
        <is>
          <t>2026-11-01</t>
        </is>
      </c>
      <c r="B470" s="11" t="inlineStr">
        <is>
          <t>ecom</t>
        </is>
      </c>
      <c r="C470" s="11" t="inlineStr">
        <is>
          <t>Shopee Ecom</t>
        </is>
      </c>
      <c r="D470" s="11" t="inlineStr">
        <is>
          <t>04.15-20kg</t>
        </is>
      </c>
      <c r="E470" s="11" t="inlineStr">
        <is>
          <t>Ninh Thuận</t>
        </is>
      </c>
      <c r="F470" s="11" t="n">
        <v>6.67</v>
      </c>
      <c r="G470" s="11" t="n">
        <v>112.38</v>
      </c>
      <c r="H470" s="11" t="n">
        <v>0</v>
      </c>
      <c r="I470" s="11" t="n">
        <v>11</v>
      </c>
    </row>
    <row r="471" ht="15.75" customHeight="1" s="57">
      <c r="A471" s="39" t="inlineStr">
        <is>
          <t>2026-11-01</t>
        </is>
      </c>
      <c r="B471" s="11" t="inlineStr">
        <is>
          <t>ecom</t>
        </is>
      </c>
      <c r="C471" s="11" t="inlineStr">
        <is>
          <t>Shopee Ecom</t>
        </is>
      </c>
      <c r="D471" s="11" t="inlineStr">
        <is>
          <t>04.15-20kg</t>
        </is>
      </c>
      <c r="E471" s="11" t="inlineStr">
        <is>
          <t>Đắk Nông</t>
        </is>
      </c>
      <c r="F471" s="11" t="n">
        <v>7.62</v>
      </c>
      <c r="G471" s="11" t="n">
        <v>128.43</v>
      </c>
      <c r="H471" s="11" t="n">
        <v>0</v>
      </c>
      <c r="I471" s="11" t="n">
        <v>11</v>
      </c>
    </row>
    <row r="472" ht="15.75" customHeight="1" s="57">
      <c r="A472" s="39" t="inlineStr">
        <is>
          <t>2026-11-01</t>
        </is>
      </c>
      <c r="B472" s="11" t="inlineStr">
        <is>
          <t>ecom</t>
        </is>
      </c>
      <c r="C472" s="11" t="inlineStr">
        <is>
          <t>Shopee Ecom</t>
        </is>
      </c>
      <c r="D472" s="11" t="inlineStr">
        <is>
          <t>05.&gt;=20kg</t>
        </is>
      </c>
      <c r="E472" s="11" t="inlineStr">
        <is>
          <t>Bình Thuận</t>
        </is>
      </c>
      <c r="F472" s="11" t="n">
        <v>15.25</v>
      </c>
      <c r="G472" s="11" t="n">
        <v>537.04</v>
      </c>
      <c r="H472" s="11" t="n">
        <v>0</v>
      </c>
      <c r="I472" s="11" t="n">
        <v>11</v>
      </c>
    </row>
    <row r="473" ht="15.75" customHeight="1" s="57">
      <c r="A473" s="39" t="inlineStr">
        <is>
          <t>2026-11-01</t>
        </is>
      </c>
      <c r="B473" s="11" t="inlineStr">
        <is>
          <t>ecom</t>
        </is>
      </c>
      <c r="C473" s="11" t="inlineStr">
        <is>
          <t>Shopee Ecom</t>
        </is>
      </c>
      <c r="D473" s="11" t="inlineStr">
        <is>
          <t>05.&gt;=20kg</t>
        </is>
      </c>
      <c r="E473" s="11" t="inlineStr">
        <is>
          <t>Khánh Hòa</t>
        </is>
      </c>
      <c r="F473" s="11" t="n">
        <v>11.91</v>
      </c>
      <c r="G473" s="11" t="n">
        <v>419.57</v>
      </c>
      <c r="H473" s="11" t="n">
        <v>0</v>
      </c>
      <c r="I473" s="11" t="n">
        <v>11</v>
      </c>
    </row>
    <row r="474" ht="15.75" customHeight="1" s="57">
      <c r="A474" s="39" t="inlineStr">
        <is>
          <t>2026-11-01</t>
        </is>
      </c>
      <c r="B474" s="11" t="inlineStr">
        <is>
          <t>ecom</t>
        </is>
      </c>
      <c r="C474" s="11" t="inlineStr">
        <is>
          <t>Shopee Ecom</t>
        </is>
      </c>
      <c r="D474" s="11" t="inlineStr">
        <is>
          <t>05.&gt;=20kg</t>
        </is>
      </c>
      <c r="E474" s="11" t="inlineStr">
        <is>
          <t>Lâm Đồng</t>
        </is>
      </c>
      <c r="F474" s="11" t="n">
        <v>23.35</v>
      </c>
      <c r="G474" s="11" t="n">
        <v>822.35</v>
      </c>
      <c r="H474" s="11" t="n">
        <v>0</v>
      </c>
      <c r="I474" s="11" t="n">
        <v>11</v>
      </c>
    </row>
    <row r="475" ht="15.75" customHeight="1" s="57">
      <c r="A475" s="39" t="inlineStr">
        <is>
          <t>2026-11-01</t>
        </is>
      </c>
      <c r="B475" s="11" t="inlineStr">
        <is>
          <t>ecom</t>
        </is>
      </c>
      <c r="C475" s="11" t="inlineStr">
        <is>
          <t>Shopee Ecom</t>
        </is>
      </c>
      <c r="D475" s="11" t="inlineStr">
        <is>
          <t>05.&gt;=20kg</t>
        </is>
      </c>
      <c r="E475" s="11" t="inlineStr">
        <is>
          <t>Ninh Thuận</t>
        </is>
      </c>
      <c r="F475" s="11" t="n">
        <v>2.38</v>
      </c>
      <c r="G475" s="11" t="n">
        <v>83.91</v>
      </c>
      <c r="H475" s="11" t="n">
        <v>0</v>
      </c>
      <c r="I475" s="11" t="n">
        <v>11</v>
      </c>
    </row>
    <row r="476" ht="15.75" customHeight="1" s="57">
      <c r="A476" s="39" t="inlineStr">
        <is>
          <t>2026-11-01</t>
        </is>
      </c>
      <c r="B476" s="11" t="inlineStr">
        <is>
          <t>ecom</t>
        </is>
      </c>
      <c r="C476" s="11" t="inlineStr">
        <is>
          <t>Shopee Ecom</t>
        </is>
      </c>
      <c r="D476" s="11" t="inlineStr">
        <is>
          <t>05.&gt;=20kg</t>
        </is>
      </c>
      <c r="E476" s="11" t="inlineStr">
        <is>
          <t>Đắk Nông</t>
        </is>
      </c>
      <c r="F476" s="11" t="n">
        <v>9.050000000000001</v>
      </c>
      <c r="G476" s="11" t="n">
        <v>318.87</v>
      </c>
      <c r="H476" s="11" t="n">
        <v>0</v>
      </c>
      <c r="I476" s="11" t="n">
        <v>11</v>
      </c>
    </row>
    <row r="477" ht="15.75" customHeight="1" s="57">
      <c r="A477" s="39" t="inlineStr">
        <is>
          <t>2026-11-01</t>
        </is>
      </c>
      <c r="B477" s="11" t="inlineStr">
        <is>
          <t>ecom</t>
        </is>
      </c>
      <c r="C477" s="11" t="inlineStr">
        <is>
          <t>TTS</t>
        </is>
      </c>
      <c r="D477" s="11" t="inlineStr">
        <is>
          <t>01.0-5kg</t>
        </is>
      </c>
      <c r="E477" s="11" t="inlineStr">
        <is>
          <t>Bình Thuận</t>
        </is>
      </c>
      <c r="F477" s="11" t="n">
        <v>129955.7</v>
      </c>
      <c r="G477" s="11" t="n">
        <v>99611.03999999999</v>
      </c>
      <c r="H477" s="11" t="n">
        <v>0</v>
      </c>
      <c r="I477" s="11" t="n">
        <v>11</v>
      </c>
    </row>
    <row r="478" ht="15.75" customHeight="1" s="57">
      <c r="A478" s="39" t="inlineStr">
        <is>
          <t>2026-11-01</t>
        </is>
      </c>
      <c r="B478" s="11" t="inlineStr">
        <is>
          <t>ecom</t>
        </is>
      </c>
      <c r="C478" s="11" t="inlineStr">
        <is>
          <t>TTS</t>
        </is>
      </c>
      <c r="D478" s="11" t="inlineStr">
        <is>
          <t>01.0-5kg</t>
        </is>
      </c>
      <c r="E478" s="11" t="inlineStr">
        <is>
          <t>Khánh Hòa</t>
        </is>
      </c>
      <c r="F478" s="11" t="n">
        <v>151960.55</v>
      </c>
      <c r="G478" s="11" t="n">
        <v>116477.76</v>
      </c>
      <c r="H478" s="11" t="n">
        <v>0</v>
      </c>
      <c r="I478" s="11" t="n">
        <v>11</v>
      </c>
    </row>
    <row r="479" ht="15.75" customHeight="1" s="57">
      <c r="A479" s="39" t="inlineStr">
        <is>
          <t>2026-11-01</t>
        </is>
      </c>
      <c r="B479" s="11" t="inlineStr">
        <is>
          <t>ecom</t>
        </is>
      </c>
      <c r="C479" s="11" t="inlineStr">
        <is>
          <t>TTS</t>
        </is>
      </c>
      <c r="D479" s="11" t="inlineStr">
        <is>
          <t>01.0-5kg</t>
        </is>
      </c>
      <c r="E479" s="11" t="inlineStr">
        <is>
          <t>Lâm Đồng</t>
        </is>
      </c>
      <c r="F479" s="11" t="n">
        <v>139870.92</v>
      </c>
      <c r="G479" s="11" t="n">
        <v>107211.06</v>
      </c>
      <c r="H479" s="11" t="n">
        <v>0</v>
      </c>
      <c r="I479" s="11" t="n">
        <v>11</v>
      </c>
    </row>
    <row r="480" ht="15.75" customHeight="1" s="57">
      <c r="A480" s="39" t="inlineStr">
        <is>
          <t>2026-11-01</t>
        </is>
      </c>
      <c r="B480" s="11" t="inlineStr">
        <is>
          <t>ecom</t>
        </is>
      </c>
      <c r="C480" s="11" t="inlineStr">
        <is>
          <t>TTS</t>
        </is>
      </c>
      <c r="D480" s="11" t="inlineStr">
        <is>
          <t>01.0-5kg</t>
        </is>
      </c>
      <c r="E480" s="11" t="inlineStr">
        <is>
          <t>Ninh Thuận</t>
        </is>
      </c>
      <c r="F480" s="11" t="n">
        <v>58786.66</v>
      </c>
      <c r="G480" s="11" t="n">
        <v>45059.98</v>
      </c>
      <c r="H480" s="11" t="n">
        <v>0</v>
      </c>
      <c r="I480" s="11" t="n">
        <v>11</v>
      </c>
    </row>
    <row r="481" ht="15.75" customHeight="1" s="57">
      <c r="A481" s="39" t="inlineStr">
        <is>
          <t>2026-11-01</t>
        </is>
      </c>
      <c r="B481" s="11" t="inlineStr">
        <is>
          <t>ecom</t>
        </is>
      </c>
      <c r="C481" s="11" t="inlineStr">
        <is>
          <t>TTS</t>
        </is>
      </c>
      <c r="D481" s="11" t="inlineStr">
        <is>
          <t>01.0-5kg</t>
        </is>
      </c>
      <c r="E481" s="11" t="inlineStr">
        <is>
          <t>Đắk Nông</t>
        </is>
      </c>
      <c r="F481" s="11" t="n">
        <v>86592.58</v>
      </c>
      <c r="G481" s="11" t="n">
        <v>66373.21000000001</v>
      </c>
      <c r="H481" s="11" t="n">
        <v>0</v>
      </c>
      <c r="I481" s="11" t="n">
        <v>11</v>
      </c>
    </row>
    <row r="482" ht="15.75" customHeight="1" s="57">
      <c r="A482" s="39" t="inlineStr">
        <is>
          <t>2026-11-01</t>
        </is>
      </c>
      <c r="B482" s="11" t="inlineStr">
        <is>
          <t>ecom</t>
        </is>
      </c>
      <c r="C482" s="11" t="inlineStr">
        <is>
          <t>TTS</t>
        </is>
      </c>
      <c r="D482" s="11" t="inlineStr">
        <is>
          <t>02.5-10kg</t>
        </is>
      </c>
      <c r="E482" s="11" t="inlineStr">
        <is>
          <t>Bình Thuận</t>
        </is>
      </c>
      <c r="F482" s="11" t="n">
        <v>5798.65</v>
      </c>
      <c r="G482" s="11" t="n">
        <v>36810.38</v>
      </c>
      <c r="H482" s="11" t="n">
        <v>0</v>
      </c>
      <c r="I482" s="11" t="n">
        <v>11</v>
      </c>
    </row>
    <row r="483" ht="15.75" customHeight="1" s="57">
      <c r="A483" s="39" t="inlineStr">
        <is>
          <t>2026-11-01</t>
        </is>
      </c>
      <c r="B483" s="11" t="inlineStr">
        <is>
          <t>ecom</t>
        </is>
      </c>
      <c r="C483" s="11" t="inlineStr">
        <is>
          <t>TTS</t>
        </is>
      </c>
      <c r="D483" s="11" t="inlineStr">
        <is>
          <t>02.5-10kg</t>
        </is>
      </c>
      <c r="E483" s="11" t="inlineStr">
        <is>
          <t>Khánh Hòa</t>
        </is>
      </c>
      <c r="F483" s="11" t="n">
        <v>6056.31</v>
      </c>
      <c r="G483" s="11" t="n">
        <v>38446.05</v>
      </c>
      <c r="H483" s="11" t="n">
        <v>0</v>
      </c>
      <c r="I483" s="11" t="n">
        <v>11</v>
      </c>
    </row>
    <row r="484" ht="15.75" customHeight="1" s="57">
      <c r="A484" s="39" t="inlineStr">
        <is>
          <t>2026-11-01</t>
        </is>
      </c>
      <c r="B484" s="11" t="inlineStr">
        <is>
          <t>ecom</t>
        </is>
      </c>
      <c r="C484" s="11" t="inlineStr">
        <is>
          <t>TTS</t>
        </is>
      </c>
      <c r="D484" s="11" t="inlineStr">
        <is>
          <t>02.5-10kg</t>
        </is>
      </c>
      <c r="E484" s="11" t="inlineStr">
        <is>
          <t>Lâm Đồng</t>
        </is>
      </c>
      <c r="F484" s="11" t="n">
        <v>7380.92</v>
      </c>
      <c r="G484" s="11" t="n">
        <v>46854.81</v>
      </c>
      <c r="H484" s="11" t="n">
        <v>0</v>
      </c>
      <c r="I484" s="11" t="n">
        <v>11</v>
      </c>
    </row>
    <row r="485" ht="15.75" customHeight="1" s="57">
      <c r="A485" s="39" t="inlineStr">
        <is>
          <t>2026-11-01</t>
        </is>
      </c>
      <c r="B485" s="11" t="inlineStr">
        <is>
          <t>ecom</t>
        </is>
      </c>
      <c r="C485" s="11" t="inlineStr">
        <is>
          <t>TTS</t>
        </is>
      </c>
      <c r="D485" s="11" t="inlineStr">
        <is>
          <t>02.5-10kg</t>
        </is>
      </c>
      <c r="E485" s="11" t="inlineStr">
        <is>
          <t>Ninh Thuận</t>
        </is>
      </c>
      <c r="F485" s="11" t="n">
        <v>2311.11</v>
      </c>
      <c r="G485" s="11" t="n">
        <v>14671.16</v>
      </c>
      <c r="H485" s="11" t="n">
        <v>0</v>
      </c>
      <c r="I485" s="11" t="n">
        <v>11</v>
      </c>
    </row>
    <row r="486" ht="15.75" customHeight="1" s="57">
      <c r="A486" s="39" t="inlineStr">
        <is>
          <t>2026-11-01</t>
        </is>
      </c>
      <c r="B486" s="11" t="inlineStr">
        <is>
          <t>ecom</t>
        </is>
      </c>
      <c r="C486" s="11" t="inlineStr">
        <is>
          <t>TTS</t>
        </is>
      </c>
      <c r="D486" s="11" t="inlineStr">
        <is>
          <t>02.5-10kg</t>
        </is>
      </c>
      <c r="E486" s="11" t="inlineStr">
        <is>
          <t>Đắk Nông</t>
        </is>
      </c>
      <c r="F486" s="11" t="n">
        <v>3924.84</v>
      </c>
      <c r="G486" s="11" t="n">
        <v>24915.25</v>
      </c>
      <c r="H486" s="11" t="n">
        <v>0</v>
      </c>
      <c r="I486" s="11" t="n">
        <v>11</v>
      </c>
    </row>
    <row r="487" ht="15.75" customHeight="1" s="57">
      <c r="A487" s="39" t="inlineStr">
        <is>
          <t>2026-11-01</t>
        </is>
      </c>
      <c r="B487" s="11" t="inlineStr">
        <is>
          <t>ecom</t>
        </is>
      </c>
      <c r="C487" s="11" t="inlineStr">
        <is>
          <t>TTS</t>
        </is>
      </c>
      <c r="D487" s="11" t="inlineStr">
        <is>
          <t>03.10-15kg</t>
        </is>
      </c>
      <c r="E487" s="11" t="inlineStr">
        <is>
          <t>Bình Thuận</t>
        </is>
      </c>
      <c r="F487" s="11" t="n">
        <v>2201.63</v>
      </c>
      <c r="G487" s="11" t="n">
        <v>25379.12</v>
      </c>
      <c r="H487" s="11" t="n">
        <v>0</v>
      </c>
      <c r="I487" s="11" t="n">
        <v>11</v>
      </c>
    </row>
    <row r="488" ht="15.75" customHeight="1" s="57">
      <c r="A488" s="39" t="inlineStr">
        <is>
          <t>2026-11-01</t>
        </is>
      </c>
      <c r="B488" s="11" t="inlineStr">
        <is>
          <t>ecom</t>
        </is>
      </c>
      <c r="C488" s="11" t="inlineStr">
        <is>
          <t>TTS</t>
        </is>
      </c>
      <c r="D488" s="11" t="inlineStr">
        <is>
          <t>03.10-15kg</t>
        </is>
      </c>
      <c r="E488" s="11" t="inlineStr">
        <is>
          <t>Khánh Hòa</t>
        </is>
      </c>
      <c r="F488" s="11" t="n">
        <v>2608.69</v>
      </c>
      <c r="G488" s="11" t="n">
        <v>30071.47</v>
      </c>
      <c r="H488" s="11" t="n">
        <v>0</v>
      </c>
      <c r="I488" s="11" t="n">
        <v>11</v>
      </c>
    </row>
    <row r="489" ht="15.75" customHeight="1" s="57">
      <c r="A489" s="39" t="inlineStr">
        <is>
          <t>2026-11-01</t>
        </is>
      </c>
      <c r="B489" s="11" t="inlineStr">
        <is>
          <t>ecom</t>
        </is>
      </c>
      <c r="C489" s="11" t="inlineStr">
        <is>
          <t>TTS</t>
        </is>
      </c>
      <c r="D489" s="11" t="inlineStr">
        <is>
          <t>03.10-15kg</t>
        </is>
      </c>
      <c r="E489" s="11" t="inlineStr">
        <is>
          <t>Lâm Đồng</t>
        </is>
      </c>
      <c r="F489" s="11" t="n">
        <v>2914.14</v>
      </c>
      <c r="G489" s="11" t="n">
        <v>33592.47</v>
      </c>
      <c r="H489" s="11" t="n">
        <v>0</v>
      </c>
      <c r="I489" s="11" t="n">
        <v>11</v>
      </c>
    </row>
    <row r="490" ht="15.75" customHeight="1" s="57">
      <c r="A490" s="39" t="inlineStr">
        <is>
          <t>2026-11-01</t>
        </is>
      </c>
      <c r="B490" s="11" t="inlineStr">
        <is>
          <t>ecom</t>
        </is>
      </c>
      <c r="C490" s="11" t="inlineStr">
        <is>
          <t>TTS</t>
        </is>
      </c>
      <c r="D490" s="11" t="inlineStr">
        <is>
          <t>03.10-15kg</t>
        </is>
      </c>
      <c r="E490" s="11" t="inlineStr">
        <is>
          <t>Ninh Thuận</t>
        </is>
      </c>
      <c r="F490" s="11" t="n">
        <v>971.99</v>
      </c>
      <c r="G490" s="11" t="n">
        <v>11204.46</v>
      </c>
      <c r="H490" s="11" t="n">
        <v>0</v>
      </c>
      <c r="I490" s="11" t="n">
        <v>11</v>
      </c>
    </row>
    <row r="491" ht="15.75" customHeight="1" s="57">
      <c r="A491" s="39" t="inlineStr">
        <is>
          <t>2026-11-01</t>
        </is>
      </c>
      <c r="B491" s="11" t="inlineStr">
        <is>
          <t>ecom</t>
        </is>
      </c>
      <c r="C491" s="11" t="inlineStr">
        <is>
          <t>TTS</t>
        </is>
      </c>
      <c r="D491" s="11" t="inlineStr">
        <is>
          <t>03.10-15kg</t>
        </is>
      </c>
      <c r="E491" s="11" t="inlineStr">
        <is>
          <t>Đắk Nông</t>
        </is>
      </c>
      <c r="F491" s="11" t="n">
        <v>1442.55</v>
      </c>
      <c r="G491" s="11" t="n">
        <v>16628.9</v>
      </c>
      <c r="H491" s="11" t="n">
        <v>0</v>
      </c>
      <c r="I491" s="11" t="n">
        <v>11</v>
      </c>
    </row>
    <row r="492" ht="15.75" customHeight="1" s="57">
      <c r="A492" s="39" t="inlineStr">
        <is>
          <t>2026-11-01</t>
        </is>
      </c>
      <c r="B492" s="11" t="inlineStr">
        <is>
          <t>ecom</t>
        </is>
      </c>
      <c r="C492" s="11" t="inlineStr">
        <is>
          <t>TTS</t>
        </is>
      </c>
      <c r="D492" s="11" t="inlineStr">
        <is>
          <t>04.15-20kg</t>
        </is>
      </c>
      <c r="E492" s="11" t="inlineStr">
        <is>
          <t>Bình Thuận</t>
        </is>
      </c>
      <c r="F492" s="11" t="n">
        <v>777.83</v>
      </c>
      <c r="G492" s="11" t="n">
        <v>12865.16</v>
      </c>
      <c r="H492" s="11" t="n">
        <v>0</v>
      </c>
      <c r="I492" s="11" t="n">
        <v>11</v>
      </c>
    </row>
    <row r="493" ht="15.75" customHeight="1" s="57">
      <c r="A493" s="39" t="inlineStr">
        <is>
          <t>2026-11-01</t>
        </is>
      </c>
      <c r="B493" s="11" t="inlineStr">
        <is>
          <t>ecom</t>
        </is>
      </c>
      <c r="C493" s="11" t="inlineStr">
        <is>
          <t>TTS</t>
        </is>
      </c>
      <c r="D493" s="11" t="inlineStr">
        <is>
          <t>04.15-20kg</t>
        </is>
      </c>
      <c r="E493" s="11" t="inlineStr">
        <is>
          <t>Khánh Hòa</t>
        </is>
      </c>
      <c r="F493" s="11" t="n">
        <v>1053.03</v>
      </c>
      <c r="G493" s="11" t="n">
        <v>17416.98</v>
      </c>
      <c r="H493" s="11" t="n">
        <v>0</v>
      </c>
      <c r="I493" s="11" t="n">
        <v>11</v>
      </c>
    </row>
    <row r="494" ht="15.75" customHeight="1" s="57">
      <c r="A494" s="39" t="inlineStr">
        <is>
          <t>2026-11-01</t>
        </is>
      </c>
      <c r="B494" s="11" t="inlineStr">
        <is>
          <t>ecom</t>
        </is>
      </c>
      <c r="C494" s="11" t="inlineStr">
        <is>
          <t>TTS</t>
        </is>
      </c>
      <c r="D494" s="11" t="inlineStr">
        <is>
          <t>04.15-20kg</t>
        </is>
      </c>
      <c r="E494" s="11" t="inlineStr">
        <is>
          <t>Lâm Đồng</t>
        </is>
      </c>
      <c r="F494" s="11" t="n">
        <v>1175.82</v>
      </c>
      <c r="G494" s="11" t="n">
        <v>19447.79</v>
      </c>
      <c r="H494" s="11" t="n">
        <v>0</v>
      </c>
      <c r="I494" s="11" t="n">
        <v>11</v>
      </c>
    </row>
    <row r="495" ht="15.75" customHeight="1" s="57">
      <c r="A495" s="39" t="inlineStr">
        <is>
          <t>2026-11-01</t>
        </is>
      </c>
      <c r="B495" s="11" t="inlineStr">
        <is>
          <t>ecom</t>
        </is>
      </c>
      <c r="C495" s="11" t="inlineStr">
        <is>
          <t>TTS</t>
        </is>
      </c>
      <c r="D495" s="11" t="inlineStr">
        <is>
          <t>04.15-20kg</t>
        </is>
      </c>
      <c r="E495" s="11" t="inlineStr">
        <is>
          <t>Ninh Thuận</t>
        </is>
      </c>
      <c r="F495" s="11" t="n">
        <v>330.85</v>
      </c>
      <c r="G495" s="11" t="n">
        <v>5472.19</v>
      </c>
      <c r="H495" s="11" t="n">
        <v>0</v>
      </c>
      <c r="I495" s="11" t="n">
        <v>11</v>
      </c>
    </row>
    <row r="496" ht="15.75" customHeight="1" s="57">
      <c r="A496" s="39" t="inlineStr">
        <is>
          <t>2026-11-01</t>
        </is>
      </c>
      <c r="B496" s="11" t="inlineStr">
        <is>
          <t>ecom</t>
        </is>
      </c>
      <c r="C496" s="11" t="inlineStr">
        <is>
          <t>TTS</t>
        </is>
      </c>
      <c r="D496" s="11" t="inlineStr">
        <is>
          <t>04.15-20kg</t>
        </is>
      </c>
      <c r="E496" s="11" t="inlineStr">
        <is>
          <t>Đắk Nông</t>
        </is>
      </c>
      <c r="F496" s="11" t="n">
        <v>593.96</v>
      </c>
      <c r="G496" s="11" t="n">
        <v>9823.940000000001</v>
      </c>
      <c r="H496" s="11" t="n">
        <v>0</v>
      </c>
      <c r="I496" s="11" t="n">
        <v>11</v>
      </c>
    </row>
    <row r="497" ht="15.75" customHeight="1" s="57">
      <c r="A497" s="39" t="inlineStr">
        <is>
          <t>2026-11-01</t>
        </is>
      </c>
      <c r="B497" s="11" t="inlineStr">
        <is>
          <t>ecom</t>
        </is>
      </c>
      <c r="C497" s="11" t="inlineStr">
        <is>
          <t>TTS</t>
        </is>
      </c>
      <c r="D497" s="11" t="inlineStr">
        <is>
          <t>05.&gt;=20kg</t>
        </is>
      </c>
      <c r="E497" s="11" t="inlineStr">
        <is>
          <t>Bình Thuận</t>
        </is>
      </c>
      <c r="F497" s="11" t="n">
        <v>782.0599999999999</v>
      </c>
      <c r="G497" s="11" t="n">
        <v>28062.26</v>
      </c>
      <c r="H497" s="11" t="n">
        <v>0</v>
      </c>
      <c r="I497" s="11" t="n">
        <v>11</v>
      </c>
    </row>
    <row r="498" ht="15.75" customHeight="1" s="57">
      <c r="A498" s="39" t="inlineStr">
        <is>
          <t>2026-11-01</t>
        </is>
      </c>
      <c r="B498" s="11" t="inlineStr">
        <is>
          <t>ecom</t>
        </is>
      </c>
      <c r="C498" s="11" t="inlineStr">
        <is>
          <t>TTS</t>
        </is>
      </c>
      <c r="D498" s="11" t="inlineStr">
        <is>
          <t>05.&gt;=20kg</t>
        </is>
      </c>
      <c r="E498" s="11" t="inlineStr">
        <is>
          <t>Khánh Hòa</t>
        </is>
      </c>
      <c r="F498" s="11" t="n">
        <v>1085.7</v>
      </c>
      <c r="G498" s="11" t="n">
        <v>38957.27</v>
      </c>
      <c r="H498" s="11" t="n">
        <v>0</v>
      </c>
      <c r="I498" s="11" t="n">
        <v>11</v>
      </c>
    </row>
    <row r="499" ht="15.75" customHeight="1" s="57">
      <c r="A499" s="39" t="inlineStr">
        <is>
          <t>2026-11-01</t>
        </is>
      </c>
      <c r="B499" s="11" t="inlineStr">
        <is>
          <t>ecom</t>
        </is>
      </c>
      <c r="C499" s="11" t="inlineStr">
        <is>
          <t>TTS</t>
        </is>
      </c>
      <c r="D499" s="11" t="inlineStr">
        <is>
          <t>05.&gt;=20kg</t>
        </is>
      </c>
      <c r="E499" s="11" t="inlineStr">
        <is>
          <t>Lâm Đồng</t>
        </is>
      </c>
      <c r="F499" s="11" t="n">
        <v>1075.41</v>
      </c>
      <c r="G499" s="11" t="n">
        <v>38588.32</v>
      </c>
      <c r="H499" s="11" t="n">
        <v>0</v>
      </c>
      <c r="I499" s="11" t="n">
        <v>11</v>
      </c>
    </row>
    <row r="500" ht="15.75" customHeight="1" s="57">
      <c r="A500" s="39" t="inlineStr">
        <is>
          <t>2026-11-01</t>
        </is>
      </c>
      <c r="B500" s="11" t="inlineStr">
        <is>
          <t>ecom</t>
        </is>
      </c>
      <c r="C500" s="11" t="inlineStr">
        <is>
          <t>TTS</t>
        </is>
      </c>
      <c r="D500" s="11" t="inlineStr">
        <is>
          <t>05.&gt;=20kg</t>
        </is>
      </c>
      <c r="E500" s="11" t="inlineStr">
        <is>
          <t>Ninh Thuận</t>
        </is>
      </c>
      <c r="F500" s="11" t="n">
        <v>338.11</v>
      </c>
      <c r="G500" s="11" t="n">
        <v>12132.1</v>
      </c>
      <c r="H500" s="11" t="n">
        <v>0</v>
      </c>
      <c r="I500" s="11" t="n">
        <v>11</v>
      </c>
    </row>
    <row r="501" ht="15.75" customHeight="1" s="57">
      <c r="A501" s="39" t="inlineStr">
        <is>
          <t>2026-11-01</t>
        </is>
      </c>
      <c r="B501" s="11" t="inlineStr">
        <is>
          <t>ecom</t>
        </is>
      </c>
      <c r="C501" s="11" t="inlineStr">
        <is>
          <t>TTS</t>
        </is>
      </c>
      <c r="D501" s="11" t="inlineStr">
        <is>
          <t>05.&gt;=20kg</t>
        </is>
      </c>
      <c r="E501" s="11" t="inlineStr">
        <is>
          <t>Đắk Nông</t>
        </is>
      </c>
      <c r="F501" s="11" t="n">
        <v>497.79</v>
      </c>
      <c r="G501" s="11" t="n">
        <v>17861.75</v>
      </c>
      <c r="H501" s="11" t="n">
        <v>0</v>
      </c>
      <c r="I501" s="11" t="n">
        <v>11</v>
      </c>
    </row>
    <row r="502" ht="15.75" customHeight="1" s="57">
      <c r="A502" s="39" t="inlineStr">
        <is>
          <t>2026-12-01</t>
        </is>
      </c>
      <c r="B502" s="11" t="inlineStr">
        <is>
          <t>sme</t>
        </is>
      </c>
      <c r="C502" s="11" t="inlineStr">
        <is>
          <t>SME</t>
        </is>
      </c>
      <c r="D502" s="11" t="inlineStr">
        <is>
          <t>01.0-5kg</t>
        </is>
      </c>
      <c r="E502" s="11" t="inlineStr">
        <is>
          <t>Bình Thuận</t>
        </is>
      </c>
      <c r="F502" s="11" t="n">
        <v>206980.18</v>
      </c>
      <c r="G502" s="11" t="n">
        <v>143313.08</v>
      </c>
      <c r="H502" s="11" t="n">
        <v>0</v>
      </c>
      <c r="I502" s="11" t="n">
        <v>12</v>
      </c>
    </row>
    <row r="503" ht="15.75" customHeight="1" s="57">
      <c r="A503" s="39" t="inlineStr">
        <is>
          <t>2026-12-01</t>
        </is>
      </c>
      <c r="B503" s="11" t="inlineStr">
        <is>
          <t>sme</t>
        </is>
      </c>
      <c r="C503" s="11" t="inlineStr">
        <is>
          <t>SME</t>
        </is>
      </c>
      <c r="D503" s="11" t="inlineStr">
        <is>
          <t>01.0-5kg</t>
        </is>
      </c>
      <c r="E503" s="11" t="inlineStr">
        <is>
          <t>Khánh Hòa</t>
        </is>
      </c>
      <c r="F503" s="11" t="n">
        <v>254908.9</v>
      </c>
      <c r="G503" s="11" t="n">
        <v>176498.92</v>
      </c>
      <c r="H503" s="11" t="n">
        <v>0</v>
      </c>
      <c r="I503" s="11" t="n">
        <v>12</v>
      </c>
    </row>
    <row r="504" ht="15.75" customHeight="1" s="57">
      <c r="A504" s="39" t="inlineStr">
        <is>
          <t>2026-12-01</t>
        </is>
      </c>
      <c r="B504" s="11" t="inlineStr">
        <is>
          <t>sme</t>
        </is>
      </c>
      <c r="C504" s="11" t="inlineStr">
        <is>
          <t>SME</t>
        </is>
      </c>
      <c r="D504" s="11" t="inlineStr">
        <is>
          <t>01.0-5kg</t>
        </is>
      </c>
      <c r="E504" s="11" t="inlineStr">
        <is>
          <t>Lâm Đồng</t>
        </is>
      </c>
      <c r="F504" s="11" t="n">
        <v>276602.62</v>
      </c>
      <c r="G504" s="11" t="n">
        <v>191519.65</v>
      </c>
      <c r="H504" s="11" t="n">
        <v>0</v>
      </c>
      <c r="I504" s="11" t="n">
        <v>12</v>
      </c>
    </row>
    <row r="505" ht="15.75" customHeight="1" s="57">
      <c r="A505" s="39" t="inlineStr">
        <is>
          <t>2026-12-01</t>
        </is>
      </c>
      <c r="B505" s="11" t="inlineStr">
        <is>
          <t>sme</t>
        </is>
      </c>
      <c r="C505" s="11" t="inlineStr">
        <is>
          <t>SME</t>
        </is>
      </c>
      <c r="D505" s="11" t="inlineStr">
        <is>
          <t>01.0-5kg</t>
        </is>
      </c>
      <c r="E505" s="11" t="inlineStr">
        <is>
          <t>Ninh Thuận</t>
        </is>
      </c>
      <c r="F505" s="11" t="n">
        <v>82606.42999999999</v>
      </c>
      <c r="G505" s="11" t="n">
        <v>57196.69</v>
      </c>
      <c r="H505" s="11" t="n">
        <v>0</v>
      </c>
      <c r="I505" s="11" t="n">
        <v>12</v>
      </c>
    </row>
    <row r="506" ht="15.75" customHeight="1" s="57">
      <c r="A506" s="39" t="inlineStr">
        <is>
          <t>2026-12-01</t>
        </is>
      </c>
      <c r="B506" s="11" t="inlineStr">
        <is>
          <t>sme</t>
        </is>
      </c>
      <c r="C506" s="11" t="inlineStr">
        <is>
          <t>SME</t>
        </is>
      </c>
      <c r="D506" s="11" t="inlineStr">
        <is>
          <t>01.0-5kg</t>
        </is>
      </c>
      <c r="E506" s="11" t="inlineStr">
        <is>
          <t>Đắk Nông</t>
        </is>
      </c>
      <c r="F506" s="11" t="n">
        <v>108839.78</v>
      </c>
      <c r="G506" s="11" t="n">
        <v>75360.66</v>
      </c>
      <c r="H506" s="11" t="n">
        <v>0</v>
      </c>
      <c r="I506" s="11" t="n">
        <v>12</v>
      </c>
    </row>
    <row r="507" ht="15.75" customHeight="1" s="57">
      <c r="A507" s="39" t="inlineStr">
        <is>
          <t>2026-12-01</t>
        </is>
      </c>
      <c r="B507" s="11" t="inlineStr">
        <is>
          <t>sme</t>
        </is>
      </c>
      <c r="C507" s="11" t="inlineStr">
        <is>
          <t>SME</t>
        </is>
      </c>
      <c r="D507" s="11" t="inlineStr">
        <is>
          <t>02.5-10kg</t>
        </is>
      </c>
      <c r="E507" s="11" t="inlineStr">
        <is>
          <t>Bình Thuận</t>
        </is>
      </c>
      <c r="F507" s="11" t="n">
        <v>13548.71</v>
      </c>
      <c r="G507" s="11" t="n">
        <v>82783.95</v>
      </c>
      <c r="H507" s="11" t="n">
        <v>0</v>
      </c>
      <c r="I507" s="11" t="n">
        <v>12</v>
      </c>
    </row>
    <row r="508" ht="15.75" customHeight="1" s="57">
      <c r="A508" s="39" t="inlineStr">
        <is>
          <t>2026-12-01</t>
        </is>
      </c>
      <c r="B508" s="11" t="inlineStr">
        <is>
          <t>sme</t>
        </is>
      </c>
      <c r="C508" s="11" t="inlineStr">
        <is>
          <t>SME</t>
        </is>
      </c>
      <c r="D508" s="11" t="inlineStr">
        <is>
          <t>02.5-10kg</t>
        </is>
      </c>
      <c r="E508" s="11" t="inlineStr">
        <is>
          <t>Khánh Hòa</t>
        </is>
      </c>
      <c r="F508" s="11" t="n">
        <v>13664.39</v>
      </c>
      <c r="G508" s="11" t="n">
        <v>83490.78999999999</v>
      </c>
      <c r="H508" s="11" t="n">
        <v>0</v>
      </c>
      <c r="I508" s="11" t="n">
        <v>12</v>
      </c>
    </row>
    <row r="509" ht="15.75" customHeight="1" s="57">
      <c r="A509" s="39" t="inlineStr">
        <is>
          <t>2026-12-01</t>
        </is>
      </c>
      <c r="B509" s="11" t="inlineStr">
        <is>
          <t>sme</t>
        </is>
      </c>
      <c r="C509" s="11" t="inlineStr">
        <is>
          <t>SME</t>
        </is>
      </c>
      <c r="D509" s="11" t="inlineStr">
        <is>
          <t>02.5-10kg</t>
        </is>
      </c>
      <c r="E509" s="11" t="inlineStr">
        <is>
          <t>Lâm Đồng</t>
        </is>
      </c>
      <c r="F509" s="11" t="n">
        <v>18112.46</v>
      </c>
      <c r="G509" s="11" t="n">
        <v>110668.93</v>
      </c>
      <c r="H509" s="11" t="n">
        <v>0</v>
      </c>
      <c r="I509" s="11" t="n">
        <v>12</v>
      </c>
    </row>
    <row r="510" ht="15.75" customHeight="1" s="57">
      <c r="A510" s="39" t="inlineStr">
        <is>
          <t>2026-12-01</t>
        </is>
      </c>
      <c r="B510" s="11" t="inlineStr">
        <is>
          <t>sme</t>
        </is>
      </c>
      <c r="C510" s="11" t="inlineStr">
        <is>
          <t>SME</t>
        </is>
      </c>
      <c r="D510" s="11" t="inlineStr">
        <is>
          <t>02.5-10kg</t>
        </is>
      </c>
      <c r="E510" s="11" t="inlineStr">
        <is>
          <t>Ninh Thuận</t>
        </is>
      </c>
      <c r="F510" s="11" t="n">
        <v>4926.7</v>
      </c>
      <c r="G510" s="11" t="n">
        <v>30102.65</v>
      </c>
      <c r="H510" s="11" t="n">
        <v>0</v>
      </c>
      <c r="I510" s="11" t="n">
        <v>12</v>
      </c>
    </row>
    <row r="511" ht="15.75" customHeight="1" s="57">
      <c r="A511" s="39" t="inlineStr">
        <is>
          <t>2026-12-01</t>
        </is>
      </c>
      <c r="B511" s="11" t="inlineStr">
        <is>
          <t>sme</t>
        </is>
      </c>
      <c r="C511" s="11" t="inlineStr">
        <is>
          <t>SME</t>
        </is>
      </c>
      <c r="D511" s="11" t="inlineStr">
        <is>
          <t>02.5-10kg</t>
        </is>
      </c>
      <c r="E511" s="11" t="inlineStr">
        <is>
          <t>Đắk Nông</t>
        </is>
      </c>
      <c r="F511" s="11" t="n">
        <v>7186.65</v>
      </c>
      <c r="G511" s="11" t="n">
        <v>43911.14</v>
      </c>
      <c r="H511" s="11" t="n">
        <v>0</v>
      </c>
      <c r="I511" s="11" t="n">
        <v>12</v>
      </c>
    </row>
    <row r="512" ht="15.75" customHeight="1" s="57">
      <c r="A512" s="39" t="inlineStr">
        <is>
          <t>2026-12-01</t>
        </is>
      </c>
      <c r="B512" s="11" t="inlineStr">
        <is>
          <t>sme</t>
        </is>
      </c>
      <c r="C512" s="11" t="inlineStr">
        <is>
          <t>SME</t>
        </is>
      </c>
      <c r="D512" s="11" t="inlineStr">
        <is>
          <t>03.10-15kg</t>
        </is>
      </c>
      <c r="E512" s="11" t="inlineStr">
        <is>
          <t>Bình Thuận</t>
        </is>
      </c>
      <c r="F512" s="11" t="n">
        <v>6837.4</v>
      </c>
      <c r="G512" s="11" t="n">
        <v>77228.48</v>
      </c>
      <c r="H512" s="11" t="n">
        <v>0</v>
      </c>
      <c r="I512" s="11" t="n">
        <v>12</v>
      </c>
    </row>
    <row r="513" ht="15.75" customHeight="1" s="57">
      <c r="A513" s="39" t="inlineStr">
        <is>
          <t>2026-12-01</t>
        </is>
      </c>
      <c r="B513" s="11" t="inlineStr">
        <is>
          <t>sme</t>
        </is>
      </c>
      <c r="C513" s="11" t="inlineStr">
        <is>
          <t>SME</t>
        </is>
      </c>
      <c r="D513" s="11" t="inlineStr">
        <is>
          <t>03.10-15kg</t>
        </is>
      </c>
      <c r="E513" s="11" t="inlineStr">
        <is>
          <t>Khánh Hòa</t>
        </is>
      </c>
      <c r="F513" s="11" t="n">
        <v>7068.77</v>
      </c>
      <c r="G513" s="11" t="n">
        <v>79841.77</v>
      </c>
      <c r="H513" s="11" t="n">
        <v>0</v>
      </c>
      <c r="I513" s="11" t="n">
        <v>12</v>
      </c>
    </row>
    <row r="514" ht="15.75" customHeight="1" s="57">
      <c r="A514" s="39" t="inlineStr">
        <is>
          <t>2026-12-01</t>
        </is>
      </c>
      <c r="B514" s="11" t="inlineStr">
        <is>
          <t>sme</t>
        </is>
      </c>
      <c r="C514" s="11" t="inlineStr">
        <is>
          <t>SME</t>
        </is>
      </c>
      <c r="D514" s="11" t="inlineStr">
        <is>
          <t>03.10-15kg</t>
        </is>
      </c>
      <c r="E514" s="11" t="inlineStr">
        <is>
          <t>Lâm Đồng</t>
        </is>
      </c>
      <c r="F514" s="11" t="n">
        <v>10333.14</v>
      </c>
      <c r="G514" s="11" t="n">
        <v>116712.78</v>
      </c>
      <c r="H514" s="11" t="n">
        <v>0</v>
      </c>
      <c r="I514" s="11" t="n">
        <v>12</v>
      </c>
    </row>
    <row r="515" ht="15.75" customHeight="1" s="57">
      <c r="A515" s="39" t="inlineStr">
        <is>
          <t>2026-12-01</t>
        </is>
      </c>
      <c r="B515" s="11" t="inlineStr">
        <is>
          <t>sme</t>
        </is>
      </c>
      <c r="C515" s="11" t="inlineStr">
        <is>
          <t>SME</t>
        </is>
      </c>
      <c r="D515" s="11" t="inlineStr">
        <is>
          <t>03.10-15kg</t>
        </is>
      </c>
      <c r="E515" s="11" t="inlineStr">
        <is>
          <t>Ninh Thuận</t>
        </is>
      </c>
      <c r="F515" s="11" t="n">
        <v>2749</v>
      </c>
      <c r="G515" s="11" t="n">
        <v>31049.92</v>
      </c>
      <c r="H515" s="11" t="n">
        <v>0</v>
      </c>
      <c r="I515" s="11" t="n">
        <v>12</v>
      </c>
    </row>
    <row r="516" ht="15.75" customHeight="1" s="57">
      <c r="A516" s="39" t="inlineStr">
        <is>
          <t>2026-12-01</t>
        </is>
      </c>
      <c r="B516" s="11" t="inlineStr">
        <is>
          <t>sme</t>
        </is>
      </c>
      <c r="C516" s="11" t="inlineStr">
        <is>
          <t>SME</t>
        </is>
      </c>
      <c r="D516" s="11" t="inlineStr">
        <is>
          <t>03.10-15kg</t>
        </is>
      </c>
      <c r="E516" s="11" t="inlineStr">
        <is>
          <t>Đắk Nông</t>
        </is>
      </c>
      <c r="F516" s="11" t="n">
        <v>3773.15</v>
      </c>
      <c r="G516" s="11" t="n">
        <v>42617.78</v>
      </c>
      <c r="H516" s="11" t="n">
        <v>0</v>
      </c>
      <c r="I516" s="11" t="n">
        <v>12</v>
      </c>
    </row>
    <row r="517" ht="15.75" customHeight="1" s="57">
      <c r="A517" s="39" t="inlineStr">
        <is>
          <t>2026-12-01</t>
        </is>
      </c>
      <c r="B517" s="11" t="inlineStr">
        <is>
          <t>sme</t>
        </is>
      </c>
      <c r="C517" s="11" t="inlineStr">
        <is>
          <t>SME</t>
        </is>
      </c>
      <c r="D517" s="11" t="inlineStr">
        <is>
          <t>04.15-20kg</t>
        </is>
      </c>
      <c r="E517" s="11" t="inlineStr">
        <is>
          <t>Bình Thuận</t>
        </is>
      </c>
      <c r="F517" s="11" t="n">
        <v>2661.82</v>
      </c>
      <c r="G517" s="11" t="n">
        <v>45372.64</v>
      </c>
      <c r="H517" s="11" t="n">
        <v>0</v>
      </c>
      <c r="I517" s="11" t="n">
        <v>12</v>
      </c>
    </row>
    <row r="518" ht="15.75" customHeight="1" s="57">
      <c r="A518" s="39" t="inlineStr">
        <is>
          <t>2026-12-01</t>
        </is>
      </c>
      <c r="B518" s="11" t="inlineStr">
        <is>
          <t>sme</t>
        </is>
      </c>
      <c r="C518" s="11" t="inlineStr">
        <is>
          <t>SME</t>
        </is>
      </c>
      <c r="D518" s="11" t="inlineStr">
        <is>
          <t>04.15-20kg</t>
        </is>
      </c>
      <c r="E518" s="11" t="inlineStr">
        <is>
          <t>Khánh Hòa</t>
        </is>
      </c>
      <c r="F518" s="11" t="n">
        <v>3313.71</v>
      </c>
      <c r="G518" s="11" t="n">
        <v>56484.49</v>
      </c>
      <c r="H518" s="11" t="n">
        <v>0</v>
      </c>
      <c r="I518" s="11" t="n">
        <v>12</v>
      </c>
    </row>
    <row r="519" ht="15.75" customHeight="1" s="57">
      <c r="A519" s="39" t="inlineStr">
        <is>
          <t>2026-12-01</t>
        </is>
      </c>
      <c r="B519" s="11" t="inlineStr">
        <is>
          <t>sme</t>
        </is>
      </c>
      <c r="C519" s="11" t="inlineStr">
        <is>
          <t>SME</t>
        </is>
      </c>
      <c r="D519" s="11" t="inlineStr">
        <is>
          <t>04.15-20kg</t>
        </is>
      </c>
      <c r="E519" s="11" t="inlineStr">
        <is>
          <t>Lâm Đồng</t>
        </is>
      </c>
      <c r="F519" s="11" t="n">
        <v>4000.68</v>
      </c>
      <c r="G519" s="11" t="n">
        <v>68194.47</v>
      </c>
      <c r="H519" s="11" t="n">
        <v>0</v>
      </c>
      <c r="I519" s="11" t="n">
        <v>12</v>
      </c>
    </row>
    <row r="520" ht="15.75" customHeight="1" s="57">
      <c r="A520" s="39" t="inlineStr">
        <is>
          <t>2026-12-01</t>
        </is>
      </c>
      <c r="B520" s="11" t="inlineStr">
        <is>
          <t>sme</t>
        </is>
      </c>
      <c r="C520" s="11" t="inlineStr">
        <is>
          <t>SME</t>
        </is>
      </c>
      <c r="D520" s="11" t="inlineStr">
        <is>
          <t>04.15-20kg</t>
        </is>
      </c>
      <c r="E520" s="11" t="inlineStr">
        <is>
          <t>Ninh Thuận</t>
        </is>
      </c>
      <c r="F520" s="11" t="n">
        <v>1031.83</v>
      </c>
      <c r="G520" s="11" t="n">
        <v>17588.32</v>
      </c>
      <c r="H520" s="11" t="n">
        <v>0</v>
      </c>
      <c r="I520" s="11" t="n">
        <v>12</v>
      </c>
    </row>
    <row r="521" ht="15.75" customHeight="1" s="57">
      <c r="A521" s="39" t="inlineStr">
        <is>
          <t>2026-12-01</t>
        </is>
      </c>
      <c r="B521" s="11" t="inlineStr">
        <is>
          <t>sme</t>
        </is>
      </c>
      <c r="C521" s="11" t="inlineStr">
        <is>
          <t>SME</t>
        </is>
      </c>
      <c r="D521" s="11" t="inlineStr">
        <is>
          <t>04.15-20kg</t>
        </is>
      </c>
      <c r="E521" s="11" t="inlineStr">
        <is>
          <t>Đắk Nông</t>
        </is>
      </c>
      <c r="F521" s="11" t="n">
        <v>1607.51</v>
      </c>
      <c r="G521" s="11" t="n">
        <v>27401.15</v>
      </c>
      <c r="H521" s="11" t="n">
        <v>0</v>
      </c>
      <c r="I521" s="11" t="n">
        <v>12</v>
      </c>
    </row>
    <row r="522" ht="15.75" customHeight="1" s="57">
      <c r="A522" s="39" t="inlineStr">
        <is>
          <t>2026-12-01</t>
        </is>
      </c>
      <c r="B522" s="11" t="inlineStr">
        <is>
          <t>sme</t>
        </is>
      </c>
      <c r="C522" s="11" t="inlineStr">
        <is>
          <t>SME</t>
        </is>
      </c>
      <c r="D522" s="11" t="inlineStr">
        <is>
          <t>05.&gt;=20kg</t>
        </is>
      </c>
      <c r="E522" s="11" t="inlineStr">
        <is>
          <t>Bình Thuận</t>
        </is>
      </c>
      <c r="F522" s="11" t="n">
        <v>4682.18</v>
      </c>
      <c r="G522" s="11" t="n">
        <v>335675.57</v>
      </c>
      <c r="H522" s="11" t="n">
        <v>0</v>
      </c>
      <c r="I522" s="11" t="n">
        <v>12</v>
      </c>
    </row>
    <row r="523" ht="15.75" customHeight="1" s="57">
      <c r="A523" s="39" t="inlineStr">
        <is>
          <t>2026-12-01</t>
        </is>
      </c>
      <c r="B523" s="11" t="inlineStr">
        <is>
          <t>sme</t>
        </is>
      </c>
      <c r="C523" s="11" t="inlineStr">
        <is>
          <t>SME</t>
        </is>
      </c>
      <c r="D523" s="11" t="inlineStr">
        <is>
          <t>05.&gt;=20kg</t>
        </is>
      </c>
      <c r="E523" s="11" t="inlineStr">
        <is>
          <t>Khánh Hòa</t>
        </is>
      </c>
      <c r="F523" s="11" t="n">
        <v>6031.46</v>
      </c>
      <c r="G523" s="11" t="n">
        <v>432408.3</v>
      </c>
      <c r="H523" s="11" t="n">
        <v>0</v>
      </c>
      <c r="I523" s="11" t="n">
        <v>12</v>
      </c>
    </row>
    <row r="524" ht="15.75" customHeight="1" s="57">
      <c r="A524" s="39" t="inlineStr">
        <is>
          <t>2026-12-01</t>
        </is>
      </c>
      <c r="B524" s="11" t="inlineStr">
        <is>
          <t>sme</t>
        </is>
      </c>
      <c r="C524" s="11" t="inlineStr">
        <is>
          <t>SME</t>
        </is>
      </c>
      <c r="D524" s="11" t="inlineStr">
        <is>
          <t>05.&gt;=20kg</t>
        </is>
      </c>
      <c r="E524" s="11" t="inlineStr">
        <is>
          <t>Lâm Đồng</t>
        </is>
      </c>
      <c r="F524" s="11" t="n">
        <v>7183.91</v>
      </c>
      <c r="G524" s="11" t="n">
        <v>515030.09</v>
      </c>
      <c r="H524" s="11" t="n">
        <v>0</v>
      </c>
      <c r="I524" s="11" t="n">
        <v>12</v>
      </c>
    </row>
    <row r="525" ht="15.75" customHeight="1" s="57">
      <c r="A525" s="39" t="inlineStr">
        <is>
          <t>2026-12-01</t>
        </is>
      </c>
      <c r="B525" s="11" t="inlineStr">
        <is>
          <t>sme</t>
        </is>
      </c>
      <c r="C525" s="11" t="inlineStr">
        <is>
          <t>SME</t>
        </is>
      </c>
      <c r="D525" s="11" t="inlineStr">
        <is>
          <t>05.&gt;=20kg</t>
        </is>
      </c>
      <c r="E525" s="11" t="inlineStr">
        <is>
          <t>Ninh Thuận</t>
        </is>
      </c>
      <c r="F525" s="11" t="n">
        <v>1853.68</v>
      </c>
      <c r="G525" s="11" t="n">
        <v>132894.51</v>
      </c>
      <c r="H525" s="11" t="n">
        <v>0</v>
      </c>
      <c r="I525" s="11" t="n">
        <v>12</v>
      </c>
    </row>
    <row r="526" ht="15.75" customHeight="1" s="57">
      <c r="A526" s="39" t="inlineStr">
        <is>
          <t>2026-12-01</t>
        </is>
      </c>
      <c r="B526" s="11" t="inlineStr">
        <is>
          <t>sme</t>
        </is>
      </c>
      <c r="C526" s="11" t="inlineStr">
        <is>
          <t>SME</t>
        </is>
      </c>
      <c r="D526" s="11" t="inlineStr">
        <is>
          <t>05.&gt;=20kg</t>
        </is>
      </c>
      <c r="E526" s="11" t="inlineStr">
        <is>
          <t>Đắk Nông</t>
        </is>
      </c>
      <c r="F526" s="11" t="n">
        <v>2836.72</v>
      </c>
      <c r="G526" s="11" t="n">
        <v>203370.65</v>
      </c>
      <c r="H526" s="11" t="n">
        <v>0</v>
      </c>
      <c r="I526" s="11" t="n">
        <v>12</v>
      </c>
    </row>
    <row r="527" ht="15.75" customHeight="1" s="57">
      <c r="A527" s="39" t="inlineStr">
        <is>
          <t>2026-12-01</t>
        </is>
      </c>
      <c r="B527" s="11" t="inlineStr">
        <is>
          <t>ecom</t>
        </is>
      </c>
      <c r="C527" s="11" t="inlineStr">
        <is>
          <t>Shopee Bulky</t>
        </is>
      </c>
      <c r="D527" s="11" t="inlineStr">
        <is>
          <t>01.0-5kg</t>
        </is>
      </c>
      <c r="E527" s="11" t="inlineStr">
        <is>
          <t>Bình Thuận</t>
        </is>
      </c>
      <c r="F527" s="11" t="n">
        <v>73.72</v>
      </c>
      <c r="G527" s="11" t="n">
        <v>176.09</v>
      </c>
      <c r="H527" s="11" t="n">
        <v>0</v>
      </c>
      <c r="I527" s="11" t="n">
        <v>12</v>
      </c>
    </row>
    <row r="528" ht="15.75" customHeight="1" s="57">
      <c r="A528" s="39" t="inlineStr">
        <is>
          <t>2026-12-01</t>
        </is>
      </c>
      <c r="B528" s="11" t="inlineStr">
        <is>
          <t>ecom</t>
        </is>
      </c>
      <c r="C528" s="11" t="inlineStr">
        <is>
          <t>Shopee Bulky</t>
        </is>
      </c>
      <c r="D528" s="11" t="inlineStr">
        <is>
          <t>01.0-5kg</t>
        </is>
      </c>
      <c r="E528" s="11" t="inlineStr">
        <is>
          <t>Khánh Hòa</t>
        </is>
      </c>
      <c r="F528" s="11" t="n">
        <v>119.66</v>
      </c>
      <c r="G528" s="11" t="n">
        <v>285.83</v>
      </c>
      <c r="H528" s="11" t="n">
        <v>0</v>
      </c>
      <c r="I528" s="11" t="n">
        <v>12</v>
      </c>
    </row>
    <row r="529" ht="15.75" customHeight="1" s="57">
      <c r="A529" s="39" t="inlineStr">
        <is>
          <t>2026-12-01</t>
        </is>
      </c>
      <c r="B529" s="11" t="inlineStr">
        <is>
          <t>ecom</t>
        </is>
      </c>
      <c r="C529" s="11" t="inlineStr">
        <is>
          <t>Shopee Bulky</t>
        </is>
      </c>
      <c r="D529" s="11" t="inlineStr">
        <is>
          <t>01.0-5kg</t>
        </is>
      </c>
      <c r="E529" s="11" t="inlineStr">
        <is>
          <t>Lâm Đồng</t>
        </is>
      </c>
      <c r="F529" s="11" t="n">
        <v>119.66</v>
      </c>
      <c r="G529" s="11" t="n">
        <v>285.83</v>
      </c>
      <c r="H529" s="11" t="n">
        <v>0</v>
      </c>
      <c r="I529" s="11" t="n">
        <v>12</v>
      </c>
    </row>
    <row r="530" ht="15.75" customHeight="1" s="57">
      <c r="A530" s="39" t="inlineStr">
        <is>
          <t>2026-12-01</t>
        </is>
      </c>
      <c r="B530" s="11" t="inlineStr">
        <is>
          <t>ecom</t>
        </is>
      </c>
      <c r="C530" s="11" t="inlineStr">
        <is>
          <t>Shopee Bulky</t>
        </is>
      </c>
      <c r="D530" s="11" t="inlineStr">
        <is>
          <t>01.0-5kg</t>
        </is>
      </c>
      <c r="E530" s="11" t="inlineStr">
        <is>
          <t>Ninh Thuận</t>
        </is>
      </c>
      <c r="F530" s="11" t="n">
        <v>25.64</v>
      </c>
      <c r="G530" s="11" t="n">
        <v>61.25</v>
      </c>
      <c r="H530" s="11" t="n">
        <v>0</v>
      </c>
      <c r="I530" s="11" t="n">
        <v>12</v>
      </c>
    </row>
    <row r="531" ht="15.75" customHeight="1" s="57">
      <c r="A531" s="39" t="inlineStr">
        <is>
          <t>2026-12-01</t>
        </is>
      </c>
      <c r="B531" s="11" t="inlineStr">
        <is>
          <t>ecom</t>
        </is>
      </c>
      <c r="C531" s="11" t="inlineStr">
        <is>
          <t>Shopee Bulky</t>
        </is>
      </c>
      <c r="D531" s="11" t="inlineStr">
        <is>
          <t>01.0-5kg</t>
        </is>
      </c>
      <c r="E531" s="11" t="inlineStr">
        <is>
          <t>Đắk Nông</t>
        </is>
      </c>
      <c r="F531" s="11" t="n">
        <v>24.57</v>
      </c>
      <c r="G531" s="11" t="n">
        <v>58.7</v>
      </c>
      <c r="H531" s="11" t="n">
        <v>0</v>
      </c>
      <c r="I531" s="11" t="n">
        <v>12</v>
      </c>
    </row>
    <row r="532" ht="15.75" customHeight="1" s="57">
      <c r="A532" s="39" t="inlineStr">
        <is>
          <t>2026-12-01</t>
        </is>
      </c>
      <c r="B532" s="11" t="inlineStr">
        <is>
          <t>ecom</t>
        </is>
      </c>
      <c r="C532" s="11" t="inlineStr">
        <is>
          <t>Shopee Bulky</t>
        </is>
      </c>
      <c r="D532" s="11" t="inlineStr">
        <is>
          <t>02.5-10kg</t>
        </is>
      </c>
      <c r="E532" s="11" t="inlineStr">
        <is>
          <t>Bình Thuận</t>
        </is>
      </c>
      <c r="F532" s="11" t="n">
        <v>276.72</v>
      </c>
      <c r="G532" s="11" t="n">
        <v>2225.3</v>
      </c>
      <c r="H532" s="11" t="n">
        <v>0</v>
      </c>
      <c r="I532" s="11" t="n">
        <v>12</v>
      </c>
    </row>
    <row r="533" ht="15.75" customHeight="1" s="57">
      <c r="A533" s="39" t="inlineStr">
        <is>
          <t>2026-12-01</t>
        </is>
      </c>
      <c r="B533" s="11" t="inlineStr">
        <is>
          <t>ecom</t>
        </is>
      </c>
      <c r="C533" s="11" t="inlineStr">
        <is>
          <t>Shopee Bulky</t>
        </is>
      </c>
      <c r="D533" s="11" t="inlineStr">
        <is>
          <t>02.5-10kg</t>
        </is>
      </c>
      <c r="E533" s="11" t="inlineStr">
        <is>
          <t>Khánh Hòa</t>
        </is>
      </c>
      <c r="F533" s="11" t="n">
        <v>317.32</v>
      </c>
      <c r="G533" s="11" t="n">
        <v>2551.79</v>
      </c>
      <c r="H533" s="11" t="n">
        <v>0</v>
      </c>
      <c r="I533" s="11" t="n">
        <v>12</v>
      </c>
    </row>
    <row r="534" ht="15.75" customHeight="1" s="57">
      <c r="A534" s="39" t="inlineStr">
        <is>
          <t>2026-12-01</t>
        </is>
      </c>
      <c r="B534" s="11" t="inlineStr">
        <is>
          <t>ecom</t>
        </is>
      </c>
      <c r="C534" s="11" t="inlineStr">
        <is>
          <t>Shopee Bulky</t>
        </is>
      </c>
      <c r="D534" s="11" t="inlineStr">
        <is>
          <t>02.5-10kg</t>
        </is>
      </c>
      <c r="E534" s="11" t="inlineStr">
        <is>
          <t>Lâm Đồng</t>
        </is>
      </c>
      <c r="F534" s="11" t="n">
        <v>406</v>
      </c>
      <c r="G534" s="11" t="n">
        <v>3264.92</v>
      </c>
      <c r="H534" s="11" t="n">
        <v>0</v>
      </c>
      <c r="I534" s="11" t="n">
        <v>12</v>
      </c>
    </row>
    <row r="535" ht="15.75" customHeight="1" s="57">
      <c r="A535" s="39" t="inlineStr">
        <is>
          <t>2026-12-01</t>
        </is>
      </c>
      <c r="B535" s="11" t="inlineStr">
        <is>
          <t>ecom</t>
        </is>
      </c>
      <c r="C535" s="11" t="inlineStr">
        <is>
          <t>Shopee Bulky</t>
        </is>
      </c>
      <c r="D535" s="11" t="inlineStr">
        <is>
          <t>02.5-10kg</t>
        </is>
      </c>
      <c r="E535" s="11" t="inlineStr">
        <is>
          <t>Ninh Thuận</t>
        </is>
      </c>
      <c r="F535" s="11" t="n">
        <v>94.02</v>
      </c>
      <c r="G535" s="11" t="n">
        <v>756.09</v>
      </c>
      <c r="H535" s="11" t="n">
        <v>0</v>
      </c>
      <c r="I535" s="11" t="n">
        <v>12</v>
      </c>
    </row>
    <row r="536" ht="15.75" customHeight="1" s="57">
      <c r="A536" s="39" t="inlineStr">
        <is>
          <t>2026-12-01</t>
        </is>
      </c>
      <c r="B536" s="11" t="inlineStr">
        <is>
          <t>ecom</t>
        </is>
      </c>
      <c r="C536" s="11" t="inlineStr">
        <is>
          <t>Shopee Bulky</t>
        </is>
      </c>
      <c r="D536" s="11" t="inlineStr">
        <is>
          <t>02.5-10kg</t>
        </is>
      </c>
      <c r="E536" s="11" t="inlineStr">
        <is>
          <t>Đắk Nông</t>
        </is>
      </c>
      <c r="F536" s="11" t="n">
        <v>94.02</v>
      </c>
      <c r="G536" s="11" t="n">
        <v>756.09</v>
      </c>
      <c r="H536" s="11" t="n">
        <v>0</v>
      </c>
      <c r="I536" s="11" t="n">
        <v>12</v>
      </c>
    </row>
    <row r="537" ht="15.75" customHeight="1" s="57">
      <c r="A537" s="39" t="inlineStr">
        <is>
          <t>2026-12-01</t>
        </is>
      </c>
      <c r="B537" s="11" t="inlineStr">
        <is>
          <t>ecom</t>
        </is>
      </c>
      <c r="C537" s="11" t="inlineStr">
        <is>
          <t>Shopee Bulky</t>
        </is>
      </c>
      <c r="D537" s="11" t="inlineStr">
        <is>
          <t>03.10-15kg</t>
        </is>
      </c>
      <c r="E537" s="11" t="inlineStr">
        <is>
          <t>Bình Thuận</t>
        </is>
      </c>
      <c r="F537" s="11" t="n">
        <v>20565.95</v>
      </c>
      <c r="G537" s="11" t="n">
        <v>245160.57</v>
      </c>
      <c r="H537" s="11" t="n">
        <v>0</v>
      </c>
      <c r="I537" s="11" t="n">
        <v>12</v>
      </c>
    </row>
    <row r="538" ht="15.75" customHeight="1" s="57">
      <c r="A538" s="39" t="inlineStr">
        <is>
          <t>2026-12-01</t>
        </is>
      </c>
      <c r="B538" s="11" t="inlineStr">
        <is>
          <t>ecom</t>
        </is>
      </c>
      <c r="C538" s="11" t="inlineStr">
        <is>
          <t>Shopee Bulky</t>
        </is>
      </c>
      <c r="D538" s="11" t="inlineStr">
        <is>
          <t>03.10-15kg</t>
        </is>
      </c>
      <c r="E538" s="11" t="inlineStr">
        <is>
          <t>Khánh Hòa</t>
        </is>
      </c>
      <c r="F538" s="11" t="n">
        <v>23064.98</v>
      </c>
      <c r="G538" s="11" t="n">
        <v>274950.72</v>
      </c>
      <c r="H538" s="11" t="n">
        <v>0</v>
      </c>
      <c r="I538" s="11" t="n">
        <v>12</v>
      </c>
    </row>
    <row r="539" ht="15.75" customHeight="1" s="57">
      <c r="A539" s="39" t="inlineStr">
        <is>
          <t>2026-12-01</t>
        </is>
      </c>
      <c r="B539" s="11" t="inlineStr">
        <is>
          <t>ecom</t>
        </is>
      </c>
      <c r="C539" s="11" t="inlineStr">
        <is>
          <t>Shopee Bulky</t>
        </is>
      </c>
      <c r="D539" s="11" t="inlineStr">
        <is>
          <t>03.10-15kg</t>
        </is>
      </c>
      <c r="E539" s="11" t="inlineStr">
        <is>
          <t>Lâm Đồng</t>
        </is>
      </c>
      <c r="F539" s="11" t="n">
        <v>28760.71</v>
      </c>
      <c r="G539" s="11" t="n">
        <v>342847.81</v>
      </c>
      <c r="H539" s="11" t="n">
        <v>0</v>
      </c>
      <c r="I539" s="11" t="n">
        <v>12</v>
      </c>
    </row>
    <row r="540" ht="15.75" customHeight="1" s="57">
      <c r="A540" s="39" t="inlineStr">
        <is>
          <t>2026-12-01</t>
        </is>
      </c>
      <c r="B540" s="11" t="inlineStr">
        <is>
          <t>ecom</t>
        </is>
      </c>
      <c r="C540" s="11" t="inlineStr">
        <is>
          <t>Shopee Bulky</t>
        </is>
      </c>
      <c r="D540" s="11" t="inlineStr">
        <is>
          <t>03.10-15kg</t>
        </is>
      </c>
      <c r="E540" s="11" t="inlineStr">
        <is>
          <t>Ninh Thuận</t>
        </is>
      </c>
      <c r="F540" s="11" t="n">
        <v>7805.85</v>
      </c>
      <c r="G540" s="11" t="n">
        <v>93051.23</v>
      </c>
      <c r="H540" s="11" t="n">
        <v>0</v>
      </c>
      <c r="I540" s="11" t="n">
        <v>12</v>
      </c>
    </row>
    <row r="541" ht="15.75" customHeight="1" s="57">
      <c r="A541" s="39" t="inlineStr">
        <is>
          <t>2026-12-01</t>
        </is>
      </c>
      <c r="B541" s="11" t="inlineStr">
        <is>
          <t>ecom</t>
        </is>
      </c>
      <c r="C541" s="11" t="inlineStr">
        <is>
          <t>Shopee Bulky</t>
        </is>
      </c>
      <c r="D541" s="11" t="inlineStr">
        <is>
          <t>03.10-15kg</t>
        </is>
      </c>
      <c r="E541" s="11" t="inlineStr">
        <is>
          <t>Đắk Nông</t>
        </is>
      </c>
      <c r="F541" s="11" t="n">
        <v>6805.81</v>
      </c>
      <c r="G541" s="11" t="n">
        <v>81130.08</v>
      </c>
      <c r="H541" s="11" t="n">
        <v>0</v>
      </c>
      <c r="I541" s="11" t="n">
        <v>12</v>
      </c>
    </row>
    <row r="542" ht="15.75" customHeight="1" s="57">
      <c r="A542" s="39" t="inlineStr">
        <is>
          <t>2026-12-01</t>
        </is>
      </c>
      <c r="B542" s="11" t="inlineStr">
        <is>
          <t>ecom</t>
        </is>
      </c>
      <c r="C542" s="11" t="inlineStr">
        <is>
          <t>Shopee Bulky</t>
        </is>
      </c>
      <c r="D542" s="11" t="inlineStr">
        <is>
          <t>04.15-20kg</t>
        </is>
      </c>
      <c r="E542" s="11" t="inlineStr">
        <is>
          <t>Bình Thuận</t>
        </is>
      </c>
      <c r="F542" s="11" t="n">
        <v>13513.34</v>
      </c>
      <c r="G542" s="11" t="n">
        <v>228337.53</v>
      </c>
      <c r="H542" s="11" t="n">
        <v>0</v>
      </c>
      <c r="I542" s="11" t="n">
        <v>12</v>
      </c>
    </row>
    <row r="543" ht="15.75" customHeight="1" s="57">
      <c r="A543" s="39" t="inlineStr">
        <is>
          <t>2026-12-01</t>
        </is>
      </c>
      <c r="B543" s="11" t="inlineStr">
        <is>
          <t>ecom</t>
        </is>
      </c>
      <c r="C543" s="11" t="inlineStr">
        <is>
          <t>Shopee Bulky</t>
        </is>
      </c>
      <c r="D543" s="11" t="inlineStr">
        <is>
          <t>04.15-20kg</t>
        </is>
      </c>
      <c r="E543" s="11" t="inlineStr">
        <is>
          <t>Khánh Hòa</t>
        </is>
      </c>
      <c r="F543" s="11" t="n">
        <v>13860.57</v>
      </c>
      <c r="G543" s="11" t="n">
        <v>234204.84</v>
      </c>
      <c r="H543" s="11" t="n">
        <v>0</v>
      </c>
      <c r="I543" s="11" t="n">
        <v>12</v>
      </c>
    </row>
    <row r="544" ht="15.75" customHeight="1" s="57">
      <c r="A544" s="39" t="inlineStr">
        <is>
          <t>2026-12-01</t>
        </is>
      </c>
      <c r="B544" s="11" t="inlineStr">
        <is>
          <t>ecom</t>
        </is>
      </c>
      <c r="C544" s="11" t="inlineStr">
        <is>
          <t>Shopee Bulky</t>
        </is>
      </c>
      <c r="D544" s="11" t="inlineStr">
        <is>
          <t>04.15-20kg</t>
        </is>
      </c>
      <c r="E544" s="11" t="inlineStr">
        <is>
          <t>Lâm Đồng</t>
        </is>
      </c>
      <c r="F544" s="11" t="n">
        <v>16173.69</v>
      </c>
      <c r="G544" s="11" t="n">
        <v>273290.13</v>
      </c>
      <c r="H544" s="11" t="n">
        <v>0</v>
      </c>
      <c r="I544" s="11" t="n">
        <v>12</v>
      </c>
    </row>
    <row r="545" ht="15.75" customHeight="1" s="57">
      <c r="A545" s="39" t="inlineStr">
        <is>
          <t>2026-12-01</t>
        </is>
      </c>
      <c r="B545" s="11" t="inlineStr">
        <is>
          <t>ecom</t>
        </is>
      </c>
      <c r="C545" s="11" t="inlineStr">
        <is>
          <t>Shopee Bulky</t>
        </is>
      </c>
      <c r="D545" s="11" t="inlineStr">
        <is>
          <t>04.15-20kg</t>
        </is>
      </c>
      <c r="E545" s="11" t="inlineStr">
        <is>
          <t>Ninh Thuận</t>
        </is>
      </c>
      <c r="F545" s="11" t="n">
        <v>4441.41</v>
      </c>
      <c r="G545" s="11" t="n">
        <v>75047.37</v>
      </c>
      <c r="H545" s="11" t="n">
        <v>0</v>
      </c>
      <c r="I545" s="11" t="n">
        <v>12</v>
      </c>
    </row>
    <row r="546" ht="15.75" customHeight="1" s="57">
      <c r="A546" s="39" t="inlineStr">
        <is>
          <t>2026-12-01</t>
        </is>
      </c>
      <c r="B546" s="11" t="inlineStr">
        <is>
          <t>ecom</t>
        </is>
      </c>
      <c r="C546" s="11" t="inlineStr">
        <is>
          <t>Shopee Bulky</t>
        </is>
      </c>
      <c r="D546" s="11" t="inlineStr">
        <is>
          <t>04.15-20kg</t>
        </is>
      </c>
      <c r="E546" s="11" t="inlineStr">
        <is>
          <t>Đắk Nông</t>
        </is>
      </c>
      <c r="F546" s="11" t="n">
        <v>4212.77</v>
      </c>
      <c r="G546" s="11" t="n">
        <v>71183.97</v>
      </c>
      <c r="H546" s="11" t="n">
        <v>0</v>
      </c>
      <c r="I546" s="11" t="n">
        <v>12</v>
      </c>
    </row>
    <row r="547" ht="15.75" customHeight="1" s="57">
      <c r="A547" s="39" t="inlineStr">
        <is>
          <t>2026-12-01</t>
        </is>
      </c>
      <c r="B547" s="11" t="inlineStr">
        <is>
          <t>ecom</t>
        </is>
      </c>
      <c r="C547" s="11" t="inlineStr">
        <is>
          <t>Shopee Bulky</t>
        </is>
      </c>
      <c r="D547" s="11" t="inlineStr">
        <is>
          <t>05.&gt;=20kg</t>
        </is>
      </c>
      <c r="E547" s="11" t="inlineStr">
        <is>
          <t>Bình Thuận</t>
        </is>
      </c>
      <c r="F547" s="11" t="n">
        <v>24060.75</v>
      </c>
      <c r="G547" s="11" t="n">
        <v>817312.25</v>
      </c>
      <c r="H547" s="11" t="n">
        <v>0</v>
      </c>
      <c r="I547" s="11" t="n">
        <v>12</v>
      </c>
    </row>
    <row r="548" ht="15.75" customHeight="1" s="57">
      <c r="A548" s="39" t="inlineStr">
        <is>
          <t>2026-12-01</t>
        </is>
      </c>
      <c r="B548" s="11" t="inlineStr">
        <is>
          <t>ecom</t>
        </is>
      </c>
      <c r="C548" s="11" t="inlineStr">
        <is>
          <t>Shopee Bulky</t>
        </is>
      </c>
      <c r="D548" s="11" t="inlineStr">
        <is>
          <t>05.&gt;=20kg</t>
        </is>
      </c>
      <c r="E548" s="11" t="inlineStr">
        <is>
          <t>Khánh Hòa</t>
        </is>
      </c>
      <c r="F548" s="11" t="n">
        <v>26543.75</v>
      </c>
      <c r="G548" s="11" t="n">
        <v>901656.55</v>
      </c>
      <c r="H548" s="11" t="n">
        <v>0</v>
      </c>
      <c r="I548" s="11" t="n">
        <v>12</v>
      </c>
    </row>
    <row r="549" ht="15.75" customHeight="1" s="57">
      <c r="A549" s="39" t="inlineStr">
        <is>
          <t>2026-12-01</t>
        </is>
      </c>
      <c r="B549" s="11" t="inlineStr">
        <is>
          <t>ecom</t>
        </is>
      </c>
      <c r="C549" s="11" t="inlineStr">
        <is>
          <t>Shopee Bulky</t>
        </is>
      </c>
      <c r="D549" s="11" t="inlineStr">
        <is>
          <t>05.&gt;=20kg</t>
        </is>
      </c>
      <c r="E549" s="11" t="inlineStr">
        <is>
          <t>Lâm Đồng</t>
        </is>
      </c>
      <c r="F549" s="11" t="n">
        <v>31479.83</v>
      </c>
      <c r="G549" s="11" t="n">
        <v>1069328.96</v>
      </c>
      <c r="H549" s="11" t="n">
        <v>0</v>
      </c>
      <c r="I549" s="11" t="n">
        <v>12</v>
      </c>
    </row>
    <row r="550" ht="15.75" customHeight="1" s="57">
      <c r="A550" s="39" t="inlineStr">
        <is>
          <t>2026-12-01</t>
        </is>
      </c>
      <c r="B550" s="11" t="inlineStr">
        <is>
          <t>ecom</t>
        </is>
      </c>
      <c r="C550" s="11" t="inlineStr">
        <is>
          <t>Shopee Bulky</t>
        </is>
      </c>
      <c r="D550" s="11" t="inlineStr">
        <is>
          <t>05.&gt;=20kg</t>
        </is>
      </c>
      <c r="E550" s="11" t="inlineStr">
        <is>
          <t>Ninh Thuận</t>
        </is>
      </c>
      <c r="F550" s="11" t="n">
        <v>7924.45</v>
      </c>
      <c r="G550" s="11" t="n">
        <v>269183.17</v>
      </c>
      <c r="H550" s="11" t="n">
        <v>0</v>
      </c>
      <c r="I550" s="11" t="n">
        <v>12</v>
      </c>
    </row>
    <row r="551" ht="15.75" customHeight="1" s="57">
      <c r="A551" s="39" t="inlineStr">
        <is>
          <t>2026-12-01</t>
        </is>
      </c>
      <c r="B551" s="11" t="inlineStr">
        <is>
          <t>ecom</t>
        </is>
      </c>
      <c r="C551" s="11" t="inlineStr">
        <is>
          <t>Shopee Bulky</t>
        </is>
      </c>
      <c r="D551" s="11" t="inlineStr">
        <is>
          <t>05.&gt;=20kg</t>
        </is>
      </c>
      <c r="E551" s="11" t="inlineStr">
        <is>
          <t>Đắk Nông</t>
        </is>
      </c>
      <c r="F551" s="11" t="n">
        <v>7871.03</v>
      </c>
      <c r="G551" s="11" t="n">
        <v>267368.53</v>
      </c>
      <c r="H551" s="11" t="n">
        <v>0</v>
      </c>
      <c r="I551" s="11" t="n">
        <v>12</v>
      </c>
    </row>
    <row r="552" ht="15.75" customHeight="1" s="57">
      <c r="A552" s="39" t="inlineStr">
        <is>
          <t>2026-12-01</t>
        </is>
      </c>
      <c r="B552" s="11" t="inlineStr">
        <is>
          <t>ecom</t>
        </is>
      </c>
      <c r="C552" s="11" t="inlineStr">
        <is>
          <t>Shopee Ecom</t>
        </is>
      </c>
      <c r="D552" s="11" t="inlineStr">
        <is>
          <t>01.0-5kg</t>
        </is>
      </c>
      <c r="E552" s="11" t="inlineStr">
        <is>
          <t>Bình Thuận</t>
        </is>
      </c>
      <c r="F552" s="11" t="n">
        <v>126053.33</v>
      </c>
      <c r="G552" s="11" t="n">
        <v>107876.44</v>
      </c>
      <c r="H552" s="11" t="n">
        <v>0</v>
      </c>
      <c r="I552" s="11" t="n">
        <v>12</v>
      </c>
    </row>
    <row r="553" ht="15.75" customHeight="1" s="57">
      <c r="A553" s="39" t="inlineStr">
        <is>
          <t>2026-12-01</t>
        </is>
      </c>
      <c r="B553" s="11" t="inlineStr">
        <is>
          <t>ecom</t>
        </is>
      </c>
      <c r="C553" s="11" t="inlineStr">
        <is>
          <t>Shopee Ecom</t>
        </is>
      </c>
      <c r="D553" s="11" t="inlineStr">
        <is>
          <t>01.0-5kg</t>
        </is>
      </c>
      <c r="E553" s="11" t="inlineStr">
        <is>
          <t>Khánh Hòa</t>
        </is>
      </c>
      <c r="F553" s="11" t="n">
        <v>105754.95</v>
      </c>
      <c r="G553" s="11" t="n">
        <v>90505.09</v>
      </c>
      <c r="H553" s="11" t="n">
        <v>0</v>
      </c>
      <c r="I553" s="11" t="n">
        <v>12</v>
      </c>
    </row>
    <row r="554" ht="15.75" customHeight="1" s="57">
      <c r="A554" s="39" t="inlineStr">
        <is>
          <t>2026-12-01</t>
        </is>
      </c>
      <c r="B554" s="11" t="inlineStr">
        <is>
          <t>ecom</t>
        </is>
      </c>
      <c r="C554" s="11" t="inlineStr">
        <is>
          <t>Shopee Ecom</t>
        </is>
      </c>
      <c r="D554" s="11" t="inlineStr">
        <is>
          <t>01.0-5kg</t>
        </is>
      </c>
      <c r="E554" s="11" t="inlineStr">
        <is>
          <t>Lâm Đồng</t>
        </is>
      </c>
      <c r="F554" s="11" t="n">
        <v>126800.28</v>
      </c>
      <c r="G554" s="11" t="n">
        <v>108515.68</v>
      </c>
      <c r="H554" s="11" t="n">
        <v>0</v>
      </c>
      <c r="I554" s="11" t="n">
        <v>12</v>
      </c>
    </row>
    <row r="555" ht="15.75" customHeight="1" s="57">
      <c r="A555" s="39" t="inlineStr">
        <is>
          <t>2026-12-01</t>
        </is>
      </c>
      <c r="B555" s="11" t="inlineStr">
        <is>
          <t>ecom</t>
        </is>
      </c>
      <c r="C555" s="11" t="inlineStr">
        <is>
          <t>Shopee Ecom</t>
        </is>
      </c>
      <c r="D555" s="11" t="inlineStr">
        <is>
          <t>01.0-5kg</t>
        </is>
      </c>
      <c r="E555" s="11" t="inlineStr">
        <is>
          <t>Ninh Thuận</t>
        </is>
      </c>
      <c r="F555" s="11" t="n">
        <v>50472.44</v>
      </c>
      <c r="G555" s="11" t="n">
        <v>43194.32</v>
      </c>
      <c r="H555" s="11" t="n">
        <v>0</v>
      </c>
      <c r="I555" s="11" t="n">
        <v>12</v>
      </c>
    </row>
    <row r="556" ht="15.75" customHeight="1" s="57">
      <c r="A556" s="39" t="inlineStr">
        <is>
          <t>2026-12-01</t>
        </is>
      </c>
      <c r="B556" s="11" t="inlineStr">
        <is>
          <t>ecom</t>
        </is>
      </c>
      <c r="C556" s="11" t="inlineStr">
        <is>
          <t>Shopee Ecom</t>
        </is>
      </c>
      <c r="D556" s="11" t="inlineStr">
        <is>
          <t>01.0-5kg</t>
        </is>
      </c>
      <c r="E556" s="11" t="inlineStr">
        <is>
          <t>Đắk Nông</t>
        </is>
      </c>
      <c r="F556" s="11" t="n">
        <v>35976.76</v>
      </c>
      <c r="G556" s="11" t="n">
        <v>30788.91</v>
      </c>
      <c r="H556" s="11" t="n">
        <v>0</v>
      </c>
      <c r="I556" s="11" t="n">
        <v>12</v>
      </c>
    </row>
    <row r="557" ht="15.75" customHeight="1" s="57">
      <c r="A557" s="39" t="inlineStr">
        <is>
          <t>2026-12-01</t>
        </is>
      </c>
      <c r="B557" s="11" t="inlineStr">
        <is>
          <t>ecom</t>
        </is>
      </c>
      <c r="C557" s="11" t="inlineStr">
        <is>
          <t>Shopee Ecom</t>
        </is>
      </c>
      <c r="D557" s="11" t="inlineStr">
        <is>
          <t>02.5-10kg</t>
        </is>
      </c>
      <c r="E557" s="11" t="inlineStr">
        <is>
          <t>Bình Thuận</t>
        </is>
      </c>
      <c r="F557" s="11" t="n">
        <v>9850.559999999999</v>
      </c>
      <c r="G557" s="11" t="n">
        <v>67829.99000000001</v>
      </c>
      <c r="H557" s="11" t="n">
        <v>0</v>
      </c>
      <c r="I557" s="11" t="n">
        <v>12</v>
      </c>
    </row>
    <row r="558" ht="15.75" customHeight="1" s="57">
      <c r="A558" s="39" t="inlineStr">
        <is>
          <t>2026-12-01</t>
        </is>
      </c>
      <c r="B558" s="11" t="inlineStr">
        <is>
          <t>ecom</t>
        </is>
      </c>
      <c r="C558" s="11" t="inlineStr">
        <is>
          <t>Shopee Ecom</t>
        </is>
      </c>
      <c r="D558" s="11" t="inlineStr">
        <is>
          <t>02.5-10kg</t>
        </is>
      </c>
      <c r="E558" s="11" t="inlineStr">
        <is>
          <t>Khánh Hòa</t>
        </is>
      </c>
      <c r="F558" s="11" t="n">
        <v>9393.139999999999</v>
      </c>
      <c r="G558" s="11" t="n">
        <v>64680.24</v>
      </c>
      <c r="H558" s="11" t="n">
        <v>0</v>
      </c>
      <c r="I558" s="11" t="n">
        <v>12</v>
      </c>
    </row>
    <row r="559" ht="15.75" customHeight="1" s="57">
      <c r="A559" s="39" t="inlineStr">
        <is>
          <t>2026-12-01</t>
        </is>
      </c>
      <c r="B559" s="11" t="inlineStr">
        <is>
          <t>ecom</t>
        </is>
      </c>
      <c r="C559" s="11" t="inlineStr">
        <is>
          <t>Shopee Ecom</t>
        </is>
      </c>
      <c r="D559" s="11" t="inlineStr">
        <is>
          <t>02.5-10kg</t>
        </is>
      </c>
      <c r="E559" s="11" t="inlineStr">
        <is>
          <t>Lâm Đồng</t>
        </is>
      </c>
      <c r="F559" s="11" t="n">
        <v>11760.51</v>
      </c>
      <c r="G559" s="11" t="n">
        <v>80981.67999999999</v>
      </c>
      <c r="H559" s="11" t="n">
        <v>0</v>
      </c>
      <c r="I559" s="11" t="n">
        <v>12</v>
      </c>
    </row>
    <row r="560" ht="15.75" customHeight="1" s="57">
      <c r="A560" s="39" t="inlineStr">
        <is>
          <t>2026-12-01</t>
        </is>
      </c>
      <c r="B560" s="11" t="inlineStr">
        <is>
          <t>ecom</t>
        </is>
      </c>
      <c r="C560" s="11" t="inlineStr">
        <is>
          <t>Shopee Ecom</t>
        </is>
      </c>
      <c r="D560" s="11" t="inlineStr">
        <is>
          <t>02.5-10kg</t>
        </is>
      </c>
      <c r="E560" s="11" t="inlineStr">
        <is>
          <t>Ninh Thuận</t>
        </is>
      </c>
      <c r="F560" s="11" t="n">
        <v>3816.93</v>
      </c>
      <c r="G560" s="11" t="n">
        <v>26283.02</v>
      </c>
      <c r="H560" s="11" t="n">
        <v>0</v>
      </c>
      <c r="I560" s="11" t="n">
        <v>12</v>
      </c>
    </row>
    <row r="561" ht="15.75" customHeight="1" s="57">
      <c r="A561" s="39" t="inlineStr">
        <is>
          <t>2026-12-01</t>
        </is>
      </c>
      <c r="B561" s="11" t="inlineStr">
        <is>
          <t>ecom</t>
        </is>
      </c>
      <c r="C561" s="11" t="inlineStr">
        <is>
          <t>Shopee Ecom</t>
        </is>
      </c>
      <c r="D561" s="11" t="inlineStr">
        <is>
          <t>02.5-10kg</t>
        </is>
      </c>
      <c r="E561" s="11" t="inlineStr">
        <is>
          <t>Đắk Nông</t>
        </is>
      </c>
      <c r="F561" s="11" t="n">
        <v>2826.26</v>
      </c>
      <c r="G561" s="11" t="n">
        <v>19461.37</v>
      </c>
      <c r="H561" s="11" t="n">
        <v>0</v>
      </c>
      <c r="I561" s="11" t="n">
        <v>12</v>
      </c>
    </row>
    <row r="562" ht="15.75" customHeight="1" s="57">
      <c r="A562" s="39" t="inlineStr">
        <is>
          <t>2026-12-01</t>
        </is>
      </c>
      <c r="B562" s="11" t="inlineStr">
        <is>
          <t>ecom</t>
        </is>
      </c>
      <c r="C562" s="11" t="inlineStr">
        <is>
          <t>Shopee Ecom</t>
        </is>
      </c>
      <c r="D562" s="11" t="inlineStr">
        <is>
          <t>03.10-15kg</t>
        </is>
      </c>
      <c r="E562" s="11" t="inlineStr">
        <is>
          <t>Bình Thuận</t>
        </is>
      </c>
      <c r="F562" s="11" t="n">
        <v>697.21</v>
      </c>
      <c r="G562" s="11" t="n">
        <v>7297.15</v>
      </c>
      <c r="H562" s="11" t="n">
        <v>0</v>
      </c>
      <c r="I562" s="11" t="n">
        <v>12</v>
      </c>
    </row>
    <row r="563" ht="15.75" customHeight="1" s="57">
      <c r="A563" s="39" t="inlineStr">
        <is>
          <t>2026-12-01</t>
        </is>
      </c>
      <c r="B563" s="11" t="inlineStr">
        <is>
          <t>ecom</t>
        </is>
      </c>
      <c r="C563" s="11" t="inlineStr">
        <is>
          <t>Shopee Ecom</t>
        </is>
      </c>
      <c r="D563" s="11" t="inlineStr">
        <is>
          <t>03.10-15kg</t>
        </is>
      </c>
      <c r="E563" s="11" t="inlineStr">
        <is>
          <t>Khánh Hòa</t>
        </is>
      </c>
      <c r="F563" s="11" t="n">
        <v>708.54</v>
      </c>
      <c r="G563" s="11" t="n">
        <v>7415.67</v>
      </c>
      <c r="H563" s="11" t="n">
        <v>0</v>
      </c>
      <c r="I563" s="11" t="n">
        <v>12</v>
      </c>
    </row>
    <row r="564" ht="15.75" customHeight="1" s="57">
      <c r="A564" s="39" t="inlineStr">
        <is>
          <t>2026-12-01</t>
        </is>
      </c>
      <c r="B564" s="11" t="inlineStr">
        <is>
          <t>ecom</t>
        </is>
      </c>
      <c r="C564" s="11" t="inlineStr">
        <is>
          <t>Shopee Ecom</t>
        </is>
      </c>
      <c r="D564" s="11" t="inlineStr">
        <is>
          <t>03.10-15kg</t>
        </is>
      </c>
      <c r="E564" s="11" t="inlineStr">
        <is>
          <t>Lâm Đồng</t>
        </is>
      </c>
      <c r="F564" s="11" t="n">
        <v>757.28</v>
      </c>
      <c r="G564" s="11" t="n">
        <v>7925.86</v>
      </c>
      <c r="H564" s="11" t="n">
        <v>0</v>
      </c>
      <c r="I564" s="11" t="n">
        <v>12</v>
      </c>
    </row>
    <row r="565" ht="15.75" customHeight="1" s="57">
      <c r="A565" s="39" t="inlineStr">
        <is>
          <t>2026-12-01</t>
        </is>
      </c>
      <c r="B565" s="11" t="inlineStr">
        <is>
          <t>ecom</t>
        </is>
      </c>
      <c r="C565" s="11" t="inlineStr">
        <is>
          <t>Shopee Ecom</t>
        </is>
      </c>
      <c r="D565" s="11" t="inlineStr">
        <is>
          <t>03.10-15kg</t>
        </is>
      </c>
      <c r="E565" s="11" t="inlineStr">
        <is>
          <t>Ninh Thuận</t>
        </is>
      </c>
      <c r="F565" s="11" t="n">
        <v>243.24</v>
      </c>
      <c r="G565" s="11" t="n">
        <v>2545.76</v>
      </c>
      <c r="H565" s="11" t="n">
        <v>0</v>
      </c>
      <c r="I565" s="11" t="n">
        <v>12</v>
      </c>
    </row>
    <row r="566" ht="15.75" customHeight="1" s="57">
      <c r="A566" s="39" t="inlineStr">
        <is>
          <t>2026-12-01</t>
        </is>
      </c>
      <c r="B566" s="11" t="inlineStr">
        <is>
          <t>ecom</t>
        </is>
      </c>
      <c r="C566" s="11" t="inlineStr">
        <is>
          <t>Shopee Ecom</t>
        </is>
      </c>
      <c r="D566" s="11" t="inlineStr">
        <is>
          <t>03.10-15kg</t>
        </is>
      </c>
      <c r="E566" s="11" t="inlineStr">
        <is>
          <t>Đắk Nông</t>
        </is>
      </c>
      <c r="F566" s="11" t="n">
        <v>206.31</v>
      </c>
      <c r="G566" s="11" t="n">
        <v>2159.25</v>
      </c>
      <c r="H566" s="11" t="n">
        <v>0</v>
      </c>
      <c r="I566" s="11" t="n">
        <v>12</v>
      </c>
    </row>
    <row r="567" ht="15.75" customHeight="1" s="57">
      <c r="A567" s="39" t="inlineStr">
        <is>
          <t>2026-12-01</t>
        </is>
      </c>
      <c r="B567" s="11" t="inlineStr">
        <is>
          <t>ecom</t>
        </is>
      </c>
      <c r="C567" s="11" t="inlineStr">
        <is>
          <t>Shopee Ecom</t>
        </is>
      </c>
      <c r="D567" s="11" t="inlineStr">
        <is>
          <t>04.15-20kg</t>
        </is>
      </c>
      <c r="E567" s="11" t="inlineStr">
        <is>
          <t>Bình Thuận</t>
        </is>
      </c>
      <c r="F567" s="11" t="n">
        <v>15.76</v>
      </c>
      <c r="G567" s="11" t="n">
        <v>265.43</v>
      </c>
      <c r="H567" s="11" t="n">
        <v>0</v>
      </c>
      <c r="I567" s="11" t="n">
        <v>12</v>
      </c>
    </row>
    <row r="568" ht="15.75" customHeight="1" s="57">
      <c r="A568" s="39" t="inlineStr">
        <is>
          <t>2026-12-01</t>
        </is>
      </c>
      <c r="B568" s="11" t="inlineStr">
        <is>
          <t>ecom</t>
        </is>
      </c>
      <c r="C568" s="11" t="inlineStr">
        <is>
          <t>Shopee Ecom</t>
        </is>
      </c>
      <c r="D568" s="11" t="inlineStr">
        <is>
          <t>04.15-20kg</t>
        </is>
      </c>
      <c r="E568" s="11" t="inlineStr">
        <is>
          <t>Khánh Hòa</t>
        </is>
      </c>
      <c r="F568" s="11" t="n">
        <v>21.17</v>
      </c>
      <c r="G568" s="11" t="n">
        <v>356.67</v>
      </c>
      <c r="H568" s="11" t="n">
        <v>0</v>
      </c>
      <c r="I568" s="11" t="n">
        <v>12</v>
      </c>
    </row>
    <row r="569" ht="15.75" customHeight="1" s="57">
      <c r="A569" s="39" t="inlineStr">
        <is>
          <t>2026-12-01</t>
        </is>
      </c>
      <c r="B569" s="11" t="inlineStr">
        <is>
          <t>ecom</t>
        </is>
      </c>
      <c r="C569" s="11" t="inlineStr">
        <is>
          <t>Shopee Ecom</t>
        </is>
      </c>
      <c r="D569" s="11" t="inlineStr">
        <is>
          <t>04.15-20kg</t>
        </is>
      </c>
      <c r="E569" s="11" t="inlineStr">
        <is>
          <t>Lâm Đồng</t>
        </is>
      </c>
      <c r="F569" s="11" t="n">
        <v>26.1</v>
      </c>
      <c r="G569" s="11" t="n">
        <v>439.61</v>
      </c>
      <c r="H569" s="11" t="n">
        <v>0</v>
      </c>
      <c r="I569" s="11" t="n">
        <v>12</v>
      </c>
    </row>
    <row r="570" ht="15.75" customHeight="1" s="57">
      <c r="A570" s="39" t="inlineStr">
        <is>
          <t>2026-12-01</t>
        </is>
      </c>
      <c r="B570" s="11" t="inlineStr">
        <is>
          <t>ecom</t>
        </is>
      </c>
      <c r="C570" s="11" t="inlineStr">
        <is>
          <t>Shopee Ecom</t>
        </is>
      </c>
      <c r="D570" s="11" t="inlineStr">
        <is>
          <t>04.15-20kg</t>
        </is>
      </c>
      <c r="E570" s="11" t="inlineStr">
        <is>
          <t>Ninh Thuận</t>
        </is>
      </c>
      <c r="F570" s="11" t="n">
        <v>6.89</v>
      </c>
      <c r="G570" s="11" t="n">
        <v>116.12</v>
      </c>
      <c r="H570" s="11" t="n">
        <v>0</v>
      </c>
      <c r="I570" s="11" t="n">
        <v>12</v>
      </c>
    </row>
    <row r="571" ht="15.75" customHeight="1" s="57">
      <c r="A571" s="39" t="inlineStr">
        <is>
          <t>2026-12-01</t>
        </is>
      </c>
      <c r="B571" s="11" t="inlineStr">
        <is>
          <t>ecom</t>
        </is>
      </c>
      <c r="C571" s="11" t="inlineStr">
        <is>
          <t>Shopee Ecom</t>
        </is>
      </c>
      <c r="D571" s="11" t="inlineStr">
        <is>
          <t>04.15-20kg</t>
        </is>
      </c>
      <c r="E571" s="11" t="inlineStr">
        <is>
          <t>Đắk Nông</t>
        </is>
      </c>
      <c r="F571" s="11" t="n">
        <v>7.88</v>
      </c>
      <c r="G571" s="11" t="n">
        <v>132.71</v>
      </c>
      <c r="H571" s="11" t="n">
        <v>0</v>
      </c>
      <c r="I571" s="11" t="n">
        <v>12</v>
      </c>
    </row>
    <row r="572" ht="15.75" customHeight="1" s="57">
      <c r="A572" s="39" t="inlineStr">
        <is>
          <t>2026-12-01</t>
        </is>
      </c>
      <c r="B572" s="11" t="inlineStr">
        <is>
          <t>ecom</t>
        </is>
      </c>
      <c r="C572" s="11" t="inlineStr">
        <is>
          <t>Shopee Ecom</t>
        </is>
      </c>
      <c r="D572" s="11" t="inlineStr">
        <is>
          <t>05.&gt;=20kg</t>
        </is>
      </c>
      <c r="E572" s="11" t="inlineStr">
        <is>
          <t>Bình Thuận</t>
        </is>
      </c>
      <c r="F572" s="11" t="n">
        <v>15.76</v>
      </c>
      <c r="G572" s="11" t="n">
        <v>554.95</v>
      </c>
      <c r="H572" s="11" t="n">
        <v>0</v>
      </c>
      <c r="I572" s="11" t="n">
        <v>12</v>
      </c>
    </row>
    <row r="573" ht="15.75" customHeight="1" s="57">
      <c r="A573" s="39" t="inlineStr">
        <is>
          <t>2026-12-01</t>
        </is>
      </c>
      <c r="B573" s="11" t="inlineStr">
        <is>
          <t>ecom</t>
        </is>
      </c>
      <c r="C573" s="11" t="inlineStr">
        <is>
          <t>Shopee Ecom</t>
        </is>
      </c>
      <c r="D573" s="11" t="inlineStr">
        <is>
          <t>05.&gt;=20kg</t>
        </is>
      </c>
      <c r="E573" s="11" t="inlineStr">
        <is>
          <t>Khánh Hòa</t>
        </is>
      </c>
      <c r="F573" s="11" t="n">
        <v>12.31</v>
      </c>
      <c r="G573" s="11" t="n">
        <v>433.55</v>
      </c>
      <c r="H573" s="11" t="n">
        <v>0</v>
      </c>
      <c r="I573" s="11" t="n">
        <v>12</v>
      </c>
    </row>
    <row r="574" ht="15.75" customHeight="1" s="57">
      <c r="A574" s="39" t="inlineStr">
        <is>
          <t>2026-12-01</t>
        </is>
      </c>
      <c r="B574" s="11" t="inlineStr">
        <is>
          <t>ecom</t>
        </is>
      </c>
      <c r="C574" s="11" t="inlineStr">
        <is>
          <t>Shopee Ecom</t>
        </is>
      </c>
      <c r="D574" s="11" t="inlineStr">
        <is>
          <t>05.&gt;=20kg</t>
        </is>
      </c>
      <c r="E574" s="11" t="inlineStr">
        <is>
          <t>Lâm Đồng</t>
        </is>
      </c>
      <c r="F574" s="11" t="n">
        <v>24.13</v>
      </c>
      <c r="G574" s="11" t="n">
        <v>849.76</v>
      </c>
      <c r="H574" s="11" t="n">
        <v>0</v>
      </c>
      <c r="I574" s="11" t="n">
        <v>12</v>
      </c>
    </row>
    <row r="575" ht="15.75" customHeight="1" s="57">
      <c r="A575" s="39" t="inlineStr">
        <is>
          <t>2026-12-01</t>
        </is>
      </c>
      <c r="B575" s="11" t="inlineStr">
        <is>
          <t>ecom</t>
        </is>
      </c>
      <c r="C575" s="11" t="inlineStr">
        <is>
          <t>Shopee Ecom</t>
        </is>
      </c>
      <c r="D575" s="11" t="inlineStr">
        <is>
          <t>05.&gt;=20kg</t>
        </is>
      </c>
      <c r="E575" s="11" t="inlineStr">
        <is>
          <t>Ninh Thuận</t>
        </is>
      </c>
      <c r="F575" s="11" t="n">
        <v>2.46</v>
      </c>
      <c r="G575" s="11" t="n">
        <v>86.70999999999999</v>
      </c>
      <c r="H575" s="11" t="n">
        <v>0</v>
      </c>
      <c r="I575" s="11" t="n">
        <v>12</v>
      </c>
    </row>
    <row r="576" ht="15.75" customHeight="1" s="57">
      <c r="A576" s="39" t="inlineStr">
        <is>
          <t>2026-12-01</t>
        </is>
      </c>
      <c r="B576" s="11" t="inlineStr">
        <is>
          <t>ecom</t>
        </is>
      </c>
      <c r="C576" s="11" t="inlineStr">
        <is>
          <t>Shopee Ecom</t>
        </is>
      </c>
      <c r="D576" s="11" t="inlineStr">
        <is>
          <t>05.&gt;=20kg</t>
        </is>
      </c>
      <c r="E576" s="11" t="inlineStr">
        <is>
          <t>Đắk Nông</t>
        </is>
      </c>
      <c r="F576" s="11" t="n">
        <v>9.359999999999999</v>
      </c>
      <c r="G576" s="11" t="n">
        <v>329.5</v>
      </c>
      <c r="H576" s="11" t="n">
        <v>0</v>
      </c>
      <c r="I576" s="11" t="n">
        <v>12</v>
      </c>
    </row>
    <row r="577" ht="15.75" customHeight="1" s="57">
      <c r="A577" s="39" t="inlineStr">
        <is>
          <t>2026-12-01</t>
        </is>
      </c>
      <c r="B577" s="11" t="inlineStr">
        <is>
          <t>ecom</t>
        </is>
      </c>
      <c r="C577" s="11" t="inlineStr">
        <is>
          <t>TTS</t>
        </is>
      </c>
      <c r="D577" s="11" t="inlineStr">
        <is>
          <t>01.0-5kg</t>
        </is>
      </c>
      <c r="E577" s="11" t="inlineStr">
        <is>
          <t>Bình Thuận</t>
        </is>
      </c>
      <c r="F577" s="11" t="n">
        <v>149949.89</v>
      </c>
      <c r="G577" s="11" t="n">
        <v>114936.59</v>
      </c>
      <c r="H577" s="11" t="n">
        <v>0</v>
      </c>
      <c r="I577" s="11" t="n">
        <v>12</v>
      </c>
    </row>
    <row r="578" ht="15.75" customHeight="1" s="57">
      <c r="A578" s="39" t="inlineStr">
        <is>
          <t>2026-12-01</t>
        </is>
      </c>
      <c r="B578" s="11" t="inlineStr">
        <is>
          <t>ecom</t>
        </is>
      </c>
      <c r="C578" s="11" t="inlineStr">
        <is>
          <t>TTS</t>
        </is>
      </c>
      <c r="D578" s="11" t="inlineStr">
        <is>
          <t>01.0-5kg</t>
        </is>
      </c>
      <c r="E578" s="11" t="inlineStr">
        <is>
          <t>Khánh Hòa</t>
        </is>
      </c>
      <c r="F578" s="11" t="n">
        <v>175340.27</v>
      </c>
      <c r="G578" s="11" t="n">
        <v>134398.32</v>
      </c>
      <c r="H578" s="11" t="n">
        <v>0</v>
      </c>
      <c r="I578" s="11" t="n">
        <v>12</v>
      </c>
    </row>
    <row r="579" ht="15.75" customHeight="1" s="57">
      <c r="A579" s="39" t="inlineStr">
        <is>
          <t>2026-12-01</t>
        </is>
      </c>
      <c r="B579" s="11" t="inlineStr">
        <is>
          <t>ecom</t>
        </is>
      </c>
      <c r="C579" s="11" t="inlineStr">
        <is>
          <t>TTS</t>
        </is>
      </c>
      <c r="D579" s="11" t="inlineStr">
        <is>
          <t>01.0-5kg</t>
        </is>
      </c>
      <c r="E579" s="11" t="inlineStr">
        <is>
          <t>Lâm Đồng</t>
        </is>
      </c>
      <c r="F579" s="11" t="n">
        <v>161390.6</v>
      </c>
      <c r="G579" s="11" t="n">
        <v>123705.9</v>
      </c>
      <c r="H579" s="11" t="n">
        <v>0</v>
      </c>
      <c r="I579" s="11" t="n">
        <v>12</v>
      </c>
    </row>
    <row r="580" ht="15.75" customHeight="1" s="57">
      <c r="A580" s="39" t="inlineStr">
        <is>
          <t>2026-12-01</t>
        </is>
      </c>
      <c r="B580" s="11" t="inlineStr">
        <is>
          <t>ecom</t>
        </is>
      </c>
      <c r="C580" s="11" t="inlineStr">
        <is>
          <t>TTS</t>
        </is>
      </c>
      <c r="D580" s="11" t="inlineStr">
        <is>
          <t>01.0-5kg</t>
        </is>
      </c>
      <c r="E580" s="11" t="inlineStr">
        <is>
          <t>Ninh Thuận</t>
        </is>
      </c>
      <c r="F580" s="11" t="n">
        <v>67831.22</v>
      </c>
      <c r="G580" s="11" t="n">
        <v>51992.63</v>
      </c>
      <c r="H580" s="11" t="n">
        <v>0</v>
      </c>
      <c r="I580" s="11" t="n">
        <v>12</v>
      </c>
    </row>
    <row r="581" ht="15.75" customHeight="1" s="57">
      <c r="A581" s="39" t="inlineStr">
        <is>
          <t>2026-12-01</t>
        </is>
      </c>
      <c r="B581" s="11" t="inlineStr">
        <is>
          <t>ecom</t>
        </is>
      </c>
      <c r="C581" s="11" t="inlineStr">
        <is>
          <t>TTS</t>
        </is>
      </c>
      <c r="D581" s="11" t="inlineStr">
        <is>
          <t>01.0-5kg</t>
        </is>
      </c>
      <c r="E581" s="11" t="inlineStr">
        <is>
          <t>Đắk Nông</t>
        </is>
      </c>
      <c r="F581" s="11" t="n">
        <v>99915.17999999999</v>
      </c>
      <c r="G581" s="11" t="n">
        <v>76584.99000000001</v>
      </c>
      <c r="H581" s="11" t="n">
        <v>0</v>
      </c>
      <c r="I581" s="11" t="n">
        <v>12</v>
      </c>
    </row>
    <row r="582" ht="15.75" customHeight="1" s="57">
      <c r="A582" s="39" t="inlineStr">
        <is>
          <t>2026-12-01</t>
        </is>
      </c>
      <c r="B582" s="11" t="inlineStr">
        <is>
          <t>ecom</t>
        </is>
      </c>
      <c r="C582" s="11" t="inlineStr">
        <is>
          <t>TTS</t>
        </is>
      </c>
      <c r="D582" s="11" t="inlineStr">
        <is>
          <t>02.5-10kg</t>
        </is>
      </c>
      <c r="E582" s="11" t="inlineStr">
        <is>
          <t>Bình Thuận</t>
        </is>
      </c>
      <c r="F582" s="11" t="n">
        <v>6690.79</v>
      </c>
      <c r="G582" s="11" t="n">
        <v>42473.8</v>
      </c>
      <c r="H582" s="11" t="n">
        <v>0</v>
      </c>
      <c r="I582" s="11" t="n">
        <v>12</v>
      </c>
    </row>
    <row r="583" ht="15.75" customHeight="1" s="57">
      <c r="A583" s="39" t="inlineStr">
        <is>
          <t>2026-12-01</t>
        </is>
      </c>
      <c r="B583" s="11" t="inlineStr">
        <is>
          <t>ecom</t>
        </is>
      </c>
      <c r="C583" s="11" t="inlineStr">
        <is>
          <t>TTS</t>
        </is>
      </c>
      <c r="D583" s="11" t="inlineStr">
        <is>
          <t>02.5-10kg</t>
        </is>
      </c>
      <c r="E583" s="11" t="inlineStr">
        <is>
          <t>Khánh Hòa</t>
        </is>
      </c>
      <c r="F583" s="11" t="n">
        <v>6988.1</v>
      </c>
      <c r="G583" s="11" t="n">
        <v>44361.13</v>
      </c>
      <c r="H583" s="11" t="n">
        <v>0</v>
      </c>
      <c r="I583" s="11" t="n">
        <v>12</v>
      </c>
    </row>
    <row r="584" ht="15.75" customHeight="1" s="57">
      <c r="A584" s="39" t="inlineStr">
        <is>
          <t>2026-12-01</t>
        </is>
      </c>
      <c r="B584" s="11" t="inlineStr">
        <is>
          <t>ecom</t>
        </is>
      </c>
      <c r="C584" s="11" t="inlineStr">
        <is>
          <t>TTS</t>
        </is>
      </c>
      <c r="D584" s="11" t="inlineStr">
        <is>
          <t>02.5-10kg</t>
        </is>
      </c>
      <c r="E584" s="11" t="inlineStr">
        <is>
          <t>Lâm Đồng</t>
        </is>
      </c>
      <c r="F584" s="11" t="n">
        <v>8516.5</v>
      </c>
      <c r="G584" s="11" t="n">
        <v>54063.6</v>
      </c>
      <c r="H584" s="11" t="n">
        <v>0</v>
      </c>
      <c r="I584" s="11" t="n">
        <v>12</v>
      </c>
    </row>
    <row r="585" ht="15.75" customHeight="1" s="57">
      <c r="A585" s="39" t="inlineStr">
        <is>
          <t>2026-12-01</t>
        </is>
      </c>
      <c r="B585" s="11" t="inlineStr">
        <is>
          <t>ecom</t>
        </is>
      </c>
      <c r="C585" s="11" t="inlineStr">
        <is>
          <t>TTS</t>
        </is>
      </c>
      <c r="D585" s="11" t="inlineStr">
        <is>
          <t>02.5-10kg</t>
        </is>
      </c>
      <c r="E585" s="11" t="inlineStr">
        <is>
          <t>Ninh Thuận</t>
        </is>
      </c>
      <c r="F585" s="11" t="n">
        <v>2666.68</v>
      </c>
      <c r="G585" s="11" t="n">
        <v>16928.38</v>
      </c>
      <c r="H585" s="11" t="n">
        <v>0</v>
      </c>
      <c r="I585" s="11" t="n">
        <v>12</v>
      </c>
    </row>
    <row r="586" ht="15.75" customHeight="1" s="57">
      <c r="A586" s="39" t="inlineStr">
        <is>
          <t>2026-12-01</t>
        </is>
      </c>
      <c r="B586" s="11" t="inlineStr">
        <is>
          <t>ecom</t>
        </is>
      </c>
      <c r="C586" s="11" t="inlineStr">
        <is>
          <t>TTS</t>
        </is>
      </c>
      <c r="D586" s="11" t="inlineStr">
        <is>
          <t>02.5-10kg</t>
        </is>
      </c>
      <c r="E586" s="11" t="inlineStr">
        <is>
          <t>Đắk Nông</t>
        </is>
      </c>
      <c r="F586" s="11" t="n">
        <v>4528.69</v>
      </c>
      <c r="G586" s="11" t="n">
        <v>28748.56</v>
      </c>
      <c r="H586" s="11" t="n">
        <v>0</v>
      </c>
      <c r="I586" s="11" t="n">
        <v>12</v>
      </c>
    </row>
    <row r="587" ht="15.75" customHeight="1" s="57">
      <c r="A587" s="39" t="inlineStr">
        <is>
          <t>2026-12-01</t>
        </is>
      </c>
      <c r="B587" s="11" t="inlineStr">
        <is>
          <t>ecom</t>
        </is>
      </c>
      <c r="C587" s="11" t="inlineStr">
        <is>
          <t>TTS</t>
        </is>
      </c>
      <c r="D587" s="11" t="inlineStr">
        <is>
          <t>03.10-15kg</t>
        </is>
      </c>
      <c r="E587" s="11" t="inlineStr">
        <is>
          <t>Bình Thuận</t>
        </is>
      </c>
      <c r="F587" s="11" t="n">
        <v>2540.36</v>
      </c>
      <c r="G587" s="11" t="n">
        <v>29283.8</v>
      </c>
      <c r="H587" s="11" t="n">
        <v>0</v>
      </c>
      <c r="I587" s="11" t="n">
        <v>12</v>
      </c>
    </row>
    <row r="588" ht="15.75" customHeight="1" s="57">
      <c r="A588" s="39" t="inlineStr">
        <is>
          <t>2026-12-01</t>
        </is>
      </c>
      <c r="B588" s="11" t="inlineStr">
        <is>
          <t>ecom</t>
        </is>
      </c>
      <c r="C588" s="11" t="inlineStr">
        <is>
          <t>TTS</t>
        </is>
      </c>
      <c r="D588" s="11" t="inlineStr">
        <is>
          <t>03.10-15kg</t>
        </is>
      </c>
      <c r="E588" s="11" t="inlineStr">
        <is>
          <t>Khánh Hòa</t>
        </is>
      </c>
      <c r="F588" s="11" t="n">
        <v>3010.05</v>
      </c>
      <c r="G588" s="11" t="n">
        <v>34698.08</v>
      </c>
      <c r="H588" s="11" t="n">
        <v>0</v>
      </c>
      <c r="I588" s="11" t="n">
        <v>12</v>
      </c>
    </row>
    <row r="589" ht="15.75" customHeight="1" s="57">
      <c r="A589" s="39" t="inlineStr">
        <is>
          <t>2026-12-01</t>
        </is>
      </c>
      <c r="B589" s="11" t="inlineStr">
        <is>
          <t>ecom</t>
        </is>
      </c>
      <c r="C589" s="11" t="inlineStr">
        <is>
          <t>TTS</t>
        </is>
      </c>
      <c r="D589" s="11" t="inlineStr">
        <is>
          <t>03.10-15kg</t>
        </is>
      </c>
      <c r="E589" s="11" t="inlineStr">
        <is>
          <t>Lâm Đồng</t>
        </is>
      </c>
      <c r="F589" s="11" t="n">
        <v>3362.49</v>
      </c>
      <c r="G589" s="11" t="n">
        <v>38760.8</v>
      </c>
      <c r="H589" s="11" t="n">
        <v>0</v>
      </c>
      <c r="I589" s="11" t="n">
        <v>12</v>
      </c>
    </row>
    <row r="590" ht="15.75" customHeight="1" s="57">
      <c r="A590" s="39" t="inlineStr">
        <is>
          <t>2026-12-01</t>
        </is>
      </c>
      <c r="B590" s="11" t="inlineStr">
        <is>
          <t>ecom</t>
        </is>
      </c>
      <c r="C590" s="11" t="inlineStr">
        <is>
          <t>TTS</t>
        </is>
      </c>
      <c r="D590" s="11" t="inlineStr">
        <is>
          <t>03.10-15kg</t>
        </is>
      </c>
      <c r="E590" s="11" t="inlineStr">
        <is>
          <t>Ninh Thuận</t>
        </is>
      </c>
      <c r="F590" s="11" t="n">
        <v>1121.53</v>
      </c>
      <c r="G590" s="11" t="n">
        <v>12928.31</v>
      </c>
      <c r="H590" s="11" t="n">
        <v>0</v>
      </c>
      <c r="I590" s="11" t="n">
        <v>12</v>
      </c>
    </row>
    <row r="591" ht="15.75" customHeight="1" s="57">
      <c r="A591" s="39" t="inlineStr">
        <is>
          <t>2026-12-01</t>
        </is>
      </c>
      <c r="B591" s="11" t="inlineStr">
        <is>
          <t>ecom</t>
        </is>
      </c>
      <c r="C591" s="11" t="inlineStr">
        <is>
          <t>TTS</t>
        </is>
      </c>
      <c r="D591" s="11" t="inlineStr">
        <is>
          <t>03.10-15kg</t>
        </is>
      </c>
      <c r="E591" s="11" t="inlineStr">
        <is>
          <t>Đắk Nông</t>
        </is>
      </c>
      <c r="F591" s="11" t="n">
        <v>1664.5</v>
      </c>
      <c r="G591" s="11" t="n">
        <v>19187.32</v>
      </c>
      <c r="H591" s="11" t="n">
        <v>0</v>
      </c>
      <c r="I591" s="11" t="n">
        <v>12</v>
      </c>
    </row>
    <row r="592" ht="15.75" customHeight="1" s="57">
      <c r="A592" s="39" t="inlineStr">
        <is>
          <t>2026-12-01</t>
        </is>
      </c>
      <c r="B592" s="11" t="inlineStr">
        <is>
          <t>ecom</t>
        </is>
      </c>
      <c r="C592" s="11" t="inlineStr">
        <is>
          <t>TTS</t>
        </is>
      </c>
      <c r="D592" s="11" t="inlineStr">
        <is>
          <t>04.15-20kg</t>
        </is>
      </c>
      <c r="E592" s="11" t="inlineStr">
        <is>
          <t>Bình Thuận</t>
        </is>
      </c>
      <c r="F592" s="11" t="n">
        <v>897.5</v>
      </c>
      <c r="G592" s="11" t="n">
        <v>14844.51</v>
      </c>
      <c r="H592" s="11" t="n">
        <v>0</v>
      </c>
      <c r="I592" s="11" t="n">
        <v>12</v>
      </c>
    </row>
    <row r="593" ht="15.75" customHeight="1" s="57">
      <c r="A593" s="39" t="inlineStr">
        <is>
          <t>2026-12-01</t>
        </is>
      </c>
      <c r="B593" s="11" t="inlineStr">
        <is>
          <t>ecom</t>
        </is>
      </c>
      <c r="C593" s="11" t="inlineStr">
        <is>
          <t>TTS</t>
        </is>
      </c>
      <c r="D593" s="11" t="inlineStr">
        <is>
          <t>04.15-20kg</t>
        </is>
      </c>
      <c r="E593" s="11" t="inlineStr">
        <is>
          <t>Khánh Hòa</t>
        </is>
      </c>
      <c r="F593" s="11" t="n">
        <v>1215.05</v>
      </c>
      <c r="G593" s="11" t="n">
        <v>20096.65</v>
      </c>
      <c r="H593" s="11" t="n">
        <v>0</v>
      </c>
      <c r="I593" s="11" t="n">
        <v>12</v>
      </c>
    </row>
    <row r="594" ht="15.75" customHeight="1" s="57">
      <c r="A594" s="39" t="inlineStr">
        <is>
          <t>2026-12-01</t>
        </is>
      </c>
      <c r="B594" s="11" t="inlineStr">
        <is>
          <t>ecom</t>
        </is>
      </c>
      <c r="C594" s="11" t="inlineStr">
        <is>
          <t>TTS</t>
        </is>
      </c>
      <c r="D594" s="11" t="inlineStr">
        <is>
          <t>04.15-20kg</t>
        </is>
      </c>
      <c r="E594" s="11" t="inlineStr">
        <is>
          <t>Lâm Đồng</t>
        </is>
      </c>
      <c r="F594" s="11" t="n">
        <v>1356.72</v>
      </c>
      <c r="G594" s="11" t="n">
        <v>22439.91</v>
      </c>
      <c r="H594" s="11" t="n">
        <v>0</v>
      </c>
      <c r="I594" s="11" t="n">
        <v>12</v>
      </c>
    </row>
    <row r="595" ht="15.75" customHeight="1" s="57">
      <c r="A595" s="39" t="inlineStr">
        <is>
          <t>2026-12-01</t>
        </is>
      </c>
      <c r="B595" s="11" t="inlineStr">
        <is>
          <t>ecom</t>
        </is>
      </c>
      <c r="C595" s="11" t="inlineStr">
        <is>
          <t>TTS</t>
        </is>
      </c>
      <c r="D595" s="11" t="inlineStr">
        <is>
          <t>04.15-20kg</t>
        </is>
      </c>
      <c r="E595" s="11" t="inlineStr">
        <is>
          <t>Ninh Thuận</t>
        </is>
      </c>
      <c r="F595" s="11" t="n">
        <v>381.75</v>
      </c>
      <c r="G595" s="11" t="n">
        <v>6314.11</v>
      </c>
      <c r="H595" s="11" t="n">
        <v>0</v>
      </c>
      <c r="I595" s="11" t="n">
        <v>12</v>
      </c>
    </row>
    <row r="596" ht="15.75" customHeight="1" s="57">
      <c r="A596" s="39" t="inlineStr">
        <is>
          <t>2026-12-01</t>
        </is>
      </c>
      <c r="B596" s="11" t="inlineStr">
        <is>
          <t>ecom</t>
        </is>
      </c>
      <c r="C596" s="11" t="inlineStr">
        <is>
          <t>TTS</t>
        </is>
      </c>
      <c r="D596" s="11" t="inlineStr">
        <is>
          <t>04.15-20kg</t>
        </is>
      </c>
      <c r="E596" s="11" t="inlineStr">
        <is>
          <t>Đắk Nông</t>
        </is>
      </c>
      <c r="F596" s="11" t="n">
        <v>685.34</v>
      </c>
      <c r="G596" s="11" t="n">
        <v>11335.39</v>
      </c>
      <c r="H596" s="11" t="n">
        <v>0</v>
      </c>
      <c r="I596" s="11" t="n">
        <v>12</v>
      </c>
    </row>
    <row r="597" ht="15.75" customHeight="1" s="57">
      <c r="A597" s="39" t="inlineStr">
        <is>
          <t>2026-12-01</t>
        </is>
      </c>
      <c r="B597" s="11" t="inlineStr">
        <is>
          <t>ecom</t>
        </is>
      </c>
      <c r="C597" s="11" t="inlineStr">
        <is>
          <t>TTS</t>
        </is>
      </c>
      <c r="D597" s="11" t="inlineStr">
        <is>
          <t>05.&gt;=20kg</t>
        </is>
      </c>
      <c r="E597" s="11" t="inlineStr">
        <is>
          <t>Bình Thuận</t>
        </is>
      </c>
      <c r="F597" s="11" t="n">
        <v>902.39</v>
      </c>
      <c r="G597" s="11" t="n">
        <v>32379.74</v>
      </c>
      <c r="H597" s="11" t="n">
        <v>0</v>
      </c>
      <c r="I597" s="11" t="n">
        <v>12</v>
      </c>
    </row>
    <row r="598" ht="15.75" customHeight="1" s="57">
      <c r="A598" s="39" t="inlineStr">
        <is>
          <t>2026-12-01</t>
        </is>
      </c>
      <c r="B598" s="11" t="inlineStr">
        <is>
          <t>ecom</t>
        </is>
      </c>
      <c r="C598" s="11" t="inlineStr">
        <is>
          <t>TTS</t>
        </is>
      </c>
      <c r="D598" s="11" t="inlineStr">
        <is>
          <t>05.&gt;=20kg</t>
        </is>
      </c>
      <c r="E598" s="11" t="inlineStr">
        <is>
          <t>Khánh Hòa</t>
        </is>
      </c>
      <c r="F598" s="11" t="n">
        <v>1252.73</v>
      </c>
      <c r="G598" s="11" t="n">
        <v>44951</v>
      </c>
      <c r="H598" s="11" t="n">
        <v>0</v>
      </c>
      <c r="I598" s="11" t="n">
        <v>12</v>
      </c>
    </row>
    <row r="599" ht="15.75" customHeight="1" s="57">
      <c r="A599" s="39" t="inlineStr">
        <is>
          <t>2026-12-01</t>
        </is>
      </c>
      <c r="B599" s="11" t="inlineStr">
        <is>
          <t>ecom</t>
        </is>
      </c>
      <c r="C599" s="11" t="inlineStr">
        <is>
          <t>TTS</t>
        </is>
      </c>
      <c r="D599" s="11" t="inlineStr">
        <is>
          <t>05.&gt;=20kg</t>
        </is>
      </c>
      <c r="E599" s="11" t="inlineStr">
        <is>
          <t>Lâm Đồng</t>
        </is>
      </c>
      <c r="F599" s="11" t="n">
        <v>1240.87</v>
      </c>
      <c r="G599" s="11" t="n">
        <v>44525.28</v>
      </c>
      <c r="H599" s="11" t="n">
        <v>0</v>
      </c>
      <c r="I599" s="11" t="n">
        <v>12</v>
      </c>
    </row>
    <row r="600" ht="15.75" customHeight="1" s="57">
      <c r="A600" s="39" t="inlineStr">
        <is>
          <t>2026-12-01</t>
        </is>
      </c>
      <c r="B600" s="11" t="inlineStr">
        <is>
          <t>ecom</t>
        </is>
      </c>
      <c r="C600" s="11" t="inlineStr">
        <is>
          <t>TTS</t>
        </is>
      </c>
      <c r="D600" s="11" t="inlineStr">
        <is>
          <t>05.&gt;=20kg</t>
        </is>
      </c>
      <c r="E600" s="11" t="inlineStr">
        <is>
          <t>Ninh Thuận</t>
        </is>
      </c>
      <c r="F600" s="11" t="n">
        <v>390.13</v>
      </c>
      <c r="G600" s="11" t="n">
        <v>13998.67</v>
      </c>
      <c r="H600" s="11" t="n">
        <v>0</v>
      </c>
      <c r="I600" s="11" t="n">
        <v>12</v>
      </c>
    </row>
    <row r="601" ht="15.75" customHeight="1" s="57">
      <c r="A601" s="39" t="inlineStr">
        <is>
          <t>2026-12-01</t>
        </is>
      </c>
      <c r="B601" s="11" t="inlineStr">
        <is>
          <t>ecom</t>
        </is>
      </c>
      <c r="C601" s="11" t="inlineStr">
        <is>
          <t>TTS</t>
        </is>
      </c>
      <c r="D601" s="11" t="inlineStr">
        <is>
          <t>05.&gt;=20kg</t>
        </is>
      </c>
      <c r="E601" s="11" t="inlineStr">
        <is>
          <t>Đắk Nông</t>
        </is>
      </c>
      <c r="F601" s="11" t="n">
        <v>574.37</v>
      </c>
      <c r="G601" s="11" t="n">
        <v>20609.84</v>
      </c>
      <c r="H601" s="11" t="n">
        <v>0</v>
      </c>
      <c r="I601" s="11" t="n">
        <v>12</v>
      </c>
    </row>
    <row r="602" ht="15.75" customHeight="1" s="57">
      <c r="A602" s="49" t="n"/>
      <c r="B602" s="49" t="n"/>
      <c r="C602" s="49" t="n"/>
      <c r="D602" s="49" t="n"/>
      <c r="E602" s="49" t="n"/>
      <c r="F602" s="49" t="n"/>
    </row>
    <row r="603" ht="15.75" customHeight="1" s="57">
      <c r="A603" s="49" t="n"/>
      <c r="B603" s="49" t="n"/>
      <c r="C603" s="49" t="n"/>
      <c r="D603" s="49" t="n"/>
      <c r="E603" s="49" t="n"/>
      <c r="F603" s="49" t="n"/>
    </row>
    <row r="604" ht="15.75" customHeight="1" s="57">
      <c r="A604" s="49" t="n"/>
      <c r="B604" s="49" t="n"/>
      <c r="C604" s="49" t="n"/>
      <c r="D604" s="49" t="n"/>
      <c r="E604" s="49" t="n"/>
      <c r="F604" s="49" t="n"/>
    </row>
    <row r="605" ht="15.75" customHeight="1" s="57">
      <c r="A605" s="49" t="n"/>
      <c r="B605" s="49" t="n"/>
      <c r="C605" s="49" t="n"/>
      <c r="D605" s="49" t="n"/>
      <c r="E605" s="49" t="n"/>
      <c r="F605" s="49" t="n"/>
    </row>
    <row r="606" ht="15.75" customHeight="1" s="57">
      <c r="A606" s="49" t="n"/>
      <c r="B606" s="49" t="n"/>
      <c r="C606" s="49" t="n"/>
      <c r="D606" s="49" t="n"/>
      <c r="E606" s="49" t="n"/>
      <c r="F606" s="49" t="n"/>
    </row>
    <row r="607" ht="15.75" customHeight="1" s="57">
      <c r="A607" s="49" t="n"/>
      <c r="B607" s="49" t="n"/>
      <c r="C607" s="49" t="n"/>
      <c r="D607" s="49" t="n"/>
      <c r="E607" s="49" t="n"/>
      <c r="F607" s="49" t="n"/>
    </row>
    <row r="608" ht="15.75" customHeight="1" s="57">
      <c r="A608" s="49" t="n"/>
      <c r="B608" s="49" t="n"/>
      <c r="C608" s="49" t="n"/>
      <c r="D608" s="49" t="n"/>
      <c r="E608" s="49" t="n"/>
      <c r="F608" s="49" t="n"/>
    </row>
    <row r="609" ht="15.75" customHeight="1" s="57">
      <c r="A609" s="49" t="n"/>
      <c r="B609" s="49" t="n"/>
      <c r="C609" s="49" t="n"/>
      <c r="D609" s="49" t="n"/>
      <c r="E609" s="49" t="n"/>
      <c r="F609" s="49" t="n"/>
    </row>
    <row r="610" ht="15.75" customHeight="1" s="57">
      <c r="A610" s="49" t="n"/>
      <c r="B610" s="49" t="n"/>
      <c r="C610" s="49" t="n"/>
      <c r="D610" s="49" t="n"/>
      <c r="E610" s="49" t="n"/>
      <c r="F610" s="49" t="n"/>
    </row>
    <row r="611" ht="15.75" customHeight="1" s="57">
      <c r="A611" s="49" t="n"/>
      <c r="B611" s="49" t="n"/>
      <c r="C611" s="49" t="n"/>
      <c r="D611" s="49" t="n"/>
      <c r="E611" s="49" t="n"/>
      <c r="F611" s="49" t="n"/>
    </row>
    <row r="612" ht="15.75" customHeight="1" s="57">
      <c r="A612" s="49" t="n"/>
      <c r="B612" s="49" t="n"/>
      <c r="C612" s="49" t="n"/>
      <c r="D612" s="49" t="n"/>
      <c r="E612" s="49" t="n"/>
      <c r="F612" s="49" t="n"/>
    </row>
    <row r="613" ht="15.75" customHeight="1" s="57">
      <c r="A613" s="49" t="n"/>
      <c r="B613" s="49" t="n"/>
      <c r="C613" s="49" t="n"/>
      <c r="D613" s="49" t="n"/>
      <c r="E613" s="49" t="n"/>
      <c r="F613" s="49" t="n"/>
    </row>
    <row r="614" ht="15.75" customHeight="1" s="57">
      <c r="A614" s="49" t="n"/>
      <c r="B614" s="49" t="n"/>
      <c r="C614" s="49" t="n"/>
      <c r="D614" s="49" t="n"/>
      <c r="E614" s="49" t="n"/>
      <c r="F614" s="49" t="n"/>
    </row>
    <row r="615" ht="15.75" customHeight="1" s="57">
      <c r="A615" s="49" t="n"/>
      <c r="B615" s="49" t="n"/>
      <c r="C615" s="49" t="n"/>
      <c r="D615" s="49" t="n"/>
      <c r="E615" s="49" t="n"/>
      <c r="F615" s="49" t="n"/>
    </row>
    <row r="616" ht="15.75" customHeight="1" s="57">
      <c r="A616" s="49" t="n"/>
      <c r="B616" s="49" t="n"/>
      <c r="C616" s="49" t="n"/>
      <c r="D616" s="49" t="n"/>
      <c r="E616" s="49" t="n"/>
      <c r="F616" s="49" t="n"/>
    </row>
    <row r="617" ht="15.75" customHeight="1" s="57">
      <c r="A617" s="49" t="n"/>
      <c r="B617" s="49" t="n"/>
      <c r="C617" s="49" t="n"/>
      <c r="D617" s="49" t="n"/>
      <c r="E617" s="49" t="n"/>
      <c r="F617" s="49" t="n"/>
    </row>
    <row r="618" ht="15.75" customHeight="1" s="57">
      <c r="A618" s="49" t="n"/>
      <c r="B618" s="49" t="n"/>
      <c r="C618" s="49" t="n"/>
      <c r="D618" s="49" t="n"/>
      <c r="E618" s="49" t="n"/>
      <c r="F618" s="49" t="n"/>
    </row>
    <row r="619" ht="15.75" customHeight="1" s="57">
      <c r="A619" s="49" t="n"/>
      <c r="B619" s="49" t="n"/>
      <c r="C619" s="49" t="n"/>
      <c r="D619" s="49" t="n"/>
      <c r="E619" s="49" t="n"/>
      <c r="F619" s="49" t="n"/>
    </row>
    <row r="620" ht="15.75" customHeight="1" s="57">
      <c r="A620" s="49" t="n"/>
      <c r="B620" s="49" t="n"/>
      <c r="C620" s="49" t="n"/>
      <c r="D620" s="49" t="n"/>
      <c r="E620" s="49" t="n"/>
      <c r="F620" s="49" t="n"/>
    </row>
    <row r="621" ht="15.75" customHeight="1" s="57">
      <c r="A621" s="49" t="n"/>
      <c r="B621" s="49" t="n"/>
      <c r="C621" s="49" t="n"/>
      <c r="D621" s="49" t="n"/>
      <c r="E621" s="49" t="n"/>
      <c r="F621" s="49" t="n"/>
    </row>
    <row r="622" ht="15.75" customHeight="1" s="57">
      <c r="A622" s="49" t="n"/>
      <c r="B622" s="49" t="n"/>
      <c r="C622" s="49" t="n"/>
      <c r="D622" s="49" t="n"/>
      <c r="E622" s="49" t="n"/>
      <c r="F622" s="49" t="n"/>
    </row>
    <row r="623" ht="15.75" customHeight="1" s="57">
      <c r="A623" s="49" t="n"/>
      <c r="B623" s="49" t="n"/>
      <c r="C623" s="49" t="n"/>
      <c r="D623" s="49" t="n"/>
      <c r="E623" s="49" t="n"/>
      <c r="F623" s="49" t="n"/>
    </row>
    <row r="624" ht="15.75" customHeight="1" s="57">
      <c r="A624" s="49" t="n"/>
      <c r="B624" s="49" t="n"/>
      <c r="C624" s="49" t="n"/>
      <c r="D624" s="49" t="n"/>
      <c r="E624" s="49" t="n"/>
      <c r="F624" s="49" t="n"/>
    </row>
    <row r="625" ht="15.75" customHeight="1" s="57">
      <c r="A625" s="49" t="n"/>
      <c r="B625" s="49" t="n"/>
      <c r="C625" s="49" t="n"/>
      <c r="D625" s="49" t="n"/>
      <c r="E625" s="49" t="n"/>
      <c r="F625" s="49" t="n"/>
    </row>
    <row r="626" ht="15.75" customHeight="1" s="57">
      <c r="A626" s="49" t="n"/>
      <c r="B626" s="49" t="n"/>
      <c r="C626" s="49" t="n"/>
      <c r="D626" s="49" t="n"/>
      <c r="E626" s="49" t="n"/>
      <c r="F626" s="49" t="n"/>
    </row>
    <row r="627" ht="15.75" customHeight="1" s="57">
      <c r="A627" s="49" t="n"/>
      <c r="B627" s="49" t="n"/>
      <c r="C627" s="49" t="n"/>
      <c r="D627" s="49" t="n"/>
      <c r="E627" s="49" t="n"/>
      <c r="F627" s="49" t="n"/>
    </row>
    <row r="628" ht="15.75" customHeight="1" s="57">
      <c r="A628" s="49" t="n"/>
      <c r="B628" s="49" t="n"/>
      <c r="C628" s="49" t="n"/>
      <c r="D628" s="49" t="n"/>
      <c r="E628" s="49" t="n"/>
      <c r="F628" s="49" t="n"/>
    </row>
    <row r="629" ht="15.75" customHeight="1" s="57">
      <c r="A629" s="49" t="n"/>
      <c r="B629" s="49" t="n"/>
      <c r="C629" s="49" t="n"/>
      <c r="D629" s="49" t="n"/>
      <c r="E629" s="49" t="n"/>
      <c r="F629" s="49" t="n"/>
    </row>
    <row r="630" ht="15.75" customHeight="1" s="57">
      <c r="A630" s="49" t="n"/>
      <c r="B630" s="49" t="n"/>
      <c r="C630" s="49" t="n"/>
      <c r="D630" s="49" t="n"/>
      <c r="E630" s="49" t="n"/>
      <c r="F630" s="49" t="n"/>
    </row>
    <row r="631" ht="15.75" customHeight="1" s="57">
      <c r="A631" s="49" t="n"/>
      <c r="B631" s="49" t="n"/>
      <c r="C631" s="49" t="n"/>
      <c r="D631" s="49" t="n"/>
      <c r="E631" s="49" t="n"/>
      <c r="F631" s="49" t="n"/>
    </row>
    <row r="632" ht="15.75" customHeight="1" s="57">
      <c r="A632" s="49" t="n"/>
      <c r="B632" s="49" t="n"/>
      <c r="C632" s="49" t="n"/>
      <c r="D632" s="49" t="n"/>
      <c r="E632" s="49" t="n"/>
      <c r="F632" s="49" t="n"/>
    </row>
    <row r="633" ht="15.75" customHeight="1" s="57">
      <c r="A633" s="49" t="n"/>
      <c r="B633" s="49" t="n"/>
      <c r="C633" s="49" t="n"/>
      <c r="D633" s="49" t="n"/>
      <c r="E633" s="49" t="n"/>
      <c r="F633" s="49" t="n"/>
    </row>
    <row r="634" ht="15.75" customHeight="1" s="57">
      <c r="A634" s="49" t="n"/>
      <c r="B634" s="49" t="n"/>
      <c r="C634" s="49" t="n"/>
      <c r="D634" s="49" t="n"/>
      <c r="E634" s="49" t="n"/>
      <c r="F634" s="49" t="n"/>
    </row>
    <row r="635" ht="15.75" customHeight="1" s="57">
      <c r="A635" s="49" t="n"/>
      <c r="B635" s="49" t="n"/>
      <c r="C635" s="49" t="n"/>
      <c r="D635" s="49" t="n"/>
      <c r="E635" s="49" t="n"/>
      <c r="F635" s="49" t="n"/>
    </row>
    <row r="636" ht="15.75" customHeight="1" s="57">
      <c r="A636" s="49" t="n"/>
      <c r="B636" s="49" t="n"/>
      <c r="C636" s="49" t="n"/>
      <c r="D636" s="49" t="n"/>
      <c r="E636" s="49" t="n"/>
      <c r="F636" s="49" t="n"/>
    </row>
    <row r="637" ht="15.75" customHeight="1" s="57">
      <c r="A637" s="49" t="n"/>
      <c r="B637" s="49" t="n"/>
      <c r="C637" s="49" t="n"/>
      <c r="D637" s="49" t="n"/>
      <c r="E637" s="49" t="n"/>
      <c r="F637" s="49" t="n"/>
    </row>
    <row r="638" ht="15.75" customHeight="1" s="57">
      <c r="A638" s="49" t="n"/>
      <c r="B638" s="49" t="n"/>
      <c r="C638" s="49" t="n"/>
      <c r="D638" s="49" t="n"/>
      <c r="E638" s="49" t="n"/>
      <c r="F638" s="49" t="n"/>
    </row>
    <row r="639" ht="15.75" customHeight="1" s="57">
      <c r="A639" s="49" t="n"/>
      <c r="B639" s="49" t="n"/>
      <c r="C639" s="49" t="n"/>
      <c r="D639" s="49" t="n"/>
      <c r="E639" s="49" t="n"/>
      <c r="F639" s="49" t="n"/>
    </row>
    <row r="640" ht="15.75" customHeight="1" s="57">
      <c r="A640" s="49" t="n"/>
      <c r="B640" s="49" t="n"/>
      <c r="C640" s="49" t="n"/>
      <c r="D640" s="49" t="n"/>
      <c r="E640" s="49" t="n"/>
      <c r="F640" s="49" t="n"/>
    </row>
    <row r="641" ht="15.75" customHeight="1" s="57">
      <c r="A641" s="49" t="n"/>
      <c r="B641" s="49" t="n"/>
      <c r="C641" s="49" t="n"/>
      <c r="D641" s="49" t="n"/>
      <c r="E641" s="49" t="n"/>
      <c r="F641" s="49" t="n"/>
    </row>
    <row r="642" ht="15.75" customHeight="1" s="57">
      <c r="A642" s="49" t="n"/>
      <c r="B642" s="49" t="n"/>
      <c r="C642" s="49" t="n"/>
      <c r="D642" s="49" t="n"/>
      <c r="E642" s="49" t="n"/>
      <c r="F642" s="49" t="n"/>
    </row>
    <row r="643" ht="15.75" customHeight="1" s="57">
      <c r="A643" s="49" t="n"/>
      <c r="B643" s="49" t="n"/>
      <c r="C643" s="49" t="n"/>
      <c r="D643" s="49" t="n"/>
      <c r="E643" s="49" t="n"/>
      <c r="F643" s="49" t="n"/>
    </row>
    <row r="644" ht="15.75" customHeight="1" s="57">
      <c r="A644" s="49" t="n"/>
      <c r="B644" s="49" t="n"/>
      <c r="C644" s="49" t="n"/>
      <c r="D644" s="49" t="n"/>
      <c r="E644" s="49" t="n"/>
      <c r="F644" s="49" t="n"/>
    </row>
    <row r="645" ht="15.75" customHeight="1" s="57">
      <c r="A645" s="49" t="n"/>
      <c r="B645" s="49" t="n"/>
      <c r="C645" s="49" t="n"/>
      <c r="D645" s="49" t="n"/>
      <c r="E645" s="49" t="n"/>
      <c r="F645" s="49" t="n"/>
    </row>
    <row r="646" ht="15.75" customHeight="1" s="57">
      <c r="A646" s="49" t="n"/>
      <c r="B646" s="49" t="n"/>
      <c r="C646" s="49" t="n"/>
      <c r="D646" s="49" t="n"/>
      <c r="E646" s="49" t="n"/>
      <c r="F646" s="49" t="n"/>
    </row>
    <row r="647" ht="15.75" customHeight="1" s="57">
      <c r="A647" s="49" t="n"/>
      <c r="B647" s="49" t="n"/>
      <c r="C647" s="49" t="n"/>
      <c r="D647" s="49" t="n"/>
      <c r="E647" s="49" t="n"/>
      <c r="F647" s="49" t="n"/>
    </row>
    <row r="648" ht="15.75" customHeight="1" s="57">
      <c r="A648" s="49" t="n"/>
      <c r="B648" s="49" t="n"/>
      <c r="C648" s="49" t="n"/>
      <c r="D648" s="49" t="n"/>
      <c r="E648" s="49" t="n"/>
      <c r="F648" s="49" t="n"/>
    </row>
    <row r="649" ht="15.75" customHeight="1" s="57">
      <c r="A649" s="49" t="n"/>
      <c r="B649" s="49" t="n"/>
      <c r="C649" s="49" t="n"/>
      <c r="D649" s="49" t="n"/>
      <c r="E649" s="49" t="n"/>
      <c r="F649" s="49" t="n"/>
    </row>
    <row r="650" ht="15.75" customHeight="1" s="57">
      <c r="A650" s="49" t="n"/>
      <c r="B650" s="49" t="n"/>
      <c r="C650" s="49" t="n"/>
      <c r="D650" s="49" t="n"/>
      <c r="E650" s="49" t="n"/>
      <c r="F650" s="49" t="n"/>
    </row>
    <row r="651" ht="15.75" customHeight="1" s="57">
      <c r="A651" s="49" t="n"/>
      <c r="B651" s="49" t="n"/>
      <c r="C651" s="49" t="n"/>
      <c r="D651" s="49" t="n"/>
      <c r="E651" s="49" t="n"/>
      <c r="F651" s="49" t="n"/>
    </row>
    <row r="652" ht="15.75" customHeight="1" s="57">
      <c r="A652" s="49" t="n"/>
      <c r="B652" s="49" t="n"/>
      <c r="C652" s="49" t="n"/>
      <c r="D652" s="49" t="n"/>
      <c r="E652" s="49" t="n"/>
      <c r="F652" s="49" t="n"/>
    </row>
    <row r="653" ht="15.75" customHeight="1" s="57">
      <c r="A653" s="49" t="n"/>
      <c r="B653" s="49" t="n"/>
      <c r="C653" s="49" t="n"/>
      <c r="D653" s="49" t="n"/>
      <c r="E653" s="49" t="n"/>
      <c r="F653" s="49" t="n"/>
    </row>
    <row r="654" ht="15.75" customHeight="1" s="57">
      <c r="A654" s="49" t="n"/>
      <c r="B654" s="49" t="n"/>
      <c r="C654" s="49" t="n"/>
      <c r="D654" s="49" t="n"/>
      <c r="E654" s="49" t="n"/>
      <c r="F654" s="49" t="n"/>
    </row>
    <row r="655" ht="15.75" customHeight="1" s="57">
      <c r="A655" s="49" t="n"/>
      <c r="B655" s="49" t="n"/>
      <c r="C655" s="49" t="n"/>
      <c r="D655" s="49" t="n"/>
      <c r="E655" s="49" t="n"/>
      <c r="F655" s="49" t="n"/>
    </row>
    <row r="656" ht="15.75" customHeight="1" s="57">
      <c r="A656" s="49" t="n"/>
      <c r="B656" s="49" t="n"/>
      <c r="C656" s="49" t="n"/>
      <c r="D656" s="49" t="n"/>
      <c r="E656" s="49" t="n"/>
      <c r="F656" s="49" t="n"/>
    </row>
    <row r="657" ht="15.75" customHeight="1" s="57">
      <c r="A657" s="49" t="n"/>
      <c r="B657" s="49" t="n"/>
      <c r="C657" s="49" t="n"/>
      <c r="D657" s="49" t="n"/>
      <c r="E657" s="49" t="n"/>
      <c r="F657" s="49" t="n"/>
    </row>
    <row r="658" ht="15.75" customHeight="1" s="57">
      <c r="A658" s="49" t="n"/>
      <c r="B658" s="49" t="n"/>
      <c r="C658" s="49" t="n"/>
      <c r="D658" s="49" t="n"/>
      <c r="E658" s="49" t="n"/>
      <c r="F658" s="49" t="n"/>
    </row>
    <row r="659" ht="15.75" customHeight="1" s="57">
      <c r="A659" s="49" t="n"/>
      <c r="B659" s="49" t="n"/>
      <c r="C659" s="49" t="n"/>
      <c r="D659" s="49" t="n"/>
      <c r="E659" s="49" t="n"/>
      <c r="F659" s="49" t="n"/>
    </row>
    <row r="660" ht="15.75" customHeight="1" s="57">
      <c r="A660" s="49" t="n"/>
      <c r="B660" s="49" t="n"/>
      <c r="C660" s="49" t="n"/>
      <c r="D660" s="49" t="n"/>
      <c r="E660" s="49" t="n"/>
      <c r="F660" s="49" t="n"/>
    </row>
    <row r="661" ht="15.75" customHeight="1" s="57">
      <c r="A661" s="49" t="n"/>
      <c r="B661" s="49" t="n"/>
      <c r="C661" s="49" t="n"/>
      <c r="D661" s="49" t="n"/>
      <c r="E661" s="49" t="n"/>
      <c r="F661" s="49" t="n"/>
    </row>
    <row r="662" ht="15.75" customHeight="1" s="57">
      <c r="A662" s="49" t="n"/>
      <c r="B662" s="49" t="n"/>
      <c r="C662" s="49" t="n"/>
      <c r="D662" s="49" t="n"/>
      <c r="E662" s="49" t="n"/>
      <c r="F662" s="49" t="n"/>
    </row>
    <row r="663" ht="15.75" customHeight="1" s="57">
      <c r="A663" s="49" t="n"/>
      <c r="B663" s="49" t="n"/>
      <c r="C663" s="49" t="n"/>
      <c r="D663" s="49" t="n"/>
      <c r="E663" s="49" t="n"/>
      <c r="F663" s="49" t="n"/>
    </row>
    <row r="664" ht="15.75" customHeight="1" s="57">
      <c r="A664" s="49" t="n"/>
      <c r="B664" s="49" t="n"/>
      <c r="C664" s="49" t="n"/>
      <c r="D664" s="49" t="n"/>
      <c r="E664" s="49" t="n"/>
      <c r="F664" s="49" t="n"/>
    </row>
    <row r="665" ht="15.75" customHeight="1" s="57">
      <c r="A665" s="49" t="n"/>
      <c r="B665" s="49" t="n"/>
      <c r="C665" s="49" t="n"/>
      <c r="D665" s="49" t="n"/>
      <c r="E665" s="49" t="n"/>
      <c r="F665" s="49" t="n"/>
    </row>
    <row r="666" ht="15.75" customHeight="1" s="57">
      <c r="A666" s="49" t="n"/>
      <c r="B666" s="49" t="n"/>
      <c r="C666" s="49" t="n"/>
      <c r="D666" s="49" t="n"/>
      <c r="E666" s="49" t="n"/>
      <c r="F666" s="49" t="n"/>
    </row>
    <row r="667" ht="15.75" customHeight="1" s="57">
      <c r="A667" s="49" t="n"/>
      <c r="B667" s="49" t="n"/>
      <c r="C667" s="49" t="n"/>
      <c r="D667" s="49" t="n"/>
      <c r="E667" s="49" t="n"/>
      <c r="F667" s="49" t="n"/>
    </row>
    <row r="668" ht="15.75" customHeight="1" s="57">
      <c r="A668" s="49" t="n"/>
      <c r="B668" s="49" t="n"/>
      <c r="C668" s="49" t="n"/>
      <c r="D668" s="49" t="n"/>
      <c r="E668" s="49" t="n"/>
      <c r="F668" s="49" t="n"/>
    </row>
    <row r="669" ht="15.75" customHeight="1" s="57">
      <c r="A669" s="49" t="n"/>
      <c r="B669" s="49" t="n"/>
      <c r="C669" s="49" t="n"/>
      <c r="D669" s="49" t="n"/>
      <c r="E669" s="49" t="n"/>
      <c r="F669" s="49" t="n"/>
    </row>
    <row r="670" ht="15.75" customHeight="1" s="57">
      <c r="A670" s="49" t="n"/>
      <c r="B670" s="49" t="n"/>
      <c r="C670" s="49" t="n"/>
      <c r="D670" s="49" t="n"/>
      <c r="E670" s="49" t="n"/>
      <c r="F670" s="49" t="n"/>
    </row>
    <row r="671" ht="15.75" customHeight="1" s="57">
      <c r="A671" s="49" t="n"/>
      <c r="B671" s="49" t="n"/>
      <c r="C671" s="49" t="n"/>
      <c r="D671" s="49" t="n"/>
      <c r="E671" s="49" t="n"/>
      <c r="F671" s="49" t="n"/>
    </row>
    <row r="672" ht="15.75" customHeight="1" s="57">
      <c r="A672" s="49" t="n"/>
      <c r="B672" s="49" t="n"/>
      <c r="C672" s="49" t="n"/>
      <c r="D672" s="49" t="n"/>
      <c r="E672" s="49" t="n"/>
      <c r="F672" s="49" t="n"/>
    </row>
    <row r="673" ht="15.75" customHeight="1" s="57">
      <c r="A673" s="49" t="n"/>
      <c r="B673" s="49" t="n"/>
      <c r="C673" s="49" t="n"/>
      <c r="D673" s="49" t="n"/>
      <c r="E673" s="49" t="n"/>
      <c r="F673" s="49" t="n"/>
    </row>
    <row r="674" ht="15.75" customHeight="1" s="57">
      <c r="A674" s="49" t="n"/>
      <c r="B674" s="49" t="n"/>
      <c r="C674" s="49" t="n"/>
      <c r="D674" s="49" t="n"/>
      <c r="E674" s="49" t="n"/>
      <c r="F674" s="49" t="n"/>
    </row>
    <row r="675" ht="15.75" customHeight="1" s="57">
      <c r="A675" s="49" t="n"/>
      <c r="B675" s="49" t="n"/>
      <c r="C675" s="49" t="n"/>
      <c r="D675" s="49" t="n"/>
      <c r="E675" s="49" t="n"/>
      <c r="F675" s="49" t="n"/>
    </row>
    <row r="676" ht="15.75" customHeight="1" s="57">
      <c r="A676" s="49" t="n"/>
      <c r="B676" s="49" t="n"/>
      <c r="C676" s="49" t="n"/>
      <c r="D676" s="49" t="n"/>
      <c r="E676" s="49" t="n"/>
      <c r="F676" s="49" t="n"/>
    </row>
    <row r="677" ht="15.75" customHeight="1" s="57">
      <c r="A677" s="49" t="n"/>
      <c r="B677" s="49" t="n"/>
      <c r="C677" s="49" t="n"/>
      <c r="D677" s="49" t="n"/>
      <c r="E677" s="49" t="n"/>
      <c r="F677" s="49" t="n"/>
    </row>
    <row r="678" ht="15.75" customHeight="1" s="57">
      <c r="A678" s="49" t="n"/>
      <c r="B678" s="49" t="n"/>
      <c r="C678" s="49" t="n"/>
      <c r="D678" s="49" t="n"/>
      <c r="E678" s="49" t="n"/>
      <c r="F678" s="49" t="n"/>
    </row>
    <row r="679" ht="15.75" customHeight="1" s="57">
      <c r="A679" s="49" t="n"/>
      <c r="B679" s="49" t="n"/>
      <c r="C679" s="49" t="n"/>
      <c r="D679" s="49" t="n"/>
      <c r="E679" s="49" t="n"/>
      <c r="F679" s="49" t="n"/>
    </row>
    <row r="680" ht="15.75" customHeight="1" s="57">
      <c r="A680" s="49" t="n"/>
      <c r="B680" s="49" t="n"/>
      <c r="C680" s="49" t="n"/>
      <c r="D680" s="49" t="n"/>
      <c r="E680" s="49" t="n"/>
      <c r="F680" s="49" t="n"/>
    </row>
    <row r="681" ht="15.75" customHeight="1" s="57">
      <c r="A681" s="49" t="n"/>
      <c r="B681" s="49" t="n"/>
      <c r="C681" s="49" t="n"/>
      <c r="D681" s="49" t="n"/>
      <c r="E681" s="49" t="n"/>
      <c r="F681" s="49" t="n"/>
    </row>
    <row r="682" ht="15.75" customHeight="1" s="57">
      <c r="A682" s="49" t="n"/>
      <c r="B682" s="49" t="n"/>
      <c r="C682" s="49" t="n"/>
      <c r="D682" s="49" t="n"/>
      <c r="E682" s="49" t="n"/>
      <c r="F682" s="49" t="n"/>
    </row>
    <row r="683" ht="15.75" customHeight="1" s="57">
      <c r="A683" s="49" t="n"/>
      <c r="B683" s="49" t="n"/>
      <c r="C683" s="49" t="n"/>
      <c r="D683" s="49" t="n"/>
      <c r="E683" s="49" t="n"/>
      <c r="F683" s="49" t="n"/>
    </row>
    <row r="684" ht="15.75" customHeight="1" s="57">
      <c r="A684" s="49" t="n"/>
      <c r="B684" s="49" t="n"/>
      <c r="C684" s="49" t="n"/>
      <c r="D684" s="49" t="n"/>
      <c r="E684" s="49" t="n"/>
      <c r="F684" s="49" t="n"/>
    </row>
    <row r="685" ht="15.75" customHeight="1" s="57">
      <c r="A685" s="49" t="n"/>
      <c r="B685" s="49" t="n"/>
      <c r="C685" s="49" t="n"/>
      <c r="D685" s="49" t="n"/>
      <c r="E685" s="49" t="n"/>
      <c r="F685" s="49" t="n"/>
    </row>
    <row r="686" ht="15.75" customHeight="1" s="57">
      <c r="A686" s="49" t="n"/>
      <c r="B686" s="49" t="n"/>
      <c r="C686" s="49" t="n"/>
      <c r="D686" s="49" t="n"/>
      <c r="E686" s="49" t="n"/>
      <c r="F686" s="49" t="n"/>
    </row>
    <row r="687" ht="15.75" customHeight="1" s="57">
      <c r="A687" s="49" t="n"/>
      <c r="B687" s="49" t="n"/>
      <c r="C687" s="49" t="n"/>
      <c r="D687" s="49" t="n"/>
      <c r="E687" s="49" t="n"/>
      <c r="F687" s="49" t="n"/>
    </row>
    <row r="688" ht="15.75" customHeight="1" s="57">
      <c r="A688" s="49" t="n"/>
      <c r="B688" s="49" t="n"/>
      <c r="C688" s="49" t="n"/>
      <c r="D688" s="49" t="n"/>
      <c r="E688" s="49" t="n"/>
      <c r="F688" s="49" t="n"/>
    </row>
    <row r="689" ht="15.75" customHeight="1" s="57">
      <c r="A689" s="49" t="n"/>
      <c r="B689" s="49" t="n"/>
      <c r="C689" s="49" t="n"/>
      <c r="D689" s="49" t="n"/>
      <c r="E689" s="49" t="n"/>
      <c r="F689" s="49" t="n"/>
    </row>
    <row r="690" ht="15.75" customHeight="1" s="57">
      <c r="A690" s="49" t="n"/>
      <c r="B690" s="49" t="n"/>
      <c r="C690" s="49" t="n"/>
      <c r="D690" s="49" t="n"/>
      <c r="E690" s="49" t="n"/>
      <c r="F690" s="49" t="n"/>
    </row>
    <row r="691" ht="15.75" customHeight="1" s="57">
      <c r="A691" s="49" t="n"/>
      <c r="B691" s="49" t="n"/>
      <c r="C691" s="49" t="n"/>
      <c r="D691" s="49" t="n"/>
      <c r="E691" s="49" t="n"/>
      <c r="F691" s="49" t="n"/>
    </row>
    <row r="692" ht="15.75" customHeight="1" s="57">
      <c r="A692" s="49" t="n"/>
      <c r="B692" s="49" t="n"/>
      <c r="C692" s="49" t="n"/>
      <c r="D692" s="49" t="n"/>
      <c r="E692" s="49" t="n"/>
      <c r="F692" s="49" t="n"/>
    </row>
    <row r="693" ht="15.75" customHeight="1" s="57">
      <c r="A693" s="49" t="n"/>
      <c r="B693" s="49" t="n"/>
      <c r="C693" s="49" t="n"/>
      <c r="D693" s="49" t="n"/>
      <c r="E693" s="49" t="n"/>
      <c r="F693" s="49" t="n"/>
    </row>
    <row r="694" ht="15.75" customHeight="1" s="57">
      <c r="A694" s="49" t="n"/>
      <c r="B694" s="49" t="n"/>
      <c r="C694" s="49" t="n"/>
      <c r="D694" s="49" t="n"/>
      <c r="E694" s="49" t="n"/>
      <c r="F694" s="49" t="n"/>
    </row>
    <row r="695" ht="15.75" customHeight="1" s="57">
      <c r="A695" s="49" t="n"/>
      <c r="B695" s="49" t="n"/>
      <c r="C695" s="49" t="n"/>
      <c r="D695" s="49" t="n"/>
      <c r="E695" s="49" t="n"/>
      <c r="F695" s="49" t="n"/>
    </row>
    <row r="696" ht="15.75" customHeight="1" s="57">
      <c r="A696" s="49" t="n"/>
      <c r="B696" s="49" t="n"/>
      <c r="C696" s="49" t="n"/>
      <c r="D696" s="49" t="n"/>
      <c r="E696" s="49" t="n"/>
      <c r="F696" s="49" t="n"/>
    </row>
    <row r="697" ht="15.75" customHeight="1" s="57">
      <c r="A697" s="49" t="n"/>
      <c r="B697" s="49" t="n"/>
      <c r="C697" s="49" t="n"/>
      <c r="D697" s="49" t="n"/>
      <c r="E697" s="49" t="n"/>
      <c r="F697" s="49" t="n"/>
    </row>
    <row r="698" ht="15.75" customHeight="1" s="57">
      <c r="A698" s="49" t="n"/>
      <c r="B698" s="49" t="n"/>
      <c r="C698" s="49" t="n"/>
      <c r="D698" s="49" t="n"/>
      <c r="E698" s="49" t="n"/>
      <c r="F698" s="49" t="n"/>
    </row>
    <row r="699" ht="15.75" customHeight="1" s="57">
      <c r="A699" s="49" t="n"/>
      <c r="B699" s="49" t="n"/>
      <c r="C699" s="49" t="n"/>
      <c r="D699" s="49" t="n"/>
      <c r="E699" s="49" t="n"/>
      <c r="F699" s="49" t="n"/>
    </row>
    <row r="700" ht="15.75" customHeight="1" s="57">
      <c r="A700" s="49" t="n"/>
      <c r="B700" s="49" t="n"/>
      <c r="C700" s="49" t="n"/>
      <c r="D700" s="49" t="n"/>
      <c r="E700" s="49" t="n"/>
      <c r="F700" s="49" t="n"/>
    </row>
    <row r="701" ht="15.75" customHeight="1" s="57">
      <c r="A701" s="49" t="n"/>
      <c r="B701" s="49" t="n"/>
      <c r="C701" s="49" t="n"/>
      <c r="D701" s="49" t="n"/>
      <c r="E701" s="49" t="n"/>
      <c r="F701" s="49" t="n"/>
    </row>
    <row r="702" ht="15.75" customHeight="1" s="57">
      <c r="A702" s="49" t="n"/>
      <c r="B702" s="49" t="n"/>
      <c r="C702" s="49" t="n"/>
      <c r="D702" s="49" t="n"/>
      <c r="E702" s="49" t="n"/>
      <c r="F702" s="49" t="n"/>
    </row>
    <row r="703" ht="15.75" customHeight="1" s="57">
      <c r="A703" s="49" t="n"/>
      <c r="B703" s="49" t="n"/>
      <c r="C703" s="49" t="n"/>
      <c r="D703" s="49" t="n"/>
      <c r="E703" s="49" t="n"/>
      <c r="F703" s="49" t="n"/>
    </row>
    <row r="704" ht="15.75" customHeight="1" s="57">
      <c r="A704" s="49" t="n"/>
      <c r="B704" s="49" t="n"/>
      <c r="C704" s="49" t="n"/>
      <c r="D704" s="49" t="n"/>
      <c r="E704" s="49" t="n"/>
      <c r="F704" s="49" t="n"/>
    </row>
    <row r="705" ht="15.75" customHeight="1" s="57">
      <c r="A705" s="49" t="n"/>
      <c r="B705" s="49" t="n"/>
      <c r="C705" s="49" t="n"/>
      <c r="D705" s="49" t="n"/>
      <c r="E705" s="49" t="n"/>
      <c r="F705" s="49" t="n"/>
    </row>
    <row r="706" ht="15.75" customHeight="1" s="57">
      <c r="A706" s="49" t="n"/>
      <c r="B706" s="49" t="n"/>
      <c r="C706" s="49" t="n"/>
      <c r="D706" s="49" t="n"/>
      <c r="E706" s="49" t="n"/>
      <c r="F706" s="49" t="n"/>
    </row>
    <row r="707" ht="15.75" customHeight="1" s="57">
      <c r="A707" s="49" t="n"/>
      <c r="B707" s="49" t="n"/>
      <c r="C707" s="49" t="n"/>
      <c r="D707" s="49" t="n"/>
      <c r="E707" s="49" t="n"/>
      <c r="F707" s="49" t="n"/>
    </row>
    <row r="708" ht="15.75" customHeight="1" s="57">
      <c r="A708" s="49" t="n"/>
      <c r="B708" s="49" t="n"/>
      <c r="C708" s="49" t="n"/>
      <c r="D708" s="49" t="n"/>
      <c r="E708" s="49" t="n"/>
      <c r="F708" s="49" t="n"/>
    </row>
    <row r="709" ht="15.75" customHeight="1" s="57">
      <c r="A709" s="49" t="n"/>
      <c r="B709" s="49" t="n"/>
      <c r="C709" s="49" t="n"/>
      <c r="D709" s="49" t="n"/>
      <c r="E709" s="49" t="n"/>
      <c r="F709" s="49" t="n"/>
    </row>
    <row r="710" ht="15.75" customHeight="1" s="57">
      <c r="A710" s="49" t="n"/>
      <c r="B710" s="49" t="n"/>
      <c r="C710" s="49" t="n"/>
      <c r="D710" s="49" t="n"/>
      <c r="E710" s="49" t="n"/>
      <c r="F710" s="49" t="n"/>
    </row>
    <row r="711" ht="15.75" customHeight="1" s="57">
      <c r="A711" s="49" t="n"/>
      <c r="B711" s="49" t="n"/>
      <c r="C711" s="49" t="n"/>
      <c r="D711" s="49" t="n"/>
      <c r="E711" s="49" t="n"/>
      <c r="F711" s="49" t="n"/>
    </row>
    <row r="712" ht="15.75" customHeight="1" s="57">
      <c r="A712" s="49" t="n"/>
      <c r="B712" s="49" t="n"/>
      <c r="C712" s="49" t="n"/>
      <c r="D712" s="49" t="n"/>
      <c r="E712" s="49" t="n"/>
      <c r="F712" s="49" t="n"/>
    </row>
    <row r="713" ht="15.75" customHeight="1" s="57">
      <c r="A713" s="49" t="n"/>
      <c r="B713" s="49" t="n"/>
      <c r="C713" s="49" t="n"/>
      <c r="D713" s="49" t="n"/>
      <c r="E713" s="49" t="n"/>
      <c r="F713" s="49" t="n"/>
    </row>
    <row r="714" ht="15.75" customHeight="1" s="57">
      <c r="A714" s="49" t="n"/>
      <c r="B714" s="49" t="n"/>
      <c r="C714" s="49" t="n"/>
      <c r="D714" s="49" t="n"/>
      <c r="E714" s="49" t="n"/>
      <c r="F714" s="49" t="n"/>
    </row>
    <row r="715" ht="15.75" customHeight="1" s="57">
      <c r="A715" s="49" t="n"/>
      <c r="B715" s="49" t="n"/>
      <c r="C715" s="49" t="n"/>
      <c r="D715" s="49" t="n"/>
      <c r="E715" s="49" t="n"/>
      <c r="F715" s="49" t="n"/>
    </row>
    <row r="716" ht="15.75" customHeight="1" s="57">
      <c r="A716" s="49" t="n"/>
      <c r="B716" s="49" t="n"/>
      <c r="C716" s="49" t="n"/>
      <c r="D716" s="49" t="n"/>
      <c r="E716" s="49" t="n"/>
      <c r="F716" s="49" t="n"/>
    </row>
    <row r="717" ht="15.75" customHeight="1" s="57">
      <c r="A717" s="49" t="n"/>
      <c r="B717" s="49" t="n"/>
      <c r="C717" s="49" t="n"/>
      <c r="D717" s="49" t="n"/>
      <c r="E717" s="49" t="n"/>
      <c r="F717" s="49" t="n"/>
    </row>
    <row r="718" ht="15.75" customHeight="1" s="57">
      <c r="A718" s="49" t="n"/>
      <c r="B718" s="49" t="n"/>
      <c r="C718" s="49" t="n"/>
      <c r="D718" s="49" t="n"/>
      <c r="E718" s="49" t="n"/>
      <c r="F718" s="49" t="n"/>
    </row>
    <row r="719" ht="15.75" customHeight="1" s="57">
      <c r="A719" s="49" t="n"/>
      <c r="B719" s="49" t="n"/>
      <c r="C719" s="49" t="n"/>
      <c r="D719" s="49" t="n"/>
      <c r="E719" s="49" t="n"/>
      <c r="F719" s="49" t="n"/>
    </row>
    <row r="720" ht="15.75" customHeight="1" s="57">
      <c r="A720" s="49" t="n"/>
      <c r="B720" s="49" t="n"/>
      <c r="C720" s="49" t="n"/>
      <c r="D720" s="49" t="n"/>
      <c r="E720" s="49" t="n"/>
      <c r="F720" s="49" t="n"/>
    </row>
    <row r="721" ht="15.75" customHeight="1" s="57">
      <c r="A721" s="49" t="n"/>
      <c r="B721" s="49" t="n"/>
      <c r="C721" s="49" t="n"/>
      <c r="D721" s="49" t="n"/>
      <c r="E721" s="49" t="n"/>
      <c r="F721" s="49" t="n"/>
    </row>
    <row r="722" ht="15.75" customHeight="1" s="57">
      <c r="A722" s="49" t="n"/>
      <c r="B722" s="49" t="n"/>
      <c r="C722" s="49" t="n"/>
      <c r="D722" s="49" t="n"/>
      <c r="E722" s="49" t="n"/>
      <c r="F722" s="49" t="n"/>
    </row>
    <row r="723" ht="15.75" customHeight="1" s="57">
      <c r="A723" s="49" t="n"/>
      <c r="B723" s="49" t="n"/>
      <c r="C723" s="49" t="n"/>
      <c r="D723" s="49" t="n"/>
      <c r="E723" s="49" t="n"/>
      <c r="F723" s="49" t="n"/>
    </row>
    <row r="724" ht="15.75" customHeight="1" s="57">
      <c r="A724" s="49" t="n"/>
      <c r="B724" s="49" t="n"/>
      <c r="C724" s="49" t="n"/>
      <c r="D724" s="49" t="n"/>
      <c r="E724" s="49" t="n"/>
      <c r="F724" s="49" t="n"/>
    </row>
    <row r="725" ht="15.75" customHeight="1" s="57">
      <c r="A725" s="49" t="n"/>
      <c r="B725" s="49" t="n"/>
      <c r="C725" s="49" t="n"/>
      <c r="D725" s="49" t="n"/>
      <c r="E725" s="49" t="n"/>
      <c r="F725" s="49" t="n"/>
    </row>
    <row r="726" ht="15.75" customHeight="1" s="57">
      <c r="A726" s="49" t="n"/>
      <c r="B726" s="49" t="n"/>
      <c r="C726" s="49" t="n"/>
      <c r="D726" s="49" t="n"/>
      <c r="E726" s="49" t="n"/>
      <c r="F726" s="49" t="n"/>
    </row>
    <row r="727" ht="15.75" customHeight="1" s="57">
      <c r="A727" s="49" t="n"/>
      <c r="B727" s="49" t="n"/>
      <c r="C727" s="49" t="n"/>
      <c r="D727" s="49" t="n"/>
      <c r="E727" s="49" t="n"/>
      <c r="F727" s="49" t="n"/>
    </row>
    <row r="728" ht="15.75" customHeight="1" s="57">
      <c r="A728" s="49" t="n"/>
      <c r="B728" s="49" t="n"/>
      <c r="C728" s="49" t="n"/>
      <c r="D728" s="49" t="n"/>
      <c r="E728" s="49" t="n"/>
      <c r="F728" s="49" t="n"/>
    </row>
    <row r="729" ht="15.75" customHeight="1" s="57">
      <c r="A729" s="49" t="n"/>
      <c r="B729" s="49" t="n"/>
      <c r="C729" s="49" t="n"/>
      <c r="D729" s="49" t="n"/>
      <c r="E729" s="49" t="n"/>
      <c r="F729" s="49" t="n"/>
    </row>
    <row r="730" ht="15.75" customHeight="1" s="57">
      <c r="A730" s="49" t="n"/>
      <c r="B730" s="49" t="n"/>
      <c r="C730" s="49" t="n"/>
      <c r="D730" s="49" t="n"/>
      <c r="E730" s="49" t="n"/>
      <c r="F730" s="49" t="n"/>
    </row>
    <row r="731" ht="15.75" customHeight="1" s="57">
      <c r="A731" s="49" t="n"/>
      <c r="B731" s="49" t="n"/>
      <c r="C731" s="49" t="n"/>
      <c r="D731" s="49" t="n"/>
      <c r="E731" s="49" t="n"/>
      <c r="F731" s="49" t="n"/>
    </row>
    <row r="732" ht="15.75" customHeight="1" s="57">
      <c r="A732" s="49" t="n"/>
      <c r="B732" s="49" t="n"/>
      <c r="C732" s="49" t="n"/>
      <c r="D732" s="49" t="n"/>
      <c r="E732" s="49" t="n"/>
      <c r="F732" s="49" t="n"/>
    </row>
    <row r="733" ht="15.75" customHeight="1" s="57">
      <c r="A733" s="49" t="n"/>
      <c r="B733" s="49" t="n"/>
      <c r="C733" s="49" t="n"/>
      <c r="D733" s="49" t="n"/>
      <c r="E733" s="49" t="n"/>
      <c r="F733" s="49" t="n"/>
    </row>
    <row r="734" ht="15.75" customHeight="1" s="57">
      <c r="A734" s="49" t="n"/>
      <c r="B734" s="49" t="n"/>
      <c r="C734" s="49" t="n"/>
      <c r="D734" s="49" t="n"/>
      <c r="E734" s="49" t="n"/>
      <c r="F734" s="49" t="n"/>
    </row>
    <row r="735" ht="15.75" customHeight="1" s="57">
      <c r="A735" s="49" t="n"/>
      <c r="B735" s="49" t="n"/>
      <c r="C735" s="49" t="n"/>
      <c r="D735" s="49" t="n"/>
      <c r="E735" s="49" t="n"/>
      <c r="F735" s="49" t="n"/>
    </row>
    <row r="736" ht="15.75" customHeight="1" s="57">
      <c r="A736" s="49" t="n"/>
      <c r="B736" s="49" t="n"/>
      <c r="C736" s="49" t="n"/>
      <c r="D736" s="49" t="n"/>
      <c r="E736" s="49" t="n"/>
      <c r="F736" s="49" t="n"/>
    </row>
    <row r="737" ht="15.75" customHeight="1" s="57">
      <c r="A737" s="49" t="n"/>
      <c r="B737" s="49" t="n"/>
      <c r="C737" s="49" t="n"/>
      <c r="D737" s="49" t="n"/>
      <c r="E737" s="49" t="n"/>
      <c r="F737" s="49" t="n"/>
    </row>
    <row r="738" ht="15.75" customHeight="1" s="57">
      <c r="A738" s="49" t="n"/>
      <c r="B738" s="49" t="n"/>
      <c r="C738" s="49" t="n"/>
      <c r="D738" s="49" t="n"/>
      <c r="E738" s="49" t="n"/>
      <c r="F738" s="49" t="n"/>
    </row>
    <row r="739" ht="15.75" customHeight="1" s="57">
      <c r="A739" s="49" t="n"/>
      <c r="B739" s="49" t="n"/>
      <c r="C739" s="49" t="n"/>
      <c r="D739" s="49" t="n"/>
      <c r="E739" s="49" t="n"/>
      <c r="F739" s="49" t="n"/>
    </row>
    <row r="740" ht="15.75" customHeight="1" s="57">
      <c r="A740" s="49" t="n"/>
      <c r="B740" s="49" t="n"/>
      <c r="C740" s="49" t="n"/>
      <c r="D740" s="49" t="n"/>
      <c r="E740" s="49" t="n"/>
      <c r="F740" s="49" t="n"/>
    </row>
    <row r="741" ht="15.75" customHeight="1" s="57">
      <c r="A741" s="49" t="n"/>
      <c r="B741" s="49" t="n"/>
      <c r="C741" s="49" t="n"/>
      <c r="D741" s="49" t="n"/>
      <c r="E741" s="49" t="n"/>
      <c r="F741" s="49" t="n"/>
    </row>
    <row r="742" ht="15.75" customHeight="1" s="57">
      <c r="A742" s="49" t="n"/>
      <c r="B742" s="49" t="n"/>
      <c r="C742" s="49" t="n"/>
      <c r="D742" s="49" t="n"/>
      <c r="E742" s="49" t="n"/>
      <c r="F742" s="49" t="n"/>
    </row>
    <row r="743" ht="15.75" customHeight="1" s="57">
      <c r="A743" s="49" t="n"/>
      <c r="B743" s="49" t="n"/>
      <c r="C743" s="49" t="n"/>
      <c r="D743" s="49" t="n"/>
      <c r="E743" s="49" t="n"/>
      <c r="F743" s="49" t="n"/>
    </row>
    <row r="744" ht="15.75" customHeight="1" s="57">
      <c r="A744" s="49" t="n"/>
      <c r="B744" s="49" t="n"/>
      <c r="C744" s="49" t="n"/>
      <c r="D744" s="49" t="n"/>
      <c r="E744" s="49" t="n"/>
      <c r="F744" s="49" t="n"/>
    </row>
    <row r="745" ht="15.75" customHeight="1" s="57">
      <c r="A745" s="49" t="n"/>
      <c r="B745" s="49" t="n"/>
      <c r="C745" s="49" t="n"/>
      <c r="D745" s="49" t="n"/>
      <c r="E745" s="49" t="n"/>
      <c r="F745" s="49" t="n"/>
    </row>
    <row r="746" ht="15.75" customHeight="1" s="57">
      <c r="A746" s="49" t="n"/>
      <c r="B746" s="49" t="n"/>
      <c r="C746" s="49" t="n"/>
      <c r="D746" s="49" t="n"/>
      <c r="E746" s="49" t="n"/>
      <c r="F746" s="49" t="n"/>
    </row>
    <row r="747" ht="15.75" customHeight="1" s="57">
      <c r="A747" s="49" t="n"/>
      <c r="B747" s="49" t="n"/>
      <c r="C747" s="49" t="n"/>
      <c r="D747" s="49" t="n"/>
      <c r="E747" s="49" t="n"/>
      <c r="F747" s="49" t="n"/>
    </row>
    <row r="748" ht="15.75" customHeight="1" s="57">
      <c r="A748" s="49" t="n"/>
      <c r="B748" s="49" t="n"/>
      <c r="C748" s="49" t="n"/>
      <c r="D748" s="49" t="n"/>
      <c r="E748" s="49" t="n"/>
      <c r="F748" s="49" t="n"/>
    </row>
    <row r="749" ht="15.75" customHeight="1" s="57">
      <c r="A749" s="49" t="n"/>
      <c r="B749" s="49" t="n"/>
      <c r="C749" s="49" t="n"/>
      <c r="D749" s="49" t="n"/>
      <c r="E749" s="49" t="n"/>
      <c r="F749" s="49" t="n"/>
    </row>
    <row r="750" ht="15.75" customHeight="1" s="57">
      <c r="A750" s="49" t="n"/>
      <c r="B750" s="49" t="n"/>
      <c r="C750" s="49" t="n"/>
      <c r="D750" s="49" t="n"/>
      <c r="E750" s="49" t="n"/>
      <c r="F750" s="49" t="n"/>
    </row>
    <row r="751" ht="15.75" customHeight="1" s="57">
      <c r="A751" s="49" t="n"/>
      <c r="B751" s="49" t="n"/>
      <c r="C751" s="49" t="n"/>
      <c r="D751" s="49" t="n"/>
      <c r="E751" s="49" t="n"/>
      <c r="F751" s="49" t="n"/>
    </row>
    <row r="752" ht="15.75" customHeight="1" s="57">
      <c r="A752" s="49" t="n"/>
      <c r="B752" s="49" t="n"/>
      <c r="C752" s="49" t="n"/>
      <c r="D752" s="49" t="n"/>
      <c r="E752" s="49" t="n"/>
      <c r="F752" s="49" t="n"/>
    </row>
    <row r="753" ht="15.75" customHeight="1" s="57">
      <c r="A753" s="49" t="n"/>
      <c r="B753" s="49" t="n"/>
      <c r="C753" s="49" t="n"/>
      <c r="D753" s="49" t="n"/>
      <c r="E753" s="49" t="n"/>
      <c r="F753" s="49" t="n"/>
    </row>
    <row r="754" ht="15.75" customHeight="1" s="57">
      <c r="A754" s="49" t="n"/>
      <c r="B754" s="49" t="n"/>
      <c r="C754" s="49" t="n"/>
      <c r="D754" s="49" t="n"/>
      <c r="E754" s="49" t="n"/>
      <c r="F754" s="49" t="n"/>
    </row>
    <row r="755" ht="15.75" customHeight="1" s="57">
      <c r="A755" s="49" t="n"/>
      <c r="B755" s="49" t="n"/>
      <c r="C755" s="49" t="n"/>
      <c r="D755" s="49" t="n"/>
      <c r="E755" s="49" t="n"/>
      <c r="F755" s="49" t="n"/>
    </row>
    <row r="756" ht="15.75" customHeight="1" s="57">
      <c r="A756" s="49" t="n"/>
      <c r="B756" s="49" t="n"/>
      <c r="C756" s="49" t="n"/>
      <c r="D756" s="49" t="n"/>
      <c r="E756" s="49" t="n"/>
      <c r="F756" s="49" t="n"/>
    </row>
    <row r="757" ht="15.75" customHeight="1" s="57">
      <c r="A757" s="49" t="n"/>
      <c r="B757" s="49" t="n"/>
      <c r="C757" s="49" t="n"/>
      <c r="D757" s="49" t="n"/>
      <c r="E757" s="49" t="n"/>
      <c r="F757" s="49" t="n"/>
    </row>
    <row r="758" ht="15.75" customHeight="1" s="57">
      <c r="A758" s="49" t="n"/>
      <c r="B758" s="49" t="n"/>
      <c r="C758" s="49" t="n"/>
      <c r="D758" s="49" t="n"/>
      <c r="E758" s="49" t="n"/>
      <c r="F758" s="49" t="n"/>
    </row>
    <row r="759" ht="15.75" customHeight="1" s="57">
      <c r="A759" s="49" t="n"/>
      <c r="B759" s="49" t="n"/>
      <c r="C759" s="49" t="n"/>
      <c r="D759" s="49" t="n"/>
      <c r="E759" s="49" t="n"/>
      <c r="F759" s="49" t="n"/>
    </row>
    <row r="760" ht="15.75" customHeight="1" s="57">
      <c r="A760" s="49" t="n"/>
      <c r="B760" s="49" t="n"/>
      <c r="C760" s="49" t="n"/>
      <c r="D760" s="49" t="n"/>
      <c r="E760" s="49" t="n"/>
      <c r="F760" s="49" t="n"/>
    </row>
    <row r="761" ht="15.75" customHeight="1" s="57">
      <c r="A761" s="49" t="n"/>
      <c r="B761" s="49" t="n"/>
      <c r="C761" s="49" t="n"/>
      <c r="D761" s="49" t="n"/>
      <c r="E761" s="49" t="n"/>
      <c r="F761" s="49" t="n"/>
    </row>
    <row r="762" ht="15.75" customHeight="1" s="57">
      <c r="A762" s="49" t="n"/>
      <c r="B762" s="49" t="n"/>
      <c r="C762" s="49" t="n"/>
      <c r="D762" s="49" t="n"/>
      <c r="E762" s="49" t="n"/>
      <c r="F762" s="49" t="n"/>
    </row>
    <row r="763" ht="15.75" customHeight="1" s="57">
      <c r="A763" s="49" t="n"/>
      <c r="B763" s="49" t="n"/>
      <c r="C763" s="49" t="n"/>
      <c r="D763" s="49" t="n"/>
      <c r="E763" s="49" t="n"/>
      <c r="F763" s="49" t="n"/>
    </row>
    <row r="764" ht="15.75" customHeight="1" s="57">
      <c r="A764" s="49" t="n"/>
      <c r="B764" s="49" t="n"/>
      <c r="C764" s="49" t="n"/>
      <c r="D764" s="49" t="n"/>
      <c r="E764" s="49" t="n"/>
      <c r="F764" s="49" t="n"/>
    </row>
    <row r="765" ht="15.75" customHeight="1" s="57">
      <c r="A765" s="49" t="n"/>
      <c r="B765" s="49" t="n"/>
      <c r="C765" s="49" t="n"/>
      <c r="D765" s="49" t="n"/>
      <c r="E765" s="49" t="n"/>
      <c r="F765" s="49" t="n"/>
    </row>
    <row r="766" ht="15.75" customHeight="1" s="57">
      <c r="A766" s="49" t="n"/>
      <c r="B766" s="49" t="n"/>
      <c r="C766" s="49" t="n"/>
      <c r="D766" s="49" t="n"/>
      <c r="E766" s="49" t="n"/>
      <c r="F766" s="49" t="n"/>
    </row>
    <row r="767" ht="15.75" customHeight="1" s="57">
      <c r="A767" s="49" t="n"/>
      <c r="B767" s="49" t="n"/>
      <c r="C767" s="49" t="n"/>
      <c r="D767" s="49" t="n"/>
      <c r="E767" s="49" t="n"/>
      <c r="F767" s="49" t="n"/>
    </row>
    <row r="768" ht="15.75" customHeight="1" s="57">
      <c r="A768" s="49" t="n"/>
      <c r="B768" s="49" t="n"/>
      <c r="C768" s="49" t="n"/>
      <c r="D768" s="49" t="n"/>
      <c r="E768" s="49" t="n"/>
      <c r="F768" s="49" t="n"/>
    </row>
    <row r="769" ht="15.75" customHeight="1" s="57">
      <c r="A769" s="49" t="n"/>
      <c r="B769" s="49" t="n"/>
      <c r="C769" s="49" t="n"/>
      <c r="D769" s="49" t="n"/>
      <c r="E769" s="49" t="n"/>
      <c r="F769" s="49" t="n"/>
    </row>
    <row r="770" ht="15.75" customHeight="1" s="57">
      <c r="A770" s="49" t="n"/>
      <c r="B770" s="49" t="n"/>
      <c r="C770" s="49" t="n"/>
      <c r="D770" s="49" t="n"/>
      <c r="E770" s="49" t="n"/>
      <c r="F770" s="49" t="n"/>
    </row>
    <row r="771" ht="15.75" customHeight="1" s="57">
      <c r="A771" s="49" t="n"/>
      <c r="B771" s="49" t="n"/>
      <c r="C771" s="49" t="n"/>
      <c r="D771" s="49" t="n"/>
      <c r="E771" s="49" t="n"/>
      <c r="F771" s="49" t="n"/>
    </row>
    <row r="772" ht="15.75" customHeight="1" s="57">
      <c r="A772" s="49" t="n"/>
      <c r="B772" s="49" t="n"/>
      <c r="C772" s="49" t="n"/>
      <c r="D772" s="49" t="n"/>
      <c r="E772" s="49" t="n"/>
      <c r="F772" s="49" t="n"/>
    </row>
    <row r="773" ht="15.75" customHeight="1" s="57">
      <c r="A773" s="49" t="n"/>
      <c r="B773" s="49" t="n"/>
      <c r="C773" s="49" t="n"/>
      <c r="D773" s="49" t="n"/>
      <c r="E773" s="49" t="n"/>
      <c r="F773" s="49" t="n"/>
    </row>
    <row r="774" ht="15.75" customHeight="1" s="57">
      <c r="A774" s="49" t="n"/>
      <c r="B774" s="49" t="n"/>
      <c r="C774" s="49" t="n"/>
      <c r="D774" s="49" t="n"/>
      <c r="E774" s="49" t="n"/>
      <c r="F774" s="49" t="n"/>
    </row>
    <row r="775" ht="15.75" customHeight="1" s="57">
      <c r="A775" s="49" t="n"/>
      <c r="B775" s="49" t="n"/>
      <c r="C775" s="49" t="n"/>
      <c r="D775" s="49" t="n"/>
      <c r="E775" s="49" t="n"/>
      <c r="F775" s="49" t="n"/>
    </row>
    <row r="776" ht="15.75" customHeight="1" s="57">
      <c r="A776" s="49" t="n"/>
      <c r="B776" s="49" t="n"/>
      <c r="C776" s="49" t="n"/>
      <c r="D776" s="49" t="n"/>
      <c r="E776" s="49" t="n"/>
      <c r="F776" s="49" t="n"/>
    </row>
    <row r="777" ht="15.75" customHeight="1" s="57">
      <c r="A777" s="49" t="n"/>
      <c r="B777" s="49" t="n"/>
      <c r="C777" s="49" t="n"/>
      <c r="D777" s="49" t="n"/>
      <c r="E777" s="49" t="n"/>
      <c r="F777" s="49" t="n"/>
    </row>
    <row r="778" ht="15.75" customHeight="1" s="57">
      <c r="A778" s="49" t="n"/>
      <c r="B778" s="49" t="n"/>
      <c r="C778" s="49" t="n"/>
      <c r="D778" s="49" t="n"/>
      <c r="E778" s="49" t="n"/>
      <c r="F778" s="49" t="n"/>
    </row>
    <row r="779" ht="15.75" customHeight="1" s="57">
      <c r="A779" s="49" t="n"/>
      <c r="B779" s="49" t="n"/>
      <c r="C779" s="49" t="n"/>
      <c r="D779" s="49" t="n"/>
      <c r="E779" s="49" t="n"/>
      <c r="F779" s="49" t="n"/>
    </row>
    <row r="780" ht="15.75" customHeight="1" s="57">
      <c r="A780" s="49" t="n"/>
      <c r="B780" s="49" t="n"/>
      <c r="C780" s="49" t="n"/>
      <c r="D780" s="49" t="n"/>
      <c r="E780" s="49" t="n"/>
      <c r="F780" s="49" t="n"/>
    </row>
    <row r="781" ht="15.75" customHeight="1" s="57">
      <c r="A781" s="49" t="n"/>
      <c r="B781" s="49" t="n"/>
      <c r="C781" s="49" t="n"/>
      <c r="D781" s="49" t="n"/>
      <c r="E781" s="49" t="n"/>
      <c r="F781" s="49" t="n"/>
    </row>
    <row r="782" ht="15.75" customHeight="1" s="57">
      <c r="A782" s="49" t="n"/>
      <c r="B782" s="49" t="n"/>
      <c r="C782" s="49" t="n"/>
      <c r="D782" s="49" t="n"/>
      <c r="E782" s="49" t="n"/>
      <c r="F782" s="49" t="n"/>
    </row>
    <row r="783" ht="15.75" customHeight="1" s="57">
      <c r="A783" s="49" t="n"/>
      <c r="B783" s="49" t="n"/>
      <c r="C783" s="49" t="n"/>
      <c r="D783" s="49" t="n"/>
      <c r="E783" s="49" t="n"/>
      <c r="F783" s="49" t="n"/>
    </row>
    <row r="784" ht="15.75" customHeight="1" s="57">
      <c r="A784" s="49" t="n"/>
      <c r="B784" s="49" t="n"/>
      <c r="C784" s="49" t="n"/>
      <c r="D784" s="49" t="n"/>
      <c r="E784" s="49" t="n"/>
      <c r="F784" s="49" t="n"/>
    </row>
    <row r="785" ht="15.75" customHeight="1" s="57">
      <c r="A785" s="49" t="n"/>
      <c r="B785" s="49" t="n"/>
      <c r="C785" s="49" t="n"/>
      <c r="D785" s="49" t="n"/>
      <c r="E785" s="49" t="n"/>
      <c r="F785" s="49" t="n"/>
    </row>
    <row r="786" ht="15.75" customHeight="1" s="57">
      <c r="A786" s="49" t="n"/>
      <c r="B786" s="49" t="n"/>
      <c r="C786" s="49" t="n"/>
      <c r="D786" s="49" t="n"/>
      <c r="E786" s="49" t="n"/>
      <c r="F786" s="49" t="n"/>
    </row>
    <row r="787" ht="15.75" customHeight="1" s="57">
      <c r="A787" s="49" t="n"/>
      <c r="B787" s="49" t="n"/>
      <c r="C787" s="49" t="n"/>
      <c r="D787" s="49" t="n"/>
      <c r="E787" s="49" t="n"/>
      <c r="F787" s="49" t="n"/>
    </row>
    <row r="788" ht="15.75" customHeight="1" s="57">
      <c r="A788" s="49" t="n"/>
      <c r="B788" s="49" t="n"/>
      <c r="C788" s="49" t="n"/>
      <c r="D788" s="49" t="n"/>
      <c r="E788" s="49" t="n"/>
      <c r="F788" s="49" t="n"/>
    </row>
    <row r="789" ht="15.75" customHeight="1" s="57">
      <c r="A789" s="49" t="n"/>
      <c r="B789" s="49" t="n"/>
      <c r="C789" s="49" t="n"/>
      <c r="D789" s="49" t="n"/>
      <c r="E789" s="49" t="n"/>
      <c r="F789" s="49" t="n"/>
    </row>
    <row r="790" ht="15.75" customHeight="1" s="57">
      <c r="A790" s="49" t="n"/>
      <c r="B790" s="49" t="n"/>
      <c r="C790" s="49" t="n"/>
      <c r="D790" s="49" t="n"/>
      <c r="E790" s="49" t="n"/>
      <c r="F790" s="49" t="n"/>
    </row>
    <row r="791" ht="15.75" customHeight="1" s="57">
      <c r="A791" s="49" t="n"/>
      <c r="B791" s="49" t="n"/>
      <c r="C791" s="49" t="n"/>
      <c r="D791" s="49" t="n"/>
      <c r="E791" s="49" t="n"/>
      <c r="F791" s="49" t="n"/>
    </row>
    <row r="792" ht="15.75" customHeight="1" s="57">
      <c r="A792" s="49" t="n"/>
      <c r="B792" s="49" t="n"/>
      <c r="C792" s="49" t="n"/>
      <c r="D792" s="49" t="n"/>
      <c r="E792" s="49" t="n"/>
      <c r="F792" s="49" t="n"/>
    </row>
    <row r="793" ht="15.75" customHeight="1" s="57">
      <c r="A793" s="49" t="n"/>
      <c r="B793" s="49" t="n"/>
      <c r="C793" s="49" t="n"/>
      <c r="D793" s="49" t="n"/>
      <c r="E793" s="49" t="n"/>
      <c r="F793" s="49" t="n"/>
    </row>
    <row r="794" ht="15.75" customHeight="1" s="57">
      <c r="A794" s="49" t="n"/>
      <c r="B794" s="49" t="n"/>
      <c r="C794" s="49" t="n"/>
      <c r="D794" s="49" t="n"/>
      <c r="E794" s="49" t="n"/>
      <c r="F794" s="49" t="n"/>
    </row>
    <row r="795" ht="15.75" customHeight="1" s="57">
      <c r="A795" s="49" t="n"/>
      <c r="B795" s="49" t="n"/>
      <c r="C795" s="49" t="n"/>
      <c r="D795" s="49" t="n"/>
      <c r="E795" s="49" t="n"/>
      <c r="F795" s="49" t="n"/>
    </row>
    <row r="796" ht="15.75" customHeight="1" s="57">
      <c r="A796" s="49" t="n"/>
      <c r="B796" s="49" t="n"/>
      <c r="C796" s="49" t="n"/>
      <c r="D796" s="49" t="n"/>
      <c r="E796" s="49" t="n"/>
      <c r="F796" s="49" t="n"/>
    </row>
    <row r="797" ht="15.75" customHeight="1" s="57">
      <c r="A797" s="49" t="n"/>
      <c r="B797" s="49" t="n"/>
      <c r="C797" s="49" t="n"/>
      <c r="D797" s="49" t="n"/>
      <c r="E797" s="49" t="n"/>
      <c r="F797" s="49" t="n"/>
    </row>
    <row r="798" ht="15.75" customHeight="1" s="57">
      <c r="A798" s="49" t="n"/>
      <c r="B798" s="49" t="n"/>
      <c r="C798" s="49" t="n"/>
      <c r="D798" s="49" t="n"/>
      <c r="E798" s="49" t="n"/>
      <c r="F798" s="49" t="n"/>
    </row>
    <row r="799" ht="15.75" customHeight="1" s="57">
      <c r="A799" s="49" t="n"/>
      <c r="B799" s="49" t="n"/>
      <c r="C799" s="49" t="n"/>
      <c r="D799" s="49" t="n"/>
      <c r="E799" s="49" t="n"/>
      <c r="F799" s="49" t="n"/>
    </row>
    <row r="800" ht="15.75" customHeight="1" s="57">
      <c r="A800" s="49" t="n"/>
      <c r="B800" s="49" t="n"/>
      <c r="C800" s="49" t="n"/>
      <c r="D800" s="49" t="n"/>
      <c r="E800" s="49" t="n"/>
      <c r="F800" s="49" t="n"/>
    </row>
    <row r="801" ht="15.75" customHeight="1" s="57">
      <c r="A801" s="49" t="n"/>
      <c r="B801" s="49" t="n"/>
      <c r="C801" s="49" t="n"/>
      <c r="D801" s="49" t="n"/>
      <c r="E801" s="49" t="n"/>
      <c r="F801" s="49" t="n"/>
    </row>
    <row r="802" ht="15.75" customHeight="1" s="57">
      <c r="A802" s="49" t="n"/>
      <c r="B802" s="49" t="n"/>
      <c r="C802" s="49" t="n"/>
      <c r="D802" s="49" t="n"/>
      <c r="E802" s="49" t="n"/>
      <c r="F802" s="49" t="n"/>
    </row>
    <row r="803" ht="15.75" customHeight="1" s="57">
      <c r="A803" s="49" t="n"/>
      <c r="B803" s="49" t="n"/>
      <c r="C803" s="49" t="n"/>
      <c r="D803" s="49" t="n"/>
      <c r="E803" s="49" t="n"/>
      <c r="F803" s="49" t="n"/>
    </row>
    <row r="804" ht="15.75" customHeight="1" s="57">
      <c r="A804" s="49" t="n"/>
      <c r="B804" s="49" t="n"/>
      <c r="C804" s="49" t="n"/>
      <c r="D804" s="49" t="n"/>
      <c r="E804" s="49" t="n"/>
      <c r="F804" s="49" t="n"/>
    </row>
    <row r="805" ht="15.75" customHeight="1" s="57">
      <c r="A805" s="49" t="n"/>
      <c r="B805" s="49" t="n"/>
      <c r="C805" s="49" t="n"/>
      <c r="D805" s="49" t="n"/>
      <c r="E805" s="49" t="n"/>
      <c r="F805" s="49" t="n"/>
    </row>
    <row r="806" ht="15.75" customHeight="1" s="57">
      <c r="A806" s="49" t="n"/>
      <c r="B806" s="49" t="n"/>
      <c r="C806" s="49" t="n"/>
      <c r="D806" s="49" t="n"/>
      <c r="E806" s="49" t="n"/>
      <c r="F806" s="49" t="n"/>
    </row>
    <row r="807" ht="15.75" customHeight="1" s="57">
      <c r="A807" s="49" t="n"/>
      <c r="B807" s="49" t="n"/>
      <c r="C807" s="49" t="n"/>
      <c r="D807" s="49" t="n"/>
      <c r="E807" s="49" t="n"/>
      <c r="F807" s="49" t="n"/>
    </row>
    <row r="808" ht="15.75" customHeight="1" s="57">
      <c r="A808" s="49" t="n"/>
      <c r="B808" s="49" t="n"/>
      <c r="C808" s="49" t="n"/>
      <c r="D808" s="49" t="n"/>
      <c r="E808" s="49" t="n"/>
      <c r="F808" s="49" t="n"/>
    </row>
    <row r="809" ht="15.75" customHeight="1" s="57">
      <c r="A809" s="49" t="n"/>
      <c r="B809" s="49" t="n"/>
      <c r="C809" s="49" t="n"/>
      <c r="D809" s="49" t="n"/>
      <c r="E809" s="49" t="n"/>
      <c r="F809" s="49" t="n"/>
    </row>
    <row r="810" ht="15.75" customHeight="1" s="57">
      <c r="A810" s="49" t="n"/>
      <c r="B810" s="49" t="n"/>
      <c r="C810" s="49" t="n"/>
      <c r="D810" s="49" t="n"/>
      <c r="E810" s="49" t="n"/>
      <c r="F810" s="49" t="n"/>
    </row>
    <row r="811" ht="15.75" customHeight="1" s="57">
      <c r="A811" s="49" t="n"/>
      <c r="B811" s="49" t="n"/>
      <c r="C811" s="49" t="n"/>
      <c r="D811" s="49" t="n"/>
      <c r="E811" s="49" t="n"/>
      <c r="F811" s="49" t="n"/>
    </row>
    <row r="812" ht="15.75" customHeight="1" s="57">
      <c r="A812" s="49" t="n"/>
      <c r="B812" s="49" t="n"/>
      <c r="C812" s="49" t="n"/>
      <c r="D812" s="49" t="n"/>
      <c r="E812" s="49" t="n"/>
      <c r="F812" s="49" t="n"/>
    </row>
    <row r="813" ht="15.75" customHeight="1" s="57">
      <c r="A813" s="49" t="n"/>
      <c r="B813" s="49" t="n"/>
      <c r="C813" s="49" t="n"/>
      <c r="D813" s="49" t="n"/>
      <c r="E813" s="49" t="n"/>
      <c r="F813" s="49" t="n"/>
    </row>
    <row r="814" ht="15.75" customHeight="1" s="57">
      <c r="A814" s="49" t="n"/>
      <c r="B814" s="49" t="n"/>
      <c r="C814" s="49" t="n"/>
      <c r="D814" s="49" t="n"/>
      <c r="E814" s="49" t="n"/>
      <c r="F814" s="49" t="n"/>
    </row>
    <row r="815" ht="15.75" customHeight="1" s="57">
      <c r="A815" s="49" t="n"/>
      <c r="B815" s="49" t="n"/>
      <c r="C815" s="49" t="n"/>
      <c r="D815" s="49" t="n"/>
      <c r="E815" s="49" t="n"/>
      <c r="F815" s="49" t="n"/>
    </row>
    <row r="816" ht="15.75" customHeight="1" s="57">
      <c r="A816" s="49" t="n"/>
      <c r="B816" s="49" t="n"/>
      <c r="C816" s="49" t="n"/>
      <c r="D816" s="49" t="n"/>
      <c r="E816" s="49" t="n"/>
      <c r="F816" s="49" t="n"/>
    </row>
    <row r="817" ht="15.75" customHeight="1" s="57">
      <c r="A817" s="49" t="n"/>
      <c r="B817" s="49" t="n"/>
      <c r="C817" s="49" t="n"/>
      <c r="D817" s="49" t="n"/>
      <c r="E817" s="49" t="n"/>
      <c r="F817" s="49" t="n"/>
    </row>
    <row r="818" ht="15.75" customHeight="1" s="57">
      <c r="A818" s="49" t="n"/>
      <c r="B818" s="49" t="n"/>
      <c r="C818" s="49" t="n"/>
      <c r="D818" s="49" t="n"/>
      <c r="E818" s="49" t="n"/>
      <c r="F818" s="49" t="n"/>
    </row>
    <row r="819" ht="15.75" customHeight="1" s="57">
      <c r="A819" s="49" t="n"/>
      <c r="B819" s="49" t="n"/>
      <c r="C819" s="49" t="n"/>
      <c r="D819" s="49" t="n"/>
      <c r="E819" s="49" t="n"/>
      <c r="F819" s="49" t="n"/>
    </row>
    <row r="820" ht="15.75" customHeight="1" s="57">
      <c r="A820" s="49" t="n"/>
      <c r="B820" s="49" t="n"/>
      <c r="C820" s="49" t="n"/>
      <c r="D820" s="49" t="n"/>
      <c r="E820" s="49" t="n"/>
      <c r="F820" s="49" t="n"/>
    </row>
    <row r="821" ht="15.75" customHeight="1" s="57">
      <c r="A821" s="49" t="n"/>
      <c r="B821" s="49" t="n"/>
      <c r="C821" s="49" t="n"/>
      <c r="D821" s="49" t="n"/>
      <c r="E821" s="49" t="n"/>
      <c r="F821" s="49" t="n"/>
    </row>
    <row r="822" ht="15.75" customHeight="1" s="57">
      <c r="A822" s="49" t="n"/>
      <c r="B822" s="49" t="n"/>
      <c r="C822" s="49" t="n"/>
      <c r="D822" s="49" t="n"/>
      <c r="E822" s="49" t="n"/>
      <c r="F822" s="49" t="n"/>
    </row>
    <row r="823" ht="15.75" customHeight="1" s="57">
      <c r="A823" s="49" t="n"/>
      <c r="B823" s="49" t="n"/>
      <c r="C823" s="49" t="n"/>
      <c r="D823" s="49" t="n"/>
      <c r="E823" s="49" t="n"/>
      <c r="F823" s="49" t="n"/>
    </row>
    <row r="824" ht="15.75" customHeight="1" s="57">
      <c r="A824" s="49" t="n"/>
      <c r="B824" s="49" t="n"/>
      <c r="C824" s="49" t="n"/>
      <c r="D824" s="49" t="n"/>
      <c r="E824" s="49" t="n"/>
      <c r="F824" s="49" t="n"/>
    </row>
    <row r="825" ht="15.75" customHeight="1" s="57">
      <c r="A825" s="49" t="n"/>
      <c r="B825" s="49" t="n"/>
      <c r="C825" s="49" t="n"/>
      <c r="D825" s="49" t="n"/>
      <c r="E825" s="49" t="n"/>
      <c r="F825" s="49" t="n"/>
    </row>
    <row r="826" ht="15.75" customHeight="1" s="57">
      <c r="A826" s="49" t="n"/>
      <c r="B826" s="49" t="n"/>
      <c r="C826" s="49" t="n"/>
      <c r="D826" s="49" t="n"/>
      <c r="E826" s="49" t="n"/>
      <c r="F826" s="49" t="n"/>
    </row>
    <row r="827" ht="15.75" customHeight="1" s="57">
      <c r="A827" s="49" t="n"/>
      <c r="B827" s="49" t="n"/>
      <c r="C827" s="49" t="n"/>
      <c r="D827" s="49" t="n"/>
      <c r="E827" s="49" t="n"/>
      <c r="F827" s="49" t="n"/>
    </row>
    <row r="828" ht="15.75" customHeight="1" s="57">
      <c r="A828" s="49" t="n"/>
      <c r="B828" s="49" t="n"/>
      <c r="C828" s="49" t="n"/>
      <c r="D828" s="49" t="n"/>
      <c r="E828" s="49" t="n"/>
      <c r="F828" s="49" t="n"/>
    </row>
    <row r="829" ht="15.75" customHeight="1" s="57">
      <c r="A829" s="49" t="n"/>
      <c r="B829" s="49" t="n"/>
      <c r="C829" s="49" t="n"/>
      <c r="D829" s="49" t="n"/>
      <c r="E829" s="49" t="n"/>
      <c r="F829" s="49" t="n"/>
    </row>
    <row r="830" ht="15.75" customHeight="1" s="57">
      <c r="A830" s="49" t="n"/>
      <c r="B830" s="49" t="n"/>
      <c r="C830" s="49" t="n"/>
      <c r="D830" s="49" t="n"/>
      <c r="E830" s="49" t="n"/>
      <c r="F830" s="49" t="n"/>
    </row>
    <row r="831" ht="15.75" customHeight="1" s="57">
      <c r="A831" s="49" t="n"/>
      <c r="B831" s="49" t="n"/>
      <c r="C831" s="49" t="n"/>
      <c r="D831" s="49" t="n"/>
      <c r="E831" s="49" t="n"/>
      <c r="F831" s="49" t="n"/>
    </row>
    <row r="832" ht="15.75" customHeight="1" s="57">
      <c r="A832" s="49" t="n"/>
      <c r="B832" s="49" t="n"/>
      <c r="C832" s="49" t="n"/>
      <c r="D832" s="49" t="n"/>
      <c r="E832" s="49" t="n"/>
      <c r="F832" s="49" t="n"/>
    </row>
    <row r="833" ht="15.75" customHeight="1" s="57">
      <c r="A833" s="49" t="n"/>
      <c r="B833" s="49" t="n"/>
      <c r="C833" s="49" t="n"/>
      <c r="D833" s="49" t="n"/>
      <c r="E833" s="49" t="n"/>
      <c r="F833" s="49" t="n"/>
    </row>
    <row r="834" ht="15.75" customHeight="1" s="57">
      <c r="A834" s="49" t="n"/>
      <c r="B834" s="49" t="n"/>
      <c r="C834" s="49" t="n"/>
      <c r="D834" s="49" t="n"/>
      <c r="E834" s="49" t="n"/>
      <c r="F834" s="49" t="n"/>
    </row>
    <row r="835" ht="15.75" customHeight="1" s="57">
      <c r="A835" s="49" t="n"/>
      <c r="B835" s="49" t="n"/>
      <c r="C835" s="49" t="n"/>
      <c r="D835" s="49" t="n"/>
      <c r="E835" s="49" t="n"/>
      <c r="F835" s="49" t="n"/>
    </row>
    <row r="836" ht="15.75" customHeight="1" s="57">
      <c r="A836" s="49" t="n"/>
      <c r="B836" s="49" t="n"/>
      <c r="C836" s="49" t="n"/>
      <c r="D836" s="49" t="n"/>
      <c r="E836" s="49" t="n"/>
      <c r="F836" s="49" t="n"/>
    </row>
    <row r="837" ht="15.75" customHeight="1" s="57">
      <c r="A837" s="49" t="n"/>
      <c r="B837" s="49" t="n"/>
      <c r="C837" s="49" t="n"/>
      <c r="D837" s="49" t="n"/>
      <c r="E837" s="49" t="n"/>
      <c r="F837" s="49" t="n"/>
    </row>
    <row r="838" ht="15.75" customHeight="1" s="57">
      <c r="A838" s="49" t="n"/>
      <c r="B838" s="49" t="n"/>
      <c r="C838" s="49" t="n"/>
      <c r="D838" s="49" t="n"/>
      <c r="E838" s="49" t="n"/>
      <c r="F838" s="49" t="n"/>
    </row>
    <row r="839" ht="15.75" customHeight="1" s="57">
      <c r="A839" s="49" t="n"/>
      <c r="B839" s="49" t="n"/>
      <c r="C839" s="49" t="n"/>
      <c r="D839" s="49" t="n"/>
      <c r="E839" s="49" t="n"/>
      <c r="F839" s="49" t="n"/>
    </row>
    <row r="840" ht="15.75" customHeight="1" s="57">
      <c r="A840" s="49" t="n"/>
      <c r="B840" s="49" t="n"/>
      <c r="C840" s="49" t="n"/>
      <c r="D840" s="49" t="n"/>
      <c r="E840" s="49" t="n"/>
      <c r="F840" s="49" t="n"/>
    </row>
    <row r="841" ht="15.75" customHeight="1" s="57">
      <c r="A841" s="49" t="n"/>
      <c r="B841" s="49" t="n"/>
      <c r="C841" s="49" t="n"/>
      <c r="D841" s="49" t="n"/>
      <c r="E841" s="49" t="n"/>
      <c r="F841" s="49" t="n"/>
    </row>
    <row r="842" ht="15.75" customHeight="1" s="57">
      <c r="A842" s="49" t="n"/>
      <c r="B842" s="49" t="n"/>
      <c r="C842" s="49" t="n"/>
      <c r="D842" s="49" t="n"/>
      <c r="E842" s="49" t="n"/>
      <c r="F842" s="49" t="n"/>
    </row>
    <row r="843" ht="15.75" customHeight="1" s="57">
      <c r="A843" s="49" t="n"/>
      <c r="B843" s="49" t="n"/>
      <c r="C843" s="49" t="n"/>
      <c r="D843" s="49" t="n"/>
      <c r="E843" s="49" t="n"/>
      <c r="F843" s="49" t="n"/>
    </row>
    <row r="844" ht="15.75" customHeight="1" s="57">
      <c r="A844" s="49" t="n"/>
      <c r="B844" s="49" t="n"/>
      <c r="C844" s="49" t="n"/>
      <c r="D844" s="49" t="n"/>
      <c r="E844" s="49" t="n"/>
      <c r="F844" s="49" t="n"/>
    </row>
    <row r="845" ht="15.75" customHeight="1" s="57">
      <c r="A845" s="49" t="n"/>
      <c r="B845" s="49" t="n"/>
      <c r="C845" s="49" t="n"/>
      <c r="D845" s="49" t="n"/>
      <c r="E845" s="49" t="n"/>
      <c r="F845" s="49" t="n"/>
    </row>
    <row r="846" ht="15.75" customHeight="1" s="57">
      <c r="A846" s="49" t="n"/>
      <c r="B846" s="49" t="n"/>
      <c r="C846" s="49" t="n"/>
      <c r="D846" s="49" t="n"/>
      <c r="E846" s="49" t="n"/>
      <c r="F846" s="49" t="n"/>
    </row>
    <row r="847" ht="15.75" customHeight="1" s="57">
      <c r="A847" s="49" t="n"/>
      <c r="B847" s="49" t="n"/>
      <c r="C847" s="49" t="n"/>
      <c r="D847" s="49" t="n"/>
      <c r="E847" s="49" t="n"/>
      <c r="F847" s="49" t="n"/>
    </row>
    <row r="848" ht="15.75" customHeight="1" s="57">
      <c r="A848" s="49" t="n"/>
      <c r="B848" s="49" t="n"/>
      <c r="C848" s="49" t="n"/>
      <c r="D848" s="49" t="n"/>
      <c r="E848" s="49" t="n"/>
      <c r="F848" s="49" t="n"/>
    </row>
    <row r="849" ht="15.75" customHeight="1" s="57">
      <c r="A849" s="49" t="n"/>
      <c r="B849" s="49" t="n"/>
      <c r="C849" s="49" t="n"/>
      <c r="D849" s="49" t="n"/>
      <c r="E849" s="49" t="n"/>
      <c r="F849" s="49" t="n"/>
    </row>
    <row r="850" ht="15.75" customHeight="1" s="57">
      <c r="A850" s="49" t="n"/>
      <c r="B850" s="49" t="n"/>
      <c r="C850" s="49" t="n"/>
      <c r="D850" s="49" t="n"/>
      <c r="E850" s="49" t="n"/>
      <c r="F850" s="49" t="n"/>
    </row>
    <row r="851" ht="15.75" customHeight="1" s="57">
      <c r="A851" s="49" t="n"/>
      <c r="B851" s="49" t="n"/>
      <c r="C851" s="49" t="n"/>
      <c r="D851" s="49" t="n"/>
      <c r="E851" s="49" t="n"/>
      <c r="F851" s="49" t="n"/>
    </row>
    <row r="852" ht="15.75" customHeight="1" s="57">
      <c r="A852" s="49" t="n"/>
      <c r="B852" s="49" t="n"/>
      <c r="C852" s="49" t="n"/>
      <c r="D852" s="49" t="n"/>
      <c r="E852" s="49" t="n"/>
      <c r="F852" s="49" t="n"/>
    </row>
    <row r="853" ht="15.75" customHeight="1" s="57">
      <c r="A853" s="49" t="n"/>
      <c r="B853" s="49" t="n"/>
      <c r="C853" s="49" t="n"/>
      <c r="D853" s="49" t="n"/>
      <c r="E853" s="49" t="n"/>
      <c r="F853" s="49" t="n"/>
    </row>
    <row r="854" ht="15.75" customHeight="1" s="57">
      <c r="A854" s="49" t="n"/>
      <c r="B854" s="49" t="n"/>
      <c r="C854" s="49" t="n"/>
      <c r="D854" s="49" t="n"/>
      <c r="E854" s="49" t="n"/>
      <c r="F854" s="49" t="n"/>
    </row>
    <row r="855" ht="15.75" customHeight="1" s="57">
      <c r="A855" s="49" t="n"/>
      <c r="B855" s="49" t="n"/>
      <c r="C855" s="49" t="n"/>
      <c r="D855" s="49" t="n"/>
      <c r="E855" s="49" t="n"/>
      <c r="F855" s="49" t="n"/>
    </row>
    <row r="856" ht="15.75" customHeight="1" s="57">
      <c r="A856" s="49" t="n"/>
      <c r="B856" s="49" t="n"/>
      <c r="C856" s="49" t="n"/>
      <c r="D856" s="49" t="n"/>
      <c r="E856" s="49" t="n"/>
      <c r="F856" s="49" t="n"/>
    </row>
    <row r="857" ht="15.75" customHeight="1" s="57">
      <c r="A857" s="49" t="n"/>
      <c r="B857" s="49" t="n"/>
      <c r="C857" s="49" t="n"/>
      <c r="D857" s="49" t="n"/>
      <c r="E857" s="49" t="n"/>
      <c r="F857" s="49" t="n"/>
    </row>
    <row r="858" ht="15.75" customHeight="1" s="57">
      <c r="A858" s="49" t="n"/>
      <c r="B858" s="49" t="n"/>
      <c r="C858" s="49" t="n"/>
      <c r="D858" s="49" t="n"/>
      <c r="E858" s="49" t="n"/>
      <c r="F858" s="49" t="n"/>
    </row>
    <row r="859" ht="15.75" customHeight="1" s="57">
      <c r="A859" s="49" t="n"/>
      <c r="B859" s="49" t="n"/>
      <c r="C859" s="49" t="n"/>
      <c r="D859" s="49" t="n"/>
      <c r="E859" s="49" t="n"/>
      <c r="F859" s="49" t="n"/>
    </row>
    <row r="860" ht="15.75" customHeight="1" s="57">
      <c r="A860" s="49" t="n"/>
      <c r="B860" s="49" t="n"/>
      <c r="C860" s="49" t="n"/>
      <c r="D860" s="49" t="n"/>
      <c r="E860" s="49" t="n"/>
      <c r="F860" s="49" t="n"/>
    </row>
    <row r="861" ht="15.75" customHeight="1" s="57">
      <c r="A861" s="49" t="n"/>
      <c r="B861" s="49" t="n"/>
      <c r="C861" s="49" t="n"/>
      <c r="D861" s="49" t="n"/>
      <c r="E861" s="49" t="n"/>
      <c r="F861" s="49" t="n"/>
    </row>
    <row r="862" ht="15.75" customHeight="1" s="57">
      <c r="A862" s="49" t="n"/>
      <c r="B862" s="49" t="n"/>
      <c r="C862" s="49" t="n"/>
      <c r="D862" s="49" t="n"/>
      <c r="E862" s="49" t="n"/>
      <c r="F862" s="49" t="n"/>
    </row>
    <row r="863" ht="15.75" customHeight="1" s="57">
      <c r="A863" s="49" t="n"/>
      <c r="B863" s="49" t="n"/>
      <c r="C863" s="49" t="n"/>
      <c r="D863" s="49" t="n"/>
      <c r="E863" s="49" t="n"/>
      <c r="F863" s="49" t="n"/>
    </row>
    <row r="864" ht="15.75" customHeight="1" s="57">
      <c r="A864" s="49" t="n"/>
      <c r="B864" s="49" t="n"/>
      <c r="C864" s="49" t="n"/>
      <c r="D864" s="49" t="n"/>
      <c r="E864" s="49" t="n"/>
      <c r="F864" s="49" t="n"/>
    </row>
    <row r="865" ht="15.75" customHeight="1" s="57">
      <c r="A865" s="49" t="n"/>
      <c r="B865" s="49" t="n"/>
      <c r="C865" s="49" t="n"/>
      <c r="D865" s="49" t="n"/>
      <c r="E865" s="49" t="n"/>
      <c r="F865" s="49" t="n"/>
    </row>
    <row r="866" ht="15.75" customHeight="1" s="57">
      <c r="A866" s="49" t="n"/>
      <c r="B866" s="49" t="n"/>
      <c r="C866" s="49" t="n"/>
      <c r="D866" s="49" t="n"/>
      <c r="E866" s="49" t="n"/>
      <c r="F866" s="49" t="n"/>
    </row>
    <row r="867" ht="15.75" customHeight="1" s="57">
      <c r="A867" s="49" t="n"/>
      <c r="B867" s="49" t="n"/>
      <c r="C867" s="49" t="n"/>
      <c r="D867" s="49" t="n"/>
      <c r="E867" s="49" t="n"/>
      <c r="F867" s="49" t="n"/>
    </row>
    <row r="868" ht="15.75" customHeight="1" s="57">
      <c r="A868" s="49" t="n"/>
      <c r="B868" s="49" t="n"/>
      <c r="C868" s="49" t="n"/>
      <c r="D868" s="49" t="n"/>
      <c r="E868" s="49" t="n"/>
      <c r="F868" s="49" t="n"/>
    </row>
    <row r="869" ht="15.75" customHeight="1" s="57">
      <c r="A869" s="49" t="n"/>
      <c r="B869" s="49" t="n"/>
      <c r="C869" s="49" t="n"/>
      <c r="D869" s="49" t="n"/>
      <c r="E869" s="49" t="n"/>
      <c r="F869" s="49" t="n"/>
    </row>
    <row r="870" ht="15.75" customHeight="1" s="57">
      <c r="A870" s="49" t="n"/>
      <c r="B870" s="49" t="n"/>
      <c r="C870" s="49" t="n"/>
      <c r="D870" s="49" t="n"/>
      <c r="E870" s="49" t="n"/>
      <c r="F870" s="49" t="n"/>
    </row>
    <row r="871" ht="15.75" customHeight="1" s="57">
      <c r="A871" s="49" t="n"/>
      <c r="B871" s="49" t="n"/>
      <c r="C871" s="49" t="n"/>
      <c r="D871" s="49" t="n"/>
      <c r="E871" s="49" t="n"/>
      <c r="F871" s="49" t="n"/>
    </row>
    <row r="872" ht="15.75" customHeight="1" s="57">
      <c r="A872" s="49" t="n"/>
      <c r="B872" s="49" t="n"/>
      <c r="C872" s="49" t="n"/>
      <c r="D872" s="49" t="n"/>
      <c r="E872" s="49" t="n"/>
      <c r="F872" s="49" t="n"/>
    </row>
    <row r="873" ht="15.75" customHeight="1" s="57">
      <c r="A873" s="49" t="n"/>
      <c r="B873" s="49" t="n"/>
      <c r="C873" s="49" t="n"/>
      <c r="D873" s="49" t="n"/>
      <c r="E873" s="49" t="n"/>
      <c r="F873" s="49" t="n"/>
    </row>
    <row r="874" ht="15.75" customHeight="1" s="57">
      <c r="A874" s="49" t="n"/>
      <c r="B874" s="49" t="n"/>
      <c r="C874" s="49" t="n"/>
      <c r="D874" s="49" t="n"/>
      <c r="E874" s="49" t="n"/>
      <c r="F874" s="49" t="n"/>
    </row>
    <row r="875" ht="15.75" customHeight="1" s="57">
      <c r="A875" s="49" t="n"/>
      <c r="B875" s="49" t="n"/>
      <c r="C875" s="49" t="n"/>
      <c r="D875" s="49" t="n"/>
      <c r="E875" s="49" t="n"/>
      <c r="F875" s="49" t="n"/>
    </row>
    <row r="876" ht="15.75" customHeight="1" s="57">
      <c r="A876" s="49" t="n"/>
      <c r="B876" s="49" t="n"/>
      <c r="C876" s="49" t="n"/>
      <c r="D876" s="49" t="n"/>
      <c r="E876" s="49" t="n"/>
      <c r="F876" s="49" t="n"/>
    </row>
    <row r="877" ht="15.75" customHeight="1" s="57">
      <c r="A877" s="49" t="n"/>
      <c r="B877" s="49" t="n"/>
      <c r="C877" s="49" t="n"/>
      <c r="D877" s="49" t="n"/>
      <c r="E877" s="49" t="n"/>
      <c r="F877" s="49" t="n"/>
    </row>
    <row r="878" ht="15.75" customHeight="1" s="57">
      <c r="A878" s="49" t="n"/>
      <c r="B878" s="49" t="n"/>
      <c r="C878" s="49" t="n"/>
      <c r="D878" s="49" t="n"/>
      <c r="E878" s="49" t="n"/>
      <c r="F878" s="49" t="n"/>
    </row>
    <row r="879" ht="15.75" customHeight="1" s="57">
      <c r="A879" s="49" t="n"/>
      <c r="B879" s="49" t="n"/>
      <c r="C879" s="49" t="n"/>
      <c r="D879" s="49" t="n"/>
      <c r="E879" s="49" t="n"/>
      <c r="F879" s="49" t="n"/>
    </row>
    <row r="880" ht="15.75" customHeight="1" s="57">
      <c r="A880" s="49" t="n"/>
      <c r="B880" s="49" t="n"/>
      <c r="C880" s="49" t="n"/>
      <c r="D880" s="49" t="n"/>
      <c r="E880" s="49" t="n"/>
      <c r="F880" s="49" t="n"/>
    </row>
    <row r="881" ht="15.75" customHeight="1" s="57">
      <c r="A881" s="49" t="n"/>
      <c r="B881" s="49" t="n"/>
      <c r="C881" s="49" t="n"/>
      <c r="D881" s="49" t="n"/>
      <c r="E881" s="49" t="n"/>
      <c r="F881" s="49" t="n"/>
    </row>
    <row r="882" ht="15.75" customHeight="1" s="57">
      <c r="A882" s="49" t="n"/>
      <c r="B882" s="49" t="n"/>
      <c r="C882" s="49" t="n"/>
      <c r="D882" s="49" t="n"/>
      <c r="E882" s="49" t="n"/>
      <c r="F882" s="49" t="n"/>
    </row>
    <row r="883" ht="15.75" customHeight="1" s="57">
      <c r="A883" s="49" t="n"/>
      <c r="B883" s="49" t="n"/>
      <c r="C883" s="49" t="n"/>
      <c r="D883" s="49" t="n"/>
      <c r="E883" s="49" t="n"/>
      <c r="F883" s="49" t="n"/>
    </row>
    <row r="884" ht="15.75" customHeight="1" s="57">
      <c r="A884" s="49" t="n"/>
      <c r="B884" s="49" t="n"/>
      <c r="C884" s="49" t="n"/>
      <c r="D884" s="49" t="n"/>
      <c r="E884" s="49" t="n"/>
      <c r="F884" s="49" t="n"/>
    </row>
    <row r="885" ht="15.75" customHeight="1" s="57">
      <c r="A885" s="49" t="n"/>
      <c r="B885" s="49" t="n"/>
      <c r="C885" s="49" t="n"/>
      <c r="D885" s="49" t="n"/>
      <c r="E885" s="49" t="n"/>
      <c r="F885" s="49" t="n"/>
    </row>
    <row r="886" ht="15.75" customHeight="1" s="57">
      <c r="A886" s="49" t="n"/>
      <c r="B886" s="49" t="n"/>
      <c r="C886" s="49" t="n"/>
      <c r="D886" s="49" t="n"/>
      <c r="E886" s="49" t="n"/>
      <c r="F886" s="49" t="n"/>
    </row>
    <row r="887" ht="15.75" customHeight="1" s="57">
      <c r="A887" s="49" t="n"/>
      <c r="B887" s="49" t="n"/>
      <c r="C887" s="49" t="n"/>
      <c r="D887" s="49" t="n"/>
      <c r="E887" s="49" t="n"/>
      <c r="F887" s="49" t="n"/>
    </row>
    <row r="888" ht="15.75" customHeight="1" s="57">
      <c r="A888" s="49" t="n"/>
      <c r="B888" s="49" t="n"/>
      <c r="C888" s="49" t="n"/>
      <c r="D888" s="49" t="n"/>
      <c r="E888" s="49" t="n"/>
      <c r="F888" s="49" t="n"/>
    </row>
    <row r="889" ht="15.75" customHeight="1" s="57">
      <c r="A889" s="49" t="n"/>
      <c r="B889" s="49" t="n"/>
      <c r="C889" s="49" t="n"/>
      <c r="D889" s="49" t="n"/>
      <c r="E889" s="49" t="n"/>
      <c r="F889" s="49" t="n"/>
    </row>
    <row r="890" ht="15.75" customHeight="1" s="57">
      <c r="A890" s="49" t="n"/>
      <c r="B890" s="49" t="n"/>
      <c r="C890" s="49" t="n"/>
      <c r="D890" s="49" t="n"/>
      <c r="E890" s="49" t="n"/>
      <c r="F890" s="49" t="n"/>
    </row>
    <row r="891" ht="15.75" customHeight="1" s="57">
      <c r="A891" s="49" t="n"/>
      <c r="B891" s="49" t="n"/>
      <c r="C891" s="49" t="n"/>
      <c r="D891" s="49" t="n"/>
      <c r="E891" s="49" t="n"/>
      <c r="F891" s="49" t="n"/>
    </row>
    <row r="892" ht="15.75" customHeight="1" s="57">
      <c r="A892" s="49" t="n"/>
      <c r="B892" s="49" t="n"/>
      <c r="C892" s="49" t="n"/>
      <c r="D892" s="49" t="n"/>
      <c r="E892" s="49" t="n"/>
      <c r="F892" s="49" t="n"/>
    </row>
    <row r="893" ht="15.75" customHeight="1" s="57">
      <c r="A893" s="49" t="n"/>
      <c r="B893" s="49" t="n"/>
      <c r="C893" s="49" t="n"/>
      <c r="D893" s="49" t="n"/>
      <c r="E893" s="49" t="n"/>
      <c r="F893" s="49" t="n"/>
    </row>
    <row r="894" ht="15.75" customHeight="1" s="57">
      <c r="A894" s="49" t="n"/>
      <c r="B894" s="49" t="n"/>
      <c r="C894" s="49" t="n"/>
      <c r="D894" s="49" t="n"/>
      <c r="E894" s="49" t="n"/>
      <c r="F894" s="49" t="n"/>
    </row>
    <row r="895" ht="15.75" customHeight="1" s="57">
      <c r="A895" s="49" t="n"/>
      <c r="B895" s="49" t="n"/>
      <c r="C895" s="49" t="n"/>
      <c r="D895" s="49" t="n"/>
      <c r="E895" s="49" t="n"/>
      <c r="F895" s="49" t="n"/>
    </row>
    <row r="896" ht="15.75" customHeight="1" s="57">
      <c r="A896" s="49" t="n"/>
      <c r="B896" s="49" t="n"/>
      <c r="C896" s="49" t="n"/>
      <c r="D896" s="49" t="n"/>
      <c r="E896" s="49" t="n"/>
      <c r="F896" s="49" t="n"/>
    </row>
    <row r="897" ht="15.75" customHeight="1" s="57">
      <c r="A897" s="49" t="n"/>
      <c r="B897" s="49" t="n"/>
      <c r="C897" s="49" t="n"/>
      <c r="D897" s="49" t="n"/>
      <c r="E897" s="49" t="n"/>
      <c r="F897" s="49" t="n"/>
    </row>
    <row r="898" ht="15.75" customHeight="1" s="57">
      <c r="A898" s="49" t="n"/>
      <c r="B898" s="49" t="n"/>
      <c r="C898" s="49" t="n"/>
      <c r="D898" s="49" t="n"/>
      <c r="E898" s="49" t="n"/>
      <c r="F898" s="49" t="n"/>
    </row>
    <row r="899" ht="15.75" customHeight="1" s="57">
      <c r="A899" s="49" t="n"/>
      <c r="B899" s="49" t="n"/>
      <c r="C899" s="49" t="n"/>
      <c r="D899" s="49" t="n"/>
      <c r="E899" s="49" t="n"/>
      <c r="F899" s="49" t="n"/>
    </row>
    <row r="900" ht="15.75" customHeight="1" s="57">
      <c r="A900" s="49" t="n"/>
      <c r="B900" s="49" t="n"/>
      <c r="C900" s="49" t="n"/>
      <c r="D900" s="49" t="n"/>
      <c r="E900" s="49" t="n"/>
      <c r="F900" s="49" t="n"/>
    </row>
    <row r="901" ht="15.75" customHeight="1" s="57">
      <c r="A901" s="49" t="n"/>
      <c r="B901" s="49" t="n"/>
      <c r="C901" s="49" t="n"/>
      <c r="D901" s="49" t="n"/>
      <c r="E901" s="49" t="n"/>
      <c r="F901" s="49" t="n"/>
    </row>
    <row r="902" ht="15.75" customHeight="1" s="57">
      <c r="A902" s="49" t="n"/>
      <c r="B902" s="49" t="n"/>
      <c r="C902" s="49" t="n"/>
      <c r="D902" s="49" t="n"/>
      <c r="E902" s="49" t="n"/>
      <c r="F902" s="49" t="n"/>
    </row>
    <row r="903" ht="15.75" customHeight="1" s="57">
      <c r="A903" s="49" t="n"/>
      <c r="B903" s="49" t="n"/>
      <c r="C903" s="49" t="n"/>
      <c r="D903" s="49" t="n"/>
      <c r="E903" s="49" t="n"/>
      <c r="F903" s="49" t="n"/>
    </row>
    <row r="904" ht="15.75" customHeight="1" s="57">
      <c r="A904" s="49" t="n"/>
      <c r="B904" s="49" t="n"/>
      <c r="C904" s="49" t="n"/>
      <c r="D904" s="49" t="n"/>
      <c r="E904" s="49" t="n"/>
      <c r="F904" s="49" t="n"/>
    </row>
    <row r="905" ht="15.75" customHeight="1" s="57">
      <c r="A905" s="49" t="n"/>
      <c r="B905" s="49" t="n"/>
      <c r="C905" s="49" t="n"/>
      <c r="D905" s="49" t="n"/>
      <c r="E905" s="49" t="n"/>
      <c r="F905" s="49" t="n"/>
    </row>
    <row r="906" ht="15.75" customHeight="1" s="57">
      <c r="A906" s="49" t="n"/>
      <c r="B906" s="49" t="n"/>
      <c r="C906" s="49" t="n"/>
      <c r="D906" s="49" t="n"/>
      <c r="E906" s="49" t="n"/>
      <c r="F906" s="49" t="n"/>
    </row>
    <row r="907" ht="15.75" customHeight="1" s="57">
      <c r="A907" s="49" t="n"/>
      <c r="B907" s="49" t="n"/>
      <c r="C907" s="49" t="n"/>
      <c r="D907" s="49" t="n"/>
      <c r="E907" s="49" t="n"/>
      <c r="F907" s="49" t="n"/>
    </row>
    <row r="908" ht="15.75" customHeight="1" s="57">
      <c r="A908" s="49" t="n"/>
      <c r="B908" s="49" t="n"/>
      <c r="C908" s="49" t="n"/>
      <c r="D908" s="49" t="n"/>
      <c r="E908" s="49" t="n"/>
      <c r="F908" s="49" t="n"/>
    </row>
    <row r="909" ht="15.75" customHeight="1" s="57">
      <c r="A909" s="49" t="n"/>
      <c r="B909" s="49" t="n"/>
      <c r="C909" s="49" t="n"/>
      <c r="D909" s="49" t="n"/>
      <c r="E909" s="49" t="n"/>
      <c r="F909" s="49" t="n"/>
    </row>
    <row r="910" ht="15.75" customHeight="1" s="57">
      <c r="A910" s="49" t="n"/>
      <c r="B910" s="49" t="n"/>
      <c r="C910" s="49" t="n"/>
      <c r="D910" s="49" t="n"/>
      <c r="E910" s="49" t="n"/>
      <c r="F910" s="49" t="n"/>
    </row>
    <row r="911" ht="15.75" customHeight="1" s="57">
      <c r="A911" s="49" t="n"/>
      <c r="B911" s="49" t="n"/>
      <c r="C911" s="49" t="n"/>
      <c r="D911" s="49" t="n"/>
      <c r="E911" s="49" t="n"/>
      <c r="F911" s="49" t="n"/>
    </row>
    <row r="912" ht="15.75" customHeight="1" s="57">
      <c r="A912" s="49" t="n"/>
      <c r="B912" s="49" t="n"/>
      <c r="C912" s="49" t="n"/>
      <c r="D912" s="49" t="n"/>
      <c r="E912" s="49" t="n"/>
      <c r="F912" s="49" t="n"/>
    </row>
    <row r="913" ht="15.75" customHeight="1" s="57">
      <c r="A913" s="49" t="n"/>
      <c r="B913" s="49" t="n"/>
      <c r="C913" s="49" t="n"/>
      <c r="D913" s="49" t="n"/>
      <c r="E913" s="49" t="n"/>
      <c r="F913" s="49" t="n"/>
    </row>
    <row r="914" ht="15.75" customHeight="1" s="57">
      <c r="A914" s="49" t="n"/>
      <c r="B914" s="49" t="n"/>
      <c r="C914" s="49" t="n"/>
      <c r="D914" s="49" t="n"/>
      <c r="E914" s="49" t="n"/>
      <c r="F914" s="49" t="n"/>
    </row>
    <row r="915" ht="15.75" customHeight="1" s="57">
      <c r="A915" s="49" t="n"/>
      <c r="B915" s="49" t="n"/>
      <c r="C915" s="49" t="n"/>
      <c r="D915" s="49" t="n"/>
      <c r="E915" s="49" t="n"/>
      <c r="F915" s="49" t="n"/>
    </row>
    <row r="916" ht="15.75" customHeight="1" s="57">
      <c r="A916" s="49" t="n"/>
      <c r="B916" s="49" t="n"/>
      <c r="C916" s="49" t="n"/>
      <c r="D916" s="49" t="n"/>
      <c r="E916" s="49" t="n"/>
      <c r="F916" s="49" t="n"/>
    </row>
    <row r="917" ht="15.75" customHeight="1" s="57">
      <c r="A917" s="49" t="n"/>
      <c r="B917" s="49" t="n"/>
      <c r="C917" s="49" t="n"/>
      <c r="D917" s="49" t="n"/>
      <c r="E917" s="49" t="n"/>
      <c r="F917" s="49" t="n"/>
    </row>
    <row r="918" ht="15.75" customHeight="1" s="57">
      <c r="A918" s="49" t="n"/>
      <c r="B918" s="49" t="n"/>
      <c r="C918" s="49" t="n"/>
      <c r="D918" s="49" t="n"/>
      <c r="E918" s="49" t="n"/>
      <c r="F918" s="49" t="n"/>
    </row>
    <row r="919" ht="15.75" customHeight="1" s="57">
      <c r="A919" s="49" t="n"/>
      <c r="B919" s="49" t="n"/>
      <c r="C919" s="49" t="n"/>
      <c r="D919" s="49" t="n"/>
      <c r="E919" s="49" t="n"/>
      <c r="F919" s="49" t="n"/>
    </row>
    <row r="920" ht="15.75" customHeight="1" s="57">
      <c r="A920" s="49" t="n"/>
      <c r="B920" s="49" t="n"/>
      <c r="C920" s="49" t="n"/>
      <c r="D920" s="49" t="n"/>
      <c r="E920" s="49" t="n"/>
      <c r="F920" s="49" t="n"/>
    </row>
    <row r="921" ht="15.75" customHeight="1" s="57">
      <c r="A921" s="49" t="n"/>
      <c r="B921" s="49" t="n"/>
      <c r="C921" s="49" t="n"/>
      <c r="D921" s="49" t="n"/>
      <c r="E921" s="49" t="n"/>
      <c r="F921" s="49" t="n"/>
    </row>
    <row r="922" ht="15.75" customHeight="1" s="57">
      <c r="A922" s="49" t="n"/>
      <c r="B922" s="49" t="n"/>
      <c r="C922" s="49" t="n"/>
      <c r="D922" s="49" t="n"/>
      <c r="E922" s="49" t="n"/>
      <c r="F922" s="49" t="n"/>
    </row>
    <row r="923" ht="15.75" customHeight="1" s="57">
      <c r="A923" s="49" t="n"/>
      <c r="B923" s="49" t="n"/>
      <c r="C923" s="49" t="n"/>
      <c r="D923" s="49" t="n"/>
      <c r="E923" s="49" t="n"/>
      <c r="F923" s="49" t="n"/>
    </row>
    <row r="924" ht="15.75" customHeight="1" s="57">
      <c r="A924" s="49" t="n"/>
      <c r="B924" s="49" t="n"/>
      <c r="C924" s="49" t="n"/>
      <c r="D924" s="49" t="n"/>
      <c r="E924" s="49" t="n"/>
      <c r="F924" s="49" t="n"/>
    </row>
    <row r="925" ht="15.75" customHeight="1" s="57">
      <c r="A925" s="49" t="n"/>
      <c r="B925" s="49" t="n"/>
      <c r="C925" s="49" t="n"/>
      <c r="D925" s="49" t="n"/>
      <c r="E925" s="49" t="n"/>
      <c r="F925" s="49" t="n"/>
    </row>
    <row r="926" ht="15.75" customHeight="1" s="57">
      <c r="A926" s="49" t="n"/>
      <c r="B926" s="49" t="n"/>
      <c r="C926" s="49" t="n"/>
      <c r="D926" s="49" t="n"/>
      <c r="E926" s="49" t="n"/>
      <c r="F926" s="49" t="n"/>
    </row>
    <row r="927" ht="15.75" customHeight="1" s="57">
      <c r="A927" s="49" t="n"/>
      <c r="B927" s="49" t="n"/>
      <c r="C927" s="49" t="n"/>
      <c r="D927" s="49" t="n"/>
      <c r="E927" s="49" t="n"/>
      <c r="F927" s="49" t="n"/>
    </row>
    <row r="928" ht="15.75" customHeight="1" s="57">
      <c r="A928" s="49" t="n"/>
      <c r="B928" s="49" t="n"/>
      <c r="C928" s="49" t="n"/>
      <c r="D928" s="49" t="n"/>
      <c r="E928" s="49" t="n"/>
      <c r="F928" s="49" t="n"/>
    </row>
    <row r="929" ht="15.75" customHeight="1" s="57">
      <c r="A929" s="49" t="n"/>
      <c r="B929" s="49" t="n"/>
      <c r="C929" s="49" t="n"/>
      <c r="D929" s="49" t="n"/>
      <c r="E929" s="49" t="n"/>
      <c r="F929" s="49" t="n"/>
    </row>
    <row r="930" ht="15.75" customHeight="1" s="57">
      <c r="A930" s="49" t="n"/>
      <c r="B930" s="49" t="n"/>
      <c r="C930" s="49" t="n"/>
      <c r="D930" s="49" t="n"/>
      <c r="E930" s="49" t="n"/>
      <c r="F930" s="49" t="n"/>
    </row>
    <row r="931" ht="15.75" customHeight="1" s="57">
      <c r="A931" s="49" t="n"/>
      <c r="B931" s="49" t="n"/>
      <c r="C931" s="49" t="n"/>
      <c r="D931" s="49" t="n"/>
      <c r="E931" s="49" t="n"/>
      <c r="F931" s="49" t="n"/>
    </row>
    <row r="932" ht="15.75" customHeight="1" s="57">
      <c r="A932" s="49" t="n"/>
      <c r="B932" s="49" t="n"/>
      <c r="C932" s="49" t="n"/>
      <c r="D932" s="49" t="n"/>
      <c r="E932" s="49" t="n"/>
      <c r="F932" s="49" t="n"/>
    </row>
    <row r="933" ht="15.75" customHeight="1" s="57">
      <c r="A933" s="49" t="n"/>
      <c r="B933" s="49" t="n"/>
      <c r="C933" s="49" t="n"/>
      <c r="D933" s="49" t="n"/>
      <c r="E933" s="49" t="n"/>
      <c r="F933" s="49" t="n"/>
    </row>
    <row r="934" ht="15.75" customHeight="1" s="57">
      <c r="A934" s="49" t="n"/>
      <c r="B934" s="49" t="n"/>
      <c r="C934" s="49" t="n"/>
      <c r="D934" s="49" t="n"/>
      <c r="E934" s="49" t="n"/>
      <c r="F934" s="49" t="n"/>
    </row>
    <row r="935" ht="15.75" customHeight="1" s="57">
      <c r="A935" s="49" t="n"/>
      <c r="B935" s="49" t="n"/>
      <c r="C935" s="49" t="n"/>
      <c r="D935" s="49" t="n"/>
      <c r="E935" s="49" t="n"/>
      <c r="F935" s="49" t="n"/>
    </row>
    <row r="936" ht="15.75" customHeight="1" s="57">
      <c r="A936" s="49" t="n"/>
      <c r="B936" s="49" t="n"/>
      <c r="C936" s="49" t="n"/>
      <c r="D936" s="49" t="n"/>
      <c r="E936" s="49" t="n"/>
      <c r="F936" s="49" t="n"/>
    </row>
    <row r="937" ht="15.75" customHeight="1" s="57">
      <c r="A937" s="49" t="n"/>
      <c r="B937" s="49" t="n"/>
      <c r="C937" s="49" t="n"/>
      <c r="D937" s="49" t="n"/>
      <c r="E937" s="49" t="n"/>
      <c r="F937" s="49" t="n"/>
    </row>
    <row r="938" ht="15.75" customHeight="1" s="57">
      <c r="A938" s="49" t="n"/>
      <c r="B938" s="49" t="n"/>
      <c r="C938" s="49" t="n"/>
      <c r="D938" s="49" t="n"/>
      <c r="E938" s="49" t="n"/>
      <c r="F938" s="49" t="n"/>
    </row>
    <row r="939" ht="15.75" customHeight="1" s="57">
      <c r="A939" s="49" t="n"/>
      <c r="B939" s="49" t="n"/>
      <c r="C939" s="49" t="n"/>
      <c r="D939" s="49" t="n"/>
      <c r="E939" s="49" t="n"/>
      <c r="F939" s="49" t="n"/>
    </row>
    <row r="940" ht="15.75" customHeight="1" s="57">
      <c r="A940" s="49" t="n"/>
      <c r="B940" s="49" t="n"/>
      <c r="C940" s="49" t="n"/>
      <c r="D940" s="49" t="n"/>
      <c r="E940" s="49" t="n"/>
      <c r="F940" s="49" t="n"/>
    </row>
    <row r="941" ht="15.75" customHeight="1" s="57">
      <c r="A941" s="49" t="n"/>
      <c r="B941" s="49" t="n"/>
      <c r="C941" s="49" t="n"/>
      <c r="D941" s="49" t="n"/>
      <c r="E941" s="49" t="n"/>
      <c r="F941" s="49" t="n"/>
    </row>
    <row r="942" ht="15.75" customHeight="1" s="57">
      <c r="A942" s="49" t="n"/>
      <c r="B942" s="49" t="n"/>
      <c r="C942" s="49" t="n"/>
      <c r="D942" s="49" t="n"/>
      <c r="E942" s="49" t="n"/>
      <c r="F942" s="49" t="n"/>
    </row>
    <row r="943" ht="15.75" customHeight="1" s="57">
      <c r="A943" s="49" t="n"/>
      <c r="B943" s="49" t="n"/>
      <c r="C943" s="49" t="n"/>
      <c r="D943" s="49" t="n"/>
      <c r="E943" s="49" t="n"/>
      <c r="F943" s="49" t="n"/>
    </row>
    <row r="944" ht="15.75" customHeight="1" s="57">
      <c r="A944" s="49" t="n"/>
      <c r="B944" s="49" t="n"/>
      <c r="C944" s="49" t="n"/>
      <c r="D944" s="49" t="n"/>
      <c r="E944" s="49" t="n"/>
      <c r="F944" s="49" t="n"/>
    </row>
    <row r="945" ht="15.75" customHeight="1" s="57">
      <c r="A945" s="49" t="n"/>
      <c r="B945" s="49" t="n"/>
      <c r="C945" s="49" t="n"/>
      <c r="D945" s="49" t="n"/>
      <c r="E945" s="49" t="n"/>
      <c r="F945" s="49" t="n"/>
    </row>
    <row r="946" ht="15.75" customHeight="1" s="57">
      <c r="A946" s="49" t="n"/>
      <c r="B946" s="49" t="n"/>
      <c r="C946" s="49" t="n"/>
      <c r="D946" s="49" t="n"/>
      <c r="E946" s="49" t="n"/>
      <c r="F946" s="49" t="n"/>
    </row>
    <row r="947" ht="15.75" customHeight="1" s="57">
      <c r="A947" s="49" t="n"/>
      <c r="B947" s="49" t="n"/>
      <c r="C947" s="49" t="n"/>
      <c r="D947" s="49" t="n"/>
      <c r="E947" s="49" t="n"/>
      <c r="F947" s="49" t="n"/>
    </row>
    <row r="948" ht="15.75" customHeight="1" s="57">
      <c r="A948" s="49" t="n"/>
      <c r="B948" s="49" t="n"/>
      <c r="C948" s="49" t="n"/>
      <c r="D948" s="49" t="n"/>
      <c r="E948" s="49" t="n"/>
      <c r="F948" s="49" t="n"/>
    </row>
    <row r="949" ht="15.75" customHeight="1" s="57">
      <c r="A949" s="49" t="n"/>
      <c r="B949" s="49" t="n"/>
      <c r="C949" s="49" t="n"/>
      <c r="D949" s="49" t="n"/>
      <c r="E949" s="49" t="n"/>
      <c r="F949" s="49" t="n"/>
    </row>
    <row r="950" ht="15.75" customHeight="1" s="57">
      <c r="A950" s="49" t="n"/>
      <c r="B950" s="49" t="n"/>
      <c r="C950" s="49" t="n"/>
      <c r="D950" s="49" t="n"/>
      <c r="E950" s="49" t="n"/>
      <c r="F950" s="49" t="n"/>
    </row>
    <row r="951" ht="15.75" customHeight="1" s="57">
      <c r="A951" s="49" t="n"/>
      <c r="B951" s="49" t="n"/>
      <c r="C951" s="49" t="n"/>
      <c r="D951" s="49" t="n"/>
      <c r="E951" s="49" t="n"/>
      <c r="F951" s="49" t="n"/>
    </row>
    <row r="952" ht="15.75" customHeight="1" s="57">
      <c r="A952" s="49" t="n"/>
      <c r="B952" s="49" t="n"/>
      <c r="C952" s="49" t="n"/>
      <c r="D952" s="49" t="n"/>
      <c r="E952" s="49" t="n"/>
      <c r="F952" s="49" t="n"/>
    </row>
    <row r="953" ht="15.75" customHeight="1" s="57">
      <c r="A953" s="49" t="n"/>
      <c r="B953" s="49" t="n"/>
      <c r="C953" s="49" t="n"/>
      <c r="D953" s="49" t="n"/>
      <c r="E953" s="49" t="n"/>
      <c r="F953" s="49" t="n"/>
    </row>
    <row r="954" ht="15.75" customHeight="1" s="57">
      <c r="A954" s="49" t="n"/>
      <c r="B954" s="49" t="n"/>
      <c r="C954" s="49" t="n"/>
      <c r="D954" s="49" t="n"/>
      <c r="E954" s="49" t="n"/>
      <c r="F954" s="49" t="n"/>
    </row>
    <row r="955" ht="15.75" customHeight="1" s="57">
      <c r="A955" s="49" t="n"/>
      <c r="B955" s="49" t="n"/>
      <c r="C955" s="49" t="n"/>
      <c r="D955" s="49" t="n"/>
      <c r="E955" s="49" t="n"/>
      <c r="F955" s="49" t="n"/>
    </row>
    <row r="956" ht="15.75" customHeight="1" s="57">
      <c r="A956" s="49" t="n"/>
      <c r="B956" s="49" t="n"/>
      <c r="C956" s="49" t="n"/>
      <c r="D956" s="49" t="n"/>
      <c r="E956" s="49" t="n"/>
      <c r="F956" s="49" t="n"/>
    </row>
    <row r="957" ht="15.75" customHeight="1" s="57">
      <c r="A957" s="49" t="n"/>
      <c r="B957" s="49" t="n"/>
      <c r="C957" s="49" t="n"/>
      <c r="D957" s="49" t="n"/>
      <c r="E957" s="49" t="n"/>
      <c r="F957" s="49" t="n"/>
    </row>
    <row r="958" ht="15.75" customHeight="1" s="57">
      <c r="A958" s="49" t="n"/>
      <c r="B958" s="49" t="n"/>
      <c r="C958" s="49" t="n"/>
      <c r="D958" s="49" t="n"/>
      <c r="E958" s="49" t="n"/>
      <c r="F958" s="49" t="n"/>
    </row>
    <row r="959" ht="15.75" customHeight="1" s="57">
      <c r="A959" s="49" t="n"/>
      <c r="B959" s="49" t="n"/>
      <c r="C959" s="49" t="n"/>
      <c r="D959" s="49" t="n"/>
      <c r="E959" s="49" t="n"/>
      <c r="F959" s="49" t="n"/>
    </row>
    <row r="960" ht="15.75" customHeight="1" s="57">
      <c r="A960" s="49" t="n"/>
      <c r="B960" s="49" t="n"/>
      <c r="C960" s="49" t="n"/>
      <c r="D960" s="49" t="n"/>
      <c r="E960" s="49" t="n"/>
      <c r="F960" s="49" t="n"/>
    </row>
    <row r="961" ht="15.75" customHeight="1" s="57">
      <c r="A961" s="49" t="n"/>
      <c r="B961" s="49" t="n"/>
      <c r="C961" s="49" t="n"/>
      <c r="D961" s="49" t="n"/>
      <c r="E961" s="49" t="n"/>
      <c r="F961" s="49" t="n"/>
    </row>
    <row r="962" ht="15.75" customHeight="1" s="57">
      <c r="A962" s="49" t="n"/>
      <c r="B962" s="49" t="n"/>
      <c r="C962" s="49" t="n"/>
      <c r="D962" s="49" t="n"/>
      <c r="E962" s="49" t="n"/>
      <c r="F962" s="49" t="n"/>
    </row>
    <row r="963" ht="15.75" customHeight="1" s="57">
      <c r="A963" s="49" t="n"/>
      <c r="B963" s="49" t="n"/>
      <c r="C963" s="49" t="n"/>
      <c r="D963" s="49" t="n"/>
      <c r="E963" s="49" t="n"/>
      <c r="F963" s="49" t="n"/>
    </row>
    <row r="964" ht="15.75" customHeight="1" s="57">
      <c r="A964" s="49" t="n"/>
      <c r="B964" s="49" t="n"/>
      <c r="C964" s="49" t="n"/>
      <c r="D964" s="49" t="n"/>
      <c r="E964" s="49" t="n"/>
      <c r="F964" s="49" t="n"/>
    </row>
    <row r="965" ht="15.75" customHeight="1" s="57">
      <c r="A965" s="49" t="n"/>
      <c r="B965" s="49" t="n"/>
      <c r="C965" s="49" t="n"/>
      <c r="D965" s="49" t="n"/>
      <c r="E965" s="49" t="n"/>
      <c r="F965" s="49" t="n"/>
    </row>
    <row r="966" ht="15.75" customHeight="1" s="57">
      <c r="A966" s="49" t="n"/>
      <c r="B966" s="49" t="n"/>
      <c r="C966" s="49" t="n"/>
      <c r="D966" s="49" t="n"/>
      <c r="E966" s="49" t="n"/>
      <c r="F966" s="49" t="n"/>
    </row>
    <row r="967" ht="15.75" customHeight="1" s="57">
      <c r="A967" s="49" t="n"/>
      <c r="B967" s="49" t="n"/>
      <c r="C967" s="49" t="n"/>
      <c r="D967" s="49" t="n"/>
      <c r="E967" s="49" t="n"/>
      <c r="F967" s="49" t="n"/>
    </row>
    <row r="968" ht="15.75" customHeight="1" s="57">
      <c r="A968" s="49" t="n"/>
      <c r="B968" s="49" t="n"/>
      <c r="C968" s="49" t="n"/>
      <c r="D968" s="49" t="n"/>
      <c r="E968" s="49" t="n"/>
      <c r="F968" s="49" t="n"/>
    </row>
    <row r="969" ht="15.75" customHeight="1" s="57">
      <c r="A969" s="49" t="n"/>
      <c r="B969" s="49" t="n"/>
      <c r="C969" s="49" t="n"/>
      <c r="D969" s="49" t="n"/>
      <c r="E969" s="49" t="n"/>
      <c r="F969" s="49" t="n"/>
    </row>
    <row r="970" ht="15.75" customHeight="1" s="57">
      <c r="A970" s="49" t="n"/>
      <c r="B970" s="49" t="n"/>
      <c r="C970" s="49" t="n"/>
      <c r="D970" s="49" t="n"/>
      <c r="E970" s="49" t="n"/>
      <c r="F970" s="49" t="n"/>
    </row>
    <row r="971" ht="15.75" customHeight="1" s="57">
      <c r="A971" s="49" t="n"/>
      <c r="B971" s="49" t="n"/>
      <c r="C971" s="49" t="n"/>
      <c r="D971" s="49" t="n"/>
      <c r="E971" s="49" t="n"/>
      <c r="F971" s="49" t="n"/>
    </row>
    <row r="972" ht="15.75" customHeight="1" s="57">
      <c r="A972" s="49" t="n"/>
      <c r="B972" s="49" t="n"/>
      <c r="C972" s="49" t="n"/>
      <c r="D972" s="49" t="n"/>
      <c r="E972" s="49" t="n"/>
      <c r="F972" s="49" t="n"/>
    </row>
    <row r="973" ht="15.75" customHeight="1" s="57">
      <c r="A973" s="49" t="n"/>
      <c r="B973" s="49" t="n"/>
      <c r="C973" s="49" t="n"/>
      <c r="D973" s="49" t="n"/>
      <c r="E973" s="49" t="n"/>
      <c r="F973" s="49" t="n"/>
    </row>
    <row r="974" ht="15.75" customHeight="1" s="57">
      <c r="A974" s="49" t="n"/>
      <c r="B974" s="49" t="n"/>
      <c r="C974" s="49" t="n"/>
      <c r="D974" s="49" t="n"/>
      <c r="E974" s="49" t="n"/>
      <c r="F974" s="49" t="n"/>
    </row>
    <row r="975" ht="15.75" customHeight="1" s="57">
      <c r="A975" s="49" t="n"/>
      <c r="B975" s="49" t="n"/>
      <c r="C975" s="49" t="n"/>
      <c r="D975" s="49" t="n"/>
      <c r="E975" s="49" t="n"/>
      <c r="F975" s="49" t="n"/>
    </row>
    <row r="976" ht="15.75" customHeight="1" s="57">
      <c r="A976" s="49" t="n"/>
      <c r="B976" s="49" t="n"/>
      <c r="C976" s="49" t="n"/>
      <c r="D976" s="49" t="n"/>
      <c r="E976" s="49" t="n"/>
      <c r="F976" s="49" t="n"/>
    </row>
    <row r="977" ht="15.75" customHeight="1" s="57">
      <c r="A977" s="49" t="n"/>
      <c r="B977" s="49" t="n"/>
      <c r="C977" s="49" t="n"/>
      <c r="D977" s="49" t="n"/>
      <c r="E977" s="49" t="n"/>
      <c r="F977" s="49" t="n"/>
    </row>
    <row r="978" ht="15.75" customHeight="1" s="57">
      <c r="A978" s="49" t="n"/>
      <c r="B978" s="49" t="n"/>
      <c r="C978" s="49" t="n"/>
      <c r="D978" s="49" t="n"/>
      <c r="E978" s="49" t="n"/>
      <c r="F978" s="49" t="n"/>
    </row>
    <row r="979" ht="15.75" customHeight="1" s="57">
      <c r="A979" s="49" t="n"/>
      <c r="B979" s="49" t="n"/>
      <c r="C979" s="49" t="n"/>
      <c r="D979" s="49" t="n"/>
      <c r="E979" s="49" t="n"/>
      <c r="F979" s="49" t="n"/>
    </row>
    <row r="980" ht="15.75" customHeight="1" s="57">
      <c r="A980" s="49" t="n"/>
      <c r="B980" s="49" t="n"/>
      <c r="C980" s="49" t="n"/>
      <c r="D980" s="49" t="n"/>
      <c r="E980" s="49" t="n"/>
      <c r="F980" s="49" t="n"/>
    </row>
    <row r="981" ht="15.75" customHeight="1" s="57">
      <c r="A981" s="49" t="n"/>
      <c r="B981" s="49" t="n"/>
      <c r="C981" s="49" t="n"/>
      <c r="D981" s="49" t="n"/>
      <c r="E981" s="49" t="n"/>
      <c r="F981" s="49" t="n"/>
    </row>
    <row r="982" ht="15.75" customHeight="1" s="57">
      <c r="A982" s="49" t="n"/>
      <c r="B982" s="49" t="n"/>
      <c r="C982" s="49" t="n"/>
      <c r="D982" s="49" t="n"/>
      <c r="E982" s="49" t="n"/>
      <c r="F982" s="49" t="n"/>
    </row>
    <row r="983" ht="15.75" customHeight="1" s="57">
      <c r="A983" s="49" t="n"/>
      <c r="B983" s="49" t="n"/>
      <c r="C983" s="49" t="n"/>
      <c r="D983" s="49" t="n"/>
      <c r="E983" s="49" t="n"/>
      <c r="F983" s="49" t="n"/>
    </row>
    <row r="984" ht="15.75" customHeight="1" s="57">
      <c r="A984" s="49" t="n"/>
      <c r="B984" s="49" t="n"/>
      <c r="C984" s="49" t="n"/>
      <c r="D984" s="49" t="n"/>
      <c r="E984" s="49" t="n"/>
      <c r="F984" s="49" t="n"/>
    </row>
    <row r="985" ht="15.75" customHeight="1" s="57">
      <c r="A985" s="49" t="n"/>
      <c r="B985" s="49" t="n"/>
      <c r="C985" s="49" t="n"/>
      <c r="D985" s="49" t="n"/>
      <c r="E985" s="49" t="n"/>
      <c r="F985" s="49" t="n"/>
    </row>
    <row r="986" ht="15.75" customHeight="1" s="57">
      <c r="A986" s="49" t="n"/>
      <c r="B986" s="49" t="n"/>
      <c r="C986" s="49" t="n"/>
      <c r="D986" s="49" t="n"/>
      <c r="E986" s="49" t="n"/>
      <c r="F986" s="49" t="n"/>
    </row>
    <row r="987" ht="15.75" customHeight="1" s="57">
      <c r="A987" s="49" t="n"/>
      <c r="B987" s="49" t="n"/>
      <c r="C987" s="49" t="n"/>
      <c r="D987" s="49" t="n"/>
      <c r="E987" s="49" t="n"/>
      <c r="F987" s="49" t="n"/>
    </row>
    <row r="988" ht="15.75" customHeight="1" s="57">
      <c r="A988" s="49" t="n"/>
      <c r="B988" s="49" t="n"/>
      <c r="C988" s="49" t="n"/>
      <c r="D988" s="49" t="n"/>
      <c r="E988" s="49" t="n"/>
      <c r="F988" s="49" t="n"/>
    </row>
    <row r="989" ht="15.75" customHeight="1" s="57">
      <c r="A989" s="49" t="n"/>
      <c r="B989" s="49" t="n"/>
      <c r="C989" s="49" t="n"/>
      <c r="D989" s="49" t="n"/>
      <c r="E989" s="49" t="n"/>
      <c r="F989" s="49" t="n"/>
    </row>
    <row r="990" ht="15.75" customHeight="1" s="57">
      <c r="A990" s="49" t="n"/>
      <c r="B990" s="49" t="n"/>
      <c r="C990" s="49" t="n"/>
      <c r="D990" s="49" t="n"/>
      <c r="E990" s="49" t="n"/>
      <c r="F990" s="49" t="n"/>
    </row>
    <row r="991" ht="15.75" customHeight="1" s="57">
      <c r="A991" s="49" t="n"/>
      <c r="B991" s="49" t="n"/>
      <c r="C991" s="49" t="n"/>
      <c r="D991" s="49" t="n"/>
      <c r="E991" s="49" t="n"/>
      <c r="F991" s="49" t="n"/>
    </row>
    <row r="992" ht="15.75" customHeight="1" s="57">
      <c r="A992" s="49" t="n"/>
      <c r="B992" s="49" t="n"/>
      <c r="C992" s="49" t="n"/>
      <c r="D992" s="49" t="n"/>
      <c r="E992" s="49" t="n"/>
      <c r="F992" s="49" t="n"/>
    </row>
    <row r="993" ht="15.75" customHeight="1" s="57">
      <c r="A993" s="49" t="n"/>
      <c r="B993" s="49" t="n"/>
      <c r="C993" s="49" t="n"/>
      <c r="D993" s="49" t="n"/>
      <c r="E993" s="49" t="n"/>
      <c r="F993" s="49" t="n"/>
    </row>
    <row r="994" ht="15.75" customHeight="1" s="57">
      <c r="A994" s="49" t="n"/>
      <c r="B994" s="49" t="n"/>
      <c r="C994" s="49" t="n"/>
      <c r="D994" s="49" t="n"/>
      <c r="E994" s="49" t="n"/>
      <c r="F994" s="49" t="n"/>
    </row>
    <row r="995" ht="15.75" customHeight="1" s="57">
      <c r="A995" s="49" t="n"/>
      <c r="B995" s="49" t="n"/>
      <c r="C995" s="49" t="n"/>
      <c r="D995" s="49" t="n"/>
      <c r="E995" s="49" t="n"/>
      <c r="F995" s="49" t="n"/>
    </row>
    <row r="996" ht="15.75" customHeight="1" s="57">
      <c r="A996" s="49" t="n"/>
      <c r="B996" s="49" t="n"/>
      <c r="C996" s="49" t="n"/>
      <c r="D996" s="49" t="n"/>
      <c r="E996" s="49" t="n"/>
      <c r="F996" s="49" t="n"/>
    </row>
    <row r="997" ht="15.75" customHeight="1" s="57">
      <c r="A997" s="49" t="n"/>
      <c r="B997" s="49" t="n"/>
      <c r="C997" s="49" t="n"/>
      <c r="D997" s="49" t="n"/>
      <c r="E997" s="49" t="n"/>
      <c r="F997" s="49" t="n"/>
    </row>
    <row r="998" ht="15.75" customHeight="1" s="57">
      <c r="A998" s="49" t="n"/>
      <c r="B998" s="49" t="n"/>
      <c r="C998" s="49" t="n"/>
      <c r="D998" s="49" t="n"/>
      <c r="E998" s="49" t="n"/>
      <c r="F998" s="49" t="n"/>
    </row>
    <row r="999" ht="15.75" customHeight="1" s="57">
      <c r="A999" s="49" t="n"/>
      <c r="B999" s="49" t="n"/>
      <c r="C999" s="49" t="n"/>
      <c r="D999" s="49" t="n"/>
      <c r="E999" s="49" t="n"/>
      <c r="F999" s="49" t="n"/>
    </row>
    <row r="1000" ht="15.75" customHeight="1" s="57">
      <c r="A1000" s="49" t="n"/>
      <c r="B1000" s="49" t="n"/>
      <c r="C1000" s="49" t="n"/>
      <c r="D1000" s="49" t="n"/>
      <c r="E1000" s="49" t="n"/>
      <c r="F1000" s="49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selection activeCell="A1" sqref="A1"/>
    </sheetView>
  </sheetViews>
  <sheetFormatPr baseColWidth="8" defaultColWidth="12.63" defaultRowHeight="15" customHeight="1" outlineLevelCol="0"/>
  <cols>
    <col width="35.13" customWidth="1" style="57" min="1" max="1"/>
    <col width="77.63" customWidth="1" style="57" min="2" max="2"/>
    <col width="12.63" customWidth="1" style="57" min="3" max="6"/>
  </cols>
  <sheetData>
    <row r="1" ht="15.75" customHeight="1" s="57">
      <c r="A1" s="40" t="inlineStr">
        <is>
          <t>GIẢI THÍCH SỐ LIỆU TOPLINE VOLUME — VÙNG NTB (Tháng 7/2026)</t>
        </is>
      </c>
      <c r="B1" s="41" t="n"/>
      <c r="C1" s="41" t="n"/>
      <c r="D1" s="41" t="n"/>
      <c r="E1" s="49" t="n"/>
      <c r="F1" s="49" t="n"/>
    </row>
    <row r="2" ht="15.75" customHeight="1" s="57">
      <c r="A2" s="42" t="inlineStr">
        <is>
          <t>Người tổng hợp: Capacity Planning · Ngày build: 2026-07-03 · File gốc:</t>
        </is>
      </c>
      <c r="B2" s="42" t="inlineStr">
        <is>
          <t>OUTPUT_FORECAST_20260703_154553.xlsx</t>
        </is>
      </c>
      <c r="C2" s="42" t="n"/>
      <c r="D2" s="42" t="n"/>
      <c r="E2" s="49" t="n"/>
      <c r="F2" s="49" t="n"/>
    </row>
    <row r="3" ht="15.75" customHeight="1" s="57">
      <c r="A3" s="42" t="n"/>
      <c r="B3" s="42" t="n"/>
      <c r="C3" s="42" t="n"/>
      <c r="D3" s="42" t="n"/>
      <c r="E3" s="49" t="n"/>
      <c r="F3" s="49" t="n"/>
    </row>
    <row r="4" ht="15.75" customHeight="1" s="57">
      <c r="A4" s="41" t="inlineStr">
        <is>
          <t>1. SHEET NÀY LÀ GÌ, DÙNG ĐỂ LÀM GÌ</t>
        </is>
      </c>
      <c r="B4" s="41" t="n"/>
      <c r="C4" s="41" t="n"/>
      <c r="D4" s="41" t="n"/>
      <c r="E4" s="49" t="n"/>
      <c r="F4" s="49" t="n"/>
    </row>
    <row r="5" ht="15.75" customHeight="1" s="57">
      <c r="A5" s="42" t="inlineStr">
        <is>
          <t>Mục đích</t>
        </is>
      </c>
      <c r="B5" s="42" t="inlineStr">
        <is>
          <t>Chia tổng sản lượng đơn hàng dự kiến của GHN (tháng 7 → tháng 12/2026) xuống TỪNG TỈNH THUỘC VÙNG, theo 4 nhóm khách hàng lớn (SME, TTS, Shopee Ecom, Shopee Bulky) — dùng làm căn cứ theo dõi/lên kế hoạch theo tỉnh, đối chiếu năng lực vận hành.</t>
        </is>
      </c>
      <c r="C5" s="42" t="n"/>
      <c r="D5" s="42" t="n"/>
      <c r="E5" s="49" t="n"/>
      <c r="F5" s="49" t="n"/>
    </row>
    <row r="6" ht="15.75" customHeight="1" s="57">
      <c r="A6" s="42" t="inlineStr">
        <is>
          <t>Tab Topline_Lay_NTB</t>
        </is>
      </c>
      <c r="B6" s="42" t="inlineStr">
        <is>
          <t>Đơn hàng chia theo tỉnh NƠI LẤY HÀNG (kho/điểm gửi của người bán) — chỉ gồm các tỉnh thuộc vùng này</t>
        </is>
      </c>
      <c r="C6" s="42" t="n"/>
      <c r="D6" s="42" t="n"/>
      <c r="E6" s="49" t="n"/>
      <c r="F6" s="49" t="n"/>
    </row>
    <row r="7" ht="15.75" customHeight="1" s="57">
      <c r="A7" s="42" t="inlineStr">
        <is>
          <t>Tab Topline_Giao_NTB</t>
        </is>
      </c>
      <c r="B7" s="42" t="inlineStr">
        <is>
          <t>Đơn hàng chia theo tỉnh NƠI GIAO HÀNG (nhà người mua nhận hàng) — chỉ gồm các tỉnh thuộc vùng này</t>
        </is>
      </c>
      <c r="C7" s="42" t="n"/>
      <c r="D7" s="42" t="n"/>
      <c r="E7" s="49" t="n"/>
      <c r="F7" s="49" t="n"/>
    </row>
    <row r="8" ht="15.75" customHeight="1" s="57">
      <c r="A8" s="42" t="inlineStr">
        <is>
          <t>Phạm vi tỉnh của vùng</t>
        </is>
      </c>
      <c r="B8" s="42" t="inlineStr">
        <is>
          <t>Bình Thuận, Đắk Nông, Khánh Hòa, Lâm Đồng, Ninh Thuận</t>
        </is>
      </c>
      <c r="C8" s="42" t="n"/>
      <c r="D8" s="42" t="n"/>
      <c r="E8" s="49" t="n"/>
      <c r="F8" s="49" t="n"/>
    </row>
    <row r="9" ht="15.75" customHeight="1" s="57">
      <c r="A9" s="42" t="n"/>
      <c r="B9" s="42" t="n"/>
      <c r="C9" s="42" t="n"/>
      <c r="D9" s="42" t="n"/>
      <c r="E9" s="49" t="n"/>
      <c r="F9" s="49" t="n"/>
    </row>
    <row r="10" ht="15.75" customHeight="1" s="57">
      <c r="A10" s="41" t="inlineStr">
        <is>
          <t>2. NGUỒN SỐ — "VOLUME TẠO" LÀ GÌ</t>
        </is>
      </c>
      <c r="B10" s="41" t="n"/>
      <c r="C10" s="41" t="n"/>
      <c r="D10" s="41" t="n"/>
      <c r="E10" s="49" t="n"/>
      <c r="F10" s="49" t="n"/>
    </row>
    <row r="11" ht="15.75" customHeight="1" s="57">
      <c r="A11" s="42" t="inlineStr">
        <is>
          <t>Volume tạo = số CHÍNH THỨC Capacity Planning đang dùng</t>
        </is>
      </c>
      <c r="B11" s="42" t="inlineStr">
        <is>
          <t>Đây là bản SẢN XUẤT (production) — cùng 1 con số đang chạy trong toàn bộ hệ thống lên kế hoạch tải kho/xe của Capacity Planning, KHÔNG phải bản tạm hay bản thử.</t>
        </is>
      </c>
      <c r="C11" s="42" t="n"/>
      <c r="D11" s="42" t="n"/>
      <c r="E11" s="49" t="n"/>
      <c r="F11" s="49" t="n"/>
    </row>
    <row r="12" ht="15.75" customHeight="1" s="57">
      <c r="A12" s="42" t="inlineStr">
        <is>
          <t>Volume tạo tính từ đâu</t>
        </is>
      </c>
      <c r="B12" s="43" t="inlineStr">
        <is>
          <t>= GTTC (giao trả thành công — số đơn giao thành công thực tế) CHIA CHO 0,95 (tức cộng thêm ~5%), áp dụng từ tháng 7/2026 trở đi, để dự trù thêm phần đệm công suất khi lên kế hoạch vận hành. Nguồn GTTC gốc lấy từ file "Monthly Revenue Forecast_send to Ops" Fin/Ops gửi hàng tháng (bản dùng ở đây cập nhật ngày 02/07/2026).</t>
        </is>
      </c>
      <c r="C12" s="42" t="n"/>
      <c r="D12" s="42" t="n"/>
      <c r="E12" s="49" t="n"/>
      <c r="F12" s="49" t="n"/>
    </row>
    <row r="13" ht="15.75" customHeight="1" s="57">
      <c r="A13" s="42" t="inlineStr">
        <is>
          <t>⚠️ Nếu đối chiếu với số Fin</t>
        </is>
      </c>
      <c r="B13" s="42" t="inlineStr">
        <is>
          <t>Fin nhận bản GTTC gốc (KHÔNG cộng thêm 5%) — nên từ tháng 7 trở đi số ở đây CAO HƠN ~5% so với số Fin cùng kỳ. Đây là CHỦ ĐÍCH (đệm công suất), không phải sai lệch.</t>
        </is>
      </c>
      <c r="C13" s="42" t="n"/>
      <c r="D13" s="42" t="n"/>
      <c r="E13" s="49" t="n"/>
      <c r="F13" s="49" t="n"/>
    </row>
    <row r="14" ht="15.75" customHeight="1" s="57">
      <c r="A14" s="42" t="n"/>
      <c r="B14" s="42" t="n"/>
      <c r="C14" s="42" t="n"/>
      <c r="D14" s="42" t="n"/>
      <c r="E14" s="49" t="n"/>
      <c r="F14" s="49" t="n"/>
    </row>
    <row r="15" ht="15.75" customHeight="1" s="57">
      <c r="A15" s="41" t="inlineStr">
        <is>
          <t>3. GIẢI THÍCH CÁC CỘT</t>
        </is>
      </c>
      <c r="B15" s="41" t="n"/>
      <c r="C15" s="41" t="n"/>
      <c r="D15" s="41" t="n"/>
      <c r="E15" s="49" t="n"/>
      <c r="F15" s="49" t="n"/>
    </row>
    <row r="16" ht="15.75" customHeight="1" s="57">
      <c r="A16" s="42" t="inlineStr">
        <is>
          <t>Tên cột</t>
        </is>
      </c>
      <c r="B16" s="42" t="inlineStr">
        <is>
          <t>Ý nghĩa</t>
        </is>
      </c>
      <c r="C16" s="42" t="n"/>
      <c r="D16" s="42" t="n"/>
      <c r="E16" s="49" t="n"/>
      <c r="F16" s="49" t="n"/>
    </row>
    <row r="17" ht="15.75" customHeight="1" s="57">
      <c r="A17" s="42" t="inlineStr">
        <is>
          <t>month</t>
        </is>
      </c>
      <c r="B17" s="42" t="inlineStr">
        <is>
          <t>Tháng dự báo (vd 2026-07-01 = tháng 7/2026)</t>
        </is>
      </c>
      <c r="C17" s="42" t="n"/>
      <c r="D17" s="42" t="n"/>
      <c r="E17" s="49" t="n"/>
      <c r="F17" s="49" t="n"/>
    </row>
    <row r="18" ht="15.75" customHeight="1" s="57">
      <c r="A18" s="42" t="inlineStr">
        <is>
          <t>type_order</t>
        </is>
      </c>
      <c r="B18" s="42" t="inlineStr">
        <is>
          <t>Loại đơn: ecom (giao hàng thường) hoặc freight (hàng nặng, cồng kềnh)</t>
        </is>
      </c>
      <c r="C18" s="42" t="n"/>
      <c r="D18" s="42" t="n"/>
      <c r="E18" s="49" t="n"/>
      <c r="F18" s="49" t="n"/>
    </row>
    <row r="19" ht="15.75" customHeight="1" s="57">
      <c r="A19" s="42" t="inlineStr">
        <is>
          <t>Clientname</t>
        </is>
      </c>
      <c r="B19" s="42" t="inlineStr">
        <is>
          <t>Tên nhóm khách hàng: SME / TTS / Shopee Ecom / Shopee Bulky</t>
        </is>
      </c>
      <c r="C19" s="42" t="n"/>
      <c r="D19" s="42" t="n"/>
      <c r="E19" s="49" t="n"/>
      <c r="F19" s="49" t="n"/>
    </row>
    <row r="20" ht="15.75" customHeight="1" s="57">
      <c r="A20" s="42" t="inlineStr">
        <is>
          <t>rank_weight</t>
        </is>
      </c>
      <c r="B20" s="42" t="inlineStr">
        <is>
          <t>Nhóm cân nặng đơn hàng: dưới 5kg / 5-10kg / 10-15kg / 15-20kg / từ 20kg trở lên (số 01., 02.,... phía trước chỉ để sắp xếp thứ tự, không có ý nghĩa khác)</t>
        </is>
      </c>
      <c r="C20" s="42" t="n"/>
      <c r="D20" s="42" t="n"/>
      <c r="E20" s="49" t="n"/>
      <c r="F20" s="49" t="n"/>
    </row>
    <row r="21" ht="15.75" customHeight="1" s="57">
      <c r="A21" s="42" t="inlineStr">
        <is>
          <t>FromProvince (tab Topline_Lay_NTB)</t>
        </is>
      </c>
      <c r="B21" s="42" t="inlineStr">
        <is>
          <t>Tỉnh/thành nơi LẤY hàng</t>
        </is>
      </c>
      <c r="C21" s="42" t="n"/>
      <c r="D21" s="42" t="n"/>
      <c r="E21" s="49" t="n"/>
      <c r="F21" s="49" t="n"/>
    </row>
    <row r="22" ht="15.75" customHeight="1" s="57">
      <c r="A22" s="42" t="inlineStr">
        <is>
          <t>ToProvince (tab Topline_Giao_NTB)</t>
        </is>
      </c>
      <c r="B22" s="42" t="inlineStr">
        <is>
          <t>Tỉnh/thành nơi GIAO hàng</t>
        </is>
      </c>
      <c r="C22" s="42" t="n"/>
      <c r="D22" s="42" t="n"/>
      <c r="E22" s="49" t="n"/>
      <c r="F22" s="49" t="n"/>
    </row>
    <row r="23" ht="15.75" customHeight="1" s="57">
      <c r="A23" s="42" t="inlineStr">
        <is>
          <t>volume</t>
        </is>
      </c>
      <c r="B23" s="42" t="inlineStr">
        <is>
          <t>Số lượng đơn hàng dự kiến, trong tháng — tỉnh — nhóm cân nặng đó (đơn vị: đơn)</t>
        </is>
      </c>
      <c r="C23" s="42" t="n"/>
      <c r="D23" s="42" t="n"/>
      <c r="E23" s="49" t="n"/>
      <c r="F23" s="49" t="n"/>
    </row>
    <row r="24" ht="15.75" customHeight="1" s="57">
      <c r="A24" s="42" t="inlineStr">
        <is>
          <t>weight</t>
        </is>
      </c>
      <c r="B24" s="42" t="inlineStr">
        <is>
          <t>Tổng khối lượng dự kiến tương ứng (đơn vị: kg) — TÍNH RA từ volume × mốc kg/đơn cố định theo từng khách hàng × nhóm cân nặng, không phải số đo trực tiếp</t>
        </is>
      </c>
      <c r="C24" s="42" t="n"/>
      <c r="D24" s="42" t="n"/>
      <c r="E24" s="49" t="n"/>
      <c r="F24" s="49" t="n"/>
    </row>
    <row r="25" ht="15.75" customHeight="1" s="57">
      <c r="A25" s="42" t="inlineStr">
        <is>
          <t>Revenue</t>
        </is>
      </c>
      <c r="B25" s="42" t="inlineStr">
        <is>
          <t>Cột giữ chỗ, CHƯA dùng trong bản này — luôn bằng 0</t>
        </is>
      </c>
      <c r="C25" s="42" t="n"/>
      <c r="D25" s="42" t="n"/>
      <c r="E25" s="49" t="n"/>
      <c r="F25" s="49" t="n"/>
    </row>
    <row r="26" ht="15.75" customHeight="1" s="57">
      <c r="A26" s="42" t="inlineStr">
        <is>
          <t>THÁNG</t>
        </is>
      </c>
      <c r="B26" s="42" t="inlineStr">
        <is>
          <t>Số tháng dạng số nguyên (7-12) — giống cột "month", để tiện lọc/pivot</t>
        </is>
      </c>
      <c r="C26" s="42" t="n"/>
      <c r="D26" s="42" t="n"/>
      <c r="E26" s="49" t="n"/>
      <c r="F26" s="49" t="n"/>
    </row>
    <row r="27" ht="15.75" customHeight="1" s="57">
      <c r="A27" s="42" t="n"/>
      <c r="B27" s="42" t="n"/>
      <c r="C27" s="42" t="n"/>
      <c r="D27" s="42" t="n"/>
      <c r="E27" s="49" t="n"/>
      <c r="F27" s="49" t="n"/>
    </row>
    <row r="28" ht="15.75" customHeight="1" s="57">
      <c r="A28" s="41" t="inlineStr">
        <is>
          <t>4. MUỐN TỰ ĐỐI CHIẾU SỐ (AUDIT)?</t>
        </is>
      </c>
      <c r="B28" s="41" t="n"/>
      <c r="C28" s="41" t="n"/>
      <c r="D28" s="41" t="n"/>
      <c r="E28" s="49" t="n"/>
      <c r="F28" s="49" t="n"/>
    </row>
    <row r="29" ht="15.75" customHeight="1" s="57">
      <c r="A29" s="42" t="inlineStr">
        <is>
          <t>Cách số được chia</t>
        </is>
      </c>
      <c r="B29" s="42" t="inlineStr">
        <is>
          <t>Số đơn 1 tỉnh = (Tổng đơn tháng của khách hàng đó toàn quốc) × (tỷ lệ % của tỉnh, tính từ đơn hàng THẬT các tháng gần nhất trong hệ thống). Khối lượng = số đơn × mốc kg/đơn theo khách hàng + nhóm cân nặng.</t>
        </is>
      </c>
      <c r="C29" s="42" t="n"/>
      <c r="D29" s="42" t="n"/>
      <c r="E29" s="49" t="n"/>
      <c r="F29" s="49" t="n"/>
    </row>
    <row r="30" ht="15.75" customHeight="1" s="57">
      <c r="A30" s="42" t="inlineStr">
        <is>
          <t>Bảng % chia tỉnh + mốc kg/đơn đầy đủ</t>
        </is>
      </c>
      <c r="B30" s="42" t="inlineStr">
        <is>
          <t>Nằm ở sheet tổng toàn mạng "Topline volume update 07/26 gửi KTT" (tab TY_LE_SHARE + KG_MOI_DON) do Capacity Planning quản lý — cần đối chiếu liên hệ team Capacity Planning.</t>
        </is>
      </c>
      <c r="C30" s="42" t="n"/>
      <c r="D30" s="42" t="n"/>
      <c r="E30" s="49" t="n"/>
      <c r="F30" s="49" t="n"/>
    </row>
    <row r="31" ht="15.75" customHeight="1" s="57">
      <c r="A31" s="42" t="n"/>
      <c r="B31" s="42" t="n"/>
      <c r="C31" s="42" t="n"/>
      <c r="D31" s="42" t="n"/>
      <c r="E31" s="49" t="n"/>
      <c r="F31" s="49" t="n"/>
    </row>
    <row r="32" ht="15.75" customHeight="1" s="57">
      <c r="A32" s="41" t="inlineStr">
        <is>
          <t>5. LƯU Ý QUAN TRỌNG — TRÁNH NHẦM</t>
        </is>
      </c>
      <c r="B32" s="41" t="n"/>
      <c r="C32" s="41" t="n"/>
      <c r="D32" s="41" t="n"/>
      <c r="E32" s="49" t="n"/>
      <c r="F32" s="49" t="n"/>
    </row>
    <row r="33" ht="15.75" customHeight="1" s="57">
      <c r="A33" s="42" t="inlineStr">
        <is>
          <t>Phạm vi tháng</t>
        </is>
      </c>
      <c r="B33" s="42" t="inlineStr">
        <is>
          <t>Sheet CHỈ có tháng 7 → tháng 12/2026 (không có các tháng trước đó)</t>
        </is>
      </c>
      <c r="C33" s="42" t="n"/>
      <c r="D33" s="42" t="n"/>
      <c r="E33" s="49" t="n"/>
      <c r="F33" s="49" t="n"/>
    </row>
    <row r="34" ht="15.75" customHeight="1" s="57">
      <c r="A34" s="42" t="inlineStr">
        <is>
          <t>Bản này THAY THẾ số topline cũ</t>
        </is>
      </c>
      <c r="B34" s="42" t="inlineStr">
        <is>
          <t>Từ 03/07/2026, tab Topline trong sheet này dùng bộ số mới (Volume tạo). Nếu anh/chị còn giữ bản trích xuất topline cũ, vui lòng bỏ và dùng bản này.</t>
        </is>
      </c>
      <c r="C34" s="42" t="n"/>
      <c r="D34" s="42" t="n"/>
      <c r="E34" s="49" t="n"/>
      <c r="F34" s="49" t="n"/>
    </row>
    <row r="35" ht="15.75" customHeight="1" s="57">
      <c r="A35" s="42" t="inlineStr">
        <is>
          <t>Nếu số lệch với báo cáo tuần/biweekly khác của Capacity</t>
        </is>
      </c>
      <c r="B35" s="42" t="inlineStr">
        <is>
          <t>Có thể do thời điểm build khác nhau (volume dự báo được cập nhật định kỳ) — liên hệ team Capacity Planning để đối chiếu trước khi kết luận số sai</t>
        </is>
      </c>
      <c r="C35" s="42" t="n"/>
      <c r="D35" s="42" t="n"/>
      <c r="E35" s="49" t="n"/>
      <c r="F35" s="49" t="n"/>
    </row>
    <row r="36" ht="15.75" customHeight="1" s="57">
      <c r="A36" s="49" t="n"/>
      <c r="B36" s="49" t="n"/>
      <c r="C36" s="49" t="n"/>
      <c r="D36" s="49" t="n"/>
      <c r="E36" s="49" t="n"/>
      <c r="F36" s="49" t="n"/>
    </row>
    <row r="37" ht="15.75" customHeight="1" s="57">
      <c r="A37" s="49" t="n"/>
      <c r="B37" s="49" t="n"/>
      <c r="C37" s="49" t="n"/>
      <c r="D37" s="49" t="n"/>
      <c r="E37" s="49" t="n"/>
      <c r="F37" s="49" t="n"/>
    </row>
    <row r="38" ht="15.75" customHeight="1" s="57">
      <c r="A38" s="49" t="n"/>
      <c r="B38" s="49" t="n"/>
      <c r="C38" s="49" t="n"/>
      <c r="D38" s="49" t="n"/>
      <c r="E38" s="49" t="n"/>
      <c r="F38" s="49" t="n"/>
    </row>
    <row r="39" ht="15.75" customHeight="1" s="57">
      <c r="A39" s="49" t="n"/>
      <c r="B39" s="49" t="n"/>
      <c r="C39" s="49" t="n"/>
      <c r="D39" s="49" t="n"/>
      <c r="E39" s="49" t="n"/>
      <c r="F39" s="49" t="n"/>
    </row>
    <row r="40" ht="15.75" customHeight="1" s="57">
      <c r="A40" s="49" t="n"/>
      <c r="B40" s="49" t="n"/>
      <c r="C40" s="49" t="n"/>
      <c r="D40" s="49" t="n"/>
      <c r="E40" s="49" t="n"/>
      <c r="F40" s="49" t="n"/>
    </row>
    <row r="41" ht="15.75" customHeight="1" s="57">
      <c r="A41" s="49" t="n"/>
      <c r="B41" s="49" t="n"/>
      <c r="C41" s="49" t="n"/>
      <c r="D41" s="49" t="n"/>
      <c r="E41" s="49" t="n"/>
      <c r="F41" s="49" t="n"/>
    </row>
    <row r="42" ht="15.75" customHeight="1" s="57">
      <c r="A42" s="49" t="n"/>
      <c r="B42" s="49" t="n"/>
      <c r="C42" s="49" t="n"/>
      <c r="D42" s="49" t="n"/>
      <c r="E42" s="49" t="n"/>
      <c r="F42" s="49" t="n"/>
    </row>
    <row r="43" ht="15.75" customHeight="1" s="57">
      <c r="A43" s="49" t="n"/>
      <c r="B43" s="49" t="n"/>
      <c r="C43" s="49" t="n"/>
      <c r="D43" s="49" t="n"/>
      <c r="E43" s="49" t="n"/>
      <c r="F43" s="49" t="n"/>
    </row>
    <row r="44" ht="15.75" customHeight="1" s="57">
      <c r="A44" s="49" t="n"/>
      <c r="B44" s="49" t="n"/>
      <c r="C44" s="49" t="n"/>
      <c r="D44" s="49" t="n"/>
      <c r="E44" s="49" t="n"/>
      <c r="F44" s="49" t="n"/>
    </row>
    <row r="45" ht="15.75" customHeight="1" s="57">
      <c r="A45" s="49" t="n"/>
      <c r="B45" s="49" t="n"/>
      <c r="C45" s="49" t="n"/>
      <c r="D45" s="49" t="n"/>
      <c r="E45" s="49" t="n"/>
      <c r="F45" s="49" t="n"/>
    </row>
    <row r="46" ht="15.75" customHeight="1" s="57">
      <c r="A46" s="49" t="n"/>
      <c r="B46" s="49" t="n"/>
      <c r="C46" s="49" t="n"/>
      <c r="D46" s="49" t="n"/>
      <c r="E46" s="49" t="n"/>
      <c r="F46" s="49" t="n"/>
    </row>
    <row r="47" ht="15.75" customHeight="1" s="57">
      <c r="A47" s="49" t="n"/>
      <c r="B47" s="49" t="n"/>
      <c r="C47" s="49" t="n"/>
      <c r="D47" s="49" t="n"/>
      <c r="E47" s="49" t="n"/>
      <c r="F47" s="49" t="n"/>
    </row>
    <row r="48" ht="15.75" customHeight="1" s="57">
      <c r="A48" s="49" t="n"/>
      <c r="B48" s="49" t="n"/>
      <c r="C48" s="49" t="n"/>
      <c r="D48" s="49" t="n"/>
      <c r="E48" s="49" t="n"/>
      <c r="F48" s="49" t="n"/>
    </row>
    <row r="49" ht="15.75" customHeight="1" s="57">
      <c r="A49" s="49" t="n"/>
      <c r="B49" s="49" t="n"/>
      <c r="C49" s="49" t="n"/>
      <c r="D49" s="49" t="n"/>
      <c r="E49" s="49" t="n"/>
      <c r="F49" s="49" t="n"/>
    </row>
    <row r="50" ht="15.75" customHeight="1" s="57">
      <c r="A50" s="49" t="n"/>
      <c r="B50" s="49" t="n"/>
      <c r="C50" s="49" t="n"/>
      <c r="D50" s="49" t="n"/>
      <c r="E50" s="49" t="n"/>
      <c r="F50" s="49" t="n"/>
    </row>
    <row r="51" ht="15.75" customHeight="1" s="57">
      <c r="A51" s="49" t="n"/>
      <c r="B51" s="49" t="n"/>
      <c r="C51" s="49" t="n"/>
      <c r="D51" s="49" t="n"/>
      <c r="E51" s="49" t="n"/>
      <c r="F51" s="49" t="n"/>
    </row>
    <row r="52" ht="15.75" customHeight="1" s="57">
      <c r="A52" s="49" t="n"/>
      <c r="B52" s="49" t="n"/>
      <c r="C52" s="49" t="n"/>
      <c r="D52" s="49" t="n"/>
      <c r="E52" s="49" t="n"/>
      <c r="F52" s="49" t="n"/>
    </row>
    <row r="53" ht="15.75" customHeight="1" s="57">
      <c r="A53" s="49" t="n"/>
      <c r="B53" s="49" t="n"/>
      <c r="C53" s="49" t="n"/>
      <c r="D53" s="49" t="n"/>
      <c r="E53" s="49" t="n"/>
      <c r="F53" s="49" t="n"/>
    </row>
    <row r="54" ht="15.75" customHeight="1" s="57">
      <c r="A54" s="49" t="n"/>
      <c r="B54" s="49" t="n"/>
      <c r="C54" s="49" t="n"/>
      <c r="D54" s="49" t="n"/>
      <c r="E54" s="49" t="n"/>
      <c r="F54" s="49" t="n"/>
    </row>
    <row r="55" ht="15.75" customHeight="1" s="57">
      <c r="A55" s="49" t="n"/>
      <c r="B55" s="49" t="n"/>
      <c r="C55" s="49" t="n"/>
      <c r="D55" s="49" t="n"/>
      <c r="E55" s="49" t="n"/>
      <c r="F55" s="49" t="n"/>
    </row>
    <row r="56" ht="15.75" customHeight="1" s="57">
      <c r="A56" s="49" t="n"/>
      <c r="B56" s="49" t="n"/>
      <c r="C56" s="49" t="n"/>
      <c r="D56" s="49" t="n"/>
      <c r="E56" s="49" t="n"/>
      <c r="F56" s="49" t="n"/>
    </row>
    <row r="57" ht="15.75" customHeight="1" s="57">
      <c r="A57" s="49" t="n"/>
      <c r="B57" s="49" t="n"/>
      <c r="C57" s="49" t="n"/>
      <c r="D57" s="49" t="n"/>
      <c r="E57" s="49" t="n"/>
      <c r="F57" s="49" t="n"/>
    </row>
    <row r="58" ht="15.75" customHeight="1" s="57">
      <c r="A58" s="49" t="n"/>
      <c r="B58" s="49" t="n"/>
      <c r="C58" s="49" t="n"/>
      <c r="D58" s="49" t="n"/>
      <c r="E58" s="49" t="n"/>
      <c r="F58" s="49" t="n"/>
    </row>
    <row r="59" ht="15.75" customHeight="1" s="57">
      <c r="A59" s="49" t="n"/>
      <c r="B59" s="49" t="n"/>
      <c r="C59" s="49" t="n"/>
      <c r="D59" s="49" t="n"/>
      <c r="E59" s="49" t="n"/>
      <c r="F59" s="49" t="n"/>
    </row>
    <row r="60" ht="15.75" customHeight="1" s="57">
      <c r="A60" s="49" t="n"/>
      <c r="B60" s="49" t="n"/>
      <c r="C60" s="49" t="n"/>
      <c r="D60" s="49" t="n"/>
      <c r="E60" s="49" t="n"/>
      <c r="F60" s="49" t="n"/>
    </row>
    <row r="61" ht="15.75" customHeight="1" s="57">
      <c r="A61" s="49" t="n"/>
      <c r="B61" s="49" t="n"/>
      <c r="C61" s="49" t="n"/>
      <c r="D61" s="49" t="n"/>
      <c r="E61" s="49" t="n"/>
      <c r="F61" s="49" t="n"/>
    </row>
    <row r="62" ht="15.75" customHeight="1" s="57">
      <c r="A62" s="49" t="n"/>
      <c r="B62" s="49" t="n"/>
      <c r="C62" s="49" t="n"/>
      <c r="D62" s="49" t="n"/>
      <c r="E62" s="49" t="n"/>
      <c r="F62" s="49" t="n"/>
    </row>
    <row r="63" ht="15.75" customHeight="1" s="57">
      <c r="A63" s="49" t="n"/>
      <c r="B63" s="49" t="n"/>
      <c r="C63" s="49" t="n"/>
      <c r="D63" s="49" t="n"/>
      <c r="E63" s="49" t="n"/>
      <c r="F63" s="49" t="n"/>
    </row>
    <row r="64" ht="15.75" customHeight="1" s="57">
      <c r="A64" s="49" t="n"/>
      <c r="B64" s="49" t="n"/>
      <c r="C64" s="49" t="n"/>
      <c r="D64" s="49" t="n"/>
      <c r="E64" s="49" t="n"/>
      <c r="F64" s="49" t="n"/>
    </row>
    <row r="65" ht="15.75" customHeight="1" s="57">
      <c r="A65" s="49" t="n"/>
      <c r="B65" s="49" t="n"/>
      <c r="C65" s="49" t="n"/>
      <c r="D65" s="49" t="n"/>
      <c r="E65" s="49" t="n"/>
      <c r="F65" s="49" t="n"/>
    </row>
    <row r="66" ht="15.75" customHeight="1" s="57">
      <c r="A66" s="49" t="n"/>
      <c r="B66" s="49" t="n"/>
      <c r="C66" s="49" t="n"/>
      <c r="D66" s="49" t="n"/>
      <c r="E66" s="49" t="n"/>
      <c r="F66" s="49" t="n"/>
    </row>
    <row r="67" ht="15.75" customHeight="1" s="57">
      <c r="A67" s="49" t="n"/>
      <c r="B67" s="49" t="n"/>
      <c r="C67" s="49" t="n"/>
      <c r="D67" s="49" t="n"/>
      <c r="E67" s="49" t="n"/>
      <c r="F67" s="49" t="n"/>
    </row>
    <row r="68" ht="15.75" customHeight="1" s="57">
      <c r="A68" s="49" t="n"/>
      <c r="B68" s="49" t="n"/>
      <c r="C68" s="49" t="n"/>
      <c r="D68" s="49" t="n"/>
      <c r="E68" s="49" t="n"/>
      <c r="F68" s="49" t="n"/>
    </row>
    <row r="69" ht="15.75" customHeight="1" s="57">
      <c r="A69" s="49" t="n"/>
      <c r="B69" s="49" t="n"/>
      <c r="C69" s="49" t="n"/>
      <c r="D69" s="49" t="n"/>
      <c r="E69" s="49" t="n"/>
      <c r="F69" s="49" t="n"/>
    </row>
    <row r="70" ht="15.75" customHeight="1" s="57">
      <c r="A70" s="49" t="n"/>
      <c r="B70" s="49" t="n"/>
      <c r="C70" s="49" t="n"/>
      <c r="D70" s="49" t="n"/>
      <c r="E70" s="49" t="n"/>
      <c r="F70" s="49" t="n"/>
    </row>
    <row r="71" ht="15.75" customHeight="1" s="57">
      <c r="A71" s="49" t="n"/>
      <c r="B71" s="49" t="n"/>
      <c r="C71" s="49" t="n"/>
      <c r="D71" s="49" t="n"/>
      <c r="E71" s="49" t="n"/>
      <c r="F71" s="49" t="n"/>
    </row>
    <row r="72" ht="15.75" customHeight="1" s="57">
      <c r="A72" s="49" t="n"/>
      <c r="B72" s="49" t="n"/>
      <c r="C72" s="49" t="n"/>
      <c r="D72" s="49" t="n"/>
      <c r="E72" s="49" t="n"/>
      <c r="F72" s="49" t="n"/>
    </row>
    <row r="73" ht="15.75" customHeight="1" s="57">
      <c r="A73" s="49" t="n"/>
      <c r="B73" s="49" t="n"/>
      <c r="C73" s="49" t="n"/>
      <c r="D73" s="49" t="n"/>
      <c r="E73" s="49" t="n"/>
      <c r="F73" s="49" t="n"/>
    </row>
    <row r="74" ht="15.75" customHeight="1" s="57">
      <c r="A74" s="49" t="n"/>
      <c r="B74" s="49" t="n"/>
      <c r="C74" s="49" t="n"/>
      <c r="D74" s="49" t="n"/>
      <c r="E74" s="49" t="n"/>
      <c r="F74" s="49" t="n"/>
    </row>
    <row r="75" ht="15.75" customHeight="1" s="57">
      <c r="A75" s="49" t="n"/>
      <c r="B75" s="49" t="n"/>
      <c r="C75" s="49" t="n"/>
      <c r="D75" s="49" t="n"/>
      <c r="E75" s="49" t="n"/>
      <c r="F75" s="49" t="n"/>
    </row>
    <row r="76" ht="15.75" customHeight="1" s="57">
      <c r="A76" s="49" t="n"/>
      <c r="B76" s="49" t="n"/>
      <c r="C76" s="49" t="n"/>
      <c r="D76" s="49" t="n"/>
      <c r="E76" s="49" t="n"/>
      <c r="F76" s="49" t="n"/>
    </row>
    <row r="77" ht="15.75" customHeight="1" s="57">
      <c r="A77" s="49" t="n"/>
      <c r="B77" s="49" t="n"/>
      <c r="C77" s="49" t="n"/>
      <c r="D77" s="49" t="n"/>
      <c r="E77" s="49" t="n"/>
      <c r="F77" s="49" t="n"/>
    </row>
    <row r="78" ht="15.75" customHeight="1" s="57">
      <c r="A78" s="49" t="n"/>
      <c r="B78" s="49" t="n"/>
      <c r="C78" s="49" t="n"/>
      <c r="D78" s="49" t="n"/>
      <c r="E78" s="49" t="n"/>
      <c r="F78" s="49" t="n"/>
    </row>
    <row r="79" ht="15.75" customHeight="1" s="57">
      <c r="A79" s="49" t="n"/>
      <c r="B79" s="49" t="n"/>
      <c r="C79" s="49" t="n"/>
      <c r="D79" s="49" t="n"/>
      <c r="E79" s="49" t="n"/>
      <c r="F79" s="49" t="n"/>
    </row>
    <row r="80" ht="15.75" customHeight="1" s="57">
      <c r="A80" s="49" t="n"/>
      <c r="B80" s="49" t="n"/>
      <c r="C80" s="49" t="n"/>
      <c r="D80" s="49" t="n"/>
      <c r="E80" s="49" t="n"/>
      <c r="F80" s="49" t="n"/>
    </row>
    <row r="81" ht="15.75" customHeight="1" s="57">
      <c r="A81" s="49" t="n"/>
      <c r="B81" s="49" t="n"/>
      <c r="C81" s="49" t="n"/>
      <c r="D81" s="49" t="n"/>
      <c r="E81" s="49" t="n"/>
      <c r="F81" s="49" t="n"/>
    </row>
    <row r="82" ht="15.75" customHeight="1" s="57">
      <c r="A82" s="49" t="n"/>
      <c r="B82" s="49" t="n"/>
      <c r="C82" s="49" t="n"/>
      <c r="D82" s="49" t="n"/>
      <c r="E82" s="49" t="n"/>
      <c r="F82" s="49" t="n"/>
    </row>
    <row r="83" ht="15.75" customHeight="1" s="57">
      <c r="A83" s="49" t="n"/>
      <c r="B83" s="49" t="n"/>
      <c r="C83" s="49" t="n"/>
      <c r="D83" s="49" t="n"/>
      <c r="E83" s="49" t="n"/>
      <c r="F83" s="49" t="n"/>
    </row>
    <row r="84" ht="15.75" customHeight="1" s="57">
      <c r="A84" s="49" t="n"/>
      <c r="B84" s="49" t="n"/>
      <c r="C84" s="49" t="n"/>
      <c r="D84" s="49" t="n"/>
      <c r="E84" s="49" t="n"/>
      <c r="F84" s="49" t="n"/>
    </row>
    <row r="85" ht="15.75" customHeight="1" s="57">
      <c r="A85" s="49" t="n"/>
      <c r="B85" s="49" t="n"/>
      <c r="C85" s="49" t="n"/>
      <c r="D85" s="49" t="n"/>
      <c r="E85" s="49" t="n"/>
      <c r="F85" s="49" t="n"/>
    </row>
    <row r="86" ht="15.75" customHeight="1" s="57">
      <c r="A86" s="49" t="n"/>
      <c r="B86" s="49" t="n"/>
      <c r="C86" s="49" t="n"/>
      <c r="D86" s="49" t="n"/>
      <c r="E86" s="49" t="n"/>
      <c r="F86" s="49" t="n"/>
    </row>
    <row r="87" ht="15.75" customHeight="1" s="57">
      <c r="A87" s="49" t="n"/>
      <c r="B87" s="49" t="n"/>
      <c r="C87" s="49" t="n"/>
      <c r="D87" s="49" t="n"/>
      <c r="E87" s="49" t="n"/>
      <c r="F87" s="49" t="n"/>
    </row>
    <row r="88" ht="15.75" customHeight="1" s="57">
      <c r="A88" s="49" t="n"/>
      <c r="B88" s="49" t="n"/>
      <c r="C88" s="49" t="n"/>
      <c r="D88" s="49" t="n"/>
      <c r="E88" s="49" t="n"/>
      <c r="F88" s="49" t="n"/>
    </row>
    <row r="89" ht="15.75" customHeight="1" s="57">
      <c r="A89" s="49" t="n"/>
      <c r="B89" s="49" t="n"/>
      <c r="C89" s="49" t="n"/>
      <c r="D89" s="49" t="n"/>
      <c r="E89" s="49" t="n"/>
      <c r="F89" s="49" t="n"/>
    </row>
    <row r="90" ht="15.75" customHeight="1" s="57">
      <c r="A90" s="49" t="n"/>
      <c r="B90" s="49" t="n"/>
      <c r="C90" s="49" t="n"/>
      <c r="D90" s="49" t="n"/>
      <c r="E90" s="49" t="n"/>
      <c r="F90" s="49" t="n"/>
    </row>
    <row r="91" ht="15.75" customHeight="1" s="57">
      <c r="A91" s="49" t="n"/>
      <c r="B91" s="49" t="n"/>
      <c r="C91" s="49" t="n"/>
      <c r="D91" s="49" t="n"/>
      <c r="E91" s="49" t="n"/>
      <c r="F91" s="49" t="n"/>
    </row>
    <row r="92" ht="15.75" customHeight="1" s="57">
      <c r="A92" s="49" t="n"/>
      <c r="B92" s="49" t="n"/>
      <c r="C92" s="49" t="n"/>
      <c r="D92" s="49" t="n"/>
      <c r="E92" s="49" t="n"/>
      <c r="F92" s="49" t="n"/>
    </row>
    <row r="93" ht="15.75" customHeight="1" s="57">
      <c r="A93" s="49" t="n"/>
      <c r="B93" s="49" t="n"/>
      <c r="C93" s="49" t="n"/>
      <c r="D93" s="49" t="n"/>
      <c r="E93" s="49" t="n"/>
      <c r="F93" s="49" t="n"/>
    </row>
    <row r="94" ht="15.75" customHeight="1" s="57">
      <c r="A94" s="49" t="n"/>
      <c r="B94" s="49" t="n"/>
      <c r="C94" s="49" t="n"/>
      <c r="D94" s="49" t="n"/>
      <c r="E94" s="49" t="n"/>
      <c r="F94" s="49" t="n"/>
    </row>
    <row r="95" ht="15.75" customHeight="1" s="57">
      <c r="A95" s="49" t="n"/>
      <c r="B95" s="49" t="n"/>
      <c r="C95" s="49" t="n"/>
      <c r="D95" s="49" t="n"/>
      <c r="E95" s="49" t="n"/>
      <c r="F95" s="49" t="n"/>
    </row>
    <row r="96" ht="15.75" customHeight="1" s="57">
      <c r="A96" s="49" t="n"/>
      <c r="B96" s="49" t="n"/>
      <c r="C96" s="49" t="n"/>
      <c r="D96" s="49" t="n"/>
      <c r="E96" s="49" t="n"/>
      <c r="F96" s="49" t="n"/>
    </row>
    <row r="97" ht="15.75" customHeight="1" s="57">
      <c r="A97" s="49" t="n"/>
      <c r="B97" s="49" t="n"/>
      <c r="C97" s="49" t="n"/>
      <c r="D97" s="49" t="n"/>
      <c r="E97" s="49" t="n"/>
      <c r="F97" s="49" t="n"/>
    </row>
    <row r="98" ht="15.75" customHeight="1" s="57">
      <c r="A98" s="49" t="n"/>
      <c r="B98" s="49" t="n"/>
      <c r="C98" s="49" t="n"/>
      <c r="D98" s="49" t="n"/>
      <c r="E98" s="49" t="n"/>
      <c r="F98" s="49" t="n"/>
    </row>
    <row r="99" ht="15.75" customHeight="1" s="57">
      <c r="A99" s="49" t="n"/>
      <c r="B99" s="49" t="n"/>
      <c r="C99" s="49" t="n"/>
      <c r="D99" s="49" t="n"/>
      <c r="E99" s="49" t="n"/>
      <c r="F99" s="49" t="n"/>
    </row>
    <row r="100" ht="15.75" customHeight="1" s="57">
      <c r="A100" s="49" t="n"/>
      <c r="B100" s="49" t="n"/>
      <c r="C100" s="49" t="n"/>
      <c r="D100" s="49" t="n"/>
      <c r="E100" s="49" t="n"/>
      <c r="F100" s="49" t="n"/>
    </row>
    <row r="101" ht="15.75" customHeight="1" s="57">
      <c r="A101" s="49" t="n"/>
      <c r="B101" s="49" t="n"/>
      <c r="C101" s="49" t="n"/>
      <c r="D101" s="49" t="n"/>
      <c r="E101" s="49" t="n"/>
      <c r="F101" s="49" t="n"/>
    </row>
    <row r="102" ht="15.75" customHeight="1" s="57">
      <c r="A102" s="49" t="n"/>
      <c r="B102" s="49" t="n"/>
      <c r="C102" s="49" t="n"/>
      <c r="D102" s="49" t="n"/>
      <c r="E102" s="49" t="n"/>
      <c r="F102" s="49" t="n"/>
    </row>
    <row r="103" ht="15.75" customHeight="1" s="57">
      <c r="A103" s="49" t="n"/>
      <c r="B103" s="49" t="n"/>
      <c r="C103" s="49" t="n"/>
      <c r="D103" s="49" t="n"/>
      <c r="E103" s="49" t="n"/>
      <c r="F103" s="49" t="n"/>
    </row>
    <row r="104" ht="15.75" customHeight="1" s="57">
      <c r="A104" s="49" t="n"/>
      <c r="B104" s="49" t="n"/>
      <c r="C104" s="49" t="n"/>
      <c r="D104" s="49" t="n"/>
      <c r="E104" s="49" t="n"/>
      <c r="F104" s="49" t="n"/>
    </row>
    <row r="105" ht="15.75" customHeight="1" s="57">
      <c r="A105" s="49" t="n"/>
      <c r="B105" s="49" t="n"/>
      <c r="C105" s="49" t="n"/>
      <c r="D105" s="49" t="n"/>
      <c r="E105" s="49" t="n"/>
      <c r="F105" s="49" t="n"/>
    </row>
    <row r="106" ht="15.75" customHeight="1" s="57">
      <c r="A106" s="49" t="n"/>
      <c r="B106" s="49" t="n"/>
      <c r="C106" s="49" t="n"/>
      <c r="D106" s="49" t="n"/>
      <c r="E106" s="49" t="n"/>
      <c r="F106" s="49" t="n"/>
    </row>
    <row r="107" ht="15.75" customHeight="1" s="57">
      <c r="A107" s="49" t="n"/>
      <c r="B107" s="49" t="n"/>
      <c r="C107" s="49" t="n"/>
      <c r="D107" s="49" t="n"/>
      <c r="E107" s="49" t="n"/>
      <c r="F107" s="49" t="n"/>
    </row>
    <row r="108" ht="15.75" customHeight="1" s="57">
      <c r="A108" s="49" t="n"/>
      <c r="B108" s="49" t="n"/>
      <c r="C108" s="49" t="n"/>
      <c r="D108" s="49" t="n"/>
      <c r="E108" s="49" t="n"/>
      <c r="F108" s="49" t="n"/>
    </row>
    <row r="109" ht="15.75" customHeight="1" s="57">
      <c r="A109" s="49" t="n"/>
      <c r="B109" s="49" t="n"/>
      <c r="C109" s="49" t="n"/>
      <c r="D109" s="49" t="n"/>
      <c r="E109" s="49" t="n"/>
      <c r="F109" s="49" t="n"/>
    </row>
    <row r="110" ht="15.75" customHeight="1" s="57">
      <c r="A110" s="49" t="n"/>
      <c r="B110" s="49" t="n"/>
      <c r="C110" s="49" t="n"/>
      <c r="D110" s="49" t="n"/>
      <c r="E110" s="49" t="n"/>
      <c r="F110" s="49" t="n"/>
    </row>
    <row r="111" ht="15.75" customHeight="1" s="57">
      <c r="A111" s="49" t="n"/>
      <c r="B111" s="49" t="n"/>
      <c r="C111" s="49" t="n"/>
      <c r="D111" s="49" t="n"/>
      <c r="E111" s="49" t="n"/>
      <c r="F111" s="49" t="n"/>
    </row>
    <row r="112" ht="15.75" customHeight="1" s="57">
      <c r="A112" s="49" t="n"/>
      <c r="B112" s="49" t="n"/>
      <c r="C112" s="49" t="n"/>
      <c r="D112" s="49" t="n"/>
      <c r="E112" s="49" t="n"/>
      <c r="F112" s="49" t="n"/>
    </row>
    <row r="113" ht="15.75" customHeight="1" s="57">
      <c r="A113" s="49" t="n"/>
      <c r="B113" s="49" t="n"/>
      <c r="C113" s="49" t="n"/>
      <c r="D113" s="49" t="n"/>
      <c r="E113" s="49" t="n"/>
      <c r="F113" s="49" t="n"/>
    </row>
    <row r="114" ht="15.75" customHeight="1" s="57">
      <c r="A114" s="49" t="n"/>
      <c r="B114" s="49" t="n"/>
      <c r="C114" s="49" t="n"/>
      <c r="D114" s="49" t="n"/>
      <c r="E114" s="49" t="n"/>
      <c r="F114" s="49" t="n"/>
    </row>
    <row r="115" ht="15.75" customHeight="1" s="57">
      <c r="A115" s="49" t="n"/>
      <c r="B115" s="49" t="n"/>
      <c r="C115" s="49" t="n"/>
      <c r="D115" s="49" t="n"/>
      <c r="E115" s="49" t="n"/>
      <c r="F115" s="49" t="n"/>
    </row>
    <row r="116" ht="15.75" customHeight="1" s="57">
      <c r="A116" s="49" t="n"/>
      <c r="B116" s="49" t="n"/>
      <c r="C116" s="49" t="n"/>
      <c r="D116" s="49" t="n"/>
      <c r="E116" s="49" t="n"/>
      <c r="F116" s="49" t="n"/>
    </row>
    <row r="117" ht="15.75" customHeight="1" s="57">
      <c r="A117" s="49" t="n"/>
      <c r="B117" s="49" t="n"/>
      <c r="C117" s="49" t="n"/>
      <c r="D117" s="49" t="n"/>
      <c r="E117" s="49" t="n"/>
      <c r="F117" s="49" t="n"/>
    </row>
    <row r="118" ht="15.75" customHeight="1" s="57">
      <c r="A118" s="49" t="n"/>
      <c r="B118" s="49" t="n"/>
      <c r="C118" s="49" t="n"/>
      <c r="D118" s="49" t="n"/>
      <c r="E118" s="49" t="n"/>
      <c r="F118" s="49" t="n"/>
    </row>
    <row r="119" ht="15.75" customHeight="1" s="57">
      <c r="A119" s="49" t="n"/>
      <c r="B119" s="49" t="n"/>
      <c r="C119" s="49" t="n"/>
      <c r="D119" s="49" t="n"/>
      <c r="E119" s="49" t="n"/>
      <c r="F119" s="49" t="n"/>
    </row>
    <row r="120" ht="15.75" customHeight="1" s="57">
      <c r="A120" s="49" t="n"/>
      <c r="B120" s="49" t="n"/>
      <c r="C120" s="49" t="n"/>
      <c r="D120" s="49" t="n"/>
      <c r="E120" s="49" t="n"/>
      <c r="F120" s="49" t="n"/>
    </row>
    <row r="121" ht="15.75" customHeight="1" s="57">
      <c r="A121" s="49" t="n"/>
      <c r="B121" s="49" t="n"/>
      <c r="C121" s="49" t="n"/>
      <c r="D121" s="49" t="n"/>
      <c r="E121" s="49" t="n"/>
      <c r="F121" s="49" t="n"/>
    </row>
    <row r="122" ht="15.75" customHeight="1" s="57">
      <c r="A122" s="49" t="n"/>
      <c r="B122" s="49" t="n"/>
      <c r="C122" s="49" t="n"/>
      <c r="D122" s="49" t="n"/>
      <c r="E122" s="49" t="n"/>
      <c r="F122" s="49" t="n"/>
    </row>
    <row r="123" ht="15.75" customHeight="1" s="57">
      <c r="A123" s="49" t="n"/>
      <c r="B123" s="49" t="n"/>
      <c r="C123" s="49" t="n"/>
      <c r="D123" s="49" t="n"/>
      <c r="E123" s="49" t="n"/>
      <c r="F123" s="49" t="n"/>
    </row>
    <row r="124" ht="15.75" customHeight="1" s="57">
      <c r="A124" s="49" t="n"/>
      <c r="B124" s="49" t="n"/>
      <c r="C124" s="49" t="n"/>
      <c r="D124" s="49" t="n"/>
      <c r="E124" s="49" t="n"/>
      <c r="F124" s="49" t="n"/>
    </row>
    <row r="125" ht="15.75" customHeight="1" s="57">
      <c r="A125" s="49" t="n"/>
      <c r="B125" s="49" t="n"/>
      <c r="C125" s="49" t="n"/>
      <c r="D125" s="49" t="n"/>
      <c r="E125" s="49" t="n"/>
      <c r="F125" s="49" t="n"/>
    </row>
    <row r="126" ht="15.75" customHeight="1" s="57">
      <c r="A126" s="49" t="n"/>
      <c r="B126" s="49" t="n"/>
      <c r="C126" s="49" t="n"/>
      <c r="D126" s="49" t="n"/>
      <c r="E126" s="49" t="n"/>
      <c r="F126" s="49" t="n"/>
    </row>
    <row r="127" ht="15.75" customHeight="1" s="57">
      <c r="A127" s="49" t="n"/>
      <c r="B127" s="49" t="n"/>
      <c r="C127" s="49" t="n"/>
      <c r="D127" s="49" t="n"/>
      <c r="E127" s="49" t="n"/>
      <c r="F127" s="49" t="n"/>
    </row>
    <row r="128" ht="15.75" customHeight="1" s="57">
      <c r="A128" s="49" t="n"/>
      <c r="B128" s="49" t="n"/>
      <c r="C128" s="49" t="n"/>
      <c r="D128" s="49" t="n"/>
      <c r="E128" s="49" t="n"/>
      <c r="F128" s="49" t="n"/>
    </row>
    <row r="129" ht="15.75" customHeight="1" s="57">
      <c r="A129" s="49" t="n"/>
      <c r="B129" s="49" t="n"/>
      <c r="C129" s="49" t="n"/>
      <c r="D129" s="49" t="n"/>
      <c r="E129" s="49" t="n"/>
      <c r="F129" s="49" t="n"/>
    </row>
    <row r="130" ht="15.75" customHeight="1" s="57">
      <c r="A130" s="49" t="n"/>
      <c r="B130" s="49" t="n"/>
      <c r="C130" s="49" t="n"/>
      <c r="D130" s="49" t="n"/>
      <c r="E130" s="49" t="n"/>
      <c r="F130" s="49" t="n"/>
    </row>
    <row r="131" ht="15.75" customHeight="1" s="57">
      <c r="A131" s="49" t="n"/>
      <c r="B131" s="49" t="n"/>
      <c r="C131" s="49" t="n"/>
      <c r="D131" s="49" t="n"/>
      <c r="E131" s="49" t="n"/>
      <c r="F131" s="49" t="n"/>
    </row>
    <row r="132" ht="15.75" customHeight="1" s="57">
      <c r="A132" s="49" t="n"/>
      <c r="B132" s="49" t="n"/>
      <c r="C132" s="49" t="n"/>
      <c r="D132" s="49" t="n"/>
      <c r="E132" s="49" t="n"/>
      <c r="F132" s="49" t="n"/>
    </row>
    <row r="133" ht="15.75" customHeight="1" s="57">
      <c r="A133" s="49" t="n"/>
      <c r="B133" s="49" t="n"/>
      <c r="C133" s="49" t="n"/>
      <c r="D133" s="49" t="n"/>
      <c r="E133" s="49" t="n"/>
      <c r="F133" s="49" t="n"/>
    </row>
    <row r="134" ht="15.75" customHeight="1" s="57">
      <c r="A134" s="49" t="n"/>
      <c r="B134" s="49" t="n"/>
      <c r="C134" s="49" t="n"/>
      <c r="D134" s="49" t="n"/>
      <c r="E134" s="49" t="n"/>
      <c r="F134" s="49" t="n"/>
    </row>
    <row r="135" ht="15.75" customHeight="1" s="57">
      <c r="A135" s="49" t="n"/>
      <c r="B135" s="49" t="n"/>
      <c r="C135" s="49" t="n"/>
      <c r="D135" s="49" t="n"/>
      <c r="E135" s="49" t="n"/>
      <c r="F135" s="49" t="n"/>
    </row>
    <row r="136" ht="15.75" customHeight="1" s="57">
      <c r="A136" s="49" t="n"/>
      <c r="B136" s="49" t="n"/>
      <c r="C136" s="49" t="n"/>
      <c r="D136" s="49" t="n"/>
      <c r="E136" s="49" t="n"/>
      <c r="F136" s="49" t="n"/>
    </row>
    <row r="137" ht="15.75" customHeight="1" s="57">
      <c r="A137" s="49" t="n"/>
      <c r="B137" s="49" t="n"/>
      <c r="C137" s="49" t="n"/>
      <c r="D137" s="49" t="n"/>
      <c r="E137" s="49" t="n"/>
      <c r="F137" s="49" t="n"/>
    </row>
    <row r="138" ht="15.75" customHeight="1" s="57">
      <c r="A138" s="49" t="n"/>
      <c r="B138" s="49" t="n"/>
      <c r="C138" s="49" t="n"/>
      <c r="D138" s="49" t="n"/>
      <c r="E138" s="49" t="n"/>
      <c r="F138" s="49" t="n"/>
    </row>
    <row r="139" ht="15.75" customHeight="1" s="57">
      <c r="A139" s="49" t="n"/>
      <c r="B139" s="49" t="n"/>
      <c r="C139" s="49" t="n"/>
      <c r="D139" s="49" t="n"/>
      <c r="E139" s="49" t="n"/>
      <c r="F139" s="49" t="n"/>
    </row>
    <row r="140" ht="15.75" customHeight="1" s="57">
      <c r="A140" s="49" t="n"/>
      <c r="B140" s="49" t="n"/>
      <c r="C140" s="49" t="n"/>
      <c r="D140" s="49" t="n"/>
      <c r="E140" s="49" t="n"/>
      <c r="F140" s="49" t="n"/>
    </row>
    <row r="141" ht="15.75" customHeight="1" s="57">
      <c r="A141" s="49" t="n"/>
      <c r="B141" s="49" t="n"/>
      <c r="C141" s="49" t="n"/>
      <c r="D141" s="49" t="n"/>
      <c r="E141" s="49" t="n"/>
      <c r="F141" s="49" t="n"/>
    </row>
    <row r="142" ht="15.75" customHeight="1" s="57">
      <c r="A142" s="49" t="n"/>
      <c r="B142" s="49" t="n"/>
      <c r="C142" s="49" t="n"/>
      <c r="D142" s="49" t="n"/>
      <c r="E142" s="49" t="n"/>
      <c r="F142" s="49" t="n"/>
    </row>
    <row r="143" ht="15.75" customHeight="1" s="57">
      <c r="A143" s="49" t="n"/>
      <c r="B143" s="49" t="n"/>
      <c r="C143" s="49" t="n"/>
      <c r="D143" s="49" t="n"/>
      <c r="E143" s="49" t="n"/>
      <c r="F143" s="49" t="n"/>
    </row>
    <row r="144" ht="15.75" customHeight="1" s="57">
      <c r="A144" s="49" t="n"/>
      <c r="B144" s="49" t="n"/>
      <c r="C144" s="49" t="n"/>
      <c r="D144" s="49" t="n"/>
      <c r="E144" s="49" t="n"/>
      <c r="F144" s="49" t="n"/>
    </row>
    <row r="145" ht="15.75" customHeight="1" s="57">
      <c r="A145" s="49" t="n"/>
      <c r="B145" s="49" t="n"/>
      <c r="C145" s="49" t="n"/>
      <c r="D145" s="49" t="n"/>
      <c r="E145" s="49" t="n"/>
      <c r="F145" s="49" t="n"/>
    </row>
    <row r="146" ht="15.75" customHeight="1" s="57">
      <c r="A146" s="49" t="n"/>
      <c r="B146" s="49" t="n"/>
      <c r="C146" s="49" t="n"/>
      <c r="D146" s="49" t="n"/>
      <c r="E146" s="49" t="n"/>
      <c r="F146" s="49" t="n"/>
    </row>
    <row r="147" ht="15.75" customHeight="1" s="57">
      <c r="A147" s="49" t="n"/>
      <c r="B147" s="49" t="n"/>
      <c r="C147" s="49" t="n"/>
      <c r="D147" s="49" t="n"/>
      <c r="E147" s="49" t="n"/>
      <c r="F147" s="49" t="n"/>
    </row>
    <row r="148" ht="15.75" customHeight="1" s="57">
      <c r="A148" s="49" t="n"/>
      <c r="B148" s="49" t="n"/>
      <c r="C148" s="49" t="n"/>
      <c r="D148" s="49" t="n"/>
      <c r="E148" s="49" t="n"/>
      <c r="F148" s="49" t="n"/>
    </row>
    <row r="149" ht="15.75" customHeight="1" s="57">
      <c r="A149" s="49" t="n"/>
      <c r="B149" s="49" t="n"/>
      <c r="C149" s="49" t="n"/>
      <c r="D149" s="49" t="n"/>
      <c r="E149" s="49" t="n"/>
      <c r="F149" s="49" t="n"/>
    </row>
    <row r="150" ht="15.75" customHeight="1" s="57">
      <c r="A150" s="49" t="n"/>
      <c r="B150" s="49" t="n"/>
      <c r="C150" s="49" t="n"/>
      <c r="D150" s="49" t="n"/>
      <c r="E150" s="49" t="n"/>
      <c r="F150" s="49" t="n"/>
    </row>
    <row r="151" ht="15.75" customHeight="1" s="57">
      <c r="A151" s="49" t="n"/>
      <c r="B151" s="49" t="n"/>
      <c r="C151" s="49" t="n"/>
      <c r="D151" s="49" t="n"/>
      <c r="E151" s="49" t="n"/>
      <c r="F151" s="49" t="n"/>
    </row>
    <row r="152" ht="15.75" customHeight="1" s="57">
      <c r="A152" s="49" t="n"/>
      <c r="B152" s="49" t="n"/>
      <c r="C152" s="49" t="n"/>
      <c r="D152" s="49" t="n"/>
      <c r="E152" s="49" t="n"/>
      <c r="F152" s="49" t="n"/>
    </row>
    <row r="153" ht="15.75" customHeight="1" s="57">
      <c r="A153" s="49" t="n"/>
      <c r="B153" s="49" t="n"/>
      <c r="C153" s="49" t="n"/>
      <c r="D153" s="49" t="n"/>
      <c r="E153" s="49" t="n"/>
      <c r="F153" s="49" t="n"/>
    </row>
    <row r="154" ht="15.75" customHeight="1" s="57">
      <c r="A154" s="49" t="n"/>
      <c r="B154" s="49" t="n"/>
      <c r="C154" s="49" t="n"/>
      <c r="D154" s="49" t="n"/>
      <c r="E154" s="49" t="n"/>
      <c r="F154" s="49" t="n"/>
    </row>
    <row r="155" ht="15.75" customHeight="1" s="57">
      <c r="A155" s="49" t="n"/>
      <c r="B155" s="49" t="n"/>
      <c r="C155" s="49" t="n"/>
      <c r="D155" s="49" t="n"/>
      <c r="E155" s="49" t="n"/>
      <c r="F155" s="49" t="n"/>
    </row>
    <row r="156" ht="15.75" customHeight="1" s="57">
      <c r="A156" s="49" t="n"/>
      <c r="B156" s="49" t="n"/>
      <c r="C156" s="49" t="n"/>
      <c r="D156" s="49" t="n"/>
      <c r="E156" s="49" t="n"/>
      <c r="F156" s="49" t="n"/>
    </row>
    <row r="157" ht="15.75" customHeight="1" s="57">
      <c r="A157" s="49" t="n"/>
      <c r="B157" s="49" t="n"/>
      <c r="C157" s="49" t="n"/>
      <c r="D157" s="49" t="n"/>
      <c r="E157" s="49" t="n"/>
      <c r="F157" s="49" t="n"/>
    </row>
    <row r="158" ht="15.75" customHeight="1" s="57">
      <c r="A158" s="49" t="n"/>
      <c r="B158" s="49" t="n"/>
      <c r="C158" s="49" t="n"/>
      <c r="D158" s="49" t="n"/>
      <c r="E158" s="49" t="n"/>
      <c r="F158" s="49" t="n"/>
    </row>
    <row r="159" ht="15.75" customHeight="1" s="57">
      <c r="A159" s="49" t="n"/>
      <c r="B159" s="49" t="n"/>
      <c r="C159" s="49" t="n"/>
      <c r="D159" s="49" t="n"/>
      <c r="E159" s="49" t="n"/>
      <c r="F159" s="49" t="n"/>
    </row>
    <row r="160" ht="15.75" customHeight="1" s="57">
      <c r="A160" s="49" t="n"/>
      <c r="B160" s="49" t="n"/>
      <c r="C160" s="49" t="n"/>
      <c r="D160" s="49" t="n"/>
      <c r="E160" s="49" t="n"/>
      <c r="F160" s="49" t="n"/>
    </row>
    <row r="161" ht="15.75" customHeight="1" s="57">
      <c r="A161" s="49" t="n"/>
      <c r="B161" s="49" t="n"/>
      <c r="C161" s="49" t="n"/>
      <c r="D161" s="49" t="n"/>
      <c r="E161" s="49" t="n"/>
      <c r="F161" s="49" t="n"/>
    </row>
    <row r="162" ht="15.75" customHeight="1" s="57">
      <c r="A162" s="49" t="n"/>
      <c r="B162" s="49" t="n"/>
      <c r="C162" s="49" t="n"/>
      <c r="D162" s="49" t="n"/>
      <c r="E162" s="49" t="n"/>
      <c r="F162" s="49" t="n"/>
    </row>
    <row r="163" ht="15.75" customHeight="1" s="57">
      <c r="A163" s="49" t="n"/>
      <c r="B163" s="49" t="n"/>
      <c r="C163" s="49" t="n"/>
      <c r="D163" s="49" t="n"/>
      <c r="E163" s="49" t="n"/>
      <c r="F163" s="49" t="n"/>
    </row>
    <row r="164" ht="15.75" customHeight="1" s="57">
      <c r="A164" s="49" t="n"/>
      <c r="B164" s="49" t="n"/>
      <c r="C164" s="49" t="n"/>
      <c r="D164" s="49" t="n"/>
      <c r="E164" s="49" t="n"/>
      <c r="F164" s="49" t="n"/>
    </row>
    <row r="165" ht="15.75" customHeight="1" s="57">
      <c r="A165" s="49" t="n"/>
      <c r="B165" s="49" t="n"/>
      <c r="C165" s="49" t="n"/>
      <c r="D165" s="49" t="n"/>
      <c r="E165" s="49" t="n"/>
      <c r="F165" s="49" t="n"/>
    </row>
    <row r="166" ht="15.75" customHeight="1" s="57">
      <c r="A166" s="49" t="n"/>
      <c r="B166" s="49" t="n"/>
      <c r="C166" s="49" t="n"/>
      <c r="D166" s="49" t="n"/>
      <c r="E166" s="49" t="n"/>
      <c r="F166" s="49" t="n"/>
    </row>
    <row r="167" ht="15.75" customHeight="1" s="57">
      <c r="A167" s="49" t="n"/>
      <c r="B167" s="49" t="n"/>
      <c r="C167" s="49" t="n"/>
      <c r="D167" s="49" t="n"/>
      <c r="E167" s="49" t="n"/>
      <c r="F167" s="49" t="n"/>
    </row>
    <row r="168" ht="15.75" customHeight="1" s="57">
      <c r="A168" s="49" t="n"/>
      <c r="B168" s="49" t="n"/>
      <c r="C168" s="49" t="n"/>
      <c r="D168" s="49" t="n"/>
      <c r="E168" s="49" t="n"/>
      <c r="F168" s="49" t="n"/>
    </row>
    <row r="169" ht="15.75" customHeight="1" s="57">
      <c r="A169" s="49" t="n"/>
      <c r="B169" s="49" t="n"/>
      <c r="C169" s="49" t="n"/>
      <c r="D169" s="49" t="n"/>
      <c r="E169" s="49" t="n"/>
      <c r="F169" s="49" t="n"/>
    </row>
    <row r="170" ht="15.75" customHeight="1" s="57">
      <c r="A170" s="49" t="n"/>
      <c r="B170" s="49" t="n"/>
      <c r="C170" s="49" t="n"/>
      <c r="D170" s="49" t="n"/>
      <c r="E170" s="49" t="n"/>
      <c r="F170" s="49" t="n"/>
    </row>
    <row r="171" ht="15.75" customHeight="1" s="57">
      <c r="A171" s="49" t="n"/>
      <c r="B171" s="49" t="n"/>
      <c r="C171" s="49" t="n"/>
      <c r="D171" s="49" t="n"/>
      <c r="E171" s="49" t="n"/>
      <c r="F171" s="49" t="n"/>
    </row>
    <row r="172" ht="15.75" customHeight="1" s="57">
      <c r="A172" s="49" t="n"/>
      <c r="B172" s="49" t="n"/>
      <c r="C172" s="49" t="n"/>
      <c r="D172" s="49" t="n"/>
      <c r="E172" s="49" t="n"/>
      <c r="F172" s="49" t="n"/>
    </row>
    <row r="173" ht="15.75" customHeight="1" s="57">
      <c r="A173" s="49" t="n"/>
      <c r="B173" s="49" t="n"/>
      <c r="C173" s="49" t="n"/>
      <c r="D173" s="49" t="n"/>
      <c r="E173" s="49" t="n"/>
      <c r="F173" s="49" t="n"/>
    </row>
    <row r="174" ht="15.75" customHeight="1" s="57">
      <c r="A174" s="49" t="n"/>
      <c r="B174" s="49" t="n"/>
      <c r="C174" s="49" t="n"/>
      <c r="D174" s="49" t="n"/>
      <c r="E174" s="49" t="n"/>
      <c r="F174" s="49" t="n"/>
    </row>
    <row r="175" ht="15.75" customHeight="1" s="57">
      <c r="A175" s="49" t="n"/>
      <c r="B175" s="49" t="n"/>
      <c r="C175" s="49" t="n"/>
      <c r="D175" s="49" t="n"/>
      <c r="E175" s="49" t="n"/>
      <c r="F175" s="49" t="n"/>
    </row>
    <row r="176" ht="15.75" customHeight="1" s="57">
      <c r="A176" s="49" t="n"/>
      <c r="B176" s="49" t="n"/>
      <c r="C176" s="49" t="n"/>
      <c r="D176" s="49" t="n"/>
      <c r="E176" s="49" t="n"/>
      <c r="F176" s="49" t="n"/>
    </row>
    <row r="177" ht="15.75" customHeight="1" s="57">
      <c r="A177" s="49" t="n"/>
      <c r="B177" s="49" t="n"/>
      <c r="C177" s="49" t="n"/>
      <c r="D177" s="49" t="n"/>
      <c r="E177" s="49" t="n"/>
      <c r="F177" s="49" t="n"/>
    </row>
    <row r="178" ht="15.75" customHeight="1" s="57">
      <c r="A178" s="49" t="n"/>
      <c r="B178" s="49" t="n"/>
      <c r="C178" s="49" t="n"/>
      <c r="D178" s="49" t="n"/>
      <c r="E178" s="49" t="n"/>
      <c r="F178" s="49" t="n"/>
    </row>
    <row r="179" ht="15.75" customHeight="1" s="57">
      <c r="A179" s="49" t="n"/>
      <c r="B179" s="49" t="n"/>
      <c r="C179" s="49" t="n"/>
      <c r="D179" s="49" t="n"/>
      <c r="E179" s="49" t="n"/>
      <c r="F179" s="49" t="n"/>
    </row>
    <row r="180" ht="15.75" customHeight="1" s="57">
      <c r="A180" s="49" t="n"/>
      <c r="B180" s="49" t="n"/>
      <c r="C180" s="49" t="n"/>
      <c r="D180" s="49" t="n"/>
      <c r="E180" s="49" t="n"/>
      <c r="F180" s="49" t="n"/>
    </row>
    <row r="181" ht="15.75" customHeight="1" s="57">
      <c r="A181" s="49" t="n"/>
      <c r="B181" s="49" t="n"/>
      <c r="C181" s="49" t="n"/>
      <c r="D181" s="49" t="n"/>
      <c r="E181" s="49" t="n"/>
      <c r="F181" s="49" t="n"/>
    </row>
    <row r="182" ht="15.75" customHeight="1" s="57">
      <c r="A182" s="49" t="n"/>
      <c r="B182" s="49" t="n"/>
      <c r="C182" s="49" t="n"/>
      <c r="D182" s="49" t="n"/>
      <c r="E182" s="49" t="n"/>
      <c r="F182" s="49" t="n"/>
    </row>
    <row r="183" ht="15.75" customHeight="1" s="57">
      <c r="A183" s="49" t="n"/>
      <c r="B183" s="49" t="n"/>
      <c r="C183" s="49" t="n"/>
      <c r="D183" s="49" t="n"/>
      <c r="E183" s="49" t="n"/>
      <c r="F183" s="49" t="n"/>
    </row>
    <row r="184" ht="15.75" customHeight="1" s="57">
      <c r="A184" s="49" t="n"/>
      <c r="B184" s="49" t="n"/>
      <c r="C184" s="49" t="n"/>
      <c r="D184" s="49" t="n"/>
      <c r="E184" s="49" t="n"/>
      <c r="F184" s="49" t="n"/>
    </row>
    <row r="185" ht="15.75" customHeight="1" s="57">
      <c r="A185" s="49" t="n"/>
      <c r="B185" s="49" t="n"/>
      <c r="C185" s="49" t="n"/>
      <c r="D185" s="49" t="n"/>
      <c r="E185" s="49" t="n"/>
      <c r="F185" s="49" t="n"/>
    </row>
    <row r="186" ht="15.75" customHeight="1" s="57">
      <c r="A186" s="49" t="n"/>
      <c r="B186" s="49" t="n"/>
      <c r="C186" s="49" t="n"/>
      <c r="D186" s="49" t="n"/>
      <c r="E186" s="49" t="n"/>
      <c r="F186" s="49" t="n"/>
    </row>
    <row r="187" ht="15.75" customHeight="1" s="57">
      <c r="A187" s="49" t="n"/>
      <c r="B187" s="49" t="n"/>
      <c r="C187" s="49" t="n"/>
      <c r="D187" s="49" t="n"/>
      <c r="E187" s="49" t="n"/>
      <c r="F187" s="49" t="n"/>
    </row>
    <row r="188" ht="15.75" customHeight="1" s="57">
      <c r="A188" s="49" t="n"/>
      <c r="B188" s="49" t="n"/>
      <c r="C188" s="49" t="n"/>
      <c r="D188" s="49" t="n"/>
      <c r="E188" s="49" t="n"/>
      <c r="F188" s="49" t="n"/>
    </row>
    <row r="189" ht="15.75" customHeight="1" s="57">
      <c r="A189" s="49" t="n"/>
      <c r="B189" s="49" t="n"/>
      <c r="C189" s="49" t="n"/>
      <c r="D189" s="49" t="n"/>
      <c r="E189" s="49" t="n"/>
      <c r="F189" s="49" t="n"/>
    </row>
    <row r="190" ht="15.75" customHeight="1" s="57">
      <c r="A190" s="49" t="n"/>
      <c r="B190" s="49" t="n"/>
      <c r="C190" s="49" t="n"/>
      <c r="D190" s="49" t="n"/>
      <c r="E190" s="49" t="n"/>
      <c r="F190" s="49" t="n"/>
    </row>
    <row r="191" ht="15.75" customHeight="1" s="57">
      <c r="A191" s="49" t="n"/>
      <c r="B191" s="49" t="n"/>
      <c r="C191" s="49" t="n"/>
      <c r="D191" s="49" t="n"/>
      <c r="E191" s="49" t="n"/>
      <c r="F191" s="49" t="n"/>
    </row>
    <row r="192" ht="15.75" customHeight="1" s="57">
      <c r="A192" s="49" t="n"/>
      <c r="B192" s="49" t="n"/>
      <c r="C192" s="49" t="n"/>
      <c r="D192" s="49" t="n"/>
      <c r="E192" s="49" t="n"/>
      <c r="F192" s="49" t="n"/>
    </row>
    <row r="193" ht="15.75" customHeight="1" s="57">
      <c r="A193" s="49" t="n"/>
      <c r="B193" s="49" t="n"/>
      <c r="C193" s="49" t="n"/>
      <c r="D193" s="49" t="n"/>
      <c r="E193" s="49" t="n"/>
      <c r="F193" s="49" t="n"/>
    </row>
    <row r="194" ht="15.75" customHeight="1" s="57">
      <c r="A194" s="49" t="n"/>
      <c r="B194" s="49" t="n"/>
      <c r="C194" s="49" t="n"/>
      <c r="D194" s="49" t="n"/>
      <c r="E194" s="49" t="n"/>
      <c r="F194" s="49" t="n"/>
    </row>
    <row r="195" ht="15.75" customHeight="1" s="57">
      <c r="A195" s="49" t="n"/>
      <c r="B195" s="49" t="n"/>
      <c r="C195" s="49" t="n"/>
      <c r="D195" s="49" t="n"/>
      <c r="E195" s="49" t="n"/>
      <c r="F195" s="49" t="n"/>
    </row>
    <row r="196" ht="15.75" customHeight="1" s="57">
      <c r="A196" s="49" t="n"/>
      <c r="B196" s="49" t="n"/>
      <c r="C196" s="49" t="n"/>
      <c r="D196" s="49" t="n"/>
      <c r="E196" s="49" t="n"/>
      <c r="F196" s="49" t="n"/>
    </row>
    <row r="197" ht="15.75" customHeight="1" s="57">
      <c r="A197" s="49" t="n"/>
      <c r="B197" s="49" t="n"/>
      <c r="C197" s="49" t="n"/>
      <c r="D197" s="49" t="n"/>
      <c r="E197" s="49" t="n"/>
      <c r="F197" s="49" t="n"/>
    </row>
    <row r="198" ht="15.75" customHeight="1" s="57">
      <c r="A198" s="49" t="n"/>
      <c r="B198" s="49" t="n"/>
      <c r="C198" s="49" t="n"/>
      <c r="D198" s="49" t="n"/>
      <c r="E198" s="49" t="n"/>
      <c r="F198" s="49" t="n"/>
    </row>
    <row r="199" ht="15.75" customHeight="1" s="57">
      <c r="A199" s="49" t="n"/>
      <c r="B199" s="49" t="n"/>
      <c r="C199" s="49" t="n"/>
      <c r="D199" s="49" t="n"/>
      <c r="E199" s="49" t="n"/>
      <c r="F199" s="49" t="n"/>
    </row>
    <row r="200" ht="15.75" customHeight="1" s="57">
      <c r="A200" s="49" t="n"/>
      <c r="B200" s="49" t="n"/>
      <c r="C200" s="49" t="n"/>
      <c r="D200" s="49" t="n"/>
      <c r="E200" s="49" t="n"/>
      <c r="F200" s="49" t="n"/>
    </row>
    <row r="201" ht="15.75" customHeight="1" s="57">
      <c r="A201" s="49" t="n"/>
      <c r="B201" s="49" t="n"/>
      <c r="C201" s="49" t="n"/>
      <c r="D201" s="49" t="n"/>
      <c r="E201" s="49" t="n"/>
      <c r="F201" s="49" t="n"/>
    </row>
    <row r="202" ht="15.75" customHeight="1" s="57">
      <c r="A202" s="49" t="n"/>
      <c r="B202" s="49" t="n"/>
      <c r="C202" s="49" t="n"/>
      <c r="D202" s="49" t="n"/>
      <c r="E202" s="49" t="n"/>
      <c r="F202" s="49" t="n"/>
    </row>
    <row r="203" ht="15.75" customHeight="1" s="57">
      <c r="A203" s="49" t="n"/>
      <c r="B203" s="49" t="n"/>
      <c r="C203" s="49" t="n"/>
      <c r="D203" s="49" t="n"/>
      <c r="E203" s="49" t="n"/>
      <c r="F203" s="49" t="n"/>
    </row>
    <row r="204" ht="15.75" customHeight="1" s="57">
      <c r="A204" s="49" t="n"/>
      <c r="B204" s="49" t="n"/>
      <c r="C204" s="49" t="n"/>
      <c r="D204" s="49" t="n"/>
      <c r="E204" s="49" t="n"/>
      <c r="F204" s="49" t="n"/>
    </row>
    <row r="205" ht="15.75" customHeight="1" s="57">
      <c r="A205" s="49" t="n"/>
      <c r="B205" s="49" t="n"/>
      <c r="C205" s="49" t="n"/>
      <c r="D205" s="49" t="n"/>
      <c r="E205" s="49" t="n"/>
      <c r="F205" s="49" t="n"/>
    </row>
    <row r="206" ht="15.75" customHeight="1" s="57">
      <c r="A206" s="49" t="n"/>
      <c r="B206" s="49" t="n"/>
      <c r="C206" s="49" t="n"/>
      <c r="D206" s="49" t="n"/>
      <c r="E206" s="49" t="n"/>
      <c r="F206" s="49" t="n"/>
    </row>
    <row r="207" ht="15.75" customHeight="1" s="57">
      <c r="A207" s="49" t="n"/>
      <c r="B207" s="49" t="n"/>
      <c r="C207" s="49" t="n"/>
      <c r="D207" s="49" t="n"/>
      <c r="E207" s="49" t="n"/>
      <c r="F207" s="49" t="n"/>
    </row>
    <row r="208" ht="15.75" customHeight="1" s="57">
      <c r="A208" s="49" t="n"/>
      <c r="B208" s="49" t="n"/>
      <c r="C208" s="49" t="n"/>
      <c r="D208" s="49" t="n"/>
      <c r="E208" s="49" t="n"/>
      <c r="F208" s="49" t="n"/>
    </row>
    <row r="209" ht="15.75" customHeight="1" s="57">
      <c r="A209" s="49" t="n"/>
      <c r="B209" s="49" t="n"/>
      <c r="C209" s="49" t="n"/>
      <c r="D209" s="49" t="n"/>
      <c r="E209" s="49" t="n"/>
      <c r="F209" s="49" t="n"/>
    </row>
    <row r="210" ht="15.75" customHeight="1" s="57">
      <c r="A210" s="49" t="n"/>
      <c r="B210" s="49" t="n"/>
      <c r="C210" s="49" t="n"/>
      <c r="D210" s="49" t="n"/>
      <c r="E210" s="49" t="n"/>
      <c r="F210" s="49" t="n"/>
    </row>
    <row r="211" ht="15.75" customHeight="1" s="57">
      <c r="A211" s="49" t="n"/>
      <c r="B211" s="49" t="n"/>
      <c r="C211" s="49" t="n"/>
      <c r="D211" s="49" t="n"/>
      <c r="E211" s="49" t="n"/>
      <c r="F211" s="49" t="n"/>
    </row>
    <row r="212" ht="15.75" customHeight="1" s="57">
      <c r="A212" s="49" t="n"/>
      <c r="B212" s="49" t="n"/>
      <c r="C212" s="49" t="n"/>
      <c r="D212" s="49" t="n"/>
      <c r="E212" s="49" t="n"/>
      <c r="F212" s="49" t="n"/>
    </row>
    <row r="213" ht="15.75" customHeight="1" s="57">
      <c r="A213" s="49" t="n"/>
      <c r="B213" s="49" t="n"/>
      <c r="C213" s="49" t="n"/>
      <c r="D213" s="49" t="n"/>
      <c r="E213" s="49" t="n"/>
      <c r="F213" s="49" t="n"/>
    </row>
    <row r="214" ht="15.75" customHeight="1" s="57">
      <c r="A214" s="49" t="n"/>
      <c r="B214" s="49" t="n"/>
      <c r="C214" s="49" t="n"/>
      <c r="D214" s="49" t="n"/>
      <c r="E214" s="49" t="n"/>
      <c r="F214" s="49" t="n"/>
    </row>
    <row r="215" ht="15.75" customHeight="1" s="57">
      <c r="A215" s="49" t="n"/>
      <c r="B215" s="49" t="n"/>
      <c r="C215" s="49" t="n"/>
      <c r="D215" s="49" t="n"/>
      <c r="E215" s="49" t="n"/>
      <c r="F215" s="49" t="n"/>
    </row>
    <row r="216" ht="15.75" customHeight="1" s="57">
      <c r="A216" s="49" t="n"/>
      <c r="B216" s="49" t="n"/>
      <c r="C216" s="49" t="n"/>
      <c r="D216" s="49" t="n"/>
      <c r="E216" s="49" t="n"/>
      <c r="F216" s="49" t="n"/>
    </row>
    <row r="217" ht="15.75" customHeight="1" s="57">
      <c r="A217" s="49" t="n"/>
      <c r="B217" s="49" t="n"/>
      <c r="C217" s="49" t="n"/>
      <c r="D217" s="49" t="n"/>
      <c r="E217" s="49" t="n"/>
      <c r="F217" s="49" t="n"/>
    </row>
    <row r="218" ht="15.75" customHeight="1" s="57">
      <c r="A218" s="49" t="n"/>
      <c r="B218" s="49" t="n"/>
      <c r="C218" s="49" t="n"/>
      <c r="D218" s="49" t="n"/>
      <c r="E218" s="49" t="n"/>
      <c r="F218" s="49" t="n"/>
    </row>
    <row r="219" ht="15.75" customHeight="1" s="57">
      <c r="A219" s="49" t="n"/>
      <c r="B219" s="49" t="n"/>
      <c r="C219" s="49" t="n"/>
      <c r="D219" s="49" t="n"/>
      <c r="E219" s="49" t="n"/>
      <c r="F219" s="49" t="n"/>
    </row>
    <row r="220" ht="15.75" customHeight="1" s="57">
      <c r="A220" s="49" t="n"/>
      <c r="B220" s="49" t="n"/>
      <c r="C220" s="49" t="n"/>
      <c r="D220" s="49" t="n"/>
      <c r="E220" s="49" t="n"/>
      <c r="F220" s="49" t="n"/>
    </row>
    <row r="221" ht="15.75" customHeight="1" s="57">
      <c r="A221" s="49" t="n"/>
      <c r="B221" s="49" t="n"/>
      <c r="C221" s="49" t="n"/>
      <c r="D221" s="49" t="n"/>
      <c r="E221" s="49" t="n"/>
      <c r="F221" s="49" t="n"/>
    </row>
    <row r="222" ht="15.75" customHeight="1" s="57">
      <c r="A222" s="49" t="n"/>
      <c r="B222" s="49" t="n"/>
      <c r="C222" s="49" t="n"/>
      <c r="D222" s="49" t="n"/>
      <c r="E222" s="49" t="n"/>
      <c r="F222" s="49" t="n"/>
    </row>
    <row r="223" ht="15.75" customHeight="1" s="57">
      <c r="A223" s="49" t="n"/>
      <c r="B223" s="49" t="n"/>
      <c r="C223" s="49" t="n"/>
      <c r="D223" s="49" t="n"/>
      <c r="E223" s="49" t="n"/>
      <c r="F223" s="49" t="n"/>
    </row>
    <row r="224" ht="15.75" customHeight="1" s="57">
      <c r="A224" s="49" t="n"/>
      <c r="B224" s="49" t="n"/>
      <c r="C224" s="49" t="n"/>
      <c r="D224" s="49" t="n"/>
      <c r="E224" s="49" t="n"/>
      <c r="F224" s="49" t="n"/>
    </row>
    <row r="225" ht="15.75" customHeight="1" s="57">
      <c r="A225" s="49" t="n"/>
      <c r="B225" s="49" t="n"/>
      <c r="C225" s="49" t="n"/>
      <c r="D225" s="49" t="n"/>
      <c r="E225" s="49" t="n"/>
      <c r="F225" s="49" t="n"/>
    </row>
    <row r="226" ht="15.75" customHeight="1" s="57">
      <c r="A226" s="49" t="n"/>
      <c r="B226" s="49" t="n"/>
      <c r="C226" s="49" t="n"/>
      <c r="D226" s="49" t="n"/>
      <c r="E226" s="49" t="n"/>
      <c r="F226" s="49" t="n"/>
    </row>
    <row r="227" ht="15.75" customHeight="1" s="57">
      <c r="A227" s="49" t="n"/>
      <c r="B227" s="49" t="n"/>
      <c r="C227" s="49" t="n"/>
      <c r="D227" s="49" t="n"/>
      <c r="E227" s="49" t="n"/>
      <c r="F227" s="49" t="n"/>
    </row>
    <row r="228" ht="15.75" customHeight="1" s="57">
      <c r="A228" s="49" t="n"/>
      <c r="B228" s="49" t="n"/>
      <c r="C228" s="49" t="n"/>
      <c r="D228" s="49" t="n"/>
      <c r="E228" s="49" t="n"/>
      <c r="F228" s="49" t="n"/>
    </row>
    <row r="229" ht="15.75" customHeight="1" s="57">
      <c r="A229" s="49" t="n"/>
      <c r="B229" s="49" t="n"/>
      <c r="C229" s="49" t="n"/>
      <c r="D229" s="49" t="n"/>
      <c r="E229" s="49" t="n"/>
      <c r="F229" s="49" t="n"/>
    </row>
    <row r="230" ht="15.75" customHeight="1" s="57">
      <c r="A230" s="49" t="n"/>
      <c r="B230" s="49" t="n"/>
      <c r="C230" s="49" t="n"/>
      <c r="D230" s="49" t="n"/>
      <c r="E230" s="49" t="n"/>
      <c r="F230" s="49" t="n"/>
    </row>
    <row r="231" ht="15.75" customHeight="1" s="57">
      <c r="A231" s="49" t="n"/>
      <c r="B231" s="49" t="n"/>
      <c r="C231" s="49" t="n"/>
      <c r="D231" s="49" t="n"/>
      <c r="E231" s="49" t="n"/>
      <c r="F231" s="49" t="n"/>
    </row>
    <row r="232" ht="15.75" customHeight="1" s="57">
      <c r="A232" s="49" t="n"/>
      <c r="B232" s="49" t="n"/>
      <c r="C232" s="49" t="n"/>
      <c r="D232" s="49" t="n"/>
      <c r="E232" s="49" t="n"/>
      <c r="F232" s="49" t="n"/>
    </row>
    <row r="233" ht="15.75" customHeight="1" s="57">
      <c r="A233" s="49" t="n"/>
      <c r="B233" s="49" t="n"/>
      <c r="C233" s="49" t="n"/>
      <c r="D233" s="49" t="n"/>
      <c r="E233" s="49" t="n"/>
      <c r="F233" s="49" t="n"/>
    </row>
    <row r="234" ht="15.75" customHeight="1" s="57">
      <c r="A234" s="49" t="n"/>
      <c r="B234" s="49" t="n"/>
      <c r="C234" s="49" t="n"/>
      <c r="D234" s="49" t="n"/>
      <c r="E234" s="49" t="n"/>
      <c r="F234" s="49" t="n"/>
    </row>
    <row r="235" ht="15.75" customHeight="1" s="57">
      <c r="A235" s="49" t="n"/>
      <c r="B235" s="49" t="n"/>
      <c r="C235" s="49" t="n"/>
      <c r="D235" s="49" t="n"/>
      <c r="E235" s="49" t="n"/>
      <c r="F235" s="49" t="n"/>
    </row>
    <row r="236" ht="15.75" customHeight="1" s="57">
      <c r="A236" s="49" t="n"/>
      <c r="B236" s="49" t="n"/>
      <c r="C236" s="49" t="n"/>
      <c r="D236" s="49" t="n"/>
      <c r="E236" s="49" t="n"/>
      <c r="F236" s="49" t="n"/>
    </row>
    <row r="237" ht="15.75" customHeight="1" s="57">
      <c r="A237" s="49" t="n"/>
      <c r="B237" s="49" t="n"/>
      <c r="C237" s="49" t="n"/>
      <c r="D237" s="49" t="n"/>
      <c r="E237" s="49" t="n"/>
      <c r="F237" s="49" t="n"/>
    </row>
    <row r="238" ht="15.75" customHeight="1" s="57">
      <c r="A238" s="49" t="n"/>
      <c r="B238" s="49" t="n"/>
      <c r="C238" s="49" t="n"/>
      <c r="D238" s="49" t="n"/>
      <c r="E238" s="49" t="n"/>
      <c r="F238" s="49" t="n"/>
    </row>
    <row r="239" ht="15.75" customHeight="1" s="57">
      <c r="A239" s="49" t="n"/>
      <c r="B239" s="49" t="n"/>
      <c r="C239" s="49" t="n"/>
      <c r="D239" s="49" t="n"/>
      <c r="E239" s="49" t="n"/>
      <c r="F239" s="49" t="n"/>
    </row>
    <row r="240" ht="15.75" customHeight="1" s="57">
      <c r="A240" s="49" t="n"/>
      <c r="B240" s="49" t="n"/>
      <c r="C240" s="49" t="n"/>
      <c r="D240" s="49" t="n"/>
      <c r="E240" s="49" t="n"/>
      <c r="F240" s="49" t="n"/>
    </row>
    <row r="241" ht="15.75" customHeight="1" s="57">
      <c r="A241" s="49" t="n"/>
      <c r="B241" s="49" t="n"/>
      <c r="C241" s="49" t="n"/>
      <c r="D241" s="49" t="n"/>
      <c r="E241" s="49" t="n"/>
      <c r="F241" s="49" t="n"/>
    </row>
    <row r="242" ht="15.75" customHeight="1" s="57">
      <c r="A242" s="49" t="n"/>
      <c r="B242" s="49" t="n"/>
      <c r="C242" s="49" t="n"/>
      <c r="D242" s="49" t="n"/>
      <c r="E242" s="49" t="n"/>
      <c r="F242" s="49" t="n"/>
    </row>
    <row r="243" ht="15.75" customHeight="1" s="57">
      <c r="A243" s="49" t="n"/>
      <c r="B243" s="49" t="n"/>
      <c r="C243" s="49" t="n"/>
      <c r="D243" s="49" t="n"/>
      <c r="E243" s="49" t="n"/>
      <c r="F243" s="49" t="n"/>
    </row>
    <row r="244" ht="15.75" customHeight="1" s="57">
      <c r="A244" s="49" t="n"/>
      <c r="B244" s="49" t="n"/>
      <c r="C244" s="49" t="n"/>
      <c r="D244" s="49" t="n"/>
      <c r="E244" s="49" t="n"/>
      <c r="F244" s="49" t="n"/>
    </row>
    <row r="245" ht="15.75" customHeight="1" s="57">
      <c r="A245" s="49" t="n"/>
      <c r="B245" s="49" t="n"/>
      <c r="C245" s="49" t="n"/>
      <c r="D245" s="49" t="n"/>
      <c r="E245" s="49" t="n"/>
      <c r="F245" s="49" t="n"/>
    </row>
    <row r="246" ht="15.75" customHeight="1" s="57">
      <c r="A246" s="49" t="n"/>
      <c r="B246" s="49" t="n"/>
      <c r="C246" s="49" t="n"/>
      <c r="D246" s="49" t="n"/>
      <c r="E246" s="49" t="n"/>
      <c r="F246" s="49" t="n"/>
    </row>
    <row r="247" ht="15.75" customHeight="1" s="57">
      <c r="A247" s="49" t="n"/>
      <c r="B247" s="49" t="n"/>
      <c r="C247" s="49" t="n"/>
      <c r="D247" s="49" t="n"/>
      <c r="E247" s="49" t="n"/>
      <c r="F247" s="49" t="n"/>
    </row>
    <row r="248" ht="15.75" customHeight="1" s="57">
      <c r="A248" s="49" t="n"/>
      <c r="B248" s="49" t="n"/>
      <c r="C248" s="49" t="n"/>
      <c r="D248" s="49" t="n"/>
      <c r="E248" s="49" t="n"/>
      <c r="F248" s="49" t="n"/>
    </row>
    <row r="249" ht="15.75" customHeight="1" s="57">
      <c r="A249" s="49" t="n"/>
      <c r="B249" s="49" t="n"/>
      <c r="C249" s="49" t="n"/>
      <c r="D249" s="49" t="n"/>
      <c r="E249" s="49" t="n"/>
      <c r="F249" s="49" t="n"/>
    </row>
    <row r="250" ht="15.75" customHeight="1" s="57">
      <c r="A250" s="49" t="n"/>
      <c r="B250" s="49" t="n"/>
      <c r="C250" s="49" t="n"/>
      <c r="D250" s="49" t="n"/>
      <c r="E250" s="49" t="n"/>
      <c r="F250" s="49" t="n"/>
    </row>
    <row r="251" ht="15.75" customHeight="1" s="57">
      <c r="A251" s="49" t="n"/>
      <c r="B251" s="49" t="n"/>
      <c r="C251" s="49" t="n"/>
      <c r="D251" s="49" t="n"/>
      <c r="E251" s="49" t="n"/>
      <c r="F251" s="49" t="n"/>
    </row>
    <row r="252" ht="15.75" customHeight="1" s="57">
      <c r="A252" s="49" t="n"/>
      <c r="B252" s="49" t="n"/>
      <c r="C252" s="49" t="n"/>
      <c r="D252" s="49" t="n"/>
      <c r="E252" s="49" t="n"/>
      <c r="F252" s="49" t="n"/>
    </row>
    <row r="253" ht="15.75" customHeight="1" s="57">
      <c r="A253" s="49" t="n"/>
      <c r="B253" s="49" t="n"/>
      <c r="C253" s="49" t="n"/>
      <c r="D253" s="49" t="n"/>
      <c r="E253" s="49" t="n"/>
      <c r="F253" s="49" t="n"/>
    </row>
    <row r="254" ht="15.75" customHeight="1" s="57">
      <c r="A254" s="49" t="n"/>
      <c r="B254" s="49" t="n"/>
      <c r="C254" s="49" t="n"/>
      <c r="D254" s="49" t="n"/>
      <c r="E254" s="49" t="n"/>
      <c r="F254" s="49" t="n"/>
    </row>
    <row r="255" ht="15.75" customHeight="1" s="57">
      <c r="A255" s="49" t="n"/>
      <c r="B255" s="49" t="n"/>
      <c r="C255" s="49" t="n"/>
      <c r="D255" s="49" t="n"/>
      <c r="E255" s="49" t="n"/>
      <c r="F255" s="49" t="n"/>
    </row>
    <row r="256" ht="15.75" customHeight="1" s="57">
      <c r="A256" s="49" t="n"/>
      <c r="B256" s="49" t="n"/>
      <c r="C256" s="49" t="n"/>
      <c r="D256" s="49" t="n"/>
      <c r="E256" s="49" t="n"/>
      <c r="F256" s="49" t="n"/>
    </row>
    <row r="257" ht="15.75" customHeight="1" s="57">
      <c r="A257" s="49" t="n"/>
      <c r="B257" s="49" t="n"/>
      <c r="C257" s="49" t="n"/>
      <c r="D257" s="49" t="n"/>
      <c r="E257" s="49" t="n"/>
      <c r="F257" s="49" t="n"/>
    </row>
    <row r="258" ht="15.75" customHeight="1" s="57">
      <c r="A258" s="49" t="n"/>
      <c r="B258" s="49" t="n"/>
      <c r="C258" s="49" t="n"/>
      <c r="D258" s="49" t="n"/>
      <c r="E258" s="49" t="n"/>
      <c r="F258" s="49" t="n"/>
    </row>
    <row r="259" ht="15.75" customHeight="1" s="57">
      <c r="A259" s="49" t="n"/>
      <c r="B259" s="49" t="n"/>
      <c r="C259" s="49" t="n"/>
      <c r="D259" s="49" t="n"/>
      <c r="E259" s="49" t="n"/>
      <c r="F259" s="49" t="n"/>
    </row>
    <row r="260" ht="15.75" customHeight="1" s="57">
      <c r="A260" s="49" t="n"/>
      <c r="B260" s="49" t="n"/>
      <c r="C260" s="49" t="n"/>
      <c r="D260" s="49" t="n"/>
      <c r="E260" s="49" t="n"/>
      <c r="F260" s="49" t="n"/>
    </row>
    <row r="261" ht="15.75" customHeight="1" s="57">
      <c r="A261" s="49" t="n"/>
      <c r="B261" s="49" t="n"/>
      <c r="C261" s="49" t="n"/>
      <c r="D261" s="49" t="n"/>
      <c r="E261" s="49" t="n"/>
      <c r="F261" s="49" t="n"/>
    </row>
    <row r="262" ht="15.75" customHeight="1" s="57">
      <c r="A262" s="49" t="n"/>
      <c r="B262" s="49" t="n"/>
      <c r="C262" s="49" t="n"/>
      <c r="D262" s="49" t="n"/>
      <c r="E262" s="49" t="n"/>
      <c r="F262" s="49" t="n"/>
    </row>
    <row r="263" ht="15.75" customHeight="1" s="57">
      <c r="A263" s="49" t="n"/>
      <c r="B263" s="49" t="n"/>
      <c r="C263" s="49" t="n"/>
      <c r="D263" s="49" t="n"/>
      <c r="E263" s="49" t="n"/>
      <c r="F263" s="49" t="n"/>
    </row>
    <row r="264" ht="15.75" customHeight="1" s="57">
      <c r="A264" s="49" t="n"/>
      <c r="B264" s="49" t="n"/>
      <c r="C264" s="49" t="n"/>
      <c r="D264" s="49" t="n"/>
      <c r="E264" s="49" t="n"/>
      <c r="F264" s="49" t="n"/>
    </row>
    <row r="265" ht="15.75" customHeight="1" s="57">
      <c r="A265" s="49" t="n"/>
      <c r="B265" s="49" t="n"/>
      <c r="C265" s="49" t="n"/>
      <c r="D265" s="49" t="n"/>
      <c r="E265" s="49" t="n"/>
      <c r="F265" s="49" t="n"/>
    </row>
    <row r="266" ht="15.75" customHeight="1" s="57">
      <c r="A266" s="49" t="n"/>
      <c r="B266" s="49" t="n"/>
      <c r="C266" s="49" t="n"/>
      <c r="D266" s="49" t="n"/>
      <c r="E266" s="49" t="n"/>
      <c r="F266" s="49" t="n"/>
    </row>
    <row r="267" ht="15.75" customHeight="1" s="57">
      <c r="A267" s="49" t="n"/>
      <c r="B267" s="49" t="n"/>
      <c r="C267" s="49" t="n"/>
      <c r="D267" s="49" t="n"/>
      <c r="E267" s="49" t="n"/>
      <c r="F267" s="49" t="n"/>
    </row>
    <row r="268" ht="15.75" customHeight="1" s="57">
      <c r="A268" s="49" t="n"/>
      <c r="B268" s="49" t="n"/>
      <c r="C268" s="49" t="n"/>
      <c r="D268" s="49" t="n"/>
      <c r="E268" s="49" t="n"/>
      <c r="F268" s="49" t="n"/>
    </row>
    <row r="269" ht="15.75" customHeight="1" s="57">
      <c r="A269" s="49" t="n"/>
      <c r="B269" s="49" t="n"/>
      <c r="C269" s="49" t="n"/>
      <c r="D269" s="49" t="n"/>
      <c r="E269" s="49" t="n"/>
      <c r="F269" s="49" t="n"/>
    </row>
    <row r="270" ht="15.75" customHeight="1" s="57">
      <c r="A270" s="49" t="n"/>
      <c r="B270" s="49" t="n"/>
      <c r="C270" s="49" t="n"/>
      <c r="D270" s="49" t="n"/>
      <c r="E270" s="49" t="n"/>
      <c r="F270" s="49" t="n"/>
    </row>
    <row r="271" ht="15.75" customHeight="1" s="57">
      <c r="A271" s="49" t="n"/>
      <c r="B271" s="49" t="n"/>
      <c r="C271" s="49" t="n"/>
      <c r="D271" s="49" t="n"/>
      <c r="E271" s="49" t="n"/>
      <c r="F271" s="49" t="n"/>
    </row>
    <row r="272" ht="15.75" customHeight="1" s="57">
      <c r="A272" s="49" t="n"/>
      <c r="B272" s="49" t="n"/>
      <c r="C272" s="49" t="n"/>
      <c r="D272" s="49" t="n"/>
      <c r="E272" s="49" t="n"/>
      <c r="F272" s="49" t="n"/>
    </row>
    <row r="273" ht="15.75" customHeight="1" s="57">
      <c r="A273" s="49" t="n"/>
      <c r="B273" s="49" t="n"/>
      <c r="C273" s="49" t="n"/>
      <c r="D273" s="49" t="n"/>
      <c r="E273" s="49" t="n"/>
      <c r="F273" s="49" t="n"/>
    </row>
    <row r="274" ht="15.75" customHeight="1" s="57">
      <c r="A274" s="49" t="n"/>
      <c r="B274" s="49" t="n"/>
      <c r="C274" s="49" t="n"/>
      <c r="D274" s="49" t="n"/>
      <c r="E274" s="49" t="n"/>
      <c r="F274" s="49" t="n"/>
    </row>
    <row r="275" ht="15.75" customHeight="1" s="57">
      <c r="A275" s="49" t="n"/>
      <c r="B275" s="49" t="n"/>
      <c r="C275" s="49" t="n"/>
      <c r="D275" s="49" t="n"/>
      <c r="E275" s="49" t="n"/>
      <c r="F275" s="49" t="n"/>
    </row>
    <row r="276" ht="15.75" customHeight="1" s="57">
      <c r="A276" s="49" t="n"/>
      <c r="B276" s="49" t="n"/>
      <c r="C276" s="49" t="n"/>
      <c r="D276" s="49" t="n"/>
      <c r="E276" s="49" t="n"/>
      <c r="F276" s="49" t="n"/>
    </row>
    <row r="277" ht="15.75" customHeight="1" s="57">
      <c r="A277" s="49" t="n"/>
      <c r="B277" s="49" t="n"/>
      <c r="C277" s="49" t="n"/>
      <c r="D277" s="49" t="n"/>
      <c r="E277" s="49" t="n"/>
      <c r="F277" s="49" t="n"/>
    </row>
    <row r="278" ht="15.75" customHeight="1" s="57">
      <c r="A278" s="49" t="n"/>
      <c r="B278" s="49" t="n"/>
      <c r="C278" s="49" t="n"/>
      <c r="D278" s="49" t="n"/>
      <c r="E278" s="49" t="n"/>
      <c r="F278" s="49" t="n"/>
    </row>
    <row r="279" ht="15.75" customHeight="1" s="57">
      <c r="A279" s="49" t="n"/>
      <c r="B279" s="49" t="n"/>
      <c r="C279" s="49" t="n"/>
      <c r="D279" s="49" t="n"/>
      <c r="E279" s="49" t="n"/>
      <c r="F279" s="49" t="n"/>
    </row>
    <row r="280" ht="15.75" customHeight="1" s="57">
      <c r="A280" s="49" t="n"/>
      <c r="B280" s="49" t="n"/>
      <c r="C280" s="49" t="n"/>
      <c r="D280" s="49" t="n"/>
      <c r="E280" s="49" t="n"/>
      <c r="F280" s="49" t="n"/>
    </row>
    <row r="281" ht="15.75" customHeight="1" s="57">
      <c r="A281" s="49" t="n"/>
      <c r="B281" s="49" t="n"/>
      <c r="C281" s="49" t="n"/>
      <c r="D281" s="49" t="n"/>
      <c r="E281" s="49" t="n"/>
      <c r="F281" s="49" t="n"/>
    </row>
    <row r="282" ht="15.75" customHeight="1" s="57">
      <c r="A282" s="49" t="n"/>
      <c r="B282" s="49" t="n"/>
      <c r="C282" s="49" t="n"/>
      <c r="D282" s="49" t="n"/>
      <c r="E282" s="49" t="n"/>
      <c r="F282" s="49" t="n"/>
    </row>
    <row r="283" ht="15.75" customHeight="1" s="57">
      <c r="A283" s="49" t="n"/>
      <c r="B283" s="49" t="n"/>
      <c r="C283" s="49" t="n"/>
      <c r="D283" s="49" t="n"/>
      <c r="E283" s="49" t="n"/>
      <c r="F283" s="49" t="n"/>
    </row>
    <row r="284" ht="15.75" customHeight="1" s="57">
      <c r="A284" s="49" t="n"/>
      <c r="B284" s="49" t="n"/>
      <c r="C284" s="49" t="n"/>
      <c r="D284" s="49" t="n"/>
      <c r="E284" s="49" t="n"/>
      <c r="F284" s="49" t="n"/>
    </row>
    <row r="285" ht="15.75" customHeight="1" s="57">
      <c r="A285" s="49" t="n"/>
      <c r="B285" s="49" t="n"/>
      <c r="C285" s="49" t="n"/>
      <c r="D285" s="49" t="n"/>
      <c r="E285" s="49" t="n"/>
      <c r="F285" s="49" t="n"/>
    </row>
    <row r="286" ht="15.75" customHeight="1" s="57">
      <c r="A286" s="49" t="n"/>
      <c r="B286" s="49" t="n"/>
      <c r="C286" s="49" t="n"/>
      <c r="D286" s="49" t="n"/>
      <c r="E286" s="49" t="n"/>
      <c r="F286" s="49" t="n"/>
    </row>
    <row r="287" ht="15.75" customHeight="1" s="57">
      <c r="A287" s="49" t="n"/>
      <c r="B287" s="49" t="n"/>
      <c r="C287" s="49" t="n"/>
      <c r="D287" s="49" t="n"/>
      <c r="E287" s="49" t="n"/>
      <c r="F287" s="49" t="n"/>
    </row>
    <row r="288" ht="15.75" customHeight="1" s="57">
      <c r="A288" s="49" t="n"/>
      <c r="B288" s="49" t="n"/>
      <c r="C288" s="49" t="n"/>
      <c r="D288" s="49" t="n"/>
      <c r="E288" s="49" t="n"/>
      <c r="F288" s="49" t="n"/>
    </row>
    <row r="289" ht="15.75" customHeight="1" s="57">
      <c r="A289" s="49" t="n"/>
      <c r="B289" s="49" t="n"/>
      <c r="C289" s="49" t="n"/>
      <c r="D289" s="49" t="n"/>
      <c r="E289" s="49" t="n"/>
      <c r="F289" s="49" t="n"/>
    </row>
    <row r="290" ht="15.75" customHeight="1" s="57">
      <c r="A290" s="49" t="n"/>
      <c r="B290" s="49" t="n"/>
      <c r="C290" s="49" t="n"/>
      <c r="D290" s="49" t="n"/>
      <c r="E290" s="49" t="n"/>
      <c r="F290" s="49" t="n"/>
    </row>
    <row r="291" ht="15.75" customHeight="1" s="57">
      <c r="A291" s="49" t="n"/>
      <c r="B291" s="49" t="n"/>
      <c r="C291" s="49" t="n"/>
      <c r="D291" s="49" t="n"/>
      <c r="E291" s="49" t="n"/>
      <c r="F291" s="49" t="n"/>
    </row>
    <row r="292" ht="15.75" customHeight="1" s="57">
      <c r="A292" s="49" t="n"/>
      <c r="B292" s="49" t="n"/>
      <c r="C292" s="49" t="n"/>
      <c r="D292" s="49" t="n"/>
      <c r="E292" s="49" t="n"/>
      <c r="F292" s="49" t="n"/>
    </row>
    <row r="293" ht="15.75" customHeight="1" s="57">
      <c r="A293" s="49" t="n"/>
      <c r="B293" s="49" t="n"/>
      <c r="C293" s="49" t="n"/>
      <c r="D293" s="49" t="n"/>
      <c r="E293" s="49" t="n"/>
      <c r="F293" s="49" t="n"/>
    </row>
    <row r="294" ht="15.75" customHeight="1" s="57">
      <c r="A294" s="49" t="n"/>
      <c r="B294" s="49" t="n"/>
      <c r="C294" s="49" t="n"/>
      <c r="D294" s="49" t="n"/>
      <c r="E294" s="49" t="n"/>
      <c r="F294" s="49" t="n"/>
    </row>
    <row r="295" ht="15.75" customHeight="1" s="57">
      <c r="A295" s="49" t="n"/>
      <c r="B295" s="49" t="n"/>
      <c r="C295" s="49" t="n"/>
      <c r="D295" s="49" t="n"/>
      <c r="E295" s="49" t="n"/>
      <c r="F295" s="49" t="n"/>
    </row>
    <row r="296" ht="15.75" customHeight="1" s="57">
      <c r="A296" s="49" t="n"/>
      <c r="B296" s="49" t="n"/>
      <c r="C296" s="49" t="n"/>
      <c r="D296" s="49" t="n"/>
      <c r="E296" s="49" t="n"/>
      <c r="F296" s="49" t="n"/>
    </row>
    <row r="297" ht="15.75" customHeight="1" s="57">
      <c r="A297" s="49" t="n"/>
      <c r="B297" s="49" t="n"/>
      <c r="C297" s="49" t="n"/>
      <c r="D297" s="49" t="n"/>
      <c r="E297" s="49" t="n"/>
      <c r="F297" s="49" t="n"/>
    </row>
    <row r="298" ht="15.75" customHeight="1" s="57">
      <c r="A298" s="49" t="n"/>
      <c r="B298" s="49" t="n"/>
      <c r="C298" s="49" t="n"/>
      <c r="D298" s="49" t="n"/>
      <c r="E298" s="49" t="n"/>
      <c r="F298" s="49" t="n"/>
    </row>
    <row r="299" ht="15.75" customHeight="1" s="57">
      <c r="A299" s="49" t="n"/>
      <c r="B299" s="49" t="n"/>
      <c r="C299" s="49" t="n"/>
      <c r="D299" s="49" t="n"/>
      <c r="E299" s="49" t="n"/>
      <c r="F299" s="49" t="n"/>
    </row>
    <row r="300" ht="15.75" customHeight="1" s="57">
      <c r="A300" s="49" t="n"/>
      <c r="B300" s="49" t="n"/>
      <c r="C300" s="49" t="n"/>
      <c r="D300" s="49" t="n"/>
      <c r="E300" s="49" t="n"/>
      <c r="F300" s="49" t="n"/>
    </row>
    <row r="301" ht="15.75" customHeight="1" s="57">
      <c r="A301" s="49" t="n"/>
      <c r="B301" s="49" t="n"/>
      <c r="C301" s="49" t="n"/>
      <c r="D301" s="49" t="n"/>
      <c r="E301" s="49" t="n"/>
      <c r="F301" s="49" t="n"/>
    </row>
    <row r="302" ht="15.75" customHeight="1" s="57">
      <c r="A302" s="49" t="n"/>
      <c r="B302" s="49" t="n"/>
      <c r="C302" s="49" t="n"/>
      <c r="D302" s="49" t="n"/>
      <c r="E302" s="49" t="n"/>
      <c r="F302" s="49" t="n"/>
    </row>
    <row r="303" ht="15.75" customHeight="1" s="57">
      <c r="A303" s="49" t="n"/>
      <c r="B303" s="49" t="n"/>
      <c r="C303" s="49" t="n"/>
      <c r="D303" s="49" t="n"/>
      <c r="E303" s="49" t="n"/>
      <c r="F303" s="49" t="n"/>
    </row>
    <row r="304" ht="15.75" customHeight="1" s="57">
      <c r="A304" s="49" t="n"/>
      <c r="B304" s="49" t="n"/>
      <c r="C304" s="49" t="n"/>
      <c r="D304" s="49" t="n"/>
      <c r="E304" s="49" t="n"/>
      <c r="F304" s="49" t="n"/>
    </row>
    <row r="305" ht="15.75" customHeight="1" s="57">
      <c r="A305" s="49" t="n"/>
      <c r="B305" s="49" t="n"/>
      <c r="C305" s="49" t="n"/>
      <c r="D305" s="49" t="n"/>
      <c r="E305" s="49" t="n"/>
      <c r="F305" s="49" t="n"/>
    </row>
    <row r="306" ht="15.75" customHeight="1" s="57">
      <c r="A306" s="49" t="n"/>
      <c r="B306" s="49" t="n"/>
      <c r="C306" s="49" t="n"/>
      <c r="D306" s="49" t="n"/>
      <c r="E306" s="49" t="n"/>
      <c r="F306" s="49" t="n"/>
    </row>
    <row r="307" ht="15.75" customHeight="1" s="57">
      <c r="A307" s="49" t="n"/>
      <c r="B307" s="49" t="n"/>
      <c r="C307" s="49" t="n"/>
      <c r="D307" s="49" t="n"/>
      <c r="E307" s="49" t="n"/>
      <c r="F307" s="49" t="n"/>
    </row>
    <row r="308" ht="15.75" customHeight="1" s="57">
      <c r="A308" s="49" t="n"/>
      <c r="B308" s="49" t="n"/>
      <c r="C308" s="49" t="n"/>
      <c r="D308" s="49" t="n"/>
      <c r="E308" s="49" t="n"/>
      <c r="F308" s="49" t="n"/>
    </row>
    <row r="309" ht="15.75" customHeight="1" s="57">
      <c r="A309" s="49" t="n"/>
      <c r="B309" s="49" t="n"/>
      <c r="C309" s="49" t="n"/>
      <c r="D309" s="49" t="n"/>
      <c r="E309" s="49" t="n"/>
      <c r="F309" s="49" t="n"/>
    </row>
    <row r="310" ht="15.75" customHeight="1" s="57">
      <c r="A310" s="49" t="n"/>
      <c r="B310" s="49" t="n"/>
      <c r="C310" s="49" t="n"/>
      <c r="D310" s="49" t="n"/>
      <c r="E310" s="49" t="n"/>
      <c r="F310" s="49" t="n"/>
    </row>
    <row r="311" ht="15.75" customHeight="1" s="57">
      <c r="A311" s="49" t="n"/>
      <c r="B311" s="49" t="n"/>
      <c r="C311" s="49" t="n"/>
      <c r="D311" s="49" t="n"/>
      <c r="E311" s="49" t="n"/>
      <c r="F311" s="49" t="n"/>
    </row>
    <row r="312" ht="15.75" customHeight="1" s="57">
      <c r="A312" s="49" t="n"/>
      <c r="B312" s="49" t="n"/>
      <c r="C312" s="49" t="n"/>
      <c r="D312" s="49" t="n"/>
      <c r="E312" s="49" t="n"/>
      <c r="F312" s="49" t="n"/>
    </row>
    <row r="313" ht="15.75" customHeight="1" s="57">
      <c r="A313" s="49" t="n"/>
      <c r="B313" s="49" t="n"/>
      <c r="C313" s="49" t="n"/>
      <c r="D313" s="49" t="n"/>
      <c r="E313" s="49" t="n"/>
      <c r="F313" s="49" t="n"/>
    </row>
    <row r="314" ht="15.75" customHeight="1" s="57">
      <c r="A314" s="49" t="n"/>
      <c r="B314" s="49" t="n"/>
      <c r="C314" s="49" t="n"/>
      <c r="D314" s="49" t="n"/>
      <c r="E314" s="49" t="n"/>
      <c r="F314" s="49" t="n"/>
    </row>
    <row r="315" ht="15.75" customHeight="1" s="57">
      <c r="A315" s="49" t="n"/>
      <c r="B315" s="49" t="n"/>
      <c r="C315" s="49" t="n"/>
      <c r="D315" s="49" t="n"/>
      <c r="E315" s="49" t="n"/>
      <c r="F315" s="49" t="n"/>
    </row>
    <row r="316" ht="15.75" customHeight="1" s="57">
      <c r="A316" s="49" t="n"/>
      <c r="B316" s="49" t="n"/>
      <c r="C316" s="49" t="n"/>
      <c r="D316" s="49" t="n"/>
      <c r="E316" s="49" t="n"/>
      <c r="F316" s="49" t="n"/>
    </row>
    <row r="317" ht="15.75" customHeight="1" s="57">
      <c r="A317" s="49" t="n"/>
      <c r="B317" s="49" t="n"/>
      <c r="C317" s="49" t="n"/>
      <c r="D317" s="49" t="n"/>
      <c r="E317" s="49" t="n"/>
      <c r="F317" s="49" t="n"/>
    </row>
    <row r="318" ht="15.75" customHeight="1" s="57">
      <c r="A318" s="49" t="n"/>
      <c r="B318" s="49" t="n"/>
      <c r="C318" s="49" t="n"/>
      <c r="D318" s="49" t="n"/>
      <c r="E318" s="49" t="n"/>
      <c r="F318" s="49" t="n"/>
    </row>
    <row r="319" ht="15.75" customHeight="1" s="57">
      <c r="A319" s="49" t="n"/>
      <c r="B319" s="49" t="n"/>
      <c r="C319" s="49" t="n"/>
      <c r="D319" s="49" t="n"/>
      <c r="E319" s="49" t="n"/>
      <c r="F319" s="49" t="n"/>
    </row>
    <row r="320" ht="15.75" customHeight="1" s="57">
      <c r="A320" s="49" t="n"/>
      <c r="B320" s="49" t="n"/>
      <c r="C320" s="49" t="n"/>
      <c r="D320" s="49" t="n"/>
      <c r="E320" s="49" t="n"/>
      <c r="F320" s="49" t="n"/>
    </row>
    <row r="321" ht="15.75" customHeight="1" s="57">
      <c r="A321" s="49" t="n"/>
      <c r="B321" s="49" t="n"/>
      <c r="C321" s="49" t="n"/>
      <c r="D321" s="49" t="n"/>
      <c r="E321" s="49" t="n"/>
      <c r="F321" s="49" t="n"/>
    </row>
    <row r="322" ht="15.75" customHeight="1" s="57">
      <c r="A322" s="49" t="n"/>
      <c r="B322" s="49" t="n"/>
      <c r="C322" s="49" t="n"/>
      <c r="D322" s="49" t="n"/>
      <c r="E322" s="49" t="n"/>
      <c r="F322" s="49" t="n"/>
    </row>
    <row r="323" ht="15.75" customHeight="1" s="57">
      <c r="A323" s="49" t="n"/>
      <c r="B323" s="49" t="n"/>
      <c r="C323" s="49" t="n"/>
      <c r="D323" s="49" t="n"/>
      <c r="E323" s="49" t="n"/>
      <c r="F323" s="49" t="n"/>
    </row>
    <row r="324" ht="15.75" customHeight="1" s="57">
      <c r="A324" s="49" t="n"/>
      <c r="B324" s="49" t="n"/>
      <c r="C324" s="49" t="n"/>
      <c r="D324" s="49" t="n"/>
      <c r="E324" s="49" t="n"/>
      <c r="F324" s="49" t="n"/>
    </row>
    <row r="325" ht="15.75" customHeight="1" s="57">
      <c r="A325" s="49" t="n"/>
      <c r="B325" s="49" t="n"/>
      <c r="C325" s="49" t="n"/>
      <c r="D325" s="49" t="n"/>
      <c r="E325" s="49" t="n"/>
      <c r="F325" s="49" t="n"/>
    </row>
    <row r="326" ht="15.75" customHeight="1" s="57">
      <c r="A326" s="49" t="n"/>
      <c r="B326" s="49" t="n"/>
      <c r="C326" s="49" t="n"/>
      <c r="D326" s="49" t="n"/>
      <c r="E326" s="49" t="n"/>
      <c r="F326" s="49" t="n"/>
    </row>
    <row r="327" ht="15.75" customHeight="1" s="57">
      <c r="A327" s="49" t="n"/>
      <c r="B327" s="49" t="n"/>
      <c r="C327" s="49" t="n"/>
      <c r="D327" s="49" t="n"/>
      <c r="E327" s="49" t="n"/>
      <c r="F327" s="49" t="n"/>
    </row>
    <row r="328" ht="15.75" customHeight="1" s="57">
      <c r="A328" s="49" t="n"/>
      <c r="B328" s="49" t="n"/>
      <c r="C328" s="49" t="n"/>
      <c r="D328" s="49" t="n"/>
      <c r="E328" s="49" t="n"/>
      <c r="F328" s="49" t="n"/>
    </row>
    <row r="329" ht="15.75" customHeight="1" s="57">
      <c r="A329" s="49" t="n"/>
      <c r="B329" s="49" t="n"/>
      <c r="C329" s="49" t="n"/>
      <c r="D329" s="49" t="n"/>
      <c r="E329" s="49" t="n"/>
      <c r="F329" s="49" t="n"/>
    </row>
    <row r="330" ht="15.75" customHeight="1" s="57">
      <c r="A330" s="49" t="n"/>
      <c r="B330" s="49" t="n"/>
      <c r="C330" s="49" t="n"/>
      <c r="D330" s="49" t="n"/>
      <c r="E330" s="49" t="n"/>
      <c r="F330" s="49" t="n"/>
    </row>
    <row r="331" ht="15.75" customHeight="1" s="57">
      <c r="A331" s="49" t="n"/>
      <c r="B331" s="49" t="n"/>
      <c r="C331" s="49" t="n"/>
      <c r="D331" s="49" t="n"/>
      <c r="E331" s="49" t="n"/>
      <c r="F331" s="49" t="n"/>
    </row>
    <row r="332" ht="15.75" customHeight="1" s="57">
      <c r="A332" s="49" t="n"/>
      <c r="B332" s="49" t="n"/>
      <c r="C332" s="49" t="n"/>
      <c r="D332" s="49" t="n"/>
      <c r="E332" s="49" t="n"/>
      <c r="F332" s="49" t="n"/>
    </row>
    <row r="333" ht="15.75" customHeight="1" s="57">
      <c r="A333" s="49" t="n"/>
      <c r="B333" s="49" t="n"/>
      <c r="C333" s="49" t="n"/>
      <c r="D333" s="49" t="n"/>
      <c r="E333" s="49" t="n"/>
      <c r="F333" s="49" t="n"/>
    </row>
    <row r="334" ht="15.75" customHeight="1" s="57">
      <c r="A334" s="49" t="n"/>
      <c r="B334" s="49" t="n"/>
      <c r="C334" s="49" t="n"/>
      <c r="D334" s="49" t="n"/>
      <c r="E334" s="49" t="n"/>
      <c r="F334" s="49" t="n"/>
    </row>
    <row r="335" ht="15.75" customHeight="1" s="57">
      <c r="A335" s="49" t="n"/>
      <c r="B335" s="49" t="n"/>
      <c r="C335" s="49" t="n"/>
      <c r="D335" s="49" t="n"/>
      <c r="E335" s="49" t="n"/>
      <c r="F335" s="49" t="n"/>
    </row>
    <row r="336" ht="15.75" customHeight="1" s="57">
      <c r="A336" s="49" t="n"/>
      <c r="B336" s="49" t="n"/>
      <c r="C336" s="49" t="n"/>
      <c r="D336" s="49" t="n"/>
      <c r="E336" s="49" t="n"/>
      <c r="F336" s="49" t="n"/>
    </row>
    <row r="337" ht="15.75" customHeight="1" s="57">
      <c r="A337" s="49" t="n"/>
      <c r="B337" s="49" t="n"/>
      <c r="C337" s="49" t="n"/>
      <c r="D337" s="49" t="n"/>
      <c r="E337" s="49" t="n"/>
      <c r="F337" s="49" t="n"/>
    </row>
    <row r="338" ht="15.75" customHeight="1" s="57">
      <c r="A338" s="49" t="n"/>
      <c r="B338" s="49" t="n"/>
      <c r="C338" s="49" t="n"/>
      <c r="D338" s="49" t="n"/>
      <c r="E338" s="49" t="n"/>
      <c r="F338" s="49" t="n"/>
    </row>
    <row r="339" ht="15.75" customHeight="1" s="57">
      <c r="A339" s="49" t="n"/>
      <c r="B339" s="49" t="n"/>
      <c r="C339" s="49" t="n"/>
      <c r="D339" s="49" t="n"/>
      <c r="E339" s="49" t="n"/>
      <c r="F339" s="49" t="n"/>
    </row>
    <row r="340" ht="15.75" customHeight="1" s="57">
      <c r="A340" s="49" t="n"/>
      <c r="B340" s="49" t="n"/>
      <c r="C340" s="49" t="n"/>
      <c r="D340" s="49" t="n"/>
      <c r="E340" s="49" t="n"/>
      <c r="F340" s="49" t="n"/>
    </row>
    <row r="341" ht="15.75" customHeight="1" s="57">
      <c r="A341" s="49" t="n"/>
      <c r="B341" s="49" t="n"/>
      <c r="C341" s="49" t="n"/>
      <c r="D341" s="49" t="n"/>
      <c r="E341" s="49" t="n"/>
      <c r="F341" s="49" t="n"/>
    </row>
    <row r="342" ht="15.75" customHeight="1" s="57">
      <c r="A342" s="49" t="n"/>
      <c r="B342" s="49" t="n"/>
      <c r="C342" s="49" t="n"/>
      <c r="D342" s="49" t="n"/>
      <c r="E342" s="49" t="n"/>
      <c r="F342" s="49" t="n"/>
    </row>
    <row r="343" ht="15.75" customHeight="1" s="57">
      <c r="A343" s="49" t="n"/>
      <c r="B343" s="49" t="n"/>
      <c r="C343" s="49" t="n"/>
      <c r="D343" s="49" t="n"/>
      <c r="E343" s="49" t="n"/>
      <c r="F343" s="49" t="n"/>
    </row>
    <row r="344" ht="15.75" customHeight="1" s="57">
      <c r="A344" s="49" t="n"/>
      <c r="B344" s="49" t="n"/>
      <c r="C344" s="49" t="n"/>
      <c r="D344" s="49" t="n"/>
      <c r="E344" s="49" t="n"/>
      <c r="F344" s="49" t="n"/>
    </row>
    <row r="345" ht="15.75" customHeight="1" s="57">
      <c r="A345" s="49" t="n"/>
      <c r="B345" s="49" t="n"/>
      <c r="C345" s="49" t="n"/>
      <c r="D345" s="49" t="n"/>
      <c r="E345" s="49" t="n"/>
      <c r="F345" s="49" t="n"/>
    </row>
    <row r="346" ht="15.75" customHeight="1" s="57">
      <c r="A346" s="49" t="n"/>
      <c r="B346" s="49" t="n"/>
      <c r="C346" s="49" t="n"/>
      <c r="D346" s="49" t="n"/>
      <c r="E346" s="49" t="n"/>
      <c r="F346" s="49" t="n"/>
    </row>
    <row r="347" ht="15.75" customHeight="1" s="57">
      <c r="A347" s="49" t="n"/>
      <c r="B347" s="49" t="n"/>
      <c r="C347" s="49" t="n"/>
      <c r="D347" s="49" t="n"/>
      <c r="E347" s="49" t="n"/>
      <c r="F347" s="49" t="n"/>
    </row>
    <row r="348" ht="15.75" customHeight="1" s="57">
      <c r="A348" s="49" t="n"/>
      <c r="B348" s="49" t="n"/>
      <c r="C348" s="49" t="n"/>
      <c r="D348" s="49" t="n"/>
      <c r="E348" s="49" t="n"/>
      <c r="F348" s="49" t="n"/>
    </row>
    <row r="349" ht="15.75" customHeight="1" s="57">
      <c r="A349" s="49" t="n"/>
      <c r="B349" s="49" t="n"/>
      <c r="C349" s="49" t="n"/>
      <c r="D349" s="49" t="n"/>
      <c r="E349" s="49" t="n"/>
      <c r="F349" s="49" t="n"/>
    </row>
    <row r="350" ht="15.75" customHeight="1" s="57">
      <c r="A350" s="49" t="n"/>
      <c r="B350" s="49" t="n"/>
      <c r="C350" s="49" t="n"/>
      <c r="D350" s="49" t="n"/>
      <c r="E350" s="49" t="n"/>
      <c r="F350" s="49" t="n"/>
    </row>
    <row r="351" ht="15.75" customHeight="1" s="57">
      <c r="A351" s="49" t="n"/>
      <c r="B351" s="49" t="n"/>
      <c r="C351" s="49" t="n"/>
      <c r="D351" s="49" t="n"/>
      <c r="E351" s="49" t="n"/>
      <c r="F351" s="49" t="n"/>
    </row>
    <row r="352" ht="15.75" customHeight="1" s="57">
      <c r="A352" s="49" t="n"/>
      <c r="B352" s="49" t="n"/>
      <c r="C352" s="49" t="n"/>
      <c r="D352" s="49" t="n"/>
      <c r="E352" s="49" t="n"/>
      <c r="F352" s="49" t="n"/>
    </row>
    <row r="353" ht="15.75" customHeight="1" s="57">
      <c r="A353" s="49" t="n"/>
      <c r="B353" s="49" t="n"/>
      <c r="C353" s="49" t="n"/>
      <c r="D353" s="49" t="n"/>
      <c r="E353" s="49" t="n"/>
      <c r="F353" s="49" t="n"/>
    </row>
    <row r="354" ht="15.75" customHeight="1" s="57">
      <c r="A354" s="49" t="n"/>
      <c r="B354" s="49" t="n"/>
      <c r="C354" s="49" t="n"/>
      <c r="D354" s="49" t="n"/>
      <c r="E354" s="49" t="n"/>
      <c r="F354" s="49" t="n"/>
    </row>
    <row r="355" ht="15.75" customHeight="1" s="57">
      <c r="A355" s="49" t="n"/>
      <c r="B355" s="49" t="n"/>
      <c r="C355" s="49" t="n"/>
      <c r="D355" s="49" t="n"/>
      <c r="E355" s="49" t="n"/>
      <c r="F355" s="49" t="n"/>
    </row>
    <row r="356" ht="15.75" customHeight="1" s="57">
      <c r="A356" s="49" t="n"/>
      <c r="B356" s="49" t="n"/>
      <c r="C356" s="49" t="n"/>
      <c r="D356" s="49" t="n"/>
      <c r="E356" s="49" t="n"/>
      <c r="F356" s="49" t="n"/>
    </row>
    <row r="357" ht="15.75" customHeight="1" s="57">
      <c r="A357" s="49" t="n"/>
      <c r="B357" s="49" t="n"/>
      <c r="C357" s="49" t="n"/>
      <c r="D357" s="49" t="n"/>
      <c r="E357" s="49" t="n"/>
      <c r="F357" s="49" t="n"/>
    </row>
    <row r="358" ht="15.75" customHeight="1" s="57">
      <c r="A358" s="49" t="n"/>
      <c r="B358" s="49" t="n"/>
      <c r="C358" s="49" t="n"/>
      <c r="D358" s="49" t="n"/>
      <c r="E358" s="49" t="n"/>
      <c r="F358" s="49" t="n"/>
    </row>
    <row r="359" ht="15.75" customHeight="1" s="57">
      <c r="A359" s="49" t="n"/>
      <c r="B359" s="49" t="n"/>
      <c r="C359" s="49" t="n"/>
      <c r="D359" s="49" t="n"/>
      <c r="E359" s="49" t="n"/>
      <c r="F359" s="49" t="n"/>
    </row>
    <row r="360" ht="15.75" customHeight="1" s="57">
      <c r="A360" s="49" t="n"/>
      <c r="B360" s="49" t="n"/>
      <c r="C360" s="49" t="n"/>
      <c r="D360" s="49" t="n"/>
      <c r="E360" s="49" t="n"/>
      <c r="F360" s="49" t="n"/>
    </row>
    <row r="361" ht="15.75" customHeight="1" s="57">
      <c r="A361" s="49" t="n"/>
      <c r="B361" s="49" t="n"/>
      <c r="C361" s="49" t="n"/>
      <c r="D361" s="49" t="n"/>
      <c r="E361" s="49" t="n"/>
      <c r="F361" s="49" t="n"/>
    </row>
    <row r="362" ht="15.75" customHeight="1" s="57">
      <c r="A362" s="49" t="n"/>
      <c r="B362" s="49" t="n"/>
      <c r="C362" s="49" t="n"/>
      <c r="D362" s="49" t="n"/>
      <c r="E362" s="49" t="n"/>
      <c r="F362" s="49" t="n"/>
    </row>
    <row r="363" ht="15.75" customHeight="1" s="57">
      <c r="A363" s="49" t="n"/>
      <c r="B363" s="49" t="n"/>
      <c r="C363" s="49" t="n"/>
      <c r="D363" s="49" t="n"/>
      <c r="E363" s="49" t="n"/>
      <c r="F363" s="49" t="n"/>
    </row>
    <row r="364" ht="15.75" customHeight="1" s="57">
      <c r="A364" s="49" t="n"/>
      <c r="B364" s="49" t="n"/>
      <c r="C364" s="49" t="n"/>
      <c r="D364" s="49" t="n"/>
      <c r="E364" s="49" t="n"/>
      <c r="F364" s="49" t="n"/>
    </row>
    <row r="365" ht="15.75" customHeight="1" s="57">
      <c r="A365" s="49" t="n"/>
      <c r="B365" s="49" t="n"/>
      <c r="C365" s="49" t="n"/>
      <c r="D365" s="49" t="n"/>
      <c r="E365" s="49" t="n"/>
      <c r="F365" s="49" t="n"/>
    </row>
    <row r="366" ht="15.75" customHeight="1" s="57">
      <c r="A366" s="49" t="n"/>
      <c r="B366" s="49" t="n"/>
      <c r="C366" s="49" t="n"/>
      <c r="D366" s="49" t="n"/>
      <c r="E366" s="49" t="n"/>
      <c r="F366" s="49" t="n"/>
    </row>
    <row r="367" ht="15.75" customHeight="1" s="57">
      <c r="A367" s="49" t="n"/>
      <c r="B367" s="49" t="n"/>
      <c r="C367" s="49" t="n"/>
      <c r="D367" s="49" t="n"/>
      <c r="E367" s="49" t="n"/>
      <c r="F367" s="49" t="n"/>
    </row>
    <row r="368" ht="15.75" customHeight="1" s="57">
      <c r="A368" s="49" t="n"/>
      <c r="B368" s="49" t="n"/>
      <c r="C368" s="49" t="n"/>
      <c r="D368" s="49" t="n"/>
      <c r="E368" s="49" t="n"/>
      <c r="F368" s="49" t="n"/>
    </row>
    <row r="369" ht="15.75" customHeight="1" s="57">
      <c r="A369" s="49" t="n"/>
      <c r="B369" s="49" t="n"/>
      <c r="C369" s="49" t="n"/>
      <c r="D369" s="49" t="n"/>
      <c r="E369" s="49" t="n"/>
      <c r="F369" s="49" t="n"/>
    </row>
    <row r="370" ht="15.75" customHeight="1" s="57">
      <c r="A370" s="49" t="n"/>
      <c r="B370" s="49" t="n"/>
      <c r="C370" s="49" t="n"/>
      <c r="D370" s="49" t="n"/>
      <c r="E370" s="49" t="n"/>
      <c r="F370" s="49" t="n"/>
    </row>
    <row r="371" ht="15.75" customHeight="1" s="57">
      <c r="A371" s="49" t="n"/>
      <c r="B371" s="49" t="n"/>
      <c r="C371" s="49" t="n"/>
      <c r="D371" s="49" t="n"/>
      <c r="E371" s="49" t="n"/>
      <c r="F371" s="49" t="n"/>
    </row>
    <row r="372" ht="15.75" customHeight="1" s="57">
      <c r="A372" s="49" t="n"/>
      <c r="B372" s="49" t="n"/>
      <c r="C372" s="49" t="n"/>
      <c r="D372" s="49" t="n"/>
      <c r="E372" s="49" t="n"/>
      <c r="F372" s="49" t="n"/>
    </row>
    <row r="373" ht="15.75" customHeight="1" s="57">
      <c r="A373" s="49" t="n"/>
      <c r="B373" s="49" t="n"/>
      <c r="C373" s="49" t="n"/>
      <c r="D373" s="49" t="n"/>
      <c r="E373" s="49" t="n"/>
      <c r="F373" s="49" t="n"/>
    </row>
    <row r="374" ht="15.75" customHeight="1" s="57">
      <c r="A374" s="49" t="n"/>
      <c r="B374" s="49" t="n"/>
      <c r="C374" s="49" t="n"/>
      <c r="D374" s="49" t="n"/>
      <c r="E374" s="49" t="n"/>
      <c r="F374" s="49" t="n"/>
    </row>
    <row r="375" ht="15.75" customHeight="1" s="57">
      <c r="A375" s="49" t="n"/>
      <c r="B375" s="49" t="n"/>
      <c r="C375" s="49" t="n"/>
      <c r="D375" s="49" t="n"/>
      <c r="E375" s="49" t="n"/>
      <c r="F375" s="49" t="n"/>
    </row>
    <row r="376" ht="15.75" customHeight="1" s="57">
      <c r="A376" s="49" t="n"/>
      <c r="B376" s="49" t="n"/>
      <c r="C376" s="49" t="n"/>
      <c r="D376" s="49" t="n"/>
      <c r="E376" s="49" t="n"/>
      <c r="F376" s="49" t="n"/>
    </row>
    <row r="377" ht="15.75" customHeight="1" s="57">
      <c r="A377" s="49" t="n"/>
      <c r="B377" s="49" t="n"/>
      <c r="C377" s="49" t="n"/>
      <c r="D377" s="49" t="n"/>
      <c r="E377" s="49" t="n"/>
      <c r="F377" s="49" t="n"/>
    </row>
    <row r="378" ht="15.75" customHeight="1" s="57">
      <c r="A378" s="49" t="n"/>
      <c r="B378" s="49" t="n"/>
      <c r="C378" s="49" t="n"/>
      <c r="D378" s="49" t="n"/>
      <c r="E378" s="49" t="n"/>
      <c r="F378" s="49" t="n"/>
    </row>
    <row r="379" ht="15.75" customHeight="1" s="57">
      <c r="A379" s="49" t="n"/>
      <c r="B379" s="49" t="n"/>
      <c r="C379" s="49" t="n"/>
      <c r="D379" s="49" t="n"/>
      <c r="E379" s="49" t="n"/>
      <c r="F379" s="49" t="n"/>
    </row>
    <row r="380" ht="15.75" customHeight="1" s="57">
      <c r="A380" s="49" t="n"/>
      <c r="B380" s="49" t="n"/>
      <c r="C380" s="49" t="n"/>
      <c r="D380" s="49" t="n"/>
      <c r="E380" s="49" t="n"/>
      <c r="F380" s="49" t="n"/>
    </row>
    <row r="381" ht="15.75" customHeight="1" s="57">
      <c r="A381" s="49" t="n"/>
      <c r="B381" s="49" t="n"/>
      <c r="C381" s="49" t="n"/>
      <c r="D381" s="49" t="n"/>
      <c r="E381" s="49" t="n"/>
      <c r="F381" s="49" t="n"/>
    </row>
    <row r="382" ht="15.75" customHeight="1" s="57">
      <c r="A382" s="49" t="n"/>
      <c r="B382" s="49" t="n"/>
      <c r="C382" s="49" t="n"/>
      <c r="D382" s="49" t="n"/>
      <c r="E382" s="49" t="n"/>
      <c r="F382" s="49" t="n"/>
    </row>
    <row r="383" ht="15.75" customHeight="1" s="57">
      <c r="A383" s="49" t="n"/>
      <c r="B383" s="49" t="n"/>
      <c r="C383" s="49" t="n"/>
      <c r="D383" s="49" t="n"/>
      <c r="E383" s="49" t="n"/>
      <c r="F383" s="49" t="n"/>
    </row>
    <row r="384" ht="15.75" customHeight="1" s="57">
      <c r="A384" s="49" t="n"/>
      <c r="B384" s="49" t="n"/>
      <c r="C384" s="49" t="n"/>
      <c r="D384" s="49" t="n"/>
      <c r="E384" s="49" t="n"/>
      <c r="F384" s="49" t="n"/>
    </row>
    <row r="385" ht="15.75" customHeight="1" s="57">
      <c r="A385" s="49" t="n"/>
      <c r="B385" s="49" t="n"/>
      <c r="C385" s="49" t="n"/>
      <c r="D385" s="49" t="n"/>
      <c r="E385" s="49" t="n"/>
      <c r="F385" s="49" t="n"/>
    </row>
    <row r="386" ht="15.75" customHeight="1" s="57">
      <c r="A386" s="49" t="n"/>
      <c r="B386" s="49" t="n"/>
      <c r="C386" s="49" t="n"/>
      <c r="D386" s="49" t="n"/>
      <c r="E386" s="49" t="n"/>
      <c r="F386" s="49" t="n"/>
    </row>
    <row r="387" ht="15.75" customHeight="1" s="57">
      <c r="A387" s="49" t="n"/>
      <c r="B387" s="49" t="n"/>
      <c r="C387" s="49" t="n"/>
      <c r="D387" s="49" t="n"/>
      <c r="E387" s="49" t="n"/>
      <c r="F387" s="49" t="n"/>
    </row>
    <row r="388" ht="15.75" customHeight="1" s="57">
      <c r="A388" s="49" t="n"/>
      <c r="B388" s="49" t="n"/>
      <c r="C388" s="49" t="n"/>
      <c r="D388" s="49" t="n"/>
      <c r="E388" s="49" t="n"/>
      <c r="F388" s="49" t="n"/>
    </row>
    <row r="389" ht="15.75" customHeight="1" s="57">
      <c r="A389" s="49" t="n"/>
      <c r="B389" s="49" t="n"/>
      <c r="C389" s="49" t="n"/>
      <c r="D389" s="49" t="n"/>
      <c r="E389" s="49" t="n"/>
      <c r="F389" s="49" t="n"/>
    </row>
    <row r="390" ht="15.75" customHeight="1" s="57">
      <c r="A390" s="49" t="n"/>
      <c r="B390" s="49" t="n"/>
      <c r="C390" s="49" t="n"/>
      <c r="D390" s="49" t="n"/>
      <c r="E390" s="49" t="n"/>
      <c r="F390" s="49" t="n"/>
    </row>
    <row r="391" ht="15.75" customHeight="1" s="57">
      <c r="A391" s="49" t="n"/>
      <c r="B391" s="49" t="n"/>
      <c r="C391" s="49" t="n"/>
      <c r="D391" s="49" t="n"/>
      <c r="E391" s="49" t="n"/>
      <c r="F391" s="49" t="n"/>
    </row>
    <row r="392" ht="15.75" customHeight="1" s="57">
      <c r="A392" s="49" t="n"/>
      <c r="B392" s="49" t="n"/>
      <c r="C392" s="49" t="n"/>
      <c r="D392" s="49" t="n"/>
      <c r="E392" s="49" t="n"/>
      <c r="F392" s="49" t="n"/>
    </row>
    <row r="393" ht="15.75" customHeight="1" s="57">
      <c r="A393" s="49" t="n"/>
      <c r="B393" s="49" t="n"/>
      <c r="C393" s="49" t="n"/>
      <c r="D393" s="49" t="n"/>
      <c r="E393" s="49" t="n"/>
      <c r="F393" s="49" t="n"/>
    </row>
    <row r="394" ht="15.75" customHeight="1" s="57">
      <c r="A394" s="49" t="n"/>
      <c r="B394" s="49" t="n"/>
      <c r="C394" s="49" t="n"/>
      <c r="D394" s="49" t="n"/>
      <c r="E394" s="49" t="n"/>
      <c r="F394" s="49" t="n"/>
    </row>
    <row r="395" ht="15.75" customHeight="1" s="57">
      <c r="A395" s="49" t="n"/>
      <c r="B395" s="49" t="n"/>
      <c r="C395" s="49" t="n"/>
      <c r="D395" s="49" t="n"/>
      <c r="E395" s="49" t="n"/>
      <c r="F395" s="49" t="n"/>
    </row>
    <row r="396" ht="15.75" customHeight="1" s="57">
      <c r="A396" s="49" t="n"/>
      <c r="B396" s="49" t="n"/>
      <c r="C396" s="49" t="n"/>
      <c r="D396" s="49" t="n"/>
      <c r="E396" s="49" t="n"/>
      <c r="F396" s="49" t="n"/>
    </row>
    <row r="397" ht="15.75" customHeight="1" s="57">
      <c r="A397" s="49" t="n"/>
      <c r="B397" s="49" t="n"/>
      <c r="C397" s="49" t="n"/>
      <c r="D397" s="49" t="n"/>
      <c r="E397" s="49" t="n"/>
      <c r="F397" s="49" t="n"/>
    </row>
    <row r="398" ht="15.75" customHeight="1" s="57">
      <c r="A398" s="49" t="n"/>
      <c r="B398" s="49" t="n"/>
      <c r="C398" s="49" t="n"/>
      <c r="D398" s="49" t="n"/>
      <c r="E398" s="49" t="n"/>
      <c r="F398" s="49" t="n"/>
    </row>
    <row r="399" ht="15.75" customHeight="1" s="57">
      <c r="A399" s="49" t="n"/>
      <c r="B399" s="49" t="n"/>
      <c r="C399" s="49" t="n"/>
      <c r="D399" s="49" t="n"/>
      <c r="E399" s="49" t="n"/>
      <c r="F399" s="49" t="n"/>
    </row>
    <row r="400" ht="15.75" customHeight="1" s="57">
      <c r="A400" s="49" t="n"/>
      <c r="B400" s="49" t="n"/>
      <c r="C400" s="49" t="n"/>
      <c r="D400" s="49" t="n"/>
      <c r="E400" s="49" t="n"/>
      <c r="F400" s="49" t="n"/>
    </row>
    <row r="401" ht="15.75" customHeight="1" s="57">
      <c r="A401" s="49" t="n"/>
      <c r="B401" s="49" t="n"/>
      <c r="C401" s="49" t="n"/>
      <c r="D401" s="49" t="n"/>
      <c r="E401" s="49" t="n"/>
      <c r="F401" s="49" t="n"/>
    </row>
    <row r="402" ht="15.75" customHeight="1" s="57">
      <c r="A402" s="49" t="n"/>
      <c r="B402" s="49" t="n"/>
      <c r="C402" s="49" t="n"/>
      <c r="D402" s="49" t="n"/>
      <c r="E402" s="49" t="n"/>
      <c r="F402" s="49" t="n"/>
    </row>
    <row r="403" ht="15.75" customHeight="1" s="57">
      <c r="A403" s="49" t="n"/>
      <c r="B403" s="49" t="n"/>
      <c r="C403" s="49" t="n"/>
      <c r="D403" s="49" t="n"/>
      <c r="E403" s="49" t="n"/>
      <c r="F403" s="49" t="n"/>
    </row>
    <row r="404" ht="15.75" customHeight="1" s="57">
      <c r="A404" s="49" t="n"/>
      <c r="B404" s="49" t="n"/>
      <c r="C404" s="49" t="n"/>
      <c r="D404" s="49" t="n"/>
      <c r="E404" s="49" t="n"/>
      <c r="F404" s="49" t="n"/>
    </row>
    <row r="405" ht="15.75" customHeight="1" s="57">
      <c r="A405" s="49" t="n"/>
      <c r="B405" s="49" t="n"/>
      <c r="C405" s="49" t="n"/>
      <c r="D405" s="49" t="n"/>
      <c r="E405" s="49" t="n"/>
      <c r="F405" s="49" t="n"/>
    </row>
    <row r="406" ht="15.75" customHeight="1" s="57">
      <c r="A406" s="49" t="n"/>
      <c r="B406" s="49" t="n"/>
      <c r="C406" s="49" t="n"/>
      <c r="D406" s="49" t="n"/>
      <c r="E406" s="49" t="n"/>
      <c r="F406" s="49" t="n"/>
    </row>
    <row r="407" ht="15.75" customHeight="1" s="57">
      <c r="A407" s="49" t="n"/>
      <c r="B407" s="49" t="n"/>
      <c r="C407" s="49" t="n"/>
      <c r="D407" s="49" t="n"/>
      <c r="E407" s="49" t="n"/>
      <c r="F407" s="49" t="n"/>
    </row>
    <row r="408" ht="15.75" customHeight="1" s="57">
      <c r="A408" s="49" t="n"/>
      <c r="B408" s="49" t="n"/>
      <c r="C408" s="49" t="n"/>
      <c r="D408" s="49" t="n"/>
      <c r="E408" s="49" t="n"/>
      <c r="F408" s="49" t="n"/>
    </row>
    <row r="409" ht="15.75" customHeight="1" s="57">
      <c r="A409" s="49" t="n"/>
      <c r="B409" s="49" t="n"/>
      <c r="C409" s="49" t="n"/>
      <c r="D409" s="49" t="n"/>
      <c r="E409" s="49" t="n"/>
      <c r="F409" s="49" t="n"/>
    </row>
    <row r="410" ht="15.75" customHeight="1" s="57">
      <c r="A410" s="49" t="n"/>
      <c r="B410" s="49" t="n"/>
      <c r="C410" s="49" t="n"/>
      <c r="D410" s="49" t="n"/>
      <c r="E410" s="49" t="n"/>
      <c r="F410" s="49" t="n"/>
    </row>
    <row r="411" ht="15.75" customHeight="1" s="57">
      <c r="A411" s="49" t="n"/>
      <c r="B411" s="49" t="n"/>
      <c r="C411" s="49" t="n"/>
      <c r="D411" s="49" t="n"/>
      <c r="E411" s="49" t="n"/>
      <c r="F411" s="49" t="n"/>
    </row>
    <row r="412" ht="15.75" customHeight="1" s="57">
      <c r="A412" s="49" t="n"/>
      <c r="B412" s="49" t="n"/>
      <c r="C412" s="49" t="n"/>
      <c r="D412" s="49" t="n"/>
      <c r="E412" s="49" t="n"/>
      <c r="F412" s="49" t="n"/>
    </row>
    <row r="413" ht="15.75" customHeight="1" s="57">
      <c r="A413" s="49" t="n"/>
      <c r="B413" s="49" t="n"/>
      <c r="C413" s="49" t="n"/>
      <c r="D413" s="49" t="n"/>
      <c r="E413" s="49" t="n"/>
      <c r="F413" s="49" t="n"/>
    </row>
    <row r="414" ht="15.75" customHeight="1" s="57">
      <c r="A414" s="49" t="n"/>
      <c r="B414" s="49" t="n"/>
      <c r="C414" s="49" t="n"/>
      <c r="D414" s="49" t="n"/>
      <c r="E414" s="49" t="n"/>
      <c r="F414" s="49" t="n"/>
    </row>
    <row r="415" ht="15.75" customHeight="1" s="57">
      <c r="A415" s="49" t="n"/>
      <c r="B415" s="49" t="n"/>
      <c r="C415" s="49" t="n"/>
      <c r="D415" s="49" t="n"/>
      <c r="E415" s="49" t="n"/>
      <c r="F415" s="49" t="n"/>
    </row>
    <row r="416" ht="15.75" customHeight="1" s="57">
      <c r="A416" s="49" t="n"/>
      <c r="B416" s="49" t="n"/>
      <c r="C416" s="49" t="n"/>
      <c r="D416" s="49" t="n"/>
      <c r="E416" s="49" t="n"/>
      <c r="F416" s="49" t="n"/>
    </row>
    <row r="417" ht="15.75" customHeight="1" s="57">
      <c r="A417" s="49" t="n"/>
      <c r="B417" s="49" t="n"/>
      <c r="C417" s="49" t="n"/>
      <c r="D417" s="49" t="n"/>
      <c r="E417" s="49" t="n"/>
      <c r="F417" s="49" t="n"/>
    </row>
    <row r="418" ht="15.75" customHeight="1" s="57">
      <c r="A418" s="49" t="n"/>
      <c r="B418" s="49" t="n"/>
      <c r="C418" s="49" t="n"/>
      <c r="D418" s="49" t="n"/>
      <c r="E418" s="49" t="n"/>
      <c r="F418" s="49" t="n"/>
    </row>
    <row r="419" ht="15.75" customHeight="1" s="57">
      <c r="A419" s="49" t="n"/>
      <c r="B419" s="49" t="n"/>
      <c r="C419" s="49" t="n"/>
      <c r="D419" s="49" t="n"/>
      <c r="E419" s="49" t="n"/>
      <c r="F419" s="49" t="n"/>
    </row>
    <row r="420" ht="15.75" customHeight="1" s="57">
      <c r="A420" s="49" t="n"/>
      <c r="B420" s="49" t="n"/>
      <c r="C420" s="49" t="n"/>
      <c r="D420" s="49" t="n"/>
      <c r="E420" s="49" t="n"/>
      <c r="F420" s="49" t="n"/>
    </row>
    <row r="421" ht="15.75" customHeight="1" s="57">
      <c r="A421" s="49" t="n"/>
      <c r="B421" s="49" t="n"/>
      <c r="C421" s="49" t="n"/>
      <c r="D421" s="49" t="n"/>
      <c r="E421" s="49" t="n"/>
      <c r="F421" s="49" t="n"/>
    </row>
    <row r="422" ht="15.75" customHeight="1" s="57">
      <c r="A422" s="49" t="n"/>
      <c r="B422" s="49" t="n"/>
      <c r="C422" s="49" t="n"/>
      <c r="D422" s="49" t="n"/>
      <c r="E422" s="49" t="n"/>
      <c r="F422" s="49" t="n"/>
    </row>
    <row r="423" ht="15.75" customHeight="1" s="57">
      <c r="A423" s="49" t="n"/>
      <c r="B423" s="49" t="n"/>
      <c r="C423" s="49" t="n"/>
      <c r="D423" s="49" t="n"/>
      <c r="E423" s="49" t="n"/>
      <c r="F423" s="49" t="n"/>
    </row>
    <row r="424" ht="15.75" customHeight="1" s="57">
      <c r="A424" s="49" t="n"/>
      <c r="B424" s="49" t="n"/>
      <c r="C424" s="49" t="n"/>
      <c r="D424" s="49" t="n"/>
      <c r="E424" s="49" t="n"/>
      <c r="F424" s="49" t="n"/>
    </row>
    <row r="425" ht="15.75" customHeight="1" s="57">
      <c r="A425" s="49" t="n"/>
      <c r="B425" s="49" t="n"/>
      <c r="C425" s="49" t="n"/>
      <c r="D425" s="49" t="n"/>
      <c r="E425" s="49" t="n"/>
      <c r="F425" s="49" t="n"/>
    </row>
    <row r="426" ht="15.75" customHeight="1" s="57">
      <c r="A426" s="49" t="n"/>
      <c r="B426" s="49" t="n"/>
      <c r="C426" s="49" t="n"/>
      <c r="D426" s="49" t="n"/>
      <c r="E426" s="49" t="n"/>
      <c r="F426" s="49" t="n"/>
    </row>
    <row r="427" ht="15.75" customHeight="1" s="57">
      <c r="A427" s="49" t="n"/>
      <c r="B427" s="49" t="n"/>
      <c r="C427" s="49" t="n"/>
      <c r="D427" s="49" t="n"/>
      <c r="E427" s="49" t="n"/>
      <c r="F427" s="49" t="n"/>
    </row>
    <row r="428" ht="15.75" customHeight="1" s="57">
      <c r="A428" s="49" t="n"/>
      <c r="B428" s="49" t="n"/>
      <c r="C428" s="49" t="n"/>
      <c r="D428" s="49" t="n"/>
      <c r="E428" s="49" t="n"/>
      <c r="F428" s="49" t="n"/>
    </row>
    <row r="429" ht="15.75" customHeight="1" s="57">
      <c r="A429" s="49" t="n"/>
      <c r="B429" s="49" t="n"/>
      <c r="C429" s="49" t="n"/>
      <c r="D429" s="49" t="n"/>
      <c r="E429" s="49" t="n"/>
      <c r="F429" s="49" t="n"/>
    </row>
    <row r="430" ht="15.75" customHeight="1" s="57">
      <c r="A430" s="49" t="n"/>
      <c r="B430" s="49" t="n"/>
      <c r="C430" s="49" t="n"/>
      <c r="D430" s="49" t="n"/>
      <c r="E430" s="49" t="n"/>
      <c r="F430" s="49" t="n"/>
    </row>
    <row r="431" ht="15.75" customHeight="1" s="57">
      <c r="A431" s="49" t="n"/>
      <c r="B431" s="49" t="n"/>
      <c r="C431" s="49" t="n"/>
      <c r="D431" s="49" t="n"/>
      <c r="E431" s="49" t="n"/>
      <c r="F431" s="49" t="n"/>
    </row>
    <row r="432" ht="15.75" customHeight="1" s="57">
      <c r="A432" s="49" t="n"/>
      <c r="B432" s="49" t="n"/>
      <c r="C432" s="49" t="n"/>
      <c r="D432" s="49" t="n"/>
      <c r="E432" s="49" t="n"/>
      <c r="F432" s="49" t="n"/>
    </row>
    <row r="433" ht="15.75" customHeight="1" s="57">
      <c r="A433" s="49" t="n"/>
      <c r="B433" s="49" t="n"/>
      <c r="C433" s="49" t="n"/>
      <c r="D433" s="49" t="n"/>
      <c r="E433" s="49" t="n"/>
      <c r="F433" s="49" t="n"/>
    </row>
    <row r="434" ht="15.75" customHeight="1" s="57">
      <c r="A434" s="49" t="n"/>
      <c r="B434" s="49" t="n"/>
      <c r="C434" s="49" t="n"/>
      <c r="D434" s="49" t="n"/>
      <c r="E434" s="49" t="n"/>
      <c r="F434" s="49" t="n"/>
    </row>
    <row r="435" ht="15.75" customHeight="1" s="57">
      <c r="A435" s="49" t="n"/>
      <c r="B435" s="49" t="n"/>
      <c r="C435" s="49" t="n"/>
      <c r="D435" s="49" t="n"/>
      <c r="E435" s="49" t="n"/>
      <c r="F435" s="49" t="n"/>
    </row>
    <row r="436" ht="15.75" customHeight="1" s="57">
      <c r="A436" s="49" t="n"/>
      <c r="B436" s="49" t="n"/>
      <c r="C436" s="49" t="n"/>
      <c r="D436" s="49" t="n"/>
      <c r="E436" s="49" t="n"/>
      <c r="F436" s="49" t="n"/>
    </row>
    <row r="437" ht="15.75" customHeight="1" s="57">
      <c r="A437" s="49" t="n"/>
      <c r="B437" s="49" t="n"/>
      <c r="C437" s="49" t="n"/>
      <c r="D437" s="49" t="n"/>
      <c r="E437" s="49" t="n"/>
      <c r="F437" s="49" t="n"/>
    </row>
    <row r="438" ht="15.75" customHeight="1" s="57">
      <c r="A438" s="49" t="n"/>
      <c r="B438" s="49" t="n"/>
      <c r="C438" s="49" t="n"/>
      <c r="D438" s="49" t="n"/>
      <c r="E438" s="49" t="n"/>
      <c r="F438" s="49" t="n"/>
    </row>
    <row r="439" ht="15.75" customHeight="1" s="57">
      <c r="A439" s="49" t="n"/>
      <c r="B439" s="49" t="n"/>
      <c r="C439" s="49" t="n"/>
      <c r="D439" s="49" t="n"/>
      <c r="E439" s="49" t="n"/>
      <c r="F439" s="49" t="n"/>
    </row>
    <row r="440" ht="15.75" customHeight="1" s="57">
      <c r="A440" s="49" t="n"/>
      <c r="B440" s="49" t="n"/>
      <c r="C440" s="49" t="n"/>
      <c r="D440" s="49" t="n"/>
      <c r="E440" s="49" t="n"/>
      <c r="F440" s="49" t="n"/>
    </row>
    <row r="441" ht="15.75" customHeight="1" s="57">
      <c r="A441" s="49" t="n"/>
      <c r="B441" s="49" t="n"/>
      <c r="C441" s="49" t="n"/>
      <c r="D441" s="49" t="n"/>
      <c r="E441" s="49" t="n"/>
      <c r="F441" s="49" t="n"/>
    </row>
    <row r="442" ht="15.75" customHeight="1" s="57">
      <c r="A442" s="49" t="n"/>
      <c r="B442" s="49" t="n"/>
      <c r="C442" s="49" t="n"/>
      <c r="D442" s="49" t="n"/>
      <c r="E442" s="49" t="n"/>
      <c r="F442" s="49" t="n"/>
    </row>
    <row r="443" ht="15.75" customHeight="1" s="57">
      <c r="A443" s="49" t="n"/>
      <c r="B443" s="49" t="n"/>
      <c r="C443" s="49" t="n"/>
      <c r="D443" s="49" t="n"/>
      <c r="E443" s="49" t="n"/>
      <c r="F443" s="49" t="n"/>
    </row>
    <row r="444" ht="15.75" customHeight="1" s="57">
      <c r="A444" s="49" t="n"/>
      <c r="B444" s="49" t="n"/>
      <c r="C444" s="49" t="n"/>
      <c r="D444" s="49" t="n"/>
      <c r="E444" s="49" t="n"/>
      <c r="F444" s="49" t="n"/>
    </row>
    <row r="445" ht="15.75" customHeight="1" s="57">
      <c r="A445" s="49" t="n"/>
      <c r="B445" s="49" t="n"/>
      <c r="C445" s="49" t="n"/>
      <c r="D445" s="49" t="n"/>
      <c r="E445" s="49" t="n"/>
      <c r="F445" s="49" t="n"/>
    </row>
    <row r="446" ht="15.75" customHeight="1" s="57">
      <c r="A446" s="49" t="n"/>
      <c r="B446" s="49" t="n"/>
      <c r="C446" s="49" t="n"/>
      <c r="D446" s="49" t="n"/>
      <c r="E446" s="49" t="n"/>
      <c r="F446" s="49" t="n"/>
    </row>
    <row r="447" ht="15.75" customHeight="1" s="57">
      <c r="A447" s="49" t="n"/>
      <c r="B447" s="49" t="n"/>
      <c r="C447" s="49" t="n"/>
      <c r="D447" s="49" t="n"/>
      <c r="E447" s="49" t="n"/>
      <c r="F447" s="49" t="n"/>
    </row>
    <row r="448" ht="15.75" customHeight="1" s="57">
      <c r="A448" s="49" t="n"/>
      <c r="B448" s="49" t="n"/>
      <c r="C448" s="49" t="n"/>
      <c r="D448" s="49" t="n"/>
      <c r="E448" s="49" t="n"/>
      <c r="F448" s="49" t="n"/>
    </row>
    <row r="449" ht="15.75" customHeight="1" s="57">
      <c r="A449" s="49" t="n"/>
      <c r="B449" s="49" t="n"/>
      <c r="C449" s="49" t="n"/>
      <c r="D449" s="49" t="n"/>
      <c r="E449" s="49" t="n"/>
      <c r="F449" s="49" t="n"/>
    </row>
    <row r="450" ht="15.75" customHeight="1" s="57">
      <c r="A450" s="49" t="n"/>
      <c r="B450" s="49" t="n"/>
      <c r="C450" s="49" t="n"/>
      <c r="D450" s="49" t="n"/>
      <c r="E450" s="49" t="n"/>
      <c r="F450" s="49" t="n"/>
    </row>
    <row r="451" ht="15.75" customHeight="1" s="57">
      <c r="A451" s="49" t="n"/>
      <c r="B451" s="49" t="n"/>
      <c r="C451" s="49" t="n"/>
      <c r="D451" s="49" t="n"/>
      <c r="E451" s="49" t="n"/>
      <c r="F451" s="49" t="n"/>
    </row>
    <row r="452" ht="15.75" customHeight="1" s="57">
      <c r="A452" s="49" t="n"/>
      <c r="B452" s="49" t="n"/>
      <c r="C452" s="49" t="n"/>
      <c r="D452" s="49" t="n"/>
      <c r="E452" s="49" t="n"/>
      <c r="F452" s="49" t="n"/>
    </row>
    <row r="453" ht="15.75" customHeight="1" s="57">
      <c r="A453" s="49" t="n"/>
      <c r="B453" s="49" t="n"/>
      <c r="C453" s="49" t="n"/>
      <c r="D453" s="49" t="n"/>
      <c r="E453" s="49" t="n"/>
      <c r="F453" s="49" t="n"/>
    </row>
    <row r="454" ht="15.75" customHeight="1" s="57">
      <c r="A454" s="49" t="n"/>
      <c r="B454" s="49" t="n"/>
      <c r="C454" s="49" t="n"/>
      <c r="D454" s="49" t="n"/>
      <c r="E454" s="49" t="n"/>
      <c r="F454" s="49" t="n"/>
    </row>
    <row r="455" ht="15.75" customHeight="1" s="57">
      <c r="A455" s="49" t="n"/>
      <c r="B455" s="49" t="n"/>
      <c r="C455" s="49" t="n"/>
      <c r="D455" s="49" t="n"/>
      <c r="E455" s="49" t="n"/>
      <c r="F455" s="49" t="n"/>
    </row>
    <row r="456" ht="15.75" customHeight="1" s="57">
      <c r="A456" s="49" t="n"/>
      <c r="B456" s="49" t="n"/>
      <c r="C456" s="49" t="n"/>
      <c r="D456" s="49" t="n"/>
      <c r="E456" s="49" t="n"/>
      <c r="F456" s="49" t="n"/>
    </row>
    <row r="457" ht="15.75" customHeight="1" s="57">
      <c r="A457" s="49" t="n"/>
      <c r="B457" s="49" t="n"/>
      <c r="C457" s="49" t="n"/>
      <c r="D457" s="49" t="n"/>
      <c r="E457" s="49" t="n"/>
      <c r="F457" s="49" t="n"/>
    </row>
    <row r="458" ht="15.75" customHeight="1" s="57">
      <c r="A458" s="49" t="n"/>
      <c r="B458" s="49" t="n"/>
      <c r="C458" s="49" t="n"/>
      <c r="D458" s="49" t="n"/>
      <c r="E458" s="49" t="n"/>
      <c r="F458" s="49" t="n"/>
    </row>
    <row r="459" ht="15.75" customHeight="1" s="57">
      <c r="A459" s="49" t="n"/>
      <c r="B459" s="49" t="n"/>
      <c r="C459" s="49" t="n"/>
      <c r="D459" s="49" t="n"/>
      <c r="E459" s="49" t="n"/>
      <c r="F459" s="49" t="n"/>
    </row>
    <row r="460" ht="15.75" customHeight="1" s="57">
      <c r="A460" s="49" t="n"/>
      <c r="B460" s="49" t="n"/>
      <c r="C460" s="49" t="n"/>
      <c r="D460" s="49" t="n"/>
      <c r="E460" s="49" t="n"/>
      <c r="F460" s="49" t="n"/>
    </row>
    <row r="461" ht="15.75" customHeight="1" s="57">
      <c r="A461" s="49" t="n"/>
      <c r="B461" s="49" t="n"/>
      <c r="C461" s="49" t="n"/>
      <c r="D461" s="49" t="n"/>
      <c r="E461" s="49" t="n"/>
      <c r="F461" s="49" t="n"/>
    </row>
    <row r="462" ht="15.75" customHeight="1" s="57">
      <c r="A462" s="49" t="n"/>
      <c r="B462" s="49" t="n"/>
      <c r="C462" s="49" t="n"/>
      <c r="D462" s="49" t="n"/>
      <c r="E462" s="49" t="n"/>
      <c r="F462" s="49" t="n"/>
    </row>
    <row r="463" ht="15.75" customHeight="1" s="57">
      <c r="A463" s="49" t="n"/>
      <c r="B463" s="49" t="n"/>
      <c r="C463" s="49" t="n"/>
      <c r="D463" s="49" t="n"/>
      <c r="E463" s="49" t="n"/>
      <c r="F463" s="49" t="n"/>
    </row>
    <row r="464" ht="15.75" customHeight="1" s="57">
      <c r="A464" s="49" t="n"/>
      <c r="B464" s="49" t="n"/>
      <c r="C464" s="49" t="n"/>
      <c r="D464" s="49" t="n"/>
      <c r="E464" s="49" t="n"/>
      <c r="F464" s="49" t="n"/>
    </row>
    <row r="465" ht="15.75" customHeight="1" s="57">
      <c r="A465" s="49" t="n"/>
      <c r="B465" s="49" t="n"/>
      <c r="C465" s="49" t="n"/>
      <c r="D465" s="49" t="n"/>
      <c r="E465" s="49" t="n"/>
      <c r="F465" s="49" t="n"/>
    </row>
    <row r="466" ht="15.75" customHeight="1" s="57">
      <c r="A466" s="49" t="n"/>
      <c r="B466" s="49" t="n"/>
      <c r="C466" s="49" t="n"/>
      <c r="D466" s="49" t="n"/>
      <c r="E466" s="49" t="n"/>
      <c r="F466" s="49" t="n"/>
    </row>
    <row r="467" ht="15.75" customHeight="1" s="57">
      <c r="A467" s="49" t="n"/>
      <c r="B467" s="49" t="n"/>
      <c r="C467" s="49" t="n"/>
      <c r="D467" s="49" t="n"/>
      <c r="E467" s="49" t="n"/>
      <c r="F467" s="49" t="n"/>
    </row>
    <row r="468" ht="15.75" customHeight="1" s="57">
      <c r="A468" s="49" t="n"/>
      <c r="B468" s="49" t="n"/>
      <c r="C468" s="49" t="n"/>
      <c r="D468" s="49" t="n"/>
      <c r="E468" s="49" t="n"/>
      <c r="F468" s="49" t="n"/>
    </row>
    <row r="469" ht="15.75" customHeight="1" s="57">
      <c r="A469" s="49" t="n"/>
      <c r="B469" s="49" t="n"/>
      <c r="C469" s="49" t="n"/>
      <c r="D469" s="49" t="n"/>
      <c r="E469" s="49" t="n"/>
      <c r="F469" s="49" t="n"/>
    </row>
    <row r="470" ht="15.75" customHeight="1" s="57">
      <c r="A470" s="49" t="n"/>
      <c r="B470" s="49" t="n"/>
      <c r="C470" s="49" t="n"/>
      <c r="D470" s="49" t="n"/>
      <c r="E470" s="49" t="n"/>
      <c r="F470" s="49" t="n"/>
    </row>
    <row r="471" ht="15.75" customHeight="1" s="57">
      <c r="A471" s="49" t="n"/>
      <c r="B471" s="49" t="n"/>
      <c r="C471" s="49" t="n"/>
      <c r="D471" s="49" t="n"/>
      <c r="E471" s="49" t="n"/>
      <c r="F471" s="49" t="n"/>
    </row>
    <row r="472" ht="15.75" customHeight="1" s="57">
      <c r="A472" s="49" t="n"/>
      <c r="B472" s="49" t="n"/>
      <c r="C472" s="49" t="n"/>
      <c r="D472" s="49" t="n"/>
      <c r="E472" s="49" t="n"/>
      <c r="F472" s="49" t="n"/>
    </row>
    <row r="473" ht="15.75" customHeight="1" s="57">
      <c r="A473" s="49" t="n"/>
      <c r="B473" s="49" t="n"/>
      <c r="C473" s="49" t="n"/>
      <c r="D473" s="49" t="n"/>
      <c r="E473" s="49" t="n"/>
      <c r="F473" s="49" t="n"/>
    </row>
    <row r="474" ht="15.75" customHeight="1" s="57">
      <c r="A474" s="49" t="n"/>
      <c r="B474" s="49" t="n"/>
      <c r="C474" s="49" t="n"/>
      <c r="D474" s="49" t="n"/>
      <c r="E474" s="49" t="n"/>
      <c r="F474" s="49" t="n"/>
    </row>
    <row r="475" ht="15.75" customHeight="1" s="57">
      <c r="A475" s="49" t="n"/>
      <c r="B475" s="49" t="n"/>
      <c r="C475" s="49" t="n"/>
      <c r="D475" s="49" t="n"/>
      <c r="E475" s="49" t="n"/>
      <c r="F475" s="49" t="n"/>
    </row>
    <row r="476" ht="15.75" customHeight="1" s="57">
      <c r="A476" s="49" t="n"/>
      <c r="B476" s="49" t="n"/>
      <c r="C476" s="49" t="n"/>
      <c r="D476" s="49" t="n"/>
      <c r="E476" s="49" t="n"/>
      <c r="F476" s="49" t="n"/>
    </row>
    <row r="477" ht="15.75" customHeight="1" s="57">
      <c r="A477" s="49" t="n"/>
      <c r="B477" s="49" t="n"/>
      <c r="C477" s="49" t="n"/>
      <c r="D477" s="49" t="n"/>
      <c r="E477" s="49" t="n"/>
      <c r="F477" s="49" t="n"/>
    </row>
    <row r="478" ht="15.75" customHeight="1" s="57">
      <c r="A478" s="49" t="n"/>
      <c r="B478" s="49" t="n"/>
      <c r="C478" s="49" t="n"/>
      <c r="D478" s="49" t="n"/>
      <c r="E478" s="49" t="n"/>
      <c r="F478" s="49" t="n"/>
    </row>
    <row r="479" ht="15.75" customHeight="1" s="57">
      <c r="A479" s="49" t="n"/>
      <c r="B479" s="49" t="n"/>
      <c r="C479" s="49" t="n"/>
      <c r="D479" s="49" t="n"/>
      <c r="E479" s="49" t="n"/>
      <c r="F479" s="49" t="n"/>
    </row>
    <row r="480" ht="15.75" customHeight="1" s="57">
      <c r="A480" s="49" t="n"/>
      <c r="B480" s="49" t="n"/>
      <c r="C480" s="49" t="n"/>
      <c r="D480" s="49" t="n"/>
      <c r="E480" s="49" t="n"/>
      <c r="F480" s="49" t="n"/>
    </row>
    <row r="481" ht="15.75" customHeight="1" s="57">
      <c r="A481" s="49" t="n"/>
      <c r="B481" s="49" t="n"/>
      <c r="C481" s="49" t="n"/>
      <c r="D481" s="49" t="n"/>
      <c r="E481" s="49" t="n"/>
      <c r="F481" s="49" t="n"/>
    </row>
    <row r="482" ht="15.75" customHeight="1" s="57">
      <c r="A482" s="49" t="n"/>
      <c r="B482" s="49" t="n"/>
      <c r="C482" s="49" t="n"/>
      <c r="D482" s="49" t="n"/>
      <c r="E482" s="49" t="n"/>
      <c r="F482" s="49" t="n"/>
    </row>
    <row r="483" ht="15.75" customHeight="1" s="57">
      <c r="A483" s="49" t="n"/>
      <c r="B483" s="49" t="n"/>
      <c r="C483" s="49" t="n"/>
      <c r="D483" s="49" t="n"/>
      <c r="E483" s="49" t="n"/>
      <c r="F483" s="49" t="n"/>
    </row>
    <row r="484" ht="15.75" customHeight="1" s="57">
      <c r="A484" s="49" t="n"/>
      <c r="B484" s="49" t="n"/>
      <c r="C484" s="49" t="n"/>
      <c r="D484" s="49" t="n"/>
      <c r="E484" s="49" t="n"/>
      <c r="F484" s="49" t="n"/>
    </row>
    <row r="485" ht="15.75" customHeight="1" s="57">
      <c r="A485" s="49" t="n"/>
      <c r="B485" s="49" t="n"/>
      <c r="C485" s="49" t="n"/>
      <c r="D485" s="49" t="n"/>
      <c r="E485" s="49" t="n"/>
      <c r="F485" s="49" t="n"/>
    </row>
    <row r="486" ht="15.75" customHeight="1" s="57">
      <c r="A486" s="49" t="n"/>
      <c r="B486" s="49" t="n"/>
      <c r="C486" s="49" t="n"/>
      <c r="D486" s="49" t="n"/>
      <c r="E486" s="49" t="n"/>
      <c r="F486" s="49" t="n"/>
    </row>
    <row r="487" ht="15.75" customHeight="1" s="57">
      <c r="A487" s="49" t="n"/>
      <c r="B487" s="49" t="n"/>
      <c r="C487" s="49" t="n"/>
      <c r="D487" s="49" t="n"/>
      <c r="E487" s="49" t="n"/>
      <c r="F487" s="49" t="n"/>
    </row>
    <row r="488" ht="15.75" customHeight="1" s="57">
      <c r="A488" s="49" t="n"/>
      <c r="B488" s="49" t="n"/>
      <c r="C488" s="49" t="n"/>
      <c r="D488" s="49" t="n"/>
      <c r="E488" s="49" t="n"/>
      <c r="F488" s="49" t="n"/>
    </row>
    <row r="489" ht="15.75" customHeight="1" s="57">
      <c r="A489" s="49" t="n"/>
      <c r="B489" s="49" t="n"/>
      <c r="C489" s="49" t="n"/>
      <c r="D489" s="49" t="n"/>
      <c r="E489" s="49" t="n"/>
      <c r="F489" s="49" t="n"/>
    </row>
    <row r="490" ht="15.75" customHeight="1" s="57">
      <c r="A490" s="49" t="n"/>
      <c r="B490" s="49" t="n"/>
      <c r="C490" s="49" t="n"/>
      <c r="D490" s="49" t="n"/>
      <c r="E490" s="49" t="n"/>
      <c r="F490" s="49" t="n"/>
    </row>
    <row r="491" ht="15.75" customHeight="1" s="57">
      <c r="A491" s="49" t="n"/>
      <c r="B491" s="49" t="n"/>
      <c r="C491" s="49" t="n"/>
      <c r="D491" s="49" t="n"/>
      <c r="E491" s="49" t="n"/>
      <c r="F491" s="49" t="n"/>
    </row>
    <row r="492" ht="15.75" customHeight="1" s="57">
      <c r="A492" s="49" t="n"/>
      <c r="B492" s="49" t="n"/>
      <c r="C492" s="49" t="n"/>
      <c r="D492" s="49" t="n"/>
      <c r="E492" s="49" t="n"/>
      <c r="F492" s="49" t="n"/>
    </row>
    <row r="493" ht="15.75" customHeight="1" s="57">
      <c r="A493" s="49" t="n"/>
      <c r="B493" s="49" t="n"/>
      <c r="C493" s="49" t="n"/>
      <c r="D493" s="49" t="n"/>
      <c r="E493" s="49" t="n"/>
      <c r="F493" s="49" t="n"/>
    </row>
    <row r="494" ht="15.75" customHeight="1" s="57">
      <c r="A494" s="49" t="n"/>
      <c r="B494" s="49" t="n"/>
      <c r="C494" s="49" t="n"/>
      <c r="D494" s="49" t="n"/>
      <c r="E494" s="49" t="n"/>
      <c r="F494" s="49" t="n"/>
    </row>
    <row r="495" ht="15.75" customHeight="1" s="57">
      <c r="A495" s="49" t="n"/>
      <c r="B495" s="49" t="n"/>
      <c r="C495" s="49" t="n"/>
      <c r="D495" s="49" t="n"/>
      <c r="E495" s="49" t="n"/>
      <c r="F495" s="49" t="n"/>
    </row>
    <row r="496" ht="15.75" customHeight="1" s="57">
      <c r="A496" s="49" t="n"/>
      <c r="B496" s="49" t="n"/>
      <c r="C496" s="49" t="n"/>
      <c r="D496" s="49" t="n"/>
      <c r="E496" s="49" t="n"/>
      <c r="F496" s="49" t="n"/>
    </row>
    <row r="497" ht="15.75" customHeight="1" s="57">
      <c r="A497" s="49" t="n"/>
      <c r="B497" s="49" t="n"/>
      <c r="C497" s="49" t="n"/>
      <c r="D497" s="49" t="n"/>
      <c r="E497" s="49" t="n"/>
      <c r="F497" s="49" t="n"/>
    </row>
    <row r="498" ht="15.75" customHeight="1" s="57">
      <c r="A498" s="49" t="n"/>
      <c r="B498" s="49" t="n"/>
      <c r="C498" s="49" t="n"/>
      <c r="D498" s="49" t="n"/>
      <c r="E498" s="49" t="n"/>
      <c r="F498" s="49" t="n"/>
    </row>
    <row r="499" ht="15.75" customHeight="1" s="57">
      <c r="A499" s="49" t="n"/>
      <c r="B499" s="49" t="n"/>
      <c r="C499" s="49" t="n"/>
      <c r="D499" s="49" t="n"/>
      <c r="E499" s="49" t="n"/>
      <c r="F499" s="49" t="n"/>
    </row>
    <row r="500" ht="15.75" customHeight="1" s="57">
      <c r="A500" s="49" t="n"/>
      <c r="B500" s="49" t="n"/>
      <c r="C500" s="49" t="n"/>
      <c r="D500" s="49" t="n"/>
      <c r="E500" s="49" t="n"/>
      <c r="F500" s="49" t="n"/>
    </row>
    <row r="501" ht="15.75" customHeight="1" s="57">
      <c r="A501" s="49" t="n"/>
      <c r="B501" s="49" t="n"/>
      <c r="C501" s="49" t="n"/>
      <c r="D501" s="49" t="n"/>
      <c r="E501" s="49" t="n"/>
      <c r="F501" s="49" t="n"/>
    </row>
    <row r="502" ht="15.75" customHeight="1" s="57">
      <c r="A502" s="49" t="n"/>
      <c r="B502" s="49" t="n"/>
      <c r="C502" s="49" t="n"/>
      <c r="D502" s="49" t="n"/>
      <c r="E502" s="49" t="n"/>
      <c r="F502" s="49" t="n"/>
    </row>
    <row r="503" ht="15.75" customHeight="1" s="57">
      <c r="A503" s="49" t="n"/>
      <c r="B503" s="49" t="n"/>
      <c r="C503" s="49" t="n"/>
      <c r="D503" s="49" t="n"/>
      <c r="E503" s="49" t="n"/>
      <c r="F503" s="49" t="n"/>
    </row>
    <row r="504" ht="15.75" customHeight="1" s="57">
      <c r="A504" s="49" t="n"/>
      <c r="B504" s="49" t="n"/>
      <c r="C504" s="49" t="n"/>
      <c r="D504" s="49" t="n"/>
      <c r="E504" s="49" t="n"/>
      <c r="F504" s="49" t="n"/>
    </row>
    <row r="505" ht="15.75" customHeight="1" s="57">
      <c r="A505" s="49" t="n"/>
      <c r="B505" s="49" t="n"/>
      <c r="C505" s="49" t="n"/>
      <c r="D505" s="49" t="n"/>
      <c r="E505" s="49" t="n"/>
      <c r="F505" s="49" t="n"/>
    </row>
    <row r="506" ht="15.75" customHeight="1" s="57">
      <c r="A506" s="49" t="n"/>
      <c r="B506" s="49" t="n"/>
      <c r="C506" s="49" t="n"/>
      <c r="D506" s="49" t="n"/>
      <c r="E506" s="49" t="n"/>
      <c r="F506" s="49" t="n"/>
    </row>
    <row r="507" ht="15.75" customHeight="1" s="57">
      <c r="A507" s="49" t="n"/>
      <c r="B507" s="49" t="n"/>
      <c r="C507" s="49" t="n"/>
      <c r="D507" s="49" t="n"/>
      <c r="E507" s="49" t="n"/>
      <c r="F507" s="49" t="n"/>
    </row>
    <row r="508" ht="15.75" customHeight="1" s="57">
      <c r="A508" s="49" t="n"/>
      <c r="B508" s="49" t="n"/>
      <c r="C508" s="49" t="n"/>
      <c r="D508" s="49" t="n"/>
      <c r="E508" s="49" t="n"/>
      <c r="F508" s="49" t="n"/>
    </row>
    <row r="509" ht="15.75" customHeight="1" s="57">
      <c r="A509" s="49" t="n"/>
      <c r="B509" s="49" t="n"/>
      <c r="C509" s="49" t="n"/>
      <c r="D509" s="49" t="n"/>
      <c r="E509" s="49" t="n"/>
      <c r="F509" s="49" t="n"/>
    </row>
    <row r="510" ht="15.75" customHeight="1" s="57">
      <c r="A510" s="49" t="n"/>
      <c r="B510" s="49" t="n"/>
      <c r="C510" s="49" t="n"/>
      <c r="D510" s="49" t="n"/>
      <c r="E510" s="49" t="n"/>
      <c r="F510" s="49" t="n"/>
    </row>
    <row r="511" ht="15.75" customHeight="1" s="57">
      <c r="A511" s="49" t="n"/>
      <c r="B511" s="49" t="n"/>
      <c r="C511" s="49" t="n"/>
      <c r="D511" s="49" t="n"/>
      <c r="E511" s="49" t="n"/>
      <c r="F511" s="49" t="n"/>
    </row>
    <row r="512" ht="15.75" customHeight="1" s="57">
      <c r="A512" s="49" t="n"/>
      <c r="B512" s="49" t="n"/>
      <c r="C512" s="49" t="n"/>
      <c r="D512" s="49" t="n"/>
      <c r="E512" s="49" t="n"/>
      <c r="F512" s="49" t="n"/>
    </row>
    <row r="513" ht="15.75" customHeight="1" s="57">
      <c r="A513" s="49" t="n"/>
      <c r="B513" s="49" t="n"/>
      <c r="C513" s="49" t="n"/>
      <c r="D513" s="49" t="n"/>
      <c r="E513" s="49" t="n"/>
      <c r="F513" s="49" t="n"/>
    </row>
    <row r="514" ht="15.75" customHeight="1" s="57">
      <c r="A514" s="49" t="n"/>
      <c r="B514" s="49" t="n"/>
      <c r="C514" s="49" t="n"/>
      <c r="D514" s="49" t="n"/>
      <c r="E514" s="49" t="n"/>
      <c r="F514" s="49" t="n"/>
    </row>
    <row r="515" ht="15.75" customHeight="1" s="57">
      <c r="A515" s="49" t="n"/>
      <c r="B515" s="49" t="n"/>
      <c r="C515" s="49" t="n"/>
      <c r="D515" s="49" t="n"/>
      <c r="E515" s="49" t="n"/>
      <c r="F515" s="49" t="n"/>
    </row>
    <row r="516" ht="15.75" customHeight="1" s="57">
      <c r="A516" s="49" t="n"/>
      <c r="B516" s="49" t="n"/>
      <c r="C516" s="49" t="n"/>
      <c r="D516" s="49" t="n"/>
      <c r="E516" s="49" t="n"/>
      <c r="F516" s="49" t="n"/>
    </row>
    <row r="517" ht="15.75" customHeight="1" s="57">
      <c r="A517" s="49" t="n"/>
      <c r="B517" s="49" t="n"/>
      <c r="C517" s="49" t="n"/>
      <c r="D517" s="49" t="n"/>
      <c r="E517" s="49" t="n"/>
      <c r="F517" s="49" t="n"/>
    </row>
    <row r="518" ht="15.75" customHeight="1" s="57">
      <c r="A518" s="49" t="n"/>
      <c r="B518" s="49" t="n"/>
      <c r="C518" s="49" t="n"/>
      <c r="D518" s="49" t="n"/>
      <c r="E518" s="49" t="n"/>
      <c r="F518" s="49" t="n"/>
    </row>
    <row r="519" ht="15.75" customHeight="1" s="57">
      <c r="A519" s="49" t="n"/>
      <c r="B519" s="49" t="n"/>
      <c r="C519" s="49" t="n"/>
      <c r="D519" s="49" t="n"/>
      <c r="E519" s="49" t="n"/>
      <c r="F519" s="49" t="n"/>
    </row>
    <row r="520" ht="15.75" customHeight="1" s="57">
      <c r="A520" s="49" t="n"/>
      <c r="B520" s="49" t="n"/>
      <c r="C520" s="49" t="n"/>
      <c r="D520" s="49" t="n"/>
      <c r="E520" s="49" t="n"/>
      <c r="F520" s="49" t="n"/>
    </row>
    <row r="521" ht="15.75" customHeight="1" s="57">
      <c r="A521" s="49" t="n"/>
      <c r="B521" s="49" t="n"/>
      <c r="C521" s="49" t="n"/>
      <c r="D521" s="49" t="n"/>
      <c r="E521" s="49" t="n"/>
      <c r="F521" s="49" t="n"/>
    </row>
    <row r="522" ht="15.75" customHeight="1" s="57">
      <c r="A522" s="49" t="n"/>
      <c r="B522" s="49" t="n"/>
      <c r="C522" s="49" t="n"/>
      <c r="D522" s="49" t="n"/>
      <c r="E522" s="49" t="n"/>
      <c r="F522" s="49" t="n"/>
    </row>
    <row r="523" ht="15.75" customHeight="1" s="57">
      <c r="A523" s="49" t="n"/>
      <c r="B523" s="49" t="n"/>
      <c r="C523" s="49" t="n"/>
      <c r="D523" s="49" t="n"/>
      <c r="E523" s="49" t="n"/>
      <c r="F523" s="49" t="n"/>
    </row>
    <row r="524" ht="15.75" customHeight="1" s="57">
      <c r="A524" s="49" t="n"/>
      <c r="B524" s="49" t="n"/>
      <c r="C524" s="49" t="n"/>
      <c r="D524" s="49" t="n"/>
      <c r="E524" s="49" t="n"/>
      <c r="F524" s="49" t="n"/>
    </row>
    <row r="525" ht="15.75" customHeight="1" s="57">
      <c r="A525" s="49" t="n"/>
      <c r="B525" s="49" t="n"/>
      <c r="C525" s="49" t="n"/>
      <c r="D525" s="49" t="n"/>
      <c r="E525" s="49" t="n"/>
      <c r="F525" s="49" t="n"/>
    </row>
    <row r="526" ht="15.75" customHeight="1" s="57">
      <c r="A526" s="49" t="n"/>
      <c r="B526" s="49" t="n"/>
      <c r="C526" s="49" t="n"/>
      <c r="D526" s="49" t="n"/>
      <c r="E526" s="49" t="n"/>
      <c r="F526" s="49" t="n"/>
    </row>
    <row r="527" ht="15.75" customHeight="1" s="57">
      <c r="A527" s="49" t="n"/>
      <c r="B527" s="49" t="n"/>
      <c r="C527" s="49" t="n"/>
      <c r="D527" s="49" t="n"/>
      <c r="E527" s="49" t="n"/>
      <c r="F527" s="49" t="n"/>
    </row>
    <row r="528" ht="15.75" customHeight="1" s="57">
      <c r="A528" s="49" t="n"/>
      <c r="B528" s="49" t="n"/>
      <c r="C528" s="49" t="n"/>
      <c r="D528" s="49" t="n"/>
      <c r="E528" s="49" t="n"/>
      <c r="F528" s="49" t="n"/>
    </row>
    <row r="529" ht="15.75" customHeight="1" s="57">
      <c r="A529" s="49" t="n"/>
      <c r="B529" s="49" t="n"/>
      <c r="C529" s="49" t="n"/>
      <c r="D529" s="49" t="n"/>
      <c r="E529" s="49" t="n"/>
      <c r="F529" s="49" t="n"/>
    </row>
    <row r="530" ht="15.75" customHeight="1" s="57">
      <c r="A530" s="49" t="n"/>
      <c r="B530" s="49" t="n"/>
      <c r="C530" s="49" t="n"/>
      <c r="D530" s="49" t="n"/>
      <c r="E530" s="49" t="n"/>
      <c r="F530" s="49" t="n"/>
    </row>
    <row r="531" ht="15.75" customHeight="1" s="57">
      <c r="A531" s="49" t="n"/>
      <c r="B531" s="49" t="n"/>
      <c r="C531" s="49" t="n"/>
      <c r="D531" s="49" t="n"/>
      <c r="E531" s="49" t="n"/>
      <c r="F531" s="49" t="n"/>
    </row>
    <row r="532" ht="15.75" customHeight="1" s="57">
      <c r="A532" s="49" t="n"/>
      <c r="B532" s="49" t="n"/>
      <c r="C532" s="49" t="n"/>
      <c r="D532" s="49" t="n"/>
      <c r="E532" s="49" t="n"/>
      <c r="F532" s="49" t="n"/>
    </row>
    <row r="533" ht="15.75" customHeight="1" s="57">
      <c r="A533" s="49" t="n"/>
      <c r="B533" s="49" t="n"/>
      <c r="C533" s="49" t="n"/>
      <c r="D533" s="49" t="n"/>
      <c r="E533" s="49" t="n"/>
      <c r="F533" s="49" t="n"/>
    </row>
    <row r="534" ht="15.75" customHeight="1" s="57">
      <c r="A534" s="49" t="n"/>
      <c r="B534" s="49" t="n"/>
      <c r="C534" s="49" t="n"/>
      <c r="D534" s="49" t="n"/>
      <c r="E534" s="49" t="n"/>
      <c r="F534" s="49" t="n"/>
    </row>
    <row r="535" ht="15.75" customHeight="1" s="57">
      <c r="A535" s="49" t="n"/>
      <c r="B535" s="49" t="n"/>
      <c r="C535" s="49" t="n"/>
      <c r="D535" s="49" t="n"/>
      <c r="E535" s="49" t="n"/>
      <c r="F535" s="49" t="n"/>
    </row>
    <row r="536" ht="15.75" customHeight="1" s="57">
      <c r="A536" s="49" t="n"/>
      <c r="B536" s="49" t="n"/>
      <c r="C536" s="49" t="n"/>
      <c r="D536" s="49" t="n"/>
      <c r="E536" s="49" t="n"/>
      <c r="F536" s="49" t="n"/>
    </row>
    <row r="537" ht="15.75" customHeight="1" s="57">
      <c r="A537" s="49" t="n"/>
      <c r="B537" s="49" t="n"/>
      <c r="C537" s="49" t="n"/>
      <c r="D537" s="49" t="n"/>
      <c r="E537" s="49" t="n"/>
      <c r="F537" s="49" t="n"/>
    </row>
    <row r="538" ht="15.75" customHeight="1" s="57">
      <c r="A538" s="49" t="n"/>
      <c r="B538" s="49" t="n"/>
      <c r="C538" s="49" t="n"/>
      <c r="D538" s="49" t="n"/>
      <c r="E538" s="49" t="n"/>
      <c r="F538" s="49" t="n"/>
    </row>
    <row r="539" ht="15.75" customHeight="1" s="57">
      <c r="A539" s="49" t="n"/>
      <c r="B539" s="49" t="n"/>
      <c r="C539" s="49" t="n"/>
      <c r="D539" s="49" t="n"/>
      <c r="E539" s="49" t="n"/>
      <c r="F539" s="49" t="n"/>
    </row>
    <row r="540" ht="15.75" customHeight="1" s="57">
      <c r="A540" s="49" t="n"/>
      <c r="B540" s="49" t="n"/>
      <c r="C540" s="49" t="n"/>
      <c r="D540" s="49" t="n"/>
      <c r="E540" s="49" t="n"/>
      <c r="F540" s="49" t="n"/>
    </row>
    <row r="541" ht="15.75" customHeight="1" s="57">
      <c r="A541" s="49" t="n"/>
      <c r="B541" s="49" t="n"/>
      <c r="C541" s="49" t="n"/>
      <c r="D541" s="49" t="n"/>
      <c r="E541" s="49" t="n"/>
      <c r="F541" s="49" t="n"/>
    </row>
    <row r="542" ht="15.75" customHeight="1" s="57">
      <c r="A542" s="49" t="n"/>
      <c r="B542" s="49" t="n"/>
      <c r="C542" s="49" t="n"/>
      <c r="D542" s="49" t="n"/>
      <c r="E542" s="49" t="n"/>
      <c r="F542" s="49" t="n"/>
    </row>
    <row r="543" ht="15.75" customHeight="1" s="57">
      <c r="A543" s="49" t="n"/>
      <c r="B543" s="49" t="n"/>
      <c r="C543" s="49" t="n"/>
      <c r="D543" s="49" t="n"/>
      <c r="E543" s="49" t="n"/>
      <c r="F543" s="49" t="n"/>
    </row>
    <row r="544" ht="15.75" customHeight="1" s="57">
      <c r="A544" s="49" t="n"/>
      <c r="B544" s="49" t="n"/>
      <c r="C544" s="49" t="n"/>
      <c r="D544" s="49" t="n"/>
      <c r="E544" s="49" t="n"/>
      <c r="F544" s="49" t="n"/>
    </row>
    <row r="545" ht="15.75" customHeight="1" s="57">
      <c r="A545" s="49" t="n"/>
      <c r="B545" s="49" t="n"/>
      <c r="C545" s="49" t="n"/>
      <c r="D545" s="49" t="n"/>
      <c r="E545" s="49" t="n"/>
      <c r="F545" s="49" t="n"/>
    </row>
    <row r="546" ht="15.75" customHeight="1" s="57">
      <c r="A546" s="49" t="n"/>
      <c r="B546" s="49" t="n"/>
      <c r="C546" s="49" t="n"/>
      <c r="D546" s="49" t="n"/>
      <c r="E546" s="49" t="n"/>
      <c r="F546" s="49" t="n"/>
    </row>
    <row r="547" ht="15.75" customHeight="1" s="57">
      <c r="A547" s="49" t="n"/>
      <c r="B547" s="49" t="n"/>
      <c r="C547" s="49" t="n"/>
      <c r="D547" s="49" t="n"/>
      <c r="E547" s="49" t="n"/>
      <c r="F547" s="49" t="n"/>
    </row>
    <row r="548" ht="15.75" customHeight="1" s="57">
      <c r="A548" s="49" t="n"/>
      <c r="B548" s="49" t="n"/>
      <c r="C548" s="49" t="n"/>
      <c r="D548" s="49" t="n"/>
      <c r="E548" s="49" t="n"/>
      <c r="F548" s="49" t="n"/>
    </row>
    <row r="549" ht="15.75" customHeight="1" s="57">
      <c r="A549" s="49" t="n"/>
      <c r="B549" s="49" t="n"/>
      <c r="C549" s="49" t="n"/>
      <c r="D549" s="49" t="n"/>
      <c r="E549" s="49" t="n"/>
      <c r="F549" s="49" t="n"/>
    </row>
    <row r="550" ht="15.75" customHeight="1" s="57">
      <c r="A550" s="49" t="n"/>
      <c r="B550" s="49" t="n"/>
      <c r="C550" s="49" t="n"/>
      <c r="D550" s="49" t="n"/>
      <c r="E550" s="49" t="n"/>
      <c r="F550" s="49" t="n"/>
    </row>
    <row r="551" ht="15.75" customHeight="1" s="57">
      <c r="A551" s="49" t="n"/>
      <c r="B551" s="49" t="n"/>
      <c r="C551" s="49" t="n"/>
      <c r="D551" s="49" t="n"/>
      <c r="E551" s="49" t="n"/>
      <c r="F551" s="49" t="n"/>
    </row>
    <row r="552" ht="15.75" customHeight="1" s="57">
      <c r="A552" s="49" t="n"/>
      <c r="B552" s="49" t="n"/>
      <c r="C552" s="49" t="n"/>
      <c r="D552" s="49" t="n"/>
      <c r="E552" s="49" t="n"/>
      <c r="F552" s="49" t="n"/>
    </row>
    <row r="553" ht="15.75" customHeight="1" s="57">
      <c r="A553" s="49" t="n"/>
      <c r="B553" s="49" t="n"/>
      <c r="C553" s="49" t="n"/>
      <c r="D553" s="49" t="n"/>
      <c r="E553" s="49" t="n"/>
      <c r="F553" s="49" t="n"/>
    </row>
    <row r="554" ht="15.75" customHeight="1" s="57">
      <c r="A554" s="49" t="n"/>
      <c r="B554" s="49" t="n"/>
      <c r="C554" s="49" t="n"/>
      <c r="D554" s="49" t="n"/>
      <c r="E554" s="49" t="n"/>
      <c r="F554" s="49" t="n"/>
    </row>
    <row r="555" ht="15.75" customHeight="1" s="57">
      <c r="A555" s="49" t="n"/>
      <c r="B555" s="49" t="n"/>
      <c r="C555" s="49" t="n"/>
      <c r="D555" s="49" t="n"/>
      <c r="E555" s="49" t="n"/>
      <c r="F555" s="49" t="n"/>
    </row>
    <row r="556" ht="15.75" customHeight="1" s="57">
      <c r="A556" s="49" t="n"/>
      <c r="B556" s="49" t="n"/>
      <c r="C556" s="49" t="n"/>
      <c r="D556" s="49" t="n"/>
      <c r="E556" s="49" t="n"/>
      <c r="F556" s="49" t="n"/>
    </row>
    <row r="557" ht="15.75" customHeight="1" s="57">
      <c r="A557" s="49" t="n"/>
      <c r="B557" s="49" t="n"/>
      <c r="C557" s="49" t="n"/>
      <c r="D557" s="49" t="n"/>
      <c r="E557" s="49" t="n"/>
      <c r="F557" s="49" t="n"/>
    </row>
    <row r="558" ht="15.75" customHeight="1" s="57">
      <c r="A558" s="49" t="n"/>
      <c r="B558" s="49" t="n"/>
      <c r="C558" s="49" t="n"/>
      <c r="D558" s="49" t="n"/>
      <c r="E558" s="49" t="n"/>
      <c r="F558" s="49" t="n"/>
    </row>
    <row r="559" ht="15.75" customHeight="1" s="57">
      <c r="A559" s="49" t="n"/>
      <c r="B559" s="49" t="n"/>
      <c r="C559" s="49" t="n"/>
      <c r="D559" s="49" t="n"/>
      <c r="E559" s="49" t="n"/>
      <c r="F559" s="49" t="n"/>
    </row>
    <row r="560" ht="15.75" customHeight="1" s="57">
      <c r="A560" s="49" t="n"/>
      <c r="B560" s="49" t="n"/>
      <c r="C560" s="49" t="n"/>
      <c r="D560" s="49" t="n"/>
      <c r="E560" s="49" t="n"/>
      <c r="F560" s="49" t="n"/>
    </row>
    <row r="561" ht="15.75" customHeight="1" s="57">
      <c r="A561" s="49" t="n"/>
      <c r="B561" s="49" t="n"/>
      <c r="C561" s="49" t="n"/>
      <c r="D561" s="49" t="n"/>
      <c r="E561" s="49" t="n"/>
      <c r="F561" s="49" t="n"/>
    </row>
    <row r="562" ht="15.75" customHeight="1" s="57">
      <c r="A562" s="49" t="n"/>
      <c r="B562" s="49" t="n"/>
      <c r="C562" s="49" t="n"/>
      <c r="D562" s="49" t="n"/>
      <c r="E562" s="49" t="n"/>
      <c r="F562" s="49" t="n"/>
    </row>
    <row r="563" ht="15.75" customHeight="1" s="57">
      <c r="A563" s="49" t="n"/>
      <c r="B563" s="49" t="n"/>
      <c r="C563" s="49" t="n"/>
      <c r="D563" s="49" t="n"/>
      <c r="E563" s="49" t="n"/>
      <c r="F563" s="49" t="n"/>
    </row>
    <row r="564" ht="15.75" customHeight="1" s="57">
      <c r="A564" s="49" t="n"/>
      <c r="B564" s="49" t="n"/>
      <c r="C564" s="49" t="n"/>
      <c r="D564" s="49" t="n"/>
      <c r="E564" s="49" t="n"/>
      <c r="F564" s="49" t="n"/>
    </row>
    <row r="565" ht="15.75" customHeight="1" s="57">
      <c r="A565" s="49" t="n"/>
      <c r="B565" s="49" t="n"/>
      <c r="C565" s="49" t="n"/>
      <c r="D565" s="49" t="n"/>
      <c r="E565" s="49" t="n"/>
      <c r="F565" s="49" t="n"/>
    </row>
    <row r="566" ht="15.75" customHeight="1" s="57">
      <c r="A566" s="49" t="n"/>
      <c r="B566" s="49" t="n"/>
      <c r="C566" s="49" t="n"/>
      <c r="D566" s="49" t="n"/>
      <c r="E566" s="49" t="n"/>
      <c r="F566" s="49" t="n"/>
    </row>
    <row r="567" ht="15.75" customHeight="1" s="57">
      <c r="A567" s="49" t="n"/>
      <c r="B567" s="49" t="n"/>
      <c r="C567" s="49" t="n"/>
      <c r="D567" s="49" t="n"/>
      <c r="E567" s="49" t="n"/>
      <c r="F567" s="49" t="n"/>
    </row>
    <row r="568" ht="15.75" customHeight="1" s="57">
      <c r="A568" s="49" t="n"/>
      <c r="B568" s="49" t="n"/>
      <c r="C568" s="49" t="n"/>
      <c r="D568" s="49" t="n"/>
      <c r="E568" s="49" t="n"/>
      <c r="F568" s="49" t="n"/>
    </row>
    <row r="569" ht="15.75" customHeight="1" s="57">
      <c r="A569" s="49" t="n"/>
      <c r="B569" s="49" t="n"/>
      <c r="C569" s="49" t="n"/>
      <c r="D569" s="49" t="n"/>
      <c r="E569" s="49" t="n"/>
      <c r="F569" s="49" t="n"/>
    </row>
    <row r="570" ht="15.75" customHeight="1" s="57">
      <c r="A570" s="49" t="n"/>
      <c r="B570" s="49" t="n"/>
      <c r="C570" s="49" t="n"/>
      <c r="D570" s="49" t="n"/>
      <c r="E570" s="49" t="n"/>
      <c r="F570" s="49" t="n"/>
    </row>
    <row r="571" ht="15.75" customHeight="1" s="57">
      <c r="A571" s="49" t="n"/>
      <c r="B571" s="49" t="n"/>
      <c r="C571" s="49" t="n"/>
      <c r="D571" s="49" t="n"/>
      <c r="E571" s="49" t="n"/>
      <c r="F571" s="49" t="n"/>
    </row>
    <row r="572" ht="15.75" customHeight="1" s="57">
      <c r="A572" s="49" t="n"/>
      <c r="B572" s="49" t="n"/>
      <c r="C572" s="49" t="n"/>
      <c r="D572" s="49" t="n"/>
      <c r="E572" s="49" t="n"/>
      <c r="F572" s="49" t="n"/>
    </row>
    <row r="573" ht="15.75" customHeight="1" s="57">
      <c r="A573" s="49" t="n"/>
      <c r="B573" s="49" t="n"/>
      <c r="C573" s="49" t="n"/>
      <c r="D573" s="49" t="n"/>
      <c r="E573" s="49" t="n"/>
      <c r="F573" s="49" t="n"/>
    </row>
    <row r="574" ht="15.75" customHeight="1" s="57">
      <c r="A574" s="49" t="n"/>
      <c r="B574" s="49" t="n"/>
      <c r="C574" s="49" t="n"/>
      <c r="D574" s="49" t="n"/>
      <c r="E574" s="49" t="n"/>
      <c r="F574" s="49" t="n"/>
    </row>
    <row r="575" ht="15.75" customHeight="1" s="57">
      <c r="A575" s="49" t="n"/>
      <c r="B575" s="49" t="n"/>
      <c r="C575" s="49" t="n"/>
      <c r="D575" s="49" t="n"/>
      <c r="E575" s="49" t="n"/>
      <c r="F575" s="49" t="n"/>
    </row>
    <row r="576" ht="15.75" customHeight="1" s="57">
      <c r="A576" s="49" t="n"/>
      <c r="B576" s="49" t="n"/>
      <c r="C576" s="49" t="n"/>
      <c r="D576" s="49" t="n"/>
      <c r="E576" s="49" t="n"/>
      <c r="F576" s="49" t="n"/>
    </row>
    <row r="577" ht="15.75" customHeight="1" s="57">
      <c r="A577" s="49" t="n"/>
      <c r="B577" s="49" t="n"/>
      <c r="C577" s="49" t="n"/>
      <c r="D577" s="49" t="n"/>
      <c r="E577" s="49" t="n"/>
      <c r="F577" s="49" t="n"/>
    </row>
    <row r="578" ht="15.75" customHeight="1" s="57">
      <c r="A578" s="49" t="n"/>
      <c r="B578" s="49" t="n"/>
      <c r="C578" s="49" t="n"/>
      <c r="D578" s="49" t="n"/>
      <c r="E578" s="49" t="n"/>
      <c r="F578" s="49" t="n"/>
    </row>
    <row r="579" ht="15.75" customHeight="1" s="57">
      <c r="A579" s="49" t="n"/>
      <c r="B579" s="49" t="n"/>
      <c r="C579" s="49" t="n"/>
      <c r="D579" s="49" t="n"/>
      <c r="E579" s="49" t="n"/>
      <c r="F579" s="49" t="n"/>
    </row>
    <row r="580" ht="15.75" customHeight="1" s="57">
      <c r="A580" s="49" t="n"/>
      <c r="B580" s="49" t="n"/>
      <c r="C580" s="49" t="n"/>
      <c r="D580" s="49" t="n"/>
      <c r="E580" s="49" t="n"/>
      <c r="F580" s="49" t="n"/>
    </row>
    <row r="581" ht="15.75" customHeight="1" s="57">
      <c r="A581" s="49" t="n"/>
      <c r="B581" s="49" t="n"/>
      <c r="C581" s="49" t="n"/>
      <c r="D581" s="49" t="n"/>
      <c r="E581" s="49" t="n"/>
      <c r="F581" s="49" t="n"/>
    </row>
    <row r="582" ht="15.75" customHeight="1" s="57">
      <c r="A582" s="49" t="n"/>
      <c r="B582" s="49" t="n"/>
      <c r="C582" s="49" t="n"/>
      <c r="D582" s="49" t="n"/>
      <c r="E582" s="49" t="n"/>
      <c r="F582" s="49" t="n"/>
    </row>
    <row r="583" ht="15.75" customHeight="1" s="57">
      <c r="A583" s="49" t="n"/>
      <c r="B583" s="49" t="n"/>
      <c r="C583" s="49" t="n"/>
      <c r="D583" s="49" t="n"/>
      <c r="E583" s="49" t="n"/>
      <c r="F583" s="49" t="n"/>
    </row>
    <row r="584" ht="15.75" customHeight="1" s="57">
      <c r="A584" s="49" t="n"/>
      <c r="B584" s="49" t="n"/>
      <c r="C584" s="49" t="n"/>
      <c r="D584" s="49" t="n"/>
      <c r="E584" s="49" t="n"/>
      <c r="F584" s="49" t="n"/>
    </row>
    <row r="585" ht="15.75" customHeight="1" s="57">
      <c r="A585" s="49" t="n"/>
      <c r="B585" s="49" t="n"/>
      <c r="C585" s="49" t="n"/>
      <c r="D585" s="49" t="n"/>
      <c r="E585" s="49" t="n"/>
      <c r="F585" s="49" t="n"/>
    </row>
    <row r="586" ht="15.75" customHeight="1" s="57">
      <c r="A586" s="49" t="n"/>
      <c r="B586" s="49" t="n"/>
      <c r="C586" s="49" t="n"/>
      <c r="D586" s="49" t="n"/>
      <c r="E586" s="49" t="n"/>
      <c r="F586" s="49" t="n"/>
    </row>
    <row r="587" ht="15.75" customHeight="1" s="57">
      <c r="A587" s="49" t="n"/>
      <c r="B587" s="49" t="n"/>
      <c r="C587" s="49" t="n"/>
      <c r="D587" s="49" t="n"/>
      <c r="E587" s="49" t="n"/>
      <c r="F587" s="49" t="n"/>
    </row>
    <row r="588" ht="15.75" customHeight="1" s="57">
      <c r="A588" s="49" t="n"/>
      <c r="B588" s="49" t="n"/>
      <c r="C588" s="49" t="n"/>
      <c r="D588" s="49" t="n"/>
      <c r="E588" s="49" t="n"/>
      <c r="F588" s="49" t="n"/>
    </row>
    <row r="589" ht="15.75" customHeight="1" s="57">
      <c r="A589" s="49" t="n"/>
      <c r="B589" s="49" t="n"/>
      <c r="C589" s="49" t="n"/>
      <c r="D589" s="49" t="n"/>
      <c r="E589" s="49" t="n"/>
      <c r="F589" s="49" t="n"/>
    </row>
    <row r="590" ht="15.75" customHeight="1" s="57">
      <c r="A590" s="49" t="n"/>
      <c r="B590" s="49" t="n"/>
      <c r="C590" s="49" t="n"/>
      <c r="D590" s="49" t="n"/>
      <c r="E590" s="49" t="n"/>
      <c r="F590" s="49" t="n"/>
    </row>
    <row r="591" ht="15.75" customHeight="1" s="57">
      <c r="A591" s="49" t="n"/>
      <c r="B591" s="49" t="n"/>
      <c r="C591" s="49" t="n"/>
      <c r="D591" s="49" t="n"/>
      <c r="E591" s="49" t="n"/>
      <c r="F591" s="49" t="n"/>
    </row>
    <row r="592" ht="15.75" customHeight="1" s="57">
      <c r="A592" s="49" t="n"/>
      <c r="B592" s="49" t="n"/>
      <c r="C592" s="49" t="n"/>
      <c r="D592" s="49" t="n"/>
      <c r="E592" s="49" t="n"/>
      <c r="F592" s="49" t="n"/>
    </row>
    <row r="593" ht="15.75" customHeight="1" s="57">
      <c r="A593" s="49" t="n"/>
      <c r="B593" s="49" t="n"/>
      <c r="C593" s="49" t="n"/>
      <c r="D593" s="49" t="n"/>
      <c r="E593" s="49" t="n"/>
      <c r="F593" s="49" t="n"/>
    </row>
    <row r="594" ht="15.75" customHeight="1" s="57">
      <c r="A594" s="49" t="n"/>
      <c r="B594" s="49" t="n"/>
      <c r="C594" s="49" t="n"/>
      <c r="D594" s="49" t="n"/>
      <c r="E594" s="49" t="n"/>
      <c r="F594" s="49" t="n"/>
    </row>
    <row r="595" ht="15.75" customHeight="1" s="57">
      <c r="A595" s="49" t="n"/>
      <c r="B595" s="49" t="n"/>
      <c r="C595" s="49" t="n"/>
      <c r="D595" s="49" t="n"/>
      <c r="E595" s="49" t="n"/>
      <c r="F595" s="49" t="n"/>
    </row>
    <row r="596" ht="15.75" customHeight="1" s="57">
      <c r="A596" s="49" t="n"/>
      <c r="B596" s="49" t="n"/>
      <c r="C596" s="49" t="n"/>
      <c r="D596" s="49" t="n"/>
      <c r="E596" s="49" t="n"/>
      <c r="F596" s="49" t="n"/>
    </row>
    <row r="597" ht="15.75" customHeight="1" s="57">
      <c r="A597" s="49" t="n"/>
      <c r="B597" s="49" t="n"/>
      <c r="C597" s="49" t="n"/>
      <c r="D597" s="49" t="n"/>
      <c r="E597" s="49" t="n"/>
      <c r="F597" s="49" t="n"/>
    </row>
    <row r="598" ht="15.75" customHeight="1" s="57">
      <c r="A598" s="49" t="n"/>
      <c r="B598" s="49" t="n"/>
      <c r="C598" s="49" t="n"/>
      <c r="D598" s="49" t="n"/>
      <c r="E598" s="49" t="n"/>
      <c r="F598" s="49" t="n"/>
    </row>
    <row r="599" ht="15.75" customHeight="1" s="57">
      <c r="A599" s="49" t="n"/>
      <c r="B599" s="49" t="n"/>
      <c r="C599" s="49" t="n"/>
      <c r="D599" s="49" t="n"/>
      <c r="E599" s="49" t="n"/>
      <c r="F599" s="49" t="n"/>
    </row>
    <row r="600" ht="15.75" customHeight="1" s="57">
      <c r="A600" s="49" t="n"/>
      <c r="B600" s="49" t="n"/>
      <c r="C600" s="49" t="n"/>
      <c r="D600" s="49" t="n"/>
      <c r="E600" s="49" t="n"/>
      <c r="F600" s="49" t="n"/>
    </row>
    <row r="601" ht="15.75" customHeight="1" s="57">
      <c r="A601" s="49" t="n"/>
      <c r="B601" s="49" t="n"/>
      <c r="C601" s="49" t="n"/>
      <c r="D601" s="49" t="n"/>
      <c r="E601" s="49" t="n"/>
      <c r="F601" s="49" t="n"/>
    </row>
    <row r="602" ht="15.75" customHeight="1" s="57">
      <c r="A602" s="49" t="n"/>
      <c r="B602" s="49" t="n"/>
      <c r="C602" s="49" t="n"/>
      <c r="D602" s="49" t="n"/>
      <c r="E602" s="49" t="n"/>
      <c r="F602" s="49" t="n"/>
    </row>
    <row r="603" ht="15.75" customHeight="1" s="57">
      <c r="A603" s="49" t="n"/>
      <c r="B603" s="49" t="n"/>
      <c r="C603" s="49" t="n"/>
      <c r="D603" s="49" t="n"/>
      <c r="E603" s="49" t="n"/>
      <c r="F603" s="49" t="n"/>
    </row>
    <row r="604" ht="15.75" customHeight="1" s="57">
      <c r="A604" s="49" t="n"/>
      <c r="B604" s="49" t="n"/>
      <c r="C604" s="49" t="n"/>
      <c r="D604" s="49" t="n"/>
      <c r="E604" s="49" t="n"/>
      <c r="F604" s="49" t="n"/>
    </row>
    <row r="605" ht="15.75" customHeight="1" s="57">
      <c r="A605" s="49" t="n"/>
      <c r="B605" s="49" t="n"/>
      <c r="C605" s="49" t="n"/>
      <c r="D605" s="49" t="n"/>
      <c r="E605" s="49" t="n"/>
      <c r="F605" s="49" t="n"/>
    </row>
    <row r="606" ht="15.75" customHeight="1" s="57">
      <c r="A606" s="49" t="n"/>
      <c r="B606" s="49" t="n"/>
      <c r="C606" s="49" t="n"/>
      <c r="D606" s="49" t="n"/>
      <c r="E606" s="49" t="n"/>
      <c r="F606" s="49" t="n"/>
    </row>
    <row r="607" ht="15.75" customHeight="1" s="57">
      <c r="A607" s="49" t="n"/>
      <c r="B607" s="49" t="n"/>
      <c r="C607" s="49" t="n"/>
      <c r="D607" s="49" t="n"/>
      <c r="E607" s="49" t="n"/>
      <c r="F607" s="49" t="n"/>
    </row>
    <row r="608" ht="15.75" customHeight="1" s="57">
      <c r="A608" s="49" t="n"/>
      <c r="B608" s="49" t="n"/>
      <c r="C608" s="49" t="n"/>
      <c r="D608" s="49" t="n"/>
      <c r="E608" s="49" t="n"/>
      <c r="F608" s="49" t="n"/>
    </row>
    <row r="609" ht="15.75" customHeight="1" s="57">
      <c r="A609" s="49" t="n"/>
      <c r="B609" s="49" t="n"/>
      <c r="C609" s="49" t="n"/>
      <c r="D609" s="49" t="n"/>
      <c r="E609" s="49" t="n"/>
      <c r="F609" s="49" t="n"/>
    </row>
    <row r="610" ht="15.75" customHeight="1" s="57">
      <c r="A610" s="49" t="n"/>
      <c r="B610" s="49" t="n"/>
      <c r="C610" s="49" t="n"/>
      <c r="D610" s="49" t="n"/>
      <c r="E610" s="49" t="n"/>
      <c r="F610" s="49" t="n"/>
    </row>
    <row r="611" ht="15.75" customHeight="1" s="57">
      <c r="A611" s="49" t="n"/>
      <c r="B611" s="49" t="n"/>
      <c r="C611" s="49" t="n"/>
      <c r="D611" s="49" t="n"/>
      <c r="E611" s="49" t="n"/>
      <c r="F611" s="49" t="n"/>
    </row>
    <row r="612" ht="15.75" customHeight="1" s="57">
      <c r="A612" s="49" t="n"/>
      <c r="B612" s="49" t="n"/>
      <c r="C612" s="49" t="n"/>
      <c r="D612" s="49" t="n"/>
      <c r="E612" s="49" t="n"/>
      <c r="F612" s="49" t="n"/>
    </row>
    <row r="613" ht="15.75" customHeight="1" s="57">
      <c r="A613" s="49" t="n"/>
      <c r="B613" s="49" t="n"/>
      <c r="C613" s="49" t="n"/>
      <c r="D613" s="49" t="n"/>
      <c r="E613" s="49" t="n"/>
      <c r="F613" s="49" t="n"/>
    </row>
    <row r="614" ht="15.75" customHeight="1" s="57">
      <c r="A614" s="49" t="n"/>
      <c r="B614" s="49" t="n"/>
      <c r="C614" s="49" t="n"/>
      <c r="D614" s="49" t="n"/>
      <c r="E614" s="49" t="n"/>
      <c r="F614" s="49" t="n"/>
    </row>
    <row r="615" ht="15.75" customHeight="1" s="57">
      <c r="A615" s="49" t="n"/>
      <c r="B615" s="49" t="n"/>
      <c r="C615" s="49" t="n"/>
      <c r="D615" s="49" t="n"/>
      <c r="E615" s="49" t="n"/>
      <c r="F615" s="49" t="n"/>
    </row>
    <row r="616" ht="15.75" customHeight="1" s="57">
      <c r="A616" s="49" t="n"/>
      <c r="B616" s="49" t="n"/>
      <c r="C616" s="49" t="n"/>
      <c r="D616" s="49" t="n"/>
      <c r="E616" s="49" t="n"/>
      <c r="F616" s="49" t="n"/>
    </row>
    <row r="617" ht="15.75" customHeight="1" s="57">
      <c r="A617" s="49" t="n"/>
      <c r="B617" s="49" t="n"/>
      <c r="C617" s="49" t="n"/>
      <c r="D617" s="49" t="n"/>
      <c r="E617" s="49" t="n"/>
      <c r="F617" s="49" t="n"/>
    </row>
    <row r="618" ht="15.75" customHeight="1" s="57">
      <c r="A618" s="49" t="n"/>
      <c r="B618" s="49" t="n"/>
      <c r="C618" s="49" t="n"/>
      <c r="D618" s="49" t="n"/>
      <c r="E618" s="49" t="n"/>
      <c r="F618" s="49" t="n"/>
    </row>
    <row r="619" ht="15.75" customHeight="1" s="57">
      <c r="A619" s="49" t="n"/>
      <c r="B619" s="49" t="n"/>
      <c r="C619" s="49" t="n"/>
      <c r="D619" s="49" t="n"/>
      <c r="E619" s="49" t="n"/>
      <c r="F619" s="49" t="n"/>
    </row>
    <row r="620" ht="15.75" customHeight="1" s="57">
      <c r="A620" s="49" t="n"/>
      <c r="B620" s="49" t="n"/>
      <c r="C620" s="49" t="n"/>
      <c r="D620" s="49" t="n"/>
      <c r="E620" s="49" t="n"/>
      <c r="F620" s="49" t="n"/>
    </row>
    <row r="621" ht="15.75" customHeight="1" s="57">
      <c r="A621" s="49" t="n"/>
      <c r="B621" s="49" t="n"/>
      <c r="C621" s="49" t="n"/>
      <c r="D621" s="49" t="n"/>
      <c r="E621" s="49" t="n"/>
      <c r="F621" s="49" t="n"/>
    </row>
    <row r="622" ht="15.75" customHeight="1" s="57">
      <c r="A622" s="49" t="n"/>
      <c r="B622" s="49" t="n"/>
      <c r="C622" s="49" t="n"/>
      <c r="D622" s="49" t="n"/>
      <c r="E622" s="49" t="n"/>
      <c r="F622" s="49" t="n"/>
    </row>
    <row r="623" ht="15.75" customHeight="1" s="57">
      <c r="A623" s="49" t="n"/>
      <c r="B623" s="49" t="n"/>
      <c r="C623" s="49" t="n"/>
      <c r="D623" s="49" t="n"/>
      <c r="E623" s="49" t="n"/>
      <c r="F623" s="49" t="n"/>
    </row>
    <row r="624" ht="15.75" customHeight="1" s="57">
      <c r="A624" s="49" t="n"/>
      <c r="B624" s="49" t="n"/>
      <c r="C624" s="49" t="n"/>
      <c r="D624" s="49" t="n"/>
      <c r="E624" s="49" t="n"/>
      <c r="F624" s="49" t="n"/>
    </row>
    <row r="625" ht="15.75" customHeight="1" s="57">
      <c r="A625" s="49" t="n"/>
      <c r="B625" s="49" t="n"/>
      <c r="C625" s="49" t="n"/>
      <c r="D625" s="49" t="n"/>
      <c r="E625" s="49" t="n"/>
      <c r="F625" s="49" t="n"/>
    </row>
    <row r="626" ht="15.75" customHeight="1" s="57">
      <c r="A626" s="49" t="n"/>
      <c r="B626" s="49" t="n"/>
      <c r="C626" s="49" t="n"/>
      <c r="D626" s="49" t="n"/>
      <c r="E626" s="49" t="n"/>
      <c r="F626" s="49" t="n"/>
    </row>
    <row r="627" ht="15.75" customHeight="1" s="57">
      <c r="A627" s="49" t="n"/>
      <c r="B627" s="49" t="n"/>
      <c r="C627" s="49" t="n"/>
      <c r="D627" s="49" t="n"/>
      <c r="E627" s="49" t="n"/>
      <c r="F627" s="49" t="n"/>
    </row>
    <row r="628" ht="15.75" customHeight="1" s="57">
      <c r="A628" s="49" t="n"/>
      <c r="B628" s="49" t="n"/>
      <c r="C628" s="49" t="n"/>
      <c r="D628" s="49" t="n"/>
      <c r="E628" s="49" t="n"/>
      <c r="F628" s="49" t="n"/>
    </row>
    <row r="629" ht="15.75" customHeight="1" s="57">
      <c r="A629" s="49" t="n"/>
      <c r="B629" s="49" t="n"/>
      <c r="C629" s="49" t="n"/>
      <c r="D629" s="49" t="n"/>
      <c r="E629" s="49" t="n"/>
      <c r="F629" s="49" t="n"/>
    </row>
    <row r="630" ht="15.75" customHeight="1" s="57">
      <c r="A630" s="49" t="n"/>
      <c r="B630" s="49" t="n"/>
      <c r="C630" s="49" t="n"/>
      <c r="D630" s="49" t="n"/>
      <c r="E630" s="49" t="n"/>
      <c r="F630" s="49" t="n"/>
    </row>
    <row r="631" ht="15.75" customHeight="1" s="57">
      <c r="A631" s="49" t="n"/>
      <c r="B631" s="49" t="n"/>
      <c r="C631" s="49" t="n"/>
      <c r="D631" s="49" t="n"/>
      <c r="E631" s="49" t="n"/>
      <c r="F631" s="49" t="n"/>
    </row>
    <row r="632" ht="15.75" customHeight="1" s="57">
      <c r="A632" s="49" t="n"/>
      <c r="B632" s="49" t="n"/>
      <c r="C632" s="49" t="n"/>
      <c r="D632" s="49" t="n"/>
      <c r="E632" s="49" t="n"/>
      <c r="F632" s="49" t="n"/>
    </row>
    <row r="633" ht="15.75" customHeight="1" s="57">
      <c r="A633" s="49" t="n"/>
      <c r="B633" s="49" t="n"/>
      <c r="C633" s="49" t="n"/>
      <c r="D633" s="49" t="n"/>
      <c r="E633" s="49" t="n"/>
      <c r="F633" s="49" t="n"/>
    </row>
    <row r="634" ht="15.75" customHeight="1" s="57">
      <c r="A634" s="49" t="n"/>
      <c r="B634" s="49" t="n"/>
      <c r="C634" s="49" t="n"/>
      <c r="D634" s="49" t="n"/>
      <c r="E634" s="49" t="n"/>
      <c r="F634" s="49" t="n"/>
    </row>
    <row r="635" ht="15.75" customHeight="1" s="57">
      <c r="A635" s="49" t="n"/>
      <c r="B635" s="49" t="n"/>
      <c r="C635" s="49" t="n"/>
      <c r="D635" s="49" t="n"/>
      <c r="E635" s="49" t="n"/>
      <c r="F635" s="49" t="n"/>
    </row>
    <row r="636" ht="15.75" customHeight="1" s="57">
      <c r="A636" s="49" t="n"/>
      <c r="B636" s="49" t="n"/>
      <c r="C636" s="49" t="n"/>
      <c r="D636" s="49" t="n"/>
      <c r="E636" s="49" t="n"/>
      <c r="F636" s="49" t="n"/>
    </row>
    <row r="637" ht="15.75" customHeight="1" s="57">
      <c r="A637" s="49" t="n"/>
      <c r="B637" s="49" t="n"/>
      <c r="C637" s="49" t="n"/>
      <c r="D637" s="49" t="n"/>
      <c r="E637" s="49" t="n"/>
      <c r="F637" s="49" t="n"/>
    </row>
    <row r="638" ht="15.75" customHeight="1" s="57">
      <c r="A638" s="49" t="n"/>
      <c r="B638" s="49" t="n"/>
      <c r="C638" s="49" t="n"/>
      <c r="D638" s="49" t="n"/>
      <c r="E638" s="49" t="n"/>
      <c r="F638" s="49" t="n"/>
    </row>
    <row r="639" ht="15.75" customHeight="1" s="57">
      <c r="A639" s="49" t="n"/>
      <c r="B639" s="49" t="n"/>
      <c r="C639" s="49" t="n"/>
      <c r="D639" s="49" t="n"/>
      <c r="E639" s="49" t="n"/>
      <c r="F639" s="49" t="n"/>
    </row>
    <row r="640" ht="15.75" customHeight="1" s="57">
      <c r="A640" s="49" t="n"/>
      <c r="B640" s="49" t="n"/>
      <c r="C640" s="49" t="n"/>
      <c r="D640" s="49" t="n"/>
      <c r="E640" s="49" t="n"/>
      <c r="F640" s="49" t="n"/>
    </row>
    <row r="641" ht="15.75" customHeight="1" s="57">
      <c r="A641" s="49" t="n"/>
      <c r="B641" s="49" t="n"/>
      <c r="C641" s="49" t="n"/>
      <c r="D641" s="49" t="n"/>
      <c r="E641" s="49" t="n"/>
      <c r="F641" s="49" t="n"/>
    </row>
    <row r="642" ht="15.75" customHeight="1" s="57">
      <c r="A642" s="49" t="n"/>
      <c r="B642" s="49" t="n"/>
      <c r="C642" s="49" t="n"/>
      <c r="D642" s="49" t="n"/>
      <c r="E642" s="49" t="n"/>
      <c r="F642" s="49" t="n"/>
    </row>
    <row r="643" ht="15.75" customHeight="1" s="57">
      <c r="A643" s="49" t="n"/>
      <c r="B643" s="49" t="n"/>
      <c r="C643" s="49" t="n"/>
      <c r="D643" s="49" t="n"/>
      <c r="E643" s="49" t="n"/>
      <c r="F643" s="49" t="n"/>
    </row>
    <row r="644" ht="15.75" customHeight="1" s="57">
      <c r="A644" s="49" t="n"/>
      <c r="B644" s="49" t="n"/>
      <c r="C644" s="49" t="n"/>
      <c r="D644" s="49" t="n"/>
      <c r="E644" s="49" t="n"/>
      <c r="F644" s="49" t="n"/>
    </row>
    <row r="645" ht="15.75" customHeight="1" s="57">
      <c r="A645" s="49" t="n"/>
      <c r="B645" s="49" t="n"/>
      <c r="C645" s="49" t="n"/>
      <c r="D645" s="49" t="n"/>
      <c r="E645" s="49" t="n"/>
      <c r="F645" s="49" t="n"/>
    </row>
    <row r="646" ht="15.75" customHeight="1" s="57">
      <c r="A646" s="49" t="n"/>
      <c r="B646" s="49" t="n"/>
      <c r="C646" s="49" t="n"/>
      <c r="D646" s="49" t="n"/>
      <c r="E646" s="49" t="n"/>
      <c r="F646" s="49" t="n"/>
    </row>
    <row r="647" ht="15.75" customHeight="1" s="57">
      <c r="A647" s="49" t="n"/>
      <c r="B647" s="49" t="n"/>
      <c r="C647" s="49" t="n"/>
      <c r="D647" s="49" t="n"/>
      <c r="E647" s="49" t="n"/>
      <c r="F647" s="49" t="n"/>
    </row>
    <row r="648" ht="15.75" customHeight="1" s="57">
      <c r="A648" s="49" t="n"/>
      <c r="B648" s="49" t="n"/>
      <c r="C648" s="49" t="n"/>
      <c r="D648" s="49" t="n"/>
      <c r="E648" s="49" t="n"/>
      <c r="F648" s="49" t="n"/>
    </row>
    <row r="649" ht="15.75" customHeight="1" s="57">
      <c r="A649" s="49" t="n"/>
      <c r="B649" s="49" t="n"/>
      <c r="C649" s="49" t="n"/>
      <c r="D649" s="49" t="n"/>
      <c r="E649" s="49" t="n"/>
      <c r="F649" s="49" t="n"/>
    </row>
    <row r="650" ht="15.75" customHeight="1" s="57">
      <c r="A650" s="49" t="n"/>
      <c r="B650" s="49" t="n"/>
      <c r="C650" s="49" t="n"/>
      <c r="D650" s="49" t="n"/>
      <c r="E650" s="49" t="n"/>
      <c r="F650" s="49" t="n"/>
    </row>
    <row r="651" ht="15.75" customHeight="1" s="57">
      <c r="A651" s="49" t="n"/>
      <c r="B651" s="49" t="n"/>
      <c r="C651" s="49" t="n"/>
      <c r="D651" s="49" t="n"/>
      <c r="E651" s="49" t="n"/>
      <c r="F651" s="49" t="n"/>
    </row>
    <row r="652" ht="15.75" customHeight="1" s="57">
      <c r="A652" s="49" t="n"/>
      <c r="B652" s="49" t="n"/>
      <c r="C652" s="49" t="n"/>
      <c r="D652" s="49" t="n"/>
      <c r="E652" s="49" t="n"/>
      <c r="F652" s="49" t="n"/>
    </row>
    <row r="653" ht="15.75" customHeight="1" s="57">
      <c r="A653" s="49" t="n"/>
      <c r="B653" s="49" t="n"/>
      <c r="C653" s="49" t="n"/>
      <c r="D653" s="49" t="n"/>
      <c r="E653" s="49" t="n"/>
      <c r="F653" s="49" t="n"/>
    </row>
    <row r="654" ht="15.75" customHeight="1" s="57">
      <c r="A654" s="49" t="n"/>
      <c r="B654" s="49" t="n"/>
      <c r="C654" s="49" t="n"/>
      <c r="D654" s="49" t="n"/>
      <c r="E654" s="49" t="n"/>
      <c r="F654" s="49" t="n"/>
    </row>
    <row r="655" ht="15.75" customHeight="1" s="57">
      <c r="A655" s="49" t="n"/>
      <c r="B655" s="49" t="n"/>
      <c r="C655" s="49" t="n"/>
      <c r="D655" s="49" t="n"/>
      <c r="E655" s="49" t="n"/>
      <c r="F655" s="49" t="n"/>
    </row>
    <row r="656" ht="15.75" customHeight="1" s="57">
      <c r="A656" s="49" t="n"/>
      <c r="B656" s="49" t="n"/>
      <c r="C656" s="49" t="n"/>
      <c r="D656" s="49" t="n"/>
      <c r="E656" s="49" t="n"/>
      <c r="F656" s="49" t="n"/>
    </row>
    <row r="657" ht="15.75" customHeight="1" s="57">
      <c r="A657" s="49" t="n"/>
      <c r="B657" s="49" t="n"/>
      <c r="C657" s="49" t="n"/>
      <c r="D657" s="49" t="n"/>
      <c r="E657" s="49" t="n"/>
      <c r="F657" s="49" t="n"/>
    </row>
    <row r="658" ht="15.75" customHeight="1" s="57">
      <c r="A658" s="49" t="n"/>
      <c r="B658" s="49" t="n"/>
      <c r="C658" s="49" t="n"/>
      <c r="D658" s="49" t="n"/>
      <c r="E658" s="49" t="n"/>
      <c r="F658" s="49" t="n"/>
    </row>
    <row r="659" ht="15.75" customHeight="1" s="57">
      <c r="A659" s="49" t="n"/>
      <c r="B659" s="49" t="n"/>
      <c r="C659" s="49" t="n"/>
      <c r="D659" s="49" t="n"/>
      <c r="E659" s="49" t="n"/>
      <c r="F659" s="49" t="n"/>
    </row>
    <row r="660" ht="15.75" customHeight="1" s="57">
      <c r="A660" s="49" t="n"/>
      <c r="B660" s="49" t="n"/>
      <c r="C660" s="49" t="n"/>
      <c r="D660" s="49" t="n"/>
      <c r="E660" s="49" t="n"/>
      <c r="F660" s="49" t="n"/>
    </row>
    <row r="661" ht="15.75" customHeight="1" s="57">
      <c r="A661" s="49" t="n"/>
      <c r="B661" s="49" t="n"/>
      <c r="C661" s="49" t="n"/>
      <c r="D661" s="49" t="n"/>
      <c r="E661" s="49" t="n"/>
      <c r="F661" s="49" t="n"/>
    </row>
    <row r="662" ht="15.75" customHeight="1" s="57">
      <c r="A662" s="49" t="n"/>
      <c r="B662" s="49" t="n"/>
      <c r="C662" s="49" t="n"/>
      <c r="D662" s="49" t="n"/>
      <c r="E662" s="49" t="n"/>
      <c r="F662" s="49" t="n"/>
    </row>
    <row r="663" ht="15.75" customHeight="1" s="57">
      <c r="A663" s="49" t="n"/>
      <c r="B663" s="49" t="n"/>
      <c r="C663" s="49" t="n"/>
      <c r="D663" s="49" t="n"/>
      <c r="E663" s="49" t="n"/>
      <c r="F663" s="49" t="n"/>
    </row>
    <row r="664" ht="15.75" customHeight="1" s="57">
      <c r="A664" s="49" t="n"/>
      <c r="B664" s="49" t="n"/>
      <c r="C664" s="49" t="n"/>
      <c r="D664" s="49" t="n"/>
      <c r="E664" s="49" t="n"/>
      <c r="F664" s="49" t="n"/>
    </row>
    <row r="665" ht="15.75" customHeight="1" s="57">
      <c r="A665" s="49" t="n"/>
      <c r="B665" s="49" t="n"/>
      <c r="C665" s="49" t="n"/>
      <c r="D665" s="49" t="n"/>
      <c r="E665" s="49" t="n"/>
      <c r="F665" s="49" t="n"/>
    </row>
    <row r="666" ht="15.75" customHeight="1" s="57">
      <c r="A666" s="49" t="n"/>
      <c r="B666" s="49" t="n"/>
      <c r="C666" s="49" t="n"/>
      <c r="D666" s="49" t="n"/>
      <c r="E666" s="49" t="n"/>
      <c r="F666" s="49" t="n"/>
    </row>
    <row r="667" ht="15.75" customHeight="1" s="57">
      <c r="A667" s="49" t="n"/>
      <c r="B667" s="49" t="n"/>
      <c r="C667" s="49" t="n"/>
      <c r="D667" s="49" t="n"/>
      <c r="E667" s="49" t="n"/>
      <c r="F667" s="49" t="n"/>
    </row>
    <row r="668" ht="15.75" customHeight="1" s="57">
      <c r="A668" s="49" t="n"/>
      <c r="B668" s="49" t="n"/>
      <c r="C668" s="49" t="n"/>
      <c r="D668" s="49" t="n"/>
      <c r="E668" s="49" t="n"/>
      <c r="F668" s="49" t="n"/>
    </row>
    <row r="669" ht="15.75" customHeight="1" s="57">
      <c r="A669" s="49" t="n"/>
      <c r="B669" s="49" t="n"/>
      <c r="C669" s="49" t="n"/>
      <c r="D669" s="49" t="n"/>
      <c r="E669" s="49" t="n"/>
      <c r="F669" s="49" t="n"/>
    </row>
    <row r="670" ht="15.75" customHeight="1" s="57">
      <c r="A670" s="49" t="n"/>
      <c r="B670" s="49" t="n"/>
      <c r="C670" s="49" t="n"/>
      <c r="D670" s="49" t="n"/>
      <c r="E670" s="49" t="n"/>
      <c r="F670" s="49" t="n"/>
    </row>
    <row r="671" ht="15.75" customHeight="1" s="57">
      <c r="A671" s="49" t="n"/>
      <c r="B671" s="49" t="n"/>
      <c r="C671" s="49" t="n"/>
      <c r="D671" s="49" t="n"/>
      <c r="E671" s="49" t="n"/>
      <c r="F671" s="49" t="n"/>
    </row>
    <row r="672" ht="15.75" customHeight="1" s="57">
      <c r="A672" s="49" t="n"/>
      <c r="B672" s="49" t="n"/>
      <c r="C672" s="49" t="n"/>
      <c r="D672" s="49" t="n"/>
      <c r="E672" s="49" t="n"/>
      <c r="F672" s="49" t="n"/>
    </row>
    <row r="673" ht="15.75" customHeight="1" s="57">
      <c r="A673" s="49" t="n"/>
      <c r="B673" s="49" t="n"/>
      <c r="C673" s="49" t="n"/>
      <c r="D673" s="49" t="n"/>
      <c r="E673" s="49" t="n"/>
      <c r="F673" s="49" t="n"/>
    </row>
    <row r="674" ht="15.75" customHeight="1" s="57">
      <c r="A674" s="49" t="n"/>
      <c r="B674" s="49" t="n"/>
      <c r="C674" s="49" t="n"/>
      <c r="D674" s="49" t="n"/>
      <c r="E674" s="49" t="n"/>
      <c r="F674" s="49" t="n"/>
    </row>
    <row r="675" ht="15.75" customHeight="1" s="57">
      <c r="A675" s="49" t="n"/>
      <c r="B675" s="49" t="n"/>
      <c r="C675" s="49" t="n"/>
      <c r="D675" s="49" t="n"/>
      <c r="E675" s="49" t="n"/>
      <c r="F675" s="49" t="n"/>
    </row>
    <row r="676" ht="15.75" customHeight="1" s="57">
      <c r="A676" s="49" t="n"/>
      <c r="B676" s="49" t="n"/>
      <c r="C676" s="49" t="n"/>
      <c r="D676" s="49" t="n"/>
      <c r="E676" s="49" t="n"/>
      <c r="F676" s="49" t="n"/>
    </row>
    <row r="677" ht="15.75" customHeight="1" s="57">
      <c r="A677" s="49" t="n"/>
      <c r="B677" s="49" t="n"/>
      <c r="C677" s="49" t="n"/>
      <c r="D677" s="49" t="n"/>
      <c r="E677" s="49" t="n"/>
      <c r="F677" s="49" t="n"/>
    </row>
    <row r="678" ht="15.75" customHeight="1" s="57">
      <c r="A678" s="49" t="n"/>
      <c r="B678" s="49" t="n"/>
      <c r="C678" s="49" t="n"/>
      <c r="D678" s="49" t="n"/>
      <c r="E678" s="49" t="n"/>
      <c r="F678" s="49" t="n"/>
    </row>
    <row r="679" ht="15.75" customHeight="1" s="57">
      <c r="A679" s="49" t="n"/>
      <c r="B679" s="49" t="n"/>
      <c r="C679" s="49" t="n"/>
      <c r="D679" s="49" t="n"/>
      <c r="E679" s="49" t="n"/>
      <c r="F679" s="49" t="n"/>
    </row>
    <row r="680" ht="15.75" customHeight="1" s="57">
      <c r="A680" s="49" t="n"/>
      <c r="B680" s="49" t="n"/>
      <c r="C680" s="49" t="n"/>
      <c r="D680" s="49" t="n"/>
      <c r="E680" s="49" t="n"/>
      <c r="F680" s="49" t="n"/>
    </row>
    <row r="681" ht="15.75" customHeight="1" s="57">
      <c r="A681" s="49" t="n"/>
      <c r="B681" s="49" t="n"/>
      <c r="C681" s="49" t="n"/>
      <c r="D681" s="49" t="n"/>
      <c r="E681" s="49" t="n"/>
      <c r="F681" s="49" t="n"/>
    </row>
    <row r="682" ht="15.75" customHeight="1" s="57">
      <c r="A682" s="49" t="n"/>
      <c r="B682" s="49" t="n"/>
      <c r="C682" s="49" t="n"/>
      <c r="D682" s="49" t="n"/>
      <c r="E682" s="49" t="n"/>
      <c r="F682" s="49" t="n"/>
    </row>
    <row r="683" ht="15.75" customHeight="1" s="57">
      <c r="A683" s="49" t="n"/>
      <c r="B683" s="49" t="n"/>
      <c r="C683" s="49" t="n"/>
      <c r="D683" s="49" t="n"/>
      <c r="E683" s="49" t="n"/>
      <c r="F683" s="49" t="n"/>
    </row>
    <row r="684" ht="15.75" customHeight="1" s="57">
      <c r="A684" s="49" t="n"/>
      <c r="B684" s="49" t="n"/>
      <c r="C684" s="49" t="n"/>
      <c r="D684" s="49" t="n"/>
      <c r="E684" s="49" t="n"/>
      <c r="F684" s="49" t="n"/>
    </row>
    <row r="685" ht="15.75" customHeight="1" s="57">
      <c r="A685" s="49" t="n"/>
      <c r="B685" s="49" t="n"/>
      <c r="C685" s="49" t="n"/>
      <c r="D685" s="49" t="n"/>
      <c r="E685" s="49" t="n"/>
      <c r="F685" s="49" t="n"/>
    </row>
    <row r="686" ht="15.75" customHeight="1" s="57">
      <c r="A686" s="49" t="n"/>
      <c r="B686" s="49" t="n"/>
      <c r="C686" s="49" t="n"/>
      <c r="D686" s="49" t="n"/>
      <c r="E686" s="49" t="n"/>
      <c r="F686" s="49" t="n"/>
    </row>
    <row r="687" ht="15.75" customHeight="1" s="57">
      <c r="A687" s="49" t="n"/>
      <c r="B687" s="49" t="n"/>
      <c r="C687" s="49" t="n"/>
      <c r="D687" s="49" t="n"/>
      <c r="E687" s="49" t="n"/>
      <c r="F687" s="49" t="n"/>
    </row>
    <row r="688" ht="15.75" customHeight="1" s="57">
      <c r="A688" s="49" t="n"/>
      <c r="B688" s="49" t="n"/>
      <c r="C688" s="49" t="n"/>
      <c r="D688" s="49" t="n"/>
      <c r="E688" s="49" t="n"/>
      <c r="F688" s="49" t="n"/>
    </row>
    <row r="689" ht="15.75" customHeight="1" s="57">
      <c r="A689" s="49" t="n"/>
      <c r="B689" s="49" t="n"/>
      <c r="C689" s="49" t="n"/>
      <c r="D689" s="49" t="n"/>
      <c r="E689" s="49" t="n"/>
      <c r="F689" s="49" t="n"/>
    </row>
    <row r="690" ht="15.75" customHeight="1" s="57">
      <c r="A690" s="49" t="n"/>
      <c r="B690" s="49" t="n"/>
      <c r="C690" s="49" t="n"/>
      <c r="D690" s="49" t="n"/>
      <c r="E690" s="49" t="n"/>
      <c r="F690" s="49" t="n"/>
    </row>
    <row r="691" ht="15.75" customHeight="1" s="57">
      <c r="A691" s="49" t="n"/>
      <c r="B691" s="49" t="n"/>
      <c r="C691" s="49" t="n"/>
      <c r="D691" s="49" t="n"/>
      <c r="E691" s="49" t="n"/>
      <c r="F691" s="49" t="n"/>
    </row>
    <row r="692" ht="15.75" customHeight="1" s="57">
      <c r="A692" s="49" t="n"/>
      <c r="B692" s="49" t="n"/>
      <c r="C692" s="49" t="n"/>
      <c r="D692" s="49" t="n"/>
      <c r="E692" s="49" t="n"/>
      <c r="F692" s="49" t="n"/>
    </row>
    <row r="693" ht="15.75" customHeight="1" s="57">
      <c r="A693" s="49" t="n"/>
      <c r="B693" s="49" t="n"/>
      <c r="C693" s="49" t="n"/>
      <c r="D693" s="49" t="n"/>
      <c r="E693" s="49" t="n"/>
      <c r="F693" s="49" t="n"/>
    </row>
    <row r="694" ht="15.75" customHeight="1" s="57">
      <c r="A694" s="49" t="n"/>
      <c r="B694" s="49" t="n"/>
      <c r="C694" s="49" t="n"/>
      <c r="D694" s="49" t="n"/>
      <c r="E694" s="49" t="n"/>
      <c r="F694" s="49" t="n"/>
    </row>
    <row r="695" ht="15.75" customHeight="1" s="57">
      <c r="A695" s="49" t="n"/>
      <c r="B695" s="49" t="n"/>
      <c r="C695" s="49" t="n"/>
      <c r="D695" s="49" t="n"/>
      <c r="E695" s="49" t="n"/>
      <c r="F695" s="49" t="n"/>
    </row>
    <row r="696" ht="15.75" customHeight="1" s="57">
      <c r="A696" s="49" t="n"/>
      <c r="B696" s="49" t="n"/>
      <c r="C696" s="49" t="n"/>
      <c r="D696" s="49" t="n"/>
      <c r="E696" s="49" t="n"/>
      <c r="F696" s="49" t="n"/>
    </row>
    <row r="697" ht="15.75" customHeight="1" s="57">
      <c r="A697" s="49" t="n"/>
      <c r="B697" s="49" t="n"/>
      <c r="C697" s="49" t="n"/>
      <c r="D697" s="49" t="n"/>
      <c r="E697" s="49" t="n"/>
      <c r="F697" s="49" t="n"/>
    </row>
    <row r="698" ht="15.75" customHeight="1" s="57">
      <c r="A698" s="49" t="n"/>
      <c r="B698" s="49" t="n"/>
      <c r="C698" s="49" t="n"/>
      <c r="D698" s="49" t="n"/>
      <c r="E698" s="49" t="n"/>
      <c r="F698" s="49" t="n"/>
    </row>
    <row r="699" ht="15.75" customHeight="1" s="57">
      <c r="A699" s="49" t="n"/>
      <c r="B699" s="49" t="n"/>
      <c r="C699" s="49" t="n"/>
      <c r="D699" s="49" t="n"/>
      <c r="E699" s="49" t="n"/>
      <c r="F699" s="49" t="n"/>
    </row>
    <row r="700" ht="15.75" customHeight="1" s="57">
      <c r="A700" s="49" t="n"/>
      <c r="B700" s="49" t="n"/>
      <c r="C700" s="49" t="n"/>
      <c r="D700" s="49" t="n"/>
      <c r="E700" s="49" t="n"/>
      <c r="F700" s="49" t="n"/>
    </row>
    <row r="701" ht="15.75" customHeight="1" s="57">
      <c r="A701" s="49" t="n"/>
      <c r="B701" s="49" t="n"/>
      <c r="C701" s="49" t="n"/>
      <c r="D701" s="49" t="n"/>
      <c r="E701" s="49" t="n"/>
      <c r="F701" s="49" t="n"/>
    </row>
    <row r="702" ht="15.75" customHeight="1" s="57">
      <c r="A702" s="49" t="n"/>
      <c r="B702" s="49" t="n"/>
      <c r="C702" s="49" t="n"/>
      <c r="D702" s="49" t="n"/>
      <c r="E702" s="49" t="n"/>
      <c r="F702" s="49" t="n"/>
    </row>
    <row r="703" ht="15.75" customHeight="1" s="57">
      <c r="A703" s="49" t="n"/>
      <c r="B703" s="49" t="n"/>
      <c r="C703" s="49" t="n"/>
      <c r="D703" s="49" t="n"/>
      <c r="E703" s="49" t="n"/>
      <c r="F703" s="49" t="n"/>
    </row>
    <row r="704" ht="15.75" customHeight="1" s="57">
      <c r="A704" s="49" t="n"/>
      <c r="B704" s="49" t="n"/>
      <c r="C704" s="49" t="n"/>
      <c r="D704" s="49" t="n"/>
      <c r="E704" s="49" t="n"/>
      <c r="F704" s="49" t="n"/>
    </row>
    <row r="705" ht="15.75" customHeight="1" s="57">
      <c r="A705" s="49" t="n"/>
      <c r="B705" s="49" t="n"/>
      <c r="C705" s="49" t="n"/>
      <c r="D705" s="49" t="n"/>
      <c r="E705" s="49" t="n"/>
      <c r="F705" s="49" t="n"/>
    </row>
    <row r="706" ht="15.75" customHeight="1" s="57">
      <c r="A706" s="49" t="n"/>
      <c r="B706" s="49" t="n"/>
      <c r="C706" s="49" t="n"/>
      <c r="D706" s="49" t="n"/>
      <c r="E706" s="49" t="n"/>
      <c r="F706" s="49" t="n"/>
    </row>
    <row r="707" ht="15.75" customHeight="1" s="57">
      <c r="A707" s="49" t="n"/>
      <c r="B707" s="49" t="n"/>
      <c r="C707" s="49" t="n"/>
      <c r="D707" s="49" t="n"/>
      <c r="E707" s="49" t="n"/>
      <c r="F707" s="49" t="n"/>
    </row>
    <row r="708" ht="15.75" customHeight="1" s="57">
      <c r="A708" s="49" t="n"/>
      <c r="B708" s="49" t="n"/>
      <c r="C708" s="49" t="n"/>
      <c r="D708" s="49" t="n"/>
      <c r="E708" s="49" t="n"/>
      <c r="F708" s="49" t="n"/>
    </row>
    <row r="709" ht="15.75" customHeight="1" s="57">
      <c r="A709" s="49" t="n"/>
      <c r="B709" s="49" t="n"/>
      <c r="C709" s="49" t="n"/>
      <c r="D709" s="49" t="n"/>
      <c r="E709" s="49" t="n"/>
      <c r="F709" s="49" t="n"/>
    </row>
    <row r="710" ht="15.75" customHeight="1" s="57">
      <c r="A710" s="49" t="n"/>
      <c r="B710" s="49" t="n"/>
      <c r="C710" s="49" t="n"/>
      <c r="D710" s="49" t="n"/>
      <c r="E710" s="49" t="n"/>
      <c r="F710" s="49" t="n"/>
    </row>
    <row r="711" ht="15.75" customHeight="1" s="57">
      <c r="A711" s="49" t="n"/>
      <c r="B711" s="49" t="n"/>
      <c r="C711" s="49" t="n"/>
      <c r="D711" s="49" t="n"/>
      <c r="E711" s="49" t="n"/>
      <c r="F711" s="49" t="n"/>
    </row>
    <row r="712" ht="15.75" customHeight="1" s="57">
      <c r="A712" s="49" t="n"/>
      <c r="B712" s="49" t="n"/>
      <c r="C712" s="49" t="n"/>
      <c r="D712" s="49" t="n"/>
      <c r="E712" s="49" t="n"/>
      <c r="F712" s="49" t="n"/>
    </row>
    <row r="713" ht="15.75" customHeight="1" s="57">
      <c r="A713" s="49" t="n"/>
      <c r="B713" s="49" t="n"/>
      <c r="C713" s="49" t="n"/>
      <c r="D713" s="49" t="n"/>
      <c r="E713" s="49" t="n"/>
      <c r="F713" s="49" t="n"/>
    </row>
    <row r="714" ht="15.75" customHeight="1" s="57">
      <c r="A714" s="49" t="n"/>
      <c r="B714" s="49" t="n"/>
      <c r="C714" s="49" t="n"/>
      <c r="D714" s="49" t="n"/>
      <c r="E714" s="49" t="n"/>
      <c r="F714" s="49" t="n"/>
    </row>
    <row r="715" ht="15.75" customHeight="1" s="57">
      <c r="A715" s="49" t="n"/>
      <c r="B715" s="49" t="n"/>
      <c r="C715" s="49" t="n"/>
      <c r="D715" s="49" t="n"/>
      <c r="E715" s="49" t="n"/>
      <c r="F715" s="49" t="n"/>
    </row>
    <row r="716" ht="15.75" customHeight="1" s="57">
      <c r="A716" s="49" t="n"/>
      <c r="B716" s="49" t="n"/>
      <c r="C716" s="49" t="n"/>
      <c r="D716" s="49" t="n"/>
      <c r="E716" s="49" t="n"/>
      <c r="F716" s="49" t="n"/>
    </row>
    <row r="717" ht="15.75" customHeight="1" s="57">
      <c r="A717" s="49" t="n"/>
      <c r="B717" s="49" t="n"/>
      <c r="C717" s="49" t="n"/>
      <c r="D717" s="49" t="n"/>
      <c r="E717" s="49" t="n"/>
      <c r="F717" s="49" t="n"/>
    </row>
    <row r="718" ht="15.75" customHeight="1" s="57">
      <c r="A718" s="49" t="n"/>
      <c r="B718" s="49" t="n"/>
      <c r="C718" s="49" t="n"/>
      <c r="D718" s="49" t="n"/>
      <c r="E718" s="49" t="n"/>
      <c r="F718" s="49" t="n"/>
    </row>
    <row r="719" ht="15.75" customHeight="1" s="57">
      <c r="A719" s="49" t="n"/>
      <c r="B719" s="49" t="n"/>
      <c r="C719" s="49" t="n"/>
      <c r="D719" s="49" t="n"/>
      <c r="E719" s="49" t="n"/>
      <c r="F719" s="49" t="n"/>
    </row>
    <row r="720" ht="15.75" customHeight="1" s="57">
      <c r="A720" s="49" t="n"/>
      <c r="B720" s="49" t="n"/>
      <c r="C720" s="49" t="n"/>
      <c r="D720" s="49" t="n"/>
      <c r="E720" s="49" t="n"/>
      <c r="F720" s="49" t="n"/>
    </row>
    <row r="721" ht="15.75" customHeight="1" s="57">
      <c r="A721" s="49" t="n"/>
      <c r="B721" s="49" t="n"/>
      <c r="C721" s="49" t="n"/>
      <c r="D721" s="49" t="n"/>
      <c r="E721" s="49" t="n"/>
      <c r="F721" s="49" t="n"/>
    </row>
    <row r="722" ht="15.75" customHeight="1" s="57">
      <c r="A722" s="49" t="n"/>
      <c r="B722" s="49" t="n"/>
      <c r="C722" s="49" t="n"/>
      <c r="D722" s="49" t="n"/>
      <c r="E722" s="49" t="n"/>
      <c r="F722" s="49" t="n"/>
    </row>
    <row r="723" ht="15.75" customHeight="1" s="57">
      <c r="A723" s="49" t="n"/>
      <c r="B723" s="49" t="n"/>
      <c r="C723" s="49" t="n"/>
      <c r="D723" s="49" t="n"/>
      <c r="E723" s="49" t="n"/>
      <c r="F723" s="49" t="n"/>
    </row>
    <row r="724" ht="15.75" customHeight="1" s="57">
      <c r="A724" s="49" t="n"/>
      <c r="B724" s="49" t="n"/>
      <c r="C724" s="49" t="n"/>
      <c r="D724" s="49" t="n"/>
      <c r="E724" s="49" t="n"/>
      <c r="F724" s="49" t="n"/>
    </row>
    <row r="725" ht="15.75" customHeight="1" s="57">
      <c r="A725" s="49" t="n"/>
      <c r="B725" s="49" t="n"/>
      <c r="C725" s="49" t="n"/>
      <c r="D725" s="49" t="n"/>
      <c r="E725" s="49" t="n"/>
      <c r="F725" s="49" t="n"/>
    </row>
    <row r="726" ht="15.75" customHeight="1" s="57">
      <c r="A726" s="49" t="n"/>
      <c r="B726" s="49" t="n"/>
      <c r="C726" s="49" t="n"/>
      <c r="D726" s="49" t="n"/>
      <c r="E726" s="49" t="n"/>
      <c r="F726" s="49" t="n"/>
    </row>
    <row r="727" ht="15.75" customHeight="1" s="57">
      <c r="A727" s="49" t="n"/>
      <c r="B727" s="49" t="n"/>
      <c r="C727" s="49" t="n"/>
      <c r="D727" s="49" t="n"/>
      <c r="E727" s="49" t="n"/>
      <c r="F727" s="49" t="n"/>
    </row>
    <row r="728" ht="15.75" customHeight="1" s="57">
      <c r="A728" s="49" t="n"/>
      <c r="B728" s="49" t="n"/>
      <c r="C728" s="49" t="n"/>
      <c r="D728" s="49" t="n"/>
      <c r="E728" s="49" t="n"/>
      <c r="F728" s="49" t="n"/>
    </row>
    <row r="729" ht="15.75" customHeight="1" s="57">
      <c r="A729" s="49" t="n"/>
      <c r="B729" s="49" t="n"/>
      <c r="C729" s="49" t="n"/>
      <c r="D729" s="49" t="n"/>
      <c r="E729" s="49" t="n"/>
      <c r="F729" s="49" t="n"/>
    </row>
    <row r="730" ht="15.75" customHeight="1" s="57">
      <c r="A730" s="49" t="n"/>
      <c r="B730" s="49" t="n"/>
      <c r="C730" s="49" t="n"/>
      <c r="D730" s="49" t="n"/>
      <c r="E730" s="49" t="n"/>
      <c r="F730" s="49" t="n"/>
    </row>
    <row r="731" ht="15.75" customHeight="1" s="57">
      <c r="A731" s="49" t="n"/>
      <c r="B731" s="49" t="n"/>
      <c r="C731" s="49" t="n"/>
      <c r="D731" s="49" t="n"/>
      <c r="E731" s="49" t="n"/>
      <c r="F731" s="49" t="n"/>
    </row>
    <row r="732" ht="15.75" customHeight="1" s="57">
      <c r="A732" s="49" t="n"/>
      <c r="B732" s="49" t="n"/>
      <c r="C732" s="49" t="n"/>
      <c r="D732" s="49" t="n"/>
      <c r="E732" s="49" t="n"/>
      <c r="F732" s="49" t="n"/>
    </row>
    <row r="733" ht="15.75" customHeight="1" s="57">
      <c r="A733" s="49" t="n"/>
      <c r="B733" s="49" t="n"/>
      <c r="C733" s="49" t="n"/>
      <c r="D733" s="49" t="n"/>
      <c r="E733" s="49" t="n"/>
      <c r="F733" s="49" t="n"/>
    </row>
    <row r="734" ht="15.75" customHeight="1" s="57">
      <c r="A734" s="49" t="n"/>
      <c r="B734" s="49" t="n"/>
      <c r="C734" s="49" t="n"/>
      <c r="D734" s="49" t="n"/>
      <c r="E734" s="49" t="n"/>
      <c r="F734" s="49" t="n"/>
    </row>
    <row r="735" ht="15.75" customHeight="1" s="57">
      <c r="A735" s="49" t="n"/>
      <c r="B735" s="49" t="n"/>
      <c r="C735" s="49" t="n"/>
      <c r="D735" s="49" t="n"/>
      <c r="E735" s="49" t="n"/>
      <c r="F735" s="49" t="n"/>
    </row>
    <row r="736" ht="15.75" customHeight="1" s="57">
      <c r="A736" s="49" t="n"/>
      <c r="B736" s="49" t="n"/>
      <c r="C736" s="49" t="n"/>
      <c r="D736" s="49" t="n"/>
      <c r="E736" s="49" t="n"/>
      <c r="F736" s="49" t="n"/>
    </row>
    <row r="737" ht="15.75" customHeight="1" s="57">
      <c r="A737" s="49" t="n"/>
      <c r="B737" s="49" t="n"/>
      <c r="C737" s="49" t="n"/>
      <c r="D737" s="49" t="n"/>
      <c r="E737" s="49" t="n"/>
      <c r="F737" s="49" t="n"/>
    </row>
    <row r="738" ht="15.75" customHeight="1" s="57">
      <c r="A738" s="49" t="n"/>
      <c r="B738" s="49" t="n"/>
      <c r="C738" s="49" t="n"/>
      <c r="D738" s="49" t="n"/>
      <c r="E738" s="49" t="n"/>
      <c r="F738" s="49" t="n"/>
    </row>
    <row r="739" ht="15.75" customHeight="1" s="57">
      <c r="A739" s="49" t="n"/>
      <c r="B739" s="49" t="n"/>
      <c r="C739" s="49" t="n"/>
      <c r="D739" s="49" t="n"/>
      <c r="E739" s="49" t="n"/>
      <c r="F739" s="49" t="n"/>
    </row>
    <row r="740" ht="15.75" customHeight="1" s="57">
      <c r="A740" s="49" t="n"/>
      <c r="B740" s="49" t="n"/>
      <c r="C740" s="49" t="n"/>
      <c r="D740" s="49" t="n"/>
      <c r="E740" s="49" t="n"/>
      <c r="F740" s="49" t="n"/>
    </row>
    <row r="741" ht="15.75" customHeight="1" s="57">
      <c r="A741" s="49" t="n"/>
      <c r="B741" s="49" t="n"/>
      <c r="C741" s="49" t="n"/>
      <c r="D741" s="49" t="n"/>
      <c r="E741" s="49" t="n"/>
      <c r="F741" s="49" t="n"/>
    </row>
    <row r="742" ht="15.75" customHeight="1" s="57">
      <c r="A742" s="49" t="n"/>
      <c r="B742" s="49" t="n"/>
      <c r="C742" s="49" t="n"/>
      <c r="D742" s="49" t="n"/>
      <c r="E742" s="49" t="n"/>
      <c r="F742" s="49" t="n"/>
    </row>
    <row r="743" ht="15.75" customHeight="1" s="57">
      <c r="A743" s="49" t="n"/>
      <c r="B743" s="49" t="n"/>
      <c r="C743" s="49" t="n"/>
      <c r="D743" s="49" t="n"/>
      <c r="E743" s="49" t="n"/>
      <c r="F743" s="49" t="n"/>
    </row>
    <row r="744" ht="15.75" customHeight="1" s="57">
      <c r="A744" s="49" t="n"/>
      <c r="B744" s="49" t="n"/>
      <c r="C744" s="49" t="n"/>
      <c r="D744" s="49" t="n"/>
      <c r="E744" s="49" t="n"/>
      <c r="F744" s="49" t="n"/>
    </row>
    <row r="745" ht="15.75" customHeight="1" s="57">
      <c r="A745" s="49" t="n"/>
      <c r="B745" s="49" t="n"/>
      <c r="C745" s="49" t="n"/>
      <c r="D745" s="49" t="n"/>
      <c r="E745" s="49" t="n"/>
      <c r="F745" s="49" t="n"/>
    </row>
    <row r="746" ht="15.75" customHeight="1" s="57">
      <c r="A746" s="49" t="n"/>
      <c r="B746" s="49" t="n"/>
      <c r="C746" s="49" t="n"/>
      <c r="D746" s="49" t="n"/>
      <c r="E746" s="49" t="n"/>
      <c r="F746" s="49" t="n"/>
    </row>
    <row r="747" ht="15.75" customHeight="1" s="57">
      <c r="A747" s="49" t="n"/>
      <c r="B747" s="49" t="n"/>
      <c r="C747" s="49" t="n"/>
      <c r="D747" s="49" t="n"/>
      <c r="E747" s="49" t="n"/>
      <c r="F747" s="49" t="n"/>
    </row>
    <row r="748" ht="15.75" customHeight="1" s="57">
      <c r="A748" s="49" t="n"/>
      <c r="B748" s="49" t="n"/>
      <c r="C748" s="49" t="n"/>
      <c r="D748" s="49" t="n"/>
      <c r="E748" s="49" t="n"/>
      <c r="F748" s="49" t="n"/>
    </row>
    <row r="749" ht="15.75" customHeight="1" s="57">
      <c r="A749" s="49" t="n"/>
      <c r="B749" s="49" t="n"/>
      <c r="C749" s="49" t="n"/>
      <c r="D749" s="49" t="n"/>
      <c r="E749" s="49" t="n"/>
      <c r="F749" s="49" t="n"/>
    </row>
    <row r="750" ht="15.75" customHeight="1" s="57">
      <c r="A750" s="49" t="n"/>
      <c r="B750" s="49" t="n"/>
      <c r="C750" s="49" t="n"/>
      <c r="D750" s="49" t="n"/>
      <c r="E750" s="49" t="n"/>
      <c r="F750" s="49" t="n"/>
    </row>
    <row r="751" ht="15.75" customHeight="1" s="57">
      <c r="A751" s="49" t="n"/>
      <c r="B751" s="49" t="n"/>
      <c r="C751" s="49" t="n"/>
      <c r="D751" s="49" t="n"/>
      <c r="E751" s="49" t="n"/>
      <c r="F751" s="49" t="n"/>
    </row>
    <row r="752" ht="15.75" customHeight="1" s="57">
      <c r="A752" s="49" t="n"/>
      <c r="B752" s="49" t="n"/>
      <c r="C752" s="49" t="n"/>
      <c r="D752" s="49" t="n"/>
      <c r="E752" s="49" t="n"/>
      <c r="F752" s="49" t="n"/>
    </row>
    <row r="753" ht="15.75" customHeight="1" s="57">
      <c r="A753" s="49" t="n"/>
      <c r="B753" s="49" t="n"/>
      <c r="C753" s="49" t="n"/>
      <c r="D753" s="49" t="n"/>
      <c r="E753" s="49" t="n"/>
      <c r="F753" s="49" t="n"/>
    </row>
    <row r="754" ht="15.75" customHeight="1" s="57">
      <c r="A754" s="49" t="n"/>
      <c r="B754" s="49" t="n"/>
      <c r="C754" s="49" t="n"/>
      <c r="D754" s="49" t="n"/>
      <c r="E754" s="49" t="n"/>
      <c r="F754" s="49" t="n"/>
    </row>
    <row r="755" ht="15.75" customHeight="1" s="57">
      <c r="A755" s="49" t="n"/>
      <c r="B755" s="49" t="n"/>
      <c r="C755" s="49" t="n"/>
      <c r="D755" s="49" t="n"/>
      <c r="E755" s="49" t="n"/>
      <c r="F755" s="49" t="n"/>
    </row>
    <row r="756" ht="15.75" customHeight="1" s="57">
      <c r="A756" s="49" t="n"/>
      <c r="B756" s="49" t="n"/>
      <c r="C756" s="49" t="n"/>
      <c r="D756" s="49" t="n"/>
      <c r="E756" s="49" t="n"/>
      <c r="F756" s="49" t="n"/>
    </row>
    <row r="757" ht="15.75" customHeight="1" s="57">
      <c r="A757" s="49" t="n"/>
      <c r="B757" s="49" t="n"/>
      <c r="C757" s="49" t="n"/>
      <c r="D757" s="49" t="n"/>
      <c r="E757" s="49" t="n"/>
      <c r="F757" s="49" t="n"/>
    </row>
    <row r="758" ht="15.75" customHeight="1" s="57">
      <c r="A758" s="49" t="n"/>
      <c r="B758" s="49" t="n"/>
      <c r="C758" s="49" t="n"/>
      <c r="D758" s="49" t="n"/>
      <c r="E758" s="49" t="n"/>
      <c r="F758" s="49" t="n"/>
    </row>
    <row r="759" ht="15.75" customHeight="1" s="57">
      <c r="A759" s="49" t="n"/>
      <c r="B759" s="49" t="n"/>
      <c r="C759" s="49" t="n"/>
      <c r="D759" s="49" t="n"/>
      <c r="E759" s="49" t="n"/>
      <c r="F759" s="49" t="n"/>
    </row>
    <row r="760" ht="15.75" customHeight="1" s="57">
      <c r="A760" s="49" t="n"/>
      <c r="B760" s="49" t="n"/>
      <c r="C760" s="49" t="n"/>
      <c r="D760" s="49" t="n"/>
      <c r="E760" s="49" t="n"/>
      <c r="F760" s="49" t="n"/>
    </row>
    <row r="761" ht="15.75" customHeight="1" s="57">
      <c r="A761" s="49" t="n"/>
      <c r="B761" s="49" t="n"/>
      <c r="C761" s="49" t="n"/>
      <c r="D761" s="49" t="n"/>
      <c r="E761" s="49" t="n"/>
      <c r="F761" s="49" t="n"/>
    </row>
    <row r="762" ht="15.75" customHeight="1" s="57">
      <c r="A762" s="49" t="n"/>
      <c r="B762" s="49" t="n"/>
      <c r="C762" s="49" t="n"/>
      <c r="D762" s="49" t="n"/>
      <c r="E762" s="49" t="n"/>
      <c r="F762" s="49" t="n"/>
    </row>
    <row r="763" ht="15.75" customHeight="1" s="57">
      <c r="A763" s="49" t="n"/>
      <c r="B763" s="49" t="n"/>
      <c r="C763" s="49" t="n"/>
      <c r="D763" s="49" t="n"/>
      <c r="E763" s="49" t="n"/>
      <c r="F763" s="49" t="n"/>
    </row>
    <row r="764" ht="15.75" customHeight="1" s="57">
      <c r="A764" s="49" t="n"/>
      <c r="B764" s="49" t="n"/>
      <c r="C764" s="49" t="n"/>
      <c r="D764" s="49" t="n"/>
      <c r="E764" s="49" t="n"/>
      <c r="F764" s="49" t="n"/>
    </row>
    <row r="765" ht="15.75" customHeight="1" s="57">
      <c r="A765" s="49" t="n"/>
      <c r="B765" s="49" t="n"/>
      <c r="C765" s="49" t="n"/>
      <c r="D765" s="49" t="n"/>
      <c r="E765" s="49" t="n"/>
      <c r="F765" s="49" t="n"/>
    </row>
    <row r="766" ht="15.75" customHeight="1" s="57">
      <c r="A766" s="49" t="n"/>
      <c r="B766" s="49" t="n"/>
      <c r="C766" s="49" t="n"/>
      <c r="D766" s="49" t="n"/>
      <c r="E766" s="49" t="n"/>
      <c r="F766" s="49" t="n"/>
    </row>
    <row r="767" ht="15.75" customHeight="1" s="57">
      <c r="A767" s="49" t="n"/>
      <c r="B767" s="49" t="n"/>
      <c r="C767" s="49" t="n"/>
      <c r="D767" s="49" t="n"/>
      <c r="E767" s="49" t="n"/>
      <c r="F767" s="49" t="n"/>
    </row>
    <row r="768" ht="15.75" customHeight="1" s="57">
      <c r="A768" s="49" t="n"/>
      <c r="B768" s="49" t="n"/>
      <c r="C768" s="49" t="n"/>
      <c r="D768" s="49" t="n"/>
      <c r="E768" s="49" t="n"/>
      <c r="F768" s="49" t="n"/>
    </row>
    <row r="769" ht="15.75" customHeight="1" s="57">
      <c r="A769" s="49" t="n"/>
      <c r="B769" s="49" t="n"/>
      <c r="C769" s="49" t="n"/>
      <c r="D769" s="49" t="n"/>
      <c r="E769" s="49" t="n"/>
      <c r="F769" s="49" t="n"/>
    </row>
    <row r="770" ht="15.75" customHeight="1" s="57">
      <c r="A770" s="49" t="n"/>
      <c r="B770" s="49" t="n"/>
      <c r="C770" s="49" t="n"/>
      <c r="D770" s="49" t="n"/>
      <c r="E770" s="49" t="n"/>
      <c r="F770" s="49" t="n"/>
    </row>
    <row r="771" ht="15.75" customHeight="1" s="57">
      <c r="A771" s="49" t="n"/>
      <c r="B771" s="49" t="n"/>
      <c r="C771" s="49" t="n"/>
      <c r="D771" s="49" t="n"/>
      <c r="E771" s="49" t="n"/>
      <c r="F771" s="49" t="n"/>
    </row>
    <row r="772" ht="15.75" customHeight="1" s="57">
      <c r="A772" s="49" t="n"/>
      <c r="B772" s="49" t="n"/>
      <c r="C772" s="49" t="n"/>
      <c r="D772" s="49" t="n"/>
      <c r="E772" s="49" t="n"/>
      <c r="F772" s="49" t="n"/>
    </row>
    <row r="773" ht="15.75" customHeight="1" s="57">
      <c r="A773" s="49" t="n"/>
      <c r="B773" s="49" t="n"/>
      <c r="C773" s="49" t="n"/>
      <c r="D773" s="49" t="n"/>
      <c r="E773" s="49" t="n"/>
      <c r="F773" s="49" t="n"/>
    </row>
    <row r="774" ht="15.75" customHeight="1" s="57">
      <c r="A774" s="49" t="n"/>
      <c r="B774" s="49" t="n"/>
      <c r="C774" s="49" t="n"/>
      <c r="D774" s="49" t="n"/>
      <c r="E774" s="49" t="n"/>
      <c r="F774" s="49" t="n"/>
    </row>
    <row r="775" ht="15.75" customHeight="1" s="57">
      <c r="A775" s="49" t="n"/>
      <c r="B775" s="49" t="n"/>
      <c r="C775" s="49" t="n"/>
      <c r="D775" s="49" t="n"/>
      <c r="E775" s="49" t="n"/>
      <c r="F775" s="49" t="n"/>
    </row>
    <row r="776" ht="15.75" customHeight="1" s="57">
      <c r="A776" s="49" t="n"/>
      <c r="B776" s="49" t="n"/>
      <c r="C776" s="49" t="n"/>
      <c r="D776" s="49" t="n"/>
      <c r="E776" s="49" t="n"/>
      <c r="F776" s="49" t="n"/>
    </row>
    <row r="777" ht="15.75" customHeight="1" s="57">
      <c r="A777" s="49" t="n"/>
      <c r="B777" s="49" t="n"/>
      <c r="C777" s="49" t="n"/>
      <c r="D777" s="49" t="n"/>
      <c r="E777" s="49" t="n"/>
      <c r="F777" s="49" t="n"/>
    </row>
    <row r="778" ht="15.75" customHeight="1" s="57">
      <c r="A778" s="49" t="n"/>
      <c r="B778" s="49" t="n"/>
      <c r="C778" s="49" t="n"/>
      <c r="D778" s="49" t="n"/>
      <c r="E778" s="49" t="n"/>
      <c r="F778" s="49" t="n"/>
    </row>
    <row r="779" ht="15.75" customHeight="1" s="57">
      <c r="A779" s="49" t="n"/>
      <c r="B779" s="49" t="n"/>
      <c r="C779" s="49" t="n"/>
      <c r="D779" s="49" t="n"/>
      <c r="E779" s="49" t="n"/>
      <c r="F779" s="49" t="n"/>
    </row>
    <row r="780" ht="15.75" customHeight="1" s="57">
      <c r="A780" s="49" t="n"/>
      <c r="B780" s="49" t="n"/>
      <c r="C780" s="49" t="n"/>
      <c r="D780" s="49" t="n"/>
      <c r="E780" s="49" t="n"/>
      <c r="F780" s="49" t="n"/>
    </row>
    <row r="781" ht="15.75" customHeight="1" s="57">
      <c r="A781" s="49" t="n"/>
      <c r="B781" s="49" t="n"/>
      <c r="C781" s="49" t="n"/>
      <c r="D781" s="49" t="n"/>
      <c r="E781" s="49" t="n"/>
      <c r="F781" s="49" t="n"/>
    </row>
    <row r="782" ht="15.75" customHeight="1" s="57">
      <c r="A782" s="49" t="n"/>
      <c r="B782" s="49" t="n"/>
      <c r="C782" s="49" t="n"/>
      <c r="D782" s="49" t="n"/>
      <c r="E782" s="49" t="n"/>
      <c r="F782" s="49" t="n"/>
    </row>
    <row r="783" ht="15.75" customHeight="1" s="57">
      <c r="A783" s="49" t="n"/>
      <c r="B783" s="49" t="n"/>
      <c r="C783" s="49" t="n"/>
      <c r="D783" s="49" t="n"/>
      <c r="E783" s="49" t="n"/>
      <c r="F783" s="49" t="n"/>
    </row>
    <row r="784" ht="15.75" customHeight="1" s="57">
      <c r="A784" s="49" t="n"/>
      <c r="B784" s="49" t="n"/>
      <c r="C784" s="49" t="n"/>
      <c r="D784" s="49" t="n"/>
      <c r="E784" s="49" t="n"/>
      <c r="F784" s="49" t="n"/>
    </row>
    <row r="785" ht="15.75" customHeight="1" s="57">
      <c r="A785" s="49" t="n"/>
      <c r="B785" s="49" t="n"/>
      <c r="C785" s="49" t="n"/>
      <c r="D785" s="49" t="n"/>
      <c r="E785" s="49" t="n"/>
      <c r="F785" s="49" t="n"/>
    </row>
    <row r="786" ht="15.75" customHeight="1" s="57">
      <c r="A786" s="49" t="n"/>
      <c r="B786" s="49" t="n"/>
      <c r="C786" s="49" t="n"/>
      <c r="D786" s="49" t="n"/>
      <c r="E786" s="49" t="n"/>
      <c r="F786" s="49" t="n"/>
    </row>
    <row r="787" ht="15.75" customHeight="1" s="57">
      <c r="A787" s="49" t="n"/>
      <c r="B787" s="49" t="n"/>
      <c r="C787" s="49" t="n"/>
      <c r="D787" s="49" t="n"/>
      <c r="E787" s="49" t="n"/>
      <c r="F787" s="49" t="n"/>
    </row>
    <row r="788" ht="15.75" customHeight="1" s="57">
      <c r="A788" s="49" t="n"/>
      <c r="B788" s="49" t="n"/>
      <c r="C788" s="49" t="n"/>
      <c r="D788" s="49" t="n"/>
      <c r="E788" s="49" t="n"/>
      <c r="F788" s="49" t="n"/>
    </row>
    <row r="789" ht="15.75" customHeight="1" s="57">
      <c r="A789" s="49" t="n"/>
      <c r="B789" s="49" t="n"/>
      <c r="C789" s="49" t="n"/>
      <c r="D789" s="49" t="n"/>
      <c r="E789" s="49" t="n"/>
      <c r="F789" s="49" t="n"/>
    </row>
    <row r="790" ht="15.75" customHeight="1" s="57">
      <c r="A790" s="49" t="n"/>
      <c r="B790" s="49" t="n"/>
      <c r="C790" s="49" t="n"/>
      <c r="D790" s="49" t="n"/>
      <c r="E790" s="49" t="n"/>
      <c r="F790" s="49" t="n"/>
    </row>
    <row r="791" ht="15.75" customHeight="1" s="57">
      <c r="A791" s="49" t="n"/>
      <c r="B791" s="49" t="n"/>
      <c r="C791" s="49" t="n"/>
      <c r="D791" s="49" t="n"/>
      <c r="E791" s="49" t="n"/>
      <c r="F791" s="49" t="n"/>
    </row>
    <row r="792" ht="15.75" customHeight="1" s="57">
      <c r="A792" s="49" t="n"/>
      <c r="B792" s="49" t="n"/>
      <c r="C792" s="49" t="n"/>
      <c r="D792" s="49" t="n"/>
      <c r="E792" s="49" t="n"/>
      <c r="F792" s="49" t="n"/>
    </row>
    <row r="793" ht="15.75" customHeight="1" s="57">
      <c r="A793" s="49" t="n"/>
      <c r="B793" s="49" t="n"/>
      <c r="C793" s="49" t="n"/>
      <c r="D793" s="49" t="n"/>
      <c r="E793" s="49" t="n"/>
      <c r="F793" s="49" t="n"/>
    </row>
    <row r="794" ht="15.75" customHeight="1" s="57">
      <c r="A794" s="49" t="n"/>
      <c r="B794" s="49" t="n"/>
      <c r="C794" s="49" t="n"/>
      <c r="D794" s="49" t="n"/>
      <c r="E794" s="49" t="n"/>
      <c r="F794" s="49" t="n"/>
    </row>
    <row r="795" ht="15.75" customHeight="1" s="57">
      <c r="A795" s="49" t="n"/>
      <c r="B795" s="49" t="n"/>
      <c r="C795" s="49" t="n"/>
      <c r="D795" s="49" t="n"/>
      <c r="E795" s="49" t="n"/>
      <c r="F795" s="49" t="n"/>
    </row>
    <row r="796" ht="15.75" customHeight="1" s="57">
      <c r="A796" s="49" t="n"/>
      <c r="B796" s="49" t="n"/>
      <c r="C796" s="49" t="n"/>
      <c r="D796" s="49" t="n"/>
      <c r="E796" s="49" t="n"/>
      <c r="F796" s="49" t="n"/>
    </row>
    <row r="797" ht="15.75" customHeight="1" s="57">
      <c r="A797" s="49" t="n"/>
      <c r="B797" s="49" t="n"/>
      <c r="C797" s="49" t="n"/>
      <c r="D797" s="49" t="n"/>
      <c r="E797" s="49" t="n"/>
      <c r="F797" s="49" t="n"/>
    </row>
    <row r="798" ht="15.75" customHeight="1" s="57">
      <c r="A798" s="49" t="n"/>
      <c r="B798" s="49" t="n"/>
      <c r="C798" s="49" t="n"/>
      <c r="D798" s="49" t="n"/>
      <c r="E798" s="49" t="n"/>
      <c r="F798" s="49" t="n"/>
    </row>
    <row r="799" ht="15.75" customHeight="1" s="57">
      <c r="A799" s="49" t="n"/>
      <c r="B799" s="49" t="n"/>
      <c r="C799" s="49" t="n"/>
      <c r="D799" s="49" t="n"/>
      <c r="E799" s="49" t="n"/>
      <c r="F799" s="49" t="n"/>
    </row>
    <row r="800" ht="15.75" customHeight="1" s="57">
      <c r="A800" s="49" t="n"/>
      <c r="B800" s="49" t="n"/>
      <c r="C800" s="49" t="n"/>
      <c r="D800" s="49" t="n"/>
      <c r="E800" s="49" t="n"/>
      <c r="F800" s="49" t="n"/>
    </row>
    <row r="801" ht="15.75" customHeight="1" s="57">
      <c r="A801" s="49" t="n"/>
      <c r="B801" s="49" t="n"/>
      <c r="C801" s="49" t="n"/>
      <c r="D801" s="49" t="n"/>
      <c r="E801" s="49" t="n"/>
      <c r="F801" s="49" t="n"/>
    </row>
    <row r="802" ht="15.75" customHeight="1" s="57">
      <c r="A802" s="49" t="n"/>
      <c r="B802" s="49" t="n"/>
      <c r="C802" s="49" t="n"/>
      <c r="D802" s="49" t="n"/>
      <c r="E802" s="49" t="n"/>
      <c r="F802" s="49" t="n"/>
    </row>
    <row r="803" ht="15.75" customHeight="1" s="57">
      <c r="A803" s="49" t="n"/>
      <c r="B803" s="49" t="n"/>
      <c r="C803" s="49" t="n"/>
      <c r="D803" s="49" t="n"/>
      <c r="E803" s="49" t="n"/>
      <c r="F803" s="49" t="n"/>
    </row>
    <row r="804" ht="15.75" customHeight="1" s="57">
      <c r="A804" s="49" t="n"/>
      <c r="B804" s="49" t="n"/>
      <c r="C804" s="49" t="n"/>
      <c r="D804" s="49" t="n"/>
      <c r="E804" s="49" t="n"/>
      <c r="F804" s="49" t="n"/>
    </row>
    <row r="805" ht="15.75" customHeight="1" s="57">
      <c r="A805" s="49" t="n"/>
      <c r="B805" s="49" t="n"/>
      <c r="C805" s="49" t="n"/>
      <c r="D805" s="49" t="n"/>
      <c r="E805" s="49" t="n"/>
      <c r="F805" s="49" t="n"/>
    </row>
    <row r="806" ht="15.75" customHeight="1" s="57">
      <c r="A806" s="49" t="n"/>
      <c r="B806" s="49" t="n"/>
      <c r="C806" s="49" t="n"/>
      <c r="D806" s="49" t="n"/>
      <c r="E806" s="49" t="n"/>
      <c r="F806" s="49" t="n"/>
    </row>
    <row r="807" ht="15.75" customHeight="1" s="57">
      <c r="A807" s="49" t="n"/>
      <c r="B807" s="49" t="n"/>
      <c r="C807" s="49" t="n"/>
      <c r="D807" s="49" t="n"/>
      <c r="E807" s="49" t="n"/>
      <c r="F807" s="49" t="n"/>
    </row>
    <row r="808" ht="15.75" customHeight="1" s="57">
      <c r="A808" s="49" t="n"/>
      <c r="B808" s="49" t="n"/>
      <c r="C808" s="49" t="n"/>
      <c r="D808" s="49" t="n"/>
      <c r="E808" s="49" t="n"/>
      <c r="F808" s="49" t="n"/>
    </row>
    <row r="809" ht="15.75" customHeight="1" s="57">
      <c r="A809" s="49" t="n"/>
      <c r="B809" s="49" t="n"/>
      <c r="C809" s="49" t="n"/>
      <c r="D809" s="49" t="n"/>
      <c r="E809" s="49" t="n"/>
      <c r="F809" s="49" t="n"/>
    </row>
    <row r="810" ht="15.75" customHeight="1" s="57">
      <c r="A810" s="49" t="n"/>
      <c r="B810" s="49" t="n"/>
      <c r="C810" s="49" t="n"/>
      <c r="D810" s="49" t="n"/>
      <c r="E810" s="49" t="n"/>
      <c r="F810" s="49" t="n"/>
    </row>
    <row r="811" ht="15.75" customHeight="1" s="57">
      <c r="A811" s="49" t="n"/>
      <c r="B811" s="49" t="n"/>
      <c r="C811" s="49" t="n"/>
      <c r="D811" s="49" t="n"/>
      <c r="E811" s="49" t="n"/>
      <c r="F811" s="49" t="n"/>
    </row>
    <row r="812" ht="15.75" customHeight="1" s="57">
      <c r="A812" s="49" t="n"/>
      <c r="B812" s="49" t="n"/>
      <c r="C812" s="49" t="n"/>
      <c r="D812" s="49" t="n"/>
      <c r="E812" s="49" t="n"/>
      <c r="F812" s="49" t="n"/>
    </row>
    <row r="813" ht="15.75" customHeight="1" s="57">
      <c r="A813" s="49" t="n"/>
      <c r="B813" s="49" t="n"/>
      <c r="C813" s="49" t="n"/>
      <c r="D813" s="49" t="n"/>
      <c r="E813" s="49" t="n"/>
      <c r="F813" s="49" t="n"/>
    </row>
    <row r="814" ht="15.75" customHeight="1" s="57">
      <c r="A814" s="49" t="n"/>
      <c r="B814" s="49" t="n"/>
      <c r="C814" s="49" t="n"/>
      <c r="D814" s="49" t="n"/>
      <c r="E814" s="49" t="n"/>
      <c r="F814" s="49" t="n"/>
    </row>
    <row r="815" ht="15.75" customHeight="1" s="57">
      <c r="A815" s="49" t="n"/>
      <c r="B815" s="49" t="n"/>
      <c r="C815" s="49" t="n"/>
      <c r="D815" s="49" t="n"/>
      <c r="E815" s="49" t="n"/>
      <c r="F815" s="49" t="n"/>
    </row>
    <row r="816" ht="15.75" customHeight="1" s="57">
      <c r="A816" s="49" t="n"/>
      <c r="B816" s="49" t="n"/>
      <c r="C816" s="49" t="n"/>
      <c r="D816" s="49" t="n"/>
      <c r="E816" s="49" t="n"/>
      <c r="F816" s="49" t="n"/>
    </row>
    <row r="817" ht="15.75" customHeight="1" s="57">
      <c r="A817" s="49" t="n"/>
      <c r="B817" s="49" t="n"/>
      <c r="C817" s="49" t="n"/>
      <c r="D817" s="49" t="n"/>
      <c r="E817" s="49" t="n"/>
      <c r="F817" s="49" t="n"/>
    </row>
    <row r="818" ht="15.75" customHeight="1" s="57">
      <c r="A818" s="49" t="n"/>
      <c r="B818" s="49" t="n"/>
      <c r="C818" s="49" t="n"/>
      <c r="D818" s="49" t="n"/>
      <c r="E818" s="49" t="n"/>
      <c r="F818" s="49" t="n"/>
    </row>
    <row r="819" ht="15.75" customHeight="1" s="57">
      <c r="A819" s="49" t="n"/>
      <c r="B819" s="49" t="n"/>
      <c r="C819" s="49" t="n"/>
      <c r="D819" s="49" t="n"/>
      <c r="E819" s="49" t="n"/>
      <c r="F819" s="49" t="n"/>
    </row>
    <row r="820" ht="15.75" customHeight="1" s="57">
      <c r="A820" s="49" t="n"/>
      <c r="B820" s="49" t="n"/>
      <c r="C820" s="49" t="n"/>
      <c r="D820" s="49" t="n"/>
      <c r="E820" s="49" t="n"/>
      <c r="F820" s="49" t="n"/>
    </row>
    <row r="821" ht="15.75" customHeight="1" s="57">
      <c r="A821" s="49" t="n"/>
      <c r="B821" s="49" t="n"/>
      <c r="C821" s="49" t="n"/>
      <c r="D821" s="49" t="n"/>
      <c r="E821" s="49" t="n"/>
      <c r="F821" s="49" t="n"/>
    </row>
    <row r="822" ht="15.75" customHeight="1" s="57">
      <c r="A822" s="49" t="n"/>
      <c r="B822" s="49" t="n"/>
      <c r="C822" s="49" t="n"/>
      <c r="D822" s="49" t="n"/>
      <c r="E822" s="49" t="n"/>
      <c r="F822" s="49" t="n"/>
    </row>
    <row r="823" ht="15.75" customHeight="1" s="57">
      <c r="A823" s="49" t="n"/>
      <c r="B823" s="49" t="n"/>
      <c r="C823" s="49" t="n"/>
      <c r="D823" s="49" t="n"/>
      <c r="E823" s="49" t="n"/>
      <c r="F823" s="49" t="n"/>
    </row>
    <row r="824" ht="15.75" customHeight="1" s="57">
      <c r="A824" s="49" t="n"/>
      <c r="B824" s="49" t="n"/>
      <c r="C824" s="49" t="n"/>
      <c r="D824" s="49" t="n"/>
      <c r="E824" s="49" t="n"/>
      <c r="F824" s="49" t="n"/>
    </row>
    <row r="825" ht="15.75" customHeight="1" s="57">
      <c r="A825" s="49" t="n"/>
      <c r="B825" s="49" t="n"/>
      <c r="C825" s="49" t="n"/>
      <c r="D825" s="49" t="n"/>
      <c r="E825" s="49" t="n"/>
      <c r="F825" s="49" t="n"/>
    </row>
    <row r="826" ht="15.75" customHeight="1" s="57">
      <c r="A826" s="49" t="n"/>
      <c r="B826" s="49" t="n"/>
      <c r="C826" s="49" t="n"/>
      <c r="D826" s="49" t="n"/>
      <c r="E826" s="49" t="n"/>
      <c r="F826" s="49" t="n"/>
    </row>
    <row r="827" ht="15.75" customHeight="1" s="57">
      <c r="A827" s="49" t="n"/>
      <c r="B827" s="49" t="n"/>
      <c r="C827" s="49" t="n"/>
      <c r="D827" s="49" t="n"/>
      <c r="E827" s="49" t="n"/>
      <c r="F827" s="49" t="n"/>
    </row>
    <row r="828" ht="15.75" customHeight="1" s="57">
      <c r="A828" s="49" t="n"/>
      <c r="B828" s="49" t="n"/>
      <c r="C828" s="49" t="n"/>
      <c r="D828" s="49" t="n"/>
      <c r="E828" s="49" t="n"/>
      <c r="F828" s="49" t="n"/>
    </row>
    <row r="829" ht="15.75" customHeight="1" s="57">
      <c r="A829" s="49" t="n"/>
      <c r="B829" s="49" t="n"/>
      <c r="C829" s="49" t="n"/>
      <c r="D829" s="49" t="n"/>
      <c r="E829" s="49" t="n"/>
      <c r="F829" s="49" t="n"/>
    </row>
    <row r="830" ht="15.75" customHeight="1" s="57">
      <c r="A830" s="49" t="n"/>
      <c r="B830" s="49" t="n"/>
      <c r="C830" s="49" t="n"/>
      <c r="D830" s="49" t="n"/>
      <c r="E830" s="49" t="n"/>
      <c r="F830" s="49" t="n"/>
    </row>
    <row r="831" ht="15.75" customHeight="1" s="57">
      <c r="A831" s="49" t="n"/>
      <c r="B831" s="49" t="n"/>
      <c r="C831" s="49" t="n"/>
      <c r="D831" s="49" t="n"/>
      <c r="E831" s="49" t="n"/>
      <c r="F831" s="49" t="n"/>
    </row>
    <row r="832" ht="15.75" customHeight="1" s="57">
      <c r="A832" s="49" t="n"/>
      <c r="B832" s="49" t="n"/>
      <c r="C832" s="49" t="n"/>
      <c r="D832" s="49" t="n"/>
      <c r="E832" s="49" t="n"/>
      <c r="F832" s="49" t="n"/>
    </row>
    <row r="833" ht="15.75" customHeight="1" s="57">
      <c r="A833" s="49" t="n"/>
      <c r="B833" s="49" t="n"/>
      <c r="C833" s="49" t="n"/>
      <c r="D833" s="49" t="n"/>
      <c r="E833" s="49" t="n"/>
      <c r="F833" s="49" t="n"/>
    </row>
    <row r="834" ht="15.75" customHeight="1" s="57">
      <c r="A834" s="49" t="n"/>
      <c r="B834" s="49" t="n"/>
      <c r="C834" s="49" t="n"/>
      <c r="D834" s="49" t="n"/>
      <c r="E834" s="49" t="n"/>
      <c r="F834" s="49" t="n"/>
    </row>
    <row r="835" ht="15.75" customHeight="1" s="57">
      <c r="A835" s="49" t="n"/>
      <c r="B835" s="49" t="n"/>
      <c r="C835" s="49" t="n"/>
      <c r="D835" s="49" t="n"/>
      <c r="E835" s="49" t="n"/>
      <c r="F835" s="49" t="n"/>
    </row>
    <row r="836" ht="15.75" customHeight="1" s="57">
      <c r="A836" s="49" t="n"/>
      <c r="B836" s="49" t="n"/>
      <c r="C836" s="49" t="n"/>
      <c r="D836" s="49" t="n"/>
      <c r="E836" s="49" t="n"/>
      <c r="F836" s="49" t="n"/>
    </row>
    <row r="837" ht="15.75" customHeight="1" s="57">
      <c r="A837" s="49" t="n"/>
      <c r="B837" s="49" t="n"/>
      <c r="C837" s="49" t="n"/>
      <c r="D837" s="49" t="n"/>
      <c r="E837" s="49" t="n"/>
      <c r="F837" s="49" t="n"/>
    </row>
    <row r="838" ht="15.75" customHeight="1" s="57">
      <c r="A838" s="49" t="n"/>
      <c r="B838" s="49" t="n"/>
      <c r="C838" s="49" t="n"/>
      <c r="D838" s="49" t="n"/>
      <c r="E838" s="49" t="n"/>
      <c r="F838" s="49" t="n"/>
    </row>
    <row r="839" ht="15.75" customHeight="1" s="57">
      <c r="A839" s="49" t="n"/>
      <c r="B839" s="49" t="n"/>
      <c r="C839" s="49" t="n"/>
      <c r="D839" s="49" t="n"/>
      <c r="E839" s="49" t="n"/>
      <c r="F839" s="49" t="n"/>
    </row>
    <row r="840" ht="15.75" customHeight="1" s="57">
      <c r="A840" s="49" t="n"/>
      <c r="B840" s="49" t="n"/>
      <c r="C840" s="49" t="n"/>
      <c r="D840" s="49" t="n"/>
      <c r="E840" s="49" t="n"/>
      <c r="F840" s="49" t="n"/>
    </row>
    <row r="841" ht="15.75" customHeight="1" s="57">
      <c r="A841" s="49" t="n"/>
      <c r="B841" s="49" t="n"/>
      <c r="C841" s="49" t="n"/>
      <c r="D841" s="49" t="n"/>
      <c r="E841" s="49" t="n"/>
      <c r="F841" s="49" t="n"/>
    </row>
    <row r="842" ht="15.75" customHeight="1" s="57">
      <c r="A842" s="49" t="n"/>
      <c r="B842" s="49" t="n"/>
      <c r="C842" s="49" t="n"/>
      <c r="D842" s="49" t="n"/>
      <c r="E842" s="49" t="n"/>
      <c r="F842" s="49" t="n"/>
    </row>
    <row r="843" ht="15.75" customHeight="1" s="57">
      <c r="A843" s="49" t="n"/>
      <c r="B843" s="49" t="n"/>
      <c r="C843" s="49" t="n"/>
      <c r="D843" s="49" t="n"/>
      <c r="E843" s="49" t="n"/>
      <c r="F843" s="49" t="n"/>
    </row>
    <row r="844" ht="15.75" customHeight="1" s="57">
      <c r="A844" s="49" t="n"/>
      <c r="B844" s="49" t="n"/>
      <c r="C844" s="49" t="n"/>
      <c r="D844" s="49" t="n"/>
      <c r="E844" s="49" t="n"/>
      <c r="F844" s="49" t="n"/>
    </row>
    <row r="845" ht="15.75" customHeight="1" s="57">
      <c r="A845" s="49" t="n"/>
      <c r="B845" s="49" t="n"/>
      <c r="C845" s="49" t="n"/>
      <c r="D845" s="49" t="n"/>
      <c r="E845" s="49" t="n"/>
      <c r="F845" s="49" t="n"/>
    </row>
    <row r="846" ht="15.75" customHeight="1" s="57">
      <c r="A846" s="49" t="n"/>
      <c r="B846" s="49" t="n"/>
      <c r="C846" s="49" t="n"/>
      <c r="D846" s="49" t="n"/>
      <c r="E846" s="49" t="n"/>
      <c r="F846" s="49" t="n"/>
    </row>
    <row r="847" ht="15.75" customHeight="1" s="57">
      <c r="A847" s="49" t="n"/>
      <c r="B847" s="49" t="n"/>
      <c r="C847" s="49" t="n"/>
      <c r="D847" s="49" t="n"/>
      <c r="E847" s="49" t="n"/>
      <c r="F847" s="49" t="n"/>
    </row>
    <row r="848" ht="15.75" customHeight="1" s="57">
      <c r="A848" s="49" t="n"/>
      <c r="B848" s="49" t="n"/>
      <c r="C848" s="49" t="n"/>
      <c r="D848" s="49" t="n"/>
      <c r="E848" s="49" t="n"/>
      <c r="F848" s="49" t="n"/>
    </row>
    <row r="849" ht="15.75" customHeight="1" s="57">
      <c r="A849" s="49" t="n"/>
      <c r="B849" s="49" t="n"/>
      <c r="C849" s="49" t="n"/>
      <c r="D849" s="49" t="n"/>
      <c r="E849" s="49" t="n"/>
      <c r="F849" s="49" t="n"/>
    </row>
    <row r="850" ht="15.75" customHeight="1" s="57">
      <c r="A850" s="49" t="n"/>
      <c r="B850" s="49" t="n"/>
      <c r="C850" s="49" t="n"/>
      <c r="D850" s="49" t="n"/>
      <c r="E850" s="49" t="n"/>
      <c r="F850" s="49" t="n"/>
    </row>
    <row r="851" ht="15.75" customHeight="1" s="57">
      <c r="A851" s="49" t="n"/>
      <c r="B851" s="49" t="n"/>
      <c r="C851" s="49" t="n"/>
      <c r="D851" s="49" t="n"/>
      <c r="E851" s="49" t="n"/>
      <c r="F851" s="49" t="n"/>
    </row>
    <row r="852" ht="15.75" customHeight="1" s="57">
      <c r="A852" s="49" t="n"/>
      <c r="B852" s="49" t="n"/>
      <c r="C852" s="49" t="n"/>
      <c r="D852" s="49" t="n"/>
      <c r="E852" s="49" t="n"/>
      <c r="F852" s="49" t="n"/>
    </row>
    <row r="853" ht="15.75" customHeight="1" s="57">
      <c r="A853" s="49" t="n"/>
      <c r="B853" s="49" t="n"/>
      <c r="C853" s="49" t="n"/>
      <c r="D853" s="49" t="n"/>
      <c r="E853" s="49" t="n"/>
      <c r="F853" s="49" t="n"/>
    </row>
    <row r="854" ht="15.75" customHeight="1" s="57">
      <c r="A854" s="49" t="n"/>
      <c r="B854" s="49" t="n"/>
      <c r="C854" s="49" t="n"/>
      <c r="D854" s="49" t="n"/>
      <c r="E854" s="49" t="n"/>
      <c r="F854" s="49" t="n"/>
    </row>
    <row r="855" ht="15.75" customHeight="1" s="57">
      <c r="A855" s="49" t="n"/>
      <c r="B855" s="49" t="n"/>
      <c r="C855" s="49" t="n"/>
      <c r="D855" s="49" t="n"/>
      <c r="E855" s="49" t="n"/>
      <c r="F855" s="49" t="n"/>
    </row>
    <row r="856" ht="15.75" customHeight="1" s="57">
      <c r="A856" s="49" t="n"/>
      <c r="B856" s="49" t="n"/>
      <c r="C856" s="49" t="n"/>
      <c r="D856" s="49" t="n"/>
      <c r="E856" s="49" t="n"/>
      <c r="F856" s="49" t="n"/>
    </row>
    <row r="857" ht="15.75" customHeight="1" s="57">
      <c r="A857" s="49" t="n"/>
      <c r="B857" s="49" t="n"/>
      <c r="C857" s="49" t="n"/>
      <c r="D857" s="49" t="n"/>
      <c r="E857" s="49" t="n"/>
      <c r="F857" s="49" t="n"/>
    </row>
    <row r="858" ht="15.75" customHeight="1" s="57">
      <c r="A858" s="49" t="n"/>
      <c r="B858" s="49" t="n"/>
      <c r="C858" s="49" t="n"/>
      <c r="D858" s="49" t="n"/>
      <c r="E858" s="49" t="n"/>
      <c r="F858" s="49" t="n"/>
    </row>
    <row r="859" ht="15.75" customHeight="1" s="57">
      <c r="A859" s="49" t="n"/>
      <c r="B859" s="49" t="n"/>
      <c r="C859" s="49" t="n"/>
      <c r="D859" s="49" t="n"/>
      <c r="E859" s="49" t="n"/>
      <c r="F859" s="49" t="n"/>
    </row>
    <row r="860" ht="15.75" customHeight="1" s="57">
      <c r="A860" s="49" t="n"/>
      <c r="B860" s="49" t="n"/>
      <c r="C860" s="49" t="n"/>
      <c r="D860" s="49" t="n"/>
      <c r="E860" s="49" t="n"/>
      <c r="F860" s="49" t="n"/>
    </row>
    <row r="861" ht="15.75" customHeight="1" s="57">
      <c r="A861" s="49" t="n"/>
      <c r="B861" s="49" t="n"/>
      <c r="C861" s="49" t="n"/>
      <c r="D861" s="49" t="n"/>
      <c r="E861" s="49" t="n"/>
      <c r="F861" s="49" t="n"/>
    </row>
    <row r="862" ht="15.75" customHeight="1" s="57">
      <c r="A862" s="49" t="n"/>
      <c r="B862" s="49" t="n"/>
      <c r="C862" s="49" t="n"/>
      <c r="D862" s="49" t="n"/>
      <c r="E862" s="49" t="n"/>
      <c r="F862" s="49" t="n"/>
    </row>
    <row r="863" ht="15.75" customHeight="1" s="57">
      <c r="A863" s="49" t="n"/>
      <c r="B863" s="49" t="n"/>
      <c r="C863" s="49" t="n"/>
      <c r="D863" s="49" t="n"/>
      <c r="E863" s="49" t="n"/>
      <c r="F863" s="49" t="n"/>
    </row>
    <row r="864" ht="15.75" customHeight="1" s="57">
      <c r="A864" s="49" t="n"/>
      <c r="B864" s="49" t="n"/>
      <c r="C864" s="49" t="n"/>
      <c r="D864" s="49" t="n"/>
      <c r="E864" s="49" t="n"/>
      <c r="F864" s="49" t="n"/>
    </row>
    <row r="865" ht="15.75" customHeight="1" s="57">
      <c r="A865" s="49" t="n"/>
      <c r="B865" s="49" t="n"/>
      <c r="C865" s="49" t="n"/>
      <c r="D865" s="49" t="n"/>
      <c r="E865" s="49" t="n"/>
      <c r="F865" s="49" t="n"/>
    </row>
    <row r="866" ht="15.75" customHeight="1" s="57">
      <c r="A866" s="49" t="n"/>
      <c r="B866" s="49" t="n"/>
      <c r="C866" s="49" t="n"/>
      <c r="D866" s="49" t="n"/>
      <c r="E866" s="49" t="n"/>
      <c r="F866" s="49" t="n"/>
    </row>
    <row r="867" ht="15.75" customHeight="1" s="57">
      <c r="A867" s="49" t="n"/>
      <c r="B867" s="49" t="n"/>
      <c r="C867" s="49" t="n"/>
      <c r="D867" s="49" t="n"/>
      <c r="E867" s="49" t="n"/>
      <c r="F867" s="49" t="n"/>
    </row>
    <row r="868" ht="15.75" customHeight="1" s="57">
      <c r="A868" s="49" t="n"/>
      <c r="B868" s="49" t="n"/>
      <c r="C868" s="49" t="n"/>
      <c r="D868" s="49" t="n"/>
      <c r="E868" s="49" t="n"/>
      <c r="F868" s="49" t="n"/>
    </row>
    <row r="869" ht="15.75" customHeight="1" s="57">
      <c r="A869" s="49" t="n"/>
      <c r="B869" s="49" t="n"/>
      <c r="C869" s="49" t="n"/>
      <c r="D869" s="49" t="n"/>
      <c r="E869" s="49" t="n"/>
      <c r="F869" s="49" t="n"/>
    </row>
    <row r="870" ht="15.75" customHeight="1" s="57">
      <c r="A870" s="49" t="n"/>
      <c r="B870" s="49" t="n"/>
      <c r="C870" s="49" t="n"/>
      <c r="D870" s="49" t="n"/>
      <c r="E870" s="49" t="n"/>
      <c r="F870" s="49" t="n"/>
    </row>
    <row r="871" ht="15.75" customHeight="1" s="57">
      <c r="A871" s="49" t="n"/>
      <c r="B871" s="49" t="n"/>
      <c r="C871" s="49" t="n"/>
      <c r="D871" s="49" t="n"/>
      <c r="E871" s="49" t="n"/>
      <c r="F871" s="49" t="n"/>
    </row>
    <row r="872" ht="15.75" customHeight="1" s="57">
      <c r="A872" s="49" t="n"/>
      <c r="B872" s="49" t="n"/>
      <c r="C872" s="49" t="n"/>
      <c r="D872" s="49" t="n"/>
      <c r="E872" s="49" t="n"/>
      <c r="F872" s="49" t="n"/>
    </row>
    <row r="873" ht="15.75" customHeight="1" s="57">
      <c r="A873" s="49" t="n"/>
      <c r="B873" s="49" t="n"/>
      <c r="C873" s="49" t="n"/>
      <c r="D873" s="49" t="n"/>
      <c r="E873" s="49" t="n"/>
      <c r="F873" s="49" t="n"/>
    </row>
    <row r="874" ht="15.75" customHeight="1" s="57">
      <c r="A874" s="49" t="n"/>
      <c r="B874" s="49" t="n"/>
      <c r="C874" s="49" t="n"/>
      <c r="D874" s="49" t="n"/>
      <c r="E874" s="49" t="n"/>
      <c r="F874" s="49" t="n"/>
    </row>
    <row r="875" ht="15.75" customHeight="1" s="57">
      <c r="A875" s="49" t="n"/>
      <c r="B875" s="49" t="n"/>
      <c r="C875" s="49" t="n"/>
      <c r="D875" s="49" t="n"/>
      <c r="E875" s="49" t="n"/>
      <c r="F875" s="49" t="n"/>
    </row>
    <row r="876" ht="15.75" customHeight="1" s="57">
      <c r="A876" s="49" t="n"/>
      <c r="B876" s="49" t="n"/>
      <c r="C876" s="49" t="n"/>
      <c r="D876" s="49" t="n"/>
      <c r="E876" s="49" t="n"/>
      <c r="F876" s="49" t="n"/>
    </row>
    <row r="877" ht="15.75" customHeight="1" s="57">
      <c r="A877" s="49" t="n"/>
      <c r="B877" s="49" t="n"/>
      <c r="C877" s="49" t="n"/>
      <c r="D877" s="49" t="n"/>
      <c r="E877" s="49" t="n"/>
      <c r="F877" s="49" t="n"/>
    </row>
    <row r="878" ht="15.75" customHeight="1" s="57">
      <c r="A878" s="49" t="n"/>
      <c r="B878" s="49" t="n"/>
      <c r="C878" s="49" t="n"/>
      <c r="D878" s="49" t="n"/>
      <c r="E878" s="49" t="n"/>
      <c r="F878" s="49" t="n"/>
    </row>
    <row r="879" ht="15.75" customHeight="1" s="57">
      <c r="A879" s="49" t="n"/>
      <c r="B879" s="49" t="n"/>
      <c r="C879" s="49" t="n"/>
      <c r="D879" s="49" t="n"/>
      <c r="E879" s="49" t="n"/>
      <c r="F879" s="49" t="n"/>
    </row>
    <row r="880" ht="15.75" customHeight="1" s="57">
      <c r="A880" s="49" t="n"/>
      <c r="B880" s="49" t="n"/>
      <c r="C880" s="49" t="n"/>
      <c r="D880" s="49" t="n"/>
      <c r="E880" s="49" t="n"/>
      <c r="F880" s="49" t="n"/>
    </row>
    <row r="881" ht="15.75" customHeight="1" s="57">
      <c r="A881" s="49" t="n"/>
      <c r="B881" s="49" t="n"/>
      <c r="C881" s="49" t="n"/>
      <c r="D881" s="49" t="n"/>
      <c r="E881" s="49" t="n"/>
      <c r="F881" s="49" t="n"/>
    </row>
    <row r="882" ht="15.75" customHeight="1" s="57">
      <c r="A882" s="49" t="n"/>
      <c r="B882" s="49" t="n"/>
      <c r="C882" s="49" t="n"/>
      <c r="D882" s="49" t="n"/>
      <c r="E882" s="49" t="n"/>
      <c r="F882" s="49" t="n"/>
    </row>
    <row r="883" ht="15.75" customHeight="1" s="57">
      <c r="A883" s="49" t="n"/>
      <c r="B883" s="49" t="n"/>
      <c r="C883" s="49" t="n"/>
      <c r="D883" s="49" t="n"/>
      <c r="E883" s="49" t="n"/>
      <c r="F883" s="49" t="n"/>
    </row>
    <row r="884" ht="15.75" customHeight="1" s="57">
      <c r="A884" s="49" t="n"/>
      <c r="B884" s="49" t="n"/>
      <c r="C884" s="49" t="n"/>
      <c r="D884" s="49" t="n"/>
      <c r="E884" s="49" t="n"/>
      <c r="F884" s="49" t="n"/>
    </row>
    <row r="885" ht="15.75" customHeight="1" s="57">
      <c r="A885" s="49" t="n"/>
      <c r="B885" s="49" t="n"/>
      <c r="C885" s="49" t="n"/>
      <c r="D885" s="49" t="n"/>
      <c r="E885" s="49" t="n"/>
      <c r="F885" s="49" t="n"/>
    </row>
    <row r="886" ht="15.75" customHeight="1" s="57">
      <c r="A886" s="49" t="n"/>
      <c r="B886" s="49" t="n"/>
      <c r="C886" s="49" t="n"/>
      <c r="D886" s="49" t="n"/>
      <c r="E886" s="49" t="n"/>
      <c r="F886" s="49" t="n"/>
    </row>
    <row r="887" ht="15.75" customHeight="1" s="57">
      <c r="A887" s="49" t="n"/>
      <c r="B887" s="49" t="n"/>
      <c r="C887" s="49" t="n"/>
      <c r="D887" s="49" t="n"/>
      <c r="E887" s="49" t="n"/>
      <c r="F887" s="49" t="n"/>
    </row>
    <row r="888" ht="15.75" customHeight="1" s="57">
      <c r="A888" s="49" t="n"/>
      <c r="B888" s="49" t="n"/>
      <c r="C888" s="49" t="n"/>
      <c r="D888" s="49" t="n"/>
      <c r="E888" s="49" t="n"/>
      <c r="F888" s="49" t="n"/>
    </row>
    <row r="889" ht="15.75" customHeight="1" s="57">
      <c r="A889" s="49" t="n"/>
      <c r="B889" s="49" t="n"/>
      <c r="C889" s="49" t="n"/>
      <c r="D889" s="49" t="n"/>
      <c r="E889" s="49" t="n"/>
      <c r="F889" s="49" t="n"/>
    </row>
    <row r="890" ht="15.75" customHeight="1" s="57">
      <c r="A890" s="49" t="n"/>
      <c r="B890" s="49" t="n"/>
      <c r="C890" s="49" t="n"/>
      <c r="D890" s="49" t="n"/>
      <c r="E890" s="49" t="n"/>
      <c r="F890" s="49" t="n"/>
    </row>
    <row r="891" ht="15.75" customHeight="1" s="57">
      <c r="A891" s="49" t="n"/>
      <c r="B891" s="49" t="n"/>
      <c r="C891" s="49" t="n"/>
      <c r="D891" s="49" t="n"/>
      <c r="E891" s="49" t="n"/>
      <c r="F891" s="49" t="n"/>
    </row>
    <row r="892" ht="15.75" customHeight="1" s="57">
      <c r="A892" s="49" t="n"/>
      <c r="B892" s="49" t="n"/>
      <c r="C892" s="49" t="n"/>
      <c r="D892" s="49" t="n"/>
      <c r="E892" s="49" t="n"/>
      <c r="F892" s="49" t="n"/>
    </row>
    <row r="893" ht="15.75" customHeight="1" s="57">
      <c r="A893" s="49" t="n"/>
      <c r="B893" s="49" t="n"/>
      <c r="C893" s="49" t="n"/>
      <c r="D893" s="49" t="n"/>
      <c r="E893" s="49" t="n"/>
      <c r="F893" s="49" t="n"/>
    </row>
    <row r="894" ht="15.75" customHeight="1" s="57">
      <c r="A894" s="49" t="n"/>
      <c r="B894" s="49" t="n"/>
      <c r="C894" s="49" t="n"/>
      <c r="D894" s="49" t="n"/>
      <c r="E894" s="49" t="n"/>
      <c r="F894" s="49" t="n"/>
    </row>
    <row r="895" ht="15.75" customHeight="1" s="57">
      <c r="A895" s="49" t="n"/>
      <c r="B895" s="49" t="n"/>
      <c r="C895" s="49" t="n"/>
      <c r="D895" s="49" t="n"/>
      <c r="E895" s="49" t="n"/>
      <c r="F895" s="49" t="n"/>
    </row>
    <row r="896" ht="15.75" customHeight="1" s="57">
      <c r="A896" s="49" t="n"/>
      <c r="B896" s="49" t="n"/>
      <c r="C896" s="49" t="n"/>
      <c r="D896" s="49" t="n"/>
      <c r="E896" s="49" t="n"/>
      <c r="F896" s="49" t="n"/>
    </row>
    <row r="897" ht="15.75" customHeight="1" s="57">
      <c r="A897" s="49" t="n"/>
      <c r="B897" s="49" t="n"/>
      <c r="C897" s="49" t="n"/>
      <c r="D897" s="49" t="n"/>
      <c r="E897" s="49" t="n"/>
      <c r="F897" s="49" t="n"/>
    </row>
    <row r="898" ht="15.75" customHeight="1" s="57">
      <c r="A898" s="49" t="n"/>
      <c r="B898" s="49" t="n"/>
      <c r="C898" s="49" t="n"/>
      <c r="D898" s="49" t="n"/>
      <c r="E898" s="49" t="n"/>
      <c r="F898" s="49" t="n"/>
    </row>
    <row r="899" ht="15.75" customHeight="1" s="57">
      <c r="A899" s="49" t="n"/>
      <c r="B899" s="49" t="n"/>
      <c r="C899" s="49" t="n"/>
      <c r="D899" s="49" t="n"/>
      <c r="E899" s="49" t="n"/>
      <c r="F899" s="49" t="n"/>
    </row>
    <row r="900" ht="15.75" customHeight="1" s="57">
      <c r="A900" s="49" t="n"/>
      <c r="B900" s="49" t="n"/>
      <c r="C900" s="49" t="n"/>
      <c r="D900" s="49" t="n"/>
      <c r="E900" s="49" t="n"/>
      <c r="F900" s="49" t="n"/>
    </row>
    <row r="901" ht="15.75" customHeight="1" s="57">
      <c r="A901" s="49" t="n"/>
      <c r="B901" s="49" t="n"/>
      <c r="C901" s="49" t="n"/>
      <c r="D901" s="49" t="n"/>
      <c r="E901" s="49" t="n"/>
      <c r="F901" s="49" t="n"/>
    </row>
    <row r="902" ht="15.75" customHeight="1" s="57">
      <c r="A902" s="49" t="n"/>
      <c r="B902" s="49" t="n"/>
      <c r="C902" s="49" t="n"/>
      <c r="D902" s="49" t="n"/>
      <c r="E902" s="49" t="n"/>
      <c r="F902" s="49" t="n"/>
    </row>
    <row r="903" ht="15.75" customHeight="1" s="57">
      <c r="A903" s="49" t="n"/>
      <c r="B903" s="49" t="n"/>
      <c r="C903" s="49" t="n"/>
      <c r="D903" s="49" t="n"/>
      <c r="E903" s="49" t="n"/>
      <c r="F903" s="49" t="n"/>
    </row>
    <row r="904" ht="15.75" customHeight="1" s="57">
      <c r="A904" s="49" t="n"/>
      <c r="B904" s="49" t="n"/>
      <c r="C904" s="49" t="n"/>
      <c r="D904" s="49" t="n"/>
      <c r="E904" s="49" t="n"/>
      <c r="F904" s="49" t="n"/>
    </row>
    <row r="905" ht="15.75" customHeight="1" s="57">
      <c r="A905" s="49" t="n"/>
      <c r="B905" s="49" t="n"/>
      <c r="C905" s="49" t="n"/>
      <c r="D905" s="49" t="n"/>
      <c r="E905" s="49" t="n"/>
      <c r="F905" s="49" t="n"/>
    </row>
    <row r="906" ht="15.75" customHeight="1" s="57">
      <c r="A906" s="49" t="n"/>
      <c r="B906" s="49" t="n"/>
      <c r="C906" s="49" t="n"/>
      <c r="D906" s="49" t="n"/>
      <c r="E906" s="49" t="n"/>
      <c r="F906" s="49" t="n"/>
    </row>
    <row r="907" ht="15.75" customHeight="1" s="57">
      <c r="A907" s="49" t="n"/>
      <c r="B907" s="49" t="n"/>
      <c r="C907" s="49" t="n"/>
      <c r="D907" s="49" t="n"/>
      <c r="E907" s="49" t="n"/>
      <c r="F907" s="49" t="n"/>
    </row>
    <row r="908" ht="15.75" customHeight="1" s="57">
      <c r="A908" s="49" t="n"/>
      <c r="B908" s="49" t="n"/>
      <c r="C908" s="49" t="n"/>
      <c r="D908" s="49" t="n"/>
      <c r="E908" s="49" t="n"/>
      <c r="F908" s="49" t="n"/>
    </row>
    <row r="909" ht="15.75" customHeight="1" s="57">
      <c r="A909" s="49" t="n"/>
      <c r="B909" s="49" t="n"/>
      <c r="C909" s="49" t="n"/>
      <c r="D909" s="49" t="n"/>
      <c r="E909" s="49" t="n"/>
      <c r="F909" s="49" t="n"/>
    </row>
    <row r="910" ht="15.75" customHeight="1" s="57">
      <c r="A910" s="49" t="n"/>
      <c r="B910" s="49" t="n"/>
      <c r="C910" s="49" t="n"/>
      <c r="D910" s="49" t="n"/>
      <c r="E910" s="49" t="n"/>
      <c r="F910" s="49" t="n"/>
    </row>
    <row r="911" ht="15.75" customHeight="1" s="57">
      <c r="A911" s="49" t="n"/>
      <c r="B911" s="49" t="n"/>
      <c r="C911" s="49" t="n"/>
      <c r="D911" s="49" t="n"/>
      <c r="E911" s="49" t="n"/>
      <c r="F911" s="49" t="n"/>
    </row>
    <row r="912" ht="15.75" customHeight="1" s="57">
      <c r="A912" s="49" t="n"/>
      <c r="B912" s="49" t="n"/>
      <c r="C912" s="49" t="n"/>
      <c r="D912" s="49" t="n"/>
      <c r="E912" s="49" t="n"/>
      <c r="F912" s="49" t="n"/>
    </row>
    <row r="913" ht="15.75" customHeight="1" s="57">
      <c r="A913" s="49" t="n"/>
      <c r="B913" s="49" t="n"/>
      <c r="C913" s="49" t="n"/>
      <c r="D913" s="49" t="n"/>
      <c r="E913" s="49" t="n"/>
      <c r="F913" s="49" t="n"/>
    </row>
    <row r="914" ht="15.75" customHeight="1" s="57">
      <c r="A914" s="49" t="n"/>
      <c r="B914" s="49" t="n"/>
      <c r="C914" s="49" t="n"/>
      <c r="D914" s="49" t="n"/>
      <c r="E914" s="49" t="n"/>
      <c r="F914" s="49" t="n"/>
    </row>
    <row r="915" ht="15.75" customHeight="1" s="57">
      <c r="A915" s="49" t="n"/>
      <c r="B915" s="49" t="n"/>
      <c r="C915" s="49" t="n"/>
      <c r="D915" s="49" t="n"/>
      <c r="E915" s="49" t="n"/>
      <c r="F915" s="49" t="n"/>
    </row>
    <row r="916" ht="15.75" customHeight="1" s="57">
      <c r="A916" s="49" t="n"/>
      <c r="B916" s="49" t="n"/>
      <c r="C916" s="49" t="n"/>
      <c r="D916" s="49" t="n"/>
      <c r="E916" s="49" t="n"/>
      <c r="F916" s="49" t="n"/>
    </row>
    <row r="917" ht="15.75" customHeight="1" s="57">
      <c r="A917" s="49" t="n"/>
      <c r="B917" s="49" t="n"/>
      <c r="C917" s="49" t="n"/>
      <c r="D917" s="49" t="n"/>
      <c r="E917" s="49" t="n"/>
      <c r="F917" s="49" t="n"/>
    </row>
    <row r="918" ht="15.75" customHeight="1" s="57">
      <c r="A918" s="49" t="n"/>
      <c r="B918" s="49" t="n"/>
      <c r="C918" s="49" t="n"/>
      <c r="D918" s="49" t="n"/>
      <c r="E918" s="49" t="n"/>
      <c r="F918" s="49" t="n"/>
    </row>
    <row r="919" ht="15.75" customHeight="1" s="57">
      <c r="A919" s="49" t="n"/>
      <c r="B919" s="49" t="n"/>
      <c r="C919" s="49" t="n"/>
      <c r="D919" s="49" t="n"/>
      <c r="E919" s="49" t="n"/>
      <c r="F919" s="49" t="n"/>
    </row>
    <row r="920" ht="15.75" customHeight="1" s="57">
      <c r="A920" s="49" t="n"/>
      <c r="B920" s="49" t="n"/>
      <c r="C920" s="49" t="n"/>
      <c r="D920" s="49" t="n"/>
      <c r="E920" s="49" t="n"/>
      <c r="F920" s="49" t="n"/>
    </row>
    <row r="921" ht="15.75" customHeight="1" s="57">
      <c r="A921" s="49" t="n"/>
      <c r="B921" s="49" t="n"/>
      <c r="C921" s="49" t="n"/>
      <c r="D921" s="49" t="n"/>
      <c r="E921" s="49" t="n"/>
      <c r="F921" s="49" t="n"/>
    </row>
    <row r="922" ht="15.75" customHeight="1" s="57">
      <c r="A922" s="49" t="n"/>
      <c r="B922" s="49" t="n"/>
      <c r="C922" s="49" t="n"/>
      <c r="D922" s="49" t="n"/>
      <c r="E922" s="49" t="n"/>
      <c r="F922" s="49" t="n"/>
    </row>
    <row r="923" ht="15.75" customHeight="1" s="57">
      <c r="A923" s="49" t="n"/>
      <c r="B923" s="49" t="n"/>
      <c r="C923" s="49" t="n"/>
      <c r="D923" s="49" t="n"/>
      <c r="E923" s="49" t="n"/>
      <c r="F923" s="49" t="n"/>
    </row>
    <row r="924" ht="15.75" customHeight="1" s="57">
      <c r="A924" s="49" t="n"/>
      <c r="B924" s="49" t="n"/>
      <c r="C924" s="49" t="n"/>
      <c r="D924" s="49" t="n"/>
      <c r="E924" s="49" t="n"/>
      <c r="F924" s="49" t="n"/>
    </row>
    <row r="925" ht="15.75" customHeight="1" s="57">
      <c r="A925" s="49" t="n"/>
      <c r="B925" s="49" t="n"/>
      <c r="C925" s="49" t="n"/>
      <c r="D925" s="49" t="n"/>
      <c r="E925" s="49" t="n"/>
      <c r="F925" s="49" t="n"/>
    </row>
    <row r="926" ht="15.75" customHeight="1" s="57">
      <c r="A926" s="49" t="n"/>
      <c r="B926" s="49" t="n"/>
      <c r="C926" s="49" t="n"/>
      <c r="D926" s="49" t="n"/>
      <c r="E926" s="49" t="n"/>
      <c r="F926" s="49" t="n"/>
    </row>
    <row r="927" ht="15.75" customHeight="1" s="57">
      <c r="A927" s="49" t="n"/>
      <c r="B927" s="49" t="n"/>
      <c r="C927" s="49" t="n"/>
      <c r="D927" s="49" t="n"/>
      <c r="E927" s="49" t="n"/>
      <c r="F927" s="49" t="n"/>
    </row>
    <row r="928" ht="15.75" customHeight="1" s="57">
      <c r="A928" s="49" t="n"/>
      <c r="B928" s="49" t="n"/>
      <c r="C928" s="49" t="n"/>
      <c r="D928" s="49" t="n"/>
      <c r="E928" s="49" t="n"/>
      <c r="F928" s="49" t="n"/>
    </row>
    <row r="929" ht="15.75" customHeight="1" s="57">
      <c r="A929" s="49" t="n"/>
      <c r="B929" s="49" t="n"/>
      <c r="C929" s="49" t="n"/>
      <c r="D929" s="49" t="n"/>
      <c r="E929" s="49" t="n"/>
      <c r="F929" s="49" t="n"/>
    </row>
    <row r="930" ht="15.75" customHeight="1" s="57">
      <c r="A930" s="49" t="n"/>
      <c r="B930" s="49" t="n"/>
      <c r="C930" s="49" t="n"/>
      <c r="D930" s="49" t="n"/>
      <c r="E930" s="49" t="n"/>
      <c r="F930" s="49" t="n"/>
    </row>
    <row r="931" ht="15.75" customHeight="1" s="57">
      <c r="A931" s="49" t="n"/>
      <c r="B931" s="49" t="n"/>
      <c r="C931" s="49" t="n"/>
      <c r="D931" s="49" t="n"/>
      <c r="E931" s="49" t="n"/>
      <c r="F931" s="49" t="n"/>
    </row>
    <row r="932" ht="15.75" customHeight="1" s="57">
      <c r="A932" s="49" t="n"/>
      <c r="B932" s="49" t="n"/>
      <c r="C932" s="49" t="n"/>
      <c r="D932" s="49" t="n"/>
      <c r="E932" s="49" t="n"/>
      <c r="F932" s="49" t="n"/>
    </row>
    <row r="933" ht="15.75" customHeight="1" s="57">
      <c r="A933" s="49" t="n"/>
      <c r="B933" s="49" t="n"/>
      <c r="C933" s="49" t="n"/>
      <c r="D933" s="49" t="n"/>
      <c r="E933" s="49" t="n"/>
      <c r="F933" s="49" t="n"/>
    </row>
    <row r="934" ht="15.75" customHeight="1" s="57">
      <c r="A934" s="49" t="n"/>
      <c r="B934" s="49" t="n"/>
      <c r="C934" s="49" t="n"/>
      <c r="D934" s="49" t="n"/>
      <c r="E934" s="49" t="n"/>
      <c r="F934" s="49" t="n"/>
    </row>
    <row r="935" ht="15.75" customHeight="1" s="57">
      <c r="A935" s="49" t="n"/>
      <c r="B935" s="49" t="n"/>
      <c r="C935" s="49" t="n"/>
      <c r="D935" s="49" t="n"/>
      <c r="E935" s="49" t="n"/>
      <c r="F935" s="49" t="n"/>
    </row>
    <row r="936" ht="15.75" customHeight="1" s="57">
      <c r="A936" s="49" t="n"/>
      <c r="B936" s="49" t="n"/>
      <c r="C936" s="49" t="n"/>
      <c r="D936" s="49" t="n"/>
      <c r="E936" s="49" t="n"/>
      <c r="F936" s="49" t="n"/>
    </row>
    <row r="937" ht="15.75" customHeight="1" s="57">
      <c r="A937" s="49" t="n"/>
      <c r="B937" s="49" t="n"/>
      <c r="C937" s="49" t="n"/>
      <c r="D937" s="49" t="n"/>
      <c r="E937" s="49" t="n"/>
      <c r="F937" s="49" t="n"/>
    </row>
    <row r="938" ht="15.75" customHeight="1" s="57">
      <c r="A938" s="49" t="n"/>
      <c r="B938" s="49" t="n"/>
      <c r="C938" s="49" t="n"/>
      <c r="D938" s="49" t="n"/>
      <c r="E938" s="49" t="n"/>
      <c r="F938" s="49" t="n"/>
    </row>
    <row r="939" ht="15.75" customHeight="1" s="57">
      <c r="A939" s="49" t="n"/>
      <c r="B939" s="49" t="n"/>
      <c r="C939" s="49" t="n"/>
      <c r="D939" s="49" t="n"/>
      <c r="E939" s="49" t="n"/>
      <c r="F939" s="49" t="n"/>
    </row>
    <row r="940" ht="15.75" customHeight="1" s="57">
      <c r="A940" s="49" t="n"/>
      <c r="B940" s="49" t="n"/>
      <c r="C940" s="49" t="n"/>
      <c r="D940" s="49" t="n"/>
      <c r="E940" s="49" t="n"/>
      <c r="F940" s="49" t="n"/>
    </row>
    <row r="941" ht="15.75" customHeight="1" s="57">
      <c r="A941" s="49" t="n"/>
      <c r="B941" s="49" t="n"/>
      <c r="C941" s="49" t="n"/>
      <c r="D941" s="49" t="n"/>
      <c r="E941" s="49" t="n"/>
      <c r="F941" s="49" t="n"/>
    </row>
    <row r="942" ht="15.75" customHeight="1" s="57">
      <c r="A942" s="49" t="n"/>
      <c r="B942" s="49" t="n"/>
      <c r="C942" s="49" t="n"/>
      <c r="D942" s="49" t="n"/>
      <c r="E942" s="49" t="n"/>
      <c r="F942" s="49" t="n"/>
    </row>
    <row r="943" ht="15.75" customHeight="1" s="57">
      <c r="A943" s="49" t="n"/>
      <c r="B943" s="49" t="n"/>
      <c r="C943" s="49" t="n"/>
      <c r="D943" s="49" t="n"/>
      <c r="E943" s="49" t="n"/>
      <c r="F943" s="49" t="n"/>
    </row>
    <row r="944" ht="15.75" customHeight="1" s="57">
      <c r="A944" s="49" t="n"/>
      <c r="B944" s="49" t="n"/>
      <c r="C944" s="49" t="n"/>
      <c r="D944" s="49" t="n"/>
      <c r="E944" s="49" t="n"/>
      <c r="F944" s="49" t="n"/>
    </row>
    <row r="945" ht="15.75" customHeight="1" s="57">
      <c r="A945" s="49" t="n"/>
      <c r="B945" s="49" t="n"/>
      <c r="C945" s="49" t="n"/>
      <c r="D945" s="49" t="n"/>
      <c r="E945" s="49" t="n"/>
      <c r="F945" s="49" t="n"/>
    </row>
    <row r="946" ht="15.75" customHeight="1" s="57">
      <c r="A946" s="49" t="n"/>
      <c r="B946" s="49" t="n"/>
      <c r="C946" s="49" t="n"/>
      <c r="D946" s="49" t="n"/>
      <c r="E946" s="49" t="n"/>
      <c r="F946" s="49" t="n"/>
    </row>
    <row r="947" ht="15.75" customHeight="1" s="57">
      <c r="A947" s="49" t="n"/>
      <c r="B947" s="49" t="n"/>
      <c r="C947" s="49" t="n"/>
      <c r="D947" s="49" t="n"/>
      <c r="E947" s="49" t="n"/>
      <c r="F947" s="49" t="n"/>
    </row>
    <row r="948" ht="15.75" customHeight="1" s="57">
      <c r="A948" s="49" t="n"/>
      <c r="B948" s="49" t="n"/>
      <c r="C948" s="49" t="n"/>
      <c r="D948" s="49" t="n"/>
      <c r="E948" s="49" t="n"/>
      <c r="F948" s="49" t="n"/>
    </row>
    <row r="949" ht="15.75" customHeight="1" s="57">
      <c r="A949" s="49" t="n"/>
      <c r="B949" s="49" t="n"/>
      <c r="C949" s="49" t="n"/>
      <c r="D949" s="49" t="n"/>
      <c r="E949" s="49" t="n"/>
      <c r="F949" s="49" t="n"/>
    </row>
    <row r="950" ht="15.75" customHeight="1" s="57">
      <c r="A950" s="49" t="n"/>
      <c r="B950" s="49" t="n"/>
      <c r="C950" s="49" t="n"/>
      <c r="D950" s="49" t="n"/>
      <c r="E950" s="49" t="n"/>
      <c r="F950" s="49" t="n"/>
    </row>
    <row r="951" ht="15.75" customHeight="1" s="57">
      <c r="A951" s="49" t="n"/>
      <c r="B951" s="49" t="n"/>
      <c r="C951" s="49" t="n"/>
      <c r="D951" s="49" t="n"/>
      <c r="E951" s="49" t="n"/>
      <c r="F951" s="49" t="n"/>
    </row>
    <row r="952" ht="15.75" customHeight="1" s="57">
      <c r="A952" s="49" t="n"/>
      <c r="B952" s="49" t="n"/>
      <c r="C952" s="49" t="n"/>
      <c r="D952" s="49" t="n"/>
      <c r="E952" s="49" t="n"/>
      <c r="F952" s="49" t="n"/>
    </row>
    <row r="953" ht="15.75" customHeight="1" s="57">
      <c r="A953" s="49" t="n"/>
      <c r="B953" s="49" t="n"/>
      <c r="C953" s="49" t="n"/>
      <c r="D953" s="49" t="n"/>
      <c r="E953" s="49" t="n"/>
      <c r="F953" s="49" t="n"/>
    </row>
    <row r="954" ht="15.75" customHeight="1" s="57">
      <c r="A954" s="49" t="n"/>
      <c r="B954" s="49" t="n"/>
      <c r="C954" s="49" t="n"/>
      <c r="D954" s="49" t="n"/>
      <c r="E954" s="49" t="n"/>
      <c r="F954" s="49" t="n"/>
    </row>
    <row r="955" ht="15.75" customHeight="1" s="57">
      <c r="A955" s="49" t="n"/>
      <c r="B955" s="49" t="n"/>
      <c r="C955" s="49" t="n"/>
      <c r="D955" s="49" t="n"/>
      <c r="E955" s="49" t="n"/>
      <c r="F955" s="49" t="n"/>
    </row>
    <row r="956" ht="15.75" customHeight="1" s="57">
      <c r="A956" s="49" t="n"/>
      <c r="B956" s="49" t="n"/>
      <c r="C956" s="49" t="n"/>
      <c r="D956" s="49" t="n"/>
      <c r="E956" s="49" t="n"/>
      <c r="F956" s="49" t="n"/>
    </row>
    <row r="957" ht="15.75" customHeight="1" s="57">
      <c r="A957" s="49" t="n"/>
      <c r="B957" s="49" t="n"/>
      <c r="C957" s="49" t="n"/>
      <c r="D957" s="49" t="n"/>
      <c r="E957" s="49" t="n"/>
      <c r="F957" s="49" t="n"/>
    </row>
    <row r="958" ht="15.75" customHeight="1" s="57">
      <c r="A958" s="49" t="n"/>
      <c r="B958" s="49" t="n"/>
      <c r="C958" s="49" t="n"/>
      <c r="D958" s="49" t="n"/>
      <c r="E958" s="49" t="n"/>
      <c r="F958" s="49" t="n"/>
    </row>
    <row r="959" ht="15.75" customHeight="1" s="57">
      <c r="A959" s="49" t="n"/>
      <c r="B959" s="49" t="n"/>
      <c r="C959" s="49" t="n"/>
      <c r="D959" s="49" t="n"/>
      <c r="E959" s="49" t="n"/>
      <c r="F959" s="49" t="n"/>
    </row>
    <row r="960" ht="15.75" customHeight="1" s="57">
      <c r="A960" s="49" t="n"/>
      <c r="B960" s="49" t="n"/>
      <c r="C960" s="49" t="n"/>
      <c r="D960" s="49" t="n"/>
      <c r="E960" s="49" t="n"/>
      <c r="F960" s="49" t="n"/>
    </row>
    <row r="961" ht="15.75" customHeight="1" s="57">
      <c r="A961" s="49" t="n"/>
      <c r="B961" s="49" t="n"/>
      <c r="C961" s="49" t="n"/>
      <c r="D961" s="49" t="n"/>
      <c r="E961" s="49" t="n"/>
      <c r="F961" s="49" t="n"/>
    </row>
    <row r="962" ht="15.75" customHeight="1" s="57">
      <c r="A962" s="49" t="n"/>
      <c r="B962" s="49" t="n"/>
      <c r="C962" s="49" t="n"/>
      <c r="D962" s="49" t="n"/>
      <c r="E962" s="49" t="n"/>
      <c r="F962" s="49" t="n"/>
    </row>
    <row r="963" ht="15.75" customHeight="1" s="57">
      <c r="A963" s="49" t="n"/>
      <c r="B963" s="49" t="n"/>
      <c r="C963" s="49" t="n"/>
      <c r="D963" s="49" t="n"/>
      <c r="E963" s="49" t="n"/>
      <c r="F963" s="49" t="n"/>
    </row>
    <row r="964" ht="15.75" customHeight="1" s="57">
      <c r="A964" s="49" t="n"/>
      <c r="B964" s="49" t="n"/>
      <c r="C964" s="49" t="n"/>
      <c r="D964" s="49" t="n"/>
      <c r="E964" s="49" t="n"/>
      <c r="F964" s="49" t="n"/>
    </row>
    <row r="965" ht="15.75" customHeight="1" s="57">
      <c r="A965" s="49" t="n"/>
      <c r="B965" s="49" t="n"/>
      <c r="C965" s="49" t="n"/>
      <c r="D965" s="49" t="n"/>
      <c r="E965" s="49" t="n"/>
      <c r="F965" s="49" t="n"/>
    </row>
    <row r="966" ht="15.75" customHeight="1" s="57">
      <c r="A966" s="49" t="n"/>
      <c r="B966" s="49" t="n"/>
      <c r="C966" s="49" t="n"/>
      <c r="D966" s="49" t="n"/>
      <c r="E966" s="49" t="n"/>
      <c r="F966" s="49" t="n"/>
    </row>
    <row r="967" ht="15.75" customHeight="1" s="57">
      <c r="A967" s="49" t="n"/>
      <c r="B967" s="49" t="n"/>
      <c r="C967" s="49" t="n"/>
      <c r="D967" s="49" t="n"/>
      <c r="E967" s="49" t="n"/>
      <c r="F967" s="49" t="n"/>
    </row>
    <row r="968" ht="15.75" customHeight="1" s="57">
      <c r="A968" s="49" t="n"/>
      <c r="B968" s="49" t="n"/>
      <c r="C968" s="49" t="n"/>
      <c r="D968" s="49" t="n"/>
      <c r="E968" s="49" t="n"/>
      <c r="F968" s="49" t="n"/>
    </row>
    <row r="969" ht="15.75" customHeight="1" s="57">
      <c r="A969" s="49" t="n"/>
      <c r="B969" s="49" t="n"/>
      <c r="C969" s="49" t="n"/>
      <c r="D969" s="49" t="n"/>
      <c r="E969" s="49" t="n"/>
      <c r="F969" s="49" t="n"/>
    </row>
    <row r="970" ht="15.75" customHeight="1" s="57">
      <c r="A970" s="49" t="n"/>
      <c r="B970" s="49" t="n"/>
      <c r="C970" s="49" t="n"/>
      <c r="D970" s="49" t="n"/>
      <c r="E970" s="49" t="n"/>
      <c r="F970" s="49" t="n"/>
    </row>
    <row r="971" ht="15.75" customHeight="1" s="57">
      <c r="A971" s="49" t="n"/>
      <c r="B971" s="49" t="n"/>
      <c r="C971" s="49" t="n"/>
      <c r="D971" s="49" t="n"/>
      <c r="E971" s="49" t="n"/>
      <c r="F971" s="49" t="n"/>
    </row>
    <row r="972" ht="15.75" customHeight="1" s="57">
      <c r="A972" s="49" t="n"/>
      <c r="B972" s="49" t="n"/>
      <c r="C972" s="49" t="n"/>
      <c r="D972" s="49" t="n"/>
      <c r="E972" s="49" t="n"/>
      <c r="F972" s="49" t="n"/>
    </row>
    <row r="973" ht="15.75" customHeight="1" s="57">
      <c r="A973" s="49" t="n"/>
      <c r="B973" s="49" t="n"/>
      <c r="C973" s="49" t="n"/>
      <c r="D973" s="49" t="n"/>
      <c r="E973" s="49" t="n"/>
      <c r="F973" s="49" t="n"/>
    </row>
    <row r="974" ht="15.75" customHeight="1" s="57">
      <c r="A974" s="49" t="n"/>
      <c r="B974" s="49" t="n"/>
      <c r="C974" s="49" t="n"/>
      <c r="D974" s="49" t="n"/>
      <c r="E974" s="49" t="n"/>
      <c r="F974" s="49" t="n"/>
    </row>
    <row r="975" ht="15.75" customHeight="1" s="57">
      <c r="A975" s="49" t="n"/>
      <c r="B975" s="49" t="n"/>
      <c r="C975" s="49" t="n"/>
      <c r="D975" s="49" t="n"/>
      <c r="E975" s="49" t="n"/>
      <c r="F975" s="49" t="n"/>
    </row>
    <row r="976" ht="15.75" customHeight="1" s="57">
      <c r="A976" s="49" t="n"/>
      <c r="B976" s="49" t="n"/>
      <c r="C976" s="49" t="n"/>
      <c r="D976" s="49" t="n"/>
      <c r="E976" s="49" t="n"/>
      <c r="F976" s="49" t="n"/>
    </row>
    <row r="977" ht="15.75" customHeight="1" s="57">
      <c r="A977" s="49" t="n"/>
      <c r="B977" s="49" t="n"/>
      <c r="C977" s="49" t="n"/>
      <c r="D977" s="49" t="n"/>
      <c r="E977" s="49" t="n"/>
      <c r="F977" s="49" t="n"/>
    </row>
    <row r="978" ht="15.75" customHeight="1" s="57">
      <c r="A978" s="49" t="n"/>
      <c r="B978" s="49" t="n"/>
      <c r="C978" s="49" t="n"/>
      <c r="D978" s="49" t="n"/>
      <c r="E978" s="49" t="n"/>
      <c r="F978" s="49" t="n"/>
    </row>
    <row r="979" ht="15.75" customHeight="1" s="57">
      <c r="A979" s="49" t="n"/>
      <c r="B979" s="49" t="n"/>
      <c r="C979" s="49" t="n"/>
      <c r="D979" s="49" t="n"/>
      <c r="E979" s="49" t="n"/>
      <c r="F979" s="49" t="n"/>
    </row>
    <row r="980" ht="15.75" customHeight="1" s="57">
      <c r="A980" s="49" t="n"/>
      <c r="B980" s="49" t="n"/>
      <c r="C980" s="49" t="n"/>
      <c r="D980" s="49" t="n"/>
      <c r="E980" s="49" t="n"/>
      <c r="F980" s="49" t="n"/>
    </row>
    <row r="981" ht="15.75" customHeight="1" s="57">
      <c r="A981" s="49" t="n"/>
      <c r="B981" s="49" t="n"/>
      <c r="C981" s="49" t="n"/>
      <c r="D981" s="49" t="n"/>
      <c r="E981" s="49" t="n"/>
      <c r="F981" s="49" t="n"/>
    </row>
    <row r="982" ht="15.75" customHeight="1" s="57">
      <c r="A982" s="49" t="n"/>
      <c r="B982" s="49" t="n"/>
      <c r="C982" s="49" t="n"/>
      <c r="D982" s="49" t="n"/>
      <c r="E982" s="49" t="n"/>
      <c r="F982" s="49" t="n"/>
    </row>
    <row r="983" ht="15.75" customHeight="1" s="57">
      <c r="A983" s="49" t="n"/>
      <c r="B983" s="49" t="n"/>
      <c r="C983" s="49" t="n"/>
      <c r="D983" s="49" t="n"/>
      <c r="E983" s="49" t="n"/>
      <c r="F983" s="49" t="n"/>
    </row>
    <row r="984" ht="15.75" customHeight="1" s="57">
      <c r="A984" s="49" t="n"/>
      <c r="B984" s="49" t="n"/>
      <c r="C984" s="49" t="n"/>
      <c r="D984" s="49" t="n"/>
      <c r="E984" s="49" t="n"/>
      <c r="F984" s="49" t="n"/>
    </row>
    <row r="985" ht="15.75" customHeight="1" s="57">
      <c r="A985" s="49" t="n"/>
      <c r="B985" s="49" t="n"/>
      <c r="C985" s="49" t="n"/>
      <c r="D985" s="49" t="n"/>
      <c r="E985" s="49" t="n"/>
      <c r="F985" s="49" t="n"/>
    </row>
    <row r="986" ht="15.75" customHeight="1" s="57">
      <c r="A986" s="49" t="n"/>
      <c r="B986" s="49" t="n"/>
      <c r="C986" s="49" t="n"/>
      <c r="D986" s="49" t="n"/>
      <c r="E986" s="49" t="n"/>
      <c r="F986" s="49" t="n"/>
    </row>
    <row r="987" ht="15.75" customHeight="1" s="57">
      <c r="A987" s="49" t="n"/>
      <c r="B987" s="49" t="n"/>
      <c r="C987" s="49" t="n"/>
      <c r="D987" s="49" t="n"/>
      <c r="E987" s="49" t="n"/>
      <c r="F987" s="49" t="n"/>
    </row>
    <row r="988" ht="15.75" customHeight="1" s="57">
      <c r="A988" s="49" t="n"/>
      <c r="B988" s="49" t="n"/>
      <c r="C988" s="49" t="n"/>
      <c r="D988" s="49" t="n"/>
      <c r="E988" s="49" t="n"/>
      <c r="F988" s="49" t="n"/>
    </row>
    <row r="989" ht="15.75" customHeight="1" s="57">
      <c r="A989" s="49" t="n"/>
      <c r="B989" s="49" t="n"/>
      <c r="C989" s="49" t="n"/>
      <c r="D989" s="49" t="n"/>
      <c r="E989" s="49" t="n"/>
      <c r="F989" s="49" t="n"/>
    </row>
    <row r="990" ht="15.75" customHeight="1" s="57">
      <c r="A990" s="49" t="n"/>
      <c r="B990" s="49" t="n"/>
      <c r="C990" s="49" t="n"/>
      <c r="D990" s="49" t="n"/>
      <c r="E990" s="49" t="n"/>
      <c r="F990" s="49" t="n"/>
    </row>
    <row r="991" ht="15.75" customHeight="1" s="57">
      <c r="A991" s="49" t="n"/>
      <c r="B991" s="49" t="n"/>
      <c r="C991" s="49" t="n"/>
      <c r="D991" s="49" t="n"/>
      <c r="E991" s="49" t="n"/>
      <c r="F991" s="49" t="n"/>
    </row>
    <row r="992" ht="15.75" customHeight="1" s="57">
      <c r="A992" s="49" t="n"/>
      <c r="B992" s="49" t="n"/>
      <c r="C992" s="49" t="n"/>
      <c r="D992" s="49" t="n"/>
      <c r="E992" s="49" t="n"/>
      <c r="F992" s="49" t="n"/>
    </row>
    <row r="993" ht="15.75" customHeight="1" s="57">
      <c r="A993" s="49" t="n"/>
      <c r="B993" s="49" t="n"/>
      <c r="C993" s="49" t="n"/>
      <c r="D993" s="49" t="n"/>
      <c r="E993" s="49" t="n"/>
      <c r="F993" s="49" t="n"/>
    </row>
    <row r="994" ht="15.75" customHeight="1" s="57">
      <c r="A994" s="49" t="n"/>
      <c r="B994" s="49" t="n"/>
      <c r="C994" s="49" t="n"/>
      <c r="D994" s="49" t="n"/>
      <c r="E994" s="49" t="n"/>
      <c r="F994" s="49" t="n"/>
    </row>
    <row r="995" ht="15.75" customHeight="1" s="57">
      <c r="A995" s="49" t="n"/>
      <c r="B995" s="49" t="n"/>
      <c r="C995" s="49" t="n"/>
      <c r="D995" s="49" t="n"/>
      <c r="E995" s="49" t="n"/>
      <c r="F995" s="49" t="n"/>
    </row>
    <row r="996" ht="15.75" customHeight="1" s="57">
      <c r="A996" s="49" t="n"/>
      <c r="B996" s="49" t="n"/>
      <c r="C996" s="49" t="n"/>
      <c r="D996" s="49" t="n"/>
      <c r="E996" s="49" t="n"/>
      <c r="F996" s="49" t="n"/>
    </row>
    <row r="997" ht="15.75" customHeight="1" s="57">
      <c r="A997" s="49" t="n"/>
      <c r="B997" s="49" t="n"/>
      <c r="C997" s="49" t="n"/>
      <c r="D997" s="49" t="n"/>
      <c r="E997" s="49" t="n"/>
      <c r="F997" s="49" t="n"/>
    </row>
    <row r="998" ht="15.75" customHeight="1" s="57">
      <c r="A998" s="49" t="n"/>
      <c r="B998" s="49" t="n"/>
      <c r="C998" s="49" t="n"/>
      <c r="D998" s="49" t="n"/>
      <c r="E998" s="49" t="n"/>
      <c r="F998" s="49" t="n"/>
    </row>
    <row r="999" ht="15.75" customHeight="1" s="57">
      <c r="A999" s="49" t="n"/>
      <c r="B999" s="49" t="n"/>
      <c r="C999" s="49" t="n"/>
      <c r="D999" s="49" t="n"/>
      <c r="E999" s="49" t="n"/>
      <c r="F999" s="49" t="n"/>
    </row>
    <row r="1000" ht="15.75" customHeight="1" s="57">
      <c r="A1000" s="49" t="n"/>
      <c r="B1000" s="49" t="n"/>
      <c r="C1000" s="49" t="n"/>
      <c r="D1000" s="49" t="n"/>
      <c r="E1000" s="49" t="n"/>
      <c r="F1000" s="49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BY1000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" customHeight="1" outlineLevelCol="0"/>
  <cols>
    <col width="32.63" customWidth="1" style="57" min="1" max="1"/>
    <col width="12.63" customWidth="1" style="57" min="2" max="6"/>
  </cols>
  <sheetData>
    <row r="1">
      <c r="A1" s="45" t="n"/>
      <c r="B1" s="45" t="n"/>
      <c r="C1" s="45" t="inlineStr">
        <is>
          <t>Thứ Tư</t>
        </is>
      </c>
      <c r="D1" s="45" t="inlineStr">
        <is>
          <t>Thứ Năm</t>
        </is>
      </c>
      <c r="E1" s="45" t="inlineStr">
        <is>
          <t>Thứ Sáu</t>
        </is>
      </c>
      <c r="F1" s="45" t="inlineStr">
        <is>
          <t>Thứ Bảy</t>
        </is>
      </c>
      <c r="G1" s="45" t="inlineStr">
        <is>
          <t>Chủ Nhật</t>
        </is>
      </c>
      <c r="H1" s="45" t="inlineStr">
        <is>
          <t>Thứ Hai</t>
        </is>
      </c>
      <c r="I1" s="45" t="inlineStr">
        <is>
          <t>Thứ Ba</t>
        </is>
      </c>
      <c r="J1" s="45" t="inlineStr">
        <is>
          <t>Thứ Tư</t>
        </is>
      </c>
      <c r="K1" s="45" t="inlineStr">
        <is>
          <t>Thứ Năm</t>
        </is>
      </c>
      <c r="L1" s="45" t="inlineStr">
        <is>
          <t>Thứ Sáu</t>
        </is>
      </c>
      <c r="M1" s="45" t="inlineStr">
        <is>
          <t>Thứ Bảy</t>
        </is>
      </c>
      <c r="N1" s="45" t="inlineStr">
        <is>
          <t>Chủ Nhật</t>
        </is>
      </c>
      <c r="O1" s="45" t="inlineStr">
        <is>
          <t>Thứ Hai</t>
        </is>
      </c>
      <c r="P1" s="45" t="inlineStr">
        <is>
          <t>Thứ Ba</t>
        </is>
      </c>
      <c r="Q1" s="45" t="inlineStr">
        <is>
          <t>Thứ Tư</t>
        </is>
      </c>
      <c r="R1" s="45" t="inlineStr">
        <is>
          <t>Thứ Năm</t>
        </is>
      </c>
      <c r="S1" s="45" t="inlineStr">
        <is>
          <t>Thứ Sáu</t>
        </is>
      </c>
      <c r="T1" s="45" t="inlineStr">
        <is>
          <t>Thứ Bảy</t>
        </is>
      </c>
      <c r="U1" s="45" t="inlineStr">
        <is>
          <t>Chủ Nhật</t>
        </is>
      </c>
      <c r="V1" s="45" t="inlineStr">
        <is>
          <t>Thứ Hai</t>
        </is>
      </c>
      <c r="W1" s="45" t="inlineStr">
        <is>
          <t>Thứ Ba</t>
        </is>
      </c>
      <c r="X1" s="45" t="inlineStr">
        <is>
          <t>Thứ Tư</t>
        </is>
      </c>
      <c r="Y1" s="45" t="inlineStr">
        <is>
          <t>Thứ Năm</t>
        </is>
      </c>
      <c r="Z1" s="45" t="inlineStr">
        <is>
          <t>Thứ Sáu</t>
        </is>
      </c>
      <c r="AA1" s="45" t="inlineStr">
        <is>
          <t>Thứ Bảy</t>
        </is>
      </c>
      <c r="AB1" s="45" t="inlineStr">
        <is>
          <t>Chủ Nhật</t>
        </is>
      </c>
      <c r="AC1" s="45" t="inlineStr">
        <is>
          <t>Thứ Hai</t>
        </is>
      </c>
      <c r="AD1" s="45" t="inlineStr">
        <is>
          <t>Thứ Ba</t>
        </is>
      </c>
      <c r="AE1" s="45" t="inlineStr">
        <is>
          <t>Thứ Tư</t>
        </is>
      </c>
      <c r="AF1" s="45" t="inlineStr">
        <is>
          <t>Thứ Năm</t>
        </is>
      </c>
      <c r="AG1" s="45" t="inlineStr">
        <is>
          <t>Thứ Sáu</t>
        </is>
      </c>
      <c r="AH1" s="45" t="inlineStr">
        <is>
          <t>Thứ Bảy</t>
        </is>
      </c>
      <c r="AI1" s="45" t="inlineStr">
        <is>
          <t>Chủ Nhật</t>
        </is>
      </c>
      <c r="AJ1" s="45" t="inlineStr">
        <is>
          <t>Thứ Hai</t>
        </is>
      </c>
      <c r="AK1" s="45" t="inlineStr">
        <is>
          <t>Thứ Ba</t>
        </is>
      </c>
      <c r="AL1" s="45" t="inlineStr">
        <is>
          <t>Thứ Tư</t>
        </is>
      </c>
      <c r="AM1" s="45" t="inlineStr">
        <is>
          <t>Thứ Năm</t>
        </is>
      </c>
      <c r="AN1" s="45" t="inlineStr">
        <is>
          <t>Thứ Sáu</t>
        </is>
      </c>
      <c r="AO1" s="45" t="inlineStr">
        <is>
          <t>Thứ Bảy</t>
        </is>
      </c>
      <c r="AP1" s="45" t="inlineStr">
        <is>
          <t>Chủ Nhật</t>
        </is>
      </c>
      <c r="AQ1" s="45" t="inlineStr">
        <is>
          <t>Thứ Hai</t>
        </is>
      </c>
      <c r="AR1" s="45" t="inlineStr">
        <is>
          <t>Thứ Ba</t>
        </is>
      </c>
      <c r="AS1" s="45" t="inlineStr">
        <is>
          <t>Thứ Tư</t>
        </is>
      </c>
      <c r="AT1" s="45" t="inlineStr">
        <is>
          <t>Thứ Năm</t>
        </is>
      </c>
      <c r="AU1" s="45" t="inlineStr">
        <is>
          <t>Thứ Sáu</t>
        </is>
      </c>
      <c r="AV1" s="45" t="inlineStr">
        <is>
          <t>Thứ Bảy</t>
        </is>
      </c>
      <c r="AW1" s="45" t="inlineStr">
        <is>
          <t>Chủ Nhật</t>
        </is>
      </c>
      <c r="AX1" s="45" t="inlineStr">
        <is>
          <t>Thứ Hai</t>
        </is>
      </c>
      <c r="AY1" s="45" t="inlineStr">
        <is>
          <t>Thứ Ba</t>
        </is>
      </c>
      <c r="AZ1" s="45" t="inlineStr">
        <is>
          <t>Thứ Tư</t>
        </is>
      </c>
      <c r="BA1" s="45" t="inlineStr">
        <is>
          <t>Thứ Năm</t>
        </is>
      </c>
      <c r="BB1" s="45" t="inlineStr">
        <is>
          <t>Thứ Sáu</t>
        </is>
      </c>
      <c r="BC1" s="45" t="inlineStr">
        <is>
          <t>Thứ Bảy</t>
        </is>
      </c>
      <c r="BD1" s="45" t="inlineStr">
        <is>
          <t>Chủ Nhật</t>
        </is>
      </c>
      <c r="BE1" s="45" t="inlineStr">
        <is>
          <t>Thứ Hai</t>
        </is>
      </c>
      <c r="BF1" s="45" t="inlineStr">
        <is>
          <t>Thứ Ba</t>
        </is>
      </c>
      <c r="BG1" s="45" t="inlineStr">
        <is>
          <t>Thứ Tư</t>
        </is>
      </c>
      <c r="BH1" s="45" t="inlineStr">
        <is>
          <t>Thứ Năm</t>
        </is>
      </c>
      <c r="BI1" s="45" t="inlineStr">
        <is>
          <t>Thứ Sáu</t>
        </is>
      </c>
      <c r="BJ1" s="45" t="inlineStr">
        <is>
          <t>Thứ Bảy</t>
        </is>
      </c>
      <c r="BK1" s="45" t="inlineStr">
        <is>
          <t>Chủ Nhật</t>
        </is>
      </c>
      <c r="BL1" s="45" t="inlineStr">
        <is>
          <t>Thứ Hai</t>
        </is>
      </c>
      <c r="BM1" s="45" t="inlineStr">
        <is>
          <t>Thứ Ba</t>
        </is>
      </c>
      <c r="BN1" s="45" t="inlineStr">
        <is>
          <t>Thứ Tư</t>
        </is>
      </c>
      <c r="BO1" s="45" t="inlineStr">
        <is>
          <t>Thứ Năm</t>
        </is>
      </c>
      <c r="BP1" s="45" t="inlineStr">
        <is>
          <t>Thứ Sáu</t>
        </is>
      </c>
      <c r="BQ1" s="45" t="inlineStr">
        <is>
          <t>Thứ Bảy</t>
        </is>
      </c>
      <c r="BR1" s="45" t="inlineStr">
        <is>
          <t>Chủ Nhật</t>
        </is>
      </c>
      <c r="BS1" s="45" t="inlineStr">
        <is>
          <t>Thứ Hai</t>
        </is>
      </c>
      <c r="BT1" s="45" t="inlineStr">
        <is>
          <t>Thứ Ba</t>
        </is>
      </c>
      <c r="BU1" s="45" t="inlineStr">
        <is>
          <t>Thứ Tư</t>
        </is>
      </c>
      <c r="BV1" s="45" t="inlineStr">
        <is>
          <t>Thứ Năm</t>
        </is>
      </c>
      <c r="BW1" s="45" t="inlineStr">
        <is>
          <t>Thứ Sáu</t>
        </is>
      </c>
      <c r="BX1" s="45" t="inlineStr">
        <is>
          <t>Thứ Bảy</t>
        </is>
      </c>
      <c r="BY1" s="45" t="inlineStr">
        <is>
          <t>Chủ Nhật</t>
        </is>
      </c>
    </row>
    <row r="2">
      <c r="A2" s="45" t="inlineStr">
        <is>
          <t>Kho</t>
        </is>
      </c>
      <c r="B2" s="45" t="inlineStr">
        <is>
          <t>Nhóm hàng</t>
        </is>
      </c>
      <c r="C2" s="45" t="inlineStr">
        <is>
          <t>15/07</t>
        </is>
      </c>
      <c r="D2" s="45" t="inlineStr">
        <is>
          <t>16/07</t>
        </is>
      </c>
      <c r="E2" s="45" t="inlineStr">
        <is>
          <t>17/07</t>
        </is>
      </c>
      <c r="F2" s="45" t="inlineStr">
        <is>
          <t>18/07</t>
        </is>
      </c>
      <c r="G2" s="45" t="inlineStr">
        <is>
          <t>19/07</t>
        </is>
      </c>
      <c r="H2" s="45" t="inlineStr">
        <is>
          <t>20/07</t>
        </is>
      </c>
      <c r="I2" s="45" t="inlineStr">
        <is>
          <t>21/07</t>
        </is>
      </c>
      <c r="J2" s="45" t="inlineStr">
        <is>
          <t>22/07</t>
        </is>
      </c>
      <c r="K2" s="45" t="inlineStr">
        <is>
          <t>23/07</t>
        </is>
      </c>
      <c r="L2" s="45" t="inlineStr">
        <is>
          <t>24/07</t>
        </is>
      </c>
      <c r="M2" s="45" t="inlineStr">
        <is>
          <t>25/07</t>
        </is>
      </c>
      <c r="N2" s="45" t="inlineStr">
        <is>
          <t>26/07</t>
        </is>
      </c>
      <c r="O2" s="45" t="inlineStr">
        <is>
          <t>27/07</t>
        </is>
      </c>
      <c r="P2" s="45" t="inlineStr">
        <is>
          <t>28/07</t>
        </is>
      </c>
      <c r="Q2" s="45" t="inlineStr">
        <is>
          <t>29/07</t>
        </is>
      </c>
      <c r="R2" s="45" t="inlineStr">
        <is>
          <t>30/07</t>
        </is>
      </c>
      <c r="S2" s="45" t="inlineStr">
        <is>
          <t>31/07</t>
        </is>
      </c>
      <c r="T2" s="46" t="n">
        <v>46030</v>
      </c>
      <c r="U2" s="46" t="n">
        <v>46061</v>
      </c>
      <c r="V2" s="46" t="n">
        <v>46089</v>
      </c>
      <c r="W2" s="46" t="n">
        <v>46120</v>
      </c>
      <c r="X2" s="46" t="n">
        <v>46150</v>
      </c>
      <c r="Y2" s="46" t="n">
        <v>46181</v>
      </c>
      <c r="Z2" s="46" t="n">
        <v>46211</v>
      </c>
      <c r="AA2" s="46" t="n">
        <v>46242</v>
      </c>
      <c r="AB2" s="46" t="n">
        <v>46273</v>
      </c>
      <c r="AC2" s="46" t="n">
        <v>46303</v>
      </c>
      <c r="AD2" s="46" t="n">
        <v>46334</v>
      </c>
      <c r="AE2" s="46" t="n">
        <v>46364</v>
      </c>
      <c r="AF2" s="45" t="inlineStr">
        <is>
          <t>13/08</t>
        </is>
      </c>
      <c r="AG2" s="45" t="inlineStr">
        <is>
          <t>14/08</t>
        </is>
      </c>
      <c r="AH2" s="45" t="inlineStr">
        <is>
          <t>15/08</t>
        </is>
      </c>
      <c r="AI2" s="45" t="inlineStr">
        <is>
          <t>16/08</t>
        </is>
      </c>
      <c r="AJ2" s="45" t="inlineStr">
        <is>
          <t>17/08</t>
        </is>
      </c>
      <c r="AK2" s="45" t="inlineStr">
        <is>
          <t>18/08</t>
        </is>
      </c>
      <c r="AL2" s="45" t="inlineStr">
        <is>
          <t>19/08</t>
        </is>
      </c>
      <c r="AM2" s="45" t="inlineStr">
        <is>
          <t>20/08</t>
        </is>
      </c>
      <c r="AN2" s="45" t="inlineStr">
        <is>
          <t>21/08</t>
        </is>
      </c>
      <c r="AO2" s="45" t="inlineStr">
        <is>
          <t>22/08</t>
        </is>
      </c>
      <c r="AP2" s="45" t="inlineStr">
        <is>
          <t>23/08</t>
        </is>
      </c>
      <c r="AQ2" s="45" t="inlineStr">
        <is>
          <t>24/08</t>
        </is>
      </c>
      <c r="AR2" s="45" t="inlineStr">
        <is>
          <t>25/08</t>
        </is>
      </c>
      <c r="AS2" s="45" t="inlineStr">
        <is>
          <t>26/08</t>
        </is>
      </c>
      <c r="AT2" s="45" t="inlineStr">
        <is>
          <t>27/08</t>
        </is>
      </c>
      <c r="AU2" s="45" t="inlineStr">
        <is>
          <t>28/08</t>
        </is>
      </c>
      <c r="AV2" s="45" t="inlineStr">
        <is>
          <t>29/08</t>
        </is>
      </c>
      <c r="AW2" s="45" t="inlineStr">
        <is>
          <t>30/08</t>
        </is>
      </c>
      <c r="AX2" s="45" t="inlineStr">
        <is>
          <t>31/08</t>
        </is>
      </c>
      <c r="AY2" s="46" t="n">
        <v>46031</v>
      </c>
      <c r="AZ2" s="46" t="n">
        <v>46062</v>
      </c>
      <c r="BA2" s="46" t="n">
        <v>46090</v>
      </c>
      <c r="BB2" s="46" t="n">
        <v>46121</v>
      </c>
      <c r="BC2" s="46" t="n">
        <v>46151</v>
      </c>
      <c r="BD2" s="46" t="n">
        <v>46182</v>
      </c>
      <c r="BE2" s="46" t="n">
        <v>46212</v>
      </c>
      <c r="BF2" s="46" t="n">
        <v>46243</v>
      </c>
      <c r="BG2" s="46" t="n">
        <v>46274</v>
      </c>
      <c r="BH2" s="46" t="n">
        <v>46304</v>
      </c>
      <c r="BI2" s="46" t="n">
        <v>46335</v>
      </c>
      <c r="BJ2" s="46" t="n">
        <v>46365</v>
      </c>
      <c r="BK2" s="45" t="inlineStr">
        <is>
          <t>13/09</t>
        </is>
      </c>
      <c r="BL2" s="45" t="inlineStr">
        <is>
          <t>14/09</t>
        </is>
      </c>
      <c r="BM2" s="45" t="inlineStr">
        <is>
          <t>15/09</t>
        </is>
      </c>
      <c r="BN2" s="45" t="inlineStr">
        <is>
          <t>16/09</t>
        </is>
      </c>
      <c r="BO2" s="45" t="inlineStr">
        <is>
          <t>17/09</t>
        </is>
      </c>
      <c r="BP2" s="45" t="inlineStr">
        <is>
          <t>18/09</t>
        </is>
      </c>
      <c r="BQ2" s="45" t="inlineStr">
        <is>
          <t>19/09</t>
        </is>
      </c>
      <c r="BR2" s="45" t="inlineStr">
        <is>
          <t>20/09</t>
        </is>
      </c>
      <c r="BS2" s="45" t="inlineStr">
        <is>
          <t>21/09</t>
        </is>
      </c>
      <c r="BT2" s="45" t="inlineStr">
        <is>
          <t>22/09</t>
        </is>
      </c>
      <c r="BU2" s="45" t="inlineStr">
        <is>
          <t>23/09</t>
        </is>
      </c>
      <c r="BV2" s="45" t="inlineStr">
        <is>
          <t>24/09</t>
        </is>
      </c>
      <c r="BW2" s="45" t="inlineStr">
        <is>
          <t>25/09</t>
        </is>
      </c>
      <c r="BX2" s="45" t="inlineStr">
        <is>
          <t>26/09</t>
        </is>
      </c>
      <c r="BY2" s="45" t="inlineStr">
        <is>
          <t>27/09</t>
        </is>
      </c>
    </row>
    <row r="3">
      <c r="A3" s="45" t="n"/>
      <c r="B3" s="45" t="inlineStr">
        <is>
          <t>Source</t>
        </is>
      </c>
      <c r="C3" s="45" t="inlineStr">
        <is>
          <t>✅ ACT</t>
        </is>
      </c>
      <c r="D3" s="45" t="inlineStr">
        <is>
          <t>✅ ACT</t>
        </is>
      </c>
      <c r="E3" s="45" t="inlineStr">
        <is>
          <t>✅ ACT</t>
        </is>
      </c>
      <c r="F3" s="45" t="inlineStr">
        <is>
          <t>✅ ACT</t>
        </is>
      </c>
      <c r="G3" s="45" t="inlineStr">
        <is>
          <t>✅ ACT</t>
        </is>
      </c>
      <c r="H3" s="45" t="inlineStr">
        <is>
          <t>✅ ACT</t>
        </is>
      </c>
      <c r="I3" s="45" t="inlineStr">
        <is>
          <t>✅ ACT</t>
        </is>
      </c>
      <c r="J3" s="45" t="inlineStr">
        <is>
          <t>✅ ACT</t>
        </is>
      </c>
      <c r="K3" s="45" t="inlineStr">
        <is>
          <t>✅ ACT</t>
        </is>
      </c>
      <c r="L3" s="45" t="inlineStr">
        <is>
          <t>✅ ACT</t>
        </is>
      </c>
      <c r="M3" s="45" t="inlineStr">
        <is>
          <t>✅ ACT</t>
        </is>
      </c>
      <c r="N3" s="45" t="inlineStr">
        <is>
          <t>✅ ACT</t>
        </is>
      </c>
      <c r="O3" s="45" t="inlineStr">
        <is>
          <t>✅ ACT</t>
        </is>
      </c>
      <c r="P3" s="45" t="inlineStr">
        <is>
          <t>✅ ACT</t>
        </is>
      </c>
      <c r="Q3" s="45" t="inlineStr">
        <is>
          <t>✅ ACT</t>
        </is>
      </c>
      <c r="R3" s="45" t="inlineStr">
        <is>
          <t>📊 FC</t>
        </is>
      </c>
      <c r="S3" s="45" t="inlineStr">
        <is>
          <t>📊 FC</t>
        </is>
      </c>
      <c r="T3" s="45" t="inlineStr">
        <is>
          <t>📊 FC</t>
        </is>
      </c>
      <c r="U3" s="45" t="inlineStr">
        <is>
          <t>📊 FC</t>
        </is>
      </c>
      <c r="V3" s="45" t="inlineStr">
        <is>
          <t>📊 FC</t>
        </is>
      </c>
      <c r="W3" s="45" t="inlineStr">
        <is>
          <t>📊 FC</t>
        </is>
      </c>
      <c r="X3" s="45" t="inlineStr">
        <is>
          <t>📊 FC</t>
        </is>
      </c>
      <c r="Y3" s="45" t="inlineStr">
        <is>
          <t>📊 FC</t>
        </is>
      </c>
      <c r="Z3" s="45" t="inlineStr">
        <is>
          <t>📊 FC</t>
        </is>
      </c>
      <c r="AA3" s="45" t="inlineStr">
        <is>
          <t>📊 FC</t>
        </is>
      </c>
      <c r="AB3" s="45" t="inlineStr">
        <is>
          <t>📊 FC</t>
        </is>
      </c>
      <c r="AC3" s="45" t="inlineStr">
        <is>
          <t>📊 FC</t>
        </is>
      </c>
      <c r="AD3" s="45" t="inlineStr">
        <is>
          <t>📊 FC</t>
        </is>
      </c>
      <c r="AE3" s="45" t="inlineStr">
        <is>
          <t>📊 FC</t>
        </is>
      </c>
      <c r="AF3" s="45" t="inlineStr">
        <is>
          <t>📊 FC</t>
        </is>
      </c>
      <c r="AG3" s="45" t="inlineStr">
        <is>
          <t>📊 FC</t>
        </is>
      </c>
      <c r="AH3" s="45" t="inlineStr">
        <is>
          <t>📊 FC</t>
        </is>
      </c>
      <c r="AI3" s="45" t="inlineStr">
        <is>
          <t>📊 FC</t>
        </is>
      </c>
      <c r="AJ3" s="45" t="inlineStr">
        <is>
          <t>📊 FC</t>
        </is>
      </c>
      <c r="AK3" s="45" t="inlineStr">
        <is>
          <t>📊 FC</t>
        </is>
      </c>
      <c r="AL3" s="45" t="inlineStr">
        <is>
          <t>📊 FC</t>
        </is>
      </c>
      <c r="AM3" s="45" t="inlineStr">
        <is>
          <t>📊 FC</t>
        </is>
      </c>
      <c r="AN3" s="45" t="inlineStr">
        <is>
          <t>📊 FC</t>
        </is>
      </c>
      <c r="AO3" s="45" t="inlineStr">
        <is>
          <t>📊 FC</t>
        </is>
      </c>
      <c r="AP3" s="45" t="inlineStr">
        <is>
          <t>📊 FC</t>
        </is>
      </c>
      <c r="AQ3" s="45" t="inlineStr">
        <is>
          <t>📊 FC</t>
        </is>
      </c>
      <c r="AR3" s="45" t="inlineStr">
        <is>
          <t>📊 FC</t>
        </is>
      </c>
      <c r="AS3" s="45" t="inlineStr">
        <is>
          <t>📊 FC</t>
        </is>
      </c>
      <c r="AT3" s="45" t="inlineStr">
        <is>
          <t>📊 FC</t>
        </is>
      </c>
      <c r="AU3" s="45" t="inlineStr">
        <is>
          <t>📊 FC</t>
        </is>
      </c>
      <c r="AV3" s="45" t="inlineStr">
        <is>
          <t>📊 FC</t>
        </is>
      </c>
      <c r="AW3" s="45" t="inlineStr">
        <is>
          <t>📊 FC</t>
        </is>
      </c>
      <c r="AX3" s="45" t="inlineStr">
        <is>
          <t>📊 FC</t>
        </is>
      </c>
      <c r="AY3" s="45" t="inlineStr">
        <is>
          <t>📊 FC</t>
        </is>
      </c>
      <c r="AZ3" s="45" t="inlineStr">
        <is>
          <t>📊 FC</t>
        </is>
      </c>
      <c r="BA3" s="45" t="inlineStr">
        <is>
          <t>📊 FC</t>
        </is>
      </c>
      <c r="BB3" s="45" t="inlineStr">
        <is>
          <t>📊 FC</t>
        </is>
      </c>
      <c r="BC3" s="45" t="inlineStr">
        <is>
          <t>📊 FC</t>
        </is>
      </c>
      <c r="BD3" s="45" t="inlineStr">
        <is>
          <t>📊 FC</t>
        </is>
      </c>
      <c r="BE3" s="45" t="inlineStr">
        <is>
          <t>📊 FC</t>
        </is>
      </c>
      <c r="BF3" s="45" t="inlineStr">
        <is>
          <t>📊 FC</t>
        </is>
      </c>
      <c r="BG3" s="45" t="inlineStr">
        <is>
          <t>📊 FC</t>
        </is>
      </c>
      <c r="BH3" s="45" t="inlineStr">
        <is>
          <t>📊 FC</t>
        </is>
      </c>
      <c r="BI3" s="45" t="inlineStr">
        <is>
          <t>📊 FC</t>
        </is>
      </c>
      <c r="BJ3" s="45" t="inlineStr">
        <is>
          <t>📊 FC</t>
        </is>
      </c>
      <c r="BK3" s="45" t="inlineStr">
        <is>
          <t>📊 FC</t>
        </is>
      </c>
      <c r="BL3" s="45" t="inlineStr">
        <is>
          <t>📊 FC</t>
        </is>
      </c>
      <c r="BM3" s="45" t="inlineStr">
        <is>
          <t>📊 FC</t>
        </is>
      </c>
      <c r="BN3" s="45" t="inlineStr">
        <is>
          <t>📊 FC</t>
        </is>
      </c>
      <c r="BO3" s="45" t="inlineStr">
        <is>
          <t>📊 FC</t>
        </is>
      </c>
      <c r="BP3" s="45" t="inlineStr">
        <is>
          <t>📊 FC</t>
        </is>
      </c>
      <c r="BQ3" s="45" t="inlineStr">
        <is>
          <t>📊 FC</t>
        </is>
      </c>
      <c r="BR3" s="45" t="inlineStr">
        <is>
          <t>📊 FC</t>
        </is>
      </c>
      <c r="BS3" s="45" t="inlineStr">
        <is>
          <t>📊 FC</t>
        </is>
      </c>
      <c r="BT3" s="45" t="inlineStr">
        <is>
          <t>📊 FC</t>
        </is>
      </c>
      <c r="BU3" s="45" t="inlineStr">
        <is>
          <t>📊 FC</t>
        </is>
      </c>
      <c r="BV3" s="45" t="inlineStr">
        <is>
          <t>📊 FC</t>
        </is>
      </c>
      <c r="BW3" s="45" t="inlineStr">
        <is>
          <t>📊 FC</t>
        </is>
      </c>
      <c r="BX3" s="45" t="inlineStr">
        <is>
          <t>📊 FC</t>
        </is>
      </c>
      <c r="BY3" s="45" t="inlineStr">
        <is>
          <t>📊 FC</t>
        </is>
      </c>
    </row>
    <row r="4">
      <c r="A4" s="48" t="inlineStr">
        <is>
          <t>▸ NTB — Nam Trung Bộ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  <c r="BB4" s="48" t="n"/>
      <c r="BC4" s="48" t="n"/>
      <c r="BD4" s="48" t="n"/>
      <c r="BE4" s="48" t="n"/>
      <c r="BF4" s="48" t="n"/>
      <c r="BG4" s="48" t="n"/>
      <c r="BH4" s="48" t="n"/>
      <c r="BI4" s="48" t="n"/>
      <c r="BJ4" s="48" t="n"/>
      <c r="BK4" s="48" t="n"/>
      <c r="BL4" s="48" t="n"/>
      <c r="BM4" s="48" t="n"/>
      <c r="BN4" s="48" t="n"/>
      <c r="BO4" s="48" t="n"/>
      <c r="BP4" s="48" t="n"/>
      <c r="BQ4" s="48" t="n"/>
      <c r="BR4" s="48" t="n"/>
      <c r="BS4" s="48" t="n"/>
      <c r="BT4" s="48" t="n"/>
      <c r="BU4" s="48" t="n"/>
      <c r="BV4" s="48" t="n"/>
      <c r="BW4" s="48" t="n"/>
      <c r="BX4" s="48" t="n"/>
      <c r="BY4" s="48" t="n"/>
    </row>
    <row r="5">
      <c r="A5" s="49" t="inlineStr">
        <is>
          <t>Kho Trung Chuyển Khánh Hòa</t>
        </is>
      </c>
      <c r="B5" s="50" t="inlineStr">
        <is>
          <t>Normal</t>
        </is>
      </c>
      <c r="C5" s="51" t="n">
        <v>25885</v>
      </c>
      <c r="D5" s="51" t="n">
        <v>22760</v>
      </c>
      <c r="E5" s="51" t="n">
        <v>22696</v>
      </c>
      <c r="F5" s="51" t="n">
        <v>22949</v>
      </c>
      <c r="G5" s="51" t="n">
        <v>21595</v>
      </c>
      <c r="H5" s="51" t="n">
        <v>18217</v>
      </c>
      <c r="I5" s="51" t="n">
        <v>26146</v>
      </c>
      <c r="J5" s="51" t="n">
        <v>22132</v>
      </c>
      <c r="K5" s="51" t="n">
        <v>22933</v>
      </c>
      <c r="L5" s="51" t="n">
        <v>19433</v>
      </c>
      <c r="M5" s="51" t="n">
        <v>21390</v>
      </c>
      <c r="N5" s="51" t="n">
        <v>17840</v>
      </c>
      <c r="O5" s="51" t="n">
        <v>21688</v>
      </c>
      <c r="P5" s="51" t="n">
        <v>22997</v>
      </c>
      <c r="Q5" s="51" t="n">
        <v>21508</v>
      </c>
      <c r="R5" s="51" t="n">
        <v>21743</v>
      </c>
      <c r="S5" s="51" t="n">
        <v>21984</v>
      </c>
      <c r="T5" s="51" t="n">
        <v>21347</v>
      </c>
      <c r="U5" s="51" t="n">
        <v>17637</v>
      </c>
      <c r="V5" s="51" t="n">
        <v>25750</v>
      </c>
      <c r="W5" s="51" t="n">
        <v>22144</v>
      </c>
      <c r="X5" s="51" t="n">
        <v>23993</v>
      </c>
      <c r="Y5" s="51" t="n">
        <v>21652</v>
      </c>
      <c r="Z5" s="51" t="n">
        <v>22586</v>
      </c>
      <c r="AA5" s="51" t="n">
        <v>30057</v>
      </c>
      <c r="AB5" s="51" t="n">
        <v>18795</v>
      </c>
      <c r="AC5" s="51" t="n">
        <v>26792</v>
      </c>
      <c r="AD5" s="51" t="n">
        <v>22516</v>
      </c>
      <c r="AE5" s="51" t="n">
        <v>22667</v>
      </c>
      <c r="AF5" s="51" t="n">
        <v>22425</v>
      </c>
      <c r="AG5" s="51" t="n">
        <v>23306</v>
      </c>
      <c r="AH5" s="51" t="n">
        <v>23281</v>
      </c>
      <c r="AI5" s="51" t="n">
        <v>22033</v>
      </c>
      <c r="AJ5" s="51" t="n">
        <v>25872</v>
      </c>
      <c r="AK5" s="51" t="n">
        <v>22333</v>
      </c>
      <c r="AL5" s="51" t="n">
        <v>22773</v>
      </c>
      <c r="AM5" s="51" t="n">
        <v>22052</v>
      </c>
      <c r="AN5" s="51" t="n">
        <v>20660</v>
      </c>
      <c r="AO5" s="51" t="n">
        <v>21263</v>
      </c>
      <c r="AP5" s="51" t="n">
        <v>17653</v>
      </c>
      <c r="AQ5" s="51" t="n">
        <v>26476</v>
      </c>
      <c r="AR5" s="51" t="n">
        <v>23836</v>
      </c>
      <c r="AS5" s="51" t="n">
        <v>22809</v>
      </c>
      <c r="AT5" s="51" t="n">
        <v>21377</v>
      </c>
      <c r="AU5" s="51" t="n">
        <v>21692</v>
      </c>
      <c r="AV5" s="51" t="n">
        <v>21183</v>
      </c>
      <c r="AW5" s="51" t="n">
        <v>17654</v>
      </c>
      <c r="AX5" s="51" t="n">
        <v>24037</v>
      </c>
      <c r="AY5" s="51" t="n">
        <v>20659</v>
      </c>
      <c r="AZ5" s="51" t="n">
        <v>11036</v>
      </c>
      <c r="BA5" s="51" t="n">
        <v>12964</v>
      </c>
      <c r="BB5" s="51" t="n">
        <v>28280</v>
      </c>
      <c r="BC5" s="51" t="n">
        <v>27410</v>
      </c>
      <c r="BD5" s="51" t="n">
        <v>18473</v>
      </c>
      <c r="BE5" s="51" t="n">
        <v>26964</v>
      </c>
      <c r="BF5" s="51" t="n">
        <v>21968</v>
      </c>
      <c r="BG5" s="51" t="n">
        <v>33514</v>
      </c>
      <c r="BH5" s="51" t="n">
        <v>23293</v>
      </c>
      <c r="BI5" s="51" t="n">
        <v>23557</v>
      </c>
      <c r="BJ5" s="51" t="n">
        <v>22310</v>
      </c>
      <c r="BK5" s="51" t="n">
        <v>18373</v>
      </c>
      <c r="BL5" s="51" t="n">
        <v>26964</v>
      </c>
      <c r="BM5" s="51" t="n">
        <v>23763</v>
      </c>
      <c r="BN5" s="51" t="n">
        <v>27329</v>
      </c>
      <c r="BO5" s="51" t="n">
        <v>22560</v>
      </c>
      <c r="BP5" s="51" t="n">
        <v>22927</v>
      </c>
      <c r="BQ5" s="51" t="n">
        <v>22226</v>
      </c>
      <c r="BR5" s="51" t="n">
        <v>18873</v>
      </c>
      <c r="BS5" s="51" t="n">
        <v>25342</v>
      </c>
      <c r="BT5" s="51" t="n">
        <v>23122</v>
      </c>
      <c r="BU5" s="51" t="n">
        <v>23512</v>
      </c>
      <c r="BV5" s="51" t="n">
        <v>22560</v>
      </c>
      <c r="BW5" s="51" t="n">
        <v>23530</v>
      </c>
      <c r="BX5" s="51" t="n">
        <v>22342</v>
      </c>
      <c r="BY5" s="51" t="n">
        <v>18373</v>
      </c>
    </row>
    <row r="6">
      <c r="A6" s="49" t="inlineStr">
        <is>
          <t>Kho Trung Chuyển Khánh Hòa</t>
        </is>
      </c>
      <c r="B6" s="50" t="inlineStr">
        <is>
          <t>Bulky</t>
        </is>
      </c>
      <c r="C6" s="51" t="n">
        <v>3508</v>
      </c>
      <c r="D6" s="51" t="n">
        <v>2822</v>
      </c>
      <c r="E6" s="51" t="n">
        <v>2954</v>
      </c>
      <c r="F6" s="51" t="n">
        <v>2703</v>
      </c>
      <c r="G6" s="51" t="n">
        <v>2691</v>
      </c>
      <c r="H6" s="51" t="n">
        <v>2029</v>
      </c>
      <c r="I6" s="51" t="n">
        <v>3370</v>
      </c>
      <c r="J6" s="51" t="n">
        <v>3055</v>
      </c>
      <c r="K6" s="51" t="n">
        <v>2582</v>
      </c>
      <c r="L6" s="51" t="n">
        <v>2388</v>
      </c>
      <c r="M6" s="51" t="n">
        <v>2827</v>
      </c>
      <c r="N6" s="51" t="n">
        <v>2485</v>
      </c>
      <c r="O6" s="51" t="n">
        <v>2370</v>
      </c>
      <c r="P6" s="51" t="n">
        <v>3205</v>
      </c>
      <c r="Q6" s="51" t="n">
        <v>2819</v>
      </c>
      <c r="R6" s="51" t="n">
        <v>2684</v>
      </c>
      <c r="S6" s="51" t="n">
        <v>2620</v>
      </c>
      <c r="T6" s="51" t="n">
        <v>2993</v>
      </c>
      <c r="U6" s="51" t="n">
        <v>1804</v>
      </c>
      <c r="V6" s="51" t="n">
        <v>3444</v>
      </c>
      <c r="W6" s="51" t="n">
        <v>2816</v>
      </c>
      <c r="X6" s="51" t="n">
        <v>3399</v>
      </c>
      <c r="Y6" s="51" t="n">
        <v>2755</v>
      </c>
      <c r="Z6" s="51" t="n">
        <v>2852</v>
      </c>
      <c r="AA6" s="51" t="n">
        <v>3940</v>
      </c>
      <c r="AB6" s="51" t="n">
        <v>3975</v>
      </c>
      <c r="AC6" s="51" t="n">
        <v>3524</v>
      </c>
      <c r="AD6" s="51" t="n">
        <v>4971</v>
      </c>
      <c r="AE6" s="51" t="n">
        <v>4882</v>
      </c>
      <c r="AF6" s="51" t="n">
        <v>3431</v>
      </c>
      <c r="AG6" s="51" t="n">
        <v>2738</v>
      </c>
      <c r="AH6" s="51" t="n">
        <v>3940</v>
      </c>
      <c r="AI6" s="51" t="n">
        <v>2632</v>
      </c>
      <c r="AJ6" s="51" t="n">
        <v>4286</v>
      </c>
      <c r="AK6" s="51" t="n">
        <v>2862</v>
      </c>
      <c r="AL6" s="51" t="n">
        <v>2710</v>
      </c>
      <c r="AM6" s="51" t="n">
        <v>3816</v>
      </c>
      <c r="AN6" s="51" t="n">
        <v>2641</v>
      </c>
      <c r="AO6" s="51" t="n">
        <v>2773</v>
      </c>
      <c r="AP6" s="51" t="n">
        <v>1653</v>
      </c>
      <c r="AQ6" s="51" t="n">
        <v>3229</v>
      </c>
      <c r="AR6" s="51" t="n">
        <v>4627</v>
      </c>
      <c r="AS6" s="51" t="n">
        <v>3134</v>
      </c>
      <c r="AT6" s="51" t="n">
        <v>2670</v>
      </c>
      <c r="AU6" s="51" t="n">
        <v>2548</v>
      </c>
      <c r="AV6" s="51" t="n">
        <v>2693</v>
      </c>
      <c r="AW6" s="51" t="n">
        <v>1599</v>
      </c>
      <c r="AX6" s="51" t="n">
        <v>3074</v>
      </c>
      <c r="AY6" s="51" t="n">
        <v>1094</v>
      </c>
      <c r="AZ6" s="50" t="n">
        <v>376</v>
      </c>
      <c r="BA6" s="50" t="n">
        <v>509</v>
      </c>
      <c r="BB6" s="51" t="n">
        <v>1386</v>
      </c>
      <c r="BC6" s="51" t="n">
        <v>1229</v>
      </c>
      <c r="BD6" s="50" t="n">
        <v>863</v>
      </c>
      <c r="BE6" s="51" t="n">
        <v>1555</v>
      </c>
      <c r="BF6" s="51" t="n">
        <v>1371</v>
      </c>
      <c r="BG6" s="51" t="n">
        <v>4488</v>
      </c>
      <c r="BH6" s="51" t="n">
        <v>2113</v>
      </c>
      <c r="BI6" s="51" t="n">
        <v>1452</v>
      </c>
      <c r="BJ6" s="51" t="n">
        <v>1131</v>
      </c>
      <c r="BK6" s="50" t="n">
        <v>852</v>
      </c>
      <c r="BL6" s="51" t="n">
        <v>1724</v>
      </c>
      <c r="BM6" s="51" t="n">
        <v>2102</v>
      </c>
      <c r="BN6" s="51" t="n">
        <v>1774</v>
      </c>
      <c r="BO6" s="51" t="n">
        <v>1276</v>
      </c>
      <c r="BP6" s="51" t="n">
        <v>1228</v>
      </c>
      <c r="BQ6" s="51" t="n">
        <v>1091</v>
      </c>
      <c r="BR6" s="51" t="n">
        <v>1268</v>
      </c>
      <c r="BS6" s="51" t="n">
        <v>1606</v>
      </c>
      <c r="BT6" s="51" t="n">
        <v>1371</v>
      </c>
      <c r="BU6" s="51" t="n">
        <v>1317</v>
      </c>
      <c r="BV6" s="51" t="n">
        <v>1276</v>
      </c>
      <c r="BW6" s="51" t="n">
        <v>1864</v>
      </c>
      <c r="BX6" s="51" t="n">
        <v>1236</v>
      </c>
      <c r="BY6" s="50" t="n">
        <v>829</v>
      </c>
    </row>
    <row r="7">
      <c r="A7" s="49" t="inlineStr">
        <is>
          <t>Kho Trung Chuyển Khánh Hòa</t>
        </is>
      </c>
      <c r="B7" s="50" t="inlineStr">
        <is>
          <t>Freight</t>
        </is>
      </c>
      <c r="C7" s="51" t="n">
        <v>2034</v>
      </c>
      <c r="D7" s="51" t="n">
        <v>2077</v>
      </c>
      <c r="E7" s="51" t="n">
        <v>1977</v>
      </c>
      <c r="F7" s="51" t="n">
        <v>1453</v>
      </c>
      <c r="G7" s="51" t="n">
        <v>1379</v>
      </c>
      <c r="H7" s="50" t="n">
        <v>989</v>
      </c>
      <c r="I7" s="51" t="n">
        <v>2025</v>
      </c>
      <c r="J7" s="51" t="n">
        <v>1812</v>
      </c>
      <c r="K7" s="51" t="n">
        <v>1381</v>
      </c>
      <c r="L7" s="51" t="n">
        <v>1353</v>
      </c>
      <c r="M7" s="51" t="n">
        <v>1674</v>
      </c>
      <c r="N7" s="51" t="n">
        <v>1972</v>
      </c>
      <c r="O7" s="51" t="n">
        <v>1477</v>
      </c>
      <c r="P7" s="51" t="n">
        <v>1789</v>
      </c>
      <c r="Q7" s="51" t="n">
        <v>1601</v>
      </c>
      <c r="R7" s="51" t="n">
        <v>1617</v>
      </c>
      <c r="S7" s="51" t="n">
        <v>1578</v>
      </c>
      <c r="T7" s="51" t="n">
        <v>1803</v>
      </c>
      <c r="U7" s="51" t="n">
        <v>1086</v>
      </c>
      <c r="V7" s="51" t="n">
        <v>2074</v>
      </c>
      <c r="W7" s="51" t="n">
        <v>1696</v>
      </c>
      <c r="X7" s="51" t="n">
        <v>2047</v>
      </c>
      <c r="Y7" s="51" t="n">
        <v>1659</v>
      </c>
      <c r="Z7" s="51" t="n">
        <v>1718</v>
      </c>
      <c r="AA7" s="51" t="n">
        <v>2901</v>
      </c>
      <c r="AB7" s="51" t="n">
        <v>2438</v>
      </c>
      <c r="AC7" s="51" t="n">
        <v>2725</v>
      </c>
      <c r="AD7" s="51" t="n">
        <v>2819</v>
      </c>
      <c r="AE7" s="51" t="n">
        <v>2274</v>
      </c>
      <c r="AF7" s="51" t="n">
        <v>1779</v>
      </c>
      <c r="AG7" s="51" t="n">
        <v>1601</v>
      </c>
      <c r="AH7" s="51" t="n">
        <v>2732</v>
      </c>
      <c r="AI7" s="51" t="n">
        <v>1421</v>
      </c>
      <c r="AJ7" s="51" t="n">
        <v>2426</v>
      </c>
      <c r="AK7" s="51" t="n">
        <v>1684</v>
      </c>
      <c r="AL7" s="51" t="n">
        <v>1632</v>
      </c>
      <c r="AM7" s="51" t="n">
        <v>2298</v>
      </c>
      <c r="AN7" s="51" t="n">
        <v>1590</v>
      </c>
      <c r="AO7" s="51" t="n">
        <v>1670</v>
      </c>
      <c r="AP7" s="50" t="n">
        <v>995</v>
      </c>
      <c r="AQ7" s="51" t="n">
        <v>1945</v>
      </c>
      <c r="AR7" s="51" t="n">
        <v>2786</v>
      </c>
      <c r="AS7" s="51" t="n">
        <v>1887</v>
      </c>
      <c r="AT7" s="51" t="n">
        <v>1608</v>
      </c>
      <c r="AU7" s="51" t="n">
        <v>1535</v>
      </c>
      <c r="AV7" s="51" t="n">
        <v>1622</v>
      </c>
      <c r="AW7" s="50" t="n">
        <v>963</v>
      </c>
      <c r="AX7" s="51" t="n">
        <v>1851</v>
      </c>
      <c r="AY7" s="50" t="n">
        <v>659</v>
      </c>
      <c r="AZ7" s="50" t="n">
        <v>226</v>
      </c>
      <c r="BA7" s="50" t="n">
        <v>307</v>
      </c>
      <c r="BB7" s="50" t="n">
        <v>834</v>
      </c>
      <c r="BC7" s="50" t="n">
        <v>740</v>
      </c>
      <c r="BD7" s="50" t="n">
        <v>520</v>
      </c>
      <c r="BE7" s="50" t="n">
        <v>936</v>
      </c>
      <c r="BF7" s="50" t="n">
        <v>826</v>
      </c>
      <c r="BG7" s="51" t="n">
        <v>2704</v>
      </c>
      <c r="BH7" s="51" t="n">
        <v>1272</v>
      </c>
      <c r="BI7" s="50" t="n">
        <v>873</v>
      </c>
      <c r="BJ7" s="50" t="n">
        <v>682</v>
      </c>
      <c r="BK7" s="50" t="n">
        <v>513</v>
      </c>
      <c r="BL7" s="51" t="n">
        <v>1038</v>
      </c>
      <c r="BM7" s="51" t="n">
        <v>1266</v>
      </c>
      <c r="BN7" s="51" t="n">
        <v>1068</v>
      </c>
      <c r="BO7" s="50" t="n">
        <v>768</v>
      </c>
      <c r="BP7" s="50" t="n">
        <v>739</v>
      </c>
      <c r="BQ7" s="50" t="n">
        <v>657</v>
      </c>
      <c r="BR7" s="50" t="n">
        <v>763</v>
      </c>
      <c r="BS7" s="50" t="n">
        <v>967</v>
      </c>
      <c r="BT7" s="50" t="n">
        <v>826</v>
      </c>
      <c r="BU7" s="50" t="n">
        <v>793</v>
      </c>
      <c r="BV7" s="50" t="n">
        <v>768</v>
      </c>
      <c r="BW7" s="51" t="n">
        <v>1122</v>
      </c>
      <c r="BX7" s="50" t="n">
        <v>745</v>
      </c>
      <c r="BY7" s="50" t="n">
        <v>500</v>
      </c>
    </row>
    <row r="8">
      <c r="A8" s="52" t="inlineStr">
        <is>
          <t>Kho Trung Chuyển Khánh Hòa</t>
        </is>
      </c>
      <c r="B8" s="52" t="inlineStr">
        <is>
          <t>Total</t>
        </is>
      </c>
      <c r="C8" s="53" t="n">
        <v>31427</v>
      </c>
      <c r="D8" s="53" t="n">
        <v>27659</v>
      </c>
      <c r="E8" s="53" t="n">
        <v>27627</v>
      </c>
      <c r="F8" s="53" t="n">
        <v>27105</v>
      </c>
      <c r="G8" s="53" t="n">
        <v>25665</v>
      </c>
      <c r="H8" s="53" t="n">
        <v>21235</v>
      </c>
      <c r="I8" s="53" t="n">
        <v>31541</v>
      </c>
      <c r="J8" s="53" t="n">
        <v>26999</v>
      </c>
      <c r="K8" s="53" t="n">
        <v>26896</v>
      </c>
      <c r="L8" s="53" t="n">
        <v>23174</v>
      </c>
      <c r="M8" s="53" t="n">
        <v>25891</v>
      </c>
      <c r="N8" s="53" t="n">
        <v>22297</v>
      </c>
      <c r="O8" s="53" t="n">
        <v>25535</v>
      </c>
      <c r="P8" s="53" t="n">
        <v>27991</v>
      </c>
      <c r="Q8" s="53" t="n">
        <v>25928</v>
      </c>
      <c r="R8" s="53" t="n">
        <v>26044</v>
      </c>
      <c r="S8" s="53" t="n">
        <v>26183</v>
      </c>
      <c r="T8" s="53" t="n">
        <v>26143</v>
      </c>
      <c r="U8" s="53" t="n">
        <v>20527</v>
      </c>
      <c r="V8" s="53" t="n">
        <v>31268</v>
      </c>
      <c r="W8" s="53" t="n">
        <v>26656</v>
      </c>
      <c r="X8" s="53" t="n">
        <v>29438</v>
      </c>
      <c r="Y8" s="53" t="n">
        <v>26067</v>
      </c>
      <c r="Z8" s="53" t="n">
        <v>27156</v>
      </c>
      <c r="AA8" s="53" t="n">
        <v>36898</v>
      </c>
      <c r="AB8" s="53" t="n">
        <v>25208</v>
      </c>
      <c r="AC8" s="53" t="n">
        <v>33041</v>
      </c>
      <c r="AD8" s="53" t="n">
        <v>30306</v>
      </c>
      <c r="AE8" s="53" t="n">
        <v>29823</v>
      </c>
      <c r="AF8" s="53" t="n">
        <v>27635</v>
      </c>
      <c r="AG8" s="53" t="n">
        <v>27645</v>
      </c>
      <c r="AH8" s="53" t="n">
        <v>29953</v>
      </c>
      <c r="AI8" s="53" t="n">
        <v>26086</v>
      </c>
      <c r="AJ8" s="53" t="n">
        <v>32584</v>
      </c>
      <c r="AK8" s="53" t="n">
        <v>26879</v>
      </c>
      <c r="AL8" s="53" t="n">
        <v>27115</v>
      </c>
      <c r="AM8" s="53" t="n">
        <v>28166</v>
      </c>
      <c r="AN8" s="53" t="n">
        <v>24891</v>
      </c>
      <c r="AO8" s="53" t="n">
        <v>25706</v>
      </c>
      <c r="AP8" s="53" t="n">
        <v>20300</v>
      </c>
      <c r="AQ8" s="53" t="n">
        <v>31650</v>
      </c>
      <c r="AR8" s="53" t="n">
        <v>31249</v>
      </c>
      <c r="AS8" s="53" t="n">
        <v>27831</v>
      </c>
      <c r="AT8" s="53" t="n">
        <v>25655</v>
      </c>
      <c r="AU8" s="53" t="n">
        <v>25775</v>
      </c>
      <c r="AV8" s="53" t="n">
        <v>25498</v>
      </c>
      <c r="AW8" s="53" t="n">
        <v>20217</v>
      </c>
      <c r="AX8" s="53" t="n">
        <v>28962</v>
      </c>
      <c r="AY8" s="53" t="n">
        <v>22413</v>
      </c>
      <c r="AZ8" s="53" t="n">
        <v>11638</v>
      </c>
      <c r="BA8" s="53" t="n">
        <v>13780</v>
      </c>
      <c r="BB8" s="53" t="n">
        <v>30500</v>
      </c>
      <c r="BC8" s="53" t="n">
        <v>29379</v>
      </c>
      <c r="BD8" s="53" t="n">
        <v>19856</v>
      </c>
      <c r="BE8" s="53" t="n">
        <v>29454</v>
      </c>
      <c r="BF8" s="53" t="n">
        <v>24166</v>
      </c>
      <c r="BG8" s="53" t="n">
        <v>40706</v>
      </c>
      <c r="BH8" s="53" t="n">
        <v>26678</v>
      </c>
      <c r="BI8" s="53" t="n">
        <v>25882</v>
      </c>
      <c r="BJ8" s="53" t="n">
        <v>24123</v>
      </c>
      <c r="BK8" s="53" t="n">
        <v>19738</v>
      </c>
      <c r="BL8" s="53" t="n">
        <v>29726</v>
      </c>
      <c r="BM8" s="53" t="n">
        <v>27130</v>
      </c>
      <c r="BN8" s="53" t="n">
        <v>30170</v>
      </c>
      <c r="BO8" s="53" t="n">
        <v>24605</v>
      </c>
      <c r="BP8" s="53" t="n">
        <v>24893</v>
      </c>
      <c r="BQ8" s="53" t="n">
        <v>23975</v>
      </c>
      <c r="BR8" s="53" t="n">
        <v>20904</v>
      </c>
      <c r="BS8" s="53" t="n">
        <v>27916</v>
      </c>
      <c r="BT8" s="53" t="n">
        <v>25319</v>
      </c>
      <c r="BU8" s="53" t="n">
        <v>25622</v>
      </c>
      <c r="BV8" s="53" t="n">
        <v>24605</v>
      </c>
      <c r="BW8" s="53" t="n">
        <v>26516</v>
      </c>
      <c r="BX8" s="53" t="n">
        <v>24323</v>
      </c>
      <c r="BY8" s="53" t="n">
        <v>19702</v>
      </c>
    </row>
    <row r="9">
      <c r="A9" s="49" t="inlineStr">
        <is>
          <t>Kho Chuyển Tiếp Bình Thuận</t>
        </is>
      </c>
      <c r="B9" s="50" t="inlineStr">
        <is>
          <t>Normal</t>
        </is>
      </c>
      <c r="C9" s="51" t="n">
        <v>17907</v>
      </c>
      <c r="D9" s="51" t="n">
        <v>14214</v>
      </c>
      <c r="E9" s="51" t="n">
        <v>14233</v>
      </c>
      <c r="F9" s="51" t="n">
        <v>12893</v>
      </c>
      <c r="G9" s="51" t="n">
        <v>12910</v>
      </c>
      <c r="H9" s="51" t="n">
        <v>14920</v>
      </c>
      <c r="I9" s="51" t="n">
        <v>11660</v>
      </c>
      <c r="J9" s="51" t="n">
        <v>12857</v>
      </c>
      <c r="K9" s="51" t="n">
        <v>13813</v>
      </c>
      <c r="L9" s="51" t="n">
        <v>11899</v>
      </c>
      <c r="M9" s="51" t="n">
        <v>10769</v>
      </c>
      <c r="N9" s="51" t="n">
        <v>11197</v>
      </c>
      <c r="O9" s="51" t="n">
        <v>11267</v>
      </c>
      <c r="P9" s="51" t="n">
        <v>12235</v>
      </c>
      <c r="Q9" s="51" t="n">
        <v>13710</v>
      </c>
      <c r="R9" s="51" t="n">
        <v>12489</v>
      </c>
      <c r="S9" s="51" t="n">
        <v>12628</v>
      </c>
      <c r="T9" s="51" t="n">
        <v>12262</v>
      </c>
      <c r="U9" s="51" t="n">
        <v>10131</v>
      </c>
      <c r="V9" s="51" t="n">
        <v>14791</v>
      </c>
      <c r="W9" s="51" t="n">
        <v>12719</v>
      </c>
      <c r="X9" s="51" t="n">
        <v>13781</v>
      </c>
      <c r="Y9" s="51" t="n">
        <v>12437</v>
      </c>
      <c r="Z9" s="51" t="n">
        <v>12973</v>
      </c>
      <c r="AA9" s="51" t="n">
        <v>17265</v>
      </c>
      <c r="AB9" s="51" t="n">
        <v>10796</v>
      </c>
      <c r="AC9" s="51" t="n">
        <v>15389</v>
      </c>
      <c r="AD9" s="51" t="n">
        <v>12933</v>
      </c>
      <c r="AE9" s="51" t="n">
        <v>13021</v>
      </c>
      <c r="AF9" s="51" t="n">
        <v>12881</v>
      </c>
      <c r="AG9" s="51" t="n">
        <v>13387</v>
      </c>
      <c r="AH9" s="51" t="n">
        <v>13372</v>
      </c>
      <c r="AI9" s="51" t="n">
        <v>12655</v>
      </c>
      <c r="AJ9" s="51" t="n">
        <v>14861</v>
      </c>
      <c r="AK9" s="51" t="n">
        <v>12828</v>
      </c>
      <c r="AL9" s="51" t="n">
        <v>13082</v>
      </c>
      <c r="AM9" s="51" t="n">
        <v>12668</v>
      </c>
      <c r="AN9" s="51" t="n">
        <v>11867</v>
      </c>
      <c r="AO9" s="51" t="n">
        <v>12214</v>
      </c>
      <c r="AP9" s="51" t="n">
        <v>10140</v>
      </c>
      <c r="AQ9" s="51" t="n">
        <v>15208</v>
      </c>
      <c r="AR9" s="51" t="n">
        <v>13692</v>
      </c>
      <c r="AS9" s="51" t="n">
        <v>13102</v>
      </c>
      <c r="AT9" s="51" t="n">
        <v>12279</v>
      </c>
      <c r="AU9" s="51" t="n">
        <v>12460</v>
      </c>
      <c r="AV9" s="51" t="n">
        <v>12167</v>
      </c>
      <c r="AW9" s="51" t="n">
        <v>10141</v>
      </c>
      <c r="AX9" s="51" t="n">
        <v>13807</v>
      </c>
      <c r="AY9" s="51" t="n">
        <v>11867</v>
      </c>
      <c r="AZ9" s="51" t="n">
        <v>6339</v>
      </c>
      <c r="BA9" s="51" t="n">
        <v>7447</v>
      </c>
      <c r="BB9" s="51" t="n">
        <v>16244</v>
      </c>
      <c r="BC9" s="51" t="n">
        <v>15744</v>
      </c>
      <c r="BD9" s="51" t="n">
        <v>10611</v>
      </c>
      <c r="BE9" s="51" t="n">
        <v>15488</v>
      </c>
      <c r="BF9" s="51" t="n">
        <v>12618</v>
      </c>
      <c r="BG9" s="51" t="n">
        <v>19425</v>
      </c>
      <c r="BH9" s="51" t="n">
        <v>13290</v>
      </c>
      <c r="BI9" s="51" t="n">
        <v>13437</v>
      </c>
      <c r="BJ9" s="51" t="n">
        <v>12811</v>
      </c>
      <c r="BK9" s="51" t="n">
        <v>10553</v>
      </c>
      <c r="BL9" s="51" t="n">
        <v>15488</v>
      </c>
      <c r="BM9" s="51" t="n">
        <v>13649</v>
      </c>
      <c r="BN9" s="51" t="n">
        <v>15698</v>
      </c>
      <c r="BO9" s="51" t="n">
        <v>12959</v>
      </c>
      <c r="BP9" s="51" t="n">
        <v>13169</v>
      </c>
      <c r="BQ9" s="51" t="n">
        <v>12767</v>
      </c>
      <c r="BR9" s="51" t="n">
        <v>10841</v>
      </c>
      <c r="BS9" s="51" t="n">
        <v>14557</v>
      </c>
      <c r="BT9" s="51" t="n">
        <v>13281</v>
      </c>
      <c r="BU9" s="51" t="n">
        <v>13506</v>
      </c>
      <c r="BV9" s="51" t="n">
        <v>12959</v>
      </c>
      <c r="BW9" s="51" t="n">
        <v>13515</v>
      </c>
      <c r="BX9" s="51" t="n">
        <v>12833</v>
      </c>
      <c r="BY9" s="51" t="n">
        <v>10553</v>
      </c>
    </row>
    <row r="10">
      <c r="A10" s="49" t="inlineStr">
        <is>
          <t>Kho Chuyển Tiếp Bình Thuận</t>
        </is>
      </c>
      <c r="B10" s="50" t="inlineStr">
        <is>
          <t>Bulky</t>
        </is>
      </c>
      <c r="C10" s="51" t="n">
        <v>2520</v>
      </c>
      <c r="D10" s="51" t="n">
        <v>1930</v>
      </c>
      <c r="E10" s="51" t="n">
        <v>2022</v>
      </c>
      <c r="F10" s="51" t="n">
        <v>1738</v>
      </c>
      <c r="G10" s="51" t="n">
        <v>1872</v>
      </c>
      <c r="H10" s="51" t="n">
        <v>1593</v>
      </c>
      <c r="I10" s="51" t="n">
        <v>1722</v>
      </c>
      <c r="J10" s="51" t="n">
        <v>1811</v>
      </c>
      <c r="K10" s="51" t="n">
        <v>1799</v>
      </c>
      <c r="L10" s="51" t="n">
        <v>1798</v>
      </c>
      <c r="M10" s="51" t="n">
        <v>1524</v>
      </c>
      <c r="N10" s="51" t="n">
        <v>1484</v>
      </c>
      <c r="O10" s="51" t="n">
        <v>1732</v>
      </c>
      <c r="P10" s="51" t="n">
        <v>1834</v>
      </c>
      <c r="Q10" s="51" t="n">
        <v>1929</v>
      </c>
      <c r="R10" s="51" t="n">
        <v>1739</v>
      </c>
      <c r="S10" s="51" t="n">
        <v>1698</v>
      </c>
      <c r="T10" s="51" t="n">
        <v>1939</v>
      </c>
      <c r="U10" s="51" t="n">
        <v>1169</v>
      </c>
      <c r="V10" s="51" t="n">
        <v>2231</v>
      </c>
      <c r="W10" s="51" t="n">
        <v>1825</v>
      </c>
      <c r="X10" s="51" t="n">
        <v>2202</v>
      </c>
      <c r="Y10" s="51" t="n">
        <v>1785</v>
      </c>
      <c r="Z10" s="51" t="n">
        <v>1848</v>
      </c>
      <c r="AA10" s="51" t="n">
        <v>2347</v>
      </c>
      <c r="AB10" s="51" t="n">
        <v>2080</v>
      </c>
      <c r="AC10" s="51" t="n">
        <v>2515</v>
      </c>
      <c r="AD10" s="51" t="n">
        <v>2599</v>
      </c>
      <c r="AE10" s="51" t="n">
        <v>3508</v>
      </c>
      <c r="AF10" s="51" t="n">
        <v>2804</v>
      </c>
      <c r="AG10" s="51" t="n">
        <v>1940</v>
      </c>
      <c r="AH10" s="51" t="n">
        <v>2347</v>
      </c>
      <c r="AI10" s="51" t="n">
        <v>1767</v>
      </c>
      <c r="AJ10" s="51" t="n">
        <v>2852</v>
      </c>
      <c r="AK10" s="51" t="n">
        <v>1922</v>
      </c>
      <c r="AL10" s="51" t="n">
        <v>1756</v>
      </c>
      <c r="AM10" s="51" t="n">
        <v>2473</v>
      </c>
      <c r="AN10" s="51" t="n">
        <v>1711</v>
      </c>
      <c r="AO10" s="51" t="n">
        <v>1797</v>
      </c>
      <c r="AP10" s="51" t="n">
        <v>1071</v>
      </c>
      <c r="AQ10" s="51" t="n">
        <v>2092</v>
      </c>
      <c r="AR10" s="51" t="n">
        <v>2599</v>
      </c>
      <c r="AS10" s="51" t="n">
        <v>2192</v>
      </c>
      <c r="AT10" s="51" t="n">
        <v>1894</v>
      </c>
      <c r="AU10" s="51" t="n">
        <v>1725</v>
      </c>
      <c r="AV10" s="51" t="n">
        <v>1745</v>
      </c>
      <c r="AW10" s="51" t="n">
        <v>1036</v>
      </c>
      <c r="AX10" s="51" t="n">
        <v>1992</v>
      </c>
      <c r="AY10" s="50" t="n">
        <v>709</v>
      </c>
      <c r="AZ10" s="50" t="n">
        <v>244</v>
      </c>
      <c r="BA10" s="50" t="n">
        <v>330</v>
      </c>
      <c r="BB10" s="50" t="n">
        <v>898</v>
      </c>
      <c r="BC10" s="50" t="n">
        <v>796</v>
      </c>
      <c r="BD10" s="50" t="n">
        <v>559</v>
      </c>
      <c r="BE10" s="51" t="n">
        <v>1007</v>
      </c>
      <c r="BF10" s="50" t="n">
        <v>889</v>
      </c>
      <c r="BG10" s="51" t="n">
        <v>2797</v>
      </c>
      <c r="BH10" s="51" t="n">
        <v>1417</v>
      </c>
      <c r="BI10" s="50" t="n">
        <v>991</v>
      </c>
      <c r="BJ10" s="50" t="n">
        <v>758</v>
      </c>
      <c r="BK10" s="50" t="n">
        <v>552</v>
      </c>
      <c r="BL10" s="51" t="n">
        <v>1117</v>
      </c>
      <c r="BM10" s="51" t="n">
        <v>1362</v>
      </c>
      <c r="BN10" s="51" t="n">
        <v>1149</v>
      </c>
      <c r="BO10" s="50" t="n">
        <v>827</v>
      </c>
      <c r="BP10" s="50" t="n">
        <v>795</v>
      </c>
      <c r="BQ10" s="50" t="n">
        <v>707</v>
      </c>
      <c r="BR10" s="50" t="n">
        <v>821</v>
      </c>
      <c r="BS10" s="51" t="n">
        <v>1041</v>
      </c>
      <c r="BT10" s="50" t="n">
        <v>889</v>
      </c>
      <c r="BU10" s="50" t="n">
        <v>853</v>
      </c>
      <c r="BV10" s="50" t="n">
        <v>827</v>
      </c>
      <c r="BW10" s="51" t="n">
        <v>1208</v>
      </c>
      <c r="BX10" s="50" t="n">
        <v>801</v>
      </c>
      <c r="BY10" s="50" t="n">
        <v>537</v>
      </c>
    </row>
    <row r="11">
      <c r="A11" s="49" t="inlineStr">
        <is>
          <t>Kho Chuyển Tiếp Bình Thuận</t>
        </is>
      </c>
      <c r="B11" s="50" t="inlineStr">
        <is>
          <t>Freight</t>
        </is>
      </c>
      <c r="C11" s="51" t="n">
        <v>1626</v>
      </c>
      <c r="D11" s="51" t="n">
        <v>1479</v>
      </c>
      <c r="E11" s="51" t="n">
        <v>1423</v>
      </c>
      <c r="F11" s="51" t="n">
        <v>1030</v>
      </c>
      <c r="G11" s="50" t="n">
        <v>916</v>
      </c>
      <c r="H11" s="50" t="n">
        <v>968</v>
      </c>
      <c r="I11" s="51" t="n">
        <v>1353</v>
      </c>
      <c r="J11" s="51" t="n">
        <v>1137</v>
      </c>
      <c r="K11" s="51" t="n">
        <v>1092</v>
      </c>
      <c r="L11" s="51" t="n">
        <v>1027</v>
      </c>
      <c r="M11" s="51" t="n">
        <v>1228</v>
      </c>
      <c r="N11" s="51" t="n">
        <v>1282</v>
      </c>
      <c r="O11" s="51" t="n">
        <v>1158</v>
      </c>
      <c r="P11" s="51" t="n">
        <v>1314</v>
      </c>
      <c r="Q11" s="51" t="n">
        <v>1152</v>
      </c>
      <c r="R11" s="51" t="n">
        <v>1186</v>
      </c>
      <c r="S11" s="51" t="n">
        <v>1158</v>
      </c>
      <c r="T11" s="51" t="n">
        <v>1323</v>
      </c>
      <c r="U11" s="50" t="n">
        <v>797</v>
      </c>
      <c r="V11" s="51" t="n">
        <v>1522</v>
      </c>
      <c r="W11" s="51" t="n">
        <v>1245</v>
      </c>
      <c r="X11" s="51" t="n">
        <v>1502</v>
      </c>
      <c r="Y11" s="51" t="n">
        <v>1218</v>
      </c>
      <c r="Z11" s="51" t="n">
        <v>1260</v>
      </c>
      <c r="AA11" s="51" t="n">
        <v>2334</v>
      </c>
      <c r="AB11" s="51" t="n">
        <v>1665</v>
      </c>
      <c r="AC11" s="51" t="n">
        <v>2398</v>
      </c>
      <c r="AD11" s="51" t="n">
        <v>1849</v>
      </c>
      <c r="AE11" s="51" t="n">
        <v>1429</v>
      </c>
      <c r="AF11" s="51" t="n">
        <v>1285</v>
      </c>
      <c r="AG11" s="51" t="n">
        <v>1175</v>
      </c>
      <c r="AH11" s="51" t="n">
        <v>2005</v>
      </c>
      <c r="AI11" s="51" t="n">
        <v>1042</v>
      </c>
      <c r="AJ11" s="51" t="n">
        <v>1780</v>
      </c>
      <c r="AK11" s="51" t="n">
        <v>1236</v>
      </c>
      <c r="AL11" s="51" t="n">
        <v>1198</v>
      </c>
      <c r="AM11" s="51" t="n">
        <v>1686</v>
      </c>
      <c r="AN11" s="51" t="n">
        <v>1167</v>
      </c>
      <c r="AO11" s="51" t="n">
        <v>1225</v>
      </c>
      <c r="AP11" s="50" t="n">
        <v>730</v>
      </c>
      <c r="AQ11" s="51" t="n">
        <v>1427</v>
      </c>
      <c r="AR11" s="51" t="n">
        <v>2045</v>
      </c>
      <c r="AS11" s="51" t="n">
        <v>1385</v>
      </c>
      <c r="AT11" s="51" t="n">
        <v>1180</v>
      </c>
      <c r="AU11" s="51" t="n">
        <v>1126</v>
      </c>
      <c r="AV11" s="51" t="n">
        <v>1190</v>
      </c>
      <c r="AW11" s="50" t="n">
        <v>707</v>
      </c>
      <c r="AX11" s="51" t="n">
        <v>1359</v>
      </c>
      <c r="AY11" s="50" t="n">
        <v>484</v>
      </c>
      <c r="AZ11" s="50" t="n">
        <v>166</v>
      </c>
      <c r="BA11" s="50" t="n">
        <v>225</v>
      </c>
      <c r="BB11" s="50" t="n">
        <v>612</v>
      </c>
      <c r="BC11" s="50" t="n">
        <v>543</v>
      </c>
      <c r="BD11" s="50" t="n">
        <v>382</v>
      </c>
      <c r="BE11" s="50" t="n">
        <v>687</v>
      </c>
      <c r="BF11" s="50" t="n">
        <v>606</v>
      </c>
      <c r="BG11" s="51" t="n">
        <v>2002</v>
      </c>
      <c r="BH11" s="50" t="n">
        <v>927</v>
      </c>
      <c r="BI11" s="50" t="n">
        <v>636</v>
      </c>
      <c r="BJ11" s="50" t="n">
        <v>500</v>
      </c>
      <c r="BK11" s="50" t="n">
        <v>377</v>
      </c>
      <c r="BL11" s="50" t="n">
        <v>762</v>
      </c>
      <c r="BM11" s="50" t="n">
        <v>929</v>
      </c>
      <c r="BN11" s="50" t="n">
        <v>784</v>
      </c>
      <c r="BO11" s="50" t="n">
        <v>564</v>
      </c>
      <c r="BP11" s="50" t="n">
        <v>542</v>
      </c>
      <c r="BQ11" s="50" t="n">
        <v>482</v>
      </c>
      <c r="BR11" s="50" t="n">
        <v>560</v>
      </c>
      <c r="BS11" s="50" t="n">
        <v>710</v>
      </c>
      <c r="BT11" s="50" t="n">
        <v>606</v>
      </c>
      <c r="BU11" s="50" t="n">
        <v>582</v>
      </c>
      <c r="BV11" s="50" t="n">
        <v>564</v>
      </c>
      <c r="BW11" s="50" t="n">
        <v>824</v>
      </c>
      <c r="BX11" s="50" t="n">
        <v>546</v>
      </c>
      <c r="BY11" s="50" t="n">
        <v>367</v>
      </c>
    </row>
    <row r="12">
      <c r="A12" s="52" t="inlineStr">
        <is>
          <t>Kho Chuyển Tiếp Bình Thuận</t>
        </is>
      </c>
      <c r="B12" s="52" t="inlineStr">
        <is>
          <t>Total</t>
        </is>
      </c>
      <c r="C12" s="53" t="n">
        <v>22053</v>
      </c>
      <c r="D12" s="53" t="n">
        <v>17623</v>
      </c>
      <c r="E12" s="53" t="n">
        <v>17678</v>
      </c>
      <c r="F12" s="53" t="n">
        <v>15661</v>
      </c>
      <c r="G12" s="53" t="n">
        <v>15698</v>
      </c>
      <c r="H12" s="53" t="n">
        <v>17481</v>
      </c>
      <c r="I12" s="53" t="n">
        <v>14735</v>
      </c>
      <c r="J12" s="53" t="n">
        <v>15805</v>
      </c>
      <c r="K12" s="53" t="n">
        <v>16704</v>
      </c>
      <c r="L12" s="53" t="n">
        <v>14724</v>
      </c>
      <c r="M12" s="53" t="n">
        <v>13521</v>
      </c>
      <c r="N12" s="53" t="n">
        <v>13963</v>
      </c>
      <c r="O12" s="53" t="n">
        <v>14157</v>
      </c>
      <c r="P12" s="53" t="n">
        <v>15383</v>
      </c>
      <c r="Q12" s="53" t="n">
        <v>16791</v>
      </c>
      <c r="R12" s="53" t="n">
        <v>15415</v>
      </c>
      <c r="S12" s="53" t="n">
        <v>15483</v>
      </c>
      <c r="T12" s="53" t="n">
        <v>15524</v>
      </c>
      <c r="U12" s="53" t="n">
        <v>12096</v>
      </c>
      <c r="V12" s="53" t="n">
        <v>18544</v>
      </c>
      <c r="W12" s="53" t="n">
        <v>15789</v>
      </c>
      <c r="X12" s="53" t="n">
        <v>17485</v>
      </c>
      <c r="Y12" s="53" t="n">
        <v>15440</v>
      </c>
      <c r="Z12" s="53" t="n">
        <v>16082</v>
      </c>
      <c r="AA12" s="53" t="n">
        <v>21946</v>
      </c>
      <c r="AB12" s="53" t="n">
        <v>14541</v>
      </c>
      <c r="AC12" s="53" t="n">
        <v>20302</v>
      </c>
      <c r="AD12" s="53" t="n">
        <v>17381</v>
      </c>
      <c r="AE12" s="53" t="n">
        <v>17958</v>
      </c>
      <c r="AF12" s="53" t="n">
        <v>16970</v>
      </c>
      <c r="AG12" s="53" t="n">
        <v>16502</v>
      </c>
      <c r="AH12" s="53" t="n">
        <v>17724</v>
      </c>
      <c r="AI12" s="53" t="n">
        <v>15464</v>
      </c>
      <c r="AJ12" s="53" t="n">
        <v>19493</v>
      </c>
      <c r="AK12" s="53" t="n">
        <v>15986</v>
      </c>
      <c r="AL12" s="53" t="n">
        <v>16034</v>
      </c>
      <c r="AM12" s="53" t="n">
        <v>16826</v>
      </c>
      <c r="AN12" s="53" t="n">
        <v>14745</v>
      </c>
      <c r="AO12" s="53" t="n">
        <v>15236</v>
      </c>
      <c r="AP12" s="53" t="n">
        <v>11941</v>
      </c>
      <c r="AQ12" s="53" t="n">
        <v>18727</v>
      </c>
      <c r="AR12" s="53" t="n">
        <v>18336</v>
      </c>
      <c r="AS12" s="53" t="n">
        <v>16679</v>
      </c>
      <c r="AT12" s="53" t="n">
        <v>15353</v>
      </c>
      <c r="AU12" s="53" t="n">
        <v>15311</v>
      </c>
      <c r="AV12" s="53" t="n">
        <v>15102</v>
      </c>
      <c r="AW12" s="53" t="n">
        <v>11883</v>
      </c>
      <c r="AX12" s="53" t="n">
        <v>17158</v>
      </c>
      <c r="AY12" s="53" t="n">
        <v>13059</v>
      </c>
      <c r="AZ12" s="53" t="n">
        <v>6749</v>
      </c>
      <c r="BA12" s="53" t="n">
        <v>8002</v>
      </c>
      <c r="BB12" s="53" t="n">
        <v>17754</v>
      </c>
      <c r="BC12" s="53" t="n">
        <v>17083</v>
      </c>
      <c r="BD12" s="53" t="n">
        <v>11552</v>
      </c>
      <c r="BE12" s="53" t="n">
        <v>17182</v>
      </c>
      <c r="BF12" s="53" t="n">
        <v>14113</v>
      </c>
      <c r="BG12" s="53" t="n">
        <v>24224</v>
      </c>
      <c r="BH12" s="53" t="n">
        <v>15634</v>
      </c>
      <c r="BI12" s="53" t="n">
        <v>15064</v>
      </c>
      <c r="BJ12" s="53" t="n">
        <v>14069</v>
      </c>
      <c r="BK12" s="53" t="n">
        <v>11482</v>
      </c>
      <c r="BL12" s="53" t="n">
        <v>17367</v>
      </c>
      <c r="BM12" s="53" t="n">
        <v>15940</v>
      </c>
      <c r="BN12" s="53" t="n">
        <v>17630</v>
      </c>
      <c r="BO12" s="53" t="n">
        <v>14349</v>
      </c>
      <c r="BP12" s="53" t="n">
        <v>14507</v>
      </c>
      <c r="BQ12" s="53" t="n">
        <v>13956</v>
      </c>
      <c r="BR12" s="53" t="n">
        <v>12222</v>
      </c>
      <c r="BS12" s="53" t="n">
        <v>16307</v>
      </c>
      <c r="BT12" s="53" t="n">
        <v>14776</v>
      </c>
      <c r="BU12" s="53" t="n">
        <v>14940</v>
      </c>
      <c r="BV12" s="53" t="n">
        <v>14349</v>
      </c>
      <c r="BW12" s="53" t="n">
        <v>15547</v>
      </c>
      <c r="BX12" s="53" t="n">
        <v>14181</v>
      </c>
      <c r="BY12" s="53" t="n">
        <v>11457</v>
      </c>
    </row>
    <row r="13">
      <c r="A13" s="49" t="inlineStr">
        <is>
          <t>Kho Chuyển Tiếp Đức Trọng-Lâm Đồng</t>
        </is>
      </c>
      <c r="B13" s="50" t="inlineStr">
        <is>
          <t>Normal</t>
        </is>
      </c>
      <c r="C13" s="51" t="n">
        <v>12288</v>
      </c>
      <c r="D13" s="51" t="n">
        <v>12170</v>
      </c>
      <c r="E13" s="51" t="n">
        <v>11965</v>
      </c>
      <c r="F13" s="51" t="n">
        <v>10180</v>
      </c>
      <c r="G13" s="51" t="n">
        <v>10331</v>
      </c>
      <c r="H13" s="51" t="n">
        <v>8985</v>
      </c>
      <c r="I13" s="51" t="n">
        <v>8533</v>
      </c>
      <c r="J13" s="51" t="n">
        <v>11000</v>
      </c>
      <c r="K13" s="51" t="n">
        <v>10646</v>
      </c>
      <c r="L13" s="51" t="n">
        <v>10499</v>
      </c>
      <c r="M13" s="51" t="n">
        <v>8850</v>
      </c>
      <c r="N13" s="51" t="n">
        <v>10710</v>
      </c>
      <c r="O13" s="51" t="n">
        <v>9202</v>
      </c>
      <c r="P13" s="51" t="n">
        <v>10696</v>
      </c>
      <c r="Q13" s="51" t="n">
        <v>10704</v>
      </c>
      <c r="R13" s="51" t="n">
        <v>10491</v>
      </c>
      <c r="S13" s="51" t="n">
        <v>10607</v>
      </c>
      <c r="T13" s="51" t="n">
        <v>10300</v>
      </c>
      <c r="U13" s="51" t="n">
        <v>8510</v>
      </c>
      <c r="V13" s="51" t="n">
        <v>12424</v>
      </c>
      <c r="W13" s="51" t="n">
        <v>10684</v>
      </c>
      <c r="X13" s="51" t="n">
        <v>11576</v>
      </c>
      <c r="Y13" s="51" t="n">
        <v>10447</v>
      </c>
      <c r="Z13" s="51" t="n">
        <v>10897</v>
      </c>
      <c r="AA13" s="51" t="n">
        <v>14502</v>
      </c>
      <c r="AB13" s="51" t="n">
        <v>9069</v>
      </c>
      <c r="AC13" s="51" t="n">
        <v>12927</v>
      </c>
      <c r="AD13" s="51" t="n">
        <v>10864</v>
      </c>
      <c r="AE13" s="51" t="n">
        <v>10937</v>
      </c>
      <c r="AF13" s="51" t="n">
        <v>10820</v>
      </c>
      <c r="AG13" s="51" t="n">
        <v>11245</v>
      </c>
      <c r="AH13" s="51" t="n">
        <v>11233</v>
      </c>
      <c r="AI13" s="51" t="n">
        <v>10630</v>
      </c>
      <c r="AJ13" s="51" t="n">
        <v>12483</v>
      </c>
      <c r="AK13" s="51" t="n">
        <v>10776</v>
      </c>
      <c r="AL13" s="51" t="n">
        <v>10988</v>
      </c>
      <c r="AM13" s="51" t="n">
        <v>10640</v>
      </c>
      <c r="AN13" s="51" t="n">
        <v>9968</v>
      </c>
      <c r="AO13" s="51" t="n">
        <v>10259</v>
      </c>
      <c r="AP13" s="51" t="n">
        <v>8517</v>
      </c>
      <c r="AQ13" s="51" t="n">
        <v>12774</v>
      </c>
      <c r="AR13" s="51" t="n">
        <v>11501</v>
      </c>
      <c r="AS13" s="51" t="n">
        <v>11005</v>
      </c>
      <c r="AT13" s="51" t="n">
        <v>10314</v>
      </c>
      <c r="AU13" s="51" t="n">
        <v>10466</v>
      </c>
      <c r="AV13" s="51" t="n">
        <v>10221</v>
      </c>
      <c r="AW13" s="51" t="n">
        <v>8518</v>
      </c>
      <c r="AX13" s="51" t="n">
        <v>11597</v>
      </c>
      <c r="AY13" s="51" t="n">
        <v>9968</v>
      </c>
      <c r="AZ13" s="51" t="n">
        <v>5325</v>
      </c>
      <c r="BA13" s="51" t="n">
        <v>6255</v>
      </c>
      <c r="BB13" s="51" t="n">
        <v>13645</v>
      </c>
      <c r="BC13" s="51" t="n">
        <v>13225</v>
      </c>
      <c r="BD13" s="51" t="n">
        <v>8913</v>
      </c>
      <c r="BE13" s="51" t="n">
        <v>13010</v>
      </c>
      <c r="BF13" s="51" t="n">
        <v>10599</v>
      </c>
      <c r="BG13" s="51" t="n">
        <v>16491</v>
      </c>
      <c r="BH13" s="51" t="n">
        <v>11088</v>
      </c>
      <c r="BI13" s="51" t="n">
        <v>11207</v>
      </c>
      <c r="BJ13" s="51" t="n">
        <v>10724</v>
      </c>
      <c r="BK13" s="51" t="n">
        <v>8865</v>
      </c>
      <c r="BL13" s="51" t="n">
        <v>13010</v>
      </c>
      <c r="BM13" s="51" t="n">
        <v>11465</v>
      </c>
      <c r="BN13" s="51" t="n">
        <v>13186</v>
      </c>
      <c r="BO13" s="51" t="n">
        <v>10885</v>
      </c>
      <c r="BP13" s="51" t="n">
        <v>11062</v>
      </c>
      <c r="BQ13" s="51" t="n">
        <v>10724</v>
      </c>
      <c r="BR13" s="51" t="n">
        <v>9106</v>
      </c>
      <c r="BS13" s="51" t="n">
        <v>12227</v>
      </c>
      <c r="BT13" s="51" t="n">
        <v>11156</v>
      </c>
      <c r="BU13" s="51" t="n">
        <v>11345</v>
      </c>
      <c r="BV13" s="51" t="n">
        <v>10885</v>
      </c>
      <c r="BW13" s="51" t="n">
        <v>11353</v>
      </c>
      <c r="BX13" s="51" t="n">
        <v>10780</v>
      </c>
      <c r="BY13" s="51" t="n">
        <v>8865</v>
      </c>
    </row>
    <row r="14">
      <c r="A14" s="49" t="inlineStr">
        <is>
          <t>Kho Chuyển Tiếp Đức Trọng-Lâm Đồng</t>
        </is>
      </c>
      <c r="B14" s="50" t="inlineStr">
        <is>
          <t>Bulky</t>
        </is>
      </c>
      <c r="C14" s="51" t="n">
        <v>1878</v>
      </c>
      <c r="D14" s="51" t="n">
        <v>1586</v>
      </c>
      <c r="E14" s="51" t="n">
        <v>1967</v>
      </c>
      <c r="F14" s="51" t="n">
        <v>1562</v>
      </c>
      <c r="G14" s="51" t="n">
        <v>1201</v>
      </c>
      <c r="H14" s="50" t="n">
        <v>977</v>
      </c>
      <c r="I14" s="51" t="n">
        <v>1862</v>
      </c>
      <c r="J14" s="51" t="n">
        <v>1722</v>
      </c>
      <c r="K14" s="51" t="n">
        <v>1559</v>
      </c>
      <c r="L14" s="51" t="n">
        <v>1292</v>
      </c>
      <c r="M14" s="51" t="n">
        <v>1135</v>
      </c>
      <c r="N14" s="51" t="n">
        <v>1179</v>
      </c>
      <c r="O14" s="51" t="n">
        <v>1238</v>
      </c>
      <c r="P14" s="51" t="n">
        <v>1772</v>
      </c>
      <c r="Q14" s="51" t="n">
        <v>1561</v>
      </c>
      <c r="R14" s="51" t="n">
        <v>1399</v>
      </c>
      <c r="S14" s="51" t="n">
        <v>1366</v>
      </c>
      <c r="T14" s="51" t="n">
        <v>1560</v>
      </c>
      <c r="U14" s="50" t="n">
        <v>940</v>
      </c>
      <c r="V14" s="51" t="n">
        <v>1795</v>
      </c>
      <c r="W14" s="51" t="n">
        <v>1468</v>
      </c>
      <c r="X14" s="51" t="n">
        <v>1772</v>
      </c>
      <c r="Y14" s="51" t="n">
        <v>1436</v>
      </c>
      <c r="Z14" s="51" t="n">
        <v>1487</v>
      </c>
      <c r="AA14" s="51" t="n">
        <v>3483</v>
      </c>
      <c r="AB14" s="51" t="n">
        <v>1664</v>
      </c>
      <c r="AC14" s="51" t="n">
        <v>2898</v>
      </c>
      <c r="AD14" s="51" t="n">
        <v>1888</v>
      </c>
      <c r="AE14" s="51" t="n">
        <v>1543</v>
      </c>
      <c r="AF14" s="51" t="n">
        <v>1453</v>
      </c>
      <c r="AG14" s="51" t="n">
        <v>1386</v>
      </c>
      <c r="AH14" s="51" t="n">
        <v>2365</v>
      </c>
      <c r="AI14" s="51" t="n">
        <v>1230</v>
      </c>
      <c r="AJ14" s="51" t="n">
        <v>2100</v>
      </c>
      <c r="AK14" s="51" t="n">
        <v>1458</v>
      </c>
      <c r="AL14" s="51" t="n">
        <v>1413</v>
      </c>
      <c r="AM14" s="51" t="n">
        <v>1990</v>
      </c>
      <c r="AN14" s="51" t="n">
        <v>1377</v>
      </c>
      <c r="AO14" s="51" t="n">
        <v>1446</v>
      </c>
      <c r="AP14" s="50" t="n">
        <v>861</v>
      </c>
      <c r="AQ14" s="51" t="n">
        <v>1684</v>
      </c>
      <c r="AR14" s="51" t="n">
        <v>2412</v>
      </c>
      <c r="AS14" s="51" t="n">
        <v>1634</v>
      </c>
      <c r="AT14" s="51" t="n">
        <v>1392</v>
      </c>
      <c r="AU14" s="51" t="n">
        <v>1328</v>
      </c>
      <c r="AV14" s="51" t="n">
        <v>1404</v>
      </c>
      <c r="AW14" s="50" t="n">
        <v>834</v>
      </c>
      <c r="AX14" s="51" t="n">
        <v>1603</v>
      </c>
      <c r="AY14" s="50" t="n">
        <v>570</v>
      </c>
      <c r="AZ14" s="50" t="n">
        <v>196</v>
      </c>
      <c r="BA14" s="50" t="n">
        <v>266</v>
      </c>
      <c r="BB14" s="50" t="n">
        <v>722</v>
      </c>
      <c r="BC14" s="50" t="n">
        <v>641</v>
      </c>
      <c r="BD14" s="50" t="n">
        <v>450</v>
      </c>
      <c r="BE14" s="50" t="n">
        <v>810</v>
      </c>
      <c r="BF14" s="50" t="n">
        <v>715</v>
      </c>
      <c r="BG14" s="51" t="n">
        <v>2388</v>
      </c>
      <c r="BH14" s="51" t="n">
        <v>1086</v>
      </c>
      <c r="BI14" s="50" t="n">
        <v>746</v>
      </c>
      <c r="BJ14" s="50" t="n">
        <v>588</v>
      </c>
      <c r="BK14" s="50" t="n">
        <v>444</v>
      </c>
      <c r="BL14" s="50" t="n">
        <v>899</v>
      </c>
      <c r="BM14" s="51" t="n">
        <v>1096</v>
      </c>
      <c r="BN14" s="50" t="n">
        <v>925</v>
      </c>
      <c r="BO14" s="50" t="n">
        <v>665</v>
      </c>
      <c r="BP14" s="50" t="n">
        <v>640</v>
      </c>
      <c r="BQ14" s="50" t="n">
        <v>569</v>
      </c>
      <c r="BR14" s="50" t="n">
        <v>661</v>
      </c>
      <c r="BS14" s="50" t="n">
        <v>837</v>
      </c>
      <c r="BT14" s="50" t="n">
        <v>715</v>
      </c>
      <c r="BU14" s="50" t="n">
        <v>686</v>
      </c>
      <c r="BV14" s="50" t="n">
        <v>665</v>
      </c>
      <c r="BW14" s="50" t="n">
        <v>972</v>
      </c>
      <c r="BX14" s="50" t="n">
        <v>644</v>
      </c>
      <c r="BY14" s="50" t="n">
        <v>432</v>
      </c>
    </row>
    <row r="15">
      <c r="A15" s="49" t="inlineStr">
        <is>
          <t>Kho Chuyển Tiếp Đức Trọng-Lâm Đồng</t>
        </is>
      </c>
      <c r="B15" s="50" t="inlineStr">
        <is>
          <t>Freight</t>
        </is>
      </c>
      <c r="C15" s="51" t="n">
        <v>1210</v>
      </c>
      <c r="D15" s="51" t="n">
        <v>1215</v>
      </c>
      <c r="E15" s="51" t="n">
        <v>1292</v>
      </c>
      <c r="F15" s="50" t="n">
        <v>911</v>
      </c>
      <c r="G15" s="50" t="n">
        <v>788</v>
      </c>
      <c r="H15" s="50" t="n">
        <v>666</v>
      </c>
      <c r="I15" s="51" t="n">
        <v>1346</v>
      </c>
      <c r="J15" s="51" t="n">
        <v>1003</v>
      </c>
      <c r="K15" s="50" t="n">
        <v>998</v>
      </c>
      <c r="L15" s="50" t="n">
        <v>938</v>
      </c>
      <c r="M15" s="50" t="n">
        <v>819</v>
      </c>
      <c r="N15" s="51" t="n">
        <v>1106</v>
      </c>
      <c r="O15" s="50" t="n">
        <v>913</v>
      </c>
      <c r="P15" s="51" t="n">
        <v>1410</v>
      </c>
      <c r="Q15" s="50" t="n">
        <v>995</v>
      </c>
      <c r="R15" s="51" t="n">
        <v>1032</v>
      </c>
      <c r="S15" s="51" t="n">
        <v>1007</v>
      </c>
      <c r="T15" s="51" t="n">
        <v>1151</v>
      </c>
      <c r="U15" s="50" t="n">
        <v>693</v>
      </c>
      <c r="V15" s="51" t="n">
        <v>1324</v>
      </c>
      <c r="W15" s="51" t="n">
        <v>1083</v>
      </c>
      <c r="X15" s="51" t="n">
        <v>1306</v>
      </c>
      <c r="Y15" s="51" t="n">
        <v>1059</v>
      </c>
      <c r="Z15" s="51" t="n">
        <v>1096</v>
      </c>
      <c r="AA15" s="51" t="n">
        <v>2032</v>
      </c>
      <c r="AB15" s="51" t="n">
        <v>1439</v>
      </c>
      <c r="AC15" s="51" t="n">
        <v>1918</v>
      </c>
      <c r="AD15" s="51" t="n">
        <v>1659</v>
      </c>
      <c r="AE15" s="51" t="n">
        <v>1324</v>
      </c>
      <c r="AF15" s="51" t="n">
        <v>1161</v>
      </c>
      <c r="AG15" s="51" t="n">
        <v>1022</v>
      </c>
      <c r="AH15" s="51" t="n">
        <v>1744</v>
      </c>
      <c r="AI15" s="50" t="n">
        <v>907</v>
      </c>
      <c r="AJ15" s="51" t="n">
        <v>1548</v>
      </c>
      <c r="AK15" s="51" t="n">
        <v>1075</v>
      </c>
      <c r="AL15" s="51" t="n">
        <v>1042</v>
      </c>
      <c r="AM15" s="51" t="n">
        <v>1467</v>
      </c>
      <c r="AN15" s="51" t="n">
        <v>1015</v>
      </c>
      <c r="AO15" s="51" t="n">
        <v>1066</v>
      </c>
      <c r="AP15" s="50" t="n">
        <v>635</v>
      </c>
      <c r="AQ15" s="51" t="n">
        <v>1241</v>
      </c>
      <c r="AR15" s="51" t="n">
        <v>1778</v>
      </c>
      <c r="AS15" s="51" t="n">
        <v>1205</v>
      </c>
      <c r="AT15" s="51" t="n">
        <v>1026</v>
      </c>
      <c r="AU15" s="50" t="n">
        <v>980</v>
      </c>
      <c r="AV15" s="51" t="n">
        <v>1035</v>
      </c>
      <c r="AW15" s="50" t="n">
        <v>615</v>
      </c>
      <c r="AX15" s="51" t="n">
        <v>1182</v>
      </c>
      <c r="AY15" s="50" t="n">
        <v>421</v>
      </c>
      <c r="AZ15" s="50" t="n">
        <v>145</v>
      </c>
      <c r="BA15" s="50" t="n">
        <v>196</v>
      </c>
      <c r="BB15" s="50" t="n">
        <v>533</v>
      </c>
      <c r="BC15" s="50" t="n">
        <v>472</v>
      </c>
      <c r="BD15" s="50" t="n">
        <v>332</v>
      </c>
      <c r="BE15" s="50" t="n">
        <v>598</v>
      </c>
      <c r="BF15" s="50" t="n">
        <v>527</v>
      </c>
      <c r="BG15" s="51" t="n">
        <v>1761</v>
      </c>
      <c r="BH15" s="50" t="n">
        <v>801</v>
      </c>
      <c r="BI15" s="50" t="n">
        <v>550</v>
      </c>
      <c r="BJ15" s="50" t="n">
        <v>433</v>
      </c>
      <c r="BK15" s="50" t="n">
        <v>328</v>
      </c>
      <c r="BL15" s="50" t="n">
        <v>663</v>
      </c>
      <c r="BM15" s="50" t="n">
        <v>808</v>
      </c>
      <c r="BN15" s="50" t="n">
        <v>682</v>
      </c>
      <c r="BO15" s="50" t="n">
        <v>491</v>
      </c>
      <c r="BP15" s="50" t="n">
        <v>472</v>
      </c>
      <c r="BQ15" s="50" t="n">
        <v>420</v>
      </c>
      <c r="BR15" s="50" t="n">
        <v>487</v>
      </c>
      <c r="BS15" s="50" t="n">
        <v>617</v>
      </c>
      <c r="BT15" s="50" t="n">
        <v>527</v>
      </c>
      <c r="BU15" s="50" t="n">
        <v>506</v>
      </c>
      <c r="BV15" s="50" t="n">
        <v>491</v>
      </c>
      <c r="BW15" s="50" t="n">
        <v>716</v>
      </c>
      <c r="BX15" s="50" t="n">
        <v>475</v>
      </c>
      <c r="BY15" s="50" t="n">
        <v>319</v>
      </c>
    </row>
    <row r="16">
      <c r="A16" s="52" t="inlineStr">
        <is>
          <t>Kho Chuyển Tiếp Đức Trọng-Lâm Đồng</t>
        </is>
      </c>
      <c r="B16" s="52" t="inlineStr">
        <is>
          <t>Total</t>
        </is>
      </c>
      <c r="C16" s="53" t="n">
        <v>15376</v>
      </c>
      <c r="D16" s="53" t="n">
        <v>14971</v>
      </c>
      <c r="E16" s="53" t="n">
        <v>15224</v>
      </c>
      <c r="F16" s="53" t="n">
        <v>12653</v>
      </c>
      <c r="G16" s="53" t="n">
        <v>12320</v>
      </c>
      <c r="H16" s="53" t="n">
        <v>10628</v>
      </c>
      <c r="I16" s="53" t="n">
        <v>11741</v>
      </c>
      <c r="J16" s="53" t="n">
        <v>13725</v>
      </c>
      <c r="K16" s="53" t="n">
        <v>13203</v>
      </c>
      <c r="L16" s="53" t="n">
        <v>12729</v>
      </c>
      <c r="M16" s="53" t="n">
        <v>10804</v>
      </c>
      <c r="N16" s="53" t="n">
        <v>12995</v>
      </c>
      <c r="O16" s="53" t="n">
        <v>11353</v>
      </c>
      <c r="P16" s="53" t="n">
        <v>13878</v>
      </c>
      <c r="Q16" s="53" t="n">
        <v>13260</v>
      </c>
      <c r="R16" s="53" t="n">
        <v>12922</v>
      </c>
      <c r="S16" s="53" t="n">
        <v>12981</v>
      </c>
      <c r="T16" s="53" t="n">
        <v>13011</v>
      </c>
      <c r="U16" s="53" t="n">
        <v>10143</v>
      </c>
      <c r="V16" s="53" t="n">
        <v>15543</v>
      </c>
      <c r="W16" s="53" t="n">
        <v>13235</v>
      </c>
      <c r="X16" s="53" t="n">
        <v>14654</v>
      </c>
      <c r="Y16" s="53" t="n">
        <v>12943</v>
      </c>
      <c r="Z16" s="53" t="n">
        <v>13481</v>
      </c>
      <c r="AA16" s="53" t="n">
        <v>20017</v>
      </c>
      <c r="AB16" s="53" t="n">
        <v>12172</v>
      </c>
      <c r="AC16" s="53" t="n">
        <v>17743</v>
      </c>
      <c r="AD16" s="53" t="n">
        <v>14411</v>
      </c>
      <c r="AE16" s="53" t="n">
        <v>13804</v>
      </c>
      <c r="AF16" s="53" t="n">
        <v>13434</v>
      </c>
      <c r="AG16" s="53" t="n">
        <v>13653</v>
      </c>
      <c r="AH16" s="53" t="n">
        <v>15341</v>
      </c>
      <c r="AI16" s="53" t="n">
        <v>12767</v>
      </c>
      <c r="AJ16" s="53" t="n">
        <v>16131</v>
      </c>
      <c r="AK16" s="53" t="n">
        <v>13309</v>
      </c>
      <c r="AL16" s="53" t="n">
        <v>13442</v>
      </c>
      <c r="AM16" s="53" t="n">
        <v>14096</v>
      </c>
      <c r="AN16" s="53" t="n">
        <v>12360</v>
      </c>
      <c r="AO16" s="53" t="n">
        <v>12771</v>
      </c>
      <c r="AP16" s="53" t="n">
        <v>10014</v>
      </c>
      <c r="AQ16" s="53" t="n">
        <v>15699</v>
      </c>
      <c r="AR16" s="53" t="n">
        <v>15691</v>
      </c>
      <c r="AS16" s="53" t="n">
        <v>13844</v>
      </c>
      <c r="AT16" s="53" t="n">
        <v>12732</v>
      </c>
      <c r="AU16" s="53" t="n">
        <v>12774</v>
      </c>
      <c r="AV16" s="53" t="n">
        <v>12660</v>
      </c>
      <c r="AW16" s="53" t="n">
        <v>9966</v>
      </c>
      <c r="AX16" s="53" t="n">
        <v>14382</v>
      </c>
      <c r="AY16" s="53" t="n">
        <v>10959</v>
      </c>
      <c r="AZ16" s="53" t="n">
        <v>5665</v>
      </c>
      <c r="BA16" s="53" t="n">
        <v>6716</v>
      </c>
      <c r="BB16" s="53" t="n">
        <v>14900</v>
      </c>
      <c r="BC16" s="53" t="n">
        <v>14338</v>
      </c>
      <c r="BD16" s="53" t="n">
        <v>9695</v>
      </c>
      <c r="BE16" s="53" t="n">
        <v>14418</v>
      </c>
      <c r="BF16" s="53" t="n">
        <v>11842</v>
      </c>
      <c r="BG16" s="53" t="n">
        <v>20640</v>
      </c>
      <c r="BH16" s="53" t="n">
        <v>12975</v>
      </c>
      <c r="BI16" s="53" t="n">
        <v>12503</v>
      </c>
      <c r="BJ16" s="53" t="n">
        <v>11745</v>
      </c>
      <c r="BK16" s="53" t="n">
        <v>9637</v>
      </c>
      <c r="BL16" s="53" t="n">
        <v>14571</v>
      </c>
      <c r="BM16" s="53" t="n">
        <v>13369</v>
      </c>
      <c r="BN16" s="53" t="n">
        <v>14792</v>
      </c>
      <c r="BO16" s="53" t="n">
        <v>12041</v>
      </c>
      <c r="BP16" s="53" t="n">
        <v>12174</v>
      </c>
      <c r="BQ16" s="53" t="n">
        <v>11712</v>
      </c>
      <c r="BR16" s="53" t="n">
        <v>10254</v>
      </c>
      <c r="BS16" s="53" t="n">
        <v>13682</v>
      </c>
      <c r="BT16" s="53" t="n">
        <v>12398</v>
      </c>
      <c r="BU16" s="53" t="n">
        <v>12537</v>
      </c>
      <c r="BV16" s="53" t="n">
        <v>12041</v>
      </c>
      <c r="BW16" s="53" t="n">
        <v>13041</v>
      </c>
      <c r="BX16" s="53" t="n">
        <v>11900</v>
      </c>
      <c r="BY16" s="53" t="n">
        <v>9616</v>
      </c>
    </row>
    <row r="17">
      <c r="A17" s="49" t="inlineStr">
        <is>
          <t>Kho Chuyển Tiếp Bảo Lộc-Lâm Đồng</t>
        </is>
      </c>
      <c r="B17" s="50" t="inlineStr">
        <is>
          <t>Normal</t>
        </is>
      </c>
      <c r="C17" s="51" t="n">
        <v>7829</v>
      </c>
      <c r="D17" s="51" t="n">
        <v>7131</v>
      </c>
      <c r="E17" s="51" t="n">
        <v>7596</v>
      </c>
      <c r="F17" s="51" t="n">
        <v>6130</v>
      </c>
      <c r="G17" s="51" t="n">
        <v>7874</v>
      </c>
      <c r="H17" s="51" t="n">
        <v>5258</v>
      </c>
      <c r="I17" s="51" t="n">
        <v>6574</v>
      </c>
      <c r="J17" s="51" t="n">
        <v>6246</v>
      </c>
      <c r="K17" s="51" t="n">
        <v>5613</v>
      </c>
      <c r="L17" s="51" t="n">
        <v>7944</v>
      </c>
      <c r="M17" s="51" t="n">
        <v>6140</v>
      </c>
      <c r="N17" s="51" t="n">
        <v>6428</v>
      </c>
      <c r="O17" s="51" t="n">
        <v>7904</v>
      </c>
      <c r="P17" s="51" t="n">
        <v>5977</v>
      </c>
      <c r="Q17" s="51" t="n">
        <v>6806</v>
      </c>
      <c r="R17" s="51" t="n">
        <v>6887</v>
      </c>
      <c r="S17" s="51" t="n">
        <v>6964</v>
      </c>
      <c r="T17" s="51" t="n">
        <v>6762</v>
      </c>
      <c r="U17" s="51" t="n">
        <v>5586</v>
      </c>
      <c r="V17" s="51" t="n">
        <v>8156</v>
      </c>
      <c r="W17" s="51" t="n">
        <v>7014</v>
      </c>
      <c r="X17" s="51" t="n">
        <v>7600</v>
      </c>
      <c r="Y17" s="51" t="n">
        <v>6858</v>
      </c>
      <c r="Z17" s="51" t="n">
        <v>7154</v>
      </c>
      <c r="AA17" s="51" t="n">
        <v>8774</v>
      </c>
      <c r="AB17" s="51" t="n">
        <v>6250</v>
      </c>
      <c r="AC17" s="51" t="n">
        <v>8805</v>
      </c>
      <c r="AD17" s="51" t="n">
        <v>7255</v>
      </c>
      <c r="AE17" s="51" t="n">
        <v>7180</v>
      </c>
      <c r="AF17" s="51" t="n">
        <v>7103</v>
      </c>
      <c r="AG17" s="51" t="n">
        <v>7382</v>
      </c>
      <c r="AH17" s="51" t="n">
        <v>7374</v>
      </c>
      <c r="AI17" s="51" t="n">
        <v>6979</v>
      </c>
      <c r="AJ17" s="51" t="n">
        <v>8195</v>
      </c>
      <c r="AK17" s="51" t="n">
        <v>7074</v>
      </c>
      <c r="AL17" s="51" t="n">
        <v>7213</v>
      </c>
      <c r="AM17" s="51" t="n">
        <v>6985</v>
      </c>
      <c r="AN17" s="51" t="n">
        <v>6544</v>
      </c>
      <c r="AO17" s="51" t="n">
        <v>6735</v>
      </c>
      <c r="AP17" s="51" t="n">
        <v>5591</v>
      </c>
      <c r="AQ17" s="51" t="n">
        <v>8386</v>
      </c>
      <c r="AR17" s="51" t="n">
        <v>7550</v>
      </c>
      <c r="AS17" s="51" t="n">
        <v>7225</v>
      </c>
      <c r="AT17" s="51" t="n">
        <v>6771</v>
      </c>
      <c r="AU17" s="51" t="n">
        <v>6871</v>
      </c>
      <c r="AV17" s="51" t="n">
        <v>6710</v>
      </c>
      <c r="AW17" s="51" t="n">
        <v>5592</v>
      </c>
      <c r="AX17" s="51" t="n">
        <v>7614</v>
      </c>
      <c r="AY17" s="51" t="n">
        <v>6544</v>
      </c>
      <c r="AZ17" s="51" t="n">
        <v>3496</v>
      </c>
      <c r="BA17" s="51" t="n">
        <v>4106</v>
      </c>
      <c r="BB17" s="51" t="n">
        <v>8958</v>
      </c>
      <c r="BC17" s="51" t="n">
        <v>8682</v>
      </c>
      <c r="BD17" s="51" t="n">
        <v>5851</v>
      </c>
      <c r="BE17" s="51" t="n">
        <v>8541</v>
      </c>
      <c r="BF17" s="51" t="n">
        <v>6958</v>
      </c>
      <c r="BG17" s="51" t="n">
        <v>9751</v>
      </c>
      <c r="BH17" s="51" t="n">
        <v>7718</v>
      </c>
      <c r="BI17" s="51" t="n">
        <v>7826</v>
      </c>
      <c r="BJ17" s="51" t="n">
        <v>7224</v>
      </c>
      <c r="BK17" s="51" t="n">
        <v>5820</v>
      </c>
      <c r="BL17" s="51" t="n">
        <v>8541</v>
      </c>
      <c r="BM17" s="51" t="n">
        <v>7527</v>
      </c>
      <c r="BN17" s="51" t="n">
        <v>8656</v>
      </c>
      <c r="BO17" s="51" t="n">
        <v>7146</v>
      </c>
      <c r="BP17" s="51" t="n">
        <v>7262</v>
      </c>
      <c r="BQ17" s="51" t="n">
        <v>7040</v>
      </c>
      <c r="BR17" s="51" t="n">
        <v>5978</v>
      </c>
      <c r="BS17" s="51" t="n">
        <v>8027</v>
      </c>
      <c r="BT17" s="51" t="n">
        <v>7324</v>
      </c>
      <c r="BU17" s="51" t="n">
        <v>7448</v>
      </c>
      <c r="BV17" s="51" t="n">
        <v>7146</v>
      </c>
      <c r="BW17" s="51" t="n">
        <v>7453</v>
      </c>
      <c r="BX17" s="51" t="n">
        <v>7077</v>
      </c>
      <c r="BY17" s="51" t="n">
        <v>5820</v>
      </c>
    </row>
    <row r="18">
      <c r="A18" s="49" t="inlineStr">
        <is>
          <t>Kho Chuyển Tiếp Bảo Lộc-Lâm Đồng</t>
        </is>
      </c>
      <c r="B18" s="50" t="inlineStr">
        <is>
          <t>Bulky</t>
        </is>
      </c>
      <c r="C18" s="51" t="n">
        <v>1316</v>
      </c>
      <c r="D18" s="51" t="n">
        <v>1028</v>
      </c>
      <c r="E18" s="51" t="n">
        <v>1017</v>
      </c>
      <c r="F18" s="50" t="n">
        <v>930</v>
      </c>
      <c r="G18" s="50" t="n">
        <v>933</v>
      </c>
      <c r="H18" s="50" t="n">
        <v>577</v>
      </c>
      <c r="I18" s="51" t="n">
        <v>1061</v>
      </c>
      <c r="J18" s="50" t="n">
        <v>735</v>
      </c>
      <c r="K18" s="51" t="n">
        <v>1063</v>
      </c>
      <c r="L18" s="51" t="n">
        <v>1054</v>
      </c>
      <c r="M18" s="50" t="n">
        <v>808</v>
      </c>
      <c r="N18" s="50" t="n">
        <v>739</v>
      </c>
      <c r="O18" s="51" t="n">
        <v>1060</v>
      </c>
      <c r="P18" s="50" t="n">
        <v>810</v>
      </c>
      <c r="Q18" s="51" t="n">
        <v>1006</v>
      </c>
      <c r="R18" s="50" t="n">
        <v>940</v>
      </c>
      <c r="S18" s="50" t="n">
        <v>918</v>
      </c>
      <c r="T18" s="51" t="n">
        <v>1048</v>
      </c>
      <c r="U18" s="50" t="n">
        <v>632</v>
      </c>
      <c r="V18" s="51" t="n">
        <v>1206</v>
      </c>
      <c r="W18" s="50" t="n">
        <v>986</v>
      </c>
      <c r="X18" s="51" t="n">
        <v>1190</v>
      </c>
      <c r="Y18" s="50" t="n">
        <v>965</v>
      </c>
      <c r="Z18" s="50" t="n">
        <v>999</v>
      </c>
      <c r="AA18" s="51" t="n">
        <v>1368</v>
      </c>
      <c r="AB18" s="51" t="n">
        <v>1285</v>
      </c>
      <c r="AC18" s="51" t="n">
        <v>1612</v>
      </c>
      <c r="AD18" s="51" t="n">
        <v>1531</v>
      </c>
      <c r="AE18" s="51" t="n">
        <v>1489</v>
      </c>
      <c r="AF18" s="51" t="n">
        <v>1331</v>
      </c>
      <c r="AG18" s="51" t="n">
        <v>1008</v>
      </c>
      <c r="AH18" s="51" t="n">
        <v>1405</v>
      </c>
      <c r="AI18" s="50" t="n">
        <v>896</v>
      </c>
      <c r="AJ18" s="51" t="n">
        <v>1475</v>
      </c>
      <c r="AK18" s="51" t="n">
        <v>1027</v>
      </c>
      <c r="AL18" s="50" t="n">
        <v>949</v>
      </c>
      <c r="AM18" s="51" t="n">
        <v>1336</v>
      </c>
      <c r="AN18" s="50" t="n">
        <v>925</v>
      </c>
      <c r="AO18" s="50" t="n">
        <v>971</v>
      </c>
      <c r="AP18" s="50" t="n">
        <v>579</v>
      </c>
      <c r="AQ18" s="51" t="n">
        <v>1131</v>
      </c>
      <c r="AR18" s="51" t="n">
        <v>1523</v>
      </c>
      <c r="AS18" s="51" t="n">
        <v>1134</v>
      </c>
      <c r="AT18" s="50" t="n">
        <v>969</v>
      </c>
      <c r="AU18" s="50" t="n">
        <v>918</v>
      </c>
      <c r="AV18" s="50" t="n">
        <v>943</v>
      </c>
      <c r="AW18" s="50" t="n">
        <v>560</v>
      </c>
      <c r="AX18" s="51" t="n">
        <v>1077</v>
      </c>
      <c r="AY18" s="50" t="n">
        <v>383</v>
      </c>
      <c r="AZ18" s="50" t="n">
        <v>132</v>
      </c>
      <c r="BA18" s="50" t="n">
        <v>178</v>
      </c>
      <c r="BB18" s="50" t="n">
        <v>485</v>
      </c>
      <c r="BC18" s="50" t="n">
        <v>430</v>
      </c>
      <c r="BD18" s="50" t="n">
        <v>302</v>
      </c>
      <c r="BE18" s="50" t="n">
        <v>544</v>
      </c>
      <c r="BF18" s="50" t="n">
        <v>480</v>
      </c>
      <c r="BG18" s="51" t="n">
        <v>1583</v>
      </c>
      <c r="BH18" s="50" t="n">
        <v>735</v>
      </c>
      <c r="BI18" s="50" t="n">
        <v>505</v>
      </c>
      <c r="BJ18" s="50" t="n">
        <v>396</v>
      </c>
      <c r="BK18" s="50" t="n">
        <v>298</v>
      </c>
      <c r="BL18" s="50" t="n">
        <v>604</v>
      </c>
      <c r="BM18" s="50" t="n">
        <v>736</v>
      </c>
      <c r="BN18" s="50" t="n">
        <v>621</v>
      </c>
      <c r="BO18" s="50" t="n">
        <v>447</v>
      </c>
      <c r="BP18" s="50" t="n">
        <v>430</v>
      </c>
      <c r="BQ18" s="50" t="n">
        <v>382</v>
      </c>
      <c r="BR18" s="50" t="n">
        <v>444</v>
      </c>
      <c r="BS18" s="50" t="n">
        <v>563</v>
      </c>
      <c r="BT18" s="50" t="n">
        <v>480</v>
      </c>
      <c r="BU18" s="50" t="n">
        <v>461</v>
      </c>
      <c r="BV18" s="50" t="n">
        <v>447</v>
      </c>
      <c r="BW18" s="50" t="n">
        <v>653</v>
      </c>
      <c r="BX18" s="50" t="n">
        <v>433</v>
      </c>
      <c r="BY18" s="50" t="n">
        <v>290</v>
      </c>
    </row>
    <row r="19">
      <c r="A19" s="49" t="inlineStr">
        <is>
          <t>Kho Chuyển Tiếp Bảo Lộc-Lâm Đồng</t>
        </is>
      </c>
      <c r="B19" s="50" t="inlineStr">
        <is>
          <t>Freight</t>
        </is>
      </c>
      <c r="C19" s="50" t="n">
        <v>764</v>
      </c>
      <c r="D19" s="50" t="n">
        <v>722</v>
      </c>
      <c r="E19" s="50" t="n">
        <v>691</v>
      </c>
      <c r="F19" s="50" t="n">
        <v>595</v>
      </c>
      <c r="G19" s="50" t="n">
        <v>544</v>
      </c>
      <c r="H19" s="50" t="n">
        <v>443</v>
      </c>
      <c r="I19" s="50" t="n">
        <v>720</v>
      </c>
      <c r="J19" s="50" t="n">
        <v>490</v>
      </c>
      <c r="K19" s="50" t="n">
        <v>583</v>
      </c>
      <c r="L19" s="50" t="n">
        <v>603</v>
      </c>
      <c r="M19" s="50" t="n">
        <v>582</v>
      </c>
      <c r="N19" s="50" t="n">
        <v>642</v>
      </c>
      <c r="O19" s="50" t="n">
        <v>670</v>
      </c>
      <c r="P19" s="50" t="n">
        <v>558</v>
      </c>
      <c r="Q19" s="50" t="n">
        <v>595</v>
      </c>
      <c r="R19" s="50" t="n">
        <v>608</v>
      </c>
      <c r="S19" s="50" t="n">
        <v>594</v>
      </c>
      <c r="T19" s="50" t="n">
        <v>678</v>
      </c>
      <c r="U19" s="50" t="n">
        <v>409</v>
      </c>
      <c r="V19" s="50" t="n">
        <v>781</v>
      </c>
      <c r="W19" s="50" t="n">
        <v>638</v>
      </c>
      <c r="X19" s="50" t="n">
        <v>772</v>
      </c>
      <c r="Y19" s="50" t="n">
        <v>625</v>
      </c>
      <c r="Z19" s="50" t="n">
        <v>646</v>
      </c>
      <c r="AA19" s="51" t="n">
        <v>1112</v>
      </c>
      <c r="AB19" s="50" t="n">
        <v>888</v>
      </c>
      <c r="AC19" s="51" t="n">
        <v>1124</v>
      </c>
      <c r="AD19" s="51" t="n">
        <v>1007</v>
      </c>
      <c r="AE19" s="50" t="n">
        <v>773</v>
      </c>
      <c r="AF19" s="50" t="n">
        <v>718</v>
      </c>
      <c r="AG19" s="50" t="n">
        <v>603</v>
      </c>
      <c r="AH19" s="51" t="n">
        <v>1028</v>
      </c>
      <c r="AI19" s="50" t="n">
        <v>535</v>
      </c>
      <c r="AJ19" s="50" t="n">
        <v>913</v>
      </c>
      <c r="AK19" s="50" t="n">
        <v>634</v>
      </c>
      <c r="AL19" s="50" t="n">
        <v>614</v>
      </c>
      <c r="AM19" s="50" t="n">
        <v>865</v>
      </c>
      <c r="AN19" s="50" t="n">
        <v>599</v>
      </c>
      <c r="AO19" s="50" t="n">
        <v>629</v>
      </c>
      <c r="AP19" s="50" t="n">
        <v>375</v>
      </c>
      <c r="AQ19" s="50" t="n">
        <v>732</v>
      </c>
      <c r="AR19" s="51" t="n">
        <v>1049</v>
      </c>
      <c r="AS19" s="50" t="n">
        <v>710</v>
      </c>
      <c r="AT19" s="50" t="n">
        <v>605</v>
      </c>
      <c r="AU19" s="50" t="n">
        <v>578</v>
      </c>
      <c r="AV19" s="50" t="n">
        <v>610</v>
      </c>
      <c r="AW19" s="50" t="n">
        <v>362</v>
      </c>
      <c r="AX19" s="50" t="n">
        <v>697</v>
      </c>
      <c r="AY19" s="50" t="n">
        <v>248</v>
      </c>
      <c r="AZ19" s="50" t="n">
        <v>85</v>
      </c>
      <c r="BA19" s="50" t="n">
        <v>115</v>
      </c>
      <c r="BB19" s="50" t="n">
        <v>314</v>
      </c>
      <c r="BC19" s="50" t="n">
        <v>279</v>
      </c>
      <c r="BD19" s="50" t="n">
        <v>196</v>
      </c>
      <c r="BE19" s="50" t="n">
        <v>352</v>
      </c>
      <c r="BF19" s="50" t="n">
        <v>311</v>
      </c>
      <c r="BG19" s="51" t="n">
        <v>1024</v>
      </c>
      <c r="BH19" s="50" t="n">
        <v>476</v>
      </c>
      <c r="BI19" s="50" t="n">
        <v>327</v>
      </c>
      <c r="BJ19" s="50" t="n">
        <v>256</v>
      </c>
      <c r="BK19" s="50" t="n">
        <v>193</v>
      </c>
      <c r="BL19" s="50" t="n">
        <v>391</v>
      </c>
      <c r="BM19" s="50" t="n">
        <v>476</v>
      </c>
      <c r="BN19" s="50" t="n">
        <v>402</v>
      </c>
      <c r="BO19" s="50" t="n">
        <v>289</v>
      </c>
      <c r="BP19" s="50" t="n">
        <v>278</v>
      </c>
      <c r="BQ19" s="50" t="n">
        <v>247</v>
      </c>
      <c r="BR19" s="50" t="n">
        <v>287</v>
      </c>
      <c r="BS19" s="50" t="n">
        <v>364</v>
      </c>
      <c r="BT19" s="50" t="n">
        <v>311</v>
      </c>
      <c r="BU19" s="50" t="n">
        <v>298</v>
      </c>
      <c r="BV19" s="50" t="n">
        <v>289</v>
      </c>
      <c r="BW19" s="50" t="n">
        <v>422</v>
      </c>
      <c r="BX19" s="50" t="n">
        <v>280</v>
      </c>
      <c r="BY19" s="50" t="n">
        <v>188</v>
      </c>
    </row>
    <row r="20">
      <c r="A20" s="52" t="inlineStr">
        <is>
          <t>Kho Chuyển Tiếp Bảo Lộc-Lâm Đồng</t>
        </is>
      </c>
      <c r="B20" s="52" t="inlineStr">
        <is>
          <t>Total</t>
        </is>
      </c>
      <c r="C20" s="53" t="n">
        <v>9909</v>
      </c>
      <c r="D20" s="53" t="n">
        <v>8881</v>
      </c>
      <c r="E20" s="53" t="n">
        <v>9304</v>
      </c>
      <c r="F20" s="53" t="n">
        <v>7655</v>
      </c>
      <c r="G20" s="53" t="n">
        <v>9351</v>
      </c>
      <c r="H20" s="53" t="n">
        <v>6278</v>
      </c>
      <c r="I20" s="53" t="n">
        <v>8355</v>
      </c>
      <c r="J20" s="53" t="n">
        <v>7471</v>
      </c>
      <c r="K20" s="53" t="n">
        <v>7259</v>
      </c>
      <c r="L20" s="53" t="n">
        <v>9601</v>
      </c>
      <c r="M20" s="53" t="n">
        <v>7530</v>
      </c>
      <c r="N20" s="53" t="n">
        <v>7809</v>
      </c>
      <c r="O20" s="53" t="n">
        <v>9634</v>
      </c>
      <c r="P20" s="53" t="n">
        <v>7345</v>
      </c>
      <c r="Q20" s="53" t="n">
        <v>8407</v>
      </c>
      <c r="R20" s="53" t="n">
        <v>8436</v>
      </c>
      <c r="S20" s="53" t="n">
        <v>8475</v>
      </c>
      <c r="T20" s="53" t="n">
        <v>8488</v>
      </c>
      <c r="U20" s="53" t="n">
        <v>6627</v>
      </c>
      <c r="V20" s="53" t="n">
        <v>10143</v>
      </c>
      <c r="W20" s="53" t="n">
        <v>8639</v>
      </c>
      <c r="X20" s="53" t="n">
        <v>9560</v>
      </c>
      <c r="Y20" s="53" t="n">
        <v>8448</v>
      </c>
      <c r="Z20" s="53" t="n">
        <v>8799</v>
      </c>
      <c r="AA20" s="53" t="n">
        <v>11254</v>
      </c>
      <c r="AB20" s="53" t="n">
        <v>8423</v>
      </c>
      <c r="AC20" s="53" t="n">
        <v>11541</v>
      </c>
      <c r="AD20" s="53" t="n">
        <v>9793</v>
      </c>
      <c r="AE20" s="53" t="n">
        <v>9442</v>
      </c>
      <c r="AF20" s="53" t="n">
        <v>9152</v>
      </c>
      <c r="AG20" s="53" t="n">
        <v>8993</v>
      </c>
      <c r="AH20" s="53" t="n">
        <v>9807</v>
      </c>
      <c r="AI20" s="53" t="n">
        <v>8410</v>
      </c>
      <c r="AJ20" s="53" t="n">
        <v>10583</v>
      </c>
      <c r="AK20" s="53" t="n">
        <v>8735</v>
      </c>
      <c r="AL20" s="53" t="n">
        <v>8777</v>
      </c>
      <c r="AM20" s="53" t="n">
        <v>9186</v>
      </c>
      <c r="AN20" s="53" t="n">
        <v>8067</v>
      </c>
      <c r="AO20" s="53" t="n">
        <v>8335</v>
      </c>
      <c r="AP20" s="53" t="n">
        <v>6545</v>
      </c>
      <c r="AQ20" s="53" t="n">
        <v>10249</v>
      </c>
      <c r="AR20" s="53" t="n">
        <v>10122</v>
      </c>
      <c r="AS20" s="53" t="n">
        <v>9069</v>
      </c>
      <c r="AT20" s="53" t="n">
        <v>8345</v>
      </c>
      <c r="AU20" s="53" t="n">
        <v>8367</v>
      </c>
      <c r="AV20" s="53" t="n">
        <v>8263</v>
      </c>
      <c r="AW20" s="53" t="n">
        <v>6514</v>
      </c>
      <c r="AX20" s="53" t="n">
        <v>9387</v>
      </c>
      <c r="AY20" s="53" t="n">
        <v>7175</v>
      </c>
      <c r="AZ20" s="53" t="n">
        <v>3712</v>
      </c>
      <c r="BA20" s="53" t="n">
        <v>4400</v>
      </c>
      <c r="BB20" s="53" t="n">
        <v>9757</v>
      </c>
      <c r="BC20" s="53" t="n">
        <v>9391</v>
      </c>
      <c r="BD20" s="53" t="n">
        <v>6349</v>
      </c>
      <c r="BE20" s="53" t="n">
        <v>9437</v>
      </c>
      <c r="BF20" s="53" t="n">
        <v>7750</v>
      </c>
      <c r="BG20" s="53" t="n">
        <v>12358</v>
      </c>
      <c r="BH20" s="53" t="n">
        <v>8929</v>
      </c>
      <c r="BI20" s="53" t="n">
        <v>8658</v>
      </c>
      <c r="BJ20" s="53" t="n">
        <v>7876</v>
      </c>
      <c r="BK20" s="53" t="n">
        <v>6311</v>
      </c>
      <c r="BL20" s="53" t="n">
        <v>9535</v>
      </c>
      <c r="BM20" s="53" t="n">
        <v>8739</v>
      </c>
      <c r="BN20" s="53" t="n">
        <v>9679</v>
      </c>
      <c r="BO20" s="53" t="n">
        <v>7882</v>
      </c>
      <c r="BP20" s="53" t="n">
        <v>7970</v>
      </c>
      <c r="BQ20" s="53" t="n">
        <v>7670</v>
      </c>
      <c r="BR20" s="53" t="n">
        <v>6709</v>
      </c>
      <c r="BS20" s="53" t="n">
        <v>8954</v>
      </c>
      <c r="BT20" s="53" t="n">
        <v>8115</v>
      </c>
      <c r="BU20" s="53" t="n">
        <v>8207</v>
      </c>
      <c r="BV20" s="53" t="n">
        <v>7882</v>
      </c>
      <c r="BW20" s="53" t="n">
        <v>8528</v>
      </c>
      <c r="BX20" s="53" t="n">
        <v>7790</v>
      </c>
      <c r="BY20" s="53" t="n">
        <v>6298</v>
      </c>
    </row>
    <row r="21" ht="15.75" customHeight="1" s="57">
      <c r="A21" s="49" t="inlineStr">
        <is>
          <t>Kho Chuyển Tiếp Đắk Nông</t>
        </is>
      </c>
      <c r="B21" s="50" t="inlineStr">
        <is>
          <t>Normal</t>
        </is>
      </c>
      <c r="C21" s="51" t="n">
        <v>4794</v>
      </c>
      <c r="D21" s="51" t="n">
        <v>5876</v>
      </c>
      <c r="E21" s="51" t="n">
        <v>5082</v>
      </c>
      <c r="F21" s="51" t="n">
        <v>4949</v>
      </c>
      <c r="G21" s="51" t="n">
        <v>4079</v>
      </c>
      <c r="H21" s="51" t="n">
        <v>3633</v>
      </c>
      <c r="I21" s="51" t="n">
        <v>4555</v>
      </c>
      <c r="J21" s="51" t="n">
        <v>5040</v>
      </c>
      <c r="K21" s="51" t="n">
        <v>4019</v>
      </c>
      <c r="L21" s="51" t="n">
        <v>4893</v>
      </c>
      <c r="M21" s="51" t="n">
        <v>3779</v>
      </c>
      <c r="N21" s="51" t="n">
        <v>4507</v>
      </c>
      <c r="O21" s="51" t="n">
        <v>3645</v>
      </c>
      <c r="P21" s="51" t="n">
        <v>4394</v>
      </c>
      <c r="Q21" s="51" t="n">
        <v>4843</v>
      </c>
      <c r="R21" s="51" t="n">
        <v>4425</v>
      </c>
      <c r="S21" s="51" t="n">
        <v>4475</v>
      </c>
      <c r="T21" s="51" t="n">
        <v>4345</v>
      </c>
      <c r="U21" s="51" t="n">
        <v>3590</v>
      </c>
      <c r="V21" s="51" t="n">
        <v>5241</v>
      </c>
      <c r="W21" s="51" t="n">
        <v>4507</v>
      </c>
      <c r="X21" s="51" t="n">
        <v>4883</v>
      </c>
      <c r="Y21" s="51" t="n">
        <v>4407</v>
      </c>
      <c r="Z21" s="51" t="n">
        <v>4597</v>
      </c>
      <c r="AA21" s="51" t="n">
        <v>6118</v>
      </c>
      <c r="AB21" s="51" t="n">
        <v>3826</v>
      </c>
      <c r="AC21" s="51" t="n">
        <v>5453</v>
      </c>
      <c r="AD21" s="51" t="n">
        <v>4583</v>
      </c>
      <c r="AE21" s="51" t="n">
        <v>4614</v>
      </c>
      <c r="AF21" s="51" t="n">
        <v>4564</v>
      </c>
      <c r="AG21" s="51" t="n">
        <v>4744</v>
      </c>
      <c r="AH21" s="51" t="n">
        <v>4738</v>
      </c>
      <c r="AI21" s="51" t="n">
        <v>4484</v>
      </c>
      <c r="AJ21" s="51" t="n">
        <v>5266</v>
      </c>
      <c r="AK21" s="51" t="n">
        <v>4546</v>
      </c>
      <c r="AL21" s="51" t="n">
        <v>4635</v>
      </c>
      <c r="AM21" s="51" t="n">
        <v>4488</v>
      </c>
      <c r="AN21" s="51" t="n">
        <v>4205</v>
      </c>
      <c r="AO21" s="51" t="n">
        <v>4328</v>
      </c>
      <c r="AP21" s="51" t="n">
        <v>3593</v>
      </c>
      <c r="AQ21" s="51" t="n">
        <v>5389</v>
      </c>
      <c r="AR21" s="51" t="n">
        <v>4851</v>
      </c>
      <c r="AS21" s="51" t="n">
        <v>4643</v>
      </c>
      <c r="AT21" s="51" t="n">
        <v>4351</v>
      </c>
      <c r="AU21" s="51" t="n">
        <v>4415</v>
      </c>
      <c r="AV21" s="51" t="n">
        <v>4311</v>
      </c>
      <c r="AW21" s="51" t="n">
        <v>3593</v>
      </c>
      <c r="AX21" s="51" t="n">
        <v>4892</v>
      </c>
      <c r="AY21" s="51" t="n">
        <v>4205</v>
      </c>
      <c r="AZ21" s="51" t="n">
        <v>2246</v>
      </c>
      <c r="BA21" s="51" t="n">
        <v>2639</v>
      </c>
      <c r="BB21" s="51" t="n">
        <v>5756</v>
      </c>
      <c r="BC21" s="51" t="n">
        <v>5579</v>
      </c>
      <c r="BD21" s="51" t="n">
        <v>3760</v>
      </c>
      <c r="BE21" s="51" t="n">
        <v>5488</v>
      </c>
      <c r="BF21" s="51" t="n">
        <v>4471</v>
      </c>
      <c r="BG21" s="51" t="n">
        <v>6957</v>
      </c>
      <c r="BH21" s="51" t="n">
        <v>4677</v>
      </c>
      <c r="BI21" s="51" t="n">
        <v>4728</v>
      </c>
      <c r="BJ21" s="51" t="n">
        <v>4524</v>
      </c>
      <c r="BK21" s="51" t="n">
        <v>3739</v>
      </c>
      <c r="BL21" s="51" t="n">
        <v>5488</v>
      </c>
      <c r="BM21" s="51" t="n">
        <v>4837</v>
      </c>
      <c r="BN21" s="51" t="n">
        <v>5562</v>
      </c>
      <c r="BO21" s="51" t="n">
        <v>4592</v>
      </c>
      <c r="BP21" s="51" t="n">
        <v>4666</v>
      </c>
      <c r="BQ21" s="51" t="n">
        <v>4524</v>
      </c>
      <c r="BR21" s="51" t="n">
        <v>3841</v>
      </c>
      <c r="BS21" s="51" t="n">
        <v>5158</v>
      </c>
      <c r="BT21" s="51" t="n">
        <v>4706</v>
      </c>
      <c r="BU21" s="51" t="n">
        <v>4786</v>
      </c>
      <c r="BV21" s="51" t="n">
        <v>4592</v>
      </c>
      <c r="BW21" s="51" t="n">
        <v>4789</v>
      </c>
      <c r="BX21" s="51" t="n">
        <v>4547</v>
      </c>
      <c r="BY21" s="51" t="n">
        <v>3739</v>
      </c>
    </row>
    <row r="22" ht="15.75" customHeight="1" s="57">
      <c r="A22" s="49" t="inlineStr">
        <is>
          <t>Kho Chuyển Tiếp Đắk Nông</t>
        </is>
      </c>
      <c r="B22" s="50" t="inlineStr">
        <is>
          <t>Bulky</t>
        </is>
      </c>
      <c r="C22" s="50" t="n">
        <v>836</v>
      </c>
      <c r="D22" s="50" t="n">
        <v>784</v>
      </c>
      <c r="E22" s="50" t="n">
        <v>819</v>
      </c>
      <c r="F22" s="50" t="n">
        <v>737</v>
      </c>
      <c r="G22" s="50" t="n">
        <v>669</v>
      </c>
      <c r="H22" s="50" t="n">
        <v>496</v>
      </c>
      <c r="I22" s="50" t="n">
        <v>487</v>
      </c>
      <c r="J22" s="50" t="n">
        <v>787</v>
      </c>
      <c r="K22" s="50" t="n">
        <v>721</v>
      </c>
      <c r="L22" s="50" t="n">
        <v>615</v>
      </c>
      <c r="M22" s="50" t="n">
        <v>608</v>
      </c>
      <c r="N22" s="50" t="n">
        <v>418</v>
      </c>
      <c r="O22" s="50" t="n">
        <v>690</v>
      </c>
      <c r="P22" s="50" t="n">
        <v>597</v>
      </c>
      <c r="Q22" s="50" t="n">
        <v>702</v>
      </c>
      <c r="R22" s="50" t="n">
        <v>625</v>
      </c>
      <c r="S22" s="50" t="n">
        <v>610</v>
      </c>
      <c r="T22" s="50" t="n">
        <v>697</v>
      </c>
      <c r="U22" s="50" t="n">
        <v>420</v>
      </c>
      <c r="V22" s="50" t="n">
        <v>802</v>
      </c>
      <c r="W22" s="50" t="n">
        <v>656</v>
      </c>
      <c r="X22" s="50" t="n">
        <v>792</v>
      </c>
      <c r="Y22" s="50" t="n">
        <v>642</v>
      </c>
      <c r="Z22" s="50" t="n">
        <v>665</v>
      </c>
      <c r="AA22" s="50" t="n">
        <v>887</v>
      </c>
      <c r="AB22" s="50" t="n">
        <v>902</v>
      </c>
      <c r="AC22" s="50" t="n">
        <v>954</v>
      </c>
      <c r="AD22" s="50" t="n">
        <v>843</v>
      </c>
      <c r="AE22" s="51" t="n">
        <v>1128</v>
      </c>
      <c r="AF22" s="50" t="n">
        <v>979</v>
      </c>
      <c r="AG22" s="50" t="n">
        <v>705</v>
      </c>
      <c r="AH22" s="50" t="n">
        <v>887</v>
      </c>
      <c r="AI22" s="50" t="n">
        <v>603</v>
      </c>
      <c r="AJ22" s="51" t="n">
        <v>1014</v>
      </c>
      <c r="AK22" s="50" t="n">
        <v>693</v>
      </c>
      <c r="AL22" s="50" t="n">
        <v>631</v>
      </c>
      <c r="AM22" s="50" t="n">
        <v>889</v>
      </c>
      <c r="AN22" s="50" t="n">
        <v>615</v>
      </c>
      <c r="AO22" s="50" t="n">
        <v>646</v>
      </c>
      <c r="AP22" s="50" t="n">
        <v>385</v>
      </c>
      <c r="AQ22" s="50" t="n">
        <v>752</v>
      </c>
      <c r="AR22" s="50" t="n">
        <v>843</v>
      </c>
      <c r="AS22" s="50" t="n">
        <v>804</v>
      </c>
      <c r="AT22" s="50" t="n">
        <v>727</v>
      </c>
      <c r="AU22" s="50" t="n">
        <v>650</v>
      </c>
      <c r="AV22" s="50" t="n">
        <v>627</v>
      </c>
      <c r="AW22" s="50" t="n">
        <v>373</v>
      </c>
      <c r="AX22" s="50" t="n">
        <v>716</v>
      </c>
      <c r="AY22" s="50" t="n">
        <v>255</v>
      </c>
      <c r="AZ22" s="50" t="n">
        <v>88</v>
      </c>
      <c r="BA22" s="50" t="n">
        <v>119</v>
      </c>
      <c r="BB22" s="50" t="n">
        <v>323</v>
      </c>
      <c r="BC22" s="50" t="n">
        <v>286</v>
      </c>
      <c r="BD22" s="50" t="n">
        <v>201</v>
      </c>
      <c r="BE22" s="50" t="n">
        <v>362</v>
      </c>
      <c r="BF22" s="50" t="n">
        <v>320</v>
      </c>
      <c r="BG22" s="51" t="n">
        <v>1048</v>
      </c>
      <c r="BH22" s="50" t="n">
        <v>492</v>
      </c>
      <c r="BI22" s="50" t="n">
        <v>341</v>
      </c>
      <c r="BJ22" s="50" t="n">
        <v>267</v>
      </c>
      <c r="BK22" s="50" t="n">
        <v>199</v>
      </c>
      <c r="BL22" s="50" t="n">
        <v>402</v>
      </c>
      <c r="BM22" s="50" t="n">
        <v>490</v>
      </c>
      <c r="BN22" s="50" t="n">
        <v>413</v>
      </c>
      <c r="BO22" s="50" t="n">
        <v>297</v>
      </c>
      <c r="BP22" s="50" t="n">
        <v>286</v>
      </c>
      <c r="BQ22" s="50" t="n">
        <v>254</v>
      </c>
      <c r="BR22" s="50" t="n">
        <v>295</v>
      </c>
      <c r="BS22" s="50" t="n">
        <v>374</v>
      </c>
      <c r="BT22" s="50" t="n">
        <v>320</v>
      </c>
      <c r="BU22" s="50" t="n">
        <v>307</v>
      </c>
      <c r="BV22" s="50" t="n">
        <v>297</v>
      </c>
      <c r="BW22" s="50" t="n">
        <v>434</v>
      </c>
      <c r="BX22" s="50" t="n">
        <v>288</v>
      </c>
      <c r="BY22" s="50" t="n">
        <v>193</v>
      </c>
    </row>
    <row r="23" ht="15.75" customHeight="1" s="57">
      <c r="A23" s="49" t="inlineStr">
        <is>
          <t>Kho Chuyển Tiếp Đắk Nông</t>
        </is>
      </c>
      <c r="B23" s="50" t="inlineStr">
        <is>
          <t>Freight</t>
        </is>
      </c>
      <c r="C23" s="50" t="n">
        <v>392</v>
      </c>
      <c r="D23" s="50" t="n">
        <v>439</v>
      </c>
      <c r="E23" s="50" t="n">
        <v>369</v>
      </c>
      <c r="F23" s="50" t="n">
        <v>351</v>
      </c>
      <c r="G23" s="50" t="n">
        <v>274</v>
      </c>
      <c r="H23" s="50" t="n">
        <v>275</v>
      </c>
      <c r="I23" s="50" t="n">
        <v>308</v>
      </c>
      <c r="J23" s="50" t="n">
        <v>390</v>
      </c>
      <c r="K23" s="50" t="n">
        <v>329</v>
      </c>
      <c r="L23" s="50" t="n">
        <v>330</v>
      </c>
      <c r="M23" s="50" t="n">
        <v>327</v>
      </c>
      <c r="N23" s="50" t="n">
        <v>274</v>
      </c>
      <c r="O23" s="50" t="n">
        <v>327</v>
      </c>
      <c r="P23" s="50" t="n">
        <v>326</v>
      </c>
      <c r="Q23" s="50" t="n">
        <v>337</v>
      </c>
      <c r="R23" s="50" t="n">
        <v>323</v>
      </c>
      <c r="S23" s="50" t="n">
        <v>316</v>
      </c>
      <c r="T23" s="50" t="n">
        <v>361</v>
      </c>
      <c r="U23" s="50" t="n">
        <v>217</v>
      </c>
      <c r="V23" s="50" t="n">
        <v>415</v>
      </c>
      <c r="W23" s="50" t="n">
        <v>339</v>
      </c>
      <c r="X23" s="50" t="n">
        <v>409</v>
      </c>
      <c r="Y23" s="50" t="n">
        <v>332</v>
      </c>
      <c r="Z23" s="50" t="n">
        <v>344</v>
      </c>
      <c r="AA23" s="50" t="n">
        <v>529</v>
      </c>
      <c r="AB23" s="50" t="n">
        <v>488</v>
      </c>
      <c r="AC23" s="50" t="n">
        <v>574</v>
      </c>
      <c r="AD23" s="50" t="n">
        <v>553</v>
      </c>
      <c r="AE23" s="50" t="n">
        <v>454</v>
      </c>
      <c r="AF23" s="50" t="n">
        <v>390</v>
      </c>
      <c r="AG23" s="50" t="n">
        <v>320</v>
      </c>
      <c r="AH23" s="50" t="n">
        <v>529</v>
      </c>
      <c r="AI23" s="50" t="n">
        <v>289</v>
      </c>
      <c r="AJ23" s="50" t="n">
        <v>493</v>
      </c>
      <c r="AK23" s="50" t="n">
        <v>341</v>
      </c>
      <c r="AL23" s="50" t="n">
        <v>327</v>
      </c>
      <c r="AM23" s="50" t="n">
        <v>460</v>
      </c>
      <c r="AN23" s="50" t="n">
        <v>318</v>
      </c>
      <c r="AO23" s="50" t="n">
        <v>334</v>
      </c>
      <c r="AP23" s="50" t="n">
        <v>199</v>
      </c>
      <c r="AQ23" s="50" t="n">
        <v>389</v>
      </c>
      <c r="AR23" s="50" t="n">
        <v>557</v>
      </c>
      <c r="AS23" s="50" t="n">
        <v>378</v>
      </c>
      <c r="AT23" s="50" t="n">
        <v>322</v>
      </c>
      <c r="AU23" s="50" t="n">
        <v>307</v>
      </c>
      <c r="AV23" s="50" t="n">
        <v>324</v>
      </c>
      <c r="AW23" s="50" t="n">
        <v>193</v>
      </c>
      <c r="AX23" s="50" t="n">
        <v>370</v>
      </c>
      <c r="AY23" s="50" t="n">
        <v>132</v>
      </c>
      <c r="AZ23" s="50" t="n">
        <v>45</v>
      </c>
      <c r="BA23" s="50" t="n">
        <v>61</v>
      </c>
      <c r="BB23" s="50" t="n">
        <v>167</v>
      </c>
      <c r="BC23" s="50" t="n">
        <v>148</v>
      </c>
      <c r="BD23" s="50" t="n">
        <v>104</v>
      </c>
      <c r="BE23" s="50" t="n">
        <v>187</v>
      </c>
      <c r="BF23" s="50" t="n">
        <v>165</v>
      </c>
      <c r="BG23" s="50" t="n">
        <v>552</v>
      </c>
      <c r="BH23" s="50" t="n">
        <v>251</v>
      </c>
      <c r="BI23" s="50" t="n">
        <v>172</v>
      </c>
      <c r="BJ23" s="50" t="n">
        <v>136</v>
      </c>
      <c r="BK23" s="50" t="n">
        <v>103</v>
      </c>
      <c r="BL23" s="50" t="n">
        <v>208</v>
      </c>
      <c r="BM23" s="50" t="n">
        <v>253</v>
      </c>
      <c r="BN23" s="50" t="n">
        <v>214</v>
      </c>
      <c r="BO23" s="50" t="n">
        <v>154</v>
      </c>
      <c r="BP23" s="50" t="n">
        <v>148</v>
      </c>
      <c r="BQ23" s="50" t="n">
        <v>131</v>
      </c>
      <c r="BR23" s="50" t="n">
        <v>153</v>
      </c>
      <c r="BS23" s="50" t="n">
        <v>194</v>
      </c>
      <c r="BT23" s="50" t="n">
        <v>165</v>
      </c>
      <c r="BU23" s="50" t="n">
        <v>159</v>
      </c>
      <c r="BV23" s="50" t="n">
        <v>154</v>
      </c>
      <c r="BW23" s="50" t="n">
        <v>225</v>
      </c>
      <c r="BX23" s="50" t="n">
        <v>149</v>
      </c>
      <c r="BY23" s="50" t="n">
        <v>100</v>
      </c>
    </row>
    <row r="24" ht="15.75" customHeight="1" s="57">
      <c r="A24" s="52" t="inlineStr">
        <is>
          <t>Kho Chuyển Tiếp Đắk Nông</t>
        </is>
      </c>
      <c r="B24" s="52" t="inlineStr">
        <is>
          <t>Total</t>
        </is>
      </c>
      <c r="C24" s="53" t="n">
        <v>6022</v>
      </c>
      <c r="D24" s="53" t="n">
        <v>7099</v>
      </c>
      <c r="E24" s="53" t="n">
        <v>6270</v>
      </c>
      <c r="F24" s="53" t="n">
        <v>6037</v>
      </c>
      <c r="G24" s="53" t="n">
        <v>5022</v>
      </c>
      <c r="H24" s="53" t="n">
        <v>4404</v>
      </c>
      <c r="I24" s="53" t="n">
        <v>5350</v>
      </c>
      <c r="J24" s="53" t="n">
        <v>6217</v>
      </c>
      <c r="K24" s="53" t="n">
        <v>5069</v>
      </c>
      <c r="L24" s="53" t="n">
        <v>5838</v>
      </c>
      <c r="M24" s="53" t="n">
        <v>4714</v>
      </c>
      <c r="N24" s="53" t="n">
        <v>5199</v>
      </c>
      <c r="O24" s="53" t="n">
        <v>4662</v>
      </c>
      <c r="P24" s="53" t="n">
        <v>5317</v>
      </c>
      <c r="Q24" s="53" t="n">
        <v>5882</v>
      </c>
      <c r="R24" s="53" t="n">
        <v>5374</v>
      </c>
      <c r="S24" s="53" t="n">
        <v>5401</v>
      </c>
      <c r="T24" s="53" t="n">
        <v>5403</v>
      </c>
      <c r="U24" s="53" t="n">
        <v>4227</v>
      </c>
      <c r="V24" s="53" t="n">
        <v>6458</v>
      </c>
      <c r="W24" s="53" t="n">
        <v>5502</v>
      </c>
      <c r="X24" s="53" t="n">
        <v>6084</v>
      </c>
      <c r="Y24" s="53" t="n">
        <v>5381</v>
      </c>
      <c r="Z24" s="53" t="n">
        <v>5605</v>
      </c>
      <c r="AA24" s="53" t="n">
        <v>7534</v>
      </c>
      <c r="AB24" s="53" t="n">
        <v>5216</v>
      </c>
      <c r="AC24" s="53" t="n">
        <v>6981</v>
      </c>
      <c r="AD24" s="53" t="n">
        <v>5979</v>
      </c>
      <c r="AE24" s="53" t="n">
        <v>6196</v>
      </c>
      <c r="AF24" s="53" t="n">
        <v>5933</v>
      </c>
      <c r="AG24" s="53" t="n">
        <v>5769</v>
      </c>
      <c r="AH24" s="53" t="n">
        <v>6154</v>
      </c>
      <c r="AI24" s="53" t="n">
        <v>5376</v>
      </c>
      <c r="AJ24" s="53" t="n">
        <v>6773</v>
      </c>
      <c r="AK24" s="53" t="n">
        <v>5580</v>
      </c>
      <c r="AL24" s="53" t="n">
        <v>5593</v>
      </c>
      <c r="AM24" s="53" t="n">
        <v>5837</v>
      </c>
      <c r="AN24" s="53" t="n">
        <v>5138</v>
      </c>
      <c r="AO24" s="53" t="n">
        <v>5308</v>
      </c>
      <c r="AP24" s="53" t="n">
        <v>4177</v>
      </c>
      <c r="AQ24" s="53" t="n">
        <v>6530</v>
      </c>
      <c r="AR24" s="53" t="n">
        <v>6251</v>
      </c>
      <c r="AS24" s="53" t="n">
        <v>5825</v>
      </c>
      <c r="AT24" s="53" t="n">
        <v>5400</v>
      </c>
      <c r="AU24" s="53" t="n">
        <v>5372</v>
      </c>
      <c r="AV24" s="53" t="n">
        <v>5263</v>
      </c>
      <c r="AW24" s="53" t="n">
        <v>4158</v>
      </c>
      <c r="AX24" s="53" t="n">
        <v>5979</v>
      </c>
      <c r="AY24" s="53" t="n">
        <v>4592</v>
      </c>
      <c r="AZ24" s="53" t="n">
        <v>2379</v>
      </c>
      <c r="BA24" s="53" t="n">
        <v>2819</v>
      </c>
      <c r="BB24" s="53" t="n">
        <v>6246</v>
      </c>
      <c r="BC24" s="53" t="n">
        <v>6013</v>
      </c>
      <c r="BD24" s="53" t="n">
        <v>4065</v>
      </c>
      <c r="BE24" s="53" t="n">
        <v>6037</v>
      </c>
      <c r="BF24" s="53" t="n">
        <v>4956</v>
      </c>
      <c r="BG24" s="53" t="n">
        <v>8557</v>
      </c>
      <c r="BH24" s="53" t="n">
        <v>5420</v>
      </c>
      <c r="BI24" s="53" t="n">
        <v>5241</v>
      </c>
      <c r="BJ24" s="53" t="n">
        <v>4927</v>
      </c>
      <c r="BK24" s="53" t="n">
        <v>4041</v>
      </c>
      <c r="BL24" s="53" t="n">
        <v>6097</v>
      </c>
      <c r="BM24" s="53" t="n">
        <v>5579</v>
      </c>
      <c r="BN24" s="53" t="n">
        <v>6189</v>
      </c>
      <c r="BO24" s="53" t="n">
        <v>5043</v>
      </c>
      <c r="BP24" s="53" t="n">
        <v>5100</v>
      </c>
      <c r="BQ24" s="53" t="n">
        <v>4909</v>
      </c>
      <c r="BR24" s="53" t="n">
        <v>4289</v>
      </c>
      <c r="BS24" s="53" t="n">
        <v>5726</v>
      </c>
      <c r="BT24" s="53" t="n">
        <v>5191</v>
      </c>
      <c r="BU24" s="53" t="n">
        <v>5251</v>
      </c>
      <c r="BV24" s="53" t="n">
        <v>5043</v>
      </c>
      <c r="BW24" s="53" t="n">
        <v>5448</v>
      </c>
      <c r="BX24" s="53" t="n">
        <v>4984</v>
      </c>
      <c r="BY24" s="53" t="n">
        <v>4033</v>
      </c>
    </row>
    <row r="25" ht="15.75" customHeight="1" s="57">
      <c r="A25" s="49" t="n"/>
    </row>
    <row r="26" ht="15.75" customHeight="1" s="57">
      <c r="A26" s="49" t="n"/>
    </row>
    <row r="27" ht="15.75" customHeight="1" s="57">
      <c r="A27" s="49" t="n"/>
    </row>
    <row r="28" ht="15.75" customHeight="1" s="57">
      <c r="A28" s="49" t="n"/>
    </row>
    <row r="29" ht="15.75" customHeight="1" s="57">
      <c r="A29" s="49" t="n"/>
    </row>
    <row r="30" ht="15.75" customHeight="1" s="57">
      <c r="A30" s="49" t="n"/>
    </row>
    <row r="31" ht="15.75" customHeight="1" s="57">
      <c r="A31" s="49" t="n"/>
    </row>
    <row r="32" ht="15.75" customHeight="1" s="57">
      <c r="A32" s="49" t="n"/>
    </row>
    <row r="33" ht="15.75" customHeight="1" s="57">
      <c r="A33" s="49" t="n"/>
    </row>
    <row r="34" ht="15.75" customHeight="1" s="57">
      <c r="A34" s="49" t="n"/>
    </row>
    <row r="35" ht="15.75" customHeight="1" s="57">
      <c r="A35" s="49" t="n"/>
    </row>
    <row r="36" ht="15.75" customHeight="1" s="57">
      <c r="A36" s="49" t="n"/>
    </row>
    <row r="37" ht="15.75" customHeight="1" s="57">
      <c r="A37" s="49" t="n"/>
    </row>
    <row r="38" ht="15.75" customHeight="1" s="57">
      <c r="A38" s="49" t="n"/>
    </row>
    <row r="39" ht="15.75" customHeight="1" s="57">
      <c r="A39" s="49" t="n"/>
    </row>
    <row r="40" ht="15.75" customHeight="1" s="57">
      <c r="A40" s="49" t="n"/>
    </row>
    <row r="41" ht="15.75" customHeight="1" s="57">
      <c r="A41" s="49" t="n"/>
    </row>
    <row r="42" ht="15.75" customHeight="1" s="57">
      <c r="A42" s="49" t="n"/>
    </row>
    <row r="43" ht="15.75" customHeight="1" s="57">
      <c r="A43" s="49" t="n"/>
    </row>
    <row r="44" ht="15.75" customHeight="1" s="57">
      <c r="A44" s="49" t="n"/>
    </row>
    <row r="45" ht="15.75" customHeight="1" s="57">
      <c r="A45" s="49" t="n"/>
    </row>
    <row r="46" ht="15.75" customHeight="1" s="57">
      <c r="A46" s="49" t="n"/>
    </row>
    <row r="47" ht="15.75" customHeight="1" s="57">
      <c r="A47" s="49" t="n"/>
    </row>
    <row r="48" ht="15.75" customHeight="1" s="57">
      <c r="A48" s="49" t="n"/>
    </row>
    <row r="49" ht="15.75" customHeight="1" s="57">
      <c r="A49" s="49" t="n"/>
    </row>
    <row r="50" ht="15.75" customHeight="1" s="57">
      <c r="A50" s="49" t="n"/>
    </row>
    <row r="51" ht="15.75" customHeight="1" s="57">
      <c r="A51" s="49" t="n"/>
    </row>
    <row r="52" ht="15.75" customHeight="1" s="57">
      <c r="A52" s="49" t="n"/>
    </row>
    <row r="53" ht="15.75" customHeight="1" s="57">
      <c r="A53" s="49" t="n"/>
    </row>
    <row r="54" ht="15.75" customHeight="1" s="57">
      <c r="A54" s="49" t="n"/>
    </row>
    <row r="55" ht="15.75" customHeight="1" s="57">
      <c r="A55" s="49" t="n"/>
    </row>
    <row r="56" ht="15.75" customHeight="1" s="57">
      <c r="A56" s="49" t="n"/>
    </row>
    <row r="57" ht="15.75" customHeight="1" s="57">
      <c r="A57" s="49" t="n"/>
    </row>
    <row r="58" ht="15.75" customHeight="1" s="57">
      <c r="A58" s="49" t="n"/>
    </row>
    <row r="59" ht="15.75" customHeight="1" s="57">
      <c r="A59" s="49" t="n"/>
    </row>
    <row r="60" ht="15.75" customHeight="1" s="57">
      <c r="A60" s="49" t="n"/>
    </row>
    <row r="61" ht="15.75" customHeight="1" s="57">
      <c r="A61" s="49" t="n"/>
    </row>
    <row r="62" ht="15.75" customHeight="1" s="57">
      <c r="A62" s="49" t="n"/>
    </row>
    <row r="63" ht="15.75" customHeight="1" s="57">
      <c r="A63" s="49" t="n"/>
    </row>
    <row r="64" ht="15.75" customHeight="1" s="57">
      <c r="A64" s="49" t="n"/>
    </row>
    <row r="65" ht="15.75" customHeight="1" s="57">
      <c r="A65" s="49" t="n"/>
    </row>
    <row r="66" ht="15.75" customHeight="1" s="57">
      <c r="A66" s="49" t="n"/>
    </row>
    <row r="67" ht="15.75" customHeight="1" s="57">
      <c r="A67" s="49" t="n"/>
    </row>
    <row r="68" ht="15.75" customHeight="1" s="57">
      <c r="A68" s="49" t="n"/>
    </row>
    <row r="69" ht="15.75" customHeight="1" s="57">
      <c r="A69" s="49" t="n"/>
    </row>
    <row r="70" ht="15.75" customHeight="1" s="57">
      <c r="A70" s="49" t="n"/>
    </row>
    <row r="71" ht="15.75" customHeight="1" s="57">
      <c r="A71" s="49" t="n"/>
    </row>
    <row r="72" ht="15.75" customHeight="1" s="57">
      <c r="A72" s="49" t="n"/>
    </row>
    <row r="73" ht="15.75" customHeight="1" s="57">
      <c r="A73" s="49" t="n"/>
    </row>
    <row r="74" ht="15.75" customHeight="1" s="57">
      <c r="A74" s="49" t="n"/>
    </row>
    <row r="75" ht="15.75" customHeight="1" s="57">
      <c r="A75" s="49" t="n"/>
    </row>
    <row r="76" ht="15.75" customHeight="1" s="57">
      <c r="A76" s="49" t="n"/>
    </row>
    <row r="77" ht="15.75" customHeight="1" s="57">
      <c r="A77" s="49" t="n"/>
    </row>
    <row r="78" ht="15.75" customHeight="1" s="57">
      <c r="A78" s="49" t="n"/>
    </row>
    <row r="79" ht="15.75" customHeight="1" s="57">
      <c r="A79" s="49" t="n"/>
    </row>
    <row r="80" ht="15.75" customHeight="1" s="57">
      <c r="A80" s="49" t="n"/>
    </row>
    <row r="81" ht="15.75" customHeight="1" s="57">
      <c r="A81" s="49" t="n"/>
    </row>
    <row r="82" ht="15.75" customHeight="1" s="57">
      <c r="A82" s="49" t="n"/>
    </row>
    <row r="83" ht="15.75" customHeight="1" s="57">
      <c r="A83" s="49" t="n"/>
    </row>
    <row r="84" ht="15.75" customHeight="1" s="57">
      <c r="A84" s="49" t="n"/>
    </row>
    <row r="85" ht="15.75" customHeight="1" s="57">
      <c r="A85" s="49" t="n"/>
    </row>
    <row r="86" ht="15.75" customHeight="1" s="57">
      <c r="A86" s="49" t="n"/>
    </row>
    <row r="87" ht="15.75" customHeight="1" s="57">
      <c r="A87" s="49" t="n"/>
    </row>
    <row r="88" ht="15.75" customHeight="1" s="57">
      <c r="A88" s="49" t="n"/>
    </row>
    <row r="89" ht="15.75" customHeight="1" s="57">
      <c r="A89" s="49" t="n"/>
    </row>
    <row r="90" ht="15.75" customHeight="1" s="57">
      <c r="A90" s="49" t="n"/>
    </row>
    <row r="91" ht="15.75" customHeight="1" s="57">
      <c r="A91" s="49" t="n"/>
    </row>
    <row r="92" ht="15.75" customHeight="1" s="57">
      <c r="A92" s="49" t="n"/>
    </row>
    <row r="93" ht="15.75" customHeight="1" s="57">
      <c r="A93" s="49" t="n"/>
    </row>
    <row r="94" ht="15.75" customHeight="1" s="57">
      <c r="A94" s="49" t="n"/>
    </row>
    <row r="95" ht="15.75" customHeight="1" s="57">
      <c r="A95" s="49" t="n"/>
    </row>
    <row r="96" ht="15.75" customHeight="1" s="57">
      <c r="A96" s="49" t="n"/>
    </row>
    <row r="97" ht="15.75" customHeight="1" s="57">
      <c r="A97" s="49" t="n"/>
    </row>
    <row r="98" ht="15.75" customHeight="1" s="57">
      <c r="A98" s="49" t="n"/>
    </row>
    <row r="99" ht="15.75" customHeight="1" s="57">
      <c r="A99" s="49" t="n"/>
    </row>
    <row r="100" ht="15.75" customHeight="1" s="57">
      <c r="A100" s="49" t="n"/>
    </row>
    <row r="101" ht="15.75" customHeight="1" s="57">
      <c r="A101" s="49" t="n"/>
    </row>
    <row r="102" ht="15.75" customHeight="1" s="57">
      <c r="A102" s="49" t="n"/>
    </row>
    <row r="103" ht="15.75" customHeight="1" s="57">
      <c r="A103" s="49" t="n"/>
    </row>
    <row r="104" ht="15.75" customHeight="1" s="57">
      <c r="A104" s="49" t="n"/>
    </row>
    <row r="105" ht="15.75" customHeight="1" s="57">
      <c r="A105" s="49" t="n"/>
    </row>
    <row r="106" ht="15.75" customHeight="1" s="57">
      <c r="A106" s="49" t="n"/>
    </row>
    <row r="107" ht="15.75" customHeight="1" s="57">
      <c r="A107" s="49" t="n"/>
    </row>
    <row r="108" ht="15.75" customHeight="1" s="57">
      <c r="A108" s="49" t="n"/>
    </row>
    <row r="109" ht="15.75" customHeight="1" s="57">
      <c r="A109" s="49" t="n"/>
    </row>
    <row r="110" ht="15.75" customHeight="1" s="57">
      <c r="A110" s="49" t="n"/>
    </row>
    <row r="111" ht="15.75" customHeight="1" s="57">
      <c r="A111" s="49" t="n"/>
    </row>
    <row r="112" ht="15.75" customHeight="1" s="57">
      <c r="A112" s="49" t="n"/>
    </row>
    <row r="113" ht="15.75" customHeight="1" s="57">
      <c r="A113" s="49" t="n"/>
    </row>
    <row r="114" ht="15.75" customHeight="1" s="57">
      <c r="A114" s="49" t="n"/>
    </row>
    <row r="115" ht="15.75" customHeight="1" s="57">
      <c r="A115" s="49" t="n"/>
    </row>
    <row r="116" ht="15.75" customHeight="1" s="57">
      <c r="A116" s="49" t="n"/>
    </row>
    <row r="117" ht="15.75" customHeight="1" s="57">
      <c r="A117" s="49" t="n"/>
    </row>
    <row r="118" ht="15.75" customHeight="1" s="57">
      <c r="A118" s="49" t="n"/>
    </row>
    <row r="119" ht="15.75" customHeight="1" s="57">
      <c r="A119" s="49" t="n"/>
    </row>
    <row r="120" ht="15.75" customHeight="1" s="57">
      <c r="A120" s="49" t="n"/>
    </row>
    <row r="121" ht="15.75" customHeight="1" s="57">
      <c r="A121" s="49" t="n"/>
    </row>
    <row r="122" ht="15.75" customHeight="1" s="57">
      <c r="A122" s="49" t="n"/>
    </row>
    <row r="123" ht="15.75" customHeight="1" s="57">
      <c r="A123" s="49" t="n"/>
    </row>
    <row r="124" ht="15.75" customHeight="1" s="57">
      <c r="A124" s="49" t="n"/>
    </row>
    <row r="125" ht="15.75" customHeight="1" s="57">
      <c r="A125" s="49" t="n"/>
    </row>
    <row r="126" ht="15.75" customHeight="1" s="57">
      <c r="A126" s="49" t="n"/>
    </row>
    <row r="127" ht="15.75" customHeight="1" s="57">
      <c r="A127" s="49" t="n"/>
    </row>
    <row r="128" ht="15.75" customHeight="1" s="57">
      <c r="A128" s="49" t="n"/>
    </row>
    <row r="129" ht="15.75" customHeight="1" s="57">
      <c r="A129" s="49" t="n"/>
    </row>
    <row r="130" ht="15.75" customHeight="1" s="57">
      <c r="A130" s="49" t="n"/>
    </row>
    <row r="131" ht="15.75" customHeight="1" s="57">
      <c r="A131" s="49" t="n"/>
    </row>
    <row r="132" ht="15.75" customHeight="1" s="57">
      <c r="A132" s="49" t="n"/>
    </row>
    <row r="133" ht="15.75" customHeight="1" s="57">
      <c r="A133" s="49" t="n"/>
    </row>
    <row r="134" ht="15.75" customHeight="1" s="57">
      <c r="A134" s="49" t="n"/>
    </row>
    <row r="135" ht="15.75" customHeight="1" s="57">
      <c r="A135" s="49" t="n"/>
    </row>
    <row r="136" ht="15.75" customHeight="1" s="57">
      <c r="A136" s="49" t="n"/>
    </row>
    <row r="137" ht="15.75" customHeight="1" s="57">
      <c r="A137" s="49" t="n"/>
    </row>
    <row r="138" ht="15.75" customHeight="1" s="57">
      <c r="A138" s="49" t="n"/>
    </row>
    <row r="139" ht="15.75" customHeight="1" s="57">
      <c r="A139" s="49" t="n"/>
    </row>
    <row r="140" ht="15.75" customHeight="1" s="57">
      <c r="A140" s="49" t="n"/>
    </row>
    <row r="141" ht="15.75" customHeight="1" s="57">
      <c r="A141" s="49" t="n"/>
    </row>
    <row r="142" ht="15.75" customHeight="1" s="57">
      <c r="A142" s="49" t="n"/>
    </row>
    <row r="143" ht="15.75" customHeight="1" s="57">
      <c r="A143" s="49" t="n"/>
    </row>
    <row r="144" ht="15.75" customHeight="1" s="57">
      <c r="A144" s="49" t="n"/>
    </row>
    <row r="145" ht="15.75" customHeight="1" s="57">
      <c r="A145" s="49" t="n"/>
    </row>
    <row r="146" ht="15.75" customHeight="1" s="57">
      <c r="A146" s="49" t="n"/>
    </row>
    <row r="147" ht="15.75" customHeight="1" s="57">
      <c r="A147" s="49" t="n"/>
    </row>
    <row r="148" ht="15.75" customHeight="1" s="57">
      <c r="A148" s="49" t="n"/>
    </row>
    <row r="149" ht="15.75" customHeight="1" s="57">
      <c r="A149" s="49" t="n"/>
    </row>
    <row r="150" ht="15.75" customHeight="1" s="57">
      <c r="A150" s="49" t="n"/>
    </row>
    <row r="151" ht="15.75" customHeight="1" s="57">
      <c r="A151" s="49" t="n"/>
    </row>
    <row r="152" ht="15.75" customHeight="1" s="57">
      <c r="A152" s="49" t="n"/>
    </row>
    <row r="153" ht="15.75" customHeight="1" s="57">
      <c r="A153" s="49" t="n"/>
    </row>
    <row r="154" ht="15.75" customHeight="1" s="57">
      <c r="A154" s="49" t="n"/>
    </row>
    <row r="155" ht="15.75" customHeight="1" s="57">
      <c r="A155" s="49" t="n"/>
    </row>
    <row r="156" ht="15.75" customHeight="1" s="57">
      <c r="A156" s="49" t="n"/>
    </row>
    <row r="157" ht="15.75" customHeight="1" s="57">
      <c r="A157" s="49" t="n"/>
    </row>
    <row r="158" ht="15.75" customHeight="1" s="57">
      <c r="A158" s="49" t="n"/>
    </row>
    <row r="159" ht="15.75" customHeight="1" s="57">
      <c r="A159" s="49" t="n"/>
    </row>
    <row r="160" ht="15.75" customHeight="1" s="57">
      <c r="A160" s="49" t="n"/>
    </row>
    <row r="161" ht="15.75" customHeight="1" s="57">
      <c r="A161" s="49" t="n"/>
    </row>
    <row r="162" ht="15.75" customHeight="1" s="57">
      <c r="A162" s="49" t="n"/>
    </row>
    <row r="163" ht="15.75" customHeight="1" s="57">
      <c r="A163" s="49" t="n"/>
    </row>
    <row r="164" ht="15.75" customHeight="1" s="57">
      <c r="A164" s="49" t="n"/>
    </row>
    <row r="165" ht="15.75" customHeight="1" s="57">
      <c r="A165" s="49" t="n"/>
    </row>
    <row r="166" ht="15.75" customHeight="1" s="57">
      <c r="A166" s="49" t="n"/>
    </row>
    <row r="167" ht="15.75" customHeight="1" s="57">
      <c r="A167" s="49" t="n"/>
    </row>
    <row r="168" ht="15.75" customHeight="1" s="57">
      <c r="A168" s="49" t="n"/>
    </row>
    <row r="169" ht="15.75" customHeight="1" s="57">
      <c r="A169" s="49" t="n"/>
    </row>
    <row r="170" ht="15.75" customHeight="1" s="57">
      <c r="A170" s="49" t="n"/>
    </row>
    <row r="171" ht="15.75" customHeight="1" s="57">
      <c r="A171" s="49" t="n"/>
    </row>
    <row r="172" ht="15.75" customHeight="1" s="57">
      <c r="A172" s="49" t="n"/>
    </row>
    <row r="173" ht="15.75" customHeight="1" s="57">
      <c r="A173" s="49" t="n"/>
    </row>
    <row r="174" ht="15.75" customHeight="1" s="57">
      <c r="A174" s="49" t="n"/>
    </row>
    <row r="175" ht="15.75" customHeight="1" s="57">
      <c r="A175" s="49" t="n"/>
    </row>
    <row r="176" ht="15.75" customHeight="1" s="57">
      <c r="A176" s="49" t="n"/>
    </row>
    <row r="177" ht="15.75" customHeight="1" s="57">
      <c r="A177" s="49" t="n"/>
    </row>
    <row r="178" ht="15.75" customHeight="1" s="57">
      <c r="A178" s="49" t="n"/>
    </row>
    <row r="179" ht="15.75" customHeight="1" s="57">
      <c r="A179" s="49" t="n"/>
    </row>
    <row r="180" ht="15.75" customHeight="1" s="57">
      <c r="A180" s="49" t="n"/>
    </row>
    <row r="181" ht="15.75" customHeight="1" s="57">
      <c r="A181" s="49" t="n"/>
    </row>
    <row r="182" ht="15.75" customHeight="1" s="57">
      <c r="A182" s="49" t="n"/>
    </row>
    <row r="183" ht="15.75" customHeight="1" s="57">
      <c r="A183" s="49" t="n"/>
    </row>
    <row r="184" ht="15.75" customHeight="1" s="57">
      <c r="A184" s="49" t="n"/>
    </row>
    <row r="185" ht="15.75" customHeight="1" s="57">
      <c r="A185" s="49" t="n"/>
    </row>
    <row r="186" ht="15.75" customHeight="1" s="57">
      <c r="A186" s="49" t="n"/>
    </row>
    <row r="187" ht="15.75" customHeight="1" s="57">
      <c r="A187" s="49" t="n"/>
    </row>
    <row r="188" ht="15.75" customHeight="1" s="57">
      <c r="A188" s="49" t="n"/>
    </row>
    <row r="189" ht="15.75" customHeight="1" s="57">
      <c r="A189" s="49" t="n"/>
    </row>
    <row r="190" ht="15.75" customHeight="1" s="57">
      <c r="A190" s="49" t="n"/>
    </row>
    <row r="191" ht="15.75" customHeight="1" s="57">
      <c r="A191" s="49" t="n"/>
    </row>
    <row r="192" ht="15.75" customHeight="1" s="57">
      <c r="A192" s="49" t="n"/>
    </row>
    <row r="193" ht="15.75" customHeight="1" s="57">
      <c r="A193" s="49" t="n"/>
    </row>
    <row r="194" ht="15.75" customHeight="1" s="57">
      <c r="A194" s="49" t="n"/>
    </row>
    <row r="195" ht="15.75" customHeight="1" s="57">
      <c r="A195" s="49" t="n"/>
    </row>
    <row r="196" ht="15.75" customHeight="1" s="57">
      <c r="A196" s="49" t="n"/>
    </row>
    <row r="197" ht="15.75" customHeight="1" s="57">
      <c r="A197" s="49" t="n"/>
    </row>
    <row r="198" ht="15.75" customHeight="1" s="57">
      <c r="A198" s="49" t="n"/>
    </row>
    <row r="199" ht="15.75" customHeight="1" s="57">
      <c r="A199" s="49" t="n"/>
    </row>
    <row r="200" ht="15.75" customHeight="1" s="57">
      <c r="A200" s="49" t="n"/>
    </row>
    <row r="201" ht="15.75" customHeight="1" s="57">
      <c r="A201" s="49" t="n"/>
    </row>
    <row r="202" ht="15.75" customHeight="1" s="57">
      <c r="A202" s="49" t="n"/>
    </row>
    <row r="203" ht="15.75" customHeight="1" s="57">
      <c r="A203" s="49" t="n"/>
    </row>
    <row r="204" ht="15.75" customHeight="1" s="57">
      <c r="A204" s="49" t="n"/>
    </row>
    <row r="205" ht="15.75" customHeight="1" s="57">
      <c r="A205" s="49" t="n"/>
    </row>
    <row r="206" ht="15.75" customHeight="1" s="57">
      <c r="A206" s="49" t="n"/>
    </row>
    <row r="207" ht="15.75" customHeight="1" s="57">
      <c r="A207" s="49" t="n"/>
    </row>
    <row r="208" ht="15.75" customHeight="1" s="57">
      <c r="A208" s="49" t="n"/>
    </row>
    <row r="209" ht="15.75" customHeight="1" s="57">
      <c r="A209" s="49" t="n"/>
    </row>
    <row r="210" ht="15.75" customHeight="1" s="57">
      <c r="A210" s="49" t="n"/>
    </row>
    <row r="211" ht="15.75" customHeight="1" s="57">
      <c r="A211" s="49" t="n"/>
    </row>
    <row r="212" ht="15.75" customHeight="1" s="57">
      <c r="A212" s="49" t="n"/>
    </row>
    <row r="213" ht="15.75" customHeight="1" s="57">
      <c r="A213" s="49" t="n"/>
    </row>
    <row r="214" ht="15.75" customHeight="1" s="57">
      <c r="A214" s="49" t="n"/>
    </row>
    <row r="215" ht="15.75" customHeight="1" s="57">
      <c r="A215" s="49" t="n"/>
    </row>
    <row r="216" ht="15.75" customHeight="1" s="57">
      <c r="A216" s="49" t="n"/>
    </row>
    <row r="217" ht="15.75" customHeight="1" s="57">
      <c r="A217" s="49" t="n"/>
    </row>
    <row r="218" ht="15.75" customHeight="1" s="57">
      <c r="A218" s="49" t="n"/>
    </row>
    <row r="219" ht="15.75" customHeight="1" s="57">
      <c r="A219" s="49" t="n"/>
    </row>
    <row r="220" ht="15.75" customHeight="1" s="57">
      <c r="A220" s="49" t="n"/>
    </row>
    <row r="221" ht="15.75" customHeight="1" s="57">
      <c r="A221" s="49" t="n"/>
    </row>
    <row r="222" ht="15.75" customHeight="1" s="57">
      <c r="A222" s="49" t="n"/>
    </row>
    <row r="223" ht="15.75" customHeight="1" s="57">
      <c r="A223" s="49" t="n"/>
    </row>
    <row r="224" ht="15.75" customHeight="1" s="57">
      <c r="A224" s="49" t="n"/>
    </row>
    <row r="225" ht="15.75" customHeight="1" s="57">
      <c r="A225" s="49" t="n"/>
    </row>
    <row r="226" ht="15.75" customHeight="1" s="57">
      <c r="A226" s="49" t="n"/>
    </row>
    <row r="227" ht="15.75" customHeight="1" s="57">
      <c r="A227" s="49" t="n"/>
    </row>
    <row r="228" ht="15.75" customHeight="1" s="57">
      <c r="A228" s="49" t="n"/>
    </row>
    <row r="229" ht="15.75" customHeight="1" s="57">
      <c r="A229" s="49" t="n"/>
    </row>
    <row r="230" ht="15.75" customHeight="1" s="57">
      <c r="A230" s="49" t="n"/>
    </row>
    <row r="231" ht="15.75" customHeight="1" s="57">
      <c r="A231" s="49" t="n"/>
    </row>
    <row r="232" ht="15.75" customHeight="1" s="57">
      <c r="A232" s="49" t="n"/>
    </row>
    <row r="233" ht="15.75" customHeight="1" s="57">
      <c r="A233" s="49" t="n"/>
    </row>
    <row r="234" ht="15.75" customHeight="1" s="57">
      <c r="A234" s="49" t="n"/>
    </row>
    <row r="235" ht="15.75" customHeight="1" s="57">
      <c r="A235" s="49" t="n"/>
    </row>
    <row r="236" ht="15.75" customHeight="1" s="57">
      <c r="A236" s="49" t="n"/>
    </row>
    <row r="237" ht="15.75" customHeight="1" s="57">
      <c r="A237" s="49" t="n"/>
    </row>
    <row r="238" ht="15.75" customHeight="1" s="57">
      <c r="A238" s="49" t="n"/>
    </row>
    <row r="239" ht="15.75" customHeight="1" s="57">
      <c r="A239" s="49" t="n"/>
    </row>
    <row r="240" ht="15.75" customHeight="1" s="57">
      <c r="A240" s="49" t="n"/>
    </row>
    <row r="241" ht="15.75" customHeight="1" s="57">
      <c r="A241" s="49" t="n"/>
    </row>
    <row r="242" ht="15.75" customHeight="1" s="57">
      <c r="A242" s="49" t="n"/>
    </row>
    <row r="243" ht="15.75" customHeight="1" s="57">
      <c r="A243" s="49" t="n"/>
    </row>
    <row r="244" ht="15.75" customHeight="1" s="57">
      <c r="A244" s="49" t="n"/>
    </row>
    <row r="245" ht="15.75" customHeight="1" s="57">
      <c r="A245" s="49" t="n"/>
    </row>
    <row r="246" ht="15.75" customHeight="1" s="57">
      <c r="A246" s="49" t="n"/>
    </row>
    <row r="247" ht="15.75" customHeight="1" s="57">
      <c r="A247" s="49" t="n"/>
    </row>
    <row r="248" ht="15.75" customHeight="1" s="57">
      <c r="A248" s="49" t="n"/>
    </row>
    <row r="249" ht="15.75" customHeight="1" s="57">
      <c r="A249" s="49" t="n"/>
    </row>
    <row r="250" ht="15.75" customHeight="1" s="57">
      <c r="A250" s="49" t="n"/>
    </row>
    <row r="251" ht="15.75" customHeight="1" s="57">
      <c r="A251" s="49" t="n"/>
    </row>
    <row r="252" ht="15.75" customHeight="1" s="57">
      <c r="A252" s="49" t="n"/>
    </row>
    <row r="253" ht="15.75" customHeight="1" s="57">
      <c r="A253" s="49" t="n"/>
    </row>
    <row r="254" ht="15.75" customHeight="1" s="57">
      <c r="A254" s="49" t="n"/>
    </row>
    <row r="255" ht="15.75" customHeight="1" s="57">
      <c r="A255" s="49" t="n"/>
    </row>
    <row r="256" ht="15.75" customHeight="1" s="57">
      <c r="A256" s="49" t="n"/>
    </row>
    <row r="257" ht="15.75" customHeight="1" s="57">
      <c r="A257" s="49" t="n"/>
    </row>
    <row r="258" ht="15.75" customHeight="1" s="57">
      <c r="A258" s="49" t="n"/>
    </row>
    <row r="259" ht="15.75" customHeight="1" s="57">
      <c r="A259" s="49" t="n"/>
    </row>
    <row r="260" ht="15.75" customHeight="1" s="57">
      <c r="A260" s="49" t="n"/>
    </row>
    <row r="261" ht="15.75" customHeight="1" s="57">
      <c r="A261" s="49" t="n"/>
    </row>
    <row r="262" ht="15.75" customHeight="1" s="57">
      <c r="A262" s="49" t="n"/>
    </row>
    <row r="263" ht="15.75" customHeight="1" s="57">
      <c r="A263" s="49" t="n"/>
    </row>
    <row r="264" ht="15.75" customHeight="1" s="57">
      <c r="A264" s="49" t="n"/>
    </row>
    <row r="265" ht="15.75" customHeight="1" s="57">
      <c r="A265" s="49" t="n"/>
    </row>
    <row r="266" ht="15.75" customHeight="1" s="57">
      <c r="A266" s="49" t="n"/>
    </row>
    <row r="267" ht="15.75" customHeight="1" s="57">
      <c r="A267" s="49" t="n"/>
    </row>
    <row r="268" ht="15.75" customHeight="1" s="57">
      <c r="A268" s="49" t="n"/>
    </row>
    <row r="269" ht="15.75" customHeight="1" s="57">
      <c r="A269" s="49" t="n"/>
    </row>
    <row r="270" ht="15.75" customHeight="1" s="57">
      <c r="A270" s="49" t="n"/>
    </row>
    <row r="271" ht="15.75" customHeight="1" s="57">
      <c r="A271" s="49" t="n"/>
    </row>
    <row r="272" ht="15.75" customHeight="1" s="57">
      <c r="A272" s="49" t="n"/>
    </row>
    <row r="273" ht="15.75" customHeight="1" s="57">
      <c r="A273" s="49" t="n"/>
    </row>
    <row r="274" ht="15.75" customHeight="1" s="57">
      <c r="A274" s="49" t="n"/>
    </row>
    <row r="275" ht="15.75" customHeight="1" s="57">
      <c r="A275" s="49" t="n"/>
    </row>
    <row r="276" ht="15.75" customHeight="1" s="57">
      <c r="A276" s="49" t="n"/>
    </row>
    <row r="277" ht="15.75" customHeight="1" s="57">
      <c r="A277" s="49" t="n"/>
    </row>
    <row r="278" ht="15.75" customHeight="1" s="57">
      <c r="A278" s="49" t="n"/>
    </row>
    <row r="279" ht="15.75" customHeight="1" s="57">
      <c r="A279" s="49" t="n"/>
    </row>
    <row r="280" ht="15.75" customHeight="1" s="57">
      <c r="A280" s="49" t="n"/>
    </row>
    <row r="281" ht="15.75" customHeight="1" s="57">
      <c r="A281" s="49" t="n"/>
    </row>
    <row r="282" ht="15.75" customHeight="1" s="57">
      <c r="A282" s="49" t="n"/>
    </row>
    <row r="283" ht="15.75" customHeight="1" s="57">
      <c r="A283" s="49" t="n"/>
    </row>
    <row r="284" ht="15.75" customHeight="1" s="57">
      <c r="A284" s="49" t="n"/>
    </row>
    <row r="285" ht="15.75" customHeight="1" s="57">
      <c r="A285" s="49" t="n"/>
    </row>
    <row r="286" ht="15.75" customHeight="1" s="57">
      <c r="A286" s="49" t="n"/>
    </row>
    <row r="287" ht="15.75" customHeight="1" s="57">
      <c r="A287" s="49" t="n"/>
    </row>
    <row r="288" ht="15.75" customHeight="1" s="57">
      <c r="A288" s="49" t="n"/>
    </row>
    <row r="289" ht="15.75" customHeight="1" s="57">
      <c r="A289" s="49" t="n"/>
    </row>
    <row r="290" ht="15.75" customHeight="1" s="57">
      <c r="A290" s="49" t="n"/>
    </row>
    <row r="291" ht="15.75" customHeight="1" s="57">
      <c r="A291" s="49" t="n"/>
    </row>
    <row r="292" ht="15.75" customHeight="1" s="57">
      <c r="A292" s="49" t="n"/>
    </row>
    <row r="293" ht="15.75" customHeight="1" s="57">
      <c r="A293" s="49" t="n"/>
    </row>
    <row r="294" ht="15.75" customHeight="1" s="57">
      <c r="A294" s="49" t="n"/>
    </row>
    <row r="295" ht="15.75" customHeight="1" s="57">
      <c r="A295" s="49" t="n"/>
    </row>
    <row r="296" ht="15.75" customHeight="1" s="57">
      <c r="A296" s="49" t="n"/>
    </row>
    <row r="297" ht="15.75" customHeight="1" s="57">
      <c r="A297" s="49" t="n"/>
    </row>
    <row r="298" ht="15.75" customHeight="1" s="57">
      <c r="A298" s="49" t="n"/>
    </row>
    <row r="299" ht="15.75" customHeight="1" s="57">
      <c r="A299" s="49" t="n"/>
    </row>
    <row r="300" ht="15.75" customHeight="1" s="57">
      <c r="A300" s="49" t="n"/>
    </row>
    <row r="301" ht="15.75" customHeight="1" s="57">
      <c r="A301" s="49" t="n"/>
    </row>
    <row r="302" ht="15.75" customHeight="1" s="57">
      <c r="A302" s="49" t="n"/>
    </row>
    <row r="303" ht="15.75" customHeight="1" s="57">
      <c r="A303" s="49" t="n"/>
    </row>
    <row r="304" ht="15.75" customHeight="1" s="57">
      <c r="A304" s="49" t="n"/>
    </row>
    <row r="305" ht="15.75" customHeight="1" s="57">
      <c r="A305" s="49" t="n"/>
    </row>
    <row r="306" ht="15.75" customHeight="1" s="57">
      <c r="A306" s="49" t="n"/>
    </row>
    <row r="307" ht="15.75" customHeight="1" s="57">
      <c r="A307" s="49" t="n"/>
    </row>
    <row r="308" ht="15.75" customHeight="1" s="57">
      <c r="A308" s="49" t="n"/>
    </row>
    <row r="309" ht="15.75" customHeight="1" s="57">
      <c r="A309" s="49" t="n"/>
    </row>
    <row r="310" ht="15.75" customHeight="1" s="57">
      <c r="A310" s="49" t="n"/>
    </row>
    <row r="311" ht="15.75" customHeight="1" s="57">
      <c r="A311" s="49" t="n"/>
    </row>
    <row r="312" ht="15.75" customHeight="1" s="57">
      <c r="A312" s="49" t="n"/>
    </row>
    <row r="313" ht="15.75" customHeight="1" s="57">
      <c r="A313" s="49" t="n"/>
    </row>
    <row r="314" ht="15.75" customHeight="1" s="57">
      <c r="A314" s="49" t="n"/>
    </row>
    <row r="315" ht="15.75" customHeight="1" s="57">
      <c r="A315" s="49" t="n"/>
    </row>
    <row r="316" ht="15.75" customHeight="1" s="57">
      <c r="A316" s="49" t="n"/>
    </row>
    <row r="317" ht="15.75" customHeight="1" s="57">
      <c r="A317" s="49" t="n"/>
    </row>
    <row r="318" ht="15.75" customHeight="1" s="57">
      <c r="A318" s="49" t="n"/>
    </row>
    <row r="319" ht="15.75" customHeight="1" s="57">
      <c r="A319" s="49" t="n"/>
    </row>
    <row r="320" ht="15.75" customHeight="1" s="57">
      <c r="A320" s="49" t="n"/>
    </row>
    <row r="321" ht="15.75" customHeight="1" s="57">
      <c r="A321" s="49" t="n"/>
    </row>
    <row r="322" ht="15.75" customHeight="1" s="57">
      <c r="A322" s="49" t="n"/>
    </row>
    <row r="323" ht="15.75" customHeight="1" s="57">
      <c r="A323" s="49" t="n"/>
    </row>
    <row r="324" ht="15.75" customHeight="1" s="57">
      <c r="A324" s="49" t="n"/>
    </row>
    <row r="325" ht="15.75" customHeight="1" s="57">
      <c r="A325" s="49" t="n"/>
    </row>
    <row r="326" ht="15.75" customHeight="1" s="57">
      <c r="A326" s="49" t="n"/>
    </row>
    <row r="327" ht="15.75" customHeight="1" s="57">
      <c r="A327" s="49" t="n"/>
    </row>
    <row r="328" ht="15.75" customHeight="1" s="57">
      <c r="A328" s="49" t="n"/>
    </row>
    <row r="329" ht="15.75" customHeight="1" s="57">
      <c r="A329" s="49" t="n"/>
    </row>
    <row r="330" ht="15.75" customHeight="1" s="57">
      <c r="A330" s="49" t="n"/>
    </row>
    <row r="331" ht="15.75" customHeight="1" s="57">
      <c r="A331" s="49" t="n"/>
    </row>
    <row r="332" ht="15.75" customHeight="1" s="57">
      <c r="A332" s="49" t="n"/>
    </row>
    <row r="333" ht="15.75" customHeight="1" s="57">
      <c r="A333" s="49" t="n"/>
    </row>
    <row r="334" ht="15.75" customHeight="1" s="57">
      <c r="A334" s="49" t="n"/>
    </row>
    <row r="335" ht="15.75" customHeight="1" s="57">
      <c r="A335" s="49" t="n"/>
    </row>
    <row r="336" ht="15.75" customHeight="1" s="57">
      <c r="A336" s="49" t="n"/>
    </row>
    <row r="337" ht="15.75" customHeight="1" s="57">
      <c r="A337" s="49" t="n"/>
    </row>
    <row r="338" ht="15.75" customHeight="1" s="57">
      <c r="A338" s="49" t="n"/>
    </row>
    <row r="339" ht="15.75" customHeight="1" s="57">
      <c r="A339" s="49" t="n"/>
    </row>
    <row r="340" ht="15.75" customHeight="1" s="57">
      <c r="A340" s="49" t="n"/>
    </row>
    <row r="341" ht="15.75" customHeight="1" s="57">
      <c r="A341" s="49" t="n"/>
    </row>
    <row r="342" ht="15.75" customHeight="1" s="57">
      <c r="A342" s="49" t="n"/>
    </row>
    <row r="343" ht="15.75" customHeight="1" s="57">
      <c r="A343" s="49" t="n"/>
    </row>
    <row r="344" ht="15.75" customHeight="1" s="57">
      <c r="A344" s="49" t="n"/>
    </row>
    <row r="345" ht="15.75" customHeight="1" s="57">
      <c r="A345" s="49" t="n"/>
    </row>
    <row r="346" ht="15.75" customHeight="1" s="57">
      <c r="A346" s="49" t="n"/>
    </row>
    <row r="347" ht="15.75" customHeight="1" s="57">
      <c r="A347" s="49" t="n"/>
    </row>
    <row r="348" ht="15.75" customHeight="1" s="57">
      <c r="A348" s="49" t="n"/>
    </row>
    <row r="349" ht="15.75" customHeight="1" s="57">
      <c r="A349" s="49" t="n"/>
    </row>
    <row r="350" ht="15.75" customHeight="1" s="57">
      <c r="A350" s="49" t="n"/>
    </row>
    <row r="351" ht="15.75" customHeight="1" s="57">
      <c r="A351" s="49" t="n"/>
    </row>
    <row r="352" ht="15.75" customHeight="1" s="57">
      <c r="A352" s="49" t="n"/>
    </row>
    <row r="353" ht="15.75" customHeight="1" s="57">
      <c r="A353" s="49" t="n"/>
    </row>
    <row r="354" ht="15.75" customHeight="1" s="57">
      <c r="A354" s="49" t="n"/>
    </row>
    <row r="355" ht="15.75" customHeight="1" s="57">
      <c r="A355" s="49" t="n"/>
    </row>
    <row r="356" ht="15.75" customHeight="1" s="57">
      <c r="A356" s="49" t="n"/>
    </row>
    <row r="357" ht="15.75" customHeight="1" s="57">
      <c r="A357" s="49" t="n"/>
    </row>
    <row r="358" ht="15.75" customHeight="1" s="57">
      <c r="A358" s="49" t="n"/>
    </row>
    <row r="359" ht="15.75" customHeight="1" s="57">
      <c r="A359" s="49" t="n"/>
    </row>
    <row r="360" ht="15.75" customHeight="1" s="57">
      <c r="A360" s="49" t="n"/>
    </row>
    <row r="361" ht="15.75" customHeight="1" s="57">
      <c r="A361" s="49" t="n"/>
    </row>
    <row r="362" ht="15.75" customHeight="1" s="57">
      <c r="A362" s="49" t="n"/>
    </row>
    <row r="363" ht="15.75" customHeight="1" s="57">
      <c r="A363" s="49" t="n"/>
    </row>
    <row r="364" ht="15.75" customHeight="1" s="57">
      <c r="A364" s="49" t="n"/>
    </row>
    <row r="365" ht="15.75" customHeight="1" s="57">
      <c r="A365" s="49" t="n"/>
    </row>
    <row r="366" ht="15.75" customHeight="1" s="57">
      <c r="A366" s="49" t="n"/>
    </row>
    <row r="367" ht="15.75" customHeight="1" s="57">
      <c r="A367" s="49" t="n"/>
    </row>
    <row r="368" ht="15.75" customHeight="1" s="57">
      <c r="A368" s="49" t="n"/>
    </row>
    <row r="369" ht="15.75" customHeight="1" s="57">
      <c r="A369" s="49" t="n"/>
    </row>
    <row r="370" ht="15.75" customHeight="1" s="57">
      <c r="A370" s="49" t="n"/>
    </row>
    <row r="371" ht="15.75" customHeight="1" s="57">
      <c r="A371" s="49" t="n"/>
    </row>
    <row r="372" ht="15.75" customHeight="1" s="57">
      <c r="A372" s="49" t="n"/>
    </row>
    <row r="373" ht="15.75" customHeight="1" s="57">
      <c r="A373" s="49" t="n"/>
    </row>
    <row r="374" ht="15.75" customHeight="1" s="57">
      <c r="A374" s="49" t="n"/>
    </row>
    <row r="375" ht="15.75" customHeight="1" s="57">
      <c r="A375" s="49" t="n"/>
    </row>
    <row r="376" ht="15.75" customHeight="1" s="57">
      <c r="A376" s="49" t="n"/>
    </row>
    <row r="377" ht="15.75" customHeight="1" s="57">
      <c r="A377" s="49" t="n"/>
    </row>
    <row r="378" ht="15.75" customHeight="1" s="57">
      <c r="A378" s="49" t="n"/>
    </row>
    <row r="379" ht="15.75" customHeight="1" s="57">
      <c r="A379" s="49" t="n"/>
    </row>
    <row r="380" ht="15.75" customHeight="1" s="57">
      <c r="A380" s="49" t="n"/>
    </row>
    <row r="381" ht="15.75" customHeight="1" s="57">
      <c r="A381" s="49" t="n"/>
    </row>
    <row r="382" ht="15.75" customHeight="1" s="57">
      <c r="A382" s="49" t="n"/>
    </row>
    <row r="383" ht="15.75" customHeight="1" s="57">
      <c r="A383" s="49" t="n"/>
    </row>
    <row r="384" ht="15.75" customHeight="1" s="57">
      <c r="A384" s="49" t="n"/>
    </row>
    <row r="385" ht="15.75" customHeight="1" s="57">
      <c r="A385" s="49" t="n"/>
    </row>
    <row r="386" ht="15.75" customHeight="1" s="57">
      <c r="A386" s="49" t="n"/>
    </row>
    <row r="387" ht="15.75" customHeight="1" s="57">
      <c r="A387" s="49" t="n"/>
    </row>
    <row r="388" ht="15.75" customHeight="1" s="57">
      <c r="A388" s="49" t="n"/>
    </row>
    <row r="389" ht="15.75" customHeight="1" s="57">
      <c r="A389" s="49" t="n"/>
    </row>
    <row r="390" ht="15.75" customHeight="1" s="57">
      <c r="A390" s="49" t="n"/>
    </row>
    <row r="391" ht="15.75" customHeight="1" s="57">
      <c r="A391" s="49" t="n"/>
    </row>
    <row r="392" ht="15.75" customHeight="1" s="57">
      <c r="A392" s="49" t="n"/>
    </row>
    <row r="393" ht="15.75" customHeight="1" s="57">
      <c r="A393" s="49" t="n"/>
    </row>
    <row r="394" ht="15.75" customHeight="1" s="57">
      <c r="A394" s="49" t="n"/>
    </row>
    <row r="395" ht="15.75" customHeight="1" s="57">
      <c r="A395" s="49" t="n"/>
    </row>
    <row r="396" ht="15.75" customHeight="1" s="57">
      <c r="A396" s="49" t="n"/>
    </row>
    <row r="397" ht="15.75" customHeight="1" s="57">
      <c r="A397" s="49" t="n"/>
    </row>
    <row r="398" ht="15.75" customHeight="1" s="57">
      <c r="A398" s="49" t="n"/>
    </row>
    <row r="399" ht="15.75" customHeight="1" s="57">
      <c r="A399" s="49" t="n"/>
    </row>
    <row r="400" ht="15.75" customHeight="1" s="57">
      <c r="A400" s="49" t="n"/>
    </row>
    <row r="401" ht="15.75" customHeight="1" s="57">
      <c r="A401" s="49" t="n"/>
    </row>
    <row r="402" ht="15.75" customHeight="1" s="57">
      <c r="A402" s="49" t="n"/>
    </row>
    <row r="403" ht="15.75" customHeight="1" s="57">
      <c r="A403" s="49" t="n"/>
    </row>
    <row r="404" ht="15.75" customHeight="1" s="57">
      <c r="A404" s="49" t="n"/>
    </row>
    <row r="405" ht="15.75" customHeight="1" s="57">
      <c r="A405" s="49" t="n"/>
    </row>
    <row r="406" ht="15.75" customHeight="1" s="57">
      <c r="A406" s="49" t="n"/>
    </row>
    <row r="407" ht="15.75" customHeight="1" s="57">
      <c r="A407" s="49" t="n"/>
    </row>
    <row r="408" ht="15.75" customHeight="1" s="57">
      <c r="A408" s="49" t="n"/>
    </row>
    <row r="409" ht="15.75" customHeight="1" s="57">
      <c r="A409" s="49" t="n"/>
    </row>
    <row r="410" ht="15.75" customHeight="1" s="57">
      <c r="A410" s="49" t="n"/>
    </row>
    <row r="411" ht="15.75" customHeight="1" s="57">
      <c r="A411" s="49" t="n"/>
    </row>
    <row r="412" ht="15.75" customHeight="1" s="57">
      <c r="A412" s="49" t="n"/>
    </row>
    <row r="413" ht="15.75" customHeight="1" s="57">
      <c r="A413" s="49" t="n"/>
    </row>
    <row r="414" ht="15.75" customHeight="1" s="57">
      <c r="A414" s="49" t="n"/>
    </row>
    <row r="415" ht="15.75" customHeight="1" s="57">
      <c r="A415" s="49" t="n"/>
    </row>
    <row r="416" ht="15.75" customHeight="1" s="57">
      <c r="A416" s="49" t="n"/>
    </row>
    <row r="417" ht="15.75" customHeight="1" s="57">
      <c r="A417" s="49" t="n"/>
    </row>
    <row r="418" ht="15.75" customHeight="1" s="57">
      <c r="A418" s="49" t="n"/>
    </row>
    <row r="419" ht="15.75" customHeight="1" s="57">
      <c r="A419" s="49" t="n"/>
    </row>
    <row r="420" ht="15.75" customHeight="1" s="57">
      <c r="A420" s="49" t="n"/>
    </row>
    <row r="421" ht="15.75" customHeight="1" s="57">
      <c r="A421" s="49" t="n"/>
    </row>
    <row r="422" ht="15.75" customHeight="1" s="57">
      <c r="A422" s="49" t="n"/>
    </row>
    <row r="423" ht="15.75" customHeight="1" s="57">
      <c r="A423" s="49" t="n"/>
    </row>
    <row r="424" ht="15.75" customHeight="1" s="57">
      <c r="A424" s="49" t="n"/>
    </row>
    <row r="425" ht="15.75" customHeight="1" s="57">
      <c r="A425" s="49" t="n"/>
    </row>
    <row r="426" ht="15.75" customHeight="1" s="57">
      <c r="A426" s="49" t="n"/>
    </row>
    <row r="427" ht="15.75" customHeight="1" s="57">
      <c r="A427" s="49" t="n"/>
    </row>
    <row r="428" ht="15.75" customHeight="1" s="57">
      <c r="A428" s="49" t="n"/>
    </row>
    <row r="429" ht="15.75" customHeight="1" s="57">
      <c r="A429" s="49" t="n"/>
    </row>
    <row r="430" ht="15.75" customHeight="1" s="57">
      <c r="A430" s="49" t="n"/>
    </row>
    <row r="431" ht="15.75" customHeight="1" s="57">
      <c r="A431" s="49" t="n"/>
    </row>
    <row r="432" ht="15.75" customHeight="1" s="57">
      <c r="A432" s="49" t="n"/>
    </row>
    <row r="433" ht="15.75" customHeight="1" s="57">
      <c r="A433" s="49" t="n"/>
    </row>
    <row r="434" ht="15.75" customHeight="1" s="57">
      <c r="A434" s="49" t="n"/>
    </row>
    <row r="435" ht="15.75" customHeight="1" s="57">
      <c r="A435" s="49" t="n"/>
    </row>
    <row r="436" ht="15.75" customHeight="1" s="57">
      <c r="A436" s="49" t="n"/>
    </row>
    <row r="437" ht="15.75" customHeight="1" s="57">
      <c r="A437" s="49" t="n"/>
    </row>
    <row r="438" ht="15.75" customHeight="1" s="57">
      <c r="A438" s="49" t="n"/>
    </row>
    <row r="439" ht="15.75" customHeight="1" s="57">
      <c r="A439" s="49" t="n"/>
    </row>
    <row r="440" ht="15.75" customHeight="1" s="57">
      <c r="A440" s="49" t="n"/>
    </row>
    <row r="441" ht="15.75" customHeight="1" s="57">
      <c r="A441" s="49" t="n"/>
    </row>
    <row r="442" ht="15.75" customHeight="1" s="57">
      <c r="A442" s="49" t="n"/>
    </row>
    <row r="443" ht="15.75" customHeight="1" s="57">
      <c r="A443" s="49" t="n"/>
    </row>
    <row r="444" ht="15.75" customHeight="1" s="57">
      <c r="A444" s="49" t="n"/>
    </row>
    <row r="445" ht="15.75" customHeight="1" s="57">
      <c r="A445" s="49" t="n"/>
    </row>
    <row r="446" ht="15.75" customHeight="1" s="57">
      <c r="A446" s="49" t="n"/>
    </row>
    <row r="447" ht="15.75" customHeight="1" s="57">
      <c r="A447" s="49" t="n"/>
    </row>
    <row r="448" ht="15.75" customHeight="1" s="57">
      <c r="A448" s="49" t="n"/>
    </row>
    <row r="449" ht="15.75" customHeight="1" s="57">
      <c r="A449" s="49" t="n"/>
    </row>
    <row r="450" ht="15.75" customHeight="1" s="57">
      <c r="A450" s="49" t="n"/>
    </row>
    <row r="451" ht="15.75" customHeight="1" s="57">
      <c r="A451" s="49" t="n"/>
    </row>
    <row r="452" ht="15.75" customHeight="1" s="57">
      <c r="A452" s="49" t="n"/>
    </row>
    <row r="453" ht="15.75" customHeight="1" s="57">
      <c r="A453" s="49" t="n"/>
    </row>
    <row r="454" ht="15.75" customHeight="1" s="57">
      <c r="A454" s="49" t="n"/>
    </row>
    <row r="455" ht="15.75" customHeight="1" s="57">
      <c r="A455" s="49" t="n"/>
    </row>
    <row r="456" ht="15.75" customHeight="1" s="57">
      <c r="A456" s="49" t="n"/>
    </row>
    <row r="457" ht="15.75" customHeight="1" s="57">
      <c r="A457" s="49" t="n"/>
    </row>
    <row r="458" ht="15.75" customHeight="1" s="57">
      <c r="A458" s="49" t="n"/>
    </row>
    <row r="459" ht="15.75" customHeight="1" s="57">
      <c r="A459" s="49" t="n"/>
    </row>
    <row r="460" ht="15.75" customHeight="1" s="57">
      <c r="A460" s="49" t="n"/>
    </row>
    <row r="461" ht="15.75" customHeight="1" s="57">
      <c r="A461" s="49" t="n"/>
    </row>
    <row r="462" ht="15.75" customHeight="1" s="57">
      <c r="A462" s="49" t="n"/>
    </row>
    <row r="463" ht="15.75" customHeight="1" s="57">
      <c r="A463" s="49" t="n"/>
    </row>
    <row r="464" ht="15.75" customHeight="1" s="57">
      <c r="A464" s="49" t="n"/>
    </row>
    <row r="465" ht="15.75" customHeight="1" s="57">
      <c r="A465" s="49" t="n"/>
    </row>
    <row r="466" ht="15.75" customHeight="1" s="57">
      <c r="A466" s="49" t="n"/>
    </row>
    <row r="467" ht="15.75" customHeight="1" s="57">
      <c r="A467" s="49" t="n"/>
    </row>
    <row r="468" ht="15.75" customHeight="1" s="57">
      <c r="A468" s="49" t="n"/>
    </row>
    <row r="469" ht="15.75" customHeight="1" s="57">
      <c r="A469" s="49" t="n"/>
    </row>
    <row r="470" ht="15.75" customHeight="1" s="57">
      <c r="A470" s="49" t="n"/>
    </row>
    <row r="471" ht="15.75" customHeight="1" s="57">
      <c r="A471" s="49" t="n"/>
    </row>
    <row r="472" ht="15.75" customHeight="1" s="57">
      <c r="A472" s="49" t="n"/>
    </row>
    <row r="473" ht="15.75" customHeight="1" s="57">
      <c r="A473" s="49" t="n"/>
    </row>
    <row r="474" ht="15.75" customHeight="1" s="57">
      <c r="A474" s="49" t="n"/>
    </row>
    <row r="475" ht="15.75" customHeight="1" s="57">
      <c r="A475" s="49" t="n"/>
    </row>
    <row r="476" ht="15.75" customHeight="1" s="57">
      <c r="A476" s="49" t="n"/>
    </row>
    <row r="477" ht="15.75" customHeight="1" s="57">
      <c r="A477" s="49" t="n"/>
    </row>
    <row r="478" ht="15.75" customHeight="1" s="57">
      <c r="A478" s="49" t="n"/>
    </row>
    <row r="479" ht="15.75" customHeight="1" s="57">
      <c r="A479" s="49" t="n"/>
    </row>
    <row r="480" ht="15.75" customHeight="1" s="57">
      <c r="A480" s="49" t="n"/>
    </row>
    <row r="481" ht="15.75" customHeight="1" s="57">
      <c r="A481" s="49" t="n"/>
    </row>
    <row r="482" ht="15.75" customHeight="1" s="57">
      <c r="A482" s="49" t="n"/>
    </row>
    <row r="483" ht="15.75" customHeight="1" s="57">
      <c r="A483" s="49" t="n"/>
    </row>
    <row r="484" ht="15.75" customHeight="1" s="57">
      <c r="A484" s="49" t="n"/>
    </row>
    <row r="485" ht="15.75" customHeight="1" s="57">
      <c r="A485" s="49" t="n"/>
    </row>
    <row r="486" ht="15.75" customHeight="1" s="57">
      <c r="A486" s="49" t="n"/>
    </row>
    <row r="487" ht="15.75" customHeight="1" s="57">
      <c r="A487" s="49" t="n"/>
    </row>
    <row r="488" ht="15.75" customHeight="1" s="57">
      <c r="A488" s="49" t="n"/>
    </row>
    <row r="489" ht="15.75" customHeight="1" s="57">
      <c r="A489" s="49" t="n"/>
    </row>
    <row r="490" ht="15.75" customHeight="1" s="57">
      <c r="A490" s="49" t="n"/>
    </row>
    <row r="491" ht="15.75" customHeight="1" s="57">
      <c r="A491" s="49" t="n"/>
    </row>
    <row r="492" ht="15.75" customHeight="1" s="57">
      <c r="A492" s="49" t="n"/>
    </row>
    <row r="493" ht="15.75" customHeight="1" s="57">
      <c r="A493" s="49" t="n"/>
    </row>
    <row r="494" ht="15.75" customHeight="1" s="57">
      <c r="A494" s="49" t="n"/>
    </row>
    <row r="495" ht="15.75" customHeight="1" s="57">
      <c r="A495" s="49" t="n"/>
    </row>
    <row r="496" ht="15.75" customHeight="1" s="57">
      <c r="A496" s="49" t="n"/>
    </row>
    <row r="497" ht="15.75" customHeight="1" s="57">
      <c r="A497" s="49" t="n"/>
    </row>
    <row r="498" ht="15.75" customHeight="1" s="57">
      <c r="A498" s="49" t="n"/>
    </row>
    <row r="499" ht="15.75" customHeight="1" s="57">
      <c r="A499" s="49" t="n"/>
    </row>
    <row r="500" ht="15.75" customHeight="1" s="57">
      <c r="A500" s="49" t="n"/>
    </row>
    <row r="501" ht="15.75" customHeight="1" s="57">
      <c r="A501" s="49" t="n"/>
    </row>
    <row r="502" ht="15.75" customHeight="1" s="57">
      <c r="A502" s="49" t="n"/>
    </row>
    <row r="503" ht="15.75" customHeight="1" s="57">
      <c r="A503" s="49" t="n"/>
    </row>
    <row r="504" ht="15.75" customHeight="1" s="57">
      <c r="A504" s="49" t="n"/>
    </row>
    <row r="505" ht="15.75" customHeight="1" s="57">
      <c r="A505" s="49" t="n"/>
    </row>
    <row r="506" ht="15.75" customHeight="1" s="57">
      <c r="A506" s="49" t="n"/>
    </row>
    <row r="507" ht="15.75" customHeight="1" s="57">
      <c r="A507" s="49" t="n"/>
    </row>
    <row r="508" ht="15.75" customHeight="1" s="57">
      <c r="A508" s="49" t="n"/>
    </row>
    <row r="509" ht="15.75" customHeight="1" s="57">
      <c r="A509" s="49" t="n"/>
    </row>
    <row r="510" ht="15.75" customHeight="1" s="57">
      <c r="A510" s="49" t="n"/>
    </row>
    <row r="511" ht="15.75" customHeight="1" s="57">
      <c r="A511" s="49" t="n"/>
    </row>
    <row r="512" ht="15.75" customHeight="1" s="57">
      <c r="A512" s="49" t="n"/>
    </row>
    <row r="513" ht="15.75" customHeight="1" s="57">
      <c r="A513" s="49" t="n"/>
    </row>
    <row r="514" ht="15.75" customHeight="1" s="57">
      <c r="A514" s="49" t="n"/>
    </row>
    <row r="515" ht="15.75" customHeight="1" s="57">
      <c r="A515" s="49" t="n"/>
    </row>
    <row r="516" ht="15.75" customHeight="1" s="57">
      <c r="A516" s="49" t="n"/>
    </row>
    <row r="517" ht="15.75" customHeight="1" s="57">
      <c r="A517" s="49" t="n"/>
    </row>
    <row r="518" ht="15.75" customHeight="1" s="57">
      <c r="A518" s="49" t="n"/>
    </row>
    <row r="519" ht="15.75" customHeight="1" s="57">
      <c r="A519" s="49" t="n"/>
    </row>
    <row r="520" ht="15.75" customHeight="1" s="57">
      <c r="A520" s="49" t="n"/>
    </row>
    <row r="521" ht="15.75" customHeight="1" s="57">
      <c r="A521" s="49" t="n"/>
    </row>
    <row r="522" ht="15.75" customHeight="1" s="57">
      <c r="A522" s="49" t="n"/>
    </row>
    <row r="523" ht="15.75" customHeight="1" s="57">
      <c r="A523" s="49" t="n"/>
    </row>
    <row r="524" ht="15.75" customHeight="1" s="57">
      <c r="A524" s="49" t="n"/>
    </row>
    <row r="525" ht="15.75" customHeight="1" s="57">
      <c r="A525" s="49" t="n"/>
    </row>
    <row r="526" ht="15.75" customHeight="1" s="57">
      <c r="A526" s="49" t="n"/>
    </row>
    <row r="527" ht="15.75" customHeight="1" s="57">
      <c r="A527" s="49" t="n"/>
    </row>
    <row r="528" ht="15.75" customHeight="1" s="57">
      <c r="A528" s="49" t="n"/>
    </row>
    <row r="529" ht="15.75" customHeight="1" s="57">
      <c r="A529" s="49" t="n"/>
    </row>
    <row r="530" ht="15.75" customHeight="1" s="57">
      <c r="A530" s="49" t="n"/>
    </row>
    <row r="531" ht="15.75" customHeight="1" s="57">
      <c r="A531" s="49" t="n"/>
    </row>
    <row r="532" ht="15.75" customHeight="1" s="57">
      <c r="A532" s="49" t="n"/>
    </row>
    <row r="533" ht="15.75" customHeight="1" s="57">
      <c r="A533" s="49" t="n"/>
    </row>
    <row r="534" ht="15.75" customHeight="1" s="57">
      <c r="A534" s="49" t="n"/>
    </row>
    <row r="535" ht="15.75" customHeight="1" s="57">
      <c r="A535" s="49" t="n"/>
    </row>
    <row r="536" ht="15.75" customHeight="1" s="57">
      <c r="A536" s="49" t="n"/>
    </row>
    <row r="537" ht="15.75" customHeight="1" s="57">
      <c r="A537" s="49" t="n"/>
    </row>
    <row r="538" ht="15.75" customHeight="1" s="57">
      <c r="A538" s="49" t="n"/>
    </row>
    <row r="539" ht="15.75" customHeight="1" s="57">
      <c r="A539" s="49" t="n"/>
    </row>
    <row r="540" ht="15.75" customHeight="1" s="57">
      <c r="A540" s="49" t="n"/>
    </row>
    <row r="541" ht="15.75" customHeight="1" s="57">
      <c r="A541" s="49" t="n"/>
    </row>
    <row r="542" ht="15.75" customHeight="1" s="57">
      <c r="A542" s="49" t="n"/>
    </row>
    <row r="543" ht="15.75" customHeight="1" s="57">
      <c r="A543" s="49" t="n"/>
    </row>
    <row r="544" ht="15.75" customHeight="1" s="57">
      <c r="A544" s="49" t="n"/>
    </row>
    <row r="545" ht="15.75" customHeight="1" s="57">
      <c r="A545" s="49" t="n"/>
    </row>
    <row r="546" ht="15.75" customHeight="1" s="57">
      <c r="A546" s="49" t="n"/>
    </row>
    <row r="547" ht="15.75" customHeight="1" s="57">
      <c r="A547" s="49" t="n"/>
    </row>
    <row r="548" ht="15.75" customHeight="1" s="57">
      <c r="A548" s="49" t="n"/>
    </row>
    <row r="549" ht="15.75" customHeight="1" s="57">
      <c r="A549" s="49" t="n"/>
    </row>
    <row r="550" ht="15.75" customHeight="1" s="57">
      <c r="A550" s="49" t="n"/>
    </row>
    <row r="551" ht="15.75" customHeight="1" s="57">
      <c r="A551" s="49" t="n"/>
    </row>
    <row r="552" ht="15.75" customHeight="1" s="57">
      <c r="A552" s="49" t="n"/>
    </row>
    <row r="553" ht="15.75" customHeight="1" s="57">
      <c r="A553" s="49" t="n"/>
    </row>
    <row r="554" ht="15.75" customHeight="1" s="57">
      <c r="A554" s="49" t="n"/>
    </row>
    <row r="555" ht="15.75" customHeight="1" s="57">
      <c r="A555" s="49" t="n"/>
    </row>
    <row r="556" ht="15.75" customHeight="1" s="57">
      <c r="A556" s="49" t="n"/>
    </row>
    <row r="557" ht="15.75" customHeight="1" s="57">
      <c r="A557" s="49" t="n"/>
    </row>
    <row r="558" ht="15.75" customHeight="1" s="57">
      <c r="A558" s="49" t="n"/>
    </row>
    <row r="559" ht="15.75" customHeight="1" s="57">
      <c r="A559" s="49" t="n"/>
    </row>
    <row r="560" ht="15.75" customHeight="1" s="57">
      <c r="A560" s="49" t="n"/>
    </row>
    <row r="561" ht="15.75" customHeight="1" s="57">
      <c r="A561" s="49" t="n"/>
    </row>
    <row r="562" ht="15.75" customHeight="1" s="57">
      <c r="A562" s="49" t="n"/>
    </row>
    <row r="563" ht="15.75" customHeight="1" s="57">
      <c r="A563" s="49" t="n"/>
    </row>
    <row r="564" ht="15.75" customHeight="1" s="57">
      <c r="A564" s="49" t="n"/>
    </row>
    <row r="565" ht="15.75" customHeight="1" s="57">
      <c r="A565" s="49" t="n"/>
    </row>
    <row r="566" ht="15.75" customHeight="1" s="57">
      <c r="A566" s="49" t="n"/>
    </row>
    <row r="567" ht="15.75" customHeight="1" s="57">
      <c r="A567" s="49" t="n"/>
    </row>
    <row r="568" ht="15.75" customHeight="1" s="57">
      <c r="A568" s="49" t="n"/>
    </row>
    <row r="569" ht="15.75" customHeight="1" s="57">
      <c r="A569" s="49" t="n"/>
    </row>
    <row r="570" ht="15.75" customHeight="1" s="57">
      <c r="A570" s="49" t="n"/>
    </row>
    <row r="571" ht="15.75" customHeight="1" s="57">
      <c r="A571" s="49" t="n"/>
    </row>
    <row r="572" ht="15.75" customHeight="1" s="57">
      <c r="A572" s="49" t="n"/>
    </row>
    <row r="573" ht="15.75" customHeight="1" s="57">
      <c r="A573" s="49" t="n"/>
    </row>
    <row r="574" ht="15.75" customHeight="1" s="57">
      <c r="A574" s="49" t="n"/>
    </row>
    <row r="575" ht="15.75" customHeight="1" s="57">
      <c r="A575" s="49" t="n"/>
    </row>
    <row r="576" ht="15.75" customHeight="1" s="57">
      <c r="A576" s="49" t="n"/>
    </row>
    <row r="577" ht="15.75" customHeight="1" s="57">
      <c r="A577" s="49" t="n"/>
    </row>
    <row r="578" ht="15.75" customHeight="1" s="57">
      <c r="A578" s="49" t="n"/>
    </row>
    <row r="579" ht="15.75" customHeight="1" s="57">
      <c r="A579" s="49" t="n"/>
    </row>
    <row r="580" ht="15.75" customHeight="1" s="57">
      <c r="A580" s="49" t="n"/>
    </row>
    <row r="581" ht="15.75" customHeight="1" s="57">
      <c r="A581" s="49" t="n"/>
    </row>
    <row r="582" ht="15.75" customHeight="1" s="57">
      <c r="A582" s="49" t="n"/>
    </row>
    <row r="583" ht="15.75" customHeight="1" s="57">
      <c r="A583" s="49" t="n"/>
    </row>
    <row r="584" ht="15.75" customHeight="1" s="57">
      <c r="A584" s="49" t="n"/>
    </row>
    <row r="585" ht="15.75" customHeight="1" s="57">
      <c r="A585" s="49" t="n"/>
    </row>
    <row r="586" ht="15.75" customHeight="1" s="57">
      <c r="A586" s="49" t="n"/>
    </row>
    <row r="587" ht="15.75" customHeight="1" s="57">
      <c r="A587" s="49" t="n"/>
    </row>
    <row r="588" ht="15.75" customHeight="1" s="57">
      <c r="A588" s="49" t="n"/>
    </row>
    <row r="589" ht="15.75" customHeight="1" s="57">
      <c r="A589" s="49" t="n"/>
    </row>
    <row r="590" ht="15.75" customHeight="1" s="57">
      <c r="A590" s="49" t="n"/>
    </row>
    <row r="591" ht="15.75" customHeight="1" s="57">
      <c r="A591" s="49" t="n"/>
    </row>
    <row r="592" ht="15.75" customHeight="1" s="57">
      <c r="A592" s="49" t="n"/>
    </row>
    <row r="593" ht="15.75" customHeight="1" s="57">
      <c r="A593" s="49" t="n"/>
    </row>
    <row r="594" ht="15.75" customHeight="1" s="57">
      <c r="A594" s="49" t="n"/>
    </row>
    <row r="595" ht="15.75" customHeight="1" s="57">
      <c r="A595" s="49" t="n"/>
    </row>
    <row r="596" ht="15.75" customHeight="1" s="57">
      <c r="A596" s="49" t="n"/>
    </row>
    <row r="597" ht="15.75" customHeight="1" s="57">
      <c r="A597" s="49" t="n"/>
    </row>
    <row r="598" ht="15.75" customHeight="1" s="57">
      <c r="A598" s="49" t="n"/>
    </row>
    <row r="599" ht="15.75" customHeight="1" s="57">
      <c r="A599" s="49" t="n"/>
    </row>
    <row r="600" ht="15.75" customHeight="1" s="57">
      <c r="A600" s="49" t="n"/>
    </row>
    <row r="601" ht="15.75" customHeight="1" s="57">
      <c r="A601" s="49" t="n"/>
    </row>
    <row r="602" ht="15.75" customHeight="1" s="57">
      <c r="A602" s="49" t="n"/>
    </row>
    <row r="603" ht="15.75" customHeight="1" s="57">
      <c r="A603" s="49" t="n"/>
    </row>
    <row r="604" ht="15.75" customHeight="1" s="57">
      <c r="A604" s="49" t="n"/>
    </row>
    <row r="605" ht="15.75" customHeight="1" s="57">
      <c r="A605" s="49" t="n"/>
    </row>
    <row r="606" ht="15.75" customHeight="1" s="57">
      <c r="A606" s="49" t="n"/>
    </row>
    <row r="607" ht="15.75" customHeight="1" s="57">
      <c r="A607" s="49" t="n"/>
    </row>
    <row r="608" ht="15.75" customHeight="1" s="57">
      <c r="A608" s="49" t="n"/>
    </row>
    <row r="609" ht="15.75" customHeight="1" s="57">
      <c r="A609" s="49" t="n"/>
    </row>
    <row r="610" ht="15.75" customHeight="1" s="57">
      <c r="A610" s="49" t="n"/>
    </row>
    <row r="611" ht="15.75" customHeight="1" s="57">
      <c r="A611" s="49" t="n"/>
    </row>
    <row r="612" ht="15.75" customHeight="1" s="57">
      <c r="A612" s="49" t="n"/>
    </row>
    <row r="613" ht="15.75" customHeight="1" s="57">
      <c r="A613" s="49" t="n"/>
    </row>
    <row r="614" ht="15.75" customHeight="1" s="57">
      <c r="A614" s="49" t="n"/>
    </row>
    <row r="615" ht="15.75" customHeight="1" s="57">
      <c r="A615" s="49" t="n"/>
    </row>
    <row r="616" ht="15.75" customHeight="1" s="57">
      <c r="A616" s="49" t="n"/>
    </row>
    <row r="617" ht="15.75" customHeight="1" s="57">
      <c r="A617" s="49" t="n"/>
    </row>
    <row r="618" ht="15.75" customHeight="1" s="57">
      <c r="A618" s="49" t="n"/>
    </row>
    <row r="619" ht="15.75" customHeight="1" s="57">
      <c r="A619" s="49" t="n"/>
    </row>
    <row r="620" ht="15.75" customHeight="1" s="57">
      <c r="A620" s="49" t="n"/>
    </row>
    <row r="621" ht="15.75" customHeight="1" s="57">
      <c r="A621" s="49" t="n"/>
    </row>
    <row r="622" ht="15.75" customHeight="1" s="57">
      <c r="A622" s="49" t="n"/>
    </row>
    <row r="623" ht="15.75" customHeight="1" s="57">
      <c r="A623" s="49" t="n"/>
    </row>
    <row r="624" ht="15.75" customHeight="1" s="57">
      <c r="A624" s="49" t="n"/>
    </row>
    <row r="625" ht="15.75" customHeight="1" s="57">
      <c r="A625" s="49" t="n"/>
    </row>
    <row r="626" ht="15.75" customHeight="1" s="57">
      <c r="A626" s="49" t="n"/>
    </row>
    <row r="627" ht="15.75" customHeight="1" s="57">
      <c r="A627" s="49" t="n"/>
    </row>
    <row r="628" ht="15.75" customHeight="1" s="57">
      <c r="A628" s="49" t="n"/>
    </row>
    <row r="629" ht="15.75" customHeight="1" s="57">
      <c r="A629" s="49" t="n"/>
    </row>
    <row r="630" ht="15.75" customHeight="1" s="57">
      <c r="A630" s="49" t="n"/>
    </row>
    <row r="631" ht="15.75" customHeight="1" s="57">
      <c r="A631" s="49" t="n"/>
    </row>
    <row r="632" ht="15.75" customHeight="1" s="57">
      <c r="A632" s="49" t="n"/>
    </row>
    <row r="633" ht="15.75" customHeight="1" s="57">
      <c r="A633" s="49" t="n"/>
    </row>
    <row r="634" ht="15.75" customHeight="1" s="57">
      <c r="A634" s="49" t="n"/>
    </row>
    <row r="635" ht="15.75" customHeight="1" s="57">
      <c r="A635" s="49" t="n"/>
    </row>
    <row r="636" ht="15.75" customHeight="1" s="57">
      <c r="A636" s="49" t="n"/>
    </row>
    <row r="637" ht="15.75" customHeight="1" s="57">
      <c r="A637" s="49" t="n"/>
    </row>
    <row r="638" ht="15.75" customHeight="1" s="57">
      <c r="A638" s="49" t="n"/>
    </row>
    <row r="639" ht="15.75" customHeight="1" s="57">
      <c r="A639" s="49" t="n"/>
    </row>
    <row r="640" ht="15.75" customHeight="1" s="57">
      <c r="A640" s="49" t="n"/>
    </row>
    <row r="641" ht="15.75" customHeight="1" s="57">
      <c r="A641" s="49" t="n"/>
    </row>
    <row r="642" ht="15.75" customHeight="1" s="57">
      <c r="A642" s="49" t="n"/>
    </row>
    <row r="643" ht="15.75" customHeight="1" s="57">
      <c r="A643" s="49" t="n"/>
    </row>
    <row r="644" ht="15.75" customHeight="1" s="57">
      <c r="A644" s="49" t="n"/>
    </row>
    <row r="645" ht="15.75" customHeight="1" s="57">
      <c r="A645" s="49" t="n"/>
    </row>
    <row r="646" ht="15.75" customHeight="1" s="57">
      <c r="A646" s="49" t="n"/>
    </row>
    <row r="647" ht="15.75" customHeight="1" s="57">
      <c r="A647" s="49" t="n"/>
    </row>
    <row r="648" ht="15.75" customHeight="1" s="57">
      <c r="A648" s="49" t="n"/>
    </row>
    <row r="649" ht="15.75" customHeight="1" s="57">
      <c r="A649" s="49" t="n"/>
    </row>
    <row r="650" ht="15.75" customHeight="1" s="57">
      <c r="A650" s="49" t="n"/>
    </row>
    <row r="651" ht="15.75" customHeight="1" s="57">
      <c r="A651" s="49" t="n"/>
    </row>
    <row r="652" ht="15.75" customHeight="1" s="57">
      <c r="A652" s="49" t="n"/>
    </row>
    <row r="653" ht="15.75" customHeight="1" s="57">
      <c r="A653" s="49" t="n"/>
    </row>
    <row r="654" ht="15.75" customHeight="1" s="57">
      <c r="A654" s="49" t="n"/>
    </row>
    <row r="655" ht="15.75" customHeight="1" s="57">
      <c r="A655" s="49" t="n"/>
    </row>
    <row r="656" ht="15.75" customHeight="1" s="57">
      <c r="A656" s="49" t="n"/>
    </row>
    <row r="657" ht="15.75" customHeight="1" s="57">
      <c r="A657" s="49" t="n"/>
    </row>
    <row r="658" ht="15.75" customHeight="1" s="57">
      <c r="A658" s="49" t="n"/>
    </row>
    <row r="659" ht="15.75" customHeight="1" s="57">
      <c r="A659" s="49" t="n"/>
    </row>
    <row r="660" ht="15.75" customHeight="1" s="57">
      <c r="A660" s="49" t="n"/>
    </row>
    <row r="661" ht="15.75" customHeight="1" s="57">
      <c r="A661" s="49" t="n"/>
    </row>
    <row r="662" ht="15.75" customHeight="1" s="57">
      <c r="A662" s="49" t="n"/>
    </row>
    <row r="663" ht="15.75" customHeight="1" s="57">
      <c r="A663" s="49" t="n"/>
    </row>
    <row r="664" ht="15.75" customHeight="1" s="57">
      <c r="A664" s="49" t="n"/>
    </row>
    <row r="665" ht="15.75" customHeight="1" s="57">
      <c r="A665" s="49" t="n"/>
    </row>
    <row r="666" ht="15.75" customHeight="1" s="57">
      <c r="A666" s="49" t="n"/>
    </row>
    <row r="667" ht="15.75" customHeight="1" s="57">
      <c r="A667" s="49" t="n"/>
    </row>
    <row r="668" ht="15.75" customHeight="1" s="57">
      <c r="A668" s="49" t="n"/>
    </row>
    <row r="669" ht="15.75" customHeight="1" s="57">
      <c r="A669" s="49" t="n"/>
    </row>
    <row r="670" ht="15.75" customHeight="1" s="57">
      <c r="A670" s="49" t="n"/>
    </row>
    <row r="671" ht="15.75" customHeight="1" s="57">
      <c r="A671" s="49" t="n"/>
    </row>
    <row r="672" ht="15.75" customHeight="1" s="57">
      <c r="A672" s="49" t="n"/>
    </row>
    <row r="673" ht="15.75" customHeight="1" s="57">
      <c r="A673" s="49" t="n"/>
    </row>
    <row r="674" ht="15.75" customHeight="1" s="57">
      <c r="A674" s="49" t="n"/>
    </row>
    <row r="675" ht="15.75" customHeight="1" s="57">
      <c r="A675" s="49" t="n"/>
    </row>
    <row r="676" ht="15.75" customHeight="1" s="57">
      <c r="A676" s="49" t="n"/>
    </row>
    <row r="677" ht="15.75" customHeight="1" s="57">
      <c r="A677" s="49" t="n"/>
    </row>
    <row r="678" ht="15.75" customHeight="1" s="57">
      <c r="A678" s="49" t="n"/>
    </row>
    <row r="679" ht="15.75" customHeight="1" s="57">
      <c r="A679" s="49" t="n"/>
    </row>
    <row r="680" ht="15.75" customHeight="1" s="57">
      <c r="A680" s="49" t="n"/>
    </row>
    <row r="681" ht="15.75" customHeight="1" s="57">
      <c r="A681" s="49" t="n"/>
    </row>
    <row r="682" ht="15.75" customHeight="1" s="57">
      <c r="A682" s="49" t="n"/>
    </row>
    <row r="683" ht="15.75" customHeight="1" s="57">
      <c r="A683" s="49" t="n"/>
    </row>
    <row r="684" ht="15.75" customHeight="1" s="57">
      <c r="A684" s="49" t="n"/>
    </row>
    <row r="685" ht="15.75" customHeight="1" s="57">
      <c r="A685" s="49" t="n"/>
    </row>
    <row r="686" ht="15.75" customHeight="1" s="57">
      <c r="A686" s="49" t="n"/>
    </row>
    <row r="687" ht="15.75" customHeight="1" s="57">
      <c r="A687" s="49" t="n"/>
    </row>
    <row r="688" ht="15.75" customHeight="1" s="57">
      <c r="A688" s="49" t="n"/>
    </row>
    <row r="689" ht="15.75" customHeight="1" s="57">
      <c r="A689" s="49" t="n"/>
    </row>
    <row r="690" ht="15.75" customHeight="1" s="57">
      <c r="A690" s="49" t="n"/>
    </row>
    <row r="691" ht="15.75" customHeight="1" s="57">
      <c r="A691" s="49" t="n"/>
    </row>
    <row r="692" ht="15.75" customHeight="1" s="57">
      <c r="A692" s="49" t="n"/>
    </row>
    <row r="693" ht="15.75" customHeight="1" s="57">
      <c r="A693" s="49" t="n"/>
    </row>
    <row r="694" ht="15.75" customHeight="1" s="57">
      <c r="A694" s="49" t="n"/>
    </row>
    <row r="695" ht="15.75" customHeight="1" s="57">
      <c r="A695" s="49" t="n"/>
    </row>
    <row r="696" ht="15.75" customHeight="1" s="57">
      <c r="A696" s="49" t="n"/>
    </row>
    <row r="697" ht="15.75" customHeight="1" s="57">
      <c r="A697" s="49" t="n"/>
    </row>
    <row r="698" ht="15.75" customHeight="1" s="57">
      <c r="A698" s="49" t="n"/>
    </row>
    <row r="699" ht="15.75" customHeight="1" s="57">
      <c r="A699" s="49" t="n"/>
    </row>
    <row r="700" ht="15.75" customHeight="1" s="57">
      <c r="A700" s="49" t="n"/>
    </row>
    <row r="701" ht="15.75" customHeight="1" s="57">
      <c r="A701" s="49" t="n"/>
    </row>
    <row r="702" ht="15.75" customHeight="1" s="57">
      <c r="A702" s="49" t="n"/>
    </row>
    <row r="703" ht="15.75" customHeight="1" s="57">
      <c r="A703" s="49" t="n"/>
    </row>
    <row r="704" ht="15.75" customHeight="1" s="57">
      <c r="A704" s="49" t="n"/>
    </row>
    <row r="705" ht="15.75" customHeight="1" s="57">
      <c r="A705" s="49" t="n"/>
    </row>
    <row r="706" ht="15.75" customHeight="1" s="57">
      <c r="A706" s="49" t="n"/>
    </row>
    <row r="707" ht="15.75" customHeight="1" s="57">
      <c r="A707" s="49" t="n"/>
    </row>
    <row r="708" ht="15.75" customHeight="1" s="57">
      <c r="A708" s="49" t="n"/>
    </row>
    <row r="709" ht="15.75" customHeight="1" s="57">
      <c r="A709" s="49" t="n"/>
    </row>
    <row r="710" ht="15.75" customHeight="1" s="57">
      <c r="A710" s="49" t="n"/>
    </row>
    <row r="711" ht="15.75" customHeight="1" s="57">
      <c r="A711" s="49" t="n"/>
    </row>
    <row r="712" ht="15.75" customHeight="1" s="57">
      <c r="A712" s="49" t="n"/>
    </row>
    <row r="713" ht="15.75" customHeight="1" s="57">
      <c r="A713" s="49" t="n"/>
    </row>
    <row r="714" ht="15.75" customHeight="1" s="57">
      <c r="A714" s="49" t="n"/>
    </row>
    <row r="715" ht="15.75" customHeight="1" s="57">
      <c r="A715" s="49" t="n"/>
    </row>
    <row r="716" ht="15.75" customHeight="1" s="57">
      <c r="A716" s="49" t="n"/>
    </row>
    <row r="717" ht="15.75" customHeight="1" s="57">
      <c r="A717" s="49" t="n"/>
    </row>
    <row r="718" ht="15.75" customHeight="1" s="57">
      <c r="A718" s="49" t="n"/>
    </row>
    <row r="719" ht="15.75" customHeight="1" s="57">
      <c r="A719" s="49" t="n"/>
    </row>
    <row r="720" ht="15.75" customHeight="1" s="57">
      <c r="A720" s="49" t="n"/>
    </row>
    <row r="721" ht="15.75" customHeight="1" s="57">
      <c r="A721" s="49" t="n"/>
    </row>
    <row r="722" ht="15.75" customHeight="1" s="57">
      <c r="A722" s="49" t="n"/>
    </row>
    <row r="723" ht="15.75" customHeight="1" s="57">
      <c r="A723" s="49" t="n"/>
    </row>
    <row r="724" ht="15.75" customHeight="1" s="57">
      <c r="A724" s="49" t="n"/>
    </row>
    <row r="725" ht="15.75" customHeight="1" s="57">
      <c r="A725" s="49" t="n"/>
    </row>
    <row r="726" ht="15.75" customHeight="1" s="57">
      <c r="A726" s="49" t="n"/>
    </row>
    <row r="727" ht="15.75" customHeight="1" s="57">
      <c r="A727" s="49" t="n"/>
    </row>
    <row r="728" ht="15.75" customHeight="1" s="57">
      <c r="A728" s="49" t="n"/>
    </row>
    <row r="729" ht="15.75" customHeight="1" s="57">
      <c r="A729" s="49" t="n"/>
    </row>
    <row r="730" ht="15.75" customHeight="1" s="57">
      <c r="A730" s="49" t="n"/>
    </row>
    <row r="731" ht="15.75" customHeight="1" s="57">
      <c r="A731" s="49" t="n"/>
    </row>
    <row r="732" ht="15.75" customHeight="1" s="57">
      <c r="A732" s="49" t="n"/>
    </row>
    <row r="733" ht="15.75" customHeight="1" s="57">
      <c r="A733" s="49" t="n"/>
    </row>
    <row r="734" ht="15.75" customHeight="1" s="57">
      <c r="A734" s="49" t="n"/>
    </row>
    <row r="735" ht="15.75" customHeight="1" s="57">
      <c r="A735" s="49" t="n"/>
    </row>
    <row r="736" ht="15.75" customHeight="1" s="57">
      <c r="A736" s="49" t="n"/>
    </row>
    <row r="737" ht="15.75" customHeight="1" s="57">
      <c r="A737" s="49" t="n"/>
    </row>
    <row r="738" ht="15.75" customHeight="1" s="57">
      <c r="A738" s="49" t="n"/>
    </row>
    <row r="739" ht="15.75" customHeight="1" s="57">
      <c r="A739" s="49" t="n"/>
    </row>
    <row r="740" ht="15.75" customHeight="1" s="57">
      <c r="A740" s="49" t="n"/>
    </row>
    <row r="741" ht="15.75" customHeight="1" s="57">
      <c r="A741" s="49" t="n"/>
    </row>
    <row r="742" ht="15.75" customHeight="1" s="57">
      <c r="A742" s="49" t="n"/>
    </row>
    <row r="743" ht="15.75" customHeight="1" s="57">
      <c r="A743" s="49" t="n"/>
    </row>
    <row r="744" ht="15.75" customHeight="1" s="57">
      <c r="A744" s="49" t="n"/>
    </row>
    <row r="745" ht="15.75" customHeight="1" s="57">
      <c r="A745" s="49" t="n"/>
    </row>
    <row r="746" ht="15.75" customHeight="1" s="57">
      <c r="A746" s="49" t="n"/>
    </row>
    <row r="747" ht="15.75" customHeight="1" s="57">
      <c r="A747" s="49" t="n"/>
    </row>
    <row r="748" ht="15.75" customHeight="1" s="57">
      <c r="A748" s="49" t="n"/>
    </row>
    <row r="749" ht="15.75" customHeight="1" s="57">
      <c r="A749" s="49" t="n"/>
    </row>
    <row r="750" ht="15.75" customHeight="1" s="57">
      <c r="A750" s="49" t="n"/>
    </row>
    <row r="751" ht="15.75" customHeight="1" s="57">
      <c r="A751" s="49" t="n"/>
    </row>
    <row r="752" ht="15.75" customHeight="1" s="57">
      <c r="A752" s="49" t="n"/>
    </row>
    <row r="753" ht="15.75" customHeight="1" s="57">
      <c r="A753" s="49" t="n"/>
    </row>
    <row r="754" ht="15.75" customHeight="1" s="57">
      <c r="A754" s="49" t="n"/>
    </row>
    <row r="755" ht="15.75" customHeight="1" s="57">
      <c r="A755" s="49" t="n"/>
    </row>
    <row r="756" ht="15.75" customHeight="1" s="57">
      <c r="A756" s="49" t="n"/>
    </row>
    <row r="757" ht="15.75" customHeight="1" s="57">
      <c r="A757" s="49" t="n"/>
    </row>
    <row r="758" ht="15.75" customHeight="1" s="57">
      <c r="A758" s="49" t="n"/>
    </row>
    <row r="759" ht="15.75" customHeight="1" s="57">
      <c r="A759" s="49" t="n"/>
    </row>
    <row r="760" ht="15.75" customHeight="1" s="57">
      <c r="A760" s="49" t="n"/>
    </row>
    <row r="761" ht="15.75" customHeight="1" s="57">
      <c r="A761" s="49" t="n"/>
    </row>
    <row r="762" ht="15.75" customHeight="1" s="57">
      <c r="A762" s="49" t="n"/>
    </row>
    <row r="763" ht="15.75" customHeight="1" s="57">
      <c r="A763" s="49" t="n"/>
    </row>
    <row r="764" ht="15.75" customHeight="1" s="57">
      <c r="A764" s="49" t="n"/>
    </row>
    <row r="765" ht="15.75" customHeight="1" s="57">
      <c r="A765" s="49" t="n"/>
    </row>
    <row r="766" ht="15.75" customHeight="1" s="57">
      <c r="A766" s="49" t="n"/>
    </row>
    <row r="767" ht="15.75" customHeight="1" s="57">
      <c r="A767" s="49" t="n"/>
    </row>
    <row r="768" ht="15.75" customHeight="1" s="57">
      <c r="A768" s="49" t="n"/>
    </row>
    <row r="769" ht="15.75" customHeight="1" s="57">
      <c r="A769" s="49" t="n"/>
    </row>
    <row r="770" ht="15.75" customHeight="1" s="57">
      <c r="A770" s="49" t="n"/>
    </row>
    <row r="771" ht="15.75" customHeight="1" s="57">
      <c r="A771" s="49" t="n"/>
    </row>
    <row r="772" ht="15.75" customHeight="1" s="57">
      <c r="A772" s="49" t="n"/>
    </row>
    <row r="773" ht="15.75" customHeight="1" s="57">
      <c r="A773" s="49" t="n"/>
    </row>
    <row r="774" ht="15.75" customHeight="1" s="57">
      <c r="A774" s="49" t="n"/>
    </row>
    <row r="775" ht="15.75" customHeight="1" s="57">
      <c r="A775" s="49" t="n"/>
    </row>
    <row r="776" ht="15.75" customHeight="1" s="57">
      <c r="A776" s="49" t="n"/>
    </row>
    <row r="777" ht="15.75" customHeight="1" s="57">
      <c r="A777" s="49" t="n"/>
    </row>
    <row r="778" ht="15.75" customHeight="1" s="57">
      <c r="A778" s="49" t="n"/>
    </row>
    <row r="779" ht="15.75" customHeight="1" s="57">
      <c r="A779" s="49" t="n"/>
    </row>
    <row r="780" ht="15.75" customHeight="1" s="57">
      <c r="A780" s="49" t="n"/>
    </row>
    <row r="781" ht="15.75" customHeight="1" s="57">
      <c r="A781" s="49" t="n"/>
    </row>
    <row r="782" ht="15.75" customHeight="1" s="57">
      <c r="A782" s="49" t="n"/>
    </row>
    <row r="783" ht="15.75" customHeight="1" s="57">
      <c r="A783" s="49" t="n"/>
    </row>
    <row r="784" ht="15.75" customHeight="1" s="57">
      <c r="A784" s="49" t="n"/>
    </row>
    <row r="785" ht="15.75" customHeight="1" s="57">
      <c r="A785" s="49" t="n"/>
    </row>
    <row r="786" ht="15.75" customHeight="1" s="57">
      <c r="A786" s="49" t="n"/>
    </row>
    <row r="787" ht="15.75" customHeight="1" s="57">
      <c r="A787" s="49" t="n"/>
    </row>
    <row r="788" ht="15.75" customHeight="1" s="57">
      <c r="A788" s="49" t="n"/>
    </row>
    <row r="789" ht="15.75" customHeight="1" s="57">
      <c r="A789" s="49" t="n"/>
    </row>
    <row r="790" ht="15.75" customHeight="1" s="57">
      <c r="A790" s="49" t="n"/>
    </row>
    <row r="791" ht="15.75" customHeight="1" s="57">
      <c r="A791" s="49" t="n"/>
    </row>
    <row r="792" ht="15.75" customHeight="1" s="57">
      <c r="A792" s="49" t="n"/>
    </row>
    <row r="793" ht="15.75" customHeight="1" s="57">
      <c r="A793" s="49" t="n"/>
    </row>
    <row r="794" ht="15.75" customHeight="1" s="57">
      <c r="A794" s="49" t="n"/>
    </row>
    <row r="795" ht="15.75" customHeight="1" s="57">
      <c r="A795" s="49" t="n"/>
    </row>
    <row r="796" ht="15.75" customHeight="1" s="57">
      <c r="A796" s="49" t="n"/>
    </row>
    <row r="797" ht="15.75" customHeight="1" s="57">
      <c r="A797" s="49" t="n"/>
    </row>
    <row r="798" ht="15.75" customHeight="1" s="57">
      <c r="A798" s="49" t="n"/>
    </row>
    <row r="799" ht="15.75" customHeight="1" s="57">
      <c r="A799" s="49" t="n"/>
    </row>
    <row r="800" ht="15.75" customHeight="1" s="57">
      <c r="A800" s="49" t="n"/>
    </row>
    <row r="801" ht="15.75" customHeight="1" s="57">
      <c r="A801" s="49" t="n"/>
    </row>
    <row r="802" ht="15.75" customHeight="1" s="57">
      <c r="A802" s="49" t="n"/>
    </row>
    <row r="803" ht="15.75" customHeight="1" s="57">
      <c r="A803" s="49" t="n"/>
    </row>
    <row r="804" ht="15.75" customHeight="1" s="57">
      <c r="A804" s="49" t="n"/>
    </row>
    <row r="805" ht="15.75" customHeight="1" s="57">
      <c r="A805" s="49" t="n"/>
    </row>
    <row r="806" ht="15.75" customHeight="1" s="57">
      <c r="A806" s="49" t="n"/>
    </row>
    <row r="807" ht="15.75" customHeight="1" s="57">
      <c r="A807" s="49" t="n"/>
    </row>
    <row r="808" ht="15.75" customHeight="1" s="57">
      <c r="A808" s="49" t="n"/>
    </row>
    <row r="809" ht="15.75" customHeight="1" s="57">
      <c r="A809" s="49" t="n"/>
    </row>
    <row r="810" ht="15.75" customHeight="1" s="57">
      <c r="A810" s="49" t="n"/>
    </row>
    <row r="811" ht="15.75" customHeight="1" s="57">
      <c r="A811" s="49" t="n"/>
    </row>
    <row r="812" ht="15.75" customHeight="1" s="57">
      <c r="A812" s="49" t="n"/>
    </row>
    <row r="813" ht="15.75" customHeight="1" s="57">
      <c r="A813" s="49" t="n"/>
    </row>
    <row r="814" ht="15.75" customHeight="1" s="57">
      <c r="A814" s="49" t="n"/>
    </row>
    <row r="815" ht="15.75" customHeight="1" s="57">
      <c r="A815" s="49" t="n"/>
    </row>
    <row r="816" ht="15.75" customHeight="1" s="57">
      <c r="A816" s="49" t="n"/>
    </row>
    <row r="817" ht="15.75" customHeight="1" s="57">
      <c r="A817" s="49" t="n"/>
    </row>
    <row r="818" ht="15.75" customHeight="1" s="57">
      <c r="A818" s="49" t="n"/>
    </row>
    <row r="819" ht="15.75" customHeight="1" s="57">
      <c r="A819" s="49" t="n"/>
    </row>
    <row r="820" ht="15.75" customHeight="1" s="57">
      <c r="A820" s="49" t="n"/>
    </row>
    <row r="821" ht="15.75" customHeight="1" s="57">
      <c r="A821" s="49" t="n"/>
    </row>
    <row r="822" ht="15.75" customHeight="1" s="57">
      <c r="A822" s="49" t="n"/>
    </row>
    <row r="823" ht="15.75" customHeight="1" s="57">
      <c r="A823" s="49" t="n"/>
    </row>
    <row r="824" ht="15.75" customHeight="1" s="57">
      <c r="A824" s="49" t="n"/>
    </row>
    <row r="825" ht="15.75" customHeight="1" s="57">
      <c r="A825" s="49" t="n"/>
    </row>
    <row r="826" ht="15.75" customHeight="1" s="57">
      <c r="A826" s="49" t="n"/>
    </row>
    <row r="827" ht="15.75" customHeight="1" s="57">
      <c r="A827" s="49" t="n"/>
    </row>
    <row r="828" ht="15.75" customHeight="1" s="57">
      <c r="A828" s="49" t="n"/>
    </row>
    <row r="829" ht="15.75" customHeight="1" s="57">
      <c r="A829" s="49" t="n"/>
    </row>
    <row r="830" ht="15.75" customHeight="1" s="57">
      <c r="A830" s="49" t="n"/>
    </row>
    <row r="831" ht="15.75" customHeight="1" s="57">
      <c r="A831" s="49" t="n"/>
    </row>
    <row r="832" ht="15.75" customHeight="1" s="57">
      <c r="A832" s="49" t="n"/>
    </row>
    <row r="833" ht="15.75" customHeight="1" s="57">
      <c r="A833" s="49" t="n"/>
    </row>
    <row r="834" ht="15.75" customHeight="1" s="57">
      <c r="A834" s="49" t="n"/>
    </row>
    <row r="835" ht="15.75" customHeight="1" s="57">
      <c r="A835" s="49" t="n"/>
    </row>
    <row r="836" ht="15.75" customHeight="1" s="57">
      <c r="A836" s="49" t="n"/>
    </row>
    <row r="837" ht="15.75" customHeight="1" s="57">
      <c r="A837" s="49" t="n"/>
    </row>
    <row r="838" ht="15.75" customHeight="1" s="57">
      <c r="A838" s="49" t="n"/>
    </row>
    <row r="839" ht="15.75" customHeight="1" s="57">
      <c r="A839" s="49" t="n"/>
    </row>
    <row r="840" ht="15.75" customHeight="1" s="57">
      <c r="A840" s="49" t="n"/>
    </row>
    <row r="841" ht="15.75" customHeight="1" s="57">
      <c r="A841" s="49" t="n"/>
    </row>
    <row r="842" ht="15.75" customHeight="1" s="57">
      <c r="A842" s="49" t="n"/>
    </row>
    <row r="843" ht="15.75" customHeight="1" s="57">
      <c r="A843" s="49" t="n"/>
    </row>
    <row r="844" ht="15.75" customHeight="1" s="57">
      <c r="A844" s="49" t="n"/>
    </row>
    <row r="845" ht="15.75" customHeight="1" s="57">
      <c r="A845" s="49" t="n"/>
    </row>
    <row r="846" ht="15.75" customHeight="1" s="57">
      <c r="A846" s="49" t="n"/>
    </row>
    <row r="847" ht="15.75" customHeight="1" s="57">
      <c r="A847" s="49" t="n"/>
    </row>
    <row r="848" ht="15.75" customHeight="1" s="57">
      <c r="A848" s="49" t="n"/>
    </row>
    <row r="849" ht="15.75" customHeight="1" s="57">
      <c r="A849" s="49" t="n"/>
    </row>
    <row r="850" ht="15.75" customHeight="1" s="57">
      <c r="A850" s="49" t="n"/>
    </row>
    <row r="851" ht="15.75" customHeight="1" s="57">
      <c r="A851" s="49" t="n"/>
    </row>
    <row r="852" ht="15.75" customHeight="1" s="57">
      <c r="A852" s="49" t="n"/>
    </row>
    <row r="853" ht="15.75" customHeight="1" s="57">
      <c r="A853" s="49" t="n"/>
    </row>
    <row r="854" ht="15.75" customHeight="1" s="57">
      <c r="A854" s="49" t="n"/>
    </row>
    <row r="855" ht="15.75" customHeight="1" s="57">
      <c r="A855" s="49" t="n"/>
    </row>
    <row r="856" ht="15.75" customHeight="1" s="57">
      <c r="A856" s="49" t="n"/>
    </row>
    <row r="857" ht="15.75" customHeight="1" s="57">
      <c r="A857" s="49" t="n"/>
    </row>
    <row r="858" ht="15.75" customHeight="1" s="57">
      <c r="A858" s="49" t="n"/>
    </row>
    <row r="859" ht="15.75" customHeight="1" s="57">
      <c r="A859" s="49" t="n"/>
    </row>
    <row r="860" ht="15.75" customHeight="1" s="57">
      <c r="A860" s="49" t="n"/>
    </row>
    <row r="861" ht="15.75" customHeight="1" s="57">
      <c r="A861" s="49" t="n"/>
    </row>
    <row r="862" ht="15.75" customHeight="1" s="57">
      <c r="A862" s="49" t="n"/>
    </row>
    <row r="863" ht="15.75" customHeight="1" s="57">
      <c r="A863" s="49" t="n"/>
    </row>
    <row r="864" ht="15.75" customHeight="1" s="57">
      <c r="A864" s="49" t="n"/>
    </row>
    <row r="865" ht="15.75" customHeight="1" s="57">
      <c r="A865" s="49" t="n"/>
    </row>
    <row r="866" ht="15.75" customHeight="1" s="57">
      <c r="A866" s="49" t="n"/>
    </row>
    <row r="867" ht="15.75" customHeight="1" s="57">
      <c r="A867" s="49" t="n"/>
    </row>
    <row r="868" ht="15.75" customHeight="1" s="57">
      <c r="A868" s="49" t="n"/>
    </row>
    <row r="869" ht="15.75" customHeight="1" s="57">
      <c r="A869" s="49" t="n"/>
    </row>
    <row r="870" ht="15.75" customHeight="1" s="57">
      <c r="A870" s="49" t="n"/>
    </row>
    <row r="871" ht="15.75" customHeight="1" s="57">
      <c r="A871" s="49" t="n"/>
    </row>
    <row r="872" ht="15.75" customHeight="1" s="57">
      <c r="A872" s="49" t="n"/>
    </row>
    <row r="873" ht="15.75" customHeight="1" s="57">
      <c r="A873" s="49" t="n"/>
    </row>
    <row r="874" ht="15.75" customHeight="1" s="57">
      <c r="A874" s="49" t="n"/>
    </row>
    <row r="875" ht="15.75" customHeight="1" s="57">
      <c r="A875" s="49" t="n"/>
    </row>
    <row r="876" ht="15.75" customHeight="1" s="57">
      <c r="A876" s="49" t="n"/>
    </row>
    <row r="877" ht="15.75" customHeight="1" s="57">
      <c r="A877" s="49" t="n"/>
    </row>
    <row r="878" ht="15.75" customHeight="1" s="57">
      <c r="A878" s="49" t="n"/>
    </row>
    <row r="879" ht="15.75" customHeight="1" s="57">
      <c r="A879" s="49" t="n"/>
    </row>
    <row r="880" ht="15.75" customHeight="1" s="57">
      <c r="A880" s="49" t="n"/>
    </row>
    <row r="881" ht="15.75" customHeight="1" s="57">
      <c r="A881" s="49" t="n"/>
    </row>
    <row r="882" ht="15.75" customHeight="1" s="57">
      <c r="A882" s="49" t="n"/>
    </row>
    <row r="883" ht="15.75" customHeight="1" s="57">
      <c r="A883" s="49" t="n"/>
    </row>
    <row r="884" ht="15.75" customHeight="1" s="57">
      <c r="A884" s="49" t="n"/>
    </row>
    <row r="885" ht="15.75" customHeight="1" s="57">
      <c r="A885" s="49" t="n"/>
    </row>
    <row r="886" ht="15.75" customHeight="1" s="57">
      <c r="A886" s="49" t="n"/>
    </row>
    <row r="887" ht="15.75" customHeight="1" s="57">
      <c r="A887" s="49" t="n"/>
    </row>
    <row r="888" ht="15.75" customHeight="1" s="57">
      <c r="A888" s="49" t="n"/>
    </row>
    <row r="889" ht="15.75" customHeight="1" s="57">
      <c r="A889" s="49" t="n"/>
    </row>
    <row r="890" ht="15.75" customHeight="1" s="57">
      <c r="A890" s="49" t="n"/>
    </row>
    <row r="891" ht="15.75" customHeight="1" s="57">
      <c r="A891" s="49" t="n"/>
    </row>
    <row r="892" ht="15.75" customHeight="1" s="57">
      <c r="A892" s="49" t="n"/>
    </row>
    <row r="893" ht="15.75" customHeight="1" s="57">
      <c r="A893" s="49" t="n"/>
    </row>
    <row r="894" ht="15.75" customHeight="1" s="57">
      <c r="A894" s="49" t="n"/>
    </row>
    <row r="895" ht="15.75" customHeight="1" s="57">
      <c r="A895" s="49" t="n"/>
    </row>
    <row r="896" ht="15.75" customHeight="1" s="57">
      <c r="A896" s="49" t="n"/>
    </row>
    <row r="897" ht="15.75" customHeight="1" s="57">
      <c r="A897" s="49" t="n"/>
    </row>
    <row r="898" ht="15.75" customHeight="1" s="57">
      <c r="A898" s="49" t="n"/>
    </row>
    <row r="899" ht="15.75" customHeight="1" s="57">
      <c r="A899" s="49" t="n"/>
    </row>
    <row r="900" ht="15.75" customHeight="1" s="57">
      <c r="A900" s="49" t="n"/>
    </row>
    <row r="901" ht="15.75" customHeight="1" s="57">
      <c r="A901" s="49" t="n"/>
    </row>
    <row r="902" ht="15.75" customHeight="1" s="57">
      <c r="A902" s="49" t="n"/>
    </row>
    <row r="903" ht="15.75" customHeight="1" s="57">
      <c r="A903" s="49" t="n"/>
    </row>
    <row r="904" ht="15.75" customHeight="1" s="57">
      <c r="A904" s="49" t="n"/>
    </row>
    <row r="905" ht="15.75" customHeight="1" s="57">
      <c r="A905" s="49" t="n"/>
    </row>
    <row r="906" ht="15.75" customHeight="1" s="57">
      <c r="A906" s="49" t="n"/>
    </row>
    <row r="907" ht="15.75" customHeight="1" s="57">
      <c r="A907" s="49" t="n"/>
    </row>
    <row r="908" ht="15.75" customHeight="1" s="57">
      <c r="A908" s="49" t="n"/>
    </row>
    <row r="909" ht="15.75" customHeight="1" s="57">
      <c r="A909" s="49" t="n"/>
    </row>
    <row r="910" ht="15.75" customHeight="1" s="57">
      <c r="A910" s="49" t="n"/>
    </row>
    <row r="911" ht="15.75" customHeight="1" s="57">
      <c r="A911" s="49" t="n"/>
    </row>
    <row r="912" ht="15.75" customHeight="1" s="57">
      <c r="A912" s="49" t="n"/>
    </row>
    <row r="913" ht="15.75" customHeight="1" s="57">
      <c r="A913" s="49" t="n"/>
    </row>
    <row r="914" ht="15.75" customHeight="1" s="57">
      <c r="A914" s="49" t="n"/>
    </row>
    <row r="915" ht="15.75" customHeight="1" s="57">
      <c r="A915" s="49" t="n"/>
    </row>
    <row r="916" ht="15.75" customHeight="1" s="57">
      <c r="A916" s="49" t="n"/>
    </row>
    <row r="917" ht="15.75" customHeight="1" s="57">
      <c r="A917" s="49" t="n"/>
    </row>
    <row r="918" ht="15.75" customHeight="1" s="57">
      <c r="A918" s="49" t="n"/>
    </row>
    <row r="919" ht="15.75" customHeight="1" s="57">
      <c r="A919" s="49" t="n"/>
    </row>
    <row r="920" ht="15.75" customHeight="1" s="57">
      <c r="A920" s="49" t="n"/>
    </row>
    <row r="921" ht="15.75" customHeight="1" s="57">
      <c r="A921" s="49" t="n"/>
    </row>
    <row r="922" ht="15.75" customHeight="1" s="57">
      <c r="A922" s="49" t="n"/>
    </row>
    <row r="923" ht="15.75" customHeight="1" s="57">
      <c r="A923" s="49" t="n"/>
    </row>
    <row r="924" ht="15.75" customHeight="1" s="57">
      <c r="A924" s="49" t="n"/>
    </row>
    <row r="925" ht="15.75" customHeight="1" s="57">
      <c r="A925" s="49" t="n"/>
    </row>
    <row r="926" ht="15.75" customHeight="1" s="57">
      <c r="A926" s="49" t="n"/>
    </row>
    <row r="927" ht="15.75" customHeight="1" s="57">
      <c r="A927" s="49" t="n"/>
    </row>
    <row r="928" ht="15.75" customHeight="1" s="57">
      <c r="A928" s="49" t="n"/>
    </row>
    <row r="929" ht="15.75" customHeight="1" s="57">
      <c r="A929" s="49" t="n"/>
    </row>
    <row r="930" ht="15.75" customHeight="1" s="57">
      <c r="A930" s="49" t="n"/>
    </row>
    <row r="931" ht="15.75" customHeight="1" s="57">
      <c r="A931" s="49" t="n"/>
    </row>
    <row r="932" ht="15.75" customHeight="1" s="57">
      <c r="A932" s="49" t="n"/>
    </row>
    <row r="933" ht="15.75" customHeight="1" s="57">
      <c r="A933" s="49" t="n"/>
    </row>
    <row r="934" ht="15.75" customHeight="1" s="57">
      <c r="A934" s="49" t="n"/>
    </row>
    <row r="935" ht="15.75" customHeight="1" s="57">
      <c r="A935" s="49" t="n"/>
    </row>
    <row r="936" ht="15.75" customHeight="1" s="57">
      <c r="A936" s="49" t="n"/>
    </row>
    <row r="937" ht="15.75" customHeight="1" s="57">
      <c r="A937" s="49" t="n"/>
    </row>
    <row r="938" ht="15.75" customHeight="1" s="57">
      <c r="A938" s="49" t="n"/>
    </row>
    <row r="939" ht="15.75" customHeight="1" s="57">
      <c r="A939" s="49" t="n"/>
    </row>
    <row r="940" ht="15.75" customHeight="1" s="57">
      <c r="A940" s="49" t="n"/>
    </row>
    <row r="941" ht="15.75" customHeight="1" s="57">
      <c r="A941" s="49" t="n"/>
    </row>
    <row r="942" ht="15.75" customHeight="1" s="57">
      <c r="A942" s="49" t="n"/>
    </row>
    <row r="943" ht="15.75" customHeight="1" s="57">
      <c r="A943" s="49" t="n"/>
    </row>
    <row r="944" ht="15.75" customHeight="1" s="57">
      <c r="A944" s="49" t="n"/>
    </row>
    <row r="945" ht="15.75" customHeight="1" s="57">
      <c r="A945" s="49" t="n"/>
    </row>
    <row r="946" ht="15.75" customHeight="1" s="57">
      <c r="A946" s="49" t="n"/>
    </row>
    <row r="947" ht="15.75" customHeight="1" s="57">
      <c r="A947" s="49" t="n"/>
    </row>
    <row r="948" ht="15.75" customHeight="1" s="57">
      <c r="A948" s="49" t="n"/>
    </row>
    <row r="949" ht="15.75" customHeight="1" s="57">
      <c r="A949" s="49" t="n"/>
    </row>
    <row r="950" ht="15.75" customHeight="1" s="57">
      <c r="A950" s="49" t="n"/>
    </row>
    <row r="951" ht="15.75" customHeight="1" s="57">
      <c r="A951" s="49" t="n"/>
    </row>
    <row r="952" ht="15.75" customHeight="1" s="57">
      <c r="A952" s="49" t="n"/>
    </row>
    <row r="953" ht="15.75" customHeight="1" s="57">
      <c r="A953" s="49" t="n"/>
    </row>
    <row r="954" ht="15.75" customHeight="1" s="57">
      <c r="A954" s="49" t="n"/>
    </row>
    <row r="955" ht="15.75" customHeight="1" s="57">
      <c r="A955" s="49" t="n"/>
    </row>
    <row r="956" ht="15.75" customHeight="1" s="57">
      <c r="A956" s="49" t="n"/>
    </row>
    <row r="957" ht="15.75" customHeight="1" s="57">
      <c r="A957" s="49" t="n"/>
    </row>
    <row r="958" ht="15.75" customHeight="1" s="57">
      <c r="A958" s="49" t="n"/>
    </row>
    <row r="959" ht="15.75" customHeight="1" s="57">
      <c r="A959" s="49" t="n"/>
    </row>
    <row r="960" ht="15.75" customHeight="1" s="57">
      <c r="A960" s="49" t="n"/>
    </row>
    <row r="961" ht="15.75" customHeight="1" s="57">
      <c r="A961" s="49" t="n"/>
    </row>
    <row r="962" ht="15.75" customHeight="1" s="57">
      <c r="A962" s="49" t="n"/>
    </row>
    <row r="963" ht="15.75" customHeight="1" s="57">
      <c r="A963" s="49" t="n"/>
    </row>
    <row r="964" ht="15.75" customHeight="1" s="57">
      <c r="A964" s="49" t="n"/>
    </row>
    <row r="965" ht="15.75" customHeight="1" s="57">
      <c r="A965" s="49" t="n"/>
    </row>
    <row r="966" ht="15.75" customHeight="1" s="57">
      <c r="A966" s="49" t="n"/>
    </row>
    <row r="967" ht="15.75" customHeight="1" s="57">
      <c r="A967" s="49" t="n"/>
    </row>
    <row r="968" ht="15.75" customHeight="1" s="57">
      <c r="A968" s="49" t="n"/>
    </row>
    <row r="969" ht="15.75" customHeight="1" s="57">
      <c r="A969" s="49" t="n"/>
    </row>
    <row r="970" ht="15.75" customHeight="1" s="57">
      <c r="A970" s="49" t="n"/>
    </row>
    <row r="971" ht="15.75" customHeight="1" s="57">
      <c r="A971" s="49" t="n"/>
    </row>
    <row r="972" ht="15.75" customHeight="1" s="57">
      <c r="A972" s="49" t="n"/>
    </row>
    <row r="973" ht="15.75" customHeight="1" s="57">
      <c r="A973" s="49" t="n"/>
    </row>
    <row r="974" ht="15.75" customHeight="1" s="57">
      <c r="A974" s="49" t="n"/>
    </row>
    <row r="975" ht="15.75" customHeight="1" s="57">
      <c r="A975" s="49" t="n"/>
    </row>
    <row r="976" ht="15.75" customHeight="1" s="57">
      <c r="A976" s="49" t="n"/>
    </row>
    <row r="977" ht="15.75" customHeight="1" s="57">
      <c r="A977" s="49" t="n"/>
    </row>
    <row r="978" ht="15.75" customHeight="1" s="57">
      <c r="A978" s="49" t="n"/>
    </row>
    <row r="979" ht="15.75" customHeight="1" s="57">
      <c r="A979" s="49" t="n"/>
    </row>
    <row r="980" ht="15.75" customHeight="1" s="57">
      <c r="A980" s="49" t="n"/>
    </row>
    <row r="981" ht="15.75" customHeight="1" s="57">
      <c r="A981" s="49" t="n"/>
    </row>
    <row r="982" ht="15.75" customHeight="1" s="57">
      <c r="A982" s="49" t="n"/>
    </row>
    <row r="983" ht="15.75" customHeight="1" s="57">
      <c r="A983" s="49" t="n"/>
    </row>
    <row r="984" ht="15.75" customHeight="1" s="57">
      <c r="A984" s="49" t="n"/>
    </row>
    <row r="985" ht="15.75" customHeight="1" s="57">
      <c r="A985" s="49" t="n"/>
    </row>
    <row r="986" ht="15.75" customHeight="1" s="57">
      <c r="A986" s="49" t="n"/>
    </row>
    <row r="987" ht="15.75" customHeight="1" s="57">
      <c r="A987" s="49" t="n"/>
    </row>
    <row r="988" ht="15.75" customHeight="1" s="57">
      <c r="A988" s="49" t="n"/>
    </row>
    <row r="989" ht="15.75" customHeight="1" s="57">
      <c r="A989" s="49" t="n"/>
    </row>
    <row r="990" ht="15.75" customHeight="1" s="57">
      <c r="A990" s="49" t="n"/>
    </row>
    <row r="991" ht="15.75" customHeight="1" s="57">
      <c r="A991" s="49" t="n"/>
    </row>
    <row r="992" ht="15.75" customHeight="1" s="57">
      <c r="A992" s="49" t="n"/>
    </row>
    <row r="993" ht="15.75" customHeight="1" s="57">
      <c r="A993" s="49" t="n"/>
    </row>
    <row r="994" ht="15.75" customHeight="1" s="57">
      <c r="A994" s="49" t="n"/>
    </row>
    <row r="995" ht="15.75" customHeight="1" s="57">
      <c r="A995" s="49" t="n"/>
    </row>
    <row r="996" ht="15.75" customHeight="1" s="57">
      <c r="A996" s="49" t="n"/>
    </row>
    <row r="997" ht="15.75" customHeight="1" s="57">
      <c r="A997" s="49" t="n"/>
    </row>
    <row r="998" ht="15.75" customHeight="1" s="57">
      <c r="A998" s="49" t="n"/>
    </row>
    <row r="999" ht="15.75" customHeight="1" s="57">
      <c r="A999" s="49" t="n"/>
    </row>
    <row r="1000" ht="15.75" customHeight="1" s="57">
      <c r="A1000" s="49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2026-07-30T13:27:58Z</dcterms:created>
  <dcterms:modified xmlns:dcterms="http://purl.org/dc/terms/" xmlns:xsi="http://www.w3.org/2001/XMLSchema-instance" xsi:type="dcterms:W3CDTF">2026-07-30T13:28:03Z</dcterms:modified>
</cp:coreProperties>
</file>